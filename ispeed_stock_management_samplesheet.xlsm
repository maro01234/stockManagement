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chi\Downloads\"/>
    </mc:Choice>
  </mc:AlternateContent>
  <xr:revisionPtr revIDLastSave="0" documentId="8_{CEC50D45-001E-417C-9AB4-55629E48B5B6}" xr6:coauthVersionLast="47" xr6:coauthVersionMax="47" xr10:uidLastSave="{00000000-0000-0000-0000-000000000000}"/>
  <bookViews>
    <workbookView xWindow="-110" yWindow="-110" windowWidth="21820" windowHeight="14020" activeTab="1" xr2:uid="{E37B710D-1FC3-4A32-BF8F-7EAABC41B4E4}"/>
  </bookViews>
  <sheets>
    <sheet name="目次" sheetId="9" r:id="rId1"/>
    <sheet name="銘柄管理" sheetId="7" r:id="rId2"/>
    <sheet name="銘柄セット" sheetId="2" r:id="rId3"/>
    <sheet name="取得元" sheetId="6" r:id="rId4"/>
  </sheets>
  <definedNames>
    <definedName name="_xlnm._FilterDatabase" localSheetId="1" hidden="1">銘柄管理!$A$1:$Z$103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81" i="7" l="1"/>
  <c r="J1881" i="7"/>
  <c r="I1881" i="7"/>
  <c r="H1881" i="7"/>
  <c r="G1881" i="7"/>
  <c r="K1880" i="7"/>
  <c r="J1880" i="7"/>
  <c r="I1880" i="7"/>
  <c r="H1880" i="7"/>
  <c r="G1880" i="7"/>
  <c r="K1879" i="7"/>
  <c r="J1879" i="7"/>
  <c r="I1879" i="7"/>
  <c r="H1879" i="7"/>
  <c r="G1879" i="7"/>
  <c r="K1878" i="7"/>
  <c r="J1878" i="7"/>
  <c r="I1878" i="7"/>
  <c r="H1878" i="7"/>
  <c r="G1878" i="7"/>
  <c r="K1877" i="7"/>
  <c r="J1877" i="7"/>
  <c r="I1877" i="7"/>
  <c r="H1877" i="7"/>
  <c r="G1877" i="7"/>
  <c r="K1876" i="7"/>
  <c r="J1876" i="7"/>
  <c r="I1876" i="7"/>
  <c r="H1876" i="7"/>
  <c r="G1876" i="7"/>
  <c r="K1875" i="7"/>
  <c r="J1875" i="7"/>
  <c r="I1875" i="7"/>
  <c r="H1875" i="7"/>
  <c r="G1875" i="7"/>
  <c r="K1874" i="7"/>
  <c r="J1874" i="7"/>
  <c r="I1874" i="7"/>
  <c r="H1874" i="7"/>
  <c r="G1874" i="7"/>
  <c r="K1873" i="7"/>
  <c r="J1873" i="7"/>
  <c r="I1873" i="7"/>
  <c r="H1873" i="7"/>
  <c r="G1873" i="7"/>
  <c r="K1872" i="7"/>
  <c r="J1872" i="7"/>
  <c r="I1872" i="7"/>
  <c r="H1872" i="7"/>
  <c r="G1872" i="7"/>
  <c r="K1871" i="7"/>
  <c r="J1871" i="7"/>
  <c r="I1871" i="7"/>
  <c r="H1871" i="7"/>
  <c r="G1871" i="7"/>
  <c r="K1870" i="7"/>
  <c r="J1870" i="7"/>
  <c r="I1870" i="7"/>
  <c r="H1870" i="7"/>
  <c r="G1870" i="7"/>
  <c r="K1869" i="7"/>
  <c r="J1869" i="7"/>
  <c r="I1869" i="7"/>
  <c r="H1869" i="7"/>
  <c r="G1869" i="7"/>
  <c r="K1868" i="7"/>
  <c r="J1868" i="7"/>
  <c r="I1868" i="7"/>
  <c r="H1868" i="7"/>
  <c r="G1868" i="7"/>
  <c r="K1867" i="7"/>
  <c r="J1867" i="7"/>
  <c r="I1867" i="7"/>
  <c r="H1867" i="7"/>
  <c r="G1867" i="7"/>
  <c r="K1866" i="7"/>
  <c r="J1866" i="7"/>
  <c r="I1866" i="7"/>
  <c r="H1866" i="7"/>
  <c r="G1866" i="7"/>
  <c r="K1865" i="7"/>
  <c r="J1865" i="7"/>
  <c r="I1865" i="7"/>
  <c r="H1865" i="7"/>
  <c r="G1865" i="7"/>
  <c r="K1864" i="7"/>
  <c r="J1864" i="7"/>
  <c r="I1864" i="7"/>
  <c r="H1864" i="7"/>
  <c r="G1864" i="7"/>
  <c r="K1863" i="7"/>
  <c r="J1863" i="7"/>
  <c r="I1863" i="7"/>
  <c r="H1863" i="7"/>
  <c r="G1863" i="7"/>
  <c r="K1862" i="7"/>
  <c r="J1862" i="7"/>
  <c r="I1862" i="7"/>
  <c r="H1862" i="7"/>
  <c r="G1862" i="7"/>
  <c r="K1861" i="7"/>
  <c r="J1861" i="7"/>
  <c r="I1861" i="7"/>
  <c r="H1861" i="7"/>
  <c r="G1861" i="7"/>
  <c r="K1860" i="7"/>
  <c r="J1860" i="7"/>
  <c r="I1860" i="7"/>
  <c r="H1860" i="7"/>
  <c r="G1860" i="7"/>
  <c r="K1859" i="7"/>
  <c r="J1859" i="7"/>
  <c r="I1859" i="7"/>
  <c r="H1859" i="7"/>
  <c r="G1859" i="7"/>
  <c r="K1858" i="7"/>
  <c r="J1858" i="7"/>
  <c r="I1858" i="7"/>
  <c r="H1858" i="7"/>
  <c r="G1858" i="7"/>
  <c r="K1857" i="7"/>
  <c r="J1857" i="7"/>
  <c r="I1857" i="7"/>
  <c r="H1857" i="7"/>
  <c r="G1857" i="7"/>
  <c r="K1856" i="7"/>
  <c r="J1856" i="7"/>
  <c r="I1856" i="7"/>
  <c r="H1856" i="7"/>
  <c r="G1856" i="7"/>
  <c r="K1855" i="7"/>
  <c r="J1855" i="7"/>
  <c r="I1855" i="7"/>
  <c r="H1855" i="7"/>
  <c r="G1855" i="7"/>
  <c r="K1854" i="7"/>
  <c r="J1854" i="7"/>
  <c r="I1854" i="7"/>
  <c r="H1854" i="7"/>
  <c r="G1854" i="7"/>
  <c r="K1853" i="7"/>
  <c r="J1853" i="7"/>
  <c r="I1853" i="7"/>
  <c r="H1853" i="7"/>
  <c r="G1853" i="7"/>
  <c r="K1852" i="7"/>
  <c r="J1852" i="7"/>
  <c r="I1852" i="7"/>
  <c r="H1852" i="7"/>
  <c r="G1852" i="7"/>
  <c r="K1851" i="7"/>
  <c r="J1851" i="7"/>
  <c r="I1851" i="7"/>
  <c r="H1851" i="7"/>
  <c r="G1851" i="7"/>
  <c r="K1850" i="7"/>
  <c r="J1850" i="7"/>
  <c r="I1850" i="7"/>
  <c r="H1850" i="7"/>
  <c r="G1850" i="7"/>
  <c r="K1849" i="7"/>
  <c r="J1849" i="7"/>
  <c r="I1849" i="7"/>
  <c r="H1849" i="7"/>
  <c r="G1849" i="7"/>
  <c r="K1848" i="7"/>
  <c r="J1848" i="7"/>
  <c r="I1848" i="7"/>
  <c r="H1848" i="7"/>
  <c r="G1848" i="7"/>
  <c r="K1847" i="7"/>
  <c r="J1847" i="7"/>
  <c r="I1847" i="7"/>
  <c r="H1847" i="7"/>
  <c r="G1847" i="7"/>
  <c r="K1846" i="7"/>
  <c r="J1846" i="7"/>
  <c r="I1846" i="7"/>
  <c r="H1846" i="7"/>
  <c r="G1846" i="7"/>
  <c r="K1845" i="7"/>
  <c r="J1845" i="7"/>
  <c r="I1845" i="7"/>
  <c r="H1845" i="7"/>
  <c r="G1845" i="7"/>
  <c r="K1844" i="7"/>
  <c r="J1844" i="7"/>
  <c r="I1844" i="7"/>
  <c r="H1844" i="7"/>
  <c r="G1844" i="7"/>
  <c r="K1843" i="7"/>
  <c r="J1843" i="7"/>
  <c r="I1843" i="7"/>
  <c r="H1843" i="7"/>
  <c r="G1843" i="7"/>
  <c r="K1842" i="7"/>
  <c r="J1842" i="7"/>
  <c r="I1842" i="7"/>
  <c r="H1842" i="7"/>
  <c r="G1842" i="7"/>
  <c r="K1841" i="7"/>
  <c r="J1841" i="7"/>
  <c r="I1841" i="7"/>
  <c r="H1841" i="7"/>
  <c r="G1841" i="7"/>
  <c r="K1840" i="7"/>
  <c r="J1840" i="7"/>
  <c r="I1840" i="7"/>
  <c r="H1840" i="7"/>
  <c r="G1840" i="7"/>
  <c r="K1839" i="7"/>
  <c r="J1839" i="7"/>
  <c r="I1839" i="7"/>
  <c r="H1839" i="7"/>
  <c r="G1839" i="7"/>
  <c r="K1838" i="7"/>
  <c r="J1838" i="7"/>
  <c r="I1838" i="7"/>
  <c r="H1838" i="7"/>
  <c r="G1838" i="7"/>
  <c r="K1837" i="7"/>
  <c r="J1837" i="7"/>
  <c r="I1837" i="7"/>
  <c r="H1837" i="7"/>
  <c r="G1837" i="7"/>
  <c r="K1836" i="7"/>
  <c r="J1836" i="7"/>
  <c r="I1836" i="7"/>
  <c r="H1836" i="7"/>
  <c r="G1836" i="7"/>
  <c r="K1835" i="7"/>
  <c r="J1835" i="7"/>
  <c r="I1835" i="7"/>
  <c r="H1835" i="7"/>
  <c r="G1835" i="7"/>
  <c r="K1834" i="7"/>
  <c r="J1834" i="7"/>
  <c r="I1834" i="7"/>
  <c r="H1834" i="7"/>
  <c r="G1834" i="7"/>
  <c r="K1833" i="7"/>
  <c r="J1833" i="7"/>
  <c r="I1833" i="7"/>
  <c r="H1833" i="7"/>
  <c r="G1833" i="7"/>
  <c r="K1832" i="7"/>
  <c r="J1832" i="7"/>
  <c r="I1832" i="7"/>
  <c r="H1832" i="7"/>
  <c r="G1832" i="7"/>
  <c r="K1831" i="7"/>
  <c r="J1831" i="7"/>
  <c r="I1831" i="7"/>
  <c r="H1831" i="7"/>
  <c r="G1831" i="7"/>
  <c r="K1830" i="7"/>
  <c r="J1830" i="7"/>
  <c r="I1830" i="7"/>
  <c r="H1830" i="7"/>
  <c r="G1830" i="7"/>
  <c r="K1829" i="7"/>
  <c r="J1829" i="7"/>
  <c r="I1829" i="7"/>
  <c r="H1829" i="7"/>
  <c r="G1829" i="7"/>
  <c r="K1828" i="7"/>
  <c r="J1828" i="7"/>
  <c r="I1828" i="7"/>
  <c r="H1828" i="7"/>
  <c r="G1828" i="7"/>
  <c r="K1827" i="7"/>
  <c r="J1827" i="7"/>
  <c r="I1827" i="7"/>
  <c r="H1827" i="7"/>
  <c r="G1827" i="7"/>
  <c r="K1826" i="7"/>
  <c r="J1826" i="7"/>
  <c r="I1826" i="7"/>
  <c r="H1826" i="7"/>
  <c r="G1826" i="7"/>
  <c r="K1825" i="7"/>
  <c r="J1825" i="7"/>
  <c r="I1825" i="7"/>
  <c r="H1825" i="7"/>
  <c r="G1825" i="7"/>
  <c r="K1824" i="7"/>
  <c r="J1824" i="7"/>
  <c r="I1824" i="7"/>
  <c r="H1824" i="7"/>
  <c r="G1824" i="7"/>
  <c r="K1823" i="7"/>
  <c r="J1823" i="7"/>
  <c r="I1823" i="7"/>
  <c r="H1823" i="7"/>
  <c r="G1823" i="7"/>
  <c r="K1822" i="7"/>
  <c r="J1822" i="7"/>
  <c r="I1822" i="7"/>
  <c r="H1822" i="7"/>
  <c r="G1822" i="7"/>
  <c r="K1821" i="7"/>
  <c r="J1821" i="7"/>
  <c r="I1821" i="7"/>
  <c r="H1821" i="7"/>
  <c r="G1821" i="7"/>
  <c r="K1820" i="7"/>
  <c r="J1820" i="7"/>
  <c r="I1820" i="7"/>
  <c r="H1820" i="7"/>
  <c r="G1820" i="7"/>
  <c r="K1819" i="7"/>
  <c r="J1819" i="7"/>
  <c r="I1819" i="7"/>
  <c r="H1819" i="7"/>
  <c r="G1819" i="7"/>
  <c r="K1818" i="7"/>
  <c r="J1818" i="7"/>
  <c r="I1818" i="7"/>
  <c r="H1818" i="7"/>
  <c r="G1818" i="7"/>
  <c r="K1817" i="7"/>
  <c r="J1817" i="7"/>
  <c r="I1817" i="7"/>
  <c r="H1817" i="7"/>
  <c r="G1817" i="7"/>
  <c r="K1816" i="7"/>
  <c r="J1816" i="7"/>
  <c r="I1816" i="7"/>
  <c r="H1816" i="7"/>
  <c r="G1816" i="7"/>
  <c r="K1815" i="7"/>
  <c r="J1815" i="7"/>
  <c r="I1815" i="7"/>
  <c r="H1815" i="7"/>
  <c r="G1815" i="7"/>
  <c r="K1814" i="7"/>
  <c r="J1814" i="7"/>
  <c r="I1814" i="7"/>
  <c r="H1814" i="7"/>
  <c r="G1814" i="7"/>
  <c r="K1813" i="7"/>
  <c r="J1813" i="7"/>
  <c r="I1813" i="7"/>
  <c r="H1813" i="7"/>
  <c r="G1813" i="7"/>
  <c r="K1812" i="7"/>
  <c r="J1812" i="7"/>
  <c r="I1812" i="7"/>
  <c r="H1812" i="7"/>
  <c r="G1812" i="7"/>
  <c r="K1811" i="7"/>
  <c r="J1811" i="7"/>
  <c r="I1811" i="7"/>
  <c r="H1811" i="7"/>
  <c r="G1811" i="7"/>
  <c r="K1810" i="7"/>
  <c r="J1810" i="7"/>
  <c r="I1810" i="7"/>
  <c r="H1810" i="7"/>
  <c r="G1810" i="7"/>
  <c r="K1809" i="7"/>
  <c r="J1809" i="7"/>
  <c r="I1809" i="7"/>
  <c r="H1809" i="7"/>
  <c r="G1809" i="7"/>
  <c r="K1808" i="7"/>
  <c r="J1808" i="7"/>
  <c r="I1808" i="7"/>
  <c r="H1808" i="7"/>
  <c r="G1808" i="7"/>
  <c r="K1807" i="7"/>
  <c r="J1807" i="7"/>
  <c r="I1807" i="7"/>
  <c r="H1807" i="7"/>
  <c r="G1807" i="7"/>
  <c r="K1806" i="7"/>
  <c r="J1806" i="7"/>
  <c r="I1806" i="7"/>
  <c r="H1806" i="7"/>
  <c r="G1806" i="7"/>
  <c r="K1805" i="7"/>
  <c r="J1805" i="7"/>
  <c r="I1805" i="7"/>
  <c r="H1805" i="7"/>
  <c r="G1805" i="7"/>
  <c r="K1804" i="7"/>
  <c r="J1804" i="7"/>
  <c r="I1804" i="7"/>
  <c r="H1804" i="7"/>
  <c r="G1804" i="7"/>
  <c r="K1803" i="7"/>
  <c r="J1803" i="7"/>
  <c r="I1803" i="7"/>
  <c r="H1803" i="7"/>
  <c r="G1803" i="7"/>
  <c r="K1802" i="7"/>
  <c r="J1802" i="7"/>
  <c r="I1802" i="7"/>
  <c r="H1802" i="7"/>
  <c r="G1802" i="7"/>
  <c r="K1801" i="7"/>
  <c r="J1801" i="7"/>
  <c r="I1801" i="7"/>
  <c r="H1801" i="7"/>
  <c r="G1801" i="7"/>
  <c r="K1800" i="7"/>
  <c r="J1800" i="7"/>
  <c r="I1800" i="7"/>
  <c r="H1800" i="7"/>
  <c r="G1800" i="7"/>
  <c r="K1799" i="7"/>
  <c r="J1799" i="7"/>
  <c r="I1799" i="7"/>
  <c r="H1799" i="7"/>
  <c r="G1799" i="7"/>
  <c r="K1798" i="7"/>
  <c r="J1798" i="7"/>
  <c r="I1798" i="7"/>
  <c r="H1798" i="7"/>
  <c r="G1798" i="7"/>
  <c r="K1797" i="7"/>
  <c r="J1797" i="7"/>
  <c r="I1797" i="7"/>
  <c r="H1797" i="7"/>
  <c r="G1797" i="7"/>
  <c r="K1796" i="7"/>
  <c r="J1796" i="7"/>
  <c r="I1796" i="7"/>
  <c r="H1796" i="7"/>
  <c r="G1796" i="7"/>
  <c r="K1795" i="7"/>
  <c r="J1795" i="7"/>
  <c r="I1795" i="7"/>
  <c r="H1795" i="7"/>
  <c r="G1795" i="7"/>
  <c r="K1794" i="7"/>
  <c r="J1794" i="7"/>
  <c r="I1794" i="7"/>
  <c r="H1794" i="7"/>
  <c r="G1794" i="7"/>
  <c r="K1793" i="7"/>
  <c r="J1793" i="7"/>
  <c r="I1793" i="7"/>
  <c r="H1793" i="7"/>
  <c r="G1793" i="7"/>
  <c r="K1792" i="7"/>
  <c r="J1792" i="7"/>
  <c r="I1792" i="7"/>
  <c r="H1792" i="7"/>
  <c r="G1792" i="7"/>
  <c r="K1791" i="7"/>
  <c r="J1791" i="7"/>
  <c r="I1791" i="7"/>
  <c r="H1791" i="7"/>
  <c r="G1791" i="7"/>
  <c r="K1790" i="7"/>
  <c r="J1790" i="7"/>
  <c r="I1790" i="7"/>
  <c r="H1790" i="7"/>
  <c r="G1790" i="7"/>
  <c r="K1789" i="7"/>
  <c r="J1789" i="7"/>
  <c r="I1789" i="7"/>
  <c r="H1789" i="7"/>
  <c r="G1789" i="7"/>
  <c r="K1788" i="7"/>
  <c r="J1788" i="7"/>
  <c r="I1788" i="7"/>
  <c r="H1788" i="7"/>
  <c r="G1788" i="7"/>
  <c r="K1787" i="7"/>
  <c r="J1787" i="7"/>
  <c r="I1787" i="7"/>
  <c r="H1787" i="7"/>
  <c r="G1787" i="7"/>
  <c r="K1786" i="7"/>
  <c r="J1786" i="7"/>
  <c r="I1786" i="7"/>
  <c r="H1786" i="7"/>
  <c r="G1786" i="7"/>
  <c r="K1785" i="7"/>
  <c r="J1785" i="7"/>
  <c r="I1785" i="7"/>
  <c r="H1785" i="7"/>
  <c r="G1785" i="7"/>
  <c r="K1784" i="7"/>
  <c r="J1784" i="7"/>
  <c r="I1784" i="7"/>
  <c r="H1784" i="7"/>
  <c r="G1784" i="7"/>
  <c r="K1783" i="7"/>
  <c r="J1783" i="7"/>
  <c r="I1783" i="7"/>
  <c r="H1783" i="7"/>
  <c r="G1783" i="7"/>
  <c r="K1782" i="7"/>
  <c r="J1782" i="7"/>
  <c r="I1782" i="7"/>
  <c r="H1782" i="7"/>
  <c r="G1782" i="7"/>
  <c r="K1781" i="7"/>
  <c r="J1781" i="7"/>
  <c r="I1781" i="7"/>
  <c r="H1781" i="7"/>
  <c r="G1781" i="7"/>
  <c r="K1780" i="7"/>
  <c r="J1780" i="7"/>
  <c r="I1780" i="7"/>
  <c r="H1780" i="7"/>
  <c r="G1780" i="7"/>
  <c r="K1779" i="7"/>
  <c r="J1779" i="7"/>
  <c r="I1779" i="7"/>
  <c r="H1779" i="7"/>
  <c r="G1779" i="7"/>
  <c r="K1778" i="7"/>
  <c r="J1778" i="7"/>
  <c r="I1778" i="7"/>
  <c r="H1778" i="7"/>
  <c r="G1778" i="7"/>
  <c r="K1777" i="7"/>
  <c r="J1777" i="7"/>
  <c r="I1777" i="7"/>
  <c r="H1777" i="7"/>
  <c r="G1777" i="7"/>
  <c r="K1776" i="7"/>
  <c r="J1776" i="7"/>
  <c r="I1776" i="7"/>
  <c r="H1776" i="7"/>
  <c r="G1776" i="7"/>
  <c r="K1775" i="7"/>
  <c r="J1775" i="7"/>
  <c r="I1775" i="7"/>
  <c r="H1775" i="7"/>
  <c r="G1775" i="7"/>
  <c r="K1774" i="7"/>
  <c r="J1774" i="7"/>
  <c r="I1774" i="7"/>
  <c r="H1774" i="7"/>
  <c r="G1774" i="7"/>
  <c r="K1773" i="7"/>
  <c r="J1773" i="7"/>
  <c r="I1773" i="7"/>
  <c r="H1773" i="7"/>
  <c r="G1773" i="7"/>
  <c r="K1772" i="7"/>
  <c r="J1772" i="7"/>
  <c r="I1772" i="7"/>
  <c r="H1772" i="7"/>
  <c r="G1772" i="7"/>
  <c r="K1771" i="7"/>
  <c r="J1771" i="7"/>
  <c r="I1771" i="7"/>
  <c r="H1771" i="7"/>
  <c r="G1771" i="7"/>
  <c r="K1770" i="7"/>
  <c r="J1770" i="7"/>
  <c r="I1770" i="7"/>
  <c r="H1770" i="7"/>
  <c r="G1770" i="7"/>
  <c r="K1769" i="7"/>
  <c r="J1769" i="7"/>
  <c r="I1769" i="7"/>
  <c r="H1769" i="7"/>
  <c r="G1769" i="7"/>
  <c r="K1768" i="7"/>
  <c r="J1768" i="7"/>
  <c r="I1768" i="7"/>
  <c r="H1768" i="7"/>
  <c r="G1768" i="7"/>
  <c r="K1767" i="7"/>
  <c r="J1767" i="7"/>
  <c r="I1767" i="7"/>
  <c r="H1767" i="7"/>
  <c r="G1767" i="7"/>
  <c r="K1766" i="7"/>
  <c r="J1766" i="7"/>
  <c r="I1766" i="7"/>
  <c r="H1766" i="7"/>
  <c r="G1766" i="7"/>
  <c r="K1765" i="7"/>
  <c r="J1765" i="7"/>
  <c r="I1765" i="7"/>
  <c r="H1765" i="7"/>
  <c r="G1765" i="7"/>
  <c r="K1764" i="7"/>
  <c r="J1764" i="7"/>
  <c r="I1764" i="7"/>
  <c r="H1764" i="7"/>
  <c r="G1764" i="7"/>
  <c r="K1763" i="7"/>
  <c r="J1763" i="7"/>
  <c r="I1763" i="7"/>
  <c r="H1763" i="7"/>
  <c r="G1763" i="7"/>
  <c r="K1762" i="7"/>
  <c r="J1762" i="7"/>
  <c r="I1762" i="7"/>
  <c r="H1762" i="7"/>
  <c r="G1762" i="7"/>
  <c r="K1761" i="7"/>
  <c r="J1761" i="7"/>
  <c r="I1761" i="7"/>
  <c r="H1761" i="7"/>
  <c r="G1761" i="7"/>
  <c r="K1760" i="7"/>
  <c r="J1760" i="7"/>
  <c r="I1760" i="7"/>
  <c r="H1760" i="7"/>
  <c r="G1760" i="7"/>
  <c r="K1759" i="7"/>
  <c r="J1759" i="7"/>
  <c r="I1759" i="7"/>
  <c r="H1759" i="7"/>
  <c r="G1759" i="7"/>
  <c r="K1758" i="7"/>
  <c r="J1758" i="7"/>
  <c r="I1758" i="7"/>
  <c r="H1758" i="7"/>
  <c r="G1758" i="7"/>
  <c r="K1757" i="7"/>
  <c r="J1757" i="7"/>
  <c r="I1757" i="7"/>
  <c r="H1757" i="7"/>
  <c r="G1757" i="7"/>
  <c r="K1756" i="7"/>
  <c r="J1756" i="7"/>
  <c r="I1756" i="7"/>
  <c r="H1756" i="7"/>
  <c r="G1756" i="7"/>
  <c r="K1755" i="7"/>
  <c r="J1755" i="7"/>
  <c r="I1755" i="7"/>
  <c r="H1755" i="7"/>
  <c r="G1755" i="7"/>
  <c r="K1754" i="7"/>
  <c r="J1754" i="7"/>
  <c r="I1754" i="7"/>
  <c r="H1754" i="7"/>
  <c r="G1754" i="7"/>
  <c r="K1753" i="7"/>
  <c r="J1753" i="7"/>
  <c r="I1753" i="7"/>
  <c r="H1753" i="7"/>
  <c r="G1753" i="7"/>
  <c r="K1752" i="7"/>
  <c r="J1752" i="7"/>
  <c r="I1752" i="7"/>
  <c r="H1752" i="7"/>
  <c r="G1752" i="7"/>
  <c r="K1751" i="7"/>
  <c r="J1751" i="7"/>
  <c r="I1751" i="7"/>
  <c r="H1751" i="7"/>
  <c r="G1751" i="7"/>
  <c r="K1750" i="7"/>
  <c r="J1750" i="7"/>
  <c r="I1750" i="7"/>
  <c r="H1750" i="7"/>
  <c r="G1750" i="7"/>
  <c r="K1749" i="7"/>
  <c r="J1749" i="7"/>
  <c r="I1749" i="7"/>
  <c r="H1749" i="7"/>
  <c r="G1749" i="7"/>
  <c r="K1748" i="7"/>
  <c r="J1748" i="7"/>
  <c r="I1748" i="7"/>
  <c r="H1748" i="7"/>
  <c r="G1748" i="7"/>
  <c r="K1747" i="7"/>
  <c r="J1747" i="7"/>
  <c r="I1747" i="7"/>
  <c r="H1747" i="7"/>
  <c r="G1747" i="7"/>
  <c r="K1746" i="7"/>
  <c r="J1746" i="7"/>
  <c r="I1746" i="7"/>
  <c r="H1746" i="7"/>
  <c r="G1746" i="7"/>
  <c r="K1745" i="7"/>
  <c r="J1745" i="7"/>
  <c r="I1745" i="7"/>
  <c r="H1745" i="7"/>
  <c r="G1745" i="7"/>
  <c r="K1744" i="7"/>
  <c r="J1744" i="7"/>
  <c r="I1744" i="7"/>
  <c r="H1744" i="7"/>
  <c r="G1744" i="7"/>
  <c r="K1743" i="7"/>
  <c r="J1743" i="7"/>
  <c r="I1743" i="7"/>
  <c r="H1743" i="7"/>
  <c r="G1743" i="7"/>
  <c r="K1742" i="7"/>
  <c r="J1742" i="7"/>
  <c r="I1742" i="7"/>
  <c r="H1742" i="7"/>
  <c r="G1742" i="7"/>
  <c r="K1741" i="7"/>
  <c r="J1741" i="7"/>
  <c r="I1741" i="7"/>
  <c r="H1741" i="7"/>
  <c r="G1741" i="7"/>
  <c r="K1740" i="7"/>
  <c r="J1740" i="7"/>
  <c r="I1740" i="7"/>
  <c r="H1740" i="7"/>
  <c r="G1740" i="7"/>
  <c r="K1739" i="7"/>
  <c r="J1739" i="7"/>
  <c r="I1739" i="7"/>
  <c r="H1739" i="7"/>
  <c r="G1739" i="7"/>
  <c r="K1738" i="7"/>
  <c r="J1738" i="7"/>
  <c r="I1738" i="7"/>
  <c r="H1738" i="7"/>
  <c r="G1738" i="7"/>
  <c r="K1737" i="7"/>
  <c r="J1737" i="7"/>
  <c r="I1737" i="7"/>
  <c r="H1737" i="7"/>
  <c r="G1737" i="7"/>
  <c r="K1736" i="7"/>
  <c r="J1736" i="7"/>
  <c r="I1736" i="7"/>
  <c r="H1736" i="7"/>
  <c r="G1736" i="7"/>
  <c r="K1735" i="7"/>
  <c r="J1735" i="7"/>
  <c r="I1735" i="7"/>
  <c r="H1735" i="7"/>
  <c r="G1735" i="7"/>
  <c r="K1734" i="7"/>
  <c r="J1734" i="7"/>
  <c r="I1734" i="7"/>
  <c r="H1734" i="7"/>
  <c r="G1734" i="7"/>
  <c r="K1733" i="7"/>
  <c r="J1733" i="7"/>
  <c r="I1733" i="7"/>
  <c r="H1733" i="7"/>
  <c r="G1733" i="7"/>
  <c r="K1732" i="7"/>
  <c r="J1732" i="7"/>
  <c r="I1732" i="7"/>
  <c r="H1732" i="7"/>
  <c r="G1732" i="7"/>
  <c r="K1731" i="7"/>
  <c r="J1731" i="7"/>
  <c r="I1731" i="7"/>
  <c r="H1731" i="7"/>
  <c r="G1731" i="7"/>
  <c r="K1730" i="7"/>
  <c r="J1730" i="7"/>
  <c r="I1730" i="7"/>
  <c r="H1730" i="7"/>
  <c r="G1730" i="7"/>
  <c r="K1729" i="7"/>
  <c r="J1729" i="7"/>
  <c r="I1729" i="7"/>
  <c r="H1729" i="7"/>
  <c r="G1729" i="7"/>
  <c r="K1728" i="7"/>
  <c r="J1728" i="7"/>
  <c r="I1728" i="7"/>
  <c r="H1728" i="7"/>
  <c r="G1728" i="7"/>
  <c r="K1727" i="7"/>
  <c r="J1727" i="7"/>
  <c r="I1727" i="7"/>
  <c r="H1727" i="7"/>
  <c r="G1727" i="7"/>
  <c r="K1726" i="7"/>
  <c r="J1726" i="7"/>
  <c r="I1726" i="7"/>
  <c r="H1726" i="7"/>
  <c r="G1726" i="7"/>
  <c r="K1725" i="7"/>
  <c r="J1725" i="7"/>
  <c r="I1725" i="7"/>
  <c r="H1725" i="7"/>
  <c r="G1725" i="7"/>
  <c r="K1724" i="7"/>
  <c r="J1724" i="7"/>
  <c r="I1724" i="7"/>
  <c r="H1724" i="7"/>
  <c r="G1724" i="7"/>
  <c r="K1723" i="7"/>
  <c r="J1723" i="7"/>
  <c r="I1723" i="7"/>
  <c r="H1723" i="7"/>
  <c r="G1723" i="7"/>
  <c r="K1722" i="7"/>
  <c r="J1722" i="7"/>
  <c r="I1722" i="7"/>
  <c r="H1722" i="7"/>
  <c r="G1722" i="7"/>
  <c r="K1721" i="7"/>
  <c r="J1721" i="7"/>
  <c r="I1721" i="7"/>
  <c r="H1721" i="7"/>
  <c r="G1721" i="7"/>
  <c r="K1720" i="7"/>
  <c r="J1720" i="7"/>
  <c r="I1720" i="7"/>
  <c r="H1720" i="7"/>
  <c r="G1720" i="7"/>
  <c r="K1719" i="7"/>
  <c r="J1719" i="7"/>
  <c r="I1719" i="7"/>
  <c r="H1719" i="7"/>
  <c r="G1719" i="7"/>
  <c r="K1718" i="7"/>
  <c r="J1718" i="7"/>
  <c r="I1718" i="7"/>
  <c r="H1718" i="7"/>
  <c r="G1718" i="7"/>
  <c r="K1717" i="7"/>
  <c r="J1717" i="7"/>
  <c r="I1717" i="7"/>
  <c r="H1717" i="7"/>
  <c r="G1717" i="7"/>
  <c r="K1716" i="7"/>
  <c r="J1716" i="7"/>
  <c r="I1716" i="7"/>
  <c r="H1716" i="7"/>
  <c r="G1716" i="7"/>
  <c r="K1715" i="7"/>
  <c r="J1715" i="7"/>
  <c r="I1715" i="7"/>
  <c r="H1715" i="7"/>
  <c r="G1715" i="7"/>
  <c r="K1714" i="7"/>
  <c r="J1714" i="7"/>
  <c r="I1714" i="7"/>
  <c r="H1714" i="7"/>
  <c r="G1714" i="7"/>
  <c r="K1713" i="7"/>
  <c r="J1713" i="7"/>
  <c r="I1713" i="7"/>
  <c r="H1713" i="7"/>
  <c r="G1713" i="7"/>
  <c r="K1712" i="7"/>
  <c r="J1712" i="7"/>
  <c r="I1712" i="7"/>
  <c r="H1712" i="7"/>
  <c r="G1712" i="7"/>
  <c r="K1711" i="7"/>
  <c r="J1711" i="7"/>
  <c r="I1711" i="7"/>
  <c r="H1711" i="7"/>
  <c r="G1711" i="7"/>
  <c r="K1710" i="7"/>
  <c r="J1710" i="7"/>
  <c r="I1710" i="7"/>
  <c r="H1710" i="7"/>
  <c r="G1710" i="7"/>
  <c r="K1709" i="7"/>
  <c r="J1709" i="7"/>
  <c r="I1709" i="7"/>
  <c r="H1709" i="7"/>
  <c r="G1709" i="7"/>
  <c r="K1708" i="7"/>
  <c r="J1708" i="7"/>
  <c r="I1708" i="7"/>
  <c r="H1708" i="7"/>
  <c r="G1708" i="7"/>
  <c r="K1707" i="7"/>
  <c r="J1707" i="7"/>
  <c r="I1707" i="7"/>
  <c r="H1707" i="7"/>
  <c r="G1707" i="7"/>
  <c r="K1706" i="7"/>
  <c r="J1706" i="7"/>
  <c r="I1706" i="7"/>
  <c r="H1706" i="7"/>
  <c r="G1706" i="7"/>
  <c r="K1705" i="7"/>
  <c r="J1705" i="7"/>
  <c r="I1705" i="7"/>
  <c r="H1705" i="7"/>
  <c r="G1705" i="7"/>
  <c r="K1704" i="7"/>
  <c r="J1704" i="7"/>
  <c r="I1704" i="7"/>
  <c r="H1704" i="7"/>
  <c r="G1704" i="7"/>
  <c r="K1703" i="7"/>
  <c r="J1703" i="7"/>
  <c r="I1703" i="7"/>
  <c r="H1703" i="7"/>
  <c r="G1703" i="7"/>
  <c r="K1702" i="7"/>
  <c r="J1702" i="7"/>
  <c r="I1702" i="7"/>
  <c r="H1702" i="7"/>
  <c r="G1702" i="7"/>
  <c r="K1701" i="7"/>
  <c r="J1701" i="7"/>
  <c r="I1701" i="7"/>
  <c r="H1701" i="7"/>
  <c r="G1701" i="7"/>
  <c r="K1700" i="7"/>
  <c r="J1700" i="7"/>
  <c r="I1700" i="7"/>
  <c r="H1700" i="7"/>
  <c r="G1700" i="7"/>
  <c r="K1699" i="7"/>
  <c r="J1699" i="7"/>
  <c r="I1699" i="7"/>
  <c r="H1699" i="7"/>
  <c r="G1699" i="7"/>
  <c r="K1698" i="7"/>
  <c r="J1698" i="7"/>
  <c r="I1698" i="7"/>
  <c r="H1698" i="7"/>
  <c r="G1698" i="7"/>
  <c r="K1697" i="7"/>
  <c r="J1697" i="7"/>
  <c r="I1697" i="7"/>
  <c r="H1697" i="7"/>
  <c r="G1697" i="7"/>
  <c r="K1696" i="7"/>
  <c r="J1696" i="7"/>
  <c r="I1696" i="7"/>
  <c r="H1696" i="7"/>
  <c r="G1696" i="7"/>
  <c r="K1695" i="7"/>
  <c r="J1695" i="7"/>
  <c r="I1695" i="7"/>
  <c r="H1695" i="7"/>
  <c r="G1695" i="7"/>
  <c r="K1694" i="7"/>
  <c r="J1694" i="7"/>
  <c r="I1694" i="7"/>
  <c r="H1694" i="7"/>
  <c r="G1694" i="7"/>
  <c r="K1693" i="7"/>
  <c r="J1693" i="7"/>
  <c r="I1693" i="7"/>
  <c r="H1693" i="7"/>
  <c r="G1693" i="7"/>
  <c r="K1692" i="7"/>
  <c r="J1692" i="7"/>
  <c r="I1692" i="7"/>
  <c r="H1692" i="7"/>
  <c r="G1692" i="7"/>
  <c r="K1691" i="7"/>
  <c r="J1691" i="7"/>
  <c r="I1691" i="7"/>
  <c r="H1691" i="7"/>
  <c r="G1691" i="7"/>
  <c r="K1690" i="7"/>
  <c r="J1690" i="7"/>
  <c r="I1690" i="7"/>
  <c r="H1690" i="7"/>
  <c r="G1690" i="7"/>
  <c r="K1689" i="7"/>
  <c r="J1689" i="7"/>
  <c r="I1689" i="7"/>
  <c r="H1689" i="7"/>
  <c r="G1689" i="7"/>
  <c r="K1688" i="7"/>
  <c r="J1688" i="7"/>
  <c r="I1688" i="7"/>
  <c r="H1688" i="7"/>
  <c r="G1688" i="7"/>
  <c r="K1687" i="7"/>
  <c r="J1687" i="7"/>
  <c r="I1687" i="7"/>
  <c r="H1687" i="7"/>
  <c r="G1687" i="7"/>
  <c r="K1686" i="7"/>
  <c r="J1686" i="7"/>
  <c r="I1686" i="7"/>
  <c r="H1686" i="7"/>
  <c r="G1686" i="7"/>
  <c r="K1685" i="7"/>
  <c r="J1685" i="7"/>
  <c r="I1685" i="7"/>
  <c r="H1685" i="7"/>
  <c r="G1685" i="7"/>
  <c r="K1684" i="7"/>
  <c r="J1684" i="7"/>
  <c r="I1684" i="7"/>
  <c r="H1684" i="7"/>
  <c r="G1684" i="7"/>
  <c r="K1683" i="7"/>
  <c r="J1683" i="7"/>
  <c r="I1683" i="7"/>
  <c r="H1683" i="7"/>
  <c r="G1683" i="7"/>
  <c r="K1682" i="7"/>
  <c r="J1682" i="7"/>
  <c r="I1682" i="7"/>
  <c r="H1682" i="7"/>
  <c r="G1682" i="7"/>
  <c r="K1681" i="7"/>
  <c r="J1681" i="7"/>
  <c r="I1681" i="7"/>
  <c r="H1681" i="7"/>
  <c r="G1681" i="7"/>
  <c r="K1680" i="7"/>
  <c r="J1680" i="7"/>
  <c r="I1680" i="7"/>
  <c r="H1680" i="7"/>
  <c r="G1680" i="7"/>
  <c r="K1679" i="7"/>
  <c r="J1679" i="7"/>
  <c r="I1679" i="7"/>
  <c r="H1679" i="7"/>
  <c r="G1679" i="7"/>
  <c r="K1678" i="7"/>
  <c r="J1678" i="7"/>
  <c r="I1678" i="7"/>
  <c r="H1678" i="7"/>
  <c r="G1678" i="7"/>
  <c r="K1677" i="7"/>
  <c r="J1677" i="7"/>
  <c r="I1677" i="7"/>
  <c r="H1677" i="7"/>
  <c r="G1677" i="7"/>
  <c r="K1676" i="7"/>
  <c r="J1676" i="7"/>
  <c r="I1676" i="7"/>
  <c r="H1676" i="7"/>
  <c r="G1676" i="7"/>
  <c r="K1675" i="7"/>
  <c r="J1675" i="7"/>
  <c r="I1675" i="7"/>
  <c r="H1675" i="7"/>
  <c r="G1675" i="7"/>
  <c r="K1674" i="7"/>
  <c r="J1674" i="7"/>
  <c r="I1674" i="7"/>
  <c r="H1674" i="7"/>
  <c r="G1674" i="7"/>
  <c r="K1673" i="7"/>
  <c r="J1673" i="7"/>
  <c r="I1673" i="7"/>
  <c r="H1673" i="7"/>
  <c r="G1673" i="7"/>
  <c r="K1672" i="7"/>
  <c r="J1672" i="7"/>
  <c r="I1672" i="7"/>
  <c r="H1672" i="7"/>
  <c r="G1672" i="7"/>
  <c r="K1671" i="7"/>
  <c r="J1671" i="7"/>
  <c r="I1671" i="7"/>
  <c r="H1671" i="7"/>
  <c r="G1671" i="7"/>
  <c r="K1670" i="7"/>
  <c r="J1670" i="7"/>
  <c r="I1670" i="7"/>
  <c r="H1670" i="7"/>
  <c r="G1670" i="7"/>
  <c r="K1669" i="7"/>
  <c r="J1669" i="7"/>
  <c r="I1669" i="7"/>
  <c r="H1669" i="7"/>
  <c r="G1669" i="7"/>
  <c r="K1668" i="7"/>
  <c r="J1668" i="7"/>
  <c r="I1668" i="7"/>
  <c r="H1668" i="7"/>
  <c r="G1668" i="7"/>
  <c r="K1667" i="7"/>
  <c r="J1667" i="7"/>
  <c r="I1667" i="7"/>
  <c r="H1667" i="7"/>
  <c r="G1667" i="7"/>
  <c r="K1666" i="7"/>
  <c r="J1666" i="7"/>
  <c r="I1666" i="7"/>
  <c r="H1666" i="7"/>
  <c r="G1666" i="7"/>
  <c r="K1665" i="7"/>
  <c r="J1665" i="7"/>
  <c r="I1665" i="7"/>
  <c r="H1665" i="7"/>
  <c r="G1665" i="7"/>
  <c r="K1664" i="7"/>
  <c r="J1664" i="7"/>
  <c r="I1664" i="7"/>
  <c r="H1664" i="7"/>
  <c r="G1664" i="7"/>
  <c r="K1663" i="7"/>
  <c r="J1663" i="7"/>
  <c r="I1663" i="7"/>
  <c r="H1663" i="7"/>
  <c r="G1663" i="7"/>
  <c r="K1662" i="7"/>
  <c r="J1662" i="7"/>
  <c r="I1662" i="7"/>
  <c r="H1662" i="7"/>
  <c r="G1662" i="7"/>
  <c r="K1661" i="7"/>
  <c r="J1661" i="7"/>
  <c r="I1661" i="7"/>
  <c r="H1661" i="7"/>
  <c r="G1661" i="7"/>
  <c r="K1660" i="7"/>
  <c r="J1660" i="7"/>
  <c r="I1660" i="7"/>
  <c r="H1660" i="7"/>
  <c r="G1660" i="7"/>
  <c r="K1659" i="7"/>
  <c r="J1659" i="7"/>
  <c r="I1659" i="7"/>
  <c r="H1659" i="7"/>
  <c r="G1659" i="7"/>
  <c r="K1658" i="7"/>
  <c r="J1658" i="7"/>
  <c r="I1658" i="7"/>
  <c r="H1658" i="7"/>
  <c r="G1658" i="7"/>
  <c r="K1657" i="7"/>
  <c r="J1657" i="7"/>
  <c r="I1657" i="7"/>
  <c r="H1657" i="7"/>
  <c r="G1657" i="7"/>
  <c r="K1656" i="7"/>
  <c r="J1656" i="7"/>
  <c r="I1656" i="7"/>
  <c r="H1656" i="7"/>
  <c r="G1656" i="7"/>
  <c r="K1655" i="7"/>
  <c r="J1655" i="7"/>
  <c r="I1655" i="7"/>
  <c r="H1655" i="7"/>
  <c r="G1655" i="7"/>
  <c r="K1654" i="7"/>
  <c r="J1654" i="7"/>
  <c r="I1654" i="7"/>
  <c r="H1654" i="7"/>
  <c r="G1654" i="7"/>
  <c r="K1653" i="7"/>
  <c r="J1653" i="7"/>
  <c r="I1653" i="7"/>
  <c r="H1653" i="7"/>
  <c r="G1653" i="7"/>
  <c r="K1652" i="7"/>
  <c r="J1652" i="7"/>
  <c r="I1652" i="7"/>
  <c r="H1652" i="7"/>
  <c r="G1652" i="7"/>
  <c r="K1651" i="7"/>
  <c r="J1651" i="7"/>
  <c r="I1651" i="7"/>
  <c r="H1651" i="7"/>
  <c r="G1651" i="7"/>
  <c r="K1650" i="7"/>
  <c r="J1650" i="7"/>
  <c r="I1650" i="7"/>
  <c r="H1650" i="7"/>
  <c r="G1650" i="7"/>
  <c r="K1649" i="7"/>
  <c r="J1649" i="7"/>
  <c r="I1649" i="7"/>
  <c r="H1649" i="7"/>
  <c r="G1649" i="7"/>
  <c r="K1648" i="7"/>
  <c r="J1648" i="7"/>
  <c r="I1648" i="7"/>
  <c r="H1648" i="7"/>
  <c r="G1648" i="7"/>
  <c r="K1647" i="7"/>
  <c r="J1647" i="7"/>
  <c r="I1647" i="7"/>
  <c r="H1647" i="7"/>
  <c r="G1647" i="7"/>
  <c r="K1646" i="7"/>
  <c r="J1646" i="7"/>
  <c r="I1646" i="7"/>
  <c r="H1646" i="7"/>
  <c r="G1646" i="7"/>
  <c r="K1645" i="7"/>
  <c r="J1645" i="7"/>
  <c r="I1645" i="7"/>
  <c r="H1645" i="7"/>
  <c r="G1645" i="7"/>
  <c r="K1644" i="7"/>
  <c r="J1644" i="7"/>
  <c r="I1644" i="7"/>
  <c r="H1644" i="7"/>
  <c r="G1644" i="7"/>
  <c r="K1643" i="7"/>
  <c r="J1643" i="7"/>
  <c r="I1643" i="7"/>
  <c r="H1643" i="7"/>
  <c r="G1643" i="7"/>
  <c r="K1642" i="7"/>
  <c r="J1642" i="7"/>
  <c r="I1642" i="7"/>
  <c r="H1642" i="7"/>
  <c r="G1642" i="7"/>
  <c r="K1641" i="7"/>
  <c r="J1641" i="7"/>
  <c r="I1641" i="7"/>
  <c r="H1641" i="7"/>
  <c r="G1641" i="7"/>
  <c r="K1640" i="7"/>
  <c r="J1640" i="7"/>
  <c r="I1640" i="7"/>
  <c r="H1640" i="7"/>
  <c r="G1640" i="7"/>
  <c r="K1639" i="7"/>
  <c r="J1639" i="7"/>
  <c r="I1639" i="7"/>
  <c r="H1639" i="7"/>
  <c r="G1639" i="7"/>
  <c r="K1638" i="7"/>
  <c r="J1638" i="7"/>
  <c r="I1638" i="7"/>
  <c r="H1638" i="7"/>
  <c r="G1638" i="7"/>
  <c r="K1637" i="7"/>
  <c r="J1637" i="7"/>
  <c r="I1637" i="7"/>
  <c r="H1637" i="7"/>
  <c r="G1637" i="7"/>
  <c r="K1636" i="7"/>
  <c r="J1636" i="7"/>
  <c r="I1636" i="7"/>
  <c r="H1636" i="7"/>
  <c r="G1636" i="7"/>
  <c r="K1635" i="7"/>
  <c r="J1635" i="7"/>
  <c r="I1635" i="7"/>
  <c r="H1635" i="7"/>
  <c r="G1635" i="7"/>
  <c r="K1634" i="7"/>
  <c r="J1634" i="7"/>
  <c r="I1634" i="7"/>
  <c r="H1634" i="7"/>
  <c r="G1634" i="7"/>
  <c r="K1633" i="7"/>
  <c r="J1633" i="7"/>
  <c r="I1633" i="7"/>
  <c r="H1633" i="7"/>
  <c r="G1633" i="7"/>
  <c r="K1632" i="7"/>
  <c r="J1632" i="7"/>
  <c r="I1632" i="7"/>
  <c r="H1632" i="7"/>
  <c r="G1632" i="7"/>
  <c r="K1631" i="7"/>
  <c r="J1631" i="7"/>
  <c r="I1631" i="7"/>
  <c r="H1631" i="7"/>
  <c r="G1631" i="7"/>
  <c r="K1630" i="7"/>
  <c r="J1630" i="7"/>
  <c r="I1630" i="7"/>
  <c r="H1630" i="7"/>
  <c r="G1630" i="7"/>
  <c r="K1629" i="7"/>
  <c r="J1629" i="7"/>
  <c r="I1629" i="7"/>
  <c r="H1629" i="7"/>
  <c r="G1629" i="7"/>
  <c r="K1628" i="7"/>
  <c r="J1628" i="7"/>
  <c r="I1628" i="7"/>
  <c r="H1628" i="7"/>
  <c r="G1628" i="7"/>
  <c r="K1627" i="7"/>
  <c r="J1627" i="7"/>
  <c r="I1627" i="7"/>
  <c r="H1627" i="7"/>
  <c r="G1627" i="7"/>
  <c r="K1626" i="7"/>
  <c r="J1626" i="7"/>
  <c r="I1626" i="7"/>
  <c r="H1626" i="7"/>
  <c r="G1626" i="7"/>
  <c r="K1625" i="7"/>
  <c r="J1625" i="7"/>
  <c r="I1625" i="7"/>
  <c r="H1625" i="7"/>
  <c r="G1625" i="7"/>
  <c r="K1624" i="7"/>
  <c r="J1624" i="7"/>
  <c r="I1624" i="7"/>
  <c r="H1624" i="7"/>
  <c r="G1624" i="7"/>
  <c r="K1623" i="7"/>
  <c r="J1623" i="7"/>
  <c r="I1623" i="7"/>
  <c r="H1623" i="7"/>
  <c r="G1623" i="7"/>
  <c r="K1622" i="7"/>
  <c r="J1622" i="7"/>
  <c r="I1622" i="7"/>
  <c r="H1622" i="7"/>
  <c r="G1622" i="7"/>
  <c r="K1621" i="7"/>
  <c r="J1621" i="7"/>
  <c r="I1621" i="7"/>
  <c r="H1621" i="7"/>
  <c r="G1621" i="7"/>
  <c r="K1620" i="7"/>
  <c r="J1620" i="7"/>
  <c r="I1620" i="7"/>
  <c r="H1620" i="7"/>
  <c r="G1620" i="7"/>
  <c r="K1619" i="7"/>
  <c r="J1619" i="7"/>
  <c r="I1619" i="7"/>
  <c r="H1619" i="7"/>
  <c r="G1619" i="7"/>
  <c r="K1618" i="7"/>
  <c r="J1618" i="7"/>
  <c r="I1618" i="7"/>
  <c r="H1618" i="7"/>
  <c r="G1618" i="7"/>
  <c r="K1617" i="7"/>
  <c r="J1617" i="7"/>
  <c r="I1617" i="7"/>
  <c r="H1617" i="7"/>
  <c r="G1617" i="7"/>
  <c r="K1616" i="7"/>
  <c r="J1616" i="7"/>
  <c r="I1616" i="7"/>
  <c r="H1616" i="7"/>
  <c r="G1616" i="7"/>
  <c r="K1615" i="7"/>
  <c r="J1615" i="7"/>
  <c r="I1615" i="7"/>
  <c r="H1615" i="7"/>
  <c r="G1615" i="7"/>
  <c r="K1614" i="7"/>
  <c r="J1614" i="7"/>
  <c r="I1614" i="7"/>
  <c r="H1614" i="7"/>
  <c r="G1614" i="7"/>
  <c r="K1613" i="7"/>
  <c r="J1613" i="7"/>
  <c r="I1613" i="7"/>
  <c r="H1613" i="7"/>
  <c r="G1613" i="7"/>
  <c r="K1612" i="7"/>
  <c r="J1612" i="7"/>
  <c r="I1612" i="7"/>
  <c r="H1612" i="7"/>
  <c r="G1612" i="7"/>
  <c r="K1611" i="7"/>
  <c r="J1611" i="7"/>
  <c r="I1611" i="7"/>
  <c r="H1611" i="7"/>
  <c r="G1611" i="7"/>
  <c r="K1610" i="7"/>
  <c r="J1610" i="7"/>
  <c r="I1610" i="7"/>
  <c r="H1610" i="7"/>
  <c r="G1610" i="7"/>
  <c r="K1609" i="7"/>
  <c r="J1609" i="7"/>
  <c r="I1609" i="7"/>
  <c r="H1609" i="7"/>
  <c r="G1609" i="7"/>
  <c r="K1608" i="7"/>
  <c r="J1608" i="7"/>
  <c r="I1608" i="7"/>
  <c r="H1608" i="7"/>
  <c r="G1608" i="7"/>
  <c r="K1607" i="7"/>
  <c r="J1607" i="7"/>
  <c r="I1607" i="7"/>
  <c r="H1607" i="7"/>
  <c r="G1607" i="7"/>
  <c r="K1606" i="7"/>
  <c r="J1606" i="7"/>
  <c r="I1606" i="7"/>
  <c r="H1606" i="7"/>
  <c r="G1606" i="7"/>
  <c r="K1605" i="7"/>
  <c r="J1605" i="7"/>
  <c r="I1605" i="7"/>
  <c r="H1605" i="7"/>
  <c r="G1605" i="7"/>
  <c r="K1604" i="7"/>
  <c r="J1604" i="7"/>
  <c r="I1604" i="7"/>
  <c r="H1604" i="7"/>
  <c r="G1604" i="7"/>
  <c r="K1603" i="7"/>
  <c r="J1603" i="7"/>
  <c r="I1603" i="7"/>
  <c r="H1603" i="7"/>
  <c r="G1603" i="7"/>
  <c r="K1602" i="7"/>
  <c r="J1602" i="7"/>
  <c r="I1602" i="7"/>
  <c r="H1602" i="7"/>
  <c r="G1602" i="7"/>
  <c r="K1601" i="7"/>
  <c r="J1601" i="7"/>
  <c r="I1601" i="7"/>
  <c r="H1601" i="7"/>
  <c r="G1601" i="7"/>
  <c r="K1600" i="7"/>
  <c r="J1600" i="7"/>
  <c r="I1600" i="7"/>
  <c r="H1600" i="7"/>
  <c r="G1600" i="7"/>
  <c r="K1599" i="7"/>
  <c r="J1599" i="7"/>
  <c r="I1599" i="7"/>
  <c r="H1599" i="7"/>
  <c r="G1599" i="7"/>
  <c r="K1598" i="7"/>
  <c r="J1598" i="7"/>
  <c r="I1598" i="7"/>
  <c r="H1598" i="7"/>
  <c r="G1598" i="7"/>
  <c r="K1597" i="7"/>
  <c r="J1597" i="7"/>
  <c r="I1597" i="7"/>
  <c r="H1597" i="7"/>
  <c r="G1597" i="7"/>
  <c r="K1596" i="7"/>
  <c r="J1596" i="7"/>
  <c r="I1596" i="7"/>
  <c r="H1596" i="7"/>
  <c r="G1596" i="7"/>
  <c r="K1595" i="7"/>
  <c r="J1595" i="7"/>
  <c r="I1595" i="7"/>
  <c r="H1595" i="7"/>
  <c r="G1595" i="7"/>
  <c r="K1594" i="7"/>
  <c r="J1594" i="7"/>
  <c r="I1594" i="7"/>
  <c r="H1594" i="7"/>
  <c r="G1594" i="7"/>
  <c r="K1593" i="7"/>
  <c r="J1593" i="7"/>
  <c r="I1593" i="7"/>
  <c r="H1593" i="7"/>
  <c r="G1593" i="7"/>
  <c r="K1592" i="7"/>
  <c r="J1592" i="7"/>
  <c r="I1592" i="7"/>
  <c r="H1592" i="7"/>
  <c r="G1592" i="7"/>
  <c r="K1591" i="7"/>
  <c r="J1591" i="7"/>
  <c r="I1591" i="7"/>
  <c r="H1591" i="7"/>
  <c r="G1591" i="7"/>
  <c r="K1590" i="7"/>
  <c r="J1590" i="7"/>
  <c r="I1590" i="7"/>
  <c r="H1590" i="7"/>
  <c r="G1590" i="7"/>
  <c r="K1589" i="7"/>
  <c r="J1589" i="7"/>
  <c r="I1589" i="7"/>
  <c r="H1589" i="7"/>
  <c r="G1589" i="7"/>
  <c r="K1588" i="7"/>
  <c r="J1588" i="7"/>
  <c r="I1588" i="7"/>
  <c r="H1588" i="7"/>
  <c r="G1588" i="7"/>
  <c r="K1587" i="7"/>
  <c r="J1587" i="7"/>
  <c r="I1587" i="7"/>
  <c r="H1587" i="7"/>
  <c r="G1587" i="7"/>
  <c r="K1586" i="7"/>
  <c r="J1586" i="7"/>
  <c r="I1586" i="7"/>
  <c r="H1586" i="7"/>
  <c r="G1586" i="7"/>
  <c r="K1585" i="7"/>
  <c r="J1585" i="7"/>
  <c r="I1585" i="7"/>
  <c r="H1585" i="7"/>
  <c r="G1585" i="7"/>
  <c r="K1584" i="7"/>
  <c r="J1584" i="7"/>
  <c r="I1584" i="7"/>
  <c r="H1584" i="7"/>
  <c r="G1584" i="7"/>
  <c r="K1583" i="7"/>
  <c r="J1583" i="7"/>
  <c r="I1583" i="7"/>
  <c r="H1583" i="7"/>
  <c r="G1583" i="7"/>
  <c r="K1582" i="7"/>
  <c r="J1582" i="7"/>
  <c r="I1582" i="7"/>
  <c r="H1582" i="7"/>
  <c r="G1582" i="7"/>
  <c r="K1581" i="7"/>
  <c r="J1581" i="7"/>
  <c r="I1581" i="7"/>
  <c r="H1581" i="7"/>
  <c r="G1581" i="7"/>
  <c r="K1580" i="7"/>
  <c r="J1580" i="7"/>
  <c r="I1580" i="7"/>
  <c r="H1580" i="7"/>
  <c r="G1580" i="7"/>
  <c r="K1579" i="7"/>
  <c r="J1579" i="7"/>
  <c r="I1579" i="7"/>
  <c r="H1579" i="7"/>
  <c r="G1579" i="7"/>
  <c r="K1578" i="7"/>
  <c r="J1578" i="7"/>
  <c r="I1578" i="7"/>
  <c r="H1578" i="7"/>
  <c r="G1578" i="7"/>
  <c r="K1577" i="7"/>
  <c r="J1577" i="7"/>
  <c r="I1577" i="7"/>
  <c r="H1577" i="7"/>
  <c r="G1577" i="7"/>
  <c r="K1576" i="7"/>
  <c r="J1576" i="7"/>
  <c r="I1576" i="7"/>
  <c r="H1576" i="7"/>
  <c r="G1576" i="7"/>
  <c r="K1575" i="7"/>
  <c r="J1575" i="7"/>
  <c r="I1575" i="7"/>
  <c r="H1575" i="7"/>
  <c r="G1575" i="7"/>
  <c r="K1574" i="7"/>
  <c r="J1574" i="7"/>
  <c r="I1574" i="7"/>
  <c r="H1574" i="7"/>
  <c r="G1574" i="7"/>
  <c r="K1573" i="7"/>
  <c r="J1573" i="7"/>
  <c r="I1573" i="7"/>
  <c r="H1573" i="7"/>
  <c r="G1573" i="7"/>
  <c r="K1572" i="7"/>
  <c r="J1572" i="7"/>
  <c r="I1572" i="7"/>
  <c r="H1572" i="7"/>
  <c r="G1572" i="7"/>
  <c r="K1571" i="7"/>
  <c r="J1571" i="7"/>
  <c r="I1571" i="7"/>
  <c r="H1571" i="7"/>
  <c r="G1571" i="7"/>
  <c r="K1570" i="7"/>
  <c r="J1570" i="7"/>
  <c r="I1570" i="7"/>
  <c r="H1570" i="7"/>
  <c r="G1570" i="7"/>
  <c r="K1569" i="7"/>
  <c r="J1569" i="7"/>
  <c r="I1569" i="7"/>
  <c r="H1569" i="7"/>
  <c r="G1569" i="7"/>
  <c r="K1568" i="7"/>
  <c r="J1568" i="7"/>
  <c r="I1568" i="7"/>
  <c r="H1568" i="7"/>
  <c r="G1568" i="7"/>
  <c r="K1567" i="7"/>
  <c r="J1567" i="7"/>
  <c r="I1567" i="7"/>
  <c r="H1567" i="7"/>
  <c r="G1567" i="7"/>
  <c r="K1566" i="7"/>
  <c r="J1566" i="7"/>
  <c r="I1566" i="7"/>
  <c r="H1566" i="7"/>
  <c r="G1566" i="7"/>
  <c r="K1565" i="7"/>
  <c r="J1565" i="7"/>
  <c r="I1565" i="7"/>
  <c r="H1565" i="7"/>
  <c r="G1565" i="7"/>
  <c r="K1564" i="7"/>
  <c r="J1564" i="7"/>
  <c r="I1564" i="7"/>
  <c r="H1564" i="7"/>
  <c r="G1564" i="7"/>
  <c r="K1563" i="7"/>
  <c r="J1563" i="7"/>
  <c r="I1563" i="7"/>
  <c r="H1563" i="7"/>
  <c r="G1563" i="7"/>
  <c r="K1562" i="7"/>
  <c r="J1562" i="7"/>
  <c r="I1562" i="7"/>
  <c r="H1562" i="7"/>
  <c r="G1562" i="7"/>
  <c r="K1561" i="7"/>
  <c r="J1561" i="7"/>
  <c r="I1561" i="7"/>
  <c r="H1561" i="7"/>
  <c r="G1561" i="7"/>
  <c r="K1560" i="7"/>
  <c r="J1560" i="7"/>
  <c r="I1560" i="7"/>
  <c r="H1560" i="7"/>
  <c r="G1560" i="7"/>
  <c r="K1559" i="7"/>
  <c r="J1559" i="7"/>
  <c r="I1559" i="7"/>
  <c r="H1559" i="7"/>
  <c r="G1559" i="7"/>
  <c r="K1558" i="7"/>
  <c r="J1558" i="7"/>
  <c r="I1558" i="7"/>
  <c r="H1558" i="7"/>
  <c r="G1558" i="7"/>
  <c r="K1557" i="7"/>
  <c r="J1557" i="7"/>
  <c r="I1557" i="7"/>
  <c r="H1557" i="7"/>
  <c r="G1557" i="7"/>
  <c r="K1556" i="7"/>
  <c r="J1556" i="7"/>
  <c r="I1556" i="7"/>
  <c r="H1556" i="7"/>
  <c r="G1556" i="7"/>
  <c r="K1555" i="7"/>
  <c r="J1555" i="7"/>
  <c r="I1555" i="7"/>
  <c r="H1555" i="7"/>
  <c r="G1555" i="7"/>
  <c r="K1554" i="7"/>
  <c r="J1554" i="7"/>
  <c r="I1554" i="7"/>
  <c r="H1554" i="7"/>
  <c r="G1554" i="7"/>
  <c r="K1553" i="7"/>
  <c r="J1553" i="7"/>
  <c r="I1553" i="7"/>
  <c r="H1553" i="7"/>
  <c r="G1553" i="7"/>
  <c r="K1552" i="7"/>
  <c r="J1552" i="7"/>
  <c r="I1552" i="7"/>
  <c r="H1552" i="7"/>
  <c r="G1552" i="7"/>
  <c r="K1551" i="7"/>
  <c r="J1551" i="7"/>
  <c r="I1551" i="7"/>
  <c r="H1551" i="7"/>
  <c r="G1551" i="7"/>
  <c r="K1550" i="7"/>
  <c r="J1550" i="7"/>
  <c r="I1550" i="7"/>
  <c r="H1550" i="7"/>
  <c r="G1550" i="7"/>
  <c r="K1549" i="7"/>
  <c r="J1549" i="7"/>
  <c r="I1549" i="7"/>
  <c r="H1549" i="7"/>
  <c r="G1549" i="7"/>
  <c r="K1548" i="7"/>
  <c r="J1548" i="7"/>
  <c r="I1548" i="7"/>
  <c r="H1548" i="7"/>
  <c r="G1548" i="7"/>
  <c r="K1547" i="7"/>
  <c r="J1547" i="7"/>
  <c r="I1547" i="7"/>
  <c r="H1547" i="7"/>
  <c r="G1547" i="7"/>
  <c r="K1546" i="7"/>
  <c r="J1546" i="7"/>
  <c r="I1546" i="7"/>
  <c r="H1546" i="7"/>
  <c r="G1546" i="7"/>
  <c r="K1545" i="7"/>
  <c r="J1545" i="7"/>
  <c r="I1545" i="7"/>
  <c r="H1545" i="7"/>
  <c r="G1545" i="7"/>
  <c r="K1544" i="7"/>
  <c r="J1544" i="7"/>
  <c r="I1544" i="7"/>
  <c r="H1544" i="7"/>
  <c r="G1544" i="7"/>
  <c r="K1543" i="7"/>
  <c r="J1543" i="7"/>
  <c r="I1543" i="7"/>
  <c r="H1543" i="7"/>
  <c r="G1543" i="7"/>
  <c r="K1542" i="7"/>
  <c r="J1542" i="7"/>
  <c r="I1542" i="7"/>
  <c r="H1542" i="7"/>
  <c r="G1542" i="7"/>
  <c r="K1541" i="7"/>
  <c r="J1541" i="7"/>
  <c r="I1541" i="7"/>
  <c r="H1541" i="7"/>
  <c r="G1541" i="7"/>
  <c r="K1540" i="7"/>
  <c r="J1540" i="7"/>
  <c r="I1540" i="7"/>
  <c r="H1540" i="7"/>
  <c r="G1540" i="7"/>
  <c r="K1539" i="7"/>
  <c r="J1539" i="7"/>
  <c r="I1539" i="7"/>
  <c r="H1539" i="7"/>
  <c r="G1539" i="7"/>
  <c r="K1538" i="7"/>
  <c r="J1538" i="7"/>
  <c r="I1538" i="7"/>
  <c r="H1538" i="7"/>
  <c r="G1538" i="7"/>
  <c r="K1537" i="7"/>
  <c r="J1537" i="7"/>
  <c r="I1537" i="7"/>
  <c r="H1537" i="7"/>
  <c r="G1537" i="7"/>
  <c r="K1536" i="7"/>
  <c r="J1536" i="7"/>
  <c r="I1536" i="7"/>
  <c r="H1536" i="7"/>
  <c r="G1536" i="7"/>
  <c r="K1535" i="7"/>
  <c r="J1535" i="7"/>
  <c r="I1535" i="7"/>
  <c r="H1535" i="7"/>
  <c r="G1535" i="7"/>
  <c r="K1534" i="7"/>
  <c r="J1534" i="7"/>
  <c r="I1534" i="7"/>
  <c r="H1534" i="7"/>
  <c r="G1534" i="7"/>
  <c r="K1533" i="7"/>
  <c r="J1533" i="7"/>
  <c r="I1533" i="7"/>
  <c r="H1533" i="7"/>
  <c r="G1533" i="7"/>
  <c r="K1532" i="7"/>
  <c r="J1532" i="7"/>
  <c r="I1532" i="7"/>
  <c r="H1532" i="7"/>
  <c r="G1532" i="7"/>
  <c r="K1531" i="7"/>
  <c r="J1531" i="7"/>
  <c r="I1531" i="7"/>
  <c r="H1531" i="7"/>
  <c r="G1531" i="7"/>
  <c r="K1530" i="7"/>
  <c r="J1530" i="7"/>
  <c r="I1530" i="7"/>
  <c r="H1530" i="7"/>
  <c r="G1530" i="7"/>
  <c r="K1529" i="7"/>
  <c r="J1529" i="7"/>
  <c r="I1529" i="7"/>
  <c r="H1529" i="7"/>
  <c r="G1529" i="7"/>
  <c r="K1528" i="7"/>
  <c r="J1528" i="7"/>
  <c r="I1528" i="7"/>
  <c r="H1528" i="7"/>
  <c r="G1528" i="7"/>
  <c r="K1527" i="7"/>
  <c r="J1527" i="7"/>
  <c r="I1527" i="7"/>
  <c r="H1527" i="7"/>
  <c r="G1527" i="7"/>
  <c r="K1526" i="7"/>
  <c r="J1526" i="7"/>
  <c r="I1526" i="7"/>
  <c r="H1526" i="7"/>
  <c r="G1526" i="7"/>
  <c r="K1525" i="7"/>
  <c r="J1525" i="7"/>
  <c r="I1525" i="7"/>
  <c r="H1525" i="7"/>
  <c r="G1525" i="7"/>
  <c r="K1524" i="7"/>
  <c r="J1524" i="7"/>
  <c r="I1524" i="7"/>
  <c r="H1524" i="7"/>
  <c r="G1524" i="7"/>
  <c r="K1523" i="7"/>
  <c r="J1523" i="7"/>
  <c r="I1523" i="7"/>
  <c r="H1523" i="7"/>
  <c r="G1523" i="7"/>
  <c r="K1522" i="7"/>
  <c r="J1522" i="7"/>
  <c r="I1522" i="7"/>
  <c r="H1522" i="7"/>
  <c r="G1522" i="7"/>
  <c r="K1521" i="7"/>
  <c r="J1521" i="7"/>
  <c r="I1521" i="7"/>
  <c r="H1521" i="7"/>
  <c r="G1521" i="7"/>
  <c r="K1520" i="7"/>
  <c r="J1520" i="7"/>
  <c r="I1520" i="7"/>
  <c r="H1520" i="7"/>
  <c r="G1520" i="7"/>
  <c r="K1519" i="7"/>
  <c r="J1519" i="7"/>
  <c r="I1519" i="7"/>
  <c r="H1519" i="7"/>
  <c r="G1519" i="7"/>
  <c r="K1518" i="7"/>
  <c r="J1518" i="7"/>
  <c r="I1518" i="7"/>
  <c r="H1518" i="7"/>
  <c r="G1518" i="7"/>
  <c r="K1517" i="7"/>
  <c r="J1517" i="7"/>
  <c r="I1517" i="7"/>
  <c r="H1517" i="7"/>
  <c r="G1517" i="7"/>
  <c r="K1516" i="7"/>
  <c r="J1516" i="7"/>
  <c r="I1516" i="7"/>
  <c r="H1516" i="7"/>
  <c r="G1516" i="7"/>
  <c r="K1515" i="7"/>
  <c r="J1515" i="7"/>
  <c r="I1515" i="7"/>
  <c r="H1515" i="7"/>
  <c r="G1515" i="7"/>
  <c r="K1514" i="7"/>
  <c r="J1514" i="7"/>
  <c r="I1514" i="7"/>
  <c r="H1514" i="7"/>
  <c r="G1514" i="7"/>
  <c r="K1513" i="7"/>
  <c r="J1513" i="7"/>
  <c r="I1513" i="7"/>
  <c r="H1513" i="7"/>
  <c r="G1513" i="7"/>
  <c r="K1512" i="7"/>
  <c r="J1512" i="7"/>
  <c r="I1512" i="7"/>
  <c r="H1512" i="7"/>
  <c r="G1512" i="7"/>
  <c r="K1511" i="7"/>
  <c r="J1511" i="7"/>
  <c r="I1511" i="7"/>
  <c r="H1511" i="7"/>
  <c r="G1511" i="7"/>
  <c r="K1510" i="7"/>
  <c r="J1510" i="7"/>
  <c r="I1510" i="7"/>
  <c r="H1510" i="7"/>
  <c r="G1510" i="7"/>
  <c r="K1509" i="7"/>
  <c r="J1509" i="7"/>
  <c r="I1509" i="7"/>
  <c r="H1509" i="7"/>
  <c r="G1509" i="7"/>
  <c r="K1508" i="7"/>
  <c r="J1508" i="7"/>
  <c r="I1508" i="7"/>
  <c r="H1508" i="7"/>
  <c r="G1508" i="7"/>
  <c r="K1507" i="7"/>
  <c r="J1507" i="7"/>
  <c r="I1507" i="7"/>
  <c r="H1507" i="7"/>
  <c r="G1507" i="7"/>
  <c r="K1506" i="7"/>
  <c r="J1506" i="7"/>
  <c r="I1506" i="7"/>
  <c r="H1506" i="7"/>
  <c r="G1506" i="7"/>
  <c r="K1505" i="7"/>
  <c r="J1505" i="7"/>
  <c r="I1505" i="7"/>
  <c r="H1505" i="7"/>
  <c r="G1505" i="7"/>
  <c r="K1504" i="7"/>
  <c r="J1504" i="7"/>
  <c r="I1504" i="7"/>
  <c r="H1504" i="7"/>
  <c r="G1504" i="7"/>
  <c r="K1503" i="7"/>
  <c r="J1503" i="7"/>
  <c r="I1503" i="7"/>
  <c r="H1503" i="7"/>
  <c r="G1503" i="7"/>
  <c r="K1502" i="7"/>
  <c r="J1502" i="7"/>
  <c r="I1502" i="7"/>
  <c r="H1502" i="7"/>
  <c r="G1502" i="7"/>
  <c r="K1501" i="7"/>
  <c r="J1501" i="7"/>
  <c r="I1501" i="7"/>
  <c r="H1501" i="7"/>
  <c r="G1501" i="7"/>
  <c r="K1500" i="7"/>
  <c r="J1500" i="7"/>
  <c r="I1500" i="7"/>
  <c r="H1500" i="7"/>
  <c r="G1500" i="7"/>
  <c r="K1499" i="7"/>
  <c r="J1499" i="7"/>
  <c r="I1499" i="7"/>
  <c r="H1499" i="7"/>
  <c r="G1499" i="7"/>
  <c r="K1498" i="7"/>
  <c r="J1498" i="7"/>
  <c r="I1498" i="7"/>
  <c r="H1498" i="7"/>
  <c r="G1498" i="7"/>
  <c r="K1497" i="7"/>
  <c r="J1497" i="7"/>
  <c r="I1497" i="7"/>
  <c r="H1497" i="7"/>
  <c r="G1497" i="7"/>
  <c r="K1496" i="7"/>
  <c r="J1496" i="7"/>
  <c r="I1496" i="7"/>
  <c r="H1496" i="7"/>
  <c r="G1496" i="7"/>
  <c r="K1495" i="7"/>
  <c r="J1495" i="7"/>
  <c r="I1495" i="7"/>
  <c r="H1495" i="7"/>
  <c r="G1495" i="7"/>
  <c r="K1494" i="7"/>
  <c r="J1494" i="7"/>
  <c r="I1494" i="7"/>
  <c r="H1494" i="7"/>
  <c r="G1494" i="7"/>
  <c r="K1493" i="7"/>
  <c r="J1493" i="7"/>
  <c r="I1493" i="7"/>
  <c r="H1493" i="7"/>
  <c r="G1493" i="7"/>
  <c r="K1492" i="7"/>
  <c r="J1492" i="7"/>
  <c r="I1492" i="7"/>
  <c r="H1492" i="7"/>
  <c r="G1492" i="7"/>
  <c r="K1491" i="7"/>
  <c r="J1491" i="7"/>
  <c r="I1491" i="7"/>
  <c r="H1491" i="7"/>
  <c r="G1491" i="7"/>
  <c r="K1490" i="7"/>
  <c r="J1490" i="7"/>
  <c r="I1490" i="7"/>
  <c r="H1490" i="7"/>
  <c r="G1490" i="7"/>
  <c r="K1489" i="7"/>
  <c r="J1489" i="7"/>
  <c r="I1489" i="7"/>
  <c r="H1489" i="7"/>
  <c r="G1489" i="7"/>
  <c r="K1488" i="7"/>
  <c r="J1488" i="7"/>
  <c r="I1488" i="7"/>
  <c r="H1488" i="7"/>
  <c r="G1488" i="7"/>
  <c r="K1487" i="7"/>
  <c r="J1487" i="7"/>
  <c r="I1487" i="7"/>
  <c r="H1487" i="7"/>
  <c r="G1487" i="7"/>
  <c r="K1486" i="7"/>
  <c r="J1486" i="7"/>
  <c r="I1486" i="7"/>
  <c r="H1486" i="7"/>
  <c r="G1486" i="7"/>
  <c r="K1485" i="7"/>
  <c r="J1485" i="7"/>
  <c r="I1485" i="7"/>
  <c r="H1485" i="7"/>
  <c r="G1485" i="7"/>
  <c r="K1484" i="7"/>
  <c r="J1484" i="7"/>
  <c r="I1484" i="7"/>
  <c r="H1484" i="7"/>
  <c r="G1484" i="7"/>
  <c r="K1483" i="7"/>
  <c r="J1483" i="7"/>
  <c r="I1483" i="7"/>
  <c r="H1483" i="7"/>
  <c r="G1483" i="7"/>
  <c r="K1482" i="7"/>
  <c r="J1482" i="7"/>
  <c r="I1482" i="7"/>
  <c r="H1482" i="7"/>
  <c r="G1482" i="7"/>
  <c r="K1481" i="7"/>
  <c r="J1481" i="7"/>
  <c r="I1481" i="7"/>
  <c r="H1481" i="7"/>
  <c r="G1481" i="7"/>
  <c r="K1480" i="7"/>
  <c r="J1480" i="7"/>
  <c r="I1480" i="7"/>
  <c r="H1480" i="7"/>
  <c r="G1480" i="7"/>
  <c r="K1479" i="7"/>
  <c r="J1479" i="7"/>
  <c r="I1479" i="7"/>
  <c r="H1479" i="7"/>
  <c r="G1479" i="7"/>
  <c r="K1478" i="7"/>
  <c r="J1478" i="7"/>
  <c r="I1478" i="7"/>
  <c r="H1478" i="7"/>
  <c r="G1478" i="7"/>
  <c r="K1477" i="7"/>
  <c r="J1477" i="7"/>
  <c r="I1477" i="7"/>
  <c r="H1477" i="7"/>
  <c r="G1477" i="7"/>
  <c r="K1476" i="7"/>
  <c r="J1476" i="7"/>
  <c r="I1476" i="7"/>
  <c r="H1476" i="7"/>
  <c r="G1476" i="7"/>
  <c r="K1475" i="7"/>
  <c r="J1475" i="7"/>
  <c r="I1475" i="7"/>
  <c r="H1475" i="7"/>
  <c r="G1475" i="7"/>
  <c r="K1474" i="7"/>
  <c r="J1474" i="7"/>
  <c r="I1474" i="7"/>
  <c r="H1474" i="7"/>
  <c r="G1474" i="7"/>
  <c r="K1473" i="7"/>
  <c r="J1473" i="7"/>
  <c r="I1473" i="7"/>
  <c r="H1473" i="7"/>
  <c r="G1473" i="7"/>
  <c r="K1472" i="7"/>
  <c r="J1472" i="7"/>
  <c r="I1472" i="7"/>
  <c r="H1472" i="7"/>
  <c r="G1472" i="7"/>
  <c r="K1471" i="7"/>
  <c r="J1471" i="7"/>
  <c r="I1471" i="7"/>
  <c r="H1471" i="7"/>
  <c r="G1471" i="7"/>
  <c r="K1470" i="7"/>
  <c r="J1470" i="7"/>
  <c r="I1470" i="7"/>
  <c r="H1470" i="7"/>
  <c r="G1470" i="7"/>
  <c r="K1469" i="7"/>
  <c r="J1469" i="7"/>
  <c r="I1469" i="7"/>
  <c r="H1469" i="7"/>
  <c r="G1469" i="7"/>
  <c r="K1468" i="7"/>
  <c r="J1468" i="7"/>
  <c r="I1468" i="7"/>
  <c r="H1468" i="7"/>
  <c r="G1468" i="7"/>
  <c r="K1467" i="7"/>
  <c r="J1467" i="7"/>
  <c r="I1467" i="7"/>
  <c r="H1467" i="7"/>
  <c r="G1467" i="7"/>
  <c r="K1466" i="7"/>
  <c r="J1466" i="7"/>
  <c r="I1466" i="7"/>
  <c r="H1466" i="7"/>
  <c r="G1466" i="7"/>
  <c r="K1465" i="7"/>
  <c r="J1465" i="7"/>
  <c r="I1465" i="7"/>
  <c r="H1465" i="7"/>
  <c r="G1465" i="7"/>
  <c r="K1464" i="7"/>
  <c r="J1464" i="7"/>
  <c r="I1464" i="7"/>
  <c r="H1464" i="7"/>
  <c r="G1464" i="7"/>
  <c r="K1463" i="7"/>
  <c r="J1463" i="7"/>
  <c r="I1463" i="7"/>
  <c r="H1463" i="7"/>
  <c r="G1463" i="7"/>
  <c r="K1462" i="7"/>
  <c r="J1462" i="7"/>
  <c r="I1462" i="7"/>
  <c r="H1462" i="7"/>
  <c r="G1462" i="7"/>
  <c r="K1461" i="7"/>
  <c r="J1461" i="7"/>
  <c r="I1461" i="7"/>
  <c r="H1461" i="7"/>
  <c r="G1461" i="7"/>
  <c r="K1460" i="7"/>
  <c r="J1460" i="7"/>
  <c r="I1460" i="7"/>
  <c r="H1460" i="7"/>
  <c r="G1460" i="7"/>
  <c r="K1459" i="7"/>
  <c r="J1459" i="7"/>
  <c r="I1459" i="7"/>
  <c r="H1459" i="7"/>
  <c r="G1459" i="7"/>
  <c r="K1458" i="7"/>
  <c r="J1458" i="7"/>
  <c r="I1458" i="7"/>
  <c r="H1458" i="7"/>
  <c r="G1458" i="7"/>
  <c r="K1457" i="7"/>
  <c r="J1457" i="7"/>
  <c r="I1457" i="7"/>
  <c r="H1457" i="7"/>
  <c r="G1457" i="7"/>
  <c r="K1456" i="7"/>
  <c r="J1456" i="7"/>
  <c r="I1456" i="7"/>
  <c r="H1456" i="7"/>
  <c r="G1456" i="7"/>
  <c r="K1455" i="7"/>
  <c r="J1455" i="7"/>
  <c r="I1455" i="7"/>
  <c r="H1455" i="7"/>
  <c r="G1455" i="7"/>
  <c r="K1454" i="7"/>
  <c r="J1454" i="7"/>
  <c r="I1454" i="7"/>
  <c r="H1454" i="7"/>
  <c r="G1454" i="7"/>
  <c r="K1453" i="7"/>
  <c r="J1453" i="7"/>
  <c r="I1453" i="7"/>
  <c r="H1453" i="7"/>
  <c r="G1453" i="7"/>
  <c r="K1452" i="7"/>
  <c r="J1452" i="7"/>
  <c r="I1452" i="7"/>
  <c r="H1452" i="7"/>
  <c r="G1452" i="7"/>
  <c r="K1451" i="7"/>
  <c r="J1451" i="7"/>
  <c r="I1451" i="7"/>
  <c r="H1451" i="7"/>
  <c r="G1451" i="7"/>
  <c r="K1450" i="7"/>
  <c r="J1450" i="7"/>
  <c r="I1450" i="7"/>
  <c r="H1450" i="7"/>
  <c r="G1450" i="7"/>
  <c r="K1449" i="7"/>
  <c r="J1449" i="7"/>
  <c r="I1449" i="7"/>
  <c r="H1449" i="7"/>
  <c r="G1449" i="7"/>
  <c r="K1448" i="7"/>
  <c r="J1448" i="7"/>
  <c r="I1448" i="7"/>
  <c r="H1448" i="7"/>
  <c r="G1448" i="7"/>
  <c r="K1447" i="7"/>
  <c r="J1447" i="7"/>
  <c r="I1447" i="7"/>
  <c r="H1447" i="7"/>
  <c r="G1447" i="7"/>
  <c r="K1446" i="7"/>
  <c r="J1446" i="7"/>
  <c r="I1446" i="7"/>
  <c r="H1446" i="7"/>
  <c r="G1446" i="7"/>
  <c r="K1445" i="7"/>
  <c r="J1445" i="7"/>
  <c r="I1445" i="7"/>
  <c r="H1445" i="7"/>
  <c r="G1445" i="7"/>
  <c r="K1444" i="7"/>
  <c r="J1444" i="7"/>
  <c r="I1444" i="7"/>
  <c r="H1444" i="7"/>
  <c r="G1444" i="7"/>
  <c r="K1443" i="7"/>
  <c r="J1443" i="7"/>
  <c r="I1443" i="7"/>
  <c r="H1443" i="7"/>
  <c r="G1443" i="7"/>
  <c r="K1442" i="7"/>
  <c r="J1442" i="7"/>
  <c r="I1442" i="7"/>
  <c r="H1442" i="7"/>
  <c r="G1442" i="7"/>
  <c r="K1441" i="7"/>
  <c r="J1441" i="7"/>
  <c r="I1441" i="7"/>
  <c r="H1441" i="7"/>
  <c r="G1441" i="7"/>
  <c r="K1440" i="7"/>
  <c r="J1440" i="7"/>
  <c r="I1440" i="7"/>
  <c r="H1440" i="7"/>
  <c r="G1440" i="7"/>
  <c r="K1439" i="7"/>
  <c r="J1439" i="7"/>
  <c r="I1439" i="7"/>
  <c r="H1439" i="7"/>
  <c r="G1439" i="7"/>
  <c r="K1438" i="7"/>
  <c r="J1438" i="7"/>
  <c r="I1438" i="7"/>
  <c r="H1438" i="7"/>
  <c r="G1438" i="7"/>
  <c r="K1437" i="7"/>
  <c r="J1437" i="7"/>
  <c r="I1437" i="7"/>
  <c r="H1437" i="7"/>
  <c r="G1437" i="7"/>
  <c r="K1436" i="7"/>
  <c r="J1436" i="7"/>
  <c r="I1436" i="7"/>
  <c r="H1436" i="7"/>
  <c r="G1436" i="7"/>
  <c r="K1435" i="7"/>
  <c r="J1435" i="7"/>
  <c r="I1435" i="7"/>
  <c r="H1435" i="7"/>
  <c r="G1435" i="7"/>
  <c r="K1434" i="7"/>
  <c r="J1434" i="7"/>
  <c r="I1434" i="7"/>
  <c r="H1434" i="7"/>
  <c r="G1434" i="7"/>
  <c r="K1433" i="7"/>
  <c r="J1433" i="7"/>
  <c r="I1433" i="7"/>
  <c r="H1433" i="7"/>
  <c r="G1433" i="7"/>
  <c r="K1432" i="7"/>
  <c r="J1432" i="7"/>
  <c r="I1432" i="7"/>
  <c r="H1432" i="7"/>
  <c r="G1432" i="7"/>
  <c r="K1431" i="7"/>
  <c r="J1431" i="7"/>
  <c r="I1431" i="7"/>
  <c r="H1431" i="7"/>
  <c r="G1431" i="7"/>
  <c r="K1430" i="7"/>
  <c r="J1430" i="7"/>
  <c r="I1430" i="7"/>
  <c r="H1430" i="7"/>
  <c r="G1430" i="7"/>
  <c r="K1429" i="7"/>
  <c r="J1429" i="7"/>
  <c r="I1429" i="7"/>
  <c r="H1429" i="7"/>
  <c r="G1429" i="7"/>
  <c r="K1428" i="7"/>
  <c r="J1428" i="7"/>
  <c r="I1428" i="7"/>
  <c r="H1428" i="7"/>
  <c r="G1428" i="7"/>
  <c r="K1427" i="7"/>
  <c r="J1427" i="7"/>
  <c r="I1427" i="7"/>
  <c r="H1427" i="7"/>
  <c r="G1427" i="7"/>
  <c r="K1426" i="7"/>
  <c r="J1426" i="7"/>
  <c r="I1426" i="7"/>
  <c r="H1426" i="7"/>
  <c r="G1426" i="7"/>
  <c r="K1425" i="7"/>
  <c r="J1425" i="7"/>
  <c r="I1425" i="7"/>
  <c r="H1425" i="7"/>
  <c r="G1425" i="7"/>
  <c r="K1424" i="7"/>
  <c r="J1424" i="7"/>
  <c r="I1424" i="7"/>
  <c r="H1424" i="7"/>
  <c r="G1424" i="7"/>
  <c r="K1423" i="7"/>
  <c r="J1423" i="7"/>
  <c r="I1423" i="7"/>
  <c r="H1423" i="7"/>
  <c r="G1423" i="7"/>
  <c r="K1422" i="7"/>
  <c r="J1422" i="7"/>
  <c r="I1422" i="7"/>
  <c r="H1422" i="7"/>
  <c r="G1422" i="7"/>
  <c r="K1421" i="7"/>
  <c r="J1421" i="7"/>
  <c r="I1421" i="7"/>
  <c r="H1421" i="7"/>
  <c r="G1421" i="7"/>
  <c r="K1420" i="7"/>
  <c r="J1420" i="7"/>
  <c r="I1420" i="7"/>
  <c r="H1420" i="7"/>
  <c r="G1420" i="7"/>
  <c r="K1419" i="7"/>
  <c r="J1419" i="7"/>
  <c r="I1419" i="7"/>
  <c r="H1419" i="7"/>
  <c r="G1419" i="7"/>
  <c r="K1418" i="7"/>
  <c r="J1418" i="7"/>
  <c r="I1418" i="7"/>
  <c r="H1418" i="7"/>
  <c r="G1418" i="7"/>
  <c r="K1417" i="7"/>
  <c r="J1417" i="7"/>
  <c r="I1417" i="7"/>
  <c r="H1417" i="7"/>
  <c r="G1417" i="7"/>
  <c r="K1416" i="7"/>
  <c r="J1416" i="7"/>
  <c r="I1416" i="7"/>
  <c r="H1416" i="7"/>
  <c r="G1416" i="7"/>
  <c r="K1415" i="7"/>
  <c r="J1415" i="7"/>
  <c r="I1415" i="7"/>
  <c r="H1415" i="7"/>
  <c r="G1415" i="7"/>
  <c r="K1414" i="7"/>
  <c r="J1414" i="7"/>
  <c r="I1414" i="7"/>
  <c r="H1414" i="7"/>
  <c r="G1414" i="7"/>
  <c r="K1413" i="7"/>
  <c r="J1413" i="7"/>
  <c r="I1413" i="7"/>
  <c r="H1413" i="7"/>
  <c r="G1413" i="7"/>
  <c r="K1412" i="7"/>
  <c r="J1412" i="7"/>
  <c r="I1412" i="7"/>
  <c r="H1412" i="7"/>
  <c r="G1412" i="7"/>
  <c r="K1411" i="7"/>
  <c r="J1411" i="7"/>
  <c r="I1411" i="7"/>
  <c r="H1411" i="7"/>
  <c r="G1411" i="7"/>
  <c r="K1410" i="7"/>
  <c r="J1410" i="7"/>
  <c r="I1410" i="7"/>
  <c r="H1410" i="7"/>
  <c r="G1410" i="7"/>
  <c r="K1409" i="7"/>
  <c r="J1409" i="7"/>
  <c r="I1409" i="7"/>
  <c r="H1409" i="7"/>
  <c r="G1409" i="7"/>
  <c r="K1408" i="7"/>
  <c r="J1408" i="7"/>
  <c r="I1408" i="7"/>
  <c r="H1408" i="7"/>
  <c r="G1408" i="7"/>
  <c r="K1407" i="7"/>
  <c r="J1407" i="7"/>
  <c r="I1407" i="7"/>
  <c r="H1407" i="7"/>
  <c r="G1407" i="7"/>
  <c r="K1406" i="7"/>
  <c r="J1406" i="7"/>
  <c r="I1406" i="7"/>
  <c r="H1406" i="7"/>
  <c r="G1406" i="7"/>
  <c r="K1405" i="7"/>
  <c r="J1405" i="7"/>
  <c r="I1405" i="7"/>
  <c r="H1405" i="7"/>
  <c r="G1405" i="7"/>
  <c r="K1404" i="7"/>
  <c r="J1404" i="7"/>
  <c r="I1404" i="7"/>
  <c r="H1404" i="7"/>
  <c r="G1404" i="7"/>
  <c r="K1403" i="7"/>
  <c r="J1403" i="7"/>
  <c r="I1403" i="7"/>
  <c r="H1403" i="7"/>
  <c r="G1403" i="7"/>
  <c r="K1402" i="7"/>
  <c r="J1402" i="7"/>
  <c r="I1402" i="7"/>
  <c r="H1402" i="7"/>
  <c r="G1402" i="7"/>
  <c r="K1401" i="7"/>
  <c r="J1401" i="7"/>
  <c r="I1401" i="7"/>
  <c r="H1401" i="7"/>
  <c r="G1401" i="7"/>
  <c r="K1400" i="7"/>
  <c r="J1400" i="7"/>
  <c r="I1400" i="7"/>
  <c r="H1400" i="7"/>
  <c r="G1400" i="7"/>
  <c r="K1399" i="7"/>
  <c r="J1399" i="7"/>
  <c r="I1399" i="7"/>
  <c r="H1399" i="7"/>
  <c r="G1399" i="7"/>
  <c r="K1398" i="7"/>
  <c r="J1398" i="7"/>
  <c r="I1398" i="7"/>
  <c r="H1398" i="7"/>
  <c r="G1398" i="7"/>
  <c r="K1397" i="7"/>
  <c r="J1397" i="7"/>
  <c r="I1397" i="7"/>
  <c r="H1397" i="7"/>
  <c r="G1397" i="7"/>
  <c r="K1396" i="7"/>
  <c r="J1396" i="7"/>
  <c r="I1396" i="7"/>
  <c r="H1396" i="7"/>
  <c r="G1396" i="7"/>
  <c r="K1395" i="7"/>
  <c r="J1395" i="7"/>
  <c r="I1395" i="7"/>
  <c r="H1395" i="7"/>
  <c r="G1395" i="7"/>
  <c r="K1394" i="7"/>
  <c r="J1394" i="7"/>
  <c r="I1394" i="7"/>
  <c r="H1394" i="7"/>
  <c r="G1394" i="7"/>
  <c r="K1393" i="7"/>
  <c r="J1393" i="7"/>
  <c r="I1393" i="7"/>
  <c r="H1393" i="7"/>
  <c r="G1393" i="7"/>
  <c r="K1392" i="7"/>
  <c r="J1392" i="7"/>
  <c r="I1392" i="7"/>
  <c r="H1392" i="7"/>
  <c r="G1392" i="7"/>
  <c r="K1391" i="7"/>
  <c r="J1391" i="7"/>
  <c r="I1391" i="7"/>
  <c r="H1391" i="7"/>
  <c r="G1391" i="7"/>
  <c r="K1390" i="7"/>
  <c r="J1390" i="7"/>
  <c r="I1390" i="7"/>
  <c r="H1390" i="7"/>
  <c r="G1390" i="7"/>
  <c r="K1389" i="7"/>
  <c r="J1389" i="7"/>
  <c r="I1389" i="7"/>
  <c r="H1389" i="7"/>
  <c r="G1389" i="7"/>
  <c r="K1388" i="7"/>
  <c r="J1388" i="7"/>
  <c r="I1388" i="7"/>
  <c r="H1388" i="7"/>
  <c r="G1388" i="7"/>
  <c r="K1387" i="7"/>
  <c r="J1387" i="7"/>
  <c r="I1387" i="7"/>
  <c r="H1387" i="7"/>
  <c r="G1387" i="7"/>
  <c r="K1386" i="7"/>
  <c r="J1386" i="7"/>
  <c r="I1386" i="7"/>
  <c r="H1386" i="7"/>
  <c r="G1386" i="7"/>
  <c r="K1385" i="7"/>
  <c r="J1385" i="7"/>
  <c r="I1385" i="7"/>
  <c r="H1385" i="7"/>
  <c r="G1385" i="7"/>
  <c r="K1384" i="7"/>
  <c r="J1384" i="7"/>
  <c r="I1384" i="7"/>
  <c r="H1384" i="7"/>
  <c r="G1384" i="7"/>
  <c r="K1383" i="7"/>
  <c r="J1383" i="7"/>
  <c r="I1383" i="7"/>
  <c r="H1383" i="7"/>
  <c r="G1383" i="7"/>
  <c r="K1382" i="7"/>
  <c r="J1382" i="7"/>
  <c r="I1382" i="7"/>
  <c r="H1382" i="7"/>
  <c r="G1382" i="7"/>
  <c r="K1381" i="7"/>
  <c r="J1381" i="7"/>
  <c r="I1381" i="7"/>
  <c r="H1381" i="7"/>
  <c r="G1381" i="7"/>
  <c r="K1380" i="7"/>
  <c r="J1380" i="7"/>
  <c r="I1380" i="7"/>
  <c r="H1380" i="7"/>
  <c r="G1380" i="7"/>
  <c r="K1379" i="7"/>
  <c r="J1379" i="7"/>
  <c r="I1379" i="7"/>
  <c r="H1379" i="7"/>
  <c r="G1379" i="7"/>
  <c r="K1378" i="7"/>
  <c r="J1378" i="7"/>
  <c r="I1378" i="7"/>
  <c r="H1378" i="7"/>
  <c r="G1378" i="7"/>
  <c r="K1377" i="7"/>
  <c r="J1377" i="7"/>
  <c r="I1377" i="7"/>
  <c r="H1377" i="7"/>
  <c r="G1377" i="7"/>
  <c r="K1376" i="7"/>
  <c r="J1376" i="7"/>
  <c r="I1376" i="7"/>
  <c r="H1376" i="7"/>
  <c r="G1376" i="7"/>
  <c r="K1375" i="7"/>
  <c r="J1375" i="7"/>
  <c r="I1375" i="7"/>
  <c r="H1375" i="7"/>
  <c r="G1375" i="7"/>
  <c r="K1374" i="7"/>
  <c r="J1374" i="7"/>
  <c r="I1374" i="7"/>
  <c r="H1374" i="7"/>
  <c r="G1374" i="7"/>
  <c r="K1373" i="7"/>
  <c r="J1373" i="7"/>
  <c r="I1373" i="7"/>
  <c r="H1373" i="7"/>
  <c r="G1373" i="7"/>
  <c r="K1372" i="7"/>
  <c r="J1372" i="7"/>
  <c r="I1372" i="7"/>
  <c r="H1372" i="7"/>
  <c r="G1372" i="7"/>
  <c r="K1371" i="7"/>
  <c r="J1371" i="7"/>
  <c r="I1371" i="7"/>
  <c r="H1371" i="7"/>
  <c r="G1371" i="7"/>
  <c r="K1370" i="7"/>
  <c r="J1370" i="7"/>
  <c r="I1370" i="7"/>
  <c r="H1370" i="7"/>
  <c r="G1370" i="7"/>
  <c r="K1369" i="7"/>
  <c r="J1369" i="7"/>
  <c r="I1369" i="7"/>
  <c r="H1369" i="7"/>
  <c r="G1369" i="7"/>
  <c r="K1368" i="7"/>
  <c r="J1368" i="7"/>
  <c r="I1368" i="7"/>
  <c r="H1368" i="7"/>
  <c r="G1368" i="7"/>
  <c r="K1367" i="7"/>
  <c r="J1367" i="7"/>
  <c r="I1367" i="7"/>
  <c r="H1367" i="7"/>
  <c r="G1367" i="7"/>
  <c r="K1366" i="7"/>
  <c r="J1366" i="7"/>
  <c r="I1366" i="7"/>
  <c r="H1366" i="7"/>
  <c r="G1366" i="7"/>
  <c r="K1365" i="7"/>
  <c r="J1365" i="7"/>
  <c r="I1365" i="7"/>
  <c r="H1365" i="7"/>
  <c r="G1365" i="7"/>
  <c r="K1364" i="7"/>
  <c r="J1364" i="7"/>
  <c r="I1364" i="7"/>
  <c r="H1364" i="7"/>
  <c r="G1364" i="7"/>
  <c r="K1363" i="7"/>
  <c r="J1363" i="7"/>
  <c r="I1363" i="7"/>
  <c r="H1363" i="7"/>
  <c r="G1363" i="7"/>
  <c r="K1362" i="7"/>
  <c r="J1362" i="7"/>
  <c r="I1362" i="7"/>
  <c r="H1362" i="7"/>
  <c r="G1362" i="7"/>
  <c r="K1361" i="7"/>
  <c r="J1361" i="7"/>
  <c r="I1361" i="7"/>
  <c r="H1361" i="7"/>
  <c r="G1361" i="7"/>
  <c r="K1360" i="7"/>
  <c r="J1360" i="7"/>
  <c r="I1360" i="7"/>
  <c r="H1360" i="7"/>
  <c r="G1360" i="7"/>
  <c r="K1359" i="7"/>
  <c r="J1359" i="7"/>
  <c r="I1359" i="7"/>
  <c r="H1359" i="7"/>
  <c r="G1359" i="7"/>
  <c r="K1358" i="7"/>
  <c r="J1358" i="7"/>
  <c r="I1358" i="7"/>
  <c r="H1358" i="7"/>
  <c r="G1358" i="7"/>
  <c r="K1357" i="7"/>
  <c r="J1357" i="7"/>
  <c r="I1357" i="7"/>
  <c r="H1357" i="7"/>
  <c r="G1357" i="7"/>
  <c r="K1356" i="7"/>
  <c r="J1356" i="7"/>
  <c r="I1356" i="7"/>
  <c r="H1356" i="7"/>
  <c r="G1356" i="7"/>
  <c r="K1355" i="7"/>
  <c r="J1355" i="7"/>
  <c r="I1355" i="7"/>
  <c r="H1355" i="7"/>
  <c r="G1355" i="7"/>
  <c r="K1354" i="7"/>
  <c r="J1354" i="7"/>
  <c r="I1354" i="7"/>
  <c r="H1354" i="7"/>
  <c r="G1354" i="7"/>
  <c r="K1353" i="7"/>
  <c r="J1353" i="7"/>
  <c r="I1353" i="7"/>
  <c r="H1353" i="7"/>
  <c r="G1353" i="7"/>
  <c r="K1352" i="7"/>
  <c r="J1352" i="7"/>
  <c r="I1352" i="7"/>
  <c r="H1352" i="7"/>
  <c r="G1352" i="7"/>
  <c r="K1351" i="7"/>
  <c r="J1351" i="7"/>
  <c r="I1351" i="7"/>
  <c r="H1351" i="7"/>
  <c r="G1351" i="7"/>
  <c r="K1350" i="7"/>
  <c r="J1350" i="7"/>
  <c r="I1350" i="7"/>
  <c r="H1350" i="7"/>
  <c r="G1350" i="7"/>
  <c r="K1349" i="7"/>
  <c r="J1349" i="7"/>
  <c r="I1349" i="7"/>
  <c r="H1349" i="7"/>
  <c r="G1349" i="7"/>
  <c r="K1348" i="7"/>
  <c r="J1348" i="7"/>
  <c r="I1348" i="7"/>
  <c r="H1348" i="7"/>
  <c r="G1348" i="7"/>
  <c r="K1347" i="7"/>
  <c r="J1347" i="7"/>
  <c r="I1347" i="7"/>
  <c r="H1347" i="7"/>
  <c r="G1347" i="7"/>
  <c r="K1346" i="7"/>
  <c r="J1346" i="7"/>
  <c r="I1346" i="7"/>
  <c r="H1346" i="7"/>
  <c r="G1346" i="7"/>
  <c r="K1345" i="7"/>
  <c r="J1345" i="7"/>
  <c r="I1345" i="7"/>
  <c r="H1345" i="7"/>
  <c r="G1345" i="7"/>
  <c r="K1344" i="7"/>
  <c r="J1344" i="7"/>
  <c r="I1344" i="7"/>
  <c r="H1344" i="7"/>
  <c r="G1344" i="7"/>
  <c r="K1343" i="7"/>
  <c r="J1343" i="7"/>
  <c r="I1343" i="7"/>
  <c r="H1343" i="7"/>
  <c r="G1343" i="7"/>
  <c r="K1342" i="7"/>
  <c r="J1342" i="7"/>
  <c r="I1342" i="7"/>
  <c r="H1342" i="7"/>
  <c r="G1342" i="7"/>
  <c r="K1341" i="7"/>
  <c r="J1341" i="7"/>
  <c r="I1341" i="7"/>
  <c r="H1341" i="7"/>
  <c r="G1341" i="7"/>
  <c r="K1340" i="7"/>
  <c r="J1340" i="7"/>
  <c r="I1340" i="7"/>
  <c r="H1340" i="7"/>
  <c r="G1340" i="7"/>
  <c r="K1339" i="7"/>
  <c r="J1339" i="7"/>
  <c r="I1339" i="7"/>
  <c r="H1339" i="7"/>
  <c r="G1339" i="7"/>
  <c r="K1338" i="7"/>
  <c r="J1338" i="7"/>
  <c r="I1338" i="7"/>
  <c r="H1338" i="7"/>
  <c r="G1338" i="7"/>
  <c r="K1337" i="7"/>
  <c r="J1337" i="7"/>
  <c r="I1337" i="7"/>
  <c r="H1337" i="7"/>
  <c r="G1337" i="7"/>
  <c r="K1336" i="7"/>
  <c r="J1336" i="7"/>
  <c r="I1336" i="7"/>
  <c r="H1336" i="7"/>
  <c r="G1336" i="7"/>
  <c r="K1335" i="7"/>
  <c r="J1335" i="7"/>
  <c r="I1335" i="7"/>
  <c r="H1335" i="7"/>
  <c r="G1335" i="7"/>
  <c r="K1334" i="7"/>
  <c r="J1334" i="7"/>
  <c r="I1334" i="7"/>
  <c r="H1334" i="7"/>
  <c r="G1334" i="7"/>
  <c r="K1333" i="7"/>
  <c r="J1333" i="7"/>
  <c r="I1333" i="7"/>
  <c r="H1333" i="7"/>
  <c r="G1333" i="7"/>
  <c r="K1332" i="7"/>
  <c r="J1332" i="7"/>
  <c r="I1332" i="7"/>
  <c r="H1332" i="7"/>
  <c r="G1332" i="7"/>
  <c r="K1331" i="7"/>
  <c r="J1331" i="7"/>
  <c r="I1331" i="7"/>
  <c r="H1331" i="7"/>
  <c r="G1331" i="7"/>
  <c r="K1330" i="7"/>
  <c r="J1330" i="7"/>
  <c r="I1330" i="7"/>
  <c r="H1330" i="7"/>
  <c r="G1330" i="7"/>
  <c r="K1329" i="7"/>
  <c r="J1329" i="7"/>
  <c r="I1329" i="7"/>
  <c r="H1329" i="7"/>
  <c r="G1329" i="7"/>
  <c r="K1328" i="7"/>
  <c r="J1328" i="7"/>
  <c r="I1328" i="7"/>
  <c r="H1328" i="7"/>
  <c r="G1328" i="7"/>
  <c r="K1327" i="7"/>
  <c r="J1327" i="7"/>
  <c r="I1327" i="7"/>
  <c r="H1327" i="7"/>
  <c r="G1327" i="7"/>
  <c r="K1326" i="7"/>
  <c r="J1326" i="7"/>
  <c r="I1326" i="7"/>
  <c r="H1326" i="7"/>
  <c r="G1326" i="7"/>
  <c r="K1325" i="7"/>
  <c r="J1325" i="7"/>
  <c r="I1325" i="7"/>
  <c r="H1325" i="7"/>
  <c r="G1325" i="7"/>
  <c r="K1324" i="7"/>
  <c r="J1324" i="7"/>
  <c r="I1324" i="7"/>
  <c r="H1324" i="7"/>
  <c r="G1324" i="7"/>
  <c r="K1323" i="7"/>
  <c r="J1323" i="7"/>
  <c r="I1323" i="7"/>
  <c r="H1323" i="7"/>
  <c r="G1323" i="7"/>
  <c r="K1322" i="7"/>
  <c r="J1322" i="7"/>
  <c r="I1322" i="7"/>
  <c r="H1322" i="7"/>
  <c r="G1322" i="7"/>
  <c r="K1321" i="7"/>
  <c r="J1321" i="7"/>
  <c r="I1321" i="7"/>
  <c r="H1321" i="7"/>
  <c r="G1321" i="7"/>
  <c r="K1320" i="7"/>
  <c r="J1320" i="7"/>
  <c r="I1320" i="7"/>
  <c r="H1320" i="7"/>
  <c r="G1320" i="7"/>
  <c r="K1319" i="7"/>
  <c r="J1319" i="7"/>
  <c r="I1319" i="7"/>
  <c r="H1319" i="7"/>
  <c r="G1319" i="7"/>
  <c r="K1318" i="7"/>
  <c r="J1318" i="7"/>
  <c r="I1318" i="7"/>
  <c r="H1318" i="7"/>
  <c r="G1318" i="7"/>
  <c r="K1317" i="7"/>
  <c r="J1317" i="7"/>
  <c r="I1317" i="7"/>
  <c r="H1317" i="7"/>
  <c r="G1317" i="7"/>
  <c r="K1316" i="7"/>
  <c r="J1316" i="7"/>
  <c r="I1316" i="7"/>
  <c r="H1316" i="7"/>
  <c r="G1316" i="7"/>
  <c r="K1315" i="7"/>
  <c r="J1315" i="7"/>
  <c r="I1315" i="7"/>
  <c r="H1315" i="7"/>
  <c r="G1315" i="7"/>
  <c r="K1314" i="7"/>
  <c r="J1314" i="7"/>
  <c r="I1314" i="7"/>
  <c r="H1314" i="7"/>
  <c r="G1314" i="7"/>
  <c r="K1313" i="7"/>
  <c r="J1313" i="7"/>
  <c r="I1313" i="7"/>
  <c r="H1313" i="7"/>
  <c r="G1313" i="7"/>
  <c r="K1312" i="7"/>
  <c r="J1312" i="7"/>
  <c r="I1312" i="7"/>
  <c r="H1312" i="7"/>
  <c r="G1312" i="7"/>
  <c r="K1311" i="7"/>
  <c r="J1311" i="7"/>
  <c r="I1311" i="7"/>
  <c r="H1311" i="7"/>
  <c r="G1311" i="7"/>
  <c r="K1310" i="7"/>
  <c r="J1310" i="7"/>
  <c r="I1310" i="7"/>
  <c r="H1310" i="7"/>
  <c r="G1310" i="7"/>
  <c r="K1309" i="7"/>
  <c r="J1309" i="7"/>
  <c r="I1309" i="7"/>
  <c r="H1309" i="7"/>
  <c r="G1309" i="7"/>
  <c r="K1308" i="7"/>
  <c r="J1308" i="7"/>
  <c r="I1308" i="7"/>
  <c r="H1308" i="7"/>
  <c r="G1308" i="7"/>
  <c r="K1307" i="7"/>
  <c r="J1307" i="7"/>
  <c r="I1307" i="7"/>
  <c r="H1307" i="7"/>
  <c r="G1307" i="7"/>
  <c r="K1306" i="7"/>
  <c r="J1306" i="7"/>
  <c r="I1306" i="7"/>
  <c r="H1306" i="7"/>
  <c r="G1306" i="7"/>
  <c r="K1305" i="7"/>
  <c r="J1305" i="7"/>
  <c r="I1305" i="7"/>
  <c r="H1305" i="7"/>
  <c r="G1305" i="7"/>
  <c r="K1304" i="7"/>
  <c r="J1304" i="7"/>
  <c r="I1304" i="7"/>
  <c r="H1304" i="7"/>
  <c r="G1304" i="7"/>
  <c r="K1303" i="7"/>
  <c r="J1303" i="7"/>
  <c r="I1303" i="7"/>
  <c r="H1303" i="7"/>
  <c r="G1303" i="7"/>
  <c r="K1302" i="7"/>
  <c r="J1302" i="7"/>
  <c r="I1302" i="7"/>
  <c r="H1302" i="7"/>
  <c r="G1302" i="7"/>
  <c r="K1301" i="7"/>
  <c r="J1301" i="7"/>
  <c r="I1301" i="7"/>
  <c r="H1301" i="7"/>
  <c r="G1301" i="7"/>
  <c r="K1300" i="7"/>
  <c r="J1300" i="7"/>
  <c r="I1300" i="7"/>
  <c r="H1300" i="7"/>
  <c r="G1300" i="7"/>
  <c r="K1299" i="7"/>
  <c r="J1299" i="7"/>
  <c r="I1299" i="7"/>
  <c r="H1299" i="7"/>
  <c r="G1299" i="7"/>
  <c r="K1298" i="7"/>
  <c r="J1298" i="7"/>
  <c r="I1298" i="7"/>
  <c r="H1298" i="7"/>
  <c r="G1298" i="7"/>
  <c r="K1297" i="7"/>
  <c r="J1297" i="7"/>
  <c r="I1297" i="7"/>
  <c r="H1297" i="7"/>
  <c r="G1297" i="7"/>
  <c r="K1296" i="7"/>
  <c r="J1296" i="7"/>
  <c r="I1296" i="7"/>
  <c r="H1296" i="7"/>
  <c r="G1296" i="7"/>
  <c r="K1295" i="7"/>
  <c r="J1295" i="7"/>
  <c r="I1295" i="7"/>
  <c r="H1295" i="7"/>
  <c r="G1295" i="7"/>
  <c r="K1294" i="7"/>
  <c r="J1294" i="7"/>
  <c r="I1294" i="7"/>
  <c r="H1294" i="7"/>
  <c r="G1294" i="7"/>
  <c r="K1293" i="7"/>
  <c r="J1293" i="7"/>
  <c r="I1293" i="7"/>
  <c r="H1293" i="7"/>
  <c r="G1293" i="7"/>
  <c r="K1292" i="7"/>
  <c r="J1292" i="7"/>
  <c r="I1292" i="7"/>
  <c r="H1292" i="7"/>
  <c r="G1292" i="7"/>
  <c r="K1291" i="7"/>
  <c r="J1291" i="7"/>
  <c r="I1291" i="7"/>
  <c r="H1291" i="7"/>
  <c r="G1291" i="7"/>
  <c r="K1290" i="7"/>
  <c r="J1290" i="7"/>
  <c r="I1290" i="7"/>
  <c r="H1290" i="7"/>
  <c r="G1290" i="7"/>
  <c r="K1289" i="7"/>
  <c r="J1289" i="7"/>
  <c r="I1289" i="7"/>
  <c r="H1289" i="7"/>
  <c r="G1289" i="7"/>
  <c r="K1288" i="7"/>
  <c r="J1288" i="7"/>
  <c r="I1288" i="7"/>
  <c r="H1288" i="7"/>
  <c r="G1288" i="7"/>
  <c r="K1287" i="7"/>
  <c r="J1287" i="7"/>
  <c r="I1287" i="7"/>
  <c r="H1287" i="7"/>
  <c r="G1287" i="7"/>
  <c r="K1286" i="7"/>
  <c r="J1286" i="7"/>
  <c r="I1286" i="7"/>
  <c r="H1286" i="7"/>
  <c r="G1286" i="7"/>
  <c r="K1285" i="7"/>
  <c r="J1285" i="7"/>
  <c r="I1285" i="7"/>
  <c r="H1285" i="7"/>
  <c r="G1285" i="7"/>
  <c r="K1284" i="7"/>
  <c r="J1284" i="7"/>
  <c r="I1284" i="7"/>
  <c r="H1284" i="7"/>
  <c r="G1284" i="7"/>
  <c r="K1283" i="7"/>
  <c r="J1283" i="7"/>
  <c r="I1283" i="7"/>
  <c r="H1283" i="7"/>
  <c r="G1283" i="7"/>
  <c r="K1282" i="7"/>
  <c r="J1282" i="7"/>
  <c r="I1282" i="7"/>
  <c r="H1282" i="7"/>
  <c r="G1282" i="7"/>
  <c r="K1281" i="7"/>
  <c r="J1281" i="7"/>
  <c r="I1281" i="7"/>
  <c r="H1281" i="7"/>
  <c r="G1281" i="7"/>
  <c r="K1280" i="7"/>
  <c r="J1280" i="7"/>
  <c r="I1280" i="7"/>
  <c r="H1280" i="7"/>
  <c r="G1280" i="7"/>
  <c r="K1279" i="7"/>
  <c r="J1279" i="7"/>
  <c r="I1279" i="7"/>
  <c r="H1279" i="7"/>
  <c r="G1279" i="7"/>
  <c r="K1278" i="7"/>
  <c r="J1278" i="7"/>
  <c r="I1278" i="7"/>
  <c r="H1278" i="7"/>
  <c r="G1278" i="7"/>
  <c r="K1277" i="7"/>
  <c r="J1277" i="7"/>
  <c r="I1277" i="7"/>
  <c r="H1277" i="7"/>
  <c r="G1277" i="7"/>
  <c r="K1276" i="7"/>
  <c r="J1276" i="7"/>
  <c r="I1276" i="7"/>
  <c r="H1276" i="7"/>
  <c r="G1276" i="7"/>
  <c r="K1275" i="7"/>
  <c r="J1275" i="7"/>
  <c r="I1275" i="7"/>
  <c r="H1275" i="7"/>
  <c r="G1275" i="7"/>
  <c r="K1274" i="7"/>
  <c r="J1274" i="7"/>
  <c r="I1274" i="7"/>
  <c r="H1274" i="7"/>
  <c r="G1274" i="7"/>
  <c r="K1273" i="7"/>
  <c r="J1273" i="7"/>
  <c r="I1273" i="7"/>
  <c r="H1273" i="7"/>
  <c r="G1273" i="7"/>
  <c r="K1272" i="7"/>
  <c r="J1272" i="7"/>
  <c r="I1272" i="7"/>
  <c r="H1272" i="7"/>
  <c r="G1272" i="7"/>
  <c r="K1271" i="7"/>
  <c r="J1271" i="7"/>
  <c r="I1271" i="7"/>
  <c r="H1271" i="7"/>
  <c r="G1271" i="7"/>
  <c r="K1270" i="7"/>
  <c r="J1270" i="7"/>
  <c r="I1270" i="7"/>
  <c r="H1270" i="7"/>
  <c r="G1270" i="7"/>
  <c r="K1269" i="7"/>
  <c r="J1269" i="7"/>
  <c r="I1269" i="7"/>
  <c r="H1269" i="7"/>
  <c r="G1269" i="7"/>
  <c r="K1268" i="7"/>
  <c r="J1268" i="7"/>
  <c r="I1268" i="7"/>
  <c r="H1268" i="7"/>
  <c r="G1268" i="7"/>
  <c r="K1267" i="7"/>
  <c r="J1267" i="7"/>
  <c r="I1267" i="7"/>
  <c r="H1267" i="7"/>
  <c r="G1267" i="7"/>
  <c r="K1266" i="7"/>
  <c r="J1266" i="7"/>
  <c r="I1266" i="7"/>
  <c r="H1266" i="7"/>
  <c r="G1266" i="7"/>
  <c r="K1265" i="7"/>
  <c r="J1265" i="7"/>
  <c r="I1265" i="7"/>
  <c r="H1265" i="7"/>
  <c r="G1265" i="7"/>
  <c r="K1264" i="7"/>
  <c r="J1264" i="7"/>
  <c r="I1264" i="7"/>
  <c r="H1264" i="7"/>
  <c r="G1264" i="7"/>
  <c r="K1263" i="7"/>
  <c r="J1263" i="7"/>
  <c r="I1263" i="7"/>
  <c r="H1263" i="7"/>
  <c r="G1263" i="7"/>
  <c r="K1262" i="7"/>
  <c r="J1262" i="7"/>
  <c r="I1262" i="7"/>
  <c r="H1262" i="7"/>
  <c r="G1262" i="7"/>
  <c r="K1261" i="7"/>
  <c r="J1261" i="7"/>
  <c r="I1261" i="7"/>
  <c r="H1261" i="7"/>
  <c r="G1261" i="7"/>
  <c r="K1260" i="7"/>
  <c r="J1260" i="7"/>
  <c r="I1260" i="7"/>
  <c r="H1260" i="7"/>
  <c r="G1260" i="7"/>
  <c r="K1259" i="7"/>
  <c r="J1259" i="7"/>
  <c r="I1259" i="7"/>
  <c r="H1259" i="7"/>
  <c r="G1259" i="7"/>
  <c r="K1258" i="7"/>
  <c r="J1258" i="7"/>
  <c r="I1258" i="7"/>
  <c r="H1258" i="7"/>
  <c r="G1258" i="7"/>
  <c r="K1257" i="7"/>
  <c r="J1257" i="7"/>
  <c r="I1257" i="7"/>
  <c r="H1257" i="7"/>
  <c r="G1257" i="7"/>
  <c r="K1256" i="7"/>
  <c r="J1256" i="7"/>
  <c r="I1256" i="7"/>
  <c r="H1256" i="7"/>
  <c r="G1256" i="7"/>
  <c r="K1255" i="7"/>
  <c r="J1255" i="7"/>
  <c r="I1255" i="7"/>
  <c r="H1255" i="7"/>
  <c r="G1255" i="7"/>
  <c r="K1254" i="7"/>
  <c r="J1254" i="7"/>
  <c r="I1254" i="7"/>
  <c r="H1254" i="7"/>
  <c r="G1254" i="7"/>
  <c r="K1253" i="7"/>
  <c r="J1253" i="7"/>
  <c r="I1253" i="7"/>
  <c r="H1253" i="7"/>
  <c r="G1253" i="7"/>
  <c r="K1252" i="7"/>
  <c r="J1252" i="7"/>
  <c r="I1252" i="7"/>
  <c r="H1252" i="7"/>
  <c r="G1252" i="7"/>
  <c r="K1251" i="7"/>
  <c r="J1251" i="7"/>
  <c r="I1251" i="7"/>
  <c r="H1251" i="7"/>
  <c r="G1251" i="7"/>
  <c r="K1250" i="7"/>
  <c r="J1250" i="7"/>
  <c r="I1250" i="7"/>
  <c r="H1250" i="7"/>
  <c r="G1250" i="7"/>
  <c r="K1249" i="7"/>
  <c r="J1249" i="7"/>
  <c r="I1249" i="7"/>
  <c r="H1249" i="7"/>
  <c r="G1249" i="7"/>
  <c r="K1248" i="7"/>
  <c r="J1248" i="7"/>
  <c r="I1248" i="7"/>
  <c r="H1248" i="7"/>
  <c r="G1248" i="7"/>
  <c r="K1247" i="7"/>
  <c r="J1247" i="7"/>
  <c r="I1247" i="7"/>
  <c r="H1247" i="7"/>
  <c r="G1247" i="7"/>
  <c r="K1246" i="7"/>
  <c r="J1246" i="7"/>
  <c r="I1246" i="7"/>
  <c r="H1246" i="7"/>
  <c r="G1246" i="7"/>
  <c r="K1245" i="7"/>
  <c r="J1245" i="7"/>
  <c r="I1245" i="7"/>
  <c r="H1245" i="7"/>
  <c r="G1245" i="7"/>
  <c r="K1244" i="7"/>
  <c r="J1244" i="7"/>
  <c r="I1244" i="7"/>
  <c r="H1244" i="7"/>
  <c r="G1244" i="7"/>
  <c r="K1243" i="7"/>
  <c r="J1243" i="7"/>
  <c r="I1243" i="7"/>
  <c r="H1243" i="7"/>
  <c r="G1243" i="7"/>
  <c r="K1242" i="7"/>
  <c r="J1242" i="7"/>
  <c r="I1242" i="7"/>
  <c r="H1242" i="7"/>
  <c r="G1242" i="7"/>
  <c r="K1241" i="7"/>
  <c r="J1241" i="7"/>
  <c r="I1241" i="7"/>
  <c r="H1241" i="7"/>
  <c r="G1241" i="7"/>
  <c r="K1240" i="7"/>
  <c r="J1240" i="7"/>
  <c r="I1240" i="7"/>
  <c r="H1240" i="7"/>
  <c r="G1240" i="7"/>
  <c r="K1239" i="7"/>
  <c r="J1239" i="7"/>
  <c r="I1239" i="7"/>
  <c r="H1239" i="7"/>
  <c r="G1239" i="7"/>
  <c r="K1238" i="7"/>
  <c r="J1238" i="7"/>
  <c r="I1238" i="7"/>
  <c r="H1238" i="7"/>
  <c r="G1238" i="7"/>
  <c r="K1237" i="7"/>
  <c r="J1237" i="7"/>
  <c r="I1237" i="7"/>
  <c r="H1237" i="7"/>
  <c r="G1237" i="7"/>
  <c r="K1236" i="7"/>
  <c r="J1236" i="7"/>
  <c r="I1236" i="7"/>
  <c r="H1236" i="7"/>
  <c r="G1236" i="7"/>
  <c r="K1235" i="7"/>
  <c r="J1235" i="7"/>
  <c r="I1235" i="7"/>
  <c r="H1235" i="7"/>
  <c r="G1235" i="7"/>
  <c r="K1234" i="7"/>
  <c r="J1234" i="7"/>
  <c r="I1234" i="7"/>
  <c r="H1234" i="7"/>
  <c r="G1234" i="7"/>
  <c r="K1233" i="7"/>
  <c r="J1233" i="7"/>
  <c r="I1233" i="7"/>
  <c r="H1233" i="7"/>
  <c r="G1233" i="7"/>
  <c r="K1232" i="7"/>
  <c r="J1232" i="7"/>
  <c r="I1232" i="7"/>
  <c r="H1232" i="7"/>
  <c r="G1232" i="7"/>
  <c r="K1231" i="7"/>
  <c r="J1231" i="7"/>
  <c r="I1231" i="7"/>
  <c r="H1231" i="7"/>
  <c r="G1231" i="7"/>
  <c r="K1230" i="7"/>
  <c r="J1230" i="7"/>
  <c r="I1230" i="7"/>
  <c r="H1230" i="7"/>
  <c r="G1230" i="7"/>
  <c r="K1229" i="7"/>
  <c r="J1229" i="7"/>
  <c r="I1229" i="7"/>
  <c r="H1229" i="7"/>
  <c r="G1229" i="7"/>
  <c r="K1228" i="7"/>
  <c r="J1228" i="7"/>
  <c r="I1228" i="7"/>
  <c r="H1228" i="7"/>
  <c r="G1228" i="7"/>
  <c r="K1227" i="7"/>
  <c r="J1227" i="7"/>
  <c r="I1227" i="7"/>
  <c r="H1227" i="7"/>
  <c r="G1227" i="7"/>
  <c r="K1226" i="7"/>
  <c r="J1226" i="7"/>
  <c r="I1226" i="7"/>
  <c r="H1226" i="7"/>
  <c r="G1226" i="7"/>
  <c r="K1225" i="7"/>
  <c r="J1225" i="7"/>
  <c r="I1225" i="7"/>
  <c r="H1225" i="7"/>
  <c r="G1225" i="7"/>
  <c r="K1224" i="7"/>
  <c r="J1224" i="7"/>
  <c r="I1224" i="7"/>
  <c r="H1224" i="7"/>
  <c r="G1224" i="7"/>
  <c r="K1223" i="7"/>
  <c r="J1223" i="7"/>
  <c r="I1223" i="7"/>
  <c r="H1223" i="7"/>
  <c r="G1223" i="7"/>
  <c r="K1222" i="7"/>
  <c r="J1222" i="7"/>
  <c r="I1222" i="7"/>
  <c r="H1222" i="7"/>
  <c r="G1222" i="7"/>
  <c r="K1221" i="7"/>
  <c r="J1221" i="7"/>
  <c r="I1221" i="7"/>
  <c r="H1221" i="7"/>
  <c r="G1221" i="7"/>
  <c r="K1220" i="7"/>
  <c r="J1220" i="7"/>
  <c r="I1220" i="7"/>
  <c r="H1220" i="7"/>
  <c r="G1220" i="7"/>
  <c r="K1219" i="7"/>
  <c r="J1219" i="7"/>
  <c r="I1219" i="7"/>
  <c r="H1219" i="7"/>
  <c r="G1219" i="7"/>
  <c r="K1218" i="7"/>
  <c r="J1218" i="7"/>
  <c r="I1218" i="7"/>
  <c r="H1218" i="7"/>
  <c r="G1218" i="7"/>
  <c r="K1217" i="7"/>
  <c r="J1217" i="7"/>
  <c r="I1217" i="7"/>
  <c r="H1217" i="7"/>
  <c r="G1217" i="7"/>
  <c r="K1216" i="7"/>
  <c r="J1216" i="7"/>
  <c r="I1216" i="7"/>
  <c r="H1216" i="7"/>
  <c r="G1216" i="7"/>
  <c r="K1215" i="7"/>
  <c r="J1215" i="7"/>
  <c r="I1215" i="7"/>
  <c r="H1215" i="7"/>
  <c r="G1215" i="7"/>
  <c r="K1214" i="7"/>
  <c r="J1214" i="7"/>
  <c r="I1214" i="7"/>
  <c r="H1214" i="7"/>
  <c r="G1214" i="7"/>
  <c r="K1213" i="7"/>
  <c r="J1213" i="7"/>
  <c r="I1213" i="7"/>
  <c r="H1213" i="7"/>
  <c r="G1213" i="7"/>
  <c r="K1212" i="7"/>
  <c r="J1212" i="7"/>
  <c r="I1212" i="7"/>
  <c r="H1212" i="7"/>
  <c r="G1212" i="7"/>
  <c r="K1211" i="7"/>
  <c r="J1211" i="7"/>
  <c r="I1211" i="7"/>
  <c r="H1211" i="7"/>
  <c r="G1211" i="7"/>
  <c r="K1210" i="7"/>
  <c r="J1210" i="7"/>
  <c r="I1210" i="7"/>
  <c r="H1210" i="7"/>
  <c r="G1210" i="7"/>
  <c r="K1209" i="7"/>
  <c r="J1209" i="7"/>
  <c r="I1209" i="7"/>
  <c r="H1209" i="7"/>
  <c r="G1209" i="7"/>
  <c r="K1208" i="7"/>
  <c r="J1208" i="7"/>
  <c r="I1208" i="7"/>
  <c r="H1208" i="7"/>
  <c r="G1208" i="7"/>
  <c r="K1207" i="7"/>
  <c r="J1207" i="7"/>
  <c r="I1207" i="7"/>
  <c r="H1207" i="7"/>
  <c r="G1207" i="7"/>
  <c r="K1206" i="7"/>
  <c r="J1206" i="7"/>
  <c r="I1206" i="7"/>
  <c r="H1206" i="7"/>
  <c r="G1206" i="7"/>
  <c r="K1205" i="7"/>
  <c r="J1205" i="7"/>
  <c r="I1205" i="7"/>
  <c r="H1205" i="7"/>
  <c r="G1205" i="7"/>
  <c r="K1204" i="7"/>
  <c r="J1204" i="7"/>
  <c r="I1204" i="7"/>
  <c r="H1204" i="7"/>
  <c r="G1204" i="7"/>
  <c r="K1203" i="7"/>
  <c r="J1203" i="7"/>
  <c r="I1203" i="7"/>
  <c r="H1203" i="7"/>
  <c r="G1203" i="7"/>
  <c r="K1202" i="7"/>
  <c r="J1202" i="7"/>
  <c r="I1202" i="7"/>
  <c r="H1202" i="7"/>
  <c r="G1202" i="7"/>
  <c r="K1201" i="7"/>
  <c r="J1201" i="7"/>
  <c r="I1201" i="7"/>
  <c r="H1201" i="7"/>
  <c r="G1201" i="7"/>
  <c r="K1200" i="7"/>
  <c r="J1200" i="7"/>
  <c r="I1200" i="7"/>
  <c r="H1200" i="7"/>
  <c r="G1200" i="7"/>
  <c r="K1199" i="7"/>
  <c r="J1199" i="7"/>
  <c r="I1199" i="7"/>
  <c r="H1199" i="7"/>
  <c r="G1199" i="7"/>
  <c r="K1198" i="7"/>
  <c r="J1198" i="7"/>
  <c r="I1198" i="7"/>
  <c r="H1198" i="7"/>
  <c r="G1198" i="7"/>
  <c r="K1197" i="7"/>
  <c r="J1197" i="7"/>
  <c r="I1197" i="7"/>
  <c r="H1197" i="7"/>
  <c r="G1197" i="7"/>
  <c r="K1196" i="7"/>
  <c r="J1196" i="7"/>
  <c r="I1196" i="7"/>
  <c r="H1196" i="7"/>
  <c r="G1196" i="7"/>
  <c r="K1195" i="7"/>
  <c r="J1195" i="7"/>
  <c r="I1195" i="7"/>
  <c r="H1195" i="7"/>
  <c r="G1195" i="7"/>
  <c r="K1194" i="7"/>
  <c r="J1194" i="7"/>
  <c r="I1194" i="7"/>
  <c r="H1194" i="7"/>
  <c r="G1194" i="7"/>
  <c r="K1193" i="7"/>
  <c r="J1193" i="7"/>
  <c r="I1193" i="7"/>
  <c r="H1193" i="7"/>
  <c r="G1193" i="7"/>
  <c r="K1192" i="7"/>
  <c r="J1192" i="7"/>
  <c r="I1192" i="7"/>
  <c r="H1192" i="7"/>
  <c r="G1192" i="7"/>
  <c r="K1191" i="7"/>
  <c r="J1191" i="7"/>
  <c r="I1191" i="7"/>
  <c r="H1191" i="7"/>
  <c r="G1191" i="7"/>
  <c r="K1190" i="7"/>
  <c r="J1190" i="7"/>
  <c r="I1190" i="7"/>
  <c r="H1190" i="7"/>
  <c r="G1190" i="7"/>
  <c r="K1189" i="7"/>
  <c r="J1189" i="7"/>
  <c r="I1189" i="7"/>
  <c r="H1189" i="7"/>
  <c r="G1189" i="7"/>
  <c r="K1188" i="7"/>
  <c r="J1188" i="7"/>
  <c r="I1188" i="7"/>
  <c r="H1188" i="7"/>
  <c r="G1188" i="7"/>
  <c r="K1187" i="7"/>
  <c r="J1187" i="7"/>
  <c r="I1187" i="7"/>
  <c r="H1187" i="7"/>
  <c r="G1187" i="7"/>
  <c r="K1186" i="7"/>
  <c r="J1186" i="7"/>
  <c r="I1186" i="7"/>
  <c r="H1186" i="7"/>
  <c r="G1186" i="7"/>
  <c r="K1185" i="7"/>
  <c r="J1185" i="7"/>
  <c r="I1185" i="7"/>
  <c r="H1185" i="7"/>
  <c r="G1185" i="7"/>
  <c r="K1184" i="7"/>
  <c r="J1184" i="7"/>
  <c r="I1184" i="7"/>
  <c r="H1184" i="7"/>
  <c r="G1184" i="7"/>
  <c r="K1183" i="7"/>
  <c r="J1183" i="7"/>
  <c r="I1183" i="7"/>
  <c r="H1183" i="7"/>
  <c r="G1183" i="7"/>
  <c r="K1182" i="7"/>
  <c r="J1182" i="7"/>
  <c r="I1182" i="7"/>
  <c r="H1182" i="7"/>
  <c r="G1182" i="7"/>
  <c r="K1181" i="7"/>
  <c r="J1181" i="7"/>
  <c r="I1181" i="7"/>
  <c r="H1181" i="7"/>
  <c r="G1181" i="7"/>
  <c r="K1180" i="7"/>
  <c r="J1180" i="7"/>
  <c r="I1180" i="7"/>
  <c r="H1180" i="7"/>
  <c r="G1180" i="7"/>
  <c r="K1179" i="7"/>
  <c r="J1179" i="7"/>
  <c r="I1179" i="7"/>
  <c r="H1179" i="7"/>
  <c r="G1179" i="7"/>
  <c r="K1178" i="7"/>
  <c r="J1178" i="7"/>
  <c r="I1178" i="7"/>
  <c r="H1178" i="7"/>
  <c r="G1178" i="7"/>
  <c r="K1177" i="7"/>
  <c r="J1177" i="7"/>
  <c r="I1177" i="7"/>
  <c r="H1177" i="7"/>
  <c r="G1177" i="7"/>
  <c r="K1176" i="7"/>
  <c r="J1176" i="7"/>
  <c r="I1176" i="7"/>
  <c r="H1176" i="7"/>
  <c r="G1176" i="7"/>
  <c r="K1175" i="7"/>
  <c r="J1175" i="7"/>
  <c r="I1175" i="7"/>
  <c r="H1175" i="7"/>
  <c r="G1175" i="7"/>
  <c r="K1174" i="7"/>
  <c r="J1174" i="7"/>
  <c r="I1174" i="7"/>
  <c r="H1174" i="7"/>
  <c r="G1174" i="7"/>
  <c r="K1173" i="7"/>
  <c r="J1173" i="7"/>
  <c r="I1173" i="7"/>
  <c r="H1173" i="7"/>
  <c r="G1173" i="7"/>
  <c r="K1172" i="7"/>
  <c r="J1172" i="7"/>
  <c r="I1172" i="7"/>
  <c r="H1172" i="7"/>
  <c r="G1172" i="7"/>
  <c r="K1171" i="7"/>
  <c r="J1171" i="7"/>
  <c r="I1171" i="7"/>
  <c r="H1171" i="7"/>
  <c r="G1171" i="7"/>
  <c r="K1170" i="7"/>
  <c r="J1170" i="7"/>
  <c r="I1170" i="7"/>
  <c r="H1170" i="7"/>
  <c r="G1170" i="7"/>
  <c r="K1169" i="7"/>
  <c r="J1169" i="7"/>
  <c r="I1169" i="7"/>
  <c r="H1169" i="7"/>
  <c r="G1169" i="7"/>
  <c r="K1168" i="7"/>
  <c r="J1168" i="7"/>
  <c r="I1168" i="7"/>
  <c r="H1168" i="7"/>
  <c r="G1168" i="7"/>
  <c r="K1167" i="7"/>
  <c r="J1167" i="7"/>
  <c r="I1167" i="7"/>
  <c r="H1167" i="7"/>
  <c r="G1167" i="7"/>
  <c r="K1166" i="7"/>
  <c r="J1166" i="7"/>
  <c r="I1166" i="7"/>
  <c r="H1166" i="7"/>
  <c r="G1166" i="7"/>
  <c r="K1165" i="7"/>
  <c r="J1165" i="7"/>
  <c r="I1165" i="7"/>
  <c r="H1165" i="7"/>
  <c r="G1165" i="7"/>
  <c r="K1164" i="7"/>
  <c r="J1164" i="7"/>
  <c r="I1164" i="7"/>
  <c r="H1164" i="7"/>
  <c r="G1164" i="7"/>
  <c r="K1163" i="7"/>
  <c r="J1163" i="7"/>
  <c r="I1163" i="7"/>
  <c r="H1163" i="7"/>
  <c r="G1163" i="7"/>
  <c r="K1162" i="7"/>
  <c r="J1162" i="7"/>
  <c r="I1162" i="7"/>
  <c r="H1162" i="7"/>
  <c r="G1162" i="7"/>
  <c r="K1161" i="7"/>
  <c r="J1161" i="7"/>
  <c r="I1161" i="7"/>
  <c r="H1161" i="7"/>
  <c r="G1161" i="7"/>
  <c r="K1160" i="7"/>
  <c r="J1160" i="7"/>
  <c r="I1160" i="7"/>
  <c r="H1160" i="7"/>
  <c r="G1160" i="7"/>
  <c r="K1159" i="7"/>
  <c r="J1159" i="7"/>
  <c r="I1159" i="7"/>
  <c r="H1159" i="7"/>
  <c r="G1159" i="7"/>
  <c r="K1158" i="7"/>
  <c r="J1158" i="7"/>
  <c r="I1158" i="7"/>
  <c r="H1158" i="7"/>
  <c r="G1158" i="7"/>
  <c r="K1157" i="7"/>
  <c r="J1157" i="7"/>
  <c r="I1157" i="7"/>
  <c r="H1157" i="7"/>
  <c r="G1157" i="7"/>
  <c r="K1156" i="7"/>
  <c r="J1156" i="7"/>
  <c r="I1156" i="7"/>
  <c r="H1156" i="7"/>
  <c r="G1156" i="7"/>
  <c r="K1155" i="7"/>
  <c r="J1155" i="7"/>
  <c r="I1155" i="7"/>
  <c r="H1155" i="7"/>
  <c r="G1155" i="7"/>
  <c r="K1154" i="7"/>
  <c r="J1154" i="7"/>
  <c r="I1154" i="7"/>
  <c r="H1154" i="7"/>
  <c r="G1154" i="7"/>
  <c r="K1153" i="7"/>
  <c r="J1153" i="7"/>
  <c r="I1153" i="7"/>
  <c r="H1153" i="7"/>
  <c r="G1153" i="7"/>
  <c r="K1152" i="7"/>
  <c r="J1152" i="7"/>
  <c r="I1152" i="7"/>
  <c r="H1152" i="7"/>
  <c r="G1152" i="7"/>
  <c r="K1151" i="7"/>
  <c r="J1151" i="7"/>
  <c r="I1151" i="7"/>
  <c r="H1151" i="7"/>
  <c r="G1151" i="7"/>
  <c r="K1150" i="7"/>
  <c r="J1150" i="7"/>
  <c r="I1150" i="7"/>
  <c r="H1150" i="7"/>
  <c r="G1150" i="7"/>
  <c r="K1149" i="7"/>
  <c r="J1149" i="7"/>
  <c r="I1149" i="7"/>
  <c r="H1149" i="7"/>
  <c r="G1149" i="7"/>
  <c r="K1148" i="7"/>
  <c r="J1148" i="7"/>
  <c r="I1148" i="7"/>
  <c r="H1148" i="7"/>
  <c r="G1148" i="7"/>
  <c r="K1147" i="7"/>
  <c r="J1147" i="7"/>
  <c r="I1147" i="7"/>
  <c r="H1147" i="7"/>
  <c r="G1147" i="7"/>
  <c r="K1146" i="7"/>
  <c r="J1146" i="7"/>
  <c r="I1146" i="7"/>
  <c r="H1146" i="7"/>
  <c r="G1146" i="7"/>
  <c r="K1145" i="7"/>
  <c r="J1145" i="7"/>
  <c r="I1145" i="7"/>
  <c r="H1145" i="7"/>
  <c r="G1145" i="7"/>
  <c r="K1144" i="7"/>
  <c r="J1144" i="7"/>
  <c r="I1144" i="7"/>
  <c r="H1144" i="7"/>
  <c r="G1144" i="7"/>
  <c r="K1143" i="7"/>
  <c r="J1143" i="7"/>
  <c r="I1143" i="7"/>
  <c r="H1143" i="7"/>
  <c r="G1143" i="7"/>
  <c r="K1142" i="7"/>
  <c r="J1142" i="7"/>
  <c r="I1142" i="7"/>
  <c r="H1142" i="7"/>
  <c r="G1142" i="7"/>
  <c r="K1141" i="7"/>
  <c r="J1141" i="7"/>
  <c r="I1141" i="7"/>
  <c r="H1141" i="7"/>
  <c r="G1141" i="7"/>
  <c r="K1140" i="7"/>
  <c r="J1140" i="7"/>
  <c r="I1140" i="7"/>
  <c r="H1140" i="7"/>
  <c r="G1140" i="7"/>
  <c r="K1139" i="7"/>
  <c r="J1139" i="7"/>
  <c r="I1139" i="7"/>
  <c r="H1139" i="7"/>
  <c r="G1139" i="7"/>
  <c r="K1138" i="7"/>
  <c r="J1138" i="7"/>
  <c r="I1138" i="7"/>
  <c r="H1138" i="7"/>
  <c r="G1138" i="7"/>
  <c r="K1137" i="7"/>
  <c r="J1137" i="7"/>
  <c r="I1137" i="7"/>
  <c r="H1137" i="7"/>
  <c r="G1137" i="7"/>
  <c r="K1136" i="7"/>
  <c r="J1136" i="7"/>
  <c r="I1136" i="7"/>
  <c r="H1136" i="7"/>
  <c r="G1136" i="7"/>
  <c r="K1135" i="7"/>
  <c r="J1135" i="7"/>
  <c r="I1135" i="7"/>
  <c r="H1135" i="7"/>
  <c r="G1135" i="7"/>
  <c r="K1134" i="7"/>
  <c r="J1134" i="7"/>
  <c r="I1134" i="7"/>
  <c r="H1134" i="7"/>
  <c r="G1134" i="7"/>
  <c r="K1133" i="7"/>
  <c r="J1133" i="7"/>
  <c r="I1133" i="7"/>
  <c r="H1133" i="7"/>
  <c r="G1133" i="7"/>
  <c r="K1132" i="7"/>
  <c r="J1132" i="7"/>
  <c r="I1132" i="7"/>
  <c r="H1132" i="7"/>
  <c r="G1132" i="7"/>
  <c r="K1131" i="7"/>
  <c r="J1131" i="7"/>
  <c r="I1131" i="7"/>
  <c r="H1131" i="7"/>
  <c r="G1131" i="7"/>
  <c r="K1130" i="7"/>
  <c r="J1130" i="7"/>
  <c r="I1130" i="7"/>
  <c r="H1130" i="7"/>
  <c r="G1130" i="7"/>
  <c r="K1129" i="7"/>
  <c r="J1129" i="7"/>
  <c r="I1129" i="7"/>
  <c r="H1129" i="7"/>
  <c r="G1129" i="7"/>
  <c r="K1128" i="7"/>
  <c r="J1128" i="7"/>
  <c r="I1128" i="7"/>
  <c r="H1128" i="7"/>
  <c r="G1128" i="7"/>
  <c r="K1127" i="7"/>
  <c r="J1127" i="7"/>
  <c r="I1127" i="7"/>
  <c r="H1127" i="7"/>
  <c r="G1127" i="7"/>
  <c r="K1126" i="7"/>
  <c r="J1126" i="7"/>
  <c r="I1126" i="7"/>
  <c r="H1126" i="7"/>
  <c r="G1126" i="7"/>
  <c r="K1125" i="7"/>
  <c r="J1125" i="7"/>
  <c r="I1125" i="7"/>
  <c r="H1125" i="7"/>
  <c r="G1125" i="7"/>
  <c r="K1124" i="7"/>
  <c r="J1124" i="7"/>
  <c r="I1124" i="7"/>
  <c r="H1124" i="7"/>
  <c r="G1124" i="7"/>
  <c r="K1123" i="7"/>
  <c r="J1123" i="7"/>
  <c r="I1123" i="7"/>
  <c r="H1123" i="7"/>
  <c r="G1123" i="7"/>
  <c r="K1122" i="7"/>
  <c r="J1122" i="7"/>
  <c r="I1122" i="7"/>
  <c r="H1122" i="7"/>
  <c r="G1122" i="7"/>
  <c r="K1121" i="7"/>
  <c r="J1121" i="7"/>
  <c r="I1121" i="7"/>
  <c r="H1121" i="7"/>
  <c r="G1121" i="7"/>
  <c r="K1120" i="7"/>
  <c r="J1120" i="7"/>
  <c r="I1120" i="7"/>
  <c r="H1120" i="7"/>
  <c r="G1120" i="7"/>
  <c r="K1119" i="7"/>
  <c r="J1119" i="7"/>
  <c r="I1119" i="7"/>
  <c r="H1119" i="7"/>
  <c r="G1119" i="7"/>
  <c r="K1118" i="7"/>
  <c r="J1118" i="7"/>
  <c r="I1118" i="7"/>
  <c r="H1118" i="7"/>
  <c r="G1118" i="7"/>
  <c r="K1117" i="7"/>
  <c r="J1117" i="7"/>
  <c r="I1117" i="7"/>
  <c r="H1117" i="7"/>
  <c r="G1117" i="7"/>
  <c r="K1116" i="7"/>
  <c r="J1116" i="7"/>
  <c r="I1116" i="7"/>
  <c r="H1116" i="7"/>
  <c r="G1116" i="7"/>
  <c r="K1115" i="7"/>
  <c r="J1115" i="7"/>
  <c r="I1115" i="7"/>
  <c r="H1115" i="7"/>
  <c r="G1115" i="7"/>
  <c r="K1114" i="7"/>
  <c r="J1114" i="7"/>
  <c r="I1114" i="7"/>
  <c r="H1114" i="7"/>
  <c r="G1114" i="7"/>
  <c r="K1113" i="7"/>
  <c r="J1113" i="7"/>
  <c r="I1113" i="7"/>
  <c r="H1113" i="7"/>
  <c r="G1113" i="7"/>
  <c r="K1112" i="7"/>
  <c r="J1112" i="7"/>
  <c r="I1112" i="7"/>
  <c r="H1112" i="7"/>
  <c r="G1112" i="7"/>
  <c r="K1111" i="7"/>
  <c r="J1111" i="7"/>
  <c r="I1111" i="7"/>
  <c r="H1111" i="7"/>
  <c r="G1111" i="7"/>
  <c r="K1110" i="7"/>
  <c r="J1110" i="7"/>
  <c r="I1110" i="7"/>
  <c r="H1110" i="7"/>
  <c r="G1110" i="7"/>
  <c r="K1109" i="7"/>
  <c r="J1109" i="7"/>
  <c r="I1109" i="7"/>
  <c r="H1109" i="7"/>
  <c r="G1109" i="7"/>
  <c r="K1108" i="7"/>
  <c r="J1108" i="7"/>
  <c r="I1108" i="7"/>
  <c r="H1108" i="7"/>
  <c r="G1108" i="7"/>
  <c r="K1107" i="7"/>
  <c r="J1107" i="7"/>
  <c r="I1107" i="7"/>
  <c r="H1107" i="7"/>
  <c r="G1107" i="7"/>
  <c r="K1106" i="7"/>
  <c r="J1106" i="7"/>
  <c r="I1106" i="7"/>
  <c r="H1106" i="7"/>
  <c r="G1106" i="7"/>
  <c r="K1105" i="7"/>
  <c r="J1105" i="7"/>
  <c r="I1105" i="7"/>
  <c r="H1105" i="7"/>
  <c r="G1105" i="7"/>
  <c r="K1104" i="7"/>
  <c r="J1104" i="7"/>
  <c r="I1104" i="7"/>
  <c r="H1104" i="7"/>
  <c r="G1104" i="7"/>
  <c r="K1103" i="7"/>
  <c r="J1103" i="7"/>
  <c r="I1103" i="7"/>
  <c r="H1103" i="7"/>
  <c r="G1103" i="7"/>
  <c r="K1102" i="7"/>
  <c r="J1102" i="7"/>
  <c r="I1102" i="7"/>
  <c r="H1102" i="7"/>
  <c r="G1102" i="7"/>
  <c r="K1101" i="7"/>
  <c r="J1101" i="7"/>
  <c r="I1101" i="7"/>
  <c r="H1101" i="7"/>
  <c r="G1101" i="7"/>
  <c r="K1100" i="7"/>
  <c r="J1100" i="7"/>
  <c r="I1100" i="7"/>
  <c r="H1100" i="7"/>
  <c r="G1100" i="7"/>
  <c r="K1099" i="7"/>
  <c r="J1099" i="7"/>
  <c r="I1099" i="7"/>
  <c r="H1099" i="7"/>
  <c r="G1099" i="7"/>
  <c r="K1098" i="7"/>
  <c r="J1098" i="7"/>
  <c r="I1098" i="7"/>
  <c r="H1098" i="7"/>
  <c r="G1098" i="7"/>
  <c r="K1097" i="7"/>
  <c r="J1097" i="7"/>
  <c r="I1097" i="7"/>
  <c r="H1097" i="7"/>
  <c r="G1097" i="7"/>
  <c r="K1096" i="7"/>
  <c r="J1096" i="7"/>
  <c r="I1096" i="7"/>
  <c r="H1096" i="7"/>
  <c r="G1096" i="7"/>
  <c r="K1095" i="7"/>
  <c r="J1095" i="7"/>
  <c r="I1095" i="7"/>
  <c r="H1095" i="7"/>
  <c r="G1095" i="7"/>
  <c r="K1094" i="7"/>
  <c r="J1094" i="7"/>
  <c r="I1094" i="7"/>
  <c r="H1094" i="7"/>
  <c r="G1094" i="7"/>
  <c r="K1093" i="7"/>
  <c r="J1093" i="7"/>
  <c r="I1093" i="7"/>
  <c r="H1093" i="7"/>
  <c r="G1093" i="7"/>
  <c r="K1092" i="7"/>
  <c r="J1092" i="7"/>
  <c r="I1092" i="7"/>
  <c r="H1092" i="7"/>
  <c r="G1092" i="7"/>
  <c r="K1091" i="7"/>
  <c r="J1091" i="7"/>
  <c r="I1091" i="7"/>
  <c r="H1091" i="7"/>
  <c r="G1091" i="7"/>
  <c r="K1090" i="7"/>
  <c r="J1090" i="7"/>
  <c r="I1090" i="7"/>
  <c r="H1090" i="7"/>
  <c r="G1090" i="7"/>
  <c r="K1089" i="7"/>
  <c r="J1089" i="7"/>
  <c r="I1089" i="7"/>
  <c r="H1089" i="7"/>
  <c r="G1089" i="7"/>
  <c r="K1088" i="7"/>
  <c r="J1088" i="7"/>
  <c r="I1088" i="7"/>
  <c r="H1088" i="7"/>
  <c r="G1088" i="7"/>
  <c r="K1087" i="7"/>
  <c r="J1087" i="7"/>
  <c r="I1087" i="7"/>
  <c r="H1087" i="7"/>
  <c r="G1087" i="7"/>
  <c r="K1086" i="7"/>
  <c r="J1086" i="7"/>
  <c r="I1086" i="7"/>
  <c r="H1086" i="7"/>
  <c r="G1086" i="7"/>
  <c r="K1085" i="7"/>
  <c r="J1085" i="7"/>
  <c r="I1085" i="7"/>
  <c r="H1085" i="7"/>
  <c r="G1085" i="7"/>
  <c r="K1084" i="7"/>
  <c r="J1084" i="7"/>
  <c r="I1084" i="7"/>
  <c r="H1084" i="7"/>
  <c r="G1084" i="7"/>
  <c r="K1083" i="7"/>
  <c r="J1083" i="7"/>
  <c r="I1083" i="7"/>
  <c r="H1083" i="7"/>
  <c r="G1083" i="7"/>
  <c r="K1082" i="7"/>
  <c r="J1082" i="7"/>
  <c r="I1082" i="7"/>
  <c r="H1082" i="7"/>
  <c r="G1082" i="7"/>
  <c r="K1081" i="7"/>
  <c r="J1081" i="7"/>
  <c r="I1081" i="7"/>
  <c r="H1081" i="7"/>
  <c r="G1081" i="7"/>
  <c r="K1080" i="7"/>
  <c r="J1080" i="7"/>
  <c r="I1080" i="7"/>
  <c r="H1080" i="7"/>
  <c r="G1080" i="7"/>
  <c r="K1079" i="7"/>
  <c r="J1079" i="7"/>
  <c r="I1079" i="7"/>
  <c r="H1079" i="7"/>
  <c r="G1079" i="7"/>
  <c r="K1078" i="7"/>
  <c r="J1078" i="7"/>
  <c r="I1078" i="7"/>
  <c r="H1078" i="7"/>
  <c r="G1078" i="7"/>
  <c r="K1077" i="7"/>
  <c r="J1077" i="7"/>
  <c r="I1077" i="7"/>
  <c r="H1077" i="7"/>
  <c r="G1077" i="7"/>
  <c r="K1076" i="7"/>
  <c r="J1076" i="7"/>
  <c r="I1076" i="7"/>
  <c r="H1076" i="7"/>
  <c r="G1076" i="7"/>
  <c r="K1075" i="7"/>
  <c r="J1075" i="7"/>
  <c r="I1075" i="7"/>
  <c r="H1075" i="7"/>
  <c r="G1075" i="7"/>
  <c r="K1074" i="7"/>
  <c r="J1074" i="7"/>
  <c r="I1074" i="7"/>
  <c r="H1074" i="7"/>
  <c r="G1074" i="7"/>
  <c r="K1073" i="7"/>
  <c r="J1073" i="7"/>
  <c r="I1073" i="7"/>
  <c r="H1073" i="7"/>
  <c r="G1073" i="7"/>
  <c r="K1072" i="7"/>
  <c r="J1072" i="7"/>
  <c r="I1072" i="7"/>
  <c r="H1072" i="7"/>
  <c r="G1072" i="7"/>
  <c r="K1071" i="7"/>
  <c r="J1071" i="7"/>
  <c r="I1071" i="7"/>
  <c r="H1071" i="7"/>
  <c r="G1071" i="7"/>
  <c r="K1070" i="7"/>
  <c r="J1070" i="7"/>
  <c r="I1070" i="7"/>
  <c r="H1070" i="7"/>
  <c r="G1070" i="7"/>
  <c r="K1069" i="7"/>
  <c r="J1069" i="7"/>
  <c r="I1069" i="7"/>
  <c r="H1069" i="7"/>
  <c r="G1069" i="7"/>
  <c r="K1068" i="7"/>
  <c r="J1068" i="7"/>
  <c r="I1068" i="7"/>
  <c r="H1068" i="7"/>
  <c r="G1068" i="7"/>
  <c r="K1067" i="7"/>
  <c r="J1067" i="7"/>
  <c r="I1067" i="7"/>
  <c r="H1067" i="7"/>
  <c r="G1067" i="7"/>
  <c r="K1066" i="7"/>
  <c r="J1066" i="7"/>
  <c r="I1066" i="7"/>
  <c r="H1066" i="7"/>
  <c r="G1066" i="7"/>
  <c r="K1065" i="7"/>
  <c r="J1065" i="7"/>
  <c r="I1065" i="7"/>
  <c r="H1065" i="7"/>
  <c r="G1065" i="7"/>
  <c r="K1064" i="7"/>
  <c r="J1064" i="7"/>
  <c r="I1064" i="7"/>
  <c r="H1064" i="7"/>
  <c r="G1064" i="7"/>
  <c r="K1063" i="7"/>
  <c r="J1063" i="7"/>
  <c r="I1063" i="7"/>
  <c r="H1063" i="7"/>
  <c r="G1063" i="7"/>
  <c r="K1062" i="7"/>
  <c r="J1062" i="7"/>
  <c r="I1062" i="7"/>
  <c r="H1062" i="7"/>
  <c r="G1062" i="7"/>
  <c r="K1061" i="7"/>
  <c r="J1061" i="7"/>
  <c r="I1061" i="7"/>
  <c r="H1061" i="7"/>
  <c r="G1061" i="7"/>
  <c r="K1060" i="7"/>
  <c r="J1060" i="7"/>
  <c r="I1060" i="7"/>
  <c r="H1060" i="7"/>
  <c r="G1060" i="7"/>
  <c r="K1059" i="7"/>
  <c r="J1059" i="7"/>
  <c r="I1059" i="7"/>
  <c r="H1059" i="7"/>
  <c r="G1059" i="7"/>
  <c r="K1058" i="7"/>
  <c r="J1058" i="7"/>
  <c r="I1058" i="7"/>
  <c r="H1058" i="7"/>
  <c r="G1058" i="7"/>
  <c r="K1057" i="7"/>
  <c r="J1057" i="7"/>
  <c r="I1057" i="7"/>
  <c r="H1057" i="7"/>
  <c r="G1057" i="7"/>
  <c r="K1056" i="7"/>
  <c r="J1056" i="7"/>
  <c r="I1056" i="7"/>
  <c r="H1056" i="7"/>
  <c r="G1056" i="7"/>
  <c r="K1055" i="7"/>
  <c r="J1055" i="7"/>
  <c r="I1055" i="7"/>
  <c r="H1055" i="7"/>
  <c r="G1055" i="7"/>
  <c r="K1054" i="7"/>
  <c r="J1054" i="7"/>
  <c r="I1054" i="7"/>
  <c r="H1054" i="7"/>
  <c r="G1054" i="7"/>
  <c r="K1053" i="7"/>
  <c r="J1053" i="7"/>
  <c r="I1053" i="7"/>
  <c r="H1053" i="7"/>
  <c r="G1053" i="7"/>
  <c r="K1052" i="7"/>
  <c r="J1052" i="7"/>
  <c r="I1052" i="7"/>
  <c r="H1052" i="7"/>
  <c r="G1052" i="7"/>
  <c r="K1051" i="7"/>
  <c r="J1051" i="7"/>
  <c r="I1051" i="7"/>
  <c r="H1051" i="7"/>
  <c r="G1051" i="7"/>
  <c r="K1050" i="7"/>
  <c r="J1050" i="7"/>
  <c r="I1050" i="7"/>
  <c r="H1050" i="7"/>
  <c r="G1050" i="7"/>
  <c r="K1049" i="7"/>
  <c r="J1049" i="7"/>
  <c r="I1049" i="7"/>
  <c r="H1049" i="7"/>
  <c r="G1049" i="7"/>
  <c r="K1048" i="7"/>
  <c r="J1048" i="7"/>
  <c r="I1048" i="7"/>
  <c r="H1048" i="7"/>
  <c r="G1048" i="7"/>
  <c r="K1047" i="7"/>
  <c r="J1047" i="7"/>
  <c r="I1047" i="7"/>
  <c r="H1047" i="7"/>
  <c r="G1047" i="7"/>
  <c r="K1046" i="7"/>
  <c r="J1046" i="7"/>
  <c r="I1046" i="7"/>
  <c r="H1046" i="7"/>
  <c r="G1046" i="7"/>
  <c r="K1045" i="7"/>
  <c r="J1045" i="7"/>
  <c r="I1045" i="7"/>
  <c r="H1045" i="7"/>
  <c r="G1045" i="7"/>
  <c r="K1044" i="7"/>
  <c r="J1044" i="7"/>
  <c r="I1044" i="7"/>
  <c r="H1044" i="7"/>
  <c r="G1044" i="7"/>
  <c r="K1043" i="7"/>
  <c r="J1043" i="7"/>
  <c r="I1043" i="7"/>
  <c r="H1043" i="7"/>
  <c r="G1043" i="7"/>
  <c r="K1042" i="7"/>
  <c r="J1042" i="7"/>
  <c r="I1042" i="7"/>
  <c r="H1042" i="7"/>
  <c r="G1042" i="7"/>
  <c r="K1041" i="7"/>
  <c r="J1041" i="7"/>
  <c r="I1041" i="7"/>
  <c r="H1041" i="7"/>
  <c r="G1041" i="7"/>
  <c r="K1040" i="7"/>
  <c r="J1040" i="7"/>
  <c r="I1040" i="7"/>
  <c r="H1040" i="7"/>
  <c r="G1040" i="7"/>
  <c r="K1039" i="7"/>
  <c r="J1039" i="7"/>
  <c r="I1039" i="7"/>
  <c r="H1039" i="7"/>
  <c r="G1039" i="7"/>
  <c r="K1038" i="7"/>
  <c r="J1038" i="7"/>
  <c r="I1038" i="7"/>
  <c r="H1038" i="7"/>
  <c r="G1038" i="7"/>
  <c r="K1037" i="7"/>
  <c r="J1037" i="7"/>
  <c r="I1037" i="7"/>
  <c r="H1037" i="7"/>
  <c r="G1037" i="7"/>
  <c r="K1036" i="7"/>
  <c r="J1036" i="7"/>
  <c r="I1036" i="7"/>
  <c r="H1036" i="7"/>
  <c r="G1036" i="7"/>
  <c r="K1035" i="7"/>
  <c r="J1035" i="7"/>
  <c r="I1035" i="7"/>
  <c r="H1035" i="7"/>
  <c r="G1035" i="7"/>
  <c r="K1034" i="7"/>
  <c r="J1034" i="7"/>
  <c r="I1034" i="7"/>
  <c r="H1034" i="7"/>
  <c r="G1034" i="7"/>
  <c r="K1033" i="7"/>
  <c r="J1033" i="7"/>
  <c r="I1033" i="7"/>
  <c r="H1033" i="7"/>
  <c r="G1033" i="7"/>
  <c r="K1032" i="7"/>
  <c r="J1032" i="7"/>
  <c r="I1032" i="7"/>
  <c r="H1032" i="7"/>
  <c r="G1032" i="7"/>
  <c r="K1031" i="7"/>
  <c r="J1031" i="7"/>
  <c r="I1031" i="7"/>
  <c r="H1031" i="7"/>
  <c r="G1031" i="7"/>
  <c r="K1030" i="7"/>
  <c r="J1030" i="7"/>
  <c r="I1030" i="7"/>
  <c r="H1030" i="7"/>
  <c r="G1030" i="7"/>
  <c r="K1029" i="7"/>
  <c r="J1029" i="7"/>
  <c r="I1029" i="7"/>
  <c r="H1029" i="7"/>
  <c r="G1029" i="7"/>
  <c r="K1028" i="7"/>
  <c r="J1028" i="7"/>
  <c r="I1028" i="7"/>
  <c r="H1028" i="7"/>
  <c r="G1028" i="7"/>
  <c r="K1027" i="7"/>
  <c r="J1027" i="7"/>
  <c r="I1027" i="7"/>
  <c r="H1027" i="7"/>
  <c r="G1027" i="7"/>
  <c r="K1026" i="7"/>
  <c r="J1026" i="7"/>
  <c r="I1026" i="7"/>
  <c r="H1026" i="7"/>
  <c r="G1026" i="7"/>
  <c r="K1025" i="7"/>
  <c r="J1025" i="7"/>
  <c r="I1025" i="7"/>
  <c r="H1025" i="7"/>
  <c r="G1025" i="7"/>
  <c r="K1024" i="7"/>
  <c r="J1024" i="7"/>
  <c r="I1024" i="7"/>
  <c r="H1024" i="7"/>
  <c r="G1024" i="7"/>
  <c r="K1023" i="7"/>
  <c r="J1023" i="7"/>
  <c r="I1023" i="7"/>
  <c r="H1023" i="7"/>
  <c r="G1023" i="7"/>
  <c r="K1022" i="7"/>
  <c r="J1022" i="7"/>
  <c r="I1022" i="7"/>
  <c r="H1022" i="7"/>
  <c r="G1022" i="7"/>
  <c r="K1021" i="7"/>
  <c r="J1021" i="7"/>
  <c r="I1021" i="7"/>
  <c r="H1021" i="7"/>
  <c r="G1021" i="7"/>
  <c r="K1020" i="7"/>
  <c r="J1020" i="7"/>
  <c r="I1020" i="7"/>
  <c r="H1020" i="7"/>
  <c r="G1020" i="7"/>
  <c r="K1019" i="7"/>
  <c r="J1019" i="7"/>
  <c r="I1019" i="7"/>
  <c r="H1019" i="7"/>
  <c r="G1019" i="7"/>
  <c r="K1018" i="7"/>
  <c r="J1018" i="7"/>
  <c r="I1018" i="7"/>
  <c r="H1018" i="7"/>
  <c r="G1018" i="7"/>
  <c r="K1017" i="7"/>
  <c r="J1017" i="7"/>
  <c r="I1017" i="7"/>
  <c r="H1017" i="7"/>
  <c r="G1017" i="7"/>
  <c r="K1016" i="7"/>
  <c r="J1016" i="7"/>
  <c r="I1016" i="7"/>
  <c r="H1016" i="7"/>
  <c r="G1016" i="7"/>
  <c r="K1015" i="7"/>
  <c r="J1015" i="7"/>
  <c r="I1015" i="7"/>
  <c r="H1015" i="7"/>
  <c r="G1015" i="7"/>
  <c r="K1014" i="7"/>
  <c r="J1014" i="7"/>
  <c r="I1014" i="7"/>
  <c r="H1014" i="7"/>
  <c r="G1014" i="7"/>
  <c r="K1013" i="7"/>
  <c r="J1013" i="7"/>
  <c r="I1013" i="7"/>
  <c r="H1013" i="7"/>
  <c r="G1013" i="7"/>
  <c r="K1012" i="7"/>
  <c r="J1012" i="7"/>
  <c r="I1012" i="7"/>
  <c r="H1012" i="7"/>
  <c r="G1012" i="7"/>
  <c r="K1011" i="7"/>
  <c r="J1011" i="7"/>
  <c r="I1011" i="7"/>
  <c r="H1011" i="7"/>
  <c r="G1011" i="7"/>
  <c r="K1010" i="7"/>
  <c r="J1010" i="7"/>
  <c r="I1010" i="7"/>
  <c r="H1010" i="7"/>
  <c r="G1010" i="7"/>
  <c r="K1009" i="7"/>
  <c r="J1009" i="7"/>
  <c r="I1009" i="7"/>
  <c r="H1009" i="7"/>
  <c r="G1009" i="7"/>
  <c r="K1008" i="7"/>
  <c r="J1008" i="7"/>
  <c r="I1008" i="7"/>
  <c r="H1008" i="7"/>
  <c r="G1008" i="7"/>
  <c r="K1007" i="7"/>
  <c r="J1007" i="7"/>
  <c r="I1007" i="7"/>
  <c r="H1007" i="7"/>
  <c r="G1007" i="7"/>
  <c r="K1006" i="7"/>
  <c r="J1006" i="7"/>
  <c r="I1006" i="7"/>
  <c r="H1006" i="7"/>
  <c r="G1006" i="7"/>
  <c r="K1005" i="7"/>
  <c r="J1005" i="7"/>
  <c r="I1005" i="7"/>
  <c r="H1005" i="7"/>
  <c r="G1005" i="7"/>
  <c r="K1004" i="7"/>
  <c r="J1004" i="7"/>
  <c r="I1004" i="7"/>
  <c r="H1004" i="7"/>
  <c r="G1004" i="7"/>
  <c r="K1003" i="7"/>
  <c r="J1003" i="7"/>
  <c r="I1003" i="7"/>
  <c r="H1003" i="7"/>
  <c r="G1003" i="7"/>
  <c r="K1002" i="7"/>
  <c r="J1002" i="7"/>
  <c r="I1002" i="7"/>
  <c r="H1002" i="7"/>
  <c r="G1002" i="7"/>
  <c r="K1001" i="7"/>
  <c r="J1001" i="7"/>
  <c r="I1001" i="7"/>
  <c r="H1001" i="7"/>
  <c r="G1001" i="7"/>
  <c r="K1000" i="7"/>
  <c r="J1000" i="7"/>
  <c r="I1000" i="7"/>
  <c r="H1000" i="7"/>
  <c r="G1000" i="7"/>
  <c r="K999" i="7"/>
  <c r="J999" i="7"/>
  <c r="I999" i="7"/>
  <c r="H999" i="7"/>
  <c r="G999" i="7"/>
  <c r="K998" i="7"/>
  <c r="J998" i="7"/>
  <c r="I998" i="7"/>
  <c r="H998" i="7"/>
  <c r="G998" i="7"/>
  <c r="K997" i="7"/>
  <c r="J997" i="7"/>
  <c r="I997" i="7"/>
  <c r="H997" i="7"/>
  <c r="G997" i="7"/>
  <c r="K996" i="7"/>
  <c r="J996" i="7"/>
  <c r="I996" i="7"/>
  <c r="H996" i="7"/>
  <c r="G996" i="7"/>
  <c r="K995" i="7"/>
  <c r="J995" i="7"/>
  <c r="I995" i="7"/>
  <c r="H995" i="7"/>
  <c r="G995" i="7"/>
  <c r="K994" i="7"/>
  <c r="J994" i="7"/>
  <c r="I994" i="7"/>
  <c r="H994" i="7"/>
  <c r="G994" i="7"/>
  <c r="K993" i="7"/>
  <c r="J993" i="7"/>
  <c r="I993" i="7"/>
  <c r="H993" i="7"/>
  <c r="G993" i="7"/>
  <c r="K992" i="7"/>
  <c r="J992" i="7"/>
  <c r="I992" i="7"/>
  <c r="H992" i="7"/>
  <c r="G992" i="7"/>
  <c r="K991" i="7"/>
  <c r="J991" i="7"/>
  <c r="I991" i="7"/>
  <c r="H991" i="7"/>
  <c r="G991" i="7"/>
  <c r="K990" i="7"/>
  <c r="J990" i="7"/>
  <c r="I990" i="7"/>
  <c r="H990" i="7"/>
  <c r="G990" i="7"/>
  <c r="K989" i="7"/>
  <c r="J989" i="7"/>
  <c r="I989" i="7"/>
  <c r="H989" i="7"/>
  <c r="G989" i="7"/>
  <c r="K988" i="7"/>
  <c r="J988" i="7"/>
  <c r="I988" i="7"/>
  <c r="H988" i="7"/>
  <c r="G988" i="7"/>
  <c r="K987" i="7"/>
  <c r="J987" i="7"/>
  <c r="I987" i="7"/>
  <c r="H987" i="7"/>
  <c r="G987" i="7"/>
  <c r="K986" i="7"/>
  <c r="J986" i="7"/>
  <c r="I986" i="7"/>
  <c r="H986" i="7"/>
  <c r="G986" i="7"/>
  <c r="K985" i="7"/>
  <c r="J985" i="7"/>
  <c r="I985" i="7"/>
  <c r="H985" i="7"/>
  <c r="G985" i="7"/>
  <c r="K984" i="7"/>
  <c r="J984" i="7"/>
  <c r="I984" i="7"/>
  <c r="H984" i="7"/>
  <c r="G984" i="7"/>
  <c r="K983" i="7"/>
  <c r="J983" i="7"/>
  <c r="I983" i="7"/>
  <c r="H983" i="7"/>
  <c r="G983" i="7"/>
  <c r="K982" i="7"/>
  <c r="J982" i="7"/>
  <c r="I982" i="7"/>
  <c r="H982" i="7"/>
  <c r="G982" i="7"/>
  <c r="K981" i="7"/>
  <c r="J981" i="7"/>
  <c r="I981" i="7"/>
  <c r="H981" i="7"/>
  <c r="G981" i="7"/>
  <c r="K980" i="7"/>
  <c r="J980" i="7"/>
  <c r="I980" i="7"/>
  <c r="H980" i="7"/>
  <c r="G980" i="7"/>
  <c r="K979" i="7"/>
  <c r="J979" i="7"/>
  <c r="I979" i="7"/>
  <c r="H979" i="7"/>
  <c r="G979" i="7"/>
  <c r="K978" i="7"/>
  <c r="J978" i="7"/>
  <c r="I978" i="7"/>
  <c r="H978" i="7"/>
  <c r="G978" i="7"/>
  <c r="K977" i="7"/>
  <c r="J977" i="7"/>
  <c r="I977" i="7"/>
  <c r="H977" i="7"/>
  <c r="G977" i="7"/>
  <c r="K976" i="7"/>
  <c r="J976" i="7"/>
  <c r="I976" i="7"/>
  <c r="H976" i="7"/>
  <c r="G976" i="7"/>
  <c r="K975" i="7"/>
  <c r="J975" i="7"/>
  <c r="I975" i="7"/>
  <c r="H975" i="7"/>
  <c r="G975" i="7"/>
  <c r="K974" i="7"/>
  <c r="J974" i="7"/>
  <c r="I974" i="7"/>
  <c r="H974" i="7"/>
  <c r="G974" i="7"/>
  <c r="K973" i="7"/>
  <c r="J973" i="7"/>
  <c r="I973" i="7"/>
  <c r="H973" i="7"/>
  <c r="G973" i="7"/>
  <c r="K972" i="7"/>
  <c r="J972" i="7"/>
  <c r="I972" i="7"/>
  <c r="H972" i="7"/>
  <c r="G972" i="7"/>
  <c r="K971" i="7"/>
  <c r="J971" i="7"/>
  <c r="I971" i="7"/>
  <c r="H971" i="7"/>
  <c r="G971" i="7"/>
  <c r="K970" i="7"/>
  <c r="J970" i="7"/>
  <c r="I970" i="7"/>
  <c r="H970" i="7"/>
  <c r="G970" i="7"/>
  <c r="K969" i="7"/>
  <c r="J969" i="7"/>
  <c r="I969" i="7"/>
  <c r="H969" i="7"/>
  <c r="G969" i="7"/>
  <c r="K968" i="7"/>
  <c r="J968" i="7"/>
  <c r="I968" i="7"/>
  <c r="H968" i="7"/>
  <c r="G968" i="7"/>
  <c r="K967" i="7"/>
  <c r="J967" i="7"/>
  <c r="I967" i="7"/>
  <c r="H967" i="7"/>
  <c r="G967" i="7"/>
  <c r="K966" i="7"/>
  <c r="J966" i="7"/>
  <c r="I966" i="7"/>
  <c r="H966" i="7"/>
  <c r="G966" i="7"/>
  <c r="K965" i="7"/>
  <c r="J965" i="7"/>
  <c r="I965" i="7"/>
  <c r="H965" i="7"/>
  <c r="G965" i="7"/>
  <c r="K964" i="7"/>
  <c r="J964" i="7"/>
  <c r="I964" i="7"/>
  <c r="H964" i="7"/>
  <c r="G964" i="7"/>
  <c r="K963" i="7"/>
  <c r="J963" i="7"/>
  <c r="I963" i="7"/>
  <c r="H963" i="7"/>
  <c r="G963" i="7"/>
  <c r="K962" i="7"/>
  <c r="J962" i="7"/>
  <c r="I962" i="7"/>
  <c r="H962" i="7"/>
  <c r="G962" i="7"/>
  <c r="K961" i="7"/>
  <c r="J961" i="7"/>
  <c r="I961" i="7"/>
  <c r="H961" i="7"/>
  <c r="G961" i="7"/>
  <c r="K960" i="7"/>
  <c r="J960" i="7"/>
  <c r="I960" i="7"/>
  <c r="H960" i="7"/>
  <c r="G960" i="7"/>
  <c r="K959" i="7"/>
  <c r="J959" i="7"/>
  <c r="I959" i="7"/>
  <c r="H959" i="7"/>
  <c r="G959" i="7"/>
  <c r="K958" i="7"/>
  <c r="J958" i="7"/>
  <c r="I958" i="7"/>
  <c r="H958" i="7"/>
  <c r="G958" i="7"/>
  <c r="K957" i="7"/>
  <c r="J957" i="7"/>
  <c r="I957" i="7"/>
  <c r="H957" i="7"/>
  <c r="G957" i="7"/>
  <c r="K956" i="7"/>
  <c r="J956" i="7"/>
  <c r="I956" i="7"/>
  <c r="H956" i="7"/>
  <c r="G956" i="7"/>
  <c r="K955" i="7"/>
  <c r="J955" i="7"/>
  <c r="I955" i="7"/>
  <c r="H955" i="7"/>
  <c r="G955" i="7"/>
  <c r="K954" i="7"/>
  <c r="J954" i="7"/>
  <c r="I954" i="7"/>
  <c r="H954" i="7"/>
  <c r="G954" i="7"/>
  <c r="K953" i="7"/>
  <c r="J953" i="7"/>
  <c r="I953" i="7"/>
  <c r="H953" i="7"/>
  <c r="G953" i="7"/>
  <c r="K952" i="7"/>
  <c r="J952" i="7"/>
  <c r="I952" i="7"/>
  <c r="H952" i="7"/>
  <c r="G952" i="7"/>
  <c r="K951" i="7"/>
  <c r="J951" i="7"/>
  <c r="I951" i="7"/>
  <c r="H951" i="7"/>
  <c r="G951" i="7"/>
  <c r="K950" i="7"/>
  <c r="J950" i="7"/>
  <c r="I950" i="7"/>
  <c r="H950" i="7"/>
  <c r="G950" i="7"/>
  <c r="K949" i="7"/>
  <c r="J949" i="7"/>
  <c r="I949" i="7"/>
  <c r="H949" i="7"/>
  <c r="G949" i="7"/>
  <c r="K948" i="7"/>
  <c r="J948" i="7"/>
  <c r="I948" i="7"/>
  <c r="H948" i="7"/>
  <c r="G948" i="7"/>
  <c r="K947" i="7"/>
  <c r="J947" i="7"/>
  <c r="I947" i="7"/>
  <c r="H947" i="7"/>
  <c r="G947" i="7"/>
  <c r="K946" i="7"/>
  <c r="J946" i="7"/>
  <c r="I946" i="7"/>
  <c r="H946" i="7"/>
  <c r="G946" i="7"/>
  <c r="K945" i="7"/>
  <c r="J945" i="7"/>
  <c r="I945" i="7"/>
  <c r="H945" i="7"/>
  <c r="G945" i="7"/>
  <c r="K944" i="7"/>
  <c r="J944" i="7"/>
  <c r="I944" i="7"/>
  <c r="H944" i="7"/>
  <c r="G944" i="7"/>
  <c r="K943" i="7"/>
  <c r="J943" i="7"/>
  <c r="I943" i="7"/>
  <c r="H943" i="7"/>
  <c r="G943" i="7"/>
  <c r="K942" i="7"/>
  <c r="J942" i="7"/>
  <c r="I942" i="7"/>
  <c r="H942" i="7"/>
  <c r="G942" i="7"/>
  <c r="K941" i="7"/>
  <c r="J941" i="7"/>
  <c r="I941" i="7"/>
  <c r="H941" i="7"/>
  <c r="G941" i="7"/>
  <c r="K940" i="7"/>
  <c r="J940" i="7"/>
  <c r="I940" i="7"/>
  <c r="H940" i="7"/>
  <c r="G940" i="7"/>
  <c r="K939" i="7"/>
  <c r="J939" i="7"/>
  <c r="I939" i="7"/>
  <c r="H939" i="7"/>
  <c r="G939" i="7"/>
  <c r="K938" i="7"/>
  <c r="J938" i="7"/>
  <c r="I938" i="7"/>
  <c r="H938" i="7"/>
  <c r="G938" i="7"/>
  <c r="K937" i="7"/>
  <c r="J937" i="7"/>
  <c r="I937" i="7"/>
  <c r="H937" i="7"/>
  <c r="G937" i="7"/>
  <c r="K936" i="7"/>
  <c r="J936" i="7"/>
  <c r="I936" i="7"/>
  <c r="H936" i="7"/>
  <c r="G936" i="7"/>
  <c r="K935" i="7"/>
  <c r="J935" i="7"/>
  <c r="I935" i="7"/>
  <c r="H935" i="7"/>
  <c r="G935" i="7"/>
  <c r="K934" i="7"/>
  <c r="J934" i="7"/>
  <c r="I934" i="7"/>
  <c r="H934" i="7"/>
  <c r="G934" i="7"/>
  <c r="K933" i="7"/>
  <c r="J933" i="7"/>
  <c r="I933" i="7"/>
  <c r="H933" i="7"/>
  <c r="G933" i="7"/>
  <c r="K932" i="7"/>
  <c r="J932" i="7"/>
  <c r="I932" i="7"/>
  <c r="H932" i="7"/>
  <c r="G932" i="7"/>
  <c r="K931" i="7"/>
  <c r="J931" i="7"/>
  <c r="I931" i="7"/>
  <c r="H931" i="7"/>
  <c r="G931" i="7"/>
  <c r="K930" i="7"/>
  <c r="J930" i="7"/>
  <c r="I930" i="7"/>
  <c r="H930" i="7"/>
  <c r="G930" i="7"/>
  <c r="K929" i="7"/>
  <c r="J929" i="7"/>
  <c r="I929" i="7"/>
  <c r="H929" i="7"/>
  <c r="G929" i="7"/>
  <c r="K928" i="7"/>
  <c r="J928" i="7"/>
  <c r="I928" i="7"/>
  <c r="H928" i="7"/>
  <c r="G928" i="7"/>
  <c r="K927" i="7"/>
  <c r="J927" i="7"/>
  <c r="I927" i="7"/>
  <c r="H927" i="7"/>
  <c r="G927" i="7"/>
  <c r="K926" i="7"/>
  <c r="J926" i="7"/>
  <c r="I926" i="7"/>
  <c r="H926" i="7"/>
  <c r="G926" i="7"/>
  <c r="K925" i="7"/>
  <c r="J925" i="7"/>
  <c r="I925" i="7"/>
  <c r="H925" i="7"/>
  <c r="G925" i="7"/>
  <c r="K924" i="7"/>
  <c r="J924" i="7"/>
  <c r="I924" i="7"/>
  <c r="H924" i="7"/>
  <c r="G924" i="7"/>
  <c r="K923" i="7"/>
  <c r="J923" i="7"/>
  <c r="I923" i="7"/>
  <c r="H923" i="7"/>
  <c r="G923" i="7"/>
  <c r="K922" i="7"/>
  <c r="J922" i="7"/>
  <c r="I922" i="7"/>
  <c r="H922" i="7"/>
  <c r="G922" i="7"/>
  <c r="K921" i="7"/>
  <c r="J921" i="7"/>
  <c r="I921" i="7"/>
  <c r="H921" i="7"/>
  <c r="G921" i="7"/>
  <c r="K920" i="7"/>
  <c r="J920" i="7"/>
  <c r="I920" i="7"/>
  <c r="H920" i="7"/>
  <c r="G920" i="7"/>
  <c r="K919" i="7"/>
  <c r="J919" i="7"/>
  <c r="I919" i="7"/>
  <c r="H919" i="7"/>
  <c r="G919" i="7"/>
  <c r="K918" i="7"/>
  <c r="J918" i="7"/>
  <c r="I918" i="7"/>
  <c r="H918" i="7"/>
  <c r="G918" i="7"/>
  <c r="K917" i="7"/>
  <c r="J917" i="7"/>
  <c r="I917" i="7"/>
  <c r="H917" i="7"/>
  <c r="G917" i="7"/>
  <c r="K916" i="7"/>
  <c r="J916" i="7"/>
  <c r="I916" i="7"/>
  <c r="H916" i="7"/>
  <c r="G916" i="7"/>
  <c r="K915" i="7"/>
  <c r="J915" i="7"/>
  <c r="I915" i="7"/>
  <c r="H915" i="7"/>
  <c r="G915" i="7"/>
  <c r="K914" i="7"/>
  <c r="J914" i="7"/>
  <c r="I914" i="7"/>
  <c r="H914" i="7"/>
  <c r="G914" i="7"/>
  <c r="K913" i="7"/>
  <c r="J913" i="7"/>
  <c r="I913" i="7"/>
  <c r="H913" i="7"/>
  <c r="G913" i="7"/>
  <c r="K912" i="7"/>
  <c r="J912" i="7"/>
  <c r="I912" i="7"/>
  <c r="H912" i="7"/>
  <c r="G912" i="7"/>
  <c r="K911" i="7"/>
  <c r="J911" i="7"/>
  <c r="I911" i="7"/>
  <c r="H911" i="7"/>
  <c r="G911" i="7"/>
  <c r="K910" i="7"/>
  <c r="J910" i="7"/>
  <c r="I910" i="7"/>
  <c r="H910" i="7"/>
  <c r="G910" i="7"/>
  <c r="K909" i="7"/>
  <c r="J909" i="7"/>
  <c r="I909" i="7"/>
  <c r="H909" i="7"/>
  <c r="G909" i="7"/>
  <c r="K908" i="7"/>
  <c r="J908" i="7"/>
  <c r="I908" i="7"/>
  <c r="H908" i="7"/>
  <c r="G908" i="7"/>
  <c r="K907" i="7"/>
  <c r="J907" i="7"/>
  <c r="I907" i="7"/>
  <c r="H907" i="7"/>
  <c r="G907" i="7"/>
  <c r="K906" i="7"/>
  <c r="J906" i="7"/>
  <c r="I906" i="7"/>
  <c r="H906" i="7"/>
  <c r="G906" i="7"/>
  <c r="K905" i="7"/>
  <c r="J905" i="7"/>
  <c r="I905" i="7"/>
  <c r="H905" i="7"/>
  <c r="G905" i="7"/>
  <c r="K904" i="7"/>
  <c r="J904" i="7"/>
  <c r="I904" i="7"/>
  <c r="H904" i="7"/>
  <c r="G904" i="7"/>
  <c r="K903" i="7"/>
  <c r="J903" i="7"/>
  <c r="I903" i="7"/>
  <c r="H903" i="7"/>
  <c r="G903" i="7"/>
  <c r="K902" i="7"/>
  <c r="J902" i="7"/>
  <c r="I902" i="7"/>
  <c r="H902" i="7"/>
  <c r="G902" i="7"/>
  <c r="K901" i="7"/>
  <c r="J901" i="7"/>
  <c r="I901" i="7"/>
  <c r="H901" i="7"/>
  <c r="G901" i="7"/>
  <c r="K900" i="7"/>
  <c r="J900" i="7"/>
  <c r="I900" i="7"/>
  <c r="H900" i="7"/>
  <c r="G900" i="7"/>
  <c r="K899" i="7"/>
  <c r="J899" i="7"/>
  <c r="I899" i="7"/>
  <c r="H899" i="7"/>
  <c r="G899" i="7"/>
  <c r="K898" i="7"/>
  <c r="J898" i="7"/>
  <c r="I898" i="7"/>
  <c r="H898" i="7"/>
  <c r="G898" i="7"/>
  <c r="K897" i="7"/>
  <c r="J897" i="7"/>
  <c r="I897" i="7"/>
  <c r="H897" i="7"/>
  <c r="G897" i="7"/>
  <c r="K896" i="7"/>
  <c r="J896" i="7"/>
  <c r="I896" i="7"/>
  <c r="H896" i="7"/>
  <c r="G896" i="7"/>
  <c r="K895" i="7"/>
  <c r="J895" i="7"/>
  <c r="I895" i="7"/>
  <c r="H895" i="7"/>
  <c r="G895" i="7"/>
  <c r="K894" i="7"/>
  <c r="J894" i="7"/>
  <c r="I894" i="7"/>
  <c r="H894" i="7"/>
  <c r="G894" i="7"/>
  <c r="K893" i="7"/>
  <c r="J893" i="7"/>
  <c r="I893" i="7"/>
  <c r="H893" i="7"/>
  <c r="G893" i="7"/>
  <c r="K892" i="7"/>
  <c r="J892" i="7"/>
  <c r="I892" i="7"/>
  <c r="H892" i="7"/>
  <c r="G892" i="7"/>
  <c r="K891" i="7"/>
  <c r="J891" i="7"/>
  <c r="I891" i="7"/>
  <c r="H891" i="7"/>
  <c r="G891" i="7"/>
  <c r="K890" i="7"/>
  <c r="J890" i="7"/>
  <c r="I890" i="7"/>
  <c r="H890" i="7"/>
  <c r="G890" i="7"/>
  <c r="K889" i="7"/>
  <c r="J889" i="7"/>
  <c r="I889" i="7"/>
  <c r="H889" i="7"/>
  <c r="G889" i="7"/>
  <c r="K888" i="7"/>
  <c r="J888" i="7"/>
  <c r="I888" i="7"/>
  <c r="H888" i="7"/>
  <c r="G888" i="7"/>
  <c r="K887" i="7"/>
  <c r="J887" i="7"/>
  <c r="I887" i="7"/>
  <c r="H887" i="7"/>
  <c r="G887" i="7"/>
  <c r="K886" i="7"/>
  <c r="J886" i="7"/>
  <c r="I886" i="7"/>
  <c r="H886" i="7"/>
  <c r="G886" i="7"/>
  <c r="K885" i="7"/>
  <c r="J885" i="7"/>
  <c r="I885" i="7"/>
  <c r="H885" i="7"/>
  <c r="G885" i="7"/>
  <c r="K884" i="7"/>
  <c r="J884" i="7"/>
  <c r="I884" i="7"/>
  <c r="H884" i="7"/>
  <c r="G884" i="7"/>
  <c r="K883" i="7"/>
  <c r="J883" i="7"/>
  <c r="I883" i="7"/>
  <c r="H883" i="7"/>
  <c r="G883" i="7"/>
  <c r="K882" i="7"/>
  <c r="J882" i="7"/>
  <c r="I882" i="7"/>
  <c r="H882" i="7"/>
  <c r="G882" i="7"/>
  <c r="K881" i="7"/>
  <c r="J881" i="7"/>
  <c r="I881" i="7"/>
  <c r="H881" i="7"/>
  <c r="G881" i="7"/>
  <c r="K880" i="7"/>
  <c r="J880" i="7"/>
  <c r="I880" i="7"/>
  <c r="H880" i="7"/>
  <c r="G880" i="7"/>
  <c r="K879" i="7"/>
  <c r="J879" i="7"/>
  <c r="I879" i="7"/>
  <c r="H879" i="7"/>
  <c r="G879" i="7"/>
  <c r="K878" i="7"/>
  <c r="J878" i="7"/>
  <c r="I878" i="7"/>
  <c r="H878" i="7"/>
  <c r="G878" i="7"/>
  <c r="K877" i="7"/>
  <c r="J877" i="7"/>
  <c r="I877" i="7"/>
  <c r="H877" i="7"/>
  <c r="G877" i="7"/>
  <c r="K876" i="7"/>
  <c r="J876" i="7"/>
  <c r="I876" i="7"/>
  <c r="H876" i="7"/>
  <c r="G876" i="7"/>
  <c r="K875" i="7"/>
  <c r="J875" i="7"/>
  <c r="I875" i="7"/>
  <c r="H875" i="7"/>
  <c r="G875" i="7"/>
  <c r="K874" i="7"/>
  <c r="J874" i="7"/>
  <c r="I874" i="7"/>
  <c r="H874" i="7"/>
  <c r="G874" i="7"/>
  <c r="K873" i="7"/>
  <c r="J873" i="7"/>
  <c r="I873" i="7"/>
  <c r="H873" i="7"/>
  <c r="G873" i="7"/>
  <c r="K872" i="7"/>
  <c r="J872" i="7"/>
  <c r="I872" i="7"/>
  <c r="H872" i="7"/>
  <c r="G872" i="7"/>
  <c r="K871" i="7"/>
  <c r="J871" i="7"/>
  <c r="I871" i="7"/>
  <c r="H871" i="7"/>
  <c r="G871" i="7"/>
  <c r="K870" i="7"/>
  <c r="J870" i="7"/>
  <c r="I870" i="7"/>
  <c r="H870" i="7"/>
  <c r="G870" i="7"/>
  <c r="K869" i="7"/>
  <c r="J869" i="7"/>
  <c r="I869" i="7"/>
  <c r="H869" i="7"/>
  <c r="G869" i="7"/>
  <c r="K868" i="7"/>
  <c r="J868" i="7"/>
  <c r="I868" i="7"/>
  <c r="H868" i="7"/>
  <c r="G868" i="7"/>
  <c r="K867" i="7"/>
  <c r="J867" i="7"/>
  <c r="I867" i="7"/>
  <c r="H867" i="7"/>
  <c r="G867" i="7"/>
  <c r="K866" i="7"/>
  <c r="J866" i="7"/>
  <c r="I866" i="7"/>
  <c r="H866" i="7"/>
  <c r="G866" i="7"/>
  <c r="K865" i="7"/>
  <c r="J865" i="7"/>
  <c r="I865" i="7"/>
  <c r="H865" i="7"/>
  <c r="G865" i="7"/>
  <c r="K864" i="7"/>
  <c r="J864" i="7"/>
  <c r="I864" i="7"/>
  <c r="H864" i="7"/>
  <c r="G864" i="7"/>
  <c r="K863" i="7"/>
  <c r="J863" i="7"/>
  <c r="I863" i="7"/>
  <c r="H863" i="7"/>
  <c r="G863" i="7"/>
  <c r="K862" i="7"/>
  <c r="J862" i="7"/>
  <c r="I862" i="7"/>
  <c r="H862" i="7"/>
  <c r="G862" i="7"/>
  <c r="K861" i="7"/>
  <c r="J861" i="7"/>
  <c r="I861" i="7"/>
  <c r="H861" i="7"/>
  <c r="G861" i="7"/>
  <c r="K860" i="7"/>
  <c r="J860" i="7"/>
  <c r="I860" i="7"/>
  <c r="H860" i="7"/>
  <c r="G860" i="7"/>
  <c r="K859" i="7"/>
  <c r="J859" i="7"/>
  <c r="I859" i="7"/>
  <c r="H859" i="7"/>
  <c r="G859" i="7"/>
  <c r="K858" i="7"/>
  <c r="J858" i="7"/>
  <c r="I858" i="7"/>
  <c r="H858" i="7"/>
  <c r="G858" i="7"/>
  <c r="K857" i="7"/>
  <c r="J857" i="7"/>
  <c r="I857" i="7"/>
  <c r="H857" i="7"/>
  <c r="G857" i="7"/>
  <c r="K856" i="7"/>
  <c r="J856" i="7"/>
  <c r="I856" i="7"/>
  <c r="H856" i="7"/>
  <c r="G856" i="7"/>
  <c r="K855" i="7"/>
  <c r="J855" i="7"/>
  <c r="I855" i="7"/>
  <c r="H855" i="7"/>
  <c r="G855" i="7"/>
  <c r="K854" i="7"/>
  <c r="J854" i="7"/>
  <c r="I854" i="7"/>
  <c r="H854" i="7"/>
  <c r="G854" i="7"/>
  <c r="K853" i="7"/>
  <c r="J853" i="7"/>
  <c r="I853" i="7"/>
  <c r="H853" i="7"/>
  <c r="G853" i="7"/>
  <c r="K852" i="7"/>
  <c r="J852" i="7"/>
  <c r="I852" i="7"/>
  <c r="H852" i="7"/>
  <c r="G852" i="7"/>
  <c r="K851" i="7"/>
  <c r="J851" i="7"/>
  <c r="I851" i="7"/>
  <c r="H851" i="7"/>
  <c r="G851" i="7"/>
  <c r="K850" i="7"/>
  <c r="J850" i="7"/>
  <c r="I850" i="7"/>
  <c r="H850" i="7"/>
  <c r="G850" i="7"/>
  <c r="K849" i="7"/>
  <c r="J849" i="7"/>
  <c r="I849" i="7"/>
  <c r="H849" i="7"/>
  <c r="G849" i="7"/>
  <c r="K848" i="7"/>
  <c r="J848" i="7"/>
  <c r="I848" i="7"/>
  <c r="H848" i="7"/>
  <c r="G848" i="7"/>
  <c r="K847" i="7"/>
  <c r="J847" i="7"/>
  <c r="I847" i="7"/>
  <c r="H847" i="7"/>
  <c r="G847" i="7"/>
  <c r="K846" i="7"/>
  <c r="J846" i="7"/>
  <c r="I846" i="7"/>
  <c r="H846" i="7"/>
  <c r="G846" i="7"/>
  <c r="K845" i="7"/>
  <c r="J845" i="7"/>
  <c r="I845" i="7"/>
  <c r="H845" i="7"/>
  <c r="G845" i="7"/>
  <c r="K844" i="7"/>
  <c r="J844" i="7"/>
  <c r="I844" i="7"/>
  <c r="H844" i="7"/>
  <c r="G844" i="7"/>
  <c r="K843" i="7"/>
  <c r="J843" i="7"/>
  <c r="I843" i="7"/>
  <c r="H843" i="7"/>
  <c r="G843" i="7"/>
  <c r="K842" i="7"/>
  <c r="J842" i="7"/>
  <c r="I842" i="7"/>
  <c r="H842" i="7"/>
  <c r="G842" i="7"/>
  <c r="K841" i="7"/>
  <c r="J841" i="7"/>
  <c r="I841" i="7"/>
  <c r="H841" i="7"/>
  <c r="G841" i="7"/>
  <c r="K840" i="7"/>
  <c r="J840" i="7"/>
  <c r="I840" i="7"/>
  <c r="H840" i="7"/>
  <c r="G840" i="7"/>
  <c r="K839" i="7"/>
  <c r="J839" i="7"/>
  <c r="I839" i="7"/>
  <c r="H839" i="7"/>
  <c r="G839" i="7"/>
  <c r="K838" i="7"/>
  <c r="J838" i="7"/>
  <c r="I838" i="7"/>
  <c r="H838" i="7"/>
  <c r="G838" i="7"/>
  <c r="K837" i="7"/>
  <c r="J837" i="7"/>
  <c r="I837" i="7"/>
  <c r="H837" i="7"/>
  <c r="G837" i="7"/>
  <c r="K836" i="7"/>
  <c r="J836" i="7"/>
  <c r="I836" i="7"/>
  <c r="H836" i="7"/>
  <c r="G836" i="7"/>
  <c r="K835" i="7"/>
  <c r="J835" i="7"/>
  <c r="I835" i="7"/>
  <c r="H835" i="7"/>
  <c r="G835" i="7"/>
  <c r="K834" i="7"/>
  <c r="J834" i="7"/>
  <c r="I834" i="7"/>
  <c r="H834" i="7"/>
  <c r="G834" i="7"/>
  <c r="K833" i="7"/>
  <c r="J833" i="7"/>
  <c r="I833" i="7"/>
  <c r="H833" i="7"/>
  <c r="G833" i="7"/>
  <c r="K832" i="7"/>
  <c r="J832" i="7"/>
  <c r="I832" i="7"/>
  <c r="H832" i="7"/>
  <c r="G832" i="7"/>
  <c r="K831" i="7"/>
  <c r="J831" i="7"/>
  <c r="I831" i="7"/>
  <c r="H831" i="7"/>
  <c r="G831" i="7"/>
  <c r="K830" i="7"/>
  <c r="J830" i="7"/>
  <c r="I830" i="7"/>
  <c r="H830" i="7"/>
  <c r="G830" i="7"/>
  <c r="K829" i="7"/>
  <c r="J829" i="7"/>
  <c r="I829" i="7"/>
  <c r="H829" i="7"/>
  <c r="G829" i="7"/>
  <c r="K828" i="7"/>
  <c r="J828" i="7"/>
  <c r="I828" i="7"/>
  <c r="H828" i="7"/>
  <c r="G828" i="7"/>
  <c r="K827" i="7"/>
  <c r="J827" i="7"/>
  <c r="I827" i="7"/>
  <c r="H827" i="7"/>
  <c r="G827" i="7"/>
  <c r="K826" i="7"/>
  <c r="J826" i="7"/>
  <c r="I826" i="7"/>
  <c r="H826" i="7"/>
  <c r="G826" i="7"/>
  <c r="K825" i="7"/>
  <c r="J825" i="7"/>
  <c r="I825" i="7"/>
  <c r="H825" i="7"/>
  <c r="G825" i="7"/>
  <c r="K824" i="7"/>
  <c r="J824" i="7"/>
  <c r="I824" i="7"/>
  <c r="H824" i="7"/>
  <c r="G824" i="7"/>
  <c r="K823" i="7"/>
  <c r="J823" i="7"/>
  <c r="I823" i="7"/>
  <c r="H823" i="7"/>
  <c r="G823" i="7"/>
  <c r="K822" i="7"/>
  <c r="J822" i="7"/>
  <c r="I822" i="7"/>
  <c r="H822" i="7"/>
  <c r="G822" i="7"/>
  <c r="K821" i="7"/>
  <c r="J821" i="7"/>
  <c r="I821" i="7"/>
  <c r="H821" i="7"/>
  <c r="G821" i="7"/>
  <c r="K820" i="7"/>
  <c r="J820" i="7"/>
  <c r="I820" i="7"/>
  <c r="H820" i="7"/>
  <c r="G820" i="7"/>
  <c r="K819" i="7"/>
  <c r="J819" i="7"/>
  <c r="I819" i="7"/>
  <c r="H819" i="7"/>
  <c r="G819" i="7"/>
  <c r="K818" i="7"/>
  <c r="J818" i="7"/>
  <c r="I818" i="7"/>
  <c r="H818" i="7"/>
  <c r="G818" i="7"/>
  <c r="K817" i="7"/>
  <c r="J817" i="7"/>
  <c r="I817" i="7"/>
  <c r="H817" i="7"/>
  <c r="G817" i="7"/>
  <c r="K816" i="7"/>
  <c r="J816" i="7"/>
  <c r="I816" i="7"/>
  <c r="H816" i="7"/>
  <c r="G816" i="7"/>
  <c r="K815" i="7"/>
  <c r="J815" i="7"/>
  <c r="I815" i="7"/>
  <c r="H815" i="7"/>
  <c r="G815" i="7"/>
  <c r="K814" i="7"/>
  <c r="J814" i="7"/>
  <c r="I814" i="7"/>
  <c r="H814" i="7"/>
  <c r="G814" i="7"/>
  <c r="K813" i="7"/>
  <c r="J813" i="7"/>
  <c r="I813" i="7"/>
  <c r="H813" i="7"/>
  <c r="G813" i="7"/>
  <c r="K812" i="7"/>
  <c r="J812" i="7"/>
  <c r="I812" i="7"/>
  <c r="H812" i="7"/>
  <c r="G812" i="7"/>
  <c r="K811" i="7"/>
  <c r="J811" i="7"/>
  <c r="I811" i="7"/>
  <c r="H811" i="7"/>
  <c r="G811" i="7"/>
  <c r="K810" i="7"/>
  <c r="J810" i="7"/>
  <c r="I810" i="7"/>
  <c r="H810" i="7"/>
  <c r="G810" i="7"/>
  <c r="K809" i="7"/>
  <c r="J809" i="7"/>
  <c r="I809" i="7"/>
  <c r="H809" i="7"/>
  <c r="G809" i="7"/>
  <c r="K808" i="7"/>
  <c r="J808" i="7"/>
  <c r="I808" i="7"/>
  <c r="H808" i="7"/>
  <c r="G808" i="7"/>
  <c r="K807" i="7"/>
  <c r="J807" i="7"/>
  <c r="I807" i="7"/>
  <c r="H807" i="7"/>
  <c r="G807" i="7"/>
  <c r="K806" i="7"/>
  <c r="J806" i="7"/>
  <c r="I806" i="7"/>
  <c r="H806" i="7"/>
  <c r="G806" i="7"/>
  <c r="K805" i="7"/>
  <c r="J805" i="7"/>
  <c r="I805" i="7"/>
  <c r="H805" i="7"/>
  <c r="G805" i="7"/>
  <c r="K804" i="7"/>
  <c r="J804" i="7"/>
  <c r="I804" i="7"/>
  <c r="H804" i="7"/>
  <c r="G804" i="7"/>
  <c r="K803" i="7"/>
  <c r="J803" i="7"/>
  <c r="I803" i="7"/>
  <c r="H803" i="7"/>
  <c r="G803" i="7"/>
  <c r="K802" i="7"/>
  <c r="J802" i="7"/>
  <c r="I802" i="7"/>
  <c r="H802" i="7"/>
  <c r="G802" i="7"/>
  <c r="K801" i="7"/>
  <c r="J801" i="7"/>
  <c r="I801" i="7"/>
  <c r="H801" i="7"/>
  <c r="G801" i="7"/>
  <c r="K800" i="7"/>
  <c r="J800" i="7"/>
  <c r="I800" i="7"/>
  <c r="H800" i="7"/>
  <c r="G800" i="7"/>
  <c r="K799" i="7"/>
  <c r="J799" i="7"/>
  <c r="I799" i="7"/>
  <c r="H799" i="7"/>
  <c r="G799" i="7"/>
  <c r="K798" i="7"/>
  <c r="J798" i="7"/>
  <c r="I798" i="7"/>
  <c r="H798" i="7"/>
  <c r="G798" i="7"/>
  <c r="K797" i="7"/>
  <c r="J797" i="7"/>
  <c r="I797" i="7"/>
  <c r="H797" i="7"/>
  <c r="G797" i="7"/>
  <c r="K796" i="7"/>
  <c r="J796" i="7"/>
  <c r="I796" i="7"/>
  <c r="H796" i="7"/>
  <c r="G796" i="7"/>
  <c r="K795" i="7"/>
  <c r="J795" i="7"/>
  <c r="I795" i="7"/>
  <c r="H795" i="7"/>
  <c r="G795" i="7"/>
  <c r="K794" i="7"/>
  <c r="J794" i="7"/>
  <c r="I794" i="7"/>
  <c r="H794" i="7"/>
  <c r="G794" i="7"/>
  <c r="K793" i="7"/>
  <c r="J793" i="7"/>
  <c r="I793" i="7"/>
  <c r="H793" i="7"/>
  <c r="G793" i="7"/>
  <c r="K792" i="7"/>
  <c r="J792" i="7"/>
  <c r="I792" i="7"/>
  <c r="H792" i="7"/>
  <c r="G792" i="7"/>
  <c r="K791" i="7"/>
  <c r="J791" i="7"/>
  <c r="I791" i="7"/>
  <c r="H791" i="7"/>
  <c r="G791" i="7"/>
  <c r="K790" i="7"/>
  <c r="J790" i="7"/>
  <c r="I790" i="7"/>
  <c r="H790" i="7"/>
  <c r="G790" i="7"/>
  <c r="K789" i="7"/>
  <c r="J789" i="7"/>
  <c r="I789" i="7"/>
  <c r="H789" i="7"/>
  <c r="G789" i="7"/>
  <c r="K788" i="7"/>
  <c r="J788" i="7"/>
  <c r="I788" i="7"/>
  <c r="H788" i="7"/>
  <c r="G788" i="7"/>
  <c r="K787" i="7"/>
  <c r="J787" i="7"/>
  <c r="I787" i="7"/>
  <c r="H787" i="7"/>
  <c r="G787" i="7"/>
  <c r="K786" i="7"/>
  <c r="J786" i="7"/>
  <c r="I786" i="7"/>
  <c r="H786" i="7"/>
  <c r="G786" i="7"/>
  <c r="K785" i="7"/>
  <c r="J785" i="7"/>
  <c r="I785" i="7"/>
  <c r="H785" i="7"/>
  <c r="G785" i="7"/>
  <c r="K784" i="7"/>
  <c r="J784" i="7"/>
  <c r="I784" i="7"/>
  <c r="H784" i="7"/>
  <c r="G784" i="7"/>
  <c r="K783" i="7"/>
  <c r="J783" i="7"/>
  <c r="I783" i="7"/>
  <c r="H783" i="7"/>
  <c r="G783" i="7"/>
  <c r="K782" i="7"/>
  <c r="J782" i="7"/>
  <c r="I782" i="7"/>
  <c r="H782" i="7"/>
  <c r="G782" i="7"/>
  <c r="K781" i="7"/>
  <c r="J781" i="7"/>
  <c r="I781" i="7"/>
  <c r="H781" i="7"/>
  <c r="G781" i="7"/>
  <c r="K780" i="7"/>
  <c r="J780" i="7"/>
  <c r="I780" i="7"/>
  <c r="H780" i="7"/>
  <c r="G780" i="7"/>
  <c r="K779" i="7"/>
  <c r="J779" i="7"/>
  <c r="I779" i="7"/>
  <c r="H779" i="7"/>
  <c r="G779" i="7"/>
  <c r="K778" i="7"/>
  <c r="J778" i="7"/>
  <c r="I778" i="7"/>
  <c r="H778" i="7"/>
  <c r="G778" i="7"/>
  <c r="K777" i="7"/>
  <c r="J777" i="7"/>
  <c r="I777" i="7"/>
  <c r="H777" i="7"/>
  <c r="G777" i="7"/>
  <c r="K776" i="7"/>
  <c r="J776" i="7"/>
  <c r="I776" i="7"/>
  <c r="H776" i="7"/>
  <c r="G776" i="7"/>
  <c r="K775" i="7"/>
  <c r="J775" i="7"/>
  <c r="I775" i="7"/>
  <c r="H775" i="7"/>
  <c r="G775" i="7"/>
  <c r="K774" i="7"/>
  <c r="J774" i="7"/>
  <c r="I774" i="7"/>
  <c r="H774" i="7"/>
  <c r="G774" i="7"/>
  <c r="K773" i="7"/>
  <c r="J773" i="7"/>
  <c r="I773" i="7"/>
  <c r="H773" i="7"/>
  <c r="G773" i="7"/>
  <c r="K772" i="7"/>
  <c r="J772" i="7"/>
  <c r="I772" i="7"/>
  <c r="H772" i="7"/>
  <c r="G772" i="7"/>
  <c r="K771" i="7"/>
  <c r="J771" i="7"/>
  <c r="I771" i="7"/>
  <c r="H771" i="7"/>
  <c r="G771" i="7"/>
  <c r="K770" i="7"/>
  <c r="J770" i="7"/>
  <c r="I770" i="7"/>
  <c r="H770" i="7"/>
  <c r="G770" i="7"/>
  <c r="K769" i="7"/>
  <c r="J769" i="7"/>
  <c r="I769" i="7"/>
  <c r="H769" i="7"/>
  <c r="G769" i="7"/>
  <c r="K768" i="7"/>
  <c r="J768" i="7"/>
  <c r="I768" i="7"/>
  <c r="H768" i="7"/>
  <c r="G768" i="7"/>
  <c r="K767" i="7"/>
  <c r="J767" i="7"/>
  <c r="I767" i="7"/>
  <c r="H767" i="7"/>
  <c r="G767" i="7"/>
  <c r="K766" i="7"/>
  <c r="J766" i="7"/>
  <c r="I766" i="7"/>
  <c r="H766" i="7"/>
  <c r="G766" i="7"/>
  <c r="K765" i="7"/>
  <c r="J765" i="7"/>
  <c r="I765" i="7"/>
  <c r="H765" i="7"/>
  <c r="G765" i="7"/>
  <c r="K764" i="7"/>
  <c r="J764" i="7"/>
  <c r="I764" i="7"/>
  <c r="H764" i="7"/>
  <c r="G764" i="7"/>
  <c r="K763" i="7"/>
  <c r="J763" i="7"/>
  <c r="I763" i="7"/>
  <c r="H763" i="7"/>
  <c r="G763" i="7"/>
  <c r="K762" i="7"/>
  <c r="J762" i="7"/>
  <c r="I762" i="7"/>
  <c r="H762" i="7"/>
  <c r="G762" i="7"/>
  <c r="K761" i="7"/>
  <c r="J761" i="7"/>
  <c r="I761" i="7"/>
  <c r="H761" i="7"/>
  <c r="G761" i="7"/>
  <c r="K760" i="7"/>
  <c r="J760" i="7"/>
  <c r="I760" i="7"/>
  <c r="H760" i="7"/>
  <c r="G760" i="7"/>
  <c r="K759" i="7"/>
  <c r="J759" i="7"/>
  <c r="I759" i="7"/>
  <c r="H759" i="7"/>
  <c r="G759" i="7"/>
  <c r="K758" i="7"/>
  <c r="J758" i="7"/>
  <c r="I758" i="7"/>
  <c r="H758" i="7"/>
  <c r="G758" i="7"/>
  <c r="K757" i="7"/>
  <c r="J757" i="7"/>
  <c r="I757" i="7"/>
  <c r="H757" i="7"/>
  <c r="G757" i="7"/>
  <c r="K756" i="7"/>
  <c r="J756" i="7"/>
  <c r="I756" i="7"/>
  <c r="H756" i="7"/>
  <c r="G756" i="7"/>
  <c r="K755" i="7"/>
  <c r="J755" i="7"/>
  <c r="I755" i="7"/>
  <c r="H755" i="7"/>
  <c r="G755" i="7"/>
  <c r="K754" i="7"/>
  <c r="J754" i="7"/>
  <c r="I754" i="7"/>
  <c r="H754" i="7"/>
  <c r="G754" i="7"/>
  <c r="K753" i="7"/>
  <c r="J753" i="7"/>
  <c r="I753" i="7"/>
  <c r="H753" i="7"/>
  <c r="G753" i="7"/>
  <c r="K752" i="7"/>
  <c r="J752" i="7"/>
  <c r="I752" i="7"/>
  <c r="H752" i="7"/>
  <c r="G752" i="7"/>
  <c r="K751" i="7"/>
  <c r="J751" i="7"/>
  <c r="I751" i="7"/>
  <c r="H751" i="7"/>
  <c r="G751" i="7"/>
  <c r="K750" i="7"/>
  <c r="J750" i="7"/>
  <c r="I750" i="7"/>
  <c r="H750" i="7"/>
  <c r="G750" i="7"/>
  <c r="K749" i="7"/>
  <c r="J749" i="7"/>
  <c r="I749" i="7"/>
  <c r="H749" i="7"/>
  <c r="G749" i="7"/>
  <c r="K748" i="7"/>
  <c r="J748" i="7"/>
  <c r="I748" i="7"/>
  <c r="H748" i="7"/>
  <c r="G748" i="7"/>
  <c r="K747" i="7"/>
  <c r="J747" i="7"/>
  <c r="I747" i="7"/>
  <c r="H747" i="7"/>
  <c r="G747" i="7"/>
  <c r="K746" i="7"/>
  <c r="J746" i="7"/>
  <c r="I746" i="7"/>
  <c r="H746" i="7"/>
  <c r="G746" i="7"/>
  <c r="K745" i="7"/>
  <c r="J745" i="7"/>
  <c r="I745" i="7"/>
  <c r="H745" i="7"/>
  <c r="G745" i="7"/>
  <c r="K744" i="7"/>
  <c r="J744" i="7"/>
  <c r="I744" i="7"/>
  <c r="H744" i="7"/>
  <c r="G744" i="7"/>
  <c r="K743" i="7"/>
  <c r="J743" i="7"/>
  <c r="I743" i="7"/>
  <c r="H743" i="7"/>
  <c r="G743" i="7"/>
  <c r="K742" i="7"/>
  <c r="J742" i="7"/>
  <c r="I742" i="7"/>
  <c r="H742" i="7"/>
  <c r="G742" i="7"/>
  <c r="K741" i="7"/>
  <c r="J741" i="7"/>
  <c r="I741" i="7"/>
  <c r="H741" i="7"/>
  <c r="G741" i="7"/>
  <c r="K740" i="7"/>
  <c r="J740" i="7"/>
  <c r="I740" i="7"/>
  <c r="H740" i="7"/>
  <c r="G740" i="7"/>
  <c r="K739" i="7"/>
  <c r="J739" i="7"/>
  <c r="I739" i="7"/>
  <c r="H739" i="7"/>
  <c r="G739" i="7"/>
  <c r="K738" i="7"/>
  <c r="J738" i="7"/>
  <c r="I738" i="7"/>
  <c r="H738" i="7"/>
  <c r="G738" i="7"/>
  <c r="K737" i="7"/>
  <c r="J737" i="7"/>
  <c r="I737" i="7"/>
  <c r="H737" i="7"/>
  <c r="G737" i="7"/>
  <c r="K736" i="7"/>
  <c r="J736" i="7"/>
  <c r="I736" i="7"/>
  <c r="H736" i="7"/>
  <c r="G736" i="7"/>
  <c r="K735" i="7"/>
  <c r="J735" i="7"/>
  <c r="I735" i="7"/>
  <c r="H735" i="7"/>
  <c r="G735" i="7"/>
  <c r="K734" i="7"/>
  <c r="J734" i="7"/>
  <c r="I734" i="7"/>
  <c r="H734" i="7"/>
  <c r="G734" i="7"/>
  <c r="K733" i="7"/>
  <c r="J733" i="7"/>
  <c r="I733" i="7"/>
  <c r="H733" i="7"/>
  <c r="G733" i="7"/>
  <c r="K732" i="7"/>
  <c r="J732" i="7"/>
  <c r="I732" i="7"/>
  <c r="H732" i="7"/>
  <c r="G732" i="7"/>
  <c r="K731" i="7"/>
  <c r="J731" i="7"/>
  <c r="I731" i="7"/>
  <c r="H731" i="7"/>
  <c r="G731" i="7"/>
  <c r="K730" i="7"/>
  <c r="J730" i="7"/>
  <c r="I730" i="7"/>
  <c r="H730" i="7"/>
  <c r="G730" i="7"/>
  <c r="K729" i="7"/>
  <c r="J729" i="7"/>
  <c r="I729" i="7"/>
  <c r="H729" i="7"/>
  <c r="G729" i="7"/>
  <c r="K728" i="7"/>
  <c r="J728" i="7"/>
  <c r="I728" i="7"/>
  <c r="H728" i="7"/>
  <c r="G728" i="7"/>
  <c r="K727" i="7"/>
  <c r="J727" i="7"/>
  <c r="I727" i="7"/>
  <c r="H727" i="7"/>
  <c r="G727" i="7"/>
  <c r="K726" i="7"/>
  <c r="J726" i="7"/>
  <c r="I726" i="7"/>
  <c r="H726" i="7"/>
  <c r="G726" i="7"/>
  <c r="K725" i="7"/>
  <c r="J725" i="7"/>
  <c r="I725" i="7"/>
  <c r="H725" i="7"/>
  <c r="G725" i="7"/>
  <c r="K724" i="7"/>
  <c r="J724" i="7"/>
  <c r="I724" i="7"/>
  <c r="H724" i="7"/>
  <c r="G724" i="7"/>
  <c r="K723" i="7"/>
  <c r="J723" i="7"/>
  <c r="I723" i="7"/>
  <c r="H723" i="7"/>
  <c r="G723" i="7"/>
  <c r="K722" i="7"/>
  <c r="J722" i="7"/>
  <c r="I722" i="7"/>
  <c r="H722" i="7"/>
  <c r="G722" i="7"/>
  <c r="K721" i="7"/>
  <c r="J721" i="7"/>
  <c r="I721" i="7"/>
  <c r="H721" i="7"/>
  <c r="G721" i="7"/>
  <c r="K720" i="7"/>
  <c r="J720" i="7"/>
  <c r="I720" i="7"/>
  <c r="H720" i="7"/>
  <c r="G720" i="7"/>
  <c r="K719" i="7"/>
  <c r="J719" i="7"/>
  <c r="I719" i="7"/>
  <c r="H719" i="7"/>
  <c r="G719" i="7"/>
  <c r="K718" i="7"/>
  <c r="J718" i="7"/>
  <c r="I718" i="7"/>
  <c r="H718" i="7"/>
  <c r="G718" i="7"/>
  <c r="K717" i="7"/>
  <c r="J717" i="7"/>
  <c r="I717" i="7"/>
  <c r="H717" i="7"/>
  <c r="G717" i="7"/>
  <c r="K716" i="7"/>
  <c r="J716" i="7"/>
  <c r="I716" i="7"/>
  <c r="H716" i="7"/>
  <c r="G716" i="7"/>
  <c r="K715" i="7"/>
  <c r="J715" i="7"/>
  <c r="I715" i="7"/>
  <c r="H715" i="7"/>
  <c r="G715" i="7"/>
  <c r="K714" i="7"/>
  <c r="J714" i="7"/>
  <c r="I714" i="7"/>
  <c r="H714" i="7"/>
  <c r="G714" i="7"/>
  <c r="K713" i="7"/>
  <c r="J713" i="7"/>
  <c r="I713" i="7"/>
  <c r="H713" i="7"/>
  <c r="G713" i="7"/>
  <c r="K712" i="7"/>
  <c r="J712" i="7"/>
  <c r="I712" i="7"/>
  <c r="H712" i="7"/>
  <c r="G712" i="7"/>
  <c r="K711" i="7"/>
  <c r="J711" i="7"/>
  <c r="I711" i="7"/>
  <c r="H711" i="7"/>
  <c r="G711" i="7"/>
  <c r="K710" i="7"/>
  <c r="J710" i="7"/>
  <c r="I710" i="7"/>
  <c r="H710" i="7"/>
  <c r="G710" i="7"/>
  <c r="K709" i="7"/>
  <c r="J709" i="7"/>
  <c r="I709" i="7"/>
  <c r="H709" i="7"/>
  <c r="G709" i="7"/>
  <c r="K708" i="7"/>
  <c r="J708" i="7"/>
  <c r="I708" i="7"/>
  <c r="H708" i="7"/>
  <c r="G708" i="7"/>
  <c r="K707" i="7"/>
  <c r="J707" i="7"/>
  <c r="I707" i="7"/>
  <c r="H707" i="7"/>
  <c r="G707" i="7"/>
  <c r="K706" i="7"/>
  <c r="J706" i="7"/>
  <c r="I706" i="7"/>
  <c r="H706" i="7"/>
  <c r="G706" i="7"/>
  <c r="K705" i="7"/>
  <c r="J705" i="7"/>
  <c r="I705" i="7"/>
  <c r="H705" i="7"/>
  <c r="G705" i="7"/>
  <c r="K704" i="7"/>
  <c r="J704" i="7"/>
  <c r="I704" i="7"/>
  <c r="H704" i="7"/>
  <c r="G704" i="7"/>
  <c r="K703" i="7"/>
  <c r="J703" i="7"/>
  <c r="I703" i="7"/>
  <c r="H703" i="7"/>
  <c r="G703" i="7"/>
  <c r="K702" i="7"/>
  <c r="J702" i="7"/>
  <c r="I702" i="7"/>
  <c r="H702" i="7"/>
  <c r="G702" i="7"/>
  <c r="K701" i="7"/>
  <c r="J701" i="7"/>
  <c r="I701" i="7"/>
  <c r="H701" i="7"/>
  <c r="G701" i="7"/>
  <c r="K700" i="7"/>
  <c r="J700" i="7"/>
  <c r="I700" i="7"/>
  <c r="H700" i="7"/>
  <c r="G700" i="7"/>
  <c r="K699" i="7"/>
  <c r="J699" i="7"/>
  <c r="I699" i="7"/>
  <c r="H699" i="7"/>
  <c r="G699" i="7"/>
  <c r="K698" i="7"/>
  <c r="J698" i="7"/>
  <c r="I698" i="7"/>
  <c r="H698" i="7"/>
  <c r="G698" i="7"/>
  <c r="K697" i="7"/>
  <c r="J697" i="7"/>
  <c r="I697" i="7"/>
  <c r="H697" i="7"/>
  <c r="G697" i="7"/>
  <c r="K696" i="7"/>
  <c r="J696" i="7"/>
  <c r="I696" i="7"/>
  <c r="H696" i="7"/>
  <c r="G696" i="7"/>
  <c r="K695" i="7"/>
  <c r="J695" i="7"/>
  <c r="I695" i="7"/>
  <c r="H695" i="7"/>
  <c r="G695" i="7"/>
  <c r="K694" i="7"/>
  <c r="J694" i="7"/>
  <c r="I694" i="7"/>
  <c r="H694" i="7"/>
  <c r="G694" i="7"/>
  <c r="K693" i="7"/>
  <c r="J693" i="7"/>
  <c r="I693" i="7"/>
  <c r="H693" i="7"/>
  <c r="G693" i="7"/>
  <c r="K692" i="7"/>
  <c r="J692" i="7"/>
  <c r="I692" i="7"/>
  <c r="H692" i="7"/>
  <c r="G692" i="7"/>
  <c r="K691" i="7"/>
  <c r="J691" i="7"/>
  <c r="I691" i="7"/>
  <c r="H691" i="7"/>
  <c r="G691" i="7"/>
  <c r="K690" i="7"/>
  <c r="J690" i="7"/>
  <c r="I690" i="7"/>
  <c r="H690" i="7"/>
  <c r="G690" i="7"/>
  <c r="K689" i="7"/>
  <c r="J689" i="7"/>
  <c r="I689" i="7"/>
  <c r="H689" i="7"/>
  <c r="G689" i="7"/>
  <c r="K688" i="7"/>
  <c r="J688" i="7"/>
  <c r="I688" i="7"/>
  <c r="H688" i="7"/>
  <c r="G688" i="7"/>
  <c r="K687" i="7"/>
  <c r="J687" i="7"/>
  <c r="I687" i="7"/>
  <c r="H687" i="7"/>
  <c r="G687" i="7"/>
  <c r="K686" i="7"/>
  <c r="J686" i="7"/>
  <c r="I686" i="7"/>
  <c r="H686" i="7"/>
  <c r="G686" i="7"/>
  <c r="K685" i="7"/>
  <c r="J685" i="7"/>
  <c r="I685" i="7"/>
  <c r="H685" i="7"/>
  <c r="G685" i="7"/>
  <c r="K684" i="7"/>
  <c r="J684" i="7"/>
  <c r="I684" i="7"/>
  <c r="H684" i="7"/>
  <c r="G684" i="7"/>
  <c r="K683" i="7"/>
  <c r="J683" i="7"/>
  <c r="I683" i="7"/>
  <c r="H683" i="7"/>
  <c r="G683" i="7"/>
  <c r="K682" i="7"/>
  <c r="J682" i="7"/>
  <c r="I682" i="7"/>
  <c r="H682" i="7"/>
  <c r="G682" i="7"/>
  <c r="K681" i="7"/>
  <c r="J681" i="7"/>
  <c r="I681" i="7"/>
  <c r="H681" i="7"/>
  <c r="G681" i="7"/>
  <c r="K680" i="7"/>
  <c r="J680" i="7"/>
  <c r="I680" i="7"/>
  <c r="H680" i="7"/>
  <c r="G680" i="7"/>
  <c r="K679" i="7"/>
  <c r="J679" i="7"/>
  <c r="I679" i="7"/>
  <c r="H679" i="7"/>
  <c r="G679" i="7"/>
  <c r="K678" i="7"/>
  <c r="J678" i="7"/>
  <c r="I678" i="7"/>
  <c r="H678" i="7"/>
  <c r="G678" i="7"/>
  <c r="K677" i="7"/>
  <c r="J677" i="7"/>
  <c r="I677" i="7"/>
  <c r="H677" i="7"/>
  <c r="G677" i="7"/>
  <c r="K676" i="7"/>
  <c r="J676" i="7"/>
  <c r="I676" i="7"/>
  <c r="H676" i="7"/>
  <c r="G676" i="7"/>
  <c r="K675" i="7"/>
  <c r="J675" i="7"/>
  <c r="I675" i="7"/>
  <c r="H675" i="7"/>
  <c r="G675" i="7"/>
  <c r="K674" i="7"/>
  <c r="J674" i="7"/>
  <c r="I674" i="7"/>
  <c r="H674" i="7"/>
  <c r="G674" i="7"/>
  <c r="K673" i="7"/>
  <c r="J673" i="7"/>
  <c r="I673" i="7"/>
  <c r="H673" i="7"/>
  <c r="G673" i="7"/>
  <c r="K672" i="7"/>
  <c r="J672" i="7"/>
  <c r="I672" i="7"/>
  <c r="H672" i="7"/>
  <c r="G672" i="7"/>
  <c r="K671" i="7"/>
  <c r="J671" i="7"/>
  <c r="I671" i="7"/>
  <c r="H671" i="7"/>
  <c r="G671" i="7"/>
  <c r="K670" i="7"/>
  <c r="J670" i="7"/>
  <c r="I670" i="7"/>
  <c r="H670" i="7"/>
  <c r="G670" i="7"/>
  <c r="K669" i="7"/>
  <c r="J669" i="7"/>
  <c r="I669" i="7"/>
  <c r="H669" i="7"/>
  <c r="G669" i="7"/>
  <c r="K668" i="7"/>
  <c r="J668" i="7"/>
  <c r="I668" i="7"/>
  <c r="H668" i="7"/>
  <c r="G668" i="7"/>
  <c r="K667" i="7"/>
  <c r="J667" i="7"/>
  <c r="I667" i="7"/>
  <c r="H667" i="7"/>
  <c r="G667" i="7"/>
  <c r="K666" i="7"/>
  <c r="J666" i="7"/>
  <c r="I666" i="7"/>
  <c r="H666" i="7"/>
  <c r="G666" i="7"/>
  <c r="K665" i="7"/>
  <c r="J665" i="7"/>
  <c r="I665" i="7"/>
  <c r="H665" i="7"/>
  <c r="G665" i="7"/>
  <c r="K664" i="7"/>
  <c r="J664" i="7"/>
  <c r="I664" i="7"/>
  <c r="H664" i="7"/>
  <c r="G664" i="7"/>
  <c r="K663" i="7"/>
  <c r="J663" i="7"/>
  <c r="I663" i="7"/>
  <c r="H663" i="7"/>
  <c r="G663" i="7"/>
  <c r="K662" i="7"/>
  <c r="J662" i="7"/>
  <c r="I662" i="7"/>
  <c r="H662" i="7"/>
  <c r="G662" i="7"/>
  <c r="K661" i="7"/>
  <c r="J661" i="7"/>
  <c r="I661" i="7"/>
  <c r="H661" i="7"/>
  <c r="G661" i="7"/>
  <c r="K660" i="7"/>
  <c r="J660" i="7"/>
  <c r="I660" i="7"/>
  <c r="H660" i="7"/>
  <c r="G660" i="7"/>
  <c r="K659" i="7"/>
  <c r="J659" i="7"/>
  <c r="I659" i="7"/>
  <c r="H659" i="7"/>
  <c r="G659" i="7"/>
  <c r="K658" i="7"/>
  <c r="J658" i="7"/>
  <c r="I658" i="7"/>
  <c r="H658" i="7"/>
  <c r="G658" i="7"/>
  <c r="K657" i="7"/>
  <c r="J657" i="7"/>
  <c r="I657" i="7"/>
  <c r="H657" i="7"/>
  <c r="G657" i="7"/>
  <c r="K656" i="7"/>
  <c r="J656" i="7"/>
  <c r="I656" i="7"/>
  <c r="H656" i="7"/>
  <c r="G656" i="7"/>
  <c r="K655" i="7"/>
  <c r="J655" i="7"/>
  <c r="I655" i="7"/>
  <c r="H655" i="7"/>
  <c r="G655" i="7"/>
  <c r="K654" i="7"/>
  <c r="J654" i="7"/>
  <c r="I654" i="7"/>
  <c r="H654" i="7"/>
  <c r="G654" i="7"/>
  <c r="K653" i="7"/>
  <c r="J653" i="7"/>
  <c r="I653" i="7"/>
  <c r="H653" i="7"/>
  <c r="G653" i="7"/>
  <c r="K652" i="7"/>
  <c r="J652" i="7"/>
  <c r="I652" i="7"/>
  <c r="H652" i="7"/>
  <c r="G652" i="7"/>
  <c r="K651" i="7"/>
  <c r="J651" i="7"/>
  <c r="I651" i="7"/>
  <c r="H651" i="7"/>
  <c r="G651" i="7"/>
  <c r="K650" i="7"/>
  <c r="J650" i="7"/>
  <c r="I650" i="7"/>
  <c r="H650" i="7"/>
  <c r="G650" i="7"/>
  <c r="K649" i="7"/>
  <c r="J649" i="7"/>
  <c r="I649" i="7"/>
  <c r="H649" i="7"/>
  <c r="G649" i="7"/>
  <c r="K648" i="7"/>
  <c r="J648" i="7"/>
  <c r="I648" i="7"/>
  <c r="H648" i="7"/>
  <c r="G648" i="7"/>
  <c r="K647" i="7"/>
  <c r="J647" i="7"/>
  <c r="I647" i="7"/>
  <c r="H647" i="7"/>
  <c r="G647" i="7"/>
  <c r="K646" i="7"/>
  <c r="J646" i="7"/>
  <c r="I646" i="7"/>
  <c r="H646" i="7"/>
  <c r="G646" i="7"/>
  <c r="K645" i="7"/>
  <c r="J645" i="7"/>
  <c r="I645" i="7"/>
  <c r="H645" i="7"/>
  <c r="G645" i="7"/>
  <c r="K644" i="7"/>
  <c r="J644" i="7"/>
  <c r="I644" i="7"/>
  <c r="H644" i="7"/>
  <c r="G644" i="7"/>
  <c r="K643" i="7"/>
  <c r="J643" i="7"/>
  <c r="I643" i="7"/>
  <c r="H643" i="7"/>
  <c r="G643" i="7"/>
  <c r="K642" i="7"/>
  <c r="J642" i="7"/>
  <c r="I642" i="7"/>
  <c r="H642" i="7"/>
  <c r="G642" i="7"/>
  <c r="K641" i="7"/>
  <c r="J641" i="7"/>
  <c r="I641" i="7"/>
  <c r="H641" i="7"/>
  <c r="G641" i="7"/>
  <c r="K640" i="7"/>
  <c r="J640" i="7"/>
  <c r="I640" i="7"/>
  <c r="H640" i="7"/>
  <c r="G640" i="7"/>
  <c r="K639" i="7"/>
  <c r="J639" i="7"/>
  <c r="I639" i="7"/>
  <c r="H639" i="7"/>
  <c r="G639" i="7"/>
  <c r="K638" i="7"/>
  <c r="J638" i="7"/>
  <c r="I638" i="7"/>
  <c r="H638" i="7"/>
  <c r="G638" i="7"/>
  <c r="K637" i="7"/>
  <c r="J637" i="7"/>
  <c r="I637" i="7"/>
  <c r="H637" i="7"/>
  <c r="G637" i="7"/>
  <c r="K636" i="7"/>
  <c r="J636" i="7"/>
  <c r="I636" i="7"/>
  <c r="H636" i="7"/>
  <c r="G636" i="7"/>
  <c r="K635" i="7"/>
  <c r="J635" i="7"/>
  <c r="I635" i="7"/>
  <c r="H635" i="7"/>
  <c r="G635" i="7"/>
  <c r="K634" i="7"/>
  <c r="J634" i="7"/>
  <c r="I634" i="7"/>
  <c r="H634" i="7"/>
  <c r="G634" i="7"/>
  <c r="K633" i="7"/>
  <c r="J633" i="7"/>
  <c r="I633" i="7"/>
  <c r="H633" i="7"/>
  <c r="G633" i="7"/>
  <c r="K632" i="7"/>
  <c r="J632" i="7"/>
  <c r="I632" i="7"/>
  <c r="H632" i="7"/>
  <c r="G632" i="7"/>
  <c r="K631" i="7"/>
  <c r="J631" i="7"/>
  <c r="I631" i="7"/>
  <c r="H631" i="7"/>
  <c r="G631" i="7"/>
  <c r="K630" i="7"/>
  <c r="J630" i="7"/>
  <c r="I630" i="7"/>
  <c r="H630" i="7"/>
  <c r="G630" i="7"/>
  <c r="K629" i="7"/>
  <c r="J629" i="7"/>
  <c r="I629" i="7"/>
  <c r="H629" i="7"/>
  <c r="G629" i="7"/>
  <c r="K628" i="7"/>
  <c r="J628" i="7"/>
  <c r="I628" i="7"/>
  <c r="H628" i="7"/>
  <c r="G628" i="7"/>
  <c r="K627" i="7"/>
  <c r="J627" i="7"/>
  <c r="I627" i="7"/>
  <c r="H627" i="7"/>
  <c r="G627" i="7"/>
  <c r="K626" i="7"/>
  <c r="J626" i="7"/>
  <c r="I626" i="7"/>
  <c r="H626" i="7"/>
  <c r="G626" i="7"/>
  <c r="K625" i="7"/>
  <c r="J625" i="7"/>
  <c r="I625" i="7"/>
  <c r="H625" i="7"/>
  <c r="G625" i="7"/>
  <c r="K624" i="7"/>
  <c r="J624" i="7"/>
  <c r="I624" i="7"/>
  <c r="H624" i="7"/>
  <c r="G624" i="7"/>
  <c r="K623" i="7"/>
  <c r="J623" i="7"/>
  <c r="I623" i="7"/>
  <c r="H623" i="7"/>
  <c r="G623" i="7"/>
  <c r="K622" i="7"/>
  <c r="J622" i="7"/>
  <c r="I622" i="7"/>
  <c r="H622" i="7"/>
  <c r="G622" i="7"/>
  <c r="K621" i="7"/>
  <c r="J621" i="7"/>
  <c r="I621" i="7"/>
  <c r="H621" i="7"/>
  <c r="G621" i="7"/>
  <c r="K620" i="7"/>
  <c r="J620" i="7"/>
  <c r="I620" i="7"/>
  <c r="H620" i="7"/>
  <c r="G620" i="7"/>
  <c r="K619" i="7"/>
  <c r="J619" i="7"/>
  <c r="I619" i="7"/>
  <c r="H619" i="7"/>
  <c r="G619" i="7"/>
  <c r="K618" i="7"/>
  <c r="J618" i="7"/>
  <c r="I618" i="7"/>
  <c r="H618" i="7"/>
  <c r="G618" i="7"/>
  <c r="K617" i="7"/>
  <c r="J617" i="7"/>
  <c r="I617" i="7"/>
  <c r="H617" i="7"/>
  <c r="G617" i="7"/>
  <c r="K616" i="7"/>
  <c r="J616" i="7"/>
  <c r="I616" i="7"/>
  <c r="H616" i="7"/>
  <c r="G616" i="7"/>
  <c r="K615" i="7"/>
  <c r="J615" i="7"/>
  <c r="I615" i="7"/>
  <c r="H615" i="7"/>
  <c r="G615" i="7"/>
  <c r="K614" i="7"/>
  <c r="J614" i="7"/>
  <c r="I614" i="7"/>
  <c r="H614" i="7"/>
  <c r="G614" i="7"/>
  <c r="K613" i="7"/>
  <c r="J613" i="7"/>
  <c r="I613" i="7"/>
  <c r="H613" i="7"/>
  <c r="G613" i="7"/>
  <c r="K612" i="7"/>
  <c r="J612" i="7"/>
  <c r="I612" i="7"/>
  <c r="H612" i="7"/>
  <c r="G612" i="7"/>
  <c r="K611" i="7"/>
  <c r="J611" i="7"/>
  <c r="I611" i="7"/>
  <c r="H611" i="7"/>
  <c r="G611" i="7"/>
  <c r="K610" i="7"/>
  <c r="J610" i="7"/>
  <c r="I610" i="7"/>
  <c r="H610" i="7"/>
  <c r="G610" i="7"/>
  <c r="K609" i="7"/>
  <c r="J609" i="7"/>
  <c r="I609" i="7"/>
  <c r="H609" i="7"/>
  <c r="G609" i="7"/>
  <c r="K608" i="7"/>
  <c r="J608" i="7"/>
  <c r="I608" i="7"/>
  <c r="H608" i="7"/>
  <c r="G608" i="7"/>
  <c r="K607" i="7"/>
  <c r="J607" i="7"/>
  <c r="I607" i="7"/>
  <c r="H607" i="7"/>
  <c r="G607" i="7"/>
  <c r="K606" i="7"/>
  <c r="J606" i="7"/>
  <c r="I606" i="7"/>
  <c r="H606" i="7"/>
  <c r="G606" i="7"/>
  <c r="K605" i="7"/>
  <c r="J605" i="7"/>
  <c r="I605" i="7"/>
  <c r="H605" i="7"/>
  <c r="G605" i="7"/>
  <c r="K604" i="7"/>
  <c r="J604" i="7"/>
  <c r="I604" i="7"/>
  <c r="H604" i="7"/>
  <c r="G604" i="7"/>
  <c r="K603" i="7"/>
  <c r="J603" i="7"/>
  <c r="I603" i="7"/>
  <c r="H603" i="7"/>
  <c r="G603" i="7"/>
  <c r="K602" i="7"/>
  <c r="J602" i="7"/>
  <c r="I602" i="7"/>
  <c r="H602" i="7"/>
  <c r="G602" i="7"/>
  <c r="K601" i="7"/>
  <c r="J601" i="7"/>
  <c r="I601" i="7"/>
  <c r="H601" i="7"/>
  <c r="G601" i="7"/>
  <c r="K600" i="7"/>
  <c r="J600" i="7"/>
  <c r="I600" i="7"/>
  <c r="H600" i="7"/>
  <c r="G600" i="7"/>
  <c r="K599" i="7"/>
  <c r="J599" i="7"/>
  <c r="I599" i="7"/>
  <c r="H599" i="7"/>
  <c r="G599" i="7"/>
  <c r="K598" i="7"/>
  <c r="J598" i="7"/>
  <c r="I598" i="7"/>
  <c r="H598" i="7"/>
  <c r="G598" i="7"/>
  <c r="K597" i="7"/>
  <c r="J597" i="7"/>
  <c r="I597" i="7"/>
  <c r="H597" i="7"/>
  <c r="G597" i="7"/>
  <c r="K596" i="7"/>
  <c r="J596" i="7"/>
  <c r="I596" i="7"/>
  <c r="H596" i="7"/>
  <c r="G596" i="7"/>
  <c r="K595" i="7"/>
  <c r="J595" i="7"/>
  <c r="I595" i="7"/>
  <c r="H595" i="7"/>
  <c r="G595" i="7"/>
  <c r="K594" i="7"/>
  <c r="J594" i="7"/>
  <c r="I594" i="7"/>
  <c r="H594" i="7"/>
  <c r="G594" i="7"/>
  <c r="K593" i="7"/>
  <c r="J593" i="7"/>
  <c r="I593" i="7"/>
  <c r="H593" i="7"/>
  <c r="G593" i="7"/>
  <c r="K592" i="7"/>
  <c r="J592" i="7"/>
  <c r="I592" i="7"/>
  <c r="H592" i="7"/>
  <c r="G592" i="7"/>
  <c r="K591" i="7"/>
  <c r="J591" i="7"/>
  <c r="I591" i="7"/>
  <c r="H591" i="7"/>
  <c r="G591" i="7"/>
  <c r="K590" i="7"/>
  <c r="J590" i="7"/>
  <c r="I590" i="7"/>
  <c r="H590" i="7"/>
  <c r="G590" i="7"/>
  <c r="K589" i="7"/>
  <c r="J589" i="7"/>
  <c r="I589" i="7"/>
  <c r="H589" i="7"/>
  <c r="G589" i="7"/>
  <c r="K588" i="7"/>
  <c r="J588" i="7"/>
  <c r="I588" i="7"/>
  <c r="H588" i="7"/>
  <c r="G588" i="7"/>
  <c r="K587" i="7"/>
  <c r="J587" i="7"/>
  <c r="I587" i="7"/>
  <c r="H587" i="7"/>
  <c r="G587" i="7"/>
  <c r="K586" i="7"/>
  <c r="J586" i="7"/>
  <c r="I586" i="7"/>
  <c r="H586" i="7"/>
  <c r="G586" i="7"/>
  <c r="K585" i="7"/>
  <c r="J585" i="7"/>
  <c r="I585" i="7"/>
  <c r="H585" i="7"/>
  <c r="G585" i="7"/>
  <c r="K584" i="7"/>
  <c r="J584" i="7"/>
  <c r="I584" i="7"/>
  <c r="H584" i="7"/>
  <c r="G584" i="7"/>
  <c r="K583" i="7"/>
  <c r="J583" i="7"/>
  <c r="I583" i="7"/>
  <c r="H583" i="7"/>
  <c r="G583" i="7"/>
  <c r="K582" i="7"/>
  <c r="J582" i="7"/>
  <c r="I582" i="7"/>
  <c r="H582" i="7"/>
  <c r="G582" i="7"/>
  <c r="K581" i="7"/>
  <c r="J581" i="7"/>
  <c r="I581" i="7"/>
  <c r="H581" i="7"/>
  <c r="G581" i="7"/>
  <c r="K580" i="7"/>
  <c r="J580" i="7"/>
  <c r="I580" i="7"/>
  <c r="H580" i="7"/>
  <c r="G580" i="7"/>
  <c r="K579" i="7"/>
  <c r="J579" i="7"/>
  <c r="I579" i="7"/>
  <c r="H579" i="7"/>
  <c r="G579" i="7"/>
  <c r="K578" i="7"/>
  <c r="J578" i="7"/>
  <c r="I578" i="7"/>
  <c r="H578" i="7"/>
  <c r="G578" i="7"/>
  <c r="K577" i="7"/>
  <c r="J577" i="7"/>
  <c r="I577" i="7"/>
  <c r="H577" i="7"/>
  <c r="G577" i="7"/>
  <c r="K576" i="7"/>
  <c r="J576" i="7"/>
  <c r="I576" i="7"/>
  <c r="H576" i="7"/>
  <c r="G576" i="7"/>
  <c r="K575" i="7"/>
  <c r="J575" i="7"/>
  <c r="I575" i="7"/>
  <c r="H575" i="7"/>
  <c r="G575" i="7"/>
  <c r="K574" i="7"/>
  <c r="J574" i="7"/>
  <c r="I574" i="7"/>
  <c r="H574" i="7"/>
  <c r="G574" i="7"/>
  <c r="K573" i="7"/>
  <c r="J573" i="7"/>
  <c r="I573" i="7"/>
  <c r="H573" i="7"/>
  <c r="G573" i="7"/>
  <c r="K572" i="7"/>
  <c r="J572" i="7"/>
  <c r="I572" i="7"/>
  <c r="H572" i="7"/>
  <c r="G572" i="7"/>
  <c r="K571" i="7"/>
  <c r="J571" i="7"/>
  <c r="I571" i="7"/>
  <c r="H571" i="7"/>
  <c r="G571" i="7"/>
  <c r="K570" i="7"/>
  <c r="J570" i="7"/>
  <c r="I570" i="7"/>
  <c r="H570" i="7"/>
  <c r="G570" i="7"/>
  <c r="K569" i="7"/>
  <c r="J569" i="7"/>
  <c r="I569" i="7"/>
  <c r="H569" i="7"/>
  <c r="G569" i="7"/>
  <c r="K568" i="7"/>
  <c r="J568" i="7"/>
  <c r="I568" i="7"/>
  <c r="H568" i="7"/>
  <c r="G568" i="7"/>
  <c r="K567" i="7"/>
  <c r="J567" i="7"/>
  <c r="I567" i="7"/>
  <c r="H567" i="7"/>
  <c r="G567" i="7"/>
  <c r="K566" i="7"/>
  <c r="J566" i="7"/>
  <c r="I566" i="7"/>
  <c r="H566" i="7"/>
  <c r="G566" i="7"/>
  <c r="K565" i="7"/>
  <c r="J565" i="7"/>
  <c r="I565" i="7"/>
  <c r="H565" i="7"/>
  <c r="G565" i="7"/>
  <c r="K564" i="7"/>
  <c r="J564" i="7"/>
  <c r="I564" i="7"/>
  <c r="H564" i="7"/>
  <c r="G564" i="7"/>
  <c r="K563" i="7"/>
  <c r="J563" i="7"/>
  <c r="I563" i="7"/>
  <c r="H563" i="7"/>
  <c r="G563" i="7"/>
  <c r="K562" i="7"/>
  <c r="J562" i="7"/>
  <c r="I562" i="7"/>
  <c r="H562" i="7"/>
  <c r="G562" i="7"/>
  <c r="K561" i="7"/>
  <c r="J561" i="7"/>
  <c r="I561" i="7"/>
  <c r="H561" i="7"/>
  <c r="G561" i="7"/>
  <c r="K560" i="7"/>
  <c r="J560" i="7"/>
  <c r="I560" i="7"/>
  <c r="H560" i="7"/>
  <c r="G560" i="7"/>
  <c r="K559" i="7"/>
  <c r="J559" i="7"/>
  <c r="I559" i="7"/>
  <c r="H559" i="7"/>
  <c r="G559" i="7"/>
  <c r="K558" i="7"/>
  <c r="J558" i="7"/>
  <c r="I558" i="7"/>
  <c r="H558" i="7"/>
  <c r="G558" i="7"/>
  <c r="K557" i="7"/>
  <c r="J557" i="7"/>
  <c r="I557" i="7"/>
  <c r="H557" i="7"/>
  <c r="G557" i="7"/>
  <c r="K556" i="7"/>
  <c r="J556" i="7"/>
  <c r="I556" i="7"/>
  <c r="H556" i="7"/>
  <c r="G556" i="7"/>
  <c r="K555" i="7"/>
  <c r="J555" i="7"/>
  <c r="I555" i="7"/>
  <c r="H555" i="7"/>
  <c r="G555" i="7"/>
  <c r="K554" i="7"/>
  <c r="J554" i="7"/>
  <c r="I554" i="7"/>
  <c r="H554" i="7"/>
  <c r="G554" i="7"/>
  <c r="K553" i="7"/>
  <c r="J553" i="7"/>
  <c r="I553" i="7"/>
  <c r="H553" i="7"/>
  <c r="G553" i="7"/>
  <c r="K552" i="7"/>
  <c r="J552" i="7"/>
  <c r="I552" i="7"/>
  <c r="H552" i="7"/>
  <c r="G552" i="7"/>
  <c r="K551" i="7"/>
  <c r="J551" i="7"/>
  <c r="I551" i="7"/>
  <c r="H551" i="7"/>
  <c r="G551" i="7"/>
  <c r="K550" i="7"/>
  <c r="J550" i="7"/>
  <c r="I550" i="7"/>
  <c r="H550" i="7"/>
  <c r="G550" i="7"/>
  <c r="K549" i="7"/>
  <c r="J549" i="7"/>
  <c r="I549" i="7"/>
  <c r="H549" i="7"/>
  <c r="G549" i="7"/>
  <c r="K548" i="7"/>
  <c r="J548" i="7"/>
  <c r="I548" i="7"/>
  <c r="H548" i="7"/>
  <c r="G548" i="7"/>
  <c r="K547" i="7"/>
  <c r="J547" i="7"/>
  <c r="I547" i="7"/>
  <c r="H547" i="7"/>
  <c r="G547" i="7"/>
  <c r="K546" i="7"/>
  <c r="J546" i="7"/>
  <c r="I546" i="7"/>
  <c r="H546" i="7"/>
  <c r="G546" i="7"/>
  <c r="K545" i="7"/>
  <c r="J545" i="7"/>
  <c r="I545" i="7"/>
  <c r="H545" i="7"/>
  <c r="G545" i="7"/>
  <c r="K544" i="7"/>
  <c r="J544" i="7"/>
  <c r="I544" i="7"/>
  <c r="H544" i="7"/>
  <c r="G544" i="7"/>
  <c r="K543" i="7"/>
  <c r="J543" i="7"/>
  <c r="I543" i="7"/>
  <c r="H543" i="7"/>
  <c r="G543" i="7"/>
  <c r="K542" i="7"/>
  <c r="J542" i="7"/>
  <c r="I542" i="7"/>
  <c r="H542" i="7"/>
  <c r="G542" i="7"/>
  <c r="K541" i="7"/>
  <c r="J541" i="7"/>
  <c r="I541" i="7"/>
  <c r="H541" i="7"/>
  <c r="G541" i="7"/>
  <c r="K540" i="7"/>
  <c r="J540" i="7"/>
  <c r="I540" i="7"/>
  <c r="H540" i="7"/>
  <c r="G540" i="7"/>
  <c r="K539" i="7"/>
  <c r="J539" i="7"/>
  <c r="I539" i="7"/>
  <c r="H539" i="7"/>
  <c r="G539" i="7"/>
  <c r="K538" i="7"/>
  <c r="J538" i="7"/>
  <c r="I538" i="7"/>
  <c r="H538" i="7"/>
  <c r="G538" i="7"/>
  <c r="K537" i="7"/>
  <c r="J537" i="7"/>
  <c r="I537" i="7"/>
  <c r="H537" i="7"/>
  <c r="G537" i="7"/>
  <c r="K536" i="7"/>
  <c r="J536" i="7"/>
  <c r="I536" i="7"/>
  <c r="H536" i="7"/>
  <c r="G536" i="7"/>
  <c r="K535" i="7"/>
  <c r="J535" i="7"/>
  <c r="I535" i="7"/>
  <c r="H535" i="7"/>
  <c r="G535" i="7"/>
  <c r="K534" i="7"/>
  <c r="J534" i="7"/>
  <c r="I534" i="7"/>
  <c r="H534" i="7"/>
  <c r="G534" i="7"/>
  <c r="K533" i="7"/>
  <c r="J533" i="7"/>
  <c r="I533" i="7"/>
  <c r="H533" i="7"/>
  <c r="G533" i="7"/>
  <c r="K532" i="7"/>
  <c r="J532" i="7"/>
  <c r="I532" i="7"/>
  <c r="H532" i="7"/>
  <c r="G532" i="7"/>
  <c r="K531" i="7"/>
  <c r="J531" i="7"/>
  <c r="I531" i="7"/>
  <c r="H531" i="7"/>
  <c r="G531" i="7"/>
  <c r="K530" i="7"/>
  <c r="J530" i="7"/>
  <c r="I530" i="7"/>
  <c r="H530" i="7"/>
  <c r="G530" i="7"/>
  <c r="K529" i="7"/>
  <c r="J529" i="7"/>
  <c r="I529" i="7"/>
  <c r="H529" i="7"/>
  <c r="G529" i="7"/>
  <c r="K528" i="7"/>
  <c r="J528" i="7"/>
  <c r="I528" i="7"/>
  <c r="H528" i="7"/>
  <c r="G528" i="7"/>
  <c r="K527" i="7"/>
  <c r="J527" i="7"/>
  <c r="I527" i="7"/>
  <c r="H527" i="7"/>
  <c r="G527" i="7"/>
  <c r="K526" i="7"/>
  <c r="J526" i="7"/>
  <c r="I526" i="7"/>
  <c r="H526" i="7"/>
  <c r="G526" i="7"/>
  <c r="K525" i="7"/>
  <c r="J525" i="7"/>
  <c r="I525" i="7"/>
  <c r="H525" i="7"/>
  <c r="G525" i="7"/>
  <c r="K524" i="7"/>
  <c r="J524" i="7"/>
  <c r="I524" i="7"/>
  <c r="H524" i="7"/>
  <c r="G524" i="7"/>
  <c r="K523" i="7"/>
  <c r="J523" i="7"/>
  <c r="I523" i="7"/>
  <c r="H523" i="7"/>
  <c r="G523" i="7"/>
  <c r="K522" i="7"/>
  <c r="J522" i="7"/>
  <c r="I522" i="7"/>
  <c r="H522" i="7"/>
  <c r="G522" i="7"/>
  <c r="K521" i="7"/>
  <c r="J521" i="7"/>
  <c r="I521" i="7"/>
  <c r="H521" i="7"/>
  <c r="G521" i="7"/>
  <c r="K520" i="7"/>
  <c r="J520" i="7"/>
  <c r="I520" i="7"/>
  <c r="H520" i="7"/>
  <c r="G520" i="7"/>
  <c r="K519" i="7"/>
  <c r="J519" i="7"/>
  <c r="I519" i="7"/>
  <c r="H519" i="7"/>
  <c r="G519" i="7"/>
  <c r="K518" i="7"/>
  <c r="J518" i="7"/>
  <c r="I518" i="7"/>
  <c r="H518" i="7"/>
  <c r="G518" i="7"/>
  <c r="K517" i="7"/>
  <c r="J517" i="7"/>
  <c r="I517" i="7"/>
  <c r="H517" i="7"/>
  <c r="G517" i="7"/>
  <c r="K516" i="7"/>
  <c r="J516" i="7"/>
  <c r="I516" i="7"/>
  <c r="H516" i="7"/>
  <c r="G516" i="7"/>
  <c r="K515" i="7"/>
  <c r="J515" i="7"/>
  <c r="I515" i="7"/>
  <c r="H515" i="7"/>
  <c r="G515" i="7"/>
  <c r="K514" i="7"/>
  <c r="J514" i="7"/>
  <c r="I514" i="7"/>
  <c r="H514" i="7"/>
  <c r="G514" i="7"/>
  <c r="K513" i="7"/>
  <c r="J513" i="7"/>
  <c r="I513" i="7"/>
  <c r="H513" i="7"/>
  <c r="G513" i="7"/>
  <c r="K512" i="7"/>
  <c r="J512" i="7"/>
  <c r="I512" i="7"/>
  <c r="H512" i="7"/>
  <c r="G512" i="7"/>
  <c r="K511" i="7"/>
  <c r="J511" i="7"/>
  <c r="I511" i="7"/>
  <c r="H511" i="7"/>
  <c r="G511" i="7"/>
  <c r="K510" i="7"/>
  <c r="J510" i="7"/>
  <c r="I510" i="7"/>
  <c r="H510" i="7"/>
  <c r="G510" i="7"/>
  <c r="K509" i="7"/>
  <c r="J509" i="7"/>
  <c r="I509" i="7"/>
  <c r="H509" i="7"/>
  <c r="G509" i="7"/>
  <c r="K508" i="7"/>
  <c r="J508" i="7"/>
  <c r="I508" i="7"/>
  <c r="H508" i="7"/>
  <c r="G508" i="7"/>
  <c r="K507" i="7"/>
  <c r="J507" i="7"/>
  <c r="I507" i="7"/>
  <c r="H507" i="7"/>
  <c r="G507" i="7"/>
  <c r="K506" i="7"/>
  <c r="J506" i="7"/>
  <c r="I506" i="7"/>
  <c r="H506" i="7"/>
  <c r="G506" i="7"/>
  <c r="K505" i="7"/>
  <c r="J505" i="7"/>
  <c r="I505" i="7"/>
  <c r="H505" i="7"/>
  <c r="G505" i="7"/>
  <c r="K504" i="7"/>
  <c r="J504" i="7"/>
  <c r="I504" i="7"/>
  <c r="H504" i="7"/>
  <c r="G504" i="7"/>
  <c r="K503" i="7"/>
  <c r="J503" i="7"/>
  <c r="I503" i="7"/>
  <c r="H503" i="7"/>
  <c r="G503" i="7"/>
  <c r="K502" i="7"/>
  <c r="J502" i="7"/>
  <c r="I502" i="7"/>
  <c r="H502" i="7"/>
  <c r="G502" i="7"/>
  <c r="K501" i="7"/>
  <c r="J501" i="7"/>
  <c r="I501" i="7"/>
  <c r="H501" i="7"/>
  <c r="G501" i="7"/>
  <c r="K500" i="7"/>
  <c r="J500" i="7"/>
  <c r="I500" i="7"/>
  <c r="H500" i="7"/>
  <c r="G500" i="7"/>
  <c r="K499" i="7"/>
  <c r="J499" i="7"/>
  <c r="I499" i="7"/>
  <c r="H499" i="7"/>
  <c r="G499" i="7"/>
  <c r="K498" i="7"/>
  <c r="J498" i="7"/>
  <c r="I498" i="7"/>
  <c r="H498" i="7"/>
  <c r="G498" i="7"/>
  <c r="K497" i="7"/>
  <c r="J497" i="7"/>
  <c r="I497" i="7"/>
  <c r="H497" i="7"/>
  <c r="G497" i="7"/>
  <c r="K496" i="7"/>
  <c r="J496" i="7"/>
  <c r="I496" i="7"/>
  <c r="H496" i="7"/>
  <c r="G496" i="7"/>
  <c r="K495" i="7"/>
  <c r="J495" i="7"/>
  <c r="I495" i="7"/>
  <c r="H495" i="7"/>
  <c r="G495" i="7"/>
  <c r="K494" i="7"/>
  <c r="J494" i="7"/>
  <c r="I494" i="7"/>
  <c r="H494" i="7"/>
  <c r="G494" i="7"/>
  <c r="K493" i="7"/>
  <c r="J493" i="7"/>
  <c r="I493" i="7"/>
  <c r="H493" i="7"/>
  <c r="G493" i="7"/>
  <c r="K492" i="7"/>
  <c r="J492" i="7"/>
  <c r="I492" i="7"/>
  <c r="H492" i="7"/>
  <c r="G492" i="7"/>
  <c r="K491" i="7"/>
  <c r="J491" i="7"/>
  <c r="I491" i="7"/>
  <c r="H491" i="7"/>
  <c r="G491" i="7"/>
  <c r="K490" i="7"/>
  <c r="J490" i="7"/>
  <c r="I490" i="7"/>
  <c r="H490" i="7"/>
  <c r="G490" i="7"/>
  <c r="K489" i="7"/>
  <c r="J489" i="7"/>
  <c r="I489" i="7"/>
  <c r="H489" i="7"/>
  <c r="G489" i="7"/>
  <c r="K488" i="7"/>
  <c r="J488" i="7"/>
  <c r="I488" i="7"/>
  <c r="H488" i="7"/>
  <c r="G488" i="7"/>
  <c r="K487" i="7"/>
  <c r="J487" i="7"/>
  <c r="I487" i="7"/>
  <c r="H487" i="7"/>
  <c r="G487" i="7"/>
  <c r="K486" i="7"/>
  <c r="J486" i="7"/>
  <c r="I486" i="7"/>
  <c r="H486" i="7"/>
  <c r="G486" i="7"/>
  <c r="K485" i="7"/>
  <c r="J485" i="7"/>
  <c r="I485" i="7"/>
  <c r="H485" i="7"/>
  <c r="G485" i="7"/>
  <c r="K484" i="7"/>
  <c r="J484" i="7"/>
  <c r="I484" i="7"/>
  <c r="H484" i="7"/>
  <c r="G484" i="7"/>
  <c r="K483" i="7"/>
  <c r="J483" i="7"/>
  <c r="I483" i="7"/>
  <c r="H483" i="7"/>
  <c r="G483" i="7"/>
  <c r="K482" i="7"/>
  <c r="J482" i="7"/>
  <c r="I482" i="7"/>
  <c r="H482" i="7"/>
  <c r="G482" i="7"/>
  <c r="K481" i="7"/>
  <c r="J481" i="7"/>
  <c r="I481" i="7"/>
  <c r="H481" i="7"/>
  <c r="G481" i="7"/>
  <c r="K480" i="7"/>
  <c r="J480" i="7"/>
  <c r="I480" i="7"/>
  <c r="H480" i="7"/>
  <c r="G480" i="7"/>
  <c r="K479" i="7"/>
  <c r="J479" i="7"/>
  <c r="I479" i="7"/>
  <c r="H479" i="7"/>
  <c r="G479" i="7"/>
  <c r="K478" i="7"/>
  <c r="J478" i="7"/>
  <c r="I478" i="7"/>
  <c r="H478" i="7"/>
  <c r="G478" i="7"/>
  <c r="K477" i="7"/>
  <c r="J477" i="7"/>
  <c r="I477" i="7"/>
  <c r="H477" i="7"/>
  <c r="G477" i="7"/>
  <c r="K476" i="7"/>
  <c r="J476" i="7"/>
  <c r="I476" i="7"/>
  <c r="H476" i="7"/>
  <c r="G476" i="7"/>
  <c r="K475" i="7"/>
  <c r="J475" i="7"/>
  <c r="I475" i="7"/>
  <c r="H475" i="7"/>
  <c r="G475" i="7"/>
  <c r="K474" i="7"/>
  <c r="J474" i="7"/>
  <c r="I474" i="7"/>
  <c r="H474" i="7"/>
  <c r="G474" i="7"/>
  <c r="K473" i="7"/>
  <c r="J473" i="7"/>
  <c r="I473" i="7"/>
  <c r="H473" i="7"/>
  <c r="G473" i="7"/>
  <c r="K472" i="7"/>
  <c r="J472" i="7"/>
  <c r="I472" i="7"/>
  <c r="H472" i="7"/>
  <c r="G472" i="7"/>
  <c r="K471" i="7"/>
  <c r="J471" i="7"/>
  <c r="I471" i="7"/>
  <c r="H471" i="7"/>
  <c r="G471" i="7"/>
  <c r="K470" i="7"/>
  <c r="J470" i="7"/>
  <c r="I470" i="7"/>
  <c r="H470" i="7"/>
  <c r="G470" i="7"/>
  <c r="K469" i="7"/>
  <c r="J469" i="7"/>
  <c r="I469" i="7"/>
  <c r="H469" i="7"/>
  <c r="G469" i="7"/>
  <c r="K468" i="7"/>
  <c r="J468" i="7"/>
  <c r="I468" i="7"/>
  <c r="H468" i="7"/>
  <c r="G468" i="7"/>
  <c r="K467" i="7"/>
  <c r="J467" i="7"/>
  <c r="I467" i="7"/>
  <c r="H467" i="7"/>
  <c r="G467" i="7"/>
  <c r="K466" i="7"/>
  <c r="J466" i="7"/>
  <c r="I466" i="7"/>
  <c r="H466" i="7"/>
  <c r="G466" i="7"/>
  <c r="K465" i="7"/>
  <c r="J465" i="7"/>
  <c r="I465" i="7"/>
  <c r="H465" i="7"/>
  <c r="G465" i="7"/>
  <c r="K464" i="7"/>
  <c r="J464" i="7"/>
  <c r="I464" i="7"/>
  <c r="H464" i="7"/>
  <c r="G464" i="7"/>
  <c r="K463" i="7"/>
  <c r="J463" i="7"/>
  <c r="I463" i="7"/>
  <c r="H463" i="7"/>
  <c r="G463" i="7"/>
  <c r="K462" i="7"/>
  <c r="J462" i="7"/>
  <c r="I462" i="7"/>
  <c r="H462" i="7"/>
  <c r="G462" i="7"/>
  <c r="K461" i="7"/>
  <c r="J461" i="7"/>
  <c r="I461" i="7"/>
  <c r="H461" i="7"/>
  <c r="G461" i="7"/>
  <c r="K460" i="7"/>
  <c r="J460" i="7"/>
  <c r="I460" i="7"/>
  <c r="H460" i="7"/>
  <c r="G460" i="7"/>
  <c r="K459" i="7"/>
  <c r="J459" i="7"/>
  <c r="I459" i="7"/>
  <c r="H459" i="7"/>
  <c r="G459" i="7"/>
  <c r="K458" i="7"/>
  <c r="J458" i="7"/>
  <c r="I458" i="7"/>
  <c r="H458" i="7"/>
  <c r="G458" i="7"/>
  <c r="K457" i="7"/>
  <c r="J457" i="7"/>
  <c r="I457" i="7"/>
  <c r="H457" i="7"/>
  <c r="G457" i="7"/>
  <c r="K456" i="7"/>
  <c r="J456" i="7"/>
  <c r="I456" i="7"/>
  <c r="H456" i="7"/>
  <c r="G456" i="7"/>
  <c r="K455" i="7"/>
  <c r="J455" i="7"/>
  <c r="I455" i="7"/>
  <c r="H455" i="7"/>
  <c r="G455" i="7"/>
  <c r="K454" i="7"/>
  <c r="J454" i="7"/>
  <c r="I454" i="7"/>
  <c r="H454" i="7"/>
  <c r="G454" i="7"/>
  <c r="K453" i="7"/>
  <c r="J453" i="7"/>
  <c r="I453" i="7"/>
  <c r="H453" i="7"/>
  <c r="G453" i="7"/>
  <c r="K452" i="7"/>
  <c r="J452" i="7"/>
  <c r="I452" i="7"/>
  <c r="H452" i="7"/>
  <c r="G452" i="7"/>
  <c r="K451" i="7"/>
  <c r="J451" i="7"/>
  <c r="I451" i="7"/>
  <c r="H451" i="7"/>
  <c r="G451" i="7"/>
  <c r="K450" i="7"/>
  <c r="J450" i="7"/>
  <c r="I450" i="7"/>
  <c r="H450" i="7"/>
  <c r="G450" i="7"/>
  <c r="K449" i="7"/>
  <c r="J449" i="7"/>
  <c r="I449" i="7"/>
  <c r="H449" i="7"/>
  <c r="G449" i="7"/>
  <c r="K448" i="7"/>
  <c r="J448" i="7"/>
  <c r="I448" i="7"/>
  <c r="H448" i="7"/>
  <c r="G448" i="7"/>
  <c r="K447" i="7"/>
  <c r="J447" i="7"/>
  <c r="I447" i="7"/>
  <c r="H447" i="7"/>
  <c r="G447" i="7"/>
  <c r="K446" i="7"/>
  <c r="J446" i="7"/>
  <c r="I446" i="7"/>
  <c r="H446" i="7"/>
  <c r="G446" i="7"/>
  <c r="K445" i="7"/>
  <c r="J445" i="7"/>
  <c r="I445" i="7"/>
  <c r="H445" i="7"/>
  <c r="G445" i="7"/>
  <c r="K444" i="7"/>
  <c r="J444" i="7"/>
  <c r="I444" i="7"/>
  <c r="H444" i="7"/>
  <c r="G444" i="7"/>
  <c r="K443" i="7"/>
  <c r="J443" i="7"/>
  <c r="I443" i="7"/>
  <c r="H443" i="7"/>
  <c r="G443" i="7"/>
  <c r="K442" i="7"/>
  <c r="J442" i="7"/>
  <c r="I442" i="7"/>
  <c r="H442" i="7"/>
  <c r="G442" i="7"/>
  <c r="K441" i="7"/>
  <c r="J441" i="7"/>
  <c r="I441" i="7"/>
  <c r="H441" i="7"/>
  <c r="G441" i="7"/>
  <c r="K440" i="7"/>
  <c r="J440" i="7"/>
  <c r="I440" i="7"/>
  <c r="H440" i="7"/>
  <c r="G440" i="7"/>
  <c r="K439" i="7"/>
  <c r="J439" i="7"/>
  <c r="I439" i="7"/>
  <c r="H439" i="7"/>
  <c r="G439" i="7"/>
  <c r="K438" i="7"/>
  <c r="J438" i="7"/>
  <c r="I438" i="7"/>
  <c r="H438" i="7"/>
  <c r="G438" i="7"/>
  <c r="K437" i="7"/>
  <c r="J437" i="7"/>
  <c r="I437" i="7"/>
  <c r="H437" i="7"/>
  <c r="G437" i="7"/>
  <c r="K436" i="7"/>
  <c r="J436" i="7"/>
  <c r="I436" i="7"/>
  <c r="H436" i="7"/>
  <c r="G436" i="7"/>
  <c r="K435" i="7"/>
  <c r="J435" i="7"/>
  <c r="I435" i="7"/>
  <c r="H435" i="7"/>
  <c r="G435" i="7"/>
  <c r="K434" i="7"/>
  <c r="J434" i="7"/>
  <c r="I434" i="7"/>
  <c r="H434" i="7"/>
  <c r="G434" i="7"/>
  <c r="K433" i="7"/>
  <c r="J433" i="7"/>
  <c r="I433" i="7"/>
  <c r="H433" i="7"/>
  <c r="G433" i="7"/>
  <c r="K432" i="7"/>
  <c r="J432" i="7"/>
  <c r="I432" i="7"/>
  <c r="H432" i="7"/>
  <c r="G432" i="7"/>
  <c r="K431" i="7"/>
  <c r="J431" i="7"/>
  <c r="I431" i="7"/>
  <c r="H431" i="7"/>
  <c r="G431" i="7"/>
  <c r="K430" i="7"/>
  <c r="J430" i="7"/>
  <c r="I430" i="7"/>
  <c r="H430" i="7"/>
  <c r="G430" i="7"/>
  <c r="K429" i="7"/>
  <c r="J429" i="7"/>
  <c r="I429" i="7"/>
  <c r="H429" i="7"/>
  <c r="G429" i="7"/>
  <c r="K428" i="7"/>
  <c r="J428" i="7"/>
  <c r="I428" i="7"/>
  <c r="H428" i="7"/>
  <c r="G428" i="7"/>
  <c r="K427" i="7"/>
  <c r="J427" i="7"/>
  <c r="I427" i="7"/>
  <c r="H427" i="7"/>
  <c r="G427" i="7"/>
  <c r="K426" i="7"/>
  <c r="J426" i="7"/>
  <c r="I426" i="7"/>
  <c r="H426" i="7"/>
  <c r="G426" i="7"/>
  <c r="K425" i="7"/>
  <c r="J425" i="7"/>
  <c r="I425" i="7"/>
  <c r="H425" i="7"/>
  <c r="G425" i="7"/>
  <c r="K424" i="7"/>
  <c r="J424" i="7"/>
  <c r="I424" i="7"/>
  <c r="H424" i="7"/>
  <c r="G424" i="7"/>
  <c r="K423" i="7"/>
  <c r="J423" i="7"/>
  <c r="I423" i="7"/>
  <c r="H423" i="7"/>
  <c r="G423" i="7"/>
  <c r="K422" i="7"/>
  <c r="J422" i="7"/>
  <c r="I422" i="7"/>
  <c r="H422" i="7"/>
  <c r="G422" i="7"/>
  <c r="K421" i="7"/>
  <c r="J421" i="7"/>
  <c r="I421" i="7"/>
  <c r="H421" i="7"/>
  <c r="G421" i="7"/>
  <c r="K420" i="7"/>
  <c r="J420" i="7"/>
  <c r="I420" i="7"/>
  <c r="H420" i="7"/>
  <c r="G420" i="7"/>
  <c r="K419" i="7"/>
  <c r="J419" i="7"/>
  <c r="I419" i="7"/>
  <c r="H419" i="7"/>
  <c r="G419" i="7"/>
  <c r="K418" i="7"/>
  <c r="J418" i="7"/>
  <c r="I418" i="7"/>
  <c r="H418" i="7"/>
  <c r="G418" i="7"/>
  <c r="K417" i="7"/>
  <c r="J417" i="7"/>
  <c r="I417" i="7"/>
  <c r="H417" i="7"/>
  <c r="G417" i="7"/>
  <c r="K416" i="7"/>
  <c r="J416" i="7"/>
  <c r="I416" i="7"/>
  <c r="H416" i="7"/>
  <c r="G416" i="7"/>
  <c r="K415" i="7"/>
  <c r="J415" i="7"/>
  <c r="I415" i="7"/>
  <c r="H415" i="7"/>
  <c r="G415" i="7"/>
  <c r="K414" i="7"/>
  <c r="J414" i="7"/>
  <c r="I414" i="7"/>
  <c r="H414" i="7"/>
  <c r="G414" i="7"/>
  <c r="K413" i="7"/>
  <c r="J413" i="7"/>
  <c r="I413" i="7"/>
  <c r="H413" i="7"/>
  <c r="G413" i="7"/>
  <c r="K412" i="7"/>
  <c r="J412" i="7"/>
  <c r="I412" i="7"/>
  <c r="H412" i="7"/>
  <c r="G412" i="7"/>
  <c r="K411" i="7"/>
  <c r="J411" i="7"/>
  <c r="I411" i="7"/>
  <c r="H411" i="7"/>
  <c r="G411" i="7"/>
  <c r="K410" i="7"/>
  <c r="J410" i="7"/>
  <c r="I410" i="7"/>
  <c r="H410" i="7"/>
  <c r="G410" i="7"/>
  <c r="K409" i="7"/>
  <c r="J409" i="7"/>
  <c r="I409" i="7"/>
  <c r="H409" i="7"/>
  <c r="G409" i="7"/>
  <c r="K408" i="7"/>
  <c r="J408" i="7"/>
  <c r="I408" i="7"/>
  <c r="H408" i="7"/>
  <c r="G408" i="7"/>
  <c r="K407" i="7"/>
  <c r="J407" i="7"/>
  <c r="I407" i="7"/>
  <c r="H407" i="7"/>
  <c r="G407" i="7"/>
  <c r="K406" i="7"/>
  <c r="J406" i="7"/>
  <c r="I406" i="7"/>
  <c r="H406" i="7"/>
  <c r="G406" i="7"/>
  <c r="K405" i="7"/>
  <c r="J405" i="7"/>
  <c r="I405" i="7"/>
  <c r="H405" i="7"/>
  <c r="G405" i="7"/>
  <c r="K404" i="7"/>
  <c r="J404" i="7"/>
  <c r="I404" i="7"/>
  <c r="H404" i="7"/>
  <c r="G404" i="7"/>
  <c r="K403" i="7"/>
  <c r="J403" i="7"/>
  <c r="I403" i="7"/>
  <c r="H403" i="7"/>
  <c r="G403" i="7"/>
  <c r="K402" i="7"/>
  <c r="J402" i="7"/>
  <c r="I402" i="7"/>
  <c r="H402" i="7"/>
  <c r="G402" i="7"/>
  <c r="K401" i="7"/>
  <c r="J401" i="7"/>
  <c r="I401" i="7"/>
  <c r="H401" i="7"/>
  <c r="G401" i="7"/>
  <c r="K400" i="7"/>
  <c r="J400" i="7"/>
  <c r="I400" i="7"/>
  <c r="H400" i="7"/>
  <c r="G400" i="7"/>
  <c r="K399" i="7"/>
  <c r="J399" i="7"/>
  <c r="I399" i="7"/>
  <c r="H399" i="7"/>
  <c r="G399" i="7"/>
  <c r="K398" i="7"/>
  <c r="J398" i="7"/>
  <c r="I398" i="7"/>
  <c r="H398" i="7"/>
  <c r="G398" i="7"/>
  <c r="K397" i="7"/>
  <c r="J397" i="7"/>
  <c r="I397" i="7"/>
  <c r="H397" i="7"/>
  <c r="G397" i="7"/>
  <c r="K396" i="7"/>
  <c r="J396" i="7"/>
  <c r="I396" i="7"/>
  <c r="H396" i="7"/>
  <c r="G396" i="7"/>
  <c r="K395" i="7"/>
  <c r="J395" i="7"/>
  <c r="I395" i="7"/>
  <c r="H395" i="7"/>
  <c r="G395" i="7"/>
  <c r="K394" i="7"/>
  <c r="J394" i="7"/>
  <c r="I394" i="7"/>
  <c r="H394" i="7"/>
  <c r="G394" i="7"/>
  <c r="K393" i="7"/>
  <c r="J393" i="7"/>
  <c r="I393" i="7"/>
  <c r="H393" i="7"/>
  <c r="G393" i="7"/>
  <c r="K392" i="7"/>
  <c r="J392" i="7"/>
  <c r="I392" i="7"/>
  <c r="H392" i="7"/>
  <c r="G392" i="7"/>
  <c r="K391" i="7"/>
  <c r="J391" i="7"/>
  <c r="I391" i="7"/>
  <c r="H391" i="7"/>
  <c r="G391" i="7"/>
  <c r="K390" i="7"/>
  <c r="J390" i="7"/>
  <c r="I390" i="7"/>
  <c r="H390" i="7"/>
  <c r="G390" i="7"/>
  <c r="K389" i="7"/>
  <c r="J389" i="7"/>
  <c r="I389" i="7"/>
  <c r="H389" i="7"/>
  <c r="G389" i="7"/>
  <c r="K388" i="7"/>
  <c r="J388" i="7"/>
  <c r="I388" i="7"/>
  <c r="H388" i="7"/>
  <c r="G388" i="7"/>
  <c r="K387" i="7"/>
  <c r="J387" i="7"/>
  <c r="I387" i="7"/>
  <c r="H387" i="7"/>
  <c r="G387" i="7"/>
  <c r="K386" i="7"/>
  <c r="J386" i="7"/>
  <c r="I386" i="7"/>
  <c r="H386" i="7"/>
  <c r="G386" i="7"/>
  <c r="K385" i="7"/>
  <c r="J385" i="7"/>
  <c r="I385" i="7"/>
  <c r="H385" i="7"/>
  <c r="G385" i="7"/>
  <c r="K384" i="7"/>
  <c r="J384" i="7"/>
  <c r="I384" i="7"/>
  <c r="H384" i="7"/>
  <c r="G384" i="7"/>
  <c r="K383" i="7"/>
  <c r="J383" i="7"/>
  <c r="I383" i="7"/>
  <c r="H383" i="7"/>
  <c r="G383" i="7"/>
  <c r="K382" i="7"/>
  <c r="J382" i="7"/>
  <c r="I382" i="7"/>
  <c r="H382" i="7"/>
  <c r="G382" i="7"/>
  <c r="K381" i="7"/>
  <c r="J381" i="7"/>
  <c r="I381" i="7"/>
  <c r="H381" i="7"/>
  <c r="G381" i="7"/>
  <c r="K380" i="7"/>
  <c r="J380" i="7"/>
  <c r="I380" i="7"/>
  <c r="H380" i="7"/>
  <c r="G380" i="7"/>
  <c r="K379" i="7"/>
  <c r="J379" i="7"/>
  <c r="I379" i="7"/>
  <c r="H379" i="7"/>
  <c r="G379" i="7"/>
  <c r="K378" i="7"/>
  <c r="J378" i="7"/>
  <c r="I378" i="7"/>
  <c r="H378" i="7"/>
  <c r="G378" i="7"/>
  <c r="K377" i="7"/>
  <c r="J377" i="7"/>
  <c r="I377" i="7"/>
  <c r="H377" i="7"/>
  <c r="G377" i="7"/>
  <c r="K376" i="7"/>
  <c r="J376" i="7"/>
  <c r="I376" i="7"/>
  <c r="H376" i="7"/>
  <c r="G376" i="7"/>
  <c r="K375" i="7"/>
  <c r="J375" i="7"/>
  <c r="I375" i="7"/>
  <c r="H375" i="7"/>
  <c r="G375" i="7"/>
  <c r="K374" i="7"/>
  <c r="J374" i="7"/>
  <c r="I374" i="7"/>
  <c r="H374" i="7"/>
  <c r="G374" i="7"/>
  <c r="K373" i="7"/>
  <c r="J373" i="7"/>
  <c r="I373" i="7"/>
  <c r="H373" i="7"/>
  <c r="G373" i="7"/>
  <c r="K372" i="7"/>
  <c r="J372" i="7"/>
  <c r="I372" i="7"/>
  <c r="H372" i="7"/>
  <c r="G372" i="7"/>
  <c r="K371" i="7"/>
  <c r="J371" i="7"/>
  <c r="I371" i="7"/>
  <c r="H371" i="7"/>
  <c r="G371" i="7"/>
  <c r="K370" i="7"/>
  <c r="J370" i="7"/>
  <c r="I370" i="7"/>
  <c r="H370" i="7"/>
  <c r="G370" i="7"/>
  <c r="K369" i="7"/>
  <c r="J369" i="7"/>
  <c r="I369" i="7"/>
  <c r="H369" i="7"/>
  <c r="G369" i="7"/>
  <c r="K368" i="7"/>
  <c r="J368" i="7"/>
  <c r="I368" i="7"/>
  <c r="H368" i="7"/>
  <c r="G368" i="7"/>
  <c r="K367" i="7"/>
  <c r="J367" i="7"/>
  <c r="I367" i="7"/>
  <c r="H367" i="7"/>
  <c r="G367" i="7"/>
  <c r="K366" i="7"/>
  <c r="J366" i="7"/>
  <c r="I366" i="7"/>
  <c r="H366" i="7"/>
  <c r="G366" i="7"/>
  <c r="K365" i="7"/>
  <c r="J365" i="7"/>
  <c r="I365" i="7"/>
  <c r="H365" i="7"/>
  <c r="G365" i="7"/>
  <c r="K364" i="7"/>
  <c r="J364" i="7"/>
  <c r="I364" i="7"/>
  <c r="H364" i="7"/>
  <c r="G364" i="7"/>
  <c r="K363" i="7"/>
  <c r="J363" i="7"/>
  <c r="I363" i="7"/>
  <c r="H363" i="7"/>
  <c r="G363" i="7"/>
  <c r="K362" i="7"/>
  <c r="J362" i="7"/>
  <c r="I362" i="7"/>
  <c r="H362" i="7"/>
  <c r="G362" i="7"/>
  <c r="K361" i="7"/>
  <c r="J361" i="7"/>
  <c r="I361" i="7"/>
  <c r="H361" i="7"/>
  <c r="G361" i="7"/>
  <c r="K360" i="7"/>
  <c r="J360" i="7"/>
  <c r="I360" i="7"/>
  <c r="H360" i="7"/>
  <c r="G360" i="7"/>
  <c r="K359" i="7"/>
  <c r="J359" i="7"/>
  <c r="I359" i="7"/>
  <c r="H359" i="7"/>
  <c r="G359" i="7"/>
  <c r="K358" i="7"/>
  <c r="J358" i="7"/>
  <c r="I358" i="7"/>
  <c r="H358" i="7"/>
  <c r="G358" i="7"/>
  <c r="K357" i="7"/>
  <c r="J357" i="7"/>
  <c r="I357" i="7"/>
  <c r="H357" i="7"/>
  <c r="G357" i="7"/>
  <c r="K356" i="7"/>
  <c r="J356" i="7"/>
  <c r="I356" i="7"/>
  <c r="H356" i="7"/>
  <c r="G356" i="7"/>
  <c r="K355" i="7"/>
  <c r="J355" i="7"/>
  <c r="I355" i="7"/>
  <c r="H355" i="7"/>
  <c r="G355" i="7"/>
  <c r="K354" i="7"/>
  <c r="J354" i="7"/>
  <c r="I354" i="7"/>
  <c r="H354" i="7"/>
  <c r="G354" i="7"/>
  <c r="K353" i="7"/>
  <c r="J353" i="7"/>
  <c r="I353" i="7"/>
  <c r="H353" i="7"/>
  <c r="G353" i="7"/>
  <c r="K352" i="7"/>
  <c r="J352" i="7"/>
  <c r="I352" i="7"/>
  <c r="H352" i="7"/>
  <c r="G352" i="7"/>
  <c r="K351" i="7"/>
  <c r="J351" i="7"/>
  <c r="I351" i="7"/>
  <c r="H351" i="7"/>
  <c r="G351" i="7"/>
  <c r="K350" i="7"/>
  <c r="J350" i="7"/>
  <c r="I350" i="7"/>
  <c r="H350" i="7"/>
  <c r="G350" i="7"/>
  <c r="K349" i="7"/>
  <c r="J349" i="7"/>
  <c r="I349" i="7"/>
  <c r="H349" i="7"/>
  <c r="G349" i="7"/>
  <c r="K348" i="7"/>
  <c r="J348" i="7"/>
  <c r="I348" i="7"/>
  <c r="H348" i="7"/>
  <c r="G348" i="7"/>
  <c r="K347" i="7"/>
  <c r="J347" i="7"/>
  <c r="I347" i="7"/>
  <c r="H347" i="7"/>
  <c r="G347" i="7"/>
  <c r="K346" i="7"/>
  <c r="J346" i="7"/>
  <c r="I346" i="7"/>
  <c r="H346" i="7"/>
  <c r="G346" i="7"/>
  <c r="K345" i="7"/>
  <c r="J345" i="7"/>
  <c r="I345" i="7"/>
  <c r="H345" i="7"/>
  <c r="G345" i="7"/>
  <c r="K344" i="7"/>
  <c r="J344" i="7"/>
  <c r="I344" i="7"/>
  <c r="H344" i="7"/>
  <c r="G344" i="7"/>
  <c r="K343" i="7"/>
  <c r="J343" i="7"/>
  <c r="I343" i="7"/>
  <c r="H343" i="7"/>
  <c r="G343" i="7"/>
  <c r="K342" i="7"/>
  <c r="J342" i="7"/>
  <c r="I342" i="7"/>
  <c r="H342" i="7"/>
  <c r="G342" i="7"/>
  <c r="K341" i="7"/>
  <c r="J341" i="7"/>
  <c r="I341" i="7"/>
  <c r="H341" i="7"/>
  <c r="G341" i="7"/>
  <c r="K340" i="7"/>
  <c r="J340" i="7"/>
  <c r="I340" i="7"/>
  <c r="H340" i="7"/>
  <c r="G340" i="7"/>
  <c r="K339" i="7"/>
  <c r="J339" i="7"/>
  <c r="I339" i="7"/>
  <c r="H339" i="7"/>
  <c r="G339" i="7"/>
  <c r="K338" i="7"/>
  <c r="J338" i="7"/>
  <c r="I338" i="7"/>
  <c r="H338" i="7"/>
  <c r="G338" i="7"/>
  <c r="K337" i="7"/>
  <c r="J337" i="7"/>
  <c r="I337" i="7"/>
  <c r="H337" i="7"/>
  <c r="G337" i="7"/>
  <c r="K336" i="7"/>
  <c r="J336" i="7"/>
  <c r="I336" i="7"/>
  <c r="H336" i="7"/>
  <c r="G336" i="7"/>
  <c r="K335" i="7"/>
  <c r="J335" i="7"/>
  <c r="I335" i="7"/>
  <c r="H335" i="7"/>
  <c r="G335" i="7"/>
  <c r="K334" i="7"/>
  <c r="J334" i="7"/>
  <c r="I334" i="7"/>
  <c r="H334" i="7"/>
  <c r="G334" i="7"/>
  <c r="K333" i="7"/>
  <c r="J333" i="7"/>
  <c r="I333" i="7"/>
  <c r="H333" i="7"/>
  <c r="G333" i="7"/>
  <c r="K332" i="7"/>
  <c r="J332" i="7"/>
  <c r="I332" i="7"/>
  <c r="H332" i="7"/>
  <c r="G332" i="7"/>
  <c r="K331" i="7"/>
  <c r="J331" i="7"/>
  <c r="I331" i="7"/>
  <c r="H331" i="7"/>
  <c r="G331" i="7"/>
  <c r="K330" i="7"/>
  <c r="J330" i="7"/>
  <c r="I330" i="7"/>
  <c r="H330" i="7"/>
  <c r="G330" i="7"/>
  <c r="K329" i="7"/>
  <c r="J329" i="7"/>
  <c r="I329" i="7"/>
  <c r="H329" i="7"/>
  <c r="G329" i="7"/>
  <c r="K328" i="7"/>
  <c r="J328" i="7"/>
  <c r="I328" i="7"/>
  <c r="H328" i="7"/>
  <c r="G328" i="7"/>
  <c r="K327" i="7"/>
  <c r="J327" i="7"/>
  <c r="I327" i="7"/>
  <c r="H327" i="7"/>
  <c r="G327" i="7"/>
  <c r="K326" i="7"/>
  <c r="J326" i="7"/>
  <c r="I326" i="7"/>
  <c r="H326" i="7"/>
  <c r="G326" i="7"/>
  <c r="K325" i="7"/>
  <c r="J325" i="7"/>
  <c r="I325" i="7"/>
  <c r="H325" i="7"/>
  <c r="G325" i="7"/>
  <c r="K324" i="7"/>
  <c r="J324" i="7"/>
  <c r="I324" i="7"/>
  <c r="H324" i="7"/>
  <c r="G324" i="7"/>
  <c r="K323" i="7"/>
  <c r="J323" i="7"/>
  <c r="I323" i="7"/>
  <c r="H323" i="7"/>
  <c r="G323" i="7"/>
  <c r="K322" i="7"/>
  <c r="J322" i="7"/>
  <c r="I322" i="7"/>
  <c r="H322" i="7"/>
  <c r="G322" i="7"/>
  <c r="K321" i="7"/>
  <c r="J321" i="7"/>
  <c r="I321" i="7"/>
  <c r="H321" i="7"/>
  <c r="G321" i="7"/>
  <c r="K320" i="7"/>
  <c r="J320" i="7"/>
  <c r="I320" i="7"/>
  <c r="H320" i="7"/>
  <c r="G320" i="7"/>
  <c r="K319" i="7"/>
  <c r="J319" i="7"/>
  <c r="I319" i="7"/>
  <c r="H319" i="7"/>
  <c r="G319" i="7"/>
  <c r="K318" i="7"/>
  <c r="J318" i="7"/>
  <c r="I318" i="7"/>
  <c r="H318" i="7"/>
  <c r="G318" i="7"/>
  <c r="K317" i="7"/>
  <c r="J317" i="7"/>
  <c r="I317" i="7"/>
  <c r="H317" i="7"/>
  <c r="G317" i="7"/>
  <c r="K316" i="7"/>
  <c r="J316" i="7"/>
  <c r="I316" i="7"/>
  <c r="H316" i="7"/>
  <c r="G316" i="7"/>
  <c r="K315" i="7"/>
  <c r="J315" i="7"/>
  <c r="I315" i="7"/>
  <c r="H315" i="7"/>
  <c r="G315" i="7"/>
  <c r="K314" i="7"/>
  <c r="J314" i="7"/>
  <c r="I314" i="7"/>
  <c r="H314" i="7"/>
  <c r="G314" i="7"/>
  <c r="K313" i="7"/>
  <c r="J313" i="7"/>
  <c r="I313" i="7"/>
  <c r="H313" i="7"/>
  <c r="G313" i="7"/>
  <c r="K312" i="7"/>
  <c r="J312" i="7"/>
  <c r="I312" i="7"/>
  <c r="H312" i="7"/>
  <c r="G312" i="7"/>
  <c r="K311" i="7"/>
  <c r="J311" i="7"/>
  <c r="I311" i="7"/>
  <c r="H311" i="7"/>
  <c r="G311" i="7"/>
  <c r="K310" i="7"/>
  <c r="J310" i="7"/>
  <c r="I310" i="7"/>
  <c r="H310" i="7"/>
  <c r="G310" i="7"/>
  <c r="K309" i="7"/>
  <c r="J309" i="7"/>
  <c r="I309" i="7"/>
  <c r="H309" i="7"/>
  <c r="G309" i="7"/>
  <c r="K308" i="7"/>
  <c r="J308" i="7"/>
  <c r="I308" i="7"/>
  <c r="H308" i="7"/>
  <c r="G308" i="7"/>
  <c r="K307" i="7"/>
  <c r="J307" i="7"/>
  <c r="I307" i="7"/>
  <c r="H307" i="7"/>
  <c r="G307" i="7"/>
  <c r="K306" i="7"/>
  <c r="J306" i="7"/>
  <c r="I306" i="7"/>
  <c r="H306" i="7"/>
  <c r="G306" i="7"/>
  <c r="K305" i="7"/>
  <c r="J305" i="7"/>
  <c r="I305" i="7"/>
  <c r="H305" i="7"/>
  <c r="G305" i="7"/>
  <c r="K304" i="7"/>
  <c r="J304" i="7"/>
  <c r="I304" i="7"/>
  <c r="H304" i="7"/>
  <c r="G304" i="7"/>
  <c r="K303" i="7"/>
  <c r="J303" i="7"/>
  <c r="I303" i="7"/>
  <c r="H303" i="7"/>
  <c r="G303" i="7"/>
  <c r="K302" i="7"/>
  <c r="J302" i="7"/>
  <c r="I302" i="7"/>
  <c r="H302" i="7"/>
  <c r="G302" i="7"/>
  <c r="K301" i="7"/>
  <c r="J301" i="7"/>
  <c r="I301" i="7"/>
  <c r="H301" i="7"/>
  <c r="G301" i="7"/>
  <c r="K300" i="7"/>
  <c r="J300" i="7"/>
  <c r="I300" i="7"/>
  <c r="H300" i="7"/>
  <c r="G300" i="7"/>
  <c r="K299" i="7"/>
  <c r="J299" i="7"/>
  <c r="I299" i="7"/>
  <c r="H299" i="7"/>
  <c r="G299" i="7"/>
  <c r="K298" i="7"/>
  <c r="J298" i="7"/>
  <c r="I298" i="7"/>
  <c r="H298" i="7"/>
  <c r="G298" i="7"/>
  <c r="K297" i="7"/>
  <c r="J297" i="7"/>
  <c r="I297" i="7"/>
  <c r="H297" i="7"/>
  <c r="G297" i="7"/>
  <c r="K296" i="7"/>
  <c r="J296" i="7"/>
  <c r="I296" i="7"/>
  <c r="H296" i="7"/>
  <c r="G296" i="7"/>
  <c r="K295" i="7"/>
  <c r="J295" i="7"/>
  <c r="I295" i="7"/>
  <c r="H295" i="7"/>
  <c r="G295" i="7"/>
  <c r="K294" i="7"/>
  <c r="J294" i="7"/>
  <c r="I294" i="7"/>
  <c r="H294" i="7"/>
  <c r="G294" i="7"/>
  <c r="K293" i="7"/>
  <c r="J293" i="7"/>
  <c r="I293" i="7"/>
  <c r="H293" i="7"/>
  <c r="G293" i="7"/>
  <c r="K292" i="7"/>
  <c r="J292" i="7"/>
  <c r="I292" i="7"/>
  <c r="H292" i="7"/>
  <c r="G292" i="7"/>
  <c r="K291" i="7"/>
  <c r="J291" i="7"/>
  <c r="I291" i="7"/>
  <c r="H291" i="7"/>
  <c r="G291" i="7"/>
  <c r="K290" i="7"/>
  <c r="J290" i="7"/>
  <c r="I290" i="7"/>
  <c r="H290" i="7"/>
  <c r="G290" i="7"/>
  <c r="K289" i="7"/>
  <c r="J289" i="7"/>
  <c r="I289" i="7"/>
  <c r="H289" i="7"/>
  <c r="G289" i="7"/>
  <c r="K288" i="7"/>
  <c r="J288" i="7"/>
  <c r="I288" i="7"/>
  <c r="H288" i="7"/>
  <c r="G288" i="7"/>
  <c r="K287" i="7"/>
  <c r="J287" i="7"/>
  <c r="I287" i="7"/>
  <c r="H287" i="7"/>
  <c r="G287" i="7"/>
  <c r="K286" i="7"/>
  <c r="J286" i="7"/>
  <c r="I286" i="7"/>
  <c r="H286" i="7"/>
  <c r="G286" i="7"/>
  <c r="K285" i="7"/>
  <c r="J285" i="7"/>
  <c r="I285" i="7"/>
  <c r="H285" i="7"/>
  <c r="G285" i="7"/>
  <c r="K284" i="7"/>
  <c r="J284" i="7"/>
  <c r="I284" i="7"/>
  <c r="H284" i="7"/>
  <c r="G284" i="7"/>
  <c r="K283" i="7"/>
  <c r="J283" i="7"/>
  <c r="I283" i="7"/>
  <c r="H283" i="7"/>
  <c r="G283" i="7"/>
  <c r="K282" i="7"/>
  <c r="J282" i="7"/>
  <c r="I282" i="7"/>
  <c r="H282" i="7"/>
  <c r="G282" i="7"/>
  <c r="K281" i="7"/>
  <c r="J281" i="7"/>
  <c r="I281" i="7"/>
  <c r="H281" i="7"/>
  <c r="G281" i="7"/>
  <c r="K280" i="7"/>
  <c r="J280" i="7"/>
  <c r="I280" i="7"/>
  <c r="H280" i="7"/>
  <c r="G280" i="7"/>
  <c r="K279" i="7"/>
  <c r="J279" i="7"/>
  <c r="I279" i="7"/>
  <c r="H279" i="7"/>
  <c r="G279" i="7"/>
  <c r="K278" i="7"/>
  <c r="J278" i="7"/>
  <c r="I278" i="7"/>
  <c r="H278" i="7"/>
  <c r="G278" i="7"/>
  <c r="K277" i="7"/>
  <c r="J277" i="7"/>
  <c r="I277" i="7"/>
  <c r="H277" i="7"/>
  <c r="G277" i="7"/>
  <c r="K276" i="7"/>
  <c r="J276" i="7"/>
  <c r="I276" i="7"/>
  <c r="H276" i="7"/>
  <c r="G276" i="7"/>
  <c r="K275" i="7"/>
  <c r="J275" i="7"/>
  <c r="I275" i="7"/>
  <c r="H275" i="7"/>
  <c r="G275" i="7"/>
  <c r="K274" i="7"/>
  <c r="J274" i="7"/>
  <c r="I274" i="7"/>
  <c r="H274" i="7"/>
  <c r="G274" i="7"/>
  <c r="K273" i="7"/>
  <c r="J273" i="7"/>
  <c r="I273" i="7"/>
  <c r="H273" i="7"/>
  <c r="G273" i="7"/>
  <c r="K272" i="7"/>
  <c r="J272" i="7"/>
  <c r="I272" i="7"/>
  <c r="H272" i="7"/>
  <c r="G272" i="7"/>
  <c r="K271" i="7"/>
  <c r="J271" i="7"/>
  <c r="I271" i="7"/>
  <c r="H271" i="7"/>
  <c r="G271" i="7"/>
  <c r="K270" i="7"/>
  <c r="J270" i="7"/>
  <c r="I270" i="7"/>
  <c r="H270" i="7"/>
  <c r="G270" i="7"/>
  <c r="K269" i="7"/>
  <c r="J269" i="7"/>
  <c r="I269" i="7"/>
  <c r="H269" i="7"/>
  <c r="G269" i="7"/>
  <c r="K268" i="7"/>
  <c r="J268" i="7"/>
  <c r="I268" i="7"/>
  <c r="H268" i="7"/>
  <c r="G268" i="7"/>
  <c r="K267" i="7"/>
  <c r="J267" i="7"/>
  <c r="I267" i="7"/>
  <c r="H267" i="7"/>
  <c r="G267" i="7"/>
  <c r="K266" i="7"/>
  <c r="J266" i="7"/>
  <c r="I266" i="7"/>
  <c r="H266" i="7"/>
  <c r="G266" i="7"/>
  <c r="K265" i="7"/>
  <c r="J265" i="7"/>
  <c r="I265" i="7"/>
  <c r="H265" i="7"/>
  <c r="G265" i="7"/>
  <c r="K264" i="7"/>
  <c r="J264" i="7"/>
  <c r="I264" i="7"/>
  <c r="H264" i="7"/>
  <c r="G264" i="7"/>
  <c r="K263" i="7"/>
  <c r="J263" i="7"/>
  <c r="I263" i="7"/>
  <c r="H263" i="7"/>
  <c r="G263" i="7"/>
  <c r="K262" i="7"/>
  <c r="J262" i="7"/>
  <c r="I262" i="7"/>
  <c r="H262" i="7"/>
  <c r="G262" i="7"/>
  <c r="K261" i="7"/>
  <c r="J261" i="7"/>
  <c r="I261" i="7"/>
  <c r="H261" i="7"/>
  <c r="G261" i="7"/>
  <c r="K260" i="7"/>
  <c r="J260" i="7"/>
  <c r="I260" i="7"/>
  <c r="H260" i="7"/>
  <c r="G260" i="7"/>
  <c r="K259" i="7"/>
  <c r="J259" i="7"/>
  <c r="I259" i="7"/>
  <c r="H259" i="7"/>
  <c r="G259" i="7"/>
  <c r="K258" i="7"/>
  <c r="J258" i="7"/>
  <c r="I258" i="7"/>
  <c r="H258" i="7"/>
  <c r="G258" i="7"/>
  <c r="K257" i="7"/>
  <c r="J257" i="7"/>
  <c r="I257" i="7"/>
  <c r="H257" i="7"/>
  <c r="G257" i="7"/>
  <c r="K256" i="7"/>
  <c r="J256" i="7"/>
  <c r="I256" i="7"/>
  <c r="H256" i="7"/>
  <c r="G256" i="7"/>
  <c r="K255" i="7"/>
  <c r="J255" i="7"/>
  <c r="I255" i="7"/>
  <c r="H255" i="7"/>
  <c r="G255" i="7"/>
  <c r="K254" i="7"/>
  <c r="J254" i="7"/>
  <c r="I254" i="7"/>
  <c r="H254" i="7"/>
  <c r="G254" i="7"/>
  <c r="K253" i="7"/>
  <c r="J253" i="7"/>
  <c r="I253" i="7"/>
  <c r="H253" i="7"/>
  <c r="G253" i="7"/>
  <c r="K252" i="7"/>
  <c r="J252" i="7"/>
  <c r="I252" i="7"/>
  <c r="H252" i="7"/>
  <c r="G252" i="7"/>
  <c r="K251" i="7"/>
  <c r="J251" i="7"/>
  <c r="I251" i="7"/>
  <c r="H251" i="7"/>
  <c r="G251" i="7"/>
  <c r="K250" i="7"/>
  <c r="J250" i="7"/>
  <c r="I250" i="7"/>
  <c r="H250" i="7"/>
  <c r="G250" i="7"/>
  <c r="K249" i="7"/>
  <c r="J249" i="7"/>
  <c r="I249" i="7"/>
  <c r="H249" i="7"/>
  <c r="G249" i="7"/>
  <c r="K248" i="7"/>
  <c r="J248" i="7"/>
  <c r="I248" i="7"/>
  <c r="H248" i="7"/>
  <c r="G248" i="7"/>
  <c r="K247" i="7"/>
  <c r="J247" i="7"/>
  <c r="I247" i="7"/>
  <c r="H247" i="7"/>
  <c r="G247" i="7"/>
  <c r="K246" i="7"/>
  <c r="J246" i="7"/>
  <c r="I246" i="7"/>
  <c r="H246" i="7"/>
  <c r="G246" i="7"/>
  <c r="K245" i="7"/>
  <c r="J245" i="7"/>
  <c r="I245" i="7"/>
  <c r="H245" i="7"/>
  <c r="G245" i="7"/>
  <c r="K244" i="7"/>
  <c r="J244" i="7"/>
  <c r="I244" i="7"/>
  <c r="H244" i="7"/>
  <c r="G244" i="7"/>
  <c r="K243" i="7"/>
  <c r="J243" i="7"/>
  <c r="I243" i="7"/>
  <c r="H243" i="7"/>
  <c r="G243" i="7"/>
  <c r="K242" i="7"/>
  <c r="J242" i="7"/>
  <c r="I242" i="7"/>
  <c r="H242" i="7"/>
  <c r="G242" i="7"/>
  <c r="K241" i="7"/>
  <c r="J241" i="7"/>
  <c r="I241" i="7"/>
  <c r="H241" i="7"/>
  <c r="G241" i="7"/>
  <c r="K240" i="7"/>
  <c r="J240" i="7"/>
  <c r="I240" i="7"/>
  <c r="H240" i="7"/>
  <c r="G240" i="7"/>
  <c r="K239" i="7"/>
  <c r="J239" i="7"/>
  <c r="I239" i="7"/>
  <c r="H239" i="7"/>
  <c r="G239" i="7"/>
  <c r="K238" i="7"/>
  <c r="J238" i="7"/>
  <c r="I238" i="7"/>
  <c r="H238" i="7"/>
  <c r="G238" i="7"/>
  <c r="K237" i="7"/>
  <c r="J237" i="7"/>
  <c r="I237" i="7"/>
  <c r="H237" i="7"/>
  <c r="G237" i="7"/>
  <c r="K236" i="7"/>
  <c r="J236" i="7"/>
  <c r="I236" i="7"/>
  <c r="H236" i="7"/>
  <c r="G236" i="7"/>
  <c r="K235" i="7"/>
  <c r="J235" i="7"/>
  <c r="I235" i="7"/>
  <c r="H235" i="7"/>
  <c r="G235" i="7"/>
  <c r="K234" i="7"/>
  <c r="J234" i="7"/>
  <c r="I234" i="7"/>
  <c r="H234" i="7"/>
  <c r="G234" i="7"/>
  <c r="K233" i="7"/>
  <c r="J233" i="7"/>
  <c r="I233" i="7"/>
  <c r="H233" i="7"/>
  <c r="G233" i="7"/>
  <c r="K232" i="7"/>
  <c r="J232" i="7"/>
  <c r="I232" i="7"/>
  <c r="H232" i="7"/>
  <c r="G232" i="7"/>
  <c r="K231" i="7"/>
  <c r="J231" i="7"/>
  <c r="I231" i="7"/>
  <c r="H231" i="7"/>
  <c r="G231" i="7"/>
  <c r="K230" i="7"/>
  <c r="J230" i="7"/>
  <c r="I230" i="7"/>
  <c r="H230" i="7"/>
  <c r="G230" i="7"/>
  <c r="K229" i="7"/>
  <c r="J229" i="7"/>
  <c r="I229" i="7"/>
  <c r="H229" i="7"/>
  <c r="G229" i="7"/>
  <c r="K228" i="7"/>
  <c r="J228" i="7"/>
  <c r="I228" i="7"/>
  <c r="H228" i="7"/>
  <c r="G228" i="7"/>
  <c r="K227" i="7"/>
  <c r="J227" i="7"/>
  <c r="I227" i="7"/>
  <c r="H227" i="7"/>
  <c r="G227" i="7"/>
  <c r="K226" i="7"/>
  <c r="J226" i="7"/>
  <c r="I226" i="7"/>
  <c r="H226" i="7"/>
  <c r="G226" i="7"/>
  <c r="K225" i="7"/>
  <c r="J225" i="7"/>
  <c r="I225" i="7"/>
  <c r="H225" i="7"/>
  <c r="G225" i="7"/>
  <c r="K224" i="7"/>
  <c r="J224" i="7"/>
  <c r="I224" i="7"/>
  <c r="H224" i="7"/>
  <c r="G224" i="7"/>
  <c r="K223" i="7"/>
  <c r="J223" i="7"/>
  <c r="I223" i="7"/>
  <c r="H223" i="7"/>
  <c r="G223" i="7"/>
  <c r="K222" i="7"/>
  <c r="J222" i="7"/>
  <c r="I222" i="7"/>
  <c r="H222" i="7"/>
  <c r="G222" i="7"/>
  <c r="K221" i="7"/>
  <c r="J221" i="7"/>
  <c r="I221" i="7"/>
  <c r="H221" i="7"/>
  <c r="G221" i="7"/>
  <c r="K220" i="7"/>
  <c r="J220" i="7"/>
  <c r="I220" i="7"/>
  <c r="H220" i="7"/>
  <c r="G220" i="7"/>
  <c r="K219" i="7"/>
  <c r="J219" i="7"/>
  <c r="I219" i="7"/>
  <c r="H219" i="7"/>
  <c r="G219" i="7"/>
  <c r="K218" i="7"/>
  <c r="J218" i="7"/>
  <c r="I218" i="7"/>
  <c r="H218" i="7"/>
  <c r="G218" i="7"/>
  <c r="K217" i="7"/>
  <c r="J217" i="7"/>
  <c r="I217" i="7"/>
  <c r="H217" i="7"/>
  <c r="G217" i="7"/>
  <c r="K216" i="7"/>
  <c r="J216" i="7"/>
  <c r="I216" i="7"/>
  <c r="H216" i="7"/>
  <c r="G216" i="7"/>
  <c r="K215" i="7"/>
  <c r="J215" i="7"/>
  <c r="I215" i="7"/>
  <c r="H215" i="7"/>
  <c r="G215" i="7"/>
  <c r="K214" i="7"/>
  <c r="J214" i="7"/>
  <c r="I214" i="7"/>
  <c r="H214" i="7"/>
  <c r="G214" i="7"/>
  <c r="K213" i="7"/>
  <c r="J213" i="7"/>
  <c r="I213" i="7"/>
  <c r="H213" i="7"/>
  <c r="G213" i="7"/>
  <c r="K212" i="7"/>
  <c r="J212" i="7"/>
  <c r="I212" i="7"/>
  <c r="H212" i="7"/>
  <c r="G212" i="7"/>
  <c r="K211" i="7"/>
  <c r="J211" i="7"/>
  <c r="I211" i="7"/>
  <c r="H211" i="7"/>
  <c r="G211" i="7"/>
  <c r="K210" i="7"/>
  <c r="J210" i="7"/>
  <c r="I210" i="7"/>
  <c r="H210" i="7"/>
  <c r="G210" i="7"/>
  <c r="K209" i="7"/>
  <c r="J209" i="7"/>
  <c r="I209" i="7"/>
  <c r="H209" i="7"/>
  <c r="G209" i="7"/>
  <c r="K208" i="7"/>
  <c r="J208" i="7"/>
  <c r="I208" i="7"/>
  <c r="H208" i="7"/>
  <c r="G208" i="7"/>
  <c r="K207" i="7"/>
  <c r="J207" i="7"/>
  <c r="I207" i="7"/>
  <c r="H207" i="7"/>
  <c r="G207" i="7"/>
  <c r="K206" i="7"/>
  <c r="J206" i="7"/>
  <c r="I206" i="7"/>
  <c r="H206" i="7"/>
  <c r="G206" i="7"/>
  <c r="K205" i="7"/>
  <c r="J205" i="7"/>
  <c r="I205" i="7"/>
  <c r="H205" i="7"/>
  <c r="G205" i="7"/>
  <c r="K204" i="7"/>
  <c r="J204" i="7"/>
  <c r="I204" i="7"/>
  <c r="H204" i="7"/>
  <c r="G204" i="7"/>
  <c r="K203" i="7"/>
  <c r="J203" i="7"/>
  <c r="I203" i="7"/>
  <c r="H203" i="7"/>
  <c r="G203" i="7"/>
  <c r="K202" i="7"/>
  <c r="J202" i="7"/>
  <c r="I202" i="7"/>
  <c r="H202" i="7"/>
  <c r="G202" i="7"/>
  <c r="K201" i="7"/>
  <c r="J201" i="7"/>
  <c r="I201" i="7"/>
  <c r="H201" i="7"/>
  <c r="G201" i="7"/>
  <c r="K200" i="7"/>
  <c r="J200" i="7"/>
  <c r="I200" i="7"/>
  <c r="H200" i="7"/>
  <c r="G200" i="7"/>
  <c r="K199" i="7"/>
  <c r="J199" i="7"/>
  <c r="I199" i="7"/>
  <c r="H199" i="7"/>
  <c r="G199" i="7"/>
  <c r="K198" i="7"/>
  <c r="J198" i="7"/>
  <c r="I198" i="7"/>
  <c r="H198" i="7"/>
  <c r="G198" i="7"/>
  <c r="K197" i="7"/>
  <c r="J197" i="7"/>
  <c r="I197" i="7"/>
  <c r="H197" i="7"/>
  <c r="G197" i="7"/>
  <c r="K196" i="7"/>
  <c r="J196" i="7"/>
  <c r="I196" i="7"/>
  <c r="H196" i="7"/>
  <c r="G196" i="7"/>
  <c r="K195" i="7"/>
  <c r="J195" i="7"/>
  <c r="I195" i="7"/>
  <c r="H195" i="7"/>
  <c r="G195" i="7"/>
  <c r="K194" i="7"/>
  <c r="J194" i="7"/>
  <c r="I194" i="7"/>
  <c r="H194" i="7"/>
  <c r="G194" i="7"/>
  <c r="K193" i="7"/>
  <c r="J193" i="7"/>
  <c r="I193" i="7"/>
  <c r="H193" i="7"/>
  <c r="G193" i="7"/>
  <c r="K192" i="7"/>
  <c r="J192" i="7"/>
  <c r="I192" i="7"/>
  <c r="H192" i="7"/>
  <c r="G192" i="7"/>
  <c r="K191" i="7"/>
  <c r="J191" i="7"/>
  <c r="I191" i="7"/>
  <c r="H191" i="7"/>
  <c r="G191" i="7"/>
  <c r="K190" i="7"/>
  <c r="J190" i="7"/>
  <c r="I190" i="7"/>
  <c r="H190" i="7"/>
  <c r="G190" i="7"/>
  <c r="K189" i="7"/>
  <c r="J189" i="7"/>
  <c r="I189" i="7"/>
  <c r="H189" i="7"/>
  <c r="G189" i="7"/>
  <c r="K188" i="7"/>
  <c r="J188" i="7"/>
  <c r="I188" i="7"/>
  <c r="H188" i="7"/>
  <c r="G188" i="7"/>
  <c r="K187" i="7"/>
  <c r="J187" i="7"/>
  <c r="I187" i="7"/>
  <c r="H187" i="7"/>
  <c r="G187" i="7"/>
  <c r="K186" i="7"/>
  <c r="J186" i="7"/>
  <c r="I186" i="7"/>
  <c r="H186" i="7"/>
  <c r="G186" i="7"/>
  <c r="K185" i="7"/>
  <c r="J185" i="7"/>
  <c r="I185" i="7"/>
  <c r="H185" i="7"/>
  <c r="G185" i="7"/>
  <c r="K184" i="7"/>
  <c r="J184" i="7"/>
  <c r="I184" i="7"/>
  <c r="H184" i="7"/>
  <c r="G184" i="7"/>
  <c r="K183" i="7"/>
  <c r="J183" i="7"/>
  <c r="I183" i="7"/>
  <c r="H183" i="7"/>
  <c r="G183" i="7"/>
  <c r="K182" i="7"/>
  <c r="J182" i="7"/>
  <c r="I182" i="7"/>
  <c r="H182" i="7"/>
  <c r="G182" i="7"/>
  <c r="K181" i="7"/>
  <c r="J181" i="7"/>
  <c r="I181" i="7"/>
  <c r="H181" i="7"/>
  <c r="G181" i="7"/>
  <c r="K180" i="7"/>
  <c r="J180" i="7"/>
  <c r="I180" i="7"/>
  <c r="H180" i="7"/>
  <c r="G180" i="7"/>
  <c r="K179" i="7"/>
  <c r="J179" i="7"/>
  <c r="I179" i="7"/>
  <c r="H179" i="7"/>
  <c r="G179" i="7"/>
  <c r="K178" i="7"/>
  <c r="J178" i="7"/>
  <c r="I178" i="7"/>
  <c r="H178" i="7"/>
  <c r="G178" i="7"/>
  <c r="K177" i="7"/>
  <c r="J177" i="7"/>
  <c r="I177" i="7"/>
  <c r="H177" i="7"/>
  <c r="G177" i="7"/>
  <c r="K176" i="7"/>
  <c r="J176" i="7"/>
  <c r="I176" i="7"/>
  <c r="H176" i="7"/>
  <c r="G176" i="7"/>
  <c r="K175" i="7"/>
  <c r="J175" i="7"/>
  <c r="I175" i="7"/>
  <c r="H175" i="7"/>
  <c r="G175" i="7"/>
  <c r="K174" i="7"/>
  <c r="J174" i="7"/>
  <c r="I174" i="7"/>
  <c r="H174" i="7"/>
  <c r="G174" i="7"/>
  <c r="K173" i="7"/>
  <c r="J173" i="7"/>
  <c r="I173" i="7"/>
  <c r="H173" i="7"/>
  <c r="G173" i="7"/>
  <c r="K172" i="7"/>
  <c r="J172" i="7"/>
  <c r="I172" i="7"/>
  <c r="H172" i="7"/>
  <c r="G172" i="7"/>
  <c r="K171" i="7"/>
  <c r="J171" i="7"/>
  <c r="I171" i="7"/>
  <c r="H171" i="7"/>
  <c r="G171" i="7"/>
  <c r="K170" i="7"/>
  <c r="J170" i="7"/>
  <c r="I170" i="7"/>
  <c r="H170" i="7"/>
  <c r="G170" i="7"/>
  <c r="K169" i="7"/>
  <c r="J169" i="7"/>
  <c r="I169" i="7"/>
  <c r="H169" i="7"/>
  <c r="G169" i="7"/>
  <c r="K168" i="7"/>
  <c r="J168" i="7"/>
  <c r="I168" i="7"/>
  <c r="H168" i="7"/>
  <c r="G168" i="7"/>
  <c r="K167" i="7"/>
  <c r="J167" i="7"/>
  <c r="I167" i="7"/>
  <c r="H167" i="7"/>
  <c r="G167" i="7"/>
  <c r="K166" i="7"/>
  <c r="J166" i="7"/>
  <c r="I166" i="7"/>
  <c r="H166" i="7"/>
  <c r="G166" i="7"/>
  <c r="K165" i="7"/>
  <c r="J165" i="7"/>
  <c r="I165" i="7"/>
  <c r="H165" i="7"/>
  <c r="G165" i="7"/>
  <c r="K164" i="7"/>
  <c r="J164" i="7"/>
  <c r="I164" i="7"/>
  <c r="H164" i="7"/>
  <c r="G164" i="7"/>
  <c r="K163" i="7"/>
  <c r="J163" i="7"/>
  <c r="I163" i="7"/>
  <c r="H163" i="7"/>
  <c r="G163" i="7"/>
  <c r="K162" i="7"/>
  <c r="J162" i="7"/>
  <c r="I162" i="7"/>
  <c r="H162" i="7"/>
  <c r="G162" i="7"/>
  <c r="K161" i="7"/>
  <c r="J161" i="7"/>
  <c r="I161" i="7"/>
  <c r="H161" i="7"/>
  <c r="G161" i="7"/>
  <c r="K160" i="7"/>
  <c r="J160" i="7"/>
  <c r="I160" i="7"/>
  <c r="H160" i="7"/>
  <c r="G160" i="7"/>
  <c r="K159" i="7"/>
  <c r="J159" i="7"/>
  <c r="I159" i="7"/>
  <c r="H159" i="7"/>
  <c r="G159" i="7"/>
  <c r="K158" i="7"/>
  <c r="J158" i="7"/>
  <c r="I158" i="7"/>
  <c r="H158" i="7"/>
  <c r="G158" i="7"/>
  <c r="K157" i="7"/>
  <c r="J157" i="7"/>
  <c r="I157" i="7"/>
  <c r="H157" i="7"/>
  <c r="G157" i="7"/>
  <c r="K156" i="7"/>
  <c r="J156" i="7"/>
  <c r="I156" i="7"/>
  <c r="H156" i="7"/>
  <c r="G156" i="7"/>
  <c r="K155" i="7"/>
  <c r="J155" i="7"/>
  <c r="I155" i="7"/>
  <c r="H155" i="7"/>
  <c r="G155" i="7"/>
  <c r="K154" i="7"/>
  <c r="J154" i="7"/>
  <c r="I154" i="7"/>
  <c r="H154" i="7"/>
  <c r="G154" i="7"/>
  <c r="K153" i="7"/>
  <c r="J153" i="7"/>
  <c r="I153" i="7"/>
  <c r="H153" i="7"/>
  <c r="G153" i="7"/>
  <c r="K152" i="7"/>
  <c r="J152" i="7"/>
  <c r="I152" i="7"/>
  <c r="H152" i="7"/>
  <c r="G152" i="7"/>
  <c r="K151" i="7"/>
  <c r="J151" i="7"/>
  <c r="I151" i="7"/>
  <c r="H151" i="7"/>
  <c r="G151" i="7"/>
  <c r="K150" i="7"/>
  <c r="J150" i="7"/>
  <c r="I150" i="7"/>
  <c r="H150" i="7"/>
  <c r="G150" i="7"/>
  <c r="K149" i="7"/>
  <c r="J149" i="7"/>
  <c r="I149" i="7"/>
  <c r="H149" i="7"/>
  <c r="G149" i="7"/>
  <c r="K148" i="7"/>
  <c r="J148" i="7"/>
  <c r="I148" i="7"/>
  <c r="H148" i="7"/>
  <c r="G148" i="7"/>
  <c r="K147" i="7"/>
  <c r="J147" i="7"/>
  <c r="I147" i="7"/>
  <c r="H147" i="7"/>
  <c r="G147" i="7"/>
  <c r="K146" i="7"/>
  <c r="J146" i="7"/>
  <c r="I146" i="7"/>
  <c r="H146" i="7"/>
  <c r="G146" i="7"/>
  <c r="K145" i="7"/>
  <c r="J145" i="7"/>
  <c r="I145" i="7"/>
  <c r="H145" i="7"/>
  <c r="G145" i="7"/>
  <c r="K144" i="7"/>
  <c r="J144" i="7"/>
  <c r="I144" i="7"/>
  <c r="H144" i="7"/>
  <c r="G144" i="7"/>
  <c r="K143" i="7"/>
  <c r="J143" i="7"/>
  <c r="I143" i="7"/>
  <c r="H143" i="7"/>
  <c r="G143" i="7"/>
  <c r="K142" i="7"/>
  <c r="J142" i="7"/>
  <c r="I142" i="7"/>
  <c r="H142" i="7"/>
  <c r="G142" i="7"/>
  <c r="K141" i="7"/>
  <c r="J141" i="7"/>
  <c r="I141" i="7"/>
  <c r="H141" i="7"/>
  <c r="G141" i="7"/>
  <c r="K140" i="7"/>
  <c r="J140" i="7"/>
  <c r="I140" i="7"/>
  <c r="H140" i="7"/>
  <c r="G140" i="7"/>
  <c r="K139" i="7"/>
  <c r="J139" i="7"/>
  <c r="I139" i="7"/>
  <c r="H139" i="7"/>
  <c r="G139" i="7"/>
  <c r="K138" i="7"/>
  <c r="J138" i="7"/>
  <c r="I138" i="7"/>
  <c r="H138" i="7"/>
  <c r="G138" i="7"/>
  <c r="K137" i="7"/>
  <c r="J137" i="7"/>
  <c r="I137" i="7"/>
  <c r="H137" i="7"/>
  <c r="G137" i="7"/>
  <c r="K136" i="7"/>
  <c r="J136" i="7"/>
  <c r="I136" i="7"/>
  <c r="H136" i="7"/>
  <c r="G136" i="7"/>
  <c r="K135" i="7"/>
  <c r="J135" i="7"/>
  <c r="I135" i="7"/>
  <c r="H135" i="7"/>
  <c r="G135" i="7"/>
  <c r="K134" i="7"/>
  <c r="J134" i="7"/>
  <c r="I134" i="7"/>
  <c r="H134" i="7"/>
  <c r="G134" i="7"/>
  <c r="K133" i="7"/>
  <c r="J133" i="7"/>
  <c r="I133" i="7"/>
  <c r="H133" i="7"/>
  <c r="G133" i="7"/>
  <c r="K132" i="7"/>
  <c r="J132" i="7"/>
  <c r="I132" i="7"/>
  <c r="H132" i="7"/>
  <c r="G132" i="7"/>
  <c r="K131" i="7"/>
  <c r="J131" i="7"/>
  <c r="I131" i="7"/>
  <c r="H131" i="7"/>
  <c r="G131" i="7"/>
  <c r="K130" i="7"/>
  <c r="J130" i="7"/>
  <c r="I130" i="7"/>
  <c r="H130" i="7"/>
  <c r="G130" i="7"/>
  <c r="K129" i="7"/>
  <c r="J129" i="7"/>
  <c r="I129" i="7"/>
  <c r="H129" i="7"/>
  <c r="G129" i="7"/>
  <c r="K128" i="7"/>
  <c r="J128" i="7"/>
  <c r="I128" i="7"/>
  <c r="H128" i="7"/>
  <c r="G128" i="7"/>
  <c r="K127" i="7"/>
  <c r="J127" i="7"/>
  <c r="I127" i="7"/>
  <c r="H127" i="7"/>
  <c r="G127" i="7"/>
  <c r="K126" i="7"/>
  <c r="J126" i="7"/>
  <c r="I126" i="7"/>
  <c r="H126" i="7"/>
  <c r="G126" i="7"/>
  <c r="K125" i="7"/>
  <c r="J125" i="7"/>
  <c r="I125" i="7"/>
  <c r="H125" i="7"/>
  <c r="G125" i="7"/>
  <c r="K124" i="7"/>
  <c r="J124" i="7"/>
  <c r="I124" i="7"/>
  <c r="H124" i="7"/>
  <c r="G124" i="7"/>
  <c r="K123" i="7"/>
  <c r="J123" i="7"/>
  <c r="I123" i="7"/>
  <c r="H123" i="7"/>
  <c r="G123" i="7"/>
  <c r="K122" i="7"/>
  <c r="J122" i="7"/>
  <c r="I122" i="7"/>
  <c r="H122" i="7"/>
  <c r="G122" i="7"/>
  <c r="K121" i="7"/>
  <c r="J121" i="7"/>
  <c r="I121" i="7"/>
  <c r="H121" i="7"/>
  <c r="G121" i="7"/>
  <c r="K120" i="7"/>
  <c r="J120" i="7"/>
  <c r="I120" i="7"/>
  <c r="H120" i="7"/>
  <c r="G120" i="7"/>
  <c r="K119" i="7"/>
  <c r="J119" i="7"/>
  <c r="I119" i="7"/>
  <c r="H119" i="7"/>
  <c r="G119" i="7"/>
  <c r="K118" i="7"/>
  <c r="J118" i="7"/>
  <c r="I118" i="7"/>
  <c r="H118" i="7"/>
  <c r="G118" i="7"/>
  <c r="K117" i="7"/>
  <c r="J117" i="7"/>
  <c r="I117" i="7"/>
  <c r="H117" i="7"/>
  <c r="G117" i="7"/>
  <c r="K116" i="7"/>
  <c r="J116" i="7"/>
  <c r="I116" i="7"/>
  <c r="H116" i="7"/>
  <c r="G116" i="7"/>
  <c r="K115" i="7"/>
  <c r="J115" i="7"/>
  <c r="I115" i="7"/>
  <c r="H115" i="7"/>
  <c r="G115" i="7"/>
  <c r="K114" i="7"/>
  <c r="J114" i="7"/>
  <c r="I114" i="7"/>
  <c r="H114" i="7"/>
  <c r="G114" i="7"/>
  <c r="K113" i="7"/>
  <c r="J113" i="7"/>
  <c r="I113" i="7"/>
  <c r="H113" i="7"/>
  <c r="G113" i="7"/>
  <c r="K112" i="7"/>
  <c r="J112" i="7"/>
  <c r="I112" i="7"/>
  <c r="H112" i="7"/>
  <c r="G112" i="7"/>
  <c r="K111" i="7"/>
  <c r="J111" i="7"/>
  <c r="I111" i="7"/>
  <c r="H111" i="7"/>
  <c r="G111" i="7"/>
  <c r="K110" i="7"/>
  <c r="J110" i="7"/>
  <c r="I110" i="7"/>
  <c r="H110" i="7"/>
  <c r="G110" i="7"/>
  <c r="K109" i="7"/>
  <c r="J109" i="7"/>
  <c r="I109" i="7"/>
  <c r="H109" i="7"/>
  <c r="G109" i="7"/>
  <c r="K108" i="7"/>
  <c r="J108" i="7"/>
  <c r="I108" i="7"/>
  <c r="H108" i="7"/>
  <c r="G108" i="7"/>
  <c r="K107" i="7"/>
  <c r="J107" i="7"/>
  <c r="I107" i="7"/>
  <c r="H107" i="7"/>
  <c r="G107" i="7"/>
  <c r="K106" i="7"/>
  <c r="J106" i="7"/>
  <c r="I106" i="7"/>
  <c r="H106" i="7"/>
  <c r="G106" i="7"/>
  <c r="K105" i="7"/>
  <c r="J105" i="7"/>
  <c r="I105" i="7"/>
  <c r="H105" i="7"/>
  <c r="G105" i="7"/>
  <c r="K104" i="7"/>
  <c r="J104" i="7"/>
  <c r="I104" i="7"/>
  <c r="H104" i="7"/>
  <c r="G104" i="7"/>
  <c r="K103" i="7"/>
  <c r="J103" i="7"/>
  <c r="I103" i="7"/>
  <c r="H103" i="7"/>
  <c r="G103" i="7"/>
  <c r="K102" i="7"/>
  <c r="J102" i="7"/>
  <c r="I102" i="7"/>
  <c r="H102" i="7"/>
  <c r="G102" i="7"/>
  <c r="K101" i="7"/>
  <c r="J101" i="7"/>
  <c r="I101" i="7"/>
  <c r="H101" i="7"/>
  <c r="G101" i="7"/>
  <c r="K100" i="7"/>
  <c r="J100" i="7"/>
  <c r="I100" i="7"/>
  <c r="H100" i="7"/>
  <c r="G100" i="7"/>
  <c r="K99" i="7"/>
  <c r="J99" i="7"/>
  <c r="I99" i="7"/>
  <c r="H99" i="7"/>
  <c r="G99" i="7"/>
  <c r="K98" i="7"/>
  <c r="J98" i="7"/>
  <c r="I98" i="7"/>
  <c r="H98" i="7"/>
  <c r="G98" i="7"/>
  <c r="K97" i="7"/>
  <c r="J97" i="7"/>
  <c r="I97" i="7"/>
  <c r="H97" i="7"/>
  <c r="G97" i="7"/>
  <c r="K96" i="7"/>
  <c r="J96" i="7"/>
  <c r="I96" i="7"/>
  <c r="H96" i="7"/>
  <c r="G96" i="7"/>
  <c r="K95" i="7"/>
  <c r="J95" i="7"/>
  <c r="I95" i="7"/>
  <c r="H95" i="7"/>
  <c r="G95" i="7"/>
  <c r="K94" i="7"/>
  <c r="J94" i="7"/>
  <c r="I94" i="7"/>
  <c r="H94" i="7"/>
  <c r="G94" i="7"/>
  <c r="K93" i="7"/>
  <c r="J93" i="7"/>
  <c r="I93" i="7"/>
  <c r="H93" i="7"/>
  <c r="G93" i="7"/>
  <c r="K92" i="7"/>
  <c r="J92" i="7"/>
  <c r="I92" i="7"/>
  <c r="H92" i="7"/>
  <c r="G92" i="7"/>
  <c r="K91" i="7"/>
  <c r="J91" i="7"/>
  <c r="I91" i="7"/>
  <c r="H91" i="7"/>
  <c r="G91" i="7"/>
  <c r="K90" i="7"/>
  <c r="J90" i="7"/>
  <c r="I90" i="7"/>
  <c r="H90" i="7"/>
  <c r="G90" i="7"/>
  <c r="K89" i="7"/>
  <c r="J89" i="7"/>
  <c r="I89" i="7"/>
  <c r="H89" i="7"/>
  <c r="G89" i="7"/>
  <c r="K88" i="7"/>
  <c r="J88" i="7"/>
  <c r="I88" i="7"/>
  <c r="H88" i="7"/>
  <c r="G88" i="7"/>
  <c r="K87" i="7"/>
  <c r="J87" i="7"/>
  <c r="I87" i="7"/>
  <c r="H87" i="7"/>
  <c r="G87" i="7"/>
  <c r="K86" i="7"/>
  <c r="J86" i="7"/>
  <c r="I86" i="7"/>
  <c r="H86" i="7"/>
  <c r="G86" i="7"/>
  <c r="K85" i="7"/>
  <c r="J85" i="7"/>
  <c r="I85" i="7"/>
  <c r="H85" i="7"/>
  <c r="G85" i="7"/>
  <c r="K84" i="7"/>
  <c r="J84" i="7"/>
  <c r="I84" i="7"/>
  <c r="H84" i="7"/>
  <c r="G84" i="7"/>
  <c r="K83" i="7"/>
  <c r="J83" i="7"/>
  <c r="I83" i="7"/>
  <c r="H83" i="7"/>
  <c r="G83" i="7"/>
  <c r="K82" i="7"/>
  <c r="J82" i="7"/>
  <c r="I82" i="7"/>
  <c r="H82" i="7"/>
  <c r="G82" i="7"/>
  <c r="K81" i="7"/>
  <c r="J81" i="7"/>
  <c r="I81" i="7"/>
  <c r="H81" i="7"/>
  <c r="G81" i="7"/>
  <c r="K80" i="7"/>
  <c r="J80" i="7"/>
  <c r="I80" i="7"/>
  <c r="H80" i="7"/>
  <c r="G80" i="7"/>
  <c r="K79" i="7"/>
  <c r="J79" i="7"/>
  <c r="I79" i="7"/>
  <c r="H79" i="7"/>
  <c r="G79" i="7"/>
  <c r="K78" i="7"/>
  <c r="J78" i="7"/>
  <c r="I78" i="7"/>
  <c r="H78" i="7"/>
  <c r="G78" i="7"/>
  <c r="K77" i="7"/>
  <c r="J77" i="7"/>
  <c r="I77" i="7"/>
  <c r="H77" i="7"/>
  <c r="G77" i="7"/>
  <c r="K76" i="7"/>
  <c r="J76" i="7"/>
  <c r="I76" i="7"/>
  <c r="H76" i="7"/>
  <c r="G76" i="7"/>
  <c r="K75" i="7"/>
  <c r="J75" i="7"/>
  <c r="I75" i="7"/>
  <c r="H75" i="7"/>
  <c r="G75" i="7"/>
  <c r="K74" i="7"/>
  <c r="J74" i="7"/>
  <c r="I74" i="7"/>
  <c r="H74" i="7"/>
  <c r="G74" i="7"/>
  <c r="K73" i="7"/>
  <c r="J73" i="7"/>
  <c r="I73" i="7"/>
  <c r="H73" i="7"/>
  <c r="G73" i="7"/>
  <c r="K72" i="7"/>
  <c r="J72" i="7"/>
  <c r="I72" i="7"/>
  <c r="H72" i="7"/>
  <c r="G72" i="7"/>
  <c r="K71" i="7"/>
  <c r="J71" i="7"/>
  <c r="I71" i="7"/>
  <c r="H71" i="7"/>
  <c r="G71" i="7"/>
  <c r="K70" i="7"/>
  <c r="J70" i="7"/>
  <c r="I70" i="7"/>
  <c r="H70" i="7"/>
  <c r="G70" i="7"/>
  <c r="K69" i="7"/>
  <c r="J69" i="7"/>
  <c r="I69" i="7"/>
  <c r="H69" i="7"/>
  <c r="G69" i="7"/>
  <c r="K68" i="7"/>
  <c r="J68" i="7"/>
  <c r="I68" i="7"/>
  <c r="H68" i="7"/>
  <c r="G68" i="7"/>
  <c r="K67" i="7"/>
  <c r="J67" i="7"/>
  <c r="I67" i="7"/>
  <c r="H67" i="7"/>
  <c r="G67" i="7"/>
  <c r="K66" i="7"/>
  <c r="J66" i="7"/>
  <c r="I66" i="7"/>
  <c r="H66" i="7"/>
  <c r="G66" i="7"/>
  <c r="K65" i="7"/>
  <c r="J65" i="7"/>
  <c r="I65" i="7"/>
  <c r="H65" i="7"/>
  <c r="G65" i="7"/>
  <c r="K64" i="7"/>
  <c r="J64" i="7"/>
  <c r="I64" i="7"/>
  <c r="H64" i="7"/>
  <c r="G64" i="7"/>
  <c r="K63" i="7"/>
  <c r="J63" i="7"/>
  <c r="I63" i="7"/>
  <c r="H63" i="7"/>
  <c r="G63" i="7"/>
  <c r="K62" i="7"/>
  <c r="J62" i="7"/>
  <c r="I62" i="7"/>
  <c r="H62" i="7"/>
  <c r="G62" i="7"/>
  <c r="K61" i="7"/>
  <c r="J61" i="7"/>
  <c r="I61" i="7"/>
  <c r="H61" i="7"/>
  <c r="G61" i="7"/>
  <c r="K60" i="7"/>
  <c r="J60" i="7"/>
  <c r="I60" i="7"/>
  <c r="H60" i="7"/>
  <c r="G60" i="7"/>
  <c r="K59" i="7"/>
  <c r="J59" i="7"/>
  <c r="I59" i="7"/>
  <c r="H59" i="7"/>
  <c r="G59" i="7"/>
  <c r="K58" i="7"/>
  <c r="J58" i="7"/>
  <c r="I58" i="7"/>
  <c r="H58" i="7"/>
  <c r="G58" i="7"/>
  <c r="K57" i="7"/>
  <c r="J57" i="7"/>
  <c r="I57" i="7"/>
  <c r="H57" i="7"/>
  <c r="G57" i="7"/>
  <c r="K56" i="7"/>
  <c r="J56" i="7"/>
  <c r="I56" i="7"/>
  <c r="H56" i="7"/>
  <c r="G56" i="7"/>
  <c r="K55" i="7"/>
  <c r="J55" i="7"/>
  <c r="I55" i="7"/>
  <c r="H55" i="7"/>
  <c r="G55" i="7"/>
  <c r="K54" i="7"/>
  <c r="J54" i="7"/>
  <c r="I54" i="7"/>
  <c r="H54" i="7"/>
  <c r="G54" i="7"/>
  <c r="K53" i="7"/>
  <c r="J53" i="7"/>
  <c r="I53" i="7"/>
  <c r="H53" i="7"/>
  <c r="G53" i="7"/>
  <c r="K52" i="7"/>
  <c r="J52" i="7"/>
  <c r="I52" i="7"/>
  <c r="H52" i="7"/>
  <c r="G52" i="7"/>
  <c r="K51" i="7"/>
  <c r="J51" i="7"/>
  <c r="I51" i="7"/>
  <c r="H51" i="7"/>
  <c r="G51" i="7"/>
  <c r="K50" i="7"/>
  <c r="J50" i="7"/>
  <c r="I50" i="7"/>
  <c r="H50" i="7"/>
  <c r="G50" i="7"/>
  <c r="K49" i="7"/>
  <c r="J49" i="7"/>
  <c r="I49" i="7"/>
  <c r="H49" i="7"/>
  <c r="G49" i="7"/>
  <c r="K48" i="7"/>
  <c r="J48" i="7"/>
  <c r="I48" i="7"/>
  <c r="H48" i="7"/>
  <c r="G48" i="7"/>
  <c r="K47" i="7"/>
  <c r="J47" i="7"/>
  <c r="I47" i="7"/>
  <c r="H47" i="7"/>
  <c r="G47" i="7"/>
  <c r="K46" i="7"/>
  <c r="J46" i="7"/>
  <c r="I46" i="7"/>
  <c r="H46" i="7"/>
  <c r="G46" i="7"/>
  <c r="K45" i="7"/>
  <c r="J45" i="7"/>
  <c r="I45" i="7"/>
  <c r="H45" i="7"/>
  <c r="G45" i="7"/>
  <c r="K44" i="7"/>
  <c r="J44" i="7"/>
  <c r="I44" i="7"/>
  <c r="H44" i="7"/>
  <c r="G44" i="7"/>
  <c r="K43" i="7"/>
  <c r="J43" i="7"/>
  <c r="I43" i="7"/>
  <c r="H43" i="7"/>
  <c r="G43" i="7"/>
  <c r="K42" i="7"/>
  <c r="J42" i="7"/>
  <c r="I42" i="7"/>
  <c r="H42" i="7"/>
  <c r="G42" i="7"/>
  <c r="K41" i="7"/>
  <c r="J41" i="7"/>
  <c r="I41" i="7"/>
  <c r="H41" i="7"/>
  <c r="G41" i="7"/>
  <c r="K40" i="7"/>
  <c r="J40" i="7"/>
  <c r="I40" i="7"/>
  <c r="H40" i="7"/>
  <c r="G40" i="7"/>
  <c r="K39" i="7"/>
  <c r="J39" i="7"/>
  <c r="I39" i="7"/>
  <c r="H39" i="7"/>
  <c r="G39" i="7"/>
  <c r="K38" i="7"/>
  <c r="J38" i="7"/>
  <c r="I38" i="7"/>
  <c r="H38" i="7"/>
  <c r="G38" i="7"/>
  <c r="K37" i="7"/>
  <c r="J37" i="7"/>
  <c r="I37" i="7"/>
  <c r="H37" i="7"/>
  <c r="G37" i="7"/>
  <c r="K36" i="7"/>
  <c r="J36" i="7"/>
  <c r="I36" i="7"/>
  <c r="H36" i="7"/>
  <c r="G36" i="7"/>
  <c r="K35" i="7"/>
  <c r="J35" i="7"/>
  <c r="I35" i="7"/>
  <c r="H35" i="7"/>
  <c r="G35" i="7"/>
  <c r="K34" i="7"/>
  <c r="J34" i="7"/>
  <c r="I34" i="7"/>
  <c r="H34" i="7"/>
  <c r="G34" i="7"/>
  <c r="K33" i="7"/>
  <c r="J33" i="7"/>
  <c r="I33" i="7"/>
  <c r="H33" i="7"/>
  <c r="G33" i="7"/>
  <c r="K32" i="7"/>
  <c r="J32" i="7"/>
  <c r="I32" i="7"/>
  <c r="H32" i="7"/>
  <c r="G32" i="7"/>
  <c r="K31" i="7"/>
  <c r="J31" i="7"/>
  <c r="I31" i="7"/>
  <c r="H31" i="7"/>
  <c r="G31" i="7"/>
  <c r="K30" i="7"/>
  <c r="J30" i="7"/>
  <c r="I30" i="7"/>
  <c r="H30" i="7"/>
  <c r="G30" i="7"/>
  <c r="K29" i="7"/>
  <c r="J29" i="7"/>
  <c r="I29" i="7"/>
  <c r="H29" i="7"/>
  <c r="G29" i="7"/>
  <c r="K28" i="7"/>
  <c r="J28" i="7"/>
  <c r="I28" i="7"/>
  <c r="H28" i="7"/>
  <c r="G28" i="7"/>
  <c r="K27" i="7"/>
  <c r="J27" i="7"/>
  <c r="I27" i="7"/>
  <c r="H27" i="7"/>
  <c r="G27" i="7"/>
  <c r="K26" i="7"/>
  <c r="J26" i="7"/>
  <c r="I26" i="7"/>
  <c r="H26" i="7"/>
  <c r="G26" i="7"/>
  <c r="K25" i="7"/>
  <c r="J25" i="7"/>
  <c r="I25" i="7"/>
  <c r="H25" i="7"/>
  <c r="G25" i="7"/>
  <c r="K24" i="7"/>
  <c r="J24" i="7"/>
  <c r="I24" i="7"/>
  <c r="H24" i="7"/>
  <c r="G24" i="7"/>
  <c r="K23" i="7"/>
  <c r="J23" i="7"/>
  <c r="I23" i="7"/>
  <c r="H23" i="7"/>
  <c r="G23" i="7"/>
  <c r="K22" i="7"/>
  <c r="J22" i="7"/>
  <c r="I22" i="7"/>
  <c r="H22" i="7"/>
  <c r="G22" i="7"/>
  <c r="K21" i="7"/>
  <c r="J21" i="7"/>
  <c r="I21" i="7"/>
  <c r="H21" i="7"/>
  <c r="G21" i="7"/>
  <c r="K20" i="7"/>
  <c r="J20" i="7"/>
  <c r="I20" i="7"/>
  <c r="H20" i="7"/>
  <c r="G20" i="7"/>
  <c r="K19" i="7"/>
  <c r="J19" i="7"/>
  <c r="I19" i="7"/>
  <c r="H19" i="7"/>
  <c r="G19" i="7"/>
  <c r="K18" i="7"/>
  <c r="J18" i="7"/>
  <c r="I18" i="7"/>
  <c r="H18" i="7"/>
  <c r="G18" i="7"/>
  <c r="K17" i="7"/>
  <c r="J17" i="7"/>
  <c r="I17" i="7"/>
  <c r="H17" i="7"/>
  <c r="G17" i="7"/>
  <c r="K16" i="7"/>
  <c r="J16" i="7"/>
  <c r="I16" i="7"/>
  <c r="H16" i="7"/>
  <c r="G16" i="7"/>
  <c r="K15" i="7"/>
  <c r="J15" i="7"/>
  <c r="I15" i="7"/>
  <c r="H15" i="7"/>
  <c r="G15" i="7"/>
  <c r="K14" i="7"/>
  <c r="J14" i="7"/>
  <c r="I14" i="7"/>
  <c r="H14" i="7"/>
  <c r="G14" i="7"/>
  <c r="K13" i="7"/>
  <c r="J13" i="7"/>
  <c r="I13" i="7"/>
  <c r="H13" i="7"/>
  <c r="G13" i="7"/>
  <c r="K12" i="7"/>
  <c r="J12" i="7"/>
  <c r="I12" i="7"/>
  <c r="H12" i="7"/>
  <c r="G12" i="7"/>
  <c r="K11" i="7"/>
  <c r="J11" i="7"/>
  <c r="I11" i="7"/>
  <c r="H11" i="7"/>
  <c r="G11" i="7"/>
  <c r="K10" i="7"/>
  <c r="J10" i="7"/>
  <c r="I10" i="7"/>
  <c r="H10" i="7"/>
  <c r="G10" i="7"/>
  <c r="K9" i="7"/>
  <c r="J9" i="7"/>
  <c r="I9" i="7"/>
  <c r="H9" i="7"/>
  <c r="G9" i="7"/>
  <c r="K8" i="7"/>
  <c r="J8" i="7"/>
  <c r="I8" i="7"/>
  <c r="H8" i="7"/>
  <c r="G8" i="7"/>
  <c r="K7" i="7"/>
  <c r="J7" i="7"/>
  <c r="I7" i="7"/>
  <c r="H7" i="7"/>
  <c r="G7" i="7"/>
  <c r="K6" i="7"/>
  <c r="J6" i="7"/>
  <c r="I6" i="7"/>
  <c r="H6" i="7"/>
  <c r="G6" i="7"/>
  <c r="K5" i="7"/>
  <c r="J5" i="7"/>
  <c r="I5" i="7"/>
  <c r="H5" i="7"/>
  <c r="G5" i="7"/>
  <c r="K4" i="7"/>
  <c r="J4" i="7"/>
  <c r="I4" i="7"/>
  <c r="H4" i="7"/>
  <c r="G4" i="7"/>
  <c r="K3" i="7"/>
  <c r="J3" i="7"/>
  <c r="I3" i="7"/>
  <c r="H3" i="7"/>
  <c r="G3" i="7"/>
  <c r="K2" i="7"/>
  <c r="J2" i="7"/>
  <c r="I2" i="7"/>
  <c r="H2" i="7"/>
  <c r="G2" i="7"/>
  <c r="I1" i="6"/>
  <c r="W1881" i="7"/>
  <c r="C1881" i="7"/>
  <c r="X1880" i="7"/>
  <c r="T1880" i="7"/>
  <c r="P1880" i="7"/>
  <c r="L1880" i="7"/>
  <c r="D1880" i="7"/>
  <c r="E1879" i="7"/>
  <c r="V1878" i="7"/>
  <c r="R1878" i="7"/>
  <c r="N1878" i="7"/>
  <c r="F1878" i="7"/>
  <c r="B1878" i="7"/>
  <c r="W1877" i="7"/>
  <c r="C1877" i="7"/>
  <c r="X1876" i="7"/>
  <c r="T1876" i="7"/>
  <c r="P1876" i="7"/>
  <c r="L1876" i="7"/>
  <c r="D1876" i="7"/>
  <c r="E1875" i="7"/>
  <c r="V1874" i="7"/>
  <c r="R1874" i="7"/>
  <c r="N1874" i="7"/>
  <c r="F1874" i="7"/>
  <c r="B1874" i="7"/>
  <c r="W1873" i="7"/>
  <c r="C1873" i="7"/>
  <c r="X1872" i="7"/>
  <c r="T1872" i="7"/>
  <c r="P1872" i="7"/>
  <c r="L1872" i="7"/>
  <c r="D1872" i="7"/>
  <c r="E1871" i="7"/>
  <c r="V1870" i="7"/>
  <c r="R1870" i="7"/>
  <c r="N1870" i="7"/>
  <c r="F1870" i="7"/>
  <c r="B1870" i="7"/>
  <c r="W1869" i="7"/>
  <c r="C1869" i="7"/>
  <c r="X1868" i="7"/>
  <c r="T1868" i="7"/>
  <c r="P1868" i="7"/>
  <c r="L1868" i="7"/>
  <c r="D1868" i="7"/>
  <c r="E1867" i="7"/>
  <c r="V1866" i="7"/>
  <c r="R1866" i="7"/>
  <c r="N1866" i="7"/>
  <c r="F1866" i="7"/>
  <c r="B1866" i="7"/>
  <c r="W1865" i="7"/>
  <c r="C1865" i="7"/>
  <c r="X1864" i="7"/>
  <c r="T1864" i="7"/>
  <c r="P1864" i="7"/>
  <c r="L1864" i="7"/>
  <c r="D1864" i="7"/>
  <c r="E1863" i="7"/>
  <c r="V1862" i="7"/>
  <c r="R1862" i="7"/>
  <c r="N1862" i="7"/>
  <c r="F1862" i="7"/>
  <c r="B1862" i="7"/>
  <c r="W1861" i="7"/>
  <c r="C1861" i="7"/>
  <c r="X1860" i="7"/>
  <c r="T1860" i="7"/>
  <c r="P1860" i="7"/>
  <c r="V1881" i="7"/>
  <c r="R1881" i="7"/>
  <c r="N1881" i="7"/>
  <c r="F1881" i="7"/>
  <c r="B1881" i="7"/>
  <c r="W1880" i="7"/>
  <c r="C1880" i="7"/>
  <c r="X1879" i="7"/>
  <c r="T1879" i="7"/>
  <c r="P1879" i="7"/>
  <c r="L1879" i="7"/>
  <c r="D1879" i="7"/>
  <c r="E1878" i="7"/>
  <c r="V1877" i="7"/>
  <c r="R1877" i="7"/>
  <c r="N1877" i="7"/>
  <c r="F1877" i="7"/>
  <c r="B1877" i="7"/>
  <c r="W1876" i="7"/>
  <c r="C1876" i="7"/>
  <c r="X1875" i="7"/>
  <c r="T1875" i="7"/>
  <c r="P1875" i="7"/>
  <c r="L1875" i="7"/>
  <c r="D1875" i="7"/>
  <c r="E1874" i="7"/>
  <c r="V1873" i="7"/>
  <c r="R1873" i="7"/>
  <c r="N1873" i="7"/>
  <c r="F1873" i="7"/>
  <c r="B1873" i="7"/>
  <c r="W1872" i="7"/>
  <c r="C1872" i="7"/>
  <c r="X1871" i="7"/>
  <c r="T1871" i="7"/>
  <c r="P1871" i="7"/>
  <c r="L1871" i="7"/>
  <c r="D1871" i="7"/>
  <c r="E1870" i="7"/>
  <c r="V1869" i="7"/>
  <c r="R1869" i="7"/>
  <c r="N1869" i="7"/>
  <c r="F1869" i="7"/>
  <c r="B1869" i="7"/>
  <c r="W1868" i="7"/>
  <c r="C1868" i="7"/>
  <c r="X1867" i="7"/>
  <c r="T1867" i="7"/>
  <c r="P1867" i="7"/>
  <c r="L1867" i="7"/>
  <c r="D1867" i="7"/>
  <c r="E1866" i="7"/>
  <c r="V1865" i="7"/>
  <c r="R1865" i="7"/>
  <c r="N1865" i="7"/>
  <c r="F1865" i="7"/>
  <c r="B1865" i="7"/>
  <c r="W1864" i="7"/>
  <c r="C1864" i="7"/>
  <c r="X1863" i="7"/>
  <c r="T1863" i="7"/>
  <c r="P1863" i="7"/>
  <c r="L1863" i="7"/>
  <c r="D1863" i="7"/>
  <c r="E1862" i="7"/>
  <c r="V1861" i="7"/>
  <c r="R1861" i="7"/>
  <c r="N1861" i="7"/>
  <c r="F1861" i="7"/>
  <c r="B1861" i="7"/>
  <c r="E1881" i="7"/>
  <c r="V1880" i="7"/>
  <c r="R1880" i="7"/>
  <c r="N1880" i="7"/>
  <c r="F1880" i="7"/>
  <c r="B1880" i="7"/>
  <c r="W1879" i="7"/>
  <c r="C1879" i="7"/>
  <c r="X1878" i="7"/>
  <c r="T1878" i="7"/>
  <c r="P1878" i="7"/>
  <c r="L1878" i="7"/>
  <c r="D1878" i="7"/>
  <c r="E1877" i="7"/>
  <c r="V1876" i="7"/>
  <c r="R1876" i="7"/>
  <c r="N1876" i="7"/>
  <c r="F1876" i="7"/>
  <c r="B1876" i="7"/>
  <c r="W1875" i="7"/>
  <c r="C1875" i="7"/>
  <c r="X1874" i="7"/>
  <c r="T1874" i="7"/>
  <c r="P1874" i="7"/>
  <c r="L1874" i="7"/>
  <c r="D1874" i="7"/>
  <c r="E1873" i="7"/>
  <c r="V1872" i="7"/>
  <c r="R1872" i="7"/>
  <c r="N1872" i="7"/>
  <c r="F1872" i="7"/>
  <c r="B1872" i="7"/>
  <c r="W1871" i="7"/>
  <c r="C1871" i="7"/>
  <c r="X1870" i="7"/>
  <c r="T1870" i="7"/>
  <c r="P1870" i="7"/>
  <c r="L1870" i="7"/>
  <c r="D1870" i="7"/>
  <c r="E1869" i="7"/>
  <c r="V1868" i="7"/>
  <c r="R1868" i="7"/>
  <c r="N1868" i="7"/>
  <c r="F1868" i="7"/>
  <c r="B1868" i="7"/>
  <c r="W1867" i="7"/>
  <c r="C1867" i="7"/>
  <c r="X1866" i="7"/>
  <c r="T1866" i="7"/>
  <c r="P1866" i="7"/>
  <c r="L1866" i="7"/>
  <c r="D1866" i="7"/>
  <c r="E1865" i="7"/>
  <c r="V1864" i="7"/>
  <c r="R1864" i="7"/>
  <c r="N1864" i="7"/>
  <c r="F1864" i="7"/>
  <c r="B1864" i="7"/>
  <c r="W1863" i="7"/>
  <c r="C1863" i="7"/>
  <c r="X1862" i="7"/>
  <c r="T1862" i="7"/>
  <c r="P1862" i="7"/>
  <c r="L1862" i="7"/>
  <c r="D1862" i="7"/>
  <c r="E1861" i="7"/>
  <c r="V1860" i="7"/>
  <c r="X1881" i="7"/>
  <c r="X1877" i="7"/>
  <c r="X1873" i="7"/>
  <c r="X1869" i="7"/>
  <c r="X1865" i="7"/>
  <c r="X1861" i="7"/>
  <c r="C1860" i="7"/>
  <c r="X1859" i="7"/>
  <c r="T1859" i="7"/>
  <c r="P1859" i="7"/>
  <c r="L1859" i="7"/>
  <c r="D1859" i="7"/>
  <c r="E1858" i="7"/>
  <c r="V1857" i="7"/>
  <c r="R1857" i="7"/>
  <c r="N1857" i="7"/>
  <c r="F1857" i="7"/>
  <c r="B1857" i="7"/>
  <c r="W1856" i="7"/>
  <c r="C1856" i="7"/>
  <c r="X1855" i="7"/>
  <c r="T1855" i="7"/>
  <c r="P1855" i="7"/>
  <c r="L1855" i="7"/>
  <c r="D1855" i="7"/>
  <c r="E1854" i="7"/>
  <c r="V1853" i="7"/>
  <c r="R1853" i="7"/>
  <c r="N1853" i="7"/>
  <c r="F1853" i="7"/>
  <c r="B1853" i="7"/>
  <c r="W1852" i="7"/>
  <c r="C1852" i="7"/>
  <c r="X1851" i="7"/>
  <c r="T1851" i="7"/>
  <c r="P1851" i="7"/>
  <c r="L1851" i="7"/>
  <c r="D1851" i="7"/>
  <c r="E1850" i="7"/>
  <c r="V1849" i="7"/>
  <c r="R1849" i="7"/>
  <c r="N1849" i="7"/>
  <c r="F1849" i="7"/>
  <c r="B1849" i="7"/>
  <c r="W1848" i="7"/>
  <c r="C1848" i="7"/>
  <c r="X1847" i="7"/>
  <c r="T1847" i="7"/>
  <c r="P1847" i="7"/>
  <c r="L1847" i="7"/>
  <c r="D1847" i="7"/>
  <c r="E1846" i="7"/>
  <c r="V1845" i="7"/>
  <c r="R1845" i="7"/>
  <c r="N1845" i="7"/>
  <c r="F1845" i="7"/>
  <c r="B1845" i="7"/>
  <c r="T1881" i="7"/>
  <c r="D1881" i="7"/>
  <c r="V1879" i="7"/>
  <c r="F1879" i="7"/>
  <c r="T1877" i="7"/>
  <c r="D1877" i="7"/>
  <c r="V1875" i="7"/>
  <c r="F1875" i="7"/>
  <c r="T1873" i="7"/>
  <c r="D1873" i="7"/>
  <c r="V1871" i="7"/>
  <c r="F1871" i="7"/>
  <c r="T1869" i="7"/>
  <c r="D1869" i="7"/>
  <c r="V1867" i="7"/>
  <c r="F1867" i="7"/>
  <c r="T1865" i="7"/>
  <c r="D1865" i="7"/>
  <c r="V1863" i="7"/>
  <c r="F1863" i="7"/>
  <c r="T1861" i="7"/>
  <c r="D1861" i="7"/>
  <c r="N1860" i="7"/>
  <c r="F1860" i="7"/>
  <c r="B1860" i="7"/>
  <c r="W1859" i="7"/>
  <c r="C1859" i="7"/>
  <c r="X1858" i="7"/>
  <c r="T1858" i="7"/>
  <c r="P1858" i="7"/>
  <c r="L1858" i="7"/>
  <c r="D1858" i="7"/>
  <c r="E1857" i="7"/>
  <c r="V1856" i="7"/>
  <c r="R1856" i="7"/>
  <c r="N1856" i="7"/>
  <c r="F1856" i="7"/>
  <c r="B1856" i="7"/>
  <c r="W1855" i="7"/>
  <c r="C1855" i="7"/>
  <c r="X1854" i="7"/>
  <c r="T1854" i="7"/>
  <c r="P1854" i="7"/>
  <c r="L1854" i="7"/>
  <c r="D1854" i="7"/>
  <c r="E1853" i="7"/>
  <c r="V1852" i="7"/>
  <c r="R1852" i="7"/>
  <c r="N1852" i="7"/>
  <c r="F1852" i="7"/>
  <c r="B1852" i="7"/>
  <c r="W1851" i="7"/>
  <c r="C1851" i="7"/>
  <c r="X1850" i="7"/>
  <c r="T1850" i="7"/>
  <c r="P1850" i="7"/>
  <c r="L1850" i="7"/>
  <c r="D1850" i="7"/>
  <c r="E1849" i="7"/>
  <c r="V1848" i="7"/>
  <c r="R1848" i="7"/>
  <c r="N1848" i="7"/>
  <c r="F1848" i="7"/>
  <c r="B1848" i="7"/>
  <c r="W1847" i="7"/>
  <c r="C1847" i="7"/>
  <c r="X1846" i="7"/>
  <c r="T1846" i="7"/>
  <c r="P1846" i="7"/>
  <c r="L1846" i="7"/>
  <c r="D1846" i="7"/>
  <c r="P1881" i="7"/>
  <c r="N1879" i="7"/>
  <c r="E1876" i="7"/>
  <c r="B1875" i="7"/>
  <c r="P1873" i="7"/>
  <c r="N1871" i="7"/>
  <c r="E1868" i="7"/>
  <c r="B1867" i="7"/>
  <c r="P1865" i="7"/>
  <c r="N1863" i="7"/>
  <c r="E1860" i="7"/>
  <c r="V1859" i="7"/>
  <c r="N1859" i="7"/>
  <c r="E1859" i="7"/>
  <c r="V1858" i="7"/>
  <c r="N1858" i="7"/>
  <c r="B1858" i="7"/>
  <c r="X1856" i="7"/>
  <c r="P1856" i="7"/>
  <c r="E1856" i="7"/>
  <c r="V1855" i="7"/>
  <c r="N1855" i="7"/>
  <c r="E1855" i="7"/>
  <c r="V1854" i="7"/>
  <c r="N1854" i="7"/>
  <c r="B1854" i="7"/>
  <c r="X1852" i="7"/>
  <c r="P1852" i="7"/>
  <c r="E1852" i="7"/>
  <c r="V1851" i="7"/>
  <c r="N1851" i="7"/>
  <c r="E1851" i="7"/>
  <c r="V1850" i="7"/>
  <c r="N1850" i="7"/>
  <c r="B1850" i="7"/>
  <c r="X1848" i="7"/>
  <c r="P1848" i="7"/>
  <c r="E1848" i="7"/>
  <c r="V1847" i="7"/>
  <c r="N1847" i="7"/>
  <c r="E1847" i="7"/>
  <c r="V1846" i="7"/>
  <c r="N1846" i="7"/>
  <c r="B1846" i="7"/>
  <c r="V1844" i="7"/>
  <c r="R1844" i="7"/>
  <c r="N1844" i="7"/>
  <c r="F1844" i="7"/>
  <c r="B1844" i="7"/>
  <c r="W1843" i="7"/>
  <c r="C1843" i="7"/>
  <c r="X1842" i="7"/>
  <c r="T1842" i="7"/>
  <c r="P1842" i="7"/>
  <c r="L1842" i="7"/>
  <c r="D1842" i="7"/>
  <c r="E1841" i="7"/>
  <c r="V1840" i="7"/>
  <c r="R1840" i="7"/>
  <c r="N1840" i="7"/>
  <c r="F1840" i="7"/>
  <c r="B1840" i="7"/>
  <c r="W1839" i="7"/>
  <c r="C1839" i="7"/>
  <c r="X1838" i="7"/>
  <c r="T1838" i="7"/>
  <c r="P1838" i="7"/>
  <c r="L1838" i="7"/>
  <c r="D1838" i="7"/>
  <c r="E1837" i="7"/>
  <c r="V1836" i="7"/>
  <c r="R1836" i="7"/>
  <c r="N1836" i="7"/>
  <c r="F1836" i="7"/>
  <c r="B1836" i="7"/>
  <c r="W1835" i="7"/>
  <c r="C1835" i="7"/>
  <c r="X1834" i="7"/>
  <c r="T1834" i="7"/>
  <c r="P1834" i="7"/>
  <c r="L1834" i="7"/>
  <c r="D1834" i="7"/>
  <c r="E1833" i="7"/>
  <c r="L1881" i="7"/>
  <c r="C1878" i="7"/>
  <c r="R1875" i="7"/>
  <c r="W1874" i="7"/>
  <c r="L1873" i="7"/>
  <c r="C1870" i="7"/>
  <c r="R1867" i="7"/>
  <c r="W1866" i="7"/>
  <c r="L1865" i="7"/>
  <c r="C1862" i="7"/>
  <c r="D1860" i="7"/>
  <c r="B1859" i="7"/>
  <c r="X1857" i="7"/>
  <c r="P1857" i="7"/>
  <c r="D1857" i="7"/>
  <c r="D1856" i="7"/>
  <c r="B1855" i="7"/>
  <c r="X1853" i="7"/>
  <c r="P1853" i="7"/>
  <c r="D1853" i="7"/>
  <c r="D1852" i="7"/>
  <c r="B1851" i="7"/>
  <c r="X1849" i="7"/>
  <c r="P1849" i="7"/>
  <c r="D1849" i="7"/>
  <c r="D1848" i="7"/>
  <c r="B1847" i="7"/>
  <c r="X1845" i="7"/>
  <c r="P1845" i="7"/>
  <c r="E1845" i="7"/>
  <c r="E1844" i="7"/>
  <c r="V1843" i="7"/>
  <c r="R1843" i="7"/>
  <c r="N1843" i="7"/>
  <c r="F1843" i="7"/>
  <c r="B1843" i="7"/>
  <c r="W1842" i="7"/>
  <c r="C1842" i="7"/>
  <c r="X1841" i="7"/>
  <c r="T1841" i="7"/>
  <c r="P1841" i="7"/>
  <c r="L1841" i="7"/>
  <c r="D1841" i="7"/>
  <c r="E1840" i="7"/>
  <c r="V1839" i="7"/>
  <c r="R1839" i="7"/>
  <c r="N1839" i="7"/>
  <c r="F1839" i="7"/>
  <c r="B1839" i="7"/>
  <c r="W1838" i="7"/>
  <c r="C1838" i="7"/>
  <c r="X1837" i="7"/>
  <c r="T1837" i="7"/>
  <c r="P1837" i="7"/>
  <c r="L1837" i="7"/>
  <c r="D1837" i="7"/>
  <c r="E1836" i="7"/>
  <c r="V1835" i="7"/>
  <c r="R1835" i="7"/>
  <c r="N1835" i="7"/>
  <c r="F1835" i="7"/>
  <c r="B1835" i="7"/>
  <c r="W1834" i="7"/>
  <c r="C1834" i="7"/>
  <c r="X1833" i="7"/>
  <c r="T1833" i="7"/>
  <c r="P1833" i="7"/>
  <c r="L1833" i="7"/>
  <c r="D1833" i="7"/>
  <c r="E1832" i="7"/>
  <c r="V1831" i="7"/>
  <c r="R1831" i="7"/>
  <c r="N1831" i="7"/>
  <c r="F1831" i="7"/>
  <c r="B1831" i="7"/>
  <c r="W1830" i="7"/>
  <c r="C1830" i="7"/>
  <c r="X1829" i="7"/>
  <c r="T1829" i="7"/>
  <c r="P1829" i="7"/>
  <c r="L1829" i="7"/>
  <c r="D1829" i="7"/>
  <c r="E1880" i="7"/>
  <c r="B1879" i="7"/>
  <c r="P1877" i="7"/>
  <c r="N1875" i="7"/>
  <c r="E1872" i="7"/>
  <c r="B1871" i="7"/>
  <c r="P1869" i="7"/>
  <c r="N1867" i="7"/>
  <c r="E1864" i="7"/>
  <c r="B1863" i="7"/>
  <c r="P1861" i="7"/>
  <c r="W1860" i="7"/>
  <c r="L1860" i="7"/>
  <c r="R1859" i="7"/>
  <c r="R1858" i="7"/>
  <c r="F1858" i="7"/>
  <c r="W1857" i="7"/>
  <c r="C1857" i="7"/>
  <c r="T1856" i="7"/>
  <c r="L1856" i="7"/>
  <c r="R1855" i="7"/>
  <c r="R1854" i="7"/>
  <c r="F1854" i="7"/>
  <c r="W1853" i="7"/>
  <c r="C1853" i="7"/>
  <c r="T1852" i="7"/>
  <c r="L1852" i="7"/>
  <c r="R1851" i="7"/>
  <c r="R1850" i="7"/>
  <c r="F1850" i="7"/>
  <c r="W1849" i="7"/>
  <c r="C1849" i="7"/>
  <c r="T1848" i="7"/>
  <c r="L1848" i="7"/>
  <c r="R1847" i="7"/>
  <c r="R1846" i="7"/>
  <c r="F1846" i="7"/>
  <c r="W1845" i="7"/>
  <c r="D1845" i="7"/>
  <c r="X1844" i="7"/>
  <c r="T1844" i="7"/>
  <c r="P1844" i="7"/>
  <c r="L1844" i="7"/>
  <c r="D1844" i="7"/>
  <c r="E1843" i="7"/>
  <c r="V1842" i="7"/>
  <c r="R1842" i="7"/>
  <c r="N1842" i="7"/>
  <c r="F1842" i="7"/>
  <c r="B1842" i="7"/>
  <c r="W1841" i="7"/>
  <c r="C1841" i="7"/>
  <c r="X1840" i="7"/>
  <c r="T1840" i="7"/>
  <c r="P1840" i="7"/>
  <c r="L1840" i="7"/>
  <c r="D1840" i="7"/>
  <c r="E1839" i="7"/>
  <c r="V1838" i="7"/>
  <c r="R1838" i="7"/>
  <c r="N1838" i="7"/>
  <c r="F1838" i="7"/>
  <c r="B1838" i="7"/>
  <c r="W1837" i="7"/>
  <c r="C1837" i="7"/>
  <c r="X1836" i="7"/>
  <c r="T1836" i="7"/>
  <c r="P1836" i="7"/>
  <c r="L1836" i="7"/>
  <c r="D1836" i="7"/>
  <c r="E1835" i="7"/>
  <c r="V1834" i="7"/>
  <c r="R1834" i="7"/>
  <c r="N1834" i="7"/>
  <c r="F1834" i="7"/>
  <c r="B1834" i="7"/>
  <c r="W1833" i="7"/>
  <c r="C1833" i="7"/>
  <c r="X1832" i="7"/>
  <c r="T1832" i="7"/>
  <c r="P1832" i="7"/>
  <c r="L1832" i="7"/>
  <c r="D1832" i="7"/>
  <c r="E1831" i="7"/>
  <c r="V1830" i="7"/>
  <c r="R1830" i="7"/>
  <c r="N1830" i="7"/>
  <c r="F1830" i="7"/>
  <c r="B1830" i="7"/>
  <c r="W1829" i="7"/>
  <c r="C1829" i="7"/>
  <c r="C1874" i="7"/>
  <c r="R1871" i="7"/>
  <c r="L1869" i="7"/>
  <c r="F1859" i="7"/>
  <c r="C1858" i="7"/>
  <c r="L1853" i="7"/>
  <c r="F1851" i="7"/>
  <c r="C1850" i="7"/>
  <c r="L1845" i="7"/>
  <c r="X1843" i="7"/>
  <c r="X1839" i="7"/>
  <c r="X1835" i="7"/>
  <c r="V1832" i="7"/>
  <c r="N1832" i="7"/>
  <c r="B1832" i="7"/>
  <c r="X1830" i="7"/>
  <c r="P1830" i="7"/>
  <c r="E1830" i="7"/>
  <c r="V1829" i="7"/>
  <c r="N1829" i="7"/>
  <c r="E1829" i="7"/>
  <c r="X1828" i="7"/>
  <c r="T1828" i="7"/>
  <c r="P1828" i="7"/>
  <c r="L1828" i="7"/>
  <c r="D1828" i="7"/>
  <c r="E1827" i="7"/>
  <c r="V1826" i="7"/>
  <c r="R1826" i="7"/>
  <c r="N1826" i="7"/>
  <c r="F1826" i="7"/>
  <c r="B1826" i="7"/>
  <c r="W1825" i="7"/>
  <c r="C1825" i="7"/>
  <c r="X1824" i="7"/>
  <c r="T1824" i="7"/>
  <c r="P1824" i="7"/>
  <c r="L1824" i="7"/>
  <c r="D1824" i="7"/>
  <c r="E1823" i="7"/>
  <c r="V1822" i="7"/>
  <c r="R1822" i="7"/>
  <c r="N1822" i="7"/>
  <c r="F1822" i="7"/>
  <c r="B1822" i="7"/>
  <c r="W1821" i="7"/>
  <c r="C1821" i="7"/>
  <c r="X1820" i="7"/>
  <c r="T1820" i="7"/>
  <c r="P1820" i="7"/>
  <c r="L1820" i="7"/>
  <c r="D1820" i="7"/>
  <c r="E1819" i="7"/>
  <c r="V1818" i="7"/>
  <c r="R1818" i="7"/>
  <c r="N1818" i="7"/>
  <c r="F1818" i="7"/>
  <c r="B1818" i="7"/>
  <c r="W1817" i="7"/>
  <c r="C1817" i="7"/>
  <c r="X1816" i="7"/>
  <c r="T1816" i="7"/>
  <c r="P1816" i="7"/>
  <c r="L1816" i="7"/>
  <c r="D1816" i="7"/>
  <c r="E1815" i="7"/>
  <c r="V1814" i="7"/>
  <c r="R1814" i="7"/>
  <c r="N1814" i="7"/>
  <c r="F1814" i="7"/>
  <c r="B1814" i="7"/>
  <c r="W1813" i="7"/>
  <c r="C1813" i="7"/>
  <c r="X1812" i="7"/>
  <c r="T1812" i="7"/>
  <c r="P1812" i="7"/>
  <c r="L1812" i="7"/>
  <c r="D1812" i="7"/>
  <c r="E1811" i="7"/>
  <c r="V1810" i="7"/>
  <c r="R1810" i="7"/>
  <c r="N1810" i="7"/>
  <c r="F1810" i="7"/>
  <c r="B1810" i="7"/>
  <c r="W1809" i="7"/>
  <c r="C1809" i="7"/>
  <c r="X1808" i="7"/>
  <c r="T1808" i="7"/>
  <c r="P1808" i="7"/>
  <c r="L1808" i="7"/>
  <c r="D1808" i="7"/>
  <c r="E1807" i="7"/>
  <c r="V1806" i="7"/>
  <c r="R1806" i="7"/>
  <c r="N1806" i="7"/>
  <c r="F1806" i="7"/>
  <c r="B1806" i="7"/>
  <c r="W1805" i="7"/>
  <c r="C1805" i="7"/>
  <c r="X1804" i="7"/>
  <c r="T1804" i="7"/>
  <c r="P1804" i="7"/>
  <c r="L1804" i="7"/>
  <c r="D1804" i="7"/>
  <c r="E1803" i="7"/>
  <c r="V1802" i="7"/>
  <c r="R1802" i="7"/>
  <c r="N1802" i="7"/>
  <c r="F1802" i="7"/>
  <c r="B1802" i="7"/>
  <c r="W1801" i="7"/>
  <c r="C1801" i="7"/>
  <c r="X1800" i="7"/>
  <c r="T1800" i="7"/>
  <c r="P1800" i="7"/>
  <c r="L1800" i="7"/>
  <c r="D1800" i="7"/>
  <c r="E1799" i="7"/>
  <c r="V1798" i="7"/>
  <c r="R1798" i="7"/>
  <c r="N1798" i="7"/>
  <c r="F1798" i="7"/>
  <c r="B1798" i="7"/>
  <c r="W1797" i="7"/>
  <c r="C1797" i="7"/>
  <c r="X1796" i="7"/>
  <c r="T1796" i="7"/>
  <c r="P1796" i="7"/>
  <c r="L1796" i="7"/>
  <c r="D1796" i="7"/>
  <c r="E1795" i="7"/>
  <c r="V1794" i="7"/>
  <c r="R1794" i="7"/>
  <c r="N1794" i="7"/>
  <c r="F1794" i="7"/>
  <c r="B1794" i="7"/>
  <c r="W1793" i="7"/>
  <c r="W1878" i="7"/>
  <c r="C1866" i="7"/>
  <c r="R1863" i="7"/>
  <c r="L1861" i="7"/>
  <c r="W1858" i="7"/>
  <c r="T1857" i="7"/>
  <c r="W1850" i="7"/>
  <c r="T1849" i="7"/>
  <c r="T1843" i="7"/>
  <c r="D1843" i="7"/>
  <c r="V1841" i="7"/>
  <c r="F1841" i="7"/>
  <c r="T1839" i="7"/>
  <c r="D1839" i="7"/>
  <c r="V1837" i="7"/>
  <c r="F1837" i="7"/>
  <c r="T1835" i="7"/>
  <c r="D1835" i="7"/>
  <c r="V1833" i="7"/>
  <c r="F1833" i="7"/>
  <c r="X1831" i="7"/>
  <c r="P1831" i="7"/>
  <c r="D1831" i="7"/>
  <c r="D1830" i="7"/>
  <c r="B1829" i="7"/>
  <c r="W1828" i="7"/>
  <c r="C1828" i="7"/>
  <c r="X1827" i="7"/>
  <c r="T1827" i="7"/>
  <c r="P1827" i="7"/>
  <c r="L1827" i="7"/>
  <c r="D1827" i="7"/>
  <c r="E1826" i="7"/>
  <c r="V1825" i="7"/>
  <c r="R1825" i="7"/>
  <c r="N1825" i="7"/>
  <c r="F1825" i="7"/>
  <c r="B1825" i="7"/>
  <c r="W1824" i="7"/>
  <c r="C1824" i="7"/>
  <c r="X1823" i="7"/>
  <c r="T1823" i="7"/>
  <c r="P1823" i="7"/>
  <c r="L1823" i="7"/>
  <c r="D1823" i="7"/>
  <c r="E1822" i="7"/>
  <c r="V1821" i="7"/>
  <c r="R1821" i="7"/>
  <c r="N1821" i="7"/>
  <c r="F1821" i="7"/>
  <c r="B1821" i="7"/>
  <c r="W1820" i="7"/>
  <c r="C1820" i="7"/>
  <c r="X1819" i="7"/>
  <c r="T1819" i="7"/>
  <c r="P1819" i="7"/>
  <c r="L1819" i="7"/>
  <c r="D1819" i="7"/>
  <c r="E1818" i="7"/>
  <c r="V1817" i="7"/>
  <c r="R1817" i="7"/>
  <c r="N1817" i="7"/>
  <c r="F1817" i="7"/>
  <c r="B1817" i="7"/>
  <c r="W1816" i="7"/>
  <c r="C1816" i="7"/>
  <c r="X1815" i="7"/>
  <c r="T1815" i="7"/>
  <c r="P1815" i="7"/>
  <c r="L1815" i="7"/>
  <c r="D1815" i="7"/>
  <c r="E1814" i="7"/>
  <c r="V1813" i="7"/>
  <c r="R1813" i="7"/>
  <c r="N1813" i="7"/>
  <c r="F1813" i="7"/>
  <c r="B1813" i="7"/>
  <c r="W1812" i="7"/>
  <c r="C1812" i="7"/>
  <c r="X1811" i="7"/>
  <c r="T1811" i="7"/>
  <c r="P1811" i="7"/>
  <c r="L1811" i="7"/>
  <c r="D1811" i="7"/>
  <c r="E1810" i="7"/>
  <c r="V1809" i="7"/>
  <c r="R1809" i="7"/>
  <c r="N1809" i="7"/>
  <c r="F1809" i="7"/>
  <c r="B1809" i="7"/>
  <c r="W1808" i="7"/>
  <c r="C1808" i="7"/>
  <c r="X1807" i="7"/>
  <c r="T1807" i="7"/>
  <c r="P1807" i="7"/>
  <c r="L1807" i="7"/>
  <c r="D1807" i="7"/>
  <c r="E1806" i="7"/>
  <c r="V1805" i="7"/>
  <c r="R1805" i="7"/>
  <c r="N1805" i="7"/>
  <c r="F1805" i="7"/>
  <c r="B1805" i="7"/>
  <c r="W1804" i="7"/>
  <c r="C1804" i="7"/>
  <c r="X1803" i="7"/>
  <c r="T1803" i="7"/>
  <c r="P1803" i="7"/>
  <c r="L1803" i="7"/>
  <c r="D1803" i="7"/>
  <c r="E1802" i="7"/>
  <c r="V1801" i="7"/>
  <c r="R1801" i="7"/>
  <c r="N1801" i="7"/>
  <c r="F1801" i="7"/>
  <c r="B1801" i="7"/>
  <c r="W1800" i="7"/>
  <c r="C1800" i="7"/>
  <c r="X1799" i="7"/>
  <c r="T1799" i="7"/>
  <c r="P1799" i="7"/>
  <c r="L1799" i="7"/>
  <c r="D1799" i="7"/>
  <c r="E1798" i="7"/>
  <c r="W1862" i="7"/>
  <c r="F1847" i="7"/>
  <c r="T1845" i="7"/>
  <c r="E1842" i="7"/>
  <c r="B1841" i="7"/>
  <c r="P1839" i="7"/>
  <c r="N1837" i="7"/>
  <c r="E1834" i="7"/>
  <c r="B1833" i="7"/>
  <c r="T1831" i="7"/>
  <c r="C1831" i="7"/>
  <c r="L1830" i="7"/>
  <c r="R1829" i="7"/>
  <c r="R1828" i="7"/>
  <c r="R1827" i="7"/>
  <c r="F1827" i="7"/>
  <c r="W1826" i="7"/>
  <c r="C1826" i="7"/>
  <c r="T1825" i="7"/>
  <c r="L1825" i="7"/>
  <c r="R1824" i="7"/>
  <c r="R1823" i="7"/>
  <c r="F1823" i="7"/>
  <c r="W1822" i="7"/>
  <c r="C1822" i="7"/>
  <c r="T1821" i="7"/>
  <c r="L1821" i="7"/>
  <c r="R1820" i="7"/>
  <c r="R1819" i="7"/>
  <c r="F1819" i="7"/>
  <c r="W1818" i="7"/>
  <c r="C1818" i="7"/>
  <c r="T1817" i="7"/>
  <c r="L1817" i="7"/>
  <c r="R1816" i="7"/>
  <c r="R1815" i="7"/>
  <c r="F1815" i="7"/>
  <c r="W1814" i="7"/>
  <c r="C1814" i="7"/>
  <c r="T1813" i="7"/>
  <c r="L1813" i="7"/>
  <c r="R1812" i="7"/>
  <c r="R1811" i="7"/>
  <c r="F1811" i="7"/>
  <c r="W1810" i="7"/>
  <c r="C1810" i="7"/>
  <c r="T1809" i="7"/>
  <c r="L1809" i="7"/>
  <c r="R1808" i="7"/>
  <c r="R1807" i="7"/>
  <c r="F1807" i="7"/>
  <c r="W1806" i="7"/>
  <c r="C1806" i="7"/>
  <c r="T1805" i="7"/>
  <c r="L1805" i="7"/>
  <c r="R1804" i="7"/>
  <c r="R1803" i="7"/>
  <c r="F1803" i="7"/>
  <c r="W1802" i="7"/>
  <c r="C1802" i="7"/>
  <c r="T1801" i="7"/>
  <c r="L1801" i="7"/>
  <c r="R1800" i="7"/>
  <c r="R1799" i="7"/>
  <c r="F1799" i="7"/>
  <c r="W1798" i="7"/>
  <c r="C1798" i="7"/>
  <c r="P1797" i="7"/>
  <c r="B1797" i="7"/>
  <c r="V1796" i="7"/>
  <c r="B1796" i="7"/>
  <c r="V1795" i="7"/>
  <c r="P1795" i="7"/>
  <c r="B1795" i="7"/>
  <c r="P1794" i="7"/>
  <c r="P1793" i="7"/>
  <c r="C1793" i="7"/>
  <c r="X1792" i="7"/>
  <c r="T1792" i="7"/>
  <c r="P1792" i="7"/>
  <c r="L1792" i="7"/>
  <c r="D1792" i="7"/>
  <c r="E1791" i="7"/>
  <c r="V1790" i="7"/>
  <c r="R1790" i="7"/>
  <c r="N1790" i="7"/>
  <c r="F1790" i="7"/>
  <c r="B1790" i="7"/>
  <c r="W1789" i="7"/>
  <c r="C1789" i="7"/>
  <c r="X1788" i="7"/>
  <c r="T1788" i="7"/>
  <c r="P1788" i="7"/>
  <c r="L1788" i="7"/>
  <c r="D1788" i="7"/>
  <c r="E1787" i="7"/>
  <c r="V1786" i="7"/>
  <c r="R1786" i="7"/>
  <c r="N1786" i="7"/>
  <c r="F1786" i="7"/>
  <c r="B1786" i="7"/>
  <c r="W1785" i="7"/>
  <c r="C1785" i="7"/>
  <c r="X1784" i="7"/>
  <c r="T1784" i="7"/>
  <c r="P1784" i="7"/>
  <c r="L1784" i="7"/>
  <c r="D1784" i="7"/>
  <c r="E1783" i="7"/>
  <c r="V1782" i="7"/>
  <c r="R1782" i="7"/>
  <c r="N1782" i="7"/>
  <c r="F1782" i="7"/>
  <c r="B1782" i="7"/>
  <c r="W1781" i="7"/>
  <c r="C1781" i="7"/>
  <c r="X1780" i="7"/>
  <c r="T1780" i="7"/>
  <c r="P1780" i="7"/>
  <c r="L1780" i="7"/>
  <c r="D1780" i="7"/>
  <c r="E1779" i="7"/>
  <c r="V1778" i="7"/>
  <c r="R1778" i="7"/>
  <c r="N1778" i="7"/>
  <c r="F1778" i="7"/>
  <c r="B1778" i="7"/>
  <c r="W1777" i="7"/>
  <c r="C1777" i="7"/>
  <c r="X1776" i="7"/>
  <c r="T1776" i="7"/>
  <c r="P1776" i="7"/>
  <c r="L1776" i="7"/>
  <c r="D1776" i="7"/>
  <c r="E1775" i="7"/>
  <c r="V1774" i="7"/>
  <c r="R1774" i="7"/>
  <c r="N1774" i="7"/>
  <c r="F1774" i="7"/>
  <c r="B1774" i="7"/>
  <c r="L1877" i="7"/>
  <c r="L1857" i="7"/>
  <c r="C1854" i="7"/>
  <c r="W1846" i="7"/>
  <c r="C1844" i="7"/>
  <c r="R1841" i="7"/>
  <c r="W1840" i="7"/>
  <c r="L1839" i="7"/>
  <c r="C1836" i="7"/>
  <c r="R1833" i="7"/>
  <c r="W1832" i="7"/>
  <c r="F1832" i="7"/>
  <c r="F1828" i="7"/>
  <c r="W1827" i="7"/>
  <c r="C1827" i="7"/>
  <c r="T1826" i="7"/>
  <c r="L1826" i="7"/>
  <c r="F1824" i="7"/>
  <c r="W1823" i="7"/>
  <c r="C1823" i="7"/>
  <c r="T1822" i="7"/>
  <c r="L1822" i="7"/>
  <c r="F1820" i="7"/>
  <c r="W1819" i="7"/>
  <c r="C1819" i="7"/>
  <c r="T1818" i="7"/>
  <c r="L1818" i="7"/>
  <c r="F1816" i="7"/>
  <c r="W1815" i="7"/>
  <c r="C1815" i="7"/>
  <c r="T1814" i="7"/>
  <c r="L1814" i="7"/>
  <c r="F1812" i="7"/>
  <c r="W1811" i="7"/>
  <c r="C1811" i="7"/>
  <c r="T1810" i="7"/>
  <c r="L1810" i="7"/>
  <c r="F1808" i="7"/>
  <c r="W1807" i="7"/>
  <c r="C1807" i="7"/>
  <c r="T1806" i="7"/>
  <c r="L1806" i="7"/>
  <c r="F1804" i="7"/>
  <c r="W1803" i="7"/>
  <c r="C1803" i="7"/>
  <c r="T1802" i="7"/>
  <c r="L1802" i="7"/>
  <c r="F1800" i="7"/>
  <c r="W1799" i="7"/>
  <c r="C1799" i="7"/>
  <c r="T1798" i="7"/>
  <c r="L1798" i="7"/>
  <c r="T1797" i="7"/>
  <c r="N1797" i="7"/>
  <c r="F1797" i="7"/>
  <c r="F1796" i="7"/>
  <c r="T1795" i="7"/>
  <c r="F1795" i="7"/>
  <c r="T1794" i="7"/>
  <c r="E1794" i="7"/>
  <c r="T1793" i="7"/>
  <c r="N1793" i="7"/>
  <c r="F1793" i="7"/>
  <c r="B1793" i="7"/>
  <c r="W1792" i="7"/>
  <c r="C1792" i="7"/>
  <c r="X1791" i="7"/>
  <c r="T1791" i="7"/>
  <c r="P1791" i="7"/>
  <c r="L1791" i="7"/>
  <c r="D1791" i="7"/>
  <c r="E1790" i="7"/>
  <c r="V1789" i="7"/>
  <c r="R1789" i="7"/>
  <c r="N1789" i="7"/>
  <c r="F1789" i="7"/>
  <c r="B1789" i="7"/>
  <c r="W1788" i="7"/>
  <c r="C1788" i="7"/>
  <c r="X1787" i="7"/>
  <c r="T1787" i="7"/>
  <c r="P1787" i="7"/>
  <c r="L1787" i="7"/>
  <c r="D1787" i="7"/>
  <c r="E1786" i="7"/>
  <c r="V1785" i="7"/>
  <c r="R1785" i="7"/>
  <c r="N1785" i="7"/>
  <c r="F1785" i="7"/>
  <c r="B1785" i="7"/>
  <c r="W1784" i="7"/>
  <c r="C1784" i="7"/>
  <c r="X1783" i="7"/>
  <c r="T1783" i="7"/>
  <c r="P1783" i="7"/>
  <c r="L1783" i="7"/>
  <c r="D1783" i="7"/>
  <c r="E1782" i="7"/>
  <c r="V1781" i="7"/>
  <c r="R1781" i="7"/>
  <c r="N1781" i="7"/>
  <c r="F1781" i="7"/>
  <c r="B1781" i="7"/>
  <c r="W1780" i="7"/>
  <c r="C1780" i="7"/>
  <c r="X1779" i="7"/>
  <c r="T1779" i="7"/>
  <c r="P1779" i="7"/>
  <c r="L1779" i="7"/>
  <c r="D1779" i="7"/>
  <c r="E1778" i="7"/>
  <c r="V1777" i="7"/>
  <c r="R1777" i="7"/>
  <c r="N1777" i="7"/>
  <c r="F1777" i="7"/>
  <c r="B1777" i="7"/>
  <c r="W1776" i="7"/>
  <c r="C1776" i="7"/>
  <c r="X1775" i="7"/>
  <c r="T1775" i="7"/>
  <c r="P1775" i="7"/>
  <c r="L1775" i="7"/>
  <c r="D1775" i="7"/>
  <c r="R1879" i="7"/>
  <c r="W1870" i="7"/>
  <c r="F1855" i="7"/>
  <c r="T1853" i="7"/>
  <c r="C1845" i="7"/>
  <c r="P1843" i="7"/>
  <c r="N1841" i="7"/>
  <c r="E1838" i="7"/>
  <c r="B1837" i="7"/>
  <c r="P1835" i="7"/>
  <c r="N1833" i="7"/>
  <c r="R1832" i="7"/>
  <c r="C1832" i="7"/>
  <c r="L1831" i="7"/>
  <c r="T1830" i="7"/>
  <c r="V1828" i="7"/>
  <c r="N1828" i="7"/>
  <c r="E1828" i="7"/>
  <c r="V1827" i="7"/>
  <c r="N1827" i="7"/>
  <c r="B1827" i="7"/>
  <c r="X1825" i="7"/>
  <c r="P1825" i="7"/>
  <c r="E1825" i="7"/>
  <c r="V1824" i="7"/>
  <c r="N1824" i="7"/>
  <c r="E1824" i="7"/>
  <c r="V1823" i="7"/>
  <c r="N1823" i="7"/>
  <c r="B1823" i="7"/>
  <c r="X1821" i="7"/>
  <c r="P1821" i="7"/>
  <c r="E1821" i="7"/>
  <c r="V1820" i="7"/>
  <c r="N1820" i="7"/>
  <c r="E1820" i="7"/>
  <c r="V1819" i="7"/>
  <c r="N1819" i="7"/>
  <c r="B1819" i="7"/>
  <c r="W1844" i="7"/>
  <c r="X1822" i="7"/>
  <c r="P1818" i="7"/>
  <c r="E1817" i="7"/>
  <c r="N1816" i="7"/>
  <c r="B1816" i="7"/>
  <c r="P1814" i="7"/>
  <c r="E1813" i="7"/>
  <c r="N1812" i="7"/>
  <c r="B1812" i="7"/>
  <c r="P1810" i="7"/>
  <c r="E1809" i="7"/>
  <c r="N1808" i="7"/>
  <c r="B1808" i="7"/>
  <c r="P1806" i="7"/>
  <c r="E1805" i="7"/>
  <c r="N1804" i="7"/>
  <c r="B1804" i="7"/>
  <c r="P1802" i="7"/>
  <c r="E1801" i="7"/>
  <c r="N1800" i="7"/>
  <c r="B1800" i="7"/>
  <c r="P1798" i="7"/>
  <c r="V1797" i="7"/>
  <c r="L1797" i="7"/>
  <c r="N1796" i="7"/>
  <c r="C1796" i="7"/>
  <c r="R1795" i="7"/>
  <c r="D1795" i="7"/>
  <c r="V1793" i="7"/>
  <c r="L1793" i="7"/>
  <c r="R1792" i="7"/>
  <c r="R1791" i="7"/>
  <c r="F1791" i="7"/>
  <c r="W1790" i="7"/>
  <c r="C1790" i="7"/>
  <c r="T1789" i="7"/>
  <c r="L1789" i="7"/>
  <c r="R1788" i="7"/>
  <c r="R1787" i="7"/>
  <c r="F1787" i="7"/>
  <c r="W1786" i="7"/>
  <c r="C1786" i="7"/>
  <c r="T1785" i="7"/>
  <c r="L1785" i="7"/>
  <c r="R1784" i="7"/>
  <c r="R1783" i="7"/>
  <c r="F1783" i="7"/>
  <c r="W1782" i="7"/>
  <c r="C1782" i="7"/>
  <c r="T1781" i="7"/>
  <c r="L1781" i="7"/>
  <c r="R1780" i="7"/>
  <c r="R1779" i="7"/>
  <c r="F1779" i="7"/>
  <c r="W1778" i="7"/>
  <c r="C1778" i="7"/>
  <c r="T1777" i="7"/>
  <c r="L1777" i="7"/>
  <c r="R1776" i="7"/>
  <c r="R1775" i="7"/>
  <c r="F1775" i="7"/>
  <c r="W1774" i="7"/>
  <c r="P1774" i="7"/>
  <c r="V1773" i="7"/>
  <c r="R1773" i="7"/>
  <c r="N1773" i="7"/>
  <c r="F1773" i="7"/>
  <c r="B1773" i="7"/>
  <c r="W1772" i="7"/>
  <c r="C1772" i="7"/>
  <c r="X1771" i="7"/>
  <c r="T1771" i="7"/>
  <c r="P1771" i="7"/>
  <c r="L1771" i="7"/>
  <c r="D1771" i="7"/>
  <c r="E1770" i="7"/>
  <c r="V1769" i="7"/>
  <c r="R1769" i="7"/>
  <c r="N1769" i="7"/>
  <c r="F1769" i="7"/>
  <c r="B1769" i="7"/>
  <c r="W1768" i="7"/>
  <c r="C1768" i="7"/>
  <c r="X1767" i="7"/>
  <c r="T1767" i="7"/>
  <c r="P1767" i="7"/>
  <c r="L1767" i="7"/>
  <c r="D1767" i="7"/>
  <c r="E1766" i="7"/>
  <c r="V1765" i="7"/>
  <c r="R1765" i="7"/>
  <c r="N1765" i="7"/>
  <c r="F1765" i="7"/>
  <c r="B1765" i="7"/>
  <c r="W1764" i="7"/>
  <c r="C1764" i="7"/>
  <c r="X1763" i="7"/>
  <c r="T1763" i="7"/>
  <c r="P1763" i="7"/>
  <c r="L1763" i="7"/>
  <c r="D1763" i="7"/>
  <c r="E1762" i="7"/>
  <c r="V1761" i="7"/>
  <c r="R1761" i="7"/>
  <c r="N1761" i="7"/>
  <c r="F1761" i="7"/>
  <c r="B1761" i="7"/>
  <c r="W1760" i="7"/>
  <c r="C1760" i="7"/>
  <c r="X1759" i="7"/>
  <c r="T1759" i="7"/>
  <c r="P1759" i="7"/>
  <c r="L1759" i="7"/>
  <c r="D1759" i="7"/>
  <c r="E1758" i="7"/>
  <c r="V1757" i="7"/>
  <c r="R1757" i="7"/>
  <c r="N1757" i="7"/>
  <c r="F1757" i="7"/>
  <c r="B1757" i="7"/>
  <c r="W1756" i="7"/>
  <c r="C1756" i="7"/>
  <c r="X1755" i="7"/>
  <c r="T1755" i="7"/>
  <c r="P1755" i="7"/>
  <c r="L1755" i="7"/>
  <c r="D1755" i="7"/>
  <c r="E1754" i="7"/>
  <c r="V1753" i="7"/>
  <c r="R1753" i="7"/>
  <c r="N1753" i="7"/>
  <c r="F1753" i="7"/>
  <c r="B1753" i="7"/>
  <c r="W1752" i="7"/>
  <c r="C1752" i="7"/>
  <c r="X1751" i="7"/>
  <c r="T1751" i="7"/>
  <c r="P1751" i="7"/>
  <c r="L1751" i="7"/>
  <c r="D1751" i="7"/>
  <c r="E1750" i="7"/>
  <c r="V1749" i="7"/>
  <c r="R1749" i="7"/>
  <c r="N1749" i="7"/>
  <c r="F1749" i="7"/>
  <c r="B1749" i="7"/>
  <c r="L1849" i="7"/>
  <c r="W1836" i="7"/>
  <c r="W1831" i="7"/>
  <c r="D1826" i="7"/>
  <c r="D1825" i="7"/>
  <c r="B1824" i="7"/>
  <c r="P1822" i="7"/>
  <c r="P1817" i="7"/>
  <c r="D1817" i="7"/>
  <c r="V1815" i="7"/>
  <c r="B1815" i="7"/>
  <c r="P1813" i="7"/>
  <c r="D1813" i="7"/>
  <c r="V1811" i="7"/>
  <c r="B1811" i="7"/>
  <c r="P1809" i="7"/>
  <c r="D1809" i="7"/>
  <c r="V1807" i="7"/>
  <c r="B1807" i="7"/>
  <c r="P1805" i="7"/>
  <c r="D1805" i="7"/>
  <c r="V1803" i="7"/>
  <c r="B1803" i="7"/>
  <c r="P1801" i="7"/>
  <c r="D1801" i="7"/>
  <c r="V1799" i="7"/>
  <c r="B1799" i="7"/>
  <c r="R1797" i="7"/>
  <c r="W1796" i="7"/>
  <c r="X1795" i="7"/>
  <c r="N1795" i="7"/>
  <c r="C1795" i="7"/>
  <c r="D1794" i="7"/>
  <c r="R1793" i="7"/>
  <c r="F1792" i="7"/>
  <c r="W1791" i="7"/>
  <c r="C1791" i="7"/>
  <c r="T1790" i="7"/>
  <c r="L1790" i="7"/>
  <c r="F1788" i="7"/>
  <c r="W1787" i="7"/>
  <c r="C1787" i="7"/>
  <c r="T1786" i="7"/>
  <c r="L1786" i="7"/>
  <c r="F1784" i="7"/>
  <c r="W1783" i="7"/>
  <c r="C1783" i="7"/>
  <c r="T1782" i="7"/>
  <c r="L1782" i="7"/>
  <c r="F1780" i="7"/>
  <c r="W1779" i="7"/>
  <c r="C1779" i="7"/>
  <c r="T1778" i="7"/>
  <c r="L1778" i="7"/>
  <c r="F1776" i="7"/>
  <c r="W1775" i="7"/>
  <c r="C1775" i="7"/>
  <c r="T1774" i="7"/>
  <c r="E1774" i="7"/>
  <c r="E1773" i="7"/>
  <c r="V1772" i="7"/>
  <c r="R1772" i="7"/>
  <c r="N1772" i="7"/>
  <c r="F1772" i="7"/>
  <c r="B1772" i="7"/>
  <c r="W1771" i="7"/>
  <c r="C1771" i="7"/>
  <c r="X1770" i="7"/>
  <c r="T1770" i="7"/>
  <c r="P1770" i="7"/>
  <c r="L1770" i="7"/>
  <c r="D1770" i="7"/>
  <c r="E1769" i="7"/>
  <c r="V1768" i="7"/>
  <c r="R1768" i="7"/>
  <c r="N1768" i="7"/>
  <c r="F1768" i="7"/>
  <c r="B1768" i="7"/>
  <c r="W1767" i="7"/>
  <c r="C1767" i="7"/>
  <c r="X1766" i="7"/>
  <c r="T1766" i="7"/>
  <c r="P1766" i="7"/>
  <c r="L1766" i="7"/>
  <c r="D1766" i="7"/>
  <c r="E1765" i="7"/>
  <c r="V1764" i="7"/>
  <c r="R1764" i="7"/>
  <c r="N1764" i="7"/>
  <c r="F1764" i="7"/>
  <c r="B1764" i="7"/>
  <c r="W1763" i="7"/>
  <c r="C1763" i="7"/>
  <c r="X1762" i="7"/>
  <c r="T1762" i="7"/>
  <c r="P1762" i="7"/>
  <c r="L1762" i="7"/>
  <c r="D1762" i="7"/>
  <c r="E1761" i="7"/>
  <c r="V1760" i="7"/>
  <c r="R1760" i="7"/>
  <c r="N1760" i="7"/>
  <c r="F1760" i="7"/>
  <c r="B1760" i="7"/>
  <c r="W1759" i="7"/>
  <c r="C1759" i="7"/>
  <c r="X1758" i="7"/>
  <c r="T1758" i="7"/>
  <c r="P1758" i="7"/>
  <c r="L1758" i="7"/>
  <c r="D1758" i="7"/>
  <c r="E1757" i="7"/>
  <c r="V1756" i="7"/>
  <c r="R1756" i="7"/>
  <c r="N1756" i="7"/>
  <c r="F1756" i="7"/>
  <c r="B1756" i="7"/>
  <c r="W1755" i="7"/>
  <c r="C1755" i="7"/>
  <c r="X1754" i="7"/>
  <c r="T1754" i="7"/>
  <c r="P1754" i="7"/>
  <c r="L1754" i="7"/>
  <c r="D1754" i="7"/>
  <c r="E1753" i="7"/>
  <c r="V1752" i="7"/>
  <c r="R1752" i="7"/>
  <c r="N1752" i="7"/>
  <c r="F1752" i="7"/>
  <c r="B1752" i="7"/>
  <c r="W1751" i="7"/>
  <c r="C1751" i="7"/>
  <c r="X1750" i="7"/>
  <c r="T1750" i="7"/>
  <c r="P1750" i="7"/>
  <c r="L1750" i="7"/>
  <c r="D1750" i="7"/>
  <c r="E1749" i="7"/>
  <c r="V1748" i="7"/>
  <c r="R1860" i="7"/>
  <c r="W1854" i="7"/>
  <c r="C1846" i="7"/>
  <c r="L1843" i="7"/>
  <c r="X1826" i="7"/>
  <c r="X1818" i="7"/>
  <c r="D1818" i="7"/>
  <c r="V1816" i="7"/>
  <c r="X1814" i="7"/>
  <c r="D1814" i="7"/>
  <c r="V1812" i="7"/>
  <c r="X1810" i="7"/>
  <c r="D1810" i="7"/>
  <c r="V1808" i="7"/>
  <c r="X1806" i="7"/>
  <c r="D1806" i="7"/>
  <c r="V1804" i="7"/>
  <c r="X1802" i="7"/>
  <c r="D1802" i="7"/>
  <c r="V1800" i="7"/>
  <c r="X1798" i="7"/>
  <c r="D1798" i="7"/>
  <c r="E1797" i="7"/>
  <c r="W1795" i="7"/>
  <c r="L1795" i="7"/>
  <c r="X1794" i="7"/>
  <c r="C1794" i="7"/>
  <c r="E1793" i="7"/>
  <c r="V1792" i="7"/>
  <c r="N1792" i="7"/>
  <c r="E1792" i="7"/>
  <c r="V1791" i="7"/>
  <c r="N1791" i="7"/>
  <c r="B1791" i="7"/>
  <c r="X1789" i="7"/>
  <c r="P1789" i="7"/>
  <c r="E1789" i="7"/>
  <c r="V1788" i="7"/>
  <c r="N1788" i="7"/>
  <c r="E1788" i="7"/>
  <c r="V1787" i="7"/>
  <c r="N1787" i="7"/>
  <c r="B1787" i="7"/>
  <c r="X1785" i="7"/>
  <c r="P1785" i="7"/>
  <c r="E1785" i="7"/>
  <c r="V1784" i="7"/>
  <c r="N1784" i="7"/>
  <c r="E1784" i="7"/>
  <c r="V1783" i="7"/>
  <c r="N1783" i="7"/>
  <c r="B1783" i="7"/>
  <c r="X1781" i="7"/>
  <c r="P1781" i="7"/>
  <c r="E1781" i="7"/>
  <c r="V1780" i="7"/>
  <c r="N1780" i="7"/>
  <c r="E1780" i="7"/>
  <c r="V1779" i="7"/>
  <c r="N1779" i="7"/>
  <c r="B1779" i="7"/>
  <c r="X1777" i="7"/>
  <c r="P1777" i="7"/>
  <c r="E1777" i="7"/>
  <c r="V1776" i="7"/>
  <c r="N1776" i="7"/>
  <c r="E1776" i="7"/>
  <c r="V1775" i="7"/>
  <c r="N1775" i="7"/>
  <c r="B1775" i="7"/>
  <c r="D1774" i="7"/>
  <c r="X1773" i="7"/>
  <c r="T1773" i="7"/>
  <c r="P1773" i="7"/>
  <c r="L1773" i="7"/>
  <c r="D1773" i="7"/>
  <c r="E1772" i="7"/>
  <c r="V1771" i="7"/>
  <c r="R1771" i="7"/>
  <c r="N1771" i="7"/>
  <c r="F1771" i="7"/>
  <c r="B1771" i="7"/>
  <c r="W1770" i="7"/>
  <c r="C1770" i="7"/>
  <c r="X1769" i="7"/>
  <c r="T1769" i="7"/>
  <c r="P1769" i="7"/>
  <c r="L1769" i="7"/>
  <c r="D1769" i="7"/>
  <c r="E1768" i="7"/>
  <c r="V1767" i="7"/>
  <c r="R1767" i="7"/>
  <c r="N1767" i="7"/>
  <c r="F1767" i="7"/>
  <c r="B1767" i="7"/>
  <c r="W1766" i="7"/>
  <c r="C1766" i="7"/>
  <c r="X1765" i="7"/>
  <c r="T1765" i="7"/>
  <c r="P1765" i="7"/>
  <c r="L1765" i="7"/>
  <c r="D1765" i="7"/>
  <c r="E1764" i="7"/>
  <c r="V1763" i="7"/>
  <c r="R1763" i="7"/>
  <c r="N1763" i="7"/>
  <c r="F1763" i="7"/>
  <c r="B1763" i="7"/>
  <c r="W1762" i="7"/>
  <c r="C1762" i="7"/>
  <c r="X1761" i="7"/>
  <c r="T1761" i="7"/>
  <c r="P1761" i="7"/>
  <c r="L1761" i="7"/>
  <c r="D1761" i="7"/>
  <c r="E1760" i="7"/>
  <c r="V1759" i="7"/>
  <c r="R1759" i="7"/>
  <c r="N1759" i="7"/>
  <c r="F1759" i="7"/>
  <c r="B1759" i="7"/>
  <c r="W1758" i="7"/>
  <c r="C1758" i="7"/>
  <c r="X1757" i="7"/>
  <c r="T1757" i="7"/>
  <c r="P1757" i="7"/>
  <c r="L1757" i="7"/>
  <c r="D1757" i="7"/>
  <c r="E1756" i="7"/>
  <c r="V1755" i="7"/>
  <c r="R1755" i="7"/>
  <c r="N1755" i="7"/>
  <c r="F1755" i="7"/>
  <c r="B1755" i="7"/>
  <c r="W1754" i="7"/>
  <c r="C1754" i="7"/>
  <c r="X1753" i="7"/>
  <c r="T1753" i="7"/>
  <c r="P1753" i="7"/>
  <c r="L1753" i="7"/>
  <c r="D1753" i="7"/>
  <c r="E1752" i="7"/>
  <c r="V1751" i="7"/>
  <c r="R1751" i="7"/>
  <c r="N1751" i="7"/>
  <c r="F1751" i="7"/>
  <c r="B1751" i="7"/>
  <c r="W1750" i="7"/>
  <c r="C1750" i="7"/>
  <c r="X1749" i="7"/>
  <c r="T1749" i="7"/>
  <c r="P1749" i="7"/>
  <c r="L1749" i="7"/>
  <c r="D1749" i="7"/>
  <c r="L1835" i="7"/>
  <c r="B1828" i="7"/>
  <c r="D1821" i="7"/>
  <c r="N1811" i="7"/>
  <c r="X1809" i="7"/>
  <c r="E1808" i="7"/>
  <c r="W1794" i="7"/>
  <c r="D1790" i="7"/>
  <c r="D1789" i="7"/>
  <c r="B1788" i="7"/>
  <c r="P1786" i="7"/>
  <c r="D1782" i="7"/>
  <c r="D1781" i="7"/>
  <c r="B1780" i="7"/>
  <c r="P1778" i="7"/>
  <c r="T1772" i="7"/>
  <c r="D1772" i="7"/>
  <c r="V1770" i="7"/>
  <c r="F1770" i="7"/>
  <c r="T1768" i="7"/>
  <c r="D1768" i="7"/>
  <c r="V1766" i="7"/>
  <c r="F1766" i="7"/>
  <c r="T1764" i="7"/>
  <c r="D1764" i="7"/>
  <c r="V1762" i="7"/>
  <c r="F1762" i="7"/>
  <c r="T1760" i="7"/>
  <c r="D1760" i="7"/>
  <c r="V1758" i="7"/>
  <c r="F1758" i="7"/>
  <c r="T1756" i="7"/>
  <c r="D1756" i="7"/>
  <c r="V1754" i="7"/>
  <c r="F1754" i="7"/>
  <c r="T1752" i="7"/>
  <c r="D1752" i="7"/>
  <c r="V1750" i="7"/>
  <c r="F1750" i="7"/>
  <c r="W1748" i="7"/>
  <c r="E1748" i="7"/>
  <c r="V1747" i="7"/>
  <c r="R1747" i="7"/>
  <c r="N1747" i="7"/>
  <c r="F1747" i="7"/>
  <c r="B1747" i="7"/>
  <c r="W1746" i="7"/>
  <c r="C1746" i="7"/>
  <c r="X1745" i="7"/>
  <c r="T1745" i="7"/>
  <c r="P1745" i="7"/>
  <c r="L1745" i="7"/>
  <c r="D1745" i="7"/>
  <c r="E1744" i="7"/>
  <c r="V1743" i="7"/>
  <c r="R1743" i="7"/>
  <c r="N1743" i="7"/>
  <c r="F1743" i="7"/>
  <c r="B1743" i="7"/>
  <c r="W1742" i="7"/>
  <c r="C1742" i="7"/>
  <c r="X1741" i="7"/>
  <c r="T1741" i="7"/>
  <c r="P1741" i="7"/>
  <c r="L1741" i="7"/>
  <c r="D1741" i="7"/>
  <c r="E1740" i="7"/>
  <c r="V1739" i="7"/>
  <c r="R1739" i="7"/>
  <c r="N1739" i="7"/>
  <c r="F1739" i="7"/>
  <c r="B1739" i="7"/>
  <c r="W1738" i="7"/>
  <c r="C1738" i="7"/>
  <c r="X1737" i="7"/>
  <c r="T1737" i="7"/>
  <c r="P1737" i="7"/>
  <c r="L1737" i="7"/>
  <c r="D1737" i="7"/>
  <c r="E1736" i="7"/>
  <c r="V1735" i="7"/>
  <c r="R1735" i="7"/>
  <c r="N1735" i="7"/>
  <c r="F1735" i="7"/>
  <c r="B1735" i="7"/>
  <c r="W1734" i="7"/>
  <c r="C1734" i="7"/>
  <c r="X1733" i="7"/>
  <c r="T1733" i="7"/>
  <c r="P1733" i="7"/>
  <c r="L1733" i="7"/>
  <c r="D1733" i="7"/>
  <c r="E1732" i="7"/>
  <c r="V1731" i="7"/>
  <c r="R1731" i="7"/>
  <c r="N1731" i="7"/>
  <c r="F1731" i="7"/>
  <c r="B1731" i="7"/>
  <c r="W1730" i="7"/>
  <c r="C1730" i="7"/>
  <c r="X1729" i="7"/>
  <c r="T1729" i="7"/>
  <c r="P1729" i="7"/>
  <c r="L1729" i="7"/>
  <c r="D1729" i="7"/>
  <c r="E1728" i="7"/>
  <c r="V1727" i="7"/>
  <c r="R1727" i="7"/>
  <c r="N1727" i="7"/>
  <c r="F1727" i="7"/>
  <c r="B1727" i="7"/>
  <c r="W1726" i="7"/>
  <c r="C1726" i="7"/>
  <c r="X1725" i="7"/>
  <c r="T1725" i="7"/>
  <c r="P1725" i="7"/>
  <c r="L1725" i="7"/>
  <c r="D1725" i="7"/>
  <c r="E1724" i="7"/>
  <c r="V1723" i="7"/>
  <c r="R1723" i="7"/>
  <c r="N1723" i="7"/>
  <c r="F1723" i="7"/>
  <c r="B1723" i="7"/>
  <c r="W1722" i="7"/>
  <c r="C1722" i="7"/>
  <c r="X1721" i="7"/>
  <c r="T1721" i="7"/>
  <c r="P1721" i="7"/>
  <c r="L1721" i="7"/>
  <c r="D1721" i="7"/>
  <c r="E1720" i="7"/>
  <c r="V1719" i="7"/>
  <c r="R1719" i="7"/>
  <c r="N1719" i="7"/>
  <c r="F1719" i="7"/>
  <c r="B1719" i="7"/>
  <c r="W1718" i="7"/>
  <c r="C1718" i="7"/>
  <c r="X1717" i="7"/>
  <c r="T1717" i="7"/>
  <c r="P1717" i="7"/>
  <c r="L1717" i="7"/>
  <c r="D1717" i="7"/>
  <c r="E1716" i="7"/>
  <c r="V1715" i="7"/>
  <c r="R1715" i="7"/>
  <c r="N1715" i="7"/>
  <c r="F1715" i="7"/>
  <c r="B1715" i="7"/>
  <c r="W1714" i="7"/>
  <c r="C1714" i="7"/>
  <c r="X1713" i="7"/>
  <c r="T1713" i="7"/>
  <c r="P1713" i="7"/>
  <c r="L1713" i="7"/>
  <c r="D1713" i="7"/>
  <c r="E1712" i="7"/>
  <c r="V1711" i="7"/>
  <c r="R1711" i="7"/>
  <c r="N1711" i="7"/>
  <c r="F1711" i="7"/>
  <c r="B1711" i="7"/>
  <c r="W1710" i="7"/>
  <c r="C1710" i="7"/>
  <c r="X1709" i="7"/>
  <c r="T1709" i="7"/>
  <c r="P1709" i="7"/>
  <c r="L1709" i="7"/>
  <c r="D1709" i="7"/>
  <c r="E1708" i="7"/>
  <c r="V1707" i="7"/>
  <c r="R1707" i="7"/>
  <c r="N1707" i="7"/>
  <c r="F1707" i="7"/>
  <c r="B1707" i="7"/>
  <c r="W1706" i="7"/>
  <c r="C1706" i="7"/>
  <c r="X1705" i="7"/>
  <c r="T1705" i="7"/>
  <c r="P1705" i="7"/>
  <c r="L1705" i="7"/>
  <c r="D1705" i="7"/>
  <c r="E1704" i="7"/>
  <c r="V1703" i="7"/>
  <c r="R1703" i="7"/>
  <c r="N1703" i="7"/>
  <c r="F1703" i="7"/>
  <c r="B1703" i="7"/>
  <c r="W1702" i="7"/>
  <c r="C1702" i="7"/>
  <c r="X1701" i="7"/>
  <c r="T1701" i="7"/>
  <c r="P1701" i="7"/>
  <c r="L1701" i="7"/>
  <c r="D1701" i="7"/>
  <c r="E1700" i="7"/>
  <c r="V1699" i="7"/>
  <c r="R1699" i="7"/>
  <c r="N1699" i="7"/>
  <c r="F1699" i="7"/>
  <c r="B1699" i="7"/>
  <c r="W1698" i="7"/>
  <c r="C1698" i="7"/>
  <c r="X1697" i="7"/>
  <c r="T1697" i="7"/>
  <c r="P1697" i="7"/>
  <c r="L1697" i="7"/>
  <c r="D1697" i="7"/>
  <c r="E1696" i="7"/>
  <c r="V1695" i="7"/>
  <c r="R1695" i="7"/>
  <c r="N1695" i="7"/>
  <c r="F1695" i="7"/>
  <c r="B1695" i="7"/>
  <c r="W1694" i="7"/>
  <c r="C1694" i="7"/>
  <c r="X1693" i="7"/>
  <c r="T1693" i="7"/>
  <c r="P1693" i="7"/>
  <c r="L1693" i="7"/>
  <c r="D1693" i="7"/>
  <c r="E1692" i="7"/>
  <c r="V1691" i="7"/>
  <c r="R1691" i="7"/>
  <c r="N1691" i="7"/>
  <c r="F1691" i="7"/>
  <c r="B1691" i="7"/>
  <c r="W1690" i="7"/>
  <c r="C1690" i="7"/>
  <c r="X1689" i="7"/>
  <c r="T1689" i="7"/>
  <c r="P1689" i="7"/>
  <c r="L1689" i="7"/>
  <c r="D1689" i="7"/>
  <c r="E1688" i="7"/>
  <c r="V1687" i="7"/>
  <c r="R1687" i="7"/>
  <c r="N1687" i="7"/>
  <c r="F1687" i="7"/>
  <c r="B1687" i="7"/>
  <c r="W1686" i="7"/>
  <c r="C1686" i="7"/>
  <c r="X1685" i="7"/>
  <c r="T1685" i="7"/>
  <c r="P1685" i="7"/>
  <c r="L1685" i="7"/>
  <c r="D1685" i="7"/>
  <c r="E1684" i="7"/>
  <c r="V1683" i="7"/>
  <c r="R1683" i="7"/>
  <c r="N1683" i="7"/>
  <c r="F1683" i="7"/>
  <c r="B1683" i="7"/>
  <c r="W1682" i="7"/>
  <c r="C1682" i="7"/>
  <c r="X1681" i="7"/>
  <c r="T1681" i="7"/>
  <c r="P1681" i="7"/>
  <c r="L1681" i="7"/>
  <c r="D1681" i="7"/>
  <c r="E1680" i="7"/>
  <c r="V1679" i="7"/>
  <c r="R1679" i="7"/>
  <c r="N1679" i="7"/>
  <c r="F1679" i="7"/>
  <c r="B1679" i="7"/>
  <c r="W1678" i="7"/>
  <c r="C1678" i="7"/>
  <c r="X1677" i="7"/>
  <c r="T1677" i="7"/>
  <c r="P1677" i="7"/>
  <c r="L1677" i="7"/>
  <c r="D1677" i="7"/>
  <c r="E1676" i="7"/>
  <c r="V1675" i="7"/>
  <c r="R1675" i="7"/>
  <c r="N1675" i="7"/>
  <c r="F1675" i="7"/>
  <c r="R1837" i="7"/>
  <c r="N1807" i="7"/>
  <c r="X1805" i="7"/>
  <c r="E1804" i="7"/>
  <c r="E1796" i="7"/>
  <c r="L1794" i="7"/>
  <c r="X1790" i="7"/>
  <c r="X1782" i="7"/>
  <c r="X1774" i="7"/>
  <c r="C1774" i="7"/>
  <c r="P1772" i="7"/>
  <c r="R1770" i="7"/>
  <c r="B1770" i="7"/>
  <c r="P1768" i="7"/>
  <c r="R1766" i="7"/>
  <c r="B1766" i="7"/>
  <c r="P1764" i="7"/>
  <c r="R1762" i="7"/>
  <c r="B1762" i="7"/>
  <c r="P1760" i="7"/>
  <c r="R1758" i="7"/>
  <c r="B1758" i="7"/>
  <c r="P1756" i="7"/>
  <c r="R1754" i="7"/>
  <c r="B1754" i="7"/>
  <c r="P1752" i="7"/>
  <c r="R1750" i="7"/>
  <c r="B1750" i="7"/>
  <c r="T1748" i="7"/>
  <c r="P1748" i="7"/>
  <c r="L1748" i="7"/>
  <c r="D1748" i="7"/>
  <c r="E1747" i="7"/>
  <c r="V1746" i="7"/>
  <c r="R1746" i="7"/>
  <c r="N1746" i="7"/>
  <c r="F1746" i="7"/>
  <c r="B1746" i="7"/>
  <c r="W1745" i="7"/>
  <c r="C1745" i="7"/>
  <c r="X1744" i="7"/>
  <c r="T1744" i="7"/>
  <c r="P1744" i="7"/>
  <c r="L1744" i="7"/>
  <c r="D1744" i="7"/>
  <c r="E1743" i="7"/>
  <c r="V1742" i="7"/>
  <c r="R1742" i="7"/>
  <c r="N1742" i="7"/>
  <c r="F1742" i="7"/>
  <c r="B1742" i="7"/>
  <c r="W1741" i="7"/>
  <c r="C1741" i="7"/>
  <c r="X1740" i="7"/>
  <c r="T1740" i="7"/>
  <c r="P1740" i="7"/>
  <c r="L1740" i="7"/>
  <c r="D1740" i="7"/>
  <c r="E1739" i="7"/>
  <c r="V1738" i="7"/>
  <c r="R1738" i="7"/>
  <c r="N1738" i="7"/>
  <c r="F1738" i="7"/>
  <c r="B1738" i="7"/>
  <c r="W1737" i="7"/>
  <c r="C1737" i="7"/>
  <c r="X1736" i="7"/>
  <c r="T1736" i="7"/>
  <c r="P1736" i="7"/>
  <c r="L1736" i="7"/>
  <c r="D1736" i="7"/>
  <c r="E1735" i="7"/>
  <c r="V1734" i="7"/>
  <c r="R1734" i="7"/>
  <c r="N1734" i="7"/>
  <c r="F1734" i="7"/>
  <c r="B1734" i="7"/>
  <c r="W1733" i="7"/>
  <c r="C1733" i="7"/>
  <c r="X1732" i="7"/>
  <c r="T1732" i="7"/>
  <c r="P1732" i="7"/>
  <c r="L1732" i="7"/>
  <c r="D1732" i="7"/>
  <c r="E1731" i="7"/>
  <c r="V1730" i="7"/>
  <c r="R1730" i="7"/>
  <c r="N1730" i="7"/>
  <c r="F1730" i="7"/>
  <c r="B1730" i="7"/>
  <c r="W1729" i="7"/>
  <c r="C1729" i="7"/>
  <c r="X1728" i="7"/>
  <c r="T1728" i="7"/>
  <c r="P1728" i="7"/>
  <c r="L1728" i="7"/>
  <c r="D1728" i="7"/>
  <c r="E1727" i="7"/>
  <c r="V1726" i="7"/>
  <c r="R1726" i="7"/>
  <c r="N1726" i="7"/>
  <c r="F1726" i="7"/>
  <c r="B1726" i="7"/>
  <c r="W1725" i="7"/>
  <c r="C1725" i="7"/>
  <c r="X1724" i="7"/>
  <c r="T1724" i="7"/>
  <c r="P1724" i="7"/>
  <c r="L1724" i="7"/>
  <c r="D1724" i="7"/>
  <c r="E1723" i="7"/>
  <c r="V1722" i="7"/>
  <c r="R1722" i="7"/>
  <c r="N1722" i="7"/>
  <c r="F1722" i="7"/>
  <c r="B1722" i="7"/>
  <c r="W1721" i="7"/>
  <c r="C1721" i="7"/>
  <c r="X1720" i="7"/>
  <c r="T1720" i="7"/>
  <c r="P1720" i="7"/>
  <c r="L1720" i="7"/>
  <c r="D1720" i="7"/>
  <c r="E1719" i="7"/>
  <c r="V1718" i="7"/>
  <c r="R1718" i="7"/>
  <c r="N1718" i="7"/>
  <c r="F1718" i="7"/>
  <c r="B1718" i="7"/>
  <c r="W1717" i="7"/>
  <c r="C1717" i="7"/>
  <c r="X1716" i="7"/>
  <c r="T1716" i="7"/>
  <c r="P1716" i="7"/>
  <c r="L1716" i="7"/>
  <c r="D1716" i="7"/>
  <c r="E1715" i="7"/>
  <c r="V1714" i="7"/>
  <c r="R1714" i="7"/>
  <c r="N1714" i="7"/>
  <c r="F1714" i="7"/>
  <c r="B1714" i="7"/>
  <c r="W1713" i="7"/>
  <c r="C1713" i="7"/>
  <c r="X1712" i="7"/>
  <c r="T1712" i="7"/>
  <c r="P1712" i="7"/>
  <c r="L1712" i="7"/>
  <c r="D1712" i="7"/>
  <c r="E1711" i="7"/>
  <c r="V1710" i="7"/>
  <c r="R1710" i="7"/>
  <c r="N1710" i="7"/>
  <c r="F1710" i="7"/>
  <c r="B1710" i="7"/>
  <c r="W1709" i="7"/>
  <c r="C1709" i="7"/>
  <c r="X1708" i="7"/>
  <c r="T1708" i="7"/>
  <c r="P1708" i="7"/>
  <c r="L1708" i="7"/>
  <c r="D1708" i="7"/>
  <c r="E1707" i="7"/>
  <c r="V1706" i="7"/>
  <c r="R1706" i="7"/>
  <c r="N1706" i="7"/>
  <c r="F1706" i="7"/>
  <c r="B1706" i="7"/>
  <c r="W1705" i="7"/>
  <c r="C1705" i="7"/>
  <c r="X1704" i="7"/>
  <c r="T1704" i="7"/>
  <c r="P1704" i="7"/>
  <c r="L1704" i="7"/>
  <c r="D1704" i="7"/>
  <c r="E1703" i="7"/>
  <c r="V1702" i="7"/>
  <c r="R1702" i="7"/>
  <c r="N1702" i="7"/>
  <c r="F1702" i="7"/>
  <c r="B1702" i="7"/>
  <c r="W1701" i="7"/>
  <c r="C1701" i="7"/>
  <c r="X1700" i="7"/>
  <c r="T1700" i="7"/>
  <c r="P1700" i="7"/>
  <c r="L1700" i="7"/>
  <c r="D1700" i="7"/>
  <c r="E1699" i="7"/>
  <c r="V1698" i="7"/>
  <c r="R1698" i="7"/>
  <c r="N1698" i="7"/>
  <c r="F1698" i="7"/>
  <c r="B1698" i="7"/>
  <c r="W1697" i="7"/>
  <c r="C1697" i="7"/>
  <c r="X1696" i="7"/>
  <c r="T1696" i="7"/>
  <c r="P1696" i="7"/>
  <c r="L1696" i="7"/>
  <c r="D1696" i="7"/>
  <c r="E1695" i="7"/>
  <c r="V1694" i="7"/>
  <c r="R1694" i="7"/>
  <c r="N1694" i="7"/>
  <c r="F1694" i="7"/>
  <c r="B1694" i="7"/>
  <c r="W1693" i="7"/>
  <c r="C1693" i="7"/>
  <c r="X1692" i="7"/>
  <c r="T1692" i="7"/>
  <c r="P1692" i="7"/>
  <c r="L1692" i="7"/>
  <c r="D1692" i="7"/>
  <c r="E1691" i="7"/>
  <c r="V1690" i="7"/>
  <c r="R1690" i="7"/>
  <c r="N1690" i="7"/>
  <c r="F1690" i="7"/>
  <c r="B1690" i="7"/>
  <c r="W1689" i="7"/>
  <c r="C1689" i="7"/>
  <c r="X1688" i="7"/>
  <c r="T1688" i="7"/>
  <c r="P1688" i="7"/>
  <c r="L1688" i="7"/>
  <c r="D1688" i="7"/>
  <c r="E1687" i="7"/>
  <c r="V1686" i="7"/>
  <c r="R1686" i="7"/>
  <c r="N1686" i="7"/>
  <c r="F1686" i="7"/>
  <c r="B1686" i="7"/>
  <c r="W1685" i="7"/>
  <c r="C1685" i="7"/>
  <c r="X1684" i="7"/>
  <c r="T1684" i="7"/>
  <c r="P1684" i="7"/>
  <c r="L1684" i="7"/>
  <c r="D1684" i="7"/>
  <c r="E1683" i="7"/>
  <c r="V1682" i="7"/>
  <c r="R1682" i="7"/>
  <c r="N1682" i="7"/>
  <c r="F1682" i="7"/>
  <c r="B1682" i="7"/>
  <c r="W1681" i="7"/>
  <c r="C1681" i="7"/>
  <c r="X1680" i="7"/>
  <c r="T1680" i="7"/>
  <c r="P1680" i="7"/>
  <c r="L1680" i="7"/>
  <c r="D1680" i="7"/>
  <c r="E1679" i="7"/>
  <c r="V1678" i="7"/>
  <c r="R1678" i="7"/>
  <c r="N1678" i="7"/>
  <c r="F1678" i="7"/>
  <c r="B1678" i="7"/>
  <c r="W1677" i="7"/>
  <c r="C1677" i="7"/>
  <c r="X1676" i="7"/>
  <c r="T1676" i="7"/>
  <c r="P1676" i="7"/>
  <c r="L1676" i="7"/>
  <c r="D1676" i="7"/>
  <c r="E1675" i="7"/>
  <c r="V1674" i="7"/>
  <c r="R1674" i="7"/>
  <c r="N1674" i="7"/>
  <c r="F1674" i="7"/>
  <c r="B1674" i="7"/>
  <c r="W1673" i="7"/>
  <c r="C1673" i="7"/>
  <c r="X1672" i="7"/>
  <c r="T1672" i="7"/>
  <c r="P1672" i="7"/>
  <c r="C1840" i="7"/>
  <c r="F1829" i="7"/>
  <c r="P1826" i="7"/>
  <c r="D1822" i="7"/>
  <c r="B1820" i="7"/>
  <c r="X1817" i="7"/>
  <c r="E1816" i="7"/>
  <c r="N1803" i="7"/>
  <c r="X1801" i="7"/>
  <c r="E1800" i="7"/>
  <c r="D1797" i="7"/>
  <c r="D1793" i="7"/>
  <c r="B1792" i="7"/>
  <c r="P1790" i="7"/>
  <c r="D1786" i="7"/>
  <c r="D1785" i="7"/>
  <c r="B1784" i="7"/>
  <c r="P1782" i="7"/>
  <c r="D1778" i="7"/>
  <c r="D1777" i="7"/>
  <c r="B1776" i="7"/>
  <c r="W1773" i="7"/>
  <c r="C1773" i="7"/>
  <c r="L1772" i="7"/>
  <c r="E1771" i="7"/>
  <c r="N1770" i="7"/>
  <c r="W1769" i="7"/>
  <c r="C1769" i="7"/>
  <c r="L1768" i="7"/>
  <c r="E1767" i="7"/>
  <c r="N1766" i="7"/>
  <c r="W1765" i="7"/>
  <c r="C1765" i="7"/>
  <c r="L1764" i="7"/>
  <c r="E1763" i="7"/>
  <c r="N1762" i="7"/>
  <c r="W1761" i="7"/>
  <c r="C1761" i="7"/>
  <c r="L1760" i="7"/>
  <c r="E1759" i="7"/>
  <c r="N1758" i="7"/>
  <c r="W1757" i="7"/>
  <c r="C1757" i="7"/>
  <c r="L1756" i="7"/>
  <c r="E1755" i="7"/>
  <c r="N1754" i="7"/>
  <c r="W1753" i="7"/>
  <c r="C1753" i="7"/>
  <c r="L1752" i="7"/>
  <c r="E1751" i="7"/>
  <c r="N1750" i="7"/>
  <c r="W1749" i="7"/>
  <c r="C1749" i="7"/>
  <c r="C1748" i="7"/>
  <c r="X1747" i="7"/>
  <c r="T1747" i="7"/>
  <c r="P1747" i="7"/>
  <c r="L1747" i="7"/>
  <c r="D1747" i="7"/>
  <c r="E1746" i="7"/>
  <c r="V1745" i="7"/>
  <c r="R1745" i="7"/>
  <c r="N1745" i="7"/>
  <c r="F1745" i="7"/>
  <c r="B1745" i="7"/>
  <c r="W1744" i="7"/>
  <c r="C1744" i="7"/>
  <c r="X1743" i="7"/>
  <c r="T1743" i="7"/>
  <c r="P1743" i="7"/>
  <c r="L1743" i="7"/>
  <c r="D1743" i="7"/>
  <c r="E1742" i="7"/>
  <c r="V1741" i="7"/>
  <c r="R1741" i="7"/>
  <c r="N1741" i="7"/>
  <c r="F1741" i="7"/>
  <c r="B1741" i="7"/>
  <c r="W1740" i="7"/>
  <c r="C1740" i="7"/>
  <c r="X1739" i="7"/>
  <c r="T1739" i="7"/>
  <c r="P1739" i="7"/>
  <c r="L1739" i="7"/>
  <c r="D1739" i="7"/>
  <c r="E1738" i="7"/>
  <c r="V1737" i="7"/>
  <c r="R1737" i="7"/>
  <c r="N1737" i="7"/>
  <c r="F1737" i="7"/>
  <c r="B1737" i="7"/>
  <c r="W1736" i="7"/>
  <c r="C1736" i="7"/>
  <c r="X1735" i="7"/>
  <c r="T1735" i="7"/>
  <c r="P1735" i="7"/>
  <c r="L1735" i="7"/>
  <c r="D1735" i="7"/>
  <c r="E1734" i="7"/>
  <c r="V1733" i="7"/>
  <c r="R1733" i="7"/>
  <c r="N1733" i="7"/>
  <c r="F1733" i="7"/>
  <c r="B1733" i="7"/>
  <c r="W1732" i="7"/>
  <c r="C1732" i="7"/>
  <c r="X1731" i="7"/>
  <c r="T1731" i="7"/>
  <c r="P1731" i="7"/>
  <c r="L1731" i="7"/>
  <c r="D1731" i="7"/>
  <c r="E1730" i="7"/>
  <c r="V1729" i="7"/>
  <c r="R1729" i="7"/>
  <c r="N1729" i="7"/>
  <c r="F1729" i="7"/>
  <c r="B1729" i="7"/>
  <c r="W1728" i="7"/>
  <c r="C1728" i="7"/>
  <c r="X1727" i="7"/>
  <c r="T1727" i="7"/>
  <c r="P1727" i="7"/>
  <c r="L1727" i="7"/>
  <c r="D1727" i="7"/>
  <c r="E1726" i="7"/>
  <c r="V1725" i="7"/>
  <c r="R1725" i="7"/>
  <c r="N1725" i="7"/>
  <c r="F1725" i="7"/>
  <c r="B1725" i="7"/>
  <c r="W1724" i="7"/>
  <c r="C1724" i="7"/>
  <c r="X1723" i="7"/>
  <c r="T1723" i="7"/>
  <c r="P1723" i="7"/>
  <c r="L1723" i="7"/>
  <c r="D1723" i="7"/>
  <c r="E1722" i="7"/>
  <c r="V1721" i="7"/>
  <c r="R1721" i="7"/>
  <c r="N1721" i="7"/>
  <c r="F1721" i="7"/>
  <c r="B1721" i="7"/>
  <c r="W1720" i="7"/>
  <c r="C1720" i="7"/>
  <c r="X1719" i="7"/>
  <c r="T1719" i="7"/>
  <c r="P1719" i="7"/>
  <c r="L1719" i="7"/>
  <c r="D1719" i="7"/>
  <c r="E1718" i="7"/>
  <c r="V1717" i="7"/>
  <c r="R1717" i="7"/>
  <c r="N1717" i="7"/>
  <c r="F1717" i="7"/>
  <c r="B1717" i="7"/>
  <c r="W1716" i="7"/>
  <c r="C1716" i="7"/>
  <c r="X1715" i="7"/>
  <c r="T1715" i="7"/>
  <c r="P1715" i="7"/>
  <c r="L1715" i="7"/>
  <c r="D1715" i="7"/>
  <c r="E1714" i="7"/>
  <c r="V1713" i="7"/>
  <c r="R1713" i="7"/>
  <c r="N1713" i="7"/>
  <c r="F1713" i="7"/>
  <c r="B1713" i="7"/>
  <c r="W1712" i="7"/>
  <c r="C1712" i="7"/>
  <c r="X1711" i="7"/>
  <c r="T1711" i="7"/>
  <c r="P1711" i="7"/>
  <c r="L1711" i="7"/>
  <c r="D1711" i="7"/>
  <c r="E1710" i="7"/>
  <c r="V1709" i="7"/>
  <c r="R1709" i="7"/>
  <c r="N1709" i="7"/>
  <c r="F1709" i="7"/>
  <c r="B1709" i="7"/>
  <c r="W1708" i="7"/>
  <c r="C1708" i="7"/>
  <c r="X1707" i="7"/>
  <c r="T1707" i="7"/>
  <c r="P1707" i="7"/>
  <c r="L1707" i="7"/>
  <c r="D1707" i="7"/>
  <c r="E1706" i="7"/>
  <c r="V1705" i="7"/>
  <c r="R1705" i="7"/>
  <c r="N1705" i="7"/>
  <c r="F1705" i="7"/>
  <c r="B1705" i="7"/>
  <c r="W1704" i="7"/>
  <c r="C1704" i="7"/>
  <c r="X1703" i="7"/>
  <c r="T1703" i="7"/>
  <c r="P1703" i="7"/>
  <c r="L1703" i="7"/>
  <c r="D1703" i="7"/>
  <c r="E1702" i="7"/>
  <c r="V1701" i="7"/>
  <c r="R1701" i="7"/>
  <c r="N1701" i="7"/>
  <c r="F1701" i="7"/>
  <c r="B1701" i="7"/>
  <c r="W1700" i="7"/>
  <c r="C1700" i="7"/>
  <c r="X1699" i="7"/>
  <c r="T1699" i="7"/>
  <c r="P1699" i="7"/>
  <c r="L1699" i="7"/>
  <c r="D1699" i="7"/>
  <c r="E1698" i="7"/>
  <c r="V1697" i="7"/>
  <c r="R1697" i="7"/>
  <c r="N1697" i="7"/>
  <c r="F1697" i="7"/>
  <c r="B1697" i="7"/>
  <c r="W1696" i="7"/>
  <c r="C1696" i="7"/>
  <c r="X1695" i="7"/>
  <c r="T1695" i="7"/>
  <c r="P1695" i="7"/>
  <c r="L1695" i="7"/>
  <c r="D1695" i="7"/>
  <c r="E1694" i="7"/>
  <c r="V1693" i="7"/>
  <c r="R1693" i="7"/>
  <c r="N1693" i="7"/>
  <c r="F1693" i="7"/>
  <c r="B1693" i="7"/>
  <c r="W1692" i="7"/>
  <c r="C1692" i="7"/>
  <c r="X1691" i="7"/>
  <c r="T1691" i="7"/>
  <c r="P1691" i="7"/>
  <c r="L1691" i="7"/>
  <c r="D1691" i="7"/>
  <c r="E1690" i="7"/>
  <c r="V1689" i="7"/>
  <c r="R1689" i="7"/>
  <c r="N1689" i="7"/>
  <c r="F1689" i="7"/>
  <c r="B1689" i="7"/>
  <c r="W1688" i="7"/>
  <c r="C1688" i="7"/>
  <c r="X1687" i="7"/>
  <c r="T1687" i="7"/>
  <c r="P1687" i="7"/>
  <c r="L1687" i="7"/>
  <c r="D1687" i="7"/>
  <c r="E1686" i="7"/>
  <c r="V1685" i="7"/>
  <c r="R1685" i="7"/>
  <c r="N1685" i="7"/>
  <c r="F1685" i="7"/>
  <c r="B1685" i="7"/>
  <c r="W1684" i="7"/>
  <c r="C1684" i="7"/>
  <c r="X1683" i="7"/>
  <c r="T1683" i="7"/>
  <c r="P1683" i="7"/>
  <c r="L1683" i="7"/>
  <c r="D1683" i="7"/>
  <c r="E1682" i="7"/>
  <c r="V1681" i="7"/>
  <c r="R1681" i="7"/>
  <c r="N1681" i="7"/>
  <c r="F1681" i="7"/>
  <c r="B1681" i="7"/>
  <c r="W1680" i="7"/>
  <c r="C1680" i="7"/>
  <c r="X1679" i="7"/>
  <c r="T1679" i="7"/>
  <c r="P1679" i="7"/>
  <c r="L1679" i="7"/>
  <c r="D1679" i="7"/>
  <c r="E1678" i="7"/>
  <c r="V1677" i="7"/>
  <c r="R1677" i="7"/>
  <c r="N1677" i="7"/>
  <c r="F1677" i="7"/>
  <c r="B1677" i="7"/>
  <c r="W1676" i="7"/>
  <c r="C1676" i="7"/>
  <c r="X1675" i="7"/>
  <c r="T1675" i="7"/>
  <c r="P1675" i="7"/>
  <c r="L1675" i="7"/>
  <c r="D1675" i="7"/>
  <c r="N1799" i="7"/>
  <c r="R1748" i="7"/>
  <c r="B1748" i="7"/>
  <c r="P1746" i="7"/>
  <c r="R1744" i="7"/>
  <c r="B1744" i="7"/>
  <c r="P1742" i="7"/>
  <c r="R1740" i="7"/>
  <c r="B1740" i="7"/>
  <c r="P1738" i="7"/>
  <c r="R1736" i="7"/>
  <c r="B1736" i="7"/>
  <c r="P1734" i="7"/>
  <c r="R1732" i="7"/>
  <c r="B1732" i="7"/>
  <c r="P1730" i="7"/>
  <c r="R1728" i="7"/>
  <c r="B1728" i="7"/>
  <c r="P1726" i="7"/>
  <c r="R1724" i="7"/>
  <c r="B1724" i="7"/>
  <c r="P1722" i="7"/>
  <c r="R1720" i="7"/>
  <c r="B1720" i="7"/>
  <c r="P1718" i="7"/>
  <c r="R1716" i="7"/>
  <c r="B1716" i="7"/>
  <c r="P1714" i="7"/>
  <c r="R1712" i="7"/>
  <c r="B1712" i="7"/>
  <c r="P1710" i="7"/>
  <c r="R1708" i="7"/>
  <c r="B1708" i="7"/>
  <c r="P1706" i="7"/>
  <c r="R1704" i="7"/>
  <c r="B1704" i="7"/>
  <c r="P1702" i="7"/>
  <c r="R1700" i="7"/>
  <c r="B1700" i="7"/>
  <c r="P1698" i="7"/>
  <c r="R1696" i="7"/>
  <c r="B1696" i="7"/>
  <c r="P1694" i="7"/>
  <c r="R1692" i="7"/>
  <c r="B1692" i="7"/>
  <c r="P1690" i="7"/>
  <c r="R1688" i="7"/>
  <c r="B1688" i="7"/>
  <c r="P1686" i="7"/>
  <c r="R1684" i="7"/>
  <c r="B1684" i="7"/>
  <c r="P1682" i="7"/>
  <c r="R1680" i="7"/>
  <c r="B1680" i="7"/>
  <c r="P1678" i="7"/>
  <c r="R1676" i="7"/>
  <c r="B1676" i="7"/>
  <c r="W1674" i="7"/>
  <c r="E1674" i="7"/>
  <c r="T1673" i="7"/>
  <c r="N1673" i="7"/>
  <c r="F1673" i="7"/>
  <c r="C1672" i="7"/>
  <c r="X1671" i="7"/>
  <c r="T1671" i="7"/>
  <c r="P1671" i="7"/>
  <c r="L1671" i="7"/>
  <c r="D1671" i="7"/>
  <c r="E1670" i="7"/>
  <c r="V1669" i="7"/>
  <c r="R1669" i="7"/>
  <c r="N1669" i="7"/>
  <c r="F1669" i="7"/>
  <c r="B1669" i="7"/>
  <c r="W1668" i="7"/>
  <c r="C1668" i="7"/>
  <c r="X1667" i="7"/>
  <c r="T1667" i="7"/>
  <c r="P1667" i="7"/>
  <c r="L1667" i="7"/>
  <c r="D1667" i="7"/>
  <c r="E1666" i="7"/>
  <c r="V1665" i="7"/>
  <c r="R1665" i="7"/>
  <c r="N1665" i="7"/>
  <c r="F1665" i="7"/>
  <c r="B1665" i="7"/>
  <c r="W1664" i="7"/>
  <c r="C1664" i="7"/>
  <c r="X1663" i="7"/>
  <c r="T1663" i="7"/>
  <c r="P1663" i="7"/>
  <c r="L1663" i="7"/>
  <c r="D1663" i="7"/>
  <c r="E1662" i="7"/>
  <c r="V1661" i="7"/>
  <c r="R1661" i="7"/>
  <c r="N1661" i="7"/>
  <c r="F1661" i="7"/>
  <c r="B1661" i="7"/>
  <c r="W1660" i="7"/>
  <c r="C1660" i="7"/>
  <c r="X1659" i="7"/>
  <c r="T1659" i="7"/>
  <c r="P1659" i="7"/>
  <c r="L1659" i="7"/>
  <c r="D1659" i="7"/>
  <c r="E1658" i="7"/>
  <c r="V1657" i="7"/>
  <c r="R1657" i="7"/>
  <c r="N1657" i="7"/>
  <c r="F1657" i="7"/>
  <c r="B1657" i="7"/>
  <c r="W1656" i="7"/>
  <c r="E1812" i="7"/>
  <c r="R1796" i="7"/>
  <c r="X1793" i="7"/>
  <c r="N1748" i="7"/>
  <c r="W1747" i="7"/>
  <c r="C1747" i="7"/>
  <c r="L1746" i="7"/>
  <c r="E1745" i="7"/>
  <c r="N1744" i="7"/>
  <c r="W1743" i="7"/>
  <c r="C1743" i="7"/>
  <c r="L1742" i="7"/>
  <c r="E1741" i="7"/>
  <c r="N1740" i="7"/>
  <c r="W1739" i="7"/>
  <c r="C1739" i="7"/>
  <c r="L1738" i="7"/>
  <c r="E1737" i="7"/>
  <c r="N1736" i="7"/>
  <c r="W1735" i="7"/>
  <c r="C1735" i="7"/>
  <c r="L1734" i="7"/>
  <c r="E1733" i="7"/>
  <c r="N1732" i="7"/>
  <c r="W1731" i="7"/>
  <c r="C1731" i="7"/>
  <c r="L1730" i="7"/>
  <c r="E1729" i="7"/>
  <c r="N1728" i="7"/>
  <c r="W1727" i="7"/>
  <c r="C1727" i="7"/>
  <c r="L1726" i="7"/>
  <c r="E1725" i="7"/>
  <c r="N1724" i="7"/>
  <c r="W1723" i="7"/>
  <c r="C1723" i="7"/>
  <c r="L1722" i="7"/>
  <c r="E1721" i="7"/>
  <c r="N1720" i="7"/>
  <c r="W1719" i="7"/>
  <c r="C1719" i="7"/>
  <c r="L1718" i="7"/>
  <c r="E1717" i="7"/>
  <c r="N1716" i="7"/>
  <c r="W1715" i="7"/>
  <c r="C1715" i="7"/>
  <c r="L1714" i="7"/>
  <c r="E1713" i="7"/>
  <c r="N1712" i="7"/>
  <c r="W1711" i="7"/>
  <c r="C1711" i="7"/>
  <c r="L1710" i="7"/>
  <c r="E1709" i="7"/>
  <c r="N1708" i="7"/>
  <c r="W1707" i="7"/>
  <c r="C1707" i="7"/>
  <c r="L1706" i="7"/>
  <c r="E1705" i="7"/>
  <c r="N1704" i="7"/>
  <c r="W1703" i="7"/>
  <c r="C1703" i="7"/>
  <c r="L1702" i="7"/>
  <c r="E1701" i="7"/>
  <c r="N1700" i="7"/>
  <c r="W1699" i="7"/>
  <c r="C1699" i="7"/>
  <c r="L1698" i="7"/>
  <c r="E1697" i="7"/>
  <c r="N1696" i="7"/>
  <c r="W1695" i="7"/>
  <c r="C1695" i="7"/>
  <c r="L1694" i="7"/>
  <c r="E1693" i="7"/>
  <c r="N1692" i="7"/>
  <c r="W1691" i="7"/>
  <c r="C1691" i="7"/>
  <c r="L1690" i="7"/>
  <c r="E1689" i="7"/>
  <c r="N1688" i="7"/>
  <c r="W1687" i="7"/>
  <c r="C1687" i="7"/>
  <c r="L1686" i="7"/>
  <c r="E1685" i="7"/>
  <c r="N1684" i="7"/>
  <c r="W1683" i="7"/>
  <c r="C1683" i="7"/>
  <c r="L1682" i="7"/>
  <c r="E1681" i="7"/>
  <c r="N1680" i="7"/>
  <c r="W1679" i="7"/>
  <c r="C1679" i="7"/>
  <c r="L1678" i="7"/>
  <c r="E1677" i="7"/>
  <c r="N1676" i="7"/>
  <c r="W1675" i="7"/>
  <c r="C1675" i="7"/>
  <c r="T1674" i="7"/>
  <c r="D1674" i="7"/>
  <c r="X1673" i="7"/>
  <c r="R1673" i="7"/>
  <c r="E1673" i="7"/>
  <c r="N1672" i="7"/>
  <c r="F1672" i="7"/>
  <c r="B1672" i="7"/>
  <c r="W1671" i="7"/>
  <c r="C1671" i="7"/>
  <c r="X1670" i="7"/>
  <c r="T1670" i="7"/>
  <c r="P1670" i="7"/>
  <c r="L1670" i="7"/>
  <c r="D1670" i="7"/>
  <c r="E1669" i="7"/>
  <c r="V1668" i="7"/>
  <c r="R1668" i="7"/>
  <c r="N1668" i="7"/>
  <c r="F1668" i="7"/>
  <c r="B1668" i="7"/>
  <c r="W1667" i="7"/>
  <c r="C1667" i="7"/>
  <c r="X1666" i="7"/>
  <c r="T1666" i="7"/>
  <c r="P1666" i="7"/>
  <c r="L1666" i="7"/>
  <c r="D1666" i="7"/>
  <c r="E1665" i="7"/>
  <c r="V1664" i="7"/>
  <c r="R1664" i="7"/>
  <c r="N1664" i="7"/>
  <c r="F1664" i="7"/>
  <c r="B1664" i="7"/>
  <c r="W1663" i="7"/>
  <c r="C1663" i="7"/>
  <c r="X1662" i="7"/>
  <c r="T1662" i="7"/>
  <c r="P1662" i="7"/>
  <c r="L1662" i="7"/>
  <c r="D1662" i="7"/>
  <c r="E1661" i="7"/>
  <c r="V1660" i="7"/>
  <c r="R1660" i="7"/>
  <c r="N1660" i="7"/>
  <c r="F1660" i="7"/>
  <c r="B1660" i="7"/>
  <c r="W1659" i="7"/>
  <c r="C1659" i="7"/>
  <c r="X1658" i="7"/>
  <c r="T1658" i="7"/>
  <c r="P1658" i="7"/>
  <c r="L1658" i="7"/>
  <c r="D1658" i="7"/>
  <c r="E1657" i="7"/>
  <c r="V1656" i="7"/>
  <c r="R1656" i="7"/>
  <c r="N1656" i="7"/>
  <c r="F1656" i="7"/>
  <c r="B1656" i="7"/>
  <c r="W1655" i="7"/>
  <c r="C1655" i="7"/>
  <c r="X1654" i="7"/>
  <c r="T1654" i="7"/>
  <c r="P1654" i="7"/>
  <c r="L1654" i="7"/>
  <c r="D1654" i="7"/>
  <c r="E1653" i="7"/>
  <c r="V1652" i="7"/>
  <c r="R1652" i="7"/>
  <c r="N1652" i="7"/>
  <c r="F1652" i="7"/>
  <c r="B1652" i="7"/>
  <c r="W1651" i="7"/>
  <c r="C1651" i="7"/>
  <c r="X1650" i="7"/>
  <c r="T1650" i="7"/>
  <c r="P1650" i="7"/>
  <c r="L1650" i="7"/>
  <c r="D1650" i="7"/>
  <c r="E1649" i="7"/>
  <c r="V1648" i="7"/>
  <c r="R1648" i="7"/>
  <c r="N1648" i="7"/>
  <c r="F1648" i="7"/>
  <c r="B1648" i="7"/>
  <c r="W1647" i="7"/>
  <c r="C1647" i="7"/>
  <c r="X1646" i="7"/>
  <c r="T1646" i="7"/>
  <c r="P1646" i="7"/>
  <c r="L1646" i="7"/>
  <c r="D1646" i="7"/>
  <c r="E1645" i="7"/>
  <c r="V1644" i="7"/>
  <c r="R1644" i="7"/>
  <c r="N1644" i="7"/>
  <c r="F1644" i="7"/>
  <c r="B1644" i="7"/>
  <c r="W1643" i="7"/>
  <c r="C1643" i="7"/>
  <c r="X1642" i="7"/>
  <c r="T1642" i="7"/>
  <c r="P1642" i="7"/>
  <c r="L1642" i="7"/>
  <c r="D1642" i="7"/>
  <c r="E1641" i="7"/>
  <c r="V1640" i="7"/>
  <c r="R1640" i="7"/>
  <c r="N1640" i="7"/>
  <c r="F1640" i="7"/>
  <c r="B1640" i="7"/>
  <c r="W1639" i="7"/>
  <c r="C1639" i="7"/>
  <c r="X1638" i="7"/>
  <c r="T1638" i="7"/>
  <c r="P1638" i="7"/>
  <c r="L1638" i="7"/>
  <c r="D1638" i="7"/>
  <c r="E1637" i="7"/>
  <c r="V1636" i="7"/>
  <c r="R1636" i="7"/>
  <c r="N1636" i="7"/>
  <c r="F1636" i="7"/>
  <c r="B1636" i="7"/>
  <c r="W1635" i="7"/>
  <c r="C1635" i="7"/>
  <c r="X1634" i="7"/>
  <c r="T1634" i="7"/>
  <c r="P1634" i="7"/>
  <c r="L1634" i="7"/>
  <c r="D1634" i="7"/>
  <c r="E1633" i="7"/>
  <c r="V1632" i="7"/>
  <c r="R1632" i="7"/>
  <c r="N1632" i="7"/>
  <c r="F1632" i="7"/>
  <c r="B1632" i="7"/>
  <c r="W1631" i="7"/>
  <c r="C1631" i="7"/>
  <c r="X1630" i="7"/>
  <c r="T1630" i="7"/>
  <c r="P1630" i="7"/>
  <c r="L1630" i="7"/>
  <c r="D1630" i="7"/>
  <c r="E1629" i="7"/>
  <c r="V1628" i="7"/>
  <c r="R1628" i="7"/>
  <c r="N1628" i="7"/>
  <c r="F1628" i="7"/>
  <c r="B1628" i="7"/>
  <c r="W1627" i="7"/>
  <c r="C1627" i="7"/>
  <c r="X1626" i="7"/>
  <c r="T1626" i="7"/>
  <c r="P1626" i="7"/>
  <c r="L1626" i="7"/>
  <c r="D1626" i="7"/>
  <c r="E1625" i="7"/>
  <c r="V1624" i="7"/>
  <c r="R1624" i="7"/>
  <c r="N1624" i="7"/>
  <c r="F1624" i="7"/>
  <c r="B1624" i="7"/>
  <c r="W1623" i="7"/>
  <c r="C1623" i="7"/>
  <c r="X1622" i="7"/>
  <c r="T1622" i="7"/>
  <c r="P1622" i="7"/>
  <c r="L1622" i="7"/>
  <c r="D1622" i="7"/>
  <c r="E1621" i="7"/>
  <c r="V1620" i="7"/>
  <c r="R1620" i="7"/>
  <c r="N1620" i="7"/>
  <c r="F1620" i="7"/>
  <c r="B1620" i="7"/>
  <c r="W1619" i="7"/>
  <c r="C1619" i="7"/>
  <c r="X1618" i="7"/>
  <c r="T1618" i="7"/>
  <c r="P1618" i="7"/>
  <c r="L1618" i="7"/>
  <c r="D1618" i="7"/>
  <c r="E1617" i="7"/>
  <c r="V1616" i="7"/>
  <c r="R1616" i="7"/>
  <c r="N1616" i="7"/>
  <c r="F1616" i="7"/>
  <c r="B1616" i="7"/>
  <c r="W1615" i="7"/>
  <c r="C1615" i="7"/>
  <c r="X1614" i="7"/>
  <c r="T1614" i="7"/>
  <c r="P1614" i="7"/>
  <c r="L1614" i="7"/>
  <c r="D1614" i="7"/>
  <c r="E1613" i="7"/>
  <c r="X1813" i="7"/>
  <c r="X1746" i="7"/>
  <c r="X1742" i="7"/>
  <c r="X1738" i="7"/>
  <c r="X1734" i="7"/>
  <c r="X1730" i="7"/>
  <c r="X1726" i="7"/>
  <c r="X1722" i="7"/>
  <c r="X1718" i="7"/>
  <c r="X1714" i="7"/>
  <c r="X1710" i="7"/>
  <c r="X1706" i="7"/>
  <c r="X1702" i="7"/>
  <c r="X1698" i="7"/>
  <c r="X1694" i="7"/>
  <c r="X1690" i="7"/>
  <c r="X1686" i="7"/>
  <c r="X1682" i="7"/>
  <c r="X1678" i="7"/>
  <c r="B1675" i="7"/>
  <c r="L1674" i="7"/>
  <c r="C1674" i="7"/>
  <c r="V1673" i="7"/>
  <c r="L1673" i="7"/>
  <c r="D1673" i="7"/>
  <c r="W1672" i="7"/>
  <c r="R1672" i="7"/>
  <c r="E1672" i="7"/>
  <c r="V1671" i="7"/>
  <c r="R1671" i="7"/>
  <c r="N1671" i="7"/>
  <c r="F1671" i="7"/>
  <c r="B1671" i="7"/>
  <c r="W1670" i="7"/>
  <c r="C1670" i="7"/>
  <c r="X1669" i="7"/>
  <c r="T1669" i="7"/>
  <c r="P1669" i="7"/>
  <c r="L1669" i="7"/>
  <c r="D1669" i="7"/>
  <c r="E1668" i="7"/>
  <c r="V1667" i="7"/>
  <c r="R1667" i="7"/>
  <c r="N1667" i="7"/>
  <c r="F1667" i="7"/>
  <c r="B1667" i="7"/>
  <c r="W1666" i="7"/>
  <c r="C1666" i="7"/>
  <c r="X1665" i="7"/>
  <c r="T1665" i="7"/>
  <c r="P1665" i="7"/>
  <c r="L1665" i="7"/>
  <c r="D1665" i="7"/>
  <c r="E1664" i="7"/>
  <c r="V1663" i="7"/>
  <c r="R1663" i="7"/>
  <c r="N1663" i="7"/>
  <c r="F1663" i="7"/>
  <c r="B1663" i="7"/>
  <c r="W1662" i="7"/>
  <c r="C1662" i="7"/>
  <c r="X1661" i="7"/>
  <c r="T1661" i="7"/>
  <c r="P1661" i="7"/>
  <c r="L1661" i="7"/>
  <c r="D1661" i="7"/>
  <c r="E1660" i="7"/>
  <c r="X1786" i="7"/>
  <c r="L1774" i="7"/>
  <c r="T1746" i="7"/>
  <c r="D1742" i="7"/>
  <c r="T1738" i="7"/>
  <c r="D1734" i="7"/>
  <c r="T1730" i="7"/>
  <c r="D1726" i="7"/>
  <c r="T1722" i="7"/>
  <c r="D1718" i="7"/>
  <c r="T1714" i="7"/>
  <c r="D1710" i="7"/>
  <c r="T1706" i="7"/>
  <c r="D1702" i="7"/>
  <c r="T1698" i="7"/>
  <c r="D1694" i="7"/>
  <c r="T1690" i="7"/>
  <c r="D1686" i="7"/>
  <c r="T1682" i="7"/>
  <c r="D1678" i="7"/>
  <c r="X1674" i="7"/>
  <c r="V1672" i="7"/>
  <c r="D1672" i="7"/>
  <c r="V1670" i="7"/>
  <c r="F1670" i="7"/>
  <c r="T1668" i="7"/>
  <c r="D1668" i="7"/>
  <c r="V1666" i="7"/>
  <c r="F1666" i="7"/>
  <c r="T1664" i="7"/>
  <c r="D1664" i="7"/>
  <c r="V1662" i="7"/>
  <c r="F1662" i="7"/>
  <c r="T1660" i="7"/>
  <c r="D1660" i="7"/>
  <c r="B1659" i="7"/>
  <c r="X1657" i="7"/>
  <c r="P1657" i="7"/>
  <c r="D1657" i="7"/>
  <c r="E1656" i="7"/>
  <c r="T1655" i="7"/>
  <c r="N1655" i="7"/>
  <c r="F1655" i="7"/>
  <c r="F1654" i="7"/>
  <c r="T1653" i="7"/>
  <c r="F1653" i="7"/>
  <c r="T1652" i="7"/>
  <c r="E1652" i="7"/>
  <c r="T1651" i="7"/>
  <c r="N1651" i="7"/>
  <c r="F1651" i="7"/>
  <c r="F1650" i="7"/>
  <c r="T1649" i="7"/>
  <c r="F1649" i="7"/>
  <c r="T1648" i="7"/>
  <c r="E1648" i="7"/>
  <c r="T1647" i="7"/>
  <c r="N1647" i="7"/>
  <c r="F1647" i="7"/>
  <c r="F1646" i="7"/>
  <c r="T1645" i="7"/>
  <c r="F1645" i="7"/>
  <c r="T1644" i="7"/>
  <c r="E1644" i="7"/>
  <c r="T1643" i="7"/>
  <c r="N1643" i="7"/>
  <c r="F1643" i="7"/>
  <c r="F1642" i="7"/>
  <c r="T1641" i="7"/>
  <c r="F1641" i="7"/>
  <c r="T1640" i="7"/>
  <c r="E1640" i="7"/>
  <c r="T1639" i="7"/>
  <c r="N1639" i="7"/>
  <c r="F1639" i="7"/>
  <c r="F1638" i="7"/>
  <c r="T1637" i="7"/>
  <c r="F1637" i="7"/>
  <c r="T1636" i="7"/>
  <c r="E1636" i="7"/>
  <c r="T1635" i="7"/>
  <c r="N1635" i="7"/>
  <c r="F1635" i="7"/>
  <c r="F1634" i="7"/>
  <c r="T1633" i="7"/>
  <c r="F1633" i="7"/>
  <c r="T1632" i="7"/>
  <c r="E1632" i="7"/>
  <c r="T1631" i="7"/>
  <c r="N1631" i="7"/>
  <c r="F1631" i="7"/>
  <c r="F1630" i="7"/>
  <c r="T1629" i="7"/>
  <c r="F1629" i="7"/>
  <c r="T1628" i="7"/>
  <c r="E1628" i="7"/>
  <c r="T1627" i="7"/>
  <c r="N1627" i="7"/>
  <c r="F1627" i="7"/>
  <c r="F1626" i="7"/>
  <c r="T1625" i="7"/>
  <c r="F1625" i="7"/>
  <c r="T1624" i="7"/>
  <c r="E1624" i="7"/>
  <c r="T1623" i="7"/>
  <c r="N1623" i="7"/>
  <c r="F1623" i="7"/>
  <c r="F1622" i="7"/>
  <c r="T1621" i="7"/>
  <c r="F1621" i="7"/>
  <c r="T1620" i="7"/>
  <c r="E1620" i="7"/>
  <c r="T1619" i="7"/>
  <c r="N1619" i="7"/>
  <c r="F1619" i="7"/>
  <c r="F1618" i="7"/>
  <c r="T1617" i="7"/>
  <c r="F1617" i="7"/>
  <c r="T1616" i="7"/>
  <c r="E1616" i="7"/>
  <c r="T1615" i="7"/>
  <c r="N1615" i="7"/>
  <c r="F1615" i="7"/>
  <c r="F1614" i="7"/>
  <c r="T1613" i="7"/>
  <c r="F1613" i="7"/>
  <c r="E1612" i="7"/>
  <c r="V1611" i="7"/>
  <c r="R1611" i="7"/>
  <c r="N1611" i="7"/>
  <c r="F1611" i="7"/>
  <c r="B1611" i="7"/>
  <c r="W1610" i="7"/>
  <c r="C1610" i="7"/>
  <c r="X1609" i="7"/>
  <c r="T1609" i="7"/>
  <c r="P1609" i="7"/>
  <c r="L1609" i="7"/>
  <c r="D1609" i="7"/>
  <c r="E1608" i="7"/>
  <c r="V1607" i="7"/>
  <c r="R1607" i="7"/>
  <c r="N1607" i="7"/>
  <c r="F1607" i="7"/>
  <c r="B1607" i="7"/>
  <c r="W1606" i="7"/>
  <c r="C1606" i="7"/>
  <c r="X1605" i="7"/>
  <c r="T1605" i="7"/>
  <c r="P1605" i="7"/>
  <c r="L1605" i="7"/>
  <c r="D1605" i="7"/>
  <c r="E1604" i="7"/>
  <c r="V1603" i="7"/>
  <c r="R1603" i="7"/>
  <c r="N1603" i="7"/>
  <c r="F1603" i="7"/>
  <c r="B1603" i="7"/>
  <c r="W1602" i="7"/>
  <c r="C1602" i="7"/>
  <c r="X1601" i="7"/>
  <c r="T1601" i="7"/>
  <c r="P1601" i="7"/>
  <c r="L1601" i="7"/>
  <c r="D1601" i="7"/>
  <c r="E1600" i="7"/>
  <c r="V1599" i="7"/>
  <c r="R1599" i="7"/>
  <c r="N1599" i="7"/>
  <c r="F1599" i="7"/>
  <c r="B1599" i="7"/>
  <c r="W1598" i="7"/>
  <c r="C1598" i="7"/>
  <c r="X1597" i="7"/>
  <c r="T1597" i="7"/>
  <c r="P1597" i="7"/>
  <c r="L1597" i="7"/>
  <c r="D1597" i="7"/>
  <c r="E1596" i="7"/>
  <c r="V1595" i="7"/>
  <c r="R1595" i="7"/>
  <c r="N1595" i="7"/>
  <c r="F1595" i="7"/>
  <c r="B1595" i="7"/>
  <c r="W1594" i="7"/>
  <c r="C1594" i="7"/>
  <c r="X1593" i="7"/>
  <c r="T1593" i="7"/>
  <c r="P1593" i="7"/>
  <c r="L1593" i="7"/>
  <c r="D1593" i="7"/>
  <c r="E1592" i="7"/>
  <c r="V1591" i="7"/>
  <c r="R1591" i="7"/>
  <c r="N1591" i="7"/>
  <c r="F1591" i="7"/>
  <c r="B1591" i="7"/>
  <c r="W1590" i="7"/>
  <c r="C1590" i="7"/>
  <c r="X1589" i="7"/>
  <c r="T1589" i="7"/>
  <c r="P1589" i="7"/>
  <c r="L1589" i="7"/>
  <c r="D1589" i="7"/>
  <c r="E1588" i="7"/>
  <c r="V1587" i="7"/>
  <c r="R1587" i="7"/>
  <c r="N1587" i="7"/>
  <c r="F1587" i="7"/>
  <c r="B1587" i="7"/>
  <c r="W1586" i="7"/>
  <c r="C1586" i="7"/>
  <c r="X1585" i="7"/>
  <c r="T1585" i="7"/>
  <c r="P1585" i="7"/>
  <c r="L1585" i="7"/>
  <c r="D1585" i="7"/>
  <c r="E1584" i="7"/>
  <c r="V1583" i="7"/>
  <c r="R1583" i="7"/>
  <c r="N1583" i="7"/>
  <c r="F1583" i="7"/>
  <c r="B1583" i="7"/>
  <c r="W1582" i="7"/>
  <c r="C1582" i="7"/>
  <c r="X1581" i="7"/>
  <c r="T1581" i="7"/>
  <c r="P1581" i="7"/>
  <c r="L1581" i="7"/>
  <c r="D1581" i="7"/>
  <c r="E1580" i="7"/>
  <c r="V1579" i="7"/>
  <c r="R1579" i="7"/>
  <c r="N1579" i="7"/>
  <c r="F1579" i="7"/>
  <c r="B1579" i="7"/>
  <c r="W1578" i="7"/>
  <c r="C1578" i="7"/>
  <c r="X1577" i="7"/>
  <c r="T1577" i="7"/>
  <c r="P1577" i="7"/>
  <c r="L1577" i="7"/>
  <c r="D1577" i="7"/>
  <c r="E1576" i="7"/>
  <c r="V1575" i="7"/>
  <c r="R1575" i="7"/>
  <c r="N1575" i="7"/>
  <c r="F1575" i="7"/>
  <c r="B1575" i="7"/>
  <c r="W1574" i="7"/>
  <c r="C1574" i="7"/>
  <c r="X1573" i="7"/>
  <c r="T1573" i="7"/>
  <c r="P1573" i="7"/>
  <c r="L1573" i="7"/>
  <c r="D1573" i="7"/>
  <c r="E1572" i="7"/>
  <c r="V1571" i="7"/>
  <c r="R1571" i="7"/>
  <c r="N1571" i="7"/>
  <c r="F1571" i="7"/>
  <c r="B1571" i="7"/>
  <c r="W1570" i="7"/>
  <c r="C1570" i="7"/>
  <c r="X1569" i="7"/>
  <c r="T1569" i="7"/>
  <c r="P1569" i="7"/>
  <c r="L1569" i="7"/>
  <c r="D1569" i="7"/>
  <c r="E1568" i="7"/>
  <c r="V1567" i="7"/>
  <c r="R1567" i="7"/>
  <c r="N1567" i="7"/>
  <c r="F1567" i="7"/>
  <c r="B1567" i="7"/>
  <c r="W1566" i="7"/>
  <c r="C1566" i="7"/>
  <c r="X1565" i="7"/>
  <c r="T1565" i="7"/>
  <c r="P1565" i="7"/>
  <c r="L1565" i="7"/>
  <c r="D1565" i="7"/>
  <c r="E1564" i="7"/>
  <c r="V1563" i="7"/>
  <c r="R1563" i="7"/>
  <c r="N1563" i="7"/>
  <c r="F1563" i="7"/>
  <c r="B1563" i="7"/>
  <c r="W1562" i="7"/>
  <c r="C1562" i="7"/>
  <c r="X1561" i="7"/>
  <c r="T1561" i="7"/>
  <c r="P1561" i="7"/>
  <c r="L1561" i="7"/>
  <c r="D1561" i="7"/>
  <c r="E1560" i="7"/>
  <c r="V1559" i="7"/>
  <c r="R1559" i="7"/>
  <c r="N1559" i="7"/>
  <c r="F1559" i="7"/>
  <c r="B1559" i="7"/>
  <c r="W1558" i="7"/>
  <c r="C1558" i="7"/>
  <c r="X1557" i="7"/>
  <c r="T1557" i="7"/>
  <c r="P1557" i="7"/>
  <c r="L1557" i="7"/>
  <c r="D1557" i="7"/>
  <c r="E1556" i="7"/>
  <c r="V1555" i="7"/>
  <c r="R1555" i="7"/>
  <c r="N1555" i="7"/>
  <c r="F1555" i="7"/>
  <c r="B1555" i="7"/>
  <c r="W1554" i="7"/>
  <c r="C1554" i="7"/>
  <c r="X1553" i="7"/>
  <c r="T1553" i="7"/>
  <c r="P1553" i="7"/>
  <c r="L1553" i="7"/>
  <c r="D1553" i="7"/>
  <c r="E1552" i="7"/>
  <c r="V1551" i="7"/>
  <c r="R1551" i="7"/>
  <c r="N1551" i="7"/>
  <c r="F1551" i="7"/>
  <c r="B1551" i="7"/>
  <c r="W1550" i="7"/>
  <c r="C1550" i="7"/>
  <c r="X1549" i="7"/>
  <c r="T1549" i="7"/>
  <c r="P1549" i="7"/>
  <c r="L1549" i="7"/>
  <c r="D1549" i="7"/>
  <c r="E1548" i="7"/>
  <c r="V1547" i="7"/>
  <c r="R1547" i="7"/>
  <c r="N1547" i="7"/>
  <c r="F1547" i="7"/>
  <c r="B1547" i="7"/>
  <c r="W1546" i="7"/>
  <c r="C1546" i="7"/>
  <c r="X1545" i="7"/>
  <c r="T1545" i="7"/>
  <c r="P1545" i="7"/>
  <c r="L1545" i="7"/>
  <c r="D1545" i="7"/>
  <c r="E1544" i="7"/>
  <c r="V1543" i="7"/>
  <c r="R1543" i="7"/>
  <c r="N1543" i="7"/>
  <c r="F1543" i="7"/>
  <c r="B1543" i="7"/>
  <c r="W1542" i="7"/>
  <c r="C1542" i="7"/>
  <c r="X1541" i="7"/>
  <c r="T1541" i="7"/>
  <c r="P1541" i="7"/>
  <c r="L1541" i="7"/>
  <c r="D1541" i="7"/>
  <c r="E1540" i="7"/>
  <c r="V1539" i="7"/>
  <c r="R1539" i="7"/>
  <c r="N1539" i="7"/>
  <c r="F1539" i="7"/>
  <c r="B1539" i="7"/>
  <c r="W1538" i="7"/>
  <c r="C1538" i="7"/>
  <c r="X1537" i="7"/>
  <c r="T1537" i="7"/>
  <c r="P1537" i="7"/>
  <c r="L1537" i="7"/>
  <c r="D1537" i="7"/>
  <c r="E1536" i="7"/>
  <c r="V1535" i="7"/>
  <c r="R1535" i="7"/>
  <c r="N1535" i="7"/>
  <c r="F1535" i="7"/>
  <c r="B1535" i="7"/>
  <c r="W1534" i="7"/>
  <c r="C1534" i="7"/>
  <c r="X1533" i="7"/>
  <c r="T1533" i="7"/>
  <c r="P1533" i="7"/>
  <c r="L1533" i="7"/>
  <c r="D1533" i="7"/>
  <c r="E1532" i="7"/>
  <c r="V1531" i="7"/>
  <c r="R1531" i="7"/>
  <c r="N1531" i="7"/>
  <c r="F1531" i="7"/>
  <c r="B1531" i="7"/>
  <c r="W1530" i="7"/>
  <c r="C1530" i="7"/>
  <c r="X1529" i="7"/>
  <c r="T1529" i="7"/>
  <c r="P1529" i="7"/>
  <c r="L1529" i="7"/>
  <c r="D1529" i="7"/>
  <c r="E1528" i="7"/>
  <c r="V1527" i="7"/>
  <c r="R1527" i="7"/>
  <c r="N1527" i="7"/>
  <c r="F1527" i="7"/>
  <c r="B1527" i="7"/>
  <c r="W1526" i="7"/>
  <c r="C1526" i="7"/>
  <c r="X1525" i="7"/>
  <c r="T1525" i="7"/>
  <c r="P1525" i="7"/>
  <c r="L1525" i="7"/>
  <c r="D1525" i="7"/>
  <c r="E1524" i="7"/>
  <c r="V1523" i="7"/>
  <c r="R1523" i="7"/>
  <c r="N1523" i="7"/>
  <c r="F1523" i="7"/>
  <c r="B1523" i="7"/>
  <c r="W1522" i="7"/>
  <c r="C1522" i="7"/>
  <c r="X1521" i="7"/>
  <c r="T1521" i="7"/>
  <c r="P1521" i="7"/>
  <c r="L1521" i="7"/>
  <c r="D1521" i="7"/>
  <c r="E1520" i="7"/>
  <c r="V1519" i="7"/>
  <c r="R1519" i="7"/>
  <c r="N1519" i="7"/>
  <c r="F1519" i="7"/>
  <c r="B1519" i="7"/>
  <c r="W1518" i="7"/>
  <c r="C1518" i="7"/>
  <c r="X1517" i="7"/>
  <c r="T1517" i="7"/>
  <c r="P1517" i="7"/>
  <c r="L1517" i="7"/>
  <c r="D1517" i="7"/>
  <c r="E1516" i="7"/>
  <c r="V1515" i="7"/>
  <c r="R1515" i="7"/>
  <c r="N1515" i="7"/>
  <c r="F1515" i="7"/>
  <c r="B1515" i="7"/>
  <c r="W1514" i="7"/>
  <c r="C1514" i="7"/>
  <c r="X1513" i="7"/>
  <c r="T1513" i="7"/>
  <c r="P1513" i="7"/>
  <c r="L1513" i="7"/>
  <c r="D1513" i="7"/>
  <c r="E1512" i="7"/>
  <c r="V1511" i="7"/>
  <c r="R1511" i="7"/>
  <c r="N1511" i="7"/>
  <c r="F1511" i="7"/>
  <c r="B1511" i="7"/>
  <c r="W1510" i="7"/>
  <c r="C1510" i="7"/>
  <c r="X1509" i="7"/>
  <c r="T1509" i="7"/>
  <c r="P1509" i="7"/>
  <c r="L1509" i="7"/>
  <c r="D1509" i="7"/>
  <c r="E1508" i="7"/>
  <c r="V1507" i="7"/>
  <c r="R1507" i="7"/>
  <c r="N1507" i="7"/>
  <c r="F1507" i="7"/>
  <c r="B1507" i="7"/>
  <c r="W1506" i="7"/>
  <c r="C1506" i="7"/>
  <c r="X1505" i="7"/>
  <c r="T1505" i="7"/>
  <c r="P1505" i="7"/>
  <c r="L1505" i="7"/>
  <c r="D1505" i="7"/>
  <c r="E1504" i="7"/>
  <c r="V1503" i="7"/>
  <c r="R1503" i="7"/>
  <c r="N1503" i="7"/>
  <c r="F1503" i="7"/>
  <c r="B1503" i="7"/>
  <c r="W1502" i="7"/>
  <c r="C1502" i="7"/>
  <c r="X1501" i="7"/>
  <c r="T1501" i="7"/>
  <c r="P1501" i="7"/>
  <c r="L1501" i="7"/>
  <c r="D1501" i="7"/>
  <c r="E1500" i="7"/>
  <c r="V1499" i="7"/>
  <c r="R1499" i="7"/>
  <c r="N1499" i="7"/>
  <c r="F1499" i="7"/>
  <c r="B1499" i="7"/>
  <c r="W1498" i="7"/>
  <c r="C1498" i="7"/>
  <c r="X1497" i="7"/>
  <c r="T1497" i="7"/>
  <c r="P1497" i="7"/>
  <c r="L1497" i="7"/>
  <c r="D1497" i="7"/>
  <c r="E1496" i="7"/>
  <c r="V1495" i="7"/>
  <c r="R1495" i="7"/>
  <c r="N1495" i="7"/>
  <c r="F1495" i="7"/>
  <c r="B1495" i="7"/>
  <c r="W1494" i="7"/>
  <c r="C1494" i="7"/>
  <c r="X1493" i="7"/>
  <c r="T1493" i="7"/>
  <c r="P1493" i="7"/>
  <c r="L1493" i="7"/>
  <c r="D1493" i="7"/>
  <c r="E1492" i="7"/>
  <c r="V1491" i="7"/>
  <c r="R1491" i="7"/>
  <c r="N1491" i="7"/>
  <c r="F1491" i="7"/>
  <c r="B1491" i="7"/>
  <c r="W1490" i="7"/>
  <c r="C1490" i="7"/>
  <c r="X1489" i="7"/>
  <c r="T1489" i="7"/>
  <c r="P1489" i="7"/>
  <c r="L1489" i="7"/>
  <c r="D1489" i="7"/>
  <c r="X1768" i="7"/>
  <c r="X1760" i="7"/>
  <c r="X1752" i="7"/>
  <c r="F1748" i="7"/>
  <c r="V1744" i="7"/>
  <c r="F1740" i="7"/>
  <c r="V1736" i="7"/>
  <c r="F1732" i="7"/>
  <c r="V1728" i="7"/>
  <c r="F1724" i="7"/>
  <c r="V1720" i="7"/>
  <c r="F1716" i="7"/>
  <c r="V1712" i="7"/>
  <c r="F1708" i="7"/>
  <c r="V1704" i="7"/>
  <c r="F1700" i="7"/>
  <c r="V1696" i="7"/>
  <c r="F1692" i="7"/>
  <c r="V1688" i="7"/>
  <c r="F1684" i="7"/>
  <c r="V1680" i="7"/>
  <c r="F1676" i="7"/>
  <c r="P1674" i="7"/>
  <c r="P1673" i="7"/>
  <c r="R1670" i="7"/>
  <c r="B1670" i="7"/>
  <c r="P1668" i="7"/>
  <c r="R1666" i="7"/>
  <c r="B1666" i="7"/>
  <c r="P1664" i="7"/>
  <c r="R1662" i="7"/>
  <c r="B1662" i="7"/>
  <c r="P1660" i="7"/>
  <c r="R1659" i="7"/>
  <c r="R1658" i="7"/>
  <c r="F1658" i="7"/>
  <c r="W1657" i="7"/>
  <c r="C1657" i="7"/>
  <c r="T1656" i="7"/>
  <c r="D1656" i="7"/>
  <c r="X1655" i="7"/>
  <c r="R1655" i="7"/>
  <c r="E1655" i="7"/>
  <c r="N1654" i="7"/>
  <c r="E1654" i="7"/>
  <c r="X1653" i="7"/>
  <c r="N1653" i="7"/>
  <c r="D1653" i="7"/>
  <c r="X1652" i="7"/>
  <c r="D1652" i="7"/>
  <c r="X1651" i="7"/>
  <c r="R1651" i="7"/>
  <c r="E1651" i="7"/>
  <c r="N1650" i="7"/>
  <c r="E1650" i="7"/>
  <c r="X1649" i="7"/>
  <c r="N1649" i="7"/>
  <c r="D1649" i="7"/>
  <c r="X1648" i="7"/>
  <c r="D1648" i="7"/>
  <c r="X1647" i="7"/>
  <c r="R1647" i="7"/>
  <c r="E1647" i="7"/>
  <c r="N1646" i="7"/>
  <c r="E1646" i="7"/>
  <c r="X1645" i="7"/>
  <c r="N1645" i="7"/>
  <c r="D1645" i="7"/>
  <c r="X1644" i="7"/>
  <c r="D1644" i="7"/>
  <c r="X1643" i="7"/>
  <c r="R1643" i="7"/>
  <c r="E1643" i="7"/>
  <c r="N1642" i="7"/>
  <c r="E1642" i="7"/>
  <c r="X1641" i="7"/>
  <c r="N1641" i="7"/>
  <c r="D1641" i="7"/>
  <c r="X1640" i="7"/>
  <c r="D1640" i="7"/>
  <c r="X1639" i="7"/>
  <c r="R1639" i="7"/>
  <c r="E1639" i="7"/>
  <c r="N1638" i="7"/>
  <c r="E1638" i="7"/>
  <c r="X1637" i="7"/>
  <c r="N1637" i="7"/>
  <c r="D1637" i="7"/>
  <c r="X1636" i="7"/>
  <c r="D1636" i="7"/>
  <c r="X1635" i="7"/>
  <c r="R1635" i="7"/>
  <c r="E1635" i="7"/>
  <c r="N1634" i="7"/>
  <c r="E1634" i="7"/>
  <c r="X1633" i="7"/>
  <c r="N1633" i="7"/>
  <c r="D1633" i="7"/>
  <c r="X1632" i="7"/>
  <c r="D1632" i="7"/>
  <c r="X1631" i="7"/>
  <c r="R1631" i="7"/>
  <c r="E1631" i="7"/>
  <c r="N1630" i="7"/>
  <c r="E1630" i="7"/>
  <c r="X1629" i="7"/>
  <c r="N1629" i="7"/>
  <c r="D1629" i="7"/>
  <c r="X1628" i="7"/>
  <c r="D1628" i="7"/>
  <c r="X1627" i="7"/>
  <c r="R1627" i="7"/>
  <c r="E1627" i="7"/>
  <c r="N1626" i="7"/>
  <c r="E1626" i="7"/>
  <c r="X1625" i="7"/>
  <c r="N1625" i="7"/>
  <c r="D1625" i="7"/>
  <c r="X1624" i="7"/>
  <c r="D1624" i="7"/>
  <c r="X1623" i="7"/>
  <c r="R1623" i="7"/>
  <c r="E1623" i="7"/>
  <c r="N1622" i="7"/>
  <c r="E1622" i="7"/>
  <c r="X1621" i="7"/>
  <c r="N1621" i="7"/>
  <c r="D1621" i="7"/>
  <c r="X1620" i="7"/>
  <c r="D1620" i="7"/>
  <c r="X1619" i="7"/>
  <c r="R1619" i="7"/>
  <c r="E1619" i="7"/>
  <c r="N1618" i="7"/>
  <c r="E1618" i="7"/>
  <c r="X1617" i="7"/>
  <c r="N1617" i="7"/>
  <c r="D1617" i="7"/>
  <c r="X1616" i="7"/>
  <c r="D1616" i="7"/>
  <c r="X1615" i="7"/>
  <c r="R1615" i="7"/>
  <c r="E1615" i="7"/>
  <c r="N1614" i="7"/>
  <c r="E1614" i="7"/>
  <c r="X1613" i="7"/>
  <c r="N1613" i="7"/>
  <c r="D1613" i="7"/>
  <c r="X1612" i="7"/>
  <c r="T1612" i="7"/>
  <c r="P1612" i="7"/>
  <c r="L1612" i="7"/>
  <c r="D1612" i="7"/>
  <c r="E1611" i="7"/>
  <c r="V1610" i="7"/>
  <c r="R1610" i="7"/>
  <c r="N1610" i="7"/>
  <c r="F1610" i="7"/>
  <c r="B1610" i="7"/>
  <c r="W1609" i="7"/>
  <c r="C1609" i="7"/>
  <c r="X1608" i="7"/>
  <c r="T1608" i="7"/>
  <c r="P1608" i="7"/>
  <c r="L1608" i="7"/>
  <c r="D1608" i="7"/>
  <c r="E1607" i="7"/>
  <c r="V1606" i="7"/>
  <c r="R1606" i="7"/>
  <c r="N1606" i="7"/>
  <c r="F1606" i="7"/>
  <c r="B1606" i="7"/>
  <c r="W1605" i="7"/>
  <c r="C1605" i="7"/>
  <c r="X1604" i="7"/>
  <c r="T1604" i="7"/>
  <c r="P1604" i="7"/>
  <c r="L1604" i="7"/>
  <c r="D1604" i="7"/>
  <c r="E1603" i="7"/>
  <c r="V1602" i="7"/>
  <c r="R1602" i="7"/>
  <c r="N1602" i="7"/>
  <c r="F1602" i="7"/>
  <c r="B1602" i="7"/>
  <c r="W1601" i="7"/>
  <c r="C1601" i="7"/>
  <c r="X1600" i="7"/>
  <c r="T1600" i="7"/>
  <c r="P1600" i="7"/>
  <c r="L1600" i="7"/>
  <c r="D1600" i="7"/>
  <c r="E1599" i="7"/>
  <c r="V1598" i="7"/>
  <c r="R1598" i="7"/>
  <c r="N1598" i="7"/>
  <c r="F1598" i="7"/>
  <c r="B1598" i="7"/>
  <c r="W1597" i="7"/>
  <c r="C1597" i="7"/>
  <c r="X1596" i="7"/>
  <c r="T1596" i="7"/>
  <c r="P1596" i="7"/>
  <c r="L1596" i="7"/>
  <c r="D1596" i="7"/>
  <c r="E1595" i="7"/>
  <c r="V1594" i="7"/>
  <c r="R1594" i="7"/>
  <c r="N1594" i="7"/>
  <c r="F1594" i="7"/>
  <c r="B1594" i="7"/>
  <c r="W1593" i="7"/>
  <c r="C1593" i="7"/>
  <c r="X1592" i="7"/>
  <c r="T1592" i="7"/>
  <c r="P1592" i="7"/>
  <c r="L1592" i="7"/>
  <c r="D1592" i="7"/>
  <c r="E1591" i="7"/>
  <c r="V1590" i="7"/>
  <c r="R1590" i="7"/>
  <c r="N1590" i="7"/>
  <c r="F1590" i="7"/>
  <c r="B1590" i="7"/>
  <c r="W1589" i="7"/>
  <c r="C1589" i="7"/>
  <c r="X1588" i="7"/>
  <c r="T1588" i="7"/>
  <c r="P1588" i="7"/>
  <c r="L1588" i="7"/>
  <c r="D1588" i="7"/>
  <c r="E1587" i="7"/>
  <c r="V1586" i="7"/>
  <c r="R1586" i="7"/>
  <c r="N1586" i="7"/>
  <c r="F1586" i="7"/>
  <c r="B1586" i="7"/>
  <c r="W1585" i="7"/>
  <c r="C1585" i="7"/>
  <c r="X1584" i="7"/>
  <c r="T1584" i="7"/>
  <c r="P1584" i="7"/>
  <c r="L1584" i="7"/>
  <c r="D1584" i="7"/>
  <c r="E1583" i="7"/>
  <c r="V1582" i="7"/>
  <c r="R1582" i="7"/>
  <c r="N1582" i="7"/>
  <c r="F1582" i="7"/>
  <c r="B1582" i="7"/>
  <c r="W1581" i="7"/>
  <c r="C1581" i="7"/>
  <c r="X1580" i="7"/>
  <c r="T1580" i="7"/>
  <c r="P1580" i="7"/>
  <c r="L1580" i="7"/>
  <c r="D1580" i="7"/>
  <c r="E1579" i="7"/>
  <c r="V1578" i="7"/>
  <c r="R1578" i="7"/>
  <c r="N1578" i="7"/>
  <c r="F1578" i="7"/>
  <c r="B1578" i="7"/>
  <c r="W1577" i="7"/>
  <c r="C1577" i="7"/>
  <c r="X1576" i="7"/>
  <c r="T1576" i="7"/>
  <c r="P1576" i="7"/>
  <c r="L1576" i="7"/>
  <c r="D1576" i="7"/>
  <c r="E1575" i="7"/>
  <c r="V1574" i="7"/>
  <c r="R1574" i="7"/>
  <c r="N1574" i="7"/>
  <c r="F1574" i="7"/>
  <c r="B1574" i="7"/>
  <c r="W1573" i="7"/>
  <c r="C1573" i="7"/>
  <c r="X1572" i="7"/>
  <c r="T1572" i="7"/>
  <c r="P1572" i="7"/>
  <c r="L1572" i="7"/>
  <c r="D1572" i="7"/>
  <c r="E1571" i="7"/>
  <c r="V1570" i="7"/>
  <c r="R1570" i="7"/>
  <c r="N1570" i="7"/>
  <c r="F1570" i="7"/>
  <c r="B1570" i="7"/>
  <c r="W1569" i="7"/>
  <c r="C1569" i="7"/>
  <c r="X1568" i="7"/>
  <c r="T1568" i="7"/>
  <c r="P1568" i="7"/>
  <c r="L1568" i="7"/>
  <c r="D1568" i="7"/>
  <c r="E1567" i="7"/>
  <c r="V1566" i="7"/>
  <c r="R1566" i="7"/>
  <c r="N1566" i="7"/>
  <c r="F1566" i="7"/>
  <c r="B1566" i="7"/>
  <c r="W1565" i="7"/>
  <c r="C1565" i="7"/>
  <c r="X1564" i="7"/>
  <c r="T1564" i="7"/>
  <c r="P1564" i="7"/>
  <c r="L1564" i="7"/>
  <c r="D1564" i="7"/>
  <c r="E1563" i="7"/>
  <c r="V1562" i="7"/>
  <c r="R1562" i="7"/>
  <c r="N1562" i="7"/>
  <c r="F1562" i="7"/>
  <c r="B1562" i="7"/>
  <c r="W1561" i="7"/>
  <c r="C1561" i="7"/>
  <c r="X1560" i="7"/>
  <c r="T1560" i="7"/>
  <c r="P1560" i="7"/>
  <c r="L1560" i="7"/>
  <c r="D1560" i="7"/>
  <c r="E1559" i="7"/>
  <c r="V1558" i="7"/>
  <c r="R1558" i="7"/>
  <c r="N1558" i="7"/>
  <c r="F1558" i="7"/>
  <c r="B1558" i="7"/>
  <c r="W1557" i="7"/>
  <c r="C1557" i="7"/>
  <c r="X1556" i="7"/>
  <c r="T1556" i="7"/>
  <c r="P1556" i="7"/>
  <c r="L1556" i="7"/>
  <c r="D1556" i="7"/>
  <c r="E1555" i="7"/>
  <c r="V1554" i="7"/>
  <c r="R1554" i="7"/>
  <c r="N1554" i="7"/>
  <c r="F1554" i="7"/>
  <c r="B1554" i="7"/>
  <c r="W1553" i="7"/>
  <c r="C1553" i="7"/>
  <c r="X1552" i="7"/>
  <c r="T1552" i="7"/>
  <c r="P1552" i="7"/>
  <c r="L1552" i="7"/>
  <c r="D1552" i="7"/>
  <c r="E1551" i="7"/>
  <c r="V1550" i="7"/>
  <c r="R1550" i="7"/>
  <c r="N1550" i="7"/>
  <c r="F1550" i="7"/>
  <c r="B1550" i="7"/>
  <c r="W1549" i="7"/>
  <c r="C1549" i="7"/>
  <c r="X1548" i="7"/>
  <c r="T1548" i="7"/>
  <c r="P1548" i="7"/>
  <c r="L1548" i="7"/>
  <c r="D1548" i="7"/>
  <c r="E1547" i="7"/>
  <c r="V1546" i="7"/>
  <c r="R1546" i="7"/>
  <c r="N1546" i="7"/>
  <c r="F1546" i="7"/>
  <c r="B1546" i="7"/>
  <c r="W1545" i="7"/>
  <c r="C1545" i="7"/>
  <c r="X1544" i="7"/>
  <c r="T1544" i="7"/>
  <c r="P1544" i="7"/>
  <c r="L1544" i="7"/>
  <c r="D1544" i="7"/>
  <c r="E1543" i="7"/>
  <c r="V1542" i="7"/>
  <c r="R1542" i="7"/>
  <c r="N1542" i="7"/>
  <c r="F1542" i="7"/>
  <c r="B1542" i="7"/>
  <c r="W1541" i="7"/>
  <c r="C1541" i="7"/>
  <c r="X1540" i="7"/>
  <c r="T1540" i="7"/>
  <c r="P1540" i="7"/>
  <c r="L1540" i="7"/>
  <c r="D1540" i="7"/>
  <c r="E1539" i="7"/>
  <c r="V1538" i="7"/>
  <c r="R1538" i="7"/>
  <c r="N1538" i="7"/>
  <c r="F1538" i="7"/>
  <c r="B1538" i="7"/>
  <c r="W1537" i="7"/>
  <c r="C1537" i="7"/>
  <c r="X1536" i="7"/>
  <c r="T1536" i="7"/>
  <c r="P1536" i="7"/>
  <c r="L1536" i="7"/>
  <c r="D1536" i="7"/>
  <c r="E1535" i="7"/>
  <c r="V1534" i="7"/>
  <c r="R1534" i="7"/>
  <c r="N1534" i="7"/>
  <c r="F1534" i="7"/>
  <c r="B1534" i="7"/>
  <c r="W1533" i="7"/>
  <c r="C1533" i="7"/>
  <c r="X1532" i="7"/>
  <c r="T1532" i="7"/>
  <c r="P1532" i="7"/>
  <c r="L1532" i="7"/>
  <c r="D1532" i="7"/>
  <c r="E1531" i="7"/>
  <c r="V1530" i="7"/>
  <c r="R1530" i="7"/>
  <c r="N1530" i="7"/>
  <c r="F1530" i="7"/>
  <c r="B1530" i="7"/>
  <c r="W1529" i="7"/>
  <c r="C1529" i="7"/>
  <c r="X1528" i="7"/>
  <c r="T1528" i="7"/>
  <c r="P1528" i="7"/>
  <c r="L1528" i="7"/>
  <c r="D1528" i="7"/>
  <c r="E1527" i="7"/>
  <c r="V1526" i="7"/>
  <c r="R1526" i="7"/>
  <c r="N1526" i="7"/>
  <c r="F1526" i="7"/>
  <c r="B1526" i="7"/>
  <c r="W1525" i="7"/>
  <c r="C1525" i="7"/>
  <c r="X1524" i="7"/>
  <c r="T1524" i="7"/>
  <c r="P1524" i="7"/>
  <c r="L1524" i="7"/>
  <c r="D1524" i="7"/>
  <c r="E1523" i="7"/>
  <c r="V1522" i="7"/>
  <c r="R1522" i="7"/>
  <c r="N1522" i="7"/>
  <c r="F1522" i="7"/>
  <c r="B1522" i="7"/>
  <c r="W1521" i="7"/>
  <c r="C1521" i="7"/>
  <c r="X1520" i="7"/>
  <c r="T1520" i="7"/>
  <c r="P1520" i="7"/>
  <c r="L1520" i="7"/>
  <c r="D1520" i="7"/>
  <c r="E1519" i="7"/>
  <c r="V1518" i="7"/>
  <c r="R1518" i="7"/>
  <c r="N1518" i="7"/>
  <c r="F1518" i="7"/>
  <c r="B1518" i="7"/>
  <c r="W1517" i="7"/>
  <c r="C1517" i="7"/>
  <c r="X1516" i="7"/>
  <c r="T1516" i="7"/>
  <c r="P1516" i="7"/>
  <c r="L1516" i="7"/>
  <c r="D1516" i="7"/>
  <c r="E1515" i="7"/>
  <c r="V1514" i="7"/>
  <c r="R1514" i="7"/>
  <c r="N1514" i="7"/>
  <c r="F1514" i="7"/>
  <c r="B1514" i="7"/>
  <c r="W1513" i="7"/>
  <c r="C1513" i="7"/>
  <c r="X1512" i="7"/>
  <c r="T1512" i="7"/>
  <c r="P1512" i="7"/>
  <c r="L1512" i="7"/>
  <c r="D1512" i="7"/>
  <c r="E1511" i="7"/>
  <c r="V1510" i="7"/>
  <c r="R1510" i="7"/>
  <c r="N1510" i="7"/>
  <c r="F1510" i="7"/>
  <c r="B1510" i="7"/>
  <c r="W1509" i="7"/>
  <c r="C1509" i="7"/>
  <c r="X1508" i="7"/>
  <c r="T1508" i="7"/>
  <c r="P1508" i="7"/>
  <c r="L1508" i="7"/>
  <c r="D1508" i="7"/>
  <c r="E1507" i="7"/>
  <c r="V1506" i="7"/>
  <c r="R1506" i="7"/>
  <c r="N1506" i="7"/>
  <c r="F1506" i="7"/>
  <c r="B1506" i="7"/>
  <c r="W1505" i="7"/>
  <c r="C1505" i="7"/>
  <c r="X1504" i="7"/>
  <c r="T1504" i="7"/>
  <c r="P1504" i="7"/>
  <c r="L1504" i="7"/>
  <c r="D1504" i="7"/>
  <c r="E1503" i="7"/>
  <c r="V1502" i="7"/>
  <c r="R1502" i="7"/>
  <c r="N1502" i="7"/>
  <c r="F1502" i="7"/>
  <c r="B1502" i="7"/>
  <c r="W1501" i="7"/>
  <c r="C1501" i="7"/>
  <c r="X1500" i="7"/>
  <c r="T1500" i="7"/>
  <c r="P1500" i="7"/>
  <c r="L1500" i="7"/>
  <c r="D1500" i="7"/>
  <c r="E1499" i="7"/>
  <c r="V1498" i="7"/>
  <c r="R1498" i="7"/>
  <c r="N1498" i="7"/>
  <c r="F1498" i="7"/>
  <c r="B1498" i="7"/>
  <c r="W1497" i="7"/>
  <c r="C1497" i="7"/>
  <c r="X1496" i="7"/>
  <c r="T1496" i="7"/>
  <c r="P1496" i="7"/>
  <c r="L1496" i="7"/>
  <c r="D1496" i="7"/>
  <c r="E1495" i="7"/>
  <c r="V1494" i="7"/>
  <c r="X1778" i="7"/>
  <c r="D1746" i="7"/>
  <c r="T1742" i="7"/>
  <c r="D1738" i="7"/>
  <c r="T1734" i="7"/>
  <c r="D1730" i="7"/>
  <c r="T1726" i="7"/>
  <c r="D1722" i="7"/>
  <c r="T1718" i="7"/>
  <c r="D1714" i="7"/>
  <c r="T1710" i="7"/>
  <c r="D1706" i="7"/>
  <c r="T1702" i="7"/>
  <c r="D1698" i="7"/>
  <c r="T1694" i="7"/>
  <c r="D1690" i="7"/>
  <c r="T1686" i="7"/>
  <c r="D1682" i="7"/>
  <c r="T1678" i="7"/>
  <c r="L1672" i="7"/>
  <c r="E1671" i="7"/>
  <c r="N1670" i="7"/>
  <c r="W1669" i="7"/>
  <c r="C1669" i="7"/>
  <c r="L1668" i="7"/>
  <c r="E1667" i="7"/>
  <c r="N1666" i="7"/>
  <c r="W1665" i="7"/>
  <c r="C1665" i="7"/>
  <c r="L1664" i="7"/>
  <c r="E1663" i="7"/>
  <c r="N1662" i="7"/>
  <c r="W1661" i="7"/>
  <c r="C1661" i="7"/>
  <c r="L1660" i="7"/>
  <c r="F1659" i="7"/>
  <c r="W1658" i="7"/>
  <c r="C1658" i="7"/>
  <c r="T1657" i="7"/>
  <c r="L1657" i="7"/>
  <c r="L1656" i="7"/>
  <c r="C1656" i="7"/>
  <c r="V1655" i="7"/>
  <c r="L1655" i="7"/>
  <c r="D1655" i="7"/>
  <c r="W1654" i="7"/>
  <c r="R1654" i="7"/>
  <c r="C1654" i="7"/>
  <c r="W1653" i="7"/>
  <c r="R1653" i="7"/>
  <c r="L1653" i="7"/>
  <c r="C1653" i="7"/>
  <c r="W1652" i="7"/>
  <c r="L1652" i="7"/>
  <c r="C1652" i="7"/>
  <c r="V1651" i="7"/>
  <c r="L1651" i="7"/>
  <c r="D1651" i="7"/>
  <c r="W1650" i="7"/>
  <c r="R1650" i="7"/>
  <c r="C1650" i="7"/>
  <c r="W1649" i="7"/>
  <c r="R1649" i="7"/>
  <c r="L1649" i="7"/>
  <c r="C1649" i="7"/>
  <c r="W1648" i="7"/>
  <c r="L1648" i="7"/>
  <c r="C1648" i="7"/>
  <c r="V1647" i="7"/>
  <c r="L1647" i="7"/>
  <c r="D1647" i="7"/>
  <c r="W1646" i="7"/>
  <c r="R1646" i="7"/>
  <c r="C1646" i="7"/>
  <c r="W1645" i="7"/>
  <c r="R1645" i="7"/>
  <c r="L1645" i="7"/>
  <c r="C1645" i="7"/>
  <c r="W1644" i="7"/>
  <c r="L1644" i="7"/>
  <c r="C1644" i="7"/>
  <c r="V1643" i="7"/>
  <c r="L1643" i="7"/>
  <c r="D1643" i="7"/>
  <c r="W1642" i="7"/>
  <c r="R1642" i="7"/>
  <c r="C1642" i="7"/>
  <c r="W1641" i="7"/>
  <c r="R1641" i="7"/>
  <c r="L1641" i="7"/>
  <c r="C1641" i="7"/>
  <c r="W1640" i="7"/>
  <c r="L1640" i="7"/>
  <c r="C1640" i="7"/>
  <c r="V1639" i="7"/>
  <c r="L1639" i="7"/>
  <c r="D1639" i="7"/>
  <c r="W1638" i="7"/>
  <c r="R1638" i="7"/>
  <c r="C1638" i="7"/>
  <c r="W1637" i="7"/>
  <c r="R1637" i="7"/>
  <c r="L1637" i="7"/>
  <c r="C1637" i="7"/>
  <c r="W1636" i="7"/>
  <c r="L1636" i="7"/>
  <c r="C1636" i="7"/>
  <c r="V1635" i="7"/>
  <c r="L1635" i="7"/>
  <c r="D1635" i="7"/>
  <c r="W1634" i="7"/>
  <c r="R1634" i="7"/>
  <c r="C1634" i="7"/>
  <c r="W1633" i="7"/>
  <c r="R1633" i="7"/>
  <c r="L1633" i="7"/>
  <c r="C1633" i="7"/>
  <c r="W1632" i="7"/>
  <c r="L1632" i="7"/>
  <c r="C1632" i="7"/>
  <c r="V1631" i="7"/>
  <c r="L1631" i="7"/>
  <c r="D1631" i="7"/>
  <c r="W1630" i="7"/>
  <c r="R1630" i="7"/>
  <c r="C1630" i="7"/>
  <c r="W1629" i="7"/>
  <c r="R1629" i="7"/>
  <c r="L1629" i="7"/>
  <c r="C1629" i="7"/>
  <c r="W1628" i="7"/>
  <c r="L1628" i="7"/>
  <c r="C1628" i="7"/>
  <c r="V1627" i="7"/>
  <c r="L1627" i="7"/>
  <c r="D1627" i="7"/>
  <c r="W1626" i="7"/>
  <c r="R1626" i="7"/>
  <c r="C1626" i="7"/>
  <c r="W1625" i="7"/>
  <c r="R1625" i="7"/>
  <c r="L1625" i="7"/>
  <c r="C1625" i="7"/>
  <c r="W1624" i="7"/>
  <c r="L1624" i="7"/>
  <c r="C1624" i="7"/>
  <c r="V1623" i="7"/>
  <c r="L1623" i="7"/>
  <c r="D1623" i="7"/>
  <c r="W1622" i="7"/>
  <c r="R1622" i="7"/>
  <c r="C1622" i="7"/>
  <c r="W1621" i="7"/>
  <c r="R1621" i="7"/>
  <c r="L1621" i="7"/>
  <c r="C1621" i="7"/>
  <c r="W1620" i="7"/>
  <c r="L1620" i="7"/>
  <c r="C1620" i="7"/>
  <c r="V1619" i="7"/>
  <c r="L1619" i="7"/>
  <c r="D1619" i="7"/>
  <c r="W1618" i="7"/>
  <c r="R1618" i="7"/>
  <c r="C1618" i="7"/>
  <c r="W1617" i="7"/>
  <c r="R1617" i="7"/>
  <c r="L1617" i="7"/>
  <c r="C1617" i="7"/>
  <c r="W1616" i="7"/>
  <c r="L1616" i="7"/>
  <c r="C1616" i="7"/>
  <c r="V1615" i="7"/>
  <c r="L1615" i="7"/>
  <c r="D1615" i="7"/>
  <c r="W1614" i="7"/>
  <c r="R1614" i="7"/>
  <c r="C1614" i="7"/>
  <c r="W1613" i="7"/>
  <c r="R1613" i="7"/>
  <c r="L1613" i="7"/>
  <c r="C1613" i="7"/>
  <c r="W1612" i="7"/>
  <c r="C1612" i="7"/>
  <c r="X1611" i="7"/>
  <c r="T1611" i="7"/>
  <c r="P1611" i="7"/>
  <c r="L1611" i="7"/>
  <c r="D1611" i="7"/>
  <c r="E1610" i="7"/>
  <c r="V1609" i="7"/>
  <c r="R1609" i="7"/>
  <c r="N1609" i="7"/>
  <c r="F1609" i="7"/>
  <c r="B1609" i="7"/>
  <c r="W1608" i="7"/>
  <c r="C1608" i="7"/>
  <c r="X1607" i="7"/>
  <c r="T1607" i="7"/>
  <c r="P1607" i="7"/>
  <c r="L1607" i="7"/>
  <c r="D1607" i="7"/>
  <c r="E1606" i="7"/>
  <c r="V1605" i="7"/>
  <c r="R1605" i="7"/>
  <c r="N1605" i="7"/>
  <c r="F1605" i="7"/>
  <c r="B1605" i="7"/>
  <c r="W1604" i="7"/>
  <c r="C1604" i="7"/>
  <c r="X1603" i="7"/>
  <c r="T1603" i="7"/>
  <c r="P1603" i="7"/>
  <c r="L1603" i="7"/>
  <c r="D1603" i="7"/>
  <c r="E1602" i="7"/>
  <c r="V1601" i="7"/>
  <c r="R1601" i="7"/>
  <c r="N1601" i="7"/>
  <c r="F1601" i="7"/>
  <c r="B1601" i="7"/>
  <c r="W1600" i="7"/>
  <c r="C1600" i="7"/>
  <c r="X1599" i="7"/>
  <c r="T1599" i="7"/>
  <c r="P1599" i="7"/>
  <c r="L1599" i="7"/>
  <c r="D1599" i="7"/>
  <c r="E1598" i="7"/>
  <c r="V1597" i="7"/>
  <c r="R1597" i="7"/>
  <c r="N1597" i="7"/>
  <c r="F1597" i="7"/>
  <c r="B1597" i="7"/>
  <c r="W1596" i="7"/>
  <c r="C1596" i="7"/>
  <c r="X1595" i="7"/>
  <c r="T1595" i="7"/>
  <c r="P1595" i="7"/>
  <c r="L1595" i="7"/>
  <c r="D1595" i="7"/>
  <c r="E1594" i="7"/>
  <c r="V1593" i="7"/>
  <c r="R1593" i="7"/>
  <c r="N1593" i="7"/>
  <c r="F1593" i="7"/>
  <c r="B1593" i="7"/>
  <c r="W1592" i="7"/>
  <c r="C1592" i="7"/>
  <c r="X1591" i="7"/>
  <c r="T1591" i="7"/>
  <c r="P1591" i="7"/>
  <c r="L1591" i="7"/>
  <c r="D1591" i="7"/>
  <c r="E1590" i="7"/>
  <c r="V1589" i="7"/>
  <c r="R1589" i="7"/>
  <c r="N1589" i="7"/>
  <c r="F1589" i="7"/>
  <c r="B1589" i="7"/>
  <c r="W1588" i="7"/>
  <c r="C1588" i="7"/>
  <c r="X1587" i="7"/>
  <c r="T1587" i="7"/>
  <c r="P1587" i="7"/>
  <c r="L1587" i="7"/>
  <c r="D1587" i="7"/>
  <c r="E1586" i="7"/>
  <c r="V1585" i="7"/>
  <c r="R1585" i="7"/>
  <c r="N1585" i="7"/>
  <c r="F1585" i="7"/>
  <c r="B1585" i="7"/>
  <c r="W1584" i="7"/>
  <c r="C1584" i="7"/>
  <c r="X1583" i="7"/>
  <c r="T1583" i="7"/>
  <c r="P1583" i="7"/>
  <c r="L1583" i="7"/>
  <c r="D1583" i="7"/>
  <c r="E1582" i="7"/>
  <c r="V1581" i="7"/>
  <c r="R1581" i="7"/>
  <c r="N1581" i="7"/>
  <c r="F1581" i="7"/>
  <c r="B1581" i="7"/>
  <c r="W1580" i="7"/>
  <c r="C1580" i="7"/>
  <c r="X1579" i="7"/>
  <c r="T1579" i="7"/>
  <c r="P1579" i="7"/>
  <c r="L1579" i="7"/>
  <c r="D1579" i="7"/>
  <c r="E1578" i="7"/>
  <c r="V1577" i="7"/>
  <c r="R1577" i="7"/>
  <c r="N1577" i="7"/>
  <c r="F1577" i="7"/>
  <c r="B1577" i="7"/>
  <c r="W1576" i="7"/>
  <c r="C1576" i="7"/>
  <c r="X1575" i="7"/>
  <c r="T1575" i="7"/>
  <c r="P1575" i="7"/>
  <c r="L1575" i="7"/>
  <c r="D1575" i="7"/>
  <c r="E1574" i="7"/>
  <c r="V1573" i="7"/>
  <c r="R1573" i="7"/>
  <c r="N1573" i="7"/>
  <c r="F1573" i="7"/>
  <c r="B1573" i="7"/>
  <c r="W1572" i="7"/>
  <c r="C1572" i="7"/>
  <c r="X1571" i="7"/>
  <c r="T1571" i="7"/>
  <c r="P1571" i="7"/>
  <c r="L1571" i="7"/>
  <c r="D1571" i="7"/>
  <c r="E1570" i="7"/>
  <c r="V1569" i="7"/>
  <c r="R1569" i="7"/>
  <c r="N1569" i="7"/>
  <c r="F1569" i="7"/>
  <c r="B1569" i="7"/>
  <c r="W1568" i="7"/>
  <c r="C1568" i="7"/>
  <c r="X1567" i="7"/>
  <c r="T1567" i="7"/>
  <c r="P1567" i="7"/>
  <c r="L1567" i="7"/>
  <c r="D1567" i="7"/>
  <c r="E1566" i="7"/>
  <c r="V1565" i="7"/>
  <c r="R1565" i="7"/>
  <c r="N1565" i="7"/>
  <c r="F1565" i="7"/>
  <c r="B1565" i="7"/>
  <c r="W1564" i="7"/>
  <c r="C1564" i="7"/>
  <c r="X1563" i="7"/>
  <c r="T1563" i="7"/>
  <c r="P1563" i="7"/>
  <c r="L1563" i="7"/>
  <c r="D1563" i="7"/>
  <c r="E1562" i="7"/>
  <c r="V1561" i="7"/>
  <c r="R1561" i="7"/>
  <c r="N1561" i="7"/>
  <c r="F1561" i="7"/>
  <c r="B1561" i="7"/>
  <c r="W1560" i="7"/>
  <c r="C1560" i="7"/>
  <c r="X1559" i="7"/>
  <c r="T1559" i="7"/>
  <c r="P1559" i="7"/>
  <c r="L1559" i="7"/>
  <c r="D1559" i="7"/>
  <c r="E1558" i="7"/>
  <c r="V1557" i="7"/>
  <c r="R1557" i="7"/>
  <c r="N1557" i="7"/>
  <c r="F1557" i="7"/>
  <c r="B1557" i="7"/>
  <c r="W1556" i="7"/>
  <c r="C1556" i="7"/>
  <c r="X1555" i="7"/>
  <c r="T1555" i="7"/>
  <c r="P1555" i="7"/>
  <c r="L1555" i="7"/>
  <c r="D1555" i="7"/>
  <c r="E1554" i="7"/>
  <c r="V1553" i="7"/>
  <c r="R1553" i="7"/>
  <c r="N1553" i="7"/>
  <c r="F1553" i="7"/>
  <c r="B1553" i="7"/>
  <c r="W1552" i="7"/>
  <c r="C1552" i="7"/>
  <c r="X1551" i="7"/>
  <c r="T1551" i="7"/>
  <c r="P1551" i="7"/>
  <c r="L1551" i="7"/>
  <c r="D1551" i="7"/>
  <c r="E1550" i="7"/>
  <c r="V1549" i="7"/>
  <c r="R1549" i="7"/>
  <c r="N1549" i="7"/>
  <c r="F1549" i="7"/>
  <c r="B1549" i="7"/>
  <c r="W1548" i="7"/>
  <c r="C1548" i="7"/>
  <c r="X1547" i="7"/>
  <c r="T1547" i="7"/>
  <c r="P1547" i="7"/>
  <c r="L1547" i="7"/>
  <c r="D1547" i="7"/>
  <c r="E1546" i="7"/>
  <c r="V1545" i="7"/>
  <c r="R1545" i="7"/>
  <c r="N1545" i="7"/>
  <c r="F1545" i="7"/>
  <c r="B1545" i="7"/>
  <c r="W1544" i="7"/>
  <c r="C1544" i="7"/>
  <c r="X1543" i="7"/>
  <c r="T1543" i="7"/>
  <c r="P1543" i="7"/>
  <c r="L1543" i="7"/>
  <c r="D1543" i="7"/>
  <c r="E1542" i="7"/>
  <c r="V1541" i="7"/>
  <c r="R1541" i="7"/>
  <c r="N1541" i="7"/>
  <c r="F1541" i="7"/>
  <c r="B1541" i="7"/>
  <c r="W1540" i="7"/>
  <c r="C1540" i="7"/>
  <c r="X1539" i="7"/>
  <c r="T1539" i="7"/>
  <c r="P1539" i="7"/>
  <c r="L1539" i="7"/>
  <c r="D1539" i="7"/>
  <c r="E1538" i="7"/>
  <c r="V1537" i="7"/>
  <c r="R1537" i="7"/>
  <c r="N1537" i="7"/>
  <c r="F1537" i="7"/>
  <c r="B1537" i="7"/>
  <c r="W1536" i="7"/>
  <c r="C1536" i="7"/>
  <c r="X1535" i="7"/>
  <c r="T1535" i="7"/>
  <c r="P1535" i="7"/>
  <c r="L1535" i="7"/>
  <c r="D1535" i="7"/>
  <c r="E1534" i="7"/>
  <c r="V1533" i="7"/>
  <c r="R1533" i="7"/>
  <c r="N1533" i="7"/>
  <c r="F1533" i="7"/>
  <c r="B1533" i="7"/>
  <c r="W1532" i="7"/>
  <c r="C1532" i="7"/>
  <c r="X1531" i="7"/>
  <c r="T1531" i="7"/>
  <c r="P1531" i="7"/>
  <c r="L1531" i="7"/>
  <c r="D1531" i="7"/>
  <c r="E1530" i="7"/>
  <c r="V1529" i="7"/>
  <c r="R1529" i="7"/>
  <c r="N1529" i="7"/>
  <c r="F1529" i="7"/>
  <c r="B1529" i="7"/>
  <c r="W1528" i="7"/>
  <c r="C1528" i="7"/>
  <c r="X1527" i="7"/>
  <c r="T1527" i="7"/>
  <c r="P1527" i="7"/>
  <c r="L1527" i="7"/>
  <c r="D1527" i="7"/>
  <c r="E1526" i="7"/>
  <c r="V1525" i="7"/>
  <c r="R1525" i="7"/>
  <c r="N1525" i="7"/>
  <c r="F1525" i="7"/>
  <c r="B1525" i="7"/>
  <c r="W1524" i="7"/>
  <c r="C1524" i="7"/>
  <c r="X1523" i="7"/>
  <c r="T1523" i="7"/>
  <c r="P1523" i="7"/>
  <c r="L1523" i="7"/>
  <c r="D1523" i="7"/>
  <c r="E1522" i="7"/>
  <c r="V1521" i="7"/>
  <c r="R1521" i="7"/>
  <c r="N1521" i="7"/>
  <c r="F1521" i="7"/>
  <c r="B1521" i="7"/>
  <c r="W1520" i="7"/>
  <c r="C1520" i="7"/>
  <c r="X1519" i="7"/>
  <c r="T1519" i="7"/>
  <c r="P1519" i="7"/>
  <c r="L1519" i="7"/>
  <c r="D1519" i="7"/>
  <c r="E1518" i="7"/>
  <c r="V1517" i="7"/>
  <c r="R1517" i="7"/>
  <c r="N1517" i="7"/>
  <c r="F1517" i="7"/>
  <c r="B1517" i="7"/>
  <c r="W1516" i="7"/>
  <c r="C1516" i="7"/>
  <c r="X1515" i="7"/>
  <c r="T1515" i="7"/>
  <c r="P1515" i="7"/>
  <c r="L1515" i="7"/>
  <c r="D1515" i="7"/>
  <c r="E1514" i="7"/>
  <c r="V1513" i="7"/>
  <c r="R1513" i="7"/>
  <c r="N1513" i="7"/>
  <c r="F1513" i="7"/>
  <c r="B1513" i="7"/>
  <c r="W1512" i="7"/>
  <c r="C1512" i="7"/>
  <c r="X1511" i="7"/>
  <c r="T1511" i="7"/>
  <c r="P1511" i="7"/>
  <c r="L1511" i="7"/>
  <c r="D1511" i="7"/>
  <c r="E1510" i="7"/>
  <c r="V1509" i="7"/>
  <c r="R1509" i="7"/>
  <c r="N1509" i="7"/>
  <c r="F1509" i="7"/>
  <c r="B1509" i="7"/>
  <c r="W1508" i="7"/>
  <c r="C1508" i="7"/>
  <c r="X1507" i="7"/>
  <c r="T1507" i="7"/>
  <c r="P1507" i="7"/>
  <c r="L1507" i="7"/>
  <c r="D1507" i="7"/>
  <c r="E1506" i="7"/>
  <c r="V1505" i="7"/>
  <c r="R1505" i="7"/>
  <c r="N1505" i="7"/>
  <c r="F1505" i="7"/>
  <c r="B1505" i="7"/>
  <c r="W1504" i="7"/>
  <c r="C1504" i="7"/>
  <c r="X1503" i="7"/>
  <c r="T1503" i="7"/>
  <c r="P1503" i="7"/>
  <c r="L1503" i="7"/>
  <c r="D1503" i="7"/>
  <c r="E1502" i="7"/>
  <c r="V1501" i="7"/>
  <c r="R1501" i="7"/>
  <c r="N1501" i="7"/>
  <c r="F1501" i="7"/>
  <c r="B1501" i="7"/>
  <c r="W1500" i="7"/>
  <c r="C1500" i="7"/>
  <c r="X1499" i="7"/>
  <c r="T1499" i="7"/>
  <c r="P1499" i="7"/>
  <c r="L1499" i="7"/>
  <c r="D1499" i="7"/>
  <c r="E1498" i="7"/>
  <c r="V1497" i="7"/>
  <c r="R1497" i="7"/>
  <c r="N1497" i="7"/>
  <c r="X1748" i="7"/>
  <c r="F1720" i="7"/>
  <c r="V1716" i="7"/>
  <c r="F1688" i="7"/>
  <c r="V1684" i="7"/>
  <c r="N1659" i="7"/>
  <c r="N1658" i="7"/>
  <c r="B1655" i="7"/>
  <c r="B1654" i="7"/>
  <c r="B1653" i="7"/>
  <c r="B1651" i="7"/>
  <c r="B1650" i="7"/>
  <c r="B1649" i="7"/>
  <c r="B1647" i="7"/>
  <c r="B1646" i="7"/>
  <c r="B1645" i="7"/>
  <c r="B1643" i="7"/>
  <c r="B1642" i="7"/>
  <c r="B1641" i="7"/>
  <c r="B1639" i="7"/>
  <c r="B1638" i="7"/>
  <c r="B1637" i="7"/>
  <c r="B1635" i="7"/>
  <c r="B1634" i="7"/>
  <c r="B1633" i="7"/>
  <c r="B1631" i="7"/>
  <c r="B1630" i="7"/>
  <c r="B1629" i="7"/>
  <c r="B1627" i="7"/>
  <c r="B1626" i="7"/>
  <c r="B1625" i="7"/>
  <c r="B1623" i="7"/>
  <c r="B1622" i="7"/>
  <c r="B1621" i="7"/>
  <c r="B1619" i="7"/>
  <c r="B1618" i="7"/>
  <c r="B1617" i="7"/>
  <c r="B1615" i="7"/>
  <c r="B1614" i="7"/>
  <c r="B1613" i="7"/>
  <c r="X1610" i="7"/>
  <c r="X1606" i="7"/>
  <c r="X1602" i="7"/>
  <c r="X1598" i="7"/>
  <c r="X1594" i="7"/>
  <c r="X1590" i="7"/>
  <c r="X1586" i="7"/>
  <c r="X1582" i="7"/>
  <c r="X1578" i="7"/>
  <c r="X1574" i="7"/>
  <c r="X1570" i="7"/>
  <c r="X1566" i="7"/>
  <c r="X1562" i="7"/>
  <c r="X1558" i="7"/>
  <c r="X1554" i="7"/>
  <c r="X1550" i="7"/>
  <c r="X1546" i="7"/>
  <c r="X1542" i="7"/>
  <c r="X1538" i="7"/>
  <c r="X1534" i="7"/>
  <c r="X1530" i="7"/>
  <c r="X1526" i="7"/>
  <c r="X1522" i="7"/>
  <c r="X1518" i="7"/>
  <c r="X1514" i="7"/>
  <c r="X1510" i="7"/>
  <c r="X1506" i="7"/>
  <c r="X1502" i="7"/>
  <c r="X1498" i="7"/>
  <c r="E1497" i="7"/>
  <c r="V1496" i="7"/>
  <c r="N1496" i="7"/>
  <c r="B1496" i="7"/>
  <c r="X1494" i="7"/>
  <c r="L1494" i="7"/>
  <c r="D1494" i="7"/>
  <c r="W1493" i="7"/>
  <c r="R1493" i="7"/>
  <c r="C1493" i="7"/>
  <c r="W1492" i="7"/>
  <c r="R1492" i="7"/>
  <c r="L1492" i="7"/>
  <c r="C1492" i="7"/>
  <c r="W1491" i="7"/>
  <c r="L1491" i="7"/>
  <c r="C1491" i="7"/>
  <c r="V1490" i="7"/>
  <c r="L1490" i="7"/>
  <c r="D1490" i="7"/>
  <c r="W1489" i="7"/>
  <c r="R1489" i="7"/>
  <c r="C1489" i="7"/>
  <c r="W1488" i="7"/>
  <c r="R1488" i="7"/>
  <c r="E1488" i="7"/>
  <c r="V1487" i="7"/>
  <c r="R1487" i="7"/>
  <c r="N1487" i="7"/>
  <c r="F1487" i="7"/>
  <c r="B1487" i="7"/>
  <c r="W1486" i="7"/>
  <c r="C1486" i="7"/>
  <c r="X1485" i="7"/>
  <c r="T1485" i="7"/>
  <c r="P1485" i="7"/>
  <c r="L1485" i="7"/>
  <c r="D1485" i="7"/>
  <c r="E1484" i="7"/>
  <c r="V1483" i="7"/>
  <c r="R1483" i="7"/>
  <c r="N1483" i="7"/>
  <c r="F1483" i="7"/>
  <c r="B1483" i="7"/>
  <c r="W1482" i="7"/>
  <c r="C1482" i="7"/>
  <c r="X1481" i="7"/>
  <c r="T1481" i="7"/>
  <c r="P1481" i="7"/>
  <c r="L1481" i="7"/>
  <c r="D1481" i="7"/>
  <c r="E1480" i="7"/>
  <c r="V1479" i="7"/>
  <c r="R1479" i="7"/>
  <c r="N1479" i="7"/>
  <c r="F1479" i="7"/>
  <c r="B1479" i="7"/>
  <c r="W1478" i="7"/>
  <c r="C1478" i="7"/>
  <c r="X1477" i="7"/>
  <c r="T1477" i="7"/>
  <c r="P1477" i="7"/>
  <c r="L1477" i="7"/>
  <c r="D1477" i="7"/>
  <c r="E1476" i="7"/>
  <c r="V1475" i="7"/>
  <c r="R1475" i="7"/>
  <c r="N1475" i="7"/>
  <c r="F1475" i="7"/>
  <c r="B1475" i="7"/>
  <c r="W1474" i="7"/>
  <c r="C1474" i="7"/>
  <c r="X1473" i="7"/>
  <c r="T1473" i="7"/>
  <c r="P1473" i="7"/>
  <c r="L1473" i="7"/>
  <c r="D1473" i="7"/>
  <c r="E1472" i="7"/>
  <c r="V1471" i="7"/>
  <c r="R1471" i="7"/>
  <c r="N1471" i="7"/>
  <c r="F1471" i="7"/>
  <c r="B1471" i="7"/>
  <c r="W1470" i="7"/>
  <c r="C1470" i="7"/>
  <c r="X1469" i="7"/>
  <c r="T1469" i="7"/>
  <c r="P1469" i="7"/>
  <c r="L1469" i="7"/>
  <c r="D1469" i="7"/>
  <c r="E1468" i="7"/>
  <c r="V1467" i="7"/>
  <c r="R1467" i="7"/>
  <c r="N1467" i="7"/>
  <c r="F1467" i="7"/>
  <c r="B1467" i="7"/>
  <c r="W1466" i="7"/>
  <c r="C1466" i="7"/>
  <c r="X1465" i="7"/>
  <c r="T1465" i="7"/>
  <c r="P1465" i="7"/>
  <c r="L1465" i="7"/>
  <c r="D1465" i="7"/>
  <c r="E1464" i="7"/>
  <c r="V1463" i="7"/>
  <c r="R1463" i="7"/>
  <c r="N1463" i="7"/>
  <c r="F1463" i="7"/>
  <c r="B1463" i="7"/>
  <c r="W1462" i="7"/>
  <c r="C1462" i="7"/>
  <c r="X1461" i="7"/>
  <c r="T1461" i="7"/>
  <c r="P1461" i="7"/>
  <c r="L1461" i="7"/>
  <c r="D1461" i="7"/>
  <c r="E1460" i="7"/>
  <c r="V1459" i="7"/>
  <c r="R1459" i="7"/>
  <c r="N1459" i="7"/>
  <c r="F1459" i="7"/>
  <c r="B1459" i="7"/>
  <c r="W1458" i="7"/>
  <c r="C1458" i="7"/>
  <c r="X1457" i="7"/>
  <c r="T1457" i="7"/>
  <c r="P1457" i="7"/>
  <c r="L1457" i="7"/>
  <c r="D1457" i="7"/>
  <c r="E1456" i="7"/>
  <c r="V1455" i="7"/>
  <c r="R1455" i="7"/>
  <c r="N1455" i="7"/>
  <c r="F1455" i="7"/>
  <c r="B1455" i="7"/>
  <c r="W1454" i="7"/>
  <c r="C1454" i="7"/>
  <c r="X1453" i="7"/>
  <c r="T1453" i="7"/>
  <c r="P1453" i="7"/>
  <c r="L1453" i="7"/>
  <c r="D1453" i="7"/>
  <c r="E1452" i="7"/>
  <c r="V1451" i="7"/>
  <c r="R1451" i="7"/>
  <c r="N1451" i="7"/>
  <c r="F1451" i="7"/>
  <c r="B1451" i="7"/>
  <c r="W1450" i="7"/>
  <c r="C1450" i="7"/>
  <c r="X1449" i="7"/>
  <c r="T1449" i="7"/>
  <c r="P1449" i="7"/>
  <c r="L1449" i="7"/>
  <c r="D1449" i="7"/>
  <c r="E1448" i="7"/>
  <c r="V1447" i="7"/>
  <c r="R1447" i="7"/>
  <c r="N1447" i="7"/>
  <c r="F1447" i="7"/>
  <c r="B1447" i="7"/>
  <c r="W1446" i="7"/>
  <c r="C1446" i="7"/>
  <c r="X1445" i="7"/>
  <c r="T1445" i="7"/>
  <c r="P1445" i="7"/>
  <c r="L1445" i="7"/>
  <c r="D1445" i="7"/>
  <c r="E1444" i="7"/>
  <c r="V1443" i="7"/>
  <c r="R1443" i="7"/>
  <c r="N1443" i="7"/>
  <c r="F1443" i="7"/>
  <c r="B1443" i="7"/>
  <c r="W1442" i="7"/>
  <c r="C1442" i="7"/>
  <c r="X1441" i="7"/>
  <c r="T1441" i="7"/>
  <c r="P1441" i="7"/>
  <c r="L1441" i="7"/>
  <c r="D1441" i="7"/>
  <c r="E1440" i="7"/>
  <c r="V1439" i="7"/>
  <c r="X1772" i="7"/>
  <c r="F1728" i="7"/>
  <c r="V1724" i="7"/>
  <c r="F1696" i="7"/>
  <c r="V1692" i="7"/>
  <c r="B1673" i="7"/>
  <c r="X1668" i="7"/>
  <c r="X1664" i="7"/>
  <c r="X1660" i="7"/>
  <c r="X1656" i="7"/>
  <c r="V1654" i="7"/>
  <c r="V1653" i="7"/>
  <c r="V1650" i="7"/>
  <c r="V1649" i="7"/>
  <c r="V1646" i="7"/>
  <c r="V1645" i="7"/>
  <c r="V1642" i="7"/>
  <c r="V1641" i="7"/>
  <c r="V1638" i="7"/>
  <c r="V1637" i="7"/>
  <c r="V1634" i="7"/>
  <c r="V1633" i="7"/>
  <c r="V1630" i="7"/>
  <c r="V1629" i="7"/>
  <c r="V1626" i="7"/>
  <c r="V1625" i="7"/>
  <c r="V1622" i="7"/>
  <c r="V1621" i="7"/>
  <c r="V1618" i="7"/>
  <c r="V1617" i="7"/>
  <c r="V1614" i="7"/>
  <c r="V1613" i="7"/>
  <c r="V1612" i="7"/>
  <c r="F1612" i="7"/>
  <c r="T1610" i="7"/>
  <c r="D1610" i="7"/>
  <c r="V1608" i="7"/>
  <c r="F1608" i="7"/>
  <c r="T1606" i="7"/>
  <c r="D1606" i="7"/>
  <c r="V1604" i="7"/>
  <c r="F1604" i="7"/>
  <c r="T1602" i="7"/>
  <c r="D1602" i="7"/>
  <c r="V1600" i="7"/>
  <c r="F1600" i="7"/>
  <c r="T1598" i="7"/>
  <c r="D1598" i="7"/>
  <c r="V1596" i="7"/>
  <c r="F1596" i="7"/>
  <c r="T1594" i="7"/>
  <c r="D1594" i="7"/>
  <c r="V1592" i="7"/>
  <c r="F1592" i="7"/>
  <c r="T1590" i="7"/>
  <c r="D1590" i="7"/>
  <c r="V1588" i="7"/>
  <c r="F1588" i="7"/>
  <c r="T1586" i="7"/>
  <c r="D1586" i="7"/>
  <c r="V1584" i="7"/>
  <c r="F1584" i="7"/>
  <c r="T1582" i="7"/>
  <c r="D1582" i="7"/>
  <c r="V1580" i="7"/>
  <c r="F1580" i="7"/>
  <c r="T1578" i="7"/>
  <c r="D1578" i="7"/>
  <c r="V1576" i="7"/>
  <c r="F1576" i="7"/>
  <c r="T1574" i="7"/>
  <c r="D1574" i="7"/>
  <c r="V1572" i="7"/>
  <c r="F1572" i="7"/>
  <c r="T1570" i="7"/>
  <c r="D1570" i="7"/>
  <c r="V1568" i="7"/>
  <c r="F1568" i="7"/>
  <c r="T1566" i="7"/>
  <c r="D1566" i="7"/>
  <c r="V1564" i="7"/>
  <c r="F1564" i="7"/>
  <c r="T1562" i="7"/>
  <c r="D1562" i="7"/>
  <c r="V1560" i="7"/>
  <c r="F1560" i="7"/>
  <c r="T1558" i="7"/>
  <c r="D1558" i="7"/>
  <c r="V1556" i="7"/>
  <c r="F1556" i="7"/>
  <c r="T1554" i="7"/>
  <c r="D1554" i="7"/>
  <c r="V1552" i="7"/>
  <c r="F1552" i="7"/>
  <c r="T1550" i="7"/>
  <c r="D1550" i="7"/>
  <c r="V1548" i="7"/>
  <c r="F1548" i="7"/>
  <c r="T1546" i="7"/>
  <c r="D1546" i="7"/>
  <c r="V1544" i="7"/>
  <c r="F1544" i="7"/>
  <c r="T1542" i="7"/>
  <c r="D1542" i="7"/>
  <c r="V1540" i="7"/>
  <c r="F1540" i="7"/>
  <c r="T1538" i="7"/>
  <c r="D1538" i="7"/>
  <c r="V1536" i="7"/>
  <c r="F1536" i="7"/>
  <c r="T1534" i="7"/>
  <c r="D1534" i="7"/>
  <c r="V1532" i="7"/>
  <c r="F1532" i="7"/>
  <c r="T1530" i="7"/>
  <c r="D1530" i="7"/>
  <c r="V1528" i="7"/>
  <c r="F1528" i="7"/>
  <c r="T1526" i="7"/>
  <c r="D1526" i="7"/>
  <c r="V1524" i="7"/>
  <c r="F1524" i="7"/>
  <c r="T1522" i="7"/>
  <c r="D1522" i="7"/>
  <c r="V1520" i="7"/>
  <c r="F1520" i="7"/>
  <c r="T1518" i="7"/>
  <c r="D1518" i="7"/>
  <c r="V1516" i="7"/>
  <c r="F1516" i="7"/>
  <c r="T1514" i="7"/>
  <c r="D1514" i="7"/>
  <c r="V1512" i="7"/>
  <c r="F1512" i="7"/>
  <c r="T1510" i="7"/>
  <c r="D1510" i="7"/>
  <c r="V1508" i="7"/>
  <c r="F1508" i="7"/>
  <c r="T1506" i="7"/>
  <c r="D1506" i="7"/>
  <c r="V1504" i="7"/>
  <c r="F1504" i="7"/>
  <c r="T1502" i="7"/>
  <c r="D1502" i="7"/>
  <c r="V1500" i="7"/>
  <c r="F1500" i="7"/>
  <c r="T1498" i="7"/>
  <c r="D1498" i="7"/>
  <c r="B1497" i="7"/>
  <c r="X1495" i="7"/>
  <c r="P1495" i="7"/>
  <c r="D1495" i="7"/>
  <c r="P1494" i="7"/>
  <c r="B1494" i="7"/>
  <c r="V1493" i="7"/>
  <c r="B1493" i="7"/>
  <c r="V1492" i="7"/>
  <c r="P1492" i="7"/>
  <c r="B1492" i="7"/>
  <c r="P1491" i="7"/>
  <c r="P1490" i="7"/>
  <c r="B1490" i="7"/>
  <c r="V1489" i="7"/>
  <c r="B1489" i="7"/>
  <c r="V1488" i="7"/>
  <c r="P1488" i="7"/>
  <c r="L1488" i="7"/>
  <c r="D1488" i="7"/>
  <c r="E1487" i="7"/>
  <c r="V1486" i="7"/>
  <c r="R1486" i="7"/>
  <c r="N1486" i="7"/>
  <c r="F1486" i="7"/>
  <c r="B1486" i="7"/>
  <c r="W1485" i="7"/>
  <c r="C1485" i="7"/>
  <c r="X1484" i="7"/>
  <c r="T1484" i="7"/>
  <c r="P1484" i="7"/>
  <c r="L1484" i="7"/>
  <c r="D1484" i="7"/>
  <c r="E1483" i="7"/>
  <c r="V1482" i="7"/>
  <c r="R1482" i="7"/>
  <c r="N1482" i="7"/>
  <c r="F1482" i="7"/>
  <c r="B1482" i="7"/>
  <c r="W1481" i="7"/>
  <c r="C1481" i="7"/>
  <c r="X1480" i="7"/>
  <c r="T1480" i="7"/>
  <c r="P1480" i="7"/>
  <c r="L1480" i="7"/>
  <c r="D1480" i="7"/>
  <c r="E1479" i="7"/>
  <c r="V1478" i="7"/>
  <c r="R1478" i="7"/>
  <c r="N1478" i="7"/>
  <c r="F1478" i="7"/>
  <c r="B1478" i="7"/>
  <c r="W1477" i="7"/>
  <c r="C1477" i="7"/>
  <c r="X1476" i="7"/>
  <c r="T1476" i="7"/>
  <c r="P1476" i="7"/>
  <c r="L1476" i="7"/>
  <c r="D1476" i="7"/>
  <c r="E1475" i="7"/>
  <c r="V1474" i="7"/>
  <c r="R1474" i="7"/>
  <c r="N1474" i="7"/>
  <c r="F1474" i="7"/>
  <c r="B1474" i="7"/>
  <c r="W1473" i="7"/>
  <c r="C1473" i="7"/>
  <c r="X1472" i="7"/>
  <c r="T1472" i="7"/>
  <c r="P1472" i="7"/>
  <c r="L1472" i="7"/>
  <c r="D1472" i="7"/>
  <c r="E1471" i="7"/>
  <c r="V1470" i="7"/>
  <c r="R1470" i="7"/>
  <c r="N1470" i="7"/>
  <c r="F1470" i="7"/>
  <c r="B1470" i="7"/>
  <c r="W1469" i="7"/>
  <c r="C1469" i="7"/>
  <c r="X1468" i="7"/>
  <c r="T1468" i="7"/>
  <c r="P1468" i="7"/>
  <c r="L1468" i="7"/>
  <c r="D1468" i="7"/>
  <c r="E1467" i="7"/>
  <c r="V1466" i="7"/>
  <c r="R1466" i="7"/>
  <c r="N1466" i="7"/>
  <c r="F1466" i="7"/>
  <c r="B1466" i="7"/>
  <c r="W1465" i="7"/>
  <c r="C1465" i="7"/>
  <c r="X1464" i="7"/>
  <c r="T1464" i="7"/>
  <c r="P1464" i="7"/>
  <c r="L1464" i="7"/>
  <c r="D1464" i="7"/>
  <c r="E1463" i="7"/>
  <c r="V1462" i="7"/>
  <c r="R1462" i="7"/>
  <c r="N1462" i="7"/>
  <c r="F1462" i="7"/>
  <c r="B1462" i="7"/>
  <c r="W1461" i="7"/>
  <c r="C1461" i="7"/>
  <c r="X1460" i="7"/>
  <c r="T1460" i="7"/>
  <c r="P1460" i="7"/>
  <c r="L1460" i="7"/>
  <c r="D1460" i="7"/>
  <c r="E1459" i="7"/>
  <c r="V1458" i="7"/>
  <c r="R1458" i="7"/>
  <c r="N1458" i="7"/>
  <c r="F1458" i="7"/>
  <c r="B1458" i="7"/>
  <c r="W1457" i="7"/>
  <c r="C1457" i="7"/>
  <c r="X1456" i="7"/>
  <c r="T1456" i="7"/>
  <c r="P1456" i="7"/>
  <c r="L1456" i="7"/>
  <c r="D1456" i="7"/>
  <c r="E1455" i="7"/>
  <c r="V1454" i="7"/>
  <c r="R1454" i="7"/>
  <c r="N1454" i="7"/>
  <c r="F1454" i="7"/>
  <c r="B1454" i="7"/>
  <c r="W1453" i="7"/>
  <c r="C1453" i="7"/>
  <c r="X1452" i="7"/>
  <c r="T1452" i="7"/>
  <c r="P1452" i="7"/>
  <c r="L1452" i="7"/>
  <c r="D1452" i="7"/>
  <c r="E1451" i="7"/>
  <c r="V1450" i="7"/>
  <c r="R1450" i="7"/>
  <c r="N1450" i="7"/>
  <c r="F1450" i="7"/>
  <c r="B1450" i="7"/>
  <c r="W1449" i="7"/>
  <c r="C1449" i="7"/>
  <c r="X1448" i="7"/>
  <c r="T1448" i="7"/>
  <c r="P1448" i="7"/>
  <c r="L1448" i="7"/>
  <c r="D1448" i="7"/>
  <c r="E1447" i="7"/>
  <c r="V1446" i="7"/>
  <c r="R1446" i="7"/>
  <c r="N1446" i="7"/>
  <c r="F1446" i="7"/>
  <c r="B1446" i="7"/>
  <c r="W1445" i="7"/>
  <c r="C1445" i="7"/>
  <c r="X1444" i="7"/>
  <c r="T1444" i="7"/>
  <c r="P1444" i="7"/>
  <c r="L1444" i="7"/>
  <c r="D1444" i="7"/>
  <c r="E1443" i="7"/>
  <c r="V1442" i="7"/>
  <c r="R1442" i="7"/>
  <c r="N1442" i="7"/>
  <c r="F1442" i="7"/>
  <c r="B1442" i="7"/>
  <c r="W1441" i="7"/>
  <c r="C1441" i="7"/>
  <c r="X1440" i="7"/>
  <c r="X1797" i="7"/>
  <c r="X1764" i="7"/>
  <c r="F1736" i="7"/>
  <c r="V1732" i="7"/>
  <c r="F1704" i="7"/>
  <c r="V1700" i="7"/>
  <c r="E1659" i="7"/>
  <c r="B1658" i="7"/>
  <c r="P1656" i="7"/>
  <c r="P1655" i="7"/>
  <c r="P1653" i="7"/>
  <c r="P1652" i="7"/>
  <c r="P1651" i="7"/>
  <c r="P1649" i="7"/>
  <c r="P1648" i="7"/>
  <c r="P1647" i="7"/>
  <c r="P1645" i="7"/>
  <c r="P1644" i="7"/>
  <c r="P1643" i="7"/>
  <c r="P1641" i="7"/>
  <c r="P1640" i="7"/>
  <c r="P1639" i="7"/>
  <c r="P1637" i="7"/>
  <c r="P1636" i="7"/>
  <c r="P1635" i="7"/>
  <c r="P1633" i="7"/>
  <c r="P1632" i="7"/>
  <c r="P1631" i="7"/>
  <c r="P1629" i="7"/>
  <c r="P1628" i="7"/>
  <c r="P1627" i="7"/>
  <c r="P1625" i="7"/>
  <c r="P1624" i="7"/>
  <c r="P1623" i="7"/>
  <c r="P1621" i="7"/>
  <c r="P1620" i="7"/>
  <c r="P1619" i="7"/>
  <c r="P1617" i="7"/>
  <c r="P1616" i="7"/>
  <c r="P1615" i="7"/>
  <c r="P1613" i="7"/>
  <c r="R1612" i="7"/>
  <c r="B1612" i="7"/>
  <c r="P1610" i="7"/>
  <c r="R1608" i="7"/>
  <c r="B1608" i="7"/>
  <c r="P1606" i="7"/>
  <c r="R1604" i="7"/>
  <c r="B1604" i="7"/>
  <c r="P1602" i="7"/>
  <c r="R1600" i="7"/>
  <c r="B1600" i="7"/>
  <c r="P1598" i="7"/>
  <c r="R1596" i="7"/>
  <c r="B1596" i="7"/>
  <c r="P1594" i="7"/>
  <c r="R1592" i="7"/>
  <c r="B1592" i="7"/>
  <c r="P1590" i="7"/>
  <c r="R1588" i="7"/>
  <c r="B1588" i="7"/>
  <c r="P1586" i="7"/>
  <c r="R1584" i="7"/>
  <c r="B1584" i="7"/>
  <c r="P1582" i="7"/>
  <c r="R1580" i="7"/>
  <c r="B1580" i="7"/>
  <c r="P1578" i="7"/>
  <c r="R1576" i="7"/>
  <c r="B1576" i="7"/>
  <c r="P1574" i="7"/>
  <c r="R1572" i="7"/>
  <c r="B1572" i="7"/>
  <c r="P1570" i="7"/>
  <c r="R1568" i="7"/>
  <c r="B1568" i="7"/>
  <c r="P1566" i="7"/>
  <c r="R1564" i="7"/>
  <c r="B1564" i="7"/>
  <c r="P1562" i="7"/>
  <c r="R1560" i="7"/>
  <c r="B1560" i="7"/>
  <c r="P1558" i="7"/>
  <c r="R1556" i="7"/>
  <c r="B1556" i="7"/>
  <c r="P1554" i="7"/>
  <c r="R1552" i="7"/>
  <c r="B1552" i="7"/>
  <c r="P1550" i="7"/>
  <c r="R1548" i="7"/>
  <c r="B1548" i="7"/>
  <c r="P1546" i="7"/>
  <c r="R1544" i="7"/>
  <c r="B1544" i="7"/>
  <c r="P1542" i="7"/>
  <c r="R1540" i="7"/>
  <c r="B1540" i="7"/>
  <c r="P1538" i="7"/>
  <c r="R1536" i="7"/>
  <c r="B1536" i="7"/>
  <c r="P1534" i="7"/>
  <c r="R1532" i="7"/>
  <c r="B1532" i="7"/>
  <c r="P1530" i="7"/>
  <c r="R1528" i="7"/>
  <c r="B1528" i="7"/>
  <c r="P1526" i="7"/>
  <c r="R1524" i="7"/>
  <c r="B1524" i="7"/>
  <c r="P1522" i="7"/>
  <c r="R1520" i="7"/>
  <c r="B1520" i="7"/>
  <c r="P1518" i="7"/>
  <c r="R1516" i="7"/>
  <c r="B1516" i="7"/>
  <c r="P1514" i="7"/>
  <c r="R1512" i="7"/>
  <c r="B1512" i="7"/>
  <c r="P1510" i="7"/>
  <c r="R1508" i="7"/>
  <c r="B1508" i="7"/>
  <c r="P1506" i="7"/>
  <c r="R1504" i="7"/>
  <c r="B1504" i="7"/>
  <c r="P1502" i="7"/>
  <c r="R1500" i="7"/>
  <c r="B1500" i="7"/>
  <c r="P1498" i="7"/>
  <c r="R1496" i="7"/>
  <c r="F1496" i="7"/>
  <c r="W1495" i="7"/>
  <c r="C1495" i="7"/>
  <c r="T1494" i="7"/>
  <c r="N1494" i="7"/>
  <c r="F1494" i="7"/>
  <c r="F1493" i="7"/>
  <c r="T1492" i="7"/>
  <c r="F1492" i="7"/>
  <c r="T1491" i="7"/>
  <c r="E1491" i="7"/>
  <c r="T1490" i="7"/>
  <c r="N1490" i="7"/>
  <c r="F1490" i="7"/>
  <c r="F1489" i="7"/>
  <c r="T1488" i="7"/>
  <c r="C1488" i="7"/>
  <c r="X1487" i="7"/>
  <c r="T1487" i="7"/>
  <c r="P1487" i="7"/>
  <c r="L1487" i="7"/>
  <c r="D1487" i="7"/>
  <c r="E1486" i="7"/>
  <c r="V1485" i="7"/>
  <c r="R1485" i="7"/>
  <c r="N1485" i="7"/>
  <c r="F1485" i="7"/>
  <c r="B1485" i="7"/>
  <c r="W1484" i="7"/>
  <c r="C1484" i="7"/>
  <c r="X1483" i="7"/>
  <c r="T1483" i="7"/>
  <c r="P1483" i="7"/>
  <c r="L1483" i="7"/>
  <c r="D1483" i="7"/>
  <c r="E1482" i="7"/>
  <c r="V1481" i="7"/>
  <c r="R1481" i="7"/>
  <c r="N1481" i="7"/>
  <c r="F1481" i="7"/>
  <c r="B1481" i="7"/>
  <c r="W1480" i="7"/>
  <c r="C1480" i="7"/>
  <c r="X1479" i="7"/>
  <c r="T1479" i="7"/>
  <c r="P1479" i="7"/>
  <c r="L1479" i="7"/>
  <c r="D1479" i="7"/>
  <c r="E1478" i="7"/>
  <c r="V1477" i="7"/>
  <c r="R1477" i="7"/>
  <c r="N1477" i="7"/>
  <c r="F1477" i="7"/>
  <c r="B1477" i="7"/>
  <c r="W1476" i="7"/>
  <c r="C1476" i="7"/>
  <c r="X1475" i="7"/>
  <c r="T1475" i="7"/>
  <c r="P1475" i="7"/>
  <c r="L1475" i="7"/>
  <c r="D1475" i="7"/>
  <c r="E1474" i="7"/>
  <c r="V1473" i="7"/>
  <c r="R1473" i="7"/>
  <c r="N1473" i="7"/>
  <c r="F1473" i="7"/>
  <c r="B1473" i="7"/>
  <c r="W1472" i="7"/>
  <c r="C1472" i="7"/>
  <c r="X1471" i="7"/>
  <c r="T1471" i="7"/>
  <c r="P1471" i="7"/>
  <c r="L1471" i="7"/>
  <c r="D1471" i="7"/>
  <c r="E1470" i="7"/>
  <c r="V1469" i="7"/>
  <c r="R1469" i="7"/>
  <c r="N1469" i="7"/>
  <c r="F1469" i="7"/>
  <c r="B1469" i="7"/>
  <c r="W1468" i="7"/>
  <c r="C1468" i="7"/>
  <c r="X1467" i="7"/>
  <c r="T1467" i="7"/>
  <c r="P1467" i="7"/>
  <c r="L1467" i="7"/>
  <c r="D1467" i="7"/>
  <c r="E1466" i="7"/>
  <c r="V1465" i="7"/>
  <c r="R1465" i="7"/>
  <c r="N1465" i="7"/>
  <c r="F1465" i="7"/>
  <c r="B1465" i="7"/>
  <c r="W1464" i="7"/>
  <c r="C1464" i="7"/>
  <c r="X1463" i="7"/>
  <c r="T1463" i="7"/>
  <c r="P1463" i="7"/>
  <c r="L1463" i="7"/>
  <c r="D1463" i="7"/>
  <c r="E1462" i="7"/>
  <c r="V1461" i="7"/>
  <c r="R1461" i="7"/>
  <c r="N1461" i="7"/>
  <c r="F1461" i="7"/>
  <c r="B1461" i="7"/>
  <c r="W1460" i="7"/>
  <c r="C1460" i="7"/>
  <c r="X1459" i="7"/>
  <c r="T1459" i="7"/>
  <c r="P1459" i="7"/>
  <c r="L1459" i="7"/>
  <c r="D1459" i="7"/>
  <c r="E1458" i="7"/>
  <c r="V1457" i="7"/>
  <c r="R1457" i="7"/>
  <c r="N1457" i="7"/>
  <c r="F1457" i="7"/>
  <c r="B1457" i="7"/>
  <c r="W1456" i="7"/>
  <c r="C1456" i="7"/>
  <c r="X1455" i="7"/>
  <c r="T1455" i="7"/>
  <c r="P1455" i="7"/>
  <c r="L1455" i="7"/>
  <c r="D1455" i="7"/>
  <c r="E1454" i="7"/>
  <c r="V1453" i="7"/>
  <c r="R1453" i="7"/>
  <c r="N1453" i="7"/>
  <c r="F1453" i="7"/>
  <c r="B1453" i="7"/>
  <c r="W1452" i="7"/>
  <c r="C1452" i="7"/>
  <c r="X1451" i="7"/>
  <c r="T1451" i="7"/>
  <c r="P1451" i="7"/>
  <c r="L1451" i="7"/>
  <c r="D1451" i="7"/>
  <c r="E1450" i="7"/>
  <c r="V1449" i="7"/>
  <c r="R1449" i="7"/>
  <c r="N1449" i="7"/>
  <c r="F1449" i="7"/>
  <c r="B1449" i="7"/>
  <c r="W1448" i="7"/>
  <c r="C1448" i="7"/>
  <c r="X1447" i="7"/>
  <c r="T1447" i="7"/>
  <c r="P1447" i="7"/>
  <c r="L1447" i="7"/>
  <c r="D1447" i="7"/>
  <c r="E1446" i="7"/>
  <c r="V1445" i="7"/>
  <c r="R1445" i="7"/>
  <c r="N1445" i="7"/>
  <c r="F1445" i="7"/>
  <c r="B1445" i="7"/>
  <c r="W1444" i="7"/>
  <c r="C1444" i="7"/>
  <c r="X1443" i="7"/>
  <c r="T1443" i="7"/>
  <c r="P1443" i="7"/>
  <c r="L1443" i="7"/>
  <c r="D1443" i="7"/>
  <c r="E1442" i="7"/>
  <c r="V1441" i="7"/>
  <c r="R1441" i="7"/>
  <c r="N1441" i="7"/>
  <c r="F1441" i="7"/>
  <c r="B1441" i="7"/>
  <c r="W1440" i="7"/>
  <c r="C1440" i="7"/>
  <c r="X1439" i="7"/>
  <c r="T1439" i="7"/>
  <c r="P1439" i="7"/>
  <c r="L1439" i="7"/>
  <c r="D1439" i="7"/>
  <c r="E1438" i="7"/>
  <c r="V1437" i="7"/>
  <c r="R1437" i="7"/>
  <c r="N1437" i="7"/>
  <c r="F1437" i="7"/>
  <c r="B1437" i="7"/>
  <c r="W1436" i="7"/>
  <c r="C1436" i="7"/>
  <c r="X1435" i="7"/>
  <c r="T1435" i="7"/>
  <c r="P1435" i="7"/>
  <c r="L1435" i="7"/>
  <c r="D1435" i="7"/>
  <c r="E1434" i="7"/>
  <c r="V1433" i="7"/>
  <c r="R1433" i="7"/>
  <c r="N1433" i="7"/>
  <c r="F1433" i="7"/>
  <c r="B1433" i="7"/>
  <c r="W1432" i="7"/>
  <c r="C1432" i="7"/>
  <c r="X1431" i="7"/>
  <c r="T1431" i="7"/>
  <c r="P1431" i="7"/>
  <c r="L1431" i="7"/>
  <c r="D1431" i="7"/>
  <c r="E1430" i="7"/>
  <c r="V1429" i="7"/>
  <c r="R1429" i="7"/>
  <c r="N1429" i="7"/>
  <c r="F1429" i="7"/>
  <c r="B1429" i="7"/>
  <c r="W1428" i="7"/>
  <c r="C1428" i="7"/>
  <c r="X1427" i="7"/>
  <c r="T1427" i="7"/>
  <c r="P1427" i="7"/>
  <c r="L1427" i="7"/>
  <c r="D1427" i="7"/>
  <c r="E1426" i="7"/>
  <c r="V1425" i="7"/>
  <c r="R1425" i="7"/>
  <c r="N1425" i="7"/>
  <c r="F1425" i="7"/>
  <c r="B1425" i="7"/>
  <c r="N1815" i="7"/>
  <c r="X1756" i="7"/>
  <c r="F1744" i="7"/>
  <c r="V1740" i="7"/>
  <c r="F1712" i="7"/>
  <c r="V1708" i="7"/>
  <c r="F1680" i="7"/>
  <c r="V1676" i="7"/>
  <c r="V1659" i="7"/>
  <c r="V1658" i="7"/>
  <c r="N1612" i="7"/>
  <c r="W1611" i="7"/>
  <c r="C1611" i="7"/>
  <c r="L1610" i="7"/>
  <c r="E1609" i="7"/>
  <c r="N1608" i="7"/>
  <c r="W1607" i="7"/>
  <c r="C1607" i="7"/>
  <c r="L1606" i="7"/>
  <c r="E1605" i="7"/>
  <c r="N1604" i="7"/>
  <c r="W1603" i="7"/>
  <c r="C1603" i="7"/>
  <c r="L1602" i="7"/>
  <c r="E1601" i="7"/>
  <c r="N1600" i="7"/>
  <c r="W1599" i="7"/>
  <c r="C1599" i="7"/>
  <c r="L1598" i="7"/>
  <c r="E1597" i="7"/>
  <c r="N1596" i="7"/>
  <c r="W1595" i="7"/>
  <c r="C1595" i="7"/>
  <c r="L1594" i="7"/>
  <c r="E1593" i="7"/>
  <c r="N1592" i="7"/>
  <c r="W1591" i="7"/>
  <c r="C1591" i="7"/>
  <c r="L1590" i="7"/>
  <c r="E1589" i="7"/>
  <c r="N1588" i="7"/>
  <c r="W1587" i="7"/>
  <c r="C1587" i="7"/>
  <c r="L1586" i="7"/>
  <c r="E1585" i="7"/>
  <c r="N1584" i="7"/>
  <c r="W1583" i="7"/>
  <c r="C1583" i="7"/>
  <c r="L1582" i="7"/>
  <c r="E1581" i="7"/>
  <c r="N1580" i="7"/>
  <c r="W1579" i="7"/>
  <c r="C1579" i="7"/>
  <c r="L1578" i="7"/>
  <c r="E1577" i="7"/>
  <c r="N1576" i="7"/>
  <c r="W1575" i="7"/>
  <c r="C1575" i="7"/>
  <c r="L1574" i="7"/>
  <c r="E1573" i="7"/>
  <c r="N1572" i="7"/>
  <c r="W1571" i="7"/>
  <c r="C1571" i="7"/>
  <c r="L1570" i="7"/>
  <c r="E1569" i="7"/>
  <c r="N1568" i="7"/>
  <c r="W1567" i="7"/>
  <c r="C1567" i="7"/>
  <c r="L1566" i="7"/>
  <c r="E1565" i="7"/>
  <c r="N1564" i="7"/>
  <c r="W1563" i="7"/>
  <c r="C1563" i="7"/>
  <c r="L1562" i="7"/>
  <c r="E1561" i="7"/>
  <c r="N1560" i="7"/>
  <c r="W1559" i="7"/>
  <c r="C1559" i="7"/>
  <c r="L1558" i="7"/>
  <c r="E1557" i="7"/>
  <c r="N1556" i="7"/>
  <c r="W1555" i="7"/>
  <c r="C1555" i="7"/>
  <c r="L1554" i="7"/>
  <c r="E1553" i="7"/>
  <c r="N1552" i="7"/>
  <c r="W1551" i="7"/>
  <c r="C1551" i="7"/>
  <c r="N1548" i="7"/>
  <c r="C1547" i="7"/>
  <c r="W1543" i="7"/>
  <c r="N1540" i="7"/>
  <c r="C1539" i="7"/>
  <c r="W1535" i="7"/>
  <c r="N1532" i="7"/>
  <c r="C1531" i="7"/>
  <c r="W1527" i="7"/>
  <c r="N1524" i="7"/>
  <c r="C1523" i="7"/>
  <c r="W1519" i="7"/>
  <c r="N1516" i="7"/>
  <c r="C1515" i="7"/>
  <c r="W1511" i="7"/>
  <c r="N1508" i="7"/>
  <c r="C1507" i="7"/>
  <c r="W1503" i="7"/>
  <c r="N1500" i="7"/>
  <c r="C1499" i="7"/>
  <c r="N1493" i="7"/>
  <c r="X1491" i="7"/>
  <c r="D1491" i="7"/>
  <c r="N1489" i="7"/>
  <c r="B1488" i="7"/>
  <c r="P1486" i="7"/>
  <c r="R1484" i="7"/>
  <c r="B1484" i="7"/>
  <c r="P1482" i="7"/>
  <c r="R1480" i="7"/>
  <c r="B1480" i="7"/>
  <c r="P1478" i="7"/>
  <c r="R1476" i="7"/>
  <c r="B1476" i="7"/>
  <c r="P1474" i="7"/>
  <c r="R1472" i="7"/>
  <c r="B1472" i="7"/>
  <c r="P1470" i="7"/>
  <c r="R1468" i="7"/>
  <c r="B1468" i="7"/>
  <c r="P1466" i="7"/>
  <c r="R1464" i="7"/>
  <c r="B1464" i="7"/>
  <c r="P1462" i="7"/>
  <c r="R1460" i="7"/>
  <c r="B1460" i="7"/>
  <c r="P1458" i="7"/>
  <c r="R1456" i="7"/>
  <c r="B1456" i="7"/>
  <c r="P1454" i="7"/>
  <c r="R1452" i="7"/>
  <c r="B1452" i="7"/>
  <c r="P1450" i="7"/>
  <c r="R1448" i="7"/>
  <c r="B1448" i="7"/>
  <c r="P1446" i="7"/>
  <c r="R1444" i="7"/>
  <c r="B1444" i="7"/>
  <c r="P1442" i="7"/>
  <c r="T1440" i="7"/>
  <c r="L1440" i="7"/>
  <c r="B1440" i="7"/>
  <c r="N1439" i="7"/>
  <c r="E1439" i="7"/>
  <c r="X1438" i="7"/>
  <c r="N1438" i="7"/>
  <c r="D1438" i="7"/>
  <c r="X1437" i="7"/>
  <c r="D1437" i="7"/>
  <c r="X1436" i="7"/>
  <c r="R1436" i="7"/>
  <c r="E1436" i="7"/>
  <c r="N1435" i="7"/>
  <c r="E1435" i="7"/>
  <c r="X1434" i="7"/>
  <c r="N1434" i="7"/>
  <c r="D1434" i="7"/>
  <c r="X1433" i="7"/>
  <c r="D1433" i="7"/>
  <c r="X1432" i="7"/>
  <c r="R1432" i="7"/>
  <c r="E1432" i="7"/>
  <c r="N1431" i="7"/>
  <c r="E1431" i="7"/>
  <c r="X1430" i="7"/>
  <c r="N1430" i="7"/>
  <c r="D1430" i="7"/>
  <c r="X1429" i="7"/>
  <c r="D1429" i="7"/>
  <c r="X1428" i="7"/>
  <c r="R1428" i="7"/>
  <c r="E1428" i="7"/>
  <c r="N1427" i="7"/>
  <c r="E1427" i="7"/>
  <c r="X1426" i="7"/>
  <c r="N1426" i="7"/>
  <c r="D1426" i="7"/>
  <c r="X1425" i="7"/>
  <c r="D1425" i="7"/>
  <c r="X1424" i="7"/>
  <c r="T1424" i="7"/>
  <c r="P1424" i="7"/>
  <c r="L1424" i="7"/>
  <c r="D1424" i="7"/>
  <c r="E1423" i="7"/>
  <c r="V1422" i="7"/>
  <c r="R1422" i="7"/>
  <c r="N1422" i="7"/>
  <c r="F1422" i="7"/>
  <c r="B1422" i="7"/>
  <c r="W1421" i="7"/>
  <c r="C1421" i="7"/>
  <c r="X1420" i="7"/>
  <c r="T1420" i="7"/>
  <c r="P1420" i="7"/>
  <c r="L1420" i="7"/>
  <c r="D1420" i="7"/>
  <c r="E1419" i="7"/>
  <c r="V1418" i="7"/>
  <c r="R1418" i="7"/>
  <c r="N1418" i="7"/>
  <c r="F1418" i="7"/>
  <c r="B1418" i="7"/>
  <c r="W1417" i="7"/>
  <c r="C1417" i="7"/>
  <c r="X1416" i="7"/>
  <c r="T1416" i="7"/>
  <c r="P1416" i="7"/>
  <c r="L1416" i="7"/>
  <c r="D1416" i="7"/>
  <c r="E1415" i="7"/>
  <c r="V1414" i="7"/>
  <c r="R1414" i="7"/>
  <c r="N1414" i="7"/>
  <c r="F1414" i="7"/>
  <c r="B1414" i="7"/>
  <c r="W1413" i="7"/>
  <c r="C1413" i="7"/>
  <c r="X1412" i="7"/>
  <c r="T1412" i="7"/>
  <c r="P1412" i="7"/>
  <c r="L1412" i="7"/>
  <c r="D1412" i="7"/>
  <c r="E1411" i="7"/>
  <c r="V1410" i="7"/>
  <c r="R1410" i="7"/>
  <c r="N1410" i="7"/>
  <c r="F1410" i="7"/>
  <c r="B1410" i="7"/>
  <c r="W1409" i="7"/>
  <c r="C1409" i="7"/>
  <c r="X1408" i="7"/>
  <c r="T1408" i="7"/>
  <c r="P1408" i="7"/>
  <c r="L1408" i="7"/>
  <c r="D1408" i="7"/>
  <c r="E1407" i="7"/>
  <c r="V1406" i="7"/>
  <c r="R1406" i="7"/>
  <c r="N1406" i="7"/>
  <c r="F1406" i="7"/>
  <c r="B1406" i="7"/>
  <c r="W1405" i="7"/>
  <c r="C1405" i="7"/>
  <c r="X1404" i="7"/>
  <c r="T1404" i="7"/>
  <c r="P1404" i="7"/>
  <c r="L1404" i="7"/>
  <c r="D1404" i="7"/>
  <c r="E1403" i="7"/>
  <c r="V1402" i="7"/>
  <c r="R1402" i="7"/>
  <c r="N1402" i="7"/>
  <c r="F1402" i="7"/>
  <c r="B1402" i="7"/>
  <c r="W1401" i="7"/>
  <c r="C1401" i="7"/>
  <c r="X1400" i="7"/>
  <c r="T1400" i="7"/>
  <c r="P1400" i="7"/>
  <c r="L1400" i="7"/>
  <c r="D1400" i="7"/>
  <c r="E1399" i="7"/>
  <c r="V1398" i="7"/>
  <c r="R1398" i="7"/>
  <c r="N1398" i="7"/>
  <c r="F1398" i="7"/>
  <c r="B1398" i="7"/>
  <c r="W1397" i="7"/>
  <c r="C1397" i="7"/>
  <c r="X1396" i="7"/>
  <c r="T1396" i="7"/>
  <c r="P1396" i="7"/>
  <c r="L1396" i="7"/>
  <c r="D1396" i="7"/>
  <c r="E1395" i="7"/>
  <c r="V1394" i="7"/>
  <c r="R1394" i="7"/>
  <c r="N1394" i="7"/>
  <c r="F1394" i="7"/>
  <c r="B1394" i="7"/>
  <c r="W1393" i="7"/>
  <c r="C1393" i="7"/>
  <c r="X1392" i="7"/>
  <c r="T1392" i="7"/>
  <c r="P1392" i="7"/>
  <c r="L1392" i="7"/>
  <c r="D1392" i="7"/>
  <c r="E1391" i="7"/>
  <c r="V1390" i="7"/>
  <c r="R1390" i="7"/>
  <c r="N1390" i="7"/>
  <c r="F1390" i="7"/>
  <c r="B1390" i="7"/>
  <c r="W1389" i="7"/>
  <c r="C1389" i="7"/>
  <c r="X1388" i="7"/>
  <c r="T1388" i="7"/>
  <c r="P1388" i="7"/>
  <c r="L1388" i="7"/>
  <c r="D1388" i="7"/>
  <c r="E1387" i="7"/>
  <c r="V1386" i="7"/>
  <c r="R1386" i="7"/>
  <c r="N1386" i="7"/>
  <c r="F1386" i="7"/>
  <c r="B1386" i="7"/>
  <c r="W1385" i="7"/>
  <c r="C1385" i="7"/>
  <c r="X1384" i="7"/>
  <c r="T1384" i="7"/>
  <c r="P1384" i="7"/>
  <c r="L1384" i="7"/>
  <c r="D1384" i="7"/>
  <c r="E1383" i="7"/>
  <c r="V1382" i="7"/>
  <c r="R1382" i="7"/>
  <c r="N1382" i="7"/>
  <c r="F1382" i="7"/>
  <c r="B1382" i="7"/>
  <c r="W1381" i="7"/>
  <c r="C1381" i="7"/>
  <c r="X1380" i="7"/>
  <c r="T1380" i="7"/>
  <c r="P1380" i="7"/>
  <c r="L1380" i="7"/>
  <c r="D1380" i="7"/>
  <c r="E1379" i="7"/>
  <c r="V1378" i="7"/>
  <c r="R1378" i="7"/>
  <c r="N1378" i="7"/>
  <c r="F1378" i="7"/>
  <c r="B1378" i="7"/>
  <c r="W1377" i="7"/>
  <c r="C1377" i="7"/>
  <c r="X1376" i="7"/>
  <c r="T1376" i="7"/>
  <c r="P1376" i="7"/>
  <c r="L1376" i="7"/>
  <c r="D1376" i="7"/>
  <c r="E1375" i="7"/>
  <c r="V1374" i="7"/>
  <c r="R1374" i="7"/>
  <c r="N1374" i="7"/>
  <c r="F1374" i="7"/>
  <c r="B1374" i="7"/>
  <c r="W1373" i="7"/>
  <c r="C1373" i="7"/>
  <c r="X1372" i="7"/>
  <c r="T1372" i="7"/>
  <c r="P1372" i="7"/>
  <c r="L1372" i="7"/>
  <c r="D1372" i="7"/>
  <c r="E1371" i="7"/>
  <c r="V1370" i="7"/>
  <c r="R1370" i="7"/>
  <c r="N1370" i="7"/>
  <c r="F1370" i="7"/>
  <c r="B1370" i="7"/>
  <c r="W1369" i="7"/>
  <c r="C1369" i="7"/>
  <c r="X1368" i="7"/>
  <c r="T1368" i="7"/>
  <c r="P1368" i="7"/>
  <c r="L1368" i="7"/>
  <c r="D1368" i="7"/>
  <c r="E1367" i="7"/>
  <c r="V1366" i="7"/>
  <c r="R1366" i="7"/>
  <c r="N1366" i="7"/>
  <c r="F1366" i="7"/>
  <c r="B1366" i="7"/>
  <c r="W1365" i="7"/>
  <c r="C1365" i="7"/>
  <c r="X1364" i="7"/>
  <c r="T1364" i="7"/>
  <c r="P1364" i="7"/>
  <c r="L1364" i="7"/>
  <c r="D1364" i="7"/>
  <c r="E1363" i="7"/>
  <c r="V1362" i="7"/>
  <c r="R1362" i="7"/>
  <c r="N1362" i="7"/>
  <c r="F1362" i="7"/>
  <c r="B1362" i="7"/>
  <c r="W1361" i="7"/>
  <c r="C1361" i="7"/>
  <c r="X1360" i="7"/>
  <c r="T1360" i="7"/>
  <c r="P1360" i="7"/>
  <c r="L1360" i="7"/>
  <c r="D1360" i="7"/>
  <c r="E1359" i="7"/>
  <c r="V1358" i="7"/>
  <c r="R1358" i="7"/>
  <c r="N1358" i="7"/>
  <c r="F1358" i="7"/>
  <c r="B1358" i="7"/>
  <c r="W1357" i="7"/>
  <c r="C1357" i="7"/>
  <c r="X1356" i="7"/>
  <c r="T1356" i="7"/>
  <c r="P1356" i="7"/>
  <c r="L1356" i="7"/>
  <c r="D1356" i="7"/>
  <c r="E1355" i="7"/>
  <c r="V1354" i="7"/>
  <c r="R1354" i="7"/>
  <c r="N1354" i="7"/>
  <c r="F1354" i="7"/>
  <c r="B1354" i="7"/>
  <c r="W1353" i="7"/>
  <c r="C1353" i="7"/>
  <c r="X1352" i="7"/>
  <c r="T1352" i="7"/>
  <c r="P1352" i="7"/>
  <c r="L1352" i="7"/>
  <c r="D1352" i="7"/>
  <c r="E1351" i="7"/>
  <c r="V1350" i="7"/>
  <c r="R1350" i="7"/>
  <c r="N1350" i="7"/>
  <c r="F1350" i="7"/>
  <c r="B1350" i="7"/>
  <c r="W1349" i="7"/>
  <c r="C1349" i="7"/>
  <c r="X1348" i="7"/>
  <c r="T1348" i="7"/>
  <c r="P1348" i="7"/>
  <c r="L1348" i="7"/>
  <c r="D1348" i="7"/>
  <c r="E1347" i="7"/>
  <c r="V1346" i="7"/>
  <c r="R1346" i="7"/>
  <c r="N1346" i="7"/>
  <c r="F1346" i="7"/>
  <c r="B1346" i="7"/>
  <c r="W1345" i="7"/>
  <c r="C1345" i="7"/>
  <c r="X1344" i="7"/>
  <c r="T1344" i="7"/>
  <c r="P1344" i="7"/>
  <c r="L1344" i="7"/>
  <c r="D1344" i="7"/>
  <c r="E1343" i="7"/>
  <c r="V1342" i="7"/>
  <c r="R1342" i="7"/>
  <c r="N1342" i="7"/>
  <c r="F1342" i="7"/>
  <c r="B1342" i="7"/>
  <c r="W1341" i="7"/>
  <c r="C1341" i="7"/>
  <c r="X1340" i="7"/>
  <c r="T1340" i="7"/>
  <c r="P1340" i="7"/>
  <c r="L1340" i="7"/>
  <c r="D1340" i="7"/>
  <c r="E1339" i="7"/>
  <c r="V1338" i="7"/>
  <c r="R1338" i="7"/>
  <c r="N1338" i="7"/>
  <c r="F1338" i="7"/>
  <c r="L1546" i="7"/>
  <c r="E1545" i="7"/>
  <c r="L1538" i="7"/>
  <c r="E1537" i="7"/>
  <c r="L1530" i="7"/>
  <c r="E1529" i="7"/>
  <c r="L1522" i="7"/>
  <c r="E1521" i="7"/>
  <c r="L1514" i="7"/>
  <c r="E1513" i="7"/>
  <c r="L1506" i="7"/>
  <c r="E1505" i="7"/>
  <c r="L1498" i="7"/>
  <c r="F1497" i="7"/>
  <c r="C1496" i="7"/>
  <c r="E1494" i="7"/>
  <c r="N1492" i="7"/>
  <c r="X1490" i="7"/>
  <c r="E1490" i="7"/>
  <c r="N1488" i="7"/>
  <c r="W1487" i="7"/>
  <c r="C1487" i="7"/>
  <c r="L1486" i="7"/>
  <c r="E1485" i="7"/>
  <c r="N1484" i="7"/>
  <c r="W1483" i="7"/>
  <c r="C1483" i="7"/>
  <c r="L1482" i="7"/>
  <c r="E1481" i="7"/>
  <c r="N1480" i="7"/>
  <c r="W1479" i="7"/>
  <c r="C1479" i="7"/>
  <c r="L1478" i="7"/>
  <c r="E1477" i="7"/>
  <c r="N1476" i="7"/>
  <c r="W1475" i="7"/>
  <c r="C1475" i="7"/>
  <c r="L1474" i="7"/>
  <c r="E1473" i="7"/>
  <c r="N1472" i="7"/>
  <c r="W1471" i="7"/>
  <c r="C1471" i="7"/>
  <c r="L1470" i="7"/>
  <c r="E1469" i="7"/>
  <c r="N1468" i="7"/>
  <c r="W1467" i="7"/>
  <c r="C1467" i="7"/>
  <c r="L1466" i="7"/>
  <c r="E1465" i="7"/>
  <c r="N1464" i="7"/>
  <c r="W1463" i="7"/>
  <c r="C1463" i="7"/>
  <c r="L1462" i="7"/>
  <c r="E1461" i="7"/>
  <c r="N1460" i="7"/>
  <c r="W1459" i="7"/>
  <c r="C1459" i="7"/>
  <c r="L1458" i="7"/>
  <c r="E1457" i="7"/>
  <c r="N1456" i="7"/>
  <c r="W1455" i="7"/>
  <c r="C1455" i="7"/>
  <c r="L1454" i="7"/>
  <c r="E1453" i="7"/>
  <c r="N1452" i="7"/>
  <c r="W1451" i="7"/>
  <c r="C1451" i="7"/>
  <c r="L1450" i="7"/>
  <c r="E1449" i="7"/>
  <c r="N1448" i="7"/>
  <c r="W1447" i="7"/>
  <c r="C1447" i="7"/>
  <c r="L1446" i="7"/>
  <c r="E1445" i="7"/>
  <c r="N1444" i="7"/>
  <c r="W1443" i="7"/>
  <c r="C1443" i="7"/>
  <c r="L1442" i="7"/>
  <c r="E1441" i="7"/>
  <c r="R1440" i="7"/>
  <c r="R1439" i="7"/>
  <c r="C1439" i="7"/>
  <c r="W1438" i="7"/>
  <c r="R1438" i="7"/>
  <c r="L1438" i="7"/>
  <c r="C1438" i="7"/>
  <c r="W1437" i="7"/>
  <c r="L1437" i="7"/>
  <c r="C1437" i="7"/>
  <c r="V1436" i="7"/>
  <c r="L1436" i="7"/>
  <c r="D1436" i="7"/>
  <c r="W1435" i="7"/>
  <c r="R1435" i="7"/>
  <c r="C1435" i="7"/>
  <c r="W1434" i="7"/>
  <c r="R1434" i="7"/>
  <c r="L1434" i="7"/>
  <c r="C1434" i="7"/>
  <c r="W1433" i="7"/>
  <c r="L1433" i="7"/>
  <c r="C1433" i="7"/>
  <c r="V1432" i="7"/>
  <c r="L1432" i="7"/>
  <c r="D1432" i="7"/>
  <c r="W1431" i="7"/>
  <c r="R1431" i="7"/>
  <c r="C1431" i="7"/>
  <c r="W1430" i="7"/>
  <c r="R1430" i="7"/>
  <c r="L1430" i="7"/>
  <c r="C1430" i="7"/>
  <c r="W1429" i="7"/>
  <c r="L1429" i="7"/>
  <c r="C1429" i="7"/>
  <c r="V1428" i="7"/>
  <c r="L1428" i="7"/>
  <c r="D1428" i="7"/>
  <c r="W1427" i="7"/>
  <c r="R1427" i="7"/>
  <c r="C1427" i="7"/>
  <c r="W1426" i="7"/>
  <c r="R1426" i="7"/>
  <c r="L1426" i="7"/>
  <c r="C1426" i="7"/>
  <c r="W1425" i="7"/>
  <c r="L1425" i="7"/>
  <c r="C1425" i="7"/>
  <c r="W1424" i="7"/>
  <c r="C1424" i="7"/>
  <c r="X1423" i="7"/>
  <c r="T1423" i="7"/>
  <c r="P1423" i="7"/>
  <c r="L1423" i="7"/>
  <c r="D1423" i="7"/>
  <c r="E1422" i="7"/>
  <c r="V1421" i="7"/>
  <c r="R1421" i="7"/>
  <c r="N1421" i="7"/>
  <c r="F1421" i="7"/>
  <c r="B1421" i="7"/>
  <c r="W1420" i="7"/>
  <c r="C1420" i="7"/>
  <c r="X1419" i="7"/>
  <c r="T1419" i="7"/>
  <c r="P1419" i="7"/>
  <c r="L1419" i="7"/>
  <c r="D1419" i="7"/>
  <c r="E1418" i="7"/>
  <c r="V1417" i="7"/>
  <c r="R1417" i="7"/>
  <c r="N1417" i="7"/>
  <c r="F1417" i="7"/>
  <c r="B1417" i="7"/>
  <c r="W1416" i="7"/>
  <c r="C1416" i="7"/>
  <c r="X1415" i="7"/>
  <c r="T1415" i="7"/>
  <c r="P1415" i="7"/>
  <c r="L1415" i="7"/>
  <c r="D1415" i="7"/>
  <c r="E1414" i="7"/>
  <c r="V1413" i="7"/>
  <c r="R1413" i="7"/>
  <c r="N1413" i="7"/>
  <c r="F1413" i="7"/>
  <c r="B1413" i="7"/>
  <c r="W1412" i="7"/>
  <c r="C1412" i="7"/>
  <c r="X1411" i="7"/>
  <c r="T1411" i="7"/>
  <c r="P1411" i="7"/>
  <c r="L1411" i="7"/>
  <c r="D1411" i="7"/>
  <c r="E1410" i="7"/>
  <c r="V1409" i="7"/>
  <c r="R1409" i="7"/>
  <c r="N1409" i="7"/>
  <c r="F1409" i="7"/>
  <c r="B1409" i="7"/>
  <c r="W1408" i="7"/>
  <c r="C1408" i="7"/>
  <c r="X1407" i="7"/>
  <c r="T1407" i="7"/>
  <c r="P1407" i="7"/>
  <c r="L1407" i="7"/>
  <c r="D1407" i="7"/>
  <c r="E1406" i="7"/>
  <c r="V1405" i="7"/>
  <c r="R1405" i="7"/>
  <c r="N1405" i="7"/>
  <c r="F1405" i="7"/>
  <c r="B1405" i="7"/>
  <c r="W1404" i="7"/>
  <c r="C1404" i="7"/>
  <c r="X1403" i="7"/>
  <c r="T1403" i="7"/>
  <c r="P1403" i="7"/>
  <c r="L1403" i="7"/>
  <c r="D1403" i="7"/>
  <c r="E1402" i="7"/>
  <c r="V1401" i="7"/>
  <c r="R1401" i="7"/>
  <c r="N1401" i="7"/>
  <c r="F1401" i="7"/>
  <c r="B1401" i="7"/>
  <c r="W1400" i="7"/>
  <c r="C1400" i="7"/>
  <c r="X1399" i="7"/>
  <c r="T1399" i="7"/>
  <c r="P1399" i="7"/>
  <c r="L1399" i="7"/>
  <c r="D1399" i="7"/>
  <c r="E1398" i="7"/>
  <c r="V1397" i="7"/>
  <c r="R1397" i="7"/>
  <c r="N1397" i="7"/>
  <c r="F1397" i="7"/>
  <c r="B1397" i="7"/>
  <c r="W1396" i="7"/>
  <c r="C1396" i="7"/>
  <c r="X1395" i="7"/>
  <c r="T1395" i="7"/>
  <c r="P1395" i="7"/>
  <c r="L1395" i="7"/>
  <c r="D1395" i="7"/>
  <c r="E1394" i="7"/>
  <c r="V1393" i="7"/>
  <c r="R1393" i="7"/>
  <c r="N1393" i="7"/>
  <c r="F1393" i="7"/>
  <c r="B1393" i="7"/>
  <c r="W1392" i="7"/>
  <c r="C1392" i="7"/>
  <c r="X1391" i="7"/>
  <c r="T1391" i="7"/>
  <c r="P1391" i="7"/>
  <c r="L1391" i="7"/>
  <c r="D1391" i="7"/>
  <c r="E1390" i="7"/>
  <c r="V1389" i="7"/>
  <c r="R1389" i="7"/>
  <c r="N1389" i="7"/>
  <c r="F1389" i="7"/>
  <c r="B1389" i="7"/>
  <c r="W1388" i="7"/>
  <c r="C1388" i="7"/>
  <c r="X1387" i="7"/>
  <c r="T1387" i="7"/>
  <c r="P1387" i="7"/>
  <c r="L1387" i="7"/>
  <c r="D1387" i="7"/>
  <c r="E1386" i="7"/>
  <c r="V1385" i="7"/>
  <c r="R1385" i="7"/>
  <c r="N1385" i="7"/>
  <c r="F1385" i="7"/>
  <c r="B1385" i="7"/>
  <c r="W1384" i="7"/>
  <c r="C1384" i="7"/>
  <c r="X1383" i="7"/>
  <c r="T1383" i="7"/>
  <c r="P1383" i="7"/>
  <c r="L1383" i="7"/>
  <c r="D1383" i="7"/>
  <c r="E1382" i="7"/>
  <c r="V1381" i="7"/>
  <c r="R1381" i="7"/>
  <c r="N1381" i="7"/>
  <c r="F1381" i="7"/>
  <c r="B1381" i="7"/>
  <c r="W1380" i="7"/>
  <c r="C1380" i="7"/>
  <c r="X1379" i="7"/>
  <c r="T1379" i="7"/>
  <c r="P1379" i="7"/>
  <c r="L1379" i="7"/>
  <c r="D1379" i="7"/>
  <c r="E1378" i="7"/>
  <c r="V1377" i="7"/>
  <c r="R1377" i="7"/>
  <c r="N1377" i="7"/>
  <c r="F1377" i="7"/>
  <c r="B1377" i="7"/>
  <c r="W1376" i="7"/>
  <c r="C1376" i="7"/>
  <c r="X1375" i="7"/>
  <c r="T1375" i="7"/>
  <c r="P1375" i="7"/>
  <c r="L1375" i="7"/>
  <c r="D1375" i="7"/>
  <c r="E1374" i="7"/>
  <c r="V1373" i="7"/>
  <c r="R1373" i="7"/>
  <c r="N1373" i="7"/>
  <c r="F1373" i="7"/>
  <c r="B1373" i="7"/>
  <c r="W1372" i="7"/>
  <c r="C1372" i="7"/>
  <c r="X1371" i="7"/>
  <c r="T1371" i="7"/>
  <c r="P1371" i="7"/>
  <c r="L1371" i="7"/>
  <c r="D1371" i="7"/>
  <c r="E1370" i="7"/>
  <c r="V1369" i="7"/>
  <c r="R1369" i="7"/>
  <c r="N1369" i="7"/>
  <c r="F1369" i="7"/>
  <c r="B1369" i="7"/>
  <c r="W1368" i="7"/>
  <c r="C1368" i="7"/>
  <c r="X1367" i="7"/>
  <c r="T1367" i="7"/>
  <c r="P1367" i="7"/>
  <c r="L1367" i="7"/>
  <c r="D1367" i="7"/>
  <c r="E1366" i="7"/>
  <c r="V1365" i="7"/>
  <c r="R1365" i="7"/>
  <c r="N1365" i="7"/>
  <c r="F1365" i="7"/>
  <c r="B1365" i="7"/>
  <c r="W1364" i="7"/>
  <c r="C1364" i="7"/>
  <c r="X1363" i="7"/>
  <c r="T1363" i="7"/>
  <c r="P1363" i="7"/>
  <c r="L1363" i="7"/>
  <c r="D1363" i="7"/>
  <c r="E1362" i="7"/>
  <c r="V1361" i="7"/>
  <c r="R1361" i="7"/>
  <c r="N1361" i="7"/>
  <c r="F1361" i="7"/>
  <c r="B1361" i="7"/>
  <c r="W1360" i="7"/>
  <c r="C1360" i="7"/>
  <c r="X1359" i="7"/>
  <c r="T1359" i="7"/>
  <c r="P1359" i="7"/>
  <c r="L1359" i="7"/>
  <c r="D1359" i="7"/>
  <c r="E1358" i="7"/>
  <c r="V1357" i="7"/>
  <c r="R1357" i="7"/>
  <c r="N1357" i="7"/>
  <c r="F1357" i="7"/>
  <c r="B1357" i="7"/>
  <c r="W1356" i="7"/>
  <c r="C1356" i="7"/>
  <c r="X1355" i="7"/>
  <c r="T1355" i="7"/>
  <c r="P1355" i="7"/>
  <c r="L1355" i="7"/>
  <c r="D1355" i="7"/>
  <c r="E1354" i="7"/>
  <c r="V1353" i="7"/>
  <c r="R1353" i="7"/>
  <c r="N1353" i="7"/>
  <c r="F1353" i="7"/>
  <c r="B1353" i="7"/>
  <c r="W1352" i="7"/>
  <c r="C1352" i="7"/>
  <c r="X1351" i="7"/>
  <c r="T1351" i="7"/>
  <c r="P1351" i="7"/>
  <c r="L1351" i="7"/>
  <c r="D1351" i="7"/>
  <c r="E1350" i="7"/>
  <c r="V1349" i="7"/>
  <c r="R1349" i="7"/>
  <c r="N1349" i="7"/>
  <c r="F1349" i="7"/>
  <c r="B1349" i="7"/>
  <c r="W1348" i="7"/>
  <c r="C1348" i="7"/>
  <c r="X1347" i="7"/>
  <c r="T1347" i="7"/>
  <c r="P1347" i="7"/>
  <c r="L1347" i="7"/>
  <c r="D1347" i="7"/>
  <c r="E1346" i="7"/>
  <c r="V1345" i="7"/>
  <c r="R1345" i="7"/>
  <c r="N1345" i="7"/>
  <c r="F1345" i="7"/>
  <c r="B1345" i="7"/>
  <c r="W1344" i="7"/>
  <c r="C1344" i="7"/>
  <c r="X1343" i="7"/>
  <c r="T1343" i="7"/>
  <c r="P1343" i="7"/>
  <c r="L1343" i="7"/>
  <c r="D1343" i="7"/>
  <c r="E1342" i="7"/>
  <c r="V1341" i="7"/>
  <c r="R1341" i="7"/>
  <c r="N1341" i="7"/>
  <c r="F1341" i="7"/>
  <c r="B1341" i="7"/>
  <c r="W1340" i="7"/>
  <c r="C1340" i="7"/>
  <c r="X1339" i="7"/>
  <c r="T1339" i="7"/>
  <c r="P1339" i="7"/>
  <c r="L1339" i="7"/>
  <c r="D1339" i="7"/>
  <c r="E1338" i="7"/>
  <c r="W1547" i="7"/>
  <c r="N1544" i="7"/>
  <c r="C1543" i="7"/>
  <c r="W1539" i="7"/>
  <c r="N1536" i="7"/>
  <c r="C1535" i="7"/>
  <c r="W1531" i="7"/>
  <c r="N1528" i="7"/>
  <c r="C1527" i="7"/>
  <c r="W1523" i="7"/>
  <c r="N1520" i="7"/>
  <c r="C1519" i="7"/>
  <c r="W1515" i="7"/>
  <c r="N1512" i="7"/>
  <c r="C1511" i="7"/>
  <c r="W1507" i="7"/>
  <c r="N1504" i="7"/>
  <c r="C1503" i="7"/>
  <c r="W1499" i="7"/>
  <c r="W1496" i="7"/>
  <c r="T1495" i="7"/>
  <c r="R1494" i="7"/>
  <c r="E1493" i="7"/>
  <c r="R1490" i="7"/>
  <c r="E1489" i="7"/>
  <c r="X1486" i="7"/>
  <c r="X1482" i="7"/>
  <c r="X1478" i="7"/>
  <c r="X1474" i="7"/>
  <c r="X1470" i="7"/>
  <c r="X1466" i="7"/>
  <c r="X1462" i="7"/>
  <c r="X1458" i="7"/>
  <c r="X1454" i="7"/>
  <c r="X1450" i="7"/>
  <c r="X1446" i="7"/>
  <c r="X1442" i="7"/>
  <c r="P1440" i="7"/>
  <c r="F1440" i="7"/>
  <c r="W1439" i="7"/>
  <c r="B1439" i="7"/>
  <c r="V1438" i="7"/>
  <c r="P1438" i="7"/>
  <c r="B1438" i="7"/>
  <c r="P1437" i="7"/>
  <c r="P1436" i="7"/>
  <c r="B1436" i="7"/>
  <c r="V1435" i="7"/>
  <c r="B1435" i="7"/>
  <c r="V1434" i="7"/>
  <c r="P1434" i="7"/>
  <c r="B1434" i="7"/>
  <c r="P1433" i="7"/>
  <c r="P1432" i="7"/>
  <c r="B1432" i="7"/>
  <c r="V1431" i="7"/>
  <c r="B1431" i="7"/>
  <c r="V1430" i="7"/>
  <c r="P1430" i="7"/>
  <c r="B1430" i="7"/>
  <c r="P1429" i="7"/>
  <c r="P1428" i="7"/>
  <c r="B1428" i="7"/>
  <c r="V1427" i="7"/>
  <c r="B1427" i="7"/>
  <c r="V1426" i="7"/>
  <c r="P1426" i="7"/>
  <c r="B1426" i="7"/>
  <c r="P1425" i="7"/>
  <c r="V1424" i="7"/>
  <c r="R1424" i="7"/>
  <c r="N1424" i="7"/>
  <c r="F1424" i="7"/>
  <c r="B1424" i="7"/>
  <c r="W1423" i="7"/>
  <c r="C1423" i="7"/>
  <c r="X1422" i="7"/>
  <c r="T1422" i="7"/>
  <c r="P1422" i="7"/>
  <c r="L1422" i="7"/>
  <c r="D1422" i="7"/>
  <c r="E1421" i="7"/>
  <c r="V1420" i="7"/>
  <c r="R1420" i="7"/>
  <c r="N1420" i="7"/>
  <c r="F1420" i="7"/>
  <c r="B1420" i="7"/>
  <c r="W1419" i="7"/>
  <c r="C1419" i="7"/>
  <c r="X1418" i="7"/>
  <c r="T1418" i="7"/>
  <c r="P1418" i="7"/>
  <c r="L1418" i="7"/>
  <c r="D1418" i="7"/>
  <c r="E1417" i="7"/>
  <c r="V1416" i="7"/>
  <c r="R1416" i="7"/>
  <c r="N1416" i="7"/>
  <c r="F1416" i="7"/>
  <c r="B1416" i="7"/>
  <c r="W1415" i="7"/>
  <c r="C1415" i="7"/>
  <c r="X1414" i="7"/>
  <c r="T1414" i="7"/>
  <c r="P1414" i="7"/>
  <c r="L1414" i="7"/>
  <c r="D1414" i="7"/>
  <c r="E1413" i="7"/>
  <c r="V1412" i="7"/>
  <c r="R1412" i="7"/>
  <c r="N1412" i="7"/>
  <c r="F1412" i="7"/>
  <c r="B1412" i="7"/>
  <c r="W1411" i="7"/>
  <c r="C1411" i="7"/>
  <c r="X1410" i="7"/>
  <c r="T1410" i="7"/>
  <c r="P1410" i="7"/>
  <c r="L1410" i="7"/>
  <c r="D1410" i="7"/>
  <c r="E1409" i="7"/>
  <c r="V1408" i="7"/>
  <c r="R1408" i="7"/>
  <c r="N1408" i="7"/>
  <c r="F1408" i="7"/>
  <c r="B1408" i="7"/>
  <c r="W1407" i="7"/>
  <c r="C1407" i="7"/>
  <c r="X1406" i="7"/>
  <c r="T1406" i="7"/>
  <c r="P1406" i="7"/>
  <c r="L1406" i="7"/>
  <c r="D1406" i="7"/>
  <c r="E1405" i="7"/>
  <c r="V1404" i="7"/>
  <c r="R1404" i="7"/>
  <c r="N1404" i="7"/>
  <c r="F1404" i="7"/>
  <c r="B1404" i="7"/>
  <c r="W1403" i="7"/>
  <c r="C1403" i="7"/>
  <c r="X1402" i="7"/>
  <c r="T1402" i="7"/>
  <c r="P1402" i="7"/>
  <c r="L1402" i="7"/>
  <c r="D1402" i="7"/>
  <c r="E1401" i="7"/>
  <c r="V1400" i="7"/>
  <c r="R1400" i="7"/>
  <c r="N1400" i="7"/>
  <c r="F1400" i="7"/>
  <c r="B1400" i="7"/>
  <c r="W1399" i="7"/>
  <c r="C1399" i="7"/>
  <c r="X1398" i="7"/>
  <c r="T1398" i="7"/>
  <c r="P1398" i="7"/>
  <c r="L1398" i="7"/>
  <c r="D1398" i="7"/>
  <c r="E1397" i="7"/>
  <c r="V1396" i="7"/>
  <c r="R1396" i="7"/>
  <c r="N1396" i="7"/>
  <c r="F1396" i="7"/>
  <c r="B1396" i="7"/>
  <c r="W1395" i="7"/>
  <c r="C1395" i="7"/>
  <c r="X1394" i="7"/>
  <c r="T1394" i="7"/>
  <c r="P1394" i="7"/>
  <c r="L1394" i="7"/>
  <c r="D1394" i="7"/>
  <c r="E1393" i="7"/>
  <c r="V1392" i="7"/>
  <c r="R1392" i="7"/>
  <c r="N1392" i="7"/>
  <c r="F1392" i="7"/>
  <c r="B1392" i="7"/>
  <c r="W1391" i="7"/>
  <c r="C1391" i="7"/>
  <c r="X1390" i="7"/>
  <c r="T1390" i="7"/>
  <c r="P1390" i="7"/>
  <c r="L1390" i="7"/>
  <c r="D1390" i="7"/>
  <c r="E1389" i="7"/>
  <c r="V1388" i="7"/>
  <c r="R1388" i="7"/>
  <c r="N1388" i="7"/>
  <c r="F1388" i="7"/>
  <c r="B1388" i="7"/>
  <c r="W1387" i="7"/>
  <c r="C1387" i="7"/>
  <c r="X1386" i="7"/>
  <c r="T1386" i="7"/>
  <c r="P1386" i="7"/>
  <c r="L1386" i="7"/>
  <c r="D1386" i="7"/>
  <c r="E1385" i="7"/>
  <c r="V1384" i="7"/>
  <c r="R1384" i="7"/>
  <c r="N1384" i="7"/>
  <c r="F1384" i="7"/>
  <c r="B1384" i="7"/>
  <c r="W1383" i="7"/>
  <c r="C1383" i="7"/>
  <c r="X1382" i="7"/>
  <c r="T1382" i="7"/>
  <c r="P1382" i="7"/>
  <c r="L1382" i="7"/>
  <c r="D1382" i="7"/>
  <c r="E1381" i="7"/>
  <c r="V1380" i="7"/>
  <c r="R1380" i="7"/>
  <c r="N1380" i="7"/>
  <c r="F1380" i="7"/>
  <c r="B1380" i="7"/>
  <c r="W1379" i="7"/>
  <c r="C1379" i="7"/>
  <c r="X1378" i="7"/>
  <c r="T1378" i="7"/>
  <c r="P1378" i="7"/>
  <c r="L1378" i="7"/>
  <c r="D1378" i="7"/>
  <c r="E1377" i="7"/>
  <c r="V1376" i="7"/>
  <c r="R1376" i="7"/>
  <c r="N1376" i="7"/>
  <c r="F1376" i="7"/>
  <c r="B1376" i="7"/>
  <c r="W1375" i="7"/>
  <c r="C1375" i="7"/>
  <c r="X1374" i="7"/>
  <c r="T1374" i="7"/>
  <c r="P1374" i="7"/>
  <c r="L1374" i="7"/>
  <c r="D1374" i="7"/>
  <c r="E1373" i="7"/>
  <c r="V1372" i="7"/>
  <c r="R1372" i="7"/>
  <c r="N1372" i="7"/>
  <c r="F1372" i="7"/>
  <c r="B1372" i="7"/>
  <c r="W1371" i="7"/>
  <c r="C1371" i="7"/>
  <c r="X1370" i="7"/>
  <c r="T1370" i="7"/>
  <c r="P1370" i="7"/>
  <c r="L1370" i="7"/>
  <c r="D1370" i="7"/>
  <c r="E1369" i="7"/>
  <c r="V1368" i="7"/>
  <c r="R1368" i="7"/>
  <c r="N1368" i="7"/>
  <c r="F1368" i="7"/>
  <c r="B1368" i="7"/>
  <c r="W1367" i="7"/>
  <c r="C1367" i="7"/>
  <c r="X1366" i="7"/>
  <c r="T1366" i="7"/>
  <c r="P1366" i="7"/>
  <c r="L1366" i="7"/>
  <c r="D1366" i="7"/>
  <c r="E1365" i="7"/>
  <c r="V1364" i="7"/>
  <c r="R1364" i="7"/>
  <c r="N1364" i="7"/>
  <c r="F1364" i="7"/>
  <c r="B1364" i="7"/>
  <c r="W1363" i="7"/>
  <c r="C1363" i="7"/>
  <c r="X1362" i="7"/>
  <c r="T1362" i="7"/>
  <c r="P1362" i="7"/>
  <c r="L1362" i="7"/>
  <c r="D1362" i="7"/>
  <c r="E1361" i="7"/>
  <c r="V1360" i="7"/>
  <c r="R1360" i="7"/>
  <c r="N1360" i="7"/>
  <c r="F1360" i="7"/>
  <c r="B1360" i="7"/>
  <c r="W1359" i="7"/>
  <c r="C1359" i="7"/>
  <c r="X1358" i="7"/>
  <c r="T1358" i="7"/>
  <c r="P1358" i="7"/>
  <c r="L1358" i="7"/>
  <c r="D1358" i="7"/>
  <c r="E1357" i="7"/>
  <c r="V1356" i="7"/>
  <c r="R1356" i="7"/>
  <c r="N1356" i="7"/>
  <c r="F1356" i="7"/>
  <c r="B1356" i="7"/>
  <c r="W1355" i="7"/>
  <c r="C1355" i="7"/>
  <c r="X1354" i="7"/>
  <c r="T1354" i="7"/>
  <c r="P1354" i="7"/>
  <c r="L1354" i="7"/>
  <c r="D1354" i="7"/>
  <c r="E1353" i="7"/>
  <c r="V1352" i="7"/>
  <c r="R1352" i="7"/>
  <c r="N1352" i="7"/>
  <c r="F1352" i="7"/>
  <c r="B1352" i="7"/>
  <c r="W1351" i="7"/>
  <c r="C1351" i="7"/>
  <c r="X1350" i="7"/>
  <c r="T1350" i="7"/>
  <c r="P1350" i="7"/>
  <c r="L1350" i="7"/>
  <c r="D1350" i="7"/>
  <c r="E1349" i="7"/>
  <c r="V1348" i="7"/>
  <c r="R1348" i="7"/>
  <c r="N1348" i="7"/>
  <c r="F1348" i="7"/>
  <c r="B1348" i="7"/>
  <c r="W1347" i="7"/>
  <c r="C1347" i="7"/>
  <c r="X1346" i="7"/>
  <c r="T1346" i="7"/>
  <c r="L1550" i="7"/>
  <c r="E1549" i="7"/>
  <c r="L1542" i="7"/>
  <c r="E1541" i="7"/>
  <c r="L1534" i="7"/>
  <c r="E1533" i="7"/>
  <c r="L1526" i="7"/>
  <c r="E1525" i="7"/>
  <c r="L1518" i="7"/>
  <c r="E1517" i="7"/>
  <c r="L1510" i="7"/>
  <c r="E1509" i="7"/>
  <c r="L1502" i="7"/>
  <c r="E1501" i="7"/>
  <c r="L1495" i="7"/>
  <c r="X1492" i="7"/>
  <c r="D1492" i="7"/>
  <c r="X1488" i="7"/>
  <c r="F1488" i="7"/>
  <c r="T1486" i="7"/>
  <c r="D1486" i="7"/>
  <c r="V1484" i="7"/>
  <c r="F1484" i="7"/>
  <c r="T1482" i="7"/>
  <c r="D1482" i="7"/>
  <c r="V1480" i="7"/>
  <c r="F1480" i="7"/>
  <c r="T1478" i="7"/>
  <c r="D1478" i="7"/>
  <c r="V1476" i="7"/>
  <c r="F1476" i="7"/>
  <c r="T1474" i="7"/>
  <c r="D1474" i="7"/>
  <c r="V1472" i="7"/>
  <c r="F1472" i="7"/>
  <c r="T1470" i="7"/>
  <c r="D1470" i="7"/>
  <c r="V1468" i="7"/>
  <c r="F1468" i="7"/>
  <c r="T1466" i="7"/>
  <c r="D1466" i="7"/>
  <c r="V1464" i="7"/>
  <c r="F1464" i="7"/>
  <c r="T1462" i="7"/>
  <c r="D1462" i="7"/>
  <c r="V1460" i="7"/>
  <c r="F1460" i="7"/>
  <c r="T1458" i="7"/>
  <c r="D1458" i="7"/>
  <c r="V1456" i="7"/>
  <c r="F1456" i="7"/>
  <c r="T1454" i="7"/>
  <c r="D1454" i="7"/>
  <c r="V1452" i="7"/>
  <c r="F1452" i="7"/>
  <c r="T1450" i="7"/>
  <c r="D1450" i="7"/>
  <c r="V1448" i="7"/>
  <c r="F1448" i="7"/>
  <c r="T1446" i="7"/>
  <c r="D1446" i="7"/>
  <c r="V1444" i="7"/>
  <c r="F1444" i="7"/>
  <c r="T1442" i="7"/>
  <c r="D1442" i="7"/>
  <c r="V1440" i="7"/>
  <c r="N1440" i="7"/>
  <c r="D1440" i="7"/>
  <c r="F1439" i="7"/>
  <c r="T1438" i="7"/>
  <c r="F1438" i="7"/>
  <c r="T1437" i="7"/>
  <c r="E1437" i="7"/>
  <c r="T1436" i="7"/>
  <c r="N1436" i="7"/>
  <c r="F1436" i="7"/>
  <c r="F1435" i="7"/>
  <c r="T1434" i="7"/>
  <c r="F1434" i="7"/>
  <c r="T1433" i="7"/>
  <c r="E1433" i="7"/>
  <c r="T1432" i="7"/>
  <c r="N1432" i="7"/>
  <c r="F1432" i="7"/>
  <c r="F1431" i="7"/>
  <c r="T1430" i="7"/>
  <c r="F1430" i="7"/>
  <c r="T1429" i="7"/>
  <c r="E1429" i="7"/>
  <c r="T1428" i="7"/>
  <c r="N1428" i="7"/>
  <c r="F1428" i="7"/>
  <c r="F1427" i="7"/>
  <c r="T1426" i="7"/>
  <c r="F1426" i="7"/>
  <c r="T1425" i="7"/>
  <c r="E1425" i="7"/>
  <c r="E1424" i="7"/>
  <c r="V1423" i="7"/>
  <c r="R1423" i="7"/>
  <c r="N1423" i="7"/>
  <c r="F1423" i="7"/>
  <c r="B1423" i="7"/>
  <c r="W1422" i="7"/>
  <c r="C1422" i="7"/>
  <c r="X1421" i="7"/>
  <c r="T1421" i="7"/>
  <c r="P1421" i="7"/>
  <c r="L1421" i="7"/>
  <c r="D1421" i="7"/>
  <c r="E1420" i="7"/>
  <c r="V1419" i="7"/>
  <c r="R1419" i="7"/>
  <c r="N1419" i="7"/>
  <c r="F1419" i="7"/>
  <c r="B1419" i="7"/>
  <c r="W1418" i="7"/>
  <c r="C1418" i="7"/>
  <c r="X1417" i="7"/>
  <c r="T1417" i="7"/>
  <c r="P1417" i="7"/>
  <c r="L1417" i="7"/>
  <c r="D1417" i="7"/>
  <c r="E1416" i="7"/>
  <c r="V1415" i="7"/>
  <c r="R1415" i="7"/>
  <c r="N1415" i="7"/>
  <c r="F1415" i="7"/>
  <c r="W1414" i="7"/>
  <c r="C1414" i="7"/>
  <c r="L1413" i="7"/>
  <c r="E1412" i="7"/>
  <c r="N1411" i="7"/>
  <c r="W1410" i="7"/>
  <c r="C1410" i="7"/>
  <c r="L1409" i="7"/>
  <c r="E1408" i="7"/>
  <c r="N1407" i="7"/>
  <c r="W1406" i="7"/>
  <c r="C1406" i="7"/>
  <c r="L1405" i="7"/>
  <c r="E1404" i="7"/>
  <c r="N1403" i="7"/>
  <c r="W1402" i="7"/>
  <c r="C1402" i="7"/>
  <c r="L1401" i="7"/>
  <c r="E1400" i="7"/>
  <c r="N1399" i="7"/>
  <c r="W1398" i="7"/>
  <c r="C1398" i="7"/>
  <c r="L1397" i="7"/>
  <c r="E1396" i="7"/>
  <c r="N1395" i="7"/>
  <c r="W1394" i="7"/>
  <c r="C1394" i="7"/>
  <c r="L1393" i="7"/>
  <c r="E1392" i="7"/>
  <c r="N1391" i="7"/>
  <c r="W1390" i="7"/>
  <c r="C1390" i="7"/>
  <c r="L1389" i="7"/>
  <c r="E1388" i="7"/>
  <c r="N1387" i="7"/>
  <c r="W1386" i="7"/>
  <c r="C1386" i="7"/>
  <c r="L1385" i="7"/>
  <c r="E1384" i="7"/>
  <c r="N1383" i="7"/>
  <c r="W1382" i="7"/>
  <c r="C1382" i="7"/>
  <c r="L1381" i="7"/>
  <c r="E1380" i="7"/>
  <c r="N1379" i="7"/>
  <c r="W1378" i="7"/>
  <c r="C1378" i="7"/>
  <c r="L1377" i="7"/>
  <c r="E1376" i="7"/>
  <c r="N1375" i="7"/>
  <c r="W1374" i="7"/>
  <c r="C1374" i="7"/>
  <c r="L1373" i="7"/>
  <c r="E1372" i="7"/>
  <c r="N1371" i="7"/>
  <c r="W1370" i="7"/>
  <c r="C1370" i="7"/>
  <c r="L1369" i="7"/>
  <c r="E1368" i="7"/>
  <c r="N1367" i="7"/>
  <c r="W1366" i="7"/>
  <c r="C1366" i="7"/>
  <c r="L1365" i="7"/>
  <c r="E1364" i="7"/>
  <c r="N1363" i="7"/>
  <c r="W1362" i="7"/>
  <c r="C1362" i="7"/>
  <c r="L1361" i="7"/>
  <c r="E1360" i="7"/>
  <c r="N1359" i="7"/>
  <c r="W1358" i="7"/>
  <c r="C1358" i="7"/>
  <c r="L1357" i="7"/>
  <c r="E1356" i="7"/>
  <c r="N1355" i="7"/>
  <c r="W1354" i="7"/>
  <c r="C1354" i="7"/>
  <c r="L1353" i="7"/>
  <c r="E1352" i="7"/>
  <c r="N1351" i="7"/>
  <c r="W1350" i="7"/>
  <c r="C1350" i="7"/>
  <c r="L1349" i="7"/>
  <c r="E1348" i="7"/>
  <c r="N1347" i="7"/>
  <c r="W1346" i="7"/>
  <c r="L1346" i="7"/>
  <c r="F1344" i="7"/>
  <c r="W1343" i="7"/>
  <c r="C1343" i="7"/>
  <c r="T1342" i="7"/>
  <c r="L1342" i="7"/>
  <c r="F1340" i="7"/>
  <c r="W1339" i="7"/>
  <c r="C1339" i="7"/>
  <c r="T1338" i="7"/>
  <c r="L1338" i="7"/>
  <c r="B1338" i="7"/>
  <c r="W1337" i="7"/>
  <c r="C1337" i="7"/>
  <c r="X1336" i="7"/>
  <c r="T1336" i="7"/>
  <c r="P1336" i="7"/>
  <c r="L1336" i="7"/>
  <c r="D1336" i="7"/>
  <c r="E1335" i="7"/>
  <c r="V1334" i="7"/>
  <c r="R1334" i="7"/>
  <c r="N1334" i="7"/>
  <c r="F1334" i="7"/>
  <c r="B1334" i="7"/>
  <c r="W1333" i="7"/>
  <c r="C1333" i="7"/>
  <c r="X1332" i="7"/>
  <c r="T1332" i="7"/>
  <c r="P1332" i="7"/>
  <c r="L1332" i="7"/>
  <c r="D1332" i="7"/>
  <c r="E1331" i="7"/>
  <c r="V1330" i="7"/>
  <c r="R1330" i="7"/>
  <c r="N1330" i="7"/>
  <c r="F1330" i="7"/>
  <c r="B1330" i="7"/>
  <c r="W1329" i="7"/>
  <c r="C1329" i="7"/>
  <c r="X1328" i="7"/>
  <c r="T1328" i="7"/>
  <c r="P1328" i="7"/>
  <c r="L1328" i="7"/>
  <c r="D1328" i="7"/>
  <c r="E1327" i="7"/>
  <c r="V1326" i="7"/>
  <c r="R1326" i="7"/>
  <c r="N1326" i="7"/>
  <c r="F1326" i="7"/>
  <c r="B1326" i="7"/>
  <c r="W1325" i="7"/>
  <c r="C1325" i="7"/>
  <c r="X1324" i="7"/>
  <c r="T1324" i="7"/>
  <c r="P1324" i="7"/>
  <c r="L1324" i="7"/>
  <c r="D1324" i="7"/>
  <c r="E1323" i="7"/>
  <c r="V1322" i="7"/>
  <c r="R1322" i="7"/>
  <c r="N1322" i="7"/>
  <c r="F1322" i="7"/>
  <c r="B1322" i="7"/>
  <c r="W1321" i="7"/>
  <c r="C1321" i="7"/>
  <c r="X1320" i="7"/>
  <c r="T1320" i="7"/>
  <c r="P1320" i="7"/>
  <c r="L1320" i="7"/>
  <c r="D1320" i="7"/>
  <c r="E1319" i="7"/>
  <c r="V1318" i="7"/>
  <c r="R1318" i="7"/>
  <c r="N1318" i="7"/>
  <c r="F1318" i="7"/>
  <c r="B1318" i="7"/>
  <c r="W1317" i="7"/>
  <c r="C1317" i="7"/>
  <c r="X1316" i="7"/>
  <c r="T1316" i="7"/>
  <c r="P1316" i="7"/>
  <c r="L1316" i="7"/>
  <c r="D1316" i="7"/>
  <c r="E1315" i="7"/>
  <c r="V1314" i="7"/>
  <c r="R1314" i="7"/>
  <c r="N1314" i="7"/>
  <c r="F1314" i="7"/>
  <c r="B1314" i="7"/>
  <c r="W1313" i="7"/>
  <c r="C1313" i="7"/>
  <c r="X1312" i="7"/>
  <c r="T1312" i="7"/>
  <c r="P1312" i="7"/>
  <c r="L1312" i="7"/>
  <c r="D1312" i="7"/>
  <c r="E1311" i="7"/>
  <c r="V1310" i="7"/>
  <c r="R1310" i="7"/>
  <c r="N1310" i="7"/>
  <c r="F1310" i="7"/>
  <c r="B1310" i="7"/>
  <c r="W1309" i="7"/>
  <c r="C1309" i="7"/>
  <c r="X1308" i="7"/>
  <c r="T1308" i="7"/>
  <c r="P1308" i="7"/>
  <c r="L1308" i="7"/>
  <c r="D1308" i="7"/>
  <c r="E1307" i="7"/>
  <c r="V1306" i="7"/>
  <c r="R1306" i="7"/>
  <c r="N1306" i="7"/>
  <c r="F1306" i="7"/>
  <c r="B1306" i="7"/>
  <c r="W1305" i="7"/>
  <c r="C1305" i="7"/>
  <c r="X1304" i="7"/>
  <c r="T1304" i="7"/>
  <c r="P1304" i="7"/>
  <c r="L1304" i="7"/>
  <c r="D1304" i="7"/>
  <c r="E1303" i="7"/>
  <c r="V1302" i="7"/>
  <c r="R1302" i="7"/>
  <c r="N1302" i="7"/>
  <c r="F1302" i="7"/>
  <c r="B1302" i="7"/>
  <c r="W1301" i="7"/>
  <c r="C1301" i="7"/>
  <c r="X1300" i="7"/>
  <c r="T1300" i="7"/>
  <c r="P1300" i="7"/>
  <c r="L1300" i="7"/>
  <c r="D1300" i="7"/>
  <c r="E1299" i="7"/>
  <c r="V1298" i="7"/>
  <c r="R1298" i="7"/>
  <c r="N1298" i="7"/>
  <c r="F1298" i="7"/>
  <c r="B1298" i="7"/>
  <c r="W1297" i="7"/>
  <c r="C1297" i="7"/>
  <c r="X1296" i="7"/>
  <c r="T1296" i="7"/>
  <c r="P1296" i="7"/>
  <c r="L1296" i="7"/>
  <c r="D1296" i="7"/>
  <c r="E1295" i="7"/>
  <c r="V1294" i="7"/>
  <c r="R1294" i="7"/>
  <c r="N1294" i="7"/>
  <c r="F1294" i="7"/>
  <c r="B1294" i="7"/>
  <c r="W1293" i="7"/>
  <c r="C1293" i="7"/>
  <c r="X1292" i="7"/>
  <c r="T1292" i="7"/>
  <c r="P1292" i="7"/>
  <c r="L1292" i="7"/>
  <c r="D1292" i="7"/>
  <c r="E1291" i="7"/>
  <c r="V1290" i="7"/>
  <c r="R1290" i="7"/>
  <c r="N1290" i="7"/>
  <c r="F1290" i="7"/>
  <c r="B1290" i="7"/>
  <c r="W1289" i="7"/>
  <c r="C1289" i="7"/>
  <c r="X1288" i="7"/>
  <c r="T1288" i="7"/>
  <c r="P1288" i="7"/>
  <c r="L1288" i="7"/>
  <c r="D1288" i="7"/>
  <c r="E1287" i="7"/>
  <c r="V1286" i="7"/>
  <c r="R1286" i="7"/>
  <c r="N1286" i="7"/>
  <c r="F1286" i="7"/>
  <c r="B1286" i="7"/>
  <c r="W1285" i="7"/>
  <c r="C1285" i="7"/>
  <c r="X1284" i="7"/>
  <c r="T1284" i="7"/>
  <c r="P1284" i="7"/>
  <c r="L1284" i="7"/>
  <c r="D1284" i="7"/>
  <c r="E1283" i="7"/>
  <c r="V1282" i="7"/>
  <c r="R1282" i="7"/>
  <c r="N1282" i="7"/>
  <c r="F1282" i="7"/>
  <c r="B1282" i="7"/>
  <c r="W1281" i="7"/>
  <c r="C1281" i="7"/>
  <c r="X1280" i="7"/>
  <c r="T1280" i="7"/>
  <c r="P1280" i="7"/>
  <c r="L1280" i="7"/>
  <c r="D1280" i="7"/>
  <c r="E1279" i="7"/>
  <c r="V1278" i="7"/>
  <c r="R1278" i="7"/>
  <c r="N1278" i="7"/>
  <c r="F1278" i="7"/>
  <c r="B1278" i="7"/>
  <c r="W1277" i="7"/>
  <c r="C1277" i="7"/>
  <c r="X1276" i="7"/>
  <c r="T1276" i="7"/>
  <c r="P1276" i="7"/>
  <c r="L1276" i="7"/>
  <c r="D1276" i="7"/>
  <c r="E1275" i="7"/>
  <c r="V1274" i="7"/>
  <c r="R1274" i="7"/>
  <c r="N1274" i="7"/>
  <c r="F1274" i="7"/>
  <c r="B1274" i="7"/>
  <c r="W1273" i="7"/>
  <c r="C1273" i="7"/>
  <c r="X1272" i="7"/>
  <c r="T1272" i="7"/>
  <c r="P1272" i="7"/>
  <c r="L1272" i="7"/>
  <c r="D1272" i="7"/>
  <c r="E1271" i="7"/>
  <c r="V1270" i="7"/>
  <c r="R1270" i="7"/>
  <c r="N1270" i="7"/>
  <c r="F1270" i="7"/>
  <c r="B1270" i="7"/>
  <c r="W1269" i="7"/>
  <c r="C1269" i="7"/>
  <c r="X1268" i="7"/>
  <c r="T1268" i="7"/>
  <c r="P1268" i="7"/>
  <c r="L1268" i="7"/>
  <c r="D1268" i="7"/>
  <c r="E1267" i="7"/>
  <c r="V1266" i="7"/>
  <c r="R1266" i="7"/>
  <c r="N1266" i="7"/>
  <c r="F1266" i="7"/>
  <c r="B1266" i="7"/>
  <c r="W1265" i="7"/>
  <c r="C1265" i="7"/>
  <c r="X1264" i="7"/>
  <c r="T1264" i="7"/>
  <c r="P1264" i="7"/>
  <c r="L1264" i="7"/>
  <c r="D1264" i="7"/>
  <c r="E1263" i="7"/>
  <c r="V1262" i="7"/>
  <c r="R1262" i="7"/>
  <c r="N1262" i="7"/>
  <c r="F1262" i="7"/>
  <c r="B1262" i="7"/>
  <c r="W1261" i="7"/>
  <c r="C1261" i="7"/>
  <c r="X1260" i="7"/>
  <c r="T1260" i="7"/>
  <c r="P1260" i="7"/>
  <c r="L1260" i="7"/>
  <c r="D1260" i="7"/>
  <c r="E1259" i="7"/>
  <c r="V1258" i="7"/>
  <c r="X1413" i="7"/>
  <c r="X1409" i="7"/>
  <c r="X1405" i="7"/>
  <c r="X1401" i="7"/>
  <c r="X1397" i="7"/>
  <c r="X1393" i="7"/>
  <c r="X1389" i="7"/>
  <c r="X1385" i="7"/>
  <c r="X1381" i="7"/>
  <c r="X1377" i="7"/>
  <c r="X1373" i="7"/>
  <c r="X1369" i="7"/>
  <c r="X1365" i="7"/>
  <c r="X1361" i="7"/>
  <c r="X1357" i="7"/>
  <c r="X1353" i="7"/>
  <c r="X1349" i="7"/>
  <c r="X1345" i="7"/>
  <c r="P1345" i="7"/>
  <c r="E1345" i="7"/>
  <c r="V1344" i="7"/>
  <c r="N1344" i="7"/>
  <c r="E1344" i="7"/>
  <c r="V1343" i="7"/>
  <c r="N1343" i="7"/>
  <c r="B1343" i="7"/>
  <c r="X1341" i="7"/>
  <c r="P1341" i="7"/>
  <c r="E1341" i="7"/>
  <c r="V1340" i="7"/>
  <c r="N1340" i="7"/>
  <c r="E1340" i="7"/>
  <c r="V1339" i="7"/>
  <c r="N1339" i="7"/>
  <c r="B1339" i="7"/>
  <c r="V1337" i="7"/>
  <c r="R1337" i="7"/>
  <c r="N1337" i="7"/>
  <c r="F1337" i="7"/>
  <c r="B1337" i="7"/>
  <c r="W1336" i="7"/>
  <c r="C1336" i="7"/>
  <c r="X1335" i="7"/>
  <c r="T1335" i="7"/>
  <c r="P1335" i="7"/>
  <c r="L1335" i="7"/>
  <c r="D1335" i="7"/>
  <c r="E1334" i="7"/>
  <c r="V1333" i="7"/>
  <c r="R1333" i="7"/>
  <c r="N1333" i="7"/>
  <c r="F1333" i="7"/>
  <c r="B1333" i="7"/>
  <c r="W1332" i="7"/>
  <c r="C1332" i="7"/>
  <c r="X1331" i="7"/>
  <c r="T1331" i="7"/>
  <c r="P1331" i="7"/>
  <c r="L1331" i="7"/>
  <c r="D1331" i="7"/>
  <c r="E1330" i="7"/>
  <c r="V1329" i="7"/>
  <c r="R1329" i="7"/>
  <c r="N1329" i="7"/>
  <c r="F1329" i="7"/>
  <c r="B1329" i="7"/>
  <c r="W1328" i="7"/>
  <c r="C1328" i="7"/>
  <c r="X1327" i="7"/>
  <c r="T1327" i="7"/>
  <c r="P1327" i="7"/>
  <c r="L1327" i="7"/>
  <c r="D1327" i="7"/>
  <c r="E1326" i="7"/>
  <c r="V1325" i="7"/>
  <c r="R1325" i="7"/>
  <c r="N1325" i="7"/>
  <c r="F1325" i="7"/>
  <c r="B1325" i="7"/>
  <c r="W1324" i="7"/>
  <c r="C1324" i="7"/>
  <c r="X1323" i="7"/>
  <c r="T1323" i="7"/>
  <c r="P1323" i="7"/>
  <c r="L1323" i="7"/>
  <c r="D1323" i="7"/>
  <c r="E1322" i="7"/>
  <c r="V1321" i="7"/>
  <c r="R1321" i="7"/>
  <c r="N1321" i="7"/>
  <c r="F1321" i="7"/>
  <c r="B1321" i="7"/>
  <c r="W1320" i="7"/>
  <c r="C1320" i="7"/>
  <c r="X1319" i="7"/>
  <c r="T1319" i="7"/>
  <c r="P1319" i="7"/>
  <c r="L1319" i="7"/>
  <c r="D1319" i="7"/>
  <c r="E1318" i="7"/>
  <c r="V1317" i="7"/>
  <c r="R1317" i="7"/>
  <c r="N1317" i="7"/>
  <c r="F1317" i="7"/>
  <c r="B1317" i="7"/>
  <c r="W1316" i="7"/>
  <c r="C1316" i="7"/>
  <c r="X1315" i="7"/>
  <c r="T1315" i="7"/>
  <c r="P1315" i="7"/>
  <c r="L1315" i="7"/>
  <c r="D1315" i="7"/>
  <c r="E1314" i="7"/>
  <c r="V1313" i="7"/>
  <c r="R1313" i="7"/>
  <c r="N1313" i="7"/>
  <c r="F1313" i="7"/>
  <c r="B1313" i="7"/>
  <c r="W1312" i="7"/>
  <c r="C1312" i="7"/>
  <c r="X1311" i="7"/>
  <c r="T1311" i="7"/>
  <c r="P1311" i="7"/>
  <c r="L1311" i="7"/>
  <c r="D1311" i="7"/>
  <c r="E1310" i="7"/>
  <c r="V1309" i="7"/>
  <c r="R1309" i="7"/>
  <c r="N1309" i="7"/>
  <c r="F1309" i="7"/>
  <c r="B1309" i="7"/>
  <c r="W1308" i="7"/>
  <c r="C1308" i="7"/>
  <c r="X1307" i="7"/>
  <c r="T1307" i="7"/>
  <c r="P1307" i="7"/>
  <c r="L1307" i="7"/>
  <c r="D1307" i="7"/>
  <c r="E1306" i="7"/>
  <c r="V1305" i="7"/>
  <c r="R1305" i="7"/>
  <c r="N1305" i="7"/>
  <c r="F1305" i="7"/>
  <c r="B1305" i="7"/>
  <c r="W1304" i="7"/>
  <c r="C1304" i="7"/>
  <c r="X1303" i="7"/>
  <c r="T1303" i="7"/>
  <c r="P1303" i="7"/>
  <c r="L1303" i="7"/>
  <c r="D1303" i="7"/>
  <c r="E1302" i="7"/>
  <c r="V1301" i="7"/>
  <c r="R1301" i="7"/>
  <c r="N1301" i="7"/>
  <c r="F1301" i="7"/>
  <c r="B1301" i="7"/>
  <c r="W1300" i="7"/>
  <c r="C1300" i="7"/>
  <c r="X1299" i="7"/>
  <c r="T1299" i="7"/>
  <c r="P1299" i="7"/>
  <c r="L1299" i="7"/>
  <c r="D1299" i="7"/>
  <c r="E1298" i="7"/>
  <c r="V1297" i="7"/>
  <c r="R1297" i="7"/>
  <c r="N1297" i="7"/>
  <c r="F1297" i="7"/>
  <c r="B1297" i="7"/>
  <c r="W1296" i="7"/>
  <c r="C1296" i="7"/>
  <c r="X1295" i="7"/>
  <c r="T1295" i="7"/>
  <c r="P1295" i="7"/>
  <c r="L1295" i="7"/>
  <c r="D1295" i="7"/>
  <c r="E1294" i="7"/>
  <c r="V1293" i="7"/>
  <c r="R1293" i="7"/>
  <c r="N1293" i="7"/>
  <c r="F1293" i="7"/>
  <c r="B1293" i="7"/>
  <c r="W1292" i="7"/>
  <c r="C1292" i="7"/>
  <c r="X1291" i="7"/>
  <c r="T1291" i="7"/>
  <c r="P1291" i="7"/>
  <c r="L1291" i="7"/>
  <c r="D1291" i="7"/>
  <c r="E1290" i="7"/>
  <c r="V1289" i="7"/>
  <c r="R1289" i="7"/>
  <c r="N1289" i="7"/>
  <c r="F1289" i="7"/>
  <c r="B1289" i="7"/>
  <c r="W1288" i="7"/>
  <c r="C1288" i="7"/>
  <c r="X1287" i="7"/>
  <c r="T1287" i="7"/>
  <c r="P1287" i="7"/>
  <c r="L1287" i="7"/>
  <c r="D1287" i="7"/>
  <c r="E1286" i="7"/>
  <c r="V1285" i="7"/>
  <c r="R1285" i="7"/>
  <c r="N1285" i="7"/>
  <c r="F1285" i="7"/>
  <c r="B1285" i="7"/>
  <c r="W1284" i="7"/>
  <c r="C1284" i="7"/>
  <c r="X1283" i="7"/>
  <c r="T1283" i="7"/>
  <c r="P1283" i="7"/>
  <c r="L1283" i="7"/>
  <c r="D1283" i="7"/>
  <c r="E1282" i="7"/>
  <c r="V1281" i="7"/>
  <c r="R1281" i="7"/>
  <c r="N1281" i="7"/>
  <c r="F1281" i="7"/>
  <c r="B1281" i="7"/>
  <c r="W1280" i="7"/>
  <c r="C1280" i="7"/>
  <c r="X1279" i="7"/>
  <c r="T1279" i="7"/>
  <c r="P1279" i="7"/>
  <c r="L1279" i="7"/>
  <c r="D1279" i="7"/>
  <c r="E1278" i="7"/>
  <c r="V1277" i="7"/>
  <c r="R1277" i="7"/>
  <c r="N1277" i="7"/>
  <c r="F1277" i="7"/>
  <c r="B1277" i="7"/>
  <c r="W1276" i="7"/>
  <c r="C1276" i="7"/>
  <c r="X1275" i="7"/>
  <c r="T1275" i="7"/>
  <c r="P1275" i="7"/>
  <c r="L1275" i="7"/>
  <c r="D1275" i="7"/>
  <c r="E1274" i="7"/>
  <c r="V1273" i="7"/>
  <c r="R1273" i="7"/>
  <c r="N1273" i="7"/>
  <c r="F1273" i="7"/>
  <c r="B1273" i="7"/>
  <c r="W1272" i="7"/>
  <c r="C1272" i="7"/>
  <c r="X1271" i="7"/>
  <c r="T1271" i="7"/>
  <c r="P1271" i="7"/>
  <c r="L1271" i="7"/>
  <c r="D1271" i="7"/>
  <c r="E1270" i="7"/>
  <c r="V1269" i="7"/>
  <c r="R1269" i="7"/>
  <c r="N1269" i="7"/>
  <c r="F1269" i="7"/>
  <c r="B1269" i="7"/>
  <c r="W1268" i="7"/>
  <c r="C1268" i="7"/>
  <c r="X1267" i="7"/>
  <c r="T1267" i="7"/>
  <c r="P1267" i="7"/>
  <c r="L1267" i="7"/>
  <c r="D1267" i="7"/>
  <c r="E1266" i="7"/>
  <c r="V1265" i="7"/>
  <c r="R1265" i="7"/>
  <c r="N1265" i="7"/>
  <c r="F1265" i="7"/>
  <c r="B1265" i="7"/>
  <c r="W1264" i="7"/>
  <c r="C1264" i="7"/>
  <c r="X1263" i="7"/>
  <c r="T1263" i="7"/>
  <c r="P1263" i="7"/>
  <c r="L1263" i="7"/>
  <c r="D1263" i="7"/>
  <c r="E1262" i="7"/>
  <c r="V1261" i="7"/>
  <c r="R1261" i="7"/>
  <c r="N1261" i="7"/>
  <c r="F1261" i="7"/>
  <c r="B1261" i="7"/>
  <c r="W1260" i="7"/>
  <c r="C1260" i="7"/>
  <c r="X1259" i="7"/>
  <c r="T1259" i="7"/>
  <c r="P1259" i="7"/>
  <c r="L1259" i="7"/>
  <c r="D1259" i="7"/>
  <c r="E1258" i="7"/>
  <c r="V1257" i="7"/>
  <c r="R1257" i="7"/>
  <c r="N1257" i="7"/>
  <c r="F1257" i="7"/>
  <c r="B1257" i="7"/>
  <c r="W1256" i="7"/>
  <c r="C1256" i="7"/>
  <c r="X1255" i="7"/>
  <c r="T1255" i="7"/>
  <c r="P1255" i="7"/>
  <c r="T1413" i="7"/>
  <c r="D1413" i="7"/>
  <c r="V1411" i="7"/>
  <c r="F1411" i="7"/>
  <c r="T1409" i="7"/>
  <c r="D1409" i="7"/>
  <c r="V1407" i="7"/>
  <c r="F1407" i="7"/>
  <c r="T1405" i="7"/>
  <c r="D1405" i="7"/>
  <c r="V1403" i="7"/>
  <c r="F1403" i="7"/>
  <c r="T1401" i="7"/>
  <c r="D1401" i="7"/>
  <c r="V1399" i="7"/>
  <c r="F1399" i="7"/>
  <c r="T1397" i="7"/>
  <c r="D1397" i="7"/>
  <c r="V1395" i="7"/>
  <c r="F1395" i="7"/>
  <c r="T1393" i="7"/>
  <c r="D1393" i="7"/>
  <c r="V1391" i="7"/>
  <c r="F1391" i="7"/>
  <c r="T1389" i="7"/>
  <c r="D1389" i="7"/>
  <c r="V1387" i="7"/>
  <c r="F1387" i="7"/>
  <c r="T1385" i="7"/>
  <c r="D1385" i="7"/>
  <c r="V1383" i="7"/>
  <c r="F1383" i="7"/>
  <c r="T1381" i="7"/>
  <c r="D1381" i="7"/>
  <c r="V1379" i="7"/>
  <c r="F1379" i="7"/>
  <c r="T1377" i="7"/>
  <c r="D1377" i="7"/>
  <c r="V1375" i="7"/>
  <c r="F1375" i="7"/>
  <c r="T1373" i="7"/>
  <c r="D1373" i="7"/>
  <c r="V1371" i="7"/>
  <c r="F1371" i="7"/>
  <c r="T1369" i="7"/>
  <c r="D1369" i="7"/>
  <c r="V1367" i="7"/>
  <c r="F1367" i="7"/>
  <c r="T1365" i="7"/>
  <c r="D1365" i="7"/>
  <c r="V1363" i="7"/>
  <c r="F1363" i="7"/>
  <c r="T1361" i="7"/>
  <c r="D1361" i="7"/>
  <c r="V1359" i="7"/>
  <c r="F1359" i="7"/>
  <c r="T1357" i="7"/>
  <c r="D1357" i="7"/>
  <c r="V1355" i="7"/>
  <c r="F1355" i="7"/>
  <c r="T1353" i="7"/>
  <c r="D1353" i="7"/>
  <c r="V1351" i="7"/>
  <c r="F1351" i="7"/>
  <c r="T1349" i="7"/>
  <c r="D1349" i="7"/>
  <c r="V1347" i="7"/>
  <c r="F1347" i="7"/>
  <c r="P1346" i="7"/>
  <c r="D1346" i="7"/>
  <c r="D1345" i="7"/>
  <c r="B1344" i="7"/>
  <c r="X1342" i="7"/>
  <c r="P1342" i="7"/>
  <c r="D1342" i="7"/>
  <c r="D1341" i="7"/>
  <c r="B1340" i="7"/>
  <c r="X1338" i="7"/>
  <c r="P1338" i="7"/>
  <c r="D1338" i="7"/>
  <c r="E1337" i="7"/>
  <c r="V1336" i="7"/>
  <c r="R1336" i="7"/>
  <c r="N1336" i="7"/>
  <c r="F1336" i="7"/>
  <c r="B1336" i="7"/>
  <c r="W1335" i="7"/>
  <c r="C1335" i="7"/>
  <c r="X1334" i="7"/>
  <c r="T1334" i="7"/>
  <c r="P1334" i="7"/>
  <c r="L1334" i="7"/>
  <c r="D1334" i="7"/>
  <c r="E1333" i="7"/>
  <c r="V1332" i="7"/>
  <c r="R1332" i="7"/>
  <c r="N1332" i="7"/>
  <c r="F1332" i="7"/>
  <c r="B1332" i="7"/>
  <c r="W1331" i="7"/>
  <c r="C1331" i="7"/>
  <c r="X1330" i="7"/>
  <c r="T1330" i="7"/>
  <c r="P1330" i="7"/>
  <c r="L1330" i="7"/>
  <c r="D1330" i="7"/>
  <c r="E1329" i="7"/>
  <c r="V1328" i="7"/>
  <c r="R1328" i="7"/>
  <c r="N1328" i="7"/>
  <c r="F1328" i="7"/>
  <c r="B1328" i="7"/>
  <c r="W1327" i="7"/>
  <c r="C1327" i="7"/>
  <c r="X1326" i="7"/>
  <c r="T1326" i="7"/>
  <c r="P1326" i="7"/>
  <c r="L1326" i="7"/>
  <c r="D1326" i="7"/>
  <c r="E1325" i="7"/>
  <c r="V1324" i="7"/>
  <c r="R1324" i="7"/>
  <c r="N1324" i="7"/>
  <c r="F1324" i="7"/>
  <c r="B1324" i="7"/>
  <c r="W1323" i="7"/>
  <c r="C1323" i="7"/>
  <c r="X1322" i="7"/>
  <c r="T1322" i="7"/>
  <c r="P1322" i="7"/>
  <c r="L1322" i="7"/>
  <c r="D1322" i="7"/>
  <c r="E1321" i="7"/>
  <c r="V1320" i="7"/>
  <c r="R1320" i="7"/>
  <c r="N1320" i="7"/>
  <c r="F1320" i="7"/>
  <c r="B1320" i="7"/>
  <c r="W1319" i="7"/>
  <c r="C1319" i="7"/>
  <c r="X1318" i="7"/>
  <c r="T1318" i="7"/>
  <c r="P1318" i="7"/>
  <c r="L1318" i="7"/>
  <c r="D1318" i="7"/>
  <c r="E1317" i="7"/>
  <c r="V1316" i="7"/>
  <c r="R1316" i="7"/>
  <c r="N1316" i="7"/>
  <c r="F1316" i="7"/>
  <c r="B1316" i="7"/>
  <c r="W1315" i="7"/>
  <c r="C1315" i="7"/>
  <c r="X1314" i="7"/>
  <c r="T1314" i="7"/>
  <c r="P1314" i="7"/>
  <c r="L1314" i="7"/>
  <c r="D1314" i="7"/>
  <c r="E1313" i="7"/>
  <c r="V1312" i="7"/>
  <c r="R1312" i="7"/>
  <c r="N1312" i="7"/>
  <c r="F1312" i="7"/>
  <c r="B1312" i="7"/>
  <c r="W1311" i="7"/>
  <c r="C1311" i="7"/>
  <c r="X1310" i="7"/>
  <c r="T1310" i="7"/>
  <c r="P1310" i="7"/>
  <c r="L1310" i="7"/>
  <c r="D1310" i="7"/>
  <c r="E1309" i="7"/>
  <c r="V1308" i="7"/>
  <c r="R1308" i="7"/>
  <c r="N1308" i="7"/>
  <c r="F1308" i="7"/>
  <c r="B1308" i="7"/>
  <c r="W1307" i="7"/>
  <c r="C1307" i="7"/>
  <c r="X1306" i="7"/>
  <c r="T1306" i="7"/>
  <c r="P1306" i="7"/>
  <c r="L1306" i="7"/>
  <c r="D1306" i="7"/>
  <c r="E1305" i="7"/>
  <c r="V1304" i="7"/>
  <c r="R1304" i="7"/>
  <c r="N1304" i="7"/>
  <c r="F1304" i="7"/>
  <c r="B1304" i="7"/>
  <c r="W1303" i="7"/>
  <c r="C1303" i="7"/>
  <c r="X1302" i="7"/>
  <c r="T1302" i="7"/>
  <c r="P1302" i="7"/>
  <c r="L1302" i="7"/>
  <c r="D1302" i="7"/>
  <c r="E1301" i="7"/>
  <c r="V1300" i="7"/>
  <c r="R1300" i="7"/>
  <c r="N1300" i="7"/>
  <c r="F1300" i="7"/>
  <c r="B1300" i="7"/>
  <c r="W1299" i="7"/>
  <c r="C1299" i="7"/>
  <c r="X1298" i="7"/>
  <c r="T1298" i="7"/>
  <c r="P1298" i="7"/>
  <c r="L1298" i="7"/>
  <c r="D1298" i="7"/>
  <c r="E1297" i="7"/>
  <c r="V1296" i="7"/>
  <c r="R1296" i="7"/>
  <c r="N1296" i="7"/>
  <c r="F1296" i="7"/>
  <c r="B1296" i="7"/>
  <c r="W1295" i="7"/>
  <c r="C1295" i="7"/>
  <c r="X1294" i="7"/>
  <c r="T1294" i="7"/>
  <c r="P1294" i="7"/>
  <c r="L1294" i="7"/>
  <c r="D1294" i="7"/>
  <c r="E1293" i="7"/>
  <c r="V1292" i="7"/>
  <c r="R1292" i="7"/>
  <c r="N1292" i="7"/>
  <c r="F1292" i="7"/>
  <c r="B1292" i="7"/>
  <c r="W1291" i="7"/>
  <c r="C1291" i="7"/>
  <c r="X1290" i="7"/>
  <c r="T1290" i="7"/>
  <c r="P1290" i="7"/>
  <c r="L1290" i="7"/>
  <c r="D1290" i="7"/>
  <c r="E1289" i="7"/>
  <c r="V1288" i="7"/>
  <c r="R1288" i="7"/>
  <c r="N1288" i="7"/>
  <c r="F1288" i="7"/>
  <c r="B1288" i="7"/>
  <c r="W1287" i="7"/>
  <c r="C1287" i="7"/>
  <c r="X1286" i="7"/>
  <c r="T1286" i="7"/>
  <c r="P1286" i="7"/>
  <c r="L1286" i="7"/>
  <c r="D1286" i="7"/>
  <c r="E1285" i="7"/>
  <c r="V1284" i="7"/>
  <c r="R1284" i="7"/>
  <c r="N1284" i="7"/>
  <c r="F1284" i="7"/>
  <c r="B1284" i="7"/>
  <c r="W1283" i="7"/>
  <c r="C1283" i="7"/>
  <c r="X1282" i="7"/>
  <c r="T1282" i="7"/>
  <c r="P1282" i="7"/>
  <c r="L1282" i="7"/>
  <c r="D1282" i="7"/>
  <c r="E1281" i="7"/>
  <c r="V1280" i="7"/>
  <c r="R1280" i="7"/>
  <c r="N1280" i="7"/>
  <c r="F1280" i="7"/>
  <c r="B1280" i="7"/>
  <c r="W1279" i="7"/>
  <c r="C1279" i="7"/>
  <c r="X1278" i="7"/>
  <c r="T1278" i="7"/>
  <c r="P1278" i="7"/>
  <c r="L1278" i="7"/>
  <c r="D1278" i="7"/>
  <c r="E1277" i="7"/>
  <c r="V1276" i="7"/>
  <c r="R1276" i="7"/>
  <c r="N1276" i="7"/>
  <c r="F1276" i="7"/>
  <c r="B1276" i="7"/>
  <c r="W1275" i="7"/>
  <c r="B1415" i="7"/>
  <c r="P1413" i="7"/>
  <c r="R1411" i="7"/>
  <c r="B1411" i="7"/>
  <c r="P1409" i="7"/>
  <c r="R1407" i="7"/>
  <c r="B1407" i="7"/>
  <c r="P1405" i="7"/>
  <c r="R1403" i="7"/>
  <c r="B1403" i="7"/>
  <c r="P1401" i="7"/>
  <c r="R1399" i="7"/>
  <c r="B1399" i="7"/>
  <c r="P1397" i="7"/>
  <c r="R1395" i="7"/>
  <c r="B1395" i="7"/>
  <c r="P1393" i="7"/>
  <c r="R1391" i="7"/>
  <c r="B1391" i="7"/>
  <c r="P1389" i="7"/>
  <c r="R1387" i="7"/>
  <c r="B1387" i="7"/>
  <c r="P1385" i="7"/>
  <c r="R1383" i="7"/>
  <c r="B1383" i="7"/>
  <c r="P1381" i="7"/>
  <c r="R1379" i="7"/>
  <c r="B1379" i="7"/>
  <c r="P1377" i="7"/>
  <c r="R1375" i="7"/>
  <c r="B1375" i="7"/>
  <c r="P1373" i="7"/>
  <c r="R1371" i="7"/>
  <c r="B1371" i="7"/>
  <c r="P1369" i="7"/>
  <c r="R1367" i="7"/>
  <c r="B1367" i="7"/>
  <c r="P1365" i="7"/>
  <c r="R1363" i="7"/>
  <c r="B1363" i="7"/>
  <c r="P1361" i="7"/>
  <c r="R1359" i="7"/>
  <c r="B1359" i="7"/>
  <c r="P1357" i="7"/>
  <c r="R1355" i="7"/>
  <c r="B1355" i="7"/>
  <c r="P1353" i="7"/>
  <c r="R1351" i="7"/>
  <c r="B1351" i="7"/>
  <c r="P1349" i="7"/>
  <c r="R1347" i="7"/>
  <c r="B1347" i="7"/>
  <c r="C1346" i="7"/>
  <c r="T1345" i="7"/>
  <c r="L1345" i="7"/>
  <c r="R1344" i="7"/>
  <c r="R1343" i="7"/>
  <c r="F1343" i="7"/>
  <c r="W1342" i="7"/>
  <c r="C1342" i="7"/>
  <c r="T1341" i="7"/>
  <c r="L1341" i="7"/>
  <c r="R1340" i="7"/>
  <c r="R1339" i="7"/>
  <c r="F1339" i="7"/>
  <c r="W1338" i="7"/>
  <c r="C1338" i="7"/>
  <c r="X1337" i="7"/>
  <c r="T1337" i="7"/>
  <c r="P1337" i="7"/>
  <c r="L1337" i="7"/>
  <c r="D1337" i="7"/>
  <c r="E1336" i="7"/>
  <c r="V1335" i="7"/>
  <c r="R1335" i="7"/>
  <c r="N1335" i="7"/>
  <c r="F1335" i="7"/>
  <c r="B1335" i="7"/>
  <c r="W1334" i="7"/>
  <c r="C1334" i="7"/>
  <c r="X1333" i="7"/>
  <c r="T1333" i="7"/>
  <c r="P1333" i="7"/>
  <c r="L1333" i="7"/>
  <c r="D1333" i="7"/>
  <c r="E1332" i="7"/>
  <c r="V1331" i="7"/>
  <c r="R1331" i="7"/>
  <c r="N1331" i="7"/>
  <c r="F1331" i="7"/>
  <c r="B1331" i="7"/>
  <c r="W1330" i="7"/>
  <c r="C1330" i="7"/>
  <c r="X1329" i="7"/>
  <c r="T1329" i="7"/>
  <c r="P1329" i="7"/>
  <c r="L1329" i="7"/>
  <c r="D1329" i="7"/>
  <c r="E1328" i="7"/>
  <c r="V1327" i="7"/>
  <c r="R1327" i="7"/>
  <c r="N1327" i="7"/>
  <c r="F1327" i="7"/>
  <c r="B1327" i="7"/>
  <c r="W1326" i="7"/>
  <c r="C1326" i="7"/>
  <c r="X1325" i="7"/>
  <c r="T1325" i="7"/>
  <c r="P1325" i="7"/>
  <c r="L1325" i="7"/>
  <c r="D1325" i="7"/>
  <c r="E1324" i="7"/>
  <c r="V1323" i="7"/>
  <c r="R1323" i="7"/>
  <c r="N1323" i="7"/>
  <c r="F1323" i="7"/>
  <c r="B1323" i="7"/>
  <c r="W1322" i="7"/>
  <c r="C1322" i="7"/>
  <c r="X1321" i="7"/>
  <c r="T1321" i="7"/>
  <c r="P1321" i="7"/>
  <c r="L1321" i="7"/>
  <c r="D1321" i="7"/>
  <c r="E1320" i="7"/>
  <c r="V1319" i="7"/>
  <c r="R1319" i="7"/>
  <c r="N1319" i="7"/>
  <c r="F1319" i="7"/>
  <c r="B1319" i="7"/>
  <c r="W1318" i="7"/>
  <c r="C1318" i="7"/>
  <c r="X1317" i="7"/>
  <c r="T1317" i="7"/>
  <c r="P1317" i="7"/>
  <c r="L1317" i="7"/>
  <c r="D1317" i="7"/>
  <c r="E1316" i="7"/>
  <c r="V1315" i="7"/>
  <c r="R1315" i="7"/>
  <c r="N1315" i="7"/>
  <c r="F1315" i="7"/>
  <c r="B1315" i="7"/>
  <c r="W1314" i="7"/>
  <c r="C1314" i="7"/>
  <c r="X1313" i="7"/>
  <c r="T1313" i="7"/>
  <c r="P1313" i="7"/>
  <c r="L1313" i="7"/>
  <c r="D1313" i="7"/>
  <c r="E1312" i="7"/>
  <c r="V1311" i="7"/>
  <c r="R1311" i="7"/>
  <c r="N1311" i="7"/>
  <c r="F1311" i="7"/>
  <c r="B1311" i="7"/>
  <c r="W1310" i="7"/>
  <c r="C1310" i="7"/>
  <c r="X1309" i="7"/>
  <c r="T1309" i="7"/>
  <c r="P1309" i="7"/>
  <c r="L1309" i="7"/>
  <c r="D1309" i="7"/>
  <c r="E1308" i="7"/>
  <c r="V1307" i="7"/>
  <c r="R1307" i="7"/>
  <c r="N1307" i="7"/>
  <c r="F1307" i="7"/>
  <c r="B1307" i="7"/>
  <c r="W1306" i="7"/>
  <c r="C1306" i="7"/>
  <c r="X1305" i="7"/>
  <c r="T1305" i="7"/>
  <c r="P1305" i="7"/>
  <c r="L1305" i="7"/>
  <c r="D1305" i="7"/>
  <c r="E1304" i="7"/>
  <c r="V1303" i="7"/>
  <c r="R1303" i="7"/>
  <c r="N1303" i="7"/>
  <c r="F1303" i="7"/>
  <c r="B1303" i="7"/>
  <c r="W1302" i="7"/>
  <c r="C1302" i="7"/>
  <c r="X1301" i="7"/>
  <c r="T1301" i="7"/>
  <c r="P1301" i="7"/>
  <c r="L1301" i="7"/>
  <c r="D1301" i="7"/>
  <c r="E1300" i="7"/>
  <c r="V1299" i="7"/>
  <c r="R1299" i="7"/>
  <c r="N1299" i="7"/>
  <c r="F1299" i="7"/>
  <c r="B1299" i="7"/>
  <c r="W1298" i="7"/>
  <c r="C1298" i="7"/>
  <c r="X1297" i="7"/>
  <c r="T1297" i="7"/>
  <c r="P1297" i="7"/>
  <c r="L1297" i="7"/>
  <c r="D1297" i="7"/>
  <c r="E1296" i="7"/>
  <c r="V1295" i="7"/>
  <c r="R1295" i="7"/>
  <c r="N1295" i="7"/>
  <c r="F1295" i="7"/>
  <c r="B1295" i="7"/>
  <c r="W1294" i="7"/>
  <c r="C1294" i="7"/>
  <c r="X1293" i="7"/>
  <c r="T1293" i="7"/>
  <c r="P1293" i="7"/>
  <c r="L1293" i="7"/>
  <c r="D1293" i="7"/>
  <c r="E1292" i="7"/>
  <c r="V1291" i="7"/>
  <c r="R1291" i="7"/>
  <c r="N1291" i="7"/>
  <c r="F1291" i="7"/>
  <c r="B1291" i="7"/>
  <c r="W1290" i="7"/>
  <c r="C1290" i="7"/>
  <c r="X1289" i="7"/>
  <c r="T1289" i="7"/>
  <c r="P1289" i="7"/>
  <c r="L1289" i="7"/>
  <c r="D1289" i="7"/>
  <c r="E1288" i="7"/>
  <c r="V1287" i="7"/>
  <c r="R1287" i="7"/>
  <c r="N1287" i="7"/>
  <c r="F1287" i="7"/>
  <c r="B1287" i="7"/>
  <c r="W1286" i="7"/>
  <c r="C1286" i="7"/>
  <c r="X1285" i="7"/>
  <c r="T1285" i="7"/>
  <c r="P1285" i="7"/>
  <c r="L1285" i="7"/>
  <c r="D1285" i="7"/>
  <c r="E1284" i="7"/>
  <c r="V1283" i="7"/>
  <c r="R1283" i="7"/>
  <c r="N1283" i="7"/>
  <c r="F1283" i="7"/>
  <c r="B1283" i="7"/>
  <c r="W1282" i="7"/>
  <c r="C1282" i="7"/>
  <c r="X1281" i="7"/>
  <c r="T1281" i="7"/>
  <c r="P1281" i="7"/>
  <c r="L1281" i="7"/>
  <c r="D1281" i="7"/>
  <c r="E1280" i="7"/>
  <c r="V1279" i="7"/>
  <c r="R1279" i="7"/>
  <c r="N1279" i="7"/>
  <c r="F1279" i="7"/>
  <c r="B1279" i="7"/>
  <c r="W1278" i="7"/>
  <c r="C1278" i="7"/>
  <c r="X1277" i="7"/>
  <c r="T1277" i="7"/>
  <c r="P1277" i="7"/>
  <c r="L1277" i="7"/>
  <c r="D1277" i="7"/>
  <c r="E1276" i="7"/>
  <c r="V1275" i="7"/>
  <c r="R1275" i="7"/>
  <c r="N1275" i="7"/>
  <c r="F1275" i="7"/>
  <c r="B1275" i="7"/>
  <c r="W1274" i="7"/>
  <c r="C1274" i="7"/>
  <c r="X1273" i="7"/>
  <c r="T1273" i="7"/>
  <c r="P1273" i="7"/>
  <c r="L1273" i="7"/>
  <c r="D1273" i="7"/>
  <c r="E1272" i="7"/>
  <c r="V1271" i="7"/>
  <c r="R1271" i="7"/>
  <c r="N1271" i="7"/>
  <c r="F1271" i="7"/>
  <c r="B1271" i="7"/>
  <c r="W1270" i="7"/>
  <c r="C1270" i="7"/>
  <c r="X1269" i="7"/>
  <c r="T1269" i="7"/>
  <c r="P1269" i="7"/>
  <c r="L1269" i="7"/>
  <c r="D1269" i="7"/>
  <c r="P1274" i="7"/>
  <c r="R1272" i="7"/>
  <c r="B1272" i="7"/>
  <c r="P1270" i="7"/>
  <c r="R1268" i="7"/>
  <c r="F1268" i="7"/>
  <c r="W1267" i="7"/>
  <c r="C1267" i="7"/>
  <c r="T1266" i="7"/>
  <c r="L1266" i="7"/>
  <c r="F1264" i="7"/>
  <c r="W1263" i="7"/>
  <c r="C1263" i="7"/>
  <c r="T1262" i="7"/>
  <c r="L1262" i="7"/>
  <c r="F1260" i="7"/>
  <c r="W1259" i="7"/>
  <c r="C1259" i="7"/>
  <c r="T1258" i="7"/>
  <c r="F1258" i="7"/>
  <c r="T1257" i="7"/>
  <c r="E1257" i="7"/>
  <c r="T1256" i="7"/>
  <c r="N1256" i="7"/>
  <c r="F1256" i="7"/>
  <c r="C1255" i="7"/>
  <c r="X1254" i="7"/>
  <c r="T1254" i="7"/>
  <c r="P1254" i="7"/>
  <c r="L1254" i="7"/>
  <c r="D1254" i="7"/>
  <c r="E1253" i="7"/>
  <c r="V1252" i="7"/>
  <c r="R1252" i="7"/>
  <c r="N1252" i="7"/>
  <c r="F1252" i="7"/>
  <c r="B1252" i="7"/>
  <c r="W1251" i="7"/>
  <c r="C1251" i="7"/>
  <c r="X1250" i="7"/>
  <c r="T1250" i="7"/>
  <c r="P1250" i="7"/>
  <c r="L1250" i="7"/>
  <c r="D1250" i="7"/>
  <c r="E1249" i="7"/>
  <c r="V1248" i="7"/>
  <c r="R1248" i="7"/>
  <c r="N1248" i="7"/>
  <c r="F1248" i="7"/>
  <c r="B1248" i="7"/>
  <c r="W1247" i="7"/>
  <c r="C1247" i="7"/>
  <c r="X1246" i="7"/>
  <c r="T1246" i="7"/>
  <c r="P1246" i="7"/>
  <c r="L1246" i="7"/>
  <c r="D1246" i="7"/>
  <c r="E1245" i="7"/>
  <c r="V1244" i="7"/>
  <c r="R1244" i="7"/>
  <c r="N1244" i="7"/>
  <c r="F1244" i="7"/>
  <c r="B1244" i="7"/>
  <c r="W1243" i="7"/>
  <c r="C1243" i="7"/>
  <c r="X1242" i="7"/>
  <c r="T1242" i="7"/>
  <c r="P1242" i="7"/>
  <c r="L1242" i="7"/>
  <c r="D1242" i="7"/>
  <c r="E1241" i="7"/>
  <c r="V1240" i="7"/>
  <c r="R1240" i="7"/>
  <c r="N1240" i="7"/>
  <c r="F1240" i="7"/>
  <c r="B1240" i="7"/>
  <c r="W1239" i="7"/>
  <c r="C1239" i="7"/>
  <c r="X1238" i="7"/>
  <c r="T1238" i="7"/>
  <c r="P1238" i="7"/>
  <c r="L1238" i="7"/>
  <c r="D1238" i="7"/>
  <c r="E1237" i="7"/>
  <c r="V1236" i="7"/>
  <c r="R1236" i="7"/>
  <c r="N1236" i="7"/>
  <c r="F1236" i="7"/>
  <c r="B1236" i="7"/>
  <c r="W1235" i="7"/>
  <c r="C1235" i="7"/>
  <c r="X1234" i="7"/>
  <c r="T1234" i="7"/>
  <c r="P1234" i="7"/>
  <c r="L1234" i="7"/>
  <c r="D1234" i="7"/>
  <c r="E1233" i="7"/>
  <c r="V1232" i="7"/>
  <c r="R1232" i="7"/>
  <c r="N1232" i="7"/>
  <c r="F1232" i="7"/>
  <c r="B1232" i="7"/>
  <c r="W1231" i="7"/>
  <c r="C1231" i="7"/>
  <c r="X1230" i="7"/>
  <c r="T1230" i="7"/>
  <c r="P1230" i="7"/>
  <c r="L1230" i="7"/>
  <c r="D1230" i="7"/>
  <c r="E1229" i="7"/>
  <c r="V1228" i="7"/>
  <c r="R1228" i="7"/>
  <c r="N1228" i="7"/>
  <c r="F1228" i="7"/>
  <c r="B1228" i="7"/>
  <c r="W1227" i="7"/>
  <c r="C1227" i="7"/>
  <c r="X1226" i="7"/>
  <c r="T1226" i="7"/>
  <c r="P1226" i="7"/>
  <c r="L1226" i="7"/>
  <c r="D1226" i="7"/>
  <c r="E1225" i="7"/>
  <c r="V1224" i="7"/>
  <c r="R1224" i="7"/>
  <c r="N1224" i="7"/>
  <c r="F1224" i="7"/>
  <c r="B1224" i="7"/>
  <c r="W1223" i="7"/>
  <c r="C1223" i="7"/>
  <c r="X1222" i="7"/>
  <c r="T1222" i="7"/>
  <c r="P1222" i="7"/>
  <c r="L1222" i="7"/>
  <c r="D1222" i="7"/>
  <c r="E1221" i="7"/>
  <c r="V1220" i="7"/>
  <c r="R1220" i="7"/>
  <c r="N1220" i="7"/>
  <c r="F1220" i="7"/>
  <c r="B1220" i="7"/>
  <c r="W1219" i="7"/>
  <c r="C1219" i="7"/>
  <c r="X1218" i="7"/>
  <c r="T1218" i="7"/>
  <c r="P1218" i="7"/>
  <c r="L1218" i="7"/>
  <c r="D1218" i="7"/>
  <c r="E1217" i="7"/>
  <c r="V1216" i="7"/>
  <c r="R1216" i="7"/>
  <c r="N1216" i="7"/>
  <c r="F1216" i="7"/>
  <c r="B1216" i="7"/>
  <c r="W1215" i="7"/>
  <c r="C1215" i="7"/>
  <c r="X1214" i="7"/>
  <c r="T1214" i="7"/>
  <c r="P1214" i="7"/>
  <c r="L1214" i="7"/>
  <c r="D1214" i="7"/>
  <c r="E1213" i="7"/>
  <c r="V1212" i="7"/>
  <c r="R1212" i="7"/>
  <c r="N1212" i="7"/>
  <c r="F1212" i="7"/>
  <c r="B1212" i="7"/>
  <c r="W1211" i="7"/>
  <c r="C1211" i="7"/>
  <c r="X1210" i="7"/>
  <c r="T1210" i="7"/>
  <c r="P1210" i="7"/>
  <c r="L1210" i="7"/>
  <c r="D1210" i="7"/>
  <c r="E1209" i="7"/>
  <c r="V1208" i="7"/>
  <c r="R1208" i="7"/>
  <c r="N1208" i="7"/>
  <c r="F1208" i="7"/>
  <c r="B1208" i="7"/>
  <c r="W1207" i="7"/>
  <c r="C1207" i="7"/>
  <c r="X1206" i="7"/>
  <c r="T1206" i="7"/>
  <c r="P1206" i="7"/>
  <c r="L1206" i="7"/>
  <c r="D1206" i="7"/>
  <c r="E1205" i="7"/>
  <c r="V1204" i="7"/>
  <c r="R1204" i="7"/>
  <c r="N1204" i="7"/>
  <c r="F1204" i="7"/>
  <c r="B1204" i="7"/>
  <c r="W1203" i="7"/>
  <c r="C1203" i="7"/>
  <c r="X1202" i="7"/>
  <c r="T1202" i="7"/>
  <c r="P1202" i="7"/>
  <c r="L1202" i="7"/>
  <c r="D1202" i="7"/>
  <c r="E1201" i="7"/>
  <c r="V1200" i="7"/>
  <c r="R1200" i="7"/>
  <c r="N1200" i="7"/>
  <c r="F1200" i="7"/>
  <c r="B1200" i="7"/>
  <c r="W1199" i="7"/>
  <c r="C1199" i="7"/>
  <c r="X1198" i="7"/>
  <c r="T1198" i="7"/>
  <c r="P1198" i="7"/>
  <c r="L1198" i="7"/>
  <c r="D1198" i="7"/>
  <c r="E1197" i="7"/>
  <c r="V1196" i="7"/>
  <c r="R1196" i="7"/>
  <c r="N1196" i="7"/>
  <c r="F1196" i="7"/>
  <c r="B1196" i="7"/>
  <c r="W1195" i="7"/>
  <c r="C1195" i="7"/>
  <c r="X1194" i="7"/>
  <c r="T1194" i="7"/>
  <c r="P1194" i="7"/>
  <c r="L1194" i="7"/>
  <c r="D1194" i="7"/>
  <c r="E1193" i="7"/>
  <c r="V1192" i="7"/>
  <c r="R1192" i="7"/>
  <c r="N1192" i="7"/>
  <c r="F1192" i="7"/>
  <c r="B1192" i="7"/>
  <c r="W1191" i="7"/>
  <c r="C1191" i="7"/>
  <c r="X1190" i="7"/>
  <c r="T1190" i="7"/>
  <c r="P1190" i="7"/>
  <c r="L1190" i="7"/>
  <c r="D1190" i="7"/>
  <c r="E1189" i="7"/>
  <c r="V1188" i="7"/>
  <c r="R1188" i="7"/>
  <c r="N1188" i="7"/>
  <c r="F1188" i="7"/>
  <c r="B1188" i="7"/>
  <c r="W1187" i="7"/>
  <c r="C1187" i="7"/>
  <c r="X1186" i="7"/>
  <c r="T1186" i="7"/>
  <c r="P1186" i="7"/>
  <c r="L1186" i="7"/>
  <c r="D1186" i="7"/>
  <c r="E1185" i="7"/>
  <c r="V1184" i="7"/>
  <c r="R1184" i="7"/>
  <c r="N1184" i="7"/>
  <c r="F1184" i="7"/>
  <c r="B1184" i="7"/>
  <c r="W1183" i="7"/>
  <c r="C1183" i="7"/>
  <c r="X1182" i="7"/>
  <c r="T1182" i="7"/>
  <c r="P1182" i="7"/>
  <c r="L1182" i="7"/>
  <c r="D1182" i="7"/>
  <c r="E1181" i="7"/>
  <c r="V1180" i="7"/>
  <c r="R1180" i="7"/>
  <c r="N1180" i="7"/>
  <c r="F1180" i="7"/>
  <c r="B1180" i="7"/>
  <c r="W1179" i="7"/>
  <c r="C1179" i="7"/>
  <c r="X1178" i="7"/>
  <c r="T1178" i="7"/>
  <c r="P1178" i="7"/>
  <c r="L1178" i="7"/>
  <c r="D1178" i="7"/>
  <c r="E1177" i="7"/>
  <c r="V1176" i="7"/>
  <c r="R1176" i="7"/>
  <c r="N1176" i="7"/>
  <c r="F1176" i="7"/>
  <c r="B1176" i="7"/>
  <c r="W1175" i="7"/>
  <c r="C1175" i="7"/>
  <c r="X1174" i="7"/>
  <c r="T1174" i="7"/>
  <c r="P1174" i="7"/>
  <c r="L1174" i="7"/>
  <c r="D1174" i="7"/>
  <c r="E1173" i="7"/>
  <c r="V1172" i="7"/>
  <c r="R1172" i="7"/>
  <c r="N1172" i="7"/>
  <c r="F1172" i="7"/>
  <c r="B1172" i="7"/>
  <c r="W1171" i="7"/>
  <c r="C1171" i="7"/>
  <c r="X1170" i="7"/>
  <c r="T1170" i="7"/>
  <c r="P1170" i="7"/>
  <c r="L1170" i="7"/>
  <c r="D1170" i="7"/>
  <c r="E1169" i="7"/>
  <c r="V1168" i="7"/>
  <c r="R1168" i="7"/>
  <c r="N1168" i="7"/>
  <c r="F1168" i="7"/>
  <c r="B1168" i="7"/>
  <c r="W1167" i="7"/>
  <c r="C1167" i="7"/>
  <c r="X1166" i="7"/>
  <c r="T1166" i="7"/>
  <c r="P1166" i="7"/>
  <c r="L1166" i="7"/>
  <c r="D1166" i="7"/>
  <c r="E1165" i="7"/>
  <c r="V1164" i="7"/>
  <c r="R1164" i="7"/>
  <c r="N1164" i="7"/>
  <c r="F1164" i="7"/>
  <c r="B1164" i="7"/>
  <c r="W1163" i="7"/>
  <c r="C1163" i="7"/>
  <c r="X1162" i="7"/>
  <c r="T1162" i="7"/>
  <c r="P1162" i="7"/>
  <c r="L1162" i="7"/>
  <c r="D1162" i="7"/>
  <c r="E1161" i="7"/>
  <c r="V1160" i="7"/>
  <c r="R1160" i="7"/>
  <c r="N1160" i="7"/>
  <c r="F1160" i="7"/>
  <c r="B1160" i="7"/>
  <c r="W1159" i="7"/>
  <c r="C1159" i="7"/>
  <c r="X1158" i="7"/>
  <c r="T1158" i="7"/>
  <c r="P1158" i="7"/>
  <c r="L1158" i="7"/>
  <c r="D1158" i="7"/>
  <c r="E1157" i="7"/>
  <c r="V1156" i="7"/>
  <c r="R1156" i="7"/>
  <c r="N1156" i="7"/>
  <c r="F1156" i="7"/>
  <c r="B1156" i="7"/>
  <c r="W1155" i="7"/>
  <c r="C1155" i="7"/>
  <c r="X1154" i="7"/>
  <c r="T1154" i="7"/>
  <c r="P1154" i="7"/>
  <c r="L1154" i="7"/>
  <c r="D1154" i="7"/>
  <c r="E1153" i="7"/>
  <c r="V1152" i="7"/>
  <c r="R1152" i="7"/>
  <c r="N1152" i="7"/>
  <c r="F1152" i="7"/>
  <c r="B1152" i="7"/>
  <c r="W1151" i="7"/>
  <c r="C1151" i="7"/>
  <c r="X1150" i="7"/>
  <c r="T1150" i="7"/>
  <c r="P1150" i="7"/>
  <c r="L1150" i="7"/>
  <c r="D1150" i="7"/>
  <c r="E1149" i="7"/>
  <c r="V1148" i="7"/>
  <c r="R1148" i="7"/>
  <c r="N1148" i="7"/>
  <c r="F1148" i="7"/>
  <c r="B1148" i="7"/>
  <c r="W1147" i="7"/>
  <c r="C1147" i="7"/>
  <c r="X1146" i="7"/>
  <c r="T1146" i="7"/>
  <c r="P1146" i="7"/>
  <c r="L1146" i="7"/>
  <c r="D1146" i="7"/>
  <c r="E1145" i="7"/>
  <c r="V1144" i="7"/>
  <c r="R1144" i="7"/>
  <c r="N1144" i="7"/>
  <c r="F1144" i="7"/>
  <c r="B1144" i="7"/>
  <c r="W1143" i="7"/>
  <c r="C1143" i="7"/>
  <c r="X1142" i="7"/>
  <c r="T1142" i="7"/>
  <c r="P1142" i="7"/>
  <c r="L1142" i="7"/>
  <c r="D1142" i="7"/>
  <c r="E1141" i="7"/>
  <c r="V1140" i="7"/>
  <c r="R1140" i="7"/>
  <c r="N1140" i="7"/>
  <c r="F1140" i="7"/>
  <c r="B1140" i="7"/>
  <c r="W1139" i="7"/>
  <c r="C1139" i="7"/>
  <c r="X1138" i="7"/>
  <c r="T1138" i="7"/>
  <c r="P1138" i="7"/>
  <c r="L1138" i="7"/>
  <c r="D1138" i="7"/>
  <c r="E1137" i="7"/>
  <c r="V1136" i="7"/>
  <c r="R1136" i="7"/>
  <c r="N1136" i="7"/>
  <c r="F1136" i="7"/>
  <c r="B1136" i="7"/>
  <c r="W1135" i="7"/>
  <c r="C1135" i="7"/>
  <c r="X1134" i="7"/>
  <c r="T1134" i="7"/>
  <c r="P1134" i="7"/>
  <c r="L1134" i="7"/>
  <c r="D1134" i="7"/>
  <c r="E1133" i="7"/>
  <c r="V1132" i="7"/>
  <c r="R1132" i="7"/>
  <c r="N1132" i="7"/>
  <c r="F1132" i="7"/>
  <c r="B1132" i="7"/>
  <c r="W1131" i="7"/>
  <c r="C1131" i="7"/>
  <c r="X1130" i="7"/>
  <c r="T1130" i="7"/>
  <c r="P1130" i="7"/>
  <c r="L1130" i="7"/>
  <c r="D1130" i="7"/>
  <c r="E1129" i="7"/>
  <c r="V1128" i="7"/>
  <c r="R1128" i="7"/>
  <c r="N1128" i="7"/>
  <c r="F1128" i="7"/>
  <c r="B1128" i="7"/>
  <c r="W1127" i="7"/>
  <c r="C1127" i="7"/>
  <c r="X1126" i="7"/>
  <c r="T1126" i="7"/>
  <c r="P1126" i="7"/>
  <c r="L1126" i="7"/>
  <c r="D1126" i="7"/>
  <c r="E1125" i="7"/>
  <c r="V1124" i="7"/>
  <c r="R1124" i="7"/>
  <c r="N1124" i="7"/>
  <c r="F1124" i="7"/>
  <c r="B1124" i="7"/>
  <c r="W1123" i="7"/>
  <c r="C1123" i="7"/>
  <c r="X1122" i="7"/>
  <c r="T1122" i="7"/>
  <c r="P1122" i="7"/>
  <c r="L1122" i="7"/>
  <c r="D1122" i="7"/>
  <c r="E1121" i="7"/>
  <c r="V1120" i="7"/>
  <c r="R1120" i="7"/>
  <c r="N1120" i="7"/>
  <c r="F1120" i="7"/>
  <c r="B1120" i="7"/>
  <c r="W1119" i="7"/>
  <c r="C1119" i="7"/>
  <c r="X1118" i="7"/>
  <c r="T1118" i="7"/>
  <c r="P1118" i="7"/>
  <c r="L1118" i="7"/>
  <c r="D1118" i="7"/>
  <c r="E1117" i="7"/>
  <c r="V1116" i="7"/>
  <c r="R1116" i="7"/>
  <c r="N1116" i="7"/>
  <c r="F1116" i="7"/>
  <c r="B1116" i="7"/>
  <c r="W1115" i="7"/>
  <c r="C1115" i="7"/>
  <c r="X1114" i="7"/>
  <c r="T1114" i="7"/>
  <c r="P1114" i="7"/>
  <c r="L1114" i="7"/>
  <c r="D1114" i="7"/>
  <c r="E1113" i="7"/>
  <c r="V1112" i="7"/>
  <c r="R1112" i="7"/>
  <c r="N1112" i="7"/>
  <c r="F1112" i="7"/>
  <c r="B1112" i="7"/>
  <c r="W1111" i="7"/>
  <c r="C1111" i="7"/>
  <c r="X1110" i="7"/>
  <c r="T1110" i="7"/>
  <c r="P1110" i="7"/>
  <c r="L1110" i="7"/>
  <c r="D1110" i="7"/>
  <c r="E1109" i="7"/>
  <c r="V1108" i="7"/>
  <c r="R1108" i="7"/>
  <c r="N1108" i="7"/>
  <c r="F1108" i="7"/>
  <c r="B1108" i="7"/>
  <c r="W1107" i="7"/>
  <c r="C1107" i="7"/>
  <c r="X1106" i="7"/>
  <c r="T1106" i="7"/>
  <c r="P1106" i="7"/>
  <c r="L1106" i="7"/>
  <c r="D1106" i="7"/>
  <c r="E1105" i="7"/>
  <c r="V1104" i="7"/>
  <c r="R1104" i="7"/>
  <c r="N1104" i="7"/>
  <c r="F1104" i="7"/>
  <c r="B1104" i="7"/>
  <c r="W1103" i="7"/>
  <c r="C1103" i="7"/>
  <c r="X1102" i="7"/>
  <c r="T1102" i="7"/>
  <c r="P1102" i="7"/>
  <c r="L1102" i="7"/>
  <c r="D1102" i="7"/>
  <c r="E1101" i="7"/>
  <c r="V1100" i="7"/>
  <c r="R1100" i="7"/>
  <c r="N1100" i="7"/>
  <c r="F1100" i="7"/>
  <c r="B1100" i="7"/>
  <c r="W1099" i="7"/>
  <c r="C1099" i="7"/>
  <c r="X1098" i="7"/>
  <c r="T1098" i="7"/>
  <c r="P1098" i="7"/>
  <c r="L1098" i="7"/>
  <c r="D1098" i="7"/>
  <c r="E1097" i="7"/>
  <c r="V1096" i="7"/>
  <c r="R1096" i="7"/>
  <c r="N1096" i="7"/>
  <c r="F1096" i="7"/>
  <c r="B1096" i="7"/>
  <c r="W1095" i="7"/>
  <c r="C1095" i="7"/>
  <c r="X1094" i="7"/>
  <c r="T1094" i="7"/>
  <c r="P1094" i="7"/>
  <c r="L1094" i="7"/>
  <c r="D1094" i="7"/>
  <c r="E1093" i="7"/>
  <c r="V1092" i="7"/>
  <c r="R1092" i="7"/>
  <c r="N1092" i="7"/>
  <c r="F1092" i="7"/>
  <c r="B1092" i="7"/>
  <c r="W1091" i="7"/>
  <c r="C1091" i="7"/>
  <c r="X1090" i="7"/>
  <c r="T1090" i="7"/>
  <c r="P1090" i="7"/>
  <c r="C1275" i="7"/>
  <c r="L1274" i="7"/>
  <c r="E1273" i="7"/>
  <c r="N1272" i="7"/>
  <c r="W1271" i="7"/>
  <c r="C1271" i="7"/>
  <c r="L1270" i="7"/>
  <c r="E1269" i="7"/>
  <c r="N1268" i="7"/>
  <c r="E1268" i="7"/>
  <c r="V1267" i="7"/>
  <c r="N1267" i="7"/>
  <c r="B1267" i="7"/>
  <c r="X1265" i="7"/>
  <c r="P1265" i="7"/>
  <c r="E1265" i="7"/>
  <c r="V1264" i="7"/>
  <c r="N1264" i="7"/>
  <c r="E1264" i="7"/>
  <c r="V1263" i="7"/>
  <c r="N1263" i="7"/>
  <c r="B1263" i="7"/>
  <c r="X1261" i="7"/>
  <c r="P1261" i="7"/>
  <c r="E1261" i="7"/>
  <c r="V1260" i="7"/>
  <c r="N1260" i="7"/>
  <c r="E1260" i="7"/>
  <c r="V1259" i="7"/>
  <c r="N1259" i="7"/>
  <c r="B1259" i="7"/>
  <c r="N1258" i="7"/>
  <c r="D1258" i="7"/>
  <c r="X1257" i="7"/>
  <c r="D1257" i="7"/>
  <c r="X1256" i="7"/>
  <c r="R1256" i="7"/>
  <c r="E1256" i="7"/>
  <c r="N1255" i="7"/>
  <c r="F1255" i="7"/>
  <c r="B1255" i="7"/>
  <c r="W1254" i="7"/>
  <c r="C1254" i="7"/>
  <c r="X1253" i="7"/>
  <c r="T1253" i="7"/>
  <c r="P1253" i="7"/>
  <c r="L1253" i="7"/>
  <c r="D1253" i="7"/>
  <c r="E1252" i="7"/>
  <c r="V1251" i="7"/>
  <c r="R1251" i="7"/>
  <c r="N1251" i="7"/>
  <c r="F1251" i="7"/>
  <c r="B1251" i="7"/>
  <c r="W1250" i="7"/>
  <c r="C1250" i="7"/>
  <c r="X1249" i="7"/>
  <c r="T1249" i="7"/>
  <c r="P1249" i="7"/>
  <c r="L1249" i="7"/>
  <c r="D1249" i="7"/>
  <c r="E1248" i="7"/>
  <c r="V1247" i="7"/>
  <c r="R1247" i="7"/>
  <c r="N1247" i="7"/>
  <c r="F1247" i="7"/>
  <c r="B1247" i="7"/>
  <c r="W1246" i="7"/>
  <c r="C1246" i="7"/>
  <c r="X1245" i="7"/>
  <c r="T1245" i="7"/>
  <c r="P1245" i="7"/>
  <c r="L1245" i="7"/>
  <c r="D1245" i="7"/>
  <c r="E1244" i="7"/>
  <c r="V1243" i="7"/>
  <c r="R1243" i="7"/>
  <c r="N1243" i="7"/>
  <c r="F1243" i="7"/>
  <c r="B1243" i="7"/>
  <c r="W1242" i="7"/>
  <c r="C1242" i="7"/>
  <c r="X1241" i="7"/>
  <c r="T1241" i="7"/>
  <c r="P1241" i="7"/>
  <c r="L1241" i="7"/>
  <c r="D1241" i="7"/>
  <c r="E1240" i="7"/>
  <c r="V1239" i="7"/>
  <c r="R1239" i="7"/>
  <c r="N1239" i="7"/>
  <c r="F1239" i="7"/>
  <c r="B1239" i="7"/>
  <c r="W1238" i="7"/>
  <c r="C1238" i="7"/>
  <c r="X1237" i="7"/>
  <c r="T1237" i="7"/>
  <c r="P1237" i="7"/>
  <c r="L1237" i="7"/>
  <c r="D1237" i="7"/>
  <c r="E1236" i="7"/>
  <c r="V1235" i="7"/>
  <c r="R1235" i="7"/>
  <c r="N1235" i="7"/>
  <c r="F1235" i="7"/>
  <c r="B1235" i="7"/>
  <c r="W1234" i="7"/>
  <c r="C1234" i="7"/>
  <c r="X1233" i="7"/>
  <c r="T1233" i="7"/>
  <c r="P1233" i="7"/>
  <c r="L1233" i="7"/>
  <c r="D1233" i="7"/>
  <c r="E1232" i="7"/>
  <c r="V1231" i="7"/>
  <c r="R1231" i="7"/>
  <c r="N1231" i="7"/>
  <c r="F1231" i="7"/>
  <c r="B1231" i="7"/>
  <c r="W1230" i="7"/>
  <c r="C1230" i="7"/>
  <c r="X1229" i="7"/>
  <c r="T1229" i="7"/>
  <c r="P1229" i="7"/>
  <c r="L1229" i="7"/>
  <c r="D1229" i="7"/>
  <c r="E1228" i="7"/>
  <c r="V1227" i="7"/>
  <c r="R1227" i="7"/>
  <c r="N1227" i="7"/>
  <c r="F1227" i="7"/>
  <c r="B1227" i="7"/>
  <c r="W1226" i="7"/>
  <c r="C1226" i="7"/>
  <c r="X1225" i="7"/>
  <c r="T1225" i="7"/>
  <c r="P1225" i="7"/>
  <c r="L1225" i="7"/>
  <c r="D1225" i="7"/>
  <c r="E1224" i="7"/>
  <c r="V1223" i="7"/>
  <c r="R1223" i="7"/>
  <c r="N1223" i="7"/>
  <c r="F1223" i="7"/>
  <c r="B1223" i="7"/>
  <c r="W1222" i="7"/>
  <c r="C1222" i="7"/>
  <c r="X1221" i="7"/>
  <c r="T1221" i="7"/>
  <c r="P1221" i="7"/>
  <c r="L1221" i="7"/>
  <c r="D1221" i="7"/>
  <c r="E1220" i="7"/>
  <c r="V1219" i="7"/>
  <c r="R1219" i="7"/>
  <c r="N1219" i="7"/>
  <c r="F1219" i="7"/>
  <c r="B1219" i="7"/>
  <c r="W1218" i="7"/>
  <c r="C1218" i="7"/>
  <c r="X1217" i="7"/>
  <c r="T1217" i="7"/>
  <c r="P1217" i="7"/>
  <c r="L1217" i="7"/>
  <c r="D1217" i="7"/>
  <c r="E1216" i="7"/>
  <c r="V1215" i="7"/>
  <c r="R1215" i="7"/>
  <c r="N1215" i="7"/>
  <c r="F1215" i="7"/>
  <c r="B1215" i="7"/>
  <c r="W1214" i="7"/>
  <c r="C1214" i="7"/>
  <c r="X1213" i="7"/>
  <c r="T1213" i="7"/>
  <c r="P1213" i="7"/>
  <c r="L1213" i="7"/>
  <c r="D1213" i="7"/>
  <c r="E1212" i="7"/>
  <c r="V1211" i="7"/>
  <c r="R1211" i="7"/>
  <c r="N1211" i="7"/>
  <c r="F1211" i="7"/>
  <c r="B1211" i="7"/>
  <c r="W1210" i="7"/>
  <c r="C1210" i="7"/>
  <c r="X1209" i="7"/>
  <c r="T1209" i="7"/>
  <c r="P1209" i="7"/>
  <c r="L1209" i="7"/>
  <c r="D1209" i="7"/>
  <c r="E1208" i="7"/>
  <c r="V1207" i="7"/>
  <c r="R1207" i="7"/>
  <c r="N1207" i="7"/>
  <c r="F1207" i="7"/>
  <c r="B1207" i="7"/>
  <c r="W1206" i="7"/>
  <c r="C1206" i="7"/>
  <c r="X1205" i="7"/>
  <c r="T1205" i="7"/>
  <c r="P1205" i="7"/>
  <c r="L1205" i="7"/>
  <c r="D1205" i="7"/>
  <c r="E1204" i="7"/>
  <c r="V1203" i="7"/>
  <c r="R1203" i="7"/>
  <c r="N1203" i="7"/>
  <c r="F1203" i="7"/>
  <c r="B1203" i="7"/>
  <c r="W1202" i="7"/>
  <c r="C1202" i="7"/>
  <c r="X1201" i="7"/>
  <c r="T1201" i="7"/>
  <c r="P1201" i="7"/>
  <c r="L1201" i="7"/>
  <c r="D1201" i="7"/>
  <c r="E1200" i="7"/>
  <c r="V1199" i="7"/>
  <c r="R1199" i="7"/>
  <c r="N1199" i="7"/>
  <c r="F1199" i="7"/>
  <c r="B1199" i="7"/>
  <c r="W1198" i="7"/>
  <c r="C1198" i="7"/>
  <c r="X1197" i="7"/>
  <c r="T1197" i="7"/>
  <c r="P1197" i="7"/>
  <c r="L1197" i="7"/>
  <c r="D1197" i="7"/>
  <c r="E1196" i="7"/>
  <c r="V1195" i="7"/>
  <c r="R1195" i="7"/>
  <c r="N1195" i="7"/>
  <c r="F1195" i="7"/>
  <c r="B1195" i="7"/>
  <c r="W1194" i="7"/>
  <c r="C1194" i="7"/>
  <c r="X1193" i="7"/>
  <c r="T1193" i="7"/>
  <c r="P1193" i="7"/>
  <c r="L1193" i="7"/>
  <c r="D1193" i="7"/>
  <c r="E1192" i="7"/>
  <c r="V1191" i="7"/>
  <c r="R1191" i="7"/>
  <c r="N1191" i="7"/>
  <c r="F1191" i="7"/>
  <c r="B1191" i="7"/>
  <c r="W1190" i="7"/>
  <c r="C1190" i="7"/>
  <c r="X1189" i="7"/>
  <c r="T1189" i="7"/>
  <c r="P1189" i="7"/>
  <c r="L1189" i="7"/>
  <c r="D1189" i="7"/>
  <c r="E1188" i="7"/>
  <c r="V1187" i="7"/>
  <c r="R1187" i="7"/>
  <c r="N1187" i="7"/>
  <c r="F1187" i="7"/>
  <c r="B1187" i="7"/>
  <c r="W1186" i="7"/>
  <c r="C1186" i="7"/>
  <c r="X1185" i="7"/>
  <c r="T1185" i="7"/>
  <c r="P1185" i="7"/>
  <c r="L1185" i="7"/>
  <c r="D1185" i="7"/>
  <c r="E1184" i="7"/>
  <c r="V1183" i="7"/>
  <c r="R1183" i="7"/>
  <c r="N1183" i="7"/>
  <c r="F1183" i="7"/>
  <c r="B1183" i="7"/>
  <c r="W1182" i="7"/>
  <c r="C1182" i="7"/>
  <c r="X1181" i="7"/>
  <c r="T1181" i="7"/>
  <c r="P1181" i="7"/>
  <c r="L1181" i="7"/>
  <c r="D1181" i="7"/>
  <c r="E1180" i="7"/>
  <c r="V1179" i="7"/>
  <c r="R1179" i="7"/>
  <c r="N1179" i="7"/>
  <c r="F1179" i="7"/>
  <c r="B1179" i="7"/>
  <c r="W1178" i="7"/>
  <c r="C1178" i="7"/>
  <c r="X1177" i="7"/>
  <c r="T1177" i="7"/>
  <c r="P1177" i="7"/>
  <c r="L1177" i="7"/>
  <c r="D1177" i="7"/>
  <c r="E1176" i="7"/>
  <c r="V1175" i="7"/>
  <c r="R1175" i="7"/>
  <c r="N1175" i="7"/>
  <c r="F1175" i="7"/>
  <c r="B1175" i="7"/>
  <c r="W1174" i="7"/>
  <c r="C1174" i="7"/>
  <c r="X1173" i="7"/>
  <c r="T1173" i="7"/>
  <c r="P1173" i="7"/>
  <c r="L1173" i="7"/>
  <c r="D1173" i="7"/>
  <c r="E1172" i="7"/>
  <c r="V1171" i="7"/>
  <c r="R1171" i="7"/>
  <c r="N1171" i="7"/>
  <c r="F1171" i="7"/>
  <c r="B1171" i="7"/>
  <c r="W1170" i="7"/>
  <c r="C1170" i="7"/>
  <c r="X1169" i="7"/>
  <c r="T1169" i="7"/>
  <c r="P1169" i="7"/>
  <c r="L1169" i="7"/>
  <c r="D1169" i="7"/>
  <c r="E1168" i="7"/>
  <c r="V1167" i="7"/>
  <c r="R1167" i="7"/>
  <c r="N1167" i="7"/>
  <c r="F1167" i="7"/>
  <c r="B1167" i="7"/>
  <c r="W1166" i="7"/>
  <c r="C1166" i="7"/>
  <c r="X1165" i="7"/>
  <c r="T1165" i="7"/>
  <c r="P1165" i="7"/>
  <c r="L1165" i="7"/>
  <c r="D1165" i="7"/>
  <c r="E1164" i="7"/>
  <c r="V1163" i="7"/>
  <c r="R1163" i="7"/>
  <c r="N1163" i="7"/>
  <c r="F1163" i="7"/>
  <c r="B1163" i="7"/>
  <c r="W1162" i="7"/>
  <c r="C1162" i="7"/>
  <c r="X1161" i="7"/>
  <c r="T1161" i="7"/>
  <c r="P1161" i="7"/>
  <c r="L1161" i="7"/>
  <c r="D1161" i="7"/>
  <c r="E1160" i="7"/>
  <c r="V1159" i="7"/>
  <c r="R1159" i="7"/>
  <c r="N1159" i="7"/>
  <c r="F1159" i="7"/>
  <c r="B1159" i="7"/>
  <c r="W1158" i="7"/>
  <c r="C1158" i="7"/>
  <c r="X1157" i="7"/>
  <c r="T1157" i="7"/>
  <c r="P1157" i="7"/>
  <c r="L1157" i="7"/>
  <c r="D1157" i="7"/>
  <c r="E1156" i="7"/>
  <c r="V1155" i="7"/>
  <c r="R1155" i="7"/>
  <c r="N1155" i="7"/>
  <c r="F1155" i="7"/>
  <c r="B1155" i="7"/>
  <c r="W1154" i="7"/>
  <c r="C1154" i="7"/>
  <c r="X1153" i="7"/>
  <c r="T1153" i="7"/>
  <c r="P1153" i="7"/>
  <c r="L1153" i="7"/>
  <c r="D1153" i="7"/>
  <c r="E1152" i="7"/>
  <c r="V1151" i="7"/>
  <c r="R1151" i="7"/>
  <c r="N1151" i="7"/>
  <c r="F1151" i="7"/>
  <c r="B1151" i="7"/>
  <c r="W1150" i="7"/>
  <c r="C1150" i="7"/>
  <c r="X1149" i="7"/>
  <c r="T1149" i="7"/>
  <c r="P1149" i="7"/>
  <c r="L1149" i="7"/>
  <c r="D1149" i="7"/>
  <c r="E1148" i="7"/>
  <c r="V1147" i="7"/>
  <c r="R1147" i="7"/>
  <c r="N1147" i="7"/>
  <c r="F1147" i="7"/>
  <c r="B1147" i="7"/>
  <c r="W1146" i="7"/>
  <c r="C1146" i="7"/>
  <c r="X1145" i="7"/>
  <c r="T1145" i="7"/>
  <c r="P1145" i="7"/>
  <c r="L1145" i="7"/>
  <c r="D1145" i="7"/>
  <c r="E1144" i="7"/>
  <c r="V1143" i="7"/>
  <c r="R1143" i="7"/>
  <c r="N1143" i="7"/>
  <c r="F1143" i="7"/>
  <c r="B1143" i="7"/>
  <c r="W1142" i="7"/>
  <c r="C1142" i="7"/>
  <c r="X1141" i="7"/>
  <c r="T1141" i="7"/>
  <c r="P1141" i="7"/>
  <c r="L1141" i="7"/>
  <c r="D1141" i="7"/>
  <c r="E1140" i="7"/>
  <c r="V1139" i="7"/>
  <c r="R1139" i="7"/>
  <c r="N1139" i="7"/>
  <c r="F1139" i="7"/>
  <c r="B1139" i="7"/>
  <c r="W1138" i="7"/>
  <c r="C1138" i="7"/>
  <c r="X1137" i="7"/>
  <c r="T1137" i="7"/>
  <c r="P1137" i="7"/>
  <c r="L1137" i="7"/>
  <c r="D1137" i="7"/>
  <c r="E1136" i="7"/>
  <c r="V1135" i="7"/>
  <c r="R1135" i="7"/>
  <c r="N1135" i="7"/>
  <c r="F1135" i="7"/>
  <c r="B1135" i="7"/>
  <c r="W1134" i="7"/>
  <c r="C1134" i="7"/>
  <c r="X1133" i="7"/>
  <c r="T1133" i="7"/>
  <c r="P1133" i="7"/>
  <c r="L1133" i="7"/>
  <c r="D1133" i="7"/>
  <c r="E1132" i="7"/>
  <c r="V1131" i="7"/>
  <c r="R1131" i="7"/>
  <c r="N1131" i="7"/>
  <c r="F1131" i="7"/>
  <c r="B1131" i="7"/>
  <c r="W1130" i="7"/>
  <c r="C1130" i="7"/>
  <c r="X1129" i="7"/>
  <c r="T1129" i="7"/>
  <c r="P1129" i="7"/>
  <c r="L1129" i="7"/>
  <c r="D1129" i="7"/>
  <c r="E1128" i="7"/>
  <c r="V1127" i="7"/>
  <c r="R1127" i="7"/>
  <c r="N1127" i="7"/>
  <c r="F1127" i="7"/>
  <c r="B1127" i="7"/>
  <c r="W1126" i="7"/>
  <c r="C1126" i="7"/>
  <c r="X1125" i="7"/>
  <c r="T1125" i="7"/>
  <c r="P1125" i="7"/>
  <c r="L1125" i="7"/>
  <c r="D1125" i="7"/>
  <c r="E1124" i="7"/>
  <c r="V1123" i="7"/>
  <c r="R1123" i="7"/>
  <c r="N1123" i="7"/>
  <c r="F1123" i="7"/>
  <c r="B1123" i="7"/>
  <c r="W1122" i="7"/>
  <c r="C1122" i="7"/>
  <c r="X1121" i="7"/>
  <c r="T1121" i="7"/>
  <c r="P1121" i="7"/>
  <c r="L1121" i="7"/>
  <c r="D1121" i="7"/>
  <c r="E1120" i="7"/>
  <c r="V1119" i="7"/>
  <c r="R1119" i="7"/>
  <c r="N1119" i="7"/>
  <c r="F1119" i="7"/>
  <c r="B1119" i="7"/>
  <c r="W1118" i="7"/>
  <c r="C1118" i="7"/>
  <c r="X1117" i="7"/>
  <c r="T1117" i="7"/>
  <c r="P1117" i="7"/>
  <c r="L1117" i="7"/>
  <c r="D1117" i="7"/>
  <c r="E1116" i="7"/>
  <c r="V1115" i="7"/>
  <c r="R1115" i="7"/>
  <c r="N1115" i="7"/>
  <c r="F1115" i="7"/>
  <c r="B1115" i="7"/>
  <c r="W1114" i="7"/>
  <c r="C1114" i="7"/>
  <c r="X1113" i="7"/>
  <c r="T1113" i="7"/>
  <c r="P1113" i="7"/>
  <c r="L1113" i="7"/>
  <c r="D1113" i="7"/>
  <c r="E1112" i="7"/>
  <c r="V1111" i="7"/>
  <c r="R1111" i="7"/>
  <c r="N1111" i="7"/>
  <c r="F1111" i="7"/>
  <c r="B1111" i="7"/>
  <c r="W1110" i="7"/>
  <c r="C1110" i="7"/>
  <c r="X1109" i="7"/>
  <c r="T1109" i="7"/>
  <c r="P1109" i="7"/>
  <c r="L1109" i="7"/>
  <c r="D1109" i="7"/>
  <c r="E1108" i="7"/>
  <c r="V1107" i="7"/>
  <c r="R1107" i="7"/>
  <c r="N1107" i="7"/>
  <c r="F1107" i="7"/>
  <c r="B1107" i="7"/>
  <c r="W1106" i="7"/>
  <c r="C1106" i="7"/>
  <c r="X1105" i="7"/>
  <c r="T1105" i="7"/>
  <c r="P1105" i="7"/>
  <c r="L1105" i="7"/>
  <c r="D1105" i="7"/>
  <c r="E1104" i="7"/>
  <c r="V1103" i="7"/>
  <c r="R1103" i="7"/>
  <c r="N1103" i="7"/>
  <c r="F1103" i="7"/>
  <c r="B1103" i="7"/>
  <c r="W1102" i="7"/>
  <c r="C1102" i="7"/>
  <c r="X1101" i="7"/>
  <c r="T1101" i="7"/>
  <c r="P1101" i="7"/>
  <c r="L1101" i="7"/>
  <c r="D1101" i="7"/>
  <c r="E1100" i="7"/>
  <c r="V1099" i="7"/>
  <c r="R1099" i="7"/>
  <c r="N1099" i="7"/>
  <c r="F1099" i="7"/>
  <c r="B1099" i="7"/>
  <c r="W1098" i="7"/>
  <c r="C1098" i="7"/>
  <c r="X1097" i="7"/>
  <c r="T1097" i="7"/>
  <c r="P1097" i="7"/>
  <c r="L1097" i="7"/>
  <c r="D1097" i="7"/>
  <c r="E1096" i="7"/>
  <c r="X1274" i="7"/>
  <c r="X1270" i="7"/>
  <c r="B1268" i="7"/>
  <c r="X1266" i="7"/>
  <c r="P1266" i="7"/>
  <c r="D1266" i="7"/>
  <c r="D1265" i="7"/>
  <c r="B1264" i="7"/>
  <c r="X1262" i="7"/>
  <c r="P1262" i="7"/>
  <c r="D1262" i="7"/>
  <c r="D1261" i="7"/>
  <c r="B1260" i="7"/>
  <c r="X1258" i="7"/>
  <c r="R1258" i="7"/>
  <c r="L1258" i="7"/>
  <c r="C1258" i="7"/>
  <c r="W1257" i="7"/>
  <c r="L1257" i="7"/>
  <c r="C1257" i="7"/>
  <c r="V1256" i="7"/>
  <c r="L1256" i="7"/>
  <c r="D1256" i="7"/>
  <c r="W1255" i="7"/>
  <c r="R1255" i="7"/>
  <c r="E1255" i="7"/>
  <c r="V1254" i="7"/>
  <c r="R1254" i="7"/>
  <c r="N1254" i="7"/>
  <c r="F1254" i="7"/>
  <c r="B1254" i="7"/>
  <c r="W1253" i="7"/>
  <c r="C1253" i="7"/>
  <c r="X1252" i="7"/>
  <c r="T1252" i="7"/>
  <c r="P1252" i="7"/>
  <c r="L1252" i="7"/>
  <c r="D1252" i="7"/>
  <c r="E1251" i="7"/>
  <c r="V1250" i="7"/>
  <c r="R1250" i="7"/>
  <c r="N1250" i="7"/>
  <c r="F1250" i="7"/>
  <c r="B1250" i="7"/>
  <c r="W1249" i="7"/>
  <c r="C1249" i="7"/>
  <c r="X1248" i="7"/>
  <c r="T1248" i="7"/>
  <c r="P1248" i="7"/>
  <c r="L1248" i="7"/>
  <c r="D1248" i="7"/>
  <c r="E1247" i="7"/>
  <c r="V1246" i="7"/>
  <c r="R1246" i="7"/>
  <c r="N1246" i="7"/>
  <c r="F1246" i="7"/>
  <c r="B1246" i="7"/>
  <c r="W1245" i="7"/>
  <c r="C1245" i="7"/>
  <c r="X1244" i="7"/>
  <c r="T1244" i="7"/>
  <c r="P1244" i="7"/>
  <c r="L1244" i="7"/>
  <c r="D1244" i="7"/>
  <c r="E1243" i="7"/>
  <c r="V1242" i="7"/>
  <c r="R1242" i="7"/>
  <c r="N1242" i="7"/>
  <c r="F1242" i="7"/>
  <c r="B1242" i="7"/>
  <c r="W1241" i="7"/>
  <c r="C1241" i="7"/>
  <c r="X1240" i="7"/>
  <c r="T1240" i="7"/>
  <c r="P1240" i="7"/>
  <c r="L1240" i="7"/>
  <c r="D1240" i="7"/>
  <c r="E1239" i="7"/>
  <c r="V1238" i="7"/>
  <c r="R1238" i="7"/>
  <c r="N1238" i="7"/>
  <c r="F1238" i="7"/>
  <c r="B1238" i="7"/>
  <c r="W1237" i="7"/>
  <c r="C1237" i="7"/>
  <c r="X1236" i="7"/>
  <c r="T1236" i="7"/>
  <c r="P1236" i="7"/>
  <c r="L1236" i="7"/>
  <c r="D1236" i="7"/>
  <c r="E1235" i="7"/>
  <c r="V1234" i="7"/>
  <c r="R1234" i="7"/>
  <c r="N1234" i="7"/>
  <c r="F1234" i="7"/>
  <c r="B1234" i="7"/>
  <c r="W1233" i="7"/>
  <c r="C1233" i="7"/>
  <c r="X1232" i="7"/>
  <c r="T1232" i="7"/>
  <c r="P1232" i="7"/>
  <c r="L1232" i="7"/>
  <c r="D1232" i="7"/>
  <c r="E1231" i="7"/>
  <c r="V1230" i="7"/>
  <c r="R1230" i="7"/>
  <c r="N1230" i="7"/>
  <c r="F1230" i="7"/>
  <c r="B1230" i="7"/>
  <c r="W1229" i="7"/>
  <c r="C1229" i="7"/>
  <c r="X1228" i="7"/>
  <c r="T1228" i="7"/>
  <c r="P1228" i="7"/>
  <c r="L1228" i="7"/>
  <c r="D1228" i="7"/>
  <c r="E1227" i="7"/>
  <c r="V1226" i="7"/>
  <c r="R1226" i="7"/>
  <c r="N1226" i="7"/>
  <c r="F1226" i="7"/>
  <c r="B1226" i="7"/>
  <c r="W1225" i="7"/>
  <c r="C1225" i="7"/>
  <c r="X1224" i="7"/>
  <c r="T1224" i="7"/>
  <c r="P1224" i="7"/>
  <c r="L1224" i="7"/>
  <c r="D1224" i="7"/>
  <c r="E1223" i="7"/>
  <c r="V1222" i="7"/>
  <c r="R1222" i="7"/>
  <c r="N1222" i="7"/>
  <c r="F1222" i="7"/>
  <c r="B1222" i="7"/>
  <c r="W1221" i="7"/>
  <c r="C1221" i="7"/>
  <c r="X1220" i="7"/>
  <c r="T1220" i="7"/>
  <c r="P1220" i="7"/>
  <c r="L1220" i="7"/>
  <c r="D1220" i="7"/>
  <c r="E1219" i="7"/>
  <c r="V1218" i="7"/>
  <c r="R1218" i="7"/>
  <c r="N1218" i="7"/>
  <c r="F1218" i="7"/>
  <c r="B1218" i="7"/>
  <c r="W1217" i="7"/>
  <c r="C1217" i="7"/>
  <c r="X1216" i="7"/>
  <c r="T1216" i="7"/>
  <c r="P1216" i="7"/>
  <c r="L1216" i="7"/>
  <c r="D1216" i="7"/>
  <c r="E1215" i="7"/>
  <c r="V1214" i="7"/>
  <c r="R1214" i="7"/>
  <c r="N1214" i="7"/>
  <c r="F1214" i="7"/>
  <c r="B1214" i="7"/>
  <c r="W1213" i="7"/>
  <c r="C1213" i="7"/>
  <c r="X1212" i="7"/>
  <c r="T1212" i="7"/>
  <c r="P1212" i="7"/>
  <c r="L1212" i="7"/>
  <c r="D1212" i="7"/>
  <c r="E1211" i="7"/>
  <c r="V1210" i="7"/>
  <c r="R1210" i="7"/>
  <c r="N1210" i="7"/>
  <c r="F1210" i="7"/>
  <c r="B1210" i="7"/>
  <c r="W1209" i="7"/>
  <c r="C1209" i="7"/>
  <c r="X1208" i="7"/>
  <c r="T1208" i="7"/>
  <c r="P1208" i="7"/>
  <c r="L1208" i="7"/>
  <c r="D1208" i="7"/>
  <c r="E1207" i="7"/>
  <c r="V1206" i="7"/>
  <c r="R1206" i="7"/>
  <c r="N1206" i="7"/>
  <c r="F1206" i="7"/>
  <c r="B1206" i="7"/>
  <c r="W1205" i="7"/>
  <c r="C1205" i="7"/>
  <c r="X1204" i="7"/>
  <c r="T1204" i="7"/>
  <c r="P1204" i="7"/>
  <c r="L1204" i="7"/>
  <c r="D1204" i="7"/>
  <c r="E1203" i="7"/>
  <c r="V1202" i="7"/>
  <c r="R1202" i="7"/>
  <c r="N1202" i="7"/>
  <c r="F1202" i="7"/>
  <c r="B1202" i="7"/>
  <c r="W1201" i="7"/>
  <c r="C1201" i="7"/>
  <c r="X1200" i="7"/>
  <c r="T1200" i="7"/>
  <c r="P1200" i="7"/>
  <c r="L1200" i="7"/>
  <c r="D1200" i="7"/>
  <c r="E1199" i="7"/>
  <c r="V1198" i="7"/>
  <c r="R1198" i="7"/>
  <c r="N1198" i="7"/>
  <c r="F1198" i="7"/>
  <c r="B1198" i="7"/>
  <c r="W1197" i="7"/>
  <c r="C1197" i="7"/>
  <c r="X1196" i="7"/>
  <c r="T1196" i="7"/>
  <c r="P1196" i="7"/>
  <c r="L1196" i="7"/>
  <c r="D1196" i="7"/>
  <c r="E1195" i="7"/>
  <c r="V1194" i="7"/>
  <c r="R1194" i="7"/>
  <c r="N1194" i="7"/>
  <c r="F1194" i="7"/>
  <c r="B1194" i="7"/>
  <c r="W1193" i="7"/>
  <c r="C1193" i="7"/>
  <c r="X1192" i="7"/>
  <c r="T1192" i="7"/>
  <c r="P1192" i="7"/>
  <c r="L1192" i="7"/>
  <c r="D1192" i="7"/>
  <c r="E1191" i="7"/>
  <c r="V1190" i="7"/>
  <c r="R1190" i="7"/>
  <c r="N1190" i="7"/>
  <c r="F1190" i="7"/>
  <c r="B1190" i="7"/>
  <c r="W1189" i="7"/>
  <c r="C1189" i="7"/>
  <c r="X1188" i="7"/>
  <c r="T1188" i="7"/>
  <c r="P1188" i="7"/>
  <c r="L1188" i="7"/>
  <c r="D1188" i="7"/>
  <c r="E1187" i="7"/>
  <c r="V1186" i="7"/>
  <c r="R1186" i="7"/>
  <c r="N1186" i="7"/>
  <c r="F1186" i="7"/>
  <c r="B1186" i="7"/>
  <c r="W1185" i="7"/>
  <c r="C1185" i="7"/>
  <c r="X1184" i="7"/>
  <c r="T1184" i="7"/>
  <c r="P1184" i="7"/>
  <c r="L1184" i="7"/>
  <c r="D1184" i="7"/>
  <c r="E1183" i="7"/>
  <c r="V1182" i="7"/>
  <c r="R1182" i="7"/>
  <c r="N1182" i="7"/>
  <c r="F1182" i="7"/>
  <c r="B1182" i="7"/>
  <c r="W1181" i="7"/>
  <c r="C1181" i="7"/>
  <c r="X1180" i="7"/>
  <c r="T1180" i="7"/>
  <c r="P1180" i="7"/>
  <c r="L1180" i="7"/>
  <c r="D1180" i="7"/>
  <c r="E1179" i="7"/>
  <c r="V1178" i="7"/>
  <c r="R1178" i="7"/>
  <c r="N1178" i="7"/>
  <c r="F1178" i="7"/>
  <c r="B1178" i="7"/>
  <c r="W1177" i="7"/>
  <c r="C1177" i="7"/>
  <c r="X1176" i="7"/>
  <c r="T1176" i="7"/>
  <c r="P1176" i="7"/>
  <c r="L1176" i="7"/>
  <c r="D1176" i="7"/>
  <c r="E1175" i="7"/>
  <c r="V1174" i="7"/>
  <c r="R1174" i="7"/>
  <c r="N1174" i="7"/>
  <c r="F1174" i="7"/>
  <c r="B1174" i="7"/>
  <c r="W1173" i="7"/>
  <c r="C1173" i="7"/>
  <c r="X1172" i="7"/>
  <c r="T1172" i="7"/>
  <c r="P1172" i="7"/>
  <c r="L1172" i="7"/>
  <c r="D1172" i="7"/>
  <c r="E1171" i="7"/>
  <c r="V1170" i="7"/>
  <c r="R1170" i="7"/>
  <c r="N1170" i="7"/>
  <c r="F1170" i="7"/>
  <c r="B1170" i="7"/>
  <c r="W1169" i="7"/>
  <c r="C1169" i="7"/>
  <c r="X1168" i="7"/>
  <c r="T1168" i="7"/>
  <c r="P1168" i="7"/>
  <c r="L1168" i="7"/>
  <c r="D1168" i="7"/>
  <c r="E1167" i="7"/>
  <c r="V1166" i="7"/>
  <c r="R1166" i="7"/>
  <c r="N1166" i="7"/>
  <c r="F1166" i="7"/>
  <c r="B1166" i="7"/>
  <c r="W1165" i="7"/>
  <c r="C1165" i="7"/>
  <c r="X1164" i="7"/>
  <c r="T1164" i="7"/>
  <c r="P1164" i="7"/>
  <c r="L1164" i="7"/>
  <c r="D1164" i="7"/>
  <c r="E1163" i="7"/>
  <c r="V1162" i="7"/>
  <c r="R1162" i="7"/>
  <c r="N1162" i="7"/>
  <c r="F1162" i="7"/>
  <c r="B1162" i="7"/>
  <c r="W1161" i="7"/>
  <c r="C1161" i="7"/>
  <c r="X1160" i="7"/>
  <c r="T1160" i="7"/>
  <c r="P1160" i="7"/>
  <c r="L1160" i="7"/>
  <c r="D1160" i="7"/>
  <c r="E1159" i="7"/>
  <c r="V1158" i="7"/>
  <c r="R1158" i="7"/>
  <c r="N1158" i="7"/>
  <c r="F1158" i="7"/>
  <c r="B1158" i="7"/>
  <c r="W1157" i="7"/>
  <c r="C1157" i="7"/>
  <c r="X1156" i="7"/>
  <c r="T1156" i="7"/>
  <c r="P1156" i="7"/>
  <c r="L1156" i="7"/>
  <c r="D1156" i="7"/>
  <c r="E1155" i="7"/>
  <c r="V1154" i="7"/>
  <c r="R1154" i="7"/>
  <c r="N1154" i="7"/>
  <c r="F1154" i="7"/>
  <c r="B1154" i="7"/>
  <c r="W1153" i="7"/>
  <c r="C1153" i="7"/>
  <c r="X1152" i="7"/>
  <c r="T1152" i="7"/>
  <c r="P1152" i="7"/>
  <c r="L1152" i="7"/>
  <c r="D1152" i="7"/>
  <c r="E1151" i="7"/>
  <c r="V1150" i="7"/>
  <c r="R1150" i="7"/>
  <c r="N1150" i="7"/>
  <c r="F1150" i="7"/>
  <c r="B1150" i="7"/>
  <c r="W1149" i="7"/>
  <c r="C1149" i="7"/>
  <c r="X1148" i="7"/>
  <c r="T1148" i="7"/>
  <c r="P1148" i="7"/>
  <c r="L1148" i="7"/>
  <c r="D1148" i="7"/>
  <c r="E1147" i="7"/>
  <c r="V1146" i="7"/>
  <c r="R1146" i="7"/>
  <c r="N1146" i="7"/>
  <c r="F1146" i="7"/>
  <c r="B1146" i="7"/>
  <c r="W1145" i="7"/>
  <c r="C1145" i="7"/>
  <c r="X1144" i="7"/>
  <c r="T1144" i="7"/>
  <c r="P1144" i="7"/>
  <c r="L1144" i="7"/>
  <c r="D1144" i="7"/>
  <c r="E1143" i="7"/>
  <c r="V1142" i="7"/>
  <c r="R1142" i="7"/>
  <c r="N1142" i="7"/>
  <c r="F1142" i="7"/>
  <c r="B1142" i="7"/>
  <c r="W1141" i="7"/>
  <c r="C1141" i="7"/>
  <c r="X1140" i="7"/>
  <c r="T1140" i="7"/>
  <c r="P1140" i="7"/>
  <c r="L1140" i="7"/>
  <c r="D1140" i="7"/>
  <c r="E1139" i="7"/>
  <c r="V1138" i="7"/>
  <c r="R1138" i="7"/>
  <c r="N1138" i="7"/>
  <c r="F1138" i="7"/>
  <c r="B1138" i="7"/>
  <c r="W1137" i="7"/>
  <c r="C1137" i="7"/>
  <c r="X1136" i="7"/>
  <c r="T1136" i="7"/>
  <c r="P1136" i="7"/>
  <c r="L1136" i="7"/>
  <c r="D1136" i="7"/>
  <c r="E1135" i="7"/>
  <c r="V1134" i="7"/>
  <c r="R1134" i="7"/>
  <c r="N1134" i="7"/>
  <c r="F1134" i="7"/>
  <c r="B1134" i="7"/>
  <c r="W1133" i="7"/>
  <c r="C1133" i="7"/>
  <c r="X1132" i="7"/>
  <c r="T1132" i="7"/>
  <c r="P1132" i="7"/>
  <c r="L1132" i="7"/>
  <c r="D1132" i="7"/>
  <c r="E1131" i="7"/>
  <c r="V1130" i="7"/>
  <c r="R1130" i="7"/>
  <c r="N1130" i="7"/>
  <c r="F1130" i="7"/>
  <c r="B1130" i="7"/>
  <c r="W1129" i="7"/>
  <c r="C1129" i="7"/>
  <c r="X1128" i="7"/>
  <c r="T1128" i="7"/>
  <c r="P1128" i="7"/>
  <c r="L1128" i="7"/>
  <c r="D1128" i="7"/>
  <c r="E1127" i="7"/>
  <c r="V1126" i="7"/>
  <c r="R1126" i="7"/>
  <c r="N1126" i="7"/>
  <c r="F1126" i="7"/>
  <c r="B1126" i="7"/>
  <c r="W1125" i="7"/>
  <c r="C1125" i="7"/>
  <c r="X1124" i="7"/>
  <c r="T1124" i="7"/>
  <c r="P1124" i="7"/>
  <c r="L1124" i="7"/>
  <c r="D1124" i="7"/>
  <c r="E1123" i="7"/>
  <c r="V1122" i="7"/>
  <c r="R1122" i="7"/>
  <c r="N1122" i="7"/>
  <c r="F1122" i="7"/>
  <c r="B1122" i="7"/>
  <c r="W1121" i="7"/>
  <c r="C1121" i="7"/>
  <c r="X1120" i="7"/>
  <c r="T1120" i="7"/>
  <c r="P1120" i="7"/>
  <c r="L1120" i="7"/>
  <c r="D1120" i="7"/>
  <c r="E1119" i="7"/>
  <c r="V1118" i="7"/>
  <c r="R1118" i="7"/>
  <c r="N1118" i="7"/>
  <c r="F1118" i="7"/>
  <c r="B1118" i="7"/>
  <c r="W1117" i="7"/>
  <c r="C1117" i="7"/>
  <c r="X1116" i="7"/>
  <c r="T1116" i="7"/>
  <c r="P1116" i="7"/>
  <c r="L1116" i="7"/>
  <c r="D1116" i="7"/>
  <c r="E1115" i="7"/>
  <c r="V1114" i="7"/>
  <c r="R1114" i="7"/>
  <c r="N1114" i="7"/>
  <c r="F1114" i="7"/>
  <c r="B1114" i="7"/>
  <c r="W1113" i="7"/>
  <c r="C1113" i="7"/>
  <c r="X1112" i="7"/>
  <c r="T1112" i="7"/>
  <c r="P1112" i="7"/>
  <c r="L1112" i="7"/>
  <c r="D1112" i="7"/>
  <c r="E1111" i="7"/>
  <c r="V1110" i="7"/>
  <c r="R1110" i="7"/>
  <c r="N1110" i="7"/>
  <c r="F1110" i="7"/>
  <c r="B1110" i="7"/>
  <c r="W1109" i="7"/>
  <c r="C1109" i="7"/>
  <c r="X1108" i="7"/>
  <c r="T1108" i="7"/>
  <c r="P1108" i="7"/>
  <c r="L1108" i="7"/>
  <c r="D1108" i="7"/>
  <c r="E1107" i="7"/>
  <c r="V1106" i="7"/>
  <c r="R1106" i="7"/>
  <c r="N1106" i="7"/>
  <c r="F1106" i="7"/>
  <c r="B1106" i="7"/>
  <c r="W1105" i="7"/>
  <c r="C1105" i="7"/>
  <c r="X1104" i="7"/>
  <c r="T1104" i="7"/>
  <c r="P1104" i="7"/>
  <c r="L1104" i="7"/>
  <c r="D1104" i="7"/>
  <c r="E1103" i="7"/>
  <c r="V1102" i="7"/>
  <c r="R1102" i="7"/>
  <c r="N1102" i="7"/>
  <c r="F1102" i="7"/>
  <c r="B1102" i="7"/>
  <c r="W1101" i="7"/>
  <c r="C1101" i="7"/>
  <c r="X1100" i="7"/>
  <c r="T1100" i="7"/>
  <c r="P1100" i="7"/>
  <c r="L1100" i="7"/>
  <c r="D1100" i="7"/>
  <c r="E1099" i="7"/>
  <c r="V1098" i="7"/>
  <c r="R1098" i="7"/>
  <c r="N1098" i="7"/>
  <c r="F1098" i="7"/>
  <c r="B1098" i="7"/>
  <c r="W1097" i="7"/>
  <c r="C1097" i="7"/>
  <c r="X1096" i="7"/>
  <c r="T1096" i="7"/>
  <c r="P1096" i="7"/>
  <c r="L1096" i="7"/>
  <c r="D1096" i="7"/>
  <c r="E1095" i="7"/>
  <c r="V1094" i="7"/>
  <c r="R1094" i="7"/>
  <c r="N1094" i="7"/>
  <c r="F1094" i="7"/>
  <c r="B1094" i="7"/>
  <c r="W1093" i="7"/>
  <c r="C1093" i="7"/>
  <c r="X1092" i="7"/>
  <c r="T1092" i="7"/>
  <c r="P1092" i="7"/>
  <c r="L1092" i="7"/>
  <c r="D1092" i="7"/>
  <c r="E1091" i="7"/>
  <c r="V1090" i="7"/>
  <c r="T1274" i="7"/>
  <c r="D1274" i="7"/>
  <c r="V1272" i="7"/>
  <c r="F1272" i="7"/>
  <c r="T1270" i="7"/>
  <c r="D1270" i="7"/>
  <c r="V1268" i="7"/>
  <c r="R1267" i="7"/>
  <c r="F1267" i="7"/>
  <c r="W1266" i="7"/>
  <c r="C1266" i="7"/>
  <c r="T1265" i="7"/>
  <c r="L1265" i="7"/>
  <c r="R1264" i="7"/>
  <c r="R1263" i="7"/>
  <c r="F1263" i="7"/>
  <c r="W1262" i="7"/>
  <c r="C1262" i="7"/>
  <c r="T1261" i="7"/>
  <c r="L1261" i="7"/>
  <c r="R1260" i="7"/>
  <c r="R1259" i="7"/>
  <c r="F1259" i="7"/>
  <c r="W1258" i="7"/>
  <c r="P1258" i="7"/>
  <c r="B1258" i="7"/>
  <c r="P1257" i="7"/>
  <c r="P1256" i="7"/>
  <c r="B1256" i="7"/>
  <c r="V1255" i="7"/>
  <c r="L1255" i="7"/>
  <c r="D1255" i="7"/>
  <c r="E1254" i="7"/>
  <c r="V1253" i="7"/>
  <c r="R1253" i="7"/>
  <c r="N1253" i="7"/>
  <c r="F1253" i="7"/>
  <c r="B1253" i="7"/>
  <c r="W1252" i="7"/>
  <c r="C1252" i="7"/>
  <c r="X1251" i="7"/>
  <c r="T1251" i="7"/>
  <c r="P1251" i="7"/>
  <c r="L1251" i="7"/>
  <c r="D1251" i="7"/>
  <c r="E1250" i="7"/>
  <c r="V1249" i="7"/>
  <c r="R1249" i="7"/>
  <c r="N1249" i="7"/>
  <c r="F1249" i="7"/>
  <c r="B1249" i="7"/>
  <c r="W1248" i="7"/>
  <c r="C1248" i="7"/>
  <c r="X1247" i="7"/>
  <c r="T1247" i="7"/>
  <c r="P1247" i="7"/>
  <c r="L1247" i="7"/>
  <c r="D1247" i="7"/>
  <c r="E1246" i="7"/>
  <c r="V1245" i="7"/>
  <c r="R1245" i="7"/>
  <c r="N1245" i="7"/>
  <c r="F1245" i="7"/>
  <c r="B1245" i="7"/>
  <c r="W1244" i="7"/>
  <c r="C1244" i="7"/>
  <c r="X1243" i="7"/>
  <c r="T1243" i="7"/>
  <c r="P1243" i="7"/>
  <c r="L1243" i="7"/>
  <c r="D1243" i="7"/>
  <c r="E1242" i="7"/>
  <c r="V1241" i="7"/>
  <c r="R1241" i="7"/>
  <c r="N1241" i="7"/>
  <c r="F1241" i="7"/>
  <c r="B1241" i="7"/>
  <c r="W1240" i="7"/>
  <c r="C1240" i="7"/>
  <c r="X1239" i="7"/>
  <c r="T1239" i="7"/>
  <c r="P1239" i="7"/>
  <c r="L1239" i="7"/>
  <c r="D1239" i="7"/>
  <c r="E1238" i="7"/>
  <c r="V1237" i="7"/>
  <c r="R1237" i="7"/>
  <c r="N1237" i="7"/>
  <c r="F1237" i="7"/>
  <c r="B1237" i="7"/>
  <c r="W1236" i="7"/>
  <c r="C1236" i="7"/>
  <c r="X1235" i="7"/>
  <c r="T1235" i="7"/>
  <c r="P1235" i="7"/>
  <c r="L1235" i="7"/>
  <c r="D1235" i="7"/>
  <c r="E1234" i="7"/>
  <c r="V1233" i="7"/>
  <c r="R1233" i="7"/>
  <c r="N1233" i="7"/>
  <c r="F1233" i="7"/>
  <c r="B1233" i="7"/>
  <c r="W1232" i="7"/>
  <c r="C1232" i="7"/>
  <c r="X1231" i="7"/>
  <c r="T1231" i="7"/>
  <c r="P1231" i="7"/>
  <c r="L1231" i="7"/>
  <c r="D1231" i="7"/>
  <c r="E1230" i="7"/>
  <c r="V1229" i="7"/>
  <c r="R1229" i="7"/>
  <c r="N1229" i="7"/>
  <c r="F1229" i="7"/>
  <c r="B1229" i="7"/>
  <c r="W1228" i="7"/>
  <c r="C1228" i="7"/>
  <c r="X1227" i="7"/>
  <c r="T1227" i="7"/>
  <c r="P1227" i="7"/>
  <c r="L1227" i="7"/>
  <c r="D1227" i="7"/>
  <c r="E1226" i="7"/>
  <c r="V1225" i="7"/>
  <c r="R1225" i="7"/>
  <c r="N1225" i="7"/>
  <c r="F1225" i="7"/>
  <c r="B1225" i="7"/>
  <c r="W1224" i="7"/>
  <c r="C1224" i="7"/>
  <c r="X1223" i="7"/>
  <c r="T1223" i="7"/>
  <c r="P1223" i="7"/>
  <c r="L1223" i="7"/>
  <c r="D1223" i="7"/>
  <c r="E1222" i="7"/>
  <c r="V1221" i="7"/>
  <c r="R1221" i="7"/>
  <c r="N1221" i="7"/>
  <c r="F1221" i="7"/>
  <c r="B1221" i="7"/>
  <c r="W1220" i="7"/>
  <c r="C1220" i="7"/>
  <c r="X1219" i="7"/>
  <c r="T1219" i="7"/>
  <c r="P1219" i="7"/>
  <c r="L1219" i="7"/>
  <c r="D1219" i="7"/>
  <c r="E1218" i="7"/>
  <c r="V1217" i="7"/>
  <c r="R1217" i="7"/>
  <c r="N1217" i="7"/>
  <c r="F1217" i="7"/>
  <c r="B1217" i="7"/>
  <c r="W1216" i="7"/>
  <c r="C1216" i="7"/>
  <c r="X1215" i="7"/>
  <c r="T1215" i="7"/>
  <c r="P1215" i="7"/>
  <c r="L1215" i="7"/>
  <c r="D1215" i="7"/>
  <c r="E1214" i="7"/>
  <c r="V1213" i="7"/>
  <c r="R1213" i="7"/>
  <c r="N1213" i="7"/>
  <c r="F1213" i="7"/>
  <c r="B1213" i="7"/>
  <c r="W1212" i="7"/>
  <c r="C1212" i="7"/>
  <c r="X1211" i="7"/>
  <c r="T1211" i="7"/>
  <c r="P1211" i="7"/>
  <c r="L1211" i="7"/>
  <c r="D1211" i="7"/>
  <c r="E1210" i="7"/>
  <c r="V1209" i="7"/>
  <c r="R1209" i="7"/>
  <c r="N1209" i="7"/>
  <c r="F1209" i="7"/>
  <c r="B1209" i="7"/>
  <c r="W1208" i="7"/>
  <c r="C1208" i="7"/>
  <c r="X1207" i="7"/>
  <c r="T1207" i="7"/>
  <c r="P1207" i="7"/>
  <c r="L1207" i="7"/>
  <c r="D1207" i="7"/>
  <c r="E1206" i="7"/>
  <c r="V1205" i="7"/>
  <c r="R1205" i="7"/>
  <c r="N1205" i="7"/>
  <c r="F1205" i="7"/>
  <c r="B1205" i="7"/>
  <c r="W1204" i="7"/>
  <c r="C1204" i="7"/>
  <c r="X1203" i="7"/>
  <c r="T1203" i="7"/>
  <c r="P1203" i="7"/>
  <c r="L1203" i="7"/>
  <c r="D1203" i="7"/>
  <c r="E1202" i="7"/>
  <c r="V1201" i="7"/>
  <c r="R1201" i="7"/>
  <c r="N1201" i="7"/>
  <c r="F1201" i="7"/>
  <c r="B1201" i="7"/>
  <c r="W1200" i="7"/>
  <c r="C1200" i="7"/>
  <c r="X1199" i="7"/>
  <c r="T1199" i="7"/>
  <c r="P1199" i="7"/>
  <c r="L1199" i="7"/>
  <c r="D1199" i="7"/>
  <c r="E1198" i="7"/>
  <c r="V1197" i="7"/>
  <c r="R1197" i="7"/>
  <c r="N1197" i="7"/>
  <c r="F1197" i="7"/>
  <c r="B1197" i="7"/>
  <c r="W1196" i="7"/>
  <c r="C1196" i="7"/>
  <c r="X1195" i="7"/>
  <c r="T1195" i="7"/>
  <c r="P1195" i="7"/>
  <c r="L1195" i="7"/>
  <c r="D1195" i="7"/>
  <c r="E1194" i="7"/>
  <c r="V1193" i="7"/>
  <c r="R1193" i="7"/>
  <c r="N1193" i="7"/>
  <c r="F1193" i="7"/>
  <c r="B1193" i="7"/>
  <c r="W1192" i="7"/>
  <c r="C1192" i="7"/>
  <c r="X1191" i="7"/>
  <c r="T1191" i="7"/>
  <c r="P1191" i="7"/>
  <c r="L1191" i="7"/>
  <c r="D1191" i="7"/>
  <c r="E1190" i="7"/>
  <c r="V1189" i="7"/>
  <c r="R1189" i="7"/>
  <c r="N1189" i="7"/>
  <c r="F1189" i="7"/>
  <c r="B1189" i="7"/>
  <c r="W1188" i="7"/>
  <c r="C1188" i="7"/>
  <c r="X1187" i="7"/>
  <c r="T1187" i="7"/>
  <c r="P1187" i="7"/>
  <c r="L1187" i="7"/>
  <c r="D1187" i="7"/>
  <c r="E1186" i="7"/>
  <c r="V1185" i="7"/>
  <c r="R1185" i="7"/>
  <c r="N1185" i="7"/>
  <c r="F1185" i="7"/>
  <c r="B1185" i="7"/>
  <c r="W1184" i="7"/>
  <c r="C1184" i="7"/>
  <c r="X1183" i="7"/>
  <c r="T1183" i="7"/>
  <c r="P1183" i="7"/>
  <c r="L1183" i="7"/>
  <c r="D1183" i="7"/>
  <c r="E1182" i="7"/>
  <c r="V1181" i="7"/>
  <c r="R1181" i="7"/>
  <c r="N1181" i="7"/>
  <c r="F1181" i="7"/>
  <c r="B1181" i="7"/>
  <c r="W1180" i="7"/>
  <c r="C1180" i="7"/>
  <c r="X1179" i="7"/>
  <c r="T1179" i="7"/>
  <c r="P1179" i="7"/>
  <c r="L1179" i="7"/>
  <c r="D1179" i="7"/>
  <c r="E1178" i="7"/>
  <c r="V1177" i="7"/>
  <c r="R1177" i="7"/>
  <c r="N1177" i="7"/>
  <c r="F1177" i="7"/>
  <c r="B1177" i="7"/>
  <c r="W1176" i="7"/>
  <c r="C1176" i="7"/>
  <c r="X1175" i="7"/>
  <c r="T1175" i="7"/>
  <c r="P1175" i="7"/>
  <c r="L1175" i="7"/>
  <c r="D1175" i="7"/>
  <c r="E1174" i="7"/>
  <c r="V1173" i="7"/>
  <c r="R1173" i="7"/>
  <c r="N1173" i="7"/>
  <c r="F1173" i="7"/>
  <c r="B1173" i="7"/>
  <c r="W1172" i="7"/>
  <c r="C1172" i="7"/>
  <c r="X1171" i="7"/>
  <c r="T1171" i="7"/>
  <c r="P1171" i="7"/>
  <c r="L1171" i="7"/>
  <c r="D1171" i="7"/>
  <c r="E1170" i="7"/>
  <c r="V1169" i="7"/>
  <c r="R1169" i="7"/>
  <c r="N1169" i="7"/>
  <c r="F1169" i="7"/>
  <c r="B1169" i="7"/>
  <c r="W1168" i="7"/>
  <c r="C1168" i="7"/>
  <c r="X1167" i="7"/>
  <c r="T1167" i="7"/>
  <c r="P1167" i="7"/>
  <c r="L1167" i="7"/>
  <c r="D1167" i="7"/>
  <c r="E1166" i="7"/>
  <c r="V1165" i="7"/>
  <c r="R1165" i="7"/>
  <c r="N1165" i="7"/>
  <c r="F1165" i="7"/>
  <c r="B1165" i="7"/>
  <c r="W1164" i="7"/>
  <c r="C1164" i="7"/>
  <c r="X1163" i="7"/>
  <c r="T1163" i="7"/>
  <c r="P1163" i="7"/>
  <c r="L1163" i="7"/>
  <c r="D1163" i="7"/>
  <c r="E1162" i="7"/>
  <c r="V1161" i="7"/>
  <c r="R1161" i="7"/>
  <c r="N1161" i="7"/>
  <c r="F1161" i="7"/>
  <c r="B1161" i="7"/>
  <c r="W1160" i="7"/>
  <c r="C1160" i="7"/>
  <c r="X1159" i="7"/>
  <c r="T1159" i="7"/>
  <c r="P1159" i="7"/>
  <c r="L1159" i="7"/>
  <c r="D1159" i="7"/>
  <c r="E1158" i="7"/>
  <c r="V1157" i="7"/>
  <c r="R1157" i="7"/>
  <c r="N1157" i="7"/>
  <c r="F1157" i="7"/>
  <c r="B1157" i="7"/>
  <c r="W1156" i="7"/>
  <c r="C1156" i="7"/>
  <c r="X1155" i="7"/>
  <c r="T1155" i="7"/>
  <c r="P1155" i="7"/>
  <c r="L1155" i="7"/>
  <c r="D1155" i="7"/>
  <c r="E1154" i="7"/>
  <c r="V1153" i="7"/>
  <c r="R1153" i="7"/>
  <c r="N1153" i="7"/>
  <c r="F1153" i="7"/>
  <c r="B1153" i="7"/>
  <c r="W1152" i="7"/>
  <c r="C1152" i="7"/>
  <c r="X1151" i="7"/>
  <c r="T1151" i="7"/>
  <c r="P1151" i="7"/>
  <c r="L1151" i="7"/>
  <c r="D1151" i="7"/>
  <c r="E1150" i="7"/>
  <c r="V1149" i="7"/>
  <c r="R1149" i="7"/>
  <c r="N1149" i="7"/>
  <c r="F1149" i="7"/>
  <c r="B1149" i="7"/>
  <c r="W1148" i="7"/>
  <c r="C1148" i="7"/>
  <c r="X1147" i="7"/>
  <c r="T1147" i="7"/>
  <c r="P1147" i="7"/>
  <c r="L1147" i="7"/>
  <c r="D1147" i="7"/>
  <c r="E1146" i="7"/>
  <c r="V1145" i="7"/>
  <c r="R1145" i="7"/>
  <c r="N1145" i="7"/>
  <c r="F1145" i="7"/>
  <c r="B1145" i="7"/>
  <c r="W1144" i="7"/>
  <c r="C1144" i="7"/>
  <c r="X1143" i="7"/>
  <c r="T1143" i="7"/>
  <c r="P1143" i="7"/>
  <c r="L1143" i="7"/>
  <c r="D1143" i="7"/>
  <c r="E1142" i="7"/>
  <c r="V1141" i="7"/>
  <c r="R1141" i="7"/>
  <c r="N1141" i="7"/>
  <c r="F1141" i="7"/>
  <c r="B1141" i="7"/>
  <c r="W1140" i="7"/>
  <c r="C1140" i="7"/>
  <c r="X1139" i="7"/>
  <c r="T1139" i="7"/>
  <c r="P1139" i="7"/>
  <c r="L1139" i="7"/>
  <c r="D1139" i="7"/>
  <c r="E1138" i="7"/>
  <c r="V1137" i="7"/>
  <c r="R1137" i="7"/>
  <c r="N1137" i="7"/>
  <c r="F1137" i="7"/>
  <c r="B1137" i="7"/>
  <c r="W1136" i="7"/>
  <c r="C1136" i="7"/>
  <c r="X1135" i="7"/>
  <c r="T1135" i="7"/>
  <c r="P1135" i="7"/>
  <c r="L1135" i="7"/>
  <c r="D1135" i="7"/>
  <c r="E1134" i="7"/>
  <c r="V1133" i="7"/>
  <c r="R1133" i="7"/>
  <c r="N1133" i="7"/>
  <c r="F1133" i="7"/>
  <c r="B1133" i="7"/>
  <c r="W1132" i="7"/>
  <c r="C1132" i="7"/>
  <c r="X1131" i="7"/>
  <c r="T1131" i="7"/>
  <c r="P1131" i="7"/>
  <c r="L1131" i="7"/>
  <c r="D1131" i="7"/>
  <c r="E1130" i="7"/>
  <c r="V1129" i="7"/>
  <c r="R1129" i="7"/>
  <c r="N1129" i="7"/>
  <c r="F1129" i="7"/>
  <c r="B1129" i="7"/>
  <c r="W1128" i="7"/>
  <c r="C1128" i="7"/>
  <c r="X1127" i="7"/>
  <c r="T1127" i="7"/>
  <c r="P1127" i="7"/>
  <c r="L1127" i="7"/>
  <c r="D1127" i="7"/>
  <c r="E1126" i="7"/>
  <c r="V1125" i="7"/>
  <c r="R1125" i="7"/>
  <c r="N1125" i="7"/>
  <c r="F1125" i="7"/>
  <c r="B1125" i="7"/>
  <c r="W1124" i="7"/>
  <c r="C1124" i="7"/>
  <c r="X1123" i="7"/>
  <c r="T1123" i="7"/>
  <c r="P1123" i="7"/>
  <c r="L1123" i="7"/>
  <c r="D1123" i="7"/>
  <c r="E1122" i="7"/>
  <c r="V1121" i="7"/>
  <c r="R1121" i="7"/>
  <c r="N1121" i="7"/>
  <c r="F1121" i="7"/>
  <c r="B1121" i="7"/>
  <c r="W1120" i="7"/>
  <c r="C1120" i="7"/>
  <c r="X1119" i="7"/>
  <c r="T1119" i="7"/>
  <c r="P1119" i="7"/>
  <c r="L1119" i="7"/>
  <c r="D1119" i="7"/>
  <c r="E1118" i="7"/>
  <c r="V1117" i="7"/>
  <c r="R1117" i="7"/>
  <c r="N1117" i="7"/>
  <c r="F1117" i="7"/>
  <c r="B1117" i="7"/>
  <c r="W1116" i="7"/>
  <c r="C1116" i="7"/>
  <c r="X1115" i="7"/>
  <c r="T1115" i="7"/>
  <c r="P1115" i="7"/>
  <c r="L1115" i="7"/>
  <c r="D1115" i="7"/>
  <c r="E1114" i="7"/>
  <c r="V1113" i="7"/>
  <c r="R1113" i="7"/>
  <c r="N1113" i="7"/>
  <c r="F1113" i="7"/>
  <c r="B1113" i="7"/>
  <c r="W1112" i="7"/>
  <c r="C1112" i="7"/>
  <c r="X1111" i="7"/>
  <c r="T1111" i="7"/>
  <c r="P1111" i="7"/>
  <c r="L1111" i="7"/>
  <c r="D1111" i="7"/>
  <c r="E1110" i="7"/>
  <c r="V1109" i="7"/>
  <c r="R1109" i="7"/>
  <c r="N1109" i="7"/>
  <c r="F1109" i="7"/>
  <c r="B1109" i="7"/>
  <c r="W1108" i="7"/>
  <c r="C1108" i="7"/>
  <c r="X1107" i="7"/>
  <c r="T1107" i="7"/>
  <c r="P1107" i="7"/>
  <c r="L1107" i="7"/>
  <c r="D1107" i="7"/>
  <c r="E1106" i="7"/>
  <c r="V1105" i="7"/>
  <c r="R1105" i="7"/>
  <c r="N1105" i="7"/>
  <c r="F1105" i="7"/>
  <c r="B1105" i="7"/>
  <c r="W1104" i="7"/>
  <c r="C1104" i="7"/>
  <c r="X1103" i="7"/>
  <c r="T1103" i="7"/>
  <c r="P1103" i="7"/>
  <c r="L1103" i="7"/>
  <c r="D1103" i="7"/>
  <c r="E1102" i="7"/>
  <c r="V1101" i="7"/>
  <c r="R1101" i="7"/>
  <c r="N1101" i="7"/>
  <c r="F1101" i="7"/>
  <c r="B1101" i="7"/>
  <c r="W1100" i="7"/>
  <c r="C1100" i="7"/>
  <c r="X1099" i="7"/>
  <c r="T1099" i="7"/>
  <c r="P1099" i="7"/>
  <c r="L1099" i="7"/>
  <c r="D1099" i="7"/>
  <c r="E1098" i="7"/>
  <c r="V1097" i="7"/>
  <c r="R1097" i="7"/>
  <c r="N1097" i="7"/>
  <c r="F1097" i="7"/>
  <c r="B1097" i="7"/>
  <c r="W1096" i="7"/>
  <c r="C1096" i="7"/>
  <c r="X1095" i="7"/>
  <c r="T1095" i="7"/>
  <c r="P1095" i="7"/>
  <c r="L1095" i="7"/>
  <c r="D1095" i="7"/>
  <c r="E1094" i="7"/>
  <c r="V1093" i="7"/>
  <c r="R1093" i="7"/>
  <c r="N1093" i="7"/>
  <c r="F1093" i="7"/>
  <c r="B1093" i="7"/>
  <c r="W1092" i="7"/>
  <c r="C1092" i="7"/>
  <c r="X1091" i="7"/>
  <c r="T1091" i="7"/>
  <c r="P1091" i="7"/>
  <c r="L1091" i="7"/>
  <c r="D1091" i="7"/>
  <c r="R1095" i="7"/>
  <c r="B1095" i="7"/>
  <c r="P1093" i="7"/>
  <c r="R1091" i="7"/>
  <c r="B1091" i="7"/>
  <c r="F1090" i="7"/>
  <c r="B1090" i="7"/>
  <c r="W1089" i="7"/>
  <c r="C1089" i="7"/>
  <c r="X1088" i="7"/>
  <c r="T1088" i="7"/>
  <c r="P1088" i="7"/>
  <c r="L1088" i="7"/>
  <c r="D1088" i="7"/>
  <c r="E1087" i="7"/>
  <c r="V1086" i="7"/>
  <c r="R1086" i="7"/>
  <c r="N1086" i="7"/>
  <c r="F1086" i="7"/>
  <c r="B1086" i="7"/>
  <c r="W1085" i="7"/>
  <c r="C1085" i="7"/>
  <c r="X1084" i="7"/>
  <c r="T1084" i="7"/>
  <c r="P1084" i="7"/>
  <c r="L1084" i="7"/>
  <c r="D1084" i="7"/>
  <c r="E1083" i="7"/>
  <c r="V1082" i="7"/>
  <c r="R1082" i="7"/>
  <c r="N1082" i="7"/>
  <c r="F1082" i="7"/>
  <c r="B1082" i="7"/>
  <c r="W1081" i="7"/>
  <c r="C1081" i="7"/>
  <c r="X1080" i="7"/>
  <c r="T1080" i="7"/>
  <c r="P1080" i="7"/>
  <c r="L1080" i="7"/>
  <c r="D1080" i="7"/>
  <c r="E1079" i="7"/>
  <c r="V1078" i="7"/>
  <c r="R1078" i="7"/>
  <c r="N1078" i="7"/>
  <c r="F1078" i="7"/>
  <c r="B1078" i="7"/>
  <c r="W1077" i="7"/>
  <c r="C1077" i="7"/>
  <c r="X1076" i="7"/>
  <c r="T1076" i="7"/>
  <c r="P1076" i="7"/>
  <c r="L1076" i="7"/>
  <c r="D1076" i="7"/>
  <c r="E1075" i="7"/>
  <c r="V1074" i="7"/>
  <c r="R1074" i="7"/>
  <c r="N1074" i="7"/>
  <c r="F1074" i="7"/>
  <c r="B1074" i="7"/>
  <c r="W1073" i="7"/>
  <c r="C1073" i="7"/>
  <c r="X1072" i="7"/>
  <c r="T1072" i="7"/>
  <c r="P1072" i="7"/>
  <c r="L1072" i="7"/>
  <c r="D1072" i="7"/>
  <c r="E1071" i="7"/>
  <c r="V1070" i="7"/>
  <c r="R1070" i="7"/>
  <c r="N1070" i="7"/>
  <c r="F1070" i="7"/>
  <c r="B1070" i="7"/>
  <c r="W1069" i="7"/>
  <c r="C1069" i="7"/>
  <c r="X1068" i="7"/>
  <c r="T1068" i="7"/>
  <c r="P1068" i="7"/>
  <c r="L1068" i="7"/>
  <c r="D1068" i="7"/>
  <c r="E1067" i="7"/>
  <c r="V1066" i="7"/>
  <c r="R1066" i="7"/>
  <c r="N1066" i="7"/>
  <c r="F1066" i="7"/>
  <c r="B1066" i="7"/>
  <c r="W1065" i="7"/>
  <c r="C1065" i="7"/>
  <c r="X1064" i="7"/>
  <c r="T1064" i="7"/>
  <c r="P1064" i="7"/>
  <c r="L1064" i="7"/>
  <c r="D1064" i="7"/>
  <c r="E1063" i="7"/>
  <c r="V1062" i="7"/>
  <c r="R1062" i="7"/>
  <c r="N1062" i="7"/>
  <c r="F1062" i="7"/>
  <c r="B1062" i="7"/>
  <c r="W1061" i="7"/>
  <c r="C1061" i="7"/>
  <c r="X1060" i="7"/>
  <c r="T1060" i="7"/>
  <c r="P1060" i="7"/>
  <c r="L1060" i="7"/>
  <c r="D1060" i="7"/>
  <c r="E1059" i="7"/>
  <c r="V1058" i="7"/>
  <c r="R1058" i="7"/>
  <c r="N1058" i="7"/>
  <c r="F1058" i="7"/>
  <c r="B1058" i="7"/>
  <c r="W1057" i="7"/>
  <c r="C1057" i="7"/>
  <c r="X1056" i="7"/>
  <c r="T1056" i="7"/>
  <c r="P1056" i="7"/>
  <c r="L1056" i="7"/>
  <c r="D1056" i="7"/>
  <c r="E1055" i="7"/>
  <c r="V1054" i="7"/>
  <c r="R1054" i="7"/>
  <c r="N1054" i="7"/>
  <c r="F1054" i="7"/>
  <c r="B1054" i="7"/>
  <c r="W1053" i="7"/>
  <c r="C1053" i="7"/>
  <c r="X1052" i="7"/>
  <c r="T1052" i="7"/>
  <c r="P1052" i="7"/>
  <c r="L1052" i="7"/>
  <c r="D1052" i="7"/>
  <c r="E1051" i="7"/>
  <c r="V1050" i="7"/>
  <c r="R1050" i="7"/>
  <c r="N1050" i="7"/>
  <c r="F1050" i="7"/>
  <c r="B1050" i="7"/>
  <c r="W1049" i="7"/>
  <c r="C1049" i="7"/>
  <c r="X1048" i="7"/>
  <c r="T1048" i="7"/>
  <c r="P1048" i="7"/>
  <c r="L1048" i="7"/>
  <c r="D1048" i="7"/>
  <c r="E1047" i="7"/>
  <c r="V1046" i="7"/>
  <c r="R1046" i="7"/>
  <c r="N1046" i="7"/>
  <c r="F1046" i="7"/>
  <c r="B1046" i="7"/>
  <c r="W1045" i="7"/>
  <c r="C1045" i="7"/>
  <c r="X1044" i="7"/>
  <c r="T1044" i="7"/>
  <c r="P1044" i="7"/>
  <c r="L1044" i="7"/>
  <c r="D1044" i="7"/>
  <c r="E1043" i="7"/>
  <c r="V1042" i="7"/>
  <c r="R1042" i="7"/>
  <c r="N1042" i="7"/>
  <c r="F1042" i="7"/>
  <c r="B1042" i="7"/>
  <c r="W1041" i="7"/>
  <c r="C1041" i="7"/>
  <c r="X1040" i="7"/>
  <c r="T1040" i="7"/>
  <c r="P1040" i="7"/>
  <c r="L1040" i="7"/>
  <c r="D1040" i="7"/>
  <c r="E1039" i="7"/>
  <c r="V1038" i="7"/>
  <c r="R1038" i="7"/>
  <c r="N1038" i="7"/>
  <c r="F1038" i="7"/>
  <c r="B1038" i="7"/>
  <c r="W1037" i="7"/>
  <c r="C1037" i="7"/>
  <c r="X1036" i="7"/>
  <c r="T1036" i="7"/>
  <c r="P1036" i="7"/>
  <c r="L1036" i="7"/>
  <c r="D1036" i="7"/>
  <c r="E1035" i="7"/>
  <c r="V1034" i="7"/>
  <c r="R1034" i="7"/>
  <c r="N1034" i="7"/>
  <c r="F1034" i="7"/>
  <c r="B1034" i="7"/>
  <c r="W1033" i="7"/>
  <c r="C1033" i="7"/>
  <c r="X1032" i="7"/>
  <c r="T1032" i="7"/>
  <c r="P1032" i="7"/>
  <c r="L1032" i="7"/>
  <c r="D1032" i="7"/>
  <c r="E1031" i="7"/>
  <c r="V1030" i="7"/>
  <c r="R1030" i="7"/>
  <c r="N1030" i="7"/>
  <c r="F1030" i="7"/>
  <c r="B1030" i="7"/>
  <c r="W1029" i="7"/>
  <c r="C1029" i="7"/>
  <c r="X1028" i="7"/>
  <c r="T1028" i="7"/>
  <c r="P1028" i="7"/>
  <c r="L1028" i="7"/>
  <c r="D1028" i="7"/>
  <c r="E1027" i="7"/>
  <c r="V1026" i="7"/>
  <c r="R1026" i="7"/>
  <c r="N1026" i="7"/>
  <c r="F1026" i="7"/>
  <c r="B1026" i="7"/>
  <c r="W1025" i="7"/>
  <c r="C1025" i="7"/>
  <c r="X1024" i="7"/>
  <c r="T1024" i="7"/>
  <c r="P1024" i="7"/>
  <c r="L1024" i="7"/>
  <c r="D1024" i="7"/>
  <c r="E1023" i="7"/>
  <c r="V1022" i="7"/>
  <c r="R1022" i="7"/>
  <c r="N1022" i="7"/>
  <c r="F1022" i="7"/>
  <c r="B1022" i="7"/>
  <c r="W1021" i="7"/>
  <c r="C1021" i="7"/>
  <c r="X1020" i="7"/>
  <c r="T1020" i="7"/>
  <c r="P1020" i="7"/>
  <c r="L1020" i="7"/>
  <c r="D1020" i="7"/>
  <c r="E1019" i="7"/>
  <c r="V1018" i="7"/>
  <c r="R1018" i="7"/>
  <c r="N1018" i="7"/>
  <c r="F1018" i="7"/>
  <c r="B1018" i="7"/>
  <c r="W1017" i="7"/>
  <c r="C1017" i="7"/>
  <c r="X1016" i="7"/>
  <c r="T1016" i="7"/>
  <c r="P1016" i="7"/>
  <c r="L1016" i="7"/>
  <c r="D1016" i="7"/>
  <c r="E1015" i="7"/>
  <c r="V1014" i="7"/>
  <c r="R1014" i="7"/>
  <c r="N1014" i="7"/>
  <c r="F1014" i="7"/>
  <c r="B1014" i="7"/>
  <c r="W1013" i="7"/>
  <c r="C1013" i="7"/>
  <c r="X1012" i="7"/>
  <c r="T1012" i="7"/>
  <c r="P1012" i="7"/>
  <c r="L1012" i="7"/>
  <c r="D1012" i="7"/>
  <c r="E1011" i="7"/>
  <c r="V1010" i="7"/>
  <c r="R1010" i="7"/>
  <c r="N1010" i="7"/>
  <c r="F1010" i="7"/>
  <c r="B1010" i="7"/>
  <c r="W1009" i="7"/>
  <c r="C1009" i="7"/>
  <c r="X1008" i="7"/>
  <c r="T1008" i="7"/>
  <c r="P1008" i="7"/>
  <c r="L1008" i="7"/>
  <c r="D1008" i="7"/>
  <c r="E1007" i="7"/>
  <c r="V1006" i="7"/>
  <c r="R1006" i="7"/>
  <c r="N1006" i="7"/>
  <c r="F1006" i="7"/>
  <c r="B1006" i="7"/>
  <c r="W1005" i="7"/>
  <c r="C1005" i="7"/>
  <c r="X1004" i="7"/>
  <c r="T1004" i="7"/>
  <c r="P1004" i="7"/>
  <c r="L1004" i="7"/>
  <c r="D1004" i="7"/>
  <c r="E1003" i="7"/>
  <c r="V1002" i="7"/>
  <c r="R1002" i="7"/>
  <c r="N1002" i="7"/>
  <c r="F1002" i="7"/>
  <c r="B1002" i="7"/>
  <c r="W1001" i="7"/>
  <c r="C1001" i="7"/>
  <c r="X1000" i="7"/>
  <c r="T1000" i="7"/>
  <c r="P1000" i="7"/>
  <c r="L1000" i="7"/>
  <c r="D1000" i="7"/>
  <c r="E999" i="7"/>
  <c r="V998" i="7"/>
  <c r="R998" i="7"/>
  <c r="N998" i="7"/>
  <c r="F998" i="7"/>
  <c r="B998" i="7"/>
  <c r="W997" i="7"/>
  <c r="C997" i="7"/>
  <c r="X996" i="7"/>
  <c r="T996" i="7"/>
  <c r="P996" i="7"/>
  <c r="L996" i="7"/>
  <c r="D996" i="7"/>
  <c r="E995" i="7"/>
  <c r="V994" i="7"/>
  <c r="R994" i="7"/>
  <c r="N994" i="7"/>
  <c r="F994" i="7"/>
  <c r="B994" i="7"/>
  <c r="W993" i="7"/>
  <c r="C993" i="7"/>
  <c r="X992" i="7"/>
  <c r="T992" i="7"/>
  <c r="P992" i="7"/>
  <c r="L992" i="7"/>
  <c r="D992" i="7"/>
  <c r="E991" i="7"/>
  <c r="V990" i="7"/>
  <c r="R990" i="7"/>
  <c r="N990" i="7"/>
  <c r="F990" i="7"/>
  <c r="B990" i="7"/>
  <c r="W989" i="7"/>
  <c r="C989" i="7"/>
  <c r="X988" i="7"/>
  <c r="T988" i="7"/>
  <c r="P988" i="7"/>
  <c r="L988" i="7"/>
  <c r="D988" i="7"/>
  <c r="E987" i="7"/>
  <c r="V986" i="7"/>
  <c r="R986" i="7"/>
  <c r="N986" i="7"/>
  <c r="F986" i="7"/>
  <c r="B986" i="7"/>
  <c r="W985" i="7"/>
  <c r="C985" i="7"/>
  <c r="X984" i="7"/>
  <c r="T984" i="7"/>
  <c r="P984" i="7"/>
  <c r="L984" i="7"/>
  <c r="D984" i="7"/>
  <c r="E983" i="7"/>
  <c r="V982" i="7"/>
  <c r="R982" i="7"/>
  <c r="N982" i="7"/>
  <c r="F982" i="7"/>
  <c r="B982" i="7"/>
  <c r="W981" i="7"/>
  <c r="C981" i="7"/>
  <c r="X980" i="7"/>
  <c r="T980" i="7"/>
  <c r="P980" i="7"/>
  <c r="L980" i="7"/>
  <c r="D980" i="7"/>
  <c r="E979" i="7"/>
  <c r="V978" i="7"/>
  <c r="R978" i="7"/>
  <c r="N978" i="7"/>
  <c r="F978" i="7"/>
  <c r="B978" i="7"/>
  <c r="W977" i="7"/>
  <c r="C977" i="7"/>
  <c r="X976" i="7"/>
  <c r="T976" i="7"/>
  <c r="P976" i="7"/>
  <c r="L976" i="7"/>
  <c r="D976" i="7"/>
  <c r="E975" i="7"/>
  <c r="V974" i="7"/>
  <c r="R974" i="7"/>
  <c r="N974" i="7"/>
  <c r="F974" i="7"/>
  <c r="B974" i="7"/>
  <c r="W973" i="7"/>
  <c r="C973" i="7"/>
  <c r="X972" i="7"/>
  <c r="T972" i="7"/>
  <c r="P972" i="7"/>
  <c r="L972" i="7"/>
  <c r="D972" i="7"/>
  <c r="E971" i="7"/>
  <c r="V970" i="7"/>
  <c r="R970" i="7"/>
  <c r="N970" i="7"/>
  <c r="F970" i="7"/>
  <c r="B970" i="7"/>
  <c r="W969" i="7"/>
  <c r="C969" i="7"/>
  <c r="X968" i="7"/>
  <c r="T968" i="7"/>
  <c r="P968" i="7"/>
  <c r="L968" i="7"/>
  <c r="D968" i="7"/>
  <c r="E967" i="7"/>
  <c r="V966" i="7"/>
  <c r="R966" i="7"/>
  <c r="N966" i="7"/>
  <c r="F966" i="7"/>
  <c r="B966" i="7"/>
  <c r="W965" i="7"/>
  <c r="C965" i="7"/>
  <c r="X964" i="7"/>
  <c r="T964" i="7"/>
  <c r="P964" i="7"/>
  <c r="L964" i="7"/>
  <c r="D964" i="7"/>
  <c r="E963" i="7"/>
  <c r="V962" i="7"/>
  <c r="R962" i="7"/>
  <c r="N962" i="7"/>
  <c r="F962" i="7"/>
  <c r="B962" i="7"/>
  <c r="W961" i="7"/>
  <c r="C961" i="7"/>
  <c r="X960" i="7"/>
  <c r="T960" i="7"/>
  <c r="P960" i="7"/>
  <c r="L960" i="7"/>
  <c r="D960" i="7"/>
  <c r="E959" i="7"/>
  <c r="V958" i="7"/>
  <c r="R958" i="7"/>
  <c r="N958" i="7"/>
  <c r="F958" i="7"/>
  <c r="B958" i="7"/>
  <c r="W957" i="7"/>
  <c r="C957" i="7"/>
  <c r="X956" i="7"/>
  <c r="T956" i="7"/>
  <c r="P956" i="7"/>
  <c r="L956" i="7"/>
  <c r="D956" i="7"/>
  <c r="E955" i="7"/>
  <c r="V954" i="7"/>
  <c r="R954" i="7"/>
  <c r="N954" i="7"/>
  <c r="F954" i="7"/>
  <c r="B954" i="7"/>
  <c r="W953" i="7"/>
  <c r="C953" i="7"/>
  <c r="X952" i="7"/>
  <c r="T952" i="7"/>
  <c r="P952" i="7"/>
  <c r="L952" i="7"/>
  <c r="D952" i="7"/>
  <c r="E951" i="7"/>
  <c r="V950" i="7"/>
  <c r="R950" i="7"/>
  <c r="N950" i="7"/>
  <c r="F950" i="7"/>
  <c r="B950" i="7"/>
  <c r="W949" i="7"/>
  <c r="C949" i="7"/>
  <c r="X948" i="7"/>
  <c r="T948" i="7"/>
  <c r="P948" i="7"/>
  <c r="L948" i="7"/>
  <c r="D948" i="7"/>
  <c r="E947" i="7"/>
  <c r="V946" i="7"/>
  <c r="R946" i="7"/>
  <c r="N946" i="7"/>
  <c r="F946" i="7"/>
  <c r="B946" i="7"/>
  <c r="W945" i="7"/>
  <c r="C945" i="7"/>
  <c r="X944" i="7"/>
  <c r="T944" i="7"/>
  <c r="P944" i="7"/>
  <c r="L944" i="7"/>
  <c r="D944" i="7"/>
  <c r="E943" i="7"/>
  <c r="V942" i="7"/>
  <c r="R942" i="7"/>
  <c r="N942" i="7"/>
  <c r="F942" i="7"/>
  <c r="B942" i="7"/>
  <c r="W941" i="7"/>
  <c r="C941" i="7"/>
  <c r="X940" i="7"/>
  <c r="T940" i="7"/>
  <c r="P940" i="7"/>
  <c r="L940" i="7"/>
  <c r="D940" i="7"/>
  <c r="E939" i="7"/>
  <c r="V938" i="7"/>
  <c r="R938" i="7"/>
  <c r="N938" i="7"/>
  <c r="F938" i="7"/>
  <c r="B938" i="7"/>
  <c r="W937" i="7"/>
  <c r="C937" i="7"/>
  <c r="X936" i="7"/>
  <c r="T936" i="7"/>
  <c r="P936" i="7"/>
  <c r="L936" i="7"/>
  <c r="D936" i="7"/>
  <c r="E935" i="7"/>
  <c r="V934" i="7"/>
  <c r="R934" i="7"/>
  <c r="N934" i="7"/>
  <c r="F934" i="7"/>
  <c r="B934" i="7"/>
  <c r="W933" i="7"/>
  <c r="C933" i="7"/>
  <c r="X932" i="7"/>
  <c r="T932" i="7"/>
  <c r="P932" i="7"/>
  <c r="L932" i="7"/>
  <c r="D932" i="7"/>
  <c r="E931" i="7"/>
  <c r="V930" i="7"/>
  <c r="R930" i="7"/>
  <c r="N930" i="7"/>
  <c r="F930" i="7"/>
  <c r="B930" i="7"/>
  <c r="W929" i="7"/>
  <c r="C929" i="7"/>
  <c r="X928" i="7"/>
  <c r="T928" i="7"/>
  <c r="P928" i="7"/>
  <c r="L928" i="7"/>
  <c r="D928" i="7"/>
  <c r="E927" i="7"/>
  <c r="V926" i="7"/>
  <c r="R926" i="7"/>
  <c r="N926" i="7"/>
  <c r="F926" i="7"/>
  <c r="B926" i="7"/>
  <c r="W925" i="7"/>
  <c r="C925" i="7"/>
  <c r="X924" i="7"/>
  <c r="T924" i="7"/>
  <c r="P924" i="7"/>
  <c r="L924" i="7"/>
  <c r="D924" i="7"/>
  <c r="E923" i="7"/>
  <c r="V922" i="7"/>
  <c r="R922" i="7"/>
  <c r="N922" i="7"/>
  <c r="F922" i="7"/>
  <c r="B922" i="7"/>
  <c r="W921" i="7"/>
  <c r="C921" i="7"/>
  <c r="X920" i="7"/>
  <c r="T920" i="7"/>
  <c r="P920" i="7"/>
  <c r="L920" i="7"/>
  <c r="D920" i="7"/>
  <c r="E919" i="7"/>
  <c r="V918" i="7"/>
  <c r="R918" i="7"/>
  <c r="N918" i="7"/>
  <c r="F918" i="7"/>
  <c r="B918" i="7"/>
  <c r="W917" i="7"/>
  <c r="C917" i="7"/>
  <c r="X916" i="7"/>
  <c r="T916" i="7"/>
  <c r="P916" i="7"/>
  <c r="L916" i="7"/>
  <c r="D916" i="7"/>
  <c r="E915" i="7"/>
  <c r="V914" i="7"/>
  <c r="R914" i="7"/>
  <c r="N914" i="7"/>
  <c r="F914" i="7"/>
  <c r="B914" i="7"/>
  <c r="W913" i="7"/>
  <c r="C913" i="7"/>
  <c r="X912" i="7"/>
  <c r="T912" i="7"/>
  <c r="P912" i="7"/>
  <c r="L912" i="7"/>
  <c r="D912" i="7"/>
  <c r="E911" i="7"/>
  <c r="V910" i="7"/>
  <c r="R910" i="7"/>
  <c r="N910" i="7"/>
  <c r="F910" i="7"/>
  <c r="B910" i="7"/>
  <c r="W909" i="7"/>
  <c r="C909" i="7"/>
  <c r="X908" i="7"/>
  <c r="T908" i="7"/>
  <c r="P908" i="7"/>
  <c r="L908" i="7"/>
  <c r="D908" i="7"/>
  <c r="E907" i="7"/>
  <c r="V906" i="7"/>
  <c r="R906" i="7"/>
  <c r="N906" i="7"/>
  <c r="F906" i="7"/>
  <c r="B906" i="7"/>
  <c r="W905" i="7"/>
  <c r="C905" i="7"/>
  <c r="X904" i="7"/>
  <c r="T904" i="7"/>
  <c r="P904" i="7"/>
  <c r="L904" i="7"/>
  <c r="D904" i="7"/>
  <c r="E903" i="7"/>
  <c r="V902" i="7"/>
  <c r="R902" i="7"/>
  <c r="N902" i="7"/>
  <c r="F902" i="7"/>
  <c r="B902" i="7"/>
  <c r="W901" i="7"/>
  <c r="C901" i="7"/>
  <c r="X900" i="7"/>
  <c r="T900" i="7"/>
  <c r="P900" i="7"/>
  <c r="L900" i="7"/>
  <c r="D900" i="7"/>
  <c r="E899" i="7"/>
  <c r="V898" i="7"/>
  <c r="R898" i="7"/>
  <c r="N898" i="7"/>
  <c r="F898" i="7"/>
  <c r="B898" i="7"/>
  <c r="W897" i="7"/>
  <c r="C897" i="7"/>
  <c r="X896" i="7"/>
  <c r="T896" i="7"/>
  <c r="P896" i="7"/>
  <c r="L896" i="7"/>
  <c r="D896" i="7"/>
  <c r="E895" i="7"/>
  <c r="V894" i="7"/>
  <c r="R894" i="7"/>
  <c r="N894" i="7"/>
  <c r="F894" i="7"/>
  <c r="B894" i="7"/>
  <c r="W893" i="7"/>
  <c r="C893" i="7"/>
  <c r="X892" i="7"/>
  <c r="T892" i="7"/>
  <c r="P892" i="7"/>
  <c r="L892" i="7"/>
  <c r="D892" i="7"/>
  <c r="E891" i="7"/>
  <c r="V890" i="7"/>
  <c r="R890" i="7"/>
  <c r="N890" i="7"/>
  <c r="F890" i="7"/>
  <c r="B890" i="7"/>
  <c r="W889" i="7"/>
  <c r="C889" i="7"/>
  <c r="X888" i="7"/>
  <c r="T888" i="7"/>
  <c r="P888" i="7"/>
  <c r="L888" i="7"/>
  <c r="D888" i="7"/>
  <c r="E887" i="7"/>
  <c r="V886" i="7"/>
  <c r="R886" i="7"/>
  <c r="N886" i="7"/>
  <c r="F886" i="7"/>
  <c r="B886" i="7"/>
  <c r="W885" i="7"/>
  <c r="C885" i="7"/>
  <c r="X884" i="7"/>
  <c r="T884" i="7"/>
  <c r="P884" i="7"/>
  <c r="L884" i="7"/>
  <c r="D884" i="7"/>
  <c r="E883" i="7"/>
  <c r="V882" i="7"/>
  <c r="R882" i="7"/>
  <c r="N882" i="7"/>
  <c r="F882" i="7"/>
  <c r="B882" i="7"/>
  <c r="W881" i="7"/>
  <c r="C881" i="7"/>
  <c r="X880" i="7"/>
  <c r="T880" i="7"/>
  <c r="P880" i="7"/>
  <c r="L880" i="7"/>
  <c r="D880" i="7"/>
  <c r="E879" i="7"/>
  <c r="V878" i="7"/>
  <c r="R878" i="7"/>
  <c r="N878" i="7"/>
  <c r="F878" i="7"/>
  <c r="B878" i="7"/>
  <c r="W877" i="7"/>
  <c r="C877" i="7"/>
  <c r="X876" i="7"/>
  <c r="T876" i="7"/>
  <c r="P876" i="7"/>
  <c r="L876" i="7"/>
  <c r="D876" i="7"/>
  <c r="E875" i="7"/>
  <c r="V874" i="7"/>
  <c r="R874" i="7"/>
  <c r="N874" i="7"/>
  <c r="F874" i="7"/>
  <c r="B874" i="7"/>
  <c r="W873" i="7"/>
  <c r="C873" i="7"/>
  <c r="X872" i="7"/>
  <c r="T872" i="7"/>
  <c r="P872" i="7"/>
  <c r="L872" i="7"/>
  <c r="D872" i="7"/>
  <c r="E871" i="7"/>
  <c r="V870" i="7"/>
  <c r="R870" i="7"/>
  <c r="N870" i="7"/>
  <c r="F870" i="7"/>
  <c r="B870" i="7"/>
  <c r="W869" i="7"/>
  <c r="N1095" i="7"/>
  <c r="W1094" i="7"/>
  <c r="C1094" i="7"/>
  <c r="L1093" i="7"/>
  <c r="E1092" i="7"/>
  <c r="N1091" i="7"/>
  <c r="W1090" i="7"/>
  <c r="N1090" i="7"/>
  <c r="E1090" i="7"/>
  <c r="V1089" i="7"/>
  <c r="R1089" i="7"/>
  <c r="N1089" i="7"/>
  <c r="F1089" i="7"/>
  <c r="B1089" i="7"/>
  <c r="W1088" i="7"/>
  <c r="C1088" i="7"/>
  <c r="X1087" i="7"/>
  <c r="T1087" i="7"/>
  <c r="P1087" i="7"/>
  <c r="L1087" i="7"/>
  <c r="D1087" i="7"/>
  <c r="E1086" i="7"/>
  <c r="V1085" i="7"/>
  <c r="R1085" i="7"/>
  <c r="N1085" i="7"/>
  <c r="F1085" i="7"/>
  <c r="B1085" i="7"/>
  <c r="W1084" i="7"/>
  <c r="C1084" i="7"/>
  <c r="X1083" i="7"/>
  <c r="T1083" i="7"/>
  <c r="P1083" i="7"/>
  <c r="L1083" i="7"/>
  <c r="D1083" i="7"/>
  <c r="E1082" i="7"/>
  <c r="V1081" i="7"/>
  <c r="R1081" i="7"/>
  <c r="N1081" i="7"/>
  <c r="F1081" i="7"/>
  <c r="B1081" i="7"/>
  <c r="W1080" i="7"/>
  <c r="C1080" i="7"/>
  <c r="X1079" i="7"/>
  <c r="T1079" i="7"/>
  <c r="P1079" i="7"/>
  <c r="L1079" i="7"/>
  <c r="D1079" i="7"/>
  <c r="E1078" i="7"/>
  <c r="V1077" i="7"/>
  <c r="R1077" i="7"/>
  <c r="N1077" i="7"/>
  <c r="F1077" i="7"/>
  <c r="B1077" i="7"/>
  <c r="W1076" i="7"/>
  <c r="C1076" i="7"/>
  <c r="X1075" i="7"/>
  <c r="T1075" i="7"/>
  <c r="P1075" i="7"/>
  <c r="L1075" i="7"/>
  <c r="D1075" i="7"/>
  <c r="E1074" i="7"/>
  <c r="V1073" i="7"/>
  <c r="R1073" i="7"/>
  <c r="N1073" i="7"/>
  <c r="F1073" i="7"/>
  <c r="B1073" i="7"/>
  <c r="W1072" i="7"/>
  <c r="C1072" i="7"/>
  <c r="X1071" i="7"/>
  <c r="T1071" i="7"/>
  <c r="P1071" i="7"/>
  <c r="L1071" i="7"/>
  <c r="D1071" i="7"/>
  <c r="E1070" i="7"/>
  <c r="V1069" i="7"/>
  <c r="R1069" i="7"/>
  <c r="N1069" i="7"/>
  <c r="F1069" i="7"/>
  <c r="B1069" i="7"/>
  <c r="W1068" i="7"/>
  <c r="C1068" i="7"/>
  <c r="X1067" i="7"/>
  <c r="T1067" i="7"/>
  <c r="P1067" i="7"/>
  <c r="L1067" i="7"/>
  <c r="D1067" i="7"/>
  <c r="E1066" i="7"/>
  <c r="V1065" i="7"/>
  <c r="R1065" i="7"/>
  <c r="N1065" i="7"/>
  <c r="F1065" i="7"/>
  <c r="B1065" i="7"/>
  <c r="W1064" i="7"/>
  <c r="C1064" i="7"/>
  <c r="X1063" i="7"/>
  <c r="T1063" i="7"/>
  <c r="P1063" i="7"/>
  <c r="L1063" i="7"/>
  <c r="D1063" i="7"/>
  <c r="E1062" i="7"/>
  <c r="V1061" i="7"/>
  <c r="R1061" i="7"/>
  <c r="N1061" i="7"/>
  <c r="F1061" i="7"/>
  <c r="B1061" i="7"/>
  <c r="W1060" i="7"/>
  <c r="C1060" i="7"/>
  <c r="X1059" i="7"/>
  <c r="T1059" i="7"/>
  <c r="P1059" i="7"/>
  <c r="L1059" i="7"/>
  <c r="D1059" i="7"/>
  <c r="E1058" i="7"/>
  <c r="V1057" i="7"/>
  <c r="R1057" i="7"/>
  <c r="N1057" i="7"/>
  <c r="F1057" i="7"/>
  <c r="B1057" i="7"/>
  <c r="W1056" i="7"/>
  <c r="C1056" i="7"/>
  <c r="X1055" i="7"/>
  <c r="T1055" i="7"/>
  <c r="P1055" i="7"/>
  <c r="L1055" i="7"/>
  <c r="D1055" i="7"/>
  <c r="E1054" i="7"/>
  <c r="V1053" i="7"/>
  <c r="R1053" i="7"/>
  <c r="N1053" i="7"/>
  <c r="F1053" i="7"/>
  <c r="B1053" i="7"/>
  <c r="W1052" i="7"/>
  <c r="C1052" i="7"/>
  <c r="X1051" i="7"/>
  <c r="T1051" i="7"/>
  <c r="P1051" i="7"/>
  <c r="L1051" i="7"/>
  <c r="D1051" i="7"/>
  <c r="E1050" i="7"/>
  <c r="V1049" i="7"/>
  <c r="R1049" i="7"/>
  <c r="N1049" i="7"/>
  <c r="F1049" i="7"/>
  <c r="B1049" i="7"/>
  <c r="W1048" i="7"/>
  <c r="C1048" i="7"/>
  <c r="X1047" i="7"/>
  <c r="T1047" i="7"/>
  <c r="P1047" i="7"/>
  <c r="L1047" i="7"/>
  <c r="D1047" i="7"/>
  <c r="E1046" i="7"/>
  <c r="V1045" i="7"/>
  <c r="R1045" i="7"/>
  <c r="N1045" i="7"/>
  <c r="F1045" i="7"/>
  <c r="B1045" i="7"/>
  <c r="W1044" i="7"/>
  <c r="C1044" i="7"/>
  <c r="X1043" i="7"/>
  <c r="T1043" i="7"/>
  <c r="P1043" i="7"/>
  <c r="L1043" i="7"/>
  <c r="D1043" i="7"/>
  <c r="E1042" i="7"/>
  <c r="V1041" i="7"/>
  <c r="R1041" i="7"/>
  <c r="N1041" i="7"/>
  <c r="F1041" i="7"/>
  <c r="B1041" i="7"/>
  <c r="W1040" i="7"/>
  <c r="C1040" i="7"/>
  <c r="X1039" i="7"/>
  <c r="T1039" i="7"/>
  <c r="P1039" i="7"/>
  <c r="L1039" i="7"/>
  <c r="D1039" i="7"/>
  <c r="E1038" i="7"/>
  <c r="V1037" i="7"/>
  <c r="R1037" i="7"/>
  <c r="N1037" i="7"/>
  <c r="F1037" i="7"/>
  <c r="B1037" i="7"/>
  <c r="W1036" i="7"/>
  <c r="C1036" i="7"/>
  <c r="X1035" i="7"/>
  <c r="T1035" i="7"/>
  <c r="P1035" i="7"/>
  <c r="L1035" i="7"/>
  <c r="D1035" i="7"/>
  <c r="E1034" i="7"/>
  <c r="V1033" i="7"/>
  <c r="R1033" i="7"/>
  <c r="N1033" i="7"/>
  <c r="F1033" i="7"/>
  <c r="B1033" i="7"/>
  <c r="W1032" i="7"/>
  <c r="C1032" i="7"/>
  <c r="X1031" i="7"/>
  <c r="T1031" i="7"/>
  <c r="P1031" i="7"/>
  <c r="L1031" i="7"/>
  <c r="D1031" i="7"/>
  <c r="E1030" i="7"/>
  <c r="V1029" i="7"/>
  <c r="R1029" i="7"/>
  <c r="N1029" i="7"/>
  <c r="F1029" i="7"/>
  <c r="B1029" i="7"/>
  <c r="W1028" i="7"/>
  <c r="C1028" i="7"/>
  <c r="X1027" i="7"/>
  <c r="T1027" i="7"/>
  <c r="P1027" i="7"/>
  <c r="L1027" i="7"/>
  <c r="D1027" i="7"/>
  <c r="E1026" i="7"/>
  <c r="V1025" i="7"/>
  <c r="R1025" i="7"/>
  <c r="N1025" i="7"/>
  <c r="F1025" i="7"/>
  <c r="B1025" i="7"/>
  <c r="W1024" i="7"/>
  <c r="C1024" i="7"/>
  <c r="X1023" i="7"/>
  <c r="T1023" i="7"/>
  <c r="P1023" i="7"/>
  <c r="L1023" i="7"/>
  <c r="D1023" i="7"/>
  <c r="E1022" i="7"/>
  <c r="V1021" i="7"/>
  <c r="R1021" i="7"/>
  <c r="N1021" i="7"/>
  <c r="F1021" i="7"/>
  <c r="B1021" i="7"/>
  <c r="W1020" i="7"/>
  <c r="C1020" i="7"/>
  <c r="X1019" i="7"/>
  <c r="T1019" i="7"/>
  <c r="P1019" i="7"/>
  <c r="L1019" i="7"/>
  <c r="D1019" i="7"/>
  <c r="E1018" i="7"/>
  <c r="V1017" i="7"/>
  <c r="R1017" i="7"/>
  <c r="N1017" i="7"/>
  <c r="F1017" i="7"/>
  <c r="B1017" i="7"/>
  <c r="W1016" i="7"/>
  <c r="C1016" i="7"/>
  <c r="X1015" i="7"/>
  <c r="T1015" i="7"/>
  <c r="P1015" i="7"/>
  <c r="L1015" i="7"/>
  <c r="D1015" i="7"/>
  <c r="E1014" i="7"/>
  <c r="V1013" i="7"/>
  <c r="R1013" i="7"/>
  <c r="N1013" i="7"/>
  <c r="F1013" i="7"/>
  <c r="B1013" i="7"/>
  <c r="W1012" i="7"/>
  <c r="C1012" i="7"/>
  <c r="X1011" i="7"/>
  <c r="T1011" i="7"/>
  <c r="P1011" i="7"/>
  <c r="L1011" i="7"/>
  <c r="D1011" i="7"/>
  <c r="E1010" i="7"/>
  <c r="V1009" i="7"/>
  <c r="R1009" i="7"/>
  <c r="N1009" i="7"/>
  <c r="F1009" i="7"/>
  <c r="B1009" i="7"/>
  <c r="W1008" i="7"/>
  <c r="C1008" i="7"/>
  <c r="X1007" i="7"/>
  <c r="T1007" i="7"/>
  <c r="P1007" i="7"/>
  <c r="L1007" i="7"/>
  <c r="D1007" i="7"/>
  <c r="E1006" i="7"/>
  <c r="V1005" i="7"/>
  <c r="R1005" i="7"/>
  <c r="N1005" i="7"/>
  <c r="F1005" i="7"/>
  <c r="B1005" i="7"/>
  <c r="W1004" i="7"/>
  <c r="C1004" i="7"/>
  <c r="X1003" i="7"/>
  <c r="T1003" i="7"/>
  <c r="P1003" i="7"/>
  <c r="L1003" i="7"/>
  <c r="D1003" i="7"/>
  <c r="E1002" i="7"/>
  <c r="V1001" i="7"/>
  <c r="R1001" i="7"/>
  <c r="N1001" i="7"/>
  <c r="F1001" i="7"/>
  <c r="B1001" i="7"/>
  <c r="W1000" i="7"/>
  <c r="C1000" i="7"/>
  <c r="X999" i="7"/>
  <c r="T999" i="7"/>
  <c r="P999" i="7"/>
  <c r="L999" i="7"/>
  <c r="D999" i="7"/>
  <c r="E998" i="7"/>
  <c r="V997" i="7"/>
  <c r="R997" i="7"/>
  <c r="N997" i="7"/>
  <c r="F997" i="7"/>
  <c r="B997" i="7"/>
  <c r="W996" i="7"/>
  <c r="C996" i="7"/>
  <c r="X995" i="7"/>
  <c r="T995" i="7"/>
  <c r="P995" i="7"/>
  <c r="L995" i="7"/>
  <c r="D995" i="7"/>
  <c r="E994" i="7"/>
  <c r="V993" i="7"/>
  <c r="R993" i="7"/>
  <c r="N993" i="7"/>
  <c r="F993" i="7"/>
  <c r="B993" i="7"/>
  <c r="W992" i="7"/>
  <c r="C992" i="7"/>
  <c r="X991" i="7"/>
  <c r="T991" i="7"/>
  <c r="P991" i="7"/>
  <c r="L991" i="7"/>
  <c r="D991" i="7"/>
  <c r="E990" i="7"/>
  <c r="V989" i="7"/>
  <c r="R989" i="7"/>
  <c r="N989" i="7"/>
  <c r="F989" i="7"/>
  <c r="B989" i="7"/>
  <c r="W988" i="7"/>
  <c r="C988" i="7"/>
  <c r="X987" i="7"/>
  <c r="T987" i="7"/>
  <c r="P987" i="7"/>
  <c r="L987" i="7"/>
  <c r="D987" i="7"/>
  <c r="E986" i="7"/>
  <c r="V985" i="7"/>
  <c r="R985" i="7"/>
  <c r="N985" i="7"/>
  <c r="F985" i="7"/>
  <c r="B985" i="7"/>
  <c r="W984" i="7"/>
  <c r="C984" i="7"/>
  <c r="X983" i="7"/>
  <c r="T983" i="7"/>
  <c r="P983" i="7"/>
  <c r="L983" i="7"/>
  <c r="D983" i="7"/>
  <c r="E982" i="7"/>
  <c r="V981" i="7"/>
  <c r="R981" i="7"/>
  <c r="N981" i="7"/>
  <c r="F981" i="7"/>
  <c r="B981" i="7"/>
  <c r="W980" i="7"/>
  <c r="C980" i="7"/>
  <c r="X979" i="7"/>
  <c r="T979" i="7"/>
  <c r="P979" i="7"/>
  <c r="L979" i="7"/>
  <c r="D979" i="7"/>
  <c r="E978" i="7"/>
  <c r="V977" i="7"/>
  <c r="R977" i="7"/>
  <c r="N977" i="7"/>
  <c r="F977" i="7"/>
  <c r="B977" i="7"/>
  <c r="W976" i="7"/>
  <c r="C976" i="7"/>
  <c r="X975" i="7"/>
  <c r="T975" i="7"/>
  <c r="P975" i="7"/>
  <c r="L975" i="7"/>
  <c r="D975" i="7"/>
  <c r="E974" i="7"/>
  <c r="V973" i="7"/>
  <c r="R973" i="7"/>
  <c r="N973" i="7"/>
  <c r="F973" i="7"/>
  <c r="B973" i="7"/>
  <c r="W972" i="7"/>
  <c r="C972" i="7"/>
  <c r="X971" i="7"/>
  <c r="T971" i="7"/>
  <c r="P971" i="7"/>
  <c r="L971" i="7"/>
  <c r="D971" i="7"/>
  <c r="E970" i="7"/>
  <c r="V969" i="7"/>
  <c r="R969" i="7"/>
  <c r="N969" i="7"/>
  <c r="F969" i="7"/>
  <c r="B969" i="7"/>
  <c r="W968" i="7"/>
  <c r="C968" i="7"/>
  <c r="X967" i="7"/>
  <c r="T967" i="7"/>
  <c r="P967" i="7"/>
  <c r="L967" i="7"/>
  <c r="D967" i="7"/>
  <c r="E966" i="7"/>
  <c r="V965" i="7"/>
  <c r="R965" i="7"/>
  <c r="N965" i="7"/>
  <c r="F965" i="7"/>
  <c r="B965" i="7"/>
  <c r="W964" i="7"/>
  <c r="C964" i="7"/>
  <c r="X963" i="7"/>
  <c r="T963" i="7"/>
  <c r="P963" i="7"/>
  <c r="L963" i="7"/>
  <c r="D963" i="7"/>
  <c r="E962" i="7"/>
  <c r="V961" i="7"/>
  <c r="R961" i="7"/>
  <c r="N961" i="7"/>
  <c r="F961" i="7"/>
  <c r="B961" i="7"/>
  <c r="W960" i="7"/>
  <c r="C960" i="7"/>
  <c r="X959" i="7"/>
  <c r="T959" i="7"/>
  <c r="P959" i="7"/>
  <c r="L959" i="7"/>
  <c r="D959" i="7"/>
  <c r="E958" i="7"/>
  <c r="V957" i="7"/>
  <c r="R957" i="7"/>
  <c r="N957" i="7"/>
  <c r="F957" i="7"/>
  <c r="B957" i="7"/>
  <c r="W956" i="7"/>
  <c r="C956" i="7"/>
  <c r="X955" i="7"/>
  <c r="T955" i="7"/>
  <c r="P955" i="7"/>
  <c r="L955" i="7"/>
  <c r="D955" i="7"/>
  <c r="E954" i="7"/>
  <c r="V953" i="7"/>
  <c r="R953" i="7"/>
  <c r="N953" i="7"/>
  <c r="F953" i="7"/>
  <c r="B953" i="7"/>
  <c r="W952" i="7"/>
  <c r="C952" i="7"/>
  <c r="X951" i="7"/>
  <c r="T951" i="7"/>
  <c r="P951" i="7"/>
  <c r="L951" i="7"/>
  <c r="D951" i="7"/>
  <c r="E950" i="7"/>
  <c r="V949" i="7"/>
  <c r="R949" i="7"/>
  <c r="N949" i="7"/>
  <c r="F949" i="7"/>
  <c r="B949" i="7"/>
  <c r="W948" i="7"/>
  <c r="C948" i="7"/>
  <c r="X947" i="7"/>
  <c r="T947" i="7"/>
  <c r="P947" i="7"/>
  <c r="L947" i="7"/>
  <c r="D947" i="7"/>
  <c r="E946" i="7"/>
  <c r="V945" i="7"/>
  <c r="R945" i="7"/>
  <c r="N945" i="7"/>
  <c r="F945" i="7"/>
  <c r="B945" i="7"/>
  <c r="W944" i="7"/>
  <c r="C944" i="7"/>
  <c r="X943" i="7"/>
  <c r="T943" i="7"/>
  <c r="P943" i="7"/>
  <c r="L943" i="7"/>
  <c r="D943" i="7"/>
  <c r="E942" i="7"/>
  <c r="V941" i="7"/>
  <c r="R941" i="7"/>
  <c r="N941" i="7"/>
  <c r="F941" i="7"/>
  <c r="B941" i="7"/>
  <c r="W940" i="7"/>
  <c r="C940" i="7"/>
  <c r="X939" i="7"/>
  <c r="T939" i="7"/>
  <c r="P939" i="7"/>
  <c r="L939" i="7"/>
  <c r="D939" i="7"/>
  <c r="E938" i="7"/>
  <c r="V937" i="7"/>
  <c r="R937" i="7"/>
  <c r="N937" i="7"/>
  <c r="F937" i="7"/>
  <c r="B937" i="7"/>
  <c r="W936" i="7"/>
  <c r="C936" i="7"/>
  <c r="X935" i="7"/>
  <c r="T935" i="7"/>
  <c r="P935" i="7"/>
  <c r="L935" i="7"/>
  <c r="D935" i="7"/>
  <c r="E934" i="7"/>
  <c r="V933" i="7"/>
  <c r="R933" i="7"/>
  <c r="N933" i="7"/>
  <c r="F933" i="7"/>
  <c r="B933" i="7"/>
  <c r="W932" i="7"/>
  <c r="C932" i="7"/>
  <c r="X931" i="7"/>
  <c r="T931" i="7"/>
  <c r="P931" i="7"/>
  <c r="L931" i="7"/>
  <c r="D931" i="7"/>
  <c r="E930" i="7"/>
  <c r="V929" i="7"/>
  <c r="R929" i="7"/>
  <c r="N929" i="7"/>
  <c r="F929" i="7"/>
  <c r="B929" i="7"/>
  <c r="W928" i="7"/>
  <c r="C928" i="7"/>
  <c r="X927" i="7"/>
  <c r="T927" i="7"/>
  <c r="P927" i="7"/>
  <c r="L927" i="7"/>
  <c r="D927" i="7"/>
  <c r="E926" i="7"/>
  <c r="V925" i="7"/>
  <c r="R925" i="7"/>
  <c r="N925" i="7"/>
  <c r="F925" i="7"/>
  <c r="B925" i="7"/>
  <c r="W924" i="7"/>
  <c r="C924" i="7"/>
  <c r="X923" i="7"/>
  <c r="T923" i="7"/>
  <c r="P923" i="7"/>
  <c r="L923" i="7"/>
  <c r="D923" i="7"/>
  <c r="E922" i="7"/>
  <c r="V921" i="7"/>
  <c r="R921" i="7"/>
  <c r="N921" i="7"/>
  <c r="F921" i="7"/>
  <c r="B921" i="7"/>
  <c r="W920" i="7"/>
  <c r="C920" i="7"/>
  <c r="X919" i="7"/>
  <c r="T919" i="7"/>
  <c r="P919" i="7"/>
  <c r="L919" i="7"/>
  <c r="D919" i="7"/>
  <c r="E918" i="7"/>
  <c r="V917" i="7"/>
  <c r="X1093" i="7"/>
  <c r="L1090" i="7"/>
  <c r="D1090" i="7"/>
  <c r="E1089" i="7"/>
  <c r="V1088" i="7"/>
  <c r="R1088" i="7"/>
  <c r="N1088" i="7"/>
  <c r="F1088" i="7"/>
  <c r="B1088" i="7"/>
  <c r="W1087" i="7"/>
  <c r="C1087" i="7"/>
  <c r="X1086" i="7"/>
  <c r="T1086" i="7"/>
  <c r="P1086" i="7"/>
  <c r="L1086" i="7"/>
  <c r="D1086" i="7"/>
  <c r="E1085" i="7"/>
  <c r="V1084" i="7"/>
  <c r="R1084" i="7"/>
  <c r="N1084" i="7"/>
  <c r="F1084" i="7"/>
  <c r="B1084" i="7"/>
  <c r="W1083" i="7"/>
  <c r="C1083" i="7"/>
  <c r="X1082" i="7"/>
  <c r="T1082" i="7"/>
  <c r="P1082" i="7"/>
  <c r="L1082" i="7"/>
  <c r="D1082" i="7"/>
  <c r="E1081" i="7"/>
  <c r="V1080" i="7"/>
  <c r="R1080" i="7"/>
  <c r="N1080" i="7"/>
  <c r="F1080" i="7"/>
  <c r="B1080" i="7"/>
  <c r="W1079" i="7"/>
  <c r="C1079" i="7"/>
  <c r="X1078" i="7"/>
  <c r="T1078" i="7"/>
  <c r="P1078" i="7"/>
  <c r="L1078" i="7"/>
  <c r="D1078" i="7"/>
  <c r="E1077" i="7"/>
  <c r="V1076" i="7"/>
  <c r="R1076" i="7"/>
  <c r="N1076" i="7"/>
  <c r="F1076" i="7"/>
  <c r="B1076" i="7"/>
  <c r="W1075" i="7"/>
  <c r="C1075" i="7"/>
  <c r="X1074" i="7"/>
  <c r="T1074" i="7"/>
  <c r="P1074" i="7"/>
  <c r="L1074" i="7"/>
  <c r="D1074" i="7"/>
  <c r="E1073" i="7"/>
  <c r="V1072" i="7"/>
  <c r="R1072" i="7"/>
  <c r="N1072" i="7"/>
  <c r="F1072" i="7"/>
  <c r="B1072" i="7"/>
  <c r="W1071" i="7"/>
  <c r="C1071" i="7"/>
  <c r="X1070" i="7"/>
  <c r="T1070" i="7"/>
  <c r="P1070" i="7"/>
  <c r="L1070" i="7"/>
  <c r="D1070" i="7"/>
  <c r="E1069" i="7"/>
  <c r="V1068" i="7"/>
  <c r="R1068" i="7"/>
  <c r="N1068" i="7"/>
  <c r="F1068" i="7"/>
  <c r="B1068" i="7"/>
  <c r="W1067" i="7"/>
  <c r="C1067" i="7"/>
  <c r="X1066" i="7"/>
  <c r="T1066" i="7"/>
  <c r="P1066" i="7"/>
  <c r="L1066" i="7"/>
  <c r="D1066" i="7"/>
  <c r="E1065" i="7"/>
  <c r="V1064" i="7"/>
  <c r="R1064" i="7"/>
  <c r="N1064" i="7"/>
  <c r="F1064" i="7"/>
  <c r="B1064" i="7"/>
  <c r="W1063" i="7"/>
  <c r="C1063" i="7"/>
  <c r="X1062" i="7"/>
  <c r="T1062" i="7"/>
  <c r="P1062" i="7"/>
  <c r="L1062" i="7"/>
  <c r="D1062" i="7"/>
  <c r="E1061" i="7"/>
  <c r="V1060" i="7"/>
  <c r="R1060" i="7"/>
  <c r="N1060" i="7"/>
  <c r="F1060" i="7"/>
  <c r="B1060" i="7"/>
  <c r="W1059" i="7"/>
  <c r="C1059" i="7"/>
  <c r="X1058" i="7"/>
  <c r="T1058" i="7"/>
  <c r="P1058" i="7"/>
  <c r="L1058" i="7"/>
  <c r="D1058" i="7"/>
  <c r="E1057" i="7"/>
  <c r="V1056" i="7"/>
  <c r="R1056" i="7"/>
  <c r="N1056" i="7"/>
  <c r="F1056" i="7"/>
  <c r="B1056" i="7"/>
  <c r="W1055" i="7"/>
  <c r="C1055" i="7"/>
  <c r="X1054" i="7"/>
  <c r="T1054" i="7"/>
  <c r="P1054" i="7"/>
  <c r="L1054" i="7"/>
  <c r="D1054" i="7"/>
  <c r="E1053" i="7"/>
  <c r="V1052" i="7"/>
  <c r="R1052" i="7"/>
  <c r="N1052" i="7"/>
  <c r="F1052" i="7"/>
  <c r="B1052" i="7"/>
  <c r="W1051" i="7"/>
  <c r="C1051" i="7"/>
  <c r="X1050" i="7"/>
  <c r="T1050" i="7"/>
  <c r="P1050" i="7"/>
  <c r="L1050" i="7"/>
  <c r="D1050" i="7"/>
  <c r="E1049" i="7"/>
  <c r="V1048" i="7"/>
  <c r="R1048" i="7"/>
  <c r="N1048" i="7"/>
  <c r="F1048" i="7"/>
  <c r="B1048" i="7"/>
  <c r="W1047" i="7"/>
  <c r="C1047" i="7"/>
  <c r="X1046" i="7"/>
  <c r="T1046" i="7"/>
  <c r="P1046" i="7"/>
  <c r="L1046" i="7"/>
  <c r="D1046" i="7"/>
  <c r="E1045" i="7"/>
  <c r="V1044" i="7"/>
  <c r="R1044" i="7"/>
  <c r="N1044" i="7"/>
  <c r="F1044" i="7"/>
  <c r="B1044" i="7"/>
  <c r="W1043" i="7"/>
  <c r="C1043" i="7"/>
  <c r="X1042" i="7"/>
  <c r="T1042" i="7"/>
  <c r="P1042" i="7"/>
  <c r="L1042" i="7"/>
  <c r="D1042" i="7"/>
  <c r="E1041" i="7"/>
  <c r="V1040" i="7"/>
  <c r="R1040" i="7"/>
  <c r="N1040" i="7"/>
  <c r="F1040" i="7"/>
  <c r="B1040" i="7"/>
  <c r="W1039" i="7"/>
  <c r="C1039" i="7"/>
  <c r="X1038" i="7"/>
  <c r="T1038" i="7"/>
  <c r="P1038" i="7"/>
  <c r="L1038" i="7"/>
  <c r="D1038" i="7"/>
  <c r="E1037" i="7"/>
  <c r="V1036" i="7"/>
  <c r="R1036" i="7"/>
  <c r="N1036" i="7"/>
  <c r="F1036" i="7"/>
  <c r="B1036" i="7"/>
  <c r="W1035" i="7"/>
  <c r="C1035" i="7"/>
  <c r="X1034" i="7"/>
  <c r="T1034" i="7"/>
  <c r="P1034" i="7"/>
  <c r="L1034" i="7"/>
  <c r="D1034" i="7"/>
  <c r="E1033" i="7"/>
  <c r="V1032" i="7"/>
  <c r="R1032" i="7"/>
  <c r="N1032" i="7"/>
  <c r="F1032" i="7"/>
  <c r="B1032" i="7"/>
  <c r="W1031" i="7"/>
  <c r="C1031" i="7"/>
  <c r="X1030" i="7"/>
  <c r="T1030" i="7"/>
  <c r="P1030" i="7"/>
  <c r="L1030" i="7"/>
  <c r="D1030" i="7"/>
  <c r="E1029" i="7"/>
  <c r="V1028" i="7"/>
  <c r="R1028" i="7"/>
  <c r="N1028" i="7"/>
  <c r="F1028" i="7"/>
  <c r="B1028" i="7"/>
  <c r="W1027" i="7"/>
  <c r="C1027" i="7"/>
  <c r="X1026" i="7"/>
  <c r="T1026" i="7"/>
  <c r="P1026" i="7"/>
  <c r="L1026" i="7"/>
  <c r="D1026" i="7"/>
  <c r="E1025" i="7"/>
  <c r="V1024" i="7"/>
  <c r="R1024" i="7"/>
  <c r="N1024" i="7"/>
  <c r="F1024" i="7"/>
  <c r="B1024" i="7"/>
  <c r="W1023" i="7"/>
  <c r="C1023" i="7"/>
  <c r="X1022" i="7"/>
  <c r="T1022" i="7"/>
  <c r="P1022" i="7"/>
  <c r="L1022" i="7"/>
  <c r="D1022" i="7"/>
  <c r="E1021" i="7"/>
  <c r="V1020" i="7"/>
  <c r="R1020" i="7"/>
  <c r="N1020" i="7"/>
  <c r="F1020" i="7"/>
  <c r="B1020" i="7"/>
  <c r="W1019" i="7"/>
  <c r="C1019" i="7"/>
  <c r="X1018" i="7"/>
  <c r="T1018" i="7"/>
  <c r="P1018" i="7"/>
  <c r="L1018" i="7"/>
  <c r="D1018" i="7"/>
  <c r="E1017" i="7"/>
  <c r="V1016" i="7"/>
  <c r="R1016" i="7"/>
  <c r="N1016" i="7"/>
  <c r="F1016" i="7"/>
  <c r="B1016" i="7"/>
  <c r="W1015" i="7"/>
  <c r="C1015" i="7"/>
  <c r="X1014" i="7"/>
  <c r="T1014" i="7"/>
  <c r="P1014" i="7"/>
  <c r="L1014" i="7"/>
  <c r="D1014" i="7"/>
  <c r="E1013" i="7"/>
  <c r="V1012" i="7"/>
  <c r="R1012" i="7"/>
  <c r="N1012" i="7"/>
  <c r="F1012" i="7"/>
  <c r="B1012" i="7"/>
  <c r="W1011" i="7"/>
  <c r="C1011" i="7"/>
  <c r="X1010" i="7"/>
  <c r="T1010" i="7"/>
  <c r="P1010" i="7"/>
  <c r="L1010" i="7"/>
  <c r="D1010" i="7"/>
  <c r="E1009" i="7"/>
  <c r="V1008" i="7"/>
  <c r="R1008" i="7"/>
  <c r="N1008" i="7"/>
  <c r="F1008" i="7"/>
  <c r="B1008" i="7"/>
  <c r="W1007" i="7"/>
  <c r="C1007" i="7"/>
  <c r="X1006" i="7"/>
  <c r="T1006" i="7"/>
  <c r="P1006" i="7"/>
  <c r="L1006" i="7"/>
  <c r="D1006" i="7"/>
  <c r="E1005" i="7"/>
  <c r="V1004" i="7"/>
  <c r="R1004" i="7"/>
  <c r="N1004" i="7"/>
  <c r="F1004" i="7"/>
  <c r="B1004" i="7"/>
  <c r="W1003" i="7"/>
  <c r="C1003" i="7"/>
  <c r="X1002" i="7"/>
  <c r="T1002" i="7"/>
  <c r="P1002" i="7"/>
  <c r="L1002" i="7"/>
  <c r="D1002" i="7"/>
  <c r="E1001" i="7"/>
  <c r="V1000" i="7"/>
  <c r="R1000" i="7"/>
  <c r="N1000" i="7"/>
  <c r="F1000" i="7"/>
  <c r="B1000" i="7"/>
  <c r="W999" i="7"/>
  <c r="C999" i="7"/>
  <c r="X998" i="7"/>
  <c r="T998" i="7"/>
  <c r="P998" i="7"/>
  <c r="L998" i="7"/>
  <c r="D998" i="7"/>
  <c r="E997" i="7"/>
  <c r="V996" i="7"/>
  <c r="R996" i="7"/>
  <c r="N996" i="7"/>
  <c r="F996" i="7"/>
  <c r="B996" i="7"/>
  <c r="W995" i="7"/>
  <c r="C995" i="7"/>
  <c r="X994" i="7"/>
  <c r="T994" i="7"/>
  <c r="P994" i="7"/>
  <c r="L994" i="7"/>
  <c r="D994" i="7"/>
  <c r="E993" i="7"/>
  <c r="V992" i="7"/>
  <c r="R992" i="7"/>
  <c r="N992" i="7"/>
  <c r="F992" i="7"/>
  <c r="B992" i="7"/>
  <c r="W991" i="7"/>
  <c r="C991" i="7"/>
  <c r="X990" i="7"/>
  <c r="T990" i="7"/>
  <c r="P990" i="7"/>
  <c r="L990" i="7"/>
  <c r="D990" i="7"/>
  <c r="E989" i="7"/>
  <c r="V988" i="7"/>
  <c r="R988" i="7"/>
  <c r="N988" i="7"/>
  <c r="F988" i="7"/>
  <c r="B988" i="7"/>
  <c r="W987" i="7"/>
  <c r="C987" i="7"/>
  <c r="X986" i="7"/>
  <c r="T986" i="7"/>
  <c r="P986" i="7"/>
  <c r="L986" i="7"/>
  <c r="D986" i="7"/>
  <c r="E985" i="7"/>
  <c r="V984" i="7"/>
  <c r="R984" i="7"/>
  <c r="N984" i="7"/>
  <c r="F984" i="7"/>
  <c r="B984" i="7"/>
  <c r="W983" i="7"/>
  <c r="C983" i="7"/>
  <c r="X982" i="7"/>
  <c r="T982" i="7"/>
  <c r="P982" i="7"/>
  <c r="L982" i="7"/>
  <c r="D982" i="7"/>
  <c r="E981" i="7"/>
  <c r="V980" i="7"/>
  <c r="R980" i="7"/>
  <c r="N980" i="7"/>
  <c r="F980" i="7"/>
  <c r="B980" i="7"/>
  <c r="W979" i="7"/>
  <c r="C979" i="7"/>
  <c r="X978" i="7"/>
  <c r="T978" i="7"/>
  <c r="P978" i="7"/>
  <c r="L978" i="7"/>
  <c r="D978" i="7"/>
  <c r="E977" i="7"/>
  <c r="V976" i="7"/>
  <c r="R976" i="7"/>
  <c r="N976" i="7"/>
  <c r="F976" i="7"/>
  <c r="B976" i="7"/>
  <c r="W975" i="7"/>
  <c r="C975" i="7"/>
  <c r="X974" i="7"/>
  <c r="T974" i="7"/>
  <c r="P974" i="7"/>
  <c r="L974" i="7"/>
  <c r="D974" i="7"/>
  <c r="E973" i="7"/>
  <c r="V972" i="7"/>
  <c r="R972" i="7"/>
  <c r="N972" i="7"/>
  <c r="F972" i="7"/>
  <c r="B972" i="7"/>
  <c r="W971" i="7"/>
  <c r="C971" i="7"/>
  <c r="X970" i="7"/>
  <c r="T970" i="7"/>
  <c r="P970" i="7"/>
  <c r="L970" i="7"/>
  <c r="D970" i="7"/>
  <c r="E969" i="7"/>
  <c r="V968" i="7"/>
  <c r="R968" i="7"/>
  <c r="N968" i="7"/>
  <c r="F968" i="7"/>
  <c r="B968" i="7"/>
  <c r="W967" i="7"/>
  <c r="C967" i="7"/>
  <c r="X966" i="7"/>
  <c r="T966" i="7"/>
  <c r="P966" i="7"/>
  <c r="L966" i="7"/>
  <c r="D966" i="7"/>
  <c r="E965" i="7"/>
  <c r="V964" i="7"/>
  <c r="R964" i="7"/>
  <c r="N964" i="7"/>
  <c r="F964" i="7"/>
  <c r="B964" i="7"/>
  <c r="W963" i="7"/>
  <c r="C963" i="7"/>
  <c r="X962" i="7"/>
  <c r="T962" i="7"/>
  <c r="P962" i="7"/>
  <c r="L962" i="7"/>
  <c r="D962" i="7"/>
  <c r="E961" i="7"/>
  <c r="V960" i="7"/>
  <c r="R960" i="7"/>
  <c r="N960" i="7"/>
  <c r="F960" i="7"/>
  <c r="B960" i="7"/>
  <c r="W959" i="7"/>
  <c r="C959" i="7"/>
  <c r="X958" i="7"/>
  <c r="T958" i="7"/>
  <c r="P958" i="7"/>
  <c r="L958" i="7"/>
  <c r="D958" i="7"/>
  <c r="E957" i="7"/>
  <c r="V956" i="7"/>
  <c r="R956" i="7"/>
  <c r="N956" i="7"/>
  <c r="F956" i="7"/>
  <c r="B956" i="7"/>
  <c r="W955" i="7"/>
  <c r="C955" i="7"/>
  <c r="X954" i="7"/>
  <c r="T954" i="7"/>
  <c r="P954" i="7"/>
  <c r="L954" i="7"/>
  <c r="D954" i="7"/>
  <c r="E953" i="7"/>
  <c r="V952" i="7"/>
  <c r="R952" i="7"/>
  <c r="N952" i="7"/>
  <c r="F952" i="7"/>
  <c r="B952" i="7"/>
  <c r="W951" i="7"/>
  <c r="C951" i="7"/>
  <c r="X950" i="7"/>
  <c r="T950" i="7"/>
  <c r="P950" i="7"/>
  <c r="L950" i="7"/>
  <c r="D950" i="7"/>
  <c r="E949" i="7"/>
  <c r="V948" i="7"/>
  <c r="R948" i="7"/>
  <c r="N948" i="7"/>
  <c r="F948" i="7"/>
  <c r="B948" i="7"/>
  <c r="W947" i="7"/>
  <c r="C947" i="7"/>
  <c r="X946" i="7"/>
  <c r="T946" i="7"/>
  <c r="P946" i="7"/>
  <c r="L946" i="7"/>
  <c r="D946" i="7"/>
  <c r="E945" i="7"/>
  <c r="V944" i="7"/>
  <c r="R944" i="7"/>
  <c r="N944" i="7"/>
  <c r="F944" i="7"/>
  <c r="B944" i="7"/>
  <c r="W943" i="7"/>
  <c r="C943" i="7"/>
  <c r="X942" i="7"/>
  <c r="T942" i="7"/>
  <c r="P942" i="7"/>
  <c r="L942" i="7"/>
  <c r="D942" i="7"/>
  <c r="E941" i="7"/>
  <c r="V940" i="7"/>
  <c r="R940" i="7"/>
  <c r="N940" i="7"/>
  <c r="F940" i="7"/>
  <c r="B940" i="7"/>
  <c r="W939" i="7"/>
  <c r="C939" i="7"/>
  <c r="X938" i="7"/>
  <c r="T938" i="7"/>
  <c r="P938" i="7"/>
  <c r="L938" i="7"/>
  <c r="D938" i="7"/>
  <c r="E937" i="7"/>
  <c r="V936" i="7"/>
  <c r="R936" i="7"/>
  <c r="N936" i="7"/>
  <c r="F936" i="7"/>
  <c r="B936" i="7"/>
  <c r="W935" i="7"/>
  <c r="C935" i="7"/>
  <c r="X934" i="7"/>
  <c r="T934" i="7"/>
  <c r="P934" i="7"/>
  <c r="L934" i="7"/>
  <c r="D934" i="7"/>
  <c r="E933" i="7"/>
  <c r="V932" i="7"/>
  <c r="R932" i="7"/>
  <c r="N932" i="7"/>
  <c r="F932" i="7"/>
  <c r="B932" i="7"/>
  <c r="W931" i="7"/>
  <c r="C931" i="7"/>
  <c r="X930" i="7"/>
  <c r="T930" i="7"/>
  <c r="P930" i="7"/>
  <c r="L930" i="7"/>
  <c r="D930" i="7"/>
  <c r="E929" i="7"/>
  <c r="V928" i="7"/>
  <c r="R928" i="7"/>
  <c r="N928" i="7"/>
  <c r="V1095" i="7"/>
  <c r="F1095" i="7"/>
  <c r="T1093" i="7"/>
  <c r="D1093" i="7"/>
  <c r="V1091" i="7"/>
  <c r="F1091" i="7"/>
  <c r="R1090" i="7"/>
  <c r="C1090" i="7"/>
  <c r="X1089" i="7"/>
  <c r="T1089" i="7"/>
  <c r="P1089" i="7"/>
  <c r="L1089" i="7"/>
  <c r="D1089" i="7"/>
  <c r="E1088" i="7"/>
  <c r="V1087" i="7"/>
  <c r="R1087" i="7"/>
  <c r="N1087" i="7"/>
  <c r="F1087" i="7"/>
  <c r="B1087" i="7"/>
  <c r="W1086" i="7"/>
  <c r="C1086" i="7"/>
  <c r="X1085" i="7"/>
  <c r="T1085" i="7"/>
  <c r="P1085" i="7"/>
  <c r="L1085" i="7"/>
  <c r="D1085" i="7"/>
  <c r="E1084" i="7"/>
  <c r="V1083" i="7"/>
  <c r="R1083" i="7"/>
  <c r="N1083" i="7"/>
  <c r="F1083" i="7"/>
  <c r="B1083" i="7"/>
  <c r="W1082" i="7"/>
  <c r="C1082" i="7"/>
  <c r="X1081" i="7"/>
  <c r="T1081" i="7"/>
  <c r="P1081" i="7"/>
  <c r="L1081" i="7"/>
  <c r="D1081" i="7"/>
  <c r="E1080" i="7"/>
  <c r="V1079" i="7"/>
  <c r="R1079" i="7"/>
  <c r="N1079" i="7"/>
  <c r="F1079" i="7"/>
  <c r="B1079" i="7"/>
  <c r="W1078" i="7"/>
  <c r="C1078" i="7"/>
  <c r="X1077" i="7"/>
  <c r="T1077" i="7"/>
  <c r="P1077" i="7"/>
  <c r="L1077" i="7"/>
  <c r="D1077" i="7"/>
  <c r="E1076" i="7"/>
  <c r="V1075" i="7"/>
  <c r="R1075" i="7"/>
  <c r="N1075" i="7"/>
  <c r="F1075" i="7"/>
  <c r="B1075" i="7"/>
  <c r="W1074" i="7"/>
  <c r="C1074" i="7"/>
  <c r="X1073" i="7"/>
  <c r="T1073" i="7"/>
  <c r="P1073" i="7"/>
  <c r="L1073" i="7"/>
  <c r="D1073" i="7"/>
  <c r="E1072" i="7"/>
  <c r="V1071" i="7"/>
  <c r="R1071" i="7"/>
  <c r="N1071" i="7"/>
  <c r="F1071" i="7"/>
  <c r="B1071" i="7"/>
  <c r="W1070" i="7"/>
  <c r="C1070" i="7"/>
  <c r="X1069" i="7"/>
  <c r="T1069" i="7"/>
  <c r="P1069" i="7"/>
  <c r="L1069" i="7"/>
  <c r="D1069" i="7"/>
  <c r="E1068" i="7"/>
  <c r="V1067" i="7"/>
  <c r="R1067" i="7"/>
  <c r="N1067" i="7"/>
  <c r="F1067" i="7"/>
  <c r="B1067" i="7"/>
  <c r="W1066" i="7"/>
  <c r="C1066" i="7"/>
  <c r="X1065" i="7"/>
  <c r="T1065" i="7"/>
  <c r="P1065" i="7"/>
  <c r="L1065" i="7"/>
  <c r="D1065" i="7"/>
  <c r="E1064" i="7"/>
  <c r="V1063" i="7"/>
  <c r="R1063" i="7"/>
  <c r="N1063" i="7"/>
  <c r="F1063" i="7"/>
  <c r="B1063" i="7"/>
  <c r="W1062" i="7"/>
  <c r="C1062" i="7"/>
  <c r="X1061" i="7"/>
  <c r="T1061" i="7"/>
  <c r="P1061" i="7"/>
  <c r="L1061" i="7"/>
  <c r="D1061" i="7"/>
  <c r="E1060" i="7"/>
  <c r="V1059" i="7"/>
  <c r="R1059" i="7"/>
  <c r="N1059" i="7"/>
  <c r="F1059" i="7"/>
  <c r="B1059" i="7"/>
  <c r="W1058" i="7"/>
  <c r="C1058" i="7"/>
  <c r="X1057" i="7"/>
  <c r="T1057" i="7"/>
  <c r="P1057" i="7"/>
  <c r="L1057" i="7"/>
  <c r="D1057" i="7"/>
  <c r="E1056" i="7"/>
  <c r="V1055" i="7"/>
  <c r="R1055" i="7"/>
  <c r="N1055" i="7"/>
  <c r="F1055" i="7"/>
  <c r="B1055" i="7"/>
  <c r="W1054" i="7"/>
  <c r="C1054" i="7"/>
  <c r="X1053" i="7"/>
  <c r="T1053" i="7"/>
  <c r="P1053" i="7"/>
  <c r="L1053" i="7"/>
  <c r="D1053" i="7"/>
  <c r="E1052" i="7"/>
  <c r="V1051" i="7"/>
  <c r="R1051" i="7"/>
  <c r="N1051" i="7"/>
  <c r="F1051" i="7"/>
  <c r="B1051" i="7"/>
  <c r="W1050" i="7"/>
  <c r="C1050" i="7"/>
  <c r="X1049" i="7"/>
  <c r="T1049" i="7"/>
  <c r="P1049" i="7"/>
  <c r="L1049" i="7"/>
  <c r="D1049" i="7"/>
  <c r="E1048" i="7"/>
  <c r="V1047" i="7"/>
  <c r="R1047" i="7"/>
  <c r="N1047" i="7"/>
  <c r="F1047" i="7"/>
  <c r="B1047" i="7"/>
  <c r="W1046" i="7"/>
  <c r="C1046" i="7"/>
  <c r="X1045" i="7"/>
  <c r="T1045" i="7"/>
  <c r="P1045" i="7"/>
  <c r="L1045" i="7"/>
  <c r="D1045" i="7"/>
  <c r="E1044" i="7"/>
  <c r="V1043" i="7"/>
  <c r="R1043" i="7"/>
  <c r="N1043" i="7"/>
  <c r="F1043" i="7"/>
  <c r="B1043" i="7"/>
  <c r="W1042" i="7"/>
  <c r="C1042" i="7"/>
  <c r="X1041" i="7"/>
  <c r="T1041" i="7"/>
  <c r="P1041" i="7"/>
  <c r="L1041" i="7"/>
  <c r="D1041" i="7"/>
  <c r="E1040" i="7"/>
  <c r="V1039" i="7"/>
  <c r="R1039" i="7"/>
  <c r="N1039" i="7"/>
  <c r="F1039" i="7"/>
  <c r="B1039" i="7"/>
  <c r="W1038" i="7"/>
  <c r="C1038" i="7"/>
  <c r="X1037" i="7"/>
  <c r="T1037" i="7"/>
  <c r="P1037" i="7"/>
  <c r="L1037" i="7"/>
  <c r="D1037" i="7"/>
  <c r="E1036" i="7"/>
  <c r="V1035" i="7"/>
  <c r="R1035" i="7"/>
  <c r="N1035" i="7"/>
  <c r="F1035" i="7"/>
  <c r="B1035" i="7"/>
  <c r="W1034" i="7"/>
  <c r="C1034" i="7"/>
  <c r="X1033" i="7"/>
  <c r="T1033" i="7"/>
  <c r="P1033" i="7"/>
  <c r="L1033" i="7"/>
  <c r="D1033" i="7"/>
  <c r="E1032" i="7"/>
  <c r="V1031" i="7"/>
  <c r="R1031" i="7"/>
  <c r="N1031" i="7"/>
  <c r="F1031" i="7"/>
  <c r="B1031" i="7"/>
  <c r="W1030" i="7"/>
  <c r="C1030" i="7"/>
  <c r="X1029" i="7"/>
  <c r="T1029" i="7"/>
  <c r="P1029" i="7"/>
  <c r="L1029" i="7"/>
  <c r="D1029" i="7"/>
  <c r="E1028" i="7"/>
  <c r="V1027" i="7"/>
  <c r="R1027" i="7"/>
  <c r="N1027" i="7"/>
  <c r="F1027" i="7"/>
  <c r="B1027" i="7"/>
  <c r="W1026" i="7"/>
  <c r="C1026" i="7"/>
  <c r="X1025" i="7"/>
  <c r="T1025" i="7"/>
  <c r="P1025" i="7"/>
  <c r="L1025" i="7"/>
  <c r="D1025" i="7"/>
  <c r="E1024" i="7"/>
  <c r="V1023" i="7"/>
  <c r="R1023" i="7"/>
  <c r="N1023" i="7"/>
  <c r="F1023" i="7"/>
  <c r="B1023" i="7"/>
  <c r="W1022" i="7"/>
  <c r="C1022" i="7"/>
  <c r="X1021" i="7"/>
  <c r="T1021" i="7"/>
  <c r="P1021" i="7"/>
  <c r="L1021" i="7"/>
  <c r="D1021" i="7"/>
  <c r="E1020" i="7"/>
  <c r="V1019" i="7"/>
  <c r="R1019" i="7"/>
  <c r="N1019" i="7"/>
  <c r="F1019" i="7"/>
  <c r="B1019" i="7"/>
  <c r="W1018" i="7"/>
  <c r="C1018" i="7"/>
  <c r="X1017" i="7"/>
  <c r="T1017" i="7"/>
  <c r="P1017" i="7"/>
  <c r="L1017" i="7"/>
  <c r="D1017" i="7"/>
  <c r="E1016" i="7"/>
  <c r="V1015" i="7"/>
  <c r="R1015" i="7"/>
  <c r="N1015" i="7"/>
  <c r="F1015" i="7"/>
  <c r="B1015" i="7"/>
  <c r="W1014" i="7"/>
  <c r="C1014" i="7"/>
  <c r="X1013" i="7"/>
  <c r="T1013" i="7"/>
  <c r="P1013" i="7"/>
  <c r="L1013" i="7"/>
  <c r="D1013" i="7"/>
  <c r="E1012" i="7"/>
  <c r="V1011" i="7"/>
  <c r="R1011" i="7"/>
  <c r="N1011" i="7"/>
  <c r="F1011" i="7"/>
  <c r="B1011" i="7"/>
  <c r="W1010" i="7"/>
  <c r="C1010" i="7"/>
  <c r="X1009" i="7"/>
  <c r="T1009" i="7"/>
  <c r="P1009" i="7"/>
  <c r="L1009" i="7"/>
  <c r="D1009" i="7"/>
  <c r="E1008" i="7"/>
  <c r="V1007" i="7"/>
  <c r="R1007" i="7"/>
  <c r="N1007" i="7"/>
  <c r="F1007" i="7"/>
  <c r="B1007" i="7"/>
  <c r="W1006" i="7"/>
  <c r="C1006" i="7"/>
  <c r="X1005" i="7"/>
  <c r="T1005" i="7"/>
  <c r="P1005" i="7"/>
  <c r="L1005" i="7"/>
  <c r="D1005" i="7"/>
  <c r="E1004" i="7"/>
  <c r="V1003" i="7"/>
  <c r="R1003" i="7"/>
  <c r="N1003" i="7"/>
  <c r="F1003" i="7"/>
  <c r="B1003" i="7"/>
  <c r="W1002" i="7"/>
  <c r="C1002" i="7"/>
  <c r="X1001" i="7"/>
  <c r="T1001" i="7"/>
  <c r="P1001" i="7"/>
  <c r="L1001" i="7"/>
  <c r="D1001" i="7"/>
  <c r="E1000" i="7"/>
  <c r="V999" i="7"/>
  <c r="R999" i="7"/>
  <c r="N999" i="7"/>
  <c r="F999" i="7"/>
  <c r="B999" i="7"/>
  <c r="W998" i="7"/>
  <c r="C998" i="7"/>
  <c r="X997" i="7"/>
  <c r="T997" i="7"/>
  <c r="P997" i="7"/>
  <c r="L997" i="7"/>
  <c r="D997" i="7"/>
  <c r="E996" i="7"/>
  <c r="V995" i="7"/>
  <c r="R995" i="7"/>
  <c r="N995" i="7"/>
  <c r="F995" i="7"/>
  <c r="B995" i="7"/>
  <c r="W994" i="7"/>
  <c r="C994" i="7"/>
  <c r="X993" i="7"/>
  <c r="T993" i="7"/>
  <c r="P993" i="7"/>
  <c r="L993" i="7"/>
  <c r="D993" i="7"/>
  <c r="E992" i="7"/>
  <c r="V991" i="7"/>
  <c r="R991" i="7"/>
  <c r="N991" i="7"/>
  <c r="F991" i="7"/>
  <c r="B991" i="7"/>
  <c r="W990" i="7"/>
  <c r="C990" i="7"/>
  <c r="X989" i="7"/>
  <c r="T989" i="7"/>
  <c r="P989" i="7"/>
  <c r="L989" i="7"/>
  <c r="D989" i="7"/>
  <c r="E988" i="7"/>
  <c r="V987" i="7"/>
  <c r="R987" i="7"/>
  <c r="N987" i="7"/>
  <c r="F987" i="7"/>
  <c r="B987" i="7"/>
  <c r="W986" i="7"/>
  <c r="C986" i="7"/>
  <c r="X985" i="7"/>
  <c r="T985" i="7"/>
  <c r="P985" i="7"/>
  <c r="L985" i="7"/>
  <c r="D985" i="7"/>
  <c r="E984" i="7"/>
  <c r="V983" i="7"/>
  <c r="R983" i="7"/>
  <c r="N983" i="7"/>
  <c r="F983" i="7"/>
  <c r="B983" i="7"/>
  <c r="W982" i="7"/>
  <c r="C982" i="7"/>
  <c r="X981" i="7"/>
  <c r="T981" i="7"/>
  <c r="P981" i="7"/>
  <c r="L981" i="7"/>
  <c r="D981" i="7"/>
  <c r="E980" i="7"/>
  <c r="V979" i="7"/>
  <c r="R979" i="7"/>
  <c r="N979" i="7"/>
  <c r="F979" i="7"/>
  <c r="B979" i="7"/>
  <c r="W978" i="7"/>
  <c r="C978" i="7"/>
  <c r="X977" i="7"/>
  <c r="T977" i="7"/>
  <c r="P977" i="7"/>
  <c r="L977" i="7"/>
  <c r="D977" i="7"/>
  <c r="E976" i="7"/>
  <c r="V975" i="7"/>
  <c r="R975" i="7"/>
  <c r="N975" i="7"/>
  <c r="F975" i="7"/>
  <c r="B975" i="7"/>
  <c r="W974" i="7"/>
  <c r="C974" i="7"/>
  <c r="X973" i="7"/>
  <c r="T973" i="7"/>
  <c r="P973" i="7"/>
  <c r="L973" i="7"/>
  <c r="D973" i="7"/>
  <c r="E972" i="7"/>
  <c r="V971" i="7"/>
  <c r="R971" i="7"/>
  <c r="N971" i="7"/>
  <c r="F971" i="7"/>
  <c r="B971" i="7"/>
  <c r="W970" i="7"/>
  <c r="C970" i="7"/>
  <c r="X969" i="7"/>
  <c r="T969" i="7"/>
  <c r="P969" i="7"/>
  <c r="L969" i="7"/>
  <c r="D969" i="7"/>
  <c r="E968" i="7"/>
  <c r="V967" i="7"/>
  <c r="R967" i="7"/>
  <c r="N967" i="7"/>
  <c r="F967" i="7"/>
  <c r="B967" i="7"/>
  <c r="W966" i="7"/>
  <c r="C966" i="7"/>
  <c r="X965" i="7"/>
  <c r="T965" i="7"/>
  <c r="P965" i="7"/>
  <c r="L965" i="7"/>
  <c r="D965" i="7"/>
  <c r="E964" i="7"/>
  <c r="V963" i="7"/>
  <c r="R963" i="7"/>
  <c r="N963" i="7"/>
  <c r="F963" i="7"/>
  <c r="B963" i="7"/>
  <c r="W962" i="7"/>
  <c r="C962" i="7"/>
  <c r="X961" i="7"/>
  <c r="T961" i="7"/>
  <c r="P961" i="7"/>
  <c r="L961" i="7"/>
  <c r="D961" i="7"/>
  <c r="E960" i="7"/>
  <c r="V959" i="7"/>
  <c r="R959" i="7"/>
  <c r="N959" i="7"/>
  <c r="F959" i="7"/>
  <c r="B959" i="7"/>
  <c r="W958" i="7"/>
  <c r="C958" i="7"/>
  <c r="X957" i="7"/>
  <c r="T957" i="7"/>
  <c r="P957" i="7"/>
  <c r="L957" i="7"/>
  <c r="D957" i="7"/>
  <c r="E956" i="7"/>
  <c r="V955" i="7"/>
  <c r="R955" i="7"/>
  <c r="N955" i="7"/>
  <c r="F955" i="7"/>
  <c r="B955" i="7"/>
  <c r="W954" i="7"/>
  <c r="C954" i="7"/>
  <c r="X953" i="7"/>
  <c r="T953" i="7"/>
  <c r="P953" i="7"/>
  <c r="L953" i="7"/>
  <c r="D953" i="7"/>
  <c r="E952" i="7"/>
  <c r="V951" i="7"/>
  <c r="R951" i="7"/>
  <c r="N951" i="7"/>
  <c r="F951" i="7"/>
  <c r="B951" i="7"/>
  <c r="W950" i="7"/>
  <c r="C950" i="7"/>
  <c r="X949" i="7"/>
  <c r="T949" i="7"/>
  <c r="P949" i="7"/>
  <c r="L949" i="7"/>
  <c r="D949" i="7"/>
  <c r="E948" i="7"/>
  <c r="V947" i="7"/>
  <c r="R947" i="7"/>
  <c r="N947" i="7"/>
  <c r="F947" i="7"/>
  <c r="B947" i="7"/>
  <c r="W946" i="7"/>
  <c r="C946" i="7"/>
  <c r="X945" i="7"/>
  <c r="T945" i="7"/>
  <c r="P945" i="7"/>
  <c r="L945" i="7"/>
  <c r="D945" i="7"/>
  <c r="E944" i="7"/>
  <c r="V943" i="7"/>
  <c r="R943" i="7"/>
  <c r="N943" i="7"/>
  <c r="F943" i="7"/>
  <c r="B943" i="7"/>
  <c r="W942" i="7"/>
  <c r="C942" i="7"/>
  <c r="X941" i="7"/>
  <c r="T941" i="7"/>
  <c r="P941" i="7"/>
  <c r="L941" i="7"/>
  <c r="D941" i="7"/>
  <c r="E940" i="7"/>
  <c r="V939" i="7"/>
  <c r="R939" i="7"/>
  <c r="N939" i="7"/>
  <c r="F939" i="7"/>
  <c r="B939" i="7"/>
  <c r="W938" i="7"/>
  <c r="C938" i="7"/>
  <c r="X937" i="7"/>
  <c r="T937" i="7"/>
  <c r="P937" i="7"/>
  <c r="L937" i="7"/>
  <c r="D937" i="7"/>
  <c r="E936" i="7"/>
  <c r="V935" i="7"/>
  <c r="R935" i="7"/>
  <c r="N935" i="7"/>
  <c r="F935" i="7"/>
  <c r="B935" i="7"/>
  <c r="W934" i="7"/>
  <c r="C934" i="7"/>
  <c r="X933" i="7"/>
  <c r="T933" i="7"/>
  <c r="P933" i="7"/>
  <c r="L933" i="7"/>
  <c r="D933" i="7"/>
  <c r="E932" i="7"/>
  <c r="V931" i="7"/>
  <c r="R931" i="7"/>
  <c r="N931" i="7"/>
  <c r="F931" i="7"/>
  <c r="B931" i="7"/>
  <c r="W930" i="7"/>
  <c r="C930" i="7"/>
  <c r="X929" i="7"/>
  <c r="T929" i="7"/>
  <c r="P929" i="7"/>
  <c r="L929" i="7"/>
  <c r="D929" i="7"/>
  <c r="E928" i="7"/>
  <c r="V927" i="7"/>
  <c r="R927" i="7"/>
  <c r="N927" i="7"/>
  <c r="W927" i="7"/>
  <c r="F927" i="7"/>
  <c r="W926" i="7"/>
  <c r="C926" i="7"/>
  <c r="T925" i="7"/>
  <c r="L925" i="7"/>
  <c r="R924" i="7"/>
  <c r="R923" i="7"/>
  <c r="F923" i="7"/>
  <c r="W922" i="7"/>
  <c r="C922" i="7"/>
  <c r="T921" i="7"/>
  <c r="L921" i="7"/>
  <c r="R920" i="7"/>
  <c r="R919" i="7"/>
  <c r="F919" i="7"/>
  <c r="W918" i="7"/>
  <c r="C918" i="7"/>
  <c r="T917" i="7"/>
  <c r="N917" i="7"/>
  <c r="F917" i="7"/>
  <c r="F916" i="7"/>
  <c r="T915" i="7"/>
  <c r="F915" i="7"/>
  <c r="T914" i="7"/>
  <c r="E914" i="7"/>
  <c r="T913" i="7"/>
  <c r="N913" i="7"/>
  <c r="F913" i="7"/>
  <c r="F912" i="7"/>
  <c r="T911" i="7"/>
  <c r="F911" i="7"/>
  <c r="T910" i="7"/>
  <c r="E910" i="7"/>
  <c r="T909" i="7"/>
  <c r="N909" i="7"/>
  <c r="F909" i="7"/>
  <c r="F908" i="7"/>
  <c r="T907" i="7"/>
  <c r="F907" i="7"/>
  <c r="T906" i="7"/>
  <c r="E906" i="7"/>
  <c r="T905" i="7"/>
  <c r="N905" i="7"/>
  <c r="F905" i="7"/>
  <c r="F904" i="7"/>
  <c r="T903" i="7"/>
  <c r="F903" i="7"/>
  <c r="T902" i="7"/>
  <c r="E902" i="7"/>
  <c r="T901" i="7"/>
  <c r="N901" i="7"/>
  <c r="F901" i="7"/>
  <c r="F900" i="7"/>
  <c r="T899" i="7"/>
  <c r="F899" i="7"/>
  <c r="T898" i="7"/>
  <c r="E898" i="7"/>
  <c r="T897" i="7"/>
  <c r="N897" i="7"/>
  <c r="F897" i="7"/>
  <c r="F896" i="7"/>
  <c r="T895" i="7"/>
  <c r="F895" i="7"/>
  <c r="T894" i="7"/>
  <c r="E894" i="7"/>
  <c r="T893" i="7"/>
  <c r="N893" i="7"/>
  <c r="F893" i="7"/>
  <c r="F892" i="7"/>
  <c r="T891" i="7"/>
  <c r="F891" i="7"/>
  <c r="T890" i="7"/>
  <c r="E890" i="7"/>
  <c r="T889" i="7"/>
  <c r="N889" i="7"/>
  <c r="F889" i="7"/>
  <c r="F888" i="7"/>
  <c r="T887" i="7"/>
  <c r="F887" i="7"/>
  <c r="T886" i="7"/>
  <c r="E886" i="7"/>
  <c r="T885" i="7"/>
  <c r="N885" i="7"/>
  <c r="F885" i="7"/>
  <c r="F884" i="7"/>
  <c r="T883" i="7"/>
  <c r="F883" i="7"/>
  <c r="T882" i="7"/>
  <c r="E882" i="7"/>
  <c r="T881" i="7"/>
  <c r="N881" i="7"/>
  <c r="F881" i="7"/>
  <c r="F880" i="7"/>
  <c r="T879" i="7"/>
  <c r="F879" i="7"/>
  <c r="T878" i="7"/>
  <c r="E878" i="7"/>
  <c r="T877" i="7"/>
  <c r="N877" i="7"/>
  <c r="F877" i="7"/>
  <c r="F876" i="7"/>
  <c r="T875" i="7"/>
  <c r="F875" i="7"/>
  <c r="T874" i="7"/>
  <c r="E874" i="7"/>
  <c r="T873" i="7"/>
  <c r="N873" i="7"/>
  <c r="F873" i="7"/>
  <c r="F872" i="7"/>
  <c r="T871" i="7"/>
  <c r="F871" i="7"/>
  <c r="T870" i="7"/>
  <c r="E870" i="7"/>
  <c r="T869" i="7"/>
  <c r="C869" i="7"/>
  <c r="X868" i="7"/>
  <c r="T868" i="7"/>
  <c r="P868" i="7"/>
  <c r="L868" i="7"/>
  <c r="D868" i="7"/>
  <c r="E867" i="7"/>
  <c r="V866" i="7"/>
  <c r="R866" i="7"/>
  <c r="N866" i="7"/>
  <c r="F866" i="7"/>
  <c r="B866" i="7"/>
  <c r="W865" i="7"/>
  <c r="C865" i="7"/>
  <c r="X864" i="7"/>
  <c r="T864" i="7"/>
  <c r="P864" i="7"/>
  <c r="L864" i="7"/>
  <c r="D864" i="7"/>
  <c r="E863" i="7"/>
  <c r="V862" i="7"/>
  <c r="R862" i="7"/>
  <c r="N862" i="7"/>
  <c r="F862" i="7"/>
  <c r="B862" i="7"/>
  <c r="W861" i="7"/>
  <c r="C861" i="7"/>
  <c r="X860" i="7"/>
  <c r="T860" i="7"/>
  <c r="P860" i="7"/>
  <c r="L860" i="7"/>
  <c r="D860" i="7"/>
  <c r="E859" i="7"/>
  <c r="V858" i="7"/>
  <c r="R858" i="7"/>
  <c r="N858" i="7"/>
  <c r="F858" i="7"/>
  <c r="B858" i="7"/>
  <c r="W857" i="7"/>
  <c r="C857" i="7"/>
  <c r="X856" i="7"/>
  <c r="T856" i="7"/>
  <c r="P856" i="7"/>
  <c r="L856" i="7"/>
  <c r="D856" i="7"/>
  <c r="E855" i="7"/>
  <c r="V854" i="7"/>
  <c r="R854" i="7"/>
  <c r="N854" i="7"/>
  <c r="F854" i="7"/>
  <c r="B854" i="7"/>
  <c r="W853" i="7"/>
  <c r="C853" i="7"/>
  <c r="X852" i="7"/>
  <c r="T852" i="7"/>
  <c r="P852" i="7"/>
  <c r="L852" i="7"/>
  <c r="D852" i="7"/>
  <c r="E851" i="7"/>
  <c r="V850" i="7"/>
  <c r="R850" i="7"/>
  <c r="N850" i="7"/>
  <c r="F850" i="7"/>
  <c r="B850" i="7"/>
  <c r="W849" i="7"/>
  <c r="C849" i="7"/>
  <c r="X848" i="7"/>
  <c r="T848" i="7"/>
  <c r="P848" i="7"/>
  <c r="L848" i="7"/>
  <c r="D848" i="7"/>
  <c r="E847" i="7"/>
  <c r="V846" i="7"/>
  <c r="R846" i="7"/>
  <c r="N846" i="7"/>
  <c r="F846" i="7"/>
  <c r="B846" i="7"/>
  <c r="W845" i="7"/>
  <c r="C845" i="7"/>
  <c r="X844" i="7"/>
  <c r="T844" i="7"/>
  <c r="P844" i="7"/>
  <c r="L844" i="7"/>
  <c r="D844" i="7"/>
  <c r="E843" i="7"/>
  <c r="V842" i="7"/>
  <c r="R842" i="7"/>
  <c r="N842" i="7"/>
  <c r="F842" i="7"/>
  <c r="B842" i="7"/>
  <c r="W841" i="7"/>
  <c r="C841" i="7"/>
  <c r="X840" i="7"/>
  <c r="T840" i="7"/>
  <c r="P840" i="7"/>
  <c r="L840" i="7"/>
  <c r="D840" i="7"/>
  <c r="E839" i="7"/>
  <c r="V838" i="7"/>
  <c r="R838" i="7"/>
  <c r="N838" i="7"/>
  <c r="F838" i="7"/>
  <c r="B838" i="7"/>
  <c r="W837" i="7"/>
  <c r="C837" i="7"/>
  <c r="X836" i="7"/>
  <c r="T836" i="7"/>
  <c r="P836" i="7"/>
  <c r="L836" i="7"/>
  <c r="D836" i="7"/>
  <c r="E835" i="7"/>
  <c r="V834" i="7"/>
  <c r="R834" i="7"/>
  <c r="N834" i="7"/>
  <c r="F834" i="7"/>
  <c r="B834" i="7"/>
  <c r="W833" i="7"/>
  <c r="C833" i="7"/>
  <c r="X832" i="7"/>
  <c r="T832" i="7"/>
  <c r="P832" i="7"/>
  <c r="L832" i="7"/>
  <c r="D832" i="7"/>
  <c r="E831" i="7"/>
  <c r="V830" i="7"/>
  <c r="R830" i="7"/>
  <c r="N830" i="7"/>
  <c r="F830" i="7"/>
  <c r="B830" i="7"/>
  <c r="W829" i="7"/>
  <c r="C829" i="7"/>
  <c r="X828" i="7"/>
  <c r="T828" i="7"/>
  <c r="P828" i="7"/>
  <c r="L828" i="7"/>
  <c r="D828" i="7"/>
  <c r="E827" i="7"/>
  <c r="V826" i="7"/>
  <c r="R826" i="7"/>
  <c r="N826" i="7"/>
  <c r="F826" i="7"/>
  <c r="B826" i="7"/>
  <c r="W825" i="7"/>
  <c r="C825" i="7"/>
  <c r="X824" i="7"/>
  <c r="T824" i="7"/>
  <c r="P824" i="7"/>
  <c r="L824" i="7"/>
  <c r="D824" i="7"/>
  <c r="E823" i="7"/>
  <c r="V822" i="7"/>
  <c r="R822" i="7"/>
  <c r="N822" i="7"/>
  <c r="F822" i="7"/>
  <c r="B822" i="7"/>
  <c r="W821" i="7"/>
  <c r="C821" i="7"/>
  <c r="X820" i="7"/>
  <c r="T820" i="7"/>
  <c r="P820" i="7"/>
  <c r="L820" i="7"/>
  <c r="D820" i="7"/>
  <c r="E819" i="7"/>
  <c r="V818" i="7"/>
  <c r="R818" i="7"/>
  <c r="N818" i="7"/>
  <c r="F818" i="7"/>
  <c r="B818" i="7"/>
  <c r="W817" i="7"/>
  <c r="C817" i="7"/>
  <c r="X816" i="7"/>
  <c r="T816" i="7"/>
  <c r="P816" i="7"/>
  <c r="L816" i="7"/>
  <c r="D816" i="7"/>
  <c r="E815" i="7"/>
  <c r="V814" i="7"/>
  <c r="R814" i="7"/>
  <c r="N814" i="7"/>
  <c r="F814" i="7"/>
  <c r="B814" i="7"/>
  <c r="W813" i="7"/>
  <c r="C813" i="7"/>
  <c r="X812" i="7"/>
  <c r="T812" i="7"/>
  <c r="P812" i="7"/>
  <c r="L812" i="7"/>
  <c r="D812" i="7"/>
  <c r="E811" i="7"/>
  <c r="V810" i="7"/>
  <c r="R810" i="7"/>
  <c r="N810" i="7"/>
  <c r="F810" i="7"/>
  <c r="B810" i="7"/>
  <c r="W809" i="7"/>
  <c r="C809" i="7"/>
  <c r="X808" i="7"/>
  <c r="T808" i="7"/>
  <c r="P808" i="7"/>
  <c r="L808" i="7"/>
  <c r="D808" i="7"/>
  <c r="E807" i="7"/>
  <c r="V806" i="7"/>
  <c r="R806" i="7"/>
  <c r="N806" i="7"/>
  <c r="F806" i="7"/>
  <c r="B806" i="7"/>
  <c r="W805" i="7"/>
  <c r="C805" i="7"/>
  <c r="X804" i="7"/>
  <c r="T804" i="7"/>
  <c r="P804" i="7"/>
  <c r="L804" i="7"/>
  <c r="D804" i="7"/>
  <c r="E803" i="7"/>
  <c r="V802" i="7"/>
  <c r="R802" i="7"/>
  <c r="N802" i="7"/>
  <c r="F802" i="7"/>
  <c r="B802" i="7"/>
  <c r="W801" i="7"/>
  <c r="C801" i="7"/>
  <c r="X800" i="7"/>
  <c r="T800" i="7"/>
  <c r="P800" i="7"/>
  <c r="L800" i="7"/>
  <c r="D800" i="7"/>
  <c r="E799" i="7"/>
  <c r="V798" i="7"/>
  <c r="R798" i="7"/>
  <c r="N798" i="7"/>
  <c r="F798" i="7"/>
  <c r="B798" i="7"/>
  <c r="W797" i="7"/>
  <c r="C797" i="7"/>
  <c r="X796" i="7"/>
  <c r="T796" i="7"/>
  <c r="P796" i="7"/>
  <c r="L796" i="7"/>
  <c r="D796" i="7"/>
  <c r="E795" i="7"/>
  <c r="V794" i="7"/>
  <c r="R794" i="7"/>
  <c r="N794" i="7"/>
  <c r="F794" i="7"/>
  <c r="B794" i="7"/>
  <c r="W793" i="7"/>
  <c r="C793" i="7"/>
  <c r="X792" i="7"/>
  <c r="T792" i="7"/>
  <c r="P792" i="7"/>
  <c r="L792" i="7"/>
  <c r="D792" i="7"/>
  <c r="E791" i="7"/>
  <c r="V790" i="7"/>
  <c r="R790" i="7"/>
  <c r="N790" i="7"/>
  <c r="F790" i="7"/>
  <c r="B790" i="7"/>
  <c r="W789" i="7"/>
  <c r="C789" i="7"/>
  <c r="X788" i="7"/>
  <c r="T788" i="7"/>
  <c r="P788" i="7"/>
  <c r="L788" i="7"/>
  <c r="D788" i="7"/>
  <c r="E787" i="7"/>
  <c r="V786" i="7"/>
  <c r="R786" i="7"/>
  <c r="N786" i="7"/>
  <c r="F786" i="7"/>
  <c r="B786" i="7"/>
  <c r="W785" i="7"/>
  <c r="C785" i="7"/>
  <c r="X784" i="7"/>
  <c r="T784" i="7"/>
  <c r="P784" i="7"/>
  <c r="L784" i="7"/>
  <c r="D784" i="7"/>
  <c r="E783" i="7"/>
  <c r="V782" i="7"/>
  <c r="R782" i="7"/>
  <c r="N782" i="7"/>
  <c r="F782" i="7"/>
  <c r="B782" i="7"/>
  <c r="W781" i="7"/>
  <c r="C781" i="7"/>
  <c r="X780" i="7"/>
  <c r="T780" i="7"/>
  <c r="P780" i="7"/>
  <c r="L780" i="7"/>
  <c r="D780" i="7"/>
  <c r="E779" i="7"/>
  <c r="V778" i="7"/>
  <c r="R778" i="7"/>
  <c r="N778" i="7"/>
  <c r="F778" i="7"/>
  <c r="B778" i="7"/>
  <c r="W777" i="7"/>
  <c r="C777" i="7"/>
  <c r="X776" i="7"/>
  <c r="T776" i="7"/>
  <c r="P776" i="7"/>
  <c r="L776" i="7"/>
  <c r="D776" i="7"/>
  <c r="E775" i="7"/>
  <c r="V774" i="7"/>
  <c r="R774" i="7"/>
  <c r="N774" i="7"/>
  <c r="F774" i="7"/>
  <c r="B774" i="7"/>
  <c r="W773" i="7"/>
  <c r="C773" i="7"/>
  <c r="X772" i="7"/>
  <c r="T772" i="7"/>
  <c r="P772" i="7"/>
  <c r="L772" i="7"/>
  <c r="D772" i="7"/>
  <c r="E771" i="7"/>
  <c r="V770" i="7"/>
  <c r="R770" i="7"/>
  <c r="N770" i="7"/>
  <c r="F770" i="7"/>
  <c r="B770" i="7"/>
  <c r="W769" i="7"/>
  <c r="C769" i="7"/>
  <c r="X768" i="7"/>
  <c r="T768" i="7"/>
  <c r="P768" i="7"/>
  <c r="L768" i="7"/>
  <c r="D768" i="7"/>
  <c r="E767" i="7"/>
  <c r="V766" i="7"/>
  <c r="R766" i="7"/>
  <c r="N766" i="7"/>
  <c r="F766" i="7"/>
  <c r="B766" i="7"/>
  <c r="W765" i="7"/>
  <c r="C765" i="7"/>
  <c r="X764" i="7"/>
  <c r="T764" i="7"/>
  <c r="P764" i="7"/>
  <c r="L764" i="7"/>
  <c r="D764" i="7"/>
  <c r="E763" i="7"/>
  <c r="V762" i="7"/>
  <c r="R762" i="7"/>
  <c r="N762" i="7"/>
  <c r="F762" i="7"/>
  <c r="B762" i="7"/>
  <c r="W761" i="7"/>
  <c r="C761" i="7"/>
  <c r="X760" i="7"/>
  <c r="T760" i="7"/>
  <c r="P760" i="7"/>
  <c r="L760" i="7"/>
  <c r="D760" i="7"/>
  <c r="E759" i="7"/>
  <c r="V758" i="7"/>
  <c r="R758" i="7"/>
  <c r="N758" i="7"/>
  <c r="F758" i="7"/>
  <c r="B758" i="7"/>
  <c r="W757" i="7"/>
  <c r="C757" i="7"/>
  <c r="X756" i="7"/>
  <c r="T756" i="7"/>
  <c r="P756" i="7"/>
  <c r="L756" i="7"/>
  <c r="D756" i="7"/>
  <c r="E755" i="7"/>
  <c r="V754" i="7"/>
  <c r="R754" i="7"/>
  <c r="N754" i="7"/>
  <c r="F754" i="7"/>
  <c r="B754" i="7"/>
  <c r="W753" i="7"/>
  <c r="C753" i="7"/>
  <c r="X752" i="7"/>
  <c r="T752" i="7"/>
  <c r="P752" i="7"/>
  <c r="L752" i="7"/>
  <c r="D752" i="7"/>
  <c r="E751" i="7"/>
  <c r="V750" i="7"/>
  <c r="R750" i="7"/>
  <c r="N750" i="7"/>
  <c r="F750" i="7"/>
  <c r="B750" i="7"/>
  <c r="W749" i="7"/>
  <c r="C749" i="7"/>
  <c r="X748" i="7"/>
  <c r="T748" i="7"/>
  <c r="P748" i="7"/>
  <c r="L748" i="7"/>
  <c r="D748" i="7"/>
  <c r="E747" i="7"/>
  <c r="V746" i="7"/>
  <c r="R746" i="7"/>
  <c r="N746" i="7"/>
  <c r="F746" i="7"/>
  <c r="B746" i="7"/>
  <c r="W745" i="7"/>
  <c r="C745" i="7"/>
  <c r="X744" i="7"/>
  <c r="T744" i="7"/>
  <c r="P744" i="7"/>
  <c r="L744" i="7"/>
  <c r="D744" i="7"/>
  <c r="E743" i="7"/>
  <c r="V742" i="7"/>
  <c r="R742" i="7"/>
  <c r="N742" i="7"/>
  <c r="F742" i="7"/>
  <c r="B742" i="7"/>
  <c r="W741" i="7"/>
  <c r="C741" i="7"/>
  <c r="X740" i="7"/>
  <c r="T740" i="7"/>
  <c r="P740" i="7"/>
  <c r="L740" i="7"/>
  <c r="D740" i="7"/>
  <c r="E739" i="7"/>
  <c r="V738" i="7"/>
  <c r="R738" i="7"/>
  <c r="N738" i="7"/>
  <c r="F738" i="7"/>
  <c r="B738" i="7"/>
  <c r="W737" i="7"/>
  <c r="C737" i="7"/>
  <c r="X736" i="7"/>
  <c r="T736" i="7"/>
  <c r="P736" i="7"/>
  <c r="L736" i="7"/>
  <c r="D736" i="7"/>
  <c r="E735" i="7"/>
  <c r="V734" i="7"/>
  <c r="R734" i="7"/>
  <c r="N734" i="7"/>
  <c r="F734" i="7"/>
  <c r="B734" i="7"/>
  <c r="W733" i="7"/>
  <c r="C733" i="7"/>
  <c r="X732" i="7"/>
  <c r="T732" i="7"/>
  <c r="P732" i="7"/>
  <c r="L732" i="7"/>
  <c r="D732" i="7"/>
  <c r="E731" i="7"/>
  <c r="V730" i="7"/>
  <c r="R730" i="7"/>
  <c r="N730" i="7"/>
  <c r="F730" i="7"/>
  <c r="B730" i="7"/>
  <c r="W729" i="7"/>
  <c r="C729" i="7"/>
  <c r="X728" i="7"/>
  <c r="T728" i="7"/>
  <c r="P728" i="7"/>
  <c r="L728" i="7"/>
  <c r="D728" i="7"/>
  <c r="E727" i="7"/>
  <c r="V726" i="7"/>
  <c r="R726" i="7"/>
  <c r="N726" i="7"/>
  <c r="F726" i="7"/>
  <c r="B726" i="7"/>
  <c r="W725" i="7"/>
  <c r="C725" i="7"/>
  <c r="X724" i="7"/>
  <c r="T724" i="7"/>
  <c r="P724" i="7"/>
  <c r="L724" i="7"/>
  <c r="D724" i="7"/>
  <c r="E723" i="7"/>
  <c r="V722" i="7"/>
  <c r="R722" i="7"/>
  <c r="N722" i="7"/>
  <c r="F722" i="7"/>
  <c r="B722" i="7"/>
  <c r="W721" i="7"/>
  <c r="C721" i="7"/>
  <c r="X720" i="7"/>
  <c r="T720" i="7"/>
  <c r="P720" i="7"/>
  <c r="L720" i="7"/>
  <c r="D720" i="7"/>
  <c r="E719" i="7"/>
  <c r="V718" i="7"/>
  <c r="R718" i="7"/>
  <c r="N718" i="7"/>
  <c r="F718" i="7"/>
  <c r="B718" i="7"/>
  <c r="W717" i="7"/>
  <c r="C717" i="7"/>
  <c r="X716" i="7"/>
  <c r="T716" i="7"/>
  <c r="P716" i="7"/>
  <c r="L716" i="7"/>
  <c r="D716" i="7"/>
  <c r="E715" i="7"/>
  <c r="V714" i="7"/>
  <c r="R714" i="7"/>
  <c r="N714" i="7"/>
  <c r="F714" i="7"/>
  <c r="B714" i="7"/>
  <c r="W713" i="7"/>
  <c r="C713" i="7"/>
  <c r="X712" i="7"/>
  <c r="T712" i="7"/>
  <c r="P712" i="7"/>
  <c r="L712" i="7"/>
  <c r="D712" i="7"/>
  <c r="E711" i="7"/>
  <c r="V710" i="7"/>
  <c r="R710" i="7"/>
  <c r="N710" i="7"/>
  <c r="F710" i="7"/>
  <c r="B710" i="7"/>
  <c r="W709" i="7"/>
  <c r="C709" i="7"/>
  <c r="X708" i="7"/>
  <c r="T708" i="7"/>
  <c r="P708" i="7"/>
  <c r="L708" i="7"/>
  <c r="D708" i="7"/>
  <c r="E707" i="7"/>
  <c r="V706" i="7"/>
  <c r="R706" i="7"/>
  <c r="N706" i="7"/>
  <c r="F706" i="7"/>
  <c r="B706" i="7"/>
  <c r="W705" i="7"/>
  <c r="C705" i="7"/>
  <c r="X704" i="7"/>
  <c r="T704" i="7"/>
  <c r="P704" i="7"/>
  <c r="L704" i="7"/>
  <c r="D704" i="7"/>
  <c r="E703" i="7"/>
  <c r="V702" i="7"/>
  <c r="R702" i="7"/>
  <c r="N702" i="7"/>
  <c r="F702" i="7"/>
  <c r="B702" i="7"/>
  <c r="W701" i="7"/>
  <c r="C701" i="7"/>
  <c r="X700" i="7"/>
  <c r="T700" i="7"/>
  <c r="P700" i="7"/>
  <c r="L700" i="7"/>
  <c r="D700" i="7"/>
  <c r="E699" i="7"/>
  <c r="V698" i="7"/>
  <c r="R698" i="7"/>
  <c r="N698" i="7"/>
  <c r="F698" i="7"/>
  <c r="B698" i="7"/>
  <c r="W697" i="7"/>
  <c r="C697" i="7"/>
  <c r="X696" i="7"/>
  <c r="T696" i="7"/>
  <c r="P696" i="7"/>
  <c r="L696" i="7"/>
  <c r="D696" i="7"/>
  <c r="E695" i="7"/>
  <c r="V694" i="7"/>
  <c r="R694" i="7"/>
  <c r="N694" i="7"/>
  <c r="F694" i="7"/>
  <c r="B694" i="7"/>
  <c r="W693" i="7"/>
  <c r="C693" i="7"/>
  <c r="X692" i="7"/>
  <c r="T692" i="7"/>
  <c r="P692" i="7"/>
  <c r="L692" i="7"/>
  <c r="D692" i="7"/>
  <c r="E691" i="7"/>
  <c r="V690" i="7"/>
  <c r="R690" i="7"/>
  <c r="N690" i="7"/>
  <c r="F690" i="7"/>
  <c r="B690" i="7"/>
  <c r="W689" i="7"/>
  <c r="C689" i="7"/>
  <c r="X688" i="7"/>
  <c r="T688" i="7"/>
  <c r="P688" i="7"/>
  <c r="L688" i="7"/>
  <c r="D688" i="7"/>
  <c r="E687" i="7"/>
  <c r="V686" i="7"/>
  <c r="R686" i="7"/>
  <c r="N686" i="7"/>
  <c r="F686" i="7"/>
  <c r="B686" i="7"/>
  <c r="W685" i="7"/>
  <c r="C685" i="7"/>
  <c r="X684" i="7"/>
  <c r="T684" i="7"/>
  <c r="P684" i="7"/>
  <c r="L684" i="7"/>
  <c r="D684" i="7"/>
  <c r="E683" i="7"/>
  <c r="V682" i="7"/>
  <c r="R682" i="7"/>
  <c r="N682" i="7"/>
  <c r="F682" i="7"/>
  <c r="B682" i="7"/>
  <c r="W681" i="7"/>
  <c r="C681" i="7"/>
  <c r="X680" i="7"/>
  <c r="T680" i="7"/>
  <c r="P680" i="7"/>
  <c r="L680" i="7"/>
  <c r="D680" i="7"/>
  <c r="E679" i="7"/>
  <c r="V678" i="7"/>
  <c r="R678" i="7"/>
  <c r="N678" i="7"/>
  <c r="F678" i="7"/>
  <c r="B678" i="7"/>
  <c r="W677" i="7"/>
  <c r="C677" i="7"/>
  <c r="X676" i="7"/>
  <c r="T676" i="7"/>
  <c r="P676" i="7"/>
  <c r="L676" i="7"/>
  <c r="D676" i="7"/>
  <c r="E675" i="7"/>
  <c r="V674" i="7"/>
  <c r="R674" i="7"/>
  <c r="N674" i="7"/>
  <c r="F674" i="7"/>
  <c r="B674" i="7"/>
  <c r="W673" i="7"/>
  <c r="C673" i="7"/>
  <c r="X672" i="7"/>
  <c r="T672" i="7"/>
  <c r="P672" i="7"/>
  <c r="L672" i="7"/>
  <c r="D672" i="7"/>
  <c r="E671" i="7"/>
  <c r="V670" i="7"/>
  <c r="R670" i="7"/>
  <c r="N670" i="7"/>
  <c r="F670" i="7"/>
  <c r="B670" i="7"/>
  <c r="W669" i="7"/>
  <c r="C669" i="7"/>
  <c r="X668" i="7"/>
  <c r="T668" i="7"/>
  <c r="P668" i="7"/>
  <c r="L668" i="7"/>
  <c r="D668" i="7"/>
  <c r="E667" i="7"/>
  <c r="V666" i="7"/>
  <c r="R666" i="7"/>
  <c r="N666" i="7"/>
  <c r="F666" i="7"/>
  <c r="B666" i="7"/>
  <c r="W665" i="7"/>
  <c r="C665" i="7"/>
  <c r="X664" i="7"/>
  <c r="T664" i="7"/>
  <c r="P664" i="7"/>
  <c r="L664" i="7"/>
  <c r="D664" i="7"/>
  <c r="E663" i="7"/>
  <c r="V662" i="7"/>
  <c r="R662" i="7"/>
  <c r="N662" i="7"/>
  <c r="F662" i="7"/>
  <c r="B662" i="7"/>
  <c r="W661" i="7"/>
  <c r="C661" i="7"/>
  <c r="X660" i="7"/>
  <c r="T660" i="7"/>
  <c r="P660" i="7"/>
  <c r="L660" i="7"/>
  <c r="D660" i="7"/>
  <c r="E659" i="7"/>
  <c r="V658" i="7"/>
  <c r="R658" i="7"/>
  <c r="N658" i="7"/>
  <c r="F658" i="7"/>
  <c r="B658" i="7"/>
  <c r="W657" i="7"/>
  <c r="C657" i="7"/>
  <c r="X656" i="7"/>
  <c r="T656" i="7"/>
  <c r="P656" i="7"/>
  <c r="L656" i="7"/>
  <c r="D656" i="7"/>
  <c r="E655" i="7"/>
  <c r="V654" i="7"/>
  <c r="R654" i="7"/>
  <c r="N654" i="7"/>
  <c r="F654" i="7"/>
  <c r="B654" i="7"/>
  <c r="W653" i="7"/>
  <c r="C653" i="7"/>
  <c r="X652" i="7"/>
  <c r="T652" i="7"/>
  <c r="P652" i="7"/>
  <c r="L652" i="7"/>
  <c r="D652" i="7"/>
  <c r="E651" i="7"/>
  <c r="V650" i="7"/>
  <c r="R650" i="7"/>
  <c r="N650" i="7"/>
  <c r="F650" i="7"/>
  <c r="B650" i="7"/>
  <c r="W649" i="7"/>
  <c r="C649" i="7"/>
  <c r="X648" i="7"/>
  <c r="T648" i="7"/>
  <c r="P648" i="7"/>
  <c r="L648" i="7"/>
  <c r="D648" i="7"/>
  <c r="E647" i="7"/>
  <c r="V646" i="7"/>
  <c r="R646" i="7"/>
  <c r="N646" i="7"/>
  <c r="F646" i="7"/>
  <c r="B646" i="7"/>
  <c r="W645" i="7"/>
  <c r="C645" i="7"/>
  <c r="X644" i="7"/>
  <c r="T644" i="7"/>
  <c r="P644" i="7"/>
  <c r="L644" i="7"/>
  <c r="D644" i="7"/>
  <c r="E643" i="7"/>
  <c r="V642" i="7"/>
  <c r="R642" i="7"/>
  <c r="N642" i="7"/>
  <c r="F642" i="7"/>
  <c r="B642" i="7"/>
  <c r="W641" i="7"/>
  <c r="C641" i="7"/>
  <c r="X640" i="7"/>
  <c r="T640" i="7"/>
  <c r="P640" i="7"/>
  <c r="L640" i="7"/>
  <c r="D640" i="7"/>
  <c r="E639" i="7"/>
  <c r="V638" i="7"/>
  <c r="R638" i="7"/>
  <c r="N638" i="7"/>
  <c r="F638" i="7"/>
  <c r="B638" i="7"/>
  <c r="W637" i="7"/>
  <c r="C637" i="7"/>
  <c r="X636" i="7"/>
  <c r="T636" i="7"/>
  <c r="P636" i="7"/>
  <c r="L636" i="7"/>
  <c r="D636" i="7"/>
  <c r="E635" i="7"/>
  <c r="V634" i="7"/>
  <c r="R634" i="7"/>
  <c r="N634" i="7"/>
  <c r="F634" i="7"/>
  <c r="B634" i="7"/>
  <c r="W633" i="7"/>
  <c r="C633" i="7"/>
  <c r="X632" i="7"/>
  <c r="T632" i="7"/>
  <c r="P632" i="7"/>
  <c r="L632" i="7"/>
  <c r="D632" i="7"/>
  <c r="E631" i="7"/>
  <c r="V630" i="7"/>
  <c r="R630" i="7"/>
  <c r="N630" i="7"/>
  <c r="F630" i="7"/>
  <c r="B630" i="7"/>
  <c r="W629" i="7"/>
  <c r="C629" i="7"/>
  <c r="X628" i="7"/>
  <c r="T628" i="7"/>
  <c r="P628" i="7"/>
  <c r="L628" i="7"/>
  <c r="D628" i="7"/>
  <c r="E627" i="7"/>
  <c r="V626" i="7"/>
  <c r="R626" i="7"/>
  <c r="N626" i="7"/>
  <c r="F626" i="7"/>
  <c r="B626" i="7"/>
  <c r="W625" i="7"/>
  <c r="C625" i="7"/>
  <c r="X624" i="7"/>
  <c r="T624" i="7"/>
  <c r="P624" i="7"/>
  <c r="L624" i="7"/>
  <c r="D624" i="7"/>
  <c r="E623" i="7"/>
  <c r="V622" i="7"/>
  <c r="R622" i="7"/>
  <c r="N622" i="7"/>
  <c r="F622" i="7"/>
  <c r="B622" i="7"/>
  <c r="W621" i="7"/>
  <c r="C621" i="7"/>
  <c r="X620" i="7"/>
  <c r="T620" i="7"/>
  <c r="P620" i="7"/>
  <c r="L620" i="7"/>
  <c r="D620" i="7"/>
  <c r="E619" i="7"/>
  <c r="V618" i="7"/>
  <c r="R618" i="7"/>
  <c r="N618" i="7"/>
  <c r="F618" i="7"/>
  <c r="B618" i="7"/>
  <c r="W617" i="7"/>
  <c r="C617" i="7"/>
  <c r="X616" i="7"/>
  <c r="T616" i="7"/>
  <c r="P616" i="7"/>
  <c r="L616" i="7"/>
  <c r="D616" i="7"/>
  <c r="E615" i="7"/>
  <c r="V614" i="7"/>
  <c r="R614" i="7"/>
  <c r="N614" i="7"/>
  <c r="F614" i="7"/>
  <c r="B614" i="7"/>
  <c r="W613" i="7"/>
  <c r="C613" i="7"/>
  <c r="X612" i="7"/>
  <c r="T612" i="7"/>
  <c r="P612" i="7"/>
  <c r="L612" i="7"/>
  <c r="D612" i="7"/>
  <c r="E611" i="7"/>
  <c r="V610" i="7"/>
  <c r="R610" i="7"/>
  <c r="N610" i="7"/>
  <c r="F610" i="7"/>
  <c r="B610" i="7"/>
  <c r="W609" i="7"/>
  <c r="C609" i="7"/>
  <c r="X608" i="7"/>
  <c r="T608" i="7"/>
  <c r="P608" i="7"/>
  <c r="L608" i="7"/>
  <c r="D608" i="7"/>
  <c r="E607" i="7"/>
  <c r="V606" i="7"/>
  <c r="R606" i="7"/>
  <c r="N606" i="7"/>
  <c r="F606" i="7"/>
  <c r="B606" i="7"/>
  <c r="W605" i="7"/>
  <c r="C605" i="7"/>
  <c r="X604" i="7"/>
  <c r="T604" i="7"/>
  <c r="P604" i="7"/>
  <c r="L604" i="7"/>
  <c r="D604" i="7"/>
  <c r="E603" i="7"/>
  <c r="V602" i="7"/>
  <c r="R602" i="7"/>
  <c r="N602" i="7"/>
  <c r="F602" i="7"/>
  <c r="B602" i="7"/>
  <c r="W601" i="7"/>
  <c r="C601" i="7"/>
  <c r="X600" i="7"/>
  <c r="T600" i="7"/>
  <c r="P600" i="7"/>
  <c r="L600" i="7"/>
  <c r="D600" i="7"/>
  <c r="E599" i="7"/>
  <c r="V598" i="7"/>
  <c r="R598" i="7"/>
  <c r="N598" i="7"/>
  <c r="F598" i="7"/>
  <c r="B598" i="7"/>
  <c r="W597" i="7"/>
  <c r="C597" i="7"/>
  <c r="X596" i="7"/>
  <c r="T596" i="7"/>
  <c r="P596" i="7"/>
  <c r="L596" i="7"/>
  <c r="D596" i="7"/>
  <c r="E595" i="7"/>
  <c r="V594" i="7"/>
  <c r="R594" i="7"/>
  <c r="N594" i="7"/>
  <c r="F594" i="7"/>
  <c r="B594" i="7"/>
  <c r="W593" i="7"/>
  <c r="C593" i="7"/>
  <c r="X592" i="7"/>
  <c r="T592" i="7"/>
  <c r="P592" i="7"/>
  <c r="L592" i="7"/>
  <c r="D592" i="7"/>
  <c r="E591" i="7"/>
  <c r="V590" i="7"/>
  <c r="R590" i="7"/>
  <c r="N590" i="7"/>
  <c r="F590" i="7"/>
  <c r="B590" i="7"/>
  <c r="W589" i="7"/>
  <c r="C589" i="7"/>
  <c r="X588" i="7"/>
  <c r="T588" i="7"/>
  <c r="P588" i="7"/>
  <c r="L588" i="7"/>
  <c r="D588" i="7"/>
  <c r="E587" i="7"/>
  <c r="V586" i="7"/>
  <c r="R586" i="7"/>
  <c r="N586" i="7"/>
  <c r="F586" i="7"/>
  <c r="B586" i="7"/>
  <c r="W585" i="7"/>
  <c r="C585" i="7"/>
  <c r="X584" i="7"/>
  <c r="T584" i="7"/>
  <c r="P584" i="7"/>
  <c r="L584" i="7"/>
  <c r="D584" i="7"/>
  <c r="E583" i="7"/>
  <c r="V582" i="7"/>
  <c r="R582" i="7"/>
  <c r="N582" i="7"/>
  <c r="F582" i="7"/>
  <c r="B582" i="7"/>
  <c r="W581" i="7"/>
  <c r="C581" i="7"/>
  <c r="X580" i="7"/>
  <c r="T580" i="7"/>
  <c r="P580" i="7"/>
  <c r="L580" i="7"/>
  <c r="D580" i="7"/>
  <c r="E579" i="7"/>
  <c r="V578" i="7"/>
  <c r="R578" i="7"/>
  <c r="N578" i="7"/>
  <c r="F578" i="7"/>
  <c r="B578" i="7"/>
  <c r="W577" i="7"/>
  <c r="C577" i="7"/>
  <c r="X576" i="7"/>
  <c r="T576" i="7"/>
  <c r="P576" i="7"/>
  <c r="L576" i="7"/>
  <c r="D576" i="7"/>
  <c r="E575" i="7"/>
  <c r="V574" i="7"/>
  <c r="R574" i="7"/>
  <c r="N574" i="7"/>
  <c r="F574" i="7"/>
  <c r="B574" i="7"/>
  <c r="W573" i="7"/>
  <c r="C573" i="7"/>
  <c r="X572" i="7"/>
  <c r="T572" i="7"/>
  <c r="P572" i="7"/>
  <c r="L572" i="7"/>
  <c r="D572" i="7"/>
  <c r="E571" i="7"/>
  <c r="V570" i="7"/>
  <c r="R570" i="7"/>
  <c r="N570" i="7"/>
  <c r="F570" i="7"/>
  <c r="B570" i="7"/>
  <c r="W569" i="7"/>
  <c r="C569" i="7"/>
  <c r="X568" i="7"/>
  <c r="T568" i="7"/>
  <c r="P568" i="7"/>
  <c r="L568" i="7"/>
  <c r="D568" i="7"/>
  <c r="E567" i="7"/>
  <c r="C927" i="7"/>
  <c r="T926" i="7"/>
  <c r="L926" i="7"/>
  <c r="F924" i="7"/>
  <c r="W923" i="7"/>
  <c r="C923" i="7"/>
  <c r="T922" i="7"/>
  <c r="L922" i="7"/>
  <c r="F920" i="7"/>
  <c r="W919" i="7"/>
  <c r="C919" i="7"/>
  <c r="T918" i="7"/>
  <c r="L918" i="7"/>
  <c r="R917" i="7"/>
  <c r="E917" i="7"/>
  <c r="N916" i="7"/>
  <c r="E916" i="7"/>
  <c r="X915" i="7"/>
  <c r="N915" i="7"/>
  <c r="D915" i="7"/>
  <c r="X914" i="7"/>
  <c r="D914" i="7"/>
  <c r="X913" i="7"/>
  <c r="R913" i="7"/>
  <c r="E913" i="7"/>
  <c r="N912" i="7"/>
  <c r="E912" i="7"/>
  <c r="X911" i="7"/>
  <c r="N911" i="7"/>
  <c r="D911" i="7"/>
  <c r="X910" i="7"/>
  <c r="D910" i="7"/>
  <c r="X909" i="7"/>
  <c r="R909" i="7"/>
  <c r="E909" i="7"/>
  <c r="N908" i="7"/>
  <c r="E908" i="7"/>
  <c r="X907" i="7"/>
  <c r="N907" i="7"/>
  <c r="D907" i="7"/>
  <c r="X906" i="7"/>
  <c r="D906" i="7"/>
  <c r="X905" i="7"/>
  <c r="R905" i="7"/>
  <c r="E905" i="7"/>
  <c r="N904" i="7"/>
  <c r="E904" i="7"/>
  <c r="X903" i="7"/>
  <c r="N903" i="7"/>
  <c r="D903" i="7"/>
  <c r="X902" i="7"/>
  <c r="D902" i="7"/>
  <c r="X901" i="7"/>
  <c r="R901" i="7"/>
  <c r="E901" i="7"/>
  <c r="N900" i="7"/>
  <c r="E900" i="7"/>
  <c r="X899" i="7"/>
  <c r="N899" i="7"/>
  <c r="D899" i="7"/>
  <c r="X898" i="7"/>
  <c r="D898" i="7"/>
  <c r="X897" i="7"/>
  <c r="R897" i="7"/>
  <c r="E897" i="7"/>
  <c r="N896" i="7"/>
  <c r="E896" i="7"/>
  <c r="X895" i="7"/>
  <c r="N895" i="7"/>
  <c r="D895" i="7"/>
  <c r="X894" i="7"/>
  <c r="D894" i="7"/>
  <c r="X893" i="7"/>
  <c r="R893" i="7"/>
  <c r="E893" i="7"/>
  <c r="N892" i="7"/>
  <c r="E892" i="7"/>
  <c r="X891" i="7"/>
  <c r="N891" i="7"/>
  <c r="D891" i="7"/>
  <c r="X890" i="7"/>
  <c r="D890" i="7"/>
  <c r="X889" i="7"/>
  <c r="R889" i="7"/>
  <c r="E889" i="7"/>
  <c r="N888" i="7"/>
  <c r="E888" i="7"/>
  <c r="X887" i="7"/>
  <c r="N887" i="7"/>
  <c r="D887" i="7"/>
  <c r="X886" i="7"/>
  <c r="D886" i="7"/>
  <c r="X885" i="7"/>
  <c r="R885" i="7"/>
  <c r="E885" i="7"/>
  <c r="N884" i="7"/>
  <c r="E884" i="7"/>
  <c r="X883" i="7"/>
  <c r="N883" i="7"/>
  <c r="D883" i="7"/>
  <c r="X882" i="7"/>
  <c r="D882" i="7"/>
  <c r="X881" i="7"/>
  <c r="R881" i="7"/>
  <c r="E881" i="7"/>
  <c r="N880" i="7"/>
  <c r="E880" i="7"/>
  <c r="X879" i="7"/>
  <c r="N879" i="7"/>
  <c r="D879" i="7"/>
  <c r="X878" i="7"/>
  <c r="D878" i="7"/>
  <c r="X877" i="7"/>
  <c r="R877" i="7"/>
  <c r="E877" i="7"/>
  <c r="N876" i="7"/>
  <c r="E876" i="7"/>
  <c r="X875" i="7"/>
  <c r="N875" i="7"/>
  <c r="D875" i="7"/>
  <c r="X874" i="7"/>
  <c r="D874" i="7"/>
  <c r="X873" i="7"/>
  <c r="R873" i="7"/>
  <c r="E873" i="7"/>
  <c r="N872" i="7"/>
  <c r="E872" i="7"/>
  <c r="X871" i="7"/>
  <c r="N871" i="7"/>
  <c r="D871" i="7"/>
  <c r="X870" i="7"/>
  <c r="D870" i="7"/>
  <c r="X869" i="7"/>
  <c r="R869" i="7"/>
  <c r="N869" i="7"/>
  <c r="F869" i="7"/>
  <c r="B869" i="7"/>
  <c r="W868" i="7"/>
  <c r="C868" i="7"/>
  <c r="X867" i="7"/>
  <c r="T867" i="7"/>
  <c r="P867" i="7"/>
  <c r="L867" i="7"/>
  <c r="D867" i="7"/>
  <c r="E866" i="7"/>
  <c r="V865" i="7"/>
  <c r="R865" i="7"/>
  <c r="N865" i="7"/>
  <c r="F865" i="7"/>
  <c r="B865" i="7"/>
  <c r="W864" i="7"/>
  <c r="C864" i="7"/>
  <c r="X863" i="7"/>
  <c r="T863" i="7"/>
  <c r="P863" i="7"/>
  <c r="L863" i="7"/>
  <c r="D863" i="7"/>
  <c r="E862" i="7"/>
  <c r="V861" i="7"/>
  <c r="R861" i="7"/>
  <c r="N861" i="7"/>
  <c r="F861" i="7"/>
  <c r="B861" i="7"/>
  <c r="W860" i="7"/>
  <c r="C860" i="7"/>
  <c r="X859" i="7"/>
  <c r="T859" i="7"/>
  <c r="P859" i="7"/>
  <c r="L859" i="7"/>
  <c r="D859" i="7"/>
  <c r="E858" i="7"/>
  <c r="V857" i="7"/>
  <c r="R857" i="7"/>
  <c r="N857" i="7"/>
  <c r="F857" i="7"/>
  <c r="B857" i="7"/>
  <c r="W856" i="7"/>
  <c r="C856" i="7"/>
  <c r="X855" i="7"/>
  <c r="T855" i="7"/>
  <c r="P855" i="7"/>
  <c r="L855" i="7"/>
  <c r="D855" i="7"/>
  <c r="E854" i="7"/>
  <c r="V853" i="7"/>
  <c r="R853" i="7"/>
  <c r="N853" i="7"/>
  <c r="F853" i="7"/>
  <c r="B853" i="7"/>
  <c r="W852" i="7"/>
  <c r="C852" i="7"/>
  <c r="X851" i="7"/>
  <c r="T851" i="7"/>
  <c r="P851" i="7"/>
  <c r="L851" i="7"/>
  <c r="D851" i="7"/>
  <c r="E850" i="7"/>
  <c r="V849" i="7"/>
  <c r="R849" i="7"/>
  <c r="N849" i="7"/>
  <c r="F849" i="7"/>
  <c r="B849" i="7"/>
  <c r="W848" i="7"/>
  <c r="C848" i="7"/>
  <c r="X847" i="7"/>
  <c r="T847" i="7"/>
  <c r="P847" i="7"/>
  <c r="L847" i="7"/>
  <c r="D847" i="7"/>
  <c r="E846" i="7"/>
  <c r="V845" i="7"/>
  <c r="R845" i="7"/>
  <c r="N845" i="7"/>
  <c r="F845" i="7"/>
  <c r="B845" i="7"/>
  <c r="W844" i="7"/>
  <c r="C844" i="7"/>
  <c r="X843" i="7"/>
  <c r="T843" i="7"/>
  <c r="P843" i="7"/>
  <c r="L843" i="7"/>
  <c r="D843" i="7"/>
  <c r="E842" i="7"/>
  <c r="V841" i="7"/>
  <c r="R841" i="7"/>
  <c r="N841" i="7"/>
  <c r="F841" i="7"/>
  <c r="B841" i="7"/>
  <c r="W840" i="7"/>
  <c r="C840" i="7"/>
  <c r="X839" i="7"/>
  <c r="T839" i="7"/>
  <c r="P839" i="7"/>
  <c r="L839" i="7"/>
  <c r="D839" i="7"/>
  <c r="E838" i="7"/>
  <c r="V837" i="7"/>
  <c r="R837" i="7"/>
  <c r="N837" i="7"/>
  <c r="F837" i="7"/>
  <c r="B837" i="7"/>
  <c r="W836" i="7"/>
  <c r="C836" i="7"/>
  <c r="X835" i="7"/>
  <c r="T835" i="7"/>
  <c r="P835" i="7"/>
  <c r="L835" i="7"/>
  <c r="D835" i="7"/>
  <c r="E834" i="7"/>
  <c r="V833" i="7"/>
  <c r="R833" i="7"/>
  <c r="N833" i="7"/>
  <c r="F833" i="7"/>
  <c r="B833" i="7"/>
  <c r="W832" i="7"/>
  <c r="C832" i="7"/>
  <c r="X831" i="7"/>
  <c r="T831" i="7"/>
  <c r="P831" i="7"/>
  <c r="L831" i="7"/>
  <c r="D831" i="7"/>
  <c r="E830" i="7"/>
  <c r="V829" i="7"/>
  <c r="R829" i="7"/>
  <c r="N829" i="7"/>
  <c r="F829" i="7"/>
  <c r="B829" i="7"/>
  <c r="W828" i="7"/>
  <c r="C828" i="7"/>
  <c r="X827" i="7"/>
  <c r="T827" i="7"/>
  <c r="P827" i="7"/>
  <c r="L827" i="7"/>
  <c r="D827" i="7"/>
  <c r="E826" i="7"/>
  <c r="V825" i="7"/>
  <c r="R825" i="7"/>
  <c r="N825" i="7"/>
  <c r="F825" i="7"/>
  <c r="B825" i="7"/>
  <c r="W824" i="7"/>
  <c r="C824" i="7"/>
  <c r="X823" i="7"/>
  <c r="T823" i="7"/>
  <c r="P823" i="7"/>
  <c r="L823" i="7"/>
  <c r="D823" i="7"/>
  <c r="E822" i="7"/>
  <c r="V821" i="7"/>
  <c r="R821" i="7"/>
  <c r="N821" i="7"/>
  <c r="F821" i="7"/>
  <c r="B821" i="7"/>
  <c r="W820" i="7"/>
  <c r="C820" i="7"/>
  <c r="X819" i="7"/>
  <c r="T819" i="7"/>
  <c r="P819" i="7"/>
  <c r="L819" i="7"/>
  <c r="D819" i="7"/>
  <c r="E818" i="7"/>
  <c r="V817" i="7"/>
  <c r="R817" i="7"/>
  <c r="N817" i="7"/>
  <c r="F817" i="7"/>
  <c r="B817" i="7"/>
  <c r="W816" i="7"/>
  <c r="C816" i="7"/>
  <c r="X815" i="7"/>
  <c r="T815" i="7"/>
  <c r="P815" i="7"/>
  <c r="L815" i="7"/>
  <c r="D815" i="7"/>
  <c r="E814" i="7"/>
  <c r="V813" i="7"/>
  <c r="R813" i="7"/>
  <c r="N813" i="7"/>
  <c r="F813" i="7"/>
  <c r="B813" i="7"/>
  <c r="W812" i="7"/>
  <c r="C812" i="7"/>
  <c r="X811" i="7"/>
  <c r="T811" i="7"/>
  <c r="P811" i="7"/>
  <c r="L811" i="7"/>
  <c r="D811" i="7"/>
  <c r="E810" i="7"/>
  <c r="V809" i="7"/>
  <c r="R809" i="7"/>
  <c r="N809" i="7"/>
  <c r="F809" i="7"/>
  <c r="B809" i="7"/>
  <c r="W808" i="7"/>
  <c r="C808" i="7"/>
  <c r="X807" i="7"/>
  <c r="T807" i="7"/>
  <c r="P807" i="7"/>
  <c r="L807" i="7"/>
  <c r="D807" i="7"/>
  <c r="E806" i="7"/>
  <c r="V805" i="7"/>
  <c r="R805" i="7"/>
  <c r="N805" i="7"/>
  <c r="F805" i="7"/>
  <c r="B805" i="7"/>
  <c r="W804" i="7"/>
  <c r="C804" i="7"/>
  <c r="X803" i="7"/>
  <c r="T803" i="7"/>
  <c r="P803" i="7"/>
  <c r="L803" i="7"/>
  <c r="D803" i="7"/>
  <c r="E802" i="7"/>
  <c r="V801" i="7"/>
  <c r="R801" i="7"/>
  <c r="N801" i="7"/>
  <c r="F801" i="7"/>
  <c r="B801" i="7"/>
  <c r="W800" i="7"/>
  <c r="C800" i="7"/>
  <c r="X799" i="7"/>
  <c r="T799" i="7"/>
  <c r="P799" i="7"/>
  <c r="L799" i="7"/>
  <c r="D799" i="7"/>
  <c r="E798" i="7"/>
  <c r="V797" i="7"/>
  <c r="R797" i="7"/>
  <c r="N797" i="7"/>
  <c r="F797" i="7"/>
  <c r="B797" i="7"/>
  <c r="W796" i="7"/>
  <c r="C796" i="7"/>
  <c r="X795" i="7"/>
  <c r="T795" i="7"/>
  <c r="P795" i="7"/>
  <c r="L795" i="7"/>
  <c r="D795" i="7"/>
  <c r="E794" i="7"/>
  <c r="V793" i="7"/>
  <c r="R793" i="7"/>
  <c r="N793" i="7"/>
  <c r="F793" i="7"/>
  <c r="B793" i="7"/>
  <c r="W792" i="7"/>
  <c r="C792" i="7"/>
  <c r="X791" i="7"/>
  <c r="T791" i="7"/>
  <c r="P791" i="7"/>
  <c r="L791" i="7"/>
  <c r="D791" i="7"/>
  <c r="E790" i="7"/>
  <c r="V789" i="7"/>
  <c r="R789" i="7"/>
  <c r="N789" i="7"/>
  <c r="F789" i="7"/>
  <c r="B789" i="7"/>
  <c r="W788" i="7"/>
  <c r="C788" i="7"/>
  <c r="X787" i="7"/>
  <c r="T787" i="7"/>
  <c r="P787" i="7"/>
  <c r="L787" i="7"/>
  <c r="D787" i="7"/>
  <c r="E786" i="7"/>
  <c r="V785" i="7"/>
  <c r="R785" i="7"/>
  <c r="N785" i="7"/>
  <c r="F785" i="7"/>
  <c r="B785" i="7"/>
  <c r="W784" i="7"/>
  <c r="C784" i="7"/>
  <c r="X783" i="7"/>
  <c r="T783" i="7"/>
  <c r="P783" i="7"/>
  <c r="L783" i="7"/>
  <c r="D783" i="7"/>
  <c r="E782" i="7"/>
  <c r="V781" i="7"/>
  <c r="R781" i="7"/>
  <c r="N781" i="7"/>
  <c r="F781" i="7"/>
  <c r="B781" i="7"/>
  <c r="W780" i="7"/>
  <c r="C780" i="7"/>
  <c r="X779" i="7"/>
  <c r="T779" i="7"/>
  <c r="P779" i="7"/>
  <c r="L779" i="7"/>
  <c r="D779" i="7"/>
  <c r="E778" i="7"/>
  <c r="V777" i="7"/>
  <c r="R777" i="7"/>
  <c r="N777" i="7"/>
  <c r="F777" i="7"/>
  <c r="B777" i="7"/>
  <c r="W776" i="7"/>
  <c r="C776" i="7"/>
  <c r="X775" i="7"/>
  <c r="T775" i="7"/>
  <c r="P775" i="7"/>
  <c r="L775" i="7"/>
  <c r="D775" i="7"/>
  <c r="E774" i="7"/>
  <c r="V773" i="7"/>
  <c r="R773" i="7"/>
  <c r="N773" i="7"/>
  <c r="F773" i="7"/>
  <c r="B773" i="7"/>
  <c r="W772" i="7"/>
  <c r="C772" i="7"/>
  <c r="X771" i="7"/>
  <c r="T771" i="7"/>
  <c r="P771" i="7"/>
  <c r="L771" i="7"/>
  <c r="D771" i="7"/>
  <c r="E770" i="7"/>
  <c r="V769" i="7"/>
  <c r="R769" i="7"/>
  <c r="N769" i="7"/>
  <c r="F769" i="7"/>
  <c r="B769" i="7"/>
  <c r="W768" i="7"/>
  <c r="C768" i="7"/>
  <c r="X767" i="7"/>
  <c r="T767" i="7"/>
  <c r="P767" i="7"/>
  <c r="L767" i="7"/>
  <c r="D767" i="7"/>
  <c r="E766" i="7"/>
  <c r="V765" i="7"/>
  <c r="R765" i="7"/>
  <c r="N765" i="7"/>
  <c r="F765" i="7"/>
  <c r="B765" i="7"/>
  <c r="W764" i="7"/>
  <c r="C764" i="7"/>
  <c r="X763" i="7"/>
  <c r="T763" i="7"/>
  <c r="P763" i="7"/>
  <c r="L763" i="7"/>
  <c r="D763" i="7"/>
  <c r="E762" i="7"/>
  <c r="V761" i="7"/>
  <c r="R761" i="7"/>
  <c r="N761" i="7"/>
  <c r="F761" i="7"/>
  <c r="B761" i="7"/>
  <c r="W760" i="7"/>
  <c r="C760" i="7"/>
  <c r="X759" i="7"/>
  <c r="T759" i="7"/>
  <c r="P759" i="7"/>
  <c r="L759" i="7"/>
  <c r="D759" i="7"/>
  <c r="E758" i="7"/>
  <c r="V757" i="7"/>
  <c r="R757" i="7"/>
  <c r="N757" i="7"/>
  <c r="F757" i="7"/>
  <c r="B757" i="7"/>
  <c r="W756" i="7"/>
  <c r="C756" i="7"/>
  <c r="X755" i="7"/>
  <c r="T755" i="7"/>
  <c r="P755" i="7"/>
  <c r="L755" i="7"/>
  <c r="D755" i="7"/>
  <c r="E754" i="7"/>
  <c r="V753" i="7"/>
  <c r="R753" i="7"/>
  <c r="N753" i="7"/>
  <c r="F753" i="7"/>
  <c r="B753" i="7"/>
  <c r="W752" i="7"/>
  <c r="C752" i="7"/>
  <c r="X751" i="7"/>
  <c r="T751" i="7"/>
  <c r="P751" i="7"/>
  <c r="L751" i="7"/>
  <c r="D751" i="7"/>
  <c r="E750" i="7"/>
  <c r="V749" i="7"/>
  <c r="R749" i="7"/>
  <c r="N749" i="7"/>
  <c r="F749" i="7"/>
  <c r="B749" i="7"/>
  <c r="W748" i="7"/>
  <c r="C748" i="7"/>
  <c r="X747" i="7"/>
  <c r="T747" i="7"/>
  <c r="P747" i="7"/>
  <c r="L747" i="7"/>
  <c r="D747" i="7"/>
  <c r="E746" i="7"/>
  <c r="V745" i="7"/>
  <c r="R745" i="7"/>
  <c r="N745" i="7"/>
  <c r="F745" i="7"/>
  <c r="B745" i="7"/>
  <c r="W744" i="7"/>
  <c r="C744" i="7"/>
  <c r="X743" i="7"/>
  <c r="T743" i="7"/>
  <c r="P743" i="7"/>
  <c r="L743" i="7"/>
  <c r="D743" i="7"/>
  <c r="E742" i="7"/>
  <c r="V741" i="7"/>
  <c r="R741" i="7"/>
  <c r="N741" i="7"/>
  <c r="F741" i="7"/>
  <c r="B741" i="7"/>
  <c r="W740" i="7"/>
  <c r="C740" i="7"/>
  <c r="X739" i="7"/>
  <c r="T739" i="7"/>
  <c r="P739" i="7"/>
  <c r="L739" i="7"/>
  <c r="D739" i="7"/>
  <c r="E738" i="7"/>
  <c r="V737" i="7"/>
  <c r="R737" i="7"/>
  <c r="N737" i="7"/>
  <c r="F737" i="7"/>
  <c r="B737" i="7"/>
  <c r="W736" i="7"/>
  <c r="C736" i="7"/>
  <c r="X735" i="7"/>
  <c r="T735" i="7"/>
  <c r="P735" i="7"/>
  <c r="L735" i="7"/>
  <c r="D735" i="7"/>
  <c r="E734" i="7"/>
  <c r="V733" i="7"/>
  <c r="R733" i="7"/>
  <c r="N733" i="7"/>
  <c r="F733" i="7"/>
  <c r="B733" i="7"/>
  <c r="W732" i="7"/>
  <c r="C732" i="7"/>
  <c r="X731" i="7"/>
  <c r="T731" i="7"/>
  <c r="P731" i="7"/>
  <c r="L731" i="7"/>
  <c r="D731" i="7"/>
  <c r="E730" i="7"/>
  <c r="V729" i="7"/>
  <c r="R729" i="7"/>
  <c r="N729" i="7"/>
  <c r="F729" i="7"/>
  <c r="B729" i="7"/>
  <c r="W728" i="7"/>
  <c r="C728" i="7"/>
  <c r="X727" i="7"/>
  <c r="T727" i="7"/>
  <c r="P727" i="7"/>
  <c r="L727" i="7"/>
  <c r="D727" i="7"/>
  <c r="E726" i="7"/>
  <c r="V725" i="7"/>
  <c r="R725" i="7"/>
  <c r="N725" i="7"/>
  <c r="F725" i="7"/>
  <c r="B725" i="7"/>
  <c r="W724" i="7"/>
  <c r="C724" i="7"/>
  <c r="X723" i="7"/>
  <c r="T723" i="7"/>
  <c r="P723" i="7"/>
  <c r="L723" i="7"/>
  <c r="D723" i="7"/>
  <c r="E722" i="7"/>
  <c r="V721" i="7"/>
  <c r="R721" i="7"/>
  <c r="N721" i="7"/>
  <c r="F721" i="7"/>
  <c r="B721" i="7"/>
  <c r="W720" i="7"/>
  <c r="C720" i="7"/>
  <c r="X719" i="7"/>
  <c r="T719" i="7"/>
  <c r="P719" i="7"/>
  <c r="L719" i="7"/>
  <c r="D719" i="7"/>
  <c r="E718" i="7"/>
  <c r="V717" i="7"/>
  <c r="R717" i="7"/>
  <c r="N717" i="7"/>
  <c r="F717" i="7"/>
  <c r="B717" i="7"/>
  <c r="W716" i="7"/>
  <c r="C716" i="7"/>
  <c r="X715" i="7"/>
  <c r="T715" i="7"/>
  <c r="P715" i="7"/>
  <c r="L715" i="7"/>
  <c r="D715" i="7"/>
  <c r="E714" i="7"/>
  <c r="V713" i="7"/>
  <c r="R713" i="7"/>
  <c r="N713" i="7"/>
  <c r="F713" i="7"/>
  <c r="B713" i="7"/>
  <c r="W712" i="7"/>
  <c r="C712" i="7"/>
  <c r="X711" i="7"/>
  <c r="T711" i="7"/>
  <c r="P711" i="7"/>
  <c r="L711" i="7"/>
  <c r="D711" i="7"/>
  <c r="E710" i="7"/>
  <c r="V709" i="7"/>
  <c r="R709" i="7"/>
  <c r="N709" i="7"/>
  <c r="F709" i="7"/>
  <c r="B709" i="7"/>
  <c r="W708" i="7"/>
  <c r="C708" i="7"/>
  <c r="X707" i="7"/>
  <c r="T707" i="7"/>
  <c r="P707" i="7"/>
  <c r="L707" i="7"/>
  <c r="D707" i="7"/>
  <c r="E706" i="7"/>
  <c r="V705" i="7"/>
  <c r="R705" i="7"/>
  <c r="N705" i="7"/>
  <c r="F705" i="7"/>
  <c r="B705" i="7"/>
  <c r="W704" i="7"/>
  <c r="C704" i="7"/>
  <c r="X703" i="7"/>
  <c r="T703" i="7"/>
  <c r="P703" i="7"/>
  <c r="L703" i="7"/>
  <c r="D703" i="7"/>
  <c r="E702" i="7"/>
  <c r="V701" i="7"/>
  <c r="R701" i="7"/>
  <c r="N701" i="7"/>
  <c r="F701" i="7"/>
  <c r="B701" i="7"/>
  <c r="W700" i="7"/>
  <c r="C700" i="7"/>
  <c r="X699" i="7"/>
  <c r="T699" i="7"/>
  <c r="P699" i="7"/>
  <c r="L699" i="7"/>
  <c r="D699" i="7"/>
  <c r="E698" i="7"/>
  <c r="V697" i="7"/>
  <c r="R697" i="7"/>
  <c r="N697" i="7"/>
  <c r="F697" i="7"/>
  <c r="B697" i="7"/>
  <c r="W696" i="7"/>
  <c r="C696" i="7"/>
  <c r="X695" i="7"/>
  <c r="T695" i="7"/>
  <c r="P695" i="7"/>
  <c r="L695" i="7"/>
  <c r="D695" i="7"/>
  <c r="E694" i="7"/>
  <c r="V693" i="7"/>
  <c r="R693" i="7"/>
  <c r="N693" i="7"/>
  <c r="F693" i="7"/>
  <c r="B693" i="7"/>
  <c r="W692" i="7"/>
  <c r="C692" i="7"/>
  <c r="X691" i="7"/>
  <c r="T691" i="7"/>
  <c r="P691" i="7"/>
  <c r="L691" i="7"/>
  <c r="D691" i="7"/>
  <c r="E690" i="7"/>
  <c r="V689" i="7"/>
  <c r="R689" i="7"/>
  <c r="N689" i="7"/>
  <c r="F689" i="7"/>
  <c r="B689" i="7"/>
  <c r="W688" i="7"/>
  <c r="C688" i="7"/>
  <c r="X687" i="7"/>
  <c r="T687" i="7"/>
  <c r="P687" i="7"/>
  <c r="L687" i="7"/>
  <c r="D687" i="7"/>
  <c r="E686" i="7"/>
  <c r="V685" i="7"/>
  <c r="R685" i="7"/>
  <c r="N685" i="7"/>
  <c r="F685" i="7"/>
  <c r="B685" i="7"/>
  <c r="W684" i="7"/>
  <c r="C684" i="7"/>
  <c r="X683" i="7"/>
  <c r="T683" i="7"/>
  <c r="P683" i="7"/>
  <c r="L683" i="7"/>
  <c r="D683" i="7"/>
  <c r="E682" i="7"/>
  <c r="V681" i="7"/>
  <c r="R681" i="7"/>
  <c r="N681" i="7"/>
  <c r="F681" i="7"/>
  <c r="B681" i="7"/>
  <c r="W680" i="7"/>
  <c r="C680" i="7"/>
  <c r="X679" i="7"/>
  <c r="T679" i="7"/>
  <c r="P679" i="7"/>
  <c r="L679" i="7"/>
  <c r="D679" i="7"/>
  <c r="E678" i="7"/>
  <c r="V677" i="7"/>
  <c r="R677" i="7"/>
  <c r="N677" i="7"/>
  <c r="F677" i="7"/>
  <c r="B677" i="7"/>
  <c r="W676" i="7"/>
  <c r="C676" i="7"/>
  <c r="X675" i="7"/>
  <c r="T675" i="7"/>
  <c r="P675" i="7"/>
  <c r="L675" i="7"/>
  <c r="D675" i="7"/>
  <c r="E674" i="7"/>
  <c r="V673" i="7"/>
  <c r="R673" i="7"/>
  <c r="N673" i="7"/>
  <c r="F673" i="7"/>
  <c r="B673" i="7"/>
  <c r="W672" i="7"/>
  <c r="C672" i="7"/>
  <c r="X671" i="7"/>
  <c r="T671" i="7"/>
  <c r="P671" i="7"/>
  <c r="L671" i="7"/>
  <c r="D671" i="7"/>
  <c r="E670" i="7"/>
  <c r="V669" i="7"/>
  <c r="R669" i="7"/>
  <c r="N669" i="7"/>
  <c r="F669" i="7"/>
  <c r="B669" i="7"/>
  <c r="W668" i="7"/>
  <c r="C668" i="7"/>
  <c r="X667" i="7"/>
  <c r="T667" i="7"/>
  <c r="P667" i="7"/>
  <c r="L667" i="7"/>
  <c r="D667" i="7"/>
  <c r="E666" i="7"/>
  <c r="V665" i="7"/>
  <c r="R665" i="7"/>
  <c r="N665" i="7"/>
  <c r="F665" i="7"/>
  <c r="B665" i="7"/>
  <c r="W664" i="7"/>
  <c r="C664" i="7"/>
  <c r="X663" i="7"/>
  <c r="T663" i="7"/>
  <c r="P663" i="7"/>
  <c r="L663" i="7"/>
  <c r="D663" i="7"/>
  <c r="E662" i="7"/>
  <c r="V661" i="7"/>
  <c r="R661" i="7"/>
  <c r="N661" i="7"/>
  <c r="F661" i="7"/>
  <c r="B661" i="7"/>
  <c r="W660" i="7"/>
  <c r="C660" i="7"/>
  <c r="X659" i="7"/>
  <c r="T659" i="7"/>
  <c r="P659" i="7"/>
  <c r="L659" i="7"/>
  <c r="D659" i="7"/>
  <c r="E658" i="7"/>
  <c r="V657" i="7"/>
  <c r="R657" i="7"/>
  <c r="N657" i="7"/>
  <c r="F657" i="7"/>
  <c r="B657" i="7"/>
  <c r="W656" i="7"/>
  <c r="C656" i="7"/>
  <c r="X655" i="7"/>
  <c r="T655" i="7"/>
  <c r="P655" i="7"/>
  <c r="L655" i="7"/>
  <c r="D655" i="7"/>
  <c r="E654" i="7"/>
  <c r="V653" i="7"/>
  <c r="R653" i="7"/>
  <c r="N653" i="7"/>
  <c r="F653" i="7"/>
  <c r="B653" i="7"/>
  <c r="W652" i="7"/>
  <c r="C652" i="7"/>
  <c r="X651" i="7"/>
  <c r="T651" i="7"/>
  <c r="P651" i="7"/>
  <c r="L651" i="7"/>
  <c r="D651" i="7"/>
  <c r="E650" i="7"/>
  <c r="V649" i="7"/>
  <c r="R649" i="7"/>
  <c r="N649" i="7"/>
  <c r="F649" i="7"/>
  <c r="B649" i="7"/>
  <c r="W648" i="7"/>
  <c r="C648" i="7"/>
  <c r="X647" i="7"/>
  <c r="T647" i="7"/>
  <c r="P647" i="7"/>
  <c r="L647" i="7"/>
  <c r="D647" i="7"/>
  <c r="E646" i="7"/>
  <c r="V645" i="7"/>
  <c r="R645" i="7"/>
  <c r="N645" i="7"/>
  <c r="F645" i="7"/>
  <c r="B645" i="7"/>
  <c r="W644" i="7"/>
  <c r="C644" i="7"/>
  <c r="X643" i="7"/>
  <c r="T643" i="7"/>
  <c r="P643" i="7"/>
  <c r="L643" i="7"/>
  <c r="D643" i="7"/>
  <c r="E642" i="7"/>
  <c r="V641" i="7"/>
  <c r="R641" i="7"/>
  <c r="N641" i="7"/>
  <c r="F641" i="7"/>
  <c r="B641" i="7"/>
  <c r="W640" i="7"/>
  <c r="C640" i="7"/>
  <c r="X639" i="7"/>
  <c r="T639" i="7"/>
  <c r="P639" i="7"/>
  <c r="L639" i="7"/>
  <c r="D639" i="7"/>
  <c r="E638" i="7"/>
  <c r="V637" i="7"/>
  <c r="R637" i="7"/>
  <c r="N637" i="7"/>
  <c r="F637" i="7"/>
  <c r="B637" i="7"/>
  <c r="W636" i="7"/>
  <c r="C636" i="7"/>
  <c r="X635" i="7"/>
  <c r="T635" i="7"/>
  <c r="P635" i="7"/>
  <c r="L635" i="7"/>
  <c r="D635" i="7"/>
  <c r="E634" i="7"/>
  <c r="V633" i="7"/>
  <c r="R633" i="7"/>
  <c r="N633" i="7"/>
  <c r="F633" i="7"/>
  <c r="B633" i="7"/>
  <c r="W632" i="7"/>
  <c r="C632" i="7"/>
  <c r="X631" i="7"/>
  <c r="T631" i="7"/>
  <c r="P631" i="7"/>
  <c r="L631" i="7"/>
  <c r="D631" i="7"/>
  <c r="E630" i="7"/>
  <c r="V629" i="7"/>
  <c r="R629" i="7"/>
  <c r="N629" i="7"/>
  <c r="F629" i="7"/>
  <c r="B629" i="7"/>
  <c r="W628" i="7"/>
  <c r="C628" i="7"/>
  <c r="X627" i="7"/>
  <c r="T627" i="7"/>
  <c r="P627" i="7"/>
  <c r="L627" i="7"/>
  <c r="D627" i="7"/>
  <c r="E626" i="7"/>
  <c r="V625" i="7"/>
  <c r="R625" i="7"/>
  <c r="N625" i="7"/>
  <c r="F625" i="7"/>
  <c r="B625" i="7"/>
  <c r="W624" i="7"/>
  <c r="C624" i="7"/>
  <c r="X623" i="7"/>
  <c r="T623" i="7"/>
  <c r="P623" i="7"/>
  <c r="L623" i="7"/>
  <c r="D623" i="7"/>
  <c r="E622" i="7"/>
  <c r="V621" i="7"/>
  <c r="R621" i="7"/>
  <c r="N621" i="7"/>
  <c r="F621" i="7"/>
  <c r="B621" i="7"/>
  <c r="W620" i="7"/>
  <c r="C620" i="7"/>
  <c r="X619" i="7"/>
  <c r="T619" i="7"/>
  <c r="P619" i="7"/>
  <c r="L619" i="7"/>
  <c r="D619" i="7"/>
  <c r="E618" i="7"/>
  <c r="V617" i="7"/>
  <c r="R617" i="7"/>
  <c r="N617" i="7"/>
  <c r="F617" i="7"/>
  <c r="B617" i="7"/>
  <c r="W616" i="7"/>
  <c r="C616" i="7"/>
  <c r="X615" i="7"/>
  <c r="T615" i="7"/>
  <c r="P615" i="7"/>
  <c r="L615" i="7"/>
  <c r="D615" i="7"/>
  <c r="E614" i="7"/>
  <c r="V613" i="7"/>
  <c r="R613" i="7"/>
  <c r="N613" i="7"/>
  <c r="F613" i="7"/>
  <c r="B613" i="7"/>
  <c r="W612" i="7"/>
  <c r="C612" i="7"/>
  <c r="X611" i="7"/>
  <c r="T611" i="7"/>
  <c r="P611" i="7"/>
  <c r="L611" i="7"/>
  <c r="D611" i="7"/>
  <c r="E610" i="7"/>
  <c r="V609" i="7"/>
  <c r="R609" i="7"/>
  <c r="N609" i="7"/>
  <c r="F609" i="7"/>
  <c r="B609" i="7"/>
  <c r="W608" i="7"/>
  <c r="C608" i="7"/>
  <c r="X607" i="7"/>
  <c r="T607" i="7"/>
  <c r="P607" i="7"/>
  <c r="L607" i="7"/>
  <c r="D607" i="7"/>
  <c r="E606" i="7"/>
  <c r="V605" i="7"/>
  <c r="R605" i="7"/>
  <c r="N605" i="7"/>
  <c r="F605" i="7"/>
  <c r="B605" i="7"/>
  <c r="W604" i="7"/>
  <c r="C604" i="7"/>
  <c r="X603" i="7"/>
  <c r="T603" i="7"/>
  <c r="P603" i="7"/>
  <c r="L603" i="7"/>
  <c r="D603" i="7"/>
  <c r="E602" i="7"/>
  <c r="V601" i="7"/>
  <c r="R601" i="7"/>
  <c r="N601" i="7"/>
  <c r="F601" i="7"/>
  <c r="B601" i="7"/>
  <c r="W600" i="7"/>
  <c r="C600" i="7"/>
  <c r="X599" i="7"/>
  <c r="T599" i="7"/>
  <c r="P599" i="7"/>
  <c r="L599" i="7"/>
  <c r="D599" i="7"/>
  <c r="E598" i="7"/>
  <c r="V597" i="7"/>
  <c r="R597" i="7"/>
  <c r="N597" i="7"/>
  <c r="F597" i="7"/>
  <c r="B597" i="7"/>
  <c r="W596" i="7"/>
  <c r="C596" i="7"/>
  <c r="X595" i="7"/>
  <c r="T595" i="7"/>
  <c r="P595" i="7"/>
  <c r="L595" i="7"/>
  <c r="D595" i="7"/>
  <c r="E594" i="7"/>
  <c r="V593" i="7"/>
  <c r="R593" i="7"/>
  <c r="N593" i="7"/>
  <c r="F593" i="7"/>
  <c r="B593" i="7"/>
  <c r="W592" i="7"/>
  <c r="C592" i="7"/>
  <c r="X591" i="7"/>
  <c r="T591" i="7"/>
  <c r="P591" i="7"/>
  <c r="L591" i="7"/>
  <c r="D591" i="7"/>
  <c r="E590" i="7"/>
  <c r="V589" i="7"/>
  <c r="R589" i="7"/>
  <c r="N589" i="7"/>
  <c r="F589" i="7"/>
  <c r="B589" i="7"/>
  <c r="W588" i="7"/>
  <c r="C588" i="7"/>
  <c r="X587" i="7"/>
  <c r="T587" i="7"/>
  <c r="P587" i="7"/>
  <c r="L587" i="7"/>
  <c r="D587" i="7"/>
  <c r="E586" i="7"/>
  <c r="V585" i="7"/>
  <c r="R585" i="7"/>
  <c r="N585" i="7"/>
  <c r="F585" i="7"/>
  <c r="B585" i="7"/>
  <c r="W584" i="7"/>
  <c r="C584" i="7"/>
  <c r="X583" i="7"/>
  <c r="T583" i="7"/>
  <c r="P583" i="7"/>
  <c r="L583" i="7"/>
  <c r="D583" i="7"/>
  <c r="E582" i="7"/>
  <c r="V581" i="7"/>
  <c r="R581" i="7"/>
  <c r="N581" i="7"/>
  <c r="F581" i="7"/>
  <c r="B581" i="7"/>
  <c r="W580" i="7"/>
  <c r="C580" i="7"/>
  <c r="X579" i="7"/>
  <c r="T579" i="7"/>
  <c r="P579" i="7"/>
  <c r="L579" i="7"/>
  <c r="D579" i="7"/>
  <c r="E578" i="7"/>
  <c r="V577" i="7"/>
  <c r="R577" i="7"/>
  <c r="N577" i="7"/>
  <c r="F577" i="7"/>
  <c r="B577" i="7"/>
  <c r="W576" i="7"/>
  <c r="C576" i="7"/>
  <c r="X575" i="7"/>
  <c r="T575" i="7"/>
  <c r="P575" i="7"/>
  <c r="L575" i="7"/>
  <c r="D575" i="7"/>
  <c r="E574" i="7"/>
  <c r="V573" i="7"/>
  <c r="R573" i="7"/>
  <c r="N573" i="7"/>
  <c r="F573" i="7"/>
  <c r="B573" i="7"/>
  <c r="W572" i="7"/>
  <c r="C572" i="7"/>
  <c r="X571" i="7"/>
  <c r="T571" i="7"/>
  <c r="P571" i="7"/>
  <c r="L571" i="7"/>
  <c r="D571" i="7"/>
  <c r="E570" i="7"/>
  <c r="V569" i="7"/>
  <c r="R569" i="7"/>
  <c r="N569" i="7"/>
  <c r="F569" i="7"/>
  <c r="B569" i="7"/>
  <c r="W568" i="7"/>
  <c r="C568" i="7"/>
  <c r="X567" i="7"/>
  <c r="T567" i="7"/>
  <c r="P567" i="7"/>
  <c r="L567" i="7"/>
  <c r="D567" i="7"/>
  <c r="F928" i="7"/>
  <c r="B927" i="7"/>
  <c r="X925" i="7"/>
  <c r="P925" i="7"/>
  <c r="E925" i="7"/>
  <c r="V924" i="7"/>
  <c r="N924" i="7"/>
  <c r="E924" i="7"/>
  <c r="V923" i="7"/>
  <c r="N923" i="7"/>
  <c r="B923" i="7"/>
  <c r="X921" i="7"/>
  <c r="P921" i="7"/>
  <c r="E921" i="7"/>
  <c r="V920" i="7"/>
  <c r="N920" i="7"/>
  <c r="E920" i="7"/>
  <c r="V919" i="7"/>
  <c r="N919" i="7"/>
  <c r="B919" i="7"/>
  <c r="X917" i="7"/>
  <c r="L917" i="7"/>
  <c r="D917" i="7"/>
  <c r="W916" i="7"/>
  <c r="R916" i="7"/>
  <c r="C916" i="7"/>
  <c r="W915" i="7"/>
  <c r="R915" i="7"/>
  <c r="L915" i="7"/>
  <c r="C915" i="7"/>
  <c r="W914" i="7"/>
  <c r="L914" i="7"/>
  <c r="C914" i="7"/>
  <c r="V913" i="7"/>
  <c r="L913" i="7"/>
  <c r="D913" i="7"/>
  <c r="W912" i="7"/>
  <c r="R912" i="7"/>
  <c r="C912" i="7"/>
  <c r="W911" i="7"/>
  <c r="R911" i="7"/>
  <c r="L911" i="7"/>
  <c r="C911" i="7"/>
  <c r="W910" i="7"/>
  <c r="L910" i="7"/>
  <c r="C910" i="7"/>
  <c r="V909" i="7"/>
  <c r="L909" i="7"/>
  <c r="D909" i="7"/>
  <c r="W908" i="7"/>
  <c r="R908" i="7"/>
  <c r="C908" i="7"/>
  <c r="W907" i="7"/>
  <c r="R907" i="7"/>
  <c r="L907" i="7"/>
  <c r="C907" i="7"/>
  <c r="W906" i="7"/>
  <c r="L906" i="7"/>
  <c r="C906" i="7"/>
  <c r="V905" i="7"/>
  <c r="L905" i="7"/>
  <c r="D905" i="7"/>
  <c r="W904" i="7"/>
  <c r="R904" i="7"/>
  <c r="C904" i="7"/>
  <c r="W903" i="7"/>
  <c r="R903" i="7"/>
  <c r="L903" i="7"/>
  <c r="C903" i="7"/>
  <c r="W902" i="7"/>
  <c r="L902" i="7"/>
  <c r="C902" i="7"/>
  <c r="V901" i="7"/>
  <c r="L901" i="7"/>
  <c r="D901" i="7"/>
  <c r="W900" i="7"/>
  <c r="R900" i="7"/>
  <c r="C900" i="7"/>
  <c r="W899" i="7"/>
  <c r="R899" i="7"/>
  <c r="L899" i="7"/>
  <c r="C899" i="7"/>
  <c r="W898" i="7"/>
  <c r="L898" i="7"/>
  <c r="C898" i="7"/>
  <c r="V897" i="7"/>
  <c r="L897" i="7"/>
  <c r="D897" i="7"/>
  <c r="W896" i="7"/>
  <c r="R896" i="7"/>
  <c r="C896" i="7"/>
  <c r="W895" i="7"/>
  <c r="R895" i="7"/>
  <c r="L895" i="7"/>
  <c r="C895" i="7"/>
  <c r="W894" i="7"/>
  <c r="L894" i="7"/>
  <c r="C894" i="7"/>
  <c r="V893" i="7"/>
  <c r="L893" i="7"/>
  <c r="D893" i="7"/>
  <c r="W892" i="7"/>
  <c r="R892" i="7"/>
  <c r="C892" i="7"/>
  <c r="W891" i="7"/>
  <c r="R891" i="7"/>
  <c r="L891" i="7"/>
  <c r="C891" i="7"/>
  <c r="W890" i="7"/>
  <c r="L890" i="7"/>
  <c r="C890" i="7"/>
  <c r="V889" i="7"/>
  <c r="L889" i="7"/>
  <c r="D889" i="7"/>
  <c r="W888" i="7"/>
  <c r="R888" i="7"/>
  <c r="C888" i="7"/>
  <c r="W887" i="7"/>
  <c r="R887" i="7"/>
  <c r="L887" i="7"/>
  <c r="C887" i="7"/>
  <c r="W886" i="7"/>
  <c r="L886" i="7"/>
  <c r="C886" i="7"/>
  <c r="V885" i="7"/>
  <c r="L885" i="7"/>
  <c r="D885" i="7"/>
  <c r="W884" i="7"/>
  <c r="R884" i="7"/>
  <c r="C884" i="7"/>
  <c r="W883" i="7"/>
  <c r="R883" i="7"/>
  <c r="L883" i="7"/>
  <c r="C883" i="7"/>
  <c r="W882" i="7"/>
  <c r="L882" i="7"/>
  <c r="C882" i="7"/>
  <c r="V881" i="7"/>
  <c r="L881" i="7"/>
  <c r="D881" i="7"/>
  <c r="W880" i="7"/>
  <c r="R880" i="7"/>
  <c r="C880" i="7"/>
  <c r="W879" i="7"/>
  <c r="R879" i="7"/>
  <c r="L879" i="7"/>
  <c r="C879" i="7"/>
  <c r="W878" i="7"/>
  <c r="L878" i="7"/>
  <c r="C878" i="7"/>
  <c r="V877" i="7"/>
  <c r="L877" i="7"/>
  <c r="D877" i="7"/>
  <c r="W876" i="7"/>
  <c r="R876" i="7"/>
  <c r="C876" i="7"/>
  <c r="W875" i="7"/>
  <c r="R875" i="7"/>
  <c r="L875" i="7"/>
  <c r="C875" i="7"/>
  <c r="W874" i="7"/>
  <c r="L874" i="7"/>
  <c r="C874" i="7"/>
  <c r="V873" i="7"/>
  <c r="L873" i="7"/>
  <c r="D873" i="7"/>
  <c r="W872" i="7"/>
  <c r="R872" i="7"/>
  <c r="C872" i="7"/>
  <c r="W871" i="7"/>
  <c r="R871" i="7"/>
  <c r="L871" i="7"/>
  <c r="C871" i="7"/>
  <c r="W870" i="7"/>
  <c r="L870" i="7"/>
  <c r="C870" i="7"/>
  <c r="V869" i="7"/>
  <c r="E869" i="7"/>
  <c r="V868" i="7"/>
  <c r="R868" i="7"/>
  <c r="N868" i="7"/>
  <c r="F868" i="7"/>
  <c r="B868" i="7"/>
  <c r="W867" i="7"/>
  <c r="C867" i="7"/>
  <c r="X866" i="7"/>
  <c r="T866" i="7"/>
  <c r="P866" i="7"/>
  <c r="L866" i="7"/>
  <c r="D866" i="7"/>
  <c r="E865" i="7"/>
  <c r="V864" i="7"/>
  <c r="R864" i="7"/>
  <c r="N864" i="7"/>
  <c r="F864" i="7"/>
  <c r="B864" i="7"/>
  <c r="W863" i="7"/>
  <c r="C863" i="7"/>
  <c r="X862" i="7"/>
  <c r="T862" i="7"/>
  <c r="P862" i="7"/>
  <c r="L862" i="7"/>
  <c r="D862" i="7"/>
  <c r="E861" i="7"/>
  <c r="V860" i="7"/>
  <c r="R860" i="7"/>
  <c r="N860" i="7"/>
  <c r="F860" i="7"/>
  <c r="B860" i="7"/>
  <c r="W859" i="7"/>
  <c r="C859" i="7"/>
  <c r="X858" i="7"/>
  <c r="T858" i="7"/>
  <c r="P858" i="7"/>
  <c r="L858" i="7"/>
  <c r="D858" i="7"/>
  <c r="E857" i="7"/>
  <c r="V856" i="7"/>
  <c r="R856" i="7"/>
  <c r="N856" i="7"/>
  <c r="F856" i="7"/>
  <c r="B856" i="7"/>
  <c r="W855" i="7"/>
  <c r="C855" i="7"/>
  <c r="X854" i="7"/>
  <c r="T854" i="7"/>
  <c r="P854" i="7"/>
  <c r="L854" i="7"/>
  <c r="D854" i="7"/>
  <c r="E853" i="7"/>
  <c r="V852" i="7"/>
  <c r="R852" i="7"/>
  <c r="N852" i="7"/>
  <c r="F852" i="7"/>
  <c r="B852" i="7"/>
  <c r="W851" i="7"/>
  <c r="C851" i="7"/>
  <c r="X850" i="7"/>
  <c r="T850" i="7"/>
  <c r="P850" i="7"/>
  <c r="L850" i="7"/>
  <c r="D850" i="7"/>
  <c r="E849" i="7"/>
  <c r="V848" i="7"/>
  <c r="R848" i="7"/>
  <c r="N848" i="7"/>
  <c r="F848" i="7"/>
  <c r="B848" i="7"/>
  <c r="W847" i="7"/>
  <c r="C847" i="7"/>
  <c r="X846" i="7"/>
  <c r="T846" i="7"/>
  <c r="P846" i="7"/>
  <c r="L846" i="7"/>
  <c r="D846" i="7"/>
  <c r="E845" i="7"/>
  <c r="V844" i="7"/>
  <c r="R844" i="7"/>
  <c r="N844" i="7"/>
  <c r="F844" i="7"/>
  <c r="B844" i="7"/>
  <c r="W843" i="7"/>
  <c r="C843" i="7"/>
  <c r="X842" i="7"/>
  <c r="T842" i="7"/>
  <c r="P842" i="7"/>
  <c r="L842" i="7"/>
  <c r="D842" i="7"/>
  <c r="E841" i="7"/>
  <c r="V840" i="7"/>
  <c r="R840" i="7"/>
  <c r="N840" i="7"/>
  <c r="F840" i="7"/>
  <c r="B840" i="7"/>
  <c r="W839" i="7"/>
  <c r="C839" i="7"/>
  <c r="X838" i="7"/>
  <c r="T838" i="7"/>
  <c r="P838" i="7"/>
  <c r="L838" i="7"/>
  <c r="D838" i="7"/>
  <c r="E837" i="7"/>
  <c r="V836" i="7"/>
  <c r="R836" i="7"/>
  <c r="N836" i="7"/>
  <c r="F836" i="7"/>
  <c r="B836" i="7"/>
  <c r="W835" i="7"/>
  <c r="C835" i="7"/>
  <c r="X834" i="7"/>
  <c r="T834" i="7"/>
  <c r="P834" i="7"/>
  <c r="L834" i="7"/>
  <c r="D834" i="7"/>
  <c r="E833" i="7"/>
  <c r="V832" i="7"/>
  <c r="R832" i="7"/>
  <c r="N832" i="7"/>
  <c r="F832" i="7"/>
  <c r="B832" i="7"/>
  <c r="W831" i="7"/>
  <c r="C831" i="7"/>
  <c r="X830" i="7"/>
  <c r="T830" i="7"/>
  <c r="P830" i="7"/>
  <c r="L830" i="7"/>
  <c r="D830" i="7"/>
  <c r="E829" i="7"/>
  <c r="V828" i="7"/>
  <c r="R828" i="7"/>
  <c r="N828" i="7"/>
  <c r="F828" i="7"/>
  <c r="B828" i="7"/>
  <c r="W827" i="7"/>
  <c r="C827" i="7"/>
  <c r="X826" i="7"/>
  <c r="T826" i="7"/>
  <c r="P826" i="7"/>
  <c r="L826" i="7"/>
  <c r="D826" i="7"/>
  <c r="E825" i="7"/>
  <c r="V824" i="7"/>
  <c r="R824" i="7"/>
  <c r="N824" i="7"/>
  <c r="F824" i="7"/>
  <c r="B824" i="7"/>
  <c r="W823" i="7"/>
  <c r="C823" i="7"/>
  <c r="X822" i="7"/>
  <c r="T822" i="7"/>
  <c r="P822" i="7"/>
  <c r="L822" i="7"/>
  <c r="D822" i="7"/>
  <c r="E821" i="7"/>
  <c r="V820" i="7"/>
  <c r="R820" i="7"/>
  <c r="N820" i="7"/>
  <c r="F820" i="7"/>
  <c r="B820" i="7"/>
  <c r="W819" i="7"/>
  <c r="C819" i="7"/>
  <c r="X818" i="7"/>
  <c r="T818" i="7"/>
  <c r="P818" i="7"/>
  <c r="L818" i="7"/>
  <c r="D818" i="7"/>
  <c r="E817" i="7"/>
  <c r="V816" i="7"/>
  <c r="R816" i="7"/>
  <c r="N816" i="7"/>
  <c r="F816" i="7"/>
  <c r="B816" i="7"/>
  <c r="W815" i="7"/>
  <c r="C815" i="7"/>
  <c r="X814" i="7"/>
  <c r="T814" i="7"/>
  <c r="P814" i="7"/>
  <c r="L814" i="7"/>
  <c r="D814" i="7"/>
  <c r="E813" i="7"/>
  <c r="V812" i="7"/>
  <c r="R812" i="7"/>
  <c r="N812" i="7"/>
  <c r="F812" i="7"/>
  <c r="B812" i="7"/>
  <c r="W811" i="7"/>
  <c r="C811" i="7"/>
  <c r="X810" i="7"/>
  <c r="T810" i="7"/>
  <c r="P810" i="7"/>
  <c r="L810" i="7"/>
  <c r="D810" i="7"/>
  <c r="E809" i="7"/>
  <c r="V808" i="7"/>
  <c r="R808" i="7"/>
  <c r="N808" i="7"/>
  <c r="F808" i="7"/>
  <c r="B808" i="7"/>
  <c r="W807" i="7"/>
  <c r="C807" i="7"/>
  <c r="X806" i="7"/>
  <c r="T806" i="7"/>
  <c r="P806" i="7"/>
  <c r="L806" i="7"/>
  <c r="D806" i="7"/>
  <c r="E805" i="7"/>
  <c r="V804" i="7"/>
  <c r="R804" i="7"/>
  <c r="N804" i="7"/>
  <c r="F804" i="7"/>
  <c r="B804" i="7"/>
  <c r="W803" i="7"/>
  <c r="C803" i="7"/>
  <c r="X802" i="7"/>
  <c r="T802" i="7"/>
  <c r="P802" i="7"/>
  <c r="L802" i="7"/>
  <c r="D802" i="7"/>
  <c r="E801" i="7"/>
  <c r="V800" i="7"/>
  <c r="R800" i="7"/>
  <c r="N800" i="7"/>
  <c r="F800" i="7"/>
  <c r="B800" i="7"/>
  <c r="W799" i="7"/>
  <c r="C799" i="7"/>
  <c r="X798" i="7"/>
  <c r="T798" i="7"/>
  <c r="P798" i="7"/>
  <c r="L798" i="7"/>
  <c r="D798" i="7"/>
  <c r="E797" i="7"/>
  <c r="V796" i="7"/>
  <c r="R796" i="7"/>
  <c r="N796" i="7"/>
  <c r="F796" i="7"/>
  <c r="B796" i="7"/>
  <c r="W795" i="7"/>
  <c r="C795" i="7"/>
  <c r="X794" i="7"/>
  <c r="T794" i="7"/>
  <c r="P794" i="7"/>
  <c r="L794" i="7"/>
  <c r="D794" i="7"/>
  <c r="E793" i="7"/>
  <c r="V792" i="7"/>
  <c r="R792" i="7"/>
  <c r="N792" i="7"/>
  <c r="F792" i="7"/>
  <c r="B792" i="7"/>
  <c r="W791" i="7"/>
  <c r="C791" i="7"/>
  <c r="X790" i="7"/>
  <c r="T790" i="7"/>
  <c r="P790" i="7"/>
  <c r="L790" i="7"/>
  <c r="D790" i="7"/>
  <c r="E789" i="7"/>
  <c r="V788" i="7"/>
  <c r="R788" i="7"/>
  <c r="N788" i="7"/>
  <c r="F788" i="7"/>
  <c r="B788" i="7"/>
  <c r="W787" i="7"/>
  <c r="C787" i="7"/>
  <c r="X786" i="7"/>
  <c r="T786" i="7"/>
  <c r="P786" i="7"/>
  <c r="L786" i="7"/>
  <c r="D786" i="7"/>
  <c r="E785" i="7"/>
  <c r="V784" i="7"/>
  <c r="R784" i="7"/>
  <c r="N784" i="7"/>
  <c r="F784" i="7"/>
  <c r="B784" i="7"/>
  <c r="W783" i="7"/>
  <c r="C783" i="7"/>
  <c r="X782" i="7"/>
  <c r="T782" i="7"/>
  <c r="P782" i="7"/>
  <c r="L782" i="7"/>
  <c r="D782" i="7"/>
  <c r="E781" i="7"/>
  <c r="V780" i="7"/>
  <c r="R780" i="7"/>
  <c r="N780" i="7"/>
  <c r="F780" i="7"/>
  <c r="B780" i="7"/>
  <c r="W779" i="7"/>
  <c r="C779" i="7"/>
  <c r="X778" i="7"/>
  <c r="T778" i="7"/>
  <c r="P778" i="7"/>
  <c r="L778" i="7"/>
  <c r="D778" i="7"/>
  <c r="E777" i="7"/>
  <c r="V776" i="7"/>
  <c r="R776" i="7"/>
  <c r="N776" i="7"/>
  <c r="F776" i="7"/>
  <c r="B776" i="7"/>
  <c r="W775" i="7"/>
  <c r="C775" i="7"/>
  <c r="X774" i="7"/>
  <c r="T774" i="7"/>
  <c r="P774" i="7"/>
  <c r="L774" i="7"/>
  <c r="D774" i="7"/>
  <c r="E773" i="7"/>
  <c r="V772" i="7"/>
  <c r="R772" i="7"/>
  <c r="N772" i="7"/>
  <c r="F772" i="7"/>
  <c r="B772" i="7"/>
  <c r="W771" i="7"/>
  <c r="C771" i="7"/>
  <c r="X770" i="7"/>
  <c r="T770" i="7"/>
  <c r="P770" i="7"/>
  <c r="L770" i="7"/>
  <c r="D770" i="7"/>
  <c r="E769" i="7"/>
  <c r="V768" i="7"/>
  <c r="R768" i="7"/>
  <c r="N768" i="7"/>
  <c r="F768" i="7"/>
  <c r="B768" i="7"/>
  <c r="W767" i="7"/>
  <c r="C767" i="7"/>
  <c r="X766" i="7"/>
  <c r="T766" i="7"/>
  <c r="P766" i="7"/>
  <c r="L766" i="7"/>
  <c r="D766" i="7"/>
  <c r="E765" i="7"/>
  <c r="V764" i="7"/>
  <c r="R764" i="7"/>
  <c r="N764" i="7"/>
  <c r="F764" i="7"/>
  <c r="B764" i="7"/>
  <c r="W763" i="7"/>
  <c r="C763" i="7"/>
  <c r="X762" i="7"/>
  <c r="T762" i="7"/>
  <c r="P762" i="7"/>
  <c r="L762" i="7"/>
  <c r="D762" i="7"/>
  <c r="E761" i="7"/>
  <c r="V760" i="7"/>
  <c r="R760" i="7"/>
  <c r="N760" i="7"/>
  <c r="F760" i="7"/>
  <c r="B760" i="7"/>
  <c r="W759" i="7"/>
  <c r="C759" i="7"/>
  <c r="X758" i="7"/>
  <c r="T758" i="7"/>
  <c r="P758" i="7"/>
  <c r="L758" i="7"/>
  <c r="D758" i="7"/>
  <c r="E757" i="7"/>
  <c r="V756" i="7"/>
  <c r="R756" i="7"/>
  <c r="N756" i="7"/>
  <c r="F756" i="7"/>
  <c r="B756" i="7"/>
  <c r="W755" i="7"/>
  <c r="C755" i="7"/>
  <c r="X754" i="7"/>
  <c r="T754" i="7"/>
  <c r="P754" i="7"/>
  <c r="L754" i="7"/>
  <c r="D754" i="7"/>
  <c r="E753" i="7"/>
  <c r="V752" i="7"/>
  <c r="R752" i="7"/>
  <c r="N752" i="7"/>
  <c r="F752" i="7"/>
  <c r="B752" i="7"/>
  <c r="W751" i="7"/>
  <c r="C751" i="7"/>
  <c r="X750" i="7"/>
  <c r="T750" i="7"/>
  <c r="P750" i="7"/>
  <c r="L750" i="7"/>
  <c r="D750" i="7"/>
  <c r="E749" i="7"/>
  <c r="V748" i="7"/>
  <c r="R748" i="7"/>
  <c r="N748" i="7"/>
  <c r="F748" i="7"/>
  <c r="B748" i="7"/>
  <c r="W747" i="7"/>
  <c r="C747" i="7"/>
  <c r="X746" i="7"/>
  <c r="T746" i="7"/>
  <c r="P746" i="7"/>
  <c r="L746" i="7"/>
  <c r="D746" i="7"/>
  <c r="E745" i="7"/>
  <c r="V744" i="7"/>
  <c r="R744" i="7"/>
  <c r="N744" i="7"/>
  <c r="F744" i="7"/>
  <c r="B744" i="7"/>
  <c r="W743" i="7"/>
  <c r="C743" i="7"/>
  <c r="X742" i="7"/>
  <c r="T742" i="7"/>
  <c r="P742" i="7"/>
  <c r="L742" i="7"/>
  <c r="D742" i="7"/>
  <c r="E741" i="7"/>
  <c r="V740" i="7"/>
  <c r="R740" i="7"/>
  <c r="N740" i="7"/>
  <c r="F740" i="7"/>
  <c r="B740" i="7"/>
  <c r="W739" i="7"/>
  <c r="C739" i="7"/>
  <c r="X738" i="7"/>
  <c r="T738" i="7"/>
  <c r="P738" i="7"/>
  <c r="L738" i="7"/>
  <c r="D738" i="7"/>
  <c r="E737" i="7"/>
  <c r="V736" i="7"/>
  <c r="R736" i="7"/>
  <c r="N736" i="7"/>
  <c r="F736" i="7"/>
  <c r="B736" i="7"/>
  <c r="W735" i="7"/>
  <c r="C735" i="7"/>
  <c r="X734" i="7"/>
  <c r="T734" i="7"/>
  <c r="P734" i="7"/>
  <c r="L734" i="7"/>
  <c r="D734" i="7"/>
  <c r="E733" i="7"/>
  <c r="V732" i="7"/>
  <c r="R732" i="7"/>
  <c r="N732" i="7"/>
  <c r="F732" i="7"/>
  <c r="B732" i="7"/>
  <c r="W731" i="7"/>
  <c r="C731" i="7"/>
  <c r="X730" i="7"/>
  <c r="T730" i="7"/>
  <c r="P730" i="7"/>
  <c r="L730" i="7"/>
  <c r="D730" i="7"/>
  <c r="E729" i="7"/>
  <c r="V728" i="7"/>
  <c r="R728" i="7"/>
  <c r="N728" i="7"/>
  <c r="F728" i="7"/>
  <c r="B728" i="7"/>
  <c r="W727" i="7"/>
  <c r="C727" i="7"/>
  <c r="X726" i="7"/>
  <c r="T726" i="7"/>
  <c r="P726" i="7"/>
  <c r="L726" i="7"/>
  <c r="D726" i="7"/>
  <c r="E725" i="7"/>
  <c r="V724" i="7"/>
  <c r="R724" i="7"/>
  <c r="N724" i="7"/>
  <c r="F724" i="7"/>
  <c r="B724" i="7"/>
  <c r="W723" i="7"/>
  <c r="C723" i="7"/>
  <c r="X722" i="7"/>
  <c r="T722" i="7"/>
  <c r="P722" i="7"/>
  <c r="L722" i="7"/>
  <c r="D722" i="7"/>
  <c r="E721" i="7"/>
  <c r="V720" i="7"/>
  <c r="R720" i="7"/>
  <c r="N720" i="7"/>
  <c r="F720" i="7"/>
  <c r="B720" i="7"/>
  <c r="W719" i="7"/>
  <c r="C719" i="7"/>
  <c r="X718" i="7"/>
  <c r="T718" i="7"/>
  <c r="P718" i="7"/>
  <c r="L718" i="7"/>
  <c r="D718" i="7"/>
  <c r="E717" i="7"/>
  <c r="V716" i="7"/>
  <c r="R716" i="7"/>
  <c r="N716" i="7"/>
  <c r="F716" i="7"/>
  <c r="B716" i="7"/>
  <c r="W715" i="7"/>
  <c r="C715" i="7"/>
  <c r="X714" i="7"/>
  <c r="T714" i="7"/>
  <c r="P714" i="7"/>
  <c r="L714" i="7"/>
  <c r="D714" i="7"/>
  <c r="E713" i="7"/>
  <c r="V712" i="7"/>
  <c r="R712" i="7"/>
  <c r="N712" i="7"/>
  <c r="F712" i="7"/>
  <c r="B712" i="7"/>
  <c r="W711" i="7"/>
  <c r="C711" i="7"/>
  <c r="X710" i="7"/>
  <c r="T710" i="7"/>
  <c r="P710" i="7"/>
  <c r="L710" i="7"/>
  <c r="D710" i="7"/>
  <c r="E709" i="7"/>
  <c r="V708" i="7"/>
  <c r="R708" i="7"/>
  <c r="N708" i="7"/>
  <c r="F708" i="7"/>
  <c r="B708" i="7"/>
  <c r="W707" i="7"/>
  <c r="C707" i="7"/>
  <c r="X706" i="7"/>
  <c r="T706" i="7"/>
  <c r="P706" i="7"/>
  <c r="L706" i="7"/>
  <c r="D706" i="7"/>
  <c r="E705" i="7"/>
  <c r="V704" i="7"/>
  <c r="R704" i="7"/>
  <c r="N704" i="7"/>
  <c r="F704" i="7"/>
  <c r="B704" i="7"/>
  <c r="W703" i="7"/>
  <c r="C703" i="7"/>
  <c r="X702" i="7"/>
  <c r="T702" i="7"/>
  <c r="P702" i="7"/>
  <c r="L702" i="7"/>
  <c r="D702" i="7"/>
  <c r="E701" i="7"/>
  <c r="V700" i="7"/>
  <c r="R700" i="7"/>
  <c r="N700" i="7"/>
  <c r="F700" i="7"/>
  <c r="B700" i="7"/>
  <c r="W699" i="7"/>
  <c r="C699" i="7"/>
  <c r="X698" i="7"/>
  <c r="T698" i="7"/>
  <c r="P698" i="7"/>
  <c r="L698" i="7"/>
  <c r="D698" i="7"/>
  <c r="E697" i="7"/>
  <c r="V696" i="7"/>
  <c r="R696" i="7"/>
  <c r="N696" i="7"/>
  <c r="F696" i="7"/>
  <c r="B696" i="7"/>
  <c r="W695" i="7"/>
  <c r="C695" i="7"/>
  <c r="X694" i="7"/>
  <c r="T694" i="7"/>
  <c r="P694" i="7"/>
  <c r="L694" i="7"/>
  <c r="D694" i="7"/>
  <c r="E693" i="7"/>
  <c r="V692" i="7"/>
  <c r="R692" i="7"/>
  <c r="N692" i="7"/>
  <c r="F692" i="7"/>
  <c r="B692" i="7"/>
  <c r="W691" i="7"/>
  <c r="C691" i="7"/>
  <c r="X690" i="7"/>
  <c r="T690" i="7"/>
  <c r="P690" i="7"/>
  <c r="L690" i="7"/>
  <c r="D690" i="7"/>
  <c r="E689" i="7"/>
  <c r="V688" i="7"/>
  <c r="R688" i="7"/>
  <c r="N688" i="7"/>
  <c r="F688" i="7"/>
  <c r="B688" i="7"/>
  <c r="W687" i="7"/>
  <c r="C687" i="7"/>
  <c r="X686" i="7"/>
  <c r="T686" i="7"/>
  <c r="P686" i="7"/>
  <c r="L686" i="7"/>
  <c r="D686" i="7"/>
  <c r="E685" i="7"/>
  <c r="V684" i="7"/>
  <c r="R684" i="7"/>
  <c r="N684" i="7"/>
  <c r="F684" i="7"/>
  <c r="B684" i="7"/>
  <c r="W683" i="7"/>
  <c r="C683" i="7"/>
  <c r="X682" i="7"/>
  <c r="T682" i="7"/>
  <c r="P682" i="7"/>
  <c r="L682" i="7"/>
  <c r="D682" i="7"/>
  <c r="E681" i="7"/>
  <c r="V680" i="7"/>
  <c r="R680" i="7"/>
  <c r="N680" i="7"/>
  <c r="F680" i="7"/>
  <c r="B680" i="7"/>
  <c r="W679" i="7"/>
  <c r="C679" i="7"/>
  <c r="X678" i="7"/>
  <c r="T678" i="7"/>
  <c r="P678" i="7"/>
  <c r="L678" i="7"/>
  <c r="D678" i="7"/>
  <c r="E677" i="7"/>
  <c r="V676" i="7"/>
  <c r="R676" i="7"/>
  <c r="N676" i="7"/>
  <c r="F676" i="7"/>
  <c r="B676" i="7"/>
  <c r="W675" i="7"/>
  <c r="C675" i="7"/>
  <c r="X674" i="7"/>
  <c r="T674" i="7"/>
  <c r="P674" i="7"/>
  <c r="L674" i="7"/>
  <c r="D674" i="7"/>
  <c r="E673" i="7"/>
  <c r="V672" i="7"/>
  <c r="R672" i="7"/>
  <c r="N672" i="7"/>
  <c r="F672" i="7"/>
  <c r="B672" i="7"/>
  <c r="W671" i="7"/>
  <c r="C671" i="7"/>
  <c r="X670" i="7"/>
  <c r="T670" i="7"/>
  <c r="P670" i="7"/>
  <c r="L670" i="7"/>
  <c r="D670" i="7"/>
  <c r="E669" i="7"/>
  <c r="V668" i="7"/>
  <c r="R668" i="7"/>
  <c r="N668" i="7"/>
  <c r="F668" i="7"/>
  <c r="B668" i="7"/>
  <c r="W667" i="7"/>
  <c r="C667" i="7"/>
  <c r="X666" i="7"/>
  <c r="T666" i="7"/>
  <c r="P666" i="7"/>
  <c r="L666" i="7"/>
  <c r="D666" i="7"/>
  <c r="E665" i="7"/>
  <c r="V664" i="7"/>
  <c r="R664" i="7"/>
  <c r="N664" i="7"/>
  <c r="F664" i="7"/>
  <c r="B664" i="7"/>
  <c r="W663" i="7"/>
  <c r="C663" i="7"/>
  <c r="X662" i="7"/>
  <c r="T662" i="7"/>
  <c r="P662" i="7"/>
  <c r="L662" i="7"/>
  <c r="D662" i="7"/>
  <c r="E661" i="7"/>
  <c r="V660" i="7"/>
  <c r="R660" i="7"/>
  <c r="N660" i="7"/>
  <c r="F660" i="7"/>
  <c r="B660" i="7"/>
  <c r="W659" i="7"/>
  <c r="C659" i="7"/>
  <c r="X658" i="7"/>
  <c r="T658" i="7"/>
  <c r="P658" i="7"/>
  <c r="L658" i="7"/>
  <c r="D658" i="7"/>
  <c r="E657" i="7"/>
  <c r="V656" i="7"/>
  <c r="R656" i="7"/>
  <c r="N656" i="7"/>
  <c r="F656" i="7"/>
  <c r="B656" i="7"/>
  <c r="W655" i="7"/>
  <c r="C655" i="7"/>
  <c r="X654" i="7"/>
  <c r="T654" i="7"/>
  <c r="P654" i="7"/>
  <c r="L654" i="7"/>
  <c r="D654" i="7"/>
  <c r="E653" i="7"/>
  <c r="V652" i="7"/>
  <c r="R652" i="7"/>
  <c r="N652" i="7"/>
  <c r="F652" i="7"/>
  <c r="B652" i="7"/>
  <c r="W651" i="7"/>
  <c r="C651" i="7"/>
  <c r="X650" i="7"/>
  <c r="T650" i="7"/>
  <c r="P650" i="7"/>
  <c r="L650" i="7"/>
  <c r="D650" i="7"/>
  <c r="E649" i="7"/>
  <c r="V648" i="7"/>
  <c r="R648" i="7"/>
  <c r="N648" i="7"/>
  <c r="F648" i="7"/>
  <c r="B648" i="7"/>
  <c r="W647" i="7"/>
  <c r="C647" i="7"/>
  <c r="X646" i="7"/>
  <c r="T646" i="7"/>
  <c r="P646" i="7"/>
  <c r="L646" i="7"/>
  <c r="D646" i="7"/>
  <c r="E645" i="7"/>
  <c r="V644" i="7"/>
  <c r="R644" i="7"/>
  <c r="N644" i="7"/>
  <c r="F644" i="7"/>
  <c r="B644" i="7"/>
  <c r="W643" i="7"/>
  <c r="C643" i="7"/>
  <c r="X642" i="7"/>
  <c r="T642" i="7"/>
  <c r="P642" i="7"/>
  <c r="L642" i="7"/>
  <c r="D642" i="7"/>
  <c r="E641" i="7"/>
  <c r="V640" i="7"/>
  <c r="R640" i="7"/>
  <c r="N640" i="7"/>
  <c r="F640" i="7"/>
  <c r="B640" i="7"/>
  <c r="W639" i="7"/>
  <c r="C639" i="7"/>
  <c r="X638" i="7"/>
  <c r="T638" i="7"/>
  <c r="P638" i="7"/>
  <c r="L638" i="7"/>
  <c r="D638" i="7"/>
  <c r="E637" i="7"/>
  <c r="V636" i="7"/>
  <c r="R636" i="7"/>
  <c r="N636" i="7"/>
  <c r="F636" i="7"/>
  <c r="B636" i="7"/>
  <c r="W635" i="7"/>
  <c r="C635" i="7"/>
  <c r="X634" i="7"/>
  <c r="T634" i="7"/>
  <c r="P634" i="7"/>
  <c r="L634" i="7"/>
  <c r="D634" i="7"/>
  <c r="E633" i="7"/>
  <c r="V632" i="7"/>
  <c r="R632" i="7"/>
  <c r="N632" i="7"/>
  <c r="F632" i="7"/>
  <c r="B632" i="7"/>
  <c r="W631" i="7"/>
  <c r="C631" i="7"/>
  <c r="X630" i="7"/>
  <c r="T630" i="7"/>
  <c r="P630" i="7"/>
  <c r="L630" i="7"/>
  <c r="D630" i="7"/>
  <c r="E629" i="7"/>
  <c r="V628" i="7"/>
  <c r="R628" i="7"/>
  <c r="N628" i="7"/>
  <c r="F628" i="7"/>
  <c r="B628" i="7"/>
  <c r="W627" i="7"/>
  <c r="C627" i="7"/>
  <c r="X626" i="7"/>
  <c r="T626" i="7"/>
  <c r="P626" i="7"/>
  <c r="L626" i="7"/>
  <c r="D626" i="7"/>
  <c r="E625" i="7"/>
  <c r="V624" i="7"/>
  <c r="R624" i="7"/>
  <c r="N624" i="7"/>
  <c r="F624" i="7"/>
  <c r="B624" i="7"/>
  <c r="W623" i="7"/>
  <c r="C623" i="7"/>
  <c r="X622" i="7"/>
  <c r="T622" i="7"/>
  <c r="P622" i="7"/>
  <c r="L622" i="7"/>
  <c r="D622" i="7"/>
  <c r="E621" i="7"/>
  <c r="V620" i="7"/>
  <c r="R620" i="7"/>
  <c r="N620" i="7"/>
  <c r="F620" i="7"/>
  <c r="B620" i="7"/>
  <c r="W619" i="7"/>
  <c r="C619" i="7"/>
  <c r="X618" i="7"/>
  <c r="T618" i="7"/>
  <c r="P618" i="7"/>
  <c r="L618" i="7"/>
  <c r="D618" i="7"/>
  <c r="E617" i="7"/>
  <c r="V616" i="7"/>
  <c r="R616" i="7"/>
  <c r="N616" i="7"/>
  <c r="F616" i="7"/>
  <c r="B616" i="7"/>
  <c r="W615" i="7"/>
  <c r="C615" i="7"/>
  <c r="X614" i="7"/>
  <c r="T614" i="7"/>
  <c r="P614" i="7"/>
  <c r="L614" i="7"/>
  <c r="D614" i="7"/>
  <c r="E613" i="7"/>
  <c r="V612" i="7"/>
  <c r="R612" i="7"/>
  <c r="N612" i="7"/>
  <c r="F612" i="7"/>
  <c r="B612" i="7"/>
  <c r="W611" i="7"/>
  <c r="C611" i="7"/>
  <c r="X610" i="7"/>
  <c r="T610" i="7"/>
  <c r="P610" i="7"/>
  <c r="L610" i="7"/>
  <c r="D610" i="7"/>
  <c r="E609" i="7"/>
  <c r="V608" i="7"/>
  <c r="R608" i="7"/>
  <c r="N608" i="7"/>
  <c r="F608" i="7"/>
  <c r="B608" i="7"/>
  <c r="W607" i="7"/>
  <c r="C607" i="7"/>
  <c r="X606" i="7"/>
  <c r="T606" i="7"/>
  <c r="P606" i="7"/>
  <c r="L606" i="7"/>
  <c r="D606" i="7"/>
  <c r="E605" i="7"/>
  <c r="V604" i="7"/>
  <c r="R604" i="7"/>
  <c r="N604" i="7"/>
  <c r="F604" i="7"/>
  <c r="B604" i="7"/>
  <c r="W603" i="7"/>
  <c r="C603" i="7"/>
  <c r="X602" i="7"/>
  <c r="T602" i="7"/>
  <c r="P602" i="7"/>
  <c r="L602" i="7"/>
  <c r="D602" i="7"/>
  <c r="E601" i="7"/>
  <c r="V600" i="7"/>
  <c r="R600" i="7"/>
  <c r="N600" i="7"/>
  <c r="F600" i="7"/>
  <c r="B600" i="7"/>
  <c r="W599" i="7"/>
  <c r="C599" i="7"/>
  <c r="X598" i="7"/>
  <c r="T598" i="7"/>
  <c r="P598" i="7"/>
  <c r="L598" i="7"/>
  <c r="D598" i="7"/>
  <c r="E597" i="7"/>
  <c r="V596" i="7"/>
  <c r="R596" i="7"/>
  <c r="N596" i="7"/>
  <c r="F596" i="7"/>
  <c r="B596" i="7"/>
  <c r="W595" i="7"/>
  <c r="C595" i="7"/>
  <c r="X594" i="7"/>
  <c r="T594" i="7"/>
  <c r="P594" i="7"/>
  <c r="L594" i="7"/>
  <c r="D594" i="7"/>
  <c r="E593" i="7"/>
  <c r="V592" i="7"/>
  <c r="R592" i="7"/>
  <c r="N592" i="7"/>
  <c r="F592" i="7"/>
  <c r="B592" i="7"/>
  <c r="W591" i="7"/>
  <c r="C591" i="7"/>
  <c r="X590" i="7"/>
  <c r="T590" i="7"/>
  <c r="P590" i="7"/>
  <c r="L590" i="7"/>
  <c r="D590" i="7"/>
  <c r="E589" i="7"/>
  <c r="V588" i="7"/>
  <c r="R588" i="7"/>
  <c r="N588" i="7"/>
  <c r="F588" i="7"/>
  <c r="B588" i="7"/>
  <c r="W587" i="7"/>
  <c r="C587" i="7"/>
  <c r="X586" i="7"/>
  <c r="T586" i="7"/>
  <c r="P586" i="7"/>
  <c r="L586" i="7"/>
  <c r="D586" i="7"/>
  <c r="E585" i="7"/>
  <c r="V584" i="7"/>
  <c r="R584" i="7"/>
  <c r="N584" i="7"/>
  <c r="F584" i="7"/>
  <c r="B584" i="7"/>
  <c r="W583" i="7"/>
  <c r="C583" i="7"/>
  <c r="X582" i="7"/>
  <c r="T582" i="7"/>
  <c r="P582" i="7"/>
  <c r="L582" i="7"/>
  <c r="D582" i="7"/>
  <c r="E581" i="7"/>
  <c r="V580" i="7"/>
  <c r="R580" i="7"/>
  <c r="N580" i="7"/>
  <c r="F580" i="7"/>
  <c r="B580" i="7"/>
  <c r="W579" i="7"/>
  <c r="C579" i="7"/>
  <c r="X578" i="7"/>
  <c r="T578" i="7"/>
  <c r="P578" i="7"/>
  <c r="L578" i="7"/>
  <c r="D578" i="7"/>
  <c r="E577" i="7"/>
  <c r="V576" i="7"/>
  <c r="R576" i="7"/>
  <c r="N576" i="7"/>
  <c r="F576" i="7"/>
  <c r="B576" i="7"/>
  <c r="W575" i="7"/>
  <c r="C575" i="7"/>
  <c r="X574" i="7"/>
  <c r="T574" i="7"/>
  <c r="P574" i="7"/>
  <c r="L574" i="7"/>
  <c r="D574" i="7"/>
  <c r="E573" i="7"/>
  <c r="V572" i="7"/>
  <c r="R572" i="7"/>
  <c r="N572" i="7"/>
  <c r="F572" i="7"/>
  <c r="B572" i="7"/>
  <c r="W571" i="7"/>
  <c r="C571" i="7"/>
  <c r="X570" i="7"/>
  <c r="T570" i="7"/>
  <c r="P570" i="7"/>
  <c r="L570" i="7"/>
  <c r="D570" i="7"/>
  <c r="B928" i="7"/>
  <c r="X926" i="7"/>
  <c r="P926" i="7"/>
  <c r="D926" i="7"/>
  <c r="D925" i="7"/>
  <c r="B924" i="7"/>
  <c r="X922" i="7"/>
  <c r="P922" i="7"/>
  <c r="D922" i="7"/>
  <c r="D921" i="7"/>
  <c r="B920" i="7"/>
  <c r="X918" i="7"/>
  <c r="P918" i="7"/>
  <c r="D918" i="7"/>
  <c r="P917" i="7"/>
  <c r="B917" i="7"/>
  <c r="V916" i="7"/>
  <c r="B916" i="7"/>
  <c r="V915" i="7"/>
  <c r="P915" i="7"/>
  <c r="B915" i="7"/>
  <c r="P914" i="7"/>
  <c r="P913" i="7"/>
  <c r="B913" i="7"/>
  <c r="V912" i="7"/>
  <c r="B912" i="7"/>
  <c r="V911" i="7"/>
  <c r="P911" i="7"/>
  <c r="B911" i="7"/>
  <c r="P910" i="7"/>
  <c r="P909" i="7"/>
  <c r="B909" i="7"/>
  <c r="V908" i="7"/>
  <c r="B908" i="7"/>
  <c r="V907" i="7"/>
  <c r="P907" i="7"/>
  <c r="B907" i="7"/>
  <c r="P906" i="7"/>
  <c r="P905" i="7"/>
  <c r="B905" i="7"/>
  <c r="V904" i="7"/>
  <c r="B904" i="7"/>
  <c r="V903" i="7"/>
  <c r="P903" i="7"/>
  <c r="B903" i="7"/>
  <c r="P902" i="7"/>
  <c r="P901" i="7"/>
  <c r="B901" i="7"/>
  <c r="V900" i="7"/>
  <c r="B900" i="7"/>
  <c r="V899" i="7"/>
  <c r="P899" i="7"/>
  <c r="B899" i="7"/>
  <c r="P898" i="7"/>
  <c r="P897" i="7"/>
  <c r="B897" i="7"/>
  <c r="V896" i="7"/>
  <c r="B896" i="7"/>
  <c r="V895" i="7"/>
  <c r="P895" i="7"/>
  <c r="B895" i="7"/>
  <c r="P894" i="7"/>
  <c r="P893" i="7"/>
  <c r="B893" i="7"/>
  <c r="V892" i="7"/>
  <c r="B892" i="7"/>
  <c r="V891" i="7"/>
  <c r="P891" i="7"/>
  <c r="B891" i="7"/>
  <c r="P890" i="7"/>
  <c r="P889" i="7"/>
  <c r="B889" i="7"/>
  <c r="V888" i="7"/>
  <c r="B888" i="7"/>
  <c r="V887" i="7"/>
  <c r="P887" i="7"/>
  <c r="B887" i="7"/>
  <c r="P886" i="7"/>
  <c r="P885" i="7"/>
  <c r="B885" i="7"/>
  <c r="V884" i="7"/>
  <c r="B884" i="7"/>
  <c r="V883" i="7"/>
  <c r="P883" i="7"/>
  <c r="B883" i="7"/>
  <c r="P882" i="7"/>
  <c r="P881" i="7"/>
  <c r="B881" i="7"/>
  <c r="V880" i="7"/>
  <c r="B880" i="7"/>
  <c r="V879" i="7"/>
  <c r="P879" i="7"/>
  <c r="B879" i="7"/>
  <c r="P878" i="7"/>
  <c r="P877" i="7"/>
  <c r="B877" i="7"/>
  <c r="V876" i="7"/>
  <c r="B876" i="7"/>
  <c r="V875" i="7"/>
  <c r="P875" i="7"/>
  <c r="B875" i="7"/>
  <c r="P874" i="7"/>
  <c r="P873" i="7"/>
  <c r="B873" i="7"/>
  <c r="V872" i="7"/>
  <c r="B872" i="7"/>
  <c r="V871" i="7"/>
  <c r="P871" i="7"/>
  <c r="B871" i="7"/>
  <c r="P870" i="7"/>
  <c r="P869" i="7"/>
  <c r="L869" i="7"/>
  <c r="D869" i="7"/>
  <c r="E868" i="7"/>
  <c r="V867" i="7"/>
  <c r="R867" i="7"/>
  <c r="N867" i="7"/>
  <c r="F867" i="7"/>
  <c r="B867" i="7"/>
  <c r="W866" i="7"/>
  <c r="C866" i="7"/>
  <c r="X865" i="7"/>
  <c r="T865" i="7"/>
  <c r="P865" i="7"/>
  <c r="L865" i="7"/>
  <c r="D865" i="7"/>
  <c r="E864" i="7"/>
  <c r="V863" i="7"/>
  <c r="R863" i="7"/>
  <c r="N863" i="7"/>
  <c r="F863" i="7"/>
  <c r="B863" i="7"/>
  <c r="W862" i="7"/>
  <c r="C862" i="7"/>
  <c r="X861" i="7"/>
  <c r="T861" i="7"/>
  <c r="P861" i="7"/>
  <c r="L861" i="7"/>
  <c r="D861" i="7"/>
  <c r="E860" i="7"/>
  <c r="V859" i="7"/>
  <c r="R859" i="7"/>
  <c r="N859" i="7"/>
  <c r="F859" i="7"/>
  <c r="B859" i="7"/>
  <c r="W858" i="7"/>
  <c r="C858" i="7"/>
  <c r="X857" i="7"/>
  <c r="T857" i="7"/>
  <c r="P857" i="7"/>
  <c r="L857" i="7"/>
  <c r="D857" i="7"/>
  <c r="E856" i="7"/>
  <c r="V855" i="7"/>
  <c r="R855" i="7"/>
  <c r="N855" i="7"/>
  <c r="F855" i="7"/>
  <c r="B855" i="7"/>
  <c r="W854" i="7"/>
  <c r="C854" i="7"/>
  <c r="X853" i="7"/>
  <c r="T853" i="7"/>
  <c r="P853" i="7"/>
  <c r="L853" i="7"/>
  <c r="D853" i="7"/>
  <c r="E852" i="7"/>
  <c r="V851" i="7"/>
  <c r="R851" i="7"/>
  <c r="N851" i="7"/>
  <c r="F851" i="7"/>
  <c r="B851" i="7"/>
  <c r="W850" i="7"/>
  <c r="C850" i="7"/>
  <c r="X849" i="7"/>
  <c r="T849" i="7"/>
  <c r="P849" i="7"/>
  <c r="L849" i="7"/>
  <c r="D849" i="7"/>
  <c r="E848" i="7"/>
  <c r="V847" i="7"/>
  <c r="R847" i="7"/>
  <c r="N847" i="7"/>
  <c r="F847" i="7"/>
  <c r="B847" i="7"/>
  <c r="W846" i="7"/>
  <c r="C846" i="7"/>
  <c r="X845" i="7"/>
  <c r="T845" i="7"/>
  <c r="P845" i="7"/>
  <c r="L845" i="7"/>
  <c r="D845" i="7"/>
  <c r="E844" i="7"/>
  <c r="V843" i="7"/>
  <c r="R843" i="7"/>
  <c r="N843" i="7"/>
  <c r="F843" i="7"/>
  <c r="B843" i="7"/>
  <c r="W842" i="7"/>
  <c r="C842" i="7"/>
  <c r="X841" i="7"/>
  <c r="T841" i="7"/>
  <c r="P841" i="7"/>
  <c r="L841" i="7"/>
  <c r="D841" i="7"/>
  <c r="E840" i="7"/>
  <c r="V839" i="7"/>
  <c r="R839" i="7"/>
  <c r="N839" i="7"/>
  <c r="F839" i="7"/>
  <c r="B839" i="7"/>
  <c r="W838" i="7"/>
  <c r="C838" i="7"/>
  <c r="X837" i="7"/>
  <c r="T837" i="7"/>
  <c r="P837" i="7"/>
  <c r="L837" i="7"/>
  <c r="D837" i="7"/>
  <c r="E836" i="7"/>
  <c r="V835" i="7"/>
  <c r="R835" i="7"/>
  <c r="N835" i="7"/>
  <c r="F835" i="7"/>
  <c r="B835" i="7"/>
  <c r="W834" i="7"/>
  <c r="C834" i="7"/>
  <c r="X833" i="7"/>
  <c r="T833" i="7"/>
  <c r="P833" i="7"/>
  <c r="L833" i="7"/>
  <c r="D833" i="7"/>
  <c r="E832" i="7"/>
  <c r="V831" i="7"/>
  <c r="R831" i="7"/>
  <c r="N831" i="7"/>
  <c r="F831" i="7"/>
  <c r="B831" i="7"/>
  <c r="W830" i="7"/>
  <c r="C830" i="7"/>
  <c r="X829" i="7"/>
  <c r="T829" i="7"/>
  <c r="P829" i="7"/>
  <c r="L829" i="7"/>
  <c r="D829" i="7"/>
  <c r="E828" i="7"/>
  <c r="V827" i="7"/>
  <c r="R827" i="7"/>
  <c r="N827" i="7"/>
  <c r="F827" i="7"/>
  <c r="B827" i="7"/>
  <c r="W826" i="7"/>
  <c r="C826" i="7"/>
  <c r="X825" i="7"/>
  <c r="T825" i="7"/>
  <c r="P825" i="7"/>
  <c r="L825" i="7"/>
  <c r="D825" i="7"/>
  <c r="E824" i="7"/>
  <c r="V823" i="7"/>
  <c r="R823" i="7"/>
  <c r="N823" i="7"/>
  <c r="F823" i="7"/>
  <c r="B823" i="7"/>
  <c r="W822" i="7"/>
  <c r="C822" i="7"/>
  <c r="X821" i="7"/>
  <c r="T821" i="7"/>
  <c r="P821" i="7"/>
  <c r="L821" i="7"/>
  <c r="D821" i="7"/>
  <c r="E820" i="7"/>
  <c r="V819" i="7"/>
  <c r="R819" i="7"/>
  <c r="N819" i="7"/>
  <c r="F819" i="7"/>
  <c r="B819" i="7"/>
  <c r="W818" i="7"/>
  <c r="C818" i="7"/>
  <c r="X817" i="7"/>
  <c r="T817" i="7"/>
  <c r="P817" i="7"/>
  <c r="L817" i="7"/>
  <c r="D817" i="7"/>
  <c r="E816" i="7"/>
  <c r="V815" i="7"/>
  <c r="R815" i="7"/>
  <c r="N815" i="7"/>
  <c r="F815" i="7"/>
  <c r="B815" i="7"/>
  <c r="W814" i="7"/>
  <c r="C814" i="7"/>
  <c r="X813" i="7"/>
  <c r="T813" i="7"/>
  <c r="P813" i="7"/>
  <c r="L813" i="7"/>
  <c r="D813" i="7"/>
  <c r="E812" i="7"/>
  <c r="V811" i="7"/>
  <c r="R811" i="7"/>
  <c r="N811" i="7"/>
  <c r="F811" i="7"/>
  <c r="B811" i="7"/>
  <c r="W810" i="7"/>
  <c r="C810" i="7"/>
  <c r="X809" i="7"/>
  <c r="T809" i="7"/>
  <c r="P809" i="7"/>
  <c r="L809" i="7"/>
  <c r="D809" i="7"/>
  <c r="E808" i="7"/>
  <c r="V807" i="7"/>
  <c r="R807" i="7"/>
  <c r="N807" i="7"/>
  <c r="F807" i="7"/>
  <c r="B807" i="7"/>
  <c r="W806" i="7"/>
  <c r="C806" i="7"/>
  <c r="X805" i="7"/>
  <c r="T805" i="7"/>
  <c r="P805" i="7"/>
  <c r="L805" i="7"/>
  <c r="D805" i="7"/>
  <c r="E804" i="7"/>
  <c r="V803" i="7"/>
  <c r="R803" i="7"/>
  <c r="N803" i="7"/>
  <c r="F803" i="7"/>
  <c r="B803" i="7"/>
  <c r="W802" i="7"/>
  <c r="C802" i="7"/>
  <c r="X801" i="7"/>
  <c r="T801" i="7"/>
  <c r="P801" i="7"/>
  <c r="L801" i="7"/>
  <c r="D801" i="7"/>
  <c r="E800" i="7"/>
  <c r="V799" i="7"/>
  <c r="R799" i="7"/>
  <c r="N799" i="7"/>
  <c r="F799" i="7"/>
  <c r="B799" i="7"/>
  <c r="W798" i="7"/>
  <c r="C798" i="7"/>
  <c r="X797" i="7"/>
  <c r="T797" i="7"/>
  <c r="P797" i="7"/>
  <c r="L797" i="7"/>
  <c r="D797" i="7"/>
  <c r="E796" i="7"/>
  <c r="V795" i="7"/>
  <c r="R795" i="7"/>
  <c r="N795" i="7"/>
  <c r="F795" i="7"/>
  <c r="B795" i="7"/>
  <c r="W794" i="7"/>
  <c r="C794" i="7"/>
  <c r="X793" i="7"/>
  <c r="T793" i="7"/>
  <c r="P793" i="7"/>
  <c r="L793" i="7"/>
  <c r="D793" i="7"/>
  <c r="E792" i="7"/>
  <c r="V791" i="7"/>
  <c r="R791" i="7"/>
  <c r="N791" i="7"/>
  <c r="F791" i="7"/>
  <c r="B791" i="7"/>
  <c r="W790" i="7"/>
  <c r="C790" i="7"/>
  <c r="X789" i="7"/>
  <c r="T789" i="7"/>
  <c r="P789" i="7"/>
  <c r="L789" i="7"/>
  <c r="D789" i="7"/>
  <c r="E788" i="7"/>
  <c r="V787" i="7"/>
  <c r="R787" i="7"/>
  <c r="N787" i="7"/>
  <c r="F787" i="7"/>
  <c r="B787" i="7"/>
  <c r="W786" i="7"/>
  <c r="C786" i="7"/>
  <c r="X785" i="7"/>
  <c r="T785" i="7"/>
  <c r="P785" i="7"/>
  <c r="L785" i="7"/>
  <c r="D785" i="7"/>
  <c r="E784" i="7"/>
  <c r="V783" i="7"/>
  <c r="R783" i="7"/>
  <c r="N783" i="7"/>
  <c r="F783" i="7"/>
  <c r="B783" i="7"/>
  <c r="W782" i="7"/>
  <c r="C782" i="7"/>
  <c r="X781" i="7"/>
  <c r="T781" i="7"/>
  <c r="P781" i="7"/>
  <c r="L781" i="7"/>
  <c r="D781" i="7"/>
  <c r="E780" i="7"/>
  <c r="V779" i="7"/>
  <c r="R779" i="7"/>
  <c r="N779" i="7"/>
  <c r="F779" i="7"/>
  <c r="B779" i="7"/>
  <c r="W778" i="7"/>
  <c r="C778" i="7"/>
  <c r="X777" i="7"/>
  <c r="T777" i="7"/>
  <c r="P777" i="7"/>
  <c r="L777" i="7"/>
  <c r="D777" i="7"/>
  <c r="E776" i="7"/>
  <c r="V775" i="7"/>
  <c r="R775" i="7"/>
  <c r="N775" i="7"/>
  <c r="F775" i="7"/>
  <c r="B775" i="7"/>
  <c r="W774" i="7"/>
  <c r="C774" i="7"/>
  <c r="X773" i="7"/>
  <c r="T773" i="7"/>
  <c r="P773" i="7"/>
  <c r="L773" i="7"/>
  <c r="D773" i="7"/>
  <c r="E772" i="7"/>
  <c r="V771" i="7"/>
  <c r="R771" i="7"/>
  <c r="N771" i="7"/>
  <c r="F771" i="7"/>
  <c r="B771" i="7"/>
  <c r="W770" i="7"/>
  <c r="C770" i="7"/>
  <c r="X769" i="7"/>
  <c r="T769" i="7"/>
  <c r="P769" i="7"/>
  <c r="L769" i="7"/>
  <c r="D769" i="7"/>
  <c r="E768" i="7"/>
  <c r="V767" i="7"/>
  <c r="R767" i="7"/>
  <c r="N767" i="7"/>
  <c r="F767" i="7"/>
  <c r="B767" i="7"/>
  <c r="W766" i="7"/>
  <c r="C766" i="7"/>
  <c r="X765" i="7"/>
  <c r="T765" i="7"/>
  <c r="P765" i="7"/>
  <c r="L765" i="7"/>
  <c r="D765" i="7"/>
  <c r="E764" i="7"/>
  <c r="V763" i="7"/>
  <c r="R763" i="7"/>
  <c r="N763" i="7"/>
  <c r="F763" i="7"/>
  <c r="B763" i="7"/>
  <c r="W762" i="7"/>
  <c r="C762" i="7"/>
  <c r="X761" i="7"/>
  <c r="T761" i="7"/>
  <c r="P761" i="7"/>
  <c r="L761" i="7"/>
  <c r="D761" i="7"/>
  <c r="E760" i="7"/>
  <c r="V759" i="7"/>
  <c r="R759" i="7"/>
  <c r="N759" i="7"/>
  <c r="F759" i="7"/>
  <c r="B759" i="7"/>
  <c r="W758" i="7"/>
  <c r="C758" i="7"/>
  <c r="X757" i="7"/>
  <c r="T757" i="7"/>
  <c r="P757" i="7"/>
  <c r="L757" i="7"/>
  <c r="D757" i="7"/>
  <c r="E756" i="7"/>
  <c r="V755" i="7"/>
  <c r="R755" i="7"/>
  <c r="N755" i="7"/>
  <c r="F755" i="7"/>
  <c r="B755" i="7"/>
  <c r="W754" i="7"/>
  <c r="C754" i="7"/>
  <c r="X753" i="7"/>
  <c r="T753" i="7"/>
  <c r="P753" i="7"/>
  <c r="L753" i="7"/>
  <c r="D753" i="7"/>
  <c r="E752" i="7"/>
  <c r="V751" i="7"/>
  <c r="R751" i="7"/>
  <c r="N751" i="7"/>
  <c r="F751" i="7"/>
  <c r="B751" i="7"/>
  <c r="W750" i="7"/>
  <c r="C750" i="7"/>
  <c r="X749" i="7"/>
  <c r="T749" i="7"/>
  <c r="P749" i="7"/>
  <c r="L749" i="7"/>
  <c r="D749" i="7"/>
  <c r="E748" i="7"/>
  <c r="V747" i="7"/>
  <c r="R747" i="7"/>
  <c r="N747" i="7"/>
  <c r="F747" i="7"/>
  <c r="B747" i="7"/>
  <c r="W746" i="7"/>
  <c r="C746" i="7"/>
  <c r="X745" i="7"/>
  <c r="T745" i="7"/>
  <c r="P745" i="7"/>
  <c r="L745" i="7"/>
  <c r="D745" i="7"/>
  <c r="E744" i="7"/>
  <c r="V743" i="7"/>
  <c r="R743" i="7"/>
  <c r="N743" i="7"/>
  <c r="F743" i="7"/>
  <c r="B743" i="7"/>
  <c r="W742" i="7"/>
  <c r="C742" i="7"/>
  <c r="X741" i="7"/>
  <c r="T741" i="7"/>
  <c r="P741" i="7"/>
  <c r="L741" i="7"/>
  <c r="D741" i="7"/>
  <c r="E740" i="7"/>
  <c r="V739" i="7"/>
  <c r="R739" i="7"/>
  <c r="N739" i="7"/>
  <c r="F739" i="7"/>
  <c r="B739" i="7"/>
  <c r="W738" i="7"/>
  <c r="C738" i="7"/>
  <c r="X737" i="7"/>
  <c r="T737" i="7"/>
  <c r="P737" i="7"/>
  <c r="L737" i="7"/>
  <c r="D737" i="7"/>
  <c r="E736" i="7"/>
  <c r="V735" i="7"/>
  <c r="R735" i="7"/>
  <c r="N735" i="7"/>
  <c r="F735" i="7"/>
  <c r="B735" i="7"/>
  <c r="W734" i="7"/>
  <c r="C734" i="7"/>
  <c r="X733" i="7"/>
  <c r="T733" i="7"/>
  <c r="P733" i="7"/>
  <c r="L733" i="7"/>
  <c r="D733" i="7"/>
  <c r="E732" i="7"/>
  <c r="V731" i="7"/>
  <c r="R731" i="7"/>
  <c r="N731" i="7"/>
  <c r="F731" i="7"/>
  <c r="B731" i="7"/>
  <c r="W730" i="7"/>
  <c r="C730" i="7"/>
  <c r="X729" i="7"/>
  <c r="T729" i="7"/>
  <c r="P729" i="7"/>
  <c r="L729" i="7"/>
  <c r="D729" i="7"/>
  <c r="E728" i="7"/>
  <c r="V727" i="7"/>
  <c r="R727" i="7"/>
  <c r="N727" i="7"/>
  <c r="F727" i="7"/>
  <c r="B727" i="7"/>
  <c r="W726" i="7"/>
  <c r="C726" i="7"/>
  <c r="X725" i="7"/>
  <c r="T725" i="7"/>
  <c r="P725" i="7"/>
  <c r="L725" i="7"/>
  <c r="D725" i="7"/>
  <c r="E724" i="7"/>
  <c r="V723" i="7"/>
  <c r="R723" i="7"/>
  <c r="N723" i="7"/>
  <c r="F723" i="7"/>
  <c r="B723" i="7"/>
  <c r="W722" i="7"/>
  <c r="C722" i="7"/>
  <c r="X721" i="7"/>
  <c r="T721" i="7"/>
  <c r="P721" i="7"/>
  <c r="L721" i="7"/>
  <c r="D721" i="7"/>
  <c r="E720" i="7"/>
  <c r="V719" i="7"/>
  <c r="R719" i="7"/>
  <c r="N719" i="7"/>
  <c r="F719" i="7"/>
  <c r="B719" i="7"/>
  <c r="W718" i="7"/>
  <c r="C718" i="7"/>
  <c r="X717" i="7"/>
  <c r="T717" i="7"/>
  <c r="P717" i="7"/>
  <c r="L717" i="7"/>
  <c r="D717" i="7"/>
  <c r="E716" i="7"/>
  <c r="V715" i="7"/>
  <c r="R715" i="7"/>
  <c r="N715" i="7"/>
  <c r="F715" i="7"/>
  <c r="B715" i="7"/>
  <c r="W714" i="7"/>
  <c r="C714" i="7"/>
  <c r="X713" i="7"/>
  <c r="T713" i="7"/>
  <c r="P713" i="7"/>
  <c r="L713" i="7"/>
  <c r="D713" i="7"/>
  <c r="E712" i="7"/>
  <c r="V711" i="7"/>
  <c r="R711" i="7"/>
  <c r="N711" i="7"/>
  <c r="F711" i="7"/>
  <c r="B711" i="7"/>
  <c r="W710" i="7"/>
  <c r="C710" i="7"/>
  <c r="X709" i="7"/>
  <c r="T709" i="7"/>
  <c r="P709" i="7"/>
  <c r="L709" i="7"/>
  <c r="D709" i="7"/>
  <c r="E708" i="7"/>
  <c r="V707" i="7"/>
  <c r="R707" i="7"/>
  <c r="N707" i="7"/>
  <c r="F707" i="7"/>
  <c r="B707" i="7"/>
  <c r="W706" i="7"/>
  <c r="C706" i="7"/>
  <c r="X705" i="7"/>
  <c r="T705" i="7"/>
  <c r="P705" i="7"/>
  <c r="L705" i="7"/>
  <c r="D705" i="7"/>
  <c r="E704" i="7"/>
  <c r="V703" i="7"/>
  <c r="R703" i="7"/>
  <c r="N703" i="7"/>
  <c r="F703" i="7"/>
  <c r="B703" i="7"/>
  <c r="W702" i="7"/>
  <c r="C702" i="7"/>
  <c r="X701" i="7"/>
  <c r="T701" i="7"/>
  <c r="P701" i="7"/>
  <c r="L701" i="7"/>
  <c r="D701" i="7"/>
  <c r="E700" i="7"/>
  <c r="V699" i="7"/>
  <c r="R699" i="7"/>
  <c r="N699" i="7"/>
  <c r="F699" i="7"/>
  <c r="B699" i="7"/>
  <c r="W698" i="7"/>
  <c r="C698" i="7"/>
  <c r="X697" i="7"/>
  <c r="T697" i="7"/>
  <c r="P697" i="7"/>
  <c r="L697" i="7"/>
  <c r="D697" i="7"/>
  <c r="E696" i="7"/>
  <c r="V695" i="7"/>
  <c r="R695" i="7"/>
  <c r="N695" i="7"/>
  <c r="F695" i="7"/>
  <c r="B695" i="7"/>
  <c r="W694" i="7"/>
  <c r="C694" i="7"/>
  <c r="X693" i="7"/>
  <c r="T693" i="7"/>
  <c r="P693" i="7"/>
  <c r="L693" i="7"/>
  <c r="D693" i="7"/>
  <c r="E692" i="7"/>
  <c r="V691" i="7"/>
  <c r="R691" i="7"/>
  <c r="N691" i="7"/>
  <c r="F691" i="7"/>
  <c r="B691" i="7"/>
  <c r="W690" i="7"/>
  <c r="C690" i="7"/>
  <c r="X689" i="7"/>
  <c r="T689" i="7"/>
  <c r="P689" i="7"/>
  <c r="L689" i="7"/>
  <c r="D689" i="7"/>
  <c r="E688" i="7"/>
  <c r="V687" i="7"/>
  <c r="R687" i="7"/>
  <c r="N687" i="7"/>
  <c r="F687" i="7"/>
  <c r="B687" i="7"/>
  <c r="W686" i="7"/>
  <c r="C686" i="7"/>
  <c r="X685" i="7"/>
  <c r="T685" i="7"/>
  <c r="P685" i="7"/>
  <c r="L685" i="7"/>
  <c r="D685" i="7"/>
  <c r="E684" i="7"/>
  <c r="V683" i="7"/>
  <c r="R683" i="7"/>
  <c r="N683" i="7"/>
  <c r="F683" i="7"/>
  <c r="B683" i="7"/>
  <c r="W682" i="7"/>
  <c r="C682" i="7"/>
  <c r="X681" i="7"/>
  <c r="T681" i="7"/>
  <c r="P681" i="7"/>
  <c r="L681" i="7"/>
  <c r="D681" i="7"/>
  <c r="E680" i="7"/>
  <c r="V679" i="7"/>
  <c r="R679" i="7"/>
  <c r="N679" i="7"/>
  <c r="F679" i="7"/>
  <c r="B679" i="7"/>
  <c r="W678" i="7"/>
  <c r="C678" i="7"/>
  <c r="X677" i="7"/>
  <c r="T677" i="7"/>
  <c r="P677" i="7"/>
  <c r="L677" i="7"/>
  <c r="D677" i="7"/>
  <c r="E676" i="7"/>
  <c r="V675" i="7"/>
  <c r="R675" i="7"/>
  <c r="N675" i="7"/>
  <c r="F675" i="7"/>
  <c r="B675" i="7"/>
  <c r="W674" i="7"/>
  <c r="C674" i="7"/>
  <c r="X673" i="7"/>
  <c r="T673" i="7"/>
  <c r="P673" i="7"/>
  <c r="L673" i="7"/>
  <c r="D673" i="7"/>
  <c r="E672" i="7"/>
  <c r="V671" i="7"/>
  <c r="R671" i="7"/>
  <c r="N671" i="7"/>
  <c r="F671" i="7"/>
  <c r="B671" i="7"/>
  <c r="W670" i="7"/>
  <c r="C670" i="7"/>
  <c r="X669" i="7"/>
  <c r="T669" i="7"/>
  <c r="P669" i="7"/>
  <c r="L669" i="7"/>
  <c r="D669" i="7"/>
  <c r="E668" i="7"/>
  <c r="V667" i="7"/>
  <c r="R667" i="7"/>
  <c r="N667" i="7"/>
  <c r="F667" i="7"/>
  <c r="B667" i="7"/>
  <c r="W666" i="7"/>
  <c r="C666" i="7"/>
  <c r="X665" i="7"/>
  <c r="T665" i="7"/>
  <c r="P665" i="7"/>
  <c r="L665" i="7"/>
  <c r="D665" i="7"/>
  <c r="E664" i="7"/>
  <c r="V663" i="7"/>
  <c r="R663" i="7"/>
  <c r="N663" i="7"/>
  <c r="F663" i="7"/>
  <c r="B663" i="7"/>
  <c r="W662" i="7"/>
  <c r="C662" i="7"/>
  <c r="X661" i="7"/>
  <c r="T661" i="7"/>
  <c r="P661" i="7"/>
  <c r="L661" i="7"/>
  <c r="D661" i="7"/>
  <c r="E660" i="7"/>
  <c r="V659" i="7"/>
  <c r="R659" i="7"/>
  <c r="N659" i="7"/>
  <c r="F659" i="7"/>
  <c r="B659" i="7"/>
  <c r="W658" i="7"/>
  <c r="C658" i="7"/>
  <c r="X657" i="7"/>
  <c r="T657" i="7"/>
  <c r="P657" i="7"/>
  <c r="L657" i="7"/>
  <c r="D657" i="7"/>
  <c r="E656" i="7"/>
  <c r="V655" i="7"/>
  <c r="R655" i="7"/>
  <c r="N655" i="7"/>
  <c r="F655" i="7"/>
  <c r="B655" i="7"/>
  <c r="W654" i="7"/>
  <c r="C654" i="7"/>
  <c r="X653" i="7"/>
  <c r="T653" i="7"/>
  <c r="P653" i="7"/>
  <c r="L653" i="7"/>
  <c r="D653" i="7"/>
  <c r="E652" i="7"/>
  <c r="V651" i="7"/>
  <c r="R651" i="7"/>
  <c r="N651" i="7"/>
  <c r="F651" i="7"/>
  <c r="B651" i="7"/>
  <c r="W650" i="7"/>
  <c r="C650" i="7"/>
  <c r="X649" i="7"/>
  <c r="T649" i="7"/>
  <c r="P649" i="7"/>
  <c r="L649" i="7"/>
  <c r="D649" i="7"/>
  <c r="E648" i="7"/>
  <c r="V647" i="7"/>
  <c r="R647" i="7"/>
  <c r="N647" i="7"/>
  <c r="F647" i="7"/>
  <c r="B647" i="7"/>
  <c r="W646" i="7"/>
  <c r="C646" i="7"/>
  <c r="X645" i="7"/>
  <c r="T645" i="7"/>
  <c r="P645" i="7"/>
  <c r="L645" i="7"/>
  <c r="D645" i="7"/>
  <c r="E644" i="7"/>
  <c r="V643" i="7"/>
  <c r="R643" i="7"/>
  <c r="N643" i="7"/>
  <c r="F643" i="7"/>
  <c r="B643" i="7"/>
  <c r="W642" i="7"/>
  <c r="C642" i="7"/>
  <c r="X641" i="7"/>
  <c r="T641" i="7"/>
  <c r="P641" i="7"/>
  <c r="L641" i="7"/>
  <c r="D641" i="7"/>
  <c r="E640" i="7"/>
  <c r="V639" i="7"/>
  <c r="R639" i="7"/>
  <c r="N639" i="7"/>
  <c r="F639" i="7"/>
  <c r="B639" i="7"/>
  <c r="W638" i="7"/>
  <c r="C638" i="7"/>
  <c r="X637" i="7"/>
  <c r="T637" i="7"/>
  <c r="P637" i="7"/>
  <c r="L637" i="7"/>
  <c r="D637" i="7"/>
  <c r="E636" i="7"/>
  <c r="V635" i="7"/>
  <c r="R635" i="7"/>
  <c r="N635" i="7"/>
  <c r="F635" i="7"/>
  <c r="B635" i="7"/>
  <c r="W634" i="7"/>
  <c r="C634" i="7"/>
  <c r="X633" i="7"/>
  <c r="T633" i="7"/>
  <c r="P633" i="7"/>
  <c r="L633" i="7"/>
  <c r="D633" i="7"/>
  <c r="E632" i="7"/>
  <c r="V631" i="7"/>
  <c r="R631" i="7"/>
  <c r="N631" i="7"/>
  <c r="F631" i="7"/>
  <c r="B631" i="7"/>
  <c r="W630" i="7"/>
  <c r="C630" i="7"/>
  <c r="X629" i="7"/>
  <c r="T629" i="7"/>
  <c r="P629" i="7"/>
  <c r="L629" i="7"/>
  <c r="D629" i="7"/>
  <c r="E628" i="7"/>
  <c r="V627" i="7"/>
  <c r="R627" i="7"/>
  <c r="N627" i="7"/>
  <c r="F627" i="7"/>
  <c r="B627" i="7"/>
  <c r="W626" i="7"/>
  <c r="C626" i="7"/>
  <c r="X625" i="7"/>
  <c r="T625" i="7"/>
  <c r="P625" i="7"/>
  <c r="L625" i="7"/>
  <c r="D625" i="7"/>
  <c r="E624" i="7"/>
  <c r="V623" i="7"/>
  <c r="R623" i="7"/>
  <c r="N623" i="7"/>
  <c r="F623" i="7"/>
  <c r="B623" i="7"/>
  <c r="W622" i="7"/>
  <c r="C622" i="7"/>
  <c r="X621" i="7"/>
  <c r="T621" i="7"/>
  <c r="P621" i="7"/>
  <c r="L621" i="7"/>
  <c r="D621" i="7"/>
  <c r="E620" i="7"/>
  <c r="V619" i="7"/>
  <c r="R619" i="7"/>
  <c r="N619" i="7"/>
  <c r="F619" i="7"/>
  <c r="B619" i="7"/>
  <c r="W618" i="7"/>
  <c r="C618" i="7"/>
  <c r="X617" i="7"/>
  <c r="T617" i="7"/>
  <c r="P617" i="7"/>
  <c r="L617" i="7"/>
  <c r="D617" i="7"/>
  <c r="E616" i="7"/>
  <c r="V615" i="7"/>
  <c r="R615" i="7"/>
  <c r="N615" i="7"/>
  <c r="F615" i="7"/>
  <c r="B615" i="7"/>
  <c r="W614" i="7"/>
  <c r="C614" i="7"/>
  <c r="X613" i="7"/>
  <c r="T613" i="7"/>
  <c r="P613" i="7"/>
  <c r="L613" i="7"/>
  <c r="D613" i="7"/>
  <c r="E612" i="7"/>
  <c r="V611" i="7"/>
  <c r="R611" i="7"/>
  <c r="N611" i="7"/>
  <c r="F611" i="7"/>
  <c r="B611" i="7"/>
  <c r="W610" i="7"/>
  <c r="C610" i="7"/>
  <c r="X609" i="7"/>
  <c r="T609" i="7"/>
  <c r="P609" i="7"/>
  <c r="L609" i="7"/>
  <c r="D609" i="7"/>
  <c r="E608" i="7"/>
  <c r="V607" i="7"/>
  <c r="R607" i="7"/>
  <c r="N607" i="7"/>
  <c r="F607" i="7"/>
  <c r="B607" i="7"/>
  <c r="W606" i="7"/>
  <c r="C606" i="7"/>
  <c r="X605" i="7"/>
  <c r="T605" i="7"/>
  <c r="P605" i="7"/>
  <c r="L605" i="7"/>
  <c r="D605" i="7"/>
  <c r="E604" i="7"/>
  <c r="V603" i="7"/>
  <c r="R603" i="7"/>
  <c r="N603" i="7"/>
  <c r="F603" i="7"/>
  <c r="B603" i="7"/>
  <c r="W602" i="7"/>
  <c r="C602" i="7"/>
  <c r="X601" i="7"/>
  <c r="T601" i="7"/>
  <c r="P601" i="7"/>
  <c r="L601" i="7"/>
  <c r="D601" i="7"/>
  <c r="E600" i="7"/>
  <c r="V599" i="7"/>
  <c r="R599" i="7"/>
  <c r="N599" i="7"/>
  <c r="F599" i="7"/>
  <c r="B599" i="7"/>
  <c r="W598" i="7"/>
  <c r="C598" i="7"/>
  <c r="X597" i="7"/>
  <c r="T597" i="7"/>
  <c r="P597" i="7"/>
  <c r="L597" i="7"/>
  <c r="D597" i="7"/>
  <c r="E596" i="7"/>
  <c r="V595" i="7"/>
  <c r="R595" i="7"/>
  <c r="N595" i="7"/>
  <c r="F595" i="7"/>
  <c r="B595" i="7"/>
  <c r="W594" i="7"/>
  <c r="C594" i="7"/>
  <c r="X593" i="7"/>
  <c r="T593" i="7"/>
  <c r="P593" i="7"/>
  <c r="L593" i="7"/>
  <c r="D593" i="7"/>
  <c r="E592" i="7"/>
  <c r="V591" i="7"/>
  <c r="R591" i="7"/>
  <c r="N591" i="7"/>
  <c r="F591" i="7"/>
  <c r="B591" i="7"/>
  <c r="W590" i="7"/>
  <c r="C590" i="7"/>
  <c r="X589" i="7"/>
  <c r="T589" i="7"/>
  <c r="P589" i="7"/>
  <c r="L589" i="7"/>
  <c r="D589" i="7"/>
  <c r="E588" i="7"/>
  <c r="V587" i="7"/>
  <c r="R587" i="7"/>
  <c r="N587" i="7"/>
  <c r="F587" i="7"/>
  <c r="B587" i="7"/>
  <c r="W586" i="7"/>
  <c r="C586" i="7"/>
  <c r="X585" i="7"/>
  <c r="T585" i="7"/>
  <c r="P585" i="7"/>
  <c r="L585" i="7"/>
  <c r="D585" i="7"/>
  <c r="E584" i="7"/>
  <c r="V583" i="7"/>
  <c r="R583" i="7"/>
  <c r="N583" i="7"/>
  <c r="F583" i="7"/>
  <c r="B583" i="7"/>
  <c r="W582" i="7"/>
  <c r="C582" i="7"/>
  <c r="X581" i="7"/>
  <c r="T581" i="7"/>
  <c r="P581" i="7"/>
  <c r="L581" i="7"/>
  <c r="D581" i="7"/>
  <c r="E580" i="7"/>
  <c r="V579" i="7"/>
  <c r="R579" i="7"/>
  <c r="N579" i="7"/>
  <c r="F579" i="7"/>
  <c r="B579" i="7"/>
  <c r="W578" i="7"/>
  <c r="C578" i="7"/>
  <c r="X577" i="7"/>
  <c r="T577" i="7"/>
  <c r="P577" i="7"/>
  <c r="L577" i="7"/>
  <c r="D577" i="7"/>
  <c r="E576" i="7"/>
  <c r="V575" i="7"/>
  <c r="R575" i="7"/>
  <c r="N575" i="7"/>
  <c r="F575" i="7"/>
  <c r="B575" i="7"/>
  <c r="W574" i="7"/>
  <c r="C574" i="7"/>
  <c r="X573" i="7"/>
  <c r="T573" i="7"/>
  <c r="P573" i="7"/>
  <c r="L573" i="7"/>
  <c r="D573" i="7"/>
  <c r="E572" i="7"/>
  <c r="V571" i="7"/>
  <c r="R571" i="7"/>
  <c r="N571" i="7"/>
  <c r="F571" i="7"/>
  <c r="B571" i="7"/>
  <c r="W570" i="7"/>
  <c r="C570" i="7"/>
  <c r="X569" i="7"/>
  <c r="T569" i="7"/>
  <c r="P569" i="7"/>
  <c r="L569" i="7"/>
  <c r="D569" i="7"/>
  <c r="E568" i="7"/>
  <c r="V567" i="7"/>
  <c r="R567" i="7"/>
  <c r="N567" i="7"/>
  <c r="F567" i="7"/>
  <c r="B567" i="7"/>
  <c r="W566" i="7"/>
  <c r="C566" i="7"/>
  <c r="R568" i="7"/>
  <c r="B568" i="7"/>
  <c r="T566" i="7"/>
  <c r="N566" i="7"/>
  <c r="F566" i="7"/>
  <c r="V565" i="7"/>
  <c r="R565" i="7"/>
  <c r="N565" i="7"/>
  <c r="F565" i="7"/>
  <c r="B565" i="7"/>
  <c r="W564" i="7"/>
  <c r="C564" i="7"/>
  <c r="X563" i="7"/>
  <c r="T563" i="7"/>
  <c r="P563" i="7"/>
  <c r="L563" i="7"/>
  <c r="D563" i="7"/>
  <c r="E562" i="7"/>
  <c r="V561" i="7"/>
  <c r="R561" i="7"/>
  <c r="N561" i="7"/>
  <c r="F561" i="7"/>
  <c r="B561" i="7"/>
  <c r="W560" i="7"/>
  <c r="C560" i="7"/>
  <c r="X559" i="7"/>
  <c r="T559" i="7"/>
  <c r="P559" i="7"/>
  <c r="L559" i="7"/>
  <c r="D559" i="7"/>
  <c r="E558" i="7"/>
  <c r="V557" i="7"/>
  <c r="R557" i="7"/>
  <c r="N557" i="7"/>
  <c r="F557" i="7"/>
  <c r="B557" i="7"/>
  <c r="W556" i="7"/>
  <c r="C556" i="7"/>
  <c r="X555" i="7"/>
  <c r="T555" i="7"/>
  <c r="P555" i="7"/>
  <c r="L555" i="7"/>
  <c r="D555" i="7"/>
  <c r="E554" i="7"/>
  <c r="V553" i="7"/>
  <c r="R553" i="7"/>
  <c r="N553" i="7"/>
  <c r="F553" i="7"/>
  <c r="B553" i="7"/>
  <c r="W552" i="7"/>
  <c r="C552" i="7"/>
  <c r="X551" i="7"/>
  <c r="T551" i="7"/>
  <c r="P551" i="7"/>
  <c r="L551" i="7"/>
  <c r="D551" i="7"/>
  <c r="E550" i="7"/>
  <c r="V549" i="7"/>
  <c r="R549" i="7"/>
  <c r="N549" i="7"/>
  <c r="F549" i="7"/>
  <c r="B549" i="7"/>
  <c r="W548" i="7"/>
  <c r="C548" i="7"/>
  <c r="X547" i="7"/>
  <c r="T547" i="7"/>
  <c r="P547" i="7"/>
  <c r="L547" i="7"/>
  <c r="D547" i="7"/>
  <c r="E546" i="7"/>
  <c r="V545" i="7"/>
  <c r="R545" i="7"/>
  <c r="N545" i="7"/>
  <c r="F545" i="7"/>
  <c r="B545" i="7"/>
  <c r="W544" i="7"/>
  <c r="C544" i="7"/>
  <c r="X543" i="7"/>
  <c r="T543" i="7"/>
  <c r="P543" i="7"/>
  <c r="L543" i="7"/>
  <c r="D543" i="7"/>
  <c r="E542" i="7"/>
  <c r="V541" i="7"/>
  <c r="R541" i="7"/>
  <c r="N541" i="7"/>
  <c r="F541" i="7"/>
  <c r="B541" i="7"/>
  <c r="W540" i="7"/>
  <c r="C540" i="7"/>
  <c r="X539" i="7"/>
  <c r="T539" i="7"/>
  <c r="P539" i="7"/>
  <c r="L539" i="7"/>
  <c r="D539" i="7"/>
  <c r="E538" i="7"/>
  <c r="V537" i="7"/>
  <c r="R537" i="7"/>
  <c r="N537" i="7"/>
  <c r="F537" i="7"/>
  <c r="B537" i="7"/>
  <c r="W536" i="7"/>
  <c r="C536" i="7"/>
  <c r="X535" i="7"/>
  <c r="T535" i="7"/>
  <c r="P535" i="7"/>
  <c r="L535" i="7"/>
  <c r="D535" i="7"/>
  <c r="E534" i="7"/>
  <c r="V533" i="7"/>
  <c r="R533" i="7"/>
  <c r="N533" i="7"/>
  <c r="F533" i="7"/>
  <c r="B533" i="7"/>
  <c r="W532" i="7"/>
  <c r="C532" i="7"/>
  <c r="X531" i="7"/>
  <c r="T531" i="7"/>
  <c r="P531" i="7"/>
  <c r="L531" i="7"/>
  <c r="D531" i="7"/>
  <c r="E530" i="7"/>
  <c r="V529" i="7"/>
  <c r="R529" i="7"/>
  <c r="N529" i="7"/>
  <c r="F529" i="7"/>
  <c r="B529" i="7"/>
  <c r="W528" i="7"/>
  <c r="C528" i="7"/>
  <c r="X527" i="7"/>
  <c r="T527" i="7"/>
  <c r="P527" i="7"/>
  <c r="L527" i="7"/>
  <c r="D527" i="7"/>
  <c r="E526" i="7"/>
  <c r="V525" i="7"/>
  <c r="R525" i="7"/>
  <c r="N525" i="7"/>
  <c r="F525" i="7"/>
  <c r="B525" i="7"/>
  <c r="W524" i="7"/>
  <c r="C524" i="7"/>
  <c r="X523" i="7"/>
  <c r="T523" i="7"/>
  <c r="P523" i="7"/>
  <c r="L523" i="7"/>
  <c r="D523" i="7"/>
  <c r="E522" i="7"/>
  <c r="V521" i="7"/>
  <c r="R521" i="7"/>
  <c r="N521" i="7"/>
  <c r="F521" i="7"/>
  <c r="B521" i="7"/>
  <c r="W520" i="7"/>
  <c r="C520" i="7"/>
  <c r="X519" i="7"/>
  <c r="T519" i="7"/>
  <c r="P519" i="7"/>
  <c r="L519" i="7"/>
  <c r="D519" i="7"/>
  <c r="E518" i="7"/>
  <c r="V517" i="7"/>
  <c r="R517" i="7"/>
  <c r="N517" i="7"/>
  <c r="F517" i="7"/>
  <c r="B517" i="7"/>
  <c r="W516" i="7"/>
  <c r="C516" i="7"/>
  <c r="X515" i="7"/>
  <c r="T515" i="7"/>
  <c r="P515" i="7"/>
  <c r="L515" i="7"/>
  <c r="D515" i="7"/>
  <c r="E514" i="7"/>
  <c r="V513" i="7"/>
  <c r="R513" i="7"/>
  <c r="N513" i="7"/>
  <c r="F513" i="7"/>
  <c r="B513" i="7"/>
  <c r="W512" i="7"/>
  <c r="C512" i="7"/>
  <c r="X511" i="7"/>
  <c r="T511" i="7"/>
  <c r="P511" i="7"/>
  <c r="L511" i="7"/>
  <c r="D511" i="7"/>
  <c r="E510" i="7"/>
  <c r="V509" i="7"/>
  <c r="R509" i="7"/>
  <c r="N509" i="7"/>
  <c r="F509" i="7"/>
  <c r="B509" i="7"/>
  <c r="W508" i="7"/>
  <c r="C508" i="7"/>
  <c r="X507" i="7"/>
  <c r="T507" i="7"/>
  <c r="P507" i="7"/>
  <c r="L507" i="7"/>
  <c r="D507" i="7"/>
  <c r="E506" i="7"/>
  <c r="V505" i="7"/>
  <c r="R505" i="7"/>
  <c r="N505" i="7"/>
  <c r="F505" i="7"/>
  <c r="B505" i="7"/>
  <c r="W504" i="7"/>
  <c r="C504" i="7"/>
  <c r="X503" i="7"/>
  <c r="T503" i="7"/>
  <c r="P503" i="7"/>
  <c r="L503" i="7"/>
  <c r="D503" i="7"/>
  <c r="E502" i="7"/>
  <c r="V501" i="7"/>
  <c r="R501" i="7"/>
  <c r="N501" i="7"/>
  <c r="F501" i="7"/>
  <c r="B501" i="7"/>
  <c r="W500" i="7"/>
  <c r="C500" i="7"/>
  <c r="X499" i="7"/>
  <c r="T499" i="7"/>
  <c r="P499" i="7"/>
  <c r="L499" i="7"/>
  <c r="D499" i="7"/>
  <c r="E498" i="7"/>
  <c r="V497" i="7"/>
  <c r="R497" i="7"/>
  <c r="N497" i="7"/>
  <c r="F497" i="7"/>
  <c r="B497" i="7"/>
  <c r="W496" i="7"/>
  <c r="C496" i="7"/>
  <c r="X495" i="7"/>
  <c r="T495" i="7"/>
  <c r="P495" i="7"/>
  <c r="L495" i="7"/>
  <c r="D495" i="7"/>
  <c r="E494" i="7"/>
  <c r="V493" i="7"/>
  <c r="R493" i="7"/>
  <c r="N493" i="7"/>
  <c r="F493" i="7"/>
  <c r="B493" i="7"/>
  <c r="W492" i="7"/>
  <c r="C492" i="7"/>
  <c r="X491" i="7"/>
  <c r="T491" i="7"/>
  <c r="P491" i="7"/>
  <c r="L491" i="7"/>
  <c r="D491" i="7"/>
  <c r="E490" i="7"/>
  <c r="V489" i="7"/>
  <c r="R489" i="7"/>
  <c r="N489" i="7"/>
  <c r="F489" i="7"/>
  <c r="B489" i="7"/>
  <c r="W488" i="7"/>
  <c r="C488" i="7"/>
  <c r="X487" i="7"/>
  <c r="T487" i="7"/>
  <c r="P487" i="7"/>
  <c r="L487" i="7"/>
  <c r="D487" i="7"/>
  <c r="E486" i="7"/>
  <c r="V485" i="7"/>
  <c r="R485" i="7"/>
  <c r="N485" i="7"/>
  <c r="F485" i="7"/>
  <c r="B485" i="7"/>
  <c r="W484" i="7"/>
  <c r="C484" i="7"/>
  <c r="X483" i="7"/>
  <c r="T483" i="7"/>
  <c r="P483" i="7"/>
  <c r="L483" i="7"/>
  <c r="D483" i="7"/>
  <c r="E482" i="7"/>
  <c r="V481" i="7"/>
  <c r="R481" i="7"/>
  <c r="N481" i="7"/>
  <c r="F481" i="7"/>
  <c r="B481" i="7"/>
  <c r="W480" i="7"/>
  <c r="C480" i="7"/>
  <c r="X479" i="7"/>
  <c r="T479" i="7"/>
  <c r="P479" i="7"/>
  <c r="L479" i="7"/>
  <c r="D479" i="7"/>
  <c r="E478" i="7"/>
  <c r="V477" i="7"/>
  <c r="R477" i="7"/>
  <c r="N477" i="7"/>
  <c r="F477" i="7"/>
  <c r="B477" i="7"/>
  <c r="W476" i="7"/>
  <c r="C476" i="7"/>
  <c r="X475" i="7"/>
  <c r="T475" i="7"/>
  <c r="P475" i="7"/>
  <c r="L475" i="7"/>
  <c r="D475" i="7"/>
  <c r="E474" i="7"/>
  <c r="V473" i="7"/>
  <c r="R473" i="7"/>
  <c r="N473" i="7"/>
  <c r="F473" i="7"/>
  <c r="B473" i="7"/>
  <c r="W472" i="7"/>
  <c r="C472" i="7"/>
  <c r="X471" i="7"/>
  <c r="T471" i="7"/>
  <c r="P471" i="7"/>
  <c r="L471" i="7"/>
  <c r="D471" i="7"/>
  <c r="E470" i="7"/>
  <c r="V469" i="7"/>
  <c r="R469" i="7"/>
  <c r="N469" i="7"/>
  <c r="F469" i="7"/>
  <c r="B469" i="7"/>
  <c r="W468" i="7"/>
  <c r="C468" i="7"/>
  <c r="X467" i="7"/>
  <c r="T467" i="7"/>
  <c r="P467" i="7"/>
  <c r="L467" i="7"/>
  <c r="D467" i="7"/>
  <c r="E466" i="7"/>
  <c r="V465" i="7"/>
  <c r="R465" i="7"/>
  <c r="N465" i="7"/>
  <c r="F465" i="7"/>
  <c r="B465" i="7"/>
  <c r="W464" i="7"/>
  <c r="C464" i="7"/>
  <c r="X463" i="7"/>
  <c r="T463" i="7"/>
  <c r="P463" i="7"/>
  <c r="L463" i="7"/>
  <c r="D463" i="7"/>
  <c r="E462" i="7"/>
  <c r="V461" i="7"/>
  <c r="R461" i="7"/>
  <c r="N461" i="7"/>
  <c r="F461" i="7"/>
  <c r="B461" i="7"/>
  <c r="W460" i="7"/>
  <c r="C460" i="7"/>
  <c r="X459" i="7"/>
  <c r="T459" i="7"/>
  <c r="P459" i="7"/>
  <c r="L459" i="7"/>
  <c r="D459" i="7"/>
  <c r="E458" i="7"/>
  <c r="V457" i="7"/>
  <c r="R457" i="7"/>
  <c r="N457" i="7"/>
  <c r="F457" i="7"/>
  <c r="B457" i="7"/>
  <c r="W456" i="7"/>
  <c r="C456" i="7"/>
  <c r="X455" i="7"/>
  <c r="T455" i="7"/>
  <c r="P455" i="7"/>
  <c r="L455" i="7"/>
  <c r="D455" i="7"/>
  <c r="E454" i="7"/>
  <c r="V453" i="7"/>
  <c r="R453" i="7"/>
  <c r="N453" i="7"/>
  <c r="F453" i="7"/>
  <c r="B453" i="7"/>
  <c r="W452" i="7"/>
  <c r="C452" i="7"/>
  <c r="X451" i="7"/>
  <c r="T451" i="7"/>
  <c r="P451" i="7"/>
  <c r="L451" i="7"/>
  <c r="D451" i="7"/>
  <c r="E450" i="7"/>
  <c r="V449" i="7"/>
  <c r="R449" i="7"/>
  <c r="N449" i="7"/>
  <c r="F449" i="7"/>
  <c r="B449" i="7"/>
  <c r="W448" i="7"/>
  <c r="C448" i="7"/>
  <c r="X447" i="7"/>
  <c r="T447" i="7"/>
  <c r="P447" i="7"/>
  <c r="L447" i="7"/>
  <c r="D447" i="7"/>
  <c r="E446" i="7"/>
  <c r="V445" i="7"/>
  <c r="R445" i="7"/>
  <c r="N445" i="7"/>
  <c r="F445" i="7"/>
  <c r="B445" i="7"/>
  <c r="W444" i="7"/>
  <c r="C444" i="7"/>
  <c r="X443" i="7"/>
  <c r="T443" i="7"/>
  <c r="P443" i="7"/>
  <c r="L443" i="7"/>
  <c r="D443" i="7"/>
  <c r="E442" i="7"/>
  <c r="V441" i="7"/>
  <c r="R441" i="7"/>
  <c r="N441" i="7"/>
  <c r="F441" i="7"/>
  <c r="B441" i="7"/>
  <c r="W440" i="7"/>
  <c r="C440" i="7"/>
  <c r="X439" i="7"/>
  <c r="T439" i="7"/>
  <c r="P439" i="7"/>
  <c r="L439" i="7"/>
  <c r="D439" i="7"/>
  <c r="E438" i="7"/>
  <c r="V437" i="7"/>
  <c r="R437" i="7"/>
  <c r="N437" i="7"/>
  <c r="F437" i="7"/>
  <c r="B437" i="7"/>
  <c r="W436" i="7"/>
  <c r="C436" i="7"/>
  <c r="X435" i="7"/>
  <c r="T435" i="7"/>
  <c r="P435" i="7"/>
  <c r="L435" i="7"/>
  <c r="D435" i="7"/>
  <c r="E434" i="7"/>
  <c r="V433" i="7"/>
  <c r="R433" i="7"/>
  <c r="N433" i="7"/>
  <c r="F433" i="7"/>
  <c r="B433" i="7"/>
  <c r="W432" i="7"/>
  <c r="C432" i="7"/>
  <c r="X431" i="7"/>
  <c r="T431" i="7"/>
  <c r="P431" i="7"/>
  <c r="L431" i="7"/>
  <c r="D431" i="7"/>
  <c r="E430" i="7"/>
  <c r="V429" i="7"/>
  <c r="R429" i="7"/>
  <c r="N429" i="7"/>
  <c r="F429" i="7"/>
  <c r="B429" i="7"/>
  <c r="W428" i="7"/>
  <c r="C428" i="7"/>
  <c r="X427" i="7"/>
  <c r="T427" i="7"/>
  <c r="P427" i="7"/>
  <c r="L427" i="7"/>
  <c r="D427" i="7"/>
  <c r="E426" i="7"/>
  <c r="V425" i="7"/>
  <c r="R425" i="7"/>
  <c r="N425" i="7"/>
  <c r="F425" i="7"/>
  <c r="B425" i="7"/>
  <c r="W424" i="7"/>
  <c r="C424" i="7"/>
  <c r="X423" i="7"/>
  <c r="T423" i="7"/>
  <c r="P423" i="7"/>
  <c r="L423" i="7"/>
  <c r="D423" i="7"/>
  <c r="E422" i="7"/>
  <c r="V421" i="7"/>
  <c r="R421" i="7"/>
  <c r="N421" i="7"/>
  <c r="F421" i="7"/>
  <c r="B421" i="7"/>
  <c r="W420" i="7"/>
  <c r="C420" i="7"/>
  <c r="X419" i="7"/>
  <c r="T419" i="7"/>
  <c r="P419" i="7"/>
  <c r="L419" i="7"/>
  <c r="D419" i="7"/>
  <c r="E418" i="7"/>
  <c r="V417" i="7"/>
  <c r="R417" i="7"/>
  <c r="N417" i="7"/>
  <c r="F417" i="7"/>
  <c r="B417" i="7"/>
  <c r="W416" i="7"/>
  <c r="C416" i="7"/>
  <c r="X415" i="7"/>
  <c r="T415" i="7"/>
  <c r="P415" i="7"/>
  <c r="L415" i="7"/>
  <c r="D415" i="7"/>
  <c r="E414" i="7"/>
  <c r="V413" i="7"/>
  <c r="R413" i="7"/>
  <c r="N413" i="7"/>
  <c r="F413" i="7"/>
  <c r="B413" i="7"/>
  <c r="W412" i="7"/>
  <c r="C412" i="7"/>
  <c r="X411" i="7"/>
  <c r="T411" i="7"/>
  <c r="P411" i="7"/>
  <c r="L411" i="7"/>
  <c r="D411" i="7"/>
  <c r="E410" i="7"/>
  <c r="V409" i="7"/>
  <c r="R409" i="7"/>
  <c r="N409" i="7"/>
  <c r="F409" i="7"/>
  <c r="B409" i="7"/>
  <c r="W408" i="7"/>
  <c r="C408" i="7"/>
  <c r="X407" i="7"/>
  <c r="T407" i="7"/>
  <c r="P407" i="7"/>
  <c r="L407" i="7"/>
  <c r="D407" i="7"/>
  <c r="E406" i="7"/>
  <c r="V405" i="7"/>
  <c r="R405" i="7"/>
  <c r="N405" i="7"/>
  <c r="F405" i="7"/>
  <c r="B405" i="7"/>
  <c r="W404" i="7"/>
  <c r="C404" i="7"/>
  <c r="X403" i="7"/>
  <c r="T403" i="7"/>
  <c r="P403" i="7"/>
  <c r="L403" i="7"/>
  <c r="D403" i="7"/>
  <c r="E402" i="7"/>
  <c r="V401" i="7"/>
  <c r="R401" i="7"/>
  <c r="N401" i="7"/>
  <c r="F401" i="7"/>
  <c r="B401" i="7"/>
  <c r="W400" i="7"/>
  <c r="C400" i="7"/>
  <c r="X399" i="7"/>
  <c r="T399" i="7"/>
  <c r="P399" i="7"/>
  <c r="L399" i="7"/>
  <c r="D399" i="7"/>
  <c r="E398" i="7"/>
  <c r="V397" i="7"/>
  <c r="R397" i="7"/>
  <c r="N397" i="7"/>
  <c r="F397" i="7"/>
  <c r="B397" i="7"/>
  <c r="W396" i="7"/>
  <c r="C396" i="7"/>
  <c r="X395" i="7"/>
  <c r="T395" i="7"/>
  <c r="P395" i="7"/>
  <c r="L395" i="7"/>
  <c r="D395" i="7"/>
  <c r="E394" i="7"/>
  <c r="V393" i="7"/>
  <c r="R393" i="7"/>
  <c r="N393" i="7"/>
  <c r="F393" i="7"/>
  <c r="B393" i="7"/>
  <c r="W392" i="7"/>
  <c r="C392" i="7"/>
  <c r="X391" i="7"/>
  <c r="T391" i="7"/>
  <c r="P391" i="7"/>
  <c r="L391" i="7"/>
  <c r="D391" i="7"/>
  <c r="E390" i="7"/>
  <c r="V389" i="7"/>
  <c r="R389" i="7"/>
  <c r="N389" i="7"/>
  <c r="F389" i="7"/>
  <c r="B389" i="7"/>
  <c r="W388" i="7"/>
  <c r="C388" i="7"/>
  <c r="X387" i="7"/>
  <c r="T387" i="7"/>
  <c r="P387" i="7"/>
  <c r="L387" i="7"/>
  <c r="D387" i="7"/>
  <c r="E386" i="7"/>
  <c r="V385" i="7"/>
  <c r="R385" i="7"/>
  <c r="N385" i="7"/>
  <c r="F385" i="7"/>
  <c r="B385" i="7"/>
  <c r="W384" i="7"/>
  <c r="C384" i="7"/>
  <c r="X383" i="7"/>
  <c r="T383" i="7"/>
  <c r="P383" i="7"/>
  <c r="L383" i="7"/>
  <c r="D383" i="7"/>
  <c r="E382" i="7"/>
  <c r="V381" i="7"/>
  <c r="R381" i="7"/>
  <c r="N381" i="7"/>
  <c r="F381" i="7"/>
  <c r="B381" i="7"/>
  <c r="W380" i="7"/>
  <c r="C380" i="7"/>
  <c r="X379" i="7"/>
  <c r="T379" i="7"/>
  <c r="P379" i="7"/>
  <c r="L379" i="7"/>
  <c r="D379" i="7"/>
  <c r="E378" i="7"/>
  <c r="V377" i="7"/>
  <c r="R377" i="7"/>
  <c r="N377" i="7"/>
  <c r="F377" i="7"/>
  <c r="B377" i="7"/>
  <c r="W376" i="7"/>
  <c r="C376" i="7"/>
  <c r="X375" i="7"/>
  <c r="T375" i="7"/>
  <c r="P375" i="7"/>
  <c r="L375" i="7"/>
  <c r="D375" i="7"/>
  <c r="E374" i="7"/>
  <c r="V373" i="7"/>
  <c r="R373" i="7"/>
  <c r="N373" i="7"/>
  <c r="F373" i="7"/>
  <c r="B373" i="7"/>
  <c r="W372" i="7"/>
  <c r="C372" i="7"/>
  <c r="X371" i="7"/>
  <c r="T371" i="7"/>
  <c r="P371" i="7"/>
  <c r="L371" i="7"/>
  <c r="D371" i="7"/>
  <c r="E370" i="7"/>
  <c r="V369" i="7"/>
  <c r="R369" i="7"/>
  <c r="N369" i="7"/>
  <c r="F369" i="7"/>
  <c r="B369" i="7"/>
  <c r="W368" i="7"/>
  <c r="C368" i="7"/>
  <c r="X367" i="7"/>
  <c r="T367" i="7"/>
  <c r="P367" i="7"/>
  <c r="L367" i="7"/>
  <c r="D367" i="7"/>
  <c r="E366" i="7"/>
  <c r="V365" i="7"/>
  <c r="R365" i="7"/>
  <c r="N365" i="7"/>
  <c r="F365" i="7"/>
  <c r="B365" i="7"/>
  <c r="W364" i="7"/>
  <c r="C364" i="7"/>
  <c r="X363" i="7"/>
  <c r="T363" i="7"/>
  <c r="P363" i="7"/>
  <c r="L363" i="7"/>
  <c r="D363" i="7"/>
  <c r="E362" i="7"/>
  <c r="V361" i="7"/>
  <c r="R361" i="7"/>
  <c r="N361" i="7"/>
  <c r="F361" i="7"/>
  <c r="B361" i="7"/>
  <c r="W360" i="7"/>
  <c r="C360" i="7"/>
  <c r="X359" i="7"/>
  <c r="T359" i="7"/>
  <c r="P359" i="7"/>
  <c r="L359" i="7"/>
  <c r="D359" i="7"/>
  <c r="E358" i="7"/>
  <c r="V357" i="7"/>
  <c r="R357" i="7"/>
  <c r="N357" i="7"/>
  <c r="F357" i="7"/>
  <c r="B357" i="7"/>
  <c r="W356" i="7"/>
  <c r="C356" i="7"/>
  <c r="X355" i="7"/>
  <c r="T355" i="7"/>
  <c r="P355" i="7"/>
  <c r="L355" i="7"/>
  <c r="D355" i="7"/>
  <c r="E354" i="7"/>
  <c r="V353" i="7"/>
  <c r="R353" i="7"/>
  <c r="N353" i="7"/>
  <c r="F353" i="7"/>
  <c r="B353" i="7"/>
  <c r="W352" i="7"/>
  <c r="C352" i="7"/>
  <c r="X351" i="7"/>
  <c r="T351" i="7"/>
  <c r="P351" i="7"/>
  <c r="L351" i="7"/>
  <c r="D351" i="7"/>
  <c r="E350" i="7"/>
  <c r="V349" i="7"/>
  <c r="R349" i="7"/>
  <c r="N349" i="7"/>
  <c r="F349" i="7"/>
  <c r="B349" i="7"/>
  <c r="W348" i="7"/>
  <c r="C348" i="7"/>
  <c r="X347" i="7"/>
  <c r="T347" i="7"/>
  <c r="P347" i="7"/>
  <c r="L347" i="7"/>
  <c r="D347" i="7"/>
  <c r="E346" i="7"/>
  <c r="V345" i="7"/>
  <c r="R345" i="7"/>
  <c r="N345" i="7"/>
  <c r="F345" i="7"/>
  <c r="B345" i="7"/>
  <c r="W344" i="7"/>
  <c r="C344" i="7"/>
  <c r="X343" i="7"/>
  <c r="T343" i="7"/>
  <c r="P343" i="7"/>
  <c r="L343" i="7"/>
  <c r="D343" i="7"/>
  <c r="E342" i="7"/>
  <c r="V341" i="7"/>
  <c r="R341" i="7"/>
  <c r="N341" i="7"/>
  <c r="F341" i="7"/>
  <c r="B341" i="7"/>
  <c r="W340" i="7"/>
  <c r="C340" i="7"/>
  <c r="X339" i="7"/>
  <c r="T339" i="7"/>
  <c r="P339" i="7"/>
  <c r="L339" i="7"/>
  <c r="D339" i="7"/>
  <c r="E338" i="7"/>
  <c r="V337" i="7"/>
  <c r="R337" i="7"/>
  <c r="N337" i="7"/>
  <c r="F337" i="7"/>
  <c r="B337" i="7"/>
  <c r="W336" i="7"/>
  <c r="C336" i="7"/>
  <c r="X335" i="7"/>
  <c r="T335" i="7"/>
  <c r="P335" i="7"/>
  <c r="L335" i="7"/>
  <c r="D335" i="7"/>
  <c r="E334" i="7"/>
  <c r="V333" i="7"/>
  <c r="R333" i="7"/>
  <c r="N333" i="7"/>
  <c r="F333" i="7"/>
  <c r="B333" i="7"/>
  <c r="W332" i="7"/>
  <c r="C332" i="7"/>
  <c r="X331" i="7"/>
  <c r="T331" i="7"/>
  <c r="P331" i="7"/>
  <c r="L331" i="7"/>
  <c r="D331" i="7"/>
  <c r="E330" i="7"/>
  <c r="V329" i="7"/>
  <c r="R329" i="7"/>
  <c r="N329" i="7"/>
  <c r="F329" i="7"/>
  <c r="B329" i="7"/>
  <c r="W328" i="7"/>
  <c r="C328" i="7"/>
  <c r="X327" i="7"/>
  <c r="T327" i="7"/>
  <c r="P327" i="7"/>
  <c r="L327" i="7"/>
  <c r="D327" i="7"/>
  <c r="E326" i="7"/>
  <c r="V325" i="7"/>
  <c r="R325" i="7"/>
  <c r="N325" i="7"/>
  <c r="F325" i="7"/>
  <c r="B325" i="7"/>
  <c r="W324" i="7"/>
  <c r="C324" i="7"/>
  <c r="X323" i="7"/>
  <c r="T323" i="7"/>
  <c r="P323" i="7"/>
  <c r="L323" i="7"/>
  <c r="D323" i="7"/>
  <c r="E322" i="7"/>
  <c r="V321" i="7"/>
  <c r="R321" i="7"/>
  <c r="N321" i="7"/>
  <c r="F321" i="7"/>
  <c r="B321" i="7"/>
  <c r="W320" i="7"/>
  <c r="C320" i="7"/>
  <c r="X319" i="7"/>
  <c r="T319" i="7"/>
  <c r="P319" i="7"/>
  <c r="L319" i="7"/>
  <c r="D319" i="7"/>
  <c r="E318" i="7"/>
  <c r="V317" i="7"/>
  <c r="R317" i="7"/>
  <c r="N317" i="7"/>
  <c r="F317" i="7"/>
  <c r="B317" i="7"/>
  <c r="W316" i="7"/>
  <c r="C316" i="7"/>
  <c r="X315" i="7"/>
  <c r="T315" i="7"/>
  <c r="P315" i="7"/>
  <c r="L315" i="7"/>
  <c r="D315" i="7"/>
  <c r="E314" i="7"/>
  <c r="V313" i="7"/>
  <c r="R313" i="7"/>
  <c r="N313" i="7"/>
  <c r="F313" i="7"/>
  <c r="B313" i="7"/>
  <c r="W312" i="7"/>
  <c r="C312" i="7"/>
  <c r="X311" i="7"/>
  <c r="T311" i="7"/>
  <c r="P311" i="7"/>
  <c r="L311" i="7"/>
  <c r="D311" i="7"/>
  <c r="E310" i="7"/>
  <c r="V309" i="7"/>
  <c r="R309" i="7"/>
  <c r="N309" i="7"/>
  <c r="F309" i="7"/>
  <c r="B309" i="7"/>
  <c r="W308" i="7"/>
  <c r="C308" i="7"/>
  <c r="X307" i="7"/>
  <c r="T307" i="7"/>
  <c r="P307" i="7"/>
  <c r="L307" i="7"/>
  <c r="D307" i="7"/>
  <c r="E306" i="7"/>
  <c r="V305" i="7"/>
  <c r="R305" i="7"/>
  <c r="N305" i="7"/>
  <c r="F305" i="7"/>
  <c r="B305" i="7"/>
  <c r="W304" i="7"/>
  <c r="C304" i="7"/>
  <c r="X303" i="7"/>
  <c r="T303" i="7"/>
  <c r="P303" i="7"/>
  <c r="L303" i="7"/>
  <c r="D303" i="7"/>
  <c r="E302" i="7"/>
  <c r="V301" i="7"/>
  <c r="R301" i="7"/>
  <c r="N301" i="7"/>
  <c r="F301" i="7"/>
  <c r="B301" i="7"/>
  <c r="W300" i="7"/>
  <c r="C300" i="7"/>
  <c r="X299" i="7"/>
  <c r="T299" i="7"/>
  <c r="P299" i="7"/>
  <c r="L299" i="7"/>
  <c r="D299" i="7"/>
  <c r="E298" i="7"/>
  <c r="V297" i="7"/>
  <c r="R297" i="7"/>
  <c r="N297" i="7"/>
  <c r="F297" i="7"/>
  <c r="B297" i="7"/>
  <c r="W296" i="7"/>
  <c r="C296" i="7"/>
  <c r="X295" i="7"/>
  <c r="T295" i="7"/>
  <c r="P295" i="7"/>
  <c r="L295" i="7"/>
  <c r="D295" i="7"/>
  <c r="E294" i="7"/>
  <c r="V293" i="7"/>
  <c r="R293" i="7"/>
  <c r="N293" i="7"/>
  <c r="F293" i="7"/>
  <c r="B293" i="7"/>
  <c r="W292" i="7"/>
  <c r="C292" i="7"/>
  <c r="X291" i="7"/>
  <c r="T291" i="7"/>
  <c r="P291" i="7"/>
  <c r="L291" i="7"/>
  <c r="D291" i="7"/>
  <c r="E290" i="7"/>
  <c r="V289" i="7"/>
  <c r="R289" i="7"/>
  <c r="N289" i="7"/>
  <c r="F289" i="7"/>
  <c r="B289" i="7"/>
  <c r="W288" i="7"/>
  <c r="C288" i="7"/>
  <c r="X287" i="7"/>
  <c r="T287" i="7"/>
  <c r="P287" i="7"/>
  <c r="L287" i="7"/>
  <c r="D287" i="7"/>
  <c r="E286" i="7"/>
  <c r="V285" i="7"/>
  <c r="R285" i="7"/>
  <c r="N285" i="7"/>
  <c r="F285" i="7"/>
  <c r="B285" i="7"/>
  <c r="W284" i="7"/>
  <c r="C284" i="7"/>
  <c r="X283" i="7"/>
  <c r="T283" i="7"/>
  <c r="P283" i="7"/>
  <c r="L283" i="7"/>
  <c r="D283" i="7"/>
  <c r="E282" i="7"/>
  <c r="V281" i="7"/>
  <c r="R281" i="7"/>
  <c r="N281" i="7"/>
  <c r="F281" i="7"/>
  <c r="B281" i="7"/>
  <c r="W280" i="7"/>
  <c r="C280" i="7"/>
  <c r="X279" i="7"/>
  <c r="T279" i="7"/>
  <c r="P279" i="7"/>
  <c r="L279" i="7"/>
  <c r="D279" i="7"/>
  <c r="E278" i="7"/>
  <c r="V277" i="7"/>
  <c r="R277" i="7"/>
  <c r="N277" i="7"/>
  <c r="F277" i="7"/>
  <c r="B277" i="7"/>
  <c r="W276" i="7"/>
  <c r="C276" i="7"/>
  <c r="X275" i="7"/>
  <c r="T275" i="7"/>
  <c r="P275" i="7"/>
  <c r="L275" i="7"/>
  <c r="D275" i="7"/>
  <c r="E274" i="7"/>
  <c r="V273" i="7"/>
  <c r="R273" i="7"/>
  <c r="N273" i="7"/>
  <c r="F273" i="7"/>
  <c r="B273" i="7"/>
  <c r="W272" i="7"/>
  <c r="C272" i="7"/>
  <c r="X271" i="7"/>
  <c r="T271" i="7"/>
  <c r="P271" i="7"/>
  <c r="L271" i="7"/>
  <c r="D271" i="7"/>
  <c r="E270" i="7"/>
  <c r="V269" i="7"/>
  <c r="R269" i="7"/>
  <c r="N269" i="7"/>
  <c r="F269" i="7"/>
  <c r="B269" i="7"/>
  <c r="W268" i="7"/>
  <c r="C268" i="7"/>
  <c r="X267" i="7"/>
  <c r="T267" i="7"/>
  <c r="P267" i="7"/>
  <c r="L267" i="7"/>
  <c r="D267" i="7"/>
  <c r="E266" i="7"/>
  <c r="V265" i="7"/>
  <c r="R265" i="7"/>
  <c r="N265" i="7"/>
  <c r="F265" i="7"/>
  <c r="B265" i="7"/>
  <c r="W264" i="7"/>
  <c r="C264" i="7"/>
  <c r="X263" i="7"/>
  <c r="T263" i="7"/>
  <c r="P263" i="7"/>
  <c r="L263" i="7"/>
  <c r="D263" i="7"/>
  <c r="E262" i="7"/>
  <c r="V261" i="7"/>
  <c r="R261" i="7"/>
  <c r="N261" i="7"/>
  <c r="F261" i="7"/>
  <c r="B261" i="7"/>
  <c r="W260" i="7"/>
  <c r="C260" i="7"/>
  <c r="X259" i="7"/>
  <c r="T259" i="7"/>
  <c r="P259" i="7"/>
  <c r="L259" i="7"/>
  <c r="D259" i="7"/>
  <c r="E258" i="7"/>
  <c r="V257" i="7"/>
  <c r="R257" i="7"/>
  <c r="N257" i="7"/>
  <c r="F257" i="7"/>
  <c r="B257" i="7"/>
  <c r="W256" i="7"/>
  <c r="C256" i="7"/>
  <c r="X255" i="7"/>
  <c r="T255" i="7"/>
  <c r="P255" i="7"/>
  <c r="L255" i="7"/>
  <c r="D255" i="7"/>
  <c r="E254" i="7"/>
  <c r="V253" i="7"/>
  <c r="R253" i="7"/>
  <c r="N253" i="7"/>
  <c r="F253" i="7"/>
  <c r="B253" i="7"/>
  <c r="W252" i="7"/>
  <c r="C252" i="7"/>
  <c r="X251" i="7"/>
  <c r="T251" i="7"/>
  <c r="P251" i="7"/>
  <c r="L251" i="7"/>
  <c r="D251" i="7"/>
  <c r="E250" i="7"/>
  <c r="V249" i="7"/>
  <c r="R249" i="7"/>
  <c r="N249" i="7"/>
  <c r="F249" i="7"/>
  <c r="B249" i="7"/>
  <c r="W248" i="7"/>
  <c r="C248" i="7"/>
  <c r="X247" i="7"/>
  <c r="T247" i="7"/>
  <c r="P247" i="7"/>
  <c r="L247" i="7"/>
  <c r="D247" i="7"/>
  <c r="E246" i="7"/>
  <c r="V245" i="7"/>
  <c r="R245" i="7"/>
  <c r="N245" i="7"/>
  <c r="F245" i="7"/>
  <c r="B245" i="7"/>
  <c r="W244" i="7"/>
  <c r="C244" i="7"/>
  <c r="X243" i="7"/>
  <c r="T243" i="7"/>
  <c r="P243" i="7"/>
  <c r="L243" i="7"/>
  <c r="D243" i="7"/>
  <c r="E242" i="7"/>
  <c r="V241" i="7"/>
  <c r="R241" i="7"/>
  <c r="N241" i="7"/>
  <c r="F241" i="7"/>
  <c r="B241" i="7"/>
  <c r="W240" i="7"/>
  <c r="C240" i="7"/>
  <c r="X239" i="7"/>
  <c r="T239" i="7"/>
  <c r="P239" i="7"/>
  <c r="L239" i="7"/>
  <c r="D239" i="7"/>
  <c r="E238" i="7"/>
  <c r="V237" i="7"/>
  <c r="R237" i="7"/>
  <c r="N237" i="7"/>
  <c r="F237" i="7"/>
  <c r="B237" i="7"/>
  <c r="W236" i="7"/>
  <c r="C236" i="7"/>
  <c r="X235" i="7"/>
  <c r="T235" i="7"/>
  <c r="P235" i="7"/>
  <c r="L235" i="7"/>
  <c r="D235" i="7"/>
  <c r="E234" i="7"/>
  <c r="V233" i="7"/>
  <c r="R233" i="7"/>
  <c r="N233" i="7"/>
  <c r="F233" i="7"/>
  <c r="B233" i="7"/>
  <c r="W232" i="7"/>
  <c r="C232" i="7"/>
  <c r="X231" i="7"/>
  <c r="T231" i="7"/>
  <c r="P231" i="7"/>
  <c r="L231" i="7"/>
  <c r="D231" i="7"/>
  <c r="E230" i="7"/>
  <c r="V229" i="7"/>
  <c r="R229" i="7"/>
  <c r="N229" i="7"/>
  <c r="F229" i="7"/>
  <c r="B229" i="7"/>
  <c r="W228" i="7"/>
  <c r="C228" i="7"/>
  <c r="X227" i="7"/>
  <c r="T227" i="7"/>
  <c r="P227" i="7"/>
  <c r="L227" i="7"/>
  <c r="D227" i="7"/>
  <c r="E226" i="7"/>
  <c r="V225" i="7"/>
  <c r="R225" i="7"/>
  <c r="N225" i="7"/>
  <c r="F225" i="7"/>
  <c r="B225" i="7"/>
  <c r="W224" i="7"/>
  <c r="C224" i="7"/>
  <c r="X223" i="7"/>
  <c r="T223" i="7"/>
  <c r="P223" i="7"/>
  <c r="L223" i="7"/>
  <c r="D223" i="7"/>
  <c r="E222" i="7"/>
  <c r="V221" i="7"/>
  <c r="R221" i="7"/>
  <c r="N221" i="7"/>
  <c r="F221" i="7"/>
  <c r="B221" i="7"/>
  <c r="W220" i="7"/>
  <c r="C220" i="7"/>
  <c r="X219" i="7"/>
  <c r="T219" i="7"/>
  <c r="P219" i="7"/>
  <c r="L219" i="7"/>
  <c r="D219" i="7"/>
  <c r="E569" i="7"/>
  <c r="N568" i="7"/>
  <c r="W567" i="7"/>
  <c r="C567" i="7"/>
  <c r="R566" i="7"/>
  <c r="E566" i="7"/>
  <c r="E565" i="7"/>
  <c r="V564" i="7"/>
  <c r="R564" i="7"/>
  <c r="N564" i="7"/>
  <c r="F564" i="7"/>
  <c r="B564" i="7"/>
  <c r="W563" i="7"/>
  <c r="C563" i="7"/>
  <c r="X562" i="7"/>
  <c r="T562" i="7"/>
  <c r="P562" i="7"/>
  <c r="L562" i="7"/>
  <c r="D562" i="7"/>
  <c r="E561" i="7"/>
  <c r="V560" i="7"/>
  <c r="R560" i="7"/>
  <c r="N560" i="7"/>
  <c r="F560" i="7"/>
  <c r="B560" i="7"/>
  <c r="W559" i="7"/>
  <c r="C559" i="7"/>
  <c r="X558" i="7"/>
  <c r="T558" i="7"/>
  <c r="P558" i="7"/>
  <c r="L558" i="7"/>
  <c r="D558" i="7"/>
  <c r="E557" i="7"/>
  <c r="V556" i="7"/>
  <c r="R556" i="7"/>
  <c r="N556" i="7"/>
  <c r="F556" i="7"/>
  <c r="B556" i="7"/>
  <c r="W555" i="7"/>
  <c r="C555" i="7"/>
  <c r="X554" i="7"/>
  <c r="T554" i="7"/>
  <c r="P554" i="7"/>
  <c r="L554" i="7"/>
  <c r="D554" i="7"/>
  <c r="E553" i="7"/>
  <c r="V552" i="7"/>
  <c r="R552" i="7"/>
  <c r="N552" i="7"/>
  <c r="F552" i="7"/>
  <c r="B552" i="7"/>
  <c r="W551" i="7"/>
  <c r="C551" i="7"/>
  <c r="X550" i="7"/>
  <c r="T550" i="7"/>
  <c r="P550" i="7"/>
  <c r="L550" i="7"/>
  <c r="D550" i="7"/>
  <c r="E549" i="7"/>
  <c r="V548" i="7"/>
  <c r="R548" i="7"/>
  <c r="N548" i="7"/>
  <c r="F548" i="7"/>
  <c r="B548" i="7"/>
  <c r="W547" i="7"/>
  <c r="C547" i="7"/>
  <c r="X546" i="7"/>
  <c r="T546" i="7"/>
  <c r="P546" i="7"/>
  <c r="L546" i="7"/>
  <c r="D546" i="7"/>
  <c r="E545" i="7"/>
  <c r="V544" i="7"/>
  <c r="R544" i="7"/>
  <c r="N544" i="7"/>
  <c r="F544" i="7"/>
  <c r="B544" i="7"/>
  <c r="W543" i="7"/>
  <c r="C543" i="7"/>
  <c r="X542" i="7"/>
  <c r="T542" i="7"/>
  <c r="P542" i="7"/>
  <c r="L542" i="7"/>
  <c r="D542" i="7"/>
  <c r="E541" i="7"/>
  <c r="V540" i="7"/>
  <c r="R540" i="7"/>
  <c r="N540" i="7"/>
  <c r="F540" i="7"/>
  <c r="B540" i="7"/>
  <c r="W539" i="7"/>
  <c r="C539" i="7"/>
  <c r="X538" i="7"/>
  <c r="T538" i="7"/>
  <c r="P538" i="7"/>
  <c r="L538" i="7"/>
  <c r="D538" i="7"/>
  <c r="E537" i="7"/>
  <c r="V536" i="7"/>
  <c r="R536" i="7"/>
  <c r="N536" i="7"/>
  <c r="F536" i="7"/>
  <c r="B536" i="7"/>
  <c r="W535" i="7"/>
  <c r="C535" i="7"/>
  <c r="X534" i="7"/>
  <c r="T534" i="7"/>
  <c r="P534" i="7"/>
  <c r="L534" i="7"/>
  <c r="D534" i="7"/>
  <c r="E533" i="7"/>
  <c r="V532" i="7"/>
  <c r="R532" i="7"/>
  <c r="N532" i="7"/>
  <c r="F532" i="7"/>
  <c r="B532" i="7"/>
  <c r="W531" i="7"/>
  <c r="C531" i="7"/>
  <c r="X530" i="7"/>
  <c r="T530" i="7"/>
  <c r="P530" i="7"/>
  <c r="L530" i="7"/>
  <c r="D530" i="7"/>
  <c r="E529" i="7"/>
  <c r="V528" i="7"/>
  <c r="R528" i="7"/>
  <c r="N528" i="7"/>
  <c r="F528" i="7"/>
  <c r="B528" i="7"/>
  <c r="W527" i="7"/>
  <c r="C527" i="7"/>
  <c r="X526" i="7"/>
  <c r="T526" i="7"/>
  <c r="P526" i="7"/>
  <c r="L526" i="7"/>
  <c r="D526" i="7"/>
  <c r="E525" i="7"/>
  <c r="V524" i="7"/>
  <c r="R524" i="7"/>
  <c r="N524" i="7"/>
  <c r="F524" i="7"/>
  <c r="B524" i="7"/>
  <c r="W523" i="7"/>
  <c r="C523" i="7"/>
  <c r="X522" i="7"/>
  <c r="T522" i="7"/>
  <c r="P522" i="7"/>
  <c r="L522" i="7"/>
  <c r="D522" i="7"/>
  <c r="E521" i="7"/>
  <c r="V520" i="7"/>
  <c r="R520" i="7"/>
  <c r="N520" i="7"/>
  <c r="F520" i="7"/>
  <c r="B520" i="7"/>
  <c r="W519" i="7"/>
  <c r="C519" i="7"/>
  <c r="X518" i="7"/>
  <c r="T518" i="7"/>
  <c r="P518" i="7"/>
  <c r="L518" i="7"/>
  <c r="D518" i="7"/>
  <c r="E517" i="7"/>
  <c r="V516" i="7"/>
  <c r="R516" i="7"/>
  <c r="N516" i="7"/>
  <c r="F516" i="7"/>
  <c r="B516" i="7"/>
  <c r="W515" i="7"/>
  <c r="C515" i="7"/>
  <c r="X514" i="7"/>
  <c r="T514" i="7"/>
  <c r="P514" i="7"/>
  <c r="L514" i="7"/>
  <c r="D514" i="7"/>
  <c r="E513" i="7"/>
  <c r="V512" i="7"/>
  <c r="R512" i="7"/>
  <c r="N512" i="7"/>
  <c r="F512" i="7"/>
  <c r="B512" i="7"/>
  <c r="W511" i="7"/>
  <c r="C511" i="7"/>
  <c r="X510" i="7"/>
  <c r="T510" i="7"/>
  <c r="P510" i="7"/>
  <c r="L510" i="7"/>
  <c r="D510" i="7"/>
  <c r="E509" i="7"/>
  <c r="V508" i="7"/>
  <c r="R508" i="7"/>
  <c r="N508" i="7"/>
  <c r="F508" i="7"/>
  <c r="B508" i="7"/>
  <c r="W507" i="7"/>
  <c r="C507" i="7"/>
  <c r="X506" i="7"/>
  <c r="T506" i="7"/>
  <c r="P506" i="7"/>
  <c r="L506" i="7"/>
  <c r="D506" i="7"/>
  <c r="E505" i="7"/>
  <c r="V504" i="7"/>
  <c r="R504" i="7"/>
  <c r="N504" i="7"/>
  <c r="F504" i="7"/>
  <c r="B504" i="7"/>
  <c r="W503" i="7"/>
  <c r="C503" i="7"/>
  <c r="X502" i="7"/>
  <c r="T502" i="7"/>
  <c r="P502" i="7"/>
  <c r="L502" i="7"/>
  <c r="D502" i="7"/>
  <c r="E501" i="7"/>
  <c r="V500" i="7"/>
  <c r="R500" i="7"/>
  <c r="N500" i="7"/>
  <c r="F500" i="7"/>
  <c r="B500" i="7"/>
  <c r="W499" i="7"/>
  <c r="C499" i="7"/>
  <c r="X498" i="7"/>
  <c r="T498" i="7"/>
  <c r="P498" i="7"/>
  <c r="L498" i="7"/>
  <c r="D498" i="7"/>
  <c r="E497" i="7"/>
  <c r="V496" i="7"/>
  <c r="R496" i="7"/>
  <c r="N496" i="7"/>
  <c r="F496" i="7"/>
  <c r="B496" i="7"/>
  <c r="W495" i="7"/>
  <c r="C495" i="7"/>
  <c r="X494" i="7"/>
  <c r="T494" i="7"/>
  <c r="P494" i="7"/>
  <c r="L494" i="7"/>
  <c r="D494" i="7"/>
  <c r="E493" i="7"/>
  <c r="V492" i="7"/>
  <c r="R492" i="7"/>
  <c r="N492" i="7"/>
  <c r="F492" i="7"/>
  <c r="B492" i="7"/>
  <c r="W491" i="7"/>
  <c r="C491" i="7"/>
  <c r="X490" i="7"/>
  <c r="T490" i="7"/>
  <c r="P490" i="7"/>
  <c r="L490" i="7"/>
  <c r="D490" i="7"/>
  <c r="E489" i="7"/>
  <c r="V488" i="7"/>
  <c r="R488" i="7"/>
  <c r="N488" i="7"/>
  <c r="F488" i="7"/>
  <c r="B488" i="7"/>
  <c r="W487" i="7"/>
  <c r="C487" i="7"/>
  <c r="X486" i="7"/>
  <c r="T486" i="7"/>
  <c r="P486" i="7"/>
  <c r="L486" i="7"/>
  <c r="D486" i="7"/>
  <c r="E485" i="7"/>
  <c r="V484" i="7"/>
  <c r="R484" i="7"/>
  <c r="N484" i="7"/>
  <c r="F484" i="7"/>
  <c r="B484" i="7"/>
  <c r="W483" i="7"/>
  <c r="C483" i="7"/>
  <c r="X482" i="7"/>
  <c r="T482" i="7"/>
  <c r="P482" i="7"/>
  <c r="L482" i="7"/>
  <c r="D482" i="7"/>
  <c r="E481" i="7"/>
  <c r="V480" i="7"/>
  <c r="R480" i="7"/>
  <c r="N480" i="7"/>
  <c r="F480" i="7"/>
  <c r="B480" i="7"/>
  <c r="W479" i="7"/>
  <c r="C479" i="7"/>
  <c r="X478" i="7"/>
  <c r="T478" i="7"/>
  <c r="P478" i="7"/>
  <c r="L478" i="7"/>
  <c r="D478" i="7"/>
  <c r="E477" i="7"/>
  <c r="V476" i="7"/>
  <c r="R476" i="7"/>
  <c r="N476" i="7"/>
  <c r="F476" i="7"/>
  <c r="B476" i="7"/>
  <c r="W475" i="7"/>
  <c r="C475" i="7"/>
  <c r="X474" i="7"/>
  <c r="T474" i="7"/>
  <c r="P474" i="7"/>
  <c r="L474" i="7"/>
  <c r="D474" i="7"/>
  <c r="E473" i="7"/>
  <c r="V472" i="7"/>
  <c r="R472" i="7"/>
  <c r="N472" i="7"/>
  <c r="F472" i="7"/>
  <c r="B472" i="7"/>
  <c r="W471" i="7"/>
  <c r="C471" i="7"/>
  <c r="X470" i="7"/>
  <c r="T470" i="7"/>
  <c r="P470" i="7"/>
  <c r="L470" i="7"/>
  <c r="D470" i="7"/>
  <c r="E469" i="7"/>
  <c r="V468" i="7"/>
  <c r="R468" i="7"/>
  <c r="N468" i="7"/>
  <c r="F468" i="7"/>
  <c r="B468" i="7"/>
  <c r="W467" i="7"/>
  <c r="C467" i="7"/>
  <c r="X466" i="7"/>
  <c r="T466" i="7"/>
  <c r="P466" i="7"/>
  <c r="L466" i="7"/>
  <c r="D466" i="7"/>
  <c r="E465" i="7"/>
  <c r="V464" i="7"/>
  <c r="R464" i="7"/>
  <c r="N464" i="7"/>
  <c r="F464" i="7"/>
  <c r="B464" i="7"/>
  <c r="W463" i="7"/>
  <c r="C463" i="7"/>
  <c r="X462" i="7"/>
  <c r="T462" i="7"/>
  <c r="P462" i="7"/>
  <c r="L462" i="7"/>
  <c r="D462" i="7"/>
  <c r="E461" i="7"/>
  <c r="V460" i="7"/>
  <c r="R460" i="7"/>
  <c r="N460" i="7"/>
  <c r="F460" i="7"/>
  <c r="B460" i="7"/>
  <c r="W459" i="7"/>
  <c r="C459" i="7"/>
  <c r="X458" i="7"/>
  <c r="T458" i="7"/>
  <c r="P458" i="7"/>
  <c r="L458" i="7"/>
  <c r="D458" i="7"/>
  <c r="E457" i="7"/>
  <c r="V456" i="7"/>
  <c r="R456" i="7"/>
  <c r="N456" i="7"/>
  <c r="F456" i="7"/>
  <c r="B456" i="7"/>
  <c r="W455" i="7"/>
  <c r="C455" i="7"/>
  <c r="X454" i="7"/>
  <c r="T454" i="7"/>
  <c r="P454" i="7"/>
  <c r="L454" i="7"/>
  <c r="D454" i="7"/>
  <c r="E453" i="7"/>
  <c r="V452" i="7"/>
  <c r="R452" i="7"/>
  <c r="N452" i="7"/>
  <c r="F452" i="7"/>
  <c r="B452" i="7"/>
  <c r="W451" i="7"/>
  <c r="C451" i="7"/>
  <c r="X450" i="7"/>
  <c r="T450" i="7"/>
  <c r="P450" i="7"/>
  <c r="L450" i="7"/>
  <c r="D450" i="7"/>
  <c r="E449" i="7"/>
  <c r="V448" i="7"/>
  <c r="R448" i="7"/>
  <c r="N448" i="7"/>
  <c r="F448" i="7"/>
  <c r="B448" i="7"/>
  <c r="W447" i="7"/>
  <c r="C447" i="7"/>
  <c r="X446" i="7"/>
  <c r="T446" i="7"/>
  <c r="P446" i="7"/>
  <c r="L446" i="7"/>
  <c r="D446" i="7"/>
  <c r="E445" i="7"/>
  <c r="V444" i="7"/>
  <c r="R444" i="7"/>
  <c r="N444" i="7"/>
  <c r="F444" i="7"/>
  <c r="B444" i="7"/>
  <c r="W443" i="7"/>
  <c r="C443" i="7"/>
  <c r="X442" i="7"/>
  <c r="T442" i="7"/>
  <c r="P442" i="7"/>
  <c r="L442" i="7"/>
  <c r="D442" i="7"/>
  <c r="E441" i="7"/>
  <c r="V440" i="7"/>
  <c r="R440" i="7"/>
  <c r="N440" i="7"/>
  <c r="F440" i="7"/>
  <c r="B440" i="7"/>
  <c r="W439" i="7"/>
  <c r="C439" i="7"/>
  <c r="X438" i="7"/>
  <c r="T438" i="7"/>
  <c r="P438" i="7"/>
  <c r="L438" i="7"/>
  <c r="D438" i="7"/>
  <c r="E437" i="7"/>
  <c r="V436" i="7"/>
  <c r="R436" i="7"/>
  <c r="N436" i="7"/>
  <c r="F436" i="7"/>
  <c r="B436" i="7"/>
  <c r="W435" i="7"/>
  <c r="C435" i="7"/>
  <c r="X434" i="7"/>
  <c r="T434" i="7"/>
  <c r="P434" i="7"/>
  <c r="L434" i="7"/>
  <c r="D434" i="7"/>
  <c r="E433" i="7"/>
  <c r="V432" i="7"/>
  <c r="R432" i="7"/>
  <c r="N432" i="7"/>
  <c r="F432" i="7"/>
  <c r="B432" i="7"/>
  <c r="W431" i="7"/>
  <c r="C431" i="7"/>
  <c r="X430" i="7"/>
  <c r="T430" i="7"/>
  <c r="P430" i="7"/>
  <c r="L430" i="7"/>
  <c r="D430" i="7"/>
  <c r="E429" i="7"/>
  <c r="V428" i="7"/>
  <c r="R428" i="7"/>
  <c r="N428" i="7"/>
  <c r="F428" i="7"/>
  <c r="B428" i="7"/>
  <c r="W427" i="7"/>
  <c r="C427" i="7"/>
  <c r="X426" i="7"/>
  <c r="T426" i="7"/>
  <c r="P426" i="7"/>
  <c r="L426" i="7"/>
  <c r="D426" i="7"/>
  <c r="E425" i="7"/>
  <c r="V424" i="7"/>
  <c r="R424" i="7"/>
  <c r="N424" i="7"/>
  <c r="F424" i="7"/>
  <c r="B424" i="7"/>
  <c r="W423" i="7"/>
  <c r="C423" i="7"/>
  <c r="X422" i="7"/>
  <c r="T422" i="7"/>
  <c r="P422" i="7"/>
  <c r="L422" i="7"/>
  <c r="D422" i="7"/>
  <c r="E421" i="7"/>
  <c r="V420" i="7"/>
  <c r="R420" i="7"/>
  <c r="N420" i="7"/>
  <c r="F420" i="7"/>
  <c r="B420" i="7"/>
  <c r="W419" i="7"/>
  <c r="C419" i="7"/>
  <c r="X418" i="7"/>
  <c r="T418" i="7"/>
  <c r="P418" i="7"/>
  <c r="L418" i="7"/>
  <c r="D418" i="7"/>
  <c r="E417" i="7"/>
  <c r="V416" i="7"/>
  <c r="R416" i="7"/>
  <c r="N416" i="7"/>
  <c r="F416" i="7"/>
  <c r="B416" i="7"/>
  <c r="W415" i="7"/>
  <c r="C415" i="7"/>
  <c r="X414" i="7"/>
  <c r="T414" i="7"/>
  <c r="P414" i="7"/>
  <c r="L414" i="7"/>
  <c r="D414" i="7"/>
  <c r="E413" i="7"/>
  <c r="V412" i="7"/>
  <c r="R412" i="7"/>
  <c r="N412" i="7"/>
  <c r="F412" i="7"/>
  <c r="B412" i="7"/>
  <c r="W411" i="7"/>
  <c r="C411" i="7"/>
  <c r="X410" i="7"/>
  <c r="T410" i="7"/>
  <c r="P410" i="7"/>
  <c r="L410" i="7"/>
  <c r="D410" i="7"/>
  <c r="E409" i="7"/>
  <c r="V408" i="7"/>
  <c r="R408" i="7"/>
  <c r="N408" i="7"/>
  <c r="F408" i="7"/>
  <c r="B408" i="7"/>
  <c r="W407" i="7"/>
  <c r="C407" i="7"/>
  <c r="X406" i="7"/>
  <c r="T406" i="7"/>
  <c r="P406" i="7"/>
  <c r="L406" i="7"/>
  <c r="D406" i="7"/>
  <c r="E405" i="7"/>
  <c r="V404" i="7"/>
  <c r="R404" i="7"/>
  <c r="N404" i="7"/>
  <c r="F404" i="7"/>
  <c r="B404" i="7"/>
  <c r="W403" i="7"/>
  <c r="C403" i="7"/>
  <c r="X402" i="7"/>
  <c r="T402" i="7"/>
  <c r="P402" i="7"/>
  <c r="L402" i="7"/>
  <c r="D402" i="7"/>
  <c r="E401" i="7"/>
  <c r="V400" i="7"/>
  <c r="R400" i="7"/>
  <c r="N400" i="7"/>
  <c r="F400" i="7"/>
  <c r="B400" i="7"/>
  <c r="W399" i="7"/>
  <c r="C399" i="7"/>
  <c r="X398" i="7"/>
  <c r="T398" i="7"/>
  <c r="P398" i="7"/>
  <c r="L398" i="7"/>
  <c r="D398" i="7"/>
  <c r="E397" i="7"/>
  <c r="V396" i="7"/>
  <c r="R396" i="7"/>
  <c r="N396" i="7"/>
  <c r="F396" i="7"/>
  <c r="B396" i="7"/>
  <c r="W395" i="7"/>
  <c r="C395" i="7"/>
  <c r="X394" i="7"/>
  <c r="T394" i="7"/>
  <c r="P394" i="7"/>
  <c r="L394" i="7"/>
  <c r="D394" i="7"/>
  <c r="E393" i="7"/>
  <c r="V392" i="7"/>
  <c r="R392" i="7"/>
  <c r="N392" i="7"/>
  <c r="F392" i="7"/>
  <c r="B392" i="7"/>
  <c r="W391" i="7"/>
  <c r="C391" i="7"/>
  <c r="X390" i="7"/>
  <c r="T390" i="7"/>
  <c r="P390" i="7"/>
  <c r="L390" i="7"/>
  <c r="D390" i="7"/>
  <c r="E389" i="7"/>
  <c r="V388" i="7"/>
  <c r="R388" i="7"/>
  <c r="N388" i="7"/>
  <c r="F388" i="7"/>
  <c r="B388" i="7"/>
  <c r="W387" i="7"/>
  <c r="C387" i="7"/>
  <c r="X386" i="7"/>
  <c r="T386" i="7"/>
  <c r="P386" i="7"/>
  <c r="L386" i="7"/>
  <c r="D386" i="7"/>
  <c r="E385" i="7"/>
  <c r="V384" i="7"/>
  <c r="R384" i="7"/>
  <c r="N384" i="7"/>
  <c r="F384" i="7"/>
  <c r="B384" i="7"/>
  <c r="W383" i="7"/>
  <c r="C383" i="7"/>
  <c r="X382" i="7"/>
  <c r="T382" i="7"/>
  <c r="P382" i="7"/>
  <c r="L382" i="7"/>
  <c r="D382" i="7"/>
  <c r="E381" i="7"/>
  <c r="V380" i="7"/>
  <c r="R380" i="7"/>
  <c r="N380" i="7"/>
  <c r="F380" i="7"/>
  <c r="B380" i="7"/>
  <c r="W379" i="7"/>
  <c r="C379" i="7"/>
  <c r="X378" i="7"/>
  <c r="T378" i="7"/>
  <c r="P378" i="7"/>
  <c r="L378" i="7"/>
  <c r="D378" i="7"/>
  <c r="E377" i="7"/>
  <c r="V376" i="7"/>
  <c r="R376" i="7"/>
  <c r="N376" i="7"/>
  <c r="F376" i="7"/>
  <c r="B376" i="7"/>
  <c r="W375" i="7"/>
  <c r="C375" i="7"/>
  <c r="X374" i="7"/>
  <c r="T374" i="7"/>
  <c r="P374" i="7"/>
  <c r="L374" i="7"/>
  <c r="D374" i="7"/>
  <c r="E373" i="7"/>
  <c r="V372" i="7"/>
  <c r="R372" i="7"/>
  <c r="N372" i="7"/>
  <c r="F372" i="7"/>
  <c r="B372" i="7"/>
  <c r="W371" i="7"/>
  <c r="C371" i="7"/>
  <c r="X370" i="7"/>
  <c r="T370" i="7"/>
  <c r="P370" i="7"/>
  <c r="L370" i="7"/>
  <c r="D370" i="7"/>
  <c r="E369" i="7"/>
  <c r="V368" i="7"/>
  <c r="R368" i="7"/>
  <c r="N368" i="7"/>
  <c r="F368" i="7"/>
  <c r="B368" i="7"/>
  <c r="W367" i="7"/>
  <c r="C367" i="7"/>
  <c r="X366" i="7"/>
  <c r="T366" i="7"/>
  <c r="P366" i="7"/>
  <c r="L366" i="7"/>
  <c r="D366" i="7"/>
  <c r="E365" i="7"/>
  <c r="V364" i="7"/>
  <c r="R364" i="7"/>
  <c r="N364" i="7"/>
  <c r="F364" i="7"/>
  <c r="B364" i="7"/>
  <c r="W363" i="7"/>
  <c r="C363" i="7"/>
  <c r="X362" i="7"/>
  <c r="T362" i="7"/>
  <c r="P362" i="7"/>
  <c r="L362" i="7"/>
  <c r="D362" i="7"/>
  <c r="E361" i="7"/>
  <c r="V360" i="7"/>
  <c r="R360" i="7"/>
  <c r="N360" i="7"/>
  <c r="F360" i="7"/>
  <c r="B360" i="7"/>
  <c r="W359" i="7"/>
  <c r="C359" i="7"/>
  <c r="X358" i="7"/>
  <c r="T358" i="7"/>
  <c r="P358" i="7"/>
  <c r="L358" i="7"/>
  <c r="D358" i="7"/>
  <c r="E357" i="7"/>
  <c r="V356" i="7"/>
  <c r="R356" i="7"/>
  <c r="N356" i="7"/>
  <c r="F356" i="7"/>
  <c r="B356" i="7"/>
  <c r="W355" i="7"/>
  <c r="C355" i="7"/>
  <c r="X354" i="7"/>
  <c r="T354" i="7"/>
  <c r="P354" i="7"/>
  <c r="L354" i="7"/>
  <c r="D354" i="7"/>
  <c r="E353" i="7"/>
  <c r="V352" i="7"/>
  <c r="R352" i="7"/>
  <c r="N352" i="7"/>
  <c r="F352" i="7"/>
  <c r="B352" i="7"/>
  <c r="W351" i="7"/>
  <c r="C351" i="7"/>
  <c r="X350" i="7"/>
  <c r="T350" i="7"/>
  <c r="P350" i="7"/>
  <c r="L350" i="7"/>
  <c r="D350" i="7"/>
  <c r="E349" i="7"/>
  <c r="V348" i="7"/>
  <c r="R348" i="7"/>
  <c r="N348" i="7"/>
  <c r="F348" i="7"/>
  <c r="B348" i="7"/>
  <c r="W347" i="7"/>
  <c r="C347" i="7"/>
  <c r="X346" i="7"/>
  <c r="T346" i="7"/>
  <c r="P346" i="7"/>
  <c r="L346" i="7"/>
  <c r="D346" i="7"/>
  <c r="E345" i="7"/>
  <c r="V344" i="7"/>
  <c r="R344" i="7"/>
  <c r="N344" i="7"/>
  <c r="F344" i="7"/>
  <c r="B344" i="7"/>
  <c r="W343" i="7"/>
  <c r="C343" i="7"/>
  <c r="X342" i="7"/>
  <c r="T342" i="7"/>
  <c r="P342" i="7"/>
  <c r="L342" i="7"/>
  <c r="D342" i="7"/>
  <c r="E341" i="7"/>
  <c r="V340" i="7"/>
  <c r="R340" i="7"/>
  <c r="N340" i="7"/>
  <c r="F340" i="7"/>
  <c r="B340" i="7"/>
  <c r="W339" i="7"/>
  <c r="C339" i="7"/>
  <c r="X338" i="7"/>
  <c r="T338" i="7"/>
  <c r="P338" i="7"/>
  <c r="L338" i="7"/>
  <c r="D338" i="7"/>
  <c r="E337" i="7"/>
  <c r="V336" i="7"/>
  <c r="R336" i="7"/>
  <c r="N336" i="7"/>
  <c r="F336" i="7"/>
  <c r="B336" i="7"/>
  <c r="W335" i="7"/>
  <c r="C335" i="7"/>
  <c r="X334" i="7"/>
  <c r="T334" i="7"/>
  <c r="P334" i="7"/>
  <c r="L334" i="7"/>
  <c r="D334" i="7"/>
  <c r="E333" i="7"/>
  <c r="V332" i="7"/>
  <c r="R332" i="7"/>
  <c r="N332" i="7"/>
  <c r="F332" i="7"/>
  <c r="B332" i="7"/>
  <c r="W331" i="7"/>
  <c r="C331" i="7"/>
  <c r="X330" i="7"/>
  <c r="T330" i="7"/>
  <c r="P330" i="7"/>
  <c r="L330" i="7"/>
  <c r="D330" i="7"/>
  <c r="E329" i="7"/>
  <c r="V328" i="7"/>
  <c r="R328" i="7"/>
  <c r="N328" i="7"/>
  <c r="F328" i="7"/>
  <c r="B328" i="7"/>
  <c r="W327" i="7"/>
  <c r="C327" i="7"/>
  <c r="X326" i="7"/>
  <c r="T326" i="7"/>
  <c r="P326" i="7"/>
  <c r="L326" i="7"/>
  <c r="D326" i="7"/>
  <c r="E325" i="7"/>
  <c r="V324" i="7"/>
  <c r="R324" i="7"/>
  <c r="N324" i="7"/>
  <c r="F324" i="7"/>
  <c r="B324" i="7"/>
  <c r="W323" i="7"/>
  <c r="C323" i="7"/>
  <c r="X322" i="7"/>
  <c r="T322" i="7"/>
  <c r="P322" i="7"/>
  <c r="L322" i="7"/>
  <c r="D322" i="7"/>
  <c r="E321" i="7"/>
  <c r="V320" i="7"/>
  <c r="R320" i="7"/>
  <c r="N320" i="7"/>
  <c r="F320" i="7"/>
  <c r="B320" i="7"/>
  <c r="W319" i="7"/>
  <c r="C319" i="7"/>
  <c r="X318" i="7"/>
  <c r="T318" i="7"/>
  <c r="P318" i="7"/>
  <c r="L318" i="7"/>
  <c r="D318" i="7"/>
  <c r="E317" i="7"/>
  <c r="V316" i="7"/>
  <c r="R316" i="7"/>
  <c r="N316" i="7"/>
  <c r="F316" i="7"/>
  <c r="B316" i="7"/>
  <c r="W315" i="7"/>
  <c r="C315" i="7"/>
  <c r="X314" i="7"/>
  <c r="T314" i="7"/>
  <c r="P314" i="7"/>
  <c r="L314" i="7"/>
  <c r="D314" i="7"/>
  <c r="E313" i="7"/>
  <c r="V312" i="7"/>
  <c r="R312" i="7"/>
  <c r="N312" i="7"/>
  <c r="F312" i="7"/>
  <c r="B312" i="7"/>
  <c r="W311" i="7"/>
  <c r="C311" i="7"/>
  <c r="X310" i="7"/>
  <c r="T310" i="7"/>
  <c r="P310" i="7"/>
  <c r="L310" i="7"/>
  <c r="D310" i="7"/>
  <c r="E309" i="7"/>
  <c r="V308" i="7"/>
  <c r="R308" i="7"/>
  <c r="N308" i="7"/>
  <c r="F308" i="7"/>
  <c r="B308" i="7"/>
  <c r="W307" i="7"/>
  <c r="C307" i="7"/>
  <c r="X306" i="7"/>
  <c r="T306" i="7"/>
  <c r="P306" i="7"/>
  <c r="L306" i="7"/>
  <c r="D306" i="7"/>
  <c r="E305" i="7"/>
  <c r="V304" i="7"/>
  <c r="R304" i="7"/>
  <c r="N304" i="7"/>
  <c r="F304" i="7"/>
  <c r="B304" i="7"/>
  <c r="W303" i="7"/>
  <c r="C303" i="7"/>
  <c r="X302" i="7"/>
  <c r="T302" i="7"/>
  <c r="P302" i="7"/>
  <c r="L302" i="7"/>
  <c r="D302" i="7"/>
  <c r="E301" i="7"/>
  <c r="V300" i="7"/>
  <c r="R300" i="7"/>
  <c r="N300" i="7"/>
  <c r="F300" i="7"/>
  <c r="B300" i="7"/>
  <c r="W299" i="7"/>
  <c r="C299" i="7"/>
  <c r="X298" i="7"/>
  <c r="T298" i="7"/>
  <c r="P298" i="7"/>
  <c r="L298" i="7"/>
  <c r="D298" i="7"/>
  <c r="E297" i="7"/>
  <c r="V296" i="7"/>
  <c r="R296" i="7"/>
  <c r="N296" i="7"/>
  <c r="F296" i="7"/>
  <c r="B296" i="7"/>
  <c r="W295" i="7"/>
  <c r="C295" i="7"/>
  <c r="X294" i="7"/>
  <c r="T294" i="7"/>
  <c r="P294" i="7"/>
  <c r="L294" i="7"/>
  <c r="D294" i="7"/>
  <c r="E293" i="7"/>
  <c r="V292" i="7"/>
  <c r="R292" i="7"/>
  <c r="N292" i="7"/>
  <c r="F292" i="7"/>
  <c r="B292" i="7"/>
  <c r="W291" i="7"/>
  <c r="C291" i="7"/>
  <c r="X290" i="7"/>
  <c r="T290" i="7"/>
  <c r="P290" i="7"/>
  <c r="L290" i="7"/>
  <c r="D290" i="7"/>
  <c r="E289" i="7"/>
  <c r="V288" i="7"/>
  <c r="R288" i="7"/>
  <c r="N288" i="7"/>
  <c r="F288" i="7"/>
  <c r="B288" i="7"/>
  <c r="W287" i="7"/>
  <c r="C287" i="7"/>
  <c r="X286" i="7"/>
  <c r="T286" i="7"/>
  <c r="P286" i="7"/>
  <c r="L286" i="7"/>
  <c r="D286" i="7"/>
  <c r="E285" i="7"/>
  <c r="V284" i="7"/>
  <c r="R284" i="7"/>
  <c r="N284" i="7"/>
  <c r="F284" i="7"/>
  <c r="B284" i="7"/>
  <c r="W283" i="7"/>
  <c r="C283" i="7"/>
  <c r="X282" i="7"/>
  <c r="T282" i="7"/>
  <c r="P282" i="7"/>
  <c r="L282" i="7"/>
  <c r="D282" i="7"/>
  <c r="E281" i="7"/>
  <c r="V280" i="7"/>
  <c r="R280" i="7"/>
  <c r="N280" i="7"/>
  <c r="F280" i="7"/>
  <c r="B280" i="7"/>
  <c r="W279" i="7"/>
  <c r="C279" i="7"/>
  <c r="X278" i="7"/>
  <c r="T278" i="7"/>
  <c r="P278" i="7"/>
  <c r="L278" i="7"/>
  <c r="D278" i="7"/>
  <c r="E277" i="7"/>
  <c r="V276" i="7"/>
  <c r="R276" i="7"/>
  <c r="N276" i="7"/>
  <c r="F276" i="7"/>
  <c r="B276" i="7"/>
  <c r="W275" i="7"/>
  <c r="C275" i="7"/>
  <c r="X274" i="7"/>
  <c r="T274" i="7"/>
  <c r="P274" i="7"/>
  <c r="L274" i="7"/>
  <c r="D274" i="7"/>
  <c r="E273" i="7"/>
  <c r="V272" i="7"/>
  <c r="R272" i="7"/>
  <c r="N272" i="7"/>
  <c r="F272" i="7"/>
  <c r="B272" i="7"/>
  <c r="W271" i="7"/>
  <c r="C271" i="7"/>
  <c r="X270" i="7"/>
  <c r="T270" i="7"/>
  <c r="P270" i="7"/>
  <c r="L270" i="7"/>
  <c r="D270" i="7"/>
  <c r="E269" i="7"/>
  <c r="V268" i="7"/>
  <c r="R268" i="7"/>
  <c r="N268" i="7"/>
  <c r="F268" i="7"/>
  <c r="B268" i="7"/>
  <c r="W267" i="7"/>
  <c r="C267" i="7"/>
  <c r="X266" i="7"/>
  <c r="T266" i="7"/>
  <c r="P266" i="7"/>
  <c r="L266" i="7"/>
  <c r="D266" i="7"/>
  <c r="E265" i="7"/>
  <c r="V264" i="7"/>
  <c r="R264" i="7"/>
  <c r="N264" i="7"/>
  <c r="F264" i="7"/>
  <c r="B264" i="7"/>
  <c r="W263" i="7"/>
  <c r="C263" i="7"/>
  <c r="X262" i="7"/>
  <c r="T262" i="7"/>
  <c r="P262" i="7"/>
  <c r="L262" i="7"/>
  <c r="D262" i="7"/>
  <c r="E261" i="7"/>
  <c r="V260" i="7"/>
  <c r="R260" i="7"/>
  <c r="N260" i="7"/>
  <c r="F260" i="7"/>
  <c r="B260" i="7"/>
  <c r="W259" i="7"/>
  <c r="C259" i="7"/>
  <c r="X258" i="7"/>
  <c r="T258" i="7"/>
  <c r="P258" i="7"/>
  <c r="L258" i="7"/>
  <c r="D258" i="7"/>
  <c r="E257" i="7"/>
  <c r="V256" i="7"/>
  <c r="R256" i="7"/>
  <c r="N256" i="7"/>
  <c r="F256" i="7"/>
  <c r="B256" i="7"/>
  <c r="W255" i="7"/>
  <c r="C255" i="7"/>
  <c r="X254" i="7"/>
  <c r="T254" i="7"/>
  <c r="P254" i="7"/>
  <c r="L254" i="7"/>
  <c r="D254" i="7"/>
  <c r="E253" i="7"/>
  <c r="V252" i="7"/>
  <c r="R252" i="7"/>
  <c r="N252" i="7"/>
  <c r="F252" i="7"/>
  <c r="B252" i="7"/>
  <c r="W251" i="7"/>
  <c r="C251" i="7"/>
  <c r="X250" i="7"/>
  <c r="T250" i="7"/>
  <c r="P250" i="7"/>
  <c r="L250" i="7"/>
  <c r="D250" i="7"/>
  <c r="E249" i="7"/>
  <c r="V248" i="7"/>
  <c r="R248" i="7"/>
  <c r="N248" i="7"/>
  <c r="F248" i="7"/>
  <c r="B248" i="7"/>
  <c r="W247" i="7"/>
  <c r="C247" i="7"/>
  <c r="X246" i="7"/>
  <c r="T246" i="7"/>
  <c r="P246" i="7"/>
  <c r="L246" i="7"/>
  <c r="D246" i="7"/>
  <c r="E245" i="7"/>
  <c r="V244" i="7"/>
  <c r="R244" i="7"/>
  <c r="N244" i="7"/>
  <c r="F244" i="7"/>
  <c r="B244" i="7"/>
  <c r="W243" i="7"/>
  <c r="C243" i="7"/>
  <c r="X242" i="7"/>
  <c r="T242" i="7"/>
  <c r="P242" i="7"/>
  <c r="L242" i="7"/>
  <c r="D242" i="7"/>
  <c r="E241" i="7"/>
  <c r="V240" i="7"/>
  <c r="R240" i="7"/>
  <c r="N240" i="7"/>
  <c r="F240" i="7"/>
  <c r="B240" i="7"/>
  <c r="W239" i="7"/>
  <c r="C239" i="7"/>
  <c r="X238" i="7"/>
  <c r="T238" i="7"/>
  <c r="P238" i="7"/>
  <c r="L238" i="7"/>
  <c r="D238" i="7"/>
  <c r="E237" i="7"/>
  <c r="V236" i="7"/>
  <c r="R236" i="7"/>
  <c r="N236" i="7"/>
  <c r="F236" i="7"/>
  <c r="B236" i="7"/>
  <c r="W235" i="7"/>
  <c r="C235" i="7"/>
  <c r="X234" i="7"/>
  <c r="T234" i="7"/>
  <c r="P234" i="7"/>
  <c r="L234" i="7"/>
  <c r="D234" i="7"/>
  <c r="E233" i="7"/>
  <c r="V232" i="7"/>
  <c r="R232" i="7"/>
  <c r="N232" i="7"/>
  <c r="F232" i="7"/>
  <c r="B232" i="7"/>
  <c r="W231" i="7"/>
  <c r="C231" i="7"/>
  <c r="X230" i="7"/>
  <c r="T230" i="7"/>
  <c r="P230" i="7"/>
  <c r="L230" i="7"/>
  <c r="D230" i="7"/>
  <c r="E229" i="7"/>
  <c r="V228" i="7"/>
  <c r="R228" i="7"/>
  <c r="N228" i="7"/>
  <c r="F228" i="7"/>
  <c r="B228" i="7"/>
  <c r="W227" i="7"/>
  <c r="C227" i="7"/>
  <c r="X226" i="7"/>
  <c r="T226" i="7"/>
  <c r="P226" i="7"/>
  <c r="L226" i="7"/>
  <c r="D226" i="7"/>
  <c r="E225" i="7"/>
  <c r="V224" i="7"/>
  <c r="R224" i="7"/>
  <c r="N224" i="7"/>
  <c r="F224" i="7"/>
  <c r="B224" i="7"/>
  <c r="W223" i="7"/>
  <c r="C223" i="7"/>
  <c r="X222" i="7"/>
  <c r="T222" i="7"/>
  <c r="P222" i="7"/>
  <c r="L222" i="7"/>
  <c r="D222" i="7"/>
  <c r="E221" i="7"/>
  <c r="V220" i="7"/>
  <c r="R220" i="7"/>
  <c r="N220" i="7"/>
  <c r="F220" i="7"/>
  <c r="B220" i="7"/>
  <c r="W219" i="7"/>
  <c r="C219" i="7"/>
  <c r="X566" i="7"/>
  <c r="L566" i="7"/>
  <c r="D566" i="7"/>
  <c r="X565" i="7"/>
  <c r="T565" i="7"/>
  <c r="P565" i="7"/>
  <c r="L565" i="7"/>
  <c r="D565" i="7"/>
  <c r="E564" i="7"/>
  <c r="V563" i="7"/>
  <c r="R563" i="7"/>
  <c r="N563" i="7"/>
  <c r="F563" i="7"/>
  <c r="B563" i="7"/>
  <c r="W562" i="7"/>
  <c r="C562" i="7"/>
  <c r="X561" i="7"/>
  <c r="T561" i="7"/>
  <c r="P561" i="7"/>
  <c r="L561" i="7"/>
  <c r="D561" i="7"/>
  <c r="E560" i="7"/>
  <c r="V559" i="7"/>
  <c r="R559" i="7"/>
  <c r="N559" i="7"/>
  <c r="F559" i="7"/>
  <c r="B559" i="7"/>
  <c r="W558" i="7"/>
  <c r="C558" i="7"/>
  <c r="X557" i="7"/>
  <c r="T557" i="7"/>
  <c r="P557" i="7"/>
  <c r="L557" i="7"/>
  <c r="D557" i="7"/>
  <c r="E556" i="7"/>
  <c r="V555" i="7"/>
  <c r="R555" i="7"/>
  <c r="N555" i="7"/>
  <c r="F555" i="7"/>
  <c r="B555" i="7"/>
  <c r="W554" i="7"/>
  <c r="C554" i="7"/>
  <c r="X553" i="7"/>
  <c r="T553" i="7"/>
  <c r="P553" i="7"/>
  <c r="L553" i="7"/>
  <c r="D553" i="7"/>
  <c r="E552" i="7"/>
  <c r="V551" i="7"/>
  <c r="R551" i="7"/>
  <c r="N551" i="7"/>
  <c r="F551" i="7"/>
  <c r="B551" i="7"/>
  <c r="W550" i="7"/>
  <c r="C550" i="7"/>
  <c r="X549" i="7"/>
  <c r="T549" i="7"/>
  <c r="P549" i="7"/>
  <c r="L549" i="7"/>
  <c r="D549" i="7"/>
  <c r="E548" i="7"/>
  <c r="V547" i="7"/>
  <c r="R547" i="7"/>
  <c r="N547" i="7"/>
  <c r="F547" i="7"/>
  <c r="B547" i="7"/>
  <c r="W546" i="7"/>
  <c r="C546" i="7"/>
  <c r="X545" i="7"/>
  <c r="T545" i="7"/>
  <c r="P545" i="7"/>
  <c r="L545" i="7"/>
  <c r="D545" i="7"/>
  <c r="E544" i="7"/>
  <c r="V543" i="7"/>
  <c r="R543" i="7"/>
  <c r="N543" i="7"/>
  <c r="F543" i="7"/>
  <c r="B543" i="7"/>
  <c r="W542" i="7"/>
  <c r="C542" i="7"/>
  <c r="X541" i="7"/>
  <c r="T541" i="7"/>
  <c r="P541" i="7"/>
  <c r="L541" i="7"/>
  <c r="D541" i="7"/>
  <c r="E540" i="7"/>
  <c r="V539" i="7"/>
  <c r="R539" i="7"/>
  <c r="N539" i="7"/>
  <c r="F539" i="7"/>
  <c r="B539" i="7"/>
  <c r="W538" i="7"/>
  <c r="C538" i="7"/>
  <c r="X537" i="7"/>
  <c r="T537" i="7"/>
  <c r="P537" i="7"/>
  <c r="L537" i="7"/>
  <c r="D537" i="7"/>
  <c r="E536" i="7"/>
  <c r="V535" i="7"/>
  <c r="R535" i="7"/>
  <c r="N535" i="7"/>
  <c r="F535" i="7"/>
  <c r="B535" i="7"/>
  <c r="W534" i="7"/>
  <c r="C534" i="7"/>
  <c r="X533" i="7"/>
  <c r="T533" i="7"/>
  <c r="P533" i="7"/>
  <c r="L533" i="7"/>
  <c r="D533" i="7"/>
  <c r="E532" i="7"/>
  <c r="V531" i="7"/>
  <c r="R531" i="7"/>
  <c r="N531" i="7"/>
  <c r="F531" i="7"/>
  <c r="B531" i="7"/>
  <c r="W530" i="7"/>
  <c r="C530" i="7"/>
  <c r="X529" i="7"/>
  <c r="T529" i="7"/>
  <c r="P529" i="7"/>
  <c r="L529" i="7"/>
  <c r="D529" i="7"/>
  <c r="E528" i="7"/>
  <c r="V527" i="7"/>
  <c r="R527" i="7"/>
  <c r="N527" i="7"/>
  <c r="F527" i="7"/>
  <c r="B527" i="7"/>
  <c r="W526" i="7"/>
  <c r="C526" i="7"/>
  <c r="X525" i="7"/>
  <c r="T525" i="7"/>
  <c r="P525" i="7"/>
  <c r="L525" i="7"/>
  <c r="D525" i="7"/>
  <c r="E524" i="7"/>
  <c r="V523" i="7"/>
  <c r="R523" i="7"/>
  <c r="N523" i="7"/>
  <c r="F523" i="7"/>
  <c r="B523" i="7"/>
  <c r="W522" i="7"/>
  <c r="C522" i="7"/>
  <c r="X521" i="7"/>
  <c r="T521" i="7"/>
  <c r="P521" i="7"/>
  <c r="L521" i="7"/>
  <c r="D521" i="7"/>
  <c r="E520" i="7"/>
  <c r="V519" i="7"/>
  <c r="R519" i="7"/>
  <c r="N519" i="7"/>
  <c r="F519" i="7"/>
  <c r="B519" i="7"/>
  <c r="W518" i="7"/>
  <c r="C518" i="7"/>
  <c r="X517" i="7"/>
  <c r="T517" i="7"/>
  <c r="P517" i="7"/>
  <c r="L517" i="7"/>
  <c r="D517" i="7"/>
  <c r="E516" i="7"/>
  <c r="V515" i="7"/>
  <c r="R515" i="7"/>
  <c r="N515" i="7"/>
  <c r="F515" i="7"/>
  <c r="B515" i="7"/>
  <c r="W514" i="7"/>
  <c r="C514" i="7"/>
  <c r="X513" i="7"/>
  <c r="T513" i="7"/>
  <c r="P513" i="7"/>
  <c r="L513" i="7"/>
  <c r="D513" i="7"/>
  <c r="E512" i="7"/>
  <c r="V511" i="7"/>
  <c r="R511" i="7"/>
  <c r="N511" i="7"/>
  <c r="F511" i="7"/>
  <c r="B511" i="7"/>
  <c r="W510" i="7"/>
  <c r="C510" i="7"/>
  <c r="X509" i="7"/>
  <c r="T509" i="7"/>
  <c r="P509" i="7"/>
  <c r="L509" i="7"/>
  <c r="D509" i="7"/>
  <c r="E508" i="7"/>
  <c r="V507" i="7"/>
  <c r="R507" i="7"/>
  <c r="N507" i="7"/>
  <c r="F507" i="7"/>
  <c r="B507" i="7"/>
  <c r="W506" i="7"/>
  <c r="C506" i="7"/>
  <c r="X505" i="7"/>
  <c r="T505" i="7"/>
  <c r="P505" i="7"/>
  <c r="L505" i="7"/>
  <c r="D505" i="7"/>
  <c r="E504" i="7"/>
  <c r="V503" i="7"/>
  <c r="R503" i="7"/>
  <c r="N503" i="7"/>
  <c r="F503" i="7"/>
  <c r="B503" i="7"/>
  <c r="W502" i="7"/>
  <c r="C502" i="7"/>
  <c r="X501" i="7"/>
  <c r="T501" i="7"/>
  <c r="P501" i="7"/>
  <c r="L501" i="7"/>
  <c r="D501" i="7"/>
  <c r="E500" i="7"/>
  <c r="V499" i="7"/>
  <c r="R499" i="7"/>
  <c r="N499" i="7"/>
  <c r="F499" i="7"/>
  <c r="B499" i="7"/>
  <c r="W498" i="7"/>
  <c r="C498" i="7"/>
  <c r="X497" i="7"/>
  <c r="T497" i="7"/>
  <c r="P497" i="7"/>
  <c r="L497" i="7"/>
  <c r="D497" i="7"/>
  <c r="E496" i="7"/>
  <c r="V495" i="7"/>
  <c r="R495" i="7"/>
  <c r="N495" i="7"/>
  <c r="F495" i="7"/>
  <c r="B495" i="7"/>
  <c r="W494" i="7"/>
  <c r="C494" i="7"/>
  <c r="X493" i="7"/>
  <c r="T493" i="7"/>
  <c r="P493" i="7"/>
  <c r="L493" i="7"/>
  <c r="D493" i="7"/>
  <c r="E492" i="7"/>
  <c r="V491" i="7"/>
  <c r="R491" i="7"/>
  <c r="N491" i="7"/>
  <c r="F491" i="7"/>
  <c r="B491" i="7"/>
  <c r="W490" i="7"/>
  <c r="C490" i="7"/>
  <c r="X489" i="7"/>
  <c r="T489" i="7"/>
  <c r="P489" i="7"/>
  <c r="L489" i="7"/>
  <c r="D489" i="7"/>
  <c r="E488" i="7"/>
  <c r="V487" i="7"/>
  <c r="R487" i="7"/>
  <c r="N487" i="7"/>
  <c r="F487" i="7"/>
  <c r="B487" i="7"/>
  <c r="W486" i="7"/>
  <c r="C486" i="7"/>
  <c r="X485" i="7"/>
  <c r="T485" i="7"/>
  <c r="P485" i="7"/>
  <c r="L485" i="7"/>
  <c r="D485" i="7"/>
  <c r="E484" i="7"/>
  <c r="V483" i="7"/>
  <c r="R483" i="7"/>
  <c r="N483" i="7"/>
  <c r="F483" i="7"/>
  <c r="B483" i="7"/>
  <c r="W482" i="7"/>
  <c r="C482" i="7"/>
  <c r="X481" i="7"/>
  <c r="T481" i="7"/>
  <c r="P481" i="7"/>
  <c r="L481" i="7"/>
  <c r="D481" i="7"/>
  <c r="E480" i="7"/>
  <c r="V479" i="7"/>
  <c r="R479" i="7"/>
  <c r="N479" i="7"/>
  <c r="F479" i="7"/>
  <c r="B479" i="7"/>
  <c r="W478" i="7"/>
  <c r="C478" i="7"/>
  <c r="X477" i="7"/>
  <c r="T477" i="7"/>
  <c r="P477" i="7"/>
  <c r="L477" i="7"/>
  <c r="D477" i="7"/>
  <c r="E476" i="7"/>
  <c r="V475" i="7"/>
  <c r="R475" i="7"/>
  <c r="N475" i="7"/>
  <c r="F475" i="7"/>
  <c r="B475" i="7"/>
  <c r="W474" i="7"/>
  <c r="C474" i="7"/>
  <c r="X473" i="7"/>
  <c r="T473" i="7"/>
  <c r="P473" i="7"/>
  <c r="L473" i="7"/>
  <c r="D473" i="7"/>
  <c r="E472" i="7"/>
  <c r="V471" i="7"/>
  <c r="R471" i="7"/>
  <c r="N471" i="7"/>
  <c r="F471" i="7"/>
  <c r="B471" i="7"/>
  <c r="W470" i="7"/>
  <c r="C470" i="7"/>
  <c r="X469" i="7"/>
  <c r="T469" i="7"/>
  <c r="P469" i="7"/>
  <c r="L469" i="7"/>
  <c r="D469" i="7"/>
  <c r="E468" i="7"/>
  <c r="V467" i="7"/>
  <c r="R467" i="7"/>
  <c r="N467" i="7"/>
  <c r="F467" i="7"/>
  <c r="B467" i="7"/>
  <c r="W466" i="7"/>
  <c r="C466" i="7"/>
  <c r="X465" i="7"/>
  <c r="T465" i="7"/>
  <c r="P465" i="7"/>
  <c r="L465" i="7"/>
  <c r="D465" i="7"/>
  <c r="E464" i="7"/>
  <c r="V463" i="7"/>
  <c r="R463" i="7"/>
  <c r="N463" i="7"/>
  <c r="F463" i="7"/>
  <c r="B463" i="7"/>
  <c r="W462" i="7"/>
  <c r="C462" i="7"/>
  <c r="X461" i="7"/>
  <c r="T461" i="7"/>
  <c r="P461" i="7"/>
  <c r="L461" i="7"/>
  <c r="D461" i="7"/>
  <c r="E460" i="7"/>
  <c r="V459" i="7"/>
  <c r="R459" i="7"/>
  <c r="N459" i="7"/>
  <c r="F459" i="7"/>
  <c r="B459" i="7"/>
  <c r="W458" i="7"/>
  <c r="C458" i="7"/>
  <c r="X457" i="7"/>
  <c r="T457" i="7"/>
  <c r="P457" i="7"/>
  <c r="L457" i="7"/>
  <c r="D457" i="7"/>
  <c r="E456" i="7"/>
  <c r="V455" i="7"/>
  <c r="R455" i="7"/>
  <c r="N455" i="7"/>
  <c r="F455" i="7"/>
  <c r="B455" i="7"/>
  <c r="W454" i="7"/>
  <c r="C454" i="7"/>
  <c r="X453" i="7"/>
  <c r="T453" i="7"/>
  <c r="P453" i="7"/>
  <c r="L453" i="7"/>
  <c r="D453" i="7"/>
  <c r="E452" i="7"/>
  <c r="V451" i="7"/>
  <c r="R451" i="7"/>
  <c r="N451" i="7"/>
  <c r="F451" i="7"/>
  <c r="B451" i="7"/>
  <c r="W450" i="7"/>
  <c r="C450" i="7"/>
  <c r="X449" i="7"/>
  <c r="T449" i="7"/>
  <c r="P449" i="7"/>
  <c r="L449" i="7"/>
  <c r="D449" i="7"/>
  <c r="E448" i="7"/>
  <c r="V447" i="7"/>
  <c r="R447" i="7"/>
  <c r="N447" i="7"/>
  <c r="F447" i="7"/>
  <c r="B447" i="7"/>
  <c r="W446" i="7"/>
  <c r="C446" i="7"/>
  <c r="X445" i="7"/>
  <c r="T445" i="7"/>
  <c r="P445" i="7"/>
  <c r="L445" i="7"/>
  <c r="D445" i="7"/>
  <c r="E444" i="7"/>
  <c r="V443" i="7"/>
  <c r="R443" i="7"/>
  <c r="N443" i="7"/>
  <c r="F443" i="7"/>
  <c r="B443" i="7"/>
  <c r="W442" i="7"/>
  <c r="C442" i="7"/>
  <c r="X441" i="7"/>
  <c r="T441" i="7"/>
  <c r="P441" i="7"/>
  <c r="L441" i="7"/>
  <c r="D441" i="7"/>
  <c r="E440" i="7"/>
  <c r="V439" i="7"/>
  <c r="R439" i="7"/>
  <c r="N439" i="7"/>
  <c r="F439" i="7"/>
  <c r="B439" i="7"/>
  <c r="W438" i="7"/>
  <c r="C438" i="7"/>
  <c r="X437" i="7"/>
  <c r="T437" i="7"/>
  <c r="P437" i="7"/>
  <c r="L437" i="7"/>
  <c r="D437" i="7"/>
  <c r="E436" i="7"/>
  <c r="V435" i="7"/>
  <c r="R435" i="7"/>
  <c r="N435" i="7"/>
  <c r="F435" i="7"/>
  <c r="B435" i="7"/>
  <c r="W434" i="7"/>
  <c r="C434" i="7"/>
  <c r="X433" i="7"/>
  <c r="T433" i="7"/>
  <c r="P433" i="7"/>
  <c r="L433" i="7"/>
  <c r="D433" i="7"/>
  <c r="E432" i="7"/>
  <c r="V431" i="7"/>
  <c r="R431" i="7"/>
  <c r="N431" i="7"/>
  <c r="F431" i="7"/>
  <c r="B431" i="7"/>
  <c r="W430" i="7"/>
  <c r="C430" i="7"/>
  <c r="X429" i="7"/>
  <c r="T429" i="7"/>
  <c r="P429" i="7"/>
  <c r="L429" i="7"/>
  <c r="D429" i="7"/>
  <c r="E428" i="7"/>
  <c r="V427" i="7"/>
  <c r="R427" i="7"/>
  <c r="N427" i="7"/>
  <c r="F427" i="7"/>
  <c r="B427" i="7"/>
  <c r="W426" i="7"/>
  <c r="C426" i="7"/>
  <c r="X425" i="7"/>
  <c r="T425" i="7"/>
  <c r="P425" i="7"/>
  <c r="L425" i="7"/>
  <c r="D425" i="7"/>
  <c r="E424" i="7"/>
  <c r="V423" i="7"/>
  <c r="R423" i="7"/>
  <c r="N423" i="7"/>
  <c r="F423" i="7"/>
  <c r="B423" i="7"/>
  <c r="W422" i="7"/>
  <c r="C422" i="7"/>
  <c r="X421" i="7"/>
  <c r="T421" i="7"/>
  <c r="P421" i="7"/>
  <c r="L421" i="7"/>
  <c r="D421" i="7"/>
  <c r="E420" i="7"/>
  <c r="V419" i="7"/>
  <c r="R419" i="7"/>
  <c r="N419" i="7"/>
  <c r="F419" i="7"/>
  <c r="B419" i="7"/>
  <c r="W418" i="7"/>
  <c r="C418" i="7"/>
  <c r="X417" i="7"/>
  <c r="T417" i="7"/>
  <c r="P417" i="7"/>
  <c r="L417" i="7"/>
  <c r="D417" i="7"/>
  <c r="E416" i="7"/>
  <c r="V415" i="7"/>
  <c r="R415" i="7"/>
  <c r="N415" i="7"/>
  <c r="F415" i="7"/>
  <c r="B415" i="7"/>
  <c r="W414" i="7"/>
  <c r="C414" i="7"/>
  <c r="X413" i="7"/>
  <c r="T413" i="7"/>
  <c r="P413" i="7"/>
  <c r="L413" i="7"/>
  <c r="D413" i="7"/>
  <c r="E412" i="7"/>
  <c r="V411" i="7"/>
  <c r="R411" i="7"/>
  <c r="N411" i="7"/>
  <c r="F411" i="7"/>
  <c r="B411" i="7"/>
  <c r="W410" i="7"/>
  <c r="C410" i="7"/>
  <c r="X409" i="7"/>
  <c r="T409" i="7"/>
  <c r="P409" i="7"/>
  <c r="L409" i="7"/>
  <c r="D409" i="7"/>
  <c r="E408" i="7"/>
  <c r="V407" i="7"/>
  <c r="R407" i="7"/>
  <c r="N407" i="7"/>
  <c r="F407" i="7"/>
  <c r="B407" i="7"/>
  <c r="W406" i="7"/>
  <c r="C406" i="7"/>
  <c r="X405" i="7"/>
  <c r="T405" i="7"/>
  <c r="P405" i="7"/>
  <c r="L405" i="7"/>
  <c r="D405" i="7"/>
  <c r="E404" i="7"/>
  <c r="V403" i="7"/>
  <c r="R403" i="7"/>
  <c r="N403" i="7"/>
  <c r="F403" i="7"/>
  <c r="B403" i="7"/>
  <c r="W402" i="7"/>
  <c r="C402" i="7"/>
  <c r="X401" i="7"/>
  <c r="T401" i="7"/>
  <c r="P401" i="7"/>
  <c r="L401" i="7"/>
  <c r="D401" i="7"/>
  <c r="E400" i="7"/>
  <c r="V399" i="7"/>
  <c r="R399" i="7"/>
  <c r="N399" i="7"/>
  <c r="F399" i="7"/>
  <c r="B399" i="7"/>
  <c r="W398" i="7"/>
  <c r="C398" i="7"/>
  <c r="X397" i="7"/>
  <c r="T397" i="7"/>
  <c r="P397" i="7"/>
  <c r="L397" i="7"/>
  <c r="D397" i="7"/>
  <c r="E396" i="7"/>
  <c r="V395" i="7"/>
  <c r="R395" i="7"/>
  <c r="N395" i="7"/>
  <c r="F395" i="7"/>
  <c r="B395" i="7"/>
  <c r="W394" i="7"/>
  <c r="C394" i="7"/>
  <c r="X393" i="7"/>
  <c r="T393" i="7"/>
  <c r="P393" i="7"/>
  <c r="L393" i="7"/>
  <c r="D393" i="7"/>
  <c r="E392" i="7"/>
  <c r="V391" i="7"/>
  <c r="R391" i="7"/>
  <c r="N391" i="7"/>
  <c r="F391" i="7"/>
  <c r="B391" i="7"/>
  <c r="W390" i="7"/>
  <c r="C390" i="7"/>
  <c r="X389" i="7"/>
  <c r="T389" i="7"/>
  <c r="P389" i="7"/>
  <c r="L389" i="7"/>
  <c r="D389" i="7"/>
  <c r="E388" i="7"/>
  <c r="V387" i="7"/>
  <c r="R387" i="7"/>
  <c r="N387" i="7"/>
  <c r="F387" i="7"/>
  <c r="B387" i="7"/>
  <c r="W386" i="7"/>
  <c r="C386" i="7"/>
  <c r="X385" i="7"/>
  <c r="T385" i="7"/>
  <c r="P385" i="7"/>
  <c r="L385" i="7"/>
  <c r="D385" i="7"/>
  <c r="E384" i="7"/>
  <c r="V383" i="7"/>
  <c r="R383" i="7"/>
  <c r="N383" i="7"/>
  <c r="F383" i="7"/>
  <c r="B383" i="7"/>
  <c r="W382" i="7"/>
  <c r="C382" i="7"/>
  <c r="X381" i="7"/>
  <c r="T381" i="7"/>
  <c r="P381" i="7"/>
  <c r="L381" i="7"/>
  <c r="D381" i="7"/>
  <c r="E380" i="7"/>
  <c r="V379" i="7"/>
  <c r="R379" i="7"/>
  <c r="N379" i="7"/>
  <c r="F379" i="7"/>
  <c r="B379" i="7"/>
  <c r="W378" i="7"/>
  <c r="C378" i="7"/>
  <c r="X377" i="7"/>
  <c r="T377" i="7"/>
  <c r="P377" i="7"/>
  <c r="L377" i="7"/>
  <c r="D377" i="7"/>
  <c r="E376" i="7"/>
  <c r="V375" i="7"/>
  <c r="R375" i="7"/>
  <c r="N375" i="7"/>
  <c r="F375" i="7"/>
  <c r="B375" i="7"/>
  <c r="W374" i="7"/>
  <c r="C374" i="7"/>
  <c r="X373" i="7"/>
  <c r="T373" i="7"/>
  <c r="P373" i="7"/>
  <c r="L373" i="7"/>
  <c r="D373" i="7"/>
  <c r="E372" i="7"/>
  <c r="V371" i="7"/>
  <c r="R371" i="7"/>
  <c r="N371" i="7"/>
  <c r="F371" i="7"/>
  <c r="B371" i="7"/>
  <c r="W370" i="7"/>
  <c r="C370" i="7"/>
  <c r="X369" i="7"/>
  <c r="T369" i="7"/>
  <c r="P369" i="7"/>
  <c r="L369" i="7"/>
  <c r="D369" i="7"/>
  <c r="E368" i="7"/>
  <c r="V367" i="7"/>
  <c r="R367" i="7"/>
  <c r="N367" i="7"/>
  <c r="F367" i="7"/>
  <c r="B367" i="7"/>
  <c r="W366" i="7"/>
  <c r="C366" i="7"/>
  <c r="X365" i="7"/>
  <c r="T365" i="7"/>
  <c r="P365" i="7"/>
  <c r="L365" i="7"/>
  <c r="D365" i="7"/>
  <c r="E364" i="7"/>
  <c r="V363" i="7"/>
  <c r="R363" i="7"/>
  <c r="N363" i="7"/>
  <c r="F363" i="7"/>
  <c r="B363" i="7"/>
  <c r="W362" i="7"/>
  <c r="C362" i="7"/>
  <c r="X361" i="7"/>
  <c r="T361" i="7"/>
  <c r="P361" i="7"/>
  <c r="L361" i="7"/>
  <c r="D361" i="7"/>
  <c r="E360" i="7"/>
  <c r="V359" i="7"/>
  <c r="R359" i="7"/>
  <c r="N359" i="7"/>
  <c r="F359" i="7"/>
  <c r="B359" i="7"/>
  <c r="W358" i="7"/>
  <c r="C358" i="7"/>
  <c r="X357" i="7"/>
  <c r="T357" i="7"/>
  <c r="P357" i="7"/>
  <c r="L357" i="7"/>
  <c r="D357" i="7"/>
  <c r="E356" i="7"/>
  <c r="V355" i="7"/>
  <c r="R355" i="7"/>
  <c r="N355" i="7"/>
  <c r="F355" i="7"/>
  <c r="B355" i="7"/>
  <c r="W354" i="7"/>
  <c r="C354" i="7"/>
  <c r="X353" i="7"/>
  <c r="T353" i="7"/>
  <c r="P353" i="7"/>
  <c r="L353" i="7"/>
  <c r="D353" i="7"/>
  <c r="E352" i="7"/>
  <c r="V351" i="7"/>
  <c r="R351" i="7"/>
  <c r="N351" i="7"/>
  <c r="F351" i="7"/>
  <c r="B351" i="7"/>
  <c r="W350" i="7"/>
  <c r="C350" i="7"/>
  <c r="X349" i="7"/>
  <c r="T349" i="7"/>
  <c r="P349" i="7"/>
  <c r="L349" i="7"/>
  <c r="D349" i="7"/>
  <c r="E348" i="7"/>
  <c r="V347" i="7"/>
  <c r="R347" i="7"/>
  <c r="N347" i="7"/>
  <c r="F347" i="7"/>
  <c r="B347" i="7"/>
  <c r="W346" i="7"/>
  <c r="C346" i="7"/>
  <c r="X345" i="7"/>
  <c r="T345" i="7"/>
  <c r="P345" i="7"/>
  <c r="L345" i="7"/>
  <c r="D345" i="7"/>
  <c r="E344" i="7"/>
  <c r="V343" i="7"/>
  <c r="R343" i="7"/>
  <c r="N343" i="7"/>
  <c r="F343" i="7"/>
  <c r="B343" i="7"/>
  <c r="W342" i="7"/>
  <c r="C342" i="7"/>
  <c r="X341" i="7"/>
  <c r="T341" i="7"/>
  <c r="P341" i="7"/>
  <c r="L341" i="7"/>
  <c r="D341" i="7"/>
  <c r="E340" i="7"/>
  <c r="V339" i="7"/>
  <c r="R339" i="7"/>
  <c r="N339" i="7"/>
  <c r="F339" i="7"/>
  <c r="B339" i="7"/>
  <c r="W338" i="7"/>
  <c r="C338" i="7"/>
  <c r="X337" i="7"/>
  <c r="T337" i="7"/>
  <c r="P337" i="7"/>
  <c r="L337" i="7"/>
  <c r="D337" i="7"/>
  <c r="E336" i="7"/>
  <c r="V335" i="7"/>
  <c r="R335" i="7"/>
  <c r="N335" i="7"/>
  <c r="F335" i="7"/>
  <c r="B335" i="7"/>
  <c r="W334" i="7"/>
  <c r="C334" i="7"/>
  <c r="X333" i="7"/>
  <c r="T333" i="7"/>
  <c r="P333" i="7"/>
  <c r="L333" i="7"/>
  <c r="D333" i="7"/>
  <c r="E332" i="7"/>
  <c r="V331" i="7"/>
  <c r="R331" i="7"/>
  <c r="N331" i="7"/>
  <c r="F331" i="7"/>
  <c r="B331" i="7"/>
  <c r="W330" i="7"/>
  <c r="C330" i="7"/>
  <c r="X329" i="7"/>
  <c r="T329" i="7"/>
  <c r="P329" i="7"/>
  <c r="L329" i="7"/>
  <c r="D329" i="7"/>
  <c r="E328" i="7"/>
  <c r="V327" i="7"/>
  <c r="R327" i="7"/>
  <c r="N327" i="7"/>
  <c r="F327" i="7"/>
  <c r="B327" i="7"/>
  <c r="W326" i="7"/>
  <c r="C326" i="7"/>
  <c r="X325" i="7"/>
  <c r="T325" i="7"/>
  <c r="P325" i="7"/>
  <c r="L325" i="7"/>
  <c r="D325" i="7"/>
  <c r="E324" i="7"/>
  <c r="V323" i="7"/>
  <c r="R323" i="7"/>
  <c r="N323" i="7"/>
  <c r="F323" i="7"/>
  <c r="B323" i="7"/>
  <c r="W322" i="7"/>
  <c r="C322" i="7"/>
  <c r="X321" i="7"/>
  <c r="T321" i="7"/>
  <c r="P321" i="7"/>
  <c r="L321" i="7"/>
  <c r="D321" i="7"/>
  <c r="E320" i="7"/>
  <c r="V319" i="7"/>
  <c r="R319" i="7"/>
  <c r="N319" i="7"/>
  <c r="F319" i="7"/>
  <c r="B319" i="7"/>
  <c r="W318" i="7"/>
  <c r="C318" i="7"/>
  <c r="X317" i="7"/>
  <c r="T317" i="7"/>
  <c r="P317" i="7"/>
  <c r="L317" i="7"/>
  <c r="D317" i="7"/>
  <c r="E316" i="7"/>
  <c r="V315" i="7"/>
  <c r="R315" i="7"/>
  <c r="N315" i="7"/>
  <c r="F315" i="7"/>
  <c r="B315" i="7"/>
  <c r="W314" i="7"/>
  <c r="C314" i="7"/>
  <c r="X313" i="7"/>
  <c r="T313" i="7"/>
  <c r="P313" i="7"/>
  <c r="L313" i="7"/>
  <c r="D313" i="7"/>
  <c r="E312" i="7"/>
  <c r="V311" i="7"/>
  <c r="R311" i="7"/>
  <c r="N311" i="7"/>
  <c r="F311" i="7"/>
  <c r="B311" i="7"/>
  <c r="W310" i="7"/>
  <c r="C310" i="7"/>
  <c r="X309" i="7"/>
  <c r="T309" i="7"/>
  <c r="P309" i="7"/>
  <c r="L309" i="7"/>
  <c r="D309" i="7"/>
  <c r="E308" i="7"/>
  <c r="V307" i="7"/>
  <c r="R307" i="7"/>
  <c r="N307" i="7"/>
  <c r="F307" i="7"/>
  <c r="B307" i="7"/>
  <c r="W306" i="7"/>
  <c r="C306" i="7"/>
  <c r="X305" i="7"/>
  <c r="T305" i="7"/>
  <c r="P305" i="7"/>
  <c r="L305" i="7"/>
  <c r="D305" i="7"/>
  <c r="E304" i="7"/>
  <c r="V303" i="7"/>
  <c r="R303" i="7"/>
  <c r="N303" i="7"/>
  <c r="F303" i="7"/>
  <c r="B303" i="7"/>
  <c r="W302" i="7"/>
  <c r="C302" i="7"/>
  <c r="X301" i="7"/>
  <c r="T301" i="7"/>
  <c r="P301" i="7"/>
  <c r="L301" i="7"/>
  <c r="D301" i="7"/>
  <c r="E300" i="7"/>
  <c r="V299" i="7"/>
  <c r="R299" i="7"/>
  <c r="N299" i="7"/>
  <c r="F299" i="7"/>
  <c r="B299" i="7"/>
  <c r="W298" i="7"/>
  <c r="C298" i="7"/>
  <c r="X297" i="7"/>
  <c r="T297" i="7"/>
  <c r="P297" i="7"/>
  <c r="L297" i="7"/>
  <c r="D297" i="7"/>
  <c r="E296" i="7"/>
  <c r="V295" i="7"/>
  <c r="R295" i="7"/>
  <c r="N295" i="7"/>
  <c r="F295" i="7"/>
  <c r="B295" i="7"/>
  <c r="W294" i="7"/>
  <c r="C294" i="7"/>
  <c r="X293" i="7"/>
  <c r="T293" i="7"/>
  <c r="P293" i="7"/>
  <c r="L293" i="7"/>
  <c r="D293" i="7"/>
  <c r="E292" i="7"/>
  <c r="V291" i="7"/>
  <c r="R291" i="7"/>
  <c r="N291" i="7"/>
  <c r="F291" i="7"/>
  <c r="B291" i="7"/>
  <c r="W290" i="7"/>
  <c r="C290" i="7"/>
  <c r="X289" i="7"/>
  <c r="T289" i="7"/>
  <c r="P289" i="7"/>
  <c r="L289" i="7"/>
  <c r="D289" i="7"/>
  <c r="E288" i="7"/>
  <c r="V287" i="7"/>
  <c r="R287" i="7"/>
  <c r="N287" i="7"/>
  <c r="F287" i="7"/>
  <c r="B287" i="7"/>
  <c r="W286" i="7"/>
  <c r="C286" i="7"/>
  <c r="X285" i="7"/>
  <c r="T285" i="7"/>
  <c r="P285" i="7"/>
  <c r="L285" i="7"/>
  <c r="D285" i="7"/>
  <c r="E284" i="7"/>
  <c r="V283" i="7"/>
  <c r="R283" i="7"/>
  <c r="N283" i="7"/>
  <c r="F283" i="7"/>
  <c r="B283" i="7"/>
  <c r="W282" i="7"/>
  <c r="C282" i="7"/>
  <c r="X281" i="7"/>
  <c r="T281" i="7"/>
  <c r="P281" i="7"/>
  <c r="L281" i="7"/>
  <c r="D281" i="7"/>
  <c r="E280" i="7"/>
  <c r="V279" i="7"/>
  <c r="R279" i="7"/>
  <c r="N279" i="7"/>
  <c r="F279" i="7"/>
  <c r="B279" i="7"/>
  <c r="W278" i="7"/>
  <c r="C278" i="7"/>
  <c r="X277" i="7"/>
  <c r="T277" i="7"/>
  <c r="P277" i="7"/>
  <c r="L277" i="7"/>
  <c r="D277" i="7"/>
  <c r="E276" i="7"/>
  <c r="V275" i="7"/>
  <c r="R275" i="7"/>
  <c r="N275" i="7"/>
  <c r="F275" i="7"/>
  <c r="B275" i="7"/>
  <c r="W274" i="7"/>
  <c r="C274" i="7"/>
  <c r="X273" i="7"/>
  <c r="T273" i="7"/>
  <c r="P273" i="7"/>
  <c r="L273" i="7"/>
  <c r="D273" i="7"/>
  <c r="E272" i="7"/>
  <c r="V271" i="7"/>
  <c r="R271" i="7"/>
  <c r="N271" i="7"/>
  <c r="F271" i="7"/>
  <c r="B271" i="7"/>
  <c r="W270" i="7"/>
  <c r="C270" i="7"/>
  <c r="X269" i="7"/>
  <c r="T269" i="7"/>
  <c r="P269" i="7"/>
  <c r="L269" i="7"/>
  <c r="D269" i="7"/>
  <c r="E268" i="7"/>
  <c r="V267" i="7"/>
  <c r="R267" i="7"/>
  <c r="N267" i="7"/>
  <c r="F267" i="7"/>
  <c r="B267" i="7"/>
  <c r="W266" i="7"/>
  <c r="C266" i="7"/>
  <c r="X265" i="7"/>
  <c r="T265" i="7"/>
  <c r="P265" i="7"/>
  <c r="L265" i="7"/>
  <c r="D265" i="7"/>
  <c r="E264" i="7"/>
  <c r="V263" i="7"/>
  <c r="R263" i="7"/>
  <c r="N263" i="7"/>
  <c r="F263" i="7"/>
  <c r="B263" i="7"/>
  <c r="W262" i="7"/>
  <c r="C262" i="7"/>
  <c r="X261" i="7"/>
  <c r="T261" i="7"/>
  <c r="P261" i="7"/>
  <c r="L261" i="7"/>
  <c r="D261" i="7"/>
  <c r="E260" i="7"/>
  <c r="V259" i="7"/>
  <c r="R259" i="7"/>
  <c r="N259" i="7"/>
  <c r="F259" i="7"/>
  <c r="B259" i="7"/>
  <c r="W258" i="7"/>
  <c r="C258" i="7"/>
  <c r="X257" i="7"/>
  <c r="T257" i="7"/>
  <c r="P257" i="7"/>
  <c r="L257" i="7"/>
  <c r="D257" i="7"/>
  <c r="E256" i="7"/>
  <c r="V255" i="7"/>
  <c r="R255" i="7"/>
  <c r="N255" i="7"/>
  <c r="F255" i="7"/>
  <c r="B255" i="7"/>
  <c r="W254" i="7"/>
  <c r="C254" i="7"/>
  <c r="X253" i="7"/>
  <c r="T253" i="7"/>
  <c r="P253" i="7"/>
  <c r="L253" i="7"/>
  <c r="D253" i="7"/>
  <c r="E252" i="7"/>
  <c r="V251" i="7"/>
  <c r="R251" i="7"/>
  <c r="N251" i="7"/>
  <c r="F251" i="7"/>
  <c r="B251" i="7"/>
  <c r="W250" i="7"/>
  <c r="C250" i="7"/>
  <c r="X249" i="7"/>
  <c r="T249" i="7"/>
  <c r="P249" i="7"/>
  <c r="L249" i="7"/>
  <c r="D249" i="7"/>
  <c r="E248" i="7"/>
  <c r="V247" i="7"/>
  <c r="R247" i="7"/>
  <c r="N247" i="7"/>
  <c r="F247" i="7"/>
  <c r="B247" i="7"/>
  <c r="W246" i="7"/>
  <c r="C246" i="7"/>
  <c r="X245" i="7"/>
  <c r="T245" i="7"/>
  <c r="P245" i="7"/>
  <c r="L245" i="7"/>
  <c r="D245" i="7"/>
  <c r="E244" i="7"/>
  <c r="V243" i="7"/>
  <c r="R243" i="7"/>
  <c r="N243" i="7"/>
  <c r="F243" i="7"/>
  <c r="B243" i="7"/>
  <c r="W242" i="7"/>
  <c r="C242" i="7"/>
  <c r="X241" i="7"/>
  <c r="T241" i="7"/>
  <c r="P241" i="7"/>
  <c r="L241" i="7"/>
  <c r="D241" i="7"/>
  <c r="E240" i="7"/>
  <c r="V239" i="7"/>
  <c r="R239" i="7"/>
  <c r="N239" i="7"/>
  <c r="F239" i="7"/>
  <c r="B239" i="7"/>
  <c r="W238" i="7"/>
  <c r="C238" i="7"/>
  <c r="X237" i="7"/>
  <c r="T237" i="7"/>
  <c r="P237" i="7"/>
  <c r="L237" i="7"/>
  <c r="D237" i="7"/>
  <c r="E236" i="7"/>
  <c r="V235" i="7"/>
  <c r="R235" i="7"/>
  <c r="N235" i="7"/>
  <c r="F235" i="7"/>
  <c r="B235" i="7"/>
  <c r="W234" i="7"/>
  <c r="C234" i="7"/>
  <c r="X233" i="7"/>
  <c r="T233" i="7"/>
  <c r="P233" i="7"/>
  <c r="L233" i="7"/>
  <c r="D233" i="7"/>
  <c r="E232" i="7"/>
  <c r="V231" i="7"/>
  <c r="R231" i="7"/>
  <c r="N231" i="7"/>
  <c r="F231" i="7"/>
  <c r="B231" i="7"/>
  <c r="W230" i="7"/>
  <c r="C230" i="7"/>
  <c r="X229" i="7"/>
  <c r="T229" i="7"/>
  <c r="P229" i="7"/>
  <c r="L229" i="7"/>
  <c r="D229" i="7"/>
  <c r="E228" i="7"/>
  <c r="V227" i="7"/>
  <c r="R227" i="7"/>
  <c r="N227" i="7"/>
  <c r="F227" i="7"/>
  <c r="B227" i="7"/>
  <c r="W226" i="7"/>
  <c r="C226" i="7"/>
  <c r="X225" i="7"/>
  <c r="T225" i="7"/>
  <c r="P225" i="7"/>
  <c r="L225" i="7"/>
  <c r="D225" i="7"/>
  <c r="E224" i="7"/>
  <c r="V223" i="7"/>
  <c r="R223" i="7"/>
  <c r="N223" i="7"/>
  <c r="F223" i="7"/>
  <c r="B223" i="7"/>
  <c r="W222" i="7"/>
  <c r="C222" i="7"/>
  <c r="X221" i="7"/>
  <c r="T221" i="7"/>
  <c r="P221" i="7"/>
  <c r="L221" i="7"/>
  <c r="D221" i="7"/>
  <c r="E220" i="7"/>
  <c r="V219" i="7"/>
  <c r="R219" i="7"/>
  <c r="N219" i="7"/>
  <c r="F219" i="7"/>
  <c r="B219" i="7"/>
  <c r="V568" i="7"/>
  <c r="F568" i="7"/>
  <c r="V566" i="7"/>
  <c r="P566" i="7"/>
  <c r="B566" i="7"/>
  <c r="W565" i="7"/>
  <c r="C565" i="7"/>
  <c r="X564" i="7"/>
  <c r="T564" i="7"/>
  <c r="P564" i="7"/>
  <c r="L564" i="7"/>
  <c r="D564" i="7"/>
  <c r="E563" i="7"/>
  <c r="V562" i="7"/>
  <c r="R562" i="7"/>
  <c r="N562" i="7"/>
  <c r="F562" i="7"/>
  <c r="B562" i="7"/>
  <c r="W561" i="7"/>
  <c r="C561" i="7"/>
  <c r="X560" i="7"/>
  <c r="T560" i="7"/>
  <c r="P560" i="7"/>
  <c r="L560" i="7"/>
  <c r="D560" i="7"/>
  <c r="E559" i="7"/>
  <c r="V558" i="7"/>
  <c r="R558" i="7"/>
  <c r="N558" i="7"/>
  <c r="F558" i="7"/>
  <c r="B558" i="7"/>
  <c r="W557" i="7"/>
  <c r="C557" i="7"/>
  <c r="X556" i="7"/>
  <c r="T556" i="7"/>
  <c r="P556" i="7"/>
  <c r="L556" i="7"/>
  <c r="D556" i="7"/>
  <c r="E555" i="7"/>
  <c r="V554" i="7"/>
  <c r="R554" i="7"/>
  <c r="N554" i="7"/>
  <c r="F554" i="7"/>
  <c r="B554" i="7"/>
  <c r="W553" i="7"/>
  <c r="C553" i="7"/>
  <c r="X552" i="7"/>
  <c r="T552" i="7"/>
  <c r="P552" i="7"/>
  <c r="L552" i="7"/>
  <c r="D552" i="7"/>
  <c r="E551" i="7"/>
  <c r="V550" i="7"/>
  <c r="R550" i="7"/>
  <c r="N550" i="7"/>
  <c r="F550" i="7"/>
  <c r="B550" i="7"/>
  <c r="W549" i="7"/>
  <c r="C549" i="7"/>
  <c r="X548" i="7"/>
  <c r="T548" i="7"/>
  <c r="P548" i="7"/>
  <c r="L548" i="7"/>
  <c r="D548" i="7"/>
  <c r="E547" i="7"/>
  <c r="V546" i="7"/>
  <c r="R546" i="7"/>
  <c r="N546" i="7"/>
  <c r="F546" i="7"/>
  <c r="B546" i="7"/>
  <c r="W545" i="7"/>
  <c r="C545" i="7"/>
  <c r="X544" i="7"/>
  <c r="T544" i="7"/>
  <c r="P544" i="7"/>
  <c r="L544" i="7"/>
  <c r="D544" i="7"/>
  <c r="E543" i="7"/>
  <c r="V542" i="7"/>
  <c r="R542" i="7"/>
  <c r="N542" i="7"/>
  <c r="F542" i="7"/>
  <c r="B542" i="7"/>
  <c r="W541" i="7"/>
  <c r="C541" i="7"/>
  <c r="X540" i="7"/>
  <c r="T540" i="7"/>
  <c r="P540" i="7"/>
  <c r="L540" i="7"/>
  <c r="D540" i="7"/>
  <c r="E539" i="7"/>
  <c r="V538" i="7"/>
  <c r="R538" i="7"/>
  <c r="N538" i="7"/>
  <c r="F538" i="7"/>
  <c r="B538" i="7"/>
  <c r="W537" i="7"/>
  <c r="C537" i="7"/>
  <c r="X536" i="7"/>
  <c r="T536" i="7"/>
  <c r="P536" i="7"/>
  <c r="L536" i="7"/>
  <c r="D536" i="7"/>
  <c r="E535" i="7"/>
  <c r="V534" i="7"/>
  <c r="R534" i="7"/>
  <c r="N534" i="7"/>
  <c r="F534" i="7"/>
  <c r="B534" i="7"/>
  <c r="W533" i="7"/>
  <c r="C533" i="7"/>
  <c r="X532" i="7"/>
  <c r="T532" i="7"/>
  <c r="P532" i="7"/>
  <c r="L532" i="7"/>
  <c r="D532" i="7"/>
  <c r="E531" i="7"/>
  <c r="V530" i="7"/>
  <c r="R530" i="7"/>
  <c r="N530" i="7"/>
  <c r="F530" i="7"/>
  <c r="B530" i="7"/>
  <c r="W529" i="7"/>
  <c r="C529" i="7"/>
  <c r="X528" i="7"/>
  <c r="T528" i="7"/>
  <c r="P528" i="7"/>
  <c r="L528" i="7"/>
  <c r="D528" i="7"/>
  <c r="E527" i="7"/>
  <c r="V526" i="7"/>
  <c r="R526" i="7"/>
  <c r="N526" i="7"/>
  <c r="F526" i="7"/>
  <c r="B526" i="7"/>
  <c r="W525" i="7"/>
  <c r="C525" i="7"/>
  <c r="X524" i="7"/>
  <c r="T524" i="7"/>
  <c r="P524" i="7"/>
  <c r="L524" i="7"/>
  <c r="D524" i="7"/>
  <c r="E523" i="7"/>
  <c r="V522" i="7"/>
  <c r="R522" i="7"/>
  <c r="N522" i="7"/>
  <c r="F522" i="7"/>
  <c r="B522" i="7"/>
  <c r="W521" i="7"/>
  <c r="C521" i="7"/>
  <c r="X520" i="7"/>
  <c r="T520" i="7"/>
  <c r="P520" i="7"/>
  <c r="L520" i="7"/>
  <c r="D520" i="7"/>
  <c r="E519" i="7"/>
  <c r="V518" i="7"/>
  <c r="R518" i="7"/>
  <c r="N518" i="7"/>
  <c r="F518" i="7"/>
  <c r="B518" i="7"/>
  <c r="W517" i="7"/>
  <c r="C517" i="7"/>
  <c r="X516" i="7"/>
  <c r="T516" i="7"/>
  <c r="P516" i="7"/>
  <c r="L516" i="7"/>
  <c r="D516" i="7"/>
  <c r="E515" i="7"/>
  <c r="V514" i="7"/>
  <c r="R514" i="7"/>
  <c r="N514" i="7"/>
  <c r="F514" i="7"/>
  <c r="B514" i="7"/>
  <c r="W513" i="7"/>
  <c r="C513" i="7"/>
  <c r="X512" i="7"/>
  <c r="T512" i="7"/>
  <c r="P512" i="7"/>
  <c r="L512" i="7"/>
  <c r="D512" i="7"/>
  <c r="E511" i="7"/>
  <c r="V510" i="7"/>
  <c r="R510" i="7"/>
  <c r="N510" i="7"/>
  <c r="F510" i="7"/>
  <c r="B510" i="7"/>
  <c r="W509" i="7"/>
  <c r="C509" i="7"/>
  <c r="X508" i="7"/>
  <c r="T508" i="7"/>
  <c r="P508" i="7"/>
  <c r="L508" i="7"/>
  <c r="D508" i="7"/>
  <c r="E507" i="7"/>
  <c r="V506" i="7"/>
  <c r="R506" i="7"/>
  <c r="N506" i="7"/>
  <c r="F506" i="7"/>
  <c r="B506" i="7"/>
  <c r="W505" i="7"/>
  <c r="C505" i="7"/>
  <c r="X504" i="7"/>
  <c r="T504" i="7"/>
  <c r="P504" i="7"/>
  <c r="L504" i="7"/>
  <c r="D504" i="7"/>
  <c r="E503" i="7"/>
  <c r="V502" i="7"/>
  <c r="R502" i="7"/>
  <c r="N502" i="7"/>
  <c r="F502" i="7"/>
  <c r="B502" i="7"/>
  <c r="W501" i="7"/>
  <c r="C501" i="7"/>
  <c r="X500" i="7"/>
  <c r="T500" i="7"/>
  <c r="P500" i="7"/>
  <c r="L500" i="7"/>
  <c r="D500" i="7"/>
  <c r="E499" i="7"/>
  <c r="V498" i="7"/>
  <c r="R498" i="7"/>
  <c r="N498" i="7"/>
  <c r="F498" i="7"/>
  <c r="B498" i="7"/>
  <c r="W497" i="7"/>
  <c r="C497" i="7"/>
  <c r="X496" i="7"/>
  <c r="T496" i="7"/>
  <c r="P496" i="7"/>
  <c r="L496" i="7"/>
  <c r="D496" i="7"/>
  <c r="E495" i="7"/>
  <c r="V494" i="7"/>
  <c r="R494" i="7"/>
  <c r="N494" i="7"/>
  <c r="F494" i="7"/>
  <c r="B494" i="7"/>
  <c r="W493" i="7"/>
  <c r="C493" i="7"/>
  <c r="X492" i="7"/>
  <c r="T492" i="7"/>
  <c r="P492" i="7"/>
  <c r="L492" i="7"/>
  <c r="D492" i="7"/>
  <c r="E491" i="7"/>
  <c r="V490" i="7"/>
  <c r="R490" i="7"/>
  <c r="N490" i="7"/>
  <c r="F490" i="7"/>
  <c r="B490" i="7"/>
  <c r="W489" i="7"/>
  <c r="C489" i="7"/>
  <c r="X488" i="7"/>
  <c r="T488" i="7"/>
  <c r="P488" i="7"/>
  <c r="L488" i="7"/>
  <c r="D488" i="7"/>
  <c r="E487" i="7"/>
  <c r="V486" i="7"/>
  <c r="R486" i="7"/>
  <c r="N486" i="7"/>
  <c r="F486" i="7"/>
  <c r="B486" i="7"/>
  <c r="W485" i="7"/>
  <c r="C485" i="7"/>
  <c r="X484" i="7"/>
  <c r="T484" i="7"/>
  <c r="P484" i="7"/>
  <c r="L484" i="7"/>
  <c r="D484" i="7"/>
  <c r="E483" i="7"/>
  <c r="V482" i="7"/>
  <c r="R482" i="7"/>
  <c r="N482" i="7"/>
  <c r="F482" i="7"/>
  <c r="B482" i="7"/>
  <c r="W481" i="7"/>
  <c r="C481" i="7"/>
  <c r="X480" i="7"/>
  <c r="T480" i="7"/>
  <c r="P480" i="7"/>
  <c r="L480" i="7"/>
  <c r="D480" i="7"/>
  <c r="E479" i="7"/>
  <c r="V478" i="7"/>
  <c r="R478" i="7"/>
  <c r="N478" i="7"/>
  <c r="F478" i="7"/>
  <c r="B478" i="7"/>
  <c r="W477" i="7"/>
  <c r="C477" i="7"/>
  <c r="X476" i="7"/>
  <c r="T476" i="7"/>
  <c r="P476" i="7"/>
  <c r="L476" i="7"/>
  <c r="D476" i="7"/>
  <c r="E475" i="7"/>
  <c r="V474" i="7"/>
  <c r="R474" i="7"/>
  <c r="N474" i="7"/>
  <c r="F474" i="7"/>
  <c r="B474" i="7"/>
  <c r="W473" i="7"/>
  <c r="C473" i="7"/>
  <c r="X472" i="7"/>
  <c r="T472" i="7"/>
  <c r="P472" i="7"/>
  <c r="L472" i="7"/>
  <c r="D472" i="7"/>
  <c r="E471" i="7"/>
  <c r="V470" i="7"/>
  <c r="R470" i="7"/>
  <c r="N470" i="7"/>
  <c r="F470" i="7"/>
  <c r="B470" i="7"/>
  <c r="W469" i="7"/>
  <c r="C469" i="7"/>
  <c r="X468" i="7"/>
  <c r="T468" i="7"/>
  <c r="P468" i="7"/>
  <c r="L468" i="7"/>
  <c r="D468" i="7"/>
  <c r="E467" i="7"/>
  <c r="V466" i="7"/>
  <c r="R466" i="7"/>
  <c r="N466" i="7"/>
  <c r="F466" i="7"/>
  <c r="B466" i="7"/>
  <c r="W465" i="7"/>
  <c r="C465" i="7"/>
  <c r="X464" i="7"/>
  <c r="T464" i="7"/>
  <c r="P464" i="7"/>
  <c r="L464" i="7"/>
  <c r="D464" i="7"/>
  <c r="E463" i="7"/>
  <c r="V462" i="7"/>
  <c r="R462" i="7"/>
  <c r="N462" i="7"/>
  <c r="F462" i="7"/>
  <c r="B462" i="7"/>
  <c r="W461" i="7"/>
  <c r="C461" i="7"/>
  <c r="X460" i="7"/>
  <c r="T460" i="7"/>
  <c r="P460" i="7"/>
  <c r="L460" i="7"/>
  <c r="D460" i="7"/>
  <c r="E459" i="7"/>
  <c r="V458" i="7"/>
  <c r="R458" i="7"/>
  <c r="N458" i="7"/>
  <c r="F458" i="7"/>
  <c r="B458" i="7"/>
  <c r="W457" i="7"/>
  <c r="C457" i="7"/>
  <c r="X456" i="7"/>
  <c r="T456" i="7"/>
  <c r="P456" i="7"/>
  <c r="L456" i="7"/>
  <c r="D456" i="7"/>
  <c r="E455" i="7"/>
  <c r="V454" i="7"/>
  <c r="R454" i="7"/>
  <c r="N454" i="7"/>
  <c r="F454" i="7"/>
  <c r="B454" i="7"/>
  <c r="W453" i="7"/>
  <c r="C453" i="7"/>
  <c r="X452" i="7"/>
  <c r="T452" i="7"/>
  <c r="P452" i="7"/>
  <c r="L452" i="7"/>
  <c r="D452" i="7"/>
  <c r="E451" i="7"/>
  <c r="V450" i="7"/>
  <c r="R450" i="7"/>
  <c r="N450" i="7"/>
  <c r="F450" i="7"/>
  <c r="B450" i="7"/>
  <c r="W449" i="7"/>
  <c r="C449" i="7"/>
  <c r="X448" i="7"/>
  <c r="T448" i="7"/>
  <c r="P448" i="7"/>
  <c r="L448" i="7"/>
  <c r="D448" i="7"/>
  <c r="E447" i="7"/>
  <c r="V446" i="7"/>
  <c r="R446" i="7"/>
  <c r="N446" i="7"/>
  <c r="F446" i="7"/>
  <c r="B446" i="7"/>
  <c r="W445" i="7"/>
  <c r="C445" i="7"/>
  <c r="X444" i="7"/>
  <c r="T444" i="7"/>
  <c r="P444" i="7"/>
  <c r="L444" i="7"/>
  <c r="D444" i="7"/>
  <c r="E443" i="7"/>
  <c r="V442" i="7"/>
  <c r="R442" i="7"/>
  <c r="N442" i="7"/>
  <c r="F442" i="7"/>
  <c r="B442" i="7"/>
  <c r="W441" i="7"/>
  <c r="C441" i="7"/>
  <c r="X440" i="7"/>
  <c r="T440" i="7"/>
  <c r="P440" i="7"/>
  <c r="L440" i="7"/>
  <c r="D440" i="7"/>
  <c r="E439" i="7"/>
  <c r="V438" i="7"/>
  <c r="R438" i="7"/>
  <c r="N438" i="7"/>
  <c r="F438" i="7"/>
  <c r="B438" i="7"/>
  <c r="W437" i="7"/>
  <c r="C437" i="7"/>
  <c r="X436" i="7"/>
  <c r="T436" i="7"/>
  <c r="P436" i="7"/>
  <c r="L436" i="7"/>
  <c r="D436" i="7"/>
  <c r="E435" i="7"/>
  <c r="V434" i="7"/>
  <c r="R434" i="7"/>
  <c r="N434" i="7"/>
  <c r="F434" i="7"/>
  <c r="B434" i="7"/>
  <c r="W433" i="7"/>
  <c r="C433" i="7"/>
  <c r="X432" i="7"/>
  <c r="T432" i="7"/>
  <c r="P432" i="7"/>
  <c r="L432" i="7"/>
  <c r="D432" i="7"/>
  <c r="E431" i="7"/>
  <c r="V430" i="7"/>
  <c r="R430" i="7"/>
  <c r="N430" i="7"/>
  <c r="F430" i="7"/>
  <c r="B430" i="7"/>
  <c r="W429" i="7"/>
  <c r="C429" i="7"/>
  <c r="X428" i="7"/>
  <c r="T428" i="7"/>
  <c r="P428" i="7"/>
  <c r="L428" i="7"/>
  <c r="D428" i="7"/>
  <c r="E427" i="7"/>
  <c r="V426" i="7"/>
  <c r="R426" i="7"/>
  <c r="N426" i="7"/>
  <c r="F426" i="7"/>
  <c r="B426" i="7"/>
  <c r="W425" i="7"/>
  <c r="C425" i="7"/>
  <c r="X424" i="7"/>
  <c r="T424" i="7"/>
  <c r="P424" i="7"/>
  <c r="L424" i="7"/>
  <c r="D424" i="7"/>
  <c r="E423" i="7"/>
  <c r="V422" i="7"/>
  <c r="R422" i="7"/>
  <c r="N422" i="7"/>
  <c r="F422" i="7"/>
  <c r="B422" i="7"/>
  <c r="W421" i="7"/>
  <c r="C421" i="7"/>
  <c r="X420" i="7"/>
  <c r="T420" i="7"/>
  <c r="P420" i="7"/>
  <c r="L420" i="7"/>
  <c r="D420" i="7"/>
  <c r="E419" i="7"/>
  <c r="V418" i="7"/>
  <c r="R418" i="7"/>
  <c r="N418" i="7"/>
  <c r="F418" i="7"/>
  <c r="B418" i="7"/>
  <c r="W417" i="7"/>
  <c r="C417" i="7"/>
  <c r="X416" i="7"/>
  <c r="T416" i="7"/>
  <c r="P416" i="7"/>
  <c r="L416" i="7"/>
  <c r="D416" i="7"/>
  <c r="E415" i="7"/>
  <c r="V414" i="7"/>
  <c r="R414" i="7"/>
  <c r="N414" i="7"/>
  <c r="F414" i="7"/>
  <c r="B414" i="7"/>
  <c r="W413" i="7"/>
  <c r="C413" i="7"/>
  <c r="X412" i="7"/>
  <c r="T412" i="7"/>
  <c r="P412" i="7"/>
  <c r="L412" i="7"/>
  <c r="D412" i="7"/>
  <c r="E411" i="7"/>
  <c r="V410" i="7"/>
  <c r="R410" i="7"/>
  <c r="N410" i="7"/>
  <c r="F410" i="7"/>
  <c r="B410" i="7"/>
  <c r="W409" i="7"/>
  <c r="C409" i="7"/>
  <c r="X408" i="7"/>
  <c r="T408" i="7"/>
  <c r="P408" i="7"/>
  <c r="L408" i="7"/>
  <c r="D408" i="7"/>
  <c r="E407" i="7"/>
  <c r="V406" i="7"/>
  <c r="R406" i="7"/>
  <c r="N406" i="7"/>
  <c r="F406" i="7"/>
  <c r="B406" i="7"/>
  <c r="W405" i="7"/>
  <c r="C405" i="7"/>
  <c r="X404" i="7"/>
  <c r="T404" i="7"/>
  <c r="P404" i="7"/>
  <c r="L404" i="7"/>
  <c r="D404" i="7"/>
  <c r="E403" i="7"/>
  <c r="V402" i="7"/>
  <c r="R402" i="7"/>
  <c r="N402" i="7"/>
  <c r="F402" i="7"/>
  <c r="B402" i="7"/>
  <c r="W401" i="7"/>
  <c r="C401" i="7"/>
  <c r="X400" i="7"/>
  <c r="T400" i="7"/>
  <c r="P400" i="7"/>
  <c r="L400" i="7"/>
  <c r="D400" i="7"/>
  <c r="E399" i="7"/>
  <c r="V398" i="7"/>
  <c r="R398" i="7"/>
  <c r="N398" i="7"/>
  <c r="F398" i="7"/>
  <c r="B398" i="7"/>
  <c r="W397" i="7"/>
  <c r="C397" i="7"/>
  <c r="X396" i="7"/>
  <c r="T396" i="7"/>
  <c r="P396" i="7"/>
  <c r="L396" i="7"/>
  <c r="D396" i="7"/>
  <c r="E395" i="7"/>
  <c r="V394" i="7"/>
  <c r="R394" i="7"/>
  <c r="N394" i="7"/>
  <c r="F394" i="7"/>
  <c r="B394" i="7"/>
  <c r="W393" i="7"/>
  <c r="C393" i="7"/>
  <c r="X392" i="7"/>
  <c r="T392" i="7"/>
  <c r="P392" i="7"/>
  <c r="L392" i="7"/>
  <c r="D392" i="7"/>
  <c r="E391" i="7"/>
  <c r="V390" i="7"/>
  <c r="R390" i="7"/>
  <c r="N390" i="7"/>
  <c r="F390" i="7"/>
  <c r="B390" i="7"/>
  <c r="W389" i="7"/>
  <c r="C389" i="7"/>
  <c r="X388" i="7"/>
  <c r="T388" i="7"/>
  <c r="P388" i="7"/>
  <c r="L388" i="7"/>
  <c r="D388" i="7"/>
  <c r="E387" i="7"/>
  <c r="V386" i="7"/>
  <c r="R386" i="7"/>
  <c r="N386" i="7"/>
  <c r="F386" i="7"/>
  <c r="B386" i="7"/>
  <c r="W385" i="7"/>
  <c r="C385" i="7"/>
  <c r="X384" i="7"/>
  <c r="T384" i="7"/>
  <c r="P384" i="7"/>
  <c r="L384" i="7"/>
  <c r="D384" i="7"/>
  <c r="E383" i="7"/>
  <c r="V382" i="7"/>
  <c r="R382" i="7"/>
  <c r="N382" i="7"/>
  <c r="F382" i="7"/>
  <c r="B382" i="7"/>
  <c r="W381" i="7"/>
  <c r="C381" i="7"/>
  <c r="X380" i="7"/>
  <c r="T380" i="7"/>
  <c r="P380" i="7"/>
  <c r="L380" i="7"/>
  <c r="D380" i="7"/>
  <c r="E379" i="7"/>
  <c r="V378" i="7"/>
  <c r="R378" i="7"/>
  <c r="N378" i="7"/>
  <c r="F378" i="7"/>
  <c r="B378" i="7"/>
  <c r="W377" i="7"/>
  <c r="C377" i="7"/>
  <c r="X376" i="7"/>
  <c r="T376" i="7"/>
  <c r="P376" i="7"/>
  <c r="L376" i="7"/>
  <c r="D376" i="7"/>
  <c r="E375" i="7"/>
  <c r="V374" i="7"/>
  <c r="R374" i="7"/>
  <c r="N374" i="7"/>
  <c r="F374" i="7"/>
  <c r="B374" i="7"/>
  <c r="W373" i="7"/>
  <c r="C373" i="7"/>
  <c r="X372" i="7"/>
  <c r="T372" i="7"/>
  <c r="P372" i="7"/>
  <c r="L372" i="7"/>
  <c r="D372" i="7"/>
  <c r="E371" i="7"/>
  <c r="V370" i="7"/>
  <c r="R370" i="7"/>
  <c r="N370" i="7"/>
  <c r="F370" i="7"/>
  <c r="B370" i="7"/>
  <c r="W369" i="7"/>
  <c r="C369" i="7"/>
  <c r="X368" i="7"/>
  <c r="T368" i="7"/>
  <c r="P368" i="7"/>
  <c r="L368" i="7"/>
  <c r="D368" i="7"/>
  <c r="E367" i="7"/>
  <c r="V366" i="7"/>
  <c r="R366" i="7"/>
  <c r="N366" i="7"/>
  <c r="F366" i="7"/>
  <c r="B366" i="7"/>
  <c r="W365" i="7"/>
  <c r="C365" i="7"/>
  <c r="X364" i="7"/>
  <c r="T364" i="7"/>
  <c r="P364" i="7"/>
  <c r="L364" i="7"/>
  <c r="D364" i="7"/>
  <c r="E363" i="7"/>
  <c r="V362" i="7"/>
  <c r="R362" i="7"/>
  <c r="N362" i="7"/>
  <c r="F362" i="7"/>
  <c r="B362" i="7"/>
  <c r="W361" i="7"/>
  <c r="C361" i="7"/>
  <c r="X360" i="7"/>
  <c r="T360" i="7"/>
  <c r="P360" i="7"/>
  <c r="L360" i="7"/>
  <c r="D360" i="7"/>
  <c r="E359" i="7"/>
  <c r="V358" i="7"/>
  <c r="R358" i="7"/>
  <c r="N358" i="7"/>
  <c r="F358" i="7"/>
  <c r="B358" i="7"/>
  <c r="W357" i="7"/>
  <c r="C357" i="7"/>
  <c r="X356" i="7"/>
  <c r="T356" i="7"/>
  <c r="P356" i="7"/>
  <c r="L356" i="7"/>
  <c r="D356" i="7"/>
  <c r="E355" i="7"/>
  <c r="V354" i="7"/>
  <c r="R354" i="7"/>
  <c r="N354" i="7"/>
  <c r="F354" i="7"/>
  <c r="B354" i="7"/>
  <c r="W353" i="7"/>
  <c r="C353" i="7"/>
  <c r="X352" i="7"/>
  <c r="T352" i="7"/>
  <c r="P352" i="7"/>
  <c r="L352" i="7"/>
  <c r="D352" i="7"/>
  <c r="E351" i="7"/>
  <c r="V350" i="7"/>
  <c r="R350" i="7"/>
  <c r="N350" i="7"/>
  <c r="F350" i="7"/>
  <c r="B350" i="7"/>
  <c r="W349" i="7"/>
  <c r="C349" i="7"/>
  <c r="X348" i="7"/>
  <c r="T348" i="7"/>
  <c r="P348" i="7"/>
  <c r="L348" i="7"/>
  <c r="D348" i="7"/>
  <c r="E347" i="7"/>
  <c r="V346" i="7"/>
  <c r="R346" i="7"/>
  <c r="N346" i="7"/>
  <c r="F346" i="7"/>
  <c r="B346" i="7"/>
  <c r="W345" i="7"/>
  <c r="C345" i="7"/>
  <c r="X344" i="7"/>
  <c r="T344" i="7"/>
  <c r="P344" i="7"/>
  <c r="L344" i="7"/>
  <c r="D344" i="7"/>
  <c r="E343" i="7"/>
  <c r="V342" i="7"/>
  <c r="R342" i="7"/>
  <c r="N342" i="7"/>
  <c r="F342" i="7"/>
  <c r="B342" i="7"/>
  <c r="W341" i="7"/>
  <c r="C341" i="7"/>
  <c r="X340" i="7"/>
  <c r="T340" i="7"/>
  <c r="P340" i="7"/>
  <c r="L340" i="7"/>
  <c r="D340" i="7"/>
  <c r="E339" i="7"/>
  <c r="V338" i="7"/>
  <c r="R338" i="7"/>
  <c r="N338" i="7"/>
  <c r="F338" i="7"/>
  <c r="B338" i="7"/>
  <c r="W337" i="7"/>
  <c r="C337" i="7"/>
  <c r="X336" i="7"/>
  <c r="T336" i="7"/>
  <c r="P336" i="7"/>
  <c r="L336" i="7"/>
  <c r="D336" i="7"/>
  <c r="E335" i="7"/>
  <c r="V334" i="7"/>
  <c r="R334" i="7"/>
  <c r="N334" i="7"/>
  <c r="F334" i="7"/>
  <c r="B334" i="7"/>
  <c r="W333" i="7"/>
  <c r="C333" i="7"/>
  <c r="X332" i="7"/>
  <c r="T332" i="7"/>
  <c r="P332" i="7"/>
  <c r="L332" i="7"/>
  <c r="D332" i="7"/>
  <c r="E331" i="7"/>
  <c r="V330" i="7"/>
  <c r="R330" i="7"/>
  <c r="N330" i="7"/>
  <c r="F330" i="7"/>
  <c r="B330" i="7"/>
  <c r="W329" i="7"/>
  <c r="C329" i="7"/>
  <c r="X328" i="7"/>
  <c r="T328" i="7"/>
  <c r="P328" i="7"/>
  <c r="L328" i="7"/>
  <c r="D328" i="7"/>
  <c r="E327" i="7"/>
  <c r="V326" i="7"/>
  <c r="R326" i="7"/>
  <c r="N326" i="7"/>
  <c r="F326" i="7"/>
  <c r="B326" i="7"/>
  <c r="W325" i="7"/>
  <c r="C325" i="7"/>
  <c r="X324" i="7"/>
  <c r="T324" i="7"/>
  <c r="P324" i="7"/>
  <c r="L324" i="7"/>
  <c r="D324" i="7"/>
  <c r="E323" i="7"/>
  <c r="V322" i="7"/>
  <c r="R322" i="7"/>
  <c r="N322" i="7"/>
  <c r="F322" i="7"/>
  <c r="B322" i="7"/>
  <c r="W321" i="7"/>
  <c r="C321" i="7"/>
  <c r="X320" i="7"/>
  <c r="T320" i="7"/>
  <c r="P320" i="7"/>
  <c r="L320" i="7"/>
  <c r="D320" i="7"/>
  <c r="E319" i="7"/>
  <c r="V318" i="7"/>
  <c r="R318" i="7"/>
  <c r="N318" i="7"/>
  <c r="F318" i="7"/>
  <c r="B318" i="7"/>
  <c r="W317" i="7"/>
  <c r="C317" i="7"/>
  <c r="X316" i="7"/>
  <c r="T316" i="7"/>
  <c r="P316" i="7"/>
  <c r="L316" i="7"/>
  <c r="D316" i="7"/>
  <c r="E315" i="7"/>
  <c r="V314" i="7"/>
  <c r="R314" i="7"/>
  <c r="N314" i="7"/>
  <c r="F314" i="7"/>
  <c r="B314" i="7"/>
  <c r="W313" i="7"/>
  <c r="C313" i="7"/>
  <c r="X312" i="7"/>
  <c r="T312" i="7"/>
  <c r="P312" i="7"/>
  <c r="L312" i="7"/>
  <c r="D312" i="7"/>
  <c r="E311" i="7"/>
  <c r="V310" i="7"/>
  <c r="R310" i="7"/>
  <c r="N310" i="7"/>
  <c r="F310" i="7"/>
  <c r="B310" i="7"/>
  <c r="W309" i="7"/>
  <c r="C309" i="7"/>
  <c r="X308" i="7"/>
  <c r="T308" i="7"/>
  <c r="P308" i="7"/>
  <c r="L308" i="7"/>
  <c r="D308" i="7"/>
  <c r="E307" i="7"/>
  <c r="V306" i="7"/>
  <c r="R306" i="7"/>
  <c r="N306" i="7"/>
  <c r="F306" i="7"/>
  <c r="B306" i="7"/>
  <c r="W305" i="7"/>
  <c r="C305" i="7"/>
  <c r="X304" i="7"/>
  <c r="T304" i="7"/>
  <c r="P304" i="7"/>
  <c r="L304" i="7"/>
  <c r="D304" i="7"/>
  <c r="E303" i="7"/>
  <c r="V302" i="7"/>
  <c r="R302" i="7"/>
  <c r="N302" i="7"/>
  <c r="F302" i="7"/>
  <c r="B302" i="7"/>
  <c r="W301" i="7"/>
  <c r="C301" i="7"/>
  <c r="X300" i="7"/>
  <c r="T300" i="7"/>
  <c r="P300" i="7"/>
  <c r="L300" i="7"/>
  <c r="D300" i="7"/>
  <c r="E299" i="7"/>
  <c r="V298" i="7"/>
  <c r="R298" i="7"/>
  <c r="N298" i="7"/>
  <c r="F298" i="7"/>
  <c r="B298" i="7"/>
  <c r="W297" i="7"/>
  <c r="C297" i="7"/>
  <c r="X296" i="7"/>
  <c r="T296" i="7"/>
  <c r="P296" i="7"/>
  <c r="L296" i="7"/>
  <c r="D296" i="7"/>
  <c r="E295" i="7"/>
  <c r="V294" i="7"/>
  <c r="R294" i="7"/>
  <c r="N294" i="7"/>
  <c r="F294" i="7"/>
  <c r="B294" i="7"/>
  <c r="W293" i="7"/>
  <c r="C293" i="7"/>
  <c r="X292" i="7"/>
  <c r="T292" i="7"/>
  <c r="P292" i="7"/>
  <c r="L292" i="7"/>
  <c r="D292" i="7"/>
  <c r="E291" i="7"/>
  <c r="V290" i="7"/>
  <c r="R290" i="7"/>
  <c r="N290" i="7"/>
  <c r="F290" i="7"/>
  <c r="B290" i="7"/>
  <c r="W289" i="7"/>
  <c r="C289" i="7"/>
  <c r="X288" i="7"/>
  <c r="T288" i="7"/>
  <c r="P288" i="7"/>
  <c r="L288" i="7"/>
  <c r="D288" i="7"/>
  <c r="E287" i="7"/>
  <c r="V286" i="7"/>
  <c r="R286" i="7"/>
  <c r="N286" i="7"/>
  <c r="F286" i="7"/>
  <c r="B286" i="7"/>
  <c r="W285" i="7"/>
  <c r="C285" i="7"/>
  <c r="X284" i="7"/>
  <c r="T284" i="7"/>
  <c r="P284" i="7"/>
  <c r="L284" i="7"/>
  <c r="D284" i="7"/>
  <c r="E283" i="7"/>
  <c r="V282" i="7"/>
  <c r="R282" i="7"/>
  <c r="N282" i="7"/>
  <c r="F282" i="7"/>
  <c r="B282" i="7"/>
  <c r="W281" i="7"/>
  <c r="C281" i="7"/>
  <c r="X280" i="7"/>
  <c r="T280" i="7"/>
  <c r="P280" i="7"/>
  <c r="L280" i="7"/>
  <c r="D280" i="7"/>
  <c r="E279" i="7"/>
  <c r="V278" i="7"/>
  <c r="R278" i="7"/>
  <c r="N278" i="7"/>
  <c r="F278" i="7"/>
  <c r="B278" i="7"/>
  <c r="W277" i="7"/>
  <c r="C277" i="7"/>
  <c r="X276" i="7"/>
  <c r="T276" i="7"/>
  <c r="P276" i="7"/>
  <c r="L276" i="7"/>
  <c r="D276" i="7"/>
  <c r="E275" i="7"/>
  <c r="V274" i="7"/>
  <c r="R274" i="7"/>
  <c r="N274" i="7"/>
  <c r="F274" i="7"/>
  <c r="B274" i="7"/>
  <c r="W273" i="7"/>
  <c r="C273" i="7"/>
  <c r="X272" i="7"/>
  <c r="T272" i="7"/>
  <c r="P272" i="7"/>
  <c r="L272" i="7"/>
  <c r="D272" i="7"/>
  <c r="E271" i="7"/>
  <c r="V270" i="7"/>
  <c r="R270" i="7"/>
  <c r="N270" i="7"/>
  <c r="F270" i="7"/>
  <c r="B270" i="7"/>
  <c r="W269" i="7"/>
  <c r="C269" i="7"/>
  <c r="X268" i="7"/>
  <c r="T268" i="7"/>
  <c r="P268" i="7"/>
  <c r="L268" i="7"/>
  <c r="D268" i="7"/>
  <c r="E267" i="7"/>
  <c r="V266" i="7"/>
  <c r="R266" i="7"/>
  <c r="N266" i="7"/>
  <c r="F266" i="7"/>
  <c r="B266" i="7"/>
  <c r="W265" i="7"/>
  <c r="C265" i="7"/>
  <c r="X264" i="7"/>
  <c r="T264" i="7"/>
  <c r="P264" i="7"/>
  <c r="L264" i="7"/>
  <c r="D264" i="7"/>
  <c r="E263" i="7"/>
  <c r="V262" i="7"/>
  <c r="R262" i="7"/>
  <c r="N262" i="7"/>
  <c r="F262" i="7"/>
  <c r="B262" i="7"/>
  <c r="W261" i="7"/>
  <c r="C261" i="7"/>
  <c r="X260" i="7"/>
  <c r="T260" i="7"/>
  <c r="P260" i="7"/>
  <c r="L260" i="7"/>
  <c r="D260" i="7"/>
  <c r="E259" i="7"/>
  <c r="V258" i="7"/>
  <c r="R258" i="7"/>
  <c r="N258" i="7"/>
  <c r="F258" i="7"/>
  <c r="B258" i="7"/>
  <c r="W257" i="7"/>
  <c r="C257" i="7"/>
  <c r="X256" i="7"/>
  <c r="T256" i="7"/>
  <c r="P256" i="7"/>
  <c r="L256" i="7"/>
  <c r="D256" i="7"/>
  <c r="E255" i="7"/>
  <c r="V254" i="7"/>
  <c r="R254" i="7"/>
  <c r="N254" i="7"/>
  <c r="F254" i="7"/>
  <c r="B254" i="7"/>
  <c r="W253" i="7"/>
  <c r="C253" i="7"/>
  <c r="X252" i="7"/>
  <c r="T252" i="7"/>
  <c r="P252" i="7"/>
  <c r="L252" i="7"/>
  <c r="D252" i="7"/>
  <c r="E251" i="7"/>
  <c r="V250" i="7"/>
  <c r="R250" i="7"/>
  <c r="N250" i="7"/>
  <c r="F250" i="7"/>
  <c r="B250" i="7"/>
  <c r="W249" i="7"/>
  <c r="C249" i="7"/>
  <c r="X248" i="7"/>
  <c r="T248" i="7"/>
  <c r="P248" i="7"/>
  <c r="L248" i="7"/>
  <c r="D248" i="7"/>
  <c r="E247" i="7"/>
  <c r="V246" i="7"/>
  <c r="R246" i="7"/>
  <c r="N246" i="7"/>
  <c r="F246" i="7"/>
  <c r="B246" i="7"/>
  <c r="W245" i="7"/>
  <c r="C245" i="7"/>
  <c r="X244" i="7"/>
  <c r="T244" i="7"/>
  <c r="P244" i="7"/>
  <c r="L244" i="7"/>
  <c r="D244" i="7"/>
  <c r="E243" i="7"/>
  <c r="V242" i="7"/>
  <c r="R242" i="7"/>
  <c r="N242" i="7"/>
  <c r="F242" i="7"/>
  <c r="B242" i="7"/>
  <c r="W241" i="7"/>
  <c r="C241" i="7"/>
  <c r="X240" i="7"/>
  <c r="T240" i="7"/>
  <c r="P240" i="7"/>
  <c r="L240" i="7"/>
  <c r="D240" i="7"/>
  <c r="E239" i="7"/>
  <c r="V238" i="7"/>
  <c r="R238" i="7"/>
  <c r="N238" i="7"/>
  <c r="F238" i="7"/>
  <c r="B238" i="7"/>
  <c r="W237" i="7"/>
  <c r="C237" i="7"/>
  <c r="X236" i="7"/>
  <c r="T236" i="7"/>
  <c r="P236" i="7"/>
  <c r="L236" i="7"/>
  <c r="D236" i="7"/>
  <c r="E235" i="7"/>
  <c r="V234" i="7"/>
  <c r="R234" i="7"/>
  <c r="N234" i="7"/>
  <c r="F234" i="7"/>
  <c r="B234" i="7"/>
  <c r="W233" i="7"/>
  <c r="C233" i="7"/>
  <c r="X232" i="7"/>
  <c r="T232" i="7"/>
  <c r="P232" i="7"/>
  <c r="L232" i="7"/>
  <c r="D232" i="7"/>
  <c r="E231" i="7"/>
  <c r="V230" i="7"/>
  <c r="R230" i="7"/>
  <c r="N230" i="7"/>
  <c r="F230" i="7"/>
  <c r="B230" i="7"/>
  <c r="W229" i="7"/>
  <c r="C229" i="7"/>
  <c r="X228" i="7"/>
  <c r="T228" i="7"/>
  <c r="P228" i="7"/>
  <c r="L228" i="7"/>
  <c r="D228" i="7"/>
  <c r="E227" i="7"/>
  <c r="V226" i="7"/>
  <c r="R226" i="7"/>
  <c r="N226" i="7"/>
  <c r="F226" i="7"/>
  <c r="B226" i="7"/>
  <c r="W225" i="7"/>
  <c r="C225" i="7"/>
  <c r="X224" i="7"/>
  <c r="T224" i="7"/>
  <c r="P224" i="7"/>
  <c r="L224" i="7"/>
  <c r="D224" i="7"/>
  <c r="E223" i="7"/>
  <c r="V222" i="7"/>
  <c r="R222" i="7"/>
  <c r="N222" i="7"/>
  <c r="F222" i="7"/>
  <c r="B222" i="7"/>
  <c r="W221" i="7"/>
  <c r="C221" i="7"/>
  <c r="X220" i="7"/>
  <c r="T220" i="7"/>
  <c r="P220" i="7"/>
  <c r="L220" i="7"/>
  <c r="D220" i="7"/>
  <c r="E219" i="7"/>
  <c r="V218" i="7"/>
  <c r="W218" i="7"/>
  <c r="R218" i="7"/>
  <c r="N218" i="7"/>
  <c r="F218" i="7"/>
  <c r="B218" i="7"/>
  <c r="W217" i="7"/>
  <c r="C217" i="7"/>
  <c r="X216" i="7"/>
  <c r="T216" i="7"/>
  <c r="P216" i="7"/>
  <c r="L216" i="7"/>
  <c r="D216" i="7"/>
  <c r="E215" i="7"/>
  <c r="V214" i="7"/>
  <c r="R214" i="7"/>
  <c r="N214" i="7"/>
  <c r="F214" i="7"/>
  <c r="B214" i="7"/>
  <c r="W213" i="7"/>
  <c r="C213" i="7"/>
  <c r="X212" i="7"/>
  <c r="T212" i="7"/>
  <c r="P212" i="7"/>
  <c r="L212" i="7"/>
  <c r="D212" i="7"/>
  <c r="E211" i="7"/>
  <c r="V210" i="7"/>
  <c r="R210" i="7"/>
  <c r="N210" i="7"/>
  <c r="F210" i="7"/>
  <c r="B210" i="7"/>
  <c r="W209" i="7"/>
  <c r="C209" i="7"/>
  <c r="X208" i="7"/>
  <c r="T208" i="7"/>
  <c r="P208" i="7"/>
  <c r="L208" i="7"/>
  <c r="D208" i="7"/>
  <c r="E207" i="7"/>
  <c r="V206" i="7"/>
  <c r="R206" i="7"/>
  <c r="N206" i="7"/>
  <c r="F206" i="7"/>
  <c r="B206" i="7"/>
  <c r="W205" i="7"/>
  <c r="C205" i="7"/>
  <c r="X204" i="7"/>
  <c r="T204" i="7"/>
  <c r="P204" i="7"/>
  <c r="L204" i="7"/>
  <c r="D204" i="7"/>
  <c r="E203" i="7"/>
  <c r="V202" i="7"/>
  <c r="R202" i="7"/>
  <c r="N202" i="7"/>
  <c r="F202" i="7"/>
  <c r="B202" i="7"/>
  <c r="W201" i="7"/>
  <c r="C201" i="7"/>
  <c r="X200" i="7"/>
  <c r="T200" i="7"/>
  <c r="P200" i="7"/>
  <c r="L200" i="7"/>
  <c r="D200" i="7"/>
  <c r="E199" i="7"/>
  <c r="V198" i="7"/>
  <c r="R198" i="7"/>
  <c r="N198" i="7"/>
  <c r="F198" i="7"/>
  <c r="B198" i="7"/>
  <c r="W197" i="7"/>
  <c r="C197" i="7"/>
  <c r="X196" i="7"/>
  <c r="T196" i="7"/>
  <c r="P196" i="7"/>
  <c r="L196" i="7"/>
  <c r="D196" i="7"/>
  <c r="E195" i="7"/>
  <c r="V194" i="7"/>
  <c r="R194" i="7"/>
  <c r="N194" i="7"/>
  <c r="F194" i="7"/>
  <c r="B194" i="7"/>
  <c r="W193" i="7"/>
  <c r="C193" i="7"/>
  <c r="X192" i="7"/>
  <c r="T192" i="7"/>
  <c r="P192" i="7"/>
  <c r="L192" i="7"/>
  <c r="D192" i="7"/>
  <c r="E191" i="7"/>
  <c r="V190" i="7"/>
  <c r="R190" i="7"/>
  <c r="N190" i="7"/>
  <c r="F190" i="7"/>
  <c r="B190" i="7"/>
  <c r="W189" i="7"/>
  <c r="C189" i="7"/>
  <c r="X188" i="7"/>
  <c r="T188" i="7"/>
  <c r="P188" i="7"/>
  <c r="L188" i="7"/>
  <c r="D188" i="7"/>
  <c r="E187" i="7"/>
  <c r="V186" i="7"/>
  <c r="R186" i="7"/>
  <c r="N186" i="7"/>
  <c r="F186" i="7"/>
  <c r="B186" i="7"/>
  <c r="W185" i="7"/>
  <c r="C185" i="7"/>
  <c r="X184" i="7"/>
  <c r="T184" i="7"/>
  <c r="P184" i="7"/>
  <c r="L184" i="7"/>
  <c r="D184" i="7"/>
  <c r="E183" i="7"/>
  <c r="V182" i="7"/>
  <c r="R182" i="7"/>
  <c r="N182" i="7"/>
  <c r="F182" i="7"/>
  <c r="B182" i="7"/>
  <c r="W181" i="7"/>
  <c r="C181" i="7"/>
  <c r="X180" i="7"/>
  <c r="T180" i="7"/>
  <c r="P180" i="7"/>
  <c r="L180" i="7"/>
  <c r="D180" i="7"/>
  <c r="E179" i="7"/>
  <c r="V178" i="7"/>
  <c r="R178" i="7"/>
  <c r="N178" i="7"/>
  <c r="F178" i="7"/>
  <c r="B178" i="7"/>
  <c r="W177" i="7"/>
  <c r="C177" i="7"/>
  <c r="X176" i="7"/>
  <c r="T176" i="7"/>
  <c r="P176" i="7"/>
  <c r="L176" i="7"/>
  <c r="D176" i="7"/>
  <c r="E175" i="7"/>
  <c r="V174" i="7"/>
  <c r="R174" i="7"/>
  <c r="N174" i="7"/>
  <c r="F174" i="7"/>
  <c r="B174" i="7"/>
  <c r="W173" i="7"/>
  <c r="C173" i="7"/>
  <c r="X172" i="7"/>
  <c r="T172" i="7"/>
  <c r="P172" i="7"/>
  <c r="L172" i="7"/>
  <c r="D172" i="7"/>
  <c r="E171" i="7"/>
  <c r="V170" i="7"/>
  <c r="R170" i="7"/>
  <c r="N170" i="7"/>
  <c r="F170" i="7"/>
  <c r="B170" i="7"/>
  <c r="W169" i="7"/>
  <c r="C169" i="7"/>
  <c r="X168" i="7"/>
  <c r="T168" i="7"/>
  <c r="P168" i="7"/>
  <c r="L168" i="7"/>
  <c r="D168" i="7"/>
  <c r="E167" i="7"/>
  <c r="V166" i="7"/>
  <c r="R166" i="7"/>
  <c r="N166" i="7"/>
  <c r="F166" i="7"/>
  <c r="B166" i="7"/>
  <c r="W165" i="7"/>
  <c r="C165" i="7"/>
  <c r="X164" i="7"/>
  <c r="T164" i="7"/>
  <c r="P164" i="7"/>
  <c r="L164" i="7"/>
  <c r="D164" i="7"/>
  <c r="E163" i="7"/>
  <c r="V162" i="7"/>
  <c r="R162" i="7"/>
  <c r="N162" i="7"/>
  <c r="F162" i="7"/>
  <c r="B162" i="7"/>
  <c r="W161" i="7"/>
  <c r="C161" i="7"/>
  <c r="X160" i="7"/>
  <c r="T160" i="7"/>
  <c r="P160" i="7"/>
  <c r="L160" i="7"/>
  <c r="D160" i="7"/>
  <c r="E159" i="7"/>
  <c r="V158" i="7"/>
  <c r="R158" i="7"/>
  <c r="N158" i="7"/>
  <c r="F158" i="7"/>
  <c r="B158" i="7"/>
  <c r="W157" i="7"/>
  <c r="C157" i="7"/>
  <c r="X156" i="7"/>
  <c r="T156" i="7"/>
  <c r="P156" i="7"/>
  <c r="L156" i="7"/>
  <c r="D156" i="7"/>
  <c r="E155" i="7"/>
  <c r="V154" i="7"/>
  <c r="R154" i="7"/>
  <c r="N154" i="7"/>
  <c r="F154" i="7"/>
  <c r="B154" i="7"/>
  <c r="W153" i="7"/>
  <c r="C153" i="7"/>
  <c r="X152" i="7"/>
  <c r="T152" i="7"/>
  <c r="P152" i="7"/>
  <c r="L152" i="7"/>
  <c r="D152" i="7"/>
  <c r="E151" i="7"/>
  <c r="V150" i="7"/>
  <c r="R150" i="7"/>
  <c r="N150" i="7"/>
  <c r="F150" i="7"/>
  <c r="B150" i="7"/>
  <c r="W149" i="7"/>
  <c r="C149" i="7"/>
  <c r="X148" i="7"/>
  <c r="T148" i="7"/>
  <c r="P148" i="7"/>
  <c r="L148" i="7"/>
  <c r="D148" i="7"/>
  <c r="E147" i="7"/>
  <c r="V146" i="7"/>
  <c r="R146" i="7"/>
  <c r="N146" i="7"/>
  <c r="F146" i="7"/>
  <c r="B146" i="7"/>
  <c r="W145" i="7"/>
  <c r="C145" i="7"/>
  <c r="X144" i="7"/>
  <c r="T144" i="7"/>
  <c r="P144" i="7"/>
  <c r="L144" i="7"/>
  <c r="D144" i="7"/>
  <c r="E143" i="7"/>
  <c r="V142" i="7"/>
  <c r="R142" i="7"/>
  <c r="N142" i="7"/>
  <c r="F142" i="7"/>
  <c r="B142" i="7"/>
  <c r="W141" i="7"/>
  <c r="C141" i="7"/>
  <c r="X140" i="7"/>
  <c r="T140" i="7"/>
  <c r="P140" i="7"/>
  <c r="L140" i="7"/>
  <c r="D140" i="7"/>
  <c r="E139" i="7"/>
  <c r="V138" i="7"/>
  <c r="R138" i="7"/>
  <c r="N138" i="7"/>
  <c r="F138" i="7"/>
  <c r="B138" i="7"/>
  <c r="W137" i="7"/>
  <c r="C137" i="7"/>
  <c r="X136" i="7"/>
  <c r="T136" i="7"/>
  <c r="P136" i="7"/>
  <c r="L136" i="7"/>
  <c r="D136" i="7"/>
  <c r="E135" i="7"/>
  <c r="V134" i="7"/>
  <c r="R134" i="7"/>
  <c r="N134" i="7"/>
  <c r="F134" i="7"/>
  <c r="B134" i="7"/>
  <c r="W133" i="7"/>
  <c r="C133" i="7"/>
  <c r="X132" i="7"/>
  <c r="T132" i="7"/>
  <c r="P132" i="7"/>
  <c r="L132" i="7"/>
  <c r="D132" i="7"/>
  <c r="E131" i="7"/>
  <c r="V130" i="7"/>
  <c r="R130" i="7"/>
  <c r="N130" i="7"/>
  <c r="F130" i="7"/>
  <c r="B130" i="7"/>
  <c r="W129" i="7"/>
  <c r="C129" i="7"/>
  <c r="X128" i="7"/>
  <c r="T128" i="7"/>
  <c r="P128" i="7"/>
  <c r="L128" i="7"/>
  <c r="D128" i="7"/>
  <c r="E127" i="7"/>
  <c r="V126" i="7"/>
  <c r="R126" i="7"/>
  <c r="N126" i="7"/>
  <c r="F126" i="7"/>
  <c r="B126" i="7"/>
  <c r="W125" i="7"/>
  <c r="C125" i="7"/>
  <c r="X124" i="7"/>
  <c r="T124" i="7"/>
  <c r="P124" i="7"/>
  <c r="L124" i="7"/>
  <c r="D124" i="7"/>
  <c r="E123" i="7"/>
  <c r="V122" i="7"/>
  <c r="R122" i="7"/>
  <c r="N122" i="7"/>
  <c r="F122" i="7"/>
  <c r="B122" i="7"/>
  <c r="W121" i="7"/>
  <c r="C121" i="7"/>
  <c r="X120" i="7"/>
  <c r="T120" i="7"/>
  <c r="P120" i="7"/>
  <c r="L120" i="7"/>
  <c r="D120" i="7"/>
  <c r="E119" i="7"/>
  <c r="V118" i="7"/>
  <c r="R118" i="7"/>
  <c r="N118" i="7"/>
  <c r="F118" i="7"/>
  <c r="B118" i="7"/>
  <c r="W117" i="7"/>
  <c r="C117" i="7"/>
  <c r="X116" i="7"/>
  <c r="T116" i="7"/>
  <c r="P116" i="7"/>
  <c r="L116" i="7"/>
  <c r="D116" i="7"/>
  <c r="E115" i="7"/>
  <c r="V114" i="7"/>
  <c r="R114" i="7"/>
  <c r="N114" i="7"/>
  <c r="F114" i="7"/>
  <c r="B114" i="7"/>
  <c r="W113" i="7"/>
  <c r="C113" i="7"/>
  <c r="X112" i="7"/>
  <c r="T112" i="7"/>
  <c r="P112" i="7"/>
  <c r="L112" i="7"/>
  <c r="D112" i="7"/>
  <c r="E111" i="7"/>
  <c r="V110" i="7"/>
  <c r="R110" i="7"/>
  <c r="N110" i="7"/>
  <c r="F110" i="7"/>
  <c r="B110" i="7"/>
  <c r="W109" i="7"/>
  <c r="C109" i="7"/>
  <c r="X108" i="7"/>
  <c r="T108" i="7"/>
  <c r="P108" i="7"/>
  <c r="L108" i="7"/>
  <c r="D108" i="7"/>
  <c r="E107" i="7"/>
  <c r="V106" i="7"/>
  <c r="R106" i="7"/>
  <c r="N106" i="7"/>
  <c r="F106" i="7"/>
  <c r="B106" i="7"/>
  <c r="W105" i="7"/>
  <c r="C105" i="7"/>
  <c r="X104" i="7"/>
  <c r="T104" i="7"/>
  <c r="P104" i="7"/>
  <c r="L104" i="7"/>
  <c r="D104" i="7"/>
  <c r="E103" i="7"/>
  <c r="V102" i="7"/>
  <c r="R102" i="7"/>
  <c r="N102" i="7"/>
  <c r="F102" i="7"/>
  <c r="B102" i="7"/>
  <c r="W101" i="7"/>
  <c r="C101" i="7"/>
  <c r="X100" i="7"/>
  <c r="T100" i="7"/>
  <c r="P100" i="7"/>
  <c r="L100" i="7"/>
  <c r="D100" i="7"/>
  <c r="E99" i="7"/>
  <c r="V98" i="7"/>
  <c r="R98" i="7"/>
  <c r="N98" i="7"/>
  <c r="F98" i="7"/>
  <c r="B98" i="7"/>
  <c r="W97" i="7"/>
  <c r="C97" i="7"/>
  <c r="X96" i="7"/>
  <c r="T96" i="7"/>
  <c r="P96" i="7"/>
  <c r="L96" i="7"/>
  <c r="D96" i="7"/>
  <c r="E95" i="7"/>
  <c r="V94" i="7"/>
  <c r="R94" i="7"/>
  <c r="N94" i="7"/>
  <c r="F94" i="7"/>
  <c r="B94" i="7"/>
  <c r="W93" i="7"/>
  <c r="C93" i="7"/>
  <c r="X92" i="7"/>
  <c r="T92" i="7"/>
  <c r="P92" i="7"/>
  <c r="L92" i="7"/>
  <c r="D92" i="7"/>
  <c r="E91" i="7"/>
  <c r="V90" i="7"/>
  <c r="R90" i="7"/>
  <c r="N90" i="7"/>
  <c r="F90" i="7"/>
  <c r="B90" i="7"/>
  <c r="W89" i="7"/>
  <c r="C89" i="7"/>
  <c r="X88" i="7"/>
  <c r="T88" i="7"/>
  <c r="P88" i="7"/>
  <c r="L88" i="7"/>
  <c r="D88" i="7"/>
  <c r="E87" i="7"/>
  <c r="V86" i="7"/>
  <c r="R86" i="7"/>
  <c r="N86" i="7"/>
  <c r="F86" i="7"/>
  <c r="B86" i="7"/>
  <c r="W85" i="7"/>
  <c r="C85" i="7"/>
  <c r="X84" i="7"/>
  <c r="T84" i="7"/>
  <c r="P84" i="7"/>
  <c r="L84" i="7"/>
  <c r="D84" i="7"/>
  <c r="E83" i="7"/>
  <c r="V82" i="7"/>
  <c r="R82" i="7"/>
  <c r="N82" i="7"/>
  <c r="F82" i="7"/>
  <c r="B82" i="7"/>
  <c r="W81" i="7"/>
  <c r="C81" i="7"/>
  <c r="X80" i="7"/>
  <c r="T80" i="7"/>
  <c r="P80" i="7"/>
  <c r="L80" i="7"/>
  <c r="D80" i="7"/>
  <c r="E79" i="7"/>
  <c r="V78" i="7"/>
  <c r="R78" i="7"/>
  <c r="N78" i="7"/>
  <c r="F78" i="7"/>
  <c r="B78" i="7"/>
  <c r="W77" i="7"/>
  <c r="C77" i="7"/>
  <c r="X76" i="7"/>
  <c r="T76" i="7"/>
  <c r="P76" i="7"/>
  <c r="L76" i="7"/>
  <c r="D76" i="7"/>
  <c r="E75" i="7"/>
  <c r="V74" i="7"/>
  <c r="R74" i="7"/>
  <c r="N74" i="7"/>
  <c r="F74" i="7"/>
  <c r="B74" i="7"/>
  <c r="W73" i="7"/>
  <c r="C73" i="7"/>
  <c r="X72" i="7"/>
  <c r="T72" i="7"/>
  <c r="P72" i="7"/>
  <c r="L72" i="7"/>
  <c r="D72" i="7"/>
  <c r="E71" i="7"/>
  <c r="V70" i="7"/>
  <c r="R70" i="7"/>
  <c r="N70" i="7"/>
  <c r="F70" i="7"/>
  <c r="B70" i="7"/>
  <c r="W69" i="7"/>
  <c r="C69" i="7"/>
  <c r="X68" i="7"/>
  <c r="T68" i="7"/>
  <c r="P68" i="7"/>
  <c r="L68" i="7"/>
  <c r="D68" i="7"/>
  <c r="E67" i="7"/>
  <c r="V66" i="7"/>
  <c r="R66" i="7"/>
  <c r="N66" i="7"/>
  <c r="F66" i="7"/>
  <c r="B66" i="7"/>
  <c r="W65" i="7"/>
  <c r="C65" i="7"/>
  <c r="X64" i="7"/>
  <c r="T64" i="7"/>
  <c r="P64" i="7"/>
  <c r="L64" i="7"/>
  <c r="D64" i="7"/>
  <c r="E63" i="7"/>
  <c r="V62" i="7"/>
  <c r="R62" i="7"/>
  <c r="N62" i="7"/>
  <c r="F62" i="7"/>
  <c r="B62" i="7"/>
  <c r="W61" i="7"/>
  <c r="C61" i="7"/>
  <c r="X60" i="7"/>
  <c r="T60" i="7"/>
  <c r="P60" i="7"/>
  <c r="L60" i="7"/>
  <c r="D60" i="7"/>
  <c r="E59" i="7"/>
  <c r="V58" i="7"/>
  <c r="R58" i="7"/>
  <c r="N58" i="7"/>
  <c r="F58" i="7"/>
  <c r="B58" i="7"/>
  <c r="W57" i="7"/>
  <c r="C57" i="7"/>
  <c r="X56" i="7"/>
  <c r="T56" i="7"/>
  <c r="P56" i="7"/>
  <c r="L56" i="7"/>
  <c r="D56" i="7"/>
  <c r="E55" i="7"/>
  <c r="V54" i="7"/>
  <c r="R54" i="7"/>
  <c r="N54" i="7"/>
  <c r="F54" i="7"/>
  <c r="B54" i="7"/>
  <c r="W53" i="7"/>
  <c r="C53" i="7"/>
  <c r="X52" i="7"/>
  <c r="T52" i="7"/>
  <c r="P52" i="7"/>
  <c r="L52" i="7"/>
  <c r="D52" i="7"/>
  <c r="E51" i="7"/>
  <c r="V50" i="7"/>
  <c r="R50" i="7"/>
  <c r="N50" i="7"/>
  <c r="F50" i="7"/>
  <c r="B50" i="7"/>
  <c r="W49" i="7"/>
  <c r="C49" i="7"/>
  <c r="X48" i="7"/>
  <c r="T48" i="7"/>
  <c r="P48" i="7"/>
  <c r="L48" i="7"/>
  <c r="D48" i="7"/>
  <c r="E47" i="7"/>
  <c r="V46" i="7"/>
  <c r="R46" i="7"/>
  <c r="N46" i="7"/>
  <c r="F46" i="7"/>
  <c r="B46" i="7"/>
  <c r="W45" i="7"/>
  <c r="C45" i="7"/>
  <c r="X44" i="7"/>
  <c r="T44" i="7"/>
  <c r="P44" i="7"/>
  <c r="L44" i="7"/>
  <c r="D44" i="7"/>
  <c r="E43" i="7"/>
  <c r="V42" i="7"/>
  <c r="R42" i="7"/>
  <c r="N42" i="7"/>
  <c r="F42" i="7"/>
  <c r="B42" i="7"/>
  <c r="W41" i="7"/>
  <c r="C41" i="7"/>
  <c r="X40" i="7"/>
  <c r="T40" i="7"/>
  <c r="P40" i="7"/>
  <c r="L40" i="7"/>
  <c r="D40" i="7"/>
  <c r="E39" i="7"/>
  <c r="V38" i="7"/>
  <c r="R38" i="7"/>
  <c r="N38" i="7"/>
  <c r="F38" i="7"/>
  <c r="B38" i="7"/>
  <c r="W37" i="7"/>
  <c r="C37" i="7"/>
  <c r="X36" i="7"/>
  <c r="T36" i="7"/>
  <c r="P36" i="7"/>
  <c r="L36" i="7"/>
  <c r="D36" i="7"/>
  <c r="E35" i="7"/>
  <c r="V34" i="7"/>
  <c r="R34" i="7"/>
  <c r="N34" i="7"/>
  <c r="F34" i="7"/>
  <c r="B34" i="7"/>
  <c r="W33" i="7"/>
  <c r="C33" i="7"/>
  <c r="X32" i="7"/>
  <c r="T32" i="7"/>
  <c r="P32" i="7"/>
  <c r="L32" i="7"/>
  <c r="D32" i="7"/>
  <c r="E31" i="7"/>
  <c r="V30" i="7"/>
  <c r="R30" i="7"/>
  <c r="N30" i="7"/>
  <c r="F30" i="7"/>
  <c r="B30" i="7"/>
  <c r="W29" i="7"/>
  <c r="C29" i="7"/>
  <c r="X28" i="7"/>
  <c r="T28" i="7"/>
  <c r="P28" i="7"/>
  <c r="L28" i="7"/>
  <c r="D28" i="7"/>
  <c r="E27" i="7"/>
  <c r="V26" i="7"/>
  <c r="R26" i="7"/>
  <c r="N26" i="7"/>
  <c r="F26" i="7"/>
  <c r="B26" i="7"/>
  <c r="W25" i="7"/>
  <c r="C25" i="7"/>
  <c r="X24" i="7"/>
  <c r="T24" i="7"/>
  <c r="P24" i="7"/>
  <c r="L24" i="7"/>
  <c r="D24" i="7"/>
  <c r="E23" i="7"/>
  <c r="V22" i="7"/>
  <c r="R22" i="7"/>
  <c r="N22" i="7"/>
  <c r="F22" i="7"/>
  <c r="B22" i="7"/>
  <c r="W21" i="7"/>
  <c r="C21" i="7"/>
  <c r="X20" i="7"/>
  <c r="T20" i="7"/>
  <c r="P20" i="7"/>
  <c r="L20" i="7"/>
  <c r="D20" i="7"/>
  <c r="V18" i="7"/>
  <c r="N18" i="7"/>
  <c r="B18" i="7"/>
  <c r="D16" i="7"/>
  <c r="E15" i="7"/>
  <c r="B14" i="7"/>
  <c r="C13" i="7"/>
  <c r="L12" i="7"/>
  <c r="V10" i="7"/>
  <c r="F10" i="7"/>
  <c r="X8" i="7"/>
  <c r="D8" i="7"/>
  <c r="V6" i="7"/>
  <c r="F6" i="7"/>
  <c r="T4" i="7"/>
  <c r="L4" i="7"/>
  <c r="V2" i="7"/>
  <c r="F2" i="7"/>
  <c r="N5" i="7"/>
  <c r="C4" i="7"/>
  <c r="E218" i="7"/>
  <c r="V217" i="7"/>
  <c r="R217" i="7"/>
  <c r="N217" i="7"/>
  <c r="F217" i="7"/>
  <c r="B217" i="7"/>
  <c r="W216" i="7"/>
  <c r="C216" i="7"/>
  <c r="X215" i="7"/>
  <c r="T215" i="7"/>
  <c r="P215" i="7"/>
  <c r="L215" i="7"/>
  <c r="D215" i="7"/>
  <c r="E214" i="7"/>
  <c r="V213" i="7"/>
  <c r="R213" i="7"/>
  <c r="N213" i="7"/>
  <c r="F213" i="7"/>
  <c r="B213" i="7"/>
  <c r="W212" i="7"/>
  <c r="C212" i="7"/>
  <c r="X211" i="7"/>
  <c r="T211" i="7"/>
  <c r="P211" i="7"/>
  <c r="L211" i="7"/>
  <c r="D211" i="7"/>
  <c r="E210" i="7"/>
  <c r="V209" i="7"/>
  <c r="R209" i="7"/>
  <c r="N209" i="7"/>
  <c r="F209" i="7"/>
  <c r="B209" i="7"/>
  <c r="W208" i="7"/>
  <c r="C208" i="7"/>
  <c r="X207" i="7"/>
  <c r="T207" i="7"/>
  <c r="P207" i="7"/>
  <c r="L207" i="7"/>
  <c r="D207" i="7"/>
  <c r="E206" i="7"/>
  <c r="V205" i="7"/>
  <c r="R205" i="7"/>
  <c r="N205" i="7"/>
  <c r="F205" i="7"/>
  <c r="B205" i="7"/>
  <c r="W204" i="7"/>
  <c r="C204" i="7"/>
  <c r="X203" i="7"/>
  <c r="T203" i="7"/>
  <c r="P203" i="7"/>
  <c r="L203" i="7"/>
  <c r="D203" i="7"/>
  <c r="E202" i="7"/>
  <c r="V201" i="7"/>
  <c r="R201" i="7"/>
  <c r="N201" i="7"/>
  <c r="F201" i="7"/>
  <c r="B201" i="7"/>
  <c r="W200" i="7"/>
  <c r="C200" i="7"/>
  <c r="X199" i="7"/>
  <c r="T199" i="7"/>
  <c r="P199" i="7"/>
  <c r="L199" i="7"/>
  <c r="D199" i="7"/>
  <c r="E198" i="7"/>
  <c r="V197" i="7"/>
  <c r="R197" i="7"/>
  <c r="N197" i="7"/>
  <c r="F197" i="7"/>
  <c r="B197" i="7"/>
  <c r="W196" i="7"/>
  <c r="C196" i="7"/>
  <c r="X195" i="7"/>
  <c r="T195" i="7"/>
  <c r="P195" i="7"/>
  <c r="L195" i="7"/>
  <c r="D195" i="7"/>
  <c r="E194" i="7"/>
  <c r="V193" i="7"/>
  <c r="R193" i="7"/>
  <c r="N193" i="7"/>
  <c r="F193" i="7"/>
  <c r="B193" i="7"/>
  <c r="W192" i="7"/>
  <c r="C192" i="7"/>
  <c r="X191" i="7"/>
  <c r="T191" i="7"/>
  <c r="P191" i="7"/>
  <c r="L191" i="7"/>
  <c r="D191" i="7"/>
  <c r="E190" i="7"/>
  <c r="V189" i="7"/>
  <c r="R189" i="7"/>
  <c r="N189" i="7"/>
  <c r="F189" i="7"/>
  <c r="B189" i="7"/>
  <c r="W188" i="7"/>
  <c r="C188" i="7"/>
  <c r="X187" i="7"/>
  <c r="T187" i="7"/>
  <c r="P187" i="7"/>
  <c r="L187" i="7"/>
  <c r="D187" i="7"/>
  <c r="E186" i="7"/>
  <c r="V185" i="7"/>
  <c r="R185" i="7"/>
  <c r="N185" i="7"/>
  <c r="F185" i="7"/>
  <c r="B185" i="7"/>
  <c r="W184" i="7"/>
  <c r="C184" i="7"/>
  <c r="X183" i="7"/>
  <c r="T183" i="7"/>
  <c r="P183" i="7"/>
  <c r="L183" i="7"/>
  <c r="D183" i="7"/>
  <c r="E182" i="7"/>
  <c r="V181" i="7"/>
  <c r="R181" i="7"/>
  <c r="N181" i="7"/>
  <c r="F181" i="7"/>
  <c r="B181" i="7"/>
  <c r="W180" i="7"/>
  <c r="C180" i="7"/>
  <c r="X179" i="7"/>
  <c r="T179" i="7"/>
  <c r="P179" i="7"/>
  <c r="L179" i="7"/>
  <c r="D179" i="7"/>
  <c r="E178" i="7"/>
  <c r="V177" i="7"/>
  <c r="R177" i="7"/>
  <c r="N177" i="7"/>
  <c r="F177" i="7"/>
  <c r="B177" i="7"/>
  <c r="W176" i="7"/>
  <c r="C176" i="7"/>
  <c r="X175" i="7"/>
  <c r="T175" i="7"/>
  <c r="P175" i="7"/>
  <c r="L175" i="7"/>
  <c r="D175" i="7"/>
  <c r="E174" i="7"/>
  <c r="V173" i="7"/>
  <c r="R173" i="7"/>
  <c r="N173" i="7"/>
  <c r="F173" i="7"/>
  <c r="B173" i="7"/>
  <c r="W172" i="7"/>
  <c r="C172" i="7"/>
  <c r="X171" i="7"/>
  <c r="T171" i="7"/>
  <c r="P171" i="7"/>
  <c r="L171" i="7"/>
  <c r="D171" i="7"/>
  <c r="E170" i="7"/>
  <c r="V169" i="7"/>
  <c r="R169" i="7"/>
  <c r="N169" i="7"/>
  <c r="F169" i="7"/>
  <c r="B169" i="7"/>
  <c r="W168" i="7"/>
  <c r="C168" i="7"/>
  <c r="X167" i="7"/>
  <c r="T167" i="7"/>
  <c r="P167" i="7"/>
  <c r="L167" i="7"/>
  <c r="D167" i="7"/>
  <c r="E166" i="7"/>
  <c r="V165" i="7"/>
  <c r="R165" i="7"/>
  <c r="N165" i="7"/>
  <c r="F165" i="7"/>
  <c r="B165" i="7"/>
  <c r="W164" i="7"/>
  <c r="C164" i="7"/>
  <c r="X163" i="7"/>
  <c r="T163" i="7"/>
  <c r="P163" i="7"/>
  <c r="L163" i="7"/>
  <c r="D163" i="7"/>
  <c r="E162" i="7"/>
  <c r="V161" i="7"/>
  <c r="R161" i="7"/>
  <c r="N161" i="7"/>
  <c r="F161" i="7"/>
  <c r="B161" i="7"/>
  <c r="W160" i="7"/>
  <c r="C160" i="7"/>
  <c r="X159" i="7"/>
  <c r="T159" i="7"/>
  <c r="P159" i="7"/>
  <c r="L159" i="7"/>
  <c r="D159" i="7"/>
  <c r="E158" i="7"/>
  <c r="V157" i="7"/>
  <c r="R157" i="7"/>
  <c r="N157" i="7"/>
  <c r="F157" i="7"/>
  <c r="B157" i="7"/>
  <c r="W156" i="7"/>
  <c r="C156" i="7"/>
  <c r="X155" i="7"/>
  <c r="T155" i="7"/>
  <c r="P155" i="7"/>
  <c r="L155" i="7"/>
  <c r="D155" i="7"/>
  <c r="E154" i="7"/>
  <c r="V153" i="7"/>
  <c r="R153" i="7"/>
  <c r="N153" i="7"/>
  <c r="F153" i="7"/>
  <c r="B153" i="7"/>
  <c r="W152" i="7"/>
  <c r="C152" i="7"/>
  <c r="X151" i="7"/>
  <c r="T151" i="7"/>
  <c r="P151" i="7"/>
  <c r="L151" i="7"/>
  <c r="D151" i="7"/>
  <c r="E150" i="7"/>
  <c r="V149" i="7"/>
  <c r="R149" i="7"/>
  <c r="N149" i="7"/>
  <c r="F149" i="7"/>
  <c r="B149" i="7"/>
  <c r="W148" i="7"/>
  <c r="C148" i="7"/>
  <c r="X147" i="7"/>
  <c r="T147" i="7"/>
  <c r="P147" i="7"/>
  <c r="L147" i="7"/>
  <c r="D147" i="7"/>
  <c r="E146" i="7"/>
  <c r="V145" i="7"/>
  <c r="R145" i="7"/>
  <c r="N145" i="7"/>
  <c r="F145" i="7"/>
  <c r="B145" i="7"/>
  <c r="W144" i="7"/>
  <c r="C144" i="7"/>
  <c r="X143" i="7"/>
  <c r="T143" i="7"/>
  <c r="P143" i="7"/>
  <c r="L143" i="7"/>
  <c r="D143" i="7"/>
  <c r="E142" i="7"/>
  <c r="V141" i="7"/>
  <c r="R141" i="7"/>
  <c r="N141" i="7"/>
  <c r="F141" i="7"/>
  <c r="B141" i="7"/>
  <c r="W140" i="7"/>
  <c r="C140" i="7"/>
  <c r="X139" i="7"/>
  <c r="T139" i="7"/>
  <c r="P139" i="7"/>
  <c r="L139" i="7"/>
  <c r="D139" i="7"/>
  <c r="E138" i="7"/>
  <c r="V137" i="7"/>
  <c r="R137" i="7"/>
  <c r="N137" i="7"/>
  <c r="F137" i="7"/>
  <c r="B137" i="7"/>
  <c r="W136" i="7"/>
  <c r="C136" i="7"/>
  <c r="X135" i="7"/>
  <c r="T135" i="7"/>
  <c r="P135" i="7"/>
  <c r="L135" i="7"/>
  <c r="D135" i="7"/>
  <c r="E134" i="7"/>
  <c r="V133" i="7"/>
  <c r="R133" i="7"/>
  <c r="N133" i="7"/>
  <c r="F133" i="7"/>
  <c r="B133" i="7"/>
  <c r="W132" i="7"/>
  <c r="C132" i="7"/>
  <c r="X131" i="7"/>
  <c r="T131" i="7"/>
  <c r="P131" i="7"/>
  <c r="L131" i="7"/>
  <c r="D131" i="7"/>
  <c r="E130" i="7"/>
  <c r="V129" i="7"/>
  <c r="R129" i="7"/>
  <c r="N129" i="7"/>
  <c r="F129" i="7"/>
  <c r="B129" i="7"/>
  <c r="W128" i="7"/>
  <c r="C128" i="7"/>
  <c r="X127" i="7"/>
  <c r="T127" i="7"/>
  <c r="P127" i="7"/>
  <c r="L127" i="7"/>
  <c r="D127" i="7"/>
  <c r="E126" i="7"/>
  <c r="V125" i="7"/>
  <c r="R125" i="7"/>
  <c r="N125" i="7"/>
  <c r="F125" i="7"/>
  <c r="B125" i="7"/>
  <c r="W124" i="7"/>
  <c r="C124" i="7"/>
  <c r="X123" i="7"/>
  <c r="T123" i="7"/>
  <c r="P123" i="7"/>
  <c r="L123" i="7"/>
  <c r="D123" i="7"/>
  <c r="E122" i="7"/>
  <c r="V121" i="7"/>
  <c r="R121" i="7"/>
  <c r="N121" i="7"/>
  <c r="F121" i="7"/>
  <c r="B121" i="7"/>
  <c r="W120" i="7"/>
  <c r="C120" i="7"/>
  <c r="X119" i="7"/>
  <c r="T119" i="7"/>
  <c r="P119" i="7"/>
  <c r="L119" i="7"/>
  <c r="D119" i="7"/>
  <c r="E118" i="7"/>
  <c r="V117" i="7"/>
  <c r="R117" i="7"/>
  <c r="N117" i="7"/>
  <c r="F117" i="7"/>
  <c r="B117" i="7"/>
  <c r="W116" i="7"/>
  <c r="C116" i="7"/>
  <c r="X115" i="7"/>
  <c r="T115" i="7"/>
  <c r="P115" i="7"/>
  <c r="L115" i="7"/>
  <c r="D115" i="7"/>
  <c r="E114" i="7"/>
  <c r="V113" i="7"/>
  <c r="R113" i="7"/>
  <c r="N113" i="7"/>
  <c r="F113" i="7"/>
  <c r="B113" i="7"/>
  <c r="W112" i="7"/>
  <c r="C112" i="7"/>
  <c r="X111" i="7"/>
  <c r="T111" i="7"/>
  <c r="P111" i="7"/>
  <c r="L111" i="7"/>
  <c r="D111" i="7"/>
  <c r="E110" i="7"/>
  <c r="V109" i="7"/>
  <c r="R109" i="7"/>
  <c r="N109" i="7"/>
  <c r="F109" i="7"/>
  <c r="B109" i="7"/>
  <c r="W108" i="7"/>
  <c r="C108" i="7"/>
  <c r="X107" i="7"/>
  <c r="T107" i="7"/>
  <c r="P107" i="7"/>
  <c r="L107" i="7"/>
  <c r="D107" i="7"/>
  <c r="E106" i="7"/>
  <c r="V105" i="7"/>
  <c r="R105" i="7"/>
  <c r="N105" i="7"/>
  <c r="F105" i="7"/>
  <c r="B105" i="7"/>
  <c r="W104" i="7"/>
  <c r="C104" i="7"/>
  <c r="X103" i="7"/>
  <c r="T103" i="7"/>
  <c r="P103" i="7"/>
  <c r="L103" i="7"/>
  <c r="D103" i="7"/>
  <c r="E102" i="7"/>
  <c r="V101" i="7"/>
  <c r="R101" i="7"/>
  <c r="N101" i="7"/>
  <c r="F101" i="7"/>
  <c r="B101" i="7"/>
  <c r="W100" i="7"/>
  <c r="C100" i="7"/>
  <c r="X99" i="7"/>
  <c r="T99" i="7"/>
  <c r="P99" i="7"/>
  <c r="L99" i="7"/>
  <c r="D99" i="7"/>
  <c r="E98" i="7"/>
  <c r="V97" i="7"/>
  <c r="R97" i="7"/>
  <c r="N97" i="7"/>
  <c r="F97" i="7"/>
  <c r="B97" i="7"/>
  <c r="W96" i="7"/>
  <c r="C96" i="7"/>
  <c r="X95" i="7"/>
  <c r="T95" i="7"/>
  <c r="P95" i="7"/>
  <c r="L95" i="7"/>
  <c r="D95" i="7"/>
  <c r="E94" i="7"/>
  <c r="V93" i="7"/>
  <c r="R93" i="7"/>
  <c r="N93" i="7"/>
  <c r="F93" i="7"/>
  <c r="B93" i="7"/>
  <c r="W92" i="7"/>
  <c r="C92" i="7"/>
  <c r="X91" i="7"/>
  <c r="T91" i="7"/>
  <c r="P91" i="7"/>
  <c r="L91" i="7"/>
  <c r="D91" i="7"/>
  <c r="E90" i="7"/>
  <c r="V89" i="7"/>
  <c r="R89" i="7"/>
  <c r="N89" i="7"/>
  <c r="F89" i="7"/>
  <c r="B89" i="7"/>
  <c r="W88" i="7"/>
  <c r="C88" i="7"/>
  <c r="X87" i="7"/>
  <c r="T87" i="7"/>
  <c r="P87" i="7"/>
  <c r="L87" i="7"/>
  <c r="D87" i="7"/>
  <c r="E86" i="7"/>
  <c r="V85" i="7"/>
  <c r="R85" i="7"/>
  <c r="N85" i="7"/>
  <c r="F85" i="7"/>
  <c r="B85" i="7"/>
  <c r="W84" i="7"/>
  <c r="C84" i="7"/>
  <c r="X83" i="7"/>
  <c r="T83" i="7"/>
  <c r="P83" i="7"/>
  <c r="L83" i="7"/>
  <c r="D83" i="7"/>
  <c r="E82" i="7"/>
  <c r="V81" i="7"/>
  <c r="R81" i="7"/>
  <c r="N81" i="7"/>
  <c r="F81" i="7"/>
  <c r="B81" i="7"/>
  <c r="W80" i="7"/>
  <c r="C80" i="7"/>
  <c r="X79" i="7"/>
  <c r="T79" i="7"/>
  <c r="P79" i="7"/>
  <c r="L79" i="7"/>
  <c r="D79" i="7"/>
  <c r="E78" i="7"/>
  <c r="V77" i="7"/>
  <c r="R77" i="7"/>
  <c r="N77" i="7"/>
  <c r="F77" i="7"/>
  <c r="B77" i="7"/>
  <c r="W76" i="7"/>
  <c r="C76" i="7"/>
  <c r="X75" i="7"/>
  <c r="T75" i="7"/>
  <c r="P75" i="7"/>
  <c r="L75" i="7"/>
  <c r="D75" i="7"/>
  <c r="E74" i="7"/>
  <c r="V73" i="7"/>
  <c r="R73" i="7"/>
  <c r="N73" i="7"/>
  <c r="F73" i="7"/>
  <c r="B73" i="7"/>
  <c r="W72" i="7"/>
  <c r="C72" i="7"/>
  <c r="X71" i="7"/>
  <c r="T71" i="7"/>
  <c r="P71" i="7"/>
  <c r="L71" i="7"/>
  <c r="D71" i="7"/>
  <c r="E70" i="7"/>
  <c r="V69" i="7"/>
  <c r="R69" i="7"/>
  <c r="N69" i="7"/>
  <c r="F69" i="7"/>
  <c r="B69" i="7"/>
  <c r="W68" i="7"/>
  <c r="C68" i="7"/>
  <c r="X67" i="7"/>
  <c r="T67" i="7"/>
  <c r="P67" i="7"/>
  <c r="L67" i="7"/>
  <c r="D67" i="7"/>
  <c r="E66" i="7"/>
  <c r="V65" i="7"/>
  <c r="R65" i="7"/>
  <c r="N65" i="7"/>
  <c r="F65" i="7"/>
  <c r="B65" i="7"/>
  <c r="W64" i="7"/>
  <c r="C64" i="7"/>
  <c r="X63" i="7"/>
  <c r="T63" i="7"/>
  <c r="P63" i="7"/>
  <c r="L63" i="7"/>
  <c r="D63" i="7"/>
  <c r="E62" i="7"/>
  <c r="V61" i="7"/>
  <c r="R61" i="7"/>
  <c r="N61" i="7"/>
  <c r="F61" i="7"/>
  <c r="B61" i="7"/>
  <c r="W60" i="7"/>
  <c r="C60" i="7"/>
  <c r="X59" i="7"/>
  <c r="T59" i="7"/>
  <c r="P59" i="7"/>
  <c r="L59" i="7"/>
  <c r="D59" i="7"/>
  <c r="E58" i="7"/>
  <c r="V57" i="7"/>
  <c r="R57" i="7"/>
  <c r="N57" i="7"/>
  <c r="F57" i="7"/>
  <c r="B57" i="7"/>
  <c r="W56" i="7"/>
  <c r="C56" i="7"/>
  <c r="X55" i="7"/>
  <c r="T55" i="7"/>
  <c r="P55" i="7"/>
  <c r="L55" i="7"/>
  <c r="D55" i="7"/>
  <c r="E54" i="7"/>
  <c r="V53" i="7"/>
  <c r="R53" i="7"/>
  <c r="N53" i="7"/>
  <c r="F53" i="7"/>
  <c r="B53" i="7"/>
  <c r="W52" i="7"/>
  <c r="C52" i="7"/>
  <c r="X51" i="7"/>
  <c r="T51" i="7"/>
  <c r="P51" i="7"/>
  <c r="L51" i="7"/>
  <c r="D51" i="7"/>
  <c r="E50" i="7"/>
  <c r="V49" i="7"/>
  <c r="R49" i="7"/>
  <c r="N49" i="7"/>
  <c r="F49" i="7"/>
  <c r="B49" i="7"/>
  <c r="W48" i="7"/>
  <c r="C48" i="7"/>
  <c r="X47" i="7"/>
  <c r="T47" i="7"/>
  <c r="P47" i="7"/>
  <c r="L47" i="7"/>
  <c r="D47" i="7"/>
  <c r="E46" i="7"/>
  <c r="V45" i="7"/>
  <c r="R45" i="7"/>
  <c r="N45" i="7"/>
  <c r="F45" i="7"/>
  <c r="B45" i="7"/>
  <c r="W44" i="7"/>
  <c r="C44" i="7"/>
  <c r="X43" i="7"/>
  <c r="T43" i="7"/>
  <c r="P43" i="7"/>
  <c r="L43" i="7"/>
  <c r="D43" i="7"/>
  <c r="E42" i="7"/>
  <c r="V41" i="7"/>
  <c r="R41" i="7"/>
  <c r="N41" i="7"/>
  <c r="F41" i="7"/>
  <c r="B41" i="7"/>
  <c r="W40" i="7"/>
  <c r="C40" i="7"/>
  <c r="X39" i="7"/>
  <c r="T39" i="7"/>
  <c r="P39" i="7"/>
  <c r="L39" i="7"/>
  <c r="D39" i="7"/>
  <c r="E38" i="7"/>
  <c r="V37" i="7"/>
  <c r="R37" i="7"/>
  <c r="N37" i="7"/>
  <c r="F37" i="7"/>
  <c r="B37" i="7"/>
  <c r="W36" i="7"/>
  <c r="C36" i="7"/>
  <c r="X35" i="7"/>
  <c r="T35" i="7"/>
  <c r="P35" i="7"/>
  <c r="L35" i="7"/>
  <c r="D35" i="7"/>
  <c r="E34" i="7"/>
  <c r="V33" i="7"/>
  <c r="R33" i="7"/>
  <c r="N33" i="7"/>
  <c r="F33" i="7"/>
  <c r="B33" i="7"/>
  <c r="W32" i="7"/>
  <c r="C32" i="7"/>
  <c r="X31" i="7"/>
  <c r="T31" i="7"/>
  <c r="P31" i="7"/>
  <c r="L31" i="7"/>
  <c r="D31" i="7"/>
  <c r="E30" i="7"/>
  <c r="V29" i="7"/>
  <c r="R29" i="7"/>
  <c r="N29" i="7"/>
  <c r="F29" i="7"/>
  <c r="B29" i="7"/>
  <c r="W28" i="7"/>
  <c r="C28" i="7"/>
  <c r="X27" i="7"/>
  <c r="T27" i="7"/>
  <c r="P27" i="7"/>
  <c r="L27" i="7"/>
  <c r="D27" i="7"/>
  <c r="E26" i="7"/>
  <c r="V25" i="7"/>
  <c r="R25" i="7"/>
  <c r="N25" i="7"/>
  <c r="F25" i="7"/>
  <c r="B25" i="7"/>
  <c r="W24" i="7"/>
  <c r="C24" i="7"/>
  <c r="X23" i="7"/>
  <c r="T23" i="7"/>
  <c r="P23" i="7"/>
  <c r="L23" i="7"/>
  <c r="D23" i="7"/>
  <c r="E22" i="7"/>
  <c r="V21" i="7"/>
  <c r="R21" i="7"/>
  <c r="N21" i="7"/>
  <c r="F21" i="7"/>
  <c r="B21" i="7"/>
  <c r="W20" i="7"/>
  <c r="C20" i="7"/>
  <c r="X19" i="7"/>
  <c r="T19" i="7"/>
  <c r="P19" i="7"/>
  <c r="L19" i="7"/>
  <c r="D19" i="7"/>
  <c r="E18" i="7"/>
  <c r="V17" i="7"/>
  <c r="R17" i="7"/>
  <c r="N17" i="7"/>
  <c r="F17" i="7"/>
  <c r="B17" i="7"/>
  <c r="W16" i="7"/>
  <c r="C16" i="7"/>
  <c r="X15" i="7"/>
  <c r="T15" i="7"/>
  <c r="P15" i="7"/>
  <c r="L15" i="7"/>
  <c r="D15" i="7"/>
  <c r="E14" i="7"/>
  <c r="V13" i="7"/>
  <c r="R13" i="7"/>
  <c r="N13" i="7"/>
  <c r="F13" i="7"/>
  <c r="B13" i="7"/>
  <c r="W12" i="7"/>
  <c r="C12" i="7"/>
  <c r="X11" i="7"/>
  <c r="T11" i="7"/>
  <c r="P11" i="7"/>
  <c r="L11" i="7"/>
  <c r="D11" i="7"/>
  <c r="E10" i="7"/>
  <c r="V9" i="7"/>
  <c r="F9" i="7"/>
  <c r="B9" i="7"/>
  <c r="W8" i="7"/>
  <c r="C8" i="7"/>
  <c r="X7" i="7"/>
  <c r="L7" i="7"/>
  <c r="V5" i="7"/>
  <c r="W4" i="7"/>
  <c r="T3" i="7"/>
  <c r="D3" i="7"/>
  <c r="T218" i="7"/>
  <c r="P218" i="7"/>
  <c r="L218" i="7"/>
  <c r="D218" i="7"/>
  <c r="E217" i="7"/>
  <c r="V216" i="7"/>
  <c r="R216" i="7"/>
  <c r="N216" i="7"/>
  <c r="F216" i="7"/>
  <c r="B216" i="7"/>
  <c r="W215" i="7"/>
  <c r="C215" i="7"/>
  <c r="X214" i="7"/>
  <c r="T214" i="7"/>
  <c r="P214" i="7"/>
  <c r="L214" i="7"/>
  <c r="D214" i="7"/>
  <c r="E213" i="7"/>
  <c r="V212" i="7"/>
  <c r="R212" i="7"/>
  <c r="N212" i="7"/>
  <c r="F212" i="7"/>
  <c r="B212" i="7"/>
  <c r="W211" i="7"/>
  <c r="C211" i="7"/>
  <c r="X210" i="7"/>
  <c r="T210" i="7"/>
  <c r="P210" i="7"/>
  <c r="L210" i="7"/>
  <c r="D210" i="7"/>
  <c r="E209" i="7"/>
  <c r="V208" i="7"/>
  <c r="R208" i="7"/>
  <c r="N208" i="7"/>
  <c r="F208" i="7"/>
  <c r="B208" i="7"/>
  <c r="W207" i="7"/>
  <c r="C207" i="7"/>
  <c r="X206" i="7"/>
  <c r="T206" i="7"/>
  <c r="P206" i="7"/>
  <c r="L206" i="7"/>
  <c r="D206" i="7"/>
  <c r="E205" i="7"/>
  <c r="V204" i="7"/>
  <c r="R204" i="7"/>
  <c r="N204" i="7"/>
  <c r="F204" i="7"/>
  <c r="B204" i="7"/>
  <c r="W203" i="7"/>
  <c r="C203" i="7"/>
  <c r="X202" i="7"/>
  <c r="T202" i="7"/>
  <c r="P202" i="7"/>
  <c r="L202" i="7"/>
  <c r="D202" i="7"/>
  <c r="E201" i="7"/>
  <c r="V200" i="7"/>
  <c r="R200" i="7"/>
  <c r="N200" i="7"/>
  <c r="F200" i="7"/>
  <c r="B200" i="7"/>
  <c r="W199" i="7"/>
  <c r="C199" i="7"/>
  <c r="X198" i="7"/>
  <c r="T198" i="7"/>
  <c r="P198" i="7"/>
  <c r="L198" i="7"/>
  <c r="D198" i="7"/>
  <c r="E197" i="7"/>
  <c r="V196" i="7"/>
  <c r="R196" i="7"/>
  <c r="N196" i="7"/>
  <c r="F196" i="7"/>
  <c r="B196" i="7"/>
  <c r="W195" i="7"/>
  <c r="C195" i="7"/>
  <c r="X194" i="7"/>
  <c r="T194" i="7"/>
  <c r="P194" i="7"/>
  <c r="L194" i="7"/>
  <c r="D194" i="7"/>
  <c r="E193" i="7"/>
  <c r="V192" i="7"/>
  <c r="R192" i="7"/>
  <c r="N192" i="7"/>
  <c r="F192" i="7"/>
  <c r="B192" i="7"/>
  <c r="W191" i="7"/>
  <c r="C191" i="7"/>
  <c r="X190" i="7"/>
  <c r="T190" i="7"/>
  <c r="P190" i="7"/>
  <c r="L190" i="7"/>
  <c r="D190" i="7"/>
  <c r="E189" i="7"/>
  <c r="V188" i="7"/>
  <c r="R188" i="7"/>
  <c r="N188" i="7"/>
  <c r="F188" i="7"/>
  <c r="B188" i="7"/>
  <c r="W187" i="7"/>
  <c r="C187" i="7"/>
  <c r="X186" i="7"/>
  <c r="T186" i="7"/>
  <c r="P186" i="7"/>
  <c r="L186" i="7"/>
  <c r="D186" i="7"/>
  <c r="E185" i="7"/>
  <c r="V184" i="7"/>
  <c r="R184" i="7"/>
  <c r="N184" i="7"/>
  <c r="F184" i="7"/>
  <c r="B184" i="7"/>
  <c r="W183" i="7"/>
  <c r="C183" i="7"/>
  <c r="X182" i="7"/>
  <c r="T182" i="7"/>
  <c r="P182" i="7"/>
  <c r="L182" i="7"/>
  <c r="D182" i="7"/>
  <c r="E181" i="7"/>
  <c r="V180" i="7"/>
  <c r="R180" i="7"/>
  <c r="N180" i="7"/>
  <c r="F180" i="7"/>
  <c r="B180" i="7"/>
  <c r="W179" i="7"/>
  <c r="C179" i="7"/>
  <c r="X178" i="7"/>
  <c r="T178" i="7"/>
  <c r="P178" i="7"/>
  <c r="L178" i="7"/>
  <c r="D178" i="7"/>
  <c r="E177" i="7"/>
  <c r="V176" i="7"/>
  <c r="R176" i="7"/>
  <c r="N176" i="7"/>
  <c r="F176" i="7"/>
  <c r="B176" i="7"/>
  <c r="W175" i="7"/>
  <c r="C175" i="7"/>
  <c r="X174" i="7"/>
  <c r="T174" i="7"/>
  <c r="P174" i="7"/>
  <c r="L174" i="7"/>
  <c r="D174" i="7"/>
  <c r="E173" i="7"/>
  <c r="V172" i="7"/>
  <c r="R172" i="7"/>
  <c r="N172" i="7"/>
  <c r="F172" i="7"/>
  <c r="B172" i="7"/>
  <c r="W171" i="7"/>
  <c r="C171" i="7"/>
  <c r="X170" i="7"/>
  <c r="T170" i="7"/>
  <c r="P170" i="7"/>
  <c r="L170" i="7"/>
  <c r="D170" i="7"/>
  <c r="E169" i="7"/>
  <c r="V168" i="7"/>
  <c r="R168" i="7"/>
  <c r="N168" i="7"/>
  <c r="F168" i="7"/>
  <c r="B168" i="7"/>
  <c r="W167" i="7"/>
  <c r="C167" i="7"/>
  <c r="X166" i="7"/>
  <c r="T166" i="7"/>
  <c r="P166" i="7"/>
  <c r="L166" i="7"/>
  <c r="D166" i="7"/>
  <c r="E165" i="7"/>
  <c r="V164" i="7"/>
  <c r="R164" i="7"/>
  <c r="N164" i="7"/>
  <c r="F164" i="7"/>
  <c r="B164" i="7"/>
  <c r="W163" i="7"/>
  <c r="C163" i="7"/>
  <c r="X162" i="7"/>
  <c r="T162" i="7"/>
  <c r="P162" i="7"/>
  <c r="L162" i="7"/>
  <c r="D162" i="7"/>
  <c r="E161" i="7"/>
  <c r="V160" i="7"/>
  <c r="R160" i="7"/>
  <c r="N160" i="7"/>
  <c r="F160" i="7"/>
  <c r="B160" i="7"/>
  <c r="W159" i="7"/>
  <c r="C159" i="7"/>
  <c r="X158" i="7"/>
  <c r="T158" i="7"/>
  <c r="P158" i="7"/>
  <c r="L158" i="7"/>
  <c r="D158" i="7"/>
  <c r="E157" i="7"/>
  <c r="V156" i="7"/>
  <c r="R156" i="7"/>
  <c r="N156" i="7"/>
  <c r="F156" i="7"/>
  <c r="B156" i="7"/>
  <c r="W155" i="7"/>
  <c r="C155" i="7"/>
  <c r="X154" i="7"/>
  <c r="T154" i="7"/>
  <c r="P154" i="7"/>
  <c r="L154" i="7"/>
  <c r="D154" i="7"/>
  <c r="E153" i="7"/>
  <c r="V152" i="7"/>
  <c r="R152" i="7"/>
  <c r="N152" i="7"/>
  <c r="F152" i="7"/>
  <c r="B152" i="7"/>
  <c r="W151" i="7"/>
  <c r="C151" i="7"/>
  <c r="X150" i="7"/>
  <c r="T150" i="7"/>
  <c r="P150" i="7"/>
  <c r="L150" i="7"/>
  <c r="D150" i="7"/>
  <c r="E149" i="7"/>
  <c r="V148" i="7"/>
  <c r="R148" i="7"/>
  <c r="N148" i="7"/>
  <c r="F148" i="7"/>
  <c r="B148" i="7"/>
  <c r="W147" i="7"/>
  <c r="C147" i="7"/>
  <c r="X146" i="7"/>
  <c r="T146" i="7"/>
  <c r="P146" i="7"/>
  <c r="L146" i="7"/>
  <c r="D146" i="7"/>
  <c r="E145" i="7"/>
  <c r="V144" i="7"/>
  <c r="R144" i="7"/>
  <c r="N144" i="7"/>
  <c r="F144" i="7"/>
  <c r="B144" i="7"/>
  <c r="W143" i="7"/>
  <c r="C143" i="7"/>
  <c r="X142" i="7"/>
  <c r="T142" i="7"/>
  <c r="P142" i="7"/>
  <c r="L142" i="7"/>
  <c r="D142" i="7"/>
  <c r="E141" i="7"/>
  <c r="V140" i="7"/>
  <c r="R140" i="7"/>
  <c r="N140" i="7"/>
  <c r="F140" i="7"/>
  <c r="B140" i="7"/>
  <c r="W139" i="7"/>
  <c r="C139" i="7"/>
  <c r="X138" i="7"/>
  <c r="T138" i="7"/>
  <c r="P138" i="7"/>
  <c r="L138" i="7"/>
  <c r="D138" i="7"/>
  <c r="E137" i="7"/>
  <c r="V136" i="7"/>
  <c r="R136" i="7"/>
  <c r="N136" i="7"/>
  <c r="F136" i="7"/>
  <c r="B136" i="7"/>
  <c r="W135" i="7"/>
  <c r="C135" i="7"/>
  <c r="X134" i="7"/>
  <c r="T134" i="7"/>
  <c r="P134" i="7"/>
  <c r="L134" i="7"/>
  <c r="D134" i="7"/>
  <c r="E133" i="7"/>
  <c r="V132" i="7"/>
  <c r="R132" i="7"/>
  <c r="N132" i="7"/>
  <c r="F132" i="7"/>
  <c r="B132" i="7"/>
  <c r="W131" i="7"/>
  <c r="C131" i="7"/>
  <c r="X130" i="7"/>
  <c r="T130" i="7"/>
  <c r="P130" i="7"/>
  <c r="L130" i="7"/>
  <c r="D130" i="7"/>
  <c r="E129" i="7"/>
  <c r="V128" i="7"/>
  <c r="R128" i="7"/>
  <c r="N128" i="7"/>
  <c r="F128" i="7"/>
  <c r="B128" i="7"/>
  <c r="W127" i="7"/>
  <c r="C127" i="7"/>
  <c r="X126" i="7"/>
  <c r="T126" i="7"/>
  <c r="P126" i="7"/>
  <c r="L126" i="7"/>
  <c r="D126" i="7"/>
  <c r="E125" i="7"/>
  <c r="V124" i="7"/>
  <c r="R124" i="7"/>
  <c r="N124" i="7"/>
  <c r="F124" i="7"/>
  <c r="B124" i="7"/>
  <c r="W123" i="7"/>
  <c r="C123" i="7"/>
  <c r="X122" i="7"/>
  <c r="T122" i="7"/>
  <c r="P122" i="7"/>
  <c r="L122" i="7"/>
  <c r="D122" i="7"/>
  <c r="E121" i="7"/>
  <c r="V120" i="7"/>
  <c r="R120" i="7"/>
  <c r="N120" i="7"/>
  <c r="F120" i="7"/>
  <c r="B120" i="7"/>
  <c r="W119" i="7"/>
  <c r="C119" i="7"/>
  <c r="X118" i="7"/>
  <c r="T118" i="7"/>
  <c r="P118" i="7"/>
  <c r="L118" i="7"/>
  <c r="D118" i="7"/>
  <c r="E117" i="7"/>
  <c r="V116" i="7"/>
  <c r="R116" i="7"/>
  <c r="N116" i="7"/>
  <c r="F116" i="7"/>
  <c r="B116" i="7"/>
  <c r="W115" i="7"/>
  <c r="C115" i="7"/>
  <c r="X114" i="7"/>
  <c r="T114" i="7"/>
  <c r="P114" i="7"/>
  <c r="L114" i="7"/>
  <c r="D114" i="7"/>
  <c r="E113" i="7"/>
  <c r="V112" i="7"/>
  <c r="R112" i="7"/>
  <c r="N112" i="7"/>
  <c r="F112" i="7"/>
  <c r="B112" i="7"/>
  <c r="W111" i="7"/>
  <c r="C111" i="7"/>
  <c r="X110" i="7"/>
  <c r="T110" i="7"/>
  <c r="P110" i="7"/>
  <c r="L110" i="7"/>
  <c r="D110" i="7"/>
  <c r="E109" i="7"/>
  <c r="V108" i="7"/>
  <c r="R108" i="7"/>
  <c r="N108" i="7"/>
  <c r="F108" i="7"/>
  <c r="B108" i="7"/>
  <c r="W107" i="7"/>
  <c r="C107" i="7"/>
  <c r="X106" i="7"/>
  <c r="T106" i="7"/>
  <c r="P106" i="7"/>
  <c r="L106" i="7"/>
  <c r="D106" i="7"/>
  <c r="E105" i="7"/>
  <c r="V104" i="7"/>
  <c r="R104" i="7"/>
  <c r="N104" i="7"/>
  <c r="F104" i="7"/>
  <c r="B104" i="7"/>
  <c r="W103" i="7"/>
  <c r="C103" i="7"/>
  <c r="X102" i="7"/>
  <c r="T102" i="7"/>
  <c r="P102" i="7"/>
  <c r="L102" i="7"/>
  <c r="D102" i="7"/>
  <c r="E101" i="7"/>
  <c r="V100" i="7"/>
  <c r="R100" i="7"/>
  <c r="N100" i="7"/>
  <c r="F100" i="7"/>
  <c r="B100" i="7"/>
  <c r="W99" i="7"/>
  <c r="C99" i="7"/>
  <c r="X98" i="7"/>
  <c r="T98" i="7"/>
  <c r="P98" i="7"/>
  <c r="L98" i="7"/>
  <c r="D98" i="7"/>
  <c r="E97" i="7"/>
  <c r="V96" i="7"/>
  <c r="R96" i="7"/>
  <c r="N96" i="7"/>
  <c r="F96" i="7"/>
  <c r="B96" i="7"/>
  <c r="W95" i="7"/>
  <c r="C95" i="7"/>
  <c r="X94" i="7"/>
  <c r="T94" i="7"/>
  <c r="P94" i="7"/>
  <c r="L94" i="7"/>
  <c r="D94" i="7"/>
  <c r="E93" i="7"/>
  <c r="V92" i="7"/>
  <c r="R92" i="7"/>
  <c r="N92" i="7"/>
  <c r="F92" i="7"/>
  <c r="B92" i="7"/>
  <c r="W91" i="7"/>
  <c r="C91" i="7"/>
  <c r="X90" i="7"/>
  <c r="T90" i="7"/>
  <c r="P90" i="7"/>
  <c r="L90" i="7"/>
  <c r="D90" i="7"/>
  <c r="E89" i="7"/>
  <c r="V88" i="7"/>
  <c r="R88" i="7"/>
  <c r="N88" i="7"/>
  <c r="F88" i="7"/>
  <c r="B88" i="7"/>
  <c r="W87" i="7"/>
  <c r="C87" i="7"/>
  <c r="X86" i="7"/>
  <c r="T86" i="7"/>
  <c r="P86" i="7"/>
  <c r="L86" i="7"/>
  <c r="D86" i="7"/>
  <c r="E85" i="7"/>
  <c r="V84" i="7"/>
  <c r="R84" i="7"/>
  <c r="N84" i="7"/>
  <c r="F84" i="7"/>
  <c r="B84" i="7"/>
  <c r="W83" i="7"/>
  <c r="C83" i="7"/>
  <c r="X82" i="7"/>
  <c r="T82" i="7"/>
  <c r="P82" i="7"/>
  <c r="L82" i="7"/>
  <c r="D82" i="7"/>
  <c r="E81" i="7"/>
  <c r="V80" i="7"/>
  <c r="R80" i="7"/>
  <c r="N80" i="7"/>
  <c r="F80" i="7"/>
  <c r="B80" i="7"/>
  <c r="W79" i="7"/>
  <c r="C79" i="7"/>
  <c r="X78" i="7"/>
  <c r="T78" i="7"/>
  <c r="P78" i="7"/>
  <c r="L78" i="7"/>
  <c r="D78" i="7"/>
  <c r="E77" i="7"/>
  <c r="V76" i="7"/>
  <c r="R76" i="7"/>
  <c r="N76" i="7"/>
  <c r="F76" i="7"/>
  <c r="B76" i="7"/>
  <c r="W75" i="7"/>
  <c r="C75" i="7"/>
  <c r="X74" i="7"/>
  <c r="T74" i="7"/>
  <c r="P74" i="7"/>
  <c r="L74" i="7"/>
  <c r="D74" i="7"/>
  <c r="E73" i="7"/>
  <c r="V72" i="7"/>
  <c r="R72" i="7"/>
  <c r="N72" i="7"/>
  <c r="F72" i="7"/>
  <c r="B72" i="7"/>
  <c r="W71" i="7"/>
  <c r="C71" i="7"/>
  <c r="X70" i="7"/>
  <c r="T70" i="7"/>
  <c r="P70" i="7"/>
  <c r="L70" i="7"/>
  <c r="D70" i="7"/>
  <c r="E69" i="7"/>
  <c r="V68" i="7"/>
  <c r="R68" i="7"/>
  <c r="N68" i="7"/>
  <c r="F68" i="7"/>
  <c r="B68" i="7"/>
  <c r="W67" i="7"/>
  <c r="C67" i="7"/>
  <c r="X66" i="7"/>
  <c r="T66" i="7"/>
  <c r="P66" i="7"/>
  <c r="L66" i="7"/>
  <c r="D66" i="7"/>
  <c r="E65" i="7"/>
  <c r="V64" i="7"/>
  <c r="R64" i="7"/>
  <c r="N64" i="7"/>
  <c r="F64" i="7"/>
  <c r="B64" i="7"/>
  <c r="W63" i="7"/>
  <c r="C63" i="7"/>
  <c r="X62" i="7"/>
  <c r="T62" i="7"/>
  <c r="P62" i="7"/>
  <c r="L62" i="7"/>
  <c r="D62" i="7"/>
  <c r="E61" i="7"/>
  <c r="V60" i="7"/>
  <c r="R60" i="7"/>
  <c r="N60" i="7"/>
  <c r="F60" i="7"/>
  <c r="B60" i="7"/>
  <c r="W59" i="7"/>
  <c r="C59" i="7"/>
  <c r="X58" i="7"/>
  <c r="T58" i="7"/>
  <c r="P58" i="7"/>
  <c r="L58" i="7"/>
  <c r="D58" i="7"/>
  <c r="E57" i="7"/>
  <c r="V56" i="7"/>
  <c r="R56" i="7"/>
  <c r="N56" i="7"/>
  <c r="F56" i="7"/>
  <c r="B56" i="7"/>
  <c r="W55" i="7"/>
  <c r="C55" i="7"/>
  <c r="X54" i="7"/>
  <c r="T54" i="7"/>
  <c r="P54" i="7"/>
  <c r="L54" i="7"/>
  <c r="D54" i="7"/>
  <c r="E53" i="7"/>
  <c r="V52" i="7"/>
  <c r="R52" i="7"/>
  <c r="N52" i="7"/>
  <c r="F52" i="7"/>
  <c r="B52" i="7"/>
  <c r="W51" i="7"/>
  <c r="C51" i="7"/>
  <c r="X50" i="7"/>
  <c r="T50" i="7"/>
  <c r="P50" i="7"/>
  <c r="L50" i="7"/>
  <c r="D50" i="7"/>
  <c r="E49" i="7"/>
  <c r="V48" i="7"/>
  <c r="R48" i="7"/>
  <c r="N48" i="7"/>
  <c r="F48" i="7"/>
  <c r="B48" i="7"/>
  <c r="W47" i="7"/>
  <c r="C47" i="7"/>
  <c r="X46" i="7"/>
  <c r="T46" i="7"/>
  <c r="P46" i="7"/>
  <c r="L46" i="7"/>
  <c r="D46" i="7"/>
  <c r="E45" i="7"/>
  <c r="V44" i="7"/>
  <c r="R44" i="7"/>
  <c r="N44" i="7"/>
  <c r="F44" i="7"/>
  <c r="B44" i="7"/>
  <c r="W43" i="7"/>
  <c r="C43" i="7"/>
  <c r="X42" i="7"/>
  <c r="T42" i="7"/>
  <c r="P42" i="7"/>
  <c r="L42" i="7"/>
  <c r="D42" i="7"/>
  <c r="E41" i="7"/>
  <c r="V40" i="7"/>
  <c r="R40" i="7"/>
  <c r="N40" i="7"/>
  <c r="F40" i="7"/>
  <c r="B40" i="7"/>
  <c r="W39" i="7"/>
  <c r="C39" i="7"/>
  <c r="X38" i="7"/>
  <c r="T38" i="7"/>
  <c r="P38" i="7"/>
  <c r="L38" i="7"/>
  <c r="D38" i="7"/>
  <c r="E37" i="7"/>
  <c r="V36" i="7"/>
  <c r="R36" i="7"/>
  <c r="N36" i="7"/>
  <c r="F36" i="7"/>
  <c r="B36" i="7"/>
  <c r="W35" i="7"/>
  <c r="C35" i="7"/>
  <c r="X34" i="7"/>
  <c r="T34" i="7"/>
  <c r="P34" i="7"/>
  <c r="L34" i="7"/>
  <c r="D34" i="7"/>
  <c r="E33" i="7"/>
  <c r="V32" i="7"/>
  <c r="R32" i="7"/>
  <c r="N32" i="7"/>
  <c r="F32" i="7"/>
  <c r="B32" i="7"/>
  <c r="W31" i="7"/>
  <c r="C31" i="7"/>
  <c r="X30" i="7"/>
  <c r="T30" i="7"/>
  <c r="P30" i="7"/>
  <c r="L30" i="7"/>
  <c r="D30" i="7"/>
  <c r="E29" i="7"/>
  <c r="V28" i="7"/>
  <c r="R28" i="7"/>
  <c r="N28" i="7"/>
  <c r="F28" i="7"/>
  <c r="B28" i="7"/>
  <c r="W27" i="7"/>
  <c r="C27" i="7"/>
  <c r="X26" i="7"/>
  <c r="T26" i="7"/>
  <c r="P26" i="7"/>
  <c r="L26" i="7"/>
  <c r="D26" i="7"/>
  <c r="E25" i="7"/>
  <c r="V24" i="7"/>
  <c r="R24" i="7"/>
  <c r="N24" i="7"/>
  <c r="F24" i="7"/>
  <c r="B24" i="7"/>
  <c r="W23" i="7"/>
  <c r="C23" i="7"/>
  <c r="X22" i="7"/>
  <c r="T22" i="7"/>
  <c r="P22" i="7"/>
  <c r="L22" i="7"/>
  <c r="D22" i="7"/>
  <c r="E21" i="7"/>
  <c r="V20" i="7"/>
  <c r="R20" i="7"/>
  <c r="N20" i="7"/>
  <c r="F20" i="7"/>
  <c r="B20" i="7"/>
  <c r="W19" i="7"/>
  <c r="C19" i="7"/>
  <c r="X18" i="7"/>
  <c r="T18" i="7"/>
  <c r="P18" i="7"/>
  <c r="L18" i="7"/>
  <c r="D18" i="7"/>
  <c r="E17" i="7"/>
  <c r="V16" i="7"/>
  <c r="R16" i="7"/>
  <c r="N16" i="7"/>
  <c r="F16" i="7"/>
  <c r="B16" i="7"/>
  <c r="W15" i="7"/>
  <c r="C15" i="7"/>
  <c r="X14" i="7"/>
  <c r="T14" i="7"/>
  <c r="P14" i="7"/>
  <c r="L14" i="7"/>
  <c r="D14" i="7"/>
  <c r="E13" i="7"/>
  <c r="V12" i="7"/>
  <c r="R12" i="7"/>
  <c r="N12" i="7"/>
  <c r="F12" i="7"/>
  <c r="B12" i="7"/>
  <c r="W11" i="7"/>
  <c r="C11" i="7"/>
  <c r="X10" i="7"/>
  <c r="T10" i="7"/>
  <c r="P10" i="7"/>
  <c r="L10" i="7"/>
  <c r="D10" i="7"/>
  <c r="E9" i="7"/>
  <c r="V8" i="7"/>
  <c r="R8" i="7"/>
  <c r="N8" i="7"/>
  <c r="F8" i="7"/>
  <c r="B8" i="7"/>
  <c r="W7" i="7"/>
  <c r="C7" i="7"/>
  <c r="X6" i="7"/>
  <c r="T6" i="7"/>
  <c r="P6" i="7"/>
  <c r="L6" i="7"/>
  <c r="D6" i="7"/>
  <c r="E5" i="7"/>
  <c r="V4" i="7"/>
  <c r="R4" i="7"/>
  <c r="N4" i="7"/>
  <c r="F4" i="7"/>
  <c r="B4" i="7"/>
  <c r="W3" i="7"/>
  <c r="C3" i="7"/>
  <c r="X2" i="7"/>
  <c r="T2" i="7"/>
  <c r="P2" i="7"/>
  <c r="L2" i="7"/>
  <c r="D2" i="7"/>
  <c r="T16" i="7"/>
  <c r="L16" i="7"/>
  <c r="R14" i="7"/>
  <c r="F14" i="7"/>
  <c r="T12" i="7"/>
  <c r="D12" i="7"/>
  <c r="R10" i="7"/>
  <c r="B10" i="7"/>
  <c r="T8" i="7"/>
  <c r="L8" i="7"/>
  <c r="R6" i="7"/>
  <c r="B6" i="7"/>
  <c r="C5" i="7"/>
  <c r="P4" i="7"/>
  <c r="E3" i="7"/>
  <c r="N2" i="7"/>
  <c r="R9" i="7"/>
  <c r="P7" i="7"/>
  <c r="D7" i="7"/>
  <c r="R5" i="7"/>
  <c r="B5" i="7"/>
  <c r="X3" i="7"/>
  <c r="L3" i="7"/>
  <c r="X218" i="7"/>
  <c r="C218" i="7"/>
  <c r="X217" i="7"/>
  <c r="T217" i="7"/>
  <c r="P217" i="7"/>
  <c r="L217" i="7"/>
  <c r="D217" i="7"/>
  <c r="E216" i="7"/>
  <c r="V215" i="7"/>
  <c r="R215" i="7"/>
  <c r="N215" i="7"/>
  <c r="F215" i="7"/>
  <c r="B215" i="7"/>
  <c r="W214" i="7"/>
  <c r="C214" i="7"/>
  <c r="X213" i="7"/>
  <c r="T213" i="7"/>
  <c r="P213" i="7"/>
  <c r="L213" i="7"/>
  <c r="D213" i="7"/>
  <c r="E212" i="7"/>
  <c r="V211" i="7"/>
  <c r="R211" i="7"/>
  <c r="N211" i="7"/>
  <c r="F211" i="7"/>
  <c r="B211" i="7"/>
  <c r="W210" i="7"/>
  <c r="C210" i="7"/>
  <c r="X209" i="7"/>
  <c r="T209" i="7"/>
  <c r="P209" i="7"/>
  <c r="L209" i="7"/>
  <c r="D209" i="7"/>
  <c r="E208" i="7"/>
  <c r="V207" i="7"/>
  <c r="R207" i="7"/>
  <c r="N207" i="7"/>
  <c r="F207" i="7"/>
  <c r="B207" i="7"/>
  <c r="W206" i="7"/>
  <c r="C206" i="7"/>
  <c r="X205" i="7"/>
  <c r="T205" i="7"/>
  <c r="P205" i="7"/>
  <c r="L205" i="7"/>
  <c r="D205" i="7"/>
  <c r="E204" i="7"/>
  <c r="V203" i="7"/>
  <c r="R203" i="7"/>
  <c r="N203" i="7"/>
  <c r="F203" i="7"/>
  <c r="B203" i="7"/>
  <c r="W202" i="7"/>
  <c r="C202" i="7"/>
  <c r="X201" i="7"/>
  <c r="T201" i="7"/>
  <c r="P201" i="7"/>
  <c r="L201" i="7"/>
  <c r="D201" i="7"/>
  <c r="E200" i="7"/>
  <c r="V199" i="7"/>
  <c r="R199" i="7"/>
  <c r="N199" i="7"/>
  <c r="F199" i="7"/>
  <c r="B199" i="7"/>
  <c r="W198" i="7"/>
  <c r="C198" i="7"/>
  <c r="X197" i="7"/>
  <c r="T197" i="7"/>
  <c r="P197" i="7"/>
  <c r="L197" i="7"/>
  <c r="D197" i="7"/>
  <c r="E196" i="7"/>
  <c r="V195" i="7"/>
  <c r="R195" i="7"/>
  <c r="N195" i="7"/>
  <c r="F195" i="7"/>
  <c r="B195" i="7"/>
  <c r="W194" i="7"/>
  <c r="C194" i="7"/>
  <c r="X193" i="7"/>
  <c r="T193" i="7"/>
  <c r="P193" i="7"/>
  <c r="L193" i="7"/>
  <c r="D193" i="7"/>
  <c r="E192" i="7"/>
  <c r="V191" i="7"/>
  <c r="R191" i="7"/>
  <c r="N191" i="7"/>
  <c r="F191" i="7"/>
  <c r="B191" i="7"/>
  <c r="W190" i="7"/>
  <c r="C190" i="7"/>
  <c r="X189" i="7"/>
  <c r="T189" i="7"/>
  <c r="P189" i="7"/>
  <c r="L189" i="7"/>
  <c r="D189" i="7"/>
  <c r="E188" i="7"/>
  <c r="V187" i="7"/>
  <c r="R187" i="7"/>
  <c r="N187" i="7"/>
  <c r="F187" i="7"/>
  <c r="B187" i="7"/>
  <c r="W186" i="7"/>
  <c r="C186" i="7"/>
  <c r="X185" i="7"/>
  <c r="T185" i="7"/>
  <c r="P185" i="7"/>
  <c r="L185" i="7"/>
  <c r="D185" i="7"/>
  <c r="E184" i="7"/>
  <c r="V183" i="7"/>
  <c r="R183" i="7"/>
  <c r="N183" i="7"/>
  <c r="F183" i="7"/>
  <c r="B183" i="7"/>
  <c r="W182" i="7"/>
  <c r="C182" i="7"/>
  <c r="X181" i="7"/>
  <c r="T181" i="7"/>
  <c r="P181" i="7"/>
  <c r="L181" i="7"/>
  <c r="D181" i="7"/>
  <c r="E180" i="7"/>
  <c r="V179" i="7"/>
  <c r="R179" i="7"/>
  <c r="N179" i="7"/>
  <c r="F179" i="7"/>
  <c r="B179" i="7"/>
  <c r="W178" i="7"/>
  <c r="C178" i="7"/>
  <c r="X177" i="7"/>
  <c r="T177" i="7"/>
  <c r="P177" i="7"/>
  <c r="L177" i="7"/>
  <c r="D177" i="7"/>
  <c r="E176" i="7"/>
  <c r="V175" i="7"/>
  <c r="R175" i="7"/>
  <c r="N175" i="7"/>
  <c r="F175" i="7"/>
  <c r="B175" i="7"/>
  <c r="W174" i="7"/>
  <c r="C174" i="7"/>
  <c r="X173" i="7"/>
  <c r="T173" i="7"/>
  <c r="P173" i="7"/>
  <c r="L173" i="7"/>
  <c r="D173" i="7"/>
  <c r="E172" i="7"/>
  <c r="V171" i="7"/>
  <c r="R171" i="7"/>
  <c r="N171" i="7"/>
  <c r="F171" i="7"/>
  <c r="B171" i="7"/>
  <c r="W170" i="7"/>
  <c r="C170" i="7"/>
  <c r="X169" i="7"/>
  <c r="T169" i="7"/>
  <c r="P169" i="7"/>
  <c r="L169" i="7"/>
  <c r="D169" i="7"/>
  <c r="E168" i="7"/>
  <c r="V167" i="7"/>
  <c r="R167" i="7"/>
  <c r="N167" i="7"/>
  <c r="F167" i="7"/>
  <c r="B167" i="7"/>
  <c r="W166" i="7"/>
  <c r="C166" i="7"/>
  <c r="X165" i="7"/>
  <c r="T165" i="7"/>
  <c r="P165" i="7"/>
  <c r="L165" i="7"/>
  <c r="D165" i="7"/>
  <c r="E164" i="7"/>
  <c r="V163" i="7"/>
  <c r="R163" i="7"/>
  <c r="N163" i="7"/>
  <c r="F163" i="7"/>
  <c r="B163" i="7"/>
  <c r="W162" i="7"/>
  <c r="C162" i="7"/>
  <c r="X161" i="7"/>
  <c r="T161" i="7"/>
  <c r="P161" i="7"/>
  <c r="L161" i="7"/>
  <c r="D161" i="7"/>
  <c r="E160" i="7"/>
  <c r="V159" i="7"/>
  <c r="R159" i="7"/>
  <c r="N159" i="7"/>
  <c r="F159" i="7"/>
  <c r="B159" i="7"/>
  <c r="W158" i="7"/>
  <c r="C158" i="7"/>
  <c r="X157" i="7"/>
  <c r="T157" i="7"/>
  <c r="P157" i="7"/>
  <c r="L157" i="7"/>
  <c r="D157" i="7"/>
  <c r="E156" i="7"/>
  <c r="V155" i="7"/>
  <c r="R155" i="7"/>
  <c r="N155" i="7"/>
  <c r="F155" i="7"/>
  <c r="B155" i="7"/>
  <c r="W154" i="7"/>
  <c r="C154" i="7"/>
  <c r="X153" i="7"/>
  <c r="T153" i="7"/>
  <c r="P153" i="7"/>
  <c r="L153" i="7"/>
  <c r="D153" i="7"/>
  <c r="E152" i="7"/>
  <c r="V151" i="7"/>
  <c r="R151" i="7"/>
  <c r="N151" i="7"/>
  <c r="F151" i="7"/>
  <c r="B151" i="7"/>
  <c r="W150" i="7"/>
  <c r="C150" i="7"/>
  <c r="X149" i="7"/>
  <c r="T149" i="7"/>
  <c r="P149" i="7"/>
  <c r="L149" i="7"/>
  <c r="D149" i="7"/>
  <c r="E148" i="7"/>
  <c r="V147" i="7"/>
  <c r="R147" i="7"/>
  <c r="N147" i="7"/>
  <c r="F147" i="7"/>
  <c r="B147" i="7"/>
  <c r="W146" i="7"/>
  <c r="C146" i="7"/>
  <c r="X145" i="7"/>
  <c r="T145" i="7"/>
  <c r="P145" i="7"/>
  <c r="L145" i="7"/>
  <c r="D145" i="7"/>
  <c r="E144" i="7"/>
  <c r="V143" i="7"/>
  <c r="R143" i="7"/>
  <c r="N143" i="7"/>
  <c r="F143" i="7"/>
  <c r="B143" i="7"/>
  <c r="W142" i="7"/>
  <c r="C142" i="7"/>
  <c r="X141" i="7"/>
  <c r="T141" i="7"/>
  <c r="P141" i="7"/>
  <c r="L141" i="7"/>
  <c r="D141" i="7"/>
  <c r="E140" i="7"/>
  <c r="V139" i="7"/>
  <c r="R139" i="7"/>
  <c r="N139" i="7"/>
  <c r="F139" i="7"/>
  <c r="B139" i="7"/>
  <c r="W138" i="7"/>
  <c r="C138" i="7"/>
  <c r="X137" i="7"/>
  <c r="T137" i="7"/>
  <c r="P137" i="7"/>
  <c r="L137" i="7"/>
  <c r="D137" i="7"/>
  <c r="E136" i="7"/>
  <c r="V135" i="7"/>
  <c r="R135" i="7"/>
  <c r="N135" i="7"/>
  <c r="F135" i="7"/>
  <c r="B135" i="7"/>
  <c r="W134" i="7"/>
  <c r="C134" i="7"/>
  <c r="X133" i="7"/>
  <c r="T133" i="7"/>
  <c r="P133" i="7"/>
  <c r="L133" i="7"/>
  <c r="D133" i="7"/>
  <c r="E132" i="7"/>
  <c r="V131" i="7"/>
  <c r="R131" i="7"/>
  <c r="N131" i="7"/>
  <c r="F131" i="7"/>
  <c r="B131" i="7"/>
  <c r="W130" i="7"/>
  <c r="C130" i="7"/>
  <c r="X129" i="7"/>
  <c r="T129" i="7"/>
  <c r="P129" i="7"/>
  <c r="L129" i="7"/>
  <c r="D129" i="7"/>
  <c r="E128" i="7"/>
  <c r="V127" i="7"/>
  <c r="R127" i="7"/>
  <c r="N127" i="7"/>
  <c r="F127" i="7"/>
  <c r="B127" i="7"/>
  <c r="W126" i="7"/>
  <c r="C126" i="7"/>
  <c r="X125" i="7"/>
  <c r="T125" i="7"/>
  <c r="P125" i="7"/>
  <c r="L125" i="7"/>
  <c r="D125" i="7"/>
  <c r="E124" i="7"/>
  <c r="V123" i="7"/>
  <c r="R123" i="7"/>
  <c r="N123" i="7"/>
  <c r="F123" i="7"/>
  <c r="B123" i="7"/>
  <c r="W122" i="7"/>
  <c r="C122" i="7"/>
  <c r="X121" i="7"/>
  <c r="T121" i="7"/>
  <c r="P121" i="7"/>
  <c r="L121" i="7"/>
  <c r="D121" i="7"/>
  <c r="E120" i="7"/>
  <c r="V119" i="7"/>
  <c r="R119" i="7"/>
  <c r="N119" i="7"/>
  <c r="F119" i="7"/>
  <c r="B119" i="7"/>
  <c r="W118" i="7"/>
  <c r="C118" i="7"/>
  <c r="X117" i="7"/>
  <c r="T117" i="7"/>
  <c r="P117" i="7"/>
  <c r="L117" i="7"/>
  <c r="D117" i="7"/>
  <c r="E116" i="7"/>
  <c r="V115" i="7"/>
  <c r="R115" i="7"/>
  <c r="N115" i="7"/>
  <c r="F115" i="7"/>
  <c r="B115" i="7"/>
  <c r="W114" i="7"/>
  <c r="C114" i="7"/>
  <c r="X113" i="7"/>
  <c r="T113" i="7"/>
  <c r="P113" i="7"/>
  <c r="L113" i="7"/>
  <c r="D113" i="7"/>
  <c r="E112" i="7"/>
  <c r="V111" i="7"/>
  <c r="R111" i="7"/>
  <c r="N111" i="7"/>
  <c r="F111" i="7"/>
  <c r="B111" i="7"/>
  <c r="W110" i="7"/>
  <c r="C110" i="7"/>
  <c r="X109" i="7"/>
  <c r="T109" i="7"/>
  <c r="P109" i="7"/>
  <c r="L109" i="7"/>
  <c r="D109" i="7"/>
  <c r="E108" i="7"/>
  <c r="V107" i="7"/>
  <c r="R107" i="7"/>
  <c r="N107" i="7"/>
  <c r="F107" i="7"/>
  <c r="B107" i="7"/>
  <c r="W106" i="7"/>
  <c r="C106" i="7"/>
  <c r="X105" i="7"/>
  <c r="T105" i="7"/>
  <c r="P105" i="7"/>
  <c r="L105" i="7"/>
  <c r="D105" i="7"/>
  <c r="E104" i="7"/>
  <c r="V103" i="7"/>
  <c r="R103" i="7"/>
  <c r="N103" i="7"/>
  <c r="F103" i="7"/>
  <c r="B103" i="7"/>
  <c r="W102" i="7"/>
  <c r="C102" i="7"/>
  <c r="X101" i="7"/>
  <c r="T101" i="7"/>
  <c r="P101" i="7"/>
  <c r="L101" i="7"/>
  <c r="D101" i="7"/>
  <c r="E100" i="7"/>
  <c r="V99" i="7"/>
  <c r="R99" i="7"/>
  <c r="N99" i="7"/>
  <c r="F99" i="7"/>
  <c r="B99" i="7"/>
  <c r="W98" i="7"/>
  <c r="C98" i="7"/>
  <c r="X97" i="7"/>
  <c r="T97" i="7"/>
  <c r="P97" i="7"/>
  <c r="L97" i="7"/>
  <c r="D97" i="7"/>
  <c r="E96" i="7"/>
  <c r="V95" i="7"/>
  <c r="R95" i="7"/>
  <c r="N95" i="7"/>
  <c r="F95" i="7"/>
  <c r="B95" i="7"/>
  <c r="W94" i="7"/>
  <c r="C94" i="7"/>
  <c r="X93" i="7"/>
  <c r="T93" i="7"/>
  <c r="P93" i="7"/>
  <c r="L93" i="7"/>
  <c r="D93" i="7"/>
  <c r="E92" i="7"/>
  <c r="V91" i="7"/>
  <c r="R91" i="7"/>
  <c r="N91" i="7"/>
  <c r="F91" i="7"/>
  <c r="B91" i="7"/>
  <c r="W90" i="7"/>
  <c r="C90" i="7"/>
  <c r="X89" i="7"/>
  <c r="T89" i="7"/>
  <c r="P89" i="7"/>
  <c r="L89" i="7"/>
  <c r="D89" i="7"/>
  <c r="E88" i="7"/>
  <c r="V87" i="7"/>
  <c r="R87" i="7"/>
  <c r="N87" i="7"/>
  <c r="F87" i="7"/>
  <c r="B87" i="7"/>
  <c r="W86" i="7"/>
  <c r="C86" i="7"/>
  <c r="X85" i="7"/>
  <c r="T85" i="7"/>
  <c r="P85" i="7"/>
  <c r="L85" i="7"/>
  <c r="D85" i="7"/>
  <c r="E84" i="7"/>
  <c r="V83" i="7"/>
  <c r="R83" i="7"/>
  <c r="N83" i="7"/>
  <c r="F83" i="7"/>
  <c r="B83" i="7"/>
  <c r="W82" i="7"/>
  <c r="C82" i="7"/>
  <c r="X81" i="7"/>
  <c r="T81" i="7"/>
  <c r="P81" i="7"/>
  <c r="L81" i="7"/>
  <c r="D81" i="7"/>
  <c r="E80" i="7"/>
  <c r="V79" i="7"/>
  <c r="R79" i="7"/>
  <c r="N79" i="7"/>
  <c r="F79" i="7"/>
  <c r="B79" i="7"/>
  <c r="W78" i="7"/>
  <c r="C78" i="7"/>
  <c r="X77" i="7"/>
  <c r="T77" i="7"/>
  <c r="P77" i="7"/>
  <c r="L77" i="7"/>
  <c r="D77" i="7"/>
  <c r="E76" i="7"/>
  <c r="V75" i="7"/>
  <c r="R75" i="7"/>
  <c r="N75" i="7"/>
  <c r="F75" i="7"/>
  <c r="B75" i="7"/>
  <c r="W74" i="7"/>
  <c r="C74" i="7"/>
  <c r="X73" i="7"/>
  <c r="T73" i="7"/>
  <c r="P73" i="7"/>
  <c r="L73" i="7"/>
  <c r="D73" i="7"/>
  <c r="E72" i="7"/>
  <c r="V71" i="7"/>
  <c r="R71" i="7"/>
  <c r="N71" i="7"/>
  <c r="F71" i="7"/>
  <c r="B71" i="7"/>
  <c r="W70" i="7"/>
  <c r="C70" i="7"/>
  <c r="X69" i="7"/>
  <c r="T69" i="7"/>
  <c r="P69" i="7"/>
  <c r="L69" i="7"/>
  <c r="D69" i="7"/>
  <c r="E68" i="7"/>
  <c r="V67" i="7"/>
  <c r="R67" i="7"/>
  <c r="N67" i="7"/>
  <c r="F67" i="7"/>
  <c r="B67" i="7"/>
  <c r="W66" i="7"/>
  <c r="C66" i="7"/>
  <c r="X65" i="7"/>
  <c r="T65" i="7"/>
  <c r="P65" i="7"/>
  <c r="L65" i="7"/>
  <c r="D65" i="7"/>
  <c r="E64" i="7"/>
  <c r="V63" i="7"/>
  <c r="R63" i="7"/>
  <c r="N63" i="7"/>
  <c r="F63" i="7"/>
  <c r="B63" i="7"/>
  <c r="W62" i="7"/>
  <c r="C62" i="7"/>
  <c r="X61" i="7"/>
  <c r="T61" i="7"/>
  <c r="P61" i="7"/>
  <c r="L61" i="7"/>
  <c r="D61" i="7"/>
  <c r="E60" i="7"/>
  <c r="V59" i="7"/>
  <c r="R59" i="7"/>
  <c r="N59" i="7"/>
  <c r="F59" i="7"/>
  <c r="B59" i="7"/>
  <c r="W58" i="7"/>
  <c r="C58" i="7"/>
  <c r="X57" i="7"/>
  <c r="T57" i="7"/>
  <c r="P57" i="7"/>
  <c r="L57" i="7"/>
  <c r="D57" i="7"/>
  <c r="E56" i="7"/>
  <c r="V55" i="7"/>
  <c r="R55" i="7"/>
  <c r="N55" i="7"/>
  <c r="F55" i="7"/>
  <c r="B55" i="7"/>
  <c r="W54" i="7"/>
  <c r="C54" i="7"/>
  <c r="X53" i="7"/>
  <c r="T53" i="7"/>
  <c r="P53" i="7"/>
  <c r="L53" i="7"/>
  <c r="D53" i="7"/>
  <c r="E52" i="7"/>
  <c r="V51" i="7"/>
  <c r="R51" i="7"/>
  <c r="N51" i="7"/>
  <c r="F51" i="7"/>
  <c r="B51" i="7"/>
  <c r="W50" i="7"/>
  <c r="C50" i="7"/>
  <c r="X49" i="7"/>
  <c r="T49" i="7"/>
  <c r="P49" i="7"/>
  <c r="L49" i="7"/>
  <c r="D49" i="7"/>
  <c r="E48" i="7"/>
  <c r="V47" i="7"/>
  <c r="R47" i="7"/>
  <c r="N47" i="7"/>
  <c r="F47" i="7"/>
  <c r="B47" i="7"/>
  <c r="W46" i="7"/>
  <c r="C46" i="7"/>
  <c r="X45" i="7"/>
  <c r="T45" i="7"/>
  <c r="P45" i="7"/>
  <c r="L45" i="7"/>
  <c r="D45" i="7"/>
  <c r="E44" i="7"/>
  <c r="V43" i="7"/>
  <c r="R43" i="7"/>
  <c r="N43" i="7"/>
  <c r="F43" i="7"/>
  <c r="B43" i="7"/>
  <c r="W42" i="7"/>
  <c r="C42" i="7"/>
  <c r="X41" i="7"/>
  <c r="T41" i="7"/>
  <c r="P41" i="7"/>
  <c r="L41" i="7"/>
  <c r="D41" i="7"/>
  <c r="E40" i="7"/>
  <c r="V39" i="7"/>
  <c r="R39" i="7"/>
  <c r="N39" i="7"/>
  <c r="F39" i="7"/>
  <c r="B39" i="7"/>
  <c r="W38" i="7"/>
  <c r="C38" i="7"/>
  <c r="X37" i="7"/>
  <c r="T37" i="7"/>
  <c r="P37" i="7"/>
  <c r="L37" i="7"/>
  <c r="D37" i="7"/>
  <c r="E36" i="7"/>
  <c r="V35" i="7"/>
  <c r="R35" i="7"/>
  <c r="N35" i="7"/>
  <c r="F35" i="7"/>
  <c r="B35" i="7"/>
  <c r="W34" i="7"/>
  <c r="C34" i="7"/>
  <c r="X33" i="7"/>
  <c r="T33" i="7"/>
  <c r="P33" i="7"/>
  <c r="L33" i="7"/>
  <c r="D33" i="7"/>
  <c r="E32" i="7"/>
  <c r="V31" i="7"/>
  <c r="R31" i="7"/>
  <c r="N31" i="7"/>
  <c r="F31" i="7"/>
  <c r="B31" i="7"/>
  <c r="W30" i="7"/>
  <c r="C30" i="7"/>
  <c r="X29" i="7"/>
  <c r="T29" i="7"/>
  <c r="P29" i="7"/>
  <c r="L29" i="7"/>
  <c r="D29" i="7"/>
  <c r="E28" i="7"/>
  <c r="V27" i="7"/>
  <c r="R27" i="7"/>
  <c r="N27" i="7"/>
  <c r="F27" i="7"/>
  <c r="B27" i="7"/>
  <c r="W26" i="7"/>
  <c r="C26" i="7"/>
  <c r="X25" i="7"/>
  <c r="T25" i="7"/>
  <c r="P25" i="7"/>
  <c r="L25" i="7"/>
  <c r="D25" i="7"/>
  <c r="E24" i="7"/>
  <c r="V23" i="7"/>
  <c r="R23" i="7"/>
  <c r="N23" i="7"/>
  <c r="F23" i="7"/>
  <c r="B23" i="7"/>
  <c r="W22" i="7"/>
  <c r="C22" i="7"/>
  <c r="X21" i="7"/>
  <c r="T21" i="7"/>
  <c r="P21" i="7"/>
  <c r="L21" i="7"/>
  <c r="D21" i="7"/>
  <c r="E20" i="7"/>
  <c r="V19" i="7"/>
  <c r="R19" i="7"/>
  <c r="N19" i="7"/>
  <c r="F19" i="7"/>
  <c r="B19" i="7"/>
  <c r="W18" i="7"/>
  <c r="C18" i="7"/>
  <c r="X17" i="7"/>
  <c r="T17" i="7"/>
  <c r="P17" i="7"/>
  <c r="L17" i="7"/>
  <c r="D17" i="7"/>
  <c r="E16" i="7"/>
  <c r="V15" i="7"/>
  <c r="R15" i="7"/>
  <c r="N15" i="7"/>
  <c r="F15" i="7"/>
  <c r="B15" i="7"/>
  <c r="W14" i="7"/>
  <c r="C14" i="7"/>
  <c r="X13" i="7"/>
  <c r="T13" i="7"/>
  <c r="P13" i="7"/>
  <c r="L13" i="7"/>
  <c r="D13" i="7"/>
  <c r="E12" i="7"/>
  <c r="V11" i="7"/>
  <c r="R11" i="7"/>
  <c r="N11" i="7"/>
  <c r="F11" i="7"/>
  <c r="B11" i="7"/>
  <c r="W10" i="7"/>
  <c r="C10" i="7"/>
  <c r="X9" i="7"/>
  <c r="T9" i="7"/>
  <c r="P9" i="7"/>
  <c r="L9" i="7"/>
  <c r="D9" i="7"/>
  <c r="E8" i="7"/>
  <c r="V7" i="7"/>
  <c r="R7" i="7"/>
  <c r="N7" i="7"/>
  <c r="F7" i="7"/>
  <c r="B7" i="7"/>
  <c r="W6" i="7"/>
  <c r="C6" i="7"/>
  <c r="X5" i="7"/>
  <c r="T5" i="7"/>
  <c r="P5" i="7"/>
  <c r="L5" i="7"/>
  <c r="D5" i="7"/>
  <c r="E4" i="7"/>
  <c r="V3" i="7"/>
  <c r="R3" i="7"/>
  <c r="N3" i="7"/>
  <c r="F3" i="7"/>
  <c r="B3" i="7"/>
  <c r="W2" i="7"/>
  <c r="C2" i="7"/>
  <c r="E19" i="7"/>
  <c r="R18" i="7"/>
  <c r="F18" i="7"/>
  <c r="W17" i="7"/>
  <c r="C17" i="7"/>
  <c r="X16" i="7"/>
  <c r="P16" i="7"/>
  <c r="V14" i="7"/>
  <c r="N14" i="7"/>
  <c r="W13" i="7"/>
  <c r="X12" i="7"/>
  <c r="P12" i="7"/>
  <c r="E11" i="7"/>
  <c r="N10" i="7"/>
  <c r="W9" i="7"/>
  <c r="C9" i="7"/>
  <c r="P8" i="7"/>
  <c r="E7" i="7"/>
  <c r="N6" i="7"/>
  <c r="W5" i="7"/>
  <c r="X4" i="7"/>
  <c r="D4" i="7"/>
  <c r="R2" i="7"/>
  <c r="B2" i="7"/>
  <c r="N9" i="7"/>
  <c r="T7" i="7"/>
  <c r="E6" i="7"/>
  <c r="F5" i="7"/>
  <c r="P3" i="7"/>
  <c r="E2" i="7"/>
  <c r="S9" i="7" l="1"/>
  <c r="U9" i="7"/>
  <c r="Q9" i="7"/>
  <c r="M9" i="7"/>
  <c r="O9" i="7"/>
  <c r="S17" i="7"/>
  <c r="U17" i="7"/>
  <c r="Q17" i="7"/>
  <c r="M17" i="7"/>
  <c r="O17" i="7"/>
  <c r="Q2" i="7"/>
  <c r="M2" i="7"/>
  <c r="S2" i="7"/>
  <c r="O2" i="7"/>
  <c r="U2" i="7"/>
  <c r="Q6" i="7"/>
  <c r="S6" i="7"/>
  <c r="O6" i="7"/>
  <c r="U6" i="7"/>
  <c r="M6" i="7"/>
  <c r="U10" i="7"/>
  <c r="Q10" i="7"/>
  <c r="M10" i="7"/>
  <c r="S10" i="7"/>
  <c r="O10" i="7"/>
  <c r="U14" i="7"/>
  <c r="Q14" i="7"/>
  <c r="M14" i="7"/>
  <c r="S14" i="7"/>
  <c r="O14" i="7"/>
  <c r="U18" i="7"/>
  <c r="Q18" i="7"/>
  <c r="M18" i="7"/>
  <c r="S18" i="7"/>
  <c r="O18" i="7"/>
  <c r="U22" i="7"/>
  <c r="Q22" i="7"/>
  <c r="M22" i="7"/>
  <c r="S22" i="7"/>
  <c r="O22" i="7"/>
  <c r="U26" i="7"/>
  <c r="Q26" i="7"/>
  <c r="M26" i="7"/>
  <c r="S26" i="7"/>
  <c r="O26" i="7"/>
  <c r="U30" i="7"/>
  <c r="Q30" i="7"/>
  <c r="M30" i="7"/>
  <c r="S30" i="7"/>
  <c r="O30" i="7"/>
  <c r="U34" i="7"/>
  <c r="Q34" i="7"/>
  <c r="M34" i="7"/>
  <c r="S34" i="7"/>
  <c r="O34" i="7"/>
  <c r="U38" i="7"/>
  <c r="Q38" i="7"/>
  <c r="M38" i="7"/>
  <c r="S38" i="7"/>
  <c r="O38" i="7"/>
  <c r="U42" i="7"/>
  <c r="Q42" i="7"/>
  <c r="M42" i="7"/>
  <c r="S42" i="7"/>
  <c r="O42" i="7"/>
  <c r="U46" i="7"/>
  <c r="Q46" i="7"/>
  <c r="M46" i="7"/>
  <c r="S46" i="7"/>
  <c r="O46" i="7"/>
  <c r="U50" i="7"/>
  <c r="Q50" i="7"/>
  <c r="M50" i="7"/>
  <c r="S50" i="7"/>
  <c r="O50" i="7"/>
  <c r="U54" i="7"/>
  <c r="Q54" i="7"/>
  <c r="M54" i="7"/>
  <c r="S54" i="7"/>
  <c r="O54" i="7"/>
  <c r="U58" i="7"/>
  <c r="Q58" i="7"/>
  <c r="M58" i="7"/>
  <c r="S58" i="7"/>
  <c r="O58" i="7"/>
  <c r="U62" i="7"/>
  <c r="Q62" i="7"/>
  <c r="M62" i="7"/>
  <c r="S62" i="7"/>
  <c r="O62" i="7"/>
  <c r="U66" i="7"/>
  <c r="Q66" i="7"/>
  <c r="M66" i="7"/>
  <c r="S66" i="7"/>
  <c r="O66" i="7"/>
  <c r="U70" i="7"/>
  <c r="Q70" i="7"/>
  <c r="M70" i="7"/>
  <c r="S70" i="7"/>
  <c r="O70" i="7"/>
  <c r="U74" i="7"/>
  <c r="Q74" i="7"/>
  <c r="M74" i="7"/>
  <c r="S74" i="7"/>
  <c r="O74" i="7"/>
  <c r="U78" i="7"/>
  <c r="Q78" i="7"/>
  <c r="M78" i="7"/>
  <c r="S78" i="7"/>
  <c r="O78" i="7"/>
  <c r="U82" i="7"/>
  <c r="Q82" i="7"/>
  <c r="M82" i="7"/>
  <c r="S82" i="7"/>
  <c r="O82" i="7"/>
  <c r="U86" i="7"/>
  <c r="Q86" i="7"/>
  <c r="M86" i="7"/>
  <c r="S86" i="7"/>
  <c r="O86" i="7"/>
  <c r="U90" i="7"/>
  <c r="Q90" i="7"/>
  <c r="M90" i="7"/>
  <c r="S90" i="7"/>
  <c r="O90" i="7"/>
  <c r="U94" i="7"/>
  <c r="Q94" i="7"/>
  <c r="M94" i="7"/>
  <c r="S94" i="7"/>
  <c r="O94" i="7"/>
  <c r="U98" i="7"/>
  <c r="Q98" i="7"/>
  <c r="M98" i="7"/>
  <c r="S98" i="7"/>
  <c r="O98" i="7"/>
  <c r="U102" i="7"/>
  <c r="Q102" i="7"/>
  <c r="M102" i="7"/>
  <c r="S102" i="7"/>
  <c r="O102" i="7"/>
  <c r="U106" i="7"/>
  <c r="Q106" i="7"/>
  <c r="M106" i="7"/>
  <c r="S106" i="7"/>
  <c r="O106" i="7"/>
  <c r="U110" i="7"/>
  <c r="Q110" i="7"/>
  <c r="M110" i="7"/>
  <c r="S110" i="7"/>
  <c r="O110" i="7"/>
  <c r="U114" i="7"/>
  <c r="Q114" i="7"/>
  <c r="M114" i="7"/>
  <c r="S114" i="7"/>
  <c r="O114" i="7"/>
  <c r="U118" i="7"/>
  <c r="Q118" i="7"/>
  <c r="M118" i="7"/>
  <c r="S118" i="7"/>
  <c r="O118" i="7"/>
  <c r="U122" i="7"/>
  <c r="Q122" i="7"/>
  <c r="M122" i="7"/>
  <c r="S122" i="7"/>
  <c r="O122" i="7"/>
  <c r="U126" i="7"/>
  <c r="Q126" i="7"/>
  <c r="M126" i="7"/>
  <c r="S126" i="7"/>
  <c r="O126" i="7"/>
  <c r="U130" i="7"/>
  <c r="Q130" i="7"/>
  <c r="M130" i="7"/>
  <c r="S130" i="7"/>
  <c r="O130" i="7"/>
  <c r="U134" i="7"/>
  <c r="Q134" i="7"/>
  <c r="M134" i="7"/>
  <c r="S134" i="7"/>
  <c r="O134" i="7"/>
  <c r="U138" i="7"/>
  <c r="Q138" i="7"/>
  <c r="M138" i="7"/>
  <c r="S138" i="7"/>
  <c r="O138" i="7"/>
  <c r="U142" i="7"/>
  <c r="Q142" i="7"/>
  <c r="M142" i="7"/>
  <c r="S142" i="7"/>
  <c r="O142" i="7"/>
  <c r="U146" i="7"/>
  <c r="Q146" i="7"/>
  <c r="M146" i="7"/>
  <c r="S146" i="7"/>
  <c r="O146" i="7"/>
  <c r="U150" i="7"/>
  <c r="Q150" i="7"/>
  <c r="M150" i="7"/>
  <c r="S150" i="7"/>
  <c r="O150" i="7"/>
  <c r="U154" i="7"/>
  <c r="Q154" i="7"/>
  <c r="M154" i="7"/>
  <c r="S154" i="7"/>
  <c r="O154" i="7"/>
  <c r="U158" i="7"/>
  <c r="Q158" i="7"/>
  <c r="M158" i="7"/>
  <c r="S158" i="7"/>
  <c r="O158" i="7"/>
  <c r="U162" i="7"/>
  <c r="Q162" i="7"/>
  <c r="M162" i="7"/>
  <c r="S162" i="7"/>
  <c r="O162" i="7"/>
  <c r="U166" i="7"/>
  <c r="Q166" i="7"/>
  <c r="M166" i="7"/>
  <c r="S166" i="7"/>
  <c r="O166" i="7"/>
  <c r="U170" i="7"/>
  <c r="Q170" i="7"/>
  <c r="M170" i="7"/>
  <c r="S170" i="7"/>
  <c r="O170" i="7"/>
  <c r="U174" i="7"/>
  <c r="Q174" i="7"/>
  <c r="M174" i="7"/>
  <c r="S174" i="7"/>
  <c r="O174" i="7"/>
  <c r="U178" i="7"/>
  <c r="Q178" i="7"/>
  <c r="M178" i="7"/>
  <c r="S178" i="7"/>
  <c r="O178" i="7"/>
  <c r="U182" i="7"/>
  <c r="Q182" i="7"/>
  <c r="M182" i="7"/>
  <c r="S182" i="7"/>
  <c r="O182" i="7"/>
  <c r="U186" i="7"/>
  <c r="Q186" i="7"/>
  <c r="M186" i="7"/>
  <c r="S186" i="7"/>
  <c r="O186" i="7"/>
  <c r="U190" i="7"/>
  <c r="Q190" i="7"/>
  <c r="M190" i="7"/>
  <c r="S190" i="7"/>
  <c r="O190" i="7"/>
  <c r="U194" i="7"/>
  <c r="Q194" i="7"/>
  <c r="M194" i="7"/>
  <c r="S194" i="7"/>
  <c r="O194" i="7"/>
  <c r="U198" i="7"/>
  <c r="Q198" i="7"/>
  <c r="M198" i="7"/>
  <c r="S198" i="7"/>
  <c r="O198" i="7"/>
  <c r="U202" i="7"/>
  <c r="Q202" i="7"/>
  <c r="M202" i="7"/>
  <c r="S202" i="7"/>
  <c r="O202" i="7"/>
  <c r="U206" i="7"/>
  <c r="Q206" i="7"/>
  <c r="M206" i="7"/>
  <c r="S206" i="7"/>
  <c r="O206" i="7"/>
  <c r="U210" i="7"/>
  <c r="Q210" i="7"/>
  <c r="M210" i="7"/>
  <c r="S210" i="7"/>
  <c r="O210" i="7"/>
  <c r="U214" i="7"/>
  <c r="Q214" i="7"/>
  <c r="M214" i="7"/>
  <c r="S214" i="7"/>
  <c r="O214" i="7"/>
  <c r="U218" i="7"/>
  <c r="Q218" i="7"/>
  <c r="M218" i="7"/>
  <c r="S218" i="7"/>
  <c r="O218" i="7"/>
  <c r="S5" i="7"/>
  <c r="U5" i="7"/>
  <c r="Q5" i="7"/>
  <c r="M5" i="7"/>
  <c r="O5" i="7"/>
  <c r="Q3" i="7"/>
  <c r="S3" i="7"/>
  <c r="O3" i="7"/>
  <c r="U3" i="7"/>
  <c r="M3" i="7"/>
  <c r="M7" i="7"/>
  <c r="S7" i="7"/>
  <c r="O7" i="7"/>
  <c r="U7" i="7"/>
  <c r="Q7" i="7"/>
  <c r="Q11" i="7"/>
  <c r="S11" i="7"/>
  <c r="O11" i="7"/>
  <c r="M11" i="7"/>
  <c r="U11" i="7"/>
  <c r="S15" i="7"/>
  <c r="O15" i="7"/>
  <c r="Q15" i="7"/>
  <c r="U15" i="7"/>
  <c r="M15" i="7"/>
  <c r="Q19" i="7"/>
  <c r="S19" i="7"/>
  <c r="O19" i="7"/>
  <c r="U19" i="7"/>
  <c r="M19" i="7"/>
  <c r="U23" i="7"/>
  <c r="Q23" i="7"/>
  <c r="M23" i="7"/>
  <c r="S23" i="7"/>
  <c r="O23" i="7"/>
  <c r="U27" i="7"/>
  <c r="Q27" i="7"/>
  <c r="M27" i="7"/>
  <c r="S27" i="7"/>
  <c r="O27" i="7"/>
  <c r="U31" i="7"/>
  <c r="Q31" i="7"/>
  <c r="M31" i="7"/>
  <c r="S31" i="7"/>
  <c r="O31" i="7"/>
  <c r="U35" i="7"/>
  <c r="Q35" i="7"/>
  <c r="M35" i="7"/>
  <c r="S35" i="7"/>
  <c r="O35" i="7"/>
  <c r="U39" i="7"/>
  <c r="Q39" i="7"/>
  <c r="M39" i="7"/>
  <c r="S39" i="7"/>
  <c r="O39" i="7"/>
  <c r="U43" i="7"/>
  <c r="Q43" i="7"/>
  <c r="M43" i="7"/>
  <c r="S43" i="7"/>
  <c r="O43" i="7"/>
  <c r="U47" i="7"/>
  <c r="Q47" i="7"/>
  <c r="M47" i="7"/>
  <c r="S47" i="7"/>
  <c r="O47" i="7"/>
  <c r="U51" i="7"/>
  <c r="Q51" i="7"/>
  <c r="M51" i="7"/>
  <c r="S51" i="7"/>
  <c r="O51" i="7"/>
  <c r="U55" i="7"/>
  <c r="Q55" i="7"/>
  <c r="M55" i="7"/>
  <c r="S55" i="7"/>
  <c r="O55" i="7"/>
  <c r="U59" i="7"/>
  <c r="Q59" i="7"/>
  <c r="M59" i="7"/>
  <c r="S59" i="7"/>
  <c r="O59" i="7"/>
  <c r="U63" i="7"/>
  <c r="Q63" i="7"/>
  <c r="M63" i="7"/>
  <c r="S63" i="7"/>
  <c r="O63" i="7"/>
  <c r="U67" i="7"/>
  <c r="Q67" i="7"/>
  <c r="M67" i="7"/>
  <c r="S67" i="7"/>
  <c r="O67" i="7"/>
  <c r="U71" i="7"/>
  <c r="Q71" i="7"/>
  <c r="M71" i="7"/>
  <c r="S71" i="7"/>
  <c r="O71" i="7"/>
  <c r="U75" i="7"/>
  <c r="Q75" i="7"/>
  <c r="M75" i="7"/>
  <c r="S75" i="7"/>
  <c r="O75" i="7"/>
  <c r="U79" i="7"/>
  <c r="Q79" i="7"/>
  <c r="M79" i="7"/>
  <c r="S79" i="7"/>
  <c r="O79" i="7"/>
  <c r="U83" i="7"/>
  <c r="Q83" i="7"/>
  <c r="M83" i="7"/>
  <c r="S83" i="7"/>
  <c r="O83" i="7"/>
  <c r="U87" i="7"/>
  <c r="Q87" i="7"/>
  <c r="M87" i="7"/>
  <c r="S87" i="7"/>
  <c r="O87" i="7"/>
  <c r="U91" i="7"/>
  <c r="Q91" i="7"/>
  <c r="M91" i="7"/>
  <c r="S91" i="7"/>
  <c r="O91" i="7"/>
  <c r="U95" i="7"/>
  <c r="Q95" i="7"/>
  <c r="M95" i="7"/>
  <c r="S95" i="7"/>
  <c r="O95" i="7"/>
  <c r="U99" i="7"/>
  <c r="Q99" i="7"/>
  <c r="M99" i="7"/>
  <c r="S99" i="7"/>
  <c r="O99" i="7"/>
  <c r="U103" i="7"/>
  <c r="Q103" i="7"/>
  <c r="M103" i="7"/>
  <c r="S103" i="7"/>
  <c r="O103" i="7"/>
  <c r="U107" i="7"/>
  <c r="Q107" i="7"/>
  <c r="M107" i="7"/>
  <c r="S107" i="7"/>
  <c r="O107" i="7"/>
  <c r="U111" i="7"/>
  <c r="Q111" i="7"/>
  <c r="M111" i="7"/>
  <c r="S111" i="7"/>
  <c r="O111" i="7"/>
  <c r="U115" i="7"/>
  <c r="Q115" i="7"/>
  <c r="M115" i="7"/>
  <c r="S115" i="7"/>
  <c r="O115" i="7"/>
  <c r="U119" i="7"/>
  <c r="Q119" i="7"/>
  <c r="M119" i="7"/>
  <c r="S119" i="7"/>
  <c r="O119" i="7"/>
  <c r="U123" i="7"/>
  <c r="Q123" i="7"/>
  <c r="M123" i="7"/>
  <c r="S123" i="7"/>
  <c r="O123" i="7"/>
  <c r="U127" i="7"/>
  <c r="Q127" i="7"/>
  <c r="M127" i="7"/>
  <c r="S127" i="7"/>
  <c r="O127" i="7"/>
  <c r="U131" i="7"/>
  <c r="Q131" i="7"/>
  <c r="M131" i="7"/>
  <c r="S131" i="7"/>
  <c r="O131" i="7"/>
  <c r="U135" i="7"/>
  <c r="Q135" i="7"/>
  <c r="M135" i="7"/>
  <c r="S135" i="7"/>
  <c r="O135" i="7"/>
  <c r="U139" i="7"/>
  <c r="Q139" i="7"/>
  <c r="M139" i="7"/>
  <c r="S139" i="7"/>
  <c r="O139" i="7"/>
  <c r="U143" i="7"/>
  <c r="Q143" i="7"/>
  <c r="M143" i="7"/>
  <c r="S143" i="7"/>
  <c r="O143" i="7"/>
  <c r="U147" i="7"/>
  <c r="Q147" i="7"/>
  <c r="M147" i="7"/>
  <c r="S147" i="7"/>
  <c r="O147" i="7"/>
  <c r="U151" i="7"/>
  <c r="Q151" i="7"/>
  <c r="M151" i="7"/>
  <c r="S151" i="7"/>
  <c r="O151" i="7"/>
  <c r="U155" i="7"/>
  <c r="Q155" i="7"/>
  <c r="M155" i="7"/>
  <c r="S155" i="7"/>
  <c r="O155" i="7"/>
  <c r="U159" i="7"/>
  <c r="Q159" i="7"/>
  <c r="M159" i="7"/>
  <c r="S159" i="7"/>
  <c r="O159" i="7"/>
  <c r="U163" i="7"/>
  <c r="Q163" i="7"/>
  <c r="M163" i="7"/>
  <c r="S163" i="7"/>
  <c r="O163" i="7"/>
  <c r="U167" i="7"/>
  <c r="Q167" i="7"/>
  <c r="M167" i="7"/>
  <c r="S167" i="7"/>
  <c r="O167" i="7"/>
  <c r="U171" i="7"/>
  <c r="Q171" i="7"/>
  <c r="M171" i="7"/>
  <c r="S171" i="7"/>
  <c r="O171" i="7"/>
  <c r="U175" i="7"/>
  <c r="Q175" i="7"/>
  <c r="M175" i="7"/>
  <c r="S175" i="7"/>
  <c r="O175" i="7"/>
  <c r="U179" i="7"/>
  <c r="Q179" i="7"/>
  <c r="M179" i="7"/>
  <c r="S179" i="7"/>
  <c r="O179" i="7"/>
  <c r="U183" i="7"/>
  <c r="Q183" i="7"/>
  <c r="M183" i="7"/>
  <c r="S183" i="7"/>
  <c r="O183" i="7"/>
  <c r="U187" i="7"/>
  <c r="Q187" i="7"/>
  <c r="M187" i="7"/>
  <c r="S187" i="7"/>
  <c r="O187" i="7"/>
  <c r="U191" i="7"/>
  <c r="Q191" i="7"/>
  <c r="M191" i="7"/>
  <c r="S191" i="7"/>
  <c r="O191" i="7"/>
  <c r="U195" i="7"/>
  <c r="Q195" i="7"/>
  <c r="M195" i="7"/>
  <c r="S195" i="7"/>
  <c r="O195" i="7"/>
  <c r="U199" i="7"/>
  <c r="Q199" i="7"/>
  <c r="M199" i="7"/>
  <c r="S199" i="7"/>
  <c r="O199" i="7"/>
  <c r="U203" i="7"/>
  <c r="Q203" i="7"/>
  <c r="M203" i="7"/>
  <c r="S203" i="7"/>
  <c r="O203" i="7"/>
  <c r="U207" i="7"/>
  <c r="Q207" i="7"/>
  <c r="M207" i="7"/>
  <c r="S207" i="7"/>
  <c r="O207" i="7"/>
  <c r="U211" i="7"/>
  <c r="Q211" i="7"/>
  <c r="M211" i="7"/>
  <c r="S211" i="7"/>
  <c r="O211" i="7"/>
  <c r="U215" i="7"/>
  <c r="Q215" i="7"/>
  <c r="M215" i="7"/>
  <c r="S215" i="7"/>
  <c r="O215" i="7"/>
  <c r="S8" i="7"/>
  <c r="O8" i="7"/>
  <c r="U8" i="7"/>
  <c r="Q8" i="7"/>
  <c r="M8" i="7"/>
  <c r="S12" i="7"/>
  <c r="O12" i="7"/>
  <c r="U12" i="7"/>
  <c r="Q12" i="7"/>
  <c r="M12" i="7"/>
  <c r="S16" i="7"/>
  <c r="O16" i="7"/>
  <c r="U16" i="7"/>
  <c r="Q16" i="7"/>
  <c r="M16" i="7"/>
  <c r="S20" i="7"/>
  <c r="O20" i="7"/>
  <c r="U20" i="7"/>
  <c r="Q20" i="7"/>
  <c r="M20" i="7"/>
  <c r="S24" i="7"/>
  <c r="O24" i="7"/>
  <c r="U24" i="7"/>
  <c r="Q24" i="7"/>
  <c r="M24" i="7"/>
  <c r="S28" i="7"/>
  <c r="O28" i="7"/>
  <c r="U28" i="7"/>
  <c r="Q28" i="7"/>
  <c r="M28" i="7"/>
  <c r="S32" i="7"/>
  <c r="O32" i="7"/>
  <c r="U32" i="7"/>
  <c r="Q32" i="7"/>
  <c r="M32" i="7"/>
  <c r="S36" i="7"/>
  <c r="O36" i="7"/>
  <c r="U36" i="7"/>
  <c r="Q36" i="7"/>
  <c r="M36" i="7"/>
  <c r="S40" i="7"/>
  <c r="O40" i="7"/>
  <c r="U40" i="7"/>
  <c r="Q40" i="7"/>
  <c r="M40" i="7"/>
  <c r="S44" i="7"/>
  <c r="O44" i="7"/>
  <c r="U44" i="7"/>
  <c r="Q44" i="7"/>
  <c r="M44" i="7"/>
  <c r="S48" i="7"/>
  <c r="O48" i="7"/>
  <c r="U48" i="7"/>
  <c r="Q48" i="7"/>
  <c r="M48" i="7"/>
  <c r="S52" i="7"/>
  <c r="O52" i="7"/>
  <c r="U52" i="7"/>
  <c r="Q52" i="7"/>
  <c r="M52" i="7"/>
  <c r="S56" i="7"/>
  <c r="O56" i="7"/>
  <c r="U56" i="7"/>
  <c r="Q56" i="7"/>
  <c r="M56" i="7"/>
  <c r="S60" i="7"/>
  <c r="O60" i="7"/>
  <c r="U60" i="7"/>
  <c r="Q60" i="7"/>
  <c r="M60" i="7"/>
  <c r="S64" i="7"/>
  <c r="O64" i="7"/>
  <c r="U64" i="7"/>
  <c r="Q64" i="7"/>
  <c r="M64" i="7"/>
  <c r="S68" i="7"/>
  <c r="O68" i="7"/>
  <c r="U68" i="7"/>
  <c r="Q68" i="7"/>
  <c r="M68" i="7"/>
  <c r="S72" i="7"/>
  <c r="O72" i="7"/>
  <c r="U72" i="7"/>
  <c r="Q72" i="7"/>
  <c r="M72" i="7"/>
  <c r="S76" i="7"/>
  <c r="O76" i="7"/>
  <c r="U76" i="7"/>
  <c r="Q76" i="7"/>
  <c r="M76" i="7"/>
  <c r="S80" i="7"/>
  <c r="O80" i="7"/>
  <c r="U80" i="7"/>
  <c r="Q80" i="7"/>
  <c r="M80" i="7"/>
  <c r="S84" i="7"/>
  <c r="O84" i="7"/>
  <c r="U84" i="7"/>
  <c r="Q84" i="7"/>
  <c r="M84" i="7"/>
  <c r="S88" i="7"/>
  <c r="O88" i="7"/>
  <c r="U88" i="7"/>
  <c r="Q88" i="7"/>
  <c r="M88" i="7"/>
  <c r="S92" i="7"/>
  <c r="O92" i="7"/>
  <c r="U92" i="7"/>
  <c r="Q92" i="7"/>
  <c r="M92" i="7"/>
  <c r="S96" i="7"/>
  <c r="O96" i="7"/>
  <c r="U96" i="7"/>
  <c r="Q96" i="7"/>
  <c r="M96" i="7"/>
  <c r="S100" i="7"/>
  <c r="O100" i="7"/>
  <c r="U100" i="7"/>
  <c r="Q100" i="7"/>
  <c r="M100" i="7"/>
  <c r="S104" i="7"/>
  <c r="O104" i="7"/>
  <c r="U104" i="7"/>
  <c r="Q104" i="7"/>
  <c r="M104" i="7"/>
  <c r="S108" i="7"/>
  <c r="O108" i="7"/>
  <c r="U108" i="7"/>
  <c r="Q108" i="7"/>
  <c r="M108" i="7"/>
  <c r="S112" i="7"/>
  <c r="O112" i="7"/>
  <c r="U112" i="7"/>
  <c r="Q112" i="7"/>
  <c r="M112" i="7"/>
  <c r="S116" i="7"/>
  <c r="O116" i="7"/>
  <c r="U116" i="7"/>
  <c r="Q116" i="7"/>
  <c r="M116" i="7"/>
  <c r="S120" i="7"/>
  <c r="O120" i="7"/>
  <c r="U120" i="7"/>
  <c r="Q120" i="7"/>
  <c r="M120" i="7"/>
  <c r="S124" i="7"/>
  <c r="O124" i="7"/>
  <c r="U124" i="7"/>
  <c r="Q124" i="7"/>
  <c r="M124" i="7"/>
  <c r="S128" i="7"/>
  <c r="O128" i="7"/>
  <c r="U128" i="7"/>
  <c r="Q128" i="7"/>
  <c r="M128" i="7"/>
  <c r="S132" i="7"/>
  <c r="O132" i="7"/>
  <c r="U132" i="7"/>
  <c r="Q132" i="7"/>
  <c r="M132" i="7"/>
  <c r="S136" i="7"/>
  <c r="O136" i="7"/>
  <c r="U136" i="7"/>
  <c r="Q136" i="7"/>
  <c r="M136" i="7"/>
  <c r="S140" i="7"/>
  <c r="O140" i="7"/>
  <c r="U140" i="7"/>
  <c r="Q140" i="7"/>
  <c r="M140" i="7"/>
  <c r="S144" i="7"/>
  <c r="O144" i="7"/>
  <c r="U144" i="7"/>
  <c r="Q144" i="7"/>
  <c r="M144" i="7"/>
  <c r="S148" i="7"/>
  <c r="O148" i="7"/>
  <c r="U148" i="7"/>
  <c r="Q148" i="7"/>
  <c r="M148" i="7"/>
  <c r="S152" i="7"/>
  <c r="O152" i="7"/>
  <c r="U152" i="7"/>
  <c r="Q152" i="7"/>
  <c r="M152" i="7"/>
  <c r="S156" i="7"/>
  <c r="O156" i="7"/>
  <c r="U156" i="7"/>
  <c r="Q156" i="7"/>
  <c r="M156" i="7"/>
  <c r="S160" i="7"/>
  <c r="O160" i="7"/>
  <c r="U160" i="7"/>
  <c r="Q160" i="7"/>
  <c r="M160" i="7"/>
  <c r="S164" i="7"/>
  <c r="O164" i="7"/>
  <c r="U164" i="7"/>
  <c r="Q164" i="7"/>
  <c r="M164" i="7"/>
  <c r="S168" i="7"/>
  <c r="O168" i="7"/>
  <c r="U168" i="7"/>
  <c r="Q168" i="7"/>
  <c r="M168" i="7"/>
  <c r="S172" i="7"/>
  <c r="O172" i="7"/>
  <c r="U172" i="7"/>
  <c r="Q172" i="7"/>
  <c r="M172" i="7"/>
  <c r="S176" i="7"/>
  <c r="O176" i="7"/>
  <c r="U176" i="7"/>
  <c r="Q176" i="7"/>
  <c r="M176" i="7"/>
  <c r="S180" i="7"/>
  <c r="O180" i="7"/>
  <c r="U180" i="7"/>
  <c r="Q180" i="7"/>
  <c r="M180" i="7"/>
  <c r="S184" i="7"/>
  <c r="O184" i="7"/>
  <c r="U184" i="7"/>
  <c r="Q184" i="7"/>
  <c r="M184" i="7"/>
  <c r="S188" i="7"/>
  <c r="O188" i="7"/>
  <c r="U188" i="7"/>
  <c r="Q188" i="7"/>
  <c r="M188" i="7"/>
  <c r="S192" i="7"/>
  <c r="O192" i="7"/>
  <c r="U192" i="7"/>
  <c r="Q192" i="7"/>
  <c r="M192" i="7"/>
  <c r="S196" i="7"/>
  <c r="O196" i="7"/>
  <c r="U196" i="7"/>
  <c r="Q196" i="7"/>
  <c r="M196" i="7"/>
  <c r="S200" i="7"/>
  <c r="O200" i="7"/>
  <c r="U200" i="7"/>
  <c r="Q200" i="7"/>
  <c r="M200" i="7"/>
  <c r="S204" i="7"/>
  <c r="O204" i="7"/>
  <c r="U204" i="7"/>
  <c r="Q204" i="7"/>
  <c r="M204" i="7"/>
  <c r="S208" i="7"/>
  <c r="O208" i="7"/>
  <c r="U208" i="7"/>
  <c r="Q208" i="7"/>
  <c r="M208" i="7"/>
  <c r="S212" i="7"/>
  <c r="O212" i="7"/>
  <c r="U212" i="7"/>
  <c r="Q212" i="7"/>
  <c r="M212" i="7"/>
  <c r="S216" i="7"/>
  <c r="O216" i="7"/>
  <c r="U216" i="7"/>
  <c r="Q216" i="7"/>
  <c r="M216" i="7"/>
  <c r="S4" i="7"/>
  <c r="U4" i="7"/>
  <c r="Q4" i="7"/>
  <c r="M4" i="7"/>
  <c r="O4" i="7"/>
  <c r="S13" i="7"/>
  <c r="U13" i="7"/>
  <c r="Q13" i="7"/>
  <c r="M13" i="7"/>
  <c r="O13" i="7"/>
  <c r="S21" i="7"/>
  <c r="U21" i="7"/>
  <c r="Q21" i="7"/>
  <c r="M21" i="7"/>
  <c r="O21" i="7"/>
  <c r="S25" i="7"/>
  <c r="O25" i="7"/>
  <c r="U25" i="7"/>
  <c r="Q25" i="7"/>
  <c r="M25" i="7"/>
  <c r="S29" i="7"/>
  <c r="O29" i="7"/>
  <c r="U29" i="7"/>
  <c r="Q29" i="7"/>
  <c r="M29" i="7"/>
  <c r="S33" i="7"/>
  <c r="O33" i="7"/>
  <c r="U33" i="7"/>
  <c r="Q33" i="7"/>
  <c r="M33" i="7"/>
  <c r="S37" i="7"/>
  <c r="O37" i="7"/>
  <c r="U37" i="7"/>
  <c r="Q37" i="7"/>
  <c r="M37" i="7"/>
  <c r="S41" i="7"/>
  <c r="O41" i="7"/>
  <c r="U41" i="7"/>
  <c r="Q41" i="7"/>
  <c r="M41" i="7"/>
  <c r="S45" i="7"/>
  <c r="O45" i="7"/>
  <c r="U45" i="7"/>
  <c r="Q45" i="7"/>
  <c r="M45" i="7"/>
  <c r="S49" i="7"/>
  <c r="O49" i="7"/>
  <c r="U49" i="7"/>
  <c r="Q49" i="7"/>
  <c r="M49" i="7"/>
  <c r="S53" i="7"/>
  <c r="O53" i="7"/>
  <c r="U53" i="7"/>
  <c r="Q53" i="7"/>
  <c r="M53" i="7"/>
  <c r="S57" i="7"/>
  <c r="O57" i="7"/>
  <c r="U57" i="7"/>
  <c r="Q57" i="7"/>
  <c r="M57" i="7"/>
  <c r="S61" i="7"/>
  <c r="O61" i="7"/>
  <c r="U61" i="7"/>
  <c r="Q61" i="7"/>
  <c r="M61" i="7"/>
  <c r="S65" i="7"/>
  <c r="O65" i="7"/>
  <c r="U65" i="7"/>
  <c r="Q65" i="7"/>
  <c r="M65" i="7"/>
  <c r="S69" i="7"/>
  <c r="O69" i="7"/>
  <c r="U69" i="7"/>
  <c r="Q69" i="7"/>
  <c r="M69" i="7"/>
  <c r="S73" i="7"/>
  <c r="O73" i="7"/>
  <c r="U73" i="7"/>
  <c r="Q73" i="7"/>
  <c r="M73" i="7"/>
  <c r="S77" i="7"/>
  <c r="O77" i="7"/>
  <c r="U77" i="7"/>
  <c r="Q77" i="7"/>
  <c r="M77" i="7"/>
  <c r="S81" i="7"/>
  <c r="O81" i="7"/>
  <c r="U81" i="7"/>
  <c r="Q81" i="7"/>
  <c r="M81" i="7"/>
  <c r="S85" i="7"/>
  <c r="O85" i="7"/>
  <c r="U85" i="7"/>
  <c r="Q85" i="7"/>
  <c r="M85" i="7"/>
  <c r="S89" i="7"/>
  <c r="O89" i="7"/>
  <c r="U89" i="7"/>
  <c r="Q89" i="7"/>
  <c r="M89" i="7"/>
  <c r="S93" i="7"/>
  <c r="O93" i="7"/>
  <c r="U93" i="7"/>
  <c r="Q93" i="7"/>
  <c r="M93" i="7"/>
  <c r="S97" i="7"/>
  <c r="O97" i="7"/>
  <c r="U97" i="7"/>
  <c r="Q97" i="7"/>
  <c r="M97" i="7"/>
  <c r="S101" i="7"/>
  <c r="O101" i="7"/>
  <c r="U101" i="7"/>
  <c r="Q101" i="7"/>
  <c r="M101" i="7"/>
  <c r="S105" i="7"/>
  <c r="O105" i="7"/>
  <c r="U105" i="7"/>
  <c r="Q105" i="7"/>
  <c r="M105" i="7"/>
  <c r="S109" i="7"/>
  <c r="O109" i="7"/>
  <c r="U109" i="7"/>
  <c r="Q109" i="7"/>
  <c r="M109" i="7"/>
  <c r="S113" i="7"/>
  <c r="O113" i="7"/>
  <c r="U113" i="7"/>
  <c r="Q113" i="7"/>
  <c r="M113" i="7"/>
  <c r="S117" i="7"/>
  <c r="O117" i="7"/>
  <c r="U117" i="7"/>
  <c r="Q117" i="7"/>
  <c r="M117" i="7"/>
  <c r="S121" i="7"/>
  <c r="O121" i="7"/>
  <c r="U121" i="7"/>
  <c r="Q121" i="7"/>
  <c r="M121" i="7"/>
  <c r="S125" i="7"/>
  <c r="O125" i="7"/>
  <c r="U125" i="7"/>
  <c r="Q125" i="7"/>
  <c r="M125" i="7"/>
  <c r="S129" i="7"/>
  <c r="O129" i="7"/>
  <c r="U129" i="7"/>
  <c r="Q129" i="7"/>
  <c r="M129" i="7"/>
  <c r="S133" i="7"/>
  <c r="O133" i="7"/>
  <c r="U133" i="7"/>
  <c r="Q133" i="7"/>
  <c r="M133" i="7"/>
  <c r="S137" i="7"/>
  <c r="O137" i="7"/>
  <c r="U137" i="7"/>
  <c r="Q137" i="7"/>
  <c r="M137" i="7"/>
  <c r="S141" i="7"/>
  <c r="O141" i="7"/>
  <c r="U141" i="7"/>
  <c r="Q141" i="7"/>
  <c r="M141" i="7"/>
  <c r="S145" i="7"/>
  <c r="O145" i="7"/>
  <c r="U145" i="7"/>
  <c r="Q145" i="7"/>
  <c r="M145" i="7"/>
  <c r="S149" i="7"/>
  <c r="O149" i="7"/>
  <c r="U149" i="7"/>
  <c r="Q149" i="7"/>
  <c r="M149" i="7"/>
  <c r="S153" i="7"/>
  <c r="O153" i="7"/>
  <c r="U153" i="7"/>
  <c r="Q153" i="7"/>
  <c r="M153" i="7"/>
  <c r="S157" i="7"/>
  <c r="O157" i="7"/>
  <c r="U157" i="7"/>
  <c r="Q157" i="7"/>
  <c r="M157" i="7"/>
  <c r="S161" i="7"/>
  <c r="O161" i="7"/>
  <c r="U161" i="7"/>
  <c r="Q161" i="7"/>
  <c r="M161" i="7"/>
  <c r="S165" i="7"/>
  <c r="O165" i="7"/>
  <c r="U165" i="7"/>
  <c r="Q165" i="7"/>
  <c r="M165" i="7"/>
  <c r="S169" i="7"/>
  <c r="O169" i="7"/>
  <c r="U169" i="7"/>
  <c r="Q169" i="7"/>
  <c r="M169" i="7"/>
  <c r="S173" i="7"/>
  <c r="O173" i="7"/>
  <c r="U173" i="7"/>
  <c r="Q173" i="7"/>
  <c r="M173" i="7"/>
  <c r="S177" i="7"/>
  <c r="O177" i="7"/>
  <c r="U177" i="7"/>
  <c r="Q177" i="7"/>
  <c r="M177" i="7"/>
  <c r="S181" i="7"/>
  <c r="O181" i="7"/>
  <c r="U181" i="7"/>
  <c r="Q181" i="7"/>
  <c r="M181" i="7"/>
  <c r="S185" i="7"/>
  <c r="O185" i="7"/>
  <c r="U185" i="7"/>
  <c r="Q185" i="7"/>
  <c r="M185" i="7"/>
  <c r="S189" i="7"/>
  <c r="O189" i="7"/>
  <c r="U189" i="7"/>
  <c r="Q189" i="7"/>
  <c r="M189" i="7"/>
  <c r="S193" i="7"/>
  <c r="O193" i="7"/>
  <c r="U193" i="7"/>
  <c r="Q193" i="7"/>
  <c r="M193" i="7"/>
  <c r="S197" i="7"/>
  <c r="O197" i="7"/>
  <c r="U197" i="7"/>
  <c r="Q197" i="7"/>
  <c r="M197" i="7"/>
  <c r="S201" i="7"/>
  <c r="O201" i="7"/>
  <c r="U201" i="7"/>
  <c r="Q201" i="7"/>
  <c r="M201" i="7"/>
  <c r="S205" i="7"/>
  <c r="O205" i="7"/>
  <c r="U205" i="7"/>
  <c r="Q205" i="7"/>
  <c r="M205" i="7"/>
  <c r="S209" i="7"/>
  <c r="O209" i="7"/>
  <c r="U209" i="7"/>
  <c r="Q209" i="7"/>
  <c r="M209" i="7"/>
  <c r="S213" i="7"/>
  <c r="O213" i="7"/>
  <c r="U213" i="7"/>
  <c r="Q213" i="7"/>
  <c r="M213" i="7"/>
  <c r="S217" i="7"/>
  <c r="O217" i="7"/>
  <c r="U217" i="7"/>
  <c r="Q217" i="7"/>
  <c r="M217" i="7"/>
  <c r="U221" i="7"/>
  <c r="Q221" i="7"/>
  <c r="M221" i="7"/>
  <c r="S221" i="7"/>
  <c r="O221" i="7"/>
  <c r="U225" i="7"/>
  <c r="Q225" i="7"/>
  <c r="M225" i="7"/>
  <c r="S225" i="7"/>
  <c r="O225" i="7"/>
  <c r="U229" i="7"/>
  <c r="Q229" i="7"/>
  <c r="M229" i="7"/>
  <c r="S229" i="7"/>
  <c r="O229" i="7"/>
  <c r="U233" i="7"/>
  <c r="Q233" i="7"/>
  <c r="M233" i="7"/>
  <c r="S233" i="7"/>
  <c r="O233" i="7"/>
  <c r="U237" i="7"/>
  <c r="Q237" i="7"/>
  <c r="M237" i="7"/>
  <c r="S237" i="7"/>
  <c r="O237" i="7"/>
  <c r="U241" i="7"/>
  <c r="Q241" i="7"/>
  <c r="M241" i="7"/>
  <c r="S241" i="7"/>
  <c r="O241" i="7"/>
  <c r="U245" i="7"/>
  <c r="Q245" i="7"/>
  <c r="M245" i="7"/>
  <c r="S245" i="7"/>
  <c r="O245" i="7"/>
  <c r="U249" i="7"/>
  <c r="Q249" i="7"/>
  <c r="M249" i="7"/>
  <c r="S249" i="7"/>
  <c r="O249" i="7"/>
  <c r="U253" i="7"/>
  <c r="Q253" i="7"/>
  <c r="M253" i="7"/>
  <c r="S253" i="7"/>
  <c r="O253" i="7"/>
  <c r="U257" i="7"/>
  <c r="Q257" i="7"/>
  <c r="M257" i="7"/>
  <c r="S257" i="7"/>
  <c r="O257" i="7"/>
  <c r="U261" i="7"/>
  <c r="Q261" i="7"/>
  <c r="M261" i="7"/>
  <c r="S261" i="7"/>
  <c r="O261" i="7"/>
  <c r="U265" i="7"/>
  <c r="Q265" i="7"/>
  <c r="M265" i="7"/>
  <c r="S265" i="7"/>
  <c r="O265" i="7"/>
  <c r="U269" i="7"/>
  <c r="Q269" i="7"/>
  <c r="M269" i="7"/>
  <c r="S269" i="7"/>
  <c r="O269" i="7"/>
  <c r="U273" i="7"/>
  <c r="Q273" i="7"/>
  <c r="M273" i="7"/>
  <c r="S273" i="7"/>
  <c r="O273" i="7"/>
  <c r="U277" i="7"/>
  <c r="Q277" i="7"/>
  <c r="M277" i="7"/>
  <c r="S277" i="7"/>
  <c r="O277" i="7"/>
  <c r="U281" i="7"/>
  <c r="Q281" i="7"/>
  <c r="M281" i="7"/>
  <c r="S281" i="7"/>
  <c r="O281" i="7"/>
  <c r="U285" i="7"/>
  <c r="Q285" i="7"/>
  <c r="M285" i="7"/>
  <c r="S285" i="7"/>
  <c r="O285" i="7"/>
  <c r="U289" i="7"/>
  <c r="Q289" i="7"/>
  <c r="M289" i="7"/>
  <c r="S289" i="7"/>
  <c r="O289" i="7"/>
  <c r="U293" i="7"/>
  <c r="Q293" i="7"/>
  <c r="M293" i="7"/>
  <c r="S293" i="7"/>
  <c r="O293" i="7"/>
  <c r="U297" i="7"/>
  <c r="Q297" i="7"/>
  <c r="M297" i="7"/>
  <c r="S297" i="7"/>
  <c r="O297" i="7"/>
  <c r="U301" i="7"/>
  <c r="Q301" i="7"/>
  <c r="M301" i="7"/>
  <c r="S301" i="7"/>
  <c r="O301" i="7"/>
  <c r="U305" i="7"/>
  <c r="Q305" i="7"/>
  <c r="M305" i="7"/>
  <c r="S305" i="7"/>
  <c r="O305" i="7"/>
  <c r="U309" i="7"/>
  <c r="Q309" i="7"/>
  <c r="M309" i="7"/>
  <c r="S309" i="7"/>
  <c r="O309" i="7"/>
  <c r="U313" i="7"/>
  <c r="Q313" i="7"/>
  <c r="M313" i="7"/>
  <c r="S313" i="7"/>
  <c r="O313" i="7"/>
  <c r="U317" i="7"/>
  <c r="Q317" i="7"/>
  <c r="M317" i="7"/>
  <c r="S317" i="7"/>
  <c r="O317" i="7"/>
  <c r="U321" i="7"/>
  <c r="Q321" i="7"/>
  <c r="M321" i="7"/>
  <c r="S321" i="7"/>
  <c r="O321" i="7"/>
  <c r="U325" i="7"/>
  <c r="Q325" i="7"/>
  <c r="M325" i="7"/>
  <c r="S325" i="7"/>
  <c r="O325" i="7"/>
  <c r="U329" i="7"/>
  <c r="Q329" i="7"/>
  <c r="M329" i="7"/>
  <c r="S329" i="7"/>
  <c r="O329" i="7"/>
  <c r="U333" i="7"/>
  <c r="Q333" i="7"/>
  <c r="M333" i="7"/>
  <c r="S333" i="7"/>
  <c r="O333" i="7"/>
  <c r="U337" i="7"/>
  <c r="Q337" i="7"/>
  <c r="M337" i="7"/>
  <c r="S337" i="7"/>
  <c r="O337" i="7"/>
  <c r="U341" i="7"/>
  <c r="Q341" i="7"/>
  <c r="M341" i="7"/>
  <c r="S341" i="7"/>
  <c r="O341" i="7"/>
  <c r="U345" i="7"/>
  <c r="Q345" i="7"/>
  <c r="M345" i="7"/>
  <c r="S345" i="7"/>
  <c r="O345" i="7"/>
  <c r="U349" i="7"/>
  <c r="Q349" i="7"/>
  <c r="M349" i="7"/>
  <c r="S349" i="7"/>
  <c r="O349" i="7"/>
  <c r="U353" i="7"/>
  <c r="Q353" i="7"/>
  <c r="M353" i="7"/>
  <c r="S353" i="7"/>
  <c r="O353" i="7"/>
  <c r="U357" i="7"/>
  <c r="Q357" i="7"/>
  <c r="M357" i="7"/>
  <c r="S357" i="7"/>
  <c r="O357" i="7"/>
  <c r="U361" i="7"/>
  <c r="Q361" i="7"/>
  <c r="M361" i="7"/>
  <c r="S361" i="7"/>
  <c r="O361" i="7"/>
  <c r="U365" i="7"/>
  <c r="Q365" i="7"/>
  <c r="M365" i="7"/>
  <c r="S365" i="7"/>
  <c r="O365" i="7"/>
  <c r="U369" i="7"/>
  <c r="Q369" i="7"/>
  <c r="M369" i="7"/>
  <c r="S369" i="7"/>
  <c r="O369" i="7"/>
  <c r="U373" i="7"/>
  <c r="Q373" i="7"/>
  <c r="M373" i="7"/>
  <c r="S373" i="7"/>
  <c r="O373" i="7"/>
  <c r="U377" i="7"/>
  <c r="Q377" i="7"/>
  <c r="M377" i="7"/>
  <c r="S377" i="7"/>
  <c r="O377" i="7"/>
  <c r="U381" i="7"/>
  <c r="Q381" i="7"/>
  <c r="M381" i="7"/>
  <c r="S381" i="7"/>
  <c r="O381" i="7"/>
  <c r="U385" i="7"/>
  <c r="Q385" i="7"/>
  <c r="M385" i="7"/>
  <c r="S385" i="7"/>
  <c r="O385" i="7"/>
  <c r="U389" i="7"/>
  <c r="Q389" i="7"/>
  <c r="M389" i="7"/>
  <c r="S389" i="7"/>
  <c r="O389" i="7"/>
  <c r="U393" i="7"/>
  <c r="Q393" i="7"/>
  <c r="M393" i="7"/>
  <c r="S393" i="7"/>
  <c r="O393" i="7"/>
  <c r="U397" i="7"/>
  <c r="Q397" i="7"/>
  <c r="M397" i="7"/>
  <c r="S397" i="7"/>
  <c r="O397" i="7"/>
  <c r="U401" i="7"/>
  <c r="Q401" i="7"/>
  <c r="M401" i="7"/>
  <c r="S401" i="7"/>
  <c r="O401" i="7"/>
  <c r="U405" i="7"/>
  <c r="Q405" i="7"/>
  <c r="M405" i="7"/>
  <c r="S405" i="7"/>
  <c r="O405" i="7"/>
  <c r="U409" i="7"/>
  <c r="Q409" i="7"/>
  <c r="M409" i="7"/>
  <c r="S409" i="7"/>
  <c r="O409" i="7"/>
  <c r="U413" i="7"/>
  <c r="Q413" i="7"/>
  <c r="M413" i="7"/>
  <c r="S413" i="7"/>
  <c r="O413" i="7"/>
  <c r="U417" i="7"/>
  <c r="Q417" i="7"/>
  <c r="M417" i="7"/>
  <c r="S417" i="7"/>
  <c r="O417" i="7"/>
  <c r="U421" i="7"/>
  <c r="Q421" i="7"/>
  <c r="M421" i="7"/>
  <c r="S421" i="7"/>
  <c r="O421" i="7"/>
  <c r="U425" i="7"/>
  <c r="Q425" i="7"/>
  <c r="M425" i="7"/>
  <c r="S425" i="7"/>
  <c r="O425" i="7"/>
  <c r="U429" i="7"/>
  <c r="Q429" i="7"/>
  <c r="M429" i="7"/>
  <c r="S429" i="7"/>
  <c r="O429" i="7"/>
  <c r="U433" i="7"/>
  <c r="Q433" i="7"/>
  <c r="M433" i="7"/>
  <c r="S433" i="7"/>
  <c r="O433" i="7"/>
  <c r="U437" i="7"/>
  <c r="Q437" i="7"/>
  <c r="M437" i="7"/>
  <c r="S437" i="7"/>
  <c r="O437" i="7"/>
  <c r="U441" i="7"/>
  <c r="Q441" i="7"/>
  <c r="M441" i="7"/>
  <c r="S441" i="7"/>
  <c r="O441" i="7"/>
  <c r="U445" i="7"/>
  <c r="Q445" i="7"/>
  <c r="M445" i="7"/>
  <c r="S445" i="7"/>
  <c r="O445" i="7"/>
  <c r="U449" i="7"/>
  <c r="Q449" i="7"/>
  <c r="M449" i="7"/>
  <c r="S449" i="7"/>
  <c r="O449" i="7"/>
  <c r="U453" i="7"/>
  <c r="Q453" i="7"/>
  <c r="M453" i="7"/>
  <c r="S453" i="7"/>
  <c r="O453" i="7"/>
  <c r="U457" i="7"/>
  <c r="Q457" i="7"/>
  <c r="M457" i="7"/>
  <c r="S457" i="7"/>
  <c r="O457" i="7"/>
  <c r="U461" i="7"/>
  <c r="Q461" i="7"/>
  <c r="M461" i="7"/>
  <c r="S461" i="7"/>
  <c r="O461" i="7"/>
  <c r="U465" i="7"/>
  <c r="Q465" i="7"/>
  <c r="M465" i="7"/>
  <c r="S465" i="7"/>
  <c r="O465" i="7"/>
  <c r="U469" i="7"/>
  <c r="Q469" i="7"/>
  <c r="M469" i="7"/>
  <c r="S469" i="7"/>
  <c r="O469" i="7"/>
  <c r="U473" i="7"/>
  <c r="Q473" i="7"/>
  <c r="M473" i="7"/>
  <c r="S473" i="7"/>
  <c r="O473" i="7"/>
  <c r="U477" i="7"/>
  <c r="Q477" i="7"/>
  <c r="M477" i="7"/>
  <c r="S477" i="7"/>
  <c r="O477" i="7"/>
  <c r="U481" i="7"/>
  <c r="Q481" i="7"/>
  <c r="M481" i="7"/>
  <c r="S481" i="7"/>
  <c r="O481" i="7"/>
  <c r="U485" i="7"/>
  <c r="Q485" i="7"/>
  <c r="M485" i="7"/>
  <c r="S485" i="7"/>
  <c r="O485" i="7"/>
  <c r="U489" i="7"/>
  <c r="Q489" i="7"/>
  <c r="M489" i="7"/>
  <c r="S489" i="7"/>
  <c r="O489" i="7"/>
  <c r="U493" i="7"/>
  <c r="Q493" i="7"/>
  <c r="M493" i="7"/>
  <c r="S493" i="7"/>
  <c r="O493" i="7"/>
  <c r="U497" i="7"/>
  <c r="Q497" i="7"/>
  <c r="M497" i="7"/>
  <c r="S497" i="7"/>
  <c r="O497" i="7"/>
  <c r="U501" i="7"/>
  <c r="Q501" i="7"/>
  <c r="M501" i="7"/>
  <c r="S501" i="7"/>
  <c r="O501" i="7"/>
  <c r="U505" i="7"/>
  <c r="Q505" i="7"/>
  <c r="M505" i="7"/>
  <c r="S505" i="7"/>
  <c r="O505" i="7"/>
  <c r="U509" i="7"/>
  <c r="Q509" i="7"/>
  <c r="M509" i="7"/>
  <c r="S509" i="7"/>
  <c r="O509" i="7"/>
  <c r="U513" i="7"/>
  <c r="Q513" i="7"/>
  <c r="M513" i="7"/>
  <c r="S513" i="7"/>
  <c r="O513" i="7"/>
  <c r="U517" i="7"/>
  <c r="Q517" i="7"/>
  <c r="M517" i="7"/>
  <c r="S517" i="7"/>
  <c r="O517" i="7"/>
  <c r="U521" i="7"/>
  <c r="Q521" i="7"/>
  <c r="M521" i="7"/>
  <c r="S521" i="7"/>
  <c r="O521" i="7"/>
  <c r="U525" i="7"/>
  <c r="Q525" i="7"/>
  <c r="M525" i="7"/>
  <c r="S525" i="7"/>
  <c r="O525" i="7"/>
  <c r="U529" i="7"/>
  <c r="Q529" i="7"/>
  <c r="M529" i="7"/>
  <c r="S529" i="7"/>
  <c r="O529" i="7"/>
  <c r="U533" i="7"/>
  <c r="Q533" i="7"/>
  <c r="M533" i="7"/>
  <c r="S533" i="7"/>
  <c r="O533" i="7"/>
  <c r="U537" i="7"/>
  <c r="Q537" i="7"/>
  <c r="M537" i="7"/>
  <c r="S537" i="7"/>
  <c r="O537" i="7"/>
  <c r="U541" i="7"/>
  <c r="Q541" i="7"/>
  <c r="M541" i="7"/>
  <c r="S541" i="7"/>
  <c r="O541" i="7"/>
  <c r="U545" i="7"/>
  <c r="Q545" i="7"/>
  <c r="M545" i="7"/>
  <c r="S545" i="7"/>
  <c r="O545" i="7"/>
  <c r="U549" i="7"/>
  <c r="Q549" i="7"/>
  <c r="M549" i="7"/>
  <c r="S549" i="7"/>
  <c r="O549" i="7"/>
  <c r="U553" i="7"/>
  <c r="Q553" i="7"/>
  <c r="M553" i="7"/>
  <c r="S553" i="7"/>
  <c r="O553" i="7"/>
  <c r="U557" i="7"/>
  <c r="Q557" i="7"/>
  <c r="M557" i="7"/>
  <c r="S557" i="7"/>
  <c r="O557" i="7"/>
  <c r="U561" i="7"/>
  <c r="Q561" i="7"/>
  <c r="M561" i="7"/>
  <c r="S561" i="7"/>
  <c r="O561" i="7"/>
  <c r="U565" i="7"/>
  <c r="Q565" i="7"/>
  <c r="M565" i="7"/>
  <c r="S565" i="7"/>
  <c r="O565" i="7"/>
  <c r="U222" i="7"/>
  <c r="Q222" i="7"/>
  <c r="M222" i="7"/>
  <c r="S222" i="7"/>
  <c r="O222" i="7"/>
  <c r="U226" i="7"/>
  <c r="Q226" i="7"/>
  <c r="M226" i="7"/>
  <c r="S226" i="7"/>
  <c r="O226" i="7"/>
  <c r="U230" i="7"/>
  <c r="Q230" i="7"/>
  <c r="M230" i="7"/>
  <c r="S230" i="7"/>
  <c r="O230" i="7"/>
  <c r="U234" i="7"/>
  <c r="Q234" i="7"/>
  <c r="M234" i="7"/>
  <c r="S234" i="7"/>
  <c r="O234" i="7"/>
  <c r="U238" i="7"/>
  <c r="Q238" i="7"/>
  <c r="M238" i="7"/>
  <c r="S238" i="7"/>
  <c r="O238" i="7"/>
  <c r="U242" i="7"/>
  <c r="Q242" i="7"/>
  <c r="M242" i="7"/>
  <c r="S242" i="7"/>
  <c r="O242" i="7"/>
  <c r="U246" i="7"/>
  <c r="Q246" i="7"/>
  <c r="M246" i="7"/>
  <c r="S246" i="7"/>
  <c r="O246" i="7"/>
  <c r="U250" i="7"/>
  <c r="Q250" i="7"/>
  <c r="M250" i="7"/>
  <c r="S250" i="7"/>
  <c r="O250" i="7"/>
  <c r="U254" i="7"/>
  <c r="Q254" i="7"/>
  <c r="M254" i="7"/>
  <c r="S254" i="7"/>
  <c r="O254" i="7"/>
  <c r="U258" i="7"/>
  <c r="Q258" i="7"/>
  <c r="M258" i="7"/>
  <c r="S258" i="7"/>
  <c r="O258" i="7"/>
  <c r="U262" i="7"/>
  <c r="Q262" i="7"/>
  <c r="M262" i="7"/>
  <c r="S262" i="7"/>
  <c r="O262" i="7"/>
  <c r="U266" i="7"/>
  <c r="Q266" i="7"/>
  <c r="M266" i="7"/>
  <c r="S266" i="7"/>
  <c r="O266" i="7"/>
  <c r="U270" i="7"/>
  <c r="Q270" i="7"/>
  <c r="M270" i="7"/>
  <c r="S270" i="7"/>
  <c r="O270" i="7"/>
  <c r="U274" i="7"/>
  <c r="Q274" i="7"/>
  <c r="M274" i="7"/>
  <c r="S274" i="7"/>
  <c r="O274" i="7"/>
  <c r="U278" i="7"/>
  <c r="Q278" i="7"/>
  <c r="M278" i="7"/>
  <c r="S278" i="7"/>
  <c r="O278" i="7"/>
  <c r="U282" i="7"/>
  <c r="Q282" i="7"/>
  <c r="M282" i="7"/>
  <c r="S282" i="7"/>
  <c r="O282" i="7"/>
  <c r="U286" i="7"/>
  <c r="Q286" i="7"/>
  <c r="M286" i="7"/>
  <c r="S286" i="7"/>
  <c r="O286" i="7"/>
  <c r="U290" i="7"/>
  <c r="Q290" i="7"/>
  <c r="M290" i="7"/>
  <c r="S290" i="7"/>
  <c r="O290" i="7"/>
  <c r="U294" i="7"/>
  <c r="Q294" i="7"/>
  <c r="M294" i="7"/>
  <c r="S294" i="7"/>
  <c r="O294" i="7"/>
  <c r="U298" i="7"/>
  <c r="Q298" i="7"/>
  <c r="M298" i="7"/>
  <c r="S298" i="7"/>
  <c r="O298" i="7"/>
  <c r="U302" i="7"/>
  <c r="Q302" i="7"/>
  <c r="M302" i="7"/>
  <c r="S302" i="7"/>
  <c r="O302" i="7"/>
  <c r="U306" i="7"/>
  <c r="Q306" i="7"/>
  <c r="M306" i="7"/>
  <c r="S306" i="7"/>
  <c r="O306" i="7"/>
  <c r="U310" i="7"/>
  <c r="Q310" i="7"/>
  <c r="M310" i="7"/>
  <c r="S310" i="7"/>
  <c r="O310" i="7"/>
  <c r="U314" i="7"/>
  <c r="Q314" i="7"/>
  <c r="M314" i="7"/>
  <c r="S314" i="7"/>
  <c r="O314" i="7"/>
  <c r="U318" i="7"/>
  <c r="Q318" i="7"/>
  <c r="M318" i="7"/>
  <c r="S318" i="7"/>
  <c r="O318" i="7"/>
  <c r="U322" i="7"/>
  <c r="Q322" i="7"/>
  <c r="M322" i="7"/>
  <c r="S322" i="7"/>
  <c r="O322" i="7"/>
  <c r="U326" i="7"/>
  <c r="Q326" i="7"/>
  <c r="M326" i="7"/>
  <c r="S326" i="7"/>
  <c r="O326" i="7"/>
  <c r="U330" i="7"/>
  <c r="Q330" i="7"/>
  <c r="M330" i="7"/>
  <c r="S330" i="7"/>
  <c r="O330" i="7"/>
  <c r="U334" i="7"/>
  <c r="Q334" i="7"/>
  <c r="M334" i="7"/>
  <c r="S334" i="7"/>
  <c r="O334" i="7"/>
  <c r="U338" i="7"/>
  <c r="Q338" i="7"/>
  <c r="M338" i="7"/>
  <c r="S338" i="7"/>
  <c r="O338" i="7"/>
  <c r="U342" i="7"/>
  <c r="Q342" i="7"/>
  <c r="M342" i="7"/>
  <c r="S342" i="7"/>
  <c r="O342" i="7"/>
  <c r="U346" i="7"/>
  <c r="Q346" i="7"/>
  <c r="M346" i="7"/>
  <c r="S346" i="7"/>
  <c r="O346" i="7"/>
  <c r="U350" i="7"/>
  <c r="Q350" i="7"/>
  <c r="M350" i="7"/>
  <c r="S350" i="7"/>
  <c r="O350" i="7"/>
  <c r="U354" i="7"/>
  <c r="Q354" i="7"/>
  <c r="M354" i="7"/>
  <c r="S354" i="7"/>
  <c r="O354" i="7"/>
  <c r="U358" i="7"/>
  <c r="Q358" i="7"/>
  <c r="M358" i="7"/>
  <c r="S358" i="7"/>
  <c r="O358" i="7"/>
  <c r="U362" i="7"/>
  <c r="Q362" i="7"/>
  <c r="M362" i="7"/>
  <c r="S362" i="7"/>
  <c r="O362" i="7"/>
  <c r="U366" i="7"/>
  <c r="Q366" i="7"/>
  <c r="M366" i="7"/>
  <c r="S366" i="7"/>
  <c r="O366" i="7"/>
  <c r="U370" i="7"/>
  <c r="Q370" i="7"/>
  <c r="M370" i="7"/>
  <c r="S370" i="7"/>
  <c r="O370" i="7"/>
  <c r="U374" i="7"/>
  <c r="Q374" i="7"/>
  <c r="M374" i="7"/>
  <c r="S374" i="7"/>
  <c r="O374" i="7"/>
  <c r="U378" i="7"/>
  <c r="Q378" i="7"/>
  <c r="M378" i="7"/>
  <c r="S378" i="7"/>
  <c r="O378" i="7"/>
  <c r="U382" i="7"/>
  <c r="Q382" i="7"/>
  <c r="M382" i="7"/>
  <c r="S382" i="7"/>
  <c r="O382" i="7"/>
  <c r="U386" i="7"/>
  <c r="Q386" i="7"/>
  <c r="M386" i="7"/>
  <c r="S386" i="7"/>
  <c r="O386" i="7"/>
  <c r="U390" i="7"/>
  <c r="Q390" i="7"/>
  <c r="M390" i="7"/>
  <c r="S390" i="7"/>
  <c r="O390" i="7"/>
  <c r="U394" i="7"/>
  <c r="Q394" i="7"/>
  <c r="M394" i="7"/>
  <c r="S394" i="7"/>
  <c r="O394" i="7"/>
  <c r="U398" i="7"/>
  <c r="Q398" i="7"/>
  <c r="M398" i="7"/>
  <c r="S398" i="7"/>
  <c r="O398" i="7"/>
  <c r="U402" i="7"/>
  <c r="Q402" i="7"/>
  <c r="M402" i="7"/>
  <c r="S402" i="7"/>
  <c r="O402" i="7"/>
  <c r="U406" i="7"/>
  <c r="Q406" i="7"/>
  <c r="M406" i="7"/>
  <c r="S406" i="7"/>
  <c r="O406" i="7"/>
  <c r="U410" i="7"/>
  <c r="Q410" i="7"/>
  <c r="M410" i="7"/>
  <c r="S410" i="7"/>
  <c r="O410" i="7"/>
  <c r="U414" i="7"/>
  <c r="Q414" i="7"/>
  <c r="M414" i="7"/>
  <c r="S414" i="7"/>
  <c r="O414" i="7"/>
  <c r="U418" i="7"/>
  <c r="Q418" i="7"/>
  <c r="M418" i="7"/>
  <c r="S418" i="7"/>
  <c r="O418" i="7"/>
  <c r="U422" i="7"/>
  <c r="Q422" i="7"/>
  <c r="M422" i="7"/>
  <c r="S422" i="7"/>
  <c r="O422" i="7"/>
  <c r="U426" i="7"/>
  <c r="Q426" i="7"/>
  <c r="M426" i="7"/>
  <c r="S426" i="7"/>
  <c r="O426" i="7"/>
  <c r="U430" i="7"/>
  <c r="Q430" i="7"/>
  <c r="M430" i="7"/>
  <c r="S430" i="7"/>
  <c r="O430" i="7"/>
  <c r="U434" i="7"/>
  <c r="Q434" i="7"/>
  <c r="M434" i="7"/>
  <c r="S434" i="7"/>
  <c r="O434" i="7"/>
  <c r="U438" i="7"/>
  <c r="Q438" i="7"/>
  <c r="M438" i="7"/>
  <c r="S438" i="7"/>
  <c r="O438" i="7"/>
  <c r="U442" i="7"/>
  <c r="Q442" i="7"/>
  <c r="M442" i="7"/>
  <c r="S442" i="7"/>
  <c r="O442" i="7"/>
  <c r="U446" i="7"/>
  <c r="Q446" i="7"/>
  <c r="M446" i="7"/>
  <c r="S446" i="7"/>
  <c r="O446" i="7"/>
  <c r="U450" i="7"/>
  <c r="Q450" i="7"/>
  <c r="M450" i="7"/>
  <c r="S450" i="7"/>
  <c r="O450" i="7"/>
  <c r="U454" i="7"/>
  <c r="Q454" i="7"/>
  <c r="M454" i="7"/>
  <c r="S454" i="7"/>
  <c r="O454" i="7"/>
  <c r="U458" i="7"/>
  <c r="Q458" i="7"/>
  <c r="M458" i="7"/>
  <c r="S458" i="7"/>
  <c r="O458" i="7"/>
  <c r="U462" i="7"/>
  <c r="Q462" i="7"/>
  <c r="M462" i="7"/>
  <c r="S462" i="7"/>
  <c r="O462" i="7"/>
  <c r="U466" i="7"/>
  <c r="Q466" i="7"/>
  <c r="M466" i="7"/>
  <c r="S466" i="7"/>
  <c r="O466" i="7"/>
  <c r="U470" i="7"/>
  <c r="Q470" i="7"/>
  <c r="M470" i="7"/>
  <c r="S470" i="7"/>
  <c r="O470" i="7"/>
  <c r="U474" i="7"/>
  <c r="Q474" i="7"/>
  <c r="M474" i="7"/>
  <c r="S474" i="7"/>
  <c r="O474" i="7"/>
  <c r="U478" i="7"/>
  <c r="Q478" i="7"/>
  <c r="M478" i="7"/>
  <c r="S478" i="7"/>
  <c r="O478" i="7"/>
  <c r="U482" i="7"/>
  <c r="Q482" i="7"/>
  <c r="M482" i="7"/>
  <c r="S482" i="7"/>
  <c r="O482" i="7"/>
  <c r="U486" i="7"/>
  <c r="Q486" i="7"/>
  <c r="M486" i="7"/>
  <c r="S486" i="7"/>
  <c r="O486" i="7"/>
  <c r="U490" i="7"/>
  <c r="Q490" i="7"/>
  <c r="M490" i="7"/>
  <c r="S490" i="7"/>
  <c r="O490" i="7"/>
  <c r="U494" i="7"/>
  <c r="Q494" i="7"/>
  <c r="M494" i="7"/>
  <c r="S494" i="7"/>
  <c r="O494" i="7"/>
  <c r="U498" i="7"/>
  <c r="Q498" i="7"/>
  <c r="M498" i="7"/>
  <c r="S498" i="7"/>
  <c r="O498" i="7"/>
  <c r="U502" i="7"/>
  <c r="Q502" i="7"/>
  <c r="M502" i="7"/>
  <c r="S502" i="7"/>
  <c r="O502" i="7"/>
  <c r="U506" i="7"/>
  <c r="Q506" i="7"/>
  <c r="M506" i="7"/>
  <c r="S506" i="7"/>
  <c r="O506" i="7"/>
  <c r="U510" i="7"/>
  <c r="Q510" i="7"/>
  <c r="M510" i="7"/>
  <c r="S510" i="7"/>
  <c r="O510" i="7"/>
  <c r="U514" i="7"/>
  <c r="Q514" i="7"/>
  <c r="M514" i="7"/>
  <c r="S514" i="7"/>
  <c r="O514" i="7"/>
  <c r="U518" i="7"/>
  <c r="Q518" i="7"/>
  <c r="M518" i="7"/>
  <c r="S518" i="7"/>
  <c r="O518" i="7"/>
  <c r="U522" i="7"/>
  <c r="Q522" i="7"/>
  <c r="M522" i="7"/>
  <c r="S522" i="7"/>
  <c r="O522" i="7"/>
  <c r="U526" i="7"/>
  <c r="Q526" i="7"/>
  <c r="M526" i="7"/>
  <c r="S526" i="7"/>
  <c r="O526" i="7"/>
  <c r="U530" i="7"/>
  <c r="Q530" i="7"/>
  <c r="M530" i="7"/>
  <c r="S530" i="7"/>
  <c r="O530" i="7"/>
  <c r="U534" i="7"/>
  <c r="Q534" i="7"/>
  <c r="M534" i="7"/>
  <c r="S534" i="7"/>
  <c r="O534" i="7"/>
  <c r="U538" i="7"/>
  <c r="Q538" i="7"/>
  <c r="M538" i="7"/>
  <c r="S538" i="7"/>
  <c r="O538" i="7"/>
  <c r="U542" i="7"/>
  <c r="Q542" i="7"/>
  <c r="M542" i="7"/>
  <c r="S542" i="7"/>
  <c r="O542" i="7"/>
  <c r="U546" i="7"/>
  <c r="Q546" i="7"/>
  <c r="M546" i="7"/>
  <c r="S546" i="7"/>
  <c r="O546" i="7"/>
  <c r="U550" i="7"/>
  <c r="Q550" i="7"/>
  <c r="M550" i="7"/>
  <c r="S550" i="7"/>
  <c r="O550" i="7"/>
  <c r="U554" i="7"/>
  <c r="Q554" i="7"/>
  <c r="M554" i="7"/>
  <c r="S554" i="7"/>
  <c r="O554" i="7"/>
  <c r="U558" i="7"/>
  <c r="Q558" i="7"/>
  <c r="M558" i="7"/>
  <c r="S558" i="7"/>
  <c r="O558" i="7"/>
  <c r="U562" i="7"/>
  <c r="Q562" i="7"/>
  <c r="M562" i="7"/>
  <c r="S562" i="7"/>
  <c r="O562" i="7"/>
  <c r="S219" i="7"/>
  <c r="O219" i="7"/>
  <c r="U219" i="7"/>
  <c r="Q219" i="7"/>
  <c r="M219" i="7"/>
  <c r="S223" i="7"/>
  <c r="O223" i="7"/>
  <c r="U223" i="7"/>
  <c r="Q223" i="7"/>
  <c r="M223" i="7"/>
  <c r="S227" i="7"/>
  <c r="O227" i="7"/>
  <c r="U227" i="7"/>
  <c r="Q227" i="7"/>
  <c r="M227" i="7"/>
  <c r="S231" i="7"/>
  <c r="O231" i="7"/>
  <c r="U231" i="7"/>
  <c r="Q231" i="7"/>
  <c r="M231" i="7"/>
  <c r="S235" i="7"/>
  <c r="O235" i="7"/>
  <c r="U235" i="7"/>
  <c r="Q235" i="7"/>
  <c r="M235" i="7"/>
  <c r="S239" i="7"/>
  <c r="O239" i="7"/>
  <c r="U239" i="7"/>
  <c r="Q239" i="7"/>
  <c r="M239" i="7"/>
  <c r="S243" i="7"/>
  <c r="O243" i="7"/>
  <c r="U243" i="7"/>
  <c r="Q243" i="7"/>
  <c r="M243" i="7"/>
  <c r="S247" i="7"/>
  <c r="O247" i="7"/>
  <c r="U247" i="7"/>
  <c r="Q247" i="7"/>
  <c r="M247" i="7"/>
  <c r="S251" i="7"/>
  <c r="O251" i="7"/>
  <c r="U251" i="7"/>
  <c r="Q251" i="7"/>
  <c r="M251" i="7"/>
  <c r="S255" i="7"/>
  <c r="O255" i="7"/>
  <c r="U255" i="7"/>
  <c r="Q255" i="7"/>
  <c r="M255" i="7"/>
  <c r="S259" i="7"/>
  <c r="O259" i="7"/>
  <c r="U259" i="7"/>
  <c r="Q259" i="7"/>
  <c r="M259" i="7"/>
  <c r="S263" i="7"/>
  <c r="O263" i="7"/>
  <c r="U263" i="7"/>
  <c r="Q263" i="7"/>
  <c r="M263" i="7"/>
  <c r="S267" i="7"/>
  <c r="O267" i="7"/>
  <c r="U267" i="7"/>
  <c r="Q267" i="7"/>
  <c r="M267" i="7"/>
  <c r="S271" i="7"/>
  <c r="O271" i="7"/>
  <c r="U271" i="7"/>
  <c r="Q271" i="7"/>
  <c r="M271" i="7"/>
  <c r="S275" i="7"/>
  <c r="O275" i="7"/>
  <c r="U275" i="7"/>
  <c r="Q275" i="7"/>
  <c r="M275" i="7"/>
  <c r="S279" i="7"/>
  <c r="O279" i="7"/>
  <c r="U279" i="7"/>
  <c r="Q279" i="7"/>
  <c r="M279" i="7"/>
  <c r="S283" i="7"/>
  <c r="O283" i="7"/>
  <c r="U283" i="7"/>
  <c r="Q283" i="7"/>
  <c r="M283" i="7"/>
  <c r="S287" i="7"/>
  <c r="O287" i="7"/>
  <c r="U287" i="7"/>
  <c r="Q287" i="7"/>
  <c r="M287" i="7"/>
  <c r="S291" i="7"/>
  <c r="O291" i="7"/>
  <c r="U291" i="7"/>
  <c r="Q291" i="7"/>
  <c r="M291" i="7"/>
  <c r="S295" i="7"/>
  <c r="O295" i="7"/>
  <c r="U295" i="7"/>
  <c r="Q295" i="7"/>
  <c r="M295" i="7"/>
  <c r="S299" i="7"/>
  <c r="O299" i="7"/>
  <c r="U299" i="7"/>
  <c r="Q299" i="7"/>
  <c r="M299" i="7"/>
  <c r="S303" i="7"/>
  <c r="O303" i="7"/>
  <c r="U303" i="7"/>
  <c r="Q303" i="7"/>
  <c r="M303" i="7"/>
  <c r="S307" i="7"/>
  <c r="O307" i="7"/>
  <c r="U307" i="7"/>
  <c r="Q307" i="7"/>
  <c r="M307" i="7"/>
  <c r="S311" i="7"/>
  <c r="O311" i="7"/>
  <c r="U311" i="7"/>
  <c r="Q311" i="7"/>
  <c r="M311" i="7"/>
  <c r="S315" i="7"/>
  <c r="O315" i="7"/>
  <c r="U315" i="7"/>
  <c r="Q315" i="7"/>
  <c r="M315" i="7"/>
  <c r="S319" i="7"/>
  <c r="O319" i="7"/>
  <c r="U319" i="7"/>
  <c r="Q319" i="7"/>
  <c r="M319" i="7"/>
  <c r="S323" i="7"/>
  <c r="O323" i="7"/>
  <c r="U323" i="7"/>
  <c r="Q323" i="7"/>
  <c r="M323" i="7"/>
  <c r="S327" i="7"/>
  <c r="O327" i="7"/>
  <c r="U327" i="7"/>
  <c r="Q327" i="7"/>
  <c r="M327" i="7"/>
  <c r="S331" i="7"/>
  <c r="O331" i="7"/>
  <c r="U331" i="7"/>
  <c r="Q331" i="7"/>
  <c r="M331" i="7"/>
  <c r="S335" i="7"/>
  <c r="O335" i="7"/>
  <c r="U335" i="7"/>
  <c r="Q335" i="7"/>
  <c r="M335" i="7"/>
  <c r="S339" i="7"/>
  <c r="O339" i="7"/>
  <c r="U339" i="7"/>
  <c r="Q339" i="7"/>
  <c r="M339" i="7"/>
  <c r="S343" i="7"/>
  <c r="O343" i="7"/>
  <c r="U343" i="7"/>
  <c r="Q343" i="7"/>
  <c r="M343" i="7"/>
  <c r="S347" i="7"/>
  <c r="O347" i="7"/>
  <c r="U347" i="7"/>
  <c r="Q347" i="7"/>
  <c r="M347" i="7"/>
  <c r="S351" i="7"/>
  <c r="O351" i="7"/>
  <c r="U351" i="7"/>
  <c r="Q351" i="7"/>
  <c r="M351" i="7"/>
  <c r="S355" i="7"/>
  <c r="O355" i="7"/>
  <c r="U355" i="7"/>
  <c r="Q355" i="7"/>
  <c r="M355" i="7"/>
  <c r="S359" i="7"/>
  <c r="O359" i="7"/>
  <c r="U359" i="7"/>
  <c r="Q359" i="7"/>
  <c r="M359" i="7"/>
  <c r="S363" i="7"/>
  <c r="O363" i="7"/>
  <c r="U363" i="7"/>
  <c r="Q363" i="7"/>
  <c r="M363" i="7"/>
  <c r="S367" i="7"/>
  <c r="O367" i="7"/>
  <c r="U367" i="7"/>
  <c r="Q367" i="7"/>
  <c r="M367" i="7"/>
  <c r="S371" i="7"/>
  <c r="O371" i="7"/>
  <c r="U371" i="7"/>
  <c r="Q371" i="7"/>
  <c r="M371" i="7"/>
  <c r="S375" i="7"/>
  <c r="O375" i="7"/>
  <c r="U375" i="7"/>
  <c r="Q375" i="7"/>
  <c r="M375" i="7"/>
  <c r="S379" i="7"/>
  <c r="O379" i="7"/>
  <c r="U379" i="7"/>
  <c r="Q379" i="7"/>
  <c r="M379" i="7"/>
  <c r="S383" i="7"/>
  <c r="O383" i="7"/>
  <c r="U383" i="7"/>
  <c r="Q383" i="7"/>
  <c r="M383" i="7"/>
  <c r="S387" i="7"/>
  <c r="O387" i="7"/>
  <c r="U387" i="7"/>
  <c r="Q387" i="7"/>
  <c r="M387" i="7"/>
  <c r="S391" i="7"/>
  <c r="O391" i="7"/>
  <c r="U391" i="7"/>
  <c r="Q391" i="7"/>
  <c r="M391" i="7"/>
  <c r="S395" i="7"/>
  <c r="O395" i="7"/>
  <c r="U395" i="7"/>
  <c r="Q395" i="7"/>
  <c r="M395" i="7"/>
  <c r="S399" i="7"/>
  <c r="O399" i="7"/>
  <c r="U399" i="7"/>
  <c r="Q399" i="7"/>
  <c r="M399" i="7"/>
  <c r="S403" i="7"/>
  <c r="O403" i="7"/>
  <c r="U403" i="7"/>
  <c r="Q403" i="7"/>
  <c r="M403" i="7"/>
  <c r="S407" i="7"/>
  <c r="O407" i="7"/>
  <c r="U407" i="7"/>
  <c r="Q407" i="7"/>
  <c r="M407" i="7"/>
  <c r="S411" i="7"/>
  <c r="O411" i="7"/>
  <c r="U411" i="7"/>
  <c r="Q411" i="7"/>
  <c r="M411" i="7"/>
  <c r="S415" i="7"/>
  <c r="O415" i="7"/>
  <c r="U415" i="7"/>
  <c r="Q415" i="7"/>
  <c r="M415" i="7"/>
  <c r="S419" i="7"/>
  <c r="O419" i="7"/>
  <c r="U419" i="7"/>
  <c r="Q419" i="7"/>
  <c r="M419" i="7"/>
  <c r="S423" i="7"/>
  <c r="O423" i="7"/>
  <c r="U423" i="7"/>
  <c r="Q423" i="7"/>
  <c r="M423" i="7"/>
  <c r="S427" i="7"/>
  <c r="O427" i="7"/>
  <c r="U427" i="7"/>
  <c r="Q427" i="7"/>
  <c r="M427" i="7"/>
  <c r="S431" i="7"/>
  <c r="O431" i="7"/>
  <c r="U431" i="7"/>
  <c r="Q431" i="7"/>
  <c r="M431" i="7"/>
  <c r="S435" i="7"/>
  <c r="O435" i="7"/>
  <c r="U435" i="7"/>
  <c r="Q435" i="7"/>
  <c r="M435" i="7"/>
  <c r="S439" i="7"/>
  <c r="O439" i="7"/>
  <c r="U439" i="7"/>
  <c r="Q439" i="7"/>
  <c r="M439" i="7"/>
  <c r="S443" i="7"/>
  <c r="O443" i="7"/>
  <c r="U443" i="7"/>
  <c r="Q443" i="7"/>
  <c r="M443" i="7"/>
  <c r="S447" i="7"/>
  <c r="O447" i="7"/>
  <c r="U447" i="7"/>
  <c r="Q447" i="7"/>
  <c r="M447" i="7"/>
  <c r="S451" i="7"/>
  <c r="O451" i="7"/>
  <c r="U451" i="7"/>
  <c r="Q451" i="7"/>
  <c r="M451" i="7"/>
  <c r="S455" i="7"/>
  <c r="O455" i="7"/>
  <c r="U455" i="7"/>
  <c r="Q455" i="7"/>
  <c r="M455" i="7"/>
  <c r="S459" i="7"/>
  <c r="O459" i="7"/>
  <c r="U459" i="7"/>
  <c r="Q459" i="7"/>
  <c r="M459" i="7"/>
  <c r="S463" i="7"/>
  <c r="O463" i="7"/>
  <c r="U463" i="7"/>
  <c r="Q463" i="7"/>
  <c r="M463" i="7"/>
  <c r="S467" i="7"/>
  <c r="O467" i="7"/>
  <c r="U467" i="7"/>
  <c r="Q467" i="7"/>
  <c r="M467" i="7"/>
  <c r="S471" i="7"/>
  <c r="O471" i="7"/>
  <c r="U471" i="7"/>
  <c r="Q471" i="7"/>
  <c r="M471" i="7"/>
  <c r="S475" i="7"/>
  <c r="O475" i="7"/>
  <c r="U475" i="7"/>
  <c r="Q475" i="7"/>
  <c r="M475" i="7"/>
  <c r="S479" i="7"/>
  <c r="O479" i="7"/>
  <c r="U479" i="7"/>
  <c r="Q479" i="7"/>
  <c r="M479" i="7"/>
  <c r="S483" i="7"/>
  <c r="O483" i="7"/>
  <c r="U483" i="7"/>
  <c r="Q483" i="7"/>
  <c r="M483" i="7"/>
  <c r="S487" i="7"/>
  <c r="O487" i="7"/>
  <c r="U487" i="7"/>
  <c r="Q487" i="7"/>
  <c r="M487" i="7"/>
  <c r="S491" i="7"/>
  <c r="O491" i="7"/>
  <c r="U491" i="7"/>
  <c r="Q491" i="7"/>
  <c r="M491" i="7"/>
  <c r="S495" i="7"/>
  <c r="O495" i="7"/>
  <c r="U495" i="7"/>
  <c r="Q495" i="7"/>
  <c r="M495" i="7"/>
  <c r="S499" i="7"/>
  <c r="O499" i="7"/>
  <c r="U499" i="7"/>
  <c r="Q499" i="7"/>
  <c r="M499" i="7"/>
  <c r="S503" i="7"/>
  <c r="O503" i="7"/>
  <c r="U503" i="7"/>
  <c r="Q503" i="7"/>
  <c r="M503" i="7"/>
  <c r="S507" i="7"/>
  <c r="O507" i="7"/>
  <c r="U507" i="7"/>
  <c r="Q507" i="7"/>
  <c r="M507" i="7"/>
  <c r="S511" i="7"/>
  <c r="O511" i="7"/>
  <c r="U511" i="7"/>
  <c r="Q511" i="7"/>
  <c r="M511" i="7"/>
  <c r="S515" i="7"/>
  <c r="O515" i="7"/>
  <c r="U515" i="7"/>
  <c r="Q515" i="7"/>
  <c r="M515" i="7"/>
  <c r="S519" i="7"/>
  <c r="O519" i="7"/>
  <c r="U519" i="7"/>
  <c r="Q519" i="7"/>
  <c r="M519" i="7"/>
  <c r="S523" i="7"/>
  <c r="O523" i="7"/>
  <c r="U523" i="7"/>
  <c r="Q523" i="7"/>
  <c r="M523" i="7"/>
  <c r="S527" i="7"/>
  <c r="O527" i="7"/>
  <c r="U527" i="7"/>
  <c r="Q527" i="7"/>
  <c r="M527" i="7"/>
  <c r="S531" i="7"/>
  <c r="O531" i="7"/>
  <c r="U531" i="7"/>
  <c r="Q531" i="7"/>
  <c r="M531" i="7"/>
  <c r="S535" i="7"/>
  <c r="O535" i="7"/>
  <c r="U535" i="7"/>
  <c r="Q535" i="7"/>
  <c r="M535" i="7"/>
  <c r="S539" i="7"/>
  <c r="O539" i="7"/>
  <c r="U539" i="7"/>
  <c r="Q539" i="7"/>
  <c r="M539" i="7"/>
  <c r="S543" i="7"/>
  <c r="O543" i="7"/>
  <c r="U543" i="7"/>
  <c r="Q543" i="7"/>
  <c r="M543" i="7"/>
  <c r="S547" i="7"/>
  <c r="O547" i="7"/>
  <c r="U547" i="7"/>
  <c r="Q547" i="7"/>
  <c r="M547" i="7"/>
  <c r="S551" i="7"/>
  <c r="O551" i="7"/>
  <c r="U551" i="7"/>
  <c r="Q551" i="7"/>
  <c r="M551" i="7"/>
  <c r="S555" i="7"/>
  <c r="O555" i="7"/>
  <c r="U555" i="7"/>
  <c r="Q555" i="7"/>
  <c r="M555" i="7"/>
  <c r="S559" i="7"/>
  <c r="O559" i="7"/>
  <c r="U559" i="7"/>
  <c r="Q559" i="7"/>
  <c r="M559" i="7"/>
  <c r="S563" i="7"/>
  <c r="O563" i="7"/>
  <c r="U563" i="7"/>
  <c r="Q563" i="7"/>
  <c r="M563" i="7"/>
  <c r="U567" i="7"/>
  <c r="Q567" i="7"/>
  <c r="M567" i="7"/>
  <c r="S567" i="7"/>
  <c r="O567" i="7"/>
  <c r="S220" i="7"/>
  <c r="O220" i="7"/>
  <c r="U220" i="7"/>
  <c r="Q220" i="7"/>
  <c r="M220" i="7"/>
  <c r="S224" i="7"/>
  <c r="O224" i="7"/>
  <c r="U224" i="7"/>
  <c r="Q224" i="7"/>
  <c r="M224" i="7"/>
  <c r="S228" i="7"/>
  <c r="O228" i="7"/>
  <c r="U228" i="7"/>
  <c r="Q228" i="7"/>
  <c r="M228" i="7"/>
  <c r="S232" i="7"/>
  <c r="O232" i="7"/>
  <c r="U232" i="7"/>
  <c r="Q232" i="7"/>
  <c r="M232" i="7"/>
  <c r="S236" i="7"/>
  <c r="O236" i="7"/>
  <c r="U236" i="7"/>
  <c r="Q236" i="7"/>
  <c r="M236" i="7"/>
  <c r="S240" i="7"/>
  <c r="O240" i="7"/>
  <c r="U240" i="7"/>
  <c r="Q240" i="7"/>
  <c r="M240" i="7"/>
  <c r="S244" i="7"/>
  <c r="O244" i="7"/>
  <c r="U244" i="7"/>
  <c r="Q244" i="7"/>
  <c r="M244" i="7"/>
  <c r="S248" i="7"/>
  <c r="O248" i="7"/>
  <c r="U248" i="7"/>
  <c r="Q248" i="7"/>
  <c r="M248" i="7"/>
  <c r="S252" i="7"/>
  <c r="O252" i="7"/>
  <c r="U252" i="7"/>
  <c r="Q252" i="7"/>
  <c r="M252" i="7"/>
  <c r="S256" i="7"/>
  <c r="O256" i="7"/>
  <c r="U256" i="7"/>
  <c r="Q256" i="7"/>
  <c r="M256" i="7"/>
  <c r="S260" i="7"/>
  <c r="O260" i="7"/>
  <c r="U260" i="7"/>
  <c r="Q260" i="7"/>
  <c r="M260" i="7"/>
  <c r="S264" i="7"/>
  <c r="O264" i="7"/>
  <c r="U264" i="7"/>
  <c r="Q264" i="7"/>
  <c r="M264" i="7"/>
  <c r="S268" i="7"/>
  <c r="O268" i="7"/>
  <c r="U268" i="7"/>
  <c r="Q268" i="7"/>
  <c r="M268" i="7"/>
  <c r="S272" i="7"/>
  <c r="O272" i="7"/>
  <c r="U272" i="7"/>
  <c r="Q272" i="7"/>
  <c r="M272" i="7"/>
  <c r="S276" i="7"/>
  <c r="O276" i="7"/>
  <c r="U276" i="7"/>
  <c r="Q276" i="7"/>
  <c r="M276" i="7"/>
  <c r="S280" i="7"/>
  <c r="O280" i="7"/>
  <c r="U280" i="7"/>
  <c r="Q280" i="7"/>
  <c r="M280" i="7"/>
  <c r="S284" i="7"/>
  <c r="O284" i="7"/>
  <c r="U284" i="7"/>
  <c r="Q284" i="7"/>
  <c r="M284" i="7"/>
  <c r="S288" i="7"/>
  <c r="O288" i="7"/>
  <c r="U288" i="7"/>
  <c r="Q288" i="7"/>
  <c r="M288" i="7"/>
  <c r="S292" i="7"/>
  <c r="O292" i="7"/>
  <c r="U292" i="7"/>
  <c r="Q292" i="7"/>
  <c r="M292" i="7"/>
  <c r="S296" i="7"/>
  <c r="O296" i="7"/>
  <c r="U296" i="7"/>
  <c r="Q296" i="7"/>
  <c r="M296" i="7"/>
  <c r="S300" i="7"/>
  <c r="O300" i="7"/>
  <c r="U300" i="7"/>
  <c r="Q300" i="7"/>
  <c r="M300" i="7"/>
  <c r="S304" i="7"/>
  <c r="O304" i="7"/>
  <c r="U304" i="7"/>
  <c r="Q304" i="7"/>
  <c r="M304" i="7"/>
  <c r="S308" i="7"/>
  <c r="O308" i="7"/>
  <c r="U308" i="7"/>
  <c r="Q308" i="7"/>
  <c r="M308" i="7"/>
  <c r="S312" i="7"/>
  <c r="O312" i="7"/>
  <c r="U312" i="7"/>
  <c r="Q312" i="7"/>
  <c r="M312" i="7"/>
  <c r="S316" i="7"/>
  <c r="O316" i="7"/>
  <c r="U316" i="7"/>
  <c r="Q316" i="7"/>
  <c r="M316" i="7"/>
  <c r="S320" i="7"/>
  <c r="O320" i="7"/>
  <c r="U320" i="7"/>
  <c r="Q320" i="7"/>
  <c r="M320" i="7"/>
  <c r="S324" i="7"/>
  <c r="O324" i="7"/>
  <c r="U324" i="7"/>
  <c r="Q324" i="7"/>
  <c r="M324" i="7"/>
  <c r="S328" i="7"/>
  <c r="O328" i="7"/>
  <c r="U328" i="7"/>
  <c r="Q328" i="7"/>
  <c r="M328" i="7"/>
  <c r="S332" i="7"/>
  <c r="O332" i="7"/>
  <c r="U332" i="7"/>
  <c r="Q332" i="7"/>
  <c r="M332" i="7"/>
  <c r="S336" i="7"/>
  <c r="O336" i="7"/>
  <c r="U336" i="7"/>
  <c r="Q336" i="7"/>
  <c r="M336" i="7"/>
  <c r="S340" i="7"/>
  <c r="O340" i="7"/>
  <c r="U340" i="7"/>
  <c r="Q340" i="7"/>
  <c r="M340" i="7"/>
  <c r="S344" i="7"/>
  <c r="O344" i="7"/>
  <c r="U344" i="7"/>
  <c r="Q344" i="7"/>
  <c r="M344" i="7"/>
  <c r="S348" i="7"/>
  <c r="O348" i="7"/>
  <c r="U348" i="7"/>
  <c r="Q348" i="7"/>
  <c r="M348" i="7"/>
  <c r="S352" i="7"/>
  <c r="O352" i="7"/>
  <c r="U352" i="7"/>
  <c r="Q352" i="7"/>
  <c r="M352" i="7"/>
  <c r="S356" i="7"/>
  <c r="O356" i="7"/>
  <c r="U356" i="7"/>
  <c r="Q356" i="7"/>
  <c r="M356" i="7"/>
  <c r="S360" i="7"/>
  <c r="O360" i="7"/>
  <c r="U360" i="7"/>
  <c r="Q360" i="7"/>
  <c r="M360" i="7"/>
  <c r="S364" i="7"/>
  <c r="O364" i="7"/>
  <c r="U364" i="7"/>
  <c r="Q364" i="7"/>
  <c r="M364" i="7"/>
  <c r="S368" i="7"/>
  <c r="O368" i="7"/>
  <c r="U368" i="7"/>
  <c r="Q368" i="7"/>
  <c r="M368" i="7"/>
  <c r="S372" i="7"/>
  <c r="O372" i="7"/>
  <c r="U372" i="7"/>
  <c r="Q372" i="7"/>
  <c r="M372" i="7"/>
  <c r="S376" i="7"/>
  <c r="O376" i="7"/>
  <c r="U376" i="7"/>
  <c r="Q376" i="7"/>
  <c r="M376" i="7"/>
  <c r="S380" i="7"/>
  <c r="O380" i="7"/>
  <c r="U380" i="7"/>
  <c r="Q380" i="7"/>
  <c r="M380" i="7"/>
  <c r="S384" i="7"/>
  <c r="O384" i="7"/>
  <c r="U384" i="7"/>
  <c r="Q384" i="7"/>
  <c r="M384" i="7"/>
  <c r="S388" i="7"/>
  <c r="O388" i="7"/>
  <c r="U388" i="7"/>
  <c r="Q388" i="7"/>
  <c r="M388" i="7"/>
  <c r="S392" i="7"/>
  <c r="O392" i="7"/>
  <c r="U392" i="7"/>
  <c r="Q392" i="7"/>
  <c r="M392" i="7"/>
  <c r="S396" i="7"/>
  <c r="O396" i="7"/>
  <c r="U396" i="7"/>
  <c r="Q396" i="7"/>
  <c r="M396" i="7"/>
  <c r="S400" i="7"/>
  <c r="O400" i="7"/>
  <c r="U400" i="7"/>
  <c r="Q400" i="7"/>
  <c r="M400" i="7"/>
  <c r="S404" i="7"/>
  <c r="O404" i="7"/>
  <c r="U404" i="7"/>
  <c r="Q404" i="7"/>
  <c r="M404" i="7"/>
  <c r="S408" i="7"/>
  <c r="O408" i="7"/>
  <c r="U408" i="7"/>
  <c r="Q408" i="7"/>
  <c r="M408" i="7"/>
  <c r="S412" i="7"/>
  <c r="O412" i="7"/>
  <c r="U412" i="7"/>
  <c r="Q412" i="7"/>
  <c r="M412" i="7"/>
  <c r="S416" i="7"/>
  <c r="O416" i="7"/>
  <c r="U416" i="7"/>
  <c r="Q416" i="7"/>
  <c r="M416" i="7"/>
  <c r="S420" i="7"/>
  <c r="O420" i="7"/>
  <c r="U420" i="7"/>
  <c r="Q420" i="7"/>
  <c r="M420" i="7"/>
  <c r="S424" i="7"/>
  <c r="O424" i="7"/>
  <c r="U424" i="7"/>
  <c r="Q424" i="7"/>
  <c r="M424" i="7"/>
  <c r="S428" i="7"/>
  <c r="O428" i="7"/>
  <c r="U428" i="7"/>
  <c r="Q428" i="7"/>
  <c r="M428" i="7"/>
  <c r="S432" i="7"/>
  <c r="O432" i="7"/>
  <c r="U432" i="7"/>
  <c r="Q432" i="7"/>
  <c r="M432" i="7"/>
  <c r="S436" i="7"/>
  <c r="O436" i="7"/>
  <c r="U436" i="7"/>
  <c r="Q436" i="7"/>
  <c r="M436" i="7"/>
  <c r="S440" i="7"/>
  <c r="O440" i="7"/>
  <c r="U440" i="7"/>
  <c r="Q440" i="7"/>
  <c r="M440" i="7"/>
  <c r="S444" i="7"/>
  <c r="O444" i="7"/>
  <c r="U444" i="7"/>
  <c r="Q444" i="7"/>
  <c r="M444" i="7"/>
  <c r="S448" i="7"/>
  <c r="O448" i="7"/>
  <c r="U448" i="7"/>
  <c r="Q448" i="7"/>
  <c r="M448" i="7"/>
  <c r="S452" i="7"/>
  <c r="O452" i="7"/>
  <c r="U452" i="7"/>
  <c r="Q452" i="7"/>
  <c r="M452" i="7"/>
  <c r="S456" i="7"/>
  <c r="O456" i="7"/>
  <c r="U456" i="7"/>
  <c r="Q456" i="7"/>
  <c r="M456" i="7"/>
  <c r="S460" i="7"/>
  <c r="O460" i="7"/>
  <c r="U460" i="7"/>
  <c r="Q460" i="7"/>
  <c r="M460" i="7"/>
  <c r="S464" i="7"/>
  <c r="O464" i="7"/>
  <c r="U464" i="7"/>
  <c r="Q464" i="7"/>
  <c r="M464" i="7"/>
  <c r="S468" i="7"/>
  <c r="O468" i="7"/>
  <c r="U468" i="7"/>
  <c r="Q468" i="7"/>
  <c r="M468" i="7"/>
  <c r="S472" i="7"/>
  <c r="O472" i="7"/>
  <c r="U472" i="7"/>
  <c r="Q472" i="7"/>
  <c r="M472" i="7"/>
  <c r="S476" i="7"/>
  <c r="O476" i="7"/>
  <c r="U476" i="7"/>
  <c r="Q476" i="7"/>
  <c r="M476" i="7"/>
  <c r="S480" i="7"/>
  <c r="O480" i="7"/>
  <c r="U480" i="7"/>
  <c r="Q480" i="7"/>
  <c r="M480" i="7"/>
  <c r="S484" i="7"/>
  <c r="O484" i="7"/>
  <c r="U484" i="7"/>
  <c r="Q484" i="7"/>
  <c r="M484" i="7"/>
  <c r="S488" i="7"/>
  <c r="O488" i="7"/>
  <c r="U488" i="7"/>
  <c r="Q488" i="7"/>
  <c r="M488" i="7"/>
  <c r="S492" i="7"/>
  <c r="O492" i="7"/>
  <c r="U492" i="7"/>
  <c r="Q492" i="7"/>
  <c r="M492" i="7"/>
  <c r="S496" i="7"/>
  <c r="O496" i="7"/>
  <c r="U496" i="7"/>
  <c r="Q496" i="7"/>
  <c r="M496" i="7"/>
  <c r="S500" i="7"/>
  <c r="O500" i="7"/>
  <c r="U500" i="7"/>
  <c r="Q500" i="7"/>
  <c r="M500" i="7"/>
  <c r="S504" i="7"/>
  <c r="O504" i="7"/>
  <c r="U504" i="7"/>
  <c r="Q504" i="7"/>
  <c r="M504" i="7"/>
  <c r="S508" i="7"/>
  <c r="O508" i="7"/>
  <c r="U508" i="7"/>
  <c r="Q508" i="7"/>
  <c r="M508" i="7"/>
  <c r="S512" i="7"/>
  <c r="O512" i="7"/>
  <c r="U512" i="7"/>
  <c r="Q512" i="7"/>
  <c r="M512" i="7"/>
  <c r="S516" i="7"/>
  <c r="O516" i="7"/>
  <c r="U516" i="7"/>
  <c r="Q516" i="7"/>
  <c r="M516" i="7"/>
  <c r="S520" i="7"/>
  <c r="O520" i="7"/>
  <c r="U520" i="7"/>
  <c r="Q520" i="7"/>
  <c r="M520" i="7"/>
  <c r="S524" i="7"/>
  <c r="O524" i="7"/>
  <c r="U524" i="7"/>
  <c r="Q524" i="7"/>
  <c r="M524" i="7"/>
  <c r="S528" i="7"/>
  <c r="O528" i="7"/>
  <c r="U528" i="7"/>
  <c r="Q528" i="7"/>
  <c r="M528" i="7"/>
  <c r="S532" i="7"/>
  <c r="O532" i="7"/>
  <c r="U532" i="7"/>
  <c r="Q532" i="7"/>
  <c r="M532" i="7"/>
  <c r="S536" i="7"/>
  <c r="O536" i="7"/>
  <c r="U536" i="7"/>
  <c r="Q536" i="7"/>
  <c r="M536" i="7"/>
  <c r="S540" i="7"/>
  <c r="O540" i="7"/>
  <c r="U540" i="7"/>
  <c r="Q540" i="7"/>
  <c r="M540" i="7"/>
  <c r="S544" i="7"/>
  <c r="O544" i="7"/>
  <c r="U544" i="7"/>
  <c r="Q544" i="7"/>
  <c r="M544" i="7"/>
  <c r="S548" i="7"/>
  <c r="O548" i="7"/>
  <c r="U548" i="7"/>
  <c r="Q548" i="7"/>
  <c r="M548" i="7"/>
  <c r="S552" i="7"/>
  <c r="O552" i="7"/>
  <c r="U552" i="7"/>
  <c r="Q552" i="7"/>
  <c r="M552" i="7"/>
  <c r="S556" i="7"/>
  <c r="O556" i="7"/>
  <c r="U556" i="7"/>
  <c r="Q556" i="7"/>
  <c r="M556" i="7"/>
  <c r="S560" i="7"/>
  <c r="O560" i="7"/>
  <c r="U560" i="7"/>
  <c r="Q560" i="7"/>
  <c r="M560" i="7"/>
  <c r="S564" i="7"/>
  <c r="O564" i="7"/>
  <c r="U564" i="7"/>
  <c r="Q564" i="7"/>
  <c r="M564" i="7"/>
  <c r="U566" i="7"/>
  <c r="S566" i="7"/>
  <c r="O566" i="7"/>
  <c r="M566" i="7"/>
  <c r="Q566" i="7"/>
  <c r="U570" i="7"/>
  <c r="Q570" i="7"/>
  <c r="M570" i="7"/>
  <c r="S570" i="7"/>
  <c r="O570" i="7"/>
  <c r="U574" i="7"/>
  <c r="Q574" i="7"/>
  <c r="M574" i="7"/>
  <c r="S574" i="7"/>
  <c r="O574" i="7"/>
  <c r="U578" i="7"/>
  <c r="Q578" i="7"/>
  <c r="M578" i="7"/>
  <c r="S578" i="7"/>
  <c r="O578" i="7"/>
  <c r="U582" i="7"/>
  <c r="Q582" i="7"/>
  <c r="M582" i="7"/>
  <c r="S582" i="7"/>
  <c r="O582" i="7"/>
  <c r="U586" i="7"/>
  <c r="Q586" i="7"/>
  <c r="M586" i="7"/>
  <c r="S586" i="7"/>
  <c r="O586" i="7"/>
  <c r="U590" i="7"/>
  <c r="Q590" i="7"/>
  <c r="M590" i="7"/>
  <c r="S590" i="7"/>
  <c r="O590" i="7"/>
  <c r="U594" i="7"/>
  <c r="Q594" i="7"/>
  <c r="M594" i="7"/>
  <c r="S594" i="7"/>
  <c r="O594" i="7"/>
  <c r="U598" i="7"/>
  <c r="Q598" i="7"/>
  <c r="M598" i="7"/>
  <c r="S598" i="7"/>
  <c r="O598" i="7"/>
  <c r="U602" i="7"/>
  <c r="Q602" i="7"/>
  <c r="M602" i="7"/>
  <c r="S602" i="7"/>
  <c r="O602" i="7"/>
  <c r="U606" i="7"/>
  <c r="Q606" i="7"/>
  <c r="M606" i="7"/>
  <c r="S606" i="7"/>
  <c r="O606" i="7"/>
  <c r="U610" i="7"/>
  <c r="Q610" i="7"/>
  <c r="M610" i="7"/>
  <c r="S610" i="7"/>
  <c r="O610" i="7"/>
  <c r="U614" i="7"/>
  <c r="Q614" i="7"/>
  <c r="M614" i="7"/>
  <c r="S614" i="7"/>
  <c r="O614" i="7"/>
  <c r="U618" i="7"/>
  <c r="Q618" i="7"/>
  <c r="M618" i="7"/>
  <c r="S618" i="7"/>
  <c r="O618" i="7"/>
  <c r="U622" i="7"/>
  <c r="Q622" i="7"/>
  <c r="M622" i="7"/>
  <c r="S622" i="7"/>
  <c r="O622" i="7"/>
  <c r="U626" i="7"/>
  <c r="Q626" i="7"/>
  <c r="M626" i="7"/>
  <c r="S626" i="7"/>
  <c r="O626" i="7"/>
  <c r="U630" i="7"/>
  <c r="Q630" i="7"/>
  <c r="M630" i="7"/>
  <c r="S630" i="7"/>
  <c r="O630" i="7"/>
  <c r="U634" i="7"/>
  <c r="Q634" i="7"/>
  <c r="M634" i="7"/>
  <c r="S634" i="7"/>
  <c r="O634" i="7"/>
  <c r="U638" i="7"/>
  <c r="Q638" i="7"/>
  <c r="M638" i="7"/>
  <c r="S638" i="7"/>
  <c r="O638" i="7"/>
  <c r="U642" i="7"/>
  <c r="Q642" i="7"/>
  <c r="M642" i="7"/>
  <c r="S642" i="7"/>
  <c r="O642" i="7"/>
  <c r="U646" i="7"/>
  <c r="Q646" i="7"/>
  <c r="M646" i="7"/>
  <c r="S646" i="7"/>
  <c r="O646" i="7"/>
  <c r="U650" i="7"/>
  <c r="Q650" i="7"/>
  <c r="M650" i="7"/>
  <c r="S650" i="7"/>
  <c r="O650" i="7"/>
  <c r="U654" i="7"/>
  <c r="Q654" i="7"/>
  <c r="M654" i="7"/>
  <c r="S654" i="7"/>
  <c r="O654" i="7"/>
  <c r="U658" i="7"/>
  <c r="Q658" i="7"/>
  <c r="M658" i="7"/>
  <c r="S658" i="7"/>
  <c r="O658" i="7"/>
  <c r="U662" i="7"/>
  <c r="Q662" i="7"/>
  <c r="M662" i="7"/>
  <c r="S662" i="7"/>
  <c r="O662" i="7"/>
  <c r="U666" i="7"/>
  <c r="Q666" i="7"/>
  <c r="M666" i="7"/>
  <c r="S666" i="7"/>
  <c r="O666" i="7"/>
  <c r="U670" i="7"/>
  <c r="Q670" i="7"/>
  <c r="M670" i="7"/>
  <c r="S670" i="7"/>
  <c r="O670" i="7"/>
  <c r="U674" i="7"/>
  <c r="Q674" i="7"/>
  <c r="M674" i="7"/>
  <c r="S674" i="7"/>
  <c r="O674" i="7"/>
  <c r="U678" i="7"/>
  <c r="Q678" i="7"/>
  <c r="M678" i="7"/>
  <c r="S678" i="7"/>
  <c r="O678" i="7"/>
  <c r="U682" i="7"/>
  <c r="Q682" i="7"/>
  <c r="M682" i="7"/>
  <c r="S682" i="7"/>
  <c r="O682" i="7"/>
  <c r="U686" i="7"/>
  <c r="Q686" i="7"/>
  <c r="M686" i="7"/>
  <c r="S686" i="7"/>
  <c r="O686" i="7"/>
  <c r="U690" i="7"/>
  <c r="Q690" i="7"/>
  <c r="M690" i="7"/>
  <c r="S690" i="7"/>
  <c r="O690" i="7"/>
  <c r="U694" i="7"/>
  <c r="Q694" i="7"/>
  <c r="M694" i="7"/>
  <c r="S694" i="7"/>
  <c r="O694" i="7"/>
  <c r="U698" i="7"/>
  <c r="Q698" i="7"/>
  <c r="M698" i="7"/>
  <c r="S698" i="7"/>
  <c r="O698" i="7"/>
  <c r="U702" i="7"/>
  <c r="Q702" i="7"/>
  <c r="M702" i="7"/>
  <c r="S702" i="7"/>
  <c r="O702" i="7"/>
  <c r="U706" i="7"/>
  <c r="Q706" i="7"/>
  <c r="M706" i="7"/>
  <c r="S706" i="7"/>
  <c r="O706" i="7"/>
  <c r="U710" i="7"/>
  <c r="Q710" i="7"/>
  <c r="M710" i="7"/>
  <c r="S710" i="7"/>
  <c r="O710" i="7"/>
  <c r="U714" i="7"/>
  <c r="Q714" i="7"/>
  <c r="M714" i="7"/>
  <c r="S714" i="7"/>
  <c r="O714" i="7"/>
  <c r="U718" i="7"/>
  <c r="Q718" i="7"/>
  <c r="M718" i="7"/>
  <c r="S718" i="7"/>
  <c r="O718" i="7"/>
  <c r="U722" i="7"/>
  <c r="Q722" i="7"/>
  <c r="M722" i="7"/>
  <c r="S722" i="7"/>
  <c r="O722" i="7"/>
  <c r="U726" i="7"/>
  <c r="Q726" i="7"/>
  <c r="M726" i="7"/>
  <c r="S726" i="7"/>
  <c r="O726" i="7"/>
  <c r="U730" i="7"/>
  <c r="Q730" i="7"/>
  <c r="M730" i="7"/>
  <c r="S730" i="7"/>
  <c r="O730" i="7"/>
  <c r="U734" i="7"/>
  <c r="Q734" i="7"/>
  <c r="M734" i="7"/>
  <c r="S734" i="7"/>
  <c r="O734" i="7"/>
  <c r="U738" i="7"/>
  <c r="Q738" i="7"/>
  <c r="M738" i="7"/>
  <c r="S738" i="7"/>
  <c r="O738" i="7"/>
  <c r="U742" i="7"/>
  <c r="Q742" i="7"/>
  <c r="M742" i="7"/>
  <c r="S742" i="7"/>
  <c r="O742" i="7"/>
  <c r="U746" i="7"/>
  <c r="Q746" i="7"/>
  <c r="M746" i="7"/>
  <c r="S746" i="7"/>
  <c r="O746" i="7"/>
  <c r="U750" i="7"/>
  <c r="Q750" i="7"/>
  <c r="M750" i="7"/>
  <c r="S750" i="7"/>
  <c r="O750" i="7"/>
  <c r="U754" i="7"/>
  <c r="Q754" i="7"/>
  <c r="M754" i="7"/>
  <c r="S754" i="7"/>
  <c r="O754" i="7"/>
  <c r="U758" i="7"/>
  <c r="Q758" i="7"/>
  <c r="M758" i="7"/>
  <c r="S758" i="7"/>
  <c r="O758" i="7"/>
  <c r="U762" i="7"/>
  <c r="Q762" i="7"/>
  <c r="M762" i="7"/>
  <c r="S762" i="7"/>
  <c r="O762" i="7"/>
  <c r="U766" i="7"/>
  <c r="Q766" i="7"/>
  <c r="M766" i="7"/>
  <c r="S766" i="7"/>
  <c r="O766" i="7"/>
  <c r="U770" i="7"/>
  <c r="Q770" i="7"/>
  <c r="M770" i="7"/>
  <c r="S770" i="7"/>
  <c r="O770" i="7"/>
  <c r="U774" i="7"/>
  <c r="Q774" i="7"/>
  <c r="M774" i="7"/>
  <c r="S774" i="7"/>
  <c r="O774" i="7"/>
  <c r="U778" i="7"/>
  <c r="Q778" i="7"/>
  <c r="M778" i="7"/>
  <c r="S778" i="7"/>
  <c r="O778" i="7"/>
  <c r="U782" i="7"/>
  <c r="Q782" i="7"/>
  <c r="M782" i="7"/>
  <c r="S782" i="7"/>
  <c r="O782" i="7"/>
  <c r="U786" i="7"/>
  <c r="Q786" i="7"/>
  <c r="M786" i="7"/>
  <c r="S786" i="7"/>
  <c r="O786" i="7"/>
  <c r="U790" i="7"/>
  <c r="Q790" i="7"/>
  <c r="M790" i="7"/>
  <c r="S790" i="7"/>
  <c r="O790" i="7"/>
  <c r="U794" i="7"/>
  <c r="Q794" i="7"/>
  <c r="M794" i="7"/>
  <c r="S794" i="7"/>
  <c r="O794" i="7"/>
  <c r="U798" i="7"/>
  <c r="Q798" i="7"/>
  <c r="M798" i="7"/>
  <c r="S798" i="7"/>
  <c r="O798" i="7"/>
  <c r="U802" i="7"/>
  <c r="Q802" i="7"/>
  <c r="M802" i="7"/>
  <c r="S802" i="7"/>
  <c r="O802" i="7"/>
  <c r="U806" i="7"/>
  <c r="Q806" i="7"/>
  <c r="M806" i="7"/>
  <c r="S806" i="7"/>
  <c r="O806" i="7"/>
  <c r="U810" i="7"/>
  <c r="Q810" i="7"/>
  <c r="M810" i="7"/>
  <c r="S810" i="7"/>
  <c r="O810" i="7"/>
  <c r="U814" i="7"/>
  <c r="Q814" i="7"/>
  <c r="M814" i="7"/>
  <c r="S814" i="7"/>
  <c r="O814" i="7"/>
  <c r="U818" i="7"/>
  <c r="Q818" i="7"/>
  <c r="M818" i="7"/>
  <c r="S818" i="7"/>
  <c r="O818" i="7"/>
  <c r="U822" i="7"/>
  <c r="Q822" i="7"/>
  <c r="M822" i="7"/>
  <c r="S822" i="7"/>
  <c r="O822" i="7"/>
  <c r="U826" i="7"/>
  <c r="Q826" i="7"/>
  <c r="M826" i="7"/>
  <c r="S826" i="7"/>
  <c r="O826" i="7"/>
  <c r="U830" i="7"/>
  <c r="Q830" i="7"/>
  <c r="M830" i="7"/>
  <c r="S830" i="7"/>
  <c r="O830" i="7"/>
  <c r="U834" i="7"/>
  <c r="Q834" i="7"/>
  <c r="M834" i="7"/>
  <c r="S834" i="7"/>
  <c r="O834" i="7"/>
  <c r="U838" i="7"/>
  <c r="Q838" i="7"/>
  <c r="M838" i="7"/>
  <c r="S838" i="7"/>
  <c r="O838" i="7"/>
  <c r="U842" i="7"/>
  <c r="Q842" i="7"/>
  <c r="M842" i="7"/>
  <c r="S842" i="7"/>
  <c r="O842" i="7"/>
  <c r="U846" i="7"/>
  <c r="Q846" i="7"/>
  <c r="M846" i="7"/>
  <c r="S846" i="7"/>
  <c r="O846" i="7"/>
  <c r="U850" i="7"/>
  <c r="Q850" i="7"/>
  <c r="M850" i="7"/>
  <c r="S850" i="7"/>
  <c r="O850" i="7"/>
  <c r="U854" i="7"/>
  <c r="Q854" i="7"/>
  <c r="M854" i="7"/>
  <c r="S854" i="7"/>
  <c r="O854" i="7"/>
  <c r="U858" i="7"/>
  <c r="Q858" i="7"/>
  <c r="M858" i="7"/>
  <c r="S858" i="7"/>
  <c r="O858" i="7"/>
  <c r="U862" i="7"/>
  <c r="Q862" i="7"/>
  <c r="M862" i="7"/>
  <c r="S862" i="7"/>
  <c r="O862" i="7"/>
  <c r="U866" i="7"/>
  <c r="Q866" i="7"/>
  <c r="M866" i="7"/>
  <c r="S866" i="7"/>
  <c r="O866" i="7"/>
  <c r="U571" i="7"/>
  <c r="Q571" i="7"/>
  <c r="M571" i="7"/>
  <c r="S571" i="7"/>
  <c r="O571" i="7"/>
  <c r="U575" i="7"/>
  <c r="Q575" i="7"/>
  <c r="M575" i="7"/>
  <c r="S575" i="7"/>
  <c r="O575" i="7"/>
  <c r="U579" i="7"/>
  <c r="Q579" i="7"/>
  <c r="M579" i="7"/>
  <c r="S579" i="7"/>
  <c r="O579" i="7"/>
  <c r="U583" i="7"/>
  <c r="Q583" i="7"/>
  <c r="M583" i="7"/>
  <c r="S583" i="7"/>
  <c r="O583" i="7"/>
  <c r="U587" i="7"/>
  <c r="Q587" i="7"/>
  <c r="M587" i="7"/>
  <c r="S587" i="7"/>
  <c r="O587" i="7"/>
  <c r="U591" i="7"/>
  <c r="Q591" i="7"/>
  <c r="M591" i="7"/>
  <c r="S591" i="7"/>
  <c r="O591" i="7"/>
  <c r="U595" i="7"/>
  <c r="Q595" i="7"/>
  <c r="M595" i="7"/>
  <c r="S595" i="7"/>
  <c r="O595" i="7"/>
  <c r="U599" i="7"/>
  <c r="Q599" i="7"/>
  <c r="M599" i="7"/>
  <c r="S599" i="7"/>
  <c r="O599" i="7"/>
  <c r="U603" i="7"/>
  <c r="Q603" i="7"/>
  <c r="M603" i="7"/>
  <c r="S603" i="7"/>
  <c r="O603" i="7"/>
  <c r="U607" i="7"/>
  <c r="Q607" i="7"/>
  <c r="M607" i="7"/>
  <c r="S607" i="7"/>
  <c r="O607" i="7"/>
  <c r="U611" i="7"/>
  <c r="Q611" i="7"/>
  <c r="M611" i="7"/>
  <c r="S611" i="7"/>
  <c r="O611" i="7"/>
  <c r="U615" i="7"/>
  <c r="Q615" i="7"/>
  <c r="M615" i="7"/>
  <c r="S615" i="7"/>
  <c r="O615" i="7"/>
  <c r="U619" i="7"/>
  <c r="Q619" i="7"/>
  <c r="M619" i="7"/>
  <c r="S619" i="7"/>
  <c r="O619" i="7"/>
  <c r="U623" i="7"/>
  <c r="Q623" i="7"/>
  <c r="M623" i="7"/>
  <c r="S623" i="7"/>
  <c r="O623" i="7"/>
  <c r="U627" i="7"/>
  <c r="Q627" i="7"/>
  <c r="M627" i="7"/>
  <c r="S627" i="7"/>
  <c r="O627" i="7"/>
  <c r="U631" i="7"/>
  <c r="Q631" i="7"/>
  <c r="M631" i="7"/>
  <c r="S631" i="7"/>
  <c r="O631" i="7"/>
  <c r="U635" i="7"/>
  <c r="Q635" i="7"/>
  <c r="M635" i="7"/>
  <c r="S635" i="7"/>
  <c r="O635" i="7"/>
  <c r="U639" i="7"/>
  <c r="Q639" i="7"/>
  <c r="M639" i="7"/>
  <c r="S639" i="7"/>
  <c r="O639" i="7"/>
  <c r="U643" i="7"/>
  <c r="Q643" i="7"/>
  <c r="M643" i="7"/>
  <c r="S643" i="7"/>
  <c r="O643" i="7"/>
  <c r="U647" i="7"/>
  <c r="Q647" i="7"/>
  <c r="M647" i="7"/>
  <c r="S647" i="7"/>
  <c r="O647" i="7"/>
  <c r="U651" i="7"/>
  <c r="Q651" i="7"/>
  <c r="M651" i="7"/>
  <c r="S651" i="7"/>
  <c r="O651" i="7"/>
  <c r="U655" i="7"/>
  <c r="Q655" i="7"/>
  <c r="M655" i="7"/>
  <c r="S655" i="7"/>
  <c r="O655" i="7"/>
  <c r="U659" i="7"/>
  <c r="Q659" i="7"/>
  <c r="M659" i="7"/>
  <c r="S659" i="7"/>
  <c r="O659" i="7"/>
  <c r="U663" i="7"/>
  <c r="Q663" i="7"/>
  <c r="M663" i="7"/>
  <c r="S663" i="7"/>
  <c r="O663" i="7"/>
  <c r="U667" i="7"/>
  <c r="Q667" i="7"/>
  <c r="M667" i="7"/>
  <c r="S667" i="7"/>
  <c r="O667" i="7"/>
  <c r="U671" i="7"/>
  <c r="Q671" i="7"/>
  <c r="M671" i="7"/>
  <c r="S671" i="7"/>
  <c r="O671" i="7"/>
  <c r="U675" i="7"/>
  <c r="Q675" i="7"/>
  <c r="M675" i="7"/>
  <c r="S675" i="7"/>
  <c r="O675" i="7"/>
  <c r="U679" i="7"/>
  <c r="Q679" i="7"/>
  <c r="M679" i="7"/>
  <c r="S679" i="7"/>
  <c r="O679" i="7"/>
  <c r="U683" i="7"/>
  <c r="Q683" i="7"/>
  <c r="M683" i="7"/>
  <c r="S683" i="7"/>
  <c r="O683" i="7"/>
  <c r="U687" i="7"/>
  <c r="Q687" i="7"/>
  <c r="M687" i="7"/>
  <c r="S687" i="7"/>
  <c r="O687" i="7"/>
  <c r="U691" i="7"/>
  <c r="Q691" i="7"/>
  <c r="M691" i="7"/>
  <c r="S691" i="7"/>
  <c r="O691" i="7"/>
  <c r="U695" i="7"/>
  <c r="Q695" i="7"/>
  <c r="M695" i="7"/>
  <c r="S695" i="7"/>
  <c r="O695" i="7"/>
  <c r="U699" i="7"/>
  <c r="Q699" i="7"/>
  <c r="M699" i="7"/>
  <c r="S699" i="7"/>
  <c r="O699" i="7"/>
  <c r="U703" i="7"/>
  <c r="Q703" i="7"/>
  <c r="M703" i="7"/>
  <c r="S703" i="7"/>
  <c r="O703" i="7"/>
  <c r="U707" i="7"/>
  <c r="Q707" i="7"/>
  <c r="M707" i="7"/>
  <c r="S707" i="7"/>
  <c r="O707" i="7"/>
  <c r="U711" i="7"/>
  <c r="Q711" i="7"/>
  <c r="M711" i="7"/>
  <c r="S711" i="7"/>
  <c r="O711" i="7"/>
  <c r="U715" i="7"/>
  <c r="Q715" i="7"/>
  <c r="M715" i="7"/>
  <c r="S715" i="7"/>
  <c r="O715" i="7"/>
  <c r="U719" i="7"/>
  <c r="Q719" i="7"/>
  <c r="M719" i="7"/>
  <c r="S719" i="7"/>
  <c r="O719" i="7"/>
  <c r="U723" i="7"/>
  <c r="Q723" i="7"/>
  <c r="M723" i="7"/>
  <c r="S723" i="7"/>
  <c r="O723" i="7"/>
  <c r="U727" i="7"/>
  <c r="Q727" i="7"/>
  <c r="M727" i="7"/>
  <c r="S727" i="7"/>
  <c r="O727" i="7"/>
  <c r="U731" i="7"/>
  <c r="Q731" i="7"/>
  <c r="M731" i="7"/>
  <c r="S731" i="7"/>
  <c r="O731" i="7"/>
  <c r="U735" i="7"/>
  <c r="Q735" i="7"/>
  <c r="M735" i="7"/>
  <c r="S735" i="7"/>
  <c r="O735" i="7"/>
  <c r="U739" i="7"/>
  <c r="Q739" i="7"/>
  <c r="M739" i="7"/>
  <c r="S739" i="7"/>
  <c r="O739" i="7"/>
  <c r="U743" i="7"/>
  <c r="Q743" i="7"/>
  <c r="M743" i="7"/>
  <c r="S743" i="7"/>
  <c r="O743" i="7"/>
  <c r="U747" i="7"/>
  <c r="Q747" i="7"/>
  <c r="M747" i="7"/>
  <c r="S747" i="7"/>
  <c r="O747" i="7"/>
  <c r="U751" i="7"/>
  <c r="Q751" i="7"/>
  <c r="M751" i="7"/>
  <c r="S751" i="7"/>
  <c r="O751" i="7"/>
  <c r="U755" i="7"/>
  <c r="Q755" i="7"/>
  <c r="M755" i="7"/>
  <c r="S755" i="7"/>
  <c r="O755" i="7"/>
  <c r="U759" i="7"/>
  <c r="Q759" i="7"/>
  <c r="M759" i="7"/>
  <c r="S759" i="7"/>
  <c r="O759" i="7"/>
  <c r="U763" i="7"/>
  <c r="Q763" i="7"/>
  <c r="M763" i="7"/>
  <c r="S763" i="7"/>
  <c r="O763" i="7"/>
  <c r="U767" i="7"/>
  <c r="Q767" i="7"/>
  <c r="M767" i="7"/>
  <c r="S767" i="7"/>
  <c r="O767" i="7"/>
  <c r="U771" i="7"/>
  <c r="Q771" i="7"/>
  <c r="M771" i="7"/>
  <c r="S771" i="7"/>
  <c r="O771" i="7"/>
  <c r="U775" i="7"/>
  <c r="Q775" i="7"/>
  <c r="M775" i="7"/>
  <c r="S775" i="7"/>
  <c r="O775" i="7"/>
  <c r="U779" i="7"/>
  <c r="Q779" i="7"/>
  <c r="M779" i="7"/>
  <c r="S779" i="7"/>
  <c r="O779" i="7"/>
  <c r="U783" i="7"/>
  <c r="Q783" i="7"/>
  <c r="M783" i="7"/>
  <c r="S783" i="7"/>
  <c r="O783" i="7"/>
  <c r="U787" i="7"/>
  <c r="Q787" i="7"/>
  <c r="M787" i="7"/>
  <c r="S787" i="7"/>
  <c r="O787" i="7"/>
  <c r="U791" i="7"/>
  <c r="Q791" i="7"/>
  <c r="M791" i="7"/>
  <c r="S791" i="7"/>
  <c r="O791" i="7"/>
  <c r="U795" i="7"/>
  <c r="Q795" i="7"/>
  <c r="M795" i="7"/>
  <c r="S795" i="7"/>
  <c r="O795" i="7"/>
  <c r="U799" i="7"/>
  <c r="Q799" i="7"/>
  <c r="M799" i="7"/>
  <c r="S799" i="7"/>
  <c r="O799" i="7"/>
  <c r="U803" i="7"/>
  <c r="Q803" i="7"/>
  <c r="M803" i="7"/>
  <c r="S803" i="7"/>
  <c r="O803" i="7"/>
  <c r="U807" i="7"/>
  <c r="Q807" i="7"/>
  <c r="M807" i="7"/>
  <c r="S807" i="7"/>
  <c r="O807" i="7"/>
  <c r="U811" i="7"/>
  <c r="Q811" i="7"/>
  <c r="M811" i="7"/>
  <c r="S811" i="7"/>
  <c r="O811" i="7"/>
  <c r="U815" i="7"/>
  <c r="Q815" i="7"/>
  <c r="M815" i="7"/>
  <c r="S815" i="7"/>
  <c r="O815" i="7"/>
  <c r="U819" i="7"/>
  <c r="Q819" i="7"/>
  <c r="M819" i="7"/>
  <c r="S819" i="7"/>
  <c r="O819" i="7"/>
  <c r="U823" i="7"/>
  <c r="Q823" i="7"/>
  <c r="M823" i="7"/>
  <c r="S823" i="7"/>
  <c r="O823" i="7"/>
  <c r="U827" i="7"/>
  <c r="Q827" i="7"/>
  <c r="M827" i="7"/>
  <c r="S827" i="7"/>
  <c r="O827" i="7"/>
  <c r="U831" i="7"/>
  <c r="Q831" i="7"/>
  <c r="M831" i="7"/>
  <c r="S831" i="7"/>
  <c r="O831" i="7"/>
  <c r="U835" i="7"/>
  <c r="Q835" i="7"/>
  <c r="M835" i="7"/>
  <c r="S835" i="7"/>
  <c r="O835" i="7"/>
  <c r="U839" i="7"/>
  <c r="Q839" i="7"/>
  <c r="M839" i="7"/>
  <c r="S839" i="7"/>
  <c r="O839" i="7"/>
  <c r="U843" i="7"/>
  <c r="Q843" i="7"/>
  <c r="M843" i="7"/>
  <c r="S843" i="7"/>
  <c r="O843" i="7"/>
  <c r="U847" i="7"/>
  <c r="Q847" i="7"/>
  <c r="M847" i="7"/>
  <c r="S847" i="7"/>
  <c r="O847" i="7"/>
  <c r="U851" i="7"/>
  <c r="Q851" i="7"/>
  <c r="M851" i="7"/>
  <c r="S851" i="7"/>
  <c r="O851" i="7"/>
  <c r="U855" i="7"/>
  <c r="Q855" i="7"/>
  <c r="M855" i="7"/>
  <c r="S855" i="7"/>
  <c r="O855" i="7"/>
  <c r="U859" i="7"/>
  <c r="Q859" i="7"/>
  <c r="M859" i="7"/>
  <c r="S859" i="7"/>
  <c r="O859" i="7"/>
  <c r="U863" i="7"/>
  <c r="Q863" i="7"/>
  <c r="M863" i="7"/>
  <c r="S863" i="7"/>
  <c r="O863" i="7"/>
  <c r="U867" i="7"/>
  <c r="Q867" i="7"/>
  <c r="M867" i="7"/>
  <c r="S867" i="7"/>
  <c r="O867" i="7"/>
  <c r="O870" i="7"/>
  <c r="S870" i="7"/>
  <c r="M870" i="7"/>
  <c r="Q870" i="7"/>
  <c r="U870" i="7"/>
  <c r="U871" i="7"/>
  <c r="Q871" i="7"/>
  <c r="M871" i="7"/>
  <c r="O871" i="7"/>
  <c r="S871" i="7"/>
  <c r="U872" i="7"/>
  <c r="O872" i="7"/>
  <c r="S872" i="7"/>
  <c r="M872" i="7"/>
  <c r="Q872" i="7"/>
  <c r="O874" i="7"/>
  <c r="S874" i="7"/>
  <c r="M874" i="7"/>
  <c r="Q874" i="7"/>
  <c r="U874" i="7"/>
  <c r="U875" i="7"/>
  <c r="Q875" i="7"/>
  <c r="M875" i="7"/>
  <c r="O875" i="7"/>
  <c r="S875" i="7"/>
  <c r="U876" i="7"/>
  <c r="O876" i="7"/>
  <c r="S876" i="7"/>
  <c r="M876" i="7"/>
  <c r="Q876" i="7"/>
  <c r="O878" i="7"/>
  <c r="S878" i="7"/>
  <c r="M878" i="7"/>
  <c r="Q878" i="7"/>
  <c r="U878" i="7"/>
  <c r="U879" i="7"/>
  <c r="Q879" i="7"/>
  <c r="M879" i="7"/>
  <c r="O879" i="7"/>
  <c r="S879" i="7"/>
  <c r="U880" i="7"/>
  <c r="O880" i="7"/>
  <c r="S880" i="7"/>
  <c r="M880" i="7"/>
  <c r="Q880" i="7"/>
  <c r="O882" i="7"/>
  <c r="S882" i="7"/>
  <c r="M882" i="7"/>
  <c r="Q882" i="7"/>
  <c r="U882" i="7"/>
  <c r="U883" i="7"/>
  <c r="Q883" i="7"/>
  <c r="M883" i="7"/>
  <c r="O883" i="7"/>
  <c r="S883" i="7"/>
  <c r="U884" i="7"/>
  <c r="O884" i="7"/>
  <c r="S884" i="7"/>
  <c r="M884" i="7"/>
  <c r="Q884" i="7"/>
  <c r="O886" i="7"/>
  <c r="S886" i="7"/>
  <c r="M886" i="7"/>
  <c r="Q886" i="7"/>
  <c r="U886" i="7"/>
  <c r="U887" i="7"/>
  <c r="Q887" i="7"/>
  <c r="M887" i="7"/>
  <c r="O887" i="7"/>
  <c r="S887" i="7"/>
  <c r="U888" i="7"/>
  <c r="O888" i="7"/>
  <c r="S888" i="7"/>
  <c r="M888" i="7"/>
  <c r="Q888" i="7"/>
  <c r="O890" i="7"/>
  <c r="S890" i="7"/>
  <c r="M890" i="7"/>
  <c r="Q890" i="7"/>
  <c r="U890" i="7"/>
  <c r="U891" i="7"/>
  <c r="Q891" i="7"/>
  <c r="M891" i="7"/>
  <c r="O891" i="7"/>
  <c r="S891" i="7"/>
  <c r="U892" i="7"/>
  <c r="O892" i="7"/>
  <c r="S892" i="7"/>
  <c r="M892" i="7"/>
  <c r="Q892" i="7"/>
  <c r="O894" i="7"/>
  <c r="S894" i="7"/>
  <c r="M894" i="7"/>
  <c r="Q894" i="7"/>
  <c r="U894" i="7"/>
  <c r="U895" i="7"/>
  <c r="Q895" i="7"/>
  <c r="M895" i="7"/>
  <c r="O895" i="7"/>
  <c r="S895" i="7"/>
  <c r="U896" i="7"/>
  <c r="O896" i="7"/>
  <c r="S896" i="7"/>
  <c r="M896" i="7"/>
  <c r="Q896" i="7"/>
  <c r="O898" i="7"/>
  <c r="S898" i="7"/>
  <c r="M898" i="7"/>
  <c r="Q898" i="7"/>
  <c r="U898" i="7"/>
  <c r="U899" i="7"/>
  <c r="Q899" i="7"/>
  <c r="M899" i="7"/>
  <c r="O899" i="7"/>
  <c r="S899" i="7"/>
  <c r="U900" i="7"/>
  <c r="O900" i="7"/>
  <c r="S900" i="7"/>
  <c r="M900" i="7"/>
  <c r="Q900" i="7"/>
  <c r="O902" i="7"/>
  <c r="S902" i="7"/>
  <c r="M902" i="7"/>
  <c r="Q902" i="7"/>
  <c r="U902" i="7"/>
  <c r="U903" i="7"/>
  <c r="Q903" i="7"/>
  <c r="M903" i="7"/>
  <c r="O903" i="7"/>
  <c r="S903" i="7"/>
  <c r="U904" i="7"/>
  <c r="O904" i="7"/>
  <c r="S904" i="7"/>
  <c r="M904" i="7"/>
  <c r="Q904" i="7"/>
  <c r="O906" i="7"/>
  <c r="S906" i="7"/>
  <c r="M906" i="7"/>
  <c r="Q906" i="7"/>
  <c r="U906" i="7"/>
  <c r="U907" i="7"/>
  <c r="Q907" i="7"/>
  <c r="M907" i="7"/>
  <c r="O907" i="7"/>
  <c r="S907" i="7"/>
  <c r="U908" i="7"/>
  <c r="O908" i="7"/>
  <c r="S908" i="7"/>
  <c r="M908" i="7"/>
  <c r="Q908" i="7"/>
  <c r="O910" i="7"/>
  <c r="S910" i="7"/>
  <c r="M910" i="7"/>
  <c r="Q910" i="7"/>
  <c r="U910" i="7"/>
  <c r="U911" i="7"/>
  <c r="Q911" i="7"/>
  <c r="M911" i="7"/>
  <c r="O911" i="7"/>
  <c r="S911" i="7"/>
  <c r="U912" i="7"/>
  <c r="O912" i="7"/>
  <c r="S912" i="7"/>
  <c r="M912" i="7"/>
  <c r="Q912" i="7"/>
  <c r="O914" i="7"/>
  <c r="S914" i="7"/>
  <c r="M914" i="7"/>
  <c r="Q914" i="7"/>
  <c r="U914" i="7"/>
  <c r="U915" i="7"/>
  <c r="Q915" i="7"/>
  <c r="M915" i="7"/>
  <c r="O915" i="7"/>
  <c r="S915" i="7"/>
  <c r="U916" i="7"/>
  <c r="O916" i="7"/>
  <c r="S916" i="7"/>
  <c r="M916" i="7"/>
  <c r="Q916" i="7"/>
  <c r="S568" i="7"/>
  <c r="O568" i="7"/>
  <c r="U568" i="7"/>
  <c r="Q568" i="7"/>
  <c r="M568" i="7"/>
  <c r="S572" i="7"/>
  <c r="O572" i="7"/>
  <c r="U572" i="7"/>
  <c r="Q572" i="7"/>
  <c r="M572" i="7"/>
  <c r="S576" i="7"/>
  <c r="O576" i="7"/>
  <c r="U576" i="7"/>
  <c r="Q576" i="7"/>
  <c r="M576" i="7"/>
  <c r="S580" i="7"/>
  <c r="O580" i="7"/>
  <c r="U580" i="7"/>
  <c r="Q580" i="7"/>
  <c r="M580" i="7"/>
  <c r="S584" i="7"/>
  <c r="O584" i="7"/>
  <c r="U584" i="7"/>
  <c r="Q584" i="7"/>
  <c r="M584" i="7"/>
  <c r="S588" i="7"/>
  <c r="O588" i="7"/>
  <c r="U588" i="7"/>
  <c r="Q588" i="7"/>
  <c r="M588" i="7"/>
  <c r="S592" i="7"/>
  <c r="O592" i="7"/>
  <c r="U592" i="7"/>
  <c r="Q592" i="7"/>
  <c r="M592" i="7"/>
  <c r="S596" i="7"/>
  <c r="O596" i="7"/>
  <c r="U596" i="7"/>
  <c r="Q596" i="7"/>
  <c r="M596" i="7"/>
  <c r="S600" i="7"/>
  <c r="O600" i="7"/>
  <c r="U600" i="7"/>
  <c r="Q600" i="7"/>
  <c r="M600" i="7"/>
  <c r="S604" i="7"/>
  <c r="O604" i="7"/>
  <c r="U604" i="7"/>
  <c r="Q604" i="7"/>
  <c r="M604" i="7"/>
  <c r="S608" i="7"/>
  <c r="O608" i="7"/>
  <c r="U608" i="7"/>
  <c r="Q608" i="7"/>
  <c r="M608" i="7"/>
  <c r="S612" i="7"/>
  <c r="O612" i="7"/>
  <c r="U612" i="7"/>
  <c r="Q612" i="7"/>
  <c r="M612" i="7"/>
  <c r="S616" i="7"/>
  <c r="O616" i="7"/>
  <c r="U616" i="7"/>
  <c r="Q616" i="7"/>
  <c r="M616" i="7"/>
  <c r="S620" i="7"/>
  <c r="O620" i="7"/>
  <c r="U620" i="7"/>
  <c r="Q620" i="7"/>
  <c r="M620" i="7"/>
  <c r="S624" i="7"/>
  <c r="O624" i="7"/>
  <c r="U624" i="7"/>
  <c r="Q624" i="7"/>
  <c r="M624" i="7"/>
  <c r="S628" i="7"/>
  <c r="O628" i="7"/>
  <c r="U628" i="7"/>
  <c r="Q628" i="7"/>
  <c r="M628" i="7"/>
  <c r="S632" i="7"/>
  <c r="O632" i="7"/>
  <c r="U632" i="7"/>
  <c r="Q632" i="7"/>
  <c r="M632" i="7"/>
  <c r="S636" i="7"/>
  <c r="O636" i="7"/>
  <c r="U636" i="7"/>
  <c r="Q636" i="7"/>
  <c r="M636" i="7"/>
  <c r="S640" i="7"/>
  <c r="O640" i="7"/>
  <c r="U640" i="7"/>
  <c r="Q640" i="7"/>
  <c r="M640" i="7"/>
  <c r="S644" i="7"/>
  <c r="O644" i="7"/>
  <c r="U644" i="7"/>
  <c r="Q644" i="7"/>
  <c r="M644" i="7"/>
  <c r="S648" i="7"/>
  <c r="O648" i="7"/>
  <c r="U648" i="7"/>
  <c r="Q648" i="7"/>
  <c r="M648" i="7"/>
  <c r="S652" i="7"/>
  <c r="O652" i="7"/>
  <c r="U652" i="7"/>
  <c r="Q652" i="7"/>
  <c r="M652" i="7"/>
  <c r="S656" i="7"/>
  <c r="O656" i="7"/>
  <c r="U656" i="7"/>
  <c r="Q656" i="7"/>
  <c r="M656" i="7"/>
  <c r="S660" i="7"/>
  <c r="O660" i="7"/>
  <c r="U660" i="7"/>
  <c r="Q660" i="7"/>
  <c r="M660" i="7"/>
  <c r="S664" i="7"/>
  <c r="O664" i="7"/>
  <c r="U664" i="7"/>
  <c r="Q664" i="7"/>
  <c r="M664" i="7"/>
  <c r="S668" i="7"/>
  <c r="O668" i="7"/>
  <c r="U668" i="7"/>
  <c r="Q668" i="7"/>
  <c r="M668" i="7"/>
  <c r="S672" i="7"/>
  <c r="O672" i="7"/>
  <c r="U672" i="7"/>
  <c r="Q672" i="7"/>
  <c r="M672" i="7"/>
  <c r="S676" i="7"/>
  <c r="O676" i="7"/>
  <c r="U676" i="7"/>
  <c r="Q676" i="7"/>
  <c r="M676" i="7"/>
  <c r="S680" i="7"/>
  <c r="O680" i="7"/>
  <c r="U680" i="7"/>
  <c r="Q680" i="7"/>
  <c r="M680" i="7"/>
  <c r="S684" i="7"/>
  <c r="O684" i="7"/>
  <c r="U684" i="7"/>
  <c r="Q684" i="7"/>
  <c r="M684" i="7"/>
  <c r="S688" i="7"/>
  <c r="O688" i="7"/>
  <c r="U688" i="7"/>
  <c r="Q688" i="7"/>
  <c r="M688" i="7"/>
  <c r="S692" i="7"/>
  <c r="O692" i="7"/>
  <c r="U692" i="7"/>
  <c r="Q692" i="7"/>
  <c r="M692" i="7"/>
  <c r="S696" i="7"/>
  <c r="O696" i="7"/>
  <c r="U696" i="7"/>
  <c r="Q696" i="7"/>
  <c r="M696" i="7"/>
  <c r="S700" i="7"/>
  <c r="O700" i="7"/>
  <c r="U700" i="7"/>
  <c r="Q700" i="7"/>
  <c r="M700" i="7"/>
  <c r="S704" i="7"/>
  <c r="O704" i="7"/>
  <c r="U704" i="7"/>
  <c r="Q704" i="7"/>
  <c r="M704" i="7"/>
  <c r="S708" i="7"/>
  <c r="O708" i="7"/>
  <c r="U708" i="7"/>
  <c r="Q708" i="7"/>
  <c r="M708" i="7"/>
  <c r="S712" i="7"/>
  <c r="O712" i="7"/>
  <c r="U712" i="7"/>
  <c r="Q712" i="7"/>
  <c r="M712" i="7"/>
  <c r="S716" i="7"/>
  <c r="O716" i="7"/>
  <c r="U716" i="7"/>
  <c r="Q716" i="7"/>
  <c r="M716" i="7"/>
  <c r="S720" i="7"/>
  <c r="O720" i="7"/>
  <c r="U720" i="7"/>
  <c r="Q720" i="7"/>
  <c r="M720" i="7"/>
  <c r="S724" i="7"/>
  <c r="O724" i="7"/>
  <c r="U724" i="7"/>
  <c r="Q724" i="7"/>
  <c r="M724" i="7"/>
  <c r="S728" i="7"/>
  <c r="O728" i="7"/>
  <c r="U728" i="7"/>
  <c r="Q728" i="7"/>
  <c r="M728" i="7"/>
  <c r="S732" i="7"/>
  <c r="O732" i="7"/>
  <c r="U732" i="7"/>
  <c r="Q732" i="7"/>
  <c r="M732" i="7"/>
  <c r="S736" i="7"/>
  <c r="O736" i="7"/>
  <c r="U736" i="7"/>
  <c r="Q736" i="7"/>
  <c r="M736" i="7"/>
  <c r="S740" i="7"/>
  <c r="O740" i="7"/>
  <c r="U740" i="7"/>
  <c r="Q740" i="7"/>
  <c r="M740" i="7"/>
  <c r="S744" i="7"/>
  <c r="O744" i="7"/>
  <c r="U744" i="7"/>
  <c r="Q744" i="7"/>
  <c r="M744" i="7"/>
  <c r="S748" i="7"/>
  <c r="O748" i="7"/>
  <c r="U748" i="7"/>
  <c r="Q748" i="7"/>
  <c r="M748" i="7"/>
  <c r="S752" i="7"/>
  <c r="O752" i="7"/>
  <c r="U752" i="7"/>
  <c r="Q752" i="7"/>
  <c r="M752" i="7"/>
  <c r="S756" i="7"/>
  <c r="O756" i="7"/>
  <c r="U756" i="7"/>
  <c r="Q756" i="7"/>
  <c r="M756" i="7"/>
  <c r="S760" i="7"/>
  <c r="O760" i="7"/>
  <c r="U760" i="7"/>
  <c r="Q760" i="7"/>
  <c r="M760" i="7"/>
  <c r="S764" i="7"/>
  <c r="O764" i="7"/>
  <c r="U764" i="7"/>
  <c r="Q764" i="7"/>
  <c r="M764" i="7"/>
  <c r="S768" i="7"/>
  <c r="O768" i="7"/>
  <c r="U768" i="7"/>
  <c r="Q768" i="7"/>
  <c r="M768" i="7"/>
  <c r="S772" i="7"/>
  <c r="O772" i="7"/>
  <c r="U772" i="7"/>
  <c r="Q772" i="7"/>
  <c r="M772" i="7"/>
  <c r="S776" i="7"/>
  <c r="O776" i="7"/>
  <c r="U776" i="7"/>
  <c r="Q776" i="7"/>
  <c r="M776" i="7"/>
  <c r="S780" i="7"/>
  <c r="O780" i="7"/>
  <c r="U780" i="7"/>
  <c r="Q780" i="7"/>
  <c r="M780" i="7"/>
  <c r="S784" i="7"/>
  <c r="O784" i="7"/>
  <c r="U784" i="7"/>
  <c r="Q784" i="7"/>
  <c r="M784" i="7"/>
  <c r="S788" i="7"/>
  <c r="O788" i="7"/>
  <c r="U788" i="7"/>
  <c r="Q788" i="7"/>
  <c r="M788" i="7"/>
  <c r="S792" i="7"/>
  <c r="O792" i="7"/>
  <c r="U792" i="7"/>
  <c r="Q792" i="7"/>
  <c r="M792" i="7"/>
  <c r="S796" i="7"/>
  <c r="O796" i="7"/>
  <c r="U796" i="7"/>
  <c r="Q796" i="7"/>
  <c r="M796" i="7"/>
  <c r="S800" i="7"/>
  <c r="O800" i="7"/>
  <c r="U800" i="7"/>
  <c r="Q800" i="7"/>
  <c r="M800" i="7"/>
  <c r="S804" i="7"/>
  <c r="O804" i="7"/>
  <c r="U804" i="7"/>
  <c r="Q804" i="7"/>
  <c r="M804" i="7"/>
  <c r="S808" i="7"/>
  <c r="O808" i="7"/>
  <c r="U808" i="7"/>
  <c r="Q808" i="7"/>
  <c r="M808" i="7"/>
  <c r="S812" i="7"/>
  <c r="O812" i="7"/>
  <c r="U812" i="7"/>
  <c r="Q812" i="7"/>
  <c r="M812" i="7"/>
  <c r="S816" i="7"/>
  <c r="O816" i="7"/>
  <c r="U816" i="7"/>
  <c r="Q816" i="7"/>
  <c r="M816" i="7"/>
  <c r="S820" i="7"/>
  <c r="O820" i="7"/>
  <c r="U820" i="7"/>
  <c r="Q820" i="7"/>
  <c r="M820" i="7"/>
  <c r="S824" i="7"/>
  <c r="O824" i="7"/>
  <c r="U824" i="7"/>
  <c r="Q824" i="7"/>
  <c r="M824" i="7"/>
  <c r="S828" i="7"/>
  <c r="O828" i="7"/>
  <c r="U828" i="7"/>
  <c r="Q828" i="7"/>
  <c r="M828" i="7"/>
  <c r="S832" i="7"/>
  <c r="O832" i="7"/>
  <c r="U832" i="7"/>
  <c r="Q832" i="7"/>
  <c r="M832" i="7"/>
  <c r="S836" i="7"/>
  <c r="O836" i="7"/>
  <c r="U836" i="7"/>
  <c r="Q836" i="7"/>
  <c r="M836" i="7"/>
  <c r="S840" i="7"/>
  <c r="O840" i="7"/>
  <c r="U840" i="7"/>
  <c r="Q840" i="7"/>
  <c r="M840" i="7"/>
  <c r="S844" i="7"/>
  <c r="O844" i="7"/>
  <c r="U844" i="7"/>
  <c r="Q844" i="7"/>
  <c r="M844" i="7"/>
  <c r="S848" i="7"/>
  <c r="O848" i="7"/>
  <c r="U848" i="7"/>
  <c r="Q848" i="7"/>
  <c r="M848" i="7"/>
  <c r="S852" i="7"/>
  <c r="O852" i="7"/>
  <c r="U852" i="7"/>
  <c r="Q852" i="7"/>
  <c r="M852" i="7"/>
  <c r="S856" i="7"/>
  <c r="O856" i="7"/>
  <c r="U856" i="7"/>
  <c r="Q856" i="7"/>
  <c r="M856" i="7"/>
  <c r="S860" i="7"/>
  <c r="O860" i="7"/>
  <c r="U860" i="7"/>
  <c r="Q860" i="7"/>
  <c r="M860" i="7"/>
  <c r="S864" i="7"/>
  <c r="O864" i="7"/>
  <c r="U864" i="7"/>
  <c r="Q864" i="7"/>
  <c r="M864" i="7"/>
  <c r="S868" i="7"/>
  <c r="O868" i="7"/>
  <c r="U868" i="7"/>
  <c r="Q868" i="7"/>
  <c r="M868" i="7"/>
  <c r="U919" i="7"/>
  <c r="Q919" i="7"/>
  <c r="M919" i="7"/>
  <c r="O919" i="7"/>
  <c r="S919" i="7"/>
  <c r="U923" i="7"/>
  <c r="Q923" i="7"/>
  <c r="M923" i="7"/>
  <c r="O923" i="7"/>
  <c r="S923" i="7"/>
  <c r="U927" i="7"/>
  <c r="Q927" i="7"/>
  <c r="M927" i="7"/>
  <c r="S927" i="7"/>
  <c r="O927" i="7"/>
  <c r="S569" i="7"/>
  <c r="O569" i="7"/>
  <c r="U569" i="7"/>
  <c r="Q569" i="7"/>
  <c r="M569" i="7"/>
  <c r="S573" i="7"/>
  <c r="O573" i="7"/>
  <c r="U573" i="7"/>
  <c r="Q573" i="7"/>
  <c r="M573" i="7"/>
  <c r="S577" i="7"/>
  <c r="O577" i="7"/>
  <c r="U577" i="7"/>
  <c r="Q577" i="7"/>
  <c r="M577" i="7"/>
  <c r="S581" i="7"/>
  <c r="O581" i="7"/>
  <c r="U581" i="7"/>
  <c r="Q581" i="7"/>
  <c r="M581" i="7"/>
  <c r="S585" i="7"/>
  <c r="O585" i="7"/>
  <c r="U585" i="7"/>
  <c r="Q585" i="7"/>
  <c r="M585" i="7"/>
  <c r="S589" i="7"/>
  <c r="O589" i="7"/>
  <c r="U589" i="7"/>
  <c r="Q589" i="7"/>
  <c r="M589" i="7"/>
  <c r="S593" i="7"/>
  <c r="O593" i="7"/>
  <c r="U593" i="7"/>
  <c r="Q593" i="7"/>
  <c r="M593" i="7"/>
  <c r="S597" i="7"/>
  <c r="O597" i="7"/>
  <c r="U597" i="7"/>
  <c r="Q597" i="7"/>
  <c r="M597" i="7"/>
  <c r="S601" i="7"/>
  <c r="O601" i="7"/>
  <c r="U601" i="7"/>
  <c r="Q601" i="7"/>
  <c r="M601" i="7"/>
  <c r="S605" i="7"/>
  <c r="O605" i="7"/>
  <c r="U605" i="7"/>
  <c r="Q605" i="7"/>
  <c r="M605" i="7"/>
  <c r="S609" i="7"/>
  <c r="O609" i="7"/>
  <c r="U609" i="7"/>
  <c r="Q609" i="7"/>
  <c r="M609" i="7"/>
  <c r="S613" i="7"/>
  <c r="O613" i="7"/>
  <c r="U613" i="7"/>
  <c r="Q613" i="7"/>
  <c r="M613" i="7"/>
  <c r="S617" i="7"/>
  <c r="O617" i="7"/>
  <c r="U617" i="7"/>
  <c r="Q617" i="7"/>
  <c r="M617" i="7"/>
  <c r="S621" i="7"/>
  <c r="O621" i="7"/>
  <c r="U621" i="7"/>
  <c r="Q621" i="7"/>
  <c r="M621" i="7"/>
  <c r="S625" i="7"/>
  <c r="O625" i="7"/>
  <c r="U625" i="7"/>
  <c r="Q625" i="7"/>
  <c r="M625" i="7"/>
  <c r="S629" i="7"/>
  <c r="O629" i="7"/>
  <c r="U629" i="7"/>
  <c r="Q629" i="7"/>
  <c r="M629" i="7"/>
  <c r="S633" i="7"/>
  <c r="O633" i="7"/>
  <c r="U633" i="7"/>
  <c r="Q633" i="7"/>
  <c r="M633" i="7"/>
  <c r="S637" i="7"/>
  <c r="O637" i="7"/>
  <c r="U637" i="7"/>
  <c r="Q637" i="7"/>
  <c r="M637" i="7"/>
  <c r="S641" i="7"/>
  <c r="O641" i="7"/>
  <c r="U641" i="7"/>
  <c r="Q641" i="7"/>
  <c r="M641" i="7"/>
  <c r="S645" i="7"/>
  <c r="O645" i="7"/>
  <c r="U645" i="7"/>
  <c r="Q645" i="7"/>
  <c r="M645" i="7"/>
  <c r="S649" i="7"/>
  <c r="O649" i="7"/>
  <c r="U649" i="7"/>
  <c r="Q649" i="7"/>
  <c r="M649" i="7"/>
  <c r="S653" i="7"/>
  <c r="O653" i="7"/>
  <c r="U653" i="7"/>
  <c r="Q653" i="7"/>
  <c r="M653" i="7"/>
  <c r="S657" i="7"/>
  <c r="O657" i="7"/>
  <c r="U657" i="7"/>
  <c r="Q657" i="7"/>
  <c r="M657" i="7"/>
  <c r="S661" i="7"/>
  <c r="O661" i="7"/>
  <c r="U661" i="7"/>
  <c r="Q661" i="7"/>
  <c r="M661" i="7"/>
  <c r="S665" i="7"/>
  <c r="O665" i="7"/>
  <c r="U665" i="7"/>
  <c r="Q665" i="7"/>
  <c r="M665" i="7"/>
  <c r="S669" i="7"/>
  <c r="O669" i="7"/>
  <c r="U669" i="7"/>
  <c r="Q669" i="7"/>
  <c r="M669" i="7"/>
  <c r="S673" i="7"/>
  <c r="O673" i="7"/>
  <c r="U673" i="7"/>
  <c r="Q673" i="7"/>
  <c r="M673" i="7"/>
  <c r="S677" i="7"/>
  <c r="O677" i="7"/>
  <c r="U677" i="7"/>
  <c r="Q677" i="7"/>
  <c r="M677" i="7"/>
  <c r="S681" i="7"/>
  <c r="O681" i="7"/>
  <c r="U681" i="7"/>
  <c r="Q681" i="7"/>
  <c r="M681" i="7"/>
  <c r="S685" i="7"/>
  <c r="O685" i="7"/>
  <c r="U685" i="7"/>
  <c r="Q685" i="7"/>
  <c r="M685" i="7"/>
  <c r="S689" i="7"/>
  <c r="O689" i="7"/>
  <c r="U689" i="7"/>
  <c r="Q689" i="7"/>
  <c r="M689" i="7"/>
  <c r="S693" i="7"/>
  <c r="O693" i="7"/>
  <c r="U693" i="7"/>
  <c r="Q693" i="7"/>
  <c r="M693" i="7"/>
  <c r="S697" i="7"/>
  <c r="O697" i="7"/>
  <c r="U697" i="7"/>
  <c r="Q697" i="7"/>
  <c r="M697" i="7"/>
  <c r="S701" i="7"/>
  <c r="O701" i="7"/>
  <c r="U701" i="7"/>
  <c r="Q701" i="7"/>
  <c r="M701" i="7"/>
  <c r="S705" i="7"/>
  <c r="O705" i="7"/>
  <c r="U705" i="7"/>
  <c r="Q705" i="7"/>
  <c r="M705" i="7"/>
  <c r="S709" i="7"/>
  <c r="O709" i="7"/>
  <c r="U709" i="7"/>
  <c r="Q709" i="7"/>
  <c r="M709" i="7"/>
  <c r="S713" i="7"/>
  <c r="O713" i="7"/>
  <c r="U713" i="7"/>
  <c r="Q713" i="7"/>
  <c r="M713" i="7"/>
  <c r="S717" i="7"/>
  <c r="O717" i="7"/>
  <c r="U717" i="7"/>
  <c r="Q717" i="7"/>
  <c r="M717" i="7"/>
  <c r="S721" i="7"/>
  <c r="O721" i="7"/>
  <c r="U721" i="7"/>
  <c r="Q721" i="7"/>
  <c r="M721" i="7"/>
  <c r="S725" i="7"/>
  <c r="O725" i="7"/>
  <c r="U725" i="7"/>
  <c r="Q725" i="7"/>
  <c r="M725" i="7"/>
  <c r="S729" i="7"/>
  <c r="O729" i="7"/>
  <c r="U729" i="7"/>
  <c r="Q729" i="7"/>
  <c r="M729" i="7"/>
  <c r="S733" i="7"/>
  <c r="O733" i="7"/>
  <c r="U733" i="7"/>
  <c r="Q733" i="7"/>
  <c r="M733" i="7"/>
  <c r="S737" i="7"/>
  <c r="O737" i="7"/>
  <c r="U737" i="7"/>
  <c r="Q737" i="7"/>
  <c r="M737" i="7"/>
  <c r="S741" i="7"/>
  <c r="O741" i="7"/>
  <c r="U741" i="7"/>
  <c r="Q741" i="7"/>
  <c r="M741" i="7"/>
  <c r="S745" i="7"/>
  <c r="O745" i="7"/>
  <c r="U745" i="7"/>
  <c r="Q745" i="7"/>
  <c r="M745" i="7"/>
  <c r="S749" i="7"/>
  <c r="O749" i="7"/>
  <c r="U749" i="7"/>
  <c r="Q749" i="7"/>
  <c r="M749" i="7"/>
  <c r="S753" i="7"/>
  <c r="O753" i="7"/>
  <c r="U753" i="7"/>
  <c r="Q753" i="7"/>
  <c r="M753" i="7"/>
  <c r="S757" i="7"/>
  <c r="O757" i="7"/>
  <c r="U757" i="7"/>
  <c r="Q757" i="7"/>
  <c r="M757" i="7"/>
  <c r="S761" i="7"/>
  <c r="O761" i="7"/>
  <c r="U761" i="7"/>
  <c r="Q761" i="7"/>
  <c r="M761" i="7"/>
  <c r="S765" i="7"/>
  <c r="O765" i="7"/>
  <c r="U765" i="7"/>
  <c r="Q765" i="7"/>
  <c r="M765" i="7"/>
  <c r="S769" i="7"/>
  <c r="O769" i="7"/>
  <c r="U769" i="7"/>
  <c r="Q769" i="7"/>
  <c r="M769" i="7"/>
  <c r="S773" i="7"/>
  <c r="O773" i="7"/>
  <c r="U773" i="7"/>
  <c r="Q773" i="7"/>
  <c r="M773" i="7"/>
  <c r="S777" i="7"/>
  <c r="O777" i="7"/>
  <c r="U777" i="7"/>
  <c r="Q777" i="7"/>
  <c r="M777" i="7"/>
  <c r="S781" i="7"/>
  <c r="O781" i="7"/>
  <c r="U781" i="7"/>
  <c r="Q781" i="7"/>
  <c r="M781" i="7"/>
  <c r="S785" i="7"/>
  <c r="O785" i="7"/>
  <c r="U785" i="7"/>
  <c r="Q785" i="7"/>
  <c r="M785" i="7"/>
  <c r="S789" i="7"/>
  <c r="O789" i="7"/>
  <c r="U789" i="7"/>
  <c r="Q789" i="7"/>
  <c r="M789" i="7"/>
  <c r="S793" i="7"/>
  <c r="O793" i="7"/>
  <c r="U793" i="7"/>
  <c r="Q793" i="7"/>
  <c r="M793" i="7"/>
  <c r="S797" i="7"/>
  <c r="O797" i="7"/>
  <c r="U797" i="7"/>
  <c r="Q797" i="7"/>
  <c r="M797" i="7"/>
  <c r="S801" i="7"/>
  <c r="O801" i="7"/>
  <c r="U801" i="7"/>
  <c r="Q801" i="7"/>
  <c r="M801" i="7"/>
  <c r="S805" i="7"/>
  <c r="O805" i="7"/>
  <c r="U805" i="7"/>
  <c r="Q805" i="7"/>
  <c r="M805" i="7"/>
  <c r="S809" i="7"/>
  <c r="O809" i="7"/>
  <c r="U809" i="7"/>
  <c r="Q809" i="7"/>
  <c r="M809" i="7"/>
  <c r="S813" i="7"/>
  <c r="O813" i="7"/>
  <c r="U813" i="7"/>
  <c r="Q813" i="7"/>
  <c r="M813" i="7"/>
  <c r="S817" i="7"/>
  <c r="O817" i="7"/>
  <c r="U817" i="7"/>
  <c r="Q817" i="7"/>
  <c r="M817" i="7"/>
  <c r="S821" i="7"/>
  <c r="O821" i="7"/>
  <c r="U821" i="7"/>
  <c r="Q821" i="7"/>
  <c r="M821" i="7"/>
  <c r="S825" i="7"/>
  <c r="O825" i="7"/>
  <c r="U825" i="7"/>
  <c r="Q825" i="7"/>
  <c r="M825" i="7"/>
  <c r="S829" i="7"/>
  <c r="O829" i="7"/>
  <c r="U829" i="7"/>
  <c r="Q829" i="7"/>
  <c r="M829" i="7"/>
  <c r="S833" i="7"/>
  <c r="O833" i="7"/>
  <c r="U833" i="7"/>
  <c r="Q833" i="7"/>
  <c r="M833" i="7"/>
  <c r="S837" i="7"/>
  <c r="O837" i="7"/>
  <c r="U837" i="7"/>
  <c r="Q837" i="7"/>
  <c r="M837" i="7"/>
  <c r="S841" i="7"/>
  <c r="O841" i="7"/>
  <c r="U841" i="7"/>
  <c r="Q841" i="7"/>
  <c r="M841" i="7"/>
  <c r="S845" i="7"/>
  <c r="O845" i="7"/>
  <c r="U845" i="7"/>
  <c r="Q845" i="7"/>
  <c r="M845" i="7"/>
  <c r="S849" i="7"/>
  <c r="O849" i="7"/>
  <c r="U849" i="7"/>
  <c r="Q849" i="7"/>
  <c r="M849" i="7"/>
  <c r="S853" i="7"/>
  <c r="O853" i="7"/>
  <c r="U853" i="7"/>
  <c r="Q853" i="7"/>
  <c r="M853" i="7"/>
  <c r="S857" i="7"/>
  <c r="O857" i="7"/>
  <c r="U857" i="7"/>
  <c r="Q857" i="7"/>
  <c r="M857" i="7"/>
  <c r="S861" i="7"/>
  <c r="O861" i="7"/>
  <c r="U861" i="7"/>
  <c r="Q861" i="7"/>
  <c r="M861" i="7"/>
  <c r="S865" i="7"/>
  <c r="O865" i="7"/>
  <c r="U865" i="7"/>
  <c r="Q865" i="7"/>
  <c r="M865" i="7"/>
  <c r="S869" i="7"/>
  <c r="O869" i="7"/>
  <c r="Q869" i="7"/>
  <c r="M869" i="7"/>
  <c r="U869" i="7"/>
  <c r="U918" i="7"/>
  <c r="Q918" i="7"/>
  <c r="M918" i="7"/>
  <c r="O918" i="7"/>
  <c r="S918" i="7"/>
  <c r="U922" i="7"/>
  <c r="Q922" i="7"/>
  <c r="M922" i="7"/>
  <c r="O922" i="7"/>
  <c r="S922" i="7"/>
  <c r="U926" i="7"/>
  <c r="Q926" i="7"/>
  <c r="M926" i="7"/>
  <c r="O926" i="7"/>
  <c r="S926" i="7"/>
  <c r="U930" i="7"/>
  <c r="Q930" i="7"/>
  <c r="M930" i="7"/>
  <c r="S930" i="7"/>
  <c r="O930" i="7"/>
  <c r="U934" i="7"/>
  <c r="Q934" i="7"/>
  <c r="M934" i="7"/>
  <c r="S934" i="7"/>
  <c r="O934" i="7"/>
  <c r="U938" i="7"/>
  <c r="Q938" i="7"/>
  <c r="M938" i="7"/>
  <c r="S938" i="7"/>
  <c r="O938" i="7"/>
  <c r="U942" i="7"/>
  <c r="Q942" i="7"/>
  <c r="M942" i="7"/>
  <c r="S942" i="7"/>
  <c r="O942" i="7"/>
  <c r="U946" i="7"/>
  <c r="Q946" i="7"/>
  <c r="M946" i="7"/>
  <c r="S946" i="7"/>
  <c r="O946" i="7"/>
  <c r="U950" i="7"/>
  <c r="Q950" i="7"/>
  <c r="M950" i="7"/>
  <c r="S950" i="7"/>
  <c r="O950" i="7"/>
  <c r="U954" i="7"/>
  <c r="Q954" i="7"/>
  <c r="M954" i="7"/>
  <c r="S954" i="7"/>
  <c r="O954" i="7"/>
  <c r="U958" i="7"/>
  <c r="Q958" i="7"/>
  <c r="M958" i="7"/>
  <c r="S958" i="7"/>
  <c r="O958" i="7"/>
  <c r="U962" i="7"/>
  <c r="Q962" i="7"/>
  <c r="M962" i="7"/>
  <c r="S962" i="7"/>
  <c r="O962" i="7"/>
  <c r="U966" i="7"/>
  <c r="Q966" i="7"/>
  <c r="M966" i="7"/>
  <c r="S966" i="7"/>
  <c r="O966" i="7"/>
  <c r="U970" i="7"/>
  <c r="Q970" i="7"/>
  <c r="M970" i="7"/>
  <c r="S970" i="7"/>
  <c r="O970" i="7"/>
  <c r="U974" i="7"/>
  <c r="Q974" i="7"/>
  <c r="M974" i="7"/>
  <c r="S974" i="7"/>
  <c r="O974" i="7"/>
  <c r="U978" i="7"/>
  <c r="Q978" i="7"/>
  <c r="M978" i="7"/>
  <c r="S978" i="7"/>
  <c r="O978" i="7"/>
  <c r="U982" i="7"/>
  <c r="Q982" i="7"/>
  <c r="M982" i="7"/>
  <c r="S982" i="7"/>
  <c r="O982" i="7"/>
  <c r="U986" i="7"/>
  <c r="Q986" i="7"/>
  <c r="M986" i="7"/>
  <c r="S986" i="7"/>
  <c r="O986" i="7"/>
  <c r="U990" i="7"/>
  <c r="Q990" i="7"/>
  <c r="M990" i="7"/>
  <c r="S990" i="7"/>
  <c r="O990" i="7"/>
  <c r="U994" i="7"/>
  <c r="Q994" i="7"/>
  <c r="M994" i="7"/>
  <c r="S994" i="7"/>
  <c r="O994" i="7"/>
  <c r="U998" i="7"/>
  <c r="Q998" i="7"/>
  <c r="M998" i="7"/>
  <c r="S998" i="7"/>
  <c r="O998" i="7"/>
  <c r="U1002" i="7"/>
  <c r="Q1002" i="7"/>
  <c r="M1002" i="7"/>
  <c r="S1002" i="7"/>
  <c r="O1002" i="7"/>
  <c r="U1006" i="7"/>
  <c r="Q1006" i="7"/>
  <c r="M1006" i="7"/>
  <c r="S1006" i="7"/>
  <c r="O1006" i="7"/>
  <c r="U1010" i="7"/>
  <c r="Q1010" i="7"/>
  <c r="M1010" i="7"/>
  <c r="S1010" i="7"/>
  <c r="O1010" i="7"/>
  <c r="U1014" i="7"/>
  <c r="Q1014" i="7"/>
  <c r="M1014" i="7"/>
  <c r="S1014" i="7"/>
  <c r="O1014" i="7"/>
  <c r="U1018" i="7"/>
  <c r="Q1018" i="7"/>
  <c r="M1018" i="7"/>
  <c r="S1018" i="7"/>
  <c r="O1018" i="7"/>
  <c r="U1022" i="7"/>
  <c r="Q1022" i="7"/>
  <c r="M1022" i="7"/>
  <c r="S1022" i="7"/>
  <c r="O1022" i="7"/>
  <c r="U1026" i="7"/>
  <c r="Q1026" i="7"/>
  <c r="M1026" i="7"/>
  <c r="S1026" i="7"/>
  <c r="O1026" i="7"/>
  <c r="U1030" i="7"/>
  <c r="Q1030" i="7"/>
  <c r="M1030" i="7"/>
  <c r="S1030" i="7"/>
  <c r="O1030" i="7"/>
  <c r="U1034" i="7"/>
  <c r="Q1034" i="7"/>
  <c r="M1034" i="7"/>
  <c r="S1034" i="7"/>
  <c r="O1034" i="7"/>
  <c r="U1038" i="7"/>
  <c r="Q1038" i="7"/>
  <c r="M1038" i="7"/>
  <c r="S1038" i="7"/>
  <c r="O1038" i="7"/>
  <c r="U1042" i="7"/>
  <c r="Q1042" i="7"/>
  <c r="M1042" i="7"/>
  <c r="S1042" i="7"/>
  <c r="O1042" i="7"/>
  <c r="U1046" i="7"/>
  <c r="Q1046" i="7"/>
  <c r="M1046" i="7"/>
  <c r="S1046" i="7"/>
  <c r="O1046" i="7"/>
  <c r="U1050" i="7"/>
  <c r="Q1050" i="7"/>
  <c r="M1050" i="7"/>
  <c r="S1050" i="7"/>
  <c r="O1050" i="7"/>
  <c r="U1054" i="7"/>
  <c r="Q1054" i="7"/>
  <c r="M1054" i="7"/>
  <c r="S1054" i="7"/>
  <c r="O1054" i="7"/>
  <c r="U1058" i="7"/>
  <c r="Q1058" i="7"/>
  <c r="M1058" i="7"/>
  <c r="S1058" i="7"/>
  <c r="O1058" i="7"/>
  <c r="U1062" i="7"/>
  <c r="Q1062" i="7"/>
  <c r="M1062" i="7"/>
  <c r="S1062" i="7"/>
  <c r="O1062" i="7"/>
  <c r="U1066" i="7"/>
  <c r="Q1066" i="7"/>
  <c r="M1066" i="7"/>
  <c r="S1066" i="7"/>
  <c r="O1066" i="7"/>
  <c r="U1070" i="7"/>
  <c r="Q1070" i="7"/>
  <c r="M1070" i="7"/>
  <c r="S1070" i="7"/>
  <c r="O1070" i="7"/>
  <c r="U1074" i="7"/>
  <c r="Q1074" i="7"/>
  <c r="M1074" i="7"/>
  <c r="S1074" i="7"/>
  <c r="O1074" i="7"/>
  <c r="U1078" i="7"/>
  <c r="Q1078" i="7"/>
  <c r="M1078" i="7"/>
  <c r="S1078" i="7"/>
  <c r="O1078" i="7"/>
  <c r="U1082" i="7"/>
  <c r="Q1082" i="7"/>
  <c r="M1082" i="7"/>
  <c r="S1082" i="7"/>
  <c r="O1082" i="7"/>
  <c r="U1086" i="7"/>
  <c r="Q1086" i="7"/>
  <c r="M1086" i="7"/>
  <c r="S1086" i="7"/>
  <c r="O1086" i="7"/>
  <c r="U1090" i="7"/>
  <c r="Q1090" i="7"/>
  <c r="M1090" i="7"/>
  <c r="O1090" i="7"/>
  <c r="S1090" i="7"/>
  <c r="U931" i="7"/>
  <c r="Q931" i="7"/>
  <c r="M931" i="7"/>
  <c r="S931" i="7"/>
  <c r="O931" i="7"/>
  <c r="U935" i="7"/>
  <c r="Q935" i="7"/>
  <c r="M935" i="7"/>
  <c r="S935" i="7"/>
  <c r="O935" i="7"/>
  <c r="U939" i="7"/>
  <c r="Q939" i="7"/>
  <c r="M939" i="7"/>
  <c r="S939" i="7"/>
  <c r="O939" i="7"/>
  <c r="U943" i="7"/>
  <c r="Q943" i="7"/>
  <c r="M943" i="7"/>
  <c r="S943" i="7"/>
  <c r="O943" i="7"/>
  <c r="U947" i="7"/>
  <c r="Q947" i="7"/>
  <c r="M947" i="7"/>
  <c r="S947" i="7"/>
  <c r="O947" i="7"/>
  <c r="U951" i="7"/>
  <c r="Q951" i="7"/>
  <c r="M951" i="7"/>
  <c r="S951" i="7"/>
  <c r="O951" i="7"/>
  <c r="U955" i="7"/>
  <c r="Q955" i="7"/>
  <c r="M955" i="7"/>
  <c r="S955" i="7"/>
  <c r="O955" i="7"/>
  <c r="U959" i="7"/>
  <c r="Q959" i="7"/>
  <c r="M959" i="7"/>
  <c r="S959" i="7"/>
  <c r="O959" i="7"/>
  <c r="U963" i="7"/>
  <c r="Q963" i="7"/>
  <c r="M963" i="7"/>
  <c r="S963" i="7"/>
  <c r="O963" i="7"/>
  <c r="U967" i="7"/>
  <c r="Q967" i="7"/>
  <c r="M967" i="7"/>
  <c r="S967" i="7"/>
  <c r="O967" i="7"/>
  <c r="U971" i="7"/>
  <c r="Q971" i="7"/>
  <c r="M971" i="7"/>
  <c r="S971" i="7"/>
  <c r="O971" i="7"/>
  <c r="U975" i="7"/>
  <c r="Q975" i="7"/>
  <c r="M975" i="7"/>
  <c r="S975" i="7"/>
  <c r="O975" i="7"/>
  <c r="U979" i="7"/>
  <c r="Q979" i="7"/>
  <c r="M979" i="7"/>
  <c r="S979" i="7"/>
  <c r="O979" i="7"/>
  <c r="U983" i="7"/>
  <c r="Q983" i="7"/>
  <c r="M983" i="7"/>
  <c r="S983" i="7"/>
  <c r="O983" i="7"/>
  <c r="U987" i="7"/>
  <c r="Q987" i="7"/>
  <c r="M987" i="7"/>
  <c r="S987" i="7"/>
  <c r="O987" i="7"/>
  <c r="U991" i="7"/>
  <c r="Q991" i="7"/>
  <c r="M991" i="7"/>
  <c r="S991" i="7"/>
  <c r="O991" i="7"/>
  <c r="U995" i="7"/>
  <c r="Q995" i="7"/>
  <c r="M995" i="7"/>
  <c r="S995" i="7"/>
  <c r="O995" i="7"/>
  <c r="U999" i="7"/>
  <c r="Q999" i="7"/>
  <c r="M999" i="7"/>
  <c r="S999" i="7"/>
  <c r="O999" i="7"/>
  <c r="U1003" i="7"/>
  <c r="Q1003" i="7"/>
  <c r="M1003" i="7"/>
  <c r="S1003" i="7"/>
  <c r="O1003" i="7"/>
  <c r="U1007" i="7"/>
  <c r="Q1007" i="7"/>
  <c r="M1007" i="7"/>
  <c r="S1007" i="7"/>
  <c r="O1007" i="7"/>
  <c r="U1011" i="7"/>
  <c r="Q1011" i="7"/>
  <c r="M1011" i="7"/>
  <c r="S1011" i="7"/>
  <c r="O1011" i="7"/>
  <c r="U1015" i="7"/>
  <c r="Q1015" i="7"/>
  <c r="M1015" i="7"/>
  <c r="S1015" i="7"/>
  <c r="O1015" i="7"/>
  <c r="U1019" i="7"/>
  <c r="Q1019" i="7"/>
  <c r="M1019" i="7"/>
  <c r="S1019" i="7"/>
  <c r="O1019" i="7"/>
  <c r="U1023" i="7"/>
  <c r="Q1023" i="7"/>
  <c r="M1023" i="7"/>
  <c r="S1023" i="7"/>
  <c r="O1023" i="7"/>
  <c r="U1027" i="7"/>
  <c r="Q1027" i="7"/>
  <c r="M1027" i="7"/>
  <c r="S1027" i="7"/>
  <c r="O1027" i="7"/>
  <c r="U1031" i="7"/>
  <c r="Q1031" i="7"/>
  <c r="M1031" i="7"/>
  <c r="S1031" i="7"/>
  <c r="O1031" i="7"/>
  <c r="U1035" i="7"/>
  <c r="Q1035" i="7"/>
  <c r="M1035" i="7"/>
  <c r="S1035" i="7"/>
  <c r="O1035" i="7"/>
  <c r="U1039" i="7"/>
  <c r="Q1039" i="7"/>
  <c r="M1039" i="7"/>
  <c r="S1039" i="7"/>
  <c r="O1039" i="7"/>
  <c r="U1043" i="7"/>
  <c r="Q1043" i="7"/>
  <c r="M1043" i="7"/>
  <c r="S1043" i="7"/>
  <c r="O1043" i="7"/>
  <c r="U1047" i="7"/>
  <c r="Q1047" i="7"/>
  <c r="M1047" i="7"/>
  <c r="S1047" i="7"/>
  <c r="O1047" i="7"/>
  <c r="U1051" i="7"/>
  <c r="Q1051" i="7"/>
  <c r="M1051" i="7"/>
  <c r="S1051" i="7"/>
  <c r="O1051" i="7"/>
  <c r="U1055" i="7"/>
  <c r="Q1055" i="7"/>
  <c r="M1055" i="7"/>
  <c r="S1055" i="7"/>
  <c r="O1055" i="7"/>
  <c r="U1059" i="7"/>
  <c r="Q1059" i="7"/>
  <c r="M1059" i="7"/>
  <c r="S1059" i="7"/>
  <c r="O1059" i="7"/>
  <c r="U1063" i="7"/>
  <c r="Q1063" i="7"/>
  <c r="M1063" i="7"/>
  <c r="S1063" i="7"/>
  <c r="O1063" i="7"/>
  <c r="U1067" i="7"/>
  <c r="Q1067" i="7"/>
  <c r="M1067" i="7"/>
  <c r="S1067" i="7"/>
  <c r="O1067" i="7"/>
  <c r="U1071" i="7"/>
  <c r="Q1071" i="7"/>
  <c r="M1071" i="7"/>
  <c r="S1071" i="7"/>
  <c r="O1071" i="7"/>
  <c r="U1075" i="7"/>
  <c r="Q1075" i="7"/>
  <c r="M1075" i="7"/>
  <c r="S1075" i="7"/>
  <c r="O1075" i="7"/>
  <c r="U1079" i="7"/>
  <c r="Q1079" i="7"/>
  <c r="M1079" i="7"/>
  <c r="S1079" i="7"/>
  <c r="O1079" i="7"/>
  <c r="U1083" i="7"/>
  <c r="Q1083" i="7"/>
  <c r="M1083" i="7"/>
  <c r="S1083" i="7"/>
  <c r="O1083" i="7"/>
  <c r="U1087" i="7"/>
  <c r="Q1087" i="7"/>
  <c r="M1087" i="7"/>
  <c r="S1087" i="7"/>
  <c r="O1087" i="7"/>
  <c r="S920" i="7"/>
  <c r="O920" i="7"/>
  <c r="Q920" i="7"/>
  <c r="U920" i="7"/>
  <c r="M920" i="7"/>
  <c r="S924" i="7"/>
  <c r="O924" i="7"/>
  <c r="Q924" i="7"/>
  <c r="U924" i="7"/>
  <c r="M924" i="7"/>
  <c r="S928" i="7"/>
  <c r="O928" i="7"/>
  <c r="U928" i="7"/>
  <c r="Q928" i="7"/>
  <c r="M928" i="7"/>
  <c r="S932" i="7"/>
  <c r="O932" i="7"/>
  <c r="U932" i="7"/>
  <c r="Q932" i="7"/>
  <c r="M932" i="7"/>
  <c r="S936" i="7"/>
  <c r="O936" i="7"/>
  <c r="U936" i="7"/>
  <c r="Q936" i="7"/>
  <c r="M936" i="7"/>
  <c r="S940" i="7"/>
  <c r="O940" i="7"/>
  <c r="U940" i="7"/>
  <c r="Q940" i="7"/>
  <c r="M940" i="7"/>
  <c r="S944" i="7"/>
  <c r="O944" i="7"/>
  <c r="U944" i="7"/>
  <c r="Q944" i="7"/>
  <c r="M944" i="7"/>
  <c r="S948" i="7"/>
  <c r="O948" i="7"/>
  <c r="U948" i="7"/>
  <c r="Q948" i="7"/>
  <c r="M948" i="7"/>
  <c r="S952" i="7"/>
  <c r="O952" i="7"/>
  <c r="U952" i="7"/>
  <c r="Q952" i="7"/>
  <c r="M952" i="7"/>
  <c r="S956" i="7"/>
  <c r="O956" i="7"/>
  <c r="U956" i="7"/>
  <c r="Q956" i="7"/>
  <c r="M956" i="7"/>
  <c r="S960" i="7"/>
  <c r="O960" i="7"/>
  <c r="U960" i="7"/>
  <c r="Q960" i="7"/>
  <c r="M960" i="7"/>
  <c r="S964" i="7"/>
  <c r="O964" i="7"/>
  <c r="U964" i="7"/>
  <c r="Q964" i="7"/>
  <c r="M964" i="7"/>
  <c r="S968" i="7"/>
  <c r="O968" i="7"/>
  <c r="U968" i="7"/>
  <c r="Q968" i="7"/>
  <c r="M968" i="7"/>
  <c r="S972" i="7"/>
  <c r="O972" i="7"/>
  <c r="U972" i="7"/>
  <c r="Q972" i="7"/>
  <c r="M972" i="7"/>
  <c r="S976" i="7"/>
  <c r="O976" i="7"/>
  <c r="U976" i="7"/>
  <c r="Q976" i="7"/>
  <c r="M976" i="7"/>
  <c r="S980" i="7"/>
  <c r="O980" i="7"/>
  <c r="U980" i="7"/>
  <c r="Q980" i="7"/>
  <c r="M980" i="7"/>
  <c r="S984" i="7"/>
  <c r="O984" i="7"/>
  <c r="U984" i="7"/>
  <c r="Q984" i="7"/>
  <c r="M984" i="7"/>
  <c r="S988" i="7"/>
  <c r="O988" i="7"/>
  <c r="U988" i="7"/>
  <c r="Q988" i="7"/>
  <c r="M988" i="7"/>
  <c r="S992" i="7"/>
  <c r="O992" i="7"/>
  <c r="U992" i="7"/>
  <c r="Q992" i="7"/>
  <c r="M992" i="7"/>
  <c r="S996" i="7"/>
  <c r="O996" i="7"/>
  <c r="U996" i="7"/>
  <c r="Q996" i="7"/>
  <c r="M996" i="7"/>
  <c r="S1000" i="7"/>
  <c r="O1000" i="7"/>
  <c r="U1000" i="7"/>
  <c r="Q1000" i="7"/>
  <c r="M1000" i="7"/>
  <c r="S1004" i="7"/>
  <c r="O1004" i="7"/>
  <c r="U1004" i="7"/>
  <c r="Q1004" i="7"/>
  <c r="M1004" i="7"/>
  <c r="S1008" i="7"/>
  <c r="O1008" i="7"/>
  <c r="U1008" i="7"/>
  <c r="Q1008" i="7"/>
  <c r="M1008" i="7"/>
  <c r="S1012" i="7"/>
  <c r="O1012" i="7"/>
  <c r="U1012" i="7"/>
  <c r="Q1012" i="7"/>
  <c r="M1012" i="7"/>
  <c r="S1016" i="7"/>
  <c r="O1016" i="7"/>
  <c r="U1016" i="7"/>
  <c r="Q1016" i="7"/>
  <c r="M1016" i="7"/>
  <c r="S1020" i="7"/>
  <c r="O1020" i="7"/>
  <c r="U1020" i="7"/>
  <c r="Q1020" i="7"/>
  <c r="M1020" i="7"/>
  <c r="S1024" i="7"/>
  <c r="O1024" i="7"/>
  <c r="U1024" i="7"/>
  <c r="Q1024" i="7"/>
  <c r="M1024" i="7"/>
  <c r="S1028" i="7"/>
  <c r="O1028" i="7"/>
  <c r="U1028" i="7"/>
  <c r="Q1028" i="7"/>
  <c r="M1028" i="7"/>
  <c r="S1032" i="7"/>
  <c r="O1032" i="7"/>
  <c r="U1032" i="7"/>
  <c r="Q1032" i="7"/>
  <c r="M1032" i="7"/>
  <c r="S1036" i="7"/>
  <c r="O1036" i="7"/>
  <c r="U1036" i="7"/>
  <c r="Q1036" i="7"/>
  <c r="M1036" i="7"/>
  <c r="S1040" i="7"/>
  <c r="O1040" i="7"/>
  <c r="U1040" i="7"/>
  <c r="Q1040" i="7"/>
  <c r="M1040" i="7"/>
  <c r="S1044" i="7"/>
  <c r="O1044" i="7"/>
  <c r="U1044" i="7"/>
  <c r="Q1044" i="7"/>
  <c r="M1044" i="7"/>
  <c r="S1048" i="7"/>
  <c r="O1048" i="7"/>
  <c r="U1048" i="7"/>
  <c r="Q1048" i="7"/>
  <c r="M1048" i="7"/>
  <c r="S1052" i="7"/>
  <c r="O1052" i="7"/>
  <c r="U1052" i="7"/>
  <c r="Q1052" i="7"/>
  <c r="M1052" i="7"/>
  <c r="S1056" i="7"/>
  <c r="O1056" i="7"/>
  <c r="U1056" i="7"/>
  <c r="Q1056" i="7"/>
  <c r="M1056" i="7"/>
  <c r="S1060" i="7"/>
  <c r="O1060" i="7"/>
  <c r="U1060" i="7"/>
  <c r="Q1060" i="7"/>
  <c r="M1060" i="7"/>
  <c r="S1064" i="7"/>
  <c r="O1064" i="7"/>
  <c r="U1064" i="7"/>
  <c r="Q1064" i="7"/>
  <c r="M1064" i="7"/>
  <c r="S1068" i="7"/>
  <c r="O1068" i="7"/>
  <c r="U1068" i="7"/>
  <c r="Q1068" i="7"/>
  <c r="M1068" i="7"/>
  <c r="S1072" i="7"/>
  <c r="O1072" i="7"/>
  <c r="U1072" i="7"/>
  <c r="Q1072" i="7"/>
  <c r="M1072" i="7"/>
  <c r="S1076" i="7"/>
  <c r="O1076" i="7"/>
  <c r="U1076" i="7"/>
  <c r="Q1076" i="7"/>
  <c r="M1076" i="7"/>
  <c r="S1080" i="7"/>
  <c r="O1080" i="7"/>
  <c r="U1080" i="7"/>
  <c r="Q1080" i="7"/>
  <c r="M1080" i="7"/>
  <c r="S1084" i="7"/>
  <c r="O1084" i="7"/>
  <c r="U1084" i="7"/>
  <c r="Q1084" i="7"/>
  <c r="M1084" i="7"/>
  <c r="S1088" i="7"/>
  <c r="O1088" i="7"/>
  <c r="U1088" i="7"/>
  <c r="Q1088" i="7"/>
  <c r="M1088" i="7"/>
  <c r="U1094" i="7"/>
  <c r="Q1094" i="7"/>
  <c r="M1094" i="7"/>
  <c r="S1094" i="7"/>
  <c r="O1094" i="7"/>
  <c r="S873" i="7"/>
  <c r="O873" i="7"/>
  <c r="M873" i="7"/>
  <c r="Q873" i="7"/>
  <c r="U873" i="7"/>
  <c r="S877" i="7"/>
  <c r="O877" i="7"/>
  <c r="M877" i="7"/>
  <c r="Q877" i="7"/>
  <c r="U877" i="7"/>
  <c r="S881" i="7"/>
  <c r="O881" i="7"/>
  <c r="M881" i="7"/>
  <c r="Q881" i="7"/>
  <c r="U881" i="7"/>
  <c r="S885" i="7"/>
  <c r="O885" i="7"/>
  <c r="M885" i="7"/>
  <c r="Q885" i="7"/>
  <c r="U885" i="7"/>
  <c r="S889" i="7"/>
  <c r="O889" i="7"/>
  <c r="M889" i="7"/>
  <c r="Q889" i="7"/>
  <c r="U889" i="7"/>
  <c r="S893" i="7"/>
  <c r="O893" i="7"/>
  <c r="M893" i="7"/>
  <c r="Q893" i="7"/>
  <c r="U893" i="7"/>
  <c r="S897" i="7"/>
  <c r="O897" i="7"/>
  <c r="M897" i="7"/>
  <c r="Q897" i="7"/>
  <c r="U897" i="7"/>
  <c r="S901" i="7"/>
  <c r="O901" i="7"/>
  <c r="M901" i="7"/>
  <c r="Q901" i="7"/>
  <c r="U901" i="7"/>
  <c r="S905" i="7"/>
  <c r="O905" i="7"/>
  <c r="M905" i="7"/>
  <c r="Q905" i="7"/>
  <c r="U905" i="7"/>
  <c r="S909" i="7"/>
  <c r="O909" i="7"/>
  <c r="M909" i="7"/>
  <c r="Q909" i="7"/>
  <c r="U909" i="7"/>
  <c r="S913" i="7"/>
  <c r="O913" i="7"/>
  <c r="M913" i="7"/>
  <c r="Q913" i="7"/>
  <c r="U913" i="7"/>
  <c r="S917" i="7"/>
  <c r="O917" i="7"/>
  <c r="M917" i="7"/>
  <c r="Q917" i="7"/>
  <c r="U917" i="7"/>
  <c r="S921" i="7"/>
  <c r="O921" i="7"/>
  <c r="Q921" i="7"/>
  <c r="U921" i="7"/>
  <c r="M921" i="7"/>
  <c r="S925" i="7"/>
  <c r="O925" i="7"/>
  <c r="Q925" i="7"/>
  <c r="U925" i="7"/>
  <c r="M925" i="7"/>
  <c r="S929" i="7"/>
  <c r="O929" i="7"/>
  <c r="U929" i="7"/>
  <c r="Q929" i="7"/>
  <c r="M929" i="7"/>
  <c r="S933" i="7"/>
  <c r="O933" i="7"/>
  <c r="U933" i="7"/>
  <c r="Q933" i="7"/>
  <c r="M933" i="7"/>
  <c r="S937" i="7"/>
  <c r="O937" i="7"/>
  <c r="U937" i="7"/>
  <c r="Q937" i="7"/>
  <c r="M937" i="7"/>
  <c r="S941" i="7"/>
  <c r="O941" i="7"/>
  <c r="U941" i="7"/>
  <c r="Q941" i="7"/>
  <c r="M941" i="7"/>
  <c r="S945" i="7"/>
  <c r="O945" i="7"/>
  <c r="U945" i="7"/>
  <c r="Q945" i="7"/>
  <c r="M945" i="7"/>
  <c r="S949" i="7"/>
  <c r="O949" i="7"/>
  <c r="U949" i="7"/>
  <c r="Q949" i="7"/>
  <c r="M949" i="7"/>
  <c r="S953" i="7"/>
  <c r="O953" i="7"/>
  <c r="U953" i="7"/>
  <c r="Q953" i="7"/>
  <c r="M953" i="7"/>
  <c r="S957" i="7"/>
  <c r="O957" i="7"/>
  <c r="U957" i="7"/>
  <c r="Q957" i="7"/>
  <c r="M957" i="7"/>
  <c r="S961" i="7"/>
  <c r="O961" i="7"/>
  <c r="U961" i="7"/>
  <c r="Q961" i="7"/>
  <c r="M961" i="7"/>
  <c r="S965" i="7"/>
  <c r="O965" i="7"/>
  <c r="U965" i="7"/>
  <c r="Q965" i="7"/>
  <c r="M965" i="7"/>
  <c r="S969" i="7"/>
  <c r="O969" i="7"/>
  <c r="U969" i="7"/>
  <c r="Q969" i="7"/>
  <c r="M969" i="7"/>
  <c r="S973" i="7"/>
  <c r="O973" i="7"/>
  <c r="U973" i="7"/>
  <c r="Q973" i="7"/>
  <c r="M973" i="7"/>
  <c r="S977" i="7"/>
  <c r="O977" i="7"/>
  <c r="U977" i="7"/>
  <c r="Q977" i="7"/>
  <c r="M977" i="7"/>
  <c r="S981" i="7"/>
  <c r="O981" i="7"/>
  <c r="U981" i="7"/>
  <c r="Q981" i="7"/>
  <c r="M981" i="7"/>
  <c r="S985" i="7"/>
  <c r="O985" i="7"/>
  <c r="U985" i="7"/>
  <c r="Q985" i="7"/>
  <c r="M985" i="7"/>
  <c r="S989" i="7"/>
  <c r="O989" i="7"/>
  <c r="U989" i="7"/>
  <c r="Q989" i="7"/>
  <c r="M989" i="7"/>
  <c r="S993" i="7"/>
  <c r="O993" i="7"/>
  <c r="U993" i="7"/>
  <c r="Q993" i="7"/>
  <c r="M993" i="7"/>
  <c r="S997" i="7"/>
  <c r="O997" i="7"/>
  <c r="U997" i="7"/>
  <c r="Q997" i="7"/>
  <c r="M997" i="7"/>
  <c r="S1001" i="7"/>
  <c r="O1001" i="7"/>
  <c r="U1001" i="7"/>
  <c r="Q1001" i="7"/>
  <c r="M1001" i="7"/>
  <c r="S1005" i="7"/>
  <c r="O1005" i="7"/>
  <c r="U1005" i="7"/>
  <c r="Q1005" i="7"/>
  <c r="M1005" i="7"/>
  <c r="S1009" i="7"/>
  <c r="O1009" i="7"/>
  <c r="U1009" i="7"/>
  <c r="Q1009" i="7"/>
  <c r="M1009" i="7"/>
  <c r="S1013" i="7"/>
  <c r="O1013" i="7"/>
  <c r="U1013" i="7"/>
  <c r="Q1013" i="7"/>
  <c r="M1013" i="7"/>
  <c r="S1017" i="7"/>
  <c r="O1017" i="7"/>
  <c r="U1017" i="7"/>
  <c r="Q1017" i="7"/>
  <c r="M1017" i="7"/>
  <c r="S1021" i="7"/>
  <c r="O1021" i="7"/>
  <c r="U1021" i="7"/>
  <c r="Q1021" i="7"/>
  <c r="M1021" i="7"/>
  <c r="S1025" i="7"/>
  <c r="O1025" i="7"/>
  <c r="U1025" i="7"/>
  <c r="Q1025" i="7"/>
  <c r="M1025" i="7"/>
  <c r="S1029" i="7"/>
  <c r="O1029" i="7"/>
  <c r="U1029" i="7"/>
  <c r="Q1029" i="7"/>
  <c r="M1029" i="7"/>
  <c r="S1033" i="7"/>
  <c r="O1033" i="7"/>
  <c r="U1033" i="7"/>
  <c r="Q1033" i="7"/>
  <c r="M1033" i="7"/>
  <c r="S1037" i="7"/>
  <c r="O1037" i="7"/>
  <c r="U1037" i="7"/>
  <c r="Q1037" i="7"/>
  <c r="M1037" i="7"/>
  <c r="S1041" i="7"/>
  <c r="O1041" i="7"/>
  <c r="U1041" i="7"/>
  <c r="Q1041" i="7"/>
  <c r="M1041" i="7"/>
  <c r="S1045" i="7"/>
  <c r="O1045" i="7"/>
  <c r="U1045" i="7"/>
  <c r="Q1045" i="7"/>
  <c r="M1045" i="7"/>
  <c r="S1049" i="7"/>
  <c r="O1049" i="7"/>
  <c r="U1049" i="7"/>
  <c r="Q1049" i="7"/>
  <c r="M1049" i="7"/>
  <c r="S1053" i="7"/>
  <c r="O1053" i="7"/>
  <c r="U1053" i="7"/>
  <c r="Q1053" i="7"/>
  <c r="M1053" i="7"/>
  <c r="S1057" i="7"/>
  <c r="O1057" i="7"/>
  <c r="U1057" i="7"/>
  <c r="Q1057" i="7"/>
  <c r="M1057" i="7"/>
  <c r="S1061" i="7"/>
  <c r="O1061" i="7"/>
  <c r="U1061" i="7"/>
  <c r="Q1061" i="7"/>
  <c r="M1061" i="7"/>
  <c r="S1065" i="7"/>
  <c r="O1065" i="7"/>
  <c r="U1065" i="7"/>
  <c r="Q1065" i="7"/>
  <c r="M1065" i="7"/>
  <c r="S1069" i="7"/>
  <c r="O1069" i="7"/>
  <c r="U1069" i="7"/>
  <c r="Q1069" i="7"/>
  <c r="M1069" i="7"/>
  <c r="S1073" i="7"/>
  <c r="O1073" i="7"/>
  <c r="U1073" i="7"/>
  <c r="Q1073" i="7"/>
  <c r="M1073" i="7"/>
  <c r="S1077" i="7"/>
  <c r="O1077" i="7"/>
  <c r="U1077" i="7"/>
  <c r="Q1077" i="7"/>
  <c r="M1077" i="7"/>
  <c r="S1081" i="7"/>
  <c r="O1081" i="7"/>
  <c r="U1081" i="7"/>
  <c r="Q1081" i="7"/>
  <c r="M1081" i="7"/>
  <c r="S1085" i="7"/>
  <c r="O1085" i="7"/>
  <c r="U1085" i="7"/>
  <c r="Q1085" i="7"/>
  <c r="M1085" i="7"/>
  <c r="S1089" i="7"/>
  <c r="O1089" i="7"/>
  <c r="U1089" i="7"/>
  <c r="Q1089" i="7"/>
  <c r="M1089" i="7"/>
  <c r="S1092" i="7"/>
  <c r="O1092" i="7"/>
  <c r="U1092" i="7"/>
  <c r="Q1092" i="7"/>
  <c r="M1092" i="7"/>
  <c r="U1096" i="7"/>
  <c r="Q1096" i="7"/>
  <c r="M1096" i="7"/>
  <c r="S1096" i="7"/>
  <c r="O1096" i="7"/>
  <c r="U1100" i="7"/>
  <c r="Q1100" i="7"/>
  <c r="M1100" i="7"/>
  <c r="S1100" i="7"/>
  <c r="O1100" i="7"/>
  <c r="U1104" i="7"/>
  <c r="Q1104" i="7"/>
  <c r="M1104" i="7"/>
  <c r="S1104" i="7"/>
  <c r="O1104" i="7"/>
  <c r="U1108" i="7"/>
  <c r="Q1108" i="7"/>
  <c r="M1108" i="7"/>
  <c r="S1108" i="7"/>
  <c r="O1108" i="7"/>
  <c r="U1112" i="7"/>
  <c r="Q1112" i="7"/>
  <c r="M1112" i="7"/>
  <c r="S1112" i="7"/>
  <c r="O1112" i="7"/>
  <c r="U1116" i="7"/>
  <c r="Q1116" i="7"/>
  <c r="M1116" i="7"/>
  <c r="S1116" i="7"/>
  <c r="O1116" i="7"/>
  <c r="U1120" i="7"/>
  <c r="Q1120" i="7"/>
  <c r="M1120" i="7"/>
  <c r="S1120" i="7"/>
  <c r="O1120" i="7"/>
  <c r="U1124" i="7"/>
  <c r="Q1124" i="7"/>
  <c r="M1124" i="7"/>
  <c r="S1124" i="7"/>
  <c r="O1124" i="7"/>
  <c r="U1128" i="7"/>
  <c r="Q1128" i="7"/>
  <c r="M1128" i="7"/>
  <c r="S1128" i="7"/>
  <c r="O1128" i="7"/>
  <c r="U1132" i="7"/>
  <c r="Q1132" i="7"/>
  <c r="M1132" i="7"/>
  <c r="S1132" i="7"/>
  <c r="O1132" i="7"/>
  <c r="U1136" i="7"/>
  <c r="Q1136" i="7"/>
  <c r="M1136" i="7"/>
  <c r="S1136" i="7"/>
  <c r="O1136" i="7"/>
  <c r="U1140" i="7"/>
  <c r="Q1140" i="7"/>
  <c r="M1140" i="7"/>
  <c r="S1140" i="7"/>
  <c r="O1140" i="7"/>
  <c r="U1144" i="7"/>
  <c r="Q1144" i="7"/>
  <c r="M1144" i="7"/>
  <c r="S1144" i="7"/>
  <c r="O1144" i="7"/>
  <c r="U1148" i="7"/>
  <c r="Q1148" i="7"/>
  <c r="M1148" i="7"/>
  <c r="S1148" i="7"/>
  <c r="O1148" i="7"/>
  <c r="U1152" i="7"/>
  <c r="Q1152" i="7"/>
  <c r="M1152" i="7"/>
  <c r="S1152" i="7"/>
  <c r="O1152" i="7"/>
  <c r="U1156" i="7"/>
  <c r="Q1156" i="7"/>
  <c r="M1156" i="7"/>
  <c r="S1156" i="7"/>
  <c r="O1156" i="7"/>
  <c r="U1160" i="7"/>
  <c r="Q1160" i="7"/>
  <c r="M1160" i="7"/>
  <c r="S1160" i="7"/>
  <c r="O1160" i="7"/>
  <c r="U1164" i="7"/>
  <c r="Q1164" i="7"/>
  <c r="M1164" i="7"/>
  <c r="S1164" i="7"/>
  <c r="O1164" i="7"/>
  <c r="U1168" i="7"/>
  <c r="Q1168" i="7"/>
  <c r="M1168" i="7"/>
  <c r="S1168" i="7"/>
  <c r="O1168" i="7"/>
  <c r="U1172" i="7"/>
  <c r="Q1172" i="7"/>
  <c r="M1172" i="7"/>
  <c r="S1172" i="7"/>
  <c r="O1172" i="7"/>
  <c r="U1176" i="7"/>
  <c r="Q1176" i="7"/>
  <c r="M1176" i="7"/>
  <c r="S1176" i="7"/>
  <c r="O1176" i="7"/>
  <c r="U1180" i="7"/>
  <c r="Q1180" i="7"/>
  <c r="M1180" i="7"/>
  <c r="S1180" i="7"/>
  <c r="O1180" i="7"/>
  <c r="U1184" i="7"/>
  <c r="Q1184" i="7"/>
  <c r="M1184" i="7"/>
  <c r="S1184" i="7"/>
  <c r="O1184" i="7"/>
  <c r="U1188" i="7"/>
  <c r="Q1188" i="7"/>
  <c r="M1188" i="7"/>
  <c r="S1188" i="7"/>
  <c r="O1188" i="7"/>
  <c r="U1192" i="7"/>
  <c r="Q1192" i="7"/>
  <c r="M1192" i="7"/>
  <c r="S1192" i="7"/>
  <c r="O1192" i="7"/>
  <c r="U1196" i="7"/>
  <c r="Q1196" i="7"/>
  <c r="M1196" i="7"/>
  <c r="S1196" i="7"/>
  <c r="O1196" i="7"/>
  <c r="U1200" i="7"/>
  <c r="Q1200" i="7"/>
  <c r="M1200" i="7"/>
  <c r="S1200" i="7"/>
  <c r="O1200" i="7"/>
  <c r="U1204" i="7"/>
  <c r="Q1204" i="7"/>
  <c r="M1204" i="7"/>
  <c r="S1204" i="7"/>
  <c r="O1204" i="7"/>
  <c r="U1208" i="7"/>
  <c r="Q1208" i="7"/>
  <c r="M1208" i="7"/>
  <c r="S1208" i="7"/>
  <c r="O1208" i="7"/>
  <c r="U1212" i="7"/>
  <c r="Q1212" i="7"/>
  <c r="M1212" i="7"/>
  <c r="S1212" i="7"/>
  <c r="O1212" i="7"/>
  <c r="U1216" i="7"/>
  <c r="Q1216" i="7"/>
  <c r="M1216" i="7"/>
  <c r="S1216" i="7"/>
  <c r="O1216" i="7"/>
  <c r="U1220" i="7"/>
  <c r="Q1220" i="7"/>
  <c r="M1220" i="7"/>
  <c r="S1220" i="7"/>
  <c r="O1220" i="7"/>
  <c r="U1224" i="7"/>
  <c r="Q1224" i="7"/>
  <c r="M1224" i="7"/>
  <c r="S1224" i="7"/>
  <c r="O1224" i="7"/>
  <c r="U1228" i="7"/>
  <c r="Q1228" i="7"/>
  <c r="M1228" i="7"/>
  <c r="S1228" i="7"/>
  <c r="O1228" i="7"/>
  <c r="U1232" i="7"/>
  <c r="Q1232" i="7"/>
  <c r="M1232" i="7"/>
  <c r="S1232" i="7"/>
  <c r="O1232" i="7"/>
  <c r="U1236" i="7"/>
  <c r="Q1236" i="7"/>
  <c r="M1236" i="7"/>
  <c r="S1236" i="7"/>
  <c r="O1236" i="7"/>
  <c r="U1240" i="7"/>
  <c r="Q1240" i="7"/>
  <c r="M1240" i="7"/>
  <c r="S1240" i="7"/>
  <c r="O1240" i="7"/>
  <c r="U1244" i="7"/>
  <c r="Q1244" i="7"/>
  <c r="M1244" i="7"/>
  <c r="S1244" i="7"/>
  <c r="O1244" i="7"/>
  <c r="U1248" i="7"/>
  <c r="Q1248" i="7"/>
  <c r="M1248" i="7"/>
  <c r="S1248" i="7"/>
  <c r="O1248" i="7"/>
  <c r="U1252" i="7"/>
  <c r="Q1252" i="7"/>
  <c r="M1252" i="7"/>
  <c r="S1252" i="7"/>
  <c r="O1252" i="7"/>
  <c r="U1262" i="7"/>
  <c r="Q1262" i="7"/>
  <c r="M1262" i="7"/>
  <c r="S1262" i="7"/>
  <c r="O1262" i="7"/>
  <c r="U1266" i="7"/>
  <c r="Q1266" i="7"/>
  <c r="M1266" i="7"/>
  <c r="S1266" i="7"/>
  <c r="O1266" i="7"/>
  <c r="U1093" i="7"/>
  <c r="Q1093" i="7"/>
  <c r="M1093" i="7"/>
  <c r="S1093" i="7"/>
  <c r="O1093" i="7"/>
  <c r="U1097" i="7"/>
  <c r="Q1097" i="7"/>
  <c r="M1097" i="7"/>
  <c r="S1097" i="7"/>
  <c r="O1097" i="7"/>
  <c r="U1101" i="7"/>
  <c r="Q1101" i="7"/>
  <c r="M1101" i="7"/>
  <c r="S1101" i="7"/>
  <c r="O1101" i="7"/>
  <c r="U1105" i="7"/>
  <c r="Q1105" i="7"/>
  <c r="M1105" i="7"/>
  <c r="S1105" i="7"/>
  <c r="O1105" i="7"/>
  <c r="U1109" i="7"/>
  <c r="Q1109" i="7"/>
  <c r="M1109" i="7"/>
  <c r="S1109" i="7"/>
  <c r="O1109" i="7"/>
  <c r="U1113" i="7"/>
  <c r="Q1113" i="7"/>
  <c r="M1113" i="7"/>
  <c r="S1113" i="7"/>
  <c r="O1113" i="7"/>
  <c r="U1117" i="7"/>
  <c r="Q1117" i="7"/>
  <c r="M1117" i="7"/>
  <c r="S1117" i="7"/>
  <c r="O1117" i="7"/>
  <c r="U1121" i="7"/>
  <c r="Q1121" i="7"/>
  <c r="M1121" i="7"/>
  <c r="S1121" i="7"/>
  <c r="O1121" i="7"/>
  <c r="U1125" i="7"/>
  <c r="Q1125" i="7"/>
  <c r="M1125" i="7"/>
  <c r="S1125" i="7"/>
  <c r="O1125" i="7"/>
  <c r="U1129" i="7"/>
  <c r="Q1129" i="7"/>
  <c r="M1129" i="7"/>
  <c r="S1129" i="7"/>
  <c r="O1129" i="7"/>
  <c r="U1133" i="7"/>
  <c r="Q1133" i="7"/>
  <c r="M1133" i="7"/>
  <c r="S1133" i="7"/>
  <c r="O1133" i="7"/>
  <c r="U1137" i="7"/>
  <c r="Q1137" i="7"/>
  <c r="M1137" i="7"/>
  <c r="S1137" i="7"/>
  <c r="O1137" i="7"/>
  <c r="U1141" i="7"/>
  <c r="Q1141" i="7"/>
  <c r="M1141" i="7"/>
  <c r="S1141" i="7"/>
  <c r="O1141" i="7"/>
  <c r="U1145" i="7"/>
  <c r="Q1145" i="7"/>
  <c r="M1145" i="7"/>
  <c r="S1145" i="7"/>
  <c r="O1145" i="7"/>
  <c r="U1149" i="7"/>
  <c r="Q1149" i="7"/>
  <c r="M1149" i="7"/>
  <c r="S1149" i="7"/>
  <c r="O1149" i="7"/>
  <c r="U1153" i="7"/>
  <c r="Q1153" i="7"/>
  <c r="M1153" i="7"/>
  <c r="S1153" i="7"/>
  <c r="O1153" i="7"/>
  <c r="U1157" i="7"/>
  <c r="Q1157" i="7"/>
  <c r="M1157" i="7"/>
  <c r="S1157" i="7"/>
  <c r="O1157" i="7"/>
  <c r="U1161" i="7"/>
  <c r="Q1161" i="7"/>
  <c r="M1161" i="7"/>
  <c r="S1161" i="7"/>
  <c r="O1161" i="7"/>
  <c r="U1165" i="7"/>
  <c r="Q1165" i="7"/>
  <c r="M1165" i="7"/>
  <c r="S1165" i="7"/>
  <c r="O1165" i="7"/>
  <c r="U1169" i="7"/>
  <c r="Q1169" i="7"/>
  <c r="M1169" i="7"/>
  <c r="S1169" i="7"/>
  <c r="O1169" i="7"/>
  <c r="U1173" i="7"/>
  <c r="Q1173" i="7"/>
  <c r="M1173" i="7"/>
  <c r="S1173" i="7"/>
  <c r="O1173" i="7"/>
  <c r="U1177" i="7"/>
  <c r="Q1177" i="7"/>
  <c r="M1177" i="7"/>
  <c r="S1177" i="7"/>
  <c r="O1177" i="7"/>
  <c r="U1181" i="7"/>
  <c r="Q1181" i="7"/>
  <c r="M1181" i="7"/>
  <c r="S1181" i="7"/>
  <c r="O1181" i="7"/>
  <c r="U1185" i="7"/>
  <c r="Q1185" i="7"/>
  <c r="M1185" i="7"/>
  <c r="S1185" i="7"/>
  <c r="O1185" i="7"/>
  <c r="U1189" i="7"/>
  <c r="Q1189" i="7"/>
  <c r="M1189" i="7"/>
  <c r="S1189" i="7"/>
  <c r="O1189" i="7"/>
  <c r="U1193" i="7"/>
  <c r="Q1193" i="7"/>
  <c r="M1193" i="7"/>
  <c r="S1193" i="7"/>
  <c r="O1193" i="7"/>
  <c r="U1197" i="7"/>
  <c r="Q1197" i="7"/>
  <c r="M1197" i="7"/>
  <c r="S1197" i="7"/>
  <c r="O1197" i="7"/>
  <c r="U1201" i="7"/>
  <c r="Q1201" i="7"/>
  <c r="M1201" i="7"/>
  <c r="S1201" i="7"/>
  <c r="O1201" i="7"/>
  <c r="U1205" i="7"/>
  <c r="Q1205" i="7"/>
  <c r="M1205" i="7"/>
  <c r="S1205" i="7"/>
  <c r="O1205" i="7"/>
  <c r="U1209" i="7"/>
  <c r="Q1209" i="7"/>
  <c r="M1209" i="7"/>
  <c r="S1209" i="7"/>
  <c r="O1209" i="7"/>
  <c r="U1213" i="7"/>
  <c r="Q1213" i="7"/>
  <c r="M1213" i="7"/>
  <c r="S1213" i="7"/>
  <c r="O1213" i="7"/>
  <c r="U1217" i="7"/>
  <c r="Q1217" i="7"/>
  <c r="M1217" i="7"/>
  <c r="S1217" i="7"/>
  <c r="O1217" i="7"/>
  <c r="U1221" i="7"/>
  <c r="Q1221" i="7"/>
  <c r="M1221" i="7"/>
  <c r="S1221" i="7"/>
  <c r="O1221" i="7"/>
  <c r="U1225" i="7"/>
  <c r="Q1225" i="7"/>
  <c r="M1225" i="7"/>
  <c r="S1225" i="7"/>
  <c r="O1225" i="7"/>
  <c r="U1229" i="7"/>
  <c r="Q1229" i="7"/>
  <c r="M1229" i="7"/>
  <c r="S1229" i="7"/>
  <c r="O1229" i="7"/>
  <c r="U1233" i="7"/>
  <c r="Q1233" i="7"/>
  <c r="M1233" i="7"/>
  <c r="S1233" i="7"/>
  <c r="O1233" i="7"/>
  <c r="U1237" i="7"/>
  <c r="Q1237" i="7"/>
  <c r="M1237" i="7"/>
  <c r="S1237" i="7"/>
  <c r="O1237" i="7"/>
  <c r="U1241" i="7"/>
  <c r="Q1241" i="7"/>
  <c r="M1241" i="7"/>
  <c r="S1241" i="7"/>
  <c r="O1241" i="7"/>
  <c r="U1245" i="7"/>
  <c r="Q1245" i="7"/>
  <c r="M1245" i="7"/>
  <c r="S1245" i="7"/>
  <c r="O1245" i="7"/>
  <c r="U1249" i="7"/>
  <c r="Q1249" i="7"/>
  <c r="M1249" i="7"/>
  <c r="S1249" i="7"/>
  <c r="O1249" i="7"/>
  <c r="U1253" i="7"/>
  <c r="Q1253" i="7"/>
  <c r="M1253" i="7"/>
  <c r="S1253" i="7"/>
  <c r="O1253" i="7"/>
  <c r="O1257" i="7"/>
  <c r="S1257" i="7"/>
  <c r="M1257" i="7"/>
  <c r="Q1257" i="7"/>
  <c r="U1257" i="7"/>
  <c r="U1258" i="7"/>
  <c r="Q1258" i="7"/>
  <c r="M1258" i="7"/>
  <c r="O1258" i="7"/>
  <c r="S1258" i="7"/>
  <c r="S1098" i="7"/>
  <c r="O1098" i="7"/>
  <c r="U1098" i="7"/>
  <c r="Q1098" i="7"/>
  <c r="M1098" i="7"/>
  <c r="S1102" i="7"/>
  <c r="O1102" i="7"/>
  <c r="U1102" i="7"/>
  <c r="Q1102" i="7"/>
  <c r="M1102" i="7"/>
  <c r="S1106" i="7"/>
  <c r="O1106" i="7"/>
  <c r="U1106" i="7"/>
  <c r="Q1106" i="7"/>
  <c r="M1106" i="7"/>
  <c r="S1110" i="7"/>
  <c r="O1110" i="7"/>
  <c r="U1110" i="7"/>
  <c r="Q1110" i="7"/>
  <c r="M1110" i="7"/>
  <c r="S1114" i="7"/>
  <c r="O1114" i="7"/>
  <c r="U1114" i="7"/>
  <c r="Q1114" i="7"/>
  <c r="M1114" i="7"/>
  <c r="S1118" i="7"/>
  <c r="O1118" i="7"/>
  <c r="U1118" i="7"/>
  <c r="Q1118" i="7"/>
  <c r="M1118" i="7"/>
  <c r="S1122" i="7"/>
  <c r="O1122" i="7"/>
  <c r="U1122" i="7"/>
  <c r="Q1122" i="7"/>
  <c r="M1122" i="7"/>
  <c r="S1126" i="7"/>
  <c r="O1126" i="7"/>
  <c r="U1126" i="7"/>
  <c r="Q1126" i="7"/>
  <c r="M1126" i="7"/>
  <c r="S1130" i="7"/>
  <c r="O1130" i="7"/>
  <c r="U1130" i="7"/>
  <c r="Q1130" i="7"/>
  <c r="M1130" i="7"/>
  <c r="S1134" i="7"/>
  <c r="O1134" i="7"/>
  <c r="U1134" i="7"/>
  <c r="Q1134" i="7"/>
  <c r="M1134" i="7"/>
  <c r="S1138" i="7"/>
  <c r="O1138" i="7"/>
  <c r="U1138" i="7"/>
  <c r="Q1138" i="7"/>
  <c r="M1138" i="7"/>
  <c r="S1142" i="7"/>
  <c r="O1142" i="7"/>
  <c r="U1142" i="7"/>
  <c r="Q1142" i="7"/>
  <c r="M1142" i="7"/>
  <c r="S1146" i="7"/>
  <c r="O1146" i="7"/>
  <c r="U1146" i="7"/>
  <c r="Q1146" i="7"/>
  <c r="M1146" i="7"/>
  <c r="S1150" i="7"/>
  <c r="O1150" i="7"/>
  <c r="U1150" i="7"/>
  <c r="Q1150" i="7"/>
  <c r="M1150" i="7"/>
  <c r="S1154" i="7"/>
  <c r="O1154" i="7"/>
  <c r="U1154" i="7"/>
  <c r="Q1154" i="7"/>
  <c r="M1154" i="7"/>
  <c r="S1158" i="7"/>
  <c r="O1158" i="7"/>
  <c r="U1158" i="7"/>
  <c r="Q1158" i="7"/>
  <c r="M1158" i="7"/>
  <c r="S1162" i="7"/>
  <c r="O1162" i="7"/>
  <c r="U1162" i="7"/>
  <c r="Q1162" i="7"/>
  <c r="M1162" i="7"/>
  <c r="S1166" i="7"/>
  <c r="O1166" i="7"/>
  <c r="U1166" i="7"/>
  <c r="Q1166" i="7"/>
  <c r="M1166" i="7"/>
  <c r="S1170" i="7"/>
  <c r="O1170" i="7"/>
  <c r="U1170" i="7"/>
  <c r="Q1170" i="7"/>
  <c r="M1170" i="7"/>
  <c r="S1174" i="7"/>
  <c r="O1174" i="7"/>
  <c r="U1174" i="7"/>
  <c r="Q1174" i="7"/>
  <c r="M1174" i="7"/>
  <c r="S1178" i="7"/>
  <c r="O1178" i="7"/>
  <c r="U1178" i="7"/>
  <c r="Q1178" i="7"/>
  <c r="M1178" i="7"/>
  <c r="S1182" i="7"/>
  <c r="O1182" i="7"/>
  <c r="U1182" i="7"/>
  <c r="Q1182" i="7"/>
  <c r="M1182" i="7"/>
  <c r="S1186" i="7"/>
  <c r="O1186" i="7"/>
  <c r="U1186" i="7"/>
  <c r="Q1186" i="7"/>
  <c r="M1186" i="7"/>
  <c r="S1190" i="7"/>
  <c r="O1190" i="7"/>
  <c r="U1190" i="7"/>
  <c r="Q1190" i="7"/>
  <c r="M1190" i="7"/>
  <c r="S1194" i="7"/>
  <c r="O1194" i="7"/>
  <c r="U1194" i="7"/>
  <c r="Q1194" i="7"/>
  <c r="M1194" i="7"/>
  <c r="S1198" i="7"/>
  <c r="O1198" i="7"/>
  <c r="U1198" i="7"/>
  <c r="Q1198" i="7"/>
  <c r="M1198" i="7"/>
  <c r="S1202" i="7"/>
  <c r="O1202" i="7"/>
  <c r="U1202" i="7"/>
  <c r="Q1202" i="7"/>
  <c r="M1202" i="7"/>
  <c r="S1206" i="7"/>
  <c r="O1206" i="7"/>
  <c r="U1206" i="7"/>
  <c r="Q1206" i="7"/>
  <c r="M1206" i="7"/>
  <c r="S1210" i="7"/>
  <c r="O1210" i="7"/>
  <c r="U1210" i="7"/>
  <c r="Q1210" i="7"/>
  <c r="M1210" i="7"/>
  <c r="S1214" i="7"/>
  <c r="O1214" i="7"/>
  <c r="U1214" i="7"/>
  <c r="Q1214" i="7"/>
  <c r="M1214" i="7"/>
  <c r="S1218" i="7"/>
  <c r="O1218" i="7"/>
  <c r="U1218" i="7"/>
  <c r="Q1218" i="7"/>
  <c r="M1218" i="7"/>
  <c r="S1222" i="7"/>
  <c r="O1222" i="7"/>
  <c r="U1222" i="7"/>
  <c r="Q1222" i="7"/>
  <c r="M1222" i="7"/>
  <c r="S1226" i="7"/>
  <c r="O1226" i="7"/>
  <c r="U1226" i="7"/>
  <c r="Q1226" i="7"/>
  <c r="M1226" i="7"/>
  <c r="S1230" i="7"/>
  <c r="O1230" i="7"/>
  <c r="U1230" i="7"/>
  <c r="Q1230" i="7"/>
  <c r="M1230" i="7"/>
  <c r="S1234" i="7"/>
  <c r="O1234" i="7"/>
  <c r="U1234" i="7"/>
  <c r="Q1234" i="7"/>
  <c r="M1234" i="7"/>
  <c r="S1238" i="7"/>
  <c r="O1238" i="7"/>
  <c r="U1238" i="7"/>
  <c r="Q1238" i="7"/>
  <c r="M1238" i="7"/>
  <c r="S1242" i="7"/>
  <c r="O1242" i="7"/>
  <c r="U1242" i="7"/>
  <c r="Q1242" i="7"/>
  <c r="M1242" i="7"/>
  <c r="S1246" i="7"/>
  <c r="O1246" i="7"/>
  <c r="U1246" i="7"/>
  <c r="Q1246" i="7"/>
  <c r="M1246" i="7"/>
  <c r="S1250" i="7"/>
  <c r="O1250" i="7"/>
  <c r="U1250" i="7"/>
  <c r="Q1250" i="7"/>
  <c r="M1250" i="7"/>
  <c r="S1254" i="7"/>
  <c r="O1254" i="7"/>
  <c r="U1254" i="7"/>
  <c r="Q1254" i="7"/>
  <c r="M1254" i="7"/>
  <c r="U1271" i="7"/>
  <c r="Q1271" i="7"/>
  <c r="M1271" i="7"/>
  <c r="S1271" i="7"/>
  <c r="O1271" i="7"/>
  <c r="U1275" i="7"/>
  <c r="Q1275" i="7"/>
  <c r="M1275" i="7"/>
  <c r="S1275" i="7"/>
  <c r="O1275" i="7"/>
  <c r="S1091" i="7"/>
  <c r="O1091" i="7"/>
  <c r="U1091" i="7"/>
  <c r="Q1091" i="7"/>
  <c r="M1091" i="7"/>
  <c r="S1095" i="7"/>
  <c r="O1095" i="7"/>
  <c r="U1095" i="7"/>
  <c r="Q1095" i="7"/>
  <c r="M1095" i="7"/>
  <c r="S1099" i="7"/>
  <c r="O1099" i="7"/>
  <c r="U1099" i="7"/>
  <c r="Q1099" i="7"/>
  <c r="M1099" i="7"/>
  <c r="S1103" i="7"/>
  <c r="O1103" i="7"/>
  <c r="U1103" i="7"/>
  <c r="Q1103" i="7"/>
  <c r="M1103" i="7"/>
  <c r="S1107" i="7"/>
  <c r="O1107" i="7"/>
  <c r="U1107" i="7"/>
  <c r="Q1107" i="7"/>
  <c r="M1107" i="7"/>
  <c r="S1111" i="7"/>
  <c r="O1111" i="7"/>
  <c r="U1111" i="7"/>
  <c r="Q1111" i="7"/>
  <c r="M1111" i="7"/>
  <c r="S1115" i="7"/>
  <c r="O1115" i="7"/>
  <c r="U1115" i="7"/>
  <c r="Q1115" i="7"/>
  <c r="M1115" i="7"/>
  <c r="S1119" i="7"/>
  <c r="O1119" i="7"/>
  <c r="U1119" i="7"/>
  <c r="Q1119" i="7"/>
  <c r="M1119" i="7"/>
  <c r="S1123" i="7"/>
  <c r="O1123" i="7"/>
  <c r="U1123" i="7"/>
  <c r="Q1123" i="7"/>
  <c r="M1123" i="7"/>
  <c r="S1127" i="7"/>
  <c r="O1127" i="7"/>
  <c r="U1127" i="7"/>
  <c r="Q1127" i="7"/>
  <c r="M1127" i="7"/>
  <c r="S1131" i="7"/>
  <c r="O1131" i="7"/>
  <c r="U1131" i="7"/>
  <c r="Q1131" i="7"/>
  <c r="M1131" i="7"/>
  <c r="S1135" i="7"/>
  <c r="O1135" i="7"/>
  <c r="U1135" i="7"/>
  <c r="Q1135" i="7"/>
  <c r="M1135" i="7"/>
  <c r="S1139" i="7"/>
  <c r="O1139" i="7"/>
  <c r="U1139" i="7"/>
  <c r="Q1139" i="7"/>
  <c r="M1139" i="7"/>
  <c r="S1143" i="7"/>
  <c r="O1143" i="7"/>
  <c r="U1143" i="7"/>
  <c r="Q1143" i="7"/>
  <c r="M1143" i="7"/>
  <c r="S1147" i="7"/>
  <c r="O1147" i="7"/>
  <c r="U1147" i="7"/>
  <c r="Q1147" i="7"/>
  <c r="M1147" i="7"/>
  <c r="S1151" i="7"/>
  <c r="O1151" i="7"/>
  <c r="U1151" i="7"/>
  <c r="Q1151" i="7"/>
  <c r="M1151" i="7"/>
  <c r="S1155" i="7"/>
  <c r="O1155" i="7"/>
  <c r="U1155" i="7"/>
  <c r="Q1155" i="7"/>
  <c r="M1155" i="7"/>
  <c r="S1159" i="7"/>
  <c r="O1159" i="7"/>
  <c r="U1159" i="7"/>
  <c r="Q1159" i="7"/>
  <c r="M1159" i="7"/>
  <c r="S1163" i="7"/>
  <c r="O1163" i="7"/>
  <c r="U1163" i="7"/>
  <c r="Q1163" i="7"/>
  <c r="M1163" i="7"/>
  <c r="S1167" i="7"/>
  <c r="O1167" i="7"/>
  <c r="U1167" i="7"/>
  <c r="Q1167" i="7"/>
  <c r="M1167" i="7"/>
  <c r="S1171" i="7"/>
  <c r="O1171" i="7"/>
  <c r="U1171" i="7"/>
  <c r="Q1171" i="7"/>
  <c r="M1171" i="7"/>
  <c r="S1175" i="7"/>
  <c r="O1175" i="7"/>
  <c r="U1175" i="7"/>
  <c r="Q1175" i="7"/>
  <c r="M1175" i="7"/>
  <c r="S1179" i="7"/>
  <c r="O1179" i="7"/>
  <c r="U1179" i="7"/>
  <c r="Q1179" i="7"/>
  <c r="M1179" i="7"/>
  <c r="S1183" i="7"/>
  <c r="O1183" i="7"/>
  <c r="U1183" i="7"/>
  <c r="Q1183" i="7"/>
  <c r="M1183" i="7"/>
  <c r="S1187" i="7"/>
  <c r="O1187" i="7"/>
  <c r="U1187" i="7"/>
  <c r="Q1187" i="7"/>
  <c r="M1187" i="7"/>
  <c r="S1191" i="7"/>
  <c r="O1191" i="7"/>
  <c r="U1191" i="7"/>
  <c r="Q1191" i="7"/>
  <c r="M1191" i="7"/>
  <c r="S1195" i="7"/>
  <c r="O1195" i="7"/>
  <c r="U1195" i="7"/>
  <c r="Q1195" i="7"/>
  <c r="M1195" i="7"/>
  <c r="S1199" i="7"/>
  <c r="O1199" i="7"/>
  <c r="U1199" i="7"/>
  <c r="Q1199" i="7"/>
  <c r="M1199" i="7"/>
  <c r="S1203" i="7"/>
  <c r="O1203" i="7"/>
  <c r="U1203" i="7"/>
  <c r="Q1203" i="7"/>
  <c r="M1203" i="7"/>
  <c r="S1207" i="7"/>
  <c r="O1207" i="7"/>
  <c r="U1207" i="7"/>
  <c r="Q1207" i="7"/>
  <c r="M1207" i="7"/>
  <c r="S1211" i="7"/>
  <c r="O1211" i="7"/>
  <c r="U1211" i="7"/>
  <c r="Q1211" i="7"/>
  <c r="M1211" i="7"/>
  <c r="S1215" i="7"/>
  <c r="O1215" i="7"/>
  <c r="U1215" i="7"/>
  <c r="Q1215" i="7"/>
  <c r="M1215" i="7"/>
  <c r="S1219" i="7"/>
  <c r="O1219" i="7"/>
  <c r="U1219" i="7"/>
  <c r="Q1219" i="7"/>
  <c r="M1219" i="7"/>
  <c r="S1223" i="7"/>
  <c r="O1223" i="7"/>
  <c r="U1223" i="7"/>
  <c r="Q1223" i="7"/>
  <c r="M1223" i="7"/>
  <c r="S1227" i="7"/>
  <c r="O1227" i="7"/>
  <c r="U1227" i="7"/>
  <c r="Q1227" i="7"/>
  <c r="M1227" i="7"/>
  <c r="S1231" i="7"/>
  <c r="O1231" i="7"/>
  <c r="U1231" i="7"/>
  <c r="Q1231" i="7"/>
  <c r="M1231" i="7"/>
  <c r="S1235" i="7"/>
  <c r="O1235" i="7"/>
  <c r="U1235" i="7"/>
  <c r="Q1235" i="7"/>
  <c r="M1235" i="7"/>
  <c r="S1239" i="7"/>
  <c r="O1239" i="7"/>
  <c r="U1239" i="7"/>
  <c r="Q1239" i="7"/>
  <c r="M1239" i="7"/>
  <c r="S1243" i="7"/>
  <c r="O1243" i="7"/>
  <c r="U1243" i="7"/>
  <c r="Q1243" i="7"/>
  <c r="M1243" i="7"/>
  <c r="S1247" i="7"/>
  <c r="O1247" i="7"/>
  <c r="U1247" i="7"/>
  <c r="Q1247" i="7"/>
  <c r="M1247" i="7"/>
  <c r="S1251" i="7"/>
  <c r="O1251" i="7"/>
  <c r="U1251" i="7"/>
  <c r="Q1251" i="7"/>
  <c r="M1251" i="7"/>
  <c r="U1255" i="7"/>
  <c r="O1255" i="7"/>
  <c r="S1255" i="7"/>
  <c r="M1255" i="7"/>
  <c r="Q1255" i="7"/>
  <c r="U1259" i="7"/>
  <c r="Q1259" i="7"/>
  <c r="M1259" i="7"/>
  <c r="O1259" i="7"/>
  <c r="S1259" i="7"/>
  <c r="U1263" i="7"/>
  <c r="Q1263" i="7"/>
  <c r="M1263" i="7"/>
  <c r="O1263" i="7"/>
  <c r="S1263" i="7"/>
  <c r="U1267" i="7"/>
  <c r="Q1267" i="7"/>
  <c r="M1267" i="7"/>
  <c r="O1267" i="7"/>
  <c r="S1267" i="7"/>
  <c r="U1270" i="7"/>
  <c r="Q1270" i="7"/>
  <c r="M1270" i="7"/>
  <c r="S1270" i="7"/>
  <c r="O1270" i="7"/>
  <c r="U1274" i="7"/>
  <c r="Q1274" i="7"/>
  <c r="M1274" i="7"/>
  <c r="S1274" i="7"/>
  <c r="O1274" i="7"/>
  <c r="U1278" i="7"/>
  <c r="Q1278" i="7"/>
  <c r="M1278" i="7"/>
  <c r="S1278" i="7"/>
  <c r="O1278" i="7"/>
  <c r="U1282" i="7"/>
  <c r="Q1282" i="7"/>
  <c r="M1282" i="7"/>
  <c r="S1282" i="7"/>
  <c r="O1282" i="7"/>
  <c r="U1286" i="7"/>
  <c r="Q1286" i="7"/>
  <c r="M1286" i="7"/>
  <c r="S1286" i="7"/>
  <c r="O1286" i="7"/>
  <c r="U1290" i="7"/>
  <c r="Q1290" i="7"/>
  <c r="M1290" i="7"/>
  <c r="S1290" i="7"/>
  <c r="O1290" i="7"/>
  <c r="U1294" i="7"/>
  <c r="Q1294" i="7"/>
  <c r="M1294" i="7"/>
  <c r="S1294" i="7"/>
  <c r="O1294" i="7"/>
  <c r="U1298" i="7"/>
  <c r="Q1298" i="7"/>
  <c r="M1298" i="7"/>
  <c r="S1298" i="7"/>
  <c r="O1298" i="7"/>
  <c r="U1302" i="7"/>
  <c r="Q1302" i="7"/>
  <c r="M1302" i="7"/>
  <c r="S1302" i="7"/>
  <c r="O1302" i="7"/>
  <c r="U1306" i="7"/>
  <c r="Q1306" i="7"/>
  <c r="M1306" i="7"/>
  <c r="S1306" i="7"/>
  <c r="O1306" i="7"/>
  <c r="U1310" i="7"/>
  <c r="Q1310" i="7"/>
  <c r="M1310" i="7"/>
  <c r="S1310" i="7"/>
  <c r="O1310" i="7"/>
  <c r="U1314" i="7"/>
  <c r="Q1314" i="7"/>
  <c r="M1314" i="7"/>
  <c r="S1314" i="7"/>
  <c r="O1314" i="7"/>
  <c r="U1318" i="7"/>
  <c r="Q1318" i="7"/>
  <c r="M1318" i="7"/>
  <c r="S1318" i="7"/>
  <c r="O1318" i="7"/>
  <c r="U1322" i="7"/>
  <c r="Q1322" i="7"/>
  <c r="M1322" i="7"/>
  <c r="S1322" i="7"/>
  <c r="O1322" i="7"/>
  <c r="U1326" i="7"/>
  <c r="Q1326" i="7"/>
  <c r="M1326" i="7"/>
  <c r="S1326" i="7"/>
  <c r="O1326" i="7"/>
  <c r="U1330" i="7"/>
  <c r="Q1330" i="7"/>
  <c r="M1330" i="7"/>
  <c r="S1330" i="7"/>
  <c r="O1330" i="7"/>
  <c r="U1334" i="7"/>
  <c r="Q1334" i="7"/>
  <c r="M1334" i="7"/>
  <c r="S1334" i="7"/>
  <c r="O1334" i="7"/>
  <c r="U1338" i="7"/>
  <c r="Q1338" i="7"/>
  <c r="M1338" i="7"/>
  <c r="S1338" i="7"/>
  <c r="O1338" i="7"/>
  <c r="U1342" i="7"/>
  <c r="Q1342" i="7"/>
  <c r="M1342" i="7"/>
  <c r="S1342" i="7"/>
  <c r="O1342" i="7"/>
  <c r="U1346" i="7"/>
  <c r="Q1346" i="7"/>
  <c r="M1346" i="7"/>
  <c r="S1346" i="7"/>
  <c r="O1346" i="7"/>
  <c r="U1279" i="7"/>
  <c r="Q1279" i="7"/>
  <c r="M1279" i="7"/>
  <c r="S1279" i="7"/>
  <c r="O1279" i="7"/>
  <c r="U1283" i="7"/>
  <c r="Q1283" i="7"/>
  <c r="M1283" i="7"/>
  <c r="S1283" i="7"/>
  <c r="O1283" i="7"/>
  <c r="U1287" i="7"/>
  <c r="Q1287" i="7"/>
  <c r="M1287" i="7"/>
  <c r="S1287" i="7"/>
  <c r="O1287" i="7"/>
  <c r="U1291" i="7"/>
  <c r="Q1291" i="7"/>
  <c r="M1291" i="7"/>
  <c r="S1291" i="7"/>
  <c r="O1291" i="7"/>
  <c r="U1295" i="7"/>
  <c r="Q1295" i="7"/>
  <c r="M1295" i="7"/>
  <c r="S1295" i="7"/>
  <c r="O1295" i="7"/>
  <c r="U1299" i="7"/>
  <c r="Q1299" i="7"/>
  <c r="M1299" i="7"/>
  <c r="S1299" i="7"/>
  <c r="O1299" i="7"/>
  <c r="U1303" i="7"/>
  <c r="Q1303" i="7"/>
  <c r="M1303" i="7"/>
  <c r="S1303" i="7"/>
  <c r="O1303" i="7"/>
  <c r="U1307" i="7"/>
  <c r="Q1307" i="7"/>
  <c r="M1307" i="7"/>
  <c r="S1307" i="7"/>
  <c r="O1307" i="7"/>
  <c r="U1311" i="7"/>
  <c r="Q1311" i="7"/>
  <c r="M1311" i="7"/>
  <c r="S1311" i="7"/>
  <c r="O1311" i="7"/>
  <c r="U1315" i="7"/>
  <c r="Q1315" i="7"/>
  <c r="M1315" i="7"/>
  <c r="S1315" i="7"/>
  <c r="O1315" i="7"/>
  <c r="U1319" i="7"/>
  <c r="Q1319" i="7"/>
  <c r="M1319" i="7"/>
  <c r="S1319" i="7"/>
  <c r="O1319" i="7"/>
  <c r="U1323" i="7"/>
  <c r="Q1323" i="7"/>
  <c r="M1323" i="7"/>
  <c r="S1323" i="7"/>
  <c r="O1323" i="7"/>
  <c r="U1327" i="7"/>
  <c r="Q1327" i="7"/>
  <c r="M1327" i="7"/>
  <c r="S1327" i="7"/>
  <c r="O1327" i="7"/>
  <c r="U1331" i="7"/>
  <c r="Q1331" i="7"/>
  <c r="M1331" i="7"/>
  <c r="S1331" i="7"/>
  <c r="O1331" i="7"/>
  <c r="U1335" i="7"/>
  <c r="Q1335" i="7"/>
  <c r="M1335" i="7"/>
  <c r="S1335" i="7"/>
  <c r="O1335" i="7"/>
  <c r="S1256" i="7"/>
  <c r="O1256" i="7"/>
  <c r="M1256" i="7"/>
  <c r="Q1256" i="7"/>
  <c r="U1256" i="7"/>
  <c r="S1260" i="7"/>
  <c r="O1260" i="7"/>
  <c r="Q1260" i="7"/>
  <c r="U1260" i="7"/>
  <c r="M1260" i="7"/>
  <c r="S1264" i="7"/>
  <c r="O1264" i="7"/>
  <c r="Q1264" i="7"/>
  <c r="U1264" i="7"/>
  <c r="M1264" i="7"/>
  <c r="S1268" i="7"/>
  <c r="O1268" i="7"/>
  <c r="U1268" i="7"/>
  <c r="Q1268" i="7"/>
  <c r="M1268" i="7"/>
  <c r="S1272" i="7"/>
  <c r="O1272" i="7"/>
  <c r="U1272" i="7"/>
  <c r="Q1272" i="7"/>
  <c r="M1272" i="7"/>
  <c r="S1276" i="7"/>
  <c r="O1276" i="7"/>
  <c r="U1276" i="7"/>
  <c r="Q1276" i="7"/>
  <c r="M1276" i="7"/>
  <c r="S1280" i="7"/>
  <c r="O1280" i="7"/>
  <c r="U1280" i="7"/>
  <c r="Q1280" i="7"/>
  <c r="M1280" i="7"/>
  <c r="S1284" i="7"/>
  <c r="O1284" i="7"/>
  <c r="U1284" i="7"/>
  <c r="Q1284" i="7"/>
  <c r="M1284" i="7"/>
  <c r="S1288" i="7"/>
  <c r="O1288" i="7"/>
  <c r="U1288" i="7"/>
  <c r="Q1288" i="7"/>
  <c r="M1288" i="7"/>
  <c r="S1292" i="7"/>
  <c r="O1292" i="7"/>
  <c r="U1292" i="7"/>
  <c r="Q1292" i="7"/>
  <c r="M1292" i="7"/>
  <c r="S1296" i="7"/>
  <c r="O1296" i="7"/>
  <c r="U1296" i="7"/>
  <c r="Q1296" i="7"/>
  <c r="M1296" i="7"/>
  <c r="S1300" i="7"/>
  <c r="O1300" i="7"/>
  <c r="U1300" i="7"/>
  <c r="Q1300" i="7"/>
  <c r="M1300" i="7"/>
  <c r="S1304" i="7"/>
  <c r="O1304" i="7"/>
  <c r="U1304" i="7"/>
  <c r="Q1304" i="7"/>
  <c r="M1304" i="7"/>
  <c r="S1308" i="7"/>
  <c r="O1308" i="7"/>
  <c r="U1308" i="7"/>
  <c r="Q1308" i="7"/>
  <c r="M1308" i="7"/>
  <c r="S1312" i="7"/>
  <c r="O1312" i="7"/>
  <c r="U1312" i="7"/>
  <c r="Q1312" i="7"/>
  <c r="M1312" i="7"/>
  <c r="S1316" i="7"/>
  <c r="O1316" i="7"/>
  <c r="U1316" i="7"/>
  <c r="Q1316" i="7"/>
  <c r="M1316" i="7"/>
  <c r="S1320" i="7"/>
  <c r="O1320" i="7"/>
  <c r="U1320" i="7"/>
  <c r="Q1320" i="7"/>
  <c r="M1320" i="7"/>
  <c r="S1324" i="7"/>
  <c r="O1324" i="7"/>
  <c r="U1324" i="7"/>
  <c r="Q1324" i="7"/>
  <c r="M1324" i="7"/>
  <c r="S1328" i="7"/>
  <c r="O1328" i="7"/>
  <c r="U1328" i="7"/>
  <c r="Q1328" i="7"/>
  <c r="M1328" i="7"/>
  <c r="S1332" i="7"/>
  <c r="O1332" i="7"/>
  <c r="U1332" i="7"/>
  <c r="Q1332" i="7"/>
  <c r="M1332" i="7"/>
  <c r="S1336" i="7"/>
  <c r="O1336" i="7"/>
  <c r="U1336" i="7"/>
  <c r="Q1336" i="7"/>
  <c r="M1336" i="7"/>
  <c r="S1261" i="7"/>
  <c r="O1261" i="7"/>
  <c r="Q1261" i="7"/>
  <c r="U1261" i="7"/>
  <c r="M1261" i="7"/>
  <c r="S1265" i="7"/>
  <c r="O1265" i="7"/>
  <c r="Q1265" i="7"/>
  <c r="U1265" i="7"/>
  <c r="M1265" i="7"/>
  <c r="S1269" i="7"/>
  <c r="O1269" i="7"/>
  <c r="U1269" i="7"/>
  <c r="Q1269" i="7"/>
  <c r="M1269" i="7"/>
  <c r="S1273" i="7"/>
  <c r="O1273" i="7"/>
  <c r="U1273" i="7"/>
  <c r="Q1273" i="7"/>
  <c r="M1273" i="7"/>
  <c r="S1277" i="7"/>
  <c r="O1277" i="7"/>
  <c r="U1277" i="7"/>
  <c r="Q1277" i="7"/>
  <c r="M1277" i="7"/>
  <c r="S1281" i="7"/>
  <c r="O1281" i="7"/>
  <c r="U1281" i="7"/>
  <c r="Q1281" i="7"/>
  <c r="M1281" i="7"/>
  <c r="S1285" i="7"/>
  <c r="O1285" i="7"/>
  <c r="U1285" i="7"/>
  <c r="Q1285" i="7"/>
  <c r="M1285" i="7"/>
  <c r="S1289" i="7"/>
  <c r="O1289" i="7"/>
  <c r="U1289" i="7"/>
  <c r="Q1289" i="7"/>
  <c r="M1289" i="7"/>
  <c r="S1293" i="7"/>
  <c r="O1293" i="7"/>
  <c r="U1293" i="7"/>
  <c r="Q1293" i="7"/>
  <c r="M1293" i="7"/>
  <c r="S1297" i="7"/>
  <c r="O1297" i="7"/>
  <c r="U1297" i="7"/>
  <c r="Q1297" i="7"/>
  <c r="M1297" i="7"/>
  <c r="S1301" i="7"/>
  <c r="O1301" i="7"/>
  <c r="U1301" i="7"/>
  <c r="Q1301" i="7"/>
  <c r="M1301" i="7"/>
  <c r="S1305" i="7"/>
  <c r="O1305" i="7"/>
  <c r="U1305" i="7"/>
  <c r="Q1305" i="7"/>
  <c r="M1305" i="7"/>
  <c r="S1309" i="7"/>
  <c r="O1309" i="7"/>
  <c r="U1309" i="7"/>
  <c r="Q1309" i="7"/>
  <c r="M1309" i="7"/>
  <c r="S1313" i="7"/>
  <c r="O1313" i="7"/>
  <c r="U1313" i="7"/>
  <c r="Q1313" i="7"/>
  <c r="M1313" i="7"/>
  <c r="S1317" i="7"/>
  <c r="O1317" i="7"/>
  <c r="U1317" i="7"/>
  <c r="Q1317" i="7"/>
  <c r="M1317" i="7"/>
  <c r="S1321" i="7"/>
  <c r="O1321" i="7"/>
  <c r="U1321" i="7"/>
  <c r="Q1321" i="7"/>
  <c r="M1321" i="7"/>
  <c r="S1325" i="7"/>
  <c r="O1325" i="7"/>
  <c r="U1325" i="7"/>
  <c r="Q1325" i="7"/>
  <c r="M1325" i="7"/>
  <c r="S1329" i="7"/>
  <c r="O1329" i="7"/>
  <c r="U1329" i="7"/>
  <c r="Q1329" i="7"/>
  <c r="M1329" i="7"/>
  <c r="S1333" i="7"/>
  <c r="O1333" i="7"/>
  <c r="U1333" i="7"/>
  <c r="Q1333" i="7"/>
  <c r="M1333" i="7"/>
  <c r="S1337" i="7"/>
  <c r="O1337" i="7"/>
  <c r="U1337" i="7"/>
  <c r="Q1337" i="7"/>
  <c r="M1337" i="7"/>
  <c r="U1339" i="7"/>
  <c r="Q1339" i="7"/>
  <c r="M1339" i="7"/>
  <c r="O1339" i="7"/>
  <c r="S1339" i="7"/>
  <c r="U1343" i="7"/>
  <c r="Q1343" i="7"/>
  <c r="M1343" i="7"/>
  <c r="O1343" i="7"/>
  <c r="S1343" i="7"/>
  <c r="U1350" i="7"/>
  <c r="Q1350" i="7"/>
  <c r="M1350" i="7"/>
  <c r="S1350" i="7"/>
  <c r="O1350" i="7"/>
  <c r="U1354" i="7"/>
  <c r="Q1354" i="7"/>
  <c r="M1354" i="7"/>
  <c r="S1354" i="7"/>
  <c r="O1354" i="7"/>
  <c r="U1358" i="7"/>
  <c r="Q1358" i="7"/>
  <c r="M1358" i="7"/>
  <c r="S1358" i="7"/>
  <c r="O1358" i="7"/>
  <c r="U1362" i="7"/>
  <c r="Q1362" i="7"/>
  <c r="M1362" i="7"/>
  <c r="S1362" i="7"/>
  <c r="O1362" i="7"/>
  <c r="U1366" i="7"/>
  <c r="Q1366" i="7"/>
  <c r="M1366" i="7"/>
  <c r="S1366" i="7"/>
  <c r="O1366" i="7"/>
  <c r="U1370" i="7"/>
  <c r="Q1370" i="7"/>
  <c r="M1370" i="7"/>
  <c r="S1370" i="7"/>
  <c r="O1370" i="7"/>
  <c r="U1374" i="7"/>
  <c r="Q1374" i="7"/>
  <c r="M1374" i="7"/>
  <c r="S1374" i="7"/>
  <c r="O1374" i="7"/>
  <c r="U1378" i="7"/>
  <c r="Q1378" i="7"/>
  <c r="M1378" i="7"/>
  <c r="S1378" i="7"/>
  <c r="O1378" i="7"/>
  <c r="U1382" i="7"/>
  <c r="Q1382" i="7"/>
  <c r="M1382" i="7"/>
  <c r="S1382" i="7"/>
  <c r="O1382" i="7"/>
  <c r="U1386" i="7"/>
  <c r="Q1386" i="7"/>
  <c r="M1386" i="7"/>
  <c r="S1386" i="7"/>
  <c r="O1386" i="7"/>
  <c r="U1390" i="7"/>
  <c r="Q1390" i="7"/>
  <c r="M1390" i="7"/>
  <c r="S1390" i="7"/>
  <c r="O1390" i="7"/>
  <c r="U1394" i="7"/>
  <c r="Q1394" i="7"/>
  <c r="M1394" i="7"/>
  <c r="S1394" i="7"/>
  <c r="O1394" i="7"/>
  <c r="U1398" i="7"/>
  <c r="Q1398" i="7"/>
  <c r="M1398" i="7"/>
  <c r="S1398" i="7"/>
  <c r="O1398" i="7"/>
  <c r="U1402" i="7"/>
  <c r="Q1402" i="7"/>
  <c r="M1402" i="7"/>
  <c r="S1402" i="7"/>
  <c r="O1402" i="7"/>
  <c r="U1406" i="7"/>
  <c r="Q1406" i="7"/>
  <c r="M1406" i="7"/>
  <c r="S1406" i="7"/>
  <c r="O1406" i="7"/>
  <c r="U1410" i="7"/>
  <c r="Q1410" i="7"/>
  <c r="M1410" i="7"/>
  <c r="S1410" i="7"/>
  <c r="O1410" i="7"/>
  <c r="U1414" i="7"/>
  <c r="Q1414" i="7"/>
  <c r="M1414" i="7"/>
  <c r="S1414" i="7"/>
  <c r="O1414" i="7"/>
  <c r="U1418" i="7"/>
  <c r="Q1418" i="7"/>
  <c r="M1418" i="7"/>
  <c r="S1418" i="7"/>
  <c r="O1418" i="7"/>
  <c r="U1422" i="7"/>
  <c r="Q1422" i="7"/>
  <c r="M1422" i="7"/>
  <c r="S1422" i="7"/>
  <c r="O1422" i="7"/>
  <c r="U1347" i="7"/>
  <c r="Q1347" i="7"/>
  <c r="M1347" i="7"/>
  <c r="S1347" i="7"/>
  <c r="O1347" i="7"/>
  <c r="U1351" i="7"/>
  <c r="Q1351" i="7"/>
  <c r="M1351" i="7"/>
  <c r="S1351" i="7"/>
  <c r="O1351" i="7"/>
  <c r="U1355" i="7"/>
  <c r="Q1355" i="7"/>
  <c r="M1355" i="7"/>
  <c r="S1355" i="7"/>
  <c r="O1355" i="7"/>
  <c r="U1359" i="7"/>
  <c r="Q1359" i="7"/>
  <c r="M1359" i="7"/>
  <c r="S1359" i="7"/>
  <c r="O1359" i="7"/>
  <c r="U1363" i="7"/>
  <c r="Q1363" i="7"/>
  <c r="M1363" i="7"/>
  <c r="S1363" i="7"/>
  <c r="O1363" i="7"/>
  <c r="U1367" i="7"/>
  <c r="Q1367" i="7"/>
  <c r="M1367" i="7"/>
  <c r="S1367" i="7"/>
  <c r="O1367" i="7"/>
  <c r="U1371" i="7"/>
  <c r="Q1371" i="7"/>
  <c r="M1371" i="7"/>
  <c r="S1371" i="7"/>
  <c r="O1371" i="7"/>
  <c r="U1375" i="7"/>
  <c r="Q1375" i="7"/>
  <c r="M1375" i="7"/>
  <c r="S1375" i="7"/>
  <c r="O1375" i="7"/>
  <c r="U1379" i="7"/>
  <c r="Q1379" i="7"/>
  <c r="M1379" i="7"/>
  <c r="S1379" i="7"/>
  <c r="O1379" i="7"/>
  <c r="U1383" i="7"/>
  <c r="Q1383" i="7"/>
  <c r="M1383" i="7"/>
  <c r="S1383" i="7"/>
  <c r="O1383" i="7"/>
  <c r="U1387" i="7"/>
  <c r="Q1387" i="7"/>
  <c r="M1387" i="7"/>
  <c r="S1387" i="7"/>
  <c r="O1387" i="7"/>
  <c r="U1391" i="7"/>
  <c r="Q1391" i="7"/>
  <c r="M1391" i="7"/>
  <c r="S1391" i="7"/>
  <c r="O1391" i="7"/>
  <c r="U1395" i="7"/>
  <c r="Q1395" i="7"/>
  <c r="M1395" i="7"/>
  <c r="S1395" i="7"/>
  <c r="O1395" i="7"/>
  <c r="U1399" i="7"/>
  <c r="Q1399" i="7"/>
  <c r="M1399" i="7"/>
  <c r="S1399" i="7"/>
  <c r="O1399" i="7"/>
  <c r="U1403" i="7"/>
  <c r="Q1403" i="7"/>
  <c r="M1403" i="7"/>
  <c r="S1403" i="7"/>
  <c r="O1403" i="7"/>
  <c r="U1407" i="7"/>
  <c r="Q1407" i="7"/>
  <c r="M1407" i="7"/>
  <c r="S1407" i="7"/>
  <c r="O1407" i="7"/>
  <c r="U1411" i="7"/>
  <c r="Q1411" i="7"/>
  <c r="M1411" i="7"/>
  <c r="S1411" i="7"/>
  <c r="O1411" i="7"/>
  <c r="U1415" i="7"/>
  <c r="Q1415" i="7"/>
  <c r="M1415" i="7"/>
  <c r="S1415" i="7"/>
  <c r="O1415" i="7"/>
  <c r="U1419" i="7"/>
  <c r="Q1419" i="7"/>
  <c r="M1419" i="7"/>
  <c r="S1419" i="7"/>
  <c r="O1419" i="7"/>
  <c r="U1423" i="7"/>
  <c r="Q1423" i="7"/>
  <c r="M1423" i="7"/>
  <c r="S1423" i="7"/>
  <c r="O1423" i="7"/>
  <c r="U1503" i="7"/>
  <c r="Q1503" i="7"/>
  <c r="M1503" i="7"/>
  <c r="S1503" i="7"/>
  <c r="O1503" i="7"/>
  <c r="U1511" i="7"/>
  <c r="Q1511" i="7"/>
  <c r="M1511" i="7"/>
  <c r="S1511" i="7"/>
  <c r="O1511" i="7"/>
  <c r="U1519" i="7"/>
  <c r="Q1519" i="7"/>
  <c r="M1519" i="7"/>
  <c r="S1519" i="7"/>
  <c r="O1519" i="7"/>
  <c r="U1527" i="7"/>
  <c r="Q1527" i="7"/>
  <c r="M1527" i="7"/>
  <c r="S1527" i="7"/>
  <c r="O1527" i="7"/>
  <c r="U1535" i="7"/>
  <c r="Q1535" i="7"/>
  <c r="M1535" i="7"/>
  <c r="S1535" i="7"/>
  <c r="O1535" i="7"/>
  <c r="U1543" i="7"/>
  <c r="Q1543" i="7"/>
  <c r="M1543" i="7"/>
  <c r="S1543" i="7"/>
  <c r="O1543" i="7"/>
  <c r="S1340" i="7"/>
  <c r="O1340" i="7"/>
  <c r="Q1340" i="7"/>
  <c r="U1340" i="7"/>
  <c r="M1340" i="7"/>
  <c r="S1344" i="7"/>
  <c r="O1344" i="7"/>
  <c r="Q1344" i="7"/>
  <c r="U1344" i="7"/>
  <c r="M1344" i="7"/>
  <c r="S1348" i="7"/>
  <c r="O1348" i="7"/>
  <c r="U1348" i="7"/>
  <c r="Q1348" i="7"/>
  <c r="M1348" i="7"/>
  <c r="S1352" i="7"/>
  <c r="O1352" i="7"/>
  <c r="U1352" i="7"/>
  <c r="Q1352" i="7"/>
  <c r="M1352" i="7"/>
  <c r="S1356" i="7"/>
  <c r="O1356" i="7"/>
  <c r="U1356" i="7"/>
  <c r="Q1356" i="7"/>
  <c r="M1356" i="7"/>
  <c r="S1360" i="7"/>
  <c r="O1360" i="7"/>
  <c r="U1360" i="7"/>
  <c r="Q1360" i="7"/>
  <c r="M1360" i="7"/>
  <c r="S1364" i="7"/>
  <c r="O1364" i="7"/>
  <c r="U1364" i="7"/>
  <c r="Q1364" i="7"/>
  <c r="M1364" i="7"/>
  <c r="S1368" i="7"/>
  <c r="O1368" i="7"/>
  <c r="U1368" i="7"/>
  <c r="Q1368" i="7"/>
  <c r="M1368" i="7"/>
  <c r="S1372" i="7"/>
  <c r="O1372" i="7"/>
  <c r="U1372" i="7"/>
  <c r="Q1372" i="7"/>
  <c r="M1372" i="7"/>
  <c r="S1376" i="7"/>
  <c r="O1376" i="7"/>
  <c r="U1376" i="7"/>
  <c r="Q1376" i="7"/>
  <c r="M1376" i="7"/>
  <c r="S1380" i="7"/>
  <c r="O1380" i="7"/>
  <c r="U1380" i="7"/>
  <c r="Q1380" i="7"/>
  <c r="M1380" i="7"/>
  <c r="S1384" i="7"/>
  <c r="O1384" i="7"/>
  <c r="U1384" i="7"/>
  <c r="Q1384" i="7"/>
  <c r="M1384" i="7"/>
  <c r="S1388" i="7"/>
  <c r="O1388" i="7"/>
  <c r="U1388" i="7"/>
  <c r="Q1388" i="7"/>
  <c r="M1388" i="7"/>
  <c r="S1392" i="7"/>
  <c r="O1392" i="7"/>
  <c r="U1392" i="7"/>
  <c r="Q1392" i="7"/>
  <c r="M1392" i="7"/>
  <c r="S1396" i="7"/>
  <c r="O1396" i="7"/>
  <c r="U1396" i="7"/>
  <c r="Q1396" i="7"/>
  <c r="M1396" i="7"/>
  <c r="S1400" i="7"/>
  <c r="O1400" i="7"/>
  <c r="U1400" i="7"/>
  <c r="Q1400" i="7"/>
  <c r="M1400" i="7"/>
  <c r="S1404" i="7"/>
  <c r="O1404" i="7"/>
  <c r="U1404" i="7"/>
  <c r="Q1404" i="7"/>
  <c r="M1404" i="7"/>
  <c r="S1408" i="7"/>
  <c r="O1408" i="7"/>
  <c r="U1408" i="7"/>
  <c r="Q1408" i="7"/>
  <c r="M1408" i="7"/>
  <c r="S1412" i="7"/>
  <c r="O1412" i="7"/>
  <c r="U1412" i="7"/>
  <c r="Q1412" i="7"/>
  <c r="M1412" i="7"/>
  <c r="S1416" i="7"/>
  <c r="O1416" i="7"/>
  <c r="U1416" i="7"/>
  <c r="Q1416" i="7"/>
  <c r="M1416" i="7"/>
  <c r="S1420" i="7"/>
  <c r="O1420" i="7"/>
  <c r="U1420" i="7"/>
  <c r="Q1420" i="7"/>
  <c r="M1420" i="7"/>
  <c r="S1424" i="7"/>
  <c r="O1424" i="7"/>
  <c r="U1424" i="7"/>
  <c r="Q1424" i="7"/>
  <c r="M1424" i="7"/>
  <c r="S1425" i="7"/>
  <c r="M1425" i="7"/>
  <c r="Q1425" i="7"/>
  <c r="U1425" i="7"/>
  <c r="O1425" i="7"/>
  <c r="U1426" i="7"/>
  <c r="Q1426" i="7"/>
  <c r="M1426" i="7"/>
  <c r="S1426" i="7"/>
  <c r="O1426" i="7"/>
  <c r="S1427" i="7"/>
  <c r="M1427" i="7"/>
  <c r="Q1427" i="7"/>
  <c r="U1427" i="7"/>
  <c r="O1427" i="7"/>
  <c r="S1429" i="7"/>
  <c r="M1429" i="7"/>
  <c r="Q1429" i="7"/>
  <c r="U1429" i="7"/>
  <c r="O1429" i="7"/>
  <c r="U1430" i="7"/>
  <c r="Q1430" i="7"/>
  <c r="M1430" i="7"/>
  <c r="S1430" i="7"/>
  <c r="O1430" i="7"/>
  <c r="S1431" i="7"/>
  <c r="M1431" i="7"/>
  <c r="Q1431" i="7"/>
  <c r="U1431" i="7"/>
  <c r="O1431" i="7"/>
  <c r="S1433" i="7"/>
  <c r="M1433" i="7"/>
  <c r="Q1433" i="7"/>
  <c r="U1433" i="7"/>
  <c r="O1433" i="7"/>
  <c r="U1434" i="7"/>
  <c r="Q1434" i="7"/>
  <c r="M1434" i="7"/>
  <c r="S1434" i="7"/>
  <c r="O1434" i="7"/>
  <c r="S1435" i="7"/>
  <c r="M1435" i="7"/>
  <c r="Q1435" i="7"/>
  <c r="U1435" i="7"/>
  <c r="O1435" i="7"/>
  <c r="S1437" i="7"/>
  <c r="M1437" i="7"/>
  <c r="Q1437" i="7"/>
  <c r="U1437" i="7"/>
  <c r="O1437" i="7"/>
  <c r="U1438" i="7"/>
  <c r="Q1438" i="7"/>
  <c r="M1438" i="7"/>
  <c r="S1438" i="7"/>
  <c r="O1438" i="7"/>
  <c r="S1439" i="7"/>
  <c r="M1439" i="7"/>
  <c r="Q1439" i="7"/>
  <c r="U1439" i="7"/>
  <c r="O1439" i="7"/>
  <c r="U1443" i="7"/>
  <c r="Q1443" i="7"/>
  <c r="M1443" i="7"/>
  <c r="S1443" i="7"/>
  <c r="O1443" i="7"/>
  <c r="U1447" i="7"/>
  <c r="Q1447" i="7"/>
  <c r="M1447" i="7"/>
  <c r="S1447" i="7"/>
  <c r="O1447" i="7"/>
  <c r="U1451" i="7"/>
  <c r="Q1451" i="7"/>
  <c r="M1451" i="7"/>
  <c r="S1451" i="7"/>
  <c r="O1451" i="7"/>
  <c r="U1455" i="7"/>
  <c r="Q1455" i="7"/>
  <c r="M1455" i="7"/>
  <c r="S1455" i="7"/>
  <c r="O1455" i="7"/>
  <c r="U1459" i="7"/>
  <c r="Q1459" i="7"/>
  <c r="M1459" i="7"/>
  <c r="S1459" i="7"/>
  <c r="O1459" i="7"/>
  <c r="U1463" i="7"/>
  <c r="Q1463" i="7"/>
  <c r="M1463" i="7"/>
  <c r="S1463" i="7"/>
  <c r="O1463" i="7"/>
  <c r="U1467" i="7"/>
  <c r="Q1467" i="7"/>
  <c r="M1467" i="7"/>
  <c r="S1467" i="7"/>
  <c r="O1467" i="7"/>
  <c r="U1471" i="7"/>
  <c r="Q1471" i="7"/>
  <c r="M1471" i="7"/>
  <c r="S1471" i="7"/>
  <c r="O1471" i="7"/>
  <c r="U1475" i="7"/>
  <c r="Q1475" i="7"/>
  <c r="M1475" i="7"/>
  <c r="S1475" i="7"/>
  <c r="O1475" i="7"/>
  <c r="U1479" i="7"/>
  <c r="Q1479" i="7"/>
  <c r="M1479" i="7"/>
  <c r="S1479" i="7"/>
  <c r="O1479" i="7"/>
  <c r="U1483" i="7"/>
  <c r="Q1483" i="7"/>
  <c r="M1483" i="7"/>
  <c r="S1483" i="7"/>
  <c r="O1483" i="7"/>
  <c r="U1487" i="7"/>
  <c r="Q1487" i="7"/>
  <c r="M1487" i="7"/>
  <c r="S1487" i="7"/>
  <c r="O1487" i="7"/>
  <c r="U1496" i="7"/>
  <c r="Q1496" i="7"/>
  <c r="M1496" i="7"/>
  <c r="S1496" i="7"/>
  <c r="O1496" i="7"/>
  <c r="S1341" i="7"/>
  <c r="O1341" i="7"/>
  <c r="Q1341" i="7"/>
  <c r="U1341" i="7"/>
  <c r="M1341" i="7"/>
  <c r="S1345" i="7"/>
  <c r="O1345" i="7"/>
  <c r="Q1345" i="7"/>
  <c r="U1345" i="7"/>
  <c r="M1345" i="7"/>
  <c r="S1349" i="7"/>
  <c r="O1349" i="7"/>
  <c r="U1349" i="7"/>
  <c r="Q1349" i="7"/>
  <c r="M1349" i="7"/>
  <c r="S1353" i="7"/>
  <c r="O1353" i="7"/>
  <c r="U1353" i="7"/>
  <c r="Q1353" i="7"/>
  <c r="M1353" i="7"/>
  <c r="S1357" i="7"/>
  <c r="O1357" i="7"/>
  <c r="U1357" i="7"/>
  <c r="Q1357" i="7"/>
  <c r="M1357" i="7"/>
  <c r="S1361" i="7"/>
  <c r="O1361" i="7"/>
  <c r="U1361" i="7"/>
  <c r="Q1361" i="7"/>
  <c r="M1361" i="7"/>
  <c r="S1365" i="7"/>
  <c r="O1365" i="7"/>
  <c r="U1365" i="7"/>
  <c r="Q1365" i="7"/>
  <c r="M1365" i="7"/>
  <c r="S1369" i="7"/>
  <c r="O1369" i="7"/>
  <c r="U1369" i="7"/>
  <c r="Q1369" i="7"/>
  <c r="M1369" i="7"/>
  <c r="S1373" i="7"/>
  <c r="O1373" i="7"/>
  <c r="U1373" i="7"/>
  <c r="Q1373" i="7"/>
  <c r="M1373" i="7"/>
  <c r="S1377" i="7"/>
  <c r="O1377" i="7"/>
  <c r="U1377" i="7"/>
  <c r="Q1377" i="7"/>
  <c r="M1377" i="7"/>
  <c r="S1381" i="7"/>
  <c r="O1381" i="7"/>
  <c r="U1381" i="7"/>
  <c r="Q1381" i="7"/>
  <c r="M1381" i="7"/>
  <c r="S1385" i="7"/>
  <c r="O1385" i="7"/>
  <c r="U1385" i="7"/>
  <c r="Q1385" i="7"/>
  <c r="M1385" i="7"/>
  <c r="S1389" i="7"/>
  <c r="O1389" i="7"/>
  <c r="U1389" i="7"/>
  <c r="Q1389" i="7"/>
  <c r="M1389" i="7"/>
  <c r="S1393" i="7"/>
  <c r="O1393" i="7"/>
  <c r="U1393" i="7"/>
  <c r="Q1393" i="7"/>
  <c r="M1393" i="7"/>
  <c r="S1397" i="7"/>
  <c r="O1397" i="7"/>
  <c r="U1397" i="7"/>
  <c r="Q1397" i="7"/>
  <c r="M1397" i="7"/>
  <c r="S1401" i="7"/>
  <c r="O1401" i="7"/>
  <c r="U1401" i="7"/>
  <c r="Q1401" i="7"/>
  <c r="M1401" i="7"/>
  <c r="S1405" i="7"/>
  <c r="O1405" i="7"/>
  <c r="U1405" i="7"/>
  <c r="Q1405" i="7"/>
  <c r="M1405" i="7"/>
  <c r="S1409" i="7"/>
  <c r="O1409" i="7"/>
  <c r="U1409" i="7"/>
  <c r="Q1409" i="7"/>
  <c r="M1409" i="7"/>
  <c r="S1413" i="7"/>
  <c r="O1413" i="7"/>
  <c r="U1413" i="7"/>
  <c r="Q1413" i="7"/>
  <c r="M1413" i="7"/>
  <c r="S1417" i="7"/>
  <c r="O1417" i="7"/>
  <c r="U1417" i="7"/>
  <c r="Q1417" i="7"/>
  <c r="M1417" i="7"/>
  <c r="S1421" i="7"/>
  <c r="O1421" i="7"/>
  <c r="U1421" i="7"/>
  <c r="Q1421" i="7"/>
  <c r="M1421" i="7"/>
  <c r="U1499" i="7"/>
  <c r="Q1499" i="7"/>
  <c r="M1499" i="7"/>
  <c r="S1499" i="7"/>
  <c r="O1499" i="7"/>
  <c r="U1507" i="7"/>
  <c r="Q1507" i="7"/>
  <c r="M1507" i="7"/>
  <c r="S1507" i="7"/>
  <c r="O1507" i="7"/>
  <c r="U1515" i="7"/>
  <c r="Q1515" i="7"/>
  <c r="M1515" i="7"/>
  <c r="S1515" i="7"/>
  <c r="O1515" i="7"/>
  <c r="U1523" i="7"/>
  <c r="Q1523" i="7"/>
  <c r="M1523" i="7"/>
  <c r="S1523" i="7"/>
  <c r="O1523" i="7"/>
  <c r="U1531" i="7"/>
  <c r="Q1531" i="7"/>
  <c r="M1531" i="7"/>
  <c r="S1531" i="7"/>
  <c r="O1531" i="7"/>
  <c r="U1539" i="7"/>
  <c r="Q1539" i="7"/>
  <c r="M1539" i="7"/>
  <c r="S1539" i="7"/>
  <c r="O1539" i="7"/>
  <c r="U1547" i="7"/>
  <c r="Q1547" i="7"/>
  <c r="M1547" i="7"/>
  <c r="S1547" i="7"/>
  <c r="O1547" i="7"/>
  <c r="U1551" i="7"/>
  <c r="Q1551" i="7"/>
  <c r="M1551" i="7"/>
  <c r="S1551" i="7"/>
  <c r="O1551" i="7"/>
  <c r="U1555" i="7"/>
  <c r="Q1555" i="7"/>
  <c r="M1555" i="7"/>
  <c r="S1555" i="7"/>
  <c r="O1555" i="7"/>
  <c r="U1559" i="7"/>
  <c r="Q1559" i="7"/>
  <c r="M1559" i="7"/>
  <c r="S1559" i="7"/>
  <c r="O1559" i="7"/>
  <c r="U1563" i="7"/>
  <c r="Q1563" i="7"/>
  <c r="M1563" i="7"/>
  <c r="S1563" i="7"/>
  <c r="O1563" i="7"/>
  <c r="U1567" i="7"/>
  <c r="Q1567" i="7"/>
  <c r="M1567" i="7"/>
  <c r="S1567" i="7"/>
  <c r="O1567" i="7"/>
  <c r="U1571" i="7"/>
  <c r="Q1571" i="7"/>
  <c r="M1571" i="7"/>
  <c r="S1571" i="7"/>
  <c r="O1571" i="7"/>
  <c r="U1575" i="7"/>
  <c r="Q1575" i="7"/>
  <c r="M1575" i="7"/>
  <c r="S1575" i="7"/>
  <c r="O1575" i="7"/>
  <c r="U1579" i="7"/>
  <c r="Q1579" i="7"/>
  <c r="M1579" i="7"/>
  <c r="S1579" i="7"/>
  <c r="O1579" i="7"/>
  <c r="U1583" i="7"/>
  <c r="Q1583" i="7"/>
  <c r="M1583" i="7"/>
  <c r="S1583" i="7"/>
  <c r="O1583" i="7"/>
  <c r="U1587" i="7"/>
  <c r="Q1587" i="7"/>
  <c r="M1587" i="7"/>
  <c r="S1587" i="7"/>
  <c r="O1587" i="7"/>
  <c r="U1591" i="7"/>
  <c r="Q1591" i="7"/>
  <c r="M1591" i="7"/>
  <c r="S1591" i="7"/>
  <c r="O1591" i="7"/>
  <c r="U1595" i="7"/>
  <c r="Q1595" i="7"/>
  <c r="M1595" i="7"/>
  <c r="S1595" i="7"/>
  <c r="O1595" i="7"/>
  <c r="U1599" i="7"/>
  <c r="Q1599" i="7"/>
  <c r="M1599" i="7"/>
  <c r="S1599" i="7"/>
  <c r="O1599" i="7"/>
  <c r="U1603" i="7"/>
  <c r="Q1603" i="7"/>
  <c r="M1603" i="7"/>
  <c r="S1603" i="7"/>
  <c r="O1603" i="7"/>
  <c r="U1607" i="7"/>
  <c r="Q1607" i="7"/>
  <c r="M1607" i="7"/>
  <c r="S1607" i="7"/>
  <c r="O1607" i="7"/>
  <c r="U1611" i="7"/>
  <c r="Q1611" i="7"/>
  <c r="M1611" i="7"/>
  <c r="S1611" i="7"/>
  <c r="O1611" i="7"/>
  <c r="S1428" i="7"/>
  <c r="O1428" i="7"/>
  <c r="M1428" i="7"/>
  <c r="Q1428" i="7"/>
  <c r="U1428" i="7"/>
  <c r="S1432" i="7"/>
  <c r="O1432" i="7"/>
  <c r="M1432" i="7"/>
  <c r="Q1432" i="7"/>
  <c r="U1432" i="7"/>
  <c r="S1436" i="7"/>
  <c r="O1436" i="7"/>
  <c r="M1436" i="7"/>
  <c r="Q1436" i="7"/>
  <c r="U1436" i="7"/>
  <c r="U1440" i="7"/>
  <c r="Q1440" i="7"/>
  <c r="M1440" i="7"/>
  <c r="S1440" i="7"/>
  <c r="O1440" i="7"/>
  <c r="U1444" i="7"/>
  <c r="Q1444" i="7"/>
  <c r="M1444" i="7"/>
  <c r="S1444" i="7"/>
  <c r="O1444" i="7"/>
  <c r="U1448" i="7"/>
  <c r="Q1448" i="7"/>
  <c r="M1448" i="7"/>
  <c r="S1448" i="7"/>
  <c r="O1448" i="7"/>
  <c r="U1452" i="7"/>
  <c r="Q1452" i="7"/>
  <c r="M1452" i="7"/>
  <c r="S1452" i="7"/>
  <c r="O1452" i="7"/>
  <c r="U1456" i="7"/>
  <c r="Q1456" i="7"/>
  <c r="M1456" i="7"/>
  <c r="S1456" i="7"/>
  <c r="O1456" i="7"/>
  <c r="U1460" i="7"/>
  <c r="Q1460" i="7"/>
  <c r="M1460" i="7"/>
  <c r="S1460" i="7"/>
  <c r="O1460" i="7"/>
  <c r="U1464" i="7"/>
  <c r="Q1464" i="7"/>
  <c r="M1464" i="7"/>
  <c r="S1464" i="7"/>
  <c r="O1464" i="7"/>
  <c r="U1468" i="7"/>
  <c r="Q1468" i="7"/>
  <c r="M1468" i="7"/>
  <c r="S1468" i="7"/>
  <c r="O1468" i="7"/>
  <c r="U1472" i="7"/>
  <c r="Q1472" i="7"/>
  <c r="M1472" i="7"/>
  <c r="S1472" i="7"/>
  <c r="O1472" i="7"/>
  <c r="U1476" i="7"/>
  <c r="Q1476" i="7"/>
  <c r="M1476" i="7"/>
  <c r="S1476" i="7"/>
  <c r="O1476" i="7"/>
  <c r="U1480" i="7"/>
  <c r="Q1480" i="7"/>
  <c r="M1480" i="7"/>
  <c r="S1480" i="7"/>
  <c r="O1480" i="7"/>
  <c r="U1484" i="7"/>
  <c r="Q1484" i="7"/>
  <c r="M1484" i="7"/>
  <c r="S1484" i="7"/>
  <c r="O1484" i="7"/>
  <c r="U1488" i="7"/>
  <c r="Q1488" i="7"/>
  <c r="M1488" i="7"/>
  <c r="O1488" i="7"/>
  <c r="S1488" i="7"/>
  <c r="U1495" i="7"/>
  <c r="Q1495" i="7"/>
  <c r="M1495" i="7"/>
  <c r="S1495" i="7"/>
  <c r="O1495" i="7"/>
  <c r="S1441" i="7"/>
  <c r="O1441" i="7"/>
  <c r="U1441" i="7"/>
  <c r="Q1441" i="7"/>
  <c r="M1441" i="7"/>
  <c r="S1445" i="7"/>
  <c r="O1445" i="7"/>
  <c r="U1445" i="7"/>
  <c r="Q1445" i="7"/>
  <c r="M1445" i="7"/>
  <c r="S1449" i="7"/>
  <c r="O1449" i="7"/>
  <c r="U1449" i="7"/>
  <c r="Q1449" i="7"/>
  <c r="M1449" i="7"/>
  <c r="S1453" i="7"/>
  <c r="O1453" i="7"/>
  <c r="U1453" i="7"/>
  <c r="Q1453" i="7"/>
  <c r="M1453" i="7"/>
  <c r="S1457" i="7"/>
  <c r="O1457" i="7"/>
  <c r="U1457" i="7"/>
  <c r="Q1457" i="7"/>
  <c r="M1457" i="7"/>
  <c r="S1461" i="7"/>
  <c r="O1461" i="7"/>
  <c r="U1461" i="7"/>
  <c r="Q1461" i="7"/>
  <c r="M1461" i="7"/>
  <c r="S1465" i="7"/>
  <c r="O1465" i="7"/>
  <c r="U1465" i="7"/>
  <c r="Q1465" i="7"/>
  <c r="M1465" i="7"/>
  <c r="S1469" i="7"/>
  <c r="O1469" i="7"/>
  <c r="U1469" i="7"/>
  <c r="Q1469" i="7"/>
  <c r="M1469" i="7"/>
  <c r="S1473" i="7"/>
  <c r="O1473" i="7"/>
  <c r="U1473" i="7"/>
  <c r="Q1473" i="7"/>
  <c r="M1473" i="7"/>
  <c r="S1477" i="7"/>
  <c r="O1477" i="7"/>
  <c r="U1477" i="7"/>
  <c r="Q1477" i="7"/>
  <c r="M1477" i="7"/>
  <c r="S1481" i="7"/>
  <c r="O1481" i="7"/>
  <c r="U1481" i="7"/>
  <c r="Q1481" i="7"/>
  <c r="M1481" i="7"/>
  <c r="S1485" i="7"/>
  <c r="O1485" i="7"/>
  <c r="U1485" i="7"/>
  <c r="Q1485" i="7"/>
  <c r="M1485" i="7"/>
  <c r="S1442" i="7"/>
  <c r="O1442" i="7"/>
  <c r="U1442" i="7"/>
  <c r="Q1442" i="7"/>
  <c r="M1442" i="7"/>
  <c r="S1446" i="7"/>
  <c r="O1446" i="7"/>
  <c r="U1446" i="7"/>
  <c r="Q1446" i="7"/>
  <c r="M1446" i="7"/>
  <c r="S1450" i="7"/>
  <c r="O1450" i="7"/>
  <c r="U1450" i="7"/>
  <c r="Q1450" i="7"/>
  <c r="M1450" i="7"/>
  <c r="S1454" i="7"/>
  <c r="O1454" i="7"/>
  <c r="U1454" i="7"/>
  <c r="Q1454" i="7"/>
  <c r="M1454" i="7"/>
  <c r="S1458" i="7"/>
  <c r="O1458" i="7"/>
  <c r="U1458" i="7"/>
  <c r="Q1458" i="7"/>
  <c r="M1458" i="7"/>
  <c r="S1462" i="7"/>
  <c r="O1462" i="7"/>
  <c r="U1462" i="7"/>
  <c r="Q1462" i="7"/>
  <c r="M1462" i="7"/>
  <c r="S1466" i="7"/>
  <c r="O1466" i="7"/>
  <c r="U1466" i="7"/>
  <c r="Q1466" i="7"/>
  <c r="M1466" i="7"/>
  <c r="S1470" i="7"/>
  <c r="O1470" i="7"/>
  <c r="U1470" i="7"/>
  <c r="Q1470" i="7"/>
  <c r="M1470" i="7"/>
  <c r="S1474" i="7"/>
  <c r="O1474" i="7"/>
  <c r="U1474" i="7"/>
  <c r="Q1474" i="7"/>
  <c r="M1474" i="7"/>
  <c r="S1478" i="7"/>
  <c r="O1478" i="7"/>
  <c r="U1478" i="7"/>
  <c r="Q1478" i="7"/>
  <c r="M1478" i="7"/>
  <c r="S1482" i="7"/>
  <c r="O1482" i="7"/>
  <c r="U1482" i="7"/>
  <c r="Q1482" i="7"/>
  <c r="M1482" i="7"/>
  <c r="S1486" i="7"/>
  <c r="O1486" i="7"/>
  <c r="U1486" i="7"/>
  <c r="Q1486" i="7"/>
  <c r="M1486" i="7"/>
  <c r="M1489" i="7"/>
  <c r="Q1489" i="7"/>
  <c r="U1489" i="7"/>
  <c r="O1489" i="7"/>
  <c r="S1489" i="7"/>
  <c r="Q1491" i="7"/>
  <c r="U1491" i="7"/>
  <c r="O1491" i="7"/>
  <c r="S1491" i="7"/>
  <c r="M1491" i="7"/>
  <c r="U1492" i="7"/>
  <c r="Q1492" i="7"/>
  <c r="M1492" i="7"/>
  <c r="O1492" i="7"/>
  <c r="S1492" i="7"/>
  <c r="M1493" i="7"/>
  <c r="Q1493" i="7"/>
  <c r="U1493" i="7"/>
  <c r="O1493" i="7"/>
  <c r="S1493" i="7"/>
  <c r="U1500" i="7"/>
  <c r="Q1500" i="7"/>
  <c r="M1500" i="7"/>
  <c r="S1500" i="7"/>
  <c r="O1500" i="7"/>
  <c r="U1504" i="7"/>
  <c r="Q1504" i="7"/>
  <c r="M1504" i="7"/>
  <c r="S1504" i="7"/>
  <c r="O1504" i="7"/>
  <c r="U1508" i="7"/>
  <c r="Q1508" i="7"/>
  <c r="M1508" i="7"/>
  <c r="S1508" i="7"/>
  <c r="O1508" i="7"/>
  <c r="U1512" i="7"/>
  <c r="Q1512" i="7"/>
  <c r="M1512" i="7"/>
  <c r="S1512" i="7"/>
  <c r="O1512" i="7"/>
  <c r="U1516" i="7"/>
  <c r="Q1516" i="7"/>
  <c r="M1516" i="7"/>
  <c r="S1516" i="7"/>
  <c r="O1516" i="7"/>
  <c r="U1520" i="7"/>
  <c r="Q1520" i="7"/>
  <c r="M1520" i="7"/>
  <c r="S1520" i="7"/>
  <c r="O1520" i="7"/>
  <c r="U1524" i="7"/>
  <c r="Q1524" i="7"/>
  <c r="M1524" i="7"/>
  <c r="S1524" i="7"/>
  <c r="O1524" i="7"/>
  <c r="U1528" i="7"/>
  <c r="Q1528" i="7"/>
  <c r="M1528" i="7"/>
  <c r="S1528" i="7"/>
  <c r="O1528" i="7"/>
  <c r="U1532" i="7"/>
  <c r="Q1532" i="7"/>
  <c r="M1532" i="7"/>
  <c r="S1532" i="7"/>
  <c r="O1532" i="7"/>
  <c r="U1536" i="7"/>
  <c r="Q1536" i="7"/>
  <c r="M1536" i="7"/>
  <c r="S1536" i="7"/>
  <c r="O1536" i="7"/>
  <c r="U1540" i="7"/>
  <c r="Q1540" i="7"/>
  <c r="M1540" i="7"/>
  <c r="S1540" i="7"/>
  <c r="O1540" i="7"/>
  <c r="U1544" i="7"/>
  <c r="Q1544" i="7"/>
  <c r="M1544" i="7"/>
  <c r="S1544" i="7"/>
  <c r="O1544" i="7"/>
  <c r="U1548" i="7"/>
  <c r="Q1548" i="7"/>
  <c r="M1548" i="7"/>
  <c r="S1548" i="7"/>
  <c r="O1548" i="7"/>
  <c r="U1552" i="7"/>
  <c r="Q1552" i="7"/>
  <c r="M1552" i="7"/>
  <c r="S1552" i="7"/>
  <c r="O1552" i="7"/>
  <c r="U1556" i="7"/>
  <c r="Q1556" i="7"/>
  <c r="M1556" i="7"/>
  <c r="S1556" i="7"/>
  <c r="O1556" i="7"/>
  <c r="U1560" i="7"/>
  <c r="Q1560" i="7"/>
  <c r="M1560" i="7"/>
  <c r="S1560" i="7"/>
  <c r="O1560" i="7"/>
  <c r="U1564" i="7"/>
  <c r="Q1564" i="7"/>
  <c r="M1564" i="7"/>
  <c r="S1564" i="7"/>
  <c r="O1564" i="7"/>
  <c r="U1568" i="7"/>
  <c r="Q1568" i="7"/>
  <c r="M1568" i="7"/>
  <c r="S1568" i="7"/>
  <c r="O1568" i="7"/>
  <c r="U1572" i="7"/>
  <c r="Q1572" i="7"/>
  <c r="M1572" i="7"/>
  <c r="S1572" i="7"/>
  <c r="O1572" i="7"/>
  <c r="U1576" i="7"/>
  <c r="Q1576" i="7"/>
  <c r="M1576" i="7"/>
  <c r="S1576" i="7"/>
  <c r="O1576" i="7"/>
  <c r="U1580" i="7"/>
  <c r="Q1580" i="7"/>
  <c r="M1580" i="7"/>
  <c r="S1580" i="7"/>
  <c r="O1580" i="7"/>
  <c r="U1584" i="7"/>
  <c r="Q1584" i="7"/>
  <c r="M1584" i="7"/>
  <c r="S1584" i="7"/>
  <c r="O1584" i="7"/>
  <c r="U1588" i="7"/>
  <c r="Q1588" i="7"/>
  <c r="M1588" i="7"/>
  <c r="S1588" i="7"/>
  <c r="O1588" i="7"/>
  <c r="U1592" i="7"/>
  <c r="Q1592" i="7"/>
  <c r="M1592" i="7"/>
  <c r="S1592" i="7"/>
  <c r="O1592" i="7"/>
  <c r="U1596" i="7"/>
  <c r="Q1596" i="7"/>
  <c r="M1596" i="7"/>
  <c r="S1596" i="7"/>
  <c r="O1596" i="7"/>
  <c r="U1600" i="7"/>
  <c r="Q1600" i="7"/>
  <c r="M1600" i="7"/>
  <c r="S1600" i="7"/>
  <c r="O1600" i="7"/>
  <c r="U1604" i="7"/>
  <c r="Q1604" i="7"/>
  <c r="M1604" i="7"/>
  <c r="S1604" i="7"/>
  <c r="O1604" i="7"/>
  <c r="U1608" i="7"/>
  <c r="Q1608" i="7"/>
  <c r="M1608" i="7"/>
  <c r="S1608" i="7"/>
  <c r="O1608" i="7"/>
  <c r="U1612" i="7"/>
  <c r="Q1612" i="7"/>
  <c r="M1612" i="7"/>
  <c r="S1612" i="7"/>
  <c r="O1612" i="7"/>
  <c r="U1613" i="7"/>
  <c r="Q1613" i="7"/>
  <c r="M1613" i="7"/>
  <c r="O1613" i="7"/>
  <c r="S1613" i="7"/>
  <c r="U1614" i="7"/>
  <c r="O1614" i="7"/>
  <c r="S1614" i="7"/>
  <c r="M1614" i="7"/>
  <c r="Q1614" i="7"/>
  <c r="O1616" i="7"/>
  <c r="S1616" i="7"/>
  <c r="M1616" i="7"/>
  <c r="Q1616" i="7"/>
  <c r="U1616" i="7"/>
  <c r="U1617" i="7"/>
  <c r="Q1617" i="7"/>
  <c r="M1617" i="7"/>
  <c r="O1617" i="7"/>
  <c r="S1617" i="7"/>
  <c r="U1618" i="7"/>
  <c r="O1618" i="7"/>
  <c r="S1618" i="7"/>
  <c r="M1618" i="7"/>
  <c r="Q1618" i="7"/>
  <c r="O1620" i="7"/>
  <c r="S1620" i="7"/>
  <c r="M1620" i="7"/>
  <c r="Q1620" i="7"/>
  <c r="U1620" i="7"/>
  <c r="U1621" i="7"/>
  <c r="Q1621" i="7"/>
  <c r="M1621" i="7"/>
  <c r="O1621" i="7"/>
  <c r="S1621" i="7"/>
  <c r="U1622" i="7"/>
  <c r="O1622" i="7"/>
  <c r="S1622" i="7"/>
  <c r="M1622" i="7"/>
  <c r="Q1622" i="7"/>
  <c r="O1624" i="7"/>
  <c r="S1624" i="7"/>
  <c r="M1624" i="7"/>
  <c r="Q1624" i="7"/>
  <c r="U1624" i="7"/>
  <c r="U1625" i="7"/>
  <c r="Q1625" i="7"/>
  <c r="M1625" i="7"/>
  <c r="O1625" i="7"/>
  <c r="S1625" i="7"/>
  <c r="U1626" i="7"/>
  <c r="O1626" i="7"/>
  <c r="S1626" i="7"/>
  <c r="M1626" i="7"/>
  <c r="Q1626" i="7"/>
  <c r="O1628" i="7"/>
  <c r="S1628" i="7"/>
  <c r="M1628" i="7"/>
  <c r="Q1628" i="7"/>
  <c r="U1628" i="7"/>
  <c r="U1629" i="7"/>
  <c r="Q1629" i="7"/>
  <c r="M1629" i="7"/>
  <c r="O1629" i="7"/>
  <c r="S1629" i="7"/>
  <c r="U1630" i="7"/>
  <c r="O1630" i="7"/>
  <c r="S1630" i="7"/>
  <c r="M1630" i="7"/>
  <c r="Q1630" i="7"/>
  <c r="O1632" i="7"/>
  <c r="S1632" i="7"/>
  <c r="M1632" i="7"/>
  <c r="Q1632" i="7"/>
  <c r="U1632" i="7"/>
  <c r="U1633" i="7"/>
  <c r="Q1633" i="7"/>
  <c r="M1633" i="7"/>
  <c r="O1633" i="7"/>
  <c r="S1633" i="7"/>
  <c r="U1634" i="7"/>
  <c r="O1634" i="7"/>
  <c r="S1634" i="7"/>
  <c r="M1634" i="7"/>
  <c r="Q1634" i="7"/>
  <c r="O1636" i="7"/>
  <c r="S1636" i="7"/>
  <c r="M1636" i="7"/>
  <c r="Q1636" i="7"/>
  <c r="U1636" i="7"/>
  <c r="U1637" i="7"/>
  <c r="Q1637" i="7"/>
  <c r="M1637" i="7"/>
  <c r="O1637" i="7"/>
  <c r="S1637" i="7"/>
  <c r="U1638" i="7"/>
  <c r="O1638" i="7"/>
  <c r="S1638" i="7"/>
  <c r="M1638" i="7"/>
  <c r="Q1638" i="7"/>
  <c r="O1640" i="7"/>
  <c r="S1640" i="7"/>
  <c r="M1640" i="7"/>
  <c r="Q1640" i="7"/>
  <c r="U1640" i="7"/>
  <c r="U1641" i="7"/>
  <c r="Q1641" i="7"/>
  <c r="M1641" i="7"/>
  <c r="O1641" i="7"/>
  <c r="S1641" i="7"/>
  <c r="U1642" i="7"/>
  <c r="O1642" i="7"/>
  <c r="S1642" i="7"/>
  <c r="M1642" i="7"/>
  <c r="Q1642" i="7"/>
  <c r="O1644" i="7"/>
  <c r="S1644" i="7"/>
  <c r="M1644" i="7"/>
  <c r="Q1644" i="7"/>
  <c r="U1644" i="7"/>
  <c r="U1645" i="7"/>
  <c r="Q1645" i="7"/>
  <c r="M1645" i="7"/>
  <c r="O1645" i="7"/>
  <c r="S1645" i="7"/>
  <c r="U1646" i="7"/>
  <c r="O1646" i="7"/>
  <c r="S1646" i="7"/>
  <c r="M1646" i="7"/>
  <c r="Q1646" i="7"/>
  <c r="O1648" i="7"/>
  <c r="S1648" i="7"/>
  <c r="M1648" i="7"/>
  <c r="Q1648" i="7"/>
  <c r="U1648" i="7"/>
  <c r="U1649" i="7"/>
  <c r="Q1649" i="7"/>
  <c r="M1649" i="7"/>
  <c r="O1649" i="7"/>
  <c r="S1649" i="7"/>
  <c r="U1650" i="7"/>
  <c r="O1650" i="7"/>
  <c r="S1650" i="7"/>
  <c r="M1650" i="7"/>
  <c r="Q1650" i="7"/>
  <c r="O1652" i="7"/>
  <c r="S1652" i="7"/>
  <c r="M1652" i="7"/>
  <c r="Q1652" i="7"/>
  <c r="U1652" i="7"/>
  <c r="U1653" i="7"/>
  <c r="Q1653" i="7"/>
  <c r="M1653" i="7"/>
  <c r="O1653" i="7"/>
  <c r="S1653" i="7"/>
  <c r="U1654" i="7"/>
  <c r="O1654" i="7"/>
  <c r="S1654" i="7"/>
  <c r="M1654" i="7"/>
  <c r="Q1654" i="7"/>
  <c r="S1656" i="7"/>
  <c r="U1656" i="7"/>
  <c r="O1656" i="7"/>
  <c r="M1656" i="7"/>
  <c r="Q1656" i="7"/>
  <c r="U1658" i="7"/>
  <c r="Q1658" i="7"/>
  <c r="M1658" i="7"/>
  <c r="S1658" i="7"/>
  <c r="O1658" i="7"/>
  <c r="U1661" i="7"/>
  <c r="Q1661" i="7"/>
  <c r="M1661" i="7"/>
  <c r="O1661" i="7"/>
  <c r="S1661" i="7"/>
  <c r="U1665" i="7"/>
  <c r="Q1665" i="7"/>
  <c r="M1665" i="7"/>
  <c r="O1665" i="7"/>
  <c r="S1665" i="7"/>
  <c r="U1669" i="7"/>
  <c r="Q1669" i="7"/>
  <c r="M1669" i="7"/>
  <c r="O1669" i="7"/>
  <c r="S1669" i="7"/>
  <c r="S1497" i="7"/>
  <c r="O1497" i="7"/>
  <c r="Q1497" i="7"/>
  <c r="M1497" i="7"/>
  <c r="U1497" i="7"/>
  <c r="S1501" i="7"/>
  <c r="O1501" i="7"/>
  <c r="Q1501" i="7"/>
  <c r="M1501" i="7"/>
  <c r="U1501" i="7"/>
  <c r="S1505" i="7"/>
  <c r="O1505" i="7"/>
  <c r="Q1505" i="7"/>
  <c r="M1505" i="7"/>
  <c r="U1505" i="7"/>
  <c r="S1509" i="7"/>
  <c r="O1509" i="7"/>
  <c r="Q1509" i="7"/>
  <c r="M1509" i="7"/>
  <c r="U1509" i="7"/>
  <c r="S1513" i="7"/>
  <c r="O1513" i="7"/>
  <c r="Q1513" i="7"/>
  <c r="M1513" i="7"/>
  <c r="U1513" i="7"/>
  <c r="S1517" i="7"/>
  <c r="O1517" i="7"/>
  <c r="Q1517" i="7"/>
  <c r="M1517" i="7"/>
  <c r="U1517" i="7"/>
  <c r="S1521" i="7"/>
  <c r="O1521" i="7"/>
  <c r="Q1521" i="7"/>
  <c r="M1521" i="7"/>
  <c r="U1521" i="7"/>
  <c r="S1525" i="7"/>
  <c r="O1525" i="7"/>
  <c r="Q1525" i="7"/>
  <c r="M1525" i="7"/>
  <c r="U1525" i="7"/>
  <c r="S1529" i="7"/>
  <c r="O1529" i="7"/>
  <c r="Q1529" i="7"/>
  <c r="M1529" i="7"/>
  <c r="U1529" i="7"/>
  <c r="S1533" i="7"/>
  <c r="O1533" i="7"/>
  <c r="Q1533" i="7"/>
  <c r="M1533" i="7"/>
  <c r="U1533" i="7"/>
  <c r="S1537" i="7"/>
  <c r="O1537" i="7"/>
  <c r="Q1537" i="7"/>
  <c r="M1537" i="7"/>
  <c r="U1537" i="7"/>
  <c r="S1541" i="7"/>
  <c r="O1541" i="7"/>
  <c r="Q1541" i="7"/>
  <c r="M1541" i="7"/>
  <c r="U1541" i="7"/>
  <c r="S1545" i="7"/>
  <c r="O1545" i="7"/>
  <c r="Q1545" i="7"/>
  <c r="M1545" i="7"/>
  <c r="U1545" i="7"/>
  <c r="S1549" i="7"/>
  <c r="O1549" i="7"/>
  <c r="Q1549" i="7"/>
  <c r="M1549" i="7"/>
  <c r="U1549" i="7"/>
  <c r="S1553" i="7"/>
  <c r="O1553" i="7"/>
  <c r="Q1553" i="7"/>
  <c r="M1553" i="7"/>
  <c r="U1553" i="7"/>
  <c r="S1557" i="7"/>
  <c r="O1557" i="7"/>
  <c r="Q1557" i="7"/>
  <c r="M1557" i="7"/>
  <c r="U1557" i="7"/>
  <c r="S1561" i="7"/>
  <c r="O1561" i="7"/>
  <c r="Q1561" i="7"/>
  <c r="M1561" i="7"/>
  <c r="U1561" i="7"/>
  <c r="S1565" i="7"/>
  <c r="O1565" i="7"/>
  <c r="Q1565" i="7"/>
  <c r="M1565" i="7"/>
  <c r="U1565" i="7"/>
  <c r="S1569" i="7"/>
  <c r="O1569" i="7"/>
  <c r="Q1569" i="7"/>
  <c r="M1569" i="7"/>
  <c r="U1569" i="7"/>
  <c r="S1573" i="7"/>
  <c r="O1573" i="7"/>
  <c r="Q1573" i="7"/>
  <c r="M1573" i="7"/>
  <c r="U1573" i="7"/>
  <c r="S1577" i="7"/>
  <c r="O1577" i="7"/>
  <c r="Q1577" i="7"/>
  <c r="M1577" i="7"/>
  <c r="U1577" i="7"/>
  <c r="S1581" i="7"/>
  <c r="O1581" i="7"/>
  <c r="Q1581" i="7"/>
  <c r="M1581" i="7"/>
  <c r="U1581" i="7"/>
  <c r="S1585" i="7"/>
  <c r="O1585" i="7"/>
  <c r="Q1585" i="7"/>
  <c r="M1585" i="7"/>
  <c r="U1585" i="7"/>
  <c r="S1589" i="7"/>
  <c r="O1589" i="7"/>
  <c r="Q1589" i="7"/>
  <c r="M1589" i="7"/>
  <c r="U1589" i="7"/>
  <c r="S1593" i="7"/>
  <c r="O1593" i="7"/>
  <c r="Q1593" i="7"/>
  <c r="M1593" i="7"/>
  <c r="U1593" i="7"/>
  <c r="S1597" i="7"/>
  <c r="O1597" i="7"/>
  <c r="Q1597" i="7"/>
  <c r="M1597" i="7"/>
  <c r="U1597" i="7"/>
  <c r="S1601" i="7"/>
  <c r="O1601" i="7"/>
  <c r="Q1601" i="7"/>
  <c r="M1601" i="7"/>
  <c r="U1601" i="7"/>
  <c r="S1605" i="7"/>
  <c r="O1605" i="7"/>
  <c r="Q1605" i="7"/>
  <c r="M1605" i="7"/>
  <c r="U1605" i="7"/>
  <c r="S1609" i="7"/>
  <c r="O1609" i="7"/>
  <c r="Q1609" i="7"/>
  <c r="M1609" i="7"/>
  <c r="U1609" i="7"/>
  <c r="U1657" i="7"/>
  <c r="Q1657" i="7"/>
  <c r="M1657" i="7"/>
  <c r="O1657" i="7"/>
  <c r="S1657" i="7"/>
  <c r="S1490" i="7"/>
  <c r="O1490" i="7"/>
  <c r="Q1490" i="7"/>
  <c r="U1490" i="7"/>
  <c r="M1490" i="7"/>
  <c r="S1494" i="7"/>
  <c r="O1494" i="7"/>
  <c r="Q1494" i="7"/>
  <c r="U1494" i="7"/>
  <c r="M1494" i="7"/>
  <c r="S1498" i="7"/>
  <c r="O1498" i="7"/>
  <c r="U1498" i="7"/>
  <c r="Q1498" i="7"/>
  <c r="M1498" i="7"/>
  <c r="S1502" i="7"/>
  <c r="O1502" i="7"/>
  <c r="U1502" i="7"/>
  <c r="Q1502" i="7"/>
  <c r="M1502" i="7"/>
  <c r="S1506" i="7"/>
  <c r="O1506" i="7"/>
  <c r="U1506" i="7"/>
  <c r="Q1506" i="7"/>
  <c r="M1506" i="7"/>
  <c r="S1510" i="7"/>
  <c r="O1510" i="7"/>
  <c r="U1510" i="7"/>
  <c r="Q1510" i="7"/>
  <c r="M1510" i="7"/>
  <c r="S1514" i="7"/>
  <c r="O1514" i="7"/>
  <c r="U1514" i="7"/>
  <c r="Q1514" i="7"/>
  <c r="M1514" i="7"/>
  <c r="S1518" i="7"/>
  <c r="O1518" i="7"/>
  <c r="U1518" i="7"/>
  <c r="Q1518" i="7"/>
  <c r="M1518" i="7"/>
  <c r="S1522" i="7"/>
  <c r="O1522" i="7"/>
  <c r="U1522" i="7"/>
  <c r="Q1522" i="7"/>
  <c r="M1522" i="7"/>
  <c r="S1526" i="7"/>
  <c r="O1526" i="7"/>
  <c r="U1526" i="7"/>
  <c r="Q1526" i="7"/>
  <c r="M1526" i="7"/>
  <c r="S1530" i="7"/>
  <c r="O1530" i="7"/>
  <c r="U1530" i="7"/>
  <c r="Q1530" i="7"/>
  <c r="M1530" i="7"/>
  <c r="S1534" i="7"/>
  <c r="O1534" i="7"/>
  <c r="U1534" i="7"/>
  <c r="Q1534" i="7"/>
  <c r="M1534" i="7"/>
  <c r="S1538" i="7"/>
  <c r="O1538" i="7"/>
  <c r="U1538" i="7"/>
  <c r="Q1538" i="7"/>
  <c r="M1538" i="7"/>
  <c r="S1542" i="7"/>
  <c r="O1542" i="7"/>
  <c r="U1542" i="7"/>
  <c r="Q1542" i="7"/>
  <c r="M1542" i="7"/>
  <c r="S1546" i="7"/>
  <c r="O1546" i="7"/>
  <c r="U1546" i="7"/>
  <c r="Q1546" i="7"/>
  <c r="M1546" i="7"/>
  <c r="S1550" i="7"/>
  <c r="O1550" i="7"/>
  <c r="U1550" i="7"/>
  <c r="Q1550" i="7"/>
  <c r="M1550" i="7"/>
  <c r="S1554" i="7"/>
  <c r="O1554" i="7"/>
  <c r="U1554" i="7"/>
  <c r="Q1554" i="7"/>
  <c r="M1554" i="7"/>
  <c r="S1558" i="7"/>
  <c r="O1558" i="7"/>
  <c r="U1558" i="7"/>
  <c r="Q1558" i="7"/>
  <c r="M1558" i="7"/>
  <c r="S1562" i="7"/>
  <c r="O1562" i="7"/>
  <c r="U1562" i="7"/>
  <c r="Q1562" i="7"/>
  <c r="M1562" i="7"/>
  <c r="S1566" i="7"/>
  <c r="O1566" i="7"/>
  <c r="U1566" i="7"/>
  <c r="Q1566" i="7"/>
  <c r="M1566" i="7"/>
  <c r="S1570" i="7"/>
  <c r="O1570" i="7"/>
  <c r="U1570" i="7"/>
  <c r="Q1570" i="7"/>
  <c r="M1570" i="7"/>
  <c r="S1574" i="7"/>
  <c r="O1574" i="7"/>
  <c r="U1574" i="7"/>
  <c r="Q1574" i="7"/>
  <c r="M1574" i="7"/>
  <c r="S1578" i="7"/>
  <c r="O1578" i="7"/>
  <c r="U1578" i="7"/>
  <c r="Q1578" i="7"/>
  <c r="M1578" i="7"/>
  <c r="S1582" i="7"/>
  <c r="O1582" i="7"/>
  <c r="U1582" i="7"/>
  <c r="Q1582" i="7"/>
  <c r="M1582" i="7"/>
  <c r="S1586" i="7"/>
  <c r="O1586" i="7"/>
  <c r="U1586" i="7"/>
  <c r="Q1586" i="7"/>
  <c r="M1586" i="7"/>
  <c r="S1590" i="7"/>
  <c r="O1590" i="7"/>
  <c r="U1590" i="7"/>
  <c r="Q1590" i="7"/>
  <c r="M1590" i="7"/>
  <c r="S1594" i="7"/>
  <c r="O1594" i="7"/>
  <c r="U1594" i="7"/>
  <c r="Q1594" i="7"/>
  <c r="M1594" i="7"/>
  <c r="S1598" i="7"/>
  <c r="O1598" i="7"/>
  <c r="U1598" i="7"/>
  <c r="Q1598" i="7"/>
  <c r="M1598" i="7"/>
  <c r="S1602" i="7"/>
  <c r="O1602" i="7"/>
  <c r="U1602" i="7"/>
  <c r="Q1602" i="7"/>
  <c r="M1602" i="7"/>
  <c r="S1606" i="7"/>
  <c r="O1606" i="7"/>
  <c r="U1606" i="7"/>
  <c r="Q1606" i="7"/>
  <c r="M1606" i="7"/>
  <c r="S1610" i="7"/>
  <c r="O1610" i="7"/>
  <c r="U1610" i="7"/>
  <c r="Q1610" i="7"/>
  <c r="M1610" i="7"/>
  <c r="U1662" i="7"/>
  <c r="Q1662" i="7"/>
  <c r="M1662" i="7"/>
  <c r="S1662" i="7"/>
  <c r="O1662" i="7"/>
  <c r="U1666" i="7"/>
  <c r="Q1666" i="7"/>
  <c r="M1666" i="7"/>
  <c r="S1666" i="7"/>
  <c r="O1666" i="7"/>
  <c r="U1670" i="7"/>
  <c r="Q1670" i="7"/>
  <c r="M1670" i="7"/>
  <c r="S1670" i="7"/>
  <c r="O1670" i="7"/>
  <c r="U1674" i="7"/>
  <c r="Q1674" i="7"/>
  <c r="O1674" i="7"/>
  <c r="M1674" i="7"/>
  <c r="S1674" i="7"/>
  <c r="S1615" i="7"/>
  <c r="O1615" i="7"/>
  <c r="M1615" i="7"/>
  <c r="Q1615" i="7"/>
  <c r="U1615" i="7"/>
  <c r="S1619" i="7"/>
  <c r="O1619" i="7"/>
  <c r="M1619" i="7"/>
  <c r="Q1619" i="7"/>
  <c r="U1619" i="7"/>
  <c r="S1623" i="7"/>
  <c r="O1623" i="7"/>
  <c r="M1623" i="7"/>
  <c r="Q1623" i="7"/>
  <c r="U1623" i="7"/>
  <c r="S1627" i="7"/>
  <c r="O1627" i="7"/>
  <c r="M1627" i="7"/>
  <c r="Q1627" i="7"/>
  <c r="U1627" i="7"/>
  <c r="S1631" i="7"/>
  <c r="O1631" i="7"/>
  <c r="M1631" i="7"/>
  <c r="Q1631" i="7"/>
  <c r="U1631" i="7"/>
  <c r="S1635" i="7"/>
  <c r="O1635" i="7"/>
  <c r="M1635" i="7"/>
  <c r="Q1635" i="7"/>
  <c r="U1635" i="7"/>
  <c r="S1639" i="7"/>
  <c r="O1639" i="7"/>
  <c r="M1639" i="7"/>
  <c r="Q1639" i="7"/>
  <c r="U1639" i="7"/>
  <c r="S1643" i="7"/>
  <c r="O1643" i="7"/>
  <c r="M1643" i="7"/>
  <c r="Q1643" i="7"/>
  <c r="U1643" i="7"/>
  <c r="S1647" i="7"/>
  <c r="O1647" i="7"/>
  <c r="M1647" i="7"/>
  <c r="Q1647" i="7"/>
  <c r="U1647" i="7"/>
  <c r="S1651" i="7"/>
  <c r="O1651" i="7"/>
  <c r="M1651" i="7"/>
  <c r="Q1651" i="7"/>
  <c r="U1651" i="7"/>
  <c r="S1655" i="7"/>
  <c r="O1655" i="7"/>
  <c r="M1655" i="7"/>
  <c r="Q1655" i="7"/>
  <c r="U1655" i="7"/>
  <c r="S1659" i="7"/>
  <c r="O1659" i="7"/>
  <c r="U1659" i="7"/>
  <c r="M1659" i="7"/>
  <c r="Q1659" i="7"/>
  <c r="S1663" i="7"/>
  <c r="O1663" i="7"/>
  <c r="M1663" i="7"/>
  <c r="U1663" i="7"/>
  <c r="Q1663" i="7"/>
  <c r="S1667" i="7"/>
  <c r="O1667" i="7"/>
  <c r="M1667" i="7"/>
  <c r="U1667" i="7"/>
  <c r="Q1667" i="7"/>
  <c r="S1671" i="7"/>
  <c r="O1671" i="7"/>
  <c r="M1671" i="7"/>
  <c r="U1671" i="7"/>
  <c r="Q1671" i="7"/>
  <c r="U1675" i="7"/>
  <c r="Q1675" i="7"/>
  <c r="M1675" i="7"/>
  <c r="S1675" i="7"/>
  <c r="O1675" i="7"/>
  <c r="U1679" i="7"/>
  <c r="Q1679" i="7"/>
  <c r="M1679" i="7"/>
  <c r="S1679" i="7"/>
  <c r="O1679" i="7"/>
  <c r="U1683" i="7"/>
  <c r="Q1683" i="7"/>
  <c r="M1683" i="7"/>
  <c r="S1683" i="7"/>
  <c r="O1683" i="7"/>
  <c r="U1687" i="7"/>
  <c r="Q1687" i="7"/>
  <c r="M1687" i="7"/>
  <c r="S1687" i="7"/>
  <c r="O1687" i="7"/>
  <c r="U1691" i="7"/>
  <c r="Q1691" i="7"/>
  <c r="M1691" i="7"/>
  <c r="S1691" i="7"/>
  <c r="O1691" i="7"/>
  <c r="U1695" i="7"/>
  <c r="Q1695" i="7"/>
  <c r="M1695" i="7"/>
  <c r="S1695" i="7"/>
  <c r="O1695" i="7"/>
  <c r="U1699" i="7"/>
  <c r="Q1699" i="7"/>
  <c r="M1699" i="7"/>
  <c r="S1699" i="7"/>
  <c r="O1699" i="7"/>
  <c r="U1703" i="7"/>
  <c r="Q1703" i="7"/>
  <c r="M1703" i="7"/>
  <c r="S1703" i="7"/>
  <c r="O1703" i="7"/>
  <c r="U1707" i="7"/>
  <c r="Q1707" i="7"/>
  <c r="M1707" i="7"/>
  <c r="S1707" i="7"/>
  <c r="O1707" i="7"/>
  <c r="U1711" i="7"/>
  <c r="Q1711" i="7"/>
  <c r="M1711" i="7"/>
  <c r="S1711" i="7"/>
  <c r="O1711" i="7"/>
  <c r="U1715" i="7"/>
  <c r="Q1715" i="7"/>
  <c r="M1715" i="7"/>
  <c r="S1715" i="7"/>
  <c r="O1715" i="7"/>
  <c r="U1719" i="7"/>
  <c r="Q1719" i="7"/>
  <c r="M1719" i="7"/>
  <c r="S1719" i="7"/>
  <c r="O1719" i="7"/>
  <c r="U1723" i="7"/>
  <c r="Q1723" i="7"/>
  <c r="M1723" i="7"/>
  <c r="S1723" i="7"/>
  <c r="O1723" i="7"/>
  <c r="U1727" i="7"/>
  <c r="Q1727" i="7"/>
  <c r="M1727" i="7"/>
  <c r="S1727" i="7"/>
  <c r="O1727" i="7"/>
  <c r="U1731" i="7"/>
  <c r="Q1731" i="7"/>
  <c r="M1731" i="7"/>
  <c r="S1731" i="7"/>
  <c r="O1731" i="7"/>
  <c r="U1735" i="7"/>
  <c r="Q1735" i="7"/>
  <c r="M1735" i="7"/>
  <c r="S1735" i="7"/>
  <c r="O1735" i="7"/>
  <c r="U1739" i="7"/>
  <c r="Q1739" i="7"/>
  <c r="M1739" i="7"/>
  <c r="S1739" i="7"/>
  <c r="O1739" i="7"/>
  <c r="U1743" i="7"/>
  <c r="Q1743" i="7"/>
  <c r="M1743" i="7"/>
  <c r="S1743" i="7"/>
  <c r="O1743" i="7"/>
  <c r="U1747" i="7"/>
  <c r="Q1747" i="7"/>
  <c r="M1747" i="7"/>
  <c r="S1747" i="7"/>
  <c r="O1747" i="7"/>
  <c r="S1660" i="7"/>
  <c r="O1660" i="7"/>
  <c r="U1660" i="7"/>
  <c r="Q1660" i="7"/>
  <c r="M1660" i="7"/>
  <c r="S1664" i="7"/>
  <c r="O1664" i="7"/>
  <c r="U1664" i="7"/>
  <c r="Q1664" i="7"/>
  <c r="M1664" i="7"/>
  <c r="S1668" i="7"/>
  <c r="O1668" i="7"/>
  <c r="U1668" i="7"/>
  <c r="Q1668" i="7"/>
  <c r="M1668" i="7"/>
  <c r="U1672" i="7"/>
  <c r="O1672" i="7"/>
  <c r="S1672" i="7"/>
  <c r="M1672" i="7"/>
  <c r="Q1672" i="7"/>
  <c r="U1676" i="7"/>
  <c r="Q1676" i="7"/>
  <c r="M1676" i="7"/>
  <c r="S1676" i="7"/>
  <c r="O1676" i="7"/>
  <c r="U1680" i="7"/>
  <c r="Q1680" i="7"/>
  <c r="M1680" i="7"/>
  <c r="S1680" i="7"/>
  <c r="O1680" i="7"/>
  <c r="U1684" i="7"/>
  <c r="Q1684" i="7"/>
  <c r="M1684" i="7"/>
  <c r="S1684" i="7"/>
  <c r="O1684" i="7"/>
  <c r="U1688" i="7"/>
  <c r="Q1688" i="7"/>
  <c r="M1688" i="7"/>
  <c r="S1688" i="7"/>
  <c r="O1688" i="7"/>
  <c r="U1692" i="7"/>
  <c r="Q1692" i="7"/>
  <c r="M1692" i="7"/>
  <c r="S1692" i="7"/>
  <c r="O1692" i="7"/>
  <c r="U1696" i="7"/>
  <c r="Q1696" i="7"/>
  <c r="M1696" i="7"/>
  <c r="S1696" i="7"/>
  <c r="O1696" i="7"/>
  <c r="U1700" i="7"/>
  <c r="Q1700" i="7"/>
  <c r="M1700" i="7"/>
  <c r="S1700" i="7"/>
  <c r="O1700" i="7"/>
  <c r="U1704" i="7"/>
  <c r="Q1704" i="7"/>
  <c r="M1704" i="7"/>
  <c r="S1704" i="7"/>
  <c r="O1704" i="7"/>
  <c r="U1708" i="7"/>
  <c r="Q1708" i="7"/>
  <c r="M1708" i="7"/>
  <c r="S1708" i="7"/>
  <c r="O1708" i="7"/>
  <c r="U1712" i="7"/>
  <c r="Q1712" i="7"/>
  <c r="M1712" i="7"/>
  <c r="S1712" i="7"/>
  <c r="O1712" i="7"/>
  <c r="U1716" i="7"/>
  <c r="Q1716" i="7"/>
  <c r="M1716" i="7"/>
  <c r="S1716" i="7"/>
  <c r="O1716" i="7"/>
  <c r="U1720" i="7"/>
  <c r="Q1720" i="7"/>
  <c r="M1720" i="7"/>
  <c r="S1720" i="7"/>
  <c r="O1720" i="7"/>
  <c r="U1724" i="7"/>
  <c r="Q1724" i="7"/>
  <c r="M1724" i="7"/>
  <c r="S1724" i="7"/>
  <c r="O1724" i="7"/>
  <c r="U1728" i="7"/>
  <c r="Q1728" i="7"/>
  <c r="M1728" i="7"/>
  <c r="S1728" i="7"/>
  <c r="O1728" i="7"/>
  <c r="U1732" i="7"/>
  <c r="Q1732" i="7"/>
  <c r="M1732" i="7"/>
  <c r="S1732" i="7"/>
  <c r="O1732" i="7"/>
  <c r="U1736" i="7"/>
  <c r="Q1736" i="7"/>
  <c r="M1736" i="7"/>
  <c r="S1736" i="7"/>
  <c r="O1736" i="7"/>
  <c r="U1740" i="7"/>
  <c r="Q1740" i="7"/>
  <c r="M1740" i="7"/>
  <c r="S1740" i="7"/>
  <c r="O1740" i="7"/>
  <c r="U1744" i="7"/>
  <c r="Q1744" i="7"/>
  <c r="M1744" i="7"/>
  <c r="S1744" i="7"/>
  <c r="O1744" i="7"/>
  <c r="U1748" i="7"/>
  <c r="Q1748" i="7"/>
  <c r="M1748" i="7"/>
  <c r="S1748" i="7"/>
  <c r="O1748" i="7"/>
  <c r="U1749" i="7"/>
  <c r="Q1749" i="7"/>
  <c r="M1749" i="7"/>
  <c r="O1749" i="7"/>
  <c r="S1749" i="7"/>
  <c r="U1753" i="7"/>
  <c r="Q1753" i="7"/>
  <c r="M1753" i="7"/>
  <c r="O1753" i="7"/>
  <c r="S1753" i="7"/>
  <c r="U1757" i="7"/>
  <c r="Q1757" i="7"/>
  <c r="M1757" i="7"/>
  <c r="O1757" i="7"/>
  <c r="S1757" i="7"/>
  <c r="U1761" i="7"/>
  <c r="Q1761" i="7"/>
  <c r="M1761" i="7"/>
  <c r="O1761" i="7"/>
  <c r="S1761" i="7"/>
  <c r="U1765" i="7"/>
  <c r="Q1765" i="7"/>
  <c r="M1765" i="7"/>
  <c r="O1765" i="7"/>
  <c r="S1765" i="7"/>
  <c r="U1769" i="7"/>
  <c r="Q1769" i="7"/>
  <c r="M1769" i="7"/>
  <c r="O1769" i="7"/>
  <c r="S1769" i="7"/>
  <c r="U1773" i="7"/>
  <c r="Q1773" i="7"/>
  <c r="M1773" i="7"/>
  <c r="O1773" i="7"/>
  <c r="S1773" i="7"/>
  <c r="U1840" i="7"/>
  <c r="Q1840" i="7"/>
  <c r="M1840" i="7"/>
  <c r="S1840" i="7"/>
  <c r="O1840" i="7"/>
  <c r="S1673" i="7"/>
  <c r="O1673" i="7"/>
  <c r="M1673" i="7"/>
  <c r="Q1673" i="7"/>
  <c r="U1673" i="7"/>
  <c r="S1677" i="7"/>
  <c r="O1677" i="7"/>
  <c r="U1677" i="7"/>
  <c r="Q1677" i="7"/>
  <c r="M1677" i="7"/>
  <c r="S1681" i="7"/>
  <c r="O1681" i="7"/>
  <c r="U1681" i="7"/>
  <c r="Q1681" i="7"/>
  <c r="M1681" i="7"/>
  <c r="S1685" i="7"/>
  <c r="O1685" i="7"/>
  <c r="U1685" i="7"/>
  <c r="Q1685" i="7"/>
  <c r="M1685" i="7"/>
  <c r="S1689" i="7"/>
  <c r="O1689" i="7"/>
  <c r="U1689" i="7"/>
  <c r="Q1689" i="7"/>
  <c r="M1689" i="7"/>
  <c r="S1693" i="7"/>
  <c r="O1693" i="7"/>
  <c r="U1693" i="7"/>
  <c r="Q1693" i="7"/>
  <c r="M1693" i="7"/>
  <c r="S1697" i="7"/>
  <c r="O1697" i="7"/>
  <c r="U1697" i="7"/>
  <c r="Q1697" i="7"/>
  <c r="M1697" i="7"/>
  <c r="S1701" i="7"/>
  <c r="O1701" i="7"/>
  <c r="U1701" i="7"/>
  <c r="Q1701" i="7"/>
  <c r="M1701" i="7"/>
  <c r="S1705" i="7"/>
  <c r="O1705" i="7"/>
  <c r="U1705" i="7"/>
  <c r="Q1705" i="7"/>
  <c r="M1705" i="7"/>
  <c r="S1709" i="7"/>
  <c r="O1709" i="7"/>
  <c r="U1709" i="7"/>
  <c r="Q1709" i="7"/>
  <c r="M1709" i="7"/>
  <c r="S1713" i="7"/>
  <c r="O1713" i="7"/>
  <c r="U1713" i="7"/>
  <c r="Q1713" i="7"/>
  <c r="M1713" i="7"/>
  <c r="S1717" i="7"/>
  <c r="O1717" i="7"/>
  <c r="U1717" i="7"/>
  <c r="Q1717" i="7"/>
  <c r="M1717" i="7"/>
  <c r="S1721" i="7"/>
  <c r="O1721" i="7"/>
  <c r="U1721" i="7"/>
  <c r="Q1721" i="7"/>
  <c r="M1721" i="7"/>
  <c r="S1725" i="7"/>
  <c r="O1725" i="7"/>
  <c r="U1725" i="7"/>
  <c r="Q1725" i="7"/>
  <c r="M1725" i="7"/>
  <c r="S1729" i="7"/>
  <c r="O1729" i="7"/>
  <c r="U1729" i="7"/>
  <c r="Q1729" i="7"/>
  <c r="M1729" i="7"/>
  <c r="S1733" i="7"/>
  <c r="O1733" i="7"/>
  <c r="U1733" i="7"/>
  <c r="Q1733" i="7"/>
  <c r="M1733" i="7"/>
  <c r="S1737" i="7"/>
  <c r="O1737" i="7"/>
  <c r="U1737" i="7"/>
  <c r="Q1737" i="7"/>
  <c r="M1737" i="7"/>
  <c r="S1741" i="7"/>
  <c r="O1741" i="7"/>
  <c r="U1741" i="7"/>
  <c r="Q1741" i="7"/>
  <c r="M1741" i="7"/>
  <c r="S1745" i="7"/>
  <c r="O1745" i="7"/>
  <c r="U1745" i="7"/>
  <c r="Q1745" i="7"/>
  <c r="M1745" i="7"/>
  <c r="U1774" i="7"/>
  <c r="O1774" i="7"/>
  <c r="S1774" i="7"/>
  <c r="M1774" i="7"/>
  <c r="Q1774" i="7"/>
  <c r="S1678" i="7"/>
  <c r="O1678" i="7"/>
  <c r="U1678" i="7"/>
  <c r="Q1678" i="7"/>
  <c r="M1678" i="7"/>
  <c r="S1682" i="7"/>
  <c r="O1682" i="7"/>
  <c r="U1682" i="7"/>
  <c r="Q1682" i="7"/>
  <c r="M1682" i="7"/>
  <c r="S1686" i="7"/>
  <c r="O1686" i="7"/>
  <c r="U1686" i="7"/>
  <c r="Q1686" i="7"/>
  <c r="M1686" i="7"/>
  <c r="S1690" i="7"/>
  <c r="O1690" i="7"/>
  <c r="U1690" i="7"/>
  <c r="Q1690" i="7"/>
  <c r="M1690" i="7"/>
  <c r="S1694" i="7"/>
  <c r="O1694" i="7"/>
  <c r="U1694" i="7"/>
  <c r="Q1694" i="7"/>
  <c r="M1694" i="7"/>
  <c r="S1698" i="7"/>
  <c r="O1698" i="7"/>
  <c r="U1698" i="7"/>
  <c r="Q1698" i="7"/>
  <c r="M1698" i="7"/>
  <c r="S1702" i="7"/>
  <c r="O1702" i="7"/>
  <c r="U1702" i="7"/>
  <c r="Q1702" i="7"/>
  <c r="M1702" i="7"/>
  <c r="S1706" i="7"/>
  <c r="O1706" i="7"/>
  <c r="U1706" i="7"/>
  <c r="Q1706" i="7"/>
  <c r="M1706" i="7"/>
  <c r="S1710" i="7"/>
  <c r="O1710" i="7"/>
  <c r="U1710" i="7"/>
  <c r="Q1710" i="7"/>
  <c r="M1710" i="7"/>
  <c r="S1714" i="7"/>
  <c r="O1714" i="7"/>
  <c r="U1714" i="7"/>
  <c r="Q1714" i="7"/>
  <c r="M1714" i="7"/>
  <c r="S1718" i="7"/>
  <c r="O1718" i="7"/>
  <c r="U1718" i="7"/>
  <c r="Q1718" i="7"/>
  <c r="M1718" i="7"/>
  <c r="S1722" i="7"/>
  <c r="O1722" i="7"/>
  <c r="U1722" i="7"/>
  <c r="Q1722" i="7"/>
  <c r="M1722" i="7"/>
  <c r="S1726" i="7"/>
  <c r="O1726" i="7"/>
  <c r="U1726" i="7"/>
  <c r="Q1726" i="7"/>
  <c r="M1726" i="7"/>
  <c r="S1730" i="7"/>
  <c r="O1730" i="7"/>
  <c r="U1730" i="7"/>
  <c r="Q1730" i="7"/>
  <c r="M1730" i="7"/>
  <c r="S1734" i="7"/>
  <c r="O1734" i="7"/>
  <c r="U1734" i="7"/>
  <c r="Q1734" i="7"/>
  <c r="M1734" i="7"/>
  <c r="S1738" i="7"/>
  <c r="O1738" i="7"/>
  <c r="U1738" i="7"/>
  <c r="Q1738" i="7"/>
  <c r="M1738" i="7"/>
  <c r="S1742" i="7"/>
  <c r="O1742" i="7"/>
  <c r="U1742" i="7"/>
  <c r="Q1742" i="7"/>
  <c r="M1742" i="7"/>
  <c r="S1746" i="7"/>
  <c r="O1746" i="7"/>
  <c r="U1746" i="7"/>
  <c r="Q1746" i="7"/>
  <c r="M1746" i="7"/>
  <c r="U1750" i="7"/>
  <c r="Q1750" i="7"/>
  <c r="M1750" i="7"/>
  <c r="S1750" i="7"/>
  <c r="O1750" i="7"/>
  <c r="U1754" i="7"/>
  <c r="Q1754" i="7"/>
  <c r="M1754" i="7"/>
  <c r="S1754" i="7"/>
  <c r="O1754" i="7"/>
  <c r="U1758" i="7"/>
  <c r="Q1758" i="7"/>
  <c r="M1758" i="7"/>
  <c r="S1758" i="7"/>
  <c r="O1758" i="7"/>
  <c r="U1762" i="7"/>
  <c r="Q1762" i="7"/>
  <c r="M1762" i="7"/>
  <c r="S1762" i="7"/>
  <c r="O1762" i="7"/>
  <c r="U1766" i="7"/>
  <c r="Q1766" i="7"/>
  <c r="M1766" i="7"/>
  <c r="S1766" i="7"/>
  <c r="O1766" i="7"/>
  <c r="U1770" i="7"/>
  <c r="Q1770" i="7"/>
  <c r="M1770" i="7"/>
  <c r="S1770" i="7"/>
  <c r="O1770" i="7"/>
  <c r="U1794" i="7"/>
  <c r="O1794" i="7"/>
  <c r="S1794" i="7"/>
  <c r="Q1794" i="7"/>
  <c r="M1794" i="7"/>
  <c r="U1846" i="7"/>
  <c r="Q1846" i="7"/>
  <c r="M1846" i="7"/>
  <c r="S1846" i="7"/>
  <c r="O1846" i="7"/>
  <c r="S1751" i="7"/>
  <c r="O1751" i="7"/>
  <c r="M1751" i="7"/>
  <c r="U1751" i="7"/>
  <c r="Q1751" i="7"/>
  <c r="S1755" i="7"/>
  <c r="O1755" i="7"/>
  <c r="M1755" i="7"/>
  <c r="U1755" i="7"/>
  <c r="Q1755" i="7"/>
  <c r="S1759" i="7"/>
  <c r="O1759" i="7"/>
  <c r="M1759" i="7"/>
  <c r="U1759" i="7"/>
  <c r="Q1759" i="7"/>
  <c r="S1763" i="7"/>
  <c r="O1763" i="7"/>
  <c r="M1763" i="7"/>
  <c r="U1763" i="7"/>
  <c r="Q1763" i="7"/>
  <c r="S1767" i="7"/>
  <c r="O1767" i="7"/>
  <c r="M1767" i="7"/>
  <c r="U1767" i="7"/>
  <c r="Q1767" i="7"/>
  <c r="S1771" i="7"/>
  <c r="O1771" i="7"/>
  <c r="M1771" i="7"/>
  <c r="U1771" i="7"/>
  <c r="Q1771" i="7"/>
  <c r="U1775" i="7"/>
  <c r="Q1775" i="7"/>
  <c r="M1775" i="7"/>
  <c r="O1775" i="7"/>
  <c r="S1775" i="7"/>
  <c r="U1779" i="7"/>
  <c r="Q1779" i="7"/>
  <c r="M1779" i="7"/>
  <c r="O1779" i="7"/>
  <c r="S1779" i="7"/>
  <c r="U1783" i="7"/>
  <c r="Q1783" i="7"/>
  <c r="M1783" i="7"/>
  <c r="O1783" i="7"/>
  <c r="S1783" i="7"/>
  <c r="U1787" i="7"/>
  <c r="Q1787" i="7"/>
  <c r="M1787" i="7"/>
  <c r="O1787" i="7"/>
  <c r="S1787" i="7"/>
  <c r="U1791" i="7"/>
  <c r="Q1791" i="7"/>
  <c r="M1791" i="7"/>
  <c r="O1791" i="7"/>
  <c r="S1791" i="7"/>
  <c r="U1795" i="7"/>
  <c r="Q1795" i="7"/>
  <c r="M1795" i="7"/>
  <c r="O1795" i="7"/>
  <c r="S1795" i="7"/>
  <c r="S1752" i="7"/>
  <c r="O1752" i="7"/>
  <c r="U1752" i="7"/>
  <c r="Q1752" i="7"/>
  <c r="M1752" i="7"/>
  <c r="S1756" i="7"/>
  <c r="O1756" i="7"/>
  <c r="U1756" i="7"/>
  <c r="Q1756" i="7"/>
  <c r="M1756" i="7"/>
  <c r="S1760" i="7"/>
  <c r="O1760" i="7"/>
  <c r="U1760" i="7"/>
  <c r="Q1760" i="7"/>
  <c r="M1760" i="7"/>
  <c r="S1764" i="7"/>
  <c r="O1764" i="7"/>
  <c r="U1764" i="7"/>
  <c r="Q1764" i="7"/>
  <c r="M1764" i="7"/>
  <c r="S1768" i="7"/>
  <c r="O1768" i="7"/>
  <c r="U1768" i="7"/>
  <c r="Q1768" i="7"/>
  <c r="M1768" i="7"/>
  <c r="S1772" i="7"/>
  <c r="O1772" i="7"/>
  <c r="U1772" i="7"/>
  <c r="Q1772" i="7"/>
  <c r="M1772" i="7"/>
  <c r="U1778" i="7"/>
  <c r="Q1778" i="7"/>
  <c r="M1778" i="7"/>
  <c r="O1778" i="7"/>
  <c r="S1778" i="7"/>
  <c r="U1782" i="7"/>
  <c r="Q1782" i="7"/>
  <c r="M1782" i="7"/>
  <c r="O1782" i="7"/>
  <c r="S1782" i="7"/>
  <c r="U1786" i="7"/>
  <c r="Q1786" i="7"/>
  <c r="M1786" i="7"/>
  <c r="O1786" i="7"/>
  <c r="S1786" i="7"/>
  <c r="U1790" i="7"/>
  <c r="Q1790" i="7"/>
  <c r="M1790" i="7"/>
  <c r="O1790" i="7"/>
  <c r="S1790" i="7"/>
  <c r="Q1796" i="7"/>
  <c r="U1796" i="7"/>
  <c r="O1796" i="7"/>
  <c r="M1796" i="7"/>
  <c r="S1796" i="7"/>
  <c r="U1832" i="7"/>
  <c r="Q1832" i="7"/>
  <c r="M1832" i="7"/>
  <c r="S1832" i="7"/>
  <c r="O1832" i="7"/>
  <c r="U1845" i="7"/>
  <c r="Q1845" i="7"/>
  <c r="M1845" i="7"/>
  <c r="S1845" i="7"/>
  <c r="O1845" i="7"/>
  <c r="S1776" i="7"/>
  <c r="O1776" i="7"/>
  <c r="Q1776" i="7"/>
  <c r="M1776" i="7"/>
  <c r="U1776" i="7"/>
  <c r="S1780" i="7"/>
  <c r="O1780" i="7"/>
  <c r="Q1780" i="7"/>
  <c r="U1780" i="7"/>
  <c r="M1780" i="7"/>
  <c r="S1784" i="7"/>
  <c r="O1784" i="7"/>
  <c r="Q1784" i="7"/>
  <c r="M1784" i="7"/>
  <c r="U1784" i="7"/>
  <c r="S1788" i="7"/>
  <c r="O1788" i="7"/>
  <c r="Q1788" i="7"/>
  <c r="U1788" i="7"/>
  <c r="M1788" i="7"/>
  <c r="S1792" i="7"/>
  <c r="O1792" i="7"/>
  <c r="Q1792" i="7"/>
  <c r="M1792" i="7"/>
  <c r="U1792" i="7"/>
  <c r="U1799" i="7"/>
  <c r="Q1799" i="7"/>
  <c r="M1799" i="7"/>
  <c r="O1799" i="7"/>
  <c r="S1799" i="7"/>
  <c r="U1803" i="7"/>
  <c r="Q1803" i="7"/>
  <c r="M1803" i="7"/>
  <c r="O1803" i="7"/>
  <c r="S1803" i="7"/>
  <c r="U1807" i="7"/>
  <c r="Q1807" i="7"/>
  <c r="M1807" i="7"/>
  <c r="O1807" i="7"/>
  <c r="S1807" i="7"/>
  <c r="U1811" i="7"/>
  <c r="Q1811" i="7"/>
  <c r="M1811" i="7"/>
  <c r="O1811" i="7"/>
  <c r="S1811" i="7"/>
  <c r="U1815" i="7"/>
  <c r="Q1815" i="7"/>
  <c r="M1815" i="7"/>
  <c r="O1815" i="7"/>
  <c r="S1815" i="7"/>
  <c r="U1819" i="7"/>
  <c r="Q1819" i="7"/>
  <c r="M1819" i="7"/>
  <c r="O1819" i="7"/>
  <c r="S1819" i="7"/>
  <c r="U1823" i="7"/>
  <c r="Q1823" i="7"/>
  <c r="M1823" i="7"/>
  <c r="O1823" i="7"/>
  <c r="S1823" i="7"/>
  <c r="U1827" i="7"/>
  <c r="Q1827" i="7"/>
  <c r="M1827" i="7"/>
  <c r="O1827" i="7"/>
  <c r="S1827" i="7"/>
  <c r="U1836" i="7"/>
  <c r="Q1836" i="7"/>
  <c r="M1836" i="7"/>
  <c r="S1836" i="7"/>
  <c r="O1836" i="7"/>
  <c r="U1844" i="7"/>
  <c r="Q1844" i="7"/>
  <c r="M1844" i="7"/>
  <c r="S1844" i="7"/>
  <c r="O1844" i="7"/>
  <c r="U1854" i="7"/>
  <c r="Q1854" i="7"/>
  <c r="M1854" i="7"/>
  <c r="S1854" i="7"/>
  <c r="O1854" i="7"/>
  <c r="S1777" i="7"/>
  <c r="O1777" i="7"/>
  <c r="Q1777" i="7"/>
  <c r="M1777" i="7"/>
  <c r="U1777" i="7"/>
  <c r="S1781" i="7"/>
  <c r="O1781" i="7"/>
  <c r="Q1781" i="7"/>
  <c r="U1781" i="7"/>
  <c r="M1781" i="7"/>
  <c r="S1785" i="7"/>
  <c r="O1785" i="7"/>
  <c r="Q1785" i="7"/>
  <c r="M1785" i="7"/>
  <c r="U1785" i="7"/>
  <c r="S1789" i="7"/>
  <c r="O1789" i="7"/>
  <c r="Q1789" i="7"/>
  <c r="U1789" i="7"/>
  <c r="M1789" i="7"/>
  <c r="S1793" i="7"/>
  <c r="O1793" i="7"/>
  <c r="U1793" i="7"/>
  <c r="Q1793" i="7"/>
  <c r="M1793" i="7"/>
  <c r="U1798" i="7"/>
  <c r="Q1798" i="7"/>
  <c r="M1798" i="7"/>
  <c r="O1798" i="7"/>
  <c r="S1798" i="7"/>
  <c r="U1802" i="7"/>
  <c r="Q1802" i="7"/>
  <c r="M1802" i="7"/>
  <c r="O1802" i="7"/>
  <c r="S1802" i="7"/>
  <c r="U1806" i="7"/>
  <c r="Q1806" i="7"/>
  <c r="M1806" i="7"/>
  <c r="O1806" i="7"/>
  <c r="S1806" i="7"/>
  <c r="U1810" i="7"/>
  <c r="Q1810" i="7"/>
  <c r="M1810" i="7"/>
  <c r="O1810" i="7"/>
  <c r="S1810" i="7"/>
  <c r="U1814" i="7"/>
  <c r="Q1814" i="7"/>
  <c r="M1814" i="7"/>
  <c r="O1814" i="7"/>
  <c r="S1814" i="7"/>
  <c r="U1818" i="7"/>
  <c r="Q1818" i="7"/>
  <c r="M1818" i="7"/>
  <c r="O1818" i="7"/>
  <c r="S1818" i="7"/>
  <c r="U1822" i="7"/>
  <c r="Q1822" i="7"/>
  <c r="M1822" i="7"/>
  <c r="O1822" i="7"/>
  <c r="S1822" i="7"/>
  <c r="U1826" i="7"/>
  <c r="Q1826" i="7"/>
  <c r="M1826" i="7"/>
  <c r="O1826" i="7"/>
  <c r="S1826" i="7"/>
  <c r="U1831" i="7"/>
  <c r="Q1831" i="7"/>
  <c r="M1831" i="7"/>
  <c r="S1831" i="7"/>
  <c r="O1831" i="7"/>
  <c r="S1800" i="7"/>
  <c r="O1800" i="7"/>
  <c r="Q1800" i="7"/>
  <c r="M1800" i="7"/>
  <c r="U1800" i="7"/>
  <c r="S1804" i="7"/>
  <c r="O1804" i="7"/>
  <c r="Q1804" i="7"/>
  <c r="M1804" i="7"/>
  <c r="U1804" i="7"/>
  <c r="S1808" i="7"/>
  <c r="O1808" i="7"/>
  <c r="Q1808" i="7"/>
  <c r="M1808" i="7"/>
  <c r="U1808" i="7"/>
  <c r="S1812" i="7"/>
  <c r="O1812" i="7"/>
  <c r="Q1812" i="7"/>
  <c r="M1812" i="7"/>
  <c r="U1812" i="7"/>
  <c r="S1816" i="7"/>
  <c r="O1816" i="7"/>
  <c r="Q1816" i="7"/>
  <c r="M1816" i="7"/>
  <c r="U1816" i="7"/>
  <c r="S1820" i="7"/>
  <c r="O1820" i="7"/>
  <c r="Q1820" i="7"/>
  <c r="U1820" i="7"/>
  <c r="M1820" i="7"/>
  <c r="S1824" i="7"/>
  <c r="O1824" i="7"/>
  <c r="Q1824" i="7"/>
  <c r="U1824" i="7"/>
  <c r="M1824" i="7"/>
  <c r="S1828" i="7"/>
  <c r="O1828" i="7"/>
  <c r="Q1828" i="7"/>
  <c r="U1828" i="7"/>
  <c r="M1828" i="7"/>
  <c r="U1866" i="7"/>
  <c r="Q1866" i="7"/>
  <c r="M1866" i="7"/>
  <c r="S1866" i="7"/>
  <c r="O1866" i="7"/>
  <c r="S1797" i="7"/>
  <c r="O1797" i="7"/>
  <c r="U1797" i="7"/>
  <c r="Q1797" i="7"/>
  <c r="M1797" i="7"/>
  <c r="S1801" i="7"/>
  <c r="O1801" i="7"/>
  <c r="Q1801" i="7"/>
  <c r="U1801" i="7"/>
  <c r="M1801" i="7"/>
  <c r="S1805" i="7"/>
  <c r="O1805" i="7"/>
  <c r="Q1805" i="7"/>
  <c r="U1805" i="7"/>
  <c r="M1805" i="7"/>
  <c r="S1809" i="7"/>
  <c r="O1809" i="7"/>
  <c r="Q1809" i="7"/>
  <c r="U1809" i="7"/>
  <c r="M1809" i="7"/>
  <c r="S1813" i="7"/>
  <c r="O1813" i="7"/>
  <c r="Q1813" i="7"/>
  <c r="U1813" i="7"/>
  <c r="M1813" i="7"/>
  <c r="S1817" i="7"/>
  <c r="O1817" i="7"/>
  <c r="Q1817" i="7"/>
  <c r="U1817" i="7"/>
  <c r="M1817" i="7"/>
  <c r="S1821" i="7"/>
  <c r="O1821" i="7"/>
  <c r="Q1821" i="7"/>
  <c r="U1821" i="7"/>
  <c r="M1821" i="7"/>
  <c r="S1825" i="7"/>
  <c r="O1825" i="7"/>
  <c r="Q1825" i="7"/>
  <c r="U1825" i="7"/>
  <c r="M1825" i="7"/>
  <c r="U1850" i="7"/>
  <c r="Q1850" i="7"/>
  <c r="M1850" i="7"/>
  <c r="S1850" i="7"/>
  <c r="O1850" i="7"/>
  <c r="U1858" i="7"/>
  <c r="Q1858" i="7"/>
  <c r="M1858" i="7"/>
  <c r="S1858" i="7"/>
  <c r="O1858" i="7"/>
  <c r="U1874" i="7"/>
  <c r="Q1874" i="7"/>
  <c r="M1874" i="7"/>
  <c r="S1874" i="7"/>
  <c r="O1874" i="7"/>
  <c r="S1829" i="7"/>
  <c r="O1829" i="7"/>
  <c r="U1829" i="7"/>
  <c r="M1829" i="7"/>
  <c r="Q1829" i="7"/>
  <c r="U1833" i="7"/>
  <c r="Q1833" i="7"/>
  <c r="M1833" i="7"/>
  <c r="S1833" i="7"/>
  <c r="O1833" i="7"/>
  <c r="U1837" i="7"/>
  <c r="Q1837" i="7"/>
  <c r="M1837" i="7"/>
  <c r="S1837" i="7"/>
  <c r="O1837" i="7"/>
  <c r="U1841" i="7"/>
  <c r="Q1841" i="7"/>
  <c r="M1841" i="7"/>
  <c r="S1841" i="7"/>
  <c r="O1841" i="7"/>
  <c r="U1849" i="7"/>
  <c r="Q1849" i="7"/>
  <c r="M1849" i="7"/>
  <c r="S1849" i="7"/>
  <c r="O1849" i="7"/>
  <c r="U1853" i="7"/>
  <c r="Q1853" i="7"/>
  <c r="M1853" i="7"/>
  <c r="S1853" i="7"/>
  <c r="O1853" i="7"/>
  <c r="U1857" i="7"/>
  <c r="Q1857" i="7"/>
  <c r="M1857" i="7"/>
  <c r="S1857" i="7"/>
  <c r="O1857" i="7"/>
  <c r="S1830" i="7"/>
  <c r="O1830" i="7"/>
  <c r="U1830" i="7"/>
  <c r="M1830" i="7"/>
  <c r="Q1830" i="7"/>
  <c r="S1834" i="7"/>
  <c r="O1834" i="7"/>
  <c r="Q1834" i="7"/>
  <c r="M1834" i="7"/>
  <c r="U1834" i="7"/>
  <c r="S1838" i="7"/>
  <c r="O1838" i="7"/>
  <c r="Q1838" i="7"/>
  <c r="M1838" i="7"/>
  <c r="U1838" i="7"/>
  <c r="S1842" i="7"/>
  <c r="O1842" i="7"/>
  <c r="Q1842" i="7"/>
  <c r="M1842" i="7"/>
  <c r="U1842" i="7"/>
  <c r="U1862" i="7"/>
  <c r="Q1862" i="7"/>
  <c r="M1862" i="7"/>
  <c r="S1862" i="7"/>
  <c r="O1862" i="7"/>
  <c r="U1870" i="7"/>
  <c r="Q1870" i="7"/>
  <c r="M1870" i="7"/>
  <c r="S1870" i="7"/>
  <c r="O1870" i="7"/>
  <c r="U1878" i="7"/>
  <c r="Q1878" i="7"/>
  <c r="M1878" i="7"/>
  <c r="S1878" i="7"/>
  <c r="O1878" i="7"/>
  <c r="S1835" i="7"/>
  <c r="O1835" i="7"/>
  <c r="U1835" i="7"/>
  <c r="Q1835" i="7"/>
  <c r="M1835" i="7"/>
  <c r="S1839" i="7"/>
  <c r="O1839" i="7"/>
  <c r="U1839" i="7"/>
  <c r="Q1839" i="7"/>
  <c r="M1839" i="7"/>
  <c r="S1843" i="7"/>
  <c r="O1843" i="7"/>
  <c r="U1843" i="7"/>
  <c r="Q1843" i="7"/>
  <c r="M1843" i="7"/>
  <c r="S1847" i="7"/>
  <c r="O1847" i="7"/>
  <c r="U1847" i="7"/>
  <c r="M1847" i="7"/>
  <c r="Q1847" i="7"/>
  <c r="S1851" i="7"/>
  <c r="O1851" i="7"/>
  <c r="U1851" i="7"/>
  <c r="M1851" i="7"/>
  <c r="Q1851" i="7"/>
  <c r="S1855" i="7"/>
  <c r="O1855" i="7"/>
  <c r="U1855" i="7"/>
  <c r="M1855" i="7"/>
  <c r="Q1855" i="7"/>
  <c r="S1859" i="7"/>
  <c r="O1859" i="7"/>
  <c r="U1859" i="7"/>
  <c r="M1859" i="7"/>
  <c r="Q1859" i="7"/>
  <c r="S1848" i="7"/>
  <c r="O1848" i="7"/>
  <c r="U1848" i="7"/>
  <c r="M1848" i="7"/>
  <c r="Q1848" i="7"/>
  <c r="S1852" i="7"/>
  <c r="O1852" i="7"/>
  <c r="U1852" i="7"/>
  <c r="M1852" i="7"/>
  <c r="Q1852" i="7"/>
  <c r="S1856" i="7"/>
  <c r="O1856" i="7"/>
  <c r="U1856" i="7"/>
  <c r="M1856" i="7"/>
  <c r="Q1856" i="7"/>
  <c r="U1860" i="7"/>
  <c r="O1860" i="7"/>
  <c r="S1860" i="7"/>
  <c r="Q1860" i="7"/>
  <c r="M1860" i="7"/>
  <c r="U1863" i="7"/>
  <c r="Q1863" i="7"/>
  <c r="M1863" i="7"/>
  <c r="S1863" i="7"/>
  <c r="O1863" i="7"/>
  <c r="U1867" i="7"/>
  <c r="Q1867" i="7"/>
  <c r="M1867" i="7"/>
  <c r="S1867" i="7"/>
  <c r="O1867" i="7"/>
  <c r="U1871" i="7"/>
  <c r="Q1871" i="7"/>
  <c r="M1871" i="7"/>
  <c r="S1871" i="7"/>
  <c r="O1871" i="7"/>
  <c r="U1875" i="7"/>
  <c r="Q1875" i="7"/>
  <c r="M1875" i="7"/>
  <c r="S1875" i="7"/>
  <c r="O1875" i="7"/>
  <c r="U1879" i="7"/>
  <c r="Q1879" i="7"/>
  <c r="M1879" i="7"/>
  <c r="S1879" i="7"/>
  <c r="O1879" i="7"/>
  <c r="S1864" i="7"/>
  <c r="O1864" i="7"/>
  <c r="Q1864" i="7"/>
  <c r="M1864" i="7"/>
  <c r="U1864" i="7"/>
  <c r="S1868" i="7"/>
  <c r="O1868" i="7"/>
  <c r="Q1868" i="7"/>
  <c r="M1868" i="7"/>
  <c r="U1868" i="7"/>
  <c r="S1872" i="7"/>
  <c r="O1872" i="7"/>
  <c r="Q1872" i="7"/>
  <c r="M1872" i="7"/>
  <c r="U1872" i="7"/>
  <c r="S1876" i="7"/>
  <c r="O1876" i="7"/>
  <c r="Q1876" i="7"/>
  <c r="M1876" i="7"/>
  <c r="U1876" i="7"/>
  <c r="S1880" i="7"/>
  <c r="O1880" i="7"/>
  <c r="Q1880" i="7"/>
  <c r="M1880" i="7"/>
  <c r="U1880" i="7"/>
  <c r="S1861" i="7"/>
  <c r="O1861" i="7"/>
  <c r="U1861" i="7"/>
  <c r="Q1861" i="7"/>
  <c r="M1861" i="7"/>
  <c r="S1865" i="7"/>
  <c r="O1865" i="7"/>
  <c r="U1865" i="7"/>
  <c r="Q1865" i="7"/>
  <c r="M1865" i="7"/>
  <c r="S1869" i="7"/>
  <c r="O1869" i="7"/>
  <c r="U1869" i="7"/>
  <c r="Q1869" i="7"/>
  <c r="M1869" i="7"/>
  <c r="S1873" i="7"/>
  <c r="O1873" i="7"/>
  <c r="U1873" i="7"/>
  <c r="Q1873" i="7"/>
  <c r="M1873" i="7"/>
  <c r="S1877" i="7"/>
  <c r="O1877" i="7"/>
  <c r="U1877" i="7"/>
  <c r="Q1877" i="7"/>
  <c r="M1877" i="7"/>
  <c r="S1881" i="7"/>
  <c r="O1881" i="7"/>
  <c r="U1881" i="7"/>
  <c r="Q1881" i="7"/>
  <c r="M1881" i="7"/>
  <c r="Z17" i="7"/>
  <c r="Y10" i="7"/>
  <c r="Z10" i="7"/>
  <c r="Z26" i="7"/>
  <c r="Y30" i="7"/>
  <c r="Z42" i="7"/>
  <c r="Y46" i="7"/>
  <c r="Z58" i="7"/>
  <c r="Y62" i="7"/>
  <c r="Z74" i="7"/>
  <c r="Y78" i="7"/>
  <c r="Z90" i="7"/>
  <c r="Y94" i="7"/>
  <c r="Z106" i="7"/>
  <c r="Y110" i="7"/>
  <c r="Z122" i="7"/>
  <c r="Y126" i="7"/>
  <c r="Z138" i="7"/>
  <c r="Y142" i="7"/>
  <c r="Z154" i="7"/>
  <c r="Y158" i="7"/>
  <c r="Z170" i="7"/>
  <c r="Y174" i="7"/>
  <c r="Z186" i="7"/>
  <c r="Y190" i="7"/>
  <c r="Z202" i="7"/>
  <c r="Y206" i="7"/>
  <c r="Y218" i="7"/>
  <c r="Z5" i="7"/>
  <c r="Z11" i="7"/>
  <c r="Y27" i="7"/>
  <c r="Z35" i="7"/>
  <c r="Y43" i="7"/>
  <c r="Z51" i="7"/>
  <c r="Y59" i="7"/>
  <c r="Z67" i="7"/>
  <c r="Y75" i="7"/>
  <c r="Z83" i="7"/>
  <c r="Y91" i="7"/>
  <c r="Z99" i="7"/>
  <c r="Y107" i="7"/>
  <c r="Z115" i="7"/>
  <c r="Y123" i="7"/>
  <c r="Z131" i="7"/>
  <c r="Y139" i="7"/>
  <c r="Z147" i="7"/>
  <c r="Y155" i="7"/>
  <c r="Z163" i="7"/>
  <c r="Y171" i="7"/>
  <c r="Z179" i="7"/>
  <c r="Y187" i="7"/>
  <c r="Z195" i="7"/>
  <c r="Y203" i="7"/>
  <c r="Z211" i="7"/>
  <c r="Z16" i="7"/>
  <c r="Y20" i="7"/>
  <c r="Z32" i="7"/>
  <c r="Y36" i="7"/>
  <c r="Z48" i="7"/>
  <c r="Y52" i="7"/>
  <c r="Z64" i="7"/>
  <c r="Y68" i="7"/>
  <c r="Z80" i="7"/>
  <c r="Y84" i="7"/>
  <c r="Z96" i="7"/>
  <c r="Y100" i="7"/>
  <c r="Z112" i="7"/>
  <c r="Y116" i="7"/>
  <c r="Z128" i="7"/>
  <c r="Y132" i="7"/>
  <c r="Z144" i="7"/>
  <c r="Y148" i="7"/>
  <c r="Z160" i="7"/>
  <c r="Y164" i="7"/>
  <c r="Z176" i="7"/>
  <c r="Y180" i="7"/>
  <c r="Z192" i="7"/>
  <c r="Y196" i="7"/>
  <c r="Z208" i="7"/>
  <c r="Y212" i="7"/>
  <c r="Z4" i="7"/>
  <c r="Y13" i="7"/>
  <c r="Z33" i="7"/>
  <c r="Y37" i="7"/>
  <c r="Z49" i="7"/>
  <c r="Y53" i="7"/>
  <c r="Z65" i="7"/>
  <c r="Y69" i="7"/>
  <c r="Z81" i="7"/>
  <c r="Y85" i="7"/>
  <c r="Z97" i="7"/>
  <c r="Y101" i="7"/>
  <c r="Z113" i="7"/>
  <c r="Y117" i="7"/>
  <c r="Z129" i="7"/>
  <c r="Y133" i="7"/>
  <c r="Z145" i="7"/>
  <c r="Y149" i="7"/>
  <c r="Z161" i="7"/>
  <c r="Y165" i="7"/>
  <c r="Z177" i="7"/>
  <c r="Y181" i="7"/>
  <c r="Z193" i="7"/>
  <c r="Y197" i="7"/>
  <c r="Z209" i="7"/>
  <c r="Y213" i="7"/>
  <c r="Y221" i="7"/>
  <c r="Z233" i="7"/>
  <c r="Y237" i="7"/>
  <c r="Z249" i="7"/>
  <c r="Y253" i="7"/>
  <c r="Z265" i="7"/>
  <c r="Y269" i="7"/>
  <c r="Z281" i="7"/>
  <c r="Y285" i="7"/>
  <c r="Z297" i="7"/>
  <c r="Y301" i="7"/>
  <c r="Z313" i="7"/>
  <c r="Y317" i="7"/>
  <c r="Z329" i="7"/>
  <c r="Y333" i="7"/>
  <c r="Z345" i="7"/>
  <c r="Y349" i="7"/>
  <c r="Z361" i="7"/>
  <c r="Y365" i="7"/>
  <c r="Z377" i="7"/>
  <c r="Y381" i="7"/>
  <c r="Z393" i="7"/>
  <c r="Y397" i="7"/>
  <c r="Z409" i="7"/>
  <c r="Y413" i="7"/>
  <c r="Z425" i="7"/>
  <c r="Y429" i="7"/>
  <c r="Z441" i="7"/>
  <c r="Y445" i="7"/>
  <c r="Z457" i="7"/>
  <c r="Y461" i="7"/>
  <c r="Z473" i="7"/>
  <c r="Y477" i="7"/>
  <c r="Z489" i="7"/>
  <c r="Y493" i="7"/>
  <c r="Z505" i="7"/>
  <c r="Y509" i="7"/>
  <c r="Z521" i="7"/>
  <c r="Y525" i="7"/>
  <c r="Z537" i="7"/>
  <c r="Y541" i="7"/>
  <c r="Z553" i="7"/>
  <c r="Y557" i="7"/>
  <c r="Y222" i="7"/>
  <c r="Z230" i="7"/>
  <c r="Y238" i="7"/>
  <c r="Z246" i="7"/>
  <c r="Y254" i="7"/>
  <c r="Z262" i="7"/>
  <c r="Y270" i="7"/>
  <c r="Z278" i="7"/>
  <c r="Y286" i="7"/>
  <c r="Z294" i="7"/>
  <c r="Y302" i="7"/>
  <c r="Z310" i="7"/>
  <c r="Y318" i="7"/>
  <c r="Z326" i="7"/>
  <c r="Y334" i="7"/>
  <c r="Z342" i="7"/>
  <c r="Y350" i="7"/>
  <c r="Z358" i="7"/>
  <c r="Y366" i="7"/>
  <c r="Z374" i="7"/>
  <c r="Y382" i="7"/>
  <c r="Z390" i="7"/>
  <c r="Y398" i="7"/>
  <c r="Z406" i="7"/>
  <c r="Y414" i="7"/>
  <c r="Z422" i="7"/>
  <c r="Y430" i="7"/>
  <c r="Z438" i="7"/>
  <c r="Y446" i="7"/>
  <c r="Z454" i="7"/>
  <c r="Y462" i="7"/>
  <c r="Z470" i="7"/>
  <c r="Y478" i="7"/>
  <c r="Z486" i="7"/>
  <c r="Y494" i="7"/>
  <c r="Z502" i="7"/>
  <c r="Y510" i="7"/>
  <c r="Z518" i="7"/>
  <c r="Y526" i="7"/>
  <c r="Z534" i="7"/>
  <c r="Y542" i="7"/>
  <c r="Z550" i="7"/>
  <c r="Y558" i="7"/>
  <c r="Z219" i="7"/>
  <c r="Y223" i="7"/>
  <c r="Z235" i="7"/>
  <c r="Y239" i="7"/>
  <c r="Z251" i="7"/>
  <c r="Y255" i="7"/>
  <c r="Z267" i="7"/>
  <c r="Y271" i="7"/>
  <c r="Z283" i="7"/>
  <c r="Y287" i="7"/>
  <c r="Z299" i="7"/>
  <c r="Y303" i="7"/>
  <c r="Z315" i="7"/>
  <c r="Y319" i="7"/>
  <c r="Z331" i="7"/>
  <c r="Y335" i="7"/>
  <c r="Z347" i="7"/>
  <c r="Y351" i="7"/>
  <c r="Z363" i="7"/>
  <c r="Y367" i="7"/>
  <c r="Z379" i="7"/>
  <c r="Y383" i="7"/>
  <c r="Z395" i="7"/>
  <c r="Y399" i="7"/>
  <c r="Z411" i="7"/>
  <c r="Y415" i="7"/>
  <c r="Z427" i="7"/>
  <c r="Y431" i="7"/>
  <c r="Z443" i="7"/>
  <c r="Y447" i="7"/>
  <c r="Z459" i="7"/>
  <c r="Y463" i="7"/>
  <c r="Z475" i="7"/>
  <c r="Y479" i="7"/>
  <c r="Z491" i="7"/>
  <c r="Y495" i="7"/>
  <c r="Z507" i="7"/>
  <c r="Y511" i="7"/>
  <c r="Z523" i="7"/>
  <c r="Y527" i="7"/>
  <c r="Z539" i="7"/>
  <c r="Y543" i="7"/>
  <c r="Z555" i="7"/>
  <c r="Y559" i="7"/>
  <c r="Z220" i="7"/>
  <c r="Y224" i="7"/>
  <c r="Z236" i="7"/>
  <c r="Y240" i="7"/>
  <c r="Z252" i="7"/>
  <c r="Y256" i="7"/>
  <c r="Z268" i="7"/>
  <c r="Y272" i="7"/>
  <c r="Z284" i="7"/>
  <c r="Y288" i="7"/>
  <c r="Z300" i="7"/>
  <c r="Y304" i="7"/>
  <c r="Z316" i="7"/>
  <c r="Y320" i="7"/>
  <c r="Z332" i="7"/>
  <c r="Y336" i="7"/>
  <c r="Z348" i="7"/>
  <c r="Y352" i="7"/>
  <c r="Z364" i="7"/>
  <c r="Y368" i="7"/>
  <c r="Z380" i="7"/>
  <c r="Y384" i="7"/>
  <c r="Z396" i="7"/>
  <c r="Y400" i="7"/>
  <c r="Z412" i="7"/>
  <c r="Y416" i="7"/>
  <c r="Z428" i="7"/>
  <c r="Y432" i="7"/>
  <c r="Z444" i="7"/>
  <c r="Y448" i="7"/>
  <c r="Z460" i="7"/>
  <c r="Y464" i="7"/>
  <c r="Z476" i="7"/>
  <c r="Y480" i="7"/>
  <c r="Z492" i="7"/>
  <c r="Y496" i="7"/>
  <c r="Z508" i="7"/>
  <c r="Y512" i="7"/>
  <c r="Z524" i="7"/>
  <c r="Y528" i="7"/>
  <c r="Z540" i="7"/>
  <c r="Y544" i="7"/>
  <c r="Z556" i="7"/>
  <c r="Y560" i="7"/>
  <c r="Y566" i="7"/>
  <c r="Z578" i="7"/>
  <c r="Y582" i="7"/>
  <c r="Z594" i="7"/>
  <c r="Y598" i="7"/>
  <c r="Z610" i="7"/>
  <c r="Y614" i="7"/>
  <c r="Z626" i="7"/>
  <c r="Y630" i="7"/>
  <c r="Z642" i="7"/>
  <c r="Y646" i="7"/>
  <c r="Z658" i="7"/>
  <c r="Y662" i="7"/>
  <c r="Z674" i="7"/>
  <c r="Y678" i="7"/>
  <c r="Z690" i="7"/>
  <c r="Y694" i="7"/>
  <c r="Z706" i="7"/>
  <c r="Y710" i="7"/>
  <c r="Z722" i="7"/>
  <c r="Y726" i="7"/>
  <c r="Z738" i="7"/>
  <c r="Y742" i="7"/>
  <c r="Z754" i="7"/>
  <c r="Y758" i="7"/>
  <c r="Z770" i="7"/>
  <c r="Y774" i="7"/>
  <c r="Z786" i="7"/>
  <c r="Y790" i="7"/>
  <c r="Z802" i="7"/>
  <c r="Y806" i="7"/>
  <c r="Z818" i="7"/>
  <c r="Y822" i="7"/>
  <c r="Z834" i="7"/>
  <c r="Y838" i="7"/>
  <c r="Z850" i="7"/>
  <c r="Y854" i="7"/>
  <c r="Z866" i="7"/>
  <c r="Z575" i="7"/>
  <c r="Y583" i="7"/>
  <c r="Z591" i="7"/>
  <c r="Y599" i="7"/>
  <c r="Z607" i="7"/>
  <c r="Y615" i="7"/>
  <c r="Z623" i="7"/>
  <c r="Y631" i="7"/>
  <c r="Z639" i="7"/>
  <c r="Y647" i="7"/>
  <c r="Z655" i="7"/>
  <c r="Y663" i="7"/>
  <c r="Z671" i="7"/>
  <c r="Y679" i="7"/>
  <c r="Z687" i="7"/>
  <c r="Y695" i="7"/>
  <c r="Z703" i="7"/>
  <c r="Y711" i="7"/>
  <c r="Z719" i="7"/>
  <c r="Y727" i="7"/>
  <c r="Z735" i="7"/>
  <c r="Y743" i="7"/>
  <c r="Z751" i="7"/>
  <c r="Y759" i="7"/>
  <c r="Z767" i="7"/>
  <c r="Y775" i="7"/>
  <c r="Z783" i="7"/>
  <c r="Y791" i="7"/>
  <c r="Z799" i="7"/>
  <c r="Y807" i="7"/>
  <c r="Z815" i="7"/>
  <c r="Y823" i="7"/>
  <c r="Z831" i="7"/>
  <c r="Y839" i="7"/>
  <c r="Z847" i="7"/>
  <c r="Y855" i="7"/>
  <c r="Z863" i="7"/>
  <c r="Z870" i="7"/>
  <c r="Y875" i="7"/>
  <c r="Z875" i="7"/>
  <c r="Z880" i="7"/>
  <c r="Y882" i="7"/>
  <c r="Y884" i="7"/>
  <c r="Z886" i="7"/>
  <c r="Y891" i="7"/>
  <c r="Z891" i="7"/>
  <c r="Z896" i="7"/>
  <c r="Y898" i="7"/>
  <c r="Y900" i="7"/>
  <c r="Z902" i="7"/>
  <c r="Y907" i="7"/>
  <c r="Z907" i="7"/>
  <c r="Z912" i="7"/>
  <c r="Y914" i="7"/>
  <c r="Y916" i="7"/>
  <c r="Z576" i="7"/>
  <c r="Y580" i="7"/>
  <c r="Z592" i="7"/>
  <c r="Y596" i="7"/>
  <c r="Z608" i="7"/>
  <c r="Y612" i="7"/>
  <c r="Z624" i="7"/>
  <c r="Y628" i="7"/>
  <c r="Z640" i="7"/>
  <c r="Y644" i="7"/>
  <c r="Z656" i="7"/>
  <c r="Y660" i="7"/>
  <c r="Z672" i="7"/>
  <c r="Y676" i="7"/>
  <c r="Z688" i="7"/>
  <c r="Y692" i="7"/>
  <c r="Z704" i="7"/>
  <c r="Y708" i="7"/>
  <c r="Z720" i="7"/>
  <c r="Y724" i="7"/>
  <c r="Z736" i="7"/>
  <c r="Y740" i="7"/>
  <c r="Z752" i="7"/>
  <c r="Y756" i="7"/>
  <c r="Z768" i="7"/>
  <c r="Y772" i="7"/>
  <c r="Z784" i="7"/>
  <c r="Y788" i="7"/>
  <c r="Z800" i="7"/>
  <c r="Y804" i="7"/>
  <c r="Z816" i="7"/>
  <c r="Y820" i="7"/>
  <c r="Z832" i="7"/>
  <c r="Y836" i="7"/>
  <c r="Z848" i="7"/>
  <c r="Y852" i="7"/>
  <c r="Z864" i="7"/>
  <c r="Y868" i="7"/>
  <c r="Y919" i="7"/>
  <c r="Z919" i="7"/>
  <c r="Y569" i="7"/>
  <c r="Z581" i="7"/>
  <c r="Y585" i="7"/>
  <c r="Z597" i="7"/>
  <c r="Y601" i="7"/>
  <c r="Z613" i="7"/>
  <c r="Y617" i="7"/>
  <c r="Z629" i="7"/>
  <c r="Y633" i="7"/>
  <c r="Z645" i="7"/>
  <c r="Y649" i="7"/>
  <c r="Z661" i="7"/>
  <c r="Y665" i="7"/>
  <c r="Z677" i="7"/>
  <c r="Y681" i="7"/>
  <c r="Z693" i="7"/>
  <c r="Y697" i="7"/>
  <c r="Z709" i="7"/>
  <c r="Y713" i="7"/>
  <c r="Z725" i="7"/>
  <c r="Y729" i="7"/>
  <c r="Z741" i="7"/>
  <c r="Y745" i="7"/>
  <c r="Z757" i="7"/>
  <c r="Y761" i="7"/>
  <c r="Z773" i="7"/>
  <c r="Y777" i="7"/>
  <c r="Z789" i="7"/>
  <c r="Y793" i="7"/>
  <c r="Z805" i="7"/>
  <c r="Y809" i="7"/>
  <c r="Z821" i="7"/>
  <c r="Y825" i="7"/>
  <c r="Z837" i="7"/>
  <c r="Y841" i="7"/>
  <c r="Z853" i="7"/>
  <c r="Y857" i="7"/>
  <c r="Z922" i="7"/>
  <c r="Y926" i="7"/>
  <c r="Z938" i="7"/>
  <c r="Y942" i="7"/>
  <c r="Z954" i="7"/>
  <c r="Y958" i="7"/>
  <c r="Z970" i="7"/>
  <c r="Y974" i="7"/>
  <c r="Z986" i="7"/>
  <c r="Y990" i="7"/>
  <c r="Z1002" i="7"/>
  <c r="Y1006" i="7"/>
  <c r="Z1018" i="7"/>
  <c r="Y1022" i="7"/>
  <c r="Z1034" i="7"/>
  <c r="Y1038" i="7"/>
  <c r="Z1050" i="7"/>
  <c r="Y1054" i="7"/>
  <c r="Z1066" i="7"/>
  <c r="Y1070" i="7"/>
  <c r="Z1082" i="7"/>
  <c r="Y1086" i="7"/>
  <c r="Y935" i="7"/>
  <c r="Z943" i="7"/>
  <c r="Y951" i="7"/>
  <c r="Z959" i="7"/>
  <c r="Y967" i="7"/>
  <c r="Z975" i="7"/>
  <c r="Y983" i="7"/>
  <c r="Z991" i="7"/>
  <c r="Y999" i="7"/>
  <c r="Z1007" i="7"/>
  <c r="Y1015" i="7"/>
  <c r="Z1023" i="7"/>
  <c r="Y1031" i="7"/>
  <c r="Z1039" i="7"/>
  <c r="Y1047" i="7"/>
  <c r="Z1055" i="7"/>
  <c r="Y1063" i="7"/>
  <c r="Z1071" i="7"/>
  <c r="Y1079" i="7"/>
  <c r="Z1087" i="7"/>
  <c r="Y920" i="7"/>
  <c r="Z932" i="7"/>
  <c r="Y936" i="7"/>
  <c r="Z948" i="7"/>
  <c r="Y952" i="7"/>
  <c r="Z964" i="7"/>
  <c r="Y968" i="7"/>
  <c r="Z980" i="7"/>
  <c r="Y984" i="7"/>
  <c r="Z996" i="7"/>
  <c r="Y1000" i="7"/>
  <c r="Z1012" i="7"/>
  <c r="Y1016" i="7"/>
  <c r="Z1028" i="7"/>
  <c r="Y1032" i="7"/>
  <c r="Z1044" i="7"/>
  <c r="Y1048" i="7"/>
  <c r="Z1060" i="7"/>
  <c r="Y1064" i="7"/>
  <c r="Z1076" i="7"/>
  <c r="Y1080" i="7"/>
  <c r="Z881" i="7"/>
  <c r="Y885" i="7"/>
  <c r="Z897" i="7"/>
  <c r="Y901" i="7"/>
  <c r="Z913" i="7"/>
  <c r="Z917" i="7"/>
  <c r="Y921" i="7"/>
  <c r="Z933" i="7"/>
  <c r="Y937" i="7"/>
  <c r="Z949" i="7"/>
  <c r="Y953" i="7"/>
  <c r="Z965" i="7"/>
  <c r="Y969" i="7"/>
  <c r="Z981" i="7"/>
  <c r="Y985" i="7"/>
  <c r="Z997" i="7"/>
  <c r="Y1001" i="7"/>
  <c r="Z1013" i="7"/>
  <c r="Y1017" i="7"/>
  <c r="Z1029" i="7"/>
  <c r="Y1033" i="7"/>
  <c r="Z1045" i="7"/>
  <c r="Y1049" i="7"/>
  <c r="Z1061" i="7"/>
  <c r="Y1065" i="7"/>
  <c r="Z1077" i="7"/>
  <c r="Y1081" i="7"/>
  <c r="Z1100" i="7"/>
  <c r="Y1104" i="7"/>
  <c r="Z1116" i="7"/>
  <c r="Y1120" i="7"/>
  <c r="Z1132" i="7"/>
  <c r="Y1136" i="7"/>
  <c r="Z1148" i="7"/>
  <c r="Y1152" i="7"/>
  <c r="Z1164" i="7"/>
  <c r="Y1168" i="7"/>
  <c r="Z1180" i="7"/>
  <c r="Y1184" i="7"/>
  <c r="Z1196" i="7"/>
  <c r="Y1200" i="7"/>
  <c r="Z1212" i="7"/>
  <c r="Y1216" i="7"/>
  <c r="Z1228" i="7"/>
  <c r="Y1232" i="7"/>
  <c r="Z1244" i="7"/>
  <c r="Y1248" i="7"/>
  <c r="Z1266" i="7"/>
  <c r="Z1097" i="7"/>
  <c r="Y1105" i="7"/>
  <c r="Z1113" i="7"/>
  <c r="Y1121" i="7"/>
  <c r="Z1129" i="7"/>
  <c r="Y1137" i="7"/>
  <c r="Z1145" i="7"/>
  <c r="Y1153" i="7"/>
  <c r="Z1161" i="7"/>
  <c r="Y1169" i="7"/>
  <c r="Z1177" i="7"/>
  <c r="Y1185" i="7"/>
  <c r="Z1193" i="7"/>
  <c r="Y1201" i="7"/>
  <c r="Z1209" i="7"/>
  <c r="Y1217" i="7"/>
  <c r="Z1225" i="7"/>
  <c r="Y1233" i="7"/>
  <c r="Z1241" i="7"/>
  <c r="Y1249" i="7"/>
  <c r="Z1106" i="7"/>
  <c r="Y1110" i="7"/>
  <c r="Z1122" i="7"/>
  <c r="Y1126" i="7"/>
  <c r="Z1138" i="7"/>
  <c r="Y1142" i="7"/>
  <c r="Z1154" i="7"/>
  <c r="Y1158" i="7"/>
  <c r="Z1170" i="7"/>
  <c r="Y1174" i="7"/>
  <c r="Z1186" i="7"/>
  <c r="Y1190" i="7"/>
  <c r="Z1202" i="7"/>
  <c r="Y1206" i="7"/>
  <c r="Z1218" i="7"/>
  <c r="Y1222" i="7"/>
  <c r="Z1234" i="7"/>
  <c r="Y1238" i="7"/>
  <c r="Z1250" i="7"/>
  <c r="Y1254" i="7"/>
  <c r="Y1271" i="7"/>
  <c r="Z1271" i="7"/>
  <c r="Y1091" i="7"/>
  <c r="Z1091" i="7"/>
  <c r="Z1107" i="7"/>
  <c r="Y1111" i="7"/>
  <c r="Z1123" i="7"/>
  <c r="Y1127" i="7"/>
  <c r="Z1139" i="7"/>
  <c r="Y1143" i="7"/>
  <c r="Z1155" i="7"/>
  <c r="Y1159" i="7"/>
  <c r="Z1171" i="7"/>
  <c r="Y1175" i="7"/>
  <c r="Z1187" i="7"/>
  <c r="Y1191" i="7"/>
  <c r="Z1203" i="7"/>
  <c r="Y1207" i="7"/>
  <c r="Z1219" i="7"/>
  <c r="Y1223" i="7"/>
  <c r="Z1235" i="7"/>
  <c r="Y1239" i="7"/>
  <c r="Z1251" i="7"/>
  <c r="Y1255" i="7"/>
  <c r="Y1259" i="7"/>
  <c r="Z1267" i="7"/>
  <c r="Z1274" i="7"/>
  <c r="Y1278" i="7"/>
  <c r="Z1290" i="7"/>
  <c r="Y1294" i="7"/>
  <c r="Z1306" i="7"/>
  <c r="Y1310" i="7"/>
  <c r="Z1322" i="7"/>
  <c r="Y1326" i="7"/>
  <c r="Z1338" i="7"/>
  <c r="Y1342" i="7"/>
  <c r="Y1283" i="7"/>
  <c r="Z1291" i="7"/>
  <c r="Y1299" i="7"/>
  <c r="Z1307" i="7"/>
  <c r="Y1315" i="7"/>
  <c r="Z1323" i="7"/>
  <c r="Y1331" i="7"/>
  <c r="Y1256" i="7"/>
  <c r="Z1268" i="7"/>
  <c r="Y1272" i="7"/>
  <c r="Z1272" i="7"/>
  <c r="Y1276" i="7"/>
  <c r="Z1288" i="7"/>
  <c r="Y1292" i="7"/>
  <c r="Z1304" i="7"/>
  <c r="Y1308" i="7"/>
  <c r="Z1320" i="7"/>
  <c r="Y1324" i="7"/>
  <c r="Z1336" i="7"/>
  <c r="Y1261" i="7"/>
  <c r="Z1273" i="7"/>
  <c r="Y1277" i="7"/>
  <c r="Z1289" i="7"/>
  <c r="Y1293" i="7"/>
  <c r="Z1305" i="7"/>
  <c r="Y1309" i="7"/>
  <c r="Z1321" i="7"/>
  <c r="Y1325" i="7"/>
  <c r="Z1337" i="7"/>
  <c r="Y1343" i="7"/>
  <c r="Y1350" i="7"/>
  <c r="Z1362" i="7"/>
  <c r="Y1366" i="7"/>
  <c r="Z1378" i="7"/>
  <c r="Y1382" i="7"/>
  <c r="Z1394" i="7"/>
  <c r="Y1398" i="7"/>
  <c r="Z1410" i="7"/>
  <c r="Y1414" i="7"/>
  <c r="Y1347" i="7"/>
  <c r="Z1355" i="7"/>
  <c r="Y1363" i="7"/>
  <c r="Z1371" i="7"/>
  <c r="Y1379" i="7"/>
  <c r="Z1387" i="7"/>
  <c r="Y1395" i="7"/>
  <c r="Z1403" i="7"/>
  <c r="Y1411" i="7"/>
  <c r="Z1419" i="7"/>
  <c r="Z1503" i="7"/>
  <c r="Y1511" i="7"/>
  <c r="Z1535" i="7"/>
  <c r="Y1543" i="7"/>
  <c r="Y1340" i="7"/>
  <c r="Z1340" i="7"/>
  <c r="Z1356" i="7"/>
  <c r="Y1356" i="7"/>
  <c r="Z1372" i="7"/>
  <c r="Y1372" i="7"/>
  <c r="Z1388" i="7"/>
  <c r="Y1388" i="7"/>
  <c r="Z1404" i="7"/>
  <c r="Y1404" i="7"/>
  <c r="Z1420" i="7"/>
  <c r="Y1424" i="7"/>
  <c r="Z1425" i="7"/>
  <c r="Z1426" i="7"/>
  <c r="Y1430" i="7"/>
  <c r="Y1435" i="7"/>
  <c r="Z1435" i="7"/>
  <c r="Y1437" i="7"/>
  <c r="Z1443" i="7"/>
  <c r="Y1447" i="7"/>
  <c r="Z1459" i="7"/>
  <c r="Y1463" i="7"/>
  <c r="Z1475" i="7"/>
  <c r="Y1479" i="7"/>
  <c r="Y1496" i="7"/>
  <c r="Z1345" i="7"/>
  <c r="Y1349" i="7"/>
  <c r="Z1361" i="7"/>
  <c r="Y1365" i="7"/>
  <c r="Z1377" i="7"/>
  <c r="Y1381" i="7"/>
  <c r="Z1393" i="7"/>
  <c r="Y1397" i="7"/>
  <c r="Z1409" i="7"/>
  <c r="Y1413" i="7"/>
  <c r="Z1515" i="7"/>
  <c r="Y1523" i="7"/>
  <c r="Z1547" i="7"/>
  <c r="Y1551" i="7"/>
  <c r="Z1563" i="7"/>
  <c r="Y1567" i="7"/>
  <c r="Z1579" i="7"/>
  <c r="Y1583" i="7"/>
  <c r="Z1595" i="7"/>
  <c r="Y1599" i="7"/>
  <c r="Z1611" i="7"/>
  <c r="Y1432" i="7"/>
  <c r="Y1440" i="7"/>
  <c r="Z1448" i="7"/>
  <c r="Y1456" i="7"/>
  <c r="Z1464" i="7"/>
  <c r="Y1472" i="7"/>
  <c r="Z1480" i="7"/>
  <c r="Y1488" i="7"/>
  <c r="Z1488" i="7"/>
  <c r="Y1495" i="7"/>
  <c r="Z1441" i="7"/>
  <c r="Y1445" i="7"/>
  <c r="Z1457" i="7"/>
  <c r="Y1461" i="7"/>
  <c r="Z1473" i="7"/>
  <c r="Y1477" i="7"/>
  <c r="Z1442" i="7"/>
  <c r="Y1446" i="7"/>
  <c r="Z1458" i="7"/>
  <c r="Y1462" i="7"/>
  <c r="Z1474" i="7"/>
  <c r="Y1478" i="7"/>
  <c r="Z1489" i="7"/>
  <c r="Y1491" i="7"/>
  <c r="Y1492" i="7"/>
  <c r="Z1492" i="7"/>
  <c r="Y1493" i="7"/>
  <c r="Z1500" i="7"/>
  <c r="Y1508" i="7"/>
  <c r="Z1516" i="7"/>
  <c r="Y1524" i="7"/>
  <c r="Z1532" i="7"/>
  <c r="Y1540" i="7"/>
  <c r="Z1548" i="7"/>
  <c r="Y1556" i="7"/>
  <c r="Z1564" i="7"/>
  <c r="Y1572" i="7"/>
  <c r="Z1580" i="7"/>
  <c r="Y1588" i="7"/>
  <c r="Z1596" i="7"/>
  <c r="Y1604" i="7"/>
  <c r="Z1614" i="7"/>
  <c r="Y1616" i="7"/>
  <c r="Y1618" i="7"/>
  <c r="Z1620" i="7"/>
  <c r="Y1625" i="7"/>
  <c r="Z1625" i="7"/>
  <c r="Z1630" i="7"/>
  <c r="Y1632" i="7"/>
  <c r="Y1634" i="7"/>
  <c r="Z1636" i="7"/>
  <c r="Y1641" i="7"/>
  <c r="Z1641" i="7"/>
  <c r="Z1646" i="7"/>
  <c r="Y1648" i="7"/>
  <c r="Y1650" i="7"/>
  <c r="Z1652" i="7"/>
  <c r="Y1658" i="7"/>
  <c r="Y1661" i="7"/>
  <c r="Y1501" i="7"/>
  <c r="Z1505" i="7"/>
  <c r="Y1517" i="7"/>
  <c r="Z1521" i="7"/>
  <c r="Y1533" i="7"/>
  <c r="Z1537" i="7"/>
  <c r="Y1549" i="7"/>
  <c r="Z1553" i="7"/>
  <c r="Y1565" i="7"/>
  <c r="Z1569" i="7"/>
  <c r="Y1581" i="7"/>
  <c r="Z1585" i="7"/>
  <c r="Y1597" i="7"/>
  <c r="Z1601" i="7"/>
  <c r="Y1657" i="7"/>
  <c r="Z1506" i="7"/>
  <c r="Y1510" i="7"/>
  <c r="Z1522" i="7"/>
  <c r="Y1526" i="7"/>
  <c r="Z1538" i="7"/>
  <c r="Y1542" i="7"/>
  <c r="Z1554" i="7"/>
  <c r="Y1558" i="7"/>
  <c r="Z1570" i="7"/>
  <c r="Y1574" i="7"/>
  <c r="Z1586" i="7"/>
  <c r="Y1590" i="7"/>
  <c r="Z1602" i="7"/>
  <c r="Y1606" i="7"/>
  <c r="Z1666" i="7"/>
  <c r="Z1674" i="7"/>
  <c r="Z1615" i="7"/>
  <c r="Y1619" i="7"/>
  <c r="Z1631" i="7"/>
  <c r="Y1635" i="7"/>
  <c r="Z1647" i="7"/>
  <c r="Y1651" i="7"/>
  <c r="Z1659" i="7"/>
  <c r="Z1667" i="7"/>
  <c r="Z1675" i="7"/>
  <c r="Y1679" i="7"/>
  <c r="Z1691" i="7"/>
  <c r="Y1695" i="7"/>
  <c r="Z1707" i="7"/>
  <c r="Y1711" i="7"/>
  <c r="Z1723" i="7"/>
  <c r="Y1727" i="7"/>
  <c r="Z1739" i="7"/>
  <c r="Y1743" i="7"/>
  <c r="Y1660" i="7"/>
  <c r="Y1680" i="7"/>
  <c r="Z1688" i="7"/>
  <c r="Y1696" i="7"/>
  <c r="Z1704" i="7"/>
  <c r="Y1712" i="7"/>
  <c r="Z1720" i="7"/>
  <c r="Y1728" i="7"/>
  <c r="Z1736" i="7"/>
  <c r="Y1744" i="7"/>
  <c r="Y1748" i="7"/>
  <c r="Z1757" i="7"/>
  <c r="Y1761" i="7"/>
  <c r="Z1773" i="7"/>
  <c r="Y1840" i="7"/>
  <c r="Y1673" i="7"/>
  <c r="Z1673" i="7"/>
  <c r="Y1677" i="7"/>
  <c r="Z1689" i="7"/>
  <c r="Y1693" i="7"/>
  <c r="Z1705" i="7"/>
  <c r="Y1709" i="7"/>
  <c r="Z1721" i="7"/>
  <c r="Y1725" i="7"/>
  <c r="Z1737" i="7"/>
  <c r="Y1741" i="7"/>
  <c r="Y1774" i="7"/>
  <c r="Z1678" i="7"/>
  <c r="Y1682" i="7"/>
  <c r="Z1694" i="7"/>
  <c r="Y1698" i="7"/>
  <c r="Z1710" i="7"/>
  <c r="Y1714" i="7"/>
  <c r="Z1726" i="7"/>
  <c r="Y1730" i="7"/>
  <c r="Z1742" i="7"/>
  <c r="Y1746" i="7"/>
  <c r="Y1750" i="7"/>
  <c r="Z1758" i="7"/>
  <c r="Y1766" i="7"/>
  <c r="Y1794" i="7"/>
  <c r="Y1751" i="7"/>
  <c r="Z1759" i="7"/>
  <c r="Y1767" i="7"/>
  <c r="Y1783" i="7"/>
  <c r="Z1783" i="7"/>
  <c r="Z1760" i="7"/>
  <c r="Y1764" i="7"/>
  <c r="Z1786" i="7"/>
  <c r="Y1790" i="7"/>
  <c r="Z1845" i="7"/>
  <c r="Z1780" i="7"/>
  <c r="Y1784" i="7"/>
  <c r="Y1807" i="7"/>
  <c r="Z1807" i="7"/>
  <c r="Y1823" i="7"/>
  <c r="Z1823" i="7"/>
  <c r="Y1854" i="7"/>
  <c r="Z1781" i="7"/>
  <c r="Y1785" i="7"/>
  <c r="Z1806" i="7"/>
  <c r="Y1810" i="7"/>
  <c r="Z1822" i="7"/>
  <c r="Y1826" i="7"/>
  <c r="Y1800" i="7"/>
  <c r="Z1812" i="7"/>
  <c r="Y1816" i="7"/>
  <c r="Z1828" i="7"/>
  <c r="Y1797" i="7"/>
  <c r="Z1805" i="7"/>
  <c r="Y1842" i="7"/>
  <c r="Z1839" i="7"/>
  <c r="Y1843" i="7"/>
  <c r="Z1856" i="7"/>
  <c r="Z1868" i="7"/>
  <c r="Z1861" i="7"/>
  <c r="Y1865" i="7"/>
  <c r="Y1881" i="7"/>
  <c r="Z9" i="7"/>
  <c r="Y17" i="7"/>
  <c r="Z6" i="7"/>
  <c r="Y6" i="7"/>
  <c r="Z22" i="7"/>
  <c r="Y26" i="7"/>
  <c r="Z38" i="7"/>
  <c r="Y42" i="7"/>
  <c r="Z54" i="7"/>
  <c r="Y58" i="7"/>
  <c r="Z70" i="7"/>
  <c r="Y74" i="7"/>
  <c r="Z86" i="7"/>
  <c r="Y90" i="7"/>
  <c r="Z102" i="7"/>
  <c r="Y106" i="7"/>
  <c r="Z118" i="7"/>
  <c r="Y122" i="7"/>
  <c r="Z134" i="7"/>
  <c r="Y138" i="7"/>
  <c r="Z150" i="7"/>
  <c r="Y154" i="7"/>
  <c r="Z166" i="7"/>
  <c r="Y170" i="7"/>
  <c r="Z182" i="7"/>
  <c r="Y186" i="7"/>
  <c r="Z198" i="7"/>
  <c r="Y202" i="7"/>
  <c r="Z214" i="7"/>
  <c r="Z218" i="7"/>
  <c r="Y5" i="7"/>
  <c r="Y3" i="7"/>
  <c r="Z7" i="7"/>
  <c r="Y11" i="7"/>
  <c r="Z19" i="7"/>
  <c r="Y23" i="7"/>
  <c r="Z31" i="7"/>
  <c r="Y39" i="7"/>
  <c r="Z47" i="7"/>
  <c r="Y55" i="7"/>
  <c r="Z63" i="7"/>
  <c r="Y71" i="7"/>
  <c r="Z79" i="7"/>
  <c r="Y87" i="7"/>
  <c r="Z95" i="7"/>
  <c r="Y103" i="7"/>
  <c r="Z111" i="7"/>
  <c r="Y119" i="7"/>
  <c r="Z127" i="7"/>
  <c r="Y135" i="7"/>
  <c r="Z143" i="7"/>
  <c r="Y151" i="7"/>
  <c r="Z159" i="7"/>
  <c r="Y167" i="7"/>
  <c r="Z175" i="7"/>
  <c r="Y183" i="7"/>
  <c r="Z191" i="7"/>
  <c r="Y199" i="7"/>
  <c r="Z207" i="7"/>
  <c r="Y215" i="7"/>
  <c r="Z12" i="7"/>
  <c r="Y16" i="7"/>
  <c r="Z28" i="7"/>
  <c r="Y32" i="7"/>
  <c r="Z44" i="7"/>
  <c r="Y48" i="7"/>
  <c r="Z60" i="7"/>
  <c r="Y64" i="7"/>
  <c r="Z76" i="7"/>
  <c r="Y80" i="7"/>
  <c r="Z92" i="7"/>
  <c r="Y96" i="7"/>
  <c r="Z108" i="7"/>
  <c r="Y112" i="7"/>
  <c r="Z124" i="7"/>
  <c r="Y128" i="7"/>
  <c r="Z140" i="7"/>
  <c r="Y144" i="7"/>
  <c r="Z156" i="7"/>
  <c r="Y160" i="7"/>
  <c r="Z172" i="7"/>
  <c r="Y176" i="7"/>
  <c r="Z188" i="7"/>
  <c r="Y192" i="7"/>
  <c r="Z204" i="7"/>
  <c r="Y208" i="7"/>
  <c r="Y4" i="7"/>
  <c r="Z29" i="7"/>
  <c r="Y33" i="7"/>
  <c r="Z45" i="7"/>
  <c r="Y49" i="7"/>
  <c r="Z61" i="7"/>
  <c r="Y65" i="7"/>
  <c r="Z77" i="7"/>
  <c r="Y81" i="7"/>
  <c r="Z93" i="7"/>
  <c r="Y97" i="7"/>
  <c r="Z109" i="7"/>
  <c r="Y113" i="7"/>
  <c r="Z125" i="7"/>
  <c r="Y129" i="7"/>
  <c r="Z141" i="7"/>
  <c r="Y145" i="7"/>
  <c r="Z157" i="7"/>
  <c r="Y161" i="7"/>
  <c r="Z173" i="7"/>
  <c r="Y177" i="7"/>
  <c r="Z189" i="7"/>
  <c r="Y193" i="7"/>
  <c r="Z205" i="7"/>
  <c r="Y209" i="7"/>
  <c r="Z229" i="7"/>
  <c r="Y233" i="7"/>
  <c r="Z245" i="7"/>
  <c r="Y249" i="7"/>
  <c r="Z261" i="7"/>
  <c r="Y265" i="7"/>
  <c r="Z277" i="7"/>
  <c r="Y281" i="7"/>
  <c r="Z293" i="7"/>
  <c r="Y297" i="7"/>
  <c r="Z309" i="7"/>
  <c r="Y313" i="7"/>
  <c r="Z325" i="7"/>
  <c r="Y329" i="7"/>
  <c r="Z341" i="7"/>
  <c r="Y345" i="7"/>
  <c r="Z357" i="7"/>
  <c r="Y361" i="7"/>
  <c r="Z373" i="7"/>
  <c r="Y377" i="7"/>
  <c r="Z389" i="7"/>
  <c r="Y393" i="7"/>
  <c r="Z405" i="7"/>
  <c r="Y409" i="7"/>
  <c r="Z421" i="7"/>
  <c r="Y425" i="7"/>
  <c r="Z437" i="7"/>
  <c r="Y441" i="7"/>
  <c r="Z453" i="7"/>
  <c r="Y457" i="7"/>
  <c r="Z469" i="7"/>
  <c r="Y473" i="7"/>
  <c r="Z485" i="7"/>
  <c r="Y489" i="7"/>
  <c r="Z501" i="7"/>
  <c r="Y505" i="7"/>
  <c r="Z517" i="7"/>
  <c r="Y521" i="7"/>
  <c r="Z533" i="7"/>
  <c r="Y537" i="7"/>
  <c r="Z549" i="7"/>
  <c r="Y553" i="7"/>
  <c r="Z565" i="7"/>
  <c r="Z226" i="7"/>
  <c r="Y234" i="7"/>
  <c r="Z242" i="7"/>
  <c r="Y250" i="7"/>
  <c r="Z258" i="7"/>
  <c r="Y266" i="7"/>
  <c r="Z274" i="7"/>
  <c r="Y282" i="7"/>
  <c r="Z290" i="7"/>
  <c r="Y298" i="7"/>
  <c r="Z306" i="7"/>
  <c r="Y314" i="7"/>
  <c r="Z322" i="7"/>
  <c r="Y330" i="7"/>
  <c r="Z338" i="7"/>
  <c r="Y346" i="7"/>
  <c r="Z354" i="7"/>
  <c r="Y362" i="7"/>
  <c r="Z370" i="7"/>
  <c r="Y378" i="7"/>
  <c r="Z386" i="7"/>
  <c r="Y394" i="7"/>
  <c r="Z402" i="7"/>
  <c r="Y410" i="7"/>
  <c r="Z418" i="7"/>
  <c r="Y426" i="7"/>
  <c r="Z434" i="7"/>
  <c r="Y442" i="7"/>
  <c r="Z450" i="7"/>
  <c r="Y458" i="7"/>
  <c r="Z466" i="7"/>
  <c r="Y474" i="7"/>
  <c r="Z482" i="7"/>
  <c r="Y490" i="7"/>
  <c r="Z498" i="7"/>
  <c r="Y506" i="7"/>
  <c r="Z514" i="7"/>
  <c r="Y522" i="7"/>
  <c r="Z530" i="7"/>
  <c r="Y538" i="7"/>
  <c r="Z546" i="7"/>
  <c r="Y554" i="7"/>
  <c r="Z562" i="7"/>
  <c r="Y219" i="7"/>
  <c r="Z231" i="7"/>
  <c r="Y235" i="7"/>
  <c r="Z247" i="7"/>
  <c r="Y251" i="7"/>
  <c r="Z263" i="7"/>
  <c r="Y267" i="7"/>
  <c r="Z279" i="7"/>
  <c r="Y283" i="7"/>
  <c r="Z295" i="7"/>
  <c r="Y299" i="7"/>
  <c r="Z311" i="7"/>
  <c r="Y315" i="7"/>
  <c r="Z327" i="7"/>
  <c r="Y331" i="7"/>
  <c r="Z343" i="7"/>
  <c r="Y347" i="7"/>
  <c r="Z359" i="7"/>
  <c r="Y363" i="7"/>
  <c r="Z375" i="7"/>
  <c r="Y379" i="7"/>
  <c r="Z391" i="7"/>
  <c r="Y395" i="7"/>
  <c r="Z407" i="7"/>
  <c r="Y411" i="7"/>
  <c r="Z423" i="7"/>
  <c r="Y427" i="7"/>
  <c r="Z439" i="7"/>
  <c r="Y443" i="7"/>
  <c r="Z455" i="7"/>
  <c r="Y459" i="7"/>
  <c r="Z471" i="7"/>
  <c r="Y475" i="7"/>
  <c r="Z487" i="7"/>
  <c r="Y491" i="7"/>
  <c r="Z503" i="7"/>
  <c r="Y507" i="7"/>
  <c r="Z519" i="7"/>
  <c r="Y523" i="7"/>
  <c r="Z535" i="7"/>
  <c r="Y539" i="7"/>
  <c r="Z551" i="7"/>
  <c r="Y555" i="7"/>
  <c r="Y220" i="7"/>
  <c r="Z232" i="7"/>
  <c r="Y236" i="7"/>
  <c r="Z248" i="7"/>
  <c r="Y252" i="7"/>
  <c r="Z264" i="7"/>
  <c r="Y268" i="7"/>
  <c r="Z280" i="7"/>
  <c r="Y284" i="7"/>
  <c r="Z296" i="7"/>
  <c r="Y300" i="7"/>
  <c r="Z312" i="7"/>
  <c r="Y316" i="7"/>
  <c r="Z328" i="7"/>
  <c r="Y332" i="7"/>
  <c r="Z344" i="7"/>
  <c r="Y348" i="7"/>
  <c r="Z360" i="7"/>
  <c r="Y364" i="7"/>
  <c r="Z376" i="7"/>
  <c r="Y380" i="7"/>
  <c r="Z392" i="7"/>
  <c r="Y396" i="7"/>
  <c r="Z408" i="7"/>
  <c r="Y412" i="7"/>
  <c r="Z424" i="7"/>
  <c r="Y428" i="7"/>
  <c r="Z440" i="7"/>
  <c r="Y444" i="7"/>
  <c r="Z456" i="7"/>
  <c r="Y460" i="7"/>
  <c r="Z472" i="7"/>
  <c r="Y476" i="7"/>
  <c r="Z488" i="7"/>
  <c r="Y492" i="7"/>
  <c r="Z504" i="7"/>
  <c r="Y508" i="7"/>
  <c r="Z520" i="7"/>
  <c r="Y524" i="7"/>
  <c r="Z536" i="7"/>
  <c r="Y540" i="7"/>
  <c r="Z552" i="7"/>
  <c r="Y556" i="7"/>
  <c r="Z574" i="7"/>
  <c r="Y578" i="7"/>
  <c r="Z590" i="7"/>
  <c r="Y594" i="7"/>
  <c r="Z606" i="7"/>
  <c r="Y610" i="7"/>
  <c r="Z622" i="7"/>
  <c r="Y626" i="7"/>
  <c r="Z638" i="7"/>
  <c r="Y642" i="7"/>
  <c r="Z654" i="7"/>
  <c r="Y658" i="7"/>
  <c r="Z670" i="7"/>
  <c r="Y674" i="7"/>
  <c r="Z686" i="7"/>
  <c r="Y690" i="7"/>
  <c r="Z702" i="7"/>
  <c r="Y706" i="7"/>
  <c r="Z718" i="7"/>
  <c r="Y722" i="7"/>
  <c r="Z734" i="7"/>
  <c r="Y738" i="7"/>
  <c r="Z750" i="7"/>
  <c r="Y754" i="7"/>
  <c r="Z766" i="7"/>
  <c r="Y770" i="7"/>
  <c r="Z782" i="7"/>
  <c r="Y786" i="7"/>
  <c r="Z798" i="7"/>
  <c r="Y802" i="7"/>
  <c r="Z814" i="7"/>
  <c r="Y818" i="7"/>
  <c r="Z830" i="7"/>
  <c r="Y834" i="7"/>
  <c r="Z846" i="7"/>
  <c r="Y850" i="7"/>
  <c r="Z862" i="7"/>
  <c r="Y866" i="7"/>
  <c r="Z571" i="7"/>
  <c r="Y579" i="7"/>
  <c r="Z587" i="7"/>
  <c r="Y595" i="7"/>
  <c r="Z603" i="7"/>
  <c r="Y611" i="7"/>
  <c r="Z619" i="7"/>
  <c r="Y627" i="7"/>
  <c r="Z635" i="7"/>
  <c r="Y643" i="7"/>
  <c r="Z651" i="7"/>
  <c r="Y659" i="7"/>
  <c r="Z667" i="7"/>
  <c r="Y675" i="7"/>
  <c r="Z683" i="7"/>
  <c r="Y691" i="7"/>
  <c r="Z699" i="7"/>
  <c r="Y707" i="7"/>
  <c r="Z715" i="7"/>
  <c r="Y723" i="7"/>
  <c r="Z731" i="7"/>
  <c r="Y739" i="7"/>
  <c r="Z747" i="7"/>
  <c r="Y755" i="7"/>
  <c r="Z763" i="7"/>
  <c r="Y771" i="7"/>
  <c r="Z779" i="7"/>
  <c r="Y787" i="7"/>
  <c r="Z795" i="7"/>
  <c r="Y803" i="7"/>
  <c r="Z811" i="7"/>
  <c r="Y819" i="7"/>
  <c r="Z827" i="7"/>
  <c r="Y835" i="7"/>
  <c r="Z843" i="7"/>
  <c r="Y851" i="7"/>
  <c r="Z859" i="7"/>
  <c r="Y867" i="7"/>
  <c r="Y870" i="7"/>
  <c r="Y872" i="7"/>
  <c r="Z874" i="7"/>
  <c r="Y879" i="7"/>
  <c r="Z879" i="7"/>
  <c r="Z884" i="7"/>
  <c r="Y886" i="7"/>
  <c r="Y888" i="7"/>
  <c r="Z890" i="7"/>
  <c r="Y895" i="7"/>
  <c r="Z895" i="7"/>
  <c r="Z900" i="7"/>
  <c r="Y902" i="7"/>
  <c r="Y904" i="7"/>
  <c r="Z906" i="7"/>
  <c r="Y911" i="7"/>
  <c r="Z911" i="7"/>
  <c r="Z916" i="7"/>
  <c r="Z572" i="7"/>
  <c r="Y576" i="7"/>
  <c r="Z588" i="7"/>
  <c r="Y592" i="7"/>
  <c r="Z604" i="7"/>
  <c r="Y608" i="7"/>
  <c r="Z620" i="7"/>
  <c r="Y624" i="7"/>
  <c r="Z636" i="7"/>
  <c r="Y640" i="7"/>
  <c r="Z652" i="7"/>
  <c r="Y656" i="7"/>
  <c r="Z668" i="7"/>
  <c r="Y672" i="7"/>
  <c r="Z684" i="7"/>
  <c r="Y688" i="7"/>
  <c r="Z700" i="7"/>
  <c r="Y704" i="7"/>
  <c r="Z716" i="7"/>
  <c r="Y720" i="7"/>
  <c r="Z732" i="7"/>
  <c r="Y736" i="7"/>
  <c r="Z748" i="7"/>
  <c r="Y752" i="7"/>
  <c r="Z764" i="7"/>
  <c r="Y768" i="7"/>
  <c r="Z780" i="7"/>
  <c r="Y784" i="7"/>
  <c r="Z796" i="7"/>
  <c r="Y800" i="7"/>
  <c r="Z812" i="7"/>
  <c r="Y816" i="7"/>
  <c r="Z828" i="7"/>
  <c r="Y832" i="7"/>
  <c r="Z844" i="7"/>
  <c r="Y848" i="7"/>
  <c r="Z860" i="7"/>
  <c r="Y864" i="7"/>
  <c r="Z577" i="7"/>
  <c r="Y581" i="7"/>
  <c r="Z593" i="7"/>
  <c r="Y597" i="7"/>
  <c r="Z609" i="7"/>
  <c r="Y613" i="7"/>
  <c r="Z625" i="7"/>
  <c r="Y629" i="7"/>
  <c r="Z641" i="7"/>
  <c r="Y645" i="7"/>
  <c r="Z657" i="7"/>
  <c r="Y661" i="7"/>
  <c r="Z673" i="7"/>
  <c r="Y677" i="7"/>
  <c r="Z689" i="7"/>
  <c r="Y693" i="7"/>
  <c r="Z705" i="7"/>
  <c r="Y709" i="7"/>
  <c r="Z721" i="7"/>
  <c r="Y725" i="7"/>
  <c r="Z737" i="7"/>
  <c r="Y741" i="7"/>
  <c r="Z753" i="7"/>
  <c r="Y757" i="7"/>
  <c r="Z769" i="7"/>
  <c r="Y773" i="7"/>
  <c r="Z785" i="7"/>
  <c r="Y789" i="7"/>
  <c r="Z801" i="7"/>
  <c r="Y805" i="7"/>
  <c r="Z817" i="7"/>
  <c r="Y821" i="7"/>
  <c r="Z833" i="7"/>
  <c r="Y837" i="7"/>
  <c r="Z849" i="7"/>
  <c r="Y853" i="7"/>
  <c r="Z865" i="7"/>
  <c r="Z918" i="7"/>
  <c r="Y922" i="7"/>
  <c r="Z934" i="7"/>
  <c r="Y938" i="7"/>
  <c r="Z950" i="7"/>
  <c r="Y954" i="7"/>
  <c r="Z966" i="7"/>
  <c r="Y970" i="7"/>
  <c r="Z982" i="7"/>
  <c r="Y986" i="7"/>
  <c r="Z998" i="7"/>
  <c r="Y1002" i="7"/>
  <c r="Z1014" i="7"/>
  <c r="Y1018" i="7"/>
  <c r="Z1030" i="7"/>
  <c r="Y1034" i="7"/>
  <c r="Z1046" i="7"/>
  <c r="Y1050" i="7"/>
  <c r="Z1062" i="7"/>
  <c r="Y1066" i="7"/>
  <c r="Z1078" i="7"/>
  <c r="Y1082" i="7"/>
  <c r="Y931" i="7"/>
  <c r="Z939" i="7"/>
  <c r="Y947" i="7"/>
  <c r="Z955" i="7"/>
  <c r="Y963" i="7"/>
  <c r="Z971" i="7"/>
  <c r="Y979" i="7"/>
  <c r="Z987" i="7"/>
  <c r="Y995" i="7"/>
  <c r="Z1003" i="7"/>
  <c r="Y1011" i="7"/>
  <c r="Z1019" i="7"/>
  <c r="Y1027" i="7"/>
  <c r="Z1035" i="7"/>
  <c r="Y1043" i="7"/>
  <c r="Z1051" i="7"/>
  <c r="Y1059" i="7"/>
  <c r="Z1067" i="7"/>
  <c r="Y1075" i="7"/>
  <c r="Z1083" i="7"/>
  <c r="Z928" i="7"/>
  <c r="Y932" i="7"/>
  <c r="Z944" i="7"/>
  <c r="Y948" i="7"/>
  <c r="Z960" i="7"/>
  <c r="Y964" i="7"/>
  <c r="Z976" i="7"/>
  <c r="Y980" i="7"/>
  <c r="Z992" i="7"/>
  <c r="Y996" i="7"/>
  <c r="Z1008" i="7"/>
  <c r="Y1012" i="7"/>
  <c r="Z1024" i="7"/>
  <c r="Y1028" i="7"/>
  <c r="Z1040" i="7"/>
  <c r="Y1044" i="7"/>
  <c r="Z1056" i="7"/>
  <c r="Y1060" i="7"/>
  <c r="Z1072" i="7"/>
  <c r="Y1076" i="7"/>
  <c r="Z1088" i="7"/>
  <c r="Z877" i="7"/>
  <c r="Y881" i="7"/>
  <c r="Z893" i="7"/>
  <c r="Y897" i="7"/>
  <c r="Z909" i="7"/>
  <c r="Y913" i="7"/>
  <c r="Y917" i="7"/>
  <c r="Z929" i="7"/>
  <c r="Y933" i="7"/>
  <c r="Z945" i="7"/>
  <c r="Y949" i="7"/>
  <c r="Z961" i="7"/>
  <c r="Y965" i="7"/>
  <c r="Z977" i="7"/>
  <c r="Y981" i="7"/>
  <c r="Z993" i="7"/>
  <c r="Y997" i="7"/>
  <c r="Z1009" i="7"/>
  <c r="Y1013" i="7"/>
  <c r="Z1025" i="7"/>
  <c r="Y1029" i="7"/>
  <c r="Z1041" i="7"/>
  <c r="Y1045" i="7"/>
  <c r="Z1057" i="7"/>
  <c r="Y1061" i="7"/>
  <c r="Z1073" i="7"/>
  <c r="Y1077" i="7"/>
  <c r="Z1089" i="7"/>
  <c r="Y1092" i="7"/>
  <c r="Z1096" i="7"/>
  <c r="Y1100" i="7"/>
  <c r="Z1112" i="7"/>
  <c r="Y1116" i="7"/>
  <c r="Z1128" i="7"/>
  <c r="Y1132" i="7"/>
  <c r="Z1144" i="7"/>
  <c r="Y1148" i="7"/>
  <c r="Z1160" i="7"/>
  <c r="Y1164" i="7"/>
  <c r="Z1176" i="7"/>
  <c r="Y1180" i="7"/>
  <c r="Z1192" i="7"/>
  <c r="Y1196" i="7"/>
  <c r="Z1208" i="7"/>
  <c r="Y1212" i="7"/>
  <c r="Z1224" i="7"/>
  <c r="Y1228" i="7"/>
  <c r="Z1240" i="7"/>
  <c r="Y1244" i="7"/>
  <c r="Z1262" i="7"/>
  <c r="Y1266" i="7"/>
  <c r="Z1093" i="7"/>
  <c r="Y1101" i="7"/>
  <c r="Z1109" i="7"/>
  <c r="Y1117" i="7"/>
  <c r="Z1125" i="7"/>
  <c r="Y1133" i="7"/>
  <c r="Z1141" i="7"/>
  <c r="Y1149" i="7"/>
  <c r="Z1157" i="7"/>
  <c r="Y1165" i="7"/>
  <c r="Z1173" i="7"/>
  <c r="Y1181" i="7"/>
  <c r="Z1189" i="7"/>
  <c r="Y1197" i="7"/>
  <c r="Z1205" i="7"/>
  <c r="Y1213" i="7"/>
  <c r="Z1221" i="7"/>
  <c r="Y1229" i="7"/>
  <c r="Z1237" i="7"/>
  <c r="Y1245" i="7"/>
  <c r="Z1253" i="7"/>
  <c r="Z1258" i="7"/>
  <c r="Z1102" i="7"/>
  <c r="Y1106" i="7"/>
  <c r="Z1118" i="7"/>
  <c r="Y1122" i="7"/>
  <c r="Z1134" i="7"/>
  <c r="Y1138" i="7"/>
  <c r="Z1150" i="7"/>
  <c r="Y1154" i="7"/>
  <c r="Z1166" i="7"/>
  <c r="Y1170" i="7"/>
  <c r="Z1182" i="7"/>
  <c r="Y1186" i="7"/>
  <c r="Z1198" i="7"/>
  <c r="Y1202" i="7"/>
  <c r="Z1214" i="7"/>
  <c r="Y1218" i="7"/>
  <c r="Z1230" i="7"/>
  <c r="Y1234" i="7"/>
  <c r="Z1246" i="7"/>
  <c r="Y1250" i="7"/>
  <c r="Z1103" i="7"/>
  <c r="Y1107" i="7"/>
  <c r="Z1119" i="7"/>
  <c r="Y1123" i="7"/>
  <c r="Z1135" i="7"/>
  <c r="Y1139" i="7"/>
  <c r="Z1151" i="7"/>
  <c r="Y1155" i="7"/>
  <c r="Z1167" i="7"/>
  <c r="Y1171" i="7"/>
  <c r="Z1183" i="7"/>
  <c r="Y1187" i="7"/>
  <c r="Z1199" i="7"/>
  <c r="Y1203" i="7"/>
  <c r="Z1215" i="7"/>
  <c r="Y1219" i="7"/>
  <c r="Z1231" i="7"/>
  <c r="Y1235" i="7"/>
  <c r="Z1247" i="7"/>
  <c r="Y1251" i="7"/>
  <c r="Z1255" i="7"/>
  <c r="Z1263" i="7"/>
  <c r="Z1270" i="7"/>
  <c r="Y1274" i="7"/>
  <c r="Z1286" i="7"/>
  <c r="Y1290" i="7"/>
  <c r="Z1302" i="7"/>
  <c r="Y1306" i="7"/>
  <c r="Z1318" i="7"/>
  <c r="Y1322" i="7"/>
  <c r="Z1334" i="7"/>
  <c r="Y1338" i="7"/>
  <c r="Y1279" i="7"/>
  <c r="Z1287" i="7"/>
  <c r="Y1295" i="7"/>
  <c r="Z1303" i="7"/>
  <c r="Y1311" i="7"/>
  <c r="Z1319" i="7"/>
  <c r="Y1327" i="7"/>
  <c r="Z1335" i="7"/>
  <c r="Y1268" i="7"/>
  <c r="Z1284" i="7"/>
  <c r="Y1288" i="7"/>
  <c r="Z1300" i="7"/>
  <c r="Y1304" i="7"/>
  <c r="Z1316" i="7"/>
  <c r="Y1320" i="7"/>
  <c r="Z1332" i="7"/>
  <c r="Y1336" i="7"/>
  <c r="Z1269" i="7"/>
  <c r="Y1273" i="7"/>
  <c r="Z1285" i="7"/>
  <c r="Y1289" i="7"/>
  <c r="Z1301" i="7"/>
  <c r="Y1305" i="7"/>
  <c r="Z1317" i="7"/>
  <c r="Y1321" i="7"/>
  <c r="Z1333" i="7"/>
  <c r="Y1337" i="7"/>
  <c r="Y1339" i="7"/>
  <c r="Z1358" i="7"/>
  <c r="Y1362" i="7"/>
  <c r="Z1374" i="7"/>
  <c r="Y1378" i="7"/>
  <c r="Z1390" i="7"/>
  <c r="Y1394" i="7"/>
  <c r="Z1406" i="7"/>
  <c r="Y1410" i="7"/>
  <c r="Z1422" i="7"/>
  <c r="Z1351" i="7"/>
  <c r="Y1359" i="7"/>
  <c r="Z1367" i="7"/>
  <c r="Y1375" i="7"/>
  <c r="Z1383" i="7"/>
  <c r="Y1391" i="7"/>
  <c r="Z1399" i="7"/>
  <c r="Y1407" i="7"/>
  <c r="Z1415" i="7"/>
  <c r="Y1423" i="7"/>
  <c r="Y1503" i="7"/>
  <c r="Z1527" i="7"/>
  <c r="Y1535" i="7"/>
  <c r="Z1352" i="7"/>
  <c r="Y1352" i="7"/>
  <c r="Z1368" i="7"/>
  <c r="Y1368" i="7"/>
  <c r="Z1384" i="7"/>
  <c r="Y1384" i="7"/>
  <c r="Z1400" i="7"/>
  <c r="Y1400" i="7"/>
  <c r="Z1416" i="7"/>
  <c r="Y1420" i="7"/>
  <c r="Y1425" i="7"/>
  <c r="Z1429" i="7"/>
  <c r="Z1430" i="7"/>
  <c r="Y1434" i="7"/>
  <c r="Z1439" i="7"/>
  <c r="Y1443" i="7"/>
  <c r="Z1455" i="7"/>
  <c r="Y1459" i="7"/>
  <c r="Z1471" i="7"/>
  <c r="Y1475" i="7"/>
  <c r="Z1487" i="7"/>
  <c r="Z1496" i="7"/>
  <c r="Z1341" i="7"/>
  <c r="Y1345" i="7"/>
  <c r="Z1357" i="7"/>
  <c r="Y1361" i="7"/>
  <c r="Z1373" i="7"/>
  <c r="Y1377" i="7"/>
  <c r="Z1389" i="7"/>
  <c r="Y1393" i="7"/>
  <c r="Z1405" i="7"/>
  <c r="Y1409" i="7"/>
  <c r="Z1421" i="7"/>
  <c r="Z1507" i="7"/>
  <c r="Y1515" i="7"/>
  <c r="Z1539" i="7"/>
  <c r="Y1547" i="7"/>
  <c r="Z1559" i="7"/>
  <c r="Y1563" i="7"/>
  <c r="Z1575" i="7"/>
  <c r="Y1579" i="7"/>
  <c r="Z1591" i="7"/>
  <c r="Y1595" i="7"/>
  <c r="Z1607" i="7"/>
  <c r="Y1611" i="7"/>
  <c r="Y1428" i="7"/>
  <c r="Z1436" i="7"/>
  <c r="Z1444" i="7"/>
  <c r="Y1452" i="7"/>
  <c r="Z1460" i="7"/>
  <c r="Y1468" i="7"/>
  <c r="Z1476" i="7"/>
  <c r="Y1484" i="7"/>
  <c r="Y1441" i="7"/>
  <c r="Z1453" i="7"/>
  <c r="Y1457" i="7"/>
  <c r="Z1469" i="7"/>
  <c r="Y1473" i="7"/>
  <c r="Z1485" i="7"/>
  <c r="Y1442" i="7"/>
  <c r="Z1454" i="7"/>
  <c r="Y1458" i="7"/>
  <c r="Z1470" i="7"/>
  <c r="Y1474" i="7"/>
  <c r="Z1486" i="7"/>
  <c r="Z1491" i="7"/>
  <c r="Z1493" i="7"/>
  <c r="Y1504" i="7"/>
  <c r="Z1512" i="7"/>
  <c r="Y1520" i="7"/>
  <c r="Z1528" i="7"/>
  <c r="Y1536" i="7"/>
  <c r="Z1544" i="7"/>
  <c r="Y1552" i="7"/>
  <c r="Z1560" i="7"/>
  <c r="Y1568" i="7"/>
  <c r="Z1576" i="7"/>
  <c r="Y1584" i="7"/>
  <c r="Z1592" i="7"/>
  <c r="Y1600" i="7"/>
  <c r="Z1608" i="7"/>
  <c r="Y1613" i="7"/>
  <c r="Z1613" i="7"/>
  <c r="Z1618" i="7"/>
  <c r="Y1620" i="7"/>
  <c r="Y1622" i="7"/>
  <c r="Z1624" i="7"/>
  <c r="Y1629" i="7"/>
  <c r="Z1629" i="7"/>
  <c r="Z1634" i="7"/>
  <c r="Y1636" i="7"/>
  <c r="Y1638" i="7"/>
  <c r="Z1640" i="7"/>
  <c r="Y1645" i="7"/>
  <c r="Z1645" i="7"/>
  <c r="Z1650" i="7"/>
  <c r="Y1652" i="7"/>
  <c r="Y1654" i="7"/>
  <c r="Z1658" i="7"/>
  <c r="Z1669" i="7"/>
  <c r="Y1497" i="7"/>
  <c r="Z1501" i="7"/>
  <c r="Y1513" i="7"/>
  <c r="Z1517" i="7"/>
  <c r="Y1529" i="7"/>
  <c r="Z1533" i="7"/>
  <c r="Y1545" i="7"/>
  <c r="Z1549" i="7"/>
  <c r="Y1561" i="7"/>
  <c r="Z1565" i="7"/>
  <c r="Y1577" i="7"/>
  <c r="Z1581" i="7"/>
  <c r="Y1593" i="7"/>
  <c r="Z1597" i="7"/>
  <c r="Y1609" i="7"/>
  <c r="Z1490" i="7"/>
  <c r="Z1502" i="7"/>
  <c r="Y1506" i="7"/>
  <c r="Z1518" i="7"/>
  <c r="Y1522" i="7"/>
  <c r="Z1534" i="7"/>
  <c r="Y1538" i="7"/>
  <c r="Z1550" i="7"/>
  <c r="Y1554" i="7"/>
  <c r="Z1566" i="7"/>
  <c r="Y1570" i="7"/>
  <c r="Z1582" i="7"/>
  <c r="Y1586" i="7"/>
  <c r="Z1598" i="7"/>
  <c r="Y1602" i="7"/>
  <c r="Z1662" i="7"/>
  <c r="Y1670" i="7"/>
  <c r="Y1674" i="7"/>
  <c r="Y1615" i="7"/>
  <c r="Z1627" i="7"/>
  <c r="Y1631" i="7"/>
  <c r="Z1643" i="7"/>
  <c r="Y1647" i="7"/>
  <c r="Y1659" i="7"/>
  <c r="Z1663" i="7"/>
  <c r="Y1671" i="7"/>
  <c r="Y1675" i="7"/>
  <c r="Z1687" i="7"/>
  <c r="Y1691" i="7"/>
  <c r="Z1703" i="7"/>
  <c r="Y1707" i="7"/>
  <c r="Z1719" i="7"/>
  <c r="Y1723" i="7"/>
  <c r="Z1735" i="7"/>
  <c r="Y1739" i="7"/>
  <c r="Z1668" i="7"/>
  <c r="Y1672" i="7"/>
  <c r="Y1676" i="7"/>
  <c r="Z1684" i="7"/>
  <c r="Y1692" i="7"/>
  <c r="Z1700" i="7"/>
  <c r="Y1708" i="7"/>
  <c r="Z1716" i="7"/>
  <c r="Y1724" i="7"/>
  <c r="Z1732" i="7"/>
  <c r="Y1740" i="7"/>
  <c r="Z1753" i="7"/>
  <c r="Y1757" i="7"/>
  <c r="Z1769" i="7"/>
  <c r="Y1773" i="7"/>
  <c r="Z1685" i="7"/>
  <c r="Y1689" i="7"/>
  <c r="Z1701" i="7"/>
  <c r="Y1705" i="7"/>
  <c r="Z1717" i="7"/>
  <c r="Y1721" i="7"/>
  <c r="Z1733" i="7"/>
  <c r="Y1737" i="7"/>
  <c r="Y1678" i="7"/>
  <c r="Z1690" i="7"/>
  <c r="Y1694" i="7"/>
  <c r="Z1706" i="7"/>
  <c r="Y1710" i="7"/>
  <c r="Z1722" i="7"/>
  <c r="Y1726" i="7"/>
  <c r="Z1738" i="7"/>
  <c r="Y1742" i="7"/>
  <c r="Z1754" i="7"/>
  <c r="Y1762" i="7"/>
  <c r="Z1770" i="7"/>
  <c r="Y1846" i="7"/>
  <c r="Z1755" i="7"/>
  <c r="Y1763" i="7"/>
  <c r="Z1771" i="7"/>
  <c r="Y1779" i="7"/>
  <c r="Z1779" i="7"/>
  <c r="Y1795" i="7"/>
  <c r="Z1795" i="7"/>
  <c r="Z1756" i="7"/>
  <c r="Y1760" i="7"/>
  <c r="Z1772" i="7"/>
  <c r="Z1782" i="7"/>
  <c r="Y1786" i="7"/>
  <c r="Z1832" i="7"/>
  <c r="Y1845" i="7"/>
  <c r="Z1776" i="7"/>
  <c r="Y1780" i="7"/>
  <c r="Z1792" i="7"/>
  <c r="Y1803" i="7"/>
  <c r="Z1803" i="7"/>
  <c r="Y1819" i="7"/>
  <c r="Z1819" i="7"/>
  <c r="Z1844" i="7"/>
  <c r="Z1854" i="7"/>
  <c r="Z1777" i="7"/>
  <c r="Y1781" i="7"/>
  <c r="Z1793" i="7"/>
  <c r="Z1802" i="7"/>
  <c r="Y1806" i="7"/>
  <c r="Z1818" i="7"/>
  <c r="Y1822" i="7"/>
  <c r="Z1808" i="7"/>
  <c r="Y1812" i="7"/>
  <c r="Z1824" i="7"/>
  <c r="Y1828" i="7"/>
  <c r="Z1866" i="7"/>
  <c r="Z1801" i="7"/>
  <c r="Y1805" i="7"/>
  <c r="Z1817" i="7"/>
  <c r="Y1821" i="7"/>
  <c r="Z1850" i="7"/>
  <c r="Z1837" i="7"/>
  <c r="Z1849" i="7"/>
  <c r="Y1853" i="7"/>
  <c r="Z1842" i="7"/>
  <c r="Z1870" i="7"/>
  <c r="Y1878" i="7"/>
  <c r="Z1835" i="7"/>
  <c r="Y1839" i="7"/>
  <c r="Z1859" i="7"/>
  <c r="Y1848" i="7"/>
  <c r="Z1852" i="7"/>
  <c r="Z1860" i="7"/>
  <c r="Z1867" i="7"/>
  <c r="Y1875" i="7"/>
  <c r="Z1864" i="7"/>
  <c r="Y1864" i="7"/>
  <c r="Y1876" i="7"/>
  <c r="Z1880" i="7"/>
  <c r="Y1880" i="7"/>
  <c r="Y1861" i="7"/>
  <c r="Z1873" i="7"/>
  <c r="Y1877" i="7"/>
  <c r="Z1858" i="7"/>
  <c r="Z1853" i="7"/>
  <c r="Z1878" i="7"/>
  <c r="Y1863" i="7"/>
  <c r="Z1871" i="7"/>
  <c r="Z1877" i="7"/>
  <c r="Y9" i="7"/>
  <c r="Y2" i="7"/>
  <c r="Z18" i="7"/>
  <c r="Y22" i="7"/>
  <c r="Z34" i="7"/>
  <c r="Y38" i="7"/>
  <c r="Z50" i="7"/>
  <c r="Y54" i="7"/>
  <c r="Z66" i="7"/>
  <c r="Y70" i="7"/>
  <c r="Z82" i="7"/>
  <c r="Y86" i="7"/>
  <c r="Z98" i="7"/>
  <c r="Y102" i="7"/>
  <c r="Z114" i="7"/>
  <c r="Y118" i="7"/>
  <c r="Z130" i="7"/>
  <c r="Y134" i="7"/>
  <c r="Z146" i="7"/>
  <c r="Y150" i="7"/>
  <c r="Z162" i="7"/>
  <c r="Y166" i="7"/>
  <c r="Z178" i="7"/>
  <c r="Y182" i="7"/>
  <c r="Z194" i="7"/>
  <c r="Y198" i="7"/>
  <c r="Z210" i="7"/>
  <c r="Y214" i="7"/>
  <c r="Y7" i="7"/>
  <c r="Z15" i="7"/>
  <c r="Y19" i="7"/>
  <c r="Z27" i="7"/>
  <c r="Y35" i="7"/>
  <c r="Z43" i="7"/>
  <c r="Y51" i="7"/>
  <c r="Z59" i="7"/>
  <c r="Y67" i="7"/>
  <c r="Z75" i="7"/>
  <c r="Y83" i="7"/>
  <c r="Z91" i="7"/>
  <c r="Y99" i="7"/>
  <c r="Z107" i="7"/>
  <c r="Y115" i="7"/>
  <c r="Z123" i="7"/>
  <c r="Y131" i="7"/>
  <c r="Z139" i="7"/>
  <c r="Y147" i="7"/>
  <c r="Z155" i="7"/>
  <c r="Y163" i="7"/>
  <c r="Z171" i="7"/>
  <c r="Y179" i="7"/>
  <c r="Z187" i="7"/>
  <c r="Y195" i="7"/>
  <c r="Z203" i="7"/>
  <c r="Y211" i="7"/>
  <c r="Z8" i="7"/>
  <c r="Y12" i="7"/>
  <c r="Z24" i="7"/>
  <c r="Y28" i="7"/>
  <c r="Z40" i="7"/>
  <c r="Y44" i="7"/>
  <c r="Z56" i="7"/>
  <c r="Y60" i="7"/>
  <c r="Z72" i="7"/>
  <c r="Y76" i="7"/>
  <c r="Z88" i="7"/>
  <c r="Y92" i="7"/>
  <c r="Z104" i="7"/>
  <c r="Y108" i="7"/>
  <c r="Z120" i="7"/>
  <c r="Y124" i="7"/>
  <c r="Z136" i="7"/>
  <c r="Y140" i="7"/>
  <c r="Z152" i="7"/>
  <c r="Y156" i="7"/>
  <c r="Z168" i="7"/>
  <c r="Y172" i="7"/>
  <c r="Z184" i="7"/>
  <c r="Y188" i="7"/>
  <c r="Z200" i="7"/>
  <c r="Y204" i="7"/>
  <c r="Z216" i="7"/>
  <c r="Z21" i="7"/>
  <c r="Z25" i="7"/>
  <c r="Y29" i="7"/>
  <c r="Z41" i="7"/>
  <c r="Y45" i="7"/>
  <c r="Z57" i="7"/>
  <c r="Y61" i="7"/>
  <c r="Z73" i="7"/>
  <c r="Y77" i="7"/>
  <c r="Z89" i="7"/>
  <c r="Y93" i="7"/>
  <c r="Z105" i="7"/>
  <c r="Y109" i="7"/>
  <c r="Z121" i="7"/>
  <c r="Y125" i="7"/>
  <c r="Z137" i="7"/>
  <c r="Y141" i="7"/>
  <c r="Z153" i="7"/>
  <c r="Y157" i="7"/>
  <c r="Z169" i="7"/>
  <c r="Y173" i="7"/>
  <c r="Z185" i="7"/>
  <c r="Y189" i="7"/>
  <c r="Z201" i="7"/>
  <c r="Y205" i="7"/>
  <c r="Z217" i="7"/>
  <c r="Z225" i="7"/>
  <c r="Y229" i="7"/>
  <c r="Z241" i="7"/>
  <c r="Y245" i="7"/>
  <c r="Z257" i="7"/>
  <c r="Y261" i="7"/>
  <c r="Z273" i="7"/>
  <c r="Y277" i="7"/>
  <c r="Z289" i="7"/>
  <c r="Y293" i="7"/>
  <c r="Z305" i="7"/>
  <c r="Y309" i="7"/>
  <c r="Z321" i="7"/>
  <c r="Y325" i="7"/>
  <c r="Z337" i="7"/>
  <c r="Y341" i="7"/>
  <c r="Z353" i="7"/>
  <c r="Y357" i="7"/>
  <c r="Z369" i="7"/>
  <c r="Y373" i="7"/>
  <c r="Z385" i="7"/>
  <c r="Y389" i="7"/>
  <c r="Z401" i="7"/>
  <c r="Y405" i="7"/>
  <c r="Z417" i="7"/>
  <c r="Y421" i="7"/>
  <c r="Z433" i="7"/>
  <c r="Y437" i="7"/>
  <c r="Z449" i="7"/>
  <c r="Y453" i="7"/>
  <c r="Z465" i="7"/>
  <c r="Y469" i="7"/>
  <c r="Z481" i="7"/>
  <c r="Y485" i="7"/>
  <c r="Z497" i="7"/>
  <c r="Y501" i="7"/>
  <c r="Z513" i="7"/>
  <c r="Y517" i="7"/>
  <c r="Z529" i="7"/>
  <c r="Y533" i="7"/>
  <c r="Z545" i="7"/>
  <c r="Y549" i="7"/>
  <c r="Z561" i="7"/>
  <c r="Y565" i="7"/>
  <c r="Z222" i="7"/>
  <c r="Y230" i="7"/>
  <c r="Z238" i="7"/>
  <c r="Y246" i="7"/>
  <c r="Z254" i="7"/>
  <c r="Y262" i="7"/>
  <c r="Z270" i="7"/>
  <c r="Y278" i="7"/>
  <c r="Z286" i="7"/>
  <c r="Y294" i="7"/>
  <c r="Z302" i="7"/>
  <c r="Y310" i="7"/>
  <c r="Z318" i="7"/>
  <c r="Y326" i="7"/>
  <c r="Z334" i="7"/>
  <c r="Y342" i="7"/>
  <c r="Z350" i="7"/>
  <c r="Y358" i="7"/>
  <c r="Z366" i="7"/>
  <c r="Y374" i="7"/>
  <c r="Z382" i="7"/>
  <c r="Y390" i="7"/>
  <c r="Z398" i="7"/>
  <c r="Y406" i="7"/>
  <c r="Z414" i="7"/>
  <c r="Y422" i="7"/>
  <c r="Z430" i="7"/>
  <c r="Y438" i="7"/>
  <c r="Z446" i="7"/>
  <c r="Y454" i="7"/>
  <c r="Z462" i="7"/>
  <c r="Y470" i="7"/>
  <c r="Z478" i="7"/>
  <c r="Y486" i="7"/>
  <c r="Z494" i="7"/>
  <c r="Y502" i="7"/>
  <c r="Z510" i="7"/>
  <c r="Y518" i="7"/>
  <c r="Z526" i="7"/>
  <c r="Y534" i="7"/>
  <c r="Z542" i="7"/>
  <c r="Y550" i="7"/>
  <c r="Z558" i="7"/>
  <c r="Z227" i="7"/>
  <c r="Y231" i="7"/>
  <c r="Z243" i="7"/>
  <c r="Y247" i="7"/>
  <c r="Z259" i="7"/>
  <c r="Y263" i="7"/>
  <c r="Z275" i="7"/>
  <c r="Y279" i="7"/>
  <c r="Z291" i="7"/>
  <c r="Y295" i="7"/>
  <c r="Z307" i="7"/>
  <c r="Y311" i="7"/>
  <c r="Z323" i="7"/>
  <c r="Y327" i="7"/>
  <c r="Z339" i="7"/>
  <c r="Y343" i="7"/>
  <c r="Z355" i="7"/>
  <c r="Y359" i="7"/>
  <c r="Z371" i="7"/>
  <c r="Y375" i="7"/>
  <c r="Z387" i="7"/>
  <c r="Y391" i="7"/>
  <c r="Z403" i="7"/>
  <c r="Y407" i="7"/>
  <c r="Z419" i="7"/>
  <c r="Y423" i="7"/>
  <c r="Z435" i="7"/>
  <c r="Y439" i="7"/>
  <c r="Z451" i="7"/>
  <c r="Y455" i="7"/>
  <c r="Z467" i="7"/>
  <c r="Y471" i="7"/>
  <c r="Z483" i="7"/>
  <c r="Y487" i="7"/>
  <c r="Z499" i="7"/>
  <c r="Y503" i="7"/>
  <c r="Z515" i="7"/>
  <c r="Y519" i="7"/>
  <c r="Z531" i="7"/>
  <c r="Y535" i="7"/>
  <c r="Z547" i="7"/>
  <c r="Y551" i="7"/>
  <c r="Z563" i="7"/>
  <c r="Z228" i="7"/>
  <c r="Y232" i="7"/>
  <c r="Z244" i="7"/>
  <c r="Y248" i="7"/>
  <c r="Z260" i="7"/>
  <c r="Y264" i="7"/>
  <c r="Z276" i="7"/>
  <c r="Y280" i="7"/>
  <c r="Z292" i="7"/>
  <c r="Y296" i="7"/>
  <c r="Z308" i="7"/>
  <c r="Y312" i="7"/>
  <c r="Z324" i="7"/>
  <c r="Y328" i="7"/>
  <c r="Z340" i="7"/>
  <c r="Y344" i="7"/>
  <c r="Z356" i="7"/>
  <c r="Y360" i="7"/>
  <c r="Z372" i="7"/>
  <c r="Y376" i="7"/>
  <c r="Z388" i="7"/>
  <c r="Y392" i="7"/>
  <c r="Z404" i="7"/>
  <c r="Y408" i="7"/>
  <c r="Z420" i="7"/>
  <c r="Y424" i="7"/>
  <c r="Z436" i="7"/>
  <c r="Y440" i="7"/>
  <c r="Z452" i="7"/>
  <c r="Y456" i="7"/>
  <c r="Z468" i="7"/>
  <c r="Y472" i="7"/>
  <c r="Z484" i="7"/>
  <c r="Y488" i="7"/>
  <c r="Z500" i="7"/>
  <c r="Y504" i="7"/>
  <c r="Z516" i="7"/>
  <c r="Y520" i="7"/>
  <c r="Z532" i="7"/>
  <c r="Y536" i="7"/>
  <c r="Z548" i="7"/>
  <c r="Y552" i="7"/>
  <c r="Z564" i="7"/>
  <c r="Z570" i="7"/>
  <c r="Y574" i="7"/>
  <c r="Z586" i="7"/>
  <c r="Y590" i="7"/>
  <c r="Z602" i="7"/>
  <c r="Y606" i="7"/>
  <c r="Z618" i="7"/>
  <c r="Y622" i="7"/>
  <c r="Z634" i="7"/>
  <c r="Y638" i="7"/>
  <c r="Z650" i="7"/>
  <c r="Y654" i="7"/>
  <c r="Z666" i="7"/>
  <c r="Y670" i="7"/>
  <c r="Z682" i="7"/>
  <c r="Y686" i="7"/>
  <c r="Z698" i="7"/>
  <c r="Y702" i="7"/>
  <c r="Z714" i="7"/>
  <c r="Y718" i="7"/>
  <c r="Z730" i="7"/>
  <c r="Y734" i="7"/>
  <c r="Z746" i="7"/>
  <c r="Y750" i="7"/>
  <c r="Z762" i="7"/>
  <c r="Y766" i="7"/>
  <c r="Z778" i="7"/>
  <c r="Y782" i="7"/>
  <c r="Z794" i="7"/>
  <c r="Y798" i="7"/>
  <c r="Z810" i="7"/>
  <c r="Y814" i="7"/>
  <c r="Z826" i="7"/>
  <c r="Y830" i="7"/>
  <c r="Z842" i="7"/>
  <c r="Y846" i="7"/>
  <c r="Z858" i="7"/>
  <c r="Y862" i="7"/>
  <c r="Y575" i="7"/>
  <c r="Z583" i="7"/>
  <c r="Y591" i="7"/>
  <c r="Z599" i="7"/>
  <c r="Y607" i="7"/>
  <c r="Z615" i="7"/>
  <c r="Y623" i="7"/>
  <c r="Z631" i="7"/>
  <c r="Y639" i="7"/>
  <c r="Z647" i="7"/>
  <c r="Y655" i="7"/>
  <c r="Z663" i="7"/>
  <c r="Y671" i="7"/>
  <c r="Z679" i="7"/>
  <c r="Y687" i="7"/>
  <c r="Z695" i="7"/>
  <c r="Y703" i="7"/>
  <c r="Z711" i="7"/>
  <c r="Y719" i="7"/>
  <c r="Z727" i="7"/>
  <c r="Y735" i="7"/>
  <c r="Z743" i="7"/>
  <c r="Y751" i="7"/>
  <c r="Z759" i="7"/>
  <c r="Y767" i="7"/>
  <c r="Z775" i="7"/>
  <c r="Y783" i="7"/>
  <c r="Z791" i="7"/>
  <c r="Y799" i="7"/>
  <c r="Z807" i="7"/>
  <c r="Y815" i="7"/>
  <c r="Z823" i="7"/>
  <c r="Y831" i="7"/>
  <c r="Z839" i="7"/>
  <c r="Y847" i="7"/>
  <c r="Z855" i="7"/>
  <c r="Y863" i="7"/>
  <c r="Z872" i="7"/>
  <c r="Y874" i="7"/>
  <c r="Y876" i="7"/>
  <c r="Z878" i="7"/>
  <c r="Y883" i="7"/>
  <c r="Z883" i="7"/>
  <c r="Z888" i="7"/>
  <c r="Y890" i="7"/>
  <c r="Y892" i="7"/>
  <c r="Z894" i="7"/>
  <c r="Y899" i="7"/>
  <c r="Z899" i="7"/>
  <c r="Z904" i="7"/>
  <c r="Y906" i="7"/>
  <c r="Y908" i="7"/>
  <c r="Z910" i="7"/>
  <c r="Y915" i="7"/>
  <c r="Z915" i="7"/>
  <c r="Y568" i="7"/>
  <c r="Z568" i="7"/>
  <c r="Y572" i="7"/>
  <c r="Z584" i="7"/>
  <c r="Y588" i="7"/>
  <c r="Z600" i="7"/>
  <c r="Y604" i="7"/>
  <c r="Z616" i="7"/>
  <c r="Y620" i="7"/>
  <c r="Z632" i="7"/>
  <c r="Y636" i="7"/>
  <c r="Z648" i="7"/>
  <c r="Y652" i="7"/>
  <c r="Z664" i="7"/>
  <c r="Y668" i="7"/>
  <c r="Z680" i="7"/>
  <c r="Y684" i="7"/>
  <c r="Z696" i="7"/>
  <c r="Y700" i="7"/>
  <c r="Z712" i="7"/>
  <c r="Y716" i="7"/>
  <c r="Z728" i="7"/>
  <c r="Y732" i="7"/>
  <c r="Z744" i="7"/>
  <c r="Y748" i="7"/>
  <c r="Z760" i="7"/>
  <c r="Y764" i="7"/>
  <c r="Z776" i="7"/>
  <c r="Y780" i="7"/>
  <c r="Z792" i="7"/>
  <c r="Y796" i="7"/>
  <c r="Z808" i="7"/>
  <c r="Y812" i="7"/>
  <c r="Z824" i="7"/>
  <c r="Y828" i="7"/>
  <c r="Z840" i="7"/>
  <c r="Y844" i="7"/>
  <c r="Z856" i="7"/>
  <c r="Y860" i="7"/>
  <c r="Y927" i="7"/>
  <c r="Z927" i="7"/>
  <c r="Z573" i="7"/>
  <c r="Y577" i="7"/>
  <c r="Z589" i="7"/>
  <c r="Y593" i="7"/>
  <c r="Z605" i="7"/>
  <c r="Y609" i="7"/>
  <c r="Z621" i="7"/>
  <c r="Y625" i="7"/>
  <c r="Z637" i="7"/>
  <c r="Y641" i="7"/>
  <c r="Z653" i="7"/>
  <c r="Y657" i="7"/>
  <c r="Z669" i="7"/>
  <c r="Y673" i="7"/>
  <c r="Z685" i="7"/>
  <c r="Y689" i="7"/>
  <c r="Z701" i="7"/>
  <c r="Y705" i="7"/>
  <c r="Z717" i="7"/>
  <c r="Y721" i="7"/>
  <c r="Z733" i="7"/>
  <c r="Y737" i="7"/>
  <c r="Z749" i="7"/>
  <c r="Y753" i="7"/>
  <c r="Z765" i="7"/>
  <c r="Y769" i="7"/>
  <c r="Z781" i="7"/>
  <c r="Y785" i="7"/>
  <c r="Z797" i="7"/>
  <c r="Y801" i="7"/>
  <c r="Z813" i="7"/>
  <c r="Y817" i="7"/>
  <c r="Z829" i="7"/>
  <c r="Y833" i="7"/>
  <c r="Z845" i="7"/>
  <c r="Y849" i="7"/>
  <c r="Z861" i="7"/>
  <c r="Y865" i="7"/>
  <c r="Y918" i="7"/>
  <c r="Z930" i="7"/>
  <c r="Y934" i="7"/>
  <c r="Z946" i="7"/>
  <c r="Y950" i="7"/>
  <c r="Z962" i="7"/>
  <c r="Y966" i="7"/>
  <c r="Z978" i="7"/>
  <c r="Y982" i="7"/>
  <c r="Z994" i="7"/>
  <c r="Y998" i="7"/>
  <c r="Z1010" i="7"/>
  <c r="Y1014" i="7"/>
  <c r="Z1026" i="7"/>
  <c r="Y1030" i="7"/>
  <c r="Z1042" i="7"/>
  <c r="Y1046" i="7"/>
  <c r="Z1058" i="7"/>
  <c r="Y1062" i="7"/>
  <c r="Z1074" i="7"/>
  <c r="Y1078" i="7"/>
  <c r="Z1090" i="7"/>
  <c r="Z935" i="7"/>
  <c r="Y943" i="7"/>
  <c r="Z951" i="7"/>
  <c r="Y959" i="7"/>
  <c r="Z967" i="7"/>
  <c r="Y975" i="7"/>
  <c r="Z983" i="7"/>
  <c r="Y991" i="7"/>
  <c r="Z999" i="7"/>
  <c r="Y1007" i="7"/>
  <c r="Z1015" i="7"/>
  <c r="Y1023" i="7"/>
  <c r="Z1031" i="7"/>
  <c r="Y1039" i="7"/>
  <c r="Z1047" i="7"/>
  <c r="Y1055" i="7"/>
  <c r="Z1063" i="7"/>
  <c r="Y1071" i="7"/>
  <c r="Z1079" i="7"/>
  <c r="Y1087" i="7"/>
  <c r="Z924" i="7"/>
  <c r="Y928" i="7"/>
  <c r="Z940" i="7"/>
  <c r="Y944" i="7"/>
  <c r="Z956" i="7"/>
  <c r="Y960" i="7"/>
  <c r="Z972" i="7"/>
  <c r="Y976" i="7"/>
  <c r="Z988" i="7"/>
  <c r="Y992" i="7"/>
  <c r="Z1004" i="7"/>
  <c r="Y1008" i="7"/>
  <c r="Z1020" i="7"/>
  <c r="Y1024" i="7"/>
  <c r="Z1036" i="7"/>
  <c r="Y1040" i="7"/>
  <c r="Z1052" i="7"/>
  <c r="Y1056" i="7"/>
  <c r="Z1068" i="7"/>
  <c r="Y1072" i="7"/>
  <c r="Z1084" i="7"/>
  <c r="Y1088" i="7"/>
  <c r="Z1094" i="7"/>
  <c r="Z873" i="7"/>
  <c r="Y877" i="7"/>
  <c r="Z889" i="7"/>
  <c r="Y893" i="7"/>
  <c r="Z905" i="7"/>
  <c r="Y909" i="7"/>
  <c r="Z925" i="7"/>
  <c r="Y929" i="7"/>
  <c r="Z941" i="7"/>
  <c r="Y945" i="7"/>
  <c r="Z957" i="7"/>
  <c r="Y961" i="7"/>
  <c r="Z973" i="7"/>
  <c r="Y977" i="7"/>
  <c r="Z989" i="7"/>
  <c r="Y993" i="7"/>
  <c r="Z1005" i="7"/>
  <c r="Y1009" i="7"/>
  <c r="Z1021" i="7"/>
  <c r="Y1025" i="7"/>
  <c r="Z1037" i="7"/>
  <c r="Y1041" i="7"/>
  <c r="Z1053" i="7"/>
  <c r="Y1057" i="7"/>
  <c r="Z1069" i="7"/>
  <c r="Y1073" i="7"/>
  <c r="Z1085" i="7"/>
  <c r="Y1089" i="7"/>
  <c r="Z1092" i="7"/>
  <c r="Y1096" i="7"/>
  <c r="Z1108" i="7"/>
  <c r="Y1112" i="7"/>
  <c r="Z1124" i="7"/>
  <c r="Y1128" i="7"/>
  <c r="Z1140" i="7"/>
  <c r="Y1144" i="7"/>
  <c r="Z1156" i="7"/>
  <c r="Y1160" i="7"/>
  <c r="Z1172" i="7"/>
  <c r="Y1176" i="7"/>
  <c r="Z1188" i="7"/>
  <c r="Y1192" i="7"/>
  <c r="Z1204" i="7"/>
  <c r="Y1208" i="7"/>
  <c r="Z1220" i="7"/>
  <c r="Y1224" i="7"/>
  <c r="Z1236" i="7"/>
  <c r="Y1240" i="7"/>
  <c r="Z1252" i="7"/>
  <c r="Y1262" i="7"/>
  <c r="Y1097" i="7"/>
  <c r="Z1105" i="7"/>
  <c r="Y1113" i="7"/>
  <c r="Z1121" i="7"/>
  <c r="Y1129" i="7"/>
  <c r="Z1137" i="7"/>
  <c r="Y1145" i="7"/>
  <c r="Z1153" i="7"/>
  <c r="Y1161" i="7"/>
  <c r="Z1169" i="7"/>
  <c r="Y1177" i="7"/>
  <c r="Z1185" i="7"/>
  <c r="Y1193" i="7"/>
  <c r="Z1201" i="7"/>
  <c r="Y1209" i="7"/>
  <c r="Z1217" i="7"/>
  <c r="Y1225" i="7"/>
  <c r="Z1233" i="7"/>
  <c r="Y1241" i="7"/>
  <c r="Z1249" i="7"/>
  <c r="Z1257" i="7"/>
  <c r="Y1258" i="7"/>
  <c r="Z1098" i="7"/>
  <c r="Y1102" i="7"/>
  <c r="Z1114" i="7"/>
  <c r="Y1118" i="7"/>
  <c r="Z1130" i="7"/>
  <c r="Y1134" i="7"/>
  <c r="Z1146" i="7"/>
  <c r="Y1150" i="7"/>
  <c r="Z1162" i="7"/>
  <c r="Y1166" i="7"/>
  <c r="Z1178" i="7"/>
  <c r="Y1182" i="7"/>
  <c r="Z1194" i="7"/>
  <c r="Y1198" i="7"/>
  <c r="Z1210" i="7"/>
  <c r="Y1214" i="7"/>
  <c r="Z1226" i="7"/>
  <c r="Y1230" i="7"/>
  <c r="Z1242" i="7"/>
  <c r="Y1246" i="7"/>
  <c r="Z1099" i="7"/>
  <c r="Y1103" i="7"/>
  <c r="Z1115" i="7"/>
  <c r="Y1119" i="7"/>
  <c r="Z1131" i="7"/>
  <c r="Y1135" i="7"/>
  <c r="Z1147" i="7"/>
  <c r="Y1151" i="7"/>
  <c r="Z1163" i="7"/>
  <c r="Y1167" i="7"/>
  <c r="Z1179" i="7"/>
  <c r="Y1183" i="7"/>
  <c r="Z1195" i="7"/>
  <c r="Y1199" i="7"/>
  <c r="Z1211" i="7"/>
  <c r="Y1215" i="7"/>
  <c r="Z1227" i="7"/>
  <c r="Y1231" i="7"/>
  <c r="Z1243" i="7"/>
  <c r="Y1247" i="7"/>
  <c r="Z1259" i="7"/>
  <c r="Y1267" i="7"/>
  <c r="Y1270" i="7"/>
  <c r="Z1282" i="7"/>
  <c r="Y1286" i="7"/>
  <c r="Z1298" i="7"/>
  <c r="Y1302" i="7"/>
  <c r="Z1314" i="7"/>
  <c r="Y1318" i="7"/>
  <c r="Z1330" i="7"/>
  <c r="Y1334" i="7"/>
  <c r="Z1346" i="7"/>
  <c r="Z1283" i="7"/>
  <c r="Y1291" i="7"/>
  <c r="Z1299" i="7"/>
  <c r="Y1307" i="7"/>
  <c r="Z1315" i="7"/>
  <c r="Y1323" i="7"/>
  <c r="Z1331" i="7"/>
  <c r="Y1264" i="7"/>
  <c r="Z1264" i="7"/>
  <c r="Z1280" i="7"/>
  <c r="Y1284" i="7"/>
  <c r="Z1296" i="7"/>
  <c r="Y1300" i="7"/>
  <c r="Z1312" i="7"/>
  <c r="Y1316" i="7"/>
  <c r="Z1328" i="7"/>
  <c r="Y1332" i="7"/>
  <c r="Z1265" i="7"/>
  <c r="Y1269" i="7"/>
  <c r="Z1281" i="7"/>
  <c r="Y1285" i="7"/>
  <c r="Z1297" i="7"/>
  <c r="Y1301" i="7"/>
  <c r="Z1313" i="7"/>
  <c r="Y1317" i="7"/>
  <c r="Z1329" i="7"/>
  <c r="Y1333" i="7"/>
  <c r="Z1343" i="7"/>
  <c r="Z1354" i="7"/>
  <c r="Y1358" i="7"/>
  <c r="Z1370" i="7"/>
  <c r="Y1374" i="7"/>
  <c r="Z1386" i="7"/>
  <c r="Y1390" i="7"/>
  <c r="Z1402" i="7"/>
  <c r="Y1406" i="7"/>
  <c r="Z1418" i="7"/>
  <c r="Y1422" i="7"/>
  <c r="Z1347" i="7"/>
  <c r="Y1355" i="7"/>
  <c r="Z1363" i="7"/>
  <c r="Y1371" i="7"/>
  <c r="Z1379" i="7"/>
  <c r="Y1387" i="7"/>
  <c r="Z1395" i="7"/>
  <c r="Y1403" i="7"/>
  <c r="Z1411" i="7"/>
  <c r="Y1419" i="7"/>
  <c r="Z1519" i="7"/>
  <c r="Y1527" i="7"/>
  <c r="Z1348" i="7"/>
  <c r="Y1348" i="7"/>
  <c r="Z1364" i="7"/>
  <c r="Y1364" i="7"/>
  <c r="Z1380" i="7"/>
  <c r="Y1380" i="7"/>
  <c r="Z1396" i="7"/>
  <c r="Y1396" i="7"/>
  <c r="Z1412" i="7"/>
  <c r="Y1412" i="7"/>
  <c r="Y1416" i="7"/>
  <c r="Y1427" i="7"/>
  <c r="Z1427" i="7"/>
  <c r="Y1429" i="7"/>
  <c r="Z1433" i="7"/>
  <c r="Z1434" i="7"/>
  <c r="Y1438" i="7"/>
  <c r="Z1451" i="7"/>
  <c r="Y1455" i="7"/>
  <c r="Z1467" i="7"/>
  <c r="Y1471" i="7"/>
  <c r="Z1483" i="7"/>
  <c r="Y1487" i="7"/>
  <c r="Y1341" i="7"/>
  <c r="Z1353" i="7"/>
  <c r="Y1357" i="7"/>
  <c r="Z1369" i="7"/>
  <c r="Y1373" i="7"/>
  <c r="Z1385" i="7"/>
  <c r="Y1389" i="7"/>
  <c r="Z1401" i="7"/>
  <c r="Y1405" i="7"/>
  <c r="Z1417" i="7"/>
  <c r="Y1421" i="7"/>
  <c r="Z1499" i="7"/>
  <c r="Y1507" i="7"/>
  <c r="Z1531" i="7"/>
  <c r="Y1539" i="7"/>
  <c r="Z1555" i="7"/>
  <c r="Y1559" i="7"/>
  <c r="Z1571" i="7"/>
  <c r="Y1575" i="7"/>
  <c r="Z1587" i="7"/>
  <c r="Y1591" i="7"/>
  <c r="Z1603" i="7"/>
  <c r="Y1607" i="7"/>
  <c r="Z1432" i="7"/>
  <c r="Z1440" i="7"/>
  <c r="Y1448" i="7"/>
  <c r="Z1456" i="7"/>
  <c r="Y1464" i="7"/>
  <c r="Z1472" i="7"/>
  <c r="Y1480" i="7"/>
  <c r="Z1449" i="7"/>
  <c r="Y1453" i="7"/>
  <c r="Z1465" i="7"/>
  <c r="Y1469" i="7"/>
  <c r="Z1481" i="7"/>
  <c r="Y1485" i="7"/>
  <c r="Z1450" i="7"/>
  <c r="Y1454" i="7"/>
  <c r="Z1466" i="7"/>
  <c r="Y1470" i="7"/>
  <c r="Z1482" i="7"/>
  <c r="Y1486" i="7"/>
  <c r="Y1500" i="7"/>
  <c r="Z1508" i="7"/>
  <c r="Y1516" i="7"/>
  <c r="Z1524" i="7"/>
  <c r="Y1532" i="7"/>
  <c r="Z1540" i="7"/>
  <c r="Y1548" i="7"/>
  <c r="Z1556" i="7"/>
  <c r="Y1564" i="7"/>
  <c r="Z1572" i="7"/>
  <c r="Y1580" i="7"/>
  <c r="Z1588" i="7"/>
  <c r="Y1596" i="7"/>
  <c r="Z1604" i="7"/>
  <c r="Z1612" i="7"/>
  <c r="Y1617" i="7"/>
  <c r="Z1617" i="7"/>
  <c r="Z1622" i="7"/>
  <c r="Y1624" i="7"/>
  <c r="Y1626" i="7"/>
  <c r="Z1628" i="7"/>
  <c r="Y1633" i="7"/>
  <c r="Z1633" i="7"/>
  <c r="Z1638" i="7"/>
  <c r="Y1640" i="7"/>
  <c r="Y1642" i="7"/>
  <c r="Z1644" i="7"/>
  <c r="Y1649" i="7"/>
  <c r="Z1649" i="7"/>
  <c r="Z1654" i="7"/>
  <c r="Z1656" i="7"/>
  <c r="Y1656" i="7"/>
  <c r="Z1665" i="7"/>
  <c r="Y1669" i="7"/>
  <c r="Z1497" i="7"/>
  <c r="Y1509" i="7"/>
  <c r="Z1513" i="7"/>
  <c r="Y1525" i="7"/>
  <c r="Z1529" i="7"/>
  <c r="Y1541" i="7"/>
  <c r="Z1545" i="7"/>
  <c r="Y1557" i="7"/>
  <c r="Z1561" i="7"/>
  <c r="Y1573" i="7"/>
  <c r="Z1577" i="7"/>
  <c r="Y1589" i="7"/>
  <c r="Z1593" i="7"/>
  <c r="Y1605" i="7"/>
  <c r="Z1609" i="7"/>
  <c r="Y1494" i="7"/>
  <c r="Z1498" i="7"/>
  <c r="Y1502" i="7"/>
  <c r="Z1514" i="7"/>
  <c r="Y1518" i="7"/>
  <c r="Z1530" i="7"/>
  <c r="Y1534" i="7"/>
  <c r="Z1546" i="7"/>
  <c r="Y1550" i="7"/>
  <c r="Z1562" i="7"/>
  <c r="Y1566" i="7"/>
  <c r="Z1578" i="7"/>
  <c r="Y1582" i="7"/>
  <c r="Z1594" i="7"/>
  <c r="Y1598" i="7"/>
  <c r="Z1610" i="7"/>
  <c r="Y1666" i="7"/>
  <c r="Z1623" i="7"/>
  <c r="Y1627" i="7"/>
  <c r="Z1639" i="7"/>
  <c r="Y1643" i="7"/>
  <c r="Z1655" i="7"/>
  <c r="Y1667" i="7"/>
  <c r="Z1683" i="7"/>
  <c r="Y1687" i="7"/>
  <c r="Z1699" i="7"/>
  <c r="Y1703" i="7"/>
  <c r="Z1715" i="7"/>
  <c r="Y1719" i="7"/>
  <c r="Z1731" i="7"/>
  <c r="Y1735" i="7"/>
  <c r="Z1747" i="7"/>
  <c r="Z1664" i="7"/>
  <c r="Y1668" i="7"/>
  <c r="Z1672" i="7"/>
  <c r="Z1680" i="7"/>
  <c r="Y1688" i="7"/>
  <c r="Z1696" i="7"/>
  <c r="Y1704" i="7"/>
  <c r="Z1712" i="7"/>
  <c r="Y1720" i="7"/>
  <c r="Z1728" i="7"/>
  <c r="Y1736" i="7"/>
  <c r="Z1744" i="7"/>
  <c r="Z1749" i="7"/>
  <c r="Y1753" i="7"/>
  <c r="Z1765" i="7"/>
  <c r="Y1769" i="7"/>
  <c r="Z1681" i="7"/>
  <c r="Y1685" i="7"/>
  <c r="Z1697" i="7"/>
  <c r="Y1701" i="7"/>
  <c r="Z1713" i="7"/>
  <c r="Y1717" i="7"/>
  <c r="Z1729" i="7"/>
  <c r="Y1733" i="7"/>
  <c r="Z1745" i="7"/>
  <c r="Z1686" i="7"/>
  <c r="Y1690" i="7"/>
  <c r="Z1702" i="7"/>
  <c r="Y1706" i="7"/>
  <c r="Z1718" i="7"/>
  <c r="Y1722" i="7"/>
  <c r="Z1734" i="7"/>
  <c r="Y1738" i="7"/>
  <c r="Z1750" i="7"/>
  <c r="Y1758" i="7"/>
  <c r="Z1766" i="7"/>
  <c r="Z1794" i="7"/>
  <c r="Z1846" i="7"/>
  <c r="Z1751" i="7"/>
  <c r="Y1759" i="7"/>
  <c r="Z1767" i="7"/>
  <c r="Y1775" i="7"/>
  <c r="Z1775" i="7"/>
  <c r="Y1791" i="7"/>
  <c r="Z1791" i="7"/>
  <c r="Z1752" i="7"/>
  <c r="Y1756" i="7"/>
  <c r="Z1768" i="7"/>
  <c r="Y1772" i="7"/>
  <c r="Z1778" i="7"/>
  <c r="Y1782" i="7"/>
  <c r="Y1796" i="7"/>
  <c r="Y1832" i="7"/>
  <c r="Y1776" i="7"/>
  <c r="Z1788" i="7"/>
  <c r="Y1792" i="7"/>
  <c r="Y1799" i="7"/>
  <c r="Z1799" i="7"/>
  <c r="Y1815" i="7"/>
  <c r="Z1815" i="7"/>
  <c r="Z1836" i="7"/>
  <c r="Y1844" i="7"/>
  <c r="Y1777" i="7"/>
  <c r="Z1789" i="7"/>
  <c r="Z1798" i="7"/>
  <c r="Y1802" i="7"/>
  <c r="Z1814" i="7"/>
  <c r="Y1818" i="7"/>
  <c r="Z1831" i="7"/>
  <c r="Z1804" i="7"/>
  <c r="Y1808" i="7"/>
  <c r="Z1820" i="7"/>
  <c r="Y1824" i="7"/>
  <c r="Y1866" i="7"/>
  <c r="Z1797" i="7"/>
  <c r="Y1801" i="7"/>
  <c r="Z1813" i="7"/>
  <c r="Y1817" i="7"/>
  <c r="Z1874" i="7"/>
  <c r="Z1829" i="7"/>
  <c r="Z1833" i="7"/>
  <c r="Y1841" i="7"/>
  <c r="Y1849" i="7"/>
  <c r="Y1834" i="7"/>
  <c r="Z1838" i="7"/>
  <c r="Y1838" i="7"/>
  <c r="Z1862" i="7"/>
  <c r="Y1870" i="7"/>
  <c r="Y1835" i="7"/>
  <c r="Y1847" i="7"/>
  <c r="Z1855" i="7"/>
  <c r="Y1859" i="7"/>
  <c r="Z1848" i="7"/>
  <c r="Y1860" i="7"/>
  <c r="Z1863" i="7"/>
  <c r="Y1871" i="7"/>
  <c r="Z1879" i="7"/>
  <c r="Z1876" i="7"/>
  <c r="Z1869" i="7"/>
  <c r="Y1873" i="7"/>
  <c r="Y1850" i="7"/>
  <c r="Z1841" i="7"/>
  <c r="Y1857" i="7"/>
  <c r="Z1830" i="7"/>
  <c r="Y1852" i="7"/>
  <c r="Z2" i="7"/>
  <c r="Y14" i="7"/>
  <c r="Z14" i="7"/>
  <c r="Y18" i="7"/>
  <c r="Z30" i="7"/>
  <c r="Y34" i="7"/>
  <c r="Z46" i="7"/>
  <c r="Y50" i="7"/>
  <c r="Z62" i="7"/>
  <c r="Y66" i="7"/>
  <c r="Z78" i="7"/>
  <c r="Y82" i="7"/>
  <c r="Z94" i="7"/>
  <c r="Y98" i="7"/>
  <c r="Z110" i="7"/>
  <c r="Y114" i="7"/>
  <c r="Z126" i="7"/>
  <c r="Y130" i="7"/>
  <c r="Z142" i="7"/>
  <c r="Y146" i="7"/>
  <c r="Z158" i="7"/>
  <c r="Y162" i="7"/>
  <c r="Z174" i="7"/>
  <c r="Y178" i="7"/>
  <c r="Z190" i="7"/>
  <c r="Y194" i="7"/>
  <c r="Z206" i="7"/>
  <c r="Y210" i="7"/>
  <c r="Z3" i="7"/>
  <c r="Y15" i="7"/>
  <c r="Z23" i="7"/>
  <c r="Y31" i="7"/>
  <c r="Z39" i="7"/>
  <c r="Y47" i="7"/>
  <c r="Z55" i="7"/>
  <c r="Y63" i="7"/>
  <c r="Z71" i="7"/>
  <c r="Y79" i="7"/>
  <c r="Z87" i="7"/>
  <c r="Y95" i="7"/>
  <c r="Z103" i="7"/>
  <c r="Y111" i="7"/>
  <c r="Z119" i="7"/>
  <c r="Y127" i="7"/>
  <c r="Z135" i="7"/>
  <c r="Y143" i="7"/>
  <c r="Z151" i="7"/>
  <c r="Y159" i="7"/>
  <c r="Z167" i="7"/>
  <c r="Y175" i="7"/>
  <c r="Z183" i="7"/>
  <c r="Y191" i="7"/>
  <c r="Z199" i="7"/>
  <c r="Y207" i="7"/>
  <c r="Z215" i="7"/>
  <c r="Y8" i="7"/>
  <c r="Z20" i="7"/>
  <c r="Y24" i="7"/>
  <c r="Z36" i="7"/>
  <c r="Y40" i="7"/>
  <c r="Z52" i="7"/>
  <c r="Y56" i="7"/>
  <c r="Z68" i="7"/>
  <c r="Y72" i="7"/>
  <c r="Z84" i="7"/>
  <c r="Y88" i="7"/>
  <c r="Z100" i="7"/>
  <c r="Y104" i="7"/>
  <c r="Z116" i="7"/>
  <c r="Y120" i="7"/>
  <c r="Z132" i="7"/>
  <c r="Y136" i="7"/>
  <c r="Z148" i="7"/>
  <c r="Y152" i="7"/>
  <c r="Z164" i="7"/>
  <c r="Y168" i="7"/>
  <c r="Z180" i="7"/>
  <c r="Y184" i="7"/>
  <c r="Z196" i="7"/>
  <c r="Y200" i="7"/>
  <c r="Z212" i="7"/>
  <c r="Y216" i="7"/>
  <c r="Z13" i="7"/>
  <c r="Y21" i="7"/>
  <c r="Y25" i="7"/>
  <c r="Z37" i="7"/>
  <c r="Y41" i="7"/>
  <c r="Z53" i="7"/>
  <c r="Y57" i="7"/>
  <c r="Z69" i="7"/>
  <c r="Y73" i="7"/>
  <c r="Z85" i="7"/>
  <c r="Y89" i="7"/>
  <c r="Z101" i="7"/>
  <c r="Y105" i="7"/>
  <c r="Z117" i="7"/>
  <c r="Y121" i="7"/>
  <c r="Z133" i="7"/>
  <c r="Y137" i="7"/>
  <c r="Z149" i="7"/>
  <c r="Y153" i="7"/>
  <c r="Z165" i="7"/>
  <c r="Y169" i="7"/>
  <c r="Z181" i="7"/>
  <c r="Y185" i="7"/>
  <c r="Z197" i="7"/>
  <c r="Y201" i="7"/>
  <c r="Z213" i="7"/>
  <c r="Y217" i="7"/>
  <c r="Z221" i="7"/>
  <c r="Y225" i="7"/>
  <c r="Z237" i="7"/>
  <c r="Y241" i="7"/>
  <c r="Z253" i="7"/>
  <c r="Y257" i="7"/>
  <c r="Z269" i="7"/>
  <c r="Y273" i="7"/>
  <c r="Z285" i="7"/>
  <c r="Y289" i="7"/>
  <c r="Z301" i="7"/>
  <c r="Y305" i="7"/>
  <c r="Z317" i="7"/>
  <c r="Y321" i="7"/>
  <c r="Z333" i="7"/>
  <c r="Y337" i="7"/>
  <c r="Z349" i="7"/>
  <c r="Y353" i="7"/>
  <c r="Z365" i="7"/>
  <c r="Y369" i="7"/>
  <c r="Z381" i="7"/>
  <c r="Y385" i="7"/>
  <c r="Z397" i="7"/>
  <c r="Y401" i="7"/>
  <c r="Z413" i="7"/>
  <c r="Y417" i="7"/>
  <c r="Z429" i="7"/>
  <c r="Y433" i="7"/>
  <c r="Z445" i="7"/>
  <c r="Y449" i="7"/>
  <c r="Z461" i="7"/>
  <c r="Y465" i="7"/>
  <c r="Z477" i="7"/>
  <c r="Y481" i="7"/>
  <c r="Z493" i="7"/>
  <c r="Y497" i="7"/>
  <c r="Z509" i="7"/>
  <c r="Y513" i="7"/>
  <c r="Z525" i="7"/>
  <c r="Y529" i="7"/>
  <c r="Z541" i="7"/>
  <c r="Y545" i="7"/>
  <c r="Z557" i="7"/>
  <c r="Y561" i="7"/>
  <c r="Y226" i="7"/>
  <c r="Z234" i="7"/>
  <c r="Y242" i="7"/>
  <c r="Z250" i="7"/>
  <c r="Y258" i="7"/>
  <c r="Z266" i="7"/>
  <c r="Y274" i="7"/>
  <c r="Z282" i="7"/>
  <c r="Y290" i="7"/>
  <c r="Z298" i="7"/>
  <c r="Y306" i="7"/>
  <c r="Z314" i="7"/>
  <c r="Y322" i="7"/>
  <c r="Z330" i="7"/>
  <c r="Y338" i="7"/>
  <c r="Z346" i="7"/>
  <c r="Y354" i="7"/>
  <c r="Z362" i="7"/>
  <c r="Y370" i="7"/>
  <c r="Z378" i="7"/>
  <c r="Y386" i="7"/>
  <c r="Z394" i="7"/>
  <c r="Y402" i="7"/>
  <c r="Z410" i="7"/>
  <c r="Y418" i="7"/>
  <c r="Z426" i="7"/>
  <c r="Y434" i="7"/>
  <c r="Z442" i="7"/>
  <c r="Y450" i="7"/>
  <c r="Z458" i="7"/>
  <c r="Y466" i="7"/>
  <c r="Z474" i="7"/>
  <c r="Y482" i="7"/>
  <c r="Z490" i="7"/>
  <c r="Y498" i="7"/>
  <c r="Z506" i="7"/>
  <c r="Y514" i="7"/>
  <c r="Z522" i="7"/>
  <c r="Y530" i="7"/>
  <c r="Z538" i="7"/>
  <c r="Y546" i="7"/>
  <c r="Z554" i="7"/>
  <c r="Y562" i="7"/>
  <c r="Z223" i="7"/>
  <c r="Y227" i="7"/>
  <c r="Z239" i="7"/>
  <c r="Y243" i="7"/>
  <c r="Z255" i="7"/>
  <c r="Y259" i="7"/>
  <c r="Z271" i="7"/>
  <c r="Y275" i="7"/>
  <c r="Z287" i="7"/>
  <c r="Y291" i="7"/>
  <c r="Z303" i="7"/>
  <c r="Y307" i="7"/>
  <c r="Z319" i="7"/>
  <c r="Y323" i="7"/>
  <c r="Z335" i="7"/>
  <c r="Y339" i="7"/>
  <c r="Z351" i="7"/>
  <c r="Y355" i="7"/>
  <c r="Z367" i="7"/>
  <c r="Y371" i="7"/>
  <c r="Z383" i="7"/>
  <c r="Y387" i="7"/>
  <c r="Z399" i="7"/>
  <c r="Y403" i="7"/>
  <c r="Z415" i="7"/>
  <c r="Y419" i="7"/>
  <c r="Z431" i="7"/>
  <c r="Y435" i="7"/>
  <c r="Z447" i="7"/>
  <c r="Y451" i="7"/>
  <c r="Z463" i="7"/>
  <c r="Y467" i="7"/>
  <c r="Z479" i="7"/>
  <c r="Y483" i="7"/>
  <c r="Z495" i="7"/>
  <c r="Y499" i="7"/>
  <c r="Z511" i="7"/>
  <c r="Y515" i="7"/>
  <c r="Z527" i="7"/>
  <c r="Y531" i="7"/>
  <c r="Z543" i="7"/>
  <c r="Y547" i="7"/>
  <c r="Z559" i="7"/>
  <c r="Y563" i="7"/>
  <c r="Y567" i="7"/>
  <c r="Z567" i="7"/>
  <c r="Z224" i="7"/>
  <c r="Y228" i="7"/>
  <c r="Z240" i="7"/>
  <c r="Y244" i="7"/>
  <c r="Z256" i="7"/>
  <c r="Y260" i="7"/>
  <c r="Z272" i="7"/>
  <c r="Y276" i="7"/>
  <c r="Z288" i="7"/>
  <c r="Y292" i="7"/>
  <c r="Z304" i="7"/>
  <c r="Y308" i="7"/>
  <c r="Z320" i="7"/>
  <c r="Y324" i="7"/>
  <c r="Z336" i="7"/>
  <c r="Y340" i="7"/>
  <c r="Z352" i="7"/>
  <c r="Y356" i="7"/>
  <c r="Z368" i="7"/>
  <c r="Y372" i="7"/>
  <c r="Z384" i="7"/>
  <c r="Y388" i="7"/>
  <c r="Z400" i="7"/>
  <c r="Y404" i="7"/>
  <c r="Z416" i="7"/>
  <c r="Y420" i="7"/>
  <c r="Z432" i="7"/>
  <c r="Y436" i="7"/>
  <c r="Z448" i="7"/>
  <c r="Y452" i="7"/>
  <c r="Z464" i="7"/>
  <c r="Y468" i="7"/>
  <c r="Z480" i="7"/>
  <c r="Y484" i="7"/>
  <c r="Z496" i="7"/>
  <c r="Y500" i="7"/>
  <c r="Z512" i="7"/>
  <c r="Y516" i="7"/>
  <c r="Z528" i="7"/>
  <c r="Y532" i="7"/>
  <c r="Z544" i="7"/>
  <c r="Y548" i="7"/>
  <c r="Z560" i="7"/>
  <c r="Y564" i="7"/>
  <c r="Z566" i="7"/>
  <c r="Y570" i="7"/>
  <c r="Z582" i="7"/>
  <c r="Y586" i="7"/>
  <c r="Z598" i="7"/>
  <c r="Y602" i="7"/>
  <c r="Z614" i="7"/>
  <c r="Y618" i="7"/>
  <c r="Z630" i="7"/>
  <c r="Y634" i="7"/>
  <c r="Z646" i="7"/>
  <c r="Y650" i="7"/>
  <c r="Z662" i="7"/>
  <c r="Y666" i="7"/>
  <c r="Z678" i="7"/>
  <c r="Y682" i="7"/>
  <c r="Z694" i="7"/>
  <c r="Y698" i="7"/>
  <c r="Z710" i="7"/>
  <c r="Y714" i="7"/>
  <c r="Z726" i="7"/>
  <c r="Y730" i="7"/>
  <c r="Z742" i="7"/>
  <c r="Y746" i="7"/>
  <c r="Z758" i="7"/>
  <c r="Y762" i="7"/>
  <c r="Z774" i="7"/>
  <c r="Y778" i="7"/>
  <c r="Z790" i="7"/>
  <c r="Y794" i="7"/>
  <c r="Z806" i="7"/>
  <c r="Y810" i="7"/>
  <c r="Z822" i="7"/>
  <c r="Y826" i="7"/>
  <c r="Z838" i="7"/>
  <c r="Y842" i="7"/>
  <c r="Z854" i="7"/>
  <c r="Y858" i="7"/>
  <c r="Y571" i="7"/>
  <c r="Z579" i="7"/>
  <c r="Y587" i="7"/>
  <c r="Z595" i="7"/>
  <c r="Y603" i="7"/>
  <c r="Z611" i="7"/>
  <c r="Y619" i="7"/>
  <c r="Z627" i="7"/>
  <c r="Y635" i="7"/>
  <c r="Z643" i="7"/>
  <c r="Y651" i="7"/>
  <c r="Z659" i="7"/>
  <c r="Y667" i="7"/>
  <c r="Z675" i="7"/>
  <c r="Y683" i="7"/>
  <c r="Z691" i="7"/>
  <c r="Y699" i="7"/>
  <c r="Z707" i="7"/>
  <c r="Y715" i="7"/>
  <c r="Z723" i="7"/>
  <c r="Y731" i="7"/>
  <c r="Z739" i="7"/>
  <c r="Y747" i="7"/>
  <c r="Z755" i="7"/>
  <c r="Y763" i="7"/>
  <c r="Z771" i="7"/>
  <c r="Y779" i="7"/>
  <c r="Z787" i="7"/>
  <c r="Y795" i="7"/>
  <c r="Z803" i="7"/>
  <c r="Y811" i="7"/>
  <c r="Z819" i="7"/>
  <c r="Y827" i="7"/>
  <c r="Z835" i="7"/>
  <c r="Y843" i="7"/>
  <c r="Z851" i="7"/>
  <c r="Y859" i="7"/>
  <c r="Z867" i="7"/>
  <c r="Y871" i="7"/>
  <c r="Z871" i="7"/>
  <c r="Z876" i="7"/>
  <c r="Y878" i="7"/>
  <c r="Y880" i="7"/>
  <c r="Z882" i="7"/>
  <c r="Y887" i="7"/>
  <c r="Z887" i="7"/>
  <c r="Z892" i="7"/>
  <c r="Y894" i="7"/>
  <c r="Y896" i="7"/>
  <c r="Z898" i="7"/>
  <c r="Y903" i="7"/>
  <c r="Z903" i="7"/>
  <c r="Z908" i="7"/>
  <c r="Y910" i="7"/>
  <c r="Y912" i="7"/>
  <c r="Z914" i="7"/>
  <c r="Z580" i="7"/>
  <c r="Y584" i="7"/>
  <c r="Z596" i="7"/>
  <c r="Y600" i="7"/>
  <c r="Z612" i="7"/>
  <c r="Y616" i="7"/>
  <c r="Z628" i="7"/>
  <c r="Y632" i="7"/>
  <c r="Z644" i="7"/>
  <c r="Y648" i="7"/>
  <c r="Z660" i="7"/>
  <c r="Y664" i="7"/>
  <c r="Z676" i="7"/>
  <c r="Y680" i="7"/>
  <c r="Z692" i="7"/>
  <c r="Y696" i="7"/>
  <c r="Z708" i="7"/>
  <c r="Y712" i="7"/>
  <c r="Z724" i="7"/>
  <c r="Y728" i="7"/>
  <c r="Z740" i="7"/>
  <c r="Y744" i="7"/>
  <c r="Z756" i="7"/>
  <c r="Y760" i="7"/>
  <c r="Z772" i="7"/>
  <c r="Y776" i="7"/>
  <c r="Z788" i="7"/>
  <c r="Y792" i="7"/>
  <c r="Z804" i="7"/>
  <c r="Y808" i="7"/>
  <c r="Z820" i="7"/>
  <c r="Y824" i="7"/>
  <c r="Z836" i="7"/>
  <c r="Y840" i="7"/>
  <c r="Z852" i="7"/>
  <c r="Y856" i="7"/>
  <c r="Z868" i="7"/>
  <c r="Y923" i="7"/>
  <c r="Z923" i="7"/>
  <c r="Z569" i="7"/>
  <c r="Y573" i="7"/>
  <c r="Z585" i="7"/>
  <c r="Y589" i="7"/>
  <c r="Z601" i="7"/>
  <c r="Y605" i="7"/>
  <c r="Z617" i="7"/>
  <c r="Y621" i="7"/>
  <c r="Z633" i="7"/>
  <c r="Y637" i="7"/>
  <c r="Z649" i="7"/>
  <c r="Y653" i="7"/>
  <c r="Z665" i="7"/>
  <c r="Y669" i="7"/>
  <c r="Z681" i="7"/>
  <c r="Y685" i="7"/>
  <c r="Z697" i="7"/>
  <c r="Y701" i="7"/>
  <c r="Z713" i="7"/>
  <c r="Y717" i="7"/>
  <c r="Z729" i="7"/>
  <c r="Y733" i="7"/>
  <c r="Z745" i="7"/>
  <c r="Y749" i="7"/>
  <c r="Z761" i="7"/>
  <c r="Y765" i="7"/>
  <c r="Z777" i="7"/>
  <c r="Y781" i="7"/>
  <c r="Z793" i="7"/>
  <c r="Y797" i="7"/>
  <c r="Z809" i="7"/>
  <c r="Y813" i="7"/>
  <c r="Z825" i="7"/>
  <c r="Y829" i="7"/>
  <c r="Z841" i="7"/>
  <c r="Y845" i="7"/>
  <c r="Z857" i="7"/>
  <c r="Y861" i="7"/>
  <c r="Y869" i="7"/>
  <c r="Z869" i="7"/>
  <c r="Z926" i="7"/>
  <c r="Y930" i="7"/>
  <c r="Z942" i="7"/>
  <c r="Y946" i="7"/>
  <c r="Z958" i="7"/>
  <c r="Y962" i="7"/>
  <c r="Z974" i="7"/>
  <c r="Y978" i="7"/>
  <c r="Z990" i="7"/>
  <c r="Y994" i="7"/>
  <c r="Z1006" i="7"/>
  <c r="Y1010" i="7"/>
  <c r="Z1022" i="7"/>
  <c r="Y1026" i="7"/>
  <c r="Z1038" i="7"/>
  <c r="Y1042" i="7"/>
  <c r="Z1054" i="7"/>
  <c r="Y1058" i="7"/>
  <c r="Z1070" i="7"/>
  <c r="Y1074" i="7"/>
  <c r="Z1086" i="7"/>
  <c r="Y1090" i="7"/>
  <c r="Z931" i="7"/>
  <c r="Y939" i="7"/>
  <c r="Z947" i="7"/>
  <c r="Y955" i="7"/>
  <c r="Z963" i="7"/>
  <c r="Y971" i="7"/>
  <c r="Z979" i="7"/>
  <c r="Y987" i="7"/>
  <c r="Z995" i="7"/>
  <c r="Y1003" i="7"/>
  <c r="Z1011" i="7"/>
  <c r="Y1019" i="7"/>
  <c r="Z1027" i="7"/>
  <c r="Y1035" i="7"/>
  <c r="Z1043" i="7"/>
  <c r="Y1051" i="7"/>
  <c r="Z1059" i="7"/>
  <c r="Y1067" i="7"/>
  <c r="Z1075" i="7"/>
  <c r="Y1083" i="7"/>
  <c r="Z920" i="7"/>
  <c r="Y924" i="7"/>
  <c r="Z936" i="7"/>
  <c r="Y940" i="7"/>
  <c r="Z952" i="7"/>
  <c r="Y956" i="7"/>
  <c r="Z968" i="7"/>
  <c r="Y972" i="7"/>
  <c r="Z984" i="7"/>
  <c r="Y988" i="7"/>
  <c r="Z1000" i="7"/>
  <c r="Y1004" i="7"/>
  <c r="Z1016" i="7"/>
  <c r="Y1020" i="7"/>
  <c r="Z1032" i="7"/>
  <c r="Y1036" i="7"/>
  <c r="Z1048" i="7"/>
  <c r="Y1052" i="7"/>
  <c r="Z1064" i="7"/>
  <c r="Y1068" i="7"/>
  <c r="Z1080" i="7"/>
  <c r="Y1084" i="7"/>
  <c r="Y1094" i="7"/>
  <c r="Y873" i="7"/>
  <c r="Z885" i="7"/>
  <c r="Y889" i="7"/>
  <c r="Z901" i="7"/>
  <c r="Y905" i="7"/>
  <c r="Z921" i="7"/>
  <c r="Y925" i="7"/>
  <c r="Z937" i="7"/>
  <c r="Y941" i="7"/>
  <c r="Z953" i="7"/>
  <c r="Y957" i="7"/>
  <c r="Z969" i="7"/>
  <c r="Y973" i="7"/>
  <c r="Z985" i="7"/>
  <c r="Y989" i="7"/>
  <c r="Z1001" i="7"/>
  <c r="Y1005" i="7"/>
  <c r="Z1017" i="7"/>
  <c r="Y1021" i="7"/>
  <c r="Z1033" i="7"/>
  <c r="Y1037" i="7"/>
  <c r="Z1049" i="7"/>
  <c r="Y1053" i="7"/>
  <c r="Z1065" i="7"/>
  <c r="Y1069" i="7"/>
  <c r="Z1081" i="7"/>
  <c r="Y1085" i="7"/>
  <c r="Z1104" i="7"/>
  <c r="Y1108" i="7"/>
  <c r="Z1120" i="7"/>
  <c r="Y1124" i="7"/>
  <c r="Z1136" i="7"/>
  <c r="Y1140" i="7"/>
  <c r="Z1152" i="7"/>
  <c r="Y1156" i="7"/>
  <c r="Z1168" i="7"/>
  <c r="Y1172" i="7"/>
  <c r="Z1184" i="7"/>
  <c r="Y1188" i="7"/>
  <c r="Z1200" i="7"/>
  <c r="Y1204" i="7"/>
  <c r="Z1216" i="7"/>
  <c r="Y1220" i="7"/>
  <c r="Z1232" i="7"/>
  <c r="Y1236" i="7"/>
  <c r="Z1248" i="7"/>
  <c r="Y1252" i="7"/>
  <c r="Y1093" i="7"/>
  <c r="Z1101" i="7"/>
  <c r="Y1109" i="7"/>
  <c r="Z1117" i="7"/>
  <c r="Y1125" i="7"/>
  <c r="Z1133" i="7"/>
  <c r="Y1141" i="7"/>
  <c r="Z1149" i="7"/>
  <c r="Y1157" i="7"/>
  <c r="Z1165" i="7"/>
  <c r="Y1173" i="7"/>
  <c r="Z1181" i="7"/>
  <c r="Y1189" i="7"/>
  <c r="Z1197" i="7"/>
  <c r="Y1205" i="7"/>
  <c r="Z1213" i="7"/>
  <c r="Y1221" i="7"/>
  <c r="Z1229" i="7"/>
  <c r="Y1237" i="7"/>
  <c r="Z1245" i="7"/>
  <c r="Y1253" i="7"/>
  <c r="Y1257" i="7"/>
  <c r="Y1098" i="7"/>
  <c r="Z1110" i="7"/>
  <c r="Y1114" i="7"/>
  <c r="Z1126" i="7"/>
  <c r="Y1130" i="7"/>
  <c r="Z1142" i="7"/>
  <c r="Y1146" i="7"/>
  <c r="Z1158" i="7"/>
  <c r="Y1162" i="7"/>
  <c r="Z1174" i="7"/>
  <c r="Y1178" i="7"/>
  <c r="Z1190" i="7"/>
  <c r="Y1194" i="7"/>
  <c r="Z1206" i="7"/>
  <c r="Y1210" i="7"/>
  <c r="Z1222" i="7"/>
  <c r="Y1226" i="7"/>
  <c r="Z1238" i="7"/>
  <c r="Y1242" i="7"/>
  <c r="Z1254" i="7"/>
  <c r="Y1275" i="7"/>
  <c r="Z1275" i="7"/>
  <c r="Y1095" i="7"/>
  <c r="Z1095" i="7"/>
  <c r="Y1099" i="7"/>
  <c r="Z1111" i="7"/>
  <c r="Y1115" i="7"/>
  <c r="Z1127" i="7"/>
  <c r="Y1131" i="7"/>
  <c r="Z1143" i="7"/>
  <c r="Y1147" i="7"/>
  <c r="Z1159" i="7"/>
  <c r="Y1163" i="7"/>
  <c r="Z1175" i="7"/>
  <c r="Y1179" i="7"/>
  <c r="Z1191" i="7"/>
  <c r="Y1195" i="7"/>
  <c r="Z1207" i="7"/>
  <c r="Y1211" i="7"/>
  <c r="Z1223" i="7"/>
  <c r="Y1227" i="7"/>
  <c r="Z1239" i="7"/>
  <c r="Y1243" i="7"/>
  <c r="Y1263" i="7"/>
  <c r="Z1278" i="7"/>
  <c r="Y1282" i="7"/>
  <c r="Z1294" i="7"/>
  <c r="Y1298" i="7"/>
  <c r="Z1310" i="7"/>
  <c r="Y1314" i="7"/>
  <c r="Z1326" i="7"/>
  <c r="Y1330" i="7"/>
  <c r="Z1342" i="7"/>
  <c r="Y1346" i="7"/>
  <c r="Z1279" i="7"/>
  <c r="Y1287" i="7"/>
  <c r="Z1295" i="7"/>
  <c r="Y1303" i="7"/>
  <c r="Z1311" i="7"/>
  <c r="Y1319" i="7"/>
  <c r="Z1327" i="7"/>
  <c r="Y1335" i="7"/>
  <c r="Z1256" i="7"/>
  <c r="Y1260" i="7"/>
  <c r="Z1260" i="7"/>
  <c r="Z1276" i="7"/>
  <c r="Y1280" i="7"/>
  <c r="Z1292" i="7"/>
  <c r="Y1296" i="7"/>
  <c r="Z1308" i="7"/>
  <c r="Y1312" i="7"/>
  <c r="Z1324" i="7"/>
  <c r="Y1328" i="7"/>
  <c r="Z1261" i="7"/>
  <c r="Y1265" i="7"/>
  <c r="Z1277" i="7"/>
  <c r="Y1281" i="7"/>
  <c r="Z1293" i="7"/>
  <c r="Y1297" i="7"/>
  <c r="Z1309" i="7"/>
  <c r="Y1313" i="7"/>
  <c r="Z1325" i="7"/>
  <c r="Y1329" i="7"/>
  <c r="Z1339" i="7"/>
  <c r="Z1350" i="7"/>
  <c r="Y1354" i="7"/>
  <c r="Z1366" i="7"/>
  <c r="Y1370" i="7"/>
  <c r="Z1382" i="7"/>
  <c r="Y1386" i="7"/>
  <c r="Z1398" i="7"/>
  <c r="Y1402" i="7"/>
  <c r="Z1414" i="7"/>
  <c r="Y1418" i="7"/>
  <c r="Y1351" i="7"/>
  <c r="Z1359" i="7"/>
  <c r="Y1367" i="7"/>
  <c r="Z1375" i="7"/>
  <c r="Y1383" i="7"/>
  <c r="Z1391" i="7"/>
  <c r="Y1399" i="7"/>
  <c r="Z1407" i="7"/>
  <c r="Y1415" i="7"/>
  <c r="Z1423" i="7"/>
  <c r="Z1511" i="7"/>
  <c r="Y1519" i="7"/>
  <c r="Z1543" i="7"/>
  <c r="Y1344" i="7"/>
  <c r="Z1344" i="7"/>
  <c r="Z1360" i="7"/>
  <c r="Y1360" i="7"/>
  <c r="Z1376" i="7"/>
  <c r="Y1376" i="7"/>
  <c r="Z1392" i="7"/>
  <c r="Y1392" i="7"/>
  <c r="Z1408" i="7"/>
  <c r="Y1408" i="7"/>
  <c r="Z1424" i="7"/>
  <c r="Y1426" i="7"/>
  <c r="Y1431" i="7"/>
  <c r="Z1431" i="7"/>
  <c r="Y1433" i="7"/>
  <c r="Z1437" i="7"/>
  <c r="Z1438" i="7"/>
  <c r="Y1439" i="7"/>
  <c r="Z1447" i="7"/>
  <c r="Y1451" i="7"/>
  <c r="Z1463" i="7"/>
  <c r="Y1467" i="7"/>
  <c r="Z1479" i="7"/>
  <c r="Y1483" i="7"/>
  <c r="Z1349" i="7"/>
  <c r="Y1353" i="7"/>
  <c r="Z1365" i="7"/>
  <c r="Y1369" i="7"/>
  <c r="Z1381" i="7"/>
  <c r="Y1385" i="7"/>
  <c r="Z1397" i="7"/>
  <c r="Y1401" i="7"/>
  <c r="Z1413" i="7"/>
  <c r="Y1417" i="7"/>
  <c r="Y1499" i="7"/>
  <c r="Z1523" i="7"/>
  <c r="Y1531" i="7"/>
  <c r="Z1551" i="7"/>
  <c r="Y1555" i="7"/>
  <c r="Z1567" i="7"/>
  <c r="Y1571" i="7"/>
  <c r="Z1583" i="7"/>
  <c r="Y1587" i="7"/>
  <c r="Z1599" i="7"/>
  <c r="Y1603" i="7"/>
  <c r="Z1428" i="7"/>
  <c r="Y1436" i="7"/>
  <c r="Y1444" i="7"/>
  <c r="Z1452" i="7"/>
  <c r="Y1460" i="7"/>
  <c r="Z1468" i="7"/>
  <c r="Y1476" i="7"/>
  <c r="Z1484" i="7"/>
  <c r="Z1495" i="7"/>
  <c r="Z1445" i="7"/>
  <c r="Y1449" i="7"/>
  <c r="Z1461" i="7"/>
  <c r="Y1465" i="7"/>
  <c r="Z1477" i="7"/>
  <c r="Y1481" i="7"/>
  <c r="Z1446" i="7"/>
  <c r="Y1450" i="7"/>
  <c r="Z1462" i="7"/>
  <c r="Y1466" i="7"/>
  <c r="Z1478" i="7"/>
  <c r="Y1482" i="7"/>
  <c r="Y1489" i="7"/>
  <c r="Z1504" i="7"/>
  <c r="Y1512" i="7"/>
  <c r="Z1520" i="7"/>
  <c r="Y1528" i="7"/>
  <c r="Z1536" i="7"/>
  <c r="Y1544" i="7"/>
  <c r="Z1552" i="7"/>
  <c r="Y1560" i="7"/>
  <c r="Z1568" i="7"/>
  <c r="Y1576" i="7"/>
  <c r="Z1584" i="7"/>
  <c r="Y1592" i="7"/>
  <c r="Z1600" i="7"/>
  <c r="Y1608" i="7"/>
  <c r="Y1612" i="7"/>
  <c r="Y1614" i="7"/>
  <c r="Z1616" i="7"/>
  <c r="Y1621" i="7"/>
  <c r="Z1621" i="7"/>
  <c r="Z1626" i="7"/>
  <c r="Y1628" i="7"/>
  <c r="Y1630" i="7"/>
  <c r="Z1632" i="7"/>
  <c r="Y1637" i="7"/>
  <c r="Z1637" i="7"/>
  <c r="Z1642" i="7"/>
  <c r="Y1644" i="7"/>
  <c r="Y1646" i="7"/>
  <c r="Z1648" i="7"/>
  <c r="Y1653" i="7"/>
  <c r="Z1653" i="7"/>
  <c r="Z1661" i="7"/>
  <c r="Y1665" i="7"/>
  <c r="Y1505" i="7"/>
  <c r="Z1509" i="7"/>
  <c r="Y1521" i="7"/>
  <c r="Z1525" i="7"/>
  <c r="Y1537" i="7"/>
  <c r="Z1541" i="7"/>
  <c r="Y1553" i="7"/>
  <c r="Z1557" i="7"/>
  <c r="Y1569" i="7"/>
  <c r="Z1573" i="7"/>
  <c r="Y1585" i="7"/>
  <c r="Z1589" i="7"/>
  <c r="Y1601" i="7"/>
  <c r="Z1605" i="7"/>
  <c r="Z1657" i="7"/>
  <c r="Y1490" i="7"/>
  <c r="Z1494" i="7"/>
  <c r="Y1498" i="7"/>
  <c r="Z1510" i="7"/>
  <c r="Y1514" i="7"/>
  <c r="Z1526" i="7"/>
  <c r="Y1530" i="7"/>
  <c r="Z1542" i="7"/>
  <c r="Y1546" i="7"/>
  <c r="Z1558" i="7"/>
  <c r="Y1562" i="7"/>
  <c r="Z1574" i="7"/>
  <c r="Y1578" i="7"/>
  <c r="Z1590" i="7"/>
  <c r="Y1594" i="7"/>
  <c r="Z1606" i="7"/>
  <c r="Y1610" i="7"/>
  <c r="Y1662" i="7"/>
  <c r="Z1670" i="7"/>
  <c r="Z1619" i="7"/>
  <c r="Y1623" i="7"/>
  <c r="Z1635" i="7"/>
  <c r="Y1639" i="7"/>
  <c r="Z1651" i="7"/>
  <c r="Y1655" i="7"/>
  <c r="Y1663" i="7"/>
  <c r="Z1671" i="7"/>
  <c r="Z1679" i="7"/>
  <c r="Y1683" i="7"/>
  <c r="Z1695" i="7"/>
  <c r="Y1699" i="7"/>
  <c r="Z1711" i="7"/>
  <c r="Y1715" i="7"/>
  <c r="Z1727" i="7"/>
  <c r="Y1731" i="7"/>
  <c r="Z1743" i="7"/>
  <c r="Y1747" i="7"/>
  <c r="Z1660" i="7"/>
  <c r="Y1664" i="7"/>
  <c r="Z1676" i="7"/>
  <c r="Y1684" i="7"/>
  <c r="Z1692" i="7"/>
  <c r="Y1700" i="7"/>
  <c r="Z1708" i="7"/>
  <c r="Y1716" i="7"/>
  <c r="Z1724" i="7"/>
  <c r="Y1732" i="7"/>
  <c r="Z1740" i="7"/>
  <c r="Z1748" i="7"/>
  <c r="Y1749" i="7"/>
  <c r="Z1761" i="7"/>
  <c r="Y1765" i="7"/>
  <c r="Z1840" i="7"/>
  <c r="Z1677" i="7"/>
  <c r="Y1681" i="7"/>
  <c r="Z1693" i="7"/>
  <c r="Y1697" i="7"/>
  <c r="Z1709" i="7"/>
  <c r="Y1713" i="7"/>
  <c r="Z1725" i="7"/>
  <c r="Y1729" i="7"/>
  <c r="Z1741" i="7"/>
  <c r="Y1745" i="7"/>
  <c r="Z1774" i="7"/>
  <c r="Z1682" i="7"/>
  <c r="Y1686" i="7"/>
  <c r="Z1698" i="7"/>
  <c r="Y1702" i="7"/>
  <c r="Z1714" i="7"/>
  <c r="Y1718" i="7"/>
  <c r="Z1730" i="7"/>
  <c r="Y1734" i="7"/>
  <c r="Z1746" i="7"/>
  <c r="Y1754" i="7"/>
  <c r="Z1762" i="7"/>
  <c r="Y1770" i="7"/>
  <c r="Y1755" i="7"/>
  <c r="Z1763" i="7"/>
  <c r="Y1771" i="7"/>
  <c r="Y1787" i="7"/>
  <c r="Z1787" i="7"/>
  <c r="Y1752" i="7"/>
  <c r="Z1764" i="7"/>
  <c r="Y1768" i="7"/>
  <c r="Y1778" i="7"/>
  <c r="Z1790" i="7"/>
  <c r="Z1796" i="7"/>
  <c r="Z1784" i="7"/>
  <c r="Y1788" i="7"/>
  <c r="Y1811" i="7"/>
  <c r="Z1811" i="7"/>
  <c r="Y1827" i="7"/>
  <c r="Z1827" i="7"/>
  <c r="Y1836" i="7"/>
  <c r="Z1785" i="7"/>
  <c r="Y1789" i="7"/>
  <c r="Y1793" i="7"/>
  <c r="Y1798" i="7"/>
  <c r="Z1810" i="7"/>
  <c r="Y1814" i="7"/>
  <c r="Z1826" i="7"/>
  <c r="Y1831" i="7"/>
  <c r="Z1800" i="7"/>
  <c r="Y1804" i="7"/>
  <c r="Z1816" i="7"/>
  <c r="Y1820" i="7"/>
  <c r="Z1809" i="7"/>
  <c r="Y1813" i="7"/>
  <c r="Z1825" i="7"/>
  <c r="Y1858" i="7"/>
  <c r="Y1874" i="7"/>
  <c r="Y1829" i="7"/>
  <c r="Y1837" i="7"/>
  <c r="Z1857" i="7"/>
  <c r="Y1830" i="7"/>
  <c r="Z1834" i="7"/>
  <c r="Y1862" i="7"/>
  <c r="Z1843" i="7"/>
  <c r="Z1851" i="7"/>
  <c r="Y1856" i="7"/>
  <c r="Y1867" i="7"/>
  <c r="Z1875" i="7"/>
  <c r="Y1868" i="7"/>
  <c r="Z1872" i="7"/>
  <c r="Y1872" i="7"/>
  <c r="Z1865" i="7"/>
  <c r="Y1869" i="7"/>
  <c r="Z1881" i="7"/>
  <c r="Y1809" i="7"/>
  <c r="Z1821" i="7"/>
  <c r="Y1825" i="7"/>
  <c r="Y1833" i="7"/>
  <c r="Z1847" i="7"/>
  <c r="Y1851" i="7"/>
  <c r="Y1855" i="7"/>
  <c r="Y1879" i="7"/>
</calcChain>
</file>

<file path=xl/sharedStrings.xml><?xml version="1.0" encoding="utf-8"?>
<sst xmlns="http://schemas.openxmlformats.org/spreadsheetml/2006/main" count="71" uniqueCount="66">
  <si>
    <t>コード</t>
    <phoneticPr fontId="2"/>
  </si>
  <si>
    <t>銘柄名</t>
    <rPh sb="0" eb="3">
      <t>メイガラメイ</t>
    </rPh>
    <phoneticPr fontId="2"/>
  </si>
  <si>
    <t>株価</t>
    <rPh sb="0" eb="2">
      <t>カブカ</t>
    </rPh>
    <phoneticPr fontId="2"/>
  </si>
  <si>
    <t>時刻</t>
    <rPh sb="0" eb="2">
      <t>ジコク</t>
    </rPh>
    <phoneticPr fontId="2"/>
  </si>
  <si>
    <t>始値</t>
    <rPh sb="0" eb="2">
      <t>ハジメネ</t>
    </rPh>
    <phoneticPr fontId="2"/>
  </si>
  <si>
    <t>高値</t>
    <rPh sb="0" eb="2">
      <t>タカネ</t>
    </rPh>
    <phoneticPr fontId="2"/>
  </si>
  <si>
    <t>安値</t>
    <rPh sb="0" eb="2">
      <t>ヤスネ</t>
    </rPh>
    <phoneticPr fontId="2"/>
  </si>
  <si>
    <t>始値比率</t>
    <rPh sb="0" eb="2">
      <t>ハジメネ</t>
    </rPh>
    <rPh sb="2" eb="4">
      <t>ヒリツ</t>
    </rPh>
    <phoneticPr fontId="2"/>
  </si>
  <si>
    <t>高値比率</t>
    <rPh sb="0" eb="2">
      <t>タカネ</t>
    </rPh>
    <rPh sb="2" eb="4">
      <t>ヒリツ</t>
    </rPh>
    <phoneticPr fontId="2"/>
  </si>
  <si>
    <t>前日比率</t>
    <rPh sb="0" eb="2">
      <t>ゼンジツ</t>
    </rPh>
    <rPh sb="2" eb="4">
      <t>ヒリツ</t>
    </rPh>
    <phoneticPr fontId="2"/>
  </si>
  <si>
    <t>VWAP</t>
    <phoneticPr fontId="2"/>
  </si>
  <si>
    <t>出来高</t>
    <rPh sb="0" eb="3">
      <t>デキダカ</t>
    </rPh>
    <phoneticPr fontId="2"/>
  </si>
  <si>
    <t>決算発表日</t>
    <rPh sb="0" eb="5">
      <t>ケッサンハッピョウビ</t>
    </rPh>
    <phoneticPr fontId="2"/>
  </si>
  <si>
    <t>年初来高値</t>
    <rPh sb="0" eb="3">
      <t>ネンショライ</t>
    </rPh>
    <rPh sb="3" eb="5">
      <t>タカネ</t>
    </rPh>
    <phoneticPr fontId="1"/>
  </si>
  <si>
    <t>年初来安値</t>
    <rPh sb="0" eb="3">
      <t>ネンショライ</t>
    </rPh>
    <rPh sb="3" eb="5">
      <t>ヤスネ</t>
    </rPh>
    <phoneticPr fontId="1"/>
  </si>
  <si>
    <t>前日比 (円)</t>
    <rPh sb="0" eb="2">
      <t>ゼンジツ</t>
    </rPh>
    <rPh sb="2" eb="3">
      <t>ヒ</t>
    </rPh>
    <rPh sb="5" eb="6">
      <t>エン</t>
    </rPh>
    <phoneticPr fontId="2"/>
  </si>
  <si>
    <t>売買代金(千円）</t>
    <rPh sb="0" eb="4">
      <t>バイバイダイキン</t>
    </rPh>
    <phoneticPr fontId="2"/>
  </si>
  <si>
    <t>銘柄セット画面</t>
    <rPh sb="0" eb="2">
      <t>メイガラ</t>
    </rPh>
    <rPh sb="5" eb="7">
      <t>ガメン</t>
    </rPh>
    <phoneticPr fontId="2"/>
  </si>
  <si>
    <t>手入力</t>
    <rPh sb="0" eb="3">
      <t>テニュウリョク</t>
    </rPh>
    <phoneticPr fontId="2"/>
  </si>
  <si>
    <t>VWAP乖離率</t>
    <rPh sb="4" eb="7">
      <t>カイリリツ</t>
    </rPh>
    <phoneticPr fontId="2"/>
  </si>
  <si>
    <t>平均取得価額</t>
    <rPh sb="0" eb="6">
      <t>ヘイキンシュトクカガク</t>
    </rPh>
    <phoneticPr fontId="2"/>
  </si>
  <si>
    <t>評価損益額</t>
    <rPh sb="0" eb="5">
      <t>ヒョウカソンエキガク</t>
    </rPh>
    <phoneticPr fontId="2"/>
  </si>
  <si>
    <t>評価損益率</t>
    <rPh sb="0" eb="5">
      <t>ヒョウカソンエキリツ</t>
    </rPh>
    <phoneticPr fontId="2"/>
  </si>
  <si>
    <t>後場始値</t>
    <rPh sb="0" eb="2">
      <t>ゴバ</t>
    </rPh>
    <rPh sb="2" eb="4">
      <t>ハジメネ</t>
    </rPh>
    <phoneticPr fontId="2"/>
  </si>
  <si>
    <t>後場始値比率</t>
    <rPh sb="4" eb="6">
      <t>ヒリツ</t>
    </rPh>
    <phoneticPr fontId="2"/>
  </si>
  <si>
    <t>平均取得価額</t>
    <rPh sb="0" eb="2">
      <t>ヘイキン</t>
    </rPh>
    <rPh sb="2" eb="4">
      <t>シュトク</t>
    </rPh>
    <rPh sb="4" eb="6">
      <t>カガク</t>
    </rPh>
    <phoneticPr fontId="2"/>
  </si>
  <si>
    <t>評価損益額</t>
    <rPh sb="0" eb="4">
      <t>ヒョウカソンエキ</t>
    </rPh>
    <rPh sb="4" eb="5">
      <t>ガク</t>
    </rPh>
    <phoneticPr fontId="2"/>
  </si>
  <si>
    <t>評価損益率</t>
    <rPh sb="0" eb="5">
      <t>ヒョウカソンエキリツ</t>
    </rPh>
    <phoneticPr fontId="2"/>
  </si>
  <si>
    <t xml:space="preserve">銘柄コード </t>
  </si>
  <si>
    <t>保有数量</t>
    <rPh sb="0" eb="4">
      <t>ホユウスウリョウ</t>
    </rPh>
    <phoneticPr fontId="2"/>
  </si>
  <si>
    <t>時価評価額</t>
    <rPh sb="0" eb="2">
      <t>ジカ</t>
    </rPh>
    <rPh sb="2" eb="5">
      <t>ヒョウカガク</t>
    </rPh>
    <phoneticPr fontId="2"/>
  </si>
  <si>
    <t>保有数量</t>
    <rPh sb="0" eb="4">
      <t>ホユウスウリョウ</t>
    </rPh>
    <phoneticPr fontId="2"/>
  </si>
  <si>
    <t>時価評価額</t>
    <phoneticPr fontId="2"/>
  </si>
  <si>
    <t>安値比率</t>
    <rPh sb="0" eb="2">
      <t>ヤスネ</t>
    </rPh>
    <rPh sb="2" eb="4">
      <t>ヒリツ</t>
    </rPh>
    <phoneticPr fontId="2"/>
  </si>
  <si>
    <t>銘柄管理サンプル</t>
    <rPh sb="0" eb="2">
      <t>メイガラ</t>
    </rPh>
    <rPh sb="2" eb="4">
      <t>カンリ</t>
    </rPh>
    <phoneticPr fontId="2"/>
  </si>
  <si>
    <t>目次</t>
    <rPh sb="0" eb="2">
      <t>モクジ</t>
    </rPh>
    <phoneticPr fontId="2"/>
  </si>
  <si>
    <t>1.</t>
    <phoneticPr fontId="2"/>
  </si>
  <si>
    <t>銘柄管理</t>
    <rPh sb="0" eb="4">
      <t>メイガラカンリ</t>
    </rPh>
    <phoneticPr fontId="2"/>
  </si>
  <si>
    <t>2.</t>
  </si>
  <si>
    <t>銘柄セット</t>
    <rPh sb="0" eb="2">
      <t>メイガラ</t>
    </rPh>
    <phoneticPr fontId="2"/>
  </si>
  <si>
    <t>A列銘柄</t>
    <rPh sb="1" eb="4">
      <t>レツメイガラ</t>
    </rPh>
    <phoneticPr fontId="2"/>
  </si>
  <si>
    <t>保有銘柄</t>
    <rPh sb="0" eb="4">
      <t>ホユウメイガラ</t>
    </rPh>
    <phoneticPr fontId="2"/>
  </si>
  <si>
    <t>TOPIX100</t>
    <phoneticPr fontId="2"/>
  </si>
  <si>
    <t xml:space="preserve"> 現物保有銘柄をセットします。「保有銘柄」ボタンを押下（500銘柄まで）</t>
    <phoneticPr fontId="2"/>
  </si>
  <si>
    <t xml:space="preserve"> TOPIX100採用銘柄をセットします。「TOPIX100」ボタンを押下</t>
    <phoneticPr fontId="2"/>
  </si>
  <si>
    <t>※TOPIX100は2021年11月1日時点の銘柄です。銘柄入替が発生した場合、「取得元」シートG列を修正することで入替を反映できます。</t>
    <rPh sb="14" eb="15">
      <t>ネン</t>
    </rPh>
    <rPh sb="17" eb="18">
      <t>ガツ</t>
    </rPh>
    <rPh sb="19" eb="20">
      <t>ニチ</t>
    </rPh>
    <rPh sb="20" eb="22">
      <t>ジテン</t>
    </rPh>
    <rPh sb="23" eb="25">
      <t>メイガラ</t>
    </rPh>
    <rPh sb="41" eb="43">
      <t>シュトク</t>
    </rPh>
    <rPh sb="43" eb="44">
      <t>モト</t>
    </rPh>
    <phoneticPr fontId="2"/>
  </si>
  <si>
    <t>サンプルシートの利用方法</t>
    <rPh sb="8" eb="12">
      <t>リヨウホウホウ</t>
    </rPh>
    <phoneticPr fontId="2"/>
  </si>
  <si>
    <t>銘柄セットボタン</t>
    <rPh sb="0" eb="2">
      <t>メイガラ</t>
    </rPh>
    <phoneticPr fontId="2"/>
  </si>
  <si>
    <t>　① マーケットスピードⅡRSSに接続</t>
    <rPh sb="17" eb="19">
      <t>セツゾク</t>
    </rPh>
    <phoneticPr fontId="2"/>
  </si>
  <si>
    <t>　② 銘柄セットシートでボタンを押下し、ウォッチ銘柄をセット</t>
    <rPh sb="3" eb="5">
      <t>メイガラ</t>
    </rPh>
    <rPh sb="16" eb="18">
      <t>オウカ</t>
    </rPh>
    <rPh sb="24" eb="26">
      <t>メイガラ</t>
    </rPh>
    <phoneticPr fontId="2"/>
  </si>
  <si>
    <t>RSSの利用方法について</t>
    <rPh sb="4" eb="8">
      <t>リヨウホウホウ</t>
    </rPh>
    <phoneticPr fontId="2"/>
  </si>
  <si>
    <t>・MSII-RSSの利用方法についてはコチラ</t>
    <rPh sb="10" eb="14">
      <t>リヨウホウホウ</t>
    </rPh>
    <phoneticPr fontId="2"/>
  </si>
  <si>
    <t>オンラインヘルプ TOP</t>
    <phoneticPr fontId="2"/>
  </si>
  <si>
    <t>サンプルシート利用時の注意事項</t>
    <rPh sb="7" eb="9">
      <t>リヨウ</t>
    </rPh>
    <rPh sb="9" eb="10">
      <t>ジ</t>
    </rPh>
    <rPh sb="11" eb="13">
      <t>チュウイ</t>
    </rPh>
    <rPh sb="13" eb="15">
      <t>ジコウ</t>
    </rPh>
    <phoneticPr fontId="2"/>
  </si>
  <si>
    <t>・ 不要な項目は右クリック⇒非表示で隠すことができます。</t>
    <rPh sb="2" eb="4">
      <t>フヨウ</t>
    </rPh>
    <rPh sb="5" eb="7">
      <t>コウモク</t>
    </rPh>
    <rPh sb="8" eb="9">
      <t>ミギ</t>
    </rPh>
    <rPh sb="14" eb="17">
      <t>ヒヒョウジ</t>
    </rPh>
    <rPh sb="18" eb="19">
      <t>カク</t>
    </rPh>
    <phoneticPr fontId="2"/>
  </si>
  <si>
    <t>・TOPIX100ボタンで反映する銘柄は2021年11月1日時点の、TOPIX100組入銘柄です。</t>
    <rPh sb="13" eb="15">
      <t>ハンエイ</t>
    </rPh>
    <rPh sb="17" eb="19">
      <t>メイガラ</t>
    </rPh>
    <rPh sb="24" eb="25">
      <t>ネン</t>
    </rPh>
    <rPh sb="27" eb="28">
      <t>ガツ</t>
    </rPh>
    <rPh sb="29" eb="32">
      <t>ニチジテン</t>
    </rPh>
    <rPh sb="42" eb="46">
      <t>クミイレメイガラ</t>
    </rPh>
    <phoneticPr fontId="2"/>
  </si>
  <si>
    <t>（TOPIX100の銘柄入替が発生した場合、取得元シートG列を修正することで入替を反映できます。）</t>
    <rPh sb="22" eb="25">
      <t>シュトクモト</t>
    </rPh>
    <phoneticPr fontId="2"/>
  </si>
  <si>
    <t>銘柄セットシートで指定した銘柄の各種情報を表示</t>
    <rPh sb="0" eb="2">
      <t>メイガラ</t>
    </rPh>
    <rPh sb="9" eb="11">
      <t>シテイ</t>
    </rPh>
    <rPh sb="13" eb="15">
      <t>メイガラ</t>
    </rPh>
    <rPh sb="16" eb="20">
      <t>カクシュジョウホウ</t>
    </rPh>
    <rPh sb="21" eb="23">
      <t>ヒョウジ</t>
    </rPh>
    <phoneticPr fontId="2"/>
  </si>
  <si>
    <t>銘柄管理シートでウォッチする銘柄をセット</t>
    <rPh sb="0" eb="2">
      <t>メイガラ</t>
    </rPh>
    <rPh sb="2" eb="4">
      <t>カンリ</t>
    </rPh>
    <rPh sb="14" eb="16">
      <t>メイガラ</t>
    </rPh>
    <phoneticPr fontId="2"/>
  </si>
  <si>
    <t>　③ 銘柄管理シートに指定銘柄が反映。Excelの抽出や並び替えもご利用いただけます</t>
    <rPh sb="3" eb="5">
      <t>メイガラ</t>
    </rPh>
    <rPh sb="5" eb="7">
      <t>カンリ</t>
    </rPh>
    <rPh sb="11" eb="13">
      <t>シテイ</t>
    </rPh>
    <rPh sb="13" eb="15">
      <t>メイガラ</t>
    </rPh>
    <rPh sb="16" eb="18">
      <t>ハンエイ</t>
    </rPh>
    <rPh sb="25" eb="27">
      <t>チュウシュツ</t>
    </rPh>
    <rPh sb="28" eb="29">
      <t>ナラ</t>
    </rPh>
    <rPh sb="30" eb="31">
      <t>カ</t>
    </rPh>
    <rPh sb="34" eb="36">
      <t>リヨウ</t>
    </rPh>
    <phoneticPr fontId="2"/>
  </si>
  <si>
    <t>・ 銘柄管理シートにはVBAマクロが組まれているため、セルの移動や列の削除等の更新は行わないでください。式が正常に反映しなくなります。</t>
    <rPh sb="2" eb="4">
      <t>メイガラ</t>
    </rPh>
    <rPh sb="4" eb="6">
      <t>カンリ</t>
    </rPh>
    <rPh sb="18" eb="19">
      <t>ク</t>
    </rPh>
    <rPh sb="30" eb="32">
      <t>イドウ</t>
    </rPh>
    <rPh sb="33" eb="34">
      <t>レツ</t>
    </rPh>
    <rPh sb="35" eb="37">
      <t>サクジョ</t>
    </rPh>
    <rPh sb="37" eb="38">
      <t>トウ</t>
    </rPh>
    <rPh sb="39" eb="41">
      <t>コウシン</t>
    </rPh>
    <rPh sb="42" eb="43">
      <t>オコナ</t>
    </rPh>
    <rPh sb="52" eb="53">
      <t>シキ</t>
    </rPh>
    <rPh sb="54" eb="56">
      <t>セイジョウ</t>
    </rPh>
    <rPh sb="57" eb="59">
      <t>ハンエイ</t>
    </rPh>
    <phoneticPr fontId="2"/>
  </si>
  <si>
    <t>・ 取得元シートは更新/削除は行わないでください。銘柄取得が正常に動作しなくなります。（下記TOPIX100銘柄入替時を除く）</t>
    <rPh sb="2" eb="4">
      <t>シュトク</t>
    </rPh>
    <rPh sb="4" eb="5">
      <t>モト</t>
    </rPh>
    <rPh sb="9" eb="11">
      <t>コウシン</t>
    </rPh>
    <rPh sb="12" eb="14">
      <t>サクジョ</t>
    </rPh>
    <rPh sb="15" eb="16">
      <t>オコナ</t>
    </rPh>
    <rPh sb="25" eb="27">
      <t>メイガラ</t>
    </rPh>
    <rPh sb="27" eb="29">
      <t>シュトク</t>
    </rPh>
    <rPh sb="30" eb="32">
      <t>セイジョウ</t>
    </rPh>
    <rPh sb="33" eb="35">
      <t>ドウサ</t>
    </rPh>
    <rPh sb="44" eb="46">
      <t>カキ</t>
    </rPh>
    <rPh sb="54" eb="57">
      <t>メイガライ</t>
    </rPh>
    <rPh sb="57" eb="58">
      <t>カ</t>
    </rPh>
    <rPh sb="58" eb="59">
      <t>ジ</t>
    </rPh>
    <rPh sb="60" eb="61">
      <t>ノゾ</t>
    </rPh>
    <phoneticPr fontId="2"/>
  </si>
  <si>
    <t xml:space="preserve"> ウェブサイトや、マーケットスピードⅡよりダウンロードしたCSVからの、コピー＆ペースト（値貼りでお願いします）でのセットも可能です。</t>
    <rPh sb="45" eb="47">
      <t>アタイバ</t>
    </rPh>
    <rPh sb="50" eb="51">
      <t>ネガ</t>
    </rPh>
    <rPh sb="62" eb="64">
      <t>カノウ</t>
    </rPh>
    <phoneticPr fontId="2"/>
  </si>
  <si>
    <t>　※銘柄セットをするとフィルターは解除されます</t>
    <rPh sb="2" eb="4">
      <t>メイガラ</t>
    </rPh>
    <rPh sb="17" eb="19">
      <t>カイジョ</t>
    </rPh>
    <phoneticPr fontId="2"/>
  </si>
  <si>
    <t xml:space="preserve"> 指定銘柄をセットします。左側のA列手入力エリアに銘柄コードを半角入力して「A列銘柄」ボタンを押下（501行目 まで）</t>
    <rPh sb="13" eb="15">
      <t>ヒダリガワ</t>
    </rPh>
    <phoneticPr fontId="2"/>
  </si>
  <si>
    <t>--------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</si>
</sst>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.00%;\-0.00%"/>
    <numFmt numFmtId="177" formatCode="\+#,##0.0;\-#,##0.0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4"/>
      <color theme="1"/>
      <name val="Meiryo UI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sz val="9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メイリオ"/>
      <family val="3"/>
      <charset val="128"/>
    </font>
    <font>
      <sz val="10"/>
      <color rgb="FF000000"/>
      <name val="游ゴシック"/>
      <family val="2"/>
      <scheme val="minor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8"/>
      </right>
      <top style="thin">
        <color indexed="64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16" fillId="0" borderId="0"/>
  </cellStyleXfs>
  <cellXfs count="52">
    <xf numFmtId="0" fontId="0" fillId="0" borderId="0" xfId="0">
      <alignment vertical="center"/>
    </xf>
    <xf numFmtId="0" fontId="0" fillId="4" borderId="0" xfId="0" applyFill="1">
      <alignment vertical="center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176" fontId="4" fillId="0" borderId="1" xfId="2" applyNumberFormat="1" applyFont="1" applyBorder="1">
      <alignment vertical="center"/>
    </xf>
    <xf numFmtId="177" fontId="4" fillId="0" borderId="1" xfId="0" applyNumberFormat="1" applyFont="1" applyBorder="1">
      <alignment vertical="center"/>
    </xf>
    <xf numFmtId="38" fontId="3" fillId="0" borderId="0" xfId="1" applyFont="1">
      <alignment vertical="center"/>
    </xf>
    <xf numFmtId="38" fontId="4" fillId="0" borderId="1" xfId="1" applyFont="1" applyBorder="1">
      <alignment vertical="center"/>
    </xf>
    <xf numFmtId="0" fontId="5" fillId="6" borderId="3" xfId="0" applyFont="1" applyFill="1" applyBorder="1">
      <alignment vertical="center"/>
    </xf>
    <xf numFmtId="0" fontId="5" fillId="5" borderId="3" xfId="0" applyFont="1" applyFill="1" applyBorder="1">
      <alignment vertical="center"/>
    </xf>
    <xf numFmtId="38" fontId="5" fillId="6" borderId="3" xfId="1" applyFont="1" applyFill="1" applyBorder="1" applyAlignment="1">
      <alignment vertical="center"/>
    </xf>
    <xf numFmtId="0" fontId="5" fillId="6" borderId="4" xfId="0" applyFont="1" applyFill="1" applyBorder="1">
      <alignment vertical="center"/>
    </xf>
    <xf numFmtId="0" fontId="3" fillId="0" borderId="5" xfId="0" applyFont="1" applyBorder="1">
      <alignment vertical="center"/>
    </xf>
    <xf numFmtId="38" fontId="4" fillId="0" borderId="5" xfId="1" applyFont="1" applyBorder="1">
      <alignment vertical="center"/>
    </xf>
    <xf numFmtId="177" fontId="4" fillId="0" borderId="5" xfId="0" applyNumberFormat="1" applyFont="1" applyBorder="1">
      <alignment vertical="center"/>
    </xf>
    <xf numFmtId="176" fontId="4" fillId="0" borderId="5" xfId="2" applyNumberFormat="1" applyFont="1" applyBorder="1">
      <alignment vertical="center"/>
    </xf>
    <xf numFmtId="3" fontId="4" fillId="0" borderId="5" xfId="0" applyNumberFormat="1" applyFont="1" applyBorder="1">
      <alignment vertical="center"/>
    </xf>
    <xf numFmtId="176" fontId="3" fillId="0" borderId="5" xfId="2" applyNumberFormat="1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3" fillId="0" borderId="2" xfId="0" applyFont="1" applyBorder="1">
      <alignment vertical="center"/>
    </xf>
    <xf numFmtId="38" fontId="4" fillId="0" borderId="2" xfId="1" applyFont="1" applyBorder="1">
      <alignment vertical="center"/>
    </xf>
    <xf numFmtId="177" fontId="4" fillId="0" borderId="2" xfId="0" applyNumberFormat="1" applyFont="1" applyBorder="1">
      <alignment vertical="center"/>
    </xf>
    <xf numFmtId="176" fontId="4" fillId="0" borderId="2" xfId="2" applyNumberFormat="1" applyFont="1" applyBorder="1">
      <alignment vertical="center"/>
    </xf>
    <xf numFmtId="3" fontId="4" fillId="0" borderId="2" xfId="0" applyNumberFormat="1" applyFont="1" applyBorder="1">
      <alignment vertical="center"/>
    </xf>
    <xf numFmtId="176" fontId="3" fillId="0" borderId="2" xfId="2" applyNumberFormat="1" applyFont="1" applyBorder="1">
      <alignment vertical="center"/>
    </xf>
    <xf numFmtId="0" fontId="4" fillId="0" borderId="2" xfId="0" applyFont="1" applyBorder="1">
      <alignment vertical="center"/>
    </xf>
    <xf numFmtId="0" fontId="4" fillId="0" borderId="7" xfId="0" applyFont="1" applyBorder="1">
      <alignment vertical="center"/>
    </xf>
    <xf numFmtId="0" fontId="6" fillId="0" borderId="0" xfId="0" applyFont="1">
      <alignment vertical="center"/>
    </xf>
    <xf numFmtId="0" fontId="8" fillId="4" borderId="0" xfId="3" applyFont="1" applyFill="1" applyBorder="1">
      <alignment vertical="center"/>
    </xf>
    <xf numFmtId="49" fontId="9" fillId="0" borderId="0" xfId="0" applyNumberFormat="1" applyFont="1" applyAlignment="1">
      <alignment horizontal="right" vertical="center"/>
    </xf>
    <xf numFmtId="0" fontId="9" fillId="0" borderId="0" xfId="0" applyFont="1">
      <alignment vertical="center"/>
    </xf>
    <xf numFmtId="49" fontId="9" fillId="4" borderId="0" xfId="0" applyNumberFormat="1" applyFont="1" applyFill="1" applyAlignment="1">
      <alignment horizontal="right" vertical="center"/>
    </xf>
    <xf numFmtId="0" fontId="7" fillId="4" borderId="0" xfId="3" applyFill="1">
      <alignment vertical="center"/>
    </xf>
    <xf numFmtId="0" fontId="10" fillId="2" borderId="8" xfId="0" applyFont="1" applyFill="1" applyBorder="1" applyAlignment="1">
      <alignment horizontal="center" vertical="center"/>
    </xf>
    <xf numFmtId="0" fontId="10" fillId="4" borderId="9" xfId="0" applyFont="1" applyFill="1" applyBorder="1">
      <alignment vertical="center"/>
    </xf>
    <xf numFmtId="0" fontId="10" fillId="4" borderId="8" xfId="0" applyFont="1" applyFill="1" applyBorder="1">
      <alignment vertical="center"/>
    </xf>
    <xf numFmtId="0" fontId="10" fillId="4" borderId="4" xfId="0" applyFont="1" applyFill="1" applyBorder="1">
      <alignment vertical="center"/>
    </xf>
    <xf numFmtId="0" fontId="11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7" fillId="4" borderId="0" xfId="3" applyFill="1" applyBorder="1">
      <alignment vertical="center"/>
    </xf>
    <xf numFmtId="0" fontId="14" fillId="0" borderId="0" xfId="0" applyFont="1">
      <alignment vertical="center"/>
    </xf>
    <xf numFmtId="0" fontId="15" fillId="3" borderId="8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4" borderId="0" xfId="0" quotePrefix="1" applyFont="1" applyFill="1">
      <alignment vertical="center"/>
    </xf>
    <xf numFmtId="0" fontId="10" fillId="4" borderId="0" xfId="0" applyFont="1" applyFill="1">
      <alignment vertical="center"/>
    </xf>
    <xf numFmtId="0" fontId="17" fillId="8" borderId="0" xfId="6" applyFont="1" applyFill="1" applyAlignment="1">
      <alignment horizontal="right"/>
    </xf>
    <xf numFmtId="0" fontId="17" fillId="8" borderId="0" xfId="6" applyFont="1" applyFill="1"/>
    <xf numFmtId="0" fontId="17" fillId="9" borderId="0" xfId="6" applyFont="1" applyFill="1" applyAlignment="1">
      <alignment horizontal="right"/>
    </xf>
    <xf numFmtId="0" fontId="10" fillId="2" borderId="4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</cellXfs>
  <cellStyles count="7">
    <cellStyle name="パーセント" xfId="2" builtinId="5"/>
    <cellStyle name="ハイパーリンク" xfId="3" builtinId="8"/>
    <cellStyle name="ハイパーリンク 2" xfId="5" xr:uid="{8EB47689-5756-4171-B3B5-A6DBD30856AC}"/>
    <cellStyle name="桁区切り" xfId="1" builtinId="6"/>
    <cellStyle name="標準" xfId="0" builtinId="0"/>
    <cellStyle name="標準 2" xfId="4" xr:uid="{E150672D-E48A-4E90-9720-FFDFEECB3D73}"/>
    <cellStyle name="標準 3" xfId="6" xr:uid="{CCE5CCB7-48CE-4A21-BD19-994F030A3600}"/>
  </cellStyles>
  <dxfs count="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62c26bade854d00aebc6010f8a2e03a">
      <tp t="s">
        <v>表示銘柄数超過</v>
        <stp/>
        <stp>Market</stp>
        <stp>STOCK</stp>
        <stp>95070.T</stp>
        <stp>出来高加重平均</stp>
        <tr r="T1146" s="7"/>
      </tp>
      <tp t="s">
        <v>表示銘柄数超過</v>
        <stp/>
        <stp>Market</stp>
        <stp>STOCK</stp>
        <stp>95060.T</stp>
        <stp>出来高加重平均</stp>
        <tr r="T1145" s="7"/>
      </tp>
      <tp t="s">
        <v>表示銘柄数超過</v>
        <stp/>
        <stp>Market</stp>
        <stp>STOCK</stp>
        <stp>95050.T</stp>
        <stp>出来高加重平均</stp>
        <tr r="T1144" s="7"/>
      </tp>
      <tp t="s">
        <v>表示銘柄数超過</v>
        <stp/>
        <stp>Market</stp>
        <stp>STOCK</stp>
        <stp>95040.T</stp>
        <stp>出来高加重平均</stp>
        <tr r="T1143" s="7"/>
      </tp>
      <tp t="s">
        <v>表示銘柄数超過</v>
        <stp/>
        <stp>Market</stp>
        <stp>STOCK</stp>
        <stp>95030.T</stp>
        <stp>出来高加重平均</stp>
        <tr r="T1142" s="7"/>
      </tp>
      <tp t="s">
        <v>表示銘柄数超過</v>
        <stp/>
        <stp>Market</stp>
        <stp>STOCK</stp>
        <stp>95020.T</stp>
        <stp>出来高加重平均</stp>
        <tr r="T1141" s="7"/>
      </tp>
      <tp t="s">
        <v>表示銘柄数超過</v>
        <stp/>
        <stp>Market</stp>
        <stp>STOCK</stp>
        <stp>95010.T</stp>
        <stp>出来高加重平均</stp>
        <tr r="T1140" s="7"/>
      </tp>
      <tp t="s">
        <v>表示銘柄数超過</v>
        <stp/>
        <stp>Market</stp>
        <stp>STOCK</stp>
        <stp>95090.T</stp>
        <stp>出来高加重平均</stp>
        <tr r="T1148" s="7"/>
      </tp>
      <tp t="s">
        <v>表示銘柄数超過</v>
        <stp/>
        <stp>Market</stp>
        <stp>STOCK</stp>
        <stp>95080.T</stp>
        <stp>出来高加重平均</stp>
        <tr r="T1147" s="7"/>
      </tp>
      <tp t="s">
        <v>表示銘柄数超過</v>
        <stp/>
        <stp>Market</stp>
        <stp>STOCK</stp>
        <stp>95140.T</stp>
        <stp>出来高加重平均</stp>
        <tr r="T1150" s="7"/>
      </tp>
      <tp t="s">
        <v>表示銘柄数超過</v>
        <stp/>
        <stp>Market</stp>
        <stp>STOCK</stp>
        <stp>95110.T</stp>
        <stp>出来高加重平均</stp>
        <tr r="T1149" s="7"/>
      </tp>
      <tp t="s">
        <v>表示銘柄数超過</v>
        <stp/>
        <stp>Market</stp>
        <stp>STOCK</stp>
        <stp>95190.T</stp>
        <stp>出来高加重平均</stp>
        <tr r="T1151" s="7"/>
      </tp>
      <tp t="s">
        <v>表示銘柄数超過</v>
        <stp/>
        <stp>Market</stp>
        <stp>STOCK</stp>
        <stp>95220.T</stp>
        <stp>出来高加重平均</stp>
        <tr r="T1152" s="7"/>
      </tp>
      <tp t="s">
        <v>表示銘柄数超過</v>
        <stp/>
        <stp>Market</stp>
        <stp>STOCK</stp>
        <stp>95320.T</stp>
        <stp>出来高加重平均</stp>
        <tr r="T1154" s="7"/>
      </tp>
      <tp t="s">
        <v>表示銘柄数超過</v>
        <stp/>
        <stp>Market</stp>
        <stp>STOCK</stp>
        <stp>95310.T</stp>
        <stp>出来高加重平均</stp>
        <tr r="T1153" s="7"/>
      </tp>
      <tp t="s">
        <v>表示銘柄数超過</v>
        <stp/>
        <stp>Market</stp>
        <stp>STOCK</stp>
        <stp>95570.T</stp>
        <stp>出来高加重平均</stp>
        <tr r="T1156" s="7"/>
      </tp>
      <tp t="s">
        <v>表示銘柄数超過</v>
        <stp/>
        <stp>Market</stp>
        <stp>STOCK</stp>
        <stp>95530.T</stp>
        <stp>出来高加重平均</stp>
        <tr r="T1155" s="7"/>
      </tp>
      <tp t="s">
        <v>表示銘柄数超過</v>
        <stp/>
        <stp>Market</stp>
        <stp>STOCK</stp>
        <stp>95600.T</stp>
        <stp>出来高加重平均</stp>
        <tr r="T1157" s="7"/>
      </tp>
      <tp t="s">
        <v>表示銘柄数超過</v>
        <stp/>
        <stp>Market</stp>
        <stp>STOCK</stp>
        <stp>94050.T</stp>
        <stp>出来高加重平均</stp>
        <tr r="T1116" s="7"/>
      </tp>
      <tp t="s">
        <v>表示銘柄数超過</v>
        <stp/>
        <stp>Market</stp>
        <stp>STOCK</stp>
        <stp>94040.T</stp>
        <stp>出来高加重平均</stp>
        <tr r="T1115" s="7"/>
      </tp>
      <tp t="s">
        <v>表示銘柄数超過</v>
        <stp/>
        <stp>Market</stp>
        <stp>STOCK</stp>
        <stp>94010.T</stp>
        <stp>出来高加重平均</stp>
        <tr r="T1114" s="7"/>
      </tp>
      <tp t="s">
        <v>表示銘柄数超過</v>
        <stp/>
        <stp>Market</stp>
        <stp>STOCK</stp>
        <stp>94090.T</stp>
        <stp>出来高加重平均</stp>
        <tr r="T1117" s="7"/>
      </tp>
      <tp t="s">
        <v>表示銘柄数超過</v>
        <stp/>
        <stp>Market</stp>
        <stp>STOCK</stp>
        <stp>94170.T</stp>
        <stp>出来高加重平均</stp>
        <tr r="T1121" s="7"/>
      </tp>
      <tp t="s">
        <v>表示銘柄数超過</v>
        <stp/>
        <stp>Market</stp>
        <stp>STOCK</stp>
        <stp>94140.T</stp>
        <stp>出来高加重平均</stp>
        <tr r="T1120" s="7"/>
      </tp>
      <tp t="s">
        <v>表示銘柄数超過</v>
        <stp/>
        <stp>Market</stp>
        <stp>STOCK</stp>
        <stp>94130.T</stp>
        <stp>出来高加重平均</stp>
        <tr r="T1119" s="7"/>
      </tp>
      <tp t="s">
        <v>表示銘柄数超過</v>
        <stp/>
        <stp>Market</stp>
        <stp>STOCK</stp>
        <stp>94120.T</stp>
        <stp>出来高加重平均</stp>
        <tr r="T1118" s="7"/>
      </tp>
      <tp t="s">
        <v>表示銘柄数超過</v>
        <stp/>
        <stp>Market</stp>
        <stp>STOCK</stp>
        <stp>94190.T</stp>
        <stp>出来高加重平均</stp>
        <tr r="T1122" s="7"/>
      </tp>
      <tp t="s">
        <v>表示銘柄数超過</v>
        <stp/>
        <stp>Market</stp>
        <stp>STOCK</stp>
        <stp>94250.T</stp>
        <stp>出来高加重平均</stp>
        <tr r="T1126" s="7"/>
      </tp>
      <tp t="s">
        <v>表示銘柄数超過</v>
        <stp/>
        <stp>Market</stp>
        <stp>STOCK</stp>
        <stp>94240.T</stp>
        <stp>出来高加重平均</stp>
        <tr r="T1125" s="7"/>
      </tp>
      <tp t="s">
        <v>表示銘柄数超過</v>
        <stp/>
        <stp>Market</stp>
        <stp>STOCK</stp>
        <stp>94230.T</stp>
        <stp>出来高加重平均</stp>
        <tr r="T1124" s="7"/>
      </tp>
      <tp t="s">
        <v>表示銘柄数超過</v>
        <stp/>
        <stp>Market</stp>
        <stp>STOCK</stp>
        <stp>94210.T</stp>
        <stp>出来高加重平均</stp>
        <tr r="T1123" s="7"/>
      </tp>
      <tp t="s">
        <v>表示銘柄数超過</v>
        <stp/>
        <stp>Market</stp>
        <stp>STOCK</stp>
        <stp>94360.T</stp>
        <stp>出来高加重平均</stp>
        <tr r="T1130" s="7"/>
      </tp>
      <tp>
        <v>1942.8524</v>
        <stp/>
        <stp>Market</stp>
        <stp>STOCK</stp>
        <stp>94340.T</stp>
        <stp>出来高加重平均</stp>
        <tr r="T1129" s="7"/>
      </tp>
      <tp t="s">
        <v>表示銘柄数超過</v>
        <stp/>
        <stp>Market</stp>
        <stp>STOCK</stp>
        <stp>94330.T</stp>
        <stp>出来高加重平均</stp>
        <tr r="T1128" s="7"/>
      </tp>
      <tp>
        <v>183.09710000000001</v>
        <stp/>
        <stp>Market</stp>
        <stp>STOCK</stp>
        <stp>94320.T</stp>
        <stp>出来高加重平均</stp>
        <tr r="T1127" s="7"/>
      </tp>
      <tp t="s">
        <v>表示銘柄数超過</v>
        <stp/>
        <stp>Market</stp>
        <stp>STOCK</stp>
        <stp>94390.T</stp>
        <stp>出来高加重平均</stp>
        <tr r="T1131" s="7"/>
      </tp>
      <tp t="s">
        <v>表示銘柄数超過</v>
        <stp/>
        <stp>Market</stp>
        <stp>STOCK</stp>
        <stp>94440.T</stp>
        <stp>出来高加重平均</stp>
        <tr r="T1132" s="7"/>
      </tp>
      <tp t="s">
        <v>表示銘柄数超過</v>
        <stp/>
        <stp>Market</stp>
        <stp>STOCK</stp>
        <stp>94500.T</stp>
        <stp>出来高加重平均</stp>
        <tr r="T1133" s="7"/>
      </tp>
      <tp t="s">
        <v>表示銘柄数超過</v>
        <stp/>
        <stp>Market</stp>
        <stp>STOCK</stp>
        <stp>94660.T</stp>
        <stp>出来高加重平均</stp>
        <tr r="T1134" s="7"/>
      </tp>
      <tp t="s">
        <v>表示銘柄数超過</v>
        <stp/>
        <stp>Market</stp>
        <stp>STOCK</stp>
        <stp>94760.T</stp>
        <stp>出来高加重平均</stp>
        <tr r="T1138" s="7"/>
      </tp>
      <tp t="s">
        <v>表示銘柄数超過</v>
        <stp/>
        <stp>Market</stp>
        <stp>STOCK</stp>
        <stp>94750.T</stp>
        <stp>出来高加重平均</stp>
        <tr r="T1137" s="7"/>
      </tp>
      <tp t="s">
        <v>表示銘柄数超過</v>
        <stp/>
        <stp>Market</stp>
        <stp>STOCK</stp>
        <stp>94740.T</stp>
        <stp>出来高加重平均</stp>
        <tr r="T1136" s="7"/>
      </tp>
      <tp t="s">
        <v>表示銘柄数超過</v>
        <stp/>
        <stp>Market</stp>
        <stp>STOCK</stp>
        <stp>94700.T</stp>
        <stp>出来高加重平均</stp>
        <tr r="T1135" s="7"/>
      </tp>
      <tp t="s">
        <v>表示銘柄数超過</v>
        <stp/>
        <stp>Market</stp>
        <stp>STOCK</stp>
        <stp>94790.T</stp>
        <stp>出来高加重平均</stp>
        <tr r="T1139" s="7"/>
      </tp>
      <tp t="s">
        <v>表示銘柄数超過</v>
        <stp/>
        <stp>Market</stp>
        <stp>STOCK</stp>
        <stp>97090.T</stp>
        <stp>出来高加重平均</stp>
        <tr r="T1162" s="7"/>
      </tp>
      <tp t="s">
        <v>表示銘柄数超過</v>
        <stp/>
        <stp>Market</stp>
        <stp>STOCK</stp>
        <stp>97230.T</stp>
        <stp>出来高加重平均</stp>
        <tr r="T1163" s="7"/>
      </tp>
      <tp t="s">
        <v>表示銘柄数超過</v>
        <stp/>
        <stp>Market</stp>
        <stp>STOCK</stp>
        <stp>97650.T</stp>
        <stp>出来高加重平均</stp>
        <tr r="T1165" s="7"/>
      </tp>
      <tp t="s">
        <v>表示銘柄数超過</v>
        <stp/>
        <stp>Market</stp>
        <stp>STOCK</stp>
        <stp>97600.T</stp>
        <stp>出来高加重平均</stp>
        <tr r="T1164" s="7"/>
      </tp>
      <tp t="s">
        <v>表示銘柄数超過</v>
        <stp/>
        <stp>Market</stp>
        <stp>STOCK</stp>
        <stp>97870.T</stp>
        <stp>出来高加重平均</stp>
        <tr r="T1168" s="7"/>
      </tp>
      <tp t="s">
        <v>表示銘柄数超過</v>
        <stp/>
        <stp>Market</stp>
        <stp>STOCK</stp>
        <stp>97830.T</stp>
        <stp>出来高加重平均</stp>
        <tr r="T1167" s="7"/>
      </tp>
      <tp t="s">
        <v>表示銘柄数超過</v>
        <stp/>
        <stp>Market</stp>
        <stp>STOCK</stp>
        <stp>97820.T</stp>
        <stp>出来高加重平均</stp>
        <tr r="T1166" s="7"/>
      </tp>
      <tp t="s">
        <v>表示銘柄数超過</v>
        <stp/>
        <stp>Market</stp>
        <stp>STOCK</stp>
        <stp>97880.T</stp>
        <stp>出来高加重平均</stp>
        <tr r="T1169" s="7"/>
      </tp>
      <tp t="s">
        <v>表示銘柄数超過</v>
        <stp/>
        <stp>Market</stp>
        <stp>STOCK</stp>
        <stp>96030.T</stp>
        <stp>出来高加重平均</stp>
        <tr r="T1158" s="7"/>
      </tp>
      <tp t="s">
        <v>表示銘柄数超過</v>
        <stp/>
        <stp>Market</stp>
        <stp>STOCK</stp>
        <stp>96130.T</stp>
        <stp>出来高加重平均</stp>
        <tr r="T1160" s="7"/>
      </tp>
      <tp t="s">
        <v>表示銘柄数超過</v>
        <stp/>
        <stp>Market</stp>
        <stp>STOCK</stp>
        <stp>96100.T</stp>
        <stp>出来高加重平均</stp>
        <tr r="T1159" s="7"/>
      </tp>
      <tp t="s">
        <v>表示銘柄数超過</v>
        <stp/>
        <stp>Market</stp>
        <stp>STOCK</stp>
        <stp>96560.T</stp>
        <stp>出来高加重平均</stp>
        <tr r="T1161" s="7"/>
      </tp>
      <tp t="s">
        <v>表示銘柄数超過</v>
        <stp/>
        <stp>Market</stp>
        <stp>STOCK</stp>
        <stp>91070.T</stp>
        <stp>出来高加重平均</stp>
        <tr r="T1095" s="7"/>
      </tp>
      <tp t="s">
        <v>表示銘柄数超過</v>
        <stp/>
        <stp>Market</stp>
        <stp>STOCK</stp>
        <stp>91040.T</stp>
        <stp>出来高加重平均</stp>
        <tr r="T1094" s="7"/>
      </tp>
      <tp t="s">
        <v>表示銘柄数超過</v>
        <stp/>
        <stp>Market</stp>
        <stp>STOCK</stp>
        <stp>91010.T</stp>
        <stp>出来高加重平均</stp>
        <tr r="T1093" s="7"/>
      </tp>
      <tp t="s">
        <v>表示銘柄数超過</v>
        <stp/>
        <stp>Market</stp>
        <stp>STOCK</stp>
        <stp>91150.T</stp>
        <stp>出来高加重平均</stp>
        <tr r="T1096" s="7"/>
      </tp>
      <tp t="s">
        <v>表示銘柄数超過</v>
        <stp/>
        <stp>Market</stp>
        <stp>STOCK</stp>
        <stp>91190.T</stp>
        <stp>出来高加重平均</stp>
        <tr r="T1097" s="7"/>
      </tp>
      <tp t="s">
        <v>表示銘柄数超過</v>
        <stp/>
        <stp>Market</stp>
        <stp>STOCK</stp>
        <stp>91420.T</stp>
        <stp>出来高加重平均</stp>
        <tr r="T1098" s="7"/>
      </tp>
      <tp t="s">
        <v>表示銘柄数超過</v>
        <stp/>
        <stp>Market</stp>
        <stp>STOCK</stp>
        <stp>90070.T</stp>
        <stp>出来高加重平均</stp>
        <tr r="T1077" s="7"/>
      </tp>
      <tp t="s">
        <v>表示銘柄数超過</v>
        <stp/>
        <stp>Market</stp>
        <stp>STOCK</stp>
        <stp>90060.T</stp>
        <stp>出来高加重平均</stp>
        <tr r="T1076" s="7"/>
      </tp>
      <tp t="s">
        <v>表示銘柄数超過</v>
        <stp/>
        <stp>Market</stp>
        <stp>STOCK</stp>
        <stp>90050.T</stp>
        <stp>出来高加重平均</stp>
        <tr r="T1075" s="7"/>
      </tp>
      <tp t="s">
        <v>表示銘柄数超過</v>
        <stp/>
        <stp>Market</stp>
        <stp>STOCK</stp>
        <stp>90030.T</stp>
        <stp>出来高加重平均</stp>
        <tr r="T1074" s="7"/>
      </tp>
      <tp t="s">
        <v>表示銘柄数超過</v>
        <stp/>
        <stp>Market</stp>
        <stp>STOCK</stp>
        <stp>90010.T</stp>
        <stp>出来高加重平均</stp>
        <tr r="T1073" s="7"/>
      </tp>
      <tp t="s">
        <v>表示銘柄数超過</v>
        <stp/>
        <stp>Market</stp>
        <stp>STOCK</stp>
        <stp>90090.T</stp>
        <stp>出来高加重平均</stp>
        <tr r="T1079" s="7"/>
      </tp>
      <tp t="s">
        <v>表示銘柄数超過</v>
        <stp/>
        <stp>Market</stp>
        <stp>STOCK</stp>
        <stp>90080.T</stp>
        <stp>出来高加重平均</stp>
        <tr r="T1078" s="7"/>
      </tp>
      <tp t="s">
        <v>表示銘柄数超過</v>
        <stp/>
        <stp>Market</stp>
        <stp>STOCK</stp>
        <stp>90240.T</stp>
        <stp>出来高加重平均</stp>
        <tr r="T1083" s="7"/>
      </tp>
      <tp t="s">
        <v>表示銘柄数超過</v>
        <stp/>
        <stp>Market</stp>
        <stp>STOCK</stp>
        <stp>90220.T</stp>
        <stp>出来高加重平均</stp>
        <tr r="T1082" s="7"/>
      </tp>
      <tp t="s">
        <v>表示銘柄数超過</v>
        <stp/>
        <stp>Market</stp>
        <stp>STOCK</stp>
        <stp>90200.T</stp>
        <stp>出来高加重平均</stp>
        <tr r="T1081" s="7"/>
        <tr r="T1080" s="7"/>
      </tp>
      <tp t="s">
        <v>表示銘柄数超過</v>
        <stp/>
        <stp>Market</stp>
        <stp>STOCK</stp>
        <stp>90330.T</stp>
        <stp>出来高加重平均</stp>
        <tr r="T1084" s="7"/>
      </tp>
      <tp t="s">
        <v>表示銘柄数超過</v>
        <stp/>
        <stp>Market</stp>
        <stp>STOCK</stp>
        <stp>90440.T</stp>
        <stp>出来高加重平均</stp>
        <tr r="T1087" s="7"/>
      </tp>
      <tp t="s">
        <v>表示銘柄数超過</v>
        <stp/>
        <stp>Market</stp>
        <stp>STOCK</stp>
        <stp>90420.T</stp>
        <stp>出来高加重平均</stp>
        <tr r="T1086" s="7"/>
      </tp>
      <tp t="s">
        <v>表示銘柄数超過</v>
        <stp/>
        <stp>Market</stp>
        <stp>STOCK</stp>
        <stp>90410.T</stp>
        <stp>出来高加重平均</stp>
        <tr r="T1085" s="7"/>
      </tp>
      <tp t="s">
        <v>表示銘柄数超過</v>
        <stp/>
        <stp>Market</stp>
        <stp>STOCK</stp>
        <stp>90480.T</stp>
        <stp>出来高加重平均</stp>
        <tr r="T1088" s="7"/>
      </tp>
      <tp t="s">
        <v>表示銘柄数超過</v>
        <stp/>
        <stp>Market</stp>
        <stp>STOCK</stp>
        <stp>90590.T</stp>
        <stp>出来高加重平均</stp>
        <tr r="T1089" s="7"/>
      </tp>
      <tp t="s">
        <v>表示銘柄数超過</v>
        <stp/>
        <stp>Market</stp>
        <stp>STOCK</stp>
        <stp>90640.T</stp>
        <stp>出来高加重平均</stp>
        <tr r="T1091" s="7"/>
      </tp>
      <tp t="s">
        <v>表示銘柄数超過</v>
        <stp/>
        <stp>Market</stp>
        <stp>STOCK</stp>
        <stp>90630.T</stp>
        <stp>出来高加重平均</stp>
        <tr r="T1090" s="7"/>
      </tp>
      <tp t="s">
        <v>表示銘柄数超過</v>
        <stp/>
        <stp>Market</stp>
        <stp>STOCK</stp>
        <stp>90900.T</stp>
        <stp>出来高加重平均</stp>
        <tr r="T1092" s="7"/>
      </tp>
      <tp t="s">
        <v>表示銘柄数超過</v>
        <stp/>
        <stp>Market</stp>
        <stp>STOCK</stp>
        <stp>93070.T</stp>
        <stp>出来高加重平均</stp>
        <tr r="T1109" s="7"/>
      </tp>
      <tp t="s">
        <v>表示銘柄数超過</v>
        <stp/>
        <stp>Market</stp>
        <stp>STOCK</stp>
        <stp>93250.T</stp>
        <stp>出来高加重平均</stp>
        <tr r="T1110" s="7"/>
      </tp>
      <tp t="s">
        <v>表示銘柄数超過</v>
        <stp/>
        <stp>Market</stp>
        <stp>STOCK</stp>
        <stp>93610.T</stp>
        <stp>出来高加重平均</stp>
        <tr r="T1111" s="7"/>
      </tp>
      <tp t="s">
        <v>表示銘柄数超過</v>
        <stp/>
        <stp>Market</stp>
        <stp>STOCK</stp>
        <stp>93800.T</stp>
        <stp>出来高加重平均</stp>
        <tr r="T1112" s="7"/>
      </tp>
      <tp>
        <v>4.0338000000000003</v>
        <stp/>
        <stp>Market</stp>
        <stp>STOCK</stp>
        <stp>93990.T</stp>
        <stp>出来高加重平均</stp>
        <tr r="T1113" s="7"/>
      </tp>
      <tp t="s">
        <v>表示銘柄数超過</v>
        <stp/>
        <stp>Market</stp>
        <stp>STOCK</stp>
        <stp>92130.T</stp>
        <stp>出来高加重平均</stp>
        <tr r="T1099" s="7"/>
      </tp>
      <tp t="s">
        <v>表示銘柄数超過</v>
        <stp/>
        <stp>Market</stp>
        <stp>STOCK</stp>
        <stp>92470.T</stp>
        <stp>出来高加重平均</stp>
        <tr r="T1101" s="7"/>
      </tp>
      <tp t="s">
        <v>表示銘柄数超過</v>
        <stp/>
        <stp>Market</stp>
        <stp>STOCK</stp>
        <stp>92410.T</stp>
        <stp>出来高加重平均</stp>
        <tr r="T1100" s="7"/>
      </tp>
      <tp t="s">
        <v>表示銘柄数超過</v>
        <stp/>
        <stp>Market</stp>
        <stp>STOCK</stp>
        <stp>92480.T</stp>
        <stp>出来高加重平均</stp>
        <tr r="T1102" s="7"/>
      </tp>
      <tp t="s">
        <v>表示銘柄数超過</v>
        <stp/>
        <stp>Market</stp>
        <stp>STOCK</stp>
        <stp>92540.T</stp>
        <stp>出来高加重平均</stp>
        <tr r="T1103" s="7"/>
      </tp>
      <tp t="s">
        <v>表示銘柄数超過</v>
        <stp/>
        <stp>Market</stp>
        <stp>STOCK</stp>
        <stp>92630.T</stp>
        <stp>出来高加重平均</stp>
        <tr r="T1104" s="7"/>
      </tp>
      <tp t="s">
        <v>表示銘柄数超過</v>
        <stp/>
        <stp>Market</stp>
        <stp>STOCK</stp>
        <stp>92740.T</stp>
        <stp>出来高加重平均</stp>
        <tr r="T1107" s="7"/>
      </tp>
      <tp t="s">
        <v>表示銘柄数超過</v>
        <stp/>
        <stp>Market</stp>
        <stp>STOCK</stp>
        <stp>92720.T</stp>
        <stp>出来高加重平均</stp>
        <tr r="T1106" s="7"/>
      </tp>
      <tp t="s">
        <v>表示銘柄数超過</v>
        <stp/>
        <stp>Market</stp>
        <stp>STOCK</stp>
        <stp>92700.T</stp>
        <stp>出来高加重平均</stp>
        <tr r="T1105" s="7"/>
      </tp>
      <tp t="s">
        <v>表示銘柄数超過</v>
        <stp/>
        <stp>Market</stp>
        <stp>STOCK</stp>
        <stp>92780.T</stp>
        <stp>出来高加重平均</stp>
        <tr r="T1108" s="7"/>
      </tp>
      <tp t="s">
        <v>表示銘柄数超過</v>
        <stp/>
        <stp>Market</stp>
        <stp>STOCK</stp>
        <stp>99040.T</stp>
        <stp>出来高加重平均</stp>
        <tr r="T1178" s="7"/>
      </tp>
      <tp t="s">
        <v>表示銘柄数超過</v>
        <stp/>
        <stp>Market</stp>
        <stp>STOCK</stp>
        <stp>99080.T</stp>
        <stp>出来高加重平均</stp>
        <tr r="T1179" s="7"/>
      </tp>
      <tp t="s">
        <v>表示銘柄数超過</v>
        <stp/>
        <stp>Market</stp>
        <stp>STOCK</stp>
        <stp>99190.T</stp>
        <stp>出来高加重平均</stp>
        <tr r="T1180" s="7"/>
      </tp>
      <tp t="s">
        <v>表示銘柄数超過</v>
        <stp/>
        <stp>Market</stp>
        <stp>STOCK</stp>
        <stp>99270.T</stp>
        <stp>出来高加重平均</stp>
        <tr r="T1181" s="7"/>
      </tp>
      <tp t="s">
        <v>表示銘柄数超過</v>
        <stp/>
        <stp>Market</stp>
        <stp>STOCK</stp>
        <stp>99280.T</stp>
        <stp>出来高加重平均</stp>
        <tr r="T1182" s="7"/>
      </tp>
      <tp t="s">
        <v>表示銘柄数超過</v>
        <stp/>
        <stp>Market</stp>
        <stp>STOCK</stp>
        <stp>99300.T</stp>
        <stp>出来高加重平均</stp>
        <tr r="T1183" s="7"/>
      </tp>
      <tp t="s">
        <v>表示銘柄数超過</v>
        <stp/>
        <stp>Market</stp>
        <stp>STOCK</stp>
        <stp>99460.T</stp>
        <stp>出来高加重平均</stp>
        <tr r="T1184" s="7"/>
      </tp>
      <tp t="s">
        <v>表示銘柄数超過</v>
        <stp/>
        <stp>Market</stp>
        <stp>STOCK</stp>
        <stp>99690.T</stp>
        <stp>出来高加重平均</stp>
        <tr r="T1185" s="7"/>
      </tp>
      <tp t="s">
        <v>表示銘柄数超過</v>
        <stp/>
        <stp>Market</stp>
        <stp>STOCK</stp>
        <stp>99730.T</stp>
        <stp>出来高加重平均</stp>
        <tr r="T1186" s="7"/>
      </tp>
      <tp t="s">
        <v>表示銘柄数超過</v>
        <stp/>
        <stp>Market</stp>
        <stp>STOCK</stp>
        <stp>99840.T</stp>
        <stp>出来高加重平均</stp>
        <tr r="T1189" s="7"/>
      </tp>
      <tp t="s">
        <v>表示銘柄数超過</v>
        <stp/>
        <stp>Market</stp>
        <stp>STOCK</stp>
        <stp>99820.T</stp>
        <stp>出来高加重平均</stp>
        <tr r="T1188" s="7"/>
      </tp>
      <tp t="s">
        <v>表示銘柄数超過</v>
        <stp/>
        <stp>Market</stp>
        <stp>STOCK</stp>
        <stp>99800.T</stp>
        <stp>出来高加重平均</stp>
        <tr r="T1187" s="7"/>
      </tp>
      <tp t="s">
        <v>表示銘柄数超過</v>
        <stp/>
        <stp>Market</stp>
        <stp>STOCK</stp>
        <stp>99950.T</stp>
        <stp>出来高加重平均</stp>
        <tr r="T1191" s="7"/>
      </tp>
      <tp t="s">
        <v>表示銘柄数超過</v>
        <stp/>
        <stp>Market</stp>
        <stp>STOCK</stp>
        <stp>99900.T</stp>
        <stp>出来高加重平均</stp>
        <tr r="T1190" s="7"/>
      </tp>
      <tp t="s">
        <v>表示銘柄数超過</v>
        <stp/>
        <stp>Market</stp>
        <stp>STOCK</stp>
        <stp>98120.T</stp>
        <stp>出来高加重平均</stp>
        <tr r="T1170" s="7"/>
      </tp>
      <tp>
        <v>444.0394</v>
        <stp/>
        <stp>Market</stp>
        <stp>STOCK</stp>
        <stp>98310.T</stp>
        <stp>出来高加重平均</stp>
        <tr r="T1171" s="7"/>
      </tp>
      <tp t="s">
        <v>表示銘柄数超過</v>
        <stp/>
        <stp>Market</stp>
        <stp>STOCK</stp>
        <stp>98420.T</stp>
        <stp>出来高加重平均</stp>
        <tr r="T1172" s="7"/>
      </tp>
      <tp t="s">
        <v>表示銘柄数超過</v>
        <stp/>
        <stp>Market</stp>
        <stp>STOCK</stp>
        <stp>98540.T</stp>
        <stp>出来高加重平均</stp>
        <tr r="T1174" s="7"/>
      </tp>
      <tp t="s">
        <v>表示銘柄数超過</v>
        <stp/>
        <stp>Market</stp>
        <stp>STOCK</stp>
        <stp>98530.T</stp>
        <stp>出来高加重平均</stp>
        <tr r="T1173" s="7"/>
      </tp>
      <tp t="s">
        <v>表示銘柄数超過</v>
        <stp/>
        <stp>Market</stp>
        <stp>STOCK</stp>
        <stp>98760.T</stp>
        <stp>出来高加重平均</stp>
        <tr r="T1175" s="7"/>
      </tp>
      <tp t="s">
        <v>表示銘柄数超過</v>
        <stp/>
        <stp>Market</stp>
        <stp>STOCK</stp>
        <stp>98880.T</stp>
        <stp>出来高加重平均</stp>
        <tr r="T1176" s="7"/>
      </tp>
      <tp t="s">
        <v>表示銘柄数超過</v>
        <stp/>
        <stp>Market</stp>
        <stp>STOCK</stp>
        <stp>98900.T</stp>
        <stp>出来高加重平均</stp>
        <tr r="T1177" s="7"/>
      </tp>
    </main>
    <main first="rtdsrv.662c26bade854d00aebc6010f8a2e03a">
      <tp t="s">
        <v>表示銘柄数超過</v>
        <stp/>
        <stp>Market</stp>
        <stp>STOCK</stp>
        <stp>13680.T</stp>
        <stp>後場始値</stp>
        <tr r="R15" s="7"/>
      </tp>
      <tp t="s">
        <v>表示銘柄数超過</v>
        <stp/>
        <stp>Market</stp>
        <stp>STOCK</stp>
        <stp>13660.T</stp>
        <stp>後場始値</stp>
        <tr r="R14" s="7"/>
      </tp>
      <tp>
        <v>363</v>
        <stp/>
        <stp>Market</stp>
        <stp>STOCK</stp>
        <stp>63660.T</stp>
        <stp>後場始値</stp>
        <tr r="R695" s="7"/>
      </tp>
      <tp>
        <v>2429</v>
        <stp/>
        <stp>Market</stp>
        <stp>STOCK</stp>
        <stp>63640.T</stp>
        <stp>後場始値</stp>
        <tr r="R694" s="7"/>
      </tp>
      <tp t="s">
        <v>表示銘柄数超過</v>
        <stp/>
        <stp>Market</stp>
        <stp>STOCK</stp>
        <stp>93610.T</stp>
        <stp>後場始値</stp>
        <tr r="R1111" s="7"/>
      </tp>
      <tp t="s">
        <v>表示銘柄数超過</v>
        <stp/>
        <stp>Market</stp>
        <stp>STOCK</stp>
        <stp>13600.T</stp>
        <stp>後場始値</stp>
        <tr r="R13" s="7"/>
      </tp>
      <tp>
        <v>848</v>
        <stp/>
        <stp>Market</stp>
        <stp>STOCK</stp>
        <stp>73790.T</stp>
        <stp>後場始値</stp>
        <tr r="R883" s="7"/>
      </tp>
      <tp t="s">
        <v>表示銘柄数超過</v>
        <stp/>
        <stp>Market</stp>
        <stp>STOCK</stp>
        <stp>43790.T</stp>
        <stp>後場始値</stp>
        <tr r="R454" s="7"/>
      </tp>
      <tp t="s">
        <v>表示銘柄数超過</v>
        <stp/>
        <stp>Market</stp>
        <stp>STOCK</stp>
        <stp>23780.T</stp>
        <stp>後場始値</stp>
        <tr r="R130" s="7"/>
      </tp>
      <tp t="s">
        <v>表示銘柄数超過</v>
        <stp/>
        <stp>Market</stp>
        <stp>STOCK</stp>
        <stp>43780.T</stp>
        <stp>後場始値</stp>
        <tr r="R453" s="7"/>
      </tp>
      <tp t="s">
        <v>表示銘柄数超過</v>
        <stp/>
        <stp>Market</stp>
        <stp>STOCK</stp>
        <stp>33770.T</stp>
        <stp>後場始値</stp>
        <tr r="R289" s="7"/>
      </tp>
      <tp>
        <v>1576</v>
        <stp/>
        <stp>Market</stp>
        <stp>STOCK</stp>
        <stp>83770.T</stp>
        <stp>後場始値</stp>
        <tr r="R1007" s="7"/>
      </tp>
      <tp t="s">
        <v>表示銘柄数超過</v>
        <stp/>
        <stp>Market</stp>
        <stp>STOCK</stp>
        <stp>23760.T</stp>
        <stp>後場始値</stp>
        <tr r="R129" s="7"/>
      </tp>
      <tp t="s">
        <v>表示銘柄数超過</v>
        <stp/>
        <stp>Market</stp>
        <stp>STOCK</stp>
        <stp>43760.T</stp>
        <stp>後場始値</stp>
        <tr r="R452" s="7"/>
      </tp>
      <tp t="s">
        <v>表示銘柄数超過</v>
        <stp/>
        <stp>Market</stp>
        <stp>STOCK</stp>
        <stp>23750.T</stp>
        <stp>後場始値</stp>
        <tr r="R128" s="7"/>
      </tp>
      <tp t="s">
        <v>表示銘柄数超過</v>
        <stp/>
        <stp>Market</stp>
        <stp>STOCK</stp>
        <stp>43740.T</stp>
        <stp>後場始値</stp>
        <tr r="R451" s="7"/>
      </tp>
      <tp t="s">
        <v>表示銘柄数超過</v>
        <stp/>
        <stp>Market</stp>
        <stp>STOCK</stp>
        <stp>23730.T</stp>
        <stp>後場始値</stp>
        <tr r="R127" s="7"/>
      </tp>
      <tp t="s">
        <v>表示銘柄数超過</v>
        <stp/>
        <stp>Market</stp>
        <stp>STOCK</stp>
        <stp>43730.T</stp>
        <stp>後場始値</stp>
        <tr r="R450" s="7"/>
      </tp>
      <tp t="s">
        <v>表示銘柄数超過</v>
        <stp/>
        <stp>Market</stp>
        <stp>STOCK</stp>
        <stp>33720.T</stp>
        <stp>後場始値</stp>
        <tr r="R288" s="7"/>
      </tp>
      <tp>
        <v>515</v>
        <stp/>
        <stp>Market</stp>
        <stp>STOCK</stp>
        <stp>73710.T</stp>
        <stp>後場始値</stp>
        <tr r="R882" s="7"/>
      </tp>
      <tp t="s">
        <v>表示銘柄数超過</v>
        <stp/>
        <stp>Market</stp>
        <stp>STOCK</stp>
        <stp>33700.T</stp>
        <stp>後場始値</stp>
        <tr r="R287" s="7"/>
      </tp>
      <tp t="s">
        <v>表示銘柄数超過</v>
        <stp/>
        <stp>Market</stp>
        <stp>STOCK</stp>
        <stp>23700.T</stp>
        <stp>後場始値</stp>
        <tr r="R126" s="7"/>
      </tp>
      <tp>
        <v>1098</v>
        <stp/>
        <stp>Market</stp>
        <stp>STOCK</stp>
        <stp>73700.T</stp>
        <stp>後場始値</stp>
        <tr r="R881" s="7"/>
      </tp>
      <tp t="s">
        <v>表示銘柄数超過</v>
        <stp/>
        <stp>Market</stp>
        <stp>STOCK</stp>
        <stp>43700.T</stp>
        <stp>後場始値</stp>
        <tr r="R449" s="7"/>
      </tp>
      <tp>
        <v>223</v>
        <stp/>
        <stp>Market</stp>
        <stp>STOCK</stp>
        <stp>63470.T</stp>
        <stp>後場始値</stp>
        <tr r="R692" s="7"/>
      </tp>
      <tp t="s">
        <v>表示銘柄数超過</v>
        <stp/>
        <stp>Market</stp>
        <stp>STOCK</stp>
        <stp>43460.T</stp>
        <stp>後場始値</stp>
        <tr r="R446" s="7"/>
      </tp>
      <tp t="s">
        <v>表示銘柄数超過</v>
        <stp/>
        <stp>Market</stp>
        <stp>STOCK</stp>
        <stp>23450.T</stp>
        <stp>後場始値</stp>
        <tr r="R122" s="7"/>
      </tp>
      <tp t="s">
        <v>表示銘柄数超過</v>
        <stp/>
        <stp>Market</stp>
        <stp>STOCK</stp>
        <stp>13450.T</stp>
        <stp>後場始値</stp>
        <tr r="R10" s="7"/>
      </tp>
      <tp t="s">
        <v>表示銘柄数超過</v>
        <stp/>
        <stp>Market</stp>
        <stp>STOCK</stp>
        <stp>23440.T</stp>
        <stp>後場始値</stp>
        <tr r="R121" s="7"/>
      </tp>
      <tp>
        <v>105</v>
        <stp/>
        <stp>Market</stp>
        <stp>STOCK</stp>
        <stp>63430.T</stp>
        <stp>後場始値</stp>
        <tr r="R691" s="7"/>
      </tp>
      <tp t="s">
        <v>表示銘柄数超過</v>
        <stp/>
        <stp>Market</stp>
        <stp>STOCK</stp>
        <stp>43430.T</stp>
        <stp>後場始値</stp>
        <tr r="R445" s="7"/>
      </tp>
      <tp>
        <v>1661</v>
        <stp/>
        <stp>Market</stp>
        <stp>STOCK</stp>
        <stp>73420.T</stp>
        <stp>後場始値</stp>
        <tr r="R876" s="7"/>
      </tp>
      <tp t="s">
        <v>表示銘柄数超過</v>
        <stp/>
        <stp>Market</stp>
        <stp>STOCK</stp>
        <stp>33410.T</stp>
        <stp>後場始値</stp>
        <tr r="R282" s="7"/>
      </tp>
      <tp t="s">
        <v>表示銘柄数超過</v>
        <stp/>
        <stp>Market</stp>
        <stp>STOCK</stp>
        <stp>23410.T</stp>
        <stp>後場始値</stp>
        <tr r="R120" s="7"/>
      </tp>
      <tp>
        <v>429</v>
        <stp/>
        <stp>Market</stp>
        <stp>STOCK</stp>
        <stp>53410.T</stp>
        <stp>後場始値</stp>
        <tr r="R587" s="7"/>
      </tp>
      <tp t="s">
        <v>表示銘柄数超過</v>
        <stp/>
        <stp>Market</stp>
        <stp>STOCK</stp>
        <stp>23400.T</stp>
        <stp>後場始値</stp>
        <tr r="R119" s="7"/>
      </tp>
      <tp t="s">
        <v>表示銘柄数超過</v>
        <stp/>
        <stp>Market</stp>
        <stp>STOCK</stp>
        <stp>33590.T</stp>
        <stp>後場始値</stp>
        <tr r="R286" s="7"/>
      </tp>
      <tp>
        <v>655</v>
        <stp/>
        <stp>Market</stp>
        <stp>STOCK</stp>
        <stp>73590.T</stp>
        <stp>後場始値</stp>
        <tr r="R880" s="7"/>
      </tp>
      <tp t="s">
        <v>表示銘柄数超過</v>
        <stp/>
        <stp>Market</stp>
        <stp>STOCK</stp>
        <stp>33580.T</stp>
        <stp>後場始値</stp>
        <tr r="R285" s="7"/>
      </tp>
      <tp>
        <v>803</v>
        <stp/>
        <stp>Market</stp>
        <stp>STOCK</stp>
        <stp>83580.T</stp>
        <stp>後場始値</stp>
        <tr r="R1006" s="7"/>
      </tp>
      <tp>
        <v>177</v>
        <stp/>
        <stp>Market</stp>
        <stp>STOCK</stp>
        <stp>13570.T</stp>
        <stp>後場始値</stp>
        <tr r="R12" s="7"/>
      </tp>
      <tp>
        <v>1455</v>
        <stp/>
        <stp>Market</stp>
        <stp>STOCK</stp>
        <stp>53570.T</stp>
        <stp>後場始値</stp>
        <tr r="R588" s="7"/>
      </tp>
      <tp t="s">
        <v>表示銘柄数超過</v>
        <stp/>
        <stp>Market</stp>
        <stp>STOCK</stp>
        <stp>13560.T</stp>
        <stp>後場始値</stp>
        <tr r="R11" s="7"/>
      </tp>
      <tp>
        <v>665</v>
        <stp/>
        <stp>Market</stp>
        <stp>STOCK</stp>
        <stp>63560.T</stp>
        <stp>後場始値</stp>
        <tr r="R693" s="7"/>
      </tp>
      <tp t="s">
        <v>表示銘柄数超過</v>
        <stp/>
        <stp>Market</stp>
        <stp>STOCK</stp>
        <stp>33550.T</stp>
        <stp>後場始値</stp>
        <tr r="R284" s="7"/>
      </tp>
      <tp t="s">
        <v>表示銘柄数超過</v>
        <stp/>
        <stp>Market</stp>
        <stp>STOCK</stp>
        <stp>43550.T</stp>
        <stp>後場始値</stp>
        <tr r="R448" s="7"/>
      </tp>
      <tp t="s">
        <v>表示銘柄数超過</v>
        <stp/>
        <stp>Market</stp>
        <stp>STOCK</stp>
        <stp>23540.T</stp>
        <stp>後場始値</stp>
        <tr r="R125" s="7"/>
      </tp>
      <tp t="s">
        <v>表示銘柄数超過</v>
        <stp/>
        <stp>Market</stp>
        <stp>STOCK</stp>
        <stp>23530.T</stp>
        <stp>後場始値</stp>
        <tr r="R124" s="7"/>
      </tp>
      <tp>
        <v>919</v>
        <stp/>
        <stp>Market</stp>
        <stp>STOCK</stp>
        <stp>73530.T</stp>
        <stp>後場始値</stp>
        <tr r="R879" s="7"/>
      </tp>
      <tp t="s">
        <v>表示銘柄数超過</v>
        <stp/>
        <stp>Market</stp>
        <stp>STOCK</stp>
        <stp>23510.T</stp>
        <stp>後場始値</stp>
        <tr r="R123" s="7"/>
      </tp>
      <tp>
        <v>577</v>
        <stp/>
        <stp>Market</stp>
        <stp>STOCK</stp>
        <stp>73510.T</stp>
        <stp>後場始値</stp>
        <tr r="R878" s="7"/>
      </tp>
      <tp t="s">
        <v>表示銘柄数超過</v>
        <stp/>
        <stp>Market</stp>
        <stp>STOCK</stp>
        <stp>33500.T</stp>
        <stp>後場始値</stp>
        <tr r="R283" s="7"/>
      </tp>
      <tp>
        <v>2474</v>
        <stp/>
        <stp>Market</stp>
        <stp>STOCK</stp>
        <stp>73500.T</stp>
        <stp>後場始値</stp>
        <tr r="R877" s="7"/>
      </tp>
      <tp t="s">
        <v>表示銘柄数超過</v>
        <stp/>
        <stp>Market</stp>
        <stp>STOCK</stp>
        <stp>43500.T</stp>
        <stp>後場始値</stp>
        <tr r="R447" s="7"/>
      </tp>
      <tp t="s">
        <v>表示銘柄数超過</v>
        <stp/>
        <stp>Market</stp>
        <stp>STOCK</stp>
        <stp>33280.T</stp>
        <stp>後場始値</stp>
        <tr r="R280" s="7"/>
      </tp>
      <tp t="s">
        <v>表示銘柄数超過</v>
        <stp/>
        <stp>Market</stp>
        <stp>STOCK</stp>
        <stp>33260.T</stp>
        <stp>後場始値</stp>
        <tr r="R279" s="7"/>
      </tp>
      <tp t="s">
        <v>表示銘柄数超過</v>
        <stp/>
        <stp>Market</stp>
        <stp>STOCK</stp>
        <stp>13250.T</stp>
        <stp>後場始値</stp>
        <tr r="R7" s="7"/>
      </tp>
      <tp t="s">
        <v>表示銘柄数超過</v>
        <stp/>
        <stp>Market</stp>
        <stp>STOCK</stp>
        <stp>93250.T</stp>
        <stp>後場始値</stp>
        <tr r="R1110" s="7"/>
      </tp>
      <tp t="s">
        <v>表示銘柄数超過</v>
        <stp/>
        <stp>Market</stp>
        <stp>STOCK</stp>
        <stp>43240.T</stp>
        <stp>後場始値</stp>
        <tr r="R443" s="7"/>
      </tp>
      <tp t="s">
        <v>表示銘柄数超過</v>
        <stp/>
        <stp>Market</stp>
        <stp>STOCK</stp>
        <stp>33230.T</stp>
        <stp>後場始値</stp>
        <tr r="R278" s="7"/>
      </tp>
      <tp t="s">
        <v>表示銘柄数超過</v>
        <stp/>
        <stp>Market</stp>
        <stp>STOCK</stp>
        <stp>23230.T</stp>
        <stp>後場始値</stp>
        <tr r="R116" s="7"/>
      </tp>
      <tp t="s">
        <v>表示銘柄数超過</v>
        <stp/>
        <stp>Market</stp>
        <stp>STOCK</stp>
        <stp>23210.T</stp>
        <stp>後場始値</stp>
        <tr r="R115" s="7"/>
      </tp>
      <tp t="s">
        <v>表示銘柄数超過</v>
        <stp/>
        <stp>Market</stp>
        <stp>STOCK</stp>
        <stp>23370.T</stp>
        <stp>後場始値</stp>
        <tr r="R118" s="7"/>
      </tp>
      <tp>
        <v>978.4</v>
        <stp/>
        <stp>Market</stp>
        <stp>STOCK</stp>
        <stp>73370.T</stp>
        <stp>後場始値</stp>
        <tr r="R875" s="7"/>
      </tp>
      <tp t="s">
        <v>表示銘柄数超過</v>
        <stp/>
        <stp>Market</stp>
        <stp>STOCK</stp>
        <stp>43370.T</stp>
        <stp>後場始値</stp>
        <tr r="R444" s="7"/>
      </tp>
      <tp>
        <v>845</v>
        <stp/>
        <stp>Market</stp>
        <stp>STOCK</stp>
        <stp>83370.T</stp>
        <stp>後場始値</stp>
        <tr r="R1005" s="7"/>
      </tp>
      <tp>
        <v>705</v>
        <stp/>
        <stp>Market</stp>
        <stp>STOCK</stp>
        <stp>63360.T</stp>
        <stp>後場始値</stp>
        <tr r="R690" s="7"/>
      </tp>
      <tp>
        <v>364</v>
        <stp/>
        <stp>Market</stp>
        <stp>STOCK</stp>
        <stp>63340.T</stp>
        <stp>後場始値</stp>
        <tr r="R689" s="7"/>
      </tp>
      <tp>
        <v>4242</v>
        <stp/>
        <stp>Market</stp>
        <stp>STOCK</stp>
        <stp>53340.T</stp>
        <stp>後場始値</stp>
        <tr r="R586" s="7"/>
      </tp>
      <tp t="s">
        <v>表示銘柄数超過</v>
        <stp/>
        <stp>Market</stp>
        <stp>STOCK</stp>
        <stp>33330.T</stp>
        <stp>後場始値</stp>
        <tr r="R281" s="7"/>
      </tp>
      <tp t="s">
        <v>表示銘柄数超過</v>
        <stp/>
        <stp>Market</stp>
        <stp>STOCK</stp>
        <stp>13330.T</stp>
        <stp>後場始値</stp>
        <tr r="R9" s="7"/>
      </tp>
      <tp t="s">
        <v>表示銘柄数超過</v>
        <stp/>
        <stp>Market</stp>
        <stp>STOCK</stp>
        <stp>13320.T</stp>
        <stp>後場始値</stp>
        <tr r="R8" s="7"/>
      </tp>
      <tp>
        <v>1085.5</v>
        <stp/>
        <stp>Market</stp>
        <stp>STOCK</stp>
        <stp>83310.T</stp>
        <stp>後場始値</stp>
        <tr r="R1004" s="7"/>
      </tp>
      <tp t="s">
        <v>表示銘柄数超過</v>
        <stp/>
        <stp>Market</stp>
        <stp>STOCK</stp>
        <stp>23300.T</stp>
        <stp>後場始値</stp>
        <tr r="R117" s="7"/>
      </tp>
      <tp>
        <v>809</v>
        <stp/>
        <stp>Market</stp>
        <stp>STOCK</stp>
        <stp>63300.T</stp>
        <stp>後場始値</stp>
        <tr r="R688" s="7"/>
      </tp>
      <tp t="s">
        <v>表示銘柄数超過</v>
        <stp/>
        <stp>Market</stp>
        <stp>STOCK</stp>
        <stp>13080.T</stp>
        <stp>後場始値</stp>
        <tr r="R4" s="7"/>
      </tp>
      <tp t="s">
        <v>表示銘柄数超過</v>
        <stp/>
        <stp>Market</stp>
        <stp>STOCK</stp>
        <stp>43080.T</stp>
        <stp>後場始値</stp>
        <tr r="R441" s="7"/>
      </tp>
      <tp t="s">
        <v>表示銘柄数超過</v>
        <stp/>
        <stp>Market</stp>
        <stp>STOCK</stp>
        <stp>93070.T</stp>
        <stp>後場始値</stp>
        <tr r="R1109" s="7"/>
      </tp>
      <tp t="s">
        <v>表示銘柄数超過</v>
        <stp/>
        <stp>Market</stp>
        <stp>STOCK</stp>
        <stp>13060.T</stp>
        <stp>後場始値</stp>
        <tr r="R3" s="7"/>
      </tp>
      <tp t="s">
        <v>表示銘柄数超過</v>
        <stp/>
        <stp>Market</stp>
        <stp>STOCK</stp>
        <stp>23050.T</stp>
        <stp>後場始値</stp>
        <tr r="R112" s="7"/>
      </tp>
      <tp t="s">
        <v>表示銘柄数超過</v>
        <stp/>
        <stp>Market</stp>
        <stp>STOCK</stp>
        <stp>13050.T</stp>
        <stp>後場始値</stp>
        <tr r="R2" s="7"/>
      </tp>
      <tp>
        <v>4265</v>
        <stp/>
        <stp>Market</stp>
        <stp>STOCK</stp>
        <stp>63050.T</stp>
        <stp>後場始値</stp>
        <tr r="R687" s="7"/>
      </tp>
      <tp t="s">
        <v>表示銘柄数超過</v>
        <stp/>
        <stp>Market</stp>
        <stp>STOCK</stp>
        <stp>23040.T</stp>
        <stp>後場始値</stp>
        <tr r="R111" s="7"/>
      </tp>
      <tp t="s">
        <v>表示銘柄数超過</v>
        <stp/>
        <stp>Market</stp>
        <stp>STOCK</stp>
        <stp>43040.T</stp>
        <stp>後場始値</stp>
        <tr r="R440" s="7"/>
      </tp>
      <tp>
        <v>4300</v>
        <stp/>
        <stp>Market</stp>
        <stp>STOCK</stp>
        <stp>63010.T</stp>
        <stp>後場始値</stp>
        <tr r="R686" s="7"/>
      </tp>
      <tp t="s">
        <v>表示銘柄数超過</v>
        <stp/>
        <stp>Market</stp>
        <stp>STOCK</stp>
        <stp>33000.T</stp>
        <stp>後場始値</stp>
        <tr r="R275" s="7"/>
      </tp>
      <tp t="s">
        <v>表示銘柄数超過</v>
        <stp/>
        <stp>Market</stp>
        <stp>STOCK</stp>
        <stp>13190.T</stp>
        <stp>後場始値</stp>
        <tr r="R6" s="7"/>
      </tp>
      <tp t="s">
        <v>表示銘柄数超過</v>
        <stp/>
        <stp>Market</stp>
        <stp>STOCK</stp>
        <stp>23170.T</stp>
        <stp>後場始値</stp>
        <tr r="R114" s="7"/>
      </tp>
      <tp>
        <v>847</v>
        <stp/>
        <stp>Market</stp>
        <stp>STOCK</stp>
        <stp>73170.T</stp>
        <stp>後場始値</stp>
        <tr r="R874" s="7"/>
      </tp>
      <tp t="s">
        <v>表示銘柄数超過</v>
        <stp/>
        <stp>Market</stp>
        <stp>STOCK</stp>
        <stp>33160.T</stp>
        <stp>後場始値</stp>
        <tr r="R277" s="7"/>
      </tp>
      <tp t="s">
        <v>表示銘柄数超過</v>
        <stp/>
        <stp>Market</stp>
        <stp>STOCK</stp>
        <stp>43160.T</stp>
        <stp>後場始値</stp>
        <tr r="R442" s="7"/>
      </tp>
      <tp>
        <v>7660</v>
        <stp/>
        <stp>Market</stp>
        <stp>STOCK</stp>
        <stp>83160.T</stp>
        <stp>後場始値</stp>
        <tr r="R1003" s="7"/>
      </tp>
      <tp t="s">
        <v>表示銘柄数超過</v>
        <stp/>
        <stp>Market</stp>
        <stp>STOCK</stp>
        <stp>33150.T</stp>
        <stp>後場始値</stp>
        <tr r="R276" s="7"/>
      </tp>
      <tp>
        <v>43</v>
        <stp/>
        <stp>Market</stp>
        <stp>STOCK</stp>
        <stp>23150.T</stp>
        <stp>後場始値</stp>
        <tr r="R113" s="7"/>
      </tp>
      <tp t="s">
        <v>表示銘柄数超過</v>
        <stp/>
        <stp>Market</stp>
        <stp>STOCK</stp>
        <stp>13110.T</stp>
        <stp>後場始値</stp>
        <tr r="R5" s="7"/>
      </tp>
      <tp t="s">
        <v>表示銘柄数超過</v>
        <stp/>
        <stp>Market</stp>
        <stp>STOCK</stp>
        <stp>33880.T</stp>
        <stp>後場始値</stp>
        <tr r="R292" s="7"/>
      </tp>
      <tp t="s">
        <v>表示銘柄数超過</v>
        <stp/>
        <stp>Market</stp>
        <stp>STOCK</stp>
        <stp>23880.T</stp>
        <stp>後場始値</stp>
        <tr r="R131" s="7"/>
      </tp>
      <tp t="s">
        <v>表示銘柄数超過</v>
        <stp/>
        <stp>Market</stp>
        <stp>STOCK</stp>
        <stp>43880.T</stp>
        <stp>後場始値</stp>
        <tr r="R457" s="7"/>
      </tp>
      <tp>
        <v>1047</v>
        <stp/>
        <stp>Market</stp>
        <stp>STOCK</stp>
        <stp>83870.T</stp>
        <stp>後場始値</stp>
        <tr r="R1009" s="7"/>
      </tp>
      <tp t="s">
        <v>表示銘柄数超過</v>
        <stp/>
        <stp>Market</stp>
        <stp>STOCK</stp>
        <stp>33860.T</stp>
        <stp>後場始値</stp>
        <tr r="R291" s="7"/>
      </tp>
      <tp t="s">
        <v>表示銘柄数超過</v>
        <stp/>
        <stp>Market</stp>
        <stp>STOCK</stp>
        <stp>43850.T</stp>
        <stp>後場始値</stp>
        <tr r="R456" s="7"/>
      </tp>
      <tp>
        <v>1838</v>
        <stp/>
        <stp>Market</stp>
        <stp>STOCK</stp>
        <stp>73840.T</stp>
        <stp>後場始値</stp>
        <tr r="R885" s="7"/>
      </tp>
      <tp>
        <v>155</v>
        <stp/>
        <stp>Market</stp>
        <stp>STOCK</stp>
        <stp>73830.T</stp>
        <stp>後場始値</stp>
        <tr r="R884" s="7"/>
      </tp>
      <tp>
        <v>2825</v>
        <stp/>
        <stp>Market</stp>
        <stp>STOCK</stp>
        <stp>63830.T</stp>
        <stp>後場始値</stp>
        <tr r="R697" s="7"/>
      </tp>
      <tp>
        <v>1408</v>
        <stp/>
        <stp>Market</stp>
        <stp>STOCK</stp>
        <stp>83830.T</stp>
        <stp>後場始値</stp>
        <tr r="R1008" s="7"/>
      </tp>
      <tp t="s">
        <v>表示銘柄数超過</v>
        <stp/>
        <stp>Market</stp>
        <stp>STOCK</stp>
        <stp>33820.T</stp>
        <stp>後場始値</stp>
        <tr r="R290" s="7"/>
      </tp>
      <tp t="s">
        <v>表示銘柄数超過</v>
        <stp/>
        <stp>Market</stp>
        <stp>STOCK</stp>
        <stp>43820.T</stp>
        <stp>後場始値</stp>
        <tr r="R455" s="7"/>
      </tp>
      <tp>
        <v>1295</v>
        <stp/>
        <stp>Market</stp>
        <stp>STOCK</stp>
        <stp>63810.T</stp>
        <stp>後場始値</stp>
        <tr r="R696" s="7"/>
      </tp>
      <tp>
        <v>477</v>
        <stp/>
        <stp>Market</stp>
        <stp>STOCK</stp>
        <stp>53810.T</stp>
        <stp>後場始値</stp>
        <tr r="R589" s="7"/>
      </tp>
      <tp t="s">
        <v>表示銘柄数超過</v>
        <stp/>
        <stp>Market</stp>
        <stp>STOCK</stp>
        <stp>93800.T</stp>
        <stp>後場始値</stp>
        <tr r="R1112" s="7"/>
      </tp>
      <tp t="s">
        <v>表示銘柄数超過</v>
        <stp/>
        <stp>Market</stp>
        <stp>STOCK</stp>
        <stp>13990.T</stp>
        <stp>後場始値</stp>
        <tr r="R16" s="7"/>
      </tp>
      <tp>
        <v>4</v>
        <stp/>
        <stp>Market</stp>
        <stp>STOCK</stp>
        <stp>93990.T</stp>
        <stp>後場始値</stp>
        <tr r="R1113" s="7"/>
      </tp>
      <tp>
        <v>1173</v>
        <stp/>
        <stp>Market</stp>
        <stp>STOCK</stp>
        <stp>63950.T</stp>
        <stp>後場始値</stp>
        <tr r="R699" s="7"/>
      </tp>
      <tp t="s">
        <v>表示銘柄数超過</v>
        <stp/>
        <stp>Market</stp>
        <stp>STOCK</stp>
        <stp>43950.T</stp>
        <stp>後場始値</stp>
        <tr r="R458" s="7"/>
      </tp>
      <tp t="s">
        <v>表示銘柄数超過</v>
        <stp/>
        <stp>Market</stp>
        <stp>STOCK</stp>
        <stp>33920.T</stp>
        <stp>後場始値</stp>
        <tr r="R293" s="7"/>
      </tp>
      <tp>
        <v>1510</v>
        <stp/>
        <stp>Market</stp>
        <stp>STOCK</stp>
        <stp>63900.T</stp>
        <stp>後場始値</stp>
        <tr r="R698" s="7"/>
      </tp>
    </main>
    <main first="rtdsrv.662c26bade854d00aebc6010f8a2e03a">
      <tp>
        <v>471.43520000000001</v>
        <stp/>
        <stp>Market</stp>
        <stp>STOCK</stp>
        <stp>85080.T</stp>
        <stp>出来高加重平均</stp>
        <tr r="T1014" s="7"/>
      </tp>
      <tp>
        <v>383.63490000000002</v>
        <stp/>
        <stp>Market</stp>
        <stp>STOCK</stp>
        <stp>85150.T</stp>
        <stp>出来高加重平均</stp>
        <tr r="T1016" s="7"/>
      </tp>
      <tp>
        <v>1565.5528999999999</v>
        <stp/>
        <stp>Market</stp>
        <stp>STOCK</stp>
        <stp>85110.T</stp>
        <stp>出来高加重平均</stp>
        <tr r="T1015" s="7"/>
      </tp>
      <tp>
        <v>281.86020000000002</v>
        <stp/>
        <stp>Market</stp>
        <stp>STOCK</stp>
        <stp>85180.T</stp>
        <stp>出来高加重平均</stp>
        <tr r="T1017" s="7"/>
      </tp>
      <tp>
        <v>374.66210000000001</v>
        <stp/>
        <stp>Market</stp>
        <stp>STOCK</stp>
        <stp>85240.T</stp>
        <stp>出来高加重平均</stp>
        <tr r="T1018" s="7"/>
      </tp>
      <tp>
        <v>231.4847</v>
        <stp/>
        <stp>Market</stp>
        <stp>STOCK</stp>
        <stp>85620.T</stp>
        <stp>出来高加重平均</stp>
        <tr r="T1019" s="7"/>
      </tp>
      <tp>
        <v>362.84230000000002</v>
        <stp/>
        <stp>Market</stp>
        <stp>STOCK</stp>
        <stp>85720.T</stp>
        <stp>出来高加重平均</stp>
        <tr r="T1021" s="7"/>
      </tp>
      <tp>
        <v>1339.6126999999999</v>
        <stp/>
        <stp>Market</stp>
        <stp>STOCK</stp>
        <stp>85700.T</stp>
        <stp>出来高加重平均</stp>
        <tr r="T1020" s="7"/>
      </tp>
      <tp>
        <v>1065.1222</v>
        <stp/>
        <stp>Market</stp>
        <stp>STOCK</stp>
        <stp>85850.T</stp>
        <stp>出来高加重平均</stp>
        <tr r="T1022" s="7"/>
      </tp>
      <tp>
        <v>1045.1649</v>
        <stp/>
        <stp>Market</stp>
        <stp>STOCK</stp>
        <stp>85930.T</stp>
        <stp>出来高加重平均</stp>
        <tr r="T1024" s="7"/>
      </tp>
      <tp>
        <v>2870.2465999999999</v>
        <stp/>
        <stp>Market</stp>
        <stp>STOCK</stp>
        <stp>85910.T</stp>
        <stp>出来高加重平均</stp>
        <tr r="T1023" s="7"/>
      </tp>
      <tp>
        <v>937.24</v>
        <stp/>
        <stp>Market</stp>
        <stp>STOCK</stp>
        <stp>84160.T</stp>
        <stp>出来高加重平均</stp>
        <tr r="T1011" s="7"/>
      </tp>
      <tp>
        <v>303.07900000000001</v>
        <stp/>
        <stp>Market</stp>
        <stp>STOCK</stp>
        <stp>84100.T</stp>
        <stp>出来高加重平均</stp>
        <tr r="T1010" s="7"/>
      </tp>
      <tp>
        <v>493.7903</v>
        <stp/>
        <stp>Market</stp>
        <stp>STOCK</stp>
        <stp>84620.T</stp>
        <stp>出来高加重平均</stp>
        <tr r="T1012" s="7"/>
      </tp>
      <tp>
        <v>3766.0949999999998</v>
        <stp/>
        <stp>Market</stp>
        <stp>STOCK</stp>
        <stp>84730.T</stp>
        <stp>出来高加重平均</stp>
        <tr r="T1013" s="7"/>
      </tp>
      <tp>
        <v>987.77250000000004</v>
        <stp/>
        <stp>Market</stp>
        <stp>STOCK</stp>
        <stp>87060.T</stp>
        <stp>出来高加重平均</stp>
        <tr r="T1038" s="7"/>
      </tp>
      <tp>
        <v>182.02350000000001</v>
        <stp/>
        <stp>Market</stp>
        <stp>STOCK</stp>
        <stp>87050.T</stp>
        <stp>出来高加重平均</stp>
        <tr r="T1037" s="7"/>
      </tp>
      <tp>
        <v>1209.0376000000001</v>
        <stp/>
        <stp>Market</stp>
        <stp>STOCK</stp>
        <stp>87080.T</stp>
        <stp>出来高加重平均</stp>
        <tr r="T1039" s="7"/>
      </tp>
      <tp>
        <v>504.13630000000001</v>
        <stp/>
        <stp>Market</stp>
        <stp>STOCK</stp>
        <stp>87370.T</stp>
        <stp>出来高加重平均</stp>
        <tr r="T1041" s="7"/>
      </tp>
      <tp>
        <v>300.15179999999998</v>
        <stp/>
        <stp>Market</stp>
        <stp>STOCK</stp>
        <stp>87320.T</stp>
        <stp>出来高加重平均</stp>
        <tr r="T1040" s="7"/>
      </tp>
      <tp>
        <v>99.547799999999995</v>
        <stp/>
        <stp>Market</stp>
        <stp>STOCK</stp>
        <stp>87460.T</stp>
        <stp>出来高加重平均</stp>
        <tr r="T1043" s="7"/>
      </tp>
      <tp>
        <v>254.70580000000001</v>
        <stp/>
        <stp>Market</stp>
        <stp>STOCK</stp>
        <stp>87420.T</stp>
        <stp>出来高加重平均</stp>
        <tr r="T1042" s="7"/>
      </tp>
      <tp t="s">
        <v>表示銘柄数超過</v>
        <stp/>
        <stp>Market</stp>
        <stp>STOCK</stp>
        <stp>87500.T</stp>
        <stp>出来高加重平均</stp>
        <tr r="T1044" s="7"/>
      </tp>
      <tp t="s">
        <v>表示銘柄数超過</v>
        <stp/>
        <stp>Market</stp>
        <stp>STOCK</stp>
        <stp>87660.T</stp>
        <stp>出来高加重平均</stp>
        <tr r="T1045" s="7"/>
      </tp>
      <tp t="s">
        <v>表示銘柄数超過</v>
        <stp/>
        <stp>Market</stp>
        <stp>STOCK</stp>
        <stp>87690.T</stp>
        <stp>出来高加重平均</stp>
        <tr r="T1046" s="7"/>
      </tp>
      <tp t="s">
        <v>表示銘柄数超過</v>
        <stp/>
        <stp>Market</stp>
        <stp>STOCK</stp>
        <stp>87830.T</stp>
        <stp>出来高加重平均</stp>
        <tr r="T1047" s="7"/>
      </tp>
      <tp t="s">
        <v>表示銘柄数超過</v>
        <stp/>
        <stp>Market</stp>
        <stp>STOCK</stp>
        <stp>87890.T</stp>
        <stp>出来高加重平均</stp>
        <tr r="T1048" s="7"/>
      </tp>
      <tp t="s">
        <v>表示銘柄数超過</v>
        <stp/>
        <stp>Market</stp>
        <stp>STOCK</stp>
        <stp>87930.T</stp>
        <stp>出来高加重平均</stp>
        <tr r="T1049" s="7"/>
      </tp>
      <tp>
        <v>808.08029999999997</v>
        <stp/>
        <stp>Market</stp>
        <stp>STOCK</stp>
        <stp>86040.T</stp>
        <stp>出来高加重平均</stp>
        <tr r="T1026" s="7"/>
      </tp>
      <tp>
        <v>1003.851</v>
        <stp/>
        <stp>Market</stp>
        <stp>STOCK</stp>
        <stp>86010.T</stp>
        <stp>出来高加重平均</stp>
        <tr r="T1025" s="7"/>
      </tp>
      <tp>
        <v>702.38149999999996</v>
        <stp/>
        <stp>Market</stp>
        <stp>STOCK</stp>
        <stp>86090.T</stp>
        <stp>出来高加重平均</stp>
        <tr r="T1027" s="7"/>
      </tp>
      <tp>
        <v>588.85299999999995</v>
        <stp/>
        <stp>Market</stp>
        <stp>STOCK</stp>
        <stp>86170.T</stp>
        <stp>出来高加重平均</stp>
        <tr r="T1031" s="7"/>
      </tp>
      <tp>
        <v>566.62570000000005</v>
        <stp/>
        <stp>Market</stp>
        <stp>STOCK</stp>
        <stp>86160.T</stp>
        <stp>出来高加重平均</stp>
        <tr r="T1030" s="7"/>
      </tp>
      <tp>
        <v>330.33850000000001</v>
        <stp/>
        <stp>Market</stp>
        <stp>STOCK</stp>
        <stp>86140.T</stp>
        <stp>出来高加重平均</stp>
        <tr r="T1029" s="7"/>
      </tp>
      <tp>
        <v>923.86659999999995</v>
        <stp/>
        <stp>Market</stp>
        <stp>STOCK</stp>
        <stp>86130.T</stp>
        <stp>出来高加重平均</stp>
        <tr r="T1028" s="7"/>
      </tp>
      <tp>
        <v>745.72910000000002</v>
        <stp/>
        <stp>Market</stp>
        <stp>STOCK</stp>
        <stp>86240.T</stp>
        <stp>出来高加重平均</stp>
        <tr r="T1033" s="7"/>
      </tp>
      <tp>
        <v>447.9717</v>
        <stp/>
        <stp>Market</stp>
        <stp>STOCK</stp>
        <stp>86220.T</stp>
        <stp>出来高加重平均</stp>
        <tr r="T1032" s="7"/>
      </tp>
      <tp>
        <v>849.88789999999995</v>
        <stp/>
        <stp>Market</stp>
        <stp>STOCK</stp>
        <stp>86280.T</stp>
        <stp>出来高加重平均</stp>
        <tr r="T1034" s="7"/>
      </tp>
      <tp>
        <v>3310.1756999999998</v>
        <stp/>
        <stp>Market</stp>
        <stp>STOCK</stp>
        <stp>86970.T</stp>
        <stp>出来高加重平均</stp>
        <tr r="T1035" s="7"/>
      </tp>
      <tp>
        <v>723.95870000000002</v>
        <stp/>
        <stp>Market</stp>
        <stp>STOCK</stp>
        <stp>86980.T</stp>
        <stp>出来高加重平均</stp>
        <tr r="T1036" s="7"/>
      </tp>
      <tp>
        <v>49.242400000000004</v>
        <stp/>
        <stp>Market</stp>
        <stp>STOCK</stp>
        <stp>81050.T</stp>
        <stp>出来高加重平均</stp>
        <tr r="T978" s="7"/>
      </tp>
      <tp>
        <v>706.08360000000005</v>
        <stp/>
        <stp>Market</stp>
        <stp>STOCK</stp>
        <stp>81040.T</stp>
        <stp>出来高加重平均</stp>
        <tr r="T977" s="7"/>
      </tp>
      <tp>
        <v>714.12300000000005</v>
        <stp/>
        <stp>Market</stp>
        <stp>STOCK</stp>
        <stp>81030.T</stp>
        <stp>出来高加重平均</stp>
        <tr r="T976" s="7"/>
      </tp>
      <tp>
        <v>698.09519999999998</v>
        <stp/>
        <stp>Market</stp>
        <stp>STOCK</stp>
        <stp>81180.T</stp>
        <stp>出来高加重平均</stp>
        <tr r="T979" s="7"/>
      </tp>
      <tp>
        <v>319.5652</v>
        <stp/>
        <stp>Market</stp>
        <stp>STOCK</stp>
        <stp>81350.T</stp>
        <stp>出来高加重平均</stp>
        <tr r="T981" s="7"/>
      </tp>
      <tp>
        <v>1552.8715999999999</v>
        <stp/>
        <stp>Market</stp>
        <stp>STOCK</stp>
        <stp>81330.T</stp>
        <stp>出来高加重平均</stp>
        <tr r="T980" s="7"/>
      </tp>
      <tp>
        <v>1546.0563</v>
        <stp/>
        <stp>Market</stp>
        <stp>STOCK</stp>
        <stp>81390.T</stp>
        <stp>出来高加重平均</stp>
        <tr r="T982" s="7"/>
      </tp>
      <tp>
        <v>286.66660000000002</v>
        <stp/>
        <stp>Market</stp>
        <stp>STOCK</stp>
        <stp>81430.T</stp>
        <stp>出来高加重平均</stp>
        <tr r="T983" s="7"/>
      </tp>
      <tp>
        <v>3450.0672</v>
        <stp/>
        <stp>Market</stp>
        <stp>STOCK</stp>
        <stp>81530.T</stp>
        <stp>出来高加重平均</stp>
        <tr r="T985" s="7"/>
      </tp>
      <tp>
        <v>2308.6550000000002</v>
        <stp/>
        <stp>Market</stp>
        <stp>STOCK</stp>
        <stp>81500.T</stp>
        <stp>出来高加重平均</stp>
        <tr r="T984" s="7"/>
      </tp>
      <tp>
        <v>65.956599999999995</v>
        <stp/>
        <stp>Market</stp>
        <stp>STOCK</stp>
        <stp>81660.T</stp>
        <stp>出来高加重平均</stp>
        <tr r="T986" s="7"/>
      </tp>
      <tp>
        <v>2365.2680999999998</v>
        <stp/>
        <stp>Market</stp>
        <stp>STOCK</stp>
        <stp>81730.T</stp>
        <stp>出来高加重平均</stp>
        <tr r="T987" s="7"/>
      </tp>
      <tp>
        <v>2552.8849</v>
        <stp/>
        <stp>Market</stp>
        <stp>STOCK</stp>
        <stp>81790.T</stp>
        <stp>出来高加重平均</stp>
        <tr r="T988" s="7"/>
      </tp>
      <tp>
        <v>3745.0596999999998</v>
        <stp/>
        <stp>Market</stp>
        <stp>STOCK</stp>
        <stp>81940.T</stp>
        <stp>出来高加重平均</stp>
        <tr r="T989" s="7"/>
      </tp>
      <tp>
        <v>966.37270000000001</v>
        <stp/>
        <stp>Market</stp>
        <stp>STOCK</stp>
        <stp>80050.T</stp>
        <stp>出来高加重平均</stp>
        <tr r="T965" s="7"/>
      </tp>
      <tp>
        <v>6653.4868999999999</v>
        <stp/>
        <stp>Market</stp>
        <stp>STOCK</stp>
        <stp>80010.T</stp>
        <stp>出来高加重平均</stp>
        <tr r="T964" s="7"/>
      </tp>
      <tp>
        <v>1965.2844</v>
        <stp/>
        <stp>Market</stp>
        <stp>STOCK</stp>
        <stp>80080.T</stp>
        <stp>出来高加重平均</stp>
        <tr r="T966" s="7"/>
      </tp>
      <tp>
        <v>541.49630000000002</v>
        <stp/>
        <stp>Market</stp>
        <stp>STOCK</stp>
        <stp>80160.T</stp>
        <stp>出来高加重平均</stp>
        <tr r="T967" s="7"/>
      </tp>
      <tp>
        <v>2324.8216000000002</v>
        <stp/>
        <stp>Market</stp>
        <stp>STOCK</stp>
        <stp>80200.T</stp>
        <stp>出来高加重平均</stp>
        <tr r="T968" s="7"/>
      </tp>
      <tp>
        <v>5825.3395</v>
        <stp/>
        <stp>Market</stp>
        <stp>STOCK</stp>
        <stp>80310.T</stp>
        <stp>出来高加重平均</stp>
        <tr r="T969" s="7"/>
      </tp>
      <tp>
        <v>4493.9421000000002</v>
        <stp/>
        <stp>Market</stp>
        <stp>STOCK</stp>
        <stp>80560.T</stp>
        <stp>出来高加重平均</stp>
        <tr r="T971" s="7"/>
      </tp>
      <tp>
        <v>3334.8998000000001</v>
        <stp/>
        <stp>Market</stp>
        <stp>STOCK</stp>
        <stp>80530.T</stp>
        <stp>出来高加重平均</stp>
        <tr r="T970" s="7"/>
      </tp>
      <tp>
        <v>2768.5142000000001</v>
        <stp/>
        <stp>Market</stp>
        <stp>STOCK</stp>
        <stp>80580.T</stp>
        <stp>出来高加重平均</stp>
        <tr r="T972" s="7"/>
      </tp>
      <tp>
        <v>295.03870000000001</v>
        <stp/>
        <stp>Market</stp>
        <stp>STOCK</stp>
        <stp>80770.T</stp>
        <stp>出来高加重平均</stp>
        <tr r="T973" s="7"/>
      </tp>
      <tp>
        <v>1503.0626999999999</v>
        <stp/>
        <stp>Market</stp>
        <stp>STOCK</stp>
        <stp>80810.T</stp>
        <stp>出来高加重平均</stp>
        <tr r="T974" s="7"/>
      </tp>
      <tp>
        <v>472.46929999999998</v>
        <stp/>
        <stp>Market</stp>
        <stp>STOCK</stp>
        <stp>80950.T</stp>
        <stp>出来高加重平均</stp>
        <tr r="T975" s="7"/>
      </tp>
      <tp>
        <v>7659.9440000000004</v>
        <stp/>
        <stp>Market</stp>
        <stp>STOCK</stp>
        <stp>83160.T</stp>
        <stp>出来高加重平均</stp>
        <tr r="T1003" s="7"/>
      </tp>
      <tp>
        <v>851.12390000000005</v>
        <stp/>
        <stp>Market</stp>
        <stp>STOCK</stp>
        <stp>83370.T</stp>
        <stp>出来高加重平均</stp>
        <tr r="T1005" s="7"/>
      </tp>
      <tp>
        <v>1090.6872000000001</v>
        <stp/>
        <stp>Market</stp>
        <stp>STOCK</stp>
        <stp>83310.T</stp>
        <stp>出来高加重平均</stp>
        <tr r="T1004" s="7"/>
      </tp>
      <tp>
        <v>803.71939999999995</v>
        <stp/>
        <stp>Market</stp>
        <stp>STOCK</stp>
        <stp>83580.T</stp>
        <stp>出来高加重平均</stp>
        <tr r="T1006" s="7"/>
      </tp>
      <tp>
        <v>1582.2871</v>
        <stp/>
        <stp>Market</stp>
        <stp>STOCK</stp>
        <stp>83770.T</stp>
        <stp>出来高加重平均</stp>
        <tr r="T1007" s="7"/>
      </tp>
      <tp>
        <v>1050.3592000000001</v>
        <stp/>
        <stp>Market</stp>
        <stp>STOCK</stp>
        <stp>83870.T</stp>
        <stp>出来高加重平均</stp>
        <tr r="T1009" s="7"/>
      </tp>
      <tp>
        <v>1405.5263</v>
        <stp/>
        <stp>Market</stp>
        <stp>STOCK</stp>
        <stp>83830.T</stp>
        <stp>出来高加重平均</stp>
        <tr r="T1008" s="7"/>
      </tp>
      <tp>
        <v>315.7978</v>
        <stp/>
        <stp>Market</stp>
        <stp>STOCK</stp>
        <stp>82070.T</stp>
        <stp>出来高加重平均</stp>
        <tr r="T992" s="7"/>
      </tp>
      <tp>
        <v>629.76120000000003</v>
        <stp/>
        <stp>Market</stp>
        <stp>STOCK</stp>
        <stp>82030.T</stp>
        <stp>出来高加重平均</stp>
        <tr r="T991" s="7"/>
      </tp>
      <tp>
        <v>241.5093</v>
        <stp/>
        <stp>Market</stp>
        <stp>STOCK</stp>
        <stp>82020.T</stp>
        <stp>出来高加重平均</stp>
        <tr r="T990" s="7"/>
      </tp>
      <tp>
        <v>209.8887</v>
        <stp/>
        <stp>Market</stp>
        <stp>STOCK</stp>
        <stp>82260.T</stp>
        <stp>出来高加重平均</stp>
        <tr r="T993" s="7"/>
      </tp>
      <tp>
        <v>963.61099999999999</v>
        <stp/>
        <stp>Market</stp>
        <stp>STOCK</stp>
        <stp>82370.T</stp>
        <stp>出来高加重平均</stp>
        <tr r="T995" s="7"/>
      </tp>
      <tp>
        <v>363.64670000000001</v>
        <stp/>
        <stp>Market</stp>
        <stp>STOCK</stp>
        <stp>82300.T</stp>
        <stp>出来高加重平均</stp>
        <tr r="T994" s="7"/>
      </tp>
      <tp>
        <v>498.09519999999998</v>
        <stp/>
        <stp>Market</stp>
        <stp>STOCK</stp>
        <stp>82470.T</stp>
        <stp>出来高加重平均</stp>
        <tr r="T998" s="7"/>
      </tp>
      <tp>
        <v>2572.6197999999999</v>
        <stp/>
        <stp>Market</stp>
        <stp>STOCK</stp>
        <stp>82440.T</stp>
        <stp>出来高加重平均</stp>
        <tr r="T997" s="7"/>
      </tp>
      <tp>
        <v>1811.7646999999999</v>
        <stp/>
        <stp>Market</stp>
        <stp>STOCK</stp>
        <stp>82420.T</stp>
        <stp>出来高加重平均</stp>
        <tr r="T996" s="7"/>
      </tp>
      <tp t="s">
        <v/>
        <stp/>
        <stp>Market</stp>
        <stp>STOCK</stp>
        <stp>82560.T</stp>
        <stp>出来高加重平均</stp>
        <tr r="T1000" s="7"/>
      </tp>
      <tp>
        <v>2449.5790000000002</v>
        <stp/>
        <stp>Market</stp>
        <stp>STOCK</stp>
        <stp>82520.T</stp>
        <stp>出来高加重平均</stp>
        <tr r="T999" s="7"/>
      </tp>
      <tp>
        <v>3579.7217000000001</v>
        <stp/>
        <stp>Market</stp>
        <stp>STOCK</stp>
        <stp>82670.T</stp>
        <stp>出来高加重平均</stp>
        <tr r="T1001" s="7"/>
      </tp>
      <tp>
        <v>493.6438</v>
        <stp/>
        <stp>Market</stp>
        <stp>STOCK</stp>
        <stp>82910.T</stp>
        <stp>出来高加重平均</stp>
        <tr r="T1002" s="7"/>
      </tp>
      <tp t="s">
        <v>表示銘柄数超過</v>
        <stp/>
        <stp>Market</stp>
        <stp>STOCK</stp>
        <stp>89050.T</stp>
        <stp>出来高加重平均</stp>
        <tr r="T1062" s="7"/>
      </tp>
      <tp t="s">
        <v>表示銘柄数超過</v>
        <stp/>
        <stp>Market</stp>
        <stp>STOCK</stp>
        <stp>89120.T</stp>
        <stp>出来高加重平均</stp>
        <tr r="T1063" s="7"/>
      </tp>
      <tp t="s">
        <v>表示銘柄数超過</v>
        <stp/>
        <stp>Market</stp>
        <stp>STOCK</stp>
        <stp>89180.T</stp>
        <stp>出来高加重平均</stp>
        <tr r="T1064" s="7"/>
      </tp>
      <tp t="s">
        <v>表示銘柄数超過</v>
        <stp/>
        <stp>Market</stp>
        <stp>STOCK</stp>
        <stp>89270.T</stp>
        <stp>出来高加重平均</stp>
        <tr r="T1067" s="7"/>
      </tp>
      <tp t="s">
        <v>表示銘柄数超過</v>
        <stp/>
        <stp>Market</stp>
        <stp>STOCK</stp>
        <stp>89250.T</stp>
        <stp>出来高加重平均</stp>
        <tr r="T1066" s="7"/>
      </tp>
      <tp t="s">
        <v>表示銘柄数超過</v>
        <stp/>
        <stp>Market</stp>
        <stp>STOCK</stp>
        <stp>89230.T</stp>
        <stp>出来高加重平均</stp>
        <tr r="T1065" s="7"/>
      </tp>
      <tp t="s">
        <v>表示銘柄数超過</v>
        <stp/>
        <stp>Market</stp>
        <stp>STOCK</stp>
        <stp>89380.T</stp>
        <stp>出来高加重平均</stp>
        <tr r="T1068" s="7"/>
      </tp>
      <tp t="s">
        <v>表示銘柄数超過</v>
        <stp/>
        <stp>Market</stp>
        <stp>STOCK</stp>
        <stp>89460.T</stp>
        <stp>出来高加重平均</stp>
        <tr r="T1071" s="7"/>
      </tp>
      <tp t="s">
        <v>表示銘柄数超過</v>
        <stp/>
        <stp>Market</stp>
        <stp>STOCK</stp>
        <stp>89450.T</stp>
        <stp>出来高加重平均</stp>
        <tr r="T1070" s="7"/>
      </tp>
      <tp t="s">
        <v>表示銘柄数超過</v>
        <stp/>
        <stp>Market</stp>
        <stp>STOCK</stp>
        <stp>89440.T</stp>
        <stp>出来高加重平均</stp>
        <tr r="T1069" s="7"/>
      </tp>
      <tp t="s">
        <v>表示銘柄数超過</v>
        <stp/>
        <stp>Market</stp>
        <stp>STOCK</stp>
        <stp>89960.T</stp>
        <stp>出来高加重平均</stp>
        <tr r="T1072" s="7"/>
      </tp>
      <tp t="s">
        <v>表示銘柄数超過</v>
        <stp/>
        <stp>Market</stp>
        <stp>STOCK</stp>
        <stp>88040.T</stp>
        <stp>出来高加重平均</stp>
        <tr r="T1052" s="7"/>
      </tp>
      <tp t="s">
        <v>表示銘柄数超過</v>
        <stp/>
        <stp>Market</stp>
        <stp>STOCK</stp>
        <stp>88020.T</stp>
        <stp>出来高加重平均</stp>
        <tr r="T1051" s="7"/>
      </tp>
      <tp t="s">
        <v>表示銘柄数超過</v>
        <stp/>
        <stp>Market</stp>
        <stp>STOCK</stp>
        <stp>88010.T</stp>
        <stp>出来高加重平均</stp>
        <tr r="T1050" s="7"/>
      </tp>
      <tp t="s">
        <v>表示銘柄数超過</v>
        <stp/>
        <stp>Market</stp>
        <stp>STOCK</stp>
        <stp>88180.T</stp>
        <stp>出来高加重平均</stp>
        <tr r="T1053" s="7"/>
      </tp>
      <tp t="s">
        <v>表示銘柄数超過</v>
        <stp/>
        <stp>Market</stp>
        <stp>STOCK</stp>
        <stp>88300.T</stp>
        <stp>出来高加重平均</stp>
        <tr r="T1054" s="7"/>
      </tp>
      <tp t="s">
        <v>表示銘柄数超過</v>
        <stp/>
        <stp>Market</stp>
        <stp>STOCK</stp>
        <stp>88440.T</stp>
        <stp>出来高加重平均</stp>
        <tr r="T1056" s="7"/>
      </tp>
      <tp t="s">
        <v>表示銘柄数超過</v>
        <stp/>
        <stp>Market</stp>
        <stp>STOCK</stp>
        <stp>88410.T</stp>
        <stp>出来高加重平均</stp>
        <tr r="T1055" s="7"/>
      </tp>
      <tp t="s">
        <v>表示銘柄数超過</v>
        <stp/>
        <stp>Market</stp>
        <stp>STOCK</stp>
        <stp>88870.T</stp>
        <stp>出来高加重平均</stp>
        <tr r="T1058" s="7"/>
      </tp>
      <tp t="s">
        <v>表示銘柄数超過</v>
        <stp/>
        <stp>Market</stp>
        <stp>STOCK</stp>
        <stp>88810.T</stp>
        <stp>出来高加重平均</stp>
        <tr r="T1057" s="7"/>
      </tp>
      <tp t="s">
        <v>表示銘柄数超過</v>
        <stp/>
        <stp>Market</stp>
        <stp>STOCK</stp>
        <stp>88970.T</stp>
        <stp>出来高加重平均</stp>
        <tr r="T1061" s="7"/>
      </tp>
      <tp t="s">
        <v>表示銘柄数超過</v>
        <stp/>
        <stp>Market</stp>
        <stp>STOCK</stp>
        <stp>88940.T</stp>
        <stp>出来高加重平均</stp>
        <tr r="T1060" s="7"/>
      </tp>
      <tp t="s">
        <v>表示銘柄数超過</v>
        <stp/>
        <stp>Market</stp>
        <stp>STOCK</stp>
        <stp>88930.T</stp>
        <stp>出来高加重平均</stp>
        <tr r="T1059" s="7"/>
      </tp>
    </main>
    <main first="rtdsrv.662c26bade854d00aebc6010f8a2e03a">
      <tp>
        <v>7333</v>
        <stp/>
        <stp>Market</stp>
        <stp>STOCK</stp>
        <stp>72690.T</stp>
        <stp>後場始値</stp>
        <tr r="R866" s="7"/>
      </tp>
      <tp>
        <v>468</v>
        <stp/>
        <stp>Market</stp>
        <stp>STOCK</stp>
        <stp>52690.T</stp>
        <stp>後場始値</stp>
        <tr r="R582" s="7"/>
      </tp>
      <tp>
        <v>348</v>
        <stp/>
        <stp>Market</stp>
        <stp>STOCK</stp>
        <stp>72680.T</stp>
        <stp>後場始値</stp>
        <tr r="R865" s="7"/>
      </tp>
      <tp t="s">
        <v>表示銘柄数超過</v>
        <stp/>
        <stp>Market</stp>
        <stp>STOCK</stp>
        <stp>42680.T</stp>
        <stp>後場始値</stp>
        <tr r="R434" s="7"/>
      </tp>
      <tp>
        <v>1725</v>
        <stp/>
        <stp>Market</stp>
        <stp>STOCK</stp>
        <stp>72670.T</stp>
        <stp>後場始値</stp>
        <tr r="R864" s="7"/>
      </tp>
      <tp>
        <v>3579</v>
        <stp/>
        <stp>Market</stp>
        <stp>STOCK</stp>
        <stp>82670.T</stp>
        <stp>後場始値</stp>
        <tr r="R1001" s="7"/>
      </tp>
      <tp t="s">
        <v>表示銘柄数超過</v>
        <stp/>
        <stp>Market</stp>
        <stp>STOCK</stp>
        <stp>32660.T</stp>
        <stp>後場始値</stp>
        <tr r="R267" s="7"/>
      </tp>
      <tp t="s">
        <v>表示銘柄数超過</v>
        <stp/>
        <stp>Market</stp>
        <stp>STOCK</stp>
        <stp>32640.T</stp>
        <stp>後場始値</stp>
        <tr r="R266" s="7"/>
      </tp>
      <tp t="s">
        <v>表示銘柄数超過</v>
        <stp/>
        <stp>Market</stp>
        <stp>STOCK</stp>
        <stp>42640.T</stp>
        <stp>後場始値</stp>
        <tr r="R433" s="7"/>
      </tp>
      <tp t="s">
        <v>表示銘柄数超過</v>
        <stp/>
        <stp>Market</stp>
        <stp>STOCK</stp>
        <stp>92630.T</stp>
        <stp>後場始値</stp>
        <tr r="R1104" s="7"/>
      </tp>
      <tp>
        <v>900</v>
        <stp/>
        <stp>Market</stp>
        <stp>STOCK</stp>
        <stp>52620.T</stp>
        <stp>後場始値</stp>
        <tr r="R581" s="7"/>
      </tp>
      <tp t="s">
        <v>表示銘柄数超過</v>
        <stp/>
        <stp>Market</stp>
        <stp>STOCK</stp>
        <stp>32610.T</stp>
        <stp>後場始値</stp>
        <tr r="R265" s="7"/>
      </tp>
      <tp>
        <v>1906</v>
        <stp/>
        <stp>Market</stp>
        <stp>STOCK</stp>
        <stp>72610.T</stp>
        <stp>後場始値</stp>
        <tr r="R863" s="7"/>
      </tp>
      <tp t="s">
        <v>表示銘柄数超過</v>
        <stp/>
        <stp>Market</stp>
        <stp>STOCK</stp>
        <stp>92780.T</stp>
        <stp>後場始値</stp>
        <tr r="R1108" s="7"/>
      </tp>
      <tp>
        <v>265</v>
        <stp/>
        <stp>Market</stp>
        <stp>STOCK</stp>
        <stp>52770.T</stp>
        <stp>後場始値</stp>
        <tr r="R583" s="7"/>
      </tp>
      <tp t="s">
        <v>表示銘柄数超過</v>
        <stp/>
        <stp>Market</stp>
        <stp>STOCK</stp>
        <stp>42750.T</stp>
        <stp>後場始値</stp>
        <tr r="R436" s="7"/>
      </tp>
      <tp t="s">
        <v>表示銘柄数超過</v>
        <stp/>
        <stp>Market</stp>
        <stp>STOCK</stp>
        <stp>42740.T</stp>
        <stp>後場始値</stp>
        <tr r="R435" s="7"/>
      </tp>
      <tp t="s">
        <v>表示銘柄数超過</v>
        <stp/>
        <stp>Market</stp>
        <stp>STOCK</stp>
        <stp>92740.T</stp>
        <stp>後場始値</stp>
        <tr r="R1107" s="7"/>
      </tp>
      <tp>
        <v>1429</v>
        <stp/>
        <stp>Market</stp>
        <stp>STOCK</stp>
        <stp>72720.T</stp>
        <stp>後場始値</stp>
        <tr r="R868" s="7"/>
      </tp>
      <tp t="s">
        <v>表示銘柄数超過</v>
        <stp/>
        <stp>Market</stp>
        <stp>STOCK</stp>
        <stp>92720.T</stp>
        <stp>後場始値</stp>
        <tr r="R1106" s="7"/>
      </tp>
      <tp t="s">
        <v>表示銘柄数超過</v>
        <stp/>
        <stp>Market</stp>
        <stp>STOCK</stp>
        <stp>32710.T</stp>
        <stp>後場始値</stp>
        <tr r="R268" s="7"/>
      </tp>
      <tp>
        <v>3095</v>
        <stp/>
        <stp>Market</stp>
        <stp>STOCK</stp>
        <stp>72700.T</stp>
        <stp>後場始値</stp>
        <tr r="R867" s="7"/>
      </tp>
      <tp t="s">
        <v>表示銘柄数超過</v>
        <stp/>
        <stp>Market</stp>
        <stp>STOCK</stp>
        <stp>92700.T</stp>
        <stp>後場始値</stp>
        <tr r="R1105" s="7"/>
      </tp>
      <tp t="s">
        <v>表示銘柄数超過</v>
        <stp/>
        <stp>Market</stp>
        <stp>STOCK</stp>
        <stp>92480.T</stp>
        <stp>後場始値</stp>
        <tr r="R1102" s="7"/>
      </tp>
      <tp>
        <v>500</v>
        <stp/>
        <stp>Market</stp>
        <stp>STOCK</stp>
        <stp>72470.T</stp>
        <stp>後場始値</stp>
        <tr r="R860" s="7"/>
      </tp>
      <tp t="s">
        <v>表示銘柄数超過</v>
        <stp/>
        <stp>Market</stp>
        <stp>STOCK</stp>
        <stp>92470.T</stp>
        <stp>後場始値</stp>
        <tr r="R1101" s="7"/>
      </tp>
      <tp>
        <v>495</v>
        <stp/>
        <stp>Market</stp>
        <stp>STOCK</stp>
        <stp>82470.T</stp>
        <stp>後場始値</stp>
        <tr r="R998" s="7"/>
      </tp>
      <tp>
        <v>670</v>
        <stp/>
        <stp>Market</stp>
        <stp>STOCK</stp>
        <stp>72460.T</stp>
        <stp>後場始値</stp>
        <tr r="R859" s="7"/>
      </tp>
      <tp>
        <v>649</v>
        <stp/>
        <stp>Market</stp>
        <stp>STOCK</stp>
        <stp>52460.T</stp>
        <stp>後場始値</stp>
        <tr r="R579" s="7"/>
      </tp>
      <tp>
        <v>568</v>
        <stp/>
        <stp>Market</stp>
        <stp>STOCK</stp>
        <stp>72450.T</stp>
        <stp>後場始値</stp>
        <tr r="R858" s="7"/>
      </tp>
      <tp t="s">
        <v>表示銘柄数超過</v>
        <stp/>
        <stp>Market</stp>
        <stp>STOCK</stp>
        <stp>32440.T</stp>
        <stp>後場始値</stp>
        <tr r="R264" s="7"/>
      </tp>
      <tp>
        <v>349</v>
        <stp/>
        <stp>Market</stp>
        <stp>STOCK</stp>
        <stp>52440.T</stp>
        <stp>後場始値</stp>
        <tr r="R578" s="7"/>
      </tp>
      <tp>
        <v>2563</v>
        <stp/>
        <stp>Market</stp>
        <stp>STOCK</stp>
        <stp>82440.T</stp>
        <stp>後場始値</stp>
        <tr r="R997" s="7"/>
      </tp>
      <tp>
        <v>570</v>
        <stp/>
        <stp>Market</stp>
        <stp>STOCK</stp>
        <stp>52430.T</stp>
        <stp>後場始値</stp>
        <tr r="R577" s="7"/>
      </tp>
      <tp t="s">
        <v>表示銘柄数超過</v>
        <stp/>
        <stp>Market</stp>
        <stp>STOCK</stp>
        <stp>42430.T</stp>
        <stp>後場始値</stp>
        <tr r="R430" s="7"/>
      </tp>
      <tp t="s">
        <v>表示銘柄数超過</v>
        <stp/>
        <stp>Market</stp>
        <stp>STOCK</stp>
        <stp>32420.T</stp>
        <stp>後場始値</stp>
        <tr r="R263" s="7"/>
      </tp>
      <tp t="s">
        <v>表示銘柄数超過</v>
        <stp/>
        <stp>Market</stp>
        <stp>STOCK</stp>
        <stp>22420.T</stp>
        <stp>後場始値</stp>
        <tr r="R108" s="7"/>
      </tp>
      <tp>
        <v>1811</v>
        <stp/>
        <stp>Market</stp>
        <stp>STOCK</stp>
        <stp>82420.T</stp>
        <stp>後場始値</stp>
        <tr r="R996" s="7"/>
      </tp>
      <tp t="s">
        <v>表示銘柄数超過</v>
        <stp/>
        <stp>Market</stp>
        <stp>STOCK</stp>
        <stp>32410.T</stp>
        <stp>後場始値</stp>
        <tr r="R262" s="7"/>
      </tp>
      <tp t="s">
        <v>表示銘柄数超過</v>
        <stp/>
        <stp>Market</stp>
        <stp>STOCK</stp>
        <stp>22410.T</stp>
        <stp>後場始値</stp>
        <tr r="R107" s="7"/>
      </tp>
      <tp t="s">
        <v>表示銘柄数超過</v>
        <stp/>
        <stp>Market</stp>
        <stp>STOCK</stp>
        <stp>42410.T</stp>
        <stp>後場始値</stp>
        <tr r="R429" s="7"/>
      </tp>
      <tp t="s">
        <v>表示銘柄数超過</v>
        <stp/>
        <stp>Market</stp>
        <stp>STOCK</stp>
        <stp>92410.T</stp>
        <stp>後場始値</stp>
        <tr r="R1100" s="7"/>
      </tp>
      <tp>
        <v>2070.5</v>
        <stp/>
        <stp>Market</stp>
        <stp>STOCK</stp>
        <stp>72400.T</stp>
        <stp>後場始値</stp>
        <tr r="R857" s="7"/>
      </tp>
      <tp>
        <v>360</v>
        <stp/>
        <stp>Market</stp>
        <stp>STOCK</stp>
        <stp>62400.T</stp>
        <stp>後場始値</stp>
        <tr r="R681" s="7"/>
      </tp>
      <tp t="s">
        <v>表示銘柄数超過</v>
        <stp/>
        <stp>Market</stp>
        <stp>STOCK</stp>
        <stp>42590.T</stp>
        <stp>後場始値</stp>
        <tr r="R432" s="7"/>
      </tp>
      <tp t="s">
        <v>表示銘柄数超過</v>
        <stp/>
        <stp>Market</stp>
        <stp>STOCK</stp>
        <stp>42580.T</stp>
        <stp>後場始値</stp>
        <tr r="R431" s="7"/>
      </tp>
      <tp>
        <v>183</v>
        <stp/>
        <stp>Market</stp>
        <stp>STOCK</stp>
        <stp>72560.T</stp>
        <stp>後場始値</stp>
        <tr r="R862" s="7"/>
      </tp>
      <tp t="s">
        <v/>
        <stp/>
        <stp>Market</stp>
        <stp>STOCK</stp>
        <stp>82560.T</stp>
        <stp>後場始値</stp>
        <tr r="R1000" s="7"/>
      </tp>
      <tp>
        <v>637</v>
        <stp/>
        <stp>Market</stp>
        <stp>STOCK</stp>
        <stp>62550.T</stp>
        <stp>後場始値</stp>
        <tr r="R682" s="7"/>
      </tp>
      <tp>
        <v>612</v>
        <stp/>
        <stp>Market</stp>
        <stp>STOCK</stp>
        <stp>72540.T</stp>
        <stp>後場始値</stp>
        <tr r="R861" s="7"/>
      </tp>
      <tp t="s">
        <v>表示銘柄数超過</v>
        <stp/>
        <stp>Market</stp>
        <stp>STOCK</stp>
        <stp>92540.T</stp>
        <stp>後場始値</stp>
        <tr r="R1103" s="7"/>
      </tp>
      <tp t="s">
        <v>表示銘柄数超過</v>
        <stp/>
        <stp>Market</stp>
        <stp>STOCK</stp>
        <stp>22530.T</stp>
        <stp>後場始値</stp>
        <tr r="R110" s="7"/>
      </tp>
      <tp>
        <v>2818</v>
        <stp/>
        <stp>Market</stp>
        <stp>STOCK</stp>
        <stp>52530.T</stp>
        <stp>後場始値</stp>
        <tr r="R580" s="7"/>
      </tp>
      <tp>
        <v>2452.5</v>
        <stp/>
        <stp>Market</stp>
        <stp>STOCK</stp>
        <stp>82520.T</stp>
        <stp>後場始値</stp>
        <tr r="R999" s="7"/>
      </tp>
      <tp t="s">
        <v>表示銘柄数超過</v>
        <stp/>
        <stp>Market</stp>
        <stp>STOCK</stp>
        <stp>22500.T</stp>
        <stp>後場始値</stp>
        <tr r="R109" s="7"/>
      </tp>
      <tp>
        <v>2779</v>
        <stp/>
        <stp>Market</stp>
        <stp>STOCK</stp>
        <stp>72290.T</stp>
        <stp>後場始値</stp>
        <tr r="R853" s="7"/>
      </tp>
      <tp>
        <v>1163</v>
        <stp/>
        <stp>Market</stp>
        <stp>STOCK</stp>
        <stp>62260.T</stp>
        <stp>後場始値</stp>
        <tr r="R679" s="7"/>
      </tp>
      <tp>
        <v>211</v>
        <stp/>
        <stp>Market</stp>
        <stp>STOCK</stp>
        <stp>82260.T</stp>
        <stp>後場始値</stp>
        <tr r="R993" s="7"/>
      </tp>
      <tp>
        <v>979</v>
        <stp/>
        <stp>Market</stp>
        <stp>STOCK</stp>
        <stp>72220.T</stp>
        <stp>後場始値</stp>
        <tr r="R852" s="7"/>
      </tp>
      <tp t="s">
        <v>表示銘柄数超過</v>
        <stp/>
        <stp>Market</stp>
        <stp>STOCK</stp>
        <stp>32380.T</stp>
        <stp>後場始値</stp>
        <tr r="R261" s="7"/>
      </tp>
      <tp>
        <v>115</v>
        <stp/>
        <stp>Market</stp>
        <stp>STOCK</stp>
        <stp>72380.T</stp>
        <stp>後場始値</stp>
        <tr r="R856" s="7"/>
      </tp>
      <tp t="s">
        <v>表示銘柄数超過</v>
        <stp/>
        <stp>Market</stp>
        <stp>STOCK</stp>
        <stp>42380.T</stp>
        <stp>後場始値</stp>
        <tr r="R428" s="7"/>
      </tp>
      <tp t="s">
        <v>表示銘柄数超過</v>
        <stp/>
        <stp>Market</stp>
        <stp>STOCK</stp>
        <stp>32370.T</stp>
        <stp>後場始値</stp>
        <tr r="R260" s="7"/>
      </tp>
      <tp t="s">
        <v>表示銘柄数超過</v>
        <stp/>
        <stp>Market</stp>
        <stp>STOCK</stp>
        <stp>42370.T</stp>
        <stp>後場始値</stp>
        <tr r="R427" s="7"/>
      </tp>
      <tp>
        <v>966</v>
        <stp/>
        <stp>Market</stp>
        <stp>STOCK</stp>
        <stp>82370.T</stp>
        <stp>後場始値</stp>
        <tr r="R995" s="7"/>
      </tp>
      <tp t="s">
        <v>表示銘柄数超過</v>
        <stp/>
        <stp>Market</stp>
        <stp>STOCK</stp>
        <stp>32360.T</stp>
        <stp>後場始値</stp>
        <tr r="R259" s="7"/>
      </tp>
      <tp t="s">
        <v>表示銘柄数超過</v>
        <stp/>
        <stp>Market</stp>
        <stp>STOCK</stp>
        <stp>22360.T</stp>
        <stp>後場始値</stp>
        <tr r="R106" s="7"/>
      </tp>
      <tp>
        <v>3770</v>
        <stp/>
        <stp>Market</stp>
        <stp>STOCK</stp>
        <stp>72360.T</stp>
        <stp>後場始値</stp>
        <tr r="R855" s="7"/>
      </tp>
      <tp t="s">
        <v>表示銘柄数超過</v>
        <stp/>
        <stp>Market</stp>
        <stp>STOCK</stp>
        <stp>22350.T</stp>
        <stp>後場始値</stp>
        <tr r="R105" s="7"/>
      </tp>
      <tp>
        <v>768</v>
        <stp/>
        <stp>Market</stp>
        <stp>STOCK</stp>
        <stp>72350.T</stp>
        <stp>後場始値</stp>
        <tr r="R854" s="7"/>
      </tp>
      <tp>
        <v>542</v>
        <stp/>
        <stp>Market</stp>
        <stp>STOCK</stp>
        <stp>62330.T</stp>
        <stp>後場始値</stp>
        <tr r="R680" s="7"/>
      </tp>
      <tp t="s">
        <v>表示銘柄数超過</v>
        <stp/>
        <stp>Market</stp>
        <stp>STOCK</stp>
        <stp>32320.T</stp>
        <stp>後場始値</stp>
        <tr r="R258" s="7"/>
      </tp>
      <tp>
        <v>365</v>
        <stp/>
        <stp>Market</stp>
        <stp>STOCK</stp>
        <stp>82300.T</stp>
        <stp>後場始値</stp>
        <tr r="R994" s="7"/>
      </tp>
      <tp>
        <v>316</v>
        <stp/>
        <stp>Market</stp>
        <stp>STOCK</stp>
        <stp>82070.T</stp>
        <stp>後場始値</stp>
        <tr r="R992" s="7"/>
      </tp>
      <tp t="s">
        <v>表示銘柄数超過</v>
        <stp/>
        <stp>Market</stp>
        <stp>STOCK</stp>
        <stp>22060.T</stp>
        <stp>後場始値</stp>
        <tr r="R103" s="7"/>
      </tp>
      <tp>
        <v>465</v>
        <stp/>
        <stp>Market</stp>
        <stp>STOCK</stp>
        <stp>72050.T</stp>
        <stp>後場始値</stp>
        <tr r="R847" s="7"/>
      </tp>
      <tp>
        <v>3510</v>
        <stp/>
        <stp>Market</stp>
        <stp>STOCK</stp>
        <stp>52040.T</stp>
        <stp>後場始値</stp>
        <tr r="R575" s="7"/>
      </tp>
      <tp>
        <v>3279</v>
        <stp/>
        <stp>Market</stp>
        <stp>STOCK</stp>
        <stp>72030.T</stp>
        <stp>後場始値</stp>
        <tr r="R846" s="7"/>
      </tp>
      <tp>
        <v>771</v>
        <stp/>
        <stp>Market</stp>
        <stp>STOCK</stp>
        <stp>62030.T</stp>
        <stp>後場始値</stp>
        <tr r="R677" s="7"/>
      </tp>
      <tp>
        <v>630</v>
        <stp/>
        <stp>Market</stp>
        <stp>STOCK</stp>
        <stp>82030.T</stp>
        <stp>後場始値</stp>
        <tr r="R991" s="7"/>
      </tp>
      <tp>
        <v>2044</v>
        <stp/>
        <stp>Market</stp>
        <stp>STOCK</stp>
        <stp>72020.T</stp>
        <stp>後場始値</stp>
        <tr r="R845" s="7"/>
      </tp>
      <tp t="s">
        <v>表示銘柄数超過</v>
        <stp/>
        <stp>Market</stp>
        <stp>STOCK</stp>
        <stp>42020.T</stp>
        <stp>後場始値</stp>
        <tr r="R426" s="7"/>
      </tp>
      <tp>
        <v>241</v>
        <stp/>
        <stp>Market</stp>
        <stp>STOCK</stp>
        <stp>82020.T</stp>
        <stp>後場始値</stp>
        <tr r="R990" s="7"/>
      </tp>
      <tp>
        <v>619.29999999999995</v>
        <stp/>
        <stp>Market</stp>
        <stp>STOCK</stp>
        <stp>72010.T</stp>
        <stp>後場始値</stp>
        <tr r="R844" s="7"/>
      </tp>
      <tp t="s">
        <v>表示銘柄数超過</v>
        <stp/>
        <stp>Market</stp>
        <stp>STOCK</stp>
        <stp>42000.T</stp>
        <stp>後場始値</stp>
        <tr r="R425" s="7"/>
      </tp>
      <tp>
        <v>711</v>
        <stp/>
        <stp>Market</stp>
        <stp>STOCK</stp>
        <stp>62180.T</stp>
        <stp>後場始値</stp>
        <tr r="R678" s="7"/>
      </tp>
      <tp t="s">
        <v>表示銘柄数超過</v>
        <stp/>
        <stp>Market</stp>
        <stp>STOCK</stp>
        <stp>22160.T</stp>
        <stp>後場始値</stp>
        <tr r="R104" s="7"/>
      </tp>
      <tp>
        <v>86</v>
        <stp/>
        <stp>Market</stp>
        <stp>STOCK</stp>
        <stp>52160.T</stp>
        <stp>後場始値</stp>
        <tr r="R576" s="7"/>
      </tp>
      <tp>
        <v>1280</v>
        <stp/>
        <stp>Market</stp>
        <stp>STOCK</stp>
        <stp>72140.T</stp>
        <stp>後場始値</stp>
        <tr r="R851" s="7"/>
      </tp>
      <tp>
        <v>674</v>
        <stp/>
        <stp>Market</stp>
        <stp>STOCK</stp>
        <stp>72130.T</stp>
        <stp>後場始値</stp>
        <tr r="R850" s="7"/>
      </tp>
      <tp t="s">
        <v>表示銘柄数超過</v>
        <stp/>
        <stp>Market</stp>
        <stp>STOCK</stp>
        <stp>92130.T</stp>
        <stp>後場始値</stp>
        <tr r="R1099" s="7"/>
      </tp>
      <tp>
        <v>690</v>
        <stp/>
        <stp>Market</stp>
        <stp>STOCK</stp>
        <stp>72120.T</stp>
        <stp>後場始値</stp>
        <tr r="R849" s="7"/>
      </tp>
      <tp>
        <v>454.4</v>
        <stp/>
        <stp>Market</stp>
        <stp>STOCK</stp>
        <stp>72110.T</stp>
        <stp>後場始値</stp>
        <tr r="R848" s="7"/>
      </tp>
      <tp t="s">
        <v>表示銘柄数超過</v>
        <stp/>
        <stp>Market</stp>
        <stp>STOCK</stp>
        <stp>32890.T</stp>
        <stp>後場始値</stp>
        <tr r="R272" s="7"/>
      </tp>
      <tp t="s">
        <v>表示銘柄数超過</v>
        <stp/>
        <stp>Market</stp>
        <stp>STOCK</stp>
        <stp>32880.T</stp>
        <stp>後場始値</stp>
        <tr r="R271" s="7"/>
      </tp>
      <tp>
        <v>590</v>
        <stp/>
        <stp>Market</stp>
        <stp>STOCK</stp>
        <stp>52870.T</stp>
        <stp>後場始値</stp>
        <tr r="R585" s="7"/>
      </tp>
      <tp t="s">
        <v>表示銘柄数超過</v>
        <stp/>
        <stp>Market</stp>
        <stp>STOCK</stp>
        <stp>42870.T</stp>
        <stp>後場始値</stp>
        <tr r="R438" s="7"/>
      </tp>
      <tp t="s">
        <v>表示銘柄数超過</v>
        <stp/>
        <stp>Market</stp>
        <stp>STOCK</stp>
        <stp>32860.T</stp>
        <stp>後場始値</stp>
        <tr r="R270" s="7"/>
      </tp>
      <tp>
        <v>733</v>
        <stp/>
        <stp>Market</stp>
        <stp>STOCK</stp>
        <stp>62860.T</stp>
        <stp>後場始値</stp>
        <tr r="R683" s="7"/>
      </tp>
      <tp t="s">
        <v>表示銘柄数超過</v>
        <stp/>
        <stp>Market</stp>
        <stp>STOCK</stp>
        <stp>42860.T</stp>
        <stp>後場始値</stp>
        <tr r="R437" s="7"/>
      </tp>
      <tp>
        <v>1341</v>
        <stp/>
        <stp>Market</stp>
        <stp>STOCK</stp>
        <stp>52850.T</stp>
        <stp>後場始値</stp>
        <tr r="R584" s="7"/>
      </tp>
      <tp t="s">
        <v>表示銘柄数超過</v>
        <stp/>
        <stp>Market</stp>
        <stp>STOCK</stp>
        <stp>32840.T</stp>
        <stp>後場始値</stp>
        <tr r="R269" s="7"/>
      </tp>
      <tp>
        <v>1464</v>
        <stp/>
        <stp>Market</stp>
        <stp>STOCK</stp>
        <stp>72830.T</stp>
        <stp>後場始値</stp>
        <tr r="R870" s="7"/>
      </tp>
      <tp>
        <v>1140</v>
        <stp/>
        <stp>Market</stp>
        <stp>STOCK</stp>
        <stp>72800.T</stp>
        <stp>後場始値</stp>
        <tr r="R869" s="7"/>
      </tp>
      <tp t="s">
        <v>表示銘柄数超過</v>
        <stp/>
        <stp>Market</stp>
        <stp>STOCK</stp>
        <stp>32990.T</stp>
        <stp>後場始値</stp>
        <tr r="R274" s="7"/>
      </tp>
      <tp t="s">
        <v/>
        <stp/>
        <stp>Market</stp>
        <stp>STOCK</stp>
        <stp>72980.T</stp>
        <stp>後場始値</stp>
        <tr r="R873" s="7"/>
      </tp>
      <tp>
        <v>2345</v>
        <stp/>
        <stp>Market</stp>
        <stp>STOCK</stp>
        <stp>62980.T</stp>
        <stp>後場始値</stp>
        <tr r="R685" s="7"/>
      </tp>
      <tp t="s">
        <v>表示銘柄数超過</v>
        <stp/>
        <stp>Market</stp>
        <stp>STOCK</stp>
        <stp>32970.T</stp>
        <stp>後場始値</stp>
        <tr r="R273" s="7"/>
      </tp>
      <tp>
        <v>483</v>
        <stp/>
        <stp>Market</stp>
        <stp>STOCK</stp>
        <stp>62970.T</stp>
        <stp>後場始値</stp>
        <tr r="R684" s="7"/>
      </tp>
      <tp>
        <v>999</v>
        <stp/>
        <stp>Market</stp>
        <stp>STOCK</stp>
        <stp>72940.T</stp>
        <stp>後場始値</stp>
        <tr r="R872" s="7"/>
      </tp>
      <tp t="s">
        <v>表示銘柄数超過</v>
        <stp/>
        <stp>Market</stp>
        <stp>STOCK</stp>
        <stp>42930.T</stp>
        <stp>後場始値</stp>
        <tr r="R439" s="7"/>
      </tp>
      <tp>
        <v>603</v>
        <stp/>
        <stp>Market</stp>
        <stp>STOCK</stp>
        <stp>72910.T</stp>
        <stp>後場始値</stp>
        <tr r="R871" s="7"/>
      </tp>
      <tp>
        <v>496</v>
        <stp/>
        <stp>Market</stp>
        <stp>STOCK</stp>
        <stp>82910.T</stp>
        <stp>後場始値</stp>
        <tr r="R1002" s="7"/>
      </tp>
    </main>
    <main first="rtdsrv.662c26bade854d00aebc6010f8a2e03a">
      <tp t="s">
        <v>表示銘柄数超過</v>
        <stp/>
        <stp>Market</stp>
        <stp>STOCK</stp>
        <stp>41690.T</stp>
        <stp>後場始値</stp>
        <tr r="R419" s="7"/>
      </tp>
      <tp t="s">
        <v>表示銘柄数超過</v>
        <stp/>
        <stp>Market</stp>
        <stp>STOCK</stp>
        <stp>21680.T</stp>
        <stp>後場始値</stp>
        <tr r="R101" s="7"/>
      </tp>
      <tp>
        <v>430</v>
        <stp/>
        <stp>Market</stp>
        <stp>STOCK</stp>
        <stp>71670.T</stp>
        <stp>後場始値</stp>
        <tr r="R834" s="7"/>
      </tp>
      <tp>
        <v>710</v>
        <stp/>
        <stp>Market</stp>
        <stp>STOCK</stp>
        <stp>61670.T</stp>
        <stp>後場始値</stp>
        <tr r="R662" s="7"/>
      </tp>
      <tp t="s">
        <v>表示銘柄数超過</v>
        <stp/>
        <stp>Market</stp>
        <stp>STOCK</stp>
        <stp>41670.T</stp>
        <stp>後場始値</stp>
        <tr r="R418" s="7"/>
      </tp>
      <tp>
        <v>383</v>
        <stp/>
        <stp>Market</stp>
        <stp>STOCK</stp>
        <stp>61660.T</stp>
        <stp>後場始値</stp>
        <tr r="R661" s="7"/>
      </tp>
      <tp>
        <v>66</v>
        <stp/>
        <stp>Market</stp>
        <stp>STOCK</stp>
        <stp>81660.T</stp>
        <stp>後場始値</stp>
        <tr r="R986" s="7"/>
      </tp>
      <tp>
        <v>431</v>
        <stp/>
        <stp>Market</stp>
        <stp>STOCK</stp>
        <stp>61650.T</stp>
        <stp>後場始値</stp>
        <tr r="R660" s="7"/>
      </tp>
      <tp t="s">
        <v>表示銘柄数超過</v>
        <stp/>
        <stp>Market</stp>
        <stp>STOCK</stp>
        <stp>41650.T</stp>
        <stp>後場始値</stp>
        <tr r="R417" s="7"/>
      </tp>
      <tp t="s">
        <v>表示銘柄数超過</v>
        <stp/>
        <stp>Market</stp>
        <stp>STOCK</stp>
        <stp>21640.T</stp>
        <stp>後場始値</stp>
        <tr r="R100" s="7"/>
      </tp>
      <tp>
        <v>1727</v>
        <stp/>
        <stp>Market</stp>
        <stp>STOCK</stp>
        <stp>71630.T</stp>
        <stp>後場始値</stp>
        <tr r="R833" s="7"/>
      </tp>
      <tp t="s">
        <v>表示銘柄数超過</v>
        <stp/>
        <stp>Market</stp>
        <stp>STOCK</stp>
        <stp>21620.T</stp>
        <stp>後場始値</stp>
        <tr r="R99" s="7"/>
      </tp>
      <tp>
        <v>556</v>
        <stp/>
        <stp>Market</stp>
        <stp>STOCK</stp>
        <stp>71610.T</stp>
        <stp>後場始値</stp>
        <tr r="R832" s="7"/>
      </tp>
      <tp t="s">
        <v>表示銘柄数超過</v>
        <stp/>
        <stp>Market</stp>
        <stp>STOCK</stp>
        <stp>21600.T</stp>
        <stp>後場始値</stp>
        <tr r="R98" s="7"/>
      </tp>
      <tp>
        <v>2544</v>
        <stp/>
        <stp>Market</stp>
        <stp>STOCK</stp>
        <stp>81790.T</stp>
        <stp>後場始値</stp>
        <tr r="R988" s="7"/>
      </tp>
      <tp>
        <v>1405</v>
        <stp/>
        <stp>Market</stp>
        <stp>STOCK</stp>
        <stp>61780.T</stp>
        <stp>後場始値</stp>
        <tr r="R666" s="7"/>
      </tp>
      <tp>
        <v>677</v>
        <stp/>
        <stp>Market</stp>
        <stp>STOCK</stp>
        <stp>71770.T</stp>
        <stp>後場始値</stp>
        <tr r="R837" s="7"/>
      </tp>
      <tp>
        <v>99</v>
        <stp/>
        <stp>Market</stp>
        <stp>STOCK</stp>
        <stp>61770.T</stp>
        <stp>後場始値</stp>
        <tr r="R665" s="7"/>
      </tp>
      <tp t="s">
        <v>表示銘柄数超過</v>
        <stp/>
        <stp>Market</stp>
        <stp>STOCK</stp>
        <stp>31760.T</stp>
        <stp>後場始値</stp>
        <tr r="R250" s="7"/>
      </tp>
      <tp>
        <v>678</v>
        <stp/>
        <stp>Market</stp>
        <stp>STOCK</stp>
        <stp>61760.T</stp>
        <stp>後場始値</stp>
        <tr r="R664" s="7"/>
      </tp>
      <tp t="s">
        <v>表示銘柄数超過</v>
        <stp/>
        <stp>Market</stp>
        <stp>STOCK</stp>
        <stp>41760.T</stp>
        <stp>後場始値</stp>
        <tr r="R421" s="7"/>
      </tp>
      <tp>
        <v>1115</v>
        <stp/>
        <stp>Market</stp>
        <stp>STOCK</stp>
        <stp>71750.T</stp>
        <stp>後場始値</stp>
        <tr r="R836" s="7"/>
      </tp>
      <tp>
        <v>539</v>
        <stp/>
        <stp>Market</stp>
        <stp>STOCK</stp>
        <stp>61730.T</stp>
        <stp>後場始値</stp>
        <tr r="R663" s="7"/>
      </tp>
      <tp>
        <v>2359</v>
        <stp/>
        <stp>Market</stp>
        <stp>STOCK</stp>
        <stp>81730.T</stp>
        <stp>後場始値</stp>
        <tr r="R987" s="7"/>
      </tp>
      <tp>
        <v>925</v>
        <stp/>
        <stp>Market</stp>
        <stp>STOCK</stp>
        <stp>71720.T</stp>
        <stp>後場始値</stp>
        <tr r="R835" s="7"/>
      </tp>
      <tp t="s">
        <v>表示銘柄数超過</v>
        <stp/>
        <stp>Market</stp>
        <stp>STOCK</stp>
        <stp>41700.T</stp>
        <stp>後場始値</stp>
        <tr r="R420" s="7"/>
      </tp>
      <tp>
        <v>1775</v>
        <stp/>
        <stp>Market</stp>
        <stp>STOCK</stp>
        <stp>71480.T</stp>
        <stp>後場始値</stp>
        <tr r="R830" s="7"/>
      </tp>
      <tp>
        <v>43080</v>
        <stp/>
        <stp>Market</stp>
        <stp>STOCK</stp>
        <stp>61460.T</stp>
        <stp>後場始値</stp>
        <tr r="R659" s="7"/>
      </tp>
      <tp>
        <v>286</v>
        <stp/>
        <stp>Market</stp>
        <stp>STOCK</stp>
        <stp>81430.T</stp>
        <stp>後場始値</stp>
        <tr r="R983" s="7"/>
      </tp>
      <tp t="s">
        <v>表示銘柄数超過</v>
        <stp/>
        <stp>Market</stp>
        <stp>STOCK</stp>
        <stp>91420.T</stp>
        <stp>後場始値</stp>
        <tr r="R1098" s="7"/>
      </tp>
      <tp t="s">
        <v>表示銘柄数超過</v>
        <stp/>
        <stp>Market</stp>
        <stp>STOCK</stp>
        <stp>31410.T</stp>
        <stp>後場始値</stp>
        <tr r="R247" s="7"/>
      </tp>
      <tp>
        <v>866</v>
        <stp/>
        <stp>Market</stp>
        <stp>STOCK</stp>
        <stp>61400.T</stp>
        <stp>後場始値</stp>
        <tr r="R658" s="7"/>
      </tp>
      <tp t="s">
        <v>表示銘柄数超過</v>
        <stp/>
        <stp>Market</stp>
        <stp>STOCK</stp>
        <stp>31590.T</stp>
        <stp>後場始値</stp>
        <tr r="R249" s="7"/>
      </tp>
      <tp t="s">
        <v>表示銘柄数超過</v>
        <stp/>
        <stp>Market</stp>
        <stp>STOCK</stp>
        <stp>21580.T</stp>
        <stp>後場始値</stp>
        <tr r="R97" s="7"/>
      </tp>
      <tp t="s">
        <v>表示銘柄数超過</v>
        <stp/>
        <stp>Market</stp>
        <stp>STOCK</stp>
        <stp>31540.T</stp>
        <stp>後場始値</stp>
        <tr r="R248" s="7"/>
      </tp>
      <tp t="s">
        <v>表示銘柄数超過</v>
        <stp/>
        <stp>Market</stp>
        <stp>STOCK</stp>
        <stp>21540.T</stp>
        <stp>後場始値</stp>
        <tr r="R96" s="7"/>
      </tp>
      <tp>
        <v>3435</v>
        <stp/>
        <stp>Market</stp>
        <stp>STOCK</stp>
        <stp>81530.T</stp>
        <stp>後場始値</stp>
        <tr r="R985" s="7"/>
      </tp>
      <tp t="s">
        <v>表示銘柄数超過</v>
        <stp/>
        <stp>Market</stp>
        <stp>STOCK</stp>
        <stp>21520.T</stp>
        <stp>後場始値</stp>
        <tr r="R95" s="7"/>
      </tp>
      <tp t="s">
        <v>表示銘柄数超過</v>
        <stp/>
        <stp>Market</stp>
        <stp>STOCK</stp>
        <stp>21500.T</stp>
        <stp>後場始値</stp>
        <tr r="R94" s="7"/>
      </tp>
      <tp>
        <v>517</v>
        <stp/>
        <stp>Market</stp>
        <stp>STOCK</stp>
        <stp>71500.T</stp>
        <stp>後場始値</stp>
        <tr r="R831" s="7"/>
      </tp>
      <tp>
        <v>2315</v>
        <stp/>
        <stp>Market</stp>
        <stp>STOCK</stp>
        <stp>81500.T</stp>
        <stp>後場始値</stp>
        <tr r="R984" s="7"/>
      </tp>
      <tp>
        <v>1347</v>
        <stp/>
        <stp>Market</stp>
        <stp>STOCK</stp>
        <stp>51290.T</stp>
        <stp>後場始値</stp>
        <tr r="R571" s="7"/>
      </tp>
      <tp t="s">
        <v>表示銘柄数超過</v>
        <stp/>
        <stp>Market</stp>
        <stp>STOCK</stp>
        <stp>21270.T</stp>
        <stp>後場始値</stp>
        <tr r="R91" s="7"/>
      </tp>
      <tp>
        <v>2027</v>
        <stp/>
        <stp>Market</stp>
        <stp>STOCK</stp>
        <stp>71220.T</stp>
        <stp>後場始値</stp>
        <tr r="R828" s="7"/>
      </tp>
      <tp t="s">
        <v>表示銘柄数超過</v>
        <stp/>
        <stp>Market</stp>
        <stp>STOCK</stp>
        <stp>31210.T</stp>
        <stp>後場始値</stp>
        <tr r="R244" s="7"/>
      </tp>
      <tp>
        <v>1446</v>
        <stp/>
        <stp>Market</stp>
        <stp>STOCK</stp>
        <stp>51210.T</stp>
        <stp>後場始値</stp>
        <tr r="R570" s="7"/>
      </tp>
      <tp t="s">
        <v>表示銘柄数超過</v>
        <stp/>
        <stp>Market</stp>
        <stp>STOCK</stp>
        <stp>21200.T</stp>
        <stp>後場始値</stp>
        <tr r="R90" s="7"/>
      </tp>
      <tp>
        <v>1544</v>
        <stp/>
        <stp>Market</stp>
        <stp>STOCK</stp>
        <stp>81390.T</stp>
        <stp>後場始値</stp>
        <tr r="R982" s="7"/>
      </tp>
      <tp t="s">
        <v>表示銘柄数超過</v>
        <stp/>
        <stp>Market</stp>
        <stp>STOCK</stp>
        <stp>21380.T</stp>
        <stp>後場始値</stp>
        <tr r="R93" s="7"/>
      </tp>
      <tp t="s">
        <v>表示銘柄数超過</v>
        <stp/>
        <stp>Market</stp>
        <stp>STOCK</stp>
        <stp>31370.T</stp>
        <stp>後場始値</stp>
        <tr r="R246" s="7"/>
      </tp>
      <tp>
        <v>169</v>
        <stp/>
        <stp>Market</stp>
        <stp>STOCK</stp>
        <stp>71350.T</stp>
        <stp>後場始値</stp>
        <tr r="R829" s="7"/>
      </tp>
      <tp>
        <v>319</v>
        <stp/>
        <stp>Market</stp>
        <stp>STOCK</stp>
        <stp>81350.T</stp>
        <stp>後場始値</stp>
        <tr r="R981" s="7"/>
      </tp>
      <tp t="s">
        <v>表示銘柄数超過</v>
        <stp/>
        <stp>Market</stp>
        <stp>STOCK</stp>
        <stp>21340.T</stp>
        <stp>後場始値</stp>
        <tr r="R92" s="7"/>
      </tp>
      <tp>
        <v>2472</v>
        <stp/>
        <stp>Market</stp>
        <stp>STOCK</stp>
        <stp>61340.T</stp>
        <stp>後場始値</stp>
        <tr r="R657" s="7"/>
      </tp>
      <tp t="s">
        <v>表示銘柄数超過</v>
        <stp/>
        <stp>Market</stp>
        <stp>STOCK</stp>
        <stp>31330.T</stp>
        <stp>後場始値</stp>
        <tr r="R245" s="7"/>
      </tp>
      <tp>
        <v>290</v>
        <stp/>
        <stp>Market</stp>
        <stp>STOCK</stp>
        <stp>51330.T</stp>
        <stp>後場始値</stp>
        <tr r="R573" s="7"/>
      </tp>
      <tp>
        <v>1545</v>
        <stp/>
        <stp>Market</stp>
        <stp>STOCK</stp>
        <stp>81330.T</stp>
        <stp>後場始値</stp>
        <tr r="R980" s="7"/>
      </tp>
      <tp>
        <v>186</v>
        <stp/>
        <stp>Market</stp>
        <stp>STOCK</stp>
        <stp>51310.T</stp>
        <stp>後場始値</stp>
        <tr r="R572" s="7"/>
      </tp>
      <tp>
        <v>6310</v>
        <stp/>
        <stp>Market</stp>
        <stp>STOCK</stp>
        <stp>51080.T</stp>
        <stp>後場始値</stp>
        <tr r="R568" s="7"/>
      </tp>
      <tp t="s">
        <v>表示銘柄数超過</v>
        <stp/>
        <stp>Market</stp>
        <stp>STOCK</stp>
        <stp>91070.T</stp>
        <stp>後場始値</stp>
        <tr r="R1095" s="7"/>
      </tp>
      <tp>
        <v>49</v>
        <stp/>
        <stp>Market</stp>
        <stp>STOCK</stp>
        <stp>81050.T</stp>
        <stp>後場始値</stp>
        <tr r="R978" s="7"/>
      </tp>
      <tp>
        <v>3385</v>
        <stp/>
        <stp>Market</stp>
        <stp>STOCK</stp>
        <stp>61040.T</stp>
        <stp>後場始値</stp>
        <tr r="R655" s="7"/>
      </tp>
      <tp t="s">
        <v>表示銘柄数超過</v>
        <stp/>
        <stp>Market</stp>
        <stp>STOCK</stp>
        <stp>91040.T</stp>
        <stp>後場始値</stp>
        <tr r="R1094" s="7"/>
      </tp>
      <tp>
        <v>708</v>
        <stp/>
        <stp>Market</stp>
        <stp>STOCK</stp>
        <stp>81040.T</stp>
        <stp>後場始値</stp>
        <tr r="R977" s="7"/>
      </tp>
      <tp t="s">
        <v>表示銘柄数超過</v>
        <stp/>
        <stp>Market</stp>
        <stp>STOCK</stp>
        <stp>31030.T</stp>
        <stp>後場始値</stp>
        <tr r="R242" s="7"/>
      </tp>
      <tp>
        <v>43</v>
        <stp/>
        <stp>Market</stp>
        <stp>STOCK</stp>
        <stp>51030.T</stp>
        <stp>後場始値</stp>
        <tr r="R567" s="7"/>
      </tp>
      <tp>
        <v>712</v>
        <stp/>
        <stp>Market</stp>
        <stp>STOCK</stp>
        <stp>81030.T</stp>
        <stp>後場始値</stp>
        <tr r="R976" s="7"/>
      </tp>
      <tp>
        <v>2265</v>
        <stp/>
        <stp>Market</stp>
        <stp>STOCK</stp>
        <stp>71020.T</stp>
        <stp>後場始値</stp>
        <tr r="R825" s="7"/>
      </tp>
      <tp t="s">
        <v>表示銘柄数超過</v>
        <stp/>
        <stp>Market</stp>
        <stp>STOCK</stp>
        <stp>31010.T</stp>
        <stp>後場始値</stp>
        <tr r="R241" s="7"/>
      </tp>
      <tp t="s">
        <v>表示銘柄数超過</v>
        <stp/>
        <stp>Market</stp>
        <stp>STOCK</stp>
        <stp>91010.T</stp>
        <stp>後場始値</stp>
        <tr r="R1093" s="7"/>
      </tp>
      <tp t="s">
        <v>表示銘柄数超過</v>
        <stp/>
        <stp>Market</stp>
        <stp>STOCK</stp>
        <stp>91190.T</stp>
        <stp>後場始値</stp>
        <tr r="R1097" s="7"/>
      </tp>
      <tp>
        <v>696</v>
        <stp/>
        <stp>Market</stp>
        <stp>STOCK</stp>
        <stp>81180.T</stp>
        <stp>後場始値</stp>
        <tr r="R979" s="7"/>
      </tp>
      <tp>
        <v>1400</v>
        <stp/>
        <stp>Market</stp>
        <stp>STOCK</stp>
        <stp>71160.T</stp>
        <stp>後場始値</stp>
        <tr r="R827" s="7"/>
      </tp>
      <tp t="s">
        <v>表示銘柄数超過</v>
        <stp/>
        <stp>Market</stp>
        <stp>STOCK</stp>
        <stp>91150.T</stp>
        <stp>後場始値</stp>
        <tr r="R1096" s="7"/>
      </tp>
      <tp t="s">
        <v>表示銘柄数超過</v>
        <stp/>
        <stp>Market</stp>
        <stp>STOCK</stp>
        <stp>21140.T</stp>
        <stp>後場始値</stp>
        <tr r="R89" s="7"/>
      </tp>
      <tp t="s">
        <v>表示銘柄数超過</v>
        <stp/>
        <stp>Market</stp>
        <stp>STOCK</stp>
        <stp>31130.T</stp>
        <stp>後場始値</stp>
        <tr r="R243" s="7"/>
      </tp>
      <tp>
        <v>1582</v>
        <stp/>
        <stp>Market</stp>
        <stp>STOCK</stp>
        <stp>61130.T</stp>
        <stp>後場始値</stp>
        <tr r="R656" s="7"/>
      </tp>
      <tp>
        <v>81</v>
        <stp/>
        <stp>Market</stp>
        <stp>STOCK</stp>
        <stp>71110.T</stp>
        <stp>後場始値</stp>
        <tr r="R826" s="7"/>
      </tp>
      <tp>
        <v>1733</v>
        <stp/>
        <stp>Market</stp>
        <stp>STOCK</stp>
        <stp>51100.T</stp>
        <stp>後場始値</stp>
        <tr r="R569" s="7"/>
      </tp>
      <tp t="s">
        <v>表示銘柄数超過</v>
        <stp/>
        <stp>Market</stp>
        <stp>STOCK</stp>
        <stp>31890.T</stp>
        <stp>後場始値</stp>
        <tr r="R255" s="7"/>
      </tp>
      <tp>
        <v>614</v>
        <stp/>
        <stp>Market</stp>
        <stp>STOCK</stp>
        <stp>61880.T</stp>
        <stp>後場始値</stp>
        <tr r="R672" s="7"/>
      </tp>
      <tp t="s">
        <v>表示銘柄数超過</v>
        <stp/>
        <stp>Market</stp>
        <stp>STOCK</stp>
        <stp>41880.T</stp>
        <stp>後場始値</stp>
        <tr r="R423" s="7"/>
      </tp>
      <tp t="s">
        <v>表示銘柄数超過</v>
        <stp/>
        <stp>Market</stp>
        <stp>STOCK</stp>
        <stp>31870.T</stp>
        <stp>後場始値</stp>
        <tr r="R254" s="7"/>
      </tp>
      <tp t="s">
        <v>表示銘柄数超過</v>
        <stp/>
        <stp>Market</stp>
        <stp>STOCK</stp>
        <stp>31860.T</stp>
        <stp>後場始値</stp>
        <tr r="R253" s="7"/>
      </tp>
      <tp>
        <v>693</v>
        <stp/>
        <stp>Market</stp>
        <stp>STOCK</stp>
        <stp>71860.T</stp>
        <stp>後場始値</stp>
        <tr r="R842" s="7"/>
      </tp>
      <tp>
        <v>624</v>
        <stp/>
        <stp>Market</stp>
        <stp>STOCK</stp>
        <stp>61860.T</stp>
        <stp>後場始値</stp>
        <tr r="R671" s="7"/>
      </tp>
      <tp t="s">
        <v>表示銘柄数超過</v>
        <stp/>
        <stp>Market</stp>
        <stp>STOCK</stp>
        <stp>31850.T</stp>
        <stp>後場始値</stp>
        <tr r="R252" s="7"/>
      </tp>
      <tp>
        <v>322</v>
        <stp/>
        <stp>Market</stp>
        <stp>STOCK</stp>
        <stp>61850.T</stp>
        <stp>後場始値</stp>
        <tr r="R670" s="7"/>
      </tp>
      <tp t="s">
        <v>表示銘柄数超過</v>
        <stp/>
        <stp>Market</stp>
        <stp>STOCK</stp>
        <stp>41850.T</stp>
        <stp>後場始値</stp>
        <tr r="R422" s="7"/>
      </tp>
      <tp>
        <v>845</v>
        <stp/>
        <stp>Market</stp>
        <stp>STOCK</stp>
        <stp>71840.T</stp>
        <stp>後場始値</stp>
        <tr r="R841" s="7"/>
      </tp>
      <tp>
        <v>618</v>
        <stp/>
        <stp>Market</stp>
        <stp>STOCK</stp>
        <stp>61840.T</stp>
        <stp>後場始値</stp>
        <tr r="R669" s="7"/>
      </tp>
      <tp>
        <v>253</v>
        <stp/>
        <stp>Market</stp>
        <stp>STOCK</stp>
        <stp>71830.T</stp>
        <stp>後場始値</stp>
        <tr r="R840" s="7"/>
      </tp>
      <tp t="s">
        <v>表示銘柄数超過</v>
        <stp/>
        <stp>Market</stp>
        <stp>STOCK</stp>
        <stp>31820.T</stp>
        <stp>後場始値</stp>
        <tr r="R251" s="7"/>
      </tp>
      <tp>
        <v>1493</v>
        <stp/>
        <stp>Market</stp>
        <stp>STOCK</stp>
        <stp>71820.T</stp>
        <stp>後場始値</stp>
        <tr r="R839" s="7"/>
      </tp>
      <tp>
        <v>1258</v>
        <stp/>
        <stp>Market</stp>
        <stp>STOCK</stp>
        <stp>61820.T</stp>
        <stp>後場始値</stp>
        <tr r="R668" s="7"/>
      </tp>
      <tp>
        <v>113</v>
        <stp/>
        <stp>Market</stp>
        <stp>STOCK</stp>
        <stp>61810.T</stp>
        <stp>後場始値</stp>
        <tr r="R667" s="7"/>
      </tp>
      <tp>
        <v>950</v>
        <stp/>
        <stp>Market</stp>
        <stp>STOCK</stp>
        <stp>71800.T</stp>
        <stp>後場始値</stp>
        <tr r="R838" s="7"/>
      </tp>
      <tp t="s">
        <v>表示銘柄数超過</v>
        <stp/>
        <stp>Market</stp>
        <stp>STOCK</stp>
        <stp>21980.T</stp>
        <stp>後場始値</stp>
        <tr r="R102" s="7"/>
      </tp>
      <tp t="s">
        <v>表示銘柄数超過</v>
        <stp/>
        <stp>Market</stp>
        <stp>STOCK</stp>
        <stp>31970.T</stp>
        <stp>後場始値</stp>
        <tr r="R257" s="7"/>
      </tp>
      <tp>
        <v>833</v>
        <stp/>
        <stp>Market</stp>
        <stp>STOCK</stp>
        <stp>71960.T</stp>
        <stp>後場始値</stp>
        <tr r="R843" s="7"/>
      </tp>
      <tp>
        <v>255</v>
        <stp/>
        <stp>Market</stp>
        <stp>STOCK</stp>
        <stp>61950.T</stp>
        <stp>後場始値</stp>
        <tr r="R676" s="7"/>
      </tp>
      <tp>
        <v>668</v>
        <stp/>
        <stp>Market</stp>
        <stp>STOCK</stp>
        <stp>61940.T</stp>
        <stp>後場始値</stp>
        <tr r="R675" s="7"/>
      </tp>
      <tp>
        <v>3750</v>
        <stp/>
        <stp>Market</stp>
        <stp>STOCK</stp>
        <stp>81940.T</stp>
        <stp>後場始値</stp>
        <tr r="R989" s="7"/>
      </tp>
      <tp t="s">
        <v>表示銘柄数超過</v>
        <stp/>
        <stp>Market</stp>
        <stp>STOCK</stp>
        <stp>31920.T</stp>
        <stp>後場始値</stp>
        <tr r="R256" s="7"/>
      </tp>
      <tp t="s">
        <v/>
        <stp/>
        <stp>Market</stp>
        <stp>STOCK</stp>
        <stp>61920.T</stp>
        <stp>後場始値</stp>
        <tr r="R674" s="7"/>
      </tp>
      <tp>
        <v>4880</v>
        <stp/>
        <stp>Market</stp>
        <stp>STOCK</stp>
        <stp>51920.T</stp>
        <stp>後場始値</stp>
        <tr r="R574" s="7"/>
      </tp>
      <tp t="s">
        <v>表示銘柄数超過</v>
        <stp/>
        <stp>Market</stp>
        <stp>STOCK</stp>
        <stp>41920.T</stp>
        <stp>後場始値</stp>
        <tr r="R424" s="7"/>
      </tp>
      <tp>
        <v>530</v>
        <stp/>
        <stp>Market</stp>
        <stp>STOCK</stp>
        <stp>61900.T</stp>
        <stp>後場始値</stp>
        <tr r="R673" s="7"/>
      </tp>
    </main>
    <main first="rtdsrv.662c26bade854d00aebc6010f8a2e03a">
      <tp t="s">
        <v>表示銘柄数超過</v>
        <stp/>
        <stp>Market</stp>
        <stp>STOCK</stp>
        <stp>30690.T</stp>
        <stp>後場始値</stp>
        <tr r="R235" s="7"/>
      </tp>
      <tp>
        <v>532</v>
        <stp/>
        <stp>Market</stp>
        <stp>STOCK</stp>
        <stp>70680.T</stp>
        <stp>後場始値</stp>
        <tr r="R822" s="7"/>
      </tp>
      <tp t="s">
        <v>表示銘柄数超過</v>
        <stp/>
        <stp>Market</stp>
        <stp>STOCK</stp>
        <stp>30640.T</stp>
        <stp>後場始値</stp>
        <tr r="R234" s="7"/>
      </tp>
      <tp t="s">
        <v>表示銘柄数超過</v>
        <stp/>
        <stp>Market</stp>
        <stp>STOCK</stp>
        <stp>90640.T</stp>
        <stp>後場始値</stp>
        <tr r="R1091" s="7"/>
      </tp>
      <tp>
        <v>1224</v>
        <stp/>
        <stp>Market</stp>
        <stp>STOCK</stp>
        <stp>70630.T</stp>
        <stp>後場始値</stp>
        <tr r="R821" s="7"/>
      </tp>
      <tp t="s">
        <v>表示銘柄数超過</v>
        <stp/>
        <stp>Market</stp>
        <stp>STOCK</stp>
        <stp>40630.T</stp>
        <stp>後場始値</stp>
        <tr r="R415" s="7"/>
      </tp>
      <tp t="s">
        <v>表示銘柄数超過</v>
        <stp/>
        <stp>Market</stp>
        <stp>STOCK</stp>
        <stp>90630.T</stp>
        <stp>後場始値</stp>
        <tr r="R1090" s="7"/>
      </tp>
      <tp>
        <v>1005</v>
        <stp/>
        <stp>Market</stp>
        <stp>STOCK</stp>
        <stp>70620.T</stp>
        <stp>後場始値</stp>
        <tr r="R820" s="7"/>
      </tp>
      <tp>
        <v>505</v>
        <stp/>
        <stp>Market</stp>
        <stp>STOCK</stp>
        <stp>70600.T</stp>
        <stp>後場始値</stp>
        <tr r="R819" s="7"/>
      </tp>
      <tp>
        <v>296</v>
        <stp/>
        <stp>Market</stp>
        <stp>STOCK</stp>
        <stp>80770.T</stp>
        <stp>後場始値</stp>
        <tr r="R973" s="7"/>
      </tp>
      <tp t="s">
        <v>表示銘柄数超過</v>
        <stp/>
        <stp>Market</stp>
        <stp>STOCK</stp>
        <stp>40750.T</stp>
        <stp>後場始値</stp>
        <tr r="R416" s="7"/>
      </tp>
      <tp>
        <v>255</v>
        <stp/>
        <stp>Market</stp>
        <stp>STOCK</stp>
        <stp>70740.T</stp>
        <stp>後場始値</stp>
        <tr r="R823" s="7"/>
      </tp>
      <tp t="s">
        <v>表示銘柄数超過</v>
        <stp/>
        <stp>Market</stp>
        <stp>STOCK</stp>
        <stp>50740.T</stp>
        <stp>後場始値</stp>
        <tr r="R566" s="7"/>
      </tp>
      <tp>
        <v>1669</v>
        <stp/>
        <stp>Market</stp>
        <stp>STOCK</stp>
        <stp>60730.T</stp>
        <stp>後場始値</stp>
        <tr r="R648" s="7"/>
      </tp>
      <tp t="s">
        <v>表示銘柄数超過</v>
        <stp/>
        <stp>Market</stp>
        <stp>STOCK</stp>
        <stp>30710.T</stp>
        <stp>後場始値</stp>
        <tr r="R237" s="7"/>
      </tp>
      <tp t="s">
        <v>表示銘柄数超過</v>
        <stp/>
        <stp>Market</stp>
        <stp>STOCK</stp>
        <stp>30700.T</stp>
        <stp>後場始値</stp>
        <tr r="R236" s="7"/>
      </tp>
      <tp>
        <v>535</v>
        <stp/>
        <stp>Market</stp>
        <stp>STOCK</stp>
        <stp>70490.T</stp>
        <stp>後場始値</stp>
        <tr r="R817" s="7"/>
      </tp>
      <tp>
        <v>303</v>
        <stp/>
        <stp>Market</stp>
        <stp>STOCK</stp>
        <stp>60490.T</stp>
        <stp>後場始値</stp>
        <tr r="R645" s="7"/>
      </tp>
      <tp>
        <v>592</v>
        <stp/>
        <stp>Market</stp>
        <stp>STOCK</stp>
        <stp>70480.T</stp>
        <stp>後場始値</stp>
        <tr r="R816" s="7"/>
      </tp>
      <tp>
        <v>135</v>
        <stp/>
        <stp>Market</stp>
        <stp>STOCK</stp>
        <stp>60480.T</stp>
        <stp>後場始値</stp>
        <tr r="R644" s="7"/>
      </tp>
      <tp t="s">
        <v>表示銘柄数超過</v>
        <stp/>
        <stp>Market</stp>
        <stp>STOCK</stp>
        <stp>90480.T</stp>
        <stp>後場始値</stp>
        <tr r="R1088" s="7"/>
      </tp>
      <tp>
        <v>2485</v>
        <stp/>
        <stp>Market</stp>
        <stp>STOCK</stp>
        <stp>70470.T</stp>
        <stp>後場始値</stp>
        <tr r="R815" s="7"/>
      </tp>
      <tp>
        <v>735</v>
        <stp/>
        <stp>Market</stp>
        <stp>STOCK</stp>
        <stp>60470.T</stp>
        <stp>後場始値</stp>
        <tr r="R643" s="7"/>
      </tp>
      <tp>
        <v>175</v>
        <stp/>
        <stp>Market</stp>
        <stp>STOCK</stp>
        <stp>60460.T</stp>
        <stp>後場始値</stp>
        <tr r="R642" s="7"/>
      </tp>
      <tp>
        <v>315</v>
        <stp/>
        <stp>Market</stp>
        <stp>STOCK</stp>
        <stp>70440.T</stp>
        <stp>後場始値</stp>
        <tr r="R814" s="7"/>
      </tp>
      <tp>
        <v>1362</v>
        <stp/>
        <stp>Market</stp>
        <stp>STOCK</stp>
        <stp>60440.T</stp>
        <stp>後場始値</stp>
        <tr r="R641" s="7"/>
      </tp>
      <tp t="s">
        <v>表示銘柄数超過</v>
        <stp/>
        <stp>Market</stp>
        <stp>STOCK</stp>
        <stp>90440.T</stp>
        <stp>後場始値</stp>
        <tr r="R1087" s="7"/>
      </tp>
      <tp>
        <v>897</v>
        <stp/>
        <stp>Market</stp>
        <stp>STOCK</stp>
        <stp>70430.T</stp>
        <stp>後場始値</stp>
        <tr r="R813" s="7"/>
      </tp>
      <tp t="s">
        <v>表示銘柄数超過</v>
        <stp/>
        <stp>Market</stp>
        <stp>STOCK</stp>
        <stp>90420.T</stp>
        <stp>後場始値</stp>
        <tr r="R1086" s="7"/>
      </tp>
      <tp t="s">
        <v>表示銘柄数超過</v>
        <stp/>
        <stp>Market</stp>
        <stp>STOCK</stp>
        <stp>30410.T</stp>
        <stp>後場始値</stp>
        <tr r="R231" s="7"/>
      </tp>
      <tp>
        <v>518</v>
        <stp/>
        <stp>Market</stp>
        <stp>STOCK</stp>
        <stp>70410.T</stp>
        <stp>後場始値</stp>
        <tr r="R812" s="7"/>
      </tp>
      <tp t="s">
        <v>表示銘柄数超過</v>
        <stp/>
        <stp>Market</stp>
        <stp>STOCK</stp>
        <stp>90410.T</stp>
        <stp>後場始値</stp>
        <tr r="R1085" s="7"/>
      </tp>
      <tp>
        <v>1616</v>
        <stp/>
        <stp>Market</stp>
        <stp>STOCK</stp>
        <stp>70590.T</stp>
        <stp>後場始値</stp>
        <tr r="R818" s="7"/>
      </tp>
      <tp>
        <v>385</v>
        <stp/>
        <stp>Market</stp>
        <stp>STOCK</stp>
        <stp>60590.T</stp>
        <stp>後場始値</stp>
        <tr r="R647" s="7"/>
      </tp>
      <tp t="s">
        <v>表示銘柄数超過</v>
        <stp/>
        <stp>Market</stp>
        <stp>STOCK</stp>
        <stp>40590.T</stp>
        <stp>後場始値</stp>
        <tr r="R414" s="7"/>
      </tp>
      <tp t="s">
        <v>表示銘柄数超過</v>
        <stp/>
        <stp>Market</stp>
        <stp>STOCK</stp>
        <stp>90590.T</stp>
        <stp>後場始値</stp>
        <tr r="R1089" s="7"/>
      </tp>
      <tp>
        <v>2772</v>
        <stp/>
        <stp>Market</stp>
        <stp>STOCK</stp>
        <stp>80580.T</stp>
        <stp>後場始値</stp>
        <tr r="R972" s="7"/>
      </tp>
      <tp>
        <v>4492</v>
        <stp/>
        <stp>Market</stp>
        <stp>STOCK</stp>
        <stp>80560.T</stp>
        <stp>後場始値</stp>
        <tr r="R971" s="7"/>
      </tp>
      <tp t="s">
        <v>表示銘柄数超過</v>
        <stp/>
        <stp>Market</stp>
        <stp>STOCK</stp>
        <stp>20550.T</stp>
        <stp>後場始値</stp>
        <tr r="R88" s="7"/>
      </tp>
      <tp>
        <v>243</v>
        <stp/>
        <stp>Market</stp>
        <stp>STOCK</stp>
        <stp>60540.T</stp>
        <stp>後場始値</stp>
        <tr r="R646" s="7"/>
      </tp>
      <tp t="s">
        <v>表示銘柄数超過</v>
        <stp/>
        <stp>Market</stp>
        <stp>STOCK</stp>
        <stp>30530.T</stp>
        <stp>後場始値</stp>
        <tr r="R233" s="7"/>
      </tp>
      <tp>
        <v>3325</v>
        <stp/>
        <stp>Market</stp>
        <stp>STOCK</stp>
        <stp>80530.T</stp>
        <stp>後場始値</stp>
        <tr r="R970" s="7"/>
      </tp>
      <tp t="s">
        <v>表示銘柄数超過</v>
        <stp/>
        <stp>Market</stp>
        <stp>STOCK</stp>
        <stp>30500.T</stp>
        <stp>後場始値</stp>
        <tr r="R232" s="7"/>
      </tp>
      <tp>
        <v>183</v>
        <stp/>
        <stp>Market</stp>
        <stp>STOCK</stp>
        <stp>60290.T</stp>
        <stp>後場始値</stp>
        <tr r="R638" s="7"/>
      </tp>
      <tp>
        <v>3370</v>
        <stp/>
        <stp>Market</stp>
        <stp>STOCK</stp>
        <stp>60280.T</stp>
        <stp>後場始値</stp>
        <tr r="R637" s="7"/>
      </tp>
      <tp t="s">
        <v>表示銘柄数超過</v>
        <stp/>
        <stp>Market</stp>
        <stp>STOCK</stp>
        <stp>50280.T</stp>
        <stp>後場始値</stp>
        <tr r="R564" s="7"/>
      </tp>
      <tp t="s">
        <v>表示銘柄数超過</v>
        <stp/>
        <stp>Market</stp>
        <stp>STOCK</stp>
        <stp>40270.T</stp>
        <stp>後場始値</stp>
        <tr r="R413" s="7"/>
      </tp>
      <tp t="s">
        <v>表示銘柄数超過</v>
        <stp/>
        <stp>Market</stp>
        <stp>STOCK</stp>
        <stp>90240.T</stp>
        <stp>後場始値</stp>
        <tr r="R1083" s="7"/>
      </tp>
      <tp>
        <v>1220</v>
        <stp/>
        <stp>Market</stp>
        <stp>STOCK</stp>
        <stp>60230.T</stp>
        <stp>後場始値</stp>
        <tr r="R636" s="7"/>
      </tp>
      <tp t="s">
        <v>表示銘柄数超過</v>
        <stp/>
        <stp>Market</stp>
        <stp>STOCK</stp>
        <stp>90220.T</stp>
        <stp>後場始値</stp>
        <tr r="R1082" s="7"/>
      </tp>
      <tp t="s">
        <v>表示銘柄数超過</v>
        <stp/>
        <stp>Market</stp>
        <stp>STOCK</stp>
        <stp>30210.T</stp>
        <stp>後場始値</stp>
        <tr r="R224" s="7"/>
      </tp>
      <tp t="s">
        <v>表示銘柄数超過</v>
        <stp/>
        <stp>Market</stp>
        <stp>STOCK</stp>
        <stp>50210.T</stp>
        <stp>後場始値</stp>
        <tr r="R563" s="7"/>
      </tp>
      <tp t="s">
        <v>表示銘柄数超過</v>
        <stp/>
        <stp>Market</stp>
        <stp>STOCK</stp>
        <stp>50200.T</stp>
        <stp>後場始値</stp>
        <tr r="R562" s="7"/>
      </tp>
      <tp t="s">
        <v>表示銘柄数超過</v>
        <stp/>
        <stp>Market</stp>
        <stp>STOCK</stp>
        <stp>90200.T</stp>
        <stp>後場始値</stp>
        <tr r="R1080" s="7"/>
        <tr r="R1081" s="7"/>
      </tp>
      <tp>
        <v>2320</v>
        <stp/>
        <stp>Market</stp>
        <stp>STOCK</stp>
        <stp>80200.T</stp>
        <stp>後場始値</stp>
        <tr r="R968" s="7"/>
      </tp>
      <tp t="s">
        <v>表示銘柄数超過</v>
        <stp/>
        <stp>Market</stp>
        <stp>STOCK</stp>
        <stp>30380.T</stp>
        <stp>後場始値</stp>
        <tr r="R230" s="7"/>
      </tp>
      <tp>
        <v>1741</v>
        <stp/>
        <stp>Market</stp>
        <stp>STOCK</stp>
        <stp>20380.T</stp>
        <stp>後場始値</stp>
        <tr r="R87" s="7"/>
      </tp>
      <tp>
        <v>516</v>
        <stp/>
        <stp>Market</stp>
        <stp>STOCK</stp>
        <stp>70370.T</stp>
        <stp>後場始値</stp>
        <tr r="R811" s="7"/>
      </tp>
      <tp t="s">
        <v>表示銘柄数超過</v>
        <stp/>
        <stp>Market</stp>
        <stp>STOCK</stp>
        <stp>30360.T</stp>
        <stp>後場始値</stp>
        <tr r="R229" s="7"/>
      </tp>
      <tp t="s">
        <v>表示銘柄数超過</v>
        <stp/>
        <stp>Market</stp>
        <stp>STOCK</stp>
        <stp>30350.T</stp>
        <stp>後場始値</stp>
        <tr r="R228" s="7"/>
      </tp>
      <tp>
        <v>1290</v>
        <stp/>
        <stp>Market</stp>
        <stp>STOCK</stp>
        <stp>60350.T</stp>
        <stp>後場始値</stp>
        <tr r="R640" s="7"/>
      </tp>
      <tp t="s">
        <v>表示銘柄数超過</v>
        <stp/>
        <stp>Market</stp>
        <stp>STOCK</stp>
        <stp>30340.T</stp>
        <stp>後場始値</stp>
        <tr r="R227" s="7"/>
      </tp>
      <tp t="s">
        <v>表示銘柄数超過</v>
        <stp/>
        <stp>Market</stp>
        <stp>STOCK</stp>
        <stp>90330.T</stp>
        <stp>後場始値</stp>
        <tr r="R1084" s="7"/>
      </tp>
      <tp t="s">
        <v>表示銘柄数超過</v>
        <stp/>
        <stp>Market</stp>
        <stp>STOCK</stp>
        <stp>50320.T</stp>
        <stp>後場始値</stp>
        <tr r="R565" s="7"/>
      </tp>
      <tp t="s">
        <v>表示銘柄数超過</v>
        <stp/>
        <stp>Market</stp>
        <stp>STOCK</stp>
        <stp>30310.T</stp>
        <stp>後場始値</stp>
        <tr r="R226" s="7"/>
      </tp>
      <tp>
        <v>1221</v>
        <stp/>
        <stp>Market</stp>
        <stp>STOCK</stp>
        <stp>70310.T</stp>
        <stp>後場始値</stp>
        <tr r="R810" s="7"/>
      </tp>
      <tp>
        <v>737</v>
        <stp/>
        <stp>Market</stp>
        <stp>STOCK</stp>
        <stp>60310.T</stp>
        <stp>後場始値</stp>
        <tr r="R639" s="7"/>
      </tp>
      <tp>
        <v>5835</v>
        <stp/>
        <stp>Market</stp>
        <stp>STOCK</stp>
        <stp>80310.T</stp>
        <stp>後場始値</stp>
        <tr r="R969" s="7"/>
      </tp>
      <tp t="s">
        <v>表示銘柄数超過</v>
        <stp/>
        <stp>Market</stp>
        <stp>STOCK</stp>
        <stp>30300.T</stp>
        <stp>後場始値</stp>
        <tr r="R225" s="7"/>
      </tp>
      <tp t="s">
        <v>表示銘柄数超過</v>
        <stp/>
        <stp>Market</stp>
        <stp>STOCK</stp>
        <stp>90090.T</stp>
        <stp>後場始値</stp>
        <tr r="R1079" s="7"/>
      </tp>
      <tp t="s">
        <v>表示銘柄数超過</v>
        <stp/>
        <stp>Market</stp>
        <stp>STOCK</stp>
        <stp>90080.T</stp>
        <stp>後場始値</stp>
        <tr r="R1078" s="7"/>
      </tp>
      <tp>
        <v>1964</v>
        <stp/>
        <stp>Market</stp>
        <stp>STOCK</stp>
        <stp>80080.T</stp>
        <stp>後場始値</stp>
        <tr r="R966" s="7"/>
      </tp>
      <tp t="s">
        <v>表示銘柄数超過</v>
        <stp/>
        <stp>Market</stp>
        <stp>STOCK</stp>
        <stp>90070.T</stp>
        <stp>後場始値</stp>
        <tr r="R1077" s="7"/>
      </tp>
      <tp t="s">
        <v>表示銘柄数超過</v>
        <stp/>
        <stp>Market</stp>
        <stp>STOCK</stp>
        <stp>90060.T</stp>
        <stp>後場始値</stp>
        <tr r="R1076" s="7"/>
      </tp>
      <tp t="s">
        <v>表示銘柄数超過</v>
        <stp/>
        <stp>Market</stp>
        <stp>STOCK</stp>
        <stp>90050.T</stp>
        <stp>後場始値</stp>
        <tr r="R1075" s="7"/>
      </tp>
      <tp>
        <v>968</v>
        <stp/>
        <stp>Market</stp>
        <stp>STOCK</stp>
        <stp>80050.T</stp>
        <stp>後場始値</stp>
        <tr r="R965" s="7"/>
      </tp>
      <tp t="s">
        <v>表示銘柄数超過</v>
        <stp/>
        <stp>Market</stp>
        <stp>STOCK</stp>
        <stp>30040.T</stp>
        <stp>後場始値</stp>
        <tr r="R222" s="7"/>
      </tp>
      <tp>
        <v>1012</v>
        <stp/>
        <stp>Market</stp>
        <stp>STOCK</stp>
        <stp>70040.T</stp>
        <stp>後場始値</stp>
        <tr r="R805" s="7"/>
      </tp>
      <tp t="s">
        <v>表示銘柄数超過</v>
        <stp/>
        <stp>Market</stp>
        <stp>STOCK</stp>
        <stp>40040.T</stp>
        <stp>後場始値</stp>
        <tr r="R410" s="7"/>
      </tp>
      <tp t="s">
        <v>表示銘柄数超過</v>
        <stp/>
        <stp>Market</stp>
        <stp>STOCK</stp>
        <stp>30030.T</stp>
        <stp>後場始値</stp>
        <tr r="R221" s="7"/>
      </tp>
      <tp>
        <v>747</v>
        <stp/>
        <stp>Market</stp>
        <stp>STOCK</stp>
        <stp>70030.T</stp>
        <stp>後場始値</stp>
        <tr r="R804" s="7"/>
      </tp>
      <tp t="s">
        <v>表示銘柄数超過</v>
        <stp/>
        <stp>Market</stp>
        <stp>STOCK</stp>
        <stp>90030.T</stp>
        <stp>後場始値</stp>
        <tr r="R1074" s="7"/>
      </tp>
      <tp t="s">
        <v>表示銘柄数超過</v>
        <stp/>
        <stp>Market</stp>
        <stp>STOCK</stp>
        <stp>90010.T</stp>
        <stp>後場始値</stp>
        <tr r="R1073" s="7"/>
      </tp>
      <tp>
        <v>6664</v>
        <stp/>
        <stp>Market</stp>
        <stp>STOCK</stp>
        <stp>80010.T</stp>
        <stp>後場始値</stp>
        <tr r="R964" s="7"/>
      </tp>
      <tp t="s">
        <v>表示銘柄数超過</v>
        <stp/>
        <stp>Market</stp>
        <stp>STOCK</stp>
        <stp>50190.T</stp>
        <stp>後場始値</stp>
        <tr r="R561" s="7"/>
      </tp>
      <tp t="s">
        <v>表示銘柄数超過</v>
        <stp/>
        <stp>Market</stp>
        <stp>STOCK</stp>
        <stp>50170.T</stp>
        <stp>後場始値</stp>
        <tr r="R560" s="7"/>
      </tp>
      <tp t="s">
        <v>表示銘柄数超過</v>
        <stp/>
        <stp>Market</stp>
        <stp>STOCK</stp>
        <stp>40160.T</stp>
        <stp>後場始値</stp>
        <tr r="R412" s="7"/>
      </tp>
      <tp>
        <v>541</v>
        <stp/>
        <stp>Market</stp>
        <stp>STOCK</stp>
        <stp>80160.T</stp>
        <stp>後場始値</stp>
        <tr r="R967" s="7"/>
      </tp>
      <tp t="s">
        <v>表示銘柄数超過</v>
        <stp/>
        <stp>Market</stp>
        <stp>STOCK</stp>
        <stp>50150.T</stp>
        <stp>後場始値</stp>
        <tr r="R559" s="7"/>
      </tp>
      <tp>
        <v>1321</v>
        <stp/>
        <stp>Market</stp>
        <stp>STOCK</stp>
        <stp>70140.T</stp>
        <stp>後場始値</stp>
        <tr r="R809" s="7"/>
      </tp>
      <tp>
        <v>2764</v>
        <stp/>
        <stp>Market</stp>
        <stp>STOCK</stp>
        <stp>70130.T</stp>
        <stp>後場始値</stp>
        <tr r="R808" s="7"/>
      </tp>
      <tp>
        <v>3506</v>
        <stp/>
        <stp>Market</stp>
        <stp>STOCK</stp>
        <stp>70120.T</stp>
        <stp>後場始値</stp>
        <tr r="R807" s="7"/>
      </tp>
      <tp>
        <v>10280</v>
        <stp/>
        <stp>Market</stp>
        <stp>STOCK</stp>
        <stp>70110.T</stp>
        <stp>後場始値</stp>
        <tr r="R806" s="7"/>
      </tp>
      <tp t="s">
        <v>表示銘柄数超過</v>
        <stp/>
        <stp>Market</stp>
        <stp>STOCK</stp>
        <stp>40110.T</stp>
        <stp>後場始値</stp>
        <tr r="R411" s="7"/>
      </tp>
      <tp t="s">
        <v>表示銘柄数超過</v>
        <stp/>
        <stp>Market</stp>
        <stp>STOCK</stp>
        <stp>30100.T</stp>
        <stp>後場始値</stp>
        <tr r="R223" s="7"/>
      </tp>
      <tp t="s">
        <v>表示銘柄数超過</v>
        <stp/>
        <stp>Market</stp>
        <stp>STOCK</stp>
        <stp>50100.T</stp>
        <stp>後場始値</stp>
        <tr r="R558" s="7"/>
      </tp>
      <tp>
        <v>802</v>
        <stp/>
        <stp>Market</stp>
        <stp>STOCK</stp>
        <stp>70880.T</stp>
        <stp>後場始値</stp>
        <tr r="R824" s="7"/>
      </tp>
      <tp t="s">
        <v>表示銘柄数超過</v>
        <stp/>
        <stp>Market</stp>
        <stp>STOCK</stp>
        <stp>30860.T</stp>
        <stp>後場始値</stp>
        <tr r="R239" s="7"/>
      </tp>
      <tp t="s">
        <v>表示銘柄数超過</v>
        <stp/>
        <stp>Market</stp>
        <stp>STOCK</stp>
        <stp>30830.T</stp>
        <stp>後場始値</stp>
        <tr r="R238" s="7"/>
      </tp>
      <tp>
        <v>286</v>
        <stp/>
        <stp>Market</stp>
        <stp>STOCK</stp>
        <stp>60810.T</stp>
        <stp>後場始値</stp>
        <tr r="R649" s="7"/>
      </tp>
      <tp>
        <v>1504</v>
        <stp/>
        <stp>Market</stp>
        <stp>STOCK</stp>
        <stp>80810.T</stp>
        <stp>後場始値</stp>
        <tr r="R974" s="7"/>
      </tp>
      <tp t="s">
        <v>表示銘柄数超過</v>
        <stp/>
        <stp>Market</stp>
        <stp>STOCK</stp>
        <stp>30990.T</stp>
        <stp>後場始値</stp>
        <tr r="R240" s="7"/>
      </tp>
      <tp>
        <v>5754</v>
        <stp/>
        <stp>Market</stp>
        <stp>STOCK</stp>
        <stp>60980.T</stp>
        <stp>後場始値</stp>
        <tr r="R654" s="7"/>
      </tp>
      <tp>
        <v>920</v>
        <stp/>
        <stp>Market</stp>
        <stp>STOCK</stp>
        <stp>60960.T</stp>
        <stp>後場始値</stp>
        <tr r="R653" s="7"/>
      </tp>
      <tp>
        <v>472</v>
        <stp/>
        <stp>Market</stp>
        <stp>STOCK</stp>
        <stp>80950.T</stp>
        <stp>後場始値</stp>
        <tr r="R975" s="7"/>
      </tp>
      <tp>
        <v>141</v>
        <stp/>
        <stp>Market</stp>
        <stp>STOCK</stp>
        <stp>60930.T</stp>
        <stp>後場始値</stp>
        <tr r="R652" s="7"/>
      </tp>
      <tp>
        <v>592</v>
        <stp/>
        <stp>Market</stp>
        <stp>STOCK</stp>
        <stp>60920.T</stp>
        <stp>後場始値</stp>
        <tr r="R651" s="7"/>
      </tp>
      <tp>
        <v>535</v>
        <stp/>
        <stp>Market</stp>
        <stp>STOCK</stp>
        <stp>60910.T</stp>
        <stp>後場始値</stp>
        <tr r="R650" s="7"/>
      </tp>
      <tp t="s">
        <v>表示銘柄数超過</v>
        <stp/>
        <stp>Market</stp>
        <stp>STOCK</stp>
        <stp>90900.T</stp>
        <stp>後場始値</stp>
        <tr r="R1092" s="7"/>
      </tp>
      <tp t="s">
        <v>表示銘柄数超過</v>
        <stp/>
        <stp>Market</stp>
        <stp>STOCK</stp>
        <stp>87690.T</stp>
        <stp>後場始値</stp>
        <tr r="R1046" s="7"/>
      </tp>
      <tp t="s">
        <v>表示銘柄数超過</v>
        <stp/>
        <stp>Market</stp>
        <stp>STOCK</stp>
        <stp>27680.T</stp>
        <stp>後場始値</stp>
        <tr r="R196" s="7"/>
      </tp>
      <tp>
        <v>544</v>
        <stp/>
        <stp>Market</stp>
        <stp>STOCK</stp>
        <stp>67680.T</stp>
        <stp>後場始値</stp>
        <tr r="R769" s="7"/>
      </tp>
      <tp t="s">
        <v>表示銘柄数超過</v>
        <stp/>
        <stp>Market</stp>
        <stp>STOCK</stp>
        <stp>27670.T</stp>
        <stp>後場始値</stp>
        <tr r="R195" s="7"/>
      </tp>
      <tp t="s">
        <v>表示銘柄数超過</v>
        <stp/>
        <stp>Market</stp>
        <stp>STOCK</stp>
        <stp>47670.T</stp>
        <stp>後場始値</stp>
        <tr r="R531" s="7"/>
      </tp>
      <tp t="s">
        <v>表示銘柄数超過</v>
        <stp/>
        <stp>Market</stp>
        <stp>STOCK</stp>
        <stp>47660.T</stp>
        <stp>後場始値</stp>
        <tr r="R530" s="7"/>
      </tp>
      <tp t="s">
        <v>表示銘柄数超過</v>
        <stp/>
        <stp>Market</stp>
        <stp>STOCK</stp>
        <stp>87660.T</stp>
        <stp>後場始値</stp>
        <tr r="R1045" s="7"/>
      </tp>
      <tp t="s">
        <v>表示銘柄数超過</v>
        <stp/>
        <stp>Market</stp>
        <stp>STOCK</stp>
        <stp>97650.T</stp>
        <stp>後場始値</stp>
        <tr r="R1165" s="7"/>
      </tp>
      <tp t="s">
        <v>表示銘柄数超過</v>
        <stp/>
        <stp>Market</stp>
        <stp>STOCK</stp>
        <stp>27640.T</stp>
        <stp>後場始値</stp>
        <tr r="R194" s="7"/>
      </tp>
      <tp t="s">
        <v>表示銘柄数超過</v>
        <stp/>
        <stp>Market</stp>
        <stp>STOCK</stp>
        <stp>27620.T</stp>
        <stp>後場始値</stp>
        <tr r="R193" s="7"/>
      </tp>
      <tp>
        <v>973</v>
        <stp/>
        <stp>Market</stp>
        <stp>STOCK</stp>
        <stp>77620.T</stp>
        <stp>後場始値</stp>
        <tr r="R930" s="7"/>
      </tp>
      <tp>
        <v>7649</v>
        <stp/>
        <stp>Market</stp>
        <stp>STOCK</stp>
        <stp>67620.T</stp>
        <stp>後場始値</stp>
        <tr r="R768" s="7"/>
      </tp>
      <tp t="s">
        <v>表示銘柄数超過</v>
        <stp/>
        <stp>Market</stp>
        <stp>STOCK</stp>
        <stp>37600.T</stp>
        <stp>後場始値</stp>
        <tr r="R352" s="7"/>
      </tp>
      <tp t="s">
        <v>表示銘柄数超過</v>
        <stp/>
        <stp>Market</stp>
        <stp>STOCK</stp>
        <stp>97600.T</stp>
        <stp>後場始値</stp>
        <tr r="R1164" s="7"/>
      </tp>
      <tp t="s">
        <v>表示銘柄数超過</v>
        <stp/>
        <stp>Market</stp>
        <stp>STOCK</stp>
        <stp>37790.T</stp>
        <stp>後場始値</stp>
        <tr r="R358" s="7"/>
      </tp>
      <tp>
        <v>203</v>
        <stp/>
        <stp>Market</stp>
        <stp>STOCK</stp>
        <stp>77790.T</stp>
        <stp>後場始値</stp>
        <tr r="R934" s="7"/>
      </tp>
      <tp t="s">
        <v>表示銘柄数超過</v>
        <stp/>
        <stp>Market</stp>
        <stp>STOCK</stp>
        <stp>37780.T</stp>
        <stp>後場始値</stp>
        <tr r="R357" s="7"/>
      </tp>
      <tp t="s">
        <v>表示銘柄数超過</v>
        <stp/>
        <stp>Market</stp>
        <stp>STOCK</stp>
        <stp>27780.T</stp>
        <stp>後場始値</stp>
        <tr r="R198" s="7"/>
      </tp>
      <tp t="s">
        <v>表示銘柄数超過</v>
        <stp/>
        <stp>Market</stp>
        <stp>STOCK</stp>
        <stp>37770.T</stp>
        <stp>後場始値</stp>
        <tr r="R356" s="7"/>
      </tp>
      <tp>
        <v>106</v>
        <stp/>
        <stp>Market</stp>
        <stp>STOCK</stp>
        <stp>77770.T</stp>
        <stp>後場始値</stp>
        <tr r="R933" s="7"/>
      </tp>
      <tp>
        <v>3840</v>
        <stp/>
        <stp>Market</stp>
        <stp>STOCK</stp>
        <stp>67770.T</stp>
        <stp>後場始値</stp>
        <tr r="R772" s="7"/>
      </tp>
      <tp t="s">
        <v>表示銘柄数超過</v>
        <stp/>
        <stp>Market</stp>
        <stp>STOCK</stp>
        <stp>47770.T</stp>
        <stp>後場始値</stp>
        <tr r="R534" s="7"/>
      </tp>
      <tp t="s">
        <v>表示銘柄数超過</v>
        <stp/>
        <stp>Market</stp>
        <stp>STOCK</stp>
        <stp>37760.T</stp>
        <stp>後場始値</stp>
        <tr r="R355" s="7"/>
      </tp>
      <tp t="s">
        <v>表示銘柄数超過</v>
        <stp/>
        <stp>Market</stp>
        <stp>STOCK</stp>
        <stp>27760.T</stp>
        <stp>後場始値</stp>
        <tr r="R197" s="7"/>
      </tp>
      <tp>
        <v>241</v>
        <stp/>
        <stp>Market</stp>
        <stp>STOCK</stp>
        <stp>77760.T</stp>
        <stp>後場始値</stp>
        <tr r="R932" s="7"/>
      </tp>
      <tp>
        <v>446</v>
        <stp/>
        <stp>Market</stp>
        <stp>STOCK</stp>
        <stp>67760.T</stp>
        <stp>後場始値</stp>
        <tr r="R771" s="7"/>
      </tp>
      <tp t="s">
        <v>表示銘柄数超過</v>
        <stp/>
        <stp>Market</stp>
        <stp>STOCK</stp>
        <stp>47760.T</stp>
        <stp>後場始値</stp>
        <tr r="R533" s="7"/>
      </tp>
      <tp>
        <v>194</v>
        <stp/>
        <stp>Market</stp>
        <stp>STOCK</stp>
        <stp>67750.T</stp>
        <stp>後場始値</stp>
        <tr r="R770" s="7"/>
      </tp>
      <tp t="s">
        <v>表示銘柄数超過</v>
        <stp/>
        <stp>Market</stp>
        <stp>STOCK</stp>
        <stp>37730.T</stp>
        <stp>後場始値</stp>
        <tr r="R354" s="7"/>
      </tp>
      <tp>
        <v>71</v>
        <stp/>
        <stp>Market</stp>
        <stp>STOCK</stp>
        <stp>77710.T</stp>
        <stp>後場始値</stp>
        <tr r="R931" s="7"/>
      </tp>
      <tp t="s">
        <v>表示銘柄数超過</v>
        <stp/>
        <stp>Market</stp>
        <stp>STOCK</stp>
        <stp>37700.T</stp>
        <stp>後場始値</stp>
        <tr r="R353" s="7"/>
      </tp>
      <tp t="s">
        <v>表示銘柄数超過</v>
        <stp/>
        <stp>Market</stp>
        <stp>STOCK</stp>
        <stp>17700.T</stp>
        <stp>後場始値</stp>
        <tr r="R55" s="7"/>
      </tp>
      <tp t="s">
        <v>表示銘柄数超過</v>
        <stp/>
        <stp>Market</stp>
        <stp>STOCK</stp>
        <stp>47700.T</stp>
        <stp>後場始値</stp>
        <tr r="R532" s="7"/>
      </tp>
      <tp t="s">
        <v>表示銘柄数超過</v>
        <stp/>
        <stp>Market</stp>
        <stp>STOCK</stp>
        <stp>27490.T</stp>
        <stp>後場始値</stp>
        <tr r="R192" s="7"/>
      </tp>
      <tp>
        <v>481</v>
        <stp/>
        <stp>Market</stp>
        <stp>STOCK</stp>
        <stp>67480.T</stp>
        <stp>後場始値</stp>
        <tr r="R762" s="7"/>
      </tp>
      <tp t="s">
        <v>表示銘柄数超過</v>
        <stp/>
        <stp>Market</stp>
        <stp>STOCK</stp>
        <stp>37470.T</stp>
        <stp>後場始値</stp>
        <tr r="R350" s="7"/>
      </tp>
      <tp>
        <v>99</v>
        <stp/>
        <stp>Market</stp>
        <stp>STOCK</stp>
        <stp>87460.T</stp>
        <stp>後場始値</stp>
        <tr r="R1043" s="7"/>
      </tp>
      <tp>
        <v>2114</v>
        <stp/>
        <stp>Market</stp>
        <stp>STOCK</stp>
        <stp>77450.T</stp>
        <stp>後場始値</stp>
        <tr r="R927" s="7"/>
      </tp>
      <tp t="s">
        <v>表示銘柄数超過</v>
        <stp/>
        <stp>Market</stp>
        <stp>STOCK</stp>
        <stp>27430.T</stp>
        <stp>後場始値</stp>
        <tr r="R191" s="7"/>
      </tp>
      <tp t="s">
        <v>表示銘柄数超過</v>
        <stp/>
        <stp>Market</stp>
        <stp>STOCK</stp>
        <stp>17430.T</stp>
        <stp>後場始値</stp>
        <tr r="R53" s="7"/>
      </tp>
      <tp>
        <v>467</v>
        <stp/>
        <stp>Market</stp>
        <stp>STOCK</stp>
        <stp>67420.T</stp>
        <stp>後場始値</stp>
        <tr r="R761" s="7"/>
      </tp>
      <tp>
        <v>255</v>
        <stp/>
        <stp>Market</stp>
        <stp>STOCK</stp>
        <stp>87420.T</stp>
        <stp>後場始値</stp>
        <tr r="R1042" s="7"/>
      </tp>
      <tp t="s">
        <v>表示銘柄数超過</v>
        <stp/>
        <stp>Market</stp>
        <stp>STOCK</stp>
        <stp>37410.T</stp>
        <stp>後場始値</stp>
        <tr r="R349" s="7"/>
      </tp>
      <tp>
        <v>953</v>
        <stp/>
        <stp>Market</stp>
        <stp>STOCK</stp>
        <stp>67410.T</stp>
        <stp>後場始値</stp>
        <tr r="R760" s="7"/>
      </tp>
      <tp>
        <v>20</v>
        <stp/>
        <stp>Market</stp>
        <stp>STOCK</stp>
        <stp>67400.T</stp>
        <stp>後場始値</stp>
        <tr r="R759" s="7"/>
      </tp>
      <tp>
        <v>1118</v>
        <stp/>
        <stp>Market</stp>
        <stp>STOCK</stp>
        <stp>57590.T</stp>
        <stp>後場始値</stp>
        <tr r="R610" s="7"/>
      </tp>
      <tp t="s">
        <v>表示銘柄数超過</v>
        <stp/>
        <stp>Market</stp>
        <stp>STOCK</stp>
        <stp>37580.T</stp>
        <stp>後場始値</stp>
        <tr r="R351" s="7"/>
      </tp>
      <tp>
        <v>14250</v>
        <stp/>
        <stp>Market</stp>
        <stp>STOCK</stp>
        <stp>67580.T</stp>
        <stp>後場始値</stp>
        <tr r="R767" s="7"/>
      </tp>
      <tp t="s">
        <v>表示銘柄数超過</v>
        <stp/>
        <stp>Market</stp>
        <stp>STOCK</stp>
        <stp>17570.T</stp>
        <stp>後場始値</stp>
        <tr r="R54" s="7"/>
      </tp>
      <tp t="s">
        <v>表示銘柄数超過</v>
        <stp/>
        <stp>Market</stp>
        <stp>STOCK</stp>
        <stp>47550.T</stp>
        <stp>後場始値</stp>
        <tr r="R529" s="7"/>
      </tp>
      <tp>
        <v>1172.5</v>
        <stp/>
        <stp>Market</stp>
        <stp>STOCK</stp>
        <stp>67540.T</stp>
        <stp>後場始値</stp>
        <tr r="R766" s="7"/>
      </tp>
      <tp>
        <v>867</v>
        <stp/>
        <stp>Market</stp>
        <stp>STOCK</stp>
        <stp>67530.T</stp>
        <stp>後場始値</stp>
        <tr r="R765" s="7"/>
      </tp>
      <tp>
        <v>1270.5</v>
        <stp/>
        <stp>Market</stp>
        <stp>STOCK</stp>
        <stp>77520.T</stp>
        <stp>後場始値</stp>
        <tr r="R929" s="7"/>
      </tp>
      <tp>
        <v>1427</v>
        <stp/>
        <stp>Market</stp>
        <stp>STOCK</stp>
        <stp>67520.T</stp>
        <stp>後場始値</stp>
        <tr r="R764" s="7"/>
      </tp>
      <tp>
        <v>4041</v>
        <stp/>
        <stp>Market</stp>
        <stp>STOCK</stp>
        <stp>77510.T</stp>
        <stp>後場始値</stp>
        <tr r="R928" s="7"/>
      </tp>
      <tp t="s">
        <v>表示銘柄数超過</v>
        <stp/>
        <stp>Market</stp>
        <stp>STOCK</stp>
        <stp>47510.T</stp>
        <stp>後場始値</stp>
        <tr r="R528" s="7"/>
      </tp>
      <tp>
        <v>1690</v>
        <stp/>
        <stp>Market</stp>
        <stp>STOCK</stp>
        <stp>67500.T</stp>
        <stp>後場始値</stp>
        <tr r="R763" s="7"/>
      </tp>
      <tp t="s">
        <v>表示銘柄数超過</v>
        <stp/>
        <stp>Market</stp>
        <stp>STOCK</stp>
        <stp>87500.T</stp>
        <stp>後場始値</stp>
        <tr r="R1044" s="7"/>
      </tp>
      <tp t="s">
        <v>表示銘柄数超過</v>
        <stp/>
        <stp>Market</stp>
        <stp>STOCK</stp>
        <stp>37270.T</stp>
        <stp>後場始値</stp>
        <tr r="R347" s="7"/>
      </tp>
      <tp>
        <v>1888</v>
        <stp/>
        <stp>Market</stp>
        <stp>STOCK</stp>
        <stp>57270.T</stp>
        <stp>後場始値</stp>
        <tr r="R609" s="7"/>
      </tp>
      <tp>
        <v>2812</v>
        <stp/>
        <stp>Market</stp>
        <stp>STOCK</stp>
        <stp>57260.T</stp>
        <stp>後場始値</stp>
        <tr r="R608" s="7"/>
      </tp>
      <tp t="s">
        <v>表示銘柄数超過</v>
        <stp/>
        <stp>Market</stp>
        <stp>STOCK</stp>
        <stp>47260.T</stp>
        <stp>後場始値</stp>
        <tr r="R527" s="7"/>
      </tp>
      <tp>
        <v>1125</v>
        <stp/>
        <stp>Market</stp>
        <stp>STOCK</stp>
        <stp>77250.T</stp>
        <stp>後場始値</stp>
        <tr r="R924" s="7"/>
      </tp>
      <tp t="s">
        <v>表示銘柄数超過</v>
        <stp/>
        <stp>Market</stp>
        <stp>STOCK</stp>
        <stp>37230.T</stp>
        <stp>後場始値</stp>
        <tr r="R346" s="7"/>
      </tp>
      <tp>
        <v>2419.5</v>
        <stp/>
        <stp>Market</stp>
        <stp>STOCK</stp>
        <stp>67230.T</stp>
        <stp>後場始値</stp>
        <tr r="R757" s="7"/>
      </tp>
      <tp t="s">
        <v>表示銘柄数超過</v>
        <stp/>
        <stp>Market</stp>
        <stp>STOCK</stp>
        <stp>97230.T</stp>
        <stp>後場始値</stp>
        <tr r="R1163" s="7"/>
      </tp>
      <tp t="s">
        <v>表示銘柄数超過</v>
        <stp/>
        <stp>Market</stp>
        <stp>STOCK</stp>
        <stp>27220.T</stp>
        <stp>後場始値</stp>
        <tr r="R188" s="7"/>
      </tp>
      <tp>
        <v>508</v>
        <stp/>
        <stp>Market</stp>
        <stp>STOCK</stp>
        <stp>77220.T</stp>
        <stp>後場始値</stp>
        <tr r="R923" s="7"/>
      </tp>
      <tp t="s">
        <v>表示銘柄数超過</v>
        <stp/>
        <stp>Market</stp>
        <stp>STOCK</stp>
        <stp>27210.T</stp>
        <stp>後場始値</stp>
        <tr r="R187" s="7"/>
      </tp>
      <tp t="s">
        <v>表示銘柄数超過</v>
        <stp/>
        <stp>Market</stp>
        <stp>STOCK</stp>
        <stp>17210.T</stp>
        <stp>後場始値</stp>
        <tr r="R51" s="7"/>
      </tp>
      <tp>
        <v>92</v>
        <stp/>
        <stp>Market</stp>
        <stp>STOCK</stp>
        <stp>67210.T</stp>
        <stp>後場始値</stp>
        <tr r="R756" s="7"/>
      </tp>
      <tp t="s">
        <v>表示銘柄数超過</v>
        <stp/>
        <stp>Market</stp>
        <stp>STOCK</stp>
        <stp>17200.T</stp>
        <stp>後場始値</stp>
        <tr r="R50" s="7"/>
      </tp>
      <tp t="s">
        <v>表示銘柄数超過</v>
        <stp/>
        <stp>Market</stp>
        <stp>STOCK</stp>
        <stp>47200.T</stp>
        <stp>後場始値</stp>
        <tr r="R526" s="7"/>
      </tp>
      <tp>
        <v>2091</v>
        <stp/>
        <stp>Market</stp>
        <stp>STOCK</stp>
        <stp>77390.T</stp>
        <stp>後場始値</stp>
        <tr r="R926" s="7"/>
      </tp>
      <tp t="s">
        <v>表示銘柄数超過</v>
        <stp/>
        <stp>Market</stp>
        <stp>STOCK</stp>
        <stp>37380.T</stp>
        <stp>後場始値</stp>
        <tr r="R348" s="7"/>
      </tp>
      <tp>
        <v>504</v>
        <stp/>
        <stp>Market</stp>
        <stp>STOCK</stp>
        <stp>87370.T</stp>
        <stp>後場始値</stp>
        <tr r="R1041" s="7"/>
      </tp>
      <tp t="s">
        <v>表示銘柄数超過</v>
        <stp/>
        <stp>Market</stp>
        <stp>STOCK</stp>
        <stp>27350.T</stp>
        <stp>後場始値</stp>
        <tr r="R190" s="7"/>
      </tp>
      <tp t="s">
        <v>表示銘柄数超過</v>
        <stp/>
        <stp>Market</stp>
        <stp>STOCK</stp>
        <stp>27340.T</stp>
        <stp>後場始値</stp>
        <tr r="R189" s="7"/>
      </tp>
      <tp>
        <v>1723</v>
        <stp/>
        <stp>Market</stp>
        <stp>STOCK</stp>
        <stp>77320.T</stp>
        <stp>後場始値</stp>
        <tr r="R925" s="7"/>
      </tp>
      <tp>
        <v>301</v>
        <stp/>
        <stp>Market</stp>
        <stp>STOCK</stp>
        <stp>87320.T</stp>
        <stp>後場始値</stp>
        <tr r="R1040" s="7"/>
      </tp>
      <tp>
        <v>157</v>
        <stp/>
        <stp>Market</stp>
        <stp>STOCK</stp>
        <stp>67310.T</stp>
        <stp>後場始値</stp>
        <tr r="R758" s="7"/>
      </tp>
      <tp t="s">
        <v>表示銘柄数超過</v>
        <stp/>
        <stp>Market</stp>
        <stp>STOCK</stp>
        <stp>17300.T</stp>
        <stp>後場始値</stp>
        <tr r="R52" s="7"/>
      </tp>
      <tp>
        <v>255</v>
        <stp/>
        <stp>Market</stp>
        <stp>STOCK</stp>
        <stp>77090.T</stp>
        <stp>後場始値</stp>
        <tr r="R921" s="7"/>
      </tp>
      <tp t="s">
        <v>表示銘柄数超過</v>
        <stp/>
        <stp>Market</stp>
        <stp>STOCK</stp>
        <stp>97090.T</stp>
        <stp>後場始値</stp>
        <tr r="R1162" s="7"/>
      </tp>
      <tp>
        <v>1207</v>
        <stp/>
        <stp>Market</stp>
        <stp>STOCK</stp>
        <stp>87080.T</stp>
        <stp>後場始値</stp>
        <tr r="R1039" s="7"/>
      </tp>
      <tp t="s">
        <v>表示銘柄数超過</v>
        <stp/>
        <stp>Market</stp>
        <stp>STOCK</stp>
        <stp>47070.T</stp>
        <stp>後場始値</stp>
        <tr r="R523" s="7"/>
      </tp>
      <tp>
        <v>980</v>
        <stp/>
        <stp>Market</stp>
        <stp>STOCK</stp>
        <stp>87060.T</stp>
        <stp>後場始値</stp>
        <tr r="R1038" s="7"/>
      </tp>
      <tp t="s">
        <v>表示銘柄数超過</v>
        <stp/>
        <stp>Market</stp>
        <stp>STOCK</stp>
        <stp>47050.T</stp>
        <stp>後場始値</stp>
        <tr r="R522" s="7"/>
      </tp>
      <tp>
        <v>182</v>
        <stp/>
        <stp>Market</stp>
        <stp>STOCK</stp>
        <stp>87050.T</stp>
        <stp>後場始値</stp>
        <tr r="R1037" s="7"/>
      </tp>
      <tp>
        <v>1320</v>
        <stp/>
        <stp>Market</stp>
        <stp>STOCK</stp>
        <stp>57040.T</stp>
        <stp>後場始値</stp>
        <tr r="R606" s="7"/>
      </tp>
      <tp>
        <v>1718</v>
        <stp/>
        <stp>Market</stp>
        <stp>STOCK</stp>
        <stp>57030.T</stp>
        <stp>後場始値</stp>
        <tr r="R605" s="7"/>
      </tp>
      <tp t="s">
        <v>表示銘柄数超過</v>
        <stp/>
        <stp>Market</stp>
        <stp>STOCK</stp>
        <stp>27020.T</stp>
        <stp>後場始値</stp>
        <tr r="R186" s="7"/>
      </tp>
      <tp>
        <v>23215</v>
        <stp/>
        <stp>Market</stp>
        <stp>STOCK</stp>
        <stp>67020.T</stp>
        <stp>後場始値</stp>
        <tr r="R755" s="7"/>
      </tp>
      <tp>
        <v>9415</v>
        <stp/>
        <stp>Market</stp>
        <stp>STOCK</stp>
        <stp>67010.T</stp>
        <stp>後場始値</stp>
        <tr r="R754" s="7"/>
      </tp>
      <tp t="s">
        <v>表示銘柄数超過</v>
        <stp/>
        <stp>Market</stp>
        <stp>STOCK</stp>
        <stp>37190.T</stp>
        <stp>後場始値</stp>
        <tr r="R345" s="7"/>
      </tp>
      <tp t="s">
        <v>表示銘柄数超過</v>
        <stp/>
        <stp>Market</stp>
        <stp>STOCK</stp>
        <stp>17190.T</stp>
        <stp>後場始値</stp>
        <tr r="R49" s="7"/>
      </tp>
      <tp>
        <v>216</v>
        <stp/>
        <stp>Market</stp>
        <stp>STOCK</stp>
        <stp>77190.T</stp>
        <stp>後場始値</stp>
        <tr r="R922" s="7"/>
      </tp>
      <tp t="s">
        <v>表示銘柄数超過</v>
        <stp/>
        <stp>Market</stp>
        <stp>STOCK</stp>
        <stp>17160.T</stp>
        <stp>後場始値</stp>
        <tr r="R48" s="7"/>
      </tp>
      <tp t="s">
        <v>表示銘柄数超過</v>
        <stp/>
        <stp>Market</stp>
        <stp>STOCK</stp>
        <stp>47160.T</stp>
        <stp>後場始値</stp>
        <tr r="R525" s="7"/>
      </tp>
      <tp t="s">
        <v>表示銘柄数超過</v>
        <stp/>
        <stp>Market</stp>
        <stp>STOCK</stp>
        <stp>47140.T</stp>
        <stp>後場始値</stp>
        <tr r="R524" s="7"/>
      </tp>
      <tp t="s">
        <v>表示銘柄数超過</v>
        <stp/>
        <stp>Market</stp>
        <stp>STOCK</stp>
        <stp>17120.T</stp>
        <stp>後場始値</stp>
        <tr r="R47" s="7"/>
      </tp>
      <tp t="s">
        <v>表示銘柄数超過</v>
        <stp/>
        <stp>Market</stp>
        <stp>STOCK</stp>
        <stp>17110.T</stp>
        <stp>後場始値</stp>
        <tr r="R46" s="7"/>
      </tp>
      <tp>
        <v>2771</v>
        <stp/>
        <stp>Market</stp>
        <stp>STOCK</stp>
        <stp>57110.T</stp>
        <stp>後場始値</stp>
        <tr r="R607" s="7"/>
      </tp>
      <tp t="s">
        <v>表示銘柄数超過</v>
        <stp/>
        <stp>Market</stp>
        <stp>STOCK</stp>
        <stp>37100.T</stp>
        <stp>後場始値</stp>
        <tr r="R344" s="7"/>
      </tp>
      <tp t="s">
        <v>表示銘柄数超過</v>
        <stp/>
        <stp>Market</stp>
        <stp>STOCK</stp>
        <stp>87890.T</stp>
        <stp>後場始値</stp>
        <tr r="R1048" s="7"/>
      </tp>
      <tp t="s">
        <v>表示銘柄数超過</v>
        <stp/>
        <stp>Market</stp>
        <stp>STOCK</stp>
        <stp>97880.T</stp>
        <stp>後場始値</stp>
        <tr r="R1169" s="7"/>
      </tp>
      <tp t="s">
        <v>表示銘柄数超過</v>
        <stp/>
        <stp>Market</stp>
        <stp>STOCK</stp>
        <stp>97870.T</stp>
        <stp>後場始値</stp>
        <tr r="R1168" s="7"/>
      </tp>
      <tp t="s">
        <v>表示銘柄数超過</v>
        <stp/>
        <stp>Market</stp>
        <stp>STOCK</stp>
        <stp>37840.T</stp>
        <stp>後場始値</stp>
        <tr r="R359" s="7"/>
      </tp>
      <tp t="s">
        <v>表示銘柄数超過</v>
        <stp/>
        <stp>Market</stp>
        <stp>STOCK</stp>
        <stp>47840.T</stp>
        <stp>後場始値</stp>
        <tr r="R535" s="7"/>
      </tp>
      <tp t="s">
        <v>表示銘柄数超過</v>
        <stp/>
        <stp>Market</stp>
        <stp>STOCK</stp>
        <stp>17830.T</stp>
        <stp>後場始値</stp>
        <tr r="R56" s="7"/>
      </tp>
      <tp t="s">
        <v>表示銘柄数超過</v>
        <stp/>
        <stp>Market</stp>
        <stp>STOCK</stp>
        <stp>97830.T</stp>
        <stp>後場始値</stp>
        <tr r="R1167" s="7"/>
      </tp>
      <tp t="s">
        <v>表示銘柄数超過</v>
        <stp/>
        <stp>Market</stp>
        <stp>STOCK</stp>
        <stp>87830.T</stp>
        <stp>後場始値</stp>
        <tr r="R1047" s="7"/>
      </tp>
      <tp t="s">
        <v>表示銘柄数超過</v>
        <stp/>
        <stp>Market</stp>
        <stp>STOCK</stp>
        <stp>27820.T</stp>
        <stp>後場始値</stp>
        <tr r="R199" s="7"/>
      </tp>
      <tp t="s">
        <v>表示銘柄数超過</v>
        <stp/>
        <stp>Market</stp>
        <stp>STOCK</stp>
        <stp>97820.T</stp>
        <stp>後場始値</stp>
        <tr r="R1166" s="7"/>
      </tp>
      <tp>
        <v>201</v>
        <stp/>
        <stp>Market</stp>
        <stp>STOCK</stp>
        <stp>77950.T</stp>
        <stp>後場始値</stp>
        <tr r="R937" s="7"/>
      </tp>
      <tp>
        <v>1450</v>
        <stp/>
        <stp>Market</stp>
        <stp>STOCK</stp>
        <stp>77940.T</stp>
        <stp>後場始値</stp>
        <tr r="R936" s="7"/>
      </tp>
      <tp t="s">
        <v>表示銘柄数超過</v>
        <stp/>
        <stp>Market</stp>
        <stp>STOCK</stp>
        <stp>37930.T</stp>
        <stp>後場始値</stp>
        <tr r="R360" s="7"/>
      </tp>
      <tp t="s">
        <v>表示銘柄数超過</v>
        <stp/>
        <stp>Market</stp>
        <stp>STOCK</stp>
        <stp>87930.T</stp>
        <stp>後場始値</stp>
        <tr r="R1049" s="7"/>
      </tp>
      <tp>
        <v>835</v>
        <stp/>
        <stp>Market</stp>
        <stp>STOCK</stp>
        <stp>77920.T</stp>
        <stp>後場始値</stp>
        <tr r="R935" s="7"/>
      </tp>
      <tp t="s">
        <v>表示銘柄数超過</v>
        <stp/>
        <stp>Market</stp>
        <stp>STOCK</stp>
        <stp>27900.T</stp>
        <stp>後場始値</stp>
        <tr r="R200" s="7"/>
      </tp>
    </main>
    <main first="rtdsrv.662c26bade854d00aebc6010f8a2e03a">
      <tp t="s">
        <v>表示銘柄数超過</v>
        <stp/>
        <stp>Market</stp>
        <stp>STOCK</stp>
        <stp>36680.T</stp>
        <stp>後場始値</stp>
        <tr r="R331" s="7"/>
      </tp>
      <tp t="s">
        <v>表示銘柄数超過</v>
        <stp/>
        <stp>Market</stp>
        <stp>STOCK</stp>
        <stp>36670.T</stp>
        <stp>後場始値</stp>
        <tr r="R330" s="7"/>
      </tp>
      <tp t="s">
        <v>表示銘柄数超過</v>
        <stp/>
        <stp>Market</stp>
        <stp>STOCK</stp>
        <stp>26670.T</stp>
        <stp>後場始値</stp>
        <tr r="R178" s="7"/>
      </tp>
      <tp t="s">
        <v>表示銘柄数超過</v>
        <stp/>
        <stp>Market</stp>
        <stp>STOCK</stp>
        <stp>46670.T</stp>
        <stp>後場始値</stp>
        <tr r="R516" s="7"/>
        <tr r="R517" s="7"/>
      </tp>
      <tp t="s">
        <v>表示銘柄数超過</v>
        <stp/>
        <stp>Market</stp>
        <stp>STOCK</stp>
        <stp>36660.T</stp>
        <stp>後場始値</stp>
        <tr r="R329" s="7"/>
      </tp>
      <tp t="s">
        <v>表示銘柄数超過</v>
        <stp/>
        <stp>Market</stp>
        <stp>STOCK</stp>
        <stp>26660.T</stp>
        <stp>後場始値</stp>
        <tr r="R177" s="7"/>
      </tp>
      <tp>
        <v>605</v>
        <stp/>
        <stp>Market</stp>
        <stp>STOCK</stp>
        <stp>66660.T</stp>
        <stp>後場始値</stp>
        <tr r="R750" s="7"/>
      </tp>
      <tp t="s">
        <v>表示銘柄数超過</v>
        <stp/>
        <stp>Market</stp>
        <stp>STOCK</stp>
        <stp>36650.T</stp>
        <stp>後場始値</stp>
        <tr r="R328" s="7"/>
      </tp>
      <tp t="s">
        <v>表示銘柄数超過</v>
        <stp/>
        <stp>Market</stp>
        <stp>STOCK</stp>
        <stp>36640.T</stp>
        <stp>後場始値</stp>
        <tr r="R327" s="7"/>
      </tp>
      <tp t="s">
        <v>表示銘柄数超過</v>
        <stp/>
        <stp>Market</stp>
        <stp>STOCK</stp>
        <stp>46640.T</stp>
        <stp>後場始値</stp>
        <tr r="R515" s="7"/>
      </tp>
      <tp t="s">
        <v>表示銘柄数超過</v>
        <stp/>
        <stp>Market</stp>
        <stp>STOCK</stp>
        <stp>36630.T</stp>
        <stp>後場始値</stp>
        <tr r="R326" s="7"/>
      </tp>
      <tp t="s">
        <v>表示銘柄数超過</v>
        <stp/>
        <stp>Market</stp>
        <stp>STOCK</stp>
        <stp>36600.T</stp>
        <stp>後場始値</stp>
        <tr r="R325" s="7"/>
      </tp>
      <tp t="s">
        <v>表示銘柄数超過</v>
        <stp/>
        <stp>Market</stp>
        <stp>STOCK</stp>
        <stp>16780.T</stp>
        <stp>後場始値</stp>
        <tr r="R42" s="7"/>
      </tp>
      <tp t="s">
        <v>表示銘柄数超過</v>
        <stp/>
        <stp>Market</stp>
        <stp>STOCK</stp>
        <stp>36770.T</stp>
        <stp>後場始値</stp>
        <tr r="R335" s="7"/>
      </tp>
      <tp>
        <v>3990</v>
        <stp/>
        <stp>Market</stp>
        <stp>STOCK</stp>
        <stp>66770.T</stp>
        <stp>後場始値</stp>
        <tr r="R752" s="7"/>
      </tp>
      <tp t="s">
        <v>表示銘柄数超過</v>
        <stp/>
        <stp>Market</stp>
        <stp>STOCK</stp>
        <stp>36760.T</stp>
        <stp>後場始値</stp>
        <tr r="R334" s="7"/>
      </tp>
      <tp>
        <v>702</v>
        <stp/>
        <stp>Market</stp>
        <stp>STOCK</stp>
        <stp>76760.T</stp>
        <stp>後場始値</stp>
        <tr r="R919" s="7"/>
      </tp>
      <tp>
        <v>3240</v>
        <stp/>
        <stp>Market</stp>
        <stp>STOCK</stp>
        <stp>66760.T</stp>
        <stp>後場始値</stp>
        <tr r="R751" s="7"/>
      </tp>
      <tp t="s">
        <v>表示銘柄数超過</v>
        <stp/>
        <stp>Market</stp>
        <stp>STOCK</stp>
        <stp>46760.T</stp>
        <stp>後場始値</stp>
        <tr r="R518" s="7"/>
      </tp>
      <tp t="s">
        <v>表示銘柄数超過</v>
        <stp/>
        <stp>Market</stp>
        <stp>STOCK</stp>
        <stp>36740.T</stp>
        <stp>後場始値</stp>
        <tr r="R333" s="7"/>
      </tp>
      <tp t="s">
        <v>表示銘柄数超過</v>
        <stp/>
        <stp>Market</stp>
        <stp>STOCK</stp>
        <stp>26740.T</stp>
        <stp>後場始値</stp>
        <tr r="R179" s="7"/>
      </tp>
      <tp t="s">
        <v>表示銘柄数超過</v>
        <stp/>
        <stp>Market</stp>
        <stp>STOCK</stp>
        <stp>36720.T</stp>
        <stp>後場始値</stp>
        <tr r="R332" s="7"/>
      </tp>
      <tp t="s">
        <v>表示銘柄数超過</v>
        <stp/>
        <stp>Market</stp>
        <stp>STOCK</stp>
        <stp>16710.T</stp>
        <stp>後場始値</stp>
        <tr r="R41" s="7"/>
      </tp>
      <tp t="s">
        <v>表示銘柄数超過</v>
        <stp/>
        <stp>Market</stp>
        <stp>STOCK</stp>
        <stp>36490.T</stp>
        <stp>後場始値</stp>
        <tr r="R321" s="7"/>
      </tp>
      <tp t="s">
        <v>表示銘柄数超過</v>
        <stp/>
        <stp>Market</stp>
        <stp>STOCK</stp>
        <stp>36470.T</stp>
        <stp>後場始値</stp>
        <tr r="R320" s="7"/>
      </tp>
      <tp>
        <v>25</v>
        <stp/>
        <stp>Market</stp>
        <stp>STOCK</stp>
        <stp>76470.T</stp>
        <stp>後場始値</stp>
        <tr r="R918" s="7"/>
      </tp>
      <tp t="s">
        <v>表示銘柄数超過</v>
        <stp/>
        <stp>Market</stp>
        <stp>STOCK</stp>
        <stp>36450.T</stp>
        <stp>後場始値</stp>
        <tr r="R319" s="7"/>
      </tp>
      <tp>
        <v>682</v>
        <stp/>
        <stp>Market</stp>
        <stp>STOCK</stp>
        <stp>66440.T</stp>
        <stp>後場始値</stp>
        <tr r="R746" s="7"/>
      </tp>
      <tp>
        <v>157</v>
        <stp/>
        <stp>Market</stp>
        <stp>STOCK</stp>
        <stp>76400.T</stp>
        <stp>後場始値</stp>
        <tr r="R917" s="7"/>
      </tp>
      <tp>
        <v>1754</v>
        <stp/>
        <stp>Market</stp>
        <stp>STOCK</stp>
        <stp>66400.T</stp>
        <stp>後場始値</stp>
        <tr r="R745" s="7"/>
      </tp>
      <tp>
        <v>36</v>
        <stp/>
        <stp>Market</stp>
        <stp>STOCK</stp>
        <stp>66590.T</stp>
        <stp>後場始値</stp>
        <tr r="R749" s="7"/>
      </tp>
      <tp>
        <v>533</v>
        <stp/>
        <stp>Market</stp>
        <stp>STOCK</stp>
        <stp>66580.T</stp>
        <stp>後場始値</stp>
        <tr r="R748" s="7"/>
      </tp>
      <tp>
        <v>332</v>
        <stp/>
        <stp>Market</stp>
        <stp>STOCK</stp>
        <stp>56580.T</stp>
        <stp>後場始値</stp>
        <tr r="R603" s="7"/>
      </tp>
      <tp t="s">
        <v>表示銘柄数超過</v>
        <stp/>
        <stp>Market</stp>
        <stp>STOCK</stp>
        <stp>46570.T</stp>
        <stp>後場始値</stp>
        <tr r="R514" s="7"/>
      </tp>
      <tp t="s">
        <v>表示銘柄数超過</v>
        <stp/>
        <stp>Market</stp>
        <stp>STOCK</stp>
        <stp>36560.T</stp>
        <stp>後場始値</stp>
        <tr r="R324" s="7"/>
      </tp>
      <tp t="s">
        <v>表示銘柄数超過</v>
        <stp/>
        <stp>Market</stp>
        <stp>STOCK</stp>
        <stp>26560.T</stp>
        <stp>後場始値</stp>
        <tr r="R176" s="7"/>
      </tp>
      <tp t="s">
        <v>表示銘柄数超過</v>
        <stp/>
        <stp>Market</stp>
        <stp>STOCK</stp>
        <stp>16560.T</stp>
        <stp>後場始値</stp>
        <tr r="R40" s="7"/>
      </tp>
      <tp t="s">
        <v>表示銘柄数超過</v>
        <stp/>
        <stp>Market</stp>
        <stp>STOCK</stp>
        <stp>96560.T</stp>
        <stp>後場始値</stp>
        <tr r="R1161" s="7"/>
      </tp>
      <tp t="s">
        <v>表示銘柄数超過</v>
        <stp/>
        <stp>Market</stp>
        <stp>STOCK</stp>
        <stp>36550.T</stp>
        <stp>後場始値</stp>
        <tr r="R323" s="7"/>
      </tp>
      <tp t="s">
        <v>表示銘柄数超過</v>
        <stp/>
        <stp>Market</stp>
        <stp>STOCK</stp>
        <stp>16550.T</stp>
        <stp>後場始値</stp>
        <tr r="R39" s="7"/>
      </tp>
      <tp>
        <v>1146</v>
        <stp/>
        <stp>Market</stp>
        <stp>STOCK</stp>
        <stp>66540.T</stp>
        <stp>後場始値</stp>
        <tr r="R747" s="7"/>
      </tp>
      <tp t="s">
        <v>表示銘柄数超過</v>
        <stp/>
        <stp>Market</stp>
        <stp>STOCK</stp>
        <stp>36520.T</stp>
        <stp>後場始値</stp>
        <tr r="R322" s="7"/>
      </tp>
      <tp t="s">
        <v>表示銘柄数超過</v>
        <stp/>
        <stp>Market</stp>
        <stp>STOCK</stp>
        <stp>26510.T</stp>
        <stp>後場始値</stp>
        <tr r="R175" s="7"/>
      </tp>
      <tp t="s">
        <v>表示銘柄数超過</v>
        <stp/>
        <stp>Market</stp>
        <stp>STOCK</stp>
        <stp>46510.T</stp>
        <stp>後場始値</stp>
        <tr r="R513" s="7"/>
      </tp>
      <tp>
        <v>850</v>
        <stp/>
        <stp>Market</stp>
        <stp>STOCK</stp>
        <stp>86280.T</stp>
        <stp>後場始値</stp>
        <tr r="R1034" s="7"/>
      </tp>
      <tp t="s">
        <v>表示銘柄数超過</v>
        <stp/>
        <stp>Market</stp>
        <stp>STOCK</stp>
        <stp>36270.T</stp>
        <stp>後場始値</stp>
        <tr r="R315" s="7"/>
      </tp>
      <tp t="s">
        <v>表示銘柄数超過</v>
        <stp/>
        <stp>Market</stp>
        <stp>STOCK</stp>
        <stp>36260.T</stp>
        <stp>後場始値</stp>
        <tr r="R314" s="7"/>
      </tp>
      <tp t="s">
        <v>表示銘柄数超過</v>
        <stp/>
        <stp>Market</stp>
        <stp>STOCK</stp>
        <stp>36250.T</stp>
        <stp>後場始値</stp>
        <tr r="R313" s="7"/>
      </tp>
      <tp>
        <v>330</v>
        <stp/>
        <stp>Market</stp>
        <stp>STOCK</stp>
        <stp>66250.T</stp>
        <stp>後場始値</stp>
        <tr r="R739" s="7"/>
      </tp>
      <tp t="s">
        <v>表示銘柄数超過</v>
        <stp/>
        <stp>Market</stp>
        <stp>STOCK</stp>
        <stp>36240.T</stp>
        <stp>後場始値</stp>
        <tr r="R312" s="7"/>
      </tp>
      <tp t="s">
        <v>表示銘柄数超過</v>
        <stp/>
        <stp>Market</stp>
        <stp>STOCK</stp>
        <stp>26240.T</stp>
        <stp>後場始値</stp>
        <tr r="R171" s="7"/>
      </tp>
      <tp>
        <v>145</v>
        <stp/>
        <stp>Market</stp>
        <stp>STOCK</stp>
        <stp>76240.T</stp>
        <stp>後場始値</stp>
        <tr r="R916" s="7"/>
      </tp>
      <tp>
        <v>743</v>
        <stp/>
        <stp>Market</stp>
        <stp>STOCK</stp>
        <stp>86240.T</stp>
        <stp>後場始値</stp>
        <tr r="R1033" s="7"/>
      </tp>
      <tp>
        <v>591</v>
        <stp/>
        <stp>Market</stp>
        <stp>STOCK</stp>
        <stp>76230.T</stp>
        <stp>後場始値</stp>
        <tr r="R915" s="7"/>
      </tp>
      <tp>
        <v>446</v>
        <stp/>
        <stp>Market</stp>
        <stp>STOCK</stp>
        <stp>86220.T</stp>
        <stp>後場始値</stp>
        <tr r="R1032" s="7"/>
      </tp>
      <tp t="s">
        <v>表示銘柄数超過</v>
        <stp/>
        <stp>Market</stp>
        <stp>STOCK</stp>
        <stp>26210.T</stp>
        <stp>後場始値</stp>
        <tr r="R170" s="7"/>
      </tp>
      <tp t="s">
        <v>表示銘柄数超過</v>
        <stp/>
        <stp>Market</stp>
        <stp>STOCK</stp>
        <stp>26200.T</stp>
        <stp>後場始値</stp>
        <tr r="R169" s="7"/>
      </tp>
      <tp t="s">
        <v>表示銘柄数超過</v>
        <stp/>
        <stp>Market</stp>
        <stp>STOCK</stp>
        <stp>46200.T</stp>
        <stp>後場始値</stp>
        <tr r="R512" s="7"/>
      </tp>
      <tp t="s">
        <v>表示銘柄数超過</v>
        <stp/>
        <stp>Market</stp>
        <stp>STOCK</stp>
        <stp>36390.T</stp>
        <stp>後場始値</stp>
        <tr r="R318" s="7"/>
      </tp>
      <tp t="s">
        <v>表示銘柄数超過</v>
        <stp/>
        <stp>Market</stp>
        <stp>STOCK</stp>
        <stp>36350.T</stp>
        <stp>後場始値</stp>
        <tr r="R317" s="7"/>
      </tp>
      <tp t="s">
        <v>表示銘柄数超過</v>
        <stp/>
        <stp>Market</stp>
        <stp>STOCK</stp>
        <stp>26350.T</stp>
        <stp>後場始値</stp>
        <tr r="R174" s="7"/>
      </tp>
      <tp>
        <v>506</v>
        <stp/>
        <stp>Market</stp>
        <stp>STOCK</stp>
        <stp>66350.T</stp>
        <stp>後場始値</stp>
        <tr r="R744" s="7"/>
      </tp>
      <tp t="s">
        <v>表示銘柄数超過</v>
        <stp/>
        <stp>Market</stp>
        <stp>STOCK</stp>
        <stp>26340.T</stp>
        <stp>後場始値</stp>
        <tr r="R173" s="7"/>
      </tp>
      <tp>
        <v>136</v>
        <stp/>
        <stp>Market</stp>
        <stp>STOCK</stp>
        <stp>66340.T</stp>
        <stp>後場始値</stp>
        <tr r="R743" s="7"/>
      </tp>
      <tp t="s">
        <v>表示銘柄数超過</v>
        <stp/>
        <stp>Market</stp>
        <stp>STOCK</stp>
        <stp>26330.T</stp>
        <stp>後場始値</stp>
        <tr r="R172" s="7"/>
      </tp>
      <tp>
        <v>317</v>
        <stp/>
        <stp>Market</stp>
        <stp>STOCK</stp>
        <stp>66330.T</stp>
        <stp>後場始値</stp>
        <tr r="R742" s="7"/>
      </tp>
      <tp t="s">
        <v>表示銘柄数超過</v>
        <stp/>
        <stp>Market</stp>
        <stp>STOCK</stp>
        <stp>36320.T</stp>
        <stp>後場始値</stp>
        <tr r="R316" s="7"/>
      </tp>
      <tp>
        <v>639</v>
        <stp/>
        <stp>Market</stp>
        <stp>STOCK</stp>
        <stp>66320.T</stp>
        <stp>後場始値</stp>
        <tr r="R741" s="7"/>
      </tp>
      <tp>
        <v>1665</v>
        <stp/>
        <stp>Market</stp>
        <stp>STOCK</stp>
        <stp>56320.T</stp>
        <stp>後場始値</stp>
        <tr r="R602" s="7"/>
      </tp>
      <tp t="s">
        <v>表示銘柄数超過</v>
        <stp/>
        <stp>Market</stp>
        <stp>STOCK</stp>
        <stp>46310.T</stp>
        <stp>後場始値</stp>
        <tr r="R470" s="7"/>
      </tp>
      <tp>
        <v>1005</v>
        <stp/>
        <stp>Market</stp>
        <stp>STOCK</stp>
        <stp>66300.T</stp>
        <stp>後場始値</stp>
        <tr r="R740" s="7"/>
      </tp>
      <tp>
        <v>699</v>
        <stp/>
        <stp>Market</stp>
        <stp>STOCK</stp>
        <stp>86090.T</stp>
        <stp>後場始値</stp>
        <tr r="R1027" s="7"/>
      </tp>
      <tp t="s">
        <v>表示銘柄数超過</v>
        <stp/>
        <stp>Market</stp>
        <stp>STOCK</stp>
        <stp>36070.T</stp>
        <stp>後場始値</stp>
        <tr r="R311" s="7"/>
      </tp>
      <tp t="s">
        <v>表示銘柄数超過</v>
        <stp/>
        <stp>Market</stp>
        <stp>STOCK</stp>
        <stp>16050.T</stp>
        <stp>後場始値</stp>
        <tr r="R37" s="7"/>
      </tp>
      <tp>
        <v>1758</v>
        <stp/>
        <stp>Market</stp>
        <stp>STOCK</stp>
        <stp>76050.T</stp>
        <stp>後場始値</stp>
        <tr r="R911" s="7"/>
      </tp>
      <tp>
        <v>808.9</v>
        <stp/>
        <stp>Market</stp>
        <stp>STOCK</stp>
        <stp>86040.T</stp>
        <stp>後場始値</stp>
        <tr r="R1026" s="7"/>
      </tp>
      <tp t="s">
        <v>表示銘柄数超過</v>
        <stp/>
        <stp>Market</stp>
        <stp>STOCK</stp>
        <stp>96030.T</stp>
        <stp>後場始値</stp>
        <tr r="R1158" s="7"/>
      </tp>
      <tp>
        <v>180</v>
        <stp/>
        <stp>Market</stp>
        <stp>STOCK</stp>
        <stp>76020.T</stp>
        <stp>後場始値</stp>
        <tr r="R910" s="7"/>
      </tp>
      <tp>
        <v>249</v>
        <stp/>
        <stp>Market</stp>
        <stp>STOCK</stp>
        <stp>76010.T</stp>
        <stp>後場始値</stp>
        <tr r="R909" s="7"/>
      </tp>
      <tp>
        <v>1000</v>
        <stp/>
        <stp>Market</stp>
        <stp>STOCK</stp>
        <stp>86010.T</stp>
        <stp>後場始値</stp>
        <tr r="R1025" s="7"/>
      </tp>
      <tp>
        <v>735</v>
        <stp/>
        <stp>Market</stp>
        <stp>STOCK</stp>
        <stp>66190.T</stp>
        <stp>後場始値</stp>
        <tr r="R738" s="7"/>
      </tp>
      <tp t="s">
        <v>表示銘柄数超過</v>
        <stp/>
        <stp>Market</stp>
        <stp>STOCK</stp>
        <stp>46190.T</stp>
        <stp>後場始値</stp>
        <tr r="R511" s="7"/>
      </tp>
      <tp>
        <v>2368</v>
        <stp/>
        <stp>Market</stp>
        <stp>STOCK</stp>
        <stp>66170.T</stp>
        <stp>後場始値</stp>
        <tr r="R737" s="7"/>
      </tp>
      <tp>
        <v>588</v>
        <stp/>
        <stp>Market</stp>
        <stp>STOCK</stp>
        <stp>86170.T</stp>
        <stp>後場始値</stp>
        <tr r="R1031" s="7"/>
      </tp>
      <tp>
        <v>567</v>
        <stp/>
        <stp>Market</stp>
        <stp>STOCK</stp>
        <stp>86160.T</stp>
        <stp>後場始値</stp>
        <tr r="R1030" s="7"/>
      </tp>
      <tp t="s">
        <v>表示銘柄数超過</v>
        <stp/>
        <stp>Market</stp>
        <stp>STOCK</stp>
        <stp>16150.T</stp>
        <stp>後場始値</stp>
        <tr r="R38" s="7"/>
      </tp>
      <tp>
        <v>145</v>
        <stp/>
        <stp>Market</stp>
        <stp>STOCK</stp>
        <stp>76150.T</stp>
        <stp>後場始値</stp>
        <tr r="R913" s="7"/>
      </tp>
      <tp>
        <v>330</v>
        <stp/>
        <stp>Market</stp>
        <stp>STOCK</stp>
        <stp>86140.T</stp>
        <stp>後場始値</stp>
        <tr r="R1029" s="7"/>
      </tp>
      <tp>
        <v>554</v>
        <stp/>
        <stp>Market</stp>
        <stp>STOCK</stp>
        <stp>66130.T</stp>
        <stp>後場始値</stp>
        <tr r="R736" s="7"/>
      </tp>
      <tp t="s">
        <v>表示銘柄数超過</v>
        <stp/>
        <stp>Market</stp>
        <stp>STOCK</stp>
        <stp>46130.T</stp>
        <stp>後場始値</stp>
        <tr r="R510" s="7"/>
      </tp>
      <tp t="s">
        <v>表示銘柄数超過</v>
        <stp/>
        <stp>Market</stp>
        <stp>STOCK</stp>
        <stp>96130.T</stp>
        <stp>後場始値</stp>
        <tr r="R1160" s="7"/>
      </tp>
      <tp>
        <v>926</v>
        <stp/>
        <stp>Market</stp>
        <stp>STOCK</stp>
        <stp>86130.T</stp>
        <stp>後場始値</stp>
        <tr r="R1028" s="7"/>
      </tp>
      <tp>
        <v>1178</v>
        <stp/>
        <stp>Market</stp>
        <stp>STOCK</stp>
        <stp>56120.T</stp>
        <stp>後場始値</stp>
        <tr r="R601" s="7"/>
      </tp>
      <tp t="s">
        <v>表示銘柄数超過</v>
        <stp/>
        <stp>Market</stp>
        <stp>STOCK</stp>
        <stp>46120.T</stp>
        <stp>後場始値</stp>
        <tr r="R509" s="7"/>
      </tp>
      <tp t="s">
        <v>表示銘柄数超過</v>
        <stp/>
        <stp>Market</stp>
        <stp>STOCK</stp>
        <stp>46110.T</stp>
        <stp>後場始値</stp>
        <tr r="R508" s="7"/>
      </tp>
      <tp>
        <v>131</v>
        <stp/>
        <stp>Market</stp>
        <stp>STOCK</stp>
        <stp>76100.T</stp>
        <stp>後場始値</stp>
        <tr r="R912" s="7"/>
      </tp>
      <tp t="s">
        <v>表示銘柄数超過</v>
        <stp/>
        <stp>Market</stp>
        <stp>STOCK</stp>
        <stp>96100.T</stp>
        <stp>後場始値</stp>
        <tr r="R1159" s="7"/>
      </tp>
      <tp t="s">
        <v>表示銘柄数超過</v>
        <stp/>
        <stp>Market</stp>
        <stp>STOCK</stp>
        <stp>16890.T</stp>
        <stp>後場始値</stp>
        <tr r="R44" s="7"/>
      </tp>
      <tp>
        <v>431.5</v>
        <stp/>
        <stp>Market</stp>
        <stp>STOCK</stp>
        <stp>46890.T</stp>
        <stp>後場始値</stp>
        <tr r="R520" s="7"/>
      </tp>
      <tp t="s">
        <v>表示銘柄数超過</v>
        <stp/>
        <stp>Market</stp>
        <stp>STOCK</stp>
        <stp>36860.T</stp>
        <stp>後場始値</stp>
        <tr r="R340" s="7"/>
      </tp>
      <tp t="s">
        <v>表示銘柄数超過</v>
        <stp/>
        <stp>Market</stp>
        <stp>STOCK</stp>
        <stp>26860.T</stp>
        <stp>後場始値</stp>
        <tr r="R182" s="7"/>
      </tp>
      <tp t="s">
        <v>表示銘柄数超過</v>
        <stp/>
        <stp>Market</stp>
        <stp>STOCK</stp>
        <stp>26850.T</stp>
        <stp>後場始値</stp>
        <tr r="R181" s="7"/>
      </tp>
      <tp t="s">
        <v>表示銘柄数超過</v>
        <stp/>
        <stp>Market</stp>
        <stp>STOCK</stp>
        <stp>36830.T</stp>
        <stp>後場始値</stp>
        <tr r="R339" s="7"/>
      </tp>
      <tp t="s">
        <v>表示銘柄数超過</v>
        <stp/>
        <stp>Market</stp>
        <stp>STOCK</stp>
        <stp>36820.T</stp>
        <stp>後場始値</stp>
        <tr r="R338" s="7"/>
      </tp>
      <tp t="s">
        <v>表示銘柄数超過</v>
        <stp/>
        <stp>Market</stp>
        <stp>STOCK</stp>
        <stp>16820.T</stp>
        <stp>後場始値</stp>
        <tr r="R43" s="7"/>
      </tp>
      <tp t="s">
        <v>表示銘柄数超過</v>
        <stp/>
        <stp>Market</stp>
        <stp>STOCK</stp>
        <stp>36810.T</stp>
        <stp>後場始値</stp>
        <tr r="R337" s="7"/>
      </tp>
      <tp t="s">
        <v>表示銘柄数超過</v>
        <stp/>
        <stp>Market</stp>
        <stp>STOCK</stp>
        <stp>26810.T</stp>
        <stp>後場始値</stp>
        <tr r="R180" s="7"/>
      </tp>
      <tp t="s">
        <v>表示銘柄数超過</v>
        <stp/>
        <stp>Market</stp>
        <stp>STOCK</stp>
        <stp>36800.T</stp>
        <stp>後場始値</stp>
        <tr r="R336" s="7"/>
      </tp>
      <tp t="s">
        <v>表示銘柄数超過</v>
        <stp/>
        <stp>Market</stp>
        <stp>STOCK</stp>
        <stp>46800.T</stp>
        <stp>後場始値</stp>
        <tr r="R519" s="7"/>
      </tp>
      <tp t="s">
        <v>表示銘柄数超過</v>
        <stp/>
        <stp>Market</stp>
        <stp>STOCK</stp>
        <stp>16990.T</stp>
        <stp>後場始値</stp>
        <tr r="R45" s="7"/>
      </tp>
      <tp t="s">
        <v>表示銘柄数超過</v>
        <stp/>
        <stp>Market</stp>
        <stp>STOCK</stp>
        <stp>36980.T</stp>
        <stp>後場始値</stp>
        <tr r="R343" s="7"/>
      </tp>
      <tp t="s">
        <v>表示銘柄数超過</v>
        <stp/>
        <stp>Market</stp>
        <stp>STOCK</stp>
        <stp>26980.T</stp>
        <stp>後場始値</stp>
        <tr r="R185" s="7"/>
      </tp>
      <tp>
        <v>593</v>
        <stp/>
        <stp>Market</stp>
        <stp>STOCK</stp>
        <stp>56980.T</stp>
        <stp>後場始値</stp>
        <tr r="R604" s="7"/>
      </tp>
      <tp>
        <v>720</v>
        <stp/>
        <stp>Market</stp>
        <stp>STOCK</stp>
        <stp>86980.T</stp>
        <stp>後場始値</stp>
        <tr r="R1036" s="7"/>
      </tp>
      <tp>
        <v>3298</v>
        <stp/>
        <stp>Market</stp>
        <stp>STOCK</stp>
        <stp>86970.T</stp>
        <stp>後場始値</stp>
        <tr r="R1035" s="7"/>
      </tp>
      <tp t="s">
        <v>表示銘柄数超過</v>
        <stp/>
        <stp>Market</stp>
        <stp>STOCK</stp>
        <stp>36960.T</stp>
        <stp>後場始値</stp>
        <tr r="R342" s="7"/>
      </tp>
      <tp>
        <v>258</v>
        <stp/>
        <stp>Market</stp>
        <stp>STOCK</stp>
        <stp>66960.T</stp>
        <stp>後場始値</stp>
        <tr r="R753" s="7"/>
      </tp>
      <tp t="s">
        <v>表示銘柄数超過</v>
        <stp/>
        <stp>Market</stp>
        <stp>STOCK</stp>
        <stp>26940.T</stp>
        <stp>後場始値</stp>
        <tr r="R184" s="7"/>
      </tp>
      <tp t="s">
        <v>表示銘柄数超過</v>
        <stp/>
        <stp>Market</stp>
        <stp>STOCK</stp>
        <stp>26930.T</stp>
        <stp>後場始値</stp>
        <tr r="R183" s="7"/>
      </tp>
      <tp>
        <v>63</v>
        <stp/>
        <stp>Market</stp>
        <stp>STOCK</stp>
        <stp>76920.T</stp>
        <stp>後場始値</stp>
        <tr r="R920" s="7"/>
      </tp>
      <tp t="s">
        <v>表示銘柄数超過</v>
        <stp/>
        <stp>Market</stp>
        <stp>STOCK</stp>
        <stp>36910.T</stp>
        <stp>後場始値</stp>
        <tr r="R341" s="7"/>
      </tp>
      <tp t="s">
        <v>表示銘柄数超過</v>
        <stp/>
        <stp>Market</stp>
        <stp>STOCK</stp>
        <stp>46900.T</stp>
        <stp>後場始値</stp>
        <tr r="R521" s="7"/>
      </tp>
    </main>
    <main first="rtdsrv.662c26bade854d00aebc6010f8a2e03a">
      <tp t="s">
        <v>表示銘柄数超過</v>
        <stp/>
        <stp>Market</stp>
        <stp>STOCK</stp>
        <stp>45680.T</stp>
        <stp>後場始値</stp>
        <tr r="R489" s="7"/>
      </tp>
      <tp t="s">
        <v>表示銘柄数超過</v>
        <stp/>
        <stp>Market</stp>
        <stp>STOCK</stp>
        <stp>25670.T</stp>
        <stp>後場始値</stp>
        <tr r="R162" s="7"/>
      </tp>
      <tp>
        <v>451</v>
        <stp/>
        <stp>Market</stp>
        <stp>STOCK</stp>
        <stp>75670.T</stp>
        <stp>後場始値</stp>
        <tr r="R904" s="7"/>
      </tp>
      <tp t="s">
        <v>表示銘柄数超過</v>
        <stp/>
        <stp>Market</stp>
        <stp>STOCK</stp>
        <stp>45650.T</stp>
        <stp>後場始値</stp>
        <tr r="R488" s="7"/>
      </tp>
      <tp t="s">
        <v>表示銘柄数超過</v>
        <stp/>
        <stp>Market</stp>
        <stp>STOCK</stp>
        <stp>45640.T</stp>
        <stp>後場始値</stp>
        <tr r="R487" s="7"/>
      </tp>
      <tp t="s">
        <v>表示銘柄数超過</v>
        <stp/>
        <stp>Market</stp>
        <stp>STOCK</stp>
        <stp>25630.T</stp>
        <stp>後場始値</stp>
        <tr r="R161" s="7"/>
      </tp>
      <tp t="s">
        <v>表示銘柄数超過</v>
        <stp/>
        <stp>Market</stp>
        <stp>STOCK</stp>
        <stp>15630.T</stp>
        <stp>後場始値</stp>
        <tr r="R33" s="7"/>
      </tp>
      <tp>
        <v>283</v>
        <stp/>
        <stp>Market</stp>
        <stp>STOCK</stp>
        <stp>55630.T</stp>
        <stp>後場始値</stp>
        <tr r="R599" s="7"/>
      </tp>
      <tp t="s">
        <v>表示銘柄数超過</v>
        <stp/>
        <stp>Market</stp>
        <stp>STOCK</stp>
        <stp>45630.T</stp>
        <stp>後場始値</stp>
        <tr r="R486" s="7"/>
      </tp>
      <tp>
        <v>232</v>
        <stp/>
        <stp>Market</stp>
        <stp>STOCK</stp>
        <stp>85620.T</stp>
        <stp>後場始値</stp>
        <tr r="R1019" s="7"/>
      </tp>
      <tp t="s">
        <v>表示銘柄数超過</v>
        <stp/>
        <stp>Market</stp>
        <stp>STOCK</stp>
        <stp>35610.T</stp>
        <stp>後場始値</stp>
        <tr r="R309" s="7"/>
      </tp>
      <tp t="s">
        <v>表示銘柄数超過</v>
        <stp/>
        <stp>Market</stp>
        <stp>STOCK</stp>
        <stp>95600.T</stp>
        <stp>後場始値</stp>
        <tr r="R1157" s="7"/>
      </tp>
      <tp t="s">
        <v>表示銘柄数超過</v>
        <stp/>
        <stp>Market</stp>
        <stp>STOCK</stp>
        <stp>25790.T</stp>
        <stp>後場始値</stp>
        <tr r="R163" s="7"/>
      </tp>
      <tp t="s">
        <v>表示銘柄数超過</v>
        <stp/>
        <stp>Market</stp>
        <stp>STOCK</stp>
        <stp>15780.T</stp>
        <stp>後場始値</stp>
        <tr r="R36" s="7"/>
      </tp>
      <tp>
        <v>425</v>
        <stp/>
        <stp>Market</stp>
        <stp>STOCK</stp>
        <stp>75780.T</stp>
        <stp>後場始値</stp>
        <tr r="R905" s="7"/>
      </tp>
      <tp>
        <v>266</v>
        <stp/>
        <stp>Market</stp>
        <stp>STOCK</stp>
        <stp>65780.T</stp>
        <stp>後場始値</stp>
        <tr r="R731" s="7"/>
      </tp>
      <tp t="s">
        <v>表示銘柄数超過</v>
        <stp/>
        <stp>Market</stp>
        <stp>STOCK</stp>
        <stp>45780.T</stp>
        <stp>後場始値</stp>
        <tr r="R496" s="7"/>
      </tp>
      <tp t="s">
        <v>表示銘柄数超過</v>
        <stp/>
        <stp>Market</stp>
        <stp>STOCK</stp>
        <stp>45760.T</stp>
        <stp>後場始値</stp>
        <tr r="R495" s="7"/>
      </tp>
      <tp t="s">
        <v>表示銘柄数超過</v>
        <stp/>
        <stp>Market</stp>
        <stp>STOCK</stp>
        <stp>45750.T</stp>
        <stp>後場始値</stp>
        <tr r="R494" s="7"/>
      </tp>
      <tp>
        <v>793</v>
        <stp/>
        <stp>Market</stp>
        <stp>STOCK</stp>
        <stp>65740.T</stp>
        <stp>後場始値</stp>
        <tr r="R730" s="7"/>
      </tp>
      <tp t="s">
        <v>表示銘柄数超過</v>
        <stp/>
        <stp>Market</stp>
        <stp>STOCK</stp>
        <stp>45740.T</stp>
        <stp>後場始値</stp>
        <tr r="R493" s="7"/>
      </tp>
      <tp>
        <v>343</v>
        <stp/>
        <stp>Market</stp>
        <stp>STOCK</stp>
        <stp>65730.T</stp>
        <stp>後場始値</stp>
        <tr r="R729" s="7"/>
      </tp>
      <tp t="s">
        <v>表示銘柄数超過</v>
        <stp/>
        <stp>Market</stp>
        <stp>STOCK</stp>
        <stp>15720.T</stp>
        <stp>後場始値</stp>
        <tr r="R35" s="7"/>
      </tp>
      <tp t="s">
        <v>表示銘柄数超過</v>
        <stp/>
        <stp>Market</stp>
        <stp>STOCK</stp>
        <stp>45720.T</stp>
        <stp>後場始値</stp>
        <tr r="R492" s="7"/>
      </tp>
      <tp>
        <v>362.5</v>
        <stp/>
        <stp>Market</stp>
        <stp>STOCK</stp>
        <stp>85720.T</stp>
        <stp>後場始値</stp>
        <tr r="R1021" s="7"/>
      </tp>
      <tp t="s">
        <v>表示銘柄数超過</v>
        <stp/>
        <stp>Market</stp>
        <stp>STOCK</stp>
        <stp>15710.T</stp>
        <stp>後場始値</stp>
        <tr r="R34" s="7"/>
      </tp>
      <tp t="s">
        <v>表示銘柄数超過</v>
        <stp/>
        <stp>Market</stp>
        <stp>STOCK</stp>
        <stp>45710.T</stp>
        <stp>後場始値</stp>
        <tr r="R491" s="7"/>
      </tp>
      <tp t="s">
        <v>表示銘柄数超過</v>
        <stp/>
        <stp>Market</stp>
        <stp>STOCK</stp>
        <stp>45700.T</stp>
        <stp>後場始値</stp>
        <tr r="R490" s="7"/>
      </tp>
      <tp>
        <v>1343.5</v>
        <stp/>
        <stp>Market</stp>
        <stp>STOCK</stp>
        <stp>85700.T</stp>
        <stp>後場始値</stp>
        <tr r="R1020" s="7"/>
      </tp>
      <tp>
        <v>387</v>
        <stp/>
        <stp>Market</stp>
        <stp>STOCK</stp>
        <stp>65450.T</stp>
        <stp>後場始値</stp>
        <tr r="R722" s="7"/>
      </tp>
      <tp>
        <v>446</v>
        <stp/>
        <stp>Market</stp>
        <stp>STOCK</stp>
        <stp>75440.T</stp>
        <stp>後場始値</stp>
        <tr r="R903" s="7"/>
      </tp>
      <tp t="s">
        <v>表示銘柄数超過</v>
        <stp/>
        <stp>Market</stp>
        <stp>STOCK</stp>
        <stp>35430.T</stp>
        <stp>後場始値</stp>
        <tr r="R306" s="7"/>
      </tp>
      <tp>
        <v>622</v>
        <stp/>
        <stp>Market</stp>
        <stp>STOCK</stp>
        <stp>65430.T</stp>
        <stp>後場始値</stp>
        <tr r="R721" s="7"/>
      </tp>
      <tp t="s">
        <v>表示銘柄数超過</v>
        <stp/>
        <stp>Market</stp>
        <stp>STOCK</stp>
        <stp>35410.T</stp>
        <stp>後場始値</stp>
        <tr r="R305" s="7"/>
      </tp>
      <tp t="s">
        <v>表示銘柄数超過</v>
        <stp/>
        <stp>Market</stp>
        <stp>STOCK</stp>
        <stp>45580.T</stp>
        <stp>後場始値</stp>
        <tr r="R485" s="7"/>
      </tp>
      <tp>
        <v>1484</v>
        <stp/>
        <stp>Market</stp>
        <stp>STOCK</stp>
        <stp>65570.T</stp>
        <stp>後場始値</stp>
        <tr r="R728" s="7"/>
      </tp>
      <tp t="s">
        <v>表示銘柄数超過</v>
        <stp/>
        <stp>Market</stp>
        <stp>STOCK</stp>
        <stp>95570.T</stp>
        <stp>後場始値</stp>
        <tr r="R1156" s="7"/>
      </tp>
      <tp>
        <v>841</v>
        <stp/>
        <stp>Market</stp>
        <stp>STOCK</stp>
        <stp>65560.T</stp>
        <stp>後場始値</stp>
        <tr r="R727" s="7"/>
      </tp>
      <tp>
        <v>593</v>
        <stp/>
        <stp>Market</stp>
        <stp>STOCK</stp>
        <stp>65550.T</stp>
        <stp>後場始値</stp>
        <tr r="R726" s="7"/>
      </tp>
      <tp>
        <v>807</v>
        <stp/>
        <stp>Market</stp>
        <stp>STOCK</stp>
        <stp>65540.T</stp>
        <stp>後場始値</stp>
        <tr r="R725" s="7"/>
      </tp>
      <tp t="s">
        <v>表示銘柄数超過</v>
        <stp/>
        <stp>Market</stp>
        <stp>STOCK</stp>
        <stp>45540.T</stp>
        <stp>後場始値</stp>
        <tr r="R484" s="7"/>
      </tp>
      <tp t="s">
        <v>表示銘柄数超過</v>
        <stp/>
        <stp>Market</stp>
        <stp>STOCK</stp>
        <stp>35530.T</stp>
        <stp>後場始値</stp>
        <tr r="R308" s="7"/>
      </tp>
      <tp t="s">
        <v>表示銘柄数超過</v>
        <stp/>
        <stp>Market</stp>
        <stp>STOCK</stp>
        <stp>95530.T</stp>
        <stp>後場始値</stp>
        <tr r="R1155" s="7"/>
      </tp>
      <tp t="s">
        <v>表示銘柄数超過</v>
        <stp/>
        <stp>Market</stp>
        <stp>STOCK</stp>
        <stp>15520.T</stp>
        <stp>後場始値</stp>
        <tr r="R32" s="7"/>
      </tp>
      <tp>
        <v>311</v>
        <stp/>
        <stp>Market</stp>
        <stp>STOCK</stp>
        <stp>65520.T</stp>
        <stp>後場始値</stp>
        <tr r="R724" s="7"/>
      </tp>
      <tp t="s">
        <v>表示銘柄数超過</v>
        <stp/>
        <stp>Market</stp>
        <stp>STOCK</stp>
        <stp>35510.T</stp>
        <stp>後場始値</stp>
        <tr r="R307" s="7"/>
      </tp>
      <tp t="s">
        <v>表示銘柄数超過</v>
        <stp/>
        <stp>Market</stp>
        <stp>STOCK</stp>
        <stp>15510.T</stp>
        <stp>後場始値</stp>
        <tr r="R31" s="7"/>
      </tp>
      <tp>
        <v>159</v>
        <stp/>
        <stp>Market</stp>
        <stp>STOCK</stp>
        <stp>65500.T</stp>
        <stp>後場始値</stp>
        <tr r="R723" s="7"/>
      </tp>
      <tp>
        <v>58</v>
        <stp/>
        <stp>Market</stp>
        <stp>STOCK</stp>
        <stp>75270.T</stp>
        <stp>後場始値</stp>
        <tr r="R901" s="7"/>
      </tp>
      <tp>
        <v>374</v>
        <stp/>
        <stp>Market</stp>
        <stp>STOCK</stp>
        <stp>85240.T</stp>
        <stp>後場始値</stp>
        <tr r="R1018" s="7"/>
      </tp>
      <tp>
        <v>1202</v>
        <stp/>
        <stp>Market</stp>
        <stp>STOCK</stp>
        <stp>75230.T</stp>
        <stp>後場始値</stp>
        <tr r="R900" s="7"/>
      </tp>
      <tp t="s">
        <v>表示銘柄数超過</v>
        <stp/>
        <stp>Market</stp>
        <stp>STOCK</stp>
        <stp>45230.T</stp>
        <stp>後場始値</stp>
        <tr r="R482" s="7"/>
      </tp>
      <tp>
        <v>629</v>
        <stp/>
        <stp>Market</stp>
        <stp>STOCK</stp>
        <stp>65220.T</stp>
        <stp>後場始値</stp>
        <tr r="R719" s="7"/>
      </tp>
      <tp t="s">
        <v>表示銘柄数超過</v>
        <stp/>
        <stp>Market</stp>
        <stp>STOCK</stp>
        <stp>95220.T</stp>
        <stp>後場始値</stp>
        <tr r="R1152" s="7"/>
      </tp>
      <tp t="s">
        <v>表示銘柄数超過</v>
        <stp/>
        <stp>Market</stp>
        <stp>STOCK</stp>
        <stp>35210.T</stp>
        <stp>後場始値</stp>
        <tr r="R303" s="7"/>
      </tp>
      <tp>
        <v>325</v>
        <stp/>
        <stp>Market</stp>
        <stp>STOCK</stp>
        <stp>75380.T</stp>
        <stp>後場始値</stp>
        <tr r="R902" s="7"/>
      </tp>
      <tp>
        <v>324</v>
        <stp/>
        <stp>Market</stp>
        <stp>STOCK</stp>
        <stp>65370.T</stp>
        <stp>後場始値</stp>
        <tr r="R720" s="7"/>
      </tp>
      <tp t="s">
        <v>表示銘柄数超過</v>
        <stp/>
        <stp>Market</stp>
        <stp>STOCK</stp>
        <stp>35360.T</stp>
        <stp>後場始値</stp>
        <tr r="R304" s="7"/>
      </tp>
      <tp t="s">
        <v>表示銘柄数超過</v>
        <stp/>
        <stp>Market</stp>
        <stp>STOCK</stp>
        <stp>25330.T</stp>
        <stp>後場始値</stp>
        <tr r="R160" s="7"/>
      </tp>
      <tp t="s">
        <v>表示銘柄数超過</v>
        <stp/>
        <stp>Market</stp>
        <stp>STOCK</stp>
        <stp>95320.T</stp>
        <stp>後場始値</stp>
        <tr r="R1154" s="7"/>
      </tp>
      <tp t="s">
        <v>表示銘柄数超過</v>
        <stp/>
        <stp>Market</stp>
        <stp>STOCK</stp>
        <stp>45310.T</stp>
        <stp>後場始値</stp>
        <tr r="R483" s="7"/>
      </tp>
      <tp t="s">
        <v>表示銘柄数超過</v>
        <stp/>
        <stp>Market</stp>
        <stp>STOCK</stp>
        <stp>95310.T</stp>
        <stp>後場始値</stp>
        <tr r="R1153" s="7"/>
      </tp>
      <tp t="s">
        <v>表示銘柄数超過</v>
        <stp/>
        <stp>Market</stp>
        <stp>STOCK</stp>
        <stp>95090.T</stp>
        <stp>後場始値</stp>
        <tr r="R1148" s="7"/>
      </tp>
      <tp t="s">
        <v>表示銘柄数超過</v>
        <stp/>
        <stp>Market</stp>
        <stp>STOCK</stp>
        <stp>95080.T</stp>
        <stp>後場始値</stp>
        <tr r="R1147" s="7"/>
      </tp>
      <tp>
        <v>473</v>
        <stp/>
        <stp>Market</stp>
        <stp>STOCK</stp>
        <stp>85080.T</stp>
        <stp>後場始値</stp>
        <tr r="R1014" s="7"/>
      </tp>
      <tp>
        <v>2255</v>
        <stp/>
        <stp>Market</stp>
        <stp>STOCK</stp>
        <stp>65070.T</stp>
        <stp>後場始値</stp>
        <tr r="R717" s="7"/>
      </tp>
      <tp t="s">
        <v>表示銘柄数超過</v>
        <stp/>
        <stp>Market</stp>
        <stp>STOCK</stp>
        <stp>45070.T</stp>
        <stp>後場始値</stp>
        <tr r="R481" s="7"/>
      </tp>
      <tp t="s">
        <v>表示銘柄数超過</v>
        <stp/>
        <stp>Market</stp>
        <stp>STOCK</stp>
        <stp>95070.T</stp>
        <stp>後場始値</stp>
        <tr r="R1146" s="7"/>
      </tp>
      <tp>
        <v>341</v>
        <stp/>
        <stp>Market</stp>
        <stp>STOCK</stp>
        <stp>45060.T</stp>
        <stp>後場始値</stp>
        <tr r="R480" s="7"/>
      </tp>
      <tp t="s">
        <v>表示銘柄数超過</v>
        <stp/>
        <stp>Market</stp>
        <stp>STOCK</stp>
        <stp>95060.T</stp>
        <stp>後場始値</stp>
        <tr r="R1145" s="7"/>
      </tp>
      <tp>
        <v>0</v>
        <stp/>
        <stp>Market</stp>
        <stp>STOCK</stp>
        <stp>75050.T</stp>
        <stp>後場始値</stp>
        <tr r="R895" s="7"/>
      </tp>
      <tp t="s">
        <v>表示銘柄数超過</v>
        <stp/>
        <stp>Market</stp>
        <stp>STOCK</stp>
        <stp>95050.T</stp>
        <stp>後場始値</stp>
        <tr r="R1144" s="7"/>
      </tp>
      <tp>
        <v>8046</v>
        <stp/>
        <stp>Market</stp>
        <stp>STOCK</stp>
        <stp>65040.T</stp>
        <stp>後場始値</stp>
        <tr r="R716" s="7"/>
      </tp>
      <tp t="s">
        <v>表示銘柄数超過</v>
        <stp/>
        <stp>Market</stp>
        <stp>STOCK</stp>
        <stp>95040.T</stp>
        <stp>後場始値</stp>
        <tr r="R1143" s="7"/>
      </tp>
      <tp>
        <v>2030</v>
        <stp/>
        <stp>Market</stp>
        <stp>STOCK</stp>
        <stp>65030.T</stp>
        <stp>後場始値</stp>
        <tr r="R715" s="7"/>
      </tp>
      <tp t="s">
        <v>表示銘柄数超過</v>
        <stp/>
        <stp>Market</stp>
        <stp>STOCK</stp>
        <stp>45030.T</stp>
        <stp>後場始値</stp>
        <tr r="R479" s="7"/>
      </tp>
      <tp t="s">
        <v>表示銘柄数超過</v>
        <stp/>
        <stp>Market</stp>
        <stp>STOCK</stp>
        <stp>95030.T</stp>
        <stp>後場始値</stp>
        <tr r="R1142" s="7"/>
      </tp>
      <tp t="s">
        <v/>
        <stp/>
        <stp>Market</stp>
        <stp>STOCK</stp>
        <stp>65020.T</stp>
        <stp>後場始値</stp>
        <tr r="R714" s="7"/>
      </tp>
      <tp t="s">
        <v>表示銘柄数超過</v>
        <stp/>
        <stp>Market</stp>
        <stp>STOCK</stp>
        <stp>95020.T</stp>
        <stp>後場始値</stp>
        <tr r="R1141" s="7"/>
      </tp>
      <tp t="s">
        <v>表示銘柄数超過</v>
        <stp/>
        <stp>Market</stp>
        <stp>STOCK</stp>
        <stp>25010.T</stp>
        <stp>後場始値</stp>
        <tr r="R156" s="7"/>
      </tp>
      <tp>
        <v>11750</v>
        <stp/>
        <stp>Market</stp>
        <stp>STOCK</stp>
        <stp>65010.T</stp>
        <stp>後場始値</stp>
        <tr r="R713" s="7"/>
      </tp>
      <tp t="s">
        <v>表示銘柄数超過</v>
        <stp/>
        <stp>Market</stp>
        <stp>STOCK</stp>
        <stp>95010.T</stp>
        <stp>後場始値</stp>
        <tr r="R1140" s="7"/>
      </tp>
      <tp t="s">
        <v>表示銘柄数超過</v>
        <stp/>
        <stp>Market</stp>
        <stp>STOCK</stp>
        <stp>95190.T</stp>
        <stp>後場始値</stp>
        <tr r="R1151" s="7"/>
      </tp>
      <tp t="s">
        <v>表示銘柄数超過</v>
        <stp/>
        <stp>Market</stp>
        <stp>STOCK</stp>
        <stp>25180.T</stp>
        <stp>後場始値</stp>
        <tr r="R159" s="7"/>
      </tp>
      <tp>
        <v>281</v>
        <stp/>
        <stp>Market</stp>
        <stp>STOCK</stp>
        <stp>85180.T</stp>
        <stp>後場始値</stp>
        <tr r="R1017" s="7"/>
      </tp>
      <tp t="s">
        <v>表示銘柄数超過</v>
        <stp/>
        <stp>Market</stp>
        <stp>STOCK</stp>
        <stp>25160.T</stp>
        <stp>後場始値</stp>
        <tr r="R158" s="7"/>
      </tp>
      <tp>
        <v>3905</v>
        <stp/>
        <stp>Market</stp>
        <stp>STOCK</stp>
        <stp>75160.T</stp>
        <stp>後場始値</stp>
        <tr r="R899" s="7"/>
      </tp>
      <tp>
        <v>386</v>
        <stp/>
        <stp>Market</stp>
        <stp>STOCK</stp>
        <stp>85150.T</stp>
        <stp>後場始値</stp>
        <tr r="R1016" s="7"/>
      </tp>
      <tp t="s">
        <v>表示銘柄数超過</v>
        <stp/>
        <stp>Market</stp>
        <stp>STOCK</stp>
        <stp>15140.T</stp>
        <stp>後場始値</stp>
        <tr r="R30" s="7"/>
      </tp>
      <tp>
        <v>939</v>
        <stp/>
        <stp>Market</stp>
        <stp>STOCK</stp>
        <stp>75140.T</stp>
        <stp>後場始値</stp>
        <tr r="R898" s="7"/>
      </tp>
      <tp t="s">
        <v>表示銘柄数超過</v>
        <stp/>
        <stp>Market</stp>
        <stp>STOCK</stp>
        <stp>95140.T</stp>
        <stp>後場始値</stp>
        <tr r="R1150" s="7"/>
      </tp>
      <tp>
        <v>734</v>
        <stp/>
        <stp>Market</stp>
        <stp>STOCK</stp>
        <stp>75130.T</stp>
        <stp>後場始値</stp>
        <tr r="R897" s="7"/>
      </tp>
      <tp>
        <v>1220</v>
        <stp/>
        <stp>Market</stp>
        <stp>STOCK</stp>
        <stp>65130.T</stp>
        <stp>後場始値</stp>
        <tr r="R718" s="7"/>
      </tp>
      <tp>
        <v>933</v>
        <stp/>
        <stp>Market</stp>
        <stp>STOCK</stp>
        <stp>75120.T</stp>
        <stp>後場始値</stp>
        <tr r="R896" s="7"/>
      </tp>
      <tp t="s">
        <v>表示銘柄数超過</v>
        <stp/>
        <stp>Market</stp>
        <stp>STOCK</stp>
        <stp>95110.T</stp>
        <stp>後場始値</stp>
        <tr r="R1149" s="7"/>
      </tp>
      <tp>
        <v>1568</v>
        <stp/>
        <stp>Market</stp>
        <stp>STOCK</stp>
        <stp>85110.T</stp>
        <stp>後場始値</stp>
        <tr r="R1015" s="7"/>
      </tp>
      <tp t="s">
        <v>表示銘柄数超過</v>
        <stp/>
        <stp>Market</stp>
        <stp>STOCK</stp>
        <stp>25100.T</stp>
        <stp>後場始値</stp>
        <tr r="R157" s="7"/>
      </tp>
      <tp>
        <v>3160</v>
        <stp/>
        <stp>Market</stp>
        <stp>STOCK</stp>
        <stp>65880.T</stp>
        <stp>後場始値</stp>
        <tr r="R734" s="7"/>
      </tp>
      <tp t="s">
        <v>表示銘柄数超過</v>
        <stp/>
        <stp>Market</stp>
        <stp>STOCK</stp>
        <stp>45880.T</stp>
        <stp>後場始値</stp>
        <tr r="R501" s="7"/>
      </tp>
      <tp t="s">
        <v>表示銘柄数超過</v>
        <stp/>
        <stp>Market</stp>
        <stp>STOCK</stp>
        <stp>25870.T</stp>
        <stp>後場始値</stp>
        <tr r="R166" s="7"/>
      </tp>
      <tp t="s">
        <v>表示銘柄数超過</v>
        <stp/>
        <stp>Market</stp>
        <stp>STOCK</stp>
        <stp>25860.T</stp>
        <stp>後場始値</stp>
        <tr r="R165" s="7"/>
      </tp>
      <tp>
        <v>712</v>
        <stp/>
        <stp>Market</stp>
        <stp>STOCK</stp>
        <stp>55860.T</stp>
        <stp>後場始値</stp>
        <tr r="R600" s="7"/>
      </tp>
      <tp t="s">
        <v>表示銘柄数超過</v>
        <stp/>
        <stp>Market</stp>
        <stp>STOCK</stp>
        <stp>45860.T</stp>
        <stp>後場始値</stp>
        <tr r="R500" s="7"/>
      </tp>
      <tp t="s">
        <v>表示銘柄数超過</v>
        <stp/>
        <stp>Market</stp>
        <stp>STOCK</stp>
        <stp>25850.T</stp>
        <stp>後場始値</stp>
        <tr r="R164" s="7"/>
      </tp>
      <tp>
        <v>391</v>
        <stp/>
        <stp>Market</stp>
        <stp>STOCK</stp>
        <stp>75850.T</stp>
        <stp>後場始値</stp>
        <tr r="R906" s="7"/>
      </tp>
      <tp>
        <v>1068</v>
        <stp/>
        <stp>Market</stp>
        <stp>STOCK</stp>
        <stp>85850.T</stp>
        <stp>後場始値</stp>
        <tr r="R1022" s="7"/>
      </tp>
      <tp>
        <v>895</v>
        <stp/>
        <stp>Market</stp>
        <stp>STOCK</stp>
        <stp>65840.T</stp>
        <stp>後場始値</stp>
        <tr r="R733" s="7"/>
      </tp>
      <tp t="s">
        <v>表示銘柄数超過</v>
        <stp/>
        <stp>Market</stp>
        <stp>STOCK</stp>
        <stp>45840.T</stp>
        <stp>後場始値</stp>
        <tr r="R499" s="7"/>
      </tp>
      <tp t="s">
        <v>表示銘柄数超過</v>
        <stp/>
        <stp>Market</stp>
        <stp>STOCK</stp>
        <stp>45830.T</stp>
        <stp>後場始値</stp>
        <tr r="R498" s="7"/>
      </tp>
      <tp t="s">
        <v>表示銘柄数超過</v>
        <stp/>
        <stp>Market</stp>
        <stp>STOCK</stp>
        <stp>45820.T</stp>
        <stp>後場始値</stp>
        <tr r="R497" s="7"/>
      </tp>
      <tp t="s">
        <v>表示銘柄数超過</v>
        <stp/>
        <stp>Market</stp>
        <stp>STOCK</stp>
        <stp>35800.T</stp>
        <stp>後場始値</stp>
        <tr r="R310" s="7"/>
      </tp>
      <tp>
        <v>710</v>
        <stp/>
        <stp>Market</stp>
        <stp>STOCK</stp>
        <stp>65800.T</stp>
        <stp>後場始値</stp>
        <tr r="R732" s="7"/>
      </tp>
      <tp t="s">
        <v>表示銘柄数超過</v>
        <stp/>
        <stp>Market</stp>
        <stp>STOCK</stp>
        <stp>25970.T</stp>
        <stp>後場始値</stp>
        <tr r="R168" s="7"/>
      </tp>
      <tp t="s">
        <v>表示銘柄数超過</v>
        <stp/>
        <stp>Market</stp>
        <stp>STOCK</stp>
        <stp>45970.T</stp>
        <stp>後場始値</stp>
        <tr r="R507" s="7"/>
      </tp>
      <tp t="s">
        <v>表示銘柄数超過</v>
        <stp/>
        <stp>Market</stp>
        <stp>STOCK</stp>
        <stp>45960.T</stp>
        <stp>後場始値</stp>
        <tr r="R506" s="7"/>
      </tp>
      <tp>
        <v>5464</v>
        <stp/>
        <stp>Market</stp>
        <stp>STOCK</stp>
        <stp>65940.T</stp>
        <stp>後場始値</stp>
        <tr r="R735" s="7"/>
      </tp>
      <tp t="s">
        <v>表示銘柄数超過</v>
        <stp/>
        <stp>Market</stp>
        <stp>STOCK</stp>
        <stp>45940.T</stp>
        <stp>後場始値</stp>
        <tr r="R505" s="7"/>
      </tp>
      <tp t="s">
        <v>表示銘柄数超過</v>
        <stp/>
        <stp>Market</stp>
        <stp>STOCK</stp>
        <stp>25935.T</stp>
        <stp>後場始値</stp>
        <tr r="R167" s="7"/>
      </tp>
      <tp>
        <v>531</v>
        <stp/>
        <stp>Market</stp>
        <stp>STOCK</stp>
        <stp>75930.T</stp>
        <stp>後場始値</stp>
        <tr r="R908" s="7"/>
      </tp>
      <tp t="s">
        <v>表示銘柄数超過</v>
        <stp/>
        <stp>Market</stp>
        <stp>STOCK</stp>
        <stp>45930.T</stp>
        <stp>後場始値</stp>
        <tr r="R504" s="7"/>
      </tp>
      <tp>
        <v>1047</v>
        <stp/>
        <stp>Market</stp>
        <stp>STOCK</stp>
        <stp>85930.T</stp>
        <stp>後場始値</stp>
        <tr r="R1024" s="7"/>
      </tp>
      <tp t="s">
        <v>表示銘柄数超過</v>
        <stp/>
        <stp>Market</stp>
        <stp>STOCK</stp>
        <stp>45920.T</stp>
        <stp>後場始値</stp>
        <tr r="R503" s="7"/>
      </tp>
      <tp t="s">
        <v>表示銘柄数超過</v>
        <stp/>
        <stp>Market</stp>
        <stp>STOCK</stp>
        <stp>45910.T</stp>
        <stp>後場始値</stp>
        <tr r="R502" s="7"/>
      </tp>
      <tp>
        <v>2880</v>
        <stp/>
        <stp>Market</stp>
        <stp>STOCK</stp>
        <stp>85910.T</stp>
        <stp>後場始値</stp>
        <tr r="R1023" s="7"/>
      </tp>
      <tp>
        <v>499</v>
        <stp/>
        <stp>Market</stp>
        <stp>STOCK</stp>
        <stp>75900.T</stp>
        <stp>後場始値</stp>
        <tr r="R907" s="7"/>
      </tp>
    </main>
    <main first="rtdsrv.662c26bade854d00aebc6010f8a2e03a">
      <tp t="s">
        <v>表示銘柄数超過</v>
        <stp/>
        <stp>Market</stp>
        <stp>STOCK</stp>
        <stp>14690.T</stp>
        <stp>後場始値</stp>
        <tr r="R27" s="7"/>
      </tp>
      <tp t="s">
        <v>表示銘柄数超過</v>
        <stp/>
        <stp>Market</stp>
        <stp>STOCK</stp>
        <stp>24680.T</stp>
        <stp>後場始値</stp>
        <tr r="R148" s="7"/>
      </tp>
      <tp>
        <v>362</v>
        <stp/>
        <stp>Market</stp>
        <stp>STOCK</stp>
        <stp>64670.T</stp>
        <stp>後場始値</stp>
        <tr r="R704" s="7"/>
      </tp>
      <tp t="s">
        <v>表示銘柄数超過</v>
        <stp/>
        <stp>Market</stp>
        <stp>STOCK</stp>
        <stp>94660.T</stp>
        <stp>後場始値</stp>
        <tr r="R1134" s="7"/>
      </tp>
      <tp t="s">
        <v>表示銘柄数超過</v>
        <stp/>
        <stp>Market</stp>
        <stp>STOCK</stp>
        <stp>34640.T</stp>
        <stp>後場始値</stp>
        <tr r="R302" s="7"/>
      </tp>
      <tp>
        <v>495</v>
        <stp/>
        <stp>Market</stp>
        <stp>STOCK</stp>
        <stp>84620.T</stp>
        <stp>後場始値</stp>
        <tr r="R1012" s="7"/>
      </tp>
      <tp t="s">
        <v>表示銘柄数超過</v>
        <stp/>
        <stp>Market</stp>
        <stp>STOCK</stp>
        <stp>34610.T</stp>
        <stp>後場始値</stp>
        <tr r="R301" s="7"/>
      </tp>
      <tp t="s">
        <v>表示銘柄数超過</v>
        <stp/>
        <stp>Market</stp>
        <stp>STOCK</stp>
        <stp>24610.T</stp>
        <stp>後場始値</stp>
        <tr r="R147" s="7"/>
      </tp>
      <tp t="s">
        <v>表示銘柄数超過</v>
        <stp/>
        <stp>Market</stp>
        <stp>STOCK</stp>
        <stp>24790.T</stp>
        <stp>後場始値</stp>
        <tr r="R150" s="7"/>
      </tp>
      <tp t="s">
        <v>表示銘柄数超過</v>
        <stp/>
        <stp>Market</stp>
        <stp>STOCK</stp>
        <stp>44790.T</stp>
        <stp>後場始値</stp>
        <tr r="R474" s="7"/>
      </tp>
      <tp t="s">
        <v>表示銘柄数超過</v>
        <stp/>
        <stp>Market</stp>
        <stp>STOCK</stp>
        <stp>94790.T</stp>
        <stp>後場始値</stp>
        <tr r="R1139" s="7"/>
      </tp>
      <tp t="s">
        <v>表示銘柄数超過</v>
        <stp/>
        <stp>Market</stp>
        <stp>STOCK</stp>
        <stp>44770.T</stp>
        <stp>後場始値</stp>
        <tr r="R473" s="7"/>
      </tp>
      <tp>
        <v>555</v>
        <stp/>
        <stp>Market</stp>
        <stp>STOCK</stp>
        <stp>54760.T</stp>
        <stp>後場始値</stp>
        <tr r="R597" s="7"/>
      </tp>
      <tp t="s">
        <v>表示銘柄数超過</v>
        <stp/>
        <stp>Market</stp>
        <stp>STOCK</stp>
        <stp>44760.T</stp>
        <stp>後場始値</stp>
        <tr r="R472" s="7"/>
      </tp>
      <tp t="s">
        <v>表示銘柄数超過</v>
        <stp/>
        <stp>Market</stp>
        <stp>STOCK</stp>
        <stp>94760.T</stp>
        <stp>後場始値</stp>
        <tr r="R1138" s="7"/>
      </tp>
      <tp t="s">
        <v>表示銘柄数超過</v>
        <stp/>
        <stp>Market</stp>
        <stp>STOCK</stp>
        <stp>44750.T</stp>
        <stp>後場始値</stp>
        <tr r="R471" s="7"/>
      </tp>
      <tp t="s">
        <v>表示銘柄数超過</v>
        <stp/>
        <stp>Market</stp>
        <stp>STOCK</stp>
        <stp>94750.T</stp>
        <stp>後場始値</stp>
        <tr r="R1137" s="7"/>
      </tp>
      <tp t="s">
        <v>表示銘柄数超過</v>
        <stp/>
        <stp>Market</stp>
        <stp>STOCK</stp>
        <stp>94740.T</stp>
        <stp>後場始値</stp>
        <tr r="R1136" s="7"/>
      </tp>
      <tp>
        <v>3837</v>
        <stp/>
        <stp>Market</stp>
        <stp>STOCK</stp>
        <stp>84730.T</stp>
        <stp>後場始値</stp>
        <tr r="R1013" s="7"/>
      </tp>
      <tp t="s">
        <v>表示銘柄数超過</v>
        <stp/>
        <stp>Market</stp>
        <stp>STOCK</stp>
        <stp>14720.T</stp>
        <stp>後場始値</stp>
        <tr r="R28" s="7"/>
      </tp>
      <tp t="s">
        <v>表示銘柄数超過</v>
        <stp/>
        <stp>Market</stp>
        <stp>STOCK</stp>
        <stp>24710.T</stp>
        <stp>後場始値</stp>
        <tr r="R149" s="7"/>
      </tp>
      <tp>
        <v>808</v>
        <stp/>
        <stp>Market</stp>
        <stp>STOCK</stp>
        <stp>64710.T</stp>
        <stp>後場始値</stp>
        <tr r="R706" s="7"/>
      </tp>
      <tp>
        <v>833</v>
        <stp/>
        <stp>Market</stp>
        <stp>STOCK</stp>
        <stp>64700.T</stp>
        <stp>後場始値</stp>
        <tr r="R705" s="7"/>
      </tp>
      <tp t="s">
        <v>表示銘柄数超過</v>
        <stp/>
        <stp>Market</stp>
        <stp>STOCK</stp>
        <stp>94700.T</stp>
        <stp>後場始値</stp>
        <tr r="R1135" s="7"/>
      </tp>
      <tp>
        <v>2204</v>
        <stp/>
        <stp>Market</stp>
        <stp>STOCK</stp>
        <stp>54490.T</stp>
        <stp>後場始値</stp>
        <tr r="R596" s="7"/>
      </tp>
      <tp t="s">
        <v>表示銘柄数超過</v>
        <stp/>
        <stp>Market</stp>
        <stp>STOCK</stp>
        <stp>44480.T</stp>
        <stp>後場始値</stp>
        <tr r="R468" s="7"/>
      </tp>
      <tp t="s">
        <v>表示銘柄数超過</v>
        <stp/>
        <stp>Market</stp>
        <stp>STOCK</stp>
        <stp>24450.T</stp>
        <stp>後場始値</stp>
        <tr r="R145" s="7"/>
      </tp>
      <tp>
        <v>417</v>
        <stp/>
        <stp>Market</stp>
        <stp>STOCK</stp>
        <stp>74450.T</stp>
        <stp>後場始値</stp>
        <tr r="R889" s="7"/>
      </tp>
      <tp>
        <v>191</v>
        <stp/>
        <stp>Market</stp>
        <stp>STOCK</stp>
        <stp>64440.T</stp>
        <stp>後場始値</stp>
        <tr r="R703" s="7"/>
      </tp>
      <tp t="s">
        <v>表示銘柄数超過</v>
        <stp/>
        <stp>Market</stp>
        <stp>STOCK</stp>
        <stp>44440.T</stp>
        <stp>後場始値</stp>
        <tr r="R467" s="7"/>
      </tp>
      <tp t="s">
        <v>表示銘柄数超過</v>
        <stp/>
        <stp>Market</stp>
        <stp>STOCK</stp>
        <stp>94440.T</stp>
        <stp>後場始値</stp>
        <tr r="R1132" s="7"/>
      </tp>
      <tp t="s">
        <v>表示銘柄数超過</v>
        <stp/>
        <stp>Market</stp>
        <stp>STOCK</stp>
        <stp>44410.T</stp>
        <stp>後場始値</stp>
        <tr r="R466" s="7"/>
      </tp>
      <tp>
        <v>462</v>
        <stp/>
        <stp>Market</stp>
        <stp>STOCK</stp>
        <stp>64400.T</stp>
        <stp>後場始値</stp>
        <tr r="R702" s="7"/>
      </tp>
      <tp t="s">
        <v>表示銘柄数超過</v>
        <stp/>
        <stp>Market</stp>
        <stp>STOCK</stp>
        <stp>14590.T</stp>
        <stp>後場始値</stp>
        <tr r="R26" s="7"/>
      </tp>
      <tp>
        <v>2343.5</v>
        <stp/>
        <stp>Market</stp>
        <stp>STOCK</stp>
        <stp>74590.T</stp>
        <stp>後場始値</stp>
        <tr r="R892" s="7"/>
      </tp>
      <tp>
        <v>501</v>
        <stp/>
        <stp>Market</stp>
        <stp>STOCK</stp>
        <stp>74550.T</stp>
        <stp>後場始値</stp>
        <tr r="R891" s="7"/>
      </tp>
      <tp t="s">
        <v>表示銘柄数超過</v>
        <stp/>
        <stp>Market</stp>
        <stp>STOCK</stp>
        <stp>34540.T</stp>
        <stp>後場始値</stp>
        <tr r="R300" s="7"/>
      </tp>
      <tp t="s">
        <v>表示銘柄数超過</v>
        <stp/>
        <stp>Market</stp>
        <stp>STOCK</stp>
        <stp>24530.T</stp>
        <stp>後場始値</stp>
        <tr r="R146" s="7"/>
      </tp>
      <tp>
        <v>2125</v>
        <stp/>
        <stp>Market</stp>
        <stp>STOCK</stp>
        <stp>74530.T</stp>
        <stp>後場始値</stp>
        <tr r="R890" s="7"/>
      </tp>
      <tp t="s">
        <v>表示銘柄数超過</v>
        <stp/>
        <stp>Market</stp>
        <stp>STOCK</stp>
        <stp>44520.T</stp>
        <stp>後場始値</stp>
        <tr r="R469" s="7"/>
      </tp>
      <tp t="s">
        <v>表示銘柄数超過</v>
        <stp/>
        <stp>Market</stp>
        <stp>STOCK</stp>
        <stp>14510.T</stp>
        <stp>後場始値</stp>
        <tr r="R25" s="7"/>
      </tp>
      <tp t="s">
        <v>表示銘柄数超過</v>
        <stp/>
        <stp>Market</stp>
        <stp>STOCK</stp>
        <stp>94500.T</stp>
        <stp>後場始値</stp>
        <tr r="R1133" s="7"/>
      </tp>
      <tp t="s">
        <v>表示銘柄数超過</v>
        <stp/>
        <stp>Market</stp>
        <stp>STOCK</stp>
        <stp>24290.T</stp>
        <stp>後場始値</stp>
        <tr r="R139" s="7"/>
      </tp>
      <tp t="s">
        <v>表示銘柄数超過</v>
        <stp/>
        <stp>Market</stp>
        <stp>STOCK</stp>
        <stp>44270.T</stp>
        <stp>後場始値</stp>
        <tr r="R463" s="7"/>
      </tp>
      <tp t="s">
        <v>表示銘柄数超過</v>
        <stp/>
        <stp>Market</stp>
        <stp>STOCK</stp>
        <stp>94250.T</stp>
        <stp>後場始値</stp>
        <tr r="R1126" s="7"/>
      </tp>
      <tp t="s">
        <v>表示銘柄数超過</v>
        <stp/>
        <stp>Market</stp>
        <stp>STOCK</stp>
        <stp>94240.T</stp>
        <stp>後場始値</stp>
        <tr r="R1125" s="7"/>
      </tp>
      <tp>
        <v>1731</v>
        <stp/>
        <stp>Market</stp>
        <stp>STOCK</stp>
        <stp>54230.T</stp>
        <stp>後場始値</stp>
        <tr r="R595" s="7"/>
      </tp>
      <tp t="s">
        <v>表示銘柄数超過</v>
        <stp/>
        <stp>Market</stp>
        <stp>STOCK</stp>
        <stp>94230.T</stp>
        <stp>後場始値</stp>
        <tr r="R1124" s="7"/>
      </tp>
      <tp t="s">
        <v>表示銘柄数超過</v>
        <stp/>
        <stp>Market</stp>
        <stp>STOCK</stp>
        <stp>34220.T</stp>
        <stp>後場始値</stp>
        <tr r="R297" s="7"/>
      </tp>
      <tp t="s">
        <v>表示銘柄数超過</v>
        <stp/>
        <stp>Market</stp>
        <stp>STOCK</stp>
        <stp>94210.T</stp>
        <stp>後場始値</stp>
        <tr r="R1123" s="7"/>
      </tp>
      <tp>
        <v>2353</v>
        <stp/>
        <stp>Market</stp>
        <stp>STOCK</stp>
        <stp>74200.T</stp>
        <stp>後場始値</stp>
        <tr r="R888" s="7"/>
      </tp>
      <tp t="s">
        <v>表示銘柄数超過</v>
        <stp/>
        <stp>Market</stp>
        <stp>STOCK</stp>
        <stp>14390.T</stp>
        <stp>後場始値</stp>
        <tr r="R24" s="7"/>
      </tp>
      <tp t="s">
        <v>表示銘柄数超過</v>
        <stp/>
        <stp>Market</stp>
        <stp>STOCK</stp>
        <stp>94390.T</stp>
        <stp>後場始値</stp>
        <tr r="R1131" s="7"/>
      </tp>
      <tp t="s">
        <v>表示銘柄数超過</v>
        <stp/>
        <stp>Market</stp>
        <stp>STOCK</stp>
        <stp>24380.T</stp>
        <stp>後場始値</stp>
        <tr r="R144" s="7"/>
      </tp>
      <tp t="s">
        <v>表示銘柄数超過</v>
        <stp/>
        <stp>Market</stp>
        <stp>STOCK</stp>
        <stp>44380.T</stp>
        <stp>後場始値</stp>
        <tr r="R465" s="7"/>
      </tp>
      <tp t="s">
        <v>表示銘柄数超過</v>
        <stp/>
        <stp>Market</stp>
        <stp>STOCK</stp>
        <stp>24370.T</stp>
        <stp>後場始値</stp>
        <tr r="R143" s="7"/>
      </tp>
      <tp t="s">
        <v>表示銘柄数超過</v>
        <stp/>
        <stp>Market</stp>
        <stp>STOCK</stp>
        <stp>34360.T</stp>
        <stp>後場始値</stp>
        <tr r="R299" s="7"/>
      </tp>
      <tp t="s">
        <v>表示銘柄数超過</v>
        <stp/>
        <stp>Market</stp>
        <stp>STOCK</stp>
        <stp>44360.T</stp>
        <stp>後場始値</stp>
        <tr r="R464" s="7"/>
      </tp>
      <tp t="s">
        <v>表示銘柄数超過</v>
        <stp/>
        <stp>Market</stp>
        <stp>STOCK</stp>
        <stp>94360.T</stp>
        <stp>後場始値</stp>
        <tr r="R1130" s="7"/>
      </tp>
      <tp t="s">
        <v>表示銘柄数超過</v>
        <stp/>
        <stp>Market</stp>
        <stp>STOCK</stp>
        <stp>24350.T</stp>
        <stp>後場始値</stp>
        <tr r="R142" s="7"/>
      </tp>
      <tp t="s">
        <v>表示銘柄数超過</v>
        <stp/>
        <stp>Market</stp>
        <stp>STOCK</stp>
        <stp>14350.T</stp>
        <stp>後場始値</stp>
        <tr r="R23" s="7"/>
      </tp>
      <tp>
        <v>1943</v>
        <stp/>
        <stp>Market</stp>
        <stp>STOCK</stp>
        <stp>94340.T</stp>
        <stp>後場始値</stp>
        <tr r="R1129" s="7"/>
      </tp>
      <tp t="s">
        <v>表示銘柄数超過</v>
        <stp/>
        <stp>Market</stp>
        <stp>STOCK</stp>
        <stp>34330.T</stp>
        <stp>後場始値</stp>
        <tr r="R298" s="7"/>
      </tp>
      <tp t="s">
        <v>表示銘柄数超過</v>
        <stp/>
        <stp>Market</stp>
        <stp>STOCK</stp>
        <stp>24330.T</stp>
        <stp>後場始値</stp>
        <tr r="R141" s="7"/>
      </tp>
      <tp>
        <v>263</v>
        <stp/>
        <stp>Market</stp>
        <stp>STOCK</stp>
        <stp>64330.T</stp>
        <stp>後場始値</stp>
        <tr r="R701" s="7"/>
      </tp>
      <tp t="s">
        <v>表示銘柄数超過</v>
        <stp/>
        <stp>Market</stp>
        <stp>STOCK</stp>
        <stp>94330.T</stp>
        <stp>後場始値</stp>
        <tr r="R1128" s="7"/>
      </tp>
      <tp t="s">
        <v>表示銘柄数超過</v>
        <stp/>
        <stp>Market</stp>
        <stp>STOCK</stp>
        <stp>24320.T</stp>
        <stp>後場始値</stp>
        <tr r="R140" s="7"/>
      </tp>
      <tp>
        <v>183.5</v>
        <stp/>
        <stp>Market</stp>
        <stp>STOCK</stp>
        <stp>94320.T</stp>
        <stp>後場始値</stp>
        <tr r="R1127" s="7"/>
      </tp>
      <tp t="s">
        <v>表示銘柄数超過</v>
        <stp/>
        <stp>Market</stp>
        <stp>STOCK</stp>
        <stp>14300.T</stp>
        <stp>後場始値</stp>
        <tr r="R22" s="7"/>
      </tp>
      <tp t="s">
        <v>表示銘柄数超過</v>
        <stp/>
        <stp>Market</stp>
        <stp>STOCK</stp>
        <stp>34090.T</stp>
        <stp>後場始値</stp>
        <tr r="R296" s="7"/>
      </tp>
      <tp t="s">
        <v>表示銘柄数超過</v>
        <stp/>
        <stp>Market</stp>
        <stp>STOCK</stp>
        <stp>94090.T</stp>
        <stp>後場始値</stp>
        <tr r="R1117" s="7"/>
      </tp>
      <tp t="s">
        <v>表示銘柄数超過</v>
        <stp/>
        <stp>Market</stp>
        <stp>STOCK</stp>
        <stp>24080.T</stp>
        <stp>後場始値</stp>
        <tr r="R134" s="7"/>
      </tp>
      <tp>
        <v>1518</v>
        <stp/>
        <stp>Market</stp>
        <stp>STOCK</stp>
        <stp>74080.T</stp>
        <stp>後場始値</stp>
        <tr r="R886" s="7"/>
      </tp>
      <tp>
        <v>921</v>
        <stp/>
        <stp>Market</stp>
        <stp>STOCK</stp>
        <stp>54080.T</stp>
        <stp>後場始値</stp>
        <tr r="R592" s="7"/>
      </tp>
      <tp t="s">
        <v>表示銘柄数超過</v>
        <stp/>
        <stp>Market</stp>
        <stp>STOCK</stp>
        <stp>34070.T</stp>
        <stp>後場始値</stp>
        <tr r="R295" s="7"/>
      </tp>
      <tp t="s">
        <v>表示銘柄数超過</v>
        <stp/>
        <stp>Market</stp>
        <stp>STOCK</stp>
        <stp>14070.T</stp>
        <stp>後場始値</stp>
        <tr r="R19" s="7"/>
      </tp>
      <tp>
        <v>2062</v>
        <stp/>
        <stp>Market</stp>
        <stp>STOCK</stp>
        <stp>54060.T</stp>
        <stp>後場始値</stp>
        <tr r="R591" s="7"/>
      </tp>
      <tp t="s">
        <v>表示銘柄数超過</v>
        <stp/>
        <stp>Market</stp>
        <stp>STOCK</stp>
        <stp>44060.T</stp>
        <stp>後場始値</stp>
        <tr r="R459" s="7"/>
      </tp>
      <tp t="s">
        <v>表示銘柄数超過</v>
        <stp/>
        <stp>Market</stp>
        <stp>STOCK</stp>
        <stp>94050.T</stp>
        <stp>後場始値</stp>
        <tr r="R1116" s="7"/>
      </tp>
      <tp t="s">
        <v>表示銘柄数超過</v>
        <stp/>
        <stp>Market</stp>
        <stp>STOCK</stp>
        <stp>24040.T</stp>
        <stp>後場始値</stp>
        <tr r="R133" s="7"/>
      </tp>
      <tp t="s">
        <v>表示銘柄数超過</v>
        <stp/>
        <stp>Market</stp>
        <stp>STOCK</stp>
        <stp>94040.T</stp>
        <stp>後場始値</stp>
        <tr r="R1115" s="7"/>
      </tp>
      <tp t="s">
        <v>表示銘柄数超過</v>
        <stp/>
        <stp>Market</stp>
        <stp>STOCK</stp>
        <stp>24020.T</stp>
        <stp>後場始値</stp>
        <tr r="R132" s="7"/>
      </tp>
      <tp t="s">
        <v>表示銘柄数超過</v>
        <stp/>
        <stp>Market</stp>
        <stp>STOCK</stp>
        <stp>34010.T</stp>
        <stp>後場始値</stp>
        <tr r="R294" s="7"/>
      </tp>
      <tp t="s">
        <v>表示銘柄数超過</v>
        <stp/>
        <stp>Market</stp>
        <stp>STOCK</stp>
        <stp>14010.T</stp>
        <stp>後場始値</stp>
        <tr r="R18" s="7"/>
      </tp>
      <tp>
        <v>3560</v>
        <stp/>
        <stp>Market</stp>
        <stp>STOCK</stp>
        <stp>54010.T</stp>
        <stp>後場始値</stp>
        <tr r="R590" s="7"/>
      </tp>
      <tp t="s">
        <v>表示銘柄数超過</v>
        <stp/>
        <stp>Market</stp>
        <stp>STOCK</stp>
        <stp>94010.T</stp>
        <stp>後場始値</stp>
        <tr r="R1114" s="7"/>
      </tp>
      <tp t="s">
        <v>表示銘柄数超過</v>
        <stp/>
        <stp>Market</stp>
        <stp>STOCK</stp>
        <stp>14000.T</stp>
        <stp>後場始値</stp>
        <tr r="R17" s="7"/>
      </tp>
      <tp t="s">
        <v>表示銘柄数超過</v>
        <stp/>
        <stp>Market</stp>
        <stp>STOCK</stp>
        <stp>14190.T</stp>
        <stp>後場始値</stp>
        <tr r="R21" s="7"/>
      </tp>
      <tp>
        <v>1597</v>
        <stp/>
        <stp>Market</stp>
        <stp>STOCK</stp>
        <stp>74190.T</stp>
        <stp>後場始値</stp>
        <tr r="R887" s="7"/>
      </tp>
      <tp t="s">
        <v>表示銘柄数超過</v>
        <stp/>
        <stp>Market</stp>
        <stp>STOCK</stp>
        <stp>44190.T</stp>
        <stp>後場始値</stp>
        <tr r="R462" s="7"/>
      </tp>
      <tp t="s">
        <v>表示銘柄数超過</v>
        <stp/>
        <stp>Market</stp>
        <stp>STOCK</stp>
        <stp>94190.T</stp>
        <stp>後場始値</stp>
        <tr r="R1122" s="7"/>
      </tp>
      <tp t="s">
        <v>表示銘柄数超過</v>
        <stp/>
        <stp>Market</stp>
        <stp>STOCK</stp>
        <stp>14180.T</stp>
        <stp>後場始値</stp>
        <tr r="R20" s="7"/>
      </tp>
      <tp>
        <v>1430</v>
        <stp/>
        <stp>Market</stp>
        <stp>STOCK</stp>
        <stp>64180.T</stp>
        <stp>後場始値</stp>
        <tr r="R700" s="7"/>
      </tp>
      <tp t="s">
        <v>表示銘柄数超過</v>
        <stp/>
        <stp>Market</stp>
        <stp>STOCK</stp>
        <stp>94170.T</stp>
        <stp>後場始値</stp>
        <tr r="R1121" s="7"/>
      </tp>
      <tp t="s">
        <v>表示銘柄数超過</v>
        <stp/>
        <stp>Market</stp>
        <stp>STOCK</stp>
        <stp>44160.T</stp>
        <stp>後場始値</stp>
        <tr r="R461" s="7"/>
      </tp>
      <tp>
        <v>933</v>
        <stp/>
        <stp>Market</stp>
        <stp>STOCK</stp>
        <stp>84160.T</stp>
        <stp>後場始値</stp>
        <tr r="R1011" s="7"/>
      </tp>
      <tp t="s">
        <v>表示銘柄数超過</v>
        <stp/>
        <stp>Market</stp>
        <stp>STOCK</stp>
        <stp>24150.T</stp>
        <stp>後場始値</stp>
        <tr r="R138" s="7"/>
      </tp>
      <tp t="s">
        <v>表示銘柄数超過</v>
        <stp/>
        <stp>Market</stp>
        <stp>STOCK</stp>
        <stp>44140.T</stp>
        <stp>後場始値</stp>
        <tr r="R460" s="7"/>
      </tp>
      <tp t="s">
        <v>表示銘柄数超過</v>
        <stp/>
        <stp>Market</stp>
        <stp>STOCK</stp>
        <stp>94140.T</stp>
        <stp>後場始値</stp>
        <tr r="R1120" s="7"/>
      </tp>
      <tp t="s">
        <v>表示銘柄数超過</v>
        <stp/>
        <stp>Market</stp>
        <stp>STOCK</stp>
        <stp>94130.T</stp>
        <stp>後場始値</stp>
        <tr r="R1119" s="7"/>
      </tp>
      <tp t="s">
        <v>表示銘柄数超過</v>
        <stp/>
        <stp>Market</stp>
        <stp>STOCK</stp>
        <stp>24120.T</stp>
        <stp>後場始値</stp>
        <tr r="R137" s="7"/>
      </tp>
      <tp t="s">
        <v>表示銘柄数超過</v>
        <stp/>
        <stp>Market</stp>
        <stp>STOCK</stp>
        <stp>94120.T</stp>
        <stp>後場始値</stp>
        <tr r="R1118" s="7"/>
      </tp>
      <tp t="s">
        <v>表示銘柄数超過</v>
        <stp/>
        <stp>Market</stp>
        <stp>STOCK</stp>
        <stp>24110.T</stp>
        <stp>後場始値</stp>
        <tr r="R136" s="7"/>
      </tp>
      <tp>
        <v>2325.5</v>
        <stp/>
        <stp>Market</stp>
        <stp>STOCK</stp>
        <stp>54110.T</stp>
        <stp>後場始値</stp>
        <tr r="R594" s="7"/>
      </tp>
      <tp t="s">
        <v>表示銘柄数超過</v>
        <stp/>
        <stp>Market</stp>
        <stp>STOCK</stp>
        <stp>24100.T</stp>
        <stp>後場始値</stp>
        <tr r="R135" s="7"/>
      </tp>
      <tp>
        <v>5820</v>
        <stp/>
        <stp>Market</stp>
        <stp>STOCK</stp>
        <stp>54100.T</stp>
        <stp>後場始値</stp>
        <tr r="R593" s="7"/>
      </tp>
      <tp>
        <v>303</v>
        <stp/>
        <stp>Market</stp>
        <stp>STOCK</stp>
        <stp>84100.T</stp>
        <stp>後場始値</stp>
        <tr r="R1010" s="7"/>
      </tp>
      <tp>
        <v>1088</v>
        <stp/>
        <stp>Market</stp>
        <stp>STOCK</stp>
        <stp>64890.T</stp>
        <stp>後場始値</stp>
        <tr r="R708" s="7"/>
      </tp>
      <tp t="s">
        <v>表示銘柄数超過</v>
        <stp/>
        <stp>Market</stp>
        <stp>STOCK</stp>
        <stp>24880.T</stp>
        <stp>後場始値</stp>
        <tr r="R153" s="7"/>
      </tp>
      <tp t="s">
        <v>表示銘柄数超過</v>
        <stp/>
        <stp>Market</stp>
        <stp>STOCK</stp>
        <stp>44870.T</stp>
        <stp>後場始値</stp>
        <tr r="R476" s="7"/>
      </tp>
      <tp t="s">
        <v>表示銘柄数超過</v>
        <stp/>
        <stp>Market</stp>
        <stp>STOCK</stp>
        <stp>24840.T</stp>
        <stp>後場始値</stp>
        <tr r="R152" s="7"/>
      </tp>
      <tp t="s">
        <v>表示銘柄数超過</v>
        <stp/>
        <stp>Market</stp>
        <stp>STOCK</stp>
        <stp>44840.T</stp>
        <stp>後場始値</stp>
        <tr r="R475" s="7"/>
      </tp>
      <tp t="s">
        <v>表示銘柄数超過</v>
        <stp/>
        <stp>Market</stp>
        <stp>STOCK</stp>
        <stp>24830.T</stp>
        <stp>後場始値</stp>
        <tr r="R151" s="7"/>
      </tp>
      <tp>
        <v>1870</v>
        <stp/>
        <stp>Market</stp>
        <stp>STOCK</stp>
        <stp>74810.T</stp>
        <stp>後場始値</stp>
        <tr r="R893" s="7"/>
      </tp>
      <tp>
        <v>597</v>
        <stp/>
        <stp>Market</stp>
        <stp>STOCK</stp>
        <stp>64800.T</stp>
        <stp>後場始値</stp>
        <tr r="R707" s="7"/>
      </tp>
      <tp>
        <v>1220</v>
        <stp/>
        <stp>Market</stp>
        <stp>STOCK</stp>
        <stp>64980.T</stp>
        <stp>後場始値</stp>
        <tr r="R712" s="7"/>
      </tp>
      <tp t="s">
        <v>表示銘柄数超過</v>
        <stp/>
        <stp>Market</stp>
        <stp>STOCK</stp>
        <stp>24970.T</stp>
        <stp>後場始値</stp>
        <tr r="R155" s="7"/>
      </tp>
      <tp>
        <v>119</v>
        <stp/>
        <stp>Market</stp>
        <stp>STOCK</stp>
        <stp>64950.T</stp>
        <stp>後場始値</stp>
        <tr r="R711" s="7"/>
      </tp>
      <tp t="s">
        <v>表示銘柄数超過</v>
        <stp/>
        <stp>Market</stp>
        <stp>STOCK</stp>
        <stp>44950.T</stp>
        <stp>後場始値</stp>
        <tr r="R478" s="7"/>
      </tp>
      <tp>
        <v>425</v>
        <stp/>
        <stp>Market</stp>
        <stp>STOCK</stp>
        <stp>74940.T</stp>
        <stp>後場始値</stp>
        <tr r="R894" s="7"/>
      </tp>
      <tp>
        <v>95</v>
        <stp/>
        <stp>Market</stp>
        <stp>STOCK</stp>
        <stp>64940.T</stp>
        <stp>後場始値</stp>
        <tr r="R710" s="7"/>
      </tp>
      <tp>
        <v>375</v>
        <stp/>
        <stp>Market</stp>
        <stp>STOCK</stp>
        <stp>64930.T</stp>
        <stp>後場始値</stp>
        <tr r="R709" s="7"/>
      </tp>
      <tp t="s">
        <v>表示銘柄数超過</v>
        <stp/>
        <stp>Market</stp>
        <stp>STOCK</stp>
        <stp>24920.T</stp>
        <stp>後場始値</stp>
        <tr r="R154" s="7"/>
      </tp>
      <tp t="s">
        <v>表示銘柄数超過</v>
        <stp/>
        <stp>Market</stp>
        <stp>STOCK</stp>
        <stp>44920.T</stp>
        <stp>後場始値</stp>
        <tr r="R477" s="7"/>
      </tp>
      <tp t="s">
        <v>表示銘柄数超過</v>
        <stp/>
        <stp>Market</stp>
        <stp>STOCK</stp>
        <stp>14910.T</stp>
        <stp>後場始値</stp>
        <tr r="R29" s="7"/>
      </tp>
      <tp>
        <v>878</v>
        <stp/>
        <stp>Market</stp>
        <stp>STOCK</stp>
        <stp>54910.T</stp>
        <stp>後場始値</stp>
        <tr r="R598" s="7"/>
      </tp>
    </main>
    <main first="rtdsrv.662c26bade854d00aebc6010f8a2e03a">
      <tp t="s">
        <v>表示銘柄数超過</v>
        <stp/>
        <stp>Market</stp>
        <stp>STOCK</stp>
        <stp>15140.T</stp>
        <stp>出来高加重平均</stp>
        <tr r="T30" s="7"/>
      </tp>
      <tp t="s">
        <v>表示銘柄数超過</v>
        <stp/>
        <stp>Market</stp>
        <stp>STOCK</stp>
        <stp>15520.T</stp>
        <stp>出来高加重平均</stp>
        <tr r="T32" s="7"/>
      </tp>
      <tp t="s">
        <v>表示銘柄数超過</v>
        <stp/>
        <stp>Market</stp>
        <stp>STOCK</stp>
        <stp>15510.T</stp>
        <stp>出来高加重平均</stp>
        <tr r="T31" s="7"/>
      </tp>
      <tp t="s">
        <v>表示銘柄数超過</v>
        <stp/>
        <stp>Market</stp>
        <stp>STOCK</stp>
        <stp>15630.T</stp>
        <stp>出来高加重平均</stp>
        <tr r="T33" s="7"/>
      </tp>
      <tp t="s">
        <v>表示銘柄数超過</v>
        <stp/>
        <stp>Market</stp>
        <stp>STOCK</stp>
        <stp>15720.T</stp>
        <stp>出来高加重平均</stp>
        <tr r="T35" s="7"/>
      </tp>
      <tp t="s">
        <v>表示銘柄数超過</v>
        <stp/>
        <stp>Market</stp>
        <stp>STOCK</stp>
        <stp>15710.T</stp>
        <stp>出来高加重平均</stp>
        <tr r="T34" s="7"/>
      </tp>
      <tp t="s">
        <v>表示銘柄数超過</v>
        <stp/>
        <stp>Market</stp>
        <stp>STOCK</stp>
        <stp>15780.T</stp>
        <stp>出来高加重平均</stp>
        <tr r="T36" s="7"/>
      </tp>
      <tp t="s">
        <v>表示銘柄数超過</v>
        <stp/>
        <stp>Market</stp>
        <stp>STOCK</stp>
        <stp>14070.T</stp>
        <stp>出来高加重平均</stp>
        <tr r="T19" s="7"/>
      </tp>
      <tp t="s">
        <v>表示銘柄数超過</v>
        <stp/>
        <stp>Market</stp>
        <stp>STOCK</stp>
        <stp>14010.T</stp>
        <stp>出来高加重平均</stp>
        <tr r="T18" s="7"/>
      </tp>
      <tp t="s">
        <v>表示銘柄数超過</v>
        <stp/>
        <stp>Market</stp>
        <stp>STOCK</stp>
        <stp>14000.T</stp>
        <stp>出来高加重平均</stp>
        <tr r="T17" s="7"/>
      </tp>
      <tp t="s">
        <v>表示銘柄数超過</v>
        <stp/>
        <stp>Market</stp>
        <stp>STOCK</stp>
        <stp>14190.T</stp>
        <stp>出来高加重平均</stp>
        <tr r="T21" s="7"/>
      </tp>
      <tp t="s">
        <v>表示銘柄数超過</v>
        <stp/>
        <stp>Market</stp>
        <stp>STOCK</stp>
        <stp>14180.T</stp>
        <stp>出来高加重平均</stp>
        <tr r="T20" s="7"/>
      </tp>
      <tp t="s">
        <v>表示銘柄数超過</v>
        <stp/>
        <stp>Market</stp>
        <stp>STOCK</stp>
        <stp>14350.T</stp>
        <stp>出来高加重平均</stp>
        <tr r="T23" s="7"/>
      </tp>
      <tp t="s">
        <v>表示銘柄数超過</v>
        <stp/>
        <stp>Market</stp>
        <stp>STOCK</stp>
        <stp>14300.T</stp>
        <stp>出来高加重平均</stp>
        <tr r="T22" s="7"/>
      </tp>
      <tp t="s">
        <v>表示銘柄数超過</v>
        <stp/>
        <stp>Market</stp>
        <stp>STOCK</stp>
        <stp>14390.T</stp>
        <stp>出来高加重平均</stp>
        <tr r="T24" s="7"/>
      </tp>
      <tp t="s">
        <v>表示銘柄数超過</v>
        <stp/>
        <stp>Market</stp>
        <stp>STOCK</stp>
        <stp>14510.T</stp>
        <stp>出来高加重平均</stp>
        <tr r="T25" s="7"/>
      </tp>
      <tp t="s">
        <v>表示銘柄数超過</v>
        <stp/>
        <stp>Market</stp>
        <stp>STOCK</stp>
        <stp>14590.T</stp>
        <stp>出来高加重平均</stp>
        <tr r="T26" s="7"/>
      </tp>
      <tp t="s">
        <v>表示銘柄数超過</v>
        <stp/>
        <stp>Market</stp>
        <stp>STOCK</stp>
        <stp>14690.T</stp>
        <stp>出来高加重平均</stp>
        <tr r="T27" s="7"/>
      </tp>
      <tp t="s">
        <v>表示銘柄数超過</v>
        <stp/>
        <stp>Market</stp>
        <stp>STOCK</stp>
        <stp>14720.T</stp>
        <stp>出来高加重平均</stp>
        <tr r="T28" s="7"/>
      </tp>
      <tp t="s">
        <v>表示銘柄数超過</v>
        <stp/>
        <stp>Market</stp>
        <stp>STOCK</stp>
        <stp>14910.T</stp>
        <stp>出来高加重平均</stp>
        <tr r="T29" s="7"/>
      </tp>
      <tp t="s">
        <v>表示銘柄数超過</v>
        <stp/>
        <stp>Market</stp>
        <stp>STOCK</stp>
        <stp>17160.T</stp>
        <stp>出来高加重平均</stp>
        <tr r="T48" s="7"/>
      </tp>
      <tp t="s">
        <v>表示銘柄数超過</v>
        <stp/>
        <stp>Market</stp>
        <stp>STOCK</stp>
        <stp>17120.T</stp>
        <stp>出来高加重平均</stp>
        <tr r="T47" s="7"/>
      </tp>
      <tp t="s">
        <v>表示銘柄数超過</v>
        <stp/>
        <stp>Market</stp>
        <stp>STOCK</stp>
        <stp>17110.T</stp>
        <stp>出来高加重平均</stp>
        <tr r="T46" s="7"/>
      </tp>
      <tp t="s">
        <v>表示銘柄数超過</v>
        <stp/>
        <stp>Market</stp>
        <stp>STOCK</stp>
        <stp>17190.T</stp>
        <stp>出来高加重平均</stp>
        <tr r="T49" s="7"/>
      </tp>
      <tp t="s">
        <v>表示銘柄数超過</v>
        <stp/>
        <stp>Market</stp>
        <stp>STOCK</stp>
        <stp>17210.T</stp>
        <stp>出来高加重平均</stp>
        <tr r="T51" s="7"/>
      </tp>
      <tp t="s">
        <v>表示銘柄数超過</v>
        <stp/>
        <stp>Market</stp>
        <stp>STOCK</stp>
        <stp>17200.T</stp>
        <stp>出来高加重平均</stp>
        <tr r="T50" s="7"/>
      </tp>
      <tp t="s">
        <v>表示銘柄数超過</v>
        <stp/>
        <stp>Market</stp>
        <stp>STOCK</stp>
        <stp>17300.T</stp>
        <stp>出来高加重平均</stp>
        <tr r="T52" s="7"/>
      </tp>
      <tp t="s">
        <v>表示銘柄数超過</v>
        <stp/>
        <stp>Market</stp>
        <stp>STOCK</stp>
        <stp>17430.T</stp>
        <stp>出来高加重平均</stp>
        <tr r="T53" s="7"/>
      </tp>
      <tp t="s">
        <v>表示銘柄数超過</v>
        <stp/>
        <stp>Market</stp>
        <stp>STOCK</stp>
        <stp>17570.T</stp>
        <stp>出来高加重平均</stp>
        <tr r="T54" s="7"/>
      </tp>
      <tp t="s">
        <v>表示銘柄数超過</v>
        <stp/>
        <stp>Market</stp>
        <stp>STOCK</stp>
        <stp>17700.T</stp>
        <stp>出来高加重平均</stp>
        <tr r="T55" s="7"/>
      </tp>
      <tp t="s">
        <v>表示銘柄数超過</v>
        <stp/>
        <stp>Market</stp>
        <stp>STOCK</stp>
        <stp>17830.T</stp>
        <stp>出来高加重平均</stp>
        <tr r="T56" s="7"/>
      </tp>
      <tp t="s">
        <v>表示銘柄数超過</v>
        <stp/>
        <stp>Market</stp>
        <stp>STOCK</stp>
        <stp>16050.T</stp>
        <stp>出来高加重平均</stp>
        <tr r="T37" s="7"/>
      </tp>
      <tp t="s">
        <v>表示銘柄数超過</v>
        <stp/>
        <stp>Market</stp>
        <stp>STOCK</stp>
        <stp>16150.T</stp>
        <stp>出来高加重平均</stp>
        <tr r="T38" s="7"/>
      </tp>
      <tp t="s">
        <v>表示銘柄数超過</v>
        <stp/>
        <stp>Market</stp>
        <stp>STOCK</stp>
        <stp>16560.T</stp>
        <stp>出来高加重平均</stp>
        <tr r="T40" s="7"/>
      </tp>
      <tp t="s">
        <v>表示銘柄数超過</v>
        <stp/>
        <stp>Market</stp>
        <stp>STOCK</stp>
        <stp>16550.T</stp>
        <stp>出来高加重平均</stp>
        <tr r="T39" s="7"/>
      </tp>
      <tp t="s">
        <v>表示銘柄数超過</v>
        <stp/>
        <stp>Market</stp>
        <stp>STOCK</stp>
        <stp>16710.T</stp>
        <stp>出来高加重平均</stp>
        <tr r="T41" s="7"/>
      </tp>
      <tp t="s">
        <v>表示銘柄数超過</v>
        <stp/>
        <stp>Market</stp>
        <stp>STOCK</stp>
        <stp>16780.T</stp>
        <stp>出来高加重平均</stp>
        <tr r="T42" s="7"/>
      </tp>
      <tp t="s">
        <v>表示銘柄数超過</v>
        <stp/>
        <stp>Market</stp>
        <stp>STOCK</stp>
        <stp>16820.T</stp>
        <stp>出来高加重平均</stp>
        <tr r="T43" s="7"/>
      </tp>
      <tp t="s">
        <v>表示銘柄数超過</v>
        <stp/>
        <stp>Market</stp>
        <stp>STOCK</stp>
        <stp>16890.T</stp>
        <stp>出来高加重平均</stp>
        <tr r="T44" s="7"/>
      </tp>
      <tp t="s">
        <v>表示銘柄数超過</v>
        <stp/>
        <stp>Market</stp>
        <stp>STOCK</stp>
        <stp>16990.T</stp>
        <stp>出来高加重平均</stp>
        <tr r="T45" s="7"/>
      </tp>
      <tp t="s">
        <v>表示銘柄数超過</v>
        <stp/>
        <stp>Market</stp>
        <stp>STOCK</stp>
        <stp>13060.T</stp>
        <stp>出来高加重平均</stp>
        <tr r="T3" s="7"/>
      </tp>
      <tp t="s">
        <v>表示銘柄数超過</v>
        <stp/>
        <stp>Market</stp>
        <stp>STOCK</stp>
        <stp>13050.T</stp>
        <stp>出来高加重平均</stp>
        <tr r="T2" s="7"/>
      </tp>
      <tp t="s">
        <v>表示銘柄数超過</v>
        <stp/>
        <stp>Market</stp>
        <stp>STOCK</stp>
        <stp>13080.T</stp>
        <stp>出来高加重平均</stp>
        <tr r="T4" s="7"/>
      </tp>
      <tp t="s">
        <v>表示銘柄数超過</v>
        <stp/>
        <stp>Market</stp>
        <stp>STOCK</stp>
        <stp>13110.T</stp>
        <stp>出来高加重平均</stp>
        <tr r="T5" s="7"/>
      </tp>
      <tp t="s">
        <v>表示銘柄数超過</v>
        <stp/>
        <stp>Market</stp>
        <stp>STOCK</stp>
        <stp>13190.T</stp>
        <stp>出来高加重平均</stp>
        <tr r="T6" s="7"/>
      </tp>
      <tp t="s">
        <v>表示銘柄数超過</v>
        <stp/>
        <stp>Market</stp>
        <stp>STOCK</stp>
        <stp>13250.T</stp>
        <stp>出来高加重平均</stp>
        <tr r="T7" s="7"/>
      </tp>
      <tp t="s">
        <v>表示銘柄数超過</v>
        <stp/>
        <stp>Market</stp>
        <stp>STOCK</stp>
        <stp>13330.T</stp>
        <stp>出来高加重平均</stp>
        <tr r="T9" s="7"/>
      </tp>
      <tp t="s">
        <v>表示銘柄数超過</v>
        <stp/>
        <stp>Market</stp>
        <stp>STOCK</stp>
        <stp>13320.T</stp>
        <stp>出来高加重平均</stp>
        <tr r="T8" s="7"/>
      </tp>
      <tp t="s">
        <v>表示銘柄数超過</v>
        <stp/>
        <stp>Market</stp>
        <stp>STOCK</stp>
        <stp>13450.T</stp>
        <stp>出来高加重平均</stp>
        <tr r="T10" s="7"/>
      </tp>
      <tp>
        <v>178.39619999999999</v>
        <stp/>
        <stp>Market</stp>
        <stp>STOCK</stp>
        <stp>13570.T</stp>
        <stp>出来高加重平均</stp>
        <tr r="T12" s="7"/>
      </tp>
      <tp t="s">
        <v>表示銘柄数超過</v>
        <stp/>
        <stp>Market</stp>
        <stp>STOCK</stp>
        <stp>13560.T</stp>
        <stp>出来高加重平均</stp>
        <tr r="T11" s="7"/>
      </tp>
      <tp t="s">
        <v>表示銘柄数超過</v>
        <stp/>
        <stp>Market</stp>
        <stp>STOCK</stp>
        <stp>13660.T</stp>
        <stp>出来高加重平均</stp>
        <tr r="T14" s="7"/>
      </tp>
      <tp t="s">
        <v>表示銘柄数超過</v>
        <stp/>
        <stp>Market</stp>
        <stp>STOCK</stp>
        <stp>13600.T</stp>
        <stp>出来高加重平均</stp>
        <tr r="T13" s="7"/>
      </tp>
      <tp t="s">
        <v>表示銘柄数超過</v>
        <stp/>
        <stp>Market</stp>
        <stp>STOCK</stp>
        <stp>13680.T</stp>
        <stp>出来高加重平均</stp>
        <tr r="T15" s="7"/>
      </tp>
      <tp t="s">
        <v>表示銘柄数超過</v>
        <stp/>
        <stp>Market</stp>
        <stp>STOCK</stp>
        <stp>13990.T</stp>
        <stp>出来高加重平均</stp>
        <tr r="T16" s="7"/>
      </tp>
      <tp t="s">
        <v>表示銘柄数超過</v>
        <stp/>
        <stp>Market</stp>
        <stp>STOCK</stp>
        <stp>19140.T</stp>
        <stp>出来高加重平均</stp>
        <tr r="T73" s="7"/>
      </tp>
      <tp t="s">
        <v>表示銘柄数超過</v>
        <stp/>
        <stp>Market</stp>
        <stp>STOCK</stp>
        <stp>19110.T</stp>
        <stp>出来高加重平均</stp>
        <tr r="T72" s="7"/>
      </tp>
      <tp t="s">
        <v>表示銘柄数超過</v>
        <stp/>
        <stp>Market</stp>
        <stp>STOCK</stp>
        <stp>19250.T</stp>
        <stp>出来高加重平均</stp>
        <tr r="T74" s="7"/>
      </tp>
      <tp t="s">
        <v>表示銘柄数超過</v>
        <stp/>
        <stp>Market</stp>
        <stp>STOCK</stp>
        <stp>19280.T</stp>
        <stp>出来高加重平均</stp>
        <tr r="T75" s="7"/>
      </tp>
      <tp t="s">
        <v>表示銘柄数超過</v>
        <stp/>
        <stp>Market</stp>
        <stp>STOCK</stp>
        <stp>19300.T</stp>
        <stp>出来高加重平均</stp>
        <tr r="T76" s="7"/>
      </tp>
      <tp t="s">
        <v>表示銘柄数超過</v>
        <stp/>
        <stp>Market</stp>
        <stp>STOCK</stp>
        <stp>19390.T</stp>
        <stp>出来高加重平均</stp>
        <tr r="T78" s="7"/>
      </tp>
      <tp t="s">
        <v>表示銘柄数超過</v>
        <stp/>
        <stp>Market</stp>
        <stp>STOCK</stp>
        <stp>19380.T</stp>
        <stp>出来高加重平均</stp>
        <tr r="T77" s="7"/>
      </tp>
      <tp t="s">
        <v>表示銘柄数超過</v>
        <stp/>
        <stp>Market</stp>
        <stp>STOCK</stp>
        <stp>19420.T</stp>
        <stp>出来高加重平均</stp>
        <tr r="T80" s="7"/>
      </tp>
      <tp t="s">
        <v>表示銘柄数超過</v>
        <stp/>
        <stp>Market</stp>
        <stp>STOCK</stp>
        <stp>19410.T</stp>
        <stp>出来高加重平均</stp>
        <tr r="T79" s="7"/>
      </tp>
      <tp t="s">
        <v>表示銘柄数超過</v>
        <stp/>
        <stp>Market</stp>
        <stp>STOCK</stp>
        <stp>19500.T</stp>
        <stp>出来高加重平均</stp>
        <tr r="T81" s="7"/>
      </tp>
      <tp t="s">
        <v>表示銘柄数超過</v>
        <stp/>
        <stp>Market</stp>
        <stp>STOCK</stp>
        <stp>19660.T</stp>
        <stp>出来高加重平均</stp>
        <tr r="T84" s="7"/>
      </tp>
      <tp t="s">
        <v>表示銘柄数超過</v>
        <stp/>
        <stp>Market</stp>
        <stp>STOCK</stp>
        <stp>19650.T</stp>
        <stp>出来高加重平均</stp>
        <tr r="T83" s="7"/>
      </tp>
      <tp t="s">
        <v>表示銘柄数超過</v>
        <stp/>
        <stp>Market</stp>
        <stp>STOCK</stp>
        <stp>19600.T</stp>
        <stp>出来高加重平均</stp>
        <tr r="T82" s="7"/>
      </tp>
      <tp t="s">
        <v>表示銘柄数超過</v>
        <stp/>
        <stp>Market</stp>
        <stp>STOCK</stp>
        <stp>19710.T</stp>
        <stp>出来高加重平均</stp>
        <tr r="T85" s="7"/>
      </tp>
      <tp t="s">
        <v>表示銘柄数超過</v>
        <stp/>
        <stp>Market</stp>
        <stp>STOCK</stp>
        <stp>19940.T</stp>
        <stp>出来高加重平均</stp>
        <tr r="T86" s="7"/>
      </tp>
      <tp t="s">
        <v>表示銘柄数超過</v>
        <stp/>
        <stp>Market</stp>
        <stp>STOCK</stp>
        <stp>18050.T</stp>
        <stp>出来高加重平均</stp>
        <tr r="T59" s="7"/>
      </tp>
      <tp t="s">
        <v>表示銘柄数超過</v>
        <stp/>
        <stp>Market</stp>
        <stp>STOCK</stp>
        <stp>18030.T</stp>
        <stp>出来高加重平均</stp>
        <tr r="T58" s="7"/>
      </tp>
      <tp t="s">
        <v>表示銘柄数超過</v>
        <stp/>
        <stp>Market</stp>
        <stp>STOCK</stp>
        <stp>18020.T</stp>
        <stp>出来高加重平均</stp>
        <tr r="T57" s="7"/>
      </tp>
      <tp t="s">
        <v>表示銘柄数超過</v>
        <stp/>
        <stp>Market</stp>
        <stp>STOCK</stp>
        <stp>18150.T</stp>
        <stp>出来高加重平均</stp>
        <tr r="T61" s="7"/>
      </tp>
      <tp t="s">
        <v>表示銘柄数超過</v>
        <stp/>
        <stp>Market</stp>
        <stp>STOCK</stp>
        <stp>18120.T</stp>
        <stp>出来高加重平均</stp>
        <tr r="T60" s="7"/>
      </tp>
      <tp t="s">
        <v>表示銘柄数超過</v>
        <stp/>
        <stp>Market</stp>
        <stp>STOCK</stp>
        <stp>18270.T</stp>
        <stp>出来高加重平均</stp>
        <tr r="T64" s="7"/>
      </tp>
      <tp t="s">
        <v>表示銘柄数超過</v>
        <stp/>
        <stp>Market</stp>
        <stp>STOCK</stp>
        <stp>18260.T</stp>
        <stp>出来高加重平均</stp>
        <tr r="T63" s="7"/>
      </tp>
      <tp t="s">
        <v>表示銘柄数超過</v>
        <stp/>
        <stp>Market</stp>
        <stp>STOCK</stp>
        <stp>18210.T</stp>
        <stp>出来高加重平均</stp>
        <tr r="T62" s="7"/>
      </tp>
      <tp t="s">
        <v>表示銘柄数超過</v>
        <stp/>
        <stp>Market</stp>
        <stp>STOCK</stp>
        <stp>18440.T</stp>
        <stp>出来高加重平均</stp>
        <tr r="T66" s="7"/>
      </tp>
      <tp t="s">
        <v>表示銘柄数超過</v>
        <stp/>
        <stp>Market</stp>
        <stp>STOCK</stp>
        <stp>18400.T</stp>
        <stp>出来高加重平均</stp>
        <tr r="T65" s="7"/>
      </tp>
      <tp t="s">
        <v>表示銘柄数超過</v>
        <stp/>
        <stp>Market</stp>
        <stp>STOCK</stp>
        <stp>18480.T</stp>
        <stp>出来高加重平均</stp>
        <tr r="T67" s="7"/>
      </tp>
      <tp t="s">
        <v>表示銘柄数超過</v>
        <stp/>
        <stp>Market</stp>
        <stp>STOCK</stp>
        <stp>18790.T</stp>
        <stp>出来高加重平均</stp>
        <tr r="T68" s="7"/>
      </tp>
      <tp t="s">
        <v>表示銘柄数超過</v>
        <stp/>
        <stp>Market</stp>
        <stp>STOCK</stp>
        <stp>18870.T</stp>
        <stp>出来高加重平均</stp>
        <tr r="T69" s="7"/>
      </tp>
      <tp t="s">
        <v>表示銘柄数超過</v>
        <stp/>
        <stp>Market</stp>
        <stp>STOCK</stp>
        <stp>18930.T</stp>
        <stp>出来高加重平均</stp>
        <tr r="T70" s="7"/>
      </tp>
      <tp t="s">
        <v>表示銘柄数超過</v>
        <stp/>
        <stp>Market</stp>
        <stp>STOCK</stp>
        <stp>18980.T</stp>
        <stp>出来高加重平均</stp>
        <tr r="T71" s="7"/>
      </tp>
    </main>
    <main first="rtdsrv.662c26bade854d00aebc6010f8a2e03a">
      <tp t="s">
        <v/>
        <stp/>
        <stp>Market</stp>
        <stp>STOCK</stp>
        <stp/>
        <stp>年初来安値</stp>
        <tr r="Z1847" s="7"/>
        <tr r="Z1821" s="7"/>
        <tr r="Z1881" s="7"/>
        <tr r="Z1865" s="7"/>
        <tr r="Z1872" s="7"/>
        <tr r="Z1875" s="7"/>
        <tr r="Z1851" s="7"/>
        <tr r="Z1843" s="7"/>
        <tr r="Z1834" s="7"/>
        <tr r="Z1857" s="7"/>
        <tr r="Z1825" s="7"/>
        <tr r="Z1809" s="7"/>
        <tr r="Z1816" s="7"/>
        <tr r="Z1800" s="7"/>
        <tr r="Z1826" s="7"/>
        <tr r="Z1810" s="7"/>
        <tr r="Z1785" s="7"/>
        <tr r="Z1827" s="7"/>
        <tr r="Z1811" s="7"/>
        <tr r="Z1784" s="7"/>
        <tr r="Z1796" s="7"/>
        <tr r="Z1790" s="7"/>
        <tr r="Z1764" s="7"/>
        <tr r="Z1787" s="7"/>
        <tr r="Z1763" s="7"/>
        <tr r="Z1762" s="7"/>
        <tr r="Z1746" s="7"/>
        <tr r="Z1730" s="7"/>
        <tr r="Z1714" s="7"/>
        <tr r="Z1698" s="7"/>
        <tr r="Z1682" s="7"/>
        <tr r="Z1774" s="7"/>
        <tr r="Z1741" s="7"/>
        <tr r="Z1725" s="7"/>
        <tr r="Z1709" s="7"/>
        <tr r="Z1693" s="7"/>
        <tr r="Z1677" s="7"/>
        <tr r="Z1840" s="7"/>
        <tr r="Z1761" s="7"/>
        <tr r="Z1748" s="7"/>
        <tr r="Z1740" s="7"/>
        <tr r="Z1724" s="7"/>
        <tr r="Z1708" s="7"/>
        <tr r="Z1692" s="7"/>
        <tr r="Z1676" s="7"/>
        <tr r="Z1660" s="7"/>
        <tr r="Z1743" s="7"/>
        <tr r="Z1727" s="7"/>
        <tr r="Z1711" s="7"/>
        <tr r="Z1695" s="7"/>
        <tr r="Z1679" s="7"/>
        <tr r="Z1671" s="7"/>
        <tr r="Z1651" s="7"/>
        <tr r="Z1635" s="7"/>
        <tr r="Z1619" s="7"/>
        <tr r="Z1670" s="7"/>
        <tr r="Z1606" s="7"/>
        <tr r="Z1590" s="7"/>
        <tr r="Z1574" s="7"/>
        <tr r="Z1558" s="7"/>
        <tr r="Z1542" s="7"/>
        <tr r="Z1526" s="7"/>
        <tr r="Z1510" s="7"/>
        <tr r="Z1494" s="7"/>
        <tr r="Z1657" s="7"/>
        <tr r="Z1605" s="7"/>
        <tr r="Z1589" s="7"/>
        <tr r="Z1573" s="7"/>
        <tr r="Z1557" s="7"/>
        <tr r="Z1541" s="7"/>
        <tr r="Z1525" s="7"/>
        <tr r="Z1509" s="7"/>
        <tr r="Z1661" s="7"/>
        <tr r="Z1653" s="7"/>
        <tr r="Z1648" s="7"/>
        <tr r="Z1642" s="7"/>
        <tr r="Z1637" s="7"/>
        <tr r="Z1632" s="7"/>
        <tr r="Z1626" s="7"/>
        <tr r="Z1621" s="7"/>
        <tr r="Z1616" s="7"/>
        <tr r="Z1600" s="7"/>
        <tr r="Z1584" s="7"/>
        <tr r="Z1568" s="7"/>
        <tr r="Z1552" s="7"/>
        <tr r="Z1536" s="7"/>
        <tr r="Z1520" s="7"/>
        <tr r="Z1504" s="7"/>
        <tr r="Z1478" s="7"/>
        <tr r="Z1462" s="7"/>
        <tr r="Z1446" s="7"/>
        <tr r="Z1477" s="7"/>
        <tr r="Z1461" s="7"/>
        <tr r="Z1445" s="7"/>
        <tr r="Z1495" s="7"/>
        <tr r="Z1484" s="7"/>
        <tr r="Z1468" s="7"/>
        <tr r="Z1452" s="7"/>
        <tr r="Z1428" s="7"/>
        <tr r="Z1599" s="7"/>
        <tr r="Z1583" s="7"/>
        <tr r="Z1567" s="7"/>
        <tr r="Z1551" s="7"/>
        <tr r="Z1523" s="7"/>
        <tr r="Z1413" s="7"/>
        <tr r="Z1397" s="7"/>
        <tr r="Z1381" s="7"/>
        <tr r="Z1365" s="7"/>
        <tr r="Z1349" s="7"/>
        <tr r="Z1479" s="7"/>
        <tr r="Z1463" s="7"/>
        <tr r="Z1447" s="7"/>
        <tr r="Z1438" s="7"/>
        <tr r="Z1437" s="7"/>
        <tr r="Z1431" s="7"/>
        <tr r="Z1424" s="7"/>
        <tr r="Z1408" s="7"/>
        <tr r="Z1392" s="7"/>
        <tr r="Z1376" s="7"/>
        <tr r="Z1360" s="7"/>
        <tr r="Z1344" s="7"/>
        <tr r="Z1543" s="7"/>
        <tr r="Z1511" s="7"/>
        <tr r="Z1423" s="7"/>
        <tr r="Z1407" s="7"/>
        <tr r="Z1391" s="7"/>
        <tr r="Z1375" s="7"/>
        <tr r="Z1359" s="7"/>
        <tr r="Z1414" s="7"/>
        <tr r="Z1398" s="7"/>
        <tr r="Z1382" s="7"/>
        <tr r="Z1366" s="7"/>
        <tr r="Z1350" s="7"/>
        <tr r="Z1339" s="7"/>
        <tr r="Z1325" s="7"/>
        <tr r="Z1309" s="7"/>
        <tr r="Z1293" s="7"/>
        <tr r="Z1277" s="7"/>
        <tr r="Z1261" s="7"/>
        <tr r="Z1324" s="7"/>
        <tr r="Z1308" s="7"/>
        <tr r="Z1292" s="7"/>
        <tr r="Z1276" s="7"/>
        <tr r="Z1260" s="7"/>
        <tr r="Z1256" s="7"/>
        <tr r="Z1327" s="7"/>
        <tr r="Z1311" s="7"/>
        <tr r="Z1295" s="7"/>
        <tr r="Z1279" s="7"/>
        <tr r="Z1342" s="7"/>
        <tr r="Z1326" s="7"/>
        <tr r="Z1310" s="7"/>
        <tr r="Z1294" s="7"/>
        <tr r="Z1278" s="7"/>
        <tr r="Z1239" s="7"/>
        <tr r="Z1223" s="7"/>
        <tr r="Z1207" s="7"/>
        <tr r="Z1275" s="7"/>
        <tr r="Z1254" s="7"/>
        <tr r="Z1238" s="7"/>
        <tr r="Z1222" s="7"/>
        <tr r="Z1206" s="7"/>
        <tr r="Z1245" s="7"/>
        <tr r="Z1229" s="7"/>
        <tr r="Z1213" s="7"/>
        <tr r="Z1197" s="7"/>
        <tr r="Z1248" s="7"/>
        <tr r="Z1232" s="7"/>
        <tr r="Z1216" s="7"/>
        <tr r="Z1200" s="7"/>
        <tr r="Z914" s="7"/>
        <tr r="Z1830" s="7"/>
        <tr r="Z1841" s="7"/>
        <tr r="Z1869" s="7"/>
        <tr r="Z1876" s="7"/>
        <tr r="Z1879" s="7"/>
        <tr r="Z1863" s="7"/>
        <tr r="Z1848" s="7"/>
        <tr r="Z1855" s="7"/>
        <tr r="Z1862" s="7"/>
        <tr r="Z1838" s="7"/>
        <tr r="Z1833" s="7"/>
        <tr r="Z1829" s="7"/>
        <tr r="Z1874" s="7"/>
        <tr r="Z1813" s="7"/>
        <tr r="Z1797" s="7"/>
        <tr r="Z1820" s="7"/>
        <tr r="Z1804" s="7"/>
        <tr r="Z1831" s="7"/>
        <tr r="Z1814" s="7"/>
        <tr r="Z1798" s="7"/>
        <tr r="Z1789" s="7"/>
        <tr r="Z1836" s="7"/>
        <tr r="Z1815" s="7"/>
        <tr r="Z1799" s="7"/>
        <tr r="Z1788" s="7"/>
        <tr r="Z1778" s="7"/>
        <tr r="Z1768" s="7"/>
        <tr r="Z1752" s="7"/>
        <tr r="Z1791" s="7"/>
        <tr r="Z1775" s="7"/>
        <tr r="Z1767" s="7"/>
        <tr r="Z1751" s="7"/>
        <tr r="Z1846" s="7"/>
        <tr r="Z1794" s="7"/>
        <tr r="Z1766" s="7"/>
        <tr r="Z1750" s="7"/>
        <tr r="Z1734" s="7"/>
        <tr r="Z1718" s="7"/>
        <tr r="Z1702" s="7"/>
        <tr r="Z1686" s="7"/>
        <tr r="Z1745" s="7"/>
        <tr r="Z1729" s="7"/>
        <tr r="Z1713" s="7"/>
        <tr r="Z1697" s="7"/>
        <tr r="Z1681" s="7"/>
        <tr r="Z1765" s="7"/>
        <tr r="Z1749" s="7"/>
        <tr r="Z1744" s="7"/>
        <tr r="Z1728" s="7"/>
        <tr r="Z1712" s="7"/>
        <tr r="Z1696" s="7"/>
        <tr r="Z1680" s="7"/>
        <tr r="Z1672" s="7"/>
        <tr r="Z1664" s="7"/>
        <tr r="Z1747" s="7"/>
        <tr r="Z1731" s="7"/>
        <tr r="Z1715" s="7"/>
        <tr r="Z1699" s="7"/>
        <tr r="Z1683" s="7"/>
        <tr r="Z1655" s="7"/>
        <tr r="Z1639" s="7"/>
        <tr r="Z1623" s="7"/>
        <tr r="Z1610" s="7"/>
        <tr r="Z1594" s="7"/>
        <tr r="Z1578" s="7"/>
        <tr r="Z1562" s="7"/>
        <tr r="Z1546" s="7"/>
        <tr r="Z1530" s="7"/>
        <tr r="Z1514" s="7"/>
        <tr r="Z1498" s="7"/>
        <tr r="Z1609" s="7"/>
        <tr r="Z1593" s="7"/>
        <tr r="Z1577" s="7"/>
        <tr r="Z1561" s="7"/>
        <tr r="Z1545" s="7"/>
        <tr r="Z1529" s="7"/>
        <tr r="Z1513" s="7"/>
        <tr r="Z1497" s="7"/>
        <tr r="Z1665" s="7"/>
        <tr r="Z1656" s="7"/>
        <tr r="Z1654" s="7"/>
        <tr r="Z1649" s="7"/>
        <tr r="Z1644" s="7"/>
        <tr r="Z1638" s="7"/>
        <tr r="Z1633" s="7"/>
        <tr r="Z1628" s="7"/>
        <tr r="Z1622" s="7"/>
        <tr r="Z1617" s="7"/>
        <tr r="Z1612" s="7"/>
        <tr r="Z1604" s="7"/>
        <tr r="Z1588" s="7"/>
        <tr r="Z1572" s="7"/>
        <tr r="Z1556" s="7"/>
        <tr r="Z1540" s="7"/>
        <tr r="Z1524" s="7"/>
        <tr r="Z1508" s="7"/>
        <tr r="Z1482" s="7"/>
        <tr r="Z1466" s="7"/>
        <tr r="Z1450" s="7"/>
        <tr r="Z1481" s="7"/>
        <tr r="Z1465" s="7"/>
        <tr r="Z1449" s="7"/>
        <tr r="Z1472" s="7"/>
        <tr r="Z1456" s="7"/>
        <tr r="Z1440" s="7"/>
        <tr r="Z1432" s="7"/>
        <tr r="Z1603" s="7"/>
        <tr r="Z1587" s="7"/>
        <tr r="Z1571" s="7"/>
        <tr r="Z1555" s="7"/>
        <tr r="Z1531" s="7"/>
        <tr r="Z1499" s="7"/>
        <tr r="Z1417" s="7"/>
        <tr r="Z1401" s="7"/>
        <tr r="Z1385" s="7"/>
        <tr r="Z1369" s="7"/>
        <tr r="Z1353" s="7"/>
        <tr r="Z1483" s="7"/>
        <tr r="Z1467" s="7"/>
        <tr r="Z1451" s="7"/>
        <tr r="Z1434" s="7"/>
        <tr r="Z1433" s="7"/>
        <tr r="Z1427" s="7"/>
        <tr r="Z1412" s="7"/>
        <tr r="Z1396" s="7"/>
        <tr r="Z1380" s="7"/>
        <tr r="Z1364" s="7"/>
        <tr r="Z1348" s="7"/>
        <tr r="Z1519" s="7"/>
        <tr r="Z1411" s="7"/>
        <tr r="Z1395" s="7"/>
        <tr r="Z1379" s="7"/>
        <tr r="Z1363" s="7"/>
        <tr r="Z1347" s="7"/>
        <tr r="Z1418" s="7"/>
        <tr r="Z1402" s="7"/>
        <tr r="Z1386" s="7"/>
        <tr r="Z1370" s="7"/>
        <tr r="Z1354" s="7"/>
        <tr r="Z1343" s="7"/>
        <tr r="Z1329" s="7"/>
        <tr r="Z1313" s="7"/>
        <tr r="Z1297" s="7"/>
        <tr r="Z1281" s="7"/>
        <tr r="Z1265" s="7"/>
        <tr r="Z1328" s="7"/>
        <tr r="Z1312" s="7"/>
        <tr r="Z1296" s="7"/>
        <tr r="Z1280" s="7"/>
        <tr r="Z1264" s="7"/>
        <tr r="Z1331" s="7"/>
        <tr r="Z1315" s="7"/>
        <tr r="Z1299" s="7"/>
        <tr r="Z1283" s="7"/>
        <tr r="Z1346" s="7"/>
        <tr r="Z1330" s="7"/>
        <tr r="Z1314" s="7"/>
        <tr r="Z1298" s="7"/>
        <tr r="Z1282" s="7"/>
        <tr r="Z1259" s="7"/>
        <tr r="Z1243" s="7"/>
        <tr r="Z1227" s="7"/>
        <tr r="Z1211" s="7"/>
        <tr r="Z1195" s="7"/>
        <tr r="Z1242" s="7"/>
        <tr r="Z1226" s="7"/>
        <tr r="Z1210" s="7"/>
        <tr r="Z1194" s="7"/>
        <tr r="Z1257" s="7"/>
        <tr r="Z1249" s="7"/>
        <tr r="Z1233" s="7"/>
        <tr r="Z1217" s="7"/>
        <tr r="Z1201" s="7"/>
        <tr r="Z1252" s="7"/>
        <tr r="Z1236" s="7"/>
        <tr r="Z1220" s="7"/>
        <tr r="Z1204" s="7"/>
        <tr r="Z1877" s="7"/>
        <tr r="Z1871" s="7"/>
        <tr r="Z1878" s="7"/>
        <tr r="Z1853" s="7"/>
        <tr r="Z1858" s="7"/>
        <tr r="Z1873" s="7"/>
        <tr r="Z1880" s="7"/>
        <tr r="Z1864" s="7"/>
        <tr r="Z1867" s="7"/>
        <tr r="Z1860" s="7"/>
        <tr r="Z1852" s="7"/>
        <tr r="Z1859" s="7"/>
        <tr r="Z1835" s="7"/>
        <tr r="Z1870" s="7"/>
        <tr r="Z1842" s="7"/>
        <tr r="Z1849" s="7"/>
        <tr r="Z1837" s="7"/>
        <tr r="Z1850" s="7"/>
        <tr r="Z1817" s="7"/>
        <tr r="Z1801" s="7"/>
        <tr r="Z1866" s="7"/>
        <tr r="Z1824" s="7"/>
        <tr r="Z1808" s="7"/>
        <tr r="Z1818" s="7"/>
        <tr r="Z1802" s="7"/>
        <tr r="Z1793" s="7"/>
        <tr r="Z1777" s="7"/>
        <tr r="Z1854" s="7"/>
        <tr r="Z1844" s="7"/>
        <tr r="Z1819" s="7"/>
        <tr r="Z1803" s="7"/>
        <tr r="Z1792" s="7"/>
        <tr r="Z1776" s="7"/>
        <tr r="Z1832" s="7"/>
        <tr r="Z1782" s="7"/>
        <tr r="Z1772" s="7"/>
        <tr r="Z1756" s="7"/>
        <tr r="Z1795" s="7"/>
        <tr r="Z1779" s="7"/>
        <tr r="Z1771" s="7"/>
        <tr r="Z1755" s="7"/>
        <tr r="Z1770" s="7"/>
        <tr r="Z1754" s="7"/>
        <tr r="Z1738" s="7"/>
        <tr r="Z1722" s="7"/>
        <tr r="Z1706" s="7"/>
        <tr r="Z1690" s="7"/>
        <tr r="Z1733" s="7"/>
        <tr r="Z1717" s="7"/>
        <tr r="Z1701" s="7"/>
        <tr r="Z1685" s="7"/>
        <tr r="Z1769" s="7"/>
        <tr r="Z1753" s="7"/>
        <tr r="Z1732" s="7"/>
        <tr r="Z1716" s="7"/>
        <tr r="Z1700" s="7"/>
        <tr r="Z1684" s="7"/>
        <tr r="Z1668" s="7"/>
        <tr r="Z1735" s="7"/>
        <tr r="Z1719" s="7"/>
        <tr r="Z1703" s="7"/>
        <tr r="Z1687" s="7"/>
        <tr r="Z1663" s="7"/>
        <tr r="Z1643" s="7"/>
        <tr r="Z1627" s="7"/>
        <tr r="Z1662" s="7"/>
        <tr r="Z1598" s="7"/>
        <tr r="Z1582" s="7"/>
        <tr r="Z1566" s="7"/>
        <tr r="Z1550" s="7"/>
        <tr r="Z1534" s="7"/>
        <tr r="Z1518" s="7"/>
        <tr r="Z1502" s="7"/>
        <tr r="Z1490" s="7"/>
        <tr r="Z1597" s="7"/>
        <tr r="Z1581" s="7"/>
        <tr r="Z1565" s="7"/>
        <tr r="Z1549" s="7"/>
        <tr r="Z1533" s="7"/>
        <tr r="Z1517" s="7"/>
        <tr r="Z1501" s="7"/>
        <tr r="Z1669" s="7"/>
        <tr r="Z1658" s="7"/>
        <tr r="Z1650" s="7"/>
        <tr r="Z1645" s="7"/>
        <tr r="Z1640" s="7"/>
        <tr r="Z1634" s="7"/>
        <tr r="Z1629" s="7"/>
        <tr r="Z1624" s="7"/>
        <tr r="Z1618" s="7"/>
        <tr r="Z1613" s="7"/>
        <tr r="Z1608" s="7"/>
        <tr r="Z1592" s="7"/>
        <tr r="Z1576" s="7"/>
        <tr r="Z1560" s="7"/>
        <tr r="Z1544" s="7"/>
        <tr r="Z1528" s="7"/>
        <tr r="Z1512" s="7"/>
        <tr r="Z1493" s="7"/>
        <tr r="Z1491" s="7"/>
        <tr r="Z1486" s="7"/>
        <tr r="Z1470" s="7"/>
        <tr r="Z1454" s="7"/>
        <tr r="Z1485" s="7"/>
        <tr r="Z1469" s="7"/>
        <tr r="Z1453" s="7"/>
        <tr r="Z1476" s="7"/>
        <tr r="Z1460" s="7"/>
        <tr r="Z1444" s="7"/>
        <tr r="Z1436" s="7"/>
        <tr r="Z1607" s="7"/>
        <tr r="Z1591" s="7"/>
        <tr r="Z1575" s="7"/>
        <tr r="Z1559" s="7"/>
        <tr r="Z1539" s="7"/>
        <tr r="Z1507" s="7"/>
        <tr r="Z1421" s="7"/>
        <tr r="Z1405" s="7"/>
        <tr r="Z1389" s="7"/>
        <tr r="Z1373" s="7"/>
        <tr r="Z1357" s="7"/>
        <tr r="Z1341" s="7"/>
        <tr r="Z1496" s="7"/>
        <tr r="Z1487" s="7"/>
        <tr r="Z1471" s="7"/>
        <tr r="Z1455" s="7"/>
        <tr r="Z1439" s="7"/>
        <tr r="Z1430" s="7"/>
        <tr r="Z1429" s="7"/>
        <tr r="Z1416" s="7"/>
        <tr r="Z1400" s="7"/>
        <tr r="Z1384" s="7"/>
        <tr r="Z1368" s="7"/>
        <tr r="Z1352" s="7"/>
        <tr r="Z1527" s="7"/>
        <tr r="Z1415" s="7"/>
        <tr r="Z1399" s="7"/>
        <tr r="Z1383" s="7"/>
        <tr r="Z1367" s="7"/>
        <tr r="Z1351" s="7"/>
        <tr r="Z1422" s="7"/>
        <tr r="Z1406" s="7"/>
        <tr r="Z1390" s="7"/>
        <tr r="Z1374" s="7"/>
        <tr r="Z1358" s="7"/>
        <tr r="Z1333" s="7"/>
        <tr r="Z1317" s="7"/>
        <tr r="Z1301" s="7"/>
        <tr r="Z1285" s="7"/>
        <tr r="Z1269" s="7"/>
        <tr r="Z1332" s="7"/>
        <tr r="Z1316" s="7"/>
        <tr r="Z1300" s="7"/>
        <tr r="Z1284" s="7"/>
        <tr r="Z1335" s="7"/>
        <tr r="Z1319" s="7"/>
        <tr r="Z1303" s="7"/>
        <tr r="Z1287" s="7"/>
        <tr r="Z1334" s="7"/>
        <tr r="Z1318" s="7"/>
        <tr r="Z1302" s="7"/>
        <tr r="Z1286" s="7"/>
        <tr r="Z1270" s="7"/>
        <tr r="Z1263" s="7"/>
        <tr r="Z1255" s="7"/>
        <tr r="Z1247" s="7"/>
        <tr r="Z1231" s="7"/>
        <tr r="Z1215" s="7"/>
        <tr r="Z1199" s="7"/>
        <tr r="Z1246" s="7"/>
        <tr r="Z1230" s="7"/>
        <tr r="Z1214" s="7"/>
        <tr r="Z1198" s="7"/>
        <tr r="Z1258" s="7"/>
        <tr r="Z1253" s="7"/>
        <tr r="Z1237" s="7"/>
        <tr r="Z1221" s="7"/>
        <tr r="Z1205" s="7"/>
        <tr r="Z1262" s="7"/>
        <tr r="Z1240" s="7"/>
        <tr r="Z1224" s="7"/>
        <tr r="Z1208" s="7"/>
        <tr r="Z1192" s="7"/>
        <tr r="Z1861" s="7"/>
        <tr r="Z1868" s="7"/>
        <tr r="Z1856" s="7"/>
        <tr r="Z1839" s="7"/>
        <tr r="Z1805" s="7"/>
        <tr r="Z1828" s="7"/>
        <tr r="Z1812" s="7"/>
        <tr r="Z1822" s="7"/>
        <tr r="Z1806" s="7"/>
        <tr r="Z1781" s="7"/>
        <tr r="Z1823" s="7"/>
        <tr r="Z1807" s="7"/>
        <tr r="Z1780" s="7"/>
        <tr r="Z1845" s="7"/>
        <tr r="Z1786" s="7"/>
        <tr r="Z1760" s="7"/>
        <tr r="Z1783" s="7"/>
        <tr r="Z1759" s="7"/>
        <tr r="Z1758" s="7"/>
        <tr r="Z1742" s="7"/>
        <tr r="Z1726" s="7"/>
        <tr r="Z1710" s="7"/>
        <tr r="Z1694" s="7"/>
        <tr r="Z1678" s="7"/>
        <tr r="Z1737" s="7"/>
        <tr r="Z1721" s="7"/>
        <tr r="Z1705" s="7"/>
        <tr r="Z1689" s="7"/>
        <tr r="Z1673" s="7"/>
        <tr r="Z1773" s="7"/>
        <tr r="Z1757" s="7"/>
        <tr r="Z1736" s="7"/>
        <tr r="Z1720" s="7"/>
        <tr r="Z1704" s="7"/>
        <tr r="Z1688" s="7"/>
        <tr r="Z1739" s="7"/>
        <tr r="Z1723" s="7"/>
        <tr r="Z1707" s="7"/>
        <tr r="Z1691" s="7"/>
        <tr r="Z1675" s="7"/>
        <tr r="Z1667" s="7"/>
        <tr r="Z1659" s="7"/>
        <tr r="Z1647" s="7"/>
        <tr r="Z1631" s="7"/>
        <tr r="Z1615" s="7"/>
        <tr r="Z1674" s="7"/>
        <tr r="Z1666" s="7"/>
        <tr r="Z1602" s="7"/>
        <tr r="Z1586" s="7"/>
        <tr r="Z1570" s="7"/>
        <tr r="Z1554" s="7"/>
        <tr r="Z1538" s="7"/>
        <tr r="Z1522" s="7"/>
        <tr r="Z1506" s="7"/>
        <tr r="Z1601" s="7"/>
        <tr r="Z1585" s="7"/>
        <tr r="Z1569" s="7"/>
        <tr r="Z1553" s="7"/>
        <tr r="Z1537" s="7"/>
        <tr r="Z1521" s="7"/>
        <tr r="Z1505" s="7"/>
        <tr r="Z1652" s="7"/>
        <tr r="Z1646" s="7"/>
        <tr r="Z1641" s="7"/>
        <tr r="Z1636" s="7"/>
        <tr r="Z1630" s="7"/>
        <tr r="Z1625" s="7"/>
        <tr r="Z1620" s="7"/>
        <tr r="Z1614" s="7"/>
        <tr r="Z1596" s="7"/>
        <tr r="Z1580" s="7"/>
        <tr r="Z1564" s="7"/>
        <tr r="Z1548" s="7"/>
        <tr r="Z1532" s="7"/>
        <tr r="Z1516" s="7"/>
        <tr r="Z1500" s="7"/>
        <tr r="Z1492" s="7"/>
        <tr r="Z1489" s="7"/>
        <tr r="Z1474" s="7"/>
        <tr r="Z1458" s="7"/>
        <tr r="Z1442" s="7"/>
        <tr r="Z1473" s="7"/>
        <tr r="Z1457" s="7"/>
        <tr r="Z1441" s="7"/>
        <tr r="Z1488" s="7"/>
        <tr r="Z1480" s="7"/>
        <tr r="Z1464" s="7"/>
        <tr r="Z1448" s="7"/>
        <tr r="Z1611" s="7"/>
        <tr r="Z1595" s="7"/>
        <tr r="Z1579" s="7"/>
        <tr r="Z1563" s="7"/>
        <tr r="Z1547" s="7"/>
        <tr r="Z1515" s="7"/>
        <tr r="Z1409" s="7"/>
        <tr r="Z1393" s="7"/>
        <tr r="Z1377" s="7"/>
        <tr r="Z1361" s="7"/>
        <tr r="Z1345" s="7"/>
        <tr r="Z1475" s="7"/>
        <tr r="Z1459" s="7"/>
        <tr r="Z1443" s="7"/>
        <tr r="Z1435" s="7"/>
        <tr r="Z1426" s="7"/>
        <tr r="Z1425" s="7"/>
        <tr r="Z1420" s="7"/>
        <tr r="Z1404" s="7"/>
        <tr r="Z1388" s="7"/>
        <tr r="Z1372" s="7"/>
        <tr r="Z1356" s="7"/>
        <tr r="Z1340" s="7"/>
        <tr r="Z1535" s="7"/>
        <tr r="Z1503" s="7"/>
        <tr r="Z1419" s="7"/>
        <tr r="Z1403" s="7"/>
        <tr r="Z1387" s="7"/>
        <tr r="Z1371" s="7"/>
        <tr r="Z1355" s="7"/>
        <tr r="Z1410" s="7"/>
        <tr r="Z1394" s="7"/>
        <tr r="Z1378" s="7"/>
        <tr r="Z1362" s="7"/>
        <tr r="Z1337" s="7"/>
        <tr r="Z1321" s="7"/>
        <tr r="Z1305" s="7"/>
        <tr r="Z1289" s="7"/>
        <tr r="Z1273" s="7"/>
        <tr r="Z1336" s="7"/>
        <tr r="Z1320" s="7"/>
        <tr r="Z1304" s="7"/>
        <tr r="Z1288" s="7"/>
        <tr r="Z1272" s="7"/>
        <tr r="Z1268" s="7"/>
        <tr r="Z1323" s="7"/>
        <tr r="Z1307" s="7"/>
        <tr r="Z1291" s="7"/>
        <tr r="Z1338" s="7"/>
        <tr r="Z1322" s="7"/>
        <tr r="Z1306" s="7"/>
        <tr r="Z1290" s="7"/>
        <tr r="Z1274" s="7"/>
        <tr r="Z1267" s="7"/>
        <tr r="Z1251" s="7"/>
        <tr r="Z1235" s="7"/>
        <tr r="Z1219" s="7"/>
        <tr r="Z1203" s="7"/>
        <tr r="Z1271" s="7"/>
        <tr r="Z1250" s="7"/>
        <tr r="Z1234" s="7"/>
        <tr r="Z1218" s="7"/>
        <tr r="Z1202" s="7"/>
        <tr r="Z1241" s="7"/>
        <tr r="Z1225" s="7"/>
        <tr r="Z1209" s="7"/>
        <tr r="Z1193" s="7"/>
        <tr r="Z1266" s="7"/>
        <tr r="Z1244" s="7"/>
        <tr r="Z1228" s="7"/>
        <tr r="Z1212" s="7"/>
        <tr r="Z1196" s="7"/>
      </tp>
    </main>
    <main first="rtdsrv.662c26bade854d00aebc6010f8a2e03a">
      <tp t="s">
        <v>表示銘柄数超過</v>
        <stp/>
        <stp>Market</stp>
        <stp>STOCK</stp>
        <stp>35210.T</stp>
        <stp>出来高加重平均</stp>
        <tr r="T303" s="7"/>
      </tp>
      <tp t="s">
        <v>表示銘柄数超過</v>
        <stp/>
        <stp>Market</stp>
        <stp>STOCK</stp>
        <stp>35360.T</stp>
        <stp>出来高加重平均</stp>
        <tr r="T304" s="7"/>
      </tp>
      <tp t="s">
        <v>表示銘柄数超過</v>
        <stp/>
        <stp>Market</stp>
        <stp>STOCK</stp>
        <stp>35430.T</stp>
        <stp>出来高加重平均</stp>
        <tr r="T306" s="7"/>
      </tp>
      <tp t="s">
        <v>表示銘柄数超過</v>
        <stp/>
        <stp>Market</stp>
        <stp>STOCK</stp>
        <stp>35410.T</stp>
        <stp>出来高加重平均</stp>
        <tr r="T305" s="7"/>
      </tp>
      <tp t="s">
        <v>表示銘柄数超過</v>
        <stp/>
        <stp>Market</stp>
        <stp>STOCK</stp>
        <stp>35530.T</stp>
        <stp>出来高加重平均</stp>
        <tr r="T308" s="7"/>
      </tp>
      <tp t="s">
        <v>表示銘柄数超過</v>
        <stp/>
        <stp>Market</stp>
        <stp>STOCK</stp>
        <stp>35510.T</stp>
        <stp>出来高加重平均</stp>
        <tr r="T307" s="7"/>
      </tp>
      <tp t="s">
        <v>表示銘柄数超過</v>
        <stp/>
        <stp>Market</stp>
        <stp>STOCK</stp>
        <stp>35610.T</stp>
        <stp>出来高加重平均</stp>
        <tr r="T309" s="7"/>
      </tp>
      <tp t="s">
        <v>表示銘柄数超過</v>
        <stp/>
        <stp>Market</stp>
        <stp>STOCK</stp>
        <stp>35800.T</stp>
        <stp>出来高加重平均</stp>
        <tr r="T310" s="7"/>
      </tp>
      <tp t="s">
        <v>表示銘柄数超過</v>
        <stp/>
        <stp>Market</stp>
        <stp>STOCK</stp>
        <stp>34070.T</stp>
        <stp>出来高加重平均</stp>
        <tr r="T295" s="7"/>
      </tp>
      <tp t="s">
        <v>表示銘柄数超過</v>
        <stp/>
        <stp>Market</stp>
        <stp>STOCK</stp>
        <stp>34010.T</stp>
        <stp>出来高加重平均</stp>
        <tr r="T294" s="7"/>
      </tp>
      <tp t="s">
        <v>表示銘柄数超過</v>
        <stp/>
        <stp>Market</stp>
        <stp>STOCK</stp>
        <stp>34090.T</stp>
        <stp>出来高加重平均</stp>
        <tr r="T296" s="7"/>
      </tp>
      <tp t="s">
        <v>表示銘柄数超過</v>
        <stp/>
        <stp>Market</stp>
        <stp>STOCK</stp>
        <stp>34220.T</stp>
        <stp>出来高加重平均</stp>
        <tr r="T297" s="7"/>
      </tp>
      <tp t="s">
        <v>表示銘柄数超過</v>
        <stp/>
        <stp>Market</stp>
        <stp>STOCK</stp>
        <stp>34360.T</stp>
        <stp>出来高加重平均</stp>
        <tr r="T299" s="7"/>
      </tp>
      <tp t="s">
        <v>表示銘柄数超過</v>
        <stp/>
        <stp>Market</stp>
        <stp>STOCK</stp>
        <stp>34330.T</stp>
        <stp>出来高加重平均</stp>
        <tr r="T298" s="7"/>
      </tp>
      <tp t="s">
        <v>表示銘柄数超過</v>
        <stp/>
        <stp>Market</stp>
        <stp>STOCK</stp>
        <stp>34540.T</stp>
        <stp>出来高加重平均</stp>
        <tr r="T300" s="7"/>
      </tp>
      <tp t="s">
        <v>表示銘柄数超過</v>
        <stp/>
        <stp>Market</stp>
        <stp>STOCK</stp>
        <stp>34640.T</stp>
        <stp>出来高加重平均</stp>
        <tr r="T302" s="7"/>
      </tp>
      <tp t="s">
        <v>表示銘柄数超過</v>
        <stp/>
        <stp>Market</stp>
        <stp>STOCK</stp>
        <stp>34610.T</stp>
        <stp>出来高加重平均</stp>
        <tr r="T301" s="7"/>
      </tp>
      <tp t="s">
        <v>表示銘柄数超過</v>
        <stp/>
        <stp>Market</stp>
        <stp>STOCK</stp>
        <stp>37100.T</stp>
        <stp>出来高加重平均</stp>
        <tr r="T344" s="7"/>
      </tp>
      <tp t="s">
        <v>表示銘柄数超過</v>
        <stp/>
        <stp>Market</stp>
        <stp>STOCK</stp>
        <stp>37190.T</stp>
        <stp>出来高加重平均</stp>
        <tr r="T345" s="7"/>
      </tp>
      <tp t="s">
        <v>表示銘柄数超過</v>
        <stp/>
        <stp>Market</stp>
        <stp>STOCK</stp>
        <stp>37270.T</stp>
        <stp>出来高加重平均</stp>
        <tr r="T347" s="7"/>
      </tp>
      <tp t="s">
        <v>表示銘柄数超過</v>
        <stp/>
        <stp>Market</stp>
        <stp>STOCK</stp>
        <stp>37230.T</stp>
        <stp>出来高加重平均</stp>
        <tr r="T346" s="7"/>
      </tp>
      <tp t="s">
        <v>表示銘柄数超過</v>
        <stp/>
        <stp>Market</stp>
        <stp>STOCK</stp>
        <stp>37380.T</stp>
        <stp>出来高加重平均</stp>
        <tr r="T348" s="7"/>
      </tp>
      <tp t="s">
        <v>表示銘柄数超過</v>
        <stp/>
        <stp>Market</stp>
        <stp>STOCK</stp>
        <stp>37470.T</stp>
        <stp>出来高加重平均</stp>
        <tr r="T350" s="7"/>
      </tp>
      <tp t="s">
        <v>表示銘柄数超過</v>
        <stp/>
        <stp>Market</stp>
        <stp>STOCK</stp>
        <stp>37410.T</stp>
        <stp>出来高加重平均</stp>
        <tr r="T349" s="7"/>
      </tp>
      <tp t="s">
        <v>表示銘柄数超過</v>
        <stp/>
        <stp>Market</stp>
        <stp>STOCK</stp>
        <stp>37580.T</stp>
        <stp>出来高加重平均</stp>
        <tr r="T351" s="7"/>
      </tp>
      <tp t="s">
        <v>表示銘柄数超過</v>
        <stp/>
        <stp>Market</stp>
        <stp>STOCK</stp>
        <stp>37600.T</stp>
        <stp>出来高加重平均</stp>
        <tr r="T352" s="7"/>
      </tp>
      <tp t="s">
        <v>表示銘柄数超過</v>
        <stp/>
        <stp>Market</stp>
        <stp>STOCK</stp>
        <stp>37770.T</stp>
        <stp>出来高加重平均</stp>
        <tr r="T356" s="7"/>
      </tp>
      <tp t="s">
        <v>表示銘柄数超過</v>
        <stp/>
        <stp>Market</stp>
        <stp>STOCK</stp>
        <stp>37760.T</stp>
        <stp>出来高加重平均</stp>
        <tr r="T355" s="7"/>
      </tp>
      <tp t="s">
        <v>表示銘柄数超過</v>
        <stp/>
        <stp>Market</stp>
        <stp>STOCK</stp>
        <stp>37730.T</stp>
        <stp>出来高加重平均</stp>
        <tr r="T354" s="7"/>
      </tp>
      <tp t="s">
        <v>表示銘柄数超過</v>
        <stp/>
        <stp>Market</stp>
        <stp>STOCK</stp>
        <stp>37700.T</stp>
        <stp>出来高加重平均</stp>
        <tr r="T353" s="7"/>
      </tp>
      <tp t="s">
        <v>表示銘柄数超過</v>
        <stp/>
        <stp>Market</stp>
        <stp>STOCK</stp>
        <stp>37790.T</stp>
        <stp>出来高加重平均</stp>
        <tr r="T358" s="7"/>
      </tp>
      <tp t="s">
        <v>表示銘柄数超過</v>
        <stp/>
        <stp>Market</stp>
        <stp>STOCK</stp>
        <stp>37780.T</stp>
        <stp>出来高加重平均</stp>
        <tr r="T357" s="7"/>
      </tp>
      <tp t="s">
        <v>表示銘柄数超過</v>
        <stp/>
        <stp>Market</stp>
        <stp>STOCK</stp>
        <stp>37840.T</stp>
        <stp>出来高加重平均</stp>
        <tr r="T359" s="7"/>
      </tp>
      <tp t="s">
        <v>表示銘柄数超過</v>
        <stp/>
        <stp>Market</stp>
        <stp>STOCK</stp>
        <stp>37930.T</stp>
        <stp>出来高加重平均</stp>
        <tr r="T360" s="7"/>
      </tp>
      <tp t="s">
        <v>表示銘柄数超過</v>
        <stp/>
        <stp>Market</stp>
        <stp>STOCK</stp>
        <stp>36070.T</stp>
        <stp>出来高加重平均</stp>
        <tr r="T311" s="7"/>
      </tp>
      <tp t="s">
        <v>表示銘柄数超過</v>
        <stp/>
        <stp>Market</stp>
        <stp>STOCK</stp>
        <stp>36270.T</stp>
        <stp>出来高加重平均</stp>
        <tr r="T315" s="7"/>
      </tp>
      <tp t="s">
        <v>表示銘柄数超過</v>
        <stp/>
        <stp>Market</stp>
        <stp>STOCK</stp>
        <stp>36260.T</stp>
        <stp>出来高加重平均</stp>
        <tr r="T314" s="7"/>
      </tp>
      <tp t="s">
        <v>表示銘柄数超過</v>
        <stp/>
        <stp>Market</stp>
        <stp>STOCK</stp>
        <stp>36250.T</stp>
        <stp>出来高加重平均</stp>
        <tr r="T313" s="7"/>
      </tp>
      <tp t="s">
        <v>表示銘柄数超過</v>
        <stp/>
        <stp>Market</stp>
        <stp>STOCK</stp>
        <stp>36240.T</stp>
        <stp>出来高加重平均</stp>
        <tr r="T312" s="7"/>
      </tp>
      <tp t="s">
        <v>表示銘柄数超過</v>
        <stp/>
        <stp>Market</stp>
        <stp>STOCK</stp>
        <stp>36350.T</stp>
        <stp>出来高加重平均</stp>
        <tr r="T317" s="7"/>
      </tp>
      <tp t="s">
        <v>表示銘柄数超過</v>
        <stp/>
        <stp>Market</stp>
        <stp>STOCK</stp>
        <stp>36320.T</stp>
        <stp>出来高加重平均</stp>
        <tr r="T316" s="7"/>
      </tp>
      <tp t="s">
        <v>表示銘柄数超過</v>
        <stp/>
        <stp>Market</stp>
        <stp>STOCK</stp>
        <stp>36390.T</stp>
        <stp>出来高加重平均</stp>
        <tr r="T318" s="7"/>
      </tp>
      <tp t="s">
        <v>表示銘柄数超過</v>
        <stp/>
        <stp>Market</stp>
        <stp>STOCK</stp>
        <stp>36470.T</stp>
        <stp>出来高加重平均</stp>
        <tr r="T320" s="7"/>
      </tp>
      <tp t="s">
        <v>表示銘柄数超過</v>
        <stp/>
        <stp>Market</stp>
        <stp>STOCK</stp>
        <stp>36450.T</stp>
        <stp>出来高加重平均</stp>
        <tr r="T319" s="7"/>
      </tp>
      <tp t="s">
        <v>表示銘柄数超過</v>
        <stp/>
        <stp>Market</stp>
        <stp>STOCK</stp>
        <stp>36490.T</stp>
        <stp>出来高加重平均</stp>
        <tr r="T321" s="7"/>
      </tp>
      <tp t="s">
        <v>表示銘柄数超過</v>
        <stp/>
        <stp>Market</stp>
        <stp>STOCK</stp>
        <stp>36560.T</stp>
        <stp>出来高加重平均</stp>
        <tr r="T324" s="7"/>
      </tp>
      <tp t="s">
        <v>表示銘柄数超過</v>
        <stp/>
        <stp>Market</stp>
        <stp>STOCK</stp>
        <stp>36550.T</stp>
        <stp>出来高加重平均</stp>
        <tr r="T323" s="7"/>
      </tp>
      <tp t="s">
        <v>表示銘柄数超過</v>
        <stp/>
        <stp>Market</stp>
        <stp>STOCK</stp>
        <stp>36520.T</stp>
        <stp>出来高加重平均</stp>
        <tr r="T322" s="7"/>
      </tp>
      <tp t="s">
        <v>表示銘柄数超過</v>
        <stp/>
        <stp>Market</stp>
        <stp>STOCK</stp>
        <stp>36670.T</stp>
        <stp>出来高加重平均</stp>
        <tr r="T330" s="7"/>
      </tp>
      <tp t="s">
        <v>表示銘柄数超過</v>
        <stp/>
        <stp>Market</stp>
        <stp>STOCK</stp>
        <stp>36660.T</stp>
        <stp>出来高加重平均</stp>
        <tr r="T329" s="7"/>
      </tp>
      <tp t="s">
        <v>表示銘柄数超過</v>
        <stp/>
        <stp>Market</stp>
        <stp>STOCK</stp>
        <stp>36650.T</stp>
        <stp>出来高加重平均</stp>
        <tr r="T328" s="7"/>
      </tp>
      <tp t="s">
        <v>表示銘柄数超過</v>
        <stp/>
        <stp>Market</stp>
        <stp>STOCK</stp>
        <stp>36640.T</stp>
        <stp>出来高加重平均</stp>
        <tr r="T327" s="7"/>
      </tp>
      <tp t="s">
        <v>表示銘柄数超過</v>
        <stp/>
        <stp>Market</stp>
        <stp>STOCK</stp>
        <stp>36630.T</stp>
        <stp>出来高加重平均</stp>
        <tr r="T326" s="7"/>
      </tp>
      <tp t="s">
        <v>表示銘柄数超過</v>
        <stp/>
        <stp>Market</stp>
        <stp>STOCK</stp>
        <stp>36600.T</stp>
        <stp>出来高加重平均</stp>
        <tr r="T325" s="7"/>
      </tp>
      <tp t="s">
        <v>表示銘柄数超過</v>
        <stp/>
        <stp>Market</stp>
        <stp>STOCK</stp>
        <stp>36680.T</stp>
        <stp>出来高加重平均</stp>
        <tr r="T331" s="7"/>
      </tp>
      <tp t="s">
        <v>表示銘柄数超過</v>
        <stp/>
        <stp>Market</stp>
        <stp>STOCK</stp>
        <stp>36770.T</stp>
        <stp>出来高加重平均</stp>
        <tr r="T335" s="7"/>
      </tp>
      <tp t="s">
        <v>表示銘柄数超過</v>
        <stp/>
        <stp>Market</stp>
        <stp>STOCK</stp>
        <stp>36760.T</stp>
        <stp>出来高加重平均</stp>
        <tr r="T334" s="7"/>
      </tp>
      <tp t="s">
        <v>表示銘柄数超過</v>
        <stp/>
        <stp>Market</stp>
        <stp>STOCK</stp>
        <stp>36740.T</stp>
        <stp>出来高加重平均</stp>
        <tr r="T333" s="7"/>
      </tp>
      <tp t="s">
        <v>表示銘柄数超過</v>
        <stp/>
        <stp>Market</stp>
        <stp>STOCK</stp>
        <stp>36720.T</stp>
        <stp>出来高加重平均</stp>
        <tr r="T332" s="7"/>
      </tp>
      <tp t="s">
        <v>表示銘柄数超過</v>
        <stp/>
        <stp>Market</stp>
        <stp>STOCK</stp>
        <stp>36860.T</stp>
        <stp>出来高加重平均</stp>
        <tr r="T340" s="7"/>
      </tp>
      <tp t="s">
        <v>表示銘柄数超過</v>
        <stp/>
        <stp>Market</stp>
        <stp>STOCK</stp>
        <stp>36830.T</stp>
        <stp>出来高加重平均</stp>
        <tr r="T339" s="7"/>
      </tp>
      <tp t="s">
        <v>表示銘柄数超過</v>
        <stp/>
        <stp>Market</stp>
        <stp>STOCK</stp>
        <stp>36820.T</stp>
        <stp>出来高加重平均</stp>
        <tr r="T338" s="7"/>
      </tp>
      <tp t="s">
        <v>表示銘柄数超過</v>
        <stp/>
        <stp>Market</stp>
        <stp>STOCK</stp>
        <stp>36810.T</stp>
        <stp>出来高加重平均</stp>
        <tr r="T337" s="7"/>
      </tp>
      <tp t="s">
        <v>表示銘柄数超過</v>
        <stp/>
        <stp>Market</stp>
        <stp>STOCK</stp>
        <stp>36800.T</stp>
        <stp>出来高加重平均</stp>
        <tr r="T336" s="7"/>
      </tp>
      <tp t="s">
        <v>表示銘柄数超過</v>
        <stp/>
        <stp>Market</stp>
        <stp>STOCK</stp>
        <stp>36960.T</stp>
        <stp>出来高加重平均</stp>
        <tr r="T342" s="7"/>
      </tp>
      <tp t="s">
        <v>表示銘柄数超過</v>
        <stp/>
        <stp>Market</stp>
        <stp>STOCK</stp>
        <stp>36910.T</stp>
        <stp>出来高加重平均</stp>
        <tr r="T341" s="7"/>
      </tp>
      <tp t="s">
        <v>表示銘柄数超過</v>
        <stp/>
        <stp>Market</stp>
        <stp>STOCK</stp>
        <stp>36980.T</stp>
        <stp>出来高加重平均</stp>
        <tr r="T343" s="7"/>
      </tp>
      <tp t="s">
        <v>表示銘柄数超過</v>
        <stp/>
        <stp>Market</stp>
        <stp>STOCK</stp>
        <stp>31030.T</stp>
        <stp>出来高加重平均</stp>
        <tr r="T242" s="7"/>
      </tp>
      <tp t="s">
        <v>表示銘柄数超過</v>
        <stp/>
        <stp>Market</stp>
        <stp>STOCK</stp>
        <stp>31010.T</stp>
        <stp>出来高加重平均</stp>
        <tr r="T241" s="7"/>
      </tp>
      <tp t="s">
        <v>表示銘柄数超過</v>
        <stp/>
        <stp>Market</stp>
        <stp>STOCK</stp>
        <stp>31130.T</stp>
        <stp>出来高加重平均</stp>
        <tr r="T243" s="7"/>
      </tp>
      <tp t="s">
        <v>表示銘柄数超過</v>
        <stp/>
        <stp>Market</stp>
        <stp>STOCK</stp>
        <stp>31210.T</stp>
        <stp>出来高加重平均</stp>
        <tr r="T244" s="7"/>
      </tp>
      <tp t="s">
        <v>表示銘柄数超過</v>
        <stp/>
        <stp>Market</stp>
        <stp>STOCK</stp>
        <stp>31370.T</stp>
        <stp>出来高加重平均</stp>
        <tr r="T246" s="7"/>
      </tp>
      <tp t="s">
        <v>表示銘柄数超過</v>
        <stp/>
        <stp>Market</stp>
        <stp>STOCK</stp>
        <stp>31330.T</stp>
        <stp>出来高加重平均</stp>
        <tr r="T245" s="7"/>
      </tp>
      <tp t="s">
        <v>表示銘柄数超過</v>
        <stp/>
        <stp>Market</stp>
        <stp>STOCK</stp>
        <stp>31410.T</stp>
        <stp>出来高加重平均</stp>
        <tr r="T247" s="7"/>
      </tp>
      <tp t="s">
        <v>表示銘柄数超過</v>
        <stp/>
        <stp>Market</stp>
        <stp>STOCK</stp>
        <stp>31540.T</stp>
        <stp>出来高加重平均</stp>
        <tr r="T248" s="7"/>
      </tp>
      <tp t="s">
        <v>表示銘柄数超過</v>
        <stp/>
        <stp>Market</stp>
        <stp>STOCK</stp>
        <stp>31590.T</stp>
        <stp>出来高加重平均</stp>
        <tr r="T249" s="7"/>
      </tp>
      <tp t="s">
        <v>表示銘柄数超過</v>
        <stp/>
        <stp>Market</stp>
        <stp>STOCK</stp>
        <stp>31760.T</stp>
        <stp>出来高加重平均</stp>
        <tr r="T250" s="7"/>
      </tp>
      <tp t="s">
        <v>表示銘柄数超過</v>
        <stp/>
        <stp>Market</stp>
        <stp>STOCK</stp>
        <stp>31870.T</stp>
        <stp>出来高加重平均</stp>
        <tr r="T254" s="7"/>
      </tp>
      <tp t="s">
        <v>表示銘柄数超過</v>
        <stp/>
        <stp>Market</stp>
        <stp>STOCK</stp>
        <stp>31860.T</stp>
        <stp>出来高加重平均</stp>
        <tr r="T253" s="7"/>
      </tp>
      <tp t="s">
        <v>表示銘柄数超過</v>
        <stp/>
        <stp>Market</stp>
        <stp>STOCK</stp>
        <stp>31850.T</stp>
        <stp>出来高加重平均</stp>
        <tr r="T252" s="7"/>
      </tp>
      <tp t="s">
        <v>表示銘柄数超過</v>
        <stp/>
        <stp>Market</stp>
        <stp>STOCK</stp>
        <stp>31820.T</stp>
        <stp>出来高加重平均</stp>
        <tr r="T251" s="7"/>
      </tp>
      <tp t="s">
        <v>表示銘柄数超過</v>
        <stp/>
        <stp>Market</stp>
        <stp>STOCK</stp>
        <stp>31890.T</stp>
        <stp>出来高加重平均</stp>
        <tr r="T255" s="7"/>
      </tp>
      <tp t="s">
        <v>表示銘柄数超過</v>
        <stp/>
        <stp>Market</stp>
        <stp>STOCK</stp>
        <stp>31970.T</stp>
        <stp>出来高加重平均</stp>
        <tr r="T257" s="7"/>
      </tp>
      <tp t="s">
        <v>表示銘柄数超過</v>
        <stp/>
        <stp>Market</stp>
        <stp>STOCK</stp>
        <stp>31920.T</stp>
        <stp>出来高加重平均</stp>
        <tr r="T256" s="7"/>
      </tp>
      <tp t="s">
        <v>表示銘柄数超過</v>
        <stp/>
        <stp>Market</stp>
        <stp>STOCK</stp>
        <stp>30040.T</stp>
        <stp>出来高加重平均</stp>
        <tr r="T222" s="7"/>
      </tp>
      <tp t="s">
        <v>表示銘柄数超過</v>
        <stp/>
        <stp>Market</stp>
        <stp>STOCK</stp>
        <stp>30030.T</stp>
        <stp>出来高加重平均</stp>
        <tr r="T221" s="7"/>
      </tp>
      <tp t="s">
        <v>表示銘柄数超過</v>
        <stp/>
        <stp>Market</stp>
        <stp>STOCK</stp>
        <stp>30100.T</stp>
        <stp>出来高加重平均</stp>
        <tr r="T223" s="7"/>
      </tp>
      <tp t="s">
        <v>表示銘柄数超過</v>
        <stp/>
        <stp>Market</stp>
        <stp>STOCK</stp>
        <stp>30210.T</stp>
        <stp>出来高加重平均</stp>
        <tr r="T224" s="7"/>
      </tp>
      <tp t="s">
        <v>表示銘柄数超過</v>
        <stp/>
        <stp>Market</stp>
        <stp>STOCK</stp>
        <stp>30360.T</stp>
        <stp>出来高加重平均</stp>
        <tr r="T229" s="7"/>
      </tp>
      <tp t="s">
        <v>表示銘柄数超過</v>
        <stp/>
        <stp>Market</stp>
        <stp>STOCK</stp>
        <stp>30350.T</stp>
        <stp>出来高加重平均</stp>
        <tr r="T228" s="7"/>
      </tp>
      <tp t="s">
        <v>表示銘柄数超過</v>
        <stp/>
        <stp>Market</stp>
        <stp>STOCK</stp>
        <stp>30340.T</stp>
        <stp>出来高加重平均</stp>
        <tr r="T227" s="7"/>
      </tp>
      <tp t="s">
        <v>表示銘柄数超過</v>
        <stp/>
        <stp>Market</stp>
        <stp>STOCK</stp>
        <stp>30310.T</stp>
        <stp>出来高加重平均</stp>
        <tr r="T226" s="7"/>
      </tp>
      <tp t="s">
        <v>表示銘柄数超過</v>
        <stp/>
        <stp>Market</stp>
        <stp>STOCK</stp>
        <stp>30300.T</stp>
        <stp>出来高加重平均</stp>
        <tr r="T225" s="7"/>
      </tp>
      <tp t="s">
        <v>表示銘柄数超過</v>
        <stp/>
        <stp>Market</stp>
        <stp>STOCK</stp>
        <stp>30380.T</stp>
        <stp>出来高加重平均</stp>
        <tr r="T230" s="7"/>
      </tp>
      <tp t="s">
        <v>表示銘柄数超過</v>
        <stp/>
        <stp>Market</stp>
        <stp>STOCK</stp>
        <stp>30410.T</stp>
        <stp>出来高加重平均</stp>
        <tr r="T231" s="7"/>
      </tp>
      <tp t="s">
        <v>表示銘柄数超過</v>
        <stp/>
        <stp>Market</stp>
        <stp>STOCK</stp>
        <stp>30530.T</stp>
        <stp>出来高加重平均</stp>
        <tr r="T233" s="7"/>
      </tp>
      <tp t="s">
        <v>表示銘柄数超過</v>
        <stp/>
        <stp>Market</stp>
        <stp>STOCK</stp>
        <stp>30500.T</stp>
        <stp>出来高加重平均</stp>
        <tr r="T232" s="7"/>
      </tp>
      <tp t="s">
        <v>表示銘柄数超過</v>
        <stp/>
        <stp>Market</stp>
        <stp>STOCK</stp>
        <stp>30640.T</stp>
        <stp>出来高加重平均</stp>
        <tr r="T234" s="7"/>
      </tp>
      <tp t="s">
        <v>表示銘柄数超過</v>
        <stp/>
        <stp>Market</stp>
        <stp>STOCK</stp>
        <stp>30690.T</stp>
        <stp>出来高加重平均</stp>
        <tr r="T235" s="7"/>
      </tp>
      <tp t="s">
        <v>表示銘柄数超過</v>
        <stp/>
        <stp>Market</stp>
        <stp>STOCK</stp>
        <stp>30710.T</stp>
        <stp>出来高加重平均</stp>
        <tr r="T237" s="7"/>
      </tp>
      <tp t="s">
        <v>表示銘柄数超過</v>
        <stp/>
        <stp>Market</stp>
        <stp>STOCK</stp>
        <stp>30700.T</stp>
        <stp>出来高加重平均</stp>
        <tr r="T236" s="7"/>
      </tp>
      <tp t="s">
        <v>表示銘柄数超過</v>
        <stp/>
        <stp>Market</stp>
        <stp>STOCK</stp>
        <stp>30860.T</stp>
        <stp>出来高加重平均</stp>
        <tr r="T239" s="7"/>
      </tp>
      <tp t="s">
        <v>表示銘柄数超過</v>
        <stp/>
        <stp>Market</stp>
        <stp>STOCK</stp>
        <stp>30830.T</stp>
        <stp>出来高加重平均</stp>
        <tr r="T238" s="7"/>
      </tp>
      <tp t="s">
        <v>表示銘柄数超過</v>
        <stp/>
        <stp>Market</stp>
        <stp>STOCK</stp>
        <stp>30990.T</stp>
        <stp>出来高加重平均</stp>
        <tr r="T240" s="7"/>
      </tp>
      <tp t="s">
        <v>表示銘柄数超過</v>
        <stp/>
        <stp>Market</stp>
        <stp>STOCK</stp>
        <stp>33000.T</stp>
        <stp>出来高加重平均</stp>
        <tr r="T275" s="7"/>
      </tp>
      <tp t="s">
        <v>表示銘柄数超過</v>
        <stp/>
        <stp>Market</stp>
        <stp>STOCK</stp>
        <stp>33160.T</stp>
        <stp>出来高加重平均</stp>
        <tr r="T277" s="7"/>
      </tp>
      <tp t="s">
        <v>表示銘柄数超過</v>
        <stp/>
        <stp>Market</stp>
        <stp>STOCK</stp>
        <stp>33150.T</stp>
        <stp>出来高加重平均</stp>
        <tr r="T276" s="7"/>
      </tp>
      <tp t="s">
        <v>表示銘柄数超過</v>
        <stp/>
        <stp>Market</stp>
        <stp>STOCK</stp>
        <stp>33260.T</stp>
        <stp>出来高加重平均</stp>
        <tr r="T279" s="7"/>
      </tp>
      <tp t="s">
        <v>表示銘柄数超過</v>
        <stp/>
        <stp>Market</stp>
        <stp>STOCK</stp>
        <stp>33230.T</stp>
        <stp>出来高加重平均</stp>
        <tr r="T278" s="7"/>
      </tp>
      <tp t="s">
        <v>表示銘柄数超過</v>
        <stp/>
        <stp>Market</stp>
        <stp>STOCK</stp>
        <stp>33280.T</stp>
        <stp>出来高加重平均</stp>
        <tr r="T280" s="7"/>
      </tp>
      <tp t="s">
        <v>表示銘柄数超過</v>
        <stp/>
        <stp>Market</stp>
        <stp>STOCK</stp>
        <stp>33330.T</stp>
        <stp>出来高加重平均</stp>
        <tr r="T281" s="7"/>
      </tp>
      <tp t="s">
        <v>表示銘柄数超過</v>
        <stp/>
        <stp>Market</stp>
        <stp>STOCK</stp>
        <stp>33410.T</stp>
        <stp>出来高加重平均</stp>
        <tr r="T282" s="7"/>
      </tp>
      <tp t="s">
        <v>表示銘柄数超過</v>
        <stp/>
        <stp>Market</stp>
        <stp>STOCK</stp>
        <stp>33550.T</stp>
        <stp>出来高加重平均</stp>
        <tr r="T284" s="7"/>
      </tp>
      <tp t="s">
        <v>表示銘柄数超過</v>
        <stp/>
        <stp>Market</stp>
        <stp>STOCK</stp>
        <stp>33500.T</stp>
        <stp>出来高加重平均</stp>
        <tr r="T283" s="7"/>
      </tp>
      <tp t="s">
        <v>表示銘柄数超過</v>
        <stp/>
        <stp>Market</stp>
        <stp>STOCK</stp>
        <stp>33590.T</stp>
        <stp>出来高加重平均</stp>
        <tr r="T286" s="7"/>
      </tp>
      <tp t="s">
        <v>表示銘柄数超過</v>
        <stp/>
        <stp>Market</stp>
        <stp>STOCK</stp>
        <stp>33580.T</stp>
        <stp>出来高加重平均</stp>
        <tr r="T285" s="7"/>
      </tp>
      <tp t="s">
        <v>表示銘柄数超過</v>
        <stp/>
        <stp>Market</stp>
        <stp>STOCK</stp>
        <stp>33770.T</stp>
        <stp>出来高加重平均</stp>
        <tr r="T289" s="7"/>
      </tp>
      <tp t="s">
        <v>表示銘柄数超過</v>
        <stp/>
        <stp>Market</stp>
        <stp>STOCK</stp>
        <stp>33720.T</stp>
        <stp>出来高加重平均</stp>
        <tr r="T288" s="7"/>
      </tp>
      <tp t="s">
        <v>表示銘柄数超過</v>
        <stp/>
        <stp>Market</stp>
        <stp>STOCK</stp>
        <stp>33700.T</stp>
        <stp>出来高加重平均</stp>
        <tr r="T287" s="7"/>
      </tp>
      <tp t="s">
        <v>表示銘柄数超過</v>
        <stp/>
        <stp>Market</stp>
        <stp>STOCK</stp>
        <stp>33860.T</stp>
        <stp>出来高加重平均</stp>
        <tr r="T291" s="7"/>
      </tp>
      <tp t="s">
        <v>表示銘柄数超過</v>
        <stp/>
        <stp>Market</stp>
        <stp>STOCK</stp>
        <stp>33820.T</stp>
        <stp>出来高加重平均</stp>
        <tr r="T290" s="7"/>
      </tp>
      <tp t="s">
        <v>表示銘柄数超過</v>
        <stp/>
        <stp>Market</stp>
        <stp>STOCK</stp>
        <stp>33880.T</stp>
        <stp>出来高加重平均</stp>
        <tr r="T292" s="7"/>
      </tp>
      <tp t="s">
        <v>表示銘柄数超過</v>
        <stp/>
        <stp>Market</stp>
        <stp>STOCK</stp>
        <stp>33920.T</stp>
        <stp>出来高加重平均</stp>
        <tr r="T293" s="7"/>
      </tp>
      <tp t="s">
        <v>表示銘柄数超過</v>
        <stp/>
        <stp>Market</stp>
        <stp>STOCK</stp>
        <stp>32370.T</stp>
        <stp>出来高加重平均</stp>
        <tr r="T260" s="7"/>
      </tp>
      <tp t="s">
        <v>表示銘柄数超過</v>
        <stp/>
        <stp>Market</stp>
        <stp>STOCK</stp>
        <stp>32360.T</stp>
        <stp>出来高加重平均</stp>
        <tr r="T259" s="7"/>
      </tp>
      <tp t="s">
        <v>表示銘柄数超過</v>
        <stp/>
        <stp>Market</stp>
        <stp>STOCK</stp>
        <stp>32320.T</stp>
        <stp>出来高加重平均</stp>
        <tr r="T258" s="7"/>
      </tp>
      <tp t="s">
        <v>表示銘柄数超過</v>
        <stp/>
        <stp>Market</stp>
        <stp>STOCK</stp>
        <stp>32380.T</stp>
        <stp>出来高加重平均</stp>
        <tr r="T261" s="7"/>
      </tp>
      <tp t="s">
        <v>表示銘柄数超過</v>
        <stp/>
        <stp>Market</stp>
        <stp>STOCK</stp>
        <stp>32440.T</stp>
        <stp>出来高加重平均</stp>
        <tr r="T264" s="7"/>
      </tp>
      <tp t="s">
        <v>表示銘柄数超過</v>
        <stp/>
        <stp>Market</stp>
        <stp>STOCK</stp>
        <stp>32420.T</stp>
        <stp>出来高加重平均</stp>
        <tr r="T263" s="7"/>
      </tp>
      <tp t="s">
        <v>表示銘柄数超過</v>
        <stp/>
        <stp>Market</stp>
        <stp>STOCK</stp>
        <stp>32410.T</stp>
        <stp>出来高加重平均</stp>
        <tr r="T262" s="7"/>
      </tp>
      <tp t="s">
        <v>表示銘柄数超過</v>
        <stp/>
        <stp>Market</stp>
        <stp>STOCK</stp>
        <stp>32660.T</stp>
        <stp>出来高加重平均</stp>
        <tr r="T267" s="7"/>
      </tp>
      <tp t="s">
        <v>表示銘柄数超過</v>
        <stp/>
        <stp>Market</stp>
        <stp>STOCK</stp>
        <stp>32640.T</stp>
        <stp>出来高加重平均</stp>
        <tr r="T266" s="7"/>
      </tp>
      <tp t="s">
        <v>表示銘柄数超過</v>
        <stp/>
        <stp>Market</stp>
        <stp>STOCK</stp>
        <stp>32610.T</stp>
        <stp>出来高加重平均</stp>
        <tr r="T265" s="7"/>
      </tp>
      <tp t="s">
        <v>表示銘柄数超過</v>
        <stp/>
        <stp>Market</stp>
        <stp>STOCK</stp>
        <stp>32710.T</stp>
        <stp>出来高加重平均</stp>
        <tr r="T268" s="7"/>
      </tp>
      <tp t="s">
        <v>表示銘柄数超過</v>
        <stp/>
        <stp>Market</stp>
        <stp>STOCK</stp>
        <stp>32860.T</stp>
        <stp>出来高加重平均</stp>
        <tr r="T270" s="7"/>
      </tp>
      <tp t="s">
        <v>表示銘柄数超過</v>
        <stp/>
        <stp>Market</stp>
        <stp>STOCK</stp>
        <stp>32840.T</stp>
        <stp>出来高加重平均</stp>
        <tr r="T269" s="7"/>
      </tp>
      <tp t="s">
        <v>表示銘柄数超過</v>
        <stp/>
        <stp>Market</stp>
        <stp>STOCK</stp>
        <stp>32890.T</stp>
        <stp>出来高加重平均</stp>
        <tr r="T272" s="7"/>
      </tp>
      <tp t="s">
        <v>表示銘柄数超過</v>
        <stp/>
        <stp>Market</stp>
        <stp>STOCK</stp>
        <stp>32880.T</stp>
        <stp>出来高加重平均</stp>
        <tr r="T271" s="7"/>
      </tp>
      <tp t="s">
        <v>表示銘柄数超過</v>
        <stp/>
        <stp>Market</stp>
        <stp>STOCK</stp>
        <stp>32970.T</stp>
        <stp>出来高加重平均</stp>
        <tr r="T273" s="7"/>
      </tp>
      <tp t="s">
        <v>表示銘柄数超過</v>
        <stp/>
        <stp>Market</stp>
        <stp>STOCK</stp>
        <stp>32990.T</stp>
        <stp>出来高加重平均</stp>
        <tr r="T274" s="7"/>
      </tp>
      <tp t="s">
        <v>表示銘柄数超過</v>
        <stp/>
        <stp>Market</stp>
        <stp>STOCK</stp>
        <stp>39070.T</stp>
        <stp>出来高加重平均</stp>
        <tr r="T387" s="7"/>
      </tp>
      <tp t="s">
        <v>表示銘柄数超過</v>
        <stp/>
        <stp>Market</stp>
        <stp>STOCK</stp>
        <stp>39030.T</stp>
        <stp>出来高加重平均</stp>
        <tr r="T386" s="7"/>
      </tp>
      <tp t="s">
        <v>表示銘柄数超過</v>
        <stp/>
        <stp>Market</stp>
        <stp>STOCK</stp>
        <stp>39020.T</stp>
        <stp>出来高加重平均</stp>
        <tr r="T385" s="7"/>
      </tp>
      <tp t="s">
        <v>表示銘柄数超過</v>
        <stp/>
        <stp>Market</stp>
        <stp>STOCK</stp>
        <stp>39000.T</stp>
        <stp>出来高加重平均</stp>
        <tr r="T384" s="7"/>
      </tp>
      <tp t="s">
        <v>表示銘柄数超過</v>
        <stp/>
        <stp>Market</stp>
        <stp>STOCK</stp>
        <stp>39090.T</stp>
        <stp>出来高加重平均</stp>
        <tr r="T388" s="7"/>
      </tp>
      <tp t="s">
        <v>表示銘柄数超過</v>
        <stp/>
        <stp>Market</stp>
        <stp>STOCK</stp>
        <stp>39170.T</stp>
        <stp>出来高加重平均</stp>
        <tr r="T391" s="7"/>
      </tp>
      <tp t="s">
        <v>表示銘柄数超過</v>
        <stp/>
        <stp>Market</stp>
        <stp>STOCK</stp>
        <stp>39110.T</stp>
        <stp>出来高加重平均</stp>
        <tr r="T390" s="7"/>
      </tp>
      <tp t="s">
        <v>表示銘柄数超過</v>
        <stp/>
        <stp>Market</stp>
        <stp>STOCK</stp>
        <stp>39100.T</stp>
        <stp>出来高加重平均</stp>
        <tr r="T389" s="7"/>
      </tp>
      <tp t="s">
        <v>表示銘柄数超過</v>
        <stp/>
        <stp>Market</stp>
        <stp>STOCK</stp>
        <stp>39270.T</stp>
        <stp>出来高加重平均</stp>
        <tr r="T393" s="7"/>
      </tp>
      <tp t="s">
        <v>表示銘柄数超過</v>
        <stp/>
        <stp>Market</stp>
        <stp>STOCK</stp>
        <stp>39200.T</stp>
        <stp>出来高加重平均</stp>
        <tr r="T392" s="7"/>
      </tp>
      <tp t="s">
        <v>表示銘柄数超過</v>
        <stp/>
        <stp>Market</stp>
        <stp>STOCK</stp>
        <stp>39290.T</stp>
        <stp>出来高加重平均</stp>
        <tr r="T395" s="7"/>
      </tp>
      <tp t="s">
        <v>表示銘柄数超過</v>
        <stp/>
        <stp>Market</stp>
        <stp>STOCK</stp>
        <stp>39280.T</stp>
        <stp>出来高加重平均</stp>
        <tr r="T394" s="7"/>
      </tp>
      <tp t="s">
        <v>表示銘柄数超過</v>
        <stp/>
        <stp>Market</stp>
        <stp>STOCK</stp>
        <stp>39350.T</stp>
        <stp>出来高加重平均</stp>
        <tr r="T397" s="7"/>
      </tp>
      <tp t="s">
        <v>表示銘柄数超過</v>
        <stp/>
        <stp>Market</stp>
        <stp>STOCK</stp>
        <stp>39340.T</stp>
        <stp>出来高加重平均</stp>
        <tr r="T396" s="7"/>
      </tp>
      <tp t="s">
        <v>表示銘柄数超過</v>
        <stp/>
        <stp>Market</stp>
        <stp>STOCK</stp>
        <stp>39390.T</stp>
        <stp>出来高加重平均</stp>
        <tr r="T398" s="7"/>
      </tp>
      <tp t="s">
        <v>表示銘柄数超過</v>
        <stp/>
        <stp>Market</stp>
        <stp>STOCK</stp>
        <stp>39400.T</stp>
        <stp>出来高加重平均</stp>
        <tr r="T399" s="7"/>
      </tp>
      <tp t="s">
        <v>表示銘柄数超過</v>
        <stp/>
        <stp>Market</stp>
        <stp>STOCK</stp>
        <stp>39650.T</stp>
        <stp>出来高加重平均</stp>
        <tr r="T401" s="7"/>
      </tp>
      <tp t="s">
        <v>表示銘柄数超過</v>
        <stp/>
        <stp>Market</stp>
        <stp>STOCK</stp>
        <stp>39630.T</stp>
        <stp>出来高加重平均</stp>
        <tr r="T400" s="7"/>
      </tp>
      <tp t="s">
        <v>表示銘柄数超過</v>
        <stp/>
        <stp>Market</stp>
        <stp>STOCK</stp>
        <stp>39760.T</stp>
        <stp>出来高加重平均</stp>
        <tr r="T402" s="7"/>
      </tp>
      <tp t="s">
        <v>表示銘柄数超過</v>
        <stp/>
        <stp>Market</stp>
        <stp>STOCK</stp>
        <stp>39870.T</stp>
        <stp>出来高加重平均</stp>
        <tr r="T403" s="7"/>
      </tp>
      <tp t="s">
        <v>表示銘柄数超過</v>
        <stp/>
        <stp>Market</stp>
        <stp>STOCK</stp>
        <stp>39890.T</stp>
        <stp>出来高加重平均</stp>
        <tr r="T404" s="7"/>
      </tp>
      <tp t="s">
        <v>表示銘柄数超過</v>
        <stp/>
        <stp>Market</stp>
        <stp>STOCK</stp>
        <stp>39970.T</stp>
        <stp>出来高加重平均</stp>
        <tr r="T408" s="7"/>
      </tp>
      <tp t="s">
        <v>表示銘柄数超過</v>
        <stp/>
        <stp>Market</stp>
        <stp>STOCK</stp>
        <stp>39950.T</stp>
        <stp>出来高加重平均</stp>
        <tr r="T407" s="7"/>
      </tp>
      <tp t="s">
        <v>表示銘柄数超過</v>
        <stp/>
        <stp>Market</stp>
        <stp>STOCK</stp>
        <stp>39920.T</stp>
        <stp>出来高加重平均</stp>
        <tr r="T406" s="7"/>
      </tp>
      <tp t="s">
        <v>表示銘柄数超過</v>
        <stp/>
        <stp>Market</stp>
        <stp>STOCK</stp>
        <stp>39900.T</stp>
        <stp>出来高加重平均</stp>
        <tr r="T405" s="7"/>
      </tp>
      <tp t="s">
        <v>表示銘柄数超過</v>
        <stp/>
        <stp>Market</stp>
        <stp>STOCK</stp>
        <stp>39980.T</stp>
        <stp>出来高加重平均</stp>
        <tr r="T409" s="7"/>
      </tp>
      <tp t="s">
        <v>表示銘柄数超過</v>
        <stp/>
        <stp>Market</stp>
        <stp>STOCK</stp>
        <stp>38070.T</stp>
        <stp>出来高加重平均</stp>
        <tr r="T361" s="7"/>
      </tp>
      <tp t="s">
        <v>表示銘柄数超過</v>
        <stp/>
        <stp>Market</stp>
        <stp>STOCK</stp>
        <stp>38160.T</stp>
        <stp>出来高加重平均</stp>
        <tr r="T365" s="7"/>
      </tp>
      <tp t="s">
        <v>表示銘柄数超過</v>
        <stp/>
        <stp>Market</stp>
        <stp>STOCK</stp>
        <stp>38150.T</stp>
        <stp>出来高加重平均</stp>
        <tr r="T364" s="7"/>
      </tp>
      <tp t="s">
        <v>表示銘柄数超過</v>
        <stp/>
        <stp>Market</stp>
        <stp>STOCK</stp>
        <stp>38140.T</stp>
        <stp>出来高加重平均</stp>
        <tr r="T363" s="7"/>
      </tp>
      <tp t="s">
        <v>表示銘柄数超過</v>
        <stp/>
        <stp>Market</stp>
        <stp>STOCK</stp>
        <stp>38100.T</stp>
        <stp>出来高加重平均</stp>
        <tr r="T362" s="7"/>
      </tp>
      <tp t="s">
        <v>表示銘柄数超過</v>
        <stp/>
        <stp>Market</stp>
        <stp>STOCK</stp>
        <stp>38260.T</stp>
        <stp>出来高加重平均</stp>
        <tr r="T368" s="7"/>
      </tp>
      <tp t="s">
        <v>表示銘柄数超過</v>
        <stp/>
        <stp>Market</stp>
        <stp>STOCK</stp>
        <stp>38250.T</stp>
        <stp>出来高加重平均</stp>
        <tr r="T367" s="7"/>
      </tp>
      <tp t="s">
        <v>表示銘柄数超過</v>
        <stp/>
        <stp>Market</stp>
        <stp>STOCK</stp>
        <stp>38230.T</stp>
        <stp>出来高加重平均</stp>
        <tr r="T366" s="7"/>
      </tp>
      <tp t="s">
        <v>表示銘柄数超過</v>
        <stp/>
        <stp>Market</stp>
        <stp>STOCK</stp>
        <stp>38350.T</stp>
        <stp>出来高加重平均</stp>
        <tr r="T369" s="7"/>
      </tp>
      <tp t="s">
        <v>表示銘柄数超過</v>
        <stp/>
        <stp>Market</stp>
        <stp>STOCK</stp>
        <stp>38450.T</stp>
        <stp>出来高加重平均</stp>
        <tr r="T372" s="7"/>
      </tp>
      <tp t="s">
        <v>表示銘柄数超過</v>
        <stp/>
        <stp>Market</stp>
        <stp>STOCK</stp>
        <stp>38420.T</stp>
        <stp>出来高加重平均</stp>
        <tr r="T371" s="7"/>
      </tp>
      <tp t="s">
        <v>表示銘柄数超過</v>
        <stp/>
        <stp>Market</stp>
        <stp>STOCK</stp>
        <stp>38400.T</stp>
        <stp>出来高加重平均</stp>
        <tr r="T370" s="7"/>
      </tp>
      <tp t="s">
        <v>表示銘柄数超過</v>
        <stp/>
        <stp>Market</stp>
        <stp>STOCK</stp>
        <stp>38560.T</stp>
        <stp>出来高加重平均</stp>
        <tr r="T377" s="7"/>
      </tp>
      <tp t="s">
        <v>表示銘柄数超過</v>
        <stp/>
        <stp>Market</stp>
        <stp>STOCK</stp>
        <stp>38530.T</stp>
        <stp>出来高加重平均</stp>
        <tr r="T376" s="7"/>
      </tp>
      <tp t="s">
        <v>表示銘柄数超過</v>
        <stp/>
        <stp>Market</stp>
        <stp>STOCK</stp>
        <stp>38520.T</stp>
        <stp>出来高加重平均</stp>
        <tr r="T375" s="7"/>
      </tp>
      <tp t="s">
        <v>表示銘柄数超過</v>
        <stp/>
        <stp>Market</stp>
        <stp>STOCK</stp>
        <stp>38510.T</stp>
        <stp>出来高加重平均</stp>
        <tr r="T374" s="7"/>
      </tp>
      <tp t="s">
        <v>表示銘柄数超過</v>
        <stp/>
        <stp>Market</stp>
        <stp>STOCK</stp>
        <stp>38500.T</stp>
        <stp>出来高加重平均</stp>
        <tr r="T373" s="7"/>
      </tp>
      <tp t="s">
        <v>表示銘柄数超過</v>
        <stp/>
        <stp>Market</stp>
        <stp>STOCK</stp>
        <stp>38580.T</stp>
        <stp>出来高加重平均</stp>
        <tr r="T378" s="7"/>
      </tp>
      <tp t="s">
        <v>表示銘柄数超過</v>
        <stp/>
        <stp>Market</stp>
        <stp>STOCK</stp>
        <stp>38650.T</stp>
        <stp>出来高加重平均</stp>
        <tr r="T382" s="7"/>
      </tp>
      <tp t="s">
        <v>表示銘柄数超過</v>
        <stp/>
        <stp>Market</stp>
        <stp>STOCK</stp>
        <stp>38640.T</stp>
        <stp>出来高加重平均</stp>
        <tr r="T381" s="7"/>
      </tp>
      <tp t="s">
        <v>表示銘柄数超過</v>
        <stp/>
        <stp>Market</stp>
        <stp>STOCK</stp>
        <stp>38630.T</stp>
        <stp>出来高加重平均</stp>
        <tr r="T380" s="7"/>
      </tp>
      <tp t="s">
        <v>表示銘柄数超過</v>
        <stp/>
        <stp>Market</stp>
        <stp>STOCK</stp>
        <stp>38610.T</stp>
        <stp>出来高加重平均</stp>
        <tr r="T379" s="7"/>
      </tp>
      <tp t="s">
        <v>表示銘柄数超過</v>
        <stp/>
        <stp>Market</stp>
        <stp>STOCK</stp>
        <stp>38800.T</stp>
        <stp>出来高加重平均</stp>
        <tr r="T383" s="7"/>
      </tp>
    </main>
    <main first="rtdsrv.662c26bade854d00aebc6010f8a2e03a">
      <tp t="s">
        <v>表示銘柄数超過</v>
        <stp/>
        <stp>Market</stp>
        <stp>STOCK</stp>
        <stp>99690.T</stp>
        <stp>後場始値</stp>
        <tr r="R1185" s="7"/>
      </tp>
      <tp t="s">
        <v>表示銘柄数超過</v>
        <stp/>
        <stp>Market</stp>
        <stp>STOCK</stp>
        <stp>19660.T</stp>
        <stp>後場始値</stp>
        <tr r="R84" s="7"/>
      </tp>
      <tp>
        <v>2429</v>
        <stp/>
        <stp>Market</stp>
        <stp>STOCK</stp>
        <stp>59660.T</stp>
        <stp>後場始値</stp>
        <tr r="R628" s="7"/>
      </tp>
      <tp t="s">
        <v>表示銘柄数超過</v>
        <stp/>
        <stp>Market</stp>
        <stp>STOCK</stp>
        <stp>39650.T</stp>
        <stp>後場始値</stp>
        <tr r="R401" s="7"/>
      </tp>
      <tp t="s">
        <v>表示銘柄数超過</v>
        <stp/>
        <stp>Market</stp>
        <stp>STOCK</stp>
        <stp>19650.T</stp>
        <stp>後場始値</stp>
        <tr r="R83" s="7"/>
      </tp>
      <tp t="s">
        <v>表示銘柄数超過</v>
        <stp/>
        <stp>Market</stp>
        <stp>STOCK</stp>
        <stp>39630.T</stp>
        <stp>後場始値</stp>
        <tr r="R400" s="7"/>
      </tp>
      <tp t="s">
        <v>表示銘柄数超過</v>
        <stp/>
        <stp>Market</stp>
        <stp>STOCK</stp>
        <stp>49630.T</stp>
        <stp>後場始値</stp>
        <tr r="R555" s="7"/>
      </tp>
      <tp t="s">
        <v>表示銘柄数超過</v>
        <stp/>
        <stp>Market</stp>
        <stp>STOCK</stp>
        <stp>19600.T</stp>
        <stp>後場始値</stp>
        <tr r="R82" s="7"/>
      </tp>
      <tp t="s">
        <v>表示銘柄数超過</v>
        <stp/>
        <stp>Market</stp>
        <stp>STOCK</stp>
        <stp>49600.T</stp>
        <stp>後場始値</stp>
        <tr r="R554" s="7"/>
      </tp>
      <tp t="s">
        <v>表示銘柄数超過</v>
        <stp/>
        <stp>Market</stp>
        <stp>STOCK</stp>
        <stp>49780.T</stp>
        <stp>後場始値</stp>
        <tr r="R556" s="7"/>
      </tp>
      <tp t="s">
        <v>表示銘柄数超過</v>
        <stp/>
        <stp>Market</stp>
        <stp>STOCK</stp>
        <stp>39760.T</stp>
        <stp>後場始値</stp>
        <tr r="R402" s="7"/>
      </tp>
      <tp>
        <v>3495</v>
        <stp/>
        <stp>Market</stp>
        <stp>STOCK</stp>
        <stp>69760.T</stp>
        <stp>後場始値</stp>
        <tr r="R797" s="7"/>
      </tp>
      <tp>
        <v>1056</v>
        <stp/>
        <stp>Market</stp>
        <stp>STOCK</stp>
        <stp>59760.T</stp>
        <stp>後場始値</stp>
        <tr r="R630" s="7"/>
      </tp>
      <tp>
        <v>8331</v>
        <stp/>
        <stp>Market</stp>
        <stp>STOCK</stp>
        <stp>79740.T</stp>
        <stp>後場始値</stp>
        <tr r="R962" s="7"/>
      </tp>
      <tp t="s">
        <v>表示銘柄数超過</v>
        <stp/>
        <stp>Market</stp>
        <stp>STOCK</stp>
        <stp>99730.T</stp>
        <stp>後場始値</stp>
        <tr r="R1186" s="7"/>
      </tp>
      <tp>
        <v>1541</v>
        <stp/>
        <stp>Market</stp>
        <stp>STOCK</stp>
        <stp>79720.T</stp>
        <stp>後場始値</stp>
        <tr r="R961" s="7"/>
      </tp>
      <tp t="s">
        <v>表示銘柄数超過</v>
        <stp/>
        <stp>Market</stp>
        <stp>STOCK</stp>
        <stp>19710.T</stp>
        <stp>後場始値</stp>
        <tr r="R85" s="7"/>
      </tp>
      <tp>
        <v>402</v>
        <stp/>
        <stp>Market</stp>
        <stp>STOCK</stp>
        <stp>79710.T</stp>
        <stp>後場始値</stp>
        <tr r="R960" s="7"/>
      </tp>
      <tp>
        <v>2092</v>
        <stp/>
        <stp>Market</stp>
        <stp>STOCK</stp>
        <stp>59700.T</stp>
        <stp>後場始値</stp>
        <tr r="R629" s="7"/>
      </tp>
      <tp>
        <v>1110</v>
        <stp/>
        <stp>Market</stp>
        <stp>STOCK</stp>
        <stp>59490.T</stp>
        <stp>後場始値</stp>
        <tr r="R624" s="7"/>
      </tp>
      <tp>
        <v>3241</v>
        <stp/>
        <stp>Market</stp>
        <stp>STOCK</stp>
        <stp>59470.T</stp>
        <stp>後場始値</stp>
        <tr r="R623" s="7"/>
      </tp>
      <tp t="s">
        <v>表示銘柄数超過</v>
        <stp/>
        <stp>Market</stp>
        <stp>STOCK</stp>
        <stp>99460.T</stp>
        <stp>後場始値</stp>
        <tr r="R1184" s="7"/>
      </tp>
      <tp t="s">
        <v>表示銘柄数超過</v>
        <stp/>
        <stp>Market</stp>
        <stp>STOCK</stp>
        <stp>89460.T</stp>
        <stp>後場始値</stp>
        <tr r="R1071" s="7"/>
      </tp>
      <tp t="s">
        <v>表示銘柄数超過</v>
        <stp/>
        <stp>Market</stp>
        <stp>STOCK</stp>
        <stp>89450.T</stp>
        <stp>後場始値</stp>
        <tr r="R1070" s="7"/>
      </tp>
      <tp t="s">
        <v>表示銘柄数超過</v>
        <stp/>
        <stp>Market</stp>
        <stp>STOCK</stp>
        <stp>89440.T</stp>
        <stp>後場始値</stp>
        <tr r="R1069" s="7"/>
      </tp>
      <tp t="s">
        <v>表示銘柄数超過</v>
        <stp/>
        <stp>Market</stp>
        <stp>STOCK</stp>
        <stp>19420.T</stp>
        <stp>後場始値</stp>
        <tr r="R80" s="7"/>
      </tp>
      <tp>
        <v>1774</v>
        <stp/>
        <stp>Market</stp>
        <stp>STOCK</stp>
        <stp>69420.T</stp>
        <stp>後場始値</stp>
        <tr r="R792" s="7"/>
      </tp>
      <tp t="s">
        <v>表示銘柄数超過</v>
        <stp/>
        <stp>Market</stp>
        <stp>STOCK</stp>
        <stp>19410.T</stp>
        <stp>後場始値</stp>
        <tr r="R79" s="7"/>
      </tp>
      <tp>
        <v>2213</v>
        <stp/>
        <stp>Market</stp>
        <stp>STOCK</stp>
        <stp>69410.T</stp>
        <stp>後場始値</stp>
        <tr r="R791" s="7"/>
      </tp>
      <tp t="s">
        <v>表示銘柄数超過</v>
        <stp/>
        <stp>Market</stp>
        <stp>STOCK</stp>
        <stp>39400.T</stp>
        <stp>後場始値</stp>
        <tr r="R399" s="7"/>
      </tp>
      <tp>
        <v>687</v>
        <stp/>
        <stp>Market</stp>
        <stp>STOCK</stp>
        <stp>79400.T</stp>
        <stp>後場始値</stp>
        <tr r="R957" s="7"/>
      </tp>
      <tp>
        <v>78</v>
        <stp/>
        <stp>Market</stp>
        <stp>STOCK</stp>
        <stp>59400.T</stp>
        <stp>後場始値</stp>
        <tr r="R622" s="7"/>
      </tp>
      <tp>
        <v>748</v>
        <stp/>
        <stp>Market</stp>
        <stp>STOCK</stp>
        <stp>69580.T</stp>
        <stp>後場始値</stp>
        <tr r="R796" s="7"/>
      </tp>
      <tp>
        <v>784</v>
        <stp/>
        <stp>Market</stp>
        <stp>STOCK</stp>
        <stp>79550.T</stp>
        <stp>後場始値</stp>
        <tr r="R959" s="7"/>
      </tp>
      <tp>
        <v>671</v>
        <stp/>
        <stp>Market</stp>
        <stp>STOCK</stp>
        <stp>69550.T</stp>
        <stp>後場始値</stp>
        <tr r="R795" s="7"/>
      </tp>
      <tp>
        <v>80</v>
        <stp/>
        <stp>Market</stp>
        <stp>STOCK</stp>
        <stp>59550.T</stp>
        <stp>後場始値</stp>
        <tr r="R627" s="7"/>
      </tp>
      <tp>
        <v>3964</v>
        <stp/>
        <stp>Market</stp>
        <stp>STOCK</stp>
        <stp>69540.T</stp>
        <stp>後場始値</stp>
        <tr r="R794" s="7"/>
      </tp>
      <tp>
        <v>399</v>
        <stp/>
        <stp>Market</stp>
        <stp>STOCK</stp>
        <stp>79530.T</stp>
        <stp>後場始値</stp>
        <tr r="R958" s="7"/>
      </tp>
      <tp>
        <v>1281</v>
        <stp/>
        <stp>Market</stp>
        <stp>STOCK</stp>
        <stp>69520.T</stp>
        <stp>後場始値</stp>
        <tr r="R793" s="7"/>
      </tp>
      <tp>
        <v>141</v>
        <stp/>
        <stp>Market</stp>
        <stp>STOCK</stp>
        <stp>59520.T</stp>
        <stp>後場始値</stp>
        <tr r="R626" s="7"/>
      </tp>
      <tp t="s">
        <v>表示銘柄数超過</v>
        <stp/>
        <stp>Market</stp>
        <stp>STOCK</stp>
        <stp>19500.T</stp>
        <stp>後場始値</stp>
        <tr r="R81" s="7"/>
      </tp>
      <tp>
        <v>109</v>
        <stp/>
        <stp>Market</stp>
        <stp>STOCK</stp>
        <stp>59500.T</stp>
        <stp>後場始値</stp>
        <tr r="R625" s="7"/>
      </tp>
      <tp t="s">
        <v>表示銘柄数超過</v>
        <stp/>
        <stp>Market</stp>
        <stp>STOCK</stp>
        <stp>39290.T</stp>
        <stp>後場始値</stp>
        <tr r="R395" s="7"/>
      </tp>
      <tp t="s">
        <v>表示銘柄数超過</v>
        <stp/>
        <stp>Market</stp>
        <stp>STOCK</stp>
        <stp>39280.T</stp>
        <stp>後場始値</stp>
        <tr r="R394" s="7"/>
      </tp>
      <tp t="s">
        <v>表示銘柄数超過</v>
        <stp/>
        <stp>Market</stp>
        <stp>STOCK</stp>
        <stp>19280.T</stp>
        <stp>後場始値</stp>
        <tr r="R75" s="7"/>
      </tp>
      <tp>
        <v>311</v>
        <stp/>
        <stp>Market</stp>
        <stp>STOCK</stp>
        <stp>59280.T</stp>
        <stp>後場始値</stp>
        <tr r="R619" s="7"/>
      </tp>
      <tp t="s">
        <v>表示銘柄数超過</v>
        <stp/>
        <stp>Market</stp>
        <stp>STOCK</stp>
        <stp>99280.T</stp>
        <stp>後場始値</stp>
        <tr r="R1182" s="7"/>
      </tp>
      <tp t="s">
        <v>表示銘柄数超過</v>
        <stp/>
        <stp>Market</stp>
        <stp>STOCK</stp>
        <stp>39270.T</stp>
        <stp>後場始値</stp>
        <tr r="R393" s="7"/>
      </tp>
      <tp>
        <v>532</v>
        <stp/>
        <stp>Market</stp>
        <stp>STOCK</stp>
        <stp>69270.T</stp>
        <stp>後場始値</stp>
        <tr r="R789" s="7"/>
      </tp>
      <tp t="s">
        <v>表示銘柄数超過</v>
        <stp/>
        <stp>Market</stp>
        <stp>STOCK</stp>
        <stp>99270.T</stp>
        <stp>後場始値</stp>
        <tr r="R1181" s="7"/>
      </tp>
      <tp t="s">
        <v>表示銘柄数超過</v>
        <stp/>
        <stp>Market</stp>
        <stp>STOCK</stp>
        <stp>89270.T</stp>
        <stp>後場始値</stp>
        <tr r="R1067" s="7"/>
      </tp>
      <tp t="s">
        <v>表示銘柄数超過</v>
        <stp/>
        <stp>Market</stp>
        <stp>STOCK</stp>
        <stp>29260.T</stp>
        <stp>後場始値</stp>
        <tr r="R215" s="7"/>
      </tp>
      <tp t="s">
        <v>表示銘柄数超過</v>
        <stp/>
        <stp>Market</stp>
        <stp>STOCK</stp>
        <stp>19250.T</stp>
        <stp>後場始値</stp>
        <tr r="R74" s="7"/>
      </tp>
      <tp t="s">
        <v>表示銘柄数超過</v>
        <stp/>
        <stp>Market</stp>
        <stp>STOCK</stp>
        <stp>89250.T</stp>
        <stp>後場始値</stp>
        <tr r="R1066" s="7"/>
      </tp>
      <tp>
        <v>2642</v>
        <stp/>
        <stp>Market</stp>
        <stp>STOCK</stp>
        <stp>69230.T</stp>
        <stp>後場始値</stp>
        <tr r="R788" s="7"/>
      </tp>
      <tp t="s">
        <v>表示銘柄数超過</v>
        <stp/>
        <stp>Market</stp>
        <stp>STOCK</stp>
        <stp>89230.T</stp>
        <stp>後場始値</stp>
        <tr r="R1065" s="7"/>
      </tp>
      <tp t="s">
        <v>表示銘柄数超過</v>
        <stp/>
        <stp>Market</stp>
        <stp>STOCK</stp>
        <stp>39200.T</stp>
        <stp>後場始値</stp>
        <tr r="R392" s="7"/>
      </tp>
      <tp>
        <v>39780</v>
        <stp/>
        <stp>Market</stp>
        <stp>STOCK</stp>
        <stp>69200.T</stp>
        <stp>後場始値</stp>
        <tr r="R787" s="7"/>
      </tp>
      <tp t="s">
        <v>表示銘柄数超過</v>
        <stp/>
        <stp>Market</stp>
        <stp>STOCK</stp>
        <stp>49200.T</stp>
        <stp>後場始値</stp>
        <tr r="R553" s="7"/>
      </tp>
      <tp t="s">
        <v>表示銘柄数超過</v>
        <stp/>
        <stp>Market</stp>
        <stp>STOCK</stp>
        <stp>39390.T</stp>
        <stp>後場始値</stp>
        <tr r="R398" s="7"/>
      </tp>
      <tp t="s">
        <v>表示銘柄数超過</v>
        <stp/>
        <stp>Market</stp>
        <stp>STOCK</stp>
        <stp>19390.T</stp>
        <stp>後場始値</stp>
        <tr r="R78" s="7"/>
      </tp>
      <tp t="s">
        <v>表示銘柄数超過</v>
        <stp/>
        <stp>Market</stp>
        <stp>STOCK</stp>
        <stp>19380.T</stp>
        <stp>後場始値</stp>
        <tr r="R77" s="7"/>
      </tp>
      <tp>
        <v>298</v>
        <stp/>
        <stp>Market</stp>
        <stp>STOCK</stp>
        <stp>69380.T</stp>
        <stp>後場始値</stp>
        <tr r="R790" s="7"/>
      </tp>
      <tp>
        <v>1960</v>
        <stp/>
        <stp>Market</stp>
        <stp>STOCK</stp>
        <stp>59380.T</stp>
        <stp>後場始値</stp>
        <tr r="R621" s="7"/>
      </tp>
      <tp t="s">
        <v>表示銘柄数超過</v>
        <stp/>
        <stp>Market</stp>
        <stp>STOCK</stp>
        <stp>89380.T</stp>
        <stp>後場始値</stp>
        <tr r="R1068" s="7"/>
      </tp>
      <tp>
        <v>734</v>
        <stp/>
        <stp>Market</stp>
        <stp>STOCK</stp>
        <stp>59360.T</stp>
        <stp>後場始値</stp>
        <tr r="R620" s="7"/>
      </tp>
      <tp t="s">
        <v>表示銘柄数超過</v>
        <stp/>
        <stp>Market</stp>
        <stp>STOCK</stp>
        <stp>39350.T</stp>
        <stp>後場始値</stp>
        <tr r="R397" s="7"/>
      </tp>
      <tp t="s">
        <v>表示銘柄数超過</v>
        <stp/>
        <stp>Market</stp>
        <stp>STOCK</stp>
        <stp>39340.T</stp>
        <stp>後場始値</stp>
        <tr r="R396" s="7"/>
      </tp>
      <tp t="s">
        <v>表示銘柄数超過</v>
        <stp/>
        <stp>Market</stp>
        <stp>STOCK</stp>
        <stp>29300.T</stp>
        <stp>後場始値</stp>
        <tr r="R216" s="7"/>
      </tp>
      <tp t="s">
        <v>表示銘柄数超過</v>
        <stp/>
        <stp>Market</stp>
        <stp>STOCK</stp>
        <stp>19300.T</stp>
        <stp>後場始値</stp>
        <tr r="R76" s="7"/>
      </tp>
      <tp t="s">
        <v>表示銘柄数超過</v>
        <stp/>
        <stp>Market</stp>
        <stp>STOCK</stp>
        <stp>99300.T</stp>
        <stp>後場始値</stp>
        <tr r="R1183" s="7"/>
      </tp>
      <tp t="s">
        <v>表示銘柄数超過</v>
        <stp/>
        <stp>Market</stp>
        <stp>STOCK</stp>
        <stp>39090.T</stp>
        <stp>後場始値</stp>
        <tr r="R388" s="7"/>
      </tp>
      <tp>
        <v>956</v>
        <stp/>
        <stp>Market</stp>
        <stp>STOCK</stp>
        <stp>59090.T</stp>
        <stp>後場始値</stp>
        <tr r="R618" s="7"/>
      </tp>
      <tp>
        <v>210</v>
        <stp/>
        <stp>Market</stp>
        <stp>STOCK</stp>
        <stp>79080.T</stp>
        <stp>後場始値</stp>
        <tr r="R953" s="7"/>
      </tp>
      <tp t="s">
        <v>表示銘柄数超過</v>
        <stp/>
        <stp>Market</stp>
        <stp>STOCK</stp>
        <stp>99080.T</stp>
        <stp>後場始値</stp>
        <tr r="R1179" s="7"/>
      </tp>
      <tp t="s">
        <v>表示銘柄数超過</v>
        <stp/>
        <stp>Market</stp>
        <stp>STOCK</stp>
        <stp>39070.T</stp>
        <stp>後場始値</stp>
        <tr r="R387" s="7"/>
      </tp>
      <tp>
        <v>501</v>
        <stp/>
        <stp>Market</stp>
        <stp>STOCK</stp>
        <stp>69070.T</stp>
        <stp>後場始値</stp>
        <tr r="R786" s="7"/>
      </tp>
      <tp>
        <v>1462</v>
        <stp/>
        <stp>Market</stp>
        <stp>STOCK</stp>
        <stp>69050.T</stp>
        <stp>後場始値</stp>
        <tr r="R785" s="7"/>
      </tp>
      <tp t="s">
        <v>表示銘柄数超過</v>
        <stp/>
        <stp>Market</stp>
        <stp>STOCK</stp>
        <stp>89050.T</stp>
        <stp>後場始値</stp>
        <tr r="R1062" s="7"/>
      </tp>
      <tp t="s">
        <v>表示銘柄数超過</v>
        <stp/>
        <stp>Market</stp>
        <stp>STOCK</stp>
        <stp>99040.T</stp>
        <stp>後場始値</stp>
        <tr r="R1178" s="7"/>
      </tp>
      <tp t="s">
        <v>表示銘柄数超過</v>
        <stp/>
        <stp>Market</stp>
        <stp>STOCK</stp>
        <stp>39030.T</stp>
        <stp>後場始値</stp>
        <tr r="R386" s="7"/>
      </tp>
      <tp t="s">
        <v>表示銘柄数超過</v>
        <stp/>
        <stp>Market</stp>
        <stp>STOCK</stp>
        <stp>39020.T</stp>
        <stp>後場始値</stp>
        <tr r="R385" s="7"/>
      </tp>
      <tp>
        <v>2530</v>
        <stp/>
        <stp>Market</stp>
        <stp>STOCK</stp>
        <stp>69020.T</stp>
        <stp>後場始値</stp>
        <tr r="R784" s="7"/>
      </tp>
      <tp t="s">
        <v>表示銘柄数超過</v>
        <stp/>
        <stp>Market</stp>
        <stp>STOCK</stp>
        <stp>49020.T</stp>
        <stp>後場始値</stp>
        <tr r="R551" s="7"/>
      </tp>
      <tp t="s">
        <v>表示銘柄数超過</v>
        <stp/>
        <stp>Market</stp>
        <stp>STOCK</stp>
        <stp>29010.T</stp>
        <stp>後場始値</stp>
        <tr r="R213" s="7"/>
      </tp>
      <tp t="s">
        <v>表示銘柄数超過</v>
        <stp/>
        <stp>Market</stp>
        <stp>STOCK</stp>
        <stp>39000.T</stp>
        <stp>後場始値</stp>
        <tr r="R384" s="7"/>
      </tp>
      <tp>
        <v>162</v>
        <stp/>
        <stp>Market</stp>
        <stp>STOCK</stp>
        <stp>79190.T</stp>
        <stp>後場始値</stp>
        <tr r="R956" s="7"/>
      </tp>
      <tp t="s">
        <v>表示銘柄数超過</v>
        <stp/>
        <stp>Market</stp>
        <stp>STOCK</stp>
        <stp>99190.T</stp>
        <stp>後場始値</stp>
        <tr r="R1180" s="7"/>
      </tp>
      <tp>
        <v>157</v>
        <stp/>
        <stp>Market</stp>
        <stp>STOCK</stp>
        <stp>79180.T</stp>
        <stp>後場始値</stp>
        <tr r="R955" s="7"/>
      </tp>
      <tp t="s">
        <v>表示銘柄数超過</v>
        <stp/>
        <stp>Market</stp>
        <stp>STOCK</stp>
        <stp>89180.T</stp>
        <stp>後場始値</stp>
        <tr r="R1064" s="7"/>
      </tp>
      <tp t="s">
        <v>表示銘柄数超過</v>
        <stp/>
        <stp>Market</stp>
        <stp>STOCK</stp>
        <stp>39170.T</stp>
        <stp>後場始値</stp>
        <tr r="R391" s="7"/>
      </tp>
      <tp>
        <v>3920</v>
        <stp/>
        <stp>Market</stp>
        <stp>STOCK</stp>
        <stp>29140.T</stp>
        <stp>後場始値</stp>
        <tr r="R214" s="7"/>
      </tp>
      <tp t="s">
        <v>表示銘柄数超過</v>
        <stp/>
        <stp>Market</stp>
        <stp>STOCK</stp>
        <stp>19140.T</stp>
        <stp>後場始値</stp>
        <tr r="R73" s="7"/>
      </tp>
      <tp t="s">
        <v>表示銘柄数超過</v>
        <stp/>
        <stp>Market</stp>
        <stp>STOCK</stp>
        <stp>49120.T</stp>
        <stp>後場始値</stp>
        <tr r="R552" s="7"/>
      </tp>
      <tp t="s">
        <v>表示銘柄数超過</v>
        <stp/>
        <stp>Market</stp>
        <stp>STOCK</stp>
        <stp>89120.T</stp>
        <stp>後場始値</stp>
        <tr r="R1063" s="7"/>
      </tp>
      <tp t="s">
        <v>表示銘柄数超過</v>
        <stp/>
        <stp>Market</stp>
        <stp>STOCK</stp>
        <stp>39110.T</stp>
        <stp>後場始値</stp>
        <tr r="R390" s="7"/>
      </tp>
      <tp t="s">
        <v>表示銘柄数超過</v>
        <stp/>
        <stp>Market</stp>
        <stp>STOCK</stp>
        <stp>19110.T</stp>
        <stp>後場始値</stp>
        <tr r="R72" s="7"/>
      </tp>
      <tp>
        <v>3942</v>
        <stp/>
        <stp>Market</stp>
        <stp>STOCK</stp>
        <stp>79110.T</stp>
        <stp>後場始値</stp>
        <tr r="R954" s="7"/>
      </tp>
      <tp t="s">
        <v>表示銘柄数超過</v>
        <stp/>
        <stp>Market</stp>
        <stp>STOCK</stp>
        <stp>39100.T</stp>
        <stp>後場始値</stp>
        <tr r="R389" s="7"/>
      </tp>
      <tp t="s">
        <v>表示銘柄数超過</v>
        <stp/>
        <stp>Market</stp>
        <stp>STOCK</stp>
        <stp>39890.T</stp>
        <stp>後場始値</stp>
        <tr r="R404" s="7"/>
      </tp>
      <tp t="s">
        <v>表示銘柄数超過</v>
        <stp/>
        <stp>Market</stp>
        <stp>STOCK</stp>
        <stp>39870.T</stp>
        <stp>後場始値</stp>
        <tr r="R403" s="7"/>
      </tp>
      <tp t="s">
        <v>表示銘柄数超過</v>
        <stp/>
        <stp>Market</stp>
        <stp>STOCK</stp>
        <stp>29870.T</stp>
        <stp>後場始値</stp>
        <tr r="R218" s="7"/>
      </tp>
      <tp>
        <v>507</v>
        <stp/>
        <stp>Market</stp>
        <stp>STOCK</stp>
        <stp>69860.T</stp>
        <stp>後場始値</stp>
        <tr r="R800" s="7"/>
      </tp>
      <tp>
        <v>290</v>
        <stp/>
        <stp>Market</stp>
        <stp>STOCK</stp>
        <stp>59860.T</stp>
        <stp>後場始値</stp>
        <tr r="R632" s="7"/>
      </tp>
      <tp t="s">
        <v>表示銘柄数超過</v>
        <stp/>
        <stp>Market</stp>
        <stp>STOCK</stp>
        <stp>99840.T</stp>
        <stp>後場始値</stp>
        <tr r="R1189" s="7"/>
      </tp>
      <tp t="s">
        <v>表示銘柄数超過</v>
        <stp/>
        <stp>Market</stp>
        <stp>STOCK</stp>
        <stp>29820.T</stp>
        <stp>後場始値</stp>
        <tr r="R217" s="7"/>
      </tp>
      <tp>
        <v>685</v>
        <stp/>
        <stp>Market</stp>
        <stp>STOCK</stp>
        <stp>69820.T</stp>
        <stp>後場始値</stp>
        <tr r="R799" s="7"/>
      </tp>
      <tp t="s">
        <v>表示銘柄数超過</v>
        <stp/>
        <stp>Market</stp>
        <stp>STOCK</stp>
        <stp>99820.T</stp>
        <stp>後場始値</stp>
        <tr r="R1188" s="7"/>
      </tp>
      <tp>
        <v>3004</v>
        <stp/>
        <stp>Market</stp>
        <stp>STOCK</stp>
        <stp>69810.T</stp>
        <stp>後場始値</stp>
        <tr r="R798" s="7"/>
      </tp>
      <tp>
        <v>1362</v>
        <stp/>
        <stp>Market</stp>
        <stp>STOCK</stp>
        <stp>59810.T</stp>
        <stp>後場始値</stp>
        <tr r="R631" s="7"/>
      </tp>
      <tp t="s">
        <v>表示銘柄数超過</v>
        <stp/>
        <stp>Market</stp>
        <stp>STOCK</stp>
        <stp>99800.T</stp>
        <stp>後場始値</stp>
        <tr r="R1187" s="7"/>
      </tp>
      <tp t="s">
        <v>表示銘柄数超過</v>
        <stp/>
        <stp>Market</stp>
        <stp>STOCK</stp>
        <stp>39980.T</stp>
        <stp>後場始値</stp>
        <tr r="R409" s="7"/>
      </tp>
      <tp t="s">
        <v>表示銘柄数超過</v>
        <stp/>
        <stp>Market</stp>
        <stp>STOCK</stp>
        <stp>39970.T</stp>
        <stp>後場始値</stp>
        <tr r="R408" s="7"/>
      </tp>
      <tp t="s">
        <v>表示銘柄数超過</v>
        <stp/>
        <stp>Market</stp>
        <stp>STOCK</stp>
        <stp>29970.T</stp>
        <stp>後場始値</stp>
        <tr r="R220" s="7"/>
      </tp>
      <tp>
        <v>808</v>
        <stp/>
        <stp>Market</stp>
        <stp>STOCK</stp>
        <stp>79970.T</stp>
        <stp>後場始値</stp>
        <tr r="R963" s="7"/>
      </tp>
      <tp>
        <v>1393</v>
        <stp/>
        <stp>Market</stp>
        <stp>STOCK</stp>
        <stp>69970.T</stp>
        <stp>後場始値</stp>
        <tr r="R803" s="7"/>
      </tp>
      <tp>
        <v>673</v>
        <stp/>
        <stp>Market</stp>
        <stp>STOCK</stp>
        <stp>59970.T</stp>
        <stp>後場始値</stp>
        <tr r="R635" s="7"/>
      </tp>
      <tp>
        <v>689</v>
        <stp/>
        <stp>Market</stp>
        <stp>STOCK</stp>
        <stp>49970.T</stp>
        <stp>後場始値</stp>
        <tr r="R557" s="7"/>
      </tp>
      <tp t="s">
        <v>表示銘柄数超過</v>
        <stp/>
        <stp>Market</stp>
        <stp>STOCK</stp>
        <stp>89960.T</stp>
        <stp>後場始値</stp>
        <tr r="R1072" s="7"/>
      </tp>
      <tp t="s">
        <v>表示銘柄数超過</v>
        <stp/>
        <stp>Market</stp>
        <stp>STOCK</stp>
        <stp>39950.T</stp>
        <stp>後場始値</stp>
        <tr r="R407" s="7"/>
      </tp>
      <tp t="s">
        <v>表示銘柄数超過</v>
        <stp/>
        <stp>Market</stp>
        <stp>STOCK</stp>
        <stp>99950.T</stp>
        <stp>後場始値</stp>
        <tr r="R1191" s="7"/>
      </tp>
      <tp t="s">
        <v>表示銘柄数超過</v>
        <stp/>
        <stp>Market</stp>
        <stp>STOCK</stp>
        <stp>19940.T</stp>
        <stp>後場始値</stp>
        <tr r="R86" s="7"/>
      </tp>
      <tp>
        <v>441</v>
        <stp/>
        <stp>Market</stp>
        <stp>STOCK</stp>
        <stp>69940.T</stp>
        <stp>後場始値</stp>
        <tr r="R802" s="7"/>
      </tp>
      <tp>
        <v>1123</v>
        <stp/>
        <stp>Market</stp>
        <stp>STOCK</stp>
        <stp>59940.T</stp>
        <stp>後場始値</stp>
        <tr r="R634" s="7"/>
      </tp>
      <tp t="s">
        <v>表示銘柄数超過</v>
        <stp/>
        <stp>Market</stp>
        <stp>STOCK</stp>
        <stp>29930.T</stp>
        <stp>後場始値</stp>
        <tr r="R219" s="7"/>
      </tp>
      <tp>
        <v>41</v>
        <stp/>
        <stp>Market</stp>
        <stp>STOCK</stp>
        <stp>69930.T</stp>
        <stp>後場始値</stp>
        <tr r="R801" s="7"/>
      </tp>
      <tp t="s">
        <v>表示銘柄数超過</v>
        <stp/>
        <stp>Market</stp>
        <stp>STOCK</stp>
        <stp>39920.T</stp>
        <stp>後場始値</stp>
        <tr r="R406" s="7"/>
      </tp>
      <tp>
        <v>1235</v>
        <stp/>
        <stp>Market</stp>
        <stp>STOCK</stp>
        <stp>59910.T</stp>
        <stp>後場始値</stp>
        <tr r="R633" s="7"/>
      </tp>
      <tp t="s">
        <v>表示銘柄数超過</v>
        <stp/>
        <stp>Market</stp>
        <stp>STOCK</stp>
        <stp>39900.T</stp>
        <stp>後場始値</stp>
        <tr r="R405" s="7"/>
      </tp>
      <tp t="s">
        <v>表示銘柄数超過</v>
        <stp/>
        <stp>Market</stp>
        <stp>STOCK</stp>
        <stp>99900.T</stp>
        <stp>後場始値</stp>
        <tr r="R1190" s="7"/>
      </tp>
    </main>
    <main first="rtdsrv.662c26bade854d00aebc6010f8a2e03a">
      <tp t="s">
        <v>表示銘柄数超過</v>
        <stp/>
        <stp>Market</stp>
        <stp>STOCK</stp>
        <stp>25010.T</stp>
        <stp>出来高加重平均</stp>
        <tr r="T156" s="7"/>
      </tp>
      <tp t="s">
        <v>表示銘柄数超過</v>
        <stp/>
        <stp>Market</stp>
        <stp>STOCK</stp>
        <stp>25160.T</stp>
        <stp>出来高加重平均</stp>
        <tr r="T158" s="7"/>
      </tp>
      <tp t="s">
        <v>表示銘柄数超過</v>
        <stp/>
        <stp>Market</stp>
        <stp>STOCK</stp>
        <stp>25100.T</stp>
        <stp>出来高加重平均</stp>
        <tr r="T157" s="7"/>
      </tp>
      <tp t="s">
        <v>表示銘柄数超過</v>
        <stp/>
        <stp>Market</stp>
        <stp>STOCK</stp>
        <stp>25180.T</stp>
        <stp>出来高加重平均</stp>
        <tr r="T159" s="7"/>
      </tp>
      <tp t="s">
        <v>表示銘柄数超過</v>
        <stp/>
        <stp>Market</stp>
        <stp>STOCK</stp>
        <stp>25330.T</stp>
        <stp>出来高加重平均</stp>
        <tr r="T160" s="7"/>
      </tp>
      <tp t="s">
        <v>表示銘柄数超過</v>
        <stp/>
        <stp>Market</stp>
        <stp>STOCK</stp>
        <stp>25670.T</stp>
        <stp>出来高加重平均</stp>
        <tr r="T162" s="7"/>
      </tp>
      <tp t="s">
        <v>表示銘柄数超過</v>
        <stp/>
        <stp>Market</stp>
        <stp>STOCK</stp>
        <stp>25630.T</stp>
        <stp>出来高加重平均</stp>
        <tr r="T161" s="7"/>
      </tp>
      <tp t="s">
        <v>表示銘柄数超過</v>
        <stp/>
        <stp>Market</stp>
        <stp>STOCK</stp>
        <stp>25790.T</stp>
        <stp>出来高加重平均</stp>
        <tr r="T163" s="7"/>
      </tp>
      <tp t="s">
        <v>表示銘柄数超過</v>
        <stp/>
        <stp>Market</stp>
        <stp>STOCK</stp>
        <stp>25870.T</stp>
        <stp>出来高加重平均</stp>
        <tr r="T166" s="7"/>
      </tp>
      <tp t="s">
        <v>表示銘柄数超過</v>
        <stp/>
        <stp>Market</stp>
        <stp>STOCK</stp>
        <stp>25860.T</stp>
        <stp>出来高加重平均</stp>
        <tr r="T165" s="7"/>
      </tp>
      <tp t="s">
        <v>表示銘柄数超過</v>
        <stp/>
        <stp>Market</stp>
        <stp>STOCK</stp>
        <stp>25850.T</stp>
        <stp>出来高加重平均</stp>
        <tr r="T164" s="7"/>
      </tp>
      <tp t="s">
        <v>表示銘柄数超過</v>
        <stp/>
        <stp>Market</stp>
        <stp>STOCK</stp>
        <stp>25970.T</stp>
        <stp>出来高加重平均</stp>
        <tr r="T168" s="7"/>
      </tp>
      <tp t="s">
        <v>表示銘柄数超過</v>
        <stp/>
        <stp>Market</stp>
        <stp>STOCK</stp>
        <stp>24040.T</stp>
        <stp>出来高加重平均</stp>
        <tr r="T133" s="7"/>
      </tp>
      <tp t="s">
        <v>表示銘柄数超過</v>
        <stp/>
        <stp>Market</stp>
        <stp>STOCK</stp>
        <stp>24020.T</stp>
        <stp>出来高加重平均</stp>
        <tr r="T132" s="7"/>
      </tp>
      <tp t="s">
        <v>表示銘柄数超過</v>
        <stp/>
        <stp>Market</stp>
        <stp>STOCK</stp>
        <stp>24080.T</stp>
        <stp>出来高加重平均</stp>
        <tr r="T134" s="7"/>
      </tp>
      <tp t="s">
        <v>表示銘柄数超過</v>
        <stp/>
        <stp>Market</stp>
        <stp>STOCK</stp>
        <stp>24150.T</stp>
        <stp>出来高加重平均</stp>
        <tr r="T138" s="7"/>
      </tp>
      <tp t="s">
        <v>表示銘柄数超過</v>
        <stp/>
        <stp>Market</stp>
        <stp>STOCK</stp>
        <stp>24120.T</stp>
        <stp>出来高加重平均</stp>
        <tr r="T137" s="7"/>
      </tp>
      <tp t="s">
        <v>表示銘柄数超過</v>
        <stp/>
        <stp>Market</stp>
        <stp>STOCK</stp>
        <stp>24110.T</stp>
        <stp>出来高加重平均</stp>
        <tr r="T136" s="7"/>
      </tp>
      <tp t="s">
        <v>表示銘柄数超過</v>
        <stp/>
        <stp>Market</stp>
        <stp>STOCK</stp>
        <stp>24100.T</stp>
        <stp>出来高加重平均</stp>
        <tr r="T135" s="7"/>
      </tp>
      <tp t="s">
        <v>表示銘柄数超過</v>
        <stp/>
        <stp>Market</stp>
        <stp>STOCK</stp>
        <stp>24290.T</stp>
        <stp>出来高加重平均</stp>
        <tr r="T139" s="7"/>
      </tp>
      <tp t="s">
        <v>表示銘柄数超過</v>
        <stp/>
        <stp>Market</stp>
        <stp>STOCK</stp>
        <stp>24370.T</stp>
        <stp>出来高加重平均</stp>
        <tr r="T143" s="7"/>
      </tp>
      <tp t="s">
        <v>表示銘柄数超過</v>
        <stp/>
        <stp>Market</stp>
        <stp>STOCK</stp>
        <stp>24350.T</stp>
        <stp>出来高加重平均</stp>
        <tr r="T142" s="7"/>
      </tp>
      <tp t="s">
        <v>表示銘柄数超過</v>
        <stp/>
        <stp>Market</stp>
        <stp>STOCK</stp>
        <stp>24330.T</stp>
        <stp>出来高加重平均</stp>
        <tr r="T141" s="7"/>
      </tp>
      <tp t="s">
        <v>表示銘柄数超過</v>
        <stp/>
        <stp>Market</stp>
        <stp>STOCK</stp>
        <stp>24320.T</stp>
        <stp>出来高加重平均</stp>
        <tr r="T140" s="7"/>
      </tp>
      <tp t="s">
        <v>表示銘柄数超過</v>
        <stp/>
        <stp>Market</stp>
        <stp>STOCK</stp>
        <stp>24380.T</stp>
        <stp>出来高加重平均</stp>
        <tr r="T144" s="7"/>
      </tp>
      <tp t="s">
        <v>表示銘柄数超過</v>
        <stp/>
        <stp>Market</stp>
        <stp>STOCK</stp>
        <stp>24450.T</stp>
        <stp>出来高加重平均</stp>
        <tr r="T145" s="7"/>
      </tp>
      <tp t="s">
        <v>表示銘柄数超過</v>
        <stp/>
        <stp>Market</stp>
        <stp>STOCK</stp>
        <stp>24530.T</stp>
        <stp>出来高加重平均</stp>
        <tr r="T146" s="7"/>
      </tp>
      <tp t="s">
        <v>表示銘柄数超過</v>
        <stp/>
        <stp>Market</stp>
        <stp>STOCK</stp>
        <stp>24610.T</stp>
        <stp>出来高加重平均</stp>
        <tr r="T147" s="7"/>
      </tp>
      <tp t="s">
        <v>表示銘柄数超過</v>
        <stp/>
        <stp>Market</stp>
        <stp>STOCK</stp>
        <stp>24680.T</stp>
        <stp>出来高加重平均</stp>
        <tr r="T148" s="7"/>
      </tp>
      <tp t="s">
        <v>表示銘柄数超過</v>
        <stp/>
        <stp>Market</stp>
        <stp>STOCK</stp>
        <stp>24710.T</stp>
        <stp>出来高加重平均</stp>
        <tr r="T149" s="7"/>
      </tp>
      <tp t="s">
        <v>表示銘柄数超過</v>
        <stp/>
        <stp>Market</stp>
        <stp>STOCK</stp>
        <stp>24790.T</stp>
        <stp>出来高加重平均</stp>
        <tr r="T150" s="7"/>
      </tp>
      <tp t="s">
        <v>表示銘柄数超過</v>
        <stp/>
        <stp>Market</stp>
        <stp>STOCK</stp>
        <stp>24840.T</stp>
        <stp>出来高加重平均</stp>
        <tr r="T152" s="7"/>
      </tp>
      <tp t="s">
        <v>表示銘柄数超過</v>
        <stp/>
        <stp>Market</stp>
        <stp>STOCK</stp>
        <stp>24830.T</stp>
        <stp>出来高加重平均</stp>
        <tr r="T151" s="7"/>
      </tp>
      <tp t="s">
        <v>表示銘柄数超過</v>
        <stp/>
        <stp>Market</stp>
        <stp>STOCK</stp>
        <stp>24880.T</stp>
        <stp>出来高加重平均</stp>
        <tr r="T153" s="7"/>
      </tp>
      <tp t="s">
        <v>表示銘柄数超過</v>
        <stp/>
        <stp>Market</stp>
        <stp>STOCK</stp>
        <stp>24970.T</stp>
        <stp>出来高加重平均</stp>
        <tr r="T155" s="7"/>
      </tp>
      <tp t="s">
        <v>表示銘柄数超過</v>
        <stp/>
        <stp>Market</stp>
        <stp>STOCK</stp>
        <stp>24920.T</stp>
        <stp>出来高加重平均</stp>
        <tr r="T154" s="7"/>
      </tp>
      <tp t="s">
        <v>表示銘柄数超過</v>
        <stp/>
        <stp>Market</stp>
        <stp>STOCK</stp>
        <stp>27020.T</stp>
        <stp>出来高加重平均</stp>
        <tr r="T186" s="7"/>
      </tp>
      <tp t="s">
        <v>表示銘柄数超過</v>
        <stp/>
        <stp>Market</stp>
        <stp>STOCK</stp>
        <stp>27220.T</stp>
        <stp>出来高加重平均</stp>
        <tr r="T188" s="7"/>
      </tp>
      <tp t="s">
        <v>表示銘柄数超過</v>
        <stp/>
        <stp>Market</stp>
        <stp>STOCK</stp>
        <stp>27210.T</stp>
        <stp>出来高加重平均</stp>
        <tr r="T187" s="7"/>
      </tp>
      <tp t="s">
        <v>表示銘柄数超過</v>
        <stp/>
        <stp>Market</stp>
        <stp>STOCK</stp>
        <stp>27350.T</stp>
        <stp>出来高加重平均</stp>
        <tr r="T190" s="7"/>
      </tp>
      <tp t="s">
        <v>表示銘柄数超過</v>
        <stp/>
        <stp>Market</stp>
        <stp>STOCK</stp>
        <stp>27340.T</stp>
        <stp>出来高加重平均</stp>
        <tr r="T189" s="7"/>
      </tp>
      <tp t="s">
        <v>表示銘柄数超過</v>
        <stp/>
        <stp>Market</stp>
        <stp>STOCK</stp>
        <stp>27430.T</stp>
        <stp>出来高加重平均</stp>
        <tr r="T191" s="7"/>
      </tp>
      <tp t="s">
        <v>表示銘柄数超過</v>
        <stp/>
        <stp>Market</stp>
        <stp>STOCK</stp>
        <stp>27490.T</stp>
        <stp>出来高加重平均</stp>
        <tr r="T192" s="7"/>
      </tp>
      <tp t="s">
        <v>表示銘柄数超過</v>
        <stp/>
        <stp>Market</stp>
        <stp>STOCK</stp>
        <stp>27670.T</stp>
        <stp>出来高加重平均</stp>
        <tr r="T195" s="7"/>
      </tp>
      <tp t="s">
        <v>表示銘柄数超過</v>
        <stp/>
        <stp>Market</stp>
        <stp>STOCK</stp>
        <stp>27640.T</stp>
        <stp>出来高加重平均</stp>
        <tr r="T194" s="7"/>
      </tp>
      <tp t="s">
        <v>表示銘柄数超過</v>
        <stp/>
        <stp>Market</stp>
        <stp>STOCK</stp>
        <stp>27620.T</stp>
        <stp>出来高加重平均</stp>
        <tr r="T193" s="7"/>
      </tp>
      <tp t="s">
        <v>表示銘柄数超過</v>
        <stp/>
        <stp>Market</stp>
        <stp>STOCK</stp>
        <stp>27680.T</stp>
        <stp>出来高加重平均</stp>
        <tr r="T196" s="7"/>
      </tp>
      <tp t="s">
        <v>表示銘柄数超過</v>
        <stp/>
        <stp>Market</stp>
        <stp>STOCK</stp>
        <stp>27760.T</stp>
        <stp>出来高加重平均</stp>
        <tr r="T197" s="7"/>
      </tp>
      <tp t="s">
        <v>表示銘柄数超過</v>
        <stp/>
        <stp>Market</stp>
        <stp>STOCK</stp>
        <stp>27780.T</stp>
        <stp>出来高加重平均</stp>
        <tr r="T198" s="7"/>
      </tp>
      <tp t="s">
        <v>表示銘柄数超過</v>
        <stp/>
        <stp>Market</stp>
        <stp>STOCK</stp>
        <stp>27820.T</stp>
        <stp>出来高加重平均</stp>
        <tr r="T199" s="7"/>
      </tp>
      <tp t="s">
        <v>表示銘柄数超過</v>
        <stp/>
        <stp>Market</stp>
        <stp>STOCK</stp>
        <stp>27900.T</stp>
        <stp>出来高加重平均</stp>
        <tr r="T200" s="7"/>
      </tp>
      <tp t="s">
        <v>表示銘柄数超過</v>
        <stp/>
        <stp>Market</stp>
        <stp>STOCK</stp>
        <stp>26240.T</stp>
        <stp>出来高加重平均</stp>
        <tr r="T171" s="7"/>
      </tp>
      <tp t="s">
        <v>表示銘柄数超過</v>
        <stp/>
        <stp>Market</stp>
        <stp>STOCK</stp>
        <stp>26210.T</stp>
        <stp>出来高加重平均</stp>
        <tr r="T170" s="7"/>
      </tp>
      <tp t="s">
        <v>表示銘柄数超過</v>
        <stp/>
        <stp>Market</stp>
        <stp>STOCK</stp>
        <stp>26200.T</stp>
        <stp>出来高加重平均</stp>
        <tr r="T169" s="7"/>
      </tp>
      <tp t="s">
        <v>表示銘柄数超過</v>
        <stp/>
        <stp>Market</stp>
        <stp>STOCK</stp>
        <stp>26350.T</stp>
        <stp>出来高加重平均</stp>
        <tr r="T174" s="7"/>
      </tp>
      <tp t="s">
        <v>表示銘柄数超過</v>
        <stp/>
        <stp>Market</stp>
        <stp>STOCK</stp>
        <stp>26340.T</stp>
        <stp>出来高加重平均</stp>
        <tr r="T173" s="7"/>
      </tp>
      <tp t="s">
        <v>表示銘柄数超過</v>
        <stp/>
        <stp>Market</stp>
        <stp>STOCK</stp>
        <stp>26330.T</stp>
        <stp>出来高加重平均</stp>
        <tr r="T172" s="7"/>
      </tp>
      <tp t="s">
        <v>表示銘柄数超過</v>
        <stp/>
        <stp>Market</stp>
        <stp>STOCK</stp>
        <stp>26560.T</stp>
        <stp>出来高加重平均</stp>
        <tr r="T176" s="7"/>
      </tp>
      <tp t="s">
        <v>表示銘柄数超過</v>
        <stp/>
        <stp>Market</stp>
        <stp>STOCK</stp>
        <stp>26510.T</stp>
        <stp>出来高加重平均</stp>
        <tr r="T175" s="7"/>
      </tp>
      <tp t="s">
        <v>表示銘柄数超過</v>
        <stp/>
        <stp>Market</stp>
        <stp>STOCK</stp>
        <stp>26670.T</stp>
        <stp>出来高加重平均</stp>
        <tr r="T178" s="7"/>
      </tp>
      <tp t="s">
        <v>表示銘柄数超過</v>
        <stp/>
        <stp>Market</stp>
        <stp>STOCK</stp>
        <stp>26660.T</stp>
        <stp>出来高加重平均</stp>
        <tr r="T177" s="7"/>
      </tp>
      <tp t="s">
        <v>表示銘柄数超過</v>
        <stp/>
        <stp>Market</stp>
        <stp>STOCK</stp>
        <stp>26740.T</stp>
        <stp>出来高加重平均</stp>
        <tr r="T179" s="7"/>
      </tp>
      <tp t="s">
        <v>表示銘柄数超過</v>
        <stp/>
        <stp>Market</stp>
        <stp>STOCK</stp>
        <stp>26860.T</stp>
        <stp>出来高加重平均</stp>
        <tr r="T182" s="7"/>
      </tp>
      <tp t="s">
        <v>表示銘柄数超過</v>
        <stp/>
        <stp>Market</stp>
        <stp>STOCK</stp>
        <stp>26850.T</stp>
        <stp>出来高加重平均</stp>
        <tr r="T181" s="7"/>
      </tp>
      <tp t="s">
        <v>表示銘柄数超過</v>
        <stp/>
        <stp>Market</stp>
        <stp>STOCK</stp>
        <stp>26810.T</stp>
        <stp>出来高加重平均</stp>
        <tr r="T180" s="7"/>
      </tp>
      <tp t="s">
        <v>表示銘柄数超過</v>
        <stp/>
        <stp>Market</stp>
        <stp>STOCK</stp>
        <stp>26940.T</stp>
        <stp>出来高加重平均</stp>
        <tr r="T184" s="7"/>
      </tp>
      <tp t="s">
        <v>表示銘柄数超過</v>
        <stp/>
        <stp>Market</stp>
        <stp>STOCK</stp>
        <stp>26930.T</stp>
        <stp>出来高加重平均</stp>
        <tr r="T183" s="7"/>
      </tp>
      <tp t="s">
        <v>表示銘柄数超過</v>
        <stp/>
        <stp>Market</stp>
        <stp>STOCK</stp>
        <stp>26980.T</stp>
        <stp>出来高加重平均</stp>
        <tr r="T185" s="7"/>
      </tp>
      <tp t="s">
        <v>表示銘柄数超過</v>
        <stp/>
        <stp>Market</stp>
        <stp>STOCK</stp>
        <stp>21140.T</stp>
        <stp>出来高加重平均</stp>
        <tr r="T89" s="7"/>
      </tp>
      <tp t="s">
        <v>表示銘柄数超過</v>
        <stp/>
        <stp>Market</stp>
        <stp>STOCK</stp>
        <stp>21270.T</stp>
        <stp>出来高加重平均</stp>
        <tr r="T91" s="7"/>
      </tp>
      <tp t="s">
        <v>表示銘柄数超過</v>
        <stp/>
        <stp>Market</stp>
        <stp>STOCK</stp>
        <stp>21200.T</stp>
        <stp>出来高加重平均</stp>
        <tr r="T90" s="7"/>
      </tp>
      <tp t="s">
        <v>表示銘柄数超過</v>
        <stp/>
        <stp>Market</stp>
        <stp>STOCK</stp>
        <stp>21340.T</stp>
        <stp>出来高加重平均</stp>
        <tr r="T92" s="7"/>
      </tp>
      <tp t="s">
        <v>表示銘柄数超過</v>
        <stp/>
        <stp>Market</stp>
        <stp>STOCK</stp>
        <stp>21380.T</stp>
        <stp>出来高加重平均</stp>
        <tr r="T93" s="7"/>
      </tp>
      <tp t="s">
        <v>表示銘柄数超過</v>
        <stp/>
        <stp>Market</stp>
        <stp>STOCK</stp>
        <stp>21540.T</stp>
        <stp>出来高加重平均</stp>
        <tr r="T96" s="7"/>
      </tp>
      <tp t="s">
        <v>表示銘柄数超過</v>
        <stp/>
        <stp>Market</stp>
        <stp>STOCK</stp>
        <stp>21520.T</stp>
        <stp>出来高加重平均</stp>
        <tr r="T95" s="7"/>
      </tp>
      <tp t="s">
        <v>表示銘柄数超過</v>
        <stp/>
        <stp>Market</stp>
        <stp>STOCK</stp>
        <stp>21500.T</stp>
        <stp>出来高加重平均</stp>
        <tr r="T94" s="7"/>
      </tp>
      <tp t="s">
        <v>表示銘柄数超過</v>
        <stp/>
        <stp>Market</stp>
        <stp>STOCK</stp>
        <stp>21580.T</stp>
        <stp>出来高加重平均</stp>
        <tr r="T97" s="7"/>
      </tp>
      <tp t="s">
        <v>表示銘柄数超過</v>
        <stp/>
        <stp>Market</stp>
        <stp>STOCK</stp>
        <stp>21640.T</stp>
        <stp>出来高加重平均</stp>
        <tr r="T100" s="7"/>
      </tp>
      <tp t="s">
        <v>表示銘柄数超過</v>
        <stp/>
        <stp>Market</stp>
        <stp>STOCK</stp>
        <stp>21620.T</stp>
        <stp>出来高加重平均</stp>
        <tr r="T99" s="7"/>
      </tp>
      <tp t="s">
        <v>表示銘柄数超過</v>
        <stp/>
        <stp>Market</stp>
        <stp>STOCK</stp>
        <stp>21600.T</stp>
        <stp>出来高加重平均</stp>
        <tr r="T98" s="7"/>
      </tp>
      <tp t="s">
        <v>表示銘柄数超過</v>
        <stp/>
        <stp>Market</stp>
        <stp>STOCK</stp>
        <stp>21680.T</stp>
        <stp>出来高加重平均</stp>
        <tr r="T101" s="7"/>
      </tp>
      <tp t="s">
        <v>表示銘柄数超過</v>
        <stp/>
        <stp>Market</stp>
        <stp>STOCK</stp>
        <stp>21980.T</stp>
        <stp>出来高加重平均</stp>
        <tr r="T102" s="7"/>
      </tp>
      <tp>
        <v>1738.4391000000001</v>
        <stp/>
        <stp>Market</stp>
        <stp>STOCK</stp>
        <stp>20380.T</stp>
        <stp>出来高加重平均</stp>
        <tr r="T87" s="7"/>
      </tp>
      <tp t="s">
        <v>表示銘柄数超過</v>
        <stp/>
        <stp>Market</stp>
        <stp>STOCK</stp>
        <stp>20550.T</stp>
        <stp>出来高加重平均</stp>
        <tr r="T88" s="7"/>
      </tp>
      <tp t="s">
        <v>表示銘柄数超過</v>
        <stp/>
        <stp>Market</stp>
        <stp>STOCK</stp>
        <stp>23050.T</stp>
        <stp>出来高加重平均</stp>
        <tr r="T112" s="7"/>
      </tp>
      <tp t="s">
        <v>表示銘柄数超過</v>
        <stp/>
        <stp>Market</stp>
        <stp>STOCK</stp>
        <stp>23040.T</stp>
        <stp>出来高加重平均</stp>
        <tr r="T111" s="7"/>
      </tp>
      <tp t="s">
        <v>表示銘柄数超過</v>
        <stp/>
        <stp>Market</stp>
        <stp>STOCK</stp>
        <stp>23170.T</stp>
        <stp>出来高加重平均</stp>
        <tr r="T114" s="7"/>
      </tp>
      <tp>
        <v>43.598300000000002</v>
        <stp/>
        <stp>Market</stp>
        <stp>STOCK</stp>
        <stp>23150.T</stp>
        <stp>出来高加重平均</stp>
        <tr r="T113" s="7"/>
      </tp>
      <tp t="s">
        <v>表示銘柄数超過</v>
        <stp/>
        <stp>Market</stp>
        <stp>STOCK</stp>
        <stp>23230.T</stp>
        <stp>出来高加重平均</stp>
        <tr r="T116" s="7"/>
      </tp>
      <tp t="s">
        <v>表示銘柄数超過</v>
        <stp/>
        <stp>Market</stp>
        <stp>STOCK</stp>
        <stp>23210.T</stp>
        <stp>出来高加重平均</stp>
        <tr r="T115" s="7"/>
      </tp>
      <tp t="s">
        <v>表示銘柄数超過</v>
        <stp/>
        <stp>Market</stp>
        <stp>STOCK</stp>
        <stp>23370.T</stp>
        <stp>出来高加重平均</stp>
        <tr r="T118" s="7"/>
      </tp>
      <tp t="s">
        <v>表示銘柄数超過</v>
        <stp/>
        <stp>Market</stp>
        <stp>STOCK</stp>
        <stp>23300.T</stp>
        <stp>出来高加重平均</stp>
        <tr r="T117" s="7"/>
      </tp>
      <tp t="s">
        <v>表示銘柄数超過</v>
        <stp/>
        <stp>Market</stp>
        <stp>STOCK</stp>
        <stp>23450.T</stp>
        <stp>出来高加重平均</stp>
        <tr r="T122" s="7"/>
      </tp>
      <tp t="s">
        <v>表示銘柄数超過</v>
        <stp/>
        <stp>Market</stp>
        <stp>STOCK</stp>
        <stp>23440.T</stp>
        <stp>出来高加重平均</stp>
        <tr r="T121" s="7"/>
      </tp>
      <tp t="s">
        <v>表示銘柄数超過</v>
        <stp/>
        <stp>Market</stp>
        <stp>STOCK</stp>
        <stp>23410.T</stp>
        <stp>出来高加重平均</stp>
        <tr r="T120" s="7"/>
      </tp>
      <tp t="s">
        <v>表示銘柄数超過</v>
        <stp/>
        <stp>Market</stp>
        <stp>STOCK</stp>
        <stp>23400.T</stp>
        <stp>出来高加重平均</stp>
        <tr r="T119" s="7"/>
      </tp>
      <tp t="s">
        <v>表示銘柄数超過</v>
        <stp/>
        <stp>Market</stp>
        <stp>STOCK</stp>
        <stp>23540.T</stp>
        <stp>出来高加重平均</stp>
        <tr r="T125" s="7"/>
      </tp>
      <tp t="s">
        <v>表示銘柄数超過</v>
        <stp/>
        <stp>Market</stp>
        <stp>STOCK</stp>
        <stp>23530.T</stp>
        <stp>出来高加重平均</stp>
        <tr r="T124" s="7"/>
      </tp>
      <tp t="s">
        <v>表示銘柄数超過</v>
        <stp/>
        <stp>Market</stp>
        <stp>STOCK</stp>
        <stp>23510.T</stp>
        <stp>出来高加重平均</stp>
        <tr r="T123" s="7"/>
      </tp>
      <tp t="s">
        <v>表示銘柄数超過</v>
        <stp/>
        <stp>Market</stp>
        <stp>STOCK</stp>
        <stp>23760.T</stp>
        <stp>出来高加重平均</stp>
        <tr r="T129" s="7"/>
      </tp>
      <tp t="s">
        <v>表示銘柄数超過</v>
        <stp/>
        <stp>Market</stp>
        <stp>STOCK</stp>
        <stp>23750.T</stp>
        <stp>出来高加重平均</stp>
        <tr r="T128" s="7"/>
      </tp>
      <tp t="s">
        <v>表示銘柄数超過</v>
        <stp/>
        <stp>Market</stp>
        <stp>STOCK</stp>
        <stp>23730.T</stp>
        <stp>出来高加重平均</stp>
        <tr r="T127" s="7"/>
      </tp>
      <tp t="s">
        <v>表示銘柄数超過</v>
        <stp/>
        <stp>Market</stp>
        <stp>STOCK</stp>
        <stp>23700.T</stp>
        <stp>出来高加重平均</stp>
        <tr r="T126" s="7"/>
      </tp>
      <tp t="s">
        <v>表示銘柄数超過</v>
        <stp/>
        <stp>Market</stp>
        <stp>STOCK</stp>
        <stp>23780.T</stp>
        <stp>出来高加重平均</stp>
        <tr r="T130" s="7"/>
      </tp>
      <tp t="s">
        <v>表示銘柄数超過</v>
        <stp/>
        <stp>Market</stp>
        <stp>STOCK</stp>
        <stp>23880.T</stp>
        <stp>出来高加重平均</stp>
        <tr r="T131" s="7"/>
      </tp>
      <tp t="s">
        <v>表示銘柄数超過</v>
        <stp/>
        <stp>Market</stp>
        <stp>STOCK</stp>
        <stp>22060.T</stp>
        <stp>出来高加重平均</stp>
        <tr r="T103" s="7"/>
      </tp>
      <tp t="s">
        <v>表示銘柄数超過</v>
        <stp/>
        <stp>Market</stp>
        <stp>STOCK</stp>
        <stp>22160.T</stp>
        <stp>出来高加重平均</stp>
        <tr r="T104" s="7"/>
      </tp>
      <tp t="s">
        <v>表示銘柄数超過</v>
        <stp/>
        <stp>Market</stp>
        <stp>STOCK</stp>
        <stp>22360.T</stp>
        <stp>出来高加重平均</stp>
        <tr r="T106" s="7"/>
      </tp>
      <tp t="s">
        <v>表示銘柄数超過</v>
        <stp/>
        <stp>Market</stp>
        <stp>STOCK</stp>
        <stp>22350.T</stp>
        <stp>出来高加重平均</stp>
        <tr r="T105" s="7"/>
      </tp>
      <tp t="s">
        <v>表示銘柄数超過</v>
        <stp/>
        <stp>Market</stp>
        <stp>STOCK</stp>
        <stp>22420.T</stp>
        <stp>出来高加重平均</stp>
        <tr r="T108" s="7"/>
      </tp>
      <tp t="s">
        <v>表示銘柄数超過</v>
        <stp/>
        <stp>Market</stp>
        <stp>STOCK</stp>
        <stp>22410.T</stp>
        <stp>出来高加重平均</stp>
        <tr r="T107" s="7"/>
      </tp>
      <tp t="s">
        <v>表示銘柄数超過</v>
        <stp/>
        <stp>Market</stp>
        <stp>STOCK</stp>
        <stp>22530.T</stp>
        <stp>出来高加重平均</stp>
        <tr r="T110" s="7"/>
      </tp>
      <tp t="s">
        <v>表示銘柄数超過</v>
        <stp/>
        <stp>Market</stp>
        <stp>STOCK</stp>
        <stp>22500.T</stp>
        <stp>出来高加重平均</stp>
        <tr r="T109" s="7"/>
      </tp>
      <tp t="s">
        <v>表示銘柄数超過</v>
        <stp/>
        <stp>Market</stp>
        <stp>STOCK</stp>
        <stp>29010.T</stp>
        <stp>出来高加重平均</stp>
        <tr r="T213" s="7"/>
      </tp>
      <tp>
        <v>3925.9409999999998</v>
        <stp/>
        <stp>Market</stp>
        <stp>STOCK</stp>
        <stp>29140.T</stp>
        <stp>出来高加重平均</stp>
        <tr r="T214" s="7"/>
      </tp>
      <tp t="s">
        <v>表示銘柄数超過</v>
        <stp/>
        <stp>Market</stp>
        <stp>STOCK</stp>
        <stp>29260.T</stp>
        <stp>出来高加重平均</stp>
        <tr r="T215" s="7"/>
      </tp>
      <tp t="s">
        <v>表示銘柄数超過</v>
        <stp/>
        <stp>Market</stp>
        <stp>STOCK</stp>
        <stp>29300.T</stp>
        <stp>出来高加重平均</stp>
        <tr r="T216" s="7"/>
      </tp>
      <tp t="s">
        <v>表示銘柄数超過</v>
        <stp/>
        <stp>Market</stp>
        <stp>STOCK</stp>
        <stp>29870.T</stp>
        <stp>出来高加重平均</stp>
        <tr r="T218" s="7"/>
      </tp>
      <tp t="s">
        <v>表示銘柄数超過</v>
        <stp/>
        <stp>Market</stp>
        <stp>STOCK</stp>
        <stp>29820.T</stp>
        <stp>出来高加重平均</stp>
        <tr r="T217" s="7"/>
      </tp>
      <tp t="s">
        <v>表示銘柄数超過</v>
        <stp/>
        <stp>Market</stp>
        <stp>STOCK</stp>
        <stp>29970.T</stp>
        <stp>出来高加重平均</stp>
        <tr r="T220" s="7"/>
      </tp>
      <tp t="s">
        <v>表示銘柄数超過</v>
        <stp/>
        <stp>Market</stp>
        <stp>STOCK</stp>
        <stp>29930.T</stp>
        <stp>出来高加重平均</stp>
        <tr r="T219" s="7"/>
      </tp>
      <tp t="s">
        <v>表示銘柄数超過</v>
        <stp/>
        <stp>Market</stp>
        <stp>STOCK</stp>
        <stp>28100.T</stp>
        <stp>出来高加重平均</stp>
        <tr r="T201" s="7"/>
      </tp>
      <tp t="s">
        <v>表示銘柄数超過</v>
        <stp/>
        <stp>Market</stp>
        <stp>STOCK</stp>
        <stp>28450.T</stp>
        <stp>出来高加重平均</stp>
        <tr r="T202" s="7"/>
      </tp>
      <tp t="s">
        <v>表示銘柄数超過</v>
        <stp/>
        <stp>Market</stp>
        <stp>STOCK</stp>
        <stp>28570.T</stp>
        <stp>出来高加重平均</stp>
        <tr r="T207" s="7"/>
      </tp>
      <tp t="s">
        <v>表示銘柄数超過</v>
        <stp/>
        <stp>Market</stp>
        <stp>STOCK</stp>
        <stp>28560.T</stp>
        <stp>出来高加重平均</stp>
        <tr r="T206" s="7"/>
      </tp>
      <tp t="s">
        <v>表示銘柄数超過</v>
        <stp/>
        <stp>Market</stp>
        <stp>STOCK</stp>
        <stp>28530.T</stp>
        <stp>出来高加重平均</stp>
        <tr r="T205" s="7"/>
      </tp>
      <tp t="s">
        <v>表示銘柄数超過</v>
        <stp/>
        <stp>Market</stp>
        <stp>STOCK</stp>
        <stp>28520.T</stp>
        <stp>出来高加重平均</stp>
        <tr r="T204" s="7"/>
      </tp>
      <tp t="s">
        <v>表示銘柄数超過</v>
        <stp/>
        <stp>Market</stp>
        <stp>STOCK</stp>
        <stp>28510.T</stp>
        <stp>出来高加重平均</stp>
        <tr r="T203" s="7"/>
      </tp>
      <tp t="s">
        <v>表示銘柄数超過</v>
        <stp/>
        <stp>Market</stp>
        <stp>STOCK</stp>
        <stp>28580.T</stp>
        <stp>出来高加重平均</stp>
        <tr r="T208" s="7"/>
      </tp>
      <tp t="s">
        <v>表示銘柄数超過</v>
        <stp/>
        <stp>Market</stp>
        <stp>STOCK</stp>
        <stp>28650.T</stp>
        <stp>出来高加重平均</stp>
        <tr r="T209" s="7"/>
      </tp>
      <tp t="s">
        <v>表示銘柄数超過</v>
        <stp/>
        <stp>Market</stp>
        <stp>STOCK</stp>
        <stp>28680.T</stp>
        <stp>出来高加重平均</stp>
        <tr r="T210" s="7"/>
      </tp>
      <tp t="s">
        <v>表示銘柄数超過</v>
        <stp/>
        <stp>Market</stp>
        <stp>STOCK</stp>
        <stp>28750.T</stp>
        <stp>出来高加重平均</stp>
        <tr r="T211" s="7"/>
      </tp>
      <tp t="s">
        <v>表示銘柄数超過</v>
        <stp/>
        <stp>Market</stp>
        <stp>STOCK</stp>
        <stp>28940.T</stp>
        <stp>出来高加重平均</stp>
        <tr r="T212" s="7"/>
      </tp>
    </main>
    <main first="rtdsrv.662c26bade854d00aebc6010f8a2e03a">
      <tp t="s">
        <v>表示銘柄数超過</v>
        <stp/>
        <stp>Market</stp>
        <stp>STOCK</stp>
        <stp>28680.T</stp>
        <stp>後場始値</stp>
        <tr r="R210" s="7"/>
      </tp>
      <tp>
        <v>731</v>
        <stp/>
        <stp>Market</stp>
        <stp>STOCK</stp>
        <stp>78680.T</stp>
        <stp>後場始値</stp>
        <tr r="R950" s="7"/>
      </tp>
      <tp>
        <v>2340</v>
        <stp/>
        <stp>Market</stp>
        <stp>STOCK</stp>
        <stp>78670.T</stp>
        <stp>後場始値</stp>
        <tr r="R949" s="7"/>
      </tp>
      <tp>
        <v>713</v>
        <stp/>
        <stp>Market</stp>
        <stp>STOCK</stp>
        <stp>68670.T</stp>
        <stp>後場始値</stp>
        <tr r="R781" s="7"/>
      </tp>
      <tp t="s">
        <v>表示銘柄数超過</v>
        <stp/>
        <stp>Market</stp>
        <stp>STOCK</stp>
        <stp>38650.T</stp>
        <stp>後場始値</stp>
        <tr r="R382" s="7"/>
      </tp>
      <tp t="s">
        <v>表示銘柄数超過</v>
        <stp/>
        <stp>Market</stp>
        <stp>STOCK</stp>
        <stp>28650.T</stp>
        <stp>後場始値</stp>
        <tr r="R209" s="7"/>
      </tp>
      <tp t="s">
        <v>表示銘柄数超過</v>
        <stp/>
        <stp>Market</stp>
        <stp>STOCK</stp>
        <stp>38640.T</stp>
        <stp>後場始値</stp>
        <tr r="R381" s="7"/>
      </tp>
      <tp t="s">
        <v>表示銘柄数超過</v>
        <stp/>
        <stp>Market</stp>
        <stp>STOCK</stp>
        <stp>38630.T</stp>
        <stp>後場始値</stp>
        <tr r="R380" s="7"/>
      </tp>
      <tp>
        <v>1360</v>
        <stp/>
        <stp>Market</stp>
        <stp>STOCK</stp>
        <stp>68630.T</stp>
        <stp>後場始値</stp>
        <tr r="R780" s="7"/>
      </tp>
      <tp>
        <v>1397</v>
        <stp/>
        <stp>Market</stp>
        <stp>STOCK</stp>
        <stp>68620.T</stp>
        <stp>後場始値</stp>
        <tr r="R779" s="7"/>
      </tp>
      <tp t="s">
        <v>表示銘柄数超過</v>
        <stp/>
        <stp>Market</stp>
        <stp>STOCK</stp>
        <stp>38610.T</stp>
        <stp>後場始値</stp>
        <tr r="R379" s="7"/>
      </tp>
      <tp t="s">
        <v>表示銘柄数超過</v>
        <stp/>
        <stp>Market</stp>
        <stp>STOCK</stp>
        <stp>18790.T</stp>
        <stp>後場始値</stp>
        <tr r="R68" s="7"/>
      </tp>
      <tp t="s">
        <v>表示銘柄数超過</v>
        <stp/>
        <stp>Market</stp>
        <stp>STOCK</stp>
        <stp>98760.T</stp>
        <stp>後場始値</stp>
        <tr r="R1175" s="7"/>
      </tp>
      <tp t="s">
        <v>表示銘柄数超過</v>
        <stp/>
        <stp>Market</stp>
        <stp>STOCK</stp>
        <stp>28750.T</stp>
        <stp>後場始値</stp>
        <tr r="R211" s="7"/>
      </tp>
      <tp>
        <v>4095</v>
        <stp/>
        <stp>Market</stp>
        <stp>STOCK</stp>
        <stp>68710.T</stp>
        <stp>後場始値</stp>
        <tr r="R782" s="7"/>
      </tp>
      <tp t="s">
        <v>表示銘柄数超過</v>
        <stp/>
        <stp>Market</stp>
        <stp>STOCK</stp>
        <stp>18480.T</stp>
        <stp>後場始値</stp>
        <tr r="R67" s="7"/>
      </tp>
      <tp t="s">
        <v>表示銘柄数超過</v>
        <stp/>
        <stp>Market</stp>
        <stp>STOCK</stp>
        <stp>48470.T</stp>
        <stp>後場始値</stp>
        <tr r="R544" s="7"/>
      </tp>
      <tp t="s">
        <v>表示銘柄数超過</v>
        <stp/>
        <stp>Market</stp>
        <stp>STOCK</stp>
        <stp>38450.T</stp>
        <stp>後場始値</stp>
        <tr r="R372" s="7"/>
      </tp>
      <tp t="s">
        <v>表示銘柄数超過</v>
        <stp/>
        <stp>Market</stp>
        <stp>STOCK</stp>
        <stp>28450.T</stp>
        <stp>後場始値</stp>
        <tr r="R202" s="7"/>
      </tp>
      <tp t="s">
        <v>表示銘柄数超過</v>
        <stp/>
        <stp>Market</stp>
        <stp>STOCK</stp>
        <stp>18440.T</stp>
        <stp>後場始値</stp>
        <tr r="R66" s="7"/>
      </tp>
      <tp>
        <v>744</v>
        <stp/>
        <stp>Market</stp>
        <stp>STOCK</stp>
        <stp>78440.T</stp>
        <stp>後場始値</stp>
        <tr r="R945" s="7"/>
      </tp>
      <tp t="s">
        <v>表示銘柄数超過</v>
        <stp/>
        <stp>Market</stp>
        <stp>STOCK</stp>
        <stp>88440.T</stp>
        <stp>後場始値</stp>
        <tr r="R1056" s="7"/>
      </tp>
      <tp t="s">
        <v>表示銘柄数超過</v>
        <stp/>
        <stp>Market</stp>
        <stp>STOCK</stp>
        <stp>38420.T</stp>
        <stp>後場始値</stp>
        <tr r="R371" s="7"/>
      </tp>
      <tp t="s">
        <v>表示銘柄数超過</v>
        <stp/>
        <stp>Market</stp>
        <stp>STOCK</stp>
        <stp>98420.T</stp>
        <stp>後場始値</stp>
        <tr r="R1172" s="7"/>
      </tp>
      <tp t="s">
        <v>表示銘柄数超過</v>
        <stp/>
        <stp>Market</stp>
        <stp>STOCK</stp>
        <stp>88410.T</stp>
        <stp>後場始値</stp>
        <tr r="R1055" s="7"/>
      </tp>
      <tp t="s">
        <v>表示銘柄数超過</v>
        <stp/>
        <stp>Market</stp>
        <stp>STOCK</stp>
        <stp>38400.T</stp>
        <stp>後場始値</stp>
        <tr r="R370" s="7"/>
      </tp>
      <tp t="s">
        <v>表示銘柄数超過</v>
        <stp/>
        <stp>Market</stp>
        <stp>STOCK</stp>
        <stp>18400.T</stp>
        <stp>後場始値</stp>
        <tr r="R65" s="7"/>
      </tp>
      <tp>
        <v>478</v>
        <stp/>
        <stp>Market</stp>
        <stp>STOCK</stp>
        <stp>68400.T</stp>
        <stp>後場始値</stp>
        <tr r="R777" s="7"/>
      </tp>
      <tp>
        <v>1293</v>
        <stp/>
        <stp>Market</stp>
        <stp>STOCK</stp>
        <stp>78590.T</stp>
        <stp>後場始値</stp>
        <tr r="R948" s="7"/>
      </tp>
      <tp t="s">
        <v>表示銘柄数超過</v>
        <stp/>
        <stp>Market</stp>
        <stp>STOCK</stp>
        <stp>38580.T</stp>
        <stp>後場始値</stp>
        <tr r="R378" s="7"/>
      </tp>
      <tp t="s">
        <v>表示銘柄数超過</v>
        <stp/>
        <stp>Market</stp>
        <stp>STOCK</stp>
        <stp>28580.T</stp>
        <stp>後場始値</stp>
        <tr r="R208" s="7"/>
      </tp>
      <tp t="s">
        <v>表示銘柄数超過</v>
        <stp/>
        <stp>Market</stp>
        <stp>STOCK</stp>
        <stp>28570.T</stp>
        <stp>後場始値</stp>
        <tr r="R207" s="7"/>
      </tp>
      <tp>
        <v>6167</v>
        <stp/>
        <stp>Market</stp>
        <stp>STOCK</stp>
        <stp>68570.T</stp>
        <stp>後場始値</stp>
        <tr r="R778" s="7"/>
      </tp>
      <tp t="s">
        <v>表示銘柄数超過</v>
        <stp/>
        <stp>Market</stp>
        <stp>STOCK</stp>
        <stp>38560.T</stp>
        <stp>後場始値</stp>
        <tr r="R377" s="7"/>
      </tp>
      <tp t="s">
        <v>表示銘柄数超過</v>
        <stp/>
        <stp>Market</stp>
        <stp>STOCK</stp>
        <stp>28560.T</stp>
        <stp>後場始値</stp>
        <tr r="R206" s="7"/>
      </tp>
      <tp>
        <v>1494</v>
        <stp/>
        <stp>Market</stp>
        <stp>STOCK</stp>
        <stp>78560.T</stp>
        <stp>後場始値</stp>
        <tr r="R947" s="7"/>
      </tp>
      <tp>
        <v>44</v>
        <stp/>
        <stp>Market</stp>
        <stp>STOCK</stp>
        <stp>58560.T</stp>
        <stp>後場始値</stp>
        <tr r="R617" s="7"/>
      </tp>
      <tp t="s">
        <v>表示銘柄数超過</v>
        <stp/>
        <stp>Market</stp>
        <stp>STOCK</stp>
        <stp>98540.T</stp>
        <stp>後場始値</stp>
        <tr r="R1174" s="7"/>
      </tp>
      <tp t="s">
        <v>表示銘柄数超過</v>
        <stp/>
        <stp>Market</stp>
        <stp>STOCK</stp>
        <stp>38530.T</stp>
        <stp>後場始値</stp>
        <tr r="R376" s="7"/>
      </tp>
      <tp t="s">
        <v>表示銘柄数超過</v>
        <stp/>
        <stp>Market</stp>
        <stp>STOCK</stp>
        <stp>28530.T</stp>
        <stp>後場始値</stp>
        <tr r="R205" s="7"/>
      </tp>
      <tp t="s">
        <v>表示銘柄数超過</v>
        <stp/>
        <stp>Market</stp>
        <stp>STOCK</stp>
        <stp>98530.T</stp>
        <stp>後場始値</stp>
        <tr r="R1173" s="7"/>
      </tp>
      <tp t="s">
        <v>表示銘柄数超過</v>
        <stp/>
        <stp>Market</stp>
        <stp>STOCK</stp>
        <stp>38520.T</stp>
        <stp>後場始値</stp>
        <tr r="R375" s="7"/>
      </tp>
      <tp t="s">
        <v>表示銘柄数超過</v>
        <stp/>
        <stp>Market</stp>
        <stp>STOCK</stp>
        <stp>28520.T</stp>
        <stp>後場始値</stp>
        <tr r="R204" s="7"/>
      </tp>
      <tp>
        <v>768</v>
        <stp/>
        <stp>Market</stp>
        <stp>STOCK</stp>
        <stp>58520.T</stp>
        <stp>後場始値</stp>
        <tr r="R616" s="7"/>
      </tp>
      <tp t="s">
        <v>表示銘柄数超過</v>
        <stp/>
        <stp>Market</stp>
        <stp>STOCK</stp>
        <stp>38510.T</stp>
        <stp>後場始値</stp>
        <tr r="R374" s="7"/>
      </tp>
      <tp t="s">
        <v>表示銘柄数超過</v>
        <stp/>
        <stp>Market</stp>
        <stp>STOCK</stp>
        <stp>28510.T</stp>
        <stp>後場始値</stp>
        <tr r="R203" s="7"/>
      </tp>
      <tp>
        <v>252</v>
        <stp/>
        <stp>Market</stp>
        <stp>STOCK</stp>
        <stp>78510.T</stp>
        <stp>後場始値</stp>
        <tr r="R946" s="7"/>
      </tp>
      <tp t="s">
        <v>表示銘柄数超過</v>
        <stp/>
        <stp>Market</stp>
        <stp>STOCK</stp>
        <stp>38500.T</stp>
        <stp>後場始値</stp>
        <tr r="R373" s="7"/>
      </tp>
      <tp>
        <v>89</v>
        <stp/>
        <stp>Market</stp>
        <stp>STOCK</stp>
        <stp>78290.T</stp>
        <stp>後場始値</stp>
        <tr r="R942" s="7"/>
      </tp>
      <tp t="s">
        <v>表示銘柄数超過</v>
        <stp/>
        <stp>Market</stp>
        <stp>STOCK</stp>
        <stp>48290.T</stp>
        <stp>後場始値</stp>
        <tr r="R540" s="7"/>
      </tp>
      <tp t="s">
        <v>表示銘柄数超過</v>
        <stp/>
        <stp>Market</stp>
        <stp>STOCK</stp>
        <stp>18270.T</stp>
        <stp>後場始値</stp>
        <tr r="R64" s="7"/>
      </tp>
      <tp t="s">
        <v>表示銘柄数超過</v>
        <stp/>
        <stp>Market</stp>
        <stp>STOCK</stp>
        <stp>38260.T</stp>
        <stp>後場始値</stp>
        <tr r="R368" s="7"/>
      </tp>
      <tp t="s">
        <v>表示銘柄数超過</v>
        <stp/>
        <stp>Market</stp>
        <stp>STOCK</stp>
        <stp>18260.T</stp>
        <stp>後場始値</stp>
        <tr r="R63" s="7"/>
      </tp>
      <tp t="s">
        <v>表示銘柄数超過</v>
        <stp/>
        <stp>Market</stp>
        <stp>STOCK</stp>
        <stp>38250.T</stp>
        <stp>後場始値</stp>
        <tr r="R367" s="7"/>
      </tp>
      <tp t="s">
        <v>表示銘柄数超過</v>
        <stp/>
        <stp>Market</stp>
        <stp>STOCK</stp>
        <stp>48240.T</stp>
        <stp>後場始値</stp>
        <tr r="R539" s="7"/>
      </tp>
      <tp t="s">
        <v>表示銘柄数超過</v>
        <stp/>
        <stp>Market</stp>
        <stp>STOCK</stp>
        <stp>38230.T</stp>
        <stp>後場始値</stp>
        <tr r="R366" s="7"/>
      </tp>
      <tp>
        <v>800</v>
        <stp/>
        <stp>Market</stp>
        <stp>STOCK</stp>
        <stp>78230.T</stp>
        <stp>後場始値</stp>
        <tr r="R941" s="7"/>
      </tp>
      <tp t="s">
        <v>表示銘柄数超過</v>
        <stp/>
        <stp>Market</stp>
        <stp>STOCK</stp>
        <stp>18210.T</stp>
        <stp>後場始値</stp>
        <tr r="R62" s="7"/>
      </tp>
      <tp t="s">
        <v>表示銘柄数超過</v>
        <stp/>
        <stp>Market</stp>
        <stp>STOCK</stp>
        <stp>48200.T</stp>
        <stp>後場始値</stp>
        <tr r="R538" s="7"/>
      </tp>
      <tp>
        <v>2345</v>
        <stp/>
        <stp>Market</stp>
        <stp>STOCK</stp>
        <stp>58380.T</stp>
        <stp>後場始値</stp>
        <tr r="R615" s="7"/>
      </tp>
      <tp t="s">
        <v>表示銘柄数超過</v>
        <stp/>
        <stp>Market</stp>
        <stp>STOCK</stp>
        <stp>48380.T</stp>
        <stp>後場始値</stp>
        <tr r="R543" s="7"/>
      </tp>
      <tp>
        <v>431</v>
        <stp/>
        <stp>Market</stp>
        <stp>STOCK</stp>
        <stp>78370.T</stp>
        <stp>後場始値</stp>
        <tr r="R944" s="7"/>
      </tp>
      <tp t="s">
        <v>表示銘柄数超過</v>
        <stp/>
        <stp>Market</stp>
        <stp>STOCK</stp>
        <stp>48370.T</stp>
        <stp>後場始値</stp>
        <tr r="R542" s="7"/>
      </tp>
      <tp>
        <v>90</v>
        <stp/>
        <stp>Market</stp>
        <stp>STOCK</stp>
        <stp>78360.T</stp>
        <stp>後場始値</stp>
        <tr r="R943" s="7"/>
      </tp>
      <tp t="s">
        <v>表示銘柄数超過</v>
        <stp/>
        <stp>Market</stp>
        <stp>STOCK</stp>
        <stp>38350.T</stp>
        <stp>後場始値</stp>
        <tr r="R369" s="7"/>
      </tp>
      <tp>
        <v>112</v>
        <stp/>
        <stp>Market</stp>
        <stp>STOCK</stp>
        <stp>68350.T</stp>
        <stp>後場始値</stp>
        <tr r="R776" s="7"/>
      </tp>
      <tp t="s">
        <v>表示銘柄数超過</v>
        <stp/>
        <stp>Market</stp>
        <stp>STOCK</stp>
        <stp>48330.T</stp>
        <stp>後場始値</stp>
        <tr r="R541" s="7"/>
      </tp>
      <tp>
        <v>1063.5</v>
        <stp/>
        <stp>Market</stp>
        <stp>STOCK</stp>
        <stp>58320.T</stp>
        <stp>後場始値</stp>
        <tr r="R614" s="7"/>
      </tp>
      <tp>
        <v>443</v>
        <stp/>
        <stp>Market</stp>
        <stp>STOCK</stp>
        <stp>98310.T</stp>
        <stp>後場始値</stp>
        <tr r="R1171" s="7"/>
      </tp>
      <tp t="s">
        <v>表示銘柄数超過</v>
        <stp/>
        <stp>Market</stp>
        <stp>STOCK</stp>
        <stp>88300.T</stp>
        <stp>後場始値</stp>
        <tr r="R1054" s="7"/>
      </tp>
      <tp t="s">
        <v>表示銘柄数超過</v>
        <stp/>
        <stp>Market</stp>
        <stp>STOCK</stp>
        <stp>38070.T</stp>
        <stp>後場始値</stp>
        <tr r="R361" s="7"/>
      </tp>
      <tp t="s">
        <v>表示銘柄数超過</v>
        <stp/>
        <stp>Market</stp>
        <stp>STOCK</stp>
        <stp>18050.T</stp>
        <stp>後場始値</stp>
        <tr r="R59" s="7"/>
      </tp>
      <tp>
        <v>639</v>
        <stp/>
        <stp>Market</stp>
        <stp>STOCK</stp>
        <stp>78050.T</stp>
        <stp>後場始値</stp>
        <tr r="R939" s="7"/>
      </tp>
      <tp t="s">
        <v>表示銘柄数超過</v>
        <stp/>
        <stp>Market</stp>
        <stp>STOCK</stp>
        <stp>88040.T</stp>
        <stp>後場始値</stp>
        <tr r="R1052" s="7"/>
      </tp>
      <tp t="s">
        <v>表示銘柄数超過</v>
        <stp/>
        <stp>Market</stp>
        <stp>STOCK</stp>
        <stp>18030.T</stp>
        <stp>後場始値</stp>
        <tr r="R58" s="7"/>
      </tp>
      <tp>
        <v>99</v>
        <stp/>
        <stp>Market</stp>
        <stp>STOCK</stp>
        <stp>68030.T</stp>
        <stp>後場始値</stp>
        <tr r="R773" s="7"/>
      </tp>
      <tp>
        <v>1252</v>
        <stp/>
        <stp>Market</stp>
        <stp>STOCK</stp>
        <stp>58030.T</stp>
        <stp>後場始値</stp>
        <tr r="R613" s="7"/>
      </tp>
      <tp t="s">
        <v>表示銘柄数超過</v>
        <stp/>
        <stp>Market</stp>
        <stp>STOCK</stp>
        <stp>18020.T</stp>
        <stp>後場始値</stp>
        <tr r="R57" s="7"/>
      </tp>
      <tp>
        <v>2094</v>
        <stp/>
        <stp>Market</stp>
        <stp>STOCK</stp>
        <stp>58020.T</stp>
        <stp>後場始値</stp>
        <tr r="R612" s="7"/>
      </tp>
      <tp t="s">
        <v>表示銘柄数超過</v>
        <stp/>
        <stp>Market</stp>
        <stp>STOCK</stp>
        <stp>88020.T</stp>
        <stp>後場始値</stp>
        <tr r="R1051" s="7"/>
      </tp>
      <tp>
        <v>2760</v>
        <stp/>
        <stp>Market</stp>
        <stp>STOCK</stp>
        <stp>58010.T</stp>
        <stp>後場始値</stp>
        <tr r="R611" s="7"/>
      </tp>
      <tp t="s">
        <v>表示銘柄数超過</v>
        <stp/>
        <stp>Market</stp>
        <stp>STOCK</stp>
        <stp>88010.T</stp>
        <stp>後場始値</stp>
        <tr r="R1050" s="7"/>
      </tp>
      <tp>
        <v>652</v>
        <stp/>
        <stp>Market</stp>
        <stp>STOCK</stp>
        <stp>78000.T</stp>
        <stp>後場始値</stp>
        <tr r="R938" s="7"/>
      </tp>
      <tp t="s">
        <v>表示銘柄数超過</v>
        <stp/>
        <stp>Market</stp>
        <stp>STOCK</stp>
        <stp>48000.T</stp>
        <stp>後場始値</stp>
        <tr r="R536" s="7"/>
      </tp>
      <tp t="s">
        <v>表示銘柄数超過</v>
        <stp/>
        <stp>Market</stp>
        <stp>STOCK</stp>
        <stp>88180.T</stp>
        <stp>後場始値</stp>
        <tr r="R1053" s="7"/>
      </tp>
      <tp t="s">
        <v>表示銘柄数超過</v>
        <stp/>
        <stp>Market</stp>
        <stp>STOCK</stp>
        <stp>38160.T</stp>
        <stp>後場始値</stp>
        <tr r="R365" s="7"/>
      </tp>
      <tp t="s">
        <v>表示銘柄数超過</v>
        <stp/>
        <stp>Market</stp>
        <stp>STOCK</stp>
        <stp>38150.T</stp>
        <stp>後場始値</stp>
        <tr r="R364" s="7"/>
      </tp>
      <tp t="s">
        <v>表示銘柄数超過</v>
        <stp/>
        <stp>Market</stp>
        <stp>STOCK</stp>
        <stp>18150.T</stp>
        <stp>後場始値</stp>
        <tr r="R61" s="7"/>
      </tp>
      <tp t="s">
        <v>表示銘柄数超過</v>
        <stp/>
        <stp>Market</stp>
        <stp>STOCK</stp>
        <stp>38140.T</stp>
        <stp>後場始値</stp>
        <tr r="R363" s="7"/>
      </tp>
      <tp>
        <v>607</v>
        <stp/>
        <stp>Market</stp>
        <stp>STOCK</stp>
        <stp>78140.T</stp>
        <stp>後場始値</stp>
        <tr r="R940" s="7"/>
      </tp>
      <tp>
        <v>2031</v>
        <stp/>
        <stp>Market</stp>
        <stp>STOCK</stp>
        <stp>68140.T</stp>
        <stp>後場始値</stp>
        <tr r="R775" s="7"/>
      </tp>
      <tp t="s">
        <v>表示銘柄数超過</v>
        <stp/>
        <stp>Market</stp>
        <stp>STOCK</stp>
        <stp>48140.T</stp>
        <stp>後場始値</stp>
        <tr r="R537" s="7"/>
      </tp>
      <tp t="s">
        <v>表示銘柄数超過</v>
        <stp/>
        <stp>Market</stp>
        <stp>STOCK</stp>
        <stp>18120.T</stp>
        <stp>後場始値</stp>
        <tr r="R60" s="7"/>
      </tp>
      <tp t="s">
        <v>表示銘柄数超過</v>
        <stp/>
        <stp>Market</stp>
        <stp>STOCK</stp>
        <stp>98120.T</stp>
        <stp>後場始値</stp>
        <tr r="R1170" s="7"/>
      </tp>
      <tp t="s">
        <v>表示銘柄数超過</v>
        <stp/>
        <stp>Market</stp>
        <stp>STOCK</stp>
        <stp>38100.T</stp>
        <stp>後場始値</stp>
        <tr r="R362" s="7"/>
      </tp>
      <tp t="s">
        <v>表示銘柄数超過</v>
        <stp/>
        <stp>Market</stp>
        <stp>STOCK</stp>
        <stp>28100.T</stp>
        <stp>後場始値</stp>
        <tr r="R201" s="7"/>
      </tp>
      <tp>
        <v>1560</v>
        <stp/>
        <stp>Market</stp>
        <stp>STOCK</stp>
        <stp>68100.T</stp>
        <stp>後場始値</stp>
        <tr r="R774" s="7"/>
      </tp>
      <tp t="s">
        <v>表示銘柄数超過</v>
        <stp/>
        <stp>Market</stp>
        <stp>STOCK</stp>
        <stp>48890.T</stp>
        <stp>後場始値</stp>
        <tr r="R547" s="7"/>
      </tp>
      <tp>
        <v>674</v>
        <stp/>
        <stp>Market</stp>
        <stp>STOCK</stp>
        <stp>78880.T</stp>
        <stp>後場始値</stp>
        <tr r="R951" s="7"/>
      </tp>
      <tp t="s">
        <v>表示銘柄数超過</v>
        <stp/>
        <stp>Market</stp>
        <stp>STOCK</stp>
        <stp>98880.T</stp>
        <stp>後場始値</stp>
        <tr r="R1176" s="7"/>
      </tp>
      <tp t="s">
        <v>表示銘柄数超過</v>
        <stp/>
        <stp>Market</stp>
        <stp>STOCK</stp>
        <stp>18870.T</stp>
        <stp>後場始値</stp>
        <tr r="R69" s="7"/>
      </tp>
      <tp t="s">
        <v>表示銘柄数超過</v>
        <stp/>
        <stp>Market</stp>
        <stp>STOCK</stp>
        <stp>88870.T</stp>
        <stp>後場始値</stp>
        <tr r="R1058" s="7"/>
      </tp>
      <tp t="s">
        <v>表示銘柄数超過</v>
        <stp/>
        <stp>Market</stp>
        <stp>STOCK</stp>
        <stp>48830.T</stp>
        <stp>後場始値</stp>
        <tr r="R546" s="7"/>
      </tp>
      <tp t="s">
        <v>表示銘柄数超過</v>
        <stp/>
        <stp>Market</stp>
        <stp>STOCK</stp>
        <stp>48810.T</stp>
        <stp>後場始値</stp>
        <tr r="R545" s="7"/>
      </tp>
      <tp t="s">
        <v>表示銘柄数超過</v>
        <stp/>
        <stp>Market</stp>
        <stp>STOCK</stp>
        <stp>88810.T</stp>
        <stp>後場始値</stp>
        <tr r="R1057" s="7"/>
      </tp>
      <tp t="s">
        <v>表示銘柄数超過</v>
        <stp/>
        <stp>Market</stp>
        <stp>STOCK</stp>
        <stp>38800.T</stp>
        <stp>後場始値</stp>
        <tr r="R383" s="7"/>
      </tp>
      <tp t="s">
        <v>表示銘柄数超過</v>
        <stp/>
        <stp>Market</stp>
        <stp>STOCK</stp>
        <stp>18980.T</stp>
        <stp>後場始値</stp>
        <tr r="R71" s="7"/>
      </tp>
      <tp>
        <v>114</v>
        <stp/>
        <stp>Market</stp>
        <stp>STOCK</stp>
        <stp>78970.T</stp>
        <stp>後場始値</stp>
        <tr r="R952" s="7"/>
      </tp>
      <tp>
        <v>511</v>
        <stp/>
        <stp>Market</stp>
        <stp>STOCK</stp>
        <stp>68970.T</stp>
        <stp>後場始値</stp>
        <tr r="R783" s="7"/>
      </tp>
      <tp t="s">
        <v>表示銘柄数超過</v>
        <stp/>
        <stp>Market</stp>
        <stp>STOCK</stp>
        <stp>88970.T</stp>
        <stp>後場始値</stp>
        <tr r="R1061" s="7"/>
      </tp>
      <tp t="s">
        <v>表示銘柄数超過</v>
        <stp/>
        <stp>Market</stp>
        <stp>STOCK</stp>
        <stp>28940.T</stp>
        <stp>後場始値</stp>
        <tr r="R212" s="7"/>
      </tp>
      <tp t="s">
        <v>表示銘柄数超過</v>
        <stp/>
        <stp>Market</stp>
        <stp>STOCK</stp>
        <stp>88940.T</stp>
        <stp>後場始値</stp>
        <tr r="R1060" s="7"/>
      </tp>
      <tp t="s">
        <v>表示銘柄数超過</v>
        <stp/>
        <stp>Market</stp>
        <stp>STOCK</stp>
        <stp>18930.T</stp>
        <stp>後場始値</stp>
        <tr r="R70" s="7"/>
      </tp>
      <tp t="s">
        <v>表示銘柄数超過</v>
        <stp/>
        <stp>Market</stp>
        <stp>STOCK</stp>
        <stp>88930.T</stp>
        <stp>後場始値</stp>
        <tr r="R1059" s="7"/>
      </tp>
      <tp t="s">
        <v>表示銘柄数超過</v>
        <stp/>
        <stp>Market</stp>
        <stp>STOCK</stp>
        <stp>48920.T</stp>
        <stp>後場始値</stp>
        <tr r="R550" s="7"/>
      </tp>
      <tp t="s">
        <v>表示銘柄数超過</v>
        <stp/>
        <stp>Market</stp>
        <stp>STOCK</stp>
        <stp>48910.T</stp>
        <stp>後場始値</stp>
        <tr r="R549" s="7"/>
      </tp>
      <tp t="s">
        <v>表示銘柄数超過</v>
        <stp/>
        <stp>Market</stp>
        <stp>STOCK</stp>
        <stp>48900.T</stp>
        <stp>後場始値</stp>
        <tr r="R548" s="7"/>
      </tp>
      <tp t="s">
        <v>表示銘柄数超過</v>
        <stp/>
        <stp>Market</stp>
        <stp>STOCK</stp>
        <stp>98900.T</stp>
        <stp>後場始値</stp>
        <tr r="R1177" s="7"/>
      </tp>
    </main>
    <main first="rtdsrv.662c26bade854d00aebc6010f8a2e03a">
      <tp>
        <v>282.00209999999998</v>
        <stp/>
        <stp>Market</stp>
        <stp>STOCK</stp>
        <stp>55630.T</stp>
        <stp>出来高加重平均</stp>
        <tr r="T599" s="7"/>
      </tp>
      <tp>
        <v>708.976</v>
        <stp/>
        <stp>Market</stp>
        <stp>STOCK</stp>
        <stp>55860.T</stp>
        <stp>出来高加重平均</stp>
        <tr r="T600" s="7"/>
      </tp>
      <tp>
        <v>2051.3530000000001</v>
        <stp/>
        <stp>Market</stp>
        <stp>STOCK</stp>
        <stp>54060.T</stp>
        <stp>出来高加重平均</stp>
        <tr r="T591" s="7"/>
      </tp>
      <tp>
        <v>3536.1412</v>
        <stp/>
        <stp>Market</stp>
        <stp>STOCK</stp>
        <stp>54010.T</stp>
        <stp>出来高加重平均</stp>
        <tr r="T590" s="7"/>
      </tp>
      <tp>
        <v>916.6499</v>
        <stp/>
        <stp>Market</stp>
        <stp>STOCK</stp>
        <stp>54080.T</stp>
        <stp>出来高加重平均</stp>
        <tr r="T592" s="7"/>
      </tp>
      <tp>
        <v>2308.2826</v>
        <stp/>
        <stp>Market</stp>
        <stp>STOCK</stp>
        <stp>54110.T</stp>
        <stp>出来高加重平均</stp>
        <tr r="T594" s="7"/>
      </tp>
      <tp>
        <v>5818.4178000000002</v>
        <stp/>
        <stp>Market</stp>
        <stp>STOCK</stp>
        <stp>54100.T</stp>
        <stp>出来高加重平均</stp>
        <tr r="T593" s="7"/>
      </tp>
      <tp>
        <v>1733.5876000000001</v>
        <stp/>
        <stp>Market</stp>
        <stp>STOCK</stp>
        <stp>54230.T</stp>
        <stp>出来高加重平均</stp>
        <tr r="T595" s="7"/>
      </tp>
      <tp>
        <v>2208.1911</v>
        <stp/>
        <stp>Market</stp>
        <stp>STOCK</stp>
        <stp>54490.T</stp>
        <stp>出来高加重平均</stp>
        <tr r="T596" s="7"/>
      </tp>
      <tp>
        <v>556.29480000000001</v>
        <stp/>
        <stp>Market</stp>
        <stp>STOCK</stp>
        <stp>54760.T</stp>
        <stp>出来高加重平均</stp>
        <tr r="T597" s="7"/>
      </tp>
      <tp>
        <v>878.93610000000001</v>
        <stp/>
        <stp>Market</stp>
        <stp>STOCK</stp>
        <stp>54910.T</stp>
        <stp>出来高加重平均</stp>
        <tr r="T598" s="7"/>
      </tp>
      <tp>
        <v>1319.0291</v>
        <stp/>
        <stp>Market</stp>
        <stp>STOCK</stp>
        <stp>57040.T</stp>
        <stp>出来高加重平均</stp>
        <tr r="T606" s="7"/>
      </tp>
      <tp>
        <v>1718.3661999999999</v>
        <stp/>
        <stp>Market</stp>
        <stp>STOCK</stp>
        <stp>57030.T</stp>
        <stp>出来高加重平均</stp>
        <tr r="T605" s="7"/>
      </tp>
      <tp>
        <v>2760.7426999999998</v>
        <stp/>
        <stp>Market</stp>
        <stp>STOCK</stp>
        <stp>57110.T</stp>
        <stp>出来高加重平均</stp>
        <tr r="T607" s="7"/>
      </tp>
      <tp>
        <v>1878.3426999999999</v>
        <stp/>
        <stp>Market</stp>
        <stp>STOCK</stp>
        <stp>57270.T</stp>
        <stp>出来高加重平均</stp>
        <tr r="T609" s="7"/>
      </tp>
      <tp>
        <v>2854.3483999999999</v>
        <stp/>
        <stp>Market</stp>
        <stp>STOCK</stp>
        <stp>57260.T</stp>
        <stp>出来高加重平均</stp>
        <tr r="T608" s="7"/>
      </tp>
      <tp>
        <v>1123.0867000000001</v>
        <stp/>
        <stp>Market</stp>
        <stp>STOCK</stp>
        <stp>57590.T</stp>
        <stp>出来高加重平均</stp>
        <tr r="T610" s="7"/>
      </tp>
      <tp>
        <v>1176.8181</v>
        <stp/>
        <stp>Market</stp>
        <stp>STOCK</stp>
        <stp>56120.T</stp>
        <stp>出来高加重平均</stp>
        <tr r="T601" s="7"/>
      </tp>
      <tp>
        <v>1655.8323</v>
        <stp/>
        <stp>Market</stp>
        <stp>STOCK</stp>
        <stp>56320.T</stp>
        <stp>出来高加重平均</stp>
        <tr r="T602" s="7"/>
      </tp>
      <tp>
        <v>332.15350000000001</v>
        <stp/>
        <stp>Market</stp>
        <stp>STOCK</stp>
        <stp>56580.T</stp>
        <stp>出来高加重平均</stp>
        <tr r="T603" s="7"/>
      </tp>
      <tp>
        <v>591.52639999999997</v>
        <stp/>
        <stp>Market</stp>
        <stp>STOCK</stp>
        <stp>56980.T</stp>
        <stp>出来高加重平均</stp>
        <tr r="T604" s="7"/>
      </tp>
      <tp>
        <v>43.8</v>
        <stp/>
        <stp>Market</stp>
        <stp>STOCK</stp>
        <stp>51030.T</stp>
        <stp>出来高加重平均</stp>
        <tr r="T567" s="7"/>
      </tp>
      <tp>
        <v>6326.7735000000002</v>
        <stp/>
        <stp>Market</stp>
        <stp>STOCK</stp>
        <stp>51080.T</stp>
        <stp>出来高加重平均</stp>
        <tr r="T568" s="7"/>
      </tp>
      <tp>
        <v>1736.4692</v>
        <stp/>
        <stp>Market</stp>
        <stp>STOCK</stp>
        <stp>51100.T</stp>
        <stp>出来高加重平均</stp>
        <tr r="T569" s="7"/>
      </tp>
      <tp>
        <v>1441.5172</v>
        <stp/>
        <stp>Market</stp>
        <stp>STOCK</stp>
        <stp>51210.T</stp>
        <stp>出来高加重平均</stp>
        <tr r="T570" s="7"/>
      </tp>
      <tp>
        <v>1318.8616999999999</v>
        <stp/>
        <stp>Market</stp>
        <stp>STOCK</stp>
        <stp>51290.T</stp>
        <stp>出来高加重平均</stp>
        <tr r="T571" s="7"/>
      </tp>
      <tp>
        <v>290.42649999999998</v>
        <stp/>
        <stp>Market</stp>
        <stp>STOCK</stp>
        <stp>51330.T</stp>
        <stp>出来高加重平均</stp>
        <tr r="T573" s="7"/>
      </tp>
      <tp>
        <v>188.17060000000001</v>
        <stp/>
        <stp>Market</stp>
        <stp>STOCK</stp>
        <stp>51310.T</stp>
        <stp>出来高加重平均</stp>
        <tr r="T572" s="7"/>
      </tp>
      <tp>
        <v>4827.5497999999998</v>
        <stp/>
        <stp>Market</stp>
        <stp>STOCK</stp>
        <stp>51920.T</stp>
        <stp>出来高加重平均</stp>
        <tr r="T574" s="7"/>
      </tp>
      <tp t="s">
        <v>表示銘柄数超過</v>
        <stp/>
        <stp>Market</stp>
        <stp>STOCK</stp>
        <stp>50170.T</stp>
        <stp>出来高加重平均</stp>
        <tr r="T560" s="7"/>
      </tp>
      <tp t="s">
        <v>表示銘柄数超過</v>
        <stp/>
        <stp>Market</stp>
        <stp>STOCK</stp>
        <stp>50150.T</stp>
        <stp>出来高加重平均</stp>
        <tr r="T559" s="7"/>
      </tp>
      <tp t="s">
        <v>表示銘柄数超過</v>
        <stp/>
        <stp>Market</stp>
        <stp>STOCK</stp>
        <stp>50100.T</stp>
        <stp>出来高加重平均</stp>
        <tr r="T558" s="7"/>
      </tp>
      <tp t="s">
        <v>表示銘柄数超過</v>
        <stp/>
        <stp>Market</stp>
        <stp>STOCK</stp>
        <stp>50190.T</stp>
        <stp>出来高加重平均</stp>
        <tr r="T561" s="7"/>
      </tp>
      <tp t="s">
        <v>表示銘柄数超過</v>
        <stp/>
        <stp>Market</stp>
        <stp>STOCK</stp>
        <stp>50210.T</stp>
        <stp>出来高加重平均</stp>
        <tr r="T563" s="7"/>
      </tp>
      <tp t="s">
        <v>表示銘柄数超過</v>
        <stp/>
        <stp>Market</stp>
        <stp>STOCK</stp>
        <stp>50200.T</stp>
        <stp>出来高加重平均</stp>
        <tr r="T562" s="7"/>
      </tp>
      <tp t="s">
        <v>表示銘柄数超過</v>
        <stp/>
        <stp>Market</stp>
        <stp>STOCK</stp>
        <stp>50280.T</stp>
        <stp>出来高加重平均</stp>
        <tr r="T564" s="7"/>
      </tp>
      <tp t="s">
        <v>表示銘柄数超過</v>
        <stp/>
        <stp>Market</stp>
        <stp>STOCK</stp>
        <stp>50320.T</stp>
        <stp>出来高加重平均</stp>
        <tr r="T565" s="7"/>
      </tp>
      <tp t="s">
        <v>表示銘柄数超過</v>
        <stp/>
        <stp>Market</stp>
        <stp>STOCK</stp>
        <stp>50740.T</stp>
        <stp>出来高加重平均</stp>
        <tr r="T566" s="7"/>
      </tp>
      <tp>
        <v>4214.3055000000004</v>
        <stp/>
        <stp>Market</stp>
        <stp>STOCK</stp>
        <stp>53340.T</stp>
        <stp>出来高加重平均</stp>
        <tr r="T586" s="7"/>
      </tp>
      <tp>
        <v>430.13569999999999</v>
        <stp/>
        <stp>Market</stp>
        <stp>STOCK</stp>
        <stp>53410.T</stp>
        <stp>出来高加重平均</stp>
        <tr r="T587" s="7"/>
      </tp>
      <tp>
        <v>1459.04</v>
        <stp/>
        <stp>Market</stp>
        <stp>STOCK</stp>
        <stp>53570.T</stp>
        <stp>出来高加重平均</stp>
        <tr r="T588" s="7"/>
      </tp>
      <tp>
        <v>473.2192</v>
        <stp/>
        <stp>Market</stp>
        <stp>STOCK</stp>
        <stp>53810.T</stp>
        <stp>出来高加重平均</stp>
        <tr r="T589" s="7"/>
      </tp>
      <tp>
        <v>3526.5853000000002</v>
        <stp/>
        <stp>Market</stp>
        <stp>STOCK</stp>
        <stp>52040.T</stp>
        <stp>出来高加重平均</stp>
        <tr r="T575" s="7"/>
      </tp>
      <tp>
        <v>86.896500000000003</v>
        <stp/>
        <stp>Market</stp>
        <stp>STOCK</stp>
        <stp>52160.T</stp>
        <stp>出来高加重平均</stp>
        <tr r="T576" s="7"/>
      </tp>
      <tp>
        <v>624.25639999999999</v>
        <stp/>
        <stp>Market</stp>
        <stp>STOCK</stp>
        <stp>52460.T</stp>
        <stp>出来高加重平均</stp>
        <tr r="T579" s="7"/>
      </tp>
      <tp>
        <v>344.58019999999999</v>
        <stp/>
        <stp>Market</stp>
        <stp>STOCK</stp>
        <stp>52440.T</stp>
        <stp>出来高加重平均</stp>
        <tr r="T578" s="7"/>
      </tp>
      <tp>
        <v>570.53859999999997</v>
        <stp/>
        <stp>Market</stp>
        <stp>STOCK</stp>
        <stp>52430.T</stp>
        <stp>出来高加重平均</stp>
        <tr r="T577" s="7"/>
      </tp>
      <tp>
        <v>2822.6550000000002</v>
        <stp/>
        <stp>Market</stp>
        <stp>STOCK</stp>
        <stp>52530.T</stp>
        <stp>出来高加重平均</stp>
        <tr r="T580" s="7"/>
      </tp>
      <tp>
        <v>904.85820000000001</v>
        <stp/>
        <stp>Market</stp>
        <stp>STOCK</stp>
        <stp>52620.T</stp>
        <stp>出来高加重平均</stp>
        <tr r="T581" s="7"/>
      </tp>
      <tp>
        <v>473.76170000000002</v>
        <stp/>
        <stp>Market</stp>
        <stp>STOCK</stp>
        <stp>52690.T</stp>
        <stp>出来高加重平均</stp>
        <tr r="T582" s="7"/>
      </tp>
      <tp>
        <v>263.92849999999999</v>
        <stp/>
        <stp>Market</stp>
        <stp>STOCK</stp>
        <stp>52770.T</stp>
        <stp>出来高加重平均</stp>
        <tr r="T583" s="7"/>
      </tp>
      <tp>
        <v>588.57140000000004</v>
        <stp/>
        <stp>Market</stp>
        <stp>STOCK</stp>
        <stp>52870.T</stp>
        <stp>出来高加重平均</stp>
        <tr r="T585" s="7"/>
      </tp>
      <tp>
        <v>1342.5569</v>
        <stp/>
        <stp>Market</stp>
        <stp>STOCK</stp>
        <stp>52850.T</stp>
        <stp>出来高加重平均</stp>
        <tr r="T584" s="7"/>
      </tp>
      <tp>
        <v>954.14279999999997</v>
        <stp/>
        <stp>Market</stp>
        <stp>STOCK</stp>
        <stp>59090.T</stp>
        <stp>出来高加重平均</stp>
        <tr r="T618" s="7"/>
      </tp>
      <tp>
        <v>311.53109999999998</v>
        <stp/>
        <stp>Market</stp>
        <stp>STOCK</stp>
        <stp>59280.T</stp>
        <stp>出来高加重平均</stp>
        <tr r="T619" s="7"/>
      </tp>
      <tp>
        <v>731.68140000000005</v>
        <stp/>
        <stp>Market</stp>
        <stp>STOCK</stp>
        <stp>59360.T</stp>
        <stp>出来高加重平均</stp>
        <tr r="T620" s="7"/>
      </tp>
      <tp>
        <v>1961.2446</v>
        <stp/>
        <stp>Market</stp>
        <stp>STOCK</stp>
        <stp>59380.T</stp>
        <stp>出来高加重平均</stp>
        <tr r="T621" s="7"/>
      </tp>
      <tp>
        <v>3242.2665999999999</v>
        <stp/>
        <stp>Market</stp>
        <stp>STOCK</stp>
        <stp>59470.T</stp>
        <stp>出来高加重平均</stp>
        <tr r="T623" s="7"/>
      </tp>
      <tp>
        <v>78.768900000000002</v>
        <stp/>
        <stp>Market</stp>
        <stp>STOCK</stp>
        <stp>59400.T</stp>
        <stp>出来高加重平均</stp>
        <tr r="T622" s="7"/>
      </tp>
      <tp>
        <v>1106.5101</v>
        <stp/>
        <stp>Market</stp>
        <stp>STOCK</stp>
        <stp>59490.T</stp>
        <stp>出来高加重平均</stp>
        <tr r="T624" s="7"/>
      </tp>
      <tp>
        <v>80.046199999999999</v>
        <stp/>
        <stp>Market</stp>
        <stp>STOCK</stp>
        <stp>59550.T</stp>
        <stp>出来高加重平均</stp>
        <tr r="T627" s="7"/>
      </tp>
      <tp>
        <v>141.60769999999999</v>
        <stp/>
        <stp>Market</stp>
        <stp>STOCK</stp>
        <stp>59520.T</stp>
        <stp>出来高加重平均</stp>
        <tr r="T626" s="7"/>
      </tp>
      <tp>
        <v>108.41459999999999</v>
        <stp/>
        <stp>Market</stp>
        <stp>STOCK</stp>
        <stp>59500.T</stp>
        <stp>出来高加重平均</stp>
        <tr r="T625" s="7"/>
      </tp>
      <tp>
        <v>2378.8679000000002</v>
        <stp/>
        <stp>Market</stp>
        <stp>STOCK</stp>
        <stp>59660.T</stp>
        <stp>出来高加重平均</stp>
        <tr r="T628" s="7"/>
      </tp>
      <tp>
        <v>1055.8453999999999</v>
        <stp/>
        <stp>Market</stp>
        <stp>STOCK</stp>
        <stp>59760.T</stp>
        <stp>出来高加重平均</stp>
        <tr r="T630" s="7"/>
      </tp>
      <tp>
        <v>2087.0596</v>
        <stp/>
        <stp>Market</stp>
        <stp>STOCK</stp>
        <stp>59700.T</stp>
        <stp>出来高加重平均</stp>
        <tr r="T629" s="7"/>
      </tp>
      <tp>
        <v>288.4375</v>
        <stp/>
        <stp>Market</stp>
        <stp>STOCK</stp>
        <stp>59860.T</stp>
        <stp>出来高加重平均</stp>
        <tr r="T632" s="7"/>
      </tp>
      <tp>
        <v>1358.4813999999999</v>
        <stp/>
        <stp>Market</stp>
        <stp>STOCK</stp>
        <stp>59810.T</stp>
        <stp>出来高加重平均</stp>
        <tr r="T631" s="7"/>
      </tp>
      <tp>
        <v>674.60310000000004</v>
        <stp/>
        <stp>Market</stp>
        <stp>STOCK</stp>
        <stp>59970.T</stp>
        <stp>出来高加重平均</stp>
        <tr r="T635" s="7"/>
      </tp>
      <tp>
        <v>1119.2856999999999</v>
        <stp/>
        <stp>Market</stp>
        <stp>STOCK</stp>
        <stp>59940.T</stp>
        <stp>出来高加重平均</stp>
        <tr r="T634" s="7"/>
      </tp>
      <tp>
        <v>1237.8217</v>
        <stp/>
        <stp>Market</stp>
        <stp>STOCK</stp>
        <stp>59910.T</stp>
        <stp>出来高加重平均</stp>
        <tr r="T633" s="7"/>
      </tp>
      <tp>
        <v>1244.8098</v>
        <stp/>
        <stp>Market</stp>
        <stp>STOCK</stp>
        <stp>58030.T</stp>
        <stp>出来高加重平均</stp>
        <tr r="T613" s="7"/>
      </tp>
      <tp>
        <v>2075.3494999999998</v>
        <stp/>
        <stp>Market</stp>
        <stp>STOCK</stp>
        <stp>58020.T</stp>
        <stp>出来高加重平均</stp>
        <tr r="T612" s="7"/>
      </tp>
      <tp>
        <v>2755.5156999999999</v>
        <stp/>
        <stp>Market</stp>
        <stp>STOCK</stp>
        <stp>58010.T</stp>
        <stp>出来高加重平均</stp>
        <tr r="T611" s="7"/>
      </tp>
      <tp>
        <v>1070.9278999999999</v>
        <stp/>
        <stp>Market</stp>
        <stp>STOCK</stp>
        <stp>58320.T</stp>
        <stp>出来高加重平均</stp>
        <tr r="T614" s="7"/>
      </tp>
      <tp>
        <v>2333.6875</v>
        <stp/>
        <stp>Market</stp>
        <stp>STOCK</stp>
        <stp>58380.T</stp>
        <stp>出来高加重平均</stp>
        <tr r="T615" s="7"/>
      </tp>
      <tp>
        <v>43.525700000000001</v>
        <stp/>
        <stp>Market</stp>
        <stp>STOCK</stp>
        <stp>58560.T</stp>
        <stp>出来高加重平均</stp>
        <tr r="T617" s="7"/>
      </tp>
      <tp>
        <v>765.43020000000001</v>
        <stp/>
        <stp>Market</stp>
        <stp>STOCK</stp>
        <stp>58520.T</stp>
        <stp>出来高加重平均</stp>
        <tr r="T616" s="7"/>
      </tp>
    </main>
    <main first="rtdsrv.662c26bade854d00aebc6010f8a2e03a">
      <tp t="s">
        <v>表示銘柄数超過</v>
        <stp/>
        <stp>Market</stp>
        <stp>STOCK</stp>
        <stp>45070.T</stp>
        <stp>出来高加重平均</stp>
        <tr r="T481" s="7"/>
      </tp>
      <tp>
        <v>340.94130000000001</v>
        <stp/>
        <stp>Market</stp>
        <stp>STOCK</stp>
        <stp>45060.T</stp>
        <stp>出来高加重平均</stp>
        <tr r="T480" s="7"/>
      </tp>
      <tp t="s">
        <v>表示銘柄数超過</v>
        <stp/>
        <stp>Market</stp>
        <stp>STOCK</stp>
        <stp>45030.T</stp>
        <stp>出来高加重平均</stp>
        <tr r="T479" s="7"/>
      </tp>
      <tp t="s">
        <v>表示銘柄数超過</v>
        <stp/>
        <stp>Market</stp>
        <stp>STOCK</stp>
        <stp>45230.T</stp>
        <stp>出来高加重平均</stp>
        <tr r="T482" s="7"/>
      </tp>
      <tp t="s">
        <v>表示銘柄数超過</v>
        <stp/>
        <stp>Market</stp>
        <stp>STOCK</stp>
        <stp>45310.T</stp>
        <stp>出来高加重平均</stp>
        <tr r="T483" s="7"/>
      </tp>
      <tp t="s">
        <v>表示銘柄数超過</v>
        <stp/>
        <stp>Market</stp>
        <stp>STOCK</stp>
        <stp>45540.T</stp>
        <stp>出来高加重平均</stp>
        <tr r="T484" s="7"/>
      </tp>
      <tp t="s">
        <v>表示銘柄数超過</v>
        <stp/>
        <stp>Market</stp>
        <stp>STOCK</stp>
        <stp>45580.T</stp>
        <stp>出来高加重平均</stp>
        <tr r="T485" s="7"/>
      </tp>
      <tp t="s">
        <v>表示銘柄数超過</v>
        <stp/>
        <stp>Market</stp>
        <stp>STOCK</stp>
        <stp>45650.T</stp>
        <stp>出来高加重平均</stp>
        <tr r="T488" s="7"/>
      </tp>
      <tp t="s">
        <v>表示銘柄数超過</v>
        <stp/>
        <stp>Market</stp>
        <stp>STOCK</stp>
        <stp>45640.T</stp>
        <stp>出来高加重平均</stp>
        <tr r="T487" s="7"/>
      </tp>
      <tp t="s">
        <v>表示銘柄数超過</v>
        <stp/>
        <stp>Market</stp>
        <stp>STOCK</stp>
        <stp>45630.T</stp>
        <stp>出来高加重平均</stp>
        <tr r="T486" s="7"/>
      </tp>
      <tp t="s">
        <v>表示銘柄数超過</v>
        <stp/>
        <stp>Market</stp>
        <stp>STOCK</stp>
        <stp>45680.T</stp>
        <stp>出来高加重平均</stp>
        <tr r="T489" s="7"/>
      </tp>
      <tp t="s">
        <v>表示銘柄数超過</v>
        <stp/>
        <stp>Market</stp>
        <stp>STOCK</stp>
        <stp>45760.T</stp>
        <stp>出来高加重平均</stp>
        <tr r="T495" s="7"/>
      </tp>
      <tp t="s">
        <v>表示銘柄数超過</v>
        <stp/>
        <stp>Market</stp>
        <stp>STOCK</stp>
        <stp>45750.T</stp>
        <stp>出来高加重平均</stp>
        <tr r="T494" s="7"/>
      </tp>
      <tp t="s">
        <v>表示銘柄数超過</v>
        <stp/>
        <stp>Market</stp>
        <stp>STOCK</stp>
        <stp>45740.T</stp>
        <stp>出来高加重平均</stp>
        <tr r="T493" s="7"/>
      </tp>
      <tp t="s">
        <v>表示銘柄数超過</v>
        <stp/>
        <stp>Market</stp>
        <stp>STOCK</stp>
        <stp>45720.T</stp>
        <stp>出来高加重平均</stp>
        <tr r="T492" s="7"/>
      </tp>
      <tp t="s">
        <v>表示銘柄数超過</v>
        <stp/>
        <stp>Market</stp>
        <stp>STOCK</stp>
        <stp>45710.T</stp>
        <stp>出来高加重平均</stp>
        <tr r="T491" s="7"/>
      </tp>
      <tp t="s">
        <v>表示銘柄数超過</v>
        <stp/>
        <stp>Market</stp>
        <stp>STOCK</stp>
        <stp>45700.T</stp>
        <stp>出来高加重平均</stp>
        <tr r="T490" s="7"/>
      </tp>
      <tp t="s">
        <v>表示銘柄数超過</v>
        <stp/>
        <stp>Market</stp>
        <stp>STOCK</stp>
        <stp>45780.T</stp>
        <stp>出来高加重平均</stp>
        <tr r="T496" s="7"/>
      </tp>
      <tp t="s">
        <v>表示銘柄数超過</v>
        <stp/>
        <stp>Market</stp>
        <stp>STOCK</stp>
        <stp>45860.T</stp>
        <stp>出来高加重平均</stp>
        <tr r="T500" s="7"/>
      </tp>
      <tp t="s">
        <v>表示銘柄数超過</v>
        <stp/>
        <stp>Market</stp>
        <stp>STOCK</stp>
        <stp>45840.T</stp>
        <stp>出来高加重平均</stp>
        <tr r="T499" s="7"/>
      </tp>
      <tp t="s">
        <v>表示銘柄数超過</v>
        <stp/>
        <stp>Market</stp>
        <stp>STOCK</stp>
        <stp>45830.T</stp>
        <stp>出来高加重平均</stp>
        <tr r="T498" s="7"/>
      </tp>
      <tp t="s">
        <v>表示銘柄数超過</v>
        <stp/>
        <stp>Market</stp>
        <stp>STOCK</stp>
        <stp>45820.T</stp>
        <stp>出来高加重平均</stp>
        <tr r="T497" s="7"/>
      </tp>
      <tp t="s">
        <v>表示銘柄数超過</v>
        <stp/>
        <stp>Market</stp>
        <stp>STOCK</stp>
        <stp>45880.T</stp>
        <stp>出来高加重平均</stp>
        <tr r="T501" s="7"/>
      </tp>
      <tp t="s">
        <v>表示銘柄数超過</v>
        <stp/>
        <stp>Market</stp>
        <stp>STOCK</stp>
        <stp>45970.T</stp>
        <stp>出来高加重平均</stp>
        <tr r="T507" s="7"/>
      </tp>
      <tp t="s">
        <v>表示銘柄数超過</v>
        <stp/>
        <stp>Market</stp>
        <stp>STOCK</stp>
        <stp>45960.T</stp>
        <stp>出来高加重平均</stp>
        <tr r="T506" s="7"/>
      </tp>
      <tp t="s">
        <v>表示銘柄数超過</v>
        <stp/>
        <stp>Market</stp>
        <stp>STOCK</stp>
        <stp>45940.T</stp>
        <stp>出来高加重平均</stp>
        <tr r="T505" s="7"/>
      </tp>
      <tp t="s">
        <v>表示銘柄数超過</v>
        <stp/>
        <stp>Market</stp>
        <stp>STOCK</stp>
        <stp>45930.T</stp>
        <stp>出来高加重平均</stp>
        <tr r="T504" s="7"/>
      </tp>
      <tp t="s">
        <v>表示銘柄数超過</v>
        <stp/>
        <stp>Market</stp>
        <stp>STOCK</stp>
        <stp>45920.T</stp>
        <stp>出来高加重平均</stp>
        <tr r="T503" s="7"/>
      </tp>
      <tp t="s">
        <v>表示銘柄数超過</v>
        <stp/>
        <stp>Market</stp>
        <stp>STOCK</stp>
        <stp>45910.T</stp>
        <stp>出来高加重平均</stp>
        <tr r="T502" s="7"/>
      </tp>
      <tp t="s">
        <v>表示銘柄数超過</v>
        <stp/>
        <stp>Market</stp>
        <stp>STOCK</stp>
        <stp>44060.T</stp>
        <stp>出来高加重平均</stp>
        <tr r="T459" s="7"/>
      </tp>
      <tp t="s">
        <v>表示銘柄数超過</v>
        <stp/>
        <stp>Market</stp>
        <stp>STOCK</stp>
        <stp>44160.T</stp>
        <stp>出来高加重平均</stp>
        <tr r="T461" s="7"/>
      </tp>
      <tp t="s">
        <v>表示銘柄数超過</v>
        <stp/>
        <stp>Market</stp>
        <stp>STOCK</stp>
        <stp>44140.T</stp>
        <stp>出来高加重平均</stp>
        <tr r="T460" s="7"/>
      </tp>
      <tp t="s">
        <v>表示銘柄数超過</v>
        <stp/>
        <stp>Market</stp>
        <stp>STOCK</stp>
        <stp>44190.T</stp>
        <stp>出来高加重平均</stp>
        <tr r="T462" s="7"/>
      </tp>
      <tp t="s">
        <v>表示銘柄数超過</v>
        <stp/>
        <stp>Market</stp>
        <stp>STOCK</stp>
        <stp>44270.T</stp>
        <stp>出来高加重平均</stp>
        <tr r="T463" s="7"/>
      </tp>
      <tp t="s">
        <v>表示銘柄数超過</v>
        <stp/>
        <stp>Market</stp>
        <stp>STOCK</stp>
        <stp>44360.T</stp>
        <stp>出来高加重平均</stp>
        <tr r="T464" s="7"/>
      </tp>
      <tp t="s">
        <v>表示銘柄数超過</v>
        <stp/>
        <stp>Market</stp>
        <stp>STOCK</stp>
        <stp>44380.T</stp>
        <stp>出来高加重平均</stp>
        <tr r="T465" s="7"/>
      </tp>
      <tp t="s">
        <v>表示銘柄数超過</v>
        <stp/>
        <stp>Market</stp>
        <stp>STOCK</stp>
        <stp>44440.T</stp>
        <stp>出来高加重平均</stp>
        <tr r="T467" s="7"/>
      </tp>
      <tp t="s">
        <v>表示銘柄数超過</v>
        <stp/>
        <stp>Market</stp>
        <stp>STOCK</stp>
        <stp>44410.T</stp>
        <stp>出来高加重平均</stp>
        <tr r="T466" s="7"/>
      </tp>
      <tp t="s">
        <v>表示銘柄数超過</v>
        <stp/>
        <stp>Market</stp>
        <stp>STOCK</stp>
        <stp>44480.T</stp>
        <stp>出来高加重平均</stp>
        <tr r="T468" s="7"/>
      </tp>
      <tp t="s">
        <v>表示銘柄数超過</v>
        <stp/>
        <stp>Market</stp>
        <stp>STOCK</stp>
        <stp>44520.T</stp>
        <stp>出来高加重平均</stp>
        <tr r="T469" s="7"/>
      </tp>
      <tp t="s">
        <v>表示銘柄数超過</v>
        <stp/>
        <stp>Market</stp>
        <stp>STOCK</stp>
        <stp>44770.T</stp>
        <stp>出来高加重平均</stp>
        <tr r="T473" s="7"/>
      </tp>
      <tp t="s">
        <v>表示銘柄数超過</v>
        <stp/>
        <stp>Market</stp>
        <stp>STOCK</stp>
        <stp>44760.T</stp>
        <stp>出来高加重平均</stp>
        <tr r="T472" s="7"/>
      </tp>
      <tp t="s">
        <v>表示銘柄数超過</v>
        <stp/>
        <stp>Market</stp>
        <stp>STOCK</stp>
        <stp>44750.T</stp>
        <stp>出来高加重平均</stp>
        <tr r="T471" s="7"/>
      </tp>
      <tp t="s">
        <v>表示銘柄数超過</v>
        <stp/>
        <stp>Market</stp>
        <stp>STOCK</stp>
        <stp>44790.T</stp>
        <stp>出来高加重平均</stp>
        <tr r="T474" s="7"/>
      </tp>
      <tp t="s">
        <v>表示銘柄数超過</v>
        <stp/>
        <stp>Market</stp>
        <stp>STOCK</stp>
        <stp>44870.T</stp>
        <stp>出来高加重平均</stp>
        <tr r="T476" s="7"/>
      </tp>
      <tp t="s">
        <v>表示銘柄数超過</v>
        <stp/>
        <stp>Market</stp>
        <stp>STOCK</stp>
        <stp>44840.T</stp>
        <stp>出来高加重平均</stp>
        <tr r="T475" s="7"/>
      </tp>
      <tp t="s">
        <v>表示銘柄数超過</v>
        <stp/>
        <stp>Market</stp>
        <stp>STOCK</stp>
        <stp>44950.T</stp>
        <stp>出来高加重平均</stp>
        <tr r="T478" s="7"/>
      </tp>
      <tp t="s">
        <v>表示銘柄数超過</v>
        <stp/>
        <stp>Market</stp>
        <stp>STOCK</stp>
        <stp>44920.T</stp>
        <stp>出来高加重平均</stp>
        <tr r="T477" s="7"/>
      </tp>
      <tp t="s">
        <v>表示銘柄数超過</v>
        <stp/>
        <stp>Market</stp>
        <stp>STOCK</stp>
        <stp>47070.T</stp>
        <stp>出来高加重平均</stp>
        <tr r="T523" s="7"/>
      </tp>
      <tp t="s">
        <v>表示銘柄数超過</v>
        <stp/>
        <stp>Market</stp>
        <stp>STOCK</stp>
        <stp>47050.T</stp>
        <stp>出来高加重平均</stp>
        <tr r="T522" s="7"/>
      </tp>
      <tp t="s">
        <v>表示銘柄数超過</v>
        <stp/>
        <stp>Market</stp>
        <stp>STOCK</stp>
        <stp>47160.T</stp>
        <stp>出来高加重平均</stp>
        <tr r="T525" s="7"/>
      </tp>
      <tp t="s">
        <v>表示銘柄数超過</v>
        <stp/>
        <stp>Market</stp>
        <stp>STOCK</stp>
        <stp>47140.T</stp>
        <stp>出来高加重平均</stp>
        <tr r="T524" s="7"/>
      </tp>
      <tp t="s">
        <v>表示銘柄数超過</v>
        <stp/>
        <stp>Market</stp>
        <stp>STOCK</stp>
        <stp>47260.T</stp>
        <stp>出来高加重平均</stp>
        <tr r="T527" s="7"/>
      </tp>
      <tp t="s">
        <v>表示銘柄数超過</v>
        <stp/>
        <stp>Market</stp>
        <stp>STOCK</stp>
        <stp>47200.T</stp>
        <stp>出来高加重平均</stp>
        <tr r="T526" s="7"/>
      </tp>
      <tp t="s">
        <v>表示銘柄数超過</v>
        <stp/>
        <stp>Market</stp>
        <stp>STOCK</stp>
        <stp>47550.T</stp>
        <stp>出来高加重平均</stp>
        <tr r="T529" s="7"/>
      </tp>
      <tp t="s">
        <v>表示銘柄数超過</v>
        <stp/>
        <stp>Market</stp>
        <stp>STOCK</stp>
        <stp>47510.T</stp>
        <stp>出来高加重平均</stp>
        <tr r="T528" s="7"/>
      </tp>
      <tp t="s">
        <v>表示銘柄数超過</v>
        <stp/>
        <stp>Market</stp>
        <stp>STOCK</stp>
        <stp>47670.T</stp>
        <stp>出来高加重平均</stp>
        <tr r="T531" s="7"/>
      </tp>
      <tp t="s">
        <v>表示銘柄数超過</v>
        <stp/>
        <stp>Market</stp>
        <stp>STOCK</stp>
        <stp>47660.T</stp>
        <stp>出来高加重平均</stp>
        <tr r="T530" s="7"/>
      </tp>
      <tp t="s">
        <v>表示銘柄数超過</v>
        <stp/>
        <stp>Market</stp>
        <stp>STOCK</stp>
        <stp>47770.T</stp>
        <stp>出来高加重平均</stp>
        <tr r="T534" s="7"/>
      </tp>
      <tp t="s">
        <v>表示銘柄数超過</v>
        <stp/>
        <stp>Market</stp>
        <stp>STOCK</stp>
        <stp>47760.T</stp>
        <stp>出来高加重平均</stp>
        <tr r="T533" s="7"/>
      </tp>
      <tp t="s">
        <v>表示銘柄数超過</v>
        <stp/>
        <stp>Market</stp>
        <stp>STOCK</stp>
        <stp>47700.T</stp>
        <stp>出来高加重平均</stp>
        <tr r="T532" s="7"/>
      </tp>
      <tp t="s">
        <v>表示銘柄数超過</v>
        <stp/>
        <stp>Market</stp>
        <stp>STOCK</stp>
        <stp>47840.T</stp>
        <stp>出来高加重平均</stp>
        <tr r="T535" s="7"/>
      </tp>
      <tp t="s">
        <v>表示銘柄数超過</v>
        <stp/>
        <stp>Market</stp>
        <stp>STOCK</stp>
        <stp>46130.T</stp>
        <stp>出来高加重平均</stp>
        <tr r="T510" s="7"/>
      </tp>
      <tp t="s">
        <v>表示銘柄数超過</v>
        <stp/>
        <stp>Market</stp>
        <stp>STOCK</stp>
        <stp>46120.T</stp>
        <stp>出来高加重平均</stp>
        <tr r="T509" s="7"/>
      </tp>
      <tp t="s">
        <v>表示銘柄数超過</v>
        <stp/>
        <stp>Market</stp>
        <stp>STOCK</stp>
        <stp>46110.T</stp>
        <stp>出来高加重平均</stp>
        <tr r="T508" s="7"/>
      </tp>
      <tp t="s">
        <v>表示銘柄数超過</v>
        <stp/>
        <stp>Market</stp>
        <stp>STOCK</stp>
        <stp>46190.T</stp>
        <stp>出来高加重平均</stp>
        <tr r="T511" s="7"/>
      </tp>
      <tp t="s">
        <v>表示銘柄数超過</v>
        <stp/>
        <stp>Market</stp>
        <stp>STOCK</stp>
        <stp>46200.T</stp>
        <stp>出来高加重平均</stp>
        <tr r="T512" s="7"/>
      </tp>
      <tp t="s">
        <v>表示銘柄数超過</v>
        <stp/>
        <stp>Market</stp>
        <stp>STOCK</stp>
        <stp>46310.T</stp>
        <stp>出来高加重平均</stp>
        <tr r="T470" s="7"/>
      </tp>
      <tp t="s">
        <v>表示銘柄数超過</v>
        <stp/>
        <stp>Market</stp>
        <stp>STOCK</stp>
        <stp>46570.T</stp>
        <stp>出来高加重平均</stp>
        <tr r="T514" s="7"/>
      </tp>
      <tp t="s">
        <v>表示銘柄数超過</v>
        <stp/>
        <stp>Market</stp>
        <stp>STOCK</stp>
        <stp>46510.T</stp>
        <stp>出来高加重平均</stp>
        <tr r="T513" s="7"/>
      </tp>
      <tp t="s">
        <v>表示銘柄数超過</v>
        <stp/>
        <stp>Market</stp>
        <stp>STOCK</stp>
        <stp>46670.T</stp>
        <stp>出来高加重平均</stp>
        <tr r="T516" s="7"/>
        <tr r="T517" s="7"/>
      </tp>
      <tp t="s">
        <v>表示銘柄数超過</v>
        <stp/>
        <stp>Market</stp>
        <stp>STOCK</stp>
        <stp>46640.T</stp>
        <stp>出来高加重平均</stp>
        <tr r="T515" s="7"/>
      </tp>
      <tp t="s">
        <v>表示銘柄数超過</v>
        <stp/>
        <stp>Market</stp>
        <stp>STOCK</stp>
        <stp>46760.T</stp>
        <stp>出来高加重平均</stp>
        <tr r="T518" s="7"/>
      </tp>
      <tp t="s">
        <v>表示銘柄数超過</v>
        <stp/>
        <stp>Market</stp>
        <stp>STOCK</stp>
        <stp>46800.T</stp>
        <stp>出来高加重平均</stp>
        <tr r="T519" s="7"/>
      </tp>
      <tp>
        <v>437.9846</v>
        <stp/>
        <stp>Market</stp>
        <stp>STOCK</stp>
        <stp>46890.T</stp>
        <stp>出来高加重平均</stp>
        <tr r="T520" s="7"/>
      </tp>
      <tp t="s">
        <v>表示銘柄数超過</v>
        <stp/>
        <stp>Market</stp>
        <stp>STOCK</stp>
        <stp>46900.T</stp>
        <stp>出来高加重平均</stp>
        <tr r="T521" s="7"/>
      </tp>
      <tp t="s">
        <v>表示銘柄数超過</v>
        <stp/>
        <stp>Market</stp>
        <stp>STOCK</stp>
        <stp>41670.T</stp>
        <stp>出来高加重平均</stp>
        <tr r="T418" s="7"/>
      </tp>
      <tp t="s">
        <v>表示銘柄数超過</v>
        <stp/>
        <stp>Market</stp>
        <stp>STOCK</stp>
        <stp>41650.T</stp>
        <stp>出来高加重平均</stp>
        <tr r="T417" s="7"/>
      </tp>
      <tp t="s">
        <v>表示銘柄数超過</v>
        <stp/>
        <stp>Market</stp>
        <stp>STOCK</stp>
        <stp>41690.T</stp>
        <stp>出来高加重平均</stp>
        <tr r="T419" s="7"/>
      </tp>
      <tp t="s">
        <v>表示銘柄数超過</v>
        <stp/>
        <stp>Market</stp>
        <stp>STOCK</stp>
        <stp>41760.T</stp>
        <stp>出来高加重平均</stp>
        <tr r="T421" s="7"/>
      </tp>
      <tp t="s">
        <v>表示銘柄数超過</v>
        <stp/>
        <stp>Market</stp>
        <stp>STOCK</stp>
        <stp>41700.T</stp>
        <stp>出来高加重平均</stp>
        <tr r="T420" s="7"/>
      </tp>
      <tp t="s">
        <v>表示銘柄数超過</v>
        <stp/>
        <stp>Market</stp>
        <stp>STOCK</stp>
        <stp>41850.T</stp>
        <stp>出来高加重平均</stp>
        <tr r="T422" s="7"/>
      </tp>
      <tp t="s">
        <v>表示銘柄数超過</v>
        <stp/>
        <stp>Market</stp>
        <stp>STOCK</stp>
        <stp>41880.T</stp>
        <stp>出来高加重平均</stp>
        <tr r="T423" s="7"/>
      </tp>
      <tp t="s">
        <v>表示銘柄数超過</v>
        <stp/>
        <stp>Market</stp>
        <stp>STOCK</stp>
        <stp>41920.T</stp>
        <stp>出来高加重平均</stp>
        <tr r="T424" s="7"/>
      </tp>
      <tp t="s">
        <v>表示銘柄数超過</v>
        <stp/>
        <stp>Market</stp>
        <stp>STOCK</stp>
        <stp>40040.T</stp>
        <stp>出来高加重平均</stp>
        <tr r="T410" s="7"/>
      </tp>
      <tp t="s">
        <v>表示銘柄数超過</v>
        <stp/>
        <stp>Market</stp>
        <stp>STOCK</stp>
        <stp>40160.T</stp>
        <stp>出来高加重平均</stp>
        <tr r="T412" s="7"/>
      </tp>
      <tp t="s">
        <v>表示銘柄数超過</v>
        <stp/>
        <stp>Market</stp>
        <stp>STOCK</stp>
        <stp>40110.T</stp>
        <stp>出来高加重平均</stp>
        <tr r="T411" s="7"/>
      </tp>
      <tp t="s">
        <v>表示銘柄数超過</v>
        <stp/>
        <stp>Market</stp>
        <stp>STOCK</stp>
        <stp>40270.T</stp>
        <stp>出来高加重平均</stp>
        <tr r="T413" s="7"/>
      </tp>
      <tp t="s">
        <v>表示銘柄数超過</v>
        <stp/>
        <stp>Market</stp>
        <stp>STOCK</stp>
        <stp>40590.T</stp>
        <stp>出来高加重平均</stp>
        <tr r="T414" s="7"/>
      </tp>
      <tp t="s">
        <v>表示銘柄数超過</v>
        <stp/>
        <stp>Market</stp>
        <stp>STOCK</stp>
        <stp>40630.T</stp>
        <stp>出来高加重平均</stp>
        <tr r="T415" s="7"/>
      </tp>
      <tp t="s">
        <v>表示銘柄数超過</v>
        <stp/>
        <stp>Market</stp>
        <stp>STOCK</stp>
        <stp>40750.T</stp>
        <stp>出来高加重平均</stp>
        <tr r="T416" s="7"/>
      </tp>
      <tp t="s">
        <v>表示銘柄数超過</v>
        <stp/>
        <stp>Market</stp>
        <stp>STOCK</stp>
        <stp>43040.T</stp>
        <stp>出来高加重平均</stp>
        <tr r="T440" s="7"/>
      </tp>
      <tp t="s">
        <v>表示銘柄数超過</v>
        <stp/>
        <stp>Market</stp>
        <stp>STOCK</stp>
        <stp>43080.T</stp>
        <stp>出来高加重平均</stp>
        <tr r="T441" s="7"/>
      </tp>
      <tp t="s">
        <v>表示銘柄数超過</v>
        <stp/>
        <stp>Market</stp>
        <stp>STOCK</stp>
        <stp>43160.T</stp>
        <stp>出来高加重平均</stp>
        <tr r="T442" s="7"/>
      </tp>
      <tp t="s">
        <v>表示銘柄数超過</v>
        <stp/>
        <stp>Market</stp>
        <stp>STOCK</stp>
        <stp>43240.T</stp>
        <stp>出来高加重平均</stp>
        <tr r="T443" s="7"/>
      </tp>
      <tp t="s">
        <v>表示銘柄数超過</v>
        <stp/>
        <stp>Market</stp>
        <stp>STOCK</stp>
        <stp>43370.T</stp>
        <stp>出来高加重平均</stp>
        <tr r="T444" s="7"/>
      </tp>
      <tp t="s">
        <v>表示銘柄数超過</v>
        <stp/>
        <stp>Market</stp>
        <stp>STOCK</stp>
        <stp>43460.T</stp>
        <stp>出来高加重平均</stp>
        <tr r="T446" s="7"/>
      </tp>
      <tp t="s">
        <v>表示銘柄数超過</v>
        <stp/>
        <stp>Market</stp>
        <stp>STOCK</stp>
        <stp>43430.T</stp>
        <stp>出来高加重平均</stp>
        <tr r="T445" s="7"/>
      </tp>
      <tp t="s">
        <v>表示銘柄数超過</v>
        <stp/>
        <stp>Market</stp>
        <stp>STOCK</stp>
        <stp>43550.T</stp>
        <stp>出来高加重平均</stp>
        <tr r="T448" s="7"/>
      </tp>
      <tp t="s">
        <v>表示銘柄数超過</v>
        <stp/>
        <stp>Market</stp>
        <stp>STOCK</stp>
        <stp>43500.T</stp>
        <stp>出来高加重平均</stp>
        <tr r="T447" s="7"/>
      </tp>
      <tp t="s">
        <v>表示銘柄数超過</v>
        <stp/>
        <stp>Market</stp>
        <stp>STOCK</stp>
        <stp>43760.T</stp>
        <stp>出来高加重平均</stp>
        <tr r="T452" s="7"/>
      </tp>
      <tp t="s">
        <v>表示銘柄数超過</v>
        <stp/>
        <stp>Market</stp>
        <stp>STOCK</stp>
        <stp>43740.T</stp>
        <stp>出来高加重平均</stp>
        <tr r="T451" s="7"/>
      </tp>
      <tp t="s">
        <v>表示銘柄数超過</v>
        <stp/>
        <stp>Market</stp>
        <stp>STOCK</stp>
        <stp>43730.T</stp>
        <stp>出来高加重平均</stp>
        <tr r="T450" s="7"/>
      </tp>
      <tp t="s">
        <v>表示銘柄数超過</v>
        <stp/>
        <stp>Market</stp>
        <stp>STOCK</stp>
        <stp>43700.T</stp>
        <stp>出来高加重平均</stp>
        <tr r="T449" s="7"/>
      </tp>
      <tp t="s">
        <v>表示銘柄数超過</v>
        <stp/>
        <stp>Market</stp>
        <stp>STOCK</stp>
        <stp>43790.T</stp>
        <stp>出来高加重平均</stp>
        <tr r="T454" s="7"/>
      </tp>
      <tp t="s">
        <v>表示銘柄数超過</v>
        <stp/>
        <stp>Market</stp>
        <stp>STOCK</stp>
        <stp>43780.T</stp>
        <stp>出来高加重平均</stp>
        <tr r="T453" s="7"/>
      </tp>
      <tp t="s">
        <v>表示銘柄数超過</v>
        <stp/>
        <stp>Market</stp>
        <stp>STOCK</stp>
        <stp>43850.T</stp>
        <stp>出来高加重平均</stp>
        <tr r="T456" s="7"/>
      </tp>
      <tp t="s">
        <v>表示銘柄数超過</v>
        <stp/>
        <stp>Market</stp>
        <stp>STOCK</stp>
        <stp>43820.T</stp>
        <stp>出来高加重平均</stp>
        <tr r="T455" s="7"/>
      </tp>
      <tp t="s">
        <v>表示銘柄数超過</v>
        <stp/>
        <stp>Market</stp>
        <stp>STOCK</stp>
        <stp>43880.T</stp>
        <stp>出来高加重平均</stp>
        <tr r="T457" s="7"/>
      </tp>
      <tp t="s">
        <v>表示銘柄数超過</v>
        <stp/>
        <stp>Market</stp>
        <stp>STOCK</stp>
        <stp>43950.T</stp>
        <stp>出来高加重平均</stp>
        <tr r="T458" s="7"/>
      </tp>
      <tp t="s">
        <v>表示銘柄数超過</v>
        <stp/>
        <stp>Market</stp>
        <stp>STOCK</stp>
        <stp>42020.T</stp>
        <stp>出来高加重平均</stp>
        <tr r="T426" s="7"/>
      </tp>
      <tp t="s">
        <v>表示銘柄数超過</v>
        <stp/>
        <stp>Market</stp>
        <stp>STOCK</stp>
        <stp>42000.T</stp>
        <stp>出来高加重平均</stp>
        <tr r="T425" s="7"/>
      </tp>
      <tp t="s">
        <v>表示銘柄数超過</v>
        <stp/>
        <stp>Market</stp>
        <stp>STOCK</stp>
        <stp>42370.T</stp>
        <stp>出来高加重平均</stp>
        <tr r="T427" s="7"/>
      </tp>
      <tp t="s">
        <v>表示銘柄数超過</v>
        <stp/>
        <stp>Market</stp>
        <stp>STOCK</stp>
        <stp>42380.T</stp>
        <stp>出来高加重平均</stp>
        <tr r="T428" s="7"/>
      </tp>
      <tp t="s">
        <v>表示銘柄数超過</v>
        <stp/>
        <stp>Market</stp>
        <stp>STOCK</stp>
        <stp>42430.T</stp>
        <stp>出来高加重平均</stp>
        <tr r="T430" s="7"/>
      </tp>
      <tp t="s">
        <v>表示銘柄数超過</v>
        <stp/>
        <stp>Market</stp>
        <stp>STOCK</stp>
        <stp>42410.T</stp>
        <stp>出来高加重平均</stp>
        <tr r="T429" s="7"/>
      </tp>
      <tp t="s">
        <v>表示銘柄数超過</v>
        <stp/>
        <stp>Market</stp>
        <stp>STOCK</stp>
        <stp>42590.T</stp>
        <stp>出来高加重平均</stp>
        <tr r="T432" s="7"/>
      </tp>
      <tp t="s">
        <v>表示銘柄数超過</v>
        <stp/>
        <stp>Market</stp>
        <stp>STOCK</stp>
        <stp>42580.T</stp>
        <stp>出来高加重平均</stp>
        <tr r="T431" s="7"/>
      </tp>
      <tp t="s">
        <v>表示銘柄数超過</v>
        <stp/>
        <stp>Market</stp>
        <stp>STOCK</stp>
        <stp>42640.T</stp>
        <stp>出来高加重平均</stp>
        <tr r="T433" s="7"/>
      </tp>
      <tp t="s">
        <v>表示銘柄数超過</v>
        <stp/>
        <stp>Market</stp>
        <stp>STOCK</stp>
        <stp>42680.T</stp>
        <stp>出来高加重平均</stp>
        <tr r="T434" s="7"/>
      </tp>
      <tp t="s">
        <v>表示銘柄数超過</v>
        <stp/>
        <stp>Market</stp>
        <stp>STOCK</stp>
        <stp>42750.T</stp>
        <stp>出来高加重平均</stp>
        <tr r="T436" s="7"/>
      </tp>
      <tp t="s">
        <v>表示銘柄数超過</v>
        <stp/>
        <stp>Market</stp>
        <stp>STOCK</stp>
        <stp>42740.T</stp>
        <stp>出来高加重平均</stp>
        <tr r="T435" s="7"/>
      </tp>
      <tp t="s">
        <v>表示銘柄数超過</v>
        <stp/>
        <stp>Market</stp>
        <stp>STOCK</stp>
        <stp>42870.T</stp>
        <stp>出来高加重平均</stp>
        <tr r="T438" s="7"/>
      </tp>
      <tp t="s">
        <v>表示銘柄数超過</v>
        <stp/>
        <stp>Market</stp>
        <stp>STOCK</stp>
        <stp>42860.T</stp>
        <stp>出来高加重平均</stp>
        <tr r="T437" s="7"/>
      </tp>
      <tp t="s">
        <v>表示銘柄数超過</v>
        <stp/>
        <stp>Market</stp>
        <stp>STOCK</stp>
        <stp>42930.T</stp>
        <stp>出来高加重平均</stp>
        <tr r="T439" s="7"/>
      </tp>
      <tp t="s">
        <v>表示銘柄数超過</v>
        <stp/>
        <stp>Market</stp>
        <stp>STOCK</stp>
        <stp>49020.T</stp>
        <stp>出来高加重平均</stp>
        <tr r="T551" s="7"/>
      </tp>
      <tp t="s">
        <v>表示銘柄数超過</v>
        <stp/>
        <stp>Market</stp>
        <stp>STOCK</stp>
        <stp>49120.T</stp>
        <stp>出来高加重平均</stp>
        <tr r="T552" s="7"/>
      </tp>
      <tp t="s">
        <v>表示銘柄数超過</v>
        <stp/>
        <stp>Market</stp>
        <stp>STOCK</stp>
        <stp>49200.T</stp>
        <stp>出来高加重平均</stp>
        <tr r="T553" s="7"/>
      </tp>
      <tp t="s">
        <v>表示銘柄数超過</v>
        <stp/>
        <stp>Market</stp>
        <stp>STOCK</stp>
        <stp>49630.T</stp>
        <stp>出来高加重平均</stp>
        <tr r="T555" s="7"/>
      </tp>
      <tp t="s">
        <v>表示銘柄数超過</v>
        <stp/>
        <stp>Market</stp>
        <stp>STOCK</stp>
        <stp>49600.T</stp>
        <stp>出来高加重平均</stp>
        <tr r="T554" s="7"/>
      </tp>
      <tp t="s">
        <v>表示銘柄数超過</v>
        <stp/>
        <stp>Market</stp>
        <stp>STOCK</stp>
        <stp>49780.T</stp>
        <stp>出来高加重平均</stp>
        <tr r="T556" s="7"/>
      </tp>
      <tp>
        <v>684.69849999999997</v>
        <stp/>
        <stp>Market</stp>
        <stp>STOCK</stp>
        <stp>49970.T</stp>
        <stp>出来高加重平均</stp>
        <tr r="T557" s="7"/>
      </tp>
      <tp t="s">
        <v>表示銘柄数超過</v>
        <stp/>
        <stp>Market</stp>
        <stp>STOCK</stp>
        <stp>48000.T</stp>
        <stp>出来高加重平均</stp>
        <tr r="T536" s="7"/>
      </tp>
      <tp t="s">
        <v>表示銘柄数超過</v>
        <stp/>
        <stp>Market</stp>
        <stp>STOCK</stp>
        <stp>48140.T</stp>
        <stp>出来高加重平均</stp>
        <tr r="T537" s="7"/>
      </tp>
      <tp t="s">
        <v>表示銘柄数超過</v>
        <stp/>
        <stp>Market</stp>
        <stp>STOCK</stp>
        <stp>48240.T</stp>
        <stp>出来高加重平均</stp>
        <tr r="T539" s="7"/>
      </tp>
      <tp t="s">
        <v>表示銘柄数超過</v>
        <stp/>
        <stp>Market</stp>
        <stp>STOCK</stp>
        <stp>48200.T</stp>
        <stp>出来高加重平均</stp>
        <tr r="T538" s="7"/>
      </tp>
      <tp t="s">
        <v>表示銘柄数超過</v>
        <stp/>
        <stp>Market</stp>
        <stp>STOCK</stp>
        <stp>48290.T</stp>
        <stp>出来高加重平均</stp>
        <tr r="T540" s="7"/>
      </tp>
      <tp t="s">
        <v>表示銘柄数超過</v>
        <stp/>
        <stp>Market</stp>
        <stp>STOCK</stp>
        <stp>48370.T</stp>
        <stp>出来高加重平均</stp>
        <tr r="T542" s="7"/>
      </tp>
      <tp t="s">
        <v>表示銘柄数超過</v>
        <stp/>
        <stp>Market</stp>
        <stp>STOCK</stp>
        <stp>48330.T</stp>
        <stp>出来高加重平均</stp>
        <tr r="T541" s="7"/>
      </tp>
      <tp t="s">
        <v>表示銘柄数超過</v>
        <stp/>
        <stp>Market</stp>
        <stp>STOCK</stp>
        <stp>48380.T</stp>
        <stp>出来高加重平均</stp>
        <tr r="T543" s="7"/>
      </tp>
      <tp t="s">
        <v>表示銘柄数超過</v>
        <stp/>
        <stp>Market</stp>
        <stp>STOCK</stp>
        <stp>48470.T</stp>
        <stp>出来高加重平均</stp>
        <tr r="T544" s="7"/>
      </tp>
      <tp t="s">
        <v>表示銘柄数超過</v>
        <stp/>
        <stp>Market</stp>
        <stp>STOCK</stp>
        <stp>48830.T</stp>
        <stp>出来高加重平均</stp>
        <tr r="T546" s="7"/>
      </tp>
      <tp t="s">
        <v>表示銘柄数超過</v>
        <stp/>
        <stp>Market</stp>
        <stp>STOCK</stp>
        <stp>48810.T</stp>
        <stp>出来高加重平均</stp>
        <tr r="T545" s="7"/>
      </tp>
      <tp t="s">
        <v>表示銘柄数超過</v>
        <stp/>
        <stp>Market</stp>
        <stp>STOCK</stp>
        <stp>48890.T</stp>
        <stp>出来高加重平均</stp>
        <tr r="T547" s="7"/>
      </tp>
      <tp t="s">
        <v>表示銘柄数超過</v>
        <stp/>
        <stp>Market</stp>
        <stp>STOCK</stp>
        <stp>48920.T</stp>
        <stp>出来高加重平均</stp>
        <tr r="T550" s="7"/>
      </tp>
      <tp t="s">
        <v>表示銘柄数超過</v>
        <stp/>
        <stp>Market</stp>
        <stp>STOCK</stp>
        <stp>48910.T</stp>
        <stp>出来高加重平均</stp>
        <tr r="T549" s="7"/>
      </tp>
      <tp t="s">
        <v>表示銘柄数超過</v>
        <stp/>
        <stp>Market</stp>
        <stp>STOCK</stp>
        <stp>48900.T</stp>
        <stp>出来高加重平均</stp>
        <tr r="T548" s="7"/>
      </tp>
    </main>
    <main first="rtdsrv.662c26bade854d00aebc6010f8a2e03a">
      <tp>
        <v>1440</v>
        <stp/>
        <stp>Market</stp>
        <stp>STOCK</stp>
        <stp>75050.T</stp>
        <stp>出来高加重平均</stp>
        <tr r="T895" s="7"/>
      </tp>
      <tp>
        <v>3933.9322000000002</v>
        <stp/>
        <stp>Market</stp>
        <stp>STOCK</stp>
        <stp>75160.T</stp>
        <stp>出来高加重平均</stp>
        <tr r="T899" s="7"/>
      </tp>
      <tp>
        <v>937.63030000000003</v>
        <stp/>
        <stp>Market</stp>
        <stp>STOCK</stp>
        <stp>75140.T</stp>
        <stp>出来高加重平均</stp>
        <tr r="T898" s="7"/>
      </tp>
      <tp>
        <v>737.8039</v>
        <stp/>
        <stp>Market</stp>
        <stp>STOCK</stp>
        <stp>75130.T</stp>
        <stp>出来高加重平均</stp>
        <tr r="T897" s="7"/>
      </tp>
      <tp>
        <v>932.28150000000005</v>
        <stp/>
        <stp>Market</stp>
        <stp>STOCK</stp>
        <stp>75120.T</stp>
        <stp>出来高加重平均</stp>
        <tr r="T896" s="7"/>
      </tp>
      <tp>
        <v>58.346200000000003</v>
        <stp/>
        <stp>Market</stp>
        <stp>STOCK</stp>
        <stp>75270.T</stp>
        <stp>出来高加重平均</stp>
        <tr r="T901" s="7"/>
      </tp>
      <tp>
        <v>1193.8095000000001</v>
        <stp/>
        <stp>Market</stp>
        <stp>STOCK</stp>
        <stp>75230.T</stp>
        <stp>出来高加重平均</stp>
        <tr r="T900" s="7"/>
      </tp>
      <tp>
        <v>330.24639999999999</v>
        <stp/>
        <stp>Market</stp>
        <stp>STOCK</stp>
        <stp>75380.T</stp>
        <stp>出来高加重平均</stp>
        <tr r="T902" s="7"/>
      </tp>
      <tp>
        <v>454.91239999999999</v>
        <stp/>
        <stp>Market</stp>
        <stp>STOCK</stp>
        <stp>75440.T</stp>
        <stp>出来高加重平均</stp>
        <tr r="T903" s="7"/>
      </tp>
      <tp>
        <v>451.5942</v>
        <stp/>
        <stp>Market</stp>
        <stp>STOCK</stp>
        <stp>75670.T</stp>
        <stp>出来高加重平均</stp>
        <tr r="T904" s="7"/>
      </tp>
      <tp>
        <v>429.79289999999997</v>
        <stp/>
        <stp>Market</stp>
        <stp>STOCK</stp>
        <stp>75780.T</stp>
        <stp>出来高加重平均</stp>
        <tr r="T905" s="7"/>
      </tp>
      <tp>
        <v>392.90320000000003</v>
        <stp/>
        <stp>Market</stp>
        <stp>STOCK</stp>
        <stp>75850.T</stp>
        <stp>出来高加重平均</stp>
        <tr r="T906" s="7"/>
      </tp>
      <tp t="s">
        <v>表示銘柄数超過</v>
        <stp/>
        <stp>Market</stp>
        <stp>STOCK</stp>
        <stp>25935.T</stp>
        <stp>出来高加重平均</stp>
        <tr r="T167" s="7"/>
      </tp>
      <tp>
        <v>531.43700000000001</v>
        <stp/>
        <stp>Market</stp>
        <stp>STOCK</stp>
        <stp>75930.T</stp>
        <stp>出来高加重平均</stp>
        <tr r="T908" s="7"/>
      </tp>
      <tp>
        <v>497.56</v>
        <stp/>
        <stp>Market</stp>
        <stp>STOCK</stp>
        <stp>75900.T</stp>
        <stp>出来高加重平均</stp>
        <tr r="T907" s="7"/>
      </tp>
      <tp>
        <v>1520.3272999999999</v>
        <stp/>
        <stp>Market</stp>
        <stp>STOCK</stp>
        <stp>74080.T</stp>
        <stp>出来高加重平均</stp>
        <tr r="T886" s="7"/>
      </tp>
      <tp>
        <v>1601.7608</v>
        <stp/>
        <stp>Market</stp>
        <stp>STOCK</stp>
        <stp>74190.T</stp>
        <stp>出来高加重平均</stp>
        <tr r="T887" s="7"/>
      </tp>
      <tp>
        <v>2332.5925000000002</v>
        <stp/>
        <stp>Market</stp>
        <stp>STOCK</stp>
        <stp>74200.T</stp>
        <stp>出来高加重平均</stp>
        <tr r="T888" s="7"/>
      </tp>
      <tp>
        <v>416.38290000000001</v>
        <stp/>
        <stp>Market</stp>
        <stp>STOCK</stp>
        <stp>74450.T</stp>
        <stp>出来高加重平均</stp>
        <tr r="T889" s="7"/>
      </tp>
      <tp>
        <v>502.07760000000002</v>
        <stp/>
        <stp>Market</stp>
        <stp>STOCK</stp>
        <stp>74550.T</stp>
        <stp>出来高加重平均</stp>
        <tr r="T891" s="7"/>
      </tp>
      <tp>
        <v>2115.5785000000001</v>
        <stp/>
        <stp>Market</stp>
        <stp>STOCK</stp>
        <stp>74530.T</stp>
        <stp>出来高加重平均</stp>
        <tr r="T890" s="7"/>
      </tp>
      <tp>
        <v>2358.8971999999999</v>
        <stp/>
        <stp>Market</stp>
        <stp>STOCK</stp>
        <stp>74590.T</stp>
        <stp>出来高加重平均</stp>
        <tr r="T892" s="7"/>
      </tp>
      <tp>
        <v>1856.2902999999999</v>
        <stp/>
        <stp>Market</stp>
        <stp>STOCK</stp>
        <stp>74810.T</stp>
        <stp>出来高加重平均</stp>
        <tr r="T893" s="7"/>
      </tp>
      <tp>
        <v>423.04050000000001</v>
        <stp/>
        <stp>Market</stp>
        <stp>STOCK</stp>
        <stp>74940.T</stp>
        <stp>出来高加重平均</stp>
        <tr r="T894" s="7"/>
      </tp>
      <tp>
        <v>253.84610000000001</v>
        <stp/>
        <stp>Market</stp>
        <stp>STOCK</stp>
        <stp>77090.T</stp>
        <stp>出来高加重平均</stp>
        <tr r="T921" s="7"/>
      </tp>
      <tp>
        <v>215.6097</v>
        <stp/>
        <stp>Market</stp>
        <stp>STOCK</stp>
        <stp>77190.T</stp>
        <stp>出来高加重平均</stp>
        <tr r="T922" s="7"/>
      </tp>
      <tp>
        <v>1124.6990000000001</v>
        <stp/>
        <stp>Market</stp>
        <stp>STOCK</stp>
        <stp>77250.T</stp>
        <stp>出来高加重平均</stp>
        <tr r="T924" s="7"/>
      </tp>
      <tp>
        <v>507.5</v>
        <stp/>
        <stp>Market</stp>
        <stp>STOCK</stp>
        <stp>77220.T</stp>
        <stp>出来高加重平均</stp>
        <tr r="T923" s="7"/>
      </tp>
      <tp>
        <v>1718.1295</v>
        <stp/>
        <stp>Market</stp>
        <stp>STOCK</stp>
        <stp>77320.T</stp>
        <stp>出来高加重平均</stp>
        <tr r="T925" s="7"/>
      </tp>
      <tp>
        <v>2090.8425999999999</v>
        <stp/>
        <stp>Market</stp>
        <stp>STOCK</stp>
        <stp>77390.T</stp>
        <stp>出来高加重平均</stp>
        <tr r="T926" s="7"/>
      </tp>
      <tp>
        <v>2105.5003999999999</v>
        <stp/>
        <stp>Market</stp>
        <stp>STOCK</stp>
        <stp>77450.T</stp>
        <stp>出来高加重平均</stp>
        <tr r="T927" s="7"/>
      </tp>
      <tp>
        <v>1262.2920999999999</v>
        <stp/>
        <stp>Market</stp>
        <stp>STOCK</stp>
        <stp>77520.T</stp>
        <stp>出来高加重平均</stp>
        <tr r="T929" s="7"/>
      </tp>
      <tp>
        <v>4054.9281999999998</v>
        <stp/>
        <stp>Market</stp>
        <stp>STOCK</stp>
        <stp>77510.T</stp>
        <stp>出来高加重平均</stp>
        <tr r="T928" s="7"/>
      </tp>
      <tp>
        <v>970.06269999999995</v>
        <stp/>
        <stp>Market</stp>
        <stp>STOCK</stp>
        <stp>77620.T</stp>
        <stp>出来高加重平均</stp>
        <tr r="T930" s="7"/>
      </tp>
      <tp>
        <v>106.57250000000001</v>
        <stp/>
        <stp>Market</stp>
        <stp>STOCK</stp>
        <stp>77770.T</stp>
        <stp>出来高加重平均</stp>
        <tr r="T933" s="7"/>
      </tp>
      <tp>
        <v>242.1001</v>
        <stp/>
        <stp>Market</stp>
        <stp>STOCK</stp>
        <stp>77760.T</stp>
        <stp>出来高加重平均</stp>
        <tr r="T932" s="7"/>
      </tp>
      <tp>
        <v>71.071399999999997</v>
        <stp/>
        <stp>Market</stp>
        <stp>STOCK</stp>
        <stp>77710.T</stp>
        <stp>出来高加重平均</stp>
        <tr r="T931" s="7"/>
      </tp>
      <tp>
        <v>202.7559</v>
        <stp/>
        <stp>Market</stp>
        <stp>STOCK</stp>
        <stp>77790.T</stp>
        <stp>出来高加重平均</stp>
        <tr r="T934" s="7"/>
      </tp>
      <tp>
        <v>201.05629999999999</v>
        <stp/>
        <stp>Market</stp>
        <stp>STOCK</stp>
        <stp>77950.T</stp>
        <stp>出来高加重平均</stp>
        <tr r="T937" s="7"/>
      </tp>
      <tp>
        <v>1452.1434999999999</v>
        <stp/>
        <stp>Market</stp>
        <stp>STOCK</stp>
        <stp>77940.T</stp>
        <stp>出来高加重平均</stp>
        <tr r="T936" s="7"/>
      </tp>
      <tp>
        <v>836.12159999999994</v>
        <stp/>
        <stp>Market</stp>
        <stp>STOCK</stp>
        <stp>77920.T</stp>
        <stp>出来高加重平均</stp>
        <tr r="T935" s="7"/>
      </tp>
      <tp>
        <v>1761.3933999999999</v>
        <stp/>
        <stp>Market</stp>
        <stp>STOCK</stp>
        <stp>76050.T</stp>
        <stp>出来高加重平均</stp>
        <tr r="T911" s="7"/>
      </tp>
      <tp>
        <v>181.2422</v>
        <stp/>
        <stp>Market</stp>
        <stp>STOCK</stp>
        <stp>76020.T</stp>
        <stp>出来高加重平均</stp>
        <tr r="T910" s="7"/>
      </tp>
      <tp>
        <v>250.6533</v>
        <stp/>
        <stp>Market</stp>
        <stp>STOCK</stp>
        <stp>76010.T</stp>
        <stp>出来高加重平均</stp>
        <tr r="T909" s="7"/>
      </tp>
      <tp>
        <v>144.28569999999999</v>
        <stp/>
        <stp>Market</stp>
        <stp>STOCK</stp>
        <stp>76150.T</stp>
        <stp>出来高加重平均</stp>
        <tr r="T913" s="7"/>
      </tp>
      <tp>
        <v>129.58269999999999</v>
        <stp/>
        <stp>Market</stp>
        <stp>STOCK</stp>
        <stp>76100.T</stp>
        <stp>出来高加重平均</stp>
        <tr r="T912" s="7"/>
      </tp>
      <tp>
        <v>145</v>
        <stp/>
        <stp>Market</stp>
        <stp>STOCK</stp>
        <stp>76240.T</stp>
        <stp>出来高加重平均</stp>
        <tr r="T916" s="7"/>
      </tp>
      <tp>
        <v>589.25</v>
        <stp/>
        <stp>Market</stp>
        <stp>STOCK</stp>
        <stp>76230.T</stp>
        <stp>出来高加重平均</stp>
        <tr r="T915" s="7"/>
      </tp>
      <tp>
        <v>25.793800000000001</v>
        <stp/>
        <stp>Market</stp>
        <stp>STOCK</stp>
        <stp>76470.T</stp>
        <stp>出来高加重平均</stp>
        <tr r="T918" s="7"/>
      </tp>
      <tp>
        <v>157.33099999999999</v>
        <stp/>
        <stp>Market</stp>
        <stp>STOCK</stp>
        <stp>76400.T</stp>
        <stp>出来高加重平均</stp>
        <tr r="T917" s="7"/>
      </tp>
      <tp>
        <v>712.96289999999999</v>
        <stp/>
        <stp>Market</stp>
        <stp>STOCK</stp>
        <stp>76760.T</stp>
        <stp>出来高加重平均</stp>
        <tr r="T919" s="7"/>
      </tp>
      <tp>
        <v>62.823300000000003</v>
        <stp/>
        <stp>Market</stp>
        <stp>STOCK</stp>
        <stp>76920.T</stp>
        <stp>出来高加重平均</stp>
        <tr r="T920" s="7"/>
      </tp>
      <tp>
        <v>2272.3125</v>
        <stp/>
        <stp>Market</stp>
        <stp>STOCK</stp>
        <stp>71020.T</stp>
        <stp>出来高加重平均</stp>
        <tr r="T825" s="7"/>
      </tp>
      <tp>
        <v>1403.04</v>
        <stp/>
        <stp>Market</stp>
        <stp>STOCK</stp>
        <stp>71160.T</stp>
        <stp>出来高加重平均</stp>
        <tr r="T827" s="7"/>
      </tp>
      <tp>
        <v>81.727400000000003</v>
        <stp/>
        <stp>Market</stp>
        <stp>STOCK</stp>
        <stp>71110.T</stp>
        <stp>出来高加重平均</stp>
        <tr r="T826" s="7"/>
      </tp>
      <tp>
        <v>2024.8181</v>
        <stp/>
        <stp>Market</stp>
        <stp>STOCK</stp>
        <stp>71220.T</stp>
        <stp>出来高加重平均</stp>
        <tr r="T828" s="7"/>
      </tp>
      <tp>
        <v>168.38579999999999</v>
        <stp/>
        <stp>Market</stp>
        <stp>STOCK</stp>
        <stp>71350.T</stp>
        <stp>出来高加重平均</stp>
        <tr r="T829" s="7"/>
      </tp>
      <tp>
        <v>1769.1143</v>
        <stp/>
        <stp>Market</stp>
        <stp>STOCK</stp>
        <stp>71480.T</stp>
        <stp>出来高加重平均</stp>
        <tr r="T830" s="7"/>
      </tp>
      <tp>
        <v>517.5</v>
        <stp/>
        <stp>Market</stp>
        <stp>STOCK</stp>
        <stp>71500.T</stp>
        <stp>出来高加重平均</stp>
        <tr r="T831" s="7"/>
      </tp>
      <tp>
        <v>431.9323</v>
        <stp/>
        <stp>Market</stp>
        <stp>STOCK</stp>
        <stp>71670.T</stp>
        <stp>出来高加重平均</stp>
        <tr r="T834" s="7"/>
      </tp>
      <tp>
        <v>1722.4641999999999</v>
        <stp/>
        <stp>Market</stp>
        <stp>STOCK</stp>
        <stp>71630.T</stp>
        <stp>出来高加重平均</stp>
        <tr r="T833" s="7"/>
      </tp>
      <tp>
        <v>557.6413</v>
        <stp/>
        <stp>Market</stp>
        <stp>STOCK</stp>
        <stp>71610.T</stp>
        <stp>出来高加重平均</stp>
        <tr r="T832" s="7"/>
      </tp>
      <tp>
        <v>676.41020000000003</v>
        <stp/>
        <stp>Market</stp>
        <stp>STOCK</stp>
        <stp>71770.T</stp>
        <stp>出来高加重平均</stp>
        <tr r="T837" s="7"/>
      </tp>
      <tp>
        <v>1120</v>
        <stp/>
        <stp>Market</stp>
        <stp>STOCK</stp>
        <stp>71750.T</stp>
        <stp>出来高加重平均</stp>
        <tr r="T836" s="7"/>
      </tp>
      <tp>
        <v>934.351</v>
        <stp/>
        <stp>Market</stp>
        <stp>STOCK</stp>
        <stp>71720.T</stp>
        <stp>出来高加重平均</stp>
        <tr r="T835" s="7"/>
      </tp>
      <tp>
        <v>698.36329999999998</v>
        <stp/>
        <stp>Market</stp>
        <stp>STOCK</stp>
        <stp>71860.T</stp>
        <stp>出来高加重平均</stp>
        <tr r="T842" s="7"/>
      </tp>
      <tp>
        <v>848.96119999999996</v>
        <stp/>
        <stp>Market</stp>
        <stp>STOCK</stp>
        <stp>71840.T</stp>
        <stp>出来高加重平均</stp>
        <tr r="T841" s="7"/>
      </tp>
      <tp>
        <v>259.89100000000002</v>
        <stp/>
        <stp>Market</stp>
        <stp>STOCK</stp>
        <stp>71830.T</stp>
        <stp>出来高加重平均</stp>
        <tr r="T840" s="7"/>
      </tp>
      <tp>
        <v>1497.7833000000001</v>
        <stp/>
        <stp>Market</stp>
        <stp>STOCK</stp>
        <stp>71820.T</stp>
        <stp>出来高加重平均</stp>
        <tr r="T839" s="7"/>
      </tp>
      <tp>
        <v>954.04960000000005</v>
        <stp/>
        <stp>Market</stp>
        <stp>STOCK</stp>
        <stp>71800.T</stp>
        <stp>出来高加重平均</stp>
        <tr r="T838" s="7"/>
      </tp>
      <tp>
        <v>834.46759999999995</v>
        <stp/>
        <stp>Market</stp>
        <stp>STOCK</stp>
        <stp>71960.T</stp>
        <stp>出来高加重平均</stp>
        <tr r="T843" s="7"/>
      </tp>
      <tp>
        <v>1003.4246000000001</v>
        <stp/>
        <stp>Market</stp>
        <stp>STOCK</stp>
        <stp>70040.T</stp>
        <stp>出来高加重平均</stp>
        <tr r="T805" s="7"/>
      </tp>
      <tp>
        <v>750.74069999999995</v>
        <stp/>
        <stp>Market</stp>
        <stp>STOCK</stp>
        <stp>70030.T</stp>
        <stp>出来高加重平均</stp>
        <tr r="T804" s="7"/>
      </tp>
      <tp>
        <v>1326.8405</v>
        <stp/>
        <stp>Market</stp>
        <stp>STOCK</stp>
        <stp>70140.T</stp>
        <stp>出来高加重平均</stp>
        <tr r="T809" s="7"/>
      </tp>
      <tp>
        <v>2763.0916999999999</v>
        <stp/>
        <stp>Market</stp>
        <stp>STOCK</stp>
        <stp>70130.T</stp>
        <stp>出来高加重平均</stp>
        <tr r="T808" s="7"/>
      </tp>
      <tp>
        <v>3485.2184999999999</v>
        <stp/>
        <stp>Market</stp>
        <stp>STOCK</stp>
        <stp>70120.T</stp>
        <stp>出来高加重平均</stp>
        <tr r="T807" s="7"/>
      </tp>
      <tp>
        <v>10339.242</v>
        <stp/>
        <stp>Market</stp>
        <stp>STOCK</stp>
        <stp>70110.T</stp>
        <stp>出来高加重平均</stp>
        <tr r="T806" s="7"/>
      </tp>
      <tp>
        <v>520</v>
        <stp/>
        <stp>Market</stp>
        <stp>STOCK</stp>
        <stp>70370.T</stp>
        <stp>出来高加重平均</stp>
        <tr r="T811" s="7"/>
      </tp>
      <tp>
        <v>1218.3783000000001</v>
        <stp/>
        <stp>Market</stp>
        <stp>STOCK</stp>
        <stp>70310.T</stp>
        <stp>出来高加重平均</stp>
        <tr r="T810" s="7"/>
      </tp>
      <tp>
        <v>2471.6873999999998</v>
        <stp/>
        <stp>Market</stp>
        <stp>STOCK</stp>
        <stp>70470.T</stp>
        <stp>出来高加重平均</stp>
        <tr r="T815" s="7"/>
      </tp>
      <tp>
        <v>316.10500000000002</v>
        <stp/>
        <stp>Market</stp>
        <stp>STOCK</stp>
        <stp>70440.T</stp>
        <stp>出来高加重平均</stp>
        <tr r="T814" s="7"/>
      </tp>
      <tp>
        <v>919.12289999999996</v>
        <stp/>
        <stp>Market</stp>
        <stp>STOCK</stp>
        <stp>70430.T</stp>
        <stp>出来高加重平均</stp>
        <tr r="T813" s="7"/>
      </tp>
      <tp>
        <v>519.928</v>
        <stp/>
        <stp>Market</stp>
        <stp>STOCK</stp>
        <stp>70410.T</stp>
        <stp>出来高加重平均</stp>
        <tr r="T812" s="7"/>
      </tp>
      <tp>
        <v>536.82529999999997</v>
        <stp/>
        <stp>Market</stp>
        <stp>STOCK</stp>
        <stp>70490.T</stp>
        <stp>出来高加重平均</stp>
        <tr r="T817" s="7"/>
      </tp>
      <tp>
        <v>590.55719999999997</v>
        <stp/>
        <stp>Market</stp>
        <stp>STOCK</stp>
        <stp>70480.T</stp>
        <stp>出来高加重平均</stp>
        <tr r="T816" s="7"/>
      </tp>
      <tp>
        <v>1615.3088</v>
        <stp/>
        <stp>Market</stp>
        <stp>STOCK</stp>
        <stp>70590.T</stp>
        <stp>出来高加重平均</stp>
        <tr r="T818" s="7"/>
      </tp>
      <tp>
        <v>1218.6940999999999</v>
        <stp/>
        <stp>Market</stp>
        <stp>STOCK</stp>
        <stp>70630.T</stp>
        <stp>出来高加重平均</stp>
        <tr r="T821" s="7"/>
      </tp>
      <tp>
        <v>1003.8181</v>
        <stp/>
        <stp>Market</stp>
        <stp>STOCK</stp>
        <stp>70620.T</stp>
        <stp>出来高加重平均</stp>
        <tr r="T820" s="7"/>
      </tp>
      <tp>
        <v>507.30369999999999</v>
        <stp/>
        <stp>Market</stp>
        <stp>STOCK</stp>
        <stp>70600.T</stp>
        <stp>出来高加重平均</stp>
        <tr r="T819" s="7"/>
      </tp>
      <tp>
        <v>528.64679999999998</v>
        <stp/>
        <stp>Market</stp>
        <stp>STOCK</stp>
        <stp>70680.T</stp>
        <stp>出来高加重平均</stp>
        <tr r="T822" s="7"/>
      </tp>
      <tp>
        <v>256.23649999999998</v>
        <stp/>
        <stp>Market</stp>
        <stp>STOCK</stp>
        <stp>70740.T</stp>
        <stp>出来高加重平均</stp>
        <tr r="T823" s="7"/>
      </tp>
      <tp>
        <v>795.03499999999997</v>
        <stp/>
        <stp>Market</stp>
        <stp>STOCK</stp>
        <stp>70880.T</stp>
        <stp>出来高加重平均</stp>
        <tr r="T824" s="7"/>
      </tp>
      <tp>
        <v>845.49620000000004</v>
        <stp/>
        <stp>Market</stp>
        <stp>STOCK</stp>
        <stp>73170.T</stp>
        <stp>出来高加重平均</stp>
        <tr r="T874" s="7"/>
      </tp>
      <tp>
        <v>979.50149999999996</v>
        <stp/>
        <stp>Market</stp>
        <stp>STOCK</stp>
        <stp>73370.T</stp>
        <stp>出来高加重平均</stp>
        <tr r="T875" s="7"/>
      </tp>
      <tp>
        <v>1643.058</v>
        <stp/>
        <stp>Market</stp>
        <stp>STOCK</stp>
        <stp>73420.T</stp>
        <stp>出来高加重平均</stp>
        <tr r="T876" s="7"/>
      </tp>
      <tp>
        <v>917.8048</v>
        <stp/>
        <stp>Market</stp>
        <stp>STOCK</stp>
        <stp>73530.T</stp>
        <stp>出来高加重平均</stp>
        <tr r="T879" s="7"/>
      </tp>
      <tp>
        <v>577.04560000000004</v>
        <stp/>
        <stp>Market</stp>
        <stp>STOCK</stp>
        <stp>73510.T</stp>
        <stp>出来高加重平均</stp>
        <tr r="T878" s="7"/>
      </tp>
      <tp>
        <v>2480.9054999999998</v>
        <stp/>
        <stp>Market</stp>
        <stp>STOCK</stp>
        <stp>73500.T</stp>
        <stp>出来高加重平均</stp>
        <tr r="T877" s="7"/>
      </tp>
      <tp>
        <v>653.89829999999995</v>
        <stp/>
        <stp>Market</stp>
        <stp>STOCK</stp>
        <stp>73590.T</stp>
        <stp>出来高加重平均</stp>
        <tr r="T880" s="7"/>
      </tp>
      <tp>
        <v>513.45740000000001</v>
        <stp/>
        <stp>Market</stp>
        <stp>STOCK</stp>
        <stp>73710.T</stp>
        <stp>出来高加重平均</stp>
        <tr r="T882" s="7"/>
      </tp>
      <tp>
        <v>1097.0201999999999</v>
        <stp/>
        <stp>Market</stp>
        <stp>STOCK</stp>
        <stp>73700.T</stp>
        <stp>出来高加重平均</stp>
        <tr r="T881" s="7"/>
      </tp>
      <tp>
        <v>856.48479999999995</v>
        <stp/>
        <stp>Market</stp>
        <stp>STOCK</stp>
        <stp>73790.T</stp>
        <stp>出来高加重平均</stp>
        <tr r="T883" s="7"/>
      </tp>
      <tp>
        <v>1845.1821</v>
        <stp/>
        <stp>Market</stp>
        <stp>STOCK</stp>
        <stp>73840.T</stp>
        <stp>出来高加重平均</stp>
        <tr r="T885" s="7"/>
      </tp>
      <tp>
        <v>155.02869999999999</v>
        <stp/>
        <stp>Market</stp>
        <stp>STOCK</stp>
        <stp>73830.T</stp>
        <stp>出来高加重平均</stp>
        <tr r="T884" s="7"/>
      </tp>
      <tp>
        <v>464.68090000000001</v>
        <stp/>
        <stp>Market</stp>
        <stp>STOCK</stp>
        <stp>72050.T</stp>
        <stp>出来高加重平均</stp>
        <tr r="T847" s="7"/>
      </tp>
      <tp>
        <v>3280.0695000000001</v>
        <stp/>
        <stp>Market</stp>
        <stp>STOCK</stp>
        <stp>72030.T</stp>
        <stp>出来高加重平均</stp>
        <tr r="T846" s="7"/>
      </tp>
      <tp>
        <v>2045.9441999999999</v>
        <stp/>
        <stp>Market</stp>
        <stp>STOCK</stp>
        <stp>72020.T</stp>
        <stp>出来高加重平均</stp>
        <tr r="T845" s="7"/>
      </tp>
      <tp>
        <v>615.38940000000002</v>
        <stp/>
        <stp>Market</stp>
        <stp>STOCK</stp>
        <stp>72010.T</stp>
        <stp>出来高加重平均</stp>
        <tr r="T844" s="7"/>
      </tp>
      <tp>
        <v>1279.8994</v>
        <stp/>
        <stp>Market</stp>
        <stp>STOCK</stp>
        <stp>72140.T</stp>
        <stp>出来高加重平均</stp>
        <tr r="T851" s="7"/>
      </tp>
      <tp>
        <v>678.125</v>
        <stp/>
        <stp>Market</stp>
        <stp>STOCK</stp>
        <stp>72130.T</stp>
        <stp>出来高加重平均</stp>
        <tr r="T850" s="7"/>
      </tp>
      <tp>
        <v>686.82420000000002</v>
        <stp/>
        <stp>Market</stp>
        <stp>STOCK</stp>
        <stp>72120.T</stp>
        <stp>出来高加重平均</stp>
        <tr r="T849" s="7"/>
      </tp>
      <tp>
        <v>454.79579999999999</v>
        <stp/>
        <stp>Market</stp>
        <stp>STOCK</stp>
        <stp>72110.T</stp>
        <stp>出来高加重平均</stp>
        <tr r="T848" s="7"/>
      </tp>
      <tp>
        <v>982.21230000000003</v>
        <stp/>
        <stp>Market</stp>
        <stp>STOCK</stp>
        <stp>72220.T</stp>
        <stp>出来高加重平均</stp>
        <tr r="T852" s="7"/>
      </tp>
      <tp>
        <v>2752.1223</v>
        <stp/>
        <stp>Market</stp>
        <stp>STOCK</stp>
        <stp>72290.T</stp>
        <stp>出来高加重平均</stp>
        <tr r="T853" s="7"/>
      </tp>
      <tp>
        <v>3714.0173</v>
        <stp/>
        <stp>Market</stp>
        <stp>STOCK</stp>
        <stp>72360.T</stp>
        <stp>出来高加重平均</stp>
        <tr r="T855" s="7"/>
      </tp>
      <tp>
        <v>765.90160000000003</v>
        <stp/>
        <stp>Market</stp>
        <stp>STOCK</stp>
        <stp>72350.T</stp>
        <stp>出来高加重平均</stp>
        <tr r="T854" s="7"/>
      </tp>
      <tp>
        <v>114.5365</v>
        <stp/>
        <stp>Market</stp>
        <stp>STOCK</stp>
        <stp>72380.T</stp>
        <stp>出来高加重平均</stp>
        <tr r="T856" s="7"/>
      </tp>
      <tp>
        <v>500.01769999999999</v>
        <stp/>
        <stp>Market</stp>
        <stp>STOCK</stp>
        <stp>72470.T</stp>
        <stp>出来高加重平均</stp>
        <tr r="T860" s="7"/>
      </tp>
      <tp>
        <v>670.44820000000004</v>
        <stp/>
        <stp>Market</stp>
        <stp>STOCK</stp>
        <stp>72460.T</stp>
        <stp>出来高加重平均</stp>
        <tr r="T859" s="7"/>
      </tp>
      <tp>
        <v>569.04200000000003</v>
        <stp/>
        <stp>Market</stp>
        <stp>STOCK</stp>
        <stp>72450.T</stp>
        <stp>出来高加重平均</stp>
        <tr r="T858" s="7"/>
      </tp>
      <tp>
        <v>2068.2935000000002</v>
        <stp/>
        <stp>Market</stp>
        <stp>STOCK</stp>
        <stp>72400.T</stp>
        <stp>出来高加重平均</stp>
        <tr r="T857" s="7"/>
      </tp>
      <tp>
        <v>184.79650000000001</v>
        <stp/>
        <stp>Market</stp>
        <stp>STOCK</stp>
        <stp>72560.T</stp>
        <stp>出来高加重平均</stp>
        <tr r="T862" s="7"/>
      </tp>
      <tp>
        <v>609.14380000000006</v>
        <stp/>
        <stp>Market</stp>
        <stp>STOCK</stp>
        <stp>72540.T</stp>
        <stp>出来高加重平均</stp>
        <tr r="T861" s="7"/>
      </tp>
      <tp>
        <v>1713.3054</v>
        <stp/>
        <stp>Market</stp>
        <stp>STOCK</stp>
        <stp>72670.T</stp>
        <stp>出来高加重平均</stp>
        <tr r="T864" s="7"/>
      </tp>
      <tp>
        <v>1899.2636</v>
        <stp/>
        <stp>Market</stp>
        <stp>STOCK</stp>
        <stp>72610.T</stp>
        <stp>出来高加重平均</stp>
        <tr r="T863" s="7"/>
      </tp>
      <tp>
        <v>7255.9703</v>
        <stp/>
        <stp>Market</stp>
        <stp>STOCK</stp>
        <stp>72690.T</stp>
        <stp>出来高加重平均</stp>
        <tr r="T866" s="7"/>
      </tp>
      <tp>
        <v>349.8252</v>
        <stp/>
        <stp>Market</stp>
        <stp>STOCK</stp>
        <stp>72680.T</stp>
        <stp>出来高加重平均</stp>
        <tr r="T865" s="7"/>
      </tp>
      <tp>
        <v>1425.7155</v>
        <stp/>
        <stp>Market</stp>
        <stp>STOCK</stp>
        <stp>72720.T</stp>
        <stp>出来高加重平均</stp>
        <tr r="T868" s="7"/>
      </tp>
      <tp>
        <v>3094.1929</v>
        <stp/>
        <stp>Market</stp>
        <stp>STOCK</stp>
        <stp>72700.T</stp>
        <stp>出来高加重平均</stp>
        <tr r="T867" s="7"/>
      </tp>
      <tp>
        <v>1457.6312</v>
        <stp/>
        <stp>Market</stp>
        <stp>STOCK</stp>
        <stp>72830.T</stp>
        <stp>出来高加重平均</stp>
        <tr r="T870" s="7"/>
      </tp>
      <tp>
        <v>1122.9473</v>
        <stp/>
        <stp>Market</stp>
        <stp>STOCK</stp>
        <stp>72800.T</stp>
        <stp>出来高加重平均</stp>
        <tr r="T869" s="7"/>
      </tp>
      <tp>
        <v>999.33050000000003</v>
        <stp/>
        <stp>Market</stp>
        <stp>STOCK</stp>
        <stp>72940.T</stp>
        <stp>出来高加重平均</stp>
        <tr r="T872" s="7"/>
      </tp>
      <tp>
        <v>601.9828</v>
        <stp/>
        <stp>Market</stp>
        <stp>STOCK</stp>
        <stp>72910.T</stp>
        <stp>出来高加重平均</stp>
        <tr r="T871" s="7"/>
      </tp>
      <tp t="s">
        <v/>
        <stp/>
        <stp>Market</stp>
        <stp>STOCK</stp>
        <stp>72980.T</stp>
        <stp>出来高加重平均</stp>
        <tr r="T873" s="7"/>
      </tp>
      <tp>
        <v>210.15530000000001</v>
        <stp/>
        <stp>Market</stp>
        <stp>STOCK</stp>
        <stp>79080.T</stp>
        <stp>出来高加重平均</stp>
        <tr r="T953" s="7"/>
      </tp>
      <tp>
        <v>3941.6909000000001</v>
        <stp/>
        <stp>Market</stp>
        <stp>STOCK</stp>
        <stp>79110.T</stp>
        <stp>出来高加重平均</stp>
        <tr r="T954" s="7"/>
      </tp>
      <tp>
        <v>162.32300000000001</v>
        <stp/>
        <stp>Market</stp>
        <stp>STOCK</stp>
        <stp>79190.T</stp>
        <stp>出来高加重平均</stp>
        <tr r="T956" s="7"/>
      </tp>
      <tp>
        <v>162.0308</v>
        <stp/>
        <stp>Market</stp>
        <stp>STOCK</stp>
        <stp>79180.T</stp>
        <stp>出来高加重平均</stp>
        <tr r="T955" s="7"/>
      </tp>
      <tp>
        <v>685.2287</v>
        <stp/>
        <stp>Market</stp>
        <stp>STOCK</stp>
        <stp>79400.T</stp>
        <stp>出来高加重平均</stp>
        <tr r="T957" s="7"/>
      </tp>
      <tp>
        <v>779.09760000000006</v>
        <stp/>
        <stp>Market</stp>
        <stp>STOCK</stp>
        <stp>79550.T</stp>
        <stp>出来高加重平均</stp>
        <tr r="T959" s="7"/>
      </tp>
      <tp>
        <v>398.77190000000002</v>
        <stp/>
        <stp>Market</stp>
        <stp>STOCK</stp>
        <stp>79530.T</stp>
        <stp>出来高加重平均</stp>
        <tr r="T958" s="7"/>
      </tp>
      <tp>
        <v>8413.1121000000003</v>
        <stp/>
        <stp>Market</stp>
        <stp>STOCK</stp>
        <stp>79740.T</stp>
        <stp>出来高加重平均</stp>
        <tr r="T962" s="7"/>
      </tp>
      <tp>
        <v>1547.0101999999999</v>
        <stp/>
        <stp>Market</stp>
        <stp>STOCK</stp>
        <stp>79720.T</stp>
        <stp>出来高加重平均</stp>
        <tr r="T961" s="7"/>
      </tp>
      <tp>
        <v>400.1343</v>
        <stp/>
        <stp>Market</stp>
        <stp>STOCK</stp>
        <stp>79710.T</stp>
        <stp>出来高加重平均</stp>
        <tr r="T960" s="7"/>
      </tp>
      <tp>
        <v>803.8297</v>
        <stp/>
        <stp>Market</stp>
        <stp>STOCK</stp>
        <stp>79970.T</stp>
        <stp>出来高加重平均</stp>
        <tr r="T963" s="7"/>
      </tp>
      <tp>
        <v>639.6875</v>
        <stp/>
        <stp>Market</stp>
        <stp>STOCK</stp>
        <stp>78050.T</stp>
        <stp>出来高加重平均</stp>
        <tr r="T939" s="7"/>
      </tp>
      <tp>
        <v>652.33330000000001</v>
        <stp/>
        <stp>Market</stp>
        <stp>STOCK</stp>
        <stp>78000.T</stp>
        <stp>出来高加重平均</stp>
        <tr r="T938" s="7"/>
      </tp>
      <tp>
        <v>606.85709999999995</v>
        <stp/>
        <stp>Market</stp>
        <stp>STOCK</stp>
        <stp>78140.T</stp>
        <stp>出来高加重平均</stp>
        <tr r="T940" s="7"/>
      </tp>
      <tp>
        <v>800.27020000000005</v>
        <stp/>
        <stp>Market</stp>
        <stp>STOCK</stp>
        <stp>78230.T</stp>
        <stp>出来高加重平均</stp>
        <tr r="T941" s="7"/>
      </tp>
      <tp>
        <v>88.956199999999995</v>
        <stp/>
        <stp>Market</stp>
        <stp>STOCK</stp>
        <stp>78290.T</stp>
        <stp>出来高加重平均</stp>
        <tr r="T942" s="7"/>
      </tp>
      <tp>
        <v>431.1764</v>
        <stp/>
        <stp>Market</stp>
        <stp>STOCK</stp>
        <stp>78370.T</stp>
        <stp>出来高加重平均</stp>
        <tr r="T944" s="7"/>
      </tp>
      <tp>
        <v>89.563299999999998</v>
        <stp/>
        <stp>Market</stp>
        <stp>STOCK</stp>
        <stp>78360.T</stp>
        <stp>出来高加重平均</stp>
        <tr r="T943" s="7"/>
      </tp>
      <tp>
        <v>744.05039999999997</v>
        <stp/>
        <stp>Market</stp>
        <stp>STOCK</stp>
        <stp>78440.T</stp>
        <stp>出来高加重平均</stp>
        <tr r="T945" s="7"/>
      </tp>
      <tp>
        <v>1493.3939</v>
        <stp/>
        <stp>Market</stp>
        <stp>STOCK</stp>
        <stp>78560.T</stp>
        <stp>出来高加重平均</stp>
        <tr r="T947" s="7"/>
      </tp>
      <tp>
        <v>251.42850000000001</v>
        <stp/>
        <stp>Market</stp>
        <stp>STOCK</stp>
        <stp>78510.T</stp>
        <stp>出来高加重平均</stp>
        <tr r="T946" s="7"/>
      </tp>
      <tp>
        <v>1276.7965999999999</v>
        <stp/>
        <stp>Market</stp>
        <stp>STOCK</stp>
        <stp>78590.T</stp>
        <stp>出来高加重平均</stp>
        <tr r="T948" s="7"/>
      </tp>
      <tp>
        <v>2350.4234000000001</v>
        <stp/>
        <stp>Market</stp>
        <stp>STOCK</stp>
        <stp>78670.T</stp>
        <stp>出来高加重平均</stp>
        <tr r="T949" s="7"/>
      </tp>
      <tp>
        <v>735.67529999999999</v>
        <stp/>
        <stp>Market</stp>
        <stp>STOCK</stp>
        <stp>78680.T</stp>
        <stp>出来高加重平均</stp>
        <tr r="T950" s="7"/>
      </tp>
      <tp>
        <v>669.33420000000001</v>
        <stp/>
        <stp>Market</stp>
        <stp>STOCK</stp>
        <stp>78880.T</stp>
        <stp>出来高加重平均</stp>
        <tr r="T951" s="7"/>
      </tp>
      <tp>
        <v>114.11969999999999</v>
        <stp/>
        <stp>Market</stp>
        <stp>STOCK</stp>
        <stp>78970.T</stp>
        <stp>出来高加重平均</stp>
        <tr r="T952" s="7"/>
      </tp>
    </main>
    <main first="rtdsrv.662c26bade854d00aebc6010f8a2e03a">
      <tp>
        <v>2218.1842000000001</v>
        <stp/>
        <stp>Market</stp>
        <stp>STOCK</stp>
        <stp>65070.T</stp>
        <stp>出来高加重平均</stp>
        <tr r="T717" s="7"/>
      </tp>
      <tp>
        <v>8053.3108000000002</v>
        <stp/>
        <stp>Market</stp>
        <stp>STOCK</stp>
        <stp>65040.T</stp>
        <stp>出来高加重平均</stp>
        <tr r="T716" s="7"/>
      </tp>
      <tp>
        <v>2030.3516</v>
        <stp/>
        <stp>Market</stp>
        <stp>STOCK</stp>
        <stp>65030.T</stp>
        <stp>出来高加重平均</stp>
        <tr r="T715" s="7"/>
      </tp>
      <tp t="s">
        <v/>
        <stp/>
        <stp>Market</stp>
        <stp>STOCK</stp>
        <stp>65020.T</stp>
        <stp>出来高加重平均</stp>
        <tr r="T714" s="7"/>
      </tp>
      <tp>
        <v>11752.190399999999</v>
        <stp/>
        <stp>Market</stp>
        <stp>STOCK</stp>
        <stp>65010.T</stp>
        <stp>出来高加重平均</stp>
        <tr r="T713" s="7"/>
      </tp>
      <tp>
        <v>1221.6463000000001</v>
        <stp/>
        <stp>Market</stp>
        <stp>STOCK</stp>
        <stp>65130.T</stp>
        <stp>出来高加重平均</stp>
        <tr r="T718" s="7"/>
      </tp>
      <tp>
        <v>629.32069999999999</v>
        <stp/>
        <stp>Market</stp>
        <stp>STOCK</stp>
        <stp>65220.T</stp>
        <stp>出来高加重平均</stp>
        <tr r="T719" s="7"/>
      </tp>
      <tp>
        <v>324.18689999999998</v>
        <stp/>
        <stp>Market</stp>
        <stp>STOCK</stp>
        <stp>65370.T</stp>
        <stp>出来高加重平均</stp>
        <tr r="T720" s="7"/>
      </tp>
      <tp>
        <v>386.25</v>
        <stp/>
        <stp>Market</stp>
        <stp>STOCK</stp>
        <stp>65450.T</stp>
        <stp>出来高加重平均</stp>
        <tr r="T722" s="7"/>
      </tp>
      <tp>
        <v>623</v>
        <stp/>
        <stp>Market</stp>
        <stp>STOCK</stp>
        <stp>65430.T</stp>
        <stp>出来高加重平均</stp>
        <tr r="T721" s="7"/>
      </tp>
      <tp>
        <v>1461.4197999999999</v>
        <stp/>
        <stp>Market</stp>
        <stp>STOCK</stp>
        <stp>65570.T</stp>
        <stp>出来高加重平均</stp>
        <tr r="T728" s="7"/>
      </tp>
      <tp>
        <v>842.88130000000001</v>
        <stp/>
        <stp>Market</stp>
        <stp>STOCK</stp>
        <stp>65560.T</stp>
        <stp>出来高加重平均</stp>
        <tr r="T727" s="7"/>
      </tp>
      <tp>
        <v>590.93020000000001</v>
        <stp/>
        <stp>Market</stp>
        <stp>STOCK</stp>
        <stp>65550.T</stp>
        <stp>出来高加重平均</stp>
        <tr r="T726" s="7"/>
      </tp>
      <tp>
        <v>808.93610000000001</v>
        <stp/>
        <stp>Market</stp>
        <stp>STOCK</stp>
        <stp>65540.T</stp>
        <stp>出来高加重平均</stp>
        <tr r="T725" s="7"/>
      </tp>
      <tp>
        <v>310.03309999999999</v>
        <stp/>
        <stp>Market</stp>
        <stp>STOCK</stp>
        <stp>65520.T</stp>
        <stp>出来高加重平均</stp>
        <tr r="T724" s="7"/>
      </tp>
      <tp>
        <v>158.64259999999999</v>
        <stp/>
        <stp>Market</stp>
        <stp>STOCK</stp>
        <stp>65500.T</stp>
        <stp>出来高加重平均</stp>
        <tr r="T723" s="7"/>
      </tp>
      <tp>
        <v>798.33330000000001</v>
        <stp/>
        <stp>Market</stp>
        <stp>STOCK</stp>
        <stp>65740.T</stp>
        <stp>出来高加重平均</stp>
        <tr r="T730" s="7"/>
      </tp>
      <tp>
        <v>347.28980000000001</v>
        <stp/>
        <stp>Market</stp>
        <stp>STOCK</stp>
        <stp>65730.T</stp>
        <stp>出来高加重平均</stp>
        <tr r="T729" s="7"/>
      </tp>
      <tp>
        <v>268.04340000000002</v>
        <stp/>
        <stp>Market</stp>
        <stp>STOCK</stp>
        <stp>65780.T</stp>
        <stp>出来高加重平均</stp>
        <tr r="T731" s="7"/>
      </tp>
      <tp>
        <v>891.19039999999995</v>
        <stp/>
        <stp>Market</stp>
        <stp>STOCK</stp>
        <stp>65840.T</stp>
        <stp>出来高加重平均</stp>
        <tr r="T733" s="7"/>
      </tp>
      <tp>
        <v>706.76919999999996</v>
        <stp/>
        <stp>Market</stp>
        <stp>STOCK</stp>
        <stp>65800.T</stp>
        <stp>出来高加重平均</stp>
        <tr r="T732" s="7"/>
      </tp>
      <tp>
        <v>3191.0895</v>
        <stp/>
        <stp>Market</stp>
        <stp>STOCK</stp>
        <stp>65880.T</stp>
        <stp>出来高加重平均</stp>
        <tr r="T734" s="7"/>
      </tp>
      <tp>
        <v>5463.1062000000002</v>
        <stp/>
        <stp>Market</stp>
        <stp>STOCK</stp>
        <stp>65940.T</stp>
        <stp>出来高加重平均</stp>
        <tr r="T735" s="7"/>
      </tp>
      <tp>
        <v>1432.5700999999999</v>
        <stp/>
        <stp>Market</stp>
        <stp>STOCK</stp>
        <stp>64180.T</stp>
        <stp>出来高加重平均</stp>
        <tr r="T700" s="7"/>
      </tp>
      <tp>
        <v>267.31659999999999</v>
        <stp/>
        <stp>Market</stp>
        <stp>STOCK</stp>
        <stp>64330.T</stp>
        <stp>出来高加重平均</stp>
        <tr r="T701" s="7"/>
      </tp>
      <tp>
        <v>189.11680000000001</v>
        <stp/>
        <stp>Market</stp>
        <stp>STOCK</stp>
        <stp>64440.T</stp>
        <stp>出来高加重平均</stp>
        <tr r="T703" s="7"/>
      </tp>
      <tp>
        <v>460.9126</v>
        <stp/>
        <stp>Market</stp>
        <stp>STOCK</stp>
        <stp>64400.T</stp>
        <stp>出来高加重平均</stp>
        <tr r="T702" s="7"/>
      </tp>
      <tp>
        <v>364.34780000000001</v>
        <stp/>
        <stp>Market</stp>
        <stp>STOCK</stp>
        <stp>64670.T</stp>
        <stp>出来高加重平均</stp>
        <tr r="T704" s="7"/>
      </tp>
      <tp>
        <v>803.22249999999997</v>
        <stp/>
        <stp>Market</stp>
        <stp>STOCK</stp>
        <stp>64710.T</stp>
        <stp>出来高加重平均</stp>
        <tr r="T706" s="7"/>
      </tp>
      <tp>
        <v>830.83519999999999</v>
        <stp/>
        <stp>Market</stp>
        <stp>STOCK</stp>
        <stp>64700.T</stp>
        <stp>出来高加重平均</stp>
        <tr r="T705" s="7"/>
      </tp>
      <tp>
        <v>594.15639999999996</v>
        <stp/>
        <stp>Market</stp>
        <stp>STOCK</stp>
        <stp>64800.T</stp>
        <stp>出来高加重平均</stp>
        <tr r="T707" s="7"/>
      </tp>
      <tp>
        <v>1086.7944</v>
        <stp/>
        <stp>Market</stp>
        <stp>STOCK</stp>
        <stp>64890.T</stp>
        <stp>出来高加重平均</stp>
        <tr r="T708" s="7"/>
      </tp>
      <tp>
        <v>119.10890000000001</v>
        <stp/>
        <stp>Market</stp>
        <stp>STOCK</stp>
        <stp>64950.T</stp>
        <stp>出来高加重平均</stp>
        <tr r="T711" s="7"/>
      </tp>
      <tp>
        <v>94.445899999999995</v>
        <stp/>
        <stp>Market</stp>
        <stp>STOCK</stp>
        <stp>64940.T</stp>
        <stp>出来高加重平均</stp>
        <tr r="T710" s="7"/>
      </tp>
      <tp>
        <v>376.0179</v>
        <stp/>
        <stp>Market</stp>
        <stp>STOCK</stp>
        <stp>64930.T</stp>
        <stp>出来高加重平均</stp>
        <tr r="T709" s="7"/>
      </tp>
      <tp>
        <v>1219.5281</v>
        <stp/>
        <stp>Market</stp>
        <stp>STOCK</stp>
        <stp>64980.T</stp>
        <stp>出来高加重平均</stp>
        <tr r="T712" s="7"/>
      </tp>
      <tp>
        <v>23171.166799999999</v>
        <stp/>
        <stp>Market</stp>
        <stp>STOCK</stp>
        <stp>67020.T</stp>
        <stp>出来高加重平均</stp>
        <tr r="T755" s="7"/>
      </tp>
      <tp>
        <v>9460.8529999999992</v>
        <stp/>
        <stp>Market</stp>
        <stp>STOCK</stp>
        <stp>67010.T</stp>
        <stp>出来高加重平均</stp>
        <tr r="T754" s="7"/>
      </tp>
      <tp>
        <v>2396.2368000000001</v>
        <stp/>
        <stp>Market</stp>
        <stp>STOCK</stp>
        <stp>67230.T</stp>
        <stp>出来高加重平均</stp>
        <tr r="T757" s="7"/>
      </tp>
      <tp>
        <v>92.313299999999998</v>
        <stp/>
        <stp>Market</stp>
        <stp>STOCK</stp>
        <stp>67210.T</stp>
        <stp>出来高加重平均</stp>
        <tr r="T756" s="7"/>
      </tp>
      <tp>
        <v>155.315</v>
        <stp/>
        <stp>Market</stp>
        <stp>STOCK</stp>
        <stp>67310.T</stp>
        <stp>出来高加重平均</stp>
        <tr r="T758" s="7"/>
      </tp>
      <tp>
        <v>466.89179999999999</v>
        <stp/>
        <stp>Market</stp>
        <stp>STOCK</stp>
        <stp>67420.T</stp>
        <stp>出来高加重平均</stp>
        <tr r="T761" s="7"/>
      </tp>
      <tp>
        <v>950.17</v>
        <stp/>
        <stp>Market</stp>
        <stp>STOCK</stp>
        <stp>67410.T</stp>
        <stp>出来高加重平均</stp>
        <tr r="T760" s="7"/>
      </tp>
      <tp>
        <v>20.442</v>
        <stp/>
        <stp>Market</stp>
        <stp>STOCK</stp>
        <stp>67400.T</stp>
        <stp>出来高加重平均</stp>
        <tr r="T759" s="7"/>
      </tp>
      <tp>
        <v>480.93329999999997</v>
        <stp/>
        <stp>Market</stp>
        <stp>STOCK</stp>
        <stp>67480.T</stp>
        <stp>出来高加重平均</stp>
        <tr r="T762" s="7"/>
      </tp>
      <tp>
        <v>1171.1731</v>
        <stp/>
        <stp>Market</stp>
        <stp>STOCK</stp>
        <stp>67540.T</stp>
        <stp>出来高加重平均</stp>
        <tr r="T766" s="7"/>
      </tp>
      <tp>
        <v>876.22190000000001</v>
        <stp/>
        <stp>Market</stp>
        <stp>STOCK</stp>
        <stp>67530.T</stp>
        <stp>出来高加重平均</stp>
        <tr r="T765" s="7"/>
      </tp>
      <tp>
        <v>1419.5959</v>
        <stp/>
        <stp>Market</stp>
        <stp>STOCK</stp>
        <stp>67520.T</stp>
        <stp>出来高加重平均</stp>
        <tr r="T764" s="7"/>
      </tp>
      <tp>
        <v>1689.076</v>
        <stp/>
        <stp>Market</stp>
        <stp>STOCK</stp>
        <stp>67500.T</stp>
        <stp>出来高加重平均</stp>
        <tr r="T763" s="7"/>
      </tp>
      <tp>
        <v>14276.2819</v>
        <stp/>
        <stp>Market</stp>
        <stp>STOCK</stp>
        <stp>67580.T</stp>
        <stp>出来高加重平均</stp>
        <tr r="T767" s="7"/>
      </tp>
      <tp>
        <v>7615.5816999999997</v>
        <stp/>
        <stp>Market</stp>
        <stp>STOCK</stp>
        <stp>67620.T</stp>
        <stp>出来高加重平均</stp>
        <tr r="T768" s="7"/>
      </tp>
      <tp>
        <v>538.78949999999998</v>
        <stp/>
        <stp>Market</stp>
        <stp>STOCK</stp>
        <stp>67680.T</stp>
        <stp>出来高加重平均</stp>
        <tr r="T769" s="7"/>
      </tp>
      <tp>
        <v>3810.9285</v>
        <stp/>
        <stp>Market</stp>
        <stp>STOCK</stp>
        <stp>67770.T</stp>
        <stp>出来高加重平均</stp>
        <tr r="T772" s="7"/>
      </tp>
      <tp>
        <v>446.4</v>
        <stp/>
        <stp>Market</stp>
        <stp>STOCK</stp>
        <stp>67760.T</stp>
        <stp>出来高加重平均</stp>
        <tr r="T771" s="7"/>
      </tp>
      <tp>
        <v>193.38069999999999</v>
        <stp/>
        <stp>Market</stp>
        <stp>STOCK</stp>
        <stp>67750.T</stp>
        <stp>出来高加重平均</stp>
        <tr r="T770" s="7"/>
      </tp>
      <tp>
        <v>2362.5109000000002</v>
        <stp/>
        <stp>Market</stp>
        <stp>STOCK</stp>
        <stp>66170.T</stp>
        <stp>出来高加重平均</stp>
        <tr r="T737" s="7"/>
      </tp>
      <tp>
        <v>556.81910000000005</v>
        <stp/>
        <stp>Market</stp>
        <stp>STOCK</stp>
        <stp>66130.T</stp>
        <stp>出来高加重平均</stp>
        <tr r="T736" s="7"/>
      </tp>
      <tp>
        <v>730.86890000000005</v>
        <stp/>
        <stp>Market</stp>
        <stp>STOCK</stp>
        <stp>66190.T</stp>
        <stp>出来高加重平均</stp>
        <tr r="T738" s="7"/>
      </tp>
      <tp>
        <v>327.6481</v>
        <stp/>
        <stp>Market</stp>
        <stp>STOCK</stp>
        <stp>66250.T</stp>
        <stp>出来高加重平均</stp>
        <tr r="T739" s="7"/>
      </tp>
      <tp>
        <v>505.53390000000002</v>
        <stp/>
        <stp>Market</stp>
        <stp>STOCK</stp>
        <stp>66350.T</stp>
        <stp>出来高加重平均</stp>
        <tr r="T744" s="7"/>
      </tp>
      <tp>
        <v>135.59399999999999</v>
        <stp/>
        <stp>Market</stp>
        <stp>STOCK</stp>
        <stp>66340.T</stp>
        <stp>出来高加重平均</stp>
        <tr r="T743" s="7"/>
      </tp>
      <tp>
        <v>317.57569999999998</v>
        <stp/>
        <stp>Market</stp>
        <stp>STOCK</stp>
        <stp>66330.T</stp>
        <stp>出来高加重平均</stp>
        <tr r="T742" s="7"/>
      </tp>
      <tp>
        <v>646.44079999999997</v>
        <stp/>
        <stp>Market</stp>
        <stp>STOCK</stp>
        <stp>66320.T</stp>
        <stp>出来高加重平均</stp>
        <tr r="T741" s="7"/>
      </tp>
      <tp>
        <v>1005.1897</v>
        <stp/>
        <stp>Market</stp>
        <stp>STOCK</stp>
        <stp>66300.T</stp>
        <stp>出来高加重平均</stp>
        <tr r="T740" s="7"/>
      </tp>
      <tp>
        <v>684.69939999999997</v>
        <stp/>
        <stp>Market</stp>
        <stp>STOCK</stp>
        <stp>66440.T</stp>
        <stp>出来高加重平均</stp>
        <tr r="T746" s="7"/>
      </tp>
      <tp>
        <v>1753.5106000000001</v>
        <stp/>
        <stp>Market</stp>
        <stp>STOCK</stp>
        <stp>66400.T</stp>
        <stp>出来高加重平均</stp>
        <tr r="T745" s="7"/>
      </tp>
      <tp>
        <v>1150.6171999999999</v>
        <stp/>
        <stp>Market</stp>
        <stp>STOCK</stp>
        <stp>66540.T</stp>
        <stp>出来高加重平均</stp>
        <tr r="T747" s="7"/>
      </tp>
      <tp>
        <v>36.017800000000001</v>
        <stp/>
        <stp>Market</stp>
        <stp>STOCK</stp>
        <stp>66590.T</stp>
        <stp>出来高加重平均</stp>
        <tr r="T749" s="7"/>
      </tp>
      <tp>
        <v>530.92340000000002</v>
        <stp/>
        <stp>Market</stp>
        <stp>STOCK</stp>
        <stp>66580.T</stp>
        <stp>出来高加重平均</stp>
        <tr r="T748" s="7"/>
      </tp>
      <tp>
        <v>603.47569999999996</v>
        <stp/>
        <stp>Market</stp>
        <stp>STOCK</stp>
        <stp>66660.T</stp>
        <stp>出来高加重平均</stp>
        <tr r="T750" s="7"/>
      </tp>
      <tp>
        <v>3984.7773000000002</v>
        <stp/>
        <stp>Market</stp>
        <stp>STOCK</stp>
        <stp>66770.T</stp>
        <stp>出来高加重平均</stp>
        <tr r="T752" s="7"/>
      </tp>
      <tp>
        <v>3251.4285</v>
        <stp/>
        <stp>Market</stp>
        <stp>STOCK</stp>
        <stp>66760.T</stp>
        <stp>出来高加重平均</stp>
        <tr r="T751" s="7"/>
      </tp>
      <tp>
        <v>257.50479999999999</v>
        <stp/>
        <stp>Market</stp>
        <stp>STOCK</stp>
        <stp>66960.T</stp>
        <stp>出来高加重平均</stp>
        <tr r="T753" s="7"/>
      </tp>
      <tp>
        <v>3373.3411000000001</v>
        <stp/>
        <stp>Market</stp>
        <stp>STOCK</stp>
        <stp>61040.T</stp>
        <stp>出来高加重平均</stp>
        <tr r="T655" s="7"/>
      </tp>
      <tp>
        <v>1584.8172999999999</v>
        <stp/>
        <stp>Market</stp>
        <stp>STOCK</stp>
        <stp>61130.T</stp>
        <stp>出来高加重平均</stp>
        <tr r="T656" s="7"/>
      </tp>
      <tp>
        <v>2476.4863999999998</v>
        <stp/>
        <stp>Market</stp>
        <stp>STOCK</stp>
        <stp>61340.T</stp>
        <stp>出来高加重平均</stp>
        <tr r="T657" s="7"/>
      </tp>
      <tp>
        <v>42805.400699999998</v>
        <stp/>
        <stp>Market</stp>
        <stp>STOCK</stp>
        <stp>61460.T</stp>
        <stp>出来高加重平均</stp>
        <tr r="T659" s="7"/>
      </tp>
      <tp>
        <v>866.71820000000002</v>
        <stp/>
        <stp>Market</stp>
        <stp>STOCK</stp>
        <stp>61400.T</stp>
        <stp>出来高加重平均</stp>
        <tr r="T658" s="7"/>
      </tp>
      <tp>
        <v>710.8578</v>
        <stp/>
        <stp>Market</stp>
        <stp>STOCK</stp>
        <stp>61670.T</stp>
        <stp>出来高加重平均</stp>
        <tr r="T662" s="7"/>
      </tp>
      <tp>
        <v>381.7878</v>
        <stp/>
        <stp>Market</stp>
        <stp>STOCK</stp>
        <stp>61660.T</stp>
        <stp>出来高加重平均</stp>
        <tr r="T661" s="7"/>
      </tp>
      <tp>
        <v>431.358</v>
        <stp/>
        <stp>Market</stp>
        <stp>STOCK</stp>
        <stp>61650.T</stp>
        <stp>出来高加重平均</stp>
        <tr r="T660" s="7"/>
      </tp>
      <tp>
        <v>98.934899999999999</v>
        <stp/>
        <stp>Market</stp>
        <stp>STOCK</stp>
        <stp>61770.T</stp>
        <stp>出来高加重平均</stp>
        <tr r="T665" s="7"/>
      </tp>
      <tp>
        <v>677.64610000000005</v>
        <stp/>
        <stp>Market</stp>
        <stp>STOCK</stp>
        <stp>61760.T</stp>
        <stp>出来高加重平均</stp>
        <tr r="T664" s="7"/>
      </tp>
      <tp>
        <v>535.56700000000001</v>
        <stp/>
        <stp>Market</stp>
        <stp>STOCK</stp>
        <stp>61730.T</stp>
        <stp>出来高加重平均</stp>
        <tr r="T663" s="7"/>
      </tp>
      <tp>
        <v>1408.4546</v>
        <stp/>
        <stp>Market</stp>
        <stp>STOCK</stp>
        <stp>61780.T</stp>
        <stp>出来高加重平均</stp>
        <tr r="T666" s="7"/>
      </tp>
      <tp>
        <v>621.62159999999994</v>
        <stp/>
        <stp>Market</stp>
        <stp>STOCK</stp>
        <stp>61860.T</stp>
        <stp>出来高加重平均</stp>
        <tr r="T671" s="7"/>
      </tp>
      <tp>
        <v>323.53809999999999</v>
        <stp/>
        <stp>Market</stp>
        <stp>STOCK</stp>
        <stp>61850.T</stp>
        <stp>出来高加重平均</stp>
        <tr r="T670" s="7"/>
      </tp>
      <tp>
        <v>614.43820000000005</v>
        <stp/>
        <stp>Market</stp>
        <stp>STOCK</stp>
        <stp>61840.T</stp>
        <stp>出来高加重平均</stp>
        <tr r="T669" s="7"/>
      </tp>
      <tp>
        <v>1253.2972</v>
        <stp/>
        <stp>Market</stp>
        <stp>STOCK</stp>
        <stp>61820.T</stp>
        <stp>出来高加重平均</stp>
        <tr r="T668" s="7"/>
      </tp>
      <tp>
        <v>113.49</v>
        <stp/>
        <stp>Market</stp>
        <stp>STOCK</stp>
        <stp>61810.T</stp>
        <stp>出来高加重平均</stp>
        <tr r="T667" s="7"/>
      </tp>
      <tp>
        <v>614</v>
        <stp/>
        <stp>Market</stp>
        <stp>STOCK</stp>
        <stp>61880.T</stp>
        <stp>出来高加重平均</stp>
        <tr r="T672" s="7"/>
      </tp>
      <tp>
        <v>256.18419999999998</v>
        <stp/>
        <stp>Market</stp>
        <stp>STOCK</stp>
        <stp>61950.T</stp>
        <stp>出来高加重平均</stp>
        <tr r="T676" s="7"/>
      </tp>
      <tp>
        <v>666.6694</v>
        <stp/>
        <stp>Market</stp>
        <stp>STOCK</stp>
        <stp>61940.T</stp>
        <stp>出来高加重平均</stp>
        <tr r="T675" s="7"/>
      </tp>
      <tp t="s">
        <v/>
        <stp/>
        <stp>Market</stp>
        <stp>STOCK</stp>
        <stp>61920.T</stp>
        <stp>出来高加重平均</stp>
        <tr r="T674" s="7"/>
      </tp>
      <tp>
        <v>528.57140000000004</v>
        <stp/>
        <stp>Market</stp>
        <stp>STOCK</stp>
        <stp>61900.T</stp>
        <stp>出来高加重平均</stp>
        <tr r="T673" s="7"/>
      </tp>
      <tp>
        <v>1224.6096</v>
        <stp/>
        <stp>Market</stp>
        <stp>STOCK</stp>
        <stp>60230.T</stp>
        <stp>出来高加重平均</stp>
        <tr r="T636" s="7"/>
      </tp>
      <tp>
        <v>182.0779</v>
        <stp/>
        <stp>Market</stp>
        <stp>STOCK</stp>
        <stp>60290.T</stp>
        <stp>出来高加重平均</stp>
        <tr r="T638" s="7"/>
      </tp>
      <tp>
        <v>3357.0785000000001</v>
        <stp/>
        <stp>Market</stp>
        <stp>STOCK</stp>
        <stp>60280.T</stp>
        <stp>出来高加重平均</stp>
        <tr r="T637" s="7"/>
      </tp>
      <tp>
        <v>1291.8508999999999</v>
        <stp/>
        <stp>Market</stp>
        <stp>STOCK</stp>
        <stp>60350.T</stp>
        <stp>出来高加重平均</stp>
        <tr r="T640" s="7"/>
      </tp>
      <tp>
        <v>739.18880000000001</v>
        <stp/>
        <stp>Market</stp>
        <stp>STOCK</stp>
        <stp>60310.T</stp>
        <stp>出来高加重平均</stp>
        <tr r="T639" s="7"/>
      </tp>
      <tp>
        <v>737.54499999999996</v>
        <stp/>
        <stp>Market</stp>
        <stp>STOCK</stp>
        <stp>60470.T</stp>
        <stp>出来高加重平均</stp>
        <tr r="T643" s="7"/>
      </tp>
      <tp>
        <v>174.65110000000001</v>
        <stp/>
        <stp>Market</stp>
        <stp>STOCK</stp>
        <stp>60460.T</stp>
        <stp>出来高加重平均</stp>
        <tr r="T642" s="7"/>
      </tp>
      <tp>
        <v>1359.2782999999999</v>
        <stp/>
        <stp>Market</stp>
        <stp>STOCK</stp>
        <stp>60440.T</stp>
        <stp>出来高加重平均</stp>
        <tr r="T641" s="7"/>
      </tp>
      <tp>
        <v>302.21300000000002</v>
        <stp/>
        <stp>Market</stp>
        <stp>STOCK</stp>
        <stp>60490.T</stp>
        <stp>出来高加重平均</stp>
        <tr r="T645" s="7"/>
      </tp>
      <tp>
        <v>134.5087</v>
        <stp/>
        <stp>Market</stp>
        <stp>STOCK</stp>
        <stp>60480.T</stp>
        <stp>出来高加重平均</stp>
        <tr r="T644" s="7"/>
      </tp>
      <tp>
        <v>246.57650000000001</v>
        <stp/>
        <stp>Market</stp>
        <stp>STOCK</stp>
        <stp>60540.T</stp>
        <stp>出来高加重平均</stp>
        <tr r="T646" s="7"/>
      </tp>
      <tp>
        <v>385.18610000000001</v>
        <stp/>
        <stp>Market</stp>
        <stp>STOCK</stp>
        <stp>60590.T</stp>
        <stp>出来高加重平均</stp>
        <tr r="T647" s="7"/>
      </tp>
      <tp>
        <v>1668.7945999999999</v>
        <stp/>
        <stp>Market</stp>
        <stp>STOCK</stp>
        <stp>60730.T</stp>
        <stp>出来高加重平均</stp>
        <tr r="T648" s="7"/>
      </tp>
      <tp>
        <v>285.72980000000001</v>
        <stp/>
        <stp>Market</stp>
        <stp>STOCK</stp>
        <stp>60810.T</stp>
        <stp>出来高加重平均</stp>
        <tr r="T649" s="7"/>
      </tp>
      <tp>
        <v>916.45159999999998</v>
        <stp/>
        <stp>Market</stp>
        <stp>STOCK</stp>
        <stp>60960.T</stp>
        <stp>出来高加重平均</stp>
        <tr r="T653" s="7"/>
      </tp>
      <tp>
        <v>141.51570000000001</v>
        <stp/>
        <stp>Market</stp>
        <stp>STOCK</stp>
        <stp>60930.T</stp>
        <stp>出来高加重平均</stp>
        <tr r="T652" s="7"/>
      </tp>
      <tp>
        <v>592.14279999999997</v>
        <stp/>
        <stp>Market</stp>
        <stp>STOCK</stp>
        <stp>60920.T</stp>
        <stp>出来高加重平均</stp>
        <tr r="T651" s="7"/>
      </tp>
      <tp>
        <v>534.53599999999994</v>
        <stp/>
        <stp>Market</stp>
        <stp>STOCK</stp>
        <stp>60910.T</stp>
        <stp>出来高加重平均</stp>
        <tr r="T650" s="7"/>
      </tp>
      <tp>
        <v>5742.2968000000001</v>
        <stp/>
        <stp>Market</stp>
        <stp>STOCK</stp>
        <stp>60980.T</stp>
        <stp>出来高加重平均</stp>
        <tr r="T654" s="7"/>
      </tp>
      <tp>
        <v>4239.4879000000001</v>
        <stp/>
        <stp>Market</stp>
        <stp>STOCK</stp>
        <stp>63050.T</stp>
        <stp>出来高加重平均</stp>
        <tr r="T687" s="7"/>
      </tp>
      <tp>
        <v>4306.1680999999999</v>
        <stp/>
        <stp>Market</stp>
        <stp>STOCK</stp>
        <stp>63010.T</stp>
        <stp>出来高加重平均</stp>
        <tr r="T686" s="7"/>
      </tp>
      <tp>
        <v>702.66660000000002</v>
        <stp/>
        <stp>Market</stp>
        <stp>STOCK</stp>
        <stp>63360.T</stp>
        <stp>出来高加重平均</stp>
        <tr r="T690" s="7"/>
      </tp>
      <tp>
        <v>363.8</v>
        <stp/>
        <stp>Market</stp>
        <stp>STOCK</stp>
        <stp>63340.T</stp>
        <stp>出来高加重平均</stp>
        <tr r="T689" s="7"/>
      </tp>
      <tp>
        <v>804.04300000000001</v>
        <stp/>
        <stp>Market</stp>
        <stp>STOCK</stp>
        <stp>63300.T</stp>
        <stp>出来高加重平均</stp>
        <tr r="T688" s="7"/>
      </tp>
      <tp>
        <v>221.42850000000001</v>
        <stp/>
        <stp>Market</stp>
        <stp>STOCK</stp>
        <stp>63470.T</stp>
        <stp>出来高加重平均</stp>
        <tr r="T692" s="7"/>
      </tp>
      <tp>
        <v>104.6666</v>
        <stp/>
        <stp>Market</stp>
        <stp>STOCK</stp>
        <stp>63430.T</stp>
        <stp>出来高加重平均</stp>
        <tr r="T691" s="7"/>
      </tp>
      <tp>
        <v>668.63969999999995</v>
        <stp/>
        <stp>Market</stp>
        <stp>STOCK</stp>
        <stp>63560.T</stp>
        <stp>出来高加重平均</stp>
        <tr r="T693" s="7"/>
      </tp>
      <tp>
        <v>359.72370000000001</v>
        <stp/>
        <stp>Market</stp>
        <stp>STOCK</stp>
        <stp>63660.T</stp>
        <stp>出来高加重平均</stp>
        <tr r="T695" s="7"/>
      </tp>
      <tp>
        <v>2454.7842999999998</v>
        <stp/>
        <stp>Market</stp>
        <stp>STOCK</stp>
        <stp>63640.T</stp>
        <stp>出来高加重平均</stp>
        <tr r="T694" s="7"/>
      </tp>
      <tp>
        <v>2845.0511999999999</v>
        <stp/>
        <stp>Market</stp>
        <stp>STOCK</stp>
        <stp>63830.T</stp>
        <stp>出来高加重平均</stp>
        <tr r="T697" s="7"/>
      </tp>
      <tp>
        <v>1299.27</v>
        <stp/>
        <stp>Market</stp>
        <stp>STOCK</stp>
        <stp>63810.T</stp>
        <stp>出来高加重平均</stp>
        <tr r="T696" s="7"/>
      </tp>
      <tp>
        <v>1176.25</v>
        <stp/>
        <stp>Market</stp>
        <stp>STOCK</stp>
        <stp>63950.T</stp>
        <stp>出来高加重平均</stp>
        <tr r="T699" s="7"/>
      </tp>
      <tp>
        <v>1513.5089</v>
        <stp/>
        <stp>Market</stp>
        <stp>STOCK</stp>
        <stp>63900.T</stp>
        <stp>出来高加重平均</stp>
        <tr r="T698" s="7"/>
      </tp>
      <tp>
        <v>770.72130000000004</v>
        <stp/>
        <stp>Market</stp>
        <stp>STOCK</stp>
        <stp>62030.T</stp>
        <stp>出来高加重平均</stp>
        <tr r="T677" s="7"/>
      </tp>
      <tp>
        <v>707.02120000000002</v>
        <stp/>
        <stp>Market</stp>
        <stp>STOCK</stp>
        <stp>62180.T</stp>
        <stp>出来高加重平均</stp>
        <tr r="T678" s="7"/>
      </tp>
      <tp>
        <v>1162.4725000000001</v>
        <stp/>
        <stp>Market</stp>
        <stp>STOCK</stp>
        <stp>62260.T</stp>
        <stp>出来高加重平均</stp>
        <tr r="T679" s="7"/>
      </tp>
      <tp>
        <v>540.83330000000001</v>
        <stp/>
        <stp>Market</stp>
        <stp>STOCK</stp>
        <stp>62330.T</stp>
        <stp>出来高加重平均</stp>
        <tr r="T680" s="7"/>
      </tp>
      <tp>
        <v>357.35469999999998</v>
        <stp/>
        <stp>Market</stp>
        <stp>STOCK</stp>
        <stp>62400.T</stp>
        <stp>出来高加重平均</stp>
        <tr r="T681" s="7"/>
      </tp>
      <tp>
        <v>632.846</v>
        <stp/>
        <stp>Market</stp>
        <stp>STOCK</stp>
        <stp>62550.T</stp>
        <stp>出来高加重平均</stp>
        <tr r="T682" s="7"/>
      </tp>
      <tp>
        <v>755.48019999999997</v>
        <stp/>
        <stp>Market</stp>
        <stp>STOCK</stp>
        <stp>62860.T</stp>
        <stp>出来高加重平均</stp>
        <tr r="T683" s="7"/>
      </tp>
      <tp>
        <v>482.95330000000001</v>
        <stp/>
        <stp>Market</stp>
        <stp>STOCK</stp>
        <stp>62970.T</stp>
        <stp>出来高加重平均</stp>
        <tr r="T684" s="7"/>
      </tp>
      <tp>
        <v>2347.3780000000002</v>
        <stp/>
        <stp>Market</stp>
        <stp>STOCK</stp>
        <stp>62980.T</stp>
        <stp>出来高加重平均</stp>
        <tr r="T685" s="7"/>
      </tp>
      <tp>
        <v>499.76190000000003</v>
        <stp/>
        <stp>Market</stp>
        <stp>STOCK</stp>
        <stp>69070.T</stp>
        <stp>出来高加重平均</stp>
        <tr r="T786" s="7"/>
      </tp>
      <tp>
        <v>1460.5026</v>
        <stp/>
        <stp>Market</stp>
        <stp>STOCK</stp>
        <stp>69050.T</stp>
        <stp>出来高加重平均</stp>
        <tr r="T785" s="7"/>
      </tp>
      <tp>
        <v>2522.9731999999999</v>
        <stp/>
        <stp>Market</stp>
        <stp>STOCK</stp>
        <stp>69020.T</stp>
        <stp>出来高加重平均</stp>
        <tr r="T784" s="7"/>
      </tp>
      <tp>
        <v>525.36990000000003</v>
        <stp/>
        <stp>Market</stp>
        <stp>STOCK</stp>
        <stp>69270.T</stp>
        <stp>出来高加重平均</stp>
        <tr r="T789" s="7"/>
      </tp>
      <tp>
        <v>2661.1435999999999</v>
        <stp/>
        <stp>Market</stp>
        <stp>STOCK</stp>
        <stp>69230.T</stp>
        <stp>出来高加重平均</stp>
        <tr r="T788" s="7"/>
      </tp>
      <tp>
        <v>39553.808799999999</v>
        <stp/>
        <stp>Market</stp>
        <stp>STOCK</stp>
        <stp>69200.T</stp>
        <stp>出来高加重平均</stp>
        <tr r="T787" s="7"/>
      </tp>
      <tp>
        <v>296.45979999999997</v>
        <stp/>
        <stp>Market</stp>
        <stp>STOCK</stp>
        <stp>69380.T</stp>
        <stp>出来高加重平均</stp>
        <tr r="T790" s="7"/>
      </tp>
      <tp>
        <v>1716.9884999999999</v>
        <stp/>
        <stp>Market</stp>
        <stp>STOCK</stp>
        <stp>69420.T</stp>
        <stp>出来高加重平均</stp>
        <tr r="T792" s="7"/>
      </tp>
      <tp>
        <v>2236.7573000000002</v>
        <stp/>
        <stp>Market</stp>
        <stp>STOCK</stp>
        <stp>69410.T</stp>
        <stp>出来高加重平均</stp>
        <tr r="T791" s="7"/>
      </tp>
      <tp>
        <v>673.35260000000005</v>
        <stp/>
        <stp>Market</stp>
        <stp>STOCK</stp>
        <stp>69550.T</stp>
        <stp>出来高加重平均</stp>
        <tr r="T795" s="7"/>
      </tp>
      <tp>
        <v>3956.4929000000002</v>
        <stp/>
        <stp>Market</stp>
        <stp>STOCK</stp>
        <stp>69540.T</stp>
        <stp>出来高加重平均</stp>
        <tr r="T794" s="7"/>
      </tp>
      <tp>
        <v>1269.7744</v>
        <stp/>
        <stp>Market</stp>
        <stp>STOCK</stp>
        <stp>69520.T</stp>
        <stp>出来高加重平均</stp>
        <tr r="T793" s="7"/>
      </tp>
      <tp>
        <v>747.18830000000003</v>
        <stp/>
        <stp>Market</stp>
        <stp>STOCK</stp>
        <stp>69580.T</stp>
        <stp>出来高加重平均</stp>
        <tr r="T796" s="7"/>
      </tp>
      <tp>
        <v>3473.0592000000001</v>
        <stp/>
        <stp>Market</stp>
        <stp>STOCK</stp>
        <stp>69760.T</stp>
        <stp>出来高加重平均</stp>
        <tr r="T797" s="7"/>
      </tp>
      <tp>
        <v>506.26229999999998</v>
        <stp/>
        <stp>Market</stp>
        <stp>STOCK</stp>
        <stp>69860.T</stp>
        <stp>出来高加重平均</stp>
        <tr r="T800" s="7"/>
      </tp>
      <tp>
        <v>686.37729999999999</v>
        <stp/>
        <stp>Market</stp>
        <stp>STOCK</stp>
        <stp>69820.T</stp>
        <stp>出来高加重平均</stp>
        <tr r="T799" s="7"/>
      </tp>
      <tp>
        <v>3000.2514999999999</v>
        <stp/>
        <stp>Market</stp>
        <stp>STOCK</stp>
        <stp>69810.T</stp>
        <stp>出来高加重平均</stp>
        <tr r="T798" s="7"/>
      </tp>
      <tp>
        <v>1393.7581</v>
        <stp/>
        <stp>Market</stp>
        <stp>STOCK</stp>
        <stp>69970.T</stp>
        <stp>出来高加重平均</stp>
        <tr r="T803" s="7"/>
      </tp>
      <tp>
        <v>437.8879</v>
        <stp/>
        <stp>Market</stp>
        <stp>STOCK</stp>
        <stp>69940.T</stp>
        <stp>出来高加重平均</stp>
        <tr r="T802" s="7"/>
      </tp>
      <tp>
        <v>40.127000000000002</v>
        <stp/>
        <stp>Market</stp>
        <stp>STOCK</stp>
        <stp>69930.T</stp>
        <stp>出来高加重平均</stp>
        <tr r="T801" s="7"/>
      </tp>
      <tp>
        <v>99.009799999999998</v>
        <stp/>
        <stp>Market</stp>
        <stp>STOCK</stp>
        <stp>68030.T</stp>
        <stp>出来高加重平均</stp>
        <tr r="T773" s="7"/>
      </tp>
      <tp>
        <v>2016.5804000000001</v>
        <stp/>
        <stp>Market</stp>
        <stp>STOCK</stp>
        <stp>68140.T</stp>
        <stp>出来高加重平均</stp>
        <tr r="T775" s="7"/>
      </tp>
      <tp>
        <v>1561.0867000000001</v>
        <stp/>
        <stp>Market</stp>
        <stp>STOCK</stp>
        <stp>68100.T</stp>
        <stp>出来高加重平均</stp>
        <tr r="T774" s="7"/>
      </tp>
      <tp>
        <v>112.58369999999999</v>
        <stp/>
        <stp>Market</stp>
        <stp>STOCK</stp>
        <stp>68350.T</stp>
        <stp>出来高加重平均</stp>
        <tr r="T776" s="7"/>
      </tp>
      <tp>
        <v>479.23320000000001</v>
        <stp/>
        <stp>Market</stp>
        <stp>STOCK</stp>
        <stp>68400.T</stp>
        <stp>出来高加重平均</stp>
        <tr r="T777" s="7"/>
      </tp>
      <tp>
        <v>6128.2168000000001</v>
        <stp/>
        <stp>Market</stp>
        <stp>STOCK</stp>
        <stp>68570.T</stp>
        <stp>出来高加重平均</stp>
        <tr r="T778" s="7"/>
      </tp>
      <tp>
        <v>716.18939999999998</v>
        <stp/>
        <stp>Market</stp>
        <stp>STOCK</stp>
        <stp>68670.T</stp>
        <stp>出来高加重平均</stp>
        <tr r="T781" s="7"/>
      </tp>
      <tp>
        <v>1357.7965999999999</v>
        <stp/>
        <stp>Market</stp>
        <stp>STOCK</stp>
        <stp>68630.T</stp>
        <stp>出来高加重平均</stp>
        <tr r="T780" s="7"/>
      </tp>
      <tp>
        <v>1377.1356000000001</v>
        <stp/>
        <stp>Market</stp>
        <stp>STOCK</stp>
        <stp>68620.T</stp>
        <stp>出来高加重平均</stp>
        <tr r="T779" s="7"/>
      </tp>
      <tp>
        <v>4162.6210000000001</v>
        <stp/>
        <stp>Market</stp>
        <stp>STOCK</stp>
        <stp>68710.T</stp>
        <stp>出来高加重平均</stp>
        <tr r="T782" s="7"/>
      </tp>
      <tp>
        <v>511.03440000000001</v>
        <stp/>
        <stp>Market</stp>
        <stp>STOCK</stp>
        <stp>68970.T</stp>
        <stp>出来高加重平均</stp>
        <tr r="T783" s="7"/>
      </tp>
    </main>
    <main first="rtdsrv.662c26bade854d00aebc6010f8a2e03a">
      <tp t="s">
        <v>表示銘柄数超過</v>
        <stp/>
        <stp>Market</stp>
        <stp>STOCK</stp>
        <stp>90900.T</stp>
        <stp>前日比</stp>
        <tr r="E1092" s="7"/>
      </tp>
      <tp t="s">
        <v>表示銘柄数超過</v>
        <stp/>
        <stp>Market</stp>
        <stp>STOCK</stp>
        <stp>90010.T</stp>
        <stp>前日比</stp>
        <tr r="E1073" s="7"/>
      </tp>
      <tp t="s">
        <v>表示銘柄数超過</v>
        <stp/>
        <stp>Market</stp>
        <stp>STOCK</stp>
        <stp>90030.T</stp>
        <stp>前日比</stp>
        <tr r="E1074" s="7"/>
      </tp>
      <tp t="s">
        <v>表示銘柄数超過</v>
        <stp/>
        <stp>Market</stp>
        <stp>STOCK</stp>
        <stp>90050.T</stp>
        <stp>前日比</stp>
        <tr r="E1075" s="7"/>
      </tp>
      <tp t="s">
        <v>表示銘柄数超過</v>
        <stp/>
        <stp>Market</stp>
        <stp>STOCK</stp>
        <stp>90070.T</stp>
        <stp>前日比</stp>
        <tr r="E1077" s="7"/>
      </tp>
      <tp t="s">
        <v>表示銘柄数超過</v>
        <stp/>
        <stp>Market</stp>
        <stp>STOCK</stp>
        <stp>90060.T</stp>
        <stp>前日比</stp>
        <tr r="E1076" s="7"/>
      </tp>
      <tp t="s">
        <v>表示銘柄数超過</v>
        <stp/>
        <stp>Market</stp>
        <stp>STOCK</stp>
        <stp>90090.T</stp>
        <stp>前日比</stp>
        <tr r="E1079" s="7"/>
      </tp>
      <tp t="s">
        <v>表示銘柄数超過</v>
        <stp/>
        <stp>Market</stp>
        <stp>STOCK</stp>
        <stp>90080.T</stp>
        <stp>前日比</stp>
        <tr r="E1078" s="7"/>
      </tp>
      <tp t="s">
        <v>表示銘柄数超過</v>
        <stp/>
        <stp>Market</stp>
        <stp>STOCK</stp>
        <stp>90330.T</stp>
        <stp>前日比</stp>
        <tr r="E1084" s="7"/>
      </tp>
      <tp t="s">
        <v>表示銘柄数超過</v>
        <stp/>
        <stp>Market</stp>
        <stp>STOCK</stp>
        <stp>90200.T</stp>
        <stp>前日比</stp>
        <tr r="E1080" s="7"/>
        <tr r="E1081" s="7"/>
      </tp>
      <tp t="s">
        <v>表示銘柄数超過</v>
        <stp/>
        <stp>Market</stp>
        <stp>STOCK</stp>
        <stp>90220.T</stp>
        <stp>前日比</stp>
        <tr r="E1082" s="7"/>
      </tp>
      <tp t="s">
        <v>表示銘柄数超過</v>
        <stp/>
        <stp>Market</stp>
        <stp>STOCK</stp>
        <stp>90240.T</stp>
        <stp>前日比</stp>
        <tr r="E1083" s="7"/>
      </tp>
      <tp t="s">
        <v>表示銘柄数超過</v>
        <stp/>
        <stp>Market</stp>
        <stp>STOCK</stp>
        <stp>90590.T</stp>
        <stp>前日比</stp>
        <tr r="E1089" s="7"/>
      </tp>
      <tp t="s">
        <v>表示銘柄数超過</v>
        <stp/>
        <stp>Market</stp>
        <stp>STOCK</stp>
        <stp>90410.T</stp>
        <stp>前日比</stp>
        <tr r="E1085" s="7"/>
      </tp>
      <tp t="s">
        <v>表示銘柄数超過</v>
        <stp/>
        <stp>Market</stp>
        <stp>STOCK</stp>
        <stp>90420.T</stp>
        <stp>前日比</stp>
        <tr r="E1086" s="7"/>
      </tp>
      <tp t="s">
        <v>表示銘柄数超過</v>
        <stp/>
        <stp>Market</stp>
        <stp>STOCK</stp>
        <stp>90440.T</stp>
        <stp>前日比</stp>
        <tr r="E1087" s="7"/>
      </tp>
      <tp t="s">
        <v>表示銘柄数超過</v>
        <stp/>
        <stp>Market</stp>
        <stp>STOCK</stp>
        <stp>90480.T</stp>
        <stp>前日比</stp>
        <tr r="E1088" s="7"/>
      </tp>
      <tp t="s">
        <v>表示銘柄数超過</v>
        <stp/>
        <stp>Market</stp>
        <stp>STOCK</stp>
        <stp>90630.T</stp>
        <stp>前日比</stp>
        <tr r="E1090" s="7"/>
      </tp>
      <tp t="s">
        <v>表示銘柄数超過</v>
        <stp/>
        <stp>Market</stp>
        <stp>STOCK</stp>
        <stp>90640.T</stp>
        <stp>前日比</stp>
        <tr r="E1091" s="7"/>
      </tp>
      <tp t="s">
        <v>表示銘柄数超過</v>
        <stp/>
        <stp>Market</stp>
        <stp>STOCK</stp>
        <stp>91150.T</stp>
        <stp>前日比</stp>
        <tr r="E1096" s="7"/>
      </tp>
      <tp t="s">
        <v>表示銘柄数超過</v>
        <stp/>
        <stp>Market</stp>
        <stp>STOCK</stp>
        <stp>91190.T</stp>
        <stp>前日比</stp>
        <tr r="E1097" s="7"/>
      </tp>
      <tp t="s">
        <v>表示銘柄数超過</v>
        <stp/>
        <stp>Market</stp>
        <stp>STOCK</stp>
        <stp>91010.T</stp>
        <stp>前日比</stp>
        <tr r="E1093" s="7"/>
      </tp>
      <tp t="s">
        <v>表示銘柄数超過</v>
        <stp/>
        <stp>Market</stp>
        <stp>STOCK</stp>
        <stp>91040.T</stp>
        <stp>前日比</stp>
        <tr r="E1094" s="7"/>
      </tp>
      <tp t="s">
        <v>表示銘柄数超過</v>
        <stp/>
        <stp>Market</stp>
        <stp>STOCK</stp>
        <stp>91070.T</stp>
        <stp>前日比</stp>
        <tr r="E1095" s="7"/>
      </tp>
      <tp t="s">
        <v>表示銘柄数超過</v>
        <stp/>
        <stp>Market</stp>
        <stp>STOCK</stp>
        <stp>91420.T</stp>
        <stp>前日比</stp>
        <tr r="E1098" s="7"/>
      </tp>
      <tp t="s">
        <v>表示銘柄数超過</v>
        <stp/>
        <stp>Market</stp>
        <stp>STOCK</stp>
        <stp>92130.T</stp>
        <stp>前日比</stp>
        <tr r="E1099" s="7"/>
      </tp>
      <tp t="s">
        <v>表示銘柄数超過</v>
        <stp/>
        <stp>Market</stp>
        <stp>STOCK</stp>
        <stp>92540.T</stp>
        <stp>前日比</stp>
        <tr r="E1103" s="7"/>
      </tp>
      <tp t="s">
        <v>表示銘柄数超過</v>
        <stp/>
        <stp>Market</stp>
        <stp>STOCK</stp>
        <stp>92410.T</stp>
        <stp>前日比</stp>
        <tr r="E1100" s="7"/>
      </tp>
      <tp t="s">
        <v>表示銘柄数超過</v>
        <stp/>
        <stp>Market</stp>
        <stp>STOCK</stp>
        <stp>92470.T</stp>
        <stp>前日比</stp>
        <tr r="E1101" s="7"/>
      </tp>
      <tp t="s">
        <v>表示銘柄数超過</v>
        <stp/>
        <stp>Market</stp>
        <stp>STOCK</stp>
        <stp>92480.T</stp>
        <stp>前日比</stp>
        <tr r="E1102" s="7"/>
      </tp>
      <tp t="s">
        <v>表示銘柄数超過</v>
        <stp/>
        <stp>Market</stp>
        <stp>STOCK</stp>
        <stp>92700.T</stp>
        <stp>前日比</stp>
        <tr r="E1105" s="7"/>
      </tp>
      <tp t="s">
        <v>表示銘柄数超過</v>
        <stp/>
        <stp>Market</stp>
        <stp>STOCK</stp>
        <stp>92720.T</stp>
        <stp>前日比</stp>
        <tr r="E1106" s="7"/>
      </tp>
      <tp t="s">
        <v>表示銘柄数超過</v>
        <stp/>
        <stp>Market</stp>
        <stp>STOCK</stp>
        <stp>92740.T</stp>
        <stp>前日比</stp>
        <tr r="E1107" s="7"/>
      </tp>
      <tp t="s">
        <v>表示銘柄数超過</v>
        <stp/>
        <stp>Market</stp>
        <stp>STOCK</stp>
        <stp>92780.T</stp>
        <stp>前日比</stp>
        <tr r="E1108" s="7"/>
      </tp>
      <tp t="s">
        <v>表示銘柄数超過</v>
        <stp/>
        <stp>Market</stp>
        <stp>STOCK</stp>
        <stp>92630.T</stp>
        <stp>前日比</stp>
        <tr r="E1104" s="7"/>
      </tp>
      <tp>
        <v>0</v>
        <stp/>
        <stp>Market</stp>
        <stp>STOCK</stp>
        <stp>93990.T</stp>
        <stp>前日比</stp>
        <tr r="E1113" s="7"/>
      </tp>
      <tp t="s">
        <v>表示銘柄数超過</v>
        <stp/>
        <stp>Market</stp>
        <stp>STOCK</stp>
        <stp>93800.T</stp>
        <stp>前日比</stp>
        <tr r="E1112" s="7"/>
      </tp>
      <tp t="s">
        <v>表示銘柄数超過</v>
        <stp/>
        <stp>Market</stp>
        <stp>STOCK</stp>
        <stp>93070.T</stp>
        <stp>前日比</stp>
        <tr r="E1109" s="7"/>
      </tp>
      <tp t="s">
        <v>表示銘柄数超過</v>
        <stp/>
        <stp>Market</stp>
        <stp>STOCK</stp>
        <stp>93250.T</stp>
        <stp>前日比</stp>
        <tr r="E1110" s="7"/>
      </tp>
      <tp t="s">
        <v>表示銘柄数超過</v>
        <stp/>
        <stp>Market</stp>
        <stp>STOCK</stp>
        <stp>93610.T</stp>
        <stp>前日比</stp>
        <tr r="E1111" s="7"/>
      </tp>
      <tp t="s">
        <v>表示銘柄数超過</v>
        <stp/>
        <stp>Market</stp>
        <stp>STOCK</stp>
        <stp>94130.T</stp>
        <stp>前日比</stp>
        <tr r="E1119" s="7"/>
      </tp>
      <tp t="s">
        <v>表示銘柄数超過</v>
        <stp/>
        <stp>Market</stp>
        <stp>STOCK</stp>
        <stp>94120.T</stp>
        <stp>前日比</stp>
        <tr r="E1118" s="7"/>
      </tp>
      <tp t="s">
        <v>表示銘柄数超過</v>
        <stp/>
        <stp>Market</stp>
        <stp>STOCK</stp>
        <stp>94140.T</stp>
        <stp>前日比</stp>
        <tr r="E1120" s="7"/>
      </tp>
      <tp t="s">
        <v>表示銘柄数超過</v>
        <stp/>
        <stp>Market</stp>
        <stp>STOCK</stp>
        <stp>94170.T</stp>
        <stp>前日比</stp>
        <tr r="E1121" s="7"/>
      </tp>
      <tp t="s">
        <v>表示銘柄数超過</v>
        <stp/>
        <stp>Market</stp>
        <stp>STOCK</stp>
        <stp>94190.T</stp>
        <stp>前日比</stp>
        <tr r="E1122" s="7"/>
      </tp>
      <tp t="s">
        <v>表示銘柄数超過</v>
        <stp/>
        <stp>Market</stp>
        <stp>STOCK</stp>
        <stp>94010.T</stp>
        <stp>前日比</stp>
        <tr r="E1114" s="7"/>
      </tp>
      <tp t="s">
        <v>表示銘柄数超過</v>
        <stp/>
        <stp>Market</stp>
        <stp>STOCK</stp>
        <stp>94050.T</stp>
        <stp>前日比</stp>
        <tr r="E1116" s="7"/>
      </tp>
      <tp t="s">
        <v>表示銘柄数超過</v>
        <stp/>
        <stp>Market</stp>
        <stp>STOCK</stp>
        <stp>94040.T</stp>
        <stp>前日比</stp>
        <tr r="E1115" s="7"/>
      </tp>
      <tp t="s">
        <v>表示銘柄数超過</v>
        <stp/>
        <stp>Market</stp>
        <stp>STOCK</stp>
        <stp>94090.T</stp>
        <stp>前日比</stp>
        <tr r="E1117" s="7"/>
      </tp>
      <tp t="s">
        <v>表示銘柄数超過</v>
        <stp/>
        <stp>Market</stp>
        <stp>STOCK</stp>
        <stp>94330.T</stp>
        <stp>前日比</stp>
        <tr r="E1128" s="7"/>
      </tp>
      <tp>
        <v>0</v>
        <stp/>
        <stp>Market</stp>
        <stp>STOCK</stp>
        <stp>94320.T</stp>
        <stp>前日比</stp>
        <tr r="E1127" s="7"/>
      </tp>
      <tp>
        <v>-10.5</v>
        <stp/>
        <stp>Market</stp>
        <stp>STOCK</stp>
        <stp>94340.T</stp>
        <stp>前日比</stp>
        <tr r="E1129" s="7"/>
      </tp>
      <tp t="s">
        <v>表示銘柄数超過</v>
        <stp/>
        <stp>Market</stp>
        <stp>STOCK</stp>
        <stp>94360.T</stp>
        <stp>前日比</stp>
        <tr r="E1130" s="7"/>
      </tp>
      <tp t="s">
        <v>表示銘柄数超過</v>
        <stp/>
        <stp>Market</stp>
        <stp>STOCK</stp>
        <stp>94390.T</stp>
        <stp>前日比</stp>
        <tr r="E1131" s="7"/>
      </tp>
      <tp t="s">
        <v>表示銘柄数超過</v>
        <stp/>
        <stp>Market</stp>
        <stp>STOCK</stp>
        <stp>94210.T</stp>
        <stp>前日比</stp>
        <tr r="E1123" s="7"/>
      </tp>
      <tp t="s">
        <v>表示銘柄数超過</v>
        <stp/>
        <stp>Market</stp>
        <stp>STOCK</stp>
        <stp>94230.T</stp>
        <stp>前日比</stp>
        <tr r="E1124" s="7"/>
      </tp>
      <tp t="s">
        <v>表示銘柄数超過</v>
        <stp/>
        <stp>Market</stp>
        <stp>STOCK</stp>
        <stp>94250.T</stp>
        <stp>前日比</stp>
        <tr r="E1126" s="7"/>
      </tp>
      <tp t="s">
        <v>表示銘柄数超過</v>
        <stp/>
        <stp>Market</stp>
        <stp>STOCK</stp>
        <stp>94240.T</stp>
        <stp>前日比</stp>
        <tr r="E1125" s="7"/>
      </tp>
      <tp t="s">
        <v>表示銘柄数超過</v>
        <stp/>
        <stp>Market</stp>
        <stp>STOCK</stp>
        <stp>94500.T</stp>
        <stp>前日比</stp>
        <tr r="E1133" s="7"/>
      </tp>
      <tp t="s">
        <v>表示銘柄数超過</v>
        <stp/>
        <stp>Market</stp>
        <stp>STOCK</stp>
        <stp>94440.T</stp>
        <stp>前日比</stp>
        <tr r="E1132" s="7"/>
      </tp>
      <tp t="s">
        <v>表示銘柄数超過</v>
        <stp/>
        <stp>Market</stp>
        <stp>STOCK</stp>
        <stp>94700.T</stp>
        <stp>前日比</stp>
        <tr r="E1135" s="7"/>
      </tp>
      <tp t="s">
        <v>表示銘柄数超過</v>
        <stp/>
        <stp>Market</stp>
        <stp>STOCK</stp>
        <stp>94750.T</stp>
        <stp>前日比</stp>
        <tr r="E1137" s="7"/>
      </tp>
      <tp t="s">
        <v>表示銘柄数超過</v>
        <stp/>
        <stp>Market</stp>
        <stp>STOCK</stp>
        <stp>94740.T</stp>
        <stp>前日比</stp>
        <tr r="E1136" s="7"/>
      </tp>
      <tp t="s">
        <v>表示銘柄数超過</v>
        <stp/>
        <stp>Market</stp>
        <stp>STOCK</stp>
        <stp>94760.T</stp>
        <stp>前日比</stp>
        <tr r="E1138" s="7"/>
      </tp>
      <tp t="s">
        <v>表示銘柄数超過</v>
        <stp/>
        <stp>Market</stp>
        <stp>STOCK</stp>
        <stp>94790.T</stp>
        <stp>前日比</stp>
        <tr r="E1139" s="7"/>
      </tp>
      <tp t="s">
        <v>表示銘柄数超過</v>
        <stp/>
        <stp>Market</stp>
        <stp>STOCK</stp>
        <stp>94660.T</stp>
        <stp>前日比</stp>
        <tr r="E1134" s="7"/>
      </tp>
      <tp t="s">
        <v>表示銘柄数超過</v>
        <stp/>
        <stp>Market</stp>
        <stp>STOCK</stp>
        <stp>95110.T</stp>
        <stp>前日比</stp>
        <tr r="E1149" s="7"/>
      </tp>
      <tp t="s">
        <v>表示銘柄数超過</v>
        <stp/>
        <stp>Market</stp>
        <stp>STOCK</stp>
        <stp>95140.T</stp>
        <stp>前日比</stp>
        <tr r="E1150" s="7"/>
      </tp>
      <tp t="s">
        <v>表示銘柄数超過</v>
        <stp/>
        <stp>Market</stp>
        <stp>STOCK</stp>
        <stp>95190.T</stp>
        <stp>前日比</stp>
        <tr r="E1151" s="7"/>
      </tp>
      <tp t="s">
        <v>表示銘柄数超過</v>
        <stp/>
        <stp>Market</stp>
        <stp>STOCK</stp>
        <stp>95010.T</stp>
        <stp>前日比</stp>
        <tr r="E1140" s="7"/>
      </tp>
      <tp t="s">
        <v>表示銘柄数超過</v>
        <stp/>
        <stp>Market</stp>
        <stp>STOCK</stp>
        <stp>95030.T</stp>
        <stp>前日比</stp>
        <tr r="E1142" s="7"/>
      </tp>
      <tp t="s">
        <v>表示銘柄数超過</v>
        <stp/>
        <stp>Market</stp>
        <stp>STOCK</stp>
        <stp>95020.T</stp>
        <stp>前日比</stp>
        <tr r="E1141" s="7"/>
      </tp>
      <tp t="s">
        <v>表示銘柄数超過</v>
        <stp/>
        <stp>Market</stp>
        <stp>STOCK</stp>
        <stp>95050.T</stp>
        <stp>前日比</stp>
        <tr r="E1144" s="7"/>
      </tp>
      <tp t="s">
        <v>表示銘柄数超過</v>
        <stp/>
        <stp>Market</stp>
        <stp>STOCK</stp>
        <stp>95040.T</stp>
        <stp>前日比</stp>
        <tr r="E1143" s="7"/>
      </tp>
      <tp t="s">
        <v>表示銘柄数超過</v>
        <stp/>
        <stp>Market</stp>
        <stp>STOCK</stp>
        <stp>95070.T</stp>
        <stp>前日比</stp>
        <tr r="E1146" s="7"/>
      </tp>
      <tp t="s">
        <v>表示銘柄数超過</v>
        <stp/>
        <stp>Market</stp>
        <stp>STOCK</stp>
        <stp>95060.T</stp>
        <stp>前日比</stp>
        <tr r="E1145" s="7"/>
      </tp>
      <tp t="s">
        <v>表示銘柄数超過</v>
        <stp/>
        <stp>Market</stp>
        <stp>STOCK</stp>
        <stp>95090.T</stp>
        <stp>前日比</stp>
        <tr r="E1148" s="7"/>
      </tp>
      <tp t="s">
        <v>表示銘柄数超過</v>
        <stp/>
        <stp>Market</stp>
        <stp>STOCK</stp>
        <stp>95080.T</stp>
        <stp>前日比</stp>
        <tr r="E1147" s="7"/>
      </tp>
      <tp t="s">
        <v>表示銘柄数超過</v>
        <stp/>
        <stp>Market</stp>
        <stp>STOCK</stp>
        <stp>95310.T</stp>
        <stp>前日比</stp>
        <tr r="E1153" s="7"/>
      </tp>
      <tp t="s">
        <v>表示銘柄数超過</v>
        <stp/>
        <stp>Market</stp>
        <stp>STOCK</stp>
        <stp>95320.T</stp>
        <stp>前日比</stp>
        <tr r="E1154" s="7"/>
      </tp>
      <tp t="s">
        <v>表示銘柄数超過</v>
        <stp/>
        <stp>Market</stp>
        <stp>STOCK</stp>
        <stp>95220.T</stp>
        <stp>前日比</stp>
        <tr r="E1152" s="7"/>
      </tp>
      <tp t="s">
        <v>表示銘柄数超過</v>
        <stp/>
        <stp>Market</stp>
        <stp>STOCK</stp>
        <stp>95530.T</stp>
        <stp>前日比</stp>
        <tr r="E1155" s="7"/>
      </tp>
      <tp t="s">
        <v>表示銘柄数超過</v>
        <stp/>
        <stp>Market</stp>
        <stp>STOCK</stp>
        <stp>95570.T</stp>
        <stp>前日比</stp>
        <tr r="E1156" s="7"/>
      </tp>
      <tp t="s">
        <v>表示銘柄数超過</v>
        <stp/>
        <stp>Market</stp>
        <stp>STOCK</stp>
        <stp>95600.T</stp>
        <stp>前日比</stp>
        <tr r="E1157" s="7"/>
      </tp>
      <tp t="s">
        <v>表示銘柄数超過</v>
        <stp/>
        <stp>Market</stp>
        <stp>STOCK</stp>
        <stp>96100.T</stp>
        <stp>前日比</stp>
        <tr r="E1159" s="7"/>
      </tp>
      <tp t="s">
        <v>表示銘柄数超過</v>
        <stp/>
        <stp>Market</stp>
        <stp>STOCK</stp>
        <stp>96130.T</stp>
        <stp>前日比</stp>
        <tr r="E1160" s="7"/>
      </tp>
      <tp t="s">
        <v>表示銘柄数超過</v>
        <stp/>
        <stp>Market</stp>
        <stp>STOCK</stp>
        <stp>96030.T</stp>
        <stp>前日比</stp>
        <tr r="E1158" s="7"/>
      </tp>
      <tp t="s">
        <v>表示銘柄数超過</v>
        <stp/>
        <stp>Market</stp>
        <stp>STOCK</stp>
        <stp>96560.T</stp>
        <stp>前日比</stp>
        <tr r="E1161" s="7"/>
      </tp>
      <tp t="s">
        <v>表示銘柄数超過</v>
        <stp/>
        <stp>Market</stp>
        <stp>STOCK</stp>
        <stp>97830.T</stp>
        <stp>前日比</stp>
        <tr r="E1167" s="7"/>
      </tp>
      <tp t="s">
        <v>表示銘柄数超過</v>
        <stp/>
        <stp>Market</stp>
        <stp>STOCK</stp>
        <stp>97820.T</stp>
        <stp>前日比</stp>
        <tr r="E1166" s="7"/>
      </tp>
      <tp t="s">
        <v>表示銘柄数超過</v>
        <stp/>
        <stp>Market</stp>
        <stp>STOCK</stp>
        <stp>97870.T</stp>
        <stp>前日比</stp>
        <tr r="E1168" s="7"/>
      </tp>
      <tp t="s">
        <v>表示銘柄数超過</v>
        <stp/>
        <stp>Market</stp>
        <stp>STOCK</stp>
        <stp>97880.T</stp>
        <stp>前日比</stp>
        <tr r="E1169" s="7"/>
      </tp>
      <tp t="s">
        <v>表示銘柄数超過</v>
        <stp/>
        <stp>Market</stp>
        <stp>STOCK</stp>
        <stp>97090.T</stp>
        <stp>前日比</stp>
        <tr r="E1162" s="7"/>
      </tp>
      <tp t="s">
        <v>表示銘柄数超過</v>
        <stp/>
        <stp>Market</stp>
        <stp>STOCK</stp>
        <stp>97230.T</stp>
        <stp>前日比</stp>
        <tr r="E1163" s="7"/>
      </tp>
      <tp t="s">
        <v>表示銘柄数超過</v>
        <stp/>
        <stp>Market</stp>
        <stp>STOCK</stp>
        <stp>97600.T</stp>
        <stp>前日比</stp>
        <tr r="E1164" s="7"/>
      </tp>
      <tp t="s">
        <v>表示銘柄数超過</v>
        <stp/>
        <stp>Market</stp>
        <stp>STOCK</stp>
        <stp>97650.T</stp>
        <stp>前日比</stp>
        <tr r="E1165" s="7"/>
      </tp>
      <tp t="s">
        <v>表示銘柄数超過</v>
        <stp/>
        <stp>Market</stp>
        <stp>STOCK</stp>
        <stp>98900.T</stp>
        <stp>前日比</stp>
        <tr r="E1177" s="7"/>
      </tp>
      <tp t="s">
        <v>表示銘柄数超過</v>
        <stp/>
        <stp>Market</stp>
        <stp>STOCK</stp>
        <stp>98880.T</stp>
        <stp>前日比</stp>
        <tr r="E1176" s="7"/>
      </tp>
      <tp t="s">
        <v>表示銘柄数超過</v>
        <stp/>
        <stp>Market</stp>
        <stp>STOCK</stp>
        <stp>98120.T</stp>
        <stp>前日比</stp>
        <tr r="E1170" s="7"/>
      </tp>
      <tp>
        <v>-3.3</v>
        <stp/>
        <stp>Market</stp>
        <stp>STOCK</stp>
        <stp>98310.T</stp>
        <stp>前日比</stp>
        <tr r="E1171" s="7"/>
      </tp>
      <tp t="s">
        <v>表示銘柄数超過</v>
        <stp/>
        <stp>Market</stp>
        <stp>STOCK</stp>
        <stp>98530.T</stp>
        <stp>前日比</stp>
        <tr r="E1173" s="7"/>
      </tp>
      <tp t="s">
        <v>表示銘柄数超過</v>
        <stp/>
        <stp>Market</stp>
        <stp>STOCK</stp>
        <stp>98540.T</stp>
        <stp>前日比</stp>
        <tr r="E1174" s="7"/>
      </tp>
      <tp t="s">
        <v>表示銘柄数超過</v>
        <stp/>
        <stp>Market</stp>
        <stp>STOCK</stp>
        <stp>98420.T</stp>
        <stp>前日比</stp>
        <tr r="E1172" s="7"/>
      </tp>
      <tp t="s">
        <v>表示銘柄数超過</v>
        <stp/>
        <stp>Market</stp>
        <stp>STOCK</stp>
        <stp>98760.T</stp>
        <stp>前日比</stp>
        <tr r="E1175" s="7"/>
      </tp>
      <tp t="s">
        <v>表示銘柄数超過</v>
        <stp/>
        <stp>Market</stp>
        <stp>STOCK</stp>
        <stp>99900.T</stp>
        <stp>前日比</stp>
        <tr r="E1190" s="7"/>
      </tp>
      <tp t="s">
        <v>表示銘柄数超過</v>
        <stp/>
        <stp>Market</stp>
        <stp>STOCK</stp>
        <stp>99950.T</stp>
        <stp>前日比</stp>
        <tr r="E1191" s="7"/>
      </tp>
      <tp t="s">
        <v>表示銘柄数超過</v>
        <stp/>
        <stp>Market</stp>
        <stp>STOCK</stp>
        <stp>99800.T</stp>
        <stp>前日比</stp>
        <tr r="E1187" s="7"/>
      </tp>
      <tp t="s">
        <v>表示銘柄数超過</v>
        <stp/>
        <stp>Market</stp>
        <stp>STOCK</stp>
        <stp>99820.T</stp>
        <stp>前日比</stp>
        <tr r="E1188" s="7"/>
      </tp>
      <tp t="s">
        <v>表示銘柄数超過</v>
        <stp/>
        <stp>Market</stp>
        <stp>STOCK</stp>
        <stp>99840.T</stp>
        <stp>前日比</stp>
        <tr r="E1189" s="7"/>
      </tp>
      <tp t="s">
        <v>表示銘柄数超過</v>
        <stp/>
        <stp>Market</stp>
        <stp>STOCK</stp>
        <stp>99190.T</stp>
        <stp>前日比</stp>
        <tr r="E1180" s="7"/>
      </tp>
      <tp t="s">
        <v>表示銘柄数超過</v>
        <stp/>
        <stp>Market</stp>
        <stp>STOCK</stp>
        <stp>99040.T</stp>
        <stp>前日比</stp>
        <tr r="E1178" s="7"/>
      </tp>
      <tp t="s">
        <v>表示銘柄数超過</v>
        <stp/>
        <stp>Market</stp>
        <stp>STOCK</stp>
        <stp>99080.T</stp>
        <stp>前日比</stp>
        <tr r="E1179" s="7"/>
      </tp>
      <tp t="s">
        <v>表示銘柄数超過</v>
        <stp/>
        <stp>Market</stp>
        <stp>STOCK</stp>
        <stp>99300.T</stp>
        <stp>前日比</stp>
        <tr r="E1183" s="7"/>
      </tp>
      <tp t="s">
        <v>表示銘柄数超過</v>
        <stp/>
        <stp>Market</stp>
        <stp>STOCK</stp>
        <stp>99270.T</stp>
        <stp>前日比</stp>
        <tr r="E1181" s="7"/>
      </tp>
      <tp t="s">
        <v>表示銘柄数超過</v>
        <stp/>
        <stp>Market</stp>
        <stp>STOCK</stp>
        <stp>99280.T</stp>
        <stp>前日比</stp>
        <tr r="E1182" s="7"/>
      </tp>
      <tp t="s">
        <v>表示銘柄数超過</v>
        <stp/>
        <stp>Market</stp>
        <stp>STOCK</stp>
        <stp>99460.T</stp>
        <stp>前日比</stp>
        <tr r="E1184" s="7"/>
      </tp>
      <tp t="s">
        <v>表示銘柄数超過</v>
        <stp/>
        <stp>Market</stp>
        <stp>STOCK</stp>
        <stp>99730.T</stp>
        <stp>前日比</stp>
        <tr r="E1186" s="7"/>
      </tp>
      <tp t="s">
        <v>表示銘柄数超過</v>
        <stp/>
        <stp>Market</stp>
        <stp>STOCK</stp>
        <stp>99690.T</stp>
        <stp>前日比</stp>
        <tr r="E1185" s="7"/>
      </tp>
    </main>
    <main first="rtdsrv.662c26bade854d00aebc6010f8a2e03a">
      <tp>
        <v>-1</v>
        <stp/>
        <stp>Market</stp>
        <stp>STOCK</stp>
        <stp>80950.T</stp>
        <stp>前日比</stp>
        <tr r="E975" s="7"/>
      </tp>
      <tp>
        <v>-10</v>
        <stp/>
        <stp>Market</stp>
        <stp>STOCK</stp>
        <stp>80810.T</stp>
        <stp>前日比</stp>
        <tr r="E974" s="7"/>
      </tp>
      <tp>
        <v>-4</v>
        <stp/>
        <stp>Market</stp>
        <stp>STOCK</stp>
        <stp>80160.T</stp>
        <stp>前日比</stp>
        <tr r="E967" s="7"/>
      </tp>
      <tp>
        <v>216</v>
        <stp/>
        <stp>Market</stp>
        <stp>STOCK</stp>
        <stp>80010.T</stp>
        <stp>前日比</stp>
        <tr r="E964" s="7"/>
      </tp>
      <tp>
        <v>1</v>
        <stp/>
        <stp>Market</stp>
        <stp>STOCK</stp>
        <stp>80050.T</stp>
        <stp>前日比</stp>
        <tr r="E965" s="7"/>
      </tp>
      <tp>
        <v>7</v>
        <stp/>
        <stp>Market</stp>
        <stp>STOCK</stp>
        <stp>80080.T</stp>
        <stp>前日比</stp>
        <tr r="E966" s="7"/>
      </tp>
      <tp>
        <v>104</v>
        <stp/>
        <stp>Market</stp>
        <stp>STOCK</stp>
        <stp>80310.T</stp>
        <stp>前日比</stp>
        <tr r="E969" s="7"/>
      </tp>
      <tp>
        <v>-6</v>
        <stp/>
        <stp>Market</stp>
        <stp>STOCK</stp>
        <stp>80200.T</stp>
        <stp>前日比</stp>
        <tr r="E968" s="7"/>
      </tp>
      <tp>
        <v>35</v>
        <stp/>
        <stp>Market</stp>
        <stp>STOCK</stp>
        <stp>80530.T</stp>
        <stp>前日比</stp>
        <tr r="E970" s="7"/>
      </tp>
      <tp>
        <v>-32</v>
        <stp/>
        <stp>Market</stp>
        <stp>STOCK</stp>
        <stp>80560.T</stp>
        <stp>前日比</stp>
        <tr r="E971" s="7"/>
      </tp>
      <tp>
        <v>247</v>
        <stp/>
        <stp>Market</stp>
        <stp>STOCK</stp>
        <stp>80580.T</stp>
        <stp>前日比</stp>
        <tr r="E972" s="7"/>
      </tp>
      <tp>
        <v>0</v>
        <stp/>
        <stp>Market</stp>
        <stp>STOCK</stp>
        <stp>80770.T</stp>
        <stp>前日比</stp>
        <tr r="E973" s="7"/>
      </tp>
      <tp>
        <v>75</v>
        <stp/>
        <stp>Market</stp>
        <stp>STOCK</stp>
        <stp>81940.T</stp>
        <stp>前日比</stp>
        <tr r="E989" s="7"/>
      </tp>
      <tp>
        <v>-6</v>
        <stp/>
        <stp>Market</stp>
        <stp>STOCK</stp>
        <stp>81180.T</stp>
        <stp>前日比</stp>
        <tr r="E979" s="7"/>
      </tp>
      <tp>
        <v>8</v>
        <stp/>
        <stp>Market</stp>
        <stp>STOCK</stp>
        <stp>81030.T</stp>
        <stp>前日比</stp>
        <tr r="E976" s="7"/>
      </tp>
      <tp>
        <v>0</v>
        <stp/>
        <stp>Market</stp>
        <stp>STOCK</stp>
        <stp>81050.T</stp>
        <stp>前日比</stp>
        <tr r="E978" s="7"/>
      </tp>
      <tp>
        <v>-3</v>
        <stp/>
        <stp>Market</stp>
        <stp>STOCK</stp>
        <stp>81040.T</stp>
        <stp>前日比</stp>
        <tr r="E977" s="7"/>
      </tp>
      <tp>
        <v>9</v>
        <stp/>
        <stp>Market</stp>
        <stp>STOCK</stp>
        <stp>81330.T</stp>
        <stp>前日比</stp>
        <tr r="E980" s="7"/>
      </tp>
      <tp>
        <v>4</v>
        <stp/>
        <stp>Market</stp>
        <stp>STOCK</stp>
        <stp>81350.T</stp>
        <stp>前日比</stp>
        <tr r="E981" s="7"/>
      </tp>
      <tp>
        <v>-20</v>
        <stp/>
        <stp>Market</stp>
        <stp>STOCK</stp>
        <stp>81390.T</stp>
        <stp>前日比</stp>
        <tr r="E982" s="7"/>
      </tp>
      <tp>
        <v>-16</v>
        <stp/>
        <stp>Market</stp>
        <stp>STOCK</stp>
        <stp>81500.T</stp>
        <stp>前日比</stp>
        <tr r="E984" s="7"/>
      </tp>
      <tp>
        <v>-40</v>
        <stp/>
        <stp>Market</stp>
        <stp>STOCK</stp>
        <stp>81530.T</stp>
        <stp>前日比</stp>
        <tr r="E985" s="7"/>
      </tp>
      <tp>
        <v>-1</v>
        <stp/>
        <stp>Market</stp>
        <stp>STOCK</stp>
        <stp>81430.T</stp>
        <stp>前日比</stp>
        <tr r="E983" s="7"/>
      </tp>
      <tp>
        <v>-17</v>
        <stp/>
        <stp>Market</stp>
        <stp>STOCK</stp>
        <stp>81730.T</stp>
        <stp>前日比</stp>
        <tr r="E987" s="7"/>
      </tp>
      <tp>
        <v>-24</v>
        <stp/>
        <stp>Market</stp>
        <stp>STOCK</stp>
        <stp>81790.T</stp>
        <stp>前日比</stp>
        <tr r="E988" s="7"/>
      </tp>
      <tp>
        <v>-1</v>
        <stp/>
        <stp>Market</stp>
        <stp>STOCK</stp>
        <stp>81660.T</stp>
        <stp>前日比</stp>
        <tr r="E986" s="7"/>
      </tp>
      <tp>
        <v>2</v>
        <stp/>
        <stp>Market</stp>
        <stp>STOCK</stp>
        <stp>82910.T</stp>
        <stp>前日比</stp>
        <tr r="E1002" s="7"/>
      </tp>
      <tp>
        <v>4</v>
        <stp/>
        <stp>Market</stp>
        <stp>STOCK</stp>
        <stp>82030.T</stp>
        <stp>前日比</stp>
        <tr r="E991" s="7"/>
      </tp>
      <tp>
        <v>-2</v>
        <stp/>
        <stp>Market</stp>
        <stp>STOCK</stp>
        <stp>82020.T</stp>
        <stp>前日比</stp>
        <tr r="E990" s="7"/>
      </tp>
      <tp>
        <v>2</v>
        <stp/>
        <stp>Market</stp>
        <stp>STOCK</stp>
        <stp>82070.T</stp>
        <stp>前日比</stp>
        <tr r="E992" s="7"/>
      </tp>
      <tp>
        <v>1</v>
        <stp/>
        <stp>Market</stp>
        <stp>STOCK</stp>
        <stp>82300.T</stp>
        <stp>前日比</stp>
        <tr r="E994" s="7"/>
      </tp>
      <tp>
        <v>28</v>
        <stp/>
        <stp>Market</stp>
        <stp>STOCK</stp>
        <stp>82370.T</stp>
        <stp>前日比</stp>
        <tr r="E995" s="7"/>
      </tp>
      <tp>
        <v>-1</v>
        <stp/>
        <stp>Market</stp>
        <stp>STOCK</stp>
        <stp>82260.T</stp>
        <stp>前日比</stp>
        <tr r="E993" s="7"/>
      </tp>
      <tp>
        <v>-62.5</v>
        <stp/>
        <stp>Market</stp>
        <stp>STOCK</stp>
        <stp>82520.T</stp>
        <stp>前日比</stp>
        <tr r="E999" s="7"/>
      </tp>
      <tp t="s">
        <v/>
        <stp/>
        <stp>Market</stp>
        <stp>STOCK</stp>
        <stp>82560.T</stp>
        <stp>前日比</stp>
        <tr r="E1000" s="7"/>
      </tp>
      <tp>
        <v>40</v>
        <stp/>
        <stp>Market</stp>
        <stp>STOCK</stp>
        <stp>82420.T</stp>
        <stp>前日比</stp>
        <tr r="E996" s="7"/>
      </tp>
      <tp>
        <v>-15</v>
        <stp/>
        <stp>Market</stp>
        <stp>STOCK</stp>
        <stp>82440.T</stp>
        <stp>前日比</stp>
        <tr r="E997" s="7"/>
      </tp>
      <tp>
        <v>10</v>
        <stp/>
        <stp>Market</stp>
        <stp>STOCK</stp>
        <stp>82470.T</stp>
        <stp>前日比</stp>
        <tr r="E998" s="7"/>
      </tp>
      <tp>
        <v>37</v>
        <stp/>
        <stp>Market</stp>
        <stp>STOCK</stp>
        <stp>82670.T</stp>
        <stp>前日比</stp>
        <tr r="E1001" s="7"/>
      </tp>
      <tp>
        <v>0</v>
        <stp/>
        <stp>Market</stp>
        <stp>STOCK</stp>
        <stp>83830.T</stp>
        <stp>前日比</stp>
        <tr r="E1008" s="7"/>
      </tp>
      <tp>
        <v>22</v>
        <stp/>
        <stp>Market</stp>
        <stp>STOCK</stp>
        <stp>83870.T</stp>
        <stp>前日比</stp>
        <tr r="E1009" s="7"/>
      </tp>
      <tp>
        <v>57</v>
        <stp/>
        <stp>Market</stp>
        <stp>STOCK</stp>
        <stp>83160.T</stp>
        <stp>前日比</stp>
        <tr r="E1003" s="7"/>
      </tp>
      <tp>
        <v>-13.5</v>
        <stp/>
        <stp>Market</stp>
        <stp>STOCK</stp>
        <stp>83310.T</stp>
        <stp>前日比</stp>
        <tr r="E1004" s="7"/>
      </tp>
      <tp>
        <v>-2</v>
        <stp/>
        <stp>Market</stp>
        <stp>STOCK</stp>
        <stp>83370.T</stp>
        <stp>前日比</stp>
        <tr r="E1005" s="7"/>
      </tp>
      <tp>
        <v>4</v>
        <stp/>
        <stp>Market</stp>
        <stp>STOCK</stp>
        <stp>83580.T</stp>
        <stp>前日比</stp>
        <tr r="E1006" s="7"/>
      </tp>
      <tp>
        <v>19</v>
        <stp/>
        <stp>Market</stp>
        <stp>STOCK</stp>
        <stp>83770.T</stp>
        <stp>前日比</stp>
        <tr r="E1007" s="7"/>
      </tp>
      <tp>
        <v>2.2000000000000002</v>
        <stp/>
        <stp>Market</stp>
        <stp>STOCK</stp>
        <stp>84100.T</stp>
        <stp>前日比</stp>
        <tr r="E1010" s="7"/>
      </tp>
      <tp>
        <v>-10</v>
        <stp/>
        <stp>Market</stp>
        <stp>STOCK</stp>
        <stp>84160.T</stp>
        <stp>前日比</stp>
        <tr r="E1011" s="7"/>
      </tp>
      <tp>
        <v>118</v>
        <stp/>
        <stp>Market</stp>
        <stp>STOCK</stp>
        <stp>84730.T</stp>
        <stp>前日比</stp>
        <tr r="E1013" s="7"/>
      </tp>
      <tp>
        <v>0</v>
        <stp/>
        <stp>Market</stp>
        <stp>STOCK</stp>
        <stp>84620.T</stp>
        <stp>前日比</stp>
        <tr r="E1012" s="7"/>
      </tp>
      <tp>
        <v>29.5</v>
        <stp/>
        <stp>Market</stp>
        <stp>STOCK</stp>
        <stp>85910.T</stp>
        <stp>前日比</stp>
        <tr r="E1023" s="7"/>
      </tp>
      <tp>
        <v>-3.5</v>
        <stp/>
        <stp>Market</stp>
        <stp>STOCK</stp>
        <stp>85930.T</stp>
        <stp>前日比</stp>
        <tr r="E1024" s="7"/>
      </tp>
      <tp>
        <v>-5</v>
        <stp/>
        <stp>Market</stp>
        <stp>STOCK</stp>
        <stp>85850.T</stp>
        <stp>前日比</stp>
        <tr r="E1022" s="7"/>
      </tp>
      <tp>
        <v>-15</v>
        <stp/>
        <stp>Market</stp>
        <stp>STOCK</stp>
        <stp>85110.T</stp>
        <stp>前日比</stp>
        <tr r="E1015" s="7"/>
      </tp>
      <tp>
        <v>-4</v>
        <stp/>
        <stp>Market</stp>
        <stp>STOCK</stp>
        <stp>85150.T</stp>
        <stp>前日比</stp>
        <tr r="E1016" s="7"/>
      </tp>
      <tp>
        <v>3</v>
        <stp/>
        <stp>Market</stp>
        <stp>STOCK</stp>
        <stp>85180.T</stp>
        <stp>前日比</stp>
        <tr r="E1017" s="7"/>
      </tp>
      <tp>
        <v>1</v>
        <stp/>
        <stp>Market</stp>
        <stp>STOCK</stp>
        <stp>85080.T</stp>
        <stp>前日比</stp>
        <tr r="E1014" s="7"/>
      </tp>
      <tp>
        <v>4</v>
        <stp/>
        <stp>Market</stp>
        <stp>STOCK</stp>
        <stp>85240.T</stp>
        <stp>前日比</stp>
        <tr r="E1018" s="7"/>
      </tp>
      <tp>
        <v>0.5</v>
        <stp/>
        <stp>Market</stp>
        <stp>STOCK</stp>
        <stp>85700.T</stp>
        <stp>前日比</stp>
        <tr r="E1020" s="7"/>
      </tp>
      <tp>
        <v>-14.2</v>
        <stp/>
        <stp>Market</stp>
        <stp>STOCK</stp>
        <stp>85720.T</stp>
        <stp>前日比</stp>
        <tr r="E1021" s="7"/>
      </tp>
      <tp>
        <v>-1</v>
        <stp/>
        <stp>Market</stp>
        <stp>STOCK</stp>
        <stp>85620.T</stp>
        <stp>前日比</stp>
        <tr r="E1019" s="7"/>
      </tp>
      <tp>
        <v>-24</v>
        <stp/>
        <stp>Market</stp>
        <stp>STOCK</stp>
        <stp>86970.T</stp>
        <stp>前日比</stp>
        <tr r="E1035" s="7"/>
      </tp>
      <tp>
        <v>11</v>
        <stp/>
        <stp>Market</stp>
        <stp>STOCK</stp>
        <stp>86980.T</stp>
        <stp>前日比</stp>
        <tr r="E1036" s="7"/>
      </tp>
      <tp>
        <v>-2</v>
        <stp/>
        <stp>Market</stp>
        <stp>STOCK</stp>
        <stp>86130.T</stp>
        <stp>前日比</stp>
        <tr r="E1028" s="7"/>
      </tp>
      <tp>
        <v>-1</v>
        <stp/>
        <stp>Market</stp>
        <stp>STOCK</stp>
        <stp>86140.T</stp>
        <stp>前日比</stp>
        <tr r="E1029" s="7"/>
      </tp>
      <tp>
        <v>-2</v>
        <stp/>
        <stp>Market</stp>
        <stp>STOCK</stp>
        <stp>86170.T</stp>
        <stp>前日比</stp>
        <tr r="E1031" s="7"/>
      </tp>
      <tp>
        <v>1</v>
        <stp/>
        <stp>Market</stp>
        <stp>STOCK</stp>
        <stp>86160.T</stp>
        <stp>前日比</stp>
        <tr r="E1030" s="7"/>
      </tp>
      <tp>
        <v>-7.5</v>
        <stp/>
        <stp>Market</stp>
        <stp>STOCK</stp>
        <stp>86010.T</stp>
        <stp>前日比</stp>
        <tr r="E1025" s="7"/>
      </tp>
      <tp>
        <v>-10.7</v>
        <stp/>
        <stp>Market</stp>
        <stp>STOCK</stp>
        <stp>86040.T</stp>
        <stp>前日比</stp>
        <tr r="E1026" s="7"/>
      </tp>
      <tp>
        <v>3</v>
        <stp/>
        <stp>Market</stp>
        <stp>STOCK</stp>
        <stp>86090.T</stp>
        <stp>前日比</stp>
        <tr r="E1027" s="7"/>
      </tp>
      <tp>
        <v>8</v>
        <stp/>
        <stp>Market</stp>
        <stp>STOCK</stp>
        <stp>86220.T</stp>
        <stp>前日比</stp>
        <tr r="E1032" s="7"/>
      </tp>
      <tp>
        <v>4</v>
        <stp/>
        <stp>Market</stp>
        <stp>STOCK</stp>
        <stp>86240.T</stp>
        <stp>前日比</stp>
        <tr r="E1033" s="7"/>
      </tp>
      <tp>
        <v>-2</v>
        <stp/>
        <stp>Market</stp>
        <stp>STOCK</stp>
        <stp>86280.T</stp>
        <stp>前日比</stp>
        <tr r="E1034" s="7"/>
      </tp>
      <tp t="s">
        <v>表示銘柄数超過</v>
        <stp/>
        <stp>Market</stp>
        <stp>STOCK</stp>
        <stp>87930.T</stp>
        <stp>前日比</stp>
        <tr r="E1049" s="7"/>
      </tp>
      <tp t="s">
        <v>表示銘柄数超過</v>
        <stp/>
        <stp>Market</stp>
        <stp>STOCK</stp>
        <stp>87830.T</stp>
        <stp>前日比</stp>
        <tr r="E1047" s="7"/>
      </tp>
      <tp t="s">
        <v>表示銘柄数超過</v>
        <stp/>
        <stp>Market</stp>
        <stp>STOCK</stp>
        <stp>87890.T</stp>
        <stp>前日比</stp>
        <tr r="E1048" s="7"/>
      </tp>
      <tp>
        <v>0</v>
        <stp/>
        <stp>Market</stp>
        <stp>STOCK</stp>
        <stp>87050.T</stp>
        <stp>前日比</stp>
        <tr r="E1037" s="7"/>
      </tp>
      <tp>
        <v>18</v>
        <stp/>
        <stp>Market</stp>
        <stp>STOCK</stp>
        <stp>87060.T</stp>
        <stp>前日比</stp>
        <tr r="E1038" s="7"/>
      </tp>
      <tp>
        <v>1</v>
        <stp/>
        <stp>Market</stp>
        <stp>STOCK</stp>
        <stp>87080.T</stp>
        <stp>前日比</stp>
        <tr r="E1039" s="7"/>
      </tp>
      <tp>
        <v>-5</v>
        <stp/>
        <stp>Market</stp>
        <stp>STOCK</stp>
        <stp>87320.T</stp>
        <stp>前日比</stp>
        <tr r="E1040" s="7"/>
      </tp>
      <tp>
        <v>0</v>
        <stp/>
        <stp>Market</stp>
        <stp>STOCK</stp>
        <stp>87370.T</stp>
        <stp>前日比</stp>
        <tr r="E1041" s="7"/>
      </tp>
      <tp t="s">
        <v>表示銘柄数超過</v>
        <stp/>
        <stp>Market</stp>
        <stp>STOCK</stp>
        <stp>87500.T</stp>
        <stp>前日比</stp>
        <tr r="E1044" s="7"/>
      </tp>
      <tp>
        <v>3</v>
        <stp/>
        <stp>Market</stp>
        <stp>STOCK</stp>
        <stp>87420.T</stp>
        <stp>前日比</stp>
        <tr r="E1042" s="7"/>
      </tp>
      <tp>
        <v>-2</v>
        <stp/>
        <stp>Market</stp>
        <stp>STOCK</stp>
        <stp>87460.T</stp>
        <stp>前日比</stp>
        <tr r="E1043" s="7"/>
      </tp>
      <tp t="s">
        <v>表示銘柄数超過</v>
        <stp/>
        <stp>Market</stp>
        <stp>STOCK</stp>
        <stp>87660.T</stp>
        <stp>前日比</stp>
        <tr r="E1045" s="7"/>
      </tp>
      <tp t="s">
        <v>表示銘柄数超過</v>
        <stp/>
        <stp>Market</stp>
        <stp>STOCK</stp>
        <stp>87690.T</stp>
        <stp>前日比</stp>
        <tr r="E1046" s="7"/>
      </tp>
      <tp t="s">
        <v>表示銘柄数超過</v>
        <stp/>
        <stp>Market</stp>
        <stp>STOCK</stp>
        <stp>88930.T</stp>
        <stp>前日比</stp>
        <tr r="E1059" s="7"/>
      </tp>
      <tp t="s">
        <v>表示銘柄数超過</v>
        <stp/>
        <stp>Market</stp>
        <stp>STOCK</stp>
        <stp>88940.T</stp>
        <stp>前日比</stp>
        <tr r="E1060" s="7"/>
      </tp>
      <tp t="s">
        <v>表示銘柄数超過</v>
        <stp/>
        <stp>Market</stp>
        <stp>STOCK</stp>
        <stp>88970.T</stp>
        <stp>前日比</stp>
        <tr r="E1061" s="7"/>
      </tp>
      <tp t="s">
        <v>表示銘柄数超過</v>
        <stp/>
        <stp>Market</stp>
        <stp>STOCK</stp>
        <stp>88810.T</stp>
        <stp>前日比</stp>
        <tr r="E1057" s="7"/>
      </tp>
      <tp t="s">
        <v>表示銘柄数超過</v>
        <stp/>
        <stp>Market</stp>
        <stp>STOCK</stp>
        <stp>88870.T</stp>
        <stp>前日比</stp>
        <tr r="E1058" s="7"/>
      </tp>
      <tp t="s">
        <v>表示銘柄数超過</v>
        <stp/>
        <stp>Market</stp>
        <stp>STOCK</stp>
        <stp>88180.T</stp>
        <stp>前日比</stp>
        <tr r="E1053" s="7"/>
      </tp>
      <tp t="s">
        <v>表示銘柄数超過</v>
        <stp/>
        <stp>Market</stp>
        <stp>STOCK</stp>
        <stp>88010.T</stp>
        <stp>前日比</stp>
        <tr r="E1050" s="7"/>
      </tp>
      <tp t="s">
        <v>表示銘柄数超過</v>
        <stp/>
        <stp>Market</stp>
        <stp>STOCK</stp>
        <stp>88020.T</stp>
        <stp>前日比</stp>
        <tr r="E1051" s="7"/>
      </tp>
      <tp t="s">
        <v>表示銘柄数超過</v>
        <stp/>
        <stp>Market</stp>
        <stp>STOCK</stp>
        <stp>88040.T</stp>
        <stp>前日比</stp>
        <tr r="E1052" s="7"/>
      </tp>
      <tp t="s">
        <v>表示銘柄数超過</v>
        <stp/>
        <stp>Market</stp>
        <stp>STOCK</stp>
        <stp>88300.T</stp>
        <stp>前日比</stp>
        <tr r="E1054" s="7"/>
      </tp>
      <tp t="s">
        <v>表示銘柄数超過</v>
        <stp/>
        <stp>Market</stp>
        <stp>STOCK</stp>
        <stp>88410.T</stp>
        <stp>前日比</stp>
        <tr r="E1055" s="7"/>
      </tp>
      <tp t="s">
        <v>表示銘柄数超過</v>
        <stp/>
        <stp>Market</stp>
        <stp>STOCK</stp>
        <stp>88440.T</stp>
        <stp>前日比</stp>
        <tr r="E1056" s="7"/>
      </tp>
      <tp t="s">
        <v>表示銘柄数超過</v>
        <stp/>
        <stp>Market</stp>
        <stp>STOCK</stp>
        <stp>89960.T</stp>
        <stp>前日比</stp>
        <tr r="E1072" s="7"/>
      </tp>
      <tp t="s">
        <v>表示銘柄数超過</v>
        <stp/>
        <stp>Market</stp>
        <stp>STOCK</stp>
        <stp>89120.T</stp>
        <stp>前日比</stp>
        <tr r="E1063" s="7"/>
      </tp>
      <tp t="s">
        <v>表示銘柄数超過</v>
        <stp/>
        <stp>Market</stp>
        <stp>STOCK</stp>
        <stp>89180.T</stp>
        <stp>前日比</stp>
        <tr r="E1064" s="7"/>
      </tp>
      <tp t="s">
        <v>表示銘柄数超過</v>
        <stp/>
        <stp>Market</stp>
        <stp>STOCK</stp>
        <stp>89050.T</stp>
        <stp>前日比</stp>
        <tr r="E1062" s="7"/>
      </tp>
      <tp t="s">
        <v>表示銘柄数超過</v>
        <stp/>
        <stp>Market</stp>
        <stp>STOCK</stp>
        <stp>89380.T</stp>
        <stp>前日比</stp>
        <tr r="E1068" s="7"/>
      </tp>
      <tp t="s">
        <v>表示銘柄数超過</v>
        <stp/>
        <stp>Market</stp>
        <stp>STOCK</stp>
        <stp>89230.T</stp>
        <stp>前日比</stp>
        <tr r="E1065" s="7"/>
      </tp>
      <tp t="s">
        <v>表示銘柄数超過</v>
        <stp/>
        <stp>Market</stp>
        <stp>STOCK</stp>
        <stp>89250.T</stp>
        <stp>前日比</stp>
        <tr r="E1066" s="7"/>
      </tp>
      <tp t="s">
        <v>表示銘柄数超過</v>
        <stp/>
        <stp>Market</stp>
        <stp>STOCK</stp>
        <stp>89270.T</stp>
        <stp>前日比</stp>
        <tr r="E1067" s="7"/>
      </tp>
      <tp t="s">
        <v>表示銘柄数超過</v>
        <stp/>
        <stp>Market</stp>
        <stp>STOCK</stp>
        <stp>89450.T</stp>
        <stp>前日比</stp>
        <tr r="E1070" s="7"/>
      </tp>
      <tp t="s">
        <v>表示銘柄数超過</v>
        <stp/>
        <stp>Market</stp>
        <stp>STOCK</stp>
        <stp>89440.T</stp>
        <stp>前日比</stp>
        <tr r="E1069" s="7"/>
      </tp>
      <tp t="s">
        <v>表示銘柄数超過</v>
        <stp/>
        <stp>Market</stp>
        <stp>STOCK</stp>
        <stp>89460.T</stp>
        <stp>前日比</stp>
        <tr r="E1071" s="7"/>
      </tp>
      <tp>
        <v>1</v>
        <stp/>
        <stp>Market</stp>
        <stp>STOCK</stp>
        <stp>70880.T</stp>
        <stp>前日比</stp>
        <tr r="E824" s="7"/>
      </tp>
      <tp>
        <v>-395</v>
        <stp/>
        <stp>Market</stp>
        <stp>STOCK</stp>
        <stp>70110.T</stp>
        <stp>前日比</stp>
        <tr r="E806" s="7"/>
      </tp>
      <tp>
        <v>-4.5</v>
        <stp/>
        <stp>Market</stp>
        <stp>STOCK</stp>
        <stp>70130.T</stp>
        <stp>前日比</stp>
        <tr r="E808" s="7"/>
      </tp>
      <tp>
        <v>81</v>
        <stp/>
        <stp>Market</stp>
        <stp>STOCK</stp>
        <stp>70120.T</stp>
        <stp>前日比</stp>
        <tr r="E807" s="7"/>
      </tp>
      <tp>
        <v>36</v>
        <stp/>
        <stp>Market</stp>
        <stp>STOCK</stp>
        <stp>70140.T</stp>
        <stp>前日比</stp>
        <tr r="E809" s="7"/>
      </tp>
      <tp>
        <v>4</v>
        <stp/>
        <stp>Market</stp>
        <stp>STOCK</stp>
        <stp>70030.T</stp>
        <stp>前日比</stp>
        <tr r="E804" s="7"/>
      </tp>
      <tp>
        <v>21</v>
        <stp/>
        <stp>Market</stp>
        <stp>STOCK</stp>
        <stp>70040.T</stp>
        <stp>前日比</stp>
        <tr r="E805" s="7"/>
      </tp>
      <tp>
        <v>-10</v>
        <stp/>
        <stp>Market</stp>
        <stp>STOCK</stp>
        <stp>70310.T</stp>
        <stp>前日比</stp>
        <tr r="E810" s="7"/>
      </tp>
      <tp>
        <v>-3</v>
        <stp/>
        <stp>Market</stp>
        <stp>STOCK</stp>
        <stp>70370.T</stp>
        <stp>前日比</stp>
        <tr r="E811" s="7"/>
      </tp>
      <tp>
        <v>-11</v>
        <stp/>
        <stp>Market</stp>
        <stp>STOCK</stp>
        <stp>70590.T</stp>
        <stp>前日比</stp>
        <tr r="E818" s="7"/>
      </tp>
      <tp>
        <v>4</v>
        <stp/>
        <stp>Market</stp>
        <stp>STOCK</stp>
        <stp>70410.T</stp>
        <stp>前日比</stp>
        <tr r="E812" s="7"/>
      </tp>
      <tp>
        <v>-44</v>
        <stp/>
        <stp>Market</stp>
        <stp>STOCK</stp>
        <stp>70430.T</stp>
        <stp>前日比</stp>
        <tr r="E813" s="7"/>
      </tp>
      <tp>
        <v>-8</v>
        <stp/>
        <stp>Market</stp>
        <stp>STOCK</stp>
        <stp>70440.T</stp>
        <stp>前日比</stp>
        <tr r="E814" s="7"/>
      </tp>
      <tp>
        <v>-29</v>
        <stp/>
        <stp>Market</stp>
        <stp>STOCK</stp>
        <stp>70470.T</stp>
        <stp>前日比</stp>
        <tr r="E815" s="7"/>
      </tp>
      <tp>
        <v>0</v>
        <stp/>
        <stp>Market</stp>
        <stp>STOCK</stp>
        <stp>70490.T</stp>
        <stp>前日比</stp>
        <tr r="E817" s="7"/>
      </tp>
      <tp>
        <v>2</v>
        <stp/>
        <stp>Market</stp>
        <stp>STOCK</stp>
        <stp>70480.T</stp>
        <stp>前日比</stp>
        <tr r="E816" s="7"/>
      </tp>
      <tp>
        <v>0</v>
        <stp/>
        <stp>Market</stp>
        <stp>STOCK</stp>
        <stp>70740.T</stp>
        <stp>前日比</stp>
        <tr r="E823" s="7"/>
      </tp>
      <tp>
        <v>-9</v>
        <stp/>
        <stp>Market</stp>
        <stp>STOCK</stp>
        <stp>70600.T</stp>
        <stp>前日比</stp>
        <tr r="E819" s="7"/>
      </tp>
      <tp>
        <v>-3</v>
        <stp/>
        <stp>Market</stp>
        <stp>STOCK</stp>
        <stp>70630.T</stp>
        <stp>前日比</stp>
        <tr r="E821" s="7"/>
      </tp>
      <tp>
        <v>5</v>
        <stp/>
        <stp>Market</stp>
        <stp>STOCK</stp>
        <stp>70620.T</stp>
        <stp>前日比</stp>
        <tr r="E820" s="7"/>
      </tp>
      <tp>
        <v>41</v>
        <stp/>
        <stp>Market</stp>
        <stp>STOCK</stp>
        <stp>70680.T</stp>
        <stp>前日比</stp>
        <tr r="E822" s="7"/>
      </tp>
      <tp>
        <v>-9</v>
        <stp/>
        <stp>Market</stp>
        <stp>STOCK</stp>
        <stp>71960.T</stp>
        <stp>前日比</stp>
        <tr r="E843" s="7"/>
      </tp>
      <tp>
        <v>-0.4</v>
        <stp/>
        <stp>Market</stp>
        <stp>STOCK</stp>
        <stp>71800.T</stp>
        <stp>前日比</stp>
        <tr r="E838" s="7"/>
      </tp>
      <tp>
        <v>0</v>
        <stp/>
        <stp>Market</stp>
        <stp>STOCK</stp>
        <stp>71830.T</stp>
        <stp>前日比</stp>
        <tr r="E840" s="7"/>
      </tp>
      <tp>
        <v>-2.5</v>
        <stp/>
        <stp>Market</stp>
        <stp>STOCK</stp>
        <stp>71820.T</stp>
        <stp>前日比</stp>
        <tr r="E839" s="7"/>
      </tp>
      <tp>
        <v>-10</v>
        <stp/>
        <stp>Market</stp>
        <stp>STOCK</stp>
        <stp>71840.T</stp>
        <stp>前日比</stp>
        <tr r="E841" s="7"/>
      </tp>
      <tp>
        <v>9.1</v>
        <stp/>
        <stp>Market</stp>
        <stp>STOCK</stp>
        <stp>71860.T</stp>
        <stp>前日比</stp>
        <tr r="E842" s="7"/>
      </tp>
      <tp>
        <v>-3</v>
        <stp/>
        <stp>Market</stp>
        <stp>STOCK</stp>
        <stp>71110.T</stp>
        <stp>前日比</stp>
        <tr r="E826" s="7"/>
      </tp>
      <tp>
        <v>-38</v>
        <stp/>
        <stp>Market</stp>
        <stp>STOCK</stp>
        <stp>71160.T</stp>
        <stp>前日比</stp>
        <tr r="E827" s="7"/>
      </tp>
      <tp>
        <v>31</v>
        <stp/>
        <stp>Market</stp>
        <stp>STOCK</stp>
        <stp>71020.T</stp>
        <stp>前日比</stp>
        <tr r="E825" s="7"/>
      </tp>
      <tp>
        <v>0</v>
        <stp/>
        <stp>Market</stp>
        <stp>STOCK</stp>
        <stp>71350.T</stp>
        <stp>前日比</stp>
        <tr r="E829" s="7"/>
      </tp>
      <tp>
        <v>-14</v>
        <stp/>
        <stp>Market</stp>
        <stp>STOCK</stp>
        <stp>71220.T</stp>
        <stp>前日比</stp>
        <tr r="E828" s="7"/>
      </tp>
      <tp>
        <v>-2</v>
        <stp/>
        <stp>Market</stp>
        <stp>STOCK</stp>
        <stp>71500.T</stp>
        <stp>前日比</stp>
        <tr r="E831" s="7"/>
      </tp>
      <tp>
        <v>20</v>
        <stp/>
        <stp>Market</stp>
        <stp>STOCK</stp>
        <stp>71480.T</stp>
        <stp>前日比</stp>
        <tr r="E830" s="7"/>
      </tp>
      <tp>
        <v>15</v>
        <stp/>
        <stp>Market</stp>
        <stp>STOCK</stp>
        <stp>71720.T</stp>
        <stp>前日比</stp>
        <tr r="E835" s="7"/>
      </tp>
      <tp>
        <v>-6</v>
        <stp/>
        <stp>Market</stp>
        <stp>STOCK</stp>
        <stp>71750.T</stp>
        <stp>前日比</stp>
        <tr r="E836" s="7"/>
      </tp>
      <tp>
        <v>-19</v>
        <stp/>
        <stp>Market</stp>
        <stp>STOCK</stp>
        <stp>71770.T</stp>
        <stp>前日比</stp>
        <tr r="E837" s="7"/>
      </tp>
      <tp>
        <v>24</v>
        <stp/>
        <stp>Market</stp>
        <stp>STOCK</stp>
        <stp>71610.T</stp>
        <stp>前日比</stp>
        <tr r="E832" s="7"/>
      </tp>
      <tp>
        <v>5</v>
        <stp/>
        <stp>Market</stp>
        <stp>STOCK</stp>
        <stp>71630.T</stp>
        <stp>前日比</stp>
        <tr r="E833" s="7"/>
      </tp>
      <tp>
        <v>-0.6</v>
        <stp/>
        <stp>Market</stp>
        <stp>STOCK</stp>
        <stp>71670.T</stp>
        <stp>前日比</stp>
        <tr r="E834" s="7"/>
      </tp>
      <tp>
        <v>17</v>
        <stp/>
        <stp>Market</stp>
        <stp>STOCK</stp>
        <stp>72910.T</stp>
        <stp>前日比</stp>
        <tr r="E871" s="7"/>
      </tp>
      <tp>
        <v>12</v>
        <stp/>
        <stp>Market</stp>
        <stp>STOCK</stp>
        <stp>72940.T</stp>
        <stp>前日比</stp>
        <tr r="E872" s="7"/>
      </tp>
      <tp t="s">
        <v/>
        <stp/>
        <stp>Market</stp>
        <stp>STOCK</stp>
        <stp>72980.T</stp>
        <stp>前日比</stp>
        <tr r="E873" s="7"/>
      </tp>
      <tp>
        <v>31</v>
        <stp/>
        <stp>Market</stp>
        <stp>STOCK</stp>
        <stp>72800.T</stp>
        <stp>前日比</stp>
        <tr r="E869" s="7"/>
      </tp>
      <tp>
        <v>47</v>
        <stp/>
        <stp>Market</stp>
        <stp>STOCK</stp>
        <stp>72830.T</stp>
        <stp>前日比</stp>
        <tr r="E870" s="7"/>
      </tp>
      <tp>
        <v>7.7</v>
        <stp/>
        <stp>Market</stp>
        <stp>STOCK</stp>
        <stp>72110.T</stp>
        <stp>前日比</stp>
        <tr r="E848" s="7"/>
      </tp>
      <tp>
        <v>-15</v>
        <stp/>
        <stp>Market</stp>
        <stp>STOCK</stp>
        <stp>72130.T</stp>
        <stp>前日比</stp>
        <tr r="E850" s="7"/>
      </tp>
      <tp>
        <v>20</v>
        <stp/>
        <stp>Market</stp>
        <stp>STOCK</stp>
        <stp>72120.T</stp>
        <stp>前日比</stp>
        <tr r="E849" s="7"/>
      </tp>
      <tp>
        <v>3</v>
        <stp/>
        <stp>Market</stp>
        <stp>STOCK</stp>
        <stp>72140.T</stp>
        <stp>前日比</stp>
        <tr r="E851" s="7"/>
      </tp>
      <tp>
        <v>16.899999999999999</v>
        <stp/>
        <stp>Market</stp>
        <stp>STOCK</stp>
        <stp>72010.T</stp>
        <stp>前日比</stp>
        <tr r="E844" s="7"/>
      </tp>
      <tp>
        <v>125</v>
        <stp/>
        <stp>Market</stp>
        <stp>STOCK</stp>
        <stp>72030.T</stp>
        <stp>前日比</stp>
        <tr r="E846" s="7"/>
      </tp>
      <tp>
        <v>29</v>
        <stp/>
        <stp>Market</stp>
        <stp>STOCK</stp>
        <stp>72020.T</stp>
        <stp>前日比</stp>
        <tr r="E845" s="7"/>
      </tp>
      <tp>
        <v>1.5</v>
        <stp/>
        <stp>Market</stp>
        <stp>STOCK</stp>
        <stp>72050.T</stp>
        <stp>前日比</stp>
        <tr r="E847" s="7"/>
      </tp>
      <tp>
        <v>16</v>
        <stp/>
        <stp>Market</stp>
        <stp>STOCK</stp>
        <stp>72350.T</stp>
        <stp>前日比</stp>
        <tr r="E854" s="7"/>
      </tp>
      <tp>
        <v>80</v>
        <stp/>
        <stp>Market</stp>
        <stp>STOCK</stp>
        <stp>72360.T</stp>
        <stp>前日比</stp>
        <tr r="E855" s="7"/>
      </tp>
      <tp>
        <v>1</v>
        <stp/>
        <stp>Market</stp>
        <stp>STOCK</stp>
        <stp>72380.T</stp>
        <stp>前日比</stp>
        <tr r="E856" s="7"/>
      </tp>
      <tp>
        <v>-17</v>
        <stp/>
        <stp>Market</stp>
        <stp>STOCK</stp>
        <stp>72220.T</stp>
        <stp>前日比</stp>
        <tr r="E852" s="7"/>
      </tp>
      <tp>
        <v>21</v>
        <stp/>
        <stp>Market</stp>
        <stp>STOCK</stp>
        <stp>72290.T</stp>
        <stp>前日比</stp>
        <tr r="E853" s="7"/>
      </tp>
      <tp>
        <v>6</v>
        <stp/>
        <stp>Market</stp>
        <stp>STOCK</stp>
        <stp>72540.T</stp>
        <stp>前日比</stp>
        <tr r="E861" s="7"/>
      </tp>
      <tp>
        <v>3</v>
        <stp/>
        <stp>Market</stp>
        <stp>STOCK</stp>
        <stp>72560.T</stp>
        <stp>前日比</stp>
        <tr r="E862" s="7"/>
      </tp>
      <tp>
        <v>-22</v>
        <stp/>
        <stp>Market</stp>
        <stp>STOCK</stp>
        <stp>72400.T</stp>
        <stp>前日比</stp>
        <tr r="E857" s="7"/>
      </tp>
      <tp>
        <v>14</v>
        <stp/>
        <stp>Market</stp>
        <stp>STOCK</stp>
        <stp>72450.T</stp>
        <stp>前日比</stp>
        <tr r="E858" s="7"/>
      </tp>
      <tp>
        <v>10</v>
        <stp/>
        <stp>Market</stp>
        <stp>STOCK</stp>
        <stp>72470.T</stp>
        <stp>前日比</stp>
        <tr r="E860" s="7"/>
      </tp>
      <tp>
        <v>13</v>
        <stp/>
        <stp>Market</stp>
        <stp>STOCK</stp>
        <stp>72460.T</stp>
        <stp>前日比</stp>
        <tr r="E859" s="7"/>
      </tp>
      <tp>
        <v>67</v>
        <stp/>
        <stp>Market</stp>
        <stp>STOCK</stp>
        <stp>72700.T</stp>
        <stp>前日比</stp>
        <tr r="E867" s="7"/>
      </tp>
      <tp>
        <v>7.5</v>
        <stp/>
        <stp>Market</stp>
        <stp>STOCK</stp>
        <stp>72720.T</stp>
        <stp>前日比</stp>
        <tr r="E868" s="7"/>
      </tp>
      <tp>
        <v>40.5</v>
        <stp/>
        <stp>Market</stp>
        <stp>STOCK</stp>
        <stp>72610.T</stp>
        <stp>前日比</stp>
        <tr r="E863" s="7"/>
      </tp>
      <tp>
        <v>19.5</v>
        <stp/>
        <stp>Market</stp>
        <stp>STOCK</stp>
        <stp>72670.T</stp>
        <stp>前日比</stp>
        <tr r="E864" s="7"/>
      </tp>
      <tp>
        <v>169</v>
        <stp/>
        <stp>Market</stp>
        <stp>STOCK</stp>
        <stp>72690.T</stp>
        <stp>前日比</stp>
        <tr r="E866" s="7"/>
      </tp>
      <tp>
        <v>4</v>
        <stp/>
        <stp>Market</stp>
        <stp>STOCK</stp>
        <stp>72680.T</stp>
        <stp>前日比</stp>
        <tr r="E865" s="7"/>
      </tp>
      <tp>
        <v>-5</v>
        <stp/>
        <stp>Market</stp>
        <stp>STOCK</stp>
        <stp>73830.T</stp>
        <stp>前日比</stp>
        <tr r="E884" s="7"/>
      </tp>
      <tp>
        <v>-14</v>
        <stp/>
        <stp>Market</stp>
        <stp>STOCK</stp>
        <stp>73840.T</stp>
        <stp>前日比</stp>
        <tr r="E885" s="7"/>
      </tp>
      <tp>
        <v>-18</v>
        <stp/>
        <stp>Market</stp>
        <stp>STOCK</stp>
        <stp>73170.T</stp>
        <stp>前日比</stp>
        <tr r="E874" s="7"/>
      </tp>
      <tp>
        <v>0</v>
        <stp/>
        <stp>Market</stp>
        <stp>STOCK</stp>
        <stp>73370.T</stp>
        <stp>前日比</stp>
        <tr r="E875" s="7"/>
      </tp>
      <tp>
        <v>-9</v>
        <stp/>
        <stp>Market</stp>
        <stp>STOCK</stp>
        <stp>73510.T</stp>
        <stp>前日比</stp>
        <tr r="E878" s="7"/>
      </tp>
      <tp>
        <v>3</v>
        <stp/>
        <stp>Market</stp>
        <stp>STOCK</stp>
        <stp>73500.T</stp>
        <stp>前日比</stp>
        <tr r="E877" s="7"/>
      </tp>
      <tp>
        <v>2</v>
        <stp/>
        <stp>Market</stp>
        <stp>STOCK</stp>
        <stp>73530.T</stp>
        <stp>前日比</stp>
        <tr r="E879" s="7"/>
      </tp>
      <tp>
        <v>-21</v>
        <stp/>
        <stp>Market</stp>
        <stp>STOCK</stp>
        <stp>73590.T</stp>
        <stp>前日比</stp>
        <tr r="E880" s="7"/>
      </tp>
      <tp>
        <v>4</v>
        <stp/>
        <stp>Market</stp>
        <stp>STOCK</stp>
        <stp>73420.T</stp>
        <stp>前日比</stp>
        <tr r="E876" s="7"/>
      </tp>
      <tp>
        <v>-7</v>
        <stp/>
        <stp>Market</stp>
        <stp>STOCK</stp>
        <stp>73710.T</stp>
        <stp>前日比</stp>
        <tr r="E882" s="7"/>
      </tp>
      <tp>
        <v>-13</v>
        <stp/>
        <stp>Market</stp>
        <stp>STOCK</stp>
        <stp>73700.T</stp>
        <stp>前日比</stp>
        <tr r="E881" s="7"/>
      </tp>
      <tp>
        <v>-49</v>
        <stp/>
        <stp>Market</stp>
        <stp>STOCK</stp>
        <stp>73790.T</stp>
        <stp>前日比</stp>
        <tr r="E883" s="7"/>
      </tp>
      <tp>
        <v>4</v>
        <stp/>
        <stp>Market</stp>
        <stp>STOCK</stp>
        <stp>74940.T</stp>
        <stp>前日比</stp>
        <tr r="E894" s="7"/>
      </tp>
      <tp>
        <v>-26</v>
        <stp/>
        <stp>Market</stp>
        <stp>STOCK</stp>
        <stp>74810.T</stp>
        <stp>前日比</stp>
        <tr r="E893" s="7"/>
      </tp>
      <tp>
        <v>13</v>
        <stp/>
        <stp>Market</stp>
        <stp>STOCK</stp>
        <stp>74190.T</stp>
        <stp>前日比</stp>
        <tr r="E887" s="7"/>
      </tp>
      <tp>
        <v>-18</v>
        <stp/>
        <stp>Market</stp>
        <stp>STOCK</stp>
        <stp>74080.T</stp>
        <stp>前日比</stp>
        <tr r="E886" s="7"/>
      </tp>
      <tp>
        <v>-21</v>
        <stp/>
        <stp>Market</stp>
        <stp>STOCK</stp>
        <stp>74200.T</stp>
        <stp>前日比</stp>
        <tr r="E888" s="7"/>
      </tp>
      <tp>
        <v>16.5</v>
        <stp/>
        <stp>Market</stp>
        <stp>STOCK</stp>
        <stp>74530.T</stp>
        <stp>前日比</stp>
        <tr r="E890" s="7"/>
      </tp>
      <tp>
        <v>-31</v>
        <stp/>
        <stp>Market</stp>
        <stp>STOCK</stp>
        <stp>74550.T</stp>
        <stp>前日比</stp>
        <tr r="E891" s="7"/>
      </tp>
      <tp>
        <v>42</v>
        <stp/>
        <stp>Market</stp>
        <stp>STOCK</stp>
        <stp>74590.T</stp>
        <stp>前日比</stp>
        <tr r="E892" s="7"/>
      </tp>
      <tp>
        <v>0</v>
        <stp/>
        <stp>Market</stp>
        <stp>STOCK</stp>
        <stp>74450.T</stp>
        <stp>前日比</stp>
        <tr r="E889" s="7"/>
      </tp>
      <tp>
        <v>-3</v>
        <stp/>
        <stp>Market</stp>
        <stp>STOCK</stp>
        <stp>75900.T</stp>
        <stp>前日比</stp>
        <tr r="E907" s="7"/>
      </tp>
      <tp t="s">
        <v>表示銘柄数超過</v>
        <stp/>
        <stp>Market</stp>
        <stp>STOCK</stp>
        <stp>25935.T</stp>
        <stp>前日比</stp>
        <tr r="E167" s="7"/>
      </tp>
      <tp>
        <v>1</v>
        <stp/>
        <stp>Market</stp>
        <stp>STOCK</stp>
        <stp>75930.T</stp>
        <stp>前日比</stp>
        <tr r="E908" s="7"/>
      </tp>
      <tp>
        <v>-2</v>
        <stp/>
        <stp>Market</stp>
        <stp>STOCK</stp>
        <stp>75850.T</stp>
        <stp>前日比</stp>
        <tr r="E906" s="7"/>
      </tp>
      <tp>
        <v>-13</v>
        <stp/>
        <stp>Market</stp>
        <stp>STOCK</stp>
        <stp>75130.T</stp>
        <stp>前日比</stp>
        <tr r="E897" s="7"/>
      </tp>
      <tp>
        <v>1</v>
        <stp/>
        <stp>Market</stp>
        <stp>STOCK</stp>
        <stp>75120.T</stp>
        <stp>前日比</stp>
        <tr r="E896" s="7"/>
      </tp>
      <tp>
        <v>-3</v>
        <stp/>
        <stp>Market</stp>
        <stp>STOCK</stp>
        <stp>75140.T</stp>
        <stp>前日比</stp>
        <tr r="E898" s="7"/>
      </tp>
      <tp>
        <v>20</v>
        <stp/>
        <stp>Market</stp>
        <stp>STOCK</stp>
        <stp>75160.T</stp>
        <stp>前日比</stp>
        <tr r="E899" s="7"/>
      </tp>
      <tp>
        <v>-9</v>
        <stp/>
        <stp>Market</stp>
        <stp>STOCK</stp>
        <stp>75050.T</stp>
        <stp>前日比</stp>
        <tr r="E895" s="7"/>
      </tp>
      <tp>
        <v>11</v>
        <stp/>
        <stp>Market</stp>
        <stp>STOCK</stp>
        <stp>75380.T</stp>
        <stp>前日比</stp>
        <tr r="E902" s="7"/>
      </tp>
      <tp>
        <v>-14</v>
        <stp/>
        <stp>Market</stp>
        <stp>STOCK</stp>
        <stp>75230.T</stp>
        <stp>前日比</stp>
        <tr r="E900" s="7"/>
      </tp>
      <tp>
        <v>0</v>
        <stp/>
        <stp>Market</stp>
        <stp>STOCK</stp>
        <stp>75270.T</stp>
        <stp>前日比</stp>
        <tr r="E901" s="7"/>
      </tp>
      <tp>
        <v>30</v>
        <stp/>
        <stp>Market</stp>
        <stp>STOCK</stp>
        <stp>75440.T</stp>
        <stp>前日比</stp>
        <tr r="E903" s="7"/>
      </tp>
      <tp>
        <v>5</v>
        <stp/>
        <stp>Market</stp>
        <stp>STOCK</stp>
        <stp>75780.T</stp>
        <stp>前日比</stp>
        <tr r="E905" s="7"/>
      </tp>
      <tp>
        <v>-1</v>
        <stp/>
        <stp>Market</stp>
        <stp>STOCK</stp>
        <stp>75670.T</stp>
        <stp>前日比</stp>
        <tr r="E904" s="7"/>
      </tp>
      <tp>
        <v>-2</v>
        <stp/>
        <stp>Market</stp>
        <stp>STOCK</stp>
        <stp>76920.T</stp>
        <stp>前日比</stp>
        <tr r="E920" s="7"/>
      </tp>
      <tp>
        <v>0</v>
        <stp/>
        <stp>Market</stp>
        <stp>STOCK</stp>
        <stp>76100.T</stp>
        <stp>前日比</stp>
        <tr r="E912" s="7"/>
      </tp>
      <tp>
        <v>0</v>
        <stp/>
        <stp>Market</stp>
        <stp>STOCK</stp>
        <stp>76150.T</stp>
        <stp>前日比</stp>
        <tr r="E913" s="7"/>
      </tp>
      <tp>
        <v>-1</v>
        <stp/>
        <stp>Market</stp>
        <stp>STOCK</stp>
        <stp>76010.T</stp>
        <stp>前日比</stp>
        <tr r="E909" s="7"/>
      </tp>
      <tp>
        <v>1</v>
        <stp/>
        <stp>Market</stp>
        <stp>STOCK</stp>
        <stp>76020.T</stp>
        <stp>前日比</stp>
        <tr r="E910" s="7"/>
      </tp>
      <tp>
        <v>21</v>
        <stp/>
        <stp>Market</stp>
        <stp>STOCK</stp>
        <stp>76050.T</stp>
        <stp>前日比</stp>
        <tr r="E911" s="7"/>
      </tp>
      <tp>
        <v>-7</v>
        <stp/>
        <stp>Market</stp>
        <stp>STOCK</stp>
        <stp>76230.T</stp>
        <stp>前日比</stp>
        <tr r="E915" s="7"/>
      </tp>
      <tp>
        <v>-2</v>
        <stp/>
        <stp>Market</stp>
        <stp>STOCK</stp>
        <stp>76240.T</stp>
        <stp>前日比</stp>
        <tr r="E916" s="7"/>
      </tp>
      <tp>
        <v>-1</v>
        <stp/>
        <stp>Market</stp>
        <stp>STOCK</stp>
        <stp>76400.T</stp>
        <stp>前日比</stp>
        <tr r="E917" s="7"/>
      </tp>
      <tp>
        <v>0</v>
        <stp/>
        <stp>Market</stp>
        <stp>STOCK</stp>
        <stp>76470.T</stp>
        <stp>前日比</stp>
        <tr r="E918" s="7"/>
      </tp>
      <tp>
        <v>12</v>
        <stp/>
        <stp>Market</stp>
        <stp>STOCK</stp>
        <stp>76760.T</stp>
        <stp>前日比</stp>
        <tr r="E919" s="7"/>
      </tp>
      <tp>
        <v>-14</v>
        <stp/>
        <stp>Market</stp>
        <stp>STOCK</stp>
        <stp>77920.T</stp>
        <stp>前日比</stp>
        <tr r="E935" s="7"/>
      </tp>
      <tp>
        <v>4</v>
        <stp/>
        <stp>Market</stp>
        <stp>STOCK</stp>
        <stp>77950.T</stp>
        <stp>前日比</stp>
        <tr r="E937" s="7"/>
      </tp>
      <tp>
        <v>-35</v>
        <stp/>
        <stp>Market</stp>
        <stp>STOCK</stp>
        <stp>77940.T</stp>
        <stp>前日比</stp>
        <tr r="E936" s="7"/>
      </tp>
      <tp>
        <v>-5</v>
        <stp/>
        <stp>Market</stp>
        <stp>STOCK</stp>
        <stp>77190.T</stp>
        <stp>前日比</stp>
        <tr r="E922" s="7"/>
      </tp>
      <tp>
        <v>0</v>
        <stp/>
        <stp>Market</stp>
        <stp>STOCK</stp>
        <stp>77090.T</stp>
        <stp>前日比</stp>
        <tr r="E921" s="7"/>
      </tp>
      <tp>
        <v>-26</v>
        <stp/>
        <stp>Market</stp>
        <stp>STOCK</stp>
        <stp>77320.T</stp>
        <stp>前日比</stp>
        <tr r="E925" s="7"/>
      </tp>
      <tp>
        <v>-40</v>
        <stp/>
        <stp>Market</stp>
        <stp>STOCK</stp>
        <stp>77390.T</stp>
        <stp>前日比</stp>
        <tr r="E926" s="7"/>
      </tp>
      <tp>
        <v>0</v>
        <stp/>
        <stp>Market</stp>
        <stp>STOCK</stp>
        <stp>77220.T</stp>
        <stp>前日比</stp>
        <tr r="E923" s="7"/>
      </tp>
      <tp>
        <v>2</v>
        <stp/>
        <stp>Market</stp>
        <stp>STOCK</stp>
        <stp>77250.T</stp>
        <stp>前日比</stp>
        <tr r="E924" s="7"/>
      </tp>
      <tp>
        <v>89</v>
        <stp/>
        <stp>Market</stp>
        <stp>STOCK</stp>
        <stp>77510.T</stp>
        <stp>前日比</stp>
        <tr r="E928" s="7"/>
      </tp>
      <tp>
        <v>79</v>
        <stp/>
        <stp>Market</stp>
        <stp>STOCK</stp>
        <stp>77520.T</stp>
        <stp>前日比</stp>
        <tr r="E929" s="7"/>
      </tp>
      <tp>
        <v>12</v>
        <stp/>
        <stp>Market</stp>
        <stp>STOCK</stp>
        <stp>77450.T</stp>
        <stp>前日比</stp>
        <tr r="E927" s="7"/>
      </tp>
      <tp>
        <v>0</v>
        <stp/>
        <stp>Market</stp>
        <stp>STOCK</stp>
        <stp>77710.T</stp>
        <stp>前日比</stp>
        <tr r="E931" s="7"/>
      </tp>
      <tp>
        <v>-1</v>
        <stp/>
        <stp>Market</stp>
        <stp>STOCK</stp>
        <stp>77770.T</stp>
        <stp>前日比</stp>
        <tr r="E933" s="7"/>
      </tp>
      <tp>
        <v>-3</v>
        <stp/>
        <stp>Market</stp>
        <stp>STOCK</stp>
        <stp>77760.T</stp>
        <stp>前日比</stp>
        <tr r="E932" s="7"/>
      </tp>
      <tp>
        <v>-1</v>
        <stp/>
        <stp>Market</stp>
        <stp>STOCK</stp>
        <stp>77790.T</stp>
        <stp>前日比</stp>
        <tr r="E934" s="7"/>
      </tp>
      <tp>
        <v>17</v>
        <stp/>
        <stp>Market</stp>
        <stp>STOCK</stp>
        <stp>77620.T</stp>
        <stp>前日比</stp>
        <tr r="E930" s="7"/>
      </tp>
      <tp>
        <v>1</v>
        <stp/>
        <stp>Market</stp>
        <stp>STOCK</stp>
        <stp>78970.T</stp>
        <stp>前日比</stp>
        <tr r="E952" s="7"/>
      </tp>
      <tp>
        <v>9</v>
        <stp/>
        <stp>Market</stp>
        <stp>STOCK</stp>
        <stp>78880.T</stp>
        <stp>前日比</stp>
        <tr r="E951" s="7"/>
      </tp>
      <tp>
        <v>-4</v>
        <stp/>
        <stp>Market</stp>
        <stp>STOCK</stp>
        <stp>78140.T</stp>
        <stp>前日比</stp>
        <tr r="E940" s="7"/>
      </tp>
      <tp>
        <v>0</v>
        <stp/>
        <stp>Market</stp>
        <stp>STOCK</stp>
        <stp>78000.T</stp>
        <stp>前日比</stp>
        <tr r="E938" s="7"/>
      </tp>
      <tp>
        <v>-1</v>
        <stp/>
        <stp>Market</stp>
        <stp>STOCK</stp>
        <stp>78050.T</stp>
        <stp>前日比</stp>
        <tr r="E939" s="7"/>
      </tp>
      <tp>
        <v>5</v>
        <stp/>
        <stp>Market</stp>
        <stp>STOCK</stp>
        <stp>78370.T</stp>
        <stp>前日比</stp>
        <tr r="E944" s="7"/>
      </tp>
      <tp>
        <v>-1</v>
        <stp/>
        <stp>Market</stp>
        <stp>STOCK</stp>
        <stp>78360.T</stp>
        <stp>前日比</stp>
        <tr r="E943" s="7"/>
      </tp>
      <tp>
        <v>-2</v>
        <stp/>
        <stp>Market</stp>
        <stp>STOCK</stp>
        <stp>78230.T</stp>
        <stp>前日比</stp>
        <tr r="E941" s="7"/>
      </tp>
      <tp>
        <v>2</v>
        <stp/>
        <stp>Market</stp>
        <stp>STOCK</stp>
        <stp>78290.T</stp>
        <stp>前日比</stp>
        <tr r="E942" s="7"/>
      </tp>
      <tp>
        <v>1</v>
        <stp/>
        <stp>Market</stp>
        <stp>STOCK</stp>
        <stp>78510.T</stp>
        <stp>前日比</stp>
        <tr r="E946" s="7"/>
      </tp>
      <tp>
        <v>-11</v>
        <stp/>
        <stp>Market</stp>
        <stp>STOCK</stp>
        <stp>78560.T</stp>
        <stp>前日比</stp>
        <tr r="E947" s="7"/>
      </tp>
      <tp>
        <v>196</v>
        <stp/>
        <stp>Market</stp>
        <stp>STOCK</stp>
        <stp>78590.T</stp>
        <stp>前日比</stp>
        <tr r="E948" s="7"/>
      </tp>
      <tp>
        <v>-8</v>
        <stp/>
        <stp>Market</stp>
        <stp>STOCK</stp>
        <stp>78440.T</stp>
        <stp>前日比</stp>
        <tr r="E945" s="7"/>
      </tp>
      <tp>
        <v>-63.5</v>
        <stp/>
        <stp>Market</stp>
        <stp>STOCK</stp>
        <stp>78670.T</stp>
        <stp>前日比</stp>
        <tr r="E949" s="7"/>
      </tp>
      <tp>
        <v>3</v>
        <stp/>
        <stp>Market</stp>
        <stp>STOCK</stp>
        <stp>78680.T</stp>
        <stp>前日比</stp>
        <tr r="E950" s="7"/>
      </tp>
      <tp>
        <v>-9</v>
        <stp/>
        <stp>Market</stp>
        <stp>STOCK</stp>
        <stp>79970.T</stp>
        <stp>前日比</stp>
        <tr r="E963" s="7"/>
      </tp>
      <tp>
        <v>-36</v>
        <stp/>
        <stp>Market</stp>
        <stp>STOCK</stp>
        <stp>79110.T</stp>
        <stp>前日比</stp>
        <tr r="E954" s="7"/>
      </tp>
      <tp>
        <v>-1</v>
        <stp/>
        <stp>Market</stp>
        <stp>STOCK</stp>
        <stp>79190.T</stp>
        <stp>前日比</stp>
        <tr r="E956" s="7"/>
      </tp>
      <tp>
        <v>-6</v>
        <stp/>
        <stp>Market</stp>
        <stp>STOCK</stp>
        <stp>79180.T</stp>
        <stp>前日比</stp>
        <tr r="E955" s="7"/>
      </tp>
      <tp>
        <v>-1</v>
        <stp/>
        <stp>Market</stp>
        <stp>STOCK</stp>
        <stp>79080.T</stp>
        <stp>前日比</stp>
        <tr r="E953" s="7"/>
      </tp>
      <tp>
        <v>-1</v>
        <stp/>
        <stp>Market</stp>
        <stp>STOCK</stp>
        <stp>79530.T</stp>
        <stp>前日比</stp>
        <tr r="E958" s="7"/>
      </tp>
      <tp>
        <v>27</v>
        <stp/>
        <stp>Market</stp>
        <stp>STOCK</stp>
        <stp>79550.T</stp>
        <stp>前日比</stp>
        <tr r="E959" s="7"/>
      </tp>
      <tp>
        <v>-5</v>
        <stp/>
        <stp>Market</stp>
        <stp>STOCK</stp>
        <stp>79400.T</stp>
        <stp>前日比</stp>
        <tr r="E957" s="7"/>
      </tp>
      <tp>
        <v>8</v>
        <stp/>
        <stp>Market</stp>
        <stp>STOCK</stp>
        <stp>79710.T</stp>
        <stp>前日比</stp>
        <tr r="E960" s="7"/>
      </tp>
      <tp>
        <v>23</v>
        <stp/>
        <stp>Market</stp>
        <stp>STOCK</stp>
        <stp>79720.T</stp>
        <stp>前日比</stp>
        <tr r="E961" s="7"/>
      </tp>
      <tp>
        <v>-7</v>
        <stp/>
        <stp>Market</stp>
        <stp>STOCK</stp>
        <stp>79740.T</stp>
        <stp>前日比</stp>
        <tr r="E962" s="7"/>
      </tp>
    </main>
    <main first="rtdsrv.662c26bade854d00aebc6010f8a2e03a">
      <tp>
        <v>1</v>
        <stp/>
        <stp>Market</stp>
        <stp>STOCK</stp>
        <stp>60910.T</stp>
        <stp>前日比</stp>
        <tr r="E650" s="7"/>
      </tp>
      <tp>
        <v>0</v>
        <stp/>
        <stp>Market</stp>
        <stp>STOCK</stp>
        <stp>60930.T</stp>
        <stp>前日比</stp>
        <tr r="E652" s="7"/>
      </tp>
      <tp>
        <v>0</v>
        <stp/>
        <stp>Market</stp>
        <stp>STOCK</stp>
        <stp>60920.T</stp>
        <stp>前日比</stp>
        <tr r="E651" s="7"/>
      </tp>
      <tp>
        <v>-13</v>
        <stp/>
        <stp>Market</stp>
        <stp>STOCK</stp>
        <stp>60960.T</stp>
        <stp>前日比</stp>
        <tr r="E653" s="7"/>
      </tp>
      <tp>
        <v>77</v>
        <stp/>
        <stp>Market</stp>
        <stp>STOCK</stp>
        <stp>60980.T</stp>
        <stp>前日比</stp>
        <tr r="E654" s="7"/>
      </tp>
      <tp>
        <v>-1</v>
        <stp/>
        <stp>Market</stp>
        <stp>STOCK</stp>
        <stp>60810.T</stp>
        <stp>前日比</stp>
        <tr r="E649" s="7"/>
      </tp>
      <tp>
        <v>-59</v>
        <stp/>
        <stp>Market</stp>
        <stp>STOCK</stp>
        <stp>60310.T</stp>
        <stp>前日比</stp>
        <tr r="E639" s="7"/>
      </tp>
      <tp>
        <v>43</v>
        <stp/>
        <stp>Market</stp>
        <stp>STOCK</stp>
        <stp>60350.T</stp>
        <stp>前日比</stp>
        <tr r="E640" s="7"/>
      </tp>
      <tp>
        <v>9</v>
        <stp/>
        <stp>Market</stp>
        <stp>STOCK</stp>
        <stp>60230.T</stp>
        <stp>前日比</stp>
        <tr r="E636" s="7"/>
      </tp>
      <tp>
        <v>-1</v>
        <stp/>
        <stp>Market</stp>
        <stp>STOCK</stp>
        <stp>60290.T</stp>
        <stp>前日比</stp>
        <tr r="E638" s="7"/>
      </tp>
      <tp>
        <v>-225</v>
        <stp/>
        <stp>Market</stp>
        <stp>STOCK</stp>
        <stp>60280.T</stp>
        <stp>前日比</stp>
        <tr r="E637" s="7"/>
      </tp>
      <tp>
        <v>0</v>
        <stp/>
        <stp>Market</stp>
        <stp>STOCK</stp>
        <stp>60540.T</stp>
        <stp>前日比</stp>
        <tr r="E646" s="7"/>
      </tp>
      <tp>
        <v>-5</v>
        <stp/>
        <stp>Market</stp>
        <stp>STOCK</stp>
        <stp>60590.T</stp>
        <stp>前日比</stp>
        <tr r="E647" s="7"/>
      </tp>
      <tp>
        <v>-18</v>
        <stp/>
        <stp>Market</stp>
        <stp>STOCK</stp>
        <stp>60440.T</stp>
        <stp>前日比</stp>
        <tr r="E641" s="7"/>
      </tp>
      <tp>
        <v>-56</v>
        <stp/>
        <stp>Market</stp>
        <stp>STOCK</stp>
        <stp>60470.T</stp>
        <stp>前日比</stp>
        <tr r="E643" s="7"/>
      </tp>
      <tp>
        <v>1</v>
        <stp/>
        <stp>Market</stp>
        <stp>STOCK</stp>
        <stp>60460.T</stp>
        <stp>前日比</stp>
        <tr r="E642" s="7"/>
      </tp>
      <tp>
        <v>-4</v>
        <stp/>
        <stp>Market</stp>
        <stp>STOCK</stp>
        <stp>60490.T</stp>
        <stp>前日比</stp>
        <tr r="E645" s="7"/>
      </tp>
      <tp>
        <v>-3</v>
        <stp/>
        <stp>Market</stp>
        <stp>STOCK</stp>
        <stp>60480.T</stp>
        <stp>前日比</stp>
        <tr r="E644" s="7"/>
      </tp>
      <tp>
        <v>-25</v>
        <stp/>
        <stp>Market</stp>
        <stp>STOCK</stp>
        <stp>60730.T</stp>
        <stp>前日比</stp>
        <tr r="E648" s="7"/>
      </tp>
      <tp>
        <v>0</v>
        <stp/>
        <stp>Market</stp>
        <stp>STOCK</stp>
        <stp>61900.T</stp>
        <stp>前日比</stp>
        <tr r="E673" s="7"/>
      </tp>
      <tp t="s">
        <v/>
        <stp/>
        <stp>Market</stp>
        <stp>STOCK</stp>
        <stp>61920.T</stp>
        <stp>前日比</stp>
        <tr r="E674" s="7"/>
      </tp>
      <tp>
        <v>-1</v>
        <stp/>
        <stp>Market</stp>
        <stp>STOCK</stp>
        <stp>61950.T</stp>
        <stp>前日比</stp>
        <tr r="E676" s="7"/>
      </tp>
      <tp>
        <v>-22</v>
        <stp/>
        <stp>Market</stp>
        <stp>STOCK</stp>
        <stp>61940.T</stp>
        <stp>前日比</stp>
        <tr r="E675" s="7"/>
      </tp>
      <tp>
        <v>-2</v>
        <stp/>
        <stp>Market</stp>
        <stp>STOCK</stp>
        <stp>61810.T</stp>
        <stp>前日比</stp>
        <tr r="E667" s="7"/>
      </tp>
      <tp>
        <v>-27</v>
        <stp/>
        <stp>Market</stp>
        <stp>STOCK</stp>
        <stp>61820.T</stp>
        <stp>前日比</stp>
        <tr r="E668" s="7"/>
      </tp>
      <tp>
        <v>-6</v>
        <stp/>
        <stp>Market</stp>
        <stp>STOCK</stp>
        <stp>61850.T</stp>
        <stp>前日比</stp>
        <tr r="E670" s="7"/>
      </tp>
      <tp>
        <v>-2</v>
        <stp/>
        <stp>Market</stp>
        <stp>STOCK</stp>
        <stp>61840.T</stp>
        <stp>前日比</stp>
        <tr r="E669" s="7"/>
      </tp>
      <tp>
        <v>-6</v>
        <stp/>
        <stp>Market</stp>
        <stp>STOCK</stp>
        <stp>61860.T</stp>
        <stp>前日比</stp>
        <tr r="E671" s="7"/>
      </tp>
      <tp>
        <v>0</v>
        <stp/>
        <stp>Market</stp>
        <stp>STOCK</stp>
        <stp>61880.T</stp>
        <stp>前日比</stp>
        <tr r="E672" s="7"/>
      </tp>
      <tp>
        <v>22</v>
        <stp/>
        <stp>Market</stp>
        <stp>STOCK</stp>
        <stp>61130.T</stp>
        <stp>前日比</stp>
        <tr r="E656" s="7"/>
      </tp>
      <tp>
        <v>40</v>
        <stp/>
        <stp>Market</stp>
        <stp>STOCK</stp>
        <stp>61040.T</stp>
        <stp>前日比</stp>
        <tr r="E655" s="7"/>
      </tp>
      <tp>
        <v>1</v>
        <stp/>
        <stp>Market</stp>
        <stp>STOCK</stp>
        <stp>61340.T</stp>
        <stp>前日比</stp>
        <tr r="E657" s="7"/>
      </tp>
      <tp>
        <v>1</v>
        <stp/>
        <stp>Market</stp>
        <stp>STOCK</stp>
        <stp>61400.T</stp>
        <stp>前日比</stp>
        <tr r="E658" s="7"/>
      </tp>
      <tp>
        <v>-540</v>
        <stp/>
        <stp>Market</stp>
        <stp>STOCK</stp>
        <stp>61460.T</stp>
        <stp>前日比</stp>
        <tr r="E659" s="7"/>
      </tp>
      <tp>
        <v>1</v>
        <stp/>
        <stp>Market</stp>
        <stp>STOCK</stp>
        <stp>61730.T</stp>
        <stp>前日比</stp>
        <tr r="E663" s="7"/>
      </tp>
      <tp>
        <v>-3</v>
        <stp/>
        <stp>Market</stp>
        <stp>STOCK</stp>
        <stp>61770.T</stp>
        <stp>前日比</stp>
        <tr r="E665" s="7"/>
      </tp>
      <tp>
        <v>4</v>
        <stp/>
        <stp>Market</stp>
        <stp>STOCK</stp>
        <stp>61760.T</stp>
        <stp>前日比</stp>
        <tr r="E664" s="7"/>
      </tp>
      <tp>
        <v>25</v>
        <stp/>
        <stp>Market</stp>
        <stp>STOCK</stp>
        <stp>61780.T</stp>
        <stp>前日比</stp>
        <tr r="E666" s="7"/>
      </tp>
      <tp>
        <v>3</v>
        <stp/>
        <stp>Market</stp>
        <stp>STOCK</stp>
        <stp>61650.T</stp>
        <stp>前日比</stp>
        <tr r="E660" s="7"/>
      </tp>
      <tp>
        <v>12</v>
        <stp/>
        <stp>Market</stp>
        <stp>STOCK</stp>
        <stp>61670.T</stp>
        <stp>前日比</stp>
        <tr r="E662" s="7"/>
      </tp>
      <tp>
        <v>-4</v>
        <stp/>
        <stp>Market</stp>
        <stp>STOCK</stp>
        <stp>61660.T</stp>
        <stp>前日比</stp>
        <tr r="E661" s="7"/>
      </tp>
      <tp>
        <v>0</v>
        <stp/>
        <stp>Market</stp>
        <stp>STOCK</stp>
        <stp>62970.T</stp>
        <stp>前日比</stp>
        <tr r="E684" s="7"/>
      </tp>
      <tp>
        <v>-73</v>
        <stp/>
        <stp>Market</stp>
        <stp>STOCK</stp>
        <stp>62980.T</stp>
        <stp>前日比</stp>
        <tr r="E685" s="7"/>
      </tp>
      <tp>
        <v>68</v>
        <stp/>
        <stp>Market</stp>
        <stp>STOCK</stp>
        <stp>62860.T</stp>
        <stp>前日比</stp>
        <tr r="E683" s="7"/>
      </tp>
      <tp>
        <v>3</v>
        <stp/>
        <stp>Market</stp>
        <stp>STOCK</stp>
        <stp>62180.T</stp>
        <stp>前日比</stp>
        <tr r="E678" s="7"/>
      </tp>
      <tp>
        <v>-1</v>
        <stp/>
        <stp>Market</stp>
        <stp>STOCK</stp>
        <stp>62030.T</stp>
        <stp>前日比</stp>
        <tr r="E677" s="7"/>
      </tp>
      <tp>
        <v>1</v>
        <stp/>
        <stp>Market</stp>
        <stp>STOCK</stp>
        <stp>62330.T</stp>
        <stp>前日比</stp>
        <tr r="E680" s="7"/>
      </tp>
      <tp>
        <v>-7</v>
        <stp/>
        <stp>Market</stp>
        <stp>STOCK</stp>
        <stp>62260.T</stp>
        <stp>前日比</stp>
        <tr r="E679" s="7"/>
      </tp>
      <tp>
        <v>-3</v>
        <stp/>
        <stp>Market</stp>
        <stp>STOCK</stp>
        <stp>62550.T</stp>
        <stp>前日比</stp>
        <tr r="E682" s="7"/>
      </tp>
      <tp>
        <v>-2</v>
        <stp/>
        <stp>Market</stp>
        <stp>STOCK</stp>
        <stp>62400.T</stp>
        <stp>前日比</stp>
        <tr r="E681" s="7"/>
      </tp>
      <tp>
        <v>1</v>
        <stp/>
        <stp>Market</stp>
        <stp>STOCK</stp>
        <stp>63900.T</stp>
        <stp>前日比</stp>
        <tr r="E698" s="7"/>
      </tp>
      <tp>
        <v>-2</v>
        <stp/>
        <stp>Market</stp>
        <stp>STOCK</stp>
        <stp>63950.T</stp>
        <stp>前日比</stp>
        <tr r="E699" s="7"/>
      </tp>
      <tp>
        <v>-10</v>
        <stp/>
        <stp>Market</stp>
        <stp>STOCK</stp>
        <stp>63810.T</stp>
        <stp>前日比</stp>
        <tr r="E696" s="7"/>
      </tp>
      <tp>
        <v>19.5</v>
        <stp/>
        <stp>Market</stp>
        <stp>STOCK</stp>
        <stp>63830.T</stp>
        <stp>前日比</stp>
        <tr r="E697" s="7"/>
      </tp>
      <tp>
        <v>-4</v>
        <stp/>
        <stp>Market</stp>
        <stp>STOCK</stp>
        <stp>63010.T</stp>
        <stp>前日比</stp>
        <tr r="E686" s="7"/>
      </tp>
      <tp>
        <v>16</v>
        <stp/>
        <stp>Market</stp>
        <stp>STOCK</stp>
        <stp>63050.T</stp>
        <stp>前日比</stp>
        <tr r="E687" s="7"/>
      </tp>
      <tp>
        <v>14</v>
        <stp/>
        <stp>Market</stp>
        <stp>STOCK</stp>
        <stp>63300.T</stp>
        <stp>前日比</stp>
        <tr r="E688" s="7"/>
      </tp>
      <tp>
        <v>-9</v>
        <stp/>
        <stp>Market</stp>
        <stp>STOCK</stp>
        <stp>63340.T</stp>
        <stp>前日比</stp>
        <tr r="E689" s="7"/>
      </tp>
      <tp>
        <v>-2</v>
        <stp/>
        <stp>Market</stp>
        <stp>STOCK</stp>
        <stp>63360.T</stp>
        <stp>前日比</stp>
        <tr r="E690" s="7"/>
      </tp>
      <tp>
        <v>0</v>
        <stp/>
        <stp>Market</stp>
        <stp>STOCK</stp>
        <stp>63560.T</stp>
        <stp>前日比</stp>
        <tr r="E693" s="7"/>
      </tp>
      <tp>
        <v>1</v>
        <stp/>
        <stp>Market</stp>
        <stp>STOCK</stp>
        <stp>63430.T</stp>
        <stp>前日比</stp>
        <tr r="E691" s="7"/>
      </tp>
      <tp>
        <v>0</v>
        <stp/>
        <stp>Market</stp>
        <stp>STOCK</stp>
        <stp>63470.T</stp>
        <stp>前日比</stp>
        <tr r="E692" s="7"/>
      </tp>
      <tp>
        <v>-68</v>
        <stp/>
        <stp>Market</stp>
        <stp>STOCK</stp>
        <stp>63640.T</stp>
        <stp>前日比</stp>
        <tr r="E694" s="7"/>
      </tp>
      <tp>
        <v>-6</v>
        <stp/>
        <stp>Market</stp>
        <stp>STOCK</stp>
        <stp>63660.T</stp>
        <stp>前日比</stp>
        <tr r="E695" s="7"/>
      </tp>
      <tp>
        <v>6</v>
        <stp/>
        <stp>Market</stp>
        <stp>STOCK</stp>
        <stp>64930.T</stp>
        <stp>前日比</stp>
        <tr r="E709" s="7"/>
      </tp>
      <tp>
        <v>0</v>
        <stp/>
        <stp>Market</stp>
        <stp>STOCK</stp>
        <stp>64950.T</stp>
        <stp>前日比</stp>
        <tr r="E711" s="7"/>
      </tp>
      <tp>
        <v>-1</v>
        <stp/>
        <stp>Market</stp>
        <stp>STOCK</stp>
        <stp>64940.T</stp>
        <stp>前日比</stp>
        <tr r="E710" s="7"/>
      </tp>
      <tp>
        <v>2</v>
        <stp/>
        <stp>Market</stp>
        <stp>STOCK</stp>
        <stp>64980.T</stp>
        <stp>前日比</stp>
        <tr r="E712" s="7"/>
      </tp>
      <tp>
        <v>3</v>
        <stp/>
        <stp>Market</stp>
        <stp>STOCK</stp>
        <stp>64800.T</stp>
        <stp>前日比</stp>
        <tr r="E707" s="7"/>
      </tp>
      <tp>
        <v>1</v>
        <stp/>
        <stp>Market</stp>
        <stp>STOCK</stp>
        <stp>64890.T</stp>
        <stp>前日比</stp>
        <tr r="E708" s="7"/>
      </tp>
      <tp>
        <v>33</v>
        <stp/>
        <stp>Market</stp>
        <stp>STOCK</stp>
        <stp>64180.T</stp>
        <stp>前日比</stp>
        <tr r="E700" s="7"/>
      </tp>
      <tp>
        <v>12</v>
        <stp/>
        <stp>Market</stp>
        <stp>STOCK</stp>
        <stp>64330.T</stp>
        <stp>前日比</stp>
        <tr r="E701" s="7"/>
      </tp>
      <tp>
        <v>3</v>
        <stp/>
        <stp>Market</stp>
        <stp>STOCK</stp>
        <stp>64400.T</stp>
        <stp>前日比</stp>
        <tr r="E702" s="7"/>
      </tp>
      <tp>
        <v>6</v>
        <stp/>
        <stp>Market</stp>
        <stp>STOCK</stp>
        <stp>64440.T</stp>
        <stp>前日比</stp>
        <tr r="E703" s="7"/>
      </tp>
      <tp>
        <v>-12.8</v>
        <stp/>
        <stp>Market</stp>
        <stp>STOCK</stp>
        <stp>64710.T</stp>
        <stp>前日比</stp>
        <tr r="E706" s="7"/>
      </tp>
      <tp>
        <v>5</v>
        <stp/>
        <stp>Market</stp>
        <stp>STOCK</stp>
        <stp>64700.T</stp>
        <stp>前日比</stp>
        <tr r="E705" s="7"/>
      </tp>
      <tp>
        <v>0</v>
        <stp/>
        <stp>Market</stp>
        <stp>STOCK</stp>
        <stp>64670.T</stp>
        <stp>前日比</stp>
        <tr r="E704" s="7"/>
      </tp>
      <tp>
        <v>48</v>
        <stp/>
        <stp>Market</stp>
        <stp>STOCK</stp>
        <stp>65940.T</stp>
        <stp>前日比</stp>
        <tr r="E735" s="7"/>
      </tp>
      <tp>
        <v>-3</v>
        <stp/>
        <stp>Market</stp>
        <stp>STOCK</stp>
        <stp>65800.T</stp>
        <stp>前日比</stp>
        <tr r="E732" s="7"/>
      </tp>
      <tp>
        <v>10</v>
        <stp/>
        <stp>Market</stp>
        <stp>STOCK</stp>
        <stp>65840.T</stp>
        <stp>前日比</stp>
        <tr r="E733" s="7"/>
      </tp>
      <tp>
        <v>40</v>
        <stp/>
        <stp>Market</stp>
        <stp>STOCK</stp>
        <stp>65880.T</stp>
        <stp>前日比</stp>
        <tr r="E734" s="7"/>
      </tp>
      <tp>
        <v>7</v>
        <stp/>
        <stp>Market</stp>
        <stp>STOCK</stp>
        <stp>65130.T</stp>
        <stp>前日比</stp>
        <tr r="E718" s="7"/>
      </tp>
      <tp>
        <v>-110</v>
        <stp/>
        <stp>Market</stp>
        <stp>STOCK</stp>
        <stp>65010.T</stp>
        <stp>前日比</stp>
        <tr r="E713" s="7"/>
      </tp>
      <tp>
        <v>-60</v>
        <stp/>
        <stp>Market</stp>
        <stp>STOCK</stp>
        <stp>65030.T</stp>
        <stp>前日比</stp>
        <tr r="E715" s="7"/>
      </tp>
      <tp t="s">
        <v/>
        <stp/>
        <stp>Market</stp>
        <stp>STOCK</stp>
        <stp>65020.T</stp>
        <stp>前日比</stp>
        <tr r="E714" s="7"/>
      </tp>
      <tp>
        <v>80</v>
        <stp/>
        <stp>Market</stp>
        <stp>STOCK</stp>
        <stp>65040.T</stp>
        <stp>前日比</stp>
        <tr r="E716" s="7"/>
      </tp>
      <tp>
        <v>-69</v>
        <stp/>
        <stp>Market</stp>
        <stp>STOCK</stp>
        <stp>65070.T</stp>
        <stp>前日比</stp>
        <tr r="E717" s="7"/>
      </tp>
      <tp>
        <v>-1</v>
        <stp/>
        <stp>Market</stp>
        <stp>STOCK</stp>
        <stp>65370.T</stp>
        <stp>前日比</stp>
        <tr r="E720" s="7"/>
      </tp>
      <tp>
        <v>-4</v>
        <stp/>
        <stp>Market</stp>
        <stp>STOCK</stp>
        <stp>65220.T</stp>
        <stp>前日比</stp>
        <tr r="E719" s="7"/>
      </tp>
      <tp>
        <v>-2</v>
        <stp/>
        <stp>Market</stp>
        <stp>STOCK</stp>
        <stp>65500.T</stp>
        <stp>前日比</stp>
        <tr r="E723" s="7"/>
      </tp>
      <tp>
        <v>0</v>
        <stp/>
        <stp>Market</stp>
        <stp>STOCK</stp>
        <stp>65520.T</stp>
        <stp>前日比</stp>
        <tr r="E724" s="7"/>
      </tp>
      <tp>
        <v>-8</v>
        <stp/>
        <stp>Market</stp>
        <stp>STOCK</stp>
        <stp>65550.T</stp>
        <stp>前日比</stp>
        <tr r="E726" s="7"/>
      </tp>
      <tp>
        <v>-19</v>
        <stp/>
        <stp>Market</stp>
        <stp>STOCK</stp>
        <stp>65540.T</stp>
        <stp>前日比</stp>
        <tr r="E725" s="7"/>
      </tp>
      <tp>
        <v>16</v>
        <stp/>
        <stp>Market</stp>
        <stp>STOCK</stp>
        <stp>65570.T</stp>
        <stp>前日比</stp>
        <tr r="E728" s="7"/>
      </tp>
      <tp>
        <v>-3</v>
        <stp/>
        <stp>Market</stp>
        <stp>STOCK</stp>
        <stp>65560.T</stp>
        <stp>前日比</stp>
        <tr r="E727" s="7"/>
      </tp>
      <tp>
        <v>-5</v>
        <stp/>
        <stp>Market</stp>
        <stp>STOCK</stp>
        <stp>65430.T</stp>
        <stp>前日比</stp>
        <tr r="E721" s="7"/>
      </tp>
      <tp>
        <v>1</v>
        <stp/>
        <stp>Market</stp>
        <stp>STOCK</stp>
        <stp>65450.T</stp>
        <stp>前日比</stp>
        <tr r="E722" s="7"/>
      </tp>
      <tp>
        <v>-10</v>
        <stp/>
        <stp>Market</stp>
        <stp>STOCK</stp>
        <stp>65730.T</stp>
        <stp>前日比</stp>
        <tr r="E729" s="7"/>
      </tp>
      <tp>
        <v>21</v>
        <stp/>
        <stp>Market</stp>
        <stp>STOCK</stp>
        <stp>65740.T</stp>
        <stp>前日比</stp>
        <tr r="E730" s="7"/>
      </tp>
      <tp>
        <v>2</v>
        <stp/>
        <stp>Market</stp>
        <stp>STOCK</stp>
        <stp>65780.T</stp>
        <stp>前日比</stp>
        <tr r="E731" s="7"/>
      </tp>
      <tp>
        <v>-3</v>
        <stp/>
        <stp>Market</stp>
        <stp>STOCK</stp>
        <stp>66960.T</stp>
        <stp>前日比</stp>
        <tr r="E753" s="7"/>
      </tp>
      <tp>
        <v>16</v>
        <stp/>
        <stp>Market</stp>
        <stp>STOCK</stp>
        <stp>66130.T</stp>
        <stp>前日比</stp>
        <tr r="E736" s="7"/>
      </tp>
      <tp>
        <v>19</v>
        <stp/>
        <stp>Market</stp>
        <stp>STOCK</stp>
        <stp>66170.T</stp>
        <stp>前日比</stp>
        <tr r="E737" s="7"/>
      </tp>
      <tp>
        <v>-9</v>
        <stp/>
        <stp>Market</stp>
        <stp>STOCK</stp>
        <stp>66190.T</stp>
        <stp>前日比</stp>
        <tr r="E738" s="7"/>
      </tp>
      <tp>
        <v>-5</v>
        <stp/>
        <stp>Market</stp>
        <stp>STOCK</stp>
        <stp>66300.T</stp>
        <stp>前日比</stp>
        <tr r="E740" s="7"/>
      </tp>
      <tp>
        <v>-1</v>
        <stp/>
        <stp>Market</stp>
        <stp>STOCK</stp>
        <stp>66330.T</stp>
        <stp>前日比</stp>
        <tr r="E742" s="7"/>
      </tp>
      <tp>
        <v>14</v>
        <stp/>
        <stp>Market</stp>
        <stp>STOCK</stp>
        <stp>66320.T</stp>
        <stp>前日比</stp>
        <tr r="E741" s="7"/>
      </tp>
      <tp>
        <v>-8</v>
        <stp/>
        <stp>Market</stp>
        <stp>STOCK</stp>
        <stp>66350.T</stp>
        <stp>前日比</stp>
        <tr r="E744" s="7"/>
      </tp>
      <tp>
        <v>1</v>
        <stp/>
        <stp>Market</stp>
        <stp>STOCK</stp>
        <stp>66340.T</stp>
        <stp>前日比</stp>
        <tr r="E743" s="7"/>
      </tp>
      <tp>
        <v>0</v>
        <stp/>
        <stp>Market</stp>
        <stp>STOCK</stp>
        <stp>66250.T</stp>
        <stp>前日比</stp>
        <tr r="E739" s="7"/>
      </tp>
      <tp>
        <v>-12</v>
        <stp/>
        <stp>Market</stp>
        <stp>STOCK</stp>
        <stp>66540.T</stp>
        <stp>前日比</stp>
        <tr r="E747" s="7"/>
      </tp>
      <tp>
        <v>1</v>
        <stp/>
        <stp>Market</stp>
        <stp>STOCK</stp>
        <stp>66590.T</stp>
        <stp>前日比</stp>
        <tr r="E749" s="7"/>
      </tp>
      <tp>
        <v>-13</v>
        <stp/>
        <stp>Market</stp>
        <stp>STOCK</stp>
        <stp>66580.T</stp>
        <stp>前日比</stp>
        <tr r="E748" s="7"/>
      </tp>
      <tp>
        <v>20</v>
        <stp/>
        <stp>Market</stp>
        <stp>STOCK</stp>
        <stp>66400.T</stp>
        <stp>前日比</stp>
        <tr r="E745" s="7"/>
      </tp>
      <tp>
        <v>-33</v>
        <stp/>
        <stp>Market</stp>
        <stp>STOCK</stp>
        <stp>66440.T</stp>
        <stp>前日比</stp>
        <tr r="E746" s="7"/>
      </tp>
      <tp>
        <v>50</v>
        <stp/>
        <stp>Market</stp>
        <stp>STOCK</stp>
        <stp>66770.T</stp>
        <stp>前日比</stp>
        <tr r="E752" s="7"/>
      </tp>
      <tp>
        <v>-5</v>
        <stp/>
        <stp>Market</stp>
        <stp>STOCK</stp>
        <stp>66760.T</stp>
        <stp>前日比</stp>
        <tr r="E751" s="7"/>
      </tp>
      <tp>
        <v>-11</v>
        <stp/>
        <stp>Market</stp>
        <stp>STOCK</stp>
        <stp>66660.T</stp>
        <stp>前日比</stp>
        <tr r="E750" s="7"/>
      </tp>
      <tp>
        <v>95</v>
        <stp/>
        <stp>Market</stp>
        <stp>STOCK</stp>
        <stp>67010.T</stp>
        <stp>前日比</stp>
        <tr r="E754" s="7"/>
      </tp>
      <tp>
        <v>-155</v>
        <stp/>
        <stp>Market</stp>
        <stp>STOCK</stp>
        <stp>67020.T</stp>
        <stp>前日比</stp>
        <tr r="E755" s="7"/>
      </tp>
      <tp>
        <v>-2</v>
        <stp/>
        <stp>Market</stp>
        <stp>STOCK</stp>
        <stp>67310.T</stp>
        <stp>前日比</stp>
        <tr r="E758" s="7"/>
      </tp>
      <tp>
        <v>0</v>
        <stp/>
        <stp>Market</stp>
        <stp>STOCK</stp>
        <stp>67210.T</stp>
        <stp>前日比</stp>
        <tr r="E756" s="7"/>
      </tp>
      <tp>
        <v>-59</v>
        <stp/>
        <stp>Market</stp>
        <stp>STOCK</stp>
        <stp>67230.T</stp>
        <stp>前日比</stp>
        <tr r="E757" s="7"/>
      </tp>
      <tp>
        <v>-3</v>
        <stp/>
        <stp>Market</stp>
        <stp>STOCK</stp>
        <stp>67500.T</stp>
        <stp>前日比</stp>
        <tr r="E763" s="7"/>
      </tp>
      <tp>
        <v>-83.6</v>
        <stp/>
        <stp>Market</stp>
        <stp>STOCK</stp>
        <stp>67530.T</stp>
        <stp>前日比</stp>
        <tr r="E765" s="7"/>
      </tp>
      <tp>
        <v>16.5</v>
        <stp/>
        <stp>Market</stp>
        <stp>STOCK</stp>
        <stp>67520.T</stp>
        <stp>前日比</stp>
        <tr r="E764" s="7"/>
      </tp>
      <tp>
        <v>-25.5</v>
        <stp/>
        <stp>Market</stp>
        <stp>STOCK</stp>
        <stp>67540.T</stp>
        <stp>前日比</stp>
        <tr r="E766" s="7"/>
      </tp>
      <tp>
        <v>45</v>
        <stp/>
        <stp>Market</stp>
        <stp>STOCK</stp>
        <stp>67580.T</stp>
        <stp>前日比</stp>
        <tr r="E767" s="7"/>
      </tp>
      <tp>
        <v>-7</v>
        <stp/>
        <stp>Market</stp>
        <stp>STOCK</stp>
        <stp>67410.T</stp>
        <stp>前日比</stp>
        <tr r="E760" s="7"/>
      </tp>
      <tp>
        <v>0</v>
        <stp/>
        <stp>Market</stp>
        <stp>STOCK</stp>
        <stp>67400.T</stp>
        <stp>前日比</stp>
        <tr r="E759" s="7"/>
      </tp>
      <tp>
        <v>-3</v>
        <stp/>
        <stp>Market</stp>
        <stp>STOCK</stp>
        <stp>67420.T</stp>
        <stp>前日比</stp>
        <tr r="E761" s="7"/>
      </tp>
      <tp>
        <v>-1</v>
        <stp/>
        <stp>Market</stp>
        <stp>STOCK</stp>
        <stp>67480.T</stp>
        <stp>前日比</stp>
        <tr r="E762" s="7"/>
      </tp>
      <tp>
        <v>-8</v>
        <stp/>
        <stp>Market</stp>
        <stp>STOCK</stp>
        <stp>67750.T</stp>
        <stp>前日比</stp>
        <tr r="E770" s="7"/>
      </tp>
      <tp>
        <v>-40</v>
        <stp/>
        <stp>Market</stp>
        <stp>STOCK</stp>
        <stp>67770.T</stp>
        <stp>前日比</stp>
        <tr r="E772" s="7"/>
      </tp>
      <tp>
        <v>-1</v>
        <stp/>
        <stp>Market</stp>
        <stp>STOCK</stp>
        <stp>67760.T</stp>
        <stp>前日比</stp>
        <tr r="E771" s="7"/>
      </tp>
      <tp>
        <v>-126</v>
        <stp/>
        <stp>Market</stp>
        <stp>STOCK</stp>
        <stp>67620.T</stp>
        <stp>前日比</stp>
        <tr r="E768" s="7"/>
      </tp>
      <tp>
        <v>7</v>
        <stp/>
        <stp>Market</stp>
        <stp>STOCK</stp>
        <stp>67680.T</stp>
        <stp>前日比</stp>
        <tr r="E769" s="7"/>
      </tp>
      <tp>
        <v>0</v>
        <stp/>
        <stp>Market</stp>
        <stp>STOCK</stp>
        <stp>68970.T</stp>
        <stp>前日比</stp>
        <tr r="E783" s="7"/>
      </tp>
      <tp>
        <v>49</v>
        <stp/>
        <stp>Market</stp>
        <stp>STOCK</stp>
        <stp>68100.T</stp>
        <stp>前日比</stp>
        <tr r="E774" s="7"/>
      </tp>
      <tp>
        <v>3</v>
        <stp/>
        <stp>Market</stp>
        <stp>STOCK</stp>
        <stp>68140.T</stp>
        <stp>前日比</stp>
        <tr r="E775" s="7"/>
      </tp>
      <tp>
        <v>0</v>
        <stp/>
        <stp>Market</stp>
        <stp>STOCK</stp>
        <stp>68030.T</stp>
        <stp>前日比</stp>
        <tr r="E773" s="7"/>
      </tp>
      <tp>
        <v>0</v>
        <stp/>
        <stp>Market</stp>
        <stp>STOCK</stp>
        <stp>68350.T</stp>
        <stp>前日比</stp>
        <tr r="E776" s="7"/>
      </tp>
      <tp>
        <v>-52</v>
        <stp/>
        <stp>Market</stp>
        <stp>STOCK</stp>
        <stp>68570.T</stp>
        <stp>前日比</stp>
        <tr r="E778" s="7"/>
      </tp>
      <tp>
        <v>6</v>
        <stp/>
        <stp>Market</stp>
        <stp>STOCK</stp>
        <stp>68400.T</stp>
        <stp>前日比</stp>
        <tr r="E777" s="7"/>
      </tp>
      <tp>
        <v>-130</v>
        <stp/>
        <stp>Market</stp>
        <stp>STOCK</stp>
        <stp>68710.T</stp>
        <stp>前日比</stp>
        <tr r="E782" s="7"/>
      </tp>
      <tp>
        <v>11</v>
        <stp/>
        <stp>Market</stp>
        <stp>STOCK</stp>
        <stp>68630.T</stp>
        <stp>前日比</stp>
        <tr r="E780" s="7"/>
      </tp>
      <tp>
        <v>-22</v>
        <stp/>
        <stp>Market</stp>
        <stp>STOCK</stp>
        <stp>68620.T</stp>
        <stp>前日比</stp>
        <tr r="E779" s="7"/>
      </tp>
      <tp>
        <v>-28</v>
        <stp/>
        <stp>Market</stp>
        <stp>STOCK</stp>
        <stp>68670.T</stp>
        <stp>前日比</stp>
        <tr r="E781" s="7"/>
      </tp>
      <tp>
        <v>0</v>
        <stp/>
        <stp>Market</stp>
        <stp>STOCK</stp>
        <stp>69930.T</stp>
        <stp>前日比</stp>
        <tr r="E801" s="7"/>
      </tp>
      <tp>
        <v>7</v>
        <stp/>
        <stp>Market</stp>
        <stp>STOCK</stp>
        <stp>69940.T</stp>
        <stp>前日比</stp>
        <tr r="E802" s="7"/>
      </tp>
      <tp>
        <v>10</v>
        <stp/>
        <stp>Market</stp>
        <stp>STOCK</stp>
        <stp>69970.T</stp>
        <stp>前日比</stp>
        <tr r="E803" s="7"/>
      </tp>
      <tp>
        <v>-50.5</v>
        <stp/>
        <stp>Market</stp>
        <stp>STOCK</stp>
        <stp>69810.T</stp>
        <stp>前日比</stp>
        <tr r="E798" s="7"/>
      </tp>
      <tp>
        <v>2</v>
        <stp/>
        <stp>Market</stp>
        <stp>STOCK</stp>
        <stp>69820.T</stp>
        <stp>前日比</stp>
        <tr r="E799" s="7"/>
      </tp>
      <tp>
        <v>-2</v>
        <stp/>
        <stp>Market</stp>
        <stp>STOCK</stp>
        <stp>69860.T</stp>
        <stp>前日比</stp>
        <tr r="E800" s="7"/>
      </tp>
      <tp>
        <v>80.5</v>
        <stp/>
        <stp>Market</stp>
        <stp>STOCK</stp>
        <stp>69020.T</stp>
        <stp>前日比</stp>
        <tr r="E784" s="7"/>
      </tp>
      <tp>
        <v>-13</v>
        <stp/>
        <stp>Market</stp>
        <stp>STOCK</stp>
        <stp>69050.T</stp>
        <stp>前日比</stp>
        <tr r="E785" s="7"/>
      </tp>
      <tp>
        <v>-4</v>
        <stp/>
        <stp>Market</stp>
        <stp>STOCK</stp>
        <stp>69070.T</stp>
        <stp>前日比</stp>
        <tr r="E786" s="7"/>
      </tp>
      <tp>
        <v>-3</v>
        <stp/>
        <stp>Market</stp>
        <stp>STOCK</stp>
        <stp>69380.T</stp>
        <stp>前日比</stp>
        <tr r="E790" s="7"/>
      </tp>
      <tp>
        <v>200</v>
        <stp/>
        <stp>Market</stp>
        <stp>STOCK</stp>
        <stp>69200.T</stp>
        <stp>前日比</stp>
        <tr r="E787" s="7"/>
      </tp>
      <tp>
        <v>-78</v>
        <stp/>
        <stp>Market</stp>
        <stp>STOCK</stp>
        <stp>69230.T</stp>
        <stp>前日比</stp>
        <tr r="E788" s="7"/>
      </tp>
      <tp>
        <v>16</v>
        <stp/>
        <stp>Market</stp>
        <stp>STOCK</stp>
        <stp>69270.T</stp>
        <stp>前日比</stp>
        <tr r="E789" s="7"/>
      </tp>
      <tp>
        <v>-14.5</v>
        <stp/>
        <stp>Market</stp>
        <stp>STOCK</stp>
        <stp>69520.T</stp>
        <stp>前日比</stp>
        <tr r="E793" s="7"/>
      </tp>
      <tp>
        <v>6</v>
        <stp/>
        <stp>Market</stp>
        <stp>STOCK</stp>
        <stp>69550.T</stp>
        <stp>前日比</stp>
        <tr r="E795" s="7"/>
      </tp>
      <tp>
        <v>-19</v>
        <stp/>
        <stp>Market</stp>
        <stp>STOCK</stp>
        <stp>69540.T</stp>
        <stp>前日比</stp>
        <tr r="E794" s="7"/>
      </tp>
      <tp>
        <v>10</v>
        <stp/>
        <stp>Market</stp>
        <stp>STOCK</stp>
        <stp>69580.T</stp>
        <stp>前日比</stp>
        <tr r="E796" s="7"/>
      </tp>
      <tp>
        <v>160</v>
        <stp/>
        <stp>Market</stp>
        <stp>STOCK</stp>
        <stp>69410.T</stp>
        <stp>前日比</stp>
        <tr r="E791" s="7"/>
      </tp>
      <tp>
        <v>300</v>
        <stp/>
        <stp>Market</stp>
        <stp>STOCK</stp>
        <stp>69420.T</stp>
        <stp>前日比</stp>
        <tr r="E792" s="7"/>
      </tp>
      <tp>
        <v>-118</v>
        <stp/>
        <stp>Market</stp>
        <stp>STOCK</stp>
        <stp>69760.T</stp>
        <stp>前日比</stp>
        <tr r="E797" s="7"/>
      </tp>
      <tp t="s">
        <v/>
        <stp/>
        <stp>PositionList</stp>
        <stp>454494816,0,0,8,8</stp>
        <stp/>
        <stp>A</stp>
        <tr r="I1" s="6"/>
      </tp>
      <tp t="s">
        <v>表示銘柄数超過</v>
        <stp/>
        <stp>Market</stp>
        <stp>STOCK</stp>
        <stp>50100.T</stp>
        <stp>前日比</stp>
        <tr r="E558" s="7"/>
      </tp>
      <tp t="s">
        <v>表示銘柄数超過</v>
        <stp/>
        <stp>Market</stp>
        <stp>STOCK</stp>
        <stp>50150.T</stp>
        <stp>前日比</stp>
        <tr r="E559" s="7"/>
      </tp>
      <tp t="s">
        <v>表示銘柄数超過</v>
        <stp/>
        <stp>Market</stp>
        <stp>STOCK</stp>
        <stp>50170.T</stp>
        <stp>前日比</stp>
        <tr r="E560" s="7"/>
      </tp>
      <tp t="s">
        <v>表示銘柄数超過</v>
        <stp/>
        <stp>Market</stp>
        <stp>STOCK</stp>
        <stp>50190.T</stp>
        <stp>前日比</stp>
        <tr r="E561" s="7"/>
      </tp>
      <tp t="s">
        <v>表示銘柄数超過</v>
        <stp/>
        <stp>Market</stp>
        <stp>STOCK</stp>
        <stp>50320.T</stp>
        <stp>前日比</stp>
        <tr r="E565" s="7"/>
      </tp>
      <tp t="s">
        <v>表示銘柄数超過</v>
        <stp/>
        <stp>Market</stp>
        <stp>STOCK</stp>
        <stp>50210.T</stp>
        <stp>前日比</stp>
        <tr r="E563" s="7"/>
      </tp>
      <tp t="s">
        <v>表示銘柄数超過</v>
        <stp/>
        <stp>Market</stp>
        <stp>STOCK</stp>
        <stp>50200.T</stp>
        <stp>前日比</stp>
        <tr r="E562" s="7"/>
      </tp>
      <tp t="s">
        <v>表示銘柄数超過</v>
        <stp/>
        <stp>Market</stp>
        <stp>STOCK</stp>
        <stp>50280.T</stp>
        <stp>前日比</stp>
        <tr r="E564" s="7"/>
      </tp>
      <tp t="s">
        <v>表示銘柄数超過</v>
        <stp/>
        <stp>Market</stp>
        <stp>STOCK</stp>
        <stp>50740.T</stp>
        <stp>前日比</stp>
        <tr r="E566" s="7"/>
      </tp>
      <tp>
        <v>-70</v>
        <stp/>
        <stp>Market</stp>
        <stp>STOCK</stp>
        <stp>51920.T</stp>
        <stp>前日比</stp>
        <tr r="E574" s="7"/>
      </tp>
      <tp>
        <v>21</v>
        <stp/>
        <stp>Market</stp>
        <stp>STOCK</stp>
        <stp>51100.T</stp>
        <stp>前日比</stp>
        <tr r="E569" s="7"/>
      </tp>
      <tp>
        <v>0</v>
        <stp/>
        <stp>Market</stp>
        <stp>STOCK</stp>
        <stp>51030.T</stp>
        <stp>前日比</stp>
        <tr r="E567" s="7"/>
      </tp>
      <tp>
        <v>93</v>
        <stp/>
        <stp>Market</stp>
        <stp>STOCK</stp>
        <stp>51080.T</stp>
        <stp>前日比</stp>
        <tr r="E568" s="7"/>
      </tp>
      <tp>
        <v>-9</v>
        <stp/>
        <stp>Market</stp>
        <stp>STOCK</stp>
        <stp>51310.T</stp>
        <stp>前日比</stp>
        <tr r="E572" s="7"/>
      </tp>
      <tp>
        <v>-4</v>
        <stp/>
        <stp>Market</stp>
        <stp>STOCK</stp>
        <stp>51330.T</stp>
        <stp>前日比</stp>
        <tr r="E573" s="7"/>
      </tp>
      <tp>
        <v>12</v>
        <stp/>
        <stp>Market</stp>
        <stp>STOCK</stp>
        <stp>51210.T</stp>
        <stp>前日比</stp>
        <tr r="E570" s="7"/>
      </tp>
      <tp>
        <v>19</v>
        <stp/>
        <stp>Market</stp>
        <stp>STOCK</stp>
        <stp>51290.T</stp>
        <stp>前日比</stp>
        <tr r="E571" s="7"/>
      </tp>
      <tp>
        <v>116</v>
        <stp/>
        <stp>Market</stp>
        <stp>STOCK</stp>
        <stp>52850.T</stp>
        <stp>前日比</stp>
        <tr r="E584" s="7"/>
      </tp>
      <tp>
        <v>3</v>
        <stp/>
        <stp>Market</stp>
        <stp>STOCK</stp>
        <stp>52870.T</stp>
        <stp>前日比</stp>
        <tr r="E585" s="7"/>
      </tp>
      <tp>
        <v>-1</v>
        <stp/>
        <stp>Market</stp>
        <stp>STOCK</stp>
        <stp>52160.T</stp>
        <stp>前日比</stp>
        <tr r="E576" s="7"/>
      </tp>
      <tp>
        <v>-25</v>
        <stp/>
        <stp>Market</stp>
        <stp>STOCK</stp>
        <stp>52040.T</stp>
        <stp>前日比</stp>
        <tr r="E575" s="7"/>
      </tp>
      <tp>
        <v>-88</v>
        <stp/>
        <stp>Market</stp>
        <stp>STOCK</stp>
        <stp>52530.T</stp>
        <stp>前日比</stp>
        <tr r="E580" s="7"/>
      </tp>
      <tp>
        <v>-12</v>
        <stp/>
        <stp>Market</stp>
        <stp>STOCK</stp>
        <stp>52430.T</stp>
        <stp>前日比</stp>
        <tr r="E577" s="7"/>
      </tp>
      <tp>
        <v>-4</v>
        <stp/>
        <stp>Market</stp>
        <stp>STOCK</stp>
        <stp>52440.T</stp>
        <stp>前日比</stp>
        <tr r="E578" s="7"/>
      </tp>
      <tp>
        <v>100</v>
        <stp/>
        <stp>Market</stp>
        <stp>STOCK</stp>
        <stp>52460.T</stp>
        <stp>前日比</stp>
        <tr r="E579" s="7"/>
      </tp>
      <tp>
        <v>0</v>
        <stp/>
        <stp>Market</stp>
        <stp>STOCK</stp>
        <stp>52770.T</stp>
        <stp>前日比</stp>
        <tr r="E583" s="7"/>
      </tp>
      <tp>
        <v>2</v>
        <stp/>
        <stp>Market</stp>
        <stp>STOCK</stp>
        <stp>52620.T</stp>
        <stp>前日比</stp>
        <tr r="E581" s="7"/>
      </tp>
      <tp>
        <v>-14</v>
        <stp/>
        <stp>Market</stp>
        <stp>STOCK</stp>
        <stp>52690.T</stp>
        <stp>前日比</stp>
        <tr r="E582" s="7"/>
      </tp>
      <tp>
        <v>11</v>
        <stp/>
        <stp>Market</stp>
        <stp>STOCK</stp>
        <stp>53810.T</stp>
        <stp>前日比</stp>
        <tr r="E589" s="7"/>
      </tp>
      <tp>
        <v>157</v>
        <stp/>
        <stp>Market</stp>
        <stp>STOCK</stp>
        <stp>53340.T</stp>
        <stp>前日比</stp>
        <tr r="E586" s="7"/>
      </tp>
      <tp>
        <v>9</v>
        <stp/>
        <stp>Market</stp>
        <stp>STOCK</stp>
        <stp>53570.T</stp>
        <stp>前日比</stp>
        <tr r="E588" s="7"/>
      </tp>
      <tp>
        <v>-9</v>
        <stp/>
        <stp>Market</stp>
        <stp>STOCK</stp>
        <stp>53410.T</stp>
        <stp>前日比</stp>
        <tr r="E587" s="7"/>
      </tp>
      <tp>
        <v>2</v>
        <stp/>
        <stp>Market</stp>
        <stp>STOCK</stp>
        <stp>54910.T</stp>
        <stp>前日比</stp>
        <tr r="E598" s="7"/>
      </tp>
      <tp>
        <v>12</v>
        <stp/>
        <stp>Market</stp>
        <stp>STOCK</stp>
        <stp>54110.T</stp>
        <stp>前日比</stp>
        <tr r="E594" s="7"/>
      </tp>
      <tp>
        <v>70</v>
        <stp/>
        <stp>Market</stp>
        <stp>STOCK</stp>
        <stp>54100.T</stp>
        <stp>前日比</stp>
        <tr r="E593" s="7"/>
      </tp>
      <tp>
        <v>50</v>
        <stp/>
        <stp>Market</stp>
        <stp>STOCK</stp>
        <stp>54010.T</stp>
        <stp>前日比</stp>
        <tr r="E590" s="7"/>
      </tp>
      <tp>
        <v>55</v>
        <stp/>
        <stp>Market</stp>
        <stp>STOCK</stp>
        <stp>54060.T</stp>
        <stp>前日比</stp>
        <tr r="E591" s="7"/>
      </tp>
      <tp>
        <v>61</v>
        <stp/>
        <stp>Market</stp>
        <stp>STOCK</stp>
        <stp>54080.T</stp>
        <stp>前日比</stp>
        <tr r="E592" s="7"/>
      </tp>
      <tp>
        <v>12</v>
        <stp/>
        <stp>Market</stp>
        <stp>STOCK</stp>
        <stp>54230.T</stp>
        <stp>前日比</stp>
        <tr r="E595" s="7"/>
      </tp>
      <tp>
        <v>4</v>
        <stp/>
        <stp>Market</stp>
        <stp>STOCK</stp>
        <stp>54490.T</stp>
        <stp>前日比</stp>
        <tr r="E596" s="7"/>
      </tp>
      <tp>
        <v>5</v>
        <stp/>
        <stp>Market</stp>
        <stp>STOCK</stp>
        <stp>54760.T</stp>
        <stp>前日比</stp>
        <tr r="E597" s="7"/>
      </tp>
      <tp>
        <v>-15</v>
        <stp/>
        <stp>Market</stp>
        <stp>STOCK</stp>
        <stp>55860.T</stp>
        <stp>前日比</stp>
        <tr r="E600" s="7"/>
      </tp>
      <tp>
        <v>2</v>
        <stp/>
        <stp>Market</stp>
        <stp>STOCK</stp>
        <stp>55630.T</stp>
        <stp>前日比</stp>
        <tr r="E599" s="7"/>
      </tp>
      <tp>
        <v>-2</v>
        <stp/>
        <stp>Market</stp>
        <stp>STOCK</stp>
        <stp>56980.T</stp>
        <stp>前日比</stp>
        <tr r="E604" s="7"/>
      </tp>
      <tp>
        <v>0</v>
        <stp/>
        <stp>Market</stp>
        <stp>STOCK</stp>
        <stp>56120.T</stp>
        <stp>前日比</stp>
        <tr r="E601" s="7"/>
      </tp>
      <tp>
        <v>39</v>
        <stp/>
        <stp>Market</stp>
        <stp>STOCK</stp>
        <stp>56320.T</stp>
        <stp>前日比</stp>
        <tr r="E602" s="7"/>
      </tp>
      <tp>
        <v>4</v>
        <stp/>
        <stp>Market</stp>
        <stp>STOCK</stp>
        <stp>56580.T</stp>
        <stp>前日比</stp>
        <tr r="E603" s="7"/>
      </tp>
      <tp>
        <v>61</v>
        <stp/>
        <stp>Market</stp>
        <stp>STOCK</stp>
        <stp>57110.T</stp>
        <stp>前日比</stp>
        <tr r="E607" s="7"/>
      </tp>
      <tp>
        <v>4</v>
        <stp/>
        <stp>Market</stp>
        <stp>STOCK</stp>
        <stp>57030.T</stp>
        <stp>前日比</stp>
        <tr r="E605" s="7"/>
      </tp>
      <tp>
        <v>-24</v>
        <stp/>
        <stp>Market</stp>
        <stp>STOCK</stp>
        <stp>57040.T</stp>
        <stp>前日比</stp>
        <tr r="E606" s="7"/>
      </tp>
      <tp>
        <v>17</v>
        <stp/>
        <stp>Market</stp>
        <stp>STOCK</stp>
        <stp>57270.T</stp>
        <stp>前日比</stp>
        <tr r="E609" s="7"/>
      </tp>
      <tp>
        <v>35</v>
        <stp/>
        <stp>Market</stp>
        <stp>STOCK</stp>
        <stp>57260.T</stp>
        <stp>前日比</stp>
        <tr r="E608" s="7"/>
      </tp>
      <tp>
        <v>-36</v>
        <stp/>
        <stp>Market</stp>
        <stp>STOCK</stp>
        <stp>57590.T</stp>
        <stp>前日比</stp>
        <tr r="E610" s="7"/>
      </tp>
      <tp>
        <v>13.5</v>
        <stp/>
        <stp>Market</stp>
        <stp>STOCK</stp>
        <stp>58010.T</stp>
        <stp>前日比</stp>
        <tr r="E611" s="7"/>
      </tp>
      <tp>
        <v>10</v>
        <stp/>
        <stp>Market</stp>
        <stp>STOCK</stp>
        <stp>58030.T</stp>
        <stp>前日比</stp>
        <tr r="E613" s="7"/>
      </tp>
      <tp>
        <v>15</v>
        <stp/>
        <stp>Market</stp>
        <stp>STOCK</stp>
        <stp>58020.T</stp>
        <stp>前日比</stp>
        <tr r="E612" s="7"/>
      </tp>
      <tp>
        <v>2</v>
        <stp/>
        <stp>Market</stp>
        <stp>STOCK</stp>
        <stp>58320.T</stp>
        <stp>前日比</stp>
        <tr r="E614" s="7"/>
      </tp>
      <tp>
        <v>-34</v>
        <stp/>
        <stp>Market</stp>
        <stp>STOCK</stp>
        <stp>58380.T</stp>
        <stp>前日比</stp>
        <tr r="E615" s="7"/>
      </tp>
      <tp>
        <v>30</v>
        <stp/>
        <stp>Market</stp>
        <stp>STOCK</stp>
        <stp>58520.T</stp>
        <stp>前日比</stp>
        <tr r="E616" s="7"/>
      </tp>
      <tp>
        <v>-1</v>
        <stp/>
        <stp>Market</stp>
        <stp>STOCK</stp>
        <stp>58560.T</stp>
        <stp>前日比</stp>
        <tr r="E617" s="7"/>
      </tp>
      <tp>
        <v>7.5</v>
        <stp/>
        <stp>Market</stp>
        <stp>STOCK</stp>
        <stp>59910.T</stp>
        <stp>前日比</stp>
        <tr r="E633" s="7"/>
      </tp>
      <tp>
        <v>-1</v>
        <stp/>
        <stp>Market</stp>
        <stp>STOCK</stp>
        <stp>59940.T</stp>
        <stp>前日比</stp>
        <tr r="E634" s="7"/>
      </tp>
      <tp>
        <v>0</v>
        <stp/>
        <stp>Market</stp>
        <stp>STOCK</stp>
        <stp>59970.T</stp>
        <stp>前日比</stp>
        <tr r="E635" s="7"/>
      </tp>
      <tp>
        <v>11</v>
        <stp/>
        <stp>Market</stp>
        <stp>STOCK</stp>
        <stp>59810.T</stp>
        <stp>前日比</stp>
        <tr r="E631" s="7"/>
      </tp>
      <tp>
        <v>2</v>
        <stp/>
        <stp>Market</stp>
        <stp>STOCK</stp>
        <stp>59860.T</stp>
        <stp>前日比</stp>
        <tr r="E632" s="7"/>
      </tp>
      <tp>
        <v>-3</v>
        <stp/>
        <stp>Market</stp>
        <stp>STOCK</stp>
        <stp>59090.T</stp>
        <stp>前日比</stp>
        <tr r="E618" s="7"/>
      </tp>
      <tp>
        <v>-1</v>
        <stp/>
        <stp>Market</stp>
        <stp>STOCK</stp>
        <stp>59360.T</stp>
        <stp>前日比</stp>
        <tr r="E620" s="7"/>
      </tp>
      <tp>
        <v>-15</v>
        <stp/>
        <stp>Market</stp>
        <stp>STOCK</stp>
        <stp>59380.T</stp>
        <stp>前日比</stp>
        <tr r="E621" s="7"/>
      </tp>
      <tp>
        <v>-5</v>
        <stp/>
        <stp>Market</stp>
        <stp>STOCK</stp>
        <stp>59280.T</stp>
        <stp>前日比</stp>
        <tr r="E619" s="7"/>
      </tp>
      <tp>
        <v>0</v>
        <stp/>
        <stp>Market</stp>
        <stp>STOCK</stp>
        <stp>59500.T</stp>
        <stp>前日比</stp>
        <tr r="E625" s="7"/>
      </tp>
      <tp>
        <v>0</v>
        <stp/>
        <stp>Market</stp>
        <stp>STOCK</stp>
        <stp>59520.T</stp>
        <stp>前日比</stp>
        <tr r="E626" s="7"/>
      </tp>
      <tp>
        <v>2</v>
        <stp/>
        <stp>Market</stp>
        <stp>STOCK</stp>
        <stp>59550.T</stp>
        <stp>前日比</stp>
        <tr r="E627" s="7"/>
      </tp>
      <tp>
        <v>-1</v>
        <stp/>
        <stp>Market</stp>
        <stp>STOCK</stp>
        <stp>59400.T</stp>
        <stp>前日比</stp>
        <tr r="E622" s="7"/>
      </tp>
      <tp>
        <v>-12</v>
        <stp/>
        <stp>Market</stp>
        <stp>STOCK</stp>
        <stp>59470.T</stp>
        <stp>前日比</stp>
        <tr r="E623" s="7"/>
      </tp>
      <tp>
        <v>32</v>
        <stp/>
        <stp>Market</stp>
        <stp>STOCK</stp>
        <stp>59490.T</stp>
        <stp>前日比</stp>
        <tr r="E624" s="7"/>
      </tp>
      <tp>
        <v>78</v>
        <stp/>
        <stp>Market</stp>
        <stp>STOCK</stp>
        <stp>59700.T</stp>
        <stp>前日比</stp>
        <tr r="E629" s="7"/>
      </tp>
      <tp>
        <v>2</v>
        <stp/>
        <stp>Market</stp>
        <stp>STOCK</stp>
        <stp>59760.T</stp>
        <stp>前日比</stp>
        <tr r="E630" s="7"/>
      </tp>
      <tp>
        <v>-156</v>
        <stp/>
        <stp>Market</stp>
        <stp>STOCK</stp>
        <stp>59660.T</stp>
        <stp>前日比</stp>
        <tr r="E628" s="7"/>
      </tp>
      <tp t="s">
        <v>表示銘柄数超過</v>
        <stp/>
        <stp>Market</stp>
        <stp>STOCK</stp>
        <stp>40110.T</stp>
        <stp>前日比</stp>
        <tr r="E411" s="7"/>
      </tp>
      <tp t="s">
        <v>表示銘柄数超過</v>
        <stp/>
        <stp>Market</stp>
        <stp>STOCK</stp>
        <stp>40160.T</stp>
        <stp>前日比</stp>
        <tr r="E412" s="7"/>
      </tp>
      <tp t="s">
        <v>表示銘柄数超過</v>
        <stp/>
        <stp>Market</stp>
        <stp>STOCK</stp>
        <stp>40040.T</stp>
        <stp>前日比</stp>
        <tr r="E410" s="7"/>
      </tp>
      <tp t="s">
        <v>表示銘柄数超過</v>
        <stp/>
        <stp>Market</stp>
        <stp>STOCK</stp>
        <stp>40270.T</stp>
        <stp>前日比</stp>
        <tr r="E413" s="7"/>
      </tp>
      <tp t="s">
        <v>表示銘柄数超過</v>
        <stp/>
        <stp>Market</stp>
        <stp>STOCK</stp>
        <stp>40590.T</stp>
        <stp>前日比</stp>
        <tr r="E414" s="7"/>
      </tp>
      <tp t="s">
        <v>表示銘柄数超過</v>
        <stp/>
        <stp>Market</stp>
        <stp>STOCK</stp>
        <stp>40750.T</stp>
        <stp>前日比</stp>
        <tr r="E416" s="7"/>
      </tp>
      <tp t="s">
        <v>表示銘柄数超過</v>
        <stp/>
        <stp>Market</stp>
        <stp>STOCK</stp>
        <stp>40630.T</stp>
        <stp>前日比</stp>
        <tr r="E415" s="7"/>
      </tp>
      <tp t="s">
        <v>表示銘柄数超過</v>
        <stp/>
        <stp>Market</stp>
        <stp>STOCK</stp>
        <stp>41920.T</stp>
        <stp>前日比</stp>
        <tr r="E424" s="7"/>
      </tp>
      <tp t="s">
        <v>表示銘柄数超過</v>
        <stp/>
        <stp>Market</stp>
        <stp>STOCK</stp>
        <stp>41850.T</stp>
        <stp>前日比</stp>
        <tr r="E422" s="7"/>
      </tp>
      <tp t="s">
        <v>表示銘柄数超過</v>
        <stp/>
        <stp>Market</stp>
        <stp>STOCK</stp>
        <stp>41880.T</stp>
        <stp>前日比</stp>
        <tr r="E423" s="7"/>
      </tp>
      <tp t="s">
        <v>表示銘柄数超過</v>
        <stp/>
        <stp>Market</stp>
        <stp>STOCK</stp>
        <stp>41700.T</stp>
        <stp>前日比</stp>
        <tr r="E420" s="7"/>
      </tp>
      <tp t="s">
        <v>表示銘柄数超過</v>
        <stp/>
        <stp>Market</stp>
        <stp>STOCK</stp>
        <stp>41760.T</stp>
        <stp>前日比</stp>
        <tr r="E421" s="7"/>
      </tp>
      <tp t="s">
        <v>表示銘柄数超過</v>
        <stp/>
        <stp>Market</stp>
        <stp>STOCK</stp>
        <stp>41650.T</stp>
        <stp>前日比</stp>
        <tr r="E417" s="7"/>
      </tp>
      <tp t="s">
        <v>表示銘柄数超過</v>
        <stp/>
        <stp>Market</stp>
        <stp>STOCK</stp>
        <stp>41670.T</stp>
        <stp>前日比</stp>
        <tr r="E418" s="7"/>
      </tp>
      <tp t="s">
        <v>表示銘柄数超過</v>
        <stp/>
        <stp>Market</stp>
        <stp>STOCK</stp>
        <stp>41690.T</stp>
        <stp>前日比</stp>
        <tr r="E419" s="7"/>
      </tp>
      <tp t="s">
        <v>表示銘柄数超過</v>
        <stp/>
        <stp>Market</stp>
        <stp>STOCK</stp>
        <stp>42930.T</stp>
        <stp>前日比</stp>
        <tr r="E439" s="7"/>
      </tp>
      <tp t="s">
        <v>表示銘柄数超過</v>
        <stp/>
        <stp>Market</stp>
        <stp>STOCK</stp>
        <stp>42870.T</stp>
        <stp>前日比</stp>
        <tr r="E438" s="7"/>
      </tp>
      <tp t="s">
        <v>表示銘柄数超過</v>
        <stp/>
        <stp>Market</stp>
        <stp>STOCK</stp>
        <stp>42860.T</stp>
        <stp>前日比</stp>
        <tr r="E437" s="7"/>
      </tp>
      <tp t="s">
        <v>表示銘柄数超過</v>
        <stp/>
        <stp>Market</stp>
        <stp>STOCK</stp>
        <stp>42000.T</stp>
        <stp>前日比</stp>
        <tr r="E425" s="7"/>
      </tp>
      <tp t="s">
        <v>表示銘柄数超過</v>
        <stp/>
        <stp>Market</stp>
        <stp>STOCK</stp>
        <stp>42020.T</stp>
        <stp>前日比</stp>
        <tr r="E426" s="7"/>
      </tp>
      <tp t="s">
        <v>表示銘柄数超過</v>
        <stp/>
        <stp>Market</stp>
        <stp>STOCK</stp>
        <stp>42370.T</stp>
        <stp>前日比</stp>
        <tr r="E427" s="7"/>
      </tp>
      <tp t="s">
        <v>表示銘柄数超過</v>
        <stp/>
        <stp>Market</stp>
        <stp>STOCK</stp>
        <stp>42380.T</stp>
        <stp>前日比</stp>
        <tr r="E428" s="7"/>
      </tp>
      <tp t="s">
        <v>表示銘柄数超過</v>
        <stp/>
        <stp>Market</stp>
        <stp>STOCK</stp>
        <stp>42590.T</stp>
        <stp>前日比</stp>
        <tr r="E432" s="7"/>
      </tp>
      <tp t="s">
        <v>表示銘柄数超過</v>
        <stp/>
        <stp>Market</stp>
        <stp>STOCK</stp>
        <stp>42580.T</stp>
        <stp>前日比</stp>
        <tr r="E431" s="7"/>
      </tp>
      <tp t="s">
        <v>表示銘柄数超過</v>
        <stp/>
        <stp>Market</stp>
        <stp>STOCK</stp>
        <stp>42410.T</stp>
        <stp>前日比</stp>
        <tr r="E429" s="7"/>
      </tp>
      <tp t="s">
        <v>表示銘柄数超過</v>
        <stp/>
        <stp>Market</stp>
        <stp>STOCK</stp>
        <stp>42430.T</stp>
        <stp>前日比</stp>
        <tr r="E430" s="7"/>
      </tp>
      <tp t="s">
        <v>表示銘柄数超過</v>
        <stp/>
        <stp>Market</stp>
        <stp>STOCK</stp>
        <stp>42750.T</stp>
        <stp>前日比</stp>
        <tr r="E436" s="7"/>
      </tp>
      <tp t="s">
        <v>表示銘柄数超過</v>
        <stp/>
        <stp>Market</stp>
        <stp>STOCK</stp>
        <stp>42740.T</stp>
        <stp>前日比</stp>
        <tr r="E435" s="7"/>
      </tp>
      <tp t="s">
        <v>表示銘柄数超過</v>
        <stp/>
        <stp>Market</stp>
        <stp>STOCK</stp>
        <stp>42640.T</stp>
        <stp>前日比</stp>
        <tr r="E433" s="7"/>
      </tp>
      <tp t="s">
        <v>表示銘柄数超過</v>
        <stp/>
        <stp>Market</stp>
        <stp>STOCK</stp>
        <stp>42680.T</stp>
        <stp>前日比</stp>
        <tr r="E434" s="7"/>
      </tp>
      <tp t="s">
        <v>表示銘柄数超過</v>
        <stp/>
        <stp>Market</stp>
        <stp>STOCK</stp>
        <stp>43950.T</stp>
        <stp>前日比</stp>
        <tr r="E458" s="7"/>
      </tp>
      <tp t="s">
        <v>表示銘柄数超過</v>
        <stp/>
        <stp>Market</stp>
        <stp>STOCK</stp>
        <stp>43820.T</stp>
        <stp>前日比</stp>
        <tr r="E455" s="7"/>
      </tp>
      <tp t="s">
        <v>表示銘柄数超過</v>
        <stp/>
        <stp>Market</stp>
        <stp>STOCK</stp>
        <stp>43850.T</stp>
        <stp>前日比</stp>
        <tr r="E456" s="7"/>
      </tp>
      <tp t="s">
        <v>表示銘柄数超過</v>
        <stp/>
        <stp>Market</stp>
        <stp>STOCK</stp>
        <stp>43880.T</stp>
        <stp>前日比</stp>
        <tr r="E457" s="7"/>
      </tp>
      <tp t="s">
        <v>表示銘柄数超過</v>
        <stp/>
        <stp>Market</stp>
        <stp>STOCK</stp>
        <stp>43160.T</stp>
        <stp>前日比</stp>
        <tr r="E442" s="7"/>
      </tp>
      <tp t="s">
        <v>表示銘柄数超過</v>
        <stp/>
        <stp>Market</stp>
        <stp>STOCK</stp>
        <stp>43040.T</stp>
        <stp>前日比</stp>
        <tr r="E440" s="7"/>
      </tp>
      <tp t="s">
        <v>表示銘柄数超過</v>
        <stp/>
        <stp>Market</stp>
        <stp>STOCK</stp>
        <stp>43080.T</stp>
        <stp>前日比</stp>
        <tr r="E441" s="7"/>
      </tp>
      <tp t="s">
        <v>表示銘柄数超過</v>
        <stp/>
        <stp>Market</stp>
        <stp>STOCK</stp>
        <stp>43370.T</stp>
        <stp>前日比</stp>
        <tr r="E444" s="7"/>
      </tp>
      <tp t="s">
        <v>表示銘柄数超過</v>
        <stp/>
        <stp>Market</stp>
        <stp>STOCK</stp>
        <stp>43240.T</stp>
        <stp>前日比</stp>
        <tr r="E443" s="7"/>
      </tp>
      <tp t="s">
        <v>表示銘柄数超過</v>
        <stp/>
        <stp>Market</stp>
        <stp>STOCK</stp>
        <stp>43500.T</stp>
        <stp>前日比</stp>
        <tr r="E447" s="7"/>
      </tp>
      <tp t="s">
        <v>表示銘柄数超過</v>
        <stp/>
        <stp>Market</stp>
        <stp>STOCK</stp>
        <stp>43550.T</stp>
        <stp>前日比</stp>
        <tr r="E448" s="7"/>
      </tp>
      <tp t="s">
        <v>表示銘柄数超過</v>
        <stp/>
        <stp>Market</stp>
        <stp>STOCK</stp>
        <stp>43430.T</stp>
        <stp>前日比</stp>
        <tr r="E445" s="7"/>
      </tp>
      <tp t="s">
        <v>表示銘柄数超過</v>
        <stp/>
        <stp>Market</stp>
        <stp>STOCK</stp>
        <stp>43460.T</stp>
        <stp>前日比</stp>
        <tr r="E446" s="7"/>
      </tp>
      <tp t="s">
        <v>表示銘柄数超過</v>
        <stp/>
        <stp>Market</stp>
        <stp>STOCK</stp>
        <stp>43700.T</stp>
        <stp>前日比</stp>
        <tr r="E449" s="7"/>
      </tp>
      <tp t="s">
        <v>表示銘柄数超過</v>
        <stp/>
        <stp>Market</stp>
        <stp>STOCK</stp>
        <stp>43730.T</stp>
        <stp>前日比</stp>
        <tr r="E450" s="7"/>
      </tp>
      <tp t="s">
        <v>表示銘柄数超過</v>
        <stp/>
        <stp>Market</stp>
        <stp>STOCK</stp>
        <stp>43740.T</stp>
        <stp>前日比</stp>
        <tr r="E451" s="7"/>
      </tp>
      <tp t="s">
        <v>表示銘柄数超過</v>
        <stp/>
        <stp>Market</stp>
        <stp>STOCK</stp>
        <stp>43760.T</stp>
        <stp>前日比</stp>
        <tr r="E452" s="7"/>
      </tp>
      <tp t="s">
        <v>表示銘柄数超過</v>
        <stp/>
        <stp>Market</stp>
        <stp>STOCK</stp>
        <stp>43790.T</stp>
        <stp>前日比</stp>
        <tr r="E454" s="7"/>
      </tp>
      <tp t="s">
        <v>表示銘柄数超過</v>
        <stp/>
        <stp>Market</stp>
        <stp>STOCK</stp>
        <stp>43780.T</stp>
        <stp>前日比</stp>
        <tr r="E453" s="7"/>
      </tp>
      <tp t="s">
        <v>表示銘柄数超過</v>
        <stp/>
        <stp>Market</stp>
        <stp>STOCK</stp>
        <stp>44920.T</stp>
        <stp>前日比</stp>
        <tr r="E477" s="7"/>
      </tp>
      <tp t="s">
        <v>表示銘柄数超過</v>
        <stp/>
        <stp>Market</stp>
        <stp>STOCK</stp>
        <stp>44950.T</stp>
        <stp>前日比</stp>
        <tr r="E478" s="7"/>
      </tp>
      <tp t="s">
        <v>表示銘柄数超過</v>
        <stp/>
        <stp>Market</stp>
        <stp>STOCK</stp>
        <stp>44840.T</stp>
        <stp>前日比</stp>
        <tr r="E475" s="7"/>
      </tp>
      <tp t="s">
        <v>表示銘柄数超過</v>
        <stp/>
        <stp>Market</stp>
        <stp>STOCK</stp>
        <stp>44870.T</stp>
        <stp>前日比</stp>
        <tr r="E476" s="7"/>
      </tp>
      <tp t="s">
        <v>表示銘柄数超過</v>
        <stp/>
        <stp>Market</stp>
        <stp>STOCK</stp>
        <stp>44140.T</stp>
        <stp>前日比</stp>
        <tr r="E460" s="7"/>
      </tp>
      <tp t="s">
        <v>表示銘柄数超過</v>
        <stp/>
        <stp>Market</stp>
        <stp>STOCK</stp>
        <stp>44160.T</stp>
        <stp>前日比</stp>
        <tr r="E461" s="7"/>
      </tp>
      <tp t="s">
        <v>表示銘柄数超過</v>
        <stp/>
        <stp>Market</stp>
        <stp>STOCK</stp>
        <stp>44190.T</stp>
        <stp>前日比</stp>
        <tr r="E462" s="7"/>
      </tp>
      <tp t="s">
        <v>表示銘柄数超過</v>
        <stp/>
        <stp>Market</stp>
        <stp>STOCK</stp>
        <stp>44060.T</stp>
        <stp>前日比</stp>
        <tr r="E459" s="7"/>
      </tp>
      <tp t="s">
        <v>表示銘柄数超過</v>
        <stp/>
        <stp>Market</stp>
        <stp>STOCK</stp>
        <stp>44360.T</stp>
        <stp>前日比</stp>
        <tr r="E464" s="7"/>
      </tp>
      <tp t="s">
        <v>表示銘柄数超過</v>
        <stp/>
        <stp>Market</stp>
        <stp>STOCK</stp>
        <stp>44380.T</stp>
        <stp>前日比</stp>
        <tr r="E465" s="7"/>
      </tp>
      <tp t="s">
        <v>表示銘柄数超過</v>
        <stp/>
        <stp>Market</stp>
        <stp>STOCK</stp>
        <stp>44270.T</stp>
        <stp>前日比</stp>
        <tr r="E463" s="7"/>
      </tp>
      <tp t="s">
        <v>表示銘柄数超過</v>
        <stp/>
        <stp>Market</stp>
        <stp>STOCK</stp>
        <stp>44520.T</stp>
        <stp>前日比</stp>
        <tr r="E469" s="7"/>
      </tp>
      <tp t="s">
        <v>表示銘柄数超過</v>
        <stp/>
        <stp>Market</stp>
        <stp>STOCK</stp>
        <stp>44410.T</stp>
        <stp>前日比</stp>
        <tr r="E466" s="7"/>
      </tp>
      <tp t="s">
        <v>表示銘柄数超過</v>
        <stp/>
        <stp>Market</stp>
        <stp>STOCK</stp>
        <stp>44440.T</stp>
        <stp>前日比</stp>
        <tr r="E467" s="7"/>
      </tp>
      <tp t="s">
        <v>表示銘柄数超過</v>
        <stp/>
        <stp>Market</stp>
        <stp>STOCK</stp>
        <stp>44480.T</stp>
        <stp>前日比</stp>
        <tr r="E468" s="7"/>
      </tp>
      <tp t="s">
        <v>表示銘柄数超過</v>
        <stp/>
        <stp>Market</stp>
        <stp>STOCK</stp>
        <stp>44750.T</stp>
        <stp>前日比</stp>
        <tr r="E471" s="7"/>
      </tp>
      <tp t="s">
        <v>表示銘柄数超過</v>
        <stp/>
        <stp>Market</stp>
        <stp>STOCK</stp>
        <stp>44770.T</stp>
        <stp>前日比</stp>
        <tr r="E473" s="7"/>
      </tp>
      <tp t="s">
        <v>表示銘柄数超過</v>
        <stp/>
        <stp>Market</stp>
        <stp>STOCK</stp>
        <stp>44760.T</stp>
        <stp>前日比</stp>
        <tr r="E472" s="7"/>
      </tp>
      <tp t="s">
        <v>表示銘柄数超過</v>
        <stp/>
        <stp>Market</stp>
        <stp>STOCK</stp>
        <stp>44790.T</stp>
        <stp>前日比</stp>
        <tr r="E474" s="7"/>
      </tp>
      <tp t="s">
        <v>表示銘柄数超過</v>
        <stp/>
        <stp>Market</stp>
        <stp>STOCK</stp>
        <stp>45910.T</stp>
        <stp>前日比</stp>
        <tr r="E502" s="7"/>
      </tp>
      <tp t="s">
        <v>表示銘柄数超過</v>
        <stp/>
        <stp>Market</stp>
        <stp>STOCK</stp>
        <stp>45930.T</stp>
        <stp>前日比</stp>
        <tr r="E504" s="7"/>
      </tp>
      <tp t="s">
        <v>表示銘柄数超過</v>
        <stp/>
        <stp>Market</stp>
        <stp>STOCK</stp>
        <stp>45920.T</stp>
        <stp>前日比</stp>
        <tr r="E503" s="7"/>
      </tp>
      <tp t="s">
        <v>表示銘柄数超過</v>
        <stp/>
        <stp>Market</stp>
        <stp>STOCK</stp>
        <stp>45940.T</stp>
        <stp>前日比</stp>
        <tr r="E505" s="7"/>
      </tp>
      <tp t="s">
        <v>表示銘柄数超過</v>
        <stp/>
        <stp>Market</stp>
        <stp>STOCK</stp>
        <stp>45970.T</stp>
        <stp>前日比</stp>
        <tr r="E507" s="7"/>
      </tp>
      <tp t="s">
        <v>表示銘柄数超過</v>
        <stp/>
        <stp>Market</stp>
        <stp>STOCK</stp>
        <stp>45960.T</stp>
        <stp>前日比</stp>
        <tr r="E506" s="7"/>
      </tp>
      <tp t="s">
        <v>表示銘柄数超過</v>
        <stp/>
        <stp>Market</stp>
        <stp>STOCK</stp>
        <stp>45830.T</stp>
        <stp>前日比</stp>
        <tr r="E498" s="7"/>
      </tp>
      <tp t="s">
        <v>表示銘柄数超過</v>
        <stp/>
        <stp>Market</stp>
        <stp>STOCK</stp>
        <stp>45820.T</stp>
        <stp>前日比</stp>
        <tr r="E497" s="7"/>
      </tp>
      <tp t="s">
        <v>表示銘柄数超過</v>
        <stp/>
        <stp>Market</stp>
        <stp>STOCK</stp>
        <stp>45840.T</stp>
        <stp>前日比</stp>
        <tr r="E499" s="7"/>
      </tp>
      <tp t="s">
        <v>表示銘柄数超過</v>
        <stp/>
        <stp>Market</stp>
        <stp>STOCK</stp>
        <stp>45860.T</stp>
        <stp>前日比</stp>
        <tr r="E500" s="7"/>
      </tp>
      <tp t="s">
        <v>表示銘柄数超過</v>
        <stp/>
        <stp>Market</stp>
        <stp>STOCK</stp>
        <stp>45880.T</stp>
        <stp>前日比</stp>
        <tr r="E501" s="7"/>
      </tp>
      <tp t="s">
        <v>表示銘柄数超過</v>
        <stp/>
        <stp>Market</stp>
        <stp>STOCK</stp>
        <stp>45030.T</stp>
        <stp>前日比</stp>
        <tr r="E479" s="7"/>
      </tp>
      <tp t="s">
        <v>表示銘柄数超過</v>
        <stp/>
        <stp>Market</stp>
        <stp>STOCK</stp>
        <stp>45070.T</stp>
        <stp>前日比</stp>
        <tr r="E481" s="7"/>
      </tp>
      <tp>
        <v>13</v>
        <stp/>
        <stp>Market</stp>
        <stp>STOCK</stp>
        <stp>45060.T</stp>
        <stp>前日比</stp>
        <tr r="E480" s="7"/>
      </tp>
      <tp t="s">
        <v>表示銘柄数超過</v>
        <stp/>
        <stp>Market</stp>
        <stp>STOCK</stp>
        <stp>45310.T</stp>
        <stp>前日比</stp>
        <tr r="E483" s="7"/>
      </tp>
      <tp t="s">
        <v>表示銘柄数超過</v>
        <stp/>
        <stp>Market</stp>
        <stp>STOCK</stp>
        <stp>45230.T</stp>
        <stp>前日比</stp>
        <tr r="E482" s="7"/>
      </tp>
      <tp t="s">
        <v>表示銘柄数超過</v>
        <stp/>
        <stp>Market</stp>
        <stp>STOCK</stp>
        <stp>45540.T</stp>
        <stp>前日比</stp>
        <tr r="E484" s="7"/>
      </tp>
      <tp t="s">
        <v>表示銘柄数超過</v>
        <stp/>
        <stp>Market</stp>
        <stp>STOCK</stp>
        <stp>45580.T</stp>
        <stp>前日比</stp>
        <tr r="E485" s="7"/>
      </tp>
      <tp t="s">
        <v>表示銘柄数超過</v>
        <stp/>
        <stp>Market</stp>
        <stp>STOCK</stp>
        <stp>45710.T</stp>
        <stp>前日比</stp>
        <tr r="E491" s="7"/>
      </tp>
      <tp t="s">
        <v>表示銘柄数超過</v>
        <stp/>
        <stp>Market</stp>
        <stp>STOCK</stp>
        <stp>45700.T</stp>
        <stp>前日比</stp>
        <tr r="E490" s="7"/>
      </tp>
      <tp t="s">
        <v>表示銘柄数超過</v>
        <stp/>
        <stp>Market</stp>
        <stp>STOCK</stp>
        <stp>45720.T</stp>
        <stp>前日比</stp>
        <tr r="E492" s="7"/>
      </tp>
      <tp t="s">
        <v>表示銘柄数超過</v>
        <stp/>
        <stp>Market</stp>
        <stp>STOCK</stp>
        <stp>45750.T</stp>
        <stp>前日比</stp>
        <tr r="E494" s="7"/>
      </tp>
      <tp t="s">
        <v>表示銘柄数超過</v>
        <stp/>
        <stp>Market</stp>
        <stp>STOCK</stp>
        <stp>45740.T</stp>
        <stp>前日比</stp>
        <tr r="E493" s="7"/>
      </tp>
      <tp t="s">
        <v>表示銘柄数超過</v>
        <stp/>
        <stp>Market</stp>
        <stp>STOCK</stp>
        <stp>45760.T</stp>
        <stp>前日比</stp>
        <tr r="E495" s="7"/>
      </tp>
      <tp t="s">
        <v>表示銘柄数超過</v>
        <stp/>
        <stp>Market</stp>
        <stp>STOCK</stp>
        <stp>45780.T</stp>
        <stp>前日比</stp>
        <tr r="E496" s="7"/>
      </tp>
      <tp t="s">
        <v>表示銘柄数超過</v>
        <stp/>
        <stp>Market</stp>
        <stp>STOCK</stp>
        <stp>45630.T</stp>
        <stp>前日比</stp>
        <tr r="E486" s="7"/>
      </tp>
      <tp t="s">
        <v>表示銘柄数超過</v>
        <stp/>
        <stp>Market</stp>
        <stp>STOCK</stp>
        <stp>45650.T</stp>
        <stp>前日比</stp>
        <tr r="E488" s="7"/>
      </tp>
      <tp t="s">
        <v>表示銘柄数超過</v>
        <stp/>
        <stp>Market</stp>
        <stp>STOCK</stp>
        <stp>45640.T</stp>
        <stp>前日比</stp>
        <tr r="E487" s="7"/>
      </tp>
      <tp t="s">
        <v>表示銘柄数超過</v>
        <stp/>
        <stp>Market</stp>
        <stp>STOCK</stp>
        <stp>45680.T</stp>
        <stp>前日比</stp>
        <tr r="E489" s="7"/>
      </tp>
      <tp t="s">
        <v>表示銘柄数超過</v>
        <stp/>
        <stp>Market</stp>
        <stp>STOCK</stp>
        <stp>46900.T</stp>
        <stp>前日比</stp>
        <tr r="E521" s="7"/>
      </tp>
      <tp t="s">
        <v>表示銘柄数超過</v>
        <stp/>
        <stp>Market</stp>
        <stp>STOCK</stp>
        <stp>46800.T</stp>
        <stp>前日比</stp>
        <tr r="E519" s="7"/>
      </tp>
      <tp>
        <v>-33.700000000000003</v>
        <stp/>
        <stp>Market</stp>
        <stp>STOCK</stp>
        <stp>46890.T</stp>
        <stp>前日比</stp>
        <tr r="E520" s="7"/>
      </tp>
      <tp t="s">
        <v>表示銘柄数超過</v>
        <stp/>
        <stp>Market</stp>
        <stp>STOCK</stp>
        <stp>46110.T</stp>
        <stp>前日比</stp>
        <tr r="E508" s="7"/>
      </tp>
      <tp t="s">
        <v>表示銘柄数超過</v>
        <stp/>
        <stp>Market</stp>
        <stp>STOCK</stp>
        <stp>46130.T</stp>
        <stp>前日比</stp>
        <tr r="E510" s="7"/>
      </tp>
      <tp t="s">
        <v>表示銘柄数超過</v>
        <stp/>
        <stp>Market</stp>
        <stp>STOCK</stp>
        <stp>46120.T</stp>
        <stp>前日比</stp>
        <tr r="E509" s="7"/>
      </tp>
      <tp t="s">
        <v>表示銘柄数超過</v>
        <stp/>
        <stp>Market</stp>
        <stp>STOCK</stp>
        <stp>46190.T</stp>
        <stp>前日比</stp>
        <tr r="E511" s="7"/>
      </tp>
      <tp t="s">
        <v>表示銘柄数超過</v>
        <stp/>
        <stp>Market</stp>
        <stp>STOCK</stp>
        <stp>46310.T</stp>
        <stp>前日比</stp>
        <tr r="E470" s="7"/>
      </tp>
      <tp t="s">
        <v>表示銘柄数超過</v>
        <stp/>
        <stp>Market</stp>
        <stp>STOCK</stp>
        <stp>46200.T</stp>
        <stp>前日比</stp>
        <tr r="E512" s="7"/>
      </tp>
      <tp t="s">
        <v>表示銘柄数超過</v>
        <stp/>
        <stp>Market</stp>
        <stp>STOCK</stp>
        <stp>46510.T</stp>
        <stp>前日比</stp>
        <tr r="E513" s="7"/>
      </tp>
      <tp t="s">
        <v>表示銘柄数超過</v>
        <stp/>
        <stp>Market</stp>
        <stp>STOCK</stp>
        <stp>46570.T</stp>
        <stp>前日比</stp>
        <tr r="E514" s="7"/>
      </tp>
      <tp t="s">
        <v>表示銘柄数超過</v>
        <stp/>
        <stp>Market</stp>
        <stp>STOCK</stp>
        <stp>46760.T</stp>
        <stp>前日比</stp>
        <tr r="E518" s="7"/>
      </tp>
      <tp t="s">
        <v>表示銘柄数超過</v>
        <stp/>
        <stp>Market</stp>
        <stp>STOCK</stp>
        <stp>46640.T</stp>
        <stp>前日比</stp>
        <tr r="E515" s="7"/>
      </tp>
      <tp t="s">
        <v>表示銘柄数超過</v>
        <stp/>
        <stp>Market</stp>
        <stp>STOCK</stp>
        <stp>46670.T</stp>
        <stp>前日比</stp>
        <tr r="E516" s="7"/>
        <tr r="E517" s="7"/>
      </tp>
      <tp t="s">
        <v>表示銘柄数超過</v>
        <stp/>
        <stp>Market</stp>
        <stp>STOCK</stp>
        <stp>47840.T</stp>
        <stp>前日比</stp>
        <tr r="E535" s="7"/>
      </tp>
      <tp t="s">
        <v>表示銘柄数超過</v>
        <stp/>
        <stp>Market</stp>
        <stp>STOCK</stp>
        <stp>47140.T</stp>
        <stp>前日比</stp>
        <tr r="E524" s="7"/>
      </tp>
      <tp t="s">
        <v>表示銘柄数超過</v>
        <stp/>
        <stp>Market</stp>
        <stp>STOCK</stp>
        <stp>47160.T</stp>
        <stp>前日比</stp>
        <tr r="E525" s="7"/>
      </tp>
      <tp t="s">
        <v>表示銘柄数超過</v>
        <stp/>
        <stp>Market</stp>
        <stp>STOCK</stp>
        <stp>47050.T</stp>
        <stp>前日比</stp>
        <tr r="E522" s="7"/>
      </tp>
      <tp t="s">
        <v>表示銘柄数超過</v>
        <stp/>
        <stp>Market</stp>
        <stp>STOCK</stp>
        <stp>47070.T</stp>
        <stp>前日比</stp>
        <tr r="E523" s="7"/>
      </tp>
      <tp t="s">
        <v>表示銘柄数超過</v>
        <stp/>
        <stp>Market</stp>
        <stp>STOCK</stp>
        <stp>47200.T</stp>
        <stp>前日比</stp>
        <tr r="E526" s="7"/>
      </tp>
      <tp t="s">
        <v>表示銘柄数超過</v>
        <stp/>
        <stp>Market</stp>
        <stp>STOCK</stp>
        <stp>47260.T</stp>
        <stp>前日比</stp>
        <tr r="E527" s="7"/>
      </tp>
      <tp t="s">
        <v>表示銘柄数超過</v>
        <stp/>
        <stp>Market</stp>
        <stp>STOCK</stp>
        <stp>47510.T</stp>
        <stp>前日比</stp>
        <tr r="E528" s="7"/>
      </tp>
      <tp t="s">
        <v>表示銘柄数超過</v>
        <stp/>
        <stp>Market</stp>
        <stp>STOCK</stp>
        <stp>47550.T</stp>
        <stp>前日比</stp>
        <tr r="E529" s="7"/>
      </tp>
      <tp t="s">
        <v>表示銘柄数超過</v>
        <stp/>
        <stp>Market</stp>
        <stp>STOCK</stp>
        <stp>47700.T</stp>
        <stp>前日比</stp>
        <tr r="E532" s="7"/>
      </tp>
      <tp t="s">
        <v>表示銘柄数超過</v>
        <stp/>
        <stp>Market</stp>
        <stp>STOCK</stp>
        <stp>47770.T</stp>
        <stp>前日比</stp>
        <tr r="E534" s="7"/>
      </tp>
      <tp t="s">
        <v>表示銘柄数超過</v>
        <stp/>
        <stp>Market</stp>
        <stp>STOCK</stp>
        <stp>47760.T</stp>
        <stp>前日比</stp>
        <tr r="E533" s="7"/>
      </tp>
      <tp t="s">
        <v>表示銘柄数超過</v>
        <stp/>
        <stp>Market</stp>
        <stp>STOCK</stp>
        <stp>47670.T</stp>
        <stp>前日比</stp>
        <tr r="E531" s="7"/>
      </tp>
      <tp t="s">
        <v>表示銘柄数超過</v>
        <stp/>
        <stp>Market</stp>
        <stp>STOCK</stp>
        <stp>47660.T</stp>
        <stp>前日比</stp>
        <tr r="E530" s="7"/>
      </tp>
      <tp t="s">
        <v>表示銘柄数超過</v>
        <stp/>
        <stp>Market</stp>
        <stp>STOCK</stp>
        <stp>48910.T</stp>
        <stp>前日比</stp>
        <tr r="E549" s="7"/>
      </tp>
      <tp t="s">
        <v>表示銘柄数超過</v>
        <stp/>
        <stp>Market</stp>
        <stp>STOCK</stp>
        <stp>48900.T</stp>
        <stp>前日比</stp>
        <tr r="E548" s="7"/>
      </tp>
      <tp t="s">
        <v>表示銘柄数超過</v>
        <stp/>
        <stp>Market</stp>
        <stp>STOCK</stp>
        <stp>48920.T</stp>
        <stp>前日比</stp>
        <tr r="E550" s="7"/>
      </tp>
      <tp t="s">
        <v>表示銘柄数超過</v>
        <stp/>
        <stp>Market</stp>
        <stp>STOCK</stp>
        <stp>48810.T</stp>
        <stp>前日比</stp>
        <tr r="E545" s="7"/>
      </tp>
      <tp t="s">
        <v>表示銘柄数超過</v>
        <stp/>
        <stp>Market</stp>
        <stp>STOCK</stp>
        <stp>48830.T</stp>
        <stp>前日比</stp>
        <tr r="E546" s="7"/>
      </tp>
      <tp t="s">
        <v>表示銘柄数超過</v>
        <stp/>
        <stp>Market</stp>
        <stp>STOCK</stp>
        <stp>48890.T</stp>
        <stp>前日比</stp>
        <tr r="E547" s="7"/>
      </tp>
      <tp t="s">
        <v>表示銘柄数超過</v>
        <stp/>
        <stp>Market</stp>
        <stp>STOCK</stp>
        <stp>48140.T</stp>
        <stp>前日比</stp>
        <tr r="E537" s="7"/>
      </tp>
      <tp t="s">
        <v>表示銘柄数超過</v>
        <stp/>
        <stp>Market</stp>
        <stp>STOCK</stp>
        <stp>48000.T</stp>
        <stp>前日比</stp>
        <tr r="E536" s="7"/>
      </tp>
      <tp t="s">
        <v>表示銘柄数超過</v>
        <stp/>
        <stp>Market</stp>
        <stp>STOCK</stp>
        <stp>48330.T</stp>
        <stp>前日比</stp>
        <tr r="E541" s="7"/>
      </tp>
      <tp t="s">
        <v>表示銘柄数超過</v>
        <stp/>
        <stp>Market</stp>
        <stp>STOCK</stp>
        <stp>48370.T</stp>
        <stp>前日比</stp>
        <tr r="E542" s="7"/>
      </tp>
      <tp t="s">
        <v>表示銘柄数超過</v>
        <stp/>
        <stp>Market</stp>
        <stp>STOCK</stp>
        <stp>48380.T</stp>
        <stp>前日比</stp>
        <tr r="E543" s="7"/>
      </tp>
      <tp t="s">
        <v>表示銘柄数超過</v>
        <stp/>
        <stp>Market</stp>
        <stp>STOCK</stp>
        <stp>48200.T</stp>
        <stp>前日比</stp>
        <tr r="E538" s="7"/>
      </tp>
      <tp t="s">
        <v>表示銘柄数超過</v>
        <stp/>
        <stp>Market</stp>
        <stp>STOCK</stp>
        <stp>48240.T</stp>
        <stp>前日比</stp>
        <tr r="E539" s="7"/>
      </tp>
      <tp t="s">
        <v>表示銘柄数超過</v>
        <stp/>
        <stp>Market</stp>
        <stp>STOCK</stp>
        <stp>48290.T</stp>
        <stp>前日比</stp>
        <tr r="E540" s="7"/>
      </tp>
      <tp t="s">
        <v>表示銘柄数超過</v>
        <stp/>
        <stp>Market</stp>
        <stp>STOCK</stp>
        <stp>48470.T</stp>
        <stp>前日比</stp>
        <tr r="E544" s="7"/>
      </tp>
      <tp>
        <v>2</v>
        <stp/>
        <stp>Market</stp>
        <stp>STOCK</stp>
        <stp>49970.T</stp>
        <stp>前日比</stp>
        <tr r="E557" s="7"/>
      </tp>
      <tp t="s">
        <v>表示銘柄数超過</v>
        <stp/>
        <stp>Market</stp>
        <stp>STOCK</stp>
        <stp>49120.T</stp>
        <stp>前日比</stp>
        <tr r="E552" s="7"/>
      </tp>
      <tp t="s">
        <v>表示銘柄数超過</v>
        <stp/>
        <stp>Market</stp>
        <stp>STOCK</stp>
        <stp>49020.T</stp>
        <stp>前日比</stp>
        <tr r="E551" s="7"/>
      </tp>
      <tp t="s">
        <v>表示銘柄数超過</v>
        <stp/>
        <stp>Market</stp>
        <stp>STOCK</stp>
        <stp>49200.T</stp>
        <stp>前日比</stp>
        <tr r="E553" s="7"/>
      </tp>
      <tp t="s">
        <v>表示銘柄数超過</v>
        <stp/>
        <stp>Market</stp>
        <stp>STOCK</stp>
        <stp>49780.T</stp>
        <stp>前日比</stp>
        <tr r="E556" s="7"/>
      </tp>
      <tp t="s">
        <v>表示銘柄数超過</v>
        <stp/>
        <stp>Market</stp>
        <stp>STOCK</stp>
        <stp>49600.T</stp>
        <stp>前日比</stp>
        <tr r="E554" s="7"/>
      </tp>
      <tp t="s">
        <v>表示銘柄数超過</v>
        <stp/>
        <stp>Market</stp>
        <stp>STOCK</stp>
        <stp>49630.T</stp>
        <stp>前日比</stp>
        <tr r="E555" s="7"/>
      </tp>
    </main>
    <main first="rtdsrv.662c26bade854d00aebc6010f8a2e03a">
      <tp t="s">
        <v>表示銘柄数超過</v>
        <stp/>
        <stp>Market</stp>
        <stp>STOCK</stp>
        <stp>30990.T</stp>
        <stp>前日比</stp>
        <tr r="E240" s="7"/>
      </tp>
      <tp t="s">
        <v>表示銘柄数超過</v>
        <stp/>
        <stp>Market</stp>
        <stp>STOCK</stp>
        <stp>30830.T</stp>
        <stp>前日比</stp>
        <tr r="E238" s="7"/>
      </tp>
      <tp t="s">
        <v>表示銘柄数超過</v>
        <stp/>
        <stp>Market</stp>
        <stp>STOCK</stp>
        <stp>30860.T</stp>
        <stp>前日比</stp>
        <tr r="E239" s="7"/>
      </tp>
      <tp t="s">
        <v>表示銘柄数超過</v>
        <stp/>
        <stp>Market</stp>
        <stp>STOCK</stp>
        <stp>30100.T</stp>
        <stp>前日比</stp>
        <tr r="E223" s="7"/>
      </tp>
      <tp t="s">
        <v>表示銘柄数超過</v>
        <stp/>
        <stp>Market</stp>
        <stp>STOCK</stp>
        <stp>30030.T</stp>
        <stp>前日比</stp>
        <tr r="E221" s="7"/>
      </tp>
      <tp t="s">
        <v>表示銘柄数超過</v>
        <stp/>
        <stp>Market</stp>
        <stp>STOCK</stp>
        <stp>30040.T</stp>
        <stp>前日比</stp>
        <tr r="E222" s="7"/>
      </tp>
      <tp t="s">
        <v>表示銘柄数超過</v>
        <stp/>
        <stp>Market</stp>
        <stp>STOCK</stp>
        <stp>30310.T</stp>
        <stp>前日比</stp>
        <tr r="E226" s="7"/>
      </tp>
      <tp t="s">
        <v>表示銘柄数超過</v>
        <stp/>
        <stp>Market</stp>
        <stp>STOCK</stp>
        <stp>30300.T</stp>
        <stp>前日比</stp>
        <tr r="E225" s="7"/>
      </tp>
      <tp t="s">
        <v>表示銘柄数超過</v>
        <stp/>
        <stp>Market</stp>
        <stp>STOCK</stp>
        <stp>30350.T</stp>
        <stp>前日比</stp>
        <tr r="E228" s="7"/>
      </tp>
      <tp t="s">
        <v>表示銘柄数超過</v>
        <stp/>
        <stp>Market</stp>
        <stp>STOCK</stp>
        <stp>30340.T</stp>
        <stp>前日比</stp>
        <tr r="E227" s="7"/>
      </tp>
      <tp t="s">
        <v>表示銘柄数超過</v>
        <stp/>
        <stp>Market</stp>
        <stp>STOCK</stp>
        <stp>30360.T</stp>
        <stp>前日比</stp>
        <tr r="E229" s="7"/>
      </tp>
      <tp t="s">
        <v>表示銘柄数超過</v>
        <stp/>
        <stp>Market</stp>
        <stp>STOCK</stp>
        <stp>30380.T</stp>
        <stp>前日比</stp>
        <tr r="E230" s="7"/>
      </tp>
      <tp t="s">
        <v>表示銘柄数超過</v>
        <stp/>
        <stp>Market</stp>
        <stp>STOCK</stp>
        <stp>30210.T</stp>
        <stp>前日比</stp>
        <tr r="E224" s="7"/>
      </tp>
      <tp t="s">
        <v>表示銘柄数超過</v>
        <stp/>
        <stp>Market</stp>
        <stp>STOCK</stp>
        <stp>30500.T</stp>
        <stp>前日比</stp>
        <tr r="E232" s="7"/>
      </tp>
      <tp t="s">
        <v>表示銘柄数超過</v>
        <stp/>
        <stp>Market</stp>
        <stp>STOCK</stp>
        <stp>30530.T</stp>
        <stp>前日比</stp>
        <tr r="E233" s="7"/>
      </tp>
      <tp t="s">
        <v>表示銘柄数超過</v>
        <stp/>
        <stp>Market</stp>
        <stp>STOCK</stp>
        <stp>30410.T</stp>
        <stp>前日比</stp>
        <tr r="E231" s="7"/>
      </tp>
      <tp t="s">
        <v>表示銘柄数超過</v>
        <stp/>
        <stp>Market</stp>
        <stp>STOCK</stp>
        <stp>30710.T</stp>
        <stp>前日比</stp>
        <tr r="E237" s="7"/>
      </tp>
      <tp t="s">
        <v>表示銘柄数超過</v>
        <stp/>
        <stp>Market</stp>
        <stp>STOCK</stp>
        <stp>30700.T</stp>
        <stp>前日比</stp>
        <tr r="E236" s="7"/>
      </tp>
      <tp t="s">
        <v>表示銘柄数超過</v>
        <stp/>
        <stp>Market</stp>
        <stp>STOCK</stp>
        <stp>30640.T</stp>
        <stp>前日比</stp>
        <tr r="E234" s="7"/>
      </tp>
      <tp t="s">
        <v>表示銘柄数超過</v>
        <stp/>
        <stp>Market</stp>
        <stp>STOCK</stp>
        <stp>30690.T</stp>
        <stp>前日比</stp>
        <tr r="E235" s="7"/>
      </tp>
      <tp t="s">
        <v>表示銘柄数超過</v>
        <stp/>
        <stp>Market</stp>
        <stp>STOCK</stp>
        <stp>31920.T</stp>
        <stp>前日比</stp>
        <tr r="E256" s="7"/>
      </tp>
      <tp t="s">
        <v>表示銘柄数超過</v>
        <stp/>
        <stp>Market</stp>
        <stp>STOCK</stp>
        <stp>31970.T</stp>
        <stp>前日比</stp>
        <tr r="E257" s="7"/>
      </tp>
      <tp t="s">
        <v>表示銘柄数超過</v>
        <stp/>
        <stp>Market</stp>
        <stp>STOCK</stp>
        <stp>31820.T</stp>
        <stp>前日比</stp>
        <tr r="E251" s="7"/>
      </tp>
      <tp t="s">
        <v>表示銘柄数超過</v>
        <stp/>
        <stp>Market</stp>
        <stp>STOCK</stp>
        <stp>31850.T</stp>
        <stp>前日比</stp>
        <tr r="E252" s="7"/>
      </tp>
      <tp t="s">
        <v>表示銘柄数超過</v>
        <stp/>
        <stp>Market</stp>
        <stp>STOCK</stp>
        <stp>31870.T</stp>
        <stp>前日比</stp>
        <tr r="E254" s="7"/>
      </tp>
      <tp t="s">
        <v>表示銘柄数超過</v>
        <stp/>
        <stp>Market</stp>
        <stp>STOCK</stp>
        <stp>31860.T</stp>
        <stp>前日比</stp>
        <tr r="E253" s="7"/>
      </tp>
      <tp t="s">
        <v>表示銘柄数超過</v>
        <stp/>
        <stp>Market</stp>
        <stp>STOCK</stp>
        <stp>31890.T</stp>
        <stp>前日比</stp>
        <tr r="E255" s="7"/>
      </tp>
      <tp t="s">
        <v>表示銘柄数超過</v>
        <stp/>
        <stp>Market</stp>
        <stp>STOCK</stp>
        <stp>31130.T</stp>
        <stp>前日比</stp>
        <tr r="E243" s="7"/>
      </tp>
      <tp t="s">
        <v>表示銘柄数超過</v>
        <stp/>
        <stp>Market</stp>
        <stp>STOCK</stp>
        <stp>31010.T</stp>
        <stp>前日比</stp>
        <tr r="E241" s="7"/>
      </tp>
      <tp t="s">
        <v>表示銘柄数超過</v>
        <stp/>
        <stp>Market</stp>
        <stp>STOCK</stp>
        <stp>31030.T</stp>
        <stp>前日比</stp>
        <tr r="E242" s="7"/>
      </tp>
      <tp t="s">
        <v>表示銘柄数超過</v>
        <stp/>
        <stp>Market</stp>
        <stp>STOCK</stp>
        <stp>31330.T</stp>
        <stp>前日比</stp>
        <tr r="E245" s="7"/>
      </tp>
      <tp t="s">
        <v>表示銘柄数超過</v>
        <stp/>
        <stp>Market</stp>
        <stp>STOCK</stp>
        <stp>31370.T</stp>
        <stp>前日比</stp>
        <tr r="E246" s="7"/>
      </tp>
      <tp t="s">
        <v>表示銘柄数超過</v>
        <stp/>
        <stp>Market</stp>
        <stp>STOCK</stp>
        <stp>31210.T</stp>
        <stp>前日比</stp>
        <tr r="E244" s="7"/>
      </tp>
      <tp t="s">
        <v>表示銘柄数超過</v>
        <stp/>
        <stp>Market</stp>
        <stp>STOCK</stp>
        <stp>31540.T</stp>
        <stp>前日比</stp>
        <tr r="E248" s="7"/>
      </tp>
      <tp t="s">
        <v>表示銘柄数超過</v>
        <stp/>
        <stp>Market</stp>
        <stp>STOCK</stp>
        <stp>31590.T</stp>
        <stp>前日比</stp>
        <tr r="E249" s="7"/>
      </tp>
      <tp t="s">
        <v>表示銘柄数超過</v>
        <stp/>
        <stp>Market</stp>
        <stp>STOCK</stp>
        <stp>31410.T</stp>
        <stp>前日比</stp>
        <tr r="E247" s="7"/>
      </tp>
      <tp t="s">
        <v>表示銘柄数超過</v>
        <stp/>
        <stp>Market</stp>
        <stp>STOCK</stp>
        <stp>31760.T</stp>
        <stp>前日比</stp>
        <tr r="E250" s="7"/>
      </tp>
      <tp t="s">
        <v>表示銘柄数超過</v>
        <stp/>
        <stp>Market</stp>
        <stp>STOCK</stp>
        <stp>32970.T</stp>
        <stp>前日比</stp>
        <tr r="E273" s="7"/>
      </tp>
      <tp t="s">
        <v>表示銘柄数超過</v>
        <stp/>
        <stp>Market</stp>
        <stp>STOCK</stp>
        <stp>32990.T</stp>
        <stp>前日比</stp>
        <tr r="E274" s="7"/>
      </tp>
      <tp t="s">
        <v>表示銘柄数超過</v>
        <stp/>
        <stp>Market</stp>
        <stp>STOCK</stp>
        <stp>32840.T</stp>
        <stp>前日比</stp>
        <tr r="E269" s="7"/>
      </tp>
      <tp t="s">
        <v>表示銘柄数超過</v>
        <stp/>
        <stp>Market</stp>
        <stp>STOCK</stp>
        <stp>32860.T</stp>
        <stp>前日比</stp>
        <tr r="E270" s="7"/>
      </tp>
      <tp t="s">
        <v>表示銘柄数超過</v>
        <stp/>
        <stp>Market</stp>
        <stp>STOCK</stp>
        <stp>32890.T</stp>
        <stp>前日比</stp>
        <tr r="E272" s="7"/>
      </tp>
      <tp t="s">
        <v>表示銘柄数超過</v>
        <stp/>
        <stp>Market</stp>
        <stp>STOCK</stp>
        <stp>32880.T</stp>
        <stp>前日比</stp>
        <tr r="E271" s="7"/>
      </tp>
      <tp t="s">
        <v>表示銘柄数超過</v>
        <stp/>
        <stp>Market</stp>
        <stp>STOCK</stp>
        <stp>32320.T</stp>
        <stp>前日比</stp>
        <tr r="E258" s="7"/>
      </tp>
      <tp t="s">
        <v>表示銘柄数超過</v>
        <stp/>
        <stp>Market</stp>
        <stp>STOCK</stp>
        <stp>32370.T</stp>
        <stp>前日比</stp>
        <tr r="E260" s="7"/>
      </tp>
      <tp t="s">
        <v>表示銘柄数超過</v>
        <stp/>
        <stp>Market</stp>
        <stp>STOCK</stp>
        <stp>32360.T</stp>
        <stp>前日比</stp>
        <tr r="E259" s="7"/>
      </tp>
      <tp t="s">
        <v>表示銘柄数超過</v>
        <stp/>
        <stp>Market</stp>
        <stp>STOCK</stp>
        <stp>32380.T</stp>
        <stp>前日比</stp>
        <tr r="E261" s="7"/>
      </tp>
      <tp t="s">
        <v>表示銘柄数超過</v>
        <stp/>
        <stp>Market</stp>
        <stp>STOCK</stp>
        <stp>32410.T</stp>
        <stp>前日比</stp>
        <tr r="E262" s="7"/>
      </tp>
      <tp t="s">
        <v>表示銘柄数超過</v>
        <stp/>
        <stp>Market</stp>
        <stp>STOCK</stp>
        <stp>32420.T</stp>
        <stp>前日比</stp>
        <tr r="E263" s="7"/>
      </tp>
      <tp t="s">
        <v>表示銘柄数超過</v>
        <stp/>
        <stp>Market</stp>
        <stp>STOCK</stp>
        <stp>32440.T</stp>
        <stp>前日比</stp>
        <tr r="E264" s="7"/>
      </tp>
      <tp t="s">
        <v>表示銘柄数超過</v>
        <stp/>
        <stp>Market</stp>
        <stp>STOCK</stp>
        <stp>32710.T</stp>
        <stp>前日比</stp>
        <tr r="E268" s="7"/>
      </tp>
      <tp t="s">
        <v>表示銘柄数超過</v>
        <stp/>
        <stp>Market</stp>
        <stp>STOCK</stp>
        <stp>32610.T</stp>
        <stp>前日比</stp>
        <tr r="E265" s="7"/>
      </tp>
      <tp t="s">
        <v>表示銘柄数超過</v>
        <stp/>
        <stp>Market</stp>
        <stp>STOCK</stp>
        <stp>32640.T</stp>
        <stp>前日比</stp>
        <tr r="E266" s="7"/>
      </tp>
      <tp t="s">
        <v>表示銘柄数超過</v>
        <stp/>
        <stp>Market</stp>
        <stp>STOCK</stp>
        <stp>32660.T</stp>
        <stp>前日比</stp>
        <tr r="E267" s="7"/>
      </tp>
      <tp t="s">
        <v>表示銘柄数超過</v>
        <stp/>
        <stp>Market</stp>
        <stp>STOCK</stp>
        <stp>33920.T</stp>
        <stp>前日比</stp>
        <tr r="E293" s="7"/>
      </tp>
      <tp t="s">
        <v>表示銘柄数超過</v>
        <stp/>
        <stp>Market</stp>
        <stp>STOCK</stp>
        <stp>33820.T</stp>
        <stp>前日比</stp>
        <tr r="E290" s="7"/>
      </tp>
      <tp t="s">
        <v>表示銘柄数超過</v>
        <stp/>
        <stp>Market</stp>
        <stp>STOCK</stp>
        <stp>33860.T</stp>
        <stp>前日比</stp>
        <tr r="E291" s="7"/>
      </tp>
      <tp t="s">
        <v>表示銘柄数超過</v>
        <stp/>
        <stp>Market</stp>
        <stp>STOCK</stp>
        <stp>33880.T</stp>
        <stp>前日比</stp>
        <tr r="E292" s="7"/>
      </tp>
      <tp t="s">
        <v>表示銘柄数超過</v>
        <stp/>
        <stp>Market</stp>
        <stp>STOCK</stp>
        <stp>33150.T</stp>
        <stp>前日比</stp>
        <tr r="E276" s="7"/>
      </tp>
      <tp t="s">
        <v>表示銘柄数超過</v>
        <stp/>
        <stp>Market</stp>
        <stp>STOCK</stp>
        <stp>33160.T</stp>
        <stp>前日比</stp>
        <tr r="E277" s="7"/>
      </tp>
      <tp t="s">
        <v>表示銘柄数超過</v>
        <stp/>
        <stp>Market</stp>
        <stp>STOCK</stp>
        <stp>33000.T</stp>
        <stp>前日比</stp>
        <tr r="E275" s="7"/>
      </tp>
      <tp t="s">
        <v>表示銘柄数超過</v>
        <stp/>
        <stp>Market</stp>
        <stp>STOCK</stp>
        <stp>33330.T</stp>
        <stp>前日比</stp>
        <tr r="E281" s="7"/>
      </tp>
      <tp t="s">
        <v>表示銘柄数超過</v>
        <stp/>
        <stp>Market</stp>
        <stp>STOCK</stp>
        <stp>33230.T</stp>
        <stp>前日比</stp>
        <tr r="E278" s="7"/>
      </tp>
      <tp t="s">
        <v>表示銘柄数超過</v>
        <stp/>
        <stp>Market</stp>
        <stp>STOCK</stp>
        <stp>33260.T</stp>
        <stp>前日比</stp>
        <tr r="E279" s="7"/>
      </tp>
      <tp t="s">
        <v>表示銘柄数超過</v>
        <stp/>
        <stp>Market</stp>
        <stp>STOCK</stp>
        <stp>33280.T</stp>
        <stp>前日比</stp>
        <tr r="E280" s="7"/>
      </tp>
      <tp t="s">
        <v>表示銘柄数超過</v>
        <stp/>
        <stp>Market</stp>
        <stp>STOCK</stp>
        <stp>33500.T</stp>
        <stp>前日比</stp>
        <tr r="E283" s="7"/>
      </tp>
      <tp t="s">
        <v>表示銘柄数超過</v>
        <stp/>
        <stp>Market</stp>
        <stp>STOCK</stp>
        <stp>33550.T</stp>
        <stp>前日比</stp>
        <tr r="E284" s="7"/>
      </tp>
      <tp t="s">
        <v>表示銘柄数超過</v>
        <stp/>
        <stp>Market</stp>
        <stp>STOCK</stp>
        <stp>33590.T</stp>
        <stp>前日比</stp>
        <tr r="E286" s="7"/>
      </tp>
      <tp t="s">
        <v>表示銘柄数超過</v>
        <stp/>
        <stp>Market</stp>
        <stp>STOCK</stp>
        <stp>33580.T</stp>
        <stp>前日比</stp>
        <tr r="E285" s="7"/>
      </tp>
      <tp t="s">
        <v>表示銘柄数超過</v>
        <stp/>
        <stp>Market</stp>
        <stp>STOCK</stp>
        <stp>33410.T</stp>
        <stp>前日比</stp>
        <tr r="E282" s="7"/>
      </tp>
      <tp t="s">
        <v>表示銘柄数超過</v>
        <stp/>
        <stp>Market</stp>
        <stp>STOCK</stp>
        <stp>33700.T</stp>
        <stp>前日比</stp>
        <tr r="E287" s="7"/>
      </tp>
      <tp t="s">
        <v>表示銘柄数超過</v>
        <stp/>
        <stp>Market</stp>
        <stp>STOCK</stp>
        <stp>33720.T</stp>
        <stp>前日比</stp>
        <tr r="E288" s="7"/>
      </tp>
      <tp t="s">
        <v>表示銘柄数超過</v>
        <stp/>
        <stp>Market</stp>
        <stp>STOCK</stp>
        <stp>33770.T</stp>
        <stp>前日比</stp>
        <tr r="E289" s="7"/>
      </tp>
      <tp t="s">
        <v>表示銘柄数超過</v>
        <stp/>
        <stp>Market</stp>
        <stp>STOCK</stp>
        <stp>34010.T</stp>
        <stp>前日比</stp>
        <tr r="E294" s="7"/>
      </tp>
      <tp t="s">
        <v>表示銘柄数超過</v>
        <stp/>
        <stp>Market</stp>
        <stp>STOCK</stp>
        <stp>34070.T</stp>
        <stp>前日比</stp>
        <tr r="E295" s="7"/>
      </tp>
      <tp t="s">
        <v>表示銘柄数超過</v>
        <stp/>
        <stp>Market</stp>
        <stp>STOCK</stp>
        <stp>34090.T</stp>
        <stp>前日比</stp>
        <tr r="E296" s="7"/>
      </tp>
      <tp t="s">
        <v>表示銘柄数超過</v>
        <stp/>
        <stp>Market</stp>
        <stp>STOCK</stp>
        <stp>34330.T</stp>
        <stp>前日比</stp>
        <tr r="E298" s="7"/>
      </tp>
      <tp t="s">
        <v>表示銘柄数超過</v>
        <stp/>
        <stp>Market</stp>
        <stp>STOCK</stp>
        <stp>34360.T</stp>
        <stp>前日比</stp>
        <tr r="E299" s="7"/>
      </tp>
      <tp t="s">
        <v>表示銘柄数超過</v>
        <stp/>
        <stp>Market</stp>
        <stp>STOCK</stp>
        <stp>34220.T</stp>
        <stp>前日比</stp>
        <tr r="E297" s="7"/>
      </tp>
      <tp t="s">
        <v>表示銘柄数超過</v>
        <stp/>
        <stp>Market</stp>
        <stp>STOCK</stp>
        <stp>34540.T</stp>
        <stp>前日比</stp>
        <tr r="E300" s="7"/>
      </tp>
      <tp t="s">
        <v>表示銘柄数超過</v>
        <stp/>
        <stp>Market</stp>
        <stp>STOCK</stp>
        <stp>34610.T</stp>
        <stp>前日比</stp>
        <tr r="E301" s="7"/>
      </tp>
      <tp t="s">
        <v>表示銘柄数超過</v>
        <stp/>
        <stp>Market</stp>
        <stp>STOCK</stp>
        <stp>34640.T</stp>
        <stp>前日比</stp>
        <tr r="E302" s="7"/>
      </tp>
      <tp t="s">
        <v>表示銘柄数超過</v>
        <stp/>
        <stp>Market</stp>
        <stp>STOCK</stp>
        <stp>35800.T</stp>
        <stp>前日比</stp>
        <tr r="E310" s="7"/>
      </tp>
      <tp t="s">
        <v>表示銘柄数超過</v>
        <stp/>
        <stp>Market</stp>
        <stp>STOCK</stp>
        <stp>35360.T</stp>
        <stp>前日比</stp>
        <tr r="E304" s="7"/>
      </tp>
      <tp t="s">
        <v>表示銘柄数超過</v>
        <stp/>
        <stp>Market</stp>
        <stp>STOCK</stp>
        <stp>35210.T</stp>
        <stp>前日比</stp>
        <tr r="E303" s="7"/>
      </tp>
      <tp t="s">
        <v>表示銘柄数超過</v>
        <stp/>
        <stp>Market</stp>
        <stp>STOCK</stp>
        <stp>35510.T</stp>
        <stp>前日比</stp>
        <tr r="E307" s="7"/>
      </tp>
      <tp t="s">
        <v>表示銘柄数超過</v>
        <stp/>
        <stp>Market</stp>
        <stp>STOCK</stp>
        <stp>35530.T</stp>
        <stp>前日比</stp>
        <tr r="E308" s="7"/>
      </tp>
      <tp t="s">
        <v>表示銘柄数超過</v>
        <stp/>
        <stp>Market</stp>
        <stp>STOCK</stp>
        <stp>35410.T</stp>
        <stp>前日比</stp>
        <tr r="E305" s="7"/>
      </tp>
      <tp t="s">
        <v>表示銘柄数超過</v>
        <stp/>
        <stp>Market</stp>
        <stp>STOCK</stp>
        <stp>35430.T</stp>
        <stp>前日比</stp>
        <tr r="E306" s="7"/>
      </tp>
      <tp t="s">
        <v>表示銘柄数超過</v>
        <stp/>
        <stp>Market</stp>
        <stp>STOCK</stp>
        <stp>35610.T</stp>
        <stp>前日比</stp>
        <tr r="E309" s="7"/>
      </tp>
      <tp t="s">
        <v>表示銘柄数超過</v>
        <stp/>
        <stp>Market</stp>
        <stp>STOCK</stp>
        <stp>36910.T</stp>
        <stp>前日比</stp>
        <tr r="E341" s="7"/>
      </tp>
      <tp t="s">
        <v>表示銘柄数超過</v>
        <stp/>
        <stp>Market</stp>
        <stp>STOCK</stp>
        <stp>36960.T</stp>
        <stp>前日比</stp>
        <tr r="E342" s="7"/>
      </tp>
      <tp t="s">
        <v>表示銘柄数超過</v>
        <stp/>
        <stp>Market</stp>
        <stp>STOCK</stp>
        <stp>36980.T</stp>
        <stp>前日比</stp>
        <tr r="E343" s="7"/>
      </tp>
      <tp t="s">
        <v>表示銘柄数超過</v>
        <stp/>
        <stp>Market</stp>
        <stp>STOCK</stp>
        <stp>36810.T</stp>
        <stp>前日比</stp>
        <tr r="E337" s="7"/>
      </tp>
      <tp t="s">
        <v>表示銘柄数超過</v>
        <stp/>
        <stp>Market</stp>
        <stp>STOCK</stp>
        <stp>36800.T</stp>
        <stp>前日比</stp>
        <tr r="E336" s="7"/>
      </tp>
      <tp t="s">
        <v>表示銘柄数超過</v>
        <stp/>
        <stp>Market</stp>
        <stp>STOCK</stp>
        <stp>36830.T</stp>
        <stp>前日比</stp>
        <tr r="E339" s="7"/>
      </tp>
      <tp t="s">
        <v>表示銘柄数超過</v>
        <stp/>
        <stp>Market</stp>
        <stp>STOCK</stp>
        <stp>36820.T</stp>
        <stp>前日比</stp>
        <tr r="E338" s="7"/>
      </tp>
      <tp t="s">
        <v>表示銘柄数超過</v>
        <stp/>
        <stp>Market</stp>
        <stp>STOCK</stp>
        <stp>36860.T</stp>
        <stp>前日比</stp>
        <tr r="E340" s="7"/>
      </tp>
      <tp t="s">
        <v>表示銘柄数超過</v>
        <stp/>
        <stp>Market</stp>
        <stp>STOCK</stp>
        <stp>36070.T</stp>
        <stp>前日比</stp>
        <tr r="E311" s="7"/>
      </tp>
      <tp t="s">
        <v>表示銘柄数超過</v>
        <stp/>
        <stp>Market</stp>
        <stp>STOCK</stp>
        <stp>36320.T</stp>
        <stp>前日比</stp>
        <tr r="E316" s="7"/>
      </tp>
      <tp t="s">
        <v>表示銘柄数超過</v>
        <stp/>
        <stp>Market</stp>
        <stp>STOCK</stp>
        <stp>36350.T</stp>
        <stp>前日比</stp>
        <tr r="E317" s="7"/>
      </tp>
      <tp t="s">
        <v>表示銘柄数超過</v>
        <stp/>
        <stp>Market</stp>
        <stp>STOCK</stp>
        <stp>36390.T</stp>
        <stp>前日比</stp>
        <tr r="E318" s="7"/>
      </tp>
      <tp t="s">
        <v>表示銘柄数超過</v>
        <stp/>
        <stp>Market</stp>
        <stp>STOCK</stp>
        <stp>36250.T</stp>
        <stp>前日比</stp>
        <tr r="E313" s="7"/>
      </tp>
      <tp t="s">
        <v>表示銘柄数超過</v>
        <stp/>
        <stp>Market</stp>
        <stp>STOCK</stp>
        <stp>36240.T</stp>
        <stp>前日比</stp>
        <tr r="E312" s="7"/>
      </tp>
      <tp t="s">
        <v>表示銘柄数超過</v>
        <stp/>
        <stp>Market</stp>
        <stp>STOCK</stp>
        <stp>36270.T</stp>
        <stp>前日比</stp>
        <tr r="E315" s="7"/>
      </tp>
      <tp t="s">
        <v>表示銘柄数超過</v>
        <stp/>
        <stp>Market</stp>
        <stp>STOCK</stp>
        <stp>36260.T</stp>
        <stp>前日比</stp>
        <tr r="E314" s="7"/>
      </tp>
      <tp t="s">
        <v>表示銘柄数超過</v>
        <stp/>
        <stp>Market</stp>
        <stp>STOCK</stp>
        <stp>36520.T</stp>
        <stp>前日比</stp>
        <tr r="E322" s="7"/>
      </tp>
      <tp t="s">
        <v>表示銘柄数超過</v>
        <stp/>
        <stp>Market</stp>
        <stp>STOCK</stp>
        <stp>36550.T</stp>
        <stp>前日比</stp>
        <tr r="E323" s="7"/>
      </tp>
      <tp t="s">
        <v>表示銘柄数超過</v>
        <stp/>
        <stp>Market</stp>
        <stp>STOCK</stp>
        <stp>36560.T</stp>
        <stp>前日比</stp>
        <tr r="E324" s="7"/>
      </tp>
      <tp t="s">
        <v>表示銘柄数超過</v>
        <stp/>
        <stp>Market</stp>
        <stp>STOCK</stp>
        <stp>36450.T</stp>
        <stp>前日比</stp>
        <tr r="E319" s="7"/>
      </tp>
      <tp t="s">
        <v>表示銘柄数超過</v>
        <stp/>
        <stp>Market</stp>
        <stp>STOCK</stp>
        <stp>36470.T</stp>
        <stp>前日比</stp>
        <tr r="E320" s="7"/>
      </tp>
      <tp t="s">
        <v>表示銘柄数超過</v>
        <stp/>
        <stp>Market</stp>
        <stp>STOCK</stp>
        <stp>36490.T</stp>
        <stp>前日比</stp>
        <tr r="E321" s="7"/>
      </tp>
      <tp t="s">
        <v>表示銘柄数超過</v>
        <stp/>
        <stp>Market</stp>
        <stp>STOCK</stp>
        <stp>36720.T</stp>
        <stp>前日比</stp>
        <tr r="E332" s="7"/>
      </tp>
      <tp t="s">
        <v>表示銘柄数超過</v>
        <stp/>
        <stp>Market</stp>
        <stp>STOCK</stp>
        <stp>36740.T</stp>
        <stp>前日比</stp>
        <tr r="E333" s="7"/>
      </tp>
      <tp t="s">
        <v>表示銘柄数超過</v>
        <stp/>
        <stp>Market</stp>
        <stp>STOCK</stp>
        <stp>36770.T</stp>
        <stp>前日比</stp>
        <tr r="E335" s="7"/>
      </tp>
      <tp t="s">
        <v>表示銘柄数超過</v>
        <stp/>
        <stp>Market</stp>
        <stp>STOCK</stp>
        <stp>36760.T</stp>
        <stp>前日比</stp>
        <tr r="E334" s="7"/>
      </tp>
      <tp t="s">
        <v>表示銘柄数超過</v>
        <stp/>
        <stp>Market</stp>
        <stp>STOCK</stp>
        <stp>36600.T</stp>
        <stp>前日比</stp>
        <tr r="E325" s="7"/>
      </tp>
      <tp t="s">
        <v>表示銘柄数超過</v>
        <stp/>
        <stp>Market</stp>
        <stp>STOCK</stp>
        <stp>36630.T</stp>
        <stp>前日比</stp>
        <tr r="E326" s="7"/>
      </tp>
      <tp t="s">
        <v>表示銘柄数超過</v>
        <stp/>
        <stp>Market</stp>
        <stp>STOCK</stp>
        <stp>36650.T</stp>
        <stp>前日比</stp>
        <tr r="E328" s="7"/>
      </tp>
      <tp t="s">
        <v>表示銘柄数超過</v>
        <stp/>
        <stp>Market</stp>
        <stp>STOCK</stp>
        <stp>36640.T</stp>
        <stp>前日比</stp>
        <tr r="E327" s="7"/>
      </tp>
      <tp t="s">
        <v>表示銘柄数超過</v>
        <stp/>
        <stp>Market</stp>
        <stp>STOCK</stp>
        <stp>36670.T</stp>
        <stp>前日比</stp>
        <tr r="E330" s="7"/>
      </tp>
      <tp t="s">
        <v>表示銘柄数超過</v>
        <stp/>
        <stp>Market</stp>
        <stp>STOCK</stp>
        <stp>36660.T</stp>
        <stp>前日比</stp>
        <tr r="E329" s="7"/>
      </tp>
      <tp t="s">
        <v>表示銘柄数超過</v>
        <stp/>
        <stp>Market</stp>
        <stp>STOCK</stp>
        <stp>36680.T</stp>
        <stp>前日比</stp>
        <tr r="E331" s="7"/>
      </tp>
      <tp t="s">
        <v>表示銘柄数超過</v>
        <stp/>
        <stp>Market</stp>
        <stp>STOCK</stp>
        <stp>37930.T</stp>
        <stp>前日比</stp>
        <tr r="E360" s="7"/>
      </tp>
      <tp t="s">
        <v>表示銘柄数超過</v>
        <stp/>
        <stp>Market</stp>
        <stp>STOCK</stp>
        <stp>37840.T</stp>
        <stp>前日比</stp>
        <tr r="E359" s="7"/>
      </tp>
      <tp t="s">
        <v>表示銘柄数超過</v>
        <stp/>
        <stp>Market</stp>
        <stp>STOCK</stp>
        <stp>37100.T</stp>
        <stp>前日比</stp>
        <tr r="E344" s="7"/>
      </tp>
      <tp t="s">
        <v>表示銘柄数超過</v>
        <stp/>
        <stp>Market</stp>
        <stp>STOCK</stp>
        <stp>37190.T</stp>
        <stp>前日比</stp>
        <tr r="E345" s="7"/>
      </tp>
      <tp t="s">
        <v>表示銘柄数超過</v>
        <stp/>
        <stp>Market</stp>
        <stp>STOCK</stp>
        <stp>37380.T</stp>
        <stp>前日比</stp>
        <tr r="E348" s="7"/>
      </tp>
      <tp t="s">
        <v>表示銘柄数超過</v>
        <stp/>
        <stp>Market</stp>
        <stp>STOCK</stp>
        <stp>37230.T</stp>
        <stp>前日比</stp>
        <tr r="E346" s="7"/>
      </tp>
      <tp t="s">
        <v>表示銘柄数超過</v>
        <stp/>
        <stp>Market</stp>
        <stp>STOCK</stp>
        <stp>37270.T</stp>
        <stp>前日比</stp>
        <tr r="E347" s="7"/>
      </tp>
      <tp t="s">
        <v>表示銘柄数超過</v>
        <stp/>
        <stp>Market</stp>
        <stp>STOCK</stp>
        <stp>37580.T</stp>
        <stp>前日比</stp>
        <tr r="E351" s="7"/>
      </tp>
      <tp t="s">
        <v>表示銘柄数超過</v>
        <stp/>
        <stp>Market</stp>
        <stp>STOCK</stp>
        <stp>37410.T</stp>
        <stp>前日比</stp>
        <tr r="E349" s="7"/>
      </tp>
      <tp t="s">
        <v>表示銘柄数超過</v>
        <stp/>
        <stp>Market</stp>
        <stp>STOCK</stp>
        <stp>37470.T</stp>
        <stp>前日比</stp>
        <tr r="E350" s="7"/>
      </tp>
      <tp t="s">
        <v>表示銘柄数超過</v>
        <stp/>
        <stp>Market</stp>
        <stp>STOCK</stp>
        <stp>37700.T</stp>
        <stp>前日比</stp>
        <tr r="E353" s="7"/>
      </tp>
      <tp t="s">
        <v>表示銘柄数超過</v>
        <stp/>
        <stp>Market</stp>
        <stp>STOCK</stp>
        <stp>37730.T</stp>
        <stp>前日比</stp>
        <tr r="E354" s="7"/>
      </tp>
      <tp t="s">
        <v>表示銘柄数超過</v>
        <stp/>
        <stp>Market</stp>
        <stp>STOCK</stp>
        <stp>37770.T</stp>
        <stp>前日比</stp>
        <tr r="E356" s="7"/>
      </tp>
      <tp t="s">
        <v>表示銘柄数超過</v>
        <stp/>
        <stp>Market</stp>
        <stp>STOCK</stp>
        <stp>37760.T</stp>
        <stp>前日比</stp>
        <tr r="E355" s="7"/>
      </tp>
      <tp t="s">
        <v>表示銘柄数超過</v>
        <stp/>
        <stp>Market</stp>
        <stp>STOCK</stp>
        <stp>37790.T</stp>
        <stp>前日比</stp>
        <tr r="E358" s="7"/>
      </tp>
      <tp t="s">
        <v>表示銘柄数超過</v>
        <stp/>
        <stp>Market</stp>
        <stp>STOCK</stp>
        <stp>37780.T</stp>
        <stp>前日比</stp>
        <tr r="E357" s="7"/>
      </tp>
      <tp t="s">
        <v>表示銘柄数超過</v>
        <stp/>
        <stp>Market</stp>
        <stp>STOCK</stp>
        <stp>37600.T</stp>
        <stp>前日比</stp>
        <tr r="E352" s="7"/>
      </tp>
      <tp t="s">
        <v>表示銘柄数超過</v>
        <stp/>
        <stp>Market</stp>
        <stp>STOCK</stp>
        <stp>38800.T</stp>
        <stp>前日比</stp>
        <tr r="E383" s="7"/>
      </tp>
      <tp t="s">
        <v>表示銘柄数超過</v>
        <stp/>
        <stp>Market</stp>
        <stp>STOCK</stp>
        <stp>38100.T</stp>
        <stp>前日比</stp>
        <tr r="E362" s="7"/>
      </tp>
      <tp t="s">
        <v>表示銘柄数超過</v>
        <stp/>
        <stp>Market</stp>
        <stp>STOCK</stp>
        <stp>38150.T</stp>
        <stp>前日比</stp>
        <tr r="E364" s="7"/>
      </tp>
      <tp t="s">
        <v>表示銘柄数超過</v>
        <stp/>
        <stp>Market</stp>
        <stp>STOCK</stp>
        <stp>38140.T</stp>
        <stp>前日比</stp>
        <tr r="E363" s="7"/>
      </tp>
      <tp t="s">
        <v>表示銘柄数超過</v>
        <stp/>
        <stp>Market</stp>
        <stp>STOCK</stp>
        <stp>38160.T</stp>
        <stp>前日比</stp>
        <tr r="E365" s="7"/>
      </tp>
      <tp t="s">
        <v>表示銘柄数超過</v>
        <stp/>
        <stp>Market</stp>
        <stp>STOCK</stp>
        <stp>38070.T</stp>
        <stp>前日比</stp>
        <tr r="E361" s="7"/>
      </tp>
      <tp t="s">
        <v>表示銘柄数超過</v>
        <stp/>
        <stp>Market</stp>
        <stp>STOCK</stp>
        <stp>38350.T</stp>
        <stp>前日比</stp>
        <tr r="E369" s="7"/>
      </tp>
      <tp t="s">
        <v>表示銘柄数超過</v>
        <stp/>
        <stp>Market</stp>
        <stp>STOCK</stp>
        <stp>38230.T</stp>
        <stp>前日比</stp>
        <tr r="E366" s="7"/>
      </tp>
      <tp t="s">
        <v>表示銘柄数超過</v>
        <stp/>
        <stp>Market</stp>
        <stp>STOCK</stp>
        <stp>38250.T</stp>
        <stp>前日比</stp>
        <tr r="E367" s="7"/>
      </tp>
      <tp t="s">
        <v>表示銘柄数超過</v>
        <stp/>
        <stp>Market</stp>
        <stp>STOCK</stp>
        <stp>38260.T</stp>
        <stp>前日比</stp>
        <tr r="E368" s="7"/>
      </tp>
      <tp t="s">
        <v>表示銘柄数超過</v>
        <stp/>
        <stp>Market</stp>
        <stp>STOCK</stp>
        <stp>38510.T</stp>
        <stp>前日比</stp>
        <tr r="E374" s="7"/>
      </tp>
      <tp t="s">
        <v>表示銘柄数超過</v>
        <stp/>
        <stp>Market</stp>
        <stp>STOCK</stp>
        <stp>38500.T</stp>
        <stp>前日比</stp>
        <tr r="E373" s="7"/>
      </tp>
      <tp t="s">
        <v>表示銘柄数超過</v>
        <stp/>
        <stp>Market</stp>
        <stp>STOCK</stp>
        <stp>38530.T</stp>
        <stp>前日比</stp>
        <tr r="E376" s="7"/>
      </tp>
      <tp t="s">
        <v>表示銘柄数超過</v>
        <stp/>
        <stp>Market</stp>
        <stp>STOCK</stp>
        <stp>38520.T</stp>
        <stp>前日比</stp>
        <tr r="E375" s="7"/>
      </tp>
      <tp t="s">
        <v>表示銘柄数超過</v>
        <stp/>
        <stp>Market</stp>
        <stp>STOCK</stp>
        <stp>38560.T</stp>
        <stp>前日比</stp>
        <tr r="E377" s="7"/>
      </tp>
      <tp t="s">
        <v>表示銘柄数超過</v>
        <stp/>
        <stp>Market</stp>
        <stp>STOCK</stp>
        <stp>38580.T</stp>
        <stp>前日比</stp>
        <tr r="E378" s="7"/>
      </tp>
      <tp t="s">
        <v>表示銘柄数超過</v>
        <stp/>
        <stp>Market</stp>
        <stp>STOCK</stp>
        <stp>38400.T</stp>
        <stp>前日比</stp>
        <tr r="E370" s="7"/>
      </tp>
      <tp t="s">
        <v>表示銘柄数超過</v>
        <stp/>
        <stp>Market</stp>
        <stp>STOCK</stp>
        <stp>38420.T</stp>
        <stp>前日比</stp>
        <tr r="E371" s="7"/>
      </tp>
      <tp t="s">
        <v>表示銘柄数超過</v>
        <stp/>
        <stp>Market</stp>
        <stp>STOCK</stp>
        <stp>38450.T</stp>
        <stp>前日比</stp>
        <tr r="E372" s="7"/>
      </tp>
      <tp t="s">
        <v>表示銘柄数超過</v>
        <stp/>
        <stp>Market</stp>
        <stp>STOCK</stp>
        <stp>38610.T</stp>
        <stp>前日比</stp>
        <tr r="E379" s="7"/>
      </tp>
      <tp t="s">
        <v>表示銘柄数超過</v>
        <stp/>
        <stp>Market</stp>
        <stp>STOCK</stp>
        <stp>38630.T</stp>
        <stp>前日比</stp>
        <tr r="E380" s="7"/>
      </tp>
      <tp t="s">
        <v>表示銘柄数超過</v>
        <stp/>
        <stp>Market</stp>
        <stp>STOCK</stp>
        <stp>38650.T</stp>
        <stp>前日比</stp>
        <tr r="E382" s="7"/>
      </tp>
      <tp t="s">
        <v>表示銘柄数超過</v>
        <stp/>
        <stp>Market</stp>
        <stp>STOCK</stp>
        <stp>38640.T</stp>
        <stp>前日比</stp>
        <tr r="E381" s="7"/>
      </tp>
      <tp t="s">
        <v>表示銘柄数超過</v>
        <stp/>
        <stp>Market</stp>
        <stp>STOCK</stp>
        <stp>39900.T</stp>
        <stp>前日比</stp>
        <tr r="E405" s="7"/>
      </tp>
      <tp t="s">
        <v>表示銘柄数超過</v>
        <stp/>
        <stp>Market</stp>
        <stp>STOCK</stp>
        <stp>39920.T</stp>
        <stp>前日比</stp>
        <tr r="E406" s="7"/>
      </tp>
      <tp t="s">
        <v>表示銘柄数超過</v>
        <stp/>
        <stp>Market</stp>
        <stp>STOCK</stp>
        <stp>39950.T</stp>
        <stp>前日比</stp>
        <tr r="E407" s="7"/>
      </tp>
      <tp t="s">
        <v>表示銘柄数超過</v>
        <stp/>
        <stp>Market</stp>
        <stp>STOCK</stp>
        <stp>39970.T</stp>
        <stp>前日比</stp>
        <tr r="E408" s="7"/>
      </tp>
      <tp t="s">
        <v>表示銘柄数超過</v>
        <stp/>
        <stp>Market</stp>
        <stp>STOCK</stp>
        <stp>39980.T</stp>
        <stp>前日比</stp>
        <tr r="E409" s="7"/>
      </tp>
      <tp t="s">
        <v>表示銘柄数超過</v>
        <stp/>
        <stp>Market</stp>
        <stp>STOCK</stp>
        <stp>39870.T</stp>
        <stp>前日比</stp>
        <tr r="E403" s="7"/>
      </tp>
      <tp t="s">
        <v>表示銘柄数超過</v>
        <stp/>
        <stp>Market</stp>
        <stp>STOCK</stp>
        <stp>39890.T</stp>
        <stp>前日比</stp>
        <tr r="E404" s="7"/>
      </tp>
      <tp t="s">
        <v>表示銘柄数超過</v>
        <stp/>
        <stp>Market</stp>
        <stp>STOCK</stp>
        <stp>39110.T</stp>
        <stp>前日比</stp>
        <tr r="E390" s="7"/>
      </tp>
      <tp t="s">
        <v>表示銘柄数超過</v>
        <stp/>
        <stp>Market</stp>
        <stp>STOCK</stp>
        <stp>39100.T</stp>
        <stp>前日比</stp>
        <tr r="E389" s="7"/>
      </tp>
      <tp t="s">
        <v>表示銘柄数超過</v>
        <stp/>
        <stp>Market</stp>
        <stp>STOCK</stp>
        <stp>39170.T</stp>
        <stp>前日比</stp>
        <tr r="E391" s="7"/>
      </tp>
      <tp t="s">
        <v>表示銘柄数超過</v>
        <stp/>
        <stp>Market</stp>
        <stp>STOCK</stp>
        <stp>39000.T</stp>
        <stp>前日比</stp>
        <tr r="E384" s="7"/>
      </tp>
      <tp t="s">
        <v>表示銘柄数超過</v>
        <stp/>
        <stp>Market</stp>
        <stp>STOCK</stp>
        <stp>39030.T</stp>
        <stp>前日比</stp>
        <tr r="E386" s="7"/>
      </tp>
      <tp t="s">
        <v>表示銘柄数超過</v>
        <stp/>
        <stp>Market</stp>
        <stp>STOCK</stp>
        <stp>39020.T</stp>
        <stp>前日比</stp>
        <tr r="E385" s="7"/>
      </tp>
      <tp t="s">
        <v>表示銘柄数超過</v>
        <stp/>
        <stp>Market</stp>
        <stp>STOCK</stp>
        <stp>39070.T</stp>
        <stp>前日比</stp>
        <tr r="E387" s="7"/>
      </tp>
      <tp t="s">
        <v>表示銘柄数超過</v>
        <stp/>
        <stp>Market</stp>
        <stp>STOCK</stp>
        <stp>39090.T</stp>
        <stp>前日比</stp>
        <tr r="E388" s="7"/>
      </tp>
      <tp t="s">
        <v>表示銘柄数超過</v>
        <stp/>
        <stp>Market</stp>
        <stp>STOCK</stp>
        <stp>39350.T</stp>
        <stp>前日比</stp>
        <tr r="E397" s="7"/>
      </tp>
      <tp t="s">
        <v>表示銘柄数超過</v>
        <stp/>
        <stp>Market</stp>
        <stp>STOCK</stp>
        <stp>39340.T</stp>
        <stp>前日比</stp>
        <tr r="E396" s="7"/>
      </tp>
      <tp t="s">
        <v>表示銘柄数超過</v>
        <stp/>
        <stp>Market</stp>
        <stp>STOCK</stp>
        <stp>39390.T</stp>
        <stp>前日比</stp>
        <tr r="E398" s="7"/>
      </tp>
      <tp t="s">
        <v>表示銘柄数超過</v>
        <stp/>
        <stp>Market</stp>
        <stp>STOCK</stp>
        <stp>39200.T</stp>
        <stp>前日比</stp>
        <tr r="E392" s="7"/>
      </tp>
      <tp t="s">
        <v>表示銘柄数超過</v>
        <stp/>
        <stp>Market</stp>
        <stp>STOCK</stp>
        <stp>39270.T</stp>
        <stp>前日比</stp>
        <tr r="E393" s="7"/>
      </tp>
      <tp t="s">
        <v>表示銘柄数超過</v>
        <stp/>
        <stp>Market</stp>
        <stp>STOCK</stp>
        <stp>39290.T</stp>
        <stp>前日比</stp>
        <tr r="E395" s="7"/>
      </tp>
      <tp t="s">
        <v>表示銘柄数超過</v>
        <stp/>
        <stp>Market</stp>
        <stp>STOCK</stp>
        <stp>39280.T</stp>
        <stp>前日比</stp>
        <tr r="E394" s="7"/>
      </tp>
      <tp t="s">
        <v>表示銘柄数超過</v>
        <stp/>
        <stp>Market</stp>
        <stp>STOCK</stp>
        <stp>39400.T</stp>
        <stp>前日比</stp>
        <tr r="E399" s="7"/>
      </tp>
      <tp t="s">
        <v>表示銘柄数超過</v>
        <stp/>
        <stp>Market</stp>
        <stp>STOCK</stp>
        <stp>39760.T</stp>
        <stp>前日比</stp>
        <tr r="E402" s="7"/>
      </tp>
      <tp t="s">
        <v>表示銘柄数超過</v>
        <stp/>
        <stp>Market</stp>
        <stp>STOCK</stp>
        <stp>39630.T</stp>
        <stp>前日比</stp>
        <tr r="E400" s="7"/>
      </tp>
      <tp t="s">
        <v>表示銘柄数超過</v>
        <stp/>
        <stp>Market</stp>
        <stp>STOCK</stp>
        <stp>39650.T</stp>
        <stp>前日比</stp>
        <tr r="E401" s="7"/>
      </tp>
    </main>
    <main first="rtdsrv.662c26bade854d00aebc6010f8a2e03a">
      <tp>
        <v>0</v>
        <stp/>
        <stp>Market</stp>
        <stp>STOCK</stp>
        <stp>20380.T</stp>
        <stp>前日比</stp>
        <tr r="E87" s="7"/>
      </tp>
      <tp t="s">
        <v>表示銘柄数超過</v>
        <stp/>
        <stp>Market</stp>
        <stp>STOCK</stp>
        <stp>20550.T</stp>
        <stp>前日比</stp>
        <tr r="E88" s="7"/>
      </tp>
      <tp t="s">
        <v>表示銘柄数超過</v>
        <stp/>
        <stp>Market</stp>
        <stp>STOCK</stp>
        <stp>21980.T</stp>
        <stp>前日比</stp>
        <tr r="E102" s="7"/>
      </tp>
      <tp t="s">
        <v>表示銘柄数超過</v>
        <stp/>
        <stp>Market</stp>
        <stp>STOCK</stp>
        <stp>21140.T</stp>
        <stp>前日比</stp>
        <tr r="E89" s="7"/>
      </tp>
      <tp t="s">
        <v>表示銘柄数超過</v>
        <stp/>
        <stp>Market</stp>
        <stp>STOCK</stp>
        <stp>21340.T</stp>
        <stp>前日比</stp>
        <tr r="E92" s="7"/>
      </tp>
      <tp t="s">
        <v>表示銘柄数超過</v>
        <stp/>
        <stp>Market</stp>
        <stp>STOCK</stp>
        <stp>21380.T</stp>
        <stp>前日比</stp>
        <tr r="E93" s="7"/>
      </tp>
      <tp t="s">
        <v>表示銘柄数超過</v>
        <stp/>
        <stp>Market</stp>
        <stp>STOCK</stp>
        <stp>21200.T</stp>
        <stp>前日比</stp>
        <tr r="E90" s="7"/>
      </tp>
      <tp t="s">
        <v>表示銘柄数超過</v>
        <stp/>
        <stp>Market</stp>
        <stp>STOCK</stp>
        <stp>21270.T</stp>
        <stp>前日比</stp>
        <tr r="E91" s="7"/>
      </tp>
      <tp t="s">
        <v>表示銘柄数超過</v>
        <stp/>
        <stp>Market</stp>
        <stp>STOCK</stp>
        <stp>21500.T</stp>
        <stp>前日比</stp>
        <tr r="E94" s="7"/>
      </tp>
      <tp t="s">
        <v>表示銘柄数超過</v>
        <stp/>
        <stp>Market</stp>
        <stp>STOCK</stp>
        <stp>21520.T</stp>
        <stp>前日比</stp>
        <tr r="E95" s="7"/>
      </tp>
      <tp t="s">
        <v>表示銘柄数超過</v>
        <stp/>
        <stp>Market</stp>
        <stp>STOCK</stp>
        <stp>21540.T</stp>
        <stp>前日比</stp>
        <tr r="E96" s="7"/>
      </tp>
      <tp t="s">
        <v>表示銘柄数超過</v>
        <stp/>
        <stp>Market</stp>
        <stp>STOCK</stp>
        <stp>21580.T</stp>
        <stp>前日比</stp>
        <tr r="E97" s="7"/>
      </tp>
      <tp t="s">
        <v>表示銘柄数超過</v>
        <stp/>
        <stp>Market</stp>
        <stp>STOCK</stp>
        <stp>21600.T</stp>
        <stp>前日比</stp>
        <tr r="E98" s="7"/>
      </tp>
      <tp t="s">
        <v>表示銘柄数超過</v>
        <stp/>
        <stp>Market</stp>
        <stp>STOCK</stp>
        <stp>21620.T</stp>
        <stp>前日比</stp>
        <tr r="E99" s="7"/>
      </tp>
      <tp t="s">
        <v>表示銘柄数超過</v>
        <stp/>
        <stp>Market</stp>
        <stp>STOCK</stp>
        <stp>21640.T</stp>
        <stp>前日比</stp>
        <tr r="E100" s="7"/>
      </tp>
      <tp t="s">
        <v>表示銘柄数超過</v>
        <stp/>
        <stp>Market</stp>
        <stp>STOCK</stp>
        <stp>21680.T</stp>
        <stp>前日比</stp>
        <tr r="E101" s="7"/>
      </tp>
      <tp t="s">
        <v>表示銘柄数超過</v>
        <stp/>
        <stp>Market</stp>
        <stp>STOCK</stp>
        <stp>22160.T</stp>
        <stp>前日比</stp>
        <tr r="E104" s="7"/>
      </tp>
      <tp t="s">
        <v>表示銘柄数超過</v>
        <stp/>
        <stp>Market</stp>
        <stp>STOCK</stp>
        <stp>22060.T</stp>
        <stp>前日比</stp>
        <tr r="E103" s="7"/>
      </tp>
      <tp t="s">
        <v>表示銘柄数超過</v>
        <stp/>
        <stp>Market</stp>
        <stp>STOCK</stp>
        <stp>22350.T</stp>
        <stp>前日比</stp>
        <tr r="E105" s="7"/>
      </tp>
      <tp t="s">
        <v>表示銘柄数超過</v>
        <stp/>
        <stp>Market</stp>
        <stp>STOCK</stp>
        <stp>22360.T</stp>
        <stp>前日比</stp>
        <tr r="E106" s="7"/>
      </tp>
      <tp t="s">
        <v>表示銘柄数超過</v>
        <stp/>
        <stp>Market</stp>
        <stp>STOCK</stp>
        <stp>22500.T</stp>
        <stp>前日比</stp>
        <tr r="E109" s="7"/>
      </tp>
      <tp t="s">
        <v>表示銘柄数超過</v>
        <stp/>
        <stp>Market</stp>
        <stp>STOCK</stp>
        <stp>22530.T</stp>
        <stp>前日比</stp>
        <tr r="E110" s="7"/>
      </tp>
      <tp t="s">
        <v>表示銘柄数超過</v>
        <stp/>
        <stp>Market</stp>
        <stp>STOCK</stp>
        <stp>22410.T</stp>
        <stp>前日比</stp>
        <tr r="E107" s="7"/>
      </tp>
      <tp t="s">
        <v>表示銘柄数超過</v>
        <stp/>
        <stp>Market</stp>
        <stp>STOCK</stp>
        <stp>22420.T</stp>
        <stp>前日比</stp>
        <tr r="E108" s="7"/>
      </tp>
      <tp t="s">
        <v>表示銘柄数超過</v>
        <stp/>
        <stp>Market</stp>
        <stp>STOCK</stp>
        <stp>23880.T</stp>
        <stp>前日比</stp>
        <tr r="E131" s="7"/>
      </tp>
      <tp>
        <v>-1</v>
        <stp/>
        <stp>Market</stp>
        <stp>STOCK</stp>
        <stp>23150.T</stp>
        <stp>前日比</stp>
        <tr r="E113" s="7"/>
      </tp>
      <tp t="s">
        <v>表示銘柄数超過</v>
        <stp/>
        <stp>Market</stp>
        <stp>STOCK</stp>
        <stp>23170.T</stp>
        <stp>前日比</stp>
        <tr r="E114" s="7"/>
      </tp>
      <tp t="s">
        <v>表示銘柄数超過</v>
        <stp/>
        <stp>Market</stp>
        <stp>STOCK</stp>
        <stp>23050.T</stp>
        <stp>前日比</stp>
        <tr r="E112" s="7"/>
      </tp>
      <tp t="s">
        <v>表示銘柄数超過</v>
        <stp/>
        <stp>Market</stp>
        <stp>STOCK</stp>
        <stp>23040.T</stp>
        <stp>前日比</stp>
        <tr r="E111" s="7"/>
      </tp>
      <tp t="s">
        <v>表示銘柄数超過</v>
        <stp/>
        <stp>Market</stp>
        <stp>STOCK</stp>
        <stp>23300.T</stp>
        <stp>前日比</stp>
        <tr r="E117" s="7"/>
      </tp>
      <tp t="s">
        <v>表示銘柄数超過</v>
        <stp/>
        <stp>Market</stp>
        <stp>STOCK</stp>
        <stp>23370.T</stp>
        <stp>前日比</stp>
        <tr r="E118" s="7"/>
      </tp>
      <tp t="s">
        <v>表示銘柄数超過</v>
        <stp/>
        <stp>Market</stp>
        <stp>STOCK</stp>
        <stp>23210.T</stp>
        <stp>前日比</stp>
        <tr r="E115" s="7"/>
      </tp>
      <tp t="s">
        <v>表示銘柄数超過</v>
        <stp/>
        <stp>Market</stp>
        <stp>STOCK</stp>
        <stp>23230.T</stp>
        <stp>前日比</stp>
        <tr r="E116" s="7"/>
      </tp>
      <tp t="s">
        <v>表示銘柄数超過</v>
        <stp/>
        <stp>Market</stp>
        <stp>STOCK</stp>
        <stp>23510.T</stp>
        <stp>前日比</stp>
        <tr r="E123" s="7"/>
      </tp>
      <tp t="s">
        <v>表示銘柄数超過</v>
        <stp/>
        <stp>Market</stp>
        <stp>STOCK</stp>
        <stp>23530.T</stp>
        <stp>前日比</stp>
        <tr r="E124" s="7"/>
      </tp>
      <tp t="s">
        <v>表示銘柄数超過</v>
        <stp/>
        <stp>Market</stp>
        <stp>STOCK</stp>
        <stp>23540.T</stp>
        <stp>前日比</stp>
        <tr r="E125" s="7"/>
      </tp>
      <tp t="s">
        <v>表示銘柄数超過</v>
        <stp/>
        <stp>Market</stp>
        <stp>STOCK</stp>
        <stp>23410.T</stp>
        <stp>前日比</stp>
        <tr r="E120" s="7"/>
      </tp>
      <tp t="s">
        <v>表示銘柄数超過</v>
        <stp/>
        <stp>Market</stp>
        <stp>STOCK</stp>
        <stp>23400.T</stp>
        <stp>前日比</stp>
        <tr r="E119" s="7"/>
      </tp>
      <tp t="s">
        <v>表示銘柄数超過</v>
        <stp/>
        <stp>Market</stp>
        <stp>STOCK</stp>
        <stp>23450.T</stp>
        <stp>前日比</stp>
        <tr r="E122" s="7"/>
      </tp>
      <tp t="s">
        <v>表示銘柄数超過</v>
        <stp/>
        <stp>Market</stp>
        <stp>STOCK</stp>
        <stp>23440.T</stp>
        <stp>前日比</stp>
        <tr r="E121" s="7"/>
      </tp>
      <tp t="s">
        <v>表示銘柄数超過</v>
        <stp/>
        <stp>Market</stp>
        <stp>STOCK</stp>
        <stp>23700.T</stp>
        <stp>前日比</stp>
        <tr r="E126" s="7"/>
      </tp>
      <tp t="s">
        <v>表示銘柄数超過</v>
        <stp/>
        <stp>Market</stp>
        <stp>STOCK</stp>
        <stp>23730.T</stp>
        <stp>前日比</stp>
        <tr r="E127" s="7"/>
      </tp>
      <tp t="s">
        <v>表示銘柄数超過</v>
        <stp/>
        <stp>Market</stp>
        <stp>STOCK</stp>
        <stp>23750.T</stp>
        <stp>前日比</stp>
        <tr r="E128" s="7"/>
      </tp>
      <tp t="s">
        <v>表示銘柄数超過</v>
        <stp/>
        <stp>Market</stp>
        <stp>STOCK</stp>
        <stp>23760.T</stp>
        <stp>前日比</stp>
        <tr r="E129" s="7"/>
      </tp>
      <tp t="s">
        <v>表示銘柄数超過</v>
        <stp/>
        <stp>Market</stp>
        <stp>STOCK</stp>
        <stp>23780.T</stp>
        <stp>前日比</stp>
        <tr r="E130" s="7"/>
      </tp>
      <tp t="s">
        <v>表示銘柄数超過</v>
        <stp/>
        <stp>Market</stp>
        <stp>STOCK</stp>
        <stp>24920.T</stp>
        <stp>前日比</stp>
        <tr r="E154" s="7"/>
      </tp>
      <tp t="s">
        <v>表示銘柄数超過</v>
        <stp/>
        <stp>Market</stp>
        <stp>STOCK</stp>
        <stp>24970.T</stp>
        <stp>前日比</stp>
        <tr r="E155" s="7"/>
      </tp>
      <tp t="s">
        <v>表示銘柄数超過</v>
        <stp/>
        <stp>Market</stp>
        <stp>STOCK</stp>
        <stp>24830.T</stp>
        <stp>前日比</stp>
        <tr r="E151" s="7"/>
      </tp>
      <tp t="s">
        <v>表示銘柄数超過</v>
        <stp/>
        <stp>Market</stp>
        <stp>STOCK</stp>
        <stp>24840.T</stp>
        <stp>前日比</stp>
        <tr r="E152" s="7"/>
      </tp>
      <tp t="s">
        <v>表示銘柄数超過</v>
        <stp/>
        <stp>Market</stp>
        <stp>STOCK</stp>
        <stp>24880.T</stp>
        <stp>前日比</stp>
        <tr r="E153" s="7"/>
      </tp>
      <tp t="s">
        <v>表示銘柄数超過</v>
        <stp/>
        <stp>Market</stp>
        <stp>STOCK</stp>
        <stp>24110.T</stp>
        <stp>前日比</stp>
        <tr r="E136" s="7"/>
      </tp>
      <tp t="s">
        <v>表示銘柄数超過</v>
        <stp/>
        <stp>Market</stp>
        <stp>STOCK</stp>
        <stp>24100.T</stp>
        <stp>前日比</stp>
        <tr r="E135" s="7"/>
      </tp>
      <tp t="s">
        <v>表示銘柄数超過</v>
        <stp/>
        <stp>Market</stp>
        <stp>STOCK</stp>
        <stp>24120.T</stp>
        <stp>前日比</stp>
        <tr r="E137" s="7"/>
      </tp>
      <tp t="s">
        <v>表示銘柄数超過</v>
        <stp/>
        <stp>Market</stp>
        <stp>STOCK</stp>
        <stp>24150.T</stp>
        <stp>前日比</stp>
        <tr r="E138" s="7"/>
      </tp>
      <tp t="s">
        <v>表示銘柄数超過</v>
        <stp/>
        <stp>Market</stp>
        <stp>STOCK</stp>
        <stp>24020.T</stp>
        <stp>前日比</stp>
        <tr r="E132" s="7"/>
      </tp>
      <tp t="s">
        <v>表示銘柄数超過</v>
        <stp/>
        <stp>Market</stp>
        <stp>STOCK</stp>
        <stp>24040.T</stp>
        <stp>前日比</stp>
        <tr r="E133" s="7"/>
      </tp>
      <tp t="s">
        <v>表示銘柄数超過</v>
        <stp/>
        <stp>Market</stp>
        <stp>STOCK</stp>
        <stp>24080.T</stp>
        <stp>前日比</stp>
        <tr r="E134" s="7"/>
      </tp>
      <tp t="s">
        <v>表示銘柄数超過</v>
        <stp/>
        <stp>Market</stp>
        <stp>STOCK</stp>
        <stp>24330.T</stp>
        <stp>前日比</stp>
        <tr r="E141" s="7"/>
      </tp>
      <tp t="s">
        <v>表示銘柄数超過</v>
        <stp/>
        <stp>Market</stp>
        <stp>STOCK</stp>
        <stp>24320.T</stp>
        <stp>前日比</stp>
        <tr r="E140" s="7"/>
      </tp>
      <tp t="s">
        <v>表示銘柄数超過</v>
        <stp/>
        <stp>Market</stp>
        <stp>STOCK</stp>
        <stp>24350.T</stp>
        <stp>前日比</stp>
        <tr r="E142" s="7"/>
      </tp>
      <tp t="s">
        <v>表示銘柄数超過</v>
        <stp/>
        <stp>Market</stp>
        <stp>STOCK</stp>
        <stp>24370.T</stp>
        <stp>前日比</stp>
        <tr r="E143" s="7"/>
      </tp>
      <tp t="s">
        <v>表示銘柄数超過</v>
        <stp/>
        <stp>Market</stp>
        <stp>STOCK</stp>
        <stp>24380.T</stp>
        <stp>前日比</stp>
        <tr r="E144" s="7"/>
      </tp>
      <tp t="s">
        <v>表示銘柄数超過</v>
        <stp/>
        <stp>Market</stp>
        <stp>STOCK</stp>
        <stp>24290.T</stp>
        <stp>前日比</stp>
        <tr r="E139" s="7"/>
      </tp>
      <tp t="s">
        <v>表示銘柄数超過</v>
        <stp/>
        <stp>Market</stp>
        <stp>STOCK</stp>
        <stp>24530.T</stp>
        <stp>前日比</stp>
        <tr r="E146" s="7"/>
      </tp>
      <tp t="s">
        <v>表示銘柄数超過</v>
        <stp/>
        <stp>Market</stp>
        <stp>STOCK</stp>
        <stp>24450.T</stp>
        <stp>前日比</stp>
        <tr r="E145" s="7"/>
      </tp>
      <tp t="s">
        <v>表示銘柄数超過</v>
        <stp/>
        <stp>Market</stp>
        <stp>STOCK</stp>
        <stp>24710.T</stp>
        <stp>前日比</stp>
        <tr r="E149" s="7"/>
      </tp>
      <tp t="s">
        <v>表示銘柄数超過</v>
        <stp/>
        <stp>Market</stp>
        <stp>STOCK</stp>
        <stp>24790.T</stp>
        <stp>前日比</stp>
        <tr r="E150" s="7"/>
      </tp>
      <tp t="s">
        <v>表示銘柄数超過</v>
        <stp/>
        <stp>Market</stp>
        <stp>STOCK</stp>
        <stp>24610.T</stp>
        <stp>前日比</stp>
        <tr r="E147" s="7"/>
      </tp>
      <tp t="s">
        <v>表示銘柄数超過</v>
        <stp/>
        <stp>Market</stp>
        <stp>STOCK</stp>
        <stp>24680.T</stp>
        <stp>前日比</stp>
        <tr r="E148" s="7"/>
      </tp>
      <tp t="s">
        <v>表示銘柄数超過</v>
        <stp/>
        <stp>Market</stp>
        <stp>STOCK</stp>
        <stp>25970.T</stp>
        <stp>前日比</stp>
        <tr r="E168" s="7"/>
      </tp>
      <tp t="s">
        <v>表示銘柄数超過</v>
        <stp/>
        <stp>Market</stp>
        <stp>STOCK</stp>
        <stp>25850.T</stp>
        <stp>前日比</stp>
        <tr r="E164" s="7"/>
      </tp>
      <tp t="s">
        <v>表示銘柄数超過</v>
        <stp/>
        <stp>Market</stp>
        <stp>STOCK</stp>
        <stp>25870.T</stp>
        <stp>前日比</stp>
        <tr r="E166" s="7"/>
      </tp>
      <tp t="s">
        <v>表示銘柄数超過</v>
        <stp/>
        <stp>Market</stp>
        <stp>STOCK</stp>
        <stp>25860.T</stp>
        <stp>前日比</stp>
        <tr r="E165" s="7"/>
      </tp>
      <tp t="s">
        <v>表示銘柄数超過</v>
        <stp/>
        <stp>Market</stp>
        <stp>STOCK</stp>
        <stp>25100.T</stp>
        <stp>前日比</stp>
        <tr r="E157" s="7"/>
      </tp>
      <tp t="s">
        <v>表示銘柄数超過</v>
        <stp/>
        <stp>Market</stp>
        <stp>STOCK</stp>
        <stp>25160.T</stp>
        <stp>前日比</stp>
        <tr r="E158" s="7"/>
      </tp>
      <tp t="s">
        <v>表示銘柄数超過</v>
        <stp/>
        <stp>Market</stp>
        <stp>STOCK</stp>
        <stp>25180.T</stp>
        <stp>前日比</stp>
        <tr r="E159" s="7"/>
      </tp>
      <tp t="s">
        <v>表示銘柄数超過</v>
        <stp/>
        <stp>Market</stp>
        <stp>STOCK</stp>
        <stp>25010.T</stp>
        <stp>前日比</stp>
        <tr r="E156" s="7"/>
      </tp>
      <tp t="s">
        <v>表示銘柄数超過</v>
        <stp/>
        <stp>Market</stp>
        <stp>STOCK</stp>
        <stp>25330.T</stp>
        <stp>前日比</stp>
        <tr r="E160" s="7"/>
      </tp>
      <tp t="s">
        <v>表示銘柄数超過</v>
        <stp/>
        <stp>Market</stp>
        <stp>STOCK</stp>
        <stp>25790.T</stp>
        <stp>前日比</stp>
        <tr r="E163" s="7"/>
      </tp>
      <tp t="s">
        <v>表示銘柄数超過</v>
        <stp/>
        <stp>Market</stp>
        <stp>STOCK</stp>
        <stp>25630.T</stp>
        <stp>前日比</stp>
        <tr r="E161" s="7"/>
      </tp>
      <tp t="s">
        <v>表示銘柄数超過</v>
        <stp/>
        <stp>Market</stp>
        <stp>STOCK</stp>
        <stp>25670.T</stp>
        <stp>前日比</stp>
        <tr r="E162" s="7"/>
      </tp>
      <tp t="s">
        <v>表示銘柄数超過</v>
        <stp/>
        <stp>Market</stp>
        <stp>STOCK</stp>
        <stp>26930.T</stp>
        <stp>前日比</stp>
        <tr r="E183" s="7"/>
      </tp>
      <tp t="s">
        <v>表示銘柄数超過</v>
        <stp/>
        <stp>Market</stp>
        <stp>STOCK</stp>
        <stp>26940.T</stp>
        <stp>前日比</stp>
        <tr r="E184" s="7"/>
      </tp>
      <tp t="s">
        <v>表示銘柄数超過</v>
        <stp/>
        <stp>Market</stp>
        <stp>STOCK</stp>
        <stp>26980.T</stp>
        <stp>前日比</stp>
        <tr r="E185" s="7"/>
      </tp>
      <tp t="s">
        <v>表示銘柄数超過</v>
        <stp/>
        <stp>Market</stp>
        <stp>STOCK</stp>
        <stp>26810.T</stp>
        <stp>前日比</stp>
        <tr r="E180" s="7"/>
      </tp>
      <tp t="s">
        <v>表示銘柄数超過</v>
        <stp/>
        <stp>Market</stp>
        <stp>STOCK</stp>
        <stp>26850.T</stp>
        <stp>前日比</stp>
        <tr r="E181" s="7"/>
      </tp>
      <tp t="s">
        <v>表示銘柄数超過</v>
        <stp/>
        <stp>Market</stp>
        <stp>STOCK</stp>
        <stp>26860.T</stp>
        <stp>前日比</stp>
        <tr r="E182" s="7"/>
      </tp>
      <tp t="s">
        <v>表示銘柄数超過</v>
        <stp/>
        <stp>Market</stp>
        <stp>STOCK</stp>
        <stp>26330.T</stp>
        <stp>前日比</stp>
        <tr r="E172" s="7"/>
      </tp>
      <tp t="s">
        <v>表示銘柄数超過</v>
        <stp/>
        <stp>Market</stp>
        <stp>STOCK</stp>
        <stp>26350.T</stp>
        <stp>前日比</stp>
        <tr r="E174" s="7"/>
      </tp>
      <tp t="s">
        <v>表示銘柄数超過</v>
        <stp/>
        <stp>Market</stp>
        <stp>STOCK</stp>
        <stp>26340.T</stp>
        <stp>前日比</stp>
        <tr r="E173" s="7"/>
      </tp>
      <tp t="s">
        <v>表示銘柄数超過</v>
        <stp/>
        <stp>Market</stp>
        <stp>STOCK</stp>
        <stp>26210.T</stp>
        <stp>前日比</stp>
        <tr r="E170" s="7"/>
      </tp>
      <tp t="s">
        <v>表示銘柄数超過</v>
        <stp/>
        <stp>Market</stp>
        <stp>STOCK</stp>
        <stp>26200.T</stp>
        <stp>前日比</stp>
        <tr r="E169" s="7"/>
      </tp>
      <tp t="s">
        <v>表示銘柄数超過</v>
        <stp/>
        <stp>Market</stp>
        <stp>STOCK</stp>
        <stp>26240.T</stp>
        <stp>前日比</stp>
        <tr r="E171" s="7"/>
      </tp>
      <tp t="s">
        <v>表示銘柄数超過</v>
        <stp/>
        <stp>Market</stp>
        <stp>STOCK</stp>
        <stp>26510.T</stp>
        <stp>前日比</stp>
        <tr r="E175" s="7"/>
      </tp>
      <tp t="s">
        <v>表示銘柄数超過</v>
        <stp/>
        <stp>Market</stp>
        <stp>STOCK</stp>
        <stp>26560.T</stp>
        <stp>前日比</stp>
        <tr r="E176" s="7"/>
      </tp>
      <tp t="s">
        <v>表示銘柄数超過</v>
        <stp/>
        <stp>Market</stp>
        <stp>STOCK</stp>
        <stp>26740.T</stp>
        <stp>前日比</stp>
        <tr r="E179" s="7"/>
      </tp>
      <tp t="s">
        <v>表示銘柄数超過</v>
        <stp/>
        <stp>Market</stp>
        <stp>STOCK</stp>
        <stp>26670.T</stp>
        <stp>前日比</stp>
        <tr r="E178" s="7"/>
      </tp>
      <tp t="s">
        <v>表示銘柄数超過</v>
        <stp/>
        <stp>Market</stp>
        <stp>STOCK</stp>
        <stp>26660.T</stp>
        <stp>前日比</stp>
        <tr r="E177" s="7"/>
      </tp>
      <tp t="s">
        <v>表示銘柄数超過</v>
        <stp/>
        <stp>Market</stp>
        <stp>STOCK</stp>
        <stp>27900.T</stp>
        <stp>前日比</stp>
        <tr r="E200" s="7"/>
      </tp>
      <tp t="s">
        <v>表示銘柄数超過</v>
        <stp/>
        <stp>Market</stp>
        <stp>STOCK</stp>
        <stp>27820.T</stp>
        <stp>前日比</stp>
        <tr r="E199" s="7"/>
      </tp>
      <tp t="s">
        <v>表示銘柄数超過</v>
        <stp/>
        <stp>Market</stp>
        <stp>STOCK</stp>
        <stp>27020.T</stp>
        <stp>前日比</stp>
        <tr r="E186" s="7"/>
      </tp>
      <tp t="s">
        <v>表示銘柄数超過</v>
        <stp/>
        <stp>Market</stp>
        <stp>STOCK</stp>
        <stp>27350.T</stp>
        <stp>前日比</stp>
        <tr r="E190" s="7"/>
      </tp>
      <tp t="s">
        <v>表示銘柄数超過</v>
        <stp/>
        <stp>Market</stp>
        <stp>STOCK</stp>
        <stp>27340.T</stp>
        <stp>前日比</stp>
        <tr r="E189" s="7"/>
      </tp>
      <tp t="s">
        <v>表示銘柄数超過</v>
        <stp/>
        <stp>Market</stp>
        <stp>STOCK</stp>
        <stp>27210.T</stp>
        <stp>前日比</stp>
        <tr r="E187" s="7"/>
      </tp>
      <tp t="s">
        <v>表示銘柄数超過</v>
        <stp/>
        <stp>Market</stp>
        <stp>STOCK</stp>
        <stp>27220.T</stp>
        <stp>前日比</stp>
        <tr r="E188" s="7"/>
      </tp>
      <tp t="s">
        <v>表示銘柄数超過</v>
        <stp/>
        <stp>Market</stp>
        <stp>STOCK</stp>
        <stp>27430.T</stp>
        <stp>前日比</stp>
        <tr r="E191" s="7"/>
      </tp>
      <tp t="s">
        <v>表示銘柄数超過</v>
        <stp/>
        <stp>Market</stp>
        <stp>STOCK</stp>
        <stp>27490.T</stp>
        <stp>前日比</stp>
        <tr r="E192" s="7"/>
      </tp>
      <tp t="s">
        <v>表示銘柄数超過</v>
        <stp/>
        <stp>Market</stp>
        <stp>STOCK</stp>
        <stp>27760.T</stp>
        <stp>前日比</stp>
        <tr r="E197" s="7"/>
      </tp>
      <tp t="s">
        <v>表示銘柄数超過</v>
        <stp/>
        <stp>Market</stp>
        <stp>STOCK</stp>
        <stp>27780.T</stp>
        <stp>前日比</stp>
        <tr r="E198" s="7"/>
      </tp>
      <tp t="s">
        <v>表示銘柄数超過</v>
        <stp/>
        <stp>Market</stp>
        <stp>STOCK</stp>
        <stp>27620.T</stp>
        <stp>前日比</stp>
        <tr r="E193" s="7"/>
      </tp>
      <tp t="s">
        <v>表示銘柄数超過</v>
        <stp/>
        <stp>Market</stp>
        <stp>STOCK</stp>
        <stp>27640.T</stp>
        <stp>前日比</stp>
        <tr r="E194" s="7"/>
      </tp>
      <tp t="s">
        <v>表示銘柄数超過</v>
        <stp/>
        <stp>Market</stp>
        <stp>STOCK</stp>
        <stp>27670.T</stp>
        <stp>前日比</stp>
        <tr r="E195" s="7"/>
      </tp>
      <tp t="s">
        <v>表示銘柄数超過</v>
        <stp/>
        <stp>Market</stp>
        <stp>STOCK</stp>
        <stp>27680.T</stp>
        <stp>前日比</stp>
        <tr r="E196" s="7"/>
      </tp>
      <tp t="s">
        <v>表示銘柄数超過</v>
        <stp/>
        <stp>Market</stp>
        <stp>STOCK</stp>
        <stp>28940.T</stp>
        <stp>前日比</stp>
        <tr r="E212" s="7"/>
      </tp>
      <tp t="s">
        <v>表示銘柄数超過</v>
        <stp/>
        <stp>Market</stp>
        <stp>STOCK</stp>
        <stp>28100.T</stp>
        <stp>前日比</stp>
        <tr r="E201" s="7"/>
      </tp>
      <tp t="s">
        <v>表示銘柄数超過</v>
        <stp/>
        <stp>Market</stp>
        <stp>STOCK</stp>
        <stp>28510.T</stp>
        <stp>前日比</stp>
        <tr r="E203" s="7"/>
      </tp>
      <tp t="s">
        <v>表示銘柄数超過</v>
        <stp/>
        <stp>Market</stp>
        <stp>STOCK</stp>
        <stp>28530.T</stp>
        <stp>前日比</stp>
        <tr r="E205" s="7"/>
      </tp>
      <tp t="s">
        <v>表示銘柄数超過</v>
        <stp/>
        <stp>Market</stp>
        <stp>STOCK</stp>
        <stp>28520.T</stp>
        <stp>前日比</stp>
        <tr r="E204" s="7"/>
      </tp>
      <tp t="s">
        <v>表示銘柄数超過</v>
        <stp/>
        <stp>Market</stp>
        <stp>STOCK</stp>
        <stp>28570.T</stp>
        <stp>前日比</stp>
        <tr r="E207" s="7"/>
      </tp>
      <tp t="s">
        <v>表示銘柄数超過</v>
        <stp/>
        <stp>Market</stp>
        <stp>STOCK</stp>
        <stp>28560.T</stp>
        <stp>前日比</stp>
        <tr r="E206" s="7"/>
      </tp>
      <tp t="s">
        <v>表示銘柄数超過</v>
        <stp/>
        <stp>Market</stp>
        <stp>STOCK</stp>
        <stp>28580.T</stp>
        <stp>前日比</stp>
        <tr r="E208" s="7"/>
      </tp>
      <tp t="s">
        <v>表示銘柄数超過</v>
        <stp/>
        <stp>Market</stp>
        <stp>STOCK</stp>
        <stp>28450.T</stp>
        <stp>前日比</stp>
        <tr r="E202" s="7"/>
      </tp>
      <tp t="s">
        <v>表示銘柄数超過</v>
        <stp/>
        <stp>Market</stp>
        <stp>STOCK</stp>
        <stp>28750.T</stp>
        <stp>前日比</stp>
        <tr r="E211" s="7"/>
      </tp>
      <tp t="s">
        <v>表示銘柄数超過</v>
        <stp/>
        <stp>Market</stp>
        <stp>STOCK</stp>
        <stp>28650.T</stp>
        <stp>前日比</stp>
        <tr r="E209" s="7"/>
      </tp>
      <tp t="s">
        <v>表示銘柄数超過</v>
        <stp/>
        <stp>Market</stp>
        <stp>STOCK</stp>
        <stp>28680.T</stp>
        <stp>前日比</stp>
        <tr r="E210" s="7"/>
      </tp>
      <tp t="s">
        <v>表示銘柄数超過</v>
        <stp/>
        <stp>Market</stp>
        <stp>STOCK</stp>
        <stp>29930.T</stp>
        <stp>前日比</stp>
        <tr r="E219" s="7"/>
      </tp>
      <tp t="s">
        <v>表示銘柄数超過</v>
        <stp/>
        <stp>Market</stp>
        <stp>STOCK</stp>
        <stp>29970.T</stp>
        <stp>前日比</stp>
        <tr r="E220" s="7"/>
      </tp>
      <tp t="s">
        <v>表示銘柄数超過</v>
        <stp/>
        <stp>Market</stp>
        <stp>STOCK</stp>
        <stp>29820.T</stp>
        <stp>前日比</stp>
        <tr r="E217" s="7"/>
      </tp>
      <tp t="s">
        <v>表示銘柄数超過</v>
        <stp/>
        <stp>Market</stp>
        <stp>STOCK</stp>
        <stp>29870.T</stp>
        <stp>前日比</stp>
        <tr r="E218" s="7"/>
      </tp>
      <tp>
        <v>5</v>
        <stp/>
        <stp>Market</stp>
        <stp>STOCK</stp>
        <stp>29140.T</stp>
        <stp>前日比</stp>
        <tr r="E214" s="7"/>
      </tp>
      <tp t="s">
        <v>表示銘柄数超過</v>
        <stp/>
        <stp>Market</stp>
        <stp>STOCK</stp>
        <stp>29010.T</stp>
        <stp>前日比</stp>
        <tr r="E213" s="7"/>
      </tp>
      <tp t="s">
        <v>表示銘柄数超過</v>
        <stp/>
        <stp>Market</stp>
        <stp>STOCK</stp>
        <stp>29300.T</stp>
        <stp>前日比</stp>
        <tr r="E216" s="7"/>
      </tp>
      <tp t="s">
        <v>表示銘柄数超過</v>
        <stp/>
        <stp>Market</stp>
        <stp>STOCK</stp>
        <stp>29260.T</stp>
        <stp>前日比</stp>
        <tr r="E215" s="7"/>
      </tp>
      <tp t="s">
        <v>表示銘柄数超過</v>
        <stp/>
        <stp>Market</stp>
        <stp>STOCK</stp>
        <stp>13990.T</stp>
        <stp>前日比</stp>
        <tr r="E16" s="7"/>
      </tp>
      <tp t="s">
        <v>表示銘柄数超過</v>
        <stp/>
        <stp>Market</stp>
        <stp>STOCK</stp>
        <stp>13110.T</stp>
        <stp>前日比</stp>
        <tr r="E5" s="7"/>
      </tp>
      <tp t="s">
        <v>表示銘柄数超過</v>
        <stp/>
        <stp>Market</stp>
        <stp>STOCK</stp>
        <stp>13190.T</stp>
        <stp>前日比</stp>
        <tr r="E6" s="7"/>
      </tp>
      <tp t="s">
        <v>表示銘柄数超過</v>
        <stp/>
        <stp>Market</stp>
        <stp>STOCK</stp>
        <stp>13050.T</stp>
        <stp>前日比</stp>
        <tr r="E2" s="7"/>
      </tp>
      <tp t="s">
        <v>表示銘柄数超過</v>
        <stp/>
        <stp>Market</stp>
        <stp>STOCK</stp>
        <stp>13060.T</stp>
        <stp>前日比</stp>
        <tr r="E3" s="7"/>
      </tp>
      <tp t="s">
        <v>表示銘柄数超過</v>
        <stp/>
        <stp>Market</stp>
        <stp>STOCK</stp>
        <stp>13080.T</stp>
        <stp>前日比</stp>
        <tr r="E4" s="7"/>
      </tp>
      <tp t="s">
        <v>表示銘柄数超過</v>
        <stp/>
        <stp>Market</stp>
        <stp>STOCK</stp>
        <stp>13330.T</stp>
        <stp>前日比</stp>
        <tr r="E9" s="7"/>
      </tp>
      <tp t="s">
        <v>表示銘柄数超過</v>
        <stp/>
        <stp>Market</stp>
        <stp>STOCK</stp>
        <stp>13320.T</stp>
        <stp>前日比</stp>
        <tr r="E8" s="7"/>
      </tp>
      <tp t="s">
        <v>表示銘柄数超過</v>
        <stp/>
        <stp>Market</stp>
        <stp>STOCK</stp>
        <stp>13250.T</stp>
        <stp>前日比</stp>
        <tr r="E7" s="7"/>
      </tp>
      <tp>
        <v>0</v>
        <stp/>
        <stp>Market</stp>
        <stp>STOCK</stp>
        <stp>13570.T</stp>
        <stp>前日比</stp>
        <tr r="E12" s="7"/>
      </tp>
      <tp t="s">
        <v>表示銘柄数超過</v>
        <stp/>
        <stp>Market</stp>
        <stp>STOCK</stp>
        <stp>13560.T</stp>
        <stp>前日比</stp>
        <tr r="E11" s="7"/>
      </tp>
      <tp t="s">
        <v>表示銘柄数超過</v>
        <stp/>
        <stp>Market</stp>
        <stp>STOCK</stp>
        <stp>13450.T</stp>
        <stp>前日比</stp>
        <tr r="E10" s="7"/>
      </tp>
      <tp t="s">
        <v>表示銘柄数超過</v>
        <stp/>
        <stp>Market</stp>
        <stp>STOCK</stp>
        <stp>13600.T</stp>
        <stp>前日比</stp>
        <tr r="E13" s="7"/>
      </tp>
      <tp t="s">
        <v>表示銘柄数超過</v>
        <stp/>
        <stp>Market</stp>
        <stp>STOCK</stp>
        <stp>13660.T</stp>
        <stp>前日比</stp>
        <tr r="E14" s="7"/>
      </tp>
      <tp t="s">
        <v>表示銘柄数超過</v>
        <stp/>
        <stp>Market</stp>
        <stp>STOCK</stp>
        <stp>13680.T</stp>
        <stp>前日比</stp>
        <tr r="E15" s="7"/>
      </tp>
      <tp t="s">
        <v>表示銘柄数超過</v>
        <stp/>
        <stp>Market</stp>
        <stp>STOCK</stp>
        <stp>14910.T</stp>
        <stp>前日比</stp>
        <tr r="E29" s="7"/>
      </tp>
      <tp t="s">
        <v>表示銘柄数超過</v>
        <stp/>
        <stp>Market</stp>
        <stp>STOCK</stp>
        <stp>14190.T</stp>
        <stp>前日比</stp>
        <tr r="E21" s="7"/>
      </tp>
      <tp t="s">
        <v>表示銘柄数超過</v>
        <stp/>
        <stp>Market</stp>
        <stp>STOCK</stp>
        <stp>14180.T</stp>
        <stp>前日比</stp>
        <tr r="E20" s="7"/>
      </tp>
      <tp t="s">
        <v>表示銘柄数超過</v>
        <stp/>
        <stp>Market</stp>
        <stp>STOCK</stp>
        <stp>14010.T</stp>
        <stp>前日比</stp>
        <tr r="E18" s="7"/>
      </tp>
      <tp t="s">
        <v>表示銘柄数超過</v>
        <stp/>
        <stp>Market</stp>
        <stp>STOCK</stp>
        <stp>14000.T</stp>
        <stp>前日比</stp>
        <tr r="E17" s="7"/>
      </tp>
      <tp t="s">
        <v>表示銘柄数超過</v>
        <stp/>
        <stp>Market</stp>
        <stp>STOCK</stp>
        <stp>14070.T</stp>
        <stp>前日比</stp>
        <tr r="E19" s="7"/>
      </tp>
      <tp t="s">
        <v>表示銘柄数超過</v>
        <stp/>
        <stp>Market</stp>
        <stp>STOCK</stp>
        <stp>14300.T</stp>
        <stp>前日比</stp>
        <tr r="E22" s="7"/>
      </tp>
      <tp t="s">
        <v>表示銘柄数超過</v>
        <stp/>
        <stp>Market</stp>
        <stp>STOCK</stp>
        <stp>14350.T</stp>
        <stp>前日比</stp>
        <tr r="E23" s="7"/>
      </tp>
      <tp t="s">
        <v>表示銘柄数超過</v>
        <stp/>
        <stp>Market</stp>
        <stp>STOCK</stp>
        <stp>14390.T</stp>
        <stp>前日比</stp>
        <tr r="E24" s="7"/>
      </tp>
      <tp t="s">
        <v>表示銘柄数超過</v>
        <stp/>
        <stp>Market</stp>
        <stp>STOCK</stp>
        <stp>14510.T</stp>
        <stp>前日比</stp>
        <tr r="E25" s="7"/>
      </tp>
      <tp t="s">
        <v>表示銘柄数超過</v>
        <stp/>
        <stp>Market</stp>
        <stp>STOCK</stp>
        <stp>14590.T</stp>
        <stp>前日比</stp>
        <tr r="E26" s="7"/>
      </tp>
      <tp t="s">
        <v>表示銘柄数超過</v>
        <stp/>
        <stp>Market</stp>
        <stp>STOCK</stp>
        <stp>14720.T</stp>
        <stp>前日比</stp>
        <tr r="E28" s="7"/>
      </tp>
      <tp t="s">
        <v>表示銘柄数超過</v>
        <stp/>
        <stp>Market</stp>
        <stp>STOCK</stp>
        <stp>14690.T</stp>
        <stp>前日比</stp>
        <tr r="E27" s="7"/>
      </tp>
      <tp t="s">
        <v>表示銘柄数超過</v>
        <stp/>
        <stp>Market</stp>
        <stp>STOCK</stp>
        <stp>15140.T</stp>
        <stp>前日比</stp>
        <tr r="E30" s="7"/>
      </tp>
      <tp t="s">
        <v>表示銘柄数超過</v>
        <stp/>
        <stp>Market</stp>
        <stp>STOCK</stp>
        <stp>15510.T</stp>
        <stp>前日比</stp>
        <tr r="E31" s="7"/>
      </tp>
      <tp t="s">
        <v>表示銘柄数超過</v>
        <stp/>
        <stp>Market</stp>
        <stp>STOCK</stp>
        <stp>15520.T</stp>
        <stp>前日比</stp>
        <tr r="E32" s="7"/>
      </tp>
      <tp t="s">
        <v>表示銘柄数超過</v>
        <stp/>
        <stp>Market</stp>
        <stp>STOCK</stp>
        <stp>15710.T</stp>
        <stp>前日比</stp>
        <tr r="E34" s="7"/>
      </tp>
      <tp t="s">
        <v>表示銘柄数超過</v>
        <stp/>
        <stp>Market</stp>
        <stp>STOCK</stp>
        <stp>15720.T</stp>
        <stp>前日比</stp>
        <tr r="E35" s="7"/>
      </tp>
      <tp t="s">
        <v>表示銘柄数超過</v>
        <stp/>
        <stp>Market</stp>
        <stp>STOCK</stp>
        <stp>15780.T</stp>
        <stp>前日比</stp>
        <tr r="E36" s="7"/>
      </tp>
      <tp t="s">
        <v>表示銘柄数超過</v>
        <stp/>
        <stp>Market</stp>
        <stp>STOCK</stp>
        <stp>15630.T</stp>
        <stp>前日比</stp>
        <tr r="E33" s="7"/>
      </tp>
      <tp t="s">
        <v>表示銘柄数超過</v>
        <stp/>
        <stp>Market</stp>
        <stp>STOCK</stp>
        <stp>16990.T</stp>
        <stp>前日比</stp>
        <tr r="E45" s="7"/>
      </tp>
      <tp t="s">
        <v>表示銘柄数超過</v>
        <stp/>
        <stp>Market</stp>
        <stp>STOCK</stp>
        <stp>16820.T</stp>
        <stp>前日比</stp>
        <tr r="E43" s="7"/>
      </tp>
      <tp t="s">
        <v>表示銘柄数超過</v>
        <stp/>
        <stp>Market</stp>
        <stp>STOCK</stp>
        <stp>16890.T</stp>
        <stp>前日比</stp>
        <tr r="E44" s="7"/>
      </tp>
      <tp t="s">
        <v>表示銘柄数超過</v>
        <stp/>
        <stp>Market</stp>
        <stp>STOCK</stp>
        <stp>16150.T</stp>
        <stp>前日比</stp>
        <tr r="E38" s="7"/>
      </tp>
      <tp t="s">
        <v>表示銘柄数超過</v>
        <stp/>
        <stp>Market</stp>
        <stp>STOCK</stp>
        <stp>16050.T</stp>
        <stp>前日比</stp>
        <tr r="E37" s="7"/>
      </tp>
      <tp t="s">
        <v>表示銘柄数超過</v>
        <stp/>
        <stp>Market</stp>
        <stp>STOCK</stp>
        <stp>16550.T</stp>
        <stp>前日比</stp>
        <tr r="E39" s="7"/>
      </tp>
      <tp t="s">
        <v>表示銘柄数超過</v>
        <stp/>
        <stp>Market</stp>
        <stp>STOCK</stp>
        <stp>16560.T</stp>
        <stp>前日比</stp>
        <tr r="E40" s="7"/>
      </tp>
      <tp t="s">
        <v>表示銘柄数超過</v>
        <stp/>
        <stp>Market</stp>
        <stp>STOCK</stp>
        <stp>16710.T</stp>
        <stp>前日比</stp>
        <tr r="E41" s="7"/>
      </tp>
      <tp t="s">
        <v>表示銘柄数超過</v>
        <stp/>
        <stp>Market</stp>
        <stp>STOCK</stp>
        <stp>16780.T</stp>
        <stp>前日比</stp>
        <tr r="E42" s="7"/>
      </tp>
      <tp t="s">
        <v>表示銘柄数超過</v>
        <stp/>
        <stp>Market</stp>
        <stp>STOCK</stp>
        <stp>17830.T</stp>
        <stp>前日比</stp>
        <tr r="E56" s="7"/>
      </tp>
      <tp t="s">
        <v>表示銘柄数超過</v>
        <stp/>
        <stp>Market</stp>
        <stp>STOCK</stp>
        <stp>17110.T</stp>
        <stp>前日比</stp>
        <tr r="E46" s="7"/>
      </tp>
      <tp t="s">
        <v>表示銘柄数超過</v>
        <stp/>
        <stp>Market</stp>
        <stp>STOCK</stp>
        <stp>17120.T</stp>
        <stp>前日比</stp>
        <tr r="E47" s="7"/>
      </tp>
      <tp t="s">
        <v>表示銘柄数超過</v>
        <stp/>
        <stp>Market</stp>
        <stp>STOCK</stp>
        <stp>17160.T</stp>
        <stp>前日比</stp>
        <tr r="E48" s="7"/>
      </tp>
      <tp t="s">
        <v>表示銘柄数超過</v>
        <stp/>
        <stp>Market</stp>
        <stp>STOCK</stp>
        <stp>17190.T</stp>
        <stp>前日比</stp>
        <tr r="E49" s="7"/>
      </tp>
      <tp t="s">
        <v>表示銘柄数超過</v>
        <stp/>
        <stp>Market</stp>
        <stp>STOCK</stp>
        <stp>17300.T</stp>
        <stp>前日比</stp>
        <tr r="E52" s="7"/>
      </tp>
      <tp t="s">
        <v>表示銘柄数超過</v>
        <stp/>
        <stp>Market</stp>
        <stp>STOCK</stp>
        <stp>17210.T</stp>
        <stp>前日比</stp>
        <tr r="E51" s="7"/>
      </tp>
      <tp t="s">
        <v>表示銘柄数超過</v>
        <stp/>
        <stp>Market</stp>
        <stp>STOCK</stp>
        <stp>17200.T</stp>
        <stp>前日比</stp>
        <tr r="E50" s="7"/>
      </tp>
      <tp t="s">
        <v>表示銘柄数超過</v>
        <stp/>
        <stp>Market</stp>
        <stp>STOCK</stp>
        <stp>17570.T</stp>
        <stp>前日比</stp>
        <tr r="E54" s="7"/>
      </tp>
      <tp t="s">
        <v>表示銘柄数超過</v>
        <stp/>
        <stp>Market</stp>
        <stp>STOCK</stp>
        <stp>17430.T</stp>
        <stp>前日比</stp>
        <tr r="E53" s="7"/>
      </tp>
      <tp t="s">
        <v>表示銘柄数超過</v>
        <stp/>
        <stp>Market</stp>
        <stp>STOCK</stp>
        <stp>17700.T</stp>
        <stp>前日比</stp>
        <tr r="E55" s="7"/>
      </tp>
      <tp t="s">
        <v>表示銘柄数超過</v>
        <stp/>
        <stp>Market</stp>
        <stp>STOCK</stp>
        <stp>18930.T</stp>
        <stp>前日比</stp>
        <tr r="E70" s="7"/>
      </tp>
      <tp t="s">
        <v>表示銘柄数超過</v>
        <stp/>
        <stp>Market</stp>
        <stp>STOCK</stp>
        <stp>18980.T</stp>
        <stp>前日比</stp>
        <tr r="E71" s="7"/>
      </tp>
      <tp t="s">
        <v>表示銘柄数超過</v>
        <stp/>
        <stp>Market</stp>
        <stp>STOCK</stp>
        <stp>18870.T</stp>
        <stp>前日比</stp>
        <tr r="E69" s="7"/>
      </tp>
      <tp t="s">
        <v>表示銘柄数超過</v>
        <stp/>
        <stp>Market</stp>
        <stp>STOCK</stp>
        <stp>18120.T</stp>
        <stp>前日比</stp>
        <tr r="E60" s="7"/>
      </tp>
      <tp t="s">
        <v>表示銘柄数超過</v>
        <stp/>
        <stp>Market</stp>
        <stp>STOCK</stp>
        <stp>18150.T</stp>
        <stp>前日比</stp>
        <tr r="E61" s="7"/>
      </tp>
      <tp t="s">
        <v>表示銘柄数超過</v>
        <stp/>
        <stp>Market</stp>
        <stp>STOCK</stp>
        <stp>18030.T</stp>
        <stp>前日比</stp>
        <tr r="E58" s="7"/>
      </tp>
      <tp t="s">
        <v>表示銘柄数超過</v>
        <stp/>
        <stp>Market</stp>
        <stp>STOCK</stp>
        <stp>18020.T</stp>
        <stp>前日比</stp>
        <tr r="E57" s="7"/>
      </tp>
      <tp t="s">
        <v>表示銘柄数超過</v>
        <stp/>
        <stp>Market</stp>
        <stp>STOCK</stp>
        <stp>18050.T</stp>
        <stp>前日比</stp>
        <tr r="E59" s="7"/>
      </tp>
      <tp t="s">
        <v>表示銘柄数超過</v>
        <stp/>
        <stp>Market</stp>
        <stp>STOCK</stp>
        <stp>18210.T</stp>
        <stp>前日比</stp>
        <tr r="E62" s="7"/>
      </tp>
      <tp t="s">
        <v>表示銘柄数超過</v>
        <stp/>
        <stp>Market</stp>
        <stp>STOCK</stp>
        <stp>18270.T</stp>
        <stp>前日比</stp>
        <tr r="E64" s="7"/>
      </tp>
      <tp t="s">
        <v>表示銘柄数超過</v>
        <stp/>
        <stp>Market</stp>
        <stp>STOCK</stp>
        <stp>18260.T</stp>
        <stp>前日比</stp>
        <tr r="E63" s="7"/>
      </tp>
      <tp t="s">
        <v>表示銘柄数超過</v>
        <stp/>
        <stp>Market</stp>
        <stp>STOCK</stp>
        <stp>18400.T</stp>
        <stp>前日比</stp>
        <tr r="E65" s="7"/>
      </tp>
      <tp t="s">
        <v>表示銘柄数超過</v>
        <stp/>
        <stp>Market</stp>
        <stp>STOCK</stp>
        <stp>18440.T</stp>
        <stp>前日比</stp>
        <tr r="E66" s="7"/>
      </tp>
      <tp t="s">
        <v>表示銘柄数超過</v>
        <stp/>
        <stp>Market</stp>
        <stp>STOCK</stp>
        <stp>18480.T</stp>
        <stp>前日比</stp>
        <tr r="E67" s="7"/>
      </tp>
      <tp t="s">
        <v>表示銘柄数超過</v>
        <stp/>
        <stp>Market</stp>
        <stp>STOCK</stp>
        <stp>18790.T</stp>
        <stp>前日比</stp>
        <tr r="E68" s="7"/>
      </tp>
      <tp t="s">
        <v>表示銘柄数超過</v>
        <stp/>
        <stp>Market</stp>
        <stp>STOCK</stp>
        <stp>19940.T</stp>
        <stp>前日比</stp>
        <tr r="E86" s="7"/>
      </tp>
      <tp t="s">
        <v>表示銘柄数超過</v>
        <stp/>
        <stp>Market</stp>
        <stp>STOCK</stp>
        <stp>19110.T</stp>
        <stp>前日比</stp>
        <tr r="E72" s="7"/>
      </tp>
      <tp t="s">
        <v>表示銘柄数超過</v>
        <stp/>
        <stp>Market</stp>
        <stp>STOCK</stp>
        <stp>19140.T</stp>
        <stp>前日比</stp>
        <tr r="E73" s="7"/>
      </tp>
      <tp t="s">
        <v>表示銘柄数超過</v>
        <stp/>
        <stp>Market</stp>
        <stp>STOCK</stp>
        <stp>19300.T</stp>
        <stp>前日比</stp>
        <tr r="E76" s="7"/>
      </tp>
      <tp t="s">
        <v>表示銘柄数超過</v>
        <stp/>
        <stp>Market</stp>
        <stp>STOCK</stp>
        <stp>19390.T</stp>
        <stp>前日比</stp>
        <tr r="E78" s="7"/>
      </tp>
      <tp t="s">
        <v>表示銘柄数超過</v>
        <stp/>
        <stp>Market</stp>
        <stp>STOCK</stp>
        <stp>19380.T</stp>
        <stp>前日比</stp>
        <tr r="E77" s="7"/>
      </tp>
      <tp t="s">
        <v>表示銘柄数超過</v>
        <stp/>
        <stp>Market</stp>
        <stp>STOCK</stp>
        <stp>19250.T</stp>
        <stp>前日比</stp>
        <tr r="E74" s="7"/>
      </tp>
      <tp t="s">
        <v>表示銘柄数超過</v>
        <stp/>
        <stp>Market</stp>
        <stp>STOCK</stp>
        <stp>19280.T</stp>
        <stp>前日比</stp>
        <tr r="E75" s="7"/>
      </tp>
      <tp t="s">
        <v>表示銘柄数超過</v>
        <stp/>
        <stp>Market</stp>
        <stp>STOCK</stp>
        <stp>19500.T</stp>
        <stp>前日比</stp>
        <tr r="E81" s="7"/>
      </tp>
      <tp t="s">
        <v>表示銘柄数超過</v>
        <stp/>
        <stp>Market</stp>
        <stp>STOCK</stp>
        <stp>19410.T</stp>
        <stp>前日比</stp>
        <tr r="E79" s="7"/>
      </tp>
      <tp t="s">
        <v>表示銘柄数超過</v>
        <stp/>
        <stp>Market</stp>
        <stp>STOCK</stp>
        <stp>19420.T</stp>
        <stp>前日比</stp>
        <tr r="E80" s="7"/>
      </tp>
      <tp t="s">
        <v>表示銘柄数超過</v>
        <stp/>
        <stp>Market</stp>
        <stp>STOCK</stp>
        <stp>19710.T</stp>
        <stp>前日比</stp>
        <tr r="E85" s="7"/>
      </tp>
      <tp t="s">
        <v>表示銘柄数超過</v>
        <stp/>
        <stp>Market</stp>
        <stp>STOCK</stp>
        <stp>19600.T</stp>
        <stp>前日比</stp>
        <tr r="E82" s="7"/>
      </tp>
      <tp t="s">
        <v>表示銘柄数超過</v>
        <stp/>
        <stp>Market</stp>
        <stp>STOCK</stp>
        <stp>19650.T</stp>
        <stp>前日比</stp>
        <tr r="E83" s="7"/>
      </tp>
      <tp t="s">
        <v>表示銘柄数超過</v>
        <stp/>
        <stp>Market</stp>
        <stp>STOCK</stp>
        <stp>19660.T</stp>
        <stp>前日比</stp>
        <tr r="E84" s="7"/>
      </tp>
    </main>
    <main first="rtdsrv.662c26bade854d00aebc6010f8a2e03a">
      <tp>
        <v>2541</v>
        <stp/>
        <stp>Market</stp>
        <stp>STOCK</stp>
        <stp>81790.T</stp>
        <stp>安値</stp>
        <tr r="P988" s="7"/>
      </tp>
      <tp>
        <v>1525</v>
        <stp/>
        <stp>Market</stp>
        <stp>STOCK</stp>
        <stp>81390.T</stp>
        <stp>安値</stp>
        <tr r="P982" s="7"/>
      </tp>
      <tp>
        <v>689</v>
        <stp/>
        <stp>Market</stp>
        <stp>STOCK</stp>
        <stp>86090.T</stp>
        <stp>安値</stp>
        <tr r="P1027" s="7"/>
      </tp>
      <tp t="s">
        <v>表示銘柄数超過</v>
        <stp/>
        <stp>Market</stp>
        <stp>STOCK</stp>
        <stp>87890.T</stp>
        <stp>安値</stp>
        <tr r="P1048" s="7"/>
      </tp>
      <tp t="s">
        <v>表示銘柄数超過</v>
        <stp/>
        <stp>Market</stp>
        <stp>STOCK</stp>
        <stp>87690.T</stp>
        <stp>安値</stp>
        <tr r="P1046" s="7"/>
      </tp>
      <tp t="s">
        <v>表示銘柄数超過</v>
        <stp/>
        <stp>Market</stp>
        <stp>STOCK</stp>
        <stp>99690.T</stp>
        <stp>安値</stp>
        <tr r="P1185" s="7"/>
      </tp>
      <tp t="s">
        <v>表示銘柄数超過</v>
        <stp/>
        <stp>Market</stp>
        <stp>STOCK</stp>
        <stp>99190.T</stp>
        <stp>安値</stp>
        <tr r="P1180" s="7"/>
      </tp>
      <tp>
        <v>3</v>
        <stp/>
        <stp>Market</stp>
        <stp>STOCK</stp>
        <stp>93990.T</stp>
        <stp>安値</stp>
        <tr r="P1113" s="7"/>
      </tp>
      <tp t="s">
        <v>表示銘柄数超過</v>
        <stp/>
        <stp>Market</stp>
        <stp>STOCK</stp>
        <stp>90590.T</stp>
        <stp>安値</stp>
        <tr r="P1089" s="7"/>
      </tp>
      <tp t="s">
        <v>表示銘柄数超過</v>
        <stp/>
        <stp>Market</stp>
        <stp>STOCK</stp>
        <stp>90090.T</stp>
        <stp>安値</stp>
        <tr r="P1079" s="7"/>
      </tp>
      <tp t="s">
        <v>表示銘柄数超過</v>
        <stp/>
        <stp>Market</stp>
        <stp>STOCK</stp>
        <stp>91190.T</stp>
        <stp>安値</stp>
        <tr r="P1097" s="7"/>
      </tp>
      <tp t="s">
        <v>表示銘柄数超過</v>
        <stp/>
        <stp>Market</stp>
        <stp>STOCK</stp>
        <stp>97090.T</stp>
        <stp>安値</stp>
        <tr r="P1162" s="7"/>
      </tp>
      <tp t="s">
        <v>表示銘柄数超過</v>
        <stp/>
        <stp>Market</stp>
        <stp>STOCK</stp>
        <stp>94790.T</stp>
        <stp>安値</stp>
        <tr r="P1139" s="7"/>
      </tp>
      <tp t="s">
        <v>表示銘柄数超過</v>
        <stp/>
        <stp>Market</stp>
        <stp>STOCK</stp>
        <stp>94190.T</stp>
        <stp>安値</stp>
        <tr r="P1122" s="7"/>
      </tp>
      <tp t="s">
        <v>表示銘柄数超過</v>
        <stp/>
        <stp>Market</stp>
        <stp>STOCK</stp>
        <stp>94090.T</stp>
        <stp>安値</stp>
        <tr r="P1117" s="7"/>
      </tp>
      <tp t="s">
        <v>表示銘柄数超過</v>
        <stp/>
        <stp>Market</stp>
        <stp>STOCK</stp>
        <stp>94390.T</stp>
        <stp>安値</stp>
        <tr r="P1131" s="7"/>
      </tp>
      <tp t="s">
        <v>表示銘柄数超過</v>
        <stp/>
        <stp>Market</stp>
        <stp>STOCK</stp>
        <stp>95190.T</stp>
        <stp>安値</stp>
        <tr r="P1151" s="7"/>
      </tp>
      <tp t="s">
        <v>表示銘柄数超過</v>
        <stp/>
        <stp>Market</stp>
        <stp>STOCK</stp>
        <stp>95090.T</stp>
        <stp>安値</stp>
        <tr r="P1148" s="7"/>
      </tp>
      <tp>
        <v>383</v>
        <stp/>
        <stp>Market</stp>
        <stp>STOCK</stp>
        <stp>60590.T</stp>
        <stp>安値</stp>
        <tr r="P647" s="7"/>
      </tp>
      <tp>
        <v>300</v>
        <stp/>
        <stp>Market</stp>
        <stp>STOCK</stp>
        <stp>60490.T</stp>
        <stp>安値</stp>
        <tr r="P645" s="7"/>
      </tp>
      <tp>
        <v>181</v>
        <stp/>
        <stp>Market</stp>
        <stp>STOCK</stp>
        <stp>60290.T</stp>
        <stp>安値</stp>
        <tr r="P638" s="7"/>
      </tp>
      <tp>
        <v>35</v>
        <stp/>
        <stp>Market</stp>
        <stp>STOCK</stp>
        <stp>66590.T</stp>
        <stp>安値</stp>
        <tr r="P749" s="7"/>
      </tp>
      <tp>
        <v>724</v>
        <stp/>
        <stp>Market</stp>
        <stp>STOCK</stp>
        <stp>66190.T</stp>
        <stp>安値</stp>
        <tr r="P738" s="7"/>
      </tp>
      <tp>
        <v>1078</v>
        <stp/>
        <stp>Market</stp>
        <stp>STOCK</stp>
        <stp>64890.T</stp>
        <stp>安値</stp>
        <tr r="P708" s="7"/>
      </tp>
      <tp>
        <v>1140</v>
        <stp/>
        <stp>Market</stp>
        <stp>STOCK</stp>
        <stp>78590.T</stp>
        <stp>安値</stp>
        <tr r="P948" s="7"/>
      </tp>
      <tp>
        <v>88</v>
        <stp/>
        <stp>Market</stp>
        <stp>STOCK</stp>
        <stp>78290.T</stp>
        <stp>安値</stp>
        <tr r="P942" s="7"/>
      </tp>
      <tp>
        <v>160</v>
        <stp/>
        <stp>Market</stp>
        <stp>STOCK</stp>
        <stp>79190.T</stp>
        <stp>安値</stp>
        <tr r="P956" s="7"/>
      </tp>
      <tp>
        <v>7110</v>
        <stp/>
        <stp>Market</stp>
        <stp>STOCK</stp>
        <stp>72690.T</stp>
        <stp>安値</stp>
        <tr r="P866" s="7"/>
      </tp>
      <tp>
        <v>2690</v>
        <stp/>
        <stp>Market</stp>
        <stp>STOCK</stp>
        <stp>72290.T</stp>
        <stp>安値</stp>
        <tr r="P853" s="7"/>
      </tp>
      <tp>
        <v>645</v>
        <stp/>
        <stp>Market</stp>
        <stp>STOCK</stp>
        <stp>73590.T</stp>
        <stp>安値</stp>
        <tr r="P880" s="7"/>
      </tp>
      <tp>
        <v>840</v>
        <stp/>
        <stp>Market</stp>
        <stp>STOCK</stp>
        <stp>73790.T</stp>
        <stp>安値</stp>
        <tr r="P883" s="7"/>
      </tp>
      <tp>
        <v>1601</v>
        <stp/>
        <stp>Market</stp>
        <stp>STOCK</stp>
        <stp>70590.T</stp>
        <stp>安値</stp>
        <tr r="P818" s="7"/>
      </tp>
      <tp>
        <v>530</v>
        <stp/>
        <stp>Market</stp>
        <stp>STOCK</stp>
        <stp>70490.T</stp>
        <stp>安値</stp>
        <tr r="P817" s="7"/>
      </tp>
      <tp>
        <v>201</v>
        <stp/>
        <stp>Market</stp>
        <stp>STOCK</stp>
        <stp>77790.T</stp>
        <stp>安値</stp>
        <tr r="P934" s="7"/>
      </tp>
      <tp>
        <v>214</v>
        <stp/>
        <stp>Market</stp>
        <stp>STOCK</stp>
        <stp>77190.T</stp>
        <stp>安値</stp>
        <tr r="P922" s="7"/>
      </tp>
      <tp>
        <v>253</v>
        <stp/>
        <stp>Market</stp>
        <stp>STOCK</stp>
        <stp>77090.T</stp>
        <stp>安値</stp>
        <tr r="P921" s="7"/>
      </tp>
      <tp>
        <v>2081</v>
        <stp/>
        <stp>Market</stp>
        <stp>STOCK</stp>
        <stp>77390.T</stp>
        <stp>安値</stp>
        <tr r="P926" s="7"/>
      </tp>
      <tp>
        <v>2315</v>
        <stp/>
        <stp>Market</stp>
        <stp>STOCK</stp>
        <stp>74590.T</stp>
        <stp>安値</stp>
        <tr r="P892" s="7"/>
      </tp>
      <tp>
        <v>1587</v>
        <stp/>
        <stp>Market</stp>
        <stp>STOCK</stp>
        <stp>74190.T</stp>
        <stp>安値</stp>
        <tr r="P887" s="7"/>
      </tp>
      <tp t="s">
        <v>表示銘柄数超過</v>
        <stp/>
        <stp>Market</stp>
        <stp>STOCK</stp>
        <stp>48890.T</stp>
        <stp>安値</stp>
        <tr r="P547" s="7"/>
      </tp>
      <tp t="s">
        <v>表示銘柄数超過</v>
        <stp/>
        <stp>Market</stp>
        <stp>STOCK</stp>
        <stp>48290.T</stp>
        <stp>安値</stp>
        <tr r="P540" s="7"/>
      </tp>
      <tp t="s">
        <v>表示銘柄数超過</v>
        <stp/>
        <stp>Market</stp>
        <stp>STOCK</stp>
        <stp>42590.T</stp>
        <stp>安値</stp>
        <tr r="P432" s="7"/>
      </tp>
      <tp t="s">
        <v>表示銘柄数超過</v>
        <stp/>
        <stp>Market</stp>
        <stp>STOCK</stp>
        <stp>43790.T</stp>
        <stp>安値</stp>
        <tr r="P454" s="7"/>
      </tp>
      <tp t="s">
        <v>表示銘柄数超過</v>
        <stp/>
        <stp>Market</stp>
        <stp>STOCK</stp>
        <stp>40590.T</stp>
        <stp>安値</stp>
        <tr r="P414" s="7"/>
      </tp>
      <tp t="s">
        <v>表示銘柄数超過</v>
        <stp/>
        <stp>Market</stp>
        <stp>STOCK</stp>
        <stp>41690.T</stp>
        <stp>安値</stp>
        <tr r="P419" s="7"/>
      </tp>
      <tp>
        <v>425.4</v>
        <stp/>
        <stp>Market</stp>
        <stp>STOCK</stp>
        <stp>46890.T</stp>
        <stp>安値</stp>
        <tr r="P520" s="7"/>
      </tp>
      <tp t="s">
        <v>表示銘柄数超過</v>
        <stp/>
        <stp>Market</stp>
        <stp>STOCK</stp>
        <stp>46190.T</stp>
        <stp>安値</stp>
        <tr r="P511" s="7"/>
      </tp>
      <tp t="s">
        <v>表示銘柄数超過</v>
        <stp/>
        <stp>Market</stp>
        <stp>STOCK</stp>
        <stp>44790.T</stp>
        <stp>安値</stp>
        <tr r="P474" s="7"/>
      </tp>
      <tp t="s">
        <v>表示銘柄数超過</v>
        <stp/>
        <stp>Market</stp>
        <stp>STOCK</stp>
        <stp>44190.T</stp>
        <stp>安値</stp>
        <tr r="P462" s="7"/>
      </tp>
      <tp>
        <v>1077</v>
        <stp/>
        <stp>Market</stp>
        <stp>STOCK</stp>
        <stp>59490.T</stp>
        <stp>安値</stp>
        <tr r="P624" s="7"/>
      </tp>
      <tp>
        <v>952</v>
        <stp/>
        <stp>Market</stp>
        <stp>STOCK</stp>
        <stp>59090.T</stp>
        <stp>安値</stp>
        <tr r="P618" s="7"/>
      </tp>
      <tp>
        <v>466</v>
        <stp/>
        <stp>Market</stp>
        <stp>STOCK</stp>
        <stp>52690.T</stp>
        <stp>安値</stp>
        <tr r="P582" s="7"/>
      </tp>
      <tp t="s">
        <v>表示銘柄数超過</v>
        <stp/>
        <stp>Market</stp>
        <stp>STOCK</stp>
        <stp>50190.T</stp>
        <stp>安値</stp>
        <tr r="P561" s="7"/>
      </tp>
      <tp>
        <v>1274</v>
        <stp/>
        <stp>Market</stp>
        <stp>STOCK</stp>
        <stp>51290.T</stp>
        <stp>安値</stp>
        <tr r="P571" s="7"/>
      </tp>
      <tp>
        <v>1108</v>
        <stp/>
        <stp>Market</stp>
        <stp>STOCK</stp>
        <stp>57590.T</stp>
        <stp>安値</stp>
        <tr r="P610" s="7"/>
      </tp>
      <tp>
        <v>2197</v>
        <stp/>
        <stp>Market</stp>
        <stp>STOCK</stp>
        <stp>54490.T</stp>
        <stp>安値</stp>
        <tr r="P596" s="7"/>
      </tp>
      <tp t="s">
        <v>表示銘柄数超過</v>
        <stp/>
        <stp>Market</stp>
        <stp>STOCK</stp>
        <stp>27490.T</stp>
        <stp>安値</stp>
        <tr r="P192" s="7"/>
      </tp>
      <tp t="s">
        <v>表示銘柄数超過</v>
        <stp/>
        <stp>Market</stp>
        <stp>STOCK</stp>
        <stp>24790.T</stp>
        <stp>安値</stp>
        <tr r="P150" s="7"/>
      </tp>
      <tp t="s">
        <v>表示銘柄数超過</v>
        <stp/>
        <stp>Market</stp>
        <stp>STOCK</stp>
        <stp>24290.T</stp>
        <stp>安値</stp>
        <tr r="P139" s="7"/>
      </tp>
      <tp t="s">
        <v>表示銘柄数超過</v>
        <stp/>
        <stp>Market</stp>
        <stp>STOCK</stp>
        <stp>25790.T</stp>
        <stp>安値</stp>
        <tr r="P163" s="7"/>
      </tp>
      <tp t="s">
        <v>表示銘柄数超過</v>
        <stp/>
        <stp>Market</stp>
        <stp>STOCK</stp>
        <stp>39890.T</stp>
        <stp>安値</stp>
        <tr r="P404" s="7"/>
      </tp>
      <tp t="s">
        <v>表示銘柄数超過</v>
        <stp/>
        <stp>Market</stp>
        <stp>STOCK</stp>
        <stp>39090.T</stp>
        <stp>安値</stp>
        <tr r="P388" s="7"/>
      </tp>
      <tp t="s">
        <v>表示銘柄数超過</v>
        <stp/>
        <stp>Market</stp>
        <stp>STOCK</stp>
        <stp>39390.T</stp>
        <stp>安値</stp>
        <tr r="P398" s="7"/>
      </tp>
      <tp t="s">
        <v>表示銘柄数超過</v>
        <stp/>
        <stp>Market</stp>
        <stp>STOCK</stp>
        <stp>39290.T</stp>
        <stp>安値</stp>
        <tr r="P395" s="7"/>
      </tp>
      <tp t="s">
        <v>表示銘柄数超過</v>
        <stp/>
        <stp>Market</stp>
        <stp>STOCK</stp>
        <stp>32990.T</stp>
        <stp>安値</stp>
        <tr r="P274" s="7"/>
      </tp>
      <tp t="s">
        <v>表示銘柄数超過</v>
        <stp/>
        <stp>Market</stp>
        <stp>STOCK</stp>
        <stp>32890.T</stp>
        <stp>安値</stp>
        <tr r="P272" s="7"/>
      </tp>
      <tp t="s">
        <v>表示銘柄数超過</v>
        <stp/>
        <stp>Market</stp>
        <stp>STOCK</stp>
        <stp>33590.T</stp>
        <stp>安値</stp>
        <tr r="P286" s="7"/>
      </tp>
      <tp t="s">
        <v>表示銘柄数超過</v>
        <stp/>
        <stp>Market</stp>
        <stp>STOCK</stp>
        <stp>30990.T</stp>
        <stp>安値</stp>
        <tr r="P240" s="7"/>
      </tp>
      <tp t="s">
        <v>表示銘柄数超過</v>
        <stp/>
        <stp>Market</stp>
        <stp>STOCK</stp>
        <stp>30690.T</stp>
        <stp>安値</stp>
        <tr r="P235" s="7"/>
      </tp>
      <tp t="s">
        <v>表示銘柄数超過</v>
        <stp/>
        <stp>Market</stp>
        <stp>STOCK</stp>
        <stp>31890.T</stp>
        <stp>安値</stp>
        <tr r="P255" s="7"/>
      </tp>
      <tp t="s">
        <v>表示銘柄数超過</v>
        <stp/>
        <stp>Market</stp>
        <stp>STOCK</stp>
        <stp>31590.T</stp>
        <stp>安値</stp>
        <tr r="P249" s="7"/>
      </tp>
      <tp t="s">
        <v>表示銘柄数超過</v>
        <stp/>
        <stp>Market</stp>
        <stp>STOCK</stp>
        <stp>36490.T</stp>
        <stp>安値</stp>
        <tr r="P321" s="7"/>
      </tp>
      <tp t="s">
        <v>表示銘柄数超過</v>
        <stp/>
        <stp>Market</stp>
        <stp>STOCK</stp>
        <stp>36390.T</stp>
        <stp>安値</stp>
        <tr r="P318" s="7"/>
      </tp>
      <tp t="s">
        <v>表示銘柄数超過</v>
        <stp/>
        <stp>Market</stp>
        <stp>STOCK</stp>
        <stp>37790.T</stp>
        <stp>安値</stp>
        <tr r="P358" s="7"/>
      </tp>
      <tp t="s">
        <v>表示銘柄数超過</v>
        <stp/>
        <stp>Market</stp>
        <stp>STOCK</stp>
        <stp>37190.T</stp>
        <stp>安値</stp>
        <tr r="P345" s="7"/>
      </tp>
      <tp t="s">
        <v>表示銘柄数超過</v>
        <stp/>
        <stp>Market</stp>
        <stp>STOCK</stp>
        <stp>34090.T</stp>
        <stp>安値</stp>
        <tr r="P296" s="7"/>
      </tp>
      <tp t="s">
        <v>表示銘柄数超過</v>
        <stp/>
        <stp>Market</stp>
        <stp>STOCK</stp>
        <stp>18790.T</stp>
        <stp>安値</stp>
        <tr r="P68" s="7"/>
      </tp>
      <tp t="s">
        <v>表示銘柄数超過</v>
        <stp/>
        <stp>Market</stp>
        <stp>STOCK</stp>
        <stp>19390.T</stp>
        <stp>安値</stp>
        <tr r="P78" s="7"/>
      </tp>
      <tp t="s">
        <v>表示銘柄数超過</v>
        <stp/>
        <stp>Market</stp>
        <stp>STOCK</stp>
        <stp>13990.T</stp>
        <stp>安値</stp>
        <tr r="P16" s="7"/>
      </tp>
      <tp t="s">
        <v>表示銘柄数超過</v>
        <stp/>
        <stp>Market</stp>
        <stp>STOCK</stp>
        <stp>13190.T</stp>
        <stp>安値</stp>
        <tr r="P6" s="7"/>
      </tp>
      <tp t="s">
        <v>表示銘柄数超過</v>
        <stp/>
        <stp>Market</stp>
        <stp>STOCK</stp>
        <stp>16990.T</stp>
        <stp>安値</stp>
        <tr r="P45" s="7"/>
      </tp>
      <tp t="s">
        <v>表示銘柄数超過</v>
        <stp/>
        <stp>Market</stp>
        <stp>STOCK</stp>
        <stp>16890.T</stp>
        <stp>安値</stp>
        <tr r="P44" s="7"/>
      </tp>
      <tp t="s">
        <v>表示銘柄数超過</v>
        <stp/>
        <stp>Market</stp>
        <stp>STOCK</stp>
        <stp>17190.T</stp>
        <stp>安値</stp>
        <tr r="P49" s="7"/>
      </tp>
      <tp t="s">
        <v>表示銘柄数超過</v>
        <stp/>
        <stp>Market</stp>
        <stp>STOCK</stp>
        <stp>14590.T</stp>
        <stp>安値</stp>
        <tr r="P26" s="7"/>
      </tp>
      <tp t="s">
        <v>表示銘柄数超過</v>
        <stp/>
        <stp>Market</stp>
        <stp>STOCK</stp>
        <stp>14690.T</stp>
        <stp>安値</stp>
        <tr r="P27" s="7"/>
      </tp>
      <tp t="s">
        <v>表示銘柄数超過</v>
        <stp/>
        <stp>Market</stp>
        <stp>STOCK</stp>
        <stp>14190.T</stp>
        <stp>安値</stp>
        <tr r="P21" s="7"/>
      </tp>
      <tp t="s">
        <v>表示銘柄数超過</v>
        <stp/>
        <stp>Market</stp>
        <stp>STOCK</stp>
        <stp>14390.T</stp>
        <stp>安値</stp>
        <tr r="P24" s="7"/>
      </tp>
    </main>
    <main first="rtdsrv.662c26bade854d00aebc6010f8a2e03a">
      <tp t="s">
        <v>表示銘柄数超過</v>
        <stp/>
        <stp>Market</stp>
        <stp>STOCK</stp>
        <stp>88180.T</stp>
        <stp>安値</stp>
        <tr r="P1053" s="7"/>
      </tp>
      <tp t="s">
        <v>表示銘柄数超過</v>
        <stp/>
        <stp>Market</stp>
        <stp>STOCK</stp>
        <stp>89180.T</stp>
        <stp>安値</stp>
        <tr r="P1064" s="7"/>
      </tp>
      <tp t="s">
        <v>表示銘柄数超過</v>
        <stp/>
        <stp>Market</stp>
        <stp>STOCK</stp>
        <stp>89380.T</stp>
        <stp>安値</stp>
        <tr r="P1068" s="7"/>
      </tp>
      <tp>
        <v>796</v>
        <stp/>
        <stp>Market</stp>
        <stp>STOCK</stp>
        <stp>83580.T</stp>
        <stp>安値</stp>
        <tr r="P1006" s="7"/>
      </tp>
      <tp>
        <v>2699</v>
        <stp/>
        <stp>Market</stp>
        <stp>STOCK</stp>
        <stp>80580.T</stp>
        <stp>安値</stp>
        <tr r="P972" s="7"/>
      </tp>
      <tp>
        <v>1955</v>
        <stp/>
        <stp>Market</stp>
        <stp>STOCK</stp>
        <stp>80080.T</stp>
        <stp>安値</stp>
        <tr r="P966" s="7"/>
      </tp>
      <tp>
        <v>692</v>
        <stp/>
        <stp>Market</stp>
        <stp>STOCK</stp>
        <stp>81180.T</stp>
        <stp>安値</stp>
        <tr r="P979" s="7"/>
      </tp>
      <tp>
        <v>714</v>
        <stp/>
        <stp>Market</stp>
        <stp>STOCK</stp>
        <stp>86980.T</stp>
        <stp>安値</stp>
        <tr r="P1036" s="7"/>
      </tp>
      <tp>
        <v>846</v>
        <stp/>
        <stp>Market</stp>
        <stp>STOCK</stp>
        <stp>86280.T</stp>
        <stp>安値</stp>
        <tr r="P1034" s="7"/>
      </tp>
      <tp>
        <v>1198</v>
        <stp/>
        <stp>Market</stp>
        <stp>STOCK</stp>
        <stp>87080.T</stp>
        <stp>安値</stp>
        <tr r="P1039" s="7"/>
      </tp>
      <tp>
        <v>277</v>
        <stp/>
        <stp>Market</stp>
        <stp>STOCK</stp>
        <stp>85180.T</stp>
        <stp>安値</stp>
        <tr r="P1017" s="7"/>
      </tp>
      <tp>
        <v>468</v>
        <stp/>
        <stp>Market</stp>
        <stp>STOCK</stp>
        <stp>85080.T</stp>
        <stp>安値</stp>
        <tr r="P1014" s="7"/>
      </tp>
      <tp t="s">
        <v>表示銘柄数超過</v>
        <stp/>
        <stp>Market</stp>
        <stp>STOCK</stp>
        <stp>98880.T</stp>
        <stp>安値</stp>
        <tr r="P1176" s="7"/>
      </tp>
      <tp t="s">
        <v>表示銘柄数超過</v>
        <stp/>
        <stp>Market</stp>
        <stp>STOCK</stp>
        <stp>99080.T</stp>
        <stp>安値</stp>
        <tr r="P1179" s="7"/>
      </tp>
      <tp t="s">
        <v>表示銘柄数超過</v>
        <stp/>
        <stp>Market</stp>
        <stp>STOCK</stp>
        <stp>99280.T</stp>
        <stp>安値</stp>
        <tr r="P1182" s="7"/>
      </tp>
      <tp t="s">
        <v>表示銘柄数超過</v>
        <stp/>
        <stp>Market</stp>
        <stp>STOCK</stp>
        <stp>92480.T</stp>
        <stp>安値</stp>
        <tr r="P1102" s="7"/>
      </tp>
      <tp t="s">
        <v>表示銘柄数超過</v>
        <stp/>
        <stp>Market</stp>
        <stp>STOCK</stp>
        <stp>92780.T</stp>
        <stp>安値</stp>
        <tr r="P1108" s="7"/>
      </tp>
      <tp t="s">
        <v>表示銘柄数超過</v>
        <stp/>
        <stp>Market</stp>
        <stp>STOCK</stp>
        <stp>90480.T</stp>
        <stp>安値</stp>
        <tr r="P1088" s="7"/>
      </tp>
      <tp t="s">
        <v>表示銘柄数超過</v>
        <stp/>
        <stp>Market</stp>
        <stp>STOCK</stp>
        <stp>90080.T</stp>
        <stp>安値</stp>
        <tr r="P1078" s="7"/>
      </tp>
      <tp t="s">
        <v>表示銘柄数超過</v>
        <stp/>
        <stp>Market</stp>
        <stp>STOCK</stp>
        <stp>97880.T</stp>
        <stp>安値</stp>
        <tr r="P1169" s="7"/>
      </tp>
      <tp t="s">
        <v>表示銘柄数超過</v>
        <stp/>
        <stp>Market</stp>
        <stp>STOCK</stp>
        <stp>95080.T</stp>
        <stp>安値</stp>
        <tr r="P1147" s="7"/>
      </tp>
      <tp>
        <v>739</v>
        <stp/>
        <stp>Market</stp>
        <stp>STOCK</stp>
        <stp>69580.T</stp>
        <stp>安値</stp>
        <tr r="P796" s="7"/>
      </tp>
      <tp>
        <v>295</v>
        <stp/>
        <stp>Market</stp>
        <stp>STOCK</stp>
        <stp>69380.T</stp>
        <stp>安値</stp>
        <tr r="P790" s="7"/>
      </tp>
      <tp>
        <v>2320</v>
        <stp/>
        <stp>Market</stp>
        <stp>STOCK</stp>
        <stp>62980.T</stp>
        <stp>安値</stp>
        <tr r="P685" s="7"/>
      </tp>
      <tp>
        <v>698</v>
        <stp/>
        <stp>Market</stp>
        <stp>STOCK</stp>
        <stp>62180.T</stp>
        <stp>安値</stp>
        <tr r="P678" s="7"/>
      </tp>
      <tp>
        <v>5622</v>
        <stp/>
        <stp>Market</stp>
        <stp>STOCK</stp>
        <stp>60980.T</stp>
        <stp>安値</stp>
        <tr r="P654" s="7"/>
      </tp>
      <tp>
        <v>133</v>
        <stp/>
        <stp>Market</stp>
        <stp>STOCK</stp>
        <stp>60480.T</stp>
        <stp>安値</stp>
        <tr r="P644" s="7"/>
      </tp>
      <tp>
        <v>3266</v>
        <stp/>
        <stp>Market</stp>
        <stp>STOCK</stp>
        <stp>60280.T</stp>
        <stp>安値</stp>
        <tr r="P637" s="7"/>
      </tp>
      <tp>
        <v>614</v>
        <stp/>
        <stp>Market</stp>
        <stp>STOCK</stp>
        <stp>61880.T</stp>
        <stp>安値</stp>
        <tr r="P672" s="7"/>
      </tp>
      <tp>
        <v>1392.5</v>
        <stp/>
        <stp>Market</stp>
        <stp>STOCK</stp>
        <stp>61780.T</stp>
        <stp>安値</stp>
        <tr r="P666" s="7"/>
      </tp>
      <tp>
        <v>526</v>
        <stp/>
        <stp>Market</stp>
        <stp>STOCK</stp>
        <stp>66580.T</stp>
        <stp>安値</stp>
        <tr r="P748" s="7"/>
      </tp>
      <tp>
        <v>14175</v>
        <stp/>
        <stp>Market</stp>
        <stp>STOCK</stp>
        <stp>67580.T</stp>
        <stp>安値</stp>
        <tr r="P767" s="7"/>
      </tp>
      <tp>
        <v>480</v>
        <stp/>
        <stp>Market</stp>
        <stp>STOCK</stp>
        <stp>67480.T</stp>
        <stp>安値</stp>
        <tr r="P762" s="7"/>
      </tp>
      <tp>
        <v>529</v>
        <stp/>
        <stp>Market</stp>
        <stp>STOCK</stp>
        <stp>67680.T</stp>
        <stp>安値</stp>
        <tr r="P769" s="7"/>
      </tp>
      <tp>
        <v>1212</v>
        <stp/>
        <stp>Market</stp>
        <stp>STOCK</stp>
        <stp>64980.T</stp>
        <stp>安値</stp>
        <tr r="P712" s="7"/>
      </tp>
      <tp>
        <v>1414</v>
        <stp/>
        <stp>Market</stp>
        <stp>STOCK</stp>
        <stp>64180.T</stp>
        <stp>安値</stp>
        <tr r="P700" s="7"/>
      </tp>
      <tp>
        <v>3140</v>
        <stp/>
        <stp>Market</stp>
        <stp>STOCK</stp>
        <stp>65880.T</stp>
        <stp>安値</stp>
        <tr r="P734" s="7"/>
      </tp>
      <tp>
        <v>265</v>
        <stp/>
        <stp>Market</stp>
        <stp>STOCK</stp>
        <stp>65780.T</stp>
        <stp>安値</stp>
        <tr r="P731" s="7"/>
      </tp>
      <tp>
        <v>657</v>
        <stp/>
        <stp>Market</stp>
        <stp>STOCK</stp>
        <stp>78880.T</stp>
        <stp>安値</stp>
        <tr r="P951" s="7"/>
      </tp>
      <tp>
        <v>723</v>
        <stp/>
        <stp>Market</stp>
        <stp>STOCK</stp>
        <stp>78680.T</stp>
        <stp>安値</stp>
        <tr r="P950" s="7"/>
      </tp>
      <tp>
        <v>153</v>
        <stp/>
        <stp>Market</stp>
        <stp>STOCK</stp>
        <stp>79180.T</stp>
        <stp>安値</stp>
        <tr r="P955" s="7"/>
      </tp>
      <tp>
        <v>208</v>
        <stp/>
        <stp>Market</stp>
        <stp>STOCK</stp>
        <stp>79080.T</stp>
        <stp>安値</stp>
        <tr r="P953" s="7"/>
      </tp>
      <tp t="s">
        <v/>
        <stp/>
        <stp>Market</stp>
        <stp>STOCK</stp>
        <stp>72980.T</stp>
        <stp>安値</stp>
        <tr r="P873" s="7"/>
      </tp>
      <tp>
        <v>342</v>
        <stp/>
        <stp>Market</stp>
        <stp>STOCK</stp>
        <stp>72680.T</stp>
        <stp>安値</stp>
        <tr r="P865" s="7"/>
      </tp>
      <tp>
        <v>113</v>
        <stp/>
        <stp>Market</stp>
        <stp>STOCK</stp>
        <stp>72380.T</stp>
        <stp>安値</stp>
        <tr r="P856" s="7"/>
      </tp>
      <tp>
        <v>788</v>
        <stp/>
        <stp>Market</stp>
        <stp>STOCK</stp>
        <stp>70880.T</stp>
        <stp>安値</stp>
        <tr r="P824" s="7"/>
      </tp>
      <tp>
        <v>583</v>
        <stp/>
        <stp>Market</stp>
        <stp>STOCK</stp>
        <stp>70480.T</stp>
        <stp>安値</stp>
        <tr r="P816" s="7"/>
      </tp>
      <tp>
        <v>506</v>
        <stp/>
        <stp>Market</stp>
        <stp>STOCK</stp>
        <stp>70680.T</stp>
        <stp>安値</stp>
        <tr r="P822" s="7"/>
      </tp>
      <tp>
        <v>1751</v>
        <stp/>
        <stp>Market</stp>
        <stp>STOCK</stp>
        <stp>71480.T</stp>
        <stp>安値</stp>
        <tr r="P830" s="7"/>
      </tp>
      <tp>
        <v>1507</v>
        <stp/>
        <stp>Market</stp>
        <stp>STOCK</stp>
        <stp>74080.T</stp>
        <stp>安値</stp>
        <tr r="P886" s="7"/>
      </tp>
      <tp>
        <v>421</v>
        <stp/>
        <stp>Market</stp>
        <stp>STOCK</stp>
        <stp>75780.T</stp>
        <stp>安値</stp>
        <tr r="P905" s="7"/>
      </tp>
      <tp>
        <v>322</v>
        <stp/>
        <stp>Market</stp>
        <stp>STOCK</stp>
        <stp>75380.T</stp>
        <stp>安値</stp>
        <tr r="P902" s="7"/>
      </tp>
      <tp t="s">
        <v>表示銘柄数超過</v>
        <stp/>
        <stp>Market</stp>
        <stp>STOCK</stp>
        <stp>48380.T</stp>
        <stp>安値</stp>
        <tr r="P543" s="7"/>
      </tp>
      <tp t="s">
        <v>表示銘柄数超過</v>
        <stp/>
        <stp>Market</stp>
        <stp>STOCK</stp>
        <stp>49780.T</stp>
        <stp>安値</stp>
        <tr r="P556" s="7"/>
      </tp>
      <tp t="s">
        <v>表示銘柄数超過</v>
        <stp/>
        <stp>Market</stp>
        <stp>STOCK</stp>
        <stp>42580.T</stp>
        <stp>安値</stp>
        <tr r="P431" s="7"/>
      </tp>
      <tp t="s">
        <v>表示銘柄数超過</v>
        <stp/>
        <stp>Market</stp>
        <stp>STOCK</stp>
        <stp>42680.T</stp>
        <stp>安値</stp>
        <tr r="P434" s="7"/>
      </tp>
      <tp t="s">
        <v>表示銘柄数超過</v>
        <stp/>
        <stp>Market</stp>
        <stp>STOCK</stp>
        <stp>42380.T</stp>
        <stp>安値</stp>
        <tr r="P428" s="7"/>
      </tp>
      <tp t="s">
        <v>表示銘柄数超過</v>
        <stp/>
        <stp>Market</stp>
        <stp>STOCK</stp>
        <stp>43880.T</stp>
        <stp>安値</stp>
        <tr r="P457" s="7"/>
      </tp>
      <tp t="s">
        <v>表示銘柄数超過</v>
        <stp/>
        <stp>Market</stp>
        <stp>STOCK</stp>
        <stp>43780.T</stp>
        <stp>安値</stp>
        <tr r="P453" s="7"/>
      </tp>
      <tp t="s">
        <v>表示銘柄数超過</v>
        <stp/>
        <stp>Market</stp>
        <stp>STOCK</stp>
        <stp>43080.T</stp>
        <stp>安値</stp>
        <tr r="P441" s="7"/>
      </tp>
      <tp t="s">
        <v>表示銘柄数超過</v>
        <stp/>
        <stp>Market</stp>
        <stp>STOCK</stp>
        <stp>41880.T</stp>
        <stp>安値</stp>
        <tr r="P423" s="7"/>
      </tp>
      <tp t="s">
        <v>表示銘柄数超過</v>
        <stp/>
        <stp>Market</stp>
        <stp>STOCK</stp>
        <stp>44480.T</stp>
        <stp>安値</stp>
        <tr r="P468" s="7"/>
      </tp>
      <tp t="s">
        <v>表示銘柄数超過</v>
        <stp/>
        <stp>Market</stp>
        <stp>STOCK</stp>
        <stp>44380.T</stp>
        <stp>安値</stp>
        <tr r="P465" s="7"/>
      </tp>
      <tp t="s">
        <v>表示銘柄数超過</v>
        <stp/>
        <stp>Market</stp>
        <stp>STOCK</stp>
        <stp>45880.T</stp>
        <stp>安値</stp>
        <tr r="P501" s="7"/>
      </tp>
      <tp t="s">
        <v>表示銘柄数超過</v>
        <stp/>
        <stp>Market</stp>
        <stp>STOCK</stp>
        <stp>45580.T</stp>
        <stp>安値</stp>
        <tr r="P485" s="7"/>
      </tp>
      <tp t="s">
        <v>表示銘柄数超過</v>
        <stp/>
        <stp>Market</stp>
        <stp>STOCK</stp>
        <stp>45780.T</stp>
        <stp>安値</stp>
        <tr r="P496" s="7"/>
      </tp>
      <tp t="s">
        <v>表示銘柄数超過</v>
        <stp/>
        <stp>Market</stp>
        <stp>STOCK</stp>
        <stp>45680.T</stp>
        <stp>安値</stp>
        <tr r="P489" s="7"/>
      </tp>
      <tp>
        <v>2295</v>
        <stp/>
        <stp>Market</stp>
        <stp>STOCK</stp>
        <stp>58380.T</stp>
        <stp>安値</stp>
        <tr r="P615" s="7"/>
      </tp>
      <tp>
        <v>1951</v>
        <stp/>
        <stp>Market</stp>
        <stp>STOCK</stp>
        <stp>59380.T</stp>
        <stp>安値</stp>
        <tr r="P621" s="7"/>
      </tp>
      <tp>
        <v>307</v>
        <stp/>
        <stp>Market</stp>
        <stp>STOCK</stp>
        <stp>59280.T</stp>
        <stp>安値</stp>
        <tr r="P619" s="7"/>
      </tp>
      <tp t="s">
        <v>表示銘柄数超過</v>
        <stp/>
        <stp>Market</stp>
        <stp>STOCK</stp>
        <stp>50280.T</stp>
        <stp>安値</stp>
        <tr r="P564" s="7"/>
      </tp>
      <tp>
        <v>6268</v>
        <stp/>
        <stp>Market</stp>
        <stp>STOCK</stp>
        <stp>51080.T</stp>
        <stp>安値</stp>
        <tr r="P568" s="7"/>
      </tp>
      <tp>
        <v>588</v>
        <stp/>
        <stp>Market</stp>
        <stp>STOCK</stp>
        <stp>56980.T</stp>
        <stp>安値</stp>
        <tr r="P604" s="7"/>
      </tp>
      <tp>
        <v>329</v>
        <stp/>
        <stp>Market</stp>
        <stp>STOCK</stp>
        <stp>56580.T</stp>
        <stp>安値</stp>
        <tr r="P603" s="7"/>
      </tp>
      <tp>
        <v>887</v>
        <stp/>
        <stp>Market</stp>
        <stp>STOCK</stp>
        <stp>54080.T</stp>
        <stp>安値</stp>
        <tr r="P592" s="7"/>
      </tp>
      <tp t="s">
        <v>表示銘柄数超過</v>
        <stp/>
        <stp>Market</stp>
        <stp>STOCK</stp>
        <stp>28580.T</stp>
        <stp>安値</stp>
        <tr r="P208" s="7"/>
      </tp>
      <tp t="s">
        <v>表示銘柄数超過</v>
        <stp/>
        <stp>Market</stp>
        <stp>STOCK</stp>
        <stp>28680.T</stp>
        <stp>安値</stp>
        <tr r="P210" s="7"/>
      </tp>
      <tp t="s">
        <v>表示銘柄数超過</v>
        <stp/>
        <stp>Market</stp>
        <stp>STOCK</stp>
        <stp>23880.T</stp>
        <stp>安値</stp>
        <tr r="P131" s="7"/>
      </tp>
      <tp t="s">
        <v>表示銘柄数超過</v>
        <stp/>
        <stp>Market</stp>
        <stp>STOCK</stp>
        <stp>23780.T</stp>
        <stp>安値</stp>
        <tr r="P130" s="7"/>
      </tp>
      <tp>
        <v>1730</v>
        <stp/>
        <stp>Market</stp>
        <stp>STOCK</stp>
        <stp>20380.T</stp>
        <stp>安値</stp>
        <tr r="P87" s="7"/>
      </tp>
      <tp t="s">
        <v>表示銘柄数超過</v>
        <stp/>
        <stp>Market</stp>
        <stp>STOCK</stp>
        <stp>21980.T</stp>
        <stp>安値</stp>
        <tr r="P102" s="7"/>
      </tp>
      <tp t="s">
        <v>表示銘柄数超過</v>
        <stp/>
        <stp>Market</stp>
        <stp>STOCK</stp>
        <stp>21580.T</stp>
        <stp>安値</stp>
        <tr r="P97" s="7"/>
      </tp>
      <tp t="s">
        <v>表示銘柄数超過</v>
        <stp/>
        <stp>Market</stp>
        <stp>STOCK</stp>
        <stp>21680.T</stp>
        <stp>安値</stp>
        <tr r="P101" s="7"/>
      </tp>
      <tp t="s">
        <v>表示銘柄数超過</v>
        <stp/>
        <stp>Market</stp>
        <stp>STOCK</stp>
        <stp>21380.T</stp>
        <stp>安値</stp>
        <tr r="P93" s="7"/>
      </tp>
      <tp t="s">
        <v>表示銘柄数超過</v>
        <stp/>
        <stp>Market</stp>
        <stp>STOCK</stp>
        <stp>26980.T</stp>
        <stp>安値</stp>
        <tr r="P185" s="7"/>
      </tp>
      <tp t="s">
        <v>表示銘柄数超過</v>
        <stp/>
        <stp>Market</stp>
        <stp>STOCK</stp>
        <stp>27780.T</stp>
        <stp>安値</stp>
        <tr r="P198" s="7"/>
      </tp>
      <tp t="s">
        <v>表示銘柄数超過</v>
        <stp/>
        <stp>Market</stp>
        <stp>STOCK</stp>
        <stp>27680.T</stp>
        <stp>安値</stp>
        <tr r="P196" s="7"/>
      </tp>
      <tp t="s">
        <v>表示銘柄数超過</v>
        <stp/>
        <stp>Market</stp>
        <stp>STOCK</stp>
        <stp>24880.T</stp>
        <stp>安値</stp>
        <tr r="P153" s="7"/>
      </tp>
      <tp t="s">
        <v>表示銘柄数超過</v>
        <stp/>
        <stp>Market</stp>
        <stp>STOCK</stp>
        <stp>24680.T</stp>
        <stp>安値</stp>
        <tr r="P148" s="7"/>
      </tp>
      <tp t="s">
        <v>表示銘柄数超過</v>
        <stp/>
        <stp>Market</stp>
        <stp>STOCK</stp>
        <stp>24080.T</stp>
        <stp>安値</stp>
        <tr r="P134" s="7"/>
      </tp>
      <tp t="s">
        <v>表示銘柄数超過</v>
        <stp/>
        <stp>Market</stp>
        <stp>STOCK</stp>
        <stp>24380.T</stp>
        <stp>安値</stp>
        <tr r="P144" s="7"/>
      </tp>
      <tp t="s">
        <v>表示銘柄数超過</v>
        <stp/>
        <stp>Market</stp>
        <stp>STOCK</stp>
        <stp>25180.T</stp>
        <stp>安値</stp>
        <tr r="P159" s="7"/>
      </tp>
      <tp t="s">
        <v>表示銘柄数超過</v>
        <stp/>
        <stp>Market</stp>
        <stp>STOCK</stp>
        <stp>38580.T</stp>
        <stp>安値</stp>
        <tr r="P378" s="7"/>
      </tp>
      <tp t="s">
        <v>表示銘柄数超過</v>
        <stp/>
        <stp>Market</stp>
        <stp>STOCK</stp>
        <stp>39980.T</stp>
        <stp>安値</stp>
        <tr r="P409" s="7"/>
      </tp>
      <tp t="s">
        <v>表示銘柄数超過</v>
        <stp/>
        <stp>Market</stp>
        <stp>STOCK</stp>
        <stp>39280.T</stp>
        <stp>安値</stp>
        <tr r="P394" s="7"/>
      </tp>
      <tp t="s">
        <v>表示銘柄数超過</v>
        <stp/>
        <stp>Market</stp>
        <stp>STOCK</stp>
        <stp>32880.T</stp>
        <stp>安値</stp>
        <tr r="P271" s="7"/>
      </tp>
      <tp t="s">
        <v>表示銘柄数超過</v>
        <stp/>
        <stp>Market</stp>
        <stp>STOCK</stp>
        <stp>32380.T</stp>
        <stp>安値</stp>
        <tr r="P261" s="7"/>
      </tp>
      <tp t="s">
        <v>表示銘柄数超過</v>
        <stp/>
        <stp>Market</stp>
        <stp>STOCK</stp>
        <stp>33880.T</stp>
        <stp>安値</stp>
        <tr r="P292" s="7"/>
      </tp>
      <tp t="s">
        <v>表示銘柄数超過</v>
        <stp/>
        <stp>Market</stp>
        <stp>STOCK</stp>
        <stp>33580.T</stp>
        <stp>安値</stp>
        <tr r="P285" s="7"/>
      </tp>
      <tp t="s">
        <v>表示銘柄数超過</v>
        <stp/>
        <stp>Market</stp>
        <stp>STOCK</stp>
        <stp>33280.T</stp>
        <stp>安値</stp>
        <tr r="P280" s="7"/>
      </tp>
      <tp t="s">
        <v>表示銘柄数超過</v>
        <stp/>
        <stp>Market</stp>
        <stp>STOCK</stp>
        <stp>30380.T</stp>
        <stp>安値</stp>
        <tr r="P230" s="7"/>
      </tp>
      <tp t="s">
        <v>表示銘柄数超過</v>
        <stp/>
        <stp>Market</stp>
        <stp>STOCK</stp>
        <stp>36980.T</stp>
        <stp>安値</stp>
        <tr r="P343" s="7"/>
      </tp>
      <tp t="s">
        <v>表示銘柄数超過</v>
        <stp/>
        <stp>Market</stp>
        <stp>STOCK</stp>
        <stp>36680.T</stp>
        <stp>安値</stp>
        <tr r="P331" s="7"/>
      </tp>
      <tp t="s">
        <v>表示銘柄数超過</v>
        <stp/>
        <stp>Market</stp>
        <stp>STOCK</stp>
        <stp>37580.T</stp>
        <stp>安値</stp>
        <tr r="P351" s="7"/>
      </tp>
      <tp t="s">
        <v>表示銘柄数超過</v>
        <stp/>
        <stp>Market</stp>
        <stp>STOCK</stp>
        <stp>37780.T</stp>
        <stp>安値</stp>
        <tr r="P357" s="7"/>
      </tp>
      <tp t="s">
        <v>表示銘柄数超過</v>
        <stp/>
        <stp>Market</stp>
        <stp>STOCK</stp>
        <stp>37380.T</stp>
        <stp>安値</stp>
        <tr r="P348" s="7"/>
      </tp>
      <tp t="s">
        <v>表示銘柄数超過</v>
        <stp/>
        <stp>Market</stp>
        <stp>STOCK</stp>
        <stp>18980.T</stp>
        <stp>安値</stp>
        <tr r="P71" s="7"/>
      </tp>
      <tp t="s">
        <v>表示銘柄数超過</v>
        <stp/>
        <stp>Market</stp>
        <stp>STOCK</stp>
        <stp>18480.T</stp>
        <stp>安値</stp>
        <tr r="P67" s="7"/>
      </tp>
      <tp t="s">
        <v>表示銘柄数超過</v>
        <stp/>
        <stp>Market</stp>
        <stp>STOCK</stp>
        <stp>19380.T</stp>
        <stp>安値</stp>
        <tr r="P77" s="7"/>
      </tp>
      <tp t="s">
        <v>表示銘柄数超過</v>
        <stp/>
        <stp>Market</stp>
        <stp>STOCK</stp>
        <stp>19280.T</stp>
        <stp>安値</stp>
        <tr r="P75" s="7"/>
      </tp>
      <tp t="s">
        <v>表示銘柄数超過</v>
        <stp/>
        <stp>Market</stp>
        <stp>STOCK</stp>
        <stp>13680.T</stp>
        <stp>安値</stp>
        <tr r="P15" s="7"/>
      </tp>
      <tp t="s">
        <v>表示銘柄数超過</v>
        <stp/>
        <stp>Market</stp>
        <stp>STOCK</stp>
        <stp>13080.T</stp>
        <stp>安値</stp>
        <tr r="P4" s="7"/>
      </tp>
      <tp t="s">
        <v>表示銘柄数超過</v>
        <stp/>
        <stp>Market</stp>
        <stp>STOCK</stp>
        <stp>16780.T</stp>
        <stp>安値</stp>
        <tr r="P42" s="7"/>
      </tp>
      <tp t="s">
        <v>表示銘柄数超過</v>
        <stp/>
        <stp>Market</stp>
        <stp>STOCK</stp>
        <stp>14180.T</stp>
        <stp>安値</stp>
        <tr r="P20" s="7"/>
      </tp>
      <tp t="s">
        <v>表示銘柄数超過</v>
        <stp/>
        <stp>Market</stp>
        <stp>STOCK</stp>
        <stp>15780.T</stp>
        <stp>安値</stp>
        <tr r="P36" s="7"/>
      </tp>
    </main>
    <main first="rtdsrv.662c26bade854d00aebc6010f8a2e03a">
      <tp>
        <v>2569</v>
        <stp/>
        <stp>Market</stp>
        <stp>STOCK</stp>
        <stp>81790.T</stp>
        <stp>始値</stp>
        <tr r="L988" s="7"/>
      </tp>
      <tp>
        <v>1590</v>
        <stp/>
        <stp>Market</stp>
        <stp>STOCK</stp>
        <stp>81390.T</stp>
        <stp>始値</stp>
        <tr r="L982" s="7"/>
      </tp>
      <tp>
        <v>697</v>
        <stp/>
        <stp>Market</stp>
        <stp>STOCK</stp>
        <stp>86090.T</stp>
        <stp>始値</stp>
        <tr r="L1027" s="7"/>
      </tp>
      <tp t="s">
        <v>表示銘柄数超過</v>
        <stp/>
        <stp>Market</stp>
        <stp>STOCK</stp>
        <stp>87890.T</stp>
        <stp>始値</stp>
        <tr r="L1048" s="7"/>
      </tp>
      <tp t="s">
        <v>表示銘柄数超過</v>
        <stp/>
        <stp>Market</stp>
        <stp>STOCK</stp>
        <stp>87690.T</stp>
        <stp>始値</stp>
        <tr r="L1046" s="7"/>
      </tp>
      <tp t="s">
        <v>表示銘柄数超過</v>
        <stp/>
        <stp>Market</stp>
        <stp>STOCK</stp>
        <stp>99690.T</stp>
        <stp>始値</stp>
        <tr r="L1185" s="7"/>
      </tp>
      <tp t="s">
        <v>表示銘柄数超過</v>
        <stp/>
        <stp>Market</stp>
        <stp>STOCK</stp>
        <stp>99190.T</stp>
        <stp>始値</stp>
        <tr r="L1180" s="7"/>
      </tp>
      <tp>
        <v>4</v>
        <stp/>
        <stp>Market</stp>
        <stp>STOCK</stp>
        <stp>93990.T</stp>
        <stp>始値</stp>
        <tr r="L1113" s="7"/>
      </tp>
      <tp t="s">
        <v>表示銘柄数超過</v>
        <stp/>
        <stp>Market</stp>
        <stp>STOCK</stp>
        <stp>90590.T</stp>
        <stp>始値</stp>
        <tr r="L1089" s="7"/>
      </tp>
      <tp t="s">
        <v>表示銘柄数超過</v>
        <stp/>
        <stp>Market</stp>
        <stp>STOCK</stp>
        <stp>90090.T</stp>
        <stp>始値</stp>
        <tr r="L1079" s="7"/>
      </tp>
      <tp t="s">
        <v>表示銘柄数超過</v>
        <stp/>
        <stp>Market</stp>
        <stp>STOCK</stp>
        <stp>91190.T</stp>
        <stp>始値</stp>
        <tr r="L1097" s="7"/>
      </tp>
      <tp t="s">
        <v>表示銘柄数超過</v>
        <stp/>
        <stp>Market</stp>
        <stp>STOCK</stp>
        <stp>97090.T</stp>
        <stp>始値</stp>
        <tr r="L1162" s="7"/>
      </tp>
      <tp t="s">
        <v>表示銘柄数超過</v>
        <stp/>
        <stp>Market</stp>
        <stp>STOCK</stp>
        <stp>94790.T</stp>
        <stp>始値</stp>
        <tr r="L1139" s="7"/>
      </tp>
      <tp t="s">
        <v>表示銘柄数超過</v>
        <stp/>
        <stp>Market</stp>
        <stp>STOCK</stp>
        <stp>94190.T</stp>
        <stp>始値</stp>
        <tr r="L1122" s="7"/>
      </tp>
      <tp t="s">
        <v>表示銘柄数超過</v>
        <stp/>
        <stp>Market</stp>
        <stp>STOCK</stp>
        <stp>94090.T</stp>
        <stp>始値</stp>
        <tr r="L1117" s="7"/>
      </tp>
      <tp t="s">
        <v>表示銘柄数超過</v>
        <stp/>
        <stp>Market</stp>
        <stp>STOCK</stp>
        <stp>94390.T</stp>
        <stp>始値</stp>
        <tr r="L1131" s="7"/>
      </tp>
      <tp t="s">
        <v>表示銘柄数超過</v>
        <stp/>
        <stp>Market</stp>
        <stp>STOCK</stp>
        <stp>95190.T</stp>
        <stp>始値</stp>
        <tr r="L1151" s="7"/>
      </tp>
      <tp t="s">
        <v>表示銘柄数超過</v>
        <stp/>
        <stp>Market</stp>
        <stp>STOCK</stp>
        <stp>95090.T</stp>
        <stp>始値</stp>
        <tr r="L1148" s="7"/>
      </tp>
    </main>
    <main first="rtdsrv.662c26bade854d00aebc6010f8a2e03a">
      <tp t="s">
        <v>表示銘柄数超過</v>
        <stp/>
        <stp>Market</stp>
        <stp>STOCK</stp>
        <stp>48890.T</stp>
        <stp>始値</stp>
        <tr r="L547" s="7"/>
      </tp>
      <tp t="s">
        <v>表示銘柄数超過</v>
        <stp/>
        <stp>Market</stp>
        <stp>STOCK</stp>
        <stp>48290.T</stp>
        <stp>始値</stp>
        <tr r="L540" s="7"/>
      </tp>
      <tp t="s">
        <v>表示銘柄数超過</v>
        <stp/>
        <stp>Market</stp>
        <stp>STOCK</stp>
        <stp>42590.T</stp>
        <stp>始値</stp>
        <tr r="L432" s="7"/>
      </tp>
      <tp t="s">
        <v>表示銘柄数超過</v>
        <stp/>
        <stp>Market</stp>
        <stp>STOCK</stp>
        <stp>43790.T</stp>
        <stp>始値</stp>
        <tr r="L454" s="7"/>
      </tp>
      <tp t="s">
        <v>表示銘柄数超過</v>
        <stp/>
        <stp>Market</stp>
        <stp>STOCK</stp>
        <stp>40590.T</stp>
        <stp>始値</stp>
        <tr r="L414" s="7"/>
      </tp>
      <tp t="s">
        <v>表示銘柄数超過</v>
        <stp/>
        <stp>Market</stp>
        <stp>STOCK</stp>
        <stp>41690.T</stp>
        <stp>始値</stp>
        <tr r="L419" s="7"/>
      </tp>
      <tp>
        <v>459</v>
        <stp/>
        <stp>Market</stp>
        <stp>STOCK</stp>
        <stp>46890.T</stp>
        <stp>始値</stp>
        <tr r="L520" s="7"/>
      </tp>
      <tp t="s">
        <v>表示銘柄数超過</v>
        <stp/>
        <stp>Market</stp>
        <stp>STOCK</stp>
        <stp>46190.T</stp>
        <stp>始値</stp>
        <tr r="L511" s="7"/>
      </tp>
      <tp t="s">
        <v>表示銘柄数超過</v>
        <stp/>
        <stp>Market</stp>
        <stp>STOCK</stp>
        <stp>44790.T</stp>
        <stp>始値</stp>
        <tr r="L474" s="7"/>
      </tp>
      <tp t="s">
        <v>表示銘柄数超過</v>
        <stp/>
        <stp>Market</stp>
        <stp>STOCK</stp>
        <stp>44190.T</stp>
        <stp>始値</stp>
        <tr r="L462" s="7"/>
      </tp>
    </main>
    <main first="rtdsrv.662c26bade854d00aebc6010f8a2e03a">
      <tp>
        <v>1077</v>
        <stp/>
        <stp>Market</stp>
        <stp>STOCK</stp>
        <stp>59490.T</stp>
        <stp>始値</stp>
        <tr r="L624" s="7"/>
      </tp>
      <tp>
        <v>955</v>
        <stp/>
        <stp>Market</stp>
        <stp>STOCK</stp>
        <stp>59090.T</stp>
        <stp>始値</stp>
        <tr r="L618" s="7"/>
      </tp>
      <tp>
        <v>483</v>
        <stp/>
        <stp>Market</stp>
        <stp>STOCK</stp>
        <stp>52690.T</stp>
        <stp>始値</stp>
        <tr r="L582" s="7"/>
      </tp>
      <tp t="s">
        <v>表示銘柄数超過</v>
        <stp/>
        <stp>Market</stp>
        <stp>STOCK</stp>
        <stp>50190.T</stp>
        <stp>始値</stp>
        <tr r="L561" s="7"/>
      </tp>
      <tp>
        <v>1310</v>
        <stp/>
        <stp>Market</stp>
        <stp>STOCK</stp>
        <stp>51290.T</stp>
        <stp>始値</stp>
        <tr r="L571" s="7"/>
      </tp>
      <tp>
        <v>1148</v>
        <stp/>
        <stp>Market</stp>
        <stp>STOCK</stp>
        <stp>57590.T</stp>
        <stp>始値</stp>
        <tr r="L610" s="7"/>
      </tp>
      <tp>
        <v>2215</v>
        <stp/>
        <stp>Market</stp>
        <stp>STOCK</stp>
        <stp>54490.T</stp>
        <stp>始値</stp>
        <tr r="L596" s="7"/>
      </tp>
    </main>
    <main first="rtdsrv.662c26bade854d00aebc6010f8a2e03a">
      <tp>
        <v>387</v>
        <stp/>
        <stp>Market</stp>
        <stp>STOCK</stp>
        <stp>60590.T</stp>
        <stp>始値</stp>
        <tr r="L647" s="7"/>
      </tp>
      <tp>
        <v>305</v>
        <stp/>
        <stp>Market</stp>
        <stp>STOCK</stp>
        <stp>60490.T</stp>
        <stp>始値</stp>
        <tr r="L645" s="7"/>
      </tp>
      <tp>
        <v>182</v>
        <stp/>
        <stp>Market</stp>
        <stp>STOCK</stp>
        <stp>60290.T</stp>
        <stp>始値</stp>
        <tr r="L638" s="7"/>
      </tp>
      <tp>
        <v>36</v>
        <stp/>
        <stp>Market</stp>
        <stp>STOCK</stp>
        <stp>66590.T</stp>
        <stp>始値</stp>
        <tr r="L749" s="7"/>
      </tp>
      <tp>
        <v>731</v>
        <stp/>
        <stp>Market</stp>
        <stp>STOCK</stp>
        <stp>66190.T</stp>
        <stp>始値</stp>
        <tr r="L738" s="7"/>
      </tp>
      <tp>
        <v>1080</v>
        <stp/>
        <stp>Market</stp>
        <stp>STOCK</stp>
        <stp>64890.T</stp>
        <stp>始値</stp>
        <tr r="L708" s="7"/>
      </tp>
    </main>
    <main first="rtdsrv.662c26bade854d00aebc6010f8a2e03a">
      <tp>
        <v>1143</v>
        <stp/>
        <stp>Market</stp>
        <stp>STOCK</stp>
        <stp>78590.T</stp>
        <stp>始値</stp>
        <tr r="L948" s="7"/>
      </tp>
      <tp>
        <v>88</v>
        <stp/>
        <stp>Market</stp>
        <stp>STOCK</stp>
        <stp>78290.T</stp>
        <stp>始値</stp>
        <tr r="L942" s="7"/>
      </tp>
      <tp>
        <v>161</v>
        <stp/>
        <stp>Market</stp>
        <stp>STOCK</stp>
        <stp>79190.T</stp>
        <stp>始値</stp>
        <tr r="L956" s="7"/>
      </tp>
      <tp>
        <v>7120</v>
        <stp/>
        <stp>Market</stp>
        <stp>STOCK</stp>
        <stp>72690.T</stp>
        <stp>始値</stp>
        <tr r="L866" s="7"/>
      </tp>
      <tp>
        <v>2710</v>
        <stp/>
        <stp>Market</stp>
        <stp>STOCK</stp>
        <stp>72290.T</stp>
        <stp>始値</stp>
        <tr r="L853" s="7"/>
      </tp>
      <tp>
        <v>670</v>
        <stp/>
        <stp>Market</stp>
        <stp>STOCK</stp>
        <stp>73590.T</stp>
        <stp>始値</stp>
        <tr r="L880" s="7"/>
      </tp>
      <tp>
        <v>903</v>
        <stp/>
        <stp>Market</stp>
        <stp>STOCK</stp>
        <stp>73790.T</stp>
        <stp>始値</stp>
        <tr r="L883" s="7"/>
      </tp>
      <tp>
        <v>1624</v>
        <stp/>
        <stp>Market</stp>
        <stp>STOCK</stp>
        <stp>70590.T</stp>
        <stp>始値</stp>
        <tr r="L818" s="7"/>
      </tp>
      <tp>
        <v>530</v>
        <stp/>
        <stp>Market</stp>
        <stp>STOCK</stp>
        <stp>70490.T</stp>
        <stp>始値</stp>
        <tr r="L817" s="7"/>
      </tp>
      <tp>
        <v>203</v>
        <stp/>
        <stp>Market</stp>
        <stp>STOCK</stp>
        <stp>77790.T</stp>
        <stp>始値</stp>
        <tr r="L934" s="7"/>
      </tp>
      <tp>
        <v>219</v>
        <stp/>
        <stp>Market</stp>
        <stp>STOCK</stp>
        <stp>77190.T</stp>
        <stp>始値</stp>
        <tr r="L922" s="7"/>
      </tp>
      <tp>
        <v>255</v>
        <stp/>
        <stp>Market</stp>
        <stp>STOCK</stp>
        <stp>77090.T</stp>
        <stp>始値</stp>
        <tr r="L921" s="7"/>
      </tp>
      <tp>
        <v>2110</v>
        <stp/>
        <stp>Market</stp>
        <stp>STOCK</stp>
        <stp>77390.T</stp>
        <stp>始値</stp>
        <tr r="L926" s="7"/>
      </tp>
      <tp>
        <v>2337.5</v>
        <stp/>
        <stp>Market</stp>
        <stp>STOCK</stp>
        <stp>74590.T</stp>
        <stp>始値</stp>
        <tr r="L892" s="7"/>
      </tp>
      <tp>
        <v>1601</v>
        <stp/>
        <stp>Market</stp>
        <stp>STOCK</stp>
        <stp>74190.T</stp>
        <stp>始値</stp>
        <tr r="L887" s="7"/>
      </tp>
    </main>
    <main first="rtdsrv.662c26bade854d00aebc6010f8a2e03a">
      <tp t="s">
        <v>表示銘柄数超過</v>
        <stp/>
        <stp>Market</stp>
        <stp>STOCK</stp>
        <stp>18790.T</stp>
        <stp>始値</stp>
        <tr r="L68" s="7"/>
      </tp>
      <tp t="s">
        <v>表示銘柄数超過</v>
        <stp/>
        <stp>Market</stp>
        <stp>STOCK</stp>
        <stp>19390.T</stp>
        <stp>始値</stp>
        <tr r="L78" s="7"/>
      </tp>
      <tp t="s">
        <v>表示銘柄数超過</v>
        <stp/>
        <stp>Market</stp>
        <stp>STOCK</stp>
        <stp>13990.T</stp>
        <stp>始値</stp>
        <tr r="L16" s="7"/>
      </tp>
      <tp t="s">
        <v>表示銘柄数超過</v>
        <stp/>
        <stp>Market</stp>
        <stp>STOCK</stp>
        <stp>13190.T</stp>
        <stp>始値</stp>
        <tr r="L6" s="7"/>
      </tp>
      <tp t="s">
        <v>表示銘柄数超過</v>
        <stp/>
        <stp>Market</stp>
        <stp>STOCK</stp>
        <stp>16990.T</stp>
        <stp>始値</stp>
        <tr r="L45" s="7"/>
      </tp>
      <tp t="s">
        <v>表示銘柄数超過</v>
        <stp/>
        <stp>Market</stp>
        <stp>STOCK</stp>
        <stp>16890.T</stp>
        <stp>始値</stp>
        <tr r="L44" s="7"/>
      </tp>
      <tp t="s">
        <v>表示銘柄数超過</v>
        <stp/>
        <stp>Market</stp>
        <stp>STOCK</stp>
        <stp>17190.T</stp>
        <stp>始値</stp>
        <tr r="L49" s="7"/>
      </tp>
      <tp t="s">
        <v>表示銘柄数超過</v>
        <stp/>
        <stp>Market</stp>
        <stp>STOCK</stp>
        <stp>14590.T</stp>
        <stp>始値</stp>
        <tr r="L26" s="7"/>
      </tp>
      <tp t="s">
        <v>表示銘柄数超過</v>
        <stp/>
        <stp>Market</stp>
        <stp>STOCK</stp>
        <stp>14690.T</stp>
        <stp>始値</stp>
        <tr r="L27" s="7"/>
      </tp>
      <tp t="s">
        <v>表示銘柄数超過</v>
        <stp/>
        <stp>Market</stp>
        <stp>STOCK</stp>
        <stp>14190.T</stp>
        <stp>始値</stp>
        <tr r="L21" s="7"/>
      </tp>
      <tp t="s">
        <v>表示銘柄数超過</v>
        <stp/>
        <stp>Market</stp>
        <stp>STOCK</stp>
        <stp>14390.T</stp>
        <stp>始値</stp>
        <tr r="L24" s="7"/>
      </tp>
    </main>
    <main first="rtdsrv.662c26bade854d00aebc6010f8a2e03a">
      <tp t="s">
        <v>表示銘柄数超過</v>
        <stp/>
        <stp>Market</stp>
        <stp>STOCK</stp>
        <stp>27490.T</stp>
        <stp>始値</stp>
        <tr r="L192" s="7"/>
      </tp>
      <tp t="s">
        <v>表示銘柄数超過</v>
        <stp/>
        <stp>Market</stp>
        <stp>STOCK</stp>
        <stp>24790.T</stp>
        <stp>始値</stp>
        <tr r="L150" s="7"/>
      </tp>
      <tp t="s">
        <v>表示銘柄数超過</v>
        <stp/>
        <stp>Market</stp>
        <stp>STOCK</stp>
        <stp>24290.T</stp>
        <stp>始値</stp>
        <tr r="L139" s="7"/>
      </tp>
      <tp t="s">
        <v>表示銘柄数超過</v>
        <stp/>
        <stp>Market</stp>
        <stp>STOCK</stp>
        <stp>25790.T</stp>
        <stp>始値</stp>
        <tr r="L163" s="7"/>
      </tp>
    </main>
    <main first="rtdsrv.662c26bade854d00aebc6010f8a2e03a">
      <tp t="s">
        <v>表示銘柄数超過</v>
        <stp/>
        <stp>Market</stp>
        <stp>STOCK</stp>
        <stp>39890.T</stp>
        <stp>始値</stp>
        <tr r="L404" s="7"/>
      </tp>
      <tp t="s">
        <v>表示銘柄数超過</v>
        <stp/>
        <stp>Market</stp>
        <stp>STOCK</stp>
        <stp>39090.T</stp>
        <stp>始値</stp>
        <tr r="L388" s="7"/>
      </tp>
      <tp t="s">
        <v>表示銘柄数超過</v>
        <stp/>
        <stp>Market</stp>
        <stp>STOCK</stp>
        <stp>39390.T</stp>
        <stp>始値</stp>
        <tr r="L398" s="7"/>
      </tp>
      <tp t="s">
        <v>表示銘柄数超過</v>
        <stp/>
        <stp>Market</stp>
        <stp>STOCK</stp>
        <stp>39290.T</stp>
        <stp>始値</stp>
        <tr r="L395" s="7"/>
      </tp>
      <tp t="s">
        <v>表示銘柄数超過</v>
        <stp/>
        <stp>Market</stp>
        <stp>STOCK</stp>
        <stp>32990.T</stp>
        <stp>始値</stp>
        <tr r="L274" s="7"/>
      </tp>
      <tp t="s">
        <v>表示銘柄数超過</v>
        <stp/>
        <stp>Market</stp>
        <stp>STOCK</stp>
        <stp>32890.T</stp>
        <stp>始値</stp>
        <tr r="L272" s="7"/>
      </tp>
      <tp t="s">
        <v>表示銘柄数超過</v>
        <stp/>
        <stp>Market</stp>
        <stp>STOCK</stp>
        <stp>33590.T</stp>
        <stp>始値</stp>
        <tr r="L286" s="7"/>
      </tp>
      <tp t="s">
        <v>表示銘柄数超過</v>
        <stp/>
        <stp>Market</stp>
        <stp>STOCK</stp>
        <stp>30990.T</stp>
        <stp>始値</stp>
        <tr r="L240" s="7"/>
      </tp>
      <tp t="s">
        <v>表示銘柄数超過</v>
        <stp/>
        <stp>Market</stp>
        <stp>STOCK</stp>
        <stp>30690.T</stp>
        <stp>始値</stp>
        <tr r="L235" s="7"/>
      </tp>
      <tp t="s">
        <v>表示銘柄数超過</v>
        <stp/>
        <stp>Market</stp>
        <stp>STOCK</stp>
        <stp>31890.T</stp>
        <stp>始値</stp>
        <tr r="L255" s="7"/>
      </tp>
      <tp t="s">
        <v>表示銘柄数超過</v>
        <stp/>
        <stp>Market</stp>
        <stp>STOCK</stp>
        <stp>31590.T</stp>
        <stp>始値</stp>
        <tr r="L249" s="7"/>
      </tp>
      <tp t="s">
        <v>表示銘柄数超過</v>
        <stp/>
        <stp>Market</stp>
        <stp>STOCK</stp>
        <stp>36490.T</stp>
        <stp>始値</stp>
        <tr r="L321" s="7"/>
      </tp>
      <tp t="s">
        <v>表示銘柄数超過</v>
        <stp/>
        <stp>Market</stp>
        <stp>STOCK</stp>
        <stp>36390.T</stp>
        <stp>始値</stp>
        <tr r="L318" s="7"/>
      </tp>
      <tp t="s">
        <v>表示銘柄数超過</v>
        <stp/>
        <stp>Market</stp>
        <stp>STOCK</stp>
        <stp>37790.T</stp>
        <stp>始値</stp>
        <tr r="L358" s="7"/>
      </tp>
      <tp t="s">
        <v>表示銘柄数超過</v>
        <stp/>
        <stp>Market</stp>
        <stp>STOCK</stp>
        <stp>37190.T</stp>
        <stp>始値</stp>
        <tr r="L345" s="7"/>
      </tp>
      <tp t="s">
        <v>表示銘柄数超過</v>
        <stp/>
        <stp>Market</stp>
        <stp>STOCK</stp>
        <stp>34090.T</stp>
        <stp>始値</stp>
        <tr r="L296" s="7"/>
      </tp>
    </main>
    <main first="rtdsrv.662c26bade854d00aebc6010f8a2e03a">
      <tp t="s">
        <v>表示銘柄数超過</v>
        <stp/>
        <stp>Market</stp>
        <stp>STOCK</stp>
        <stp>88180.T</stp>
        <stp>始値</stp>
        <tr r="L1053" s="7"/>
      </tp>
      <tp t="s">
        <v>表示銘柄数超過</v>
        <stp/>
        <stp>Market</stp>
        <stp>STOCK</stp>
        <stp>89180.T</stp>
        <stp>始値</stp>
        <tr r="L1064" s="7"/>
      </tp>
      <tp t="s">
        <v>表示銘柄数超過</v>
        <stp/>
        <stp>Market</stp>
        <stp>STOCK</stp>
        <stp>89380.T</stp>
        <stp>始値</stp>
        <tr r="L1068" s="7"/>
      </tp>
      <tp>
        <v>801</v>
        <stp/>
        <stp>Market</stp>
        <stp>STOCK</stp>
        <stp>83580.T</stp>
        <stp>始値</stp>
        <tr r="L1006" s="7"/>
      </tp>
      <tp>
        <v>2700</v>
        <stp/>
        <stp>Market</stp>
        <stp>STOCK</stp>
        <stp>80580.T</stp>
        <stp>始値</stp>
        <tr r="L972" s="7"/>
      </tp>
      <tp>
        <v>1961</v>
        <stp/>
        <stp>Market</stp>
        <stp>STOCK</stp>
        <stp>80080.T</stp>
        <stp>始値</stp>
        <tr r="L966" s="7"/>
      </tp>
      <tp>
        <v>692</v>
        <stp/>
        <stp>Market</stp>
        <stp>STOCK</stp>
        <stp>81180.T</stp>
        <stp>始値</stp>
        <tr r="L979" s="7"/>
      </tp>
      <tp>
        <v>714</v>
        <stp/>
        <stp>Market</stp>
        <stp>STOCK</stp>
        <stp>86980.T</stp>
        <stp>始値</stp>
        <tr r="L1036" s="7"/>
      </tp>
      <tp>
        <v>847</v>
        <stp/>
        <stp>Market</stp>
        <stp>STOCK</stp>
        <stp>86280.T</stp>
        <stp>始値</stp>
        <tr r="L1034" s="7"/>
      </tp>
      <tp>
        <v>1198</v>
        <stp/>
        <stp>Market</stp>
        <stp>STOCK</stp>
        <stp>87080.T</stp>
        <stp>始値</stp>
        <tr r="L1039" s="7"/>
      </tp>
      <tp>
        <v>277</v>
        <stp/>
        <stp>Market</stp>
        <stp>STOCK</stp>
        <stp>85180.T</stp>
        <stp>始値</stp>
        <tr r="L1017" s="7"/>
      </tp>
      <tp>
        <v>470</v>
        <stp/>
        <stp>Market</stp>
        <stp>STOCK</stp>
        <stp>85080.T</stp>
        <stp>始値</stp>
        <tr r="L1014" s="7"/>
      </tp>
      <tp t="s">
        <v>表示銘柄数超過</v>
        <stp/>
        <stp>Market</stp>
        <stp>STOCK</stp>
        <stp>98880.T</stp>
        <stp>始値</stp>
        <tr r="L1176" s="7"/>
      </tp>
      <tp t="s">
        <v>表示銘柄数超過</v>
        <stp/>
        <stp>Market</stp>
        <stp>STOCK</stp>
        <stp>99080.T</stp>
        <stp>始値</stp>
        <tr r="L1179" s="7"/>
      </tp>
      <tp t="s">
        <v>表示銘柄数超過</v>
        <stp/>
        <stp>Market</stp>
        <stp>STOCK</stp>
        <stp>99280.T</stp>
        <stp>始値</stp>
        <tr r="L1182" s="7"/>
      </tp>
      <tp t="s">
        <v>表示銘柄数超過</v>
        <stp/>
        <stp>Market</stp>
        <stp>STOCK</stp>
        <stp>92480.T</stp>
        <stp>始値</stp>
        <tr r="L1102" s="7"/>
      </tp>
      <tp t="s">
        <v>表示銘柄数超過</v>
        <stp/>
        <stp>Market</stp>
        <stp>STOCK</stp>
        <stp>92780.T</stp>
        <stp>始値</stp>
        <tr r="L1108" s="7"/>
      </tp>
      <tp t="s">
        <v>表示銘柄数超過</v>
        <stp/>
        <stp>Market</stp>
        <stp>STOCK</stp>
        <stp>90480.T</stp>
        <stp>始値</stp>
        <tr r="L1088" s="7"/>
      </tp>
      <tp t="s">
        <v>表示銘柄数超過</v>
        <stp/>
        <stp>Market</stp>
        <stp>STOCK</stp>
        <stp>90080.T</stp>
        <stp>始値</stp>
        <tr r="L1078" s="7"/>
      </tp>
      <tp t="s">
        <v>表示銘柄数超過</v>
        <stp/>
        <stp>Market</stp>
        <stp>STOCK</stp>
        <stp>97880.T</stp>
        <stp>始値</stp>
        <tr r="L1169" s="7"/>
      </tp>
      <tp t="s">
        <v>表示銘柄数超過</v>
        <stp/>
        <stp>Market</stp>
        <stp>STOCK</stp>
        <stp>95080.T</stp>
        <stp>始値</stp>
        <tr r="L1147" s="7"/>
      </tp>
    </main>
    <main first="rtdsrv.662c26bade854d00aebc6010f8a2e03a">
      <tp t="s">
        <v>表示銘柄数超過</v>
        <stp/>
        <stp>Market</stp>
        <stp>STOCK</stp>
        <stp>48380.T</stp>
        <stp>始値</stp>
        <tr r="L543" s="7"/>
      </tp>
      <tp t="s">
        <v>表示銘柄数超過</v>
        <stp/>
        <stp>Market</stp>
        <stp>STOCK</stp>
        <stp>49780.T</stp>
        <stp>始値</stp>
        <tr r="L556" s="7"/>
      </tp>
      <tp t="s">
        <v>表示銘柄数超過</v>
        <stp/>
        <stp>Market</stp>
        <stp>STOCK</stp>
        <stp>42580.T</stp>
        <stp>始値</stp>
        <tr r="L431" s="7"/>
      </tp>
      <tp t="s">
        <v>表示銘柄数超過</v>
        <stp/>
        <stp>Market</stp>
        <stp>STOCK</stp>
        <stp>42680.T</stp>
        <stp>始値</stp>
        <tr r="L434" s="7"/>
      </tp>
      <tp t="s">
        <v>表示銘柄数超過</v>
        <stp/>
        <stp>Market</stp>
        <stp>STOCK</stp>
        <stp>42380.T</stp>
        <stp>始値</stp>
        <tr r="L428" s="7"/>
      </tp>
      <tp t="s">
        <v>表示銘柄数超過</v>
        <stp/>
        <stp>Market</stp>
        <stp>STOCK</stp>
        <stp>43880.T</stp>
        <stp>始値</stp>
        <tr r="L457" s="7"/>
      </tp>
      <tp t="s">
        <v>表示銘柄数超過</v>
        <stp/>
        <stp>Market</stp>
        <stp>STOCK</stp>
        <stp>43780.T</stp>
        <stp>始値</stp>
        <tr r="L453" s="7"/>
      </tp>
      <tp t="s">
        <v>表示銘柄数超過</v>
        <stp/>
        <stp>Market</stp>
        <stp>STOCK</stp>
        <stp>43080.T</stp>
        <stp>始値</stp>
        <tr r="L441" s="7"/>
      </tp>
      <tp t="s">
        <v>表示銘柄数超過</v>
        <stp/>
        <stp>Market</stp>
        <stp>STOCK</stp>
        <stp>41880.T</stp>
        <stp>始値</stp>
        <tr r="L423" s="7"/>
      </tp>
      <tp t="s">
        <v>表示銘柄数超過</v>
        <stp/>
        <stp>Market</stp>
        <stp>STOCK</stp>
        <stp>44480.T</stp>
        <stp>始値</stp>
        <tr r="L468" s="7"/>
      </tp>
      <tp t="s">
        <v>表示銘柄数超過</v>
        <stp/>
        <stp>Market</stp>
        <stp>STOCK</stp>
        <stp>44380.T</stp>
        <stp>始値</stp>
        <tr r="L465" s="7"/>
      </tp>
      <tp t="s">
        <v>表示銘柄数超過</v>
        <stp/>
        <stp>Market</stp>
        <stp>STOCK</stp>
        <stp>45880.T</stp>
        <stp>始値</stp>
        <tr r="L501" s="7"/>
      </tp>
      <tp t="s">
        <v>表示銘柄数超過</v>
        <stp/>
        <stp>Market</stp>
        <stp>STOCK</stp>
        <stp>45580.T</stp>
        <stp>始値</stp>
        <tr r="L485" s="7"/>
      </tp>
      <tp t="s">
        <v>表示銘柄数超過</v>
        <stp/>
        <stp>Market</stp>
        <stp>STOCK</stp>
        <stp>45780.T</stp>
        <stp>始値</stp>
        <tr r="L496" s="7"/>
      </tp>
      <tp t="s">
        <v>表示銘柄数超過</v>
        <stp/>
        <stp>Market</stp>
        <stp>STOCK</stp>
        <stp>45680.T</stp>
        <stp>始値</stp>
        <tr r="L489" s="7"/>
      </tp>
    </main>
    <main first="rtdsrv.662c26bade854d00aebc6010f8a2e03a">
      <tp>
        <v>2335</v>
        <stp/>
        <stp>Market</stp>
        <stp>STOCK</stp>
        <stp>58380.T</stp>
        <stp>始値</stp>
        <tr r="L615" s="7"/>
      </tp>
      <tp>
        <v>1980</v>
        <stp/>
        <stp>Market</stp>
        <stp>STOCK</stp>
        <stp>59380.T</stp>
        <stp>始値</stp>
        <tr r="L621" s="7"/>
      </tp>
      <tp>
        <v>315</v>
        <stp/>
        <stp>Market</stp>
        <stp>STOCK</stp>
        <stp>59280.T</stp>
        <stp>始値</stp>
        <tr r="L619" s="7"/>
      </tp>
      <tp t="s">
        <v>表示銘柄数超過</v>
        <stp/>
        <stp>Market</stp>
        <stp>STOCK</stp>
        <stp>50280.T</stp>
        <stp>始値</stp>
        <tr r="L564" s="7"/>
      </tp>
      <tp>
        <v>6285</v>
        <stp/>
        <stp>Market</stp>
        <stp>STOCK</stp>
        <stp>51080.T</stp>
        <stp>始値</stp>
        <tr r="L568" s="7"/>
      </tp>
      <tp>
        <v>591</v>
        <stp/>
        <stp>Market</stp>
        <stp>STOCK</stp>
        <stp>56980.T</stp>
        <stp>始値</stp>
        <tr r="L604" s="7"/>
      </tp>
      <tp>
        <v>330</v>
        <stp/>
        <stp>Market</stp>
        <stp>STOCK</stp>
        <stp>56580.T</stp>
        <stp>始値</stp>
        <tr r="L603" s="7"/>
      </tp>
      <tp>
        <v>902</v>
        <stp/>
        <stp>Market</stp>
        <stp>STOCK</stp>
        <stp>54080.T</stp>
        <stp>始値</stp>
        <tr r="L592" s="7"/>
      </tp>
    </main>
    <main first="rtdsrv.662c26bade854d00aebc6010f8a2e03a">
      <tp>
        <v>745</v>
        <stp/>
        <stp>Market</stp>
        <stp>STOCK</stp>
        <stp>69580.T</stp>
        <stp>始値</stp>
        <tr r="L796" s="7"/>
      </tp>
      <tp>
        <v>298</v>
        <stp/>
        <stp>Market</stp>
        <stp>STOCK</stp>
        <stp>69380.T</stp>
        <stp>始値</stp>
        <tr r="L790" s="7"/>
      </tp>
      <tp>
        <v>2398</v>
        <stp/>
        <stp>Market</stp>
        <stp>STOCK</stp>
        <stp>62980.T</stp>
        <stp>始値</stp>
        <tr r="L685" s="7"/>
      </tp>
      <tp>
        <v>706</v>
        <stp/>
        <stp>Market</stp>
        <stp>STOCK</stp>
        <stp>62180.T</stp>
        <stp>始値</stp>
        <tr r="L678" s="7"/>
      </tp>
      <tp>
        <v>5690</v>
        <stp/>
        <stp>Market</stp>
        <stp>STOCK</stp>
        <stp>60980.T</stp>
        <stp>始値</stp>
        <tr r="L654" s="7"/>
      </tp>
      <tp>
        <v>136</v>
        <stp/>
        <stp>Market</stp>
        <stp>STOCK</stp>
        <stp>60480.T</stp>
        <stp>始値</stp>
        <tr r="L644" s="7"/>
      </tp>
      <tp>
        <v>3310</v>
        <stp/>
        <stp>Market</stp>
        <stp>STOCK</stp>
        <stp>60280.T</stp>
        <stp>始値</stp>
        <tr r="L637" s="7"/>
      </tp>
      <tp>
        <v>614</v>
        <stp/>
        <stp>Market</stp>
        <stp>STOCK</stp>
        <stp>61880.T</stp>
        <stp>始値</stp>
        <tr r="L672" s="7"/>
      </tp>
      <tp>
        <v>1394</v>
        <stp/>
        <stp>Market</stp>
        <stp>STOCK</stp>
        <stp>61780.T</stp>
        <stp>始値</stp>
        <tr r="L666" s="7"/>
      </tp>
      <tp>
        <v>535</v>
        <stp/>
        <stp>Market</stp>
        <stp>STOCK</stp>
        <stp>66580.T</stp>
        <stp>始値</stp>
        <tr r="L748" s="7"/>
      </tp>
      <tp>
        <v>14380</v>
        <stp/>
        <stp>Market</stp>
        <stp>STOCK</stp>
        <stp>67580.T</stp>
        <stp>始値</stp>
        <tr r="L767" s="7"/>
      </tp>
      <tp>
        <v>480</v>
        <stp/>
        <stp>Market</stp>
        <stp>STOCK</stp>
        <stp>67480.T</stp>
        <stp>始値</stp>
        <tr r="L762" s="7"/>
      </tp>
      <tp>
        <v>533</v>
        <stp/>
        <stp>Market</stp>
        <stp>STOCK</stp>
        <stp>67680.T</stp>
        <stp>始値</stp>
        <tr r="L769" s="7"/>
      </tp>
      <tp>
        <v>1213</v>
        <stp/>
        <stp>Market</stp>
        <stp>STOCK</stp>
        <stp>64980.T</stp>
        <stp>始値</stp>
        <tr r="L712" s="7"/>
      </tp>
      <tp>
        <v>1415</v>
        <stp/>
        <stp>Market</stp>
        <stp>STOCK</stp>
        <stp>64180.T</stp>
        <stp>始値</stp>
        <tr r="L700" s="7"/>
      </tp>
      <tp>
        <v>3150</v>
        <stp/>
        <stp>Market</stp>
        <stp>STOCK</stp>
        <stp>65880.T</stp>
        <stp>始値</stp>
        <tr r="L734" s="7"/>
      </tp>
      <tp>
        <v>267</v>
        <stp/>
        <stp>Market</stp>
        <stp>STOCK</stp>
        <stp>65780.T</stp>
        <stp>始値</stp>
        <tr r="L731" s="7"/>
      </tp>
    </main>
    <main first="rtdsrv.662c26bade854d00aebc6010f8a2e03a">
      <tp>
        <v>657</v>
        <stp/>
        <stp>Market</stp>
        <stp>STOCK</stp>
        <stp>78880.T</stp>
        <stp>始値</stp>
        <tr r="L951" s="7"/>
      </tp>
      <tp>
        <v>730</v>
        <stp/>
        <stp>Market</stp>
        <stp>STOCK</stp>
        <stp>78680.T</stp>
        <stp>始値</stp>
        <tr r="L950" s="7"/>
      </tp>
      <tp>
        <v>184</v>
        <stp/>
        <stp>Market</stp>
        <stp>STOCK</stp>
        <stp>79180.T</stp>
        <stp>始値</stp>
        <tr r="L955" s="7"/>
      </tp>
      <tp>
        <v>211</v>
        <stp/>
        <stp>Market</stp>
        <stp>STOCK</stp>
        <stp>79080.T</stp>
        <stp>始値</stp>
        <tr r="L953" s="7"/>
      </tp>
      <tp t="s">
        <v/>
        <stp/>
        <stp>Market</stp>
        <stp>STOCK</stp>
        <stp>72980.T</stp>
        <stp>始値</stp>
        <tr r="L873" s="7"/>
      </tp>
      <tp>
        <v>350</v>
        <stp/>
        <stp>Market</stp>
        <stp>STOCK</stp>
        <stp>72680.T</stp>
        <stp>始値</stp>
        <tr r="L865" s="7"/>
      </tp>
      <tp>
        <v>113</v>
        <stp/>
        <stp>Market</stp>
        <stp>STOCK</stp>
        <stp>72380.T</stp>
        <stp>始値</stp>
        <tr r="L856" s="7"/>
      </tp>
      <tp>
        <v>790</v>
        <stp/>
        <stp>Market</stp>
        <stp>STOCK</stp>
        <stp>70880.T</stp>
        <stp>始値</stp>
        <tr r="L824" s="7"/>
      </tp>
      <tp>
        <v>596</v>
        <stp/>
        <stp>Market</stp>
        <stp>STOCK</stp>
        <stp>70480.T</stp>
        <stp>始値</stp>
        <tr r="L816" s="7"/>
      </tp>
      <tp>
        <v>506</v>
        <stp/>
        <stp>Market</stp>
        <stp>STOCK</stp>
        <stp>70680.T</stp>
        <stp>始値</stp>
        <tr r="L822" s="7"/>
      </tp>
      <tp>
        <v>1759</v>
        <stp/>
        <stp>Market</stp>
        <stp>STOCK</stp>
        <stp>71480.T</stp>
        <stp>始値</stp>
        <tr r="L830" s="7"/>
      </tp>
      <tp>
        <v>1525</v>
        <stp/>
        <stp>Market</stp>
        <stp>STOCK</stp>
        <stp>74080.T</stp>
        <stp>始値</stp>
        <tr r="L886" s="7"/>
      </tp>
      <tp>
        <v>427</v>
        <stp/>
        <stp>Market</stp>
        <stp>STOCK</stp>
        <stp>75780.T</stp>
        <stp>始値</stp>
        <tr r="L905" s="7"/>
      </tp>
      <tp>
        <v>332</v>
        <stp/>
        <stp>Market</stp>
        <stp>STOCK</stp>
        <stp>75380.T</stp>
        <stp>始値</stp>
        <tr r="L902" s="7"/>
      </tp>
    </main>
    <main first="rtdsrv.662c26bade854d00aebc6010f8a2e03a">
      <tp t="s">
        <v>表示銘柄数超過</v>
        <stp/>
        <stp>Market</stp>
        <stp>STOCK</stp>
        <stp>18980.T</stp>
        <stp>始値</stp>
        <tr r="L71" s="7"/>
      </tp>
      <tp t="s">
        <v>表示銘柄数超過</v>
        <stp/>
        <stp>Market</stp>
        <stp>STOCK</stp>
        <stp>18480.T</stp>
        <stp>始値</stp>
        <tr r="L67" s="7"/>
      </tp>
      <tp t="s">
        <v>表示銘柄数超過</v>
        <stp/>
        <stp>Market</stp>
        <stp>STOCK</stp>
        <stp>19380.T</stp>
        <stp>始値</stp>
        <tr r="L77" s="7"/>
      </tp>
      <tp t="s">
        <v>表示銘柄数超過</v>
        <stp/>
        <stp>Market</stp>
        <stp>STOCK</stp>
        <stp>19280.T</stp>
        <stp>始値</stp>
        <tr r="L75" s="7"/>
      </tp>
      <tp t="s">
        <v>表示銘柄数超過</v>
        <stp/>
        <stp>Market</stp>
        <stp>STOCK</stp>
        <stp>13680.T</stp>
        <stp>始値</stp>
        <tr r="L15" s="7"/>
      </tp>
      <tp t="s">
        <v>表示銘柄数超過</v>
        <stp/>
        <stp>Market</stp>
        <stp>STOCK</stp>
        <stp>13080.T</stp>
        <stp>始値</stp>
        <tr r="L4" s="7"/>
      </tp>
      <tp t="s">
        <v>表示銘柄数超過</v>
        <stp/>
        <stp>Market</stp>
        <stp>STOCK</stp>
        <stp>16780.T</stp>
        <stp>始値</stp>
        <tr r="L42" s="7"/>
      </tp>
      <tp t="s">
        <v>表示銘柄数超過</v>
        <stp/>
        <stp>Market</stp>
        <stp>STOCK</stp>
        <stp>14180.T</stp>
        <stp>始値</stp>
        <tr r="L20" s="7"/>
      </tp>
      <tp t="s">
        <v>表示銘柄数超過</v>
        <stp/>
        <stp>Market</stp>
        <stp>STOCK</stp>
        <stp>15780.T</stp>
        <stp>始値</stp>
        <tr r="L36" s="7"/>
      </tp>
    </main>
    <main first="rtdsrv.662c26bade854d00aebc6010f8a2e03a">
      <tp t="s">
        <v>表示銘柄数超過</v>
        <stp/>
        <stp>Market</stp>
        <stp>STOCK</stp>
        <stp>28580.T</stp>
        <stp>始値</stp>
        <tr r="L208" s="7"/>
      </tp>
      <tp t="s">
        <v>表示銘柄数超過</v>
        <stp/>
        <stp>Market</stp>
        <stp>STOCK</stp>
        <stp>28680.T</stp>
        <stp>始値</stp>
        <tr r="L210" s="7"/>
      </tp>
      <tp t="s">
        <v>表示銘柄数超過</v>
        <stp/>
        <stp>Market</stp>
        <stp>STOCK</stp>
        <stp>23880.T</stp>
        <stp>始値</stp>
        <tr r="L131" s="7"/>
      </tp>
      <tp t="s">
        <v>表示銘柄数超過</v>
        <stp/>
        <stp>Market</stp>
        <stp>STOCK</stp>
        <stp>23780.T</stp>
        <stp>始値</stp>
        <tr r="L130" s="7"/>
      </tp>
      <tp>
        <v>1735</v>
        <stp/>
        <stp>Market</stp>
        <stp>STOCK</stp>
        <stp>20380.T</stp>
        <stp>始値</stp>
        <tr r="L87" s="7"/>
      </tp>
      <tp t="s">
        <v>表示銘柄数超過</v>
        <stp/>
        <stp>Market</stp>
        <stp>STOCK</stp>
        <stp>21980.T</stp>
        <stp>始値</stp>
        <tr r="L102" s="7"/>
      </tp>
      <tp t="s">
        <v>表示銘柄数超過</v>
        <stp/>
        <stp>Market</stp>
        <stp>STOCK</stp>
        <stp>21580.T</stp>
        <stp>始値</stp>
        <tr r="L97" s="7"/>
      </tp>
      <tp t="s">
        <v>表示銘柄数超過</v>
        <stp/>
        <stp>Market</stp>
        <stp>STOCK</stp>
        <stp>21680.T</stp>
        <stp>始値</stp>
        <tr r="L101" s="7"/>
      </tp>
      <tp t="s">
        <v>表示銘柄数超過</v>
        <stp/>
        <stp>Market</stp>
        <stp>STOCK</stp>
        <stp>21380.T</stp>
        <stp>始値</stp>
        <tr r="L93" s="7"/>
      </tp>
      <tp t="s">
        <v>表示銘柄数超過</v>
        <stp/>
        <stp>Market</stp>
        <stp>STOCK</stp>
        <stp>26980.T</stp>
        <stp>始値</stp>
        <tr r="L185" s="7"/>
      </tp>
      <tp t="s">
        <v>表示銘柄数超過</v>
        <stp/>
        <stp>Market</stp>
        <stp>STOCK</stp>
        <stp>27780.T</stp>
        <stp>始値</stp>
        <tr r="L198" s="7"/>
      </tp>
      <tp t="s">
        <v>表示銘柄数超過</v>
        <stp/>
        <stp>Market</stp>
        <stp>STOCK</stp>
        <stp>27680.T</stp>
        <stp>始値</stp>
        <tr r="L196" s="7"/>
      </tp>
      <tp t="s">
        <v>表示銘柄数超過</v>
        <stp/>
        <stp>Market</stp>
        <stp>STOCK</stp>
        <stp>24880.T</stp>
        <stp>始値</stp>
        <tr r="L153" s="7"/>
      </tp>
      <tp t="s">
        <v>表示銘柄数超過</v>
        <stp/>
        <stp>Market</stp>
        <stp>STOCK</stp>
        <stp>24680.T</stp>
        <stp>始値</stp>
        <tr r="L148" s="7"/>
      </tp>
      <tp t="s">
        <v>表示銘柄数超過</v>
        <stp/>
        <stp>Market</stp>
        <stp>STOCK</stp>
        <stp>24080.T</stp>
        <stp>始値</stp>
        <tr r="L134" s="7"/>
      </tp>
      <tp t="s">
        <v>表示銘柄数超過</v>
        <stp/>
        <stp>Market</stp>
        <stp>STOCK</stp>
        <stp>24380.T</stp>
        <stp>始値</stp>
        <tr r="L144" s="7"/>
      </tp>
      <tp t="s">
        <v>表示銘柄数超過</v>
        <stp/>
        <stp>Market</stp>
        <stp>STOCK</stp>
        <stp>25180.T</stp>
        <stp>始値</stp>
        <tr r="L159" s="7"/>
      </tp>
    </main>
    <main first="rtdsrv.662c26bade854d00aebc6010f8a2e03a">
      <tp t="s">
        <v>表示銘柄数超過</v>
        <stp/>
        <stp>Market</stp>
        <stp>STOCK</stp>
        <stp>38580.T</stp>
        <stp>始値</stp>
        <tr r="L378" s="7"/>
      </tp>
      <tp t="s">
        <v>表示銘柄数超過</v>
        <stp/>
        <stp>Market</stp>
        <stp>STOCK</stp>
        <stp>39980.T</stp>
        <stp>始値</stp>
        <tr r="L409" s="7"/>
      </tp>
      <tp t="s">
        <v>表示銘柄数超過</v>
        <stp/>
        <stp>Market</stp>
        <stp>STOCK</stp>
        <stp>39280.T</stp>
        <stp>始値</stp>
        <tr r="L394" s="7"/>
      </tp>
      <tp t="s">
        <v>表示銘柄数超過</v>
        <stp/>
        <stp>Market</stp>
        <stp>STOCK</stp>
        <stp>32880.T</stp>
        <stp>始値</stp>
        <tr r="L271" s="7"/>
      </tp>
      <tp t="s">
        <v>表示銘柄数超過</v>
        <stp/>
        <stp>Market</stp>
        <stp>STOCK</stp>
        <stp>32380.T</stp>
        <stp>始値</stp>
        <tr r="L261" s="7"/>
      </tp>
      <tp t="s">
        <v>表示銘柄数超過</v>
        <stp/>
        <stp>Market</stp>
        <stp>STOCK</stp>
        <stp>33880.T</stp>
        <stp>始値</stp>
        <tr r="L292" s="7"/>
      </tp>
      <tp t="s">
        <v>表示銘柄数超過</v>
        <stp/>
        <stp>Market</stp>
        <stp>STOCK</stp>
        <stp>33580.T</stp>
        <stp>始値</stp>
        <tr r="L285" s="7"/>
      </tp>
      <tp t="s">
        <v>表示銘柄数超過</v>
        <stp/>
        <stp>Market</stp>
        <stp>STOCK</stp>
        <stp>33280.T</stp>
        <stp>始値</stp>
        <tr r="L280" s="7"/>
      </tp>
      <tp t="s">
        <v>表示銘柄数超過</v>
        <stp/>
        <stp>Market</stp>
        <stp>STOCK</stp>
        <stp>30380.T</stp>
        <stp>始値</stp>
        <tr r="L230" s="7"/>
      </tp>
      <tp t="s">
        <v>表示銘柄数超過</v>
        <stp/>
        <stp>Market</stp>
        <stp>STOCK</stp>
        <stp>36980.T</stp>
        <stp>始値</stp>
        <tr r="L343" s="7"/>
      </tp>
      <tp t="s">
        <v>表示銘柄数超過</v>
        <stp/>
        <stp>Market</stp>
        <stp>STOCK</stp>
        <stp>36680.T</stp>
        <stp>始値</stp>
        <tr r="L331" s="7"/>
      </tp>
      <tp t="s">
        <v>表示銘柄数超過</v>
        <stp/>
        <stp>Market</stp>
        <stp>STOCK</stp>
        <stp>37580.T</stp>
        <stp>始値</stp>
        <tr r="L351" s="7"/>
      </tp>
      <tp t="s">
        <v>表示銘柄数超過</v>
        <stp/>
        <stp>Market</stp>
        <stp>STOCK</stp>
        <stp>37780.T</stp>
        <stp>始値</stp>
        <tr r="L357" s="7"/>
      </tp>
      <tp t="s">
        <v>表示銘柄数超過</v>
        <stp/>
        <stp>Market</stp>
        <stp>STOCK</stp>
        <stp>37380.T</stp>
        <stp>始値</stp>
        <tr r="L348" s="7"/>
      </tp>
    </main>
    <main first="rtdsrv.662c26bade854d00aebc6010f8a2e03a">
      <tp t="s">
        <v/>
        <stp/>
        <stp>Market</stp>
        <stp>STOCK</stp>
        <stp/>
        <stp>後場始値</stp>
        <tr r="R914" s="7"/>
        <tr r="R1193" s="7"/>
        <tr r="R1197" s="7"/>
        <tr r="R1201" s="7"/>
        <tr r="R1205" s="7"/>
        <tr r="R1209" s="7"/>
        <tr r="R1213" s="7"/>
        <tr r="R1217" s="7"/>
        <tr r="R1221" s="7"/>
        <tr r="R1225" s="7"/>
        <tr r="R1229" s="7"/>
        <tr r="R1233" s="7"/>
        <tr r="R1237" s="7"/>
        <tr r="R1241" s="7"/>
        <tr r="R1245" s="7"/>
        <tr r="R1249" s="7"/>
        <tr r="R1253" s="7"/>
        <tr r="R1259" s="7"/>
        <tr r="R1260" s="7"/>
        <tr r="R1263" s="7"/>
        <tr r="R1264" s="7"/>
        <tr r="R1267" s="7"/>
        <tr r="R1194" s="7"/>
        <tr r="R1198" s="7"/>
        <tr r="R1202" s="7"/>
        <tr r="R1206" s="7"/>
        <tr r="R1210" s="7"/>
        <tr r="R1214" s="7"/>
        <tr r="R1218" s="7"/>
        <tr r="R1222" s="7"/>
        <tr r="R1226" s="7"/>
        <tr r="R1230" s="7"/>
        <tr r="R1234" s="7"/>
        <tr r="R1238" s="7"/>
        <tr r="R1242" s="7"/>
        <tr r="R1246" s="7"/>
        <tr r="R1250" s="7"/>
        <tr r="R1254" s="7"/>
        <tr r="R1255" s="7"/>
        <tr r="R1258" s="7"/>
        <tr r="R1195" s="7"/>
        <tr r="R1199" s="7"/>
        <tr r="R1203" s="7"/>
        <tr r="R1207" s="7"/>
        <tr r="R1211" s="7"/>
        <tr r="R1215" s="7"/>
        <tr r="R1219" s="7"/>
        <tr r="R1223" s="7"/>
        <tr r="R1227" s="7"/>
        <tr r="R1231" s="7"/>
        <tr r="R1235" s="7"/>
        <tr r="R1239" s="7"/>
        <tr r="R1243" s="7"/>
        <tr r="R1247" s="7"/>
        <tr r="R1251" s="7"/>
        <tr r="R1256" s="7"/>
        <tr r="R1192" s="7"/>
        <tr r="R1196" s="7"/>
        <tr r="R1200" s="7"/>
        <tr r="R1204" s="7"/>
        <tr r="R1208" s="7"/>
        <tr r="R1212" s="7"/>
        <tr r="R1216" s="7"/>
        <tr r="R1220" s="7"/>
        <tr r="R1224" s="7"/>
        <tr r="R1228" s="7"/>
        <tr r="R1232" s="7"/>
        <tr r="R1236" s="7"/>
        <tr r="R1240" s="7"/>
        <tr r="R1244" s="7"/>
        <tr r="R1248" s="7"/>
        <tr r="R1252" s="7"/>
        <tr r="R1268" s="7"/>
        <tr r="R1272" s="7"/>
        <tr r="R1271" s="7"/>
        <tr r="R1275" s="7"/>
        <tr r="R1279" s="7"/>
        <tr r="R1283" s="7"/>
        <tr r="R1287" s="7"/>
        <tr r="R1291" s="7"/>
        <tr r="R1295" s="7"/>
        <tr r="R1299" s="7"/>
        <tr r="R1303" s="7"/>
        <tr r="R1307" s="7"/>
        <tr r="R1311" s="7"/>
        <tr r="R1315" s="7"/>
        <tr r="R1319" s="7"/>
        <tr r="R1323" s="7"/>
        <tr r="R1327" s="7"/>
        <tr r="R1331" s="7"/>
        <tr r="R1335" s="7"/>
        <tr r="R1339" s="7"/>
        <tr r="R1340" s="7"/>
        <tr r="R1343" s="7"/>
        <tr r="R1344" s="7"/>
        <tr r="R1347" s="7"/>
        <tr r="R1351" s="7"/>
        <tr r="R1355" s="7"/>
        <tr r="R1359" s="7"/>
        <tr r="R1363" s="7"/>
        <tr r="R1367" s="7"/>
        <tr r="R1371" s="7"/>
        <tr r="R1375" s="7"/>
        <tr r="R1379" s="7"/>
        <tr r="R1383" s="7"/>
        <tr r="R1387" s="7"/>
        <tr r="R1391" s="7"/>
        <tr r="R1395" s="7"/>
        <tr r="R1399" s="7"/>
        <tr r="R1403" s="7"/>
        <tr r="R1407" s="7"/>
        <tr r="R1411" s="7"/>
        <tr r="R1276" s="7"/>
        <tr r="R1280" s="7"/>
        <tr r="R1284" s="7"/>
        <tr r="R1288" s="7"/>
        <tr r="R1292" s="7"/>
        <tr r="R1296" s="7"/>
        <tr r="R1300" s="7"/>
        <tr r="R1304" s="7"/>
        <tr r="R1308" s="7"/>
        <tr r="R1312" s="7"/>
        <tr r="R1316" s="7"/>
        <tr r="R1320" s="7"/>
        <tr r="R1324" s="7"/>
        <tr r="R1328" s="7"/>
        <tr r="R1332" s="7"/>
        <tr r="R1336" s="7"/>
        <tr r="R1257" s="7"/>
        <tr r="R1261" s="7"/>
        <tr r="R1265" s="7"/>
        <tr r="R1269" s="7"/>
        <tr r="R1273" s="7"/>
        <tr r="R1277" s="7"/>
        <tr r="R1281" s="7"/>
        <tr r="R1285" s="7"/>
        <tr r="R1289" s="7"/>
        <tr r="R1293" s="7"/>
        <tr r="R1297" s="7"/>
        <tr r="R1301" s="7"/>
        <tr r="R1305" s="7"/>
        <tr r="R1309" s="7"/>
        <tr r="R1313" s="7"/>
        <tr r="R1317" s="7"/>
        <tr r="R1321" s="7"/>
        <tr r="R1325" s="7"/>
        <tr r="R1329" s="7"/>
        <tr r="R1333" s="7"/>
        <tr r="R1337" s="7"/>
        <tr r="R1262" s="7"/>
        <tr r="R1266" s="7"/>
        <tr r="R1270" s="7"/>
        <tr r="R1274" s="7"/>
        <tr r="R1278" s="7"/>
        <tr r="R1282" s="7"/>
        <tr r="R1286" s="7"/>
        <tr r="R1290" s="7"/>
        <tr r="R1294" s="7"/>
        <tr r="R1298" s="7"/>
        <tr r="R1302" s="7"/>
        <tr r="R1306" s="7"/>
        <tr r="R1310" s="7"/>
        <tr r="R1314" s="7"/>
        <tr r="R1318" s="7"/>
        <tr r="R1322" s="7"/>
        <tr r="R1326" s="7"/>
        <tr r="R1330" s="7"/>
        <tr r="R1334" s="7"/>
        <tr r="R1415" s="7"/>
        <tr r="R1419" s="7"/>
        <tr r="R1423" s="7"/>
        <tr r="R1348" s="7"/>
        <tr r="R1352" s="7"/>
        <tr r="R1356" s="7"/>
        <tr r="R1360" s="7"/>
        <tr r="R1364" s="7"/>
        <tr r="R1368" s="7"/>
        <tr r="R1372" s="7"/>
        <tr r="R1376" s="7"/>
        <tr r="R1380" s="7"/>
        <tr r="R1384" s="7"/>
        <tr r="R1388" s="7"/>
        <tr r="R1392" s="7"/>
        <tr r="R1396" s="7"/>
        <tr r="R1400" s="7"/>
        <tr r="R1404" s="7"/>
        <tr r="R1408" s="7"/>
        <tr r="R1412" s="7"/>
        <tr r="R1416" s="7"/>
        <tr r="R1420" s="7"/>
        <tr r="R1424" s="7"/>
        <tr r="R1490" s="7"/>
        <tr r="R1494" s="7"/>
        <tr r="R1341" s="7"/>
        <tr r="R1345" s="7"/>
        <tr r="R1349" s="7"/>
        <tr r="R1353" s="7"/>
        <tr r="R1357" s="7"/>
        <tr r="R1361" s="7"/>
        <tr r="R1365" s="7"/>
        <tr r="R1369" s="7"/>
        <tr r="R1373" s="7"/>
        <tr r="R1377" s="7"/>
        <tr r="R1381" s="7"/>
        <tr r="R1385" s="7"/>
        <tr r="R1389" s="7"/>
        <tr r="R1393" s="7"/>
        <tr r="R1397" s="7"/>
        <tr r="R1401" s="7"/>
        <tr r="R1405" s="7"/>
        <tr r="R1409" s="7"/>
        <tr r="R1413" s="7"/>
        <tr r="R1417" s="7"/>
        <tr r="R1421" s="7"/>
        <tr r="R1426" s="7"/>
        <tr r="R1427" s="7"/>
        <tr r="R1430" s="7"/>
        <tr r="R1431" s="7"/>
        <tr r="R1434" s="7"/>
        <tr r="R1435" s="7"/>
        <tr r="R1438" s="7"/>
        <tr r="R1439" s="7"/>
        <tr r="R1440" s="7"/>
        <tr r="R1338" s="7"/>
        <tr r="R1342" s="7"/>
        <tr r="R1346" s="7"/>
        <tr r="R1350" s="7"/>
        <tr r="R1354" s="7"/>
        <tr r="R1358" s="7"/>
        <tr r="R1362" s="7"/>
        <tr r="R1366" s="7"/>
        <tr r="R1370" s="7"/>
        <tr r="R1374" s="7"/>
        <tr r="R1378" s="7"/>
        <tr r="R1382" s="7"/>
        <tr r="R1386" s="7"/>
        <tr r="R1390" s="7"/>
        <tr r="R1394" s="7"/>
        <tr r="R1398" s="7"/>
        <tr r="R1402" s="7"/>
        <tr r="R1406" s="7"/>
        <tr r="R1410" s="7"/>
        <tr r="R1414" s="7"/>
        <tr r="R1418" s="7"/>
        <tr r="R1422" s="7"/>
        <tr r="R1428" s="7"/>
        <tr r="R1432" s="7"/>
        <tr r="R1436" s="7"/>
        <tr r="R1444" s="7"/>
        <tr r="R1448" s="7"/>
        <tr r="R1452" s="7"/>
        <tr r="R1456" s="7"/>
        <tr r="R1460" s="7"/>
        <tr r="R1464" s="7"/>
        <tr r="R1468" s="7"/>
        <tr r="R1472" s="7"/>
        <tr r="R1476" s="7"/>
        <tr r="R1480" s="7"/>
        <tr r="R1484" s="7"/>
        <tr r="R1425" s="7"/>
        <tr r="R1429" s="7"/>
        <tr r="R1433" s="7"/>
        <tr r="R1437" s="7"/>
        <tr r="R1441" s="7"/>
        <tr r="R1445" s="7"/>
        <tr r="R1449" s="7"/>
        <tr r="R1453" s="7"/>
        <tr r="R1457" s="7"/>
        <tr r="R1461" s="7"/>
        <tr r="R1465" s="7"/>
        <tr r="R1469" s="7"/>
        <tr r="R1473" s="7"/>
        <tr r="R1477" s="7"/>
        <tr r="R1481" s="7"/>
        <tr r="R1485" s="7"/>
        <tr r="R1496" s="7"/>
        <tr r="R1500" s="7"/>
        <tr r="R1504" s="7"/>
        <tr r="R1508" s="7"/>
        <tr r="R1512" s="7"/>
        <tr r="R1516" s="7"/>
        <tr r="R1520" s="7"/>
        <tr r="R1524" s="7"/>
        <tr r="R1528" s="7"/>
        <tr r="R1532" s="7"/>
        <tr r="R1536" s="7"/>
        <tr r="R1540" s="7"/>
        <tr r="R1544" s="7"/>
        <tr r="R1548" s="7"/>
        <tr r="R1552" s="7"/>
        <tr r="R1556" s="7"/>
        <tr r="R1560" s="7"/>
        <tr r="R1564" s="7"/>
        <tr r="R1568" s="7"/>
        <tr r="R1572" s="7"/>
        <tr r="R1576" s="7"/>
        <tr r="R1580" s="7"/>
        <tr r="R1584" s="7"/>
        <tr r="R1588" s="7"/>
        <tr r="R1592" s="7"/>
        <tr r="R1596" s="7"/>
        <tr r="R1600" s="7"/>
        <tr r="R1604" s="7"/>
        <tr r="R1608" s="7"/>
        <tr r="R1612" s="7"/>
        <tr r="R1442" s="7"/>
        <tr r="R1446" s="7"/>
        <tr r="R1450" s="7"/>
        <tr r="R1454" s="7"/>
        <tr r="R1458" s="7"/>
        <tr r="R1462" s="7"/>
        <tr r="R1466" s="7"/>
        <tr r="R1470" s="7"/>
        <tr r="R1474" s="7"/>
        <tr r="R1478" s="7"/>
        <tr r="R1482" s="7"/>
        <tr r="R1486" s="7"/>
        <tr r="R1443" s="7"/>
        <tr r="R1447" s="7"/>
        <tr r="R1451" s="7"/>
        <tr r="R1455" s="7"/>
        <tr r="R1459" s="7"/>
        <tr r="R1463" s="7"/>
        <tr r="R1467" s="7"/>
        <tr r="R1471" s="7"/>
        <tr r="R1475" s="7"/>
        <tr r="R1479" s="7"/>
        <tr r="R1483" s="7"/>
        <tr r="R1487" s="7"/>
        <tr r="R1488" s="7"/>
        <tr r="R1489" s="7"/>
        <tr r="R1492" s="7"/>
        <tr r="R1493" s="7"/>
        <tr r="R1497" s="7"/>
        <tr r="R1501" s="7"/>
        <tr r="R1505" s="7"/>
        <tr r="R1509" s="7"/>
        <tr r="R1513" s="7"/>
        <tr r="R1517" s="7"/>
        <tr r="R1521" s="7"/>
        <tr r="R1525" s="7"/>
        <tr r="R1529" s="7"/>
        <tr r="R1533" s="7"/>
        <tr r="R1537" s="7"/>
        <tr r="R1541" s="7"/>
        <tr r="R1545" s="7"/>
        <tr r="R1549" s="7"/>
        <tr r="R1553" s="7"/>
        <tr r="R1557" s="7"/>
        <tr r="R1561" s="7"/>
        <tr r="R1565" s="7"/>
        <tr r="R1569" s="7"/>
        <tr r="R1573" s="7"/>
        <tr r="R1577" s="7"/>
        <tr r="R1581" s="7"/>
        <tr r="R1585" s="7"/>
        <tr r="R1589" s="7"/>
        <tr r="R1593" s="7"/>
        <tr r="R1597" s="7"/>
        <tr r="R1601" s="7"/>
        <tr r="R1605" s="7"/>
        <tr r="R1609" s="7"/>
        <tr r="R1613" s="7"/>
        <tr r="R1614" s="7"/>
        <tr r="R1617" s="7"/>
        <tr r="R1618" s="7"/>
        <tr r="R1621" s="7"/>
        <tr r="R1622" s="7"/>
        <tr r="R1625" s="7"/>
        <tr r="R1626" s="7"/>
        <tr r="R1629" s="7"/>
        <tr r="R1630" s="7"/>
        <tr r="R1633" s="7"/>
        <tr r="R1634" s="7"/>
        <tr r="R1637" s="7"/>
        <tr r="R1638" s="7"/>
        <tr r="R1641" s="7"/>
        <tr r="R1642" s="7"/>
        <tr r="R1645" s="7"/>
        <tr r="R1646" s="7"/>
        <tr r="R1649" s="7"/>
        <tr r="R1650" s="7"/>
        <tr r="R1653" s="7"/>
        <tr r="R1654" s="7"/>
        <tr r="R1498" s="7"/>
        <tr r="R1502" s="7"/>
        <tr r="R1506" s="7"/>
        <tr r="R1510" s="7"/>
        <tr r="R1514" s="7"/>
        <tr r="R1518" s="7"/>
        <tr r="R1522" s="7"/>
        <tr r="R1526" s="7"/>
        <tr r="R1530" s="7"/>
        <tr r="R1534" s="7"/>
        <tr r="R1538" s="7"/>
        <tr r="R1542" s="7"/>
        <tr r="R1546" s="7"/>
        <tr r="R1550" s="7"/>
        <tr r="R1554" s="7"/>
        <tr r="R1558" s="7"/>
        <tr r="R1562" s="7"/>
        <tr r="R1566" s="7"/>
        <tr r="R1570" s="7"/>
        <tr r="R1574" s="7"/>
        <tr r="R1578" s="7"/>
        <tr r="R1582" s="7"/>
        <tr r="R1586" s="7"/>
        <tr r="R1590" s="7"/>
        <tr r="R1594" s="7"/>
        <tr r="R1598" s="7"/>
        <tr r="R1602" s="7"/>
        <tr r="R1606" s="7"/>
        <tr r="R1610" s="7"/>
        <tr r="R1615" s="7"/>
        <tr r="R1619" s="7"/>
        <tr r="R1623" s="7"/>
        <tr r="R1627" s="7"/>
        <tr r="R1631" s="7"/>
        <tr r="R1635" s="7"/>
        <tr r="R1639" s="7"/>
        <tr r="R1643" s="7"/>
        <tr r="R1647" s="7"/>
        <tr r="R1651" s="7"/>
        <tr r="R1655" s="7"/>
        <tr r="R1658" s="7"/>
        <tr r="R1659" s="7"/>
        <tr r="R1662" s="7"/>
        <tr r="R1666" s="7"/>
        <tr r="R1670" s="7"/>
        <tr r="R1491" s="7"/>
        <tr r="R1495" s="7"/>
        <tr r="R1499" s="7"/>
        <tr r="R1503" s="7"/>
        <tr r="R1507" s="7"/>
        <tr r="R1511" s="7"/>
        <tr r="R1515" s="7"/>
        <tr r="R1519" s="7"/>
        <tr r="R1523" s="7"/>
        <tr r="R1527" s="7"/>
        <tr r="R1531" s="7"/>
        <tr r="R1535" s="7"/>
        <tr r="R1539" s="7"/>
        <tr r="R1543" s="7"/>
        <tr r="R1547" s="7"/>
        <tr r="R1551" s="7"/>
        <tr r="R1555" s="7"/>
        <tr r="R1559" s="7"/>
        <tr r="R1563" s="7"/>
        <tr r="R1567" s="7"/>
        <tr r="R1571" s="7"/>
        <tr r="R1575" s="7"/>
        <tr r="R1579" s="7"/>
        <tr r="R1583" s="7"/>
        <tr r="R1587" s="7"/>
        <tr r="R1591" s="7"/>
        <tr r="R1595" s="7"/>
        <tr r="R1599" s="7"/>
        <tr r="R1603" s="7"/>
        <tr r="R1607" s="7"/>
        <tr r="R1611" s="7"/>
        <tr r="R1663" s="7"/>
        <tr r="R1667" s="7"/>
        <tr r="R1671" s="7"/>
        <tr r="R1672" s="7"/>
        <tr r="R1616" s="7"/>
        <tr r="R1620" s="7"/>
        <tr r="R1624" s="7"/>
        <tr r="R1628" s="7"/>
        <tr r="R1632" s="7"/>
        <tr r="R1636" s="7"/>
        <tr r="R1640" s="7"/>
        <tr r="R1644" s="7"/>
        <tr r="R1648" s="7"/>
        <tr r="R1652" s="7"/>
        <tr r="R1656" s="7"/>
        <tr r="R1660" s="7"/>
        <tr r="R1664" s="7"/>
        <tr r="R1668" s="7"/>
        <tr r="R1673" s="7"/>
        <tr r="R1796" s="7"/>
        <tr r="R1657" s="7"/>
        <tr r="R1661" s="7"/>
        <tr r="R1665" s="7"/>
        <tr r="R1669" s="7"/>
        <tr r="R1676" s="7"/>
        <tr r="R1680" s="7"/>
        <tr r="R1684" s="7"/>
        <tr r="R1688" s="7"/>
        <tr r="R1692" s="7"/>
        <tr r="R1696" s="7"/>
        <tr r="R1700" s="7"/>
        <tr r="R1704" s="7"/>
        <tr r="R1708" s="7"/>
        <tr r="R1712" s="7"/>
        <tr r="R1716" s="7"/>
        <tr r="R1720" s="7"/>
        <tr r="R1724" s="7"/>
        <tr r="R1728" s="7"/>
        <tr r="R1732" s="7"/>
        <tr r="R1736" s="7"/>
        <tr r="R1740" s="7"/>
        <tr r="R1744" s="7"/>
        <tr r="R1748" s="7"/>
        <tr r="R1677" s="7"/>
        <tr r="R1681" s="7"/>
        <tr r="R1685" s="7"/>
        <tr r="R1689" s="7"/>
        <tr r="R1693" s="7"/>
        <tr r="R1697" s="7"/>
        <tr r="R1701" s="7"/>
        <tr r="R1705" s="7"/>
        <tr r="R1709" s="7"/>
        <tr r="R1713" s="7"/>
        <tr r="R1717" s="7"/>
        <tr r="R1721" s="7"/>
        <tr r="R1725" s="7"/>
        <tr r="R1729" s="7"/>
        <tr r="R1733" s="7"/>
        <tr r="R1737" s="7"/>
        <tr r="R1741" s="7"/>
        <tr r="R1745" s="7"/>
        <tr r="R1674" s="7"/>
        <tr r="R1678" s="7"/>
        <tr r="R1682" s="7"/>
        <tr r="R1686" s="7"/>
        <tr r="R1690" s="7"/>
        <tr r="R1694" s="7"/>
        <tr r="R1698" s="7"/>
        <tr r="R1702" s="7"/>
        <tr r="R1706" s="7"/>
        <tr r="R1710" s="7"/>
        <tr r="R1714" s="7"/>
        <tr r="R1718" s="7"/>
        <tr r="R1722" s="7"/>
        <tr r="R1726" s="7"/>
        <tr r="R1730" s="7"/>
        <tr r="R1734" s="7"/>
        <tr r="R1738" s="7"/>
        <tr r="R1742" s="7"/>
        <tr r="R1746" s="7"/>
        <tr r="R1750" s="7"/>
        <tr r="R1754" s="7"/>
        <tr r="R1758" s="7"/>
        <tr r="R1762" s="7"/>
        <tr r="R1766" s="7"/>
        <tr r="R1770" s="7"/>
        <tr r="R1837" s="7"/>
        <tr r="R1675" s="7"/>
        <tr r="R1679" s="7"/>
        <tr r="R1683" s="7"/>
        <tr r="R1687" s="7"/>
        <tr r="R1691" s="7"/>
        <tr r="R1695" s="7"/>
        <tr r="R1699" s="7"/>
        <tr r="R1703" s="7"/>
        <tr r="R1707" s="7"/>
        <tr r="R1711" s="7"/>
        <tr r="R1715" s="7"/>
        <tr r="R1719" s="7"/>
        <tr r="R1723" s="7"/>
        <tr r="R1727" s="7"/>
        <tr r="R1731" s="7"/>
        <tr r="R1735" s="7"/>
        <tr r="R1739" s="7"/>
        <tr r="R1743" s="7"/>
        <tr r="R1747" s="7"/>
        <tr r="R1751" s="7"/>
        <tr r="R1755" s="7"/>
        <tr r="R1759" s="7"/>
        <tr r="R1763" s="7"/>
        <tr r="R1767" s="7"/>
        <tr r="R1771" s="7"/>
        <tr r="R1860" s="7"/>
        <tr r="R1752" s="7"/>
        <tr r="R1756" s="7"/>
        <tr r="R1760" s="7"/>
        <tr r="R1764" s="7"/>
        <tr r="R1768" s="7"/>
        <tr r="R1772" s="7"/>
        <tr r="R1793" s="7"/>
        <tr r="R1797" s="7"/>
        <tr r="R1749" s="7"/>
        <tr r="R1753" s="7"/>
        <tr r="R1757" s="7"/>
        <tr r="R1761" s="7"/>
        <tr r="R1765" s="7"/>
        <tr r="R1769" s="7"/>
        <tr r="R1773" s="7"/>
        <tr r="R1775" s="7"/>
        <tr r="R1776" s="7"/>
        <tr r="R1779" s="7"/>
        <tr r="R1780" s="7"/>
        <tr r="R1783" s="7"/>
        <tr r="R1784" s="7"/>
        <tr r="R1787" s="7"/>
        <tr r="R1788" s="7"/>
        <tr r="R1791" s="7"/>
        <tr r="R1792" s="7"/>
        <tr r="R1795" s="7"/>
        <tr r="R1832" s="7"/>
        <tr r="R1879" s="7"/>
        <tr r="R1777" s="7"/>
        <tr r="R1781" s="7"/>
        <tr r="R1785" s="7"/>
        <tr r="R1789" s="7"/>
        <tr r="R1833" s="7"/>
        <tr r="R1841" s="7"/>
        <tr r="R1774" s="7"/>
        <tr r="R1778" s="7"/>
        <tr r="R1782" s="7"/>
        <tr r="R1786" s="7"/>
        <tr r="R1790" s="7"/>
        <tr r="R1799" s="7"/>
        <tr r="R1800" s="7"/>
        <tr r="R1803" s="7"/>
        <tr r="R1804" s="7"/>
        <tr r="R1807" s="7"/>
        <tr r="R1808" s="7"/>
        <tr r="R1811" s="7"/>
        <tr r="R1812" s="7"/>
        <tr r="R1815" s="7"/>
        <tr r="R1816" s="7"/>
        <tr r="R1819" s="7"/>
        <tr r="R1820" s="7"/>
        <tr r="R1823" s="7"/>
        <tr r="R1824" s="7"/>
        <tr r="R1827" s="7"/>
        <tr r="R1828" s="7"/>
        <tr r="R1829" s="7"/>
        <tr r="R1801" s="7"/>
        <tr r="R1805" s="7"/>
        <tr r="R1809" s="7"/>
        <tr r="R1813" s="7"/>
        <tr r="R1817" s="7"/>
        <tr r="R1821" s="7"/>
        <tr r="R1825" s="7"/>
        <tr r="R1863" s="7"/>
        <tr r="R1794" s="7"/>
        <tr r="R1798" s="7"/>
        <tr r="R1802" s="7"/>
        <tr r="R1806" s="7"/>
        <tr r="R1810" s="7"/>
        <tr r="R1814" s="7"/>
        <tr r="R1818" s="7"/>
        <tr r="R1822" s="7"/>
        <tr r="R1826" s="7"/>
        <tr r="R1871" s="7"/>
        <tr r="R1830" s="7"/>
        <tr r="R1834" s="7"/>
        <tr r="R1838" s="7"/>
        <tr r="R1842" s="7"/>
        <tr r="R1846" s="7"/>
        <tr r="R1847" s="7"/>
        <tr r="R1850" s="7"/>
        <tr r="R1851" s="7"/>
        <tr r="R1854" s="7"/>
        <tr r="R1855" s="7"/>
        <tr r="R1858" s="7"/>
        <tr r="R1859" s="7"/>
        <tr r="R1831" s="7"/>
        <tr r="R1835" s="7"/>
        <tr r="R1839" s="7"/>
        <tr r="R1843" s="7"/>
        <tr r="R1867" s="7"/>
        <tr r="R1875" s="7"/>
        <tr r="R1836" s="7"/>
        <tr r="R1840" s="7"/>
        <tr r="R1844" s="7"/>
        <tr r="R1848" s="7"/>
        <tr r="R1852" s="7"/>
        <tr r="R1856" s="7"/>
        <tr r="R1845" s="7"/>
        <tr r="R1849" s="7"/>
        <tr r="R1853" s="7"/>
        <tr r="R1857" s="7"/>
        <tr r="R1864" s="7"/>
        <tr r="R1868" s="7"/>
        <tr r="R1872" s="7"/>
        <tr r="R1876" s="7"/>
        <tr r="R1880" s="7"/>
        <tr r="R1861" s="7"/>
        <tr r="R1865" s="7"/>
        <tr r="R1869" s="7"/>
        <tr r="R1873" s="7"/>
        <tr r="R1877" s="7"/>
        <tr r="R1881" s="7"/>
        <tr r="R1862" s="7"/>
        <tr r="R1866" s="7"/>
        <tr r="R1870" s="7"/>
        <tr r="R1874" s="7"/>
        <tr r="R1878" s="7"/>
      </tp>
    </main>
    <main first="rtdsrv.662c26bade854d00aebc6010f8a2e03a">
      <tp t="s">
        <v>表示銘柄数超過</v>
        <stp/>
        <stp>Market</stp>
        <stp>STOCK</stp>
        <stp>88930.T</stp>
        <stp>始値</stp>
        <tr r="L1059" s="7"/>
      </tp>
      <tp t="s">
        <v>表示銘柄数超過</v>
        <stp/>
        <stp>Market</stp>
        <stp>STOCK</stp>
        <stp>89230.T</stp>
        <stp>始値</stp>
        <tr r="L1065" s="7"/>
      </tp>
      <tp>
        <v>626</v>
        <stp/>
        <stp>Market</stp>
        <stp>STOCK</stp>
        <stp>82030.T</stp>
        <stp>始値</stp>
        <tr r="L991" s="7"/>
      </tp>
      <tp>
        <v>1403</v>
        <stp/>
        <stp>Market</stp>
        <stp>STOCK</stp>
        <stp>83830.T</stp>
        <stp>始値</stp>
        <tr r="L1008" s="7"/>
      </tp>
      <tp>
        <v>3302</v>
        <stp/>
        <stp>Market</stp>
        <stp>STOCK</stp>
        <stp>80530.T</stp>
        <stp>始値</stp>
        <tr r="L970" s="7"/>
      </tp>
      <tp>
        <v>3490</v>
        <stp/>
        <stp>Market</stp>
        <stp>STOCK</stp>
        <stp>81530.T</stp>
        <stp>始値</stp>
        <tr r="L985" s="7"/>
      </tp>
      <tp>
        <v>289</v>
        <stp/>
        <stp>Market</stp>
        <stp>STOCK</stp>
        <stp>81430.T</stp>
        <stp>始値</stp>
        <tr r="L983" s="7"/>
      </tp>
      <tp>
        <v>2378</v>
        <stp/>
        <stp>Market</stp>
        <stp>STOCK</stp>
        <stp>81730.T</stp>
        <stp>始値</stp>
        <tr r="L987" s="7"/>
      </tp>
      <tp>
        <v>707</v>
        <stp/>
        <stp>Market</stp>
        <stp>STOCK</stp>
        <stp>81030.T</stp>
        <stp>始値</stp>
        <tr r="L976" s="7"/>
      </tp>
      <tp>
        <v>1547</v>
        <stp/>
        <stp>Market</stp>
        <stp>STOCK</stp>
        <stp>81330.T</stp>
        <stp>始値</stp>
        <tr r="L980" s="7"/>
      </tp>
      <tp>
        <v>924</v>
        <stp/>
        <stp>Market</stp>
        <stp>STOCK</stp>
        <stp>86130.T</stp>
        <stp>始値</stp>
        <tr r="L1028" s="7"/>
      </tp>
      <tp t="s">
        <v>表示銘柄数超過</v>
        <stp/>
        <stp>Market</stp>
        <stp>STOCK</stp>
        <stp>87930.T</stp>
        <stp>始値</stp>
        <tr r="L1049" s="7"/>
      </tp>
      <tp t="s">
        <v>表示銘柄数超過</v>
        <stp/>
        <stp>Market</stp>
        <stp>STOCK</stp>
        <stp>87830.T</stp>
        <stp>始値</stp>
        <tr r="L1047" s="7"/>
      </tp>
      <tp>
        <v>3660</v>
        <stp/>
        <stp>Market</stp>
        <stp>STOCK</stp>
        <stp>84730.T</stp>
        <stp>始値</stp>
        <tr r="L1013" s="7"/>
      </tp>
      <tp>
        <v>1046.5</v>
        <stp/>
        <stp>Market</stp>
        <stp>STOCK</stp>
        <stp>85930.T</stp>
        <stp>始値</stp>
        <tr r="L1024" s="7"/>
      </tp>
      <tp t="s">
        <v>表示銘柄数超過</v>
        <stp/>
        <stp>Market</stp>
        <stp>STOCK</stp>
        <stp>98530.T</stp>
        <stp>始値</stp>
        <tr r="L1173" s="7"/>
      </tp>
      <tp t="s">
        <v>表示銘柄数超過</v>
        <stp/>
        <stp>Market</stp>
        <stp>STOCK</stp>
        <stp>99730.T</stp>
        <stp>始値</stp>
        <tr r="L1186" s="7"/>
      </tp>
      <tp t="s">
        <v>表示銘柄数超過</v>
        <stp/>
        <stp>Market</stp>
        <stp>STOCK</stp>
        <stp>92630.T</stp>
        <stp>始値</stp>
        <tr r="L1104" s="7"/>
      </tp>
      <tp t="s">
        <v>表示銘柄数超過</v>
        <stp/>
        <stp>Market</stp>
        <stp>STOCK</stp>
        <stp>92130.T</stp>
        <stp>始値</stp>
        <tr r="L1099" s="7"/>
      </tp>
      <tp t="s">
        <v>表示銘柄数超過</v>
        <stp/>
        <stp>Market</stp>
        <stp>STOCK</stp>
        <stp>90630.T</stp>
        <stp>始値</stp>
        <tr r="L1090" s="7"/>
      </tp>
      <tp t="s">
        <v>表示銘柄数超過</v>
        <stp/>
        <stp>Market</stp>
        <stp>STOCK</stp>
        <stp>90030.T</stp>
        <stp>始値</stp>
        <tr r="L1074" s="7"/>
      </tp>
      <tp t="s">
        <v>表示銘柄数超過</v>
        <stp/>
        <stp>Market</stp>
        <stp>STOCK</stp>
        <stp>90330.T</stp>
        <stp>始値</stp>
        <tr r="L1084" s="7"/>
      </tp>
      <tp t="s">
        <v>表示銘柄数超過</v>
        <stp/>
        <stp>Market</stp>
        <stp>STOCK</stp>
        <stp>96130.T</stp>
        <stp>始値</stp>
        <tr r="L1160" s="7"/>
      </tp>
      <tp t="s">
        <v>表示銘柄数超過</v>
        <stp/>
        <stp>Market</stp>
        <stp>STOCK</stp>
        <stp>96030.T</stp>
        <stp>始値</stp>
        <tr r="L1158" s="7"/>
      </tp>
      <tp t="s">
        <v>表示銘柄数超過</v>
        <stp/>
        <stp>Market</stp>
        <stp>STOCK</stp>
        <stp>97830.T</stp>
        <stp>始値</stp>
        <tr r="L1167" s="7"/>
      </tp>
      <tp t="s">
        <v>表示銘柄数超過</v>
        <stp/>
        <stp>Market</stp>
        <stp>STOCK</stp>
        <stp>97230.T</stp>
        <stp>始値</stp>
        <tr r="L1163" s="7"/>
      </tp>
      <tp t="s">
        <v>表示銘柄数超過</v>
        <stp/>
        <stp>Market</stp>
        <stp>STOCK</stp>
        <stp>94130.T</stp>
        <stp>始値</stp>
        <tr r="L1119" s="7"/>
      </tp>
      <tp t="s">
        <v>表示銘柄数超過</v>
        <stp/>
        <stp>Market</stp>
        <stp>STOCK</stp>
        <stp>94330.T</stp>
        <stp>始値</stp>
        <tr r="L1128" s="7"/>
      </tp>
      <tp t="s">
        <v>表示銘柄数超過</v>
        <stp/>
        <stp>Market</stp>
        <stp>STOCK</stp>
        <stp>94230.T</stp>
        <stp>始値</stp>
        <tr r="L1124" s="7"/>
      </tp>
      <tp t="s">
        <v>表示銘柄数超過</v>
        <stp/>
        <stp>Market</stp>
        <stp>STOCK</stp>
        <stp>95530.T</stp>
        <stp>始値</stp>
        <tr r="L1155" s="7"/>
      </tp>
      <tp t="s">
        <v>表示銘柄数超過</v>
        <stp/>
        <stp>Market</stp>
        <stp>STOCK</stp>
        <stp>95030.T</stp>
        <stp>始値</stp>
        <tr r="L1142" s="7"/>
      </tp>
      <tp t="s">
        <v>表示銘柄数超過</v>
        <stp/>
        <stp>Market</stp>
        <stp>STOCK</stp>
        <stp>48830.T</stp>
        <stp>始値</stp>
        <tr r="L546" s="7"/>
      </tp>
      <tp t="s">
        <v>表示銘柄数超過</v>
        <stp/>
        <stp>Market</stp>
        <stp>STOCK</stp>
        <stp>48330.T</stp>
        <stp>始値</stp>
        <tr r="L541" s="7"/>
      </tp>
      <tp t="s">
        <v>表示銘柄数超過</v>
        <stp/>
        <stp>Market</stp>
        <stp>STOCK</stp>
        <stp>49630.T</stp>
        <stp>始値</stp>
        <tr r="L555" s="7"/>
      </tp>
      <tp t="s">
        <v>表示銘柄数超過</v>
        <stp/>
        <stp>Market</stp>
        <stp>STOCK</stp>
        <stp>42930.T</stp>
        <stp>始値</stp>
        <tr r="L439" s="7"/>
      </tp>
      <tp t="s">
        <v>表示銘柄数超過</v>
        <stp/>
        <stp>Market</stp>
        <stp>STOCK</stp>
        <stp>42430.T</stp>
        <stp>始値</stp>
        <tr r="L430" s="7"/>
      </tp>
      <tp t="s">
        <v>表示銘柄数超過</v>
        <stp/>
        <stp>Market</stp>
        <stp>STOCK</stp>
        <stp>43430.T</stp>
        <stp>始値</stp>
        <tr r="L445" s="7"/>
      </tp>
      <tp t="s">
        <v>表示銘柄数超過</v>
        <stp/>
        <stp>Market</stp>
        <stp>STOCK</stp>
        <stp>43730.T</stp>
        <stp>始値</stp>
        <tr r="L450" s="7"/>
      </tp>
      <tp t="s">
        <v>表示銘柄数超過</v>
        <stp/>
        <stp>Market</stp>
        <stp>STOCK</stp>
        <stp>40630.T</stp>
        <stp>始値</stp>
        <tr r="L415" s="7"/>
      </tp>
      <tp t="s">
        <v>表示銘柄数超過</v>
        <stp/>
        <stp>Market</stp>
        <stp>STOCK</stp>
        <stp>46130.T</stp>
        <stp>始値</stp>
        <tr r="L510" s="7"/>
      </tp>
      <tp t="s">
        <v>表示銘柄数超過</v>
        <stp/>
        <stp>Market</stp>
        <stp>STOCK</stp>
        <stp>45930.T</stp>
        <stp>始値</stp>
        <tr r="L504" s="7"/>
      </tp>
      <tp t="s">
        <v>表示銘柄数超過</v>
        <stp/>
        <stp>Market</stp>
        <stp>STOCK</stp>
        <stp>45830.T</stp>
        <stp>始値</stp>
        <tr r="L498" s="7"/>
      </tp>
      <tp t="s">
        <v>表示銘柄数超過</v>
        <stp/>
        <stp>Market</stp>
        <stp>STOCK</stp>
        <stp>45630.T</stp>
        <stp>始値</stp>
        <tr r="L486" s="7"/>
      </tp>
      <tp t="s">
        <v>表示銘柄数超過</v>
        <stp/>
        <stp>Market</stp>
        <stp>STOCK</stp>
        <stp>45030.T</stp>
        <stp>始値</stp>
        <tr r="L479" s="7"/>
      </tp>
      <tp t="s">
        <v>表示銘柄数超過</v>
        <stp/>
        <stp>Market</stp>
        <stp>STOCK</stp>
        <stp>45230.T</stp>
        <stp>始値</stp>
        <tr r="L482" s="7"/>
      </tp>
      <tp>
        <v>1225.5</v>
        <stp/>
        <stp>Market</stp>
        <stp>STOCK</stp>
        <stp>58030.T</stp>
        <stp>始値</stp>
        <tr r="L613" s="7"/>
      </tp>
      <tp>
        <v>2894</v>
        <stp/>
        <stp>Market</stp>
        <stp>STOCK</stp>
        <stp>52530.T</stp>
        <stp>始値</stp>
        <tr r="L580" s="7"/>
      </tp>
      <tp>
        <v>577</v>
        <stp/>
        <stp>Market</stp>
        <stp>STOCK</stp>
        <stp>52430.T</stp>
        <stp>始値</stp>
        <tr r="L577" s="7"/>
      </tp>
      <tp>
        <v>44</v>
        <stp/>
        <stp>Market</stp>
        <stp>STOCK</stp>
        <stp>51030.T</stp>
        <stp>始値</stp>
        <tr r="L567" s="7"/>
      </tp>
      <tp>
        <v>291</v>
        <stp/>
        <stp>Market</stp>
        <stp>STOCK</stp>
        <stp>51330.T</stp>
        <stp>始値</stp>
        <tr r="L573" s="7"/>
      </tp>
      <tp>
        <v>1717</v>
        <stp/>
        <stp>Market</stp>
        <stp>STOCK</stp>
        <stp>57030.T</stp>
        <stp>始値</stp>
        <tr r="L605" s="7"/>
      </tp>
      <tp>
        <v>1725</v>
        <stp/>
        <stp>Market</stp>
        <stp>STOCK</stp>
        <stp>54230.T</stp>
        <stp>始値</stp>
        <tr r="L595" s="7"/>
      </tp>
      <tp>
        <v>281</v>
        <stp/>
        <stp>Market</stp>
        <stp>STOCK</stp>
        <stp>55630.T</stp>
        <stp>始値</stp>
        <tr r="L599" s="7"/>
      </tp>
      <tp>
        <v>1356</v>
        <stp/>
        <stp>Market</stp>
        <stp>STOCK</stp>
        <stp>68630.T</stp>
        <stp>始値</stp>
        <tr r="L780" s="7"/>
      </tp>
      <tp>
        <v>99</v>
        <stp/>
        <stp>Market</stp>
        <stp>STOCK</stp>
        <stp>68030.T</stp>
        <stp>始値</stp>
        <tr r="L773" s="7"/>
      </tp>
      <tp>
        <v>40</v>
        <stp/>
        <stp>Market</stp>
        <stp>STOCK</stp>
        <stp>69930.T</stp>
        <stp>始値</stp>
        <tr r="L801" s="7"/>
      </tp>
      <tp>
        <v>2687.5</v>
        <stp/>
        <stp>Market</stp>
        <stp>STOCK</stp>
        <stp>69230.T</stp>
        <stp>始値</stp>
        <tr r="L788" s="7"/>
      </tp>
      <tp>
        <v>771</v>
        <stp/>
        <stp>Market</stp>
        <stp>STOCK</stp>
        <stp>62030.T</stp>
        <stp>始値</stp>
        <tr r="L677" s="7"/>
      </tp>
      <tp>
        <v>540</v>
        <stp/>
        <stp>Market</stp>
        <stp>STOCK</stp>
        <stp>62330.T</stp>
        <stp>始値</stp>
        <tr r="L680" s="7"/>
      </tp>
      <tp>
        <v>2846</v>
        <stp/>
        <stp>Market</stp>
        <stp>STOCK</stp>
        <stp>63830.T</stp>
        <stp>始値</stp>
        <tr r="L697" s="7"/>
      </tp>
      <tp>
        <v>105</v>
        <stp/>
        <stp>Market</stp>
        <stp>STOCK</stp>
        <stp>63430.T</stp>
        <stp>始値</stp>
        <tr r="L691" s="7"/>
      </tp>
      <tp>
        <v>142</v>
        <stp/>
        <stp>Market</stp>
        <stp>STOCK</stp>
        <stp>60930.T</stp>
        <stp>始値</stp>
        <tr r="L652" s="7"/>
      </tp>
      <tp>
        <v>1676</v>
        <stp/>
        <stp>Market</stp>
        <stp>STOCK</stp>
        <stp>60730.T</stp>
        <stp>始値</stp>
        <tr r="L648" s="7"/>
      </tp>
      <tp>
        <v>1215</v>
        <stp/>
        <stp>Market</stp>
        <stp>STOCK</stp>
        <stp>60230.T</stp>
        <stp>始値</stp>
        <tr r="L636" s="7"/>
      </tp>
      <tp>
        <v>540</v>
        <stp/>
        <stp>Market</stp>
        <stp>STOCK</stp>
        <stp>61730.T</stp>
        <stp>始値</stp>
        <tr r="L663" s="7"/>
      </tp>
      <tp>
        <v>1560</v>
        <stp/>
        <stp>Market</stp>
        <stp>STOCK</stp>
        <stp>61130.T</stp>
        <stp>始値</stp>
        <tr r="L656" s="7"/>
      </tp>
      <tp>
        <v>547</v>
        <stp/>
        <stp>Market</stp>
        <stp>STOCK</stp>
        <stp>66130.T</stp>
        <stp>始値</stp>
        <tr r="L736" s="7"/>
      </tp>
      <tp>
        <v>318</v>
        <stp/>
        <stp>Market</stp>
        <stp>STOCK</stp>
        <stp>66330.T</stp>
        <stp>始値</stp>
        <tr r="L742" s="7"/>
      </tp>
      <tp>
        <v>915.7</v>
        <stp/>
        <stp>Market</stp>
        <stp>STOCK</stp>
        <stp>67530.T</stp>
        <stp>始値</stp>
        <tr r="L765" s="7"/>
      </tp>
      <tp>
        <v>2415.5</v>
        <stp/>
        <stp>Market</stp>
        <stp>STOCK</stp>
        <stp>67230.T</stp>
        <stp>始値</stp>
        <tr r="L757" s="7"/>
      </tp>
      <tp>
        <v>371</v>
        <stp/>
        <stp>Market</stp>
        <stp>STOCK</stp>
        <stp>64930.T</stp>
        <stp>始値</stp>
        <tr r="L709" s="7"/>
      </tp>
      <tp>
        <v>261</v>
        <stp/>
        <stp>Market</stp>
        <stp>STOCK</stp>
        <stp>64330.T</stp>
        <stp>始値</stp>
        <tr r="L701" s="7"/>
      </tp>
      <tp>
        <v>626</v>
        <stp/>
        <stp>Market</stp>
        <stp>STOCK</stp>
        <stp>65430.T</stp>
        <stp>始値</stp>
        <tr r="L721" s="7"/>
      </tp>
      <tp>
        <v>351</v>
        <stp/>
        <stp>Market</stp>
        <stp>STOCK</stp>
        <stp>65730.T</stp>
        <stp>始値</stp>
        <tr r="L729" s="7"/>
      </tp>
      <tp>
        <v>1214</v>
        <stp/>
        <stp>Market</stp>
        <stp>STOCK</stp>
        <stp>65130.T</stp>
        <stp>始値</stp>
        <tr r="L718" s="7"/>
      </tp>
      <tp>
        <v>2068.5</v>
        <stp/>
        <stp>Market</stp>
        <stp>STOCK</stp>
        <stp>65030.T</stp>
        <stp>始値</stp>
        <tr r="L715" s="7"/>
      </tp>
      <tp>
        <v>802</v>
        <stp/>
        <stp>Market</stp>
        <stp>STOCK</stp>
        <stp>78230.T</stp>
        <stp>始値</stp>
        <tr r="L941" s="7"/>
      </tp>
      <tp>
        <v>400</v>
        <stp/>
        <stp>Market</stp>
        <stp>STOCK</stp>
        <stp>79530.T</stp>
        <stp>始値</stp>
        <tr r="L958" s="7"/>
      </tp>
      <tp>
        <v>1405</v>
        <stp/>
        <stp>Market</stp>
        <stp>STOCK</stp>
        <stp>72830.T</stp>
        <stp>始値</stp>
        <tr r="L870" s="7"/>
      </tp>
      <tp>
        <v>685</v>
        <stp/>
        <stp>Market</stp>
        <stp>STOCK</stp>
        <stp>72130.T</stp>
        <stp>始値</stp>
        <tr r="L850" s="7"/>
      </tp>
      <tp>
        <v>3195</v>
        <stp/>
        <stp>Market</stp>
        <stp>STOCK</stp>
        <stp>72030.T</stp>
        <stp>始値</stp>
        <tr r="L846" s="7"/>
      </tp>
      <tp>
        <v>159</v>
        <stp/>
        <stp>Market</stp>
        <stp>STOCK</stp>
        <stp>73830.T</stp>
        <stp>始値</stp>
        <tr r="L884" s="7"/>
      </tp>
      <tp>
        <v>920</v>
        <stp/>
        <stp>Market</stp>
        <stp>STOCK</stp>
        <stp>73530.T</stp>
        <stp>始値</stp>
        <tr r="L879" s="7"/>
      </tp>
      <tp>
        <v>950</v>
        <stp/>
        <stp>Market</stp>
        <stp>STOCK</stp>
        <stp>70430.T</stp>
        <stp>始値</stp>
        <tr r="L813" s="7"/>
      </tp>
      <tp>
        <v>1216</v>
        <stp/>
        <stp>Market</stp>
        <stp>STOCK</stp>
        <stp>70630.T</stp>
        <stp>始値</stp>
        <tr r="L821" s="7"/>
      </tp>
      <tp>
        <v>2761</v>
        <stp/>
        <stp>Market</stp>
        <stp>STOCK</stp>
        <stp>70130.T</stp>
        <stp>始値</stp>
        <tr r="L808" s="7"/>
      </tp>
      <tp>
        <v>751</v>
        <stp/>
        <stp>Market</stp>
        <stp>STOCK</stp>
        <stp>70030.T</stp>
        <stp>始値</stp>
        <tr r="L804" s="7"/>
      </tp>
      <tp>
        <v>258</v>
        <stp/>
        <stp>Market</stp>
        <stp>STOCK</stp>
        <stp>71830.T</stp>
        <stp>始値</stp>
        <tr r="L840" s="7"/>
      </tp>
      <tp>
        <v>1717</v>
        <stp/>
        <stp>Market</stp>
        <stp>STOCK</stp>
        <stp>71630.T</stp>
        <stp>始値</stp>
        <tr r="L833" s="7"/>
      </tp>
      <tp>
        <v>593</v>
        <stp/>
        <stp>Market</stp>
        <stp>STOCK</stp>
        <stp>76230.T</stp>
        <stp>始値</stp>
        <tr r="L915" s="7"/>
      </tp>
      <tp>
        <v>2105.5</v>
        <stp/>
        <stp>Market</stp>
        <stp>STOCK</stp>
        <stp>74530.T</stp>
        <stp>始値</stp>
        <tr r="L890" s="7"/>
      </tp>
      <tp t="s">
        <v>表示銘柄数超過</v>
        <stp/>
        <stp>Market</stp>
        <stp>STOCK</stp>
        <stp>25935.T</stp>
        <stp>始値</stp>
        <tr r="L167" s="7"/>
      </tp>
      <tp>
        <v>530</v>
        <stp/>
        <stp>Market</stp>
        <stp>STOCK</stp>
        <stp>75930.T</stp>
        <stp>始値</stp>
        <tr r="L908" s="7"/>
      </tp>
      <tp>
        <v>745</v>
        <stp/>
        <stp>Market</stp>
        <stp>STOCK</stp>
        <stp>75130.T</stp>
        <stp>始値</stp>
        <tr r="L897" s="7"/>
      </tp>
      <tp>
        <v>1205</v>
        <stp/>
        <stp>Market</stp>
        <stp>STOCK</stp>
        <stp>75230.T</stp>
        <stp>始値</stp>
        <tr r="L900" s="7"/>
      </tp>
      <tp t="s">
        <v>表示銘柄数超過</v>
        <stp/>
        <stp>Market</stp>
        <stp>STOCK</stp>
        <stp>18930.T</stp>
        <stp>始値</stp>
        <tr r="L70" s="7"/>
      </tp>
      <tp t="s">
        <v>表示銘柄数超過</v>
        <stp/>
        <stp>Market</stp>
        <stp>STOCK</stp>
        <stp>18030.T</stp>
        <stp>始値</stp>
        <tr r="L58" s="7"/>
      </tp>
      <tp t="s">
        <v>表示銘柄数超過</v>
        <stp/>
        <stp>Market</stp>
        <stp>STOCK</stp>
        <stp>13330.T</stp>
        <stp>始値</stp>
        <tr r="L9" s="7"/>
      </tp>
      <tp t="s">
        <v>表示銘柄数超過</v>
        <stp/>
        <stp>Market</stp>
        <stp>STOCK</stp>
        <stp>17830.T</stp>
        <stp>始値</stp>
        <tr r="L56" s="7"/>
      </tp>
      <tp t="s">
        <v>表示銘柄数超過</v>
        <stp/>
        <stp>Market</stp>
        <stp>STOCK</stp>
        <stp>17430.T</stp>
        <stp>始値</stp>
        <tr r="L53" s="7"/>
      </tp>
      <tp t="s">
        <v>表示銘柄数超過</v>
        <stp/>
        <stp>Market</stp>
        <stp>STOCK</stp>
        <stp>15630.T</stp>
        <stp>始値</stp>
        <tr r="L33" s="7"/>
      </tp>
      <tp t="s">
        <v>表示銘柄数超過</v>
        <stp/>
        <stp>Market</stp>
        <stp>STOCK</stp>
        <stp>28530.T</stp>
        <stp>始値</stp>
        <tr r="L205" s="7"/>
      </tp>
      <tp t="s">
        <v>表示銘柄数超過</v>
        <stp/>
        <stp>Market</stp>
        <stp>STOCK</stp>
        <stp>29930.T</stp>
        <stp>始値</stp>
        <tr r="L219" s="7"/>
      </tp>
      <tp t="s">
        <v>表示銘柄数超過</v>
        <stp/>
        <stp>Market</stp>
        <stp>STOCK</stp>
        <stp>22530.T</stp>
        <stp>始値</stp>
        <tr r="L110" s="7"/>
      </tp>
      <tp t="s">
        <v>表示銘柄数超過</v>
        <stp/>
        <stp>Market</stp>
        <stp>STOCK</stp>
        <stp>23530.T</stp>
        <stp>始値</stp>
        <tr r="L124" s="7"/>
      </tp>
      <tp t="s">
        <v>表示銘柄数超過</v>
        <stp/>
        <stp>Market</stp>
        <stp>STOCK</stp>
        <stp>23730.T</stp>
        <stp>始値</stp>
        <tr r="L127" s="7"/>
      </tp>
      <tp t="s">
        <v>表示銘柄数超過</v>
        <stp/>
        <stp>Market</stp>
        <stp>STOCK</stp>
        <stp>23230.T</stp>
        <stp>始値</stp>
        <tr r="L116" s="7"/>
      </tp>
      <tp t="s">
        <v>表示銘柄数超過</v>
        <stp/>
        <stp>Market</stp>
        <stp>STOCK</stp>
        <stp>26930.T</stp>
        <stp>始値</stp>
        <tr r="L183" s="7"/>
      </tp>
      <tp t="s">
        <v>表示銘柄数超過</v>
        <stp/>
        <stp>Market</stp>
        <stp>STOCK</stp>
        <stp>26330.T</stp>
        <stp>始値</stp>
        <tr r="L172" s="7"/>
      </tp>
      <tp t="s">
        <v>表示銘柄数超過</v>
        <stp/>
        <stp>Market</stp>
        <stp>STOCK</stp>
        <stp>27430.T</stp>
        <stp>始値</stp>
        <tr r="L191" s="7"/>
      </tp>
      <tp t="s">
        <v>表示銘柄数超過</v>
        <stp/>
        <stp>Market</stp>
        <stp>STOCK</stp>
        <stp>24830.T</stp>
        <stp>始値</stp>
        <tr r="L151" s="7"/>
      </tp>
      <tp t="s">
        <v>表示銘柄数超過</v>
        <stp/>
        <stp>Market</stp>
        <stp>STOCK</stp>
        <stp>24530.T</stp>
        <stp>始値</stp>
        <tr r="L146" s="7"/>
      </tp>
      <tp t="s">
        <v>表示銘柄数超過</v>
        <stp/>
        <stp>Market</stp>
        <stp>STOCK</stp>
        <stp>24330.T</stp>
        <stp>始値</stp>
        <tr r="L141" s="7"/>
      </tp>
      <tp t="s">
        <v>表示銘柄数超過</v>
        <stp/>
        <stp>Market</stp>
        <stp>STOCK</stp>
        <stp>25630.T</stp>
        <stp>始値</stp>
        <tr r="L161" s="7"/>
      </tp>
      <tp t="s">
        <v>表示銘柄数超過</v>
        <stp/>
        <stp>Market</stp>
        <stp>STOCK</stp>
        <stp>25330.T</stp>
        <stp>始値</stp>
        <tr r="L160" s="7"/>
      </tp>
      <tp t="s">
        <v>表示銘柄数超過</v>
        <stp/>
        <stp>Market</stp>
        <stp>STOCK</stp>
        <stp>38530.T</stp>
        <stp>始値</stp>
        <tr r="L376" s="7"/>
      </tp>
      <tp t="s">
        <v>表示銘柄数超過</v>
        <stp/>
        <stp>Market</stp>
        <stp>STOCK</stp>
        <stp>38630.T</stp>
        <stp>始値</stp>
        <tr r="L380" s="7"/>
      </tp>
      <tp t="s">
        <v>表示銘柄数超過</v>
        <stp/>
        <stp>Market</stp>
        <stp>STOCK</stp>
        <stp>38230.T</stp>
        <stp>始値</stp>
        <tr r="L366" s="7"/>
      </tp>
      <tp t="s">
        <v>表示銘柄数超過</v>
        <stp/>
        <stp>Market</stp>
        <stp>STOCK</stp>
        <stp>39630.T</stp>
        <stp>始値</stp>
        <tr r="L400" s="7"/>
      </tp>
      <tp t="s">
        <v>表示銘柄数超過</v>
        <stp/>
        <stp>Market</stp>
        <stp>STOCK</stp>
        <stp>39030.T</stp>
        <stp>始値</stp>
        <tr r="L386" s="7"/>
      </tp>
      <tp t="s">
        <v>表示銘柄数超過</v>
        <stp/>
        <stp>Market</stp>
        <stp>STOCK</stp>
        <stp>33330.T</stp>
        <stp>始値</stp>
        <tr r="L281" s="7"/>
      </tp>
      <tp t="s">
        <v>表示銘柄数超過</v>
        <stp/>
        <stp>Market</stp>
        <stp>STOCK</stp>
        <stp>33230.T</stp>
        <stp>始値</stp>
        <tr r="L278" s="7"/>
      </tp>
      <tp t="s">
        <v>表示銘柄数超過</v>
        <stp/>
        <stp>Market</stp>
        <stp>STOCK</stp>
        <stp>30830.T</stp>
        <stp>始値</stp>
        <tr r="L238" s="7"/>
      </tp>
      <tp t="s">
        <v>表示銘柄数超過</v>
        <stp/>
        <stp>Market</stp>
        <stp>STOCK</stp>
        <stp>30530.T</stp>
        <stp>始値</stp>
        <tr r="L233" s="7"/>
      </tp>
      <tp t="s">
        <v>表示銘柄数超過</v>
        <stp/>
        <stp>Market</stp>
        <stp>STOCK</stp>
        <stp>30030.T</stp>
        <stp>始値</stp>
        <tr r="L221" s="7"/>
      </tp>
      <tp t="s">
        <v>表示銘柄数超過</v>
        <stp/>
        <stp>Market</stp>
        <stp>STOCK</stp>
        <stp>31130.T</stp>
        <stp>始値</stp>
        <tr r="L243" s="7"/>
      </tp>
      <tp t="s">
        <v>表示銘柄数超過</v>
        <stp/>
        <stp>Market</stp>
        <stp>STOCK</stp>
        <stp>31030.T</stp>
        <stp>始値</stp>
        <tr r="L242" s="7"/>
      </tp>
      <tp t="s">
        <v>表示銘柄数超過</v>
        <stp/>
        <stp>Market</stp>
        <stp>STOCK</stp>
        <stp>31330.T</stp>
        <stp>始値</stp>
        <tr r="L245" s="7"/>
      </tp>
      <tp t="s">
        <v>表示銘柄数超過</v>
        <stp/>
        <stp>Market</stp>
        <stp>STOCK</stp>
        <stp>36830.T</stp>
        <stp>始値</stp>
        <tr r="L339" s="7"/>
      </tp>
      <tp t="s">
        <v>表示銘柄数超過</v>
        <stp/>
        <stp>Market</stp>
        <stp>STOCK</stp>
        <stp>36630.T</stp>
        <stp>始値</stp>
        <tr r="L326" s="7"/>
      </tp>
      <tp t="s">
        <v>表示銘柄数超過</v>
        <stp/>
        <stp>Market</stp>
        <stp>STOCK</stp>
        <stp>37930.T</stp>
        <stp>始値</stp>
        <tr r="L360" s="7"/>
      </tp>
      <tp t="s">
        <v>表示銘柄数超過</v>
        <stp/>
        <stp>Market</stp>
        <stp>STOCK</stp>
        <stp>37730.T</stp>
        <stp>始値</stp>
        <tr r="L354" s="7"/>
      </tp>
      <tp t="s">
        <v>表示銘柄数超過</v>
        <stp/>
        <stp>Market</stp>
        <stp>STOCK</stp>
        <stp>37230.T</stp>
        <stp>始値</stp>
        <tr r="L346" s="7"/>
      </tp>
      <tp t="s">
        <v>表示銘柄数超過</v>
        <stp/>
        <stp>Market</stp>
        <stp>STOCK</stp>
        <stp>34330.T</stp>
        <stp>始値</stp>
        <tr r="L298" s="7"/>
      </tp>
      <tp t="s">
        <v>表示銘柄数超過</v>
        <stp/>
        <stp>Market</stp>
        <stp>STOCK</stp>
        <stp>35530.T</stp>
        <stp>始値</stp>
        <tr r="L308" s="7"/>
      </tp>
      <tp t="s">
        <v>表示銘柄数超過</v>
        <stp/>
        <stp>Market</stp>
        <stp>STOCK</stp>
        <stp>35430.T</stp>
        <stp>始値</stp>
        <tr r="L306" s="7"/>
      </tp>
    </main>
    <main first="rtdsrv.662c26bade854d00aebc6010f8a2e03a">
      <tp t="s">
        <v/>
        <stp/>
        <stp>Market</stp>
        <stp>STOCK</stp>
        <stp/>
        <stp>前日比</stp>
        <tr r="E914" s="7"/>
        <tr r="E1194" s="7"/>
        <tr r="E1198" s="7"/>
        <tr r="E1202" s="7"/>
        <tr r="E1206" s="7"/>
        <tr r="E1210" s="7"/>
        <tr r="E1214" s="7"/>
        <tr r="E1218" s="7"/>
        <tr r="E1222" s="7"/>
        <tr r="E1226" s="7"/>
        <tr r="E1230" s="7"/>
        <tr r="E1234" s="7"/>
        <tr r="E1238" s="7"/>
        <tr r="E1242" s="7"/>
        <tr r="E1246" s="7"/>
        <tr r="E1250" s="7"/>
        <tr r="E1254" s="7"/>
        <tr r="E1195" s="7"/>
        <tr r="E1199" s="7"/>
        <tr r="E1203" s="7"/>
        <tr r="E1207" s="7"/>
        <tr r="E1211" s="7"/>
        <tr r="E1215" s="7"/>
        <tr r="E1219" s="7"/>
        <tr r="E1223" s="7"/>
        <tr r="E1227" s="7"/>
        <tr r="E1231" s="7"/>
        <tr r="E1235" s="7"/>
        <tr r="E1239" s="7"/>
        <tr r="E1243" s="7"/>
        <tr r="E1247" s="7"/>
        <tr r="E1251" s="7"/>
        <tr r="E1255" s="7"/>
        <tr r="E1192" s="7"/>
        <tr r="E1196" s="7"/>
        <tr r="E1200" s="7"/>
        <tr r="E1204" s="7"/>
        <tr r="E1208" s="7"/>
        <tr r="E1212" s="7"/>
        <tr r="E1216" s="7"/>
        <tr r="E1220" s="7"/>
        <tr r="E1224" s="7"/>
        <tr r="E1228" s="7"/>
        <tr r="E1232" s="7"/>
        <tr r="E1236" s="7"/>
        <tr r="E1240" s="7"/>
        <tr r="E1244" s="7"/>
        <tr r="E1248" s="7"/>
        <tr r="E1252" s="7"/>
        <tr r="E1256" s="7"/>
        <tr r="E1260" s="7"/>
        <tr r="E1261" s="7"/>
        <tr r="E1264" s="7"/>
        <tr r="E1265" s="7"/>
        <tr r="E1268" s="7"/>
        <tr r="E1269" s="7"/>
        <tr r="E1273" s="7"/>
        <tr r="E1193" s="7"/>
        <tr r="E1197" s="7"/>
        <tr r="E1201" s="7"/>
        <tr r="E1205" s="7"/>
        <tr r="E1209" s="7"/>
        <tr r="E1213" s="7"/>
        <tr r="E1217" s="7"/>
        <tr r="E1221" s="7"/>
        <tr r="E1225" s="7"/>
        <tr r="E1229" s="7"/>
        <tr r="E1233" s="7"/>
        <tr r="E1237" s="7"/>
        <tr r="E1241" s="7"/>
        <tr r="E1245" s="7"/>
        <tr r="E1249" s="7"/>
        <tr r="E1253" s="7"/>
        <tr r="E1257" s="7"/>
        <tr r="E1272" s="7"/>
        <tr r="E1276" s="7"/>
        <tr r="E1280" s="7"/>
        <tr r="E1284" s="7"/>
        <tr r="E1288" s="7"/>
        <tr r="E1292" s="7"/>
        <tr r="E1296" s="7"/>
        <tr r="E1300" s="7"/>
        <tr r="E1304" s="7"/>
        <tr r="E1308" s="7"/>
        <tr r="E1312" s="7"/>
        <tr r="E1316" s="7"/>
        <tr r="E1320" s="7"/>
        <tr r="E1324" s="7"/>
        <tr r="E1328" s="7"/>
        <tr r="E1332" s="7"/>
        <tr r="E1336" s="7"/>
        <tr r="E1277" s="7"/>
        <tr r="E1281" s="7"/>
        <tr r="E1285" s="7"/>
        <tr r="E1289" s="7"/>
        <tr r="E1293" s="7"/>
        <tr r="E1297" s="7"/>
        <tr r="E1301" s="7"/>
        <tr r="E1305" s="7"/>
        <tr r="E1309" s="7"/>
        <tr r="E1313" s="7"/>
        <tr r="E1317" s="7"/>
        <tr r="E1321" s="7"/>
        <tr r="E1325" s="7"/>
        <tr r="E1329" s="7"/>
        <tr r="E1333" s="7"/>
        <tr r="E1337" s="7"/>
        <tr r="E1258" s="7"/>
        <tr r="E1262" s="7"/>
        <tr r="E1266" s="7"/>
        <tr r="E1270" s="7"/>
        <tr r="E1274" s="7"/>
        <tr r="E1278" s="7"/>
        <tr r="E1282" s="7"/>
        <tr r="E1286" s="7"/>
        <tr r="E1290" s="7"/>
        <tr r="E1294" s="7"/>
        <tr r="E1298" s="7"/>
        <tr r="E1302" s="7"/>
        <tr r="E1306" s="7"/>
        <tr r="E1310" s="7"/>
        <tr r="E1314" s="7"/>
        <tr r="E1318" s="7"/>
        <tr r="E1322" s="7"/>
        <tr r="E1326" s="7"/>
        <tr r="E1330" s="7"/>
        <tr r="E1334" s="7"/>
        <tr r="E1340" s="7"/>
        <tr r="E1341" s="7"/>
        <tr r="E1344" s="7"/>
        <tr r="E1345" s="7"/>
        <tr r="E1259" s="7"/>
        <tr r="E1263" s="7"/>
        <tr r="E1267" s="7"/>
        <tr r="E1271" s="7"/>
        <tr r="E1275" s="7"/>
        <tr r="E1279" s="7"/>
        <tr r="E1283" s="7"/>
        <tr r="E1287" s="7"/>
        <tr r="E1291" s="7"/>
        <tr r="E1295" s="7"/>
        <tr r="E1299" s="7"/>
        <tr r="E1303" s="7"/>
        <tr r="E1307" s="7"/>
        <tr r="E1311" s="7"/>
        <tr r="E1315" s="7"/>
        <tr r="E1319" s="7"/>
        <tr r="E1323" s="7"/>
        <tr r="E1327" s="7"/>
        <tr r="E1331" s="7"/>
        <tr r="E1335" s="7"/>
        <tr r="E1348" s="7"/>
        <tr r="E1352" s="7"/>
        <tr r="E1356" s="7"/>
        <tr r="E1360" s="7"/>
        <tr r="E1364" s="7"/>
        <tr r="E1368" s="7"/>
        <tr r="E1372" s="7"/>
        <tr r="E1376" s="7"/>
        <tr r="E1380" s="7"/>
        <tr r="E1384" s="7"/>
        <tr r="E1388" s="7"/>
        <tr r="E1392" s="7"/>
        <tr r="E1396" s="7"/>
        <tr r="E1400" s="7"/>
        <tr r="E1404" s="7"/>
        <tr r="E1408" s="7"/>
        <tr r="E1412" s="7"/>
        <tr r="E1416" s="7"/>
        <tr r="E1420" s="7"/>
        <tr r="E1424" s="7"/>
        <tr r="E1425" s="7"/>
        <tr r="E1429" s="7"/>
        <tr r="E1433" s="7"/>
        <tr r="E1437" s="7"/>
        <tr r="E1501" s="7"/>
        <tr r="E1509" s="7"/>
        <tr r="E1517" s="7"/>
        <tr r="E1525" s="7"/>
        <tr r="E1533" s="7"/>
        <tr r="E1541" s="7"/>
        <tr r="E1549" s="7"/>
        <tr r="E1349" s="7"/>
        <tr r="E1353" s="7"/>
        <tr r="E1357" s="7"/>
        <tr r="E1361" s="7"/>
        <tr r="E1365" s="7"/>
        <tr r="E1369" s="7"/>
        <tr r="E1373" s="7"/>
        <tr r="E1377" s="7"/>
        <tr r="E1381" s="7"/>
        <tr r="E1385" s="7"/>
        <tr r="E1389" s="7"/>
        <tr r="E1393" s="7"/>
        <tr r="E1397" s="7"/>
        <tr r="E1401" s="7"/>
        <tr r="E1405" s="7"/>
        <tr r="E1409" s="7"/>
        <tr r="E1413" s="7"/>
        <tr r="E1417" s="7"/>
        <tr r="E1421" s="7"/>
        <tr r="E1489" s="7"/>
        <tr r="E1493" s="7"/>
        <tr r="E1338" s="7"/>
        <tr r="E1342" s="7"/>
        <tr r="E1346" s="7"/>
        <tr r="E1350" s="7"/>
        <tr r="E1354" s="7"/>
        <tr r="E1358" s="7"/>
        <tr r="E1362" s="7"/>
        <tr r="E1366" s="7"/>
        <tr r="E1370" s="7"/>
        <tr r="E1374" s="7"/>
        <tr r="E1378" s="7"/>
        <tr r="E1382" s="7"/>
        <tr r="E1386" s="7"/>
        <tr r="E1390" s="7"/>
        <tr r="E1394" s="7"/>
        <tr r="E1398" s="7"/>
        <tr r="E1402" s="7"/>
        <tr r="E1406" s="7"/>
        <tr r="E1410" s="7"/>
        <tr r="E1414" s="7"/>
        <tr r="E1418" s="7"/>
        <tr r="E1422" s="7"/>
        <tr r="E1441" s="7"/>
        <tr r="E1445" s="7"/>
        <tr r="E1449" s="7"/>
        <tr r="E1453" s="7"/>
        <tr r="E1457" s="7"/>
        <tr r="E1461" s="7"/>
        <tr r="E1465" s="7"/>
        <tr r="E1469" s="7"/>
        <tr r="E1473" s="7"/>
        <tr r="E1477" s="7"/>
        <tr r="E1481" s="7"/>
        <tr r="E1485" s="7"/>
        <tr r="E1490" s="7"/>
        <tr r="E1494" s="7"/>
        <tr r="E1505" s="7"/>
        <tr r="E1513" s="7"/>
        <tr r="E1521" s="7"/>
        <tr r="E1529" s="7"/>
        <tr r="E1537" s="7"/>
        <tr r="E1545" s="7"/>
        <tr r="E1339" s="7"/>
        <tr r="E1343" s="7"/>
        <tr r="E1347" s="7"/>
        <tr r="E1351" s="7"/>
        <tr r="E1355" s="7"/>
        <tr r="E1359" s="7"/>
        <tr r="E1363" s="7"/>
        <tr r="E1367" s="7"/>
        <tr r="E1371" s="7"/>
        <tr r="E1375" s="7"/>
        <tr r="E1379" s="7"/>
        <tr r="E1383" s="7"/>
        <tr r="E1387" s="7"/>
        <tr r="E1391" s="7"/>
        <tr r="E1395" s="7"/>
        <tr r="E1399" s="7"/>
        <tr r="E1403" s="7"/>
        <tr r="E1407" s="7"/>
        <tr r="E1411" s="7"/>
        <tr r="E1415" s="7"/>
        <tr r="E1419" s="7"/>
        <tr r="E1423" s="7"/>
        <tr r="E1427" s="7"/>
        <tr r="E1428" s="7"/>
        <tr r="E1431" s="7"/>
        <tr r="E1432" s="7"/>
        <tr r="E1435" s="7"/>
        <tr r="E1436" s="7"/>
        <tr r="E1439" s="7"/>
        <tr r="E1553" s="7"/>
        <tr r="E1557" s="7"/>
        <tr r="E1561" s="7"/>
        <tr r="E1565" s="7"/>
        <tr r="E1569" s="7"/>
        <tr r="E1573" s="7"/>
        <tr r="E1577" s="7"/>
        <tr r="E1581" s="7"/>
        <tr r="E1585" s="7"/>
        <tr r="E1589" s="7"/>
        <tr r="E1593" s="7"/>
        <tr r="E1597" s="7"/>
        <tr r="E1601" s="7"/>
        <tr r="E1605" s="7"/>
        <tr r="E1609" s="7"/>
        <tr r="E1426" s="7"/>
        <tr r="E1430" s="7"/>
        <tr r="E1434" s="7"/>
        <tr r="E1438" s="7"/>
        <tr r="E1442" s="7"/>
        <tr r="E1446" s="7"/>
        <tr r="E1450" s="7"/>
        <tr r="E1454" s="7"/>
        <tr r="E1458" s="7"/>
        <tr r="E1462" s="7"/>
        <tr r="E1466" s="7"/>
        <tr r="E1470" s="7"/>
        <tr r="E1474" s="7"/>
        <tr r="E1478" s="7"/>
        <tr r="E1482" s="7"/>
        <tr r="E1486" s="7"/>
        <tr r="E1491" s="7"/>
        <tr r="E1659" s="7"/>
        <tr r="E1443" s="7"/>
        <tr r="E1447" s="7"/>
        <tr r="E1451" s="7"/>
        <tr r="E1455" s="7"/>
        <tr r="E1459" s="7"/>
        <tr r="E1463" s="7"/>
        <tr r="E1467" s="7"/>
        <tr r="E1471" s="7"/>
        <tr r="E1475" s="7"/>
        <tr r="E1479" s="7"/>
        <tr r="E1483" s="7"/>
        <tr r="E1487" s="7"/>
        <tr r="E1440" s="7"/>
        <tr r="E1444" s="7"/>
        <tr r="E1448" s="7"/>
        <tr r="E1452" s="7"/>
        <tr r="E1456" s="7"/>
        <tr r="E1460" s="7"/>
        <tr r="E1464" s="7"/>
        <tr r="E1468" s="7"/>
        <tr r="E1472" s="7"/>
        <tr r="E1476" s="7"/>
        <tr r="E1480" s="7"/>
        <tr r="E1484" s="7"/>
        <tr r="E1488" s="7"/>
        <tr r="E1497" s="7"/>
        <tr r="E1498" s="7"/>
        <tr r="E1502" s="7"/>
        <tr r="E1506" s="7"/>
        <tr r="E1510" s="7"/>
        <tr r="E1514" s="7"/>
        <tr r="E1518" s="7"/>
        <tr r="E1522" s="7"/>
        <tr r="E1526" s="7"/>
        <tr r="E1530" s="7"/>
        <tr r="E1534" s="7"/>
        <tr r="E1538" s="7"/>
        <tr r="E1542" s="7"/>
        <tr r="E1546" s="7"/>
        <tr r="E1550" s="7"/>
        <tr r="E1554" s="7"/>
        <tr r="E1558" s="7"/>
        <tr r="E1562" s="7"/>
        <tr r="E1566" s="7"/>
        <tr r="E1570" s="7"/>
        <tr r="E1574" s="7"/>
        <tr r="E1578" s="7"/>
        <tr r="E1582" s="7"/>
        <tr r="E1586" s="7"/>
        <tr r="E1590" s="7"/>
        <tr r="E1594" s="7"/>
        <tr r="E1598" s="7"/>
        <tr r="E1602" s="7"/>
        <tr r="E1606" s="7"/>
        <tr r="E1610" s="7"/>
        <tr r="E1663" s="7"/>
        <tr r="E1667" s="7"/>
        <tr r="E1671" s="7"/>
        <tr r="E1495" s="7"/>
        <tr r="E1499" s="7"/>
        <tr r="E1503" s="7"/>
        <tr r="E1507" s="7"/>
        <tr r="E1511" s="7"/>
        <tr r="E1515" s="7"/>
        <tr r="E1519" s="7"/>
        <tr r="E1523" s="7"/>
        <tr r="E1527" s="7"/>
        <tr r="E1531" s="7"/>
        <tr r="E1535" s="7"/>
        <tr r="E1539" s="7"/>
        <tr r="E1543" s="7"/>
        <tr r="E1547" s="7"/>
        <tr r="E1551" s="7"/>
        <tr r="E1555" s="7"/>
        <tr r="E1559" s="7"/>
        <tr r="E1563" s="7"/>
        <tr r="E1567" s="7"/>
        <tr r="E1571" s="7"/>
        <tr r="E1575" s="7"/>
        <tr r="E1579" s="7"/>
        <tr r="E1583" s="7"/>
        <tr r="E1587" s="7"/>
        <tr r="E1591" s="7"/>
        <tr r="E1595" s="7"/>
        <tr r="E1599" s="7"/>
        <tr r="E1603" s="7"/>
        <tr r="E1607" s="7"/>
        <tr r="E1611" s="7"/>
        <tr r="E1614" s="7"/>
        <tr r="E1615" s="7"/>
        <tr r="E1618" s="7"/>
        <tr r="E1619" s="7"/>
        <tr r="E1622" s="7"/>
        <tr r="E1623" s="7"/>
        <tr r="E1626" s="7"/>
        <tr r="E1627" s="7"/>
        <tr r="E1630" s="7"/>
        <tr r="E1631" s="7"/>
        <tr r="E1634" s="7"/>
        <tr r="E1635" s="7"/>
        <tr r="E1638" s="7"/>
        <tr r="E1639" s="7"/>
        <tr r="E1642" s="7"/>
        <tr r="E1643" s="7"/>
        <tr r="E1646" s="7"/>
        <tr r="E1647" s="7"/>
        <tr r="E1650" s="7"/>
        <tr r="E1651" s="7"/>
        <tr r="E1654" s="7"/>
        <tr r="E1655" s="7"/>
        <tr r="E1492" s="7"/>
        <tr r="E1496" s="7"/>
        <tr r="E1500" s="7"/>
        <tr r="E1504" s="7"/>
        <tr r="E1508" s="7"/>
        <tr r="E1512" s="7"/>
        <tr r="E1516" s="7"/>
        <tr r="E1520" s="7"/>
        <tr r="E1524" s="7"/>
        <tr r="E1528" s="7"/>
        <tr r="E1532" s="7"/>
        <tr r="E1536" s="7"/>
        <tr r="E1540" s="7"/>
        <tr r="E1544" s="7"/>
        <tr r="E1548" s="7"/>
        <tr r="E1552" s="7"/>
        <tr r="E1556" s="7"/>
        <tr r="E1560" s="7"/>
        <tr r="E1564" s="7"/>
        <tr r="E1568" s="7"/>
        <tr r="E1572" s="7"/>
        <tr r="E1576" s="7"/>
        <tr r="E1580" s="7"/>
        <tr r="E1584" s="7"/>
        <tr r="E1588" s="7"/>
        <tr r="E1592" s="7"/>
        <tr r="E1596" s="7"/>
        <tr r="E1600" s="7"/>
        <tr r="E1604" s="7"/>
        <tr r="E1608" s="7"/>
        <tr r="E1612" s="7"/>
        <tr r="E1616" s="7"/>
        <tr r="E1620" s="7"/>
        <tr r="E1624" s="7"/>
        <tr r="E1628" s="7"/>
        <tr r="E1632" s="7"/>
        <tr r="E1636" s="7"/>
        <tr r="E1640" s="7"/>
        <tr r="E1644" s="7"/>
        <tr r="E1648" s="7"/>
        <tr r="E1652" s="7"/>
        <tr r="E1656" s="7"/>
        <tr r="E1660" s="7"/>
        <tr r="E1664" s="7"/>
        <tr r="E1668" s="7"/>
        <tr r="E1672" s="7"/>
        <tr r="E1613" s="7"/>
        <tr r="E1617" s="7"/>
        <tr r="E1621" s="7"/>
        <tr r="E1625" s="7"/>
        <tr r="E1629" s="7"/>
        <tr r="E1633" s="7"/>
        <tr r="E1637" s="7"/>
        <tr r="E1641" s="7"/>
        <tr r="E1645" s="7"/>
        <tr r="E1649" s="7"/>
        <tr r="E1653" s="7"/>
        <tr r="E1657" s="7"/>
        <tr r="E1661" s="7"/>
        <tr r="E1665" s="7"/>
        <tr r="E1669" s="7"/>
        <tr r="E1673" s="7"/>
        <tr r="E1677" s="7"/>
        <tr r="E1681" s="7"/>
        <tr r="E1685" s="7"/>
        <tr r="E1689" s="7"/>
        <tr r="E1693" s="7"/>
        <tr r="E1697" s="7"/>
        <tr r="E1701" s="7"/>
        <tr r="E1705" s="7"/>
        <tr r="E1709" s="7"/>
        <tr r="E1713" s="7"/>
        <tr r="E1717" s="7"/>
        <tr r="E1721" s="7"/>
        <tr r="E1725" s="7"/>
        <tr r="E1729" s="7"/>
        <tr r="E1733" s="7"/>
        <tr r="E1737" s="7"/>
        <tr r="E1741" s="7"/>
        <tr r="E1745" s="7"/>
        <tr r="E1812" s="7"/>
        <tr r="E1658" s="7"/>
        <tr r="E1662" s="7"/>
        <tr r="E1666" s="7"/>
        <tr r="E1670" s="7"/>
        <tr r="E1674" s="7"/>
        <tr r="E1678" s="7"/>
        <tr r="E1682" s="7"/>
        <tr r="E1686" s="7"/>
        <tr r="E1690" s="7"/>
        <tr r="E1694" s="7"/>
        <tr r="E1698" s="7"/>
        <tr r="E1702" s="7"/>
        <tr r="E1706" s="7"/>
        <tr r="E1710" s="7"/>
        <tr r="E1714" s="7"/>
        <tr r="E1718" s="7"/>
        <tr r="E1722" s="7"/>
        <tr r="E1726" s="7"/>
        <tr r="E1730" s="7"/>
        <tr r="E1734" s="7"/>
        <tr r="E1738" s="7"/>
        <tr r="E1742" s="7"/>
        <tr r="E1746" s="7"/>
        <tr r="E1751" s="7"/>
        <tr r="E1755" s="7"/>
        <tr r="E1759" s="7"/>
        <tr r="E1763" s="7"/>
        <tr r="E1767" s="7"/>
        <tr r="E1771" s="7"/>
        <tr r="E1800" s="7"/>
        <tr r="E1816" s="7"/>
        <tr r="E1675" s="7"/>
        <tr r="E1679" s="7"/>
        <tr r="E1683" s="7"/>
        <tr r="E1687" s="7"/>
        <tr r="E1691" s="7"/>
        <tr r="E1695" s="7"/>
        <tr r="E1699" s="7"/>
        <tr r="E1703" s="7"/>
        <tr r="E1707" s="7"/>
        <tr r="E1711" s="7"/>
        <tr r="E1715" s="7"/>
        <tr r="E1719" s="7"/>
        <tr r="E1723" s="7"/>
        <tr r="E1727" s="7"/>
        <tr r="E1731" s="7"/>
        <tr r="E1735" s="7"/>
        <tr r="E1739" s="7"/>
        <tr r="E1743" s="7"/>
        <tr r="E1747" s="7"/>
        <tr r="E1796" s="7"/>
        <tr r="E1804" s="7"/>
        <tr r="E1676" s="7"/>
        <tr r="E1680" s="7"/>
        <tr r="E1684" s="7"/>
        <tr r="E1688" s="7"/>
        <tr r="E1692" s="7"/>
        <tr r="E1696" s="7"/>
        <tr r="E1700" s="7"/>
        <tr r="E1704" s="7"/>
        <tr r="E1708" s="7"/>
        <tr r="E1712" s="7"/>
        <tr r="E1716" s="7"/>
        <tr r="E1720" s="7"/>
        <tr r="E1724" s="7"/>
        <tr r="E1728" s="7"/>
        <tr r="E1732" s="7"/>
        <tr r="E1736" s="7"/>
        <tr r="E1740" s="7"/>
        <tr r="E1744" s="7"/>
        <tr r="E1748" s="7"/>
        <tr r="E1808" s="7"/>
        <tr r="E1752" s="7"/>
        <tr r="E1756" s="7"/>
        <tr r="E1760" s="7"/>
        <tr r="E1764" s="7"/>
        <tr r="E1768" s="7"/>
        <tr r="E1772" s="7"/>
        <tr r="E1776" s="7"/>
        <tr r="E1777" s="7"/>
        <tr r="E1780" s="7"/>
        <tr r="E1781" s="7"/>
        <tr r="E1784" s="7"/>
        <tr r="E1785" s="7"/>
        <tr r="E1788" s="7"/>
        <tr r="E1789" s="7"/>
        <tr r="E1792" s="7"/>
        <tr r="E1793" s="7"/>
        <tr r="E1797" s="7"/>
        <tr r="E1749" s="7"/>
        <tr r="E1753" s="7"/>
        <tr r="E1757" s="7"/>
        <tr r="E1761" s="7"/>
        <tr r="E1765" s="7"/>
        <tr r="E1769" s="7"/>
        <tr r="E1773" s="7"/>
        <tr r="E1774" s="7"/>
        <tr r="E1750" s="7"/>
        <tr r="E1754" s="7"/>
        <tr r="E1758" s="7"/>
        <tr r="E1762" s="7"/>
        <tr r="E1766" s="7"/>
        <tr r="E1770" s="7"/>
        <tr r="E1801" s="7"/>
        <tr r="E1805" s="7"/>
        <tr r="E1809" s="7"/>
        <tr r="E1813" s="7"/>
        <tr r="E1817" s="7"/>
        <tr r="E1820" s="7"/>
        <tr r="E1821" s="7"/>
        <tr r="E1824" s="7"/>
        <tr r="E1825" s="7"/>
        <tr r="E1828" s="7"/>
        <tr r="E1838" s="7"/>
        <tr r="E1778" s="7"/>
        <tr r="E1782" s="7"/>
        <tr r="E1786" s="7"/>
        <tr r="E1790" s="7"/>
        <tr r="E1794" s="7"/>
        <tr r="E1775" s="7"/>
        <tr r="E1779" s="7"/>
        <tr r="E1783" s="7"/>
        <tr r="E1787" s="7"/>
        <tr r="E1791" s="7"/>
        <tr r="E1834" s="7"/>
        <tr r="E1842" s="7"/>
        <tr r="E1798" s="7"/>
        <tr r="E1802" s="7"/>
        <tr r="E1806" s="7"/>
        <tr r="E1810" s="7"/>
        <tr r="E1814" s="7"/>
        <tr r="E1818" s="7"/>
        <tr r="E1822" s="7"/>
        <tr r="E1826" s="7"/>
        <tr r="E1795" s="7"/>
        <tr r="E1799" s="7"/>
        <tr r="E1803" s="7"/>
        <tr r="E1807" s="7"/>
        <tr r="E1811" s="7"/>
        <tr r="E1815" s="7"/>
        <tr r="E1819" s="7"/>
        <tr r="E1823" s="7"/>
        <tr r="E1827" s="7"/>
        <tr r="E1829" s="7"/>
        <tr r="E1830" s="7"/>
        <tr r="E1831" s="7"/>
        <tr r="E1835" s="7"/>
        <tr r="E1839" s="7"/>
        <tr r="E1843" s="7"/>
        <tr r="E1864" s="7"/>
        <tr r="E1872" s="7"/>
        <tr r="E1880" s="7"/>
        <tr r="E1832" s="7"/>
        <tr r="E1836" s="7"/>
        <tr r="E1840" s="7"/>
        <tr r="E1844" s="7"/>
        <tr r="E1845" s="7"/>
        <tr r="E1833" s="7"/>
        <tr r="E1837" s="7"/>
        <tr r="E1841" s="7"/>
        <tr r="E1847" s="7"/>
        <tr r="E1848" s="7"/>
        <tr r="E1851" s="7"/>
        <tr r="E1852" s="7"/>
        <tr r="E1855" s="7"/>
        <tr r="E1856" s="7"/>
        <tr r="E1859" s="7"/>
        <tr r="E1860" s="7"/>
        <tr r="E1868" s="7"/>
        <tr r="E1876" s="7"/>
        <tr r="E1849" s="7"/>
        <tr r="E1853" s="7"/>
        <tr r="E1857" s="7"/>
        <tr r="E1846" s="7"/>
        <tr r="E1850" s="7"/>
        <tr r="E1854" s="7"/>
        <tr r="E1858" s="7"/>
        <tr r="E1861" s="7"/>
        <tr r="E1865" s="7"/>
        <tr r="E1869" s="7"/>
        <tr r="E1873" s="7"/>
        <tr r="E1877" s="7"/>
        <tr r="E1881" s="7"/>
        <tr r="E1862" s="7"/>
        <tr r="E1866" s="7"/>
        <tr r="E1870" s="7"/>
        <tr r="E1874" s="7"/>
        <tr r="E1878" s="7"/>
        <tr r="E1863" s="7"/>
        <tr r="E1867" s="7"/>
        <tr r="E1871" s="7"/>
        <tr r="E1875" s="7"/>
        <tr r="E1879" s="7"/>
      </tp>
      <tp t="s">
        <v>表示銘柄数超過</v>
        <stp/>
        <stp>Market</stp>
        <stp>STOCK</stp>
        <stp>88810.T</stp>
        <stp>安値</stp>
        <tr r="P1057" s="7"/>
      </tp>
      <tp t="s">
        <v>表示銘柄数超過</v>
        <stp/>
        <stp>Market</stp>
        <stp>STOCK</stp>
        <stp>88410.T</stp>
        <stp>安値</stp>
        <tr r="P1055" s="7"/>
      </tp>
      <tp t="s">
        <v>表示銘柄数超過</v>
        <stp/>
        <stp>Market</stp>
        <stp>STOCK</stp>
        <stp>88010.T</stp>
        <stp>安値</stp>
        <tr r="P1050" s="7"/>
      </tp>
      <tp>
        <v>490</v>
        <stp/>
        <stp>Market</stp>
        <stp>STOCK</stp>
        <stp>82910.T</stp>
        <stp>安値</stp>
        <tr r="P1002" s="7"/>
      </tp>
      <tp>
        <v>1081.5</v>
        <stp/>
        <stp>Market</stp>
        <stp>STOCK</stp>
        <stp>83310.T</stp>
        <stp>安値</stp>
        <tr r="P1004" s="7"/>
      </tp>
      <tp>
        <v>1494</v>
        <stp/>
        <stp>Market</stp>
        <stp>STOCK</stp>
        <stp>80810.T</stp>
        <stp>安値</stp>
        <tr r="P974" s="7"/>
      </tp>
      <tp>
        <v>6512</v>
        <stp/>
        <stp>Market</stp>
        <stp>STOCK</stp>
        <stp>80010.T</stp>
        <stp>安値</stp>
        <tr r="P964" s="7"/>
      </tp>
      <tp>
        <v>5691</v>
        <stp/>
        <stp>Market</stp>
        <stp>STOCK</stp>
        <stp>80310.T</stp>
        <stp>安値</stp>
        <tr r="P969" s="7"/>
      </tp>
      <tp>
        <v>994.2</v>
        <stp/>
        <stp>Market</stp>
        <stp>STOCK</stp>
        <stp>86010.T</stp>
        <stp>安値</stp>
        <tr r="P1025" s="7"/>
      </tp>
      <tp>
        <v>2842</v>
        <stp/>
        <stp>Market</stp>
        <stp>STOCK</stp>
        <stp>85910.T</stp>
        <stp>安値</stp>
        <tr r="P1023" s="7"/>
      </tp>
      <tp>
        <v>1554</v>
        <stp/>
        <stp>Market</stp>
        <stp>STOCK</stp>
        <stp>85110.T</stp>
        <stp>安値</stp>
        <tr r="P1015" s="7"/>
      </tp>
      <tp>
        <v>441.9</v>
        <stp/>
        <stp>Market</stp>
        <stp>STOCK</stp>
        <stp>98310.T</stp>
        <stp>安値</stp>
        <tr r="P1171" s="7"/>
      </tp>
      <tp t="s">
        <v>表示銘柄数超過</v>
        <stp/>
        <stp>Market</stp>
        <stp>STOCK</stp>
        <stp>92410.T</stp>
        <stp>安値</stp>
        <tr r="P1100" s="7"/>
      </tp>
      <tp t="s">
        <v>表示銘柄数超過</v>
        <stp/>
        <stp>Market</stp>
        <stp>STOCK</stp>
        <stp>93610.T</stp>
        <stp>安値</stp>
        <tr r="P1111" s="7"/>
      </tp>
      <tp t="s">
        <v>表示銘柄数超過</v>
        <stp/>
        <stp>Market</stp>
        <stp>STOCK</stp>
        <stp>90410.T</stp>
        <stp>安値</stp>
        <tr r="P1085" s="7"/>
      </tp>
      <tp t="s">
        <v>表示銘柄数超過</v>
        <stp/>
        <stp>Market</stp>
        <stp>STOCK</stp>
        <stp>90010.T</stp>
        <stp>安値</stp>
        <tr r="P1073" s="7"/>
      </tp>
      <tp t="s">
        <v>表示銘柄数超過</v>
        <stp/>
        <stp>Market</stp>
        <stp>STOCK</stp>
        <stp>91010.T</stp>
        <stp>安値</stp>
        <tr r="P1093" s="7"/>
      </tp>
      <tp t="s">
        <v>表示銘柄数超過</v>
        <stp/>
        <stp>Market</stp>
        <stp>STOCK</stp>
        <stp>94010.T</stp>
        <stp>安値</stp>
        <tr r="P1114" s="7"/>
      </tp>
      <tp t="s">
        <v>表示銘柄数超過</v>
        <stp/>
        <stp>Market</stp>
        <stp>STOCK</stp>
        <stp>94210.T</stp>
        <stp>安値</stp>
        <tr r="P1123" s="7"/>
      </tp>
      <tp t="s">
        <v>表示銘柄数超過</v>
        <stp/>
        <stp>Market</stp>
        <stp>STOCK</stp>
        <stp>95110.T</stp>
        <stp>安値</stp>
        <tr r="P1149" s="7"/>
      </tp>
      <tp t="s">
        <v>表示銘柄数超過</v>
        <stp/>
        <stp>Market</stp>
        <stp>STOCK</stp>
        <stp>95010.T</stp>
        <stp>安値</stp>
        <tr r="P1140" s="7"/>
      </tp>
      <tp t="s">
        <v>表示銘柄数超過</v>
        <stp/>
        <stp>Market</stp>
        <stp>STOCK</stp>
        <stp>95310.T</stp>
        <stp>安値</stp>
        <tr r="P1153" s="7"/>
      </tp>
      <tp>
        <v>4075</v>
        <stp/>
        <stp>Market</stp>
        <stp>STOCK</stp>
        <stp>68710.T</stp>
        <stp>安値</stp>
        <tr r="P782" s="7"/>
      </tp>
      <tp>
        <v>2981</v>
        <stp/>
        <stp>Market</stp>
        <stp>STOCK</stp>
        <stp>69810.T</stp>
        <stp>安値</stp>
        <tr r="P798" s="7"/>
      </tp>
      <tp>
        <v>2167</v>
        <stp/>
        <stp>Market</stp>
        <stp>STOCK</stp>
        <stp>69410.T</stp>
        <stp>安値</stp>
        <tr r="P791" s="7"/>
      </tp>
      <tp>
        <v>1291</v>
        <stp/>
        <stp>Market</stp>
        <stp>STOCK</stp>
        <stp>63810.T</stp>
        <stp>安値</stp>
        <tr r="P696" s="7"/>
      </tp>
      <tp>
        <v>4268</v>
        <stp/>
        <stp>Market</stp>
        <stp>STOCK</stp>
        <stp>63010.T</stp>
        <stp>安値</stp>
        <tr r="P686" s="7"/>
      </tp>
      <tp>
        <v>533</v>
        <stp/>
        <stp>Market</stp>
        <stp>STOCK</stp>
        <stp>60910.T</stp>
        <stp>安値</stp>
        <tr r="P650" s="7"/>
      </tp>
      <tp>
        <v>281</v>
        <stp/>
        <stp>Market</stp>
        <stp>STOCK</stp>
        <stp>60810.T</stp>
        <stp>安値</stp>
        <tr r="P649" s="7"/>
      </tp>
      <tp>
        <v>718</v>
        <stp/>
        <stp>Market</stp>
        <stp>STOCK</stp>
        <stp>60310.T</stp>
        <stp>安値</stp>
        <tr r="P639" s="7"/>
      </tp>
      <tp>
        <v>112</v>
        <stp/>
        <stp>Market</stp>
        <stp>STOCK</stp>
        <stp>61810.T</stp>
        <stp>安値</stp>
        <tr r="P667" s="7"/>
      </tp>
      <tp>
        <v>938</v>
        <stp/>
        <stp>Market</stp>
        <stp>STOCK</stp>
        <stp>67410.T</stp>
        <stp>安値</stp>
        <tr r="P760" s="7"/>
      </tp>
      <tp>
        <v>9375</v>
        <stp/>
        <stp>Market</stp>
        <stp>STOCK</stp>
        <stp>67010.T</stp>
        <stp>安値</stp>
        <tr r="P754" s="7"/>
      </tp>
      <tp>
        <v>152</v>
        <stp/>
        <stp>Market</stp>
        <stp>STOCK</stp>
        <stp>67310.T</stp>
        <stp>安値</stp>
        <tr r="P758" s="7"/>
      </tp>
      <tp>
        <v>92</v>
        <stp/>
        <stp>Market</stp>
        <stp>STOCK</stp>
        <stp>67210.T</stp>
        <stp>安値</stp>
        <tr r="P756" s="7"/>
      </tp>
      <tp>
        <v>796.2</v>
        <stp/>
        <stp>Market</stp>
        <stp>STOCK</stp>
        <stp>64710.T</stp>
        <stp>安値</stp>
        <tr r="P706" s="7"/>
      </tp>
      <tp>
        <v>11695</v>
        <stp/>
        <stp>Market</stp>
        <stp>STOCK</stp>
        <stp>65010.T</stp>
        <stp>安値</stp>
        <tr r="P713" s="7"/>
      </tp>
      <tp>
        <v>249</v>
        <stp/>
        <stp>Market</stp>
        <stp>STOCK</stp>
        <stp>78510.T</stp>
        <stp>安値</stp>
        <tr r="P946" s="7"/>
      </tp>
      <tp>
        <v>391</v>
        <stp/>
        <stp>Market</stp>
        <stp>STOCK</stp>
        <stp>79710.T</stp>
        <stp>安値</stp>
        <tr r="P960" s="7"/>
      </tp>
      <tp>
        <v>3906</v>
        <stp/>
        <stp>Market</stp>
        <stp>STOCK</stp>
        <stp>79110.T</stp>
        <stp>安値</stp>
        <tr r="P954" s="7"/>
      </tp>
      <tp>
        <v>587</v>
        <stp/>
        <stp>Market</stp>
        <stp>STOCK</stp>
        <stp>72910.T</stp>
        <stp>安値</stp>
        <tr r="P871" s="7"/>
      </tp>
      <tp>
        <v>1840</v>
        <stp/>
        <stp>Market</stp>
        <stp>STOCK</stp>
        <stp>72610.T</stp>
        <stp>安値</stp>
        <tr r="P863" s="7"/>
      </tp>
      <tp>
        <v>447.1</v>
        <stp/>
        <stp>Market</stp>
        <stp>STOCK</stp>
        <stp>72110.T</stp>
        <stp>安値</stp>
        <tr r="P848" s="7"/>
      </tp>
      <tp>
        <v>599.6</v>
        <stp/>
        <stp>Market</stp>
        <stp>STOCK</stp>
        <stp>72010.T</stp>
        <stp>安値</stp>
        <tr r="P844" s="7"/>
      </tp>
      <tp>
        <v>570</v>
        <stp/>
        <stp>Market</stp>
        <stp>STOCK</stp>
        <stp>73510.T</stp>
        <stp>安値</stp>
        <tr r="P878" s="7"/>
      </tp>
      <tp>
        <v>509</v>
        <stp/>
        <stp>Market</stp>
        <stp>STOCK</stp>
        <stp>73710.T</stp>
        <stp>安値</stp>
        <tr r="P882" s="7"/>
      </tp>
      <tp>
        <v>512</v>
        <stp/>
        <stp>Market</stp>
        <stp>STOCK</stp>
        <stp>70410.T</stp>
        <stp>安値</stp>
        <tr r="P812" s="7"/>
      </tp>
      <tp>
        <v>10145</v>
        <stp/>
        <stp>Market</stp>
        <stp>STOCK</stp>
        <stp>70110.T</stp>
        <stp>安値</stp>
        <tr r="P806" s="7"/>
      </tp>
      <tp>
        <v>1207</v>
        <stp/>
        <stp>Market</stp>
        <stp>STOCK</stp>
        <stp>70310.T</stp>
        <stp>安値</stp>
        <tr r="P810" s="7"/>
      </tp>
      <tp>
        <v>548</v>
        <stp/>
        <stp>Market</stp>
        <stp>STOCK</stp>
        <stp>71610.T</stp>
        <stp>安値</stp>
        <tr r="P832" s="7"/>
      </tp>
      <tp>
        <v>80</v>
        <stp/>
        <stp>Market</stp>
        <stp>STOCK</stp>
        <stp>71110.T</stp>
        <stp>安値</stp>
        <tr r="P826" s="7"/>
      </tp>
      <tp>
        <v>233</v>
        <stp/>
        <stp>Market</stp>
        <stp>STOCK</stp>
        <stp>76010.T</stp>
        <stp>安値</stp>
        <tr r="P909" s="7"/>
      </tp>
      <tp>
        <v>3994</v>
        <stp/>
        <stp>Market</stp>
        <stp>STOCK</stp>
        <stp>77510.T</stp>
        <stp>安値</stp>
        <tr r="P928" s="7"/>
      </tp>
      <tp>
        <v>70</v>
        <stp/>
        <stp>Market</stp>
        <stp>STOCK</stp>
        <stp>77710.T</stp>
        <stp>安値</stp>
        <tr r="P931" s="7"/>
      </tp>
      <tp>
        <v>1832</v>
        <stp/>
        <stp>Market</stp>
        <stp>STOCK</stp>
        <stp>74810.T</stp>
        <stp>安値</stp>
        <tr r="P893" s="7"/>
      </tp>
      <tp t="s">
        <v>表示銘柄数超過</v>
        <stp/>
        <stp>Market</stp>
        <stp>STOCK</stp>
        <stp>48910.T</stp>
        <stp>安値</stp>
        <tr r="P549" s="7"/>
      </tp>
      <tp t="s">
        <v>表示銘柄数超過</v>
        <stp/>
        <stp>Market</stp>
        <stp>STOCK</stp>
        <stp>48810.T</stp>
        <stp>安値</stp>
        <tr r="P545" s="7"/>
      </tp>
      <tp t="s">
        <v>表示銘柄数超過</v>
        <stp/>
        <stp>Market</stp>
        <stp>STOCK</stp>
        <stp>42410.T</stp>
        <stp>安値</stp>
        <tr r="P429" s="7"/>
      </tp>
      <tp t="s">
        <v>表示銘柄数超過</v>
        <stp/>
        <stp>Market</stp>
        <stp>STOCK</stp>
        <stp>40110.T</stp>
        <stp>安値</stp>
        <tr r="P411" s="7"/>
      </tp>
      <tp t="s">
        <v>表示銘柄数超過</v>
        <stp/>
        <stp>Market</stp>
        <stp>STOCK</stp>
        <stp>46510.T</stp>
        <stp>安値</stp>
        <tr r="P513" s="7"/>
      </tp>
      <tp t="s">
        <v>表示銘柄数超過</v>
        <stp/>
        <stp>Market</stp>
        <stp>STOCK</stp>
        <stp>46110.T</stp>
        <stp>安値</stp>
        <tr r="P508" s="7"/>
      </tp>
      <tp t="s">
        <v>表示銘柄数超過</v>
        <stp/>
        <stp>Market</stp>
        <stp>STOCK</stp>
        <stp>46310.T</stp>
        <stp>安値</stp>
        <tr r="P470" s="7"/>
      </tp>
      <tp t="s">
        <v>表示銘柄数超過</v>
        <stp/>
        <stp>Market</stp>
        <stp>STOCK</stp>
        <stp>47510.T</stp>
        <stp>安値</stp>
        <tr r="P528" s="7"/>
      </tp>
      <tp t="s">
        <v>表示銘柄数超過</v>
        <stp/>
        <stp>Market</stp>
        <stp>STOCK</stp>
        <stp>44410.T</stp>
        <stp>安値</stp>
        <tr r="P466" s="7"/>
      </tp>
      <tp t="s">
        <v>表示銘柄数超過</v>
        <stp/>
        <stp>Market</stp>
        <stp>STOCK</stp>
        <stp>45910.T</stp>
        <stp>安値</stp>
        <tr r="P502" s="7"/>
      </tp>
      <tp t="s">
        <v>表示銘柄数超過</v>
        <stp/>
        <stp>Market</stp>
        <stp>STOCK</stp>
        <stp>45710.T</stp>
        <stp>安値</stp>
        <tr r="P491" s="7"/>
      </tp>
      <tp t="s">
        <v>表示銘柄数超過</v>
        <stp/>
        <stp>Market</stp>
        <stp>STOCK</stp>
        <stp>45310.T</stp>
        <stp>安値</stp>
        <tr r="P483" s="7"/>
      </tp>
      <tp>
        <v>2733</v>
        <stp/>
        <stp>Market</stp>
        <stp>STOCK</stp>
        <stp>58010.T</stp>
        <stp>安値</stp>
        <tr r="P611" s="7"/>
      </tp>
      <tp>
        <v>1222.5</v>
        <stp/>
        <stp>Market</stp>
        <stp>STOCK</stp>
        <stp>59910.T</stp>
        <stp>安値</stp>
        <tr r="P633" s="7"/>
      </tp>
      <tp>
        <v>1347</v>
        <stp/>
        <stp>Market</stp>
        <stp>STOCK</stp>
        <stp>59810.T</stp>
        <stp>安値</stp>
        <tr r="P631" s="7"/>
      </tp>
      <tp>
        <v>466</v>
        <stp/>
        <stp>Market</stp>
        <stp>STOCK</stp>
        <stp>53810.T</stp>
        <stp>安値</stp>
        <tr r="P589" s="7"/>
      </tp>
      <tp>
        <v>426</v>
        <stp/>
        <stp>Market</stp>
        <stp>STOCK</stp>
        <stp>53410.T</stp>
        <stp>安値</stp>
        <tr r="P587" s="7"/>
      </tp>
      <tp t="s">
        <v>表示銘柄数超過</v>
        <stp/>
        <stp>Market</stp>
        <stp>STOCK</stp>
        <stp>50210.T</stp>
        <stp>安値</stp>
        <tr r="P563" s="7"/>
      </tp>
      <tp>
        <v>185</v>
        <stp/>
        <stp>Market</stp>
        <stp>STOCK</stp>
        <stp>51310.T</stp>
        <stp>安値</stp>
        <tr r="P572" s="7"/>
      </tp>
      <tp>
        <v>1426</v>
        <stp/>
        <stp>Market</stp>
        <stp>STOCK</stp>
        <stp>51210.T</stp>
        <stp>安値</stp>
        <tr r="P570" s="7"/>
      </tp>
      <tp>
        <v>2713</v>
        <stp/>
        <stp>Market</stp>
        <stp>STOCK</stp>
        <stp>57110.T</stp>
        <stp>安値</stp>
        <tr r="P607" s="7"/>
      </tp>
      <tp>
        <v>876</v>
        <stp/>
        <stp>Market</stp>
        <stp>STOCK</stp>
        <stp>54910.T</stp>
        <stp>安値</stp>
        <tr r="P598" s="7"/>
      </tp>
      <tp>
        <v>2268</v>
        <stp/>
        <stp>Market</stp>
        <stp>STOCK</stp>
        <stp>54110.T</stp>
        <stp>安値</stp>
        <tr r="P594" s="7"/>
      </tp>
      <tp>
        <v>3486</v>
        <stp/>
        <stp>Market</stp>
        <stp>STOCK</stp>
        <stp>54010.T</stp>
        <stp>安値</stp>
        <tr r="P590" s="7"/>
      </tp>
      <tp t="s">
        <v>表示銘柄数超過</v>
        <stp/>
        <stp>Market</stp>
        <stp>STOCK</stp>
        <stp>28510.T</stp>
        <stp>安値</stp>
        <tr r="P203" s="7"/>
      </tp>
      <tp t="s">
        <v>表示銘柄数超過</v>
        <stp/>
        <stp>Market</stp>
        <stp>STOCK</stp>
        <stp>29010.T</stp>
        <stp>安値</stp>
        <tr r="P213" s="7"/>
      </tp>
      <tp t="s">
        <v>表示銘柄数超過</v>
        <stp/>
        <stp>Market</stp>
        <stp>STOCK</stp>
        <stp>22410.T</stp>
        <stp>安値</stp>
        <tr r="P107" s="7"/>
      </tp>
      <tp t="s">
        <v>表示銘柄数超過</v>
        <stp/>
        <stp>Market</stp>
        <stp>STOCK</stp>
        <stp>23510.T</stp>
        <stp>安値</stp>
        <tr r="P123" s="7"/>
      </tp>
      <tp t="s">
        <v>表示銘柄数超過</v>
        <stp/>
        <stp>Market</stp>
        <stp>STOCK</stp>
        <stp>23410.T</stp>
        <stp>安値</stp>
        <tr r="P120" s="7"/>
      </tp>
      <tp t="s">
        <v>表示銘柄数超過</v>
        <stp/>
        <stp>Market</stp>
        <stp>STOCK</stp>
        <stp>23210.T</stp>
        <stp>安値</stp>
        <tr r="P115" s="7"/>
      </tp>
      <tp t="s">
        <v>表示銘柄数超過</v>
        <stp/>
        <stp>Market</stp>
        <stp>STOCK</stp>
        <stp>26810.T</stp>
        <stp>安値</stp>
        <tr r="P180" s="7"/>
      </tp>
      <tp t="s">
        <v>表示銘柄数超過</v>
        <stp/>
        <stp>Market</stp>
        <stp>STOCK</stp>
        <stp>26510.T</stp>
        <stp>安値</stp>
        <tr r="P175" s="7"/>
      </tp>
      <tp t="s">
        <v>表示銘柄数超過</v>
        <stp/>
        <stp>Market</stp>
        <stp>STOCK</stp>
        <stp>26210.T</stp>
        <stp>安値</stp>
        <tr r="P170" s="7"/>
      </tp>
      <tp t="s">
        <v>表示銘柄数超過</v>
        <stp/>
        <stp>Market</stp>
        <stp>STOCK</stp>
        <stp>27210.T</stp>
        <stp>安値</stp>
        <tr r="P187" s="7"/>
      </tp>
      <tp t="s">
        <v>表示銘柄数超過</v>
        <stp/>
        <stp>Market</stp>
        <stp>STOCK</stp>
        <stp>24710.T</stp>
        <stp>安値</stp>
        <tr r="P149" s="7"/>
      </tp>
      <tp t="s">
        <v>表示銘柄数超過</v>
        <stp/>
        <stp>Market</stp>
        <stp>STOCK</stp>
        <stp>24610.T</stp>
        <stp>安値</stp>
        <tr r="P147" s="7"/>
      </tp>
      <tp t="s">
        <v>表示銘柄数超過</v>
        <stp/>
        <stp>Market</stp>
        <stp>STOCK</stp>
        <stp>24110.T</stp>
        <stp>安値</stp>
        <tr r="P136" s="7"/>
      </tp>
      <tp t="s">
        <v>表示銘柄数超過</v>
        <stp/>
        <stp>Market</stp>
        <stp>STOCK</stp>
        <stp>25010.T</stp>
        <stp>安値</stp>
        <tr r="P156" s="7"/>
      </tp>
      <tp t="s">
        <v>表示銘柄数超過</v>
        <stp/>
        <stp>Market</stp>
        <stp>STOCK</stp>
        <stp>38510.T</stp>
        <stp>安値</stp>
        <tr r="P374" s="7"/>
      </tp>
      <tp t="s">
        <v>表示銘柄数超過</v>
        <stp/>
        <stp>Market</stp>
        <stp>STOCK</stp>
        <stp>38610.T</stp>
        <stp>安値</stp>
        <tr r="P379" s="7"/>
      </tp>
      <tp t="s">
        <v>表示銘柄数超過</v>
        <stp/>
        <stp>Market</stp>
        <stp>STOCK</stp>
        <stp>39110.T</stp>
        <stp>安値</stp>
        <tr r="P390" s="7"/>
      </tp>
      <tp t="s">
        <v>表示銘柄数超過</v>
        <stp/>
        <stp>Market</stp>
        <stp>STOCK</stp>
        <stp>32410.T</stp>
        <stp>安値</stp>
        <tr r="P262" s="7"/>
      </tp>
      <tp t="s">
        <v>表示銘柄数超過</v>
        <stp/>
        <stp>Market</stp>
        <stp>STOCK</stp>
        <stp>32710.T</stp>
        <stp>安値</stp>
        <tr r="P268" s="7"/>
      </tp>
      <tp t="s">
        <v>表示銘柄数超過</v>
        <stp/>
        <stp>Market</stp>
        <stp>STOCK</stp>
        <stp>32610.T</stp>
        <stp>安値</stp>
        <tr r="P265" s="7"/>
      </tp>
      <tp t="s">
        <v>表示銘柄数超過</v>
        <stp/>
        <stp>Market</stp>
        <stp>STOCK</stp>
        <stp>33410.T</stp>
        <stp>安値</stp>
        <tr r="P282" s="7"/>
      </tp>
      <tp t="s">
        <v>表示銘柄数超過</v>
        <stp/>
        <stp>Market</stp>
        <stp>STOCK</stp>
        <stp>30410.T</stp>
        <stp>安値</stp>
        <tr r="P231" s="7"/>
      </tp>
      <tp t="s">
        <v>表示銘柄数超過</v>
        <stp/>
        <stp>Market</stp>
        <stp>STOCK</stp>
        <stp>30710.T</stp>
        <stp>安値</stp>
        <tr r="P237" s="7"/>
      </tp>
      <tp t="s">
        <v>表示銘柄数超過</v>
        <stp/>
        <stp>Market</stp>
        <stp>STOCK</stp>
        <stp>30310.T</stp>
        <stp>安値</stp>
        <tr r="P226" s="7"/>
      </tp>
      <tp t="s">
        <v>表示銘柄数超過</v>
        <stp/>
        <stp>Market</stp>
        <stp>STOCK</stp>
        <stp>30210.T</stp>
        <stp>安値</stp>
        <tr r="P224" s="7"/>
      </tp>
      <tp t="s">
        <v>表示銘柄数超過</v>
        <stp/>
        <stp>Market</stp>
        <stp>STOCK</stp>
        <stp>31410.T</stp>
        <stp>安値</stp>
        <tr r="P247" s="7"/>
      </tp>
      <tp t="s">
        <v>表示銘柄数超過</v>
        <stp/>
        <stp>Market</stp>
        <stp>STOCK</stp>
        <stp>31010.T</stp>
        <stp>安値</stp>
        <tr r="P241" s="7"/>
      </tp>
      <tp t="s">
        <v>表示銘柄数超過</v>
        <stp/>
        <stp>Market</stp>
        <stp>STOCK</stp>
        <stp>31210.T</stp>
        <stp>安値</stp>
        <tr r="P244" s="7"/>
      </tp>
      <tp t="s">
        <v>表示銘柄数超過</v>
        <stp/>
        <stp>Market</stp>
        <stp>STOCK</stp>
        <stp>36910.T</stp>
        <stp>安値</stp>
        <tr r="P341" s="7"/>
      </tp>
      <tp t="s">
        <v>表示銘柄数超過</v>
        <stp/>
        <stp>Market</stp>
        <stp>STOCK</stp>
        <stp>36810.T</stp>
        <stp>安値</stp>
        <tr r="P337" s="7"/>
      </tp>
      <tp t="s">
        <v>表示銘柄数超過</v>
        <stp/>
        <stp>Market</stp>
        <stp>STOCK</stp>
        <stp>37410.T</stp>
        <stp>安値</stp>
        <tr r="P349" s="7"/>
      </tp>
      <tp t="s">
        <v>表示銘柄数超過</v>
        <stp/>
        <stp>Market</stp>
        <stp>STOCK</stp>
        <stp>34610.T</stp>
        <stp>安値</stp>
        <tr r="P301" s="7"/>
      </tp>
      <tp t="s">
        <v>表示銘柄数超過</v>
        <stp/>
        <stp>Market</stp>
        <stp>STOCK</stp>
        <stp>34010.T</stp>
        <stp>安値</stp>
        <tr r="P294" s="7"/>
      </tp>
      <tp t="s">
        <v>表示銘柄数超過</v>
        <stp/>
        <stp>Market</stp>
        <stp>STOCK</stp>
        <stp>35510.T</stp>
        <stp>安値</stp>
        <tr r="P307" s="7"/>
      </tp>
      <tp t="s">
        <v>表示銘柄数超過</v>
        <stp/>
        <stp>Market</stp>
        <stp>STOCK</stp>
        <stp>35410.T</stp>
        <stp>安値</stp>
        <tr r="P305" s="7"/>
      </tp>
      <tp t="s">
        <v>表示銘柄数超過</v>
        <stp/>
        <stp>Market</stp>
        <stp>STOCK</stp>
        <stp>35610.T</stp>
        <stp>安値</stp>
        <tr r="P309" s="7"/>
      </tp>
      <tp t="s">
        <v>表示銘柄数超過</v>
        <stp/>
        <stp>Market</stp>
        <stp>STOCK</stp>
        <stp>35210.T</stp>
        <stp>安値</stp>
        <tr r="P303" s="7"/>
      </tp>
      <tp t="s">
        <v>表示銘柄数超過</v>
        <stp/>
        <stp>Market</stp>
        <stp>STOCK</stp>
        <stp>18210.T</stp>
        <stp>安値</stp>
        <tr r="P62" s="7"/>
      </tp>
      <tp t="s">
        <v>表示銘柄数超過</v>
        <stp/>
        <stp>Market</stp>
        <stp>STOCK</stp>
        <stp>19410.T</stp>
        <stp>安値</stp>
        <tr r="P79" s="7"/>
      </tp>
      <tp t="s">
        <v>表示銘柄数超過</v>
        <stp/>
        <stp>Market</stp>
        <stp>STOCK</stp>
        <stp>19710.T</stp>
        <stp>安値</stp>
        <tr r="P85" s="7"/>
      </tp>
      <tp t="s">
        <v>表示銘柄数超過</v>
        <stp/>
        <stp>Market</stp>
        <stp>STOCK</stp>
        <stp>19110.T</stp>
        <stp>安値</stp>
        <tr r="P72" s="7"/>
      </tp>
      <tp t="s">
        <v>表示銘柄数超過</v>
        <stp/>
        <stp>Market</stp>
        <stp>STOCK</stp>
        <stp>13110.T</stp>
        <stp>安値</stp>
        <tr r="P5" s="7"/>
      </tp>
      <tp t="s">
        <v>表示銘柄数超過</v>
        <stp/>
        <stp>Market</stp>
        <stp>STOCK</stp>
        <stp>16710.T</stp>
        <stp>安値</stp>
        <tr r="P41" s="7"/>
      </tp>
      <tp t="s">
        <v>表示銘柄数超過</v>
        <stp/>
        <stp>Market</stp>
        <stp>STOCK</stp>
        <stp>17110.T</stp>
        <stp>安値</stp>
        <tr r="P46" s="7"/>
      </tp>
      <tp t="s">
        <v>表示銘柄数超過</v>
        <stp/>
        <stp>Market</stp>
        <stp>STOCK</stp>
        <stp>17210.T</stp>
        <stp>安値</stp>
        <tr r="P51" s="7"/>
      </tp>
      <tp t="s">
        <v>表示銘柄数超過</v>
        <stp/>
        <stp>Market</stp>
        <stp>STOCK</stp>
        <stp>14910.T</stp>
        <stp>安値</stp>
        <tr r="P29" s="7"/>
      </tp>
      <tp t="s">
        <v>表示銘柄数超過</v>
        <stp/>
        <stp>Market</stp>
        <stp>STOCK</stp>
        <stp>14510.T</stp>
        <stp>安値</stp>
        <tr r="P25" s="7"/>
      </tp>
      <tp t="s">
        <v>表示銘柄数超過</v>
        <stp/>
        <stp>Market</stp>
        <stp>STOCK</stp>
        <stp>14010.T</stp>
        <stp>安値</stp>
        <tr r="P18" s="7"/>
      </tp>
      <tp t="s">
        <v>表示銘柄数超過</v>
        <stp/>
        <stp>Market</stp>
        <stp>STOCK</stp>
        <stp>15510.T</stp>
        <stp>安値</stp>
        <tr r="P31" s="7"/>
      </tp>
      <tp t="s">
        <v>表示銘柄数超過</v>
        <stp/>
        <stp>Market</stp>
        <stp>STOCK</stp>
        <stp>15710.T</stp>
        <stp>安値</stp>
        <tr r="P34" s="7"/>
      </tp>
      <tp t="s">
        <v>表示銘柄数超過</v>
        <stp/>
        <stp>Market</stp>
        <stp>STOCK</stp>
        <stp>88020.T</stp>
        <stp>始値</stp>
        <tr r="L1051" s="7"/>
      </tp>
      <tp t="s">
        <v>表示銘柄数超過</v>
        <stp/>
        <stp>Market</stp>
        <stp>STOCK</stp>
        <stp>89120.T</stp>
        <stp>始値</stp>
        <tr r="L1063" s="7"/>
      </tp>
      <tp>
        <v>2470</v>
        <stp/>
        <stp>Market</stp>
        <stp>STOCK</stp>
        <stp>82520.T</stp>
        <stp>始値</stp>
        <tr r="L999" s="7"/>
      </tp>
      <tp>
        <v>1796</v>
        <stp/>
        <stp>Market</stp>
        <stp>STOCK</stp>
        <stp>82420.T</stp>
        <stp>始値</stp>
        <tr r="L996" s="7"/>
      </tp>
      <tp>
        <v>242</v>
        <stp/>
        <stp>Market</stp>
        <stp>STOCK</stp>
        <stp>82020.T</stp>
        <stp>始値</stp>
        <tr r="L990" s="7"/>
      </tp>
      <tp>
        <v>443</v>
        <stp/>
        <stp>Market</stp>
        <stp>STOCK</stp>
        <stp>86220.T</stp>
        <stp>始値</stp>
        <tr r="L1032" s="7"/>
      </tp>
      <tp>
        <v>255</v>
        <stp/>
        <stp>Market</stp>
        <stp>STOCK</stp>
        <stp>87420.T</stp>
        <stp>始値</stp>
        <tr r="L1042" s="7"/>
      </tp>
      <tp>
        <v>304</v>
        <stp/>
        <stp>Market</stp>
        <stp>STOCK</stp>
        <stp>87320.T</stp>
        <stp>始値</stp>
        <tr r="L1040" s="7"/>
      </tp>
      <tp>
        <v>496</v>
        <stp/>
        <stp>Market</stp>
        <stp>STOCK</stp>
        <stp>84620.T</stp>
        <stp>始値</stp>
        <tr r="L1012" s="7"/>
      </tp>
      <tp>
        <v>372</v>
        <stp/>
        <stp>Market</stp>
        <stp>STOCK</stp>
        <stp>85720.T</stp>
        <stp>始値</stp>
        <tr r="L1021" s="7"/>
      </tp>
      <tp>
        <v>233</v>
        <stp/>
        <stp>Market</stp>
        <stp>STOCK</stp>
        <stp>85620.T</stp>
        <stp>始値</stp>
        <tr r="L1019" s="7"/>
      </tp>
      <tp t="s">
        <v>表示銘柄数超過</v>
        <stp/>
        <stp>Market</stp>
        <stp>STOCK</stp>
        <stp>98420.T</stp>
        <stp>始値</stp>
        <tr r="L1172" s="7"/>
      </tp>
      <tp t="s">
        <v>表示銘柄数超過</v>
        <stp/>
        <stp>Market</stp>
        <stp>STOCK</stp>
        <stp>98120.T</stp>
        <stp>始値</stp>
        <tr r="L1170" s="7"/>
      </tp>
      <tp t="s">
        <v>表示銘柄数超過</v>
        <stp/>
        <stp>Market</stp>
        <stp>STOCK</stp>
        <stp>99820.T</stp>
        <stp>始値</stp>
        <tr r="L1188" s="7"/>
      </tp>
      <tp t="s">
        <v>表示銘柄数超過</v>
        <stp/>
        <stp>Market</stp>
        <stp>STOCK</stp>
        <stp>92720.T</stp>
        <stp>始値</stp>
        <tr r="L1106" s="7"/>
      </tp>
      <tp t="s">
        <v>表示銘柄数超過</v>
        <stp/>
        <stp>Market</stp>
        <stp>STOCK</stp>
        <stp>90420.T</stp>
        <stp>始値</stp>
        <tr r="L1086" s="7"/>
      </tp>
      <tp t="s">
        <v>表示銘柄数超過</v>
        <stp/>
        <stp>Market</stp>
        <stp>STOCK</stp>
        <stp>90220.T</stp>
        <stp>始値</stp>
        <tr r="L1082" s="7"/>
      </tp>
      <tp t="s">
        <v>表示銘柄数超過</v>
        <stp/>
        <stp>Market</stp>
        <stp>STOCK</stp>
        <stp>91420.T</stp>
        <stp>始値</stp>
        <tr r="L1098" s="7"/>
      </tp>
      <tp t="s">
        <v>表示銘柄数超過</v>
        <stp/>
        <stp>Market</stp>
        <stp>STOCK</stp>
        <stp>97820.T</stp>
        <stp>始値</stp>
        <tr r="L1166" s="7"/>
      </tp>
      <tp t="s">
        <v>表示銘柄数超過</v>
        <stp/>
        <stp>Market</stp>
        <stp>STOCK</stp>
        <stp>94120.T</stp>
        <stp>始値</stp>
        <tr r="L1118" s="7"/>
      </tp>
      <tp>
        <v>181.4</v>
        <stp/>
        <stp>Market</stp>
        <stp>STOCK</stp>
        <stp>94320.T</stp>
        <stp>始値</stp>
        <tr r="L1127" s="7"/>
      </tp>
      <tp t="s">
        <v>表示銘柄数超過</v>
        <stp/>
        <stp>Market</stp>
        <stp>STOCK</stp>
        <stp>95020.T</stp>
        <stp>始値</stp>
        <tr r="L1141" s="7"/>
      </tp>
      <tp t="s">
        <v>表示銘柄数超過</v>
        <stp/>
        <stp>Market</stp>
        <stp>STOCK</stp>
        <stp>95320.T</stp>
        <stp>始値</stp>
        <tr r="L1154" s="7"/>
      </tp>
      <tp t="s">
        <v>表示銘柄数超過</v>
        <stp/>
        <stp>Market</stp>
        <stp>STOCK</stp>
        <stp>95220.T</stp>
        <stp>始値</stp>
        <tr r="L1152" s="7"/>
      </tp>
      <tp t="s">
        <v>表示銘柄数超過</v>
        <stp/>
        <stp>Market</stp>
        <stp>STOCK</stp>
        <stp>48920.T</stp>
        <stp>始値</stp>
        <tr r="L550" s="7"/>
      </tp>
      <tp t="s">
        <v>表示銘柄数超過</v>
        <stp/>
        <stp>Market</stp>
        <stp>STOCK</stp>
        <stp>49120.T</stp>
        <stp>始値</stp>
        <tr r="L552" s="7"/>
      </tp>
      <tp t="s">
        <v>表示銘柄数超過</v>
        <stp/>
        <stp>Market</stp>
        <stp>STOCK</stp>
        <stp>49020.T</stp>
        <stp>始値</stp>
        <tr r="L551" s="7"/>
      </tp>
      <tp t="s">
        <v>表示銘柄数超過</v>
        <stp/>
        <stp>Market</stp>
        <stp>STOCK</stp>
        <stp>42020.T</stp>
        <stp>始値</stp>
        <tr r="L426" s="7"/>
      </tp>
      <tp t="s">
        <v>表示銘柄数超過</v>
        <stp/>
        <stp>Market</stp>
        <stp>STOCK</stp>
        <stp>43820.T</stp>
        <stp>始値</stp>
        <tr r="L455" s="7"/>
      </tp>
      <tp t="s">
        <v>表示銘柄数超過</v>
        <stp/>
        <stp>Market</stp>
        <stp>STOCK</stp>
        <stp>41920.T</stp>
        <stp>始値</stp>
        <tr r="L424" s="7"/>
      </tp>
      <tp t="s">
        <v>表示銘柄数超過</v>
        <stp/>
        <stp>Market</stp>
        <stp>STOCK</stp>
        <stp>46120.T</stp>
        <stp>始値</stp>
        <tr r="L509" s="7"/>
      </tp>
      <tp t="s">
        <v>表示銘柄数超過</v>
        <stp/>
        <stp>Market</stp>
        <stp>STOCK</stp>
        <stp>44920.T</stp>
        <stp>始値</stp>
        <tr r="L477" s="7"/>
      </tp>
      <tp t="s">
        <v>表示銘柄数超過</v>
        <stp/>
        <stp>Market</stp>
        <stp>STOCK</stp>
        <stp>44520.T</stp>
        <stp>始値</stp>
        <tr r="L469" s="7"/>
      </tp>
      <tp t="s">
        <v>表示銘柄数超過</v>
        <stp/>
        <stp>Market</stp>
        <stp>STOCK</stp>
        <stp>45920.T</stp>
        <stp>始値</stp>
        <tr r="L503" s="7"/>
      </tp>
      <tp t="s">
        <v>表示銘柄数超過</v>
        <stp/>
        <stp>Market</stp>
        <stp>STOCK</stp>
        <stp>45820.T</stp>
        <stp>始値</stp>
        <tr r="L497" s="7"/>
      </tp>
      <tp t="s">
        <v>表示銘柄数超過</v>
        <stp/>
        <stp>Market</stp>
        <stp>STOCK</stp>
        <stp>45720.T</stp>
        <stp>始値</stp>
        <tr r="L492" s="7"/>
      </tp>
      <tp>
        <v>743</v>
        <stp/>
        <stp>Market</stp>
        <stp>STOCK</stp>
        <stp>58520.T</stp>
        <stp>始値</stp>
        <tr r="L616" s="7"/>
      </tp>
      <tp>
        <v>2050</v>
        <stp/>
        <stp>Market</stp>
        <stp>STOCK</stp>
        <stp>58020.T</stp>
        <stp>始値</stp>
        <tr r="L612" s="7"/>
      </tp>
      <tp>
        <v>1069</v>
        <stp/>
        <stp>Market</stp>
        <stp>STOCK</stp>
        <stp>58320.T</stp>
        <stp>始値</stp>
        <tr r="L614" s="7"/>
      </tp>
      <tp>
        <v>142</v>
        <stp/>
        <stp>Market</stp>
        <stp>STOCK</stp>
        <stp>59520.T</stp>
        <stp>始値</stp>
        <tr r="L626" s="7"/>
      </tp>
      <tp>
        <v>901</v>
        <stp/>
        <stp>Market</stp>
        <stp>STOCK</stp>
        <stp>52620.T</stp>
        <stp>始値</stp>
        <tr r="L581" s="7"/>
      </tp>
      <tp t="s">
        <v>表示銘柄数超過</v>
        <stp/>
        <stp>Market</stp>
        <stp>STOCK</stp>
        <stp>50320.T</stp>
        <stp>始値</stp>
        <tr r="L565" s="7"/>
      </tp>
      <tp>
        <v>4840</v>
        <stp/>
        <stp>Market</stp>
        <stp>STOCK</stp>
        <stp>51920.T</stp>
        <stp>始値</stp>
        <tr r="L574" s="7"/>
      </tp>
      <tp>
        <v>1178</v>
        <stp/>
        <stp>Market</stp>
        <stp>STOCK</stp>
        <stp>56120.T</stp>
        <stp>始値</stp>
        <tr r="L601" s="7"/>
      </tp>
      <tp>
        <v>1640</v>
        <stp/>
        <stp>Market</stp>
        <stp>STOCK</stp>
        <stp>56320.T</stp>
        <stp>始値</stp>
        <tr r="L602" s="7"/>
      </tp>
      <tp>
        <v>1383</v>
        <stp/>
        <stp>Market</stp>
        <stp>STOCK</stp>
        <stp>68620.T</stp>
        <stp>始値</stp>
        <tr r="L779" s="7"/>
      </tp>
      <tp>
        <v>684</v>
        <stp/>
        <stp>Market</stp>
        <stp>STOCK</stp>
        <stp>69820.T</stp>
        <stp>始値</stp>
        <tr r="L799" s="7"/>
      </tp>
      <tp>
        <v>1267</v>
        <stp/>
        <stp>Market</stp>
        <stp>STOCK</stp>
        <stp>69520.T</stp>
        <stp>始値</stp>
        <tr r="L793" s="7"/>
      </tp>
      <tp>
        <v>1623</v>
        <stp/>
        <stp>Market</stp>
        <stp>STOCK</stp>
        <stp>69420.T</stp>
        <stp>始値</stp>
        <tr r="L792" s="7"/>
      </tp>
      <tp>
        <v>2449</v>
        <stp/>
        <stp>Market</stp>
        <stp>STOCK</stp>
        <stp>69020.T</stp>
        <stp>始値</stp>
        <tr r="L784" s="7"/>
      </tp>
      <tp>
        <v>593</v>
        <stp/>
        <stp>Market</stp>
        <stp>STOCK</stp>
        <stp>60920.T</stp>
        <stp>始値</stp>
        <tr r="L651" s="7"/>
      </tp>
      <tp t="s">
        <v/>
        <stp/>
        <stp>Market</stp>
        <stp>STOCK</stp>
        <stp>61920.T</stp>
        <stp>始値</stp>
        <tr r="L674" s="7"/>
      </tp>
      <tp>
        <v>1262</v>
        <stp/>
        <stp>Market</stp>
        <stp>STOCK</stp>
        <stp>61820.T</stp>
        <stp>始値</stp>
        <tr r="L668" s="7"/>
      </tp>
      <tp>
        <v>635</v>
        <stp/>
        <stp>Market</stp>
        <stp>STOCK</stp>
        <stp>66320.T</stp>
        <stp>始値</stp>
        <tr r="L741" s="7"/>
      </tp>
      <tp>
        <v>1409</v>
        <stp/>
        <stp>Market</stp>
        <stp>STOCK</stp>
        <stp>67520.T</stp>
        <stp>始値</stp>
        <tr r="L764" s="7"/>
      </tp>
      <tp>
        <v>467</v>
        <stp/>
        <stp>Market</stp>
        <stp>STOCK</stp>
        <stp>67420.T</stp>
        <stp>始値</stp>
        <tr r="L761" s="7"/>
      </tp>
      <tp>
        <v>7668</v>
        <stp/>
        <stp>Market</stp>
        <stp>STOCK</stp>
        <stp>67620.T</stp>
        <stp>始値</stp>
        <tr r="L768" s="7"/>
      </tp>
      <tp>
        <v>23460</v>
        <stp/>
        <stp>Market</stp>
        <stp>STOCK</stp>
        <stp>67020.T</stp>
        <stp>始値</stp>
        <tr r="L755" s="7"/>
      </tp>
      <tp>
        <v>309</v>
        <stp/>
        <stp>Market</stp>
        <stp>STOCK</stp>
        <stp>65520.T</stp>
        <stp>始値</stp>
        <tr r="L724" s="7"/>
      </tp>
      <tp t="s">
        <v/>
        <stp/>
        <stp>Market</stp>
        <stp>STOCK</stp>
        <stp>65020.T</stp>
        <stp>始値</stp>
        <tr r="L714" s="7"/>
      </tp>
      <tp>
        <v>632</v>
        <stp/>
        <stp>Market</stp>
        <stp>STOCK</stp>
        <stp>65220.T</stp>
        <stp>始値</stp>
        <tr r="L719" s="7"/>
      </tp>
      <tp>
        <v>1535</v>
        <stp/>
        <stp>Market</stp>
        <stp>STOCK</stp>
        <stp>79720.T</stp>
        <stp>始値</stp>
        <tr r="L961" s="7"/>
      </tp>
      <tp>
        <v>1412</v>
        <stp/>
        <stp>Market</stp>
        <stp>STOCK</stp>
        <stp>72720.T</stp>
        <stp>始値</stp>
        <tr r="L868" s="7"/>
      </tp>
      <tp>
        <v>668</v>
        <stp/>
        <stp>Market</stp>
        <stp>STOCK</stp>
        <stp>72120.T</stp>
        <stp>始値</stp>
        <tr r="L849" s="7"/>
      </tp>
      <tp>
        <v>2016</v>
        <stp/>
        <stp>Market</stp>
        <stp>STOCK</stp>
        <stp>72020.T</stp>
        <stp>始値</stp>
        <tr r="L845" s="7"/>
      </tp>
      <tp>
        <v>983</v>
        <stp/>
        <stp>Market</stp>
        <stp>STOCK</stp>
        <stp>72220.T</stp>
        <stp>始値</stp>
        <tr r="L852" s="7"/>
      </tp>
      <tp>
        <v>1637</v>
        <stp/>
        <stp>Market</stp>
        <stp>STOCK</stp>
        <stp>73420.T</stp>
        <stp>始値</stp>
        <tr r="L876" s="7"/>
      </tp>
      <tp>
        <v>975</v>
        <stp/>
        <stp>Market</stp>
        <stp>STOCK</stp>
        <stp>70620.T</stp>
        <stp>始値</stp>
        <tr r="L820" s="7"/>
      </tp>
      <tp>
        <v>3401</v>
        <stp/>
        <stp>Market</stp>
        <stp>STOCK</stp>
        <stp>70120.T</stp>
        <stp>始値</stp>
        <tr r="L807" s="7"/>
      </tp>
      <tp>
        <v>1500</v>
        <stp/>
        <stp>Market</stp>
        <stp>STOCK</stp>
        <stp>71820.T</stp>
        <stp>始値</stp>
        <tr r="L839" s="7"/>
      </tp>
      <tp>
        <v>933</v>
        <stp/>
        <stp>Market</stp>
        <stp>STOCK</stp>
        <stp>71720.T</stp>
        <stp>始値</stp>
        <tr r="L835" s="7"/>
      </tp>
      <tp>
        <v>2268</v>
        <stp/>
        <stp>Market</stp>
        <stp>STOCK</stp>
        <stp>71020.T</stp>
        <stp>始値</stp>
        <tr r="L825" s="7"/>
      </tp>
      <tp>
        <v>2030</v>
        <stp/>
        <stp>Market</stp>
        <stp>STOCK</stp>
        <stp>71220.T</stp>
        <stp>始値</stp>
        <tr r="L828" s="7"/>
      </tp>
      <tp>
        <v>64</v>
        <stp/>
        <stp>Market</stp>
        <stp>STOCK</stp>
        <stp>76920.T</stp>
        <stp>始値</stp>
        <tr r="L920" s="7"/>
      </tp>
      <tp>
        <v>180</v>
        <stp/>
        <stp>Market</stp>
        <stp>STOCK</stp>
        <stp>76020.T</stp>
        <stp>始値</stp>
        <tr r="L910" s="7"/>
      </tp>
      <tp>
        <v>838</v>
        <stp/>
        <stp>Market</stp>
        <stp>STOCK</stp>
        <stp>77920.T</stp>
        <stp>始値</stp>
        <tr r="L935" s="7"/>
      </tp>
      <tp>
        <v>1253</v>
        <stp/>
        <stp>Market</stp>
        <stp>STOCK</stp>
        <stp>77520.T</stp>
        <stp>始値</stp>
        <tr r="L929" s="7"/>
      </tp>
      <tp>
        <v>956</v>
        <stp/>
        <stp>Market</stp>
        <stp>STOCK</stp>
        <stp>77620.T</stp>
        <stp>始値</stp>
        <tr r="L930" s="7"/>
      </tp>
      <tp>
        <v>1723</v>
        <stp/>
        <stp>Market</stp>
        <stp>STOCK</stp>
        <stp>77320.T</stp>
        <stp>始値</stp>
        <tr r="L925" s="7"/>
      </tp>
      <tp>
        <v>507</v>
        <stp/>
        <stp>Market</stp>
        <stp>STOCK</stp>
        <stp>77220.T</stp>
        <stp>始値</stp>
        <tr r="L923" s="7"/>
      </tp>
      <tp>
        <v>933</v>
        <stp/>
        <stp>Market</stp>
        <stp>STOCK</stp>
        <stp>75120.T</stp>
        <stp>始値</stp>
        <tr r="L896" s="7"/>
      </tp>
      <tp t="s">
        <v>表示銘柄数超過</v>
        <stp/>
        <stp>Market</stp>
        <stp>STOCK</stp>
        <stp>18120.T</stp>
        <stp>始値</stp>
        <tr r="L60" s="7"/>
      </tp>
      <tp t="s">
        <v>表示銘柄数超過</v>
        <stp/>
        <stp>Market</stp>
        <stp>STOCK</stp>
        <stp>18020.T</stp>
        <stp>始値</stp>
        <tr r="L57" s="7"/>
      </tp>
      <tp t="s">
        <v>表示銘柄数超過</v>
        <stp/>
        <stp>Market</stp>
        <stp>STOCK</stp>
        <stp>19420.T</stp>
        <stp>始値</stp>
        <tr r="L80" s="7"/>
      </tp>
      <tp t="s">
        <v>表示銘柄数超過</v>
        <stp/>
        <stp>Market</stp>
        <stp>STOCK</stp>
        <stp>13320.T</stp>
        <stp>始値</stp>
        <tr r="L8" s="7"/>
      </tp>
      <tp t="s">
        <v>表示銘柄数超過</v>
        <stp/>
        <stp>Market</stp>
        <stp>STOCK</stp>
        <stp>16820.T</stp>
        <stp>始値</stp>
        <tr r="L43" s="7"/>
      </tp>
      <tp t="s">
        <v>表示銘柄数超過</v>
        <stp/>
        <stp>Market</stp>
        <stp>STOCK</stp>
        <stp>17120.T</stp>
        <stp>始値</stp>
        <tr r="L47" s="7"/>
      </tp>
      <tp t="s">
        <v>表示銘柄数超過</v>
        <stp/>
        <stp>Market</stp>
        <stp>STOCK</stp>
        <stp>14720.T</stp>
        <stp>始値</stp>
        <tr r="L28" s="7"/>
      </tp>
      <tp t="s">
        <v>表示銘柄数超過</v>
        <stp/>
        <stp>Market</stp>
        <stp>STOCK</stp>
        <stp>15520.T</stp>
        <stp>始値</stp>
        <tr r="L32" s="7"/>
      </tp>
      <tp t="s">
        <v>表示銘柄数超過</v>
        <stp/>
        <stp>Market</stp>
        <stp>STOCK</stp>
        <stp>15720.T</stp>
        <stp>始値</stp>
        <tr r="L35" s="7"/>
      </tp>
      <tp t="s">
        <v>表示銘柄数超過</v>
        <stp/>
        <stp>Market</stp>
        <stp>STOCK</stp>
        <stp>28520.T</stp>
        <stp>始値</stp>
        <tr r="L204" s="7"/>
      </tp>
      <tp t="s">
        <v>表示銘柄数超過</v>
        <stp/>
        <stp>Market</stp>
        <stp>STOCK</stp>
        <stp>29820.T</stp>
        <stp>始値</stp>
        <tr r="L217" s="7"/>
      </tp>
      <tp t="s">
        <v>表示銘柄数超過</v>
        <stp/>
        <stp>Market</stp>
        <stp>STOCK</stp>
        <stp>22420.T</stp>
        <stp>始値</stp>
        <tr r="L108" s="7"/>
      </tp>
      <tp t="s">
        <v>表示銘柄数超過</v>
        <stp/>
        <stp>Market</stp>
        <stp>STOCK</stp>
        <stp>21520.T</stp>
        <stp>始値</stp>
        <tr r="L95" s="7"/>
      </tp>
      <tp t="s">
        <v>表示銘柄数超過</v>
        <stp/>
        <stp>Market</stp>
        <stp>STOCK</stp>
        <stp>21620.T</stp>
        <stp>始値</stp>
        <tr r="L99" s="7"/>
      </tp>
      <tp t="s">
        <v>表示銘柄数超過</v>
        <stp/>
        <stp>Market</stp>
        <stp>STOCK</stp>
        <stp>27820.T</stp>
        <stp>始値</stp>
        <tr r="L199" s="7"/>
      </tp>
      <tp t="s">
        <v>表示銘柄数超過</v>
        <stp/>
        <stp>Market</stp>
        <stp>STOCK</stp>
        <stp>27620.T</stp>
        <stp>始値</stp>
        <tr r="L193" s="7"/>
      </tp>
      <tp t="s">
        <v>表示銘柄数超過</v>
        <stp/>
        <stp>Market</stp>
        <stp>STOCK</stp>
        <stp>27020.T</stp>
        <stp>始値</stp>
        <tr r="L186" s="7"/>
      </tp>
      <tp t="s">
        <v>表示銘柄数超過</v>
        <stp/>
        <stp>Market</stp>
        <stp>STOCK</stp>
        <stp>27220.T</stp>
        <stp>始値</stp>
        <tr r="L188" s="7"/>
      </tp>
      <tp t="s">
        <v>表示銘柄数超過</v>
        <stp/>
        <stp>Market</stp>
        <stp>STOCK</stp>
        <stp>24920.T</stp>
        <stp>始値</stp>
        <tr r="L154" s="7"/>
      </tp>
      <tp t="s">
        <v>表示銘柄数超過</v>
        <stp/>
        <stp>Market</stp>
        <stp>STOCK</stp>
        <stp>24120.T</stp>
        <stp>始値</stp>
        <tr r="L137" s="7"/>
      </tp>
      <tp t="s">
        <v>表示銘柄数超過</v>
        <stp/>
        <stp>Market</stp>
        <stp>STOCK</stp>
        <stp>24020.T</stp>
        <stp>始値</stp>
        <tr r="L132" s="7"/>
      </tp>
      <tp t="s">
        <v>表示銘柄数超過</v>
        <stp/>
        <stp>Market</stp>
        <stp>STOCK</stp>
        <stp>24320.T</stp>
        <stp>始値</stp>
        <tr r="L140" s="7"/>
      </tp>
      <tp t="s">
        <v>表示銘柄数超過</v>
        <stp/>
        <stp>Market</stp>
        <stp>STOCK</stp>
        <stp>38520.T</stp>
        <stp>始値</stp>
        <tr r="L375" s="7"/>
      </tp>
      <tp t="s">
        <v>表示銘柄数超過</v>
        <stp/>
        <stp>Market</stp>
        <stp>STOCK</stp>
        <stp>38420.T</stp>
        <stp>始値</stp>
        <tr r="L371" s="7"/>
      </tp>
      <tp t="s">
        <v>表示銘柄数超過</v>
        <stp/>
        <stp>Market</stp>
        <stp>STOCK</stp>
        <stp>39920.T</stp>
        <stp>始値</stp>
        <tr r="L406" s="7"/>
      </tp>
      <tp t="s">
        <v>表示銘柄数超過</v>
        <stp/>
        <stp>Market</stp>
        <stp>STOCK</stp>
        <stp>39020.T</stp>
        <stp>始値</stp>
        <tr r="L385" s="7"/>
      </tp>
      <tp t="s">
        <v>表示銘柄数超過</v>
        <stp/>
        <stp>Market</stp>
        <stp>STOCK</stp>
        <stp>32420.T</stp>
        <stp>始値</stp>
        <tr r="L263" s="7"/>
      </tp>
      <tp t="s">
        <v>表示銘柄数超過</v>
        <stp/>
        <stp>Market</stp>
        <stp>STOCK</stp>
        <stp>32320.T</stp>
        <stp>始値</stp>
        <tr r="L258" s="7"/>
      </tp>
      <tp t="s">
        <v>表示銘柄数超過</v>
        <stp/>
        <stp>Market</stp>
        <stp>STOCK</stp>
        <stp>33920.T</stp>
        <stp>始値</stp>
        <tr r="L293" s="7"/>
      </tp>
      <tp t="s">
        <v>表示銘柄数超過</v>
        <stp/>
        <stp>Market</stp>
        <stp>STOCK</stp>
        <stp>33820.T</stp>
        <stp>始値</stp>
        <tr r="L290" s="7"/>
      </tp>
      <tp t="s">
        <v>表示銘柄数超過</v>
        <stp/>
        <stp>Market</stp>
        <stp>STOCK</stp>
        <stp>33720.T</stp>
        <stp>始値</stp>
        <tr r="L288" s="7"/>
      </tp>
      <tp t="s">
        <v>表示銘柄数超過</v>
        <stp/>
        <stp>Market</stp>
        <stp>STOCK</stp>
        <stp>31920.T</stp>
        <stp>始値</stp>
        <tr r="L256" s="7"/>
      </tp>
      <tp t="s">
        <v>表示銘柄数超過</v>
        <stp/>
        <stp>Market</stp>
        <stp>STOCK</stp>
        <stp>31820.T</stp>
        <stp>始値</stp>
        <tr r="L251" s="7"/>
      </tp>
      <tp t="s">
        <v>表示銘柄数超過</v>
        <stp/>
        <stp>Market</stp>
        <stp>STOCK</stp>
        <stp>36820.T</stp>
        <stp>始値</stp>
        <tr r="L338" s="7"/>
      </tp>
      <tp t="s">
        <v>表示銘柄数超過</v>
        <stp/>
        <stp>Market</stp>
        <stp>STOCK</stp>
        <stp>36520.T</stp>
        <stp>始値</stp>
        <tr r="L322" s="7"/>
      </tp>
      <tp t="s">
        <v>表示銘柄数超過</v>
        <stp/>
        <stp>Market</stp>
        <stp>STOCK</stp>
        <stp>36720.T</stp>
        <stp>始値</stp>
        <tr r="L332" s="7"/>
      </tp>
      <tp t="s">
        <v>表示銘柄数超過</v>
        <stp/>
        <stp>Market</stp>
        <stp>STOCK</stp>
        <stp>36320.T</stp>
        <stp>始値</stp>
        <tr r="L316" s="7"/>
      </tp>
      <tp t="s">
        <v>表示銘柄数超過</v>
        <stp/>
        <stp>Market</stp>
        <stp>STOCK</stp>
        <stp>34220.T</stp>
        <stp>始値</stp>
        <tr r="L297" s="7"/>
      </tp>
      <tp t="s">
        <v>表示銘柄数超過</v>
        <stp/>
        <stp>Market</stp>
        <stp>STOCK</stp>
        <stp>88300.T</stp>
        <stp>安値</stp>
        <tr r="P1054" s="7"/>
      </tp>
      <tp>
        <v>360</v>
        <stp/>
        <stp>Market</stp>
        <stp>STOCK</stp>
        <stp>82300.T</stp>
        <stp>安値</stp>
        <tr r="P994" s="7"/>
      </tp>
      <tp>
        <v>2297</v>
        <stp/>
        <stp>Market</stp>
        <stp>STOCK</stp>
        <stp>80200.T</stp>
        <stp>安値</stp>
        <tr r="P968" s="7"/>
      </tp>
      <tp>
        <v>2291</v>
        <stp/>
        <stp>Market</stp>
        <stp>STOCK</stp>
        <stp>81500.T</stp>
        <stp>安値</stp>
        <tr r="P984" s="7"/>
      </tp>
      <tp t="s">
        <v>表示銘柄数超過</v>
        <stp/>
        <stp>Market</stp>
        <stp>STOCK</stp>
        <stp>87500.T</stp>
        <stp>安値</stp>
        <tr r="P1044" s="7"/>
      </tp>
      <tp>
        <v>301.10000000000002</v>
        <stp/>
        <stp>Market</stp>
        <stp>STOCK</stp>
        <stp>84100.T</stp>
        <stp>安値</stp>
        <tr r="P1010" s="7"/>
      </tp>
      <tp>
        <v>1334.5</v>
        <stp/>
        <stp>Market</stp>
        <stp>STOCK</stp>
        <stp>85700.T</stp>
        <stp>安値</stp>
        <tr r="P1020" s="7"/>
      </tp>
      <tp t="s">
        <v>表示銘柄数超過</v>
        <stp/>
        <stp>Market</stp>
        <stp>STOCK</stp>
        <stp>98900.T</stp>
        <stp>安値</stp>
        <tr r="P1177" s="7"/>
      </tp>
      <tp t="s">
        <v>表示銘柄数超過</v>
        <stp/>
        <stp>Market</stp>
        <stp>STOCK</stp>
        <stp>99900.T</stp>
        <stp>安値</stp>
        <tr r="P1190" s="7"/>
      </tp>
      <tp t="s">
        <v>表示銘柄数超過</v>
        <stp/>
        <stp>Market</stp>
        <stp>STOCK</stp>
        <stp>99800.T</stp>
        <stp>安値</stp>
        <tr r="P1187" s="7"/>
      </tp>
      <tp t="s">
        <v>表示銘柄数超過</v>
        <stp/>
        <stp>Market</stp>
        <stp>STOCK</stp>
        <stp>99300.T</stp>
        <stp>安値</stp>
        <tr r="P1183" s="7"/>
      </tp>
      <tp t="s">
        <v>表示銘柄数超過</v>
        <stp/>
        <stp>Market</stp>
        <stp>STOCK</stp>
        <stp>92700.T</stp>
        <stp>安値</stp>
        <tr r="P1105" s="7"/>
      </tp>
      <tp t="s">
        <v>表示銘柄数超過</v>
        <stp/>
        <stp>Market</stp>
        <stp>STOCK</stp>
        <stp>93800.T</stp>
        <stp>安値</stp>
        <tr r="P1112" s="7"/>
      </tp>
      <tp t="s">
        <v>表示銘柄数超過</v>
        <stp/>
        <stp>Market</stp>
        <stp>STOCK</stp>
        <stp>90900.T</stp>
        <stp>安値</stp>
        <tr r="P1092" s="7"/>
      </tp>
      <tp t="s">
        <v>表示銘柄数超過</v>
        <stp/>
        <stp>Market</stp>
        <stp>STOCK</stp>
        <stp>90200.T</stp>
        <stp>安値</stp>
        <tr r="P1081" s="7"/>
        <tr r="P1080" s="7"/>
      </tp>
      <tp t="s">
        <v>表示銘柄数超過</v>
        <stp/>
        <stp>Market</stp>
        <stp>STOCK</stp>
        <stp>96100.T</stp>
        <stp>安値</stp>
        <tr r="P1159" s="7"/>
      </tp>
      <tp t="s">
        <v>表示銘柄数超過</v>
        <stp/>
        <stp>Market</stp>
        <stp>STOCK</stp>
        <stp>97600.T</stp>
        <stp>安値</stp>
        <tr r="P1164" s="7"/>
      </tp>
      <tp t="s">
        <v>表示銘柄数超過</v>
        <stp/>
        <stp>Market</stp>
        <stp>STOCK</stp>
        <stp>94500.T</stp>
        <stp>安値</stp>
        <tr r="P1133" s="7"/>
      </tp>
      <tp t="s">
        <v>表示銘柄数超過</v>
        <stp/>
        <stp>Market</stp>
        <stp>STOCK</stp>
        <stp>94700.T</stp>
        <stp>安値</stp>
        <tr r="P1135" s="7"/>
      </tp>
      <tp t="s">
        <v>表示銘柄数超過</v>
        <stp/>
        <stp>Market</stp>
        <stp>STOCK</stp>
        <stp>95600.T</stp>
        <stp>安値</stp>
        <tr r="P1157" s="7"/>
      </tp>
      <tp>
        <v>472</v>
        <stp/>
        <stp>Market</stp>
        <stp>STOCK</stp>
        <stp>68400.T</stp>
        <stp>安値</stp>
        <tr r="P777" s="7"/>
      </tp>
      <tp>
        <v>1543</v>
        <stp/>
        <stp>Market</stp>
        <stp>STOCK</stp>
        <stp>68100.T</stp>
        <stp>安値</stp>
        <tr r="P774" s="7"/>
      </tp>
      <tp>
        <v>38940</v>
        <stp/>
        <stp>Market</stp>
        <stp>STOCK</stp>
        <stp>69200.T</stp>
        <stp>安値</stp>
        <tr r="P787" s="7"/>
      </tp>
      <tp>
        <v>349</v>
        <stp/>
        <stp>Market</stp>
        <stp>STOCK</stp>
        <stp>62400.T</stp>
        <stp>安値</stp>
        <tr r="P681" s="7"/>
      </tp>
      <tp>
        <v>1503</v>
        <stp/>
        <stp>Market</stp>
        <stp>STOCK</stp>
        <stp>63900.T</stp>
        <stp>安値</stp>
        <tr r="P698" s="7"/>
      </tp>
      <tp>
        <v>788</v>
        <stp/>
        <stp>Market</stp>
        <stp>STOCK</stp>
        <stp>63300.T</stp>
        <stp>安値</stp>
        <tr r="P688" s="7"/>
      </tp>
      <tp>
        <v>525</v>
        <stp/>
        <stp>Market</stp>
        <stp>STOCK</stp>
        <stp>61900.T</stp>
        <stp>安値</stp>
        <tr r="P673" s="7"/>
      </tp>
      <tp>
        <v>861</v>
        <stp/>
        <stp>Market</stp>
        <stp>STOCK</stp>
        <stp>61400.T</stp>
        <stp>安値</stp>
        <tr r="P658" s="7"/>
      </tp>
      <tp>
        <v>1711</v>
        <stp/>
        <stp>Market</stp>
        <stp>STOCK</stp>
        <stp>66400.T</stp>
        <stp>安値</stp>
        <tr r="P745" s="7"/>
      </tp>
      <tp>
        <v>1002</v>
        <stp/>
        <stp>Market</stp>
        <stp>STOCK</stp>
        <stp>66300.T</stp>
        <stp>安値</stp>
        <tr r="P740" s="7"/>
      </tp>
      <tp>
        <v>1684</v>
        <stp/>
        <stp>Market</stp>
        <stp>STOCK</stp>
        <stp>67500.T</stp>
        <stp>安値</stp>
        <tr r="P763" s="7"/>
      </tp>
      <tp>
        <v>20</v>
        <stp/>
        <stp>Market</stp>
        <stp>STOCK</stp>
        <stp>67400.T</stp>
        <stp>安値</stp>
        <tr r="P759" s="7"/>
      </tp>
      <tp>
        <v>589</v>
        <stp/>
        <stp>Market</stp>
        <stp>STOCK</stp>
        <stp>64800.T</stp>
        <stp>安値</stp>
        <tr r="P707" s="7"/>
      </tp>
      <tp>
        <v>457</v>
        <stp/>
        <stp>Market</stp>
        <stp>STOCK</stp>
        <stp>64400.T</stp>
        <stp>安値</stp>
        <tr r="P702" s="7"/>
      </tp>
      <tp>
        <v>821</v>
        <stp/>
        <stp>Market</stp>
        <stp>STOCK</stp>
        <stp>64700.T</stp>
        <stp>安値</stp>
        <tr r="P705" s="7"/>
      </tp>
      <tp>
        <v>702</v>
        <stp/>
        <stp>Market</stp>
        <stp>STOCK</stp>
        <stp>65800.T</stp>
        <stp>安値</stp>
        <tr r="P732" s="7"/>
      </tp>
      <tp>
        <v>158</v>
        <stp/>
        <stp>Market</stp>
        <stp>STOCK</stp>
        <stp>65500.T</stp>
        <stp>安値</stp>
        <tr r="P723" s="7"/>
      </tp>
      <tp>
        <v>651</v>
        <stp/>
        <stp>Market</stp>
        <stp>STOCK</stp>
        <stp>78000.T</stp>
        <stp>安値</stp>
        <tr r="P938" s="7"/>
      </tp>
      <tp>
        <v>680</v>
        <stp/>
        <stp>Market</stp>
        <stp>STOCK</stp>
        <stp>79400.T</stp>
        <stp>安値</stp>
        <tr r="P957" s="7"/>
      </tp>
      <tp>
        <v>1092</v>
        <stp/>
        <stp>Market</stp>
        <stp>STOCK</stp>
        <stp>72800.T</stp>
        <stp>安値</stp>
        <tr r="P869" s="7"/>
      </tp>
      <tp>
        <v>2047</v>
        <stp/>
        <stp>Market</stp>
        <stp>STOCK</stp>
        <stp>72400.T</stp>
        <stp>安値</stp>
        <tr r="P857" s="7"/>
      </tp>
      <tp>
        <v>3018</v>
        <stp/>
        <stp>Market</stp>
        <stp>STOCK</stp>
        <stp>72700.T</stp>
        <stp>安値</stp>
        <tr r="P867" s="7"/>
      </tp>
      <tp>
        <v>2453</v>
        <stp/>
        <stp>Market</stp>
        <stp>STOCK</stp>
        <stp>73500.T</stp>
        <stp>安値</stp>
        <tr r="P877" s="7"/>
      </tp>
      <tp>
        <v>1088</v>
        <stp/>
        <stp>Market</stp>
        <stp>STOCK</stp>
        <stp>73700.T</stp>
        <stp>安値</stp>
        <tr r="P881" s="7"/>
      </tp>
      <tp>
        <v>503</v>
        <stp/>
        <stp>Market</stp>
        <stp>STOCK</stp>
        <stp>70600.T</stp>
        <stp>安値</stp>
        <tr r="P819" s="7"/>
      </tp>
      <tp>
        <v>941.7</v>
        <stp/>
        <stp>Market</stp>
        <stp>STOCK</stp>
        <stp>71800.T</stp>
        <stp>安値</stp>
        <tr r="P838" s="7"/>
      </tp>
      <tp>
        <v>514</v>
        <stp/>
        <stp>Market</stp>
        <stp>STOCK</stp>
        <stp>71500.T</stp>
        <stp>安値</stp>
        <tr r="P831" s="7"/>
      </tp>
      <tp>
        <v>157</v>
        <stp/>
        <stp>Market</stp>
        <stp>STOCK</stp>
        <stp>76400.T</stp>
        <stp>安値</stp>
        <tr r="P917" s="7"/>
      </tp>
      <tp>
        <v>128</v>
        <stp/>
        <stp>Market</stp>
        <stp>STOCK</stp>
        <stp>76100.T</stp>
        <stp>安値</stp>
        <tr r="P912" s="7"/>
      </tp>
      <tp>
        <v>2310</v>
        <stp/>
        <stp>Market</stp>
        <stp>STOCK</stp>
        <stp>74200.T</stp>
        <stp>安値</stp>
        <tr r="P888" s="7"/>
      </tp>
      <tp>
        <v>495</v>
        <stp/>
        <stp>Market</stp>
        <stp>STOCK</stp>
        <stp>75900.T</stp>
        <stp>安値</stp>
        <tr r="P907" s="7"/>
      </tp>
      <tp t="s">
        <v>表示銘柄数超過</v>
        <stp/>
        <stp>Market</stp>
        <stp>STOCK</stp>
        <stp>48900.T</stp>
        <stp>安値</stp>
        <tr r="P548" s="7"/>
      </tp>
      <tp t="s">
        <v>表示銘柄数超過</v>
        <stp/>
        <stp>Market</stp>
        <stp>STOCK</stp>
        <stp>48000.T</stp>
        <stp>安値</stp>
        <tr r="P536" s="7"/>
      </tp>
      <tp t="s">
        <v>表示銘柄数超過</v>
        <stp/>
        <stp>Market</stp>
        <stp>STOCK</stp>
        <stp>48200.T</stp>
        <stp>安値</stp>
        <tr r="P538" s="7"/>
      </tp>
      <tp t="s">
        <v>表示銘柄数超過</v>
        <stp/>
        <stp>Market</stp>
        <stp>STOCK</stp>
        <stp>49600.T</stp>
        <stp>安値</stp>
        <tr r="P554" s="7"/>
      </tp>
      <tp t="s">
        <v>表示銘柄数超過</v>
        <stp/>
        <stp>Market</stp>
        <stp>STOCK</stp>
        <stp>49200.T</stp>
        <stp>安値</stp>
        <tr r="P553" s="7"/>
      </tp>
      <tp t="s">
        <v>表示銘柄数超過</v>
        <stp/>
        <stp>Market</stp>
        <stp>STOCK</stp>
        <stp>42000.T</stp>
        <stp>安値</stp>
        <tr r="P425" s="7"/>
      </tp>
      <tp t="s">
        <v>表示銘柄数超過</v>
        <stp/>
        <stp>Market</stp>
        <stp>STOCK</stp>
        <stp>43500.T</stp>
        <stp>安値</stp>
        <tr r="P447" s="7"/>
      </tp>
      <tp t="s">
        <v>表示銘柄数超過</v>
        <stp/>
        <stp>Market</stp>
        <stp>STOCK</stp>
        <stp>43700.T</stp>
        <stp>安値</stp>
        <tr r="P449" s="7"/>
      </tp>
      <tp t="s">
        <v>表示銘柄数超過</v>
        <stp/>
        <stp>Market</stp>
        <stp>STOCK</stp>
        <stp>41700.T</stp>
        <stp>安値</stp>
        <tr r="P420" s="7"/>
      </tp>
      <tp t="s">
        <v>表示銘柄数超過</v>
        <stp/>
        <stp>Market</stp>
        <stp>STOCK</stp>
        <stp>46900.T</stp>
        <stp>安値</stp>
        <tr r="P521" s="7"/>
      </tp>
      <tp t="s">
        <v>表示銘柄数超過</v>
        <stp/>
        <stp>Market</stp>
        <stp>STOCK</stp>
        <stp>46800.T</stp>
        <stp>安値</stp>
        <tr r="P519" s="7"/>
      </tp>
      <tp t="s">
        <v>表示銘柄数超過</v>
        <stp/>
        <stp>Market</stp>
        <stp>STOCK</stp>
        <stp>46200.T</stp>
        <stp>安値</stp>
        <tr r="P512" s="7"/>
      </tp>
      <tp t="s">
        <v>表示銘柄数超過</v>
        <stp/>
        <stp>Market</stp>
        <stp>STOCK</stp>
        <stp>47700.T</stp>
        <stp>安値</stp>
        <tr r="P532" s="7"/>
      </tp>
      <tp t="s">
        <v>表示銘柄数超過</v>
        <stp/>
        <stp>Market</stp>
        <stp>STOCK</stp>
        <stp>47200.T</stp>
        <stp>安値</stp>
        <tr r="P526" s="7"/>
      </tp>
      <tp t="s">
        <v>表示銘柄数超過</v>
        <stp/>
        <stp>Market</stp>
        <stp>STOCK</stp>
        <stp>45700.T</stp>
        <stp>安値</stp>
        <tr r="P490" s="7"/>
      </tp>
      <tp>
        <v>108</v>
        <stp/>
        <stp>Market</stp>
        <stp>STOCK</stp>
        <stp>59500.T</stp>
        <stp>安値</stp>
        <tr r="P625" s="7"/>
      </tp>
      <tp>
        <v>77</v>
        <stp/>
        <stp>Market</stp>
        <stp>STOCK</stp>
        <stp>59400.T</stp>
        <stp>安値</stp>
        <tr r="P622" s="7"/>
      </tp>
      <tp>
        <v>2035</v>
        <stp/>
        <stp>Market</stp>
        <stp>STOCK</stp>
        <stp>59700.T</stp>
        <stp>安値</stp>
        <tr r="P629" s="7"/>
      </tp>
      <tp t="s">
        <v>表示銘柄数超過</v>
        <stp/>
        <stp>Market</stp>
        <stp>STOCK</stp>
        <stp>50100.T</stp>
        <stp>安値</stp>
        <tr r="P558" s="7"/>
      </tp>
      <tp t="s">
        <v>表示銘柄数超過</v>
        <stp/>
        <stp>Market</stp>
        <stp>STOCK</stp>
        <stp>50200.T</stp>
        <stp>安値</stp>
        <tr r="P562" s="7"/>
      </tp>
      <tp>
        <v>1716</v>
        <stp/>
        <stp>Market</stp>
        <stp>STOCK</stp>
        <stp>51100.T</stp>
        <stp>安値</stp>
        <tr r="P569" s="7"/>
      </tp>
      <tp>
        <v>5730</v>
        <stp/>
        <stp>Market</stp>
        <stp>STOCK</stp>
        <stp>54100.T</stp>
        <stp>安値</stp>
        <tr r="P593" s="7"/>
      </tp>
      <tp t="s">
        <v>表示銘柄数超過</v>
        <stp/>
        <stp>Market</stp>
        <stp>STOCK</stp>
        <stp>28100.T</stp>
        <stp>安値</stp>
        <tr r="P201" s="7"/>
      </tp>
      <tp t="s">
        <v>表示銘柄数超過</v>
        <stp/>
        <stp>Market</stp>
        <stp>STOCK</stp>
        <stp>29300.T</stp>
        <stp>安値</stp>
        <tr r="P216" s="7"/>
      </tp>
      <tp t="s">
        <v>表示銘柄数超過</v>
        <stp/>
        <stp>Market</stp>
        <stp>STOCK</stp>
        <stp>22500.T</stp>
        <stp>安値</stp>
        <tr r="P109" s="7"/>
      </tp>
      <tp t="s">
        <v>表示銘柄数超過</v>
        <stp/>
        <stp>Market</stp>
        <stp>STOCK</stp>
        <stp>23400.T</stp>
        <stp>安値</stp>
        <tr r="P119" s="7"/>
      </tp>
      <tp t="s">
        <v>表示銘柄数超過</v>
        <stp/>
        <stp>Market</stp>
        <stp>STOCK</stp>
        <stp>23700.T</stp>
        <stp>安値</stp>
        <tr r="P126" s="7"/>
      </tp>
      <tp t="s">
        <v>表示銘柄数超過</v>
        <stp/>
        <stp>Market</stp>
        <stp>STOCK</stp>
        <stp>23300.T</stp>
        <stp>安値</stp>
        <tr r="P117" s="7"/>
      </tp>
      <tp t="s">
        <v>表示銘柄数超過</v>
        <stp/>
        <stp>Market</stp>
        <stp>STOCK</stp>
        <stp>21500.T</stp>
        <stp>安値</stp>
        <tr r="P94" s="7"/>
      </tp>
      <tp t="s">
        <v>表示銘柄数超過</v>
        <stp/>
        <stp>Market</stp>
        <stp>STOCK</stp>
        <stp>21600.T</stp>
        <stp>安値</stp>
        <tr r="P98" s="7"/>
      </tp>
      <tp t="s">
        <v>表示銘柄数超過</v>
        <stp/>
        <stp>Market</stp>
        <stp>STOCK</stp>
        <stp>21200.T</stp>
        <stp>安値</stp>
        <tr r="P90" s="7"/>
      </tp>
      <tp t="s">
        <v>表示銘柄数超過</v>
        <stp/>
        <stp>Market</stp>
        <stp>STOCK</stp>
        <stp>26200.T</stp>
        <stp>安値</stp>
        <tr r="P169" s="7"/>
      </tp>
      <tp t="s">
        <v>表示銘柄数超過</v>
        <stp/>
        <stp>Market</stp>
        <stp>STOCK</stp>
        <stp>27900.T</stp>
        <stp>安値</stp>
        <tr r="P200" s="7"/>
      </tp>
      <tp t="s">
        <v>表示銘柄数超過</v>
        <stp/>
        <stp>Market</stp>
        <stp>STOCK</stp>
        <stp>24100.T</stp>
        <stp>安値</stp>
        <tr r="P135" s="7"/>
      </tp>
      <tp t="s">
        <v>表示銘柄数超過</v>
        <stp/>
        <stp>Market</stp>
        <stp>STOCK</stp>
        <stp>25100.T</stp>
        <stp>安値</stp>
        <tr r="P157" s="7"/>
      </tp>
      <tp t="s">
        <v>表示銘柄数超過</v>
        <stp/>
        <stp>Market</stp>
        <stp>STOCK</stp>
        <stp>38800.T</stp>
        <stp>安値</stp>
        <tr r="P383" s="7"/>
      </tp>
      <tp t="s">
        <v>表示銘柄数超過</v>
        <stp/>
        <stp>Market</stp>
        <stp>STOCK</stp>
        <stp>38500.T</stp>
        <stp>安値</stp>
        <tr r="P373" s="7"/>
      </tp>
      <tp t="s">
        <v>表示銘柄数超過</v>
        <stp/>
        <stp>Market</stp>
        <stp>STOCK</stp>
        <stp>38400.T</stp>
        <stp>安値</stp>
        <tr r="P370" s="7"/>
      </tp>
      <tp t="s">
        <v>表示銘柄数超過</v>
        <stp/>
        <stp>Market</stp>
        <stp>STOCK</stp>
        <stp>38100.T</stp>
        <stp>安値</stp>
        <tr r="P362" s="7"/>
      </tp>
      <tp t="s">
        <v>表示銘柄数超過</v>
        <stp/>
        <stp>Market</stp>
        <stp>STOCK</stp>
        <stp>39900.T</stp>
        <stp>安値</stp>
        <tr r="P405" s="7"/>
      </tp>
      <tp t="s">
        <v>表示銘柄数超過</v>
        <stp/>
        <stp>Market</stp>
        <stp>STOCK</stp>
        <stp>39400.T</stp>
        <stp>安値</stp>
        <tr r="P399" s="7"/>
      </tp>
      <tp t="s">
        <v>表示銘柄数超過</v>
        <stp/>
        <stp>Market</stp>
        <stp>STOCK</stp>
        <stp>39100.T</stp>
        <stp>安値</stp>
        <tr r="P389" s="7"/>
      </tp>
      <tp t="s">
        <v>表示銘柄数超過</v>
        <stp/>
        <stp>Market</stp>
        <stp>STOCK</stp>
        <stp>39000.T</stp>
        <stp>安値</stp>
        <tr r="P384" s="7"/>
      </tp>
      <tp t="s">
        <v>表示銘柄数超過</v>
        <stp/>
        <stp>Market</stp>
        <stp>STOCK</stp>
        <stp>39200.T</stp>
        <stp>安値</stp>
        <tr r="P392" s="7"/>
      </tp>
      <tp t="s">
        <v>表示銘柄数超過</v>
        <stp/>
        <stp>Market</stp>
        <stp>STOCK</stp>
        <stp>33500.T</stp>
        <stp>安値</stp>
        <tr r="P283" s="7"/>
      </tp>
      <tp t="s">
        <v>表示銘柄数超過</v>
        <stp/>
        <stp>Market</stp>
        <stp>STOCK</stp>
        <stp>33700.T</stp>
        <stp>安値</stp>
        <tr r="P287" s="7"/>
      </tp>
      <tp t="s">
        <v>表示銘柄数超過</v>
        <stp/>
        <stp>Market</stp>
        <stp>STOCK</stp>
        <stp>33000.T</stp>
        <stp>安値</stp>
        <tr r="P275" s="7"/>
      </tp>
      <tp t="s">
        <v>表示銘柄数超過</v>
        <stp/>
        <stp>Market</stp>
        <stp>STOCK</stp>
        <stp>30500.T</stp>
        <stp>安値</stp>
        <tr r="P232" s="7"/>
      </tp>
      <tp t="s">
        <v>表示銘柄数超過</v>
        <stp/>
        <stp>Market</stp>
        <stp>STOCK</stp>
        <stp>30700.T</stp>
        <stp>安値</stp>
        <tr r="P236" s="7"/>
      </tp>
      <tp t="s">
        <v>表示銘柄数超過</v>
        <stp/>
        <stp>Market</stp>
        <stp>STOCK</stp>
        <stp>30100.T</stp>
        <stp>安値</stp>
        <tr r="P223" s="7"/>
      </tp>
      <tp t="s">
        <v>表示銘柄数超過</v>
        <stp/>
        <stp>Market</stp>
        <stp>STOCK</stp>
        <stp>30300.T</stp>
        <stp>安値</stp>
        <tr r="P225" s="7"/>
      </tp>
      <tp t="s">
        <v>表示銘柄数超過</v>
        <stp/>
        <stp>Market</stp>
        <stp>STOCK</stp>
        <stp>36800.T</stp>
        <stp>安値</stp>
        <tr r="P336" s="7"/>
      </tp>
      <tp t="s">
        <v>表示銘柄数超過</v>
        <stp/>
        <stp>Market</stp>
        <stp>STOCK</stp>
        <stp>36600.T</stp>
        <stp>安値</stp>
        <tr r="P325" s="7"/>
      </tp>
      <tp t="s">
        <v>表示銘柄数超過</v>
        <stp/>
        <stp>Market</stp>
        <stp>STOCK</stp>
        <stp>37700.T</stp>
        <stp>安値</stp>
        <tr r="P353" s="7"/>
      </tp>
      <tp t="s">
        <v>表示銘柄数超過</v>
        <stp/>
        <stp>Market</stp>
        <stp>STOCK</stp>
        <stp>37600.T</stp>
        <stp>安値</stp>
        <tr r="P352" s="7"/>
      </tp>
      <tp t="s">
        <v>表示銘柄数超過</v>
        <stp/>
        <stp>Market</stp>
        <stp>STOCK</stp>
        <stp>37100.T</stp>
        <stp>安値</stp>
        <tr r="P344" s="7"/>
      </tp>
      <tp t="s">
        <v>表示銘柄数超過</v>
        <stp/>
        <stp>Market</stp>
        <stp>STOCK</stp>
        <stp>35800.T</stp>
        <stp>安値</stp>
        <tr r="P310" s="7"/>
      </tp>
      <tp t="s">
        <v>表示銘柄数超過</v>
        <stp/>
        <stp>Market</stp>
        <stp>STOCK</stp>
        <stp>18400.T</stp>
        <stp>安値</stp>
        <tr r="P65" s="7"/>
      </tp>
      <tp t="s">
        <v>表示銘柄数超過</v>
        <stp/>
        <stp>Market</stp>
        <stp>STOCK</stp>
        <stp>19500.T</stp>
        <stp>安値</stp>
        <tr r="P81" s="7"/>
      </tp>
      <tp t="s">
        <v>表示銘柄数超過</v>
        <stp/>
        <stp>Market</stp>
        <stp>STOCK</stp>
        <stp>19600.T</stp>
        <stp>安値</stp>
        <tr r="P82" s="7"/>
      </tp>
      <tp t="s">
        <v>表示銘柄数超過</v>
        <stp/>
        <stp>Market</stp>
        <stp>STOCK</stp>
        <stp>19300.T</stp>
        <stp>安値</stp>
        <tr r="P76" s="7"/>
      </tp>
      <tp t="s">
        <v>表示銘柄数超過</v>
        <stp/>
        <stp>Market</stp>
        <stp>STOCK</stp>
        <stp>13600.T</stp>
        <stp>安値</stp>
        <tr r="P13" s="7"/>
      </tp>
      <tp t="s">
        <v>表示銘柄数超過</v>
        <stp/>
        <stp>Market</stp>
        <stp>STOCK</stp>
        <stp>17700.T</stp>
        <stp>安値</stp>
        <tr r="P55" s="7"/>
      </tp>
      <tp t="s">
        <v>表示銘柄数超過</v>
        <stp/>
        <stp>Market</stp>
        <stp>STOCK</stp>
        <stp>17300.T</stp>
        <stp>安値</stp>
        <tr r="P52" s="7"/>
      </tp>
      <tp t="s">
        <v>表示銘柄数超過</v>
        <stp/>
        <stp>Market</stp>
        <stp>STOCK</stp>
        <stp>17200.T</stp>
        <stp>安値</stp>
        <tr r="P50" s="7"/>
      </tp>
      <tp t="s">
        <v>表示銘柄数超過</v>
        <stp/>
        <stp>Market</stp>
        <stp>STOCK</stp>
        <stp>14000.T</stp>
        <stp>安値</stp>
        <tr r="P17" s="7"/>
      </tp>
      <tp t="s">
        <v>表示銘柄数超過</v>
        <stp/>
        <stp>Market</stp>
        <stp>STOCK</stp>
        <stp>14300.T</stp>
        <stp>安値</stp>
        <tr r="P22" s="7"/>
      </tp>
      <tp t="s">
        <v>表示銘柄数超過</v>
        <stp/>
        <stp>Market</stp>
        <stp>STOCK</stp>
        <stp>88810.T</stp>
        <stp>始値</stp>
        <tr r="L1057" s="7"/>
      </tp>
      <tp t="s">
        <v>表示銘柄数超過</v>
        <stp/>
        <stp>Market</stp>
        <stp>STOCK</stp>
        <stp>88410.T</stp>
        <stp>始値</stp>
        <tr r="L1055" s="7"/>
      </tp>
      <tp t="s">
        <v>表示銘柄数超過</v>
        <stp/>
        <stp>Market</stp>
        <stp>STOCK</stp>
        <stp>88010.T</stp>
        <stp>始値</stp>
        <tr r="L1050" s="7"/>
      </tp>
      <tp>
        <v>490</v>
        <stp/>
        <stp>Market</stp>
        <stp>STOCK</stp>
        <stp>82910.T</stp>
        <stp>始値</stp>
        <tr r="L1002" s="7"/>
      </tp>
      <tp>
        <v>1096.5</v>
        <stp/>
        <stp>Market</stp>
        <stp>STOCK</stp>
        <stp>83310.T</stp>
        <stp>始値</stp>
        <tr r="L1004" s="7"/>
      </tp>
      <tp>
        <v>1510</v>
        <stp/>
        <stp>Market</stp>
        <stp>STOCK</stp>
        <stp>80810.T</stp>
        <stp>始値</stp>
        <tr r="L974" s="7"/>
      </tp>
      <tp>
        <v>6525</v>
        <stp/>
        <stp>Market</stp>
        <stp>STOCK</stp>
        <stp>80010.T</stp>
        <stp>始値</stp>
        <tr r="L964" s="7"/>
      </tp>
      <tp>
        <v>5700</v>
        <stp/>
        <stp>Market</stp>
        <stp>STOCK</stp>
        <stp>80310.T</stp>
        <stp>始値</stp>
        <tr r="L969" s="7"/>
      </tp>
      <tp>
        <v>1007</v>
        <stp/>
        <stp>Market</stp>
        <stp>STOCK</stp>
        <stp>86010.T</stp>
        <stp>始値</stp>
        <tr r="L1025" s="7"/>
      </tp>
      <tp>
        <v>2864</v>
        <stp/>
        <stp>Market</stp>
        <stp>STOCK</stp>
        <stp>85910.T</stp>
        <stp>始値</stp>
        <tr r="L1023" s="7"/>
      </tp>
      <tp>
        <v>1568</v>
        <stp/>
        <stp>Market</stp>
        <stp>STOCK</stp>
        <stp>85110.T</stp>
        <stp>始値</stp>
        <tr r="L1015" s="7"/>
      </tp>
      <tp>
        <v>448.7</v>
        <stp/>
        <stp>Market</stp>
        <stp>STOCK</stp>
        <stp>98310.T</stp>
        <stp>始値</stp>
        <tr r="L1171" s="7"/>
      </tp>
      <tp t="s">
        <v>表示銘柄数超過</v>
        <stp/>
        <stp>Market</stp>
        <stp>STOCK</stp>
        <stp>92410.T</stp>
        <stp>始値</stp>
        <tr r="L1100" s="7"/>
      </tp>
      <tp t="s">
        <v>表示銘柄数超過</v>
        <stp/>
        <stp>Market</stp>
        <stp>STOCK</stp>
        <stp>93610.T</stp>
        <stp>始値</stp>
        <tr r="L1111" s="7"/>
      </tp>
      <tp t="s">
        <v>表示銘柄数超過</v>
        <stp/>
        <stp>Market</stp>
        <stp>STOCK</stp>
        <stp>90410.T</stp>
        <stp>始値</stp>
        <tr r="L1085" s="7"/>
      </tp>
      <tp t="s">
        <v>表示銘柄数超過</v>
        <stp/>
        <stp>Market</stp>
        <stp>STOCK</stp>
        <stp>90010.T</stp>
        <stp>始値</stp>
        <tr r="L1073" s="7"/>
      </tp>
      <tp t="s">
        <v>表示銘柄数超過</v>
        <stp/>
        <stp>Market</stp>
        <stp>STOCK</stp>
        <stp>91010.T</stp>
        <stp>始値</stp>
        <tr r="L1093" s="7"/>
      </tp>
      <tp t="s">
        <v>表示銘柄数超過</v>
        <stp/>
        <stp>Market</stp>
        <stp>STOCK</stp>
        <stp>94010.T</stp>
        <stp>始値</stp>
        <tr r="L1114" s="7"/>
      </tp>
      <tp t="s">
        <v>表示銘柄数超過</v>
        <stp/>
        <stp>Market</stp>
        <stp>STOCK</stp>
        <stp>94210.T</stp>
        <stp>始値</stp>
        <tr r="L1123" s="7"/>
      </tp>
      <tp t="s">
        <v>表示銘柄数超過</v>
        <stp/>
        <stp>Market</stp>
        <stp>STOCK</stp>
        <stp>95110.T</stp>
        <stp>始値</stp>
        <tr r="L1149" s="7"/>
      </tp>
      <tp t="s">
        <v>表示銘柄数超過</v>
        <stp/>
        <stp>Market</stp>
        <stp>STOCK</stp>
        <stp>95010.T</stp>
        <stp>始値</stp>
        <tr r="L1140" s="7"/>
      </tp>
      <tp t="s">
        <v>表示銘柄数超過</v>
        <stp/>
        <stp>Market</stp>
        <stp>STOCK</stp>
        <stp>95310.T</stp>
        <stp>始値</stp>
        <tr r="L1153" s="7"/>
      </tp>
      <tp t="s">
        <v>表示銘柄数超過</v>
        <stp/>
        <stp>Market</stp>
        <stp>STOCK</stp>
        <stp>48910.T</stp>
        <stp>始値</stp>
        <tr r="L549" s="7"/>
      </tp>
      <tp t="s">
        <v>表示銘柄数超過</v>
        <stp/>
        <stp>Market</stp>
        <stp>STOCK</stp>
        <stp>48810.T</stp>
        <stp>始値</stp>
        <tr r="L545" s="7"/>
      </tp>
      <tp t="s">
        <v>表示銘柄数超過</v>
        <stp/>
        <stp>Market</stp>
        <stp>STOCK</stp>
        <stp>42410.T</stp>
        <stp>始値</stp>
        <tr r="L429" s="7"/>
      </tp>
      <tp t="s">
        <v>表示銘柄数超過</v>
        <stp/>
        <stp>Market</stp>
        <stp>STOCK</stp>
        <stp>40110.T</stp>
        <stp>始値</stp>
        <tr r="L411" s="7"/>
      </tp>
      <tp t="s">
        <v>表示銘柄数超過</v>
        <stp/>
        <stp>Market</stp>
        <stp>STOCK</stp>
        <stp>46510.T</stp>
        <stp>始値</stp>
        <tr r="L513" s="7"/>
      </tp>
      <tp t="s">
        <v>表示銘柄数超過</v>
        <stp/>
        <stp>Market</stp>
        <stp>STOCK</stp>
        <stp>46110.T</stp>
        <stp>始値</stp>
        <tr r="L508" s="7"/>
      </tp>
      <tp t="s">
        <v>表示銘柄数超過</v>
        <stp/>
        <stp>Market</stp>
        <stp>STOCK</stp>
        <stp>46310.T</stp>
        <stp>始値</stp>
        <tr r="L470" s="7"/>
      </tp>
      <tp t="s">
        <v>表示銘柄数超過</v>
        <stp/>
        <stp>Market</stp>
        <stp>STOCK</stp>
        <stp>47510.T</stp>
        <stp>始値</stp>
        <tr r="L528" s="7"/>
      </tp>
      <tp t="s">
        <v>表示銘柄数超過</v>
        <stp/>
        <stp>Market</stp>
        <stp>STOCK</stp>
        <stp>44410.T</stp>
        <stp>始値</stp>
        <tr r="L466" s="7"/>
      </tp>
      <tp t="s">
        <v>表示銘柄数超過</v>
        <stp/>
        <stp>Market</stp>
        <stp>STOCK</stp>
        <stp>45910.T</stp>
        <stp>始値</stp>
        <tr r="L502" s="7"/>
      </tp>
      <tp t="s">
        <v>表示銘柄数超過</v>
        <stp/>
        <stp>Market</stp>
        <stp>STOCK</stp>
        <stp>45710.T</stp>
        <stp>始値</stp>
        <tr r="L491" s="7"/>
      </tp>
      <tp t="s">
        <v>表示銘柄数超過</v>
        <stp/>
        <stp>Market</stp>
        <stp>STOCK</stp>
        <stp>45310.T</stp>
        <stp>始値</stp>
        <tr r="L483" s="7"/>
      </tp>
      <tp>
        <v>2737</v>
        <stp/>
        <stp>Market</stp>
        <stp>STOCK</stp>
        <stp>58010.T</stp>
        <stp>始値</stp>
        <tr r="L611" s="7"/>
      </tp>
      <tp>
        <v>1222.5</v>
        <stp/>
        <stp>Market</stp>
        <stp>STOCK</stp>
        <stp>59910.T</stp>
        <stp>始値</stp>
        <tr r="L633" s="7"/>
      </tp>
      <tp>
        <v>1347</v>
        <stp/>
        <stp>Market</stp>
        <stp>STOCK</stp>
        <stp>59810.T</stp>
        <stp>始値</stp>
        <tr r="L631" s="7"/>
      </tp>
      <tp>
        <v>466</v>
        <stp/>
        <stp>Market</stp>
        <stp>STOCK</stp>
        <stp>53810.T</stp>
        <stp>始値</stp>
        <tr r="L589" s="7"/>
      </tp>
      <tp>
        <v>431</v>
        <stp/>
        <stp>Market</stp>
        <stp>STOCK</stp>
        <stp>53410.T</stp>
        <stp>始値</stp>
        <tr r="L587" s="7"/>
      </tp>
      <tp t="s">
        <v>表示銘柄数超過</v>
        <stp/>
        <stp>Market</stp>
        <stp>STOCK</stp>
        <stp>50210.T</stp>
        <stp>始値</stp>
        <tr r="L563" s="7"/>
      </tp>
      <tp>
        <v>194</v>
        <stp/>
        <stp>Market</stp>
        <stp>STOCK</stp>
        <stp>51310.T</stp>
        <stp>始値</stp>
        <tr r="L572" s="7"/>
      </tp>
      <tp>
        <v>1426</v>
        <stp/>
        <stp>Market</stp>
        <stp>STOCK</stp>
        <stp>51210.T</stp>
        <stp>始値</stp>
        <tr r="L570" s="7"/>
      </tp>
      <tp>
        <v>2721</v>
        <stp/>
        <stp>Market</stp>
        <stp>STOCK</stp>
        <stp>57110.T</stp>
        <stp>始値</stp>
        <tr r="L607" s="7"/>
      </tp>
      <tp>
        <v>881</v>
        <stp/>
        <stp>Market</stp>
        <stp>STOCK</stp>
        <stp>54910.T</stp>
        <stp>始値</stp>
        <tr r="L598" s="7"/>
      </tp>
      <tp>
        <v>2313</v>
        <stp/>
        <stp>Market</stp>
        <stp>STOCK</stp>
        <stp>54110.T</stp>
        <stp>始値</stp>
        <tr r="L594" s="7"/>
      </tp>
      <tp>
        <v>3515</v>
        <stp/>
        <stp>Market</stp>
        <stp>STOCK</stp>
        <stp>54010.T</stp>
        <stp>始値</stp>
        <tr r="L590" s="7"/>
      </tp>
      <tp>
        <v>4240</v>
        <stp/>
        <stp>Market</stp>
        <stp>STOCK</stp>
        <stp>68710.T</stp>
        <stp>始値</stp>
        <tr r="L782" s="7"/>
      </tp>
      <tp>
        <v>3047</v>
        <stp/>
        <stp>Market</stp>
        <stp>STOCK</stp>
        <stp>69810.T</stp>
        <stp>始値</stp>
        <tr r="L798" s="7"/>
      </tp>
      <tp>
        <v>2286</v>
        <stp/>
        <stp>Market</stp>
        <stp>STOCK</stp>
        <stp>69410.T</stp>
        <stp>始値</stp>
        <tr r="L791" s="7"/>
      </tp>
      <tp>
        <v>1308</v>
        <stp/>
        <stp>Market</stp>
        <stp>STOCK</stp>
        <stp>63810.T</stp>
        <stp>始値</stp>
        <tr r="L696" s="7"/>
      </tp>
      <tp>
        <v>4270</v>
        <stp/>
        <stp>Market</stp>
        <stp>STOCK</stp>
        <stp>63010.T</stp>
        <stp>始値</stp>
        <tr r="L686" s="7"/>
      </tp>
      <tp>
        <v>535</v>
        <stp/>
        <stp>Market</stp>
        <stp>STOCK</stp>
        <stp>60910.T</stp>
        <stp>始値</stp>
        <tr r="L650" s="7"/>
      </tp>
      <tp>
        <v>290</v>
        <stp/>
        <stp>Market</stp>
        <stp>STOCK</stp>
        <stp>60810.T</stp>
        <stp>始値</stp>
        <tr r="L649" s="7"/>
      </tp>
      <tp>
        <v>789</v>
        <stp/>
        <stp>Market</stp>
        <stp>STOCK</stp>
        <stp>60310.T</stp>
        <stp>始値</stp>
        <tr r="L639" s="7"/>
      </tp>
      <tp>
        <v>113</v>
        <stp/>
        <stp>Market</stp>
        <stp>STOCK</stp>
        <stp>61810.T</stp>
        <stp>始値</stp>
        <tr r="L667" s="7"/>
      </tp>
      <tp>
        <v>951</v>
        <stp/>
        <stp>Market</stp>
        <stp>STOCK</stp>
        <stp>67410.T</stp>
        <stp>始値</stp>
        <tr r="L760" s="7"/>
      </tp>
      <tp>
        <v>9472</v>
        <stp/>
        <stp>Market</stp>
        <stp>STOCK</stp>
        <stp>67010.T</stp>
        <stp>始値</stp>
        <tr r="L754" s="7"/>
      </tp>
      <tp>
        <v>156</v>
        <stp/>
        <stp>Market</stp>
        <stp>STOCK</stp>
        <stp>67310.T</stp>
        <stp>始値</stp>
        <tr r="L758" s="7"/>
      </tp>
      <tp>
        <v>92</v>
        <stp/>
        <stp>Market</stp>
        <stp>STOCK</stp>
        <stp>67210.T</stp>
        <stp>始値</stp>
        <tr r="L756" s="7"/>
      </tp>
      <tp>
        <v>808.4</v>
        <stp/>
        <stp>Market</stp>
        <stp>STOCK</stp>
        <stp>64710.T</stp>
        <stp>始値</stp>
        <tr r="L706" s="7"/>
      </tp>
      <tp>
        <v>11750</v>
        <stp/>
        <stp>Market</stp>
        <stp>STOCK</stp>
        <stp>65010.T</stp>
        <stp>始値</stp>
        <tr r="L713" s="7"/>
      </tp>
      <tp>
        <v>250</v>
        <stp/>
        <stp>Market</stp>
        <stp>STOCK</stp>
        <stp>78510.T</stp>
        <stp>始値</stp>
        <tr r="L946" s="7"/>
      </tp>
      <tp>
        <v>392</v>
        <stp/>
        <stp>Market</stp>
        <stp>STOCK</stp>
        <stp>79710.T</stp>
        <stp>始値</stp>
        <tr r="L960" s="7"/>
      </tp>
      <tp>
        <v>3906</v>
        <stp/>
        <stp>Market</stp>
        <stp>STOCK</stp>
        <stp>79110.T</stp>
        <stp>始値</stp>
        <tr r="L954" s="7"/>
      </tp>
      <tp>
        <v>587</v>
        <stp/>
        <stp>Market</stp>
        <stp>STOCK</stp>
        <stp>72910.T</stp>
        <stp>始値</stp>
        <tr r="L871" s="7"/>
      </tp>
      <tp>
        <v>1843</v>
        <stp/>
        <stp>Market</stp>
        <stp>STOCK</stp>
        <stp>72610.T</stp>
        <stp>始値</stp>
        <tr r="L863" s="7"/>
      </tp>
      <tp>
        <v>447.3</v>
        <stp/>
        <stp>Market</stp>
        <stp>STOCK</stp>
        <stp>72110.T</stp>
        <stp>始値</stp>
        <tr r="L848" s="7"/>
      </tp>
      <tp>
        <v>600.20000000000005</v>
        <stp/>
        <stp>Market</stp>
        <stp>STOCK</stp>
        <stp>72010.T</stp>
        <stp>始値</stp>
        <tr r="L844" s="7"/>
      </tp>
      <tp>
        <v>579</v>
        <stp/>
        <stp>Market</stp>
        <stp>STOCK</stp>
        <stp>73510.T</stp>
        <stp>始値</stp>
        <tr r="L878" s="7"/>
      </tp>
      <tp>
        <v>516</v>
        <stp/>
        <stp>Market</stp>
        <stp>STOCK</stp>
        <stp>73710.T</stp>
        <stp>始値</stp>
        <tr r="L882" s="7"/>
      </tp>
      <tp>
        <v>520</v>
        <stp/>
        <stp>Market</stp>
        <stp>STOCK</stp>
        <stp>70410.T</stp>
        <stp>始値</stp>
        <tr r="L812" s="7"/>
      </tp>
      <tp>
        <v>10800</v>
        <stp/>
        <stp>Market</stp>
        <stp>STOCK</stp>
        <stp>70110.T</stp>
        <stp>始値</stp>
        <tr r="L806" s="7"/>
      </tp>
      <tp>
        <v>1215</v>
        <stp/>
        <stp>Market</stp>
        <stp>STOCK</stp>
        <stp>70310.T</stp>
        <stp>始値</stp>
        <tr r="L810" s="7"/>
      </tp>
      <tp>
        <v>555</v>
        <stp/>
        <stp>Market</stp>
        <stp>STOCK</stp>
        <stp>71610.T</stp>
        <stp>始値</stp>
        <tr r="L832" s="7"/>
      </tp>
      <tp>
        <v>84</v>
        <stp/>
        <stp>Market</stp>
        <stp>STOCK</stp>
        <stp>71110.T</stp>
        <stp>始値</stp>
        <tr r="L826" s="7"/>
      </tp>
      <tp>
        <v>259</v>
        <stp/>
        <stp>Market</stp>
        <stp>STOCK</stp>
        <stp>76010.T</stp>
        <stp>始値</stp>
        <tr r="L909" s="7"/>
      </tp>
      <tp>
        <v>4020</v>
        <stp/>
        <stp>Market</stp>
        <stp>STOCK</stp>
        <stp>77510.T</stp>
        <stp>始値</stp>
        <tr r="L928" s="7"/>
      </tp>
      <tp>
        <v>72</v>
        <stp/>
        <stp>Market</stp>
        <stp>STOCK</stp>
        <stp>77710.T</stp>
        <stp>始値</stp>
        <tr r="L931" s="7"/>
      </tp>
      <tp>
        <v>1868</v>
        <stp/>
        <stp>Market</stp>
        <stp>STOCK</stp>
        <stp>74810.T</stp>
        <stp>始値</stp>
        <tr r="L893" s="7"/>
      </tp>
      <tp t="s">
        <v>表示銘柄数超過</v>
        <stp/>
        <stp>Market</stp>
        <stp>STOCK</stp>
        <stp>18210.T</stp>
        <stp>始値</stp>
        <tr r="L62" s="7"/>
      </tp>
      <tp t="s">
        <v>表示銘柄数超過</v>
        <stp/>
        <stp>Market</stp>
        <stp>STOCK</stp>
        <stp>19410.T</stp>
        <stp>始値</stp>
        <tr r="L79" s="7"/>
      </tp>
      <tp t="s">
        <v>表示銘柄数超過</v>
        <stp/>
        <stp>Market</stp>
        <stp>STOCK</stp>
        <stp>19710.T</stp>
        <stp>始値</stp>
        <tr r="L85" s="7"/>
      </tp>
      <tp t="s">
        <v>表示銘柄数超過</v>
        <stp/>
        <stp>Market</stp>
        <stp>STOCK</stp>
        <stp>19110.T</stp>
        <stp>始値</stp>
        <tr r="L72" s="7"/>
      </tp>
      <tp t="s">
        <v>表示銘柄数超過</v>
        <stp/>
        <stp>Market</stp>
        <stp>STOCK</stp>
        <stp>13110.T</stp>
        <stp>始値</stp>
        <tr r="L5" s="7"/>
      </tp>
      <tp t="s">
        <v>表示銘柄数超過</v>
        <stp/>
        <stp>Market</stp>
        <stp>STOCK</stp>
        <stp>16710.T</stp>
        <stp>始値</stp>
        <tr r="L41" s="7"/>
      </tp>
      <tp t="s">
        <v>表示銘柄数超過</v>
        <stp/>
        <stp>Market</stp>
        <stp>STOCK</stp>
        <stp>17110.T</stp>
        <stp>始値</stp>
        <tr r="L46" s="7"/>
      </tp>
      <tp t="s">
        <v>表示銘柄数超過</v>
        <stp/>
        <stp>Market</stp>
        <stp>STOCK</stp>
        <stp>17210.T</stp>
        <stp>始値</stp>
        <tr r="L51" s="7"/>
      </tp>
      <tp t="s">
        <v>表示銘柄数超過</v>
        <stp/>
        <stp>Market</stp>
        <stp>STOCK</stp>
        <stp>14910.T</stp>
        <stp>始値</stp>
        <tr r="L29" s="7"/>
      </tp>
      <tp t="s">
        <v>表示銘柄数超過</v>
        <stp/>
        <stp>Market</stp>
        <stp>STOCK</stp>
        <stp>14510.T</stp>
        <stp>始値</stp>
        <tr r="L25" s="7"/>
      </tp>
      <tp t="s">
        <v>表示銘柄数超過</v>
        <stp/>
        <stp>Market</stp>
        <stp>STOCK</stp>
        <stp>14010.T</stp>
        <stp>始値</stp>
        <tr r="L18" s="7"/>
      </tp>
      <tp t="s">
        <v>表示銘柄数超過</v>
        <stp/>
        <stp>Market</stp>
        <stp>STOCK</stp>
        <stp>15510.T</stp>
        <stp>始値</stp>
        <tr r="L31" s="7"/>
      </tp>
      <tp t="s">
        <v>表示銘柄数超過</v>
        <stp/>
        <stp>Market</stp>
        <stp>STOCK</stp>
        <stp>15710.T</stp>
        <stp>始値</stp>
        <tr r="L34" s="7"/>
      </tp>
      <tp t="s">
        <v>表示銘柄数超過</v>
        <stp/>
        <stp>Market</stp>
        <stp>STOCK</stp>
        <stp>28510.T</stp>
        <stp>始値</stp>
        <tr r="L203" s="7"/>
      </tp>
      <tp t="s">
        <v>表示銘柄数超過</v>
        <stp/>
        <stp>Market</stp>
        <stp>STOCK</stp>
        <stp>29010.T</stp>
        <stp>始値</stp>
        <tr r="L213" s="7"/>
      </tp>
      <tp t="s">
        <v>表示銘柄数超過</v>
        <stp/>
        <stp>Market</stp>
        <stp>STOCK</stp>
        <stp>22410.T</stp>
        <stp>始値</stp>
        <tr r="L107" s="7"/>
      </tp>
      <tp t="s">
        <v>表示銘柄数超過</v>
        <stp/>
        <stp>Market</stp>
        <stp>STOCK</stp>
        <stp>23510.T</stp>
        <stp>始値</stp>
        <tr r="L123" s="7"/>
      </tp>
      <tp t="s">
        <v>表示銘柄数超過</v>
        <stp/>
        <stp>Market</stp>
        <stp>STOCK</stp>
        <stp>23410.T</stp>
        <stp>始値</stp>
        <tr r="L120" s="7"/>
      </tp>
      <tp t="s">
        <v>表示銘柄数超過</v>
        <stp/>
        <stp>Market</stp>
        <stp>STOCK</stp>
        <stp>23210.T</stp>
        <stp>始値</stp>
        <tr r="L115" s="7"/>
      </tp>
      <tp t="s">
        <v>表示銘柄数超過</v>
        <stp/>
        <stp>Market</stp>
        <stp>STOCK</stp>
        <stp>26810.T</stp>
        <stp>始値</stp>
        <tr r="L180" s="7"/>
      </tp>
      <tp t="s">
        <v>表示銘柄数超過</v>
        <stp/>
        <stp>Market</stp>
        <stp>STOCK</stp>
        <stp>26510.T</stp>
        <stp>始値</stp>
        <tr r="L175" s="7"/>
      </tp>
      <tp t="s">
        <v>表示銘柄数超過</v>
        <stp/>
        <stp>Market</stp>
        <stp>STOCK</stp>
        <stp>26210.T</stp>
        <stp>始値</stp>
        <tr r="L170" s="7"/>
      </tp>
      <tp t="s">
        <v>表示銘柄数超過</v>
        <stp/>
        <stp>Market</stp>
        <stp>STOCK</stp>
        <stp>27210.T</stp>
        <stp>始値</stp>
        <tr r="L187" s="7"/>
      </tp>
      <tp t="s">
        <v>表示銘柄数超過</v>
        <stp/>
        <stp>Market</stp>
        <stp>STOCK</stp>
        <stp>24710.T</stp>
        <stp>始値</stp>
        <tr r="L149" s="7"/>
      </tp>
      <tp t="s">
        <v>表示銘柄数超過</v>
        <stp/>
        <stp>Market</stp>
        <stp>STOCK</stp>
        <stp>24610.T</stp>
        <stp>始値</stp>
        <tr r="L147" s="7"/>
      </tp>
      <tp t="s">
        <v>表示銘柄数超過</v>
        <stp/>
        <stp>Market</stp>
        <stp>STOCK</stp>
        <stp>24110.T</stp>
        <stp>始値</stp>
        <tr r="L136" s="7"/>
      </tp>
      <tp t="s">
        <v>表示銘柄数超過</v>
        <stp/>
        <stp>Market</stp>
        <stp>STOCK</stp>
        <stp>25010.T</stp>
        <stp>始値</stp>
        <tr r="L156" s="7"/>
      </tp>
      <tp t="s">
        <v>表示銘柄数超過</v>
        <stp/>
        <stp>Market</stp>
        <stp>STOCK</stp>
        <stp>38510.T</stp>
        <stp>始値</stp>
        <tr r="L374" s="7"/>
      </tp>
      <tp t="s">
        <v>表示銘柄数超過</v>
        <stp/>
        <stp>Market</stp>
        <stp>STOCK</stp>
        <stp>38610.T</stp>
        <stp>始値</stp>
        <tr r="L379" s="7"/>
      </tp>
      <tp t="s">
        <v>表示銘柄数超過</v>
        <stp/>
        <stp>Market</stp>
        <stp>STOCK</stp>
        <stp>39110.T</stp>
        <stp>始値</stp>
        <tr r="L390" s="7"/>
      </tp>
      <tp t="s">
        <v>表示銘柄数超過</v>
        <stp/>
        <stp>Market</stp>
        <stp>STOCK</stp>
        <stp>32410.T</stp>
        <stp>始値</stp>
        <tr r="L262" s="7"/>
      </tp>
      <tp t="s">
        <v>表示銘柄数超過</v>
        <stp/>
        <stp>Market</stp>
        <stp>STOCK</stp>
        <stp>32710.T</stp>
        <stp>始値</stp>
        <tr r="L268" s="7"/>
      </tp>
      <tp t="s">
        <v>表示銘柄数超過</v>
        <stp/>
        <stp>Market</stp>
        <stp>STOCK</stp>
        <stp>32610.T</stp>
        <stp>始値</stp>
        <tr r="L265" s="7"/>
      </tp>
      <tp t="s">
        <v>表示銘柄数超過</v>
        <stp/>
        <stp>Market</stp>
        <stp>STOCK</stp>
        <stp>33410.T</stp>
        <stp>始値</stp>
        <tr r="L282" s="7"/>
      </tp>
      <tp t="s">
        <v>表示銘柄数超過</v>
        <stp/>
        <stp>Market</stp>
        <stp>STOCK</stp>
        <stp>30410.T</stp>
        <stp>始値</stp>
        <tr r="L231" s="7"/>
      </tp>
      <tp t="s">
        <v>表示銘柄数超過</v>
        <stp/>
        <stp>Market</stp>
        <stp>STOCK</stp>
        <stp>30710.T</stp>
        <stp>始値</stp>
        <tr r="L237" s="7"/>
      </tp>
      <tp t="s">
        <v>表示銘柄数超過</v>
        <stp/>
        <stp>Market</stp>
        <stp>STOCK</stp>
        <stp>30310.T</stp>
        <stp>始値</stp>
        <tr r="L226" s="7"/>
      </tp>
      <tp t="s">
        <v>表示銘柄数超過</v>
        <stp/>
        <stp>Market</stp>
        <stp>STOCK</stp>
        <stp>30210.T</stp>
        <stp>始値</stp>
        <tr r="L224" s="7"/>
      </tp>
      <tp t="s">
        <v>表示銘柄数超過</v>
        <stp/>
        <stp>Market</stp>
        <stp>STOCK</stp>
        <stp>31410.T</stp>
        <stp>始値</stp>
        <tr r="L247" s="7"/>
      </tp>
      <tp t="s">
        <v>表示銘柄数超過</v>
        <stp/>
        <stp>Market</stp>
        <stp>STOCK</stp>
        <stp>31010.T</stp>
        <stp>始値</stp>
        <tr r="L241" s="7"/>
      </tp>
      <tp t="s">
        <v>表示銘柄数超過</v>
        <stp/>
        <stp>Market</stp>
        <stp>STOCK</stp>
        <stp>31210.T</stp>
        <stp>始値</stp>
        <tr r="L244" s="7"/>
      </tp>
      <tp t="s">
        <v>表示銘柄数超過</v>
        <stp/>
        <stp>Market</stp>
        <stp>STOCK</stp>
        <stp>36910.T</stp>
        <stp>始値</stp>
        <tr r="L341" s="7"/>
      </tp>
      <tp t="s">
        <v>表示銘柄数超過</v>
        <stp/>
        <stp>Market</stp>
        <stp>STOCK</stp>
        <stp>36810.T</stp>
        <stp>始値</stp>
        <tr r="L337" s="7"/>
      </tp>
      <tp t="s">
        <v>表示銘柄数超過</v>
        <stp/>
        <stp>Market</stp>
        <stp>STOCK</stp>
        <stp>37410.T</stp>
        <stp>始値</stp>
        <tr r="L349" s="7"/>
      </tp>
      <tp t="s">
        <v>表示銘柄数超過</v>
        <stp/>
        <stp>Market</stp>
        <stp>STOCK</stp>
        <stp>34610.T</stp>
        <stp>始値</stp>
        <tr r="L301" s="7"/>
      </tp>
      <tp t="s">
        <v>表示銘柄数超過</v>
        <stp/>
        <stp>Market</stp>
        <stp>STOCK</stp>
        <stp>34010.T</stp>
        <stp>始値</stp>
        <tr r="L294" s="7"/>
      </tp>
      <tp t="s">
        <v>表示銘柄数超過</v>
        <stp/>
        <stp>Market</stp>
        <stp>STOCK</stp>
        <stp>35510.T</stp>
        <stp>始値</stp>
        <tr r="L307" s="7"/>
      </tp>
      <tp t="s">
        <v>表示銘柄数超過</v>
        <stp/>
        <stp>Market</stp>
        <stp>STOCK</stp>
        <stp>35410.T</stp>
        <stp>始値</stp>
        <tr r="L305" s="7"/>
      </tp>
      <tp t="s">
        <v>表示銘柄数超過</v>
        <stp/>
        <stp>Market</stp>
        <stp>STOCK</stp>
        <stp>35610.T</stp>
        <stp>始値</stp>
        <tr r="L309" s="7"/>
      </tp>
      <tp t="s">
        <v>表示銘柄数超過</v>
        <stp/>
        <stp>Market</stp>
        <stp>STOCK</stp>
        <stp>35210.T</stp>
        <stp>始値</stp>
        <tr r="L303" s="7"/>
      </tp>
      <tp t="s">
        <v>表示銘柄数超過</v>
        <stp/>
        <stp>Market</stp>
        <stp>STOCK</stp>
        <stp>88930.T</stp>
        <stp>安値</stp>
        <tr r="P1059" s="7"/>
      </tp>
      <tp t="s">
        <v>表示銘柄数超過</v>
        <stp/>
        <stp>Market</stp>
        <stp>STOCK</stp>
        <stp>89230.T</stp>
        <stp>安値</stp>
        <tr r="P1065" s="7"/>
      </tp>
      <tp>
        <v>626</v>
        <stp/>
        <stp>Market</stp>
        <stp>STOCK</stp>
        <stp>82030.T</stp>
        <stp>安値</stp>
        <tr r="P991" s="7"/>
      </tp>
      <tp>
        <v>1403</v>
        <stp/>
        <stp>Market</stp>
        <stp>STOCK</stp>
        <stp>83830.T</stp>
        <stp>安値</stp>
        <tr r="P1008" s="7"/>
      </tp>
      <tp>
        <v>3287</v>
        <stp/>
        <stp>Market</stp>
        <stp>STOCK</stp>
        <stp>80530.T</stp>
        <stp>安値</stp>
        <tr r="P970" s="7"/>
      </tp>
      <tp>
        <v>3435</v>
        <stp/>
        <stp>Market</stp>
        <stp>STOCK</stp>
        <stp>81530.T</stp>
        <stp>安値</stp>
        <tr r="P985" s="7"/>
      </tp>
      <tp>
        <v>284</v>
        <stp/>
        <stp>Market</stp>
        <stp>STOCK</stp>
        <stp>81430.T</stp>
        <stp>安値</stp>
        <tr r="P983" s="7"/>
      </tp>
      <tp>
        <v>2337</v>
        <stp/>
        <stp>Market</stp>
        <stp>STOCK</stp>
        <stp>81730.T</stp>
        <stp>安値</stp>
        <tr r="P987" s="7"/>
      </tp>
      <tp>
        <v>707</v>
        <stp/>
        <stp>Market</stp>
        <stp>STOCK</stp>
        <stp>81030.T</stp>
        <stp>安値</stp>
        <tr r="P976" s="7"/>
      </tp>
      <tp>
        <v>1541</v>
        <stp/>
        <stp>Market</stp>
        <stp>STOCK</stp>
        <stp>81330.T</stp>
        <stp>安値</stp>
        <tr r="P980" s="7"/>
      </tp>
      <tp>
        <v>919</v>
        <stp/>
        <stp>Market</stp>
        <stp>STOCK</stp>
        <stp>86130.T</stp>
        <stp>安値</stp>
        <tr r="P1028" s="7"/>
      </tp>
      <tp t="s">
        <v>表示銘柄数超過</v>
        <stp/>
        <stp>Market</stp>
        <stp>STOCK</stp>
        <stp>87930.T</stp>
        <stp>安値</stp>
        <tr r="P1049" s="7"/>
      </tp>
      <tp t="s">
        <v>表示銘柄数超過</v>
        <stp/>
        <stp>Market</stp>
        <stp>STOCK</stp>
        <stp>87830.T</stp>
        <stp>安値</stp>
        <tr r="P1047" s="7"/>
      </tp>
      <tp>
        <v>3658</v>
        <stp/>
        <stp>Market</stp>
        <stp>STOCK</stp>
        <stp>84730.T</stp>
        <stp>安値</stp>
        <tr r="P1013" s="7"/>
      </tp>
      <tp>
        <v>1039.5</v>
        <stp/>
        <stp>Market</stp>
        <stp>STOCK</stp>
        <stp>85930.T</stp>
        <stp>安値</stp>
        <tr r="P1024" s="7"/>
      </tp>
      <tp t="s">
        <v>表示銘柄数超過</v>
        <stp/>
        <stp>Market</stp>
        <stp>STOCK</stp>
        <stp>98530.T</stp>
        <stp>安値</stp>
        <tr r="P1173" s="7"/>
      </tp>
      <tp t="s">
        <v>表示銘柄数超過</v>
        <stp/>
        <stp>Market</stp>
        <stp>STOCK</stp>
        <stp>99730.T</stp>
        <stp>安値</stp>
        <tr r="P1186" s="7"/>
      </tp>
      <tp t="s">
        <v>表示銘柄数超過</v>
        <stp/>
        <stp>Market</stp>
        <stp>STOCK</stp>
        <stp>92630.T</stp>
        <stp>安値</stp>
        <tr r="P1104" s="7"/>
      </tp>
      <tp t="s">
        <v>表示銘柄数超過</v>
        <stp/>
        <stp>Market</stp>
        <stp>STOCK</stp>
        <stp>92130.T</stp>
        <stp>安値</stp>
        <tr r="P1099" s="7"/>
      </tp>
      <tp t="s">
        <v>表示銘柄数超過</v>
        <stp/>
        <stp>Market</stp>
        <stp>STOCK</stp>
        <stp>90630.T</stp>
        <stp>安値</stp>
        <tr r="P1090" s="7"/>
      </tp>
      <tp t="s">
        <v>表示銘柄数超過</v>
        <stp/>
        <stp>Market</stp>
        <stp>STOCK</stp>
        <stp>90030.T</stp>
        <stp>安値</stp>
        <tr r="P1074" s="7"/>
      </tp>
      <tp t="s">
        <v>表示銘柄数超過</v>
        <stp/>
        <stp>Market</stp>
        <stp>STOCK</stp>
        <stp>90330.T</stp>
        <stp>安値</stp>
        <tr r="P1084" s="7"/>
      </tp>
      <tp t="s">
        <v>表示銘柄数超過</v>
        <stp/>
        <stp>Market</stp>
        <stp>STOCK</stp>
        <stp>96130.T</stp>
        <stp>安値</stp>
        <tr r="P1160" s="7"/>
      </tp>
      <tp t="s">
        <v>表示銘柄数超過</v>
        <stp/>
        <stp>Market</stp>
        <stp>STOCK</stp>
        <stp>96030.T</stp>
        <stp>安値</stp>
        <tr r="P1158" s="7"/>
      </tp>
      <tp t="s">
        <v>表示銘柄数超過</v>
        <stp/>
        <stp>Market</stp>
        <stp>STOCK</stp>
        <stp>97830.T</stp>
        <stp>安値</stp>
        <tr r="P1167" s="7"/>
      </tp>
      <tp t="s">
        <v>表示銘柄数超過</v>
        <stp/>
        <stp>Market</stp>
        <stp>STOCK</stp>
        <stp>97230.T</stp>
        <stp>安値</stp>
        <tr r="P1163" s="7"/>
      </tp>
      <tp t="s">
        <v>表示銘柄数超過</v>
        <stp/>
        <stp>Market</stp>
        <stp>STOCK</stp>
        <stp>94130.T</stp>
        <stp>安値</stp>
        <tr r="P1119" s="7"/>
      </tp>
      <tp t="s">
        <v>表示銘柄数超過</v>
        <stp/>
        <stp>Market</stp>
        <stp>STOCK</stp>
        <stp>94330.T</stp>
        <stp>安値</stp>
        <tr r="P1128" s="7"/>
      </tp>
      <tp t="s">
        <v>表示銘柄数超過</v>
        <stp/>
        <stp>Market</stp>
        <stp>STOCK</stp>
        <stp>94230.T</stp>
        <stp>安値</stp>
        <tr r="P1124" s="7"/>
      </tp>
      <tp t="s">
        <v>表示銘柄数超過</v>
        <stp/>
        <stp>Market</stp>
        <stp>STOCK</stp>
        <stp>95530.T</stp>
        <stp>安値</stp>
        <tr r="P1155" s="7"/>
      </tp>
      <tp t="s">
        <v>表示銘柄数超過</v>
        <stp/>
        <stp>Market</stp>
        <stp>STOCK</stp>
        <stp>95030.T</stp>
        <stp>安値</stp>
        <tr r="P1142" s="7"/>
      </tp>
      <tp>
        <v>1347</v>
        <stp/>
        <stp>Market</stp>
        <stp>STOCK</stp>
        <stp>68630.T</stp>
        <stp>安値</stp>
        <tr r="P780" s="7"/>
      </tp>
      <tp>
        <v>98</v>
        <stp/>
        <stp>Market</stp>
        <stp>STOCK</stp>
        <stp>68030.T</stp>
        <stp>安値</stp>
        <tr r="P773" s="7"/>
      </tp>
      <tp>
        <v>39</v>
        <stp/>
        <stp>Market</stp>
        <stp>STOCK</stp>
        <stp>69930.T</stp>
        <stp>安値</stp>
        <tr r="P801" s="7"/>
      </tp>
      <tp>
        <v>2623.5</v>
        <stp/>
        <stp>Market</stp>
        <stp>STOCK</stp>
        <stp>69230.T</stp>
        <stp>安値</stp>
        <tr r="P788" s="7"/>
      </tp>
      <tp>
        <v>767</v>
        <stp/>
        <stp>Market</stp>
        <stp>STOCK</stp>
        <stp>62030.T</stp>
        <stp>安値</stp>
        <tr r="P677" s="7"/>
      </tp>
      <tp>
        <v>540</v>
        <stp/>
        <stp>Market</stp>
        <stp>STOCK</stp>
        <stp>62330.T</stp>
        <stp>安値</stp>
        <tr r="P680" s="7"/>
      </tp>
      <tp>
        <v>2807.5</v>
        <stp/>
        <stp>Market</stp>
        <stp>STOCK</stp>
        <stp>63830.T</stp>
        <stp>安値</stp>
        <tr r="P697" s="7"/>
      </tp>
      <tp>
        <v>104</v>
        <stp/>
        <stp>Market</stp>
        <stp>STOCK</stp>
        <stp>63430.T</stp>
        <stp>安値</stp>
        <tr r="P691" s="7"/>
      </tp>
      <tp>
        <v>140</v>
        <stp/>
        <stp>Market</stp>
        <stp>STOCK</stp>
        <stp>60930.T</stp>
        <stp>安値</stp>
        <tr r="P652" s="7"/>
      </tp>
      <tp>
        <v>1662</v>
        <stp/>
        <stp>Market</stp>
        <stp>STOCK</stp>
        <stp>60730.T</stp>
        <stp>安値</stp>
        <tr r="P648" s="7"/>
      </tp>
      <tp>
        <v>1203</v>
        <stp/>
        <stp>Market</stp>
        <stp>STOCK</stp>
        <stp>60230.T</stp>
        <stp>安値</stp>
        <tr r="P636" s="7"/>
      </tp>
      <tp>
        <v>531</v>
        <stp/>
        <stp>Market</stp>
        <stp>STOCK</stp>
        <stp>61730.T</stp>
        <stp>安値</stp>
        <tr r="P663" s="7"/>
      </tp>
      <tp>
        <v>1558</v>
        <stp/>
        <stp>Market</stp>
        <stp>STOCK</stp>
        <stp>61130.T</stp>
        <stp>安値</stp>
        <tr r="P656" s="7"/>
      </tp>
      <tp>
        <v>540</v>
        <stp/>
        <stp>Market</stp>
        <stp>STOCK</stp>
        <stp>66130.T</stp>
        <stp>安値</stp>
        <tr r="P736" s="7"/>
      </tp>
      <tp>
        <v>316</v>
        <stp/>
        <stp>Market</stp>
        <stp>STOCK</stp>
        <stp>66330.T</stp>
        <stp>安値</stp>
        <tr r="P742" s="7"/>
      </tp>
      <tp>
        <v>850.1</v>
        <stp/>
        <stp>Market</stp>
        <stp>STOCK</stp>
        <stp>67530.T</stp>
        <stp>安値</stp>
        <tr r="P765" s="7"/>
      </tp>
      <tp>
        <v>2374</v>
        <stp/>
        <stp>Market</stp>
        <stp>STOCK</stp>
        <stp>67230.T</stp>
        <stp>安値</stp>
        <tr r="P757" s="7"/>
      </tp>
      <tp>
        <v>371</v>
        <stp/>
        <stp>Market</stp>
        <stp>STOCK</stp>
        <stp>64930.T</stp>
        <stp>安値</stp>
        <tr r="P709" s="7"/>
      </tp>
      <tp>
        <v>260</v>
        <stp/>
        <stp>Market</stp>
        <stp>STOCK</stp>
        <stp>64330.T</stp>
        <stp>安値</stp>
        <tr r="P701" s="7"/>
      </tp>
      <tp>
        <v>621</v>
        <stp/>
        <stp>Market</stp>
        <stp>STOCK</stp>
        <stp>65430.T</stp>
        <stp>安値</stp>
        <tr r="P721" s="7"/>
      </tp>
      <tp>
        <v>339</v>
        <stp/>
        <stp>Market</stp>
        <stp>STOCK</stp>
        <stp>65730.T</stp>
        <stp>安値</stp>
        <tr r="P729" s="7"/>
      </tp>
      <tp>
        <v>1209</v>
        <stp/>
        <stp>Market</stp>
        <stp>STOCK</stp>
        <stp>65130.T</stp>
        <stp>安値</stp>
        <tr r="P718" s="7"/>
      </tp>
      <tp>
        <v>2010</v>
        <stp/>
        <stp>Market</stp>
        <stp>STOCK</stp>
        <stp>65030.T</stp>
        <stp>安値</stp>
        <tr r="P715" s="7"/>
      </tp>
      <tp>
        <v>796</v>
        <stp/>
        <stp>Market</stp>
        <stp>STOCK</stp>
        <stp>78230.T</stp>
        <stp>安値</stp>
        <tr r="P941" s="7"/>
      </tp>
      <tp>
        <v>397</v>
        <stp/>
        <stp>Market</stp>
        <stp>STOCK</stp>
        <stp>79530.T</stp>
        <stp>安値</stp>
        <tr r="P958" s="7"/>
      </tp>
      <tp>
        <v>1405</v>
        <stp/>
        <stp>Market</stp>
        <stp>STOCK</stp>
        <stp>72830.T</stp>
        <stp>安値</stp>
        <tr r="P870" s="7"/>
      </tp>
      <tp>
        <v>671</v>
        <stp/>
        <stp>Market</stp>
        <stp>STOCK</stp>
        <stp>72130.T</stp>
        <stp>安値</stp>
        <tr r="P850" s="7"/>
      </tp>
      <tp>
        <v>3190</v>
        <stp/>
        <stp>Market</stp>
        <stp>STOCK</stp>
        <stp>72030.T</stp>
        <stp>安値</stp>
        <tr r="P846" s="7"/>
      </tp>
      <tp>
        <v>152</v>
        <stp/>
        <stp>Market</stp>
        <stp>STOCK</stp>
        <stp>73830.T</stp>
        <stp>安値</stp>
        <tr r="P884" s="7"/>
      </tp>
      <tp>
        <v>910</v>
        <stp/>
        <stp>Market</stp>
        <stp>STOCK</stp>
        <stp>73530.T</stp>
        <stp>安値</stp>
        <tr r="P879" s="7"/>
      </tp>
      <tp>
        <v>887</v>
        <stp/>
        <stp>Market</stp>
        <stp>STOCK</stp>
        <stp>70430.T</stp>
        <stp>安値</stp>
        <tr r="P813" s="7"/>
      </tp>
      <tp>
        <v>1201</v>
        <stp/>
        <stp>Market</stp>
        <stp>STOCK</stp>
        <stp>70630.T</stp>
        <stp>安値</stp>
        <tr r="P821" s="7"/>
      </tp>
      <tp>
        <v>2732</v>
        <stp/>
        <stp>Market</stp>
        <stp>STOCK</stp>
        <stp>70130.T</stp>
        <stp>安値</stp>
        <tr r="P808" s="7"/>
      </tp>
      <tp>
        <v>734</v>
        <stp/>
        <stp>Market</stp>
        <stp>STOCK</stp>
        <stp>70030.T</stp>
        <stp>安値</stp>
        <tr r="P804" s="7"/>
      </tp>
      <tp>
        <v>250</v>
        <stp/>
        <stp>Market</stp>
        <stp>STOCK</stp>
        <stp>71830.T</stp>
        <stp>安値</stp>
        <tr r="P840" s="7"/>
      </tp>
      <tp>
        <v>1709</v>
        <stp/>
        <stp>Market</stp>
        <stp>STOCK</stp>
        <stp>71630.T</stp>
        <stp>安値</stp>
        <tr r="P833" s="7"/>
      </tp>
      <tp>
        <v>585</v>
        <stp/>
        <stp>Market</stp>
        <stp>STOCK</stp>
        <stp>76230.T</stp>
        <stp>安値</stp>
        <tr r="P915" s="7"/>
      </tp>
      <tp>
        <v>2087.5</v>
        <stp/>
        <stp>Market</stp>
        <stp>STOCK</stp>
        <stp>74530.T</stp>
        <stp>安値</stp>
        <tr r="P890" s="7"/>
      </tp>
      <tp t="s">
        <v>表示銘柄数超過</v>
        <stp/>
        <stp>Market</stp>
        <stp>STOCK</stp>
        <stp>25935.T</stp>
        <stp>安値</stp>
        <tr r="P167" s="7"/>
      </tp>
      <tp>
        <v>530</v>
        <stp/>
        <stp>Market</stp>
        <stp>STOCK</stp>
        <stp>75930.T</stp>
        <stp>安値</stp>
        <tr r="P908" s="7"/>
      </tp>
      <tp>
        <v>732</v>
        <stp/>
        <stp>Market</stp>
        <stp>STOCK</stp>
        <stp>75130.T</stp>
        <stp>安値</stp>
        <tr r="P897" s="7"/>
      </tp>
      <tp>
        <v>1186</v>
        <stp/>
        <stp>Market</stp>
        <stp>STOCK</stp>
        <stp>75230.T</stp>
        <stp>安値</stp>
        <tr r="P900" s="7"/>
      </tp>
      <tp t="s">
        <v>表示銘柄数超過</v>
        <stp/>
        <stp>Market</stp>
        <stp>STOCK</stp>
        <stp>48830.T</stp>
        <stp>安値</stp>
        <tr r="P546" s="7"/>
      </tp>
      <tp t="s">
        <v>表示銘柄数超過</v>
        <stp/>
        <stp>Market</stp>
        <stp>STOCK</stp>
        <stp>48330.T</stp>
        <stp>安値</stp>
        <tr r="P541" s="7"/>
      </tp>
      <tp t="s">
        <v>表示銘柄数超過</v>
        <stp/>
        <stp>Market</stp>
        <stp>STOCK</stp>
        <stp>49630.T</stp>
        <stp>安値</stp>
        <tr r="P555" s="7"/>
      </tp>
      <tp t="s">
        <v>表示銘柄数超過</v>
        <stp/>
        <stp>Market</stp>
        <stp>STOCK</stp>
        <stp>42930.T</stp>
        <stp>安値</stp>
        <tr r="P439" s="7"/>
      </tp>
      <tp t="s">
        <v>表示銘柄数超過</v>
        <stp/>
        <stp>Market</stp>
        <stp>STOCK</stp>
        <stp>42430.T</stp>
        <stp>安値</stp>
        <tr r="P430" s="7"/>
      </tp>
      <tp t="s">
        <v>表示銘柄数超過</v>
        <stp/>
        <stp>Market</stp>
        <stp>STOCK</stp>
        <stp>43430.T</stp>
        <stp>安値</stp>
        <tr r="P445" s="7"/>
      </tp>
      <tp t="s">
        <v>表示銘柄数超過</v>
        <stp/>
        <stp>Market</stp>
        <stp>STOCK</stp>
        <stp>43730.T</stp>
        <stp>安値</stp>
        <tr r="P450" s="7"/>
      </tp>
      <tp t="s">
        <v>表示銘柄数超過</v>
        <stp/>
        <stp>Market</stp>
        <stp>STOCK</stp>
        <stp>40630.T</stp>
        <stp>安値</stp>
        <tr r="P415" s="7"/>
      </tp>
      <tp t="s">
        <v>表示銘柄数超過</v>
        <stp/>
        <stp>Market</stp>
        <stp>STOCK</stp>
        <stp>46130.T</stp>
        <stp>安値</stp>
        <tr r="P510" s="7"/>
      </tp>
      <tp t="s">
        <v>表示銘柄数超過</v>
        <stp/>
        <stp>Market</stp>
        <stp>STOCK</stp>
        <stp>45930.T</stp>
        <stp>安値</stp>
        <tr r="P504" s="7"/>
      </tp>
      <tp t="s">
        <v>表示銘柄数超過</v>
        <stp/>
        <stp>Market</stp>
        <stp>STOCK</stp>
        <stp>45830.T</stp>
        <stp>安値</stp>
        <tr r="P498" s="7"/>
      </tp>
      <tp t="s">
        <v>表示銘柄数超過</v>
        <stp/>
        <stp>Market</stp>
        <stp>STOCK</stp>
        <stp>45630.T</stp>
        <stp>安値</stp>
        <tr r="P486" s="7"/>
      </tp>
      <tp t="s">
        <v>表示銘柄数超過</v>
        <stp/>
        <stp>Market</stp>
        <stp>STOCK</stp>
        <stp>45030.T</stp>
        <stp>安値</stp>
        <tr r="P479" s="7"/>
      </tp>
      <tp t="s">
        <v>表示銘柄数超過</v>
        <stp/>
        <stp>Market</stp>
        <stp>STOCK</stp>
        <stp>45230.T</stp>
        <stp>安値</stp>
        <tr r="P482" s="7"/>
      </tp>
      <tp>
        <v>1218</v>
        <stp/>
        <stp>Market</stp>
        <stp>STOCK</stp>
        <stp>58030.T</stp>
        <stp>安値</stp>
        <tr r="P613" s="7"/>
      </tp>
      <tp>
        <v>2781</v>
        <stp/>
        <stp>Market</stp>
        <stp>STOCK</stp>
        <stp>52530.T</stp>
        <stp>安値</stp>
        <tr r="P580" s="7"/>
      </tp>
      <tp>
        <v>566</v>
        <stp/>
        <stp>Market</stp>
        <stp>STOCK</stp>
        <stp>52430.T</stp>
        <stp>安値</stp>
        <tr r="P577" s="7"/>
      </tp>
      <tp>
        <v>43</v>
        <stp/>
        <stp>Market</stp>
        <stp>STOCK</stp>
        <stp>51030.T</stp>
        <stp>安値</stp>
        <tr r="P567" s="7"/>
      </tp>
      <tp>
        <v>289</v>
        <stp/>
        <stp>Market</stp>
        <stp>STOCK</stp>
        <stp>51330.T</stp>
        <stp>安値</stp>
        <tr r="P573" s="7"/>
      </tp>
      <tp>
        <v>1711</v>
        <stp/>
        <stp>Market</stp>
        <stp>STOCK</stp>
        <stp>57030.T</stp>
        <stp>安値</stp>
        <tr r="P605" s="7"/>
      </tp>
      <tp>
        <v>1717</v>
        <stp/>
        <stp>Market</stp>
        <stp>STOCK</stp>
        <stp>54230.T</stp>
        <stp>安値</stp>
        <tr r="P595" s="7"/>
      </tp>
      <tp>
        <v>280</v>
        <stp/>
        <stp>Market</stp>
        <stp>STOCK</stp>
        <stp>55630.T</stp>
        <stp>安値</stp>
        <tr r="P599" s="7"/>
      </tp>
      <tp t="s">
        <v>表示銘柄数超過</v>
        <stp/>
        <stp>Market</stp>
        <stp>STOCK</stp>
        <stp>28530.T</stp>
        <stp>安値</stp>
        <tr r="P205" s="7"/>
      </tp>
      <tp t="s">
        <v>表示銘柄数超過</v>
        <stp/>
        <stp>Market</stp>
        <stp>STOCK</stp>
        <stp>29930.T</stp>
        <stp>安値</stp>
        <tr r="P219" s="7"/>
      </tp>
      <tp t="s">
        <v>表示銘柄数超過</v>
        <stp/>
        <stp>Market</stp>
        <stp>STOCK</stp>
        <stp>22530.T</stp>
        <stp>安値</stp>
        <tr r="P110" s="7"/>
      </tp>
      <tp t="s">
        <v>表示銘柄数超過</v>
        <stp/>
        <stp>Market</stp>
        <stp>STOCK</stp>
        <stp>23530.T</stp>
        <stp>安値</stp>
        <tr r="P124" s="7"/>
      </tp>
      <tp t="s">
        <v>表示銘柄数超過</v>
        <stp/>
        <stp>Market</stp>
        <stp>STOCK</stp>
        <stp>23730.T</stp>
        <stp>安値</stp>
        <tr r="P127" s="7"/>
      </tp>
      <tp t="s">
        <v>表示銘柄数超過</v>
        <stp/>
        <stp>Market</stp>
        <stp>STOCK</stp>
        <stp>23230.T</stp>
        <stp>安値</stp>
        <tr r="P116" s="7"/>
      </tp>
      <tp t="s">
        <v>表示銘柄数超過</v>
        <stp/>
        <stp>Market</stp>
        <stp>STOCK</stp>
        <stp>26930.T</stp>
        <stp>安値</stp>
        <tr r="P183" s="7"/>
      </tp>
      <tp t="s">
        <v>表示銘柄数超過</v>
        <stp/>
        <stp>Market</stp>
        <stp>STOCK</stp>
        <stp>26330.T</stp>
        <stp>安値</stp>
        <tr r="P172" s="7"/>
      </tp>
      <tp t="s">
        <v>表示銘柄数超過</v>
        <stp/>
        <stp>Market</stp>
        <stp>STOCK</stp>
        <stp>27430.T</stp>
        <stp>安値</stp>
        <tr r="P191" s="7"/>
      </tp>
      <tp t="s">
        <v>表示銘柄数超過</v>
        <stp/>
        <stp>Market</stp>
        <stp>STOCK</stp>
        <stp>24830.T</stp>
        <stp>安値</stp>
        <tr r="P151" s="7"/>
      </tp>
      <tp t="s">
        <v>表示銘柄数超過</v>
        <stp/>
        <stp>Market</stp>
        <stp>STOCK</stp>
        <stp>24530.T</stp>
        <stp>安値</stp>
        <tr r="P146" s="7"/>
      </tp>
      <tp t="s">
        <v>表示銘柄数超過</v>
        <stp/>
        <stp>Market</stp>
        <stp>STOCK</stp>
        <stp>24330.T</stp>
        <stp>安値</stp>
        <tr r="P141" s="7"/>
      </tp>
      <tp t="s">
        <v>表示銘柄数超過</v>
        <stp/>
        <stp>Market</stp>
        <stp>STOCK</stp>
        <stp>25630.T</stp>
        <stp>安値</stp>
        <tr r="P161" s="7"/>
      </tp>
      <tp t="s">
        <v>表示銘柄数超過</v>
        <stp/>
        <stp>Market</stp>
        <stp>STOCK</stp>
        <stp>25330.T</stp>
        <stp>安値</stp>
        <tr r="P160" s="7"/>
      </tp>
      <tp t="s">
        <v>表示銘柄数超過</v>
        <stp/>
        <stp>Market</stp>
        <stp>STOCK</stp>
        <stp>38530.T</stp>
        <stp>安値</stp>
        <tr r="P376" s="7"/>
      </tp>
      <tp t="s">
        <v>表示銘柄数超過</v>
        <stp/>
        <stp>Market</stp>
        <stp>STOCK</stp>
        <stp>38630.T</stp>
        <stp>安値</stp>
        <tr r="P380" s="7"/>
      </tp>
      <tp t="s">
        <v>表示銘柄数超過</v>
        <stp/>
        <stp>Market</stp>
        <stp>STOCK</stp>
        <stp>38230.T</stp>
        <stp>安値</stp>
        <tr r="P366" s="7"/>
      </tp>
      <tp t="s">
        <v>表示銘柄数超過</v>
        <stp/>
        <stp>Market</stp>
        <stp>STOCK</stp>
        <stp>39630.T</stp>
        <stp>安値</stp>
        <tr r="P400" s="7"/>
      </tp>
      <tp t="s">
        <v>表示銘柄数超過</v>
        <stp/>
        <stp>Market</stp>
        <stp>STOCK</stp>
        <stp>39030.T</stp>
        <stp>安値</stp>
        <tr r="P386" s="7"/>
      </tp>
      <tp t="s">
        <v>表示銘柄数超過</v>
        <stp/>
        <stp>Market</stp>
        <stp>STOCK</stp>
        <stp>33330.T</stp>
        <stp>安値</stp>
        <tr r="P281" s="7"/>
      </tp>
      <tp t="s">
        <v>表示銘柄数超過</v>
        <stp/>
        <stp>Market</stp>
        <stp>STOCK</stp>
        <stp>33230.T</stp>
        <stp>安値</stp>
        <tr r="P278" s="7"/>
      </tp>
      <tp t="s">
        <v>表示銘柄数超過</v>
        <stp/>
        <stp>Market</stp>
        <stp>STOCK</stp>
        <stp>30830.T</stp>
        <stp>安値</stp>
        <tr r="P238" s="7"/>
      </tp>
      <tp t="s">
        <v>表示銘柄数超過</v>
        <stp/>
        <stp>Market</stp>
        <stp>STOCK</stp>
        <stp>30530.T</stp>
        <stp>安値</stp>
        <tr r="P233" s="7"/>
      </tp>
      <tp t="s">
        <v>表示銘柄数超過</v>
        <stp/>
        <stp>Market</stp>
        <stp>STOCK</stp>
        <stp>30030.T</stp>
        <stp>安値</stp>
        <tr r="P221" s="7"/>
      </tp>
      <tp t="s">
        <v>表示銘柄数超過</v>
        <stp/>
        <stp>Market</stp>
        <stp>STOCK</stp>
        <stp>31130.T</stp>
        <stp>安値</stp>
        <tr r="P243" s="7"/>
      </tp>
      <tp t="s">
        <v>表示銘柄数超過</v>
        <stp/>
        <stp>Market</stp>
        <stp>STOCK</stp>
        <stp>31030.T</stp>
        <stp>安値</stp>
        <tr r="P242" s="7"/>
      </tp>
      <tp t="s">
        <v>表示銘柄数超過</v>
        <stp/>
        <stp>Market</stp>
        <stp>STOCK</stp>
        <stp>31330.T</stp>
        <stp>安値</stp>
        <tr r="P245" s="7"/>
      </tp>
      <tp t="s">
        <v>表示銘柄数超過</v>
        <stp/>
        <stp>Market</stp>
        <stp>STOCK</stp>
        <stp>36830.T</stp>
        <stp>安値</stp>
        <tr r="P339" s="7"/>
      </tp>
      <tp t="s">
        <v>表示銘柄数超過</v>
        <stp/>
        <stp>Market</stp>
        <stp>STOCK</stp>
        <stp>36630.T</stp>
        <stp>安値</stp>
        <tr r="P326" s="7"/>
      </tp>
      <tp t="s">
        <v>表示銘柄数超過</v>
        <stp/>
        <stp>Market</stp>
        <stp>STOCK</stp>
        <stp>37930.T</stp>
        <stp>安値</stp>
        <tr r="P360" s="7"/>
      </tp>
      <tp t="s">
        <v>表示銘柄数超過</v>
        <stp/>
        <stp>Market</stp>
        <stp>STOCK</stp>
        <stp>37730.T</stp>
        <stp>安値</stp>
        <tr r="P354" s="7"/>
      </tp>
      <tp t="s">
        <v>表示銘柄数超過</v>
        <stp/>
        <stp>Market</stp>
        <stp>STOCK</stp>
        <stp>37230.T</stp>
        <stp>安値</stp>
        <tr r="P346" s="7"/>
      </tp>
      <tp t="s">
        <v>表示銘柄数超過</v>
        <stp/>
        <stp>Market</stp>
        <stp>STOCK</stp>
        <stp>34330.T</stp>
        <stp>安値</stp>
        <tr r="P298" s="7"/>
      </tp>
      <tp t="s">
        <v>表示銘柄数超過</v>
        <stp/>
        <stp>Market</stp>
        <stp>STOCK</stp>
        <stp>35530.T</stp>
        <stp>安値</stp>
        <tr r="P308" s="7"/>
      </tp>
      <tp t="s">
        <v>表示銘柄数超過</v>
        <stp/>
        <stp>Market</stp>
        <stp>STOCK</stp>
        <stp>35430.T</stp>
        <stp>安値</stp>
        <tr r="P306" s="7"/>
      </tp>
      <tp t="s">
        <v>表示銘柄数超過</v>
        <stp/>
        <stp>Market</stp>
        <stp>STOCK</stp>
        <stp>18930.T</stp>
        <stp>安値</stp>
        <tr r="P70" s="7"/>
      </tp>
      <tp t="s">
        <v>表示銘柄数超過</v>
        <stp/>
        <stp>Market</stp>
        <stp>STOCK</stp>
        <stp>18030.T</stp>
        <stp>安値</stp>
        <tr r="P58" s="7"/>
      </tp>
      <tp t="s">
        <v>表示銘柄数超過</v>
        <stp/>
        <stp>Market</stp>
        <stp>STOCK</stp>
        <stp>13330.T</stp>
        <stp>安値</stp>
        <tr r="P9" s="7"/>
      </tp>
      <tp t="s">
        <v>表示銘柄数超過</v>
        <stp/>
        <stp>Market</stp>
        <stp>STOCK</stp>
        <stp>17830.T</stp>
        <stp>安値</stp>
        <tr r="P56" s="7"/>
      </tp>
      <tp t="s">
        <v>表示銘柄数超過</v>
        <stp/>
        <stp>Market</stp>
        <stp>STOCK</stp>
        <stp>17430.T</stp>
        <stp>安値</stp>
        <tr r="P53" s="7"/>
      </tp>
      <tp t="s">
        <v>表示銘柄数超過</v>
        <stp/>
        <stp>Market</stp>
        <stp>STOCK</stp>
        <stp>15630.T</stp>
        <stp>安値</stp>
        <tr r="P33" s="7"/>
      </tp>
      <tp t="s">
        <v>表示銘柄数超過</v>
        <stp/>
        <stp>Market</stp>
        <stp>STOCK</stp>
        <stp>88300.T</stp>
        <stp>始値</stp>
        <tr r="L1054" s="7"/>
      </tp>
      <tp>
        <v>360</v>
        <stp/>
        <stp>Market</stp>
        <stp>STOCK</stp>
        <stp>82300.T</stp>
        <stp>始値</stp>
        <tr r="L994" s="7"/>
      </tp>
      <tp>
        <v>2331</v>
        <stp/>
        <stp>Market</stp>
        <stp>STOCK</stp>
        <stp>80200.T</stp>
        <stp>始値</stp>
        <tr r="L968" s="7"/>
      </tp>
      <tp>
        <v>2315</v>
        <stp/>
        <stp>Market</stp>
        <stp>STOCK</stp>
        <stp>81500.T</stp>
        <stp>始値</stp>
        <tr r="L984" s="7"/>
      </tp>
      <tp t="s">
        <v>表示銘柄数超過</v>
        <stp/>
        <stp>Market</stp>
        <stp>STOCK</stp>
        <stp>87500.T</stp>
        <stp>始値</stp>
        <tr r="L1044" s="7"/>
      </tp>
      <tp>
        <v>302</v>
        <stp/>
        <stp>Market</stp>
        <stp>STOCK</stp>
        <stp>84100.T</stp>
        <stp>始値</stp>
        <tr r="L1010" s="7"/>
      </tp>
      <tp>
        <v>1337</v>
        <stp/>
        <stp>Market</stp>
        <stp>STOCK</stp>
        <stp>85700.T</stp>
        <stp>始値</stp>
        <tr r="L1020" s="7"/>
      </tp>
      <tp t="s">
        <v>表示銘柄数超過</v>
        <stp/>
        <stp>Market</stp>
        <stp>STOCK</stp>
        <stp>98900.T</stp>
        <stp>始値</stp>
        <tr r="L1177" s="7"/>
      </tp>
      <tp t="s">
        <v>表示銘柄数超過</v>
        <stp/>
        <stp>Market</stp>
        <stp>STOCK</stp>
        <stp>99900.T</stp>
        <stp>始値</stp>
        <tr r="L1190" s="7"/>
      </tp>
      <tp t="s">
        <v>表示銘柄数超過</v>
        <stp/>
        <stp>Market</stp>
        <stp>STOCK</stp>
        <stp>99800.T</stp>
        <stp>始値</stp>
        <tr r="L1187" s="7"/>
      </tp>
      <tp t="s">
        <v>表示銘柄数超過</v>
        <stp/>
        <stp>Market</stp>
        <stp>STOCK</stp>
        <stp>99300.T</stp>
        <stp>始値</stp>
        <tr r="L1183" s="7"/>
      </tp>
      <tp t="s">
        <v>表示銘柄数超過</v>
        <stp/>
        <stp>Market</stp>
        <stp>STOCK</stp>
        <stp>92700.T</stp>
        <stp>始値</stp>
        <tr r="L1105" s="7"/>
      </tp>
      <tp t="s">
        <v>表示銘柄数超過</v>
        <stp/>
        <stp>Market</stp>
        <stp>STOCK</stp>
        <stp>93800.T</stp>
        <stp>始値</stp>
        <tr r="L1112" s="7"/>
      </tp>
      <tp t="s">
        <v>表示銘柄数超過</v>
        <stp/>
        <stp>Market</stp>
        <stp>STOCK</stp>
        <stp>90900.T</stp>
        <stp>始値</stp>
        <tr r="L1092" s="7"/>
      </tp>
      <tp t="s">
        <v>表示銘柄数超過</v>
        <stp/>
        <stp>Market</stp>
        <stp>STOCK</stp>
        <stp>90200.T</stp>
        <stp>始値</stp>
        <tr r="L1081" s="7"/>
        <tr r="L1080" s="7"/>
      </tp>
      <tp t="s">
        <v>表示銘柄数超過</v>
        <stp/>
        <stp>Market</stp>
        <stp>STOCK</stp>
        <stp>96100.T</stp>
        <stp>始値</stp>
        <tr r="L1159" s="7"/>
      </tp>
      <tp t="s">
        <v>表示銘柄数超過</v>
        <stp/>
        <stp>Market</stp>
        <stp>STOCK</stp>
        <stp>97600.T</stp>
        <stp>始値</stp>
        <tr r="L1164" s="7"/>
      </tp>
      <tp t="s">
        <v>表示銘柄数超過</v>
        <stp/>
        <stp>Market</stp>
        <stp>STOCK</stp>
        <stp>94500.T</stp>
        <stp>始値</stp>
        <tr r="L1133" s="7"/>
      </tp>
      <tp t="s">
        <v>表示銘柄数超過</v>
        <stp/>
        <stp>Market</stp>
        <stp>STOCK</stp>
        <stp>94700.T</stp>
        <stp>始値</stp>
        <tr r="L1135" s="7"/>
      </tp>
      <tp t="s">
        <v>表示銘柄数超過</v>
        <stp/>
        <stp>Market</stp>
        <stp>STOCK</stp>
        <stp>95600.T</stp>
        <stp>始値</stp>
        <tr r="L1157" s="7"/>
      </tp>
      <tp t="s">
        <v>表示銘柄数超過</v>
        <stp/>
        <stp>Market</stp>
        <stp>STOCK</stp>
        <stp>48900.T</stp>
        <stp>始値</stp>
        <tr r="L548" s="7"/>
      </tp>
      <tp t="s">
        <v>表示銘柄数超過</v>
        <stp/>
        <stp>Market</stp>
        <stp>STOCK</stp>
        <stp>48000.T</stp>
        <stp>始値</stp>
        <tr r="L536" s="7"/>
      </tp>
      <tp t="s">
        <v>表示銘柄数超過</v>
        <stp/>
        <stp>Market</stp>
        <stp>STOCK</stp>
        <stp>48200.T</stp>
        <stp>始値</stp>
        <tr r="L538" s="7"/>
      </tp>
      <tp t="s">
        <v>表示銘柄数超過</v>
        <stp/>
        <stp>Market</stp>
        <stp>STOCK</stp>
        <stp>49600.T</stp>
        <stp>始値</stp>
        <tr r="L554" s="7"/>
      </tp>
      <tp t="s">
        <v>表示銘柄数超過</v>
        <stp/>
        <stp>Market</stp>
        <stp>STOCK</stp>
        <stp>49200.T</stp>
        <stp>始値</stp>
        <tr r="L553" s="7"/>
      </tp>
      <tp t="s">
        <v>表示銘柄数超過</v>
        <stp/>
        <stp>Market</stp>
        <stp>STOCK</stp>
        <stp>42000.T</stp>
        <stp>始値</stp>
        <tr r="L425" s="7"/>
      </tp>
      <tp t="s">
        <v>表示銘柄数超過</v>
        <stp/>
        <stp>Market</stp>
        <stp>STOCK</stp>
        <stp>43500.T</stp>
        <stp>始値</stp>
        <tr r="L447" s="7"/>
      </tp>
      <tp t="s">
        <v>表示銘柄数超過</v>
        <stp/>
        <stp>Market</stp>
        <stp>STOCK</stp>
        <stp>43700.T</stp>
        <stp>始値</stp>
        <tr r="L449" s="7"/>
      </tp>
      <tp t="s">
        <v>表示銘柄数超過</v>
        <stp/>
        <stp>Market</stp>
        <stp>STOCK</stp>
        <stp>41700.T</stp>
        <stp>始値</stp>
        <tr r="L420" s="7"/>
      </tp>
      <tp t="s">
        <v>表示銘柄数超過</v>
        <stp/>
        <stp>Market</stp>
        <stp>STOCK</stp>
        <stp>46900.T</stp>
        <stp>始値</stp>
        <tr r="L521" s="7"/>
      </tp>
      <tp t="s">
        <v>表示銘柄数超過</v>
        <stp/>
        <stp>Market</stp>
        <stp>STOCK</stp>
        <stp>46800.T</stp>
        <stp>始値</stp>
        <tr r="L519" s="7"/>
      </tp>
      <tp t="s">
        <v>表示銘柄数超過</v>
        <stp/>
        <stp>Market</stp>
        <stp>STOCK</stp>
        <stp>46200.T</stp>
        <stp>始値</stp>
        <tr r="L512" s="7"/>
      </tp>
      <tp t="s">
        <v>表示銘柄数超過</v>
        <stp/>
        <stp>Market</stp>
        <stp>STOCK</stp>
        <stp>47700.T</stp>
        <stp>始値</stp>
        <tr r="L532" s="7"/>
      </tp>
      <tp t="s">
        <v>表示銘柄数超過</v>
        <stp/>
        <stp>Market</stp>
        <stp>STOCK</stp>
        <stp>47200.T</stp>
        <stp>始値</stp>
        <tr r="L526" s="7"/>
      </tp>
      <tp t="s">
        <v>表示銘柄数超過</v>
        <stp/>
        <stp>Market</stp>
        <stp>STOCK</stp>
        <stp>45700.T</stp>
        <stp>始値</stp>
        <tr r="L490" s="7"/>
      </tp>
      <tp>
        <v>109</v>
        <stp/>
        <stp>Market</stp>
        <stp>STOCK</stp>
        <stp>59500.T</stp>
        <stp>始値</stp>
        <tr r="L625" s="7"/>
      </tp>
      <tp>
        <v>80</v>
        <stp/>
        <stp>Market</stp>
        <stp>STOCK</stp>
        <stp>59400.T</stp>
        <stp>始値</stp>
        <tr r="L622" s="7"/>
      </tp>
      <tp>
        <v>2035</v>
        <stp/>
        <stp>Market</stp>
        <stp>STOCK</stp>
        <stp>59700.T</stp>
        <stp>始値</stp>
        <tr r="L629" s="7"/>
      </tp>
      <tp t="s">
        <v>表示銘柄数超過</v>
        <stp/>
        <stp>Market</stp>
        <stp>STOCK</stp>
        <stp>50100.T</stp>
        <stp>始値</stp>
        <tr r="L558" s="7"/>
      </tp>
      <tp t="s">
        <v>表示銘柄数超過</v>
        <stp/>
        <stp>Market</stp>
        <stp>STOCK</stp>
        <stp>50200.T</stp>
        <stp>始値</stp>
        <tr r="L562" s="7"/>
      </tp>
      <tp>
        <v>1718.5</v>
        <stp/>
        <stp>Market</stp>
        <stp>STOCK</stp>
        <stp>51100.T</stp>
        <stp>始値</stp>
        <tr r="L569" s="7"/>
      </tp>
      <tp>
        <v>5820</v>
        <stp/>
        <stp>Market</stp>
        <stp>STOCK</stp>
        <stp>54100.T</stp>
        <stp>始値</stp>
        <tr r="L593" s="7"/>
      </tp>
      <tp>
        <v>472</v>
        <stp/>
        <stp>Market</stp>
        <stp>STOCK</stp>
        <stp>68400.T</stp>
        <stp>始値</stp>
        <tr r="L777" s="7"/>
      </tp>
      <tp>
        <v>1557</v>
        <stp/>
        <stp>Market</stp>
        <stp>STOCK</stp>
        <stp>68100.T</stp>
        <stp>始値</stp>
        <tr r="L774" s="7"/>
      </tp>
      <tp>
        <v>39310</v>
        <stp/>
        <stp>Market</stp>
        <stp>STOCK</stp>
        <stp>69200.T</stp>
        <stp>始値</stp>
        <tr r="L787" s="7"/>
      </tp>
      <tp>
        <v>357</v>
        <stp/>
        <stp>Market</stp>
        <stp>STOCK</stp>
        <stp>62400.T</stp>
        <stp>始値</stp>
        <tr r="L681" s="7"/>
      </tp>
      <tp>
        <v>1518</v>
        <stp/>
        <stp>Market</stp>
        <stp>STOCK</stp>
        <stp>63900.T</stp>
        <stp>始値</stp>
        <tr r="L698" s="7"/>
      </tp>
      <tp>
        <v>794</v>
        <stp/>
        <stp>Market</stp>
        <stp>STOCK</stp>
        <stp>63300.T</stp>
        <stp>始値</stp>
        <tr r="L688" s="7"/>
      </tp>
      <tp>
        <v>531</v>
        <stp/>
        <stp>Market</stp>
        <stp>STOCK</stp>
        <stp>61900.T</stp>
        <stp>始値</stp>
        <tr r="L673" s="7"/>
      </tp>
      <tp>
        <v>870</v>
        <stp/>
        <stp>Market</stp>
        <stp>STOCK</stp>
        <stp>61400.T</stp>
        <stp>始値</stp>
        <tr r="L658" s="7"/>
      </tp>
      <tp>
        <v>1736</v>
        <stp/>
        <stp>Market</stp>
        <stp>STOCK</stp>
        <stp>66400.T</stp>
        <stp>始値</stp>
        <tr r="L745" s="7"/>
      </tp>
      <tp>
        <v>1010</v>
        <stp/>
        <stp>Market</stp>
        <stp>STOCK</stp>
        <stp>66300.T</stp>
        <stp>始値</stp>
        <tr r="L740" s="7"/>
      </tp>
      <tp>
        <v>1690</v>
        <stp/>
        <stp>Market</stp>
        <stp>STOCK</stp>
        <stp>67500.T</stp>
        <stp>始値</stp>
        <tr r="L763" s="7"/>
      </tp>
      <tp>
        <v>21</v>
        <stp/>
        <stp>Market</stp>
        <stp>STOCK</stp>
        <stp>67400.T</stp>
        <stp>始値</stp>
        <tr r="L759" s="7"/>
      </tp>
      <tp>
        <v>590</v>
        <stp/>
        <stp>Market</stp>
        <stp>STOCK</stp>
        <stp>64800.T</stp>
        <stp>始値</stp>
        <tr r="L707" s="7"/>
      </tp>
      <tp>
        <v>459</v>
        <stp/>
        <stp>Market</stp>
        <stp>STOCK</stp>
        <stp>64400.T</stp>
        <stp>始値</stp>
        <tr r="L702" s="7"/>
      </tp>
      <tp>
        <v>821</v>
        <stp/>
        <stp>Market</stp>
        <stp>STOCK</stp>
        <stp>64700.T</stp>
        <stp>始値</stp>
        <tr r="L705" s="7"/>
      </tp>
      <tp>
        <v>715</v>
        <stp/>
        <stp>Market</stp>
        <stp>STOCK</stp>
        <stp>65800.T</stp>
        <stp>始値</stp>
        <tr r="L732" s="7"/>
      </tp>
      <tp>
        <v>158</v>
        <stp/>
        <stp>Market</stp>
        <stp>STOCK</stp>
        <stp>65500.T</stp>
        <stp>始値</stp>
        <tr r="L723" s="7"/>
      </tp>
      <tp>
        <v>652</v>
        <stp/>
        <stp>Market</stp>
        <stp>STOCK</stp>
        <stp>78000.T</stp>
        <stp>始値</stp>
        <tr r="L938" s="7"/>
      </tp>
      <tp>
        <v>684</v>
        <stp/>
        <stp>Market</stp>
        <stp>STOCK</stp>
        <stp>79400.T</stp>
        <stp>始値</stp>
        <tr r="L957" s="7"/>
      </tp>
      <tp>
        <v>1099</v>
        <stp/>
        <stp>Market</stp>
        <stp>STOCK</stp>
        <stp>72800.T</stp>
        <stp>始値</stp>
        <tr r="L869" s="7"/>
      </tp>
      <tp>
        <v>2075</v>
        <stp/>
        <stp>Market</stp>
        <stp>STOCK</stp>
        <stp>72400.T</stp>
        <stp>始値</stp>
        <tr r="L857" s="7"/>
      </tp>
      <tp>
        <v>3025</v>
        <stp/>
        <stp>Market</stp>
        <stp>STOCK</stp>
        <stp>72700.T</stp>
        <stp>始値</stp>
        <tr r="L867" s="7"/>
      </tp>
      <tp>
        <v>2463</v>
        <stp/>
        <stp>Market</stp>
        <stp>STOCK</stp>
        <stp>73500.T</stp>
        <stp>始値</stp>
        <tr r="L877" s="7"/>
      </tp>
      <tp>
        <v>1105</v>
        <stp/>
        <stp>Market</stp>
        <stp>STOCK</stp>
        <stp>73700.T</stp>
        <stp>始値</stp>
        <tr r="L881" s="7"/>
      </tp>
      <tp>
        <v>511</v>
        <stp/>
        <stp>Market</stp>
        <stp>STOCK</stp>
        <stp>70600.T</stp>
        <stp>始値</stp>
        <tr r="L819" s="7"/>
      </tp>
      <tp>
        <v>960</v>
        <stp/>
        <stp>Market</stp>
        <stp>STOCK</stp>
        <stp>71800.T</stp>
        <stp>始値</stp>
        <tr r="L838" s="7"/>
      </tp>
      <tp>
        <v>516</v>
        <stp/>
        <stp>Market</stp>
        <stp>STOCK</stp>
        <stp>71500.T</stp>
        <stp>始値</stp>
        <tr r="L831" s="7"/>
      </tp>
      <tp>
        <v>158</v>
        <stp/>
        <stp>Market</stp>
        <stp>STOCK</stp>
        <stp>76400.T</stp>
        <stp>始値</stp>
        <tr r="L917" s="7"/>
      </tp>
      <tp>
        <v>129</v>
        <stp/>
        <stp>Market</stp>
        <stp>STOCK</stp>
        <stp>76100.T</stp>
        <stp>始値</stp>
        <tr r="L912" s="7"/>
      </tp>
      <tp>
        <v>2325</v>
        <stp/>
        <stp>Market</stp>
        <stp>STOCK</stp>
        <stp>74200.T</stp>
        <stp>始値</stp>
        <tr r="L888" s="7"/>
      </tp>
      <tp>
        <v>499</v>
        <stp/>
        <stp>Market</stp>
        <stp>STOCK</stp>
        <stp>75900.T</stp>
        <stp>始値</stp>
        <tr r="L907" s="7"/>
      </tp>
      <tp t="s">
        <v>表示銘柄数超過</v>
        <stp/>
        <stp>Market</stp>
        <stp>STOCK</stp>
        <stp>18400.T</stp>
        <stp>始値</stp>
        <tr r="L65" s="7"/>
      </tp>
      <tp t="s">
        <v>表示銘柄数超過</v>
        <stp/>
        <stp>Market</stp>
        <stp>STOCK</stp>
        <stp>19500.T</stp>
        <stp>始値</stp>
        <tr r="L81" s="7"/>
      </tp>
      <tp t="s">
        <v>表示銘柄数超過</v>
        <stp/>
        <stp>Market</stp>
        <stp>STOCK</stp>
        <stp>19600.T</stp>
        <stp>始値</stp>
        <tr r="L82" s="7"/>
      </tp>
      <tp t="s">
        <v>表示銘柄数超過</v>
        <stp/>
        <stp>Market</stp>
        <stp>STOCK</stp>
        <stp>19300.T</stp>
        <stp>始値</stp>
        <tr r="L76" s="7"/>
      </tp>
      <tp t="s">
        <v>表示銘柄数超過</v>
        <stp/>
        <stp>Market</stp>
        <stp>STOCK</stp>
        <stp>13600.T</stp>
        <stp>始値</stp>
        <tr r="L13" s="7"/>
      </tp>
      <tp t="s">
        <v>表示銘柄数超過</v>
        <stp/>
        <stp>Market</stp>
        <stp>STOCK</stp>
        <stp>17700.T</stp>
        <stp>始値</stp>
        <tr r="L55" s="7"/>
      </tp>
      <tp t="s">
        <v>表示銘柄数超過</v>
        <stp/>
        <stp>Market</stp>
        <stp>STOCK</stp>
        <stp>17300.T</stp>
        <stp>始値</stp>
        <tr r="L52" s="7"/>
      </tp>
      <tp t="s">
        <v>表示銘柄数超過</v>
        <stp/>
        <stp>Market</stp>
        <stp>STOCK</stp>
        <stp>17200.T</stp>
        <stp>始値</stp>
        <tr r="L50" s="7"/>
      </tp>
      <tp t="s">
        <v>表示銘柄数超過</v>
        <stp/>
        <stp>Market</stp>
        <stp>STOCK</stp>
        <stp>14000.T</stp>
        <stp>始値</stp>
        <tr r="L17" s="7"/>
      </tp>
      <tp t="s">
        <v>表示銘柄数超過</v>
        <stp/>
        <stp>Market</stp>
        <stp>STOCK</stp>
        <stp>14300.T</stp>
        <stp>始値</stp>
        <tr r="L22" s="7"/>
      </tp>
      <tp t="s">
        <v>表示銘柄数超過</v>
        <stp/>
        <stp>Market</stp>
        <stp>STOCK</stp>
        <stp>28100.T</stp>
        <stp>始値</stp>
        <tr r="L201" s="7"/>
      </tp>
      <tp t="s">
        <v>表示銘柄数超過</v>
        <stp/>
        <stp>Market</stp>
        <stp>STOCK</stp>
        <stp>29300.T</stp>
        <stp>始値</stp>
        <tr r="L216" s="7"/>
      </tp>
      <tp t="s">
        <v>表示銘柄数超過</v>
        <stp/>
        <stp>Market</stp>
        <stp>STOCK</stp>
        <stp>22500.T</stp>
        <stp>始値</stp>
        <tr r="L109" s="7"/>
      </tp>
      <tp t="s">
        <v>表示銘柄数超過</v>
        <stp/>
        <stp>Market</stp>
        <stp>STOCK</stp>
        <stp>23400.T</stp>
        <stp>始値</stp>
        <tr r="L119" s="7"/>
      </tp>
      <tp t="s">
        <v>表示銘柄数超過</v>
        <stp/>
        <stp>Market</stp>
        <stp>STOCK</stp>
        <stp>23700.T</stp>
        <stp>始値</stp>
        <tr r="L126" s="7"/>
      </tp>
      <tp t="s">
        <v>表示銘柄数超過</v>
        <stp/>
        <stp>Market</stp>
        <stp>STOCK</stp>
        <stp>23300.T</stp>
        <stp>始値</stp>
        <tr r="L117" s="7"/>
      </tp>
      <tp t="s">
        <v>表示銘柄数超過</v>
        <stp/>
        <stp>Market</stp>
        <stp>STOCK</stp>
        <stp>21500.T</stp>
        <stp>始値</stp>
        <tr r="L94" s="7"/>
      </tp>
      <tp t="s">
        <v>表示銘柄数超過</v>
        <stp/>
        <stp>Market</stp>
        <stp>STOCK</stp>
        <stp>21600.T</stp>
        <stp>始値</stp>
        <tr r="L98" s="7"/>
      </tp>
      <tp t="s">
        <v>表示銘柄数超過</v>
        <stp/>
        <stp>Market</stp>
        <stp>STOCK</stp>
        <stp>21200.T</stp>
        <stp>始値</stp>
        <tr r="L90" s="7"/>
      </tp>
      <tp t="s">
        <v>表示銘柄数超過</v>
        <stp/>
        <stp>Market</stp>
        <stp>STOCK</stp>
        <stp>26200.T</stp>
        <stp>始値</stp>
        <tr r="L169" s="7"/>
      </tp>
      <tp t="s">
        <v>表示銘柄数超過</v>
        <stp/>
        <stp>Market</stp>
        <stp>STOCK</stp>
        <stp>27900.T</stp>
        <stp>始値</stp>
        <tr r="L200" s="7"/>
      </tp>
      <tp t="s">
        <v>表示銘柄数超過</v>
        <stp/>
        <stp>Market</stp>
        <stp>STOCK</stp>
        <stp>24100.T</stp>
        <stp>始値</stp>
        <tr r="L135" s="7"/>
      </tp>
      <tp t="s">
        <v>表示銘柄数超過</v>
        <stp/>
        <stp>Market</stp>
        <stp>STOCK</stp>
        <stp>25100.T</stp>
        <stp>始値</stp>
        <tr r="L157" s="7"/>
      </tp>
      <tp t="s">
        <v>表示銘柄数超過</v>
        <stp/>
        <stp>Market</stp>
        <stp>STOCK</stp>
        <stp>38800.T</stp>
        <stp>始値</stp>
        <tr r="L383" s="7"/>
      </tp>
      <tp t="s">
        <v>表示銘柄数超過</v>
        <stp/>
        <stp>Market</stp>
        <stp>STOCK</stp>
        <stp>38500.T</stp>
        <stp>始値</stp>
        <tr r="L373" s="7"/>
      </tp>
      <tp t="s">
        <v>表示銘柄数超過</v>
        <stp/>
        <stp>Market</stp>
        <stp>STOCK</stp>
        <stp>38400.T</stp>
        <stp>始値</stp>
        <tr r="L370" s="7"/>
      </tp>
      <tp t="s">
        <v>表示銘柄数超過</v>
        <stp/>
        <stp>Market</stp>
        <stp>STOCK</stp>
        <stp>38100.T</stp>
        <stp>始値</stp>
        <tr r="L362" s="7"/>
      </tp>
      <tp t="s">
        <v>表示銘柄数超過</v>
        <stp/>
        <stp>Market</stp>
        <stp>STOCK</stp>
        <stp>39900.T</stp>
        <stp>始値</stp>
        <tr r="L405" s="7"/>
      </tp>
      <tp t="s">
        <v>表示銘柄数超過</v>
        <stp/>
        <stp>Market</stp>
        <stp>STOCK</stp>
        <stp>39400.T</stp>
        <stp>始値</stp>
        <tr r="L399" s="7"/>
      </tp>
      <tp t="s">
        <v>表示銘柄数超過</v>
        <stp/>
        <stp>Market</stp>
        <stp>STOCK</stp>
        <stp>39100.T</stp>
        <stp>始値</stp>
        <tr r="L389" s="7"/>
      </tp>
      <tp t="s">
        <v>表示銘柄数超過</v>
        <stp/>
        <stp>Market</stp>
        <stp>STOCK</stp>
        <stp>39000.T</stp>
        <stp>始値</stp>
        <tr r="L384" s="7"/>
      </tp>
      <tp t="s">
        <v>表示銘柄数超過</v>
        <stp/>
        <stp>Market</stp>
        <stp>STOCK</stp>
        <stp>39200.T</stp>
        <stp>始値</stp>
        <tr r="L392" s="7"/>
      </tp>
      <tp t="s">
        <v>表示銘柄数超過</v>
        <stp/>
        <stp>Market</stp>
        <stp>STOCK</stp>
        <stp>33500.T</stp>
        <stp>始値</stp>
        <tr r="L283" s="7"/>
      </tp>
      <tp t="s">
        <v>表示銘柄数超過</v>
        <stp/>
        <stp>Market</stp>
        <stp>STOCK</stp>
        <stp>33700.T</stp>
        <stp>始値</stp>
        <tr r="L287" s="7"/>
      </tp>
      <tp t="s">
        <v>表示銘柄数超過</v>
        <stp/>
        <stp>Market</stp>
        <stp>STOCK</stp>
        <stp>33000.T</stp>
        <stp>始値</stp>
        <tr r="L275" s="7"/>
      </tp>
      <tp t="s">
        <v>表示銘柄数超過</v>
        <stp/>
        <stp>Market</stp>
        <stp>STOCK</stp>
        <stp>30500.T</stp>
        <stp>始値</stp>
        <tr r="L232" s="7"/>
      </tp>
      <tp t="s">
        <v>表示銘柄数超過</v>
        <stp/>
        <stp>Market</stp>
        <stp>STOCK</stp>
        <stp>30700.T</stp>
        <stp>始値</stp>
        <tr r="L236" s="7"/>
      </tp>
      <tp t="s">
        <v>表示銘柄数超過</v>
        <stp/>
        <stp>Market</stp>
        <stp>STOCK</stp>
        <stp>30100.T</stp>
        <stp>始値</stp>
        <tr r="L223" s="7"/>
      </tp>
      <tp t="s">
        <v>表示銘柄数超過</v>
        <stp/>
        <stp>Market</stp>
        <stp>STOCK</stp>
        <stp>30300.T</stp>
        <stp>始値</stp>
        <tr r="L225" s="7"/>
      </tp>
      <tp t="s">
        <v>表示銘柄数超過</v>
        <stp/>
        <stp>Market</stp>
        <stp>STOCK</stp>
        <stp>36800.T</stp>
        <stp>始値</stp>
        <tr r="L336" s="7"/>
      </tp>
      <tp t="s">
        <v>表示銘柄数超過</v>
        <stp/>
        <stp>Market</stp>
        <stp>STOCK</stp>
        <stp>36600.T</stp>
        <stp>始値</stp>
        <tr r="L325" s="7"/>
      </tp>
      <tp t="s">
        <v>表示銘柄数超過</v>
        <stp/>
        <stp>Market</stp>
        <stp>STOCK</stp>
        <stp>37700.T</stp>
        <stp>始値</stp>
        <tr r="L353" s="7"/>
      </tp>
      <tp t="s">
        <v>表示銘柄数超過</v>
        <stp/>
        <stp>Market</stp>
        <stp>STOCK</stp>
        <stp>37600.T</stp>
        <stp>始値</stp>
        <tr r="L352" s="7"/>
      </tp>
      <tp t="s">
        <v>表示銘柄数超過</v>
        <stp/>
        <stp>Market</stp>
        <stp>STOCK</stp>
        <stp>37100.T</stp>
        <stp>始値</stp>
        <tr r="L344" s="7"/>
      </tp>
      <tp t="s">
        <v>表示銘柄数超過</v>
        <stp/>
        <stp>Market</stp>
        <stp>STOCK</stp>
        <stp>35800.T</stp>
        <stp>始値</stp>
        <tr r="L310" s="7"/>
      </tp>
      <tp t="s">
        <v>表示銘柄数超過</v>
        <stp/>
        <stp>Market</stp>
        <stp>STOCK</stp>
        <stp>88020.T</stp>
        <stp>安値</stp>
        <tr r="P1051" s="7"/>
      </tp>
      <tp t="s">
        <v>表示銘柄数超過</v>
        <stp/>
        <stp>Market</stp>
        <stp>STOCK</stp>
        <stp>89120.T</stp>
        <stp>安値</stp>
        <tr r="P1063" s="7"/>
      </tp>
      <tp>
        <v>2429</v>
        <stp/>
        <stp>Market</stp>
        <stp>STOCK</stp>
        <stp>82520.T</stp>
        <stp>安値</stp>
        <tr r="P999" s="7"/>
      </tp>
      <tp>
        <v>1784</v>
        <stp/>
        <stp>Market</stp>
        <stp>STOCK</stp>
        <stp>82420.T</stp>
        <stp>安値</stp>
        <tr r="P996" s="7"/>
      </tp>
      <tp>
        <v>240</v>
        <stp/>
        <stp>Market</stp>
        <stp>STOCK</stp>
        <stp>82020.T</stp>
        <stp>安値</stp>
        <tr r="P990" s="7"/>
      </tp>
      <tp>
        <v>443</v>
        <stp/>
        <stp>Market</stp>
        <stp>STOCK</stp>
        <stp>86220.T</stp>
        <stp>安値</stp>
        <tr r="P1032" s="7"/>
      </tp>
      <tp>
        <v>253</v>
        <stp/>
        <stp>Market</stp>
        <stp>STOCK</stp>
        <stp>87420.T</stp>
        <stp>安値</stp>
        <tr r="P1042" s="7"/>
      </tp>
      <tp>
        <v>297</v>
        <stp/>
        <stp>Market</stp>
        <stp>STOCK</stp>
        <stp>87320.T</stp>
        <stp>安値</stp>
        <tr r="P1040" s="7"/>
      </tp>
      <tp>
        <v>490</v>
        <stp/>
        <stp>Market</stp>
        <stp>STOCK</stp>
        <stp>84620.T</stp>
        <stp>安値</stp>
        <tr r="P1012" s="7"/>
      </tp>
      <tp>
        <v>358.5</v>
        <stp/>
        <stp>Market</stp>
        <stp>STOCK</stp>
        <stp>85720.T</stp>
        <stp>安値</stp>
        <tr r="P1021" s="7"/>
      </tp>
      <tp>
        <v>230</v>
        <stp/>
        <stp>Market</stp>
        <stp>STOCK</stp>
        <stp>85620.T</stp>
        <stp>安値</stp>
        <tr r="P1019" s="7"/>
      </tp>
      <tp t="s">
        <v>表示銘柄数超過</v>
        <stp/>
        <stp>Market</stp>
        <stp>STOCK</stp>
        <stp>98420.T</stp>
        <stp>安値</stp>
        <tr r="P1172" s="7"/>
      </tp>
      <tp t="s">
        <v>表示銘柄数超過</v>
        <stp/>
        <stp>Market</stp>
        <stp>STOCK</stp>
        <stp>98120.T</stp>
        <stp>安値</stp>
        <tr r="P1170" s="7"/>
      </tp>
      <tp t="s">
        <v>表示銘柄数超過</v>
        <stp/>
        <stp>Market</stp>
        <stp>STOCK</stp>
        <stp>99820.T</stp>
        <stp>安値</stp>
        <tr r="P1188" s="7"/>
      </tp>
      <tp t="s">
        <v>表示銘柄数超過</v>
        <stp/>
        <stp>Market</stp>
        <stp>STOCK</stp>
        <stp>92720.T</stp>
        <stp>安値</stp>
        <tr r="P1106" s="7"/>
      </tp>
      <tp t="s">
        <v>表示銘柄数超過</v>
        <stp/>
        <stp>Market</stp>
        <stp>STOCK</stp>
        <stp>90420.T</stp>
        <stp>安値</stp>
        <tr r="P1086" s="7"/>
      </tp>
      <tp t="s">
        <v>表示銘柄数超過</v>
        <stp/>
        <stp>Market</stp>
        <stp>STOCK</stp>
        <stp>90220.T</stp>
        <stp>安値</stp>
        <tr r="P1082" s="7"/>
      </tp>
      <tp t="s">
        <v>表示銘柄数超過</v>
        <stp/>
        <stp>Market</stp>
        <stp>STOCK</stp>
        <stp>91420.T</stp>
        <stp>安値</stp>
        <tr r="P1098" s="7"/>
      </tp>
      <tp t="s">
        <v>表示銘柄数超過</v>
        <stp/>
        <stp>Market</stp>
        <stp>STOCK</stp>
        <stp>97820.T</stp>
        <stp>安値</stp>
        <tr r="P1166" s="7"/>
      </tp>
      <tp t="s">
        <v>表示銘柄数超過</v>
        <stp/>
        <stp>Market</stp>
        <stp>STOCK</stp>
        <stp>94120.T</stp>
        <stp>安値</stp>
        <tr r="P1118" s="7"/>
      </tp>
      <tp>
        <v>180.6</v>
        <stp/>
        <stp>Market</stp>
        <stp>STOCK</stp>
        <stp>94320.T</stp>
        <stp>安値</stp>
        <tr r="P1127" s="7"/>
      </tp>
      <tp t="s">
        <v>表示銘柄数超過</v>
        <stp/>
        <stp>Market</stp>
        <stp>STOCK</stp>
        <stp>95020.T</stp>
        <stp>安値</stp>
        <tr r="P1141" s="7"/>
      </tp>
      <tp t="s">
        <v>表示銘柄数超過</v>
        <stp/>
        <stp>Market</stp>
        <stp>STOCK</stp>
        <stp>95320.T</stp>
        <stp>安値</stp>
        <tr r="P1154" s="7"/>
      </tp>
      <tp t="s">
        <v>表示銘柄数超過</v>
        <stp/>
        <stp>Market</stp>
        <stp>STOCK</stp>
        <stp>95220.T</stp>
        <stp>安値</stp>
        <tr r="P1152" s="7"/>
      </tp>
      <tp>
        <v>1359</v>
        <stp/>
        <stp>Market</stp>
        <stp>STOCK</stp>
        <stp>68620.T</stp>
        <stp>安値</stp>
        <tr r="P779" s="7"/>
      </tp>
      <tp>
        <v>679</v>
        <stp/>
        <stp>Market</stp>
        <stp>STOCK</stp>
        <stp>69820.T</stp>
        <stp>安値</stp>
        <tr r="P799" s="7"/>
      </tp>
      <tp>
        <v>1260.5</v>
        <stp/>
        <stp>Market</stp>
        <stp>STOCK</stp>
        <stp>69520.T</stp>
        <stp>安値</stp>
        <tr r="P793" s="7"/>
      </tp>
      <tp>
        <v>1566</v>
        <stp/>
        <stp>Market</stp>
        <stp>STOCK</stp>
        <stp>69420.T</stp>
        <stp>安値</stp>
        <tr r="P792" s="7"/>
      </tp>
      <tp>
        <v>2426</v>
        <stp/>
        <stp>Market</stp>
        <stp>STOCK</stp>
        <stp>69020.T</stp>
        <stp>安値</stp>
        <tr r="P784" s="7"/>
      </tp>
      <tp>
        <v>589</v>
        <stp/>
        <stp>Market</stp>
        <stp>STOCK</stp>
        <stp>60920.T</stp>
        <stp>安値</stp>
        <tr r="P651" s="7"/>
      </tp>
      <tp t="s">
        <v/>
        <stp/>
        <stp>Market</stp>
        <stp>STOCK</stp>
        <stp>61920.T</stp>
        <stp>安値</stp>
        <tr r="P674" s="7"/>
      </tp>
      <tp>
        <v>1239</v>
        <stp/>
        <stp>Market</stp>
        <stp>STOCK</stp>
        <stp>61820.T</stp>
        <stp>安値</stp>
        <tr r="P668" s="7"/>
      </tp>
      <tp>
        <v>631</v>
        <stp/>
        <stp>Market</stp>
        <stp>STOCK</stp>
        <stp>66320.T</stp>
        <stp>安値</stp>
        <tr r="P741" s="7"/>
      </tp>
      <tp>
        <v>1396.5</v>
        <stp/>
        <stp>Market</stp>
        <stp>STOCK</stp>
        <stp>67520.T</stp>
        <stp>安値</stp>
        <tr r="P764" s="7"/>
      </tp>
      <tp>
        <v>465</v>
        <stp/>
        <stp>Market</stp>
        <stp>STOCK</stp>
        <stp>67420.T</stp>
        <stp>安値</stp>
        <tr r="P761" s="7"/>
      </tp>
      <tp>
        <v>7547</v>
        <stp/>
        <stp>Market</stp>
        <stp>STOCK</stp>
        <stp>67620.T</stp>
        <stp>安値</stp>
        <tr r="P768" s="7"/>
      </tp>
      <tp>
        <v>22965</v>
        <stp/>
        <stp>Market</stp>
        <stp>STOCK</stp>
        <stp>67020.T</stp>
        <stp>安値</stp>
        <tr r="P755" s="7"/>
      </tp>
      <tp>
        <v>308</v>
        <stp/>
        <stp>Market</stp>
        <stp>STOCK</stp>
        <stp>65520.T</stp>
        <stp>安値</stp>
        <tr r="P724" s="7"/>
      </tp>
      <tp t="s">
        <v/>
        <stp/>
        <stp>Market</stp>
        <stp>STOCK</stp>
        <stp>65020.T</stp>
        <stp>安値</stp>
        <tr r="P714" s="7"/>
      </tp>
      <tp>
        <v>625</v>
        <stp/>
        <stp>Market</stp>
        <stp>STOCK</stp>
        <stp>65220.T</stp>
        <stp>安値</stp>
        <tr r="P719" s="7"/>
      </tp>
      <tp>
        <v>1522</v>
        <stp/>
        <stp>Market</stp>
        <stp>STOCK</stp>
        <stp>79720.T</stp>
        <stp>安値</stp>
        <tr r="P961" s="7"/>
      </tp>
      <tp>
        <v>1412</v>
        <stp/>
        <stp>Market</stp>
        <stp>STOCK</stp>
        <stp>72720.T</stp>
        <stp>安値</stp>
        <tr r="P868" s="7"/>
      </tp>
      <tp>
        <v>668</v>
        <stp/>
        <stp>Market</stp>
        <stp>STOCK</stp>
        <stp>72120.T</stp>
        <stp>安値</stp>
        <tr r="P849" s="7"/>
      </tp>
      <tp>
        <v>2016</v>
        <stp/>
        <stp>Market</stp>
        <stp>STOCK</stp>
        <stp>72020.T</stp>
        <stp>安値</stp>
        <tr r="P845" s="7"/>
      </tp>
      <tp>
        <v>971</v>
        <stp/>
        <stp>Market</stp>
        <stp>STOCK</stp>
        <stp>72220.T</stp>
        <stp>安値</stp>
        <tr r="P852" s="7"/>
      </tp>
      <tp>
        <v>1622</v>
        <stp/>
        <stp>Market</stp>
        <stp>STOCK</stp>
        <stp>73420.T</stp>
        <stp>安値</stp>
        <tr r="P876" s="7"/>
      </tp>
      <tp>
        <v>975</v>
        <stp/>
        <stp>Market</stp>
        <stp>STOCK</stp>
        <stp>70620.T</stp>
        <stp>安値</stp>
        <tr r="P820" s="7"/>
      </tp>
      <tp>
        <v>3401</v>
        <stp/>
        <stp>Market</stp>
        <stp>STOCK</stp>
        <stp>70120.T</stp>
        <stp>安値</stp>
        <tr r="P807" s="7"/>
      </tp>
      <tp>
        <v>1488</v>
        <stp/>
        <stp>Market</stp>
        <stp>STOCK</stp>
        <stp>71820.T</stp>
        <stp>安値</stp>
        <tr r="P839" s="7"/>
      </tp>
      <tp>
        <v>919</v>
        <stp/>
        <stp>Market</stp>
        <stp>STOCK</stp>
        <stp>71720.T</stp>
        <stp>安値</stp>
        <tr r="P835" s="7"/>
      </tp>
      <tp>
        <v>2256</v>
        <stp/>
        <stp>Market</stp>
        <stp>STOCK</stp>
        <stp>71020.T</stp>
        <stp>安値</stp>
        <tr r="P825" s="7"/>
      </tp>
      <tp>
        <v>2007</v>
        <stp/>
        <stp>Market</stp>
        <stp>STOCK</stp>
        <stp>71220.T</stp>
        <stp>安値</stp>
        <tr r="P828" s="7"/>
      </tp>
      <tp>
        <v>62</v>
        <stp/>
        <stp>Market</stp>
        <stp>STOCK</stp>
        <stp>76920.T</stp>
        <stp>安値</stp>
        <tr r="P920" s="7"/>
      </tp>
      <tp>
        <v>179</v>
        <stp/>
        <stp>Market</stp>
        <stp>STOCK</stp>
        <stp>76020.T</stp>
        <stp>安値</stp>
        <tr r="P910" s="7"/>
      </tp>
      <tp>
        <v>808</v>
        <stp/>
        <stp>Market</stp>
        <stp>STOCK</stp>
        <stp>77920.T</stp>
        <stp>安値</stp>
        <tr r="P935" s="7"/>
      </tp>
      <tp>
        <v>1237</v>
        <stp/>
        <stp>Market</stp>
        <stp>STOCK</stp>
        <stp>77520.T</stp>
        <stp>安値</stp>
        <tr r="P929" s="7"/>
      </tp>
      <tp>
        <v>953</v>
        <stp/>
        <stp>Market</stp>
        <stp>STOCK</stp>
        <stp>77620.T</stp>
        <stp>安値</stp>
        <tr r="P930" s="7"/>
      </tp>
      <tp>
        <v>1704.5</v>
        <stp/>
        <stp>Market</stp>
        <stp>STOCK</stp>
        <stp>77320.T</stp>
        <stp>安値</stp>
        <tr r="P925" s="7"/>
      </tp>
      <tp>
        <v>507</v>
        <stp/>
        <stp>Market</stp>
        <stp>STOCK</stp>
        <stp>77220.T</stp>
        <stp>安値</stp>
        <tr r="P923" s="7"/>
      </tp>
      <tp>
        <v>927</v>
        <stp/>
        <stp>Market</stp>
        <stp>STOCK</stp>
        <stp>75120.T</stp>
        <stp>安値</stp>
        <tr r="P896" s="7"/>
      </tp>
      <tp t="s">
        <v>表示銘柄数超過</v>
        <stp/>
        <stp>Market</stp>
        <stp>STOCK</stp>
        <stp>48920.T</stp>
        <stp>安値</stp>
        <tr r="P550" s="7"/>
      </tp>
      <tp t="s">
        <v>表示銘柄数超過</v>
        <stp/>
        <stp>Market</stp>
        <stp>STOCK</stp>
        <stp>49120.T</stp>
        <stp>安値</stp>
        <tr r="P552" s="7"/>
      </tp>
      <tp t="s">
        <v>表示銘柄数超過</v>
        <stp/>
        <stp>Market</stp>
        <stp>STOCK</stp>
        <stp>49020.T</stp>
        <stp>安値</stp>
        <tr r="P551" s="7"/>
      </tp>
      <tp t="s">
        <v>表示銘柄数超過</v>
        <stp/>
        <stp>Market</stp>
        <stp>STOCK</stp>
        <stp>42020.T</stp>
        <stp>安値</stp>
        <tr r="P426" s="7"/>
      </tp>
      <tp t="s">
        <v>表示銘柄数超過</v>
        <stp/>
        <stp>Market</stp>
        <stp>STOCK</stp>
        <stp>43820.T</stp>
        <stp>安値</stp>
        <tr r="P455" s="7"/>
      </tp>
      <tp t="s">
        <v>表示銘柄数超過</v>
        <stp/>
        <stp>Market</stp>
        <stp>STOCK</stp>
        <stp>41920.T</stp>
        <stp>安値</stp>
        <tr r="P424" s="7"/>
      </tp>
      <tp t="s">
        <v>表示銘柄数超過</v>
        <stp/>
        <stp>Market</stp>
        <stp>STOCK</stp>
        <stp>46120.T</stp>
        <stp>安値</stp>
        <tr r="P509" s="7"/>
      </tp>
      <tp t="s">
        <v>表示銘柄数超過</v>
        <stp/>
        <stp>Market</stp>
        <stp>STOCK</stp>
        <stp>44920.T</stp>
        <stp>安値</stp>
        <tr r="P477" s="7"/>
      </tp>
      <tp t="s">
        <v>表示銘柄数超過</v>
        <stp/>
        <stp>Market</stp>
        <stp>STOCK</stp>
        <stp>44520.T</stp>
        <stp>安値</stp>
        <tr r="P469" s="7"/>
      </tp>
      <tp t="s">
        <v>表示銘柄数超過</v>
        <stp/>
        <stp>Market</stp>
        <stp>STOCK</stp>
        <stp>45920.T</stp>
        <stp>安値</stp>
        <tr r="P503" s="7"/>
      </tp>
      <tp t="s">
        <v>表示銘柄数超過</v>
        <stp/>
        <stp>Market</stp>
        <stp>STOCK</stp>
        <stp>45820.T</stp>
        <stp>安値</stp>
        <tr r="P497" s="7"/>
      </tp>
      <tp t="s">
        <v>表示銘柄数超過</v>
        <stp/>
        <stp>Market</stp>
        <stp>STOCK</stp>
        <stp>45720.T</stp>
        <stp>安値</stp>
        <tr r="P492" s="7"/>
      </tp>
      <tp>
        <v>743</v>
        <stp/>
        <stp>Market</stp>
        <stp>STOCK</stp>
        <stp>58520.T</stp>
        <stp>安値</stp>
        <tr r="P616" s="7"/>
      </tp>
      <tp>
        <v>2040.5</v>
        <stp/>
        <stp>Market</stp>
        <stp>STOCK</stp>
        <stp>58020.T</stp>
        <stp>安値</stp>
        <tr r="P612" s="7"/>
      </tp>
      <tp>
        <v>1052.5</v>
        <stp/>
        <stp>Market</stp>
        <stp>STOCK</stp>
        <stp>58320.T</stp>
        <stp>安値</stp>
        <tr r="P614" s="7"/>
      </tp>
      <tp>
        <v>141</v>
        <stp/>
        <stp>Market</stp>
        <stp>STOCK</stp>
        <stp>59520.T</stp>
        <stp>安値</stp>
        <tr r="P626" s="7"/>
      </tp>
      <tp>
        <v>899</v>
        <stp/>
        <stp>Market</stp>
        <stp>STOCK</stp>
        <stp>52620.T</stp>
        <stp>安値</stp>
        <tr r="P581" s="7"/>
      </tp>
      <tp t="s">
        <v>表示銘柄数超過</v>
        <stp/>
        <stp>Market</stp>
        <stp>STOCK</stp>
        <stp>50320.T</stp>
        <stp>安値</stp>
        <tr r="P565" s="7"/>
      </tp>
      <tp>
        <v>4710</v>
        <stp/>
        <stp>Market</stp>
        <stp>STOCK</stp>
        <stp>51920.T</stp>
        <stp>安値</stp>
        <tr r="P574" s="7"/>
      </tp>
      <tp>
        <v>1172</v>
        <stp/>
        <stp>Market</stp>
        <stp>STOCK</stp>
        <stp>56120.T</stp>
        <stp>安値</stp>
        <tr r="P601" s="7"/>
      </tp>
      <tp>
        <v>1627</v>
        <stp/>
        <stp>Market</stp>
        <stp>STOCK</stp>
        <stp>56320.T</stp>
        <stp>安値</stp>
        <tr r="P602" s="7"/>
      </tp>
      <tp t="s">
        <v>表示銘柄数超過</v>
        <stp/>
        <stp>Market</stp>
        <stp>STOCK</stp>
        <stp>28520.T</stp>
        <stp>安値</stp>
        <tr r="P204" s="7"/>
      </tp>
      <tp t="s">
        <v>表示銘柄数超過</v>
        <stp/>
        <stp>Market</stp>
        <stp>STOCK</stp>
        <stp>29820.T</stp>
        <stp>安値</stp>
        <tr r="P217" s="7"/>
      </tp>
      <tp t="s">
        <v>表示銘柄数超過</v>
        <stp/>
        <stp>Market</stp>
        <stp>STOCK</stp>
        <stp>22420.T</stp>
        <stp>安値</stp>
        <tr r="P108" s="7"/>
      </tp>
      <tp t="s">
        <v>表示銘柄数超過</v>
        <stp/>
        <stp>Market</stp>
        <stp>STOCK</stp>
        <stp>21520.T</stp>
        <stp>安値</stp>
        <tr r="P95" s="7"/>
      </tp>
      <tp t="s">
        <v>表示銘柄数超過</v>
        <stp/>
        <stp>Market</stp>
        <stp>STOCK</stp>
        <stp>21620.T</stp>
        <stp>安値</stp>
        <tr r="P99" s="7"/>
      </tp>
      <tp t="s">
        <v>表示銘柄数超過</v>
        <stp/>
        <stp>Market</stp>
        <stp>STOCK</stp>
        <stp>27820.T</stp>
        <stp>安値</stp>
        <tr r="P199" s="7"/>
      </tp>
      <tp t="s">
        <v>表示銘柄数超過</v>
        <stp/>
        <stp>Market</stp>
        <stp>STOCK</stp>
        <stp>27620.T</stp>
        <stp>安値</stp>
        <tr r="P193" s="7"/>
      </tp>
      <tp t="s">
        <v>表示銘柄数超過</v>
        <stp/>
        <stp>Market</stp>
        <stp>STOCK</stp>
        <stp>27020.T</stp>
        <stp>安値</stp>
        <tr r="P186" s="7"/>
      </tp>
      <tp t="s">
        <v>表示銘柄数超過</v>
        <stp/>
        <stp>Market</stp>
        <stp>STOCK</stp>
        <stp>27220.T</stp>
        <stp>安値</stp>
        <tr r="P188" s="7"/>
      </tp>
      <tp t="s">
        <v>表示銘柄数超過</v>
        <stp/>
        <stp>Market</stp>
        <stp>STOCK</stp>
        <stp>24920.T</stp>
        <stp>安値</stp>
        <tr r="P154" s="7"/>
      </tp>
      <tp t="s">
        <v>表示銘柄数超過</v>
        <stp/>
        <stp>Market</stp>
        <stp>STOCK</stp>
        <stp>24120.T</stp>
        <stp>安値</stp>
        <tr r="P137" s="7"/>
      </tp>
      <tp t="s">
        <v>表示銘柄数超過</v>
        <stp/>
        <stp>Market</stp>
        <stp>STOCK</stp>
        <stp>24020.T</stp>
        <stp>安値</stp>
        <tr r="P132" s="7"/>
      </tp>
      <tp t="s">
        <v>表示銘柄数超過</v>
        <stp/>
        <stp>Market</stp>
        <stp>STOCK</stp>
        <stp>24320.T</stp>
        <stp>安値</stp>
        <tr r="P140" s="7"/>
      </tp>
      <tp t="s">
        <v>表示銘柄数超過</v>
        <stp/>
        <stp>Market</stp>
        <stp>STOCK</stp>
        <stp>38520.T</stp>
        <stp>安値</stp>
        <tr r="P375" s="7"/>
      </tp>
      <tp t="s">
        <v>表示銘柄数超過</v>
        <stp/>
        <stp>Market</stp>
        <stp>STOCK</stp>
        <stp>38420.T</stp>
        <stp>安値</stp>
        <tr r="P371" s="7"/>
      </tp>
      <tp t="s">
        <v>表示銘柄数超過</v>
        <stp/>
        <stp>Market</stp>
        <stp>STOCK</stp>
        <stp>39920.T</stp>
        <stp>安値</stp>
        <tr r="P406" s="7"/>
      </tp>
      <tp t="s">
        <v>表示銘柄数超過</v>
        <stp/>
        <stp>Market</stp>
        <stp>STOCK</stp>
        <stp>39020.T</stp>
        <stp>安値</stp>
        <tr r="P385" s="7"/>
      </tp>
      <tp t="s">
        <v>表示銘柄数超過</v>
        <stp/>
        <stp>Market</stp>
        <stp>STOCK</stp>
        <stp>32420.T</stp>
        <stp>安値</stp>
        <tr r="P263" s="7"/>
      </tp>
      <tp t="s">
        <v>表示銘柄数超過</v>
        <stp/>
        <stp>Market</stp>
        <stp>STOCK</stp>
        <stp>32320.T</stp>
        <stp>安値</stp>
        <tr r="P258" s="7"/>
      </tp>
      <tp t="s">
        <v>表示銘柄数超過</v>
        <stp/>
        <stp>Market</stp>
        <stp>STOCK</stp>
        <stp>33920.T</stp>
        <stp>安値</stp>
        <tr r="P293" s="7"/>
      </tp>
      <tp t="s">
        <v>表示銘柄数超過</v>
        <stp/>
        <stp>Market</stp>
        <stp>STOCK</stp>
        <stp>33820.T</stp>
        <stp>安値</stp>
        <tr r="P290" s="7"/>
      </tp>
      <tp t="s">
        <v>表示銘柄数超過</v>
        <stp/>
        <stp>Market</stp>
        <stp>STOCK</stp>
        <stp>33720.T</stp>
        <stp>安値</stp>
        <tr r="P288" s="7"/>
      </tp>
      <tp t="s">
        <v>表示銘柄数超過</v>
        <stp/>
        <stp>Market</stp>
        <stp>STOCK</stp>
        <stp>31920.T</stp>
        <stp>安値</stp>
        <tr r="P256" s="7"/>
      </tp>
      <tp t="s">
        <v>表示銘柄数超過</v>
        <stp/>
        <stp>Market</stp>
        <stp>STOCK</stp>
        <stp>31820.T</stp>
        <stp>安値</stp>
        <tr r="P251" s="7"/>
      </tp>
      <tp t="s">
        <v>表示銘柄数超過</v>
        <stp/>
        <stp>Market</stp>
        <stp>STOCK</stp>
        <stp>36820.T</stp>
        <stp>安値</stp>
        <tr r="P338" s="7"/>
      </tp>
      <tp t="s">
        <v>表示銘柄数超過</v>
        <stp/>
        <stp>Market</stp>
        <stp>STOCK</stp>
        <stp>36520.T</stp>
        <stp>安値</stp>
        <tr r="P322" s="7"/>
      </tp>
      <tp t="s">
        <v>表示銘柄数超過</v>
        <stp/>
        <stp>Market</stp>
        <stp>STOCK</stp>
        <stp>36720.T</stp>
        <stp>安値</stp>
        <tr r="P332" s="7"/>
      </tp>
      <tp t="s">
        <v>表示銘柄数超過</v>
        <stp/>
        <stp>Market</stp>
        <stp>STOCK</stp>
        <stp>36320.T</stp>
        <stp>安値</stp>
        <tr r="P316" s="7"/>
      </tp>
      <tp t="s">
        <v>表示銘柄数超過</v>
        <stp/>
        <stp>Market</stp>
        <stp>STOCK</stp>
        <stp>34220.T</stp>
        <stp>安値</stp>
        <tr r="P297" s="7"/>
      </tp>
      <tp t="s">
        <v>表示銘柄数超過</v>
        <stp/>
        <stp>Market</stp>
        <stp>STOCK</stp>
        <stp>18120.T</stp>
        <stp>安値</stp>
        <tr r="P60" s="7"/>
      </tp>
      <tp t="s">
        <v>表示銘柄数超過</v>
        <stp/>
        <stp>Market</stp>
        <stp>STOCK</stp>
        <stp>18020.T</stp>
        <stp>安値</stp>
        <tr r="P57" s="7"/>
      </tp>
      <tp t="s">
        <v>表示銘柄数超過</v>
        <stp/>
        <stp>Market</stp>
        <stp>STOCK</stp>
        <stp>19420.T</stp>
        <stp>安値</stp>
        <tr r="P80" s="7"/>
      </tp>
      <tp t="s">
        <v>表示銘柄数超過</v>
        <stp/>
        <stp>Market</stp>
        <stp>STOCK</stp>
        <stp>13320.T</stp>
        <stp>安値</stp>
        <tr r="P8" s="7"/>
      </tp>
      <tp t="s">
        <v>表示銘柄数超過</v>
        <stp/>
        <stp>Market</stp>
        <stp>STOCK</stp>
        <stp>16820.T</stp>
        <stp>安値</stp>
        <tr r="P43" s="7"/>
      </tp>
      <tp t="s">
        <v>表示銘柄数超過</v>
        <stp/>
        <stp>Market</stp>
        <stp>STOCK</stp>
        <stp>17120.T</stp>
        <stp>安値</stp>
        <tr r="P47" s="7"/>
      </tp>
      <tp t="s">
        <v>表示銘柄数超過</v>
        <stp/>
        <stp>Market</stp>
        <stp>STOCK</stp>
        <stp>14720.T</stp>
        <stp>安値</stp>
        <tr r="P28" s="7"/>
      </tp>
      <tp t="s">
        <v>表示銘柄数超過</v>
        <stp/>
        <stp>Market</stp>
        <stp>STOCK</stp>
        <stp>15520.T</stp>
        <stp>安値</stp>
        <tr r="P32" s="7"/>
      </tp>
      <tp t="s">
        <v>表示銘柄数超過</v>
        <stp/>
        <stp>Market</stp>
        <stp>STOCK</stp>
        <stp>15720.T</stp>
        <stp>安値</stp>
        <tr r="P35" s="7"/>
      </tp>
    </main>
    <main first="rtdsrv.662c26bade854d00aebc6010f8a2e03a">
      <tp t="s">
        <v>表示銘柄数超過</v>
        <stp/>
        <stp>Market</stp>
        <stp>STOCK</stp>
        <stp>88970.T</stp>
        <stp>始値</stp>
        <tr r="L1061" s="7"/>
      </tp>
      <tp t="s">
        <v>表示銘柄数超過</v>
        <stp/>
        <stp>Market</stp>
        <stp>STOCK</stp>
        <stp>88870.T</stp>
        <stp>始値</stp>
        <tr r="L1058" s="7"/>
      </tp>
      <tp t="s">
        <v>表示銘柄数超過</v>
        <stp/>
        <stp>Market</stp>
        <stp>STOCK</stp>
        <stp>89270.T</stp>
        <stp>始値</stp>
        <tr r="L1067" s="7"/>
      </tp>
      <tp>
        <v>495</v>
        <stp/>
        <stp>Market</stp>
        <stp>STOCK</stp>
        <stp>82470.T</stp>
        <stp>始値</stp>
        <tr r="L998" s="7"/>
      </tp>
      <tp>
        <v>3566</v>
        <stp/>
        <stp>Market</stp>
        <stp>STOCK</stp>
        <stp>82670.T</stp>
        <stp>始値</stp>
        <tr r="L1001" s="7"/>
      </tp>
      <tp>
        <v>316</v>
        <stp/>
        <stp>Market</stp>
        <stp>STOCK</stp>
        <stp>82070.T</stp>
        <stp>始値</stp>
        <tr r="L992" s="7"/>
      </tp>
      <tp>
        <v>941</v>
        <stp/>
        <stp>Market</stp>
        <stp>STOCK</stp>
        <stp>82370.T</stp>
        <stp>始値</stp>
        <tr r="L995" s="7"/>
      </tp>
      <tp>
        <v>1040</v>
        <stp/>
        <stp>Market</stp>
        <stp>STOCK</stp>
        <stp>83870.T</stp>
        <stp>始値</stp>
        <tr r="L1009" s="7"/>
      </tp>
      <tp>
        <v>1565</v>
        <stp/>
        <stp>Market</stp>
        <stp>STOCK</stp>
        <stp>83770.T</stp>
        <stp>始値</stp>
        <tr r="L1007" s="7"/>
      </tp>
      <tp>
        <v>850</v>
        <stp/>
        <stp>Market</stp>
        <stp>STOCK</stp>
        <stp>83370.T</stp>
        <stp>始値</stp>
        <tr r="L1005" s="7"/>
      </tp>
      <tp>
        <v>296</v>
        <stp/>
        <stp>Market</stp>
        <stp>STOCK</stp>
        <stp>80770.T</stp>
        <stp>始値</stp>
        <tr r="L973" s="7"/>
      </tp>
      <tp>
        <v>3315</v>
        <stp/>
        <stp>Market</stp>
        <stp>STOCK</stp>
        <stp>86970.T</stp>
        <stp>始値</stp>
        <tr r="L1035" s="7"/>
      </tp>
      <tp>
        <v>590</v>
        <stp/>
        <stp>Market</stp>
        <stp>STOCK</stp>
        <stp>86170.T</stp>
        <stp>始値</stp>
        <tr r="L1031" s="7"/>
      </tp>
      <tp>
        <v>506</v>
        <stp/>
        <stp>Market</stp>
        <stp>STOCK</stp>
        <stp>87370.T</stp>
        <stp>始値</stp>
        <tr r="L1041" s="7"/>
      </tp>
      <tp t="s">
        <v>表示銘柄数超過</v>
        <stp/>
        <stp>Market</stp>
        <stp>STOCK</stp>
        <stp>99270.T</stp>
        <stp>始値</stp>
        <tr r="L1181" s="7"/>
      </tp>
      <tp t="s">
        <v>表示銘柄数超過</v>
        <stp/>
        <stp>Market</stp>
        <stp>STOCK</stp>
        <stp>92470.T</stp>
        <stp>始値</stp>
        <tr r="L1101" s="7"/>
      </tp>
      <tp t="s">
        <v>表示銘柄数超過</v>
        <stp/>
        <stp>Market</stp>
        <stp>STOCK</stp>
        <stp>93070.T</stp>
        <stp>始値</stp>
        <tr r="L1109" s="7"/>
      </tp>
      <tp t="s">
        <v>表示銘柄数超過</v>
        <stp/>
        <stp>Market</stp>
        <stp>STOCK</stp>
        <stp>90070.T</stp>
        <stp>始値</stp>
        <tr r="L1077" s="7"/>
      </tp>
      <tp t="s">
        <v>表示銘柄数超過</v>
        <stp/>
        <stp>Market</stp>
        <stp>STOCK</stp>
        <stp>91070.T</stp>
        <stp>始値</stp>
        <tr r="L1095" s="7"/>
      </tp>
      <tp t="s">
        <v>表示銘柄数超過</v>
        <stp/>
        <stp>Market</stp>
        <stp>STOCK</stp>
        <stp>97870.T</stp>
        <stp>始値</stp>
        <tr r="L1168" s="7"/>
      </tp>
      <tp t="s">
        <v>表示銘柄数超過</v>
        <stp/>
        <stp>Market</stp>
        <stp>STOCK</stp>
        <stp>94170.T</stp>
        <stp>始値</stp>
        <tr r="L1121" s="7"/>
      </tp>
      <tp t="s">
        <v>表示銘柄数超過</v>
        <stp/>
        <stp>Market</stp>
        <stp>STOCK</stp>
        <stp>95570.T</stp>
        <stp>始値</stp>
        <tr r="L1156" s="7"/>
      </tp>
      <tp t="s">
        <v>表示銘柄数超過</v>
        <stp/>
        <stp>Market</stp>
        <stp>STOCK</stp>
        <stp>95070.T</stp>
        <stp>始値</stp>
        <tr r="L1146" s="7"/>
      </tp>
    </main>
    <main first="rtdsrv.662c26bade854d00aebc6010f8a2e03a">
      <tp t="s">
        <v>表示銘柄数超過</v>
        <stp/>
        <stp>Market</stp>
        <stp>STOCK</stp>
        <stp>48470.T</stp>
        <stp>始値</stp>
        <tr r="L544" s="7"/>
      </tp>
      <tp t="s">
        <v>表示銘柄数超過</v>
        <stp/>
        <stp>Market</stp>
        <stp>STOCK</stp>
        <stp>48370.T</stp>
        <stp>始値</stp>
        <tr r="L542" s="7"/>
      </tp>
      <tp>
        <v>676</v>
        <stp/>
        <stp>Market</stp>
        <stp>STOCK</stp>
        <stp>49970.T</stp>
        <stp>始値</stp>
        <tr r="L557" s="7"/>
      </tp>
      <tp t="s">
        <v>表示銘柄数超過</v>
        <stp/>
        <stp>Market</stp>
        <stp>STOCK</stp>
        <stp>42870.T</stp>
        <stp>始値</stp>
        <tr r="L438" s="7"/>
      </tp>
      <tp t="s">
        <v>表示銘柄数超過</v>
        <stp/>
        <stp>Market</stp>
        <stp>STOCK</stp>
        <stp>42370.T</stp>
        <stp>始値</stp>
        <tr r="L427" s="7"/>
      </tp>
      <tp t="s">
        <v>表示銘柄数超過</v>
        <stp/>
        <stp>Market</stp>
        <stp>STOCK</stp>
        <stp>43370.T</stp>
        <stp>始値</stp>
        <tr r="L444" s="7"/>
      </tp>
      <tp t="s">
        <v>表示銘柄数超過</v>
        <stp/>
        <stp>Market</stp>
        <stp>STOCK</stp>
        <stp>40270.T</stp>
        <stp>始値</stp>
        <tr r="L413" s="7"/>
      </tp>
      <tp t="s">
        <v>表示銘柄数超過</v>
        <stp/>
        <stp>Market</stp>
        <stp>STOCK</stp>
        <stp>41670.T</stp>
        <stp>始値</stp>
        <tr r="L418" s="7"/>
      </tp>
      <tp t="s">
        <v>表示銘柄数超過</v>
        <stp/>
        <stp>Market</stp>
        <stp>STOCK</stp>
        <stp>46570.T</stp>
        <stp>始値</stp>
        <tr r="L514" s="7"/>
      </tp>
      <tp t="s">
        <v>表示銘柄数超過</v>
        <stp/>
        <stp>Market</stp>
        <stp>STOCK</stp>
        <stp>46670.T</stp>
        <stp>始値</stp>
        <tr r="L516" s="7"/>
        <tr r="L517" s="7"/>
      </tp>
      <tp t="s">
        <v>表示銘柄数超過</v>
        <stp/>
        <stp>Market</stp>
        <stp>STOCK</stp>
        <stp>47770.T</stp>
        <stp>始値</stp>
        <tr r="L534" s="7"/>
      </tp>
      <tp t="s">
        <v>表示銘柄数超過</v>
        <stp/>
        <stp>Market</stp>
        <stp>STOCK</stp>
        <stp>47670.T</stp>
        <stp>始値</stp>
        <tr r="L531" s="7"/>
      </tp>
      <tp t="s">
        <v>表示銘柄数超過</v>
        <stp/>
        <stp>Market</stp>
        <stp>STOCK</stp>
        <stp>47070.T</stp>
        <stp>始値</stp>
        <tr r="L523" s="7"/>
      </tp>
      <tp t="s">
        <v>表示銘柄数超過</v>
        <stp/>
        <stp>Market</stp>
        <stp>STOCK</stp>
        <stp>44870.T</stp>
        <stp>始値</stp>
        <tr r="L476" s="7"/>
      </tp>
      <tp t="s">
        <v>表示銘柄数超過</v>
        <stp/>
        <stp>Market</stp>
        <stp>STOCK</stp>
        <stp>44770.T</stp>
        <stp>始値</stp>
        <tr r="L473" s="7"/>
      </tp>
      <tp t="s">
        <v>表示銘柄数超過</v>
        <stp/>
        <stp>Market</stp>
        <stp>STOCK</stp>
        <stp>44270.T</stp>
        <stp>始値</stp>
        <tr r="L463" s="7"/>
      </tp>
      <tp t="s">
        <v>表示銘柄数超過</v>
        <stp/>
        <stp>Market</stp>
        <stp>STOCK</stp>
        <stp>45970.T</stp>
        <stp>始値</stp>
        <tr r="L507" s="7"/>
      </tp>
      <tp t="s">
        <v>表示銘柄数超過</v>
        <stp/>
        <stp>Market</stp>
        <stp>STOCK</stp>
        <stp>45070.T</stp>
        <stp>始値</stp>
        <tr r="L481" s="7"/>
      </tp>
    </main>
    <main first="rtdsrv.662c26bade854d00aebc6010f8a2e03a">
      <tp>
        <v>672</v>
        <stp/>
        <stp>Market</stp>
        <stp>STOCK</stp>
        <stp>59970.T</stp>
        <stp>始値</stp>
        <tr r="L635" s="7"/>
      </tp>
      <tp>
        <v>3249</v>
        <stp/>
        <stp>Market</stp>
        <stp>STOCK</stp>
        <stp>59470.T</stp>
        <stp>始値</stp>
        <tr r="L623" s="7"/>
      </tp>
      <tp>
        <v>590</v>
        <stp/>
        <stp>Market</stp>
        <stp>STOCK</stp>
        <stp>52870.T</stp>
        <stp>始値</stp>
        <tr r="L585" s="7"/>
      </tp>
      <tp>
        <v>266</v>
        <stp/>
        <stp>Market</stp>
        <stp>STOCK</stp>
        <stp>52770.T</stp>
        <stp>始値</stp>
        <tr r="L583" s="7"/>
      </tp>
      <tp>
        <v>1458</v>
        <stp/>
        <stp>Market</stp>
        <stp>STOCK</stp>
        <stp>53570.T</stp>
        <stp>始値</stp>
        <tr r="L588" s="7"/>
      </tp>
      <tp t="s">
        <v>表示銘柄数超過</v>
        <stp/>
        <stp>Market</stp>
        <stp>STOCK</stp>
        <stp>50170.T</stp>
        <stp>始値</stp>
        <tr r="L560" s="7"/>
      </tp>
      <tp>
        <v>1840</v>
        <stp/>
        <stp>Market</stp>
        <stp>STOCK</stp>
        <stp>57270.T</stp>
        <stp>始値</stp>
        <tr r="L609" s="7"/>
      </tp>
    </main>
    <main first="rtdsrv.662c26bade854d00aebc6010f8a2e03a">
      <tp>
        <v>510</v>
        <stp/>
        <stp>Market</stp>
        <stp>STOCK</stp>
        <stp>68970.T</stp>
        <stp>始値</stp>
        <tr r="L783" s="7"/>
      </tp>
      <tp>
        <v>6090</v>
        <stp/>
        <stp>Market</stp>
        <stp>STOCK</stp>
        <stp>68570.T</stp>
        <stp>始値</stp>
        <tr r="L778" s="7"/>
      </tp>
      <tp>
        <v>736</v>
        <stp/>
        <stp>Market</stp>
        <stp>STOCK</stp>
        <stp>68670.T</stp>
        <stp>始値</stp>
        <tr r="L781" s="7"/>
      </tp>
      <tp>
        <v>1387</v>
        <stp/>
        <stp>Market</stp>
        <stp>STOCK</stp>
        <stp>69970.T</stp>
        <stp>始値</stp>
        <tr r="L803" s="7"/>
      </tp>
      <tp>
        <v>500</v>
        <stp/>
        <stp>Market</stp>
        <stp>STOCK</stp>
        <stp>69070.T</stp>
        <stp>始値</stp>
        <tr r="L786" s="7"/>
      </tp>
      <tp>
        <v>513</v>
        <stp/>
        <stp>Market</stp>
        <stp>STOCK</stp>
        <stp>69270.T</stp>
        <stp>始値</stp>
        <tr r="L789" s="7"/>
      </tp>
      <tp>
        <v>482</v>
        <stp/>
        <stp>Market</stp>
        <stp>STOCK</stp>
        <stp>62970.T</stp>
        <stp>始値</stp>
        <tr r="L684" s="7"/>
      </tp>
      <tp>
        <v>222</v>
        <stp/>
        <stp>Market</stp>
        <stp>STOCK</stp>
        <stp>63470.T</stp>
        <stp>始値</stp>
        <tr r="L692" s="7"/>
      </tp>
      <tp>
        <v>763</v>
        <stp/>
        <stp>Market</stp>
        <stp>STOCK</stp>
        <stp>60470.T</stp>
        <stp>始値</stp>
        <tr r="L643" s="7"/>
      </tp>
      <tp>
        <v>99</v>
        <stp/>
        <stp>Market</stp>
        <stp>STOCK</stp>
        <stp>61770.T</stp>
        <stp>始値</stp>
        <tr r="L665" s="7"/>
      </tp>
      <tp>
        <v>707</v>
        <stp/>
        <stp>Market</stp>
        <stp>STOCK</stp>
        <stp>61670.T</stp>
        <stp>始値</stp>
        <tr r="L662" s="7"/>
      </tp>
      <tp>
        <v>3970</v>
        <stp/>
        <stp>Market</stp>
        <stp>STOCK</stp>
        <stp>66770.T</stp>
        <stp>始値</stp>
        <tr r="L752" s="7"/>
      </tp>
      <tp>
        <v>2360</v>
        <stp/>
        <stp>Market</stp>
        <stp>STOCK</stp>
        <stp>66170.T</stp>
        <stp>始値</stp>
        <tr r="L737" s="7"/>
      </tp>
      <tp>
        <v>3815</v>
        <stp/>
        <stp>Market</stp>
        <stp>STOCK</stp>
        <stp>67770.T</stp>
        <stp>始値</stp>
        <tr r="L772" s="7"/>
      </tp>
      <tp>
        <v>361</v>
        <stp/>
        <stp>Market</stp>
        <stp>STOCK</stp>
        <stp>64670.T</stp>
        <stp>始値</stp>
        <tr r="L704" s="7"/>
      </tp>
      <tp>
        <v>1411</v>
        <stp/>
        <stp>Market</stp>
        <stp>STOCK</stp>
        <stp>65570.T</stp>
        <stp>始値</stp>
        <tr r="L728" s="7"/>
      </tp>
      <tp>
        <v>2265</v>
        <stp/>
        <stp>Market</stp>
        <stp>STOCK</stp>
        <stp>65070.T</stp>
        <stp>始値</stp>
        <tr r="L717" s="7"/>
      </tp>
      <tp>
        <v>325</v>
        <stp/>
        <stp>Market</stp>
        <stp>STOCK</stp>
        <stp>65370.T</stp>
        <stp>始値</stp>
        <tr r="L720" s="7"/>
      </tp>
    </main>
    <main first="rtdsrv.662c26bade854d00aebc6010f8a2e03a">
      <tp>
        <v>113</v>
        <stp/>
        <stp>Market</stp>
        <stp>STOCK</stp>
        <stp>78970.T</stp>
        <stp>始値</stp>
        <tr r="L952" s="7"/>
      </tp>
      <tp>
        <v>2343</v>
        <stp/>
        <stp>Market</stp>
        <stp>STOCK</stp>
        <stp>78670.T</stp>
        <stp>始値</stp>
        <tr r="L949" s="7"/>
      </tp>
      <tp>
        <v>428</v>
        <stp/>
        <stp>Market</stp>
        <stp>STOCK</stp>
        <stp>78370.T</stp>
        <stp>始値</stp>
        <tr r="L944" s="7"/>
      </tp>
      <tp>
        <v>811</v>
        <stp/>
        <stp>Market</stp>
        <stp>STOCK</stp>
        <stp>79970.T</stp>
        <stp>始値</stp>
        <tr r="L963" s="7"/>
      </tp>
      <tp>
        <v>494</v>
        <stp/>
        <stp>Market</stp>
        <stp>STOCK</stp>
        <stp>72470.T</stp>
        <stp>始値</stp>
        <tr r="L860" s="7"/>
      </tp>
      <tp>
        <v>1673</v>
        <stp/>
        <stp>Market</stp>
        <stp>STOCK</stp>
        <stp>72670.T</stp>
        <stp>始値</stp>
        <tr r="L864" s="7"/>
      </tp>
      <tp>
        <v>848</v>
        <stp/>
        <stp>Market</stp>
        <stp>STOCK</stp>
        <stp>73170.T</stp>
        <stp>始値</stp>
        <tr r="L874" s="7"/>
      </tp>
      <tp>
        <v>978.4</v>
        <stp/>
        <stp>Market</stp>
        <stp>STOCK</stp>
        <stp>73370.T</stp>
        <stp>始値</stp>
        <tr r="L875" s="7"/>
      </tp>
      <tp>
        <v>2493</v>
        <stp/>
        <stp>Market</stp>
        <stp>STOCK</stp>
        <stp>70470.T</stp>
        <stp>始値</stp>
        <tr r="L815" s="7"/>
      </tp>
      <tp>
        <v>521</v>
        <stp/>
        <stp>Market</stp>
        <stp>STOCK</stp>
        <stp>70370.T</stp>
        <stp>始値</stp>
        <tr r="L811" s="7"/>
      </tp>
      <tp>
        <v>687</v>
        <stp/>
        <stp>Market</stp>
        <stp>STOCK</stp>
        <stp>71770.T</stp>
        <stp>始値</stp>
        <tr r="L837" s="7"/>
      </tp>
      <tp>
        <v>431.1</v>
        <stp/>
        <stp>Market</stp>
        <stp>STOCK</stp>
        <stp>71670.T</stp>
        <stp>始値</stp>
        <tr r="L834" s="7"/>
      </tp>
      <tp>
        <v>26</v>
        <stp/>
        <stp>Market</stp>
        <stp>STOCK</stp>
        <stp>76470.T</stp>
        <stp>始値</stp>
        <tr r="L918" s="7"/>
      </tp>
      <tp>
        <v>108</v>
        <stp/>
        <stp>Market</stp>
        <stp>STOCK</stp>
        <stp>77770.T</stp>
        <stp>始値</stp>
        <tr r="L933" s="7"/>
      </tp>
      <tp>
        <v>452</v>
        <stp/>
        <stp>Market</stp>
        <stp>STOCK</stp>
        <stp>75670.T</stp>
        <stp>始値</stp>
        <tr r="L904" s="7"/>
      </tp>
      <tp>
        <v>59</v>
        <stp/>
        <stp>Market</stp>
        <stp>STOCK</stp>
        <stp>75270.T</stp>
        <stp>始値</stp>
        <tr r="L901" s="7"/>
      </tp>
    </main>
    <main first="rtdsrv.662c26bade854d00aebc6010f8a2e03a">
      <tp t="s">
        <v>表示銘柄数超過</v>
        <stp/>
        <stp>Market</stp>
        <stp>STOCK</stp>
        <stp>18870.T</stp>
        <stp>始値</stp>
        <tr r="L69" s="7"/>
      </tp>
      <tp t="s">
        <v>表示銘柄数超過</v>
        <stp/>
        <stp>Market</stp>
        <stp>STOCK</stp>
        <stp>18270.T</stp>
        <stp>始値</stp>
        <tr r="L64" s="7"/>
      </tp>
      <tp>
        <v>179</v>
        <stp/>
        <stp>Market</stp>
        <stp>STOCK</stp>
        <stp>13570.T</stp>
        <stp>始値</stp>
        <tr r="L12" s="7"/>
      </tp>
      <tp t="s">
        <v>表示銘柄数超過</v>
        <stp/>
        <stp>Market</stp>
        <stp>STOCK</stp>
        <stp>17570.T</stp>
        <stp>始値</stp>
        <tr r="L54" s="7"/>
      </tp>
      <tp t="s">
        <v>表示銘柄数超過</v>
        <stp/>
        <stp>Market</stp>
        <stp>STOCK</stp>
        <stp>14070.T</stp>
        <stp>始値</stp>
        <tr r="L19" s="7"/>
      </tp>
    </main>
    <main first="rtdsrv.662c26bade854d00aebc6010f8a2e03a">
      <tp t="s">
        <v>表示銘柄数超過</v>
        <stp/>
        <stp>Market</stp>
        <stp>STOCK</stp>
        <stp>28570.T</stp>
        <stp>始値</stp>
        <tr r="L207" s="7"/>
      </tp>
      <tp t="s">
        <v>表示銘柄数超過</v>
        <stp/>
        <stp>Market</stp>
        <stp>STOCK</stp>
        <stp>29970.T</stp>
        <stp>始値</stp>
        <tr r="L220" s="7"/>
      </tp>
      <tp t="s">
        <v>表示銘柄数超過</v>
        <stp/>
        <stp>Market</stp>
        <stp>STOCK</stp>
        <stp>29870.T</stp>
        <stp>始値</stp>
        <tr r="L218" s="7"/>
      </tp>
      <tp t="s">
        <v>表示銘柄数超過</v>
        <stp/>
        <stp>Market</stp>
        <stp>STOCK</stp>
        <stp>23170.T</stp>
        <stp>始値</stp>
        <tr r="L114" s="7"/>
      </tp>
      <tp t="s">
        <v>表示銘柄数超過</v>
        <stp/>
        <stp>Market</stp>
        <stp>STOCK</stp>
        <stp>23370.T</stp>
        <stp>始値</stp>
        <tr r="L118" s="7"/>
      </tp>
      <tp t="s">
        <v>表示銘柄数超過</v>
        <stp/>
        <stp>Market</stp>
        <stp>STOCK</stp>
        <stp>21270.T</stp>
        <stp>始値</stp>
        <tr r="L91" s="7"/>
      </tp>
      <tp t="s">
        <v>表示銘柄数超過</v>
        <stp/>
        <stp>Market</stp>
        <stp>STOCK</stp>
        <stp>26670.T</stp>
        <stp>始値</stp>
        <tr r="L178" s="7"/>
      </tp>
      <tp t="s">
        <v>表示銘柄数超過</v>
        <stp/>
        <stp>Market</stp>
        <stp>STOCK</stp>
        <stp>27670.T</stp>
        <stp>始値</stp>
        <tr r="L195" s="7"/>
      </tp>
      <tp t="s">
        <v>表示銘柄数超過</v>
        <stp/>
        <stp>Market</stp>
        <stp>STOCK</stp>
        <stp>24970.T</stp>
        <stp>始値</stp>
        <tr r="L155" s="7"/>
      </tp>
      <tp t="s">
        <v>表示銘柄数超過</v>
        <stp/>
        <stp>Market</stp>
        <stp>STOCK</stp>
        <stp>24370.T</stp>
        <stp>始値</stp>
        <tr r="L143" s="7"/>
      </tp>
      <tp t="s">
        <v>表示銘柄数超過</v>
        <stp/>
        <stp>Market</stp>
        <stp>STOCK</stp>
        <stp>25970.T</stp>
        <stp>始値</stp>
        <tr r="L168" s="7"/>
      </tp>
      <tp t="s">
        <v>表示銘柄数超過</v>
        <stp/>
        <stp>Market</stp>
        <stp>STOCK</stp>
        <stp>25870.T</stp>
        <stp>始値</stp>
        <tr r="L166" s="7"/>
      </tp>
      <tp t="s">
        <v>表示銘柄数超過</v>
        <stp/>
        <stp>Market</stp>
        <stp>STOCK</stp>
        <stp>25670.T</stp>
        <stp>始値</stp>
        <tr r="L162" s="7"/>
      </tp>
    </main>
    <main first="rtdsrv.662c26bade854d00aebc6010f8a2e03a">
      <tp t="s">
        <v>表示銘柄数超過</v>
        <stp/>
        <stp>Market</stp>
        <stp>STOCK</stp>
        <stp>38070.T</stp>
        <stp>始値</stp>
        <tr r="L361" s="7"/>
      </tp>
      <tp t="s">
        <v>表示銘柄数超過</v>
        <stp/>
        <stp>Market</stp>
        <stp>STOCK</stp>
        <stp>39970.T</stp>
        <stp>始値</stp>
        <tr r="L408" s="7"/>
      </tp>
      <tp t="s">
        <v>表示銘柄数超過</v>
        <stp/>
        <stp>Market</stp>
        <stp>STOCK</stp>
        <stp>39870.T</stp>
        <stp>始値</stp>
        <tr r="L403" s="7"/>
      </tp>
      <tp t="s">
        <v>表示銘柄数超過</v>
        <stp/>
        <stp>Market</stp>
        <stp>STOCK</stp>
        <stp>39170.T</stp>
        <stp>始値</stp>
        <tr r="L391" s="7"/>
      </tp>
      <tp t="s">
        <v>表示銘柄数超過</v>
        <stp/>
        <stp>Market</stp>
        <stp>STOCK</stp>
        <stp>39070.T</stp>
        <stp>始値</stp>
        <tr r="L387" s="7"/>
      </tp>
      <tp t="s">
        <v>表示銘柄数超過</v>
        <stp/>
        <stp>Market</stp>
        <stp>STOCK</stp>
        <stp>39270.T</stp>
        <stp>始値</stp>
        <tr r="L393" s="7"/>
      </tp>
      <tp t="s">
        <v>表示銘柄数超過</v>
        <stp/>
        <stp>Market</stp>
        <stp>STOCK</stp>
        <stp>32970.T</stp>
        <stp>始値</stp>
        <tr r="L273" s="7"/>
      </tp>
      <tp t="s">
        <v>表示銘柄数超過</v>
        <stp/>
        <stp>Market</stp>
        <stp>STOCK</stp>
        <stp>32370.T</stp>
        <stp>始値</stp>
        <tr r="L260" s="7"/>
      </tp>
      <tp t="s">
        <v>表示銘柄数超過</v>
        <stp/>
        <stp>Market</stp>
        <stp>STOCK</stp>
        <stp>33770.T</stp>
        <stp>始値</stp>
        <tr r="L289" s="7"/>
      </tp>
      <tp t="s">
        <v>表示銘柄数超過</v>
        <stp/>
        <stp>Market</stp>
        <stp>STOCK</stp>
        <stp>31970.T</stp>
        <stp>始値</stp>
        <tr r="L257" s="7"/>
      </tp>
      <tp t="s">
        <v>表示銘柄数超過</v>
        <stp/>
        <stp>Market</stp>
        <stp>STOCK</stp>
        <stp>31870.T</stp>
        <stp>始値</stp>
        <tr r="L254" s="7"/>
      </tp>
      <tp t="s">
        <v>表示銘柄数超過</v>
        <stp/>
        <stp>Market</stp>
        <stp>STOCK</stp>
        <stp>31370.T</stp>
        <stp>始値</stp>
        <tr r="L246" s="7"/>
      </tp>
      <tp t="s">
        <v>表示銘柄数超過</v>
        <stp/>
        <stp>Market</stp>
        <stp>STOCK</stp>
        <stp>36470.T</stp>
        <stp>始値</stp>
        <tr r="L320" s="7"/>
      </tp>
      <tp t="s">
        <v>表示銘柄数超過</v>
        <stp/>
        <stp>Market</stp>
        <stp>STOCK</stp>
        <stp>36770.T</stp>
        <stp>始値</stp>
        <tr r="L335" s="7"/>
      </tp>
      <tp t="s">
        <v>表示銘柄数超過</v>
        <stp/>
        <stp>Market</stp>
        <stp>STOCK</stp>
        <stp>36670.T</stp>
        <stp>始値</stp>
        <tr r="L330" s="7"/>
      </tp>
      <tp t="s">
        <v>表示銘柄数超過</v>
        <stp/>
        <stp>Market</stp>
        <stp>STOCK</stp>
        <stp>36070.T</stp>
        <stp>始値</stp>
        <tr r="L311" s="7"/>
      </tp>
      <tp t="s">
        <v>表示銘柄数超過</v>
        <stp/>
        <stp>Market</stp>
        <stp>STOCK</stp>
        <stp>36270.T</stp>
        <stp>始値</stp>
        <tr r="L315" s="7"/>
      </tp>
      <tp t="s">
        <v>表示銘柄数超過</v>
        <stp/>
        <stp>Market</stp>
        <stp>STOCK</stp>
        <stp>37470.T</stp>
        <stp>始値</stp>
        <tr r="L350" s="7"/>
      </tp>
      <tp t="s">
        <v>表示銘柄数超過</v>
        <stp/>
        <stp>Market</stp>
        <stp>STOCK</stp>
        <stp>37770.T</stp>
        <stp>始値</stp>
        <tr r="L356" s="7"/>
      </tp>
      <tp t="s">
        <v>表示銘柄数超過</v>
        <stp/>
        <stp>Market</stp>
        <stp>STOCK</stp>
        <stp>37270.T</stp>
        <stp>始値</stp>
        <tr r="L347" s="7"/>
      </tp>
      <tp t="s">
        <v>表示銘柄数超過</v>
        <stp/>
        <stp>Market</stp>
        <stp>STOCK</stp>
        <stp>34070.T</stp>
        <stp>始値</stp>
        <tr r="L295" s="7"/>
      </tp>
      <tp t="s">
        <v>表示銘柄数超過</v>
        <stp/>
        <stp>Market</stp>
        <stp>STOCK</stp>
        <stp>89450.T</stp>
        <stp>安値</stp>
        <tr r="P1070" s="7"/>
      </tp>
      <tp t="s">
        <v>表示銘柄数超過</v>
        <stp/>
        <stp>Market</stp>
        <stp>STOCK</stp>
        <stp>89050.T</stp>
        <stp>安値</stp>
        <tr r="P1062" s="7"/>
      </tp>
      <tp t="s">
        <v>表示銘柄数超過</v>
        <stp/>
        <stp>Market</stp>
        <stp>STOCK</stp>
        <stp>89250.T</stp>
        <stp>安値</stp>
        <tr r="P1066" s="7"/>
      </tp>
      <tp>
        <v>471</v>
        <stp/>
        <stp>Market</stp>
        <stp>STOCK</stp>
        <stp>80950.T</stp>
        <stp>安値</stp>
        <tr r="P975" s="7"/>
      </tp>
      <tp>
        <v>960</v>
        <stp/>
        <stp>Market</stp>
        <stp>STOCK</stp>
        <stp>80050.T</stp>
        <stp>安値</stp>
        <tr r="P965" s="7"/>
      </tp>
      <tp>
        <v>49</v>
        <stp/>
        <stp>Market</stp>
        <stp>STOCK</stp>
        <stp>81050.T</stp>
        <stp>安値</stp>
        <tr r="P978" s="7"/>
      </tp>
      <tp>
        <v>315</v>
        <stp/>
        <stp>Market</stp>
        <stp>STOCK</stp>
        <stp>81350.T</stp>
        <stp>安値</stp>
        <tr r="P981" s="7"/>
      </tp>
      <tp>
        <v>181</v>
        <stp/>
        <stp>Market</stp>
        <stp>STOCK</stp>
        <stp>87050.T</stp>
        <stp>安値</stp>
        <tr r="P1037" s="7"/>
      </tp>
      <tp>
        <v>1061</v>
        <stp/>
        <stp>Market</stp>
        <stp>STOCK</stp>
        <stp>85850.T</stp>
        <stp>安値</stp>
        <tr r="P1022" s="7"/>
      </tp>
      <tp>
        <v>380</v>
        <stp/>
        <stp>Market</stp>
        <stp>STOCK</stp>
        <stp>85150.T</stp>
        <stp>安値</stp>
        <tr r="P1016" s="7"/>
      </tp>
      <tp t="s">
        <v>表示銘柄数超過</v>
        <stp/>
        <stp>Market</stp>
        <stp>STOCK</stp>
        <stp>99950.T</stp>
        <stp>安値</stp>
        <tr r="P1191" s="7"/>
      </tp>
      <tp t="s">
        <v>表示銘柄数超過</v>
        <stp/>
        <stp>Market</stp>
        <stp>STOCK</stp>
        <stp>93250.T</stp>
        <stp>安値</stp>
        <tr r="P1110" s="7"/>
      </tp>
      <tp t="s">
        <v>表示銘柄数超過</v>
        <stp/>
        <stp>Market</stp>
        <stp>STOCK</stp>
        <stp>90050.T</stp>
        <stp>安値</stp>
        <tr r="P1075" s="7"/>
      </tp>
      <tp t="s">
        <v>表示銘柄数超過</v>
        <stp/>
        <stp>Market</stp>
        <stp>STOCK</stp>
        <stp>91150.T</stp>
        <stp>安値</stp>
        <tr r="P1096" s="7"/>
      </tp>
      <tp t="s">
        <v>表示銘柄数超過</v>
        <stp/>
        <stp>Market</stp>
        <stp>STOCK</stp>
        <stp>97650.T</stp>
        <stp>安値</stp>
        <tr r="P1165" s="7"/>
      </tp>
      <tp t="s">
        <v>表示銘柄数超過</v>
        <stp/>
        <stp>Market</stp>
        <stp>STOCK</stp>
        <stp>94750.T</stp>
        <stp>安値</stp>
        <tr r="P1137" s="7"/>
      </tp>
      <tp t="s">
        <v>表示銘柄数超過</v>
        <stp/>
        <stp>Market</stp>
        <stp>STOCK</stp>
        <stp>94050.T</stp>
        <stp>安値</stp>
        <tr r="P1116" s="7"/>
      </tp>
      <tp t="s">
        <v>表示銘柄数超過</v>
        <stp/>
        <stp>Market</stp>
        <stp>STOCK</stp>
        <stp>94250.T</stp>
        <stp>安値</stp>
        <tr r="P1126" s="7"/>
      </tp>
      <tp t="s">
        <v>表示銘柄数超過</v>
        <stp/>
        <stp>Market</stp>
        <stp>STOCK</stp>
        <stp>95050.T</stp>
        <stp>安値</stp>
        <tr r="P1144" s="7"/>
      </tp>
      <tp>
        <v>112</v>
        <stp/>
        <stp>Market</stp>
        <stp>STOCK</stp>
        <stp>68350.T</stp>
        <stp>安値</stp>
        <tr r="P776" s="7"/>
      </tp>
      <tp>
        <v>666</v>
        <stp/>
        <stp>Market</stp>
        <stp>STOCK</stp>
        <stp>69550.T</stp>
        <stp>安値</stp>
        <tr r="P795" s="7"/>
      </tp>
      <tp>
        <v>1449</v>
        <stp/>
        <stp>Market</stp>
        <stp>STOCK</stp>
        <stp>69050.T</stp>
        <stp>安値</stp>
        <tr r="P785" s="7"/>
      </tp>
      <tp>
        <v>630</v>
        <stp/>
        <stp>Market</stp>
        <stp>STOCK</stp>
        <stp>62550.T</stp>
        <stp>安値</stp>
        <tr r="P682" s="7"/>
      </tp>
      <tp>
        <v>1168</v>
        <stp/>
        <stp>Market</stp>
        <stp>STOCK</stp>
        <stp>63950.T</stp>
        <stp>安値</stp>
        <tr r="P699" s="7"/>
      </tp>
      <tp>
        <v>4173</v>
        <stp/>
        <stp>Market</stp>
        <stp>STOCK</stp>
        <stp>63050.T</stp>
        <stp>安値</stp>
        <tr r="P687" s="7"/>
      </tp>
      <tp>
        <v>1252</v>
        <stp/>
        <stp>Market</stp>
        <stp>STOCK</stp>
        <stp>60350.T</stp>
        <stp>安値</stp>
        <tr r="P640" s="7"/>
      </tp>
      <tp>
        <v>253</v>
        <stp/>
        <stp>Market</stp>
        <stp>STOCK</stp>
        <stp>61950.T</stp>
        <stp>安値</stp>
        <tr r="P676" s="7"/>
      </tp>
      <tp>
        <v>318</v>
        <stp/>
        <stp>Market</stp>
        <stp>STOCK</stp>
        <stp>61850.T</stp>
        <stp>安値</stp>
        <tr r="P670" s="7"/>
      </tp>
      <tp>
        <v>428</v>
        <stp/>
        <stp>Market</stp>
        <stp>STOCK</stp>
        <stp>61650.T</stp>
        <stp>安値</stp>
        <tr r="P660" s="7"/>
      </tp>
      <tp>
        <v>500</v>
        <stp/>
        <stp>Market</stp>
        <stp>STOCK</stp>
        <stp>66350.T</stp>
        <stp>安値</stp>
        <tr r="P744" s="7"/>
      </tp>
      <tp>
        <v>324</v>
        <stp/>
        <stp>Market</stp>
        <stp>STOCK</stp>
        <stp>66250.T</stp>
        <stp>安値</stp>
        <tr r="P739" s="7"/>
      </tp>
      <tp>
        <v>190</v>
        <stp/>
        <stp>Market</stp>
        <stp>STOCK</stp>
        <stp>67750.T</stp>
        <stp>安値</stp>
        <tr r="P770" s="7"/>
      </tp>
      <tp>
        <v>119</v>
        <stp/>
        <stp>Market</stp>
        <stp>STOCK</stp>
        <stp>64950.T</stp>
        <stp>安値</stp>
        <tr r="P711" s="7"/>
      </tp>
      <tp>
        <v>588</v>
        <stp/>
        <stp>Market</stp>
        <stp>STOCK</stp>
        <stp>65550.T</stp>
        <stp>安値</stp>
        <tr r="P726" s="7"/>
      </tp>
      <tp>
        <v>386</v>
        <stp/>
        <stp>Market</stp>
        <stp>STOCK</stp>
        <stp>65450.T</stp>
        <stp>安値</stp>
        <tr r="P722" s="7"/>
      </tp>
      <tp>
        <v>638</v>
        <stp/>
        <stp>Market</stp>
        <stp>STOCK</stp>
        <stp>78050.T</stp>
        <stp>安値</stp>
        <tr r="P939" s="7"/>
      </tp>
      <tp>
        <v>764</v>
        <stp/>
        <stp>Market</stp>
        <stp>STOCK</stp>
        <stp>79550.T</stp>
        <stp>安値</stp>
        <tr r="P959" s="7"/>
      </tp>
      <tp>
        <v>560</v>
        <stp/>
        <stp>Market</stp>
        <stp>STOCK</stp>
        <stp>72450.T</stp>
        <stp>安値</stp>
        <tr r="P858" s="7"/>
      </tp>
      <tp>
        <v>461</v>
        <stp/>
        <stp>Market</stp>
        <stp>STOCK</stp>
        <stp>72050.T</stp>
        <stp>安値</stp>
        <tr r="P847" s="7"/>
      </tp>
      <tp>
        <v>753</v>
        <stp/>
        <stp>Market</stp>
        <stp>STOCK</stp>
        <stp>72350.T</stp>
        <stp>安値</stp>
        <tr r="P854" s="7"/>
      </tp>
      <tp>
        <v>1114</v>
        <stp/>
        <stp>Market</stp>
        <stp>STOCK</stp>
        <stp>71750.T</stp>
        <stp>安値</stp>
        <tr r="P836" s="7"/>
      </tp>
      <tp>
        <v>168</v>
        <stp/>
        <stp>Market</stp>
        <stp>STOCK</stp>
        <stp>71350.T</stp>
        <stp>安値</stp>
        <tr r="P829" s="7"/>
      </tp>
      <tp>
        <v>143</v>
        <stp/>
        <stp>Market</stp>
        <stp>STOCK</stp>
        <stp>76150.T</stp>
        <stp>安値</stp>
        <tr r="P913" s="7"/>
      </tp>
      <tp>
        <v>1742</v>
        <stp/>
        <stp>Market</stp>
        <stp>STOCK</stp>
        <stp>76050.T</stp>
        <stp>安値</stp>
        <tr r="P911" s="7"/>
      </tp>
      <tp>
        <v>197</v>
        <stp/>
        <stp>Market</stp>
        <stp>STOCK</stp>
        <stp>77950.T</stp>
        <stp>安値</stp>
        <tr r="P937" s="7"/>
      </tp>
      <tp>
        <v>2067</v>
        <stp/>
        <stp>Market</stp>
        <stp>STOCK</stp>
        <stp>77450.T</stp>
        <stp>安値</stp>
        <tr r="P927" s="7"/>
      </tp>
      <tp>
        <v>1117</v>
        <stp/>
        <stp>Market</stp>
        <stp>STOCK</stp>
        <stp>77250.T</stp>
        <stp>安値</stp>
        <tr r="P924" s="7"/>
      </tp>
      <tp>
        <v>488</v>
        <stp/>
        <stp>Market</stp>
        <stp>STOCK</stp>
        <stp>74550.T</stp>
        <stp>安値</stp>
        <tr r="P891" s="7"/>
      </tp>
      <tp>
        <v>414</v>
        <stp/>
        <stp>Market</stp>
        <stp>STOCK</stp>
        <stp>74450.T</stp>
        <stp>安値</stp>
        <tr r="P889" s="7"/>
      </tp>
      <tp>
        <v>390</v>
        <stp/>
        <stp>Market</stp>
        <stp>STOCK</stp>
        <stp>75850.T</stp>
        <stp>安値</stp>
        <tr r="P906" s="7"/>
      </tp>
      <tp>
        <v>1441</v>
        <stp/>
        <stp>Market</stp>
        <stp>STOCK</stp>
        <stp>75050.T</stp>
        <stp>安値</stp>
        <tr r="P895" s="7"/>
      </tp>
      <tp t="s">
        <v>表示銘柄数超過</v>
        <stp/>
        <stp>Market</stp>
        <stp>STOCK</stp>
        <stp>42750.T</stp>
        <stp>安値</stp>
        <tr r="P436" s="7"/>
      </tp>
      <tp t="s">
        <v>表示銘柄数超過</v>
        <stp/>
        <stp>Market</stp>
        <stp>STOCK</stp>
        <stp>43950.T</stp>
        <stp>安値</stp>
        <tr r="P458" s="7"/>
      </tp>
      <tp t="s">
        <v>表示銘柄数超過</v>
        <stp/>
        <stp>Market</stp>
        <stp>STOCK</stp>
        <stp>43850.T</stp>
        <stp>安値</stp>
        <tr r="P456" s="7"/>
      </tp>
      <tp t="s">
        <v>表示銘柄数超過</v>
        <stp/>
        <stp>Market</stp>
        <stp>STOCK</stp>
        <stp>43550.T</stp>
        <stp>安値</stp>
        <tr r="P448" s="7"/>
      </tp>
      <tp t="s">
        <v>表示銘柄数超過</v>
        <stp/>
        <stp>Market</stp>
        <stp>STOCK</stp>
        <stp>40750.T</stp>
        <stp>安値</stp>
        <tr r="P416" s="7"/>
      </tp>
      <tp t="s">
        <v>表示銘柄数超過</v>
        <stp/>
        <stp>Market</stp>
        <stp>STOCK</stp>
        <stp>41850.T</stp>
        <stp>安値</stp>
        <tr r="P422" s="7"/>
      </tp>
      <tp t="s">
        <v>表示銘柄数超過</v>
        <stp/>
        <stp>Market</stp>
        <stp>STOCK</stp>
        <stp>41650.T</stp>
        <stp>安値</stp>
        <tr r="P417" s="7"/>
      </tp>
      <tp t="s">
        <v>表示銘柄数超過</v>
        <stp/>
        <stp>Market</stp>
        <stp>STOCK</stp>
        <stp>47550.T</stp>
        <stp>安値</stp>
        <tr r="P529" s="7"/>
      </tp>
      <tp t="s">
        <v>表示銘柄数超過</v>
        <stp/>
        <stp>Market</stp>
        <stp>STOCK</stp>
        <stp>47050.T</stp>
        <stp>安値</stp>
        <tr r="P522" s="7"/>
      </tp>
      <tp t="s">
        <v>表示銘柄数超過</v>
        <stp/>
        <stp>Market</stp>
        <stp>STOCK</stp>
        <stp>44950.T</stp>
        <stp>安値</stp>
        <tr r="P478" s="7"/>
      </tp>
      <tp t="s">
        <v>表示銘柄数超過</v>
        <stp/>
        <stp>Market</stp>
        <stp>STOCK</stp>
        <stp>44750.T</stp>
        <stp>安値</stp>
        <tr r="P471" s="7"/>
      </tp>
      <tp t="s">
        <v>表示銘柄数超過</v>
        <stp/>
        <stp>Market</stp>
        <stp>STOCK</stp>
        <stp>45750.T</stp>
        <stp>安値</stp>
        <tr r="P494" s="7"/>
      </tp>
      <tp t="s">
        <v>表示銘柄数超過</v>
        <stp/>
        <stp>Market</stp>
        <stp>STOCK</stp>
        <stp>45650.T</stp>
        <stp>安値</stp>
        <tr r="P488" s="7"/>
      </tp>
      <tp>
        <v>79</v>
        <stp/>
        <stp>Market</stp>
        <stp>STOCK</stp>
        <stp>59550.T</stp>
        <stp>安値</stp>
        <tr r="P627" s="7"/>
      </tp>
      <tp>
        <v>1299</v>
        <stp/>
        <stp>Market</stp>
        <stp>STOCK</stp>
        <stp>52850.T</stp>
        <stp>安値</stp>
        <tr r="P584" s="7"/>
      </tp>
      <tp t="s">
        <v>表示銘柄数超過</v>
        <stp/>
        <stp>Market</stp>
        <stp>STOCK</stp>
        <stp>50150.T</stp>
        <stp>安値</stp>
        <tr r="P559" s="7"/>
      </tp>
      <tp t="s">
        <v>表示銘柄数超過</v>
        <stp/>
        <stp>Market</stp>
        <stp>STOCK</stp>
        <stp>28450.T</stp>
        <stp>安値</stp>
        <tr r="P202" s="7"/>
      </tp>
      <tp t="s">
        <v>表示銘柄数超過</v>
        <stp/>
        <stp>Market</stp>
        <stp>STOCK</stp>
        <stp>28750.T</stp>
        <stp>安値</stp>
        <tr r="P211" s="7"/>
      </tp>
      <tp t="s">
        <v>表示銘柄数超過</v>
        <stp/>
        <stp>Market</stp>
        <stp>STOCK</stp>
        <stp>28650.T</stp>
        <stp>安値</stp>
        <tr r="P209" s="7"/>
      </tp>
      <tp t="s">
        <v>表示銘柄数超過</v>
        <stp/>
        <stp>Market</stp>
        <stp>STOCK</stp>
        <stp>22350.T</stp>
        <stp>安値</stp>
        <tr r="P105" s="7"/>
      </tp>
      <tp t="s">
        <v>表示銘柄数超過</v>
        <stp/>
        <stp>Market</stp>
        <stp>STOCK</stp>
        <stp>23450.T</stp>
        <stp>安値</stp>
        <tr r="P122" s="7"/>
      </tp>
      <tp t="s">
        <v>表示銘柄数超過</v>
        <stp/>
        <stp>Market</stp>
        <stp>STOCK</stp>
        <stp>23750.T</stp>
        <stp>安値</stp>
        <tr r="P128" s="7"/>
      </tp>
      <tp>
        <v>43</v>
        <stp/>
        <stp>Market</stp>
        <stp>STOCK</stp>
        <stp>23150.T</stp>
        <stp>安値</stp>
        <tr r="P113" s="7"/>
      </tp>
      <tp t="s">
        <v>表示銘柄数超過</v>
        <stp/>
        <stp>Market</stp>
        <stp>STOCK</stp>
        <stp>23050.T</stp>
        <stp>安値</stp>
        <tr r="P112" s="7"/>
      </tp>
      <tp t="s">
        <v>表示銘柄数超過</v>
        <stp/>
        <stp>Market</stp>
        <stp>STOCK</stp>
        <stp>20550.T</stp>
        <stp>安値</stp>
        <tr r="P88" s="7"/>
      </tp>
      <tp t="s">
        <v>表示銘柄数超過</v>
        <stp/>
        <stp>Market</stp>
        <stp>STOCK</stp>
        <stp>26850.T</stp>
        <stp>安値</stp>
        <tr r="P181" s="7"/>
      </tp>
      <tp t="s">
        <v>表示銘柄数超過</v>
        <stp/>
        <stp>Market</stp>
        <stp>STOCK</stp>
        <stp>26350.T</stp>
        <stp>安値</stp>
        <tr r="P174" s="7"/>
      </tp>
      <tp t="s">
        <v>表示銘柄数超過</v>
        <stp/>
        <stp>Market</stp>
        <stp>STOCK</stp>
        <stp>27350.T</stp>
        <stp>安値</stp>
        <tr r="P190" s="7"/>
      </tp>
      <tp t="s">
        <v>表示銘柄数超過</v>
        <stp/>
        <stp>Market</stp>
        <stp>STOCK</stp>
        <stp>24450.T</stp>
        <stp>安値</stp>
        <tr r="P145" s="7"/>
      </tp>
      <tp t="s">
        <v>表示銘柄数超過</v>
        <stp/>
        <stp>Market</stp>
        <stp>STOCK</stp>
        <stp>24150.T</stp>
        <stp>安値</stp>
        <tr r="P138" s="7"/>
      </tp>
      <tp t="s">
        <v>表示銘柄数超過</v>
        <stp/>
        <stp>Market</stp>
        <stp>STOCK</stp>
        <stp>24350.T</stp>
        <stp>安値</stp>
        <tr r="P142" s="7"/>
      </tp>
      <tp t="s">
        <v>表示銘柄数超過</v>
        <stp/>
        <stp>Market</stp>
        <stp>STOCK</stp>
        <stp>25850.T</stp>
        <stp>安値</stp>
        <tr r="P164" s="7"/>
      </tp>
      <tp t="s">
        <v>表示銘柄数超過</v>
        <stp/>
        <stp>Market</stp>
        <stp>STOCK</stp>
        <stp>38450.T</stp>
        <stp>安値</stp>
        <tr r="P372" s="7"/>
      </tp>
      <tp t="s">
        <v>表示銘柄数超過</v>
        <stp/>
        <stp>Market</stp>
        <stp>STOCK</stp>
        <stp>38650.T</stp>
        <stp>安値</stp>
        <tr r="P382" s="7"/>
      </tp>
      <tp t="s">
        <v>表示銘柄数超過</v>
        <stp/>
        <stp>Market</stp>
        <stp>STOCK</stp>
        <stp>38150.T</stp>
        <stp>安値</stp>
        <tr r="P364" s="7"/>
      </tp>
      <tp t="s">
        <v>表示銘柄数超過</v>
        <stp/>
        <stp>Market</stp>
        <stp>STOCK</stp>
        <stp>38350.T</stp>
        <stp>安値</stp>
        <tr r="P369" s="7"/>
      </tp>
      <tp t="s">
        <v>表示銘柄数超過</v>
        <stp/>
        <stp>Market</stp>
        <stp>STOCK</stp>
        <stp>38250.T</stp>
        <stp>安値</stp>
        <tr r="P367" s="7"/>
      </tp>
      <tp t="s">
        <v>表示銘柄数超過</v>
        <stp/>
        <stp>Market</stp>
        <stp>STOCK</stp>
        <stp>39950.T</stp>
        <stp>安値</stp>
        <tr r="P407" s="7"/>
      </tp>
      <tp t="s">
        <v>表示銘柄数超過</v>
        <stp/>
        <stp>Market</stp>
        <stp>STOCK</stp>
        <stp>39650.T</stp>
        <stp>安値</stp>
        <tr r="P401" s="7"/>
      </tp>
      <tp t="s">
        <v>表示銘柄数超過</v>
        <stp/>
        <stp>Market</stp>
        <stp>STOCK</stp>
        <stp>39350.T</stp>
        <stp>安値</stp>
        <tr r="P397" s="7"/>
      </tp>
      <tp t="s">
        <v>表示銘柄数超過</v>
        <stp/>
        <stp>Market</stp>
        <stp>STOCK</stp>
        <stp>33550.T</stp>
        <stp>安値</stp>
        <tr r="P284" s="7"/>
      </tp>
      <tp t="s">
        <v>表示銘柄数超過</v>
        <stp/>
        <stp>Market</stp>
        <stp>STOCK</stp>
        <stp>33150.T</stp>
        <stp>安値</stp>
        <tr r="P276" s="7"/>
      </tp>
      <tp t="s">
        <v>表示銘柄数超過</v>
        <stp/>
        <stp>Market</stp>
        <stp>STOCK</stp>
        <stp>30350.T</stp>
        <stp>安値</stp>
        <tr r="P228" s="7"/>
      </tp>
      <tp t="s">
        <v>表示銘柄数超過</v>
        <stp/>
        <stp>Market</stp>
        <stp>STOCK</stp>
        <stp>31850.T</stp>
        <stp>安値</stp>
        <tr r="P252" s="7"/>
      </tp>
      <tp t="s">
        <v>表示銘柄数超過</v>
        <stp/>
        <stp>Market</stp>
        <stp>STOCK</stp>
        <stp>36550.T</stp>
        <stp>安値</stp>
        <tr r="P323" s="7"/>
      </tp>
      <tp t="s">
        <v>表示銘柄数超過</v>
        <stp/>
        <stp>Market</stp>
        <stp>STOCK</stp>
        <stp>36450.T</stp>
        <stp>安値</stp>
        <tr r="P319" s="7"/>
      </tp>
      <tp t="s">
        <v>表示銘柄数超過</v>
        <stp/>
        <stp>Market</stp>
        <stp>STOCK</stp>
        <stp>36650.T</stp>
        <stp>安値</stp>
        <tr r="P328" s="7"/>
      </tp>
      <tp t="s">
        <v>表示銘柄数超過</v>
        <stp/>
        <stp>Market</stp>
        <stp>STOCK</stp>
        <stp>36350.T</stp>
        <stp>安値</stp>
        <tr r="P317" s="7"/>
      </tp>
      <tp t="s">
        <v>表示銘柄数超過</v>
        <stp/>
        <stp>Market</stp>
        <stp>STOCK</stp>
        <stp>36250.T</stp>
        <stp>安値</stp>
        <tr r="P313" s="7"/>
      </tp>
      <tp t="s">
        <v>表示銘柄数超過</v>
        <stp/>
        <stp>Market</stp>
        <stp>STOCK</stp>
        <stp>18150.T</stp>
        <stp>安値</stp>
        <tr r="P61" s="7"/>
      </tp>
      <tp t="s">
        <v>表示銘柄数超過</v>
        <stp/>
        <stp>Market</stp>
        <stp>STOCK</stp>
        <stp>18050.T</stp>
        <stp>安値</stp>
        <tr r="P59" s="7"/>
      </tp>
      <tp t="s">
        <v>表示銘柄数超過</v>
        <stp/>
        <stp>Market</stp>
        <stp>STOCK</stp>
        <stp>19650.T</stp>
        <stp>安値</stp>
        <tr r="P83" s="7"/>
      </tp>
      <tp t="s">
        <v>表示銘柄数超過</v>
        <stp/>
        <stp>Market</stp>
        <stp>STOCK</stp>
        <stp>19250.T</stp>
        <stp>安値</stp>
        <tr r="P74" s="7"/>
      </tp>
      <tp t="s">
        <v>表示銘柄数超過</v>
        <stp/>
        <stp>Market</stp>
        <stp>STOCK</stp>
        <stp>13450.T</stp>
        <stp>安値</stp>
        <tr r="P10" s="7"/>
      </tp>
      <tp t="s">
        <v>表示銘柄数超過</v>
        <stp/>
        <stp>Market</stp>
        <stp>STOCK</stp>
        <stp>13050.T</stp>
        <stp>安値</stp>
        <tr r="P2" s="7"/>
      </tp>
      <tp t="s">
        <v>表示銘柄数超過</v>
        <stp/>
        <stp>Market</stp>
        <stp>STOCK</stp>
        <stp>13250.T</stp>
        <stp>安値</stp>
        <tr r="P7" s="7"/>
      </tp>
      <tp t="s">
        <v>表示銘柄数超過</v>
        <stp/>
        <stp>Market</stp>
        <stp>STOCK</stp>
        <stp>16550.T</stp>
        <stp>安値</stp>
        <tr r="P39" s="7"/>
      </tp>
      <tp t="s">
        <v>表示銘柄数超過</v>
        <stp/>
        <stp>Market</stp>
        <stp>STOCK</stp>
        <stp>16150.T</stp>
        <stp>安値</stp>
        <tr r="P38" s="7"/>
      </tp>
      <tp t="s">
        <v>表示銘柄数超過</v>
        <stp/>
        <stp>Market</stp>
        <stp>STOCK</stp>
        <stp>16050.T</stp>
        <stp>安値</stp>
        <tr r="P37" s="7"/>
      </tp>
      <tp t="s">
        <v>表示銘柄数超過</v>
        <stp/>
        <stp>Market</stp>
        <stp>STOCK</stp>
        <stp>14350.T</stp>
        <stp>安値</stp>
        <tr r="P23" s="7"/>
      </tp>
      <tp t="s">
        <v/>
        <stp/>
        <stp>Market</stp>
        <stp>STOCK</stp>
        <stp/>
        <stp>始値</stp>
        <tr r="L914" s="7"/>
        <tr r="L1195" s="7"/>
        <tr r="L1199" s="7"/>
        <tr r="L1203" s="7"/>
        <tr r="L1207" s="7"/>
        <tr r="L1211" s="7"/>
        <tr r="L1215" s="7"/>
        <tr r="L1219" s="7"/>
        <tr r="L1223" s="7"/>
        <tr r="L1227" s="7"/>
        <tr r="L1231" s="7"/>
        <tr r="L1235" s="7"/>
        <tr r="L1239" s="7"/>
        <tr r="L1243" s="7"/>
        <tr r="L1247" s="7"/>
        <tr r="L1251" s="7"/>
        <tr r="L1255" s="7"/>
        <tr r="L1261" s="7"/>
        <tr r="L1265" s="7"/>
        <tr r="L1192" s="7"/>
        <tr r="L1196" s="7"/>
        <tr r="L1200" s="7"/>
        <tr r="L1204" s="7"/>
        <tr r="L1208" s="7"/>
        <tr r="L1212" s="7"/>
        <tr r="L1216" s="7"/>
        <tr r="L1220" s="7"/>
        <tr r="L1224" s="7"/>
        <tr r="L1228" s="7"/>
        <tr r="L1232" s="7"/>
        <tr r="L1236" s="7"/>
        <tr r="L1240" s="7"/>
        <tr r="L1244" s="7"/>
        <tr r="L1248" s="7"/>
        <tr r="L1252" s="7"/>
        <tr r="L1256" s="7"/>
        <tr r="L1257" s="7"/>
        <tr r="L1258" s="7"/>
        <tr r="L1193" s="7"/>
        <tr r="L1197" s="7"/>
        <tr r="L1201" s="7"/>
        <tr r="L1205" s="7"/>
        <tr r="L1209" s="7"/>
        <tr r="L1213" s="7"/>
        <tr r="L1217" s="7"/>
        <tr r="L1221" s="7"/>
        <tr r="L1225" s="7"/>
        <tr r="L1229" s="7"/>
        <tr r="L1233" s="7"/>
        <tr r="L1237" s="7"/>
        <tr r="L1241" s="7"/>
        <tr r="L1245" s="7"/>
        <tr r="L1249" s="7"/>
        <tr r="L1253" s="7"/>
        <tr r="L1270" s="7"/>
        <tr r="L1274" s="7"/>
        <tr r="L1194" s="7"/>
        <tr r="L1198" s="7"/>
        <tr r="L1202" s="7"/>
        <tr r="L1206" s="7"/>
        <tr r="L1210" s="7"/>
        <tr r="L1214" s="7"/>
        <tr r="L1218" s="7"/>
        <tr r="L1222" s="7"/>
        <tr r="L1226" s="7"/>
        <tr r="L1230" s="7"/>
        <tr r="L1234" s="7"/>
        <tr r="L1238" s="7"/>
        <tr r="L1242" s="7"/>
        <tr r="L1246" s="7"/>
        <tr r="L1250" s="7"/>
        <tr r="L1254" s="7"/>
        <tr r="L1262" s="7"/>
        <tr r="L1266" s="7"/>
        <tr r="L1269" s="7"/>
        <tr r="L1273" s="7"/>
        <tr r="L1277" s="7"/>
        <tr r="L1281" s="7"/>
        <tr r="L1285" s="7"/>
        <tr r="L1289" s="7"/>
        <tr r="L1293" s="7"/>
        <tr r="L1297" s="7"/>
        <tr r="L1301" s="7"/>
        <tr r="L1305" s="7"/>
        <tr r="L1309" s="7"/>
        <tr r="L1313" s="7"/>
        <tr r="L1317" s="7"/>
        <tr r="L1321" s="7"/>
        <tr r="L1325" s="7"/>
        <tr r="L1329" s="7"/>
        <tr r="L1333" s="7"/>
        <tr r="L1337" s="7"/>
        <tr r="L1341" s="7"/>
        <tr r="L1345" s="7"/>
        <tr r="L1278" s="7"/>
        <tr r="L1282" s="7"/>
        <tr r="L1286" s="7"/>
        <tr r="L1290" s="7"/>
        <tr r="L1294" s="7"/>
        <tr r="L1298" s="7"/>
        <tr r="L1302" s="7"/>
        <tr r="L1306" s="7"/>
        <tr r="L1310" s="7"/>
        <tr r="L1314" s="7"/>
        <tr r="L1318" s="7"/>
        <tr r="L1322" s="7"/>
        <tr r="L1326" s="7"/>
        <tr r="L1330" s="7"/>
        <tr r="L1334" s="7"/>
        <tr r="L1259" s="7"/>
        <tr r="L1263" s="7"/>
        <tr r="L1267" s="7"/>
        <tr r="L1271" s="7"/>
        <tr r="L1275" s="7"/>
        <tr r="L1279" s="7"/>
        <tr r="L1283" s="7"/>
        <tr r="L1287" s="7"/>
        <tr r="L1291" s="7"/>
        <tr r="L1295" s="7"/>
        <tr r="L1299" s="7"/>
        <tr r="L1303" s="7"/>
        <tr r="L1307" s="7"/>
        <tr r="L1311" s="7"/>
        <tr r="L1315" s="7"/>
        <tr r="L1319" s="7"/>
        <tr r="L1323" s="7"/>
        <tr r="L1327" s="7"/>
        <tr r="L1331" s="7"/>
        <tr r="L1335" s="7"/>
        <tr r="L1260" s="7"/>
        <tr r="L1264" s="7"/>
        <tr r="L1268" s="7"/>
        <tr r="L1272" s="7"/>
        <tr r="L1276" s="7"/>
        <tr r="L1280" s="7"/>
        <tr r="L1284" s="7"/>
        <tr r="L1288" s="7"/>
        <tr r="L1292" s="7"/>
        <tr r="L1296" s="7"/>
        <tr r="L1300" s="7"/>
        <tr r="L1304" s="7"/>
        <tr r="L1308" s="7"/>
        <tr r="L1312" s="7"/>
        <tr r="L1316" s="7"/>
        <tr r="L1320" s="7"/>
        <tr r="L1324" s="7"/>
        <tr r="L1328" s="7"/>
        <tr r="L1332" s="7"/>
        <tr r="L1336" s="7"/>
        <tr r="L1338" s="7"/>
        <tr r="L1342" s="7"/>
        <tr r="L1346" s="7"/>
        <tr r="L1349" s="7"/>
        <tr r="L1353" s="7"/>
        <tr r="L1357" s="7"/>
        <tr r="L1361" s="7"/>
        <tr r="L1365" s="7"/>
        <tr r="L1369" s="7"/>
        <tr r="L1373" s="7"/>
        <tr r="L1377" s="7"/>
        <tr r="L1381" s="7"/>
        <tr r="L1385" s="7"/>
        <tr r="L1389" s="7"/>
        <tr r="L1393" s="7"/>
        <tr r="L1397" s="7"/>
        <tr r="L1401" s="7"/>
        <tr r="L1405" s="7"/>
        <tr r="L1409" s="7"/>
        <tr r="L1413" s="7"/>
        <tr r="L1417" s="7"/>
        <tr r="L1421" s="7"/>
        <tr r="L1495" s="7"/>
        <tr r="L1502" s="7"/>
        <tr r="L1510" s="7"/>
        <tr r="L1518" s="7"/>
        <tr r="L1526" s="7"/>
        <tr r="L1534" s="7"/>
        <tr r="L1542" s="7"/>
        <tr r="L1550" s="7"/>
        <tr r="L1350" s="7"/>
        <tr r="L1354" s="7"/>
        <tr r="L1358" s="7"/>
        <tr r="L1362" s="7"/>
        <tr r="L1366" s="7"/>
        <tr r="L1370" s="7"/>
        <tr r="L1374" s="7"/>
        <tr r="L1378" s="7"/>
        <tr r="L1382" s="7"/>
        <tr r="L1386" s="7"/>
        <tr r="L1390" s="7"/>
        <tr r="L1394" s="7"/>
        <tr r="L1398" s="7"/>
        <tr r="L1402" s="7"/>
        <tr r="L1406" s="7"/>
        <tr r="L1410" s="7"/>
        <tr r="L1414" s="7"/>
        <tr r="L1418" s="7"/>
        <tr r="L1422" s="7"/>
        <tr r="L1339" s="7"/>
        <tr r="L1343" s="7"/>
        <tr r="L1347" s="7"/>
        <tr r="L1351" s="7"/>
        <tr r="L1355" s="7"/>
        <tr r="L1359" s="7"/>
        <tr r="L1363" s="7"/>
        <tr r="L1367" s="7"/>
        <tr r="L1371" s="7"/>
        <tr r="L1375" s="7"/>
        <tr r="L1379" s="7"/>
        <tr r="L1383" s="7"/>
        <tr r="L1387" s="7"/>
        <tr r="L1391" s="7"/>
        <tr r="L1395" s="7"/>
        <tr r="L1399" s="7"/>
        <tr r="L1403" s="7"/>
        <tr r="L1407" s="7"/>
        <tr r="L1411" s="7"/>
        <tr r="L1415" s="7"/>
        <tr r="L1419" s="7"/>
        <tr r="L1423" s="7"/>
        <tr r="L1425" s="7"/>
        <tr r="L1426" s="7"/>
        <tr r="L1428" s="7"/>
        <tr r="L1429" s="7"/>
        <tr r="L1430" s="7"/>
        <tr r="L1432" s="7"/>
        <tr r="L1433" s="7"/>
        <tr r="L1434" s="7"/>
        <tr r="L1436" s="7"/>
        <tr r="L1437" s="7"/>
        <tr r="L1438" s="7"/>
        <tr r="L1442" s="7"/>
        <tr r="L1446" s="7"/>
        <tr r="L1450" s="7"/>
        <tr r="L1454" s="7"/>
        <tr r="L1458" s="7"/>
        <tr r="L1462" s="7"/>
        <tr r="L1466" s="7"/>
        <tr r="L1470" s="7"/>
        <tr r="L1474" s="7"/>
        <tr r="L1478" s="7"/>
        <tr r="L1482" s="7"/>
        <tr r="L1486" s="7"/>
        <tr r="L1498" s="7"/>
        <tr r="L1506" s="7"/>
        <tr r="L1514" s="7"/>
        <tr r="L1522" s="7"/>
        <tr r="L1530" s="7"/>
        <tr r="L1538" s="7"/>
        <tr r="L1546" s="7"/>
        <tr r="L1340" s="7"/>
        <tr r="L1344" s="7"/>
        <tr r="L1348" s="7"/>
        <tr r="L1352" s="7"/>
        <tr r="L1356" s="7"/>
        <tr r="L1360" s="7"/>
        <tr r="L1364" s="7"/>
        <tr r="L1368" s="7"/>
        <tr r="L1372" s="7"/>
        <tr r="L1376" s="7"/>
        <tr r="L1380" s="7"/>
        <tr r="L1384" s="7"/>
        <tr r="L1388" s="7"/>
        <tr r="L1392" s="7"/>
        <tr r="L1396" s="7"/>
        <tr r="L1400" s="7"/>
        <tr r="L1404" s="7"/>
        <tr r="L1408" s="7"/>
        <tr r="L1412" s="7"/>
        <tr r="L1416" s="7"/>
        <tr r="L1420" s="7"/>
        <tr r="L1424" s="7"/>
        <tr r="L1440" s="7"/>
        <tr r="L1554" s="7"/>
        <tr r="L1558" s="7"/>
        <tr r="L1562" s="7"/>
        <tr r="L1566" s="7"/>
        <tr r="L1570" s="7"/>
        <tr r="L1574" s="7"/>
        <tr r="L1578" s="7"/>
        <tr r="L1582" s="7"/>
        <tr r="L1586" s="7"/>
        <tr r="L1590" s="7"/>
        <tr r="L1594" s="7"/>
        <tr r="L1598" s="7"/>
        <tr r="L1602" s="7"/>
        <tr r="L1606" s="7"/>
        <tr r="L1610" s="7"/>
        <tr r="L1427" s="7"/>
        <tr r="L1431" s="7"/>
        <tr r="L1435" s="7"/>
        <tr r="L1439" s="7"/>
        <tr r="L1443" s="7"/>
        <tr r="L1447" s="7"/>
        <tr r="L1451" s="7"/>
        <tr r="L1455" s="7"/>
        <tr r="L1459" s="7"/>
        <tr r="L1463" s="7"/>
        <tr r="L1467" s="7"/>
        <tr r="L1471" s="7"/>
        <tr r="L1475" s="7"/>
        <tr r="L1479" s="7"/>
        <tr r="L1483" s="7"/>
        <tr r="L1487" s="7"/>
        <tr r="L1444" s="7"/>
        <tr r="L1448" s="7"/>
        <tr r="L1452" s="7"/>
        <tr r="L1456" s="7"/>
        <tr r="L1460" s="7"/>
        <tr r="L1464" s="7"/>
        <tr r="L1468" s="7"/>
        <tr r="L1472" s="7"/>
        <tr r="L1476" s="7"/>
        <tr r="L1480" s="7"/>
        <tr r="L1484" s="7"/>
        <tr r="L1488" s="7"/>
        <tr r="L1441" s="7"/>
        <tr r="L1445" s="7"/>
        <tr r="L1449" s="7"/>
        <tr r="L1453" s="7"/>
        <tr r="L1457" s="7"/>
        <tr r="L1461" s="7"/>
        <tr r="L1465" s="7"/>
        <tr r="L1469" s="7"/>
        <tr r="L1473" s="7"/>
        <tr r="L1477" s="7"/>
        <tr r="L1481" s="7"/>
        <tr r="L1485" s="7"/>
        <tr r="L1490" s="7"/>
        <tr r="L1491" s="7"/>
        <tr r="L1492" s="7"/>
        <tr r="L1494" s="7"/>
        <tr r="L1499" s="7"/>
        <tr r="L1503" s="7"/>
        <tr r="L1507" s="7"/>
        <tr r="L1511" s="7"/>
        <tr r="L1515" s="7"/>
        <tr r="L1519" s="7"/>
        <tr r="L1523" s="7"/>
        <tr r="L1527" s="7"/>
        <tr r="L1531" s="7"/>
        <tr r="L1535" s="7"/>
        <tr r="L1539" s="7"/>
        <tr r="L1543" s="7"/>
        <tr r="L1547" s="7"/>
        <tr r="L1551" s="7"/>
        <tr r="L1555" s="7"/>
        <tr r="L1559" s="7"/>
        <tr r="L1563" s="7"/>
        <tr r="L1567" s="7"/>
        <tr r="L1571" s="7"/>
        <tr r="L1575" s="7"/>
        <tr r="L1579" s="7"/>
        <tr r="L1583" s="7"/>
        <tr r="L1587" s="7"/>
        <tr r="L1591" s="7"/>
        <tr r="L1595" s="7"/>
        <tr r="L1599" s="7"/>
        <tr r="L1603" s="7"/>
        <tr r="L1607" s="7"/>
        <tr r="L1611" s="7"/>
        <tr r="L1613" s="7"/>
        <tr r="L1615" s="7"/>
        <tr r="L1616" s="7"/>
        <tr r="L1617" s="7"/>
        <tr r="L1619" s="7"/>
        <tr r="L1620" s="7"/>
        <tr r="L1621" s="7"/>
        <tr r="L1623" s="7"/>
        <tr r="L1624" s="7"/>
        <tr r="L1625" s="7"/>
        <tr r="L1627" s="7"/>
        <tr r="L1628" s="7"/>
        <tr r="L1629" s="7"/>
        <tr r="L1631" s="7"/>
        <tr r="L1632" s="7"/>
        <tr r="L1633" s="7"/>
        <tr r="L1635" s="7"/>
        <tr r="L1636" s="7"/>
        <tr r="L1637" s="7"/>
        <tr r="L1639" s="7"/>
        <tr r="L1640" s="7"/>
        <tr r="L1641" s="7"/>
        <tr r="L1643" s="7"/>
        <tr r="L1644" s="7"/>
        <tr r="L1645" s="7"/>
        <tr r="L1647" s="7"/>
        <tr r="L1648" s="7"/>
        <tr r="L1649" s="7"/>
        <tr r="L1651" s="7"/>
        <tr r="L1652" s="7"/>
        <tr r="L1653" s="7"/>
        <tr r="L1655" s="7"/>
        <tr r="L1656" s="7"/>
        <tr r="L1657" s="7"/>
        <tr r="L1660" s="7"/>
        <tr r="L1664" s="7"/>
        <tr r="L1668" s="7"/>
        <tr r="L1672" s="7"/>
        <tr r="L1496" s="7"/>
        <tr r="L1500" s="7"/>
        <tr r="L1504" s="7"/>
        <tr r="L1508" s="7"/>
        <tr r="L1512" s="7"/>
        <tr r="L1516" s="7"/>
        <tr r="L1520" s="7"/>
        <tr r="L1524" s="7"/>
        <tr r="L1528" s="7"/>
        <tr r="L1532" s="7"/>
        <tr r="L1536" s="7"/>
        <tr r="L1540" s="7"/>
        <tr r="L1544" s="7"/>
        <tr r="L1548" s="7"/>
        <tr r="L1552" s="7"/>
        <tr r="L1556" s="7"/>
        <tr r="L1560" s="7"/>
        <tr r="L1564" s="7"/>
        <tr r="L1568" s="7"/>
        <tr r="L1572" s="7"/>
        <tr r="L1576" s="7"/>
        <tr r="L1580" s="7"/>
        <tr r="L1584" s="7"/>
        <tr r="L1588" s="7"/>
        <tr r="L1592" s="7"/>
        <tr r="L1596" s="7"/>
        <tr r="L1600" s="7"/>
        <tr r="L1604" s="7"/>
        <tr r="L1608" s="7"/>
        <tr r="L1612" s="7"/>
        <tr r="L1489" s="7"/>
        <tr r="L1493" s="7"/>
        <tr r="L1497" s="7"/>
        <tr r="L1501" s="7"/>
        <tr r="L1505" s="7"/>
        <tr r="L1509" s="7"/>
        <tr r="L1513" s="7"/>
        <tr r="L1517" s="7"/>
        <tr r="L1521" s="7"/>
        <tr r="L1525" s="7"/>
        <tr r="L1529" s="7"/>
        <tr r="L1533" s="7"/>
        <tr r="L1537" s="7"/>
        <tr r="L1541" s="7"/>
        <tr r="L1545" s="7"/>
        <tr r="L1549" s="7"/>
        <tr r="L1553" s="7"/>
        <tr r="L1557" s="7"/>
        <tr r="L1561" s="7"/>
        <tr r="L1565" s="7"/>
        <tr r="L1569" s="7"/>
        <tr r="L1573" s="7"/>
        <tr r="L1577" s="7"/>
        <tr r="L1581" s="7"/>
        <tr r="L1585" s="7"/>
        <tr r="L1589" s="7"/>
        <tr r="L1593" s="7"/>
        <tr r="L1597" s="7"/>
        <tr r="L1601" s="7"/>
        <tr r="L1605" s="7"/>
        <tr r="L1609" s="7"/>
        <tr r="L1774" s="7"/>
        <tr r="L1661" s="7"/>
        <tr r="L1665" s="7"/>
        <tr r="L1669" s="7"/>
        <tr r="L1673" s="7"/>
        <tr r="L1674" s="7"/>
        <tr r="L1614" s="7"/>
        <tr r="L1618" s="7"/>
        <tr r="L1622" s="7"/>
        <tr r="L1626" s="7"/>
        <tr r="L1630" s="7"/>
        <tr r="L1634" s="7"/>
        <tr r="L1638" s="7"/>
        <tr r="L1642" s="7"/>
        <tr r="L1646" s="7"/>
        <tr r="L1650" s="7"/>
        <tr r="L1654" s="7"/>
        <tr r="L1658" s="7"/>
        <tr r="L1662" s="7"/>
        <tr r="L1666" s="7"/>
        <tr r="L1670" s="7"/>
        <tr r="L1678" s="7"/>
        <tr r="L1682" s="7"/>
        <tr r="L1686" s="7"/>
        <tr r="L1690" s="7"/>
        <tr r="L1694" s="7"/>
        <tr r="L1698" s="7"/>
        <tr r="L1702" s="7"/>
        <tr r="L1706" s="7"/>
        <tr r="L1710" s="7"/>
        <tr r="L1714" s="7"/>
        <tr r="L1718" s="7"/>
        <tr r="L1722" s="7"/>
        <tr r="L1726" s="7"/>
        <tr r="L1730" s="7"/>
        <tr r="L1734" s="7"/>
        <tr r="L1738" s="7"/>
        <tr r="L1742" s="7"/>
        <tr r="L1746" s="7"/>
        <tr r="L1659" s="7"/>
        <tr r="L1663" s="7"/>
        <tr r="L1667" s="7"/>
        <tr r="L1671" s="7"/>
        <tr r="L1675" s="7"/>
        <tr r="L1679" s="7"/>
        <tr r="L1683" s="7"/>
        <tr r="L1687" s="7"/>
        <tr r="L1691" s="7"/>
        <tr r="L1695" s="7"/>
        <tr r="L1699" s="7"/>
        <tr r="L1703" s="7"/>
        <tr r="L1707" s="7"/>
        <tr r="L1711" s="7"/>
        <tr r="L1715" s="7"/>
        <tr r="L1719" s="7"/>
        <tr r="L1723" s="7"/>
        <tr r="L1727" s="7"/>
        <tr r="L1731" s="7"/>
        <tr r="L1735" s="7"/>
        <tr r="L1739" s="7"/>
        <tr r="L1743" s="7"/>
        <tr r="L1747" s="7"/>
        <tr r="L1752" s="7"/>
        <tr r="L1756" s="7"/>
        <tr r="L1760" s="7"/>
        <tr r="L1764" s="7"/>
        <tr r="L1768" s="7"/>
        <tr r="L1772" s="7"/>
        <tr r="L1676" s="7"/>
        <tr r="L1680" s="7"/>
        <tr r="L1684" s="7"/>
        <tr r="L1688" s="7"/>
        <tr r="L1692" s="7"/>
        <tr r="L1696" s="7"/>
        <tr r="L1700" s="7"/>
        <tr r="L1704" s="7"/>
        <tr r="L1708" s="7"/>
        <tr r="L1712" s="7"/>
        <tr r="L1716" s="7"/>
        <tr r="L1720" s="7"/>
        <tr r="L1724" s="7"/>
        <tr r="L1728" s="7"/>
        <tr r="L1732" s="7"/>
        <tr r="L1736" s="7"/>
        <tr r="L1740" s="7"/>
        <tr r="L1744" s="7"/>
        <tr r="L1748" s="7"/>
        <tr r="L1794" s="7"/>
        <tr r="L1677" s="7"/>
        <tr r="L1681" s="7"/>
        <tr r="L1685" s="7"/>
        <tr r="L1689" s="7"/>
        <tr r="L1693" s="7"/>
        <tr r="L1697" s="7"/>
        <tr r="L1701" s="7"/>
        <tr r="L1705" s="7"/>
        <tr r="L1709" s="7"/>
        <tr r="L1713" s="7"/>
        <tr r="L1717" s="7"/>
        <tr r="L1721" s="7"/>
        <tr r="L1725" s="7"/>
        <tr r="L1729" s="7"/>
        <tr r="L1733" s="7"/>
        <tr r="L1737" s="7"/>
        <tr r="L1741" s="7"/>
        <tr r="L1745" s="7"/>
        <tr r="L1835" s="7"/>
        <tr r="L1749" s="7"/>
        <tr r="L1753" s="7"/>
        <tr r="L1757" s="7"/>
        <tr r="L1761" s="7"/>
        <tr r="L1765" s="7"/>
        <tr r="L1769" s="7"/>
        <tr r="L1773" s="7"/>
        <tr r="L1795" s="7"/>
        <tr r="L1843" s="7"/>
        <tr r="L1750" s="7"/>
        <tr r="L1754" s="7"/>
        <tr r="L1758" s="7"/>
        <tr r="L1762" s="7"/>
        <tr r="L1766" s="7"/>
        <tr r="L1770" s="7"/>
        <tr r="L1778" s="7"/>
        <tr r="L1782" s="7"/>
        <tr r="L1786" s="7"/>
        <tr r="L1790" s="7"/>
        <tr r="L1849" s="7"/>
        <tr r="L1751" s="7"/>
        <tr r="L1755" s="7"/>
        <tr r="L1759" s="7"/>
        <tr r="L1763" s="7"/>
        <tr r="L1767" s="7"/>
        <tr r="L1771" s="7"/>
        <tr r="L1777" s="7"/>
        <tr r="L1781" s="7"/>
        <tr r="L1785" s="7"/>
        <tr r="L1789" s="7"/>
        <tr r="L1793" s="7"/>
        <tr r="L1797" s="7"/>
        <tr r="L1831" s="7"/>
        <tr r="L1775" s="7"/>
        <tr r="L1779" s="7"/>
        <tr r="L1783" s="7"/>
        <tr r="L1787" s="7"/>
        <tr r="L1791" s="7"/>
        <tr r="L1798" s="7"/>
        <tr r="L1802" s="7"/>
        <tr r="L1806" s="7"/>
        <tr r="L1810" s="7"/>
        <tr r="L1814" s="7"/>
        <tr r="L1818" s="7"/>
        <tr r="L1822" s="7"/>
        <tr r="L1826" s="7"/>
        <tr r="L1839" s="7"/>
        <tr r="L1857" s="7"/>
        <tr r="L1877" s="7"/>
        <tr r="L1776" s="7"/>
        <tr r="L1780" s="7"/>
        <tr r="L1784" s="7"/>
        <tr r="L1788" s="7"/>
        <tr r="L1792" s="7"/>
        <tr r="L1801" s="7"/>
        <tr r="L1805" s="7"/>
        <tr r="L1809" s="7"/>
        <tr r="L1813" s="7"/>
        <tr r="L1817" s="7"/>
        <tr r="L1821" s="7"/>
        <tr r="L1825" s="7"/>
        <tr r="L1830" s="7"/>
        <tr r="L1799" s="7"/>
        <tr r="L1803" s="7"/>
        <tr r="L1807" s="7"/>
        <tr r="L1811" s="7"/>
        <tr r="L1815" s="7"/>
        <tr r="L1819" s="7"/>
        <tr r="L1823" s="7"/>
        <tr r="L1827" s="7"/>
        <tr r="L1861" s="7"/>
        <tr r="L1796" s="7"/>
        <tr r="L1800" s="7"/>
        <tr r="L1804" s="7"/>
        <tr r="L1808" s="7"/>
        <tr r="L1812" s="7"/>
        <tr r="L1816" s="7"/>
        <tr r="L1820" s="7"/>
        <tr r="L1824" s="7"/>
        <tr r="L1828" s="7"/>
        <tr r="L1845" s="7"/>
        <tr r="L1853" s="7"/>
        <tr r="L1869" s="7"/>
        <tr r="L1832" s="7"/>
        <tr r="L1836" s="7"/>
        <tr r="L1840" s="7"/>
        <tr r="L1844" s="7"/>
        <tr r="L1848" s="7"/>
        <tr r="L1852" s="7"/>
        <tr r="L1856" s="7"/>
        <tr r="L1860" s="7"/>
        <tr r="L1829" s="7"/>
        <tr r="L1833" s="7"/>
        <tr r="L1837" s="7"/>
        <tr r="L1841" s="7"/>
        <tr r="L1865" s="7"/>
        <tr r="L1873" s="7"/>
        <tr r="L1881" s="7"/>
        <tr r="L1834" s="7"/>
        <tr r="L1838" s="7"/>
        <tr r="L1842" s="7"/>
        <tr r="L1846" s="7"/>
        <tr r="L1850" s="7"/>
        <tr r="L1854" s="7"/>
        <tr r="L1858" s="7"/>
        <tr r="L1847" s="7"/>
        <tr r="L1851" s="7"/>
        <tr r="L1855" s="7"/>
        <tr r="L1859" s="7"/>
        <tr r="L1862" s="7"/>
        <tr r="L1866" s="7"/>
        <tr r="L1870" s="7"/>
        <tr r="L1874" s="7"/>
        <tr r="L1878" s="7"/>
        <tr r="L1863" s="7"/>
        <tr r="L1867" s="7"/>
        <tr r="L1871" s="7"/>
        <tr r="L1875" s="7"/>
        <tr r="L1879" s="7"/>
        <tr r="L1864" s="7"/>
        <tr r="L1868" s="7"/>
        <tr r="L1872" s="7"/>
        <tr r="L1876" s="7"/>
        <tr r="L1880" s="7"/>
      </tp>
    </main>
    <main first="rtdsrv.662c26bade854d00aebc6010f8a2e03a">
      <tp t="s">
        <v>表示銘柄数超過</v>
        <stp/>
        <stp>Market</stp>
        <stp>STOCK</stp>
        <stp>89960.T</stp>
        <stp>始値</stp>
        <tr r="L1072" s="7"/>
      </tp>
      <tp t="s">
        <v>表示銘柄数超過</v>
        <stp/>
        <stp>Market</stp>
        <stp>STOCK</stp>
        <stp>89460.T</stp>
        <stp>始値</stp>
        <tr r="L1071" s="7"/>
      </tp>
      <tp t="s">
        <v/>
        <stp/>
        <stp>Market</stp>
        <stp>STOCK</stp>
        <stp>82560.T</stp>
        <stp>始値</stp>
        <tr r="L1000" s="7"/>
      </tp>
      <tp>
        <v>211</v>
        <stp/>
        <stp>Market</stp>
        <stp>STOCK</stp>
        <stp>82260.T</stp>
        <stp>始値</stp>
        <tr r="L993" s="7"/>
      </tp>
      <tp>
        <v>7621</v>
        <stp/>
        <stp>Market</stp>
        <stp>STOCK</stp>
        <stp>83160.T</stp>
        <stp>始値</stp>
        <tr r="L1003" s="7"/>
      </tp>
      <tp>
        <v>4529</v>
        <stp/>
        <stp>Market</stp>
        <stp>STOCK</stp>
        <stp>80560.T</stp>
        <stp>始値</stp>
        <tr r="L971" s="7"/>
      </tp>
      <tp>
        <v>542</v>
        <stp/>
        <stp>Market</stp>
        <stp>STOCK</stp>
        <stp>80160.T</stp>
        <stp>始値</stp>
        <tr r="L967" s="7"/>
      </tp>
      <tp>
        <v>66</v>
        <stp/>
        <stp>Market</stp>
        <stp>STOCK</stp>
        <stp>81660.T</stp>
        <stp>始値</stp>
        <tr r="L986" s="7"/>
      </tp>
      <tp>
        <v>565</v>
        <stp/>
        <stp>Market</stp>
        <stp>STOCK</stp>
        <stp>86160.T</stp>
        <stp>始値</stp>
        <tr r="L1030" s="7"/>
      </tp>
      <tp>
        <v>101</v>
        <stp/>
        <stp>Market</stp>
        <stp>STOCK</stp>
        <stp>87460.T</stp>
        <stp>始値</stp>
        <tr r="L1043" s="7"/>
      </tp>
      <tp t="s">
        <v>表示銘柄数超過</v>
        <stp/>
        <stp>Market</stp>
        <stp>STOCK</stp>
        <stp>87660.T</stp>
        <stp>始値</stp>
        <tr r="L1045" s="7"/>
      </tp>
      <tp>
        <v>975</v>
        <stp/>
        <stp>Market</stp>
        <stp>STOCK</stp>
        <stp>87060.T</stp>
        <stp>始値</stp>
        <tr r="L1038" s="7"/>
      </tp>
      <tp>
        <v>944</v>
        <stp/>
        <stp>Market</stp>
        <stp>STOCK</stp>
        <stp>84160.T</stp>
        <stp>始値</stp>
        <tr r="L1011" s="7"/>
      </tp>
      <tp t="s">
        <v>表示銘柄数超過</v>
        <stp/>
        <stp>Market</stp>
        <stp>STOCK</stp>
        <stp>98760.T</stp>
        <stp>始値</stp>
        <tr r="L1175" s="7"/>
      </tp>
      <tp t="s">
        <v>表示銘柄数超過</v>
        <stp/>
        <stp>Market</stp>
        <stp>STOCK</stp>
        <stp>99460.T</stp>
        <stp>始値</stp>
        <tr r="L1184" s="7"/>
      </tp>
      <tp t="s">
        <v>表示銘柄数超過</v>
        <stp/>
        <stp>Market</stp>
        <stp>STOCK</stp>
        <stp>90060.T</stp>
        <stp>始値</stp>
        <tr r="L1076" s="7"/>
      </tp>
      <tp t="s">
        <v>表示銘柄数超過</v>
        <stp/>
        <stp>Market</stp>
        <stp>STOCK</stp>
        <stp>96560.T</stp>
        <stp>始値</stp>
        <tr r="L1161" s="7"/>
      </tp>
      <tp t="s">
        <v>表示銘柄数超過</v>
        <stp/>
        <stp>Market</stp>
        <stp>STOCK</stp>
        <stp>94760.T</stp>
        <stp>始値</stp>
        <tr r="L1138" s="7"/>
      </tp>
      <tp t="s">
        <v>表示銘柄数超過</v>
        <stp/>
        <stp>Market</stp>
        <stp>STOCK</stp>
        <stp>94660.T</stp>
        <stp>始値</stp>
        <tr r="L1134" s="7"/>
      </tp>
      <tp t="s">
        <v>表示銘柄数超過</v>
        <stp/>
        <stp>Market</stp>
        <stp>STOCK</stp>
        <stp>94360.T</stp>
        <stp>始値</stp>
        <tr r="L1130" s="7"/>
      </tp>
      <tp t="s">
        <v>表示銘柄数超過</v>
        <stp/>
        <stp>Market</stp>
        <stp>STOCK</stp>
        <stp>95060.T</stp>
        <stp>始値</stp>
        <tr r="L1145" s="7"/>
      </tp>
    </main>
    <main first="rtdsrv.662c26bade854d00aebc6010f8a2e03a">
      <tp t="s">
        <v>表示銘柄数超過</v>
        <stp/>
        <stp>Market</stp>
        <stp>STOCK</stp>
        <stp>42860.T</stp>
        <stp>始値</stp>
        <tr r="L437" s="7"/>
      </tp>
      <tp t="s">
        <v>表示銘柄数超過</v>
        <stp/>
        <stp>Market</stp>
        <stp>STOCK</stp>
        <stp>43460.T</stp>
        <stp>始値</stp>
        <tr r="L446" s="7"/>
      </tp>
      <tp t="s">
        <v>表示銘柄数超過</v>
        <stp/>
        <stp>Market</stp>
        <stp>STOCK</stp>
        <stp>43760.T</stp>
        <stp>始値</stp>
        <tr r="L452" s="7"/>
      </tp>
      <tp t="s">
        <v>表示銘柄数超過</v>
        <stp/>
        <stp>Market</stp>
        <stp>STOCK</stp>
        <stp>43160.T</stp>
        <stp>始値</stp>
        <tr r="L442" s="7"/>
      </tp>
      <tp t="s">
        <v>表示銘柄数超過</v>
        <stp/>
        <stp>Market</stp>
        <stp>STOCK</stp>
        <stp>40160.T</stp>
        <stp>始値</stp>
        <tr r="L412" s="7"/>
      </tp>
      <tp t="s">
        <v>表示銘柄数超過</v>
        <stp/>
        <stp>Market</stp>
        <stp>STOCK</stp>
        <stp>41760.T</stp>
        <stp>始値</stp>
        <tr r="L421" s="7"/>
      </tp>
      <tp t="s">
        <v>表示銘柄数超過</v>
        <stp/>
        <stp>Market</stp>
        <stp>STOCK</stp>
        <stp>46760.T</stp>
        <stp>始値</stp>
        <tr r="L518" s="7"/>
      </tp>
      <tp t="s">
        <v>表示銘柄数超過</v>
        <stp/>
        <stp>Market</stp>
        <stp>STOCK</stp>
        <stp>47760.T</stp>
        <stp>始値</stp>
        <tr r="L533" s="7"/>
      </tp>
      <tp t="s">
        <v>表示銘柄数超過</v>
        <stp/>
        <stp>Market</stp>
        <stp>STOCK</stp>
        <stp>47660.T</stp>
        <stp>始値</stp>
        <tr r="L530" s="7"/>
      </tp>
      <tp t="s">
        <v>表示銘柄数超過</v>
        <stp/>
        <stp>Market</stp>
        <stp>STOCK</stp>
        <stp>47160.T</stp>
        <stp>始値</stp>
        <tr r="L525" s="7"/>
      </tp>
      <tp t="s">
        <v>表示銘柄数超過</v>
        <stp/>
        <stp>Market</stp>
        <stp>STOCK</stp>
        <stp>47260.T</stp>
        <stp>始値</stp>
        <tr r="L527" s="7"/>
      </tp>
      <tp t="s">
        <v>表示銘柄数超過</v>
        <stp/>
        <stp>Market</stp>
        <stp>STOCK</stp>
        <stp>44760.T</stp>
        <stp>始値</stp>
        <tr r="L472" s="7"/>
      </tp>
      <tp t="s">
        <v>表示銘柄数超過</v>
        <stp/>
        <stp>Market</stp>
        <stp>STOCK</stp>
        <stp>44160.T</stp>
        <stp>始値</stp>
        <tr r="L461" s="7"/>
      </tp>
      <tp t="s">
        <v>表示銘柄数超過</v>
        <stp/>
        <stp>Market</stp>
        <stp>STOCK</stp>
        <stp>44060.T</stp>
        <stp>始値</stp>
        <tr r="L459" s="7"/>
      </tp>
      <tp t="s">
        <v>表示銘柄数超過</v>
        <stp/>
        <stp>Market</stp>
        <stp>STOCK</stp>
        <stp>44360.T</stp>
        <stp>始値</stp>
        <tr r="L464" s="7"/>
      </tp>
      <tp t="s">
        <v>表示銘柄数超過</v>
        <stp/>
        <stp>Market</stp>
        <stp>STOCK</stp>
        <stp>45960.T</stp>
        <stp>始値</stp>
        <tr r="L506" s="7"/>
      </tp>
      <tp t="s">
        <v>表示銘柄数超過</v>
        <stp/>
        <stp>Market</stp>
        <stp>STOCK</stp>
        <stp>45860.T</stp>
        <stp>始値</stp>
        <tr r="L500" s="7"/>
      </tp>
      <tp t="s">
        <v>表示銘柄数超過</v>
        <stp/>
        <stp>Market</stp>
        <stp>STOCK</stp>
        <stp>45760.T</stp>
        <stp>始値</stp>
        <tr r="L495" s="7"/>
      </tp>
      <tp>
        <v>332</v>
        <stp/>
        <stp>Market</stp>
        <stp>STOCK</stp>
        <stp>45060.T</stp>
        <stp>始値</stp>
        <tr r="L480" s="7"/>
      </tp>
    </main>
    <main first="rtdsrv.662c26bade854d00aebc6010f8a2e03a">
      <tp>
        <v>44</v>
        <stp/>
        <stp>Market</stp>
        <stp>STOCK</stp>
        <stp>58560.T</stp>
        <stp>始値</stp>
        <tr r="L617" s="7"/>
      </tp>
      <tp>
        <v>287</v>
        <stp/>
        <stp>Market</stp>
        <stp>STOCK</stp>
        <stp>59860.T</stp>
        <stp>始値</stp>
        <tr r="L632" s="7"/>
      </tp>
      <tp>
        <v>1056</v>
        <stp/>
        <stp>Market</stp>
        <stp>STOCK</stp>
        <stp>59760.T</stp>
        <stp>始値</stp>
        <tr r="L630" s="7"/>
      </tp>
      <tp>
        <v>2415</v>
        <stp/>
        <stp>Market</stp>
        <stp>STOCK</stp>
        <stp>59660.T</stp>
        <stp>始値</stp>
        <tr r="L628" s="7"/>
      </tp>
      <tp>
        <v>737</v>
        <stp/>
        <stp>Market</stp>
        <stp>STOCK</stp>
        <stp>59360.T</stp>
        <stp>始値</stp>
        <tr r="L620" s="7"/>
      </tp>
      <tp>
        <v>584</v>
        <stp/>
        <stp>Market</stp>
        <stp>STOCK</stp>
        <stp>52460.T</stp>
        <stp>始値</stp>
        <tr r="L579" s="7"/>
      </tp>
      <tp>
        <v>87</v>
        <stp/>
        <stp>Market</stp>
        <stp>STOCK</stp>
        <stp>52160.T</stp>
        <stp>始値</stp>
        <tr r="L576" s="7"/>
      </tp>
      <tp>
        <v>2860</v>
        <stp/>
        <stp>Market</stp>
        <stp>STOCK</stp>
        <stp>57260.T</stp>
        <stp>始値</stp>
        <tr r="L608" s="7"/>
      </tp>
      <tp>
        <v>560</v>
        <stp/>
        <stp>Market</stp>
        <stp>STOCK</stp>
        <stp>54760.T</stp>
        <stp>始値</stp>
        <tr r="L597" s="7"/>
      </tp>
      <tp>
        <v>2020.5</v>
        <stp/>
        <stp>Market</stp>
        <stp>STOCK</stp>
        <stp>54060.T</stp>
        <stp>始値</stp>
        <tr r="L591" s="7"/>
      </tp>
      <tp>
        <v>715</v>
        <stp/>
        <stp>Market</stp>
        <stp>STOCK</stp>
        <stp>55860.T</stp>
        <stp>始値</stp>
        <tr r="L600" s="7"/>
      </tp>
    </main>
    <main first="rtdsrv.662c26bade854d00aebc6010f8a2e03a">
      <tp>
        <v>507</v>
        <stp/>
        <stp>Market</stp>
        <stp>STOCK</stp>
        <stp>69860.T</stp>
        <stp>始値</stp>
        <tr r="L800" s="7"/>
      </tp>
      <tp>
        <v>3541</v>
        <stp/>
        <stp>Market</stp>
        <stp>STOCK</stp>
        <stp>69760.T</stp>
        <stp>始値</stp>
        <tr r="L797" s="7"/>
      </tp>
      <tp>
        <v>727</v>
        <stp/>
        <stp>Market</stp>
        <stp>STOCK</stp>
        <stp>62860.T</stp>
        <stp>始値</stp>
        <tr r="L683" s="7"/>
      </tp>
      <tp>
        <v>1170</v>
        <stp/>
        <stp>Market</stp>
        <stp>STOCK</stp>
        <stp>62260.T</stp>
        <stp>始値</stp>
        <tr r="L679" s="7"/>
      </tp>
      <tp>
        <v>667</v>
        <stp/>
        <stp>Market</stp>
        <stp>STOCK</stp>
        <stp>63560.T</stp>
        <stp>始値</stp>
        <tr r="L693" s="7"/>
      </tp>
      <tp>
        <v>362</v>
        <stp/>
        <stp>Market</stp>
        <stp>STOCK</stp>
        <stp>63660.T</stp>
        <stp>始値</stp>
        <tr r="L695" s="7"/>
      </tp>
      <tp>
        <v>701</v>
        <stp/>
        <stp>Market</stp>
        <stp>STOCK</stp>
        <stp>63360.T</stp>
        <stp>始値</stp>
        <tr r="L690" s="7"/>
      </tp>
      <tp>
        <v>920</v>
        <stp/>
        <stp>Market</stp>
        <stp>STOCK</stp>
        <stp>60960.T</stp>
        <stp>始値</stp>
        <tr r="L653" s="7"/>
      </tp>
      <tp>
        <v>173</v>
        <stp/>
        <stp>Market</stp>
        <stp>STOCK</stp>
        <stp>60460.T</stp>
        <stp>始値</stp>
        <tr r="L642" s="7"/>
      </tp>
      <tp>
        <v>626</v>
        <stp/>
        <stp>Market</stp>
        <stp>STOCK</stp>
        <stp>61860.T</stp>
        <stp>始値</stp>
        <tr r="L671" s="7"/>
      </tp>
      <tp>
        <v>42840</v>
        <stp/>
        <stp>Market</stp>
        <stp>STOCK</stp>
        <stp>61460.T</stp>
        <stp>始値</stp>
        <tr r="L659" s="7"/>
      </tp>
      <tp>
        <v>680</v>
        <stp/>
        <stp>Market</stp>
        <stp>STOCK</stp>
        <stp>61760.T</stp>
        <stp>始値</stp>
        <tr r="L664" s="7"/>
      </tp>
      <tp>
        <v>382</v>
        <stp/>
        <stp>Market</stp>
        <stp>STOCK</stp>
        <stp>61660.T</stp>
        <stp>始値</stp>
        <tr r="L661" s="7"/>
      </tp>
      <tp>
        <v>259</v>
        <stp/>
        <stp>Market</stp>
        <stp>STOCK</stp>
        <stp>66960.T</stp>
        <stp>始値</stp>
        <tr r="L753" s="7"/>
      </tp>
      <tp>
        <v>3260</v>
        <stp/>
        <stp>Market</stp>
        <stp>STOCK</stp>
        <stp>66760.T</stp>
        <stp>始値</stp>
        <tr r="L751" s="7"/>
      </tp>
      <tp>
        <v>610</v>
        <stp/>
        <stp>Market</stp>
        <stp>STOCK</stp>
        <stp>66660.T</stp>
        <stp>始値</stp>
        <tr r="L750" s="7"/>
      </tp>
      <tp>
        <v>450</v>
        <stp/>
        <stp>Market</stp>
        <stp>STOCK</stp>
        <stp>67760.T</stp>
        <stp>始値</stp>
        <tr r="L771" s="7"/>
      </tp>
      <tp>
        <v>851</v>
        <stp/>
        <stp>Market</stp>
        <stp>STOCK</stp>
        <stp>65560.T</stp>
        <stp>始値</stp>
        <tr r="L727" s="7"/>
      </tp>
    </main>
    <main first="rtdsrv.662c26bade854d00aebc6010f8a2e03a">
      <tp>
        <v>1490</v>
        <stp/>
        <stp>Market</stp>
        <stp>STOCK</stp>
        <stp>78560.T</stp>
        <stp>始値</stp>
        <tr r="L947" s="7"/>
      </tp>
      <tp>
        <v>90</v>
        <stp/>
        <stp>Market</stp>
        <stp>STOCK</stp>
        <stp>78360.T</stp>
        <stp>始値</stp>
        <tr r="L943" s="7"/>
      </tp>
      <tp>
        <v>183</v>
        <stp/>
        <stp>Market</stp>
        <stp>STOCK</stp>
        <stp>72560.T</stp>
        <stp>始値</stp>
        <tr r="L862" s="7"/>
      </tp>
      <tp>
        <v>659</v>
        <stp/>
        <stp>Market</stp>
        <stp>STOCK</stp>
        <stp>72460.T</stp>
        <stp>始値</stp>
        <tr r="L859" s="7"/>
      </tp>
      <tp>
        <v>3675</v>
        <stp/>
        <stp>Market</stp>
        <stp>STOCK</stp>
        <stp>72360.T</stp>
        <stp>始値</stp>
        <tr r="L855" s="7"/>
      </tp>
      <tp>
        <v>840</v>
        <stp/>
        <stp>Market</stp>
        <stp>STOCK</stp>
        <stp>71960.T</stp>
        <stp>始値</stp>
        <tr r="L843" s="7"/>
      </tp>
      <tp>
        <v>695.7</v>
        <stp/>
        <stp>Market</stp>
        <stp>STOCK</stp>
        <stp>71860.T</stp>
        <stp>始値</stp>
        <tr r="L842" s="7"/>
      </tp>
      <tp>
        <v>1409</v>
        <stp/>
        <stp>Market</stp>
        <stp>STOCK</stp>
        <stp>71160.T</stp>
        <stp>始値</stp>
        <tr r="L827" s="7"/>
      </tp>
      <tp>
        <v>705</v>
        <stp/>
        <stp>Market</stp>
        <stp>STOCK</stp>
        <stp>76760.T</stp>
        <stp>始値</stp>
        <tr r="L919" s="7"/>
      </tp>
      <tp>
        <v>245</v>
        <stp/>
        <stp>Market</stp>
        <stp>STOCK</stp>
        <stp>77760.T</stp>
        <stp>始値</stp>
        <tr r="L932" s="7"/>
      </tp>
      <tp>
        <v>3960</v>
        <stp/>
        <stp>Market</stp>
        <stp>STOCK</stp>
        <stp>75160.T</stp>
        <stp>始値</stp>
        <tr r="L899" s="7"/>
      </tp>
    </main>
    <main first="rtdsrv.662c26bade854d00aebc6010f8a2e03a">
      <tp t="s">
        <v>表示銘柄数超過</v>
        <stp/>
        <stp>Market</stp>
        <stp>STOCK</stp>
        <stp>18260.T</stp>
        <stp>始値</stp>
        <tr r="L63" s="7"/>
      </tp>
      <tp t="s">
        <v>表示銘柄数超過</v>
        <stp/>
        <stp>Market</stp>
        <stp>STOCK</stp>
        <stp>19660.T</stp>
        <stp>始値</stp>
        <tr r="L84" s="7"/>
      </tp>
      <tp t="s">
        <v>表示銘柄数超過</v>
        <stp/>
        <stp>Market</stp>
        <stp>STOCK</stp>
        <stp>13560.T</stp>
        <stp>始値</stp>
        <tr r="L11" s="7"/>
      </tp>
      <tp t="s">
        <v>表示銘柄数超過</v>
        <stp/>
        <stp>Market</stp>
        <stp>STOCK</stp>
        <stp>13660.T</stp>
        <stp>始値</stp>
        <tr r="L14" s="7"/>
      </tp>
      <tp t="s">
        <v>表示銘柄数超過</v>
        <stp/>
        <stp>Market</stp>
        <stp>STOCK</stp>
        <stp>13060.T</stp>
        <stp>始値</stp>
        <tr r="L3" s="7"/>
      </tp>
      <tp t="s">
        <v>表示銘柄数超過</v>
        <stp/>
        <stp>Market</stp>
        <stp>STOCK</stp>
        <stp>16560.T</stp>
        <stp>始値</stp>
        <tr r="L40" s="7"/>
      </tp>
      <tp t="s">
        <v>表示銘柄数超過</v>
        <stp/>
        <stp>Market</stp>
        <stp>STOCK</stp>
        <stp>17160.T</stp>
        <stp>始値</stp>
        <tr r="L48" s="7"/>
      </tp>
    </main>
    <main first="rtdsrv.662c26bade854d00aebc6010f8a2e03a">
      <tp t="s">
        <v>表示銘柄数超過</v>
        <stp/>
        <stp>Market</stp>
        <stp>STOCK</stp>
        <stp>28560.T</stp>
        <stp>始値</stp>
        <tr r="L206" s="7"/>
      </tp>
      <tp t="s">
        <v>表示銘柄数超過</v>
        <stp/>
        <stp>Market</stp>
        <stp>STOCK</stp>
        <stp>29260.T</stp>
        <stp>始値</stp>
        <tr r="L215" s="7"/>
      </tp>
      <tp t="s">
        <v>表示銘柄数超過</v>
        <stp/>
        <stp>Market</stp>
        <stp>STOCK</stp>
        <stp>22160.T</stp>
        <stp>始値</stp>
        <tr r="L104" s="7"/>
      </tp>
      <tp t="s">
        <v>表示銘柄数超過</v>
        <stp/>
        <stp>Market</stp>
        <stp>STOCK</stp>
        <stp>22060.T</stp>
        <stp>始値</stp>
        <tr r="L103" s="7"/>
      </tp>
      <tp t="s">
        <v>表示銘柄数超過</v>
        <stp/>
        <stp>Market</stp>
        <stp>STOCK</stp>
        <stp>22360.T</stp>
        <stp>始値</stp>
        <tr r="L106" s="7"/>
      </tp>
      <tp t="s">
        <v>表示銘柄数超過</v>
        <stp/>
        <stp>Market</stp>
        <stp>STOCK</stp>
        <stp>23760.T</stp>
        <stp>始値</stp>
        <tr r="L129" s="7"/>
      </tp>
      <tp t="s">
        <v>表示銘柄数超過</v>
        <stp/>
        <stp>Market</stp>
        <stp>STOCK</stp>
        <stp>26860.T</stp>
        <stp>始値</stp>
        <tr r="L182" s="7"/>
      </tp>
      <tp t="s">
        <v>表示銘柄数超過</v>
        <stp/>
        <stp>Market</stp>
        <stp>STOCK</stp>
        <stp>26560.T</stp>
        <stp>始値</stp>
        <tr r="L176" s="7"/>
      </tp>
      <tp t="s">
        <v>表示銘柄数超過</v>
        <stp/>
        <stp>Market</stp>
        <stp>STOCK</stp>
        <stp>26660.T</stp>
        <stp>始値</stp>
        <tr r="L177" s="7"/>
      </tp>
      <tp t="s">
        <v>表示銘柄数超過</v>
        <stp/>
        <stp>Market</stp>
        <stp>STOCK</stp>
        <stp>27760.T</stp>
        <stp>始値</stp>
        <tr r="L197" s="7"/>
      </tp>
      <tp t="s">
        <v>表示銘柄数超過</v>
        <stp/>
        <stp>Market</stp>
        <stp>STOCK</stp>
        <stp>25860.T</stp>
        <stp>始値</stp>
        <tr r="L165" s="7"/>
      </tp>
      <tp t="s">
        <v>表示銘柄数超過</v>
        <stp/>
        <stp>Market</stp>
        <stp>STOCK</stp>
        <stp>25160.T</stp>
        <stp>始値</stp>
        <tr r="L158" s="7"/>
      </tp>
    </main>
    <main first="rtdsrv.662c26bade854d00aebc6010f8a2e03a">
      <tp t="s">
        <v>表示銘柄数超過</v>
        <stp/>
        <stp>Market</stp>
        <stp>STOCK</stp>
        <stp>38560.T</stp>
        <stp>始値</stp>
        <tr r="L377" s="7"/>
      </tp>
      <tp t="s">
        <v>表示銘柄数超過</v>
        <stp/>
        <stp>Market</stp>
        <stp>STOCK</stp>
        <stp>38160.T</stp>
        <stp>始値</stp>
        <tr r="L365" s="7"/>
      </tp>
      <tp t="s">
        <v>表示銘柄数超過</v>
        <stp/>
        <stp>Market</stp>
        <stp>STOCK</stp>
        <stp>38260.T</stp>
        <stp>始値</stp>
        <tr r="L368" s="7"/>
      </tp>
      <tp t="s">
        <v>表示銘柄数超過</v>
        <stp/>
        <stp>Market</stp>
        <stp>STOCK</stp>
        <stp>39760.T</stp>
        <stp>始値</stp>
        <tr r="L402" s="7"/>
      </tp>
      <tp t="s">
        <v>表示銘柄数超過</v>
        <stp/>
        <stp>Market</stp>
        <stp>STOCK</stp>
        <stp>32860.T</stp>
        <stp>始値</stp>
        <tr r="L270" s="7"/>
      </tp>
      <tp t="s">
        <v>表示銘柄数超過</v>
        <stp/>
        <stp>Market</stp>
        <stp>STOCK</stp>
        <stp>32660.T</stp>
        <stp>始値</stp>
        <tr r="L267" s="7"/>
      </tp>
      <tp t="s">
        <v>表示銘柄数超過</v>
        <stp/>
        <stp>Market</stp>
        <stp>STOCK</stp>
        <stp>32360.T</stp>
        <stp>始値</stp>
        <tr r="L259" s="7"/>
      </tp>
      <tp t="s">
        <v>表示銘柄数超過</v>
        <stp/>
        <stp>Market</stp>
        <stp>STOCK</stp>
        <stp>33860.T</stp>
        <stp>始値</stp>
        <tr r="L291" s="7"/>
      </tp>
      <tp t="s">
        <v>表示銘柄数超過</v>
        <stp/>
        <stp>Market</stp>
        <stp>STOCK</stp>
        <stp>33160.T</stp>
        <stp>始値</stp>
        <tr r="L277" s="7"/>
      </tp>
      <tp t="s">
        <v>表示銘柄数超過</v>
        <stp/>
        <stp>Market</stp>
        <stp>STOCK</stp>
        <stp>33260.T</stp>
        <stp>始値</stp>
        <tr r="L279" s="7"/>
      </tp>
      <tp t="s">
        <v>表示銘柄数超過</v>
        <stp/>
        <stp>Market</stp>
        <stp>STOCK</stp>
        <stp>30860.T</stp>
        <stp>始値</stp>
        <tr r="L239" s="7"/>
      </tp>
      <tp t="s">
        <v>表示銘柄数超過</v>
        <stp/>
        <stp>Market</stp>
        <stp>STOCK</stp>
        <stp>30360.T</stp>
        <stp>始値</stp>
        <tr r="L229" s="7"/>
      </tp>
      <tp t="s">
        <v>表示銘柄数超過</v>
        <stp/>
        <stp>Market</stp>
        <stp>STOCK</stp>
        <stp>31860.T</stp>
        <stp>始値</stp>
        <tr r="L253" s="7"/>
      </tp>
      <tp t="s">
        <v>表示銘柄数超過</v>
        <stp/>
        <stp>Market</stp>
        <stp>STOCK</stp>
        <stp>31760.T</stp>
        <stp>始値</stp>
        <tr r="L250" s="7"/>
      </tp>
      <tp t="s">
        <v>表示銘柄数超過</v>
        <stp/>
        <stp>Market</stp>
        <stp>STOCK</stp>
        <stp>36960.T</stp>
        <stp>始値</stp>
        <tr r="L342" s="7"/>
      </tp>
      <tp t="s">
        <v>表示銘柄数超過</v>
        <stp/>
        <stp>Market</stp>
        <stp>STOCK</stp>
        <stp>36860.T</stp>
        <stp>始値</stp>
        <tr r="L340" s="7"/>
      </tp>
      <tp t="s">
        <v>表示銘柄数超過</v>
        <stp/>
        <stp>Market</stp>
        <stp>STOCK</stp>
        <stp>36560.T</stp>
        <stp>始値</stp>
        <tr r="L324" s="7"/>
      </tp>
      <tp t="s">
        <v>表示銘柄数超過</v>
        <stp/>
        <stp>Market</stp>
        <stp>STOCK</stp>
        <stp>36760.T</stp>
        <stp>始値</stp>
        <tr r="L334" s="7"/>
      </tp>
      <tp t="s">
        <v>表示銘柄数超過</v>
        <stp/>
        <stp>Market</stp>
        <stp>STOCK</stp>
        <stp>36660.T</stp>
        <stp>始値</stp>
        <tr r="L329" s="7"/>
      </tp>
      <tp t="s">
        <v>表示銘柄数超過</v>
        <stp/>
        <stp>Market</stp>
        <stp>STOCK</stp>
        <stp>36260.T</stp>
        <stp>始値</stp>
        <tr r="L314" s="7"/>
      </tp>
      <tp t="s">
        <v>表示銘柄数超過</v>
        <stp/>
        <stp>Market</stp>
        <stp>STOCK</stp>
        <stp>37760.T</stp>
        <stp>始値</stp>
        <tr r="L355" s="7"/>
      </tp>
      <tp t="s">
        <v>表示銘柄数超過</v>
        <stp/>
        <stp>Market</stp>
        <stp>STOCK</stp>
        <stp>34360.T</stp>
        <stp>始値</stp>
        <tr r="L299" s="7"/>
      </tp>
      <tp t="s">
        <v>表示銘柄数超過</v>
        <stp/>
        <stp>Market</stp>
        <stp>STOCK</stp>
        <stp>35360.T</stp>
        <stp>始値</stp>
        <tr r="L304" s="7"/>
      </tp>
      <tp t="s">
        <v>表示銘柄数超過</v>
        <stp/>
        <stp>Market</stp>
        <stp>STOCK</stp>
        <stp>88940.T</stp>
        <stp>安値</stp>
        <tr r="P1060" s="7"/>
      </tp>
      <tp t="s">
        <v>表示銘柄数超過</v>
        <stp/>
        <stp>Market</stp>
        <stp>STOCK</stp>
        <stp>88440.T</stp>
        <stp>安値</stp>
        <tr r="P1056" s="7"/>
      </tp>
      <tp t="s">
        <v>表示銘柄数超過</v>
        <stp/>
        <stp>Market</stp>
        <stp>STOCK</stp>
        <stp>88040.T</stp>
        <stp>安値</stp>
        <tr r="P1052" s="7"/>
      </tp>
      <tp t="s">
        <v>表示銘柄数超過</v>
        <stp/>
        <stp>Market</stp>
        <stp>STOCK</stp>
        <stp>89440.T</stp>
        <stp>安値</stp>
        <tr r="P1069" s="7"/>
      </tp>
      <tp>
        <v>2563</v>
        <stp/>
        <stp>Market</stp>
        <stp>STOCK</stp>
        <stp>82440.T</stp>
        <stp>安値</stp>
        <tr r="P997" s="7"/>
      </tp>
      <tp>
        <v>3660</v>
        <stp/>
        <stp>Market</stp>
        <stp>STOCK</stp>
        <stp>81940.T</stp>
        <stp>安値</stp>
        <tr r="P989" s="7"/>
      </tp>
      <tp>
        <v>701</v>
        <stp/>
        <stp>Market</stp>
        <stp>STOCK</stp>
        <stp>81040.T</stp>
        <stp>安値</stp>
        <tr r="P977" s="7"/>
      </tp>
      <tp>
        <v>325</v>
        <stp/>
        <stp>Market</stp>
        <stp>STOCK</stp>
        <stp>86140.T</stp>
        <stp>安値</stp>
        <tr r="P1029" s="7"/>
      </tp>
      <tp>
        <v>800.6</v>
        <stp/>
        <stp>Market</stp>
        <stp>STOCK</stp>
        <stp>86040.T</stp>
        <stp>安値</stp>
        <tr r="P1026" s="7"/>
      </tp>
      <tp>
        <v>740</v>
        <stp/>
        <stp>Market</stp>
        <stp>STOCK</stp>
        <stp>86240.T</stp>
        <stp>安値</stp>
        <tr r="P1033" s="7"/>
      </tp>
      <tp>
        <v>370</v>
        <stp/>
        <stp>Market</stp>
        <stp>STOCK</stp>
        <stp>85240.T</stp>
        <stp>安値</stp>
        <tr r="P1018" s="7"/>
      </tp>
      <tp t="s">
        <v>表示銘柄数超過</v>
        <stp/>
        <stp>Market</stp>
        <stp>STOCK</stp>
        <stp>98540.T</stp>
        <stp>安値</stp>
        <tr r="P1174" s="7"/>
      </tp>
      <tp t="s">
        <v>表示銘柄数超過</v>
        <stp/>
        <stp>Market</stp>
        <stp>STOCK</stp>
        <stp>99840.T</stp>
        <stp>安値</stp>
        <tr r="P1189" s="7"/>
      </tp>
      <tp t="s">
        <v>表示銘柄数超過</v>
        <stp/>
        <stp>Market</stp>
        <stp>STOCK</stp>
        <stp>99040.T</stp>
        <stp>安値</stp>
        <tr r="P1178" s="7"/>
      </tp>
      <tp t="s">
        <v>表示銘柄数超過</v>
        <stp/>
        <stp>Market</stp>
        <stp>STOCK</stp>
        <stp>92540.T</stp>
        <stp>安値</stp>
        <tr r="P1103" s="7"/>
      </tp>
      <tp t="s">
        <v>表示銘柄数超過</v>
        <stp/>
        <stp>Market</stp>
        <stp>STOCK</stp>
        <stp>92740.T</stp>
        <stp>安値</stp>
        <tr r="P1107" s="7"/>
      </tp>
      <tp t="s">
        <v>表示銘柄数超過</v>
        <stp/>
        <stp>Market</stp>
        <stp>STOCK</stp>
        <stp>90440.T</stp>
        <stp>安値</stp>
        <tr r="P1087" s="7"/>
      </tp>
      <tp t="s">
        <v>表示銘柄数超過</v>
        <stp/>
        <stp>Market</stp>
        <stp>STOCK</stp>
        <stp>90640.T</stp>
        <stp>安値</stp>
        <tr r="P1091" s="7"/>
      </tp>
      <tp t="s">
        <v>表示銘柄数超過</v>
        <stp/>
        <stp>Market</stp>
        <stp>STOCK</stp>
        <stp>90240.T</stp>
        <stp>安値</stp>
        <tr r="P1083" s="7"/>
      </tp>
      <tp t="s">
        <v>表示銘柄数超過</v>
        <stp/>
        <stp>Market</stp>
        <stp>STOCK</stp>
        <stp>91040.T</stp>
        <stp>安値</stp>
        <tr r="P1094" s="7"/>
      </tp>
      <tp t="s">
        <v>表示銘柄数超過</v>
        <stp/>
        <stp>Market</stp>
        <stp>STOCK</stp>
        <stp>94440.T</stp>
        <stp>安値</stp>
        <tr r="P1132" s="7"/>
      </tp>
      <tp t="s">
        <v>表示銘柄数超過</v>
        <stp/>
        <stp>Market</stp>
        <stp>STOCK</stp>
        <stp>94740.T</stp>
        <stp>安値</stp>
        <tr r="P1136" s="7"/>
      </tp>
      <tp t="s">
        <v>表示銘柄数超過</v>
        <stp/>
        <stp>Market</stp>
        <stp>STOCK</stp>
        <stp>94140.T</stp>
        <stp>安値</stp>
        <tr r="P1120" s="7"/>
      </tp>
      <tp t="s">
        <v>表示銘柄数超過</v>
        <stp/>
        <stp>Market</stp>
        <stp>STOCK</stp>
        <stp>94040.T</stp>
        <stp>安値</stp>
        <tr r="P1115" s="7"/>
      </tp>
      <tp>
        <v>1930.5</v>
        <stp/>
        <stp>Market</stp>
        <stp>STOCK</stp>
        <stp>94340.T</stp>
        <stp>安値</stp>
        <tr r="P1129" s="7"/>
      </tp>
      <tp t="s">
        <v>表示銘柄数超過</v>
        <stp/>
        <stp>Market</stp>
        <stp>STOCK</stp>
        <stp>94240.T</stp>
        <stp>安値</stp>
        <tr r="P1125" s="7"/>
      </tp>
      <tp t="s">
        <v>表示銘柄数超過</v>
        <stp/>
        <stp>Market</stp>
        <stp>STOCK</stp>
        <stp>95140.T</stp>
        <stp>安値</stp>
        <tr r="P1150" s="7"/>
      </tp>
      <tp t="s">
        <v>表示銘柄数超過</v>
        <stp/>
        <stp>Market</stp>
        <stp>STOCK</stp>
        <stp>95040.T</stp>
        <stp>安値</stp>
        <tr r="P1143" s="7"/>
      </tp>
      <tp>
        <v>1995</v>
        <stp/>
        <stp>Market</stp>
        <stp>STOCK</stp>
        <stp>68140.T</stp>
        <stp>安値</stp>
        <tr r="P775" s="7"/>
      </tp>
      <tp>
        <v>433</v>
        <stp/>
        <stp>Market</stp>
        <stp>STOCK</stp>
        <stp>69940.T</stp>
        <stp>安値</stp>
        <tr r="P802" s="7"/>
      </tp>
      <tp>
        <v>3925</v>
        <stp/>
        <stp>Market</stp>
        <stp>STOCK</stp>
        <stp>69540.T</stp>
        <stp>安値</stp>
        <tr r="P794" s="7"/>
      </tp>
      <tp>
        <v>2419</v>
        <stp/>
        <stp>Market</stp>
        <stp>STOCK</stp>
        <stp>63640.T</stp>
        <stp>安値</stp>
        <tr r="P694" s="7"/>
      </tp>
      <tp>
        <v>360</v>
        <stp/>
        <stp>Market</stp>
        <stp>STOCK</stp>
        <stp>63340.T</stp>
        <stp>安値</stp>
        <tr r="P689" s="7"/>
      </tp>
      <tp>
        <v>243</v>
        <stp/>
        <stp>Market</stp>
        <stp>STOCK</stp>
        <stp>60540.T</stp>
        <stp>安値</stp>
        <tr r="P646" s="7"/>
      </tp>
      <tp>
        <v>1346</v>
        <stp/>
        <stp>Market</stp>
        <stp>STOCK</stp>
        <stp>60440.T</stp>
        <stp>安値</stp>
        <tr r="P641" s="7"/>
      </tp>
      <tp>
        <v>657</v>
        <stp/>
        <stp>Market</stp>
        <stp>STOCK</stp>
        <stp>61940.T</stp>
        <stp>安値</stp>
        <tr r="P675" s="7"/>
      </tp>
      <tp>
        <v>607</v>
        <stp/>
        <stp>Market</stp>
        <stp>STOCK</stp>
        <stp>61840.T</stp>
        <stp>安値</stp>
        <tr r="P669" s="7"/>
      </tp>
      <tp>
        <v>3340</v>
        <stp/>
        <stp>Market</stp>
        <stp>STOCK</stp>
        <stp>61040.T</stp>
        <stp>安値</stp>
        <tr r="P655" s="7"/>
      </tp>
      <tp>
        <v>2452</v>
        <stp/>
        <stp>Market</stp>
        <stp>STOCK</stp>
        <stp>61340.T</stp>
        <stp>安値</stp>
        <tr r="P657" s="7"/>
      </tp>
      <tp>
        <v>1145</v>
        <stp/>
        <stp>Market</stp>
        <stp>STOCK</stp>
        <stp>66540.T</stp>
        <stp>安値</stp>
        <tr r="P747" s="7"/>
      </tp>
      <tp>
        <v>674</v>
        <stp/>
        <stp>Market</stp>
        <stp>STOCK</stp>
        <stp>66440.T</stp>
        <stp>安値</stp>
        <tr r="P746" s="7"/>
      </tp>
      <tp>
        <v>134</v>
        <stp/>
        <stp>Market</stp>
        <stp>STOCK</stp>
        <stp>66340.T</stp>
        <stp>安値</stp>
        <tr r="P743" s="7"/>
      </tp>
      <tp>
        <v>1161.5</v>
        <stp/>
        <stp>Market</stp>
        <stp>STOCK</stp>
        <stp>67540.T</stp>
        <stp>安値</stp>
        <tr r="P766" s="7"/>
      </tp>
      <tp>
        <v>93</v>
        <stp/>
        <stp>Market</stp>
        <stp>STOCK</stp>
        <stp>64940.T</stp>
        <stp>安値</stp>
        <tr r="P710" s="7"/>
      </tp>
      <tp>
        <v>184</v>
        <stp/>
        <stp>Market</stp>
        <stp>STOCK</stp>
        <stp>64440.T</stp>
        <stp>安値</stp>
        <tr r="P703" s="7"/>
      </tp>
      <tp>
        <v>5405</v>
        <stp/>
        <stp>Market</stp>
        <stp>STOCK</stp>
        <stp>65940.T</stp>
        <stp>安値</stp>
        <tr r="P735" s="7"/>
      </tp>
      <tp>
        <v>879</v>
        <stp/>
        <stp>Market</stp>
        <stp>STOCK</stp>
        <stp>65840.T</stp>
        <stp>安値</stp>
        <tr r="P733" s="7"/>
      </tp>
      <tp>
        <v>800</v>
        <stp/>
        <stp>Market</stp>
        <stp>STOCK</stp>
        <stp>65540.T</stp>
        <stp>安値</stp>
        <tr r="P725" s="7"/>
      </tp>
      <tp>
        <v>789</v>
        <stp/>
        <stp>Market</stp>
        <stp>STOCK</stp>
        <stp>65740.T</stp>
        <stp>安値</stp>
        <tr r="P730" s="7"/>
      </tp>
      <tp>
        <v>7954</v>
        <stp/>
        <stp>Market</stp>
        <stp>STOCK</stp>
        <stp>65040.T</stp>
        <stp>安値</stp>
        <tr r="P716" s="7"/>
      </tp>
      <tp>
        <v>740</v>
        <stp/>
        <stp>Market</stp>
        <stp>STOCK</stp>
        <stp>78440.T</stp>
        <stp>安値</stp>
        <tr r="P945" s="7"/>
      </tp>
      <tp>
        <v>605</v>
        <stp/>
        <stp>Market</stp>
        <stp>STOCK</stp>
        <stp>78140.T</stp>
        <stp>安値</stp>
        <tr r="P940" s="7"/>
      </tp>
      <tp>
        <v>8278</v>
        <stp/>
        <stp>Market</stp>
        <stp>STOCK</stp>
        <stp>79740.T</stp>
        <stp>安値</stp>
        <tr r="P962" s="7"/>
      </tp>
      <tp>
        <v>987</v>
        <stp/>
        <stp>Market</stp>
        <stp>STOCK</stp>
        <stp>72940.T</stp>
        <stp>安値</stp>
        <tr r="P872" s="7"/>
      </tp>
      <tp>
        <v>603</v>
        <stp/>
        <stp>Market</stp>
        <stp>STOCK</stp>
        <stp>72540.T</stp>
        <stp>安値</stp>
        <tr r="P861" s="7"/>
      </tp>
      <tp>
        <v>1257</v>
        <stp/>
        <stp>Market</stp>
        <stp>STOCK</stp>
        <stp>72140.T</stp>
        <stp>安値</stp>
        <tr r="P851" s="7"/>
      </tp>
      <tp>
        <v>1834</v>
        <stp/>
        <stp>Market</stp>
        <stp>STOCK</stp>
        <stp>73840.T</stp>
        <stp>安値</stp>
        <tr r="P885" s="7"/>
      </tp>
      <tp>
        <v>311</v>
        <stp/>
        <stp>Market</stp>
        <stp>STOCK</stp>
        <stp>70440.T</stp>
        <stp>安値</stp>
        <tr r="P814" s="7"/>
      </tp>
      <tp>
        <v>253</v>
        <stp/>
        <stp>Market</stp>
        <stp>STOCK</stp>
        <stp>70740.T</stp>
        <stp>安値</stp>
        <tr r="P823" s="7"/>
      </tp>
      <tp>
        <v>1293</v>
        <stp/>
        <stp>Market</stp>
        <stp>STOCK</stp>
        <stp>70140.T</stp>
        <stp>安値</stp>
        <tr r="P809" s="7"/>
      </tp>
      <tp>
        <v>980</v>
        <stp/>
        <stp>Market</stp>
        <stp>STOCK</stp>
        <stp>70040.T</stp>
        <stp>安値</stp>
        <tr r="P805" s="7"/>
      </tp>
      <tp>
        <v>842</v>
        <stp/>
        <stp>Market</stp>
        <stp>STOCK</stp>
        <stp>71840.T</stp>
        <stp>安値</stp>
        <tr r="P841" s="7"/>
      </tp>
      <tp>
        <v>144</v>
        <stp/>
        <stp>Market</stp>
        <stp>STOCK</stp>
        <stp>76240.T</stp>
        <stp>安値</stp>
        <tr r="P916" s="7"/>
      </tp>
      <tp>
        <v>1437</v>
        <stp/>
        <stp>Market</stp>
        <stp>STOCK</stp>
        <stp>77940.T</stp>
        <stp>安値</stp>
        <tr r="P936" s="7"/>
      </tp>
      <tp>
        <v>421</v>
        <stp/>
        <stp>Market</stp>
        <stp>STOCK</stp>
        <stp>74940.T</stp>
        <stp>安値</stp>
        <tr r="P894" s="7"/>
      </tp>
      <tp>
        <v>428</v>
        <stp/>
        <stp>Market</stp>
        <stp>STOCK</stp>
        <stp>75440.T</stp>
        <stp>安値</stp>
        <tr r="P903" s="7"/>
      </tp>
      <tp>
        <v>935</v>
        <stp/>
        <stp>Market</stp>
        <stp>STOCK</stp>
        <stp>75140.T</stp>
        <stp>安値</stp>
        <tr r="P898" s="7"/>
      </tp>
      <tp t="s">
        <v>表示銘柄数超過</v>
        <stp/>
        <stp>Market</stp>
        <stp>STOCK</stp>
        <stp>48140.T</stp>
        <stp>安値</stp>
        <tr r="P537" s="7"/>
      </tp>
      <tp t="s">
        <v>表示銘柄数超過</v>
        <stp/>
        <stp>Market</stp>
        <stp>STOCK</stp>
        <stp>48240.T</stp>
        <stp>安値</stp>
        <tr r="P539" s="7"/>
      </tp>
      <tp t="s">
        <v>表示銘柄数超過</v>
        <stp/>
        <stp>Market</stp>
        <stp>STOCK</stp>
        <stp>42740.T</stp>
        <stp>安値</stp>
        <tr r="P435" s="7"/>
      </tp>
      <tp t="s">
        <v>表示銘柄数超過</v>
        <stp/>
        <stp>Market</stp>
        <stp>STOCK</stp>
        <stp>42640.T</stp>
        <stp>安値</stp>
        <tr r="P433" s="7"/>
      </tp>
      <tp t="s">
        <v>表示銘柄数超過</v>
        <stp/>
        <stp>Market</stp>
        <stp>STOCK</stp>
        <stp>43740.T</stp>
        <stp>安値</stp>
        <tr r="P451" s="7"/>
      </tp>
      <tp t="s">
        <v>表示銘柄数超過</v>
        <stp/>
        <stp>Market</stp>
        <stp>STOCK</stp>
        <stp>43040.T</stp>
        <stp>安値</stp>
        <tr r="P440" s="7"/>
      </tp>
      <tp t="s">
        <v>表示銘柄数超過</v>
        <stp/>
        <stp>Market</stp>
        <stp>STOCK</stp>
        <stp>43240.T</stp>
        <stp>安値</stp>
        <tr r="P443" s="7"/>
      </tp>
      <tp t="s">
        <v>表示銘柄数超過</v>
        <stp/>
        <stp>Market</stp>
        <stp>STOCK</stp>
        <stp>40040.T</stp>
        <stp>安値</stp>
        <tr r="P410" s="7"/>
      </tp>
      <tp t="s">
        <v>表示銘柄数超過</v>
        <stp/>
        <stp>Market</stp>
        <stp>STOCK</stp>
        <stp>46640.T</stp>
        <stp>安値</stp>
        <tr r="P515" s="7"/>
      </tp>
      <tp t="s">
        <v>表示銘柄数超過</v>
        <stp/>
        <stp>Market</stp>
        <stp>STOCK</stp>
        <stp>47840.T</stp>
        <stp>安値</stp>
        <tr r="P535" s="7"/>
      </tp>
      <tp t="s">
        <v>表示銘柄数超過</v>
        <stp/>
        <stp>Market</stp>
        <stp>STOCK</stp>
        <stp>47140.T</stp>
        <stp>安値</stp>
        <tr r="P524" s="7"/>
      </tp>
      <tp t="s">
        <v>表示銘柄数超過</v>
        <stp/>
        <stp>Market</stp>
        <stp>STOCK</stp>
        <stp>44840.T</stp>
        <stp>安値</stp>
        <tr r="P475" s="7"/>
      </tp>
      <tp t="s">
        <v>表示銘柄数超過</v>
        <stp/>
        <stp>Market</stp>
        <stp>STOCK</stp>
        <stp>44440.T</stp>
        <stp>安値</stp>
        <tr r="P467" s="7"/>
      </tp>
      <tp t="s">
        <v>表示銘柄数超過</v>
        <stp/>
        <stp>Market</stp>
        <stp>STOCK</stp>
        <stp>44140.T</stp>
        <stp>安値</stp>
        <tr r="P460" s="7"/>
      </tp>
      <tp t="s">
        <v>表示銘柄数超過</v>
        <stp/>
        <stp>Market</stp>
        <stp>STOCK</stp>
        <stp>45940.T</stp>
        <stp>安値</stp>
        <tr r="P505" s="7"/>
      </tp>
      <tp t="s">
        <v>表示銘柄数超過</v>
        <stp/>
        <stp>Market</stp>
        <stp>STOCK</stp>
        <stp>45840.T</stp>
        <stp>安値</stp>
        <tr r="P499" s="7"/>
      </tp>
      <tp t="s">
        <v>表示銘柄数超過</v>
        <stp/>
        <stp>Market</stp>
        <stp>STOCK</stp>
        <stp>45540.T</stp>
        <stp>安値</stp>
        <tr r="P484" s="7"/>
      </tp>
      <tp t="s">
        <v>表示銘柄数超過</v>
        <stp/>
        <stp>Market</stp>
        <stp>STOCK</stp>
        <stp>45740.T</stp>
        <stp>安値</stp>
        <tr r="P493" s="7"/>
      </tp>
      <tp t="s">
        <v>表示銘柄数超過</v>
        <stp/>
        <stp>Market</stp>
        <stp>STOCK</stp>
        <stp>45640.T</stp>
        <stp>安値</stp>
        <tr r="P487" s="7"/>
      </tp>
      <tp>
        <v>1106</v>
        <stp/>
        <stp>Market</stp>
        <stp>STOCK</stp>
        <stp>59940.T</stp>
        <stp>安値</stp>
        <tr r="P634" s="7"/>
      </tp>
      <tp>
        <v>340</v>
        <stp/>
        <stp>Market</stp>
        <stp>STOCK</stp>
        <stp>52440.T</stp>
        <stp>安値</stp>
        <tr r="P578" s="7"/>
      </tp>
      <tp>
        <v>3475</v>
        <stp/>
        <stp>Market</stp>
        <stp>STOCK</stp>
        <stp>52040.T</stp>
        <stp>安値</stp>
        <tr r="P575" s="7"/>
      </tp>
      <tp>
        <v>4054</v>
        <stp/>
        <stp>Market</stp>
        <stp>STOCK</stp>
        <stp>53340.T</stp>
        <stp>安値</stp>
        <tr r="P586" s="7"/>
      </tp>
      <tp t="s">
        <v>表示銘柄数超過</v>
        <stp/>
        <stp>Market</stp>
        <stp>STOCK</stp>
        <stp>50740.T</stp>
        <stp>安値</stp>
        <tr r="P566" s="7"/>
      </tp>
      <tp>
        <v>1298</v>
        <stp/>
        <stp>Market</stp>
        <stp>STOCK</stp>
        <stp>57040.T</stp>
        <stp>安値</stp>
        <tr r="P606" s="7"/>
      </tp>
      <tp t="s">
        <v>表示銘柄数超過</v>
        <stp/>
        <stp>Market</stp>
        <stp>STOCK</stp>
        <stp>28940.T</stp>
        <stp>安値</stp>
        <tr r="P212" s="7"/>
      </tp>
      <tp>
        <v>3904</v>
        <stp/>
        <stp>Market</stp>
        <stp>STOCK</stp>
        <stp>29140.T</stp>
        <stp>安値</stp>
        <tr r="P214" s="7"/>
      </tp>
      <tp t="s">
        <v>表示銘柄数超過</v>
        <stp/>
        <stp>Market</stp>
        <stp>STOCK</stp>
        <stp>23540.T</stp>
        <stp>安値</stp>
        <tr r="P125" s="7"/>
      </tp>
      <tp t="s">
        <v>表示銘柄数超過</v>
        <stp/>
        <stp>Market</stp>
        <stp>STOCK</stp>
        <stp>23440.T</stp>
        <stp>安値</stp>
        <tr r="P121" s="7"/>
      </tp>
      <tp t="s">
        <v>表示銘柄数超過</v>
        <stp/>
        <stp>Market</stp>
        <stp>STOCK</stp>
        <stp>23040.T</stp>
        <stp>安値</stp>
        <tr r="P111" s="7"/>
      </tp>
      <tp t="s">
        <v>表示銘柄数超過</v>
        <stp/>
        <stp>Market</stp>
        <stp>STOCK</stp>
        <stp>21540.T</stp>
        <stp>安値</stp>
        <tr r="P96" s="7"/>
      </tp>
      <tp t="s">
        <v>表示銘柄数超過</v>
        <stp/>
        <stp>Market</stp>
        <stp>STOCK</stp>
        <stp>21640.T</stp>
        <stp>安値</stp>
        <tr r="P100" s="7"/>
      </tp>
      <tp t="s">
        <v>表示銘柄数超過</v>
        <stp/>
        <stp>Market</stp>
        <stp>STOCK</stp>
        <stp>21140.T</stp>
        <stp>安値</stp>
        <tr r="P89" s="7"/>
      </tp>
      <tp t="s">
        <v>表示銘柄数超過</v>
        <stp/>
        <stp>Market</stp>
        <stp>STOCK</stp>
        <stp>21340.T</stp>
        <stp>安値</stp>
        <tr r="P92" s="7"/>
      </tp>
      <tp t="s">
        <v>表示銘柄数超過</v>
        <stp/>
        <stp>Market</stp>
        <stp>STOCK</stp>
        <stp>26940.T</stp>
        <stp>安値</stp>
        <tr r="P184" s="7"/>
      </tp>
      <tp t="s">
        <v>表示銘柄数超過</v>
        <stp/>
        <stp>Market</stp>
        <stp>STOCK</stp>
        <stp>26740.T</stp>
        <stp>安値</stp>
        <tr r="P179" s="7"/>
      </tp>
      <tp t="s">
        <v>表示銘柄数超過</v>
        <stp/>
        <stp>Market</stp>
        <stp>STOCK</stp>
        <stp>26340.T</stp>
        <stp>安値</stp>
        <tr r="P173" s="7"/>
      </tp>
      <tp t="s">
        <v>表示銘柄数超過</v>
        <stp/>
        <stp>Market</stp>
        <stp>STOCK</stp>
        <stp>26240.T</stp>
        <stp>安値</stp>
        <tr r="P171" s="7"/>
      </tp>
      <tp t="s">
        <v>表示銘柄数超過</v>
        <stp/>
        <stp>Market</stp>
        <stp>STOCK</stp>
        <stp>27640.T</stp>
        <stp>安値</stp>
        <tr r="P194" s="7"/>
      </tp>
      <tp t="s">
        <v>表示銘柄数超過</v>
        <stp/>
        <stp>Market</stp>
        <stp>STOCK</stp>
        <stp>27340.T</stp>
        <stp>安値</stp>
        <tr r="P189" s="7"/>
      </tp>
      <tp t="s">
        <v>表示銘柄数超過</v>
        <stp/>
        <stp>Market</stp>
        <stp>STOCK</stp>
        <stp>24840.T</stp>
        <stp>安値</stp>
        <tr r="P152" s="7"/>
      </tp>
      <tp t="s">
        <v>表示銘柄数超過</v>
        <stp/>
        <stp>Market</stp>
        <stp>STOCK</stp>
        <stp>24040.T</stp>
        <stp>安値</stp>
        <tr r="P133" s="7"/>
      </tp>
      <tp t="s">
        <v>表示銘柄数超過</v>
        <stp/>
        <stp>Market</stp>
        <stp>STOCK</stp>
        <stp>38640.T</stp>
        <stp>安値</stp>
        <tr r="P381" s="7"/>
      </tp>
      <tp t="s">
        <v>表示銘柄数超過</v>
        <stp/>
        <stp>Market</stp>
        <stp>STOCK</stp>
        <stp>38140.T</stp>
        <stp>安値</stp>
        <tr r="P363" s="7"/>
      </tp>
      <tp t="s">
        <v>表示銘柄数超過</v>
        <stp/>
        <stp>Market</stp>
        <stp>STOCK</stp>
        <stp>39340.T</stp>
        <stp>安値</stp>
        <tr r="P396" s="7"/>
      </tp>
      <tp t="s">
        <v>表示銘柄数超過</v>
        <stp/>
        <stp>Market</stp>
        <stp>STOCK</stp>
        <stp>32840.T</stp>
        <stp>安値</stp>
        <tr r="P269" s="7"/>
      </tp>
      <tp t="s">
        <v>表示銘柄数超過</v>
        <stp/>
        <stp>Market</stp>
        <stp>STOCK</stp>
        <stp>32440.T</stp>
        <stp>安値</stp>
        <tr r="P264" s="7"/>
      </tp>
      <tp t="s">
        <v>表示銘柄数超過</v>
        <stp/>
        <stp>Market</stp>
        <stp>STOCK</stp>
        <stp>32640.T</stp>
        <stp>安値</stp>
        <tr r="P266" s="7"/>
      </tp>
      <tp t="s">
        <v>表示銘柄数超過</v>
        <stp/>
        <stp>Market</stp>
        <stp>STOCK</stp>
        <stp>30640.T</stp>
        <stp>安値</stp>
        <tr r="P234" s="7"/>
      </tp>
      <tp t="s">
        <v>表示銘柄数超過</v>
        <stp/>
        <stp>Market</stp>
        <stp>STOCK</stp>
        <stp>30040.T</stp>
        <stp>安値</stp>
        <tr r="P222" s="7"/>
      </tp>
      <tp t="s">
        <v>表示銘柄数超過</v>
        <stp/>
        <stp>Market</stp>
        <stp>STOCK</stp>
        <stp>30340.T</stp>
        <stp>安値</stp>
        <tr r="P227" s="7"/>
      </tp>
      <tp t="s">
        <v>表示銘柄数超過</v>
        <stp/>
        <stp>Market</stp>
        <stp>STOCK</stp>
        <stp>31540.T</stp>
        <stp>安値</stp>
        <tr r="P248" s="7"/>
      </tp>
      <tp t="s">
        <v>表示銘柄数超過</v>
        <stp/>
        <stp>Market</stp>
        <stp>STOCK</stp>
        <stp>36740.T</stp>
        <stp>安値</stp>
        <tr r="P333" s="7"/>
      </tp>
      <tp t="s">
        <v>表示銘柄数超過</v>
        <stp/>
        <stp>Market</stp>
        <stp>STOCK</stp>
        <stp>36640.T</stp>
        <stp>安値</stp>
        <tr r="P327" s="7"/>
      </tp>
      <tp t="s">
        <v>表示銘柄数超過</v>
        <stp/>
        <stp>Market</stp>
        <stp>STOCK</stp>
        <stp>36240.T</stp>
        <stp>安値</stp>
        <tr r="P312" s="7"/>
      </tp>
      <tp t="s">
        <v>表示銘柄数超過</v>
        <stp/>
        <stp>Market</stp>
        <stp>STOCK</stp>
        <stp>37840.T</stp>
        <stp>安値</stp>
        <tr r="P359" s="7"/>
      </tp>
      <tp t="s">
        <v>表示銘柄数超過</v>
        <stp/>
        <stp>Market</stp>
        <stp>STOCK</stp>
        <stp>34540.T</stp>
        <stp>安値</stp>
        <tr r="P300" s="7"/>
      </tp>
      <tp t="s">
        <v>表示銘柄数超過</v>
        <stp/>
        <stp>Market</stp>
        <stp>STOCK</stp>
        <stp>34640.T</stp>
        <stp>安値</stp>
        <tr r="P302" s="7"/>
      </tp>
      <tp t="s">
        <v>表示銘柄数超過</v>
        <stp/>
        <stp>Market</stp>
        <stp>STOCK</stp>
        <stp>18440.T</stp>
        <stp>安値</stp>
        <tr r="P66" s="7"/>
      </tp>
      <tp t="s">
        <v>表示銘柄数超過</v>
        <stp/>
        <stp>Market</stp>
        <stp>STOCK</stp>
        <stp>19940.T</stp>
        <stp>安値</stp>
        <tr r="P86" s="7"/>
      </tp>
      <tp t="s">
        <v>表示銘柄数超過</v>
        <stp/>
        <stp>Market</stp>
        <stp>STOCK</stp>
        <stp>19140.T</stp>
        <stp>安値</stp>
        <tr r="P73" s="7"/>
      </tp>
      <tp t="s">
        <v>表示銘柄数超過</v>
        <stp/>
        <stp>Market</stp>
        <stp>STOCK</stp>
        <stp>15140.T</stp>
        <stp>安値</stp>
        <tr r="P30" s="7"/>
      </tp>
      <tp t="s">
        <v>表示銘柄数超過</v>
        <stp/>
        <stp>Market</stp>
        <stp>STOCK</stp>
        <stp>89450.T</stp>
        <stp>始値</stp>
        <tr r="L1070" s="7"/>
      </tp>
      <tp t="s">
        <v>表示銘柄数超過</v>
        <stp/>
        <stp>Market</stp>
        <stp>STOCK</stp>
        <stp>89050.T</stp>
        <stp>始値</stp>
        <tr r="L1062" s="7"/>
      </tp>
      <tp t="s">
        <v>表示銘柄数超過</v>
        <stp/>
        <stp>Market</stp>
        <stp>STOCK</stp>
        <stp>89250.T</stp>
        <stp>始値</stp>
        <tr r="L1066" s="7"/>
      </tp>
      <tp>
        <v>473</v>
        <stp/>
        <stp>Market</stp>
        <stp>STOCK</stp>
        <stp>80950.T</stp>
        <stp>始値</stp>
        <tr r="L975" s="7"/>
      </tp>
      <tp>
        <v>966</v>
        <stp/>
        <stp>Market</stp>
        <stp>STOCK</stp>
        <stp>80050.T</stp>
        <stp>始値</stp>
        <tr r="L965" s="7"/>
      </tp>
      <tp>
        <v>49</v>
        <stp/>
        <stp>Market</stp>
        <stp>STOCK</stp>
        <stp>81050.T</stp>
        <stp>始値</stp>
        <tr r="L978" s="7"/>
      </tp>
      <tp>
        <v>320</v>
        <stp/>
        <stp>Market</stp>
        <stp>STOCK</stp>
        <stp>81350.T</stp>
        <stp>始値</stp>
        <tr r="L981" s="7"/>
      </tp>
      <tp>
        <v>182</v>
        <stp/>
        <stp>Market</stp>
        <stp>STOCK</stp>
        <stp>87050.T</stp>
        <stp>始値</stp>
        <tr r="L1037" s="7"/>
      </tp>
      <tp>
        <v>1067</v>
        <stp/>
        <stp>Market</stp>
        <stp>STOCK</stp>
        <stp>85850.T</stp>
        <stp>始値</stp>
        <tr r="L1022" s="7"/>
      </tp>
      <tp>
        <v>385</v>
        <stp/>
        <stp>Market</stp>
        <stp>STOCK</stp>
        <stp>85150.T</stp>
        <stp>始値</stp>
        <tr r="L1016" s="7"/>
      </tp>
      <tp t="s">
        <v>表示銘柄数超過</v>
        <stp/>
        <stp>Market</stp>
        <stp>STOCK</stp>
        <stp>99950.T</stp>
        <stp>始値</stp>
        <tr r="L1191" s="7"/>
      </tp>
      <tp t="s">
        <v>表示銘柄数超過</v>
        <stp/>
        <stp>Market</stp>
        <stp>STOCK</stp>
        <stp>93250.T</stp>
        <stp>始値</stp>
        <tr r="L1110" s="7"/>
      </tp>
      <tp t="s">
        <v>表示銘柄数超過</v>
        <stp/>
        <stp>Market</stp>
        <stp>STOCK</stp>
        <stp>90050.T</stp>
        <stp>始値</stp>
        <tr r="L1075" s="7"/>
      </tp>
      <tp t="s">
        <v>表示銘柄数超過</v>
        <stp/>
        <stp>Market</stp>
        <stp>STOCK</stp>
        <stp>91150.T</stp>
        <stp>始値</stp>
        <tr r="L1096" s="7"/>
      </tp>
      <tp t="s">
        <v>表示銘柄数超過</v>
        <stp/>
        <stp>Market</stp>
        <stp>STOCK</stp>
        <stp>97650.T</stp>
        <stp>始値</stp>
        <tr r="L1165" s="7"/>
      </tp>
      <tp t="s">
        <v>表示銘柄数超過</v>
        <stp/>
        <stp>Market</stp>
        <stp>STOCK</stp>
        <stp>94750.T</stp>
        <stp>始値</stp>
        <tr r="L1137" s="7"/>
      </tp>
      <tp t="s">
        <v>表示銘柄数超過</v>
        <stp/>
        <stp>Market</stp>
        <stp>STOCK</stp>
        <stp>94050.T</stp>
        <stp>始値</stp>
        <tr r="L1116" s="7"/>
      </tp>
      <tp t="s">
        <v>表示銘柄数超過</v>
        <stp/>
        <stp>Market</stp>
        <stp>STOCK</stp>
        <stp>94250.T</stp>
        <stp>始値</stp>
        <tr r="L1126" s="7"/>
      </tp>
      <tp t="s">
        <v>表示銘柄数超過</v>
        <stp/>
        <stp>Market</stp>
        <stp>STOCK</stp>
        <stp>95050.T</stp>
        <stp>始値</stp>
        <tr r="L1144" s="7"/>
      </tp>
      <tp t="s">
        <v>表示銘柄数超過</v>
        <stp/>
        <stp>Market</stp>
        <stp>STOCK</stp>
        <stp>42750.T</stp>
        <stp>始値</stp>
        <tr r="L436" s="7"/>
      </tp>
      <tp t="s">
        <v>表示銘柄数超過</v>
        <stp/>
        <stp>Market</stp>
        <stp>STOCK</stp>
        <stp>43950.T</stp>
        <stp>始値</stp>
        <tr r="L458" s="7"/>
      </tp>
      <tp t="s">
        <v>表示銘柄数超過</v>
        <stp/>
        <stp>Market</stp>
        <stp>STOCK</stp>
        <stp>43850.T</stp>
        <stp>始値</stp>
        <tr r="L456" s="7"/>
      </tp>
      <tp t="s">
        <v>表示銘柄数超過</v>
        <stp/>
        <stp>Market</stp>
        <stp>STOCK</stp>
        <stp>43550.T</stp>
        <stp>始値</stp>
        <tr r="L448" s="7"/>
      </tp>
      <tp t="s">
        <v>表示銘柄数超過</v>
        <stp/>
        <stp>Market</stp>
        <stp>STOCK</stp>
        <stp>40750.T</stp>
        <stp>始値</stp>
        <tr r="L416" s="7"/>
      </tp>
      <tp t="s">
        <v>表示銘柄数超過</v>
        <stp/>
        <stp>Market</stp>
        <stp>STOCK</stp>
        <stp>41850.T</stp>
        <stp>始値</stp>
        <tr r="L422" s="7"/>
      </tp>
      <tp t="s">
        <v>表示銘柄数超過</v>
        <stp/>
        <stp>Market</stp>
        <stp>STOCK</stp>
        <stp>41650.T</stp>
        <stp>始値</stp>
        <tr r="L417" s="7"/>
      </tp>
      <tp t="s">
        <v>表示銘柄数超過</v>
        <stp/>
        <stp>Market</stp>
        <stp>STOCK</stp>
        <stp>47550.T</stp>
        <stp>始値</stp>
        <tr r="L529" s="7"/>
      </tp>
      <tp t="s">
        <v>表示銘柄数超過</v>
        <stp/>
        <stp>Market</stp>
        <stp>STOCK</stp>
        <stp>47050.T</stp>
        <stp>始値</stp>
        <tr r="L522" s="7"/>
      </tp>
      <tp t="s">
        <v>表示銘柄数超過</v>
        <stp/>
        <stp>Market</stp>
        <stp>STOCK</stp>
        <stp>44950.T</stp>
        <stp>始値</stp>
        <tr r="L478" s="7"/>
      </tp>
      <tp t="s">
        <v>表示銘柄数超過</v>
        <stp/>
        <stp>Market</stp>
        <stp>STOCK</stp>
        <stp>44750.T</stp>
        <stp>始値</stp>
        <tr r="L471" s="7"/>
      </tp>
      <tp t="s">
        <v>表示銘柄数超過</v>
        <stp/>
        <stp>Market</stp>
        <stp>STOCK</stp>
        <stp>45750.T</stp>
        <stp>始値</stp>
        <tr r="L494" s="7"/>
      </tp>
      <tp t="s">
        <v>表示銘柄数超過</v>
        <stp/>
        <stp>Market</stp>
        <stp>STOCK</stp>
        <stp>45650.T</stp>
        <stp>始値</stp>
        <tr r="L488" s="7"/>
      </tp>
      <tp>
        <v>80</v>
        <stp/>
        <stp>Market</stp>
        <stp>STOCK</stp>
        <stp>59550.T</stp>
        <stp>始値</stp>
        <tr r="L627" s="7"/>
      </tp>
      <tp>
        <v>1323</v>
        <stp/>
        <stp>Market</stp>
        <stp>STOCK</stp>
        <stp>52850.T</stp>
        <stp>始値</stp>
        <tr r="L584" s="7"/>
      </tp>
      <tp t="s">
        <v>表示銘柄数超過</v>
        <stp/>
        <stp>Market</stp>
        <stp>STOCK</stp>
        <stp>50150.T</stp>
        <stp>始値</stp>
        <tr r="L559" s="7"/>
      </tp>
      <tp>
        <v>113</v>
        <stp/>
        <stp>Market</stp>
        <stp>STOCK</stp>
        <stp>68350.T</stp>
        <stp>始値</stp>
        <tr r="L776" s="7"/>
      </tp>
      <tp>
        <v>666</v>
        <stp/>
        <stp>Market</stp>
        <stp>STOCK</stp>
        <stp>69550.T</stp>
        <stp>始値</stp>
        <tr r="L795" s="7"/>
      </tp>
      <tp>
        <v>1460</v>
        <stp/>
        <stp>Market</stp>
        <stp>STOCK</stp>
        <stp>69050.T</stp>
        <stp>始値</stp>
        <tr r="L785" s="7"/>
      </tp>
      <tp>
        <v>632</v>
        <stp/>
        <stp>Market</stp>
        <stp>STOCK</stp>
        <stp>62550.T</stp>
        <stp>始値</stp>
        <tr r="L682" s="7"/>
      </tp>
      <tp>
        <v>1176</v>
        <stp/>
        <stp>Market</stp>
        <stp>STOCK</stp>
        <stp>63950.T</stp>
        <stp>始値</stp>
        <tr r="L699" s="7"/>
      </tp>
      <tp>
        <v>4187</v>
        <stp/>
        <stp>Market</stp>
        <stp>STOCK</stp>
        <stp>63050.T</stp>
        <stp>始値</stp>
        <tr r="L687" s="7"/>
      </tp>
      <tp>
        <v>1271</v>
        <stp/>
        <stp>Market</stp>
        <stp>STOCK</stp>
        <stp>60350.T</stp>
        <stp>始値</stp>
        <tr r="L640" s="7"/>
      </tp>
      <tp>
        <v>260</v>
        <stp/>
        <stp>Market</stp>
        <stp>STOCK</stp>
        <stp>61950.T</stp>
        <stp>始値</stp>
        <tr r="L676" s="7"/>
      </tp>
      <tp>
        <v>330</v>
        <stp/>
        <stp>Market</stp>
        <stp>STOCK</stp>
        <stp>61850.T</stp>
        <stp>始値</stp>
        <tr r="L670" s="7"/>
      </tp>
      <tp>
        <v>429</v>
        <stp/>
        <stp>Market</stp>
        <stp>STOCK</stp>
        <stp>61650.T</stp>
        <stp>始値</stp>
        <tr r="L660" s="7"/>
      </tp>
      <tp>
        <v>509</v>
        <stp/>
        <stp>Market</stp>
        <stp>STOCK</stp>
        <stp>66350.T</stp>
        <stp>始値</stp>
        <tr r="L744" s="7"/>
      </tp>
      <tp>
        <v>328</v>
        <stp/>
        <stp>Market</stp>
        <stp>STOCK</stp>
        <stp>66250.T</stp>
        <stp>始値</stp>
        <tr r="L739" s="7"/>
      </tp>
      <tp>
        <v>194</v>
        <stp/>
        <stp>Market</stp>
        <stp>STOCK</stp>
        <stp>67750.T</stp>
        <stp>始値</stp>
        <tr r="L770" s="7"/>
      </tp>
      <tp>
        <v>120</v>
        <stp/>
        <stp>Market</stp>
        <stp>STOCK</stp>
        <stp>64950.T</stp>
        <stp>始値</stp>
        <tr r="L711" s="7"/>
      </tp>
      <tp>
        <v>591</v>
        <stp/>
        <stp>Market</stp>
        <stp>STOCK</stp>
        <stp>65550.T</stp>
        <stp>始値</stp>
        <tr r="L726" s="7"/>
      </tp>
      <tp>
        <v>386</v>
        <stp/>
        <stp>Market</stp>
        <stp>STOCK</stp>
        <stp>65450.T</stp>
        <stp>始値</stp>
        <tr r="L722" s="7"/>
      </tp>
      <tp>
        <v>642</v>
        <stp/>
        <stp>Market</stp>
        <stp>STOCK</stp>
        <stp>78050.T</stp>
        <stp>始値</stp>
        <tr r="L939" s="7"/>
      </tp>
      <tp>
        <v>764</v>
        <stp/>
        <stp>Market</stp>
        <stp>STOCK</stp>
        <stp>79550.T</stp>
        <stp>始値</stp>
        <tr r="L959" s="7"/>
      </tp>
      <tp>
        <v>561</v>
        <stp/>
        <stp>Market</stp>
        <stp>STOCK</stp>
        <stp>72450.T</stp>
        <stp>始値</stp>
        <tr r="L858" s="7"/>
      </tp>
      <tp>
        <v>462</v>
        <stp/>
        <stp>Market</stp>
        <stp>STOCK</stp>
        <stp>72050.T</stp>
        <stp>始値</stp>
        <tr r="L847" s="7"/>
      </tp>
      <tp>
        <v>754</v>
        <stp/>
        <stp>Market</stp>
        <stp>STOCK</stp>
        <stp>72350.T</stp>
        <stp>始値</stp>
        <tr r="L854" s="7"/>
      </tp>
      <tp>
        <v>1127</v>
        <stp/>
        <stp>Market</stp>
        <stp>STOCK</stp>
        <stp>71750.T</stp>
        <stp>始値</stp>
        <tr r="L836" s="7"/>
      </tp>
      <tp>
        <v>168</v>
        <stp/>
        <stp>Market</stp>
        <stp>STOCK</stp>
        <stp>71350.T</stp>
        <stp>始値</stp>
        <tr r="L829" s="7"/>
      </tp>
      <tp>
        <v>145</v>
        <stp/>
        <stp>Market</stp>
        <stp>STOCK</stp>
        <stp>76150.T</stp>
        <stp>始値</stp>
        <tr r="L913" s="7"/>
      </tp>
      <tp>
        <v>1742</v>
        <stp/>
        <stp>Market</stp>
        <stp>STOCK</stp>
        <stp>76050.T</stp>
        <stp>始値</stp>
        <tr r="L911" s="7"/>
      </tp>
      <tp>
        <v>197</v>
        <stp/>
        <stp>Market</stp>
        <stp>STOCK</stp>
        <stp>77950.T</stp>
        <stp>始値</stp>
        <tr r="L937" s="7"/>
      </tp>
      <tp>
        <v>2080</v>
        <stp/>
        <stp>Market</stp>
        <stp>STOCK</stp>
        <stp>77450.T</stp>
        <stp>始値</stp>
        <tr r="L927" s="7"/>
      </tp>
      <tp>
        <v>1130</v>
        <stp/>
        <stp>Market</stp>
        <stp>STOCK</stp>
        <stp>77250.T</stp>
        <stp>始値</stp>
        <tr r="L924" s="7"/>
      </tp>
      <tp>
        <v>522</v>
        <stp/>
        <stp>Market</stp>
        <stp>STOCK</stp>
        <stp>74550.T</stp>
        <stp>始値</stp>
        <tr r="L891" s="7"/>
      </tp>
      <tp>
        <v>417</v>
        <stp/>
        <stp>Market</stp>
        <stp>STOCK</stp>
        <stp>74450.T</stp>
        <stp>始値</stp>
        <tr r="L889" s="7"/>
      </tp>
      <tp>
        <v>393</v>
        <stp/>
        <stp>Market</stp>
        <stp>STOCK</stp>
        <stp>75850.T</stp>
        <stp>始値</stp>
        <tr r="L906" s="7"/>
      </tp>
      <tp>
        <v>1441</v>
        <stp/>
        <stp>Market</stp>
        <stp>STOCK</stp>
        <stp>75050.T</stp>
        <stp>始値</stp>
        <tr r="L895" s="7"/>
      </tp>
      <tp t="s">
        <v>表示銘柄数超過</v>
        <stp/>
        <stp>Market</stp>
        <stp>STOCK</stp>
        <stp>18150.T</stp>
        <stp>始値</stp>
        <tr r="L61" s="7"/>
      </tp>
      <tp t="s">
        <v>表示銘柄数超過</v>
        <stp/>
        <stp>Market</stp>
        <stp>STOCK</stp>
        <stp>18050.T</stp>
        <stp>始値</stp>
        <tr r="L59" s="7"/>
      </tp>
      <tp t="s">
        <v>表示銘柄数超過</v>
        <stp/>
        <stp>Market</stp>
        <stp>STOCK</stp>
        <stp>19650.T</stp>
        <stp>始値</stp>
        <tr r="L83" s="7"/>
      </tp>
      <tp t="s">
        <v>表示銘柄数超過</v>
        <stp/>
        <stp>Market</stp>
        <stp>STOCK</stp>
        <stp>19250.T</stp>
        <stp>始値</stp>
        <tr r="L74" s="7"/>
      </tp>
      <tp t="s">
        <v>表示銘柄数超過</v>
        <stp/>
        <stp>Market</stp>
        <stp>STOCK</stp>
        <stp>13450.T</stp>
        <stp>始値</stp>
        <tr r="L10" s="7"/>
      </tp>
      <tp t="s">
        <v>表示銘柄数超過</v>
        <stp/>
        <stp>Market</stp>
        <stp>STOCK</stp>
        <stp>13050.T</stp>
        <stp>始値</stp>
        <tr r="L2" s="7"/>
      </tp>
      <tp t="s">
        <v>表示銘柄数超過</v>
        <stp/>
        <stp>Market</stp>
        <stp>STOCK</stp>
        <stp>13250.T</stp>
        <stp>始値</stp>
        <tr r="L7" s="7"/>
      </tp>
      <tp t="s">
        <v>表示銘柄数超過</v>
        <stp/>
        <stp>Market</stp>
        <stp>STOCK</stp>
        <stp>16550.T</stp>
        <stp>始値</stp>
        <tr r="L39" s="7"/>
      </tp>
      <tp t="s">
        <v>表示銘柄数超過</v>
        <stp/>
        <stp>Market</stp>
        <stp>STOCK</stp>
        <stp>16150.T</stp>
        <stp>始値</stp>
        <tr r="L38" s="7"/>
      </tp>
      <tp t="s">
        <v>表示銘柄数超過</v>
        <stp/>
        <stp>Market</stp>
        <stp>STOCK</stp>
        <stp>16050.T</stp>
        <stp>始値</stp>
        <tr r="L37" s="7"/>
      </tp>
      <tp t="s">
        <v>表示銘柄数超過</v>
        <stp/>
        <stp>Market</stp>
        <stp>STOCK</stp>
        <stp>14350.T</stp>
        <stp>始値</stp>
        <tr r="L23" s="7"/>
      </tp>
      <tp t="s">
        <v>表示銘柄数超過</v>
        <stp/>
        <stp>Market</stp>
        <stp>STOCK</stp>
        <stp>28450.T</stp>
        <stp>始値</stp>
        <tr r="L202" s="7"/>
      </tp>
      <tp t="s">
        <v>表示銘柄数超過</v>
        <stp/>
        <stp>Market</stp>
        <stp>STOCK</stp>
        <stp>28750.T</stp>
        <stp>始値</stp>
        <tr r="L211" s="7"/>
      </tp>
      <tp t="s">
        <v>表示銘柄数超過</v>
        <stp/>
        <stp>Market</stp>
        <stp>STOCK</stp>
        <stp>28650.T</stp>
        <stp>始値</stp>
        <tr r="L209" s="7"/>
      </tp>
      <tp t="s">
        <v>表示銘柄数超過</v>
        <stp/>
        <stp>Market</stp>
        <stp>STOCK</stp>
        <stp>22350.T</stp>
        <stp>始値</stp>
        <tr r="L105" s="7"/>
      </tp>
      <tp t="s">
        <v>表示銘柄数超過</v>
        <stp/>
        <stp>Market</stp>
        <stp>STOCK</stp>
        <stp>23450.T</stp>
        <stp>始値</stp>
        <tr r="L122" s="7"/>
      </tp>
      <tp t="s">
        <v>表示銘柄数超過</v>
        <stp/>
        <stp>Market</stp>
        <stp>STOCK</stp>
        <stp>23750.T</stp>
        <stp>始値</stp>
        <tr r="L128" s="7"/>
      </tp>
      <tp>
        <v>44</v>
        <stp/>
        <stp>Market</stp>
        <stp>STOCK</stp>
        <stp>23150.T</stp>
        <stp>始値</stp>
        <tr r="L113" s="7"/>
      </tp>
      <tp t="s">
        <v>表示銘柄数超過</v>
        <stp/>
        <stp>Market</stp>
        <stp>STOCK</stp>
        <stp>23050.T</stp>
        <stp>始値</stp>
        <tr r="L112" s="7"/>
      </tp>
      <tp t="s">
        <v>表示銘柄数超過</v>
        <stp/>
        <stp>Market</stp>
        <stp>STOCK</stp>
        <stp>20550.T</stp>
        <stp>始値</stp>
        <tr r="L88" s="7"/>
      </tp>
      <tp t="s">
        <v>表示銘柄数超過</v>
        <stp/>
        <stp>Market</stp>
        <stp>STOCK</stp>
        <stp>26850.T</stp>
        <stp>始値</stp>
        <tr r="L181" s="7"/>
      </tp>
      <tp t="s">
        <v>表示銘柄数超過</v>
        <stp/>
        <stp>Market</stp>
        <stp>STOCK</stp>
        <stp>26350.T</stp>
        <stp>始値</stp>
        <tr r="L174" s="7"/>
      </tp>
      <tp t="s">
        <v>表示銘柄数超過</v>
        <stp/>
        <stp>Market</stp>
        <stp>STOCK</stp>
        <stp>27350.T</stp>
        <stp>始値</stp>
        <tr r="L190" s="7"/>
      </tp>
      <tp t="s">
        <v>表示銘柄数超過</v>
        <stp/>
        <stp>Market</stp>
        <stp>STOCK</stp>
        <stp>24450.T</stp>
        <stp>始値</stp>
        <tr r="L145" s="7"/>
      </tp>
      <tp t="s">
        <v>表示銘柄数超過</v>
        <stp/>
        <stp>Market</stp>
        <stp>STOCK</stp>
        <stp>24150.T</stp>
        <stp>始値</stp>
        <tr r="L138" s="7"/>
      </tp>
      <tp t="s">
        <v>表示銘柄数超過</v>
        <stp/>
        <stp>Market</stp>
        <stp>STOCK</stp>
        <stp>24350.T</stp>
        <stp>始値</stp>
        <tr r="L142" s="7"/>
      </tp>
      <tp t="s">
        <v>表示銘柄数超過</v>
        <stp/>
        <stp>Market</stp>
        <stp>STOCK</stp>
        <stp>25850.T</stp>
        <stp>始値</stp>
        <tr r="L164" s="7"/>
      </tp>
      <tp t="s">
        <v>表示銘柄数超過</v>
        <stp/>
        <stp>Market</stp>
        <stp>STOCK</stp>
        <stp>38450.T</stp>
        <stp>始値</stp>
        <tr r="L372" s="7"/>
      </tp>
      <tp t="s">
        <v>表示銘柄数超過</v>
        <stp/>
        <stp>Market</stp>
        <stp>STOCK</stp>
        <stp>38650.T</stp>
        <stp>始値</stp>
        <tr r="L382" s="7"/>
      </tp>
      <tp t="s">
        <v>表示銘柄数超過</v>
        <stp/>
        <stp>Market</stp>
        <stp>STOCK</stp>
        <stp>38150.T</stp>
        <stp>始値</stp>
        <tr r="L364" s="7"/>
      </tp>
      <tp t="s">
        <v>表示銘柄数超過</v>
        <stp/>
        <stp>Market</stp>
        <stp>STOCK</stp>
        <stp>38350.T</stp>
        <stp>始値</stp>
        <tr r="L369" s="7"/>
      </tp>
      <tp t="s">
        <v>表示銘柄数超過</v>
        <stp/>
        <stp>Market</stp>
        <stp>STOCK</stp>
        <stp>38250.T</stp>
        <stp>始値</stp>
        <tr r="L367" s="7"/>
      </tp>
      <tp t="s">
        <v>表示銘柄数超過</v>
        <stp/>
        <stp>Market</stp>
        <stp>STOCK</stp>
        <stp>39950.T</stp>
        <stp>始値</stp>
        <tr r="L407" s="7"/>
      </tp>
      <tp t="s">
        <v>表示銘柄数超過</v>
        <stp/>
        <stp>Market</stp>
        <stp>STOCK</stp>
        <stp>39650.T</stp>
        <stp>始値</stp>
        <tr r="L401" s="7"/>
      </tp>
      <tp t="s">
        <v>表示銘柄数超過</v>
        <stp/>
        <stp>Market</stp>
        <stp>STOCK</stp>
        <stp>39350.T</stp>
        <stp>始値</stp>
        <tr r="L397" s="7"/>
      </tp>
      <tp t="s">
        <v>表示銘柄数超過</v>
        <stp/>
        <stp>Market</stp>
        <stp>STOCK</stp>
        <stp>33550.T</stp>
        <stp>始値</stp>
        <tr r="L284" s="7"/>
      </tp>
      <tp t="s">
        <v>表示銘柄数超過</v>
        <stp/>
        <stp>Market</stp>
        <stp>STOCK</stp>
        <stp>33150.T</stp>
        <stp>始値</stp>
        <tr r="L276" s="7"/>
      </tp>
      <tp t="s">
        <v>表示銘柄数超過</v>
        <stp/>
        <stp>Market</stp>
        <stp>STOCK</stp>
        <stp>30350.T</stp>
        <stp>始値</stp>
        <tr r="L228" s="7"/>
      </tp>
      <tp t="s">
        <v>表示銘柄数超過</v>
        <stp/>
        <stp>Market</stp>
        <stp>STOCK</stp>
        <stp>31850.T</stp>
        <stp>始値</stp>
        <tr r="L252" s="7"/>
      </tp>
      <tp t="s">
        <v>表示銘柄数超過</v>
        <stp/>
        <stp>Market</stp>
        <stp>STOCK</stp>
        <stp>36550.T</stp>
        <stp>始値</stp>
        <tr r="L323" s="7"/>
      </tp>
      <tp t="s">
        <v>表示銘柄数超過</v>
        <stp/>
        <stp>Market</stp>
        <stp>STOCK</stp>
        <stp>36450.T</stp>
        <stp>始値</stp>
        <tr r="L319" s="7"/>
      </tp>
      <tp t="s">
        <v>表示銘柄数超過</v>
        <stp/>
        <stp>Market</stp>
        <stp>STOCK</stp>
        <stp>36650.T</stp>
        <stp>始値</stp>
        <tr r="L328" s="7"/>
      </tp>
      <tp t="s">
        <v>表示銘柄数超過</v>
        <stp/>
        <stp>Market</stp>
        <stp>STOCK</stp>
        <stp>36350.T</stp>
        <stp>始値</stp>
        <tr r="L317" s="7"/>
      </tp>
      <tp t="s">
        <v>表示銘柄数超過</v>
        <stp/>
        <stp>Market</stp>
        <stp>STOCK</stp>
        <stp>36250.T</stp>
        <stp>始値</stp>
        <tr r="L313" s="7"/>
      </tp>
      <tp t="s">
        <v/>
        <stp/>
        <stp>Market</stp>
        <stp>STOCK</stp>
        <stp/>
        <stp>安値</stp>
        <tr r="P914" s="7"/>
        <tr r="P1195" s="7"/>
        <tr r="P1199" s="7"/>
        <tr r="P1203" s="7"/>
        <tr r="P1207" s="7"/>
        <tr r="P1211" s="7"/>
        <tr r="P1215" s="7"/>
        <tr r="P1219" s="7"/>
        <tr r="P1223" s="7"/>
        <tr r="P1227" s="7"/>
        <tr r="P1231" s="7"/>
        <tr r="P1235" s="7"/>
        <tr r="P1239" s="7"/>
        <tr r="P1243" s="7"/>
        <tr r="P1247" s="7"/>
        <tr r="P1251" s="7"/>
        <tr r="P1256" s="7"/>
        <tr r="P1257" s="7"/>
        <tr r="P1258" s="7"/>
        <tr r="P1192" s="7"/>
        <tr r="P1196" s="7"/>
        <tr r="P1200" s="7"/>
        <tr r="P1204" s="7"/>
        <tr r="P1208" s="7"/>
        <tr r="P1212" s="7"/>
        <tr r="P1216" s="7"/>
        <tr r="P1220" s="7"/>
        <tr r="P1224" s="7"/>
        <tr r="P1228" s="7"/>
        <tr r="P1232" s="7"/>
        <tr r="P1236" s="7"/>
        <tr r="P1240" s="7"/>
        <tr r="P1244" s="7"/>
        <tr r="P1248" s="7"/>
        <tr r="P1252" s="7"/>
        <tr r="P1262" s="7"/>
        <tr r="P1266" s="7"/>
        <tr r="P1193" s="7"/>
        <tr r="P1197" s="7"/>
        <tr r="P1201" s="7"/>
        <tr r="P1205" s="7"/>
        <tr r="P1209" s="7"/>
        <tr r="P1213" s="7"/>
        <tr r="P1217" s="7"/>
        <tr r="P1221" s="7"/>
        <tr r="P1225" s="7"/>
        <tr r="P1229" s="7"/>
        <tr r="P1233" s="7"/>
        <tr r="P1237" s="7"/>
        <tr r="P1241" s="7"/>
        <tr r="P1245" s="7"/>
        <tr r="P1249" s="7"/>
        <tr r="P1253" s="7"/>
        <tr r="P1261" s="7"/>
        <tr r="P1265" s="7"/>
        <tr r="P1194" s="7"/>
        <tr r="P1198" s="7"/>
        <tr r="P1202" s="7"/>
        <tr r="P1206" s="7"/>
        <tr r="P1210" s="7"/>
        <tr r="P1214" s="7"/>
        <tr r="P1218" s="7"/>
        <tr r="P1222" s="7"/>
        <tr r="P1226" s="7"/>
        <tr r="P1230" s="7"/>
        <tr r="P1234" s="7"/>
        <tr r="P1238" s="7"/>
        <tr r="P1242" s="7"/>
        <tr r="P1246" s="7"/>
        <tr r="P1250" s="7"/>
        <tr r="P1254" s="7"/>
        <tr r="P1270" s="7"/>
        <tr r="P1274" s="7"/>
        <tr r="P1269" s="7"/>
        <tr r="P1273" s="7"/>
        <tr r="P1277" s="7"/>
        <tr r="P1281" s="7"/>
        <tr r="P1285" s="7"/>
        <tr r="P1289" s="7"/>
        <tr r="P1293" s="7"/>
        <tr r="P1297" s="7"/>
        <tr r="P1301" s="7"/>
        <tr r="P1305" s="7"/>
        <tr r="P1309" s="7"/>
        <tr r="P1313" s="7"/>
        <tr r="P1317" s="7"/>
        <tr r="P1321" s="7"/>
        <tr r="P1325" s="7"/>
        <tr r="P1329" s="7"/>
        <tr r="P1333" s="7"/>
        <tr r="P1337" s="7"/>
        <tr r="P1349" s="7"/>
        <tr r="P1353" s="7"/>
        <tr r="P1357" s="7"/>
        <tr r="P1361" s="7"/>
        <tr r="P1365" s="7"/>
        <tr r="P1369" s="7"/>
        <tr r="P1373" s="7"/>
        <tr r="P1377" s="7"/>
        <tr r="P1381" s="7"/>
        <tr r="P1385" s="7"/>
        <tr r="P1389" s="7"/>
        <tr r="P1393" s="7"/>
        <tr r="P1397" s="7"/>
        <tr r="P1401" s="7"/>
        <tr r="P1405" s="7"/>
        <tr r="P1409" s="7"/>
        <tr r="P1413" s="7"/>
        <tr r="P1278" s="7"/>
        <tr r="P1282" s="7"/>
        <tr r="P1286" s="7"/>
        <tr r="P1290" s="7"/>
        <tr r="P1294" s="7"/>
        <tr r="P1298" s="7"/>
        <tr r="P1302" s="7"/>
        <tr r="P1306" s="7"/>
        <tr r="P1310" s="7"/>
        <tr r="P1314" s="7"/>
        <tr r="P1318" s="7"/>
        <tr r="P1322" s="7"/>
        <tr r="P1326" s="7"/>
        <tr r="P1330" s="7"/>
        <tr r="P1334" s="7"/>
        <tr r="P1338" s="7"/>
        <tr r="P1342" s="7"/>
        <tr r="P1346" s="7"/>
        <tr r="P1255" s="7"/>
        <tr r="P1259" s="7"/>
        <tr r="P1263" s="7"/>
        <tr r="P1267" s="7"/>
        <tr r="P1271" s="7"/>
        <tr r="P1275" s="7"/>
        <tr r="P1279" s="7"/>
        <tr r="P1283" s="7"/>
        <tr r="P1287" s="7"/>
        <tr r="P1291" s="7"/>
        <tr r="P1295" s="7"/>
        <tr r="P1299" s="7"/>
        <tr r="P1303" s="7"/>
        <tr r="P1307" s="7"/>
        <tr r="P1311" s="7"/>
        <tr r="P1315" s="7"/>
        <tr r="P1319" s="7"/>
        <tr r="P1323" s="7"/>
        <tr r="P1327" s="7"/>
        <tr r="P1331" s="7"/>
        <tr r="P1335" s="7"/>
        <tr r="P1341" s="7"/>
        <tr r="P1345" s="7"/>
        <tr r="P1260" s="7"/>
        <tr r="P1264" s="7"/>
        <tr r="P1268" s="7"/>
        <tr r="P1272" s="7"/>
        <tr r="P1276" s="7"/>
        <tr r="P1280" s="7"/>
        <tr r="P1284" s="7"/>
        <tr r="P1288" s="7"/>
        <tr r="P1292" s="7"/>
        <tr r="P1296" s="7"/>
        <tr r="P1300" s="7"/>
        <tr r="P1304" s="7"/>
        <tr r="P1308" s="7"/>
        <tr r="P1312" s="7"/>
        <tr r="P1316" s="7"/>
        <tr r="P1320" s="7"/>
        <tr r="P1324" s="7"/>
        <tr r="P1328" s="7"/>
        <tr r="P1332" s="7"/>
        <tr r="P1336" s="7"/>
        <tr r="P1417" s="7"/>
        <tr r="P1421" s="7"/>
        <tr r="P1350" s="7"/>
        <tr r="P1354" s="7"/>
        <tr r="P1358" s="7"/>
        <tr r="P1362" s="7"/>
        <tr r="P1366" s="7"/>
        <tr r="P1370" s="7"/>
        <tr r="P1374" s="7"/>
        <tr r="P1378" s="7"/>
        <tr r="P1382" s="7"/>
        <tr r="P1386" s="7"/>
        <tr r="P1390" s="7"/>
        <tr r="P1394" s="7"/>
        <tr r="P1398" s="7"/>
        <tr r="P1402" s="7"/>
        <tr r="P1406" s="7"/>
        <tr r="P1410" s="7"/>
        <tr r="P1414" s="7"/>
        <tr r="P1418" s="7"/>
        <tr r="P1422" s="7"/>
        <tr r="P1425" s="7"/>
        <tr r="P1426" s="7"/>
        <tr r="P1428" s="7"/>
        <tr r="P1429" s="7"/>
        <tr r="P1430" s="7"/>
        <tr r="P1432" s="7"/>
        <tr r="P1433" s="7"/>
        <tr r="P1434" s="7"/>
        <tr r="P1436" s="7"/>
        <tr r="P1437" s="7"/>
        <tr r="P1438" s="7"/>
        <tr r="P1440" s="7"/>
        <tr r="P1339" s="7"/>
        <tr r="P1343" s="7"/>
        <tr r="P1347" s="7"/>
        <tr r="P1351" s="7"/>
        <tr r="P1355" s="7"/>
        <tr r="P1359" s="7"/>
        <tr r="P1363" s="7"/>
        <tr r="P1367" s="7"/>
        <tr r="P1371" s="7"/>
        <tr r="P1375" s="7"/>
        <tr r="P1379" s="7"/>
        <tr r="P1383" s="7"/>
        <tr r="P1387" s="7"/>
        <tr r="P1391" s="7"/>
        <tr r="P1395" s="7"/>
        <tr r="P1399" s="7"/>
        <tr r="P1403" s="7"/>
        <tr r="P1407" s="7"/>
        <tr r="P1411" s="7"/>
        <tr r="P1415" s="7"/>
        <tr r="P1419" s="7"/>
        <tr r="P1423" s="7"/>
        <tr r="P1340" s="7"/>
        <tr r="P1344" s="7"/>
        <tr r="P1348" s="7"/>
        <tr r="P1352" s="7"/>
        <tr r="P1356" s="7"/>
        <tr r="P1360" s="7"/>
        <tr r="P1364" s="7"/>
        <tr r="P1368" s="7"/>
        <tr r="P1372" s="7"/>
        <tr r="P1376" s="7"/>
        <tr r="P1380" s="7"/>
        <tr r="P1384" s="7"/>
        <tr r="P1388" s="7"/>
        <tr r="P1392" s="7"/>
        <tr r="P1396" s="7"/>
        <tr r="P1400" s="7"/>
        <tr r="P1404" s="7"/>
        <tr r="P1408" s="7"/>
        <tr r="P1412" s="7"/>
        <tr r="P1416" s="7"/>
        <tr r="P1420" s="7"/>
        <tr r="P1424" s="7"/>
        <tr r="P1442" s="7"/>
        <tr r="P1446" s="7"/>
        <tr r="P1450" s="7"/>
        <tr r="P1454" s="7"/>
        <tr r="P1458" s="7"/>
        <tr r="P1462" s="7"/>
        <tr r="P1466" s="7"/>
        <tr r="P1470" s="7"/>
        <tr r="P1474" s="7"/>
        <tr r="P1478" s="7"/>
        <tr r="P1482" s="7"/>
        <tr r="P1486" s="7"/>
        <tr r="P1427" s="7"/>
        <tr r="P1431" s="7"/>
        <tr r="P1435" s="7"/>
        <tr r="P1439" s="7"/>
        <tr r="P1443" s="7"/>
        <tr r="P1447" s="7"/>
        <tr r="P1451" s="7"/>
        <tr r="P1455" s="7"/>
        <tr r="P1459" s="7"/>
        <tr r="P1463" s="7"/>
        <tr r="P1467" s="7"/>
        <tr r="P1471" s="7"/>
        <tr r="P1475" s="7"/>
        <tr r="P1479" s="7"/>
        <tr r="P1483" s="7"/>
        <tr r="P1487" s="7"/>
        <tr r="P1498" s="7"/>
        <tr r="P1502" s="7"/>
        <tr r="P1506" s="7"/>
        <tr r="P1510" s="7"/>
        <tr r="P1514" s="7"/>
        <tr r="P1518" s="7"/>
        <tr r="P1522" s="7"/>
        <tr r="P1526" s="7"/>
        <tr r="P1530" s="7"/>
        <tr r="P1534" s="7"/>
        <tr r="P1538" s="7"/>
        <tr r="P1542" s="7"/>
        <tr r="P1546" s="7"/>
        <tr r="P1550" s="7"/>
        <tr r="P1554" s="7"/>
        <tr r="P1558" s="7"/>
        <tr r="P1562" s="7"/>
        <tr r="P1566" s="7"/>
        <tr r="P1570" s="7"/>
        <tr r="P1574" s="7"/>
        <tr r="P1578" s="7"/>
        <tr r="P1582" s="7"/>
        <tr r="P1586" s="7"/>
        <tr r="P1590" s="7"/>
        <tr r="P1594" s="7"/>
        <tr r="P1598" s="7"/>
        <tr r="P1602" s="7"/>
        <tr r="P1606" s="7"/>
        <tr r="P1610" s="7"/>
        <tr r="P1613" s="7"/>
        <tr r="P1615" s="7"/>
        <tr r="P1616" s="7"/>
        <tr r="P1617" s="7"/>
        <tr r="P1619" s="7"/>
        <tr r="P1620" s="7"/>
        <tr r="P1621" s="7"/>
        <tr r="P1623" s="7"/>
        <tr r="P1624" s="7"/>
        <tr r="P1625" s="7"/>
        <tr r="P1627" s="7"/>
        <tr r="P1628" s="7"/>
        <tr r="P1629" s="7"/>
        <tr r="P1631" s="7"/>
        <tr r="P1632" s="7"/>
        <tr r="P1633" s="7"/>
        <tr r="P1635" s="7"/>
        <tr r="P1636" s="7"/>
        <tr r="P1637" s="7"/>
        <tr r="P1639" s="7"/>
        <tr r="P1640" s="7"/>
        <tr r="P1641" s="7"/>
        <tr r="P1643" s="7"/>
        <tr r="P1644" s="7"/>
        <tr r="P1645" s="7"/>
        <tr r="P1647" s="7"/>
        <tr r="P1648" s="7"/>
        <tr r="P1649" s="7"/>
        <tr r="P1651" s="7"/>
        <tr r="P1652" s="7"/>
        <tr r="P1653" s="7"/>
        <tr r="P1655" s="7"/>
        <tr r="P1656" s="7"/>
        <tr r="P1444" s="7"/>
        <tr r="P1448" s="7"/>
        <tr r="P1452" s="7"/>
        <tr r="P1456" s="7"/>
        <tr r="P1460" s="7"/>
        <tr r="P1464" s="7"/>
        <tr r="P1468" s="7"/>
        <tr r="P1472" s="7"/>
        <tr r="P1476" s="7"/>
        <tr r="P1480" s="7"/>
        <tr r="P1484" s="7"/>
        <tr r="P1488" s="7"/>
        <tr r="P1490" s="7"/>
        <tr r="P1491" s="7"/>
        <tr r="P1492" s="7"/>
        <tr r="P1494" s="7"/>
        <tr r="P1495" s="7"/>
        <tr r="P1441" s="7"/>
        <tr r="P1445" s="7"/>
        <tr r="P1449" s="7"/>
        <tr r="P1453" s="7"/>
        <tr r="P1457" s="7"/>
        <tr r="P1461" s="7"/>
        <tr r="P1465" s="7"/>
        <tr r="P1469" s="7"/>
        <tr r="P1473" s="7"/>
        <tr r="P1477" s="7"/>
        <tr r="P1481" s="7"/>
        <tr r="P1485" s="7"/>
        <tr r="P1499" s="7"/>
        <tr r="P1503" s="7"/>
        <tr r="P1507" s="7"/>
        <tr r="P1511" s="7"/>
        <tr r="P1515" s="7"/>
        <tr r="P1519" s="7"/>
        <tr r="P1523" s="7"/>
        <tr r="P1527" s="7"/>
        <tr r="P1531" s="7"/>
        <tr r="P1535" s="7"/>
        <tr r="P1539" s="7"/>
        <tr r="P1543" s="7"/>
        <tr r="P1547" s="7"/>
        <tr r="P1551" s="7"/>
        <tr r="P1555" s="7"/>
        <tr r="P1559" s="7"/>
        <tr r="P1563" s="7"/>
        <tr r="P1567" s="7"/>
        <tr r="P1571" s="7"/>
        <tr r="P1575" s="7"/>
        <tr r="P1579" s="7"/>
        <tr r="P1583" s="7"/>
        <tr r="P1587" s="7"/>
        <tr r="P1591" s="7"/>
        <tr r="P1595" s="7"/>
        <tr r="P1599" s="7"/>
        <tr r="P1603" s="7"/>
        <tr r="P1607" s="7"/>
        <tr r="P1611" s="7"/>
        <tr r="P1496" s="7"/>
        <tr r="P1500" s="7"/>
        <tr r="P1504" s="7"/>
        <tr r="P1508" s="7"/>
        <tr r="P1512" s="7"/>
        <tr r="P1516" s="7"/>
        <tr r="P1520" s="7"/>
        <tr r="P1524" s="7"/>
        <tr r="P1528" s="7"/>
        <tr r="P1532" s="7"/>
        <tr r="P1536" s="7"/>
        <tr r="P1540" s="7"/>
        <tr r="P1544" s="7"/>
        <tr r="P1548" s="7"/>
        <tr r="P1552" s="7"/>
        <tr r="P1556" s="7"/>
        <tr r="P1560" s="7"/>
        <tr r="P1564" s="7"/>
        <tr r="P1568" s="7"/>
        <tr r="P1572" s="7"/>
        <tr r="P1576" s="7"/>
        <tr r="P1580" s="7"/>
        <tr r="P1584" s="7"/>
        <tr r="P1588" s="7"/>
        <tr r="P1592" s="7"/>
        <tr r="P1596" s="7"/>
        <tr r="P1600" s="7"/>
        <tr r="P1604" s="7"/>
        <tr r="P1608" s="7"/>
        <tr r="P1612" s="7"/>
        <tr r="P1660" s="7"/>
        <tr r="P1664" s="7"/>
        <tr r="P1668" s="7"/>
        <tr r="P1673" s="7"/>
        <tr r="P1674" s="7"/>
        <tr r="P1489" s="7"/>
        <tr r="P1493" s="7"/>
        <tr r="P1497" s="7"/>
        <tr r="P1501" s="7"/>
        <tr r="P1505" s="7"/>
        <tr r="P1509" s="7"/>
        <tr r="P1513" s="7"/>
        <tr r="P1517" s="7"/>
        <tr r="P1521" s="7"/>
        <tr r="P1525" s="7"/>
        <tr r="P1529" s="7"/>
        <tr r="P1533" s="7"/>
        <tr r="P1537" s="7"/>
        <tr r="P1541" s="7"/>
        <tr r="P1545" s="7"/>
        <tr r="P1549" s="7"/>
        <tr r="P1553" s="7"/>
        <tr r="P1557" s="7"/>
        <tr r="P1561" s="7"/>
        <tr r="P1565" s="7"/>
        <tr r="P1569" s="7"/>
        <tr r="P1573" s="7"/>
        <tr r="P1577" s="7"/>
        <tr r="P1581" s="7"/>
        <tr r="P1585" s="7"/>
        <tr r="P1589" s="7"/>
        <tr r="P1593" s="7"/>
        <tr r="P1597" s="7"/>
        <tr r="P1601" s="7"/>
        <tr r="P1605" s="7"/>
        <tr r="P1609" s="7"/>
        <tr r="P1657" s="7"/>
        <tr r="P1661" s="7"/>
        <tr r="P1665" s="7"/>
        <tr r="P1669" s="7"/>
        <tr r="P1614" s="7"/>
        <tr r="P1618" s="7"/>
        <tr r="P1622" s="7"/>
        <tr r="P1626" s="7"/>
        <tr r="P1630" s="7"/>
        <tr r="P1634" s="7"/>
        <tr r="P1638" s="7"/>
        <tr r="P1642" s="7"/>
        <tr r="P1646" s="7"/>
        <tr r="P1650" s="7"/>
        <tr r="P1654" s="7"/>
        <tr r="P1658" s="7"/>
        <tr r="P1662" s="7"/>
        <tr r="P1666" s="7"/>
        <tr r="P1670" s="7"/>
        <tr r="P1659" s="7"/>
        <tr r="P1663" s="7"/>
        <tr r="P1667" s="7"/>
        <tr r="P1671" s="7"/>
        <tr r="P1678" s="7"/>
        <tr r="P1682" s="7"/>
        <tr r="P1686" s="7"/>
        <tr r="P1690" s="7"/>
        <tr r="P1694" s="7"/>
        <tr r="P1698" s="7"/>
        <tr r="P1702" s="7"/>
        <tr r="P1706" s="7"/>
        <tr r="P1710" s="7"/>
        <tr r="P1714" s="7"/>
        <tr r="P1718" s="7"/>
        <tr r="P1722" s="7"/>
        <tr r="P1726" s="7"/>
        <tr r="P1730" s="7"/>
        <tr r="P1734" s="7"/>
        <tr r="P1738" s="7"/>
        <tr r="P1742" s="7"/>
        <tr r="P1746" s="7"/>
        <tr r="P1675" s="7"/>
        <tr r="P1679" s="7"/>
        <tr r="P1683" s="7"/>
        <tr r="P1687" s="7"/>
        <tr r="P1691" s="7"/>
        <tr r="P1695" s="7"/>
        <tr r="P1699" s="7"/>
        <tr r="P1703" s="7"/>
        <tr r="P1707" s="7"/>
        <tr r="P1711" s="7"/>
        <tr r="P1715" s="7"/>
        <tr r="P1719" s="7"/>
        <tr r="P1723" s="7"/>
        <tr r="P1727" s="7"/>
        <tr r="P1731" s="7"/>
        <tr r="P1735" s="7"/>
        <tr r="P1739" s="7"/>
        <tr r="P1743" s="7"/>
        <tr r="P1747" s="7"/>
        <tr r="P1782" s="7"/>
        <tr r="P1790" s="7"/>
        <tr r="P1826" s="7"/>
        <tr r="P1672" s="7"/>
        <tr r="P1676" s="7"/>
        <tr r="P1680" s="7"/>
        <tr r="P1684" s="7"/>
        <tr r="P1688" s="7"/>
        <tr r="P1692" s="7"/>
        <tr r="P1696" s="7"/>
        <tr r="P1700" s="7"/>
        <tr r="P1704" s="7"/>
        <tr r="P1708" s="7"/>
        <tr r="P1712" s="7"/>
        <tr r="P1716" s="7"/>
        <tr r="P1720" s="7"/>
        <tr r="P1724" s="7"/>
        <tr r="P1728" s="7"/>
        <tr r="P1732" s="7"/>
        <tr r="P1736" s="7"/>
        <tr r="P1740" s="7"/>
        <tr r="P1744" s="7"/>
        <tr r="P1748" s="7"/>
        <tr r="P1752" s="7"/>
        <tr r="P1756" s="7"/>
        <tr r="P1760" s="7"/>
        <tr r="P1764" s="7"/>
        <tr r="P1768" s="7"/>
        <tr r="P1772" s="7"/>
        <tr r="P1677" s="7"/>
        <tr r="P1681" s="7"/>
        <tr r="P1685" s="7"/>
        <tr r="P1689" s="7"/>
        <tr r="P1693" s="7"/>
        <tr r="P1697" s="7"/>
        <tr r="P1701" s="7"/>
        <tr r="P1705" s="7"/>
        <tr r="P1709" s="7"/>
        <tr r="P1713" s="7"/>
        <tr r="P1717" s="7"/>
        <tr r="P1721" s="7"/>
        <tr r="P1725" s="7"/>
        <tr r="P1729" s="7"/>
        <tr r="P1733" s="7"/>
        <tr r="P1737" s="7"/>
        <tr r="P1741" s="7"/>
        <tr r="P1745" s="7"/>
        <tr r="P1778" s="7"/>
        <tr r="P1786" s="7"/>
        <tr r="P1749" s="7"/>
        <tr r="P1753" s="7"/>
        <tr r="P1757" s="7"/>
        <tr r="P1761" s="7"/>
        <tr r="P1765" s="7"/>
        <tr r="P1769" s="7"/>
        <tr r="P1773" s="7"/>
        <tr r="P1777" s="7"/>
        <tr r="P1781" s="7"/>
        <tr r="P1785" s="7"/>
        <tr r="P1789" s="7"/>
        <tr r="P1750" s="7"/>
        <tr r="P1754" s="7"/>
        <tr r="P1758" s="7"/>
        <tr r="P1762" s="7"/>
        <tr r="P1766" s="7"/>
        <tr r="P1770" s="7"/>
        <tr r="P1801" s="7"/>
        <tr r="P1805" s="7"/>
        <tr r="P1809" s="7"/>
        <tr r="P1813" s="7"/>
        <tr r="P1817" s="7"/>
        <tr r="P1822" s="7"/>
        <tr r="P1751" s="7"/>
        <tr r="P1755" s="7"/>
        <tr r="P1759" s="7"/>
        <tr r="P1763" s="7"/>
        <tr r="P1767" s="7"/>
        <tr r="P1771" s="7"/>
        <tr r="P1774" s="7"/>
        <tr r="P1798" s="7"/>
        <tr r="P1802" s="7"/>
        <tr r="P1806" s="7"/>
        <tr r="P1810" s="7"/>
        <tr r="P1814" s="7"/>
        <tr r="P1818" s="7"/>
        <tr r="P1821" s="7"/>
        <tr r="P1825" s="7"/>
        <tr r="P1835" s="7"/>
        <tr r="P1843" s="7"/>
        <tr r="P1775" s="7"/>
        <tr r="P1779" s="7"/>
        <tr r="P1783" s="7"/>
        <tr r="P1787" s="7"/>
        <tr r="P1791" s="7"/>
        <tr r="P1776" s="7"/>
        <tr r="P1780" s="7"/>
        <tr r="P1784" s="7"/>
        <tr r="P1788" s="7"/>
        <tr r="P1792" s="7"/>
        <tr r="P1793" s="7"/>
        <tr r="P1794" s="7"/>
        <tr r="P1795" s="7"/>
        <tr r="P1797" s="7"/>
        <tr r="P1839" s="7"/>
        <tr r="P1799" s="7"/>
        <tr r="P1803" s="7"/>
        <tr r="P1807" s="7"/>
        <tr r="P1811" s="7"/>
        <tr r="P1815" s="7"/>
        <tr r="P1819" s="7"/>
        <tr r="P1823" s="7"/>
        <tr r="P1827" s="7"/>
        <tr r="P1831" s="7"/>
        <tr r="P1796" s="7"/>
        <tr r="P1800" s="7"/>
        <tr r="P1804" s="7"/>
        <tr r="P1808" s="7"/>
        <tr r="P1812" s="7"/>
        <tr r="P1816" s="7"/>
        <tr r="P1820" s="7"/>
        <tr r="P1824" s="7"/>
        <tr r="P1828" s="7"/>
        <tr r="P1830" s="7"/>
        <tr r="P1832" s="7"/>
        <tr r="P1836" s="7"/>
        <tr r="P1840" s="7"/>
        <tr r="P1844" s="7"/>
        <tr r="P1861" s="7"/>
        <tr r="P1869" s="7"/>
        <tr r="P1877" s="7"/>
        <tr r="P1829" s="7"/>
        <tr r="P1833" s="7"/>
        <tr r="P1837" s="7"/>
        <tr r="P1841" s="7"/>
        <tr r="P1845" s="7"/>
        <tr r="P1849" s="7"/>
        <tr r="P1853" s="7"/>
        <tr r="P1857" s="7"/>
        <tr r="P1834" s="7"/>
        <tr r="P1838" s="7"/>
        <tr r="P1842" s="7"/>
        <tr r="P1848" s="7"/>
        <tr r="P1852" s="7"/>
        <tr r="P1856" s="7"/>
        <tr r="P1865" s="7"/>
        <tr r="P1873" s="7"/>
        <tr r="P1881" s="7"/>
        <tr r="P1846" s="7"/>
        <tr r="P1850" s="7"/>
        <tr r="P1854" s="7"/>
        <tr r="P1858" s="7"/>
        <tr r="P1847" s="7"/>
        <tr r="P1851" s="7"/>
        <tr r="P1855" s="7"/>
        <tr r="P1859" s="7"/>
        <tr r="P1862" s="7"/>
        <tr r="P1866" s="7"/>
        <tr r="P1870" s="7"/>
        <tr r="P1874" s="7"/>
        <tr r="P1878" s="7"/>
        <tr r="P1863" s="7"/>
        <tr r="P1867" s="7"/>
        <tr r="P1871" s="7"/>
        <tr r="P1875" s="7"/>
        <tr r="P1879" s="7"/>
        <tr r="P1860" s="7"/>
        <tr r="P1864" s="7"/>
        <tr r="P1868" s="7"/>
        <tr r="P1872" s="7"/>
        <tr r="P1876" s="7"/>
        <tr r="P1880" s="7"/>
      </tp>
      <tp t="s">
        <v>表示銘柄数超過</v>
        <stp/>
        <stp>Market</stp>
        <stp>STOCK</stp>
        <stp>88970.T</stp>
        <stp>安値</stp>
        <tr r="P1061" s="7"/>
      </tp>
      <tp t="s">
        <v>表示銘柄数超過</v>
        <stp/>
        <stp>Market</stp>
        <stp>STOCK</stp>
        <stp>88870.T</stp>
        <stp>安値</stp>
        <tr r="P1058" s="7"/>
      </tp>
      <tp t="s">
        <v>表示銘柄数超過</v>
        <stp/>
        <stp>Market</stp>
        <stp>STOCK</stp>
        <stp>89270.T</stp>
        <stp>安値</stp>
        <tr r="P1067" s="7"/>
      </tp>
      <tp>
        <v>492</v>
        <stp/>
        <stp>Market</stp>
        <stp>STOCK</stp>
        <stp>82470.T</stp>
        <stp>安値</stp>
        <tr r="P998" s="7"/>
      </tp>
      <tp>
        <v>3561</v>
        <stp/>
        <stp>Market</stp>
        <stp>STOCK</stp>
        <stp>82670.T</stp>
        <stp>安値</stp>
        <tr r="P1001" s="7"/>
      </tp>
      <tp>
        <v>315</v>
        <stp/>
        <stp>Market</stp>
        <stp>STOCK</stp>
        <stp>82070.T</stp>
        <stp>安値</stp>
        <tr r="P992" s="7"/>
      </tp>
      <tp>
        <v>939</v>
        <stp/>
        <stp>Market</stp>
        <stp>STOCK</stp>
        <stp>82370.T</stp>
        <stp>安値</stp>
        <tr r="P995" s="7"/>
      </tp>
      <tp>
        <v>1040</v>
        <stp/>
        <stp>Market</stp>
        <stp>STOCK</stp>
        <stp>83870.T</stp>
        <stp>安値</stp>
        <tr r="P1009" s="7"/>
      </tp>
      <tp>
        <v>1560</v>
        <stp/>
        <stp>Market</stp>
        <stp>STOCK</stp>
        <stp>83770.T</stp>
        <stp>安値</stp>
        <tr r="P1007" s="7"/>
      </tp>
      <tp>
        <v>843</v>
        <stp/>
        <stp>Market</stp>
        <stp>STOCK</stp>
        <stp>83370.T</stp>
        <stp>安値</stp>
        <tr r="P1005" s="7"/>
      </tp>
      <tp>
        <v>293</v>
        <stp/>
        <stp>Market</stp>
        <stp>STOCK</stp>
        <stp>80770.T</stp>
        <stp>安値</stp>
        <tr r="P973" s="7"/>
      </tp>
      <tp>
        <v>3268</v>
        <stp/>
        <stp>Market</stp>
        <stp>STOCK</stp>
        <stp>86970.T</stp>
        <stp>安値</stp>
        <tr r="P1035" s="7"/>
      </tp>
      <tp>
        <v>582</v>
        <stp/>
        <stp>Market</stp>
        <stp>STOCK</stp>
        <stp>86170.T</stp>
        <stp>安値</stp>
        <tr r="P1031" s="7"/>
      </tp>
      <tp>
        <v>500</v>
        <stp/>
        <stp>Market</stp>
        <stp>STOCK</stp>
        <stp>87370.T</stp>
        <stp>安値</stp>
        <tr r="P1041" s="7"/>
      </tp>
      <tp t="s">
        <v>表示銘柄数超過</v>
        <stp/>
        <stp>Market</stp>
        <stp>STOCK</stp>
        <stp>99270.T</stp>
        <stp>安値</stp>
        <tr r="P1181" s="7"/>
      </tp>
      <tp t="s">
        <v>表示銘柄数超過</v>
        <stp/>
        <stp>Market</stp>
        <stp>STOCK</stp>
        <stp>92470.T</stp>
        <stp>安値</stp>
        <tr r="P1101" s="7"/>
      </tp>
      <tp t="s">
        <v>表示銘柄数超過</v>
        <stp/>
        <stp>Market</stp>
        <stp>STOCK</stp>
        <stp>93070.T</stp>
        <stp>安値</stp>
        <tr r="P1109" s="7"/>
      </tp>
      <tp t="s">
        <v>表示銘柄数超過</v>
        <stp/>
        <stp>Market</stp>
        <stp>STOCK</stp>
        <stp>90070.T</stp>
        <stp>安値</stp>
        <tr r="P1077" s="7"/>
      </tp>
      <tp t="s">
        <v>表示銘柄数超過</v>
        <stp/>
        <stp>Market</stp>
        <stp>STOCK</stp>
        <stp>91070.T</stp>
        <stp>安値</stp>
        <tr r="P1095" s="7"/>
      </tp>
      <tp t="s">
        <v>表示銘柄数超過</v>
        <stp/>
        <stp>Market</stp>
        <stp>STOCK</stp>
        <stp>97870.T</stp>
        <stp>安値</stp>
        <tr r="P1168" s="7"/>
      </tp>
      <tp t="s">
        <v>表示銘柄数超過</v>
        <stp/>
        <stp>Market</stp>
        <stp>STOCK</stp>
        <stp>94170.T</stp>
        <stp>安値</stp>
        <tr r="P1121" s="7"/>
      </tp>
      <tp t="s">
        <v>表示銘柄数超過</v>
        <stp/>
        <stp>Market</stp>
        <stp>STOCK</stp>
        <stp>95570.T</stp>
        <stp>安値</stp>
        <tr r="P1156" s="7"/>
      </tp>
      <tp t="s">
        <v>表示銘柄数超過</v>
        <stp/>
        <stp>Market</stp>
        <stp>STOCK</stp>
        <stp>95070.T</stp>
        <stp>安値</stp>
        <tr r="P1146" s="7"/>
      </tp>
      <tp>
        <v>510</v>
        <stp/>
        <stp>Market</stp>
        <stp>STOCK</stp>
        <stp>68970.T</stp>
        <stp>安値</stp>
        <tr r="P783" s="7"/>
      </tp>
      <tp>
        <v>6048</v>
        <stp/>
        <stp>Market</stp>
        <stp>STOCK</stp>
        <stp>68570.T</stp>
        <stp>安値</stp>
        <tr r="P778" s="7"/>
      </tp>
      <tp>
        <v>707</v>
        <stp/>
        <stp>Market</stp>
        <stp>STOCK</stp>
        <stp>68670.T</stp>
        <stp>安値</stp>
        <tr r="P781" s="7"/>
      </tp>
      <tp>
        <v>1379</v>
        <stp/>
        <stp>Market</stp>
        <stp>STOCK</stp>
        <stp>69970.T</stp>
        <stp>安値</stp>
        <tr r="P803" s="7"/>
      </tp>
      <tp>
        <v>498</v>
        <stp/>
        <stp>Market</stp>
        <stp>STOCK</stp>
        <stp>69070.T</stp>
        <stp>安値</stp>
        <tr r="P786" s="7"/>
      </tp>
      <tp>
        <v>512</v>
        <stp/>
        <stp>Market</stp>
        <stp>STOCK</stp>
        <stp>69270.T</stp>
        <stp>安値</stp>
        <tr r="P789" s="7"/>
      </tp>
      <tp>
        <v>480</v>
        <stp/>
        <stp>Market</stp>
        <stp>STOCK</stp>
        <stp>62970.T</stp>
        <stp>安値</stp>
        <tr r="P684" s="7"/>
      </tp>
      <tp>
        <v>220</v>
        <stp/>
        <stp>Market</stp>
        <stp>STOCK</stp>
        <stp>63470.T</stp>
        <stp>安値</stp>
        <tr r="P692" s="7"/>
      </tp>
      <tp>
        <v>728</v>
        <stp/>
        <stp>Market</stp>
        <stp>STOCK</stp>
        <stp>60470.T</stp>
        <stp>安値</stp>
        <tr r="P643" s="7"/>
      </tp>
      <tp>
        <v>98</v>
        <stp/>
        <stp>Market</stp>
        <stp>STOCK</stp>
        <stp>61770.T</stp>
        <stp>安値</stp>
        <tr r="P665" s="7"/>
      </tp>
      <tp>
        <v>704</v>
        <stp/>
        <stp>Market</stp>
        <stp>STOCK</stp>
        <stp>61670.T</stp>
        <stp>安値</stp>
        <tr r="P662" s="7"/>
      </tp>
      <tp>
        <v>3940</v>
        <stp/>
        <stp>Market</stp>
        <stp>STOCK</stp>
        <stp>66770.T</stp>
        <stp>安値</stp>
        <tr r="P752" s="7"/>
      </tp>
      <tp>
        <v>2338</v>
        <stp/>
        <stp>Market</stp>
        <stp>STOCK</stp>
        <stp>66170.T</stp>
        <stp>安値</stp>
        <tr r="P737" s="7"/>
      </tp>
      <tp>
        <v>3760</v>
        <stp/>
        <stp>Market</stp>
        <stp>STOCK</stp>
        <stp>67770.T</stp>
        <stp>安値</stp>
        <tr r="P772" s="7"/>
      </tp>
      <tp>
        <v>361</v>
        <stp/>
        <stp>Market</stp>
        <stp>STOCK</stp>
        <stp>64670.T</stp>
        <stp>安値</stp>
        <tr r="P704" s="7"/>
      </tp>
      <tp>
        <v>1400</v>
        <stp/>
        <stp>Market</stp>
        <stp>STOCK</stp>
        <stp>65570.T</stp>
        <stp>安値</stp>
        <tr r="P728" s="7"/>
      </tp>
      <tp>
        <v>2141</v>
        <stp/>
        <stp>Market</stp>
        <stp>STOCK</stp>
        <stp>65070.T</stp>
        <stp>安値</stp>
        <tr r="P717" s="7"/>
      </tp>
      <tp>
        <v>321</v>
        <stp/>
        <stp>Market</stp>
        <stp>STOCK</stp>
        <stp>65370.T</stp>
        <stp>安値</stp>
        <tr r="P720" s="7"/>
      </tp>
      <tp>
        <v>113</v>
        <stp/>
        <stp>Market</stp>
        <stp>STOCK</stp>
        <stp>78970.T</stp>
        <stp>安値</stp>
        <tr r="P952" s="7"/>
      </tp>
      <tp>
        <v>2291</v>
        <stp/>
        <stp>Market</stp>
        <stp>STOCK</stp>
        <stp>78670.T</stp>
        <stp>安値</stp>
        <tr r="P949" s="7"/>
      </tp>
      <tp>
        <v>428</v>
        <stp/>
        <stp>Market</stp>
        <stp>STOCK</stp>
        <stp>78370.T</stp>
        <stp>安値</stp>
        <tr r="P944" s="7"/>
      </tp>
      <tp>
        <v>800</v>
        <stp/>
        <stp>Market</stp>
        <stp>STOCK</stp>
        <stp>79970.T</stp>
        <stp>安値</stp>
        <tr r="P963" s="7"/>
      </tp>
      <tp>
        <v>494</v>
        <stp/>
        <stp>Market</stp>
        <stp>STOCK</stp>
        <stp>72470.T</stp>
        <stp>安値</stp>
        <tr r="P860" s="7"/>
      </tp>
      <tp>
        <v>1672.5</v>
        <stp/>
        <stp>Market</stp>
        <stp>STOCK</stp>
        <stp>72670.T</stp>
        <stp>安値</stp>
        <tr r="P864" s="7"/>
      </tp>
      <tp>
        <v>837</v>
        <stp/>
        <stp>Market</stp>
        <stp>STOCK</stp>
        <stp>73170.T</stp>
        <stp>安値</stp>
        <tr r="P874" s="7"/>
      </tp>
      <tp>
        <v>972.2</v>
        <stp/>
        <stp>Market</stp>
        <stp>STOCK</stp>
        <stp>73370.T</stp>
        <stp>安値</stp>
        <tr r="P875" s="7"/>
      </tp>
      <tp>
        <v>2433</v>
        <stp/>
        <stp>Market</stp>
        <stp>STOCK</stp>
        <stp>70470.T</stp>
        <stp>安値</stp>
        <tr r="P815" s="7"/>
      </tp>
      <tp>
        <v>514</v>
        <stp/>
        <stp>Market</stp>
        <stp>STOCK</stp>
        <stp>70370.T</stp>
        <stp>安値</stp>
        <tr r="P811" s="7"/>
      </tp>
      <tp>
        <v>669</v>
        <stp/>
        <stp>Market</stp>
        <stp>STOCK</stp>
        <stp>71770.T</stp>
        <stp>安値</stp>
        <tr r="P837" s="7"/>
      </tp>
      <tp>
        <v>428.5</v>
        <stp/>
        <stp>Market</stp>
        <stp>STOCK</stp>
        <stp>71670.T</stp>
        <stp>安値</stp>
        <tr r="P834" s="7"/>
      </tp>
      <tp>
        <v>25</v>
        <stp/>
        <stp>Market</stp>
        <stp>STOCK</stp>
        <stp>76470.T</stp>
        <stp>安値</stp>
        <tr r="P918" s="7"/>
      </tp>
      <tp>
        <v>106</v>
        <stp/>
        <stp>Market</stp>
        <stp>STOCK</stp>
        <stp>77770.T</stp>
        <stp>安値</stp>
        <tr r="P933" s="7"/>
      </tp>
      <tp>
        <v>451</v>
        <stp/>
        <stp>Market</stp>
        <stp>STOCK</stp>
        <stp>75670.T</stp>
        <stp>安値</stp>
        <tr r="P904" s="7"/>
      </tp>
      <tp>
        <v>58</v>
        <stp/>
        <stp>Market</stp>
        <stp>STOCK</stp>
        <stp>75270.T</stp>
        <stp>安値</stp>
        <tr r="P901" s="7"/>
      </tp>
      <tp t="s">
        <v>表示銘柄数超過</v>
        <stp/>
        <stp>Market</stp>
        <stp>STOCK</stp>
        <stp>48470.T</stp>
        <stp>安値</stp>
        <tr r="P544" s="7"/>
      </tp>
      <tp t="s">
        <v>表示銘柄数超過</v>
        <stp/>
        <stp>Market</stp>
        <stp>STOCK</stp>
        <stp>48370.T</stp>
        <stp>安値</stp>
        <tr r="P542" s="7"/>
      </tp>
      <tp>
        <v>676</v>
        <stp/>
        <stp>Market</stp>
        <stp>STOCK</stp>
        <stp>49970.T</stp>
        <stp>安値</stp>
        <tr r="P557" s="7"/>
      </tp>
      <tp t="s">
        <v>表示銘柄数超過</v>
        <stp/>
        <stp>Market</stp>
        <stp>STOCK</stp>
        <stp>42870.T</stp>
        <stp>安値</stp>
        <tr r="P438" s="7"/>
      </tp>
      <tp t="s">
        <v>表示銘柄数超過</v>
        <stp/>
        <stp>Market</stp>
        <stp>STOCK</stp>
        <stp>42370.T</stp>
        <stp>安値</stp>
        <tr r="P427" s="7"/>
      </tp>
      <tp t="s">
        <v>表示銘柄数超過</v>
        <stp/>
        <stp>Market</stp>
        <stp>STOCK</stp>
        <stp>43370.T</stp>
        <stp>安値</stp>
        <tr r="P444" s="7"/>
      </tp>
      <tp t="s">
        <v>表示銘柄数超過</v>
        <stp/>
        <stp>Market</stp>
        <stp>STOCK</stp>
        <stp>40270.T</stp>
        <stp>安値</stp>
        <tr r="P413" s="7"/>
      </tp>
      <tp t="s">
        <v>表示銘柄数超過</v>
        <stp/>
        <stp>Market</stp>
        <stp>STOCK</stp>
        <stp>41670.T</stp>
        <stp>安値</stp>
        <tr r="P418" s="7"/>
      </tp>
      <tp t="s">
        <v>表示銘柄数超過</v>
        <stp/>
        <stp>Market</stp>
        <stp>STOCK</stp>
        <stp>46570.T</stp>
        <stp>安値</stp>
        <tr r="P514" s="7"/>
      </tp>
      <tp t="s">
        <v>表示銘柄数超過</v>
        <stp/>
        <stp>Market</stp>
        <stp>STOCK</stp>
        <stp>46670.T</stp>
        <stp>安値</stp>
        <tr r="P516" s="7"/>
        <tr r="P517" s="7"/>
      </tp>
      <tp t="s">
        <v>表示銘柄数超過</v>
        <stp/>
        <stp>Market</stp>
        <stp>STOCK</stp>
        <stp>47770.T</stp>
        <stp>安値</stp>
        <tr r="P534" s="7"/>
      </tp>
      <tp t="s">
        <v>表示銘柄数超過</v>
        <stp/>
        <stp>Market</stp>
        <stp>STOCK</stp>
        <stp>47670.T</stp>
        <stp>安値</stp>
        <tr r="P531" s="7"/>
      </tp>
      <tp t="s">
        <v>表示銘柄数超過</v>
        <stp/>
        <stp>Market</stp>
        <stp>STOCK</stp>
        <stp>47070.T</stp>
        <stp>安値</stp>
        <tr r="P523" s="7"/>
      </tp>
      <tp t="s">
        <v>表示銘柄数超過</v>
        <stp/>
        <stp>Market</stp>
        <stp>STOCK</stp>
        <stp>44870.T</stp>
        <stp>安値</stp>
        <tr r="P476" s="7"/>
      </tp>
      <tp t="s">
        <v>表示銘柄数超過</v>
        <stp/>
        <stp>Market</stp>
        <stp>STOCK</stp>
        <stp>44770.T</stp>
        <stp>安値</stp>
        <tr r="P473" s="7"/>
      </tp>
      <tp t="s">
        <v>表示銘柄数超過</v>
        <stp/>
        <stp>Market</stp>
        <stp>STOCK</stp>
        <stp>44270.T</stp>
        <stp>安値</stp>
        <tr r="P463" s="7"/>
      </tp>
      <tp t="s">
        <v>表示銘柄数超過</v>
        <stp/>
        <stp>Market</stp>
        <stp>STOCK</stp>
        <stp>45970.T</stp>
        <stp>安値</stp>
        <tr r="P507" s="7"/>
      </tp>
      <tp t="s">
        <v>表示銘柄数超過</v>
        <stp/>
        <stp>Market</stp>
        <stp>STOCK</stp>
        <stp>45070.T</stp>
        <stp>安値</stp>
        <tr r="P481" s="7"/>
      </tp>
      <tp>
        <v>672</v>
        <stp/>
        <stp>Market</stp>
        <stp>STOCK</stp>
        <stp>59970.T</stp>
        <stp>安値</stp>
        <tr r="P635" s="7"/>
      </tp>
      <tp>
        <v>3225</v>
        <stp/>
        <stp>Market</stp>
        <stp>STOCK</stp>
        <stp>59470.T</stp>
        <stp>安値</stp>
        <tr r="P623" s="7"/>
      </tp>
      <tp>
        <v>586</v>
        <stp/>
        <stp>Market</stp>
        <stp>STOCK</stp>
        <stp>52870.T</stp>
        <stp>安値</stp>
        <tr r="P585" s="7"/>
      </tp>
      <tp>
        <v>262</v>
        <stp/>
        <stp>Market</stp>
        <stp>STOCK</stp>
        <stp>52770.T</stp>
        <stp>安値</stp>
        <tr r="P583" s="7"/>
      </tp>
      <tp>
        <v>1452</v>
        <stp/>
        <stp>Market</stp>
        <stp>STOCK</stp>
        <stp>53570.T</stp>
        <stp>安値</stp>
        <tr r="P588" s="7"/>
      </tp>
      <tp t="s">
        <v>表示銘柄数超過</v>
        <stp/>
        <stp>Market</stp>
        <stp>STOCK</stp>
        <stp>50170.T</stp>
        <stp>安値</stp>
        <tr r="P560" s="7"/>
      </tp>
      <tp>
        <v>1831</v>
        <stp/>
        <stp>Market</stp>
        <stp>STOCK</stp>
        <stp>57270.T</stp>
        <stp>安値</stp>
        <tr r="P609" s="7"/>
      </tp>
      <tp t="s">
        <v>表示銘柄数超過</v>
        <stp/>
        <stp>Market</stp>
        <stp>STOCK</stp>
        <stp>28570.T</stp>
        <stp>安値</stp>
        <tr r="P207" s="7"/>
      </tp>
      <tp t="s">
        <v>表示銘柄数超過</v>
        <stp/>
        <stp>Market</stp>
        <stp>STOCK</stp>
        <stp>29970.T</stp>
        <stp>安値</stp>
        <tr r="P220" s="7"/>
      </tp>
      <tp t="s">
        <v>表示銘柄数超過</v>
        <stp/>
        <stp>Market</stp>
        <stp>STOCK</stp>
        <stp>29870.T</stp>
        <stp>安値</stp>
        <tr r="P218" s="7"/>
      </tp>
      <tp t="s">
        <v>表示銘柄数超過</v>
        <stp/>
        <stp>Market</stp>
        <stp>STOCK</stp>
        <stp>23170.T</stp>
        <stp>安値</stp>
        <tr r="P114" s="7"/>
      </tp>
      <tp t="s">
        <v>表示銘柄数超過</v>
        <stp/>
        <stp>Market</stp>
        <stp>STOCK</stp>
        <stp>23370.T</stp>
        <stp>安値</stp>
        <tr r="P118" s="7"/>
      </tp>
      <tp t="s">
        <v>表示銘柄数超過</v>
        <stp/>
        <stp>Market</stp>
        <stp>STOCK</stp>
        <stp>21270.T</stp>
        <stp>安値</stp>
        <tr r="P91" s="7"/>
      </tp>
      <tp t="s">
        <v>表示銘柄数超過</v>
        <stp/>
        <stp>Market</stp>
        <stp>STOCK</stp>
        <stp>26670.T</stp>
        <stp>安値</stp>
        <tr r="P178" s="7"/>
      </tp>
      <tp t="s">
        <v>表示銘柄数超過</v>
        <stp/>
        <stp>Market</stp>
        <stp>STOCK</stp>
        <stp>27670.T</stp>
        <stp>安値</stp>
        <tr r="P195" s="7"/>
      </tp>
      <tp t="s">
        <v>表示銘柄数超過</v>
        <stp/>
        <stp>Market</stp>
        <stp>STOCK</stp>
        <stp>24970.T</stp>
        <stp>安値</stp>
        <tr r="P155" s="7"/>
      </tp>
      <tp t="s">
        <v>表示銘柄数超過</v>
        <stp/>
        <stp>Market</stp>
        <stp>STOCK</stp>
        <stp>24370.T</stp>
        <stp>安値</stp>
        <tr r="P143" s="7"/>
      </tp>
      <tp t="s">
        <v>表示銘柄数超過</v>
        <stp/>
        <stp>Market</stp>
        <stp>STOCK</stp>
        <stp>25970.T</stp>
        <stp>安値</stp>
        <tr r="P168" s="7"/>
      </tp>
      <tp t="s">
        <v>表示銘柄数超過</v>
        <stp/>
        <stp>Market</stp>
        <stp>STOCK</stp>
        <stp>25870.T</stp>
        <stp>安値</stp>
        <tr r="P166" s="7"/>
      </tp>
      <tp t="s">
        <v>表示銘柄数超過</v>
        <stp/>
        <stp>Market</stp>
        <stp>STOCK</stp>
        <stp>25670.T</stp>
        <stp>安値</stp>
        <tr r="P162" s="7"/>
      </tp>
      <tp t="s">
        <v>表示銘柄数超過</v>
        <stp/>
        <stp>Market</stp>
        <stp>STOCK</stp>
        <stp>38070.T</stp>
        <stp>安値</stp>
        <tr r="P361" s="7"/>
      </tp>
      <tp t="s">
        <v>表示銘柄数超過</v>
        <stp/>
        <stp>Market</stp>
        <stp>STOCK</stp>
        <stp>39970.T</stp>
        <stp>安値</stp>
        <tr r="P408" s="7"/>
      </tp>
      <tp t="s">
        <v>表示銘柄数超過</v>
        <stp/>
        <stp>Market</stp>
        <stp>STOCK</stp>
        <stp>39870.T</stp>
        <stp>安値</stp>
        <tr r="P403" s="7"/>
      </tp>
      <tp t="s">
        <v>表示銘柄数超過</v>
        <stp/>
        <stp>Market</stp>
        <stp>STOCK</stp>
        <stp>39170.T</stp>
        <stp>安値</stp>
        <tr r="P391" s="7"/>
      </tp>
      <tp t="s">
        <v>表示銘柄数超過</v>
        <stp/>
        <stp>Market</stp>
        <stp>STOCK</stp>
        <stp>39070.T</stp>
        <stp>安値</stp>
        <tr r="P387" s="7"/>
      </tp>
      <tp t="s">
        <v>表示銘柄数超過</v>
        <stp/>
        <stp>Market</stp>
        <stp>STOCK</stp>
        <stp>39270.T</stp>
        <stp>安値</stp>
        <tr r="P393" s="7"/>
      </tp>
      <tp t="s">
        <v>表示銘柄数超過</v>
        <stp/>
        <stp>Market</stp>
        <stp>STOCK</stp>
        <stp>32970.T</stp>
        <stp>安値</stp>
        <tr r="P273" s="7"/>
      </tp>
      <tp t="s">
        <v>表示銘柄数超過</v>
        <stp/>
        <stp>Market</stp>
        <stp>STOCK</stp>
        <stp>32370.T</stp>
        <stp>安値</stp>
        <tr r="P260" s="7"/>
      </tp>
      <tp t="s">
        <v>表示銘柄数超過</v>
        <stp/>
        <stp>Market</stp>
        <stp>STOCK</stp>
        <stp>33770.T</stp>
        <stp>安値</stp>
        <tr r="P289" s="7"/>
      </tp>
      <tp t="s">
        <v>表示銘柄数超過</v>
        <stp/>
        <stp>Market</stp>
        <stp>STOCK</stp>
        <stp>31970.T</stp>
        <stp>安値</stp>
        <tr r="P257" s="7"/>
      </tp>
      <tp t="s">
        <v>表示銘柄数超過</v>
        <stp/>
        <stp>Market</stp>
        <stp>STOCK</stp>
        <stp>31870.T</stp>
        <stp>安値</stp>
        <tr r="P254" s="7"/>
      </tp>
      <tp t="s">
        <v>表示銘柄数超過</v>
        <stp/>
        <stp>Market</stp>
        <stp>STOCK</stp>
        <stp>31370.T</stp>
        <stp>安値</stp>
        <tr r="P246" s="7"/>
      </tp>
      <tp t="s">
        <v>表示銘柄数超過</v>
        <stp/>
        <stp>Market</stp>
        <stp>STOCK</stp>
        <stp>36470.T</stp>
        <stp>安値</stp>
        <tr r="P320" s="7"/>
      </tp>
      <tp t="s">
        <v>表示銘柄数超過</v>
        <stp/>
        <stp>Market</stp>
        <stp>STOCK</stp>
        <stp>36770.T</stp>
        <stp>安値</stp>
        <tr r="P335" s="7"/>
      </tp>
      <tp t="s">
        <v>表示銘柄数超過</v>
        <stp/>
        <stp>Market</stp>
        <stp>STOCK</stp>
        <stp>36670.T</stp>
        <stp>安値</stp>
        <tr r="P330" s="7"/>
      </tp>
      <tp t="s">
        <v>表示銘柄数超過</v>
        <stp/>
        <stp>Market</stp>
        <stp>STOCK</stp>
        <stp>36070.T</stp>
        <stp>安値</stp>
        <tr r="P311" s="7"/>
      </tp>
      <tp t="s">
        <v>表示銘柄数超過</v>
        <stp/>
        <stp>Market</stp>
        <stp>STOCK</stp>
        <stp>36270.T</stp>
        <stp>安値</stp>
        <tr r="P315" s="7"/>
      </tp>
      <tp t="s">
        <v>表示銘柄数超過</v>
        <stp/>
        <stp>Market</stp>
        <stp>STOCK</stp>
        <stp>37470.T</stp>
        <stp>安値</stp>
        <tr r="P350" s="7"/>
      </tp>
      <tp t="s">
        <v>表示銘柄数超過</v>
        <stp/>
        <stp>Market</stp>
        <stp>STOCK</stp>
        <stp>37770.T</stp>
        <stp>安値</stp>
        <tr r="P356" s="7"/>
      </tp>
      <tp t="s">
        <v>表示銘柄数超過</v>
        <stp/>
        <stp>Market</stp>
        <stp>STOCK</stp>
        <stp>37270.T</stp>
        <stp>安値</stp>
        <tr r="P347" s="7"/>
      </tp>
      <tp t="s">
        <v>表示銘柄数超過</v>
        <stp/>
        <stp>Market</stp>
        <stp>STOCK</stp>
        <stp>34070.T</stp>
        <stp>安値</stp>
        <tr r="P295" s="7"/>
      </tp>
      <tp t="s">
        <v>表示銘柄数超過</v>
        <stp/>
        <stp>Market</stp>
        <stp>STOCK</stp>
        <stp>18870.T</stp>
        <stp>安値</stp>
        <tr r="P69" s="7"/>
      </tp>
      <tp t="s">
        <v>表示銘柄数超過</v>
        <stp/>
        <stp>Market</stp>
        <stp>STOCK</stp>
        <stp>18270.T</stp>
        <stp>安値</stp>
        <tr r="P64" s="7"/>
      </tp>
      <tp>
        <v>176</v>
        <stp/>
        <stp>Market</stp>
        <stp>STOCK</stp>
        <stp>13570.T</stp>
        <stp>安値</stp>
        <tr r="P12" s="7"/>
      </tp>
      <tp t="s">
        <v>表示銘柄数超過</v>
        <stp/>
        <stp>Market</stp>
        <stp>STOCK</stp>
        <stp>17570.T</stp>
        <stp>安値</stp>
        <tr r="P54" s="7"/>
      </tp>
      <tp t="s">
        <v>表示銘柄数超過</v>
        <stp/>
        <stp>Market</stp>
        <stp>STOCK</stp>
        <stp>14070.T</stp>
        <stp>安値</stp>
        <tr r="P19" s="7"/>
      </tp>
      <tp t="s">
        <v>表示銘柄数超過</v>
        <stp/>
        <stp>Market</stp>
        <stp>STOCK</stp>
        <stp>88940.T</stp>
        <stp>始値</stp>
        <tr r="L1060" s="7"/>
      </tp>
      <tp t="s">
        <v>表示銘柄数超過</v>
        <stp/>
        <stp>Market</stp>
        <stp>STOCK</stp>
        <stp>88440.T</stp>
        <stp>始値</stp>
        <tr r="L1056" s="7"/>
      </tp>
      <tp t="s">
        <v>表示銘柄数超過</v>
        <stp/>
        <stp>Market</stp>
        <stp>STOCK</stp>
        <stp>88040.T</stp>
        <stp>始値</stp>
        <tr r="L1052" s="7"/>
      </tp>
      <tp t="s">
        <v>表示銘柄数超過</v>
        <stp/>
        <stp>Market</stp>
        <stp>STOCK</stp>
        <stp>89440.T</stp>
        <stp>始値</stp>
        <tr r="L1069" s="7"/>
      </tp>
      <tp>
        <v>2580</v>
        <stp/>
        <stp>Market</stp>
        <stp>STOCK</stp>
        <stp>82440.T</stp>
        <stp>始値</stp>
        <tr r="L997" s="7"/>
      </tp>
      <tp>
        <v>3670</v>
        <stp/>
        <stp>Market</stp>
        <stp>STOCK</stp>
        <stp>81940.T</stp>
        <stp>始値</stp>
        <tr r="L989" s="7"/>
      </tp>
      <tp>
        <v>705</v>
        <stp/>
        <stp>Market</stp>
        <stp>STOCK</stp>
        <stp>81040.T</stp>
        <stp>始値</stp>
        <tr r="L977" s="7"/>
      </tp>
      <tp>
        <v>329</v>
        <stp/>
        <stp>Market</stp>
        <stp>STOCK</stp>
        <stp>86140.T</stp>
        <stp>始値</stp>
        <tr r="L1029" s="7"/>
      </tp>
      <tp>
        <v>810</v>
        <stp/>
        <stp>Market</stp>
        <stp>STOCK</stp>
        <stp>86040.T</stp>
        <stp>始値</stp>
        <tr r="L1026" s="7"/>
      </tp>
      <tp>
        <v>742</v>
        <stp/>
        <stp>Market</stp>
        <stp>STOCK</stp>
        <stp>86240.T</stp>
        <stp>始値</stp>
        <tr r="L1033" s="7"/>
      </tp>
      <tp>
        <v>374</v>
        <stp/>
        <stp>Market</stp>
        <stp>STOCK</stp>
        <stp>85240.T</stp>
        <stp>始値</stp>
        <tr r="L1018" s="7"/>
      </tp>
      <tp t="s">
        <v>表示銘柄数超過</v>
        <stp/>
        <stp>Market</stp>
        <stp>STOCK</stp>
        <stp>98540.T</stp>
        <stp>始値</stp>
        <tr r="L1174" s="7"/>
      </tp>
      <tp t="s">
        <v>表示銘柄数超過</v>
        <stp/>
        <stp>Market</stp>
        <stp>STOCK</stp>
        <stp>99840.T</stp>
        <stp>始値</stp>
        <tr r="L1189" s="7"/>
      </tp>
      <tp t="s">
        <v>表示銘柄数超過</v>
        <stp/>
        <stp>Market</stp>
        <stp>STOCK</stp>
        <stp>99040.T</stp>
        <stp>始値</stp>
        <tr r="L1178" s="7"/>
      </tp>
      <tp t="s">
        <v>表示銘柄数超過</v>
        <stp/>
        <stp>Market</stp>
        <stp>STOCK</stp>
        <stp>92540.T</stp>
        <stp>始値</stp>
        <tr r="L1103" s="7"/>
      </tp>
      <tp t="s">
        <v>表示銘柄数超過</v>
        <stp/>
        <stp>Market</stp>
        <stp>STOCK</stp>
        <stp>92740.T</stp>
        <stp>始値</stp>
        <tr r="L1107" s="7"/>
      </tp>
      <tp t="s">
        <v>表示銘柄数超過</v>
        <stp/>
        <stp>Market</stp>
        <stp>STOCK</stp>
        <stp>90440.T</stp>
        <stp>始値</stp>
        <tr r="L1087" s="7"/>
      </tp>
      <tp t="s">
        <v>表示銘柄数超過</v>
        <stp/>
        <stp>Market</stp>
        <stp>STOCK</stp>
        <stp>90640.T</stp>
        <stp>始値</stp>
        <tr r="L1091" s="7"/>
      </tp>
      <tp t="s">
        <v>表示銘柄数超過</v>
        <stp/>
        <stp>Market</stp>
        <stp>STOCK</stp>
        <stp>90240.T</stp>
        <stp>始値</stp>
        <tr r="L1083" s="7"/>
      </tp>
      <tp t="s">
        <v>表示銘柄数超過</v>
        <stp/>
        <stp>Market</stp>
        <stp>STOCK</stp>
        <stp>91040.T</stp>
        <stp>始値</stp>
        <tr r="L1094" s="7"/>
      </tp>
      <tp t="s">
        <v>表示銘柄数超過</v>
        <stp/>
        <stp>Market</stp>
        <stp>STOCK</stp>
        <stp>94440.T</stp>
        <stp>始値</stp>
        <tr r="L1132" s="7"/>
      </tp>
      <tp t="s">
        <v>表示銘柄数超過</v>
        <stp/>
        <stp>Market</stp>
        <stp>STOCK</stp>
        <stp>94740.T</stp>
        <stp>始値</stp>
        <tr r="L1136" s="7"/>
      </tp>
      <tp t="s">
        <v>表示銘柄数超過</v>
        <stp/>
        <stp>Market</stp>
        <stp>STOCK</stp>
        <stp>94140.T</stp>
        <stp>始値</stp>
        <tr r="L1120" s="7"/>
      </tp>
      <tp t="s">
        <v>表示銘柄数超過</v>
        <stp/>
        <stp>Market</stp>
        <stp>STOCK</stp>
        <stp>94040.T</stp>
        <stp>始値</stp>
        <tr r="L1115" s="7"/>
      </tp>
      <tp>
        <v>1947</v>
        <stp/>
        <stp>Market</stp>
        <stp>STOCK</stp>
        <stp>94340.T</stp>
        <stp>始値</stp>
        <tr r="L1129" s="7"/>
      </tp>
      <tp t="s">
        <v>表示銘柄数超過</v>
        <stp/>
        <stp>Market</stp>
        <stp>STOCK</stp>
        <stp>94240.T</stp>
        <stp>始値</stp>
        <tr r="L1125" s="7"/>
      </tp>
      <tp t="s">
        <v>表示銘柄数超過</v>
        <stp/>
        <stp>Market</stp>
        <stp>STOCK</stp>
        <stp>95140.T</stp>
        <stp>始値</stp>
        <tr r="L1150" s="7"/>
      </tp>
      <tp t="s">
        <v>表示銘柄数超過</v>
        <stp/>
        <stp>Market</stp>
        <stp>STOCK</stp>
        <stp>95040.T</stp>
        <stp>始値</stp>
        <tr r="L1143" s="7"/>
      </tp>
      <tp t="s">
        <v>表示銘柄数超過</v>
        <stp/>
        <stp>Market</stp>
        <stp>STOCK</stp>
        <stp>48140.T</stp>
        <stp>始値</stp>
        <tr r="L537" s="7"/>
      </tp>
      <tp t="s">
        <v>表示銘柄数超過</v>
        <stp/>
        <stp>Market</stp>
        <stp>STOCK</stp>
        <stp>48240.T</stp>
        <stp>始値</stp>
        <tr r="L539" s="7"/>
      </tp>
      <tp t="s">
        <v>表示銘柄数超過</v>
        <stp/>
        <stp>Market</stp>
        <stp>STOCK</stp>
        <stp>42740.T</stp>
        <stp>始値</stp>
        <tr r="L435" s="7"/>
      </tp>
      <tp t="s">
        <v>表示銘柄数超過</v>
        <stp/>
        <stp>Market</stp>
        <stp>STOCK</stp>
        <stp>42640.T</stp>
        <stp>始値</stp>
        <tr r="L433" s="7"/>
      </tp>
      <tp t="s">
        <v>表示銘柄数超過</v>
        <stp/>
        <stp>Market</stp>
        <stp>STOCK</stp>
        <stp>43740.T</stp>
        <stp>始値</stp>
        <tr r="L451" s="7"/>
      </tp>
      <tp t="s">
        <v>表示銘柄数超過</v>
        <stp/>
        <stp>Market</stp>
        <stp>STOCK</stp>
        <stp>43040.T</stp>
        <stp>始値</stp>
        <tr r="L440" s="7"/>
      </tp>
      <tp t="s">
        <v>表示銘柄数超過</v>
        <stp/>
        <stp>Market</stp>
        <stp>STOCK</stp>
        <stp>43240.T</stp>
        <stp>始値</stp>
        <tr r="L443" s="7"/>
      </tp>
      <tp t="s">
        <v>表示銘柄数超過</v>
        <stp/>
        <stp>Market</stp>
        <stp>STOCK</stp>
        <stp>40040.T</stp>
        <stp>始値</stp>
        <tr r="L410" s="7"/>
      </tp>
      <tp t="s">
        <v>表示銘柄数超過</v>
        <stp/>
        <stp>Market</stp>
        <stp>STOCK</stp>
        <stp>46640.T</stp>
        <stp>始値</stp>
        <tr r="L515" s="7"/>
      </tp>
      <tp t="s">
        <v>表示銘柄数超過</v>
        <stp/>
        <stp>Market</stp>
        <stp>STOCK</stp>
        <stp>47840.T</stp>
        <stp>始値</stp>
        <tr r="L535" s="7"/>
      </tp>
      <tp t="s">
        <v>表示銘柄数超過</v>
        <stp/>
        <stp>Market</stp>
        <stp>STOCK</stp>
        <stp>47140.T</stp>
        <stp>始値</stp>
        <tr r="L524" s="7"/>
      </tp>
      <tp t="s">
        <v>表示銘柄数超過</v>
        <stp/>
        <stp>Market</stp>
        <stp>STOCK</stp>
        <stp>44840.T</stp>
        <stp>始値</stp>
        <tr r="L475" s="7"/>
      </tp>
      <tp t="s">
        <v>表示銘柄数超過</v>
        <stp/>
        <stp>Market</stp>
        <stp>STOCK</stp>
        <stp>44440.T</stp>
        <stp>始値</stp>
        <tr r="L467" s="7"/>
      </tp>
      <tp t="s">
        <v>表示銘柄数超過</v>
        <stp/>
        <stp>Market</stp>
        <stp>STOCK</stp>
        <stp>44140.T</stp>
        <stp>始値</stp>
        <tr r="L460" s="7"/>
      </tp>
      <tp t="s">
        <v>表示銘柄数超過</v>
        <stp/>
        <stp>Market</stp>
        <stp>STOCK</stp>
        <stp>45940.T</stp>
        <stp>始値</stp>
        <tr r="L505" s="7"/>
      </tp>
      <tp t="s">
        <v>表示銘柄数超過</v>
        <stp/>
        <stp>Market</stp>
        <stp>STOCK</stp>
        <stp>45840.T</stp>
        <stp>始値</stp>
        <tr r="L499" s="7"/>
      </tp>
      <tp t="s">
        <v>表示銘柄数超過</v>
        <stp/>
        <stp>Market</stp>
        <stp>STOCK</stp>
        <stp>45540.T</stp>
        <stp>始値</stp>
        <tr r="L484" s="7"/>
      </tp>
      <tp t="s">
        <v>表示銘柄数超過</v>
        <stp/>
        <stp>Market</stp>
        <stp>STOCK</stp>
        <stp>45740.T</stp>
        <stp>始値</stp>
        <tr r="L493" s="7"/>
      </tp>
      <tp t="s">
        <v>表示銘柄数超過</v>
        <stp/>
        <stp>Market</stp>
        <stp>STOCK</stp>
        <stp>45640.T</stp>
        <stp>始値</stp>
        <tr r="L487" s="7"/>
      </tp>
      <tp>
        <v>1114</v>
        <stp/>
        <stp>Market</stp>
        <stp>STOCK</stp>
        <stp>59940.T</stp>
        <stp>始値</stp>
        <tr r="L634" s="7"/>
      </tp>
      <tp>
        <v>352</v>
        <stp/>
        <stp>Market</stp>
        <stp>STOCK</stp>
        <stp>52440.T</stp>
        <stp>始値</stp>
        <tr r="L578" s="7"/>
      </tp>
      <tp>
        <v>3510</v>
        <stp/>
        <stp>Market</stp>
        <stp>STOCK</stp>
        <stp>52040.T</stp>
        <stp>始値</stp>
        <tr r="L575" s="7"/>
      </tp>
      <tp>
        <v>4062</v>
        <stp/>
        <stp>Market</stp>
        <stp>STOCK</stp>
        <stp>53340.T</stp>
        <stp>始値</stp>
        <tr r="L586" s="7"/>
      </tp>
      <tp t="s">
        <v>表示銘柄数超過</v>
        <stp/>
        <stp>Market</stp>
        <stp>STOCK</stp>
        <stp>50740.T</stp>
        <stp>始値</stp>
        <tr r="L566" s="7"/>
      </tp>
      <tp>
        <v>1341</v>
        <stp/>
        <stp>Market</stp>
        <stp>STOCK</stp>
        <stp>57040.T</stp>
        <stp>始値</stp>
        <tr r="L606" s="7"/>
      </tp>
      <tp>
        <v>2018</v>
        <stp/>
        <stp>Market</stp>
        <stp>STOCK</stp>
        <stp>68140.T</stp>
        <stp>始値</stp>
        <tr r="L775" s="7"/>
      </tp>
      <tp>
        <v>433</v>
        <stp/>
        <stp>Market</stp>
        <stp>STOCK</stp>
        <stp>69940.T</stp>
        <stp>始値</stp>
        <tr r="L802" s="7"/>
      </tp>
      <tp>
        <v>3960</v>
        <stp/>
        <stp>Market</stp>
        <stp>STOCK</stp>
        <stp>69540.T</stp>
        <stp>始値</stp>
        <tr r="L794" s="7"/>
      </tp>
      <tp>
        <v>2493</v>
        <stp/>
        <stp>Market</stp>
        <stp>STOCK</stp>
        <stp>63640.T</stp>
        <stp>始値</stp>
        <tr r="L694" s="7"/>
      </tp>
      <tp>
        <v>370</v>
        <stp/>
        <stp>Market</stp>
        <stp>STOCK</stp>
        <stp>63340.T</stp>
        <stp>始値</stp>
        <tr r="L689" s="7"/>
      </tp>
      <tp>
        <v>250</v>
        <stp/>
        <stp>Market</stp>
        <stp>STOCK</stp>
        <stp>60540.T</stp>
        <stp>始値</stp>
        <tr r="L646" s="7"/>
      </tp>
      <tp>
        <v>1365</v>
        <stp/>
        <stp>Market</stp>
        <stp>STOCK</stp>
        <stp>60440.T</stp>
        <stp>始値</stp>
        <tr r="L641" s="7"/>
      </tp>
      <tp>
        <v>687</v>
        <stp/>
        <stp>Market</stp>
        <stp>STOCK</stp>
        <stp>61940.T</stp>
        <stp>始値</stp>
        <tr r="L675" s="7"/>
      </tp>
      <tp>
        <v>617</v>
        <stp/>
        <stp>Market</stp>
        <stp>STOCK</stp>
        <stp>61840.T</stp>
        <stp>始値</stp>
        <tr r="L669" s="7"/>
      </tp>
      <tp>
        <v>3350</v>
        <stp/>
        <stp>Market</stp>
        <stp>STOCK</stp>
        <stp>61040.T</stp>
        <stp>始値</stp>
        <tr r="L655" s="7"/>
      </tp>
      <tp>
        <v>2471</v>
        <stp/>
        <stp>Market</stp>
        <stp>STOCK</stp>
        <stp>61340.T</stp>
        <stp>始値</stp>
        <tr r="L657" s="7"/>
      </tp>
      <tp>
        <v>1156</v>
        <stp/>
        <stp>Market</stp>
        <stp>STOCK</stp>
        <stp>66540.T</stp>
        <stp>始値</stp>
        <tr r="L747" s="7"/>
      </tp>
      <tp>
        <v>701</v>
        <stp/>
        <stp>Market</stp>
        <stp>STOCK</stp>
        <stp>66440.T</stp>
        <stp>始値</stp>
        <tr r="L746" s="7"/>
      </tp>
      <tp>
        <v>135</v>
        <stp/>
        <stp>Market</stp>
        <stp>STOCK</stp>
        <stp>66340.T</stp>
        <stp>始値</stp>
        <tr r="L743" s="7"/>
      </tp>
      <tp>
        <v>1185</v>
        <stp/>
        <stp>Market</stp>
        <stp>STOCK</stp>
        <stp>67540.T</stp>
        <stp>始値</stp>
        <tr r="L766" s="7"/>
      </tp>
      <tp>
        <v>95</v>
        <stp/>
        <stp>Market</stp>
        <stp>STOCK</stp>
        <stp>64940.T</stp>
        <stp>始値</stp>
        <tr r="L710" s="7"/>
      </tp>
      <tp>
        <v>186</v>
        <stp/>
        <stp>Market</stp>
        <stp>STOCK</stp>
        <stp>64440.T</stp>
        <stp>始値</stp>
        <tr r="L703" s="7"/>
      </tp>
      <tp>
        <v>5411</v>
        <stp/>
        <stp>Market</stp>
        <stp>STOCK</stp>
        <stp>65940.T</stp>
        <stp>始値</stp>
        <tr r="L735" s="7"/>
      </tp>
      <tp>
        <v>879</v>
        <stp/>
        <stp>Market</stp>
        <stp>STOCK</stp>
        <stp>65840.T</stp>
        <stp>始値</stp>
        <tr r="L733" s="7"/>
      </tp>
      <tp>
        <v>822</v>
        <stp/>
        <stp>Market</stp>
        <stp>STOCK</stp>
        <stp>65540.T</stp>
        <stp>始値</stp>
        <tr r="L725" s="7"/>
      </tp>
      <tp>
        <v>800</v>
        <stp/>
        <stp>Market</stp>
        <stp>STOCK</stp>
        <stp>65740.T</stp>
        <stp>始値</stp>
        <tr r="L730" s="7"/>
      </tp>
      <tp>
        <v>7984</v>
        <stp/>
        <stp>Market</stp>
        <stp>STOCK</stp>
        <stp>65040.T</stp>
        <stp>始値</stp>
        <tr r="L716" s="7"/>
      </tp>
      <tp>
        <v>749</v>
        <stp/>
        <stp>Market</stp>
        <stp>STOCK</stp>
        <stp>78440.T</stp>
        <stp>始値</stp>
        <tr r="L945" s="7"/>
      </tp>
      <tp>
        <v>605</v>
        <stp/>
        <stp>Market</stp>
        <stp>STOCK</stp>
        <stp>78140.T</stp>
        <stp>始値</stp>
        <tr r="L940" s="7"/>
      </tp>
      <tp>
        <v>8405</v>
        <stp/>
        <stp>Market</stp>
        <stp>STOCK</stp>
        <stp>79740.T</stp>
        <stp>始値</stp>
        <tr r="L962" s="7"/>
      </tp>
      <tp>
        <v>988</v>
        <stp/>
        <stp>Market</stp>
        <stp>STOCK</stp>
        <stp>72940.T</stp>
        <stp>始値</stp>
        <tr r="L872" s="7"/>
      </tp>
      <tp>
        <v>605</v>
        <stp/>
        <stp>Market</stp>
        <stp>STOCK</stp>
        <stp>72540.T</stp>
        <stp>始値</stp>
        <tr r="L861" s="7"/>
      </tp>
      <tp>
        <v>1259</v>
        <stp/>
        <stp>Market</stp>
        <stp>STOCK</stp>
        <stp>72140.T</stp>
        <stp>始値</stp>
        <tr r="L851" s="7"/>
      </tp>
      <tp>
        <v>1855</v>
        <stp/>
        <stp>Market</stp>
        <stp>STOCK</stp>
        <stp>73840.T</stp>
        <stp>始値</stp>
        <tr r="L885" s="7"/>
      </tp>
      <tp>
        <v>318</v>
        <stp/>
        <stp>Market</stp>
        <stp>STOCK</stp>
        <stp>70440.T</stp>
        <stp>始値</stp>
        <tr r="L814" s="7"/>
      </tp>
      <tp>
        <v>255</v>
        <stp/>
        <stp>Market</stp>
        <stp>STOCK</stp>
        <stp>70740.T</stp>
        <stp>始値</stp>
        <tr r="L823" s="7"/>
      </tp>
      <tp>
        <v>1312</v>
        <stp/>
        <stp>Market</stp>
        <stp>STOCK</stp>
        <stp>70140.T</stp>
        <stp>始値</stp>
        <tr r="L809" s="7"/>
      </tp>
      <tp>
        <v>990</v>
        <stp/>
        <stp>Market</stp>
        <stp>STOCK</stp>
        <stp>70040.T</stp>
        <stp>始値</stp>
        <tr r="L805" s="7"/>
      </tp>
      <tp>
        <v>851</v>
        <stp/>
        <stp>Market</stp>
        <stp>STOCK</stp>
        <stp>71840.T</stp>
        <stp>始値</stp>
        <tr r="L841" s="7"/>
      </tp>
      <tp>
        <v>146</v>
        <stp/>
        <stp>Market</stp>
        <stp>STOCK</stp>
        <stp>76240.T</stp>
        <stp>始値</stp>
        <tr r="L916" s="7"/>
      </tp>
      <tp>
        <v>1474</v>
        <stp/>
        <stp>Market</stp>
        <stp>STOCK</stp>
        <stp>77940.T</stp>
        <stp>始値</stp>
        <tr r="L936" s="7"/>
      </tp>
      <tp>
        <v>421</v>
        <stp/>
        <stp>Market</stp>
        <stp>STOCK</stp>
        <stp>74940.T</stp>
        <stp>始値</stp>
        <tr r="L894" s="7"/>
      </tp>
      <tp>
        <v>433</v>
        <stp/>
        <stp>Market</stp>
        <stp>STOCK</stp>
        <stp>75440.T</stp>
        <stp>始値</stp>
        <tr r="L903" s="7"/>
      </tp>
      <tp>
        <v>938</v>
        <stp/>
        <stp>Market</stp>
        <stp>STOCK</stp>
        <stp>75140.T</stp>
        <stp>始値</stp>
        <tr r="L898" s="7"/>
      </tp>
      <tp t="s">
        <v>表示銘柄数超過</v>
        <stp/>
        <stp>Market</stp>
        <stp>STOCK</stp>
        <stp>18440.T</stp>
        <stp>始値</stp>
        <tr r="L66" s="7"/>
      </tp>
      <tp t="s">
        <v>表示銘柄数超過</v>
        <stp/>
        <stp>Market</stp>
        <stp>STOCK</stp>
        <stp>19940.T</stp>
        <stp>始値</stp>
        <tr r="L86" s="7"/>
      </tp>
      <tp t="s">
        <v>表示銘柄数超過</v>
        <stp/>
        <stp>Market</stp>
        <stp>STOCK</stp>
        <stp>19140.T</stp>
        <stp>始値</stp>
        <tr r="L73" s="7"/>
      </tp>
      <tp t="s">
        <v>表示銘柄数超過</v>
        <stp/>
        <stp>Market</stp>
        <stp>STOCK</stp>
        <stp>15140.T</stp>
        <stp>始値</stp>
        <tr r="L30" s="7"/>
      </tp>
      <tp t="s">
        <v>表示銘柄数超過</v>
        <stp/>
        <stp>Market</stp>
        <stp>STOCK</stp>
        <stp>28940.T</stp>
        <stp>始値</stp>
        <tr r="L212" s="7"/>
      </tp>
      <tp>
        <v>3934</v>
        <stp/>
        <stp>Market</stp>
        <stp>STOCK</stp>
        <stp>29140.T</stp>
        <stp>始値</stp>
        <tr r="L214" s="7"/>
      </tp>
      <tp t="s">
        <v>表示銘柄数超過</v>
        <stp/>
        <stp>Market</stp>
        <stp>STOCK</stp>
        <stp>23540.T</stp>
        <stp>始値</stp>
        <tr r="L125" s="7"/>
      </tp>
      <tp t="s">
        <v>表示銘柄数超過</v>
        <stp/>
        <stp>Market</stp>
        <stp>STOCK</stp>
        <stp>23440.T</stp>
        <stp>始値</stp>
        <tr r="L121" s="7"/>
      </tp>
      <tp t="s">
        <v>表示銘柄数超過</v>
        <stp/>
        <stp>Market</stp>
        <stp>STOCK</stp>
        <stp>23040.T</stp>
        <stp>始値</stp>
        <tr r="L111" s="7"/>
      </tp>
      <tp t="s">
        <v>表示銘柄数超過</v>
        <stp/>
        <stp>Market</stp>
        <stp>STOCK</stp>
        <stp>21540.T</stp>
        <stp>始値</stp>
        <tr r="L96" s="7"/>
      </tp>
      <tp t="s">
        <v>表示銘柄数超過</v>
        <stp/>
        <stp>Market</stp>
        <stp>STOCK</stp>
        <stp>21640.T</stp>
        <stp>始値</stp>
        <tr r="L100" s="7"/>
      </tp>
      <tp t="s">
        <v>表示銘柄数超過</v>
        <stp/>
        <stp>Market</stp>
        <stp>STOCK</stp>
        <stp>21140.T</stp>
        <stp>始値</stp>
        <tr r="L89" s="7"/>
      </tp>
      <tp t="s">
        <v>表示銘柄数超過</v>
        <stp/>
        <stp>Market</stp>
        <stp>STOCK</stp>
        <stp>21340.T</stp>
        <stp>始値</stp>
        <tr r="L92" s="7"/>
      </tp>
      <tp t="s">
        <v>表示銘柄数超過</v>
        <stp/>
        <stp>Market</stp>
        <stp>STOCK</stp>
        <stp>26940.T</stp>
        <stp>始値</stp>
        <tr r="L184" s="7"/>
      </tp>
      <tp t="s">
        <v>表示銘柄数超過</v>
        <stp/>
        <stp>Market</stp>
        <stp>STOCK</stp>
        <stp>26740.T</stp>
        <stp>始値</stp>
        <tr r="L179" s="7"/>
      </tp>
      <tp t="s">
        <v>表示銘柄数超過</v>
        <stp/>
        <stp>Market</stp>
        <stp>STOCK</stp>
        <stp>26340.T</stp>
        <stp>始値</stp>
        <tr r="L173" s="7"/>
      </tp>
      <tp t="s">
        <v>表示銘柄数超過</v>
        <stp/>
        <stp>Market</stp>
        <stp>STOCK</stp>
        <stp>26240.T</stp>
        <stp>始値</stp>
        <tr r="L171" s="7"/>
      </tp>
      <tp t="s">
        <v>表示銘柄数超過</v>
        <stp/>
        <stp>Market</stp>
        <stp>STOCK</stp>
        <stp>27640.T</stp>
        <stp>始値</stp>
        <tr r="L194" s="7"/>
      </tp>
      <tp t="s">
        <v>表示銘柄数超過</v>
        <stp/>
        <stp>Market</stp>
        <stp>STOCK</stp>
        <stp>27340.T</stp>
        <stp>始値</stp>
        <tr r="L189" s="7"/>
      </tp>
      <tp t="s">
        <v>表示銘柄数超過</v>
        <stp/>
        <stp>Market</stp>
        <stp>STOCK</stp>
        <stp>24840.T</stp>
        <stp>始値</stp>
        <tr r="L152" s="7"/>
      </tp>
      <tp t="s">
        <v>表示銘柄数超過</v>
        <stp/>
        <stp>Market</stp>
        <stp>STOCK</stp>
        <stp>24040.T</stp>
        <stp>始値</stp>
        <tr r="L133" s="7"/>
      </tp>
      <tp t="s">
        <v>表示銘柄数超過</v>
        <stp/>
        <stp>Market</stp>
        <stp>STOCK</stp>
        <stp>38640.T</stp>
        <stp>始値</stp>
        <tr r="L381" s="7"/>
      </tp>
      <tp t="s">
        <v>表示銘柄数超過</v>
        <stp/>
        <stp>Market</stp>
        <stp>STOCK</stp>
        <stp>38140.T</stp>
        <stp>始値</stp>
        <tr r="L363" s="7"/>
      </tp>
      <tp t="s">
        <v>表示銘柄数超過</v>
        <stp/>
        <stp>Market</stp>
        <stp>STOCK</stp>
        <stp>39340.T</stp>
        <stp>始値</stp>
        <tr r="L396" s="7"/>
      </tp>
      <tp t="s">
        <v>表示銘柄数超過</v>
        <stp/>
        <stp>Market</stp>
        <stp>STOCK</stp>
        <stp>32840.T</stp>
        <stp>始値</stp>
        <tr r="L269" s="7"/>
      </tp>
      <tp t="s">
        <v>表示銘柄数超過</v>
        <stp/>
        <stp>Market</stp>
        <stp>STOCK</stp>
        <stp>32440.T</stp>
        <stp>始値</stp>
        <tr r="L264" s="7"/>
      </tp>
      <tp t="s">
        <v>表示銘柄数超過</v>
        <stp/>
        <stp>Market</stp>
        <stp>STOCK</stp>
        <stp>32640.T</stp>
        <stp>始値</stp>
        <tr r="L266" s="7"/>
      </tp>
      <tp t="s">
        <v>表示銘柄数超過</v>
        <stp/>
        <stp>Market</stp>
        <stp>STOCK</stp>
        <stp>30640.T</stp>
        <stp>始値</stp>
        <tr r="L234" s="7"/>
      </tp>
      <tp t="s">
        <v>表示銘柄数超過</v>
        <stp/>
        <stp>Market</stp>
        <stp>STOCK</stp>
        <stp>30040.T</stp>
        <stp>始値</stp>
        <tr r="L222" s="7"/>
      </tp>
      <tp t="s">
        <v>表示銘柄数超過</v>
        <stp/>
        <stp>Market</stp>
        <stp>STOCK</stp>
        <stp>30340.T</stp>
        <stp>始値</stp>
        <tr r="L227" s="7"/>
      </tp>
      <tp t="s">
        <v>表示銘柄数超過</v>
        <stp/>
        <stp>Market</stp>
        <stp>STOCK</stp>
        <stp>31540.T</stp>
        <stp>始値</stp>
        <tr r="L248" s="7"/>
      </tp>
      <tp t="s">
        <v>表示銘柄数超過</v>
        <stp/>
        <stp>Market</stp>
        <stp>STOCK</stp>
        <stp>36740.T</stp>
        <stp>始値</stp>
        <tr r="L333" s="7"/>
      </tp>
      <tp t="s">
        <v>表示銘柄数超過</v>
        <stp/>
        <stp>Market</stp>
        <stp>STOCK</stp>
        <stp>36640.T</stp>
        <stp>始値</stp>
        <tr r="L327" s="7"/>
      </tp>
      <tp t="s">
        <v>表示銘柄数超過</v>
        <stp/>
        <stp>Market</stp>
        <stp>STOCK</stp>
        <stp>36240.T</stp>
        <stp>始値</stp>
        <tr r="L312" s="7"/>
      </tp>
      <tp t="s">
        <v>表示銘柄数超過</v>
        <stp/>
        <stp>Market</stp>
        <stp>STOCK</stp>
        <stp>37840.T</stp>
        <stp>始値</stp>
        <tr r="L359" s="7"/>
      </tp>
      <tp t="s">
        <v>表示銘柄数超過</v>
        <stp/>
        <stp>Market</stp>
        <stp>STOCK</stp>
        <stp>34540.T</stp>
        <stp>始値</stp>
        <tr r="L300" s="7"/>
      </tp>
      <tp t="s">
        <v>表示銘柄数超過</v>
        <stp/>
        <stp>Market</stp>
        <stp>STOCK</stp>
        <stp>34640.T</stp>
        <stp>始値</stp>
        <tr r="L302" s="7"/>
      </tp>
      <tp t="s">
        <v>表示銘柄数超過</v>
        <stp/>
        <stp>Market</stp>
        <stp>STOCK</stp>
        <stp>89960.T</stp>
        <stp>安値</stp>
        <tr r="P1072" s="7"/>
      </tp>
      <tp t="s">
        <v>表示銘柄数超過</v>
        <stp/>
        <stp>Market</stp>
        <stp>STOCK</stp>
        <stp>89460.T</stp>
        <stp>安値</stp>
        <tr r="P1071" s="7"/>
      </tp>
      <tp t="s">
        <v/>
        <stp/>
        <stp>Market</stp>
        <stp>STOCK</stp>
        <stp>82560.T</stp>
        <stp>安値</stp>
        <tr r="P1000" s="7"/>
      </tp>
      <tp>
        <v>209</v>
        <stp/>
        <stp>Market</stp>
        <stp>STOCK</stp>
        <stp>82260.T</stp>
        <stp>安値</stp>
        <tr r="P993" s="7"/>
      </tp>
      <tp>
        <v>7598</v>
        <stp/>
        <stp>Market</stp>
        <stp>STOCK</stp>
        <stp>83160.T</stp>
        <stp>安値</stp>
        <tr r="P1003" s="7"/>
      </tp>
      <tp>
        <v>4472</v>
        <stp/>
        <stp>Market</stp>
        <stp>STOCK</stp>
        <stp>80560.T</stp>
        <stp>安値</stp>
        <tr r="P971" s="7"/>
      </tp>
      <tp>
        <v>538</v>
        <stp/>
        <stp>Market</stp>
        <stp>STOCK</stp>
        <stp>80160.T</stp>
        <stp>安値</stp>
        <tr r="P967" s="7"/>
      </tp>
      <tp>
        <v>65</v>
        <stp/>
        <stp>Market</stp>
        <stp>STOCK</stp>
        <stp>81660.T</stp>
        <stp>安値</stp>
        <tr r="P986" s="7"/>
      </tp>
      <tp>
        <v>562</v>
        <stp/>
        <stp>Market</stp>
        <stp>STOCK</stp>
        <stp>86160.T</stp>
        <stp>安値</stp>
        <tr r="P1030" s="7"/>
      </tp>
      <tp>
        <v>99</v>
        <stp/>
        <stp>Market</stp>
        <stp>STOCK</stp>
        <stp>87460.T</stp>
        <stp>安値</stp>
        <tr r="P1043" s="7"/>
      </tp>
      <tp t="s">
        <v>表示銘柄数超過</v>
        <stp/>
        <stp>Market</stp>
        <stp>STOCK</stp>
        <stp>87660.T</stp>
        <stp>安値</stp>
        <tr r="P1045" s="7"/>
      </tp>
      <tp>
        <v>971</v>
        <stp/>
        <stp>Market</stp>
        <stp>STOCK</stp>
        <stp>87060.T</stp>
        <stp>安値</stp>
        <tr r="P1038" s="7"/>
      </tp>
      <tp>
        <v>930</v>
        <stp/>
        <stp>Market</stp>
        <stp>STOCK</stp>
        <stp>84160.T</stp>
        <stp>安値</stp>
        <tr r="P1011" s="7"/>
      </tp>
      <tp t="s">
        <v>表示銘柄数超過</v>
        <stp/>
        <stp>Market</stp>
        <stp>STOCK</stp>
        <stp>98760.T</stp>
        <stp>安値</stp>
        <tr r="P1175" s="7"/>
      </tp>
      <tp t="s">
        <v>表示銘柄数超過</v>
        <stp/>
        <stp>Market</stp>
        <stp>STOCK</stp>
        <stp>99460.T</stp>
        <stp>安値</stp>
        <tr r="P1184" s="7"/>
      </tp>
      <tp t="s">
        <v>表示銘柄数超過</v>
        <stp/>
        <stp>Market</stp>
        <stp>STOCK</stp>
        <stp>90060.T</stp>
        <stp>安値</stp>
        <tr r="P1076" s="7"/>
      </tp>
      <tp t="s">
        <v>表示銘柄数超過</v>
        <stp/>
        <stp>Market</stp>
        <stp>STOCK</stp>
        <stp>96560.T</stp>
        <stp>安値</stp>
        <tr r="P1161" s="7"/>
      </tp>
      <tp t="s">
        <v>表示銘柄数超過</v>
        <stp/>
        <stp>Market</stp>
        <stp>STOCK</stp>
        <stp>94760.T</stp>
        <stp>安値</stp>
        <tr r="P1138" s="7"/>
      </tp>
      <tp t="s">
        <v>表示銘柄数超過</v>
        <stp/>
        <stp>Market</stp>
        <stp>STOCK</stp>
        <stp>94660.T</stp>
        <stp>安値</stp>
        <tr r="P1134" s="7"/>
      </tp>
      <tp t="s">
        <v>表示銘柄数超過</v>
        <stp/>
        <stp>Market</stp>
        <stp>STOCK</stp>
        <stp>94360.T</stp>
        <stp>安値</stp>
        <tr r="P1130" s="7"/>
      </tp>
      <tp t="s">
        <v>表示銘柄数超過</v>
        <stp/>
        <stp>Market</stp>
        <stp>STOCK</stp>
        <stp>95060.T</stp>
        <stp>安値</stp>
        <tr r="P1145" s="7"/>
      </tp>
      <tp>
        <v>504</v>
        <stp/>
        <stp>Market</stp>
        <stp>STOCK</stp>
        <stp>69860.T</stp>
        <stp>安値</stp>
        <tr r="P800" s="7"/>
      </tp>
      <tp>
        <v>3431</v>
        <stp/>
        <stp>Market</stp>
        <stp>STOCK</stp>
        <stp>69760.T</stp>
        <stp>安値</stp>
        <tr r="P797" s="7"/>
      </tp>
      <tp>
        <v>727</v>
        <stp/>
        <stp>Market</stp>
        <stp>STOCK</stp>
        <stp>62860.T</stp>
        <stp>安値</stp>
        <tr r="P683" s="7"/>
      </tp>
      <tp>
        <v>1151</v>
        <stp/>
        <stp>Market</stp>
        <stp>STOCK</stp>
        <stp>62260.T</stp>
        <stp>安値</stp>
        <tr r="P679" s="7"/>
      </tp>
      <tp>
        <v>661</v>
        <stp/>
        <stp>Market</stp>
        <stp>STOCK</stp>
        <stp>63560.T</stp>
        <stp>安値</stp>
        <tr r="P693" s="7"/>
      </tp>
      <tp>
        <v>353</v>
        <stp/>
        <stp>Market</stp>
        <stp>STOCK</stp>
        <stp>63660.T</stp>
        <stp>安値</stp>
        <tr r="P695" s="7"/>
      </tp>
      <tp>
        <v>699</v>
        <stp/>
        <stp>Market</stp>
        <stp>STOCK</stp>
        <stp>63360.T</stp>
        <stp>安値</stp>
        <tr r="P690" s="7"/>
      </tp>
      <tp>
        <v>908</v>
        <stp/>
        <stp>Market</stp>
        <stp>STOCK</stp>
        <stp>60960.T</stp>
        <stp>安値</stp>
        <tr r="P653" s="7"/>
      </tp>
      <tp>
        <v>173</v>
        <stp/>
        <stp>Market</stp>
        <stp>STOCK</stp>
        <stp>60460.T</stp>
        <stp>安値</stp>
        <tr r="P642" s="7"/>
      </tp>
      <tp>
        <v>618</v>
        <stp/>
        <stp>Market</stp>
        <stp>STOCK</stp>
        <stp>61860.T</stp>
        <stp>安値</stp>
        <tr r="P671" s="7"/>
      </tp>
      <tp>
        <v>42390</v>
        <stp/>
        <stp>Market</stp>
        <stp>STOCK</stp>
        <stp>61460.T</stp>
        <stp>安値</stp>
        <tr r="P659" s="7"/>
      </tp>
      <tp>
        <v>666</v>
        <stp/>
        <stp>Market</stp>
        <stp>STOCK</stp>
        <stp>61760.T</stp>
        <stp>安値</stp>
        <tr r="P664" s="7"/>
      </tp>
      <tp>
        <v>380</v>
        <stp/>
        <stp>Market</stp>
        <stp>STOCK</stp>
        <stp>61660.T</stp>
        <stp>安値</stp>
        <tr r="P661" s="7"/>
      </tp>
      <tp>
        <v>254</v>
        <stp/>
        <stp>Market</stp>
        <stp>STOCK</stp>
        <stp>66960.T</stp>
        <stp>安値</stp>
        <tr r="P753" s="7"/>
      </tp>
      <tp>
        <v>3235</v>
        <stp/>
        <stp>Market</stp>
        <stp>STOCK</stp>
        <stp>66760.T</stp>
        <stp>安値</stp>
        <tr r="P751" s="7"/>
      </tp>
      <tp>
        <v>594</v>
        <stp/>
        <stp>Market</stp>
        <stp>STOCK</stp>
        <stp>66660.T</stp>
        <stp>安値</stp>
        <tr r="P750" s="7"/>
      </tp>
      <tp>
        <v>444</v>
        <stp/>
        <stp>Market</stp>
        <stp>STOCK</stp>
        <stp>67760.T</stp>
        <stp>安値</stp>
        <tr r="P771" s="7"/>
      </tp>
      <tp>
        <v>833</v>
        <stp/>
        <stp>Market</stp>
        <stp>STOCK</stp>
        <stp>65560.T</stp>
        <stp>安値</stp>
        <tr r="P727" s="7"/>
      </tp>
      <tp>
        <v>1488</v>
        <stp/>
        <stp>Market</stp>
        <stp>STOCK</stp>
        <stp>78560.T</stp>
        <stp>安値</stp>
        <tr r="P947" s="7"/>
      </tp>
      <tp>
        <v>88</v>
        <stp/>
        <stp>Market</stp>
        <stp>STOCK</stp>
        <stp>78360.T</stp>
        <stp>安値</stp>
        <tr r="P943" s="7"/>
      </tp>
      <tp>
        <v>182</v>
        <stp/>
        <stp>Market</stp>
        <stp>STOCK</stp>
        <stp>72560.T</stp>
        <stp>安値</stp>
        <tr r="P862" s="7"/>
      </tp>
      <tp>
        <v>659</v>
        <stp/>
        <stp>Market</stp>
        <stp>STOCK</stp>
        <stp>72460.T</stp>
        <stp>安値</stp>
        <tr r="P859" s="7"/>
      </tp>
      <tp>
        <v>3630</v>
        <stp/>
        <stp>Market</stp>
        <stp>STOCK</stp>
        <stp>72360.T</stp>
        <stp>安値</stp>
        <tr r="P855" s="7"/>
      </tp>
      <tp>
        <v>831</v>
        <stp/>
        <stp>Market</stp>
        <stp>STOCK</stp>
        <stp>71960.T</stp>
        <stp>安値</stp>
        <tr r="P843" s="7"/>
      </tp>
      <tp>
        <v>691.2</v>
        <stp/>
        <stp>Market</stp>
        <stp>STOCK</stp>
        <stp>71860.T</stp>
        <stp>安値</stp>
        <tr r="P842" s="7"/>
      </tp>
      <tp>
        <v>1390</v>
        <stp/>
        <stp>Market</stp>
        <stp>STOCK</stp>
        <stp>71160.T</stp>
        <stp>安値</stp>
        <tr r="P827" s="7"/>
      </tp>
      <tp>
        <v>701</v>
        <stp/>
        <stp>Market</stp>
        <stp>STOCK</stp>
        <stp>76760.T</stp>
        <stp>安値</stp>
        <tr r="P919" s="7"/>
      </tp>
      <tp>
        <v>239</v>
        <stp/>
        <stp>Market</stp>
        <stp>STOCK</stp>
        <stp>77760.T</stp>
        <stp>安値</stp>
        <tr r="P932" s="7"/>
      </tp>
      <tp>
        <v>3895</v>
        <stp/>
        <stp>Market</stp>
        <stp>STOCK</stp>
        <stp>75160.T</stp>
        <stp>安値</stp>
        <tr r="P899" s="7"/>
      </tp>
      <tp t="s">
        <v>表示銘柄数超過</v>
        <stp/>
        <stp>Market</stp>
        <stp>STOCK</stp>
        <stp>42860.T</stp>
        <stp>安値</stp>
        <tr r="P437" s="7"/>
      </tp>
      <tp t="s">
        <v>表示銘柄数超過</v>
        <stp/>
        <stp>Market</stp>
        <stp>STOCK</stp>
        <stp>43460.T</stp>
        <stp>安値</stp>
        <tr r="P446" s="7"/>
      </tp>
      <tp t="s">
        <v>表示銘柄数超過</v>
        <stp/>
        <stp>Market</stp>
        <stp>STOCK</stp>
        <stp>43760.T</stp>
        <stp>安値</stp>
        <tr r="P452" s="7"/>
      </tp>
      <tp t="s">
        <v>表示銘柄数超過</v>
        <stp/>
        <stp>Market</stp>
        <stp>STOCK</stp>
        <stp>43160.T</stp>
        <stp>安値</stp>
        <tr r="P442" s="7"/>
      </tp>
      <tp t="s">
        <v>表示銘柄数超過</v>
        <stp/>
        <stp>Market</stp>
        <stp>STOCK</stp>
        <stp>40160.T</stp>
        <stp>安値</stp>
        <tr r="P412" s="7"/>
      </tp>
      <tp t="s">
        <v>表示銘柄数超過</v>
        <stp/>
        <stp>Market</stp>
        <stp>STOCK</stp>
        <stp>41760.T</stp>
        <stp>安値</stp>
        <tr r="P421" s="7"/>
      </tp>
      <tp t="s">
        <v>表示銘柄数超過</v>
        <stp/>
        <stp>Market</stp>
        <stp>STOCK</stp>
        <stp>46760.T</stp>
        <stp>安値</stp>
        <tr r="P518" s="7"/>
      </tp>
      <tp t="s">
        <v>表示銘柄数超過</v>
        <stp/>
        <stp>Market</stp>
        <stp>STOCK</stp>
        <stp>47760.T</stp>
        <stp>安値</stp>
        <tr r="P533" s="7"/>
      </tp>
      <tp t="s">
        <v>表示銘柄数超過</v>
        <stp/>
        <stp>Market</stp>
        <stp>STOCK</stp>
        <stp>47660.T</stp>
        <stp>安値</stp>
        <tr r="P530" s="7"/>
      </tp>
      <tp t="s">
        <v>表示銘柄数超過</v>
        <stp/>
        <stp>Market</stp>
        <stp>STOCK</stp>
        <stp>47160.T</stp>
        <stp>安値</stp>
        <tr r="P525" s="7"/>
      </tp>
      <tp t="s">
        <v>表示銘柄数超過</v>
        <stp/>
        <stp>Market</stp>
        <stp>STOCK</stp>
        <stp>47260.T</stp>
        <stp>安値</stp>
        <tr r="P527" s="7"/>
      </tp>
      <tp t="s">
        <v>表示銘柄数超過</v>
        <stp/>
        <stp>Market</stp>
        <stp>STOCK</stp>
        <stp>44760.T</stp>
        <stp>安値</stp>
        <tr r="P472" s="7"/>
      </tp>
      <tp t="s">
        <v>表示銘柄数超過</v>
        <stp/>
        <stp>Market</stp>
        <stp>STOCK</stp>
        <stp>44160.T</stp>
        <stp>安値</stp>
        <tr r="P461" s="7"/>
      </tp>
      <tp t="s">
        <v>表示銘柄数超過</v>
        <stp/>
        <stp>Market</stp>
        <stp>STOCK</stp>
        <stp>44060.T</stp>
        <stp>安値</stp>
        <tr r="P459" s="7"/>
      </tp>
      <tp t="s">
        <v>表示銘柄数超過</v>
        <stp/>
        <stp>Market</stp>
        <stp>STOCK</stp>
        <stp>44360.T</stp>
        <stp>安値</stp>
        <tr r="P464" s="7"/>
      </tp>
      <tp t="s">
        <v>表示銘柄数超過</v>
        <stp/>
        <stp>Market</stp>
        <stp>STOCK</stp>
        <stp>45960.T</stp>
        <stp>安値</stp>
        <tr r="P506" s="7"/>
      </tp>
      <tp t="s">
        <v>表示銘柄数超過</v>
        <stp/>
        <stp>Market</stp>
        <stp>STOCK</stp>
        <stp>45860.T</stp>
        <stp>安値</stp>
        <tr r="P500" s="7"/>
      </tp>
      <tp t="s">
        <v>表示銘柄数超過</v>
        <stp/>
        <stp>Market</stp>
        <stp>STOCK</stp>
        <stp>45760.T</stp>
        <stp>安値</stp>
        <tr r="P495" s="7"/>
      </tp>
      <tp>
        <v>332</v>
        <stp/>
        <stp>Market</stp>
        <stp>STOCK</stp>
        <stp>45060.T</stp>
        <stp>安値</stp>
        <tr r="P480" s="7"/>
      </tp>
      <tp>
        <v>43</v>
        <stp/>
        <stp>Market</stp>
        <stp>STOCK</stp>
        <stp>58560.T</stp>
        <stp>安値</stp>
        <tr r="P617" s="7"/>
      </tp>
      <tp>
        <v>286</v>
        <stp/>
        <stp>Market</stp>
        <stp>STOCK</stp>
        <stp>59860.T</stp>
        <stp>安値</stp>
        <tr r="P632" s="7"/>
      </tp>
      <tp>
        <v>1049</v>
        <stp/>
        <stp>Market</stp>
        <stp>STOCK</stp>
        <stp>59760.T</stp>
        <stp>安値</stp>
        <tr r="P630" s="7"/>
      </tp>
      <tp>
        <v>2273</v>
        <stp/>
        <stp>Market</stp>
        <stp>STOCK</stp>
        <stp>59660.T</stp>
        <stp>安値</stp>
        <tr r="P628" s="7"/>
      </tp>
      <tp>
        <v>730</v>
        <stp/>
        <stp>Market</stp>
        <stp>STOCK</stp>
        <stp>59360.T</stp>
        <stp>安値</stp>
        <tr r="P620" s="7"/>
      </tp>
      <tp>
        <v>582</v>
        <stp/>
        <stp>Market</stp>
        <stp>STOCK</stp>
        <stp>52460.T</stp>
        <stp>安値</stp>
        <tr r="P579" s="7"/>
      </tp>
      <tp>
        <v>86</v>
        <stp/>
        <stp>Market</stp>
        <stp>STOCK</stp>
        <stp>52160.T</stp>
        <stp>安値</stp>
        <tr r="P576" s="7"/>
      </tp>
      <tp>
        <v>2763</v>
        <stp/>
        <stp>Market</stp>
        <stp>STOCK</stp>
        <stp>57260.T</stp>
        <stp>安値</stp>
        <tr r="P608" s="7"/>
      </tp>
      <tp>
        <v>551</v>
        <stp/>
        <stp>Market</stp>
        <stp>STOCK</stp>
        <stp>54760.T</stp>
        <stp>安値</stp>
        <tr r="P597" s="7"/>
      </tp>
      <tp>
        <v>2010</v>
        <stp/>
        <stp>Market</stp>
        <stp>STOCK</stp>
        <stp>54060.T</stp>
        <stp>安値</stp>
        <tr r="P591" s="7"/>
      </tp>
      <tp>
        <v>701</v>
        <stp/>
        <stp>Market</stp>
        <stp>STOCK</stp>
        <stp>55860.T</stp>
        <stp>安値</stp>
        <tr r="P600" s="7"/>
      </tp>
      <tp t="s">
        <v>表示銘柄数超過</v>
        <stp/>
        <stp>Market</stp>
        <stp>STOCK</stp>
        <stp>28560.T</stp>
        <stp>安値</stp>
        <tr r="P206" s="7"/>
      </tp>
      <tp t="s">
        <v>表示銘柄数超過</v>
        <stp/>
        <stp>Market</stp>
        <stp>STOCK</stp>
        <stp>29260.T</stp>
        <stp>安値</stp>
        <tr r="P215" s="7"/>
      </tp>
      <tp t="s">
        <v>表示銘柄数超過</v>
        <stp/>
        <stp>Market</stp>
        <stp>STOCK</stp>
        <stp>22160.T</stp>
        <stp>安値</stp>
        <tr r="P104" s="7"/>
      </tp>
      <tp t="s">
        <v>表示銘柄数超過</v>
        <stp/>
        <stp>Market</stp>
        <stp>STOCK</stp>
        <stp>22060.T</stp>
        <stp>安値</stp>
        <tr r="P103" s="7"/>
      </tp>
      <tp t="s">
        <v>表示銘柄数超過</v>
        <stp/>
        <stp>Market</stp>
        <stp>STOCK</stp>
        <stp>22360.T</stp>
        <stp>安値</stp>
        <tr r="P106" s="7"/>
      </tp>
      <tp t="s">
        <v>表示銘柄数超過</v>
        <stp/>
        <stp>Market</stp>
        <stp>STOCK</stp>
        <stp>23760.T</stp>
        <stp>安値</stp>
        <tr r="P129" s="7"/>
      </tp>
      <tp t="s">
        <v>表示銘柄数超過</v>
        <stp/>
        <stp>Market</stp>
        <stp>STOCK</stp>
        <stp>26860.T</stp>
        <stp>安値</stp>
        <tr r="P182" s="7"/>
      </tp>
      <tp t="s">
        <v>表示銘柄数超過</v>
        <stp/>
        <stp>Market</stp>
        <stp>STOCK</stp>
        <stp>26560.T</stp>
        <stp>安値</stp>
        <tr r="P176" s="7"/>
      </tp>
      <tp t="s">
        <v>表示銘柄数超過</v>
        <stp/>
        <stp>Market</stp>
        <stp>STOCK</stp>
        <stp>26660.T</stp>
        <stp>安値</stp>
        <tr r="P177" s="7"/>
      </tp>
      <tp t="s">
        <v>表示銘柄数超過</v>
        <stp/>
        <stp>Market</stp>
        <stp>STOCK</stp>
        <stp>27760.T</stp>
        <stp>安値</stp>
        <tr r="P197" s="7"/>
      </tp>
      <tp t="s">
        <v>表示銘柄数超過</v>
        <stp/>
        <stp>Market</stp>
        <stp>STOCK</stp>
        <stp>25860.T</stp>
        <stp>安値</stp>
        <tr r="P165" s="7"/>
      </tp>
      <tp t="s">
        <v>表示銘柄数超過</v>
        <stp/>
        <stp>Market</stp>
        <stp>STOCK</stp>
        <stp>25160.T</stp>
        <stp>安値</stp>
        <tr r="P158" s="7"/>
      </tp>
      <tp t="s">
        <v>表示銘柄数超過</v>
        <stp/>
        <stp>Market</stp>
        <stp>STOCK</stp>
        <stp>38560.T</stp>
        <stp>安値</stp>
        <tr r="P377" s="7"/>
      </tp>
      <tp t="s">
        <v>表示銘柄数超過</v>
        <stp/>
        <stp>Market</stp>
        <stp>STOCK</stp>
        <stp>38160.T</stp>
        <stp>安値</stp>
        <tr r="P365" s="7"/>
      </tp>
      <tp t="s">
        <v>表示銘柄数超過</v>
        <stp/>
        <stp>Market</stp>
        <stp>STOCK</stp>
        <stp>38260.T</stp>
        <stp>安値</stp>
        <tr r="P368" s="7"/>
      </tp>
      <tp t="s">
        <v>表示銘柄数超過</v>
        <stp/>
        <stp>Market</stp>
        <stp>STOCK</stp>
        <stp>39760.T</stp>
        <stp>安値</stp>
        <tr r="P402" s="7"/>
      </tp>
      <tp t="s">
        <v>表示銘柄数超過</v>
        <stp/>
        <stp>Market</stp>
        <stp>STOCK</stp>
        <stp>32860.T</stp>
        <stp>安値</stp>
        <tr r="P270" s="7"/>
      </tp>
      <tp t="s">
        <v>表示銘柄数超過</v>
        <stp/>
        <stp>Market</stp>
        <stp>STOCK</stp>
        <stp>32660.T</stp>
        <stp>安値</stp>
        <tr r="P267" s="7"/>
      </tp>
      <tp t="s">
        <v>表示銘柄数超過</v>
        <stp/>
        <stp>Market</stp>
        <stp>STOCK</stp>
        <stp>32360.T</stp>
        <stp>安値</stp>
        <tr r="P259" s="7"/>
      </tp>
      <tp t="s">
        <v>表示銘柄数超過</v>
        <stp/>
        <stp>Market</stp>
        <stp>STOCK</stp>
        <stp>33860.T</stp>
        <stp>安値</stp>
        <tr r="P291" s="7"/>
      </tp>
      <tp t="s">
        <v>表示銘柄数超過</v>
        <stp/>
        <stp>Market</stp>
        <stp>STOCK</stp>
        <stp>33160.T</stp>
        <stp>安値</stp>
        <tr r="P277" s="7"/>
      </tp>
      <tp t="s">
        <v>表示銘柄数超過</v>
        <stp/>
        <stp>Market</stp>
        <stp>STOCK</stp>
        <stp>33260.T</stp>
        <stp>安値</stp>
        <tr r="P279" s="7"/>
      </tp>
      <tp t="s">
        <v>表示銘柄数超過</v>
        <stp/>
        <stp>Market</stp>
        <stp>STOCK</stp>
        <stp>30860.T</stp>
        <stp>安値</stp>
        <tr r="P239" s="7"/>
      </tp>
      <tp t="s">
        <v>表示銘柄数超過</v>
        <stp/>
        <stp>Market</stp>
        <stp>STOCK</stp>
        <stp>30360.T</stp>
        <stp>安値</stp>
        <tr r="P229" s="7"/>
      </tp>
      <tp t="s">
        <v>表示銘柄数超過</v>
        <stp/>
        <stp>Market</stp>
        <stp>STOCK</stp>
        <stp>31860.T</stp>
        <stp>安値</stp>
        <tr r="P253" s="7"/>
      </tp>
      <tp t="s">
        <v>表示銘柄数超過</v>
        <stp/>
        <stp>Market</stp>
        <stp>STOCK</stp>
        <stp>31760.T</stp>
        <stp>安値</stp>
        <tr r="P250" s="7"/>
      </tp>
      <tp t="s">
        <v>表示銘柄数超過</v>
        <stp/>
        <stp>Market</stp>
        <stp>STOCK</stp>
        <stp>36960.T</stp>
        <stp>安値</stp>
        <tr r="P342" s="7"/>
      </tp>
      <tp t="s">
        <v>表示銘柄数超過</v>
        <stp/>
        <stp>Market</stp>
        <stp>STOCK</stp>
        <stp>36860.T</stp>
        <stp>安値</stp>
        <tr r="P340" s="7"/>
      </tp>
      <tp t="s">
        <v>表示銘柄数超過</v>
        <stp/>
        <stp>Market</stp>
        <stp>STOCK</stp>
        <stp>36560.T</stp>
        <stp>安値</stp>
        <tr r="P324" s="7"/>
      </tp>
      <tp t="s">
        <v>表示銘柄数超過</v>
        <stp/>
        <stp>Market</stp>
        <stp>STOCK</stp>
        <stp>36760.T</stp>
        <stp>安値</stp>
        <tr r="P334" s="7"/>
      </tp>
      <tp t="s">
        <v>表示銘柄数超過</v>
        <stp/>
        <stp>Market</stp>
        <stp>STOCK</stp>
        <stp>36660.T</stp>
        <stp>安値</stp>
        <tr r="P329" s="7"/>
      </tp>
      <tp t="s">
        <v>表示銘柄数超過</v>
        <stp/>
        <stp>Market</stp>
        <stp>STOCK</stp>
        <stp>36260.T</stp>
        <stp>安値</stp>
        <tr r="P314" s="7"/>
      </tp>
      <tp t="s">
        <v>表示銘柄数超過</v>
        <stp/>
        <stp>Market</stp>
        <stp>STOCK</stp>
        <stp>37760.T</stp>
        <stp>安値</stp>
        <tr r="P355" s="7"/>
      </tp>
      <tp t="s">
        <v>表示銘柄数超過</v>
        <stp/>
        <stp>Market</stp>
        <stp>STOCK</stp>
        <stp>34360.T</stp>
        <stp>安値</stp>
        <tr r="P299" s="7"/>
      </tp>
      <tp t="s">
        <v>表示銘柄数超過</v>
        <stp/>
        <stp>Market</stp>
        <stp>STOCK</stp>
        <stp>35360.T</stp>
        <stp>安値</stp>
        <tr r="P304" s="7"/>
      </tp>
      <tp t="s">
        <v>表示銘柄数超過</v>
        <stp/>
        <stp>Market</stp>
        <stp>STOCK</stp>
        <stp>18260.T</stp>
        <stp>安値</stp>
        <tr r="P63" s="7"/>
      </tp>
      <tp t="s">
        <v>表示銘柄数超過</v>
        <stp/>
        <stp>Market</stp>
        <stp>STOCK</stp>
        <stp>19660.T</stp>
        <stp>安値</stp>
        <tr r="P84" s="7"/>
      </tp>
      <tp t="s">
        <v>表示銘柄数超過</v>
        <stp/>
        <stp>Market</stp>
        <stp>STOCK</stp>
        <stp>13560.T</stp>
        <stp>安値</stp>
        <tr r="P11" s="7"/>
      </tp>
      <tp t="s">
        <v>表示銘柄数超過</v>
        <stp/>
        <stp>Market</stp>
        <stp>STOCK</stp>
        <stp>13660.T</stp>
        <stp>安値</stp>
        <tr r="P14" s="7"/>
      </tp>
      <tp t="s">
        <v>表示銘柄数超過</v>
        <stp/>
        <stp>Market</stp>
        <stp>STOCK</stp>
        <stp>13060.T</stp>
        <stp>安値</stp>
        <tr r="P3" s="7"/>
      </tp>
      <tp t="s">
        <v>表示銘柄数超過</v>
        <stp/>
        <stp>Market</stp>
        <stp>STOCK</stp>
        <stp>16560.T</stp>
        <stp>安値</stp>
        <tr r="P40" s="7"/>
      </tp>
      <tp t="s">
        <v>表示銘柄数超過</v>
        <stp/>
        <stp>Market</stp>
        <stp>STOCK</stp>
        <stp>17160.T</stp>
        <stp>安値</stp>
        <tr r="P48" s="7"/>
      </tp>
    </main>
    <main first="rtdsrv.662c26bade854d00aebc6010f8a2e03a">
      <tp t="s">
        <v/>
        <stp/>
        <stp>Market</stp>
        <stp>STOCK</stp>
        <stp/>
        <stp>出来高加重平均</stp>
        <tr r="T914" s="7"/>
        <tr r="T1195" s="7"/>
        <tr r="T1199" s="7"/>
        <tr r="T1203" s="7"/>
        <tr r="T1207" s="7"/>
        <tr r="T1211" s="7"/>
        <tr r="T1215" s="7"/>
        <tr r="T1219" s="7"/>
        <tr r="T1223" s="7"/>
        <tr r="T1227" s="7"/>
        <tr r="T1231" s="7"/>
        <tr r="T1235" s="7"/>
        <tr r="T1239" s="7"/>
        <tr r="T1243" s="7"/>
        <tr r="T1247" s="7"/>
        <tr r="T1251" s="7"/>
        <tr r="T1261" s="7"/>
        <tr r="T1265" s="7"/>
        <tr r="T1270" s="7"/>
        <tr r="T1274" s="7"/>
        <tr r="T1192" s="7"/>
        <tr r="T1196" s="7"/>
        <tr r="T1200" s="7"/>
        <tr r="T1204" s="7"/>
        <tr r="T1208" s="7"/>
        <tr r="T1212" s="7"/>
        <tr r="T1216" s="7"/>
        <tr r="T1220" s="7"/>
        <tr r="T1224" s="7"/>
        <tr r="T1228" s="7"/>
        <tr r="T1232" s="7"/>
        <tr r="T1236" s="7"/>
        <tr r="T1240" s="7"/>
        <tr r="T1244" s="7"/>
        <tr r="T1248" s="7"/>
        <tr r="T1252" s="7"/>
        <tr r="T1193" s="7"/>
        <tr r="T1197" s="7"/>
        <tr r="T1201" s="7"/>
        <tr r="T1205" s="7"/>
        <tr r="T1209" s="7"/>
        <tr r="T1213" s="7"/>
        <tr r="T1217" s="7"/>
        <tr r="T1221" s="7"/>
        <tr r="T1225" s="7"/>
        <tr r="T1229" s="7"/>
        <tr r="T1233" s="7"/>
        <tr r="T1237" s="7"/>
        <tr r="T1241" s="7"/>
        <tr r="T1245" s="7"/>
        <tr r="T1249" s="7"/>
        <tr r="T1253" s="7"/>
        <tr r="T1194" s="7"/>
        <tr r="T1198" s="7"/>
        <tr r="T1202" s="7"/>
        <tr r="T1206" s="7"/>
        <tr r="T1210" s="7"/>
        <tr r="T1214" s="7"/>
        <tr r="T1218" s="7"/>
        <tr r="T1222" s="7"/>
        <tr r="T1226" s="7"/>
        <tr r="T1230" s="7"/>
        <tr r="T1234" s="7"/>
        <tr r="T1238" s="7"/>
        <tr r="T1242" s="7"/>
        <tr r="T1246" s="7"/>
        <tr r="T1250" s="7"/>
        <tr r="T1254" s="7"/>
        <tr r="T1256" s="7"/>
        <tr r="T1257" s="7"/>
        <tr r="T1258" s="7"/>
        <tr r="T1262" s="7"/>
        <tr r="T1266" s="7"/>
        <tr r="T1269" s="7"/>
        <tr r="T1273" s="7"/>
        <tr r="T1277" s="7"/>
        <tr r="T1281" s="7"/>
        <tr r="T1285" s="7"/>
        <tr r="T1289" s="7"/>
        <tr r="T1293" s="7"/>
        <tr r="T1297" s="7"/>
        <tr r="T1301" s="7"/>
        <tr r="T1305" s="7"/>
        <tr r="T1309" s="7"/>
        <tr r="T1313" s="7"/>
        <tr r="T1317" s="7"/>
        <tr r="T1321" s="7"/>
        <tr r="T1325" s="7"/>
        <tr r="T1329" s="7"/>
        <tr r="T1333" s="7"/>
        <tr r="T1337" s="7"/>
        <tr r="T1341" s="7"/>
        <tr r="T1345" s="7"/>
        <tr r="T1278" s="7"/>
        <tr r="T1282" s="7"/>
        <tr r="T1286" s="7"/>
        <tr r="T1290" s="7"/>
        <tr r="T1294" s="7"/>
        <tr r="T1298" s="7"/>
        <tr r="T1302" s="7"/>
        <tr r="T1306" s="7"/>
        <tr r="T1310" s="7"/>
        <tr r="T1314" s="7"/>
        <tr r="T1318" s="7"/>
        <tr r="T1322" s="7"/>
        <tr r="T1326" s="7"/>
        <tr r="T1330" s="7"/>
        <tr r="T1334" s="7"/>
        <tr r="T1349" s="7"/>
        <tr r="T1353" s="7"/>
        <tr r="T1357" s="7"/>
        <tr r="T1361" s="7"/>
        <tr r="T1365" s="7"/>
        <tr r="T1369" s="7"/>
        <tr r="T1373" s="7"/>
        <tr r="T1377" s="7"/>
        <tr r="T1381" s="7"/>
        <tr r="T1385" s="7"/>
        <tr r="T1389" s="7"/>
        <tr r="T1393" s="7"/>
        <tr r="T1397" s="7"/>
        <tr r="T1401" s="7"/>
        <tr r="T1405" s="7"/>
        <tr r="T1409" s="7"/>
        <tr r="T1413" s="7"/>
        <tr r="T1255" s="7"/>
        <tr r="T1259" s="7"/>
        <tr r="T1263" s="7"/>
        <tr r="T1267" s="7"/>
        <tr r="T1271" s="7"/>
        <tr r="T1275" s="7"/>
        <tr r="T1279" s="7"/>
        <tr r="T1283" s="7"/>
        <tr r="T1287" s="7"/>
        <tr r="T1291" s="7"/>
        <tr r="T1295" s="7"/>
        <tr r="T1299" s="7"/>
        <tr r="T1303" s="7"/>
        <tr r="T1307" s="7"/>
        <tr r="T1311" s="7"/>
        <tr r="T1315" s="7"/>
        <tr r="T1319" s="7"/>
        <tr r="T1323" s="7"/>
        <tr r="T1327" s="7"/>
        <tr r="T1331" s="7"/>
        <tr r="T1335" s="7"/>
        <tr r="T1260" s="7"/>
        <tr r="T1264" s="7"/>
        <tr r="T1268" s="7"/>
        <tr r="T1272" s="7"/>
        <tr r="T1276" s="7"/>
        <tr r="T1280" s="7"/>
        <tr r="T1284" s="7"/>
        <tr r="T1288" s="7"/>
        <tr r="T1292" s="7"/>
        <tr r="T1296" s="7"/>
        <tr r="T1300" s="7"/>
        <tr r="T1304" s="7"/>
        <tr r="T1308" s="7"/>
        <tr r="T1312" s="7"/>
        <tr r="T1316" s="7"/>
        <tr r="T1320" s="7"/>
        <tr r="T1324" s="7"/>
        <tr r="T1328" s="7"/>
        <tr r="T1332" s="7"/>
        <tr r="T1336" s="7"/>
        <tr r="T1338" s="7"/>
        <tr r="T1342" s="7"/>
        <tr r="T1417" s="7"/>
        <tr r="T1421" s="7"/>
        <tr r="T1425" s="7"/>
        <tr r="T1426" s="7"/>
        <tr r="T1428" s="7"/>
        <tr r="T1429" s="7"/>
        <tr r="T1430" s="7"/>
        <tr r="T1432" s="7"/>
        <tr r="T1433" s="7"/>
        <tr r="T1434" s="7"/>
        <tr r="T1436" s="7"/>
        <tr r="T1437" s="7"/>
        <tr r="T1438" s="7"/>
        <tr r="T1442" s="7"/>
        <tr r="T1446" s="7"/>
        <tr r="T1450" s="7"/>
        <tr r="T1454" s="7"/>
        <tr r="T1458" s="7"/>
        <tr r="T1462" s="7"/>
        <tr r="T1466" s="7"/>
        <tr r="T1470" s="7"/>
        <tr r="T1474" s="7"/>
        <tr r="T1478" s="7"/>
        <tr r="T1482" s="7"/>
        <tr r="T1486" s="7"/>
        <tr r="T1346" s="7"/>
        <tr r="T1350" s="7"/>
        <tr r="T1354" s="7"/>
        <tr r="T1358" s="7"/>
        <tr r="T1362" s="7"/>
        <tr r="T1366" s="7"/>
        <tr r="T1370" s="7"/>
        <tr r="T1374" s="7"/>
        <tr r="T1378" s="7"/>
        <tr r="T1382" s="7"/>
        <tr r="T1386" s="7"/>
        <tr r="T1390" s="7"/>
        <tr r="T1394" s="7"/>
        <tr r="T1398" s="7"/>
        <tr r="T1402" s="7"/>
        <tr r="T1406" s="7"/>
        <tr r="T1410" s="7"/>
        <tr r="T1414" s="7"/>
        <tr r="T1418" s="7"/>
        <tr r="T1422" s="7"/>
        <tr r="T1495" s="7"/>
        <tr r="T1339" s="7"/>
        <tr r="T1343" s="7"/>
        <tr r="T1347" s="7"/>
        <tr r="T1351" s="7"/>
        <tr r="T1355" s="7"/>
        <tr r="T1359" s="7"/>
        <tr r="T1363" s="7"/>
        <tr r="T1367" s="7"/>
        <tr r="T1371" s="7"/>
        <tr r="T1375" s="7"/>
        <tr r="T1379" s="7"/>
        <tr r="T1383" s="7"/>
        <tr r="T1387" s="7"/>
        <tr r="T1391" s="7"/>
        <tr r="T1395" s="7"/>
        <tr r="T1399" s="7"/>
        <tr r="T1403" s="7"/>
        <tr r="T1407" s="7"/>
        <tr r="T1411" s="7"/>
        <tr r="T1415" s="7"/>
        <tr r="T1419" s="7"/>
        <tr r="T1423" s="7"/>
        <tr r="T1340" s="7"/>
        <tr r="T1344" s="7"/>
        <tr r="T1348" s="7"/>
        <tr r="T1352" s="7"/>
        <tr r="T1356" s="7"/>
        <tr r="T1360" s="7"/>
        <tr r="T1364" s="7"/>
        <tr r="T1368" s="7"/>
        <tr r="T1372" s="7"/>
        <tr r="T1376" s="7"/>
        <tr r="T1380" s="7"/>
        <tr r="T1384" s="7"/>
        <tr r="T1388" s="7"/>
        <tr r="T1392" s="7"/>
        <tr r="T1396" s="7"/>
        <tr r="T1400" s="7"/>
        <tr r="T1404" s="7"/>
        <tr r="T1408" s="7"/>
        <tr r="T1412" s="7"/>
        <tr r="T1416" s="7"/>
        <tr r="T1420" s="7"/>
        <tr r="T1424" s="7"/>
        <tr r="T1440" s="7"/>
        <tr r="T1427" s="7"/>
        <tr r="T1431" s="7"/>
        <tr r="T1435" s="7"/>
        <tr r="T1439" s="7"/>
        <tr r="T1443" s="7"/>
        <tr r="T1447" s="7"/>
        <tr r="T1451" s="7"/>
        <tr r="T1455" s="7"/>
        <tr r="T1459" s="7"/>
        <tr r="T1463" s="7"/>
        <tr r="T1467" s="7"/>
        <tr r="T1471" s="7"/>
        <tr r="T1475" s="7"/>
        <tr r="T1479" s="7"/>
        <tr r="T1483" s="7"/>
        <tr r="T1487" s="7"/>
        <tr r="T1488" s="7"/>
        <tr r="T1490" s="7"/>
        <tr r="T1491" s="7"/>
        <tr r="T1492" s="7"/>
        <tr r="T1494" s="7"/>
        <tr r="T1444" s="7"/>
        <tr r="T1448" s="7"/>
        <tr r="T1452" s="7"/>
        <tr r="T1456" s="7"/>
        <tr r="T1460" s="7"/>
        <tr r="T1464" s="7"/>
        <tr r="T1468" s="7"/>
        <tr r="T1472" s="7"/>
        <tr r="T1476" s="7"/>
        <tr r="T1480" s="7"/>
        <tr r="T1484" s="7"/>
        <tr r="T1498" s="7"/>
        <tr r="T1502" s="7"/>
        <tr r="T1506" s="7"/>
        <tr r="T1510" s="7"/>
        <tr r="T1514" s="7"/>
        <tr r="T1518" s="7"/>
        <tr r="T1522" s="7"/>
        <tr r="T1526" s="7"/>
        <tr r="T1530" s="7"/>
        <tr r="T1534" s="7"/>
        <tr r="T1538" s="7"/>
        <tr r="T1542" s="7"/>
        <tr r="T1546" s="7"/>
        <tr r="T1550" s="7"/>
        <tr r="T1554" s="7"/>
        <tr r="T1558" s="7"/>
        <tr r="T1562" s="7"/>
        <tr r="T1566" s="7"/>
        <tr r="T1570" s="7"/>
        <tr r="T1574" s="7"/>
        <tr r="T1578" s="7"/>
        <tr r="T1582" s="7"/>
        <tr r="T1586" s="7"/>
        <tr r="T1590" s="7"/>
        <tr r="T1594" s="7"/>
        <tr r="T1598" s="7"/>
        <tr r="T1602" s="7"/>
        <tr r="T1606" s="7"/>
        <tr r="T1610" s="7"/>
        <tr r="T1441" s="7"/>
        <tr r="T1445" s="7"/>
        <tr r="T1449" s="7"/>
        <tr r="T1453" s="7"/>
        <tr r="T1457" s="7"/>
        <tr r="T1461" s="7"/>
        <tr r="T1465" s="7"/>
        <tr r="T1469" s="7"/>
        <tr r="T1473" s="7"/>
        <tr r="T1477" s="7"/>
        <tr r="T1481" s="7"/>
        <tr r="T1485" s="7"/>
        <tr r="T1499" s="7"/>
        <tr r="T1503" s="7"/>
        <tr r="T1507" s="7"/>
        <tr r="T1511" s="7"/>
        <tr r="T1515" s="7"/>
        <tr r="T1519" s="7"/>
        <tr r="T1523" s="7"/>
        <tr r="T1527" s="7"/>
        <tr r="T1531" s="7"/>
        <tr r="T1535" s="7"/>
        <tr r="T1539" s="7"/>
        <tr r="T1543" s="7"/>
        <tr r="T1547" s="7"/>
        <tr r="T1551" s="7"/>
        <tr r="T1555" s="7"/>
        <tr r="T1559" s="7"/>
        <tr r="T1563" s="7"/>
        <tr r="T1567" s="7"/>
        <tr r="T1571" s="7"/>
        <tr r="T1575" s="7"/>
        <tr r="T1579" s="7"/>
        <tr r="T1583" s="7"/>
        <tr r="T1587" s="7"/>
        <tr r="T1591" s="7"/>
        <tr r="T1595" s="7"/>
        <tr r="T1599" s="7"/>
        <tr r="T1603" s="7"/>
        <tr r="T1607" s="7"/>
        <tr r="T1611" s="7"/>
        <tr r="T1657" s="7"/>
        <tr r="T1678" s="7"/>
        <tr r="T1686" s="7"/>
        <tr r="T1694" s="7"/>
        <tr r="T1702" s="7"/>
        <tr r="T1710" s="7"/>
        <tr r="T1718" s="7"/>
        <tr r="T1726" s="7"/>
        <tr r="T1734" s="7"/>
        <tr r="T1742" s="7"/>
        <tr r="T1496" s="7"/>
        <tr r="T1500" s="7"/>
        <tr r="T1504" s="7"/>
        <tr r="T1508" s="7"/>
        <tr r="T1512" s="7"/>
        <tr r="T1516" s="7"/>
        <tr r="T1520" s="7"/>
        <tr r="T1524" s="7"/>
        <tr r="T1528" s="7"/>
        <tr r="T1532" s="7"/>
        <tr r="T1536" s="7"/>
        <tr r="T1540" s="7"/>
        <tr r="T1544" s="7"/>
        <tr r="T1548" s="7"/>
        <tr r="T1552" s="7"/>
        <tr r="T1556" s="7"/>
        <tr r="T1560" s="7"/>
        <tr r="T1564" s="7"/>
        <tr r="T1568" s="7"/>
        <tr r="T1572" s="7"/>
        <tr r="T1576" s="7"/>
        <tr r="T1580" s="7"/>
        <tr r="T1584" s="7"/>
        <tr r="T1588" s="7"/>
        <tr r="T1592" s="7"/>
        <tr r="T1596" s="7"/>
        <tr r="T1600" s="7"/>
        <tr r="T1604" s="7"/>
        <tr r="T1608" s="7"/>
        <tr r="T1612" s="7"/>
        <tr r="T1656" s="7"/>
        <tr r="T1489" s="7"/>
        <tr r="T1493" s="7"/>
        <tr r="T1497" s="7"/>
        <tr r="T1501" s="7"/>
        <tr r="T1505" s="7"/>
        <tr r="T1509" s="7"/>
        <tr r="T1513" s="7"/>
        <tr r="T1517" s="7"/>
        <tr r="T1521" s="7"/>
        <tr r="T1525" s="7"/>
        <tr r="T1529" s="7"/>
        <tr r="T1533" s="7"/>
        <tr r="T1537" s="7"/>
        <tr r="T1541" s="7"/>
        <tr r="T1545" s="7"/>
        <tr r="T1549" s="7"/>
        <tr r="T1553" s="7"/>
        <tr r="T1557" s="7"/>
        <tr r="T1561" s="7"/>
        <tr r="T1565" s="7"/>
        <tr r="T1569" s="7"/>
        <tr r="T1573" s="7"/>
        <tr r="T1577" s="7"/>
        <tr r="T1581" s="7"/>
        <tr r="T1585" s="7"/>
        <tr r="T1589" s="7"/>
        <tr r="T1593" s="7"/>
        <tr r="T1597" s="7"/>
        <tr r="T1601" s="7"/>
        <tr r="T1605" s="7"/>
        <tr r="T1609" s="7"/>
        <tr r="T1613" s="7"/>
        <tr r="T1615" s="7"/>
        <tr r="T1616" s="7"/>
        <tr r="T1617" s="7"/>
        <tr r="T1619" s="7"/>
        <tr r="T1620" s="7"/>
        <tr r="T1621" s="7"/>
        <tr r="T1623" s="7"/>
        <tr r="T1624" s="7"/>
        <tr r="T1625" s="7"/>
        <tr r="T1627" s="7"/>
        <tr r="T1628" s="7"/>
        <tr r="T1629" s="7"/>
        <tr r="T1631" s="7"/>
        <tr r="T1632" s="7"/>
        <tr r="T1633" s="7"/>
        <tr r="T1635" s="7"/>
        <tr r="T1636" s="7"/>
        <tr r="T1637" s="7"/>
        <tr r="T1639" s="7"/>
        <tr r="T1640" s="7"/>
        <tr r="T1641" s="7"/>
        <tr r="T1643" s="7"/>
        <tr r="T1644" s="7"/>
        <tr r="T1645" s="7"/>
        <tr r="T1647" s="7"/>
        <tr r="T1648" s="7"/>
        <tr r="T1649" s="7"/>
        <tr r="T1651" s="7"/>
        <tr r="T1652" s="7"/>
        <tr r="T1653" s="7"/>
        <tr r="T1655" s="7"/>
        <tr r="T1660" s="7"/>
        <tr r="T1664" s="7"/>
        <tr r="T1668" s="7"/>
        <tr r="T1682" s="7"/>
        <tr r="T1690" s="7"/>
        <tr r="T1698" s="7"/>
        <tr r="T1706" s="7"/>
        <tr r="T1714" s="7"/>
        <tr r="T1722" s="7"/>
        <tr r="T1730" s="7"/>
        <tr r="T1738" s="7"/>
        <tr r="T1746" s="7"/>
        <tr r="T1661" s="7"/>
        <tr r="T1665" s="7"/>
        <tr r="T1669" s="7"/>
        <tr r="T1614" s="7"/>
        <tr r="T1618" s="7"/>
        <tr r="T1622" s="7"/>
        <tr r="T1626" s="7"/>
        <tr r="T1630" s="7"/>
        <tr r="T1634" s="7"/>
        <tr r="T1638" s="7"/>
        <tr r="T1642" s="7"/>
        <tr r="T1646" s="7"/>
        <tr r="T1650" s="7"/>
        <tr r="T1654" s="7"/>
        <tr r="T1658" s="7"/>
        <tr r="T1662" s="7"/>
        <tr r="T1666" s="7"/>
        <tr r="T1670" s="7"/>
        <tr r="T1674" s="7"/>
        <tr r="T1659" s="7"/>
        <tr r="T1663" s="7"/>
        <tr r="T1667" s="7"/>
        <tr r="T1671" s="7"/>
        <tr r="T1673" s="7"/>
        <tr r="T1675" s="7"/>
        <tr r="T1679" s="7"/>
        <tr r="T1683" s="7"/>
        <tr r="T1687" s="7"/>
        <tr r="T1691" s="7"/>
        <tr r="T1695" s="7"/>
        <tr r="T1699" s="7"/>
        <tr r="T1703" s="7"/>
        <tr r="T1707" s="7"/>
        <tr r="T1711" s="7"/>
        <tr r="T1715" s="7"/>
        <tr r="T1719" s="7"/>
        <tr r="T1723" s="7"/>
        <tr r="T1727" s="7"/>
        <tr r="T1731" s="7"/>
        <tr r="T1735" s="7"/>
        <tr r="T1739" s="7"/>
        <tr r="T1743" s="7"/>
        <tr r="T1747" s="7"/>
        <tr r="T1672" s="7"/>
        <tr r="T1676" s="7"/>
        <tr r="T1680" s="7"/>
        <tr r="T1684" s="7"/>
        <tr r="T1688" s="7"/>
        <tr r="T1692" s="7"/>
        <tr r="T1696" s="7"/>
        <tr r="T1700" s="7"/>
        <tr r="T1704" s="7"/>
        <tr r="T1708" s="7"/>
        <tr r="T1712" s="7"/>
        <tr r="T1716" s="7"/>
        <tr r="T1720" s="7"/>
        <tr r="T1724" s="7"/>
        <tr r="T1728" s="7"/>
        <tr r="T1732" s="7"/>
        <tr r="T1736" s="7"/>
        <tr r="T1740" s="7"/>
        <tr r="T1744" s="7"/>
        <tr r="T1748" s="7"/>
        <tr r="T1677" s="7"/>
        <tr r="T1681" s="7"/>
        <tr r="T1685" s="7"/>
        <tr r="T1689" s="7"/>
        <tr r="T1693" s="7"/>
        <tr r="T1697" s="7"/>
        <tr r="T1701" s="7"/>
        <tr r="T1705" s="7"/>
        <tr r="T1709" s="7"/>
        <tr r="T1713" s="7"/>
        <tr r="T1717" s="7"/>
        <tr r="T1721" s="7"/>
        <tr r="T1725" s="7"/>
        <tr r="T1729" s="7"/>
        <tr r="T1733" s="7"/>
        <tr r="T1737" s="7"/>
        <tr r="T1741" s="7"/>
        <tr r="T1745" s="7"/>
        <tr r="T1752" s="7"/>
        <tr r="T1756" s="7"/>
        <tr r="T1760" s="7"/>
        <tr r="T1764" s="7"/>
        <tr r="T1768" s="7"/>
        <tr r="T1772" s="7"/>
        <tr r="T1749" s="7"/>
        <tr r="T1753" s="7"/>
        <tr r="T1757" s="7"/>
        <tr r="T1761" s="7"/>
        <tr r="T1765" s="7"/>
        <tr r="T1769" s="7"/>
        <tr r="T1773" s="7"/>
        <tr r="T1750" s="7"/>
        <tr r="T1754" s="7"/>
        <tr r="T1758" s="7"/>
        <tr r="T1762" s="7"/>
        <tr r="T1766" s="7"/>
        <tr r="T1770" s="7"/>
        <tr r="T1774" s="7"/>
        <tr r="T1778" s="7"/>
        <tr r="T1782" s="7"/>
        <tr r="T1786" s="7"/>
        <tr r="T1790" s="7"/>
        <tr r="T1751" s="7"/>
        <tr r="T1755" s="7"/>
        <tr r="T1759" s="7"/>
        <tr r="T1763" s="7"/>
        <tr r="T1767" s="7"/>
        <tr r="T1771" s="7"/>
        <tr r="T1777" s="7"/>
        <tr r="T1781" s="7"/>
        <tr r="T1785" s="7"/>
        <tr r="T1789" s="7"/>
        <tr r="T1830" s="7"/>
        <tr r="T1853" s="7"/>
        <tr r="T1775" s="7"/>
        <tr r="T1779" s="7"/>
        <tr r="T1783" s="7"/>
        <tr r="T1787" s="7"/>
        <tr r="T1791" s="7"/>
        <tr r="T1793" s="7"/>
        <tr r="T1794" s="7"/>
        <tr r="T1795" s="7"/>
        <tr r="T1797" s="7"/>
        <tr r="T1798" s="7"/>
        <tr r="T1802" s="7"/>
        <tr r="T1806" s="7"/>
        <tr r="T1810" s="7"/>
        <tr r="T1814" s="7"/>
        <tr r="T1818" s="7"/>
        <tr r="T1822" s="7"/>
        <tr r="T1826" s="7"/>
        <tr r="T1776" s="7"/>
        <tr r="T1780" s="7"/>
        <tr r="T1784" s="7"/>
        <tr r="T1788" s="7"/>
        <tr r="T1792" s="7"/>
        <tr r="T1801" s="7"/>
        <tr r="T1805" s="7"/>
        <tr r="T1809" s="7"/>
        <tr r="T1813" s="7"/>
        <tr r="T1817" s="7"/>
        <tr r="T1821" s="7"/>
        <tr r="T1825" s="7"/>
        <tr r="T1831" s="7"/>
        <tr r="T1845" s="7"/>
        <tr r="T1799" s="7"/>
        <tr r="T1803" s="7"/>
        <tr r="T1807" s="7"/>
        <tr r="T1811" s="7"/>
        <tr r="T1815" s="7"/>
        <tr r="T1819" s="7"/>
        <tr r="T1823" s="7"/>
        <tr r="T1827" s="7"/>
        <tr r="T1835" s="7"/>
        <tr r="T1839" s="7"/>
        <tr r="T1843" s="7"/>
        <tr r="T1849" s="7"/>
        <tr r="T1857" s="7"/>
        <tr r="T1796" s="7"/>
        <tr r="T1800" s="7"/>
        <tr r="T1804" s="7"/>
        <tr r="T1808" s="7"/>
        <tr r="T1812" s="7"/>
        <tr r="T1816" s="7"/>
        <tr r="T1820" s="7"/>
        <tr r="T1824" s="7"/>
        <tr r="T1828" s="7"/>
        <tr r="T1832" s="7"/>
        <tr r="T1836" s="7"/>
        <tr r="T1840" s="7"/>
        <tr r="T1844" s="7"/>
        <tr r="T1848" s="7"/>
        <tr r="T1852" s="7"/>
        <tr r="T1856" s="7"/>
        <tr r="T1829" s="7"/>
        <tr r="T1833" s="7"/>
        <tr r="T1837" s="7"/>
        <tr r="T1841" s="7"/>
        <tr r="T1834" s="7"/>
        <tr r="T1838" s="7"/>
        <tr r="T1842" s="7"/>
        <tr r="T1846" s="7"/>
        <tr r="T1850" s="7"/>
        <tr r="T1854" s="7"/>
        <tr r="T1858" s="7"/>
        <tr r="T1861" s="7"/>
        <tr r="T1865" s="7"/>
        <tr r="T1869" s="7"/>
        <tr r="T1873" s="7"/>
        <tr r="T1877" s="7"/>
        <tr r="T1881" s="7"/>
        <tr r="T1847" s="7"/>
        <tr r="T1851" s="7"/>
        <tr r="T1855" s="7"/>
        <tr r="T1859" s="7"/>
        <tr r="T1862" s="7"/>
        <tr r="T1866" s="7"/>
        <tr r="T1870" s="7"/>
        <tr r="T1874" s="7"/>
        <tr r="T1878" s="7"/>
        <tr r="T1863" s="7"/>
        <tr r="T1867" s="7"/>
        <tr r="T1871" s="7"/>
        <tr r="T1875" s="7"/>
        <tr r="T1879" s="7"/>
        <tr r="T1860" s="7"/>
        <tr r="T1864" s="7"/>
        <tr r="T1868" s="7"/>
        <tr r="T1872" s="7"/>
        <tr r="T1876" s="7"/>
        <tr r="T1880" s="7"/>
      </tp>
    </main>
    <main first="rtdsrv.662c26bade854d00aebc6010f8a2e03a">
      <tp>
        <v>959</v>
        <stp/>
        <stp>Market</stp>
        <stp>STOCK</stp>
        <stp>56320.T</stp>
        <stp>年初来安値</stp>
        <tr r="Z602" s="7"/>
      </tp>
      <tp t="s">
        <v>表示銘柄数超過</v>
        <stp/>
        <stp>Market</stp>
        <stp>STOCK</stp>
        <stp>50320.T</stp>
        <stp>年初来安値</stp>
        <tr r="Z565" s="7"/>
      </tp>
      <tp>
        <v>845.3</v>
        <stp/>
        <stp>Market</stp>
        <stp>STOCK</stp>
        <stp>58320.T</stp>
        <stp>年初来安値</stp>
        <tr r="Z614" s="7"/>
      </tp>
      <tp>
        <v>1273.5</v>
        <stp/>
        <stp>Market</stp>
        <stp>STOCK</stp>
        <stp>77320.T</stp>
        <stp>年初来安値</stp>
        <tr r="Z925" s="7"/>
      </tp>
      <tp>
        <v>342</v>
        <stp/>
        <stp>Market</stp>
        <stp>STOCK</stp>
        <stp>66320.T</stp>
        <stp>年初来安値</stp>
        <tr r="Z741" s="7"/>
      </tp>
      <tp t="s">
        <v>表示銘柄数超過</v>
        <stp/>
        <stp>Market</stp>
        <stp>STOCK</stp>
        <stp>13320.T</stp>
        <stp>年初来安値</stp>
        <tr r="Z8" s="7"/>
      </tp>
      <tp t="s">
        <v>表示銘柄数超過</v>
        <stp/>
        <stp>Market</stp>
        <stp>STOCK</stp>
        <stp>36320.T</stp>
        <stp>年初来安値</stp>
        <tr r="Z316" s="7"/>
      </tp>
      <tp t="s">
        <v>表示銘柄数超過</v>
        <stp/>
        <stp>Market</stp>
        <stp>STOCK</stp>
        <stp>32320.T</stp>
        <stp>年初来安値</stp>
        <tr r="Z258" s="7"/>
      </tp>
      <tp t="s">
        <v>表示銘柄数超過</v>
        <stp/>
        <stp>Market</stp>
        <stp>STOCK</stp>
        <stp>24320.T</stp>
        <stp>年初来安値</stp>
        <tr r="Z140" s="7"/>
      </tp>
      <tp>
        <v>157.6</v>
        <stp/>
        <stp>Market</stp>
        <stp>STOCK</stp>
        <stp>94320.T</stp>
        <stp>年初来安値</stp>
        <tr r="Z1127" s="7"/>
      </tp>
      <tp t="s">
        <v>表示銘柄数超過</v>
        <stp/>
        <stp>Market</stp>
        <stp>STOCK</stp>
        <stp>95320.T</stp>
        <stp>年初来安値</stp>
        <tr r="Z1154" s="7"/>
      </tp>
      <tp>
        <v>238</v>
        <stp/>
        <stp>Market</stp>
        <stp>STOCK</stp>
        <stp>87320.T</stp>
        <stp>年初来安値</stp>
        <tr r="Z1040" s="7"/>
      </tp>
      <tp>
        <v>271</v>
        <stp/>
        <stp>Market</stp>
        <stp>STOCK</stp>
        <stp>51330.T</stp>
        <stp>年初来安値</stp>
        <tr r="Z573" s="7"/>
      </tp>
      <tp t="s">
        <v>表示銘柄数超過</v>
        <stp/>
        <stp>Market</stp>
        <stp>STOCK</stp>
        <stp>48330.T</stp>
        <stp>年初来安値</stp>
        <tr r="Z541" s="7"/>
      </tp>
      <tp>
        <v>227</v>
        <stp/>
        <stp>Market</stp>
        <stp>STOCK</stp>
        <stp>64330.T</stp>
        <stp>年初来安値</stp>
        <tr r="Z701" s="7"/>
      </tp>
      <tp>
        <v>295</v>
        <stp/>
        <stp>Market</stp>
        <stp>STOCK</stp>
        <stp>66330.T</stp>
        <stp>年初来安値</stp>
        <tr r="Z742" s="7"/>
      </tp>
      <tp>
        <v>475</v>
        <stp/>
        <stp>Market</stp>
        <stp>STOCK</stp>
        <stp>62330.T</stp>
        <stp>年初来安値</stp>
        <tr r="Z680" s="7"/>
      </tp>
      <tp t="s">
        <v>表示銘柄数超過</v>
        <stp/>
        <stp>Market</stp>
        <stp>STOCK</stp>
        <stp>13330.T</stp>
        <stp>年初来安値</stp>
        <tr r="Z9" s="7"/>
      </tp>
      <tp t="s">
        <v>表示銘柄数超過</v>
        <stp/>
        <stp>Market</stp>
        <stp>STOCK</stp>
        <stp>34330.T</stp>
        <stp>年初来安値</stp>
        <tr r="Z298" s="7"/>
      </tp>
      <tp t="s">
        <v>表示銘柄数超過</v>
        <stp/>
        <stp>Market</stp>
        <stp>STOCK</stp>
        <stp>31330.T</stp>
        <stp>年初来安値</stp>
        <tr r="Z245" s="7"/>
      </tp>
      <tp t="s">
        <v>表示銘柄数超過</v>
        <stp/>
        <stp>Market</stp>
        <stp>STOCK</stp>
        <stp>33330.T</stp>
        <stp>年初来安値</stp>
        <tr r="Z281" s="7"/>
      </tp>
      <tp t="s">
        <v>表示銘柄数超過</v>
        <stp/>
        <stp>Market</stp>
        <stp>STOCK</stp>
        <stp>24330.T</stp>
        <stp>年初来安値</stp>
        <tr r="Z141" s="7"/>
      </tp>
      <tp t="s">
        <v>表示銘柄数超過</v>
        <stp/>
        <stp>Market</stp>
        <stp>STOCK</stp>
        <stp>25330.T</stp>
        <stp>年初来安値</stp>
        <tr r="Z160" s="7"/>
      </tp>
      <tp t="s">
        <v>表示銘柄数超過</v>
        <stp/>
        <stp>Market</stp>
        <stp>STOCK</stp>
        <stp>26330.T</stp>
        <stp>年初来安値</stp>
        <tr r="Z172" s="7"/>
      </tp>
      <tp t="s">
        <v>表示銘柄数超過</v>
        <stp/>
        <stp>Market</stp>
        <stp>STOCK</stp>
        <stp>94330.T</stp>
        <stp>年初来安値</stp>
        <tr r="Z1128" s="7"/>
      </tp>
      <tp t="s">
        <v>表示銘柄数超過</v>
        <stp/>
        <stp>Market</stp>
        <stp>STOCK</stp>
        <stp>90330.T</stp>
        <stp>年初来安値</stp>
        <tr r="Z1084" s="7"/>
      </tp>
      <tp>
        <v>1025</v>
        <stp/>
        <stp>Market</stp>
        <stp>STOCK</stp>
        <stp>81330.T</stp>
        <stp>年初来安値</stp>
        <tr r="Z980" s="7"/>
      </tp>
      <tp>
        <v>900</v>
        <stp/>
        <stp>Market</stp>
        <stp>STOCK</stp>
        <stp>66300.T</stp>
        <stp>年初来安値</stp>
        <tr r="Z740" s="7"/>
      </tp>
      <tp>
        <v>497</v>
        <stp/>
        <stp>Market</stp>
        <stp>STOCK</stp>
        <stp>63300.T</stp>
        <stp>年初来安値</stp>
        <tr r="Z688" s="7"/>
      </tp>
      <tp t="s">
        <v>表示銘柄数超過</v>
        <stp/>
        <stp>Market</stp>
        <stp>STOCK</stp>
        <stp>14300.T</stp>
        <stp>年初来安値</stp>
        <tr r="Z22" s="7"/>
      </tp>
      <tp t="s">
        <v>表示銘柄数超過</v>
        <stp/>
        <stp>Market</stp>
        <stp>STOCK</stp>
        <stp>17300.T</stp>
        <stp>年初来安値</stp>
        <tr r="Z52" s="7"/>
      </tp>
      <tp t="s">
        <v>表示銘柄数超過</v>
        <stp/>
        <stp>Market</stp>
        <stp>STOCK</stp>
        <stp>19300.T</stp>
        <stp>年初来安値</stp>
        <tr r="Z76" s="7"/>
      </tp>
      <tp t="s">
        <v>表示銘柄数超過</v>
        <stp/>
        <stp>Market</stp>
        <stp>STOCK</stp>
        <stp>30300.T</stp>
        <stp>年初来安値</stp>
        <tr r="Z225" s="7"/>
      </tp>
      <tp t="s">
        <v>表示銘柄数超過</v>
        <stp/>
        <stp>Market</stp>
        <stp>STOCK</stp>
        <stp>23300.T</stp>
        <stp>年初来安値</stp>
        <tr r="Z117" s="7"/>
      </tp>
      <tp t="s">
        <v>表示銘柄数超過</v>
        <stp/>
        <stp>Market</stp>
        <stp>STOCK</stp>
        <stp>29300.T</stp>
        <stp>年初来安値</stp>
        <tr r="Z216" s="7"/>
      </tp>
      <tp t="s">
        <v>表示銘柄数超過</v>
        <stp/>
        <stp>Market</stp>
        <stp>STOCK</stp>
        <stp>99300.T</stp>
        <stp>年初来安値</stp>
        <tr r="Z1183" s="7"/>
      </tp>
      <tp>
        <v>316</v>
        <stp/>
        <stp>Market</stp>
        <stp>STOCK</stp>
        <stp>82300.T</stp>
        <stp>年初来安値</stp>
        <tr r="Z994" s="7"/>
      </tp>
      <tp t="s">
        <v>表示銘柄数超過</v>
        <stp/>
        <stp>Market</stp>
        <stp>STOCK</stp>
        <stp>88300.T</stp>
        <stp>年初来安値</stp>
        <tr r="Z1054" s="7"/>
      </tp>
      <tp>
        <v>194</v>
        <stp/>
        <stp>Market</stp>
        <stp>STOCK</stp>
        <stp>51310.T</stp>
        <stp>年初来安値</stp>
        <tr r="Z572" s="7"/>
      </tp>
      <tp t="s">
        <v>表示銘柄数超過</v>
        <stp/>
        <stp>Market</stp>
        <stp>STOCK</stp>
        <stp>45310.T</stp>
        <stp>年初来安値</stp>
        <tr r="Z483" s="7"/>
      </tp>
      <tp t="s">
        <v>表示銘柄数超過</v>
        <stp/>
        <stp>Market</stp>
        <stp>STOCK</stp>
        <stp>46310.T</stp>
        <stp>年初来安値</stp>
        <tr r="Z470" s="7"/>
      </tp>
      <tp>
        <v>940</v>
        <stp/>
        <stp>Market</stp>
        <stp>STOCK</stp>
        <stp>70310.T</stp>
        <stp>年初来安値</stp>
        <tr r="Z810" s="7"/>
      </tp>
      <tp>
        <v>77</v>
        <stp/>
        <stp>Market</stp>
        <stp>STOCK</stp>
        <stp>67310.T</stp>
        <stp>年初来安値</stp>
        <tr r="Z758" s="7"/>
      </tp>
      <tp>
        <v>720</v>
        <stp/>
        <stp>Market</stp>
        <stp>STOCK</stp>
        <stp>60310.T</stp>
        <stp>年初来安値</stp>
        <tr r="Z639" s="7"/>
      </tp>
      <tp t="s">
        <v>表示銘柄数超過</v>
        <stp/>
        <stp>Market</stp>
        <stp>STOCK</stp>
        <stp>30310.T</stp>
        <stp>年初来安値</stp>
        <tr r="Z226" s="7"/>
      </tp>
      <tp t="s">
        <v>表示銘柄数超過</v>
        <stp/>
        <stp>Market</stp>
        <stp>STOCK</stp>
        <stp>95310.T</stp>
        <stp>年初来安値</stp>
        <tr r="Z1153" s="7"/>
      </tp>
      <tp>
        <v>412</v>
        <stp/>
        <stp>Market</stp>
        <stp>STOCK</stp>
        <stp>98310.T</stp>
        <stp>年初来安値</stp>
        <tr r="Z1171" s="7"/>
      </tp>
      <tp>
        <v>3700</v>
        <stp/>
        <stp>Market</stp>
        <stp>STOCK</stp>
        <stp>80310.T</stp>
        <stp>年初来安値</stp>
        <tr r="Z969" s="7"/>
      </tp>
      <tp>
        <v>814</v>
        <stp/>
        <stp>Market</stp>
        <stp>STOCK</stp>
        <stp>83310.T</stp>
        <stp>年初来安値</stp>
        <tr r="Z1004" s="7"/>
      </tp>
      <tp>
        <v>490</v>
        <stp/>
        <stp>Market</stp>
        <stp>STOCK</stp>
        <stp>59360.T</stp>
        <stp>年初来安値</stp>
        <tr r="Z620" s="7"/>
      </tp>
      <tp t="s">
        <v>表示銘柄数超過</v>
        <stp/>
        <stp>Market</stp>
        <stp>STOCK</stp>
        <stp>44360.T</stp>
        <stp>年初来安値</stp>
        <tr r="Z464" s="7"/>
      </tp>
      <tp>
        <v>1720</v>
        <stp/>
        <stp>Market</stp>
        <stp>STOCK</stp>
        <stp>72360.T</stp>
        <stp>年初来安値</stp>
        <tr r="Z855" s="7"/>
      </tp>
      <tp>
        <v>81</v>
        <stp/>
        <stp>Market</stp>
        <stp>STOCK</stp>
        <stp>78360.T</stp>
        <stp>年初来安値</stp>
        <tr r="Z943" s="7"/>
      </tp>
      <tp>
        <v>650</v>
        <stp/>
        <stp>Market</stp>
        <stp>STOCK</stp>
        <stp>63360.T</stp>
        <stp>年初来安値</stp>
        <tr r="Z690" s="7"/>
      </tp>
      <tp t="s">
        <v>表示銘柄数超過</v>
        <stp/>
        <stp>Market</stp>
        <stp>STOCK</stp>
        <stp>34360.T</stp>
        <stp>年初来安値</stp>
        <tr r="Z299" s="7"/>
      </tp>
      <tp t="s">
        <v>表示銘柄数超過</v>
        <stp/>
        <stp>Market</stp>
        <stp>STOCK</stp>
        <stp>35360.T</stp>
        <stp>年初来安値</stp>
        <tr r="Z304" s="7"/>
      </tp>
      <tp t="s">
        <v>表示銘柄数超過</v>
        <stp/>
        <stp>Market</stp>
        <stp>STOCK</stp>
        <stp>30360.T</stp>
        <stp>年初来安値</stp>
        <tr r="Z229" s="7"/>
      </tp>
      <tp t="s">
        <v>表示銘柄数超過</v>
        <stp/>
        <stp>Market</stp>
        <stp>STOCK</stp>
        <stp>32360.T</stp>
        <stp>年初来安値</stp>
        <tr r="Z259" s="7"/>
      </tp>
      <tp t="s">
        <v>表示銘柄数超過</v>
        <stp/>
        <stp>Market</stp>
        <stp>STOCK</stp>
        <stp>22360.T</stp>
        <stp>年初来安値</stp>
        <tr r="Z106" s="7"/>
      </tp>
      <tp t="s">
        <v>表示銘柄数超過</v>
        <stp/>
        <stp>Market</stp>
        <stp>STOCK</stp>
        <stp>94360.T</stp>
        <stp>年初来安値</stp>
        <tr r="Z1130" s="7"/>
      </tp>
      <tp t="s">
        <v>表示銘柄数超過</v>
        <stp/>
        <stp>Market</stp>
        <stp>STOCK</stp>
        <stp>42370.T</stp>
        <stp>年初来安値</stp>
        <tr r="Z427" s="7"/>
      </tp>
      <tp t="s">
        <v>表示銘柄数超過</v>
        <stp/>
        <stp>Market</stp>
        <stp>STOCK</stp>
        <stp>43370.T</stp>
        <stp>年初来安値</stp>
        <tr r="Z444" s="7"/>
      </tp>
      <tp t="s">
        <v>表示銘柄数超過</v>
        <stp/>
        <stp>Market</stp>
        <stp>STOCK</stp>
        <stp>48370.T</stp>
        <stp>年初来安値</stp>
        <tr r="Z542" s="7"/>
      </tp>
      <tp>
        <v>420</v>
        <stp/>
        <stp>Market</stp>
        <stp>STOCK</stp>
        <stp>70370.T</stp>
        <stp>年初来安値</stp>
        <tr r="Z811" s="7"/>
      </tp>
      <tp>
        <v>619</v>
        <stp/>
        <stp>Market</stp>
        <stp>STOCK</stp>
        <stp>73370.T</stp>
        <stp>年初来安値</stp>
        <tr r="Z875" s="7"/>
      </tp>
      <tp>
        <v>368</v>
        <stp/>
        <stp>Market</stp>
        <stp>STOCK</stp>
        <stp>78370.T</stp>
        <stp>年初来安値</stp>
        <tr r="Z944" s="7"/>
      </tp>
      <tp>
        <v>221</v>
        <stp/>
        <stp>Market</stp>
        <stp>STOCK</stp>
        <stp>65370.T</stp>
        <stp>年初来安値</stp>
        <tr r="Z720" s="7"/>
      </tp>
      <tp t="s">
        <v>表示銘柄数超過</v>
        <stp/>
        <stp>Market</stp>
        <stp>STOCK</stp>
        <stp>31370.T</stp>
        <stp>年初来安値</stp>
        <tr r="Z246" s="7"/>
      </tp>
      <tp t="s">
        <v>表示銘柄数超過</v>
        <stp/>
        <stp>Market</stp>
        <stp>STOCK</stp>
        <stp>32370.T</stp>
        <stp>年初来安値</stp>
        <tr r="Z260" s="7"/>
      </tp>
      <tp t="s">
        <v>表示銘柄数超過</v>
        <stp/>
        <stp>Market</stp>
        <stp>STOCK</stp>
        <stp>24370.T</stp>
        <stp>年初来安値</stp>
        <tr r="Z143" s="7"/>
      </tp>
      <tp t="s">
        <v>表示銘柄数超過</v>
        <stp/>
        <stp>Market</stp>
        <stp>STOCK</stp>
        <stp>23370.T</stp>
        <stp>年初来安値</stp>
        <tr r="Z118" s="7"/>
      </tp>
      <tp>
        <v>306</v>
        <stp/>
        <stp>Market</stp>
        <stp>STOCK</stp>
        <stp>87370.T</stp>
        <stp>年初来安値</stp>
        <tr r="Z1041" s="7"/>
      </tp>
      <tp>
        <v>831</v>
        <stp/>
        <stp>Market</stp>
        <stp>STOCK</stp>
        <stp>82370.T</stp>
        <stp>年初来安値</stp>
        <tr r="Z995" s="7"/>
      </tp>
      <tp>
        <v>436</v>
        <stp/>
        <stp>Market</stp>
        <stp>STOCK</stp>
        <stp>83370.T</stp>
        <stp>年初来安値</stp>
        <tr r="Z1005" s="7"/>
      </tp>
      <tp>
        <v>2395</v>
        <stp/>
        <stp>Market</stp>
        <stp>STOCK</stp>
        <stp>53340.T</stp>
        <stp>年初来安値</stp>
        <tr r="Z586" s="7"/>
      </tp>
      <tp>
        <v>118</v>
        <stp/>
        <stp>Market</stp>
        <stp>STOCK</stp>
        <stp>66340.T</stp>
        <stp>年初来安値</stp>
        <tr r="Z743" s="7"/>
      </tp>
      <tp>
        <v>1914</v>
        <stp/>
        <stp>Market</stp>
        <stp>STOCK</stp>
        <stp>61340.T</stp>
        <stp>年初来安値</stp>
        <tr r="Z657" s="7"/>
      </tp>
      <tp>
        <v>270</v>
        <stp/>
        <stp>Market</stp>
        <stp>STOCK</stp>
        <stp>63340.T</stp>
        <stp>年初来安値</stp>
        <tr r="Z689" s="7"/>
      </tp>
      <tp t="s">
        <v>表示銘柄数超過</v>
        <stp/>
        <stp>Market</stp>
        <stp>STOCK</stp>
        <stp>30340.T</stp>
        <stp>年初来安値</stp>
        <tr r="Z227" s="7"/>
      </tp>
      <tp t="s">
        <v>表示銘柄数超過</v>
        <stp/>
        <stp>Market</stp>
        <stp>STOCK</stp>
        <stp>39340.T</stp>
        <stp>年初来安値</stp>
        <tr r="Z396" s="7"/>
      </tp>
      <tp t="s">
        <v>表示銘柄数超過</v>
        <stp/>
        <stp>Market</stp>
        <stp>STOCK</stp>
        <stp>26340.T</stp>
        <stp>年初来安値</stp>
        <tr r="Z173" s="7"/>
      </tp>
      <tp t="s">
        <v>表示銘柄数超過</v>
        <stp/>
        <stp>Market</stp>
        <stp>STOCK</stp>
        <stp>27340.T</stp>
        <stp>年初来安値</stp>
        <tr r="Z189" s="7"/>
      </tp>
      <tp t="s">
        <v>表示銘柄数超過</v>
        <stp/>
        <stp>Market</stp>
        <stp>STOCK</stp>
        <stp>21340.T</stp>
        <stp>年初来安値</stp>
        <tr r="Z92" s="7"/>
      </tp>
      <tp>
        <v>1454.5</v>
        <stp/>
        <stp>Market</stp>
        <stp>STOCK</stp>
        <stp>94340.T</stp>
        <stp>年初来安値</stp>
        <tr r="Z1129" s="7"/>
      </tp>
      <tp>
        <v>162</v>
        <stp/>
        <stp>Market</stp>
        <stp>STOCK</stp>
        <stp>71350.T</stp>
        <stp>年初来安値</stp>
        <tr r="Z829" s="7"/>
      </tp>
      <tp>
        <v>497</v>
        <stp/>
        <stp>Market</stp>
        <stp>STOCK</stp>
        <stp>72350.T</stp>
        <stp>年初来安値</stp>
        <tr r="Z854" s="7"/>
      </tp>
      <tp>
        <v>433</v>
        <stp/>
        <stp>Market</stp>
        <stp>STOCK</stp>
        <stp>66350.T</stp>
        <stp>年初来安値</stp>
        <tr r="Z744" s="7"/>
      </tp>
      <tp>
        <v>1238</v>
        <stp/>
        <stp>Market</stp>
        <stp>STOCK</stp>
        <stp>60350.T</stp>
        <stp>年初来安値</stp>
        <tr r="Z640" s="7"/>
      </tp>
      <tp>
        <v>95</v>
        <stp/>
        <stp>Market</stp>
        <stp>STOCK</stp>
        <stp>68350.T</stp>
        <stp>年初来安値</stp>
        <tr r="Z776" s="7"/>
      </tp>
      <tp t="s">
        <v>表示銘柄数超過</v>
        <stp/>
        <stp>Market</stp>
        <stp>STOCK</stp>
        <stp>14350.T</stp>
        <stp>年初来安値</stp>
        <tr r="Z23" s="7"/>
      </tp>
      <tp t="s">
        <v>表示銘柄数超過</v>
        <stp/>
        <stp>Market</stp>
        <stp>STOCK</stp>
        <stp>36350.T</stp>
        <stp>年初来安値</stp>
        <tr r="Z317" s="7"/>
      </tp>
      <tp t="s">
        <v>表示銘柄数超過</v>
        <stp/>
        <stp>Market</stp>
        <stp>STOCK</stp>
        <stp>30350.T</stp>
        <stp>年初来安値</stp>
        <tr r="Z228" s="7"/>
      </tp>
      <tp t="s">
        <v>表示銘柄数超過</v>
        <stp/>
        <stp>Market</stp>
        <stp>STOCK</stp>
        <stp>38350.T</stp>
        <stp>年初来安値</stp>
        <tr r="Z369" s="7"/>
      </tp>
      <tp t="s">
        <v>表示銘柄数超過</v>
        <stp/>
        <stp>Market</stp>
        <stp>STOCK</stp>
        <stp>39350.T</stp>
        <stp>年初来安値</stp>
        <tr r="Z397" s="7"/>
      </tp>
      <tp t="s">
        <v>表示銘柄数超過</v>
        <stp/>
        <stp>Market</stp>
        <stp>STOCK</stp>
        <stp>24350.T</stp>
        <stp>年初来安値</stp>
        <tr r="Z142" s="7"/>
      </tp>
      <tp t="s">
        <v>表示銘柄数超過</v>
        <stp/>
        <stp>Market</stp>
        <stp>STOCK</stp>
        <stp>26350.T</stp>
        <stp>年初来安値</stp>
        <tr r="Z174" s="7"/>
      </tp>
      <tp t="s">
        <v>表示銘柄数超過</v>
        <stp/>
        <stp>Market</stp>
        <stp>STOCK</stp>
        <stp>27350.T</stp>
        <stp>年初来安値</stp>
        <tr r="Z190" s="7"/>
      </tp>
      <tp t="s">
        <v>表示銘柄数超過</v>
        <stp/>
        <stp>Market</stp>
        <stp>STOCK</stp>
        <stp>22350.T</stp>
        <stp>年初来安値</stp>
        <tr r="Z105" s="7"/>
      </tp>
      <tp>
        <v>263</v>
        <stp/>
        <stp>Market</stp>
        <stp>STOCK</stp>
        <stp>81350.T</stp>
        <stp>年初来安値</stp>
        <tr r="Z981" s="7"/>
      </tp>
      <tp>
        <v>1785</v>
        <stp/>
        <stp>Market</stp>
        <stp>STOCK</stp>
        <stp>58380.T</stp>
        <stp>年初来安値</stp>
        <tr r="Z615" s="7"/>
      </tp>
      <tp>
        <v>1585</v>
        <stp/>
        <stp>Market</stp>
        <stp>STOCK</stp>
        <stp>59380.T</stp>
        <stp>年初来安値</stp>
        <tr r="Z621" s="7"/>
      </tp>
      <tp t="s">
        <v>表示銘柄数超過</v>
        <stp/>
        <stp>Market</stp>
        <stp>STOCK</stp>
        <stp>44380.T</stp>
        <stp>年初来安値</stp>
        <tr r="Z465" s="7"/>
      </tp>
      <tp t="s">
        <v>表示銘柄数超過</v>
        <stp/>
        <stp>Market</stp>
        <stp>STOCK</stp>
        <stp>42380.T</stp>
        <stp>年初来安値</stp>
        <tr r="Z428" s="7"/>
      </tp>
      <tp t="s">
        <v>表示銘柄数超過</v>
        <stp/>
        <stp>Market</stp>
        <stp>STOCK</stp>
        <stp>48380.T</stp>
        <stp>年初来安値</stp>
        <tr r="Z543" s="7"/>
      </tp>
      <tp>
        <v>248</v>
        <stp/>
        <stp>Market</stp>
        <stp>STOCK</stp>
        <stp>75380.T</stp>
        <stp>年初来安値</stp>
        <tr r="Z902" s="7"/>
      </tp>
      <tp>
        <v>102</v>
        <stp/>
        <stp>Market</stp>
        <stp>STOCK</stp>
        <stp>72380.T</stp>
        <stp>年初来安値</stp>
        <tr r="Z856" s="7"/>
      </tp>
      <tp>
        <v>283</v>
        <stp/>
        <stp>Market</stp>
        <stp>STOCK</stp>
        <stp>69380.T</stp>
        <stp>年初来安値</stp>
        <tr r="Z790" s="7"/>
      </tp>
      <tp t="s">
        <v>表示銘柄数超過</v>
        <stp/>
        <stp>Market</stp>
        <stp>STOCK</stp>
        <stp>19380.T</stp>
        <stp>年初来安値</stp>
        <tr r="Z77" s="7"/>
      </tp>
      <tp t="s">
        <v>表示銘柄数超過</v>
        <stp/>
        <stp>Market</stp>
        <stp>STOCK</stp>
        <stp>37380.T</stp>
        <stp>年初来安値</stp>
        <tr r="Z348" s="7"/>
      </tp>
      <tp t="s">
        <v>表示銘柄数超過</v>
        <stp/>
        <stp>Market</stp>
        <stp>STOCK</stp>
        <stp>30380.T</stp>
        <stp>年初来安値</stp>
        <tr r="Z230" s="7"/>
      </tp>
      <tp t="s">
        <v>表示銘柄数超過</v>
        <stp/>
        <stp>Market</stp>
        <stp>STOCK</stp>
        <stp>32380.T</stp>
        <stp>年初来安値</stp>
        <tr r="Z261" s="7"/>
      </tp>
      <tp t="s">
        <v>表示銘柄数超過</v>
        <stp/>
        <stp>Market</stp>
        <stp>STOCK</stp>
        <stp>24380.T</stp>
        <stp>年初来安値</stp>
        <tr r="Z144" s="7"/>
      </tp>
      <tp>
        <v>1007</v>
        <stp/>
        <stp>Market</stp>
        <stp>STOCK</stp>
        <stp>20380.T</stp>
        <stp>年初来安値</stp>
        <tr r="Z87" s="7"/>
      </tp>
      <tp t="s">
        <v>表示銘柄数超過</v>
        <stp/>
        <stp>Market</stp>
        <stp>STOCK</stp>
        <stp>21380.T</stp>
        <stp>年初来安値</stp>
        <tr r="Z93" s="7"/>
      </tp>
      <tp t="s">
        <v>表示銘柄数超過</v>
        <stp/>
        <stp>Market</stp>
        <stp>STOCK</stp>
        <stp>89380.T</stp>
        <stp>年初来安値</stp>
        <tr r="Z1068" s="7"/>
      </tp>
      <tp>
        <v>1489</v>
        <stp/>
        <stp>Market</stp>
        <stp>STOCK</stp>
        <stp>77390.T</stp>
        <stp>年初来安値</stp>
        <tr r="Z926" s="7"/>
      </tp>
      <tp t="s">
        <v>表示銘柄数超過</v>
        <stp/>
        <stp>Market</stp>
        <stp>STOCK</stp>
        <stp>14390.T</stp>
        <stp>年初来安値</stp>
        <tr r="Z24" s="7"/>
      </tp>
      <tp t="s">
        <v>表示銘柄数超過</v>
        <stp/>
        <stp>Market</stp>
        <stp>STOCK</stp>
        <stp>19390.T</stp>
        <stp>年初来安値</stp>
        <tr r="Z78" s="7"/>
      </tp>
      <tp t="s">
        <v>表示銘柄数超過</v>
        <stp/>
        <stp>Market</stp>
        <stp>STOCK</stp>
        <stp>36390.T</stp>
        <stp>年初来安値</stp>
        <tr r="Z318" s="7"/>
      </tp>
      <tp t="s">
        <v>表示銘柄数超過</v>
        <stp/>
        <stp>Market</stp>
        <stp>STOCK</stp>
        <stp>39390.T</stp>
        <stp>年初来安値</stp>
        <tr r="Z398" s="7"/>
      </tp>
      <tp t="s">
        <v>表示銘柄数超過</v>
        <stp/>
        <stp>Market</stp>
        <stp>STOCK</stp>
        <stp>94390.T</stp>
        <stp>年初来安値</stp>
        <tr r="Z1131" s="7"/>
      </tp>
      <tp>
        <v>842</v>
        <stp/>
        <stp>Market</stp>
        <stp>STOCK</stp>
        <stp>81390.T</stp>
        <stp>年初来安値</stp>
        <tr r="Z982" s="7"/>
      </tp>
      <tp>
        <v>480</v>
        <stp/>
        <stp>Market</stp>
        <stp>STOCK</stp>
        <stp>77220.T</stp>
        <stp>年初来安値</stp>
        <tr r="Z923" s="7"/>
      </tp>
      <tp>
        <v>1038</v>
        <stp/>
        <stp>Market</stp>
        <stp>STOCK</stp>
        <stp>71220.T</stp>
        <stp>年初来安値</stp>
        <tr r="Z828" s="7"/>
      </tp>
      <tp>
        <v>759</v>
        <stp/>
        <stp>Market</stp>
        <stp>STOCK</stp>
        <stp>72220.T</stp>
        <stp>年初来安値</stp>
        <tr r="Z852" s="7"/>
      </tp>
      <tp>
        <v>595</v>
        <stp/>
        <stp>Market</stp>
        <stp>STOCK</stp>
        <stp>65220.T</stp>
        <stp>年初来安値</stp>
        <tr r="Z719" s="7"/>
      </tp>
      <tp t="s">
        <v>表示銘柄数超過</v>
        <stp/>
        <stp>Market</stp>
        <stp>STOCK</stp>
        <stp>34220.T</stp>
        <stp>年初来安値</stp>
        <tr r="Z297" s="7"/>
      </tp>
      <tp t="s">
        <v>表示銘柄数超過</v>
        <stp/>
        <stp>Market</stp>
        <stp>STOCK</stp>
        <stp>27220.T</stp>
        <stp>年初来安値</stp>
        <tr r="Z188" s="7"/>
      </tp>
      <tp t="s">
        <v>表示銘柄数超過</v>
        <stp/>
        <stp>Market</stp>
        <stp>STOCK</stp>
        <stp>95220.T</stp>
        <stp>年初来安値</stp>
        <tr r="Z1152" s="7"/>
      </tp>
      <tp t="s">
        <v>表示銘柄数超過</v>
        <stp/>
        <stp>Market</stp>
        <stp>STOCK</stp>
        <stp>90220.T</stp>
        <stp>年初来安値</stp>
        <tr r="Z1082" s="7"/>
      </tp>
      <tp>
        <v>208</v>
        <stp/>
        <stp>Market</stp>
        <stp>STOCK</stp>
        <stp>86220.T</stp>
        <stp>年初来安値</stp>
        <tr r="Z1032" s="7"/>
      </tp>
      <tp>
        <v>1174</v>
        <stp/>
        <stp>Market</stp>
        <stp>STOCK</stp>
        <stp>54230.T</stp>
        <stp>年初来安値</stp>
        <tr r="Z595" s="7"/>
      </tp>
      <tp t="s">
        <v>表示銘柄数超過</v>
        <stp/>
        <stp>Market</stp>
        <stp>STOCK</stp>
        <stp>45230.T</stp>
        <stp>年初来安値</stp>
        <tr r="Z482" s="7"/>
      </tp>
      <tp>
        <v>577</v>
        <stp/>
        <stp>Market</stp>
        <stp>STOCK</stp>
        <stp>75230.T</stp>
        <stp>年初来安値</stp>
        <tr r="Z900" s="7"/>
      </tp>
      <tp>
        <v>417</v>
        <stp/>
        <stp>Market</stp>
        <stp>STOCK</stp>
        <stp>76230.T</stp>
        <stp>年初来安値</stp>
        <tr r="Z915" s="7"/>
      </tp>
      <tp>
        <v>727</v>
        <stp/>
        <stp>Market</stp>
        <stp>STOCK</stp>
        <stp>78230.T</stp>
        <stp>年初来安値</stp>
        <tr r="Z941" s="7"/>
      </tp>
      <tp>
        <v>1165.5</v>
        <stp/>
        <stp>Market</stp>
        <stp>STOCK</stp>
        <stp>67230.T</stp>
        <stp>年初来安値</stp>
        <tr r="Z757" s="7"/>
      </tp>
      <tp>
        <v>495</v>
        <stp/>
        <stp>Market</stp>
        <stp>STOCK</stp>
        <stp>60230.T</stp>
        <stp>年初来安値</stp>
        <tr r="Z636" s="7"/>
      </tp>
      <tp>
        <v>2256</v>
        <stp/>
        <stp>Market</stp>
        <stp>STOCK</stp>
        <stp>69230.T</stp>
        <stp>年初来安値</stp>
        <tr r="Z788" s="7"/>
      </tp>
      <tp t="s">
        <v>表示銘柄数超過</v>
        <stp/>
        <stp>Market</stp>
        <stp>STOCK</stp>
        <stp>37230.T</stp>
        <stp>年初来安値</stp>
        <tr r="Z346" s="7"/>
      </tp>
      <tp t="s">
        <v>表示銘柄数超過</v>
        <stp/>
        <stp>Market</stp>
        <stp>STOCK</stp>
        <stp>33230.T</stp>
        <stp>年初来安値</stp>
        <tr r="Z278" s="7"/>
      </tp>
      <tp t="s">
        <v>表示銘柄数超過</v>
        <stp/>
        <stp>Market</stp>
        <stp>STOCK</stp>
        <stp>38230.T</stp>
        <stp>年初来安値</stp>
        <tr r="Z366" s="7"/>
      </tp>
      <tp t="s">
        <v>表示銘柄数超過</v>
        <stp/>
        <stp>Market</stp>
        <stp>STOCK</stp>
        <stp>23230.T</stp>
        <stp>年初来安値</stp>
        <tr r="Z116" s="7"/>
      </tp>
      <tp t="s">
        <v>表示銘柄数超過</v>
        <stp/>
        <stp>Market</stp>
        <stp>STOCK</stp>
        <stp>94230.T</stp>
        <stp>年初来安値</stp>
        <tr r="Z1124" s="7"/>
      </tp>
      <tp t="s">
        <v>表示銘柄数超過</v>
        <stp/>
        <stp>Market</stp>
        <stp>STOCK</stp>
        <stp>97230.T</stp>
        <stp>年初来安値</stp>
        <tr r="Z1163" s="7"/>
      </tp>
      <tp t="s">
        <v>表示銘柄数超過</v>
        <stp/>
        <stp>Market</stp>
        <stp>STOCK</stp>
        <stp>89230.T</stp>
        <stp>年初来安値</stp>
        <tr r="Z1065" s="7"/>
      </tp>
      <tp t="s">
        <v>表示銘柄数超過</v>
        <stp/>
        <stp>Market</stp>
        <stp>STOCK</stp>
        <stp>50200.T</stp>
        <stp>年初来安値</stp>
        <tr r="Z562" s="7"/>
      </tp>
      <tp t="s">
        <v>表示銘柄数超過</v>
        <stp/>
        <stp>Market</stp>
        <stp>STOCK</stp>
        <stp>46200.T</stp>
        <stp>年初来安値</stp>
        <tr r="Z512" s="7"/>
      </tp>
      <tp t="s">
        <v>表示銘柄数超過</v>
        <stp/>
        <stp>Market</stp>
        <stp>STOCK</stp>
        <stp>47200.T</stp>
        <stp>年初来安値</stp>
        <tr r="Z526" s="7"/>
      </tp>
      <tp t="s">
        <v>表示銘柄数超過</v>
        <stp/>
        <stp>Market</stp>
        <stp>STOCK</stp>
        <stp>48200.T</stp>
        <stp>年初来安値</stp>
        <tr r="Z538" s="7"/>
      </tp>
      <tp t="s">
        <v>表示銘柄数超過</v>
        <stp/>
        <stp>Market</stp>
        <stp>STOCK</stp>
        <stp>49200.T</stp>
        <stp>年初来安値</stp>
        <tr r="Z553" s="7"/>
      </tp>
      <tp>
        <v>1219</v>
        <stp/>
        <stp>Market</stp>
        <stp>STOCK</stp>
        <stp>74200.T</stp>
        <stp>年初来安値</stp>
        <tr r="Z888" s="7"/>
      </tp>
      <tp>
        <v>17485</v>
        <stp/>
        <stp>Market</stp>
        <stp>STOCK</stp>
        <stp>69200.T</stp>
        <stp>年初来安値</stp>
        <tr r="Z787" s="7"/>
      </tp>
      <tp t="s">
        <v>表示銘柄数超過</v>
        <stp/>
        <stp>Market</stp>
        <stp>STOCK</stp>
        <stp>17200.T</stp>
        <stp>年初来安値</stp>
        <tr r="Z50" s="7"/>
      </tp>
      <tp t="s">
        <v>表示銘柄数超過</v>
        <stp/>
        <stp>Market</stp>
        <stp>STOCK</stp>
        <stp>39200.T</stp>
        <stp>年初来安値</stp>
        <tr r="Z392" s="7"/>
      </tp>
      <tp t="s">
        <v>表示銘柄数超過</v>
        <stp/>
        <stp>Market</stp>
        <stp>STOCK</stp>
        <stp>26200.T</stp>
        <stp>年初来安値</stp>
        <tr r="Z169" s="7"/>
      </tp>
      <tp t="s">
        <v>表示銘柄数超過</v>
        <stp/>
        <stp>Market</stp>
        <stp>STOCK</stp>
        <stp>21200.T</stp>
        <stp>年初来安値</stp>
        <tr r="Z90" s="7"/>
      </tp>
      <tp t="s">
        <v>表示銘柄数超過</v>
        <stp/>
        <stp>Market</stp>
        <stp>STOCK</stp>
        <stp>90200.T</stp>
        <stp>年初来安値</stp>
        <tr r="Z1081" s="7"/>
        <tr r="Z1080" s="7"/>
      </tp>
      <tp>
        <v>1447</v>
        <stp/>
        <stp>Market</stp>
        <stp>STOCK</stp>
        <stp>80200.T</stp>
        <stp>年初来安値</stp>
        <tr r="Z968" s="7"/>
      </tp>
      <tp t="s">
        <v>表示銘柄数超過</v>
        <stp/>
        <stp>Market</stp>
        <stp>STOCK</stp>
        <stp>50210.T</stp>
        <stp>年初来安値</stp>
        <tr r="Z563" s="7"/>
      </tp>
      <tp>
        <v>801</v>
        <stp/>
        <stp>Market</stp>
        <stp>STOCK</stp>
        <stp>51210.T</stp>
        <stp>年初来安値</stp>
        <tr r="Z570" s="7"/>
      </tp>
      <tp>
        <v>85</v>
        <stp/>
        <stp>Market</stp>
        <stp>STOCK</stp>
        <stp>67210.T</stp>
        <stp>年初来安値</stp>
        <tr r="Z756" s="7"/>
      </tp>
      <tp t="s">
        <v>表示銘柄数超過</v>
        <stp/>
        <stp>Market</stp>
        <stp>STOCK</stp>
        <stp>17210.T</stp>
        <stp>年初来安値</stp>
        <tr r="Z51" s="7"/>
      </tp>
      <tp t="s">
        <v>表示銘柄数超過</v>
        <stp/>
        <stp>Market</stp>
        <stp>STOCK</stp>
        <stp>18210.T</stp>
        <stp>年初来安値</stp>
        <tr r="Z62" s="7"/>
      </tp>
      <tp t="s">
        <v>表示銘柄数超過</v>
        <stp/>
        <stp>Market</stp>
        <stp>STOCK</stp>
        <stp>35210.T</stp>
        <stp>年初来安値</stp>
        <tr r="Z303" s="7"/>
      </tp>
      <tp t="s">
        <v>表示銘柄数超過</v>
        <stp/>
        <stp>Market</stp>
        <stp>STOCK</stp>
        <stp>30210.T</stp>
        <stp>年初来安値</stp>
        <tr r="Z224" s="7"/>
      </tp>
      <tp t="s">
        <v>表示銘柄数超過</v>
        <stp/>
        <stp>Market</stp>
        <stp>STOCK</stp>
        <stp>31210.T</stp>
        <stp>年初来安値</stp>
        <tr r="Z244" s="7"/>
      </tp>
      <tp t="s">
        <v>表示銘柄数超過</v>
        <stp/>
        <stp>Market</stp>
        <stp>STOCK</stp>
        <stp>26210.T</stp>
        <stp>年初来安値</stp>
        <tr r="Z170" s="7"/>
      </tp>
      <tp t="s">
        <v>表示銘柄数超過</v>
        <stp/>
        <stp>Market</stp>
        <stp>STOCK</stp>
        <stp>27210.T</stp>
        <stp>年初来安値</stp>
        <tr r="Z187" s="7"/>
      </tp>
      <tp t="s">
        <v>表示銘柄数超過</v>
        <stp/>
        <stp>Market</stp>
        <stp>STOCK</stp>
        <stp>23210.T</stp>
        <stp>年初来安値</stp>
        <tr r="Z115" s="7"/>
      </tp>
      <tp t="s">
        <v>表示銘柄数超過</v>
        <stp/>
        <stp>Market</stp>
        <stp>STOCK</stp>
        <stp>94210.T</stp>
        <stp>年初来安値</stp>
        <tr r="Z1123" s="7"/>
      </tp>
      <tp>
        <v>2562</v>
        <stp/>
        <stp>Market</stp>
        <stp>STOCK</stp>
        <stp>57260.T</stp>
        <stp>年初来安値</stp>
        <tr r="Z608" s="7"/>
      </tp>
      <tp t="s">
        <v>表示銘柄数超過</v>
        <stp/>
        <stp>Market</stp>
        <stp>STOCK</stp>
        <stp>47260.T</stp>
        <stp>年初来安値</stp>
        <tr r="Z527" s="7"/>
      </tp>
      <tp>
        <v>711</v>
        <stp/>
        <stp>Market</stp>
        <stp>STOCK</stp>
        <stp>62260.T</stp>
        <stp>年初来安値</stp>
        <tr r="Z679" s="7"/>
      </tp>
      <tp t="s">
        <v>表示銘柄数超過</v>
        <stp/>
        <stp>Market</stp>
        <stp>STOCK</stp>
        <stp>18260.T</stp>
        <stp>年初来安値</stp>
        <tr r="Z63" s="7"/>
      </tp>
      <tp t="s">
        <v>表示銘柄数超過</v>
        <stp/>
        <stp>Market</stp>
        <stp>STOCK</stp>
        <stp>36260.T</stp>
        <stp>年初来安値</stp>
        <tr r="Z314" s="7"/>
      </tp>
      <tp t="s">
        <v>表示銘柄数超過</v>
        <stp/>
        <stp>Market</stp>
        <stp>STOCK</stp>
        <stp>33260.T</stp>
        <stp>年初来安値</stp>
        <tr r="Z279" s="7"/>
      </tp>
      <tp t="s">
        <v>表示銘柄数超過</v>
        <stp/>
        <stp>Market</stp>
        <stp>STOCK</stp>
        <stp>38260.T</stp>
        <stp>年初来安値</stp>
        <tr r="Z368" s="7"/>
      </tp>
      <tp t="s">
        <v>表示銘柄数超過</v>
        <stp/>
        <stp>Market</stp>
        <stp>STOCK</stp>
        <stp>29260.T</stp>
        <stp>年初来安値</stp>
        <tr r="Z215" s="7"/>
      </tp>
      <tp>
        <v>203</v>
        <stp/>
        <stp>Market</stp>
        <stp>STOCK</stp>
        <stp>82260.T</stp>
        <stp>年初来安値</stp>
        <tr r="Z993" s="7"/>
      </tp>
      <tp>
        <v>1592</v>
        <stp/>
        <stp>Market</stp>
        <stp>STOCK</stp>
        <stp>57270.T</stp>
        <stp>年初来安値</stp>
        <tr r="Z609" s="7"/>
      </tp>
      <tp t="s">
        <v>表示銘柄数超過</v>
        <stp/>
        <stp>Market</stp>
        <stp>STOCK</stp>
        <stp>44270.T</stp>
        <stp>年初来安値</stp>
        <tr r="Z463" s="7"/>
      </tp>
      <tp t="s">
        <v>表示銘柄数超過</v>
        <stp/>
        <stp>Market</stp>
        <stp>STOCK</stp>
        <stp>40270.T</stp>
        <stp>年初来安値</stp>
        <tr r="Z413" s="7"/>
      </tp>
      <tp>
        <v>58</v>
        <stp/>
        <stp>Market</stp>
        <stp>STOCK</stp>
        <stp>75270.T</stp>
        <stp>年初来安値</stp>
        <tr r="Z901" s="7"/>
      </tp>
      <tp>
        <v>330</v>
        <stp/>
        <stp>Market</stp>
        <stp>STOCK</stp>
        <stp>69270.T</stp>
        <stp>年初来安値</stp>
        <tr r="Z789" s="7"/>
      </tp>
      <tp t="s">
        <v>表示銘柄数超過</v>
        <stp/>
        <stp>Market</stp>
        <stp>STOCK</stp>
        <stp>18270.T</stp>
        <stp>年初来安値</stp>
        <tr r="Z64" s="7"/>
      </tp>
      <tp t="s">
        <v>表示銘柄数超過</v>
        <stp/>
        <stp>Market</stp>
        <stp>STOCK</stp>
        <stp>36270.T</stp>
        <stp>年初来安値</stp>
        <tr r="Z315" s="7"/>
      </tp>
      <tp t="s">
        <v>表示銘柄数超過</v>
        <stp/>
        <stp>Market</stp>
        <stp>STOCK</stp>
        <stp>37270.T</stp>
        <stp>年初来安値</stp>
        <tr r="Z347" s="7"/>
      </tp>
      <tp t="s">
        <v>表示銘柄数超過</v>
        <stp/>
        <stp>Market</stp>
        <stp>STOCK</stp>
        <stp>39270.T</stp>
        <stp>年初来安値</stp>
        <tr r="Z393" s="7"/>
      </tp>
      <tp t="s">
        <v>表示銘柄数超過</v>
        <stp/>
        <stp>Market</stp>
        <stp>STOCK</stp>
        <stp>21270.T</stp>
        <stp>年初来安値</stp>
        <tr r="Z91" s="7"/>
      </tp>
      <tp t="s">
        <v>表示銘柄数超過</v>
        <stp/>
        <stp>Market</stp>
        <stp>STOCK</stp>
        <stp>99270.T</stp>
        <stp>年初来安値</stp>
        <tr r="Z1181" s="7"/>
      </tp>
      <tp t="s">
        <v>表示銘柄数超過</v>
        <stp/>
        <stp>Market</stp>
        <stp>STOCK</stp>
        <stp>89270.T</stp>
        <stp>年初来安値</stp>
        <tr r="Z1067" s="7"/>
      </tp>
      <tp t="s">
        <v>表示銘柄数超過</v>
        <stp/>
        <stp>Market</stp>
        <stp>STOCK</stp>
        <stp>43240.T</stp>
        <stp>年初来安値</stp>
        <tr r="Z443" s="7"/>
      </tp>
      <tp t="s">
        <v>表示銘柄数超過</v>
        <stp/>
        <stp>Market</stp>
        <stp>STOCK</stp>
        <stp>48240.T</stp>
        <stp>年初来安値</stp>
        <tr r="Z539" s="7"/>
      </tp>
      <tp>
        <v>139</v>
        <stp/>
        <stp>Market</stp>
        <stp>STOCK</stp>
        <stp>76240.T</stp>
        <stp>年初来安値</stp>
        <tr r="Z916" s="7"/>
      </tp>
      <tp t="s">
        <v>表示銘柄数超過</v>
        <stp/>
        <stp>Market</stp>
        <stp>STOCK</stp>
        <stp>36240.T</stp>
        <stp>年初来安値</stp>
        <tr r="Z312" s="7"/>
      </tp>
      <tp t="s">
        <v>表示銘柄数超過</v>
        <stp/>
        <stp>Market</stp>
        <stp>STOCK</stp>
        <stp>26240.T</stp>
        <stp>年初来安値</stp>
        <tr r="Z171" s="7"/>
      </tp>
      <tp t="s">
        <v>表示銘柄数超過</v>
        <stp/>
        <stp>Market</stp>
        <stp>STOCK</stp>
        <stp>94240.T</stp>
        <stp>年初来安値</stp>
        <tr r="Z1125" s="7"/>
      </tp>
      <tp t="s">
        <v>表示銘柄数超過</v>
        <stp/>
        <stp>Market</stp>
        <stp>STOCK</stp>
        <stp>90240.T</stp>
        <stp>年初来安値</stp>
        <tr r="Z1083" s="7"/>
      </tp>
      <tp>
        <v>253</v>
        <stp/>
        <stp>Market</stp>
        <stp>STOCK</stp>
        <stp>85240.T</stp>
        <stp>年初来安値</stp>
        <tr r="Z1018" s="7"/>
      </tp>
      <tp>
        <v>566</v>
        <stp/>
        <stp>Market</stp>
        <stp>STOCK</stp>
        <stp>86240.T</stp>
        <stp>年初来安値</stp>
        <tr r="Z1033" s="7"/>
      </tp>
      <tp>
        <v>917</v>
        <stp/>
        <stp>Market</stp>
        <stp>STOCK</stp>
        <stp>77250.T</stp>
        <stp>年初来安値</stp>
        <tr r="Z924" s="7"/>
      </tp>
      <tp>
        <v>181</v>
        <stp/>
        <stp>Market</stp>
        <stp>STOCK</stp>
        <stp>66250.T</stp>
        <stp>年初来安値</stp>
        <tr r="Z739" s="7"/>
      </tp>
      <tp t="s">
        <v>表示銘柄数超過</v>
        <stp/>
        <stp>Market</stp>
        <stp>STOCK</stp>
        <stp>13250.T</stp>
        <stp>年初来安値</stp>
        <tr r="Z7" s="7"/>
      </tp>
      <tp t="s">
        <v>表示銘柄数超過</v>
        <stp/>
        <stp>Market</stp>
        <stp>STOCK</stp>
        <stp>19250.T</stp>
        <stp>年初来安値</stp>
        <tr r="Z74" s="7"/>
      </tp>
      <tp t="s">
        <v>表示銘柄数超過</v>
        <stp/>
        <stp>Market</stp>
        <stp>STOCK</stp>
        <stp>36250.T</stp>
        <stp>年初来安値</stp>
        <tr r="Z313" s="7"/>
      </tp>
      <tp t="s">
        <v>表示銘柄数超過</v>
        <stp/>
        <stp>Market</stp>
        <stp>STOCK</stp>
        <stp>38250.T</stp>
        <stp>年初来安値</stp>
        <tr r="Z367" s="7"/>
      </tp>
      <tp t="s">
        <v>表示銘柄数超過</v>
        <stp/>
        <stp>Market</stp>
        <stp>STOCK</stp>
        <stp>94250.T</stp>
        <stp>年初来安値</stp>
        <tr r="Z1126" s="7"/>
      </tp>
      <tp t="s">
        <v>表示銘柄数超過</v>
        <stp/>
        <stp>Market</stp>
        <stp>STOCK</stp>
        <stp>93250.T</stp>
        <stp>年初来安値</stp>
        <tr r="Z1110" s="7"/>
      </tp>
      <tp t="s">
        <v>表示銘柄数超過</v>
        <stp/>
        <stp>Market</stp>
        <stp>STOCK</stp>
        <stp>89250.T</stp>
        <stp>年初来安値</stp>
        <tr r="Z1066" s="7"/>
      </tp>
      <tp t="s">
        <v>表示銘柄数超過</v>
        <stp/>
        <stp>Market</stp>
        <stp>STOCK</stp>
        <stp>50280.T</stp>
        <stp>年初来安値</stp>
        <tr r="Z564" s="7"/>
      </tp>
      <tp>
        <v>263</v>
        <stp/>
        <stp>Market</stp>
        <stp>STOCK</stp>
        <stp>59280.T</stp>
        <stp>年初来安値</stp>
        <tr r="Z619" s="7"/>
      </tp>
      <tp>
        <v>2751.5</v>
        <stp/>
        <stp>Market</stp>
        <stp>STOCK</stp>
        <stp>60280.T</stp>
        <stp>年初来安値</stp>
        <tr r="Z637" s="7"/>
      </tp>
      <tp t="s">
        <v>表示銘柄数超過</v>
        <stp/>
        <stp>Market</stp>
        <stp>STOCK</stp>
        <stp>19280.T</stp>
        <stp>年初来安値</stp>
        <tr r="Z75" s="7"/>
      </tp>
      <tp t="s">
        <v>表示銘柄数超過</v>
        <stp/>
        <stp>Market</stp>
        <stp>STOCK</stp>
        <stp>33280.T</stp>
        <stp>年初来安値</stp>
        <tr r="Z280" s="7"/>
      </tp>
      <tp t="s">
        <v>表示銘柄数超過</v>
        <stp/>
        <stp>Market</stp>
        <stp>STOCK</stp>
        <stp>39280.T</stp>
        <stp>年初来安値</stp>
        <tr r="Z394" s="7"/>
      </tp>
      <tp t="s">
        <v>表示銘柄数超過</v>
        <stp/>
        <stp>Market</stp>
        <stp>STOCK</stp>
        <stp>99280.T</stp>
        <stp>年初来安値</stp>
        <tr r="Z1182" s="7"/>
      </tp>
      <tp>
        <v>705</v>
        <stp/>
        <stp>Market</stp>
        <stp>STOCK</stp>
        <stp>86280.T</stp>
        <stp>年初来安値</stp>
        <tr r="Z1034" s="7"/>
      </tp>
      <tp>
        <v>988</v>
        <stp/>
        <stp>Market</stp>
        <stp>STOCK</stp>
        <stp>51290.T</stp>
        <stp>年初来安値</stp>
        <tr r="Z571" s="7"/>
      </tp>
      <tp t="s">
        <v>表示銘柄数超過</v>
        <stp/>
        <stp>Market</stp>
        <stp>STOCK</stp>
        <stp>48290.T</stp>
        <stp>年初来安値</stp>
        <tr r="Z540" s="7"/>
      </tp>
      <tp>
        <v>1660</v>
        <stp/>
        <stp>Market</stp>
        <stp>STOCK</stp>
        <stp>72290.T</stp>
        <stp>年初来安値</stp>
        <tr r="Z853" s="7"/>
      </tp>
      <tp>
        <v>80</v>
        <stp/>
        <stp>Market</stp>
        <stp>STOCK</stp>
        <stp>78290.T</stp>
        <stp>年初来安値</stp>
        <tr r="Z942" s="7"/>
      </tp>
      <tp>
        <v>171</v>
        <stp/>
        <stp>Market</stp>
        <stp>STOCK</stp>
        <stp>60290.T</stp>
        <stp>年初来安値</stp>
        <tr r="Z638" s="7"/>
      </tp>
      <tp t="s">
        <v>表示銘柄数超過</v>
        <stp/>
        <stp>Market</stp>
        <stp>STOCK</stp>
        <stp>39290.T</stp>
        <stp>年初来安値</stp>
        <tr r="Z395" s="7"/>
      </tp>
      <tp t="s">
        <v>表示銘柄数超過</v>
        <stp/>
        <stp>Market</stp>
        <stp>STOCK</stp>
        <stp>24290.T</stp>
        <stp>年初来安値</stp>
        <tr r="Z139" s="7"/>
      </tp>
      <tp>
        <v>933</v>
        <stp/>
        <stp>Market</stp>
        <stp>STOCK</stp>
        <stp>56120.T</stp>
        <stp>年初来安値</stp>
        <tr r="Z601" s="7"/>
      </tp>
      <tp t="s">
        <v>表示銘柄数超過</v>
        <stp/>
        <stp>Market</stp>
        <stp>STOCK</stp>
        <stp>46120.T</stp>
        <stp>年初来安値</stp>
        <tr r="Z509" s="7"/>
      </tp>
      <tp t="s">
        <v>表示銘柄数超過</v>
        <stp/>
        <stp>Market</stp>
        <stp>STOCK</stp>
        <stp>49120.T</stp>
        <stp>年初来安値</stp>
        <tr r="Z552" s="7"/>
      </tp>
      <tp>
        <v>772</v>
        <stp/>
        <stp>Market</stp>
        <stp>STOCK</stp>
        <stp>75120.T</stp>
        <stp>年初来安値</stp>
        <tr r="Z896" s="7"/>
      </tp>
      <tp>
        <v>2671</v>
        <stp/>
        <stp>Market</stp>
        <stp>STOCK</stp>
        <stp>70120.T</stp>
        <stp>年初来安値</stp>
        <tr r="Z807" s="7"/>
      </tp>
      <tp>
        <v>498</v>
        <stp/>
        <stp>Market</stp>
        <stp>STOCK</stp>
        <stp>72120.T</stp>
        <stp>年初来安値</stp>
        <tr r="Z849" s="7"/>
      </tp>
      <tp t="s">
        <v>表示銘柄数超過</v>
        <stp/>
        <stp>Market</stp>
        <stp>STOCK</stp>
        <stp>17120.T</stp>
        <stp>年初来安値</stp>
        <tr r="Z47" s="7"/>
      </tp>
      <tp t="s">
        <v>表示銘柄数超過</v>
        <stp/>
        <stp>Market</stp>
        <stp>STOCK</stp>
        <stp>18120.T</stp>
        <stp>年初来安値</stp>
        <tr r="Z60" s="7"/>
      </tp>
      <tp t="s">
        <v>表示銘柄数超過</v>
        <stp/>
        <stp>Market</stp>
        <stp>STOCK</stp>
        <stp>24120.T</stp>
        <stp>年初来安値</stp>
        <tr r="Z137" s="7"/>
      </tp>
      <tp t="s">
        <v>表示銘柄数超過</v>
        <stp/>
        <stp>Market</stp>
        <stp>STOCK</stp>
        <stp>94120.T</stp>
        <stp>年初来安値</stp>
        <tr r="Z1118" s="7"/>
      </tp>
      <tp t="s">
        <v>表示銘柄数超過</v>
        <stp/>
        <stp>Market</stp>
        <stp>STOCK</stp>
        <stp>98120.T</stp>
        <stp>年初来安値</stp>
        <tr r="Z1170" s="7"/>
      </tp>
      <tp t="s">
        <v>表示銘柄数超過</v>
        <stp/>
        <stp>Market</stp>
        <stp>STOCK</stp>
        <stp>89120.T</stp>
        <stp>年初来安値</stp>
        <tr r="Z1063" s="7"/>
      </tp>
      <tp t="s">
        <v>表示銘柄数超過</v>
        <stp/>
        <stp>Market</stp>
        <stp>STOCK</stp>
        <stp>46130.T</stp>
        <stp>年初来安値</stp>
        <tr r="Z510" s="7"/>
      </tp>
      <tp>
        <v>526</v>
        <stp/>
        <stp>Market</stp>
        <stp>STOCK</stp>
        <stp>75130.T</stp>
        <stp>年初来安値</stp>
        <tr r="Z897" s="7"/>
      </tp>
      <tp>
        <v>2480</v>
        <stp/>
        <stp>Market</stp>
        <stp>STOCK</stp>
        <stp>70130.T</stp>
        <stp>年初来安値</stp>
        <tr r="Z808" s="7"/>
      </tp>
      <tp>
        <v>450</v>
        <stp/>
        <stp>Market</stp>
        <stp>STOCK</stp>
        <stp>72130.T</stp>
        <stp>年初来安値</stp>
        <tr r="Z850" s="7"/>
      </tp>
      <tp>
        <v>1130</v>
        <stp/>
        <stp>Market</stp>
        <stp>STOCK</stp>
        <stp>65130.T</stp>
        <stp>年初来安値</stp>
        <tr r="Z718" s="7"/>
      </tp>
      <tp>
        <v>494</v>
        <stp/>
        <stp>Market</stp>
        <stp>STOCK</stp>
        <stp>66130.T</stp>
        <stp>年初来安値</stp>
        <tr r="Z736" s="7"/>
      </tp>
      <tp>
        <v>1018</v>
        <stp/>
        <stp>Market</stp>
        <stp>STOCK</stp>
        <stp>61130.T</stp>
        <stp>年初来安値</stp>
        <tr r="Z656" s="7"/>
      </tp>
      <tp t="s">
        <v>表示銘柄数超過</v>
        <stp/>
        <stp>Market</stp>
        <stp>STOCK</stp>
        <stp>31130.T</stp>
        <stp>年初来安値</stp>
        <tr r="Z243" s="7"/>
      </tp>
      <tp t="s">
        <v>表示銘柄数超過</v>
        <stp/>
        <stp>Market</stp>
        <stp>STOCK</stp>
        <stp>94130.T</stp>
        <stp>年初来安値</stp>
        <tr r="Z1119" s="7"/>
      </tp>
      <tp t="s">
        <v>表示銘柄数超過</v>
        <stp/>
        <stp>Market</stp>
        <stp>STOCK</stp>
        <stp>96130.T</stp>
        <stp>年初来安値</stp>
        <tr r="Z1160" s="7"/>
      </tp>
      <tp t="s">
        <v>表示銘柄数超過</v>
        <stp/>
        <stp>Market</stp>
        <stp>STOCK</stp>
        <stp>92130.T</stp>
        <stp>年初来安値</stp>
        <tr r="Z1099" s="7"/>
      </tp>
      <tp>
        <v>396</v>
        <stp/>
        <stp>Market</stp>
        <stp>STOCK</stp>
        <stp>86130.T</stp>
        <stp>年初来安値</stp>
        <tr r="Z1028" s="7"/>
      </tp>
      <tp>
        <v>2080</v>
        <stp/>
        <stp>Market</stp>
        <stp>STOCK</stp>
        <stp>54100.T</stp>
        <stp>年初来安値</stp>
        <tr r="Z593" s="7"/>
      </tp>
      <tp t="s">
        <v>表示銘柄数超過</v>
        <stp/>
        <stp>Market</stp>
        <stp>STOCK</stp>
        <stp>50100.T</stp>
        <stp>年初来安値</stp>
        <tr r="Z558" s="7"/>
      </tp>
      <tp>
        <v>1095</v>
        <stp/>
        <stp>Market</stp>
        <stp>STOCK</stp>
        <stp>51100.T</stp>
        <stp>年初来安値</stp>
        <tr r="Z569" s="7"/>
      </tp>
      <tp>
        <v>118</v>
        <stp/>
        <stp>Market</stp>
        <stp>STOCK</stp>
        <stp>76100.T</stp>
        <stp>年初来安値</stp>
        <tr r="Z912" s="7"/>
      </tp>
      <tp>
        <v>1322</v>
        <stp/>
        <stp>Market</stp>
        <stp>STOCK</stp>
        <stp>68100.T</stp>
        <stp>年初来安値</stp>
        <tr r="Z774" s="7"/>
      </tp>
      <tp t="s">
        <v>表示銘柄数超過</v>
        <stp/>
        <stp>Market</stp>
        <stp>STOCK</stp>
        <stp>37100.T</stp>
        <stp>年初来安値</stp>
        <tr r="Z344" s="7"/>
      </tp>
      <tp t="s">
        <v>表示銘柄数超過</v>
        <stp/>
        <stp>Market</stp>
        <stp>STOCK</stp>
        <stp>30100.T</stp>
        <stp>年初来安値</stp>
        <tr r="Z223" s="7"/>
      </tp>
      <tp t="s">
        <v>表示銘柄数超過</v>
        <stp/>
        <stp>Market</stp>
        <stp>STOCK</stp>
        <stp>38100.T</stp>
        <stp>年初来安値</stp>
        <tr r="Z362" s="7"/>
      </tp>
      <tp t="s">
        <v>表示銘柄数超過</v>
        <stp/>
        <stp>Market</stp>
        <stp>STOCK</stp>
        <stp>39100.T</stp>
        <stp>年初来安値</stp>
        <tr r="Z389" s="7"/>
      </tp>
      <tp t="s">
        <v>表示銘柄数超過</v>
        <stp/>
        <stp>Market</stp>
        <stp>STOCK</stp>
        <stp>24100.T</stp>
        <stp>年初来安値</stp>
        <tr r="Z135" s="7"/>
      </tp>
      <tp t="s">
        <v>表示銘柄数超過</v>
        <stp/>
        <stp>Market</stp>
        <stp>STOCK</stp>
        <stp>25100.T</stp>
        <stp>年初来安値</stp>
        <tr r="Z157" s="7"/>
      </tp>
      <tp t="s">
        <v>表示銘柄数超過</v>
        <stp/>
        <stp>Market</stp>
        <stp>STOCK</stp>
        <stp>28100.T</stp>
        <stp>年初来安値</stp>
        <tr r="Z201" s="7"/>
      </tp>
      <tp t="s">
        <v>表示銘柄数超過</v>
        <stp/>
        <stp>Market</stp>
        <stp>STOCK</stp>
        <stp>96100.T</stp>
        <stp>年初来安値</stp>
        <tr r="Z1159" s="7"/>
      </tp>
      <tp>
        <v>257</v>
        <stp/>
        <stp>Market</stp>
        <stp>STOCK</stp>
        <stp>84100.T</stp>
        <stp>年初来安値</stp>
        <tr r="Z1010" s="7"/>
      </tp>
      <tp>
        <v>1496</v>
        <stp/>
        <stp>Market</stp>
        <stp>STOCK</stp>
        <stp>54110.T</stp>
        <stp>年初来安値</stp>
        <tr r="Z594" s="7"/>
      </tp>
      <tp>
        <v>2010</v>
        <stp/>
        <stp>Market</stp>
        <stp>STOCK</stp>
        <stp>57110.T</stp>
        <stp>年初来安値</stp>
        <tr r="Z607" s="7"/>
      </tp>
      <tp t="s">
        <v>表示銘柄数超過</v>
        <stp/>
        <stp>Market</stp>
        <stp>STOCK</stp>
        <stp>46110.T</stp>
        <stp>年初来安値</stp>
        <tr r="Z508" s="7"/>
      </tp>
      <tp t="s">
        <v>表示銘柄数超過</v>
        <stp/>
        <stp>Market</stp>
        <stp>STOCK</stp>
        <stp>40110.T</stp>
        <stp>年初来安値</stp>
        <tr r="Z411" s="7"/>
      </tp>
      <tp>
        <v>4439</v>
        <stp/>
        <stp>Market</stp>
        <stp>STOCK</stp>
        <stp>70110.T</stp>
        <stp>年初来安値</stp>
        <tr r="Z806" s="7"/>
      </tp>
      <tp>
        <v>50</v>
        <stp/>
        <stp>Market</stp>
        <stp>STOCK</stp>
        <stp>71110.T</stp>
        <stp>年初来安値</stp>
        <tr r="Z826" s="7"/>
      </tp>
      <tp>
        <v>419.5</v>
        <stp/>
        <stp>Market</stp>
        <stp>STOCK</stp>
        <stp>72110.T</stp>
        <stp>年初来安値</stp>
        <tr r="Z848" s="7"/>
      </tp>
      <tp>
        <v>1847</v>
        <stp/>
        <stp>Market</stp>
        <stp>STOCK</stp>
        <stp>79110.T</stp>
        <stp>年初来安値</stp>
        <tr r="Z954" s="7"/>
      </tp>
      <tp t="s">
        <v>表示銘柄数超過</v>
        <stp/>
        <stp>Market</stp>
        <stp>STOCK</stp>
        <stp>17110.T</stp>
        <stp>年初来安値</stp>
        <tr r="Z46" s="7"/>
      </tp>
      <tp t="s">
        <v>表示銘柄数超過</v>
        <stp/>
        <stp>Market</stp>
        <stp>STOCK</stp>
        <stp>13110.T</stp>
        <stp>年初来安値</stp>
        <tr r="Z5" s="7"/>
      </tp>
      <tp t="s">
        <v>表示銘柄数超過</v>
        <stp/>
        <stp>Market</stp>
        <stp>STOCK</stp>
        <stp>19110.T</stp>
        <stp>年初来安値</stp>
        <tr r="Z72" s="7"/>
      </tp>
      <tp t="s">
        <v>表示銘柄数超過</v>
        <stp/>
        <stp>Market</stp>
        <stp>STOCK</stp>
        <stp>39110.T</stp>
        <stp>年初来安値</stp>
        <tr r="Z390" s="7"/>
      </tp>
      <tp t="s">
        <v>表示銘柄数超過</v>
        <stp/>
        <stp>Market</stp>
        <stp>STOCK</stp>
        <stp>24110.T</stp>
        <stp>年初来安値</stp>
        <tr r="Z136" s="7"/>
      </tp>
      <tp t="s">
        <v>表示銘柄数超過</v>
        <stp/>
        <stp>Market</stp>
        <stp>STOCK</stp>
        <stp>95110.T</stp>
        <stp>年初来安値</stp>
        <tr r="Z1149" s="7"/>
      </tp>
      <tp>
        <v>943</v>
        <stp/>
        <stp>Market</stp>
        <stp>STOCK</stp>
        <stp>85110.T</stp>
        <stp>年初来安値</stp>
        <tr r="Z1015" s="7"/>
      </tp>
      <tp>
        <v>83</v>
        <stp/>
        <stp>Market</stp>
        <stp>STOCK</stp>
        <stp>52160.T</stp>
        <stp>年初来安値</stp>
        <tr r="Z576" s="7"/>
      </tp>
      <tp t="s">
        <v>表示銘柄数超過</v>
        <stp/>
        <stp>Market</stp>
        <stp>STOCK</stp>
        <stp>44160.T</stp>
        <stp>年初来安値</stp>
        <tr r="Z461" s="7"/>
      </tp>
      <tp t="s">
        <v>表示銘柄数超過</v>
        <stp/>
        <stp>Market</stp>
        <stp>STOCK</stp>
        <stp>47160.T</stp>
        <stp>年初来安値</stp>
        <tr r="Z525" s="7"/>
      </tp>
      <tp t="s">
        <v>表示銘柄数超過</v>
        <stp/>
        <stp>Market</stp>
        <stp>STOCK</stp>
        <stp>40160.T</stp>
        <stp>年初来安値</stp>
        <tr r="Z412" s="7"/>
      </tp>
      <tp t="s">
        <v>表示銘柄数超過</v>
        <stp/>
        <stp>Market</stp>
        <stp>STOCK</stp>
        <stp>43160.T</stp>
        <stp>年初来安値</stp>
        <tr r="Z442" s="7"/>
      </tp>
      <tp>
        <v>3080</v>
        <stp/>
        <stp>Market</stp>
        <stp>STOCK</stp>
        <stp>75160.T</stp>
        <stp>年初来安値</stp>
        <tr r="Z899" s="7"/>
      </tp>
      <tp>
        <v>1170</v>
        <stp/>
        <stp>Market</stp>
        <stp>STOCK</stp>
        <stp>71160.T</stp>
        <stp>年初来安値</stp>
        <tr r="Z827" s="7"/>
      </tp>
      <tp t="s">
        <v>表示銘柄数超過</v>
        <stp/>
        <stp>Market</stp>
        <stp>STOCK</stp>
        <stp>17160.T</stp>
        <stp>年初来安値</stp>
        <tr r="Z48" s="7"/>
      </tp>
      <tp t="s">
        <v>表示銘柄数超過</v>
        <stp/>
        <stp>Market</stp>
        <stp>STOCK</stp>
        <stp>33160.T</stp>
        <stp>年初来安値</stp>
        <tr r="Z277" s="7"/>
      </tp>
      <tp t="s">
        <v>表示銘柄数超過</v>
        <stp/>
        <stp>Market</stp>
        <stp>STOCK</stp>
        <stp>38160.T</stp>
        <stp>年初来安値</stp>
        <tr r="Z365" s="7"/>
      </tp>
      <tp t="s">
        <v>表示銘柄数超過</v>
        <stp/>
        <stp>Market</stp>
        <stp>STOCK</stp>
        <stp>25160.T</stp>
        <stp>年初来安値</stp>
        <tr r="Z158" s="7"/>
      </tp>
      <tp t="s">
        <v>表示銘柄数超過</v>
        <stp/>
        <stp>Market</stp>
        <stp>STOCK</stp>
        <stp>22160.T</stp>
        <stp>年初来安値</stp>
        <tr r="Z104" s="7"/>
      </tp>
      <tp>
        <v>646</v>
        <stp/>
        <stp>Market</stp>
        <stp>STOCK</stp>
        <stp>84160.T</stp>
        <stp>年初来安値</stp>
        <tr r="Z1011" s="7"/>
      </tp>
      <tp>
        <v>349</v>
        <stp/>
        <stp>Market</stp>
        <stp>STOCK</stp>
        <stp>86160.T</stp>
        <stp>年初来安値</stp>
        <tr r="Z1030" s="7"/>
      </tp>
      <tp>
        <v>301</v>
        <stp/>
        <stp>Market</stp>
        <stp>STOCK</stp>
        <stp>80160.T</stp>
        <stp>年初来安値</stp>
        <tr r="Z967" s="7"/>
      </tp>
      <tp>
        <v>4997</v>
        <stp/>
        <stp>Market</stp>
        <stp>STOCK</stp>
        <stp>83160.T</stp>
        <stp>年初来安値</stp>
        <tr r="Z1003" s="7"/>
      </tp>
      <tp t="s">
        <v>表示銘柄数超過</v>
        <stp/>
        <stp>Market</stp>
        <stp>STOCK</stp>
        <stp>50170.T</stp>
        <stp>年初来安値</stp>
        <tr r="Z560" s="7"/>
      </tp>
      <tp>
        <v>440</v>
        <stp/>
        <stp>Market</stp>
        <stp>STOCK</stp>
        <stp>73170.T</stp>
        <stp>年初来安値</stp>
        <tr r="Z874" s="7"/>
      </tp>
      <tp>
        <v>1776</v>
        <stp/>
        <stp>Market</stp>
        <stp>STOCK</stp>
        <stp>66170.T</stp>
        <stp>年初来安値</stp>
        <tr r="Z737" s="7"/>
      </tp>
      <tp t="s">
        <v>表示銘柄数超過</v>
        <stp/>
        <stp>Market</stp>
        <stp>STOCK</stp>
        <stp>39170.T</stp>
        <stp>年初来安値</stp>
        <tr r="Z391" s="7"/>
      </tp>
      <tp t="s">
        <v>表示銘柄数超過</v>
        <stp/>
        <stp>Market</stp>
        <stp>STOCK</stp>
        <stp>23170.T</stp>
        <stp>年初来安値</stp>
        <tr r="Z114" s="7"/>
      </tp>
      <tp t="s">
        <v>表示銘柄数超過</v>
        <stp/>
        <stp>Market</stp>
        <stp>STOCK</stp>
        <stp>94170.T</stp>
        <stp>年初来安値</stp>
        <tr r="Z1121" s="7"/>
      </tp>
      <tp>
        <v>353</v>
        <stp/>
        <stp>Market</stp>
        <stp>STOCK</stp>
        <stp>86170.T</stp>
        <stp>年初来安値</stp>
        <tr r="Z1031" s="7"/>
      </tp>
      <tp t="s">
        <v>表示銘柄数超過</v>
        <stp/>
        <stp>Market</stp>
        <stp>STOCK</stp>
        <stp>44140.T</stp>
        <stp>年初来安値</stp>
        <tr r="Z460" s="7"/>
      </tp>
      <tp t="s">
        <v>表示銘柄数超過</v>
        <stp/>
        <stp>Market</stp>
        <stp>STOCK</stp>
        <stp>47140.T</stp>
        <stp>年初来安値</stp>
        <tr r="Z524" s="7"/>
      </tp>
      <tp t="s">
        <v>表示銘柄数超過</v>
        <stp/>
        <stp>Market</stp>
        <stp>STOCK</stp>
        <stp>48140.T</stp>
        <stp>年初来安値</stp>
        <tr r="Z537" s="7"/>
      </tp>
      <tp>
        <v>905</v>
        <stp/>
        <stp>Market</stp>
        <stp>STOCK</stp>
        <stp>75140.T</stp>
        <stp>年初来安値</stp>
        <tr r="Z898" s="7"/>
      </tp>
      <tp>
        <v>308</v>
        <stp/>
        <stp>Market</stp>
        <stp>STOCK</stp>
        <stp>70140.T</stp>
        <stp>年初来安値</stp>
        <tr r="Z809" s="7"/>
      </tp>
      <tp>
        <v>683</v>
        <stp/>
        <stp>Market</stp>
        <stp>STOCK</stp>
        <stp>72140.T</stp>
        <stp>年初来安値</stp>
        <tr r="Z851" s="7"/>
      </tp>
      <tp>
        <v>483</v>
        <stp/>
        <stp>Market</stp>
        <stp>STOCK</stp>
        <stp>78140.T</stp>
        <stp>年初来安値</stp>
        <tr r="Z940" s="7"/>
      </tp>
      <tp>
        <v>897</v>
        <stp/>
        <stp>Market</stp>
        <stp>STOCK</stp>
        <stp>68140.T</stp>
        <stp>年初来安値</stp>
        <tr r="Z775" s="7"/>
      </tp>
      <tp t="s">
        <v>表示銘柄数超過</v>
        <stp/>
        <stp>Market</stp>
        <stp>STOCK</stp>
        <stp>15140.T</stp>
        <stp>年初来安値</stp>
        <tr r="Z30" s="7"/>
      </tp>
      <tp t="s">
        <v>表示銘柄数超過</v>
        <stp/>
        <stp>Market</stp>
        <stp>STOCK</stp>
        <stp>19140.T</stp>
        <stp>年初来安値</stp>
        <tr r="Z73" s="7"/>
      </tp>
      <tp t="s">
        <v>表示銘柄数超過</v>
        <stp/>
        <stp>Market</stp>
        <stp>STOCK</stp>
        <stp>38140.T</stp>
        <stp>年初来安値</stp>
        <tr r="Z363" s="7"/>
      </tp>
      <tp t="s">
        <v>表示銘柄数超過</v>
        <stp/>
        <stp>Market</stp>
        <stp>STOCK</stp>
        <stp>21140.T</stp>
        <stp>年初来安値</stp>
        <tr r="Z89" s="7"/>
      </tp>
      <tp>
        <v>2537.5</v>
        <stp/>
        <stp>Market</stp>
        <stp>STOCK</stp>
        <stp>29140.T</stp>
        <stp>年初来安値</stp>
        <tr r="Z214" s="7"/>
      </tp>
      <tp t="s">
        <v>表示銘柄数超過</v>
        <stp/>
        <stp>Market</stp>
        <stp>STOCK</stp>
        <stp>94140.T</stp>
        <stp>年初来安値</stp>
        <tr r="Z1120" s="7"/>
      </tp>
      <tp t="s">
        <v>表示銘柄数超過</v>
        <stp/>
        <stp>Market</stp>
        <stp>STOCK</stp>
        <stp>95140.T</stp>
        <stp>年初来安値</stp>
        <tr r="Z1150" s="7"/>
      </tp>
      <tp>
        <v>258</v>
        <stp/>
        <stp>Market</stp>
        <stp>STOCK</stp>
        <stp>86140.T</stp>
        <stp>年初来安値</stp>
        <tr r="Z1029" s="7"/>
      </tp>
      <tp t="s">
        <v>表示銘柄数超過</v>
        <stp/>
        <stp>Market</stp>
        <stp>STOCK</stp>
        <stp>50150.T</stp>
        <stp>年初来安値</stp>
        <tr r="Z559" s="7"/>
      </tp>
      <tp>
        <v>141</v>
        <stp/>
        <stp>Market</stp>
        <stp>STOCK</stp>
        <stp>76150.T</stp>
        <stp>年初来安値</stp>
        <tr r="Z913" s="7"/>
      </tp>
      <tp t="s">
        <v>表示銘柄数超過</v>
        <stp/>
        <stp>Market</stp>
        <stp>STOCK</stp>
        <stp>16150.T</stp>
        <stp>年初来安値</stp>
        <tr r="Z38" s="7"/>
      </tp>
      <tp t="s">
        <v>表示銘柄数超過</v>
        <stp/>
        <stp>Market</stp>
        <stp>STOCK</stp>
        <stp>18150.T</stp>
        <stp>年初来安値</stp>
        <tr r="Z61" s="7"/>
      </tp>
      <tp t="s">
        <v>表示銘柄数超過</v>
        <stp/>
        <stp>Market</stp>
        <stp>STOCK</stp>
        <stp>33150.T</stp>
        <stp>年初来安値</stp>
        <tr r="Z276" s="7"/>
      </tp>
      <tp t="s">
        <v>表示銘柄数超過</v>
        <stp/>
        <stp>Market</stp>
        <stp>STOCK</stp>
        <stp>38150.T</stp>
        <stp>年初来安値</stp>
        <tr r="Z364" s="7"/>
      </tp>
      <tp t="s">
        <v>表示銘柄数超過</v>
        <stp/>
        <stp>Market</stp>
        <stp>STOCK</stp>
        <stp>24150.T</stp>
        <stp>年初来安値</stp>
        <tr r="Z138" s="7"/>
      </tp>
      <tp>
        <v>38</v>
        <stp/>
        <stp>Market</stp>
        <stp>STOCK</stp>
        <stp>23150.T</stp>
        <stp>年初来安値</stp>
        <tr r="Z113" s="7"/>
      </tp>
      <tp t="s">
        <v>表示銘柄数超過</v>
        <stp/>
        <stp>Market</stp>
        <stp>STOCK</stp>
        <stp>91150.T</stp>
        <stp>年初来安値</stp>
        <tr r="Z1096" s="7"/>
      </tp>
      <tp>
        <v>320</v>
        <stp/>
        <stp>Market</stp>
        <stp>STOCK</stp>
        <stp>85150.T</stp>
        <stp>年初来安値</stp>
        <tr r="Z1016" s="7"/>
      </tp>
      <tp>
        <v>81</v>
        <stp/>
        <stp>Market</stp>
        <stp>STOCK</stp>
        <stp>79180.T</stp>
        <stp>年初来安値</stp>
        <tr r="Z955" s="7"/>
      </tp>
      <tp>
        <v>922</v>
        <stp/>
        <stp>Market</stp>
        <stp>STOCK</stp>
        <stp>64180.T</stp>
        <stp>年初来安値</stp>
        <tr r="Z700" s="7"/>
      </tp>
      <tp>
        <v>641</v>
        <stp/>
        <stp>Market</stp>
        <stp>STOCK</stp>
        <stp>62180.T</stp>
        <stp>年初来安値</stp>
        <tr r="Z678" s="7"/>
      </tp>
      <tp t="s">
        <v>表示銘柄数超過</v>
        <stp/>
        <stp>Market</stp>
        <stp>STOCK</stp>
        <stp>14180.T</stp>
        <stp>年初来安値</stp>
        <tr r="Z20" s="7"/>
      </tp>
      <tp t="s">
        <v>表示銘柄数超過</v>
        <stp/>
        <stp>Market</stp>
        <stp>STOCK</stp>
        <stp>25180.T</stp>
        <stp>年初来安値</stp>
        <tr r="Z159" s="7"/>
      </tp>
      <tp>
        <v>215</v>
        <stp/>
        <stp>Market</stp>
        <stp>STOCK</stp>
        <stp>85180.T</stp>
        <stp>年初来安値</stp>
        <tr r="Z1017" s="7"/>
      </tp>
      <tp>
        <v>480</v>
        <stp/>
        <stp>Market</stp>
        <stp>STOCK</stp>
        <stp>81180.T</stp>
        <stp>年初来安値</stp>
        <tr r="Z979" s="7"/>
      </tp>
      <tp t="s">
        <v>表示銘柄数超過</v>
        <stp/>
        <stp>Market</stp>
        <stp>STOCK</stp>
        <stp>88180.T</stp>
        <stp>年初来安値</stp>
        <tr r="Z1053" s="7"/>
      </tp>
      <tp t="s">
        <v>表示銘柄数超過</v>
        <stp/>
        <stp>Market</stp>
        <stp>STOCK</stp>
        <stp>89180.T</stp>
        <stp>年初来安値</stp>
        <tr r="Z1064" s="7"/>
      </tp>
      <tp t="s">
        <v>表示銘柄数超過</v>
        <stp/>
        <stp>Market</stp>
        <stp>STOCK</stp>
        <stp>50190.T</stp>
        <stp>年初来安値</stp>
        <tr r="Z561" s="7"/>
      </tp>
      <tp t="s">
        <v>表示銘柄数超過</v>
        <stp/>
        <stp>Market</stp>
        <stp>STOCK</stp>
        <stp>44190.T</stp>
        <stp>年初来安値</stp>
        <tr r="Z462" s="7"/>
      </tp>
      <tp t="s">
        <v>表示銘柄数超過</v>
        <stp/>
        <stp>Market</stp>
        <stp>STOCK</stp>
        <stp>46190.T</stp>
        <stp>年初来安値</stp>
        <tr r="Z511" s="7"/>
      </tp>
      <tp>
        <v>1232</v>
        <stp/>
        <stp>Market</stp>
        <stp>STOCK</stp>
        <stp>74190.T</stp>
        <stp>年初来安値</stp>
        <tr r="Z887" s="7"/>
      </tp>
      <tp>
        <v>132</v>
        <stp/>
        <stp>Market</stp>
        <stp>STOCK</stp>
        <stp>77190.T</stp>
        <stp>年初来安値</stp>
        <tr r="Z922" s="7"/>
      </tp>
      <tp>
        <v>112</v>
        <stp/>
        <stp>Market</stp>
        <stp>STOCK</stp>
        <stp>79190.T</stp>
        <stp>年初来安値</stp>
        <tr r="Z956" s="7"/>
      </tp>
      <tp>
        <v>735</v>
        <stp/>
        <stp>Market</stp>
        <stp>STOCK</stp>
        <stp>66190.T</stp>
        <stp>年初来安値</stp>
        <tr r="Z738" s="7"/>
      </tp>
      <tp t="s">
        <v>表示銘柄数超過</v>
        <stp/>
        <stp>Market</stp>
        <stp>STOCK</stp>
        <stp>14190.T</stp>
        <stp>年初来安値</stp>
        <tr r="Z21" s="7"/>
      </tp>
      <tp t="s">
        <v>表示銘柄数超過</v>
        <stp/>
        <stp>Market</stp>
        <stp>STOCK</stp>
        <stp>17190.T</stp>
        <stp>年初来安値</stp>
        <tr r="Z49" s="7"/>
      </tp>
      <tp t="s">
        <v>表示銘柄数超過</v>
        <stp/>
        <stp>Market</stp>
        <stp>STOCK</stp>
        <stp>13190.T</stp>
        <stp>年初来安値</stp>
        <tr r="Z6" s="7"/>
      </tp>
      <tp t="s">
        <v>表示銘柄数超過</v>
        <stp/>
        <stp>Market</stp>
        <stp>STOCK</stp>
        <stp>37190.T</stp>
        <stp>年初来安値</stp>
        <tr r="Z345" s="7"/>
      </tp>
      <tp t="s">
        <v>表示銘柄数超過</v>
        <stp/>
        <stp>Market</stp>
        <stp>STOCK</stp>
        <stp>94190.T</stp>
        <stp>年初来安値</stp>
        <tr r="Z1122" s="7"/>
      </tp>
      <tp t="s">
        <v>表示銘柄数超過</v>
        <stp/>
        <stp>Market</stp>
        <stp>STOCK</stp>
        <stp>95190.T</stp>
        <stp>年初来安値</stp>
        <tr r="Z1151" s="7"/>
      </tp>
      <tp t="s">
        <v>表示銘柄数超過</v>
        <stp/>
        <stp>Market</stp>
        <stp>STOCK</stp>
        <stp>91190.T</stp>
        <stp>年初来安値</stp>
        <tr r="Z1097" s="7"/>
      </tp>
      <tp t="s">
        <v>表示銘柄数超過</v>
        <stp/>
        <stp>Market</stp>
        <stp>STOCK</stp>
        <stp>99190.T</stp>
        <stp>年初来安値</stp>
        <tr r="Z1180" s="7"/>
      </tp>
      <tp>
        <v>1456</v>
        <stp/>
        <stp>Market</stp>
        <stp>STOCK</stp>
        <stp>58020.T</stp>
        <stp>年初来安値</stp>
        <tr r="Z612" s="7"/>
      </tp>
      <tp t="s">
        <v>表示銘柄数超過</v>
        <stp/>
        <stp>Market</stp>
        <stp>STOCK</stp>
        <stp>42020.T</stp>
        <stp>年初来安値</stp>
        <tr r="Z426" s="7"/>
      </tp>
      <tp t="s">
        <v>表示銘柄数超過</v>
        <stp/>
        <stp>Market</stp>
        <stp>STOCK</stp>
        <stp>49020.T</stp>
        <stp>年初来安値</stp>
        <tr r="Z551" s="7"/>
      </tp>
      <tp>
        <v>175</v>
        <stp/>
        <stp>Market</stp>
        <stp>STOCK</stp>
        <stp>76020.T</stp>
        <stp>年初来安値</stp>
        <tr r="Z910" s="7"/>
      </tp>
      <tp>
        <v>1910</v>
        <stp/>
        <stp>Market</stp>
        <stp>STOCK</stp>
        <stp>71020.T</stp>
        <stp>年初来安値</stp>
        <tr r="Z825" s="7"/>
      </tp>
      <tp>
        <v>1461</v>
        <stp/>
        <stp>Market</stp>
        <stp>STOCK</stp>
        <stp>72020.T</stp>
        <stp>年初来安値</stp>
        <tr r="Z845" s="7"/>
      </tp>
      <tp t="s">
        <v/>
        <stp/>
        <stp>Market</stp>
        <stp>STOCK</stp>
        <stp>65020.T</stp>
        <stp>年初来安値</stp>
        <tr r="Z714" s="7"/>
      </tp>
      <tp>
        <v>16570</v>
        <stp/>
        <stp>Market</stp>
        <stp>STOCK</stp>
        <stp>67020.T</stp>
        <stp>年初来安値</stp>
        <tr r="Z755" s="7"/>
      </tp>
      <tp>
        <v>2075.5</v>
        <stp/>
        <stp>Market</stp>
        <stp>STOCK</stp>
        <stp>69020.T</stp>
        <stp>年初来安値</stp>
        <tr r="Z784" s="7"/>
      </tp>
      <tp t="s">
        <v>表示銘柄数超過</v>
        <stp/>
        <stp>Market</stp>
        <stp>STOCK</stp>
        <stp>18020.T</stp>
        <stp>年初来安値</stp>
        <tr r="Z57" s="7"/>
      </tp>
      <tp t="s">
        <v>表示銘柄数超過</v>
        <stp/>
        <stp>Market</stp>
        <stp>STOCK</stp>
        <stp>39020.T</stp>
        <stp>年初来安値</stp>
        <tr r="Z385" s="7"/>
      </tp>
      <tp t="s">
        <v>表示銘柄数超過</v>
        <stp/>
        <stp>Market</stp>
        <stp>STOCK</stp>
        <stp>24020.T</stp>
        <stp>年初来安値</stp>
        <tr r="Z132" s="7"/>
      </tp>
      <tp t="s">
        <v>表示銘柄数超過</v>
        <stp/>
        <stp>Market</stp>
        <stp>STOCK</stp>
        <stp>27020.T</stp>
        <stp>年初来安値</stp>
        <tr r="Z186" s="7"/>
      </tp>
      <tp t="s">
        <v>表示銘柄数超過</v>
        <stp/>
        <stp>Market</stp>
        <stp>STOCK</stp>
        <stp>95020.T</stp>
        <stp>年初来安値</stp>
        <tr r="Z1141" s="7"/>
      </tp>
      <tp>
        <v>206</v>
        <stp/>
        <stp>Market</stp>
        <stp>STOCK</stp>
        <stp>82020.T</stp>
        <stp>年初来安値</stp>
        <tr r="Z990" s="7"/>
      </tp>
      <tp t="s">
        <v>表示銘柄数超過</v>
        <stp/>
        <stp>Market</stp>
        <stp>STOCK</stp>
        <stp>88020.T</stp>
        <stp>年初来安値</stp>
        <tr r="Z1051" s="7"/>
      </tp>
      <tp>
        <v>1322</v>
        <stp/>
        <stp>Market</stp>
        <stp>STOCK</stp>
        <stp>57030.T</stp>
        <stp>年初来安値</stp>
        <tr r="Z605" s="7"/>
      </tp>
      <tp>
        <v>41</v>
        <stp/>
        <stp>Market</stp>
        <stp>STOCK</stp>
        <stp>51030.T</stp>
        <stp>年初来安値</stp>
        <tr r="Z567" s="7"/>
      </tp>
      <tp>
        <v>863</v>
        <stp/>
        <stp>Market</stp>
        <stp>STOCK</stp>
        <stp>58030.T</stp>
        <stp>年初来安値</stp>
        <tr r="Z613" s="7"/>
      </tp>
      <tp t="s">
        <v>表示銘柄数超過</v>
        <stp/>
        <stp>Market</stp>
        <stp>STOCK</stp>
        <stp>45030.T</stp>
        <stp>年初来安値</stp>
        <tr r="Z479" s="7"/>
      </tp>
      <tp>
        <v>364</v>
        <stp/>
        <stp>Market</stp>
        <stp>STOCK</stp>
        <stp>70030.T</stp>
        <stp>年初来安値</stp>
        <tr r="Z804" s="7"/>
      </tp>
      <tp>
        <v>1764</v>
        <stp/>
        <stp>Market</stp>
        <stp>STOCK</stp>
        <stp>72030.T</stp>
        <stp>年初来安値</stp>
        <tr r="Z846" s="7"/>
      </tp>
      <tp>
        <v>1273</v>
        <stp/>
        <stp>Market</stp>
        <stp>STOCK</stp>
        <stp>65030.T</stp>
        <stp>年初来安値</stp>
        <tr r="Z715" s="7"/>
      </tp>
      <tp>
        <v>726</v>
        <stp/>
        <stp>Market</stp>
        <stp>STOCK</stp>
        <stp>62030.T</stp>
        <stp>年初来安値</stp>
        <tr r="Z677" s="7"/>
      </tp>
      <tp>
        <v>89</v>
        <stp/>
        <stp>Market</stp>
        <stp>STOCK</stp>
        <stp>68030.T</stp>
        <stp>年初来安値</stp>
        <tr r="Z773" s="7"/>
      </tp>
      <tp t="s">
        <v>表示銘柄数超過</v>
        <stp/>
        <stp>Market</stp>
        <stp>STOCK</stp>
        <stp>18030.T</stp>
        <stp>年初来安値</stp>
        <tr r="Z58" s="7"/>
      </tp>
      <tp t="s">
        <v>表示銘柄数超過</v>
        <stp/>
        <stp>Market</stp>
        <stp>STOCK</stp>
        <stp>30030.T</stp>
        <stp>年初来安値</stp>
        <tr r="Z221" s="7"/>
      </tp>
      <tp t="s">
        <v>表示銘柄数超過</v>
        <stp/>
        <stp>Market</stp>
        <stp>STOCK</stp>
        <stp>31030.T</stp>
        <stp>年初来安値</stp>
        <tr r="Z242" s="7"/>
      </tp>
      <tp t="s">
        <v>表示銘柄数超過</v>
        <stp/>
        <stp>Market</stp>
        <stp>STOCK</stp>
        <stp>39030.T</stp>
        <stp>年初来安値</stp>
        <tr r="Z386" s="7"/>
      </tp>
      <tp t="s">
        <v>表示銘柄数超過</v>
        <stp/>
        <stp>Market</stp>
        <stp>STOCK</stp>
        <stp>95030.T</stp>
        <stp>年初来安値</stp>
        <tr r="Z1142" s="7"/>
      </tp>
      <tp t="s">
        <v>表示銘柄数超過</v>
        <stp/>
        <stp>Market</stp>
        <stp>STOCK</stp>
        <stp>96030.T</stp>
        <stp>年初来安値</stp>
        <tr r="Z1158" s="7"/>
      </tp>
      <tp t="s">
        <v>表示銘柄数超過</v>
        <stp/>
        <stp>Market</stp>
        <stp>STOCK</stp>
        <stp>90030.T</stp>
        <stp>年初来安値</stp>
        <tr r="Z1074" s="7"/>
      </tp>
      <tp>
        <v>618</v>
        <stp/>
        <stp>Market</stp>
        <stp>STOCK</stp>
        <stp>81030.T</stp>
        <stp>年初来安値</stp>
        <tr r="Z976" s="7"/>
      </tp>
      <tp>
        <v>587</v>
        <stp/>
        <stp>Market</stp>
        <stp>STOCK</stp>
        <stp>82030.T</stp>
        <stp>年初来安値</stp>
        <tr r="Z991" s="7"/>
      </tp>
      <tp t="s">
        <v>表示銘柄数超過</v>
        <stp/>
        <stp>Market</stp>
        <stp>STOCK</stp>
        <stp>42000.T</stp>
        <stp>年初来安値</stp>
        <tr r="Z425" s="7"/>
      </tp>
      <tp t="s">
        <v>表示銘柄数超過</v>
        <stp/>
        <stp>Market</stp>
        <stp>STOCK</stp>
        <stp>48000.T</stp>
        <stp>年初来安値</stp>
        <tr r="Z536" s="7"/>
      </tp>
      <tp>
        <v>611</v>
        <stp/>
        <stp>Market</stp>
        <stp>STOCK</stp>
        <stp>78000.T</stp>
        <stp>年初来安値</stp>
        <tr r="Z938" s="7"/>
      </tp>
      <tp t="s">
        <v>表示銘柄数超過</v>
        <stp/>
        <stp>Market</stp>
        <stp>STOCK</stp>
        <stp>14000.T</stp>
        <stp>年初来安値</stp>
        <tr r="Z17" s="7"/>
      </tp>
      <tp t="s">
        <v>表示銘柄数超過</v>
        <stp/>
        <stp>Market</stp>
        <stp>STOCK</stp>
        <stp>33000.T</stp>
        <stp>年初来安値</stp>
        <tr r="Z275" s="7"/>
      </tp>
      <tp t="s">
        <v>表示銘柄数超過</v>
        <stp/>
        <stp>Market</stp>
        <stp>STOCK</stp>
        <stp>39000.T</stp>
        <stp>年初来安値</stp>
        <tr r="Z384" s="7"/>
      </tp>
      <tp>
        <v>2228</v>
        <stp/>
        <stp>Market</stp>
        <stp>STOCK</stp>
        <stp>54010.T</stp>
        <stp>年初来安値</stp>
        <tr r="Z590" s="7"/>
      </tp>
      <tp>
        <v>2134</v>
        <stp/>
        <stp>Market</stp>
        <stp>STOCK</stp>
        <stp>58010.T</stp>
        <stp>年初来安値</stp>
        <tr r="Z611" s="7"/>
      </tp>
      <tp>
        <v>129</v>
        <stp/>
        <stp>Market</stp>
        <stp>STOCK</stp>
        <stp>76010.T</stp>
        <stp>年初来安値</stp>
        <tr r="Z909" s="7"/>
      </tp>
      <tp>
        <v>408.1</v>
        <stp/>
        <stp>Market</stp>
        <stp>STOCK</stp>
        <stp>72010.T</stp>
        <stp>年初来安値</stp>
        <tr r="Z844" s="7"/>
      </tp>
      <tp>
        <v>6295</v>
        <stp/>
        <stp>Market</stp>
        <stp>STOCK</stp>
        <stp>65010.T</stp>
        <stp>年初来安値</stp>
        <tr r="Z713" s="7"/>
      </tp>
      <tp>
        <v>4405</v>
        <stp/>
        <stp>Market</stp>
        <stp>STOCK</stp>
        <stp>67010.T</stp>
        <stp>年初来安値</stp>
        <tr r="Z754" s="7"/>
      </tp>
      <tp>
        <v>2792.5</v>
        <stp/>
        <stp>Market</stp>
        <stp>STOCK</stp>
        <stp>63010.T</stp>
        <stp>年初来安値</stp>
        <tr r="Z686" s="7"/>
      </tp>
      <tp t="s">
        <v>表示銘柄数超過</v>
        <stp/>
        <stp>Market</stp>
        <stp>STOCK</stp>
        <stp>14010.T</stp>
        <stp>年初来安値</stp>
        <tr r="Z18" s="7"/>
      </tp>
      <tp t="s">
        <v>表示銘柄数超過</v>
        <stp/>
        <stp>Market</stp>
        <stp>STOCK</stp>
        <stp>34010.T</stp>
        <stp>年初来安値</stp>
        <tr r="Z294" s="7"/>
      </tp>
      <tp t="s">
        <v>表示銘柄数超過</v>
        <stp/>
        <stp>Market</stp>
        <stp>STOCK</stp>
        <stp>31010.T</stp>
        <stp>年初来安値</stp>
        <tr r="Z241" s="7"/>
      </tp>
      <tp t="s">
        <v>表示銘柄数超過</v>
        <stp/>
        <stp>Market</stp>
        <stp>STOCK</stp>
        <stp>25010.T</stp>
        <stp>年初来安値</stp>
        <tr r="Z156" s="7"/>
      </tp>
      <tp t="s">
        <v>表示銘柄数超過</v>
        <stp/>
        <stp>Market</stp>
        <stp>STOCK</stp>
        <stp>29010.T</stp>
        <stp>年初来安値</stp>
        <tr r="Z213" s="7"/>
      </tp>
      <tp t="s">
        <v>表示銘柄数超過</v>
        <stp/>
        <stp>Market</stp>
        <stp>STOCK</stp>
        <stp>94010.T</stp>
        <stp>年初来安値</stp>
        <tr r="Z1114" s="7"/>
      </tp>
      <tp t="s">
        <v>表示銘柄数超過</v>
        <stp/>
        <stp>Market</stp>
        <stp>STOCK</stp>
        <stp>95010.T</stp>
        <stp>年初来安値</stp>
        <tr r="Z1140" s="7"/>
      </tp>
      <tp t="s">
        <v>表示銘柄数超過</v>
        <stp/>
        <stp>Market</stp>
        <stp>STOCK</stp>
        <stp>90010.T</stp>
        <stp>年初来安値</stp>
        <tr r="Z1073" s="7"/>
      </tp>
      <tp t="s">
        <v>表示銘柄数超過</v>
        <stp/>
        <stp>Market</stp>
        <stp>STOCK</stp>
        <stp>91010.T</stp>
        <stp>年初来安値</stp>
        <tr r="Z1093" s="7"/>
      </tp>
      <tp>
        <v>578</v>
        <stp/>
        <stp>Market</stp>
        <stp>STOCK</stp>
        <stp>86010.T</stp>
        <stp>年初来安値</stp>
        <tr r="Z1025" s="7"/>
      </tp>
      <tp>
        <v>3947</v>
        <stp/>
        <stp>Market</stp>
        <stp>STOCK</stp>
        <stp>80010.T</stp>
        <stp>年初来安値</stp>
        <tr r="Z964" s="7"/>
      </tp>
      <tp t="s">
        <v>表示銘柄数超過</v>
        <stp/>
        <stp>Market</stp>
        <stp>STOCK</stp>
        <stp>88010.T</stp>
        <stp>年初来安値</stp>
        <tr r="Z1050" s="7"/>
      </tp>
      <tp>
        <v>629</v>
        <stp/>
        <stp>Market</stp>
        <stp>STOCK</stp>
        <stp>54060.T</stp>
        <stp>年初来安値</stp>
        <tr r="Z591" s="7"/>
      </tp>
      <tp t="s">
        <v>表示銘柄数超過</v>
        <stp/>
        <stp>Market</stp>
        <stp>STOCK</stp>
        <stp>44060.T</stp>
        <stp>年初来安値</stp>
        <tr r="Z459" s="7"/>
      </tp>
      <tp>
        <v>324</v>
        <stp/>
        <stp>Market</stp>
        <stp>STOCK</stp>
        <stp>45060.T</stp>
        <stp>年初来安値</stp>
        <tr r="Z480" s="7"/>
      </tp>
      <tp t="s">
        <v>表示銘柄数超過</v>
        <stp/>
        <stp>Market</stp>
        <stp>STOCK</stp>
        <stp>13060.T</stp>
        <stp>年初来安値</stp>
        <tr r="Z3" s="7"/>
      </tp>
      <tp t="s">
        <v>表示銘柄数超過</v>
        <stp/>
        <stp>Market</stp>
        <stp>STOCK</stp>
        <stp>22060.T</stp>
        <stp>年初来安値</stp>
        <tr r="Z103" s="7"/>
      </tp>
      <tp t="s">
        <v>表示銘柄数超過</v>
        <stp/>
        <stp>Market</stp>
        <stp>STOCK</stp>
        <stp>95060.T</stp>
        <stp>年初来安値</stp>
        <tr r="Z1145" s="7"/>
      </tp>
      <tp t="s">
        <v>表示銘柄数超過</v>
        <stp/>
        <stp>Market</stp>
        <stp>STOCK</stp>
        <stp>90060.T</stp>
        <stp>年初来安値</stp>
        <tr r="Z1076" s="7"/>
      </tp>
      <tp>
        <v>565</v>
        <stp/>
        <stp>Market</stp>
        <stp>STOCK</stp>
        <stp>87060.T</stp>
        <stp>年初来安値</stp>
        <tr r="Z1038" s="7"/>
      </tp>
      <tp t="s">
        <v>表示銘柄数超過</v>
        <stp/>
        <stp>Market</stp>
        <stp>STOCK</stp>
        <stp>45070.T</stp>
        <stp>年初来安値</stp>
        <tr r="Z481" s="7"/>
      </tp>
      <tp t="s">
        <v>表示銘柄数超過</v>
        <stp/>
        <stp>Market</stp>
        <stp>STOCK</stp>
        <stp>47070.T</stp>
        <stp>年初来安値</stp>
        <tr r="Z523" s="7"/>
      </tp>
      <tp>
        <v>1424</v>
        <stp/>
        <stp>Market</stp>
        <stp>STOCK</stp>
        <stp>65070.T</stp>
        <stp>年初来安値</stp>
        <tr r="Z717" s="7"/>
      </tp>
      <tp>
        <v>474</v>
        <stp/>
        <stp>Market</stp>
        <stp>STOCK</stp>
        <stp>69070.T</stp>
        <stp>年初来安値</stp>
        <tr r="Z786" s="7"/>
      </tp>
      <tp t="s">
        <v>表示銘柄数超過</v>
        <stp/>
        <stp>Market</stp>
        <stp>STOCK</stp>
        <stp>14070.T</stp>
        <stp>年初来安値</stp>
        <tr r="Z19" s="7"/>
      </tp>
      <tp t="s">
        <v>表示銘柄数超過</v>
        <stp/>
        <stp>Market</stp>
        <stp>STOCK</stp>
        <stp>34070.T</stp>
        <stp>年初来安値</stp>
        <tr r="Z295" s="7"/>
      </tp>
      <tp t="s">
        <v>表示銘柄数超過</v>
        <stp/>
        <stp>Market</stp>
        <stp>STOCK</stp>
        <stp>36070.T</stp>
        <stp>年初来安値</stp>
        <tr r="Z311" s="7"/>
      </tp>
      <tp t="s">
        <v>表示銘柄数超過</v>
        <stp/>
        <stp>Market</stp>
        <stp>STOCK</stp>
        <stp>38070.T</stp>
        <stp>年初来安値</stp>
        <tr r="Z361" s="7"/>
      </tp>
      <tp t="s">
        <v>表示銘柄数超過</v>
        <stp/>
        <stp>Market</stp>
        <stp>STOCK</stp>
        <stp>39070.T</stp>
        <stp>年初来安値</stp>
        <tr r="Z387" s="7"/>
      </tp>
      <tp t="s">
        <v>表示銘柄数超過</v>
        <stp/>
        <stp>Market</stp>
        <stp>STOCK</stp>
        <stp>95070.T</stp>
        <stp>年初来安値</stp>
        <tr r="Z1146" s="7"/>
      </tp>
      <tp t="s">
        <v>表示銘柄数超過</v>
        <stp/>
        <stp>Market</stp>
        <stp>STOCK</stp>
        <stp>90070.T</stp>
        <stp>年初来安値</stp>
        <tr r="Z1077" s="7"/>
      </tp>
      <tp t="s">
        <v>表示銘柄数超過</v>
        <stp/>
        <stp>Market</stp>
        <stp>STOCK</stp>
        <stp>91070.T</stp>
        <stp>年初来安値</stp>
        <tr r="Z1095" s="7"/>
      </tp>
      <tp t="s">
        <v>表示銘柄数超過</v>
        <stp/>
        <stp>Market</stp>
        <stp>STOCK</stp>
        <stp>93070.T</stp>
        <stp>年初来安値</stp>
        <tr r="Z1109" s="7"/>
      </tp>
      <tp>
        <v>244</v>
        <stp/>
        <stp>Market</stp>
        <stp>STOCK</stp>
        <stp>82070.T</stp>
        <stp>年初来安値</stp>
        <tr r="Z992" s="7"/>
      </tp>
      <tp>
        <v>609</v>
        <stp/>
        <stp>Market</stp>
        <stp>STOCK</stp>
        <stp>57040.T</stp>
        <stp>年初来安値</stp>
        <tr r="Z606" s="7"/>
      </tp>
      <tp>
        <v>1402</v>
        <stp/>
        <stp>Market</stp>
        <stp>STOCK</stp>
        <stp>52040.T</stp>
        <stp>年初来安値</stp>
        <tr r="Z575" s="7"/>
      </tp>
      <tp t="s">
        <v>表示銘柄数超過</v>
        <stp/>
        <stp>Market</stp>
        <stp>STOCK</stp>
        <stp>40040.T</stp>
        <stp>年初来安値</stp>
        <tr r="Z410" s="7"/>
      </tp>
      <tp t="s">
        <v>表示銘柄数超過</v>
        <stp/>
        <stp>Market</stp>
        <stp>STOCK</stp>
        <stp>43040.T</stp>
        <stp>年初来安値</stp>
        <tr r="Z440" s="7"/>
      </tp>
      <tp>
        <v>763</v>
        <stp/>
        <stp>Market</stp>
        <stp>STOCK</stp>
        <stp>70040.T</stp>
        <stp>年初来安値</stp>
        <tr r="Z805" s="7"/>
      </tp>
      <tp>
        <v>4870</v>
        <stp/>
        <stp>Market</stp>
        <stp>STOCK</stp>
        <stp>65040.T</stp>
        <stp>年初来安値</stp>
        <tr r="Z716" s="7"/>
      </tp>
      <tp>
        <v>2555</v>
        <stp/>
        <stp>Market</stp>
        <stp>STOCK</stp>
        <stp>61040.T</stp>
        <stp>年初来安値</stp>
        <tr r="Z655" s="7"/>
      </tp>
      <tp t="s">
        <v>表示銘柄数超過</v>
        <stp/>
        <stp>Market</stp>
        <stp>STOCK</stp>
        <stp>30040.T</stp>
        <stp>年初来安値</stp>
        <tr r="Z222" s="7"/>
      </tp>
      <tp t="s">
        <v>表示銘柄数超過</v>
        <stp/>
        <stp>Market</stp>
        <stp>STOCK</stp>
        <stp>24040.T</stp>
        <stp>年初来安値</stp>
        <tr r="Z133" s="7"/>
      </tp>
      <tp t="s">
        <v>表示銘柄数超過</v>
        <stp/>
        <stp>Market</stp>
        <stp>STOCK</stp>
        <stp>23040.T</stp>
        <stp>年初来安値</stp>
        <tr r="Z111" s="7"/>
      </tp>
      <tp t="s">
        <v>表示銘柄数超過</v>
        <stp/>
        <stp>Market</stp>
        <stp>STOCK</stp>
        <stp>94040.T</stp>
        <stp>年初来安値</stp>
        <tr r="Z1115" s="7"/>
      </tp>
      <tp t="s">
        <v>表示銘柄数超過</v>
        <stp/>
        <stp>Market</stp>
        <stp>STOCK</stp>
        <stp>95040.T</stp>
        <stp>年初来安値</stp>
        <tr r="Z1143" s="7"/>
      </tp>
      <tp t="s">
        <v>表示銘柄数超過</v>
        <stp/>
        <stp>Market</stp>
        <stp>STOCK</stp>
        <stp>91040.T</stp>
        <stp>年初来安値</stp>
        <tr r="Z1094" s="7"/>
      </tp>
      <tp t="s">
        <v>表示銘柄数超過</v>
        <stp/>
        <stp>Market</stp>
        <stp>STOCK</stp>
        <stp>99040.T</stp>
        <stp>年初来安値</stp>
        <tr r="Z1178" s="7"/>
      </tp>
      <tp>
        <v>476.7</v>
        <stp/>
        <stp>Market</stp>
        <stp>STOCK</stp>
        <stp>86040.T</stp>
        <stp>年初来安値</stp>
        <tr r="Z1026" s="7"/>
      </tp>
      <tp>
        <v>410</v>
        <stp/>
        <stp>Market</stp>
        <stp>STOCK</stp>
        <stp>81040.T</stp>
        <stp>年初来安値</stp>
        <tr r="Z977" s="7"/>
      </tp>
      <tp t="s">
        <v>表示銘柄数超過</v>
        <stp/>
        <stp>Market</stp>
        <stp>STOCK</stp>
        <stp>88040.T</stp>
        <stp>年初来安値</stp>
        <tr r="Z1052" s="7"/>
      </tp>
      <tp t="s">
        <v>表示銘柄数超過</v>
        <stp/>
        <stp>Market</stp>
        <stp>STOCK</stp>
        <stp>47050.T</stp>
        <stp>年初来安値</stp>
        <tr r="Z522" s="7"/>
      </tp>
      <tp>
        <v>1025</v>
        <stp/>
        <stp>Market</stp>
        <stp>STOCK</stp>
        <stp>75050.T</stp>
        <stp>年初来安値</stp>
        <tr r="Z895" s="7"/>
      </tp>
      <tp>
        <v>1216</v>
        <stp/>
        <stp>Market</stp>
        <stp>STOCK</stp>
        <stp>76050.T</stp>
        <stp>年初来安値</stp>
        <tr r="Z911" s="7"/>
      </tp>
      <tp>
        <v>425</v>
        <stp/>
        <stp>Market</stp>
        <stp>STOCK</stp>
        <stp>72050.T</stp>
        <stp>年初来安値</stp>
        <tr r="Z847" s="7"/>
      </tp>
      <tp>
        <v>496</v>
        <stp/>
        <stp>Market</stp>
        <stp>STOCK</stp>
        <stp>78050.T</stp>
        <stp>年初来安値</stp>
        <tr r="Z939" s="7"/>
      </tp>
      <tp>
        <v>2865</v>
        <stp/>
        <stp>Market</stp>
        <stp>STOCK</stp>
        <stp>63050.T</stp>
        <stp>年初来安値</stp>
        <tr r="Z687" s="7"/>
      </tp>
      <tp>
        <v>980</v>
        <stp/>
        <stp>Market</stp>
        <stp>STOCK</stp>
        <stp>69050.T</stp>
        <stp>年初来安値</stp>
        <tr r="Z785" s="7"/>
      </tp>
      <tp t="s">
        <v>表示銘柄数超過</v>
        <stp/>
        <stp>Market</stp>
        <stp>STOCK</stp>
        <stp>16050.T</stp>
        <stp>年初来安値</stp>
        <tr r="Z37" s="7"/>
      </tp>
      <tp t="s">
        <v>表示銘柄数超過</v>
        <stp/>
        <stp>Market</stp>
        <stp>STOCK</stp>
        <stp>13050.T</stp>
        <stp>年初来安値</stp>
        <tr r="Z2" s="7"/>
      </tp>
      <tp t="s">
        <v>表示銘柄数超過</v>
        <stp/>
        <stp>Market</stp>
        <stp>STOCK</stp>
        <stp>18050.T</stp>
        <stp>年初来安値</stp>
        <tr r="Z59" s="7"/>
      </tp>
      <tp t="s">
        <v>表示銘柄数超過</v>
        <stp/>
        <stp>Market</stp>
        <stp>STOCK</stp>
        <stp>23050.T</stp>
        <stp>年初来安値</stp>
        <tr r="Z112" s="7"/>
      </tp>
      <tp t="s">
        <v>表示銘柄数超過</v>
        <stp/>
        <stp>Market</stp>
        <stp>STOCK</stp>
        <stp>94050.T</stp>
        <stp>年初来安値</stp>
        <tr r="Z1116" s="7"/>
      </tp>
      <tp t="s">
        <v>表示銘柄数超過</v>
        <stp/>
        <stp>Market</stp>
        <stp>STOCK</stp>
        <stp>95050.T</stp>
        <stp>年初来安値</stp>
        <tr r="Z1144" s="7"/>
      </tp>
      <tp t="s">
        <v>表示銘柄数超過</v>
        <stp/>
        <stp>Market</stp>
        <stp>STOCK</stp>
        <stp>90050.T</stp>
        <stp>年初来安値</stp>
        <tr r="Z1075" s="7"/>
      </tp>
      <tp>
        <v>145</v>
        <stp/>
        <stp>Market</stp>
        <stp>STOCK</stp>
        <stp>87050.T</stp>
        <stp>年初来安値</stp>
        <tr r="Z1037" s="7"/>
      </tp>
      <tp>
        <v>693</v>
        <stp/>
        <stp>Market</stp>
        <stp>STOCK</stp>
        <stp>80050.T</stp>
        <stp>年初来安値</stp>
        <tr r="Z965" s="7"/>
      </tp>
      <tp>
        <v>47</v>
        <stp/>
        <stp>Market</stp>
        <stp>STOCK</stp>
        <stp>81050.T</stp>
        <stp>年初来安値</stp>
        <tr r="Z978" s="7"/>
      </tp>
      <tp t="s">
        <v>表示銘柄数超過</v>
        <stp/>
        <stp>Market</stp>
        <stp>STOCK</stp>
        <stp>89050.T</stp>
        <stp>年初来安値</stp>
        <tr r="Z1062" s="7"/>
      </tp>
      <tp>
        <v>755</v>
        <stp/>
        <stp>Market</stp>
        <stp>STOCK</stp>
        <stp>54080.T</stp>
        <stp>年初来安値</stp>
        <tr r="Z592" s="7"/>
      </tp>
      <tp>
        <v>4548</v>
        <stp/>
        <stp>Market</stp>
        <stp>STOCK</stp>
        <stp>51080.T</stp>
        <stp>年初来安値</stp>
        <tr r="Z568" s="7"/>
      </tp>
      <tp t="s">
        <v>表示銘柄数超過</v>
        <stp/>
        <stp>Market</stp>
        <stp>STOCK</stp>
        <stp>43080.T</stp>
        <stp>年初来安値</stp>
        <tr r="Z441" s="7"/>
      </tp>
      <tp>
        <v>1273</v>
        <stp/>
        <stp>Market</stp>
        <stp>STOCK</stp>
        <stp>74080.T</stp>
        <stp>年初来安値</stp>
        <tr r="Z886" s="7"/>
      </tp>
      <tp>
        <v>176</v>
        <stp/>
        <stp>Market</stp>
        <stp>STOCK</stp>
        <stp>79080.T</stp>
        <stp>年初来安値</stp>
        <tr r="Z953" s="7"/>
      </tp>
      <tp t="s">
        <v>表示銘柄数超過</v>
        <stp/>
        <stp>Market</stp>
        <stp>STOCK</stp>
        <stp>13080.T</stp>
        <stp>年初来安値</stp>
        <tr r="Z4" s="7"/>
      </tp>
      <tp t="s">
        <v>表示銘柄数超過</v>
        <stp/>
        <stp>Market</stp>
        <stp>STOCK</stp>
        <stp>24080.T</stp>
        <stp>年初来安値</stp>
        <tr r="Z134" s="7"/>
      </tp>
      <tp t="s">
        <v>表示銘柄数超過</v>
        <stp/>
        <stp>Market</stp>
        <stp>STOCK</stp>
        <stp>95080.T</stp>
        <stp>年初来安値</stp>
        <tr r="Z1147" s="7"/>
      </tp>
      <tp t="s">
        <v>表示銘柄数超過</v>
        <stp/>
        <stp>Market</stp>
        <stp>STOCK</stp>
        <stp>90080.T</stp>
        <stp>年初来安値</stp>
        <tr r="Z1078" s="7"/>
      </tp>
      <tp t="s">
        <v>表示銘柄数超過</v>
        <stp/>
        <stp>Market</stp>
        <stp>STOCK</stp>
        <stp>99080.T</stp>
        <stp>年初来安値</stp>
        <tr r="Z1179" s="7"/>
      </tp>
      <tp>
        <v>371</v>
        <stp/>
        <stp>Market</stp>
        <stp>STOCK</stp>
        <stp>85080.T</stp>
        <stp>年初来安値</stp>
        <tr r="Z1014" s="7"/>
      </tp>
      <tp>
        <v>674</v>
        <stp/>
        <stp>Market</stp>
        <stp>STOCK</stp>
        <stp>87080.T</stp>
        <stp>年初来安値</stp>
        <tr r="Z1039" s="7"/>
      </tp>
      <tp>
        <v>1690</v>
        <stp/>
        <stp>Market</stp>
        <stp>STOCK</stp>
        <stp>80080.T</stp>
        <stp>年初来安値</stp>
        <tr r="Z966" s="7"/>
      </tp>
      <tp>
        <v>860</v>
        <stp/>
        <stp>Market</stp>
        <stp>STOCK</stp>
        <stp>59090.T</stp>
        <stp>年初来安値</stp>
        <tr r="Z618" s="7"/>
      </tp>
      <tp>
        <v>199</v>
        <stp/>
        <stp>Market</stp>
        <stp>STOCK</stp>
        <stp>77090.T</stp>
        <stp>年初来安値</stp>
        <tr r="Z921" s="7"/>
      </tp>
      <tp t="s">
        <v>表示銘柄数超過</v>
        <stp/>
        <stp>Market</stp>
        <stp>STOCK</stp>
        <stp>34090.T</stp>
        <stp>年初来安値</stp>
        <tr r="Z296" s="7"/>
      </tp>
      <tp t="s">
        <v>表示銘柄数超過</v>
        <stp/>
        <stp>Market</stp>
        <stp>STOCK</stp>
        <stp>39090.T</stp>
        <stp>年初来安値</stp>
        <tr r="Z388" s="7"/>
      </tp>
      <tp t="s">
        <v>表示銘柄数超過</v>
        <stp/>
        <stp>Market</stp>
        <stp>STOCK</stp>
        <stp>94090.T</stp>
        <stp>年初来安値</stp>
        <tr r="Z1117" s="7"/>
      </tp>
      <tp t="s">
        <v>表示銘柄数超過</v>
        <stp/>
        <stp>Market</stp>
        <stp>STOCK</stp>
        <stp>95090.T</stp>
        <stp>年初来安値</stp>
        <tr r="Z1148" s="7"/>
      </tp>
      <tp t="s">
        <v>表示銘柄数超過</v>
        <stp/>
        <stp>Market</stp>
        <stp>STOCK</stp>
        <stp>97090.T</stp>
        <stp>年初来安値</stp>
        <tr r="Z1162" s="7"/>
      </tp>
      <tp t="s">
        <v>表示銘柄数超過</v>
        <stp/>
        <stp>Market</stp>
        <stp>STOCK</stp>
        <stp>90090.T</stp>
        <stp>年初来安値</stp>
        <tr r="Z1079" s="7"/>
      </tp>
      <tp>
        <v>377</v>
        <stp/>
        <stp>Market</stp>
        <stp>STOCK</stp>
        <stp>86090.T</stp>
        <stp>年初来安値</stp>
        <tr r="Z1027" s="7"/>
      </tp>
      <tp t="s">
        <v>表示銘柄数超過</v>
        <stp/>
        <stp>Market</stp>
        <stp>STOCK</stp>
        <stp>45720.T</stp>
        <stp>年初来安値</stp>
        <tr r="Z492" s="7"/>
      </tp>
      <tp>
        <v>793</v>
        <stp/>
        <stp>Market</stp>
        <stp>STOCK</stp>
        <stp>71720.T</stp>
        <stp>年初来安値</stp>
        <tr r="Z835" s="7"/>
      </tp>
      <tp>
        <v>1241.5</v>
        <stp/>
        <stp>Market</stp>
        <stp>STOCK</stp>
        <stp>72720.T</stp>
        <stp>年初来安値</stp>
        <tr r="Z868" s="7"/>
      </tp>
      <tp>
        <v>570</v>
        <stp/>
        <stp>Market</stp>
        <stp>STOCK</stp>
        <stp>79720.T</stp>
        <stp>年初来安値</stp>
        <tr r="Z961" s="7"/>
      </tp>
      <tp t="s">
        <v>表示銘柄数超過</v>
        <stp/>
        <stp>Market</stp>
        <stp>STOCK</stp>
        <stp>14720.T</stp>
        <stp>年初来安値</stp>
        <tr r="Z28" s="7"/>
      </tp>
      <tp t="s">
        <v>表示銘柄数超過</v>
        <stp/>
        <stp>Market</stp>
        <stp>STOCK</stp>
        <stp>15720.T</stp>
        <stp>年初来安値</stp>
        <tr r="Z35" s="7"/>
      </tp>
      <tp t="s">
        <v>表示銘柄数超過</v>
        <stp/>
        <stp>Market</stp>
        <stp>STOCK</stp>
        <stp>36720.T</stp>
        <stp>年初来安値</stp>
        <tr r="Z332" s="7"/>
      </tp>
      <tp t="s">
        <v>表示銘柄数超過</v>
        <stp/>
        <stp>Market</stp>
        <stp>STOCK</stp>
        <stp>33720.T</stp>
        <stp>年初来安値</stp>
        <tr r="Z288" s="7"/>
      </tp>
      <tp t="s">
        <v>表示銘柄数超過</v>
        <stp/>
        <stp>Market</stp>
        <stp>STOCK</stp>
        <stp>92720.T</stp>
        <stp>年初来安値</stp>
        <tr r="Z1106" s="7"/>
      </tp>
      <tp>
        <v>301</v>
        <stp/>
        <stp>Market</stp>
        <stp>STOCK</stp>
        <stp>85720.T</stp>
        <stp>年初来安値</stp>
        <tr r="Z1021" s="7"/>
      </tp>
      <tp t="s">
        <v>表示銘柄数超過</v>
        <stp/>
        <stp>Market</stp>
        <stp>STOCK</stp>
        <stp>43730.T</stp>
        <stp>年初来安値</stp>
        <tr r="Z450" s="7"/>
      </tp>
      <tp>
        <v>338</v>
        <stp/>
        <stp>Market</stp>
        <stp>STOCK</stp>
        <stp>65730.T</stp>
        <stp>年初来安値</stp>
        <tr r="Z729" s="7"/>
      </tp>
      <tp>
        <v>1540</v>
        <stp/>
        <stp>Market</stp>
        <stp>STOCK</stp>
        <stp>60730.T</stp>
        <stp>年初来安値</stp>
        <tr r="Z648" s="7"/>
      </tp>
      <tp>
        <v>407</v>
        <stp/>
        <stp>Market</stp>
        <stp>STOCK</stp>
        <stp>61730.T</stp>
        <stp>年初来安値</stp>
        <tr r="Z663" s="7"/>
      </tp>
      <tp t="s">
        <v>表示銘柄数超過</v>
        <stp/>
        <stp>Market</stp>
        <stp>STOCK</stp>
        <stp>37730.T</stp>
        <stp>年初来安値</stp>
        <tr r="Z354" s="7"/>
      </tp>
      <tp t="s">
        <v>表示銘柄数超過</v>
        <stp/>
        <stp>Market</stp>
        <stp>STOCK</stp>
        <stp>23730.T</stp>
        <stp>年初来安値</stp>
        <tr r="Z127" s="7"/>
      </tp>
      <tp t="s">
        <v>表示銘柄数超過</v>
        <stp/>
        <stp>Market</stp>
        <stp>STOCK</stp>
        <stp>99730.T</stp>
        <stp>年初来安値</stp>
        <tr r="Z1186" s="7"/>
      </tp>
      <tp>
        <v>2505</v>
        <stp/>
        <stp>Market</stp>
        <stp>STOCK</stp>
        <stp>84730.T</stp>
        <stp>年初来安値</stp>
        <tr r="Z1013" s="7"/>
      </tp>
      <tp>
        <v>1877</v>
        <stp/>
        <stp>Market</stp>
        <stp>STOCK</stp>
        <stp>81730.T</stp>
        <stp>年初来安値</stp>
        <tr r="Z987" s="7"/>
      </tp>
      <tp>
        <v>1312</v>
        <stp/>
        <stp>Market</stp>
        <stp>STOCK</stp>
        <stp>59700.T</stp>
        <stp>年初来安値</stp>
        <tr r="Z629" s="7"/>
      </tp>
      <tp t="s">
        <v>表示銘柄数超過</v>
        <stp/>
        <stp>Market</stp>
        <stp>STOCK</stp>
        <stp>45700.T</stp>
        <stp>年初来安値</stp>
        <tr r="Z490" s="7"/>
      </tp>
      <tp t="s">
        <v>表示銘柄数超過</v>
        <stp/>
        <stp>Market</stp>
        <stp>STOCK</stp>
        <stp>47700.T</stp>
        <stp>年初来安値</stp>
        <tr r="Z532" s="7"/>
      </tp>
      <tp t="s">
        <v>表示銘柄数超過</v>
        <stp/>
        <stp>Market</stp>
        <stp>STOCK</stp>
        <stp>41700.T</stp>
        <stp>年初来安値</stp>
        <tr r="Z420" s="7"/>
      </tp>
      <tp t="s">
        <v>表示銘柄数超過</v>
        <stp/>
        <stp>Market</stp>
        <stp>STOCK</stp>
        <stp>43700.T</stp>
        <stp>年初来安値</stp>
        <tr r="Z449" s="7"/>
      </tp>
      <tp>
        <v>1938.5</v>
        <stp/>
        <stp>Market</stp>
        <stp>STOCK</stp>
        <stp>72700.T</stp>
        <stp>年初来安値</stp>
        <tr r="Z867" s="7"/>
      </tp>
      <tp>
        <v>989</v>
        <stp/>
        <stp>Market</stp>
        <stp>STOCK</stp>
        <stp>73700.T</stp>
        <stp>年初来安値</stp>
        <tr r="Z881" s="7"/>
      </tp>
      <tp>
        <v>596</v>
        <stp/>
        <stp>Market</stp>
        <stp>STOCK</stp>
        <stp>64700.T</stp>
        <stp>年初来安値</stp>
        <tr r="Z705" s="7"/>
      </tp>
      <tp t="s">
        <v>表示銘柄数超過</v>
        <stp/>
        <stp>Market</stp>
        <stp>STOCK</stp>
        <stp>17700.T</stp>
        <stp>年初来安値</stp>
        <tr r="Z55" s="7"/>
      </tp>
      <tp t="s">
        <v>表示銘柄数超過</v>
        <stp/>
        <stp>Market</stp>
        <stp>STOCK</stp>
        <stp>37700.T</stp>
        <stp>年初来安値</stp>
        <tr r="Z353" s="7"/>
      </tp>
      <tp t="s">
        <v>表示銘柄数超過</v>
        <stp/>
        <stp>Market</stp>
        <stp>STOCK</stp>
        <stp>30700.T</stp>
        <stp>年初来安値</stp>
        <tr r="Z236" s="7"/>
      </tp>
      <tp t="s">
        <v>表示銘柄数超過</v>
        <stp/>
        <stp>Market</stp>
        <stp>STOCK</stp>
        <stp>33700.T</stp>
        <stp>年初来安値</stp>
        <tr r="Z287" s="7"/>
      </tp>
      <tp t="s">
        <v>表示銘柄数超過</v>
        <stp/>
        <stp>Market</stp>
        <stp>STOCK</stp>
        <stp>23700.T</stp>
        <stp>年初来安値</stp>
        <tr r="Z126" s="7"/>
      </tp>
      <tp t="s">
        <v>表示銘柄数超過</v>
        <stp/>
        <stp>Market</stp>
        <stp>STOCK</stp>
        <stp>94700.T</stp>
        <stp>年初来安値</stp>
        <tr r="Z1135" s="7"/>
      </tp>
      <tp t="s">
        <v>表示銘柄数超過</v>
        <stp/>
        <stp>Market</stp>
        <stp>STOCK</stp>
        <stp>92700.T</stp>
        <stp>年初来安値</stp>
        <tr r="Z1105" s="7"/>
      </tp>
      <tp>
        <v>1165</v>
        <stp/>
        <stp>Market</stp>
        <stp>STOCK</stp>
        <stp>85700.T</stp>
        <stp>年初来安値</stp>
        <tr r="Z1020" s="7"/>
      </tp>
      <tp t="s">
        <v>表示銘柄数超過</v>
        <stp/>
        <stp>Market</stp>
        <stp>STOCK</stp>
        <stp>45710.T</stp>
        <stp>年初来安値</stp>
        <tr r="Z491" s="7"/>
      </tp>
      <tp>
        <v>69</v>
        <stp/>
        <stp>Market</stp>
        <stp>STOCK</stp>
        <stp>77710.T</stp>
        <stp>年初来安値</stp>
        <tr r="Z931" s="7"/>
      </tp>
      <tp>
        <v>476</v>
        <stp/>
        <stp>Market</stp>
        <stp>STOCK</stp>
        <stp>73710.T</stp>
        <stp>年初来安値</stp>
        <tr r="Z882" s="7"/>
      </tp>
      <tp>
        <v>220</v>
        <stp/>
        <stp>Market</stp>
        <stp>STOCK</stp>
        <stp>79710.T</stp>
        <stp>年初来安値</stp>
        <tr r="Z960" s="7"/>
      </tp>
      <tp>
        <v>681</v>
        <stp/>
        <stp>Market</stp>
        <stp>STOCK</stp>
        <stp>64710.T</stp>
        <stp>年初来安値</stp>
        <tr r="Z706" s="7"/>
      </tp>
      <tp>
        <v>1201</v>
        <stp/>
        <stp>Market</stp>
        <stp>STOCK</stp>
        <stp>68710.T</stp>
        <stp>年初来安値</stp>
        <tr r="Z782" s="7"/>
      </tp>
      <tp t="s">
        <v>表示銘柄数超過</v>
        <stp/>
        <stp>Market</stp>
        <stp>STOCK</stp>
        <stp>15710.T</stp>
        <stp>年初来安値</stp>
        <tr r="Z34" s="7"/>
      </tp>
      <tp t="s">
        <v>表示銘柄数超過</v>
        <stp/>
        <stp>Market</stp>
        <stp>STOCK</stp>
        <stp>16710.T</stp>
        <stp>年初来安値</stp>
        <tr r="Z41" s="7"/>
      </tp>
      <tp t="s">
        <v>表示銘柄数超過</v>
        <stp/>
        <stp>Market</stp>
        <stp>STOCK</stp>
        <stp>19710.T</stp>
        <stp>年初来安値</stp>
        <tr r="Z85" s="7"/>
      </tp>
      <tp t="s">
        <v>表示銘柄数超過</v>
        <stp/>
        <stp>Market</stp>
        <stp>STOCK</stp>
        <stp>30710.T</stp>
        <stp>年初来安値</stp>
        <tr r="Z237" s="7"/>
      </tp>
      <tp t="s">
        <v>表示銘柄数超過</v>
        <stp/>
        <stp>Market</stp>
        <stp>STOCK</stp>
        <stp>32710.T</stp>
        <stp>年初来安値</stp>
        <tr r="Z268" s="7"/>
      </tp>
      <tp t="s">
        <v>表示銘柄数超過</v>
        <stp/>
        <stp>Market</stp>
        <stp>STOCK</stp>
        <stp>24710.T</stp>
        <stp>年初来安値</stp>
        <tr r="Z149" s="7"/>
      </tp>
      <tp>
        <v>307</v>
        <stp/>
        <stp>Market</stp>
        <stp>STOCK</stp>
        <stp>54760.T</stp>
        <stp>年初来安値</stp>
        <tr r="Z597" s="7"/>
      </tp>
      <tp>
        <v>637</v>
        <stp/>
        <stp>Market</stp>
        <stp>STOCK</stp>
        <stp>59760.T</stp>
        <stp>年初来安値</stp>
        <tr r="Z630" s="7"/>
      </tp>
      <tp t="s">
        <v>表示銘柄数超過</v>
        <stp/>
        <stp>Market</stp>
        <stp>STOCK</stp>
        <stp>44760.T</stp>
        <stp>年初来安値</stp>
        <tr r="Z472" s="7"/>
      </tp>
      <tp t="s">
        <v>表示銘柄数超過</v>
        <stp/>
        <stp>Market</stp>
        <stp>STOCK</stp>
        <stp>45760.T</stp>
        <stp>年初来安値</stp>
        <tr r="Z495" s="7"/>
      </tp>
      <tp t="s">
        <v>表示銘柄数超過</v>
        <stp/>
        <stp>Market</stp>
        <stp>STOCK</stp>
        <stp>46760.T</stp>
        <stp>年初来安値</stp>
        <tr r="Z518" s="7"/>
      </tp>
      <tp t="s">
        <v>表示銘柄数超過</v>
        <stp/>
        <stp>Market</stp>
        <stp>STOCK</stp>
        <stp>47760.T</stp>
        <stp>年初来安値</stp>
        <tr r="Z533" s="7"/>
      </tp>
      <tp t="s">
        <v>表示銘柄数超過</v>
        <stp/>
        <stp>Market</stp>
        <stp>STOCK</stp>
        <stp>41760.T</stp>
        <stp>年初来安値</stp>
        <tr r="Z421" s="7"/>
      </tp>
      <tp t="s">
        <v>表示銘柄数超過</v>
        <stp/>
        <stp>Market</stp>
        <stp>STOCK</stp>
        <stp>43760.T</stp>
        <stp>年初来安値</stp>
        <tr r="Z452" s="7"/>
      </tp>
      <tp>
        <v>586</v>
        <stp/>
        <stp>Market</stp>
        <stp>STOCK</stp>
        <stp>76760.T</stp>
        <stp>年初来安値</stp>
        <tr r="Z919" s="7"/>
      </tp>
      <tp>
        <v>158</v>
        <stp/>
        <stp>Market</stp>
        <stp>STOCK</stp>
        <stp>77760.T</stp>
        <stp>年初来安値</stp>
        <tr r="Z932" s="7"/>
      </tp>
      <tp>
        <v>2910</v>
        <stp/>
        <stp>Market</stp>
        <stp>STOCK</stp>
        <stp>66760.T</stp>
        <stp>年初来安値</stp>
        <tr r="Z751" s="7"/>
      </tp>
      <tp>
        <v>299</v>
        <stp/>
        <stp>Market</stp>
        <stp>STOCK</stp>
        <stp>67760.T</stp>
        <stp>年初来安値</stp>
        <tr r="Z771" s="7"/>
      </tp>
      <tp>
        <v>402</v>
        <stp/>
        <stp>Market</stp>
        <stp>STOCK</stp>
        <stp>61760.T</stp>
        <stp>年初来安値</stp>
        <tr r="Z664" s="7"/>
      </tp>
      <tp>
        <v>3281</v>
        <stp/>
        <stp>Market</stp>
        <stp>STOCK</stp>
        <stp>69760.T</stp>
        <stp>年初来安値</stp>
        <tr r="Z797" s="7"/>
      </tp>
      <tp t="s">
        <v>表示銘柄数超過</v>
        <stp/>
        <stp>Market</stp>
        <stp>STOCK</stp>
        <stp>36760.T</stp>
        <stp>年初来安値</stp>
        <tr r="Z334" s="7"/>
      </tp>
      <tp t="s">
        <v>表示銘柄数超過</v>
        <stp/>
        <stp>Market</stp>
        <stp>STOCK</stp>
        <stp>37760.T</stp>
        <stp>年初来安値</stp>
        <tr r="Z355" s="7"/>
      </tp>
      <tp t="s">
        <v>表示銘柄数超過</v>
        <stp/>
        <stp>Market</stp>
        <stp>STOCK</stp>
        <stp>31760.T</stp>
        <stp>年初来安値</stp>
        <tr r="Z250" s="7"/>
      </tp>
      <tp t="s">
        <v>表示銘柄数超過</v>
        <stp/>
        <stp>Market</stp>
        <stp>STOCK</stp>
        <stp>39760.T</stp>
        <stp>年初来安値</stp>
        <tr r="Z402" s="7"/>
      </tp>
      <tp t="s">
        <v>表示銘柄数超過</v>
        <stp/>
        <stp>Market</stp>
        <stp>STOCK</stp>
        <stp>27760.T</stp>
        <stp>年初来安値</stp>
        <tr r="Z197" s="7"/>
      </tp>
      <tp t="s">
        <v>表示銘柄数超過</v>
        <stp/>
        <stp>Market</stp>
        <stp>STOCK</stp>
        <stp>23760.T</stp>
        <stp>年初来安値</stp>
        <tr r="Z129" s="7"/>
      </tp>
      <tp t="s">
        <v>表示銘柄数超過</v>
        <stp/>
        <stp>Market</stp>
        <stp>STOCK</stp>
        <stp>94760.T</stp>
        <stp>年初来安値</stp>
        <tr r="Z1138" s="7"/>
      </tp>
      <tp t="s">
        <v>表示銘柄数超過</v>
        <stp/>
        <stp>Market</stp>
        <stp>STOCK</stp>
        <stp>98760.T</stp>
        <stp>年初来安値</stp>
        <tr r="Z1175" s="7"/>
      </tp>
      <tp>
        <v>215</v>
        <stp/>
        <stp>Market</stp>
        <stp>STOCK</stp>
        <stp>52770.T</stp>
        <stp>年初来安値</stp>
        <tr r="Z583" s="7"/>
      </tp>
      <tp t="s">
        <v>表示銘柄数超過</v>
        <stp/>
        <stp>Market</stp>
        <stp>STOCK</stp>
        <stp>44770.T</stp>
        <stp>年初来安値</stp>
        <tr r="Z473" s="7"/>
      </tp>
      <tp t="s">
        <v>表示銘柄数超過</v>
        <stp/>
        <stp>Market</stp>
        <stp>STOCK</stp>
        <stp>47770.T</stp>
        <stp>年初来安値</stp>
        <tr r="Z534" s="7"/>
      </tp>
      <tp>
        <v>104</v>
        <stp/>
        <stp>Market</stp>
        <stp>STOCK</stp>
        <stp>77770.T</stp>
        <stp>年初来安値</stp>
        <tr r="Z933" s="7"/>
      </tp>
      <tp>
        <v>510</v>
        <stp/>
        <stp>Market</stp>
        <stp>STOCK</stp>
        <stp>71770.T</stp>
        <stp>年初来安値</stp>
        <tr r="Z837" s="7"/>
      </tp>
      <tp>
        <v>1104</v>
        <stp/>
        <stp>Market</stp>
        <stp>STOCK</stp>
        <stp>66770.T</stp>
        <stp>年初来安値</stp>
        <tr r="Z752" s="7"/>
      </tp>
      <tp>
        <v>2221</v>
        <stp/>
        <stp>Market</stp>
        <stp>STOCK</stp>
        <stp>67770.T</stp>
        <stp>年初来安値</stp>
        <tr r="Z772" s="7"/>
      </tp>
      <tp>
        <v>89</v>
        <stp/>
        <stp>Market</stp>
        <stp>STOCK</stp>
        <stp>61770.T</stp>
        <stp>年初来安値</stp>
        <tr r="Z665" s="7"/>
      </tp>
      <tp t="s">
        <v>表示銘柄数超過</v>
        <stp/>
        <stp>Market</stp>
        <stp>STOCK</stp>
        <stp>36770.T</stp>
        <stp>年初来安値</stp>
        <tr r="Z335" s="7"/>
      </tp>
      <tp t="s">
        <v>表示銘柄数超過</v>
        <stp/>
        <stp>Market</stp>
        <stp>STOCK</stp>
        <stp>37770.T</stp>
        <stp>年初来安値</stp>
        <tr r="Z356" s="7"/>
      </tp>
      <tp t="s">
        <v>表示銘柄数超過</v>
        <stp/>
        <stp>Market</stp>
        <stp>STOCK</stp>
        <stp>33770.T</stp>
        <stp>年初来安値</stp>
        <tr r="Z289" s="7"/>
      </tp>
      <tp>
        <v>199</v>
        <stp/>
        <stp>Market</stp>
        <stp>STOCK</stp>
        <stp>80770.T</stp>
        <stp>年初来安値</stp>
        <tr r="Z973" s="7"/>
      </tp>
      <tp>
        <v>908</v>
        <stp/>
        <stp>Market</stp>
        <stp>STOCK</stp>
        <stp>83770.T</stp>
        <stp>年初来安値</stp>
        <tr r="Z1007" s="7"/>
      </tp>
      <tp t="s">
        <v>表示銘柄数超過</v>
        <stp/>
        <stp>Market</stp>
        <stp>STOCK</stp>
        <stp>50740.T</stp>
        <stp>年初来安値</stp>
        <tr r="Z566" s="7"/>
      </tp>
      <tp t="s">
        <v>表示銘柄数超過</v>
        <stp/>
        <stp>Market</stp>
        <stp>STOCK</stp>
        <stp>45740.T</stp>
        <stp>年初来安値</stp>
        <tr r="Z493" s="7"/>
      </tp>
      <tp t="s">
        <v>表示銘柄数超過</v>
        <stp/>
        <stp>Market</stp>
        <stp>STOCK</stp>
        <stp>42740.T</stp>
        <stp>年初来安値</stp>
        <tr r="Z435" s="7"/>
      </tp>
      <tp t="s">
        <v>表示銘柄数超過</v>
        <stp/>
        <stp>Market</stp>
        <stp>STOCK</stp>
        <stp>43740.T</stp>
        <stp>年初来安値</stp>
        <tr r="Z451" s="7"/>
      </tp>
      <tp>
        <v>216</v>
        <stp/>
        <stp>Market</stp>
        <stp>STOCK</stp>
        <stp>70740.T</stp>
        <stp>年初来安値</stp>
        <tr r="Z823" s="7"/>
      </tp>
      <tp>
        <v>4996</v>
        <stp/>
        <stp>Market</stp>
        <stp>STOCK</stp>
        <stp>79740.T</stp>
        <stp>年初来安値</stp>
        <tr r="Z962" s="7"/>
      </tp>
      <tp>
        <v>452</v>
        <stp/>
        <stp>Market</stp>
        <stp>STOCK</stp>
        <stp>65740.T</stp>
        <stp>年初来安値</stp>
        <tr r="Z730" s="7"/>
      </tp>
      <tp t="s">
        <v>表示銘柄数超過</v>
        <stp/>
        <stp>Market</stp>
        <stp>STOCK</stp>
        <stp>36740.T</stp>
        <stp>年初来安値</stp>
        <tr r="Z333" s="7"/>
      </tp>
      <tp t="s">
        <v>表示銘柄数超過</v>
        <stp/>
        <stp>Market</stp>
        <stp>STOCK</stp>
        <stp>26740.T</stp>
        <stp>年初来安値</stp>
        <tr r="Z179" s="7"/>
      </tp>
      <tp t="s">
        <v>表示銘柄数超過</v>
        <stp/>
        <stp>Market</stp>
        <stp>STOCK</stp>
        <stp>94740.T</stp>
        <stp>年初来安値</stp>
        <tr r="Z1136" s="7"/>
      </tp>
      <tp t="s">
        <v>表示銘柄数超過</v>
        <stp/>
        <stp>Market</stp>
        <stp>STOCK</stp>
        <stp>92740.T</stp>
        <stp>年初来安値</stp>
        <tr r="Z1107" s="7"/>
      </tp>
      <tp t="s">
        <v>表示銘柄数超過</v>
        <stp/>
        <stp>Market</stp>
        <stp>STOCK</stp>
        <stp>44750.T</stp>
        <stp>年初来安値</stp>
        <tr r="Z471" s="7"/>
      </tp>
      <tp t="s">
        <v>表示銘柄数超過</v>
        <stp/>
        <stp>Market</stp>
        <stp>STOCK</stp>
        <stp>45750.T</stp>
        <stp>年初来安値</stp>
        <tr r="Z494" s="7"/>
      </tp>
      <tp t="s">
        <v>表示銘柄数超過</v>
        <stp/>
        <stp>Market</stp>
        <stp>STOCK</stp>
        <stp>40750.T</stp>
        <stp>年初来安値</stp>
        <tr r="Z416" s="7"/>
      </tp>
      <tp t="s">
        <v>表示銘柄数超過</v>
        <stp/>
        <stp>Market</stp>
        <stp>STOCK</stp>
        <stp>42750.T</stp>
        <stp>年初来安値</stp>
        <tr r="Z436" s="7"/>
      </tp>
      <tp>
        <v>730</v>
        <stp/>
        <stp>Market</stp>
        <stp>STOCK</stp>
        <stp>71750.T</stp>
        <stp>年初来安値</stp>
        <tr r="Z836" s="7"/>
      </tp>
      <tp>
        <v>148</v>
        <stp/>
        <stp>Market</stp>
        <stp>STOCK</stp>
        <stp>67750.T</stp>
        <stp>年初来安値</stp>
        <tr r="Z770" s="7"/>
      </tp>
      <tp t="s">
        <v>表示銘柄数超過</v>
        <stp/>
        <stp>Market</stp>
        <stp>STOCK</stp>
        <stp>23750.T</stp>
        <stp>年初来安値</stp>
        <tr r="Z128" s="7"/>
      </tp>
      <tp t="s">
        <v>表示銘柄数超過</v>
        <stp/>
        <stp>Market</stp>
        <stp>STOCK</stp>
        <stp>28750.T</stp>
        <stp>年初来安値</stp>
        <tr r="Z211" s="7"/>
      </tp>
      <tp t="s">
        <v>表示銘柄数超過</v>
        <stp/>
        <stp>Market</stp>
        <stp>STOCK</stp>
        <stp>94750.T</stp>
        <stp>年初来安値</stp>
        <tr r="Z1137" s="7"/>
      </tp>
      <tp t="s">
        <v>表示銘柄数超過</v>
        <stp/>
        <stp>Market</stp>
        <stp>STOCK</stp>
        <stp>45780.T</stp>
        <stp>年初来安値</stp>
        <tr r="Z496" s="7"/>
      </tp>
      <tp t="s">
        <v>表示銘柄数超過</v>
        <stp/>
        <stp>Market</stp>
        <stp>STOCK</stp>
        <stp>43780.T</stp>
        <stp>年初来安値</stp>
        <tr r="Z453" s="7"/>
      </tp>
      <tp t="s">
        <v>表示銘柄数超過</v>
        <stp/>
        <stp>Market</stp>
        <stp>STOCK</stp>
        <stp>49780.T</stp>
        <stp>年初来安値</stp>
        <tr r="Z556" s="7"/>
      </tp>
      <tp>
        <v>109</v>
        <stp/>
        <stp>Market</stp>
        <stp>STOCK</stp>
        <stp>75780.T</stp>
        <stp>年初来安値</stp>
        <tr r="Z905" s="7"/>
      </tp>
      <tp>
        <v>175</v>
        <stp/>
        <stp>Market</stp>
        <stp>STOCK</stp>
        <stp>65780.T</stp>
        <stp>年初来安値</stp>
        <tr r="Z731" s="7"/>
      </tp>
      <tp>
        <v>978.5</v>
        <stp/>
        <stp>Market</stp>
        <stp>STOCK</stp>
        <stp>61780.T</stp>
        <stp>年初来安値</stp>
        <tr r="Z666" s="7"/>
      </tp>
      <tp t="s">
        <v>表示銘柄数超過</v>
        <stp/>
        <stp>Market</stp>
        <stp>STOCK</stp>
        <stp>15780.T</stp>
        <stp>年初来安値</stp>
        <tr r="Z36" s="7"/>
      </tp>
      <tp t="s">
        <v>表示銘柄数超過</v>
        <stp/>
        <stp>Market</stp>
        <stp>STOCK</stp>
        <stp>16780.T</stp>
        <stp>年初来安値</stp>
        <tr r="Z42" s="7"/>
      </tp>
      <tp t="s">
        <v>表示銘柄数超過</v>
        <stp/>
        <stp>Market</stp>
        <stp>STOCK</stp>
        <stp>37780.T</stp>
        <stp>年初来安値</stp>
        <tr r="Z357" s="7"/>
      </tp>
      <tp t="s">
        <v>表示銘柄数超過</v>
        <stp/>
        <stp>Market</stp>
        <stp>STOCK</stp>
        <stp>27780.T</stp>
        <stp>年初来安値</stp>
        <tr r="Z198" s="7"/>
      </tp>
      <tp t="s">
        <v>表示銘柄数超過</v>
        <stp/>
        <stp>Market</stp>
        <stp>STOCK</stp>
        <stp>23780.T</stp>
        <stp>年初来安値</stp>
        <tr r="Z130" s="7"/>
      </tp>
      <tp t="s">
        <v>表示銘柄数超過</v>
        <stp/>
        <stp>Market</stp>
        <stp>STOCK</stp>
        <stp>92780.T</stp>
        <stp>年初来安値</stp>
        <tr r="Z1108" s="7"/>
      </tp>
      <tp t="s">
        <v>表示銘柄数超過</v>
        <stp/>
        <stp>Market</stp>
        <stp>STOCK</stp>
        <stp>44790.T</stp>
        <stp>年初来安値</stp>
        <tr r="Z474" s="7"/>
      </tp>
      <tp t="s">
        <v>表示銘柄数超過</v>
        <stp/>
        <stp>Market</stp>
        <stp>STOCK</stp>
        <stp>43790.T</stp>
        <stp>年初来安値</stp>
        <tr r="Z454" s="7"/>
      </tp>
      <tp>
        <v>196</v>
        <stp/>
        <stp>Market</stp>
        <stp>STOCK</stp>
        <stp>77790.T</stp>
        <stp>年初来安値</stp>
        <tr r="Z934" s="7"/>
      </tp>
      <tp>
        <v>621</v>
        <stp/>
        <stp>Market</stp>
        <stp>STOCK</stp>
        <stp>73790.T</stp>
        <stp>年初来安値</stp>
        <tr r="Z883" s="7"/>
      </tp>
      <tp t="s">
        <v>表示銘柄数超過</v>
        <stp/>
        <stp>Market</stp>
        <stp>STOCK</stp>
        <stp>18790.T</stp>
        <stp>年初来安値</stp>
        <tr r="Z68" s="7"/>
      </tp>
      <tp t="s">
        <v>表示銘柄数超過</v>
        <stp/>
        <stp>Market</stp>
        <stp>STOCK</stp>
        <stp>37790.T</stp>
        <stp>年初来安値</stp>
        <tr r="Z358" s="7"/>
      </tp>
      <tp t="s">
        <v>表示銘柄数超過</v>
        <stp/>
        <stp>Market</stp>
        <stp>STOCK</stp>
        <stp>24790.T</stp>
        <stp>年初来安値</stp>
        <tr r="Z150" s="7"/>
      </tp>
      <tp t="s">
        <v>表示銘柄数超過</v>
        <stp/>
        <stp>Market</stp>
        <stp>STOCK</stp>
        <stp>25790.T</stp>
        <stp>年初来安値</stp>
        <tr r="Z163" s="7"/>
      </tp>
      <tp t="s">
        <v>表示銘柄数超過</v>
        <stp/>
        <stp>Market</stp>
        <stp>STOCK</stp>
        <stp>94790.T</stp>
        <stp>年初来安値</stp>
        <tr r="Z1139" s="7"/>
      </tp>
      <tp>
        <v>2252</v>
        <stp/>
        <stp>Market</stp>
        <stp>STOCK</stp>
        <stp>81790.T</stp>
        <stp>年初来安値</stp>
        <tr r="Z988" s="7"/>
      </tp>
      <tp>
        <v>630</v>
        <stp/>
        <stp>Market</stp>
        <stp>STOCK</stp>
        <stp>52620.T</stp>
        <stp>年初来安値</stp>
        <tr r="Z581" s="7"/>
      </tp>
      <tp>
        <v>561</v>
        <stp/>
        <stp>Market</stp>
        <stp>STOCK</stp>
        <stp>77620.T</stp>
        <stp>年初来安値</stp>
        <tr r="Z930" s="7"/>
      </tp>
      <tp>
        <v>745</v>
        <stp/>
        <stp>Market</stp>
        <stp>STOCK</stp>
        <stp>70620.T</stp>
        <stp>年初来安値</stp>
        <tr r="Z820" s="7"/>
      </tp>
      <tp>
        <v>4180</v>
        <stp/>
        <stp>Market</stp>
        <stp>STOCK</stp>
        <stp>67620.T</stp>
        <stp>年初来安値</stp>
        <tr r="Z768" s="7"/>
      </tp>
      <tp>
        <v>410</v>
        <stp/>
        <stp>Market</stp>
        <stp>STOCK</stp>
        <stp>68620.T</stp>
        <stp>年初来安値</stp>
        <tr r="Z779" s="7"/>
      </tp>
      <tp t="s">
        <v>表示銘柄数超過</v>
        <stp/>
        <stp>Market</stp>
        <stp>STOCK</stp>
        <stp>27620.T</stp>
        <stp>年初来安値</stp>
        <tr r="Z193" s="7"/>
      </tp>
      <tp t="s">
        <v>表示銘柄数超過</v>
        <stp/>
        <stp>Market</stp>
        <stp>STOCK</stp>
        <stp>21620.T</stp>
        <stp>年初来安値</stp>
        <tr r="Z99" s="7"/>
      </tp>
      <tp>
        <v>471</v>
        <stp/>
        <stp>Market</stp>
        <stp>STOCK</stp>
        <stp>84620.T</stp>
        <stp>年初来安値</stp>
        <tr r="Z1012" s="7"/>
      </tp>
      <tp>
        <v>203</v>
        <stp/>
        <stp>Market</stp>
        <stp>STOCK</stp>
        <stp>85620.T</stp>
        <stp>年初来安値</stp>
        <tr r="Z1019" s="7"/>
      </tp>
      <tp>
        <v>259</v>
        <stp/>
        <stp>Market</stp>
        <stp>STOCK</stp>
        <stp>55630.T</stp>
        <stp>年初来安値</stp>
        <tr r="Z599" s="7"/>
      </tp>
      <tp t="s">
        <v>表示銘柄数超過</v>
        <stp/>
        <stp>Market</stp>
        <stp>STOCK</stp>
        <stp>45630.T</stp>
        <stp>年初来安値</stp>
        <tr r="Z486" s="7"/>
      </tp>
      <tp t="s">
        <v>表示銘柄数超過</v>
        <stp/>
        <stp>Market</stp>
        <stp>STOCK</stp>
        <stp>40630.T</stp>
        <stp>年初来安値</stp>
        <tr r="Z415" s="7"/>
      </tp>
      <tp t="s">
        <v>表示銘柄数超過</v>
        <stp/>
        <stp>Market</stp>
        <stp>STOCK</stp>
        <stp>49630.T</stp>
        <stp>年初来安値</stp>
        <tr r="Z555" s="7"/>
      </tp>
      <tp>
        <v>681</v>
        <stp/>
        <stp>Market</stp>
        <stp>STOCK</stp>
        <stp>70630.T</stp>
        <stp>年初来安値</stp>
        <tr r="Z821" s="7"/>
      </tp>
      <tp>
        <v>1172</v>
        <stp/>
        <stp>Market</stp>
        <stp>STOCK</stp>
        <stp>71630.T</stp>
        <stp>年初来安値</stp>
        <tr r="Z833" s="7"/>
      </tp>
      <tp>
        <v>960</v>
        <stp/>
        <stp>Market</stp>
        <stp>STOCK</stp>
        <stp>68630.T</stp>
        <stp>年初来安値</stp>
        <tr r="Z780" s="7"/>
      </tp>
      <tp t="s">
        <v>表示銘柄数超過</v>
        <stp/>
        <stp>Market</stp>
        <stp>STOCK</stp>
        <stp>15630.T</stp>
        <stp>年初来安値</stp>
        <tr r="Z33" s="7"/>
      </tp>
      <tp t="s">
        <v>表示銘柄数超過</v>
        <stp/>
        <stp>Market</stp>
        <stp>STOCK</stp>
        <stp>36630.T</stp>
        <stp>年初来安値</stp>
        <tr r="Z326" s="7"/>
      </tp>
      <tp t="s">
        <v>表示銘柄数超過</v>
        <stp/>
        <stp>Market</stp>
        <stp>STOCK</stp>
        <stp>38630.T</stp>
        <stp>年初来安値</stp>
        <tr r="Z380" s="7"/>
      </tp>
      <tp t="s">
        <v>表示銘柄数超過</v>
        <stp/>
        <stp>Market</stp>
        <stp>STOCK</stp>
        <stp>39630.T</stp>
        <stp>年初来安値</stp>
        <tr r="Z400" s="7"/>
      </tp>
      <tp t="s">
        <v>表示銘柄数超過</v>
        <stp/>
        <stp>Market</stp>
        <stp>STOCK</stp>
        <stp>25630.T</stp>
        <stp>年初来安値</stp>
        <tr r="Z161" s="7"/>
      </tp>
      <tp t="s">
        <v>表示銘柄数超過</v>
        <stp/>
        <stp>Market</stp>
        <stp>STOCK</stp>
        <stp>90630.T</stp>
        <stp>年初来安値</stp>
        <tr r="Z1090" s="7"/>
      </tp>
      <tp t="s">
        <v>表示銘柄数超過</v>
        <stp/>
        <stp>Market</stp>
        <stp>STOCK</stp>
        <stp>92630.T</stp>
        <stp>年初来安値</stp>
        <tr r="Z1104" s="7"/>
      </tp>
      <tp t="s">
        <v>表示銘柄数超過</v>
        <stp/>
        <stp>Market</stp>
        <stp>STOCK</stp>
        <stp>49600.T</stp>
        <stp>年初来安値</stp>
        <tr r="Z554" s="7"/>
      </tp>
      <tp>
        <v>454</v>
        <stp/>
        <stp>Market</stp>
        <stp>STOCK</stp>
        <stp>70600.T</stp>
        <stp>年初来安値</stp>
        <tr r="Z819" s="7"/>
      </tp>
      <tp t="s">
        <v>表示銘柄数超過</v>
        <stp/>
        <stp>Market</stp>
        <stp>STOCK</stp>
        <stp>13600.T</stp>
        <stp>年初来安値</stp>
        <tr r="Z13" s="7"/>
      </tp>
      <tp t="s">
        <v>表示銘柄数超過</v>
        <stp/>
        <stp>Market</stp>
        <stp>STOCK</stp>
        <stp>19600.T</stp>
        <stp>年初来安値</stp>
        <tr r="Z82" s="7"/>
      </tp>
      <tp t="s">
        <v>表示銘柄数超過</v>
        <stp/>
        <stp>Market</stp>
        <stp>STOCK</stp>
        <stp>36600.T</stp>
        <stp>年初来安値</stp>
        <tr r="Z325" s="7"/>
      </tp>
      <tp t="s">
        <v>表示銘柄数超過</v>
        <stp/>
        <stp>Market</stp>
        <stp>STOCK</stp>
        <stp>37600.T</stp>
        <stp>年初来安値</stp>
        <tr r="Z352" s="7"/>
      </tp>
      <tp t="s">
        <v>表示銘柄数超過</v>
        <stp/>
        <stp>Market</stp>
        <stp>STOCK</stp>
        <stp>21600.T</stp>
        <stp>年初来安値</stp>
        <tr r="Z98" s="7"/>
      </tp>
      <tp t="s">
        <v>表示銘柄数超過</v>
        <stp/>
        <stp>Market</stp>
        <stp>STOCK</stp>
        <stp>95600.T</stp>
        <stp>年初来安値</stp>
        <tr r="Z1157" s="7"/>
      </tp>
      <tp t="s">
        <v>表示銘柄数超過</v>
        <stp/>
        <stp>Market</stp>
        <stp>STOCK</stp>
        <stp>97600.T</stp>
        <stp>年初来安値</stp>
        <tr r="Z1164" s="7"/>
      </tp>
      <tp>
        <v>358</v>
        <stp/>
        <stp>Market</stp>
        <stp>STOCK</stp>
        <stp>71610.T</stp>
        <stp>年初来安値</stp>
        <tr r="Z832" s="7"/>
      </tp>
      <tp>
        <v>932</v>
        <stp/>
        <stp>Market</stp>
        <stp>STOCK</stp>
        <stp>72610.T</stp>
        <stp>年初来安値</stp>
        <tr r="Z863" s="7"/>
      </tp>
      <tp t="s">
        <v>表示銘柄数超過</v>
        <stp/>
        <stp>Market</stp>
        <stp>STOCK</stp>
        <stp>34610.T</stp>
        <stp>年初来安値</stp>
        <tr r="Z301" s="7"/>
      </tp>
      <tp t="s">
        <v>表示銘柄数超過</v>
        <stp/>
        <stp>Market</stp>
        <stp>STOCK</stp>
        <stp>35610.T</stp>
        <stp>年初来安値</stp>
        <tr r="Z309" s="7"/>
      </tp>
      <tp t="s">
        <v>表示銘柄数超過</v>
        <stp/>
        <stp>Market</stp>
        <stp>STOCK</stp>
        <stp>32610.T</stp>
        <stp>年初来安値</stp>
        <tr r="Z265" s="7"/>
      </tp>
      <tp t="s">
        <v>表示銘柄数超過</v>
        <stp/>
        <stp>Market</stp>
        <stp>STOCK</stp>
        <stp>38610.T</stp>
        <stp>年初来安値</stp>
        <tr r="Z379" s="7"/>
      </tp>
      <tp t="s">
        <v>表示銘柄数超過</v>
        <stp/>
        <stp>Market</stp>
        <stp>STOCK</stp>
        <stp>24610.T</stp>
        <stp>年初来安値</stp>
        <tr r="Z147" s="7"/>
      </tp>
      <tp t="s">
        <v>表示銘柄数超過</v>
        <stp/>
        <stp>Market</stp>
        <stp>STOCK</stp>
        <stp>93610.T</stp>
        <stp>年初来安値</stp>
        <tr r="Z1111" s="7"/>
      </tp>
      <tp>
        <v>1920</v>
        <stp/>
        <stp>Market</stp>
        <stp>STOCK</stp>
        <stp>59660.T</stp>
        <stp>年初来安値</stp>
        <tr r="Z628" s="7"/>
      </tp>
      <tp t="s">
        <v>表示銘柄数超過</v>
        <stp/>
        <stp>Market</stp>
        <stp>STOCK</stp>
        <stp>47660.T</stp>
        <stp>年初来安値</stp>
        <tr r="Z530" s="7"/>
      </tp>
      <tp>
        <v>480</v>
        <stp/>
        <stp>Market</stp>
        <stp>STOCK</stp>
        <stp>66660.T</stp>
        <stp>年初来安値</stp>
        <tr r="Z750" s="7"/>
      </tp>
      <tp>
        <v>367</v>
        <stp/>
        <stp>Market</stp>
        <stp>STOCK</stp>
        <stp>61660.T</stp>
        <stp>年初来安値</stp>
        <tr r="Z661" s="7"/>
      </tp>
      <tp>
        <v>322</v>
        <stp/>
        <stp>Market</stp>
        <stp>STOCK</stp>
        <stp>63660.T</stp>
        <stp>年初来安値</stp>
        <tr r="Z695" s="7"/>
      </tp>
      <tp t="s">
        <v>表示銘柄数超過</v>
        <stp/>
        <stp>Market</stp>
        <stp>STOCK</stp>
        <stp>13660.T</stp>
        <stp>年初来安値</stp>
        <tr r="Z14" s="7"/>
      </tp>
      <tp t="s">
        <v>表示銘柄数超過</v>
        <stp/>
        <stp>Market</stp>
        <stp>STOCK</stp>
        <stp>19660.T</stp>
        <stp>年初来安値</stp>
        <tr r="Z84" s="7"/>
      </tp>
      <tp t="s">
        <v>表示銘柄数超過</v>
        <stp/>
        <stp>Market</stp>
        <stp>STOCK</stp>
        <stp>36660.T</stp>
        <stp>年初来安値</stp>
        <tr r="Z329" s="7"/>
      </tp>
      <tp t="s">
        <v>表示銘柄数超過</v>
        <stp/>
        <stp>Market</stp>
        <stp>STOCK</stp>
        <stp>32660.T</stp>
        <stp>年初来安値</stp>
        <tr r="Z267" s="7"/>
      </tp>
      <tp t="s">
        <v>表示銘柄数超過</v>
        <stp/>
        <stp>Market</stp>
        <stp>STOCK</stp>
        <stp>26660.T</stp>
        <stp>年初来安値</stp>
        <tr r="Z177" s="7"/>
      </tp>
      <tp t="s">
        <v>表示銘柄数超過</v>
        <stp/>
        <stp>Market</stp>
        <stp>STOCK</stp>
        <stp>94660.T</stp>
        <stp>年初来安値</stp>
        <tr r="Z1134" s="7"/>
      </tp>
      <tp t="s">
        <v>表示銘柄数超過</v>
        <stp/>
        <stp>Market</stp>
        <stp>STOCK</stp>
        <stp>87660.T</stp>
        <stp>年初来安値</stp>
        <tr r="Z1045" s="7"/>
      </tp>
      <tp>
        <v>65</v>
        <stp/>
        <stp>Market</stp>
        <stp>STOCK</stp>
        <stp>81660.T</stp>
        <stp>年初来安値</stp>
        <tr r="Z986" s="7"/>
      </tp>
      <tp t="s">
        <v>表示銘柄数超過</v>
        <stp/>
        <stp>Market</stp>
        <stp>STOCK</stp>
        <stp>46670.T</stp>
        <stp>年初来安値</stp>
        <tr r="Z516" s="7"/>
        <tr r="Z517" s="7"/>
      </tp>
      <tp t="s">
        <v>表示銘柄数超過</v>
        <stp/>
        <stp>Market</stp>
        <stp>STOCK</stp>
        <stp>47670.T</stp>
        <stp>年初来安値</stp>
        <tr r="Z531" s="7"/>
      </tp>
      <tp t="s">
        <v>表示銘柄数超過</v>
        <stp/>
        <stp>Market</stp>
        <stp>STOCK</stp>
        <stp>41670.T</stp>
        <stp>年初来安値</stp>
        <tr r="Z418" s="7"/>
      </tp>
      <tp>
        <v>399</v>
        <stp/>
        <stp>Market</stp>
        <stp>STOCK</stp>
        <stp>75670.T</stp>
        <stp>年初来安値</stp>
        <tr r="Z904" s="7"/>
      </tp>
      <tp>
        <v>310</v>
        <stp/>
        <stp>Market</stp>
        <stp>STOCK</stp>
        <stp>71670.T</stp>
        <stp>年初来安値</stp>
        <tr r="Z834" s="7"/>
      </tp>
      <tp>
        <v>1386</v>
        <stp/>
        <stp>Market</stp>
        <stp>STOCK</stp>
        <stp>72670.T</stp>
        <stp>年初来安値</stp>
        <tr r="Z864" s="7"/>
      </tp>
      <tp>
        <v>1207</v>
        <stp/>
        <stp>Market</stp>
        <stp>STOCK</stp>
        <stp>78670.T</stp>
        <stp>年初来安値</stp>
        <tr r="Z949" s="7"/>
      </tp>
      <tp>
        <v>335</v>
        <stp/>
        <stp>Market</stp>
        <stp>STOCK</stp>
        <stp>64670.T</stp>
        <stp>年初来安値</stp>
        <tr r="Z704" s="7"/>
      </tp>
      <tp>
        <v>561</v>
        <stp/>
        <stp>Market</stp>
        <stp>STOCK</stp>
        <stp>61670.T</stp>
        <stp>年初来安値</stp>
        <tr r="Z662" s="7"/>
      </tp>
      <tp>
        <v>441</v>
        <stp/>
        <stp>Market</stp>
        <stp>STOCK</stp>
        <stp>68670.T</stp>
        <stp>年初来安値</stp>
        <tr r="Z781" s="7"/>
      </tp>
      <tp t="s">
        <v>表示銘柄数超過</v>
        <stp/>
        <stp>Market</stp>
        <stp>STOCK</stp>
        <stp>36670.T</stp>
        <stp>年初来安値</stp>
        <tr r="Z330" s="7"/>
      </tp>
      <tp t="s">
        <v>表示銘柄数超過</v>
        <stp/>
        <stp>Market</stp>
        <stp>STOCK</stp>
        <stp>25670.T</stp>
        <stp>年初来安値</stp>
        <tr r="Z162" s="7"/>
      </tp>
      <tp t="s">
        <v>表示銘柄数超過</v>
        <stp/>
        <stp>Market</stp>
        <stp>STOCK</stp>
        <stp>26670.T</stp>
        <stp>年初来安値</stp>
        <tr r="Z178" s="7"/>
      </tp>
      <tp t="s">
        <v>表示銘柄数超過</v>
        <stp/>
        <stp>Market</stp>
        <stp>STOCK</stp>
        <stp>27670.T</stp>
        <stp>年初来安値</stp>
        <tr r="Z195" s="7"/>
      </tp>
      <tp>
        <v>2467.5</v>
        <stp/>
        <stp>Market</stp>
        <stp>STOCK</stp>
        <stp>82670.T</stp>
        <stp>年初来安値</stp>
        <tr r="Z1001" s="7"/>
      </tp>
      <tp t="s">
        <v>表示銘柄数超過</v>
        <stp/>
        <stp>Market</stp>
        <stp>STOCK</stp>
        <stp>45640.T</stp>
        <stp>年初来安値</stp>
        <tr r="Z487" s="7"/>
      </tp>
      <tp t="s">
        <v>表示銘柄数超過</v>
        <stp/>
        <stp>Market</stp>
        <stp>STOCK</stp>
        <stp>46640.T</stp>
        <stp>年初来安値</stp>
        <tr r="Z515" s="7"/>
      </tp>
      <tp t="s">
        <v>表示銘柄数超過</v>
        <stp/>
        <stp>Market</stp>
        <stp>STOCK</stp>
        <stp>42640.T</stp>
        <stp>年初来安値</stp>
        <tr r="Z433" s="7"/>
      </tp>
      <tp>
        <v>1206</v>
        <stp/>
        <stp>Market</stp>
        <stp>STOCK</stp>
        <stp>63640.T</stp>
        <stp>年初来安値</stp>
        <tr r="Z694" s="7"/>
      </tp>
      <tp t="s">
        <v>表示銘柄数超過</v>
        <stp/>
        <stp>Market</stp>
        <stp>STOCK</stp>
        <stp>34640.T</stp>
        <stp>年初来安値</stp>
        <tr r="Z302" s="7"/>
      </tp>
      <tp t="s">
        <v>表示銘柄数超過</v>
        <stp/>
        <stp>Market</stp>
        <stp>STOCK</stp>
        <stp>36640.T</stp>
        <stp>年初来安値</stp>
        <tr r="Z327" s="7"/>
      </tp>
      <tp t="s">
        <v>表示銘柄数超過</v>
        <stp/>
        <stp>Market</stp>
        <stp>STOCK</stp>
        <stp>30640.T</stp>
        <stp>年初来安値</stp>
        <tr r="Z234" s="7"/>
      </tp>
      <tp t="s">
        <v>表示銘柄数超過</v>
        <stp/>
        <stp>Market</stp>
        <stp>STOCK</stp>
        <stp>32640.T</stp>
        <stp>年初来安値</stp>
        <tr r="Z266" s="7"/>
      </tp>
      <tp t="s">
        <v>表示銘柄数超過</v>
        <stp/>
        <stp>Market</stp>
        <stp>STOCK</stp>
        <stp>38640.T</stp>
        <stp>年初来安値</stp>
        <tr r="Z381" s="7"/>
      </tp>
      <tp t="s">
        <v>表示銘柄数超過</v>
        <stp/>
        <stp>Market</stp>
        <stp>STOCK</stp>
        <stp>27640.T</stp>
        <stp>年初来安値</stp>
        <tr r="Z194" s="7"/>
      </tp>
      <tp t="s">
        <v>表示銘柄数超過</v>
        <stp/>
        <stp>Market</stp>
        <stp>STOCK</stp>
        <stp>21640.T</stp>
        <stp>年初来安値</stp>
        <tr r="Z100" s="7"/>
      </tp>
      <tp t="s">
        <v>表示銘柄数超過</v>
        <stp/>
        <stp>Market</stp>
        <stp>STOCK</stp>
        <stp>90640.T</stp>
        <stp>年初来安値</stp>
        <tr r="Z1091" s="7"/>
      </tp>
      <tp t="s">
        <v>表示銘柄数超過</v>
        <stp/>
        <stp>Market</stp>
        <stp>STOCK</stp>
        <stp>45650.T</stp>
        <stp>年初来安値</stp>
        <tr r="Z488" s="7"/>
      </tp>
      <tp t="s">
        <v>表示銘柄数超過</v>
        <stp/>
        <stp>Market</stp>
        <stp>STOCK</stp>
        <stp>41650.T</stp>
        <stp>年初来安値</stp>
        <tr r="Z417" s="7"/>
      </tp>
      <tp>
        <v>381</v>
        <stp/>
        <stp>Market</stp>
        <stp>STOCK</stp>
        <stp>61650.T</stp>
        <stp>年初来安値</stp>
        <tr r="Z660" s="7"/>
      </tp>
      <tp t="s">
        <v>表示銘柄数超過</v>
        <stp/>
        <stp>Market</stp>
        <stp>STOCK</stp>
        <stp>19650.T</stp>
        <stp>年初来安値</stp>
        <tr r="Z83" s="7"/>
      </tp>
      <tp t="s">
        <v>表示銘柄数超過</v>
        <stp/>
        <stp>Market</stp>
        <stp>STOCK</stp>
        <stp>36650.T</stp>
        <stp>年初来安値</stp>
        <tr r="Z328" s="7"/>
      </tp>
      <tp t="s">
        <v>表示銘柄数超過</v>
        <stp/>
        <stp>Market</stp>
        <stp>STOCK</stp>
        <stp>38650.T</stp>
        <stp>年初来安値</stp>
        <tr r="Z382" s="7"/>
      </tp>
      <tp t="s">
        <v>表示銘柄数超過</v>
        <stp/>
        <stp>Market</stp>
        <stp>STOCK</stp>
        <stp>39650.T</stp>
        <stp>年初来安値</stp>
        <tr r="Z401" s="7"/>
      </tp>
      <tp t="s">
        <v>表示銘柄数超過</v>
        <stp/>
        <stp>Market</stp>
        <stp>STOCK</stp>
        <stp>28650.T</stp>
        <stp>年初来安値</stp>
        <tr r="Z209" s="7"/>
      </tp>
      <tp t="s">
        <v>表示銘柄数超過</v>
        <stp/>
        <stp>Market</stp>
        <stp>STOCK</stp>
        <stp>97650.T</stp>
        <stp>年初来安値</stp>
        <tr r="Z1165" s="7"/>
      </tp>
      <tp t="s">
        <v>表示銘柄数超過</v>
        <stp/>
        <stp>Market</stp>
        <stp>STOCK</stp>
        <stp>45680.T</stp>
        <stp>年初来安値</stp>
        <tr r="Z489" s="7"/>
      </tp>
      <tp t="s">
        <v>表示銘柄数超過</v>
        <stp/>
        <stp>Market</stp>
        <stp>STOCK</stp>
        <stp>42680.T</stp>
        <stp>年初来安値</stp>
        <tr r="Z434" s="7"/>
      </tp>
      <tp>
        <v>345</v>
        <stp/>
        <stp>Market</stp>
        <stp>STOCK</stp>
        <stp>70680.T</stp>
        <stp>年初来安値</stp>
        <tr r="Z822" s="7"/>
      </tp>
      <tp>
        <v>236</v>
        <stp/>
        <stp>Market</stp>
        <stp>STOCK</stp>
        <stp>72680.T</stp>
        <stp>年初来安値</stp>
        <tr r="Z865" s="7"/>
      </tp>
      <tp>
        <v>620</v>
        <stp/>
        <stp>Market</stp>
        <stp>STOCK</stp>
        <stp>78680.T</stp>
        <stp>年初来安値</stp>
        <tr r="Z950" s="7"/>
      </tp>
      <tp>
        <v>476</v>
        <stp/>
        <stp>Market</stp>
        <stp>STOCK</stp>
        <stp>67680.T</stp>
        <stp>年初来安値</stp>
        <tr r="Z769" s="7"/>
      </tp>
      <tp t="s">
        <v>表示銘柄数超過</v>
        <stp/>
        <stp>Market</stp>
        <stp>STOCK</stp>
        <stp>13680.T</stp>
        <stp>年初来安値</stp>
        <tr r="Z15" s="7"/>
      </tp>
      <tp t="s">
        <v>表示銘柄数超過</v>
        <stp/>
        <stp>Market</stp>
        <stp>STOCK</stp>
        <stp>36680.T</stp>
        <stp>年初来安値</stp>
        <tr r="Z331" s="7"/>
      </tp>
      <tp t="s">
        <v>表示銘柄数超過</v>
        <stp/>
        <stp>Market</stp>
        <stp>STOCK</stp>
        <stp>24680.T</stp>
        <stp>年初来安値</stp>
        <tr r="Z148" s="7"/>
      </tp>
      <tp t="s">
        <v>表示銘柄数超過</v>
        <stp/>
        <stp>Market</stp>
        <stp>STOCK</stp>
        <stp>27680.T</stp>
        <stp>年初来安値</stp>
        <tr r="Z196" s="7"/>
      </tp>
      <tp t="s">
        <v>表示銘柄数超過</v>
        <stp/>
        <stp>Market</stp>
        <stp>STOCK</stp>
        <stp>21680.T</stp>
        <stp>年初来安値</stp>
        <tr r="Z101" s="7"/>
      </tp>
      <tp t="s">
        <v>表示銘柄数超過</v>
        <stp/>
        <stp>Market</stp>
        <stp>STOCK</stp>
        <stp>28680.T</stp>
        <stp>年初来安値</stp>
        <tr r="Z210" s="7"/>
      </tp>
      <tp>
        <v>212</v>
        <stp/>
        <stp>Market</stp>
        <stp>STOCK</stp>
        <stp>52690.T</stp>
        <stp>年初来安値</stp>
        <tr r="Z582" s="7"/>
      </tp>
      <tp t="s">
        <v>表示銘柄数超過</v>
        <stp/>
        <stp>Market</stp>
        <stp>STOCK</stp>
        <stp>41690.T</stp>
        <stp>年初来安値</stp>
        <tr r="Z419" s="7"/>
      </tp>
      <tp>
        <v>4094</v>
        <stp/>
        <stp>Market</stp>
        <stp>STOCK</stp>
        <stp>72690.T</stp>
        <stp>年初来安値</stp>
        <tr r="Z866" s="7"/>
      </tp>
      <tp t="s">
        <v>表示銘柄数超過</v>
        <stp/>
        <stp>Market</stp>
        <stp>STOCK</stp>
        <stp>14690.T</stp>
        <stp>年初来安値</stp>
        <tr r="Z27" s="7"/>
      </tp>
      <tp t="s">
        <v>表示銘柄数超過</v>
        <stp/>
        <stp>Market</stp>
        <stp>STOCK</stp>
        <stp>30690.T</stp>
        <stp>年初来安値</stp>
        <tr r="Z235" s="7"/>
      </tp>
      <tp t="s">
        <v>表示銘柄数超過</v>
        <stp/>
        <stp>Market</stp>
        <stp>STOCK</stp>
        <stp>99690.T</stp>
        <stp>年初来安値</stp>
        <tr r="Z1185" s="7"/>
      </tp>
      <tp t="s">
        <v>表示銘柄数超過</v>
        <stp/>
        <stp>Market</stp>
        <stp>STOCK</stp>
        <stp>87690.T</stp>
        <stp>年初来安値</stp>
        <tr r="Z1046" s="7"/>
      </tp>
      <tp>
        <v>413</v>
        <stp/>
        <stp>Market</stp>
        <stp>STOCK</stp>
        <stp>58520.T</stp>
        <stp>年初来安値</stp>
        <tr r="Z616" s="7"/>
      </tp>
      <tp>
        <v>111</v>
        <stp/>
        <stp>Market</stp>
        <stp>STOCK</stp>
        <stp>59520.T</stp>
        <stp>年初来安値</stp>
        <tr r="Z626" s="7"/>
      </tp>
      <tp t="s">
        <v>表示銘柄数超過</v>
        <stp/>
        <stp>Market</stp>
        <stp>STOCK</stp>
        <stp>44520.T</stp>
        <stp>年初来安値</stp>
        <tr r="Z469" s="7"/>
      </tp>
      <tp>
        <v>937</v>
        <stp/>
        <stp>Market</stp>
        <stp>STOCK</stp>
        <stp>77520.T</stp>
        <stp>年初来安値</stp>
        <tr r="Z929" s="7"/>
      </tp>
      <tp>
        <v>277</v>
        <stp/>
        <stp>Market</stp>
        <stp>STOCK</stp>
        <stp>65520.T</stp>
        <stp>年初来安値</stp>
        <tr r="Z724" s="7"/>
      </tp>
      <tp>
        <v>1074.5</v>
        <stp/>
        <stp>Market</stp>
        <stp>STOCK</stp>
        <stp>67520.T</stp>
        <stp>年初来安値</stp>
        <tr r="Z764" s="7"/>
      </tp>
      <tp>
        <v>1151</v>
        <stp/>
        <stp>Market</stp>
        <stp>STOCK</stp>
        <stp>69520.T</stp>
        <stp>年初来安値</stp>
        <tr r="Z793" s="7"/>
      </tp>
      <tp t="s">
        <v>表示銘柄数超過</v>
        <stp/>
        <stp>Market</stp>
        <stp>STOCK</stp>
        <stp>15520.T</stp>
        <stp>年初来安値</stp>
        <tr r="Z32" s="7"/>
      </tp>
      <tp t="s">
        <v>表示銘柄数超過</v>
        <stp/>
        <stp>Market</stp>
        <stp>STOCK</stp>
        <stp>36520.T</stp>
        <stp>年初来安値</stp>
        <tr r="Z322" s="7"/>
      </tp>
      <tp t="s">
        <v>表示銘柄数超過</v>
        <stp/>
        <stp>Market</stp>
        <stp>STOCK</stp>
        <stp>38520.T</stp>
        <stp>年初来安値</stp>
        <tr r="Z375" s="7"/>
      </tp>
      <tp t="s">
        <v>表示銘柄数超過</v>
        <stp/>
        <stp>Market</stp>
        <stp>STOCK</stp>
        <stp>21520.T</stp>
        <stp>年初来安値</stp>
        <tr r="Z95" s="7"/>
      </tp>
      <tp t="s">
        <v>表示銘柄数超過</v>
        <stp/>
        <stp>Market</stp>
        <stp>STOCK</stp>
        <stp>28520.T</stp>
        <stp>年初来安値</stp>
        <tr r="Z204" s="7"/>
      </tp>
      <tp>
        <v>1956</v>
        <stp/>
        <stp>Market</stp>
        <stp>STOCK</stp>
        <stp>82520.T</stp>
        <stp>年初来安値</stp>
        <tr r="Z999" s="7"/>
      </tp>
      <tp>
        <v>1300</v>
        <stp/>
        <stp>Market</stp>
        <stp>STOCK</stp>
        <stp>52530.T</stp>
        <stp>年初来安値</stp>
        <tr r="Z580" s="7"/>
      </tp>
      <tp>
        <v>1310</v>
        <stp/>
        <stp>Market</stp>
        <stp>STOCK</stp>
        <stp>74530.T</stp>
        <stp>年初来安値</stp>
        <tr r="Z890" s="7"/>
      </tp>
      <tp>
        <v>556</v>
        <stp/>
        <stp>Market</stp>
        <stp>STOCK</stp>
        <stp>73530.T</stp>
        <stp>年初来安値</stp>
        <tr r="Z879" s="7"/>
      </tp>
      <tp>
        <v>367</v>
        <stp/>
        <stp>Market</stp>
        <stp>STOCK</stp>
        <stp>79530.T</stp>
        <stp>年初来安値</stp>
        <tr r="Z958" s="7"/>
      </tp>
      <tp>
        <v>756</v>
        <stp/>
        <stp>Market</stp>
        <stp>STOCK</stp>
        <stp>67530.T</stp>
        <stp>年初来安値</stp>
        <tr r="Z765" s="7"/>
      </tp>
      <tp t="s">
        <v>表示銘柄数超過</v>
        <stp/>
        <stp>Market</stp>
        <stp>STOCK</stp>
        <stp>35530.T</stp>
        <stp>年初来安値</stp>
        <tr r="Z308" s="7"/>
      </tp>
      <tp t="s">
        <v>表示銘柄数超過</v>
        <stp/>
        <stp>Market</stp>
        <stp>STOCK</stp>
        <stp>30530.T</stp>
        <stp>年初来安値</stp>
        <tr r="Z233" s="7"/>
      </tp>
      <tp t="s">
        <v>表示銘柄数超過</v>
        <stp/>
        <stp>Market</stp>
        <stp>STOCK</stp>
        <stp>38530.T</stp>
        <stp>年初来安値</stp>
        <tr r="Z376" s="7"/>
      </tp>
      <tp t="s">
        <v>表示銘柄数超過</v>
        <stp/>
        <stp>Market</stp>
        <stp>STOCK</stp>
        <stp>24530.T</stp>
        <stp>年初来安値</stp>
        <tr r="Z146" s="7"/>
      </tp>
      <tp t="s">
        <v>表示銘柄数超過</v>
        <stp/>
        <stp>Market</stp>
        <stp>STOCK</stp>
        <stp>22530.T</stp>
        <stp>年初来安値</stp>
        <tr r="Z110" s="7"/>
      </tp>
      <tp t="s">
        <v>表示銘柄数超過</v>
        <stp/>
        <stp>Market</stp>
        <stp>STOCK</stp>
        <stp>23530.T</stp>
        <stp>年初来安値</stp>
        <tr r="Z124" s="7"/>
      </tp>
      <tp t="s">
        <v>表示銘柄数超過</v>
        <stp/>
        <stp>Market</stp>
        <stp>STOCK</stp>
        <stp>28530.T</stp>
        <stp>年初来安値</stp>
        <tr r="Z205" s="7"/>
      </tp>
      <tp t="s">
        <v>表示銘柄数超過</v>
        <stp/>
        <stp>Market</stp>
        <stp>STOCK</stp>
        <stp>95530.T</stp>
        <stp>年初来安値</stp>
        <tr r="Z1155" s="7"/>
      </tp>
      <tp t="s">
        <v>表示銘柄数超過</v>
        <stp/>
        <stp>Market</stp>
        <stp>STOCK</stp>
        <stp>98530.T</stp>
        <stp>年初来安値</stp>
        <tr r="Z1173" s="7"/>
      </tp>
      <tp>
        <v>2133.5</v>
        <stp/>
        <stp>Market</stp>
        <stp>STOCK</stp>
        <stp>80530.T</stp>
        <stp>年初来安値</stp>
        <tr r="Z970" s="7"/>
      </tp>
      <tp>
        <v>3000</v>
        <stp/>
        <stp>Market</stp>
        <stp>STOCK</stp>
        <stp>81530.T</stp>
        <stp>年初来安値</stp>
        <tr r="Z985" s="7"/>
      </tp>
      <tp>
        <v>105</v>
        <stp/>
        <stp>Market</stp>
        <stp>STOCK</stp>
        <stp>59500.T</stp>
        <stp>年初来安値</stp>
        <tr r="Z625" s="7"/>
      </tp>
      <tp t="s">
        <v>表示銘柄数超過</v>
        <stp/>
        <stp>Market</stp>
        <stp>STOCK</stp>
        <stp>43500.T</stp>
        <stp>年初来安値</stp>
        <tr r="Z447" s="7"/>
      </tp>
      <tp>
        <v>459</v>
        <stp/>
        <stp>Market</stp>
        <stp>STOCK</stp>
        <stp>71500.T</stp>
        <stp>年初来安値</stp>
        <tr r="Z831" s="7"/>
      </tp>
      <tp>
        <v>2007</v>
        <stp/>
        <stp>Market</stp>
        <stp>STOCK</stp>
        <stp>73500.T</stp>
        <stp>年初来安値</stp>
        <tr r="Z877" s="7"/>
      </tp>
      <tp>
        <v>137</v>
        <stp/>
        <stp>Market</stp>
        <stp>STOCK</stp>
        <stp>65500.T</stp>
        <stp>年初来安値</stp>
        <tr r="Z723" s="7"/>
      </tp>
      <tp>
        <v>1225</v>
        <stp/>
        <stp>Market</stp>
        <stp>STOCK</stp>
        <stp>67500.T</stp>
        <stp>年初来安値</stp>
        <tr r="Z763" s="7"/>
      </tp>
      <tp t="s">
        <v>表示銘柄数超過</v>
        <stp/>
        <stp>Market</stp>
        <stp>STOCK</stp>
        <stp>19500.T</stp>
        <stp>年初来安値</stp>
        <tr r="Z81" s="7"/>
      </tp>
      <tp t="s">
        <v>表示銘柄数超過</v>
        <stp/>
        <stp>Market</stp>
        <stp>STOCK</stp>
        <stp>30500.T</stp>
        <stp>年初来安値</stp>
        <tr r="Z232" s="7"/>
      </tp>
      <tp t="s">
        <v>表示銘柄数超過</v>
        <stp/>
        <stp>Market</stp>
        <stp>STOCK</stp>
        <stp>33500.T</stp>
        <stp>年初来安値</stp>
        <tr r="Z283" s="7"/>
      </tp>
      <tp t="s">
        <v>表示銘柄数超過</v>
        <stp/>
        <stp>Market</stp>
        <stp>STOCK</stp>
        <stp>38500.T</stp>
        <stp>年初来安値</stp>
        <tr r="Z373" s="7"/>
      </tp>
      <tp t="s">
        <v>表示銘柄数超過</v>
        <stp/>
        <stp>Market</stp>
        <stp>STOCK</stp>
        <stp>21500.T</stp>
        <stp>年初来安値</stp>
        <tr r="Z94" s="7"/>
      </tp>
      <tp t="s">
        <v>表示銘柄数超過</v>
        <stp/>
        <stp>Market</stp>
        <stp>STOCK</stp>
        <stp>22500.T</stp>
        <stp>年初来安値</stp>
        <tr r="Z109" s="7"/>
      </tp>
      <tp t="s">
        <v>表示銘柄数超過</v>
        <stp/>
        <stp>Market</stp>
        <stp>STOCK</stp>
        <stp>94500.T</stp>
        <stp>年初来安値</stp>
        <tr r="Z1133" s="7"/>
      </tp>
      <tp t="s">
        <v>表示銘柄数超過</v>
        <stp/>
        <stp>Market</stp>
        <stp>STOCK</stp>
        <stp>87500.T</stp>
        <stp>年初来安値</stp>
        <tr r="Z1044" s="7"/>
      </tp>
      <tp>
        <v>1998</v>
        <stp/>
        <stp>Market</stp>
        <stp>STOCK</stp>
        <stp>81500.T</stp>
        <stp>年初来安値</stp>
        <tr r="Z984" s="7"/>
      </tp>
      <tp t="s">
        <v>表示銘柄数超過</v>
        <stp/>
        <stp>Market</stp>
        <stp>STOCK</stp>
        <stp>46510.T</stp>
        <stp>年初来安値</stp>
        <tr r="Z513" s="7"/>
      </tp>
      <tp t="s">
        <v>表示銘柄数超過</v>
        <stp/>
        <stp>Market</stp>
        <stp>STOCK</stp>
        <stp>47510.T</stp>
        <stp>年初来安値</stp>
        <tr r="Z528" s="7"/>
      </tp>
      <tp>
        <v>2754.5</v>
        <stp/>
        <stp>Market</stp>
        <stp>STOCK</stp>
        <stp>77510.T</stp>
        <stp>年初来安値</stp>
        <tr r="Z928" s="7"/>
      </tp>
      <tp>
        <v>540</v>
        <stp/>
        <stp>Market</stp>
        <stp>STOCK</stp>
        <stp>73510.T</stp>
        <stp>年初来安値</stp>
        <tr r="Z878" s="7"/>
      </tp>
      <tp>
        <v>198</v>
        <stp/>
        <stp>Market</stp>
        <stp>STOCK</stp>
        <stp>78510.T</stp>
        <stp>年初来安値</stp>
        <tr r="Z946" s="7"/>
      </tp>
      <tp t="s">
        <v>表示銘柄数超過</v>
        <stp/>
        <stp>Market</stp>
        <stp>STOCK</stp>
        <stp>14510.T</stp>
        <stp>年初来安値</stp>
        <tr r="Z25" s="7"/>
      </tp>
      <tp t="s">
        <v>表示銘柄数超過</v>
        <stp/>
        <stp>Market</stp>
        <stp>STOCK</stp>
        <stp>15510.T</stp>
        <stp>年初来安値</stp>
        <tr r="Z31" s="7"/>
      </tp>
      <tp t="s">
        <v>表示銘柄数超過</v>
        <stp/>
        <stp>Market</stp>
        <stp>STOCK</stp>
        <stp>35510.T</stp>
        <stp>年初来安値</stp>
        <tr r="Z307" s="7"/>
      </tp>
      <tp t="s">
        <v>表示銘柄数超過</v>
        <stp/>
        <stp>Market</stp>
        <stp>STOCK</stp>
        <stp>38510.T</stp>
        <stp>年初来安値</stp>
        <tr r="Z374" s="7"/>
      </tp>
      <tp t="s">
        <v>表示銘柄数超過</v>
        <stp/>
        <stp>Market</stp>
        <stp>STOCK</stp>
        <stp>26510.T</stp>
        <stp>年初来安値</stp>
        <tr r="Z175" s="7"/>
      </tp>
      <tp t="s">
        <v>表示銘柄数超過</v>
        <stp/>
        <stp>Market</stp>
        <stp>STOCK</stp>
        <stp>23510.T</stp>
        <stp>年初来安値</stp>
        <tr r="Z123" s="7"/>
      </tp>
      <tp t="s">
        <v>表示銘柄数超過</v>
        <stp/>
        <stp>Market</stp>
        <stp>STOCK</stp>
        <stp>28510.T</stp>
        <stp>年初来安値</stp>
        <tr r="Z203" s="7"/>
      </tp>
      <tp>
        <v>39</v>
        <stp/>
        <stp>Market</stp>
        <stp>STOCK</stp>
        <stp>58560.T</stp>
        <stp>年初来安値</stp>
        <tr r="Z617" s="7"/>
      </tp>
      <tp>
        <v>125</v>
        <stp/>
        <stp>Market</stp>
        <stp>STOCK</stp>
        <stp>72560.T</stp>
        <stp>年初来安値</stp>
        <tr r="Z862" s="7"/>
      </tp>
      <tp>
        <v>1146</v>
        <stp/>
        <stp>Market</stp>
        <stp>STOCK</stp>
        <stp>78560.T</stp>
        <stp>年初来安値</stp>
        <tr r="Z947" s="7"/>
      </tp>
      <tp>
        <v>405</v>
        <stp/>
        <stp>Market</stp>
        <stp>STOCK</stp>
        <stp>65560.T</stp>
        <stp>年初来安値</stp>
        <tr r="Z727" s="7"/>
      </tp>
      <tp>
        <v>335</v>
        <stp/>
        <stp>Market</stp>
        <stp>STOCK</stp>
        <stp>63560.T</stp>
        <stp>年初来安値</stp>
        <tr r="Z693" s="7"/>
      </tp>
      <tp t="s">
        <v>表示銘柄数超過</v>
        <stp/>
        <stp>Market</stp>
        <stp>STOCK</stp>
        <stp>16560.T</stp>
        <stp>年初来安値</stp>
        <tr r="Z40" s="7"/>
      </tp>
      <tp t="s">
        <v>表示銘柄数超過</v>
        <stp/>
        <stp>Market</stp>
        <stp>STOCK</stp>
        <stp>13560.T</stp>
        <stp>年初来安値</stp>
        <tr r="Z11" s="7"/>
      </tp>
      <tp t="s">
        <v>表示銘柄数超過</v>
        <stp/>
        <stp>Market</stp>
        <stp>STOCK</stp>
        <stp>36560.T</stp>
        <stp>年初来安値</stp>
        <tr r="Z324" s="7"/>
      </tp>
      <tp t="s">
        <v>表示銘柄数超過</v>
        <stp/>
        <stp>Market</stp>
        <stp>STOCK</stp>
        <stp>38560.T</stp>
        <stp>年初来安値</stp>
        <tr r="Z377" s="7"/>
      </tp>
      <tp t="s">
        <v>表示銘柄数超過</v>
        <stp/>
        <stp>Market</stp>
        <stp>STOCK</stp>
        <stp>26560.T</stp>
        <stp>年初来安値</stp>
        <tr r="Z176" s="7"/>
      </tp>
      <tp t="s">
        <v>表示銘柄数超過</v>
        <stp/>
        <stp>Market</stp>
        <stp>STOCK</stp>
        <stp>28560.T</stp>
        <stp>年初来安値</stp>
        <tr r="Z206" s="7"/>
      </tp>
      <tp t="s">
        <v>表示銘柄数超過</v>
        <stp/>
        <stp>Market</stp>
        <stp>STOCK</stp>
        <stp>96560.T</stp>
        <stp>年初来安値</stp>
        <tr r="Z1161" s="7"/>
      </tp>
      <tp>
        <v>2903</v>
        <stp/>
        <stp>Market</stp>
        <stp>STOCK</stp>
        <stp>80560.T</stp>
        <stp>年初来安値</stp>
        <tr r="Z971" s="7"/>
      </tp>
      <tp t="s">
        <v/>
        <stp/>
        <stp>Market</stp>
        <stp>STOCK</stp>
        <stp>82560.T</stp>
        <stp>年初来安値</stp>
        <tr r="Z1000" s="7"/>
      </tp>
      <tp>
        <v>1250</v>
        <stp/>
        <stp>Market</stp>
        <stp>STOCK</stp>
        <stp>53570.T</stp>
        <stp>年初来安値</stp>
        <tr r="Z588" s="7"/>
      </tp>
      <tp t="s">
        <v>表示銘柄数超過</v>
        <stp/>
        <stp>Market</stp>
        <stp>STOCK</stp>
        <stp>46570.T</stp>
        <stp>年初来安値</stp>
        <tr r="Z514" s="7"/>
      </tp>
      <tp>
        <v>566</v>
        <stp/>
        <stp>Market</stp>
        <stp>STOCK</stp>
        <stp>65570.T</stp>
        <stp>年初来安値</stp>
        <tr r="Z728" s="7"/>
      </tp>
      <tp>
        <v>3500</v>
        <stp/>
        <stp>Market</stp>
        <stp>STOCK</stp>
        <stp>68570.T</stp>
        <stp>年初来安値</stp>
        <tr r="Z778" s="7"/>
      </tp>
      <tp t="s">
        <v>表示銘柄数超過</v>
        <stp/>
        <stp>Market</stp>
        <stp>STOCK</stp>
        <stp>17570.T</stp>
        <stp>年初来安値</stp>
        <tr r="Z54" s="7"/>
      </tp>
      <tp>
        <v>169</v>
        <stp/>
        <stp>Market</stp>
        <stp>STOCK</stp>
        <stp>13570.T</stp>
        <stp>年初来安値</stp>
        <tr r="Z12" s="7"/>
      </tp>
      <tp t="s">
        <v>表示銘柄数超過</v>
        <stp/>
        <stp>Market</stp>
        <stp>STOCK</stp>
        <stp>28570.T</stp>
        <stp>年初来安値</stp>
        <tr r="Z207" s="7"/>
      </tp>
      <tp t="s">
        <v>表示銘柄数超過</v>
        <stp/>
        <stp>Market</stp>
        <stp>STOCK</stp>
        <stp>95570.T</stp>
        <stp>年初来安値</stp>
        <tr r="Z1156" s="7"/>
      </tp>
      <tp t="s">
        <v>表示銘柄数超過</v>
        <stp/>
        <stp>Market</stp>
        <stp>STOCK</stp>
        <stp>45540.T</stp>
        <stp>年初来安値</stp>
        <tr r="Z484" s="7"/>
      </tp>
      <tp>
        <v>345</v>
        <stp/>
        <stp>Market</stp>
        <stp>STOCK</stp>
        <stp>72540.T</stp>
        <stp>年初来安値</stp>
        <tr r="Z861" s="7"/>
      </tp>
      <tp>
        <v>592</v>
        <stp/>
        <stp>Market</stp>
        <stp>STOCK</stp>
        <stp>65540.T</stp>
        <stp>年初来安値</stp>
        <tr r="Z725" s="7"/>
      </tp>
      <tp>
        <v>1070</v>
        <stp/>
        <stp>Market</stp>
        <stp>STOCK</stp>
        <stp>66540.T</stp>
        <stp>年初来安値</stp>
        <tr r="Z747" s="7"/>
      </tp>
      <tp>
        <v>969.6</v>
        <stp/>
        <stp>Market</stp>
        <stp>STOCK</stp>
        <stp>67540.T</stp>
        <stp>年初来安値</stp>
        <tr r="Z766" s="7"/>
      </tp>
      <tp>
        <v>227</v>
        <stp/>
        <stp>Market</stp>
        <stp>STOCK</stp>
        <stp>60540.T</stp>
        <stp>年初来安値</stp>
        <tr r="Z646" s="7"/>
      </tp>
      <tp>
        <v>3603</v>
        <stp/>
        <stp>Market</stp>
        <stp>STOCK</stp>
        <stp>69540.T</stp>
        <stp>年初来安値</stp>
        <tr r="Z794" s="7"/>
      </tp>
      <tp t="s">
        <v>表示銘柄数超過</v>
        <stp/>
        <stp>Market</stp>
        <stp>STOCK</stp>
        <stp>34540.T</stp>
        <stp>年初来安値</stp>
        <tr r="Z300" s="7"/>
      </tp>
      <tp t="s">
        <v>表示銘柄数超過</v>
        <stp/>
        <stp>Market</stp>
        <stp>STOCK</stp>
        <stp>31540.T</stp>
        <stp>年初来安値</stp>
        <tr r="Z248" s="7"/>
      </tp>
      <tp t="s">
        <v>表示銘柄数超過</v>
        <stp/>
        <stp>Market</stp>
        <stp>STOCK</stp>
        <stp>21540.T</stp>
        <stp>年初来安値</stp>
        <tr r="Z96" s="7"/>
      </tp>
      <tp t="s">
        <v>表示銘柄数超過</v>
        <stp/>
        <stp>Market</stp>
        <stp>STOCK</stp>
        <stp>23540.T</stp>
        <stp>年初来安値</stp>
        <tr r="Z125" s="7"/>
      </tp>
      <tp t="s">
        <v>表示銘柄数超過</v>
        <stp/>
        <stp>Market</stp>
        <stp>STOCK</stp>
        <stp>92540.T</stp>
        <stp>年初来安値</stp>
        <tr r="Z1103" s="7"/>
      </tp>
      <tp t="s">
        <v>表示銘柄数超過</v>
        <stp/>
        <stp>Market</stp>
        <stp>STOCK</stp>
        <stp>98540.T</stp>
        <stp>年初来安値</stp>
        <tr r="Z1174" s="7"/>
      </tp>
      <tp>
        <v>63</v>
        <stp/>
        <stp>Market</stp>
        <stp>STOCK</stp>
        <stp>59550.T</stp>
        <stp>年初来安値</stp>
        <tr r="Z627" s="7"/>
      </tp>
      <tp t="s">
        <v>表示銘柄数超過</v>
        <stp/>
        <stp>Market</stp>
        <stp>STOCK</stp>
        <stp>47550.T</stp>
        <stp>年初来安値</stp>
        <tr r="Z529" s="7"/>
      </tp>
      <tp t="s">
        <v>表示銘柄数超過</v>
        <stp/>
        <stp>Market</stp>
        <stp>STOCK</stp>
        <stp>43550.T</stp>
        <stp>年初来安値</stp>
        <tr r="Z448" s="7"/>
      </tp>
      <tp>
        <v>252</v>
        <stp/>
        <stp>Market</stp>
        <stp>STOCK</stp>
        <stp>74550.T</stp>
        <stp>年初来安値</stp>
        <tr r="Z891" s="7"/>
      </tp>
      <tp>
        <v>617</v>
        <stp/>
        <stp>Market</stp>
        <stp>STOCK</stp>
        <stp>79550.T</stp>
        <stp>年初来安値</stp>
        <tr r="Z959" s="7"/>
      </tp>
      <tp>
        <v>553</v>
        <stp/>
        <stp>Market</stp>
        <stp>STOCK</stp>
        <stp>65550.T</stp>
        <stp>年初来安値</stp>
        <tr r="Z726" s="7"/>
      </tp>
      <tp>
        <v>436</v>
        <stp/>
        <stp>Market</stp>
        <stp>STOCK</stp>
        <stp>62550.T</stp>
        <stp>年初来安値</stp>
        <tr r="Z682" s="7"/>
      </tp>
      <tp>
        <v>649</v>
        <stp/>
        <stp>Market</stp>
        <stp>STOCK</stp>
        <stp>69550.T</stp>
        <stp>年初来安値</stp>
        <tr r="Z795" s="7"/>
      </tp>
      <tp t="s">
        <v>表示銘柄数超過</v>
        <stp/>
        <stp>Market</stp>
        <stp>STOCK</stp>
        <stp>16550.T</stp>
        <stp>年初来安値</stp>
        <tr r="Z39" s="7"/>
      </tp>
      <tp t="s">
        <v>表示銘柄数超過</v>
        <stp/>
        <stp>Market</stp>
        <stp>STOCK</stp>
        <stp>36550.T</stp>
        <stp>年初来安値</stp>
        <tr r="Z323" s="7"/>
      </tp>
      <tp t="s">
        <v>表示銘柄数超過</v>
        <stp/>
        <stp>Market</stp>
        <stp>STOCK</stp>
        <stp>33550.T</stp>
        <stp>年初来安値</stp>
        <tr r="Z284" s="7"/>
      </tp>
      <tp t="s">
        <v>表示銘柄数超過</v>
        <stp/>
        <stp>Market</stp>
        <stp>STOCK</stp>
        <stp>20550.T</stp>
        <stp>年初来安値</stp>
        <tr r="Z88" s="7"/>
      </tp>
      <tp>
        <v>242</v>
        <stp/>
        <stp>Market</stp>
        <stp>STOCK</stp>
        <stp>56580.T</stp>
        <stp>年初来安値</stp>
        <tr r="Z603" s="7"/>
      </tp>
      <tp t="s">
        <v>表示銘柄数超過</v>
        <stp/>
        <stp>Market</stp>
        <stp>STOCK</stp>
        <stp>45580.T</stp>
        <stp>年初来安値</stp>
        <tr r="Z485" s="7"/>
      </tp>
      <tp t="s">
        <v>表示銘柄数超過</v>
        <stp/>
        <stp>Market</stp>
        <stp>STOCK</stp>
        <stp>42580.T</stp>
        <stp>年初来安値</stp>
        <tr r="Z431" s="7"/>
      </tp>
      <tp>
        <v>450</v>
        <stp/>
        <stp>Market</stp>
        <stp>STOCK</stp>
        <stp>66580.T</stp>
        <stp>年初来安値</stp>
        <tr r="Z748" s="7"/>
      </tp>
      <tp>
        <v>10035</v>
        <stp/>
        <stp>Market</stp>
        <stp>STOCK</stp>
        <stp>67580.T</stp>
        <stp>年初来安値</stp>
        <tr r="Z767" s="7"/>
      </tp>
      <tp>
        <v>431</v>
        <stp/>
        <stp>Market</stp>
        <stp>STOCK</stp>
        <stp>69580.T</stp>
        <stp>年初来安値</stp>
        <tr r="Z796" s="7"/>
      </tp>
      <tp t="s">
        <v>表示銘柄数超過</v>
        <stp/>
        <stp>Market</stp>
        <stp>STOCK</stp>
        <stp>37580.T</stp>
        <stp>年初来安値</stp>
        <tr r="Z351" s="7"/>
      </tp>
      <tp t="s">
        <v>表示銘柄数超過</v>
        <stp/>
        <stp>Market</stp>
        <stp>STOCK</stp>
        <stp>33580.T</stp>
        <stp>年初来安値</stp>
        <tr r="Z285" s="7"/>
      </tp>
      <tp t="s">
        <v>表示銘柄数超過</v>
        <stp/>
        <stp>Market</stp>
        <stp>STOCK</stp>
        <stp>38580.T</stp>
        <stp>年初来安値</stp>
        <tr r="Z378" s="7"/>
      </tp>
      <tp t="s">
        <v>表示銘柄数超過</v>
        <stp/>
        <stp>Market</stp>
        <stp>STOCK</stp>
        <stp>21580.T</stp>
        <stp>年初来安値</stp>
        <tr r="Z97" s="7"/>
      </tp>
      <tp t="s">
        <v>表示銘柄数超過</v>
        <stp/>
        <stp>Market</stp>
        <stp>STOCK</stp>
        <stp>28580.T</stp>
        <stp>年初来安値</stp>
        <tr r="Z208" s="7"/>
      </tp>
      <tp>
        <v>2219</v>
        <stp/>
        <stp>Market</stp>
        <stp>STOCK</stp>
        <stp>80580.T</stp>
        <stp>年初来安値</stp>
        <tr r="Z972" s="7"/>
      </tp>
      <tp>
        <v>403</v>
        <stp/>
        <stp>Market</stp>
        <stp>STOCK</stp>
        <stp>83580.T</stp>
        <stp>年初来安値</stp>
        <tr r="Z1006" s="7"/>
      </tp>
      <tp>
        <v>925</v>
        <stp/>
        <stp>Market</stp>
        <stp>STOCK</stp>
        <stp>57590.T</stp>
        <stp>年初来安値</stp>
        <tr r="Z610" s="7"/>
      </tp>
      <tp t="s">
        <v>表示銘柄数超過</v>
        <stp/>
        <stp>Market</stp>
        <stp>STOCK</stp>
        <stp>40590.T</stp>
        <stp>年初来安値</stp>
        <tr r="Z414" s="7"/>
      </tp>
      <tp t="s">
        <v>表示銘柄数超過</v>
        <stp/>
        <stp>Market</stp>
        <stp>STOCK</stp>
        <stp>42590.T</stp>
        <stp>年初来安値</stp>
        <tr r="Z432" s="7"/>
      </tp>
      <tp>
        <v>1663</v>
        <stp/>
        <stp>Market</stp>
        <stp>STOCK</stp>
        <stp>74590.T</stp>
        <stp>年初来安値</stp>
        <tr r="Z892" s="7"/>
      </tp>
      <tp>
        <v>1059</v>
        <stp/>
        <stp>Market</stp>
        <stp>STOCK</stp>
        <stp>70590.T</stp>
        <stp>年初来安値</stp>
        <tr r="Z818" s="7"/>
      </tp>
      <tp>
        <v>656</v>
        <stp/>
        <stp>Market</stp>
        <stp>STOCK</stp>
        <stp>73590.T</stp>
        <stp>年初来安値</stp>
        <tr r="Z880" s="7"/>
      </tp>
      <tp>
        <v>334</v>
        <stp/>
        <stp>Market</stp>
        <stp>STOCK</stp>
        <stp>78590.T</stp>
        <stp>年初来安値</stp>
        <tr r="Z948" s="7"/>
      </tp>
      <tp>
        <v>34</v>
        <stp/>
        <stp>Market</stp>
        <stp>STOCK</stp>
        <stp>66590.T</stp>
        <stp>年初来安値</stp>
        <tr r="Z749" s="7"/>
      </tp>
      <tp>
        <v>260</v>
        <stp/>
        <stp>Market</stp>
        <stp>STOCK</stp>
        <stp>60590.T</stp>
        <stp>年初来安値</stp>
        <tr r="Z647" s="7"/>
      </tp>
      <tp t="s">
        <v>表示銘柄数超過</v>
        <stp/>
        <stp>Market</stp>
        <stp>STOCK</stp>
        <stp>14590.T</stp>
        <stp>年初来安値</stp>
        <tr r="Z26" s="7"/>
      </tp>
      <tp t="s">
        <v>表示銘柄数超過</v>
        <stp/>
        <stp>Market</stp>
        <stp>STOCK</stp>
        <stp>31590.T</stp>
        <stp>年初来安値</stp>
        <tr r="Z249" s="7"/>
      </tp>
      <tp t="s">
        <v>表示銘柄数超過</v>
        <stp/>
        <stp>Market</stp>
        <stp>STOCK</stp>
        <stp>33590.T</stp>
        <stp>年初来安値</stp>
        <tr r="Z286" s="7"/>
      </tp>
      <tp t="s">
        <v>表示銘柄数超過</v>
        <stp/>
        <stp>Market</stp>
        <stp>STOCK</stp>
        <stp>90590.T</stp>
        <stp>年初来安値</stp>
        <tr r="Z1089" s="7"/>
      </tp>
      <tp>
        <v>996</v>
        <stp/>
        <stp>Market</stp>
        <stp>STOCK</stp>
        <stp>73420.T</stp>
        <stp>年初来安値</stp>
        <tr r="Z876" s="7"/>
      </tp>
      <tp>
        <v>396</v>
        <stp/>
        <stp>Market</stp>
        <stp>STOCK</stp>
        <stp>67420.T</stp>
        <stp>年初来安値</stp>
        <tr r="Z761" s="7"/>
      </tp>
      <tp>
        <v>574</v>
        <stp/>
        <stp>Market</stp>
        <stp>STOCK</stp>
        <stp>69420.T</stp>
        <stp>年初来安値</stp>
        <tr r="Z792" s="7"/>
      </tp>
      <tp t="s">
        <v>表示銘柄数超過</v>
        <stp/>
        <stp>Market</stp>
        <stp>STOCK</stp>
        <stp>19420.T</stp>
        <stp>年初来安値</stp>
        <tr r="Z80" s="7"/>
      </tp>
      <tp t="s">
        <v>表示銘柄数超過</v>
        <stp/>
        <stp>Market</stp>
        <stp>STOCK</stp>
        <stp>32420.T</stp>
        <stp>年初来安値</stp>
        <tr r="Z263" s="7"/>
      </tp>
      <tp t="s">
        <v>表示銘柄数超過</v>
        <stp/>
        <stp>Market</stp>
        <stp>STOCK</stp>
        <stp>38420.T</stp>
        <stp>年初来安値</stp>
        <tr r="Z371" s="7"/>
      </tp>
      <tp t="s">
        <v>表示銘柄数超過</v>
        <stp/>
        <stp>Market</stp>
        <stp>STOCK</stp>
        <stp>22420.T</stp>
        <stp>年初来安値</stp>
        <tr r="Z108" s="7"/>
      </tp>
      <tp t="s">
        <v>表示銘柄数超過</v>
        <stp/>
        <stp>Market</stp>
        <stp>STOCK</stp>
        <stp>90420.T</stp>
        <stp>年初来安値</stp>
        <tr r="Z1086" s="7"/>
      </tp>
      <tp t="s">
        <v>表示銘柄数超過</v>
        <stp/>
        <stp>Market</stp>
        <stp>STOCK</stp>
        <stp>91420.T</stp>
        <stp>年初来安値</stp>
        <tr r="Z1098" s="7"/>
      </tp>
      <tp t="s">
        <v>表示銘柄数超過</v>
        <stp/>
        <stp>Market</stp>
        <stp>STOCK</stp>
        <stp>98420.T</stp>
        <stp>年初来安値</stp>
        <tr r="Z1172" s="7"/>
      </tp>
      <tp>
        <v>218</v>
        <stp/>
        <stp>Market</stp>
        <stp>STOCK</stp>
        <stp>87420.T</stp>
        <stp>年初来安値</stp>
        <tr r="Z1042" s="7"/>
      </tp>
      <tp>
        <v>1154</v>
        <stp/>
        <stp>Market</stp>
        <stp>STOCK</stp>
        <stp>82420.T</stp>
        <stp>年初来安値</stp>
        <tr r="Z996" s="7"/>
      </tp>
      <tp>
        <v>401</v>
        <stp/>
        <stp>Market</stp>
        <stp>STOCK</stp>
        <stp>52430.T</stp>
        <stp>年初来安値</stp>
        <tr r="Z577" s="7"/>
      </tp>
      <tp t="s">
        <v>表示銘柄数超過</v>
        <stp/>
        <stp>Market</stp>
        <stp>STOCK</stp>
        <stp>42430.T</stp>
        <stp>年初来安値</stp>
        <tr r="Z430" s="7"/>
      </tp>
      <tp t="s">
        <v>表示銘柄数超過</v>
        <stp/>
        <stp>Market</stp>
        <stp>STOCK</stp>
        <stp>43430.T</stp>
        <stp>年初来安値</stp>
        <tr r="Z445" s="7"/>
      </tp>
      <tp>
        <v>624</v>
        <stp/>
        <stp>Market</stp>
        <stp>STOCK</stp>
        <stp>70430.T</stp>
        <stp>年初来安値</stp>
        <tr r="Z813" s="7"/>
      </tp>
      <tp>
        <v>536</v>
        <stp/>
        <stp>Market</stp>
        <stp>STOCK</stp>
        <stp>65430.T</stp>
        <stp>年初来安値</stp>
        <tr r="Z721" s="7"/>
      </tp>
      <tp>
        <v>100</v>
        <stp/>
        <stp>Market</stp>
        <stp>STOCK</stp>
        <stp>63430.T</stp>
        <stp>年初来安値</stp>
        <tr r="Z691" s="7"/>
      </tp>
      <tp t="s">
        <v>表示銘柄数超過</v>
        <stp/>
        <stp>Market</stp>
        <stp>STOCK</stp>
        <stp>17430.T</stp>
        <stp>年初来安値</stp>
        <tr r="Z53" s="7"/>
      </tp>
      <tp t="s">
        <v>表示銘柄数超過</v>
        <stp/>
        <stp>Market</stp>
        <stp>STOCK</stp>
        <stp>35430.T</stp>
        <stp>年初来安値</stp>
        <tr r="Z306" s="7"/>
      </tp>
      <tp t="s">
        <v>表示銘柄数超過</v>
        <stp/>
        <stp>Market</stp>
        <stp>STOCK</stp>
        <stp>27430.T</stp>
        <stp>年初来安値</stp>
        <tr r="Z191" s="7"/>
      </tp>
      <tp>
        <v>268</v>
        <stp/>
        <stp>Market</stp>
        <stp>STOCK</stp>
        <stp>81430.T</stp>
        <stp>年初来安値</stp>
        <tr r="Z983" s="7"/>
      </tp>
      <tp>
        <v>65</v>
        <stp/>
        <stp>Market</stp>
        <stp>STOCK</stp>
        <stp>59400.T</stp>
        <stp>年初来安値</stp>
        <tr r="Z622" s="7"/>
      </tp>
      <tp>
        <v>155</v>
        <stp/>
        <stp>Market</stp>
        <stp>STOCK</stp>
        <stp>76400.T</stp>
        <stp>年初来安値</stp>
        <tr r="Z917" s="7"/>
      </tp>
      <tp>
        <v>1139</v>
        <stp/>
        <stp>Market</stp>
        <stp>STOCK</stp>
        <stp>72400.T</stp>
        <stp>年初来安値</stp>
        <tr r="Z857" s="7"/>
      </tp>
      <tp>
        <v>552</v>
        <stp/>
        <stp>Market</stp>
        <stp>STOCK</stp>
        <stp>79400.T</stp>
        <stp>年初来安値</stp>
        <tr r="Z957" s="7"/>
      </tp>
      <tp>
        <v>433</v>
        <stp/>
        <stp>Market</stp>
        <stp>STOCK</stp>
        <stp>64400.T</stp>
        <stp>年初来安値</stp>
        <tr r="Z702" s="7"/>
      </tp>
      <tp>
        <v>1084</v>
        <stp/>
        <stp>Market</stp>
        <stp>STOCK</stp>
        <stp>66400.T</stp>
        <stp>年初来安値</stp>
        <tr r="Z745" s="7"/>
      </tp>
      <tp>
        <v>16</v>
        <stp/>
        <stp>Market</stp>
        <stp>STOCK</stp>
        <stp>67400.T</stp>
        <stp>年初来安値</stp>
        <tr r="Z759" s="7"/>
      </tp>
      <tp>
        <v>661</v>
        <stp/>
        <stp>Market</stp>
        <stp>STOCK</stp>
        <stp>61400.T</stp>
        <stp>年初来安値</stp>
        <tr r="Z658" s="7"/>
      </tp>
      <tp>
        <v>288</v>
        <stp/>
        <stp>Market</stp>
        <stp>STOCK</stp>
        <stp>62400.T</stp>
        <stp>年初来安値</stp>
        <tr r="Z681" s="7"/>
      </tp>
      <tp>
        <v>373</v>
        <stp/>
        <stp>Market</stp>
        <stp>STOCK</stp>
        <stp>68400.T</stp>
        <stp>年初来安値</stp>
        <tr r="Z777" s="7"/>
      </tp>
      <tp t="s">
        <v>表示銘柄数超過</v>
        <stp/>
        <stp>Market</stp>
        <stp>STOCK</stp>
        <stp>18400.T</stp>
        <stp>年初来安値</stp>
        <tr r="Z65" s="7"/>
      </tp>
      <tp t="s">
        <v>表示銘柄数超過</v>
        <stp/>
        <stp>Market</stp>
        <stp>STOCK</stp>
        <stp>38400.T</stp>
        <stp>年初来安値</stp>
        <tr r="Z370" s="7"/>
      </tp>
      <tp t="s">
        <v>表示銘柄数超過</v>
        <stp/>
        <stp>Market</stp>
        <stp>STOCK</stp>
        <stp>39400.T</stp>
        <stp>年初来安値</stp>
        <tr r="Z399" s="7"/>
      </tp>
      <tp t="s">
        <v>表示銘柄数超過</v>
        <stp/>
        <stp>Market</stp>
        <stp>STOCK</stp>
        <stp>23400.T</stp>
        <stp>年初来安値</stp>
        <tr r="Z119" s="7"/>
      </tp>
      <tp>
        <v>389</v>
        <stp/>
        <stp>Market</stp>
        <stp>STOCK</stp>
        <stp>53410.T</stp>
        <stp>年初来安値</stp>
        <tr r="Z587" s="7"/>
      </tp>
      <tp t="s">
        <v>表示銘柄数超過</v>
        <stp/>
        <stp>Market</stp>
        <stp>STOCK</stp>
        <stp>44410.T</stp>
        <stp>年初来安値</stp>
        <tr r="Z466" s="7"/>
      </tp>
      <tp t="s">
        <v>表示銘柄数超過</v>
        <stp/>
        <stp>Market</stp>
        <stp>STOCK</stp>
        <stp>42410.T</stp>
        <stp>年初来安値</stp>
        <tr r="Z429" s="7"/>
      </tp>
      <tp>
        <v>448</v>
        <stp/>
        <stp>Market</stp>
        <stp>STOCK</stp>
        <stp>70410.T</stp>
        <stp>年初来安値</stp>
        <tr r="Z812" s="7"/>
      </tp>
      <tp>
        <v>893</v>
        <stp/>
        <stp>Market</stp>
        <stp>STOCK</stp>
        <stp>67410.T</stp>
        <stp>年初来安値</stp>
        <tr r="Z760" s="7"/>
      </tp>
      <tp>
        <v>1668</v>
        <stp/>
        <stp>Market</stp>
        <stp>STOCK</stp>
        <stp>69410.T</stp>
        <stp>年初来安値</stp>
        <tr r="Z791" s="7"/>
      </tp>
      <tp t="s">
        <v>表示銘柄数超過</v>
        <stp/>
        <stp>Market</stp>
        <stp>STOCK</stp>
        <stp>19410.T</stp>
        <stp>年初来安値</stp>
        <tr r="Z79" s="7"/>
      </tp>
      <tp t="s">
        <v>表示銘柄数超過</v>
        <stp/>
        <stp>Market</stp>
        <stp>STOCK</stp>
        <stp>35410.T</stp>
        <stp>年初来安値</stp>
        <tr r="Z305" s="7"/>
      </tp>
      <tp t="s">
        <v>表示銘柄数超過</v>
        <stp/>
        <stp>Market</stp>
        <stp>STOCK</stp>
        <stp>37410.T</stp>
        <stp>年初来安値</stp>
        <tr r="Z349" s="7"/>
      </tp>
      <tp t="s">
        <v>表示銘柄数超過</v>
        <stp/>
        <stp>Market</stp>
        <stp>STOCK</stp>
        <stp>30410.T</stp>
        <stp>年初来安値</stp>
        <tr r="Z231" s="7"/>
      </tp>
      <tp t="s">
        <v>表示銘柄数超過</v>
        <stp/>
        <stp>Market</stp>
        <stp>STOCK</stp>
        <stp>31410.T</stp>
        <stp>年初来安値</stp>
        <tr r="Z247" s="7"/>
      </tp>
      <tp t="s">
        <v>表示銘柄数超過</v>
        <stp/>
        <stp>Market</stp>
        <stp>STOCK</stp>
        <stp>32410.T</stp>
        <stp>年初来安値</stp>
        <tr r="Z262" s="7"/>
      </tp>
      <tp t="s">
        <v>表示銘柄数超過</v>
        <stp/>
        <stp>Market</stp>
        <stp>STOCK</stp>
        <stp>33410.T</stp>
        <stp>年初来安値</stp>
        <tr r="Z282" s="7"/>
      </tp>
      <tp t="s">
        <v>表示銘柄数超過</v>
        <stp/>
        <stp>Market</stp>
        <stp>STOCK</stp>
        <stp>22410.T</stp>
        <stp>年初来安値</stp>
        <tr r="Z107" s="7"/>
      </tp>
      <tp t="s">
        <v>表示銘柄数超過</v>
        <stp/>
        <stp>Market</stp>
        <stp>STOCK</stp>
        <stp>23410.T</stp>
        <stp>年初来安値</stp>
        <tr r="Z120" s="7"/>
      </tp>
      <tp t="s">
        <v>表示銘柄数超過</v>
        <stp/>
        <stp>Market</stp>
        <stp>STOCK</stp>
        <stp>90410.T</stp>
        <stp>年初来安値</stp>
        <tr r="Z1085" s="7"/>
      </tp>
      <tp t="s">
        <v>表示銘柄数超過</v>
        <stp/>
        <stp>Market</stp>
        <stp>STOCK</stp>
        <stp>92410.T</stp>
        <stp>年初来安値</stp>
        <tr r="Z1100" s="7"/>
      </tp>
      <tp t="s">
        <v>表示銘柄数超過</v>
        <stp/>
        <stp>Market</stp>
        <stp>STOCK</stp>
        <stp>88410.T</stp>
        <stp>年初来安値</stp>
        <tr r="Z1055" s="7"/>
      </tp>
      <tp>
        <v>316</v>
        <stp/>
        <stp>Market</stp>
        <stp>STOCK</stp>
        <stp>52460.T</stp>
        <stp>年初来安値</stp>
        <tr r="Z579" s="7"/>
      </tp>
      <tp t="s">
        <v>表示銘柄数超過</v>
        <stp/>
        <stp>Market</stp>
        <stp>STOCK</stp>
        <stp>43460.T</stp>
        <stp>年初来安値</stp>
        <tr r="Z446" s="7"/>
      </tp>
      <tp>
        <v>410</v>
        <stp/>
        <stp>Market</stp>
        <stp>STOCK</stp>
        <stp>72460.T</stp>
        <stp>年初来安値</stp>
        <tr r="Z859" s="7"/>
      </tp>
      <tp>
        <v>167</v>
        <stp/>
        <stp>Market</stp>
        <stp>STOCK</stp>
        <stp>60460.T</stp>
        <stp>年初来安値</stp>
        <tr r="Z642" s="7"/>
      </tp>
      <tp>
        <v>13800</v>
        <stp/>
        <stp>Market</stp>
        <stp>STOCK</stp>
        <stp>61460.T</stp>
        <stp>年初来安値</stp>
        <tr r="Z659" s="7"/>
      </tp>
      <tp t="s">
        <v>表示銘柄数超過</v>
        <stp/>
        <stp>Market</stp>
        <stp>STOCK</stp>
        <stp>99460.T</stp>
        <stp>年初来安値</stp>
        <tr r="Z1184" s="7"/>
      </tp>
      <tp>
        <v>77</v>
        <stp/>
        <stp>Market</stp>
        <stp>STOCK</stp>
        <stp>87460.T</stp>
        <stp>年初来安値</stp>
        <tr r="Z1043" s="7"/>
      </tp>
      <tp t="s">
        <v>表示銘柄数超過</v>
        <stp/>
        <stp>Market</stp>
        <stp>STOCK</stp>
        <stp>89460.T</stp>
        <stp>年初来安値</stp>
        <tr r="Z1071" s="7"/>
      </tp>
      <tp>
        <v>2636</v>
        <stp/>
        <stp>Market</stp>
        <stp>STOCK</stp>
        <stp>59470.T</stp>
        <stp>年初来安値</stp>
        <tr r="Z623" s="7"/>
      </tp>
      <tp t="s">
        <v>表示銘柄数超過</v>
        <stp/>
        <stp>Market</stp>
        <stp>STOCK</stp>
        <stp>48470.T</stp>
        <stp>年初来安値</stp>
        <tr r="Z544" s="7"/>
      </tp>
      <tp>
        <v>25</v>
        <stp/>
        <stp>Market</stp>
        <stp>STOCK</stp>
        <stp>76470.T</stp>
        <stp>年初来安値</stp>
        <tr r="Z918" s="7"/>
      </tp>
      <tp>
        <v>1031</v>
        <stp/>
        <stp>Market</stp>
        <stp>STOCK</stp>
        <stp>70470.T</stp>
        <stp>年初来安値</stp>
        <tr r="Z815" s="7"/>
      </tp>
      <tp>
        <v>309</v>
        <stp/>
        <stp>Market</stp>
        <stp>STOCK</stp>
        <stp>72470.T</stp>
        <stp>年初来安値</stp>
        <tr r="Z860" s="7"/>
      </tp>
      <tp>
        <v>531</v>
        <stp/>
        <stp>Market</stp>
        <stp>STOCK</stp>
        <stp>60470.T</stp>
        <stp>年初来安値</stp>
        <tr r="Z643" s="7"/>
      </tp>
      <tp>
        <v>208</v>
        <stp/>
        <stp>Market</stp>
        <stp>STOCK</stp>
        <stp>63470.T</stp>
        <stp>年初来安値</stp>
        <tr r="Z692" s="7"/>
      </tp>
      <tp t="s">
        <v>表示銘柄数超過</v>
        <stp/>
        <stp>Market</stp>
        <stp>STOCK</stp>
        <stp>36470.T</stp>
        <stp>年初来安値</stp>
        <tr r="Z320" s="7"/>
      </tp>
      <tp t="s">
        <v>表示銘柄数超過</v>
        <stp/>
        <stp>Market</stp>
        <stp>STOCK</stp>
        <stp>37470.T</stp>
        <stp>年初来安値</stp>
        <tr r="Z350" s="7"/>
      </tp>
      <tp t="s">
        <v>表示銘柄数超過</v>
        <stp/>
        <stp>Market</stp>
        <stp>STOCK</stp>
        <stp>92470.T</stp>
        <stp>年初来安値</stp>
        <tr r="Z1101" s="7"/>
      </tp>
      <tp>
        <v>397</v>
        <stp/>
        <stp>Market</stp>
        <stp>STOCK</stp>
        <stp>82470.T</stp>
        <stp>年初来安値</stp>
        <tr r="Z998" s="7"/>
      </tp>
      <tp>
        <v>254</v>
        <stp/>
        <stp>Market</stp>
        <stp>STOCK</stp>
        <stp>52440.T</stp>
        <stp>年初来安値</stp>
        <tr r="Z578" s="7"/>
      </tp>
      <tp t="s">
        <v>表示銘柄数超過</v>
        <stp/>
        <stp>Market</stp>
        <stp>STOCK</stp>
        <stp>44440.T</stp>
        <stp>年初来安値</stp>
        <tr r="Z467" s="7"/>
      </tp>
      <tp>
        <v>279</v>
        <stp/>
        <stp>Market</stp>
        <stp>STOCK</stp>
        <stp>75440.T</stp>
        <stp>年初来安値</stp>
        <tr r="Z903" s="7"/>
      </tp>
      <tp>
        <v>270</v>
        <stp/>
        <stp>Market</stp>
        <stp>STOCK</stp>
        <stp>70440.T</stp>
        <stp>年初来安値</stp>
        <tr r="Z814" s="7"/>
      </tp>
      <tp>
        <v>656</v>
        <stp/>
        <stp>Market</stp>
        <stp>STOCK</stp>
        <stp>78440.T</stp>
        <stp>年初来安値</stp>
        <tr r="Z945" s="7"/>
      </tp>
      <tp>
        <v>145</v>
        <stp/>
        <stp>Market</stp>
        <stp>STOCK</stp>
        <stp>64440.T</stp>
        <stp>年初来安値</stp>
        <tr r="Z703" s="7"/>
      </tp>
      <tp>
        <v>506</v>
        <stp/>
        <stp>Market</stp>
        <stp>STOCK</stp>
        <stp>66440.T</stp>
        <stp>年初来安値</stp>
        <tr r="Z746" s="7"/>
      </tp>
      <tp>
        <v>862</v>
        <stp/>
        <stp>Market</stp>
        <stp>STOCK</stp>
        <stp>60440.T</stp>
        <stp>年初来安値</stp>
        <tr r="Z641" s="7"/>
      </tp>
      <tp t="s">
        <v>表示銘柄数超過</v>
        <stp/>
        <stp>Market</stp>
        <stp>STOCK</stp>
        <stp>18440.T</stp>
        <stp>年初来安値</stp>
        <tr r="Z66" s="7"/>
      </tp>
      <tp t="s">
        <v>表示銘柄数超過</v>
        <stp/>
        <stp>Market</stp>
        <stp>STOCK</stp>
        <stp>32440.T</stp>
        <stp>年初来安値</stp>
        <tr r="Z264" s="7"/>
      </tp>
      <tp t="s">
        <v>表示銘柄数超過</v>
        <stp/>
        <stp>Market</stp>
        <stp>STOCK</stp>
        <stp>23440.T</stp>
        <stp>年初来安値</stp>
        <tr r="Z121" s="7"/>
      </tp>
      <tp t="s">
        <v>表示銘柄数超過</v>
        <stp/>
        <stp>Market</stp>
        <stp>STOCK</stp>
        <stp>94440.T</stp>
        <stp>年初来安値</stp>
        <tr r="Z1132" s="7"/>
      </tp>
      <tp t="s">
        <v>表示銘柄数超過</v>
        <stp/>
        <stp>Market</stp>
        <stp>STOCK</stp>
        <stp>90440.T</stp>
        <stp>年初来安値</stp>
        <tr r="Z1087" s="7"/>
      </tp>
      <tp>
        <v>2328</v>
        <stp/>
        <stp>Market</stp>
        <stp>STOCK</stp>
        <stp>82440.T</stp>
        <stp>年初来安値</stp>
        <tr r="Z997" s="7"/>
      </tp>
      <tp t="s">
        <v>表示銘柄数超過</v>
        <stp/>
        <stp>Market</stp>
        <stp>STOCK</stp>
        <stp>88440.T</stp>
        <stp>年初来安値</stp>
        <tr r="Z1056" s="7"/>
      </tp>
      <tp t="s">
        <v>表示銘柄数超過</v>
        <stp/>
        <stp>Market</stp>
        <stp>STOCK</stp>
        <stp>89440.T</stp>
        <stp>年初来安値</stp>
        <tr r="Z1069" s="7"/>
      </tp>
      <tp>
        <v>409</v>
        <stp/>
        <stp>Market</stp>
        <stp>STOCK</stp>
        <stp>74450.T</stp>
        <stp>年初来安値</stp>
        <tr r="Z889" s="7"/>
      </tp>
      <tp>
        <v>974</v>
        <stp/>
        <stp>Market</stp>
        <stp>STOCK</stp>
        <stp>77450.T</stp>
        <stp>年初来安値</stp>
        <tr r="Z927" s="7"/>
      </tp>
      <tp>
        <v>461</v>
        <stp/>
        <stp>Market</stp>
        <stp>STOCK</stp>
        <stp>72450.T</stp>
        <stp>年初来安値</stp>
        <tr r="Z858" s="7"/>
      </tp>
      <tp>
        <v>341</v>
        <stp/>
        <stp>Market</stp>
        <stp>STOCK</stp>
        <stp>65450.T</stp>
        <stp>年初来安値</stp>
        <tr r="Z722" s="7"/>
      </tp>
      <tp t="s">
        <v>表示銘柄数超過</v>
        <stp/>
        <stp>Market</stp>
        <stp>STOCK</stp>
        <stp>13450.T</stp>
        <stp>年初来安値</stp>
        <tr r="Z10" s="7"/>
      </tp>
      <tp t="s">
        <v>表示銘柄数超過</v>
        <stp/>
        <stp>Market</stp>
        <stp>STOCK</stp>
        <stp>36450.T</stp>
        <stp>年初来安値</stp>
        <tr r="Z319" s="7"/>
      </tp>
      <tp t="s">
        <v>表示銘柄数超過</v>
        <stp/>
        <stp>Market</stp>
        <stp>STOCK</stp>
        <stp>38450.T</stp>
        <stp>年初来安値</stp>
        <tr r="Z372" s="7"/>
      </tp>
      <tp t="s">
        <v>表示銘柄数超過</v>
        <stp/>
        <stp>Market</stp>
        <stp>STOCK</stp>
        <stp>24450.T</stp>
        <stp>年初来安値</stp>
        <tr r="Z145" s="7"/>
      </tp>
      <tp t="s">
        <v>表示銘柄数超過</v>
        <stp/>
        <stp>Market</stp>
        <stp>STOCK</stp>
        <stp>23450.T</stp>
        <stp>年初来安値</stp>
        <tr r="Z122" s="7"/>
      </tp>
      <tp t="s">
        <v>表示銘柄数超過</v>
        <stp/>
        <stp>Market</stp>
        <stp>STOCK</stp>
        <stp>28450.T</stp>
        <stp>年初来安値</stp>
        <tr r="Z202" s="7"/>
      </tp>
      <tp t="s">
        <v>表示銘柄数超過</v>
        <stp/>
        <stp>Market</stp>
        <stp>STOCK</stp>
        <stp>89450.T</stp>
        <stp>年初来安値</stp>
        <tr r="Z1070" s="7"/>
      </tp>
      <tp t="s">
        <v>表示銘柄数超過</v>
        <stp/>
        <stp>Market</stp>
        <stp>STOCK</stp>
        <stp>44480.T</stp>
        <stp>年初来安値</stp>
        <tr r="Z468" s="7"/>
      </tp>
      <tp>
        <v>324</v>
        <stp/>
        <stp>Market</stp>
        <stp>STOCK</stp>
        <stp>70480.T</stp>
        <stp>年初来安値</stp>
        <tr r="Z816" s="7"/>
      </tp>
      <tp>
        <v>1017</v>
        <stp/>
        <stp>Market</stp>
        <stp>STOCK</stp>
        <stp>71480.T</stp>
        <stp>年初来安値</stp>
        <tr r="Z830" s="7"/>
      </tp>
      <tp>
        <v>426</v>
        <stp/>
        <stp>Market</stp>
        <stp>STOCK</stp>
        <stp>67480.T</stp>
        <stp>年初来安値</stp>
        <tr r="Z762" s="7"/>
      </tp>
      <tp>
        <v>122</v>
        <stp/>
        <stp>Market</stp>
        <stp>STOCK</stp>
        <stp>60480.T</stp>
        <stp>年初来安値</stp>
        <tr r="Z644" s="7"/>
      </tp>
      <tp t="s">
        <v>表示銘柄数超過</v>
        <stp/>
        <stp>Market</stp>
        <stp>STOCK</stp>
        <stp>18480.T</stp>
        <stp>年初来安値</stp>
        <tr r="Z67" s="7"/>
      </tp>
      <tp t="s">
        <v>表示銘柄数超過</v>
        <stp/>
        <stp>Market</stp>
        <stp>STOCK</stp>
        <stp>90480.T</stp>
        <stp>年初来安値</stp>
        <tr r="Z1088" s="7"/>
      </tp>
      <tp t="s">
        <v>表示銘柄数超過</v>
        <stp/>
        <stp>Market</stp>
        <stp>STOCK</stp>
        <stp>92480.T</stp>
        <stp>年初来安値</stp>
        <tr r="Z1102" s="7"/>
      </tp>
      <tp>
        <v>1132</v>
        <stp/>
        <stp>Market</stp>
        <stp>STOCK</stp>
        <stp>54490.T</stp>
        <stp>年初来安値</stp>
        <tr r="Z596" s="7"/>
      </tp>
      <tp>
        <v>712</v>
        <stp/>
        <stp>Market</stp>
        <stp>STOCK</stp>
        <stp>59490.T</stp>
        <stp>年初来安値</stp>
        <tr r="Z624" s="7"/>
      </tp>
      <tp>
        <v>453</v>
        <stp/>
        <stp>Market</stp>
        <stp>STOCK</stp>
        <stp>70490.T</stp>
        <stp>年初来安値</stp>
        <tr r="Z817" s="7"/>
      </tp>
      <tp>
        <v>259</v>
        <stp/>
        <stp>Market</stp>
        <stp>STOCK</stp>
        <stp>60490.T</stp>
        <stp>年初来安値</stp>
        <tr r="Z645" s="7"/>
      </tp>
      <tp t="s">
        <v>表示銘柄数超過</v>
        <stp/>
        <stp>Market</stp>
        <stp>STOCK</stp>
        <stp>36490.T</stp>
        <stp>年初来安値</stp>
        <tr r="Z321" s="7"/>
      </tp>
      <tp t="s">
        <v>表示銘柄数超過</v>
        <stp/>
        <stp>Market</stp>
        <stp>STOCK</stp>
        <stp>27490.T</stp>
        <stp>年初来安値</stp>
        <tr r="Z192" s="7"/>
      </tp>
      <tp>
        <v>3330</v>
        <stp/>
        <stp>Market</stp>
        <stp>STOCK</stp>
        <stp>51920.T</stp>
        <stp>年初来安値</stp>
        <tr r="Z574" s="7"/>
      </tp>
      <tp t="s">
        <v>表示銘柄数超過</v>
        <stp/>
        <stp>Market</stp>
        <stp>STOCK</stp>
        <stp>44920.T</stp>
        <stp>年初来安値</stp>
        <tr r="Z477" s="7"/>
      </tp>
      <tp t="s">
        <v>表示銘柄数超過</v>
        <stp/>
        <stp>Market</stp>
        <stp>STOCK</stp>
        <stp>45920.T</stp>
        <stp>年初来安値</stp>
        <tr r="Z503" s="7"/>
      </tp>
      <tp t="s">
        <v>表示銘柄数超過</v>
        <stp/>
        <stp>Market</stp>
        <stp>STOCK</stp>
        <stp>41920.T</stp>
        <stp>年初来安値</stp>
        <tr r="Z424" s="7"/>
      </tp>
      <tp t="s">
        <v>表示銘柄数超過</v>
        <stp/>
        <stp>Market</stp>
        <stp>STOCK</stp>
        <stp>48920.T</stp>
        <stp>年初来安値</stp>
        <tr r="Z550" s="7"/>
      </tp>
      <tp>
        <v>62</v>
        <stp/>
        <stp>Market</stp>
        <stp>STOCK</stp>
        <stp>76920.T</stp>
        <stp>年初来安値</stp>
        <tr r="Z920" s="7"/>
      </tp>
      <tp>
        <v>770</v>
        <stp/>
        <stp>Market</stp>
        <stp>STOCK</stp>
        <stp>77920.T</stp>
        <stp>年初来安値</stp>
        <tr r="Z935" s="7"/>
      </tp>
      <tp>
        <v>557</v>
        <stp/>
        <stp>Market</stp>
        <stp>STOCK</stp>
        <stp>60920.T</stp>
        <stp>年初来安値</stp>
        <tr r="Z651" s="7"/>
      </tp>
      <tp t="s">
        <v/>
        <stp/>
        <stp>Market</stp>
        <stp>STOCK</stp>
        <stp>61920.T</stp>
        <stp>年初来安値</stp>
        <tr r="Z674" s="7"/>
      </tp>
      <tp t="s">
        <v>表示銘柄数超過</v>
        <stp/>
        <stp>Market</stp>
        <stp>STOCK</stp>
        <stp>31920.T</stp>
        <stp>年初来安値</stp>
        <tr r="Z256" s="7"/>
      </tp>
      <tp t="s">
        <v>表示銘柄数超過</v>
        <stp/>
        <stp>Market</stp>
        <stp>STOCK</stp>
        <stp>33920.T</stp>
        <stp>年初来安値</stp>
        <tr r="Z293" s="7"/>
      </tp>
      <tp t="s">
        <v>表示銘柄数超過</v>
        <stp/>
        <stp>Market</stp>
        <stp>STOCK</stp>
        <stp>39920.T</stp>
        <stp>年初来安値</stp>
        <tr r="Z406" s="7"/>
      </tp>
      <tp t="s">
        <v>表示銘柄数超過</v>
        <stp/>
        <stp>Market</stp>
        <stp>STOCK</stp>
        <stp>24920.T</stp>
        <stp>年初来安値</stp>
        <tr r="Z154" s="7"/>
      </tp>
      <tp t="s">
        <v>表示銘柄数超過</v>
        <stp/>
        <stp>Market</stp>
        <stp>STOCK</stp>
        <stp>45930.T</stp>
        <stp>年初来安値</stp>
        <tr r="Z504" s="7"/>
      </tp>
      <tp t="s">
        <v>表示銘柄数超過</v>
        <stp/>
        <stp>Market</stp>
        <stp>STOCK</stp>
        <stp>42930.T</stp>
        <stp>年初来安値</stp>
        <tr r="Z439" s="7"/>
      </tp>
      <tp t="s">
        <v>表示銘柄数超過</v>
        <stp/>
        <stp>Market</stp>
        <stp>STOCK</stp>
        <stp>25935.T</stp>
        <stp>年初来安値</stp>
        <tr r="Z167" s="7"/>
      </tp>
      <tp>
        <v>464</v>
        <stp/>
        <stp>Market</stp>
        <stp>STOCK</stp>
        <stp>75930.T</stp>
        <stp>年初来安値</stp>
        <tr r="Z908" s="7"/>
      </tp>
      <tp>
        <v>243</v>
        <stp/>
        <stp>Market</stp>
        <stp>STOCK</stp>
        <stp>64930.T</stp>
        <stp>年初来安値</stp>
        <tr r="Z709" s="7"/>
      </tp>
      <tp>
        <v>135</v>
        <stp/>
        <stp>Market</stp>
        <stp>STOCK</stp>
        <stp>60930.T</stp>
        <stp>年初来安値</stp>
        <tr r="Z652" s="7"/>
      </tp>
      <tp>
        <v>39</v>
        <stp/>
        <stp>Market</stp>
        <stp>STOCK</stp>
        <stp>69930.T</stp>
        <stp>年初来安値</stp>
        <tr r="Z801" s="7"/>
      </tp>
      <tp t="s">
        <v>表示銘柄数超過</v>
        <stp/>
        <stp>Market</stp>
        <stp>STOCK</stp>
        <stp>18930.T</stp>
        <stp>年初来安値</stp>
        <tr r="Z70" s="7"/>
      </tp>
      <tp t="s">
        <v>表示銘柄数超過</v>
        <stp/>
        <stp>Market</stp>
        <stp>STOCK</stp>
        <stp>37930.T</stp>
        <stp>年初来安値</stp>
        <tr r="Z360" s="7"/>
      </tp>
      <tp t="s">
        <v>表示銘柄数超過</v>
        <stp/>
        <stp>Market</stp>
        <stp>STOCK</stp>
        <stp>26930.T</stp>
        <stp>年初来安値</stp>
        <tr r="Z183" s="7"/>
      </tp>
      <tp t="s">
        <v>表示銘柄数超過</v>
        <stp/>
        <stp>Market</stp>
        <stp>STOCK</stp>
        <stp>29930.T</stp>
        <stp>年初来安値</stp>
        <tr r="Z219" s="7"/>
      </tp>
      <tp>
        <v>635</v>
        <stp/>
        <stp>Market</stp>
        <stp>STOCK</stp>
        <stp>85930.T</stp>
        <stp>年初来安値</stp>
        <tr r="Z1024" s="7"/>
      </tp>
      <tp t="s">
        <v>表示銘柄数超過</v>
        <stp/>
        <stp>Market</stp>
        <stp>STOCK</stp>
        <stp>87930.T</stp>
        <stp>年初来安値</stp>
        <tr r="Z1049" s="7"/>
      </tp>
      <tp t="s">
        <v>表示銘柄数超過</v>
        <stp/>
        <stp>Market</stp>
        <stp>STOCK</stp>
        <stp>88930.T</stp>
        <stp>年初来安値</stp>
        <tr r="Z1059" s="7"/>
      </tp>
      <tp t="s">
        <v>表示銘柄数超過</v>
        <stp/>
        <stp>Market</stp>
        <stp>STOCK</stp>
        <stp>46900.T</stp>
        <stp>年初来安値</stp>
        <tr r="Z521" s="7"/>
      </tp>
      <tp t="s">
        <v>表示銘柄数超過</v>
        <stp/>
        <stp>Market</stp>
        <stp>STOCK</stp>
        <stp>48900.T</stp>
        <stp>年初来安値</stp>
        <tr r="Z548" s="7"/>
      </tp>
      <tp>
        <v>476</v>
        <stp/>
        <stp>Market</stp>
        <stp>STOCK</stp>
        <stp>75900.T</stp>
        <stp>年初来安値</stp>
        <tr r="Z907" s="7"/>
      </tp>
      <tp>
        <v>442</v>
        <stp/>
        <stp>Market</stp>
        <stp>STOCK</stp>
        <stp>61900.T</stp>
        <stp>年初来安値</stp>
        <tr r="Z673" s="7"/>
      </tp>
      <tp>
        <v>690</v>
        <stp/>
        <stp>Market</stp>
        <stp>STOCK</stp>
        <stp>63900.T</stp>
        <stp>年初来安値</stp>
        <tr r="Z698" s="7"/>
      </tp>
      <tp t="s">
        <v>表示銘柄数超過</v>
        <stp/>
        <stp>Market</stp>
        <stp>STOCK</stp>
        <stp>39900.T</stp>
        <stp>年初来安値</stp>
        <tr r="Z405" s="7"/>
      </tp>
      <tp t="s">
        <v>表示銘柄数超過</v>
        <stp/>
        <stp>Market</stp>
        <stp>STOCK</stp>
        <stp>27900.T</stp>
        <stp>年初来安値</stp>
        <tr r="Z200" s="7"/>
      </tp>
      <tp t="s">
        <v>表示銘柄数超過</v>
        <stp/>
        <stp>Market</stp>
        <stp>STOCK</stp>
        <stp>90900.T</stp>
        <stp>年初来安値</stp>
        <tr r="Z1092" s="7"/>
      </tp>
      <tp t="s">
        <v>表示銘柄数超過</v>
        <stp/>
        <stp>Market</stp>
        <stp>STOCK</stp>
        <stp>98900.T</stp>
        <stp>年初来安値</stp>
        <tr r="Z1177" s="7"/>
      </tp>
      <tp t="s">
        <v>表示銘柄数超過</v>
        <stp/>
        <stp>Market</stp>
        <stp>STOCK</stp>
        <stp>99900.T</stp>
        <stp>年初来安値</stp>
        <tr r="Z1190" s="7"/>
      </tp>
      <tp>
        <v>774</v>
        <stp/>
        <stp>Market</stp>
        <stp>STOCK</stp>
        <stp>54910.T</stp>
        <stp>年初来安値</stp>
        <tr r="Z598" s="7"/>
      </tp>
      <tp>
        <v>819</v>
        <stp/>
        <stp>Market</stp>
        <stp>STOCK</stp>
        <stp>59910.T</stp>
        <stp>年初来安値</stp>
        <tr r="Z633" s="7"/>
      </tp>
      <tp t="s">
        <v>表示銘柄数超過</v>
        <stp/>
        <stp>Market</stp>
        <stp>STOCK</stp>
        <stp>45910.T</stp>
        <stp>年初来安値</stp>
        <tr r="Z502" s="7"/>
      </tp>
      <tp t="s">
        <v>表示銘柄数超過</v>
        <stp/>
        <stp>Market</stp>
        <stp>STOCK</stp>
        <stp>48910.T</stp>
        <stp>年初来安値</stp>
        <tr r="Z549" s="7"/>
      </tp>
      <tp>
        <v>393</v>
        <stp/>
        <stp>Market</stp>
        <stp>STOCK</stp>
        <stp>72910.T</stp>
        <stp>年初来安値</stp>
        <tr r="Z871" s="7"/>
      </tp>
      <tp>
        <v>451</v>
        <stp/>
        <stp>Market</stp>
        <stp>STOCK</stp>
        <stp>60910.T</stp>
        <stp>年初来安値</stp>
        <tr r="Z650" s="7"/>
      </tp>
      <tp t="s">
        <v>表示銘柄数超過</v>
        <stp/>
        <stp>Market</stp>
        <stp>STOCK</stp>
        <stp>14910.T</stp>
        <stp>年初来安値</stp>
        <tr r="Z29" s="7"/>
      </tp>
      <tp t="s">
        <v>表示銘柄数超過</v>
        <stp/>
        <stp>Market</stp>
        <stp>STOCK</stp>
        <stp>36910.T</stp>
        <stp>年初来安値</stp>
        <tr r="Z341" s="7"/>
      </tp>
      <tp>
        <v>2091.5</v>
        <stp/>
        <stp>Market</stp>
        <stp>STOCK</stp>
        <stp>85910.T</stp>
        <stp>年初来安値</stp>
        <tr r="Z1023" s="7"/>
      </tp>
      <tp>
        <v>281</v>
        <stp/>
        <stp>Market</stp>
        <stp>STOCK</stp>
        <stp>82910.T</stp>
        <stp>年初来安値</stp>
        <tr r="Z1002" s="7"/>
      </tp>
      <tp t="s">
        <v>表示銘柄数超過</v>
        <stp/>
        <stp>Market</stp>
        <stp>STOCK</stp>
        <stp>45960.T</stp>
        <stp>年初来安値</stp>
        <tr r="Z506" s="7"/>
      </tp>
      <tp>
        <v>793</v>
        <stp/>
        <stp>Market</stp>
        <stp>STOCK</stp>
        <stp>71960.T</stp>
        <stp>年初来安値</stp>
        <tr r="Z843" s="7"/>
      </tp>
      <tp>
        <v>220</v>
        <stp/>
        <stp>Market</stp>
        <stp>STOCK</stp>
        <stp>66960.T</stp>
        <stp>年初来安値</stp>
        <tr r="Z753" s="7"/>
      </tp>
      <tp>
        <v>810</v>
        <stp/>
        <stp>Market</stp>
        <stp>STOCK</stp>
        <stp>60960.T</stp>
        <stp>年初来安値</stp>
        <tr r="Z653" s="7"/>
      </tp>
      <tp t="s">
        <v>表示銘柄数超過</v>
        <stp/>
        <stp>Market</stp>
        <stp>STOCK</stp>
        <stp>36960.T</stp>
        <stp>年初来安値</stp>
        <tr r="Z342" s="7"/>
      </tp>
      <tp t="s">
        <v>表示銘柄数超過</v>
        <stp/>
        <stp>Market</stp>
        <stp>STOCK</stp>
        <stp>89960.T</stp>
        <stp>年初来安値</stp>
        <tr r="Z1072" s="7"/>
      </tp>
      <tp>
        <v>455</v>
        <stp/>
        <stp>Market</stp>
        <stp>STOCK</stp>
        <stp>59970.T</stp>
        <stp>年初来安値</stp>
        <tr r="Z635" s="7"/>
      </tp>
      <tp t="s">
        <v>表示銘柄数超過</v>
        <stp/>
        <stp>Market</stp>
        <stp>STOCK</stp>
        <stp>45970.T</stp>
        <stp>年初来安値</stp>
        <tr r="Z507" s="7"/>
      </tp>
      <tp>
        <v>587</v>
        <stp/>
        <stp>Market</stp>
        <stp>STOCK</stp>
        <stp>49970.T</stp>
        <stp>年初来安値</stp>
        <tr r="Z557" s="7"/>
      </tp>
      <tp>
        <v>107</v>
        <stp/>
        <stp>Market</stp>
        <stp>STOCK</stp>
        <stp>78970.T</stp>
        <stp>年初来安値</stp>
        <tr r="Z952" s="7"/>
      </tp>
      <tp>
        <v>408</v>
        <stp/>
        <stp>Market</stp>
        <stp>STOCK</stp>
        <stp>79970.T</stp>
        <stp>年初来安値</stp>
        <tr r="Z963" s="7"/>
      </tp>
      <tp>
        <v>412</v>
        <stp/>
        <stp>Market</stp>
        <stp>STOCK</stp>
        <stp>62970.T</stp>
        <stp>年初来安値</stp>
        <tr r="Z684" s="7"/>
      </tp>
      <tp>
        <v>491</v>
        <stp/>
        <stp>Market</stp>
        <stp>STOCK</stp>
        <stp>68970.T</stp>
        <stp>年初来安値</stp>
        <tr r="Z783" s="7"/>
      </tp>
      <tp>
        <v>1196</v>
        <stp/>
        <stp>Market</stp>
        <stp>STOCK</stp>
        <stp>69970.T</stp>
        <stp>年初来安値</stp>
        <tr r="Z803" s="7"/>
      </tp>
      <tp t="s">
        <v>表示銘柄数超過</v>
        <stp/>
        <stp>Market</stp>
        <stp>STOCK</stp>
        <stp>31970.T</stp>
        <stp>年初来安値</stp>
        <tr r="Z257" s="7"/>
      </tp>
      <tp t="s">
        <v>表示銘柄数超過</v>
        <stp/>
        <stp>Market</stp>
        <stp>STOCK</stp>
        <stp>32970.T</stp>
        <stp>年初来安値</stp>
        <tr r="Z273" s="7"/>
      </tp>
      <tp t="s">
        <v>表示銘柄数超過</v>
        <stp/>
        <stp>Market</stp>
        <stp>STOCK</stp>
        <stp>39970.T</stp>
        <stp>年初来安値</stp>
        <tr r="Z408" s="7"/>
      </tp>
      <tp t="s">
        <v>表示銘柄数超過</v>
        <stp/>
        <stp>Market</stp>
        <stp>STOCK</stp>
        <stp>24970.T</stp>
        <stp>年初来安値</stp>
        <tr r="Z155" s="7"/>
      </tp>
      <tp t="s">
        <v>表示銘柄数超過</v>
        <stp/>
        <stp>Market</stp>
        <stp>STOCK</stp>
        <stp>25970.T</stp>
        <stp>年初来安値</stp>
        <tr r="Z168" s="7"/>
      </tp>
      <tp t="s">
        <v>表示銘柄数超過</v>
        <stp/>
        <stp>Market</stp>
        <stp>STOCK</stp>
        <stp>29970.T</stp>
        <stp>年初来安値</stp>
        <tr r="Z220" s="7"/>
      </tp>
      <tp>
        <v>1827.5</v>
        <stp/>
        <stp>Market</stp>
        <stp>STOCK</stp>
        <stp>86970.T</stp>
        <stp>年初来安値</stp>
        <tr r="Z1035" s="7"/>
      </tp>
      <tp t="s">
        <v>表示銘柄数超過</v>
        <stp/>
        <stp>Market</stp>
        <stp>STOCK</stp>
        <stp>88970.T</stp>
        <stp>年初来安値</stp>
        <tr r="Z1061" s="7"/>
      </tp>
      <tp>
        <v>1001</v>
        <stp/>
        <stp>Market</stp>
        <stp>STOCK</stp>
        <stp>59940.T</stp>
        <stp>年初来安値</stp>
        <tr r="Z634" s="7"/>
      </tp>
      <tp t="s">
        <v>表示銘柄数超過</v>
        <stp/>
        <stp>Market</stp>
        <stp>STOCK</stp>
        <stp>45940.T</stp>
        <stp>年初来安値</stp>
        <tr r="Z505" s="7"/>
      </tp>
      <tp>
        <v>335</v>
        <stp/>
        <stp>Market</stp>
        <stp>STOCK</stp>
        <stp>74940.T</stp>
        <stp>年初来安値</stp>
        <tr r="Z894" s="7"/>
      </tp>
      <tp>
        <v>1140</v>
        <stp/>
        <stp>Market</stp>
        <stp>STOCK</stp>
        <stp>77940.T</stp>
        <stp>年初来安値</stp>
        <tr r="Z936" s="7"/>
      </tp>
      <tp>
        <v>676</v>
        <stp/>
        <stp>Market</stp>
        <stp>STOCK</stp>
        <stp>72940.T</stp>
        <stp>年初来安値</stp>
        <tr r="Z872" s="7"/>
      </tp>
      <tp>
        <v>86</v>
        <stp/>
        <stp>Market</stp>
        <stp>STOCK</stp>
        <stp>64940.T</stp>
        <stp>年初来安値</stp>
        <tr r="Z710" s="7"/>
      </tp>
      <tp>
        <v>5345</v>
        <stp/>
        <stp>Market</stp>
        <stp>STOCK</stp>
        <stp>65940.T</stp>
        <stp>年初来安値</stp>
        <tr r="Z735" s="7"/>
      </tp>
      <tp>
        <v>590</v>
        <stp/>
        <stp>Market</stp>
        <stp>STOCK</stp>
        <stp>61940.T</stp>
        <stp>年初来安値</stp>
        <tr r="Z675" s="7"/>
      </tp>
      <tp>
        <v>400</v>
        <stp/>
        <stp>Market</stp>
        <stp>STOCK</stp>
        <stp>69940.T</stp>
        <stp>年初来安値</stp>
        <tr r="Z802" s="7"/>
      </tp>
      <tp t="s">
        <v>表示銘柄数超過</v>
        <stp/>
        <stp>Market</stp>
        <stp>STOCK</stp>
        <stp>19940.T</stp>
        <stp>年初来安値</stp>
        <tr r="Z86" s="7"/>
      </tp>
      <tp t="s">
        <v>表示銘柄数超過</v>
        <stp/>
        <stp>Market</stp>
        <stp>STOCK</stp>
        <stp>26940.T</stp>
        <stp>年初来安値</stp>
        <tr r="Z184" s="7"/>
      </tp>
      <tp t="s">
        <v>表示銘柄数超過</v>
        <stp/>
        <stp>Market</stp>
        <stp>STOCK</stp>
        <stp>28940.T</stp>
        <stp>年初来安値</stp>
        <tr r="Z212" s="7"/>
      </tp>
      <tp>
        <v>2453</v>
        <stp/>
        <stp>Market</stp>
        <stp>STOCK</stp>
        <stp>81940.T</stp>
        <stp>年初来安値</stp>
        <tr r="Z989" s="7"/>
      </tp>
      <tp t="s">
        <v>表示銘柄数超過</v>
        <stp/>
        <stp>Market</stp>
        <stp>STOCK</stp>
        <stp>88940.T</stp>
        <stp>年初来安値</stp>
        <tr r="Z1060" s="7"/>
      </tp>
      <tp t="s">
        <v>表示銘柄数超過</v>
        <stp/>
        <stp>Market</stp>
        <stp>STOCK</stp>
        <stp>44950.T</stp>
        <stp>年初来安値</stp>
        <tr r="Z478" s="7"/>
      </tp>
      <tp t="s">
        <v>表示銘柄数超過</v>
        <stp/>
        <stp>Market</stp>
        <stp>STOCK</stp>
        <stp>43950.T</stp>
        <stp>年初来安値</stp>
        <tr r="Z458" s="7"/>
      </tp>
      <tp>
        <v>117</v>
        <stp/>
        <stp>Market</stp>
        <stp>STOCK</stp>
        <stp>77950.T</stp>
        <stp>年初来安値</stp>
        <tr r="Z937" s="7"/>
      </tp>
      <tp>
        <v>110</v>
        <stp/>
        <stp>Market</stp>
        <stp>STOCK</stp>
        <stp>64950.T</stp>
        <stp>年初来安値</stp>
        <tr r="Z711" s="7"/>
      </tp>
      <tp>
        <v>228</v>
        <stp/>
        <stp>Market</stp>
        <stp>STOCK</stp>
        <stp>61950.T</stp>
        <stp>年初来安値</stp>
        <tr r="Z676" s="7"/>
      </tp>
      <tp>
        <v>888</v>
        <stp/>
        <stp>Market</stp>
        <stp>STOCK</stp>
        <stp>63950.T</stp>
        <stp>年初来安値</stp>
        <tr r="Z699" s="7"/>
      </tp>
      <tp t="s">
        <v>表示銘柄数超過</v>
        <stp/>
        <stp>Market</stp>
        <stp>STOCK</stp>
        <stp>39950.T</stp>
        <stp>年初来安値</stp>
        <tr r="Z407" s="7"/>
      </tp>
      <tp t="s">
        <v>表示銘柄数超過</v>
        <stp/>
        <stp>Market</stp>
        <stp>STOCK</stp>
        <stp>99950.T</stp>
        <stp>年初来安値</stp>
        <tr r="Z1191" s="7"/>
      </tp>
      <tp>
        <v>400</v>
        <stp/>
        <stp>Market</stp>
        <stp>STOCK</stp>
        <stp>80950.T</stp>
        <stp>年初来安値</stp>
        <tr r="Z975" s="7"/>
      </tp>
      <tp>
        <v>514</v>
        <stp/>
        <stp>Market</stp>
        <stp>STOCK</stp>
        <stp>56980.T</stp>
        <stp>年初来安値</stp>
        <tr r="Z604" s="7"/>
      </tp>
      <tp t="s">
        <v/>
        <stp/>
        <stp>Market</stp>
        <stp>STOCK</stp>
        <stp>72980.T</stp>
        <stp>年初来安値</stp>
        <tr r="Z873" s="7"/>
      </tp>
      <tp>
        <v>762</v>
        <stp/>
        <stp>Market</stp>
        <stp>STOCK</stp>
        <stp>64980.T</stp>
        <stp>年初来安値</stp>
        <tr r="Z712" s="7"/>
      </tp>
      <tp>
        <v>3284</v>
        <stp/>
        <stp>Market</stp>
        <stp>STOCK</stp>
        <stp>60980.T</stp>
        <stp>年初来安値</stp>
        <tr r="Z654" s="7"/>
      </tp>
      <tp>
        <v>1463</v>
        <stp/>
        <stp>Market</stp>
        <stp>STOCK</stp>
        <stp>62980.T</stp>
        <stp>年初来安値</stp>
        <tr r="Z685" s="7"/>
      </tp>
      <tp t="s">
        <v>表示銘柄数超過</v>
        <stp/>
        <stp>Market</stp>
        <stp>STOCK</stp>
        <stp>18980.T</stp>
        <stp>年初来安値</stp>
        <tr r="Z71" s="7"/>
      </tp>
      <tp t="s">
        <v>表示銘柄数超過</v>
        <stp/>
        <stp>Market</stp>
        <stp>STOCK</stp>
        <stp>36980.T</stp>
        <stp>年初来安値</stp>
        <tr r="Z343" s="7"/>
      </tp>
      <tp t="s">
        <v>表示銘柄数超過</v>
        <stp/>
        <stp>Market</stp>
        <stp>STOCK</stp>
        <stp>39980.T</stp>
        <stp>年初来安値</stp>
        <tr r="Z409" s="7"/>
      </tp>
      <tp t="s">
        <v>表示銘柄数超過</v>
        <stp/>
        <stp>Market</stp>
        <stp>STOCK</stp>
        <stp>26980.T</stp>
        <stp>年初来安値</stp>
        <tr r="Z185" s="7"/>
      </tp>
      <tp t="s">
        <v>表示銘柄数超過</v>
        <stp/>
        <stp>Market</stp>
        <stp>STOCK</stp>
        <stp>21980.T</stp>
        <stp>年初来安値</stp>
        <tr r="Z102" s="7"/>
      </tp>
      <tp>
        <v>415</v>
        <stp/>
        <stp>Market</stp>
        <stp>STOCK</stp>
        <stp>86980.T</stp>
        <stp>年初来安値</stp>
        <tr r="Z1036" s="7"/>
      </tp>
      <tp t="s">
        <v>表示銘柄数超過</v>
        <stp/>
        <stp>Market</stp>
        <stp>STOCK</stp>
        <stp>16990.T</stp>
        <stp>年初来安値</stp>
        <tr r="Z45" s="7"/>
      </tp>
      <tp t="s">
        <v>表示銘柄数超過</v>
        <stp/>
        <stp>Market</stp>
        <stp>STOCK</stp>
        <stp>13990.T</stp>
        <stp>年初来安値</stp>
        <tr r="Z16" s="7"/>
      </tp>
      <tp t="s">
        <v>表示銘柄数超過</v>
        <stp/>
        <stp>Market</stp>
        <stp>STOCK</stp>
        <stp>30990.T</stp>
        <stp>年初来安値</stp>
        <tr r="Z240" s="7"/>
      </tp>
      <tp t="s">
        <v>表示銘柄数超過</v>
        <stp/>
        <stp>Market</stp>
        <stp>STOCK</stp>
        <stp>32990.T</stp>
        <stp>年初来安値</stp>
        <tr r="Z274" s="7"/>
      </tp>
      <tp>
        <v>2</v>
        <stp/>
        <stp>Market</stp>
        <stp>STOCK</stp>
        <stp>93990.T</stp>
        <stp>年初来安値</stp>
        <tr r="Z1113" s="7"/>
      </tp>
      <tp t="s">
        <v>表示銘柄数超過</v>
        <stp/>
        <stp>Market</stp>
        <stp>STOCK</stp>
        <stp>45820.T</stp>
        <stp>年初来安値</stp>
        <tr r="Z497" s="7"/>
      </tp>
      <tp t="s">
        <v>表示銘柄数超過</v>
        <stp/>
        <stp>Market</stp>
        <stp>STOCK</stp>
        <stp>43820.T</stp>
        <stp>年初来安値</stp>
        <tr r="Z455" s="7"/>
      </tp>
      <tp>
        <v>1031</v>
        <stp/>
        <stp>Market</stp>
        <stp>STOCK</stp>
        <stp>71820.T</stp>
        <stp>年初来安値</stp>
        <tr r="Z839" s="7"/>
      </tp>
      <tp>
        <v>1065</v>
        <stp/>
        <stp>Market</stp>
        <stp>STOCK</stp>
        <stp>61820.T</stp>
        <stp>年初来安値</stp>
        <tr r="Z668" s="7"/>
      </tp>
      <tp>
        <v>567</v>
        <stp/>
        <stp>Market</stp>
        <stp>STOCK</stp>
        <stp>69820.T</stp>
        <stp>年初来安値</stp>
        <tr r="Z799" s="7"/>
      </tp>
      <tp t="s">
        <v>表示銘柄数超過</v>
        <stp/>
        <stp>Market</stp>
        <stp>STOCK</stp>
        <stp>16820.T</stp>
        <stp>年初来安値</stp>
        <tr r="Z43" s="7"/>
      </tp>
      <tp t="s">
        <v>表示銘柄数超過</v>
        <stp/>
        <stp>Market</stp>
        <stp>STOCK</stp>
        <stp>36820.T</stp>
        <stp>年初来安値</stp>
        <tr r="Z338" s="7"/>
      </tp>
      <tp t="s">
        <v>表示銘柄数超過</v>
        <stp/>
        <stp>Market</stp>
        <stp>STOCK</stp>
        <stp>31820.T</stp>
        <stp>年初来安値</stp>
        <tr r="Z251" s="7"/>
      </tp>
      <tp t="s">
        <v>表示銘柄数超過</v>
        <stp/>
        <stp>Market</stp>
        <stp>STOCK</stp>
        <stp>33820.T</stp>
        <stp>年初来安値</stp>
        <tr r="Z290" s="7"/>
      </tp>
      <tp t="s">
        <v>表示銘柄数超過</v>
        <stp/>
        <stp>Market</stp>
        <stp>STOCK</stp>
        <stp>27820.T</stp>
        <stp>年初来安値</stp>
        <tr r="Z199" s="7"/>
      </tp>
      <tp t="s">
        <v>表示銘柄数超過</v>
        <stp/>
        <stp>Market</stp>
        <stp>STOCK</stp>
        <stp>29820.T</stp>
        <stp>年初来安値</stp>
        <tr r="Z217" s="7"/>
      </tp>
      <tp t="s">
        <v>表示銘柄数超過</v>
        <stp/>
        <stp>Market</stp>
        <stp>STOCK</stp>
        <stp>97820.T</stp>
        <stp>年初来安値</stp>
        <tr r="Z1166" s="7"/>
      </tp>
      <tp t="s">
        <v>表示銘柄数超過</v>
        <stp/>
        <stp>Market</stp>
        <stp>STOCK</stp>
        <stp>99820.T</stp>
        <stp>年初来安値</stp>
        <tr r="Z1188" s="7"/>
      </tp>
      <tp t="s">
        <v>表示銘柄数超過</v>
        <stp/>
        <stp>Market</stp>
        <stp>STOCK</stp>
        <stp>45830.T</stp>
        <stp>年初来安値</stp>
        <tr r="Z498" s="7"/>
      </tp>
      <tp t="s">
        <v>表示銘柄数超過</v>
        <stp/>
        <stp>Market</stp>
        <stp>STOCK</stp>
        <stp>48830.T</stp>
        <stp>年初来安値</stp>
        <tr r="Z546" s="7"/>
      </tp>
      <tp>
        <v>235</v>
        <stp/>
        <stp>Market</stp>
        <stp>STOCK</stp>
        <stp>71830.T</stp>
        <stp>年初来安値</stp>
        <tr r="Z840" s="7"/>
      </tp>
      <tp>
        <v>669</v>
        <stp/>
        <stp>Market</stp>
        <stp>STOCK</stp>
        <stp>72830.T</stp>
        <stp>年初来安値</stp>
        <tr r="Z870" s="7"/>
      </tp>
      <tp>
        <v>158</v>
        <stp/>
        <stp>Market</stp>
        <stp>STOCK</stp>
        <stp>73830.T</stp>
        <stp>年初来安値</stp>
        <tr r="Z884" s="7"/>
      </tp>
      <tp>
        <v>2349</v>
        <stp/>
        <stp>Market</stp>
        <stp>STOCK</stp>
        <stp>63830.T</stp>
        <stp>年初来安値</stp>
        <tr r="Z697" s="7"/>
      </tp>
      <tp t="s">
        <v>表示銘柄数超過</v>
        <stp/>
        <stp>Market</stp>
        <stp>STOCK</stp>
        <stp>17830.T</stp>
        <stp>年初来安値</stp>
        <tr r="Z56" s="7"/>
      </tp>
      <tp t="s">
        <v>表示銘柄数超過</v>
        <stp/>
        <stp>Market</stp>
        <stp>STOCK</stp>
        <stp>36830.T</stp>
        <stp>年初来安値</stp>
        <tr r="Z339" s="7"/>
      </tp>
      <tp t="s">
        <v>表示銘柄数超過</v>
        <stp/>
        <stp>Market</stp>
        <stp>STOCK</stp>
        <stp>30830.T</stp>
        <stp>年初来安値</stp>
        <tr r="Z238" s="7"/>
      </tp>
      <tp t="s">
        <v>表示銘柄数超過</v>
        <stp/>
        <stp>Market</stp>
        <stp>STOCK</stp>
        <stp>24830.T</stp>
        <stp>年初来安値</stp>
        <tr r="Z151" s="7"/>
      </tp>
      <tp t="s">
        <v>表示銘柄数超過</v>
        <stp/>
        <stp>Market</stp>
        <stp>STOCK</stp>
        <stp>97830.T</stp>
        <stp>年初来安値</stp>
        <tr r="Z1167" s="7"/>
      </tp>
      <tp t="s">
        <v>表示銘柄数超過</v>
        <stp/>
        <stp>Market</stp>
        <stp>STOCK</stp>
        <stp>87830.T</stp>
        <stp>年初来安値</stp>
        <tr r="Z1047" s="7"/>
      </tp>
      <tp>
        <v>1122</v>
        <stp/>
        <stp>Market</stp>
        <stp>STOCK</stp>
        <stp>83830.T</stp>
        <stp>年初来安値</stp>
        <tr r="Z1008" s="7"/>
      </tp>
      <tp t="s">
        <v>表示銘柄数超過</v>
        <stp/>
        <stp>Market</stp>
        <stp>STOCK</stp>
        <stp>46800.T</stp>
        <stp>年初来安値</stp>
        <tr r="Z519" s="7"/>
      </tp>
      <tp>
        <v>432</v>
        <stp/>
        <stp>Market</stp>
        <stp>STOCK</stp>
        <stp>71800.T</stp>
        <stp>年初来安値</stp>
        <tr r="Z838" s="7"/>
      </tp>
      <tp>
        <v>447</v>
        <stp/>
        <stp>Market</stp>
        <stp>STOCK</stp>
        <stp>72800.T</stp>
        <stp>年初来安値</stp>
        <tr r="Z869" s="7"/>
      </tp>
      <tp>
        <v>502</v>
        <stp/>
        <stp>Market</stp>
        <stp>STOCK</stp>
        <stp>64800.T</stp>
        <stp>年初来安値</stp>
        <tr r="Z707" s="7"/>
      </tp>
      <tp>
        <v>594</v>
        <stp/>
        <stp>Market</stp>
        <stp>STOCK</stp>
        <stp>65800.T</stp>
        <stp>年初来安値</stp>
        <tr r="Z732" s="7"/>
      </tp>
      <tp t="s">
        <v>表示銘柄数超過</v>
        <stp/>
        <stp>Market</stp>
        <stp>STOCK</stp>
        <stp>35800.T</stp>
        <stp>年初来安値</stp>
        <tr r="Z310" s="7"/>
      </tp>
      <tp t="s">
        <v>表示銘柄数超過</v>
        <stp/>
        <stp>Market</stp>
        <stp>STOCK</stp>
        <stp>36800.T</stp>
        <stp>年初来安値</stp>
        <tr r="Z336" s="7"/>
      </tp>
      <tp t="s">
        <v>表示銘柄数超過</v>
        <stp/>
        <stp>Market</stp>
        <stp>STOCK</stp>
        <stp>38800.T</stp>
        <stp>年初来安値</stp>
        <tr r="Z383" s="7"/>
      </tp>
      <tp t="s">
        <v>表示銘柄数超過</v>
        <stp/>
        <stp>Market</stp>
        <stp>STOCK</stp>
        <stp>93800.T</stp>
        <stp>年初来安値</stp>
        <tr r="Z1112" s="7"/>
      </tp>
      <tp t="s">
        <v>表示銘柄数超過</v>
        <stp/>
        <stp>Market</stp>
        <stp>STOCK</stp>
        <stp>99800.T</stp>
        <stp>年初来安値</stp>
        <tr r="Z1187" s="7"/>
      </tp>
      <tp>
        <v>402</v>
        <stp/>
        <stp>Market</stp>
        <stp>STOCK</stp>
        <stp>53810.T</stp>
        <stp>年初来安値</stp>
        <tr r="Z589" s="7"/>
      </tp>
      <tp>
        <v>834</v>
        <stp/>
        <stp>Market</stp>
        <stp>STOCK</stp>
        <stp>59810.T</stp>
        <stp>年初来安値</stp>
        <tr r="Z631" s="7"/>
      </tp>
      <tp t="s">
        <v>表示銘柄数超過</v>
        <stp/>
        <stp>Market</stp>
        <stp>STOCK</stp>
        <stp>48810.T</stp>
        <stp>年初来安値</stp>
        <tr r="Z545" s="7"/>
      </tp>
      <tp>
        <v>896</v>
        <stp/>
        <stp>Market</stp>
        <stp>STOCK</stp>
        <stp>74810.T</stp>
        <stp>年初来安値</stp>
        <tr r="Z893" s="7"/>
      </tp>
      <tp>
        <v>272</v>
        <stp/>
        <stp>Market</stp>
        <stp>STOCK</stp>
        <stp>60810.T</stp>
        <stp>年初来安値</stp>
        <tr r="Z649" s="7"/>
      </tp>
      <tp>
        <v>91</v>
        <stp/>
        <stp>Market</stp>
        <stp>STOCK</stp>
        <stp>61810.T</stp>
        <stp>年初来安値</stp>
        <tr r="Z667" s="7"/>
      </tp>
      <tp>
        <v>821</v>
        <stp/>
        <stp>Market</stp>
        <stp>STOCK</stp>
        <stp>63810.T</stp>
        <stp>年初来安値</stp>
        <tr r="Z696" s="7"/>
      </tp>
      <tp>
        <v>2461</v>
        <stp/>
        <stp>Market</stp>
        <stp>STOCK</stp>
        <stp>69810.T</stp>
        <stp>年初来安値</stp>
        <tr r="Z798" s="7"/>
      </tp>
      <tp t="s">
        <v>表示銘柄数超過</v>
        <stp/>
        <stp>Market</stp>
        <stp>STOCK</stp>
        <stp>36810.T</stp>
        <stp>年初来安値</stp>
        <tr r="Z337" s="7"/>
      </tp>
      <tp t="s">
        <v>表示銘柄数超過</v>
        <stp/>
        <stp>Market</stp>
        <stp>STOCK</stp>
        <stp>26810.T</stp>
        <stp>年初来安値</stp>
        <tr r="Z180" s="7"/>
      </tp>
      <tp>
        <v>1064</v>
        <stp/>
        <stp>Market</stp>
        <stp>STOCK</stp>
        <stp>80810.T</stp>
        <stp>年初来安値</stp>
        <tr r="Z974" s="7"/>
      </tp>
      <tp t="s">
        <v>表示銘柄数超過</v>
        <stp/>
        <stp>Market</stp>
        <stp>STOCK</stp>
        <stp>88810.T</stp>
        <stp>年初来安値</stp>
        <tr r="Z1057" s="7"/>
      </tp>
      <tp>
        <v>659</v>
        <stp/>
        <stp>Market</stp>
        <stp>STOCK</stp>
        <stp>55860.T</stp>
        <stp>年初来安値</stp>
        <tr r="Z600" s="7"/>
      </tp>
      <tp>
        <v>250</v>
        <stp/>
        <stp>Market</stp>
        <stp>STOCK</stp>
        <stp>59860.T</stp>
        <stp>年初来安値</stp>
        <tr r="Z632" s="7"/>
      </tp>
      <tp t="s">
        <v>表示銘柄数超過</v>
        <stp/>
        <stp>Market</stp>
        <stp>STOCK</stp>
        <stp>45860.T</stp>
        <stp>年初来安値</stp>
        <tr r="Z500" s="7"/>
      </tp>
      <tp t="s">
        <v>表示銘柄数超過</v>
        <stp/>
        <stp>Market</stp>
        <stp>STOCK</stp>
        <stp>42860.T</stp>
        <stp>年初来安値</stp>
        <tr r="Z437" s="7"/>
      </tp>
      <tp>
        <v>465</v>
        <stp/>
        <stp>Market</stp>
        <stp>STOCK</stp>
        <stp>71860.T</stp>
        <stp>年初来安値</stp>
        <tr r="Z842" s="7"/>
      </tp>
      <tp>
        <v>424</v>
        <stp/>
        <stp>Market</stp>
        <stp>STOCK</stp>
        <stp>61860.T</stp>
        <stp>年初来安値</stp>
        <tr r="Z671" s="7"/>
      </tp>
      <tp>
        <v>580</v>
        <stp/>
        <stp>Market</stp>
        <stp>STOCK</stp>
        <stp>62860.T</stp>
        <stp>年初来安値</stp>
        <tr r="Z683" s="7"/>
      </tp>
      <tp>
        <v>476</v>
        <stp/>
        <stp>Market</stp>
        <stp>STOCK</stp>
        <stp>69860.T</stp>
        <stp>年初来安値</stp>
        <tr r="Z800" s="7"/>
      </tp>
      <tp t="s">
        <v>表示銘柄数超過</v>
        <stp/>
        <stp>Market</stp>
        <stp>STOCK</stp>
        <stp>36860.T</stp>
        <stp>年初来安値</stp>
        <tr r="Z340" s="7"/>
      </tp>
      <tp t="s">
        <v>表示銘柄数超過</v>
        <stp/>
        <stp>Market</stp>
        <stp>STOCK</stp>
        <stp>30860.T</stp>
        <stp>年初来安値</stp>
        <tr r="Z239" s="7"/>
      </tp>
      <tp t="s">
        <v>表示銘柄数超過</v>
        <stp/>
        <stp>Market</stp>
        <stp>STOCK</stp>
        <stp>31860.T</stp>
        <stp>年初来安値</stp>
        <tr r="Z253" s="7"/>
      </tp>
      <tp t="s">
        <v>表示銘柄数超過</v>
        <stp/>
        <stp>Market</stp>
        <stp>STOCK</stp>
        <stp>32860.T</stp>
        <stp>年初来安値</stp>
        <tr r="Z270" s="7"/>
      </tp>
      <tp t="s">
        <v>表示銘柄数超過</v>
        <stp/>
        <stp>Market</stp>
        <stp>STOCK</stp>
        <stp>33860.T</stp>
        <stp>年初来安値</stp>
        <tr r="Z291" s="7"/>
      </tp>
      <tp t="s">
        <v>表示銘柄数超過</v>
        <stp/>
        <stp>Market</stp>
        <stp>STOCK</stp>
        <stp>25860.T</stp>
        <stp>年初来安値</stp>
        <tr r="Z165" s="7"/>
      </tp>
      <tp t="s">
        <v>表示銘柄数超過</v>
        <stp/>
        <stp>Market</stp>
        <stp>STOCK</stp>
        <stp>26860.T</stp>
        <stp>年初来安値</stp>
        <tr r="Z182" s="7"/>
      </tp>
      <tp>
        <v>550</v>
        <stp/>
        <stp>Market</stp>
        <stp>STOCK</stp>
        <stp>52870.T</stp>
        <stp>年初来安値</stp>
        <tr r="Z585" s="7"/>
      </tp>
      <tp t="s">
        <v>表示銘柄数超過</v>
        <stp/>
        <stp>Market</stp>
        <stp>STOCK</stp>
        <stp>44870.T</stp>
        <stp>年初来安値</stp>
        <tr r="Z476" s="7"/>
      </tp>
      <tp t="s">
        <v>表示銘柄数超過</v>
        <stp/>
        <stp>Market</stp>
        <stp>STOCK</stp>
        <stp>42870.T</stp>
        <stp>年初来安値</stp>
        <tr r="Z438" s="7"/>
      </tp>
      <tp t="s">
        <v>表示銘柄数超過</v>
        <stp/>
        <stp>Market</stp>
        <stp>STOCK</stp>
        <stp>18870.T</stp>
        <stp>年初来安値</stp>
        <tr r="Z69" s="7"/>
      </tp>
      <tp t="s">
        <v>表示銘柄数超過</v>
        <stp/>
        <stp>Market</stp>
        <stp>STOCK</stp>
        <stp>31870.T</stp>
        <stp>年初来安値</stp>
        <tr r="Z254" s="7"/>
      </tp>
      <tp t="s">
        <v>表示銘柄数超過</v>
        <stp/>
        <stp>Market</stp>
        <stp>STOCK</stp>
        <stp>39870.T</stp>
        <stp>年初来安値</stp>
        <tr r="Z403" s="7"/>
      </tp>
      <tp t="s">
        <v>表示銘柄数超過</v>
        <stp/>
        <stp>Market</stp>
        <stp>STOCK</stp>
        <stp>25870.T</stp>
        <stp>年初来安値</stp>
        <tr r="Z166" s="7"/>
      </tp>
      <tp t="s">
        <v>表示銘柄数超過</v>
        <stp/>
        <stp>Market</stp>
        <stp>STOCK</stp>
        <stp>29870.T</stp>
        <stp>年初来安値</stp>
        <tr r="Z218" s="7"/>
      </tp>
      <tp t="s">
        <v>表示銘柄数超過</v>
        <stp/>
        <stp>Market</stp>
        <stp>STOCK</stp>
        <stp>97870.T</stp>
        <stp>年初来安値</stp>
        <tr r="Z1168" s="7"/>
      </tp>
      <tp>
        <v>825</v>
        <stp/>
        <stp>Market</stp>
        <stp>STOCK</stp>
        <stp>83870.T</stp>
        <stp>年初来安値</stp>
        <tr r="Z1009" s="7"/>
      </tp>
      <tp t="s">
        <v>表示銘柄数超過</v>
        <stp/>
        <stp>Market</stp>
        <stp>STOCK</stp>
        <stp>88870.T</stp>
        <stp>年初来安値</stp>
        <tr r="Z1058" s="7"/>
      </tp>
      <tp t="s">
        <v>表示銘柄数超過</v>
        <stp/>
        <stp>Market</stp>
        <stp>STOCK</stp>
        <stp>44840.T</stp>
        <stp>年初来安値</stp>
        <tr r="Z475" s="7"/>
      </tp>
      <tp t="s">
        <v>表示銘柄数超過</v>
        <stp/>
        <stp>Market</stp>
        <stp>STOCK</stp>
        <stp>45840.T</stp>
        <stp>年初来安値</stp>
        <tr r="Z499" s="7"/>
      </tp>
      <tp t="s">
        <v>表示銘柄数超過</v>
        <stp/>
        <stp>Market</stp>
        <stp>STOCK</stp>
        <stp>47840.T</stp>
        <stp>年初来安値</stp>
        <tr r="Z535" s="7"/>
      </tp>
      <tp>
        <v>555</v>
        <stp/>
        <stp>Market</stp>
        <stp>STOCK</stp>
        <stp>71840.T</stp>
        <stp>年初来安値</stp>
        <tr r="Z841" s="7"/>
      </tp>
      <tp>
        <v>1793</v>
        <stp/>
        <stp>Market</stp>
        <stp>STOCK</stp>
        <stp>73840.T</stp>
        <stp>年初来安値</stp>
        <tr r="Z885" s="7"/>
      </tp>
      <tp>
        <v>602</v>
        <stp/>
        <stp>Market</stp>
        <stp>STOCK</stp>
        <stp>65840.T</stp>
        <stp>年初来安値</stp>
        <tr r="Z733" s="7"/>
      </tp>
      <tp>
        <v>486</v>
        <stp/>
        <stp>Market</stp>
        <stp>STOCK</stp>
        <stp>61840.T</stp>
        <stp>年初来安値</stp>
        <tr r="Z669" s="7"/>
      </tp>
      <tp t="s">
        <v>表示銘柄数超過</v>
        <stp/>
        <stp>Market</stp>
        <stp>STOCK</stp>
        <stp>37840.T</stp>
        <stp>年初来安値</stp>
        <tr r="Z359" s="7"/>
      </tp>
      <tp t="s">
        <v>表示銘柄数超過</v>
        <stp/>
        <stp>Market</stp>
        <stp>STOCK</stp>
        <stp>32840.T</stp>
        <stp>年初来安値</stp>
        <tr r="Z269" s="7"/>
      </tp>
      <tp t="s">
        <v>表示銘柄数超過</v>
        <stp/>
        <stp>Market</stp>
        <stp>STOCK</stp>
        <stp>24840.T</stp>
        <stp>年初来安値</stp>
        <tr r="Z152" s="7"/>
      </tp>
      <tp t="s">
        <v>表示銘柄数超過</v>
        <stp/>
        <stp>Market</stp>
        <stp>STOCK</stp>
        <stp>99840.T</stp>
        <stp>年初来安値</stp>
        <tr r="Z1189" s="7"/>
      </tp>
      <tp>
        <v>360</v>
        <stp/>
        <stp>Market</stp>
        <stp>STOCK</stp>
        <stp>52850.T</stp>
        <stp>年初来安値</stp>
        <tr r="Z584" s="7"/>
      </tp>
      <tp t="s">
        <v>表示銘柄数超過</v>
        <stp/>
        <stp>Market</stp>
        <stp>STOCK</stp>
        <stp>41850.T</stp>
        <stp>年初来安値</stp>
        <tr r="Z422" s="7"/>
      </tp>
      <tp t="s">
        <v>表示銘柄数超過</v>
        <stp/>
        <stp>Market</stp>
        <stp>STOCK</stp>
        <stp>43850.T</stp>
        <stp>年初来安値</stp>
        <tr r="Z456" s="7"/>
      </tp>
      <tp>
        <v>359</v>
        <stp/>
        <stp>Market</stp>
        <stp>STOCK</stp>
        <stp>75850.T</stp>
        <stp>年初来安値</stp>
        <tr r="Z906" s="7"/>
      </tp>
      <tp>
        <v>247</v>
        <stp/>
        <stp>Market</stp>
        <stp>STOCK</stp>
        <stp>61850.T</stp>
        <stp>年初来安値</stp>
        <tr r="Z670" s="7"/>
      </tp>
      <tp t="s">
        <v>表示銘柄数超過</v>
        <stp/>
        <stp>Market</stp>
        <stp>STOCK</stp>
        <stp>31850.T</stp>
        <stp>年初来安値</stp>
        <tr r="Z252" s="7"/>
      </tp>
      <tp t="s">
        <v>表示銘柄数超過</v>
        <stp/>
        <stp>Market</stp>
        <stp>STOCK</stp>
        <stp>25850.T</stp>
        <stp>年初来安値</stp>
        <tr r="Z164" s="7"/>
      </tp>
      <tp t="s">
        <v>表示銘柄数超過</v>
        <stp/>
        <stp>Market</stp>
        <stp>STOCK</stp>
        <stp>26850.T</stp>
        <stp>年初来安値</stp>
        <tr r="Z181" s="7"/>
      </tp>
      <tp>
        <v>1031</v>
        <stp/>
        <stp>Market</stp>
        <stp>STOCK</stp>
        <stp>85850.T</stp>
        <stp>年初来安値</stp>
        <tr r="Z1022" s="7"/>
      </tp>
      <tp t="s">
        <v>表示銘柄数超過</v>
        <stp/>
        <stp>Market</stp>
        <stp>STOCK</stp>
        <stp>45880.T</stp>
        <stp>年初来安値</stp>
        <tr r="Z501" s="7"/>
      </tp>
      <tp t="s">
        <v>表示銘柄数超過</v>
        <stp/>
        <stp>Market</stp>
        <stp>STOCK</stp>
        <stp>41880.T</stp>
        <stp>年初来安値</stp>
        <tr r="Z423" s="7"/>
      </tp>
      <tp t="s">
        <v>表示銘柄数超過</v>
        <stp/>
        <stp>Market</stp>
        <stp>STOCK</stp>
        <stp>43880.T</stp>
        <stp>年初来安値</stp>
        <tr r="Z457" s="7"/>
      </tp>
      <tp>
        <v>745</v>
        <stp/>
        <stp>Market</stp>
        <stp>STOCK</stp>
        <stp>70880.T</stp>
        <stp>年初来安値</stp>
        <tr r="Z824" s="7"/>
      </tp>
      <tp>
        <v>391</v>
        <stp/>
        <stp>Market</stp>
        <stp>STOCK</stp>
        <stp>78880.T</stp>
        <stp>年初来安値</stp>
        <tr r="Z951" s="7"/>
      </tp>
      <tp>
        <v>2651</v>
        <stp/>
        <stp>Market</stp>
        <stp>STOCK</stp>
        <stp>65880.T</stp>
        <stp>年初来安値</stp>
        <tr r="Z734" s="7"/>
      </tp>
      <tp>
        <v>378</v>
        <stp/>
        <stp>Market</stp>
        <stp>STOCK</stp>
        <stp>61880.T</stp>
        <stp>年初来安値</stp>
        <tr r="Z672" s="7"/>
      </tp>
      <tp t="s">
        <v>表示銘柄数超過</v>
        <stp/>
        <stp>Market</stp>
        <stp>STOCK</stp>
        <stp>32880.T</stp>
        <stp>年初来安値</stp>
        <tr r="Z271" s="7"/>
      </tp>
      <tp t="s">
        <v>表示銘柄数超過</v>
        <stp/>
        <stp>Market</stp>
        <stp>STOCK</stp>
        <stp>33880.T</stp>
        <stp>年初来安値</stp>
        <tr r="Z292" s="7"/>
      </tp>
      <tp t="s">
        <v>表示銘柄数超過</v>
        <stp/>
        <stp>Market</stp>
        <stp>STOCK</stp>
        <stp>24880.T</stp>
        <stp>年初来安値</stp>
        <tr r="Z153" s="7"/>
      </tp>
      <tp t="s">
        <v>表示銘柄数超過</v>
        <stp/>
        <stp>Market</stp>
        <stp>STOCK</stp>
        <stp>23880.T</stp>
        <stp>年初来安値</stp>
        <tr r="Z131" s="7"/>
      </tp>
      <tp t="s">
        <v>表示銘柄数超過</v>
        <stp/>
        <stp>Market</stp>
        <stp>STOCK</stp>
        <stp>97880.T</stp>
        <stp>年初来安値</stp>
        <tr r="Z1169" s="7"/>
      </tp>
      <tp t="s">
        <v>表示銘柄数超過</v>
        <stp/>
        <stp>Market</stp>
        <stp>STOCK</stp>
        <stp>98880.T</stp>
        <stp>年初来安値</stp>
        <tr r="Z1176" s="7"/>
      </tp>
      <tp>
        <v>327.9</v>
        <stp/>
        <stp>Market</stp>
        <stp>STOCK</stp>
        <stp>46890.T</stp>
        <stp>年初来安値</stp>
        <tr r="Z520" s="7"/>
      </tp>
      <tp t="s">
        <v>表示銘柄数超過</v>
        <stp/>
        <stp>Market</stp>
        <stp>STOCK</stp>
        <stp>48890.T</stp>
        <stp>年初来安値</stp>
        <tr r="Z547" s="7"/>
      </tp>
      <tp>
        <v>585</v>
        <stp/>
        <stp>Market</stp>
        <stp>STOCK</stp>
        <stp>64890.T</stp>
        <stp>年初来安値</stp>
        <tr r="Z708" s="7"/>
      </tp>
      <tp t="s">
        <v>表示銘柄数超過</v>
        <stp/>
        <stp>Market</stp>
        <stp>STOCK</stp>
        <stp>16890.T</stp>
        <stp>年初来安値</stp>
        <tr r="Z44" s="7"/>
      </tp>
      <tp t="s">
        <v>表示銘柄数超過</v>
        <stp/>
        <stp>Market</stp>
        <stp>STOCK</stp>
        <stp>31890.T</stp>
        <stp>年初来安値</stp>
        <tr r="Z255" s="7"/>
      </tp>
      <tp t="s">
        <v>表示銘柄数超過</v>
        <stp/>
        <stp>Market</stp>
        <stp>STOCK</stp>
        <stp>32890.T</stp>
        <stp>年初来安値</stp>
        <tr r="Z272" s="7"/>
      </tp>
      <tp t="s">
        <v>表示銘柄数超過</v>
        <stp/>
        <stp>Market</stp>
        <stp>STOCK</stp>
        <stp>39890.T</stp>
        <stp>年初来安値</stp>
        <tr r="Z404" s="7"/>
      </tp>
      <tp t="s">
        <v>表示銘柄数超過</v>
        <stp/>
        <stp>Market</stp>
        <stp>STOCK</stp>
        <stp>87890.T</stp>
        <stp>年初来安値</stp>
        <tr r="Z1048" s="7"/>
      </tp>
      <tp>
        <v>50626</v>
        <stp/>
        <stp>Market</stp>
        <stp>STOCK</stp>
        <stp>77950.T</stp>
        <stp>売買代金</stp>
        <tr r="W937" s="7"/>
      </tp>
      <tp>
        <v>155815</v>
        <stp/>
        <stp>Market</stp>
        <stp>STOCK</stp>
        <stp>77940.T</stp>
        <stp>売買代金</stp>
        <tr r="W936" s="7"/>
      </tp>
      <tp t="s">
        <v>表示銘柄数超過</v>
        <stp/>
        <stp>Market</stp>
        <stp>STOCK</stp>
        <stp>27900.T</stp>
        <stp>売買代金</stp>
        <tr r="W200" s="7"/>
      </tp>
      <tp t="s">
        <v>表示銘柄数超過</v>
        <stp/>
        <stp>Market</stp>
        <stp>STOCK</stp>
        <stp>87930.T</stp>
        <stp>売買代金</stp>
        <tr r="W1049" s="7"/>
      </tp>
      <tp t="s">
        <v>表示銘柄数超過</v>
        <stp/>
        <stp>Market</stp>
        <stp>STOCK</stp>
        <stp>37930.T</stp>
        <stp>売買代金</stp>
        <tr r="W360" s="7"/>
      </tp>
      <tp>
        <v>43980</v>
        <stp/>
        <stp>Market</stp>
        <stp>STOCK</stp>
        <stp>77920.T</stp>
        <stp>売買代金</stp>
        <tr r="W935" s="7"/>
      </tp>
      <tp t="s">
        <v>表示銘柄数超過</v>
        <stp/>
        <stp>Market</stp>
        <stp>STOCK</stp>
        <stp>87890.T</stp>
        <stp>売買代金</stp>
        <tr r="W1048" s="7"/>
      </tp>
      <tp t="s">
        <v>表示銘柄数超過</v>
        <stp/>
        <stp>Market</stp>
        <stp>STOCK</stp>
        <stp>97880.T</stp>
        <stp>売買代金</stp>
        <tr r="W1169" s="7"/>
      </tp>
      <tp t="s">
        <v>表示銘柄数超過</v>
        <stp/>
        <stp>Market</stp>
        <stp>STOCK</stp>
        <stp>37840.T</stp>
        <stp>売買代金</stp>
        <tr r="W359" s="7"/>
      </tp>
      <tp t="s">
        <v>表示銘柄数超過</v>
        <stp/>
        <stp>Market</stp>
        <stp>STOCK</stp>
        <stp>47840.T</stp>
        <stp>売買代金</stp>
        <tr r="W535" s="7"/>
      </tp>
      <tp t="s">
        <v>表示銘柄数超過</v>
        <stp/>
        <stp>Market</stp>
        <stp>STOCK</stp>
        <stp>97870.T</stp>
        <stp>売買代金</stp>
        <tr r="W1168" s="7"/>
      </tp>
      <tp t="s">
        <v>表示銘柄数超過</v>
        <stp/>
        <stp>Market</stp>
        <stp>STOCK</stp>
        <stp>97830.T</stp>
        <stp>売買代金</stp>
        <tr r="W1167" s="7"/>
      </tp>
      <tp t="s">
        <v>表示銘柄数超過</v>
        <stp/>
        <stp>Market</stp>
        <stp>STOCK</stp>
        <stp>87830.T</stp>
        <stp>売買代金</stp>
        <tr r="W1047" s="7"/>
      </tp>
      <tp t="s">
        <v>表示銘柄数超過</v>
        <stp/>
        <stp>Market</stp>
        <stp>STOCK</stp>
        <stp>17830.T</stp>
        <stp>売買代金</stp>
        <tr r="W56" s="7"/>
      </tp>
      <tp t="s">
        <v>表示銘柄数超過</v>
        <stp/>
        <stp>Market</stp>
        <stp>STOCK</stp>
        <stp>97820.T</stp>
        <stp>売買代金</stp>
        <tr r="W1166" s="7"/>
      </tp>
      <tp t="s">
        <v>表示銘柄数超過</v>
        <stp/>
        <stp>Market</stp>
        <stp>STOCK</stp>
        <stp>27820.T</stp>
        <stp>売買代金</stp>
        <tr r="W199" s="7"/>
      </tp>
      <tp t="s">
        <v>表示銘柄数超過</v>
        <stp/>
        <stp>Market</stp>
        <stp>STOCK</stp>
        <stp>37790.T</stp>
        <stp>売買代金</stp>
        <tr r="W358" s="7"/>
      </tp>
      <tp>
        <v>171126</v>
        <stp/>
        <stp>Market</stp>
        <stp>STOCK</stp>
        <stp>77790.T</stp>
        <stp>売買代金</stp>
        <tr r="W934" s="7"/>
      </tp>
      <tp t="s">
        <v>表示銘柄数超過</v>
        <stp/>
        <stp>Market</stp>
        <stp>STOCK</stp>
        <stp>37780.T</stp>
        <stp>売買代金</stp>
        <tr r="W357" s="7"/>
      </tp>
      <tp t="s">
        <v>表示銘柄数超過</v>
        <stp/>
        <stp>Market</stp>
        <stp>STOCK</stp>
        <stp>27780.T</stp>
        <stp>売買代金</stp>
        <tr r="W198" s="7"/>
      </tp>
      <tp>
        <v>33977</v>
        <stp/>
        <stp>Market</stp>
        <stp>STOCK</stp>
        <stp>67750.T</stp>
        <stp>売買代金</stp>
        <tr r="W770" s="7"/>
      </tp>
      <tp t="s">
        <v>表示銘柄数超過</v>
        <stp/>
        <stp>Market</stp>
        <stp>STOCK</stp>
        <stp>37770.T</stp>
        <stp>売買代金</stp>
        <tr r="W356" s="7"/>
      </tp>
      <tp t="s">
        <v>表示銘柄数超過</v>
        <stp/>
        <stp>Market</stp>
        <stp>STOCK</stp>
        <stp>47770.T</stp>
        <stp>売買代金</stp>
        <tr r="W534" s="7"/>
      </tp>
      <tp>
        <v>46828</v>
        <stp/>
        <stp>Market</stp>
        <stp>STOCK</stp>
        <stp>77770.T</stp>
        <stp>売買代金</stp>
        <tr r="W933" s="7"/>
      </tp>
      <tp>
        <v>213412</v>
        <stp/>
        <stp>Market</stp>
        <stp>STOCK</stp>
        <stp>67770.T</stp>
        <stp>売買代金</stp>
        <tr r="W772" s="7"/>
      </tp>
      <tp t="s">
        <v>表示銘柄数超過</v>
        <stp/>
        <stp>Market</stp>
        <stp>STOCK</stp>
        <stp>37760.T</stp>
        <stp>売買代金</stp>
        <tr r="W355" s="7"/>
      </tp>
      <tp t="s">
        <v>表示銘柄数超過</v>
        <stp/>
        <stp>Market</stp>
        <stp>STOCK</stp>
        <stp>27760.T</stp>
        <stp>売買代金</stp>
        <tr r="W197" s="7"/>
      </tp>
      <tp t="s">
        <v>表示銘柄数超過</v>
        <stp/>
        <stp>Market</stp>
        <stp>STOCK</stp>
        <stp>47760.T</stp>
        <stp>売買代金</stp>
        <tr r="W533" s="7"/>
      </tp>
      <tp>
        <v>66747</v>
        <stp/>
        <stp>Market</stp>
        <stp>STOCK</stp>
        <stp>77760.T</stp>
        <stp>売買代金</stp>
        <tr r="W932" s="7"/>
      </tp>
      <tp>
        <v>5580</v>
        <stp/>
        <stp>Market</stp>
        <stp>STOCK</stp>
        <stp>67760.T</stp>
        <stp>売買代金</stp>
        <tr r="W771" s="7"/>
      </tp>
      <tp>
        <v>1990</v>
        <stp/>
        <stp>Market</stp>
        <stp>STOCK</stp>
        <stp>77710.T</stp>
        <stp>売買代金</stp>
        <tr r="W931" s="7"/>
      </tp>
      <tp t="s">
        <v>表示銘柄数超過</v>
        <stp/>
        <stp>Market</stp>
        <stp>STOCK</stp>
        <stp>17700.T</stp>
        <stp>売買代金</stp>
        <tr r="W55" s="7"/>
      </tp>
      <tp t="s">
        <v>表示銘柄数超過</v>
        <stp/>
        <stp>Market</stp>
        <stp>STOCK</stp>
        <stp>37700.T</stp>
        <stp>売買代金</stp>
        <tr r="W353" s="7"/>
      </tp>
      <tp t="s">
        <v>表示銘柄数超過</v>
        <stp/>
        <stp>Market</stp>
        <stp>STOCK</stp>
        <stp>47700.T</stp>
        <stp>売買代金</stp>
        <tr r="W532" s="7"/>
      </tp>
      <tp t="s">
        <v>表示銘柄数超過</v>
        <stp/>
        <stp>Market</stp>
        <stp>STOCK</stp>
        <stp>37730.T</stp>
        <stp>売買代金</stp>
        <tr r="W354" s="7"/>
      </tp>
      <tp t="s">
        <v>表示銘柄数超過</v>
        <stp/>
        <stp>Market</stp>
        <stp>STOCK</stp>
        <stp>87690.T</stp>
        <stp>売買代金</stp>
        <tr r="W1046" s="7"/>
      </tp>
      <tp t="s">
        <v>表示銘柄数超過</v>
        <stp/>
        <stp>Market</stp>
        <stp>STOCK</stp>
        <stp>27680.T</stp>
        <stp>売買代金</stp>
        <tr r="W196" s="7"/>
      </tp>
      <tp>
        <v>223005</v>
        <stp/>
        <stp>Market</stp>
        <stp>STOCK</stp>
        <stp>67680.T</stp>
        <stp>売買代金</stp>
        <tr r="W769" s="7"/>
      </tp>
      <tp t="s">
        <v>表示銘柄数超過</v>
        <stp/>
        <stp>Market</stp>
        <stp>STOCK</stp>
        <stp>97650.T</stp>
        <stp>売買代金</stp>
        <tr r="W1165" s="7"/>
      </tp>
      <tp t="s">
        <v>表示銘柄数超過</v>
        <stp/>
        <stp>Market</stp>
        <stp>STOCK</stp>
        <stp>27640.T</stp>
        <stp>売買代金</stp>
        <tr r="W194" s="7"/>
      </tp>
      <tp t="s">
        <v>表示銘柄数超過</v>
        <stp/>
        <stp>Market</stp>
        <stp>STOCK</stp>
        <stp>27670.T</stp>
        <stp>売買代金</stp>
        <tr r="W195" s="7"/>
      </tp>
      <tp t="s">
        <v>表示銘柄数超過</v>
        <stp/>
        <stp>Market</stp>
        <stp>STOCK</stp>
        <stp>47670.T</stp>
        <stp>売買代金</stp>
        <tr r="W531" s="7"/>
      </tp>
      <tp t="s">
        <v>表示銘柄数超過</v>
        <stp/>
        <stp>Market</stp>
        <stp>STOCK</stp>
        <stp>87660.T</stp>
        <stp>売買代金</stp>
        <tr r="W1045" s="7"/>
      </tp>
      <tp t="s">
        <v>表示銘柄数超過</v>
        <stp/>
        <stp>Market</stp>
        <stp>STOCK</stp>
        <stp>47660.T</stp>
        <stp>売買代金</stp>
        <tr r="W530" s="7"/>
      </tp>
      <tp t="s">
        <v>表示銘柄数超過</v>
        <stp/>
        <stp>Market</stp>
        <stp>STOCK</stp>
        <stp>97600.T</stp>
        <stp>売買代金</stp>
        <tr r="W1164" s="7"/>
      </tp>
      <tp t="s">
        <v>表示銘柄数超過</v>
        <stp/>
        <stp>Market</stp>
        <stp>STOCK</stp>
        <stp>37600.T</stp>
        <stp>売買代金</stp>
        <tr r="W352" s="7"/>
      </tp>
      <tp t="s">
        <v>表示銘柄数超過</v>
        <stp/>
        <stp>Market</stp>
        <stp>STOCK</stp>
        <stp>27620.T</stp>
        <stp>売買代金</stp>
        <tr r="W193" s="7"/>
      </tp>
      <tp>
        <v>1468287</v>
        <stp/>
        <stp>Market</stp>
        <stp>STOCK</stp>
        <stp>77620.T</stp>
        <stp>売買代金</stp>
        <tr r="W930" s="7"/>
      </tp>
      <tp>
        <v>11381487</v>
        <stp/>
        <stp>Market</stp>
        <stp>STOCK</stp>
        <stp>67620.T</stp>
        <stp>売買代金</stp>
        <tr r="W768" s="7"/>
      </tp>
      <tp>
        <v>78953</v>
        <stp/>
        <stp>Market</stp>
        <stp>STOCK</stp>
        <stp>57590.T</stp>
        <stp>売買代金</stp>
        <tr r="W610" s="7"/>
      </tp>
      <tp t="s">
        <v>表示銘柄数超過</v>
        <stp/>
        <stp>Market</stp>
        <stp>STOCK</stp>
        <stp>37580.T</stp>
        <stp>売買代金</stp>
        <tr r="W351" s="7"/>
      </tp>
      <tp>
        <v>41476882</v>
        <stp/>
        <stp>Market</stp>
        <stp>STOCK</stp>
        <stp>67580.T</stp>
        <stp>売買代金</stp>
        <tr r="W767" s="7"/>
      </tp>
      <tp t="s">
        <v>表示銘柄数超過</v>
        <stp/>
        <stp>Market</stp>
        <stp>STOCK</stp>
        <stp>47550.T</stp>
        <stp>売買代金</stp>
        <tr r="W529" s="7"/>
      </tp>
      <tp>
        <v>1526390</v>
        <stp/>
        <stp>Market</stp>
        <stp>STOCK</stp>
        <stp>67540.T</stp>
        <stp>売買代金</stp>
        <tr r="W766" s="7"/>
      </tp>
      <tp t="s">
        <v>表示銘柄数超過</v>
        <stp/>
        <stp>Market</stp>
        <stp>STOCK</stp>
        <stp>17570.T</stp>
        <stp>売買代金</stp>
        <tr r="W54" s="7"/>
      </tp>
      <tp t="s">
        <v>表示銘柄数超過</v>
        <stp/>
        <stp>Market</stp>
        <stp>STOCK</stp>
        <stp>47510.T</stp>
        <stp>売買代金</stp>
        <tr r="W528" s="7"/>
      </tp>
      <tp>
        <v>21762800</v>
        <stp/>
        <stp>Market</stp>
        <stp>STOCK</stp>
        <stp>77510.T</stp>
        <stp>売買代金</stp>
        <tr r="W928" s="7"/>
      </tp>
      <tp t="s">
        <v>表示銘柄数超過</v>
        <stp/>
        <stp>Market</stp>
        <stp>STOCK</stp>
        <stp>87500.T</stp>
        <stp>売買代金</stp>
        <tr r="W1044" s="7"/>
      </tp>
      <tp>
        <v>248632</v>
        <stp/>
        <stp>Market</stp>
        <stp>STOCK</stp>
        <stp>67500.T</stp>
        <stp>売買代金</stp>
        <tr r="W763" s="7"/>
      </tp>
      <tp>
        <v>12777506</v>
        <stp/>
        <stp>Market</stp>
        <stp>STOCK</stp>
        <stp>67530.T</stp>
        <stp>売買代金</stp>
        <tr r="W765" s="7"/>
      </tp>
      <tp>
        <v>6923925</v>
        <stp/>
        <stp>Market</stp>
        <stp>STOCK</stp>
        <stp>77520.T</stp>
        <stp>売買代金</stp>
        <tr r="W929" s="7"/>
      </tp>
      <tp>
        <v>15282802</v>
        <stp/>
        <stp>Market</stp>
        <stp>STOCK</stp>
        <stp>67520.T</stp>
        <stp>売買代金</stp>
        <tr r="W764" s="7"/>
      </tp>
      <tp t="s">
        <v>表示銘柄数超過</v>
        <stp/>
        <stp>Market</stp>
        <stp>STOCK</stp>
        <stp>27490.T</stp>
        <stp>売買代金</stp>
        <tr r="W192" s="7"/>
      </tp>
      <tp>
        <v>3607</v>
        <stp/>
        <stp>Market</stp>
        <stp>STOCK</stp>
        <stp>67480.T</stp>
        <stp>売買代金</stp>
        <tr r="W762" s="7"/>
      </tp>
      <tp>
        <v>424890</v>
        <stp/>
        <stp>Market</stp>
        <stp>STOCK</stp>
        <stp>77450.T</stp>
        <stp>売買代金</stp>
        <tr r="W927" s="7"/>
      </tp>
      <tp t="s">
        <v>表示銘柄数超過</v>
        <stp/>
        <stp>Market</stp>
        <stp>STOCK</stp>
        <stp>37470.T</stp>
        <stp>売買代金</stp>
        <tr r="W350" s="7"/>
      </tp>
      <tp>
        <v>18934</v>
        <stp/>
        <stp>Market</stp>
        <stp>STOCK</stp>
        <stp>87460.T</stp>
        <stp>売買代金</stp>
        <tr r="W1043" s="7"/>
      </tp>
      <tp t="s">
        <v>表示銘柄数超過</v>
        <stp/>
        <stp>Market</stp>
        <stp>STOCK</stp>
        <stp>37410.T</stp>
        <stp>売買代金</stp>
        <tr r="W349" s="7"/>
      </tp>
      <tp>
        <v>262627</v>
        <stp/>
        <stp>Market</stp>
        <stp>STOCK</stp>
        <stp>67410.T</stp>
        <stp>売買代金</stp>
        <tr r="W760" s="7"/>
      </tp>
      <tp>
        <v>574062</v>
        <stp/>
        <stp>Market</stp>
        <stp>STOCK</stp>
        <stp>67400.T</stp>
        <stp>売買代金</stp>
        <tr r="W759" s="7"/>
      </tp>
      <tp t="s">
        <v>表示銘柄数超過</v>
        <stp/>
        <stp>Market</stp>
        <stp>STOCK</stp>
        <stp>17430.T</stp>
        <stp>売買代金</stp>
        <tr r="W53" s="7"/>
      </tp>
      <tp t="s">
        <v>表示銘柄数超過</v>
        <stp/>
        <stp>Market</stp>
        <stp>STOCK</stp>
        <stp>27430.T</stp>
        <stp>売買代金</stp>
        <tr r="W191" s="7"/>
      </tp>
      <tp>
        <v>3031</v>
        <stp/>
        <stp>Market</stp>
        <stp>STOCK</stp>
        <stp>87420.T</stp>
        <stp>売買代金</stp>
        <tr r="W1042" s="7"/>
      </tp>
      <tp>
        <v>27640</v>
        <stp/>
        <stp>Market</stp>
        <stp>STOCK</stp>
        <stp>67420.T</stp>
        <stp>売買代金</stp>
        <tr r="W761" s="7"/>
      </tp>
      <tp>
        <v>111651</v>
        <stp/>
        <stp>Market</stp>
        <stp>STOCK</stp>
        <stp>77390.T</stp>
        <stp>売買代金</stp>
        <tr r="W926" s="7"/>
      </tp>
      <tp t="s">
        <v>表示銘柄数超過</v>
        <stp/>
        <stp>Market</stp>
        <stp>STOCK</stp>
        <stp>37380.T</stp>
        <stp>売買代金</stp>
        <tr r="W348" s="7"/>
      </tp>
      <tp t="s">
        <v>表示銘柄数超過</v>
        <stp/>
        <stp>Market</stp>
        <stp>STOCK</stp>
        <stp>27350.T</stp>
        <stp>売買代金</stp>
        <tr r="W190" s="7"/>
      </tp>
      <tp t="s">
        <v>表示銘柄数超過</v>
        <stp/>
        <stp>Market</stp>
        <stp>STOCK</stp>
        <stp>27340.T</stp>
        <stp>売買代金</stp>
        <tr r="W189" s="7"/>
      </tp>
      <tp>
        <v>53993</v>
        <stp/>
        <stp>Market</stp>
        <stp>STOCK</stp>
        <stp>87370.T</stp>
        <stp>売買代金</stp>
        <tr r="W1041" s="7"/>
      </tp>
      <tp>
        <v>128430</v>
        <stp/>
        <stp>Market</stp>
        <stp>STOCK</stp>
        <stp>67310.T</stp>
        <stp>売買代金</stp>
        <tr r="W758" s="7"/>
      </tp>
      <tp t="s">
        <v>表示銘柄数超過</v>
        <stp/>
        <stp>Market</stp>
        <stp>STOCK</stp>
        <stp>17300.T</stp>
        <stp>売買代金</stp>
        <tr r="W52" s="7"/>
      </tp>
      <tp>
        <v>25693</v>
        <stp/>
        <stp>Market</stp>
        <stp>STOCK</stp>
        <stp>87320.T</stp>
        <stp>売買代金</stp>
        <tr r="W1040" s="7"/>
      </tp>
      <tp>
        <v>684331</v>
        <stp/>
        <stp>Market</stp>
        <stp>STOCK</stp>
        <stp>77320.T</stp>
        <stp>売買代金</stp>
        <tr r="W925" s="7"/>
      </tp>
      <tp>
        <v>57922</v>
        <stp/>
        <stp>Market</stp>
        <stp>STOCK</stp>
        <stp>77250.T</stp>
        <stp>売買代金</stp>
        <tr r="W924" s="7"/>
      </tp>
      <tp t="s">
        <v>表示銘柄数超過</v>
        <stp/>
        <stp>Market</stp>
        <stp>STOCK</stp>
        <stp>37270.T</stp>
        <stp>売買代金</stp>
        <tr r="W347" s="7"/>
      </tp>
      <tp>
        <v>1363489</v>
        <stp/>
        <stp>Market</stp>
        <stp>STOCK</stp>
        <stp>57270.T</stp>
        <stp>売買代金</stp>
        <tr r="W609" s="7"/>
      </tp>
      <tp>
        <v>12564842</v>
        <stp/>
        <stp>Market</stp>
        <stp>STOCK</stp>
        <stp>57260.T</stp>
        <stp>売買代金</stp>
        <tr r="W608" s="7"/>
      </tp>
      <tp t="s">
        <v>表示銘柄数超過</v>
        <stp/>
        <stp>Market</stp>
        <stp>STOCK</stp>
        <stp>47260.T</stp>
        <stp>売買代金</stp>
        <tr r="W527" s="7"/>
      </tp>
      <tp t="s">
        <v>表示銘柄数超過</v>
        <stp/>
        <stp>Market</stp>
        <stp>STOCK</stp>
        <stp>17210.T</stp>
        <stp>売買代金</stp>
        <tr r="W51" s="7"/>
      </tp>
      <tp t="s">
        <v>表示銘柄数超過</v>
        <stp/>
        <stp>Market</stp>
        <stp>STOCK</stp>
        <stp>27210.T</stp>
        <stp>売買代金</stp>
        <tr r="W187" s="7"/>
      </tp>
      <tp>
        <v>6305</v>
        <stp/>
        <stp>Market</stp>
        <stp>STOCK</stp>
        <stp>67210.T</stp>
        <stp>売買代金</stp>
        <tr r="W756" s="7"/>
      </tp>
      <tp t="s">
        <v>表示銘柄数超過</v>
        <stp/>
        <stp>Market</stp>
        <stp>STOCK</stp>
        <stp>17200.T</stp>
        <stp>売買代金</stp>
        <tr r="W50" s="7"/>
      </tp>
      <tp t="s">
        <v>表示銘柄数超過</v>
        <stp/>
        <stp>Market</stp>
        <stp>STOCK</stp>
        <stp>47200.T</stp>
        <stp>売買代金</stp>
        <tr r="W526" s="7"/>
      </tp>
      <tp t="s">
        <v>表示銘柄数超過</v>
        <stp/>
        <stp>Market</stp>
        <stp>STOCK</stp>
        <stp>97230.T</stp>
        <stp>売買代金</stp>
        <tr r="W1163" s="7"/>
      </tp>
      <tp t="s">
        <v>表示銘柄数超過</v>
        <stp/>
        <stp>Market</stp>
        <stp>STOCK</stp>
        <stp>37230.T</stp>
        <stp>売買代金</stp>
        <tr r="W346" s="7"/>
      </tp>
      <tp>
        <v>40899689</v>
        <stp/>
        <stp>Market</stp>
        <stp>STOCK</stp>
        <stp>67230.T</stp>
        <stp>売買代金</stp>
        <tr r="W757" s="7"/>
      </tp>
      <tp t="s">
        <v>表示銘柄数超過</v>
        <stp/>
        <stp>Market</stp>
        <stp>STOCK</stp>
        <stp>27220.T</stp>
        <stp>売買代金</stp>
        <tr r="W188" s="7"/>
      </tp>
      <tp>
        <v>812</v>
        <stp/>
        <stp>Market</stp>
        <stp>STOCK</stp>
        <stp>77220.T</stp>
        <stp>売買代金</stp>
        <tr r="W923" s="7"/>
      </tp>
      <tp t="s">
        <v>表示銘柄数超過</v>
        <stp/>
        <stp>Market</stp>
        <stp>STOCK</stp>
        <stp>17190.T</stp>
        <stp>売買代金</stp>
        <tr r="W49" s="7"/>
      </tp>
      <tp t="s">
        <v>表示銘柄数超過</v>
        <stp/>
        <stp>Market</stp>
        <stp>STOCK</stp>
        <stp>37190.T</stp>
        <stp>売買代金</stp>
        <tr r="W345" s="7"/>
      </tp>
      <tp>
        <v>12376</v>
        <stp/>
        <stp>Market</stp>
        <stp>STOCK</stp>
        <stp>77190.T</stp>
        <stp>売買代金</stp>
        <tr r="W922" s="7"/>
      </tp>
      <tp t="s">
        <v>表示銘柄数超過</v>
        <stp/>
        <stp>Market</stp>
        <stp>STOCK</stp>
        <stp>47140.T</stp>
        <stp>売買代金</stp>
        <tr r="W524" s="7"/>
      </tp>
      <tp t="s">
        <v>表示銘柄数超過</v>
        <stp/>
        <stp>Market</stp>
        <stp>STOCK</stp>
        <stp>17160.T</stp>
        <stp>売買代金</stp>
        <tr r="W48" s="7"/>
      </tp>
      <tp t="s">
        <v>表示銘柄数超過</v>
        <stp/>
        <stp>Market</stp>
        <stp>STOCK</stp>
        <stp>47160.T</stp>
        <stp>売買代金</stp>
        <tr r="W525" s="7"/>
      </tp>
      <tp t="s">
        <v>表示銘柄数超過</v>
        <stp/>
        <stp>Market</stp>
        <stp>STOCK</stp>
        <stp>17110.T</stp>
        <stp>売買代金</stp>
        <tr r="W46" s="7"/>
      </tp>
      <tp>
        <v>2159453</v>
        <stp/>
        <stp>Market</stp>
        <stp>STOCK</stp>
        <stp>57110.T</stp>
        <stp>売買代金</stp>
        <tr r="W607" s="7"/>
      </tp>
      <tp t="s">
        <v>表示銘柄数超過</v>
        <stp/>
        <stp>Market</stp>
        <stp>STOCK</stp>
        <stp>37100.T</stp>
        <stp>売買代金</stp>
        <tr r="W344" s="7"/>
      </tp>
      <tp t="s">
        <v>表示銘柄数超過</v>
        <stp/>
        <stp>Market</stp>
        <stp>STOCK</stp>
        <stp>17120.T</stp>
        <stp>売買代金</stp>
        <tr r="W47" s="7"/>
      </tp>
      <tp t="s">
        <v>表示銘柄数超過</v>
        <stp/>
        <stp>Market</stp>
        <stp>STOCK</stp>
        <stp>97090.T</stp>
        <stp>売買代金</stp>
        <tr r="W1162" s="7"/>
      </tp>
      <tp>
        <v>1320</v>
        <stp/>
        <stp>Market</stp>
        <stp>STOCK</stp>
        <stp>77090.T</stp>
        <stp>売買代金</stp>
        <tr r="W921" s="7"/>
      </tp>
      <tp>
        <v>28896</v>
        <stp/>
        <stp>Market</stp>
        <stp>STOCK</stp>
        <stp>87080.T</stp>
        <stp>売買代金</stp>
        <tr r="W1039" s="7"/>
      </tp>
      <tp>
        <v>9265</v>
        <stp/>
        <stp>Market</stp>
        <stp>STOCK</stp>
        <stp>87050.T</stp>
        <stp>売買代金</stp>
        <tr r="W1037" s="7"/>
      </tp>
      <tp t="s">
        <v>表示銘柄数超過</v>
        <stp/>
        <stp>Market</stp>
        <stp>STOCK</stp>
        <stp>47050.T</stp>
        <stp>売買代金</stp>
        <tr r="W522" s="7"/>
      </tp>
      <tp>
        <v>135860</v>
        <stp/>
        <stp>Market</stp>
        <stp>STOCK</stp>
        <stp>57040.T</stp>
        <stp>売買代金</stp>
        <tr r="W606" s="7"/>
      </tp>
      <tp t="s">
        <v>表示銘柄数超過</v>
        <stp/>
        <stp>Market</stp>
        <stp>STOCK</stp>
        <stp>47070.T</stp>
        <stp>売買代金</stp>
        <tr r="W523" s="7"/>
      </tp>
      <tp>
        <v>125052</v>
        <stp/>
        <stp>Market</stp>
        <stp>STOCK</stp>
        <stp>87060.T</stp>
        <stp>売買代金</stp>
        <tr r="W1038" s="7"/>
      </tp>
      <tp>
        <v>8262163</v>
        <stp/>
        <stp>Market</stp>
        <stp>STOCK</stp>
        <stp>67010.T</stp>
        <stp>売買代金</stp>
        <tr r="W754" s="7"/>
      </tp>
      <tp>
        <v>313430</v>
        <stp/>
        <stp>Market</stp>
        <stp>STOCK</stp>
        <stp>57030.T</stp>
        <stp>売買代金</stp>
        <tr r="W605" s="7"/>
      </tp>
      <tp t="s">
        <v>表示銘柄数超過</v>
        <stp/>
        <stp>Market</stp>
        <stp>STOCK</stp>
        <stp>27020.T</stp>
        <stp>売買代金</stp>
        <tr r="W186" s="7"/>
      </tp>
      <tp>
        <v>15985788</v>
        <stp/>
        <stp>Market</stp>
        <stp>STOCK</stp>
        <stp>67020.T</stp>
        <stp>売買代金</stp>
        <tr r="W755" s="7"/>
      </tp>
      <tp t="s">
        <v>表示銘柄数超過</v>
        <stp/>
        <stp>Market</stp>
        <stp>STOCK</stp>
        <stp>98880.T</stp>
        <stp>高値</stp>
        <tr r="N1176" s="7"/>
      </tp>
      <tp t="s">
        <v>表示銘柄数超過</v>
        <stp/>
        <stp>Market</stp>
        <stp>STOCK</stp>
        <stp>99080.T</stp>
        <stp>高値</stp>
        <tr r="N1179" s="7"/>
      </tp>
      <tp t="s">
        <v>表示銘柄数超過</v>
        <stp/>
        <stp>Market</stp>
        <stp>STOCK</stp>
        <stp>99280.T</stp>
        <stp>高値</stp>
        <tr r="N1182" s="7"/>
      </tp>
      <tp t="s">
        <v>表示銘柄数超過</v>
        <stp/>
        <stp>Market</stp>
        <stp>STOCK</stp>
        <stp>92480.T</stp>
        <stp>高値</stp>
        <tr r="N1102" s="7"/>
      </tp>
      <tp t="s">
        <v>表示銘柄数超過</v>
        <stp/>
        <stp>Market</stp>
        <stp>STOCK</stp>
        <stp>92780.T</stp>
        <stp>高値</stp>
        <tr r="N1108" s="7"/>
      </tp>
      <tp t="s">
        <v>表示銘柄数超過</v>
        <stp/>
        <stp>Market</stp>
        <stp>STOCK</stp>
        <stp>90480.T</stp>
        <stp>高値</stp>
        <tr r="N1088" s="7"/>
      </tp>
      <tp t="s">
        <v>表示銘柄数超過</v>
        <stp/>
        <stp>Market</stp>
        <stp>STOCK</stp>
        <stp>90080.T</stp>
        <stp>高値</stp>
        <tr r="N1078" s="7"/>
      </tp>
      <tp t="s">
        <v>表示銘柄数超過</v>
        <stp/>
        <stp>Market</stp>
        <stp>STOCK</stp>
        <stp>97880.T</stp>
        <stp>高値</stp>
        <tr r="N1169" s="7"/>
      </tp>
      <tp t="s">
        <v>表示銘柄数超過</v>
        <stp/>
        <stp>Market</stp>
        <stp>STOCK</stp>
        <stp>95080.T</stp>
        <stp>高値</stp>
        <tr r="N1147" s="7"/>
      </tp>
      <tp t="s">
        <v>表示銘柄数超過</v>
        <stp/>
        <stp>Market</stp>
        <stp>STOCK</stp>
        <stp>88180.T</stp>
        <stp>高値</stp>
        <tr r="N1053" s="7"/>
      </tp>
      <tp t="s">
        <v>表示銘柄数超過</v>
        <stp/>
        <stp>Market</stp>
        <stp>STOCK</stp>
        <stp>89180.T</stp>
        <stp>高値</stp>
        <tr r="N1064" s="7"/>
      </tp>
      <tp t="s">
        <v>表示銘柄数超過</v>
        <stp/>
        <stp>Market</stp>
        <stp>STOCK</stp>
        <stp>89380.T</stp>
        <stp>高値</stp>
        <tr r="N1068" s="7"/>
      </tp>
      <tp>
        <v>810</v>
        <stp/>
        <stp>Market</stp>
        <stp>STOCK</stp>
        <stp>83580.T</stp>
        <stp>高値</stp>
        <tr r="N1006" s="7"/>
      </tp>
      <tp>
        <v>2812.5</v>
        <stp/>
        <stp>Market</stp>
        <stp>STOCK</stp>
        <stp>80580.T</stp>
        <stp>高値</stp>
        <tr r="N972" s="7"/>
      </tp>
      <tp>
        <v>1973</v>
        <stp/>
        <stp>Market</stp>
        <stp>STOCK</stp>
        <stp>80080.T</stp>
        <stp>高値</stp>
        <tr r="N966" s="7"/>
      </tp>
      <tp>
        <v>701</v>
        <stp/>
        <stp>Market</stp>
        <stp>STOCK</stp>
        <stp>81180.T</stp>
        <stp>高値</stp>
        <tr r="N979" s="7"/>
      </tp>
      <tp>
        <v>732</v>
        <stp/>
        <stp>Market</stp>
        <stp>STOCK</stp>
        <stp>86980.T</stp>
        <stp>高値</stp>
        <tr r="N1036" s="7"/>
      </tp>
      <tp>
        <v>854</v>
        <stp/>
        <stp>Market</stp>
        <stp>STOCK</stp>
        <stp>86280.T</stp>
        <stp>高値</stp>
        <tr r="N1034" s="7"/>
      </tp>
      <tp>
        <v>1219</v>
        <stp/>
        <stp>Market</stp>
        <stp>STOCK</stp>
        <stp>87080.T</stp>
        <stp>高値</stp>
        <tr r="N1039" s="7"/>
      </tp>
      <tp>
        <v>286</v>
        <stp/>
        <stp>Market</stp>
        <stp>STOCK</stp>
        <stp>85180.T</stp>
        <stp>高値</stp>
        <tr r="N1017" s="7"/>
      </tp>
      <tp>
        <v>475</v>
        <stp/>
        <stp>Market</stp>
        <stp>STOCK</stp>
        <stp>85080.T</stp>
        <stp>高値</stp>
        <tr r="N1014" s="7"/>
      </tp>
      <tp>
        <v>675</v>
        <stp/>
        <stp>Market</stp>
        <stp>STOCK</stp>
        <stp>78880.T</stp>
        <stp>高値</stp>
        <tr r="N951" s="7"/>
      </tp>
      <tp>
        <v>747</v>
        <stp/>
        <stp>Market</stp>
        <stp>STOCK</stp>
        <stp>78680.T</stp>
        <stp>高値</stp>
        <tr r="N950" s="7"/>
      </tp>
      <tp>
        <v>184</v>
        <stp/>
        <stp>Market</stp>
        <stp>STOCK</stp>
        <stp>79180.T</stp>
        <stp>高値</stp>
        <tr r="N955" s="7"/>
      </tp>
      <tp>
        <v>212</v>
        <stp/>
        <stp>Market</stp>
        <stp>STOCK</stp>
        <stp>79080.T</stp>
        <stp>高値</stp>
        <tr r="N953" s="7"/>
      </tp>
      <tp t="s">
        <v/>
        <stp/>
        <stp>Market</stp>
        <stp>STOCK</stp>
        <stp>72980.T</stp>
        <stp>高値</stp>
        <tr r="N873" s="7"/>
      </tp>
      <tp>
        <v>356</v>
        <stp/>
        <stp>Market</stp>
        <stp>STOCK</stp>
        <stp>72680.T</stp>
        <stp>高値</stp>
        <tr r="N865" s="7"/>
      </tp>
      <tp>
        <v>116</v>
        <stp/>
        <stp>Market</stp>
        <stp>STOCK</stp>
        <stp>72380.T</stp>
        <stp>高値</stp>
        <tr r="N856" s="7"/>
      </tp>
      <tp>
        <v>803</v>
        <stp/>
        <stp>Market</stp>
        <stp>STOCK</stp>
        <stp>70880.T</stp>
        <stp>高値</stp>
        <tr r="N824" s="7"/>
      </tp>
      <tp>
        <v>596</v>
        <stp/>
        <stp>Market</stp>
        <stp>STOCK</stp>
        <stp>70480.T</stp>
        <stp>高値</stp>
        <tr r="N816" s="7"/>
      </tp>
      <tp>
        <v>546</v>
        <stp/>
        <stp>Market</stp>
        <stp>STOCK</stp>
        <stp>70680.T</stp>
        <stp>高値</stp>
        <tr r="N822" s="7"/>
      </tp>
      <tp>
        <v>1791</v>
        <stp/>
        <stp>Market</stp>
        <stp>STOCK</stp>
        <stp>71480.T</stp>
        <stp>高値</stp>
        <tr r="N830" s="7"/>
      </tp>
      <tp>
        <v>1532</v>
        <stp/>
        <stp>Market</stp>
        <stp>STOCK</stp>
        <stp>74080.T</stp>
        <stp>高値</stp>
        <tr r="N886" s="7"/>
      </tp>
      <tp>
        <v>436</v>
        <stp/>
        <stp>Market</stp>
        <stp>STOCK</stp>
        <stp>75780.T</stp>
        <stp>高値</stp>
        <tr r="N905" s="7"/>
      </tp>
      <tp>
        <v>339</v>
        <stp/>
        <stp>Market</stp>
        <stp>STOCK</stp>
        <stp>75380.T</stp>
        <stp>高値</stp>
        <tr r="N902" s="7"/>
      </tp>
      <tp>
        <v>753</v>
        <stp/>
        <stp>Market</stp>
        <stp>STOCK</stp>
        <stp>69580.T</stp>
        <stp>高値</stp>
        <tr r="N796" s="7"/>
      </tp>
      <tp>
        <v>298</v>
        <stp/>
        <stp>Market</stp>
        <stp>STOCK</stp>
        <stp>69380.T</stp>
        <stp>高値</stp>
        <tr r="N790" s="7"/>
      </tp>
      <tp>
        <v>2407</v>
        <stp/>
        <stp>Market</stp>
        <stp>STOCK</stp>
        <stp>62980.T</stp>
        <stp>高値</stp>
        <tr r="N685" s="7"/>
      </tp>
      <tp>
        <v>713</v>
        <stp/>
        <stp>Market</stp>
        <stp>STOCK</stp>
        <stp>62180.T</stp>
        <stp>高値</stp>
        <tr r="N678" s="7"/>
      </tp>
      <tp>
        <v>5806</v>
        <stp/>
        <stp>Market</stp>
        <stp>STOCK</stp>
        <stp>60980.T</stp>
        <stp>高値</stp>
        <tr r="N654" s="7"/>
      </tp>
      <tp>
        <v>137</v>
        <stp/>
        <stp>Market</stp>
        <stp>STOCK</stp>
        <stp>60480.T</stp>
        <stp>高値</stp>
        <tr r="N644" s="7"/>
      </tp>
      <tp>
        <v>3426</v>
        <stp/>
        <stp>Market</stp>
        <stp>STOCK</stp>
        <stp>60280.T</stp>
        <stp>高値</stp>
        <tr r="N637" s="7"/>
      </tp>
      <tp>
        <v>614</v>
        <stp/>
        <stp>Market</stp>
        <stp>STOCK</stp>
        <stp>61880.T</stp>
        <stp>高値</stp>
        <tr r="N672" s="7"/>
      </tp>
      <tp>
        <v>1416</v>
        <stp/>
        <stp>Market</stp>
        <stp>STOCK</stp>
        <stp>61780.T</stp>
        <stp>高値</stp>
        <tr r="N666" s="7"/>
      </tp>
      <tp>
        <v>536</v>
        <stp/>
        <stp>Market</stp>
        <stp>STOCK</stp>
        <stp>66580.T</stp>
        <stp>高値</stp>
        <tr r="N748" s="7"/>
      </tp>
      <tp>
        <v>14380</v>
        <stp/>
        <stp>Market</stp>
        <stp>STOCK</stp>
        <stp>67580.T</stp>
        <stp>高値</stp>
        <tr r="N767" s="7"/>
      </tp>
      <tp>
        <v>483</v>
        <stp/>
        <stp>Market</stp>
        <stp>STOCK</stp>
        <stp>67480.T</stp>
        <stp>高値</stp>
        <tr r="N762" s="7"/>
      </tp>
      <tp>
        <v>546</v>
        <stp/>
        <stp>Market</stp>
        <stp>STOCK</stp>
        <stp>67680.T</stp>
        <stp>高値</stp>
        <tr r="N769" s="7"/>
      </tp>
      <tp>
        <v>1227</v>
        <stp/>
        <stp>Market</stp>
        <stp>STOCK</stp>
        <stp>64980.T</stp>
        <stp>高値</stp>
        <tr r="N712" s="7"/>
      </tp>
      <tp>
        <v>1446</v>
        <stp/>
        <stp>Market</stp>
        <stp>STOCK</stp>
        <stp>64180.T</stp>
        <stp>高値</stp>
        <tr r="N700" s="7"/>
      </tp>
      <tp>
        <v>3215</v>
        <stp/>
        <stp>Market</stp>
        <stp>STOCK</stp>
        <stp>65880.T</stp>
        <stp>高値</stp>
        <tr r="N734" s="7"/>
      </tp>
      <tp>
        <v>270</v>
        <stp/>
        <stp>Market</stp>
        <stp>STOCK</stp>
        <stp>65780.T</stp>
        <stp>高値</stp>
        <tr r="N731" s="7"/>
      </tp>
      <tp>
        <v>2351</v>
        <stp/>
        <stp>Market</stp>
        <stp>STOCK</stp>
        <stp>58380.T</stp>
        <stp>高値</stp>
        <tr r="N615" s="7"/>
      </tp>
      <tp>
        <v>1980.5</v>
        <stp/>
        <stp>Market</stp>
        <stp>STOCK</stp>
        <stp>59380.T</stp>
        <stp>高値</stp>
        <tr r="N621" s="7"/>
      </tp>
      <tp>
        <v>315</v>
        <stp/>
        <stp>Market</stp>
        <stp>STOCK</stp>
        <stp>59280.T</stp>
        <stp>高値</stp>
        <tr r="N619" s="7"/>
      </tp>
      <tp t="s">
        <v>表示銘柄数超過</v>
        <stp/>
        <stp>Market</stp>
        <stp>STOCK</stp>
        <stp>50280.T</stp>
        <stp>高値</stp>
        <tr r="N564" s="7"/>
      </tp>
      <tp>
        <v>6361</v>
        <stp/>
        <stp>Market</stp>
        <stp>STOCK</stp>
        <stp>51080.T</stp>
        <stp>高値</stp>
        <tr r="N568" s="7"/>
      </tp>
      <tp>
        <v>596</v>
        <stp/>
        <stp>Market</stp>
        <stp>STOCK</stp>
        <stp>56980.T</stp>
        <stp>高値</stp>
        <tr r="N604" s="7"/>
      </tp>
      <tp>
        <v>335</v>
        <stp/>
        <stp>Market</stp>
        <stp>STOCK</stp>
        <stp>56580.T</stp>
        <stp>高値</stp>
        <tr r="N603" s="7"/>
      </tp>
      <tp>
        <v>943</v>
        <stp/>
        <stp>Market</stp>
        <stp>STOCK</stp>
        <stp>54080.T</stp>
        <stp>高値</stp>
        <tr r="N592" s="7"/>
      </tp>
      <tp t="s">
        <v>表示銘柄数超過</v>
        <stp/>
        <stp>Market</stp>
        <stp>STOCK</stp>
        <stp>48380.T</stp>
        <stp>高値</stp>
        <tr r="N543" s="7"/>
      </tp>
      <tp t="s">
        <v>表示銘柄数超過</v>
        <stp/>
        <stp>Market</stp>
        <stp>STOCK</stp>
        <stp>49780.T</stp>
        <stp>高値</stp>
        <tr r="N556" s="7"/>
      </tp>
      <tp t="s">
        <v>表示銘柄数超過</v>
        <stp/>
        <stp>Market</stp>
        <stp>STOCK</stp>
        <stp>42580.T</stp>
        <stp>高値</stp>
        <tr r="N431" s="7"/>
      </tp>
      <tp t="s">
        <v>表示銘柄数超過</v>
        <stp/>
        <stp>Market</stp>
        <stp>STOCK</stp>
        <stp>42680.T</stp>
        <stp>高値</stp>
        <tr r="N434" s="7"/>
      </tp>
      <tp t="s">
        <v>表示銘柄数超過</v>
        <stp/>
        <stp>Market</stp>
        <stp>STOCK</stp>
        <stp>42380.T</stp>
        <stp>高値</stp>
        <tr r="N428" s="7"/>
      </tp>
      <tp t="s">
        <v>表示銘柄数超過</v>
        <stp/>
        <stp>Market</stp>
        <stp>STOCK</stp>
        <stp>43880.T</stp>
        <stp>高値</stp>
        <tr r="N457" s="7"/>
      </tp>
      <tp t="s">
        <v>表示銘柄数超過</v>
        <stp/>
        <stp>Market</stp>
        <stp>STOCK</stp>
        <stp>43780.T</stp>
        <stp>高値</stp>
        <tr r="N453" s="7"/>
      </tp>
      <tp t="s">
        <v>表示銘柄数超過</v>
        <stp/>
        <stp>Market</stp>
        <stp>STOCK</stp>
        <stp>43080.T</stp>
        <stp>高値</stp>
        <tr r="N441" s="7"/>
      </tp>
      <tp t="s">
        <v>表示銘柄数超過</v>
        <stp/>
        <stp>Market</stp>
        <stp>STOCK</stp>
        <stp>41880.T</stp>
        <stp>高値</stp>
        <tr r="N423" s="7"/>
      </tp>
      <tp t="s">
        <v>表示銘柄数超過</v>
        <stp/>
        <stp>Market</stp>
        <stp>STOCK</stp>
        <stp>44480.T</stp>
        <stp>高値</stp>
        <tr r="N468" s="7"/>
      </tp>
      <tp t="s">
        <v>表示銘柄数超過</v>
        <stp/>
        <stp>Market</stp>
        <stp>STOCK</stp>
        <stp>44380.T</stp>
        <stp>高値</stp>
        <tr r="N465" s="7"/>
      </tp>
      <tp t="s">
        <v>表示銘柄数超過</v>
        <stp/>
        <stp>Market</stp>
        <stp>STOCK</stp>
        <stp>45880.T</stp>
        <stp>高値</stp>
        <tr r="N501" s="7"/>
      </tp>
      <tp t="s">
        <v>表示銘柄数超過</v>
        <stp/>
        <stp>Market</stp>
        <stp>STOCK</stp>
        <stp>45580.T</stp>
        <stp>高値</stp>
        <tr r="N485" s="7"/>
      </tp>
      <tp t="s">
        <v>表示銘柄数超過</v>
        <stp/>
        <stp>Market</stp>
        <stp>STOCK</stp>
        <stp>45780.T</stp>
        <stp>高値</stp>
        <tr r="N496" s="7"/>
      </tp>
      <tp t="s">
        <v>表示銘柄数超過</v>
        <stp/>
        <stp>Market</stp>
        <stp>STOCK</stp>
        <stp>45680.T</stp>
        <stp>高値</stp>
        <tr r="N489" s="7"/>
      </tp>
      <tp t="s">
        <v>表示銘柄数超過</v>
        <stp/>
        <stp>Market</stp>
        <stp>STOCK</stp>
        <stp>38580.T</stp>
        <stp>高値</stp>
        <tr r="N378" s="7"/>
      </tp>
      <tp t="s">
        <v>表示銘柄数超過</v>
        <stp/>
        <stp>Market</stp>
        <stp>STOCK</stp>
        <stp>39980.T</stp>
        <stp>高値</stp>
        <tr r="N409" s="7"/>
      </tp>
      <tp t="s">
        <v>表示銘柄数超過</v>
        <stp/>
        <stp>Market</stp>
        <stp>STOCK</stp>
        <stp>39280.T</stp>
        <stp>高値</stp>
        <tr r="N394" s="7"/>
      </tp>
      <tp t="s">
        <v>表示銘柄数超過</v>
        <stp/>
        <stp>Market</stp>
        <stp>STOCK</stp>
        <stp>32880.T</stp>
        <stp>高値</stp>
        <tr r="N271" s="7"/>
      </tp>
      <tp t="s">
        <v>表示銘柄数超過</v>
        <stp/>
        <stp>Market</stp>
        <stp>STOCK</stp>
        <stp>32380.T</stp>
        <stp>高値</stp>
        <tr r="N261" s="7"/>
      </tp>
      <tp t="s">
        <v>表示銘柄数超過</v>
        <stp/>
        <stp>Market</stp>
        <stp>STOCK</stp>
        <stp>33880.T</stp>
        <stp>高値</stp>
        <tr r="N292" s="7"/>
      </tp>
      <tp t="s">
        <v>表示銘柄数超過</v>
        <stp/>
        <stp>Market</stp>
        <stp>STOCK</stp>
        <stp>33580.T</stp>
        <stp>高値</stp>
        <tr r="N285" s="7"/>
      </tp>
      <tp t="s">
        <v>表示銘柄数超過</v>
        <stp/>
        <stp>Market</stp>
        <stp>STOCK</stp>
        <stp>33280.T</stp>
        <stp>高値</stp>
        <tr r="N280" s="7"/>
      </tp>
      <tp t="s">
        <v>表示銘柄数超過</v>
        <stp/>
        <stp>Market</stp>
        <stp>STOCK</stp>
        <stp>30380.T</stp>
        <stp>高値</stp>
        <tr r="N230" s="7"/>
      </tp>
      <tp t="s">
        <v>表示銘柄数超過</v>
        <stp/>
        <stp>Market</stp>
        <stp>STOCK</stp>
        <stp>36980.T</stp>
        <stp>高値</stp>
        <tr r="N343" s="7"/>
      </tp>
      <tp t="s">
        <v>表示銘柄数超過</v>
        <stp/>
        <stp>Market</stp>
        <stp>STOCK</stp>
        <stp>36680.T</stp>
        <stp>高値</stp>
        <tr r="N331" s="7"/>
      </tp>
      <tp t="s">
        <v>表示銘柄数超過</v>
        <stp/>
        <stp>Market</stp>
        <stp>STOCK</stp>
        <stp>37580.T</stp>
        <stp>高値</stp>
        <tr r="N351" s="7"/>
      </tp>
      <tp t="s">
        <v>表示銘柄数超過</v>
        <stp/>
        <stp>Market</stp>
        <stp>STOCK</stp>
        <stp>37780.T</stp>
        <stp>高値</stp>
        <tr r="N357" s="7"/>
      </tp>
      <tp t="s">
        <v>表示銘柄数超過</v>
        <stp/>
        <stp>Market</stp>
        <stp>STOCK</stp>
        <stp>37380.T</stp>
        <stp>高値</stp>
        <tr r="N348" s="7"/>
      </tp>
      <tp t="s">
        <v>表示銘柄数超過</v>
        <stp/>
        <stp>Market</stp>
        <stp>STOCK</stp>
        <stp>28580.T</stp>
        <stp>高値</stp>
        <tr r="N208" s="7"/>
      </tp>
      <tp t="s">
        <v>表示銘柄数超過</v>
        <stp/>
        <stp>Market</stp>
        <stp>STOCK</stp>
        <stp>28680.T</stp>
        <stp>高値</stp>
        <tr r="N210" s="7"/>
      </tp>
      <tp t="s">
        <v>表示銘柄数超過</v>
        <stp/>
        <stp>Market</stp>
        <stp>STOCK</stp>
        <stp>23880.T</stp>
        <stp>高値</stp>
        <tr r="N131" s="7"/>
      </tp>
      <tp t="s">
        <v>表示銘柄数超過</v>
        <stp/>
        <stp>Market</stp>
        <stp>STOCK</stp>
        <stp>23780.T</stp>
        <stp>高値</stp>
        <tr r="N130" s="7"/>
      </tp>
      <tp>
        <v>1748</v>
        <stp/>
        <stp>Market</stp>
        <stp>STOCK</stp>
        <stp>20380.T</stp>
        <stp>高値</stp>
        <tr r="N87" s="7"/>
      </tp>
      <tp t="s">
        <v>表示銘柄数超過</v>
        <stp/>
        <stp>Market</stp>
        <stp>STOCK</stp>
        <stp>21980.T</stp>
        <stp>高値</stp>
        <tr r="N102" s="7"/>
      </tp>
      <tp t="s">
        <v>表示銘柄数超過</v>
        <stp/>
        <stp>Market</stp>
        <stp>STOCK</stp>
        <stp>21580.T</stp>
        <stp>高値</stp>
        <tr r="N97" s="7"/>
      </tp>
      <tp t="s">
        <v>表示銘柄数超過</v>
        <stp/>
        <stp>Market</stp>
        <stp>STOCK</stp>
        <stp>21680.T</stp>
        <stp>高値</stp>
        <tr r="N101" s="7"/>
      </tp>
      <tp t="s">
        <v>表示銘柄数超過</v>
        <stp/>
        <stp>Market</stp>
        <stp>STOCK</stp>
        <stp>21380.T</stp>
        <stp>高値</stp>
        <tr r="N93" s="7"/>
      </tp>
      <tp t="s">
        <v>表示銘柄数超過</v>
        <stp/>
        <stp>Market</stp>
        <stp>STOCK</stp>
        <stp>26980.T</stp>
        <stp>高値</stp>
        <tr r="N185" s="7"/>
      </tp>
      <tp t="s">
        <v>表示銘柄数超過</v>
        <stp/>
        <stp>Market</stp>
        <stp>STOCK</stp>
        <stp>27780.T</stp>
        <stp>高値</stp>
        <tr r="N198" s="7"/>
      </tp>
      <tp t="s">
        <v>表示銘柄数超過</v>
        <stp/>
        <stp>Market</stp>
        <stp>STOCK</stp>
        <stp>27680.T</stp>
        <stp>高値</stp>
        <tr r="N196" s="7"/>
      </tp>
      <tp t="s">
        <v>表示銘柄数超過</v>
        <stp/>
        <stp>Market</stp>
        <stp>STOCK</stp>
        <stp>24880.T</stp>
        <stp>高値</stp>
        <tr r="N153" s="7"/>
      </tp>
      <tp t="s">
        <v>表示銘柄数超過</v>
        <stp/>
        <stp>Market</stp>
        <stp>STOCK</stp>
        <stp>24680.T</stp>
        <stp>高値</stp>
        <tr r="N148" s="7"/>
      </tp>
      <tp t="s">
        <v>表示銘柄数超過</v>
        <stp/>
        <stp>Market</stp>
        <stp>STOCK</stp>
        <stp>24080.T</stp>
        <stp>高値</stp>
        <tr r="N134" s="7"/>
      </tp>
      <tp t="s">
        <v>表示銘柄数超過</v>
        <stp/>
        <stp>Market</stp>
        <stp>STOCK</stp>
        <stp>24380.T</stp>
        <stp>高値</stp>
        <tr r="N144" s="7"/>
      </tp>
      <tp t="s">
        <v>表示銘柄数超過</v>
        <stp/>
        <stp>Market</stp>
        <stp>STOCK</stp>
        <stp>25180.T</stp>
        <stp>高値</stp>
        <tr r="N159" s="7"/>
      </tp>
      <tp t="s">
        <v>表示銘柄数超過</v>
        <stp/>
        <stp>Market</stp>
        <stp>STOCK</stp>
        <stp>18980.T</stp>
        <stp>高値</stp>
        <tr r="N71" s="7"/>
      </tp>
      <tp t="s">
        <v>表示銘柄数超過</v>
        <stp/>
        <stp>Market</stp>
        <stp>STOCK</stp>
        <stp>18480.T</stp>
        <stp>高値</stp>
        <tr r="N67" s="7"/>
      </tp>
      <tp t="s">
        <v>表示銘柄数超過</v>
        <stp/>
        <stp>Market</stp>
        <stp>STOCK</stp>
        <stp>19380.T</stp>
        <stp>高値</stp>
        <tr r="N77" s="7"/>
      </tp>
      <tp t="s">
        <v>表示銘柄数超過</v>
        <stp/>
        <stp>Market</stp>
        <stp>STOCK</stp>
        <stp>19280.T</stp>
        <stp>高値</stp>
        <tr r="N75" s="7"/>
      </tp>
      <tp t="s">
        <v>表示銘柄数超過</v>
        <stp/>
        <stp>Market</stp>
        <stp>STOCK</stp>
        <stp>13680.T</stp>
        <stp>高値</stp>
        <tr r="N15" s="7"/>
      </tp>
      <tp t="s">
        <v>表示銘柄数超過</v>
        <stp/>
        <stp>Market</stp>
        <stp>STOCK</stp>
        <stp>13080.T</stp>
        <stp>高値</stp>
        <tr r="N4" s="7"/>
      </tp>
      <tp t="s">
        <v>表示銘柄数超過</v>
        <stp/>
        <stp>Market</stp>
        <stp>STOCK</stp>
        <stp>16780.T</stp>
        <stp>高値</stp>
        <tr r="N42" s="7"/>
      </tp>
      <tp t="s">
        <v>表示銘柄数超過</v>
        <stp/>
        <stp>Market</stp>
        <stp>STOCK</stp>
        <stp>14180.T</stp>
        <stp>高値</stp>
        <tr r="N20" s="7"/>
      </tp>
      <tp t="s">
        <v>表示銘柄数超過</v>
        <stp/>
        <stp>Market</stp>
        <stp>STOCK</stp>
        <stp>15780.T</stp>
        <stp>高値</stp>
        <tr r="N36" s="7"/>
      </tp>
      <tp t="s">
        <v>表示銘柄数超過</v>
        <stp/>
        <stp>Market</stp>
        <stp>STOCK</stp>
        <stp>16990.T</stp>
        <stp>売買代金</stp>
        <tr r="W45" s="7"/>
      </tp>
      <tp>
        <v>2352721</v>
        <stp/>
        <stp>Market</stp>
        <stp>STOCK</stp>
        <stp>86980.T</stp>
        <stp>売買代金</stp>
        <tr r="W1036" s="7"/>
      </tp>
      <tp t="s">
        <v>表示銘柄数超過</v>
        <stp/>
        <stp>Market</stp>
        <stp>STOCK</stp>
        <stp>36980.T</stp>
        <stp>売買代金</stp>
        <tr r="W343" s="7"/>
      </tp>
      <tp t="s">
        <v>表示銘柄数超過</v>
        <stp/>
        <stp>Market</stp>
        <stp>STOCK</stp>
        <stp>26980.T</stp>
        <stp>売買代金</stp>
        <tr r="W185" s="7"/>
      </tp>
      <tp>
        <v>30227</v>
        <stp/>
        <stp>Market</stp>
        <stp>STOCK</stp>
        <stp>56980.T</stp>
        <stp>売買代金</stp>
        <tr r="W604" s="7"/>
      </tp>
      <tp t="s">
        <v>表示銘柄数超過</v>
        <stp/>
        <stp>Market</stp>
        <stp>STOCK</stp>
        <stp>26940.T</stp>
        <stp>売買代金</stp>
        <tr r="W184" s="7"/>
      </tp>
      <tp>
        <v>5631271</v>
        <stp/>
        <stp>Market</stp>
        <stp>STOCK</stp>
        <stp>86970.T</stp>
        <stp>売買代金</stp>
        <tr r="W1035" s="7"/>
      </tp>
      <tp t="s">
        <v>表示銘柄数超過</v>
        <stp/>
        <stp>Market</stp>
        <stp>STOCK</stp>
        <stp>36960.T</stp>
        <stp>売買代金</stp>
        <tr r="W342" s="7"/>
      </tp>
      <tp>
        <v>13313</v>
        <stp/>
        <stp>Market</stp>
        <stp>STOCK</stp>
        <stp>66960.T</stp>
        <stp>売買代金</stp>
        <tr r="W753" s="7"/>
      </tp>
      <tp t="s">
        <v>表示銘柄数超過</v>
        <stp/>
        <stp>Market</stp>
        <stp>STOCK</stp>
        <stp>36910.T</stp>
        <stp>売買代金</stp>
        <tr r="W341" s="7"/>
      </tp>
      <tp t="s">
        <v>表示銘柄数超過</v>
        <stp/>
        <stp>Market</stp>
        <stp>STOCK</stp>
        <stp>46900.T</stp>
        <stp>売買代金</stp>
        <tr r="W521" s="7"/>
      </tp>
      <tp t="s">
        <v>表示銘柄数超過</v>
        <stp/>
        <stp>Market</stp>
        <stp>STOCK</stp>
        <stp>26930.T</stp>
        <stp>売買代金</stp>
        <tr r="W183" s="7"/>
      </tp>
      <tp>
        <v>41432</v>
        <stp/>
        <stp>Market</stp>
        <stp>STOCK</stp>
        <stp>76920.T</stp>
        <stp>売買代金</stp>
        <tr r="W920" s="7"/>
      </tp>
      <tp t="s">
        <v>表示銘柄数超過</v>
        <stp/>
        <stp>Market</stp>
        <stp>STOCK</stp>
        <stp>16890.T</stp>
        <stp>売買代金</stp>
        <tr r="W44" s="7"/>
      </tp>
      <tp>
        <v>23251159</v>
        <stp/>
        <stp>Market</stp>
        <stp>STOCK</stp>
        <stp>46890.T</stp>
        <stp>売買代金</stp>
        <tr r="W520" s="7"/>
      </tp>
      <tp t="s">
        <v>表示銘柄数超過</v>
        <stp/>
        <stp>Market</stp>
        <stp>STOCK</stp>
        <stp>26850.T</stp>
        <stp>売買代金</stp>
        <tr r="W181" s="7"/>
      </tp>
      <tp t="s">
        <v>表示銘柄数超過</v>
        <stp/>
        <stp>Market</stp>
        <stp>STOCK</stp>
        <stp>36860.T</stp>
        <stp>売買代金</stp>
        <tr r="W340" s="7"/>
      </tp>
      <tp t="s">
        <v>表示銘柄数超過</v>
        <stp/>
        <stp>Market</stp>
        <stp>STOCK</stp>
        <stp>26860.T</stp>
        <stp>売買代金</stp>
        <tr r="W182" s="7"/>
      </tp>
      <tp t="s">
        <v>表示銘柄数超過</v>
        <stp/>
        <stp>Market</stp>
        <stp>STOCK</stp>
        <stp>36810.T</stp>
        <stp>売買代金</stp>
        <tr r="W337" s="7"/>
      </tp>
      <tp t="s">
        <v>表示銘柄数超過</v>
        <stp/>
        <stp>Market</stp>
        <stp>STOCK</stp>
        <stp>26810.T</stp>
        <stp>売買代金</stp>
        <tr r="W180" s="7"/>
      </tp>
      <tp t="s">
        <v>表示銘柄数超過</v>
        <stp/>
        <stp>Market</stp>
        <stp>STOCK</stp>
        <stp>36800.T</stp>
        <stp>売買代金</stp>
        <tr r="W336" s="7"/>
      </tp>
      <tp t="s">
        <v>表示銘柄数超過</v>
        <stp/>
        <stp>Market</stp>
        <stp>STOCK</stp>
        <stp>46800.T</stp>
        <stp>売買代金</stp>
        <tr r="W519" s="7"/>
      </tp>
      <tp t="s">
        <v>表示銘柄数超過</v>
        <stp/>
        <stp>Market</stp>
        <stp>STOCK</stp>
        <stp>36830.T</stp>
        <stp>売買代金</stp>
        <tr r="W339" s="7"/>
      </tp>
      <tp t="s">
        <v>表示銘柄数超過</v>
        <stp/>
        <stp>Market</stp>
        <stp>STOCK</stp>
        <stp>16820.T</stp>
        <stp>売買代金</stp>
        <tr r="W43" s="7"/>
      </tp>
      <tp t="s">
        <v>表示銘柄数超過</v>
        <stp/>
        <stp>Market</stp>
        <stp>STOCK</stp>
        <stp>36820.T</stp>
        <stp>売買代金</stp>
        <tr r="W338" s="7"/>
      </tp>
      <tp t="s">
        <v>表示銘柄数超過</v>
        <stp/>
        <stp>Market</stp>
        <stp>STOCK</stp>
        <stp>16780.T</stp>
        <stp>売買代金</stp>
        <tr r="W42" s="7"/>
      </tp>
      <tp t="s">
        <v>表示銘柄数超過</v>
        <stp/>
        <stp>Market</stp>
        <stp>STOCK</stp>
        <stp>36740.T</stp>
        <stp>売買代金</stp>
        <tr r="W333" s="7"/>
      </tp>
      <tp t="s">
        <v>表示銘柄数超過</v>
        <stp/>
        <stp>Market</stp>
        <stp>STOCK</stp>
        <stp>26740.T</stp>
        <stp>売買代金</stp>
        <tr r="W179" s="7"/>
      </tp>
      <tp t="s">
        <v>表示銘柄数超過</v>
        <stp/>
        <stp>Market</stp>
        <stp>STOCK</stp>
        <stp>36770.T</stp>
        <stp>売買代金</stp>
        <tr r="W335" s="7"/>
      </tp>
      <tp>
        <v>196848</v>
        <stp/>
        <stp>Market</stp>
        <stp>STOCK</stp>
        <stp>66770.T</stp>
        <stp>売買代金</stp>
        <tr r="W752" s="7"/>
      </tp>
      <tp t="s">
        <v>表示銘柄数超過</v>
        <stp/>
        <stp>Market</stp>
        <stp>STOCK</stp>
        <stp>36760.T</stp>
        <stp>売買代金</stp>
        <tr r="W334" s="7"/>
      </tp>
      <tp t="s">
        <v>表示銘柄数超過</v>
        <stp/>
        <stp>Market</stp>
        <stp>STOCK</stp>
        <stp>46760.T</stp>
        <stp>売買代金</stp>
        <tr r="W518" s="7"/>
      </tp>
      <tp>
        <v>13475</v>
        <stp/>
        <stp>Market</stp>
        <stp>STOCK</stp>
        <stp>76760.T</stp>
        <stp>売買代金</stp>
        <tr r="W919" s="7"/>
      </tp>
      <tp>
        <v>15932</v>
        <stp/>
        <stp>Market</stp>
        <stp>STOCK</stp>
        <stp>66760.T</stp>
        <stp>売買代金</stp>
        <tr r="W751" s="7"/>
      </tp>
      <tp t="s">
        <v>表示銘柄数超過</v>
        <stp/>
        <stp>Market</stp>
        <stp>STOCK</stp>
        <stp>16710.T</stp>
        <stp>売買代金</stp>
        <tr r="W41" s="7"/>
      </tp>
      <tp t="s">
        <v>表示銘柄数超過</v>
        <stp/>
        <stp>Market</stp>
        <stp>STOCK</stp>
        <stp>36720.T</stp>
        <stp>売買代金</stp>
        <tr r="W332" s="7"/>
      </tp>
      <tp t="s">
        <v>表示銘柄数超過</v>
        <stp/>
        <stp>Market</stp>
        <stp>STOCK</stp>
        <stp>36680.T</stp>
        <stp>売買代金</stp>
        <tr r="W331" s="7"/>
      </tp>
      <tp t="s">
        <v>表示銘柄数超過</v>
        <stp/>
        <stp>Market</stp>
        <stp>STOCK</stp>
        <stp>36650.T</stp>
        <stp>売買代金</stp>
        <tr r="W328" s="7"/>
      </tp>
      <tp t="s">
        <v>表示銘柄数超過</v>
        <stp/>
        <stp>Market</stp>
        <stp>STOCK</stp>
        <stp>36640.T</stp>
        <stp>売買代金</stp>
        <tr r="W327" s="7"/>
      </tp>
      <tp t="s">
        <v>表示銘柄数超過</v>
        <stp/>
        <stp>Market</stp>
        <stp>STOCK</stp>
        <stp>46640.T</stp>
        <stp>売買代金</stp>
        <tr r="W515" s="7"/>
      </tp>
      <tp t="s">
        <v>表示銘柄数超過</v>
        <stp/>
        <stp>Market</stp>
        <stp>STOCK</stp>
        <stp>36670.T</stp>
        <stp>売買代金</stp>
        <tr r="W330" s="7"/>
      </tp>
      <tp t="s">
        <v>表示銘柄数超過</v>
        <stp/>
        <stp>Market</stp>
        <stp>STOCK</stp>
        <stp>26670.T</stp>
        <stp>売買代金</stp>
        <tr r="W178" s="7"/>
      </tp>
      <tp t="s">
        <v>表示銘柄数超過</v>
        <stp/>
        <stp>Market</stp>
        <stp>STOCK</stp>
        <stp>46670.T</stp>
        <stp>売買代金</stp>
        <tr r="W517" s="7"/>
        <tr r="W516" s="7"/>
      </tp>
      <tp t="s">
        <v>表示銘柄数超過</v>
        <stp/>
        <stp>Market</stp>
        <stp>STOCK</stp>
        <stp>36660.T</stp>
        <stp>売買代金</stp>
        <tr r="W329" s="7"/>
      </tp>
      <tp t="s">
        <v>表示銘柄数超過</v>
        <stp/>
        <stp>Market</stp>
        <stp>STOCK</stp>
        <stp>26660.T</stp>
        <stp>売買代金</stp>
        <tr r="W177" s="7"/>
      </tp>
      <tp>
        <v>42364</v>
        <stp/>
        <stp>Market</stp>
        <stp>STOCK</stp>
        <stp>66660.T</stp>
        <stp>売買代金</stp>
        <tr r="W750" s="7"/>
      </tp>
      <tp t="s">
        <v>表示銘柄数超過</v>
        <stp/>
        <stp>Market</stp>
        <stp>STOCK</stp>
        <stp>36600.T</stp>
        <stp>売買代金</stp>
        <tr r="W325" s="7"/>
      </tp>
      <tp t="s">
        <v>表示銘柄数超過</v>
        <stp/>
        <stp>Market</stp>
        <stp>STOCK</stp>
        <stp>36630.T</stp>
        <stp>売買代金</stp>
        <tr r="W326" s="7"/>
      </tp>
      <tp>
        <v>7661</v>
        <stp/>
        <stp>Market</stp>
        <stp>STOCK</stp>
        <stp>66590.T</stp>
        <stp>売買代金</stp>
        <tr r="W749" s="7"/>
      </tp>
      <tp>
        <v>15578</v>
        <stp/>
        <stp>Market</stp>
        <stp>STOCK</stp>
        <stp>56580.T</stp>
        <stp>売買代金</stp>
        <tr r="W603" s="7"/>
      </tp>
      <tp>
        <v>114414</v>
        <stp/>
        <stp>Market</stp>
        <stp>STOCK</stp>
        <stp>66580.T</stp>
        <stp>売買代金</stp>
        <tr r="W748" s="7"/>
      </tp>
      <tp t="s">
        <v>表示銘柄数超過</v>
        <stp/>
        <stp>Market</stp>
        <stp>STOCK</stp>
        <stp>16550.T</stp>
        <stp>売買代金</stp>
        <tr r="W39" s="7"/>
      </tp>
      <tp t="s">
        <v>表示銘柄数超過</v>
        <stp/>
        <stp>Market</stp>
        <stp>STOCK</stp>
        <stp>36550.T</stp>
        <stp>売買代金</stp>
        <tr r="W323" s="7"/>
      </tp>
      <tp>
        <v>9320</v>
        <stp/>
        <stp>Market</stp>
        <stp>STOCK</stp>
        <stp>66540.T</stp>
        <stp>売買代金</stp>
        <tr r="W747" s="7"/>
      </tp>
      <tp t="s">
        <v>表示銘柄数超過</v>
        <stp/>
        <stp>Market</stp>
        <stp>STOCK</stp>
        <stp>46570.T</stp>
        <stp>売買代金</stp>
        <tr r="W514" s="7"/>
      </tp>
      <tp t="s">
        <v>表示銘柄数超過</v>
        <stp/>
        <stp>Market</stp>
        <stp>STOCK</stp>
        <stp>96560.T</stp>
        <stp>売買代金</stp>
        <tr r="W1161" s="7"/>
      </tp>
      <tp t="s">
        <v>表示銘柄数超過</v>
        <stp/>
        <stp>Market</stp>
        <stp>STOCK</stp>
        <stp>16560.T</stp>
        <stp>売買代金</stp>
        <tr r="W40" s="7"/>
      </tp>
      <tp t="s">
        <v>表示銘柄数超過</v>
        <stp/>
        <stp>Market</stp>
        <stp>STOCK</stp>
        <stp>36560.T</stp>
        <stp>売買代金</stp>
        <tr r="W324" s="7"/>
      </tp>
      <tp t="s">
        <v>表示銘柄数超過</v>
        <stp/>
        <stp>Market</stp>
        <stp>STOCK</stp>
        <stp>26560.T</stp>
        <stp>売買代金</stp>
        <tr r="W176" s="7"/>
      </tp>
      <tp t="s">
        <v>表示銘柄数超過</v>
        <stp/>
        <stp>Market</stp>
        <stp>STOCK</stp>
        <stp>26510.T</stp>
        <stp>売買代金</stp>
        <tr r="W175" s="7"/>
      </tp>
      <tp t="s">
        <v>表示銘柄数超過</v>
        <stp/>
        <stp>Market</stp>
        <stp>STOCK</stp>
        <stp>46510.T</stp>
        <stp>売買代金</stp>
        <tr r="W513" s="7"/>
      </tp>
      <tp t="s">
        <v>表示銘柄数超過</v>
        <stp/>
        <stp>Market</stp>
        <stp>STOCK</stp>
        <stp>36520.T</stp>
        <stp>売買代金</stp>
        <tr r="W322" s="7"/>
      </tp>
      <tp t="s">
        <v>表示銘柄数超過</v>
        <stp/>
        <stp>Market</stp>
        <stp>STOCK</stp>
        <stp>36490.T</stp>
        <stp>売買代金</stp>
        <tr r="W321" s="7"/>
      </tp>
      <tp t="s">
        <v>表示銘柄数超過</v>
        <stp/>
        <stp>Market</stp>
        <stp>STOCK</stp>
        <stp>36450.T</stp>
        <stp>売買代金</stp>
        <tr r="W319" s="7"/>
      </tp>
      <tp>
        <v>492025</v>
        <stp/>
        <stp>Market</stp>
        <stp>STOCK</stp>
        <stp>66440.T</stp>
        <stp>売買代金</stp>
        <tr r="W746" s="7"/>
      </tp>
      <tp t="s">
        <v>表示銘柄数超過</v>
        <stp/>
        <stp>Market</stp>
        <stp>STOCK</stp>
        <stp>36470.T</stp>
        <stp>売買代金</stp>
        <tr r="W320" s="7"/>
      </tp>
      <tp>
        <v>4402438</v>
        <stp/>
        <stp>Market</stp>
        <stp>STOCK</stp>
        <stp>76470.T</stp>
        <stp>売買代金</stp>
        <tr r="W918" s="7"/>
      </tp>
      <tp>
        <v>4657</v>
        <stp/>
        <stp>Market</stp>
        <stp>STOCK</stp>
        <stp>76400.T</stp>
        <stp>売買代金</stp>
        <tr r="W917" s="7"/>
      </tp>
      <tp>
        <v>131864</v>
        <stp/>
        <stp>Market</stp>
        <stp>STOCK</stp>
        <stp>66400.T</stp>
        <stp>売買代金</stp>
        <tr r="W745" s="7"/>
      </tp>
      <tp t="s">
        <v>表示銘柄数超過</v>
        <stp/>
        <stp>Market</stp>
        <stp>STOCK</stp>
        <stp>36390.T</stp>
        <stp>売買代金</stp>
        <tr r="W318" s="7"/>
      </tp>
      <tp t="s">
        <v>表示銘柄数超過</v>
        <stp/>
        <stp>Market</stp>
        <stp>STOCK</stp>
        <stp>36350.T</stp>
        <stp>売買代金</stp>
        <tr r="W317" s="7"/>
      </tp>
      <tp t="s">
        <v>表示銘柄数超過</v>
        <stp/>
        <stp>Market</stp>
        <stp>STOCK</stp>
        <stp>26350.T</stp>
        <stp>売買代金</stp>
        <tr r="W174" s="7"/>
      </tp>
      <tp>
        <v>15621</v>
        <stp/>
        <stp>Market</stp>
        <stp>STOCK</stp>
        <stp>66350.T</stp>
        <stp>売買代金</stp>
        <tr r="W744" s="7"/>
      </tp>
      <tp t="s">
        <v>表示銘柄数超過</v>
        <stp/>
        <stp>Market</stp>
        <stp>STOCK</stp>
        <stp>26340.T</stp>
        <stp>売買代金</stp>
        <tr r="W173" s="7"/>
      </tp>
      <tp>
        <v>2739</v>
        <stp/>
        <stp>Market</stp>
        <stp>STOCK</stp>
        <stp>66340.T</stp>
        <stp>売買代金</stp>
        <tr r="W743" s="7"/>
      </tp>
      <tp t="s">
        <v>表示銘柄数超過</v>
        <stp/>
        <stp>Market</stp>
        <stp>STOCK</stp>
        <stp>46310.T</stp>
        <stp>売買代金</stp>
        <tr r="W470" s="7"/>
      </tp>
      <tp>
        <v>90065</v>
        <stp/>
        <stp>Market</stp>
        <stp>STOCK</stp>
        <stp>66300.T</stp>
        <stp>売買代金</stp>
        <tr r="W740" s="7"/>
      </tp>
      <tp t="s">
        <v>表示銘柄数超過</v>
        <stp/>
        <stp>Market</stp>
        <stp>STOCK</stp>
        <stp>26330.T</stp>
        <stp>売買代金</stp>
        <tr r="W172" s="7"/>
      </tp>
      <tp>
        <v>1048</v>
        <stp/>
        <stp>Market</stp>
        <stp>STOCK</stp>
        <stp>66330.T</stp>
        <stp>売買代金</stp>
        <tr r="W742" s="7"/>
      </tp>
      <tp t="s">
        <v>表示銘柄数超過</v>
        <stp/>
        <stp>Market</stp>
        <stp>STOCK</stp>
        <stp>36320.T</stp>
        <stp>売買代金</stp>
        <tr r="W316" s="7"/>
      </tp>
      <tp>
        <v>284472</v>
        <stp/>
        <stp>Market</stp>
        <stp>STOCK</stp>
        <stp>56320.T</stp>
        <stp>売買代金</stp>
        <tr r="W602" s="7"/>
      </tp>
      <tp>
        <v>1246338</v>
        <stp/>
        <stp>Market</stp>
        <stp>STOCK</stp>
        <stp>66320.T</stp>
        <stp>売買代金</stp>
        <tr r="W741" s="7"/>
      </tp>
      <tp>
        <v>803739</v>
        <stp/>
        <stp>Market</stp>
        <stp>STOCK</stp>
        <stp>86280.T</stp>
        <stp>売買代金</stp>
        <tr r="W1034" s="7"/>
      </tp>
      <tp t="s">
        <v>表示銘柄数超過</v>
        <stp/>
        <stp>Market</stp>
        <stp>STOCK</stp>
        <stp>36250.T</stp>
        <stp>売買代金</stp>
        <tr r="W313" s="7"/>
      </tp>
      <tp>
        <v>191281</v>
        <stp/>
        <stp>Market</stp>
        <stp>STOCK</stp>
        <stp>66250.T</stp>
        <stp>売買代金</stp>
        <tr r="W739" s="7"/>
      </tp>
      <tp>
        <v>71590</v>
        <stp/>
        <stp>Market</stp>
        <stp>STOCK</stp>
        <stp>86240.T</stp>
        <stp>売買代金</stp>
        <tr r="W1033" s="7"/>
      </tp>
      <tp t="s">
        <v>表示銘柄数超過</v>
        <stp/>
        <stp>Market</stp>
        <stp>STOCK</stp>
        <stp>36240.T</stp>
        <stp>売買代金</stp>
        <tr r="W312" s="7"/>
      </tp>
      <tp t="s">
        <v>表示銘柄数超過</v>
        <stp/>
        <stp>Market</stp>
        <stp>STOCK</stp>
        <stp>26240.T</stp>
        <stp>売買代金</stp>
        <tr r="W171" s="7"/>
      </tp>
      <tp>
        <v>7714</v>
        <stp/>
        <stp>Market</stp>
        <stp>STOCK</stp>
        <stp>76240.T</stp>
        <stp>売買代金</stp>
        <tr r="W916" s="7"/>
      </tp>
      <tp t="s">
        <v>表示銘柄数超過</v>
        <stp/>
        <stp>Market</stp>
        <stp>STOCK</stp>
        <stp>36270.T</stp>
        <stp>売買代金</stp>
        <tr r="W315" s="7"/>
      </tp>
      <tp t="s">
        <v>表示銘柄数超過</v>
        <stp/>
        <stp>Market</stp>
        <stp>STOCK</stp>
        <stp>36260.T</stp>
        <stp>売買代金</stp>
        <tr r="W314" s="7"/>
      </tp>
      <tp t="s">
        <v>表示銘柄数超過</v>
        <stp/>
        <stp>Market</stp>
        <stp>STOCK</stp>
        <stp>26210.T</stp>
        <stp>売買代金</stp>
        <tr r="W170" s="7"/>
      </tp>
      <tp t="s">
        <v>表示銘柄数超過</v>
        <stp/>
        <stp>Market</stp>
        <stp>STOCK</stp>
        <stp>26200.T</stp>
        <stp>売買代金</stp>
        <tr r="W169" s="7"/>
      </tp>
      <tp t="s">
        <v>表示銘柄数超過</v>
        <stp/>
        <stp>Market</stp>
        <stp>STOCK</stp>
        <stp>46200.T</stp>
        <stp>売買代金</stp>
        <tr r="W512" s="7"/>
      </tp>
      <tp>
        <v>2357</v>
        <stp/>
        <stp>Market</stp>
        <stp>STOCK</stp>
        <stp>76230.T</stp>
        <stp>売買代金</stp>
        <tr r="W915" s="7"/>
      </tp>
      <tp>
        <v>85697</v>
        <stp/>
        <stp>Market</stp>
        <stp>STOCK</stp>
        <stp>86220.T</stp>
        <stp>売買代金</stp>
        <tr r="W1032" s="7"/>
      </tp>
      <tp t="s">
        <v>表示銘柄数超過</v>
        <stp/>
        <stp>Market</stp>
        <stp>STOCK</stp>
        <stp>46190.T</stp>
        <stp>売買代金</stp>
        <tr r="W511" s="7"/>
      </tp>
      <tp>
        <v>1105147</v>
        <stp/>
        <stp>Market</stp>
        <stp>STOCK</stp>
        <stp>66190.T</stp>
        <stp>売買代金</stp>
        <tr r="W738" s="7"/>
      </tp>
      <tp t="s">
        <v>表示銘柄数超過</v>
        <stp/>
        <stp>Market</stp>
        <stp>STOCK</stp>
        <stp>16150.T</stp>
        <stp>売買代金</stp>
        <tr r="W38" s="7"/>
      </tp>
      <tp>
        <v>13029</v>
        <stp/>
        <stp>Market</stp>
        <stp>STOCK</stp>
        <stp>76150.T</stp>
        <stp>売買代金</stp>
        <tr r="W913" s="7"/>
      </tp>
      <tp>
        <v>36106</v>
        <stp/>
        <stp>Market</stp>
        <stp>STOCK</stp>
        <stp>86140.T</stp>
        <stp>売買代金</stp>
        <tr r="W1029" s="7"/>
      </tp>
      <tp>
        <v>16429</v>
        <stp/>
        <stp>Market</stp>
        <stp>STOCK</stp>
        <stp>86170.T</stp>
        <stp>売買代金</stp>
        <tr r="W1031" s="7"/>
      </tp>
      <tp>
        <v>161832</v>
        <stp/>
        <stp>Market</stp>
        <stp>STOCK</stp>
        <stp>66170.T</stp>
        <stp>売買代金</stp>
        <tr r="W737" s="7"/>
      </tp>
      <tp>
        <v>360204</v>
        <stp/>
        <stp>Market</stp>
        <stp>STOCK</stp>
        <stp>86160.T</stp>
        <stp>売買代金</stp>
        <tr r="W1030" s="7"/>
      </tp>
      <tp t="s">
        <v>表示銘柄数超過</v>
        <stp/>
        <stp>Market</stp>
        <stp>STOCK</stp>
        <stp>46110.T</stp>
        <stp>売買代金</stp>
        <tr r="W508" s="7"/>
      </tp>
      <tp t="s">
        <v>表示銘柄数超過</v>
        <stp/>
        <stp>Market</stp>
        <stp>STOCK</stp>
        <stp>96100.T</stp>
        <stp>売買代金</stp>
        <tr r="W1159" s="7"/>
      </tp>
      <tp>
        <v>103420</v>
        <stp/>
        <stp>Market</stp>
        <stp>STOCK</stp>
        <stp>76100.T</stp>
        <stp>売買代金</stp>
        <tr r="W912" s="7"/>
      </tp>
      <tp t="s">
        <v>表示銘柄数超過</v>
        <stp/>
        <stp>Market</stp>
        <stp>STOCK</stp>
        <stp>96130.T</stp>
        <stp>売買代金</stp>
        <tr r="W1160" s="7"/>
      </tp>
      <tp>
        <v>235586</v>
        <stp/>
        <stp>Market</stp>
        <stp>STOCK</stp>
        <stp>86130.T</stp>
        <stp>売買代金</stp>
        <tr r="W1028" s="7"/>
      </tp>
      <tp t="s">
        <v>表示銘柄数超過</v>
        <stp/>
        <stp>Market</stp>
        <stp>STOCK</stp>
        <stp>46130.T</stp>
        <stp>売買代金</stp>
        <tr r="W510" s="7"/>
      </tp>
      <tp>
        <v>911847</v>
        <stp/>
        <stp>Market</stp>
        <stp>STOCK</stp>
        <stp>66130.T</stp>
        <stp>売買代金</stp>
        <tr r="W736" s="7"/>
      </tp>
      <tp>
        <v>5178</v>
        <stp/>
        <stp>Market</stp>
        <stp>STOCK</stp>
        <stp>56120.T</stp>
        <stp>売買代金</stp>
        <tr r="W601" s="7"/>
      </tp>
      <tp t="s">
        <v>表示銘柄数超過</v>
        <stp/>
        <stp>Market</stp>
        <stp>STOCK</stp>
        <stp>46120.T</stp>
        <stp>売買代金</stp>
        <tr r="W509" s="7"/>
      </tp>
      <tp>
        <v>342411</v>
        <stp/>
        <stp>Market</stp>
        <stp>STOCK</stp>
        <stp>86090.T</stp>
        <stp>売買代金</stp>
        <tr r="W1027" s="7"/>
      </tp>
      <tp t="s">
        <v>表示銘柄数超過</v>
        <stp/>
        <stp>Market</stp>
        <stp>STOCK</stp>
        <stp>16050.T</stp>
        <stp>売買代金</stp>
        <tr r="W37" s="7"/>
      </tp>
      <tp>
        <v>21489</v>
        <stp/>
        <stp>Market</stp>
        <stp>STOCK</stp>
        <stp>76050.T</stp>
        <stp>売買代金</stp>
        <tr r="W911" s="7"/>
      </tp>
      <tp>
        <v>15240638</v>
        <stp/>
        <stp>Market</stp>
        <stp>STOCK</stp>
        <stp>86040.T</stp>
        <stp>売買代金</stp>
        <tr r="W1026" s="7"/>
      </tp>
      <tp t="s">
        <v>表示銘柄数超過</v>
        <stp/>
        <stp>Market</stp>
        <stp>STOCK</stp>
        <stp>36070.T</stp>
        <stp>売買代金</stp>
        <tr r="W311" s="7"/>
      </tp>
      <tp>
        <v>6212232</v>
        <stp/>
        <stp>Market</stp>
        <stp>STOCK</stp>
        <stp>86010.T</stp>
        <stp>売買代金</stp>
        <tr r="W1025" s="7"/>
      </tp>
      <tp>
        <v>443857</v>
        <stp/>
        <stp>Market</stp>
        <stp>STOCK</stp>
        <stp>76010.T</stp>
        <stp>売買代金</stp>
        <tr r="W909" s="7"/>
      </tp>
      <tp t="s">
        <v>表示銘柄数超過</v>
        <stp/>
        <stp>Market</stp>
        <stp>STOCK</stp>
        <stp>96030.T</stp>
        <stp>売買代金</stp>
        <tr r="W1158" s="7"/>
      </tp>
      <tp>
        <v>2918</v>
        <stp/>
        <stp>Market</stp>
        <stp>STOCK</stp>
        <stp>76020.T</stp>
        <stp>売買代金</stp>
        <tr r="W910" s="7"/>
      </tp>
      <tp t="s">
        <v>表示銘柄数超過</v>
        <stp/>
        <stp>Market</stp>
        <stp>STOCK</stp>
        <stp>99690.T</stp>
        <stp>高値</stp>
        <tr r="N1185" s="7"/>
      </tp>
      <tp t="s">
        <v>表示銘柄数超過</v>
        <stp/>
        <stp>Market</stp>
        <stp>STOCK</stp>
        <stp>99190.T</stp>
        <stp>高値</stp>
        <tr r="N1180" s="7"/>
      </tp>
      <tp>
        <v>5</v>
        <stp/>
        <stp>Market</stp>
        <stp>STOCK</stp>
        <stp>93990.T</stp>
        <stp>高値</stp>
        <tr r="N1113" s="7"/>
      </tp>
      <tp t="s">
        <v>表示銘柄数超過</v>
        <stp/>
        <stp>Market</stp>
        <stp>STOCK</stp>
        <stp>90590.T</stp>
        <stp>高値</stp>
        <tr r="N1089" s="7"/>
      </tp>
      <tp t="s">
        <v>表示銘柄数超過</v>
        <stp/>
        <stp>Market</stp>
        <stp>STOCK</stp>
        <stp>90090.T</stp>
        <stp>高値</stp>
        <tr r="N1079" s="7"/>
      </tp>
      <tp t="s">
        <v>表示銘柄数超過</v>
        <stp/>
        <stp>Market</stp>
        <stp>STOCK</stp>
        <stp>91190.T</stp>
        <stp>高値</stp>
        <tr r="N1097" s="7"/>
      </tp>
      <tp t="s">
        <v>表示銘柄数超過</v>
        <stp/>
        <stp>Market</stp>
        <stp>STOCK</stp>
        <stp>97090.T</stp>
        <stp>高値</stp>
        <tr r="N1162" s="7"/>
      </tp>
      <tp t="s">
        <v>表示銘柄数超過</v>
        <stp/>
        <stp>Market</stp>
        <stp>STOCK</stp>
        <stp>94790.T</stp>
        <stp>高値</stp>
        <tr r="N1139" s="7"/>
      </tp>
      <tp t="s">
        <v>表示銘柄数超過</v>
        <stp/>
        <stp>Market</stp>
        <stp>STOCK</stp>
        <stp>94190.T</stp>
        <stp>高値</stp>
        <tr r="N1122" s="7"/>
      </tp>
      <tp t="s">
        <v>表示銘柄数超過</v>
        <stp/>
        <stp>Market</stp>
        <stp>STOCK</stp>
        <stp>94090.T</stp>
        <stp>高値</stp>
        <tr r="N1117" s="7"/>
      </tp>
      <tp t="s">
        <v>表示銘柄数超過</v>
        <stp/>
        <stp>Market</stp>
        <stp>STOCK</stp>
        <stp>94390.T</stp>
        <stp>高値</stp>
        <tr r="N1131" s="7"/>
      </tp>
      <tp t="s">
        <v>表示銘柄数超過</v>
        <stp/>
        <stp>Market</stp>
        <stp>STOCK</stp>
        <stp>95190.T</stp>
        <stp>高値</stp>
        <tr r="N1151" s="7"/>
      </tp>
      <tp t="s">
        <v>表示銘柄数超過</v>
        <stp/>
        <stp>Market</stp>
        <stp>STOCK</stp>
        <stp>95090.T</stp>
        <stp>高値</stp>
        <tr r="N1148" s="7"/>
      </tp>
      <tp>
        <v>2575</v>
        <stp/>
        <stp>Market</stp>
        <stp>STOCK</stp>
        <stp>81790.T</stp>
        <stp>高値</stp>
        <tr r="N988" s="7"/>
      </tp>
      <tp>
        <v>1590</v>
        <stp/>
        <stp>Market</stp>
        <stp>STOCK</stp>
        <stp>81390.T</stp>
        <stp>高値</stp>
        <tr r="N982" s="7"/>
      </tp>
      <tp>
        <v>709</v>
        <stp/>
        <stp>Market</stp>
        <stp>STOCK</stp>
        <stp>86090.T</stp>
        <stp>高値</stp>
        <tr r="N1027" s="7"/>
      </tp>
      <tp t="s">
        <v>表示銘柄数超過</v>
        <stp/>
        <stp>Market</stp>
        <stp>STOCK</stp>
        <stp>87890.T</stp>
        <stp>高値</stp>
        <tr r="N1048" s="7"/>
      </tp>
      <tp t="s">
        <v>表示銘柄数超過</v>
        <stp/>
        <stp>Market</stp>
        <stp>STOCK</stp>
        <stp>87690.T</stp>
        <stp>高値</stp>
        <tr r="N1046" s="7"/>
      </tp>
      <tp>
        <v>1347</v>
        <stp/>
        <stp>Market</stp>
        <stp>STOCK</stp>
        <stp>78590.T</stp>
        <stp>高値</stp>
        <tr r="N948" s="7"/>
      </tp>
      <tp>
        <v>90</v>
        <stp/>
        <stp>Market</stp>
        <stp>STOCK</stp>
        <stp>78290.T</stp>
        <stp>高値</stp>
        <tr r="N942" s="7"/>
      </tp>
      <tp>
        <v>164</v>
        <stp/>
        <stp>Market</stp>
        <stp>STOCK</stp>
        <stp>79190.T</stp>
        <stp>高値</stp>
        <tr r="N956" s="7"/>
      </tp>
      <tp>
        <v>7347</v>
        <stp/>
        <stp>Market</stp>
        <stp>STOCK</stp>
        <stp>72690.T</stp>
        <stp>高値</stp>
        <tr r="N866" s="7"/>
      </tp>
      <tp>
        <v>2791</v>
        <stp/>
        <stp>Market</stp>
        <stp>STOCK</stp>
        <stp>72290.T</stp>
        <stp>高値</stp>
        <tr r="N853" s="7"/>
      </tp>
      <tp>
        <v>670</v>
        <stp/>
        <stp>Market</stp>
        <stp>STOCK</stp>
        <stp>73590.T</stp>
        <stp>高値</stp>
        <tr r="N880" s="7"/>
      </tp>
      <tp>
        <v>903</v>
        <stp/>
        <stp>Market</stp>
        <stp>STOCK</stp>
        <stp>73790.T</stp>
        <stp>高値</stp>
        <tr r="N883" s="7"/>
      </tp>
      <tp>
        <v>1630</v>
        <stp/>
        <stp>Market</stp>
        <stp>STOCK</stp>
        <stp>70590.T</stp>
        <stp>高値</stp>
        <tr r="N818" s="7"/>
      </tp>
      <tp>
        <v>541</v>
        <stp/>
        <stp>Market</stp>
        <stp>STOCK</stp>
        <stp>70490.T</stp>
        <stp>高値</stp>
        <tr r="N817" s="7"/>
      </tp>
      <tp>
        <v>205</v>
        <stp/>
        <stp>Market</stp>
        <stp>STOCK</stp>
        <stp>77790.T</stp>
        <stp>高値</stp>
        <tr r="N934" s="7"/>
      </tp>
      <tp>
        <v>219</v>
        <stp/>
        <stp>Market</stp>
        <stp>STOCK</stp>
        <stp>77190.T</stp>
        <stp>高値</stp>
        <tr r="N922" s="7"/>
      </tp>
      <tp>
        <v>255</v>
        <stp/>
        <stp>Market</stp>
        <stp>STOCK</stp>
        <stp>77090.T</stp>
        <stp>高値</stp>
        <tr r="N921" s="7"/>
      </tp>
      <tp>
        <v>2110</v>
        <stp/>
        <stp>Market</stp>
        <stp>STOCK</stp>
        <stp>77390.T</stp>
        <stp>高値</stp>
        <tr r="N926" s="7"/>
      </tp>
      <tp>
        <v>2377</v>
        <stp/>
        <stp>Market</stp>
        <stp>STOCK</stp>
        <stp>74590.T</stp>
        <stp>高値</stp>
        <tr r="N892" s="7"/>
      </tp>
      <tp>
        <v>1610</v>
        <stp/>
        <stp>Market</stp>
        <stp>STOCK</stp>
        <stp>74190.T</stp>
        <stp>高値</stp>
        <tr r="N887" s="7"/>
      </tp>
      <tp>
        <v>388</v>
        <stp/>
        <stp>Market</stp>
        <stp>STOCK</stp>
        <stp>60590.T</stp>
        <stp>高値</stp>
        <tr r="N647" s="7"/>
      </tp>
      <tp>
        <v>307</v>
        <stp/>
        <stp>Market</stp>
        <stp>STOCK</stp>
        <stp>60490.T</stp>
        <stp>高値</stp>
        <tr r="N645" s="7"/>
      </tp>
      <tp>
        <v>183</v>
        <stp/>
        <stp>Market</stp>
        <stp>STOCK</stp>
        <stp>60290.T</stp>
        <stp>高値</stp>
        <tr r="N638" s="7"/>
      </tp>
      <tp>
        <v>37</v>
        <stp/>
        <stp>Market</stp>
        <stp>STOCK</stp>
        <stp>66590.T</stp>
        <stp>高値</stp>
        <tr r="N749" s="7"/>
      </tp>
      <tp>
        <v>743</v>
        <stp/>
        <stp>Market</stp>
        <stp>STOCK</stp>
        <stp>66190.T</stp>
        <stp>高値</stp>
        <tr r="N738" s="7"/>
      </tp>
      <tp>
        <v>1095</v>
        <stp/>
        <stp>Market</stp>
        <stp>STOCK</stp>
        <stp>64890.T</stp>
        <stp>高値</stp>
        <tr r="N708" s="7"/>
      </tp>
      <tp>
        <v>1118</v>
        <stp/>
        <stp>Market</stp>
        <stp>STOCK</stp>
        <stp>59490.T</stp>
        <stp>高値</stp>
        <tr r="N624" s="7"/>
      </tp>
      <tp>
        <v>956</v>
        <stp/>
        <stp>Market</stp>
        <stp>STOCK</stp>
        <stp>59090.T</stp>
        <stp>高値</stp>
        <tr r="N618" s="7"/>
      </tp>
      <tp>
        <v>483</v>
        <stp/>
        <stp>Market</stp>
        <stp>STOCK</stp>
        <stp>52690.T</stp>
        <stp>高値</stp>
        <tr r="N582" s="7"/>
      </tp>
      <tp t="s">
        <v>表示銘柄数超過</v>
        <stp/>
        <stp>Market</stp>
        <stp>STOCK</stp>
        <stp>50190.T</stp>
        <stp>高値</stp>
        <tr r="N561" s="7"/>
      </tp>
      <tp>
        <v>1359</v>
        <stp/>
        <stp>Market</stp>
        <stp>STOCK</stp>
        <stp>51290.T</stp>
        <stp>高値</stp>
        <tr r="N571" s="7"/>
      </tp>
      <tp>
        <v>1149</v>
        <stp/>
        <stp>Market</stp>
        <stp>STOCK</stp>
        <stp>57590.T</stp>
        <stp>高値</stp>
        <tr r="N610" s="7"/>
      </tp>
      <tp>
        <v>2223</v>
        <stp/>
        <stp>Market</stp>
        <stp>STOCK</stp>
        <stp>54490.T</stp>
        <stp>高値</stp>
        <tr r="N596" s="7"/>
      </tp>
      <tp t="s">
        <v>表示銘柄数超過</v>
        <stp/>
        <stp>Market</stp>
        <stp>STOCK</stp>
        <stp>48890.T</stp>
        <stp>高値</stp>
        <tr r="N547" s="7"/>
      </tp>
      <tp t="s">
        <v>表示銘柄数超過</v>
        <stp/>
        <stp>Market</stp>
        <stp>STOCK</stp>
        <stp>48290.T</stp>
        <stp>高値</stp>
        <tr r="N540" s="7"/>
      </tp>
      <tp t="s">
        <v>表示銘柄数超過</v>
        <stp/>
        <stp>Market</stp>
        <stp>STOCK</stp>
        <stp>42590.T</stp>
        <stp>高値</stp>
        <tr r="N432" s="7"/>
      </tp>
      <tp t="s">
        <v>表示銘柄数超過</v>
        <stp/>
        <stp>Market</stp>
        <stp>STOCK</stp>
        <stp>43790.T</stp>
        <stp>高値</stp>
        <tr r="N454" s="7"/>
      </tp>
      <tp t="s">
        <v>表示銘柄数超過</v>
        <stp/>
        <stp>Market</stp>
        <stp>STOCK</stp>
        <stp>40590.T</stp>
        <stp>高値</stp>
        <tr r="N414" s="7"/>
      </tp>
      <tp t="s">
        <v>表示銘柄数超過</v>
        <stp/>
        <stp>Market</stp>
        <stp>STOCK</stp>
        <stp>41690.T</stp>
        <stp>高値</stp>
        <tr r="N419" s="7"/>
      </tp>
      <tp>
        <v>459</v>
        <stp/>
        <stp>Market</stp>
        <stp>STOCK</stp>
        <stp>46890.T</stp>
        <stp>高値</stp>
        <tr r="N520" s="7"/>
      </tp>
      <tp t="s">
        <v>表示銘柄数超過</v>
        <stp/>
        <stp>Market</stp>
        <stp>STOCK</stp>
        <stp>46190.T</stp>
        <stp>高値</stp>
        <tr r="N511" s="7"/>
      </tp>
      <tp t="s">
        <v>表示銘柄数超過</v>
        <stp/>
        <stp>Market</stp>
        <stp>STOCK</stp>
        <stp>44790.T</stp>
        <stp>高値</stp>
        <tr r="N474" s="7"/>
      </tp>
      <tp t="s">
        <v>表示銘柄数超過</v>
        <stp/>
        <stp>Market</stp>
        <stp>STOCK</stp>
        <stp>44190.T</stp>
        <stp>高値</stp>
        <tr r="N462" s="7"/>
      </tp>
      <tp t="s">
        <v>表示銘柄数超過</v>
        <stp/>
        <stp>Market</stp>
        <stp>STOCK</stp>
        <stp>39890.T</stp>
        <stp>高値</stp>
        <tr r="N404" s="7"/>
      </tp>
      <tp t="s">
        <v>表示銘柄数超過</v>
        <stp/>
        <stp>Market</stp>
        <stp>STOCK</stp>
        <stp>39090.T</stp>
        <stp>高値</stp>
        <tr r="N388" s="7"/>
      </tp>
      <tp t="s">
        <v>表示銘柄数超過</v>
        <stp/>
        <stp>Market</stp>
        <stp>STOCK</stp>
        <stp>39390.T</stp>
        <stp>高値</stp>
        <tr r="N398" s="7"/>
      </tp>
      <tp t="s">
        <v>表示銘柄数超過</v>
        <stp/>
        <stp>Market</stp>
        <stp>STOCK</stp>
        <stp>39290.T</stp>
        <stp>高値</stp>
        <tr r="N395" s="7"/>
      </tp>
      <tp t="s">
        <v>表示銘柄数超過</v>
        <stp/>
        <stp>Market</stp>
        <stp>STOCK</stp>
        <stp>32990.T</stp>
        <stp>高値</stp>
        <tr r="N274" s="7"/>
      </tp>
      <tp t="s">
        <v>表示銘柄数超過</v>
        <stp/>
        <stp>Market</stp>
        <stp>STOCK</stp>
        <stp>32890.T</stp>
        <stp>高値</stp>
        <tr r="N272" s="7"/>
      </tp>
      <tp t="s">
        <v>表示銘柄数超過</v>
        <stp/>
        <stp>Market</stp>
        <stp>STOCK</stp>
        <stp>33590.T</stp>
        <stp>高値</stp>
        <tr r="N286" s="7"/>
      </tp>
      <tp t="s">
        <v>表示銘柄数超過</v>
        <stp/>
        <stp>Market</stp>
        <stp>STOCK</stp>
        <stp>30990.T</stp>
        <stp>高値</stp>
        <tr r="N240" s="7"/>
      </tp>
      <tp t="s">
        <v>表示銘柄数超過</v>
        <stp/>
        <stp>Market</stp>
        <stp>STOCK</stp>
        <stp>30690.T</stp>
        <stp>高値</stp>
        <tr r="N235" s="7"/>
      </tp>
      <tp t="s">
        <v>表示銘柄数超過</v>
        <stp/>
        <stp>Market</stp>
        <stp>STOCK</stp>
        <stp>31890.T</stp>
        <stp>高値</stp>
        <tr r="N255" s="7"/>
      </tp>
      <tp t="s">
        <v>表示銘柄数超過</v>
        <stp/>
        <stp>Market</stp>
        <stp>STOCK</stp>
        <stp>31590.T</stp>
        <stp>高値</stp>
        <tr r="N249" s="7"/>
      </tp>
      <tp t="s">
        <v>表示銘柄数超過</v>
        <stp/>
        <stp>Market</stp>
        <stp>STOCK</stp>
        <stp>36490.T</stp>
        <stp>高値</stp>
        <tr r="N321" s="7"/>
      </tp>
      <tp t="s">
        <v>表示銘柄数超過</v>
        <stp/>
        <stp>Market</stp>
        <stp>STOCK</stp>
        <stp>36390.T</stp>
        <stp>高値</stp>
        <tr r="N318" s="7"/>
      </tp>
      <tp t="s">
        <v>表示銘柄数超過</v>
        <stp/>
        <stp>Market</stp>
        <stp>STOCK</stp>
        <stp>37790.T</stp>
        <stp>高値</stp>
        <tr r="N358" s="7"/>
      </tp>
      <tp t="s">
        <v>表示銘柄数超過</v>
        <stp/>
        <stp>Market</stp>
        <stp>STOCK</stp>
        <stp>37190.T</stp>
        <stp>高値</stp>
        <tr r="N345" s="7"/>
      </tp>
      <tp t="s">
        <v>表示銘柄数超過</v>
        <stp/>
        <stp>Market</stp>
        <stp>STOCK</stp>
        <stp>34090.T</stp>
        <stp>高値</stp>
        <tr r="N296" s="7"/>
      </tp>
      <tp t="s">
        <v>表示銘柄数超過</v>
        <stp/>
        <stp>Market</stp>
        <stp>STOCK</stp>
        <stp>27490.T</stp>
        <stp>高値</stp>
        <tr r="N192" s="7"/>
      </tp>
      <tp t="s">
        <v>表示銘柄数超過</v>
        <stp/>
        <stp>Market</stp>
        <stp>STOCK</stp>
        <stp>24790.T</stp>
        <stp>高値</stp>
        <tr r="N150" s="7"/>
      </tp>
      <tp t="s">
        <v>表示銘柄数超過</v>
        <stp/>
        <stp>Market</stp>
        <stp>STOCK</stp>
        <stp>24290.T</stp>
        <stp>高値</stp>
        <tr r="N139" s="7"/>
      </tp>
      <tp t="s">
        <v>表示銘柄数超過</v>
        <stp/>
        <stp>Market</stp>
        <stp>STOCK</stp>
        <stp>25790.T</stp>
        <stp>高値</stp>
        <tr r="N163" s="7"/>
      </tp>
      <tp t="s">
        <v>表示銘柄数超過</v>
        <stp/>
        <stp>Market</stp>
        <stp>STOCK</stp>
        <stp>18790.T</stp>
        <stp>高値</stp>
        <tr r="N68" s="7"/>
      </tp>
      <tp t="s">
        <v>表示銘柄数超過</v>
        <stp/>
        <stp>Market</stp>
        <stp>STOCK</stp>
        <stp>19390.T</stp>
        <stp>高値</stp>
        <tr r="N78" s="7"/>
      </tp>
      <tp t="s">
        <v>表示銘柄数超過</v>
        <stp/>
        <stp>Market</stp>
        <stp>STOCK</stp>
        <stp>13990.T</stp>
        <stp>高値</stp>
        <tr r="N16" s="7"/>
      </tp>
      <tp t="s">
        <v>表示銘柄数超過</v>
        <stp/>
        <stp>Market</stp>
        <stp>STOCK</stp>
        <stp>13190.T</stp>
        <stp>高値</stp>
        <tr r="N6" s="7"/>
      </tp>
      <tp t="s">
        <v>表示銘柄数超過</v>
        <stp/>
        <stp>Market</stp>
        <stp>STOCK</stp>
        <stp>16990.T</stp>
        <stp>高値</stp>
        <tr r="N45" s="7"/>
      </tp>
      <tp t="s">
        <v>表示銘柄数超過</v>
        <stp/>
        <stp>Market</stp>
        <stp>STOCK</stp>
        <stp>16890.T</stp>
        <stp>高値</stp>
        <tr r="N44" s="7"/>
      </tp>
      <tp t="s">
        <v>表示銘柄数超過</v>
        <stp/>
        <stp>Market</stp>
        <stp>STOCK</stp>
        <stp>17190.T</stp>
        <stp>高値</stp>
        <tr r="N49" s="7"/>
      </tp>
      <tp t="s">
        <v>表示銘柄数超過</v>
        <stp/>
        <stp>Market</stp>
        <stp>STOCK</stp>
        <stp>14590.T</stp>
        <stp>高値</stp>
        <tr r="N26" s="7"/>
      </tp>
      <tp t="s">
        <v>表示銘柄数超過</v>
        <stp/>
        <stp>Market</stp>
        <stp>STOCK</stp>
        <stp>14690.T</stp>
        <stp>高値</stp>
        <tr r="N27" s="7"/>
      </tp>
      <tp t="s">
        <v>表示銘柄数超過</v>
        <stp/>
        <stp>Market</stp>
        <stp>STOCK</stp>
        <stp>14190.T</stp>
        <stp>高値</stp>
        <tr r="N21" s="7"/>
      </tp>
      <tp t="s">
        <v>表示銘柄数超過</v>
        <stp/>
        <stp>Market</stp>
        <stp>STOCK</stp>
        <stp>14390.T</stp>
        <stp>高値</stp>
        <tr r="N24" s="7"/>
      </tp>
    </main>
    <main first="rtdsrv.662c26bade854d00aebc6010f8a2e03a">
      <tp t="s">
        <v>表示銘柄数超過</v>
        <stp/>
        <stp>Market</stp>
        <stp>STOCK</stp>
        <stp>45940.T</stp>
        <stp>売買代金</stp>
        <tr r="W505" s="7"/>
      </tp>
      <tp>
        <v>14491982</v>
        <stp/>
        <stp>Market</stp>
        <stp>STOCK</stp>
        <stp>65940.T</stp>
        <stp>売買代金</stp>
        <tr r="W735" s="7"/>
      </tp>
      <tp t="s">
        <v>表示銘柄数超過</v>
        <stp/>
        <stp>Market</stp>
        <stp>STOCK</stp>
        <stp>25970.T</stp>
        <stp>売買代金</stp>
        <tr r="W168" s="7"/>
      </tp>
      <tp t="s">
        <v>表示銘柄数超過</v>
        <stp/>
        <stp>Market</stp>
        <stp>STOCK</stp>
        <stp>45970.T</stp>
        <stp>売買代金</stp>
        <tr r="W507" s="7"/>
      </tp>
      <tp t="s">
        <v>表示銘柄数超過</v>
        <stp/>
        <stp>Market</stp>
        <stp>STOCK</stp>
        <stp>45960.T</stp>
        <stp>売買代金</stp>
        <tr r="W506" s="7"/>
      </tp>
      <tp>
        <v>14048135</v>
        <stp/>
        <stp>Market</stp>
        <stp>STOCK</stp>
        <stp>85910.T</stp>
        <stp>売買代金</stp>
        <tr r="W1023" s="7"/>
      </tp>
      <tp t="s">
        <v>表示銘柄数超過</v>
        <stp/>
        <stp>Market</stp>
        <stp>STOCK</stp>
        <stp>45910.T</stp>
        <stp>売買代金</stp>
        <tr r="W502" s="7"/>
      </tp>
      <tp>
        <v>12439</v>
        <stp/>
        <stp>Market</stp>
        <stp>STOCK</stp>
        <stp>75900.T</stp>
        <stp>売買代金</stp>
        <tr r="W907" s="7"/>
      </tp>
      <tp>
        <v>3046865</v>
        <stp/>
        <stp>Market</stp>
        <stp>STOCK</stp>
        <stp>85930.T</stp>
        <stp>売買代金</stp>
        <tr r="W1024" s="7"/>
      </tp>
      <tp t="s">
        <v>表示銘柄数超過</v>
        <stp/>
        <stp>Market</stp>
        <stp>STOCK</stp>
        <stp>45930.T</stp>
        <stp>売買代金</stp>
        <tr r="W504" s="7"/>
      </tp>
      <tp t="s">
        <v>表示銘柄数超過</v>
        <stp/>
        <stp>Market</stp>
        <stp>STOCK</stp>
        <stp>25935.T</stp>
        <stp>売買代金</stp>
        <tr r="W167" s="7"/>
      </tp>
      <tp>
        <v>80619</v>
        <stp/>
        <stp>Market</stp>
        <stp>STOCK</stp>
        <stp>75930.T</stp>
        <stp>売買代金</stp>
        <tr r="W908" s="7"/>
      </tp>
      <tp t="s">
        <v>表示銘柄数超過</v>
        <stp/>
        <stp>Market</stp>
        <stp>STOCK</stp>
        <stp>45920.T</stp>
        <stp>売買代金</stp>
        <tr r="W503" s="7"/>
      </tp>
      <tp t="s">
        <v>表示銘柄数超過</v>
        <stp/>
        <stp>Market</stp>
        <stp>STOCK</stp>
        <stp>45880.T</stp>
        <stp>売買代金</stp>
        <tr r="W501" s="7"/>
      </tp>
      <tp>
        <v>377825</v>
        <stp/>
        <stp>Market</stp>
        <stp>STOCK</stp>
        <stp>65880.T</stp>
        <stp>売買代金</stp>
        <tr r="W734" s="7"/>
      </tp>
      <tp>
        <v>431268</v>
        <stp/>
        <stp>Market</stp>
        <stp>STOCK</stp>
        <stp>85850.T</stp>
        <stp>売買代金</stp>
        <tr r="W1022" s="7"/>
      </tp>
      <tp t="s">
        <v>表示銘柄数超過</v>
        <stp/>
        <stp>Market</stp>
        <stp>STOCK</stp>
        <stp>25850.T</stp>
        <stp>売買代金</stp>
        <tr r="W164" s="7"/>
      </tp>
      <tp>
        <v>1218</v>
        <stp/>
        <stp>Market</stp>
        <stp>STOCK</stp>
        <stp>75850.T</stp>
        <stp>売買代金</stp>
        <tr r="W906" s="7"/>
      </tp>
      <tp t="s">
        <v>表示銘柄数超過</v>
        <stp/>
        <stp>Market</stp>
        <stp>STOCK</stp>
        <stp>45840.T</stp>
        <stp>売買代金</stp>
        <tr r="W499" s="7"/>
      </tp>
      <tp>
        <v>235809</v>
        <stp/>
        <stp>Market</stp>
        <stp>STOCK</stp>
        <stp>65840.T</stp>
        <stp>売買代金</stp>
        <tr r="W733" s="7"/>
      </tp>
      <tp t="s">
        <v>表示銘柄数超過</v>
        <stp/>
        <stp>Market</stp>
        <stp>STOCK</stp>
        <stp>25870.T</stp>
        <stp>売買代金</stp>
        <tr r="W166" s="7"/>
      </tp>
      <tp t="s">
        <v>表示銘柄数超過</v>
        <stp/>
        <stp>Market</stp>
        <stp>STOCK</stp>
        <stp>25860.T</stp>
        <stp>売買代金</stp>
        <tr r="W165" s="7"/>
      </tp>
      <tp>
        <v>230559</v>
        <stp/>
        <stp>Market</stp>
        <stp>STOCK</stp>
        <stp>55860.T</stp>
        <stp>売買代金</stp>
        <tr r="W600" s="7"/>
      </tp>
      <tp t="s">
        <v>表示銘柄数超過</v>
        <stp/>
        <stp>Market</stp>
        <stp>STOCK</stp>
        <stp>45860.T</stp>
        <stp>売買代金</stp>
        <tr r="W500" s="7"/>
      </tp>
      <tp t="s">
        <v>表示銘柄数超過</v>
        <stp/>
        <stp>Market</stp>
        <stp>STOCK</stp>
        <stp>35800.T</stp>
        <stp>売買代金</stp>
        <tr r="W310" s="7"/>
      </tp>
      <tp>
        <v>4594</v>
        <stp/>
        <stp>Market</stp>
        <stp>STOCK</stp>
        <stp>65800.T</stp>
        <stp>売買代金</stp>
        <tr r="W732" s="7"/>
      </tp>
      <tp t="s">
        <v>表示銘柄数超過</v>
        <stp/>
        <stp>Market</stp>
        <stp>STOCK</stp>
        <stp>45830.T</stp>
        <stp>売買代金</stp>
        <tr r="W498" s="7"/>
      </tp>
      <tp t="s">
        <v>表示銘柄数超過</v>
        <stp/>
        <stp>Market</stp>
        <stp>STOCK</stp>
        <stp>45820.T</stp>
        <stp>売買代金</stp>
        <tr r="W497" s="7"/>
      </tp>
      <tp t="s">
        <v>表示銘柄数超過</v>
        <stp/>
        <stp>Market</stp>
        <stp>STOCK</stp>
        <stp>25790.T</stp>
        <stp>売買代金</stp>
        <tr r="W163" s="7"/>
      </tp>
      <tp t="s">
        <v>表示銘柄数超過</v>
        <stp/>
        <stp>Market</stp>
        <stp>STOCK</stp>
        <stp>15780.T</stp>
        <stp>売買代金</stp>
        <tr r="W36" s="7"/>
      </tp>
      <tp t="s">
        <v>表示銘柄数超過</v>
        <stp/>
        <stp>Market</stp>
        <stp>STOCK</stp>
        <stp>45780.T</stp>
        <stp>売買代金</stp>
        <tr r="W496" s="7"/>
      </tp>
      <tp>
        <v>26991</v>
        <stp/>
        <stp>Market</stp>
        <stp>STOCK</stp>
        <stp>75780.T</stp>
        <stp>売買代金</stp>
        <tr r="W905" s="7"/>
      </tp>
      <tp>
        <v>3699</v>
        <stp/>
        <stp>Market</stp>
        <stp>STOCK</stp>
        <stp>65780.T</stp>
        <stp>売買代金</stp>
        <tr r="W731" s="7"/>
      </tp>
      <tp t="s">
        <v>表示銘柄数超過</v>
        <stp/>
        <stp>Market</stp>
        <stp>STOCK</stp>
        <stp>45750.T</stp>
        <stp>売買代金</stp>
        <tr r="W494" s="7"/>
      </tp>
      <tp t="s">
        <v>表示銘柄数超過</v>
        <stp/>
        <stp>Market</stp>
        <stp>STOCK</stp>
        <stp>45740.T</stp>
        <stp>売買代金</stp>
        <tr r="W493" s="7"/>
      </tp>
      <tp>
        <v>1437</v>
        <stp/>
        <stp>Market</stp>
        <stp>STOCK</stp>
        <stp>65740.T</stp>
        <stp>売買代金</stp>
        <tr r="W730" s="7"/>
      </tp>
      <tp t="s">
        <v>表示銘柄数超過</v>
        <stp/>
        <stp>Market</stp>
        <stp>STOCK</stp>
        <stp>45760.T</stp>
        <stp>売買代金</stp>
        <tr r="W495" s="7"/>
      </tp>
      <tp t="s">
        <v>表示銘柄数超過</v>
        <stp/>
        <stp>Market</stp>
        <stp>STOCK</stp>
        <stp>15710.T</stp>
        <stp>売買代金</stp>
        <tr r="W34" s="7"/>
      </tp>
      <tp t="s">
        <v>表示銘柄数超過</v>
        <stp/>
        <stp>Market</stp>
        <stp>STOCK</stp>
        <stp>45710.T</stp>
        <stp>売買代金</stp>
        <tr r="W491" s="7"/>
      </tp>
      <tp>
        <v>643416</v>
        <stp/>
        <stp>Market</stp>
        <stp>STOCK</stp>
        <stp>85700.T</stp>
        <stp>売買代金</stp>
        <tr r="W1020" s="7"/>
      </tp>
      <tp t="s">
        <v>表示銘柄数超過</v>
        <stp/>
        <stp>Market</stp>
        <stp>STOCK</stp>
        <stp>45700.T</stp>
        <stp>売買代金</stp>
        <tr r="W490" s="7"/>
      </tp>
      <tp>
        <v>208235</v>
        <stp/>
        <stp>Market</stp>
        <stp>STOCK</stp>
        <stp>65730.T</stp>
        <stp>売買代金</stp>
        <tr r="W729" s="7"/>
      </tp>
      <tp>
        <v>1439323</v>
        <stp/>
        <stp>Market</stp>
        <stp>STOCK</stp>
        <stp>85720.T</stp>
        <stp>売買代金</stp>
        <tr r="W1021" s="7"/>
      </tp>
      <tp t="s">
        <v>表示銘柄数超過</v>
        <stp/>
        <stp>Market</stp>
        <stp>STOCK</stp>
        <stp>15720.T</stp>
        <stp>売買代金</stp>
        <tr r="W35" s="7"/>
      </tp>
      <tp t="s">
        <v>表示銘柄数超過</v>
        <stp/>
        <stp>Market</stp>
        <stp>STOCK</stp>
        <stp>45720.T</stp>
        <stp>売買代金</stp>
        <tr r="W492" s="7"/>
      </tp>
      <tp t="s">
        <v>表示銘柄数超過</v>
        <stp/>
        <stp>Market</stp>
        <stp>STOCK</stp>
        <stp>45680.T</stp>
        <stp>売買代金</stp>
        <tr r="W489" s="7"/>
      </tp>
      <tp t="s">
        <v>表示銘柄数超過</v>
        <stp/>
        <stp>Market</stp>
        <stp>STOCK</stp>
        <stp>45650.T</stp>
        <stp>売買代金</stp>
        <tr r="W488" s="7"/>
      </tp>
      <tp t="s">
        <v>表示銘柄数超過</v>
        <stp/>
        <stp>Market</stp>
        <stp>STOCK</stp>
        <stp>45640.T</stp>
        <stp>売買代金</stp>
        <tr r="W487" s="7"/>
      </tp>
      <tp t="s">
        <v>表示銘柄数超過</v>
        <stp/>
        <stp>Market</stp>
        <stp>STOCK</stp>
        <stp>25670.T</stp>
        <stp>売買代金</stp>
        <tr r="W162" s="7"/>
      </tp>
      <tp>
        <v>3116</v>
        <stp/>
        <stp>Market</stp>
        <stp>STOCK</stp>
        <stp>75670.T</stp>
        <stp>売買代金</stp>
        <tr r="W904" s="7"/>
      </tp>
      <tp t="s">
        <v>表示銘柄数超過</v>
        <stp/>
        <stp>Market</stp>
        <stp>STOCK</stp>
        <stp>35610.T</stp>
        <stp>売買代金</stp>
        <tr r="W309" s="7"/>
      </tp>
      <tp t="s">
        <v>表示銘柄数超過</v>
        <stp/>
        <stp>Market</stp>
        <stp>STOCK</stp>
        <stp>95600.T</stp>
        <stp>売買代金</stp>
        <tr r="W1157" s="7"/>
      </tp>
      <tp t="s">
        <v>表示銘柄数超過</v>
        <stp/>
        <stp>Market</stp>
        <stp>STOCK</stp>
        <stp>15630.T</stp>
        <stp>売買代金</stp>
        <tr r="W33" s="7"/>
      </tp>
      <tp t="s">
        <v>表示銘柄数超過</v>
        <stp/>
        <stp>Market</stp>
        <stp>STOCK</stp>
        <stp>25630.T</stp>
        <stp>売買代金</stp>
        <tr r="W161" s="7"/>
      </tp>
      <tp>
        <v>132400</v>
        <stp/>
        <stp>Market</stp>
        <stp>STOCK</stp>
        <stp>55630.T</stp>
        <stp>売買代金</stp>
        <tr r="W599" s="7"/>
      </tp>
      <tp t="s">
        <v>表示銘柄数超過</v>
        <stp/>
        <stp>Market</stp>
        <stp>STOCK</stp>
        <stp>45630.T</stp>
        <stp>売買代金</stp>
        <tr r="W486" s="7"/>
      </tp>
      <tp>
        <v>53010</v>
        <stp/>
        <stp>Market</stp>
        <stp>STOCK</stp>
        <stp>85620.T</stp>
        <stp>売買代金</stp>
        <tr r="W1019" s="7"/>
      </tp>
      <tp t="s">
        <v>表示銘柄数超過</v>
        <stp/>
        <stp>Market</stp>
        <stp>STOCK</stp>
        <stp>45580.T</stp>
        <stp>売買代金</stp>
        <tr r="W485" s="7"/>
      </tp>
      <tp>
        <v>5082</v>
        <stp/>
        <stp>Market</stp>
        <stp>STOCK</stp>
        <stp>65550.T</stp>
        <stp>売買代金</stp>
        <tr r="W726" s="7"/>
      </tp>
      <tp t="s">
        <v>表示銘柄数超過</v>
        <stp/>
        <stp>Market</stp>
        <stp>STOCK</stp>
        <stp>45540.T</stp>
        <stp>売買代金</stp>
        <tr r="W484" s="7"/>
      </tp>
      <tp>
        <v>30416</v>
        <stp/>
        <stp>Market</stp>
        <stp>STOCK</stp>
        <stp>65540.T</stp>
        <stp>売買代金</stp>
        <tr r="W725" s="7"/>
      </tp>
      <tp t="s">
        <v>表示銘柄数超過</v>
        <stp/>
        <stp>Market</stp>
        <stp>STOCK</stp>
        <stp>95570.T</stp>
        <stp>売買代金</stp>
        <tr r="W1156" s="7"/>
      </tp>
      <tp>
        <v>311867</v>
        <stp/>
        <stp>Market</stp>
        <stp>STOCK</stp>
        <stp>65570.T</stp>
        <stp>売買代金</stp>
        <tr r="W728" s="7"/>
      </tp>
      <tp>
        <v>99460</v>
        <stp/>
        <stp>Market</stp>
        <stp>STOCK</stp>
        <stp>65560.T</stp>
        <stp>売買代金</stp>
        <tr r="W727" s="7"/>
      </tp>
      <tp t="s">
        <v>表示銘柄数超過</v>
        <stp/>
        <stp>Market</stp>
        <stp>STOCK</stp>
        <stp>15510.T</stp>
        <stp>売買代金</stp>
        <tr r="W31" s="7"/>
      </tp>
      <tp t="s">
        <v>表示銘柄数超過</v>
        <stp/>
        <stp>Market</stp>
        <stp>STOCK</stp>
        <stp>35510.T</stp>
        <stp>売買代金</stp>
        <tr r="W307" s="7"/>
      </tp>
      <tp>
        <v>9233</v>
        <stp/>
        <stp>Market</stp>
        <stp>STOCK</stp>
        <stp>65500.T</stp>
        <stp>売買代金</stp>
        <tr r="W723" s="7"/>
      </tp>
      <tp t="s">
        <v>表示銘柄数超過</v>
        <stp/>
        <stp>Market</stp>
        <stp>STOCK</stp>
        <stp>95530.T</stp>
        <stp>売買代金</stp>
        <tr r="W1155" s="7"/>
      </tp>
      <tp t="s">
        <v>表示銘柄数超過</v>
        <stp/>
        <stp>Market</stp>
        <stp>STOCK</stp>
        <stp>35530.T</stp>
        <stp>売買代金</stp>
        <tr r="W308" s="7"/>
      </tp>
      <tp t="s">
        <v>表示銘柄数超過</v>
        <stp/>
        <stp>Market</stp>
        <stp>STOCK</stp>
        <stp>15520.T</stp>
        <stp>売買代金</stp>
        <tr r="W32" s="7"/>
      </tp>
      <tp>
        <v>28089</v>
        <stp/>
        <stp>Market</stp>
        <stp>STOCK</stp>
        <stp>65520.T</stp>
        <stp>売買代金</stp>
        <tr r="W724" s="7"/>
      </tp>
      <tp>
        <v>309</v>
        <stp/>
        <stp>Market</stp>
        <stp>STOCK</stp>
        <stp>65450.T</stp>
        <stp>売買代金</stp>
        <tr r="W722" s="7"/>
      </tp>
      <tp>
        <v>379215</v>
        <stp/>
        <stp>Market</stp>
        <stp>STOCK</stp>
        <stp>75440.T</stp>
        <stp>売買代金</stp>
        <tr r="W903" s="7"/>
      </tp>
      <tp t="s">
        <v>表示銘柄数超過</v>
        <stp/>
        <stp>Market</stp>
        <stp>STOCK</stp>
        <stp>35410.T</stp>
        <stp>売買代金</stp>
        <tr r="W305" s="7"/>
      </tp>
      <tp t="s">
        <v>表示銘柄数超過</v>
        <stp/>
        <stp>Market</stp>
        <stp>STOCK</stp>
        <stp>35430.T</stp>
        <stp>売買代金</stp>
        <tr r="W306" s="7"/>
      </tp>
      <tp>
        <v>623</v>
        <stp/>
        <stp>Market</stp>
        <stp>STOCK</stp>
        <stp>65430.T</stp>
        <stp>売買代金</stp>
        <tr r="W721" s="7"/>
      </tp>
      <tp>
        <v>18758</v>
        <stp/>
        <stp>Market</stp>
        <stp>STOCK</stp>
        <stp>75380.T</stp>
        <stp>売買代金</stp>
        <tr r="W902" s="7"/>
      </tp>
      <tp>
        <v>7975</v>
        <stp/>
        <stp>Market</stp>
        <stp>STOCK</stp>
        <stp>65370.T</stp>
        <stp>売買代金</stp>
        <tr r="W720" s="7"/>
      </tp>
      <tp t="s">
        <v>表示銘柄数超過</v>
        <stp/>
        <stp>Market</stp>
        <stp>STOCK</stp>
        <stp>35360.T</stp>
        <stp>売買代金</stp>
        <tr r="W304" s="7"/>
      </tp>
      <tp t="s">
        <v>表示銘柄数超過</v>
        <stp/>
        <stp>Market</stp>
        <stp>STOCK</stp>
        <stp>95310.T</stp>
        <stp>売買代金</stp>
        <tr r="W1153" s="7"/>
      </tp>
      <tp t="s">
        <v>表示銘柄数超過</v>
        <stp/>
        <stp>Market</stp>
        <stp>STOCK</stp>
        <stp>45310.T</stp>
        <stp>売買代金</stp>
        <tr r="W483" s="7"/>
      </tp>
      <tp t="s">
        <v>表示銘柄数超過</v>
        <stp/>
        <stp>Market</stp>
        <stp>STOCK</stp>
        <stp>25330.T</stp>
        <stp>売買代金</stp>
        <tr r="W160" s="7"/>
      </tp>
      <tp t="s">
        <v>表示銘柄数超過</v>
        <stp/>
        <stp>Market</stp>
        <stp>STOCK</stp>
        <stp>95320.T</stp>
        <stp>売買代金</stp>
        <tr r="W1154" s="7"/>
      </tp>
      <tp>
        <v>352070</v>
        <stp/>
        <stp>Market</stp>
        <stp>STOCK</stp>
        <stp>85240.T</stp>
        <stp>売買代金</stp>
        <tr r="W1018" s="7"/>
      </tp>
      <tp>
        <v>7550</v>
        <stp/>
        <stp>Market</stp>
        <stp>STOCK</stp>
        <stp>75270.T</stp>
        <stp>売買代金</stp>
        <tr r="W901" s="7"/>
      </tp>
      <tp t="s">
        <v>表示銘柄数超過</v>
        <stp/>
        <stp>Market</stp>
        <stp>STOCK</stp>
        <stp>35210.T</stp>
        <stp>売買代金</stp>
        <tr r="W303" s="7"/>
      </tp>
      <tp t="s">
        <v>表示銘柄数超過</v>
        <stp/>
        <stp>Market</stp>
        <stp>STOCK</stp>
        <stp>45230.T</stp>
        <stp>売買代金</stp>
        <tr r="W482" s="7"/>
      </tp>
      <tp>
        <v>30084</v>
        <stp/>
        <stp>Market</stp>
        <stp>STOCK</stp>
        <stp>75230.T</stp>
        <stp>売買代金</stp>
        <tr r="W900" s="7"/>
      </tp>
      <tp t="s">
        <v>表示銘柄数超過</v>
        <stp/>
        <stp>Market</stp>
        <stp>STOCK</stp>
        <stp>95220.T</stp>
        <stp>売買代金</stp>
        <tr r="W1152" s="7"/>
      </tp>
      <tp>
        <v>16677</v>
        <stp/>
        <stp>Market</stp>
        <stp>STOCK</stp>
        <stp>65220.T</stp>
        <stp>売買代金</stp>
        <tr r="W719" s="7"/>
      </tp>
      <tp t="s">
        <v>表示銘柄数超過</v>
        <stp/>
        <stp>Market</stp>
        <stp>STOCK</stp>
        <stp>95190.T</stp>
        <stp>売買代金</stp>
        <tr r="W1151" s="7"/>
      </tp>
      <tp>
        <v>52426</v>
        <stp/>
        <stp>Market</stp>
        <stp>STOCK</stp>
        <stp>85180.T</stp>
        <stp>売買代金</stp>
        <tr r="W1017" s="7"/>
      </tp>
      <tp t="s">
        <v>表示銘柄数超過</v>
        <stp/>
        <stp>Market</stp>
        <stp>STOCK</stp>
        <stp>25180.T</stp>
        <stp>売買代金</stp>
        <tr r="W159" s="7"/>
      </tp>
      <tp>
        <v>1103756</v>
        <stp/>
        <stp>Market</stp>
        <stp>STOCK</stp>
        <stp>85150.T</stp>
        <stp>売買代金</stp>
        <tr r="W1016" s="7"/>
      </tp>
      <tp t="s">
        <v>表示銘柄数超過</v>
        <stp/>
        <stp>Market</stp>
        <stp>STOCK</stp>
        <stp>95140.T</stp>
        <stp>売買代金</stp>
        <tr r="W1150" s="7"/>
      </tp>
      <tp t="s">
        <v>表示銘柄数超過</v>
        <stp/>
        <stp>Market</stp>
        <stp>STOCK</stp>
        <stp>15140.T</stp>
        <stp>売買代金</stp>
        <tr r="W30" s="7"/>
      </tp>
      <tp>
        <v>19784</v>
        <stp/>
        <stp>Market</stp>
        <stp>STOCK</stp>
        <stp>75140.T</stp>
        <stp>売買代金</stp>
        <tr r="W898" s="7"/>
      </tp>
      <tp t="s">
        <v>表示銘柄数超過</v>
        <stp/>
        <stp>Market</stp>
        <stp>STOCK</stp>
        <stp>25160.T</stp>
        <stp>売買代金</stp>
        <tr r="W158" s="7"/>
      </tp>
      <tp>
        <v>696306</v>
        <stp/>
        <stp>Market</stp>
        <stp>STOCK</stp>
        <stp>75160.T</stp>
        <stp>売買代金</stp>
        <tr r="W899" s="7"/>
      </tp>
      <tp t="s">
        <v>表示銘柄数超過</v>
        <stp/>
        <stp>Market</stp>
        <stp>STOCK</stp>
        <stp>95110.T</stp>
        <stp>売買代金</stp>
        <tr r="W1149" s="7"/>
      </tp>
      <tp>
        <v>469979</v>
        <stp/>
        <stp>Market</stp>
        <stp>STOCK</stp>
        <stp>85110.T</stp>
        <stp>売買代金</stp>
        <tr r="W1015" s="7"/>
      </tp>
      <tp t="s">
        <v>表示銘柄数超過</v>
        <stp/>
        <stp>Market</stp>
        <stp>STOCK</stp>
        <stp>25100.T</stp>
        <stp>売買代金</stp>
        <tr r="W157" s="7"/>
      </tp>
      <tp>
        <v>150512</v>
        <stp/>
        <stp>Market</stp>
        <stp>STOCK</stp>
        <stp>75130.T</stp>
        <stp>売買代金</stp>
        <tr r="W897" s="7"/>
      </tp>
      <tp>
        <v>20035</v>
        <stp/>
        <stp>Market</stp>
        <stp>STOCK</stp>
        <stp>65130.T</stp>
        <stp>売買代金</stp>
        <tr r="W718" s="7"/>
      </tp>
      <tp>
        <v>279498</v>
        <stp/>
        <stp>Market</stp>
        <stp>STOCK</stp>
        <stp>75120.T</stp>
        <stp>売買代金</stp>
        <tr r="W896" s="7"/>
      </tp>
      <tp t="s">
        <v>表示銘柄数超過</v>
        <stp/>
        <stp>Market</stp>
        <stp>STOCK</stp>
        <stp>95090.T</stp>
        <stp>売買代金</stp>
        <tr r="W1148" s="7"/>
      </tp>
      <tp t="s">
        <v>表示銘柄数超過</v>
        <stp/>
        <stp>Market</stp>
        <stp>STOCK</stp>
        <stp>95080.T</stp>
        <stp>売買代金</stp>
        <tr r="W1147" s="7"/>
      </tp>
      <tp>
        <v>140582</v>
        <stp/>
        <stp>Market</stp>
        <stp>STOCK</stp>
        <stp>85080.T</stp>
        <stp>売買代金</stp>
        <tr r="W1014" s="7"/>
      </tp>
      <tp t="s">
        <v>表示銘柄数超過</v>
        <stp/>
        <stp>Market</stp>
        <stp>STOCK</stp>
        <stp>95050.T</stp>
        <stp>売買代金</stp>
        <tr r="W1144" s="7"/>
      </tp>
      <tp>
        <v>576</v>
        <stp/>
        <stp>Market</stp>
        <stp>STOCK</stp>
        <stp>75050.T</stp>
        <stp>売買代金</stp>
        <tr r="W895" s="7"/>
      </tp>
      <tp t="s">
        <v>表示銘柄数超過</v>
        <stp/>
        <stp>Market</stp>
        <stp>STOCK</stp>
        <stp>95040.T</stp>
        <stp>売買代金</stp>
        <tr r="W1143" s="7"/>
      </tp>
      <tp>
        <v>5849925</v>
        <stp/>
        <stp>Market</stp>
        <stp>STOCK</stp>
        <stp>65040.T</stp>
        <stp>売買代金</stp>
        <tr r="W716" s="7"/>
      </tp>
      <tp t="s">
        <v>表示銘柄数超過</v>
        <stp/>
        <stp>Market</stp>
        <stp>STOCK</stp>
        <stp>95070.T</stp>
        <stp>売買代金</stp>
        <tr r="W1146" s="7"/>
      </tp>
      <tp t="s">
        <v>表示銘柄数超過</v>
        <stp/>
        <stp>Market</stp>
        <stp>STOCK</stp>
        <stp>45070.T</stp>
        <stp>売買代金</stp>
        <tr r="W481" s="7"/>
      </tp>
      <tp>
        <v>842910</v>
        <stp/>
        <stp>Market</stp>
        <stp>STOCK</stp>
        <stp>65070.T</stp>
        <stp>売買代金</stp>
        <tr r="W717" s="7"/>
      </tp>
      <tp t="s">
        <v>表示銘柄数超過</v>
        <stp/>
        <stp>Market</stp>
        <stp>STOCK</stp>
        <stp>95060.T</stp>
        <stp>売買代金</stp>
        <tr r="W1145" s="7"/>
      </tp>
      <tp>
        <v>1935456</v>
        <stp/>
        <stp>Market</stp>
        <stp>STOCK</stp>
        <stp>45060.T</stp>
        <stp>売買代金</stp>
        <tr r="W480" s="7"/>
      </tp>
      <tp t="s">
        <v>表示銘柄数超過</v>
        <stp/>
        <stp>Market</stp>
        <stp>STOCK</stp>
        <stp>95010.T</stp>
        <stp>売買代金</stp>
        <tr r="W1140" s="7"/>
      </tp>
      <tp t="s">
        <v>表示銘柄数超過</v>
        <stp/>
        <stp>Market</stp>
        <stp>STOCK</stp>
        <stp>25010.T</stp>
        <stp>売買代金</stp>
        <tr r="W156" s="7"/>
      </tp>
      <tp>
        <v>24137824</v>
        <stp/>
        <stp>Market</stp>
        <stp>STOCK</stp>
        <stp>65010.T</stp>
        <stp>売買代金</stp>
        <tr r="W713" s="7"/>
      </tp>
      <tp t="s">
        <v>表示銘柄数超過</v>
        <stp/>
        <stp>Market</stp>
        <stp>STOCK</stp>
        <stp>95030.T</stp>
        <stp>売買代金</stp>
        <tr r="W1142" s="7"/>
      </tp>
      <tp t="s">
        <v>表示銘柄数超過</v>
        <stp/>
        <stp>Market</stp>
        <stp>STOCK</stp>
        <stp>45030.T</stp>
        <stp>売買代金</stp>
        <tr r="W479" s="7"/>
      </tp>
      <tp>
        <v>20461275</v>
        <stp/>
        <stp>Market</stp>
        <stp>STOCK</stp>
        <stp>65030.T</stp>
        <stp>売買代金</stp>
        <tr r="W715" s="7"/>
      </tp>
      <tp t="s">
        <v>表示銘柄数超過</v>
        <stp/>
        <stp>Market</stp>
        <stp>STOCK</stp>
        <stp>95020.T</stp>
        <stp>売買代金</stp>
        <tr r="W1141" s="7"/>
      </tp>
      <tp t="s">
        <v/>
        <stp/>
        <stp>Market</stp>
        <stp>STOCK</stp>
        <stp>65020.T</stp>
        <stp>売買代金</stp>
        <tr r="W714" s="7"/>
      </tp>
      <tp>
        <v>89200</v>
        <stp/>
        <stp>Market</stp>
        <stp>STOCK</stp>
        <stp>81530.T</stp>
        <stp>出来高</stp>
        <tr r="V985" s="7"/>
      </tp>
      <tp>
        <v>46100</v>
        <stp/>
        <stp>Market</stp>
        <stp>STOCK</stp>
        <stp>81500.T</stp>
        <stp>出来高</stp>
        <tr r="V984" s="7"/>
      </tp>
      <tp>
        <v>1800</v>
        <stp/>
        <stp>Market</stp>
        <stp>STOCK</stp>
        <stp>81430.T</stp>
        <stp>出来高</stp>
        <tr r="V983" s="7"/>
      </tp>
      <tp>
        <v>126800</v>
        <stp/>
        <stp>Market</stp>
        <stp>STOCK</stp>
        <stp>81730.T</stp>
        <stp>出来高</stp>
        <tr r="V987" s="7"/>
      </tp>
      <tp>
        <v>102600</v>
        <stp/>
        <stp>Market</stp>
        <stp>STOCK</stp>
        <stp>81790.T</stp>
        <stp>出来高</stp>
        <tr r="V988" s="7"/>
      </tp>
      <tp>
        <v>55400</v>
        <stp/>
        <stp>Market</stp>
        <stp>STOCK</stp>
        <stp>81660.T</stp>
        <stp>出来高</stp>
        <tr r="V986" s="7"/>
      </tp>
      <tp>
        <v>12600</v>
        <stp/>
        <stp>Market</stp>
        <stp>STOCK</stp>
        <stp>81180.T</stp>
        <stp>出来高</stp>
        <tr r="V979" s="7"/>
      </tp>
      <tp>
        <v>120300</v>
        <stp/>
        <stp>Market</stp>
        <stp>STOCK</stp>
        <stp>81030.T</stp>
        <stp>出来高</stp>
        <tr r="V976" s="7"/>
      </tp>
      <tp>
        <v>26300</v>
        <stp/>
        <stp>Market</stp>
        <stp>STOCK</stp>
        <stp>81040.T</stp>
        <stp>出来高</stp>
        <tr r="V977" s="7"/>
      </tp>
      <tp>
        <v>6600</v>
        <stp/>
        <stp>Market</stp>
        <stp>STOCK</stp>
        <stp>81050.T</stp>
        <stp>出来高</stp>
        <tr r="V978" s="7"/>
      </tp>
      <tp>
        <v>88800</v>
        <stp/>
        <stp>Market</stp>
        <stp>STOCK</stp>
        <stp>81330.T</stp>
        <stp>出来高</stp>
        <tr r="V980" s="7"/>
      </tp>
      <tp>
        <v>18400</v>
        <stp/>
        <stp>Market</stp>
        <stp>STOCK</stp>
        <stp>81350.T</stp>
        <stp>出来高</stp>
        <tr r="V981" s="7"/>
      </tp>
      <tp>
        <v>49700</v>
        <stp/>
        <stp>Market</stp>
        <stp>STOCK</stp>
        <stp>81390.T</stp>
        <stp>出来高</stp>
        <tr r="V982" s="7"/>
      </tp>
      <tp>
        <v>92100</v>
        <stp/>
        <stp>Market</stp>
        <stp>STOCK</stp>
        <stp>81940.T</stp>
        <stp>出来高</stp>
        <tr r="V989" s="7"/>
      </tp>
      <tp>
        <v>4049300</v>
        <stp/>
        <stp>Market</stp>
        <stp>STOCK</stp>
        <stp>80530.T</stp>
        <stp>出来高</stp>
        <tr r="V970" s="7"/>
      </tp>
      <tp>
        <v>442900</v>
        <stp/>
        <stp>Market</stp>
        <stp>STOCK</stp>
        <stp>80560.T</stp>
        <stp>出来高</stp>
        <tr r="V971" s="7"/>
      </tp>
      <tp>
        <v>46639200</v>
        <stp/>
        <stp>Market</stp>
        <stp>STOCK</stp>
        <stp>80580.T</stp>
        <stp>出来高</stp>
        <tr r="V972" s="7"/>
      </tp>
      <tp>
        <v>38700</v>
        <stp/>
        <stp>Market</stp>
        <stp>STOCK</stp>
        <stp>80770.T</stp>
        <stp>出来高</stp>
        <tr r="V973" s="7"/>
      </tp>
      <tp>
        <v>938300</v>
        <stp/>
        <stp>Market</stp>
        <stp>STOCK</stp>
        <stp>80160.T</stp>
        <stp>出来高</stp>
        <tr r="V967" s="7"/>
      </tp>
      <tp>
        <v>4734200</v>
        <stp/>
        <stp>Market</stp>
        <stp>STOCK</stp>
        <stp>80010.T</stp>
        <stp>出来高</stp>
        <tr r="V964" s="7"/>
      </tp>
      <tp>
        <v>89600</v>
        <stp/>
        <stp>Market</stp>
        <stp>STOCK</stp>
        <stp>80050.T</stp>
        <stp>出来高</stp>
        <tr r="V965" s="7"/>
      </tp>
      <tp>
        <v>133600</v>
        <stp/>
        <stp>Market</stp>
        <stp>STOCK</stp>
        <stp>80080.T</stp>
        <stp>出来高</stp>
        <tr r="V966" s="7"/>
      </tp>
      <tp>
        <v>4490800</v>
        <stp/>
        <stp>Market</stp>
        <stp>STOCK</stp>
        <stp>80310.T</stp>
        <stp>出来高</stp>
        <tr r="V969" s="7"/>
      </tp>
      <tp>
        <v>484900</v>
        <stp/>
        <stp>Market</stp>
        <stp>STOCK</stp>
        <stp>80200.T</stp>
        <stp>出来高</stp>
        <tr r="V968" s="7"/>
      </tp>
      <tp>
        <v>57100</v>
        <stp/>
        <stp>Market</stp>
        <stp>STOCK</stp>
        <stp>80950.T</stp>
        <stp>出来高</stp>
        <tr r="V975" s="7"/>
      </tp>
      <tp>
        <v>27100</v>
        <stp/>
        <stp>Market</stp>
        <stp>STOCK</stp>
        <stp>80810.T</stp>
        <stp>出来高</stp>
        <tr r="V974" s="7"/>
      </tp>
      <tp>
        <v>1495900</v>
        <stp/>
        <stp>Market</stp>
        <stp>STOCK</stp>
        <stp>83580.T</stp>
        <stp>出来高</stp>
        <tr r="V1006" s="7"/>
      </tp>
      <tp>
        <v>299500</v>
        <stp/>
        <stp>Market</stp>
        <stp>STOCK</stp>
        <stp>83770.T</stp>
        <stp>出来高</stp>
        <tr r="V1007" s="7"/>
      </tp>
      <tp>
        <v>4861900</v>
        <stp/>
        <stp>Market</stp>
        <stp>STOCK</stp>
        <stp>83160.T</stp>
        <stp>出来高</stp>
        <tr r="V1003" s="7"/>
      </tp>
      <tp>
        <v>2272800</v>
        <stp/>
        <stp>Market</stp>
        <stp>STOCK</stp>
        <stp>83310.T</stp>
        <stp>出来高</stp>
        <tr r="V1004" s="7"/>
      </tp>
      <tp>
        <v>181500</v>
        <stp/>
        <stp>Market</stp>
        <stp>STOCK</stp>
        <stp>83370.T</stp>
        <stp>出来高</stp>
        <tr r="V1005" s="7"/>
      </tp>
      <tp>
        <v>7600</v>
        <stp/>
        <stp>Market</stp>
        <stp>STOCK</stp>
        <stp>83830.T</stp>
        <stp>出来高</stp>
        <tr r="V1008" s="7"/>
      </tp>
      <tp>
        <v>155900</v>
        <stp/>
        <stp>Market</stp>
        <stp>STOCK</stp>
        <stp>83870.T</stp>
        <stp>出来高</stp>
        <tr r="V1009" s="7"/>
      </tp>
      <tp>
        <v>1463300</v>
        <stp/>
        <stp>Market</stp>
        <stp>STOCK</stp>
        <stp>82520.T</stp>
        <stp>出来高</stp>
        <tr r="V999" s="7"/>
      </tp>
      <tp t="s">
        <v/>
        <stp/>
        <stp>Market</stp>
        <stp>STOCK</stp>
        <stp>82560.T</stp>
        <stp>出来高</stp>
        <tr r="V1000" s="7"/>
      </tp>
      <tp>
        <v>976900</v>
        <stp/>
        <stp>Market</stp>
        <stp>STOCK</stp>
        <stp>82420.T</stp>
        <stp>出来高</stp>
        <tr r="V996" s="7"/>
      </tp>
      <tp>
        <v>8400</v>
        <stp/>
        <stp>Market</stp>
        <stp>STOCK</stp>
        <stp>82470.T</stp>
        <stp>出来高</stp>
        <tr r="V998" s="7"/>
      </tp>
      <tp>
        <v>31300</v>
        <stp/>
        <stp>Market</stp>
        <stp>STOCK</stp>
        <stp>82440.T</stp>
        <stp>出来高</stp>
        <tr r="V997" s="7"/>
      </tp>
      <tp>
        <v>1804000</v>
        <stp/>
        <stp>Market</stp>
        <stp>STOCK</stp>
        <stp>82670.T</stp>
        <stp>出来高</stp>
        <tr r="V1001" s="7"/>
      </tp>
      <tp>
        <v>288200</v>
        <stp/>
        <stp>Market</stp>
        <stp>STOCK</stp>
        <stp>82020.T</stp>
        <stp>出来高</stp>
        <tr r="V990" s="7"/>
      </tp>
      <tp>
        <v>37700</v>
        <stp/>
        <stp>Market</stp>
        <stp>STOCK</stp>
        <stp>82030.T</stp>
        <stp>出来高</stp>
        <tr r="V991" s="7"/>
      </tp>
      <tp>
        <v>37600</v>
        <stp/>
        <stp>Market</stp>
        <stp>STOCK</stp>
        <stp>82070.T</stp>
        <stp>出来高</stp>
        <tr r="V992" s="7"/>
      </tp>
      <tp>
        <v>43600</v>
        <stp/>
        <stp>Market</stp>
        <stp>STOCK</stp>
        <stp>82300.T</stp>
        <stp>出来高</stp>
        <tr r="V994" s="7"/>
      </tp>
      <tp>
        <v>362500</v>
        <stp/>
        <stp>Market</stp>
        <stp>STOCK</stp>
        <stp>82370.T</stp>
        <stp>出来高</stp>
        <tr r="V995" s="7"/>
      </tp>
      <tp>
        <v>98900</v>
        <stp/>
        <stp>Market</stp>
        <stp>STOCK</stp>
        <stp>82260.T</stp>
        <stp>出来高</stp>
        <tr r="V993" s="7"/>
      </tp>
      <tp>
        <v>84800</v>
        <stp/>
        <stp>Market</stp>
        <stp>STOCK</stp>
        <stp>82910.T</stp>
        <stp>出来高</stp>
        <tr r="V1002" s="7"/>
      </tp>
      <tp>
        <v>3966800</v>
        <stp/>
        <stp>Market</stp>
        <stp>STOCK</stp>
        <stp>85720.T</stp>
        <stp>出来高</stp>
        <tr r="V1021" s="7"/>
      </tp>
      <tp>
        <v>480300</v>
        <stp/>
        <stp>Market</stp>
        <stp>STOCK</stp>
        <stp>85700.T</stp>
        <stp>出来高</stp>
        <tr r="V1020" s="7"/>
      </tp>
      <tp>
        <v>229000</v>
        <stp/>
        <stp>Market</stp>
        <stp>STOCK</stp>
        <stp>85620.T</stp>
        <stp>出来高</stp>
        <tr r="V1019" s="7"/>
      </tp>
      <tp>
        <v>300200</v>
        <stp/>
        <stp>Market</stp>
        <stp>STOCK</stp>
        <stp>85110.T</stp>
        <stp>出来高</stp>
        <tr r="V1015" s="7"/>
      </tp>
      <tp>
        <v>2877100</v>
        <stp/>
        <stp>Market</stp>
        <stp>STOCK</stp>
        <stp>85150.T</stp>
        <stp>出来高</stp>
        <tr r="V1016" s="7"/>
      </tp>
      <tp>
        <v>186000</v>
        <stp/>
        <stp>Market</stp>
        <stp>STOCK</stp>
        <stp>85180.T</stp>
        <stp>出来高</stp>
        <tr r="V1017" s="7"/>
      </tp>
      <tp>
        <v>298200</v>
        <stp/>
        <stp>Market</stp>
        <stp>STOCK</stp>
        <stp>85080.T</stp>
        <stp>出来高</stp>
        <tr r="V1014" s="7"/>
      </tp>
      <tp>
        <v>939700</v>
        <stp/>
        <stp>Market</stp>
        <stp>STOCK</stp>
        <stp>85240.T</stp>
        <stp>出来高</stp>
        <tr r="V1018" s="7"/>
      </tp>
      <tp>
        <v>2915200</v>
        <stp/>
        <stp>Market</stp>
        <stp>STOCK</stp>
        <stp>85930.T</stp>
        <stp>出来高</stp>
        <tr r="V1024" s="7"/>
      </tp>
      <tp>
        <v>4894400</v>
        <stp/>
        <stp>Market</stp>
        <stp>STOCK</stp>
        <stp>85910.T</stp>
        <stp>出来高</stp>
        <tr r="V1023" s="7"/>
      </tp>
      <tp>
        <v>404900</v>
        <stp/>
        <stp>Market</stp>
        <stp>STOCK</stp>
        <stp>85850.T</stp>
        <stp>出来高</stp>
        <tr r="V1022" s="7"/>
      </tp>
      <tp>
        <v>6331200</v>
        <stp/>
        <stp>Market</stp>
        <stp>STOCK</stp>
        <stp>84730.T</stp>
        <stp>出来高</stp>
        <tr r="V1013" s="7"/>
      </tp>
      <tp>
        <v>12400</v>
        <stp/>
        <stp>Market</stp>
        <stp>STOCK</stp>
        <stp>84620.T</stp>
        <stp>出来高</stp>
        <tr r="V1012" s="7"/>
      </tp>
      <tp>
        <v>3992100</v>
        <stp/>
        <stp>Market</stp>
        <stp>STOCK</stp>
        <stp>84100.T</stp>
        <stp>出来高</stp>
        <tr r="V1010" s="7"/>
      </tp>
      <tp>
        <v>25000</v>
        <stp/>
        <stp>Market</stp>
        <stp>STOCK</stp>
        <stp>84160.T</stp>
        <stp>出来高</stp>
        <tr r="V1011" s="7"/>
      </tp>
      <tp t="s">
        <v>表示銘柄数超過</v>
        <stp/>
        <stp>Market</stp>
        <stp>STOCK</stp>
        <stp>87500.T</stp>
        <stp>出来高</stp>
        <tr r="V1044" s="7"/>
      </tp>
      <tp>
        <v>11900</v>
        <stp/>
        <stp>Market</stp>
        <stp>STOCK</stp>
        <stp>87420.T</stp>
        <stp>出来高</stp>
        <tr r="V1042" s="7"/>
      </tp>
      <tp>
        <v>190200</v>
        <stp/>
        <stp>Market</stp>
        <stp>STOCK</stp>
        <stp>87460.T</stp>
        <stp>出来高</stp>
        <tr r="V1043" s="7"/>
      </tp>
      <tp t="s">
        <v>表示銘柄数超過</v>
        <stp/>
        <stp>Market</stp>
        <stp>STOCK</stp>
        <stp>87660.T</stp>
        <stp>出来高</stp>
        <tr r="V1045" s="7"/>
      </tp>
      <tp t="s">
        <v>表示銘柄数超過</v>
        <stp/>
        <stp>Market</stp>
        <stp>STOCK</stp>
        <stp>87690.T</stp>
        <stp>出来高</stp>
        <tr r="V1046" s="7"/>
      </tp>
      <tp>
        <v>126600</v>
        <stp/>
        <stp>Market</stp>
        <stp>STOCK</stp>
        <stp>87060.T</stp>
        <stp>出来高</stp>
        <tr r="V1038" s="7"/>
      </tp>
      <tp>
        <v>50900</v>
        <stp/>
        <stp>Market</stp>
        <stp>STOCK</stp>
        <stp>87050.T</stp>
        <stp>出来高</stp>
        <tr r="V1037" s="7"/>
      </tp>
      <tp>
        <v>23900</v>
        <stp/>
        <stp>Market</stp>
        <stp>STOCK</stp>
        <stp>87080.T</stp>
        <stp>出来高</stp>
        <tr r="V1039" s="7"/>
      </tp>
      <tp>
        <v>85600</v>
        <stp/>
        <stp>Market</stp>
        <stp>STOCK</stp>
        <stp>87320.T</stp>
        <stp>出来高</stp>
        <tr r="V1040" s="7"/>
      </tp>
      <tp>
        <v>107100</v>
        <stp/>
        <stp>Market</stp>
        <stp>STOCK</stp>
        <stp>87370.T</stp>
        <stp>出来高</stp>
        <tr r="V1041" s="7"/>
      </tp>
      <tp t="s">
        <v>表示銘柄数超過</v>
        <stp/>
        <stp>Market</stp>
        <stp>STOCK</stp>
        <stp>87930.T</stp>
        <stp>出来高</stp>
        <tr r="V1049" s="7"/>
      </tp>
      <tp t="s">
        <v>表示銘柄数超過</v>
        <stp/>
        <stp>Market</stp>
        <stp>STOCK</stp>
        <stp>87830.T</stp>
        <stp>出来高</stp>
        <tr r="V1047" s="7"/>
      </tp>
      <tp t="s">
        <v>表示銘柄数超過</v>
        <stp/>
        <stp>Market</stp>
        <stp>STOCK</stp>
        <stp>87890.T</stp>
        <stp>出来高</stp>
        <tr r="V1048" s="7"/>
      </tp>
      <tp>
        <v>255000</v>
        <stp/>
        <stp>Market</stp>
        <stp>STOCK</stp>
        <stp>86130.T</stp>
        <stp>出来高</stp>
        <tr r="V1028" s="7"/>
      </tp>
      <tp>
        <v>635700</v>
        <stp/>
        <stp>Market</stp>
        <stp>STOCK</stp>
        <stp>86160.T</stp>
        <stp>出来高</stp>
        <tr r="V1030" s="7"/>
      </tp>
      <tp>
        <v>27900</v>
        <stp/>
        <stp>Market</stp>
        <stp>STOCK</stp>
        <stp>86170.T</stp>
        <stp>出来高</stp>
        <tr r="V1031" s="7"/>
      </tp>
      <tp>
        <v>109300</v>
        <stp/>
        <stp>Market</stp>
        <stp>STOCK</stp>
        <stp>86140.T</stp>
        <stp>出来高</stp>
        <tr r="V1029" s="7"/>
      </tp>
      <tp>
        <v>6188400</v>
        <stp/>
        <stp>Market</stp>
        <stp>STOCK</stp>
        <stp>86010.T</stp>
        <stp>出来高</stp>
        <tr r="V1025" s="7"/>
      </tp>
      <tp>
        <v>18860300</v>
        <stp/>
        <stp>Market</stp>
        <stp>STOCK</stp>
        <stp>86040.T</stp>
        <stp>出来高</stp>
        <tr r="V1026" s="7"/>
      </tp>
      <tp>
        <v>487500</v>
        <stp/>
        <stp>Market</stp>
        <stp>STOCK</stp>
        <stp>86090.T</stp>
        <stp>出来高</stp>
        <tr r="V1027" s="7"/>
      </tp>
      <tp>
        <v>191300</v>
        <stp/>
        <stp>Market</stp>
        <stp>STOCK</stp>
        <stp>86220.T</stp>
        <stp>出来高</stp>
        <tr r="V1032" s="7"/>
      </tp>
      <tp>
        <v>96000</v>
        <stp/>
        <stp>Market</stp>
        <stp>STOCK</stp>
        <stp>86240.T</stp>
        <stp>出来高</stp>
        <tr r="V1033" s="7"/>
      </tp>
      <tp>
        <v>945700</v>
        <stp/>
        <stp>Market</stp>
        <stp>STOCK</stp>
        <stp>86280.T</stp>
        <stp>出来高</stp>
        <tr r="V1034" s="7"/>
      </tp>
      <tp>
        <v>1701200</v>
        <stp/>
        <stp>Market</stp>
        <stp>STOCK</stp>
        <stp>86970.T</stp>
        <stp>出来高</stp>
        <tr r="V1035" s="7"/>
      </tp>
      <tp>
        <v>3249800</v>
        <stp/>
        <stp>Market</stp>
        <stp>STOCK</stp>
        <stp>86980.T</stp>
        <stp>出来高</stp>
        <tr r="V1036" s="7"/>
      </tp>
      <tp t="s">
        <v>表示銘柄数超過</v>
        <stp/>
        <stp>Market</stp>
        <stp>STOCK</stp>
        <stp>89460.T</stp>
        <stp>出来高</stp>
        <tr r="V1071" s="7"/>
      </tp>
      <tp t="s">
        <v>表示銘柄数超過</v>
        <stp/>
        <stp>Market</stp>
        <stp>STOCK</stp>
        <stp>89440.T</stp>
        <stp>出来高</stp>
        <tr r="V1069" s="7"/>
      </tp>
      <tp t="s">
        <v>表示銘柄数超過</v>
        <stp/>
        <stp>Market</stp>
        <stp>STOCK</stp>
        <stp>89450.T</stp>
        <stp>出来高</stp>
        <tr r="V1070" s="7"/>
      </tp>
      <tp t="s">
        <v>表示銘柄数超過</v>
        <stp/>
        <stp>Market</stp>
        <stp>STOCK</stp>
        <stp>89120.T</stp>
        <stp>出来高</stp>
        <tr r="V1063" s="7"/>
      </tp>
      <tp t="s">
        <v>表示銘柄数超過</v>
        <stp/>
        <stp>Market</stp>
        <stp>STOCK</stp>
        <stp>89180.T</stp>
        <stp>出来高</stp>
        <tr r="V1064" s="7"/>
      </tp>
      <tp t="s">
        <v>表示銘柄数超過</v>
        <stp/>
        <stp>Market</stp>
        <stp>STOCK</stp>
        <stp>89050.T</stp>
        <stp>出来高</stp>
        <tr r="V1062" s="7"/>
      </tp>
      <tp t="s">
        <v>表示銘柄数超過</v>
        <stp/>
        <stp>Market</stp>
        <stp>STOCK</stp>
        <stp>89380.T</stp>
        <stp>出来高</stp>
        <tr r="V1068" s="7"/>
      </tp>
      <tp t="s">
        <v>表示銘柄数超過</v>
        <stp/>
        <stp>Market</stp>
        <stp>STOCK</stp>
        <stp>89230.T</stp>
        <stp>出来高</stp>
        <tr r="V1065" s="7"/>
      </tp>
      <tp t="s">
        <v>表示銘柄数超過</v>
        <stp/>
        <stp>Market</stp>
        <stp>STOCK</stp>
        <stp>89270.T</stp>
        <stp>出来高</stp>
        <tr r="V1067" s="7"/>
      </tp>
      <tp t="s">
        <v>表示銘柄数超過</v>
        <stp/>
        <stp>Market</stp>
        <stp>STOCK</stp>
        <stp>89250.T</stp>
        <stp>出来高</stp>
        <tr r="V1066" s="7"/>
      </tp>
      <tp t="s">
        <v>表示銘柄数超過</v>
        <stp/>
        <stp>Market</stp>
        <stp>STOCK</stp>
        <stp>89960.T</stp>
        <stp>出来高</stp>
        <tr r="V1072" s="7"/>
      </tp>
      <tp t="s">
        <v>表示銘柄数超過</v>
        <stp/>
        <stp>Market</stp>
        <stp>STOCK</stp>
        <stp>88410.T</stp>
        <stp>出来高</stp>
        <tr r="V1055" s="7"/>
      </tp>
      <tp t="s">
        <v>表示銘柄数超過</v>
        <stp/>
        <stp>Market</stp>
        <stp>STOCK</stp>
        <stp>88440.T</stp>
        <stp>出来高</stp>
        <tr r="V1056" s="7"/>
      </tp>
      <tp t="s">
        <v>表示銘柄数超過</v>
        <stp/>
        <stp>Market</stp>
        <stp>STOCK</stp>
        <stp>88180.T</stp>
        <stp>出来高</stp>
        <tr r="V1053" s="7"/>
      </tp>
      <tp t="s">
        <v>表示銘柄数超過</v>
        <stp/>
        <stp>Market</stp>
        <stp>STOCK</stp>
        <stp>88020.T</stp>
        <stp>出来高</stp>
        <tr r="V1051" s="7"/>
      </tp>
      <tp t="s">
        <v>表示銘柄数超過</v>
        <stp/>
        <stp>Market</stp>
        <stp>STOCK</stp>
        <stp>88010.T</stp>
        <stp>出来高</stp>
        <tr r="V1050" s="7"/>
      </tp>
      <tp t="s">
        <v>表示銘柄数超過</v>
        <stp/>
        <stp>Market</stp>
        <stp>STOCK</stp>
        <stp>88040.T</stp>
        <stp>出来高</stp>
        <tr r="V1052" s="7"/>
      </tp>
      <tp t="s">
        <v>表示銘柄数超過</v>
        <stp/>
        <stp>Market</stp>
        <stp>STOCK</stp>
        <stp>88300.T</stp>
        <stp>出来高</stp>
        <tr r="V1054" s="7"/>
      </tp>
      <tp t="s">
        <v>表示銘柄数超過</v>
        <stp/>
        <stp>Market</stp>
        <stp>STOCK</stp>
        <stp>88930.T</stp>
        <stp>出来高</stp>
        <tr r="V1059" s="7"/>
      </tp>
      <tp t="s">
        <v>表示銘柄数超過</v>
        <stp/>
        <stp>Market</stp>
        <stp>STOCK</stp>
        <stp>88970.T</stp>
        <stp>出来高</stp>
        <tr r="V1061" s="7"/>
      </tp>
      <tp t="s">
        <v>表示銘柄数超過</v>
        <stp/>
        <stp>Market</stp>
        <stp>STOCK</stp>
        <stp>88940.T</stp>
        <stp>出来高</stp>
        <tr r="V1060" s="7"/>
      </tp>
      <tp t="s">
        <v>表示銘柄数超過</v>
        <stp/>
        <stp>Market</stp>
        <stp>STOCK</stp>
        <stp>88810.T</stp>
        <stp>出来高</stp>
        <tr r="V1057" s="7"/>
      </tp>
      <tp t="s">
        <v>表示銘柄数超過</v>
        <stp/>
        <stp>Market</stp>
        <stp>STOCK</stp>
        <stp>88870.T</stp>
        <stp>出来高</stp>
        <tr r="V1058" s="7"/>
      </tp>
    </main>
    <main first="rtdsrv.662c26bade854d00aebc6010f8a2e03a">
      <tp>
        <v>186100</v>
        <stp/>
        <stp>Market</stp>
        <stp>STOCK</stp>
        <stp>64980.T</stp>
        <stp>売買代金</stp>
        <tr r="W712" s="7"/>
      </tp>
      <tp t="s">
        <v>表示銘柄数超過</v>
        <stp/>
        <stp>Market</stp>
        <stp>STOCK</stp>
        <stp>44950.T</stp>
        <stp>売買代金</stp>
        <tr r="W478" s="7"/>
      </tp>
      <tp>
        <v>1203</v>
        <stp/>
        <stp>Market</stp>
        <stp>STOCK</stp>
        <stp>64950.T</stp>
        <stp>売買代金</stp>
        <tr r="W711" s="7"/>
      </tp>
      <tp>
        <v>25044</v>
        <stp/>
        <stp>Market</stp>
        <stp>STOCK</stp>
        <stp>74940.T</stp>
        <stp>売買代金</stp>
        <tr r="W894" s="7"/>
      </tp>
      <tp>
        <v>6819</v>
        <stp/>
        <stp>Market</stp>
        <stp>STOCK</stp>
        <stp>64940.T</stp>
        <stp>売買代金</stp>
        <tr r="W710" s="7"/>
      </tp>
      <tp t="s">
        <v>表示銘柄数超過</v>
        <stp/>
        <stp>Market</stp>
        <stp>STOCK</stp>
        <stp>24970.T</stp>
        <stp>売買代金</stp>
        <tr r="W155" s="7"/>
      </tp>
      <tp t="s">
        <v>表示銘柄数超過</v>
        <stp/>
        <stp>Market</stp>
        <stp>STOCK</stp>
        <stp>14910.T</stp>
        <stp>売買代金</stp>
        <tr r="W29" s="7"/>
      </tp>
      <tp>
        <v>16524</v>
        <stp/>
        <stp>Market</stp>
        <stp>STOCK</stp>
        <stp>54910.T</stp>
        <stp>売買代金</stp>
        <tr r="W598" s="7"/>
      </tp>
      <tp>
        <v>37677</v>
        <stp/>
        <stp>Market</stp>
        <stp>STOCK</stp>
        <stp>64930.T</stp>
        <stp>売買代金</stp>
        <tr r="W709" s="7"/>
      </tp>
      <tp t="s">
        <v>表示銘柄数超過</v>
        <stp/>
        <stp>Market</stp>
        <stp>STOCK</stp>
        <stp>24920.T</stp>
        <stp>売買代金</stp>
        <tr r="W154" s="7"/>
      </tp>
      <tp t="s">
        <v>表示銘柄数超過</v>
        <stp/>
        <stp>Market</stp>
        <stp>STOCK</stp>
        <stp>44920.T</stp>
        <stp>売買代金</stp>
        <tr r="W477" s="7"/>
      </tp>
      <tp>
        <v>31191</v>
        <stp/>
        <stp>Market</stp>
        <stp>STOCK</stp>
        <stp>64890.T</stp>
        <stp>売買代金</stp>
        <tr r="W708" s="7"/>
      </tp>
      <tp t="s">
        <v>表示銘柄数超過</v>
        <stp/>
        <stp>Market</stp>
        <stp>STOCK</stp>
        <stp>24880.T</stp>
        <stp>売買代金</stp>
        <tr r="W153" s="7"/>
      </tp>
      <tp t="s">
        <v>表示銘柄数超過</v>
        <stp/>
        <stp>Market</stp>
        <stp>STOCK</stp>
        <stp>24840.T</stp>
        <stp>売買代金</stp>
        <tr r="W152" s="7"/>
      </tp>
      <tp t="s">
        <v>表示銘柄数超過</v>
        <stp/>
        <stp>Market</stp>
        <stp>STOCK</stp>
        <stp>44840.T</stp>
        <stp>売買代金</stp>
        <tr r="W475" s="7"/>
      </tp>
      <tp t="s">
        <v>表示銘柄数超過</v>
        <stp/>
        <stp>Market</stp>
        <stp>STOCK</stp>
        <stp>44870.T</stp>
        <stp>売買代金</stp>
        <tr r="W476" s="7"/>
      </tp>
      <tp>
        <v>11509</v>
        <stp/>
        <stp>Market</stp>
        <stp>STOCK</stp>
        <stp>74810.T</stp>
        <stp>売買代金</stp>
        <tr r="W893" s="7"/>
      </tp>
      <tp>
        <v>116217</v>
        <stp/>
        <stp>Market</stp>
        <stp>STOCK</stp>
        <stp>64800.T</stp>
        <stp>売買代金</stp>
        <tr r="W707" s="7"/>
      </tp>
      <tp t="s">
        <v>表示銘柄数超過</v>
        <stp/>
        <stp>Market</stp>
        <stp>STOCK</stp>
        <stp>24830.T</stp>
        <stp>売買代金</stp>
        <tr r="W151" s="7"/>
      </tp>
      <tp t="s">
        <v>表示銘柄数超過</v>
        <stp/>
        <stp>Market</stp>
        <stp>STOCK</stp>
        <stp>94790.T</stp>
        <stp>売買代金</stp>
        <tr r="W1139" s="7"/>
      </tp>
      <tp t="s">
        <v>表示銘柄数超過</v>
        <stp/>
        <stp>Market</stp>
        <stp>STOCK</stp>
        <stp>24790.T</stp>
        <stp>売買代金</stp>
        <tr r="W150" s="7"/>
      </tp>
      <tp t="s">
        <v>表示銘柄数超過</v>
        <stp/>
        <stp>Market</stp>
        <stp>STOCK</stp>
        <stp>44790.T</stp>
        <stp>売買代金</stp>
        <tr r="W474" s="7"/>
      </tp>
      <tp t="s">
        <v>表示銘柄数超過</v>
        <stp/>
        <stp>Market</stp>
        <stp>STOCK</stp>
        <stp>94750.T</stp>
        <stp>売買代金</stp>
        <tr r="W1137" s="7"/>
      </tp>
      <tp t="s">
        <v>表示銘柄数超過</v>
        <stp/>
        <stp>Market</stp>
        <stp>STOCK</stp>
        <stp>44750.T</stp>
        <stp>売買代金</stp>
        <tr r="W471" s="7"/>
      </tp>
      <tp t="s">
        <v>表示銘柄数超過</v>
        <stp/>
        <stp>Market</stp>
        <stp>STOCK</stp>
        <stp>94740.T</stp>
        <stp>売買代金</stp>
        <tr r="W1136" s="7"/>
      </tp>
      <tp t="s">
        <v>表示銘柄数超過</v>
        <stp/>
        <stp>Market</stp>
        <stp>STOCK</stp>
        <stp>44770.T</stp>
        <stp>売買代金</stp>
        <tr r="W473" s="7"/>
      </tp>
      <tp t="s">
        <v>表示銘柄数超過</v>
        <stp/>
        <stp>Market</stp>
        <stp>STOCK</stp>
        <stp>94760.T</stp>
        <stp>売買代金</stp>
        <tr r="W1138" s="7"/>
      </tp>
      <tp>
        <v>29428</v>
        <stp/>
        <stp>Market</stp>
        <stp>STOCK</stp>
        <stp>54760.T</stp>
        <stp>売買代金</stp>
        <tr r="W597" s="7"/>
      </tp>
      <tp t="s">
        <v>表示銘柄数超過</v>
        <stp/>
        <stp>Market</stp>
        <stp>STOCK</stp>
        <stp>44760.T</stp>
        <stp>売買代金</stp>
        <tr r="W472" s="7"/>
      </tp>
      <tp t="s">
        <v>表示銘柄数超過</v>
        <stp/>
        <stp>Market</stp>
        <stp>STOCK</stp>
        <stp>24710.T</stp>
        <stp>売買代金</stp>
        <tr r="W149" s="7"/>
      </tp>
      <tp>
        <v>1822994</v>
        <stp/>
        <stp>Market</stp>
        <stp>STOCK</stp>
        <stp>64710.T</stp>
        <stp>売買代金</stp>
        <tr r="W706" s="7"/>
      </tp>
      <tp t="s">
        <v>表示銘柄数超過</v>
        <stp/>
        <stp>Market</stp>
        <stp>STOCK</stp>
        <stp>94700.T</stp>
        <stp>売買代金</stp>
        <tr r="W1135" s="7"/>
      </tp>
      <tp>
        <v>108424</v>
        <stp/>
        <stp>Market</stp>
        <stp>STOCK</stp>
        <stp>64700.T</stp>
        <stp>売買代金</stp>
        <tr r="W705" s="7"/>
      </tp>
      <tp>
        <v>23843901</v>
        <stp/>
        <stp>Market</stp>
        <stp>STOCK</stp>
        <stp>84730.T</stp>
        <stp>売買代金</stp>
        <tr r="W1013" s="7"/>
      </tp>
      <tp t="s">
        <v>表示銘柄数超過</v>
        <stp/>
        <stp>Market</stp>
        <stp>STOCK</stp>
        <stp>14720.T</stp>
        <stp>売買代金</stp>
        <tr r="W28" s="7"/>
      </tp>
      <tp t="s">
        <v>表示銘柄数超過</v>
        <stp/>
        <stp>Market</stp>
        <stp>STOCK</stp>
        <stp>14690.T</stp>
        <stp>売買代金</stp>
        <tr r="W27" s="7"/>
      </tp>
      <tp t="s">
        <v>表示銘柄数超過</v>
        <stp/>
        <stp>Market</stp>
        <stp>STOCK</stp>
        <stp>24680.T</stp>
        <stp>売買代金</stp>
        <tr r="W148" s="7"/>
      </tp>
      <tp t="s">
        <v>表示銘柄数超過</v>
        <stp/>
        <stp>Market</stp>
        <stp>STOCK</stp>
        <stp>34640.T</stp>
        <stp>売買代金</stp>
        <tr r="W302" s="7"/>
      </tp>
      <tp>
        <v>1676</v>
        <stp/>
        <stp>Market</stp>
        <stp>STOCK</stp>
        <stp>64670.T</stp>
        <stp>売買代金</stp>
        <tr r="W704" s="7"/>
      </tp>
      <tp t="s">
        <v>表示銘柄数超過</v>
        <stp/>
        <stp>Market</stp>
        <stp>STOCK</stp>
        <stp>94660.T</stp>
        <stp>売買代金</stp>
        <tr r="W1134" s="7"/>
      </tp>
      <tp t="s">
        <v>表示銘柄数超過</v>
        <stp/>
        <stp>Market</stp>
        <stp>STOCK</stp>
        <stp>34610.T</stp>
        <stp>売買代金</stp>
        <tr r="W301" s="7"/>
      </tp>
      <tp t="s">
        <v>表示銘柄数超過</v>
        <stp/>
        <stp>Market</stp>
        <stp>STOCK</stp>
        <stp>24610.T</stp>
        <stp>売買代金</stp>
        <tr r="W147" s="7"/>
      </tp>
      <tp>
        <v>6123</v>
        <stp/>
        <stp>Market</stp>
        <stp>STOCK</stp>
        <stp>84620.T</stp>
        <stp>売買代金</stp>
        <tr r="W1012" s="7"/>
      </tp>
      <tp t="s">
        <v>表示銘柄数超過</v>
        <stp/>
        <stp>Market</stp>
        <stp>STOCK</stp>
        <stp>14590.T</stp>
        <stp>売買代金</stp>
        <tr r="W26" s="7"/>
      </tp>
      <tp>
        <v>1437512</v>
        <stp/>
        <stp>Market</stp>
        <stp>STOCK</stp>
        <stp>74590.T</stp>
        <stp>売買代金</stp>
        <tr r="W892" s="7"/>
      </tp>
      <tp>
        <v>107294</v>
        <stp/>
        <stp>Market</stp>
        <stp>STOCK</stp>
        <stp>74550.T</stp>
        <stp>売買代金</stp>
        <tr r="W891" s="7"/>
      </tp>
      <tp t="s">
        <v>表示銘柄数超過</v>
        <stp/>
        <stp>Market</stp>
        <stp>STOCK</stp>
        <stp>34540.T</stp>
        <stp>売買代金</stp>
        <tr r="W300" s="7"/>
      </tp>
      <tp t="s">
        <v>表示銘柄数超過</v>
        <stp/>
        <stp>Market</stp>
        <stp>STOCK</stp>
        <stp>14510.T</stp>
        <stp>売買代金</stp>
        <tr r="W25" s="7"/>
      </tp>
      <tp t="s">
        <v>表示銘柄数超過</v>
        <stp/>
        <stp>Market</stp>
        <stp>STOCK</stp>
        <stp>94500.T</stp>
        <stp>売買代金</stp>
        <tr r="W1133" s="7"/>
      </tp>
      <tp t="s">
        <v>表示銘柄数超過</v>
        <stp/>
        <stp>Market</stp>
        <stp>STOCK</stp>
        <stp>24530.T</stp>
        <stp>売買代金</stp>
        <tr r="W146" s="7"/>
      </tp>
      <tp>
        <v>8281009</v>
        <stp/>
        <stp>Market</stp>
        <stp>STOCK</stp>
        <stp>74530.T</stp>
        <stp>売買代金</stp>
        <tr r="W890" s="7"/>
      </tp>
      <tp t="s">
        <v>表示銘柄数超過</v>
        <stp/>
        <stp>Market</stp>
        <stp>STOCK</stp>
        <stp>44520.T</stp>
        <stp>売買代金</stp>
        <tr r="W469" s="7"/>
      </tp>
      <tp>
        <v>64700</v>
        <stp/>
        <stp>Market</stp>
        <stp>STOCK</stp>
        <stp>54490.T</stp>
        <stp>売買代金</stp>
        <tr r="W596" s="7"/>
      </tp>
      <tp t="s">
        <v>表示銘柄数超過</v>
        <stp/>
        <stp>Market</stp>
        <stp>STOCK</stp>
        <stp>44480.T</stp>
        <stp>売買代金</stp>
        <tr r="W468" s="7"/>
      </tp>
      <tp t="s">
        <v>表示銘柄数超過</v>
        <stp/>
        <stp>Market</stp>
        <stp>STOCK</stp>
        <stp>24450.T</stp>
        <stp>売買代金</stp>
        <tr r="W145" s="7"/>
      </tp>
      <tp>
        <v>15656</v>
        <stp/>
        <stp>Market</stp>
        <stp>STOCK</stp>
        <stp>74450.T</stp>
        <stp>売買代金</stp>
        <tr r="W889" s="7"/>
      </tp>
      <tp t="s">
        <v>表示銘柄数超過</v>
        <stp/>
        <stp>Market</stp>
        <stp>STOCK</stp>
        <stp>94440.T</stp>
        <stp>売買代金</stp>
        <tr r="W1132" s="7"/>
      </tp>
      <tp t="s">
        <v>表示銘柄数超過</v>
        <stp/>
        <stp>Market</stp>
        <stp>STOCK</stp>
        <stp>44440.T</stp>
        <stp>売買代金</stp>
        <tr r="W467" s="7"/>
      </tp>
      <tp>
        <v>107286</v>
        <stp/>
        <stp>Market</stp>
        <stp>STOCK</stp>
        <stp>64440.T</stp>
        <stp>売買代金</stp>
        <tr r="W703" s="7"/>
      </tp>
      <tp t="s">
        <v>表示銘柄数超過</v>
        <stp/>
        <stp>Market</stp>
        <stp>STOCK</stp>
        <stp>44410.T</stp>
        <stp>売買代金</stp>
        <tr r="W466" s="7"/>
      </tp>
      <tp>
        <v>94441</v>
        <stp/>
        <stp>Market</stp>
        <stp>STOCK</stp>
        <stp>64400.T</stp>
        <stp>売買代金</stp>
        <tr r="W702" s="7"/>
      </tp>
      <tp t="s">
        <v>表示銘柄数超過</v>
        <stp/>
        <stp>Market</stp>
        <stp>STOCK</stp>
        <stp>94390.T</stp>
        <stp>売買代金</stp>
        <tr r="W1131" s="7"/>
      </tp>
      <tp t="s">
        <v>表示銘柄数超過</v>
        <stp/>
        <stp>Market</stp>
        <stp>STOCK</stp>
        <stp>14390.T</stp>
        <stp>売買代金</stp>
        <tr r="W24" s="7"/>
      </tp>
      <tp t="s">
        <v>表示銘柄数超過</v>
        <stp/>
        <stp>Market</stp>
        <stp>STOCK</stp>
        <stp>24380.T</stp>
        <stp>売買代金</stp>
        <tr r="W144" s="7"/>
      </tp>
      <tp t="s">
        <v>表示銘柄数超過</v>
        <stp/>
        <stp>Market</stp>
        <stp>STOCK</stp>
        <stp>44380.T</stp>
        <stp>売買代金</stp>
        <tr r="W465" s="7"/>
      </tp>
      <tp t="s">
        <v>表示銘柄数超過</v>
        <stp/>
        <stp>Market</stp>
        <stp>STOCK</stp>
        <stp>14350.T</stp>
        <stp>売買代金</stp>
        <tr r="W23" s="7"/>
      </tp>
      <tp t="s">
        <v>表示銘柄数超過</v>
        <stp/>
        <stp>Market</stp>
        <stp>STOCK</stp>
        <stp>24350.T</stp>
        <stp>売買代金</stp>
        <tr r="W142" s="7"/>
      </tp>
      <tp>
        <v>16669674</v>
        <stp/>
        <stp>Market</stp>
        <stp>STOCK</stp>
        <stp>94340.T</stp>
        <stp>売買代金</stp>
        <tr r="W1129" s="7"/>
      </tp>
      <tp t="s">
        <v>表示銘柄数超過</v>
        <stp/>
        <stp>Market</stp>
        <stp>STOCK</stp>
        <stp>24370.T</stp>
        <stp>売買代金</stp>
        <tr r="W143" s="7"/>
      </tp>
      <tp t="s">
        <v>表示銘柄数超過</v>
        <stp/>
        <stp>Market</stp>
        <stp>STOCK</stp>
        <stp>94360.T</stp>
        <stp>売買代金</stp>
        <tr r="W1130" s="7"/>
      </tp>
      <tp t="s">
        <v>表示銘柄数超過</v>
        <stp/>
        <stp>Market</stp>
        <stp>STOCK</stp>
        <stp>34360.T</stp>
        <stp>売買代金</stp>
        <tr r="W299" s="7"/>
      </tp>
      <tp t="s">
        <v>表示銘柄数超過</v>
        <stp/>
        <stp>Market</stp>
        <stp>STOCK</stp>
        <stp>44360.T</stp>
        <stp>売買代金</stp>
        <tr r="W464" s="7"/>
      </tp>
      <tp t="s">
        <v>表示銘柄数超過</v>
        <stp/>
        <stp>Market</stp>
        <stp>STOCK</stp>
        <stp>14300.T</stp>
        <stp>売買代金</stp>
        <tr r="W22" s="7"/>
      </tp>
      <tp t="s">
        <v>表示銘柄数超過</v>
        <stp/>
        <stp>Market</stp>
        <stp>STOCK</stp>
        <stp>94330.T</stp>
        <stp>売買代金</stp>
        <tr r="W1128" s="7"/>
      </tp>
      <tp t="s">
        <v>表示銘柄数超過</v>
        <stp/>
        <stp>Market</stp>
        <stp>STOCK</stp>
        <stp>34330.T</stp>
        <stp>売買代金</stp>
        <tr r="W298" s="7"/>
      </tp>
      <tp t="s">
        <v>表示銘柄数超過</v>
        <stp/>
        <stp>Market</stp>
        <stp>STOCK</stp>
        <stp>24330.T</stp>
        <stp>売買代金</stp>
        <tr r="W141" s="7"/>
      </tp>
      <tp>
        <v>16039</v>
        <stp/>
        <stp>Market</stp>
        <stp>STOCK</stp>
        <stp>64330.T</stp>
        <stp>売買代金</stp>
        <tr r="W701" s="7"/>
      </tp>
      <tp>
        <v>25756130</v>
        <stp/>
        <stp>Market</stp>
        <stp>STOCK</stp>
        <stp>94320.T</stp>
        <stp>売買代金</stp>
        <tr r="W1127" s="7"/>
      </tp>
      <tp t="s">
        <v>表示銘柄数超過</v>
        <stp/>
        <stp>Market</stp>
        <stp>STOCK</stp>
        <stp>24320.T</stp>
        <stp>売買代金</stp>
        <tr r="W140" s="7"/>
      </tp>
      <tp t="s">
        <v>表示銘柄数超過</v>
        <stp/>
        <stp>Market</stp>
        <stp>STOCK</stp>
        <stp>24290.T</stp>
        <stp>売買代金</stp>
        <tr r="W139" s="7"/>
      </tp>
      <tp t="s">
        <v>表示銘柄数超過</v>
        <stp/>
        <stp>Market</stp>
        <stp>STOCK</stp>
        <stp>94250.T</stp>
        <stp>売買代金</stp>
        <tr r="W1126" s="7"/>
      </tp>
      <tp t="s">
        <v>表示銘柄数超過</v>
        <stp/>
        <stp>Market</stp>
        <stp>STOCK</stp>
        <stp>94240.T</stp>
        <stp>売買代金</stp>
        <tr r="W1125" s="7"/>
      </tp>
      <tp t="s">
        <v>表示銘柄数超過</v>
        <stp/>
        <stp>Market</stp>
        <stp>STOCK</stp>
        <stp>44270.T</stp>
        <stp>売買代金</stp>
        <tr r="W463" s="7"/>
      </tp>
      <tp t="s">
        <v>表示銘柄数超過</v>
        <stp/>
        <stp>Market</stp>
        <stp>STOCK</stp>
        <stp>94210.T</stp>
        <stp>売買代金</stp>
        <tr r="W1123" s="7"/>
      </tp>
      <tp>
        <v>119662</v>
        <stp/>
        <stp>Market</stp>
        <stp>STOCK</stp>
        <stp>74200.T</stp>
        <stp>売買代金</stp>
        <tr r="W888" s="7"/>
      </tp>
      <tp t="s">
        <v>表示銘柄数超過</v>
        <stp/>
        <stp>Market</stp>
        <stp>STOCK</stp>
        <stp>94230.T</stp>
        <stp>売買代金</stp>
        <tr r="W1124" s="7"/>
      </tp>
      <tp>
        <v>456627</v>
        <stp/>
        <stp>Market</stp>
        <stp>STOCK</stp>
        <stp>54230.T</stp>
        <stp>売買代金</stp>
        <tr r="W595" s="7"/>
      </tp>
      <tp t="s">
        <v>表示銘柄数超過</v>
        <stp/>
        <stp>Market</stp>
        <stp>STOCK</stp>
        <stp>34220.T</stp>
        <stp>売買代金</stp>
        <tr r="W297" s="7"/>
      </tp>
      <tp t="s">
        <v>表示銘柄数超過</v>
        <stp/>
        <stp>Market</stp>
        <stp>STOCK</stp>
        <stp>94190.T</stp>
        <stp>売買代金</stp>
        <tr r="W1122" s="7"/>
      </tp>
      <tp t="s">
        <v>表示銘柄数超過</v>
        <stp/>
        <stp>Market</stp>
        <stp>STOCK</stp>
        <stp>14190.T</stp>
        <stp>売買代金</stp>
        <tr r="W21" s="7"/>
      </tp>
      <tp t="s">
        <v>表示銘柄数超過</v>
        <stp/>
        <stp>Market</stp>
        <stp>STOCK</stp>
        <stp>44190.T</stp>
        <stp>売買代金</stp>
        <tr r="W462" s="7"/>
      </tp>
      <tp>
        <v>442086</v>
        <stp/>
        <stp>Market</stp>
        <stp>STOCK</stp>
        <stp>74190.T</stp>
        <stp>売買代金</stp>
        <tr r="W887" s="7"/>
      </tp>
      <tp t="s">
        <v>表示銘柄数超過</v>
        <stp/>
        <stp>Market</stp>
        <stp>STOCK</stp>
        <stp>14180.T</stp>
        <stp>売買代金</stp>
        <tr r="W20" s="7"/>
      </tp>
      <tp>
        <v>377912</v>
        <stp/>
        <stp>Market</stp>
        <stp>STOCK</stp>
        <stp>64180.T</stp>
        <stp>売買代金</stp>
        <tr r="W700" s="7"/>
      </tp>
      <tp t="s">
        <v>表示銘柄数超過</v>
        <stp/>
        <stp>Market</stp>
        <stp>STOCK</stp>
        <stp>24150.T</stp>
        <stp>売買代金</stp>
        <tr r="W138" s="7"/>
      </tp>
      <tp t="s">
        <v>表示銘柄数超過</v>
        <stp/>
        <stp>Market</stp>
        <stp>STOCK</stp>
        <stp>94140.T</stp>
        <stp>売買代金</stp>
        <tr r="W1120" s="7"/>
      </tp>
      <tp t="s">
        <v>表示銘柄数超過</v>
        <stp/>
        <stp>Market</stp>
        <stp>STOCK</stp>
        <stp>44140.T</stp>
        <stp>売買代金</stp>
        <tr r="W460" s="7"/>
      </tp>
      <tp t="s">
        <v>表示銘柄数超過</v>
        <stp/>
        <stp>Market</stp>
        <stp>STOCK</stp>
        <stp>94170.T</stp>
        <stp>売買代金</stp>
        <tr r="W1121" s="7"/>
      </tp>
      <tp>
        <v>23431</v>
        <stp/>
        <stp>Market</stp>
        <stp>STOCK</stp>
        <stp>84160.T</stp>
        <stp>売買代金</stp>
        <tr r="W1011" s="7"/>
      </tp>
      <tp t="s">
        <v>表示銘柄数超過</v>
        <stp/>
        <stp>Market</stp>
        <stp>STOCK</stp>
        <stp>44160.T</stp>
        <stp>売買代金</stp>
        <tr r="W461" s="7"/>
      </tp>
      <tp t="s">
        <v>表示銘柄数超過</v>
        <stp/>
        <stp>Market</stp>
        <stp>STOCK</stp>
        <stp>24110.T</stp>
        <stp>売買代金</stp>
        <tr r="W136" s="7"/>
      </tp>
      <tp>
        <v>16927791</v>
        <stp/>
        <stp>Market</stp>
        <stp>STOCK</stp>
        <stp>54110.T</stp>
        <stp>売買代金</stp>
        <tr r="W594" s="7"/>
      </tp>
      <tp>
        <v>1209922</v>
        <stp/>
        <stp>Market</stp>
        <stp>STOCK</stp>
        <stp>84100.T</stp>
        <stp>売買代金</stp>
        <tr r="W1010" s="7"/>
      </tp>
      <tp t="s">
        <v>表示銘柄数超過</v>
        <stp/>
        <stp>Market</stp>
        <stp>STOCK</stp>
        <stp>24100.T</stp>
        <stp>売買代金</stp>
        <tr r="W135" s="7"/>
      </tp>
      <tp>
        <v>1250378</v>
        <stp/>
        <stp>Market</stp>
        <stp>STOCK</stp>
        <stp>54100.T</stp>
        <stp>売買代金</stp>
        <tr r="W593" s="7"/>
      </tp>
      <tp t="s">
        <v>表示銘柄数超過</v>
        <stp/>
        <stp>Market</stp>
        <stp>STOCK</stp>
        <stp>94130.T</stp>
        <stp>売買代金</stp>
        <tr r="W1119" s="7"/>
      </tp>
      <tp t="s">
        <v>表示銘柄数超過</v>
        <stp/>
        <stp>Market</stp>
        <stp>STOCK</stp>
        <stp>94120.T</stp>
        <stp>売買代金</stp>
        <tr r="W1118" s="7"/>
      </tp>
      <tp t="s">
        <v>表示銘柄数超過</v>
        <stp/>
        <stp>Market</stp>
        <stp>STOCK</stp>
        <stp>24120.T</stp>
        <stp>売買代金</stp>
        <tr r="W137" s="7"/>
      </tp>
      <tp t="s">
        <v>表示銘柄数超過</v>
        <stp/>
        <stp>Market</stp>
        <stp>STOCK</stp>
        <stp>94090.T</stp>
        <stp>売買代金</stp>
        <tr r="W1117" s="7"/>
      </tp>
      <tp t="s">
        <v>表示銘柄数超過</v>
        <stp/>
        <stp>Market</stp>
        <stp>STOCK</stp>
        <stp>34090.T</stp>
        <stp>売買代金</stp>
        <tr r="W296" s="7"/>
      </tp>
      <tp t="s">
        <v>表示銘柄数超過</v>
        <stp/>
        <stp>Market</stp>
        <stp>STOCK</stp>
        <stp>24080.T</stp>
        <stp>売買代金</stp>
        <tr r="W134" s="7"/>
      </tp>
      <tp>
        <v>2506671</v>
        <stp/>
        <stp>Market</stp>
        <stp>STOCK</stp>
        <stp>54080.T</stp>
        <stp>売買代金</stp>
        <tr r="W592" s="7"/>
      </tp>
      <tp>
        <v>143975</v>
        <stp/>
        <stp>Market</stp>
        <stp>STOCK</stp>
        <stp>74080.T</stp>
        <stp>売買代金</stp>
        <tr r="W886" s="7"/>
      </tp>
      <tp t="s">
        <v>表示銘柄数超過</v>
        <stp/>
        <stp>Market</stp>
        <stp>STOCK</stp>
        <stp>94050.T</stp>
        <stp>売買代金</stp>
        <tr r="W1116" s="7"/>
      </tp>
      <tp t="s">
        <v>表示銘柄数超過</v>
        <stp/>
        <stp>Market</stp>
        <stp>STOCK</stp>
        <stp>94040.T</stp>
        <stp>売買代金</stp>
        <tr r="W1115" s="7"/>
      </tp>
      <tp t="s">
        <v>表示銘柄数超過</v>
        <stp/>
        <stp>Market</stp>
        <stp>STOCK</stp>
        <stp>24040.T</stp>
        <stp>売買代金</stp>
        <tr r="W133" s="7"/>
      </tp>
      <tp t="s">
        <v>表示銘柄数超過</v>
        <stp/>
        <stp>Market</stp>
        <stp>STOCK</stp>
        <stp>14070.T</stp>
        <stp>売買代金</stp>
        <tr r="W19" s="7"/>
      </tp>
      <tp t="s">
        <v>表示銘柄数超過</v>
        <stp/>
        <stp>Market</stp>
        <stp>STOCK</stp>
        <stp>34070.T</stp>
        <stp>売買代金</stp>
        <tr r="W295" s="7"/>
      </tp>
      <tp>
        <v>17004281</v>
        <stp/>
        <stp>Market</stp>
        <stp>STOCK</stp>
        <stp>54060.T</stp>
        <stp>売買代金</stp>
        <tr r="W591" s="7"/>
      </tp>
      <tp t="s">
        <v>表示銘柄数超過</v>
        <stp/>
        <stp>Market</stp>
        <stp>STOCK</stp>
        <stp>44060.T</stp>
        <stp>売買代金</stp>
        <tr r="W459" s="7"/>
      </tp>
      <tp t="s">
        <v>表示銘柄数超過</v>
        <stp/>
        <stp>Market</stp>
        <stp>STOCK</stp>
        <stp>94010.T</stp>
        <stp>売買代金</stp>
        <tr r="W1114" s="7"/>
      </tp>
      <tp t="s">
        <v>表示銘柄数超過</v>
        <stp/>
        <stp>Market</stp>
        <stp>STOCK</stp>
        <stp>14010.T</stp>
        <stp>売買代金</stp>
        <tr r="W18" s="7"/>
      </tp>
      <tp t="s">
        <v>表示銘柄数超過</v>
        <stp/>
        <stp>Market</stp>
        <stp>STOCK</stp>
        <stp>34010.T</stp>
        <stp>売買代金</stp>
        <tr r="W294" s="7"/>
      </tp>
      <tp>
        <v>34491522</v>
        <stp/>
        <stp>Market</stp>
        <stp>STOCK</stp>
        <stp>54010.T</stp>
        <stp>売買代金</stp>
        <tr r="W590" s="7"/>
      </tp>
      <tp t="s">
        <v>表示銘柄数超過</v>
        <stp/>
        <stp>Market</stp>
        <stp>STOCK</stp>
        <stp>14000.T</stp>
        <stp>売買代金</stp>
        <tr r="W17" s="7"/>
      </tp>
      <tp t="s">
        <v>表示銘柄数超過</v>
        <stp/>
        <stp>Market</stp>
        <stp>STOCK</stp>
        <stp>24020.T</stp>
        <stp>売買代金</stp>
        <tr r="W132" s="7"/>
      </tp>
      <tp t="s">
        <v>表示銘柄数超過</v>
        <stp/>
        <stp>Market</stp>
        <stp>STOCK</stp>
        <stp>91420.T</stp>
        <stp>出来高</stp>
        <tr r="V1098" s="7"/>
      </tp>
      <tp t="s">
        <v>表示銘柄数超過</v>
        <stp/>
        <stp>Market</stp>
        <stp>STOCK</stp>
        <stp>91150.T</stp>
        <stp>出来高</stp>
        <tr r="V1096" s="7"/>
      </tp>
      <tp t="s">
        <v>表示銘柄数超過</v>
        <stp/>
        <stp>Market</stp>
        <stp>STOCK</stp>
        <stp>91190.T</stp>
        <stp>出来高</stp>
        <tr r="V1097" s="7"/>
      </tp>
      <tp t="s">
        <v>表示銘柄数超過</v>
        <stp/>
        <stp>Market</stp>
        <stp>STOCK</stp>
        <stp>91010.T</stp>
        <stp>出来高</stp>
        <tr r="V1093" s="7"/>
      </tp>
      <tp t="s">
        <v>表示銘柄数超過</v>
        <stp/>
        <stp>Market</stp>
        <stp>STOCK</stp>
        <stp>91070.T</stp>
        <stp>出来高</stp>
        <tr r="V1095" s="7"/>
      </tp>
      <tp t="s">
        <v>表示銘柄数超過</v>
        <stp/>
        <stp>Market</stp>
        <stp>STOCK</stp>
        <stp>91040.T</stp>
        <stp>出来高</stp>
        <tr r="V1094" s="7"/>
      </tp>
      <tp t="s">
        <v>表示銘柄数超過</v>
        <stp/>
        <stp>Market</stp>
        <stp>STOCK</stp>
        <stp>90590.T</stp>
        <stp>出来高</stp>
        <tr r="V1089" s="7"/>
      </tp>
      <tp t="s">
        <v>表示銘柄数超過</v>
        <stp/>
        <stp>Market</stp>
        <stp>STOCK</stp>
        <stp>90420.T</stp>
        <stp>出来高</stp>
        <tr r="V1086" s="7"/>
      </tp>
      <tp t="s">
        <v>表示銘柄数超過</v>
        <stp/>
        <stp>Market</stp>
        <stp>STOCK</stp>
        <stp>90410.T</stp>
        <stp>出来高</stp>
        <tr r="V1085" s="7"/>
      </tp>
      <tp t="s">
        <v>表示銘柄数超過</v>
        <stp/>
        <stp>Market</stp>
        <stp>STOCK</stp>
        <stp>90440.T</stp>
        <stp>出来高</stp>
        <tr r="V1087" s="7"/>
      </tp>
      <tp t="s">
        <v>表示銘柄数超過</v>
        <stp/>
        <stp>Market</stp>
        <stp>STOCK</stp>
        <stp>90480.T</stp>
        <stp>出来高</stp>
        <tr r="V1088" s="7"/>
      </tp>
      <tp t="s">
        <v>表示銘柄数超過</v>
        <stp/>
        <stp>Market</stp>
        <stp>STOCK</stp>
        <stp>90630.T</stp>
        <stp>出来高</stp>
        <tr r="V1090" s="7"/>
      </tp>
      <tp t="s">
        <v>表示銘柄数超過</v>
        <stp/>
        <stp>Market</stp>
        <stp>STOCK</stp>
        <stp>90640.T</stp>
        <stp>出来高</stp>
        <tr r="V1091" s="7"/>
      </tp>
      <tp t="s">
        <v>表示銘柄数超過</v>
        <stp/>
        <stp>Market</stp>
        <stp>STOCK</stp>
        <stp>90030.T</stp>
        <stp>出来高</stp>
        <tr r="V1074" s="7"/>
      </tp>
      <tp t="s">
        <v>表示銘柄数超過</v>
        <stp/>
        <stp>Market</stp>
        <stp>STOCK</stp>
        <stp>90010.T</stp>
        <stp>出来高</stp>
        <tr r="V1073" s="7"/>
      </tp>
      <tp t="s">
        <v>表示銘柄数超過</v>
        <stp/>
        <stp>Market</stp>
        <stp>STOCK</stp>
        <stp>90060.T</stp>
        <stp>出来高</stp>
        <tr r="V1076" s="7"/>
      </tp>
      <tp t="s">
        <v>表示銘柄数超過</v>
        <stp/>
        <stp>Market</stp>
        <stp>STOCK</stp>
        <stp>90070.T</stp>
        <stp>出来高</stp>
        <tr r="V1077" s="7"/>
      </tp>
      <tp t="s">
        <v>表示銘柄数超過</v>
        <stp/>
        <stp>Market</stp>
        <stp>STOCK</stp>
        <stp>90050.T</stp>
        <stp>出来高</stp>
        <tr r="V1075" s="7"/>
      </tp>
      <tp t="s">
        <v>表示銘柄数超過</v>
        <stp/>
        <stp>Market</stp>
        <stp>STOCK</stp>
        <stp>90080.T</stp>
        <stp>出来高</stp>
        <tr r="V1078" s="7"/>
      </tp>
      <tp t="s">
        <v>表示銘柄数超過</v>
        <stp/>
        <stp>Market</stp>
        <stp>STOCK</stp>
        <stp>90090.T</stp>
        <stp>出来高</stp>
        <tr r="V1079" s="7"/>
      </tp>
      <tp t="s">
        <v>表示銘柄数超過</v>
        <stp/>
        <stp>Market</stp>
        <stp>STOCK</stp>
        <stp>90330.T</stp>
        <stp>出来高</stp>
        <tr r="V1084" s="7"/>
      </tp>
      <tp t="s">
        <v>表示銘柄数超過</v>
        <stp/>
        <stp>Market</stp>
        <stp>STOCK</stp>
        <stp>90220.T</stp>
        <stp>出来高</stp>
        <tr r="V1082" s="7"/>
      </tp>
      <tp t="s">
        <v>表示銘柄数超過</v>
        <stp/>
        <stp>Market</stp>
        <stp>STOCK</stp>
        <stp>90200.T</stp>
        <stp>出来高</stp>
        <tr r="V1080" s="7"/>
        <tr r="V1081" s="7"/>
      </tp>
      <tp t="s">
        <v>表示銘柄数超過</v>
        <stp/>
        <stp>Market</stp>
        <stp>STOCK</stp>
        <stp>90240.T</stp>
        <stp>出来高</stp>
        <tr r="V1083" s="7"/>
      </tp>
      <tp t="s">
        <v>表示銘柄数超過</v>
        <stp/>
        <stp>Market</stp>
        <stp>STOCK</stp>
        <stp>90900.T</stp>
        <stp>出来高</stp>
        <tr r="V1092" s="7"/>
      </tp>
      <tp t="s">
        <v>表示銘柄数超過</v>
        <stp/>
        <stp>Market</stp>
        <stp>STOCK</stp>
        <stp>93610.T</stp>
        <stp>出来高</stp>
        <tr r="V1111" s="7"/>
      </tp>
      <tp t="s">
        <v>表示銘柄数超過</v>
        <stp/>
        <stp>Market</stp>
        <stp>STOCK</stp>
        <stp>93070.T</stp>
        <stp>出来高</stp>
        <tr r="V1109" s="7"/>
      </tp>
      <tp t="s">
        <v>表示銘柄数超過</v>
        <stp/>
        <stp>Market</stp>
        <stp>STOCK</stp>
        <stp>93250.T</stp>
        <stp>出来高</stp>
        <tr r="V1110" s="7"/>
      </tp>
      <tp>
        <v>7057579</v>
        <stp/>
        <stp>Market</stp>
        <stp>STOCK</stp>
        <stp>93990.T</stp>
        <stp>出来高</stp>
        <tr r="V1113" s="7"/>
      </tp>
      <tp t="s">
        <v>表示銘柄数超過</v>
        <stp/>
        <stp>Market</stp>
        <stp>STOCK</stp>
        <stp>93800.T</stp>
        <stp>出来高</stp>
        <tr r="V1112" s="7"/>
      </tp>
      <tp t="s">
        <v>表示銘柄数超過</v>
        <stp/>
        <stp>Market</stp>
        <stp>STOCK</stp>
        <stp>92540.T</stp>
        <stp>出来高</stp>
        <tr r="V1103" s="7"/>
      </tp>
      <tp t="s">
        <v>表示銘柄数超過</v>
        <stp/>
        <stp>Market</stp>
        <stp>STOCK</stp>
        <stp>92410.T</stp>
        <stp>出来高</stp>
        <tr r="V1100" s="7"/>
      </tp>
      <tp t="s">
        <v>表示銘柄数超過</v>
        <stp/>
        <stp>Market</stp>
        <stp>STOCK</stp>
        <stp>92470.T</stp>
        <stp>出来高</stp>
        <tr r="V1101" s="7"/>
      </tp>
      <tp t="s">
        <v>表示銘柄数超過</v>
        <stp/>
        <stp>Market</stp>
        <stp>STOCK</stp>
        <stp>92480.T</stp>
        <stp>出来高</stp>
        <tr r="V1102" s="7"/>
      </tp>
      <tp t="s">
        <v>表示銘柄数超過</v>
        <stp/>
        <stp>Market</stp>
        <stp>STOCK</stp>
        <stp>92720.T</stp>
        <stp>出来高</stp>
        <tr r="V1106" s="7"/>
      </tp>
      <tp t="s">
        <v>表示銘柄数超過</v>
        <stp/>
        <stp>Market</stp>
        <stp>STOCK</stp>
        <stp>92700.T</stp>
        <stp>出来高</stp>
        <tr r="V1105" s="7"/>
      </tp>
      <tp t="s">
        <v>表示銘柄数超過</v>
        <stp/>
        <stp>Market</stp>
        <stp>STOCK</stp>
        <stp>92740.T</stp>
        <stp>出来高</stp>
        <tr r="V1107" s="7"/>
      </tp>
      <tp t="s">
        <v>表示銘柄数超過</v>
        <stp/>
        <stp>Market</stp>
        <stp>STOCK</stp>
        <stp>92780.T</stp>
        <stp>出来高</stp>
        <tr r="V1108" s="7"/>
      </tp>
      <tp t="s">
        <v>表示銘柄数超過</v>
        <stp/>
        <stp>Market</stp>
        <stp>STOCK</stp>
        <stp>92630.T</stp>
        <stp>出来高</stp>
        <tr r="V1104" s="7"/>
      </tp>
      <tp t="s">
        <v>表示銘柄数超過</v>
        <stp/>
        <stp>Market</stp>
        <stp>STOCK</stp>
        <stp>92130.T</stp>
        <stp>出来高</stp>
        <tr r="V1099" s="7"/>
      </tp>
      <tp t="s">
        <v>表示銘柄数超過</v>
        <stp/>
        <stp>Market</stp>
        <stp>STOCK</stp>
        <stp>95530.T</stp>
        <stp>出来高</stp>
        <tr r="V1155" s="7"/>
      </tp>
      <tp t="s">
        <v>表示銘柄数超過</v>
        <stp/>
        <stp>Market</stp>
        <stp>STOCK</stp>
        <stp>95570.T</stp>
        <stp>出来高</stp>
        <tr r="V1156" s="7"/>
      </tp>
      <tp t="s">
        <v>表示銘柄数超過</v>
        <stp/>
        <stp>Market</stp>
        <stp>STOCK</stp>
        <stp>95600.T</stp>
        <stp>出来高</stp>
        <tr r="V1157" s="7"/>
      </tp>
      <tp t="s">
        <v>表示銘柄数超過</v>
        <stp/>
        <stp>Market</stp>
        <stp>STOCK</stp>
        <stp>95110.T</stp>
        <stp>出来高</stp>
        <tr r="V1149" s="7"/>
      </tp>
      <tp t="s">
        <v>表示銘柄数超過</v>
        <stp/>
        <stp>Market</stp>
        <stp>STOCK</stp>
        <stp>95140.T</stp>
        <stp>出来高</stp>
        <tr r="V1150" s="7"/>
      </tp>
      <tp t="s">
        <v>表示銘柄数超過</v>
        <stp/>
        <stp>Market</stp>
        <stp>STOCK</stp>
        <stp>95190.T</stp>
        <stp>出来高</stp>
        <tr r="V1151" s="7"/>
      </tp>
      <tp t="s">
        <v>表示銘柄数超過</v>
        <stp/>
        <stp>Market</stp>
        <stp>STOCK</stp>
        <stp>95020.T</stp>
        <stp>出来高</stp>
        <tr r="V1141" s="7"/>
      </tp>
      <tp t="s">
        <v>表示銘柄数超過</v>
        <stp/>
        <stp>Market</stp>
        <stp>STOCK</stp>
        <stp>95030.T</stp>
        <stp>出来高</stp>
        <tr r="V1142" s="7"/>
      </tp>
      <tp t="s">
        <v>表示銘柄数超過</v>
        <stp/>
        <stp>Market</stp>
        <stp>STOCK</stp>
        <stp>95010.T</stp>
        <stp>出来高</stp>
        <tr r="V1140" s="7"/>
      </tp>
      <tp t="s">
        <v>表示銘柄数超過</v>
        <stp/>
        <stp>Market</stp>
        <stp>STOCK</stp>
        <stp>95060.T</stp>
        <stp>出来高</stp>
        <tr r="V1145" s="7"/>
      </tp>
      <tp t="s">
        <v>表示銘柄数超過</v>
        <stp/>
        <stp>Market</stp>
        <stp>STOCK</stp>
        <stp>95070.T</stp>
        <stp>出来高</stp>
        <tr r="V1146" s="7"/>
      </tp>
      <tp t="s">
        <v>表示銘柄数超過</v>
        <stp/>
        <stp>Market</stp>
        <stp>STOCK</stp>
        <stp>95040.T</stp>
        <stp>出来高</stp>
        <tr r="V1143" s="7"/>
      </tp>
      <tp t="s">
        <v>表示銘柄数超過</v>
        <stp/>
        <stp>Market</stp>
        <stp>STOCK</stp>
        <stp>95050.T</stp>
        <stp>出来高</stp>
        <tr r="V1144" s="7"/>
      </tp>
      <tp t="s">
        <v>表示銘柄数超過</v>
        <stp/>
        <stp>Market</stp>
        <stp>STOCK</stp>
        <stp>95080.T</stp>
        <stp>出来高</stp>
        <tr r="V1147" s="7"/>
      </tp>
      <tp t="s">
        <v>表示銘柄数超過</v>
        <stp/>
        <stp>Market</stp>
        <stp>STOCK</stp>
        <stp>95090.T</stp>
        <stp>出来高</stp>
        <tr r="V1148" s="7"/>
      </tp>
      <tp t="s">
        <v>表示銘柄数超過</v>
        <stp/>
        <stp>Market</stp>
        <stp>STOCK</stp>
        <stp>95320.T</stp>
        <stp>出来高</stp>
        <tr r="V1154" s="7"/>
      </tp>
      <tp t="s">
        <v>表示銘柄数超過</v>
        <stp/>
        <stp>Market</stp>
        <stp>STOCK</stp>
        <stp>95310.T</stp>
        <stp>出来高</stp>
        <tr r="V1153" s="7"/>
      </tp>
      <tp t="s">
        <v>表示銘柄数超過</v>
        <stp/>
        <stp>Market</stp>
        <stp>STOCK</stp>
        <stp>95220.T</stp>
        <stp>出来高</stp>
        <tr r="V1152" s="7"/>
      </tp>
      <tp t="s">
        <v>表示銘柄数超過</v>
        <stp/>
        <stp>Market</stp>
        <stp>STOCK</stp>
        <stp>94500.T</stp>
        <stp>出来高</stp>
        <tr r="V1133" s="7"/>
      </tp>
      <tp t="s">
        <v>表示銘柄数超過</v>
        <stp/>
        <stp>Market</stp>
        <stp>STOCK</stp>
        <stp>94440.T</stp>
        <stp>出来高</stp>
        <tr r="V1132" s="7"/>
      </tp>
      <tp t="s">
        <v>表示銘柄数超過</v>
        <stp/>
        <stp>Market</stp>
        <stp>STOCK</stp>
        <stp>94700.T</stp>
        <stp>出来高</stp>
        <tr r="V1135" s="7"/>
      </tp>
      <tp t="s">
        <v>表示銘柄数超過</v>
        <stp/>
        <stp>Market</stp>
        <stp>STOCK</stp>
        <stp>94760.T</stp>
        <stp>出来高</stp>
        <tr r="V1138" s="7"/>
      </tp>
      <tp t="s">
        <v>表示銘柄数超過</v>
        <stp/>
        <stp>Market</stp>
        <stp>STOCK</stp>
        <stp>94740.T</stp>
        <stp>出来高</stp>
        <tr r="V1136" s="7"/>
      </tp>
      <tp t="s">
        <v>表示銘柄数超過</v>
        <stp/>
        <stp>Market</stp>
        <stp>STOCK</stp>
        <stp>94750.T</stp>
        <stp>出来高</stp>
        <tr r="V1137" s="7"/>
      </tp>
      <tp t="s">
        <v>表示銘柄数超過</v>
        <stp/>
        <stp>Market</stp>
        <stp>STOCK</stp>
        <stp>94790.T</stp>
        <stp>出来高</stp>
        <tr r="V1139" s="7"/>
      </tp>
      <tp t="s">
        <v>表示銘柄数超過</v>
        <stp/>
        <stp>Market</stp>
        <stp>STOCK</stp>
        <stp>94660.T</stp>
        <stp>出来高</stp>
        <tr r="V1134" s="7"/>
      </tp>
      <tp t="s">
        <v>表示銘柄数超過</v>
        <stp/>
        <stp>Market</stp>
        <stp>STOCK</stp>
        <stp>94120.T</stp>
        <stp>出来高</stp>
        <tr r="V1118" s="7"/>
      </tp>
      <tp t="s">
        <v>表示銘柄数超過</v>
        <stp/>
        <stp>Market</stp>
        <stp>STOCK</stp>
        <stp>94130.T</stp>
        <stp>出来高</stp>
        <tr r="V1119" s="7"/>
      </tp>
      <tp t="s">
        <v>表示銘柄数超過</v>
        <stp/>
        <stp>Market</stp>
        <stp>STOCK</stp>
        <stp>94170.T</stp>
        <stp>出来高</stp>
        <tr r="V1121" s="7"/>
      </tp>
      <tp t="s">
        <v>表示銘柄数超過</v>
        <stp/>
        <stp>Market</stp>
        <stp>STOCK</stp>
        <stp>94140.T</stp>
        <stp>出来高</stp>
        <tr r="V1120" s="7"/>
      </tp>
      <tp t="s">
        <v>表示銘柄数超過</v>
        <stp/>
        <stp>Market</stp>
        <stp>STOCK</stp>
        <stp>94190.T</stp>
        <stp>出来高</stp>
        <tr r="V1122" s="7"/>
      </tp>
      <tp t="s">
        <v>表示銘柄数超過</v>
        <stp/>
        <stp>Market</stp>
        <stp>STOCK</stp>
        <stp>94010.T</stp>
        <stp>出来高</stp>
        <tr r="V1114" s="7"/>
      </tp>
      <tp t="s">
        <v>表示銘柄数超過</v>
        <stp/>
        <stp>Market</stp>
        <stp>STOCK</stp>
        <stp>94040.T</stp>
        <stp>出来高</stp>
        <tr r="V1115" s="7"/>
      </tp>
      <tp t="s">
        <v>表示銘柄数超過</v>
        <stp/>
        <stp>Market</stp>
        <stp>STOCK</stp>
        <stp>94050.T</stp>
        <stp>出来高</stp>
        <tr r="V1116" s="7"/>
      </tp>
      <tp t="s">
        <v>表示銘柄数超過</v>
        <stp/>
        <stp>Market</stp>
        <stp>STOCK</stp>
        <stp>94090.T</stp>
        <stp>出来高</stp>
        <tr r="V1117" s="7"/>
      </tp>
      <tp>
        <v>140669200</v>
        <stp/>
        <stp>Market</stp>
        <stp>STOCK</stp>
        <stp>94320.T</stp>
        <stp>出来高</stp>
        <tr r="V1127" s="7"/>
      </tp>
      <tp t="s">
        <v>表示銘柄数超過</v>
        <stp/>
        <stp>Market</stp>
        <stp>STOCK</stp>
        <stp>94330.T</stp>
        <stp>出来高</stp>
        <tr r="V1128" s="7"/>
      </tp>
      <tp t="s">
        <v>表示銘柄数超過</v>
        <stp/>
        <stp>Market</stp>
        <stp>STOCK</stp>
        <stp>94360.T</stp>
        <stp>出来高</stp>
        <tr r="V1130" s="7"/>
      </tp>
      <tp>
        <v>8580000</v>
        <stp/>
        <stp>Market</stp>
        <stp>STOCK</stp>
        <stp>94340.T</stp>
        <stp>出来高</stp>
        <tr r="V1129" s="7"/>
      </tp>
      <tp t="s">
        <v>表示銘柄数超過</v>
        <stp/>
        <stp>Market</stp>
        <stp>STOCK</stp>
        <stp>94390.T</stp>
        <stp>出来高</stp>
        <tr r="V1131" s="7"/>
      </tp>
      <tp t="s">
        <v>表示銘柄数超過</v>
        <stp/>
        <stp>Market</stp>
        <stp>STOCK</stp>
        <stp>94230.T</stp>
        <stp>出来高</stp>
        <tr r="V1124" s="7"/>
      </tp>
      <tp t="s">
        <v>表示銘柄数超過</v>
        <stp/>
        <stp>Market</stp>
        <stp>STOCK</stp>
        <stp>94210.T</stp>
        <stp>出来高</stp>
        <tr r="V1123" s="7"/>
      </tp>
      <tp t="s">
        <v>表示銘柄数超過</v>
        <stp/>
        <stp>Market</stp>
        <stp>STOCK</stp>
        <stp>94240.T</stp>
        <stp>出来高</stp>
        <tr r="V1125" s="7"/>
      </tp>
      <tp t="s">
        <v>表示銘柄数超過</v>
        <stp/>
        <stp>Market</stp>
        <stp>STOCK</stp>
        <stp>94250.T</stp>
        <stp>出来高</stp>
        <tr r="V1126" s="7"/>
      </tp>
      <tp t="s">
        <v>表示銘柄数超過</v>
        <stp/>
        <stp>Market</stp>
        <stp>STOCK</stp>
        <stp>97600.T</stp>
        <stp>出来高</stp>
        <tr r="V1164" s="7"/>
      </tp>
      <tp t="s">
        <v>表示銘柄数超過</v>
        <stp/>
        <stp>Market</stp>
        <stp>STOCK</stp>
        <stp>97650.T</stp>
        <stp>出来高</stp>
        <tr r="V1165" s="7"/>
      </tp>
      <tp t="s">
        <v>表示銘柄数超過</v>
        <stp/>
        <stp>Market</stp>
        <stp>STOCK</stp>
        <stp>97090.T</stp>
        <stp>出来高</stp>
        <tr r="V1162" s="7"/>
      </tp>
      <tp t="s">
        <v>表示銘柄数超過</v>
        <stp/>
        <stp>Market</stp>
        <stp>STOCK</stp>
        <stp>97230.T</stp>
        <stp>出来高</stp>
        <tr r="V1163" s="7"/>
      </tp>
      <tp t="s">
        <v>表示銘柄数超過</v>
        <stp/>
        <stp>Market</stp>
        <stp>STOCK</stp>
        <stp>97820.T</stp>
        <stp>出来高</stp>
        <tr r="V1166" s="7"/>
      </tp>
      <tp t="s">
        <v>表示銘柄数超過</v>
        <stp/>
        <stp>Market</stp>
        <stp>STOCK</stp>
        <stp>97830.T</stp>
        <stp>出来高</stp>
        <tr r="V1167" s="7"/>
      </tp>
      <tp t="s">
        <v>表示銘柄数超過</v>
        <stp/>
        <stp>Market</stp>
        <stp>STOCK</stp>
        <stp>97870.T</stp>
        <stp>出来高</stp>
        <tr r="V1168" s="7"/>
      </tp>
      <tp t="s">
        <v>表示銘柄数超過</v>
        <stp/>
        <stp>Market</stp>
        <stp>STOCK</stp>
        <stp>97880.T</stp>
        <stp>出来高</stp>
        <tr r="V1169" s="7"/>
      </tp>
      <tp t="s">
        <v>表示銘柄数超過</v>
        <stp/>
        <stp>Market</stp>
        <stp>STOCK</stp>
        <stp>96560.T</stp>
        <stp>出来高</stp>
        <tr r="V1161" s="7"/>
      </tp>
      <tp t="s">
        <v>表示銘柄数超過</v>
        <stp/>
        <stp>Market</stp>
        <stp>STOCK</stp>
        <stp>96130.T</stp>
        <stp>出来高</stp>
        <tr r="V1160" s="7"/>
      </tp>
      <tp t="s">
        <v>表示銘柄数超過</v>
        <stp/>
        <stp>Market</stp>
        <stp>STOCK</stp>
        <stp>96100.T</stp>
        <stp>出来高</stp>
        <tr r="V1159" s="7"/>
      </tp>
      <tp t="s">
        <v>表示銘柄数超過</v>
        <stp/>
        <stp>Market</stp>
        <stp>STOCK</stp>
        <stp>96030.T</stp>
        <stp>出来高</stp>
        <tr r="V1158" s="7"/>
      </tp>
      <tp t="s">
        <v>表示銘柄数超過</v>
        <stp/>
        <stp>Market</stp>
        <stp>STOCK</stp>
        <stp>99460.T</stp>
        <stp>出来高</stp>
        <tr r="V1184" s="7"/>
      </tp>
      <tp t="s">
        <v>表示銘柄数超過</v>
        <stp/>
        <stp>Market</stp>
        <stp>STOCK</stp>
        <stp>99730.T</stp>
        <stp>出来高</stp>
        <tr r="V1186" s="7"/>
      </tp>
      <tp t="s">
        <v>表示銘柄数超過</v>
        <stp/>
        <stp>Market</stp>
        <stp>STOCK</stp>
        <stp>99690.T</stp>
        <stp>出来高</stp>
        <tr r="V1185" s="7"/>
      </tp>
      <tp t="s">
        <v>表示銘柄数超過</v>
        <stp/>
        <stp>Market</stp>
        <stp>STOCK</stp>
        <stp>99190.T</stp>
        <stp>出来高</stp>
        <tr r="V1180" s="7"/>
      </tp>
      <tp t="s">
        <v>表示銘柄数超過</v>
        <stp/>
        <stp>Market</stp>
        <stp>STOCK</stp>
        <stp>99040.T</stp>
        <stp>出来高</stp>
        <tr r="V1178" s="7"/>
      </tp>
      <tp t="s">
        <v>表示銘柄数超過</v>
        <stp/>
        <stp>Market</stp>
        <stp>STOCK</stp>
        <stp>99080.T</stp>
        <stp>出来高</stp>
        <tr r="V1179" s="7"/>
      </tp>
      <tp t="s">
        <v>表示銘柄数超過</v>
        <stp/>
        <stp>Market</stp>
        <stp>STOCK</stp>
        <stp>99300.T</stp>
        <stp>出来高</stp>
        <tr r="V1183" s="7"/>
      </tp>
      <tp t="s">
        <v>表示銘柄数超過</v>
        <stp/>
        <stp>Market</stp>
        <stp>STOCK</stp>
        <stp>99270.T</stp>
        <stp>出来高</stp>
        <tr r="V1181" s="7"/>
      </tp>
      <tp t="s">
        <v>表示銘柄数超過</v>
        <stp/>
        <stp>Market</stp>
        <stp>STOCK</stp>
        <stp>99280.T</stp>
        <stp>出来高</stp>
        <tr r="V1182" s="7"/>
      </tp>
      <tp t="s">
        <v>表示銘柄数超過</v>
        <stp/>
        <stp>Market</stp>
        <stp>STOCK</stp>
        <stp>99900.T</stp>
        <stp>出来高</stp>
        <tr r="V1190" s="7"/>
      </tp>
      <tp t="s">
        <v>表示銘柄数超過</v>
        <stp/>
        <stp>Market</stp>
        <stp>STOCK</stp>
        <stp>99950.T</stp>
        <stp>出来高</stp>
        <tr r="V1191" s="7"/>
      </tp>
      <tp t="s">
        <v>表示銘柄数超過</v>
        <stp/>
        <stp>Market</stp>
        <stp>STOCK</stp>
        <stp>99820.T</stp>
        <stp>出来高</stp>
        <tr r="V1188" s="7"/>
      </tp>
      <tp t="s">
        <v>表示銘柄数超過</v>
        <stp/>
        <stp>Market</stp>
        <stp>STOCK</stp>
        <stp>99800.T</stp>
        <stp>出来高</stp>
        <tr r="V1187" s="7"/>
      </tp>
      <tp t="s">
        <v>表示銘柄数超過</v>
        <stp/>
        <stp>Market</stp>
        <stp>STOCK</stp>
        <stp>99840.T</stp>
        <stp>出来高</stp>
        <tr r="V1189" s="7"/>
      </tp>
      <tp t="s">
        <v>表示銘柄数超過</v>
        <stp/>
        <stp>Market</stp>
        <stp>STOCK</stp>
        <stp>98530.T</stp>
        <stp>出来高</stp>
        <tr r="V1173" s="7"/>
      </tp>
      <tp t="s">
        <v>表示銘柄数超過</v>
        <stp/>
        <stp>Market</stp>
        <stp>STOCK</stp>
        <stp>98540.T</stp>
        <stp>出来高</stp>
        <tr r="V1174" s="7"/>
      </tp>
      <tp t="s">
        <v>表示銘柄数超過</v>
        <stp/>
        <stp>Market</stp>
        <stp>STOCK</stp>
        <stp>98420.T</stp>
        <stp>出来高</stp>
        <tr r="V1172" s="7"/>
      </tp>
      <tp t="s">
        <v>表示銘柄数超過</v>
        <stp/>
        <stp>Market</stp>
        <stp>STOCK</stp>
        <stp>98760.T</stp>
        <stp>出来高</stp>
        <tr r="V1175" s="7"/>
      </tp>
      <tp t="s">
        <v>表示銘柄数超過</v>
        <stp/>
        <stp>Market</stp>
        <stp>STOCK</stp>
        <stp>98120.T</stp>
        <stp>出来高</stp>
        <tr r="V1170" s="7"/>
      </tp>
      <tp>
        <v>3077400</v>
        <stp/>
        <stp>Market</stp>
        <stp>STOCK</stp>
        <stp>98310.T</stp>
        <stp>出来高</stp>
        <tr r="V1171" s="7"/>
      </tp>
      <tp t="s">
        <v>表示銘柄数超過</v>
        <stp/>
        <stp>Market</stp>
        <stp>STOCK</stp>
        <stp>98900.T</stp>
        <stp>出来高</stp>
        <tr r="V1177" s="7"/>
      </tp>
      <tp t="s">
        <v>表示銘柄数超過</v>
        <stp/>
        <stp>Market</stp>
        <stp>STOCK</stp>
        <stp>98880.T</stp>
        <stp>出来高</stp>
        <tr r="V1176" s="7"/>
      </tp>
    </main>
    <main first="rtdsrv.662c26bade854d00aebc6010f8a2e03a">
      <tp>
        <v>28469</v>
        <stp/>
        <stp>Market</stp>
        <stp>STOCK</stp>
        <stp>93990.T</stp>
        <stp>売買代金</stp>
        <tr r="W1113" s="7"/>
      </tp>
      <tp t="s">
        <v>表示銘柄数超過</v>
        <stp/>
        <stp>Market</stp>
        <stp>STOCK</stp>
        <stp>13990.T</stp>
        <stp>売買代金</stp>
        <tr r="W16" s="7"/>
      </tp>
      <tp t="s">
        <v>表示銘柄数超過</v>
        <stp/>
        <stp>Market</stp>
        <stp>STOCK</stp>
        <stp>43950.T</stp>
        <stp>売買代金</stp>
        <tr r="W458" s="7"/>
      </tp>
      <tp>
        <v>244660</v>
        <stp/>
        <stp>Market</stp>
        <stp>STOCK</stp>
        <stp>63950.T</stp>
        <stp>売買代金</stp>
        <tr r="W699" s="7"/>
      </tp>
      <tp>
        <v>135005</v>
        <stp/>
        <stp>Market</stp>
        <stp>STOCK</stp>
        <stp>63900.T</stp>
        <stp>売買代金</stp>
        <tr r="W698" s="7"/>
      </tp>
      <tp t="s">
        <v>表示銘柄数超過</v>
        <stp/>
        <stp>Market</stp>
        <stp>STOCK</stp>
        <stp>33920.T</stp>
        <stp>売買代金</stp>
        <tr r="W293" s="7"/>
      </tp>
      <tp t="s">
        <v>表示銘柄数超過</v>
        <stp/>
        <stp>Market</stp>
        <stp>STOCK</stp>
        <stp>33880.T</stp>
        <stp>売買代金</stp>
        <tr r="W292" s="7"/>
      </tp>
      <tp t="s">
        <v>表示銘柄数超過</v>
        <stp/>
        <stp>Market</stp>
        <stp>STOCK</stp>
        <stp>23880.T</stp>
        <stp>売買代金</stp>
        <tr r="W131" s="7"/>
      </tp>
      <tp t="s">
        <v>表示銘柄数超過</v>
        <stp/>
        <stp>Market</stp>
        <stp>STOCK</stp>
        <stp>43880.T</stp>
        <stp>売買代金</stp>
        <tr r="W457" s="7"/>
      </tp>
      <tp t="s">
        <v>表示銘柄数超過</v>
        <stp/>
        <stp>Market</stp>
        <stp>STOCK</stp>
        <stp>43850.T</stp>
        <stp>売買代金</stp>
        <tr r="W456" s="7"/>
      </tp>
      <tp>
        <v>111449</v>
        <stp/>
        <stp>Market</stp>
        <stp>STOCK</stp>
        <stp>73840.T</stp>
        <stp>売買代金</stp>
        <tr r="W885" s="7"/>
      </tp>
      <tp>
        <v>163751</v>
        <stp/>
        <stp>Market</stp>
        <stp>STOCK</stp>
        <stp>83870.T</stp>
        <stp>売買代金</stp>
        <tr r="W1009" s="7"/>
      </tp>
      <tp t="s">
        <v>表示銘柄数超過</v>
        <stp/>
        <stp>Market</stp>
        <stp>STOCK</stp>
        <stp>33860.T</stp>
        <stp>売買代金</stp>
        <tr r="W291" s="7"/>
      </tp>
      <tp>
        <v>44246</v>
        <stp/>
        <stp>Market</stp>
        <stp>STOCK</stp>
        <stp>53810.T</stp>
        <stp>売買代金</stp>
        <tr r="W589" s="7"/>
      </tp>
      <tp>
        <v>106800</v>
        <stp/>
        <stp>Market</stp>
        <stp>STOCK</stp>
        <stp>63810.T</stp>
        <stp>売買代金</stp>
        <tr r="W696" s="7"/>
      </tp>
      <tp t="s">
        <v>表示銘柄数超過</v>
        <stp/>
        <stp>Market</stp>
        <stp>STOCK</stp>
        <stp>93800.T</stp>
        <stp>売買代金</stp>
        <tr r="W1112" s="7"/>
      </tp>
      <tp>
        <v>10682</v>
        <stp/>
        <stp>Market</stp>
        <stp>STOCK</stp>
        <stp>83830.T</stp>
        <stp>売買代金</stp>
        <tr r="W1008" s="7"/>
      </tp>
      <tp>
        <v>218203</v>
        <stp/>
        <stp>Market</stp>
        <stp>STOCK</stp>
        <stp>73830.T</stp>
        <stp>売買代金</stp>
        <tr r="W884" s="7"/>
      </tp>
      <tp>
        <v>3440236</v>
        <stp/>
        <stp>Market</stp>
        <stp>STOCK</stp>
        <stp>63830.T</stp>
        <stp>売買代金</stp>
        <tr r="W697" s="7"/>
      </tp>
      <tp t="s">
        <v>表示銘柄数超過</v>
        <stp/>
        <stp>Market</stp>
        <stp>STOCK</stp>
        <stp>33820.T</stp>
        <stp>売買代金</stp>
        <tr r="W290" s="7"/>
      </tp>
      <tp t="s">
        <v>表示銘柄数超過</v>
        <stp/>
        <stp>Market</stp>
        <stp>STOCK</stp>
        <stp>43820.T</stp>
        <stp>売買代金</stp>
        <tr r="W455" s="7"/>
      </tp>
      <tp t="s">
        <v>表示銘柄数超過</v>
        <stp/>
        <stp>Market</stp>
        <stp>STOCK</stp>
        <stp>43790.T</stp>
        <stp>売買代金</stp>
        <tr r="W454" s="7"/>
      </tp>
      <tp>
        <v>56528</v>
        <stp/>
        <stp>Market</stp>
        <stp>STOCK</stp>
        <stp>73790.T</stp>
        <stp>売買代金</stp>
        <tr r="W883" s="7"/>
      </tp>
      <tp t="s">
        <v>表示銘柄数超過</v>
        <stp/>
        <stp>Market</stp>
        <stp>STOCK</stp>
        <stp>23780.T</stp>
        <stp>売買代金</stp>
        <tr r="W130" s="7"/>
      </tp>
      <tp t="s">
        <v>表示銘柄数超過</v>
        <stp/>
        <stp>Market</stp>
        <stp>STOCK</stp>
        <stp>43780.T</stp>
        <stp>売買代金</stp>
        <tr r="W453" s="7"/>
      </tp>
      <tp t="s">
        <v>表示銘柄数超過</v>
        <stp/>
        <stp>Market</stp>
        <stp>STOCK</stp>
        <stp>23750.T</stp>
        <stp>売買代金</stp>
        <tr r="W128" s="7"/>
      </tp>
      <tp t="s">
        <v>表示銘柄数超過</v>
        <stp/>
        <stp>Market</stp>
        <stp>STOCK</stp>
        <stp>43740.T</stp>
        <stp>売買代金</stp>
        <tr r="W451" s="7"/>
      </tp>
      <tp>
        <v>473895</v>
        <stp/>
        <stp>Market</stp>
        <stp>STOCK</stp>
        <stp>83770.T</stp>
        <stp>売買代金</stp>
        <tr r="W1007" s="7"/>
      </tp>
      <tp t="s">
        <v>表示銘柄数超過</v>
        <stp/>
        <stp>Market</stp>
        <stp>STOCK</stp>
        <stp>33770.T</stp>
        <stp>売買代金</stp>
        <tr r="W289" s="7"/>
      </tp>
      <tp t="s">
        <v>表示銘柄数超過</v>
        <stp/>
        <stp>Market</stp>
        <stp>STOCK</stp>
        <stp>23760.T</stp>
        <stp>売買代金</stp>
        <tr r="W129" s="7"/>
      </tp>
      <tp t="s">
        <v>表示銘柄数超過</v>
        <stp/>
        <stp>Market</stp>
        <stp>STOCK</stp>
        <stp>43760.T</stp>
        <stp>売買代金</stp>
        <tr r="W452" s="7"/>
      </tp>
      <tp>
        <v>9653</v>
        <stp/>
        <stp>Market</stp>
        <stp>STOCK</stp>
        <stp>73710.T</stp>
        <stp>売買代金</stp>
        <tr r="W882" s="7"/>
      </tp>
      <tp t="s">
        <v>表示銘柄数超過</v>
        <stp/>
        <stp>Market</stp>
        <stp>STOCK</stp>
        <stp>33700.T</stp>
        <stp>売買代金</stp>
        <tr r="W287" s="7"/>
      </tp>
      <tp t="s">
        <v>表示銘柄数超過</v>
        <stp/>
        <stp>Market</stp>
        <stp>STOCK</stp>
        <stp>23700.T</stp>
        <stp>売買代金</stp>
        <tr r="W126" s="7"/>
      </tp>
      <tp t="s">
        <v>表示銘柄数超過</v>
        <stp/>
        <stp>Market</stp>
        <stp>STOCK</stp>
        <stp>43700.T</stp>
        <stp>売買代金</stp>
        <tr r="W449" s="7"/>
      </tp>
      <tp>
        <v>43442</v>
        <stp/>
        <stp>Market</stp>
        <stp>STOCK</stp>
        <stp>73700.T</stp>
        <stp>売買代金</stp>
        <tr r="W881" s="7"/>
      </tp>
      <tp t="s">
        <v>表示銘柄数超過</v>
        <stp/>
        <stp>Market</stp>
        <stp>STOCK</stp>
        <stp>23730.T</stp>
        <stp>売買代金</stp>
        <tr r="W127" s="7"/>
      </tp>
      <tp t="s">
        <v>表示銘柄数超過</v>
        <stp/>
        <stp>Market</stp>
        <stp>STOCK</stp>
        <stp>43730.T</stp>
        <stp>売買代金</stp>
        <tr r="W450" s="7"/>
      </tp>
      <tp t="s">
        <v>表示銘柄数超過</v>
        <stp/>
        <stp>Market</stp>
        <stp>STOCK</stp>
        <stp>33720.T</stp>
        <stp>売買代金</stp>
        <tr r="W288" s="7"/>
      </tp>
      <tp t="s">
        <v>表示銘柄数超過</v>
        <stp/>
        <stp>Market</stp>
        <stp>STOCK</stp>
        <stp>13680.T</stp>
        <stp>売買代金</stp>
        <tr r="W15" s="7"/>
      </tp>
      <tp>
        <v>119548</v>
        <stp/>
        <stp>Market</stp>
        <stp>STOCK</stp>
        <stp>63640.T</stp>
        <stp>売買代金</stp>
        <tr r="W694" s="7"/>
      </tp>
      <tp t="s">
        <v>表示銘柄数超過</v>
        <stp/>
        <stp>Market</stp>
        <stp>STOCK</stp>
        <stp>13660.T</stp>
        <stp>売買代金</stp>
        <tr r="W14" s="7"/>
      </tp>
      <tp>
        <v>955894</v>
        <stp/>
        <stp>Market</stp>
        <stp>STOCK</stp>
        <stp>63660.T</stp>
        <stp>売買代金</stp>
        <tr r="W695" s="7"/>
      </tp>
      <tp t="s">
        <v>表示銘柄数超過</v>
        <stp/>
        <stp>Market</stp>
        <stp>STOCK</stp>
        <stp>93610.T</stp>
        <stp>売買代金</stp>
        <tr r="W1111" s="7"/>
      </tp>
      <tp t="s">
        <v>表示銘柄数超過</v>
        <stp/>
        <stp>Market</stp>
        <stp>STOCK</stp>
        <stp>13600.T</stp>
        <stp>売買代金</stp>
        <tr r="W13" s="7"/>
      </tp>
      <tp t="s">
        <v>表示銘柄数超過</v>
        <stp/>
        <stp>Market</stp>
        <stp>STOCK</stp>
        <stp>33590.T</stp>
        <stp>売買代金</stp>
        <tr r="W286" s="7"/>
      </tp>
      <tp>
        <v>57870</v>
        <stp/>
        <stp>Market</stp>
        <stp>STOCK</stp>
        <stp>73590.T</stp>
        <stp>売買代金</stp>
        <tr r="W880" s="7"/>
      </tp>
      <tp>
        <v>1202284</v>
        <stp/>
        <stp>Market</stp>
        <stp>STOCK</stp>
        <stp>83580.T</stp>
        <stp>売買代金</stp>
        <tr r="W1006" s="7"/>
      </tp>
      <tp t="s">
        <v>表示銘柄数超過</v>
        <stp/>
        <stp>Market</stp>
        <stp>STOCK</stp>
        <stp>33580.T</stp>
        <stp>売買代金</stp>
        <tr r="W285" s="7"/>
      </tp>
      <tp t="s">
        <v>表示銘柄数超過</v>
        <stp/>
        <stp>Market</stp>
        <stp>STOCK</stp>
        <stp>33550.T</stp>
        <stp>売買代金</stp>
        <tr r="W284" s="7"/>
      </tp>
      <tp t="s">
        <v>表示銘柄数超過</v>
        <stp/>
        <stp>Market</stp>
        <stp>STOCK</stp>
        <stp>43550.T</stp>
        <stp>売買代金</stp>
        <tr r="W448" s="7"/>
      </tp>
      <tp t="s">
        <v>表示銘柄数超過</v>
        <stp/>
        <stp>Market</stp>
        <stp>STOCK</stp>
        <stp>23540.T</stp>
        <stp>売買代金</stp>
        <tr r="W125" s="7"/>
      </tp>
      <tp>
        <v>6551263</v>
        <stp/>
        <stp>Market</stp>
        <stp>STOCK</stp>
        <stp>13570.T</stp>
        <stp>売買代金</stp>
        <tr r="W12" s="7"/>
      </tp>
      <tp>
        <v>18238</v>
        <stp/>
        <stp>Market</stp>
        <stp>STOCK</stp>
        <stp>53570.T</stp>
        <stp>売買代金</stp>
        <tr r="W588" s="7"/>
      </tp>
      <tp t="s">
        <v>表示銘柄数超過</v>
        <stp/>
        <stp>Market</stp>
        <stp>STOCK</stp>
        <stp>13560.T</stp>
        <stp>売買代金</stp>
        <tr r="W11" s="7"/>
      </tp>
      <tp>
        <v>135667</v>
        <stp/>
        <stp>Market</stp>
        <stp>STOCK</stp>
        <stp>63560.T</stp>
        <stp>売買代金</stp>
        <tr r="W693" s="7"/>
      </tp>
      <tp t="s">
        <v>表示銘柄数超過</v>
        <stp/>
        <stp>Market</stp>
        <stp>STOCK</stp>
        <stp>23510.T</stp>
        <stp>売買代金</stp>
        <tr r="W123" s="7"/>
      </tp>
      <tp>
        <v>59378</v>
        <stp/>
        <stp>Market</stp>
        <stp>STOCK</stp>
        <stp>73510.T</stp>
        <stp>売買代金</stp>
        <tr r="W878" s="7"/>
      </tp>
      <tp t="s">
        <v>表示銘柄数超過</v>
        <stp/>
        <stp>Market</stp>
        <stp>STOCK</stp>
        <stp>33500.T</stp>
        <stp>売買代金</stp>
        <tr r="W283" s="7"/>
      </tp>
      <tp t="s">
        <v>表示銘柄数超過</v>
        <stp/>
        <stp>Market</stp>
        <stp>STOCK</stp>
        <stp>43500.T</stp>
        <stp>売買代金</stp>
        <tr r="W447" s="7"/>
      </tp>
      <tp>
        <v>63015</v>
        <stp/>
        <stp>Market</stp>
        <stp>STOCK</stp>
        <stp>73500.T</stp>
        <stp>売買代金</stp>
        <tr r="W877" s="7"/>
      </tp>
      <tp t="s">
        <v>表示銘柄数超過</v>
        <stp/>
        <stp>Market</stp>
        <stp>STOCK</stp>
        <stp>23530.T</stp>
        <stp>売買代金</stp>
        <tr r="W124" s="7"/>
      </tp>
      <tp>
        <v>3763</v>
        <stp/>
        <stp>Market</stp>
        <stp>STOCK</stp>
        <stp>73530.T</stp>
        <stp>売買代金</stp>
        <tr r="W879" s="7"/>
      </tp>
      <tp t="s">
        <v>表示銘柄数超過</v>
        <stp/>
        <stp>Market</stp>
        <stp>STOCK</stp>
        <stp>13450.T</stp>
        <stp>売買代金</stp>
        <tr r="W10" s="7"/>
      </tp>
      <tp t="s">
        <v>表示銘柄数超過</v>
        <stp/>
        <stp>Market</stp>
        <stp>STOCK</stp>
        <stp>23450.T</stp>
        <stp>売買代金</stp>
        <tr r="W122" s="7"/>
      </tp>
      <tp t="s">
        <v>表示銘柄数超過</v>
        <stp/>
        <stp>Market</stp>
        <stp>STOCK</stp>
        <stp>23440.T</stp>
        <stp>売買代金</stp>
        <tr r="W121" s="7"/>
      </tp>
      <tp>
        <v>1085</v>
        <stp/>
        <stp>Market</stp>
        <stp>STOCK</stp>
        <stp>63470.T</stp>
        <stp>売買代金</stp>
        <tr r="W692" s="7"/>
      </tp>
      <tp t="s">
        <v>表示銘柄数超過</v>
        <stp/>
        <stp>Market</stp>
        <stp>STOCK</stp>
        <stp>43460.T</stp>
        <stp>売買代金</stp>
        <tr r="W446" s="7"/>
      </tp>
      <tp t="s">
        <v>表示銘柄数超過</v>
        <stp/>
        <stp>Market</stp>
        <stp>STOCK</stp>
        <stp>33410.T</stp>
        <stp>売買代金</stp>
        <tr r="W282" s="7"/>
      </tp>
      <tp t="s">
        <v>表示銘柄数超過</v>
        <stp/>
        <stp>Market</stp>
        <stp>STOCK</stp>
        <stp>23410.T</stp>
        <stp>売買代金</stp>
        <tr r="W120" s="7"/>
      </tp>
      <tp>
        <v>9506</v>
        <stp/>
        <stp>Market</stp>
        <stp>STOCK</stp>
        <stp>53410.T</stp>
        <stp>売買代金</stp>
        <tr r="W587" s="7"/>
      </tp>
      <tp t="s">
        <v>表示銘柄数超過</v>
        <stp/>
        <stp>Market</stp>
        <stp>STOCK</stp>
        <stp>23400.T</stp>
        <stp>売買代金</stp>
        <tr r="W119" s="7"/>
      </tp>
      <tp t="s">
        <v>表示銘柄数超過</v>
        <stp/>
        <stp>Market</stp>
        <stp>STOCK</stp>
        <stp>43430.T</stp>
        <stp>売買代金</stp>
        <tr r="W445" s="7"/>
      </tp>
      <tp>
        <v>2041</v>
        <stp/>
        <stp>Market</stp>
        <stp>STOCK</stp>
        <stp>63430.T</stp>
        <stp>売買代金</stp>
        <tr r="W691" s="7"/>
      </tp>
      <tp>
        <v>1639279</v>
        <stp/>
        <stp>Market</stp>
        <stp>STOCK</stp>
        <stp>73420.T</stp>
        <stp>売買代金</stp>
        <tr r="W876" s="7"/>
      </tp>
      <tp>
        <v>10085676</v>
        <stp/>
        <stp>Market</stp>
        <stp>STOCK</stp>
        <stp>53340.T</stp>
        <stp>売買代金</stp>
        <tr r="W586" s="7"/>
      </tp>
      <tp>
        <v>7276</v>
        <stp/>
        <stp>Market</stp>
        <stp>STOCK</stp>
        <stp>63340.T</stp>
        <stp>売買代金</stp>
        <tr r="W689" s="7"/>
      </tp>
      <tp>
        <v>154479</v>
        <stp/>
        <stp>Market</stp>
        <stp>STOCK</stp>
        <stp>83370.T</stp>
        <stp>売買代金</stp>
        <tr r="W1005" s="7"/>
      </tp>
      <tp t="s">
        <v>表示銘柄数超過</v>
        <stp/>
        <stp>Market</stp>
        <stp>STOCK</stp>
        <stp>23370.T</stp>
        <stp>売買代金</stp>
        <tr r="W118" s="7"/>
      </tp>
      <tp t="s">
        <v>表示銘柄数超過</v>
        <stp/>
        <stp>Market</stp>
        <stp>STOCK</stp>
        <stp>43370.T</stp>
        <stp>売買代金</stp>
        <tr r="W444" s="7"/>
      </tp>
      <tp>
        <v>656364</v>
        <stp/>
        <stp>Market</stp>
        <stp>STOCK</stp>
        <stp>73370.T</stp>
        <stp>売買代金</stp>
        <tr r="W875" s="7"/>
      </tp>
      <tp>
        <v>1054</v>
        <stp/>
        <stp>Market</stp>
        <stp>STOCK</stp>
        <stp>63360.T</stp>
        <stp>売買代金</stp>
        <tr r="W690" s="7"/>
      </tp>
      <tp>
        <v>2478914</v>
        <stp/>
        <stp>Market</stp>
        <stp>STOCK</stp>
        <stp>83310.T</stp>
        <stp>売買代金</stp>
        <tr r="W1004" s="7"/>
      </tp>
      <tp t="s">
        <v>表示銘柄数超過</v>
        <stp/>
        <stp>Market</stp>
        <stp>STOCK</stp>
        <stp>23300.T</stp>
        <stp>売買代金</stp>
        <tr r="W117" s="7"/>
      </tp>
      <tp>
        <v>186940</v>
        <stp/>
        <stp>Market</stp>
        <stp>STOCK</stp>
        <stp>63300.T</stp>
        <stp>売買代金</stp>
        <tr r="W688" s="7"/>
      </tp>
      <tp t="s">
        <v>表示銘柄数超過</v>
        <stp/>
        <stp>Market</stp>
        <stp>STOCK</stp>
        <stp>13330.T</stp>
        <stp>売買代金</stp>
        <tr r="W9" s="7"/>
      </tp>
      <tp t="s">
        <v>表示銘柄数超過</v>
        <stp/>
        <stp>Market</stp>
        <stp>STOCK</stp>
        <stp>33330.T</stp>
        <stp>売買代金</stp>
        <tr r="W281" s="7"/>
      </tp>
      <tp t="s">
        <v>表示銘柄数超過</v>
        <stp/>
        <stp>Market</stp>
        <stp>STOCK</stp>
        <stp>13320.T</stp>
        <stp>売買代金</stp>
        <tr r="W8" s="7"/>
      </tp>
      <tp t="s">
        <v>表示銘柄数超過</v>
        <stp/>
        <stp>Market</stp>
        <stp>STOCK</stp>
        <stp>33280.T</stp>
        <stp>売買代金</stp>
        <tr r="W280" s="7"/>
      </tp>
      <tp t="s">
        <v>表示銘柄数超過</v>
        <stp/>
        <stp>Market</stp>
        <stp>STOCK</stp>
        <stp>93250.T</stp>
        <stp>売買代金</stp>
        <tr r="W1110" s="7"/>
      </tp>
      <tp t="s">
        <v>表示銘柄数超過</v>
        <stp/>
        <stp>Market</stp>
        <stp>STOCK</stp>
        <stp>13250.T</stp>
        <stp>売買代金</stp>
        <tr r="W7" s="7"/>
      </tp>
      <tp t="s">
        <v>表示銘柄数超過</v>
        <stp/>
        <stp>Market</stp>
        <stp>STOCK</stp>
        <stp>43240.T</stp>
        <stp>売買代金</stp>
        <tr r="W443" s="7"/>
      </tp>
      <tp t="s">
        <v>表示銘柄数超過</v>
        <stp/>
        <stp>Market</stp>
        <stp>STOCK</stp>
        <stp>33260.T</stp>
        <stp>売買代金</stp>
        <tr r="W279" s="7"/>
      </tp>
      <tp t="s">
        <v>表示銘柄数超過</v>
        <stp/>
        <stp>Market</stp>
        <stp>STOCK</stp>
        <stp>23210.T</stp>
        <stp>売買代金</stp>
        <tr r="W115" s="7"/>
      </tp>
      <tp t="s">
        <v>表示銘柄数超過</v>
        <stp/>
        <stp>Market</stp>
        <stp>STOCK</stp>
        <stp>33230.T</stp>
        <stp>売買代金</stp>
        <tr r="W278" s="7"/>
      </tp>
      <tp t="s">
        <v>表示銘柄数超過</v>
        <stp/>
        <stp>Market</stp>
        <stp>STOCK</stp>
        <stp>23230.T</stp>
        <stp>売買代金</stp>
        <tr r="W116" s="7"/>
      </tp>
      <tp t="s">
        <v>表示銘柄数超過</v>
        <stp/>
        <stp>Market</stp>
        <stp>STOCK</stp>
        <stp>13190.T</stp>
        <stp>売買代金</stp>
        <tr r="W6" s="7"/>
      </tp>
      <tp t="s">
        <v>表示銘柄数超過</v>
        <stp/>
        <stp>Market</stp>
        <stp>STOCK</stp>
        <stp>33150.T</stp>
        <stp>売買代金</stp>
        <tr r="W276" s="7"/>
      </tp>
      <tp>
        <v>35537</v>
        <stp/>
        <stp>Market</stp>
        <stp>STOCK</stp>
        <stp>23150.T</stp>
        <stp>売買代金</stp>
        <tr r="W113" s="7"/>
      </tp>
      <tp t="s">
        <v>表示銘柄数超過</v>
        <stp/>
        <stp>Market</stp>
        <stp>STOCK</stp>
        <stp>23170.T</stp>
        <stp>売買代金</stp>
        <tr r="W114" s="7"/>
      </tp>
      <tp>
        <v>68147</v>
        <stp/>
        <stp>Market</stp>
        <stp>STOCK</stp>
        <stp>73170.T</stp>
        <stp>売買代金</stp>
        <tr r="W874" s="7"/>
      </tp>
      <tp>
        <v>37241882</v>
        <stp/>
        <stp>Market</stp>
        <stp>STOCK</stp>
        <stp>83160.T</stp>
        <stp>売買代金</stp>
        <tr r="W1003" s="7"/>
      </tp>
      <tp t="s">
        <v>表示銘柄数超過</v>
        <stp/>
        <stp>Market</stp>
        <stp>STOCK</stp>
        <stp>33160.T</stp>
        <stp>売買代金</stp>
        <tr r="W277" s="7"/>
      </tp>
      <tp t="s">
        <v>表示銘柄数超過</v>
        <stp/>
        <stp>Market</stp>
        <stp>STOCK</stp>
        <stp>43160.T</stp>
        <stp>売買代金</stp>
        <tr r="W442" s="7"/>
      </tp>
      <tp t="s">
        <v>表示銘柄数超過</v>
        <stp/>
        <stp>Market</stp>
        <stp>STOCK</stp>
        <stp>13110.T</stp>
        <stp>売買代金</stp>
        <tr r="W5" s="7"/>
      </tp>
      <tp t="s">
        <v>表示銘柄数超過</v>
        <stp/>
        <stp>Market</stp>
        <stp>STOCK</stp>
        <stp>13080.T</stp>
        <stp>売買代金</stp>
        <tr r="W4" s="7"/>
      </tp>
      <tp t="s">
        <v>表示銘柄数超過</v>
        <stp/>
        <stp>Market</stp>
        <stp>STOCK</stp>
        <stp>43080.T</stp>
        <stp>売買代金</stp>
        <tr r="W441" s="7"/>
      </tp>
      <tp t="s">
        <v>表示銘柄数超過</v>
        <stp/>
        <stp>Market</stp>
        <stp>STOCK</stp>
        <stp>13050.T</stp>
        <stp>売買代金</stp>
        <tr r="W2" s="7"/>
      </tp>
      <tp t="s">
        <v>表示銘柄数超過</v>
        <stp/>
        <stp>Market</stp>
        <stp>STOCK</stp>
        <stp>23050.T</stp>
        <stp>売買代金</stp>
        <tr r="W112" s="7"/>
      </tp>
      <tp>
        <v>4115271</v>
        <stp/>
        <stp>Market</stp>
        <stp>STOCK</stp>
        <stp>63050.T</stp>
        <stp>売買代金</stp>
        <tr r="W687" s="7"/>
      </tp>
      <tp t="s">
        <v>表示銘柄数超過</v>
        <stp/>
        <stp>Market</stp>
        <stp>STOCK</stp>
        <stp>23040.T</stp>
        <stp>売買代金</stp>
        <tr r="W111" s="7"/>
      </tp>
      <tp t="s">
        <v>表示銘柄数超過</v>
        <stp/>
        <stp>Market</stp>
        <stp>STOCK</stp>
        <stp>43040.T</stp>
        <stp>売買代金</stp>
        <tr r="W440" s="7"/>
      </tp>
      <tp t="s">
        <v>表示銘柄数超過</v>
        <stp/>
        <stp>Market</stp>
        <stp>STOCK</stp>
        <stp>93070.T</stp>
        <stp>売買代金</stp>
        <tr r="W1109" s="7"/>
      </tp>
      <tp t="s">
        <v>表示銘柄数超過</v>
        <stp/>
        <stp>Market</stp>
        <stp>STOCK</stp>
        <stp>13060.T</stp>
        <stp>売買代金</stp>
        <tr r="W3" s="7"/>
      </tp>
      <tp>
        <v>15900526</v>
        <stp/>
        <stp>Market</stp>
        <stp>STOCK</stp>
        <stp>63010.T</stp>
        <stp>売買代金</stp>
        <tr r="W686" s="7"/>
      </tp>
      <tp t="s">
        <v>表示銘柄数超過</v>
        <stp/>
        <stp>Market</stp>
        <stp>STOCK</stp>
        <stp>33000.T</stp>
        <stp>売買代金</stp>
        <tr r="W275" s="7"/>
      </tp>
    </main>
    <main first="rtdsrv.662c26bade854d00aebc6010f8a2e03a">
      <tp t="s">
        <v>表示銘柄数超過</v>
        <stp/>
        <stp>Market</stp>
        <stp>STOCK</stp>
        <stp>32990.T</stp>
        <stp>売買代金</stp>
        <tr r="W274" s="7"/>
      </tp>
      <tp t="s">
        <v/>
        <stp/>
        <stp>Market</stp>
        <stp>STOCK</stp>
        <stp>72980.T</stp>
        <stp>売買代金</stp>
        <tr r="W873" s="7"/>
      </tp>
      <tp>
        <v>486142</v>
        <stp/>
        <stp>Market</stp>
        <stp>STOCK</stp>
        <stp>62980.T</stp>
        <stp>売買代金</stp>
        <tr r="W685" s="7"/>
      </tp>
      <tp>
        <v>95536</v>
        <stp/>
        <stp>Market</stp>
        <stp>STOCK</stp>
        <stp>72940.T</stp>
        <stp>売買代金</stp>
        <tr r="W872" s="7"/>
      </tp>
      <tp t="s">
        <v>表示銘柄数超過</v>
        <stp/>
        <stp>Market</stp>
        <stp>STOCK</stp>
        <stp>32970.T</stp>
        <stp>売買代金</stp>
        <tr r="W273" s="7"/>
      </tp>
      <tp>
        <v>9321</v>
        <stp/>
        <stp>Market</stp>
        <stp>STOCK</stp>
        <stp>62970.T</stp>
        <stp>売買代金</stp>
        <tr r="W684" s="7"/>
      </tp>
      <tp>
        <v>41861</v>
        <stp/>
        <stp>Market</stp>
        <stp>STOCK</stp>
        <stp>82910.T</stp>
        <stp>売買代金</stp>
        <tr r="W1002" s="7"/>
      </tp>
      <tp>
        <v>70131</v>
        <stp/>
        <stp>Market</stp>
        <stp>STOCK</stp>
        <stp>72910.T</stp>
        <stp>売買代金</stp>
        <tr r="W871" s="7"/>
      </tp>
      <tp t="s">
        <v>表示銘柄数超過</v>
        <stp/>
        <stp>Market</stp>
        <stp>STOCK</stp>
        <stp>42930.T</stp>
        <stp>売買代金</stp>
        <tr r="W439" s="7"/>
      </tp>
      <tp t="s">
        <v>表示銘柄数超過</v>
        <stp/>
        <stp>Market</stp>
        <stp>STOCK</stp>
        <stp>32890.T</stp>
        <stp>売買代金</stp>
        <tr r="W272" s="7"/>
      </tp>
      <tp t="s">
        <v>表示銘柄数超過</v>
        <stp/>
        <stp>Market</stp>
        <stp>STOCK</stp>
        <stp>32880.T</stp>
        <stp>売買代金</stp>
        <tr r="W271" s="7"/>
      </tp>
      <tp>
        <v>465196</v>
        <stp/>
        <stp>Market</stp>
        <stp>STOCK</stp>
        <stp>52850.T</stp>
        <stp>売買代金</stp>
        <tr r="W584" s="7"/>
      </tp>
      <tp t="s">
        <v>表示銘柄数超過</v>
        <stp/>
        <stp>Market</stp>
        <stp>STOCK</stp>
        <stp>32840.T</stp>
        <stp>売買代金</stp>
        <tr r="W269" s="7"/>
      </tp>
      <tp>
        <v>412</v>
        <stp/>
        <stp>Market</stp>
        <stp>STOCK</stp>
        <stp>52870.T</stp>
        <stp>売買代金</stp>
        <tr r="W585" s="7"/>
      </tp>
      <tp t="s">
        <v>表示銘柄数超過</v>
        <stp/>
        <stp>Market</stp>
        <stp>STOCK</stp>
        <stp>42870.T</stp>
        <stp>売買代金</stp>
        <tr r="W438" s="7"/>
      </tp>
      <tp t="s">
        <v>表示銘柄数超過</v>
        <stp/>
        <stp>Market</stp>
        <stp>STOCK</stp>
        <stp>32860.T</stp>
        <stp>売買代金</stp>
        <tr r="W270" s="7"/>
      </tp>
      <tp t="s">
        <v>表示銘柄数超過</v>
        <stp/>
        <stp>Market</stp>
        <stp>STOCK</stp>
        <stp>42860.T</stp>
        <stp>売買代金</stp>
        <tr r="W437" s="7"/>
      </tp>
      <tp>
        <v>13372</v>
        <stp/>
        <stp>Market</stp>
        <stp>STOCK</stp>
        <stp>62860.T</stp>
        <stp>売買代金</stp>
        <tr r="W683" s="7"/>
      </tp>
      <tp>
        <v>419870</v>
        <stp/>
        <stp>Market</stp>
        <stp>STOCK</stp>
        <stp>72800.T</stp>
        <stp>売買代金</stp>
        <tr r="W869" s="7"/>
      </tp>
      <tp>
        <v>747036</v>
        <stp/>
        <stp>Market</stp>
        <stp>STOCK</stp>
        <stp>72830.T</stp>
        <stp>売買代金</stp>
        <tr r="W870" s="7"/>
      </tp>
      <tp t="s">
        <v>表示銘柄数超過</v>
        <stp/>
        <stp>Market</stp>
        <stp>STOCK</stp>
        <stp>92780.T</stp>
        <stp>売買代金</stp>
        <tr r="W1108" s="7"/>
      </tp>
      <tp t="s">
        <v>表示銘柄数超過</v>
        <stp/>
        <stp>Market</stp>
        <stp>STOCK</stp>
        <stp>42750.T</stp>
        <stp>売買代金</stp>
        <tr r="W436" s="7"/>
      </tp>
      <tp t="s">
        <v>表示銘柄数超過</v>
        <stp/>
        <stp>Market</stp>
        <stp>STOCK</stp>
        <stp>92740.T</stp>
        <stp>売買代金</stp>
        <tr r="W1107" s="7"/>
      </tp>
      <tp t="s">
        <v>表示銘柄数超過</v>
        <stp/>
        <stp>Market</stp>
        <stp>STOCK</stp>
        <stp>42740.T</stp>
        <stp>売買代金</stp>
        <tr r="W435" s="7"/>
      </tp>
      <tp>
        <v>2217</v>
        <stp/>
        <stp>Market</stp>
        <stp>STOCK</stp>
        <stp>52770.T</stp>
        <stp>売買代金</stp>
        <tr r="W583" s="7"/>
      </tp>
      <tp t="s">
        <v>表示銘柄数超過</v>
        <stp/>
        <stp>Market</stp>
        <stp>STOCK</stp>
        <stp>32710.T</stp>
        <stp>売買代金</stp>
        <tr r="W268" s="7"/>
      </tp>
      <tp t="s">
        <v>表示銘柄数超過</v>
        <stp/>
        <stp>Market</stp>
        <stp>STOCK</stp>
        <stp>92700.T</stp>
        <stp>売買代金</stp>
        <tr r="W1105" s="7"/>
      </tp>
      <tp>
        <v>10967367</v>
        <stp/>
        <stp>Market</stp>
        <stp>STOCK</stp>
        <stp>72700.T</stp>
        <stp>売買代金</stp>
        <tr r="W867" s="7"/>
      </tp>
      <tp t="s">
        <v>表示銘柄数超過</v>
        <stp/>
        <stp>Market</stp>
        <stp>STOCK</stp>
        <stp>92720.T</stp>
        <stp>売買代金</stp>
        <tr r="W1106" s="7"/>
      </tp>
      <tp>
        <v>6423419</v>
        <stp/>
        <stp>Market</stp>
        <stp>STOCK</stp>
        <stp>72720.T</stp>
        <stp>売買代金</stp>
        <tr r="W868" s="7"/>
      </tp>
      <tp>
        <v>383368</v>
        <stp/>
        <stp>Market</stp>
        <stp>STOCK</stp>
        <stp>52690.T</stp>
        <stp>売買代金</stp>
        <tr r="W582" s="7"/>
      </tp>
      <tp>
        <v>27883243</v>
        <stp/>
        <stp>Market</stp>
        <stp>STOCK</stp>
        <stp>72690.T</stp>
        <stp>売買代金</stp>
        <tr r="W866" s="7"/>
      </tp>
      <tp t="s">
        <v>表示銘柄数超過</v>
        <stp/>
        <stp>Market</stp>
        <stp>STOCK</stp>
        <stp>42680.T</stp>
        <stp>売買代金</stp>
        <tr r="W434" s="7"/>
      </tp>
      <tp>
        <v>26027</v>
        <stp/>
        <stp>Market</stp>
        <stp>STOCK</stp>
        <stp>72680.T</stp>
        <stp>売買代金</stp>
        <tr r="W865" s="7"/>
      </tp>
      <tp t="s">
        <v>表示銘柄数超過</v>
        <stp/>
        <stp>Market</stp>
        <stp>STOCK</stp>
        <stp>32640.T</stp>
        <stp>売買代金</stp>
        <tr r="W266" s="7"/>
      </tp>
      <tp t="s">
        <v>表示銘柄数超過</v>
        <stp/>
        <stp>Market</stp>
        <stp>STOCK</stp>
        <stp>42640.T</stp>
        <stp>売買代金</stp>
        <tr r="W433" s="7"/>
      </tp>
      <tp>
        <v>6457818</v>
        <stp/>
        <stp>Market</stp>
        <stp>STOCK</stp>
        <stp>82670.T</stp>
        <stp>売買代金</stp>
        <tr r="W1001" s="7"/>
      </tp>
      <tp>
        <v>41282608</v>
        <stp/>
        <stp>Market</stp>
        <stp>STOCK</stp>
        <stp>72670.T</stp>
        <stp>売買代金</stp>
        <tr r="W864" s="7"/>
      </tp>
      <tp t="s">
        <v>表示銘柄数超過</v>
        <stp/>
        <stp>Market</stp>
        <stp>STOCK</stp>
        <stp>32660.T</stp>
        <stp>売買代金</stp>
        <tr r="W267" s="7"/>
      </tp>
      <tp t="s">
        <v>表示銘柄数超過</v>
        <stp/>
        <stp>Market</stp>
        <stp>STOCK</stp>
        <stp>32610.T</stp>
        <stp>売買代金</stp>
        <tr r="W265" s="7"/>
      </tp>
      <tp>
        <v>13985418</v>
        <stp/>
        <stp>Market</stp>
        <stp>STOCK</stp>
        <stp>72610.T</stp>
        <stp>売買代金</stp>
        <tr r="W863" s="7"/>
      </tp>
      <tp t="s">
        <v>表示銘柄数超過</v>
        <stp/>
        <stp>Market</stp>
        <stp>STOCK</stp>
        <stp>92630.T</stp>
        <stp>売買代金</stp>
        <tr r="W1104" s="7"/>
      </tp>
      <tp>
        <v>22350</v>
        <stp/>
        <stp>Market</stp>
        <stp>STOCK</stp>
        <stp>52620.T</stp>
        <stp>売買代金</stp>
        <tr r="W581" s="7"/>
      </tp>
      <tp t="s">
        <v>表示銘柄数超過</v>
        <stp/>
        <stp>Market</stp>
        <stp>STOCK</stp>
        <stp>42590.T</stp>
        <stp>売買代金</stp>
        <tr r="W432" s="7"/>
      </tp>
      <tp t="s">
        <v>表示銘柄数超過</v>
        <stp/>
        <stp>Market</stp>
        <stp>STOCK</stp>
        <stp>42580.T</stp>
        <stp>売買代金</stp>
        <tr r="W431" s="7"/>
      </tp>
      <tp>
        <v>130303</v>
        <stp/>
        <stp>Market</stp>
        <stp>STOCK</stp>
        <stp>62550.T</stp>
        <stp>売買代金</stp>
        <tr r="W682" s="7"/>
      </tp>
      <tp t="s">
        <v>表示銘柄数超過</v>
        <stp/>
        <stp>Market</stp>
        <stp>STOCK</stp>
        <stp>92540.T</stp>
        <stp>売買代金</stp>
        <tr r="W1103" s="7"/>
      </tp>
      <tp>
        <v>33442</v>
        <stp/>
        <stp>Market</stp>
        <stp>STOCK</stp>
        <stp>72540.T</stp>
        <stp>売買代金</stp>
        <tr r="W861" s="7"/>
      </tp>
      <tp t="s">
        <v/>
        <stp/>
        <stp>Market</stp>
        <stp>STOCK</stp>
        <stp>82560.T</stp>
        <stp>売買代金</stp>
        <tr r="W1000" s="7"/>
      </tp>
      <tp>
        <v>47696</v>
        <stp/>
        <stp>Market</stp>
        <stp>STOCK</stp>
        <stp>72560.T</stp>
        <stp>売買代金</stp>
        <tr r="W862" s="7"/>
      </tp>
      <tp t="s">
        <v>表示銘柄数超過</v>
        <stp/>
        <stp>Market</stp>
        <stp>STOCK</stp>
        <stp>22500.T</stp>
        <stp>売買代金</stp>
        <tr r="W109" s="7"/>
      </tp>
      <tp t="s">
        <v>表示銘柄数超過</v>
        <stp/>
        <stp>Market</stp>
        <stp>STOCK</stp>
        <stp>22530.T</stp>
        <stp>売買代金</stp>
        <tr r="W110" s="7"/>
      </tp>
      <tp>
        <v>10972507</v>
        <stp/>
        <stp>Market</stp>
        <stp>STOCK</stp>
        <stp>52530.T</stp>
        <stp>売買代金</stp>
        <tr r="W580" s="7"/>
      </tp>
      <tp>
        <v>3584469</v>
        <stp/>
        <stp>Market</stp>
        <stp>STOCK</stp>
        <stp>82520.T</stp>
        <stp>売買代金</stp>
        <tr r="W999" s="7"/>
      </tp>
      <tp t="s">
        <v>表示銘柄数超過</v>
        <stp/>
        <stp>Market</stp>
        <stp>STOCK</stp>
        <stp>92480.T</stp>
        <stp>売買代金</stp>
        <tr r="W1102" s="7"/>
      </tp>
      <tp>
        <v>77219</v>
        <stp/>
        <stp>Market</stp>
        <stp>STOCK</stp>
        <stp>72450.T</stp>
        <stp>売買代金</stp>
        <tr r="W858" s="7"/>
      </tp>
      <tp>
        <v>80523</v>
        <stp/>
        <stp>Market</stp>
        <stp>STOCK</stp>
        <stp>82440.T</stp>
        <stp>売買代金</stp>
        <tr r="W997" s="7"/>
      </tp>
      <tp t="s">
        <v>表示銘柄数超過</v>
        <stp/>
        <stp>Market</stp>
        <stp>STOCK</stp>
        <stp>32440.T</stp>
        <stp>売買代金</stp>
        <tr r="W264" s="7"/>
      </tp>
      <tp>
        <v>92761</v>
        <stp/>
        <stp>Market</stp>
        <stp>STOCK</stp>
        <stp>52440.T</stp>
        <stp>売買代金</stp>
        <tr r="W578" s="7"/>
      </tp>
      <tp t="s">
        <v>表示銘柄数超過</v>
        <stp/>
        <stp>Market</stp>
        <stp>STOCK</stp>
        <stp>92470.T</stp>
        <stp>売買代金</stp>
        <tr r="W1101" s="7"/>
      </tp>
      <tp>
        <v>4184</v>
        <stp/>
        <stp>Market</stp>
        <stp>STOCK</stp>
        <stp>82470.T</stp>
        <stp>売買代金</stp>
        <tr r="W998" s="7"/>
      </tp>
      <tp>
        <v>84553</v>
        <stp/>
        <stp>Market</stp>
        <stp>STOCK</stp>
        <stp>72470.T</stp>
        <stp>売買代金</stp>
        <tr r="W860" s="7"/>
      </tp>
      <tp>
        <v>2927825</v>
        <stp/>
        <stp>Market</stp>
        <stp>STOCK</stp>
        <stp>52460.T</stp>
        <stp>売買代金</stp>
        <tr r="W579" s="7"/>
      </tp>
      <tp>
        <v>324564</v>
        <stp/>
        <stp>Market</stp>
        <stp>STOCK</stp>
        <stp>72460.T</stp>
        <stp>売買代金</stp>
        <tr r="W859" s="7"/>
      </tp>
      <tp t="s">
        <v>表示銘柄数超過</v>
        <stp/>
        <stp>Market</stp>
        <stp>STOCK</stp>
        <stp>92410.T</stp>
        <stp>売買代金</stp>
        <tr r="W1100" s="7"/>
      </tp>
      <tp t="s">
        <v>表示銘柄数超過</v>
        <stp/>
        <stp>Market</stp>
        <stp>STOCK</stp>
        <stp>32410.T</stp>
        <stp>売買代金</stp>
        <tr r="W262" s="7"/>
      </tp>
      <tp t="s">
        <v>表示銘柄数超過</v>
        <stp/>
        <stp>Market</stp>
        <stp>STOCK</stp>
        <stp>22410.T</stp>
        <stp>売買代金</stp>
        <tr r="W107" s="7"/>
      </tp>
      <tp t="s">
        <v>表示銘柄数超過</v>
        <stp/>
        <stp>Market</stp>
        <stp>STOCK</stp>
        <stp>42410.T</stp>
        <stp>売買代金</stp>
        <tr r="W429" s="7"/>
      </tp>
      <tp>
        <v>1134459</v>
        <stp/>
        <stp>Market</stp>
        <stp>STOCK</stp>
        <stp>72400.T</stp>
        <stp>売買代金</stp>
        <tr r="W857" s="7"/>
      </tp>
      <tp>
        <v>277486</v>
        <stp/>
        <stp>Market</stp>
        <stp>STOCK</stp>
        <stp>62400.T</stp>
        <stp>売買代金</stp>
        <tr r="W681" s="7"/>
      </tp>
      <tp>
        <v>56141</v>
        <stp/>
        <stp>Market</stp>
        <stp>STOCK</stp>
        <stp>52430.T</stp>
        <stp>売買代金</stp>
        <tr r="W577" s="7"/>
      </tp>
      <tp t="s">
        <v>表示銘柄数超過</v>
        <stp/>
        <stp>Market</stp>
        <stp>STOCK</stp>
        <stp>42430.T</stp>
        <stp>売買代金</stp>
        <tr r="W430" s="7"/>
      </tp>
      <tp>
        <v>1769913</v>
        <stp/>
        <stp>Market</stp>
        <stp>STOCK</stp>
        <stp>82420.T</stp>
        <stp>売買代金</stp>
        <tr r="W996" s="7"/>
      </tp>
      <tp t="s">
        <v>表示銘柄数超過</v>
        <stp/>
        <stp>Market</stp>
        <stp>STOCK</stp>
        <stp>32420.T</stp>
        <stp>売買代金</stp>
        <tr r="W263" s="7"/>
      </tp>
      <tp t="s">
        <v>表示銘柄数超過</v>
        <stp/>
        <stp>Market</stp>
        <stp>STOCK</stp>
        <stp>22420.T</stp>
        <stp>売買代金</stp>
        <tr r="W108" s="7"/>
      </tp>
      <tp t="s">
        <v>表示銘柄数超過</v>
        <stp/>
        <stp>Market</stp>
        <stp>STOCK</stp>
        <stp>32380.T</stp>
        <stp>売買代金</stp>
        <tr r="W261" s="7"/>
      </tp>
      <tp t="s">
        <v>表示銘柄数超過</v>
        <stp/>
        <stp>Market</stp>
        <stp>STOCK</stp>
        <stp>42380.T</stp>
        <stp>売買代金</stp>
        <tr r="W428" s="7"/>
      </tp>
      <tp>
        <v>64633</v>
        <stp/>
        <stp>Market</stp>
        <stp>STOCK</stp>
        <stp>72380.T</stp>
        <stp>売買代金</stp>
        <tr r="W856" s="7"/>
      </tp>
      <tp t="s">
        <v>表示銘柄数超過</v>
        <stp/>
        <stp>Market</stp>
        <stp>STOCK</stp>
        <stp>22350.T</stp>
        <stp>売買代金</stp>
        <tr r="W105" s="7"/>
      </tp>
      <tp>
        <v>37376</v>
        <stp/>
        <stp>Market</stp>
        <stp>STOCK</stp>
        <stp>72350.T</stp>
        <stp>売買代金</stp>
        <tr r="W854" s="7"/>
      </tp>
      <tp>
        <v>349309</v>
        <stp/>
        <stp>Market</stp>
        <stp>STOCK</stp>
        <stp>82370.T</stp>
        <stp>売買代金</stp>
        <tr r="W995" s="7"/>
      </tp>
      <tp t="s">
        <v>表示銘柄数超過</v>
        <stp/>
        <stp>Market</stp>
        <stp>STOCK</stp>
        <stp>32370.T</stp>
        <stp>売買代金</stp>
        <tr r="W260" s="7"/>
      </tp>
      <tp t="s">
        <v>表示銘柄数超過</v>
        <stp/>
        <stp>Market</stp>
        <stp>STOCK</stp>
        <stp>42370.T</stp>
        <stp>売買代金</stp>
        <tr r="W427" s="7"/>
      </tp>
      <tp t="s">
        <v>表示銘柄数超過</v>
        <stp/>
        <stp>Market</stp>
        <stp>STOCK</stp>
        <stp>32360.T</stp>
        <stp>売買代金</stp>
        <tr r="W259" s="7"/>
      </tp>
      <tp t="s">
        <v>表示銘柄数超過</v>
        <stp/>
        <stp>Market</stp>
        <stp>STOCK</stp>
        <stp>22360.T</stp>
        <stp>売買代金</stp>
        <tr r="W106" s="7"/>
      </tp>
      <tp>
        <v>300464</v>
        <stp/>
        <stp>Market</stp>
        <stp>STOCK</stp>
        <stp>72360.T</stp>
        <stp>売買代金</stp>
        <tr r="W855" s="7"/>
      </tp>
      <tp>
        <v>15855</v>
        <stp/>
        <stp>Market</stp>
        <stp>STOCK</stp>
        <stp>82300.T</stp>
        <stp>売買代金</stp>
        <tr r="W994" s="7"/>
      </tp>
      <tp>
        <v>1298</v>
        <stp/>
        <stp>Market</stp>
        <stp>STOCK</stp>
        <stp>62330.T</stp>
        <stp>売買代金</stp>
        <tr r="W680" s="7"/>
      </tp>
      <tp t="s">
        <v>表示銘柄数超過</v>
        <stp/>
        <stp>Market</stp>
        <stp>STOCK</stp>
        <stp>32320.T</stp>
        <stp>売買代金</stp>
        <tr r="W258" s="7"/>
      </tp>
      <tp>
        <v>143936</v>
        <stp/>
        <stp>Market</stp>
        <stp>STOCK</stp>
        <stp>72290.T</stp>
        <stp>売買代金</stp>
        <tr r="W853" s="7"/>
      </tp>
      <tp>
        <v>20758</v>
        <stp/>
        <stp>Market</stp>
        <stp>STOCK</stp>
        <stp>82260.T</stp>
        <stp>売買代金</stp>
        <tr r="W993" s="7"/>
      </tp>
      <tp>
        <v>42314</v>
        <stp/>
        <stp>Market</stp>
        <stp>STOCK</stp>
        <stp>62260.T</stp>
        <stp>売買代金</stp>
        <tr r="W679" s="7"/>
      </tp>
      <tp>
        <v>122089</v>
        <stp/>
        <stp>Market</stp>
        <stp>STOCK</stp>
        <stp>72220.T</stp>
        <stp>売買代金</stp>
        <tr r="W852" s="7"/>
      </tp>
      <tp>
        <v>16615</v>
        <stp/>
        <stp>Market</stp>
        <stp>STOCK</stp>
        <stp>62180.T</stp>
        <stp>売買代金</stp>
        <tr r="W678" s="7"/>
      </tp>
      <tp>
        <v>114551</v>
        <stp/>
        <stp>Market</stp>
        <stp>STOCK</stp>
        <stp>72140.T</stp>
        <stp>売買代金</stp>
        <tr r="W851" s="7"/>
      </tp>
      <tp t="s">
        <v>表示銘柄数超過</v>
        <stp/>
        <stp>Market</stp>
        <stp>STOCK</stp>
        <stp>22160.T</stp>
        <stp>売買代金</stp>
        <tr r="W104" s="7"/>
      </tp>
      <tp>
        <v>252</v>
        <stp/>
        <stp>Market</stp>
        <stp>STOCK</stp>
        <stp>52160.T</stp>
        <stp>売買代金</stp>
        <tr r="W576" s="7"/>
      </tp>
      <tp>
        <v>7307432</v>
        <stp/>
        <stp>Market</stp>
        <stp>STOCK</stp>
        <stp>72110.T</stp>
        <stp>売買代金</stp>
        <tr r="W848" s="7"/>
      </tp>
      <tp t="s">
        <v>表示銘柄数超過</v>
        <stp/>
        <stp>Market</stp>
        <stp>STOCK</stp>
        <stp>92130.T</stp>
        <stp>売買代金</stp>
        <tr r="W1099" s="7"/>
      </tp>
      <tp>
        <v>14105</v>
        <stp/>
        <stp>Market</stp>
        <stp>STOCK</stp>
        <stp>72130.T</stp>
        <stp>売買代金</stp>
        <tr r="W850" s="7"/>
      </tp>
      <tp>
        <v>123491</v>
        <stp/>
        <stp>Market</stp>
        <stp>STOCK</stp>
        <stp>72120.T</stp>
        <stp>売買代金</stp>
        <tr r="W849" s="7"/>
      </tp>
      <tp>
        <v>916955</v>
        <stp/>
        <stp>Market</stp>
        <stp>STOCK</stp>
        <stp>72050.T</stp>
        <stp>売買代金</stp>
        <tr r="W847" s="7"/>
      </tp>
      <tp>
        <v>130131</v>
        <stp/>
        <stp>Market</stp>
        <stp>STOCK</stp>
        <stp>52040.T</stp>
        <stp>売買代金</stp>
        <tr r="W575" s="7"/>
      </tp>
      <tp>
        <v>11874</v>
        <stp/>
        <stp>Market</stp>
        <stp>STOCK</stp>
        <stp>82070.T</stp>
        <stp>売買代金</stp>
        <tr r="W992" s="7"/>
      </tp>
      <tp t="s">
        <v>表示銘柄数超過</v>
        <stp/>
        <stp>Market</stp>
        <stp>STOCK</stp>
        <stp>22060.T</stp>
        <stp>売買代金</stp>
        <tr r="W103" s="7"/>
      </tp>
      <tp>
        <v>26971720</v>
        <stp/>
        <stp>Market</stp>
        <stp>STOCK</stp>
        <stp>72010.T</stp>
        <stp>売買代金</stp>
        <tr r="W844" s="7"/>
      </tp>
      <tp t="s">
        <v>表示銘柄数超過</v>
        <stp/>
        <stp>Market</stp>
        <stp>STOCK</stp>
        <stp>42000.T</stp>
        <stp>売買代金</stp>
        <tr r="W425" s="7"/>
      </tp>
      <tp>
        <v>23742</v>
        <stp/>
        <stp>Market</stp>
        <stp>STOCK</stp>
        <stp>82030.T</stp>
        <stp>売買代金</stp>
        <tr r="W991" s="7"/>
      </tp>
      <tp>
        <v>297964798</v>
        <stp/>
        <stp>Market</stp>
        <stp>STOCK</stp>
        <stp>72030.T</stp>
        <stp>売買代金</stp>
        <tr r="W846" s="7"/>
      </tp>
      <tp>
        <v>23507</v>
        <stp/>
        <stp>Market</stp>
        <stp>STOCK</stp>
        <stp>62030.T</stp>
        <stp>売買代金</stp>
        <tr r="W677" s="7"/>
      </tp>
      <tp>
        <v>69603</v>
        <stp/>
        <stp>Market</stp>
        <stp>STOCK</stp>
        <stp>82020.T</stp>
        <stp>売買代金</stp>
        <tr r="W990" s="7"/>
      </tp>
      <tp t="s">
        <v>表示銘柄数超過</v>
        <stp/>
        <stp>Market</stp>
        <stp>STOCK</stp>
        <stp>42020.T</stp>
        <stp>売買代金</stp>
        <tr r="W426" s="7"/>
      </tp>
      <tp>
        <v>5762402</v>
        <stp/>
        <stp>Market</stp>
        <stp>STOCK</stp>
        <stp>72020.T</stp>
        <stp>売買代金</stp>
        <tr r="W845" s="7"/>
      </tp>
    </main>
    <main first="rtdsrv.662c26bade854d00aebc6010f8a2e03a">
      <tp t="s">
        <v>表示銘柄数超過</v>
        <stp/>
        <stp>Market</stp>
        <stp>STOCK</stp>
        <stp>21980.T</stp>
        <stp>売買代金</stp>
        <tr r="W102" s="7"/>
      </tp>
      <tp>
        <v>19470</v>
        <stp/>
        <stp>Market</stp>
        <stp>STOCK</stp>
        <stp>61950.T</stp>
        <stp>売買代金</stp>
        <tr r="W676" s="7"/>
      </tp>
      <tp>
        <v>344920</v>
        <stp/>
        <stp>Market</stp>
        <stp>STOCK</stp>
        <stp>81940.T</stp>
        <stp>売買代金</stp>
        <tr r="W989" s="7"/>
      </tp>
      <tp>
        <v>238601</v>
        <stp/>
        <stp>Market</stp>
        <stp>STOCK</stp>
        <stp>61940.T</stp>
        <stp>売買代金</stp>
        <tr r="W675" s="7"/>
      </tp>
      <tp t="s">
        <v>表示銘柄数超過</v>
        <stp/>
        <stp>Market</stp>
        <stp>STOCK</stp>
        <stp>31970.T</stp>
        <stp>売買代金</stp>
        <tr r="W257" s="7"/>
      </tp>
      <tp>
        <v>39971</v>
        <stp/>
        <stp>Market</stp>
        <stp>STOCK</stp>
        <stp>71960.T</stp>
        <stp>売買代金</stp>
        <tr r="W843" s="7"/>
      </tp>
      <tp>
        <v>1110</v>
        <stp/>
        <stp>Market</stp>
        <stp>STOCK</stp>
        <stp>61900.T</stp>
        <stp>売買代金</stp>
        <tr r="W673" s="7"/>
      </tp>
      <tp t="s">
        <v>表示銘柄数超過</v>
        <stp/>
        <stp>Market</stp>
        <stp>STOCK</stp>
        <stp>31920.T</stp>
        <stp>売買代金</stp>
        <tr r="W256" s="7"/>
      </tp>
      <tp>
        <v>3075632</v>
        <stp/>
        <stp>Market</stp>
        <stp>STOCK</stp>
        <stp>51920.T</stp>
        <stp>売買代金</stp>
        <tr r="W574" s="7"/>
      </tp>
      <tp t="s">
        <v>表示銘柄数超過</v>
        <stp/>
        <stp>Market</stp>
        <stp>STOCK</stp>
        <stp>41920.T</stp>
        <stp>売買代金</stp>
        <tr r="W424" s="7"/>
      </tp>
      <tp t="s">
        <v/>
        <stp/>
        <stp>Market</stp>
        <stp>STOCK</stp>
        <stp>61920.T</stp>
        <stp>売買代金</stp>
        <tr r="W674" s="7"/>
      </tp>
      <tp t="s">
        <v>表示銘柄数超過</v>
        <stp/>
        <stp>Market</stp>
        <stp>STOCK</stp>
        <stp>31890.T</stp>
        <stp>売買代金</stp>
        <tr r="W255" s="7"/>
      </tp>
      <tp t="s">
        <v>表示銘柄数超過</v>
        <stp/>
        <stp>Market</stp>
        <stp>STOCK</stp>
        <stp>41880.T</stp>
        <stp>売買代金</stp>
        <tr r="W423" s="7"/>
      </tp>
      <tp>
        <v>921</v>
        <stp/>
        <stp>Market</stp>
        <stp>STOCK</stp>
        <stp>61880.T</stp>
        <stp>売買代金</stp>
        <tr r="W672" s="7"/>
      </tp>
      <tp t="s">
        <v>表示銘柄数超過</v>
        <stp/>
        <stp>Market</stp>
        <stp>STOCK</stp>
        <stp>31850.T</stp>
        <stp>売買代金</stp>
        <tr r="W252" s="7"/>
      </tp>
      <tp t="s">
        <v>表示銘柄数超過</v>
        <stp/>
        <stp>Market</stp>
        <stp>STOCK</stp>
        <stp>41850.T</stp>
        <stp>売買代金</stp>
        <tr r="W422" s="7"/>
      </tp>
      <tp>
        <v>15271</v>
        <stp/>
        <stp>Market</stp>
        <stp>STOCK</stp>
        <stp>61850.T</stp>
        <stp>売買代金</stp>
        <tr r="W670" s="7"/>
      </tp>
      <tp>
        <v>271328</v>
        <stp/>
        <stp>Market</stp>
        <stp>STOCK</stp>
        <stp>71840.T</stp>
        <stp>売買代金</stp>
        <tr r="W841" s="7"/>
      </tp>
      <tp>
        <v>77112</v>
        <stp/>
        <stp>Market</stp>
        <stp>STOCK</stp>
        <stp>61840.T</stp>
        <stp>売買代金</stp>
        <tr r="W669" s="7"/>
      </tp>
      <tp t="s">
        <v>表示銘柄数超過</v>
        <stp/>
        <stp>Market</stp>
        <stp>STOCK</stp>
        <stp>31870.T</stp>
        <stp>売買代金</stp>
        <tr r="W254" s="7"/>
      </tp>
      <tp t="s">
        <v>表示銘柄数超過</v>
        <stp/>
        <stp>Market</stp>
        <stp>STOCK</stp>
        <stp>31860.T</stp>
        <stp>売買代金</stp>
        <tr r="W253" s="7"/>
      </tp>
      <tp>
        <v>2320871</v>
        <stp/>
        <stp>Market</stp>
        <stp>STOCK</stp>
        <stp>71860.T</stp>
        <stp>売買代金</stp>
        <tr r="W842" s="7"/>
      </tp>
      <tp>
        <v>4600</v>
        <stp/>
        <stp>Market</stp>
        <stp>STOCK</stp>
        <stp>61860.T</stp>
        <stp>売買代金</stp>
        <tr r="W671" s="7"/>
      </tp>
      <tp>
        <v>9170</v>
        <stp/>
        <stp>Market</stp>
        <stp>STOCK</stp>
        <stp>61810.T</stp>
        <stp>売買代金</stp>
        <tr r="W667" s="7"/>
      </tp>
      <tp>
        <v>2627262</v>
        <stp/>
        <stp>Market</stp>
        <stp>STOCK</stp>
        <stp>71800.T</stp>
        <stp>売買代金</stp>
        <tr r="W838" s="7"/>
      </tp>
      <tp>
        <v>26249</v>
        <stp/>
        <stp>Market</stp>
        <stp>STOCK</stp>
        <stp>71830.T</stp>
        <stp>売買代金</stp>
        <tr r="W840" s="7"/>
      </tp>
      <tp t="s">
        <v>表示銘柄数超過</v>
        <stp/>
        <stp>Market</stp>
        <stp>STOCK</stp>
        <stp>31820.T</stp>
        <stp>売買代金</stp>
        <tr r="W251" s="7"/>
      </tp>
      <tp>
        <v>8884252</v>
        <stp/>
        <stp>Market</stp>
        <stp>STOCK</stp>
        <stp>71820.T</stp>
        <stp>売買代金</stp>
        <tr r="W839" s="7"/>
      </tp>
      <tp>
        <v>150521</v>
        <stp/>
        <stp>Market</stp>
        <stp>STOCK</stp>
        <stp>61820.T</stp>
        <stp>売買代金</stp>
        <tr r="W668" s="7"/>
      </tp>
      <tp>
        <v>261926</v>
        <stp/>
        <stp>Market</stp>
        <stp>STOCK</stp>
        <stp>81790.T</stp>
        <stp>売買代金</stp>
        <tr r="W988" s="7"/>
      </tp>
      <tp>
        <v>9827774</v>
        <stp/>
        <stp>Market</stp>
        <stp>STOCK</stp>
        <stp>61780.T</stp>
        <stp>売買代金</stp>
        <tr r="W666" s="7"/>
      </tp>
      <tp>
        <v>1008</v>
        <stp/>
        <stp>Market</stp>
        <stp>STOCK</stp>
        <stp>71750.T</stp>
        <stp>売買代金</stp>
        <tr r="W836" s="7"/>
      </tp>
      <tp>
        <v>668361</v>
        <stp/>
        <stp>Market</stp>
        <stp>STOCK</stp>
        <stp>71770.T</stp>
        <stp>売買代金</stp>
        <tr r="W837" s="7"/>
      </tp>
      <tp>
        <v>1672</v>
        <stp/>
        <stp>Market</stp>
        <stp>STOCK</stp>
        <stp>61770.T</stp>
        <stp>売買代金</stp>
        <tr r="W665" s="7"/>
      </tp>
      <tp t="s">
        <v>表示銘柄数超過</v>
        <stp/>
        <stp>Market</stp>
        <stp>STOCK</stp>
        <stp>31760.T</stp>
        <stp>売買代金</stp>
        <tr r="W250" s="7"/>
      </tp>
      <tp t="s">
        <v>表示銘柄数超過</v>
        <stp/>
        <stp>Market</stp>
        <stp>STOCK</stp>
        <stp>41760.T</stp>
        <stp>売買代金</stp>
        <tr r="W421" s="7"/>
      </tp>
      <tp>
        <v>45199</v>
        <stp/>
        <stp>Market</stp>
        <stp>STOCK</stp>
        <stp>61760.T</stp>
        <stp>売買代金</stp>
        <tr r="W664" s="7"/>
      </tp>
      <tp t="s">
        <v>表示銘柄数超過</v>
        <stp/>
        <stp>Market</stp>
        <stp>STOCK</stp>
        <stp>41700.T</stp>
        <stp>売買代金</stp>
        <tr r="W420" s="7"/>
      </tp>
      <tp>
        <v>299916</v>
        <stp/>
        <stp>Market</stp>
        <stp>STOCK</stp>
        <stp>81730.T</stp>
        <stp>売買代金</stp>
        <tr r="W987" s="7"/>
      </tp>
      <tp>
        <v>5195</v>
        <stp/>
        <stp>Market</stp>
        <stp>STOCK</stp>
        <stp>61730.T</stp>
        <stp>売買代金</stp>
        <tr r="W663" s="7"/>
      </tp>
      <tp>
        <v>249098</v>
        <stp/>
        <stp>Market</stp>
        <stp>STOCK</stp>
        <stp>71720.T</stp>
        <stp>売買代金</stp>
        <tr r="W835" s="7"/>
      </tp>
      <tp t="s">
        <v>表示銘柄数超過</v>
        <stp/>
        <stp>Market</stp>
        <stp>STOCK</stp>
        <stp>41690.T</stp>
        <stp>売買代金</stp>
        <tr r="W419" s="7"/>
      </tp>
      <tp t="s">
        <v>表示銘柄数超過</v>
        <stp/>
        <stp>Market</stp>
        <stp>STOCK</stp>
        <stp>21680.T</stp>
        <stp>売買代金</stp>
        <tr r="W101" s="7"/>
      </tp>
      <tp t="s">
        <v>表示銘柄数超過</v>
        <stp/>
        <stp>Market</stp>
        <stp>STOCK</stp>
        <stp>41650.T</stp>
        <stp>売買代金</stp>
        <tr r="W417" s="7"/>
      </tp>
      <tp>
        <v>17470</v>
        <stp/>
        <stp>Market</stp>
        <stp>STOCK</stp>
        <stp>61650.T</stp>
        <stp>売買代金</stp>
        <tr r="W660" s="7"/>
      </tp>
      <tp t="s">
        <v>表示銘柄数超過</v>
        <stp/>
        <stp>Market</stp>
        <stp>STOCK</stp>
        <stp>21640.T</stp>
        <stp>売買代金</stp>
        <tr r="W100" s="7"/>
      </tp>
      <tp t="s">
        <v>表示銘柄数超過</v>
        <stp/>
        <stp>Market</stp>
        <stp>STOCK</stp>
        <stp>41670.T</stp>
        <stp>売買代金</stp>
        <tr r="W418" s="7"/>
      </tp>
      <tp>
        <v>1167686</v>
        <stp/>
        <stp>Market</stp>
        <stp>STOCK</stp>
        <stp>71670.T</stp>
        <stp>売買代金</stp>
        <tr r="W834" s="7"/>
      </tp>
      <tp>
        <v>29003</v>
        <stp/>
        <stp>Market</stp>
        <stp>STOCK</stp>
        <stp>61670.T</stp>
        <stp>売買代金</stp>
        <tr r="W662" s="7"/>
      </tp>
      <tp>
        <v>3654</v>
        <stp/>
        <stp>Market</stp>
        <stp>STOCK</stp>
        <stp>81660.T</stp>
        <stp>売買代金</stp>
        <tr r="W986" s="7"/>
      </tp>
      <tp>
        <v>12599</v>
        <stp/>
        <stp>Market</stp>
        <stp>STOCK</stp>
        <stp>61660.T</stp>
        <stp>売買代金</stp>
        <tr r="W661" s="7"/>
      </tp>
      <tp>
        <v>127198</v>
        <stp/>
        <stp>Market</stp>
        <stp>STOCK</stp>
        <stp>71610.T</stp>
        <stp>売買代金</stp>
        <tr r="W832" s="7"/>
      </tp>
      <tp t="s">
        <v>表示銘柄数超過</v>
        <stp/>
        <stp>Market</stp>
        <stp>STOCK</stp>
        <stp>21600.T</stp>
        <stp>売買代金</stp>
        <tr r="W98" s="7"/>
      </tp>
      <tp>
        <v>1144922</v>
        <stp/>
        <stp>Market</stp>
        <stp>STOCK</stp>
        <stp>71630.T</stp>
        <stp>売買代金</stp>
        <tr r="W833" s="7"/>
      </tp>
      <tp t="s">
        <v>表示銘柄数超過</v>
        <stp/>
        <stp>Market</stp>
        <stp>STOCK</stp>
        <stp>21620.T</stp>
        <stp>売買代金</stp>
        <tr r="W99" s="7"/>
      </tp>
      <tp t="s">
        <v>表示銘柄数超過</v>
        <stp/>
        <stp>Market</stp>
        <stp>STOCK</stp>
        <stp>31590.T</stp>
        <stp>売買代金</stp>
        <tr r="W249" s="7"/>
      </tp>
      <tp t="s">
        <v>表示銘柄数超過</v>
        <stp/>
        <stp>Market</stp>
        <stp>STOCK</stp>
        <stp>21580.T</stp>
        <stp>売買代金</stp>
        <tr r="W97" s="7"/>
      </tp>
      <tp t="s">
        <v>表示銘柄数超過</v>
        <stp/>
        <stp>Market</stp>
        <stp>STOCK</stp>
        <stp>31540.T</stp>
        <stp>売買代金</stp>
        <tr r="W248" s="7"/>
      </tp>
      <tp t="s">
        <v>表示銘柄数超過</v>
        <stp/>
        <stp>Market</stp>
        <stp>STOCK</stp>
        <stp>21540.T</stp>
        <stp>売買代金</stp>
        <tr r="W96" s="7"/>
      </tp>
      <tp>
        <v>106429</v>
        <stp/>
        <stp>Market</stp>
        <stp>STOCK</stp>
        <stp>81500.T</stp>
        <stp>売買代金</stp>
        <tr r="W984" s="7"/>
      </tp>
      <tp t="s">
        <v>表示銘柄数超過</v>
        <stp/>
        <stp>Market</stp>
        <stp>STOCK</stp>
        <stp>21500.T</stp>
        <stp>売買代金</stp>
        <tr r="W94" s="7"/>
      </tp>
      <tp>
        <v>6417</v>
        <stp/>
        <stp>Market</stp>
        <stp>STOCK</stp>
        <stp>71500.T</stp>
        <stp>売買代金</stp>
        <tr r="W831" s="7"/>
      </tp>
      <tp>
        <v>307746</v>
        <stp/>
        <stp>Market</stp>
        <stp>STOCK</stp>
        <stp>81530.T</stp>
        <stp>売買代金</stp>
        <tr r="W985" s="7"/>
      </tp>
      <tp t="s">
        <v>表示銘柄数超過</v>
        <stp/>
        <stp>Market</stp>
        <stp>STOCK</stp>
        <stp>21520.T</stp>
        <stp>売買代金</stp>
        <tr r="W95" s="7"/>
      </tp>
      <tp>
        <v>625205</v>
        <stp/>
        <stp>Market</stp>
        <stp>STOCK</stp>
        <stp>71480.T</stp>
        <stp>売買代金</stp>
        <tr r="W830" s="7"/>
      </tp>
      <tp>
        <v>67243004</v>
        <stp/>
        <stp>Market</stp>
        <stp>STOCK</stp>
        <stp>61460.T</stp>
        <stp>売買代金</stp>
        <tr r="W659" s="7"/>
      </tp>
      <tp t="s">
        <v>表示銘柄数超過</v>
        <stp/>
        <stp>Market</stp>
        <stp>STOCK</stp>
        <stp>31410.T</stp>
        <stp>売買代金</stp>
        <tr r="W247" s="7"/>
      </tp>
      <tp>
        <v>128881</v>
        <stp/>
        <stp>Market</stp>
        <stp>STOCK</stp>
        <stp>61400.T</stp>
        <stp>売買代金</stp>
        <tr r="W658" s="7"/>
      </tp>
      <tp>
        <v>516</v>
        <stp/>
        <stp>Market</stp>
        <stp>STOCK</stp>
        <stp>81430.T</stp>
        <stp>売買代金</stp>
        <tr r="W983" s="7"/>
      </tp>
      <tp t="s">
        <v>表示銘柄数超過</v>
        <stp/>
        <stp>Market</stp>
        <stp>STOCK</stp>
        <stp>91420.T</stp>
        <stp>売買代金</stp>
        <tr r="W1098" s="7"/>
      </tp>
      <tp>
        <v>76839</v>
        <stp/>
        <stp>Market</stp>
        <stp>STOCK</stp>
        <stp>81390.T</stp>
        <stp>売買代金</stp>
        <tr r="W982" s="7"/>
      </tp>
      <tp t="s">
        <v>表示銘柄数超過</v>
        <stp/>
        <stp>Market</stp>
        <stp>STOCK</stp>
        <stp>21380.T</stp>
        <stp>売買代金</stp>
        <tr r="W93" s="7"/>
      </tp>
      <tp>
        <v>5880</v>
        <stp/>
        <stp>Market</stp>
        <stp>STOCK</stp>
        <stp>81350.T</stp>
        <stp>売買代金</stp>
        <tr r="W981" s="7"/>
      </tp>
      <tp>
        <v>4277</v>
        <stp/>
        <stp>Market</stp>
        <stp>STOCK</stp>
        <stp>71350.T</stp>
        <stp>売買代金</stp>
        <tr r="W829" s="7"/>
      </tp>
      <tp t="s">
        <v>表示銘柄数超過</v>
        <stp/>
        <stp>Market</stp>
        <stp>STOCK</stp>
        <stp>21340.T</stp>
        <stp>売買代金</stp>
        <tr r="W92" s="7"/>
      </tp>
      <tp>
        <v>696388</v>
        <stp/>
        <stp>Market</stp>
        <stp>STOCK</stp>
        <stp>61340.T</stp>
        <stp>売買代金</stp>
        <tr r="W657" s="7"/>
      </tp>
      <tp t="s">
        <v>表示銘柄数超過</v>
        <stp/>
        <stp>Market</stp>
        <stp>STOCK</stp>
        <stp>31370.T</stp>
        <stp>売買代金</stp>
        <tr r="W246" s="7"/>
      </tp>
      <tp>
        <v>54927</v>
        <stp/>
        <stp>Market</stp>
        <stp>STOCK</stp>
        <stp>51310.T</stp>
        <stp>売買代金</stp>
        <tr r="W572" s="7"/>
      </tp>
      <tp>
        <v>137895</v>
        <stp/>
        <stp>Market</stp>
        <stp>STOCK</stp>
        <stp>81330.T</stp>
        <stp>売買代金</stp>
        <tr r="W980" s="7"/>
      </tp>
      <tp t="s">
        <v>表示銘柄数超過</v>
        <stp/>
        <stp>Market</stp>
        <stp>STOCK</stp>
        <stp>31330.T</stp>
        <stp>売買代金</stp>
        <tr r="W245" s="7"/>
      </tp>
      <tp>
        <v>6128</v>
        <stp/>
        <stp>Market</stp>
        <stp>STOCK</stp>
        <stp>51330.T</stp>
        <stp>売買代金</stp>
        <tr r="W573" s="7"/>
      </tp>
      <tp>
        <v>123973</v>
        <stp/>
        <stp>Market</stp>
        <stp>STOCK</stp>
        <stp>51290.T</stp>
        <stp>売買代金</stp>
        <tr r="W571" s="7"/>
      </tp>
      <tp t="s">
        <v>表示銘柄数超過</v>
        <stp/>
        <stp>Market</stp>
        <stp>STOCK</stp>
        <stp>21270.T</stp>
        <stp>売買代金</stp>
        <tr r="W91" s="7"/>
      </tp>
      <tp t="s">
        <v>表示銘柄数超過</v>
        <stp/>
        <stp>Market</stp>
        <stp>STOCK</stp>
        <stp>31210.T</stp>
        <stp>売買代金</stp>
        <tr r="W244" s="7"/>
      </tp>
      <tp>
        <v>209020</v>
        <stp/>
        <stp>Market</stp>
        <stp>STOCK</stp>
        <stp>51210.T</stp>
        <stp>売買代金</stp>
        <tr r="W570" s="7"/>
      </tp>
      <tp t="s">
        <v>表示銘柄数超過</v>
        <stp/>
        <stp>Market</stp>
        <stp>STOCK</stp>
        <stp>21200.T</stp>
        <stp>売買代金</stp>
        <tr r="W90" s="7"/>
      </tp>
      <tp>
        <v>22273</v>
        <stp/>
        <stp>Market</stp>
        <stp>STOCK</stp>
        <stp>71220.T</stp>
        <stp>売買代金</stp>
        <tr r="W828" s="7"/>
      </tp>
      <tp t="s">
        <v>表示銘柄数超過</v>
        <stp/>
        <stp>Market</stp>
        <stp>STOCK</stp>
        <stp>91190.T</stp>
        <stp>売買代金</stp>
        <tr r="W1097" s="7"/>
      </tp>
      <tp>
        <v>8796</v>
        <stp/>
        <stp>Market</stp>
        <stp>STOCK</stp>
        <stp>81180.T</stp>
        <stp>売買代金</stp>
        <tr r="W979" s="7"/>
      </tp>
      <tp t="s">
        <v>表示銘柄数超過</v>
        <stp/>
        <stp>Market</stp>
        <stp>STOCK</stp>
        <stp>91150.T</stp>
        <stp>売買代金</stp>
        <tr r="W1096" s="7"/>
      </tp>
      <tp t="s">
        <v>表示銘柄数超過</v>
        <stp/>
        <stp>Market</stp>
        <stp>STOCK</stp>
        <stp>21140.T</stp>
        <stp>売買代金</stp>
        <tr r="W89" s="7"/>
      </tp>
      <tp>
        <v>52614</v>
        <stp/>
        <stp>Market</stp>
        <stp>STOCK</stp>
        <stp>71160.T</stp>
        <stp>売買代金</stp>
        <tr r="W827" s="7"/>
      </tp>
      <tp>
        <v>80240</v>
        <stp/>
        <stp>Market</stp>
        <stp>STOCK</stp>
        <stp>71110.T</stp>
        <stp>売買代金</stp>
        <tr r="W826" s="7"/>
      </tp>
      <tp>
        <v>1260503</v>
        <stp/>
        <stp>Market</stp>
        <stp>STOCK</stp>
        <stp>51100.T</stp>
        <stp>売買代金</stp>
        <tr r="W569" s="7"/>
      </tp>
      <tp t="s">
        <v>表示銘柄数超過</v>
        <stp/>
        <stp>Market</stp>
        <stp>STOCK</stp>
        <stp>31130.T</stp>
        <stp>売買代金</stp>
        <tr r="W243" s="7"/>
      </tp>
      <tp>
        <v>1830464</v>
        <stp/>
        <stp>Market</stp>
        <stp>STOCK</stp>
        <stp>61130.T</stp>
        <stp>売買代金</stp>
        <tr r="W656" s="7"/>
      </tp>
      <tp>
        <v>11265453</v>
        <stp/>
        <stp>Market</stp>
        <stp>STOCK</stp>
        <stp>51080.T</stp>
        <stp>売買代金</stp>
        <tr r="W568" s="7"/>
      </tp>
      <tp>
        <v>325</v>
        <stp/>
        <stp>Market</stp>
        <stp>STOCK</stp>
        <stp>81050.T</stp>
        <stp>売買代金</stp>
        <tr r="W978" s="7"/>
      </tp>
      <tp t="s">
        <v>表示銘柄数超過</v>
        <stp/>
        <stp>Market</stp>
        <stp>STOCK</stp>
        <stp>91040.T</stp>
        <stp>売買代金</stp>
        <tr r="W1094" s="7"/>
      </tp>
      <tp>
        <v>18570</v>
        <stp/>
        <stp>Market</stp>
        <stp>STOCK</stp>
        <stp>81040.T</stp>
        <stp>売買代金</stp>
        <tr r="W977" s="7"/>
      </tp>
      <tp>
        <v>1438730</v>
        <stp/>
        <stp>Market</stp>
        <stp>STOCK</stp>
        <stp>61040.T</stp>
        <stp>売買代金</stp>
        <tr r="W655" s="7"/>
      </tp>
      <tp t="s">
        <v>表示銘柄数超過</v>
        <stp/>
        <stp>Market</stp>
        <stp>STOCK</stp>
        <stp>91070.T</stp>
        <stp>売買代金</stp>
        <tr r="W1095" s="7"/>
      </tp>
      <tp t="s">
        <v>表示銘柄数超過</v>
        <stp/>
        <stp>Market</stp>
        <stp>STOCK</stp>
        <stp>91010.T</stp>
        <stp>売買代金</stp>
        <tr r="W1093" s="7"/>
      </tp>
      <tp t="s">
        <v>表示銘柄数超過</v>
        <stp/>
        <stp>Market</stp>
        <stp>STOCK</stp>
        <stp>31010.T</stp>
        <stp>売買代金</stp>
        <tr r="W241" s="7"/>
      </tp>
      <tp>
        <v>85909</v>
        <stp/>
        <stp>Market</stp>
        <stp>STOCK</stp>
        <stp>81030.T</stp>
        <stp>売買代金</stp>
        <tr r="W976" s="7"/>
      </tp>
      <tp t="s">
        <v>表示銘柄数超過</v>
        <stp/>
        <stp>Market</stp>
        <stp>STOCK</stp>
        <stp>31030.T</stp>
        <stp>売買代金</stp>
        <tr r="W242" s="7"/>
      </tp>
      <tp>
        <v>3504</v>
        <stp/>
        <stp>Market</stp>
        <stp>STOCK</stp>
        <stp>51030.T</stp>
        <stp>売買代金</stp>
        <tr r="W567" s="7"/>
      </tp>
      <tp>
        <v>36357</v>
        <stp/>
        <stp>Market</stp>
        <stp>STOCK</stp>
        <stp>71020.T</stp>
        <stp>売買代金</stp>
        <tr r="W825" s="7"/>
      </tp>
    </main>
    <main first="rtdsrv.662c26bade854d00aebc6010f8a2e03a">
      <tp t="s">
        <v>表示銘柄数超過</v>
        <stp/>
        <stp>Market</stp>
        <stp>STOCK</stp>
        <stp>30990.T</stp>
        <stp>売買代金</stp>
        <tr r="W240" s="7"/>
      </tp>
      <tp>
        <v>20002717</v>
        <stp/>
        <stp>Market</stp>
        <stp>STOCK</stp>
        <stp>60980.T</stp>
        <stp>売買代金</stp>
        <tr r="W654" s="7"/>
      </tp>
      <tp>
        <v>26978</v>
        <stp/>
        <stp>Market</stp>
        <stp>STOCK</stp>
        <stp>80950.T</stp>
        <stp>売買代金</stp>
        <tr r="W975" s="7"/>
      </tp>
      <tp>
        <v>25569</v>
        <stp/>
        <stp>Market</stp>
        <stp>STOCK</stp>
        <stp>60960.T</stp>
        <stp>売買代金</stp>
        <tr r="W653" s="7"/>
      </tp>
      <tp>
        <v>5185</v>
        <stp/>
        <stp>Market</stp>
        <stp>STOCK</stp>
        <stp>60910.T</stp>
        <stp>売買代金</stp>
        <tr r="W650" s="7"/>
      </tp>
      <tp t="s">
        <v>表示銘柄数超過</v>
        <stp/>
        <stp>Market</stp>
        <stp>STOCK</stp>
        <stp>90900.T</stp>
        <stp>売買代金</stp>
        <tr r="W1092" s="7"/>
      </tp>
      <tp>
        <v>13444</v>
        <stp/>
        <stp>Market</stp>
        <stp>STOCK</stp>
        <stp>60930.T</stp>
        <stp>売買代金</stp>
        <tr r="W652" s="7"/>
      </tp>
      <tp>
        <v>1658</v>
        <stp/>
        <stp>Market</stp>
        <stp>STOCK</stp>
        <stp>60920.T</stp>
        <stp>売買代金</stp>
        <tr r="W651" s="7"/>
      </tp>
      <tp>
        <v>158689</v>
        <stp/>
        <stp>Market</stp>
        <stp>STOCK</stp>
        <stp>70880.T</stp>
        <stp>売買代金</stp>
        <tr r="W824" s="7"/>
      </tp>
      <tp t="s">
        <v>表示銘柄数超過</v>
        <stp/>
        <stp>Market</stp>
        <stp>STOCK</stp>
        <stp>30860.T</stp>
        <stp>売買代金</stp>
        <tr r="W239" s="7"/>
      </tp>
      <tp>
        <v>40733</v>
        <stp/>
        <stp>Market</stp>
        <stp>STOCK</stp>
        <stp>80810.T</stp>
        <stp>売買代金</stp>
        <tr r="W974" s="7"/>
      </tp>
      <tp>
        <v>136436</v>
        <stp/>
        <stp>Market</stp>
        <stp>STOCK</stp>
        <stp>60810.T</stp>
        <stp>売買代金</stp>
        <tr r="W649" s="7"/>
      </tp>
      <tp t="s">
        <v>表示銘柄数超過</v>
        <stp/>
        <stp>Market</stp>
        <stp>STOCK</stp>
        <stp>30830.T</stp>
        <stp>売買代金</stp>
        <tr r="W238" s="7"/>
      </tp>
      <tp t="s">
        <v>表示銘柄数超過</v>
        <stp/>
        <stp>Market</stp>
        <stp>STOCK</stp>
        <stp>40750.T</stp>
        <stp>売買代金</stp>
        <tr r="W416" s="7"/>
      </tp>
      <tp t="s">
        <v>表示銘柄数超過</v>
        <stp/>
        <stp>Market</stp>
        <stp>STOCK</stp>
        <stp>50740.T</stp>
        <stp>売買代金</stp>
        <tr r="W566" s="7"/>
      </tp>
      <tp>
        <v>9532</v>
        <stp/>
        <stp>Market</stp>
        <stp>STOCK</stp>
        <stp>70740.T</stp>
        <stp>売買代金</stp>
        <tr r="W823" s="7"/>
      </tp>
      <tp>
        <v>11418</v>
        <stp/>
        <stp>Market</stp>
        <stp>STOCK</stp>
        <stp>80770.T</stp>
        <stp>売買代金</stp>
        <tr r="W973" s="7"/>
      </tp>
      <tp t="s">
        <v>表示銘柄数超過</v>
        <stp/>
        <stp>Market</stp>
        <stp>STOCK</stp>
        <stp>30710.T</stp>
        <stp>売買代金</stp>
        <tr r="W237" s="7"/>
      </tp>
      <tp t="s">
        <v>表示銘柄数超過</v>
        <stp/>
        <stp>Market</stp>
        <stp>STOCK</stp>
        <stp>30700.T</stp>
        <stp>売買代金</stp>
        <tr r="W236" s="7"/>
      </tp>
      <tp>
        <v>74762</v>
        <stp/>
        <stp>Market</stp>
        <stp>STOCK</stp>
        <stp>60730.T</stp>
        <stp>売買代金</stp>
        <tr r="W648" s="7"/>
      </tp>
      <tp t="s">
        <v>表示銘柄数超過</v>
        <stp/>
        <stp>Market</stp>
        <stp>STOCK</stp>
        <stp>30690.T</stp>
        <stp>売買代金</stp>
        <tr r="W235" s="7"/>
      </tp>
      <tp>
        <v>114082</v>
        <stp/>
        <stp>Market</stp>
        <stp>STOCK</stp>
        <stp>70680.T</stp>
        <stp>売買代金</stp>
        <tr r="W822" s="7"/>
      </tp>
      <tp t="s">
        <v>表示銘柄数超過</v>
        <stp/>
        <stp>Market</stp>
        <stp>STOCK</stp>
        <stp>90640.T</stp>
        <stp>売買代金</stp>
        <tr r="W1091" s="7"/>
      </tp>
      <tp t="s">
        <v>表示銘柄数超過</v>
        <stp/>
        <stp>Market</stp>
        <stp>STOCK</stp>
        <stp>30640.T</stp>
        <stp>売買代金</stp>
        <tr r="W234" s="7"/>
      </tp>
      <tp>
        <v>14864</v>
        <stp/>
        <stp>Market</stp>
        <stp>STOCK</stp>
        <stp>70600.T</stp>
        <stp>売買代金</stp>
        <tr r="W819" s="7"/>
      </tp>
      <tp t="s">
        <v>表示銘柄数超過</v>
        <stp/>
        <stp>Market</stp>
        <stp>STOCK</stp>
        <stp>90630.T</stp>
        <stp>売買代金</stp>
        <tr r="W1090" s="7"/>
      </tp>
      <tp t="s">
        <v>表示銘柄数超過</v>
        <stp/>
        <stp>Market</stp>
        <stp>STOCK</stp>
        <stp>40630.T</stp>
        <stp>売買代金</stp>
        <tr r="W415" s="7"/>
      </tp>
      <tp>
        <v>35464</v>
        <stp/>
        <stp>Market</stp>
        <stp>STOCK</stp>
        <stp>70630.T</stp>
        <stp>売買代金</stp>
        <tr r="W821" s="7"/>
      </tp>
      <tp>
        <v>5521</v>
        <stp/>
        <stp>Market</stp>
        <stp>STOCK</stp>
        <stp>70620.T</stp>
        <stp>売買代金</stp>
        <tr r="W820" s="7"/>
      </tp>
      <tp t="s">
        <v>表示銘柄数超過</v>
        <stp/>
        <stp>Market</stp>
        <stp>STOCK</stp>
        <stp>90590.T</stp>
        <stp>売買代金</stp>
        <tr r="W1089" s="7"/>
      </tp>
      <tp t="s">
        <v>表示銘柄数超過</v>
        <stp/>
        <stp>Market</stp>
        <stp>STOCK</stp>
        <stp>40590.T</stp>
        <stp>売買代金</stp>
        <tr r="W414" s="7"/>
      </tp>
      <tp>
        <v>96757</v>
        <stp/>
        <stp>Market</stp>
        <stp>STOCK</stp>
        <stp>70590.T</stp>
        <stp>売買代金</stp>
        <tr r="W818" s="7"/>
      </tp>
      <tp>
        <v>15523</v>
        <stp/>
        <stp>Market</stp>
        <stp>STOCK</stp>
        <stp>60590.T</stp>
        <stp>売買代金</stp>
        <tr r="W647" s="7"/>
      </tp>
      <tp>
        <v>129121291</v>
        <stp/>
        <stp>Market</stp>
        <stp>STOCK</stp>
        <stp>80580.T</stp>
        <stp>売買代金</stp>
        <tr r="W972" s="7"/>
      </tp>
      <tp t="s">
        <v>表示銘柄数超過</v>
        <stp/>
        <stp>Market</stp>
        <stp>STOCK</stp>
        <stp>20550.T</stp>
        <stp>売買代金</stp>
        <tr r="W88" s="7"/>
      </tp>
      <tp>
        <v>8211</v>
        <stp/>
        <stp>Market</stp>
        <stp>STOCK</stp>
        <stp>60540.T</stp>
        <stp>売買代金</stp>
        <tr r="W646" s="7"/>
      </tp>
      <tp>
        <v>1990367</v>
        <stp/>
        <stp>Market</stp>
        <stp>STOCK</stp>
        <stp>80560.T</stp>
        <stp>売買代金</stp>
        <tr r="W971" s="7"/>
      </tp>
      <tp t="s">
        <v>表示銘柄数超過</v>
        <stp/>
        <stp>Market</stp>
        <stp>STOCK</stp>
        <stp>30500.T</stp>
        <stp>売買代金</stp>
        <tr r="W232" s="7"/>
      </tp>
      <tp>
        <v>13504010</v>
        <stp/>
        <stp>Market</stp>
        <stp>STOCK</stp>
        <stp>80530.T</stp>
        <stp>売買代金</stp>
        <tr r="W970" s="7"/>
      </tp>
      <tp t="s">
        <v>表示銘柄数超過</v>
        <stp/>
        <stp>Market</stp>
        <stp>STOCK</stp>
        <stp>30530.T</stp>
        <stp>売買代金</stp>
        <tr r="W233" s="7"/>
      </tp>
      <tp>
        <v>3382</v>
        <stp/>
        <stp>Market</stp>
        <stp>STOCK</stp>
        <stp>70490.T</stp>
        <stp>売買代金</stp>
        <tr r="W817" s="7"/>
      </tp>
      <tp>
        <v>32911</v>
        <stp/>
        <stp>Market</stp>
        <stp>STOCK</stp>
        <stp>60490.T</stp>
        <stp>売買代金</stp>
        <tr r="W645" s="7"/>
      </tp>
      <tp t="s">
        <v>表示銘柄数超過</v>
        <stp/>
        <stp>Market</stp>
        <stp>STOCK</stp>
        <stp>90480.T</stp>
        <stp>売買代金</stp>
        <tr r="W1088" s="7"/>
      </tp>
      <tp>
        <v>151537</v>
        <stp/>
        <stp>Market</stp>
        <stp>STOCK</stp>
        <stp>70480.T</stp>
        <stp>売買代金</stp>
        <tr r="W816" s="7"/>
      </tp>
      <tp>
        <v>16975</v>
        <stp/>
        <stp>Market</stp>
        <stp>STOCK</stp>
        <stp>60480.T</stp>
        <stp>売買代金</stp>
        <tr r="W644" s="7"/>
      </tp>
      <tp t="s">
        <v>表示銘柄数超過</v>
        <stp/>
        <stp>Market</stp>
        <stp>STOCK</stp>
        <stp>90440.T</stp>
        <stp>売買代金</stp>
        <tr r="W1087" s="7"/>
      </tp>
      <tp>
        <v>66224</v>
        <stp/>
        <stp>Market</stp>
        <stp>STOCK</stp>
        <stp>70440.T</stp>
        <stp>売買代金</stp>
        <tr r="W814" s="7"/>
      </tp>
      <tp>
        <v>13185</v>
        <stp/>
        <stp>Market</stp>
        <stp>STOCK</stp>
        <stp>60440.T</stp>
        <stp>売買代金</stp>
        <tr r="W641" s="7"/>
      </tp>
      <tp>
        <v>317859</v>
        <stp/>
        <stp>Market</stp>
        <stp>STOCK</stp>
        <stp>70470.T</stp>
        <stp>売買代金</stp>
        <tr r="W815" s="7"/>
      </tp>
      <tp>
        <v>561198</v>
        <stp/>
        <stp>Market</stp>
        <stp>STOCK</stp>
        <stp>60470.T</stp>
        <stp>売買代金</stp>
        <tr r="W643" s="7"/>
      </tp>
      <tp>
        <v>2253</v>
        <stp/>
        <stp>Market</stp>
        <stp>STOCK</stp>
        <stp>60460.T</stp>
        <stp>売買代金</stp>
        <tr r="W642" s="7"/>
      </tp>
      <tp t="s">
        <v>表示銘柄数超過</v>
        <stp/>
        <stp>Market</stp>
        <stp>STOCK</stp>
        <stp>90410.T</stp>
        <stp>売買代金</stp>
        <tr r="W1085" s="7"/>
      </tp>
      <tp t="s">
        <v>表示銘柄数超過</v>
        <stp/>
        <stp>Market</stp>
        <stp>STOCK</stp>
        <stp>30410.T</stp>
        <stp>売買代金</stp>
        <tr r="W231" s="7"/>
      </tp>
      <tp>
        <v>7227</v>
        <stp/>
        <stp>Market</stp>
        <stp>STOCK</stp>
        <stp>70410.T</stp>
        <stp>売買代金</stp>
        <tr r="W812" s="7"/>
      </tp>
      <tp>
        <v>101655</v>
        <stp/>
        <stp>Market</stp>
        <stp>STOCK</stp>
        <stp>70430.T</stp>
        <stp>売買代金</stp>
        <tr r="W813" s="7"/>
      </tp>
      <tp t="s">
        <v>表示銘柄数超過</v>
        <stp/>
        <stp>Market</stp>
        <stp>STOCK</stp>
        <stp>90420.T</stp>
        <stp>売買代金</stp>
        <tr r="W1086" s="7"/>
      </tp>
      <tp t="s">
        <v>表示銘柄数超過</v>
        <stp/>
        <stp>Market</stp>
        <stp>STOCK</stp>
        <stp>30380.T</stp>
        <stp>売買代金</stp>
        <tr r="W230" s="7"/>
      </tp>
      <tp>
        <v>372099</v>
        <stp/>
        <stp>Market</stp>
        <stp>STOCK</stp>
        <stp>20380.T</stp>
        <stp>売買代金</stp>
        <tr r="W87" s="7"/>
      </tp>
      <tp t="s">
        <v>表示銘柄数超過</v>
        <stp/>
        <stp>Market</stp>
        <stp>STOCK</stp>
        <stp>30350.T</stp>
        <stp>売買代金</stp>
        <tr r="W228" s="7"/>
      </tp>
      <tp>
        <v>605103</v>
        <stp/>
        <stp>Market</stp>
        <stp>STOCK</stp>
        <stp>60350.T</stp>
        <stp>売買代金</stp>
        <tr r="W640" s="7"/>
      </tp>
      <tp t="s">
        <v>表示銘柄数超過</v>
        <stp/>
        <stp>Market</stp>
        <stp>STOCK</stp>
        <stp>30340.T</stp>
        <stp>売買代金</stp>
        <tr r="W227" s="7"/>
      </tp>
      <tp>
        <v>3744</v>
        <stp/>
        <stp>Market</stp>
        <stp>STOCK</stp>
        <stp>70370.T</stp>
        <stp>売買代金</stp>
        <tr r="W811" s="7"/>
      </tp>
      <tp t="s">
        <v>表示銘柄数超過</v>
        <stp/>
        <stp>Market</stp>
        <stp>STOCK</stp>
        <stp>30360.T</stp>
        <stp>売買代金</stp>
        <tr r="W229" s="7"/>
      </tp>
      <tp>
        <v>26160435</v>
        <stp/>
        <stp>Market</stp>
        <stp>STOCK</stp>
        <stp>80310.T</stp>
        <stp>売買代金</stp>
        <tr r="W969" s="7"/>
      </tp>
      <tp t="s">
        <v>表示銘柄数超過</v>
        <stp/>
        <stp>Market</stp>
        <stp>STOCK</stp>
        <stp>30310.T</stp>
        <stp>売買代金</stp>
        <tr r="W226" s="7"/>
      </tp>
      <tp>
        <v>4508</v>
        <stp/>
        <stp>Market</stp>
        <stp>STOCK</stp>
        <stp>70310.T</stp>
        <stp>売買代金</stp>
        <tr r="W810" s="7"/>
      </tp>
      <tp>
        <v>130319</v>
        <stp/>
        <stp>Market</stp>
        <stp>STOCK</stp>
        <stp>60310.T</stp>
        <stp>売買代金</stp>
        <tr r="W639" s="7"/>
      </tp>
      <tp t="s">
        <v>表示銘柄数超過</v>
        <stp/>
        <stp>Market</stp>
        <stp>STOCK</stp>
        <stp>30300.T</stp>
        <stp>売買代金</stp>
        <tr r="W225" s="7"/>
      </tp>
      <tp t="s">
        <v>表示銘柄数超過</v>
        <stp/>
        <stp>Market</stp>
        <stp>STOCK</stp>
        <stp>90330.T</stp>
        <stp>売買代金</stp>
        <tr r="W1084" s="7"/>
      </tp>
      <tp t="s">
        <v>表示銘柄数超過</v>
        <stp/>
        <stp>Market</stp>
        <stp>STOCK</stp>
        <stp>50320.T</stp>
        <stp>売買代金</stp>
        <tr r="W565" s="7"/>
      </tp>
      <tp>
        <v>1402</v>
        <stp/>
        <stp>Market</stp>
        <stp>STOCK</stp>
        <stp>60290.T</stp>
        <stp>売買代金</stp>
        <tr r="W638" s="7"/>
      </tp>
      <tp t="s">
        <v>表示銘柄数超過</v>
        <stp/>
        <stp>Market</stp>
        <stp>STOCK</stp>
        <stp>50280.T</stp>
        <stp>売買代金</stp>
        <tr r="W564" s="7"/>
      </tp>
      <tp>
        <v>3767985</v>
        <stp/>
        <stp>Market</stp>
        <stp>STOCK</stp>
        <stp>60280.T</stp>
        <stp>売買代金</stp>
        <tr r="W637" s="7"/>
      </tp>
      <tp t="s">
        <v>表示銘柄数超過</v>
        <stp/>
        <stp>Market</stp>
        <stp>STOCK</stp>
        <stp>90240.T</stp>
        <stp>売買代金</stp>
        <tr r="W1083" s="7"/>
      </tp>
      <tp t="s">
        <v>表示銘柄数超過</v>
        <stp/>
        <stp>Market</stp>
        <stp>STOCK</stp>
        <stp>40270.T</stp>
        <stp>売買代金</stp>
        <tr r="W413" s="7"/>
      </tp>
      <tp t="s">
        <v>表示銘柄数超過</v>
        <stp/>
        <stp>Market</stp>
        <stp>STOCK</stp>
        <stp>30210.T</stp>
        <stp>売買代金</stp>
        <tr r="W224" s="7"/>
      </tp>
      <tp t="s">
        <v>表示銘柄数超過</v>
        <stp/>
        <stp>Market</stp>
        <stp>STOCK</stp>
        <stp>50210.T</stp>
        <stp>売買代金</stp>
        <tr r="W563" s="7"/>
      </tp>
      <tp t="s">
        <v>表示銘柄数超過</v>
        <stp/>
        <stp>Market</stp>
        <stp>STOCK</stp>
        <stp>90200.T</stp>
        <stp>売買代金</stp>
        <tr r="W1080" s="7"/>
        <tr r="W1081" s="7"/>
      </tp>
      <tp>
        <v>1127306</v>
        <stp/>
        <stp>Market</stp>
        <stp>STOCK</stp>
        <stp>80200.T</stp>
        <stp>売買代金</stp>
        <tr r="W968" s="7"/>
      </tp>
      <tp t="s">
        <v>表示銘柄数超過</v>
        <stp/>
        <stp>Market</stp>
        <stp>STOCK</stp>
        <stp>50200.T</stp>
        <stp>売買代金</stp>
        <tr r="W562" s="7"/>
      </tp>
      <tp>
        <v>293294</v>
        <stp/>
        <stp>Market</stp>
        <stp>STOCK</stp>
        <stp>60230.T</stp>
        <stp>売買代金</stp>
        <tr r="W636" s="7"/>
      </tp>
      <tp t="s">
        <v>表示銘柄数超過</v>
        <stp/>
        <stp>Market</stp>
        <stp>STOCK</stp>
        <stp>90220.T</stp>
        <stp>売買代金</stp>
        <tr r="W1082" s="7"/>
      </tp>
      <tp t="s">
        <v>表示銘柄数超過</v>
        <stp/>
        <stp>Market</stp>
        <stp>STOCK</stp>
        <stp>50190.T</stp>
        <stp>売買代金</stp>
        <tr r="W561" s="7"/>
      </tp>
      <tp t="s">
        <v>表示銘柄数超過</v>
        <stp/>
        <stp>Market</stp>
        <stp>STOCK</stp>
        <stp>50150.T</stp>
        <stp>売買代金</stp>
        <tr r="W559" s="7"/>
      </tp>
      <tp>
        <v>9323443</v>
        <stp/>
        <stp>Market</stp>
        <stp>STOCK</stp>
        <stp>70140.T</stp>
        <stp>売買代金</stp>
        <tr r="W809" s="7"/>
      </tp>
      <tp t="s">
        <v>表示銘柄数超過</v>
        <stp/>
        <stp>Market</stp>
        <stp>STOCK</stp>
        <stp>50170.T</stp>
        <stp>売買代金</stp>
        <tr r="W560" s="7"/>
      </tp>
      <tp>
        <v>508086</v>
        <stp/>
        <stp>Market</stp>
        <stp>STOCK</stp>
        <stp>80160.T</stp>
        <stp>売買代金</stp>
        <tr r="W967" s="7"/>
      </tp>
      <tp t="s">
        <v>表示銘柄数超過</v>
        <stp/>
        <stp>Market</stp>
        <stp>STOCK</stp>
        <stp>40160.T</stp>
        <stp>売買代金</stp>
        <tr r="W412" s="7"/>
      </tp>
      <tp t="s">
        <v>表示銘柄数超過</v>
        <stp/>
        <stp>Market</stp>
        <stp>STOCK</stp>
        <stp>40110.T</stp>
        <stp>売買代金</stp>
        <tr r="W411" s="7"/>
      </tp>
      <tp>
        <v>88378807</v>
        <stp/>
        <stp>Market</stp>
        <stp>STOCK</stp>
        <stp>70110.T</stp>
        <stp>売買代金</stp>
        <tr r="W806" s="7"/>
      </tp>
      <tp t="s">
        <v>表示銘柄数超過</v>
        <stp/>
        <stp>Market</stp>
        <stp>STOCK</stp>
        <stp>30100.T</stp>
        <stp>売買代金</stp>
        <tr r="W223" s="7"/>
      </tp>
      <tp t="s">
        <v>表示銘柄数超過</v>
        <stp/>
        <stp>Market</stp>
        <stp>STOCK</stp>
        <stp>50100.T</stp>
        <stp>売買代金</stp>
        <tr r="W558" s="7"/>
      </tp>
      <tp>
        <v>5664338</v>
        <stp/>
        <stp>Market</stp>
        <stp>STOCK</stp>
        <stp>70130.T</stp>
        <stp>売買代金</stp>
        <tr r="W808" s="7"/>
      </tp>
      <tp>
        <v>6977059</v>
        <stp/>
        <stp>Market</stp>
        <stp>STOCK</stp>
        <stp>70120.T</stp>
        <stp>売買代金</stp>
        <tr r="W807" s="7"/>
      </tp>
      <tp t="s">
        <v>表示銘柄数超過</v>
        <stp/>
        <stp>Market</stp>
        <stp>STOCK</stp>
        <stp>90090.T</stp>
        <stp>売買代金</stp>
        <tr r="W1079" s="7"/>
      </tp>
      <tp t="s">
        <v>表示銘柄数超過</v>
        <stp/>
        <stp>Market</stp>
        <stp>STOCK</stp>
        <stp>90080.T</stp>
        <stp>売買代金</stp>
        <tr r="W1078" s="7"/>
      </tp>
      <tp>
        <v>262562</v>
        <stp/>
        <stp>Market</stp>
        <stp>STOCK</stp>
        <stp>80080.T</stp>
        <stp>売買代金</stp>
        <tr r="W966" s="7"/>
      </tp>
      <tp t="s">
        <v>表示銘柄数超過</v>
        <stp/>
        <stp>Market</stp>
        <stp>STOCK</stp>
        <stp>90050.T</stp>
        <stp>売買代金</stp>
        <tr r="W1075" s="7"/>
      </tp>
      <tp>
        <v>86587</v>
        <stp/>
        <stp>Market</stp>
        <stp>STOCK</stp>
        <stp>80050.T</stp>
        <stp>売買代金</stp>
        <tr r="W965" s="7"/>
      </tp>
      <tp t="s">
        <v>表示銘柄数超過</v>
        <stp/>
        <stp>Market</stp>
        <stp>STOCK</stp>
        <stp>30040.T</stp>
        <stp>売買代金</stp>
        <tr r="W222" s="7"/>
      </tp>
      <tp t="s">
        <v>表示銘柄数超過</v>
        <stp/>
        <stp>Market</stp>
        <stp>STOCK</stp>
        <stp>40040.T</stp>
        <stp>売買代金</stp>
        <tr r="W410" s="7"/>
      </tp>
      <tp>
        <v>2213053</v>
        <stp/>
        <stp>Market</stp>
        <stp>STOCK</stp>
        <stp>70040.T</stp>
        <stp>売買代金</stp>
        <tr r="W805" s="7"/>
      </tp>
      <tp t="s">
        <v>表示銘柄数超過</v>
        <stp/>
        <stp>Market</stp>
        <stp>STOCK</stp>
        <stp>90070.T</stp>
        <stp>売買代金</stp>
        <tr r="W1077" s="7"/>
      </tp>
      <tp t="s">
        <v>表示銘柄数超過</v>
        <stp/>
        <stp>Market</stp>
        <stp>STOCK</stp>
        <stp>90060.T</stp>
        <stp>売買代金</stp>
        <tr r="W1076" s="7"/>
      </tp>
      <tp t="s">
        <v>表示銘柄数超過</v>
        <stp/>
        <stp>Market</stp>
        <stp>STOCK</stp>
        <stp>90010.T</stp>
        <stp>売買代金</stp>
        <tr r="W1073" s="7"/>
      </tp>
      <tp>
        <v>31498938</v>
        <stp/>
        <stp>Market</stp>
        <stp>STOCK</stp>
        <stp>80010.T</stp>
        <stp>売買代金</stp>
        <tr r="W964" s="7"/>
      </tp>
      <tp t="s">
        <v>表示銘柄数超過</v>
        <stp/>
        <stp>Market</stp>
        <stp>STOCK</stp>
        <stp>90030.T</stp>
        <stp>売買代金</stp>
        <tr r="W1074" s="7"/>
      </tp>
      <tp t="s">
        <v>表示銘柄数超過</v>
        <stp/>
        <stp>Market</stp>
        <stp>STOCK</stp>
        <stp>30030.T</stp>
        <stp>売買代金</stp>
        <tr r="W221" s="7"/>
      </tp>
      <tp>
        <v>6999606</v>
        <stp/>
        <stp>Market</stp>
        <stp>STOCK</stp>
        <stp>70030.T</stp>
        <stp>売買代金</stp>
        <tr r="W804" s="7"/>
      </tp>
    </main>
    <main first="rtdsrv.662c26bade854d00aebc6010f8a2e03a">
      <tp t="s">
        <v>表示銘柄数超過</v>
        <stp/>
        <stp>Market</stp>
        <stp>STOCK</stp>
        <stp>21520.T</stp>
        <stp>出来高</stp>
        <tr r="V95" s="7"/>
      </tp>
      <tp t="s">
        <v>表示銘柄数超過</v>
        <stp/>
        <stp>Market</stp>
        <stp>STOCK</stp>
        <stp>21500.T</stp>
        <stp>出来高</stp>
        <tr r="V94" s="7"/>
      </tp>
      <tp t="s">
        <v>表示銘柄数超過</v>
        <stp/>
        <stp>Market</stp>
        <stp>STOCK</stp>
        <stp>21540.T</stp>
        <stp>出来高</stp>
        <tr r="V96" s="7"/>
      </tp>
      <tp t="s">
        <v>表示銘柄数超過</v>
        <stp/>
        <stp>Market</stp>
        <stp>STOCK</stp>
        <stp>21580.T</stp>
        <stp>出来高</stp>
        <tr r="V97" s="7"/>
      </tp>
      <tp t="s">
        <v>表示銘柄数超過</v>
        <stp/>
        <stp>Market</stp>
        <stp>STOCK</stp>
        <stp>21620.T</stp>
        <stp>出来高</stp>
        <tr r="V99" s="7"/>
      </tp>
      <tp t="s">
        <v>表示銘柄数超過</v>
        <stp/>
        <stp>Market</stp>
        <stp>STOCK</stp>
        <stp>21600.T</stp>
        <stp>出来高</stp>
        <tr r="V98" s="7"/>
      </tp>
      <tp t="s">
        <v>表示銘柄数超過</v>
        <stp/>
        <stp>Market</stp>
        <stp>STOCK</stp>
        <stp>21640.T</stp>
        <stp>出来高</stp>
        <tr r="V100" s="7"/>
      </tp>
      <tp t="s">
        <v>表示銘柄数超過</v>
        <stp/>
        <stp>Market</stp>
        <stp>STOCK</stp>
        <stp>21680.T</stp>
        <stp>出来高</stp>
        <tr r="V101" s="7"/>
      </tp>
      <tp t="s">
        <v>表示銘柄数超過</v>
        <stp/>
        <stp>Market</stp>
        <stp>STOCK</stp>
        <stp>21140.T</stp>
        <stp>出来高</stp>
        <tr r="V89" s="7"/>
      </tp>
      <tp t="s">
        <v>表示銘柄数超過</v>
        <stp/>
        <stp>Market</stp>
        <stp>STOCK</stp>
        <stp>21340.T</stp>
        <stp>出来高</stp>
        <tr r="V92" s="7"/>
      </tp>
      <tp t="s">
        <v>表示銘柄数超過</v>
        <stp/>
        <stp>Market</stp>
        <stp>STOCK</stp>
        <stp>21380.T</stp>
        <stp>出来高</stp>
        <tr r="V93" s="7"/>
      </tp>
      <tp t="s">
        <v>表示銘柄数超過</v>
        <stp/>
        <stp>Market</stp>
        <stp>STOCK</stp>
        <stp>21200.T</stp>
        <stp>出来高</stp>
        <tr r="V90" s="7"/>
      </tp>
      <tp t="s">
        <v>表示銘柄数超過</v>
        <stp/>
        <stp>Market</stp>
        <stp>STOCK</stp>
        <stp>21270.T</stp>
        <stp>出来高</stp>
        <tr r="V91" s="7"/>
      </tp>
      <tp t="s">
        <v>表示銘柄数超過</v>
        <stp/>
        <stp>Market</stp>
        <stp>STOCK</stp>
        <stp>21980.T</stp>
        <stp>出来高</stp>
        <tr r="V102" s="7"/>
      </tp>
      <tp t="s">
        <v>表示銘柄数超過</v>
        <stp/>
        <stp>Market</stp>
        <stp>STOCK</stp>
        <stp>20550.T</stp>
        <stp>出来高</stp>
        <tr r="V88" s="7"/>
      </tp>
      <tp>
        <v>214042</v>
        <stp/>
        <stp>Market</stp>
        <stp>STOCK</stp>
        <stp>20380.T</stp>
        <stp>出来高</stp>
        <tr r="V87" s="7"/>
      </tp>
      <tp t="s">
        <v>表示銘柄数超過</v>
        <stp/>
        <stp>Market</stp>
        <stp>STOCK</stp>
        <stp>23530.T</stp>
        <stp>出来高</stp>
        <tr r="V124" s="7"/>
      </tp>
      <tp t="s">
        <v>表示銘柄数超過</v>
        <stp/>
        <stp>Market</stp>
        <stp>STOCK</stp>
        <stp>23510.T</stp>
        <stp>出来高</stp>
        <tr r="V123" s="7"/>
      </tp>
      <tp t="s">
        <v>表示銘柄数超過</v>
        <stp/>
        <stp>Market</stp>
        <stp>STOCK</stp>
        <stp>23540.T</stp>
        <stp>出来高</stp>
        <tr r="V125" s="7"/>
      </tp>
      <tp t="s">
        <v>表示銘柄数超過</v>
        <stp/>
        <stp>Market</stp>
        <stp>STOCK</stp>
        <stp>23400.T</stp>
        <stp>出来高</stp>
        <tr r="V119" s="7"/>
      </tp>
      <tp t="s">
        <v>表示銘柄数超過</v>
        <stp/>
        <stp>Market</stp>
        <stp>STOCK</stp>
        <stp>23410.T</stp>
        <stp>出来高</stp>
        <tr r="V120" s="7"/>
      </tp>
      <tp t="s">
        <v>表示銘柄数超過</v>
        <stp/>
        <stp>Market</stp>
        <stp>STOCK</stp>
        <stp>23440.T</stp>
        <stp>出来高</stp>
        <tr r="V121" s="7"/>
      </tp>
      <tp t="s">
        <v>表示銘柄数超過</v>
        <stp/>
        <stp>Market</stp>
        <stp>STOCK</stp>
        <stp>23450.T</stp>
        <stp>出来高</stp>
        <tr r="V122" s="7"/>
      </tp>
      <tp t="s">
        <v>表示銘柄数超過</v>
        <stp/>
        <stp>Market</stp>
        <stp>STOCK</stp>
        <stp>23730.T</stp>
        <stp>出来高</stp>
        <tr r="V127" s="7"/>
      </tp>
      <tp t="s">
        <v>表示銘柄数超過</v>
        <stp/>
        <stp>Market</stp>
        <stp>STOCK</stp>
        <stp>23700.T</stp>
        <stp>出来高</stp>
        <tr r="V126" s="7"/>
      </tp>
      <tp t="s">
        <v>表示銘柄数超過</v>
        <stp/>
        <stp>Market</stp>
        <stp>STOCK</stp>
        <stp>23760.T</stp>
        <stp>出来高</stp>
        <tr r="V129" s="7"/>
      </tp>
      <tp t="s">
        <v>表示銘柄数超過</v>
        <stp/>
        <stp>Market</stp>
        <stp>STOCK</stp>
        <stp>23750.T</stp>
        <stp>出来高</stp>
        <tr r="V128" s="7"/>
      </tp>
      <tp t="s">
        <v>表示銘柄数超過</v>
        <stp/>
        <stp>Market</stp>
        <stp>STOCK</stp>
        <stp>23780.T</stp>
        <stp>出来高</stp>
        <tr r="V130" s="7"/>
      </tp>
      <tp t="s">
        <v>表示銘柄数超過</v>
        <stp/>
        <stp>Market</stp>
        <stp>STOCK</stp>
        <stp>23170.T</stp>
        <stp>出来高</stp>
        <tr r="V114" s="7"/>
      </tp>
      <tp>
        <v>815100</v>
        <stp/>
        <stp>Market</stp>
        <stp>STOCK</stp>
        <stp>23150.T</stp>
        <stp>出来高</stp>
        <tr r="V113" s="7"/>
      </tp>
      <tp t="s">
        <v>表示銘柄数超過</v>
        <stp/>
        <stp>Market</stp>
        <stp>STOCK</stp>
        <stp>23040.T</stp>
        <stp>出来高</stp>
        <tr r="V111" s="7"/>
      </tp>
      <tp t="s">
        <v>表示銘柄数超過</v>
        <stp/>
        <stp>Market</stp>
        <stp>STOCK</stp>
        <stp>23050.T</stp>
        <stp>出来高</stp>
        <tr r="V112" s="7"/>
      </tp>
      <tp t="s">
        <v>表示銘柄数超過</v>
        <stp/>
        <stp>Market</stp>
        <stp>STOCK</stp>
        <stp>23300.T</stp>
        <stp>出来高</stp>
        <tr r="V117" s="7"/>
      </tp>
      <tp t="s">
        <v>表示銘柄数超過</v>
        <stp/>
        <stp>Market</stp>
        <stp>STOCK</stp>
        <stp>23370.T</stp>
        <stp>出来高</stp>
        <tr r="V118" s="7"/>
      </tp>
      <tp t="s">
        <v>表示銘柄数超過</v>
        <stp/>
        <stp>Market</stp>
        <stp>STOCK</stp>
        <stp>23230.T</stp>
        <stp>出来高</stp>
        <tr r="V116" s="7"/>
      </tp>
      <tp t="s">
        <v>表示銘柄数超過</v>
        <stp/>
        <stp>Market</stp>
        <stp>STOCK</stp>
        <stp>23210.T</stp>
        <stp>出来高</stp>
        <tr r="V115" s="7"/>
      </tp>
      <tp t="s">
        <v>表示銘柄数超過</v>
        <stp/>
        <stp>Market</stp>
        <stp>STOCK</stp>
        <stp>23880.T</stp>
        <stp>出来高</stp>
        <tr r="V131" s="7"/>
      </tp>
      <tp t="s">
        <v>表示銘柄数超過</v>
        <stp/>
        <stp>Market</stp>
        <stp>STOCK</stp>
        <stp>22530.T</stp>
        <stp>出来高</stp>
        <tr r="V110" s="7"/>
      </tp>
      <tp t="s">
        <v>表示銘柄数超過</v>
        <stp/>
        <stp>Market</stp>
        <stp>STOCK</stp>
        <stp>22500.T</stp>
        <stp>出来高</stp>
        <tr r="V109" s="7"/>
      </tp>
      <tp t="s">
        <v>表示銘柄数超過</v>
        <stp/>
        <stp>Market</stp>
        <stp>STOCK</stp>
        <stp>22420.T</stp>
        <stp>出来高</stp>
        <tr r="V108" s="7"/>
      </tp>
      <tp t="s">
        <v>表示銘柄数超過</v>
        <stp/>
        <stp>Market</stp>
        <stp>STOCK</stp>
        <stp>22410.T</stp>
        <stp>出来高</stp>
        <tr r="V107" s="7"/>
      </tp>
      <tp t="s">
        <v>表示銘柄数超過</v>
        <stp/>
        <stp>Market</stp>
        <stp>STOCK</stp>
        <stp>22160.T</stp>
        <stp>出来高</stp>
        <tr r="V104" s="7"/>
      </tp>
      <tp t="s">
        <v>表示銘柄数超過</v>
        <stp/>
        <stp>Market</stp>
        <stp>STOCK</stp>
        <stp>22060.T</stp>
        <stp>出来高</stp>
        <tr r="V103" s="7"/>
      </tp>
      <tp t="s">
        <v>表示銘柄数超過</v>
        <stp/>
        <stp>Market</stp>
        <stp>STOCK</stp>
        <stp>22360.T</stp>
        <stp>出来高</stp>
        <tr r="V106" s="7"/>
      </tp>
      <tp t="s">
        <v>表示銘柄数超過</v>
        <stp/>
        <stp>Market</stp>
        <stp>STOCK</stp>
        <stp>22350.T</stp>
        <stp>出来高</stp>
        <tr r="V105" s="7"/>
      </tp>
      <tp t="s">
        <v>表示銘柄数超過</v>
        <stp/>
        <stp>Market</stp>
        <stp>STOCK</stp>
        <stp>25790.T</stp>
        <stp>出来高</stp>
        <tr r="V163" s="7"/>
      </tp>
      <tp t="s">
        <v>表示銘柄数超過</v>
        <stp/>
        <stp>Market</stp>
        <stp>STOCK</stp>
        <stp>25630.T</stp>
        <stp>出来高</stp>
        <tr r="V161" s="7"/>
      </tp>
      <tp t="s">
        <v>表示銘柄数超過</v>
        <stp/>
        <stp>Market</stp>
        <stp>STOCK</stp>
        <stp>25670.T</stp>
        <stp>出来高</stp>
        <tr r="V162" s="7"/>
      </tp>
      <tp t="s">
        <v>表示銘柄数超過</v>
        <stp/>
        <stp>Market</stp>
        <stp>STOCK</stp>
        <stp>25100.T</stp>
        <stp>出来高</stp>
        <tr r="V157" s="7"/>
      </tp>
      <tp t="s">
        <v>表示銘柄数超過</v>
        <stp/>
        <stp>Market</stp>
        <stp>STOCK</stp>
        <stp>25160.T</stp>
        <stp>出来高</stp>
        <tr r="V158" s="7"/>
      </tp>
      <tp t="s">
        <v>表示銘柄数超過</v>
        <stp/>
        <stp>Market</stp>
        <stp>STOCK</stp>
        <stp>25180.T</stp>
        <stp>出来高</stp>
        <tr r="V159" s="7"/>
      </tp>
      <tp t="s">
        <v>表示銘柄数超過</v>
        <stp/>
        <stp>Market</stp>
        <stp>STOCK</stp>
        <stp>25010.T</stp>
        <stp>出来高</stp>
        <tr r="V156" s="7"/>
      </tp>
      <tp t="s">
        <v>表示銘柄数超過</v>
        <stp/>
        <stp>Market</stp>
        <stp>STOCK</stp>
        <stp>25330.T</stp>
        <stp>出来高</stp>
        <tr r="V160" s="7"/>
      </tp>
      <tp t="s">
        <v>表示銘柄数超過</v>
        <stp/>
        <stp>Market</stp>
        <stp>STOCK</stp>
        <stp>25970.T</stp>
        <stp>出来高</stp>
        <tr r="V168" s="7"/>
      </tp>
      <tp t="s">
        <v>表示銘柄数超過</v>
        <stp/>
        <stp>Market</stp>
        <stp>STOCK</stp>
        <stp>25860.T</stp>
        <stp>出来高</stp>
        <tr r="V165" s="7"/>
      </tp>
      <tp t="s">
        <v>表示銘柄数超過</v>
        <stp/>
        <stp>Market</stp>
        <stp>STOCK</stp>
        <stp>25870.T</stp>
        <stp>出来高</stp>
        <tr r="V166" s="7"/>
      </tp>
      <tp t="s">
        <v>表示銘柄数超過</v>
        <stp/>
        <stp>Market</stp>
        <stp>STOCK</stp>
        <stp>25850.T</stp>
        <stp>出来高</stp>
        <tr r="V164" s="7"/>
      </tp>
      <tp t="s">
        <v>表示銘柄数超過</v>
        <stp/>
        <stp>Market</stp>
        <stp>STOCK</stp>
        <stp>24530.T</stp>
        <stp>出来高</stp>
        <tr r="V146" s="7"/>
      </tp>
      <tp t="s">
        <v>表示銘柄数超過</v>
        <stp/>
        <stp>Market</stp>
        <stp>STOCK</stp>
        <stp>24450.T</stp>
        <stp>出来高</stp>
        <tr r="V145" s="7"/>
      </tp>
      <tp t="s">
        <v>表示銘柄数超過</v>
        <stp/>
        <stp>Market</stp>
        <stp>STOCK</stp>
        <stp>24710.T</stp>
        <stp>出来高</stp>
        <tr r="V149" s="7"/>
      </tp>
      <tp t="s">
        <v>表示銘柄数超過</v>
        <stp/>
        <stp>Market</stp>
        <stp>STOCK</stp>
        <stp>24790.T</stp>
        <stp>出来高</stp>
        <tr r="V150" s="7"/>
      </tp>
      <tp t="s">
        <v>表示銘柄数超過</v>
        <stp/>
        <stp>Market</stp>
        <stp>STOCK</stp>
        <stp>24610.T</stp>
        <stp>出来高</stp>
        <tr r="V147" s="7"/>
      </tp>
      <tp t="s">
        <v>表示銘柄数超過</v>
        <stp/>
        <stp>Market</stp>
        <stp>STOCK</stp>
        <stp>24680.T</stp>
        <stp>出来高</stp>
        <tr r="V148" s="7"/>
      </tp>
      <tp t="s">
        <v>表示銘柄数超過</v>
        <stp/>
        <stp>Market</stp>
        <stp>STOCK</stp>
        <stp>24120.T</stp>
        <stp>出来高</stp>
        <tr r="V137" s="7"/>
      </tp>
      <tp t="s">
        <v>表示銘柄数超過</v>
        <stp/>
        <stp>Market</stp>
        <stp>STOCK</stp>
        <stp>24100.T</stp>
        <stp>出来高</stp>
        <tr r="V135" s="7"/>
      </tp>
      <tp t="s">
        <v>表示銘柄数超過</v>
        <stp/>
        <stp>Market</stp>
        <stp>STOCK</stp>
        <stp>24110.T</stp>
        <stp>出来高</stp>
        <tr r="V136" s="7"/>
      </tp>
      <tp t="s">
        <v>表示銘柄数超過</v>
        <stp/>
        <stp>Market</stp>
        <stp>STOCK</stp>
        <stp>24150.T</stp>
        <stp>出来高</stp>
        <tr r="V138" s="7"/>
      </tp>
      <tp t="s">
        <v>表示銘柄数超過</v>
        <stp/>
        <stp>Market</stp>
        <stp>STOCK</stp>
        <stp>24020.T</stp>
        <stp>出来高</stp>
        <tr r="V132" s="7"/>
      </tp>
      <tp t="s">
        <v>表示銘柄数超過</v>
        <stp/>
        <stp>Market</stp>
        <stp>STOCK</stp>
        <stp>24040.T</stp>
        <stp>出来高</stp>
        <tr r="V133" s="7"/>
      </tp>
      <tp t="s">
        <v>表示銘柄数超過</v>
        <stp/>
        <stp>Market</stp>
        <stp>STOCK</stp>
        <stp>24080.T</stp>
        <stp>出来高</stp>
        <tr r="V134" s="7"/>
      </tp>
      <tp t="s">
        <v>表示銘柄数超過</v>
        <stp/>
        <stp>Market</stp>
        <stp>STOCK</stp>
        <stp>24320.T</stp>
        <stp>出来高</stp>
        <tr r="V140" s="7"/>
      </tp>
      <tp t="s">
        <v>表示銘柄数超過</v>
        <stp/>
        <stp>Market</stp>
        <stp>STOCK</stp>
        <stp>24330.T</stp>
        <stp>出来高</stp>
        <tr r="V141" s="7"/>
      </tp>
      <tp t="s">
        <v>表示銘柄数超過</v>
        <stp/>
        <stp>Market</stp>
        <stp>STOCK</stp>
        <stp>24370.T</stp>
        <stp>出来高</stp>
        <tr r="V143" s="7"/>
      </tp>
      <tp t="s">
        <v>表示銘柄数超過</v>
        <stp/>
        <stp>Market</stp>
        <stp>STOCK</stp>
        <stp>24350.T</stp>
        <stp>出来高</stp>
        <tr r="V142" s="7"/>
      </tp>
      <tp t="s">
        <v>表示銘柄数超過</v>
        <stp/>
        <stp>Market</stp>
        <stp>STOCK</stp>
        <stp>24380.T</stp>
        <stp>出来高</stp>
        <tr r="V144" s="7"/>
      </tp>
      <tp t="s">
        <v>表示銘柄数超過</v>
        <stp/>
        <stp>Market</stp>
        <stp>STOCK</stp>
        <stp>24290.T</stp>
        <stp>出来高</stp>
        <tr r="V139" s="7"/>
      </tp>
      <tp t="s">
        <v>表示銘柄数超過</v>
        <stp/>
        <stp>Market</stp>
        <stp>STOCK</stp>
        <stp>24920.T</stp>
        <stp>出来高</stp>
        <tr r="V154" s="7"/>
      </tp>
      <tp t="s">
        <v>表示銘柄数超過</v>
        <stp/>
        <stp>Market</stp>
        <stp>STOCK</stp>
        <stp>24970.T</stp>
        <stp>出来高</stp>
        <tr r="V155" s="7"/>
      </tp>
      <tp t="s">
        <v>表示銘柄数超過</v>
        <stp/>
        <stp>Market</stp>
        <stp>STOCK</stp>
        <stp>24830.T</stp>
        <stp>出来高</stp>
        <tr r="V151" s="7"/>
      </tp>
      <tp t="s">
        <v>表示銘柄数超過</v>
        <stp/>
        <stp>Market</stp>
        <stp>STOCK</stp>
        <stp>24840.T</stp>
        <stp>出来高</stp>
        <tr r="V152" s="7"/>
      </tp>
      <tp t="s">
        <v>表示銘柄数超過</v>
        <stp/>
        <stp>Market</stp>
        <stp>STOCK</stp>
        <stp>24880.T</stp>
        <stp>出来高</stp>
        <tr r="V153" s="7"/>
      </tp>
      <tp t="s">
        <v>表示銘柄数超過</v>
        <stp/>
        <stp>Market</stp>
        <stp>STOCK</stp>
        <stp>27430.T</stp>
        <stp>出来高</stp>
        <tr r="V191" s="7"/>
      </tp>
      <tp t="s">
        <v>表示銘柄数超過</v>
        <stp/>
        <stp>Market</stp>
        <stp>STOCK</stp>
        <stp>27490.T</stp>
        <stp>出来高</stp>
        <tr r="V192" s="7"/>
      </tp>
      <tp t="s">
        <v>表示銘柄数超過</v>
        <stp/>
        <stp>Market</stp>
        <stp>STOCK</stp>
        <stp>27760.T</stp>
        <stp>出来高</stp>
        <tr r="V197" s="7"/>
      </tp>
      <tp t="s">
        <v>表示銘柄数超過</v>
        <stp/>
        <stp>Market</stp>
        <stp>STOCK</stp>
        <stp>27780.T</stp>
        <stp>出来高</stp>
        <tr r="V198" s="7"/>
      </tp>
      <tp t="s">
        <v>表示銘柄数超過</v>
        <stp/>
        <stp>Market</stp>
        <stp>STOCK</stp>
        <stp>27620.T</stp>
        <stp>出来高</stp>
        <tr r="V193" s="7"/>
      </tp>
      <tp t="s">
        <v>表示銘柄数超過</v>
        <stp/>
        <stp>Market</stp>
        <stp>STOCK</stp>
        <stp>27670.T</stp>
        <stp>出来高</stp>
        <tr r="V195" s="7"/>
      </tp>
      <tp t="s">
        <v>表示銘柄数超過</v>
        <stp/>
        <stp>Market</stp>
        <stp>STOCK</stp>
        <stp>27640.T</stp>
        <stp>出来高</stp>
        <tr r="V194" s="7"/>
      </tp>
      <tp t="s">
        <v>表示銘柄数超過</v>
        <stp/>
        <stp>Market</stp>
        <stp>STOCK</stp>
        <stp>27680.T</stp>
        <stp>出来高</stp>
        <tr r="V196" s="7"/>
      </tp>
      <tp t="s">
        <v>表示銘柄数超過</v>
        <stp/>
        <stp>Market</stp>
        <stp>STOCK</stp>
        <stp>27020.T</stp>
        <stp>出来高</stp>
        <tr r="V186" s="7"/>
      </tp>
      <tp t="s">
        <v>表示銘柄数超過</v>
        <stp/>
        <stp>Market</stp>
        <stp>STOCK</stp>
        <stp>27340.T</stp>
        <stp>出来高</stp>
        <tr r="V189" s="7"/>
      </tp>
      <tp t="s">
        <v>表示銘柄数超過</v>
        <stp/>
        <stp>Market</stp>
        <stp>STOCK</stp>
        <stp>27350.T</stp>
        <stp>出来高</stp>
        <tr r="V190" s="7"/>
      </tp>
      <tp t="s">
        <v>表示銘柄数超過</v>
        <stp/>
        <stp>Market</stp>
        <stp>STOCK</stp>
        <stp>27220.T</stp>
        <stp>出来高</stp>
        <tr r="V188" s="7"/>
      </tp>
      <tp t="s">
        <v>表示銘柄数超過</v>
        <stp/>
        <stp>Market</stp>
        <stp>STOCK</stp>
        <stp>27210.T</stp>
        <stp>出来高</stp>
        <tr r="V187" s="7"/>
      </tp>
      <tp t="s">
        <v>表示銘柄数超過</v>
        <stp/>
        <stp>Market</stp>
        <stp>STOCK</stp>
        <stp>27900.T</stp>
        <stp>出来高</stp>
        <tr r="V200" s="7"/>
      </tp>
      <tp t="s">
        <v>表示銘柄数超過</v>
        <stp/>
        <stp>Market</stp>
        <stp>STOCK</stp>
        <stp>27820.T</stp>
        <stp>出来高</stp>
        <tr r="V199" s="7"/>
      </tp>
      <tp t="s">
        <v>表示銘柄数超過</v>
        <stp/>
        <stp>Market</stp>
        <stp>STOCK</stp>
        <stp>26510.T</stp>
        <stp>出来高</stp>
        <tr r="V175" s="7"/>
      </tp>
      <tp t="s">
        <v>表示銘柄数超過</v>
        <stp/>
        <stp>Market</stp>
        <stp>STOCK</stp>
        <stp>26560.T</stp>
        <stp>出来高</stp>
        <tr r="V176" s="7"/>
      </tp>
      <tp t="s">
        <v>表示銘柄数超過</v>
        <stp/>
        <stp>Market</stp>
        <stp>STOCK</stp>
        <stp>26740.T</stp>
        <stp>出来高</stp>
        <tr r="V179" s="7"/>
      </tp>
      <tp t="s">
        <v>表示銘柄数超過</v>
        <stp/>
        <stp>Market</stp>
        <stp>STOCK</stp>
        <stp>26660.T</stp>
        <stp>出来高</stp>
        <tr r="V177" s="7"/>
      </tp>
      <tp t="s">
        <v>表示銘柄数超過</v>
        <stp/>
        <stp>Market</stp>
        <stp>STOCK</stp>
        <stp>26670.T</stp>
        <stp>出来高</stp>
        <tr r="V178" s="7"/>
      </tp>
      <tp t="s">
        <v>表示銘柄数超過</v>
        <stp/>
        <stp>Market</stp>
        <stp>STOCK</stp>
        <stp>26330.T</stp>
        <stp>出来高</stp>
        <tr r="V172" s="7"/>
      </tp>
      <tp t="s">
        <v>表示銘柄数超過</v>
        <stp/>
        <stp>Market</stp>
        <stp>STOCK</stp>
        <stp>26340.T</stp>
        <stp>出来高</stp>
        <tr r="V173" s="7"/>
      </tp>
      <tp t="s">
        <v>表示銘柄数超過</v>
        <stp/>
        <stp>Market</stp>
        <stp>STOCK</stp>
        <stp>26350.T</stp>
        <stp>出来高</stp>
        <tr r="V174" s="7"/>
      </tp>
      <tp t="s">
        <v>表示銘柄数超過</v>
        <stp/>
        <stp>Market</stp>
        <stp>STOCK</stp>
        <stp>26200.T</stp>
        <stp>出来高</stp>
        <tr r="V169" s="7"/>
      </tp>
      <tp t="s">
        <v>表示銘柄数超過</v>
        <stp/>
        <stp>Market</stp>
        <stp>STOCK</stp>
        <stp>26210.T</stp>
        <stp>出来高</stp>
        <tr r="V170" s="7"/>
      </tp>
      <tp t="s">
        <v>表示銘柄数超過</v>
        <stp/>
        <stp>Market</stp>
        <stp>STOCK</stp>
        <stp>26240.T</stp>
        <stp>出来高</stp>
        <tr r="V171" s="7"/>
      </tp>
      <tp t="s">
        <v>表示銘柄数超過</v>
        <stp/>
        <stp>Market</stp>
        <stp>STOCK</stp>
        <stp>26930.T</stp>
        <stp>出来高</stp>
        <tr r="V183" s="7"/>
      </tp>
      <tp t="s">
        <v>表示銘柄数超過</v>
        <stp/>
        <stp>Market</stp>
        <stp>STOCK</stp>
        <stp>26940.T</stp>
        <stp>出来高</stp>
        <tr r="V184" s="7"/>
      </tp>
      <tp t="s">
        <v>表示銘柄数超過</v>
        <stp/>
        <stp>Market</stp>
        <stp>STOCK</stp>
        <stp>26980.T</stp>
        <stp>出来高</stp>
        <tr r="V185" s="7"/>
      </tp>
      <tp t="s">
        <v>表示銘柄数超過</v>
        <stp/>
        <stp>Market</stp>
        <stp>STOCK</stp>
        <stp>26810.T</stp>
        <stp>出来高</stp>
        <tr r="V180" s="7"/>
      </tp>
      <tp t="s">
        <v>表示銘柄数超過</v>
        <stp/>
        <stp>Market</stp>
        <stp>STOCK</stp>
        <stp>26860.T</stp>
        <stp>出来高</stp>
        <tr r="V182" s="7"/>
      </tp>
      <tp t="s">
        <v>表示銘柄数超過</v>
        <stp/>
        <stp>Market</stp>
        <stp>STOCK</stp>
        <stp>26850.T</stp>
        <stp>出来高</stp>
        <tr r="V181" s="7"/>
      </tp>
      <tp>
        <v>4399200</v>
        <stp/>
        <stp>Market</stp>
        <stp>STOCK</stp>
        <stp>29140.T</stp>
        <stp>出来高</stp>
        <tr r="V214" s="7"/>
      </tp>
      <tp t="s">
        <v>表示銘柄数超過</v>
        <stp/>
        <stp>Market</stp>
        <stp>STOCK</stp>
        <stp>29010.T</stp>
        <stp>出来高</stp>
        <tr r="V213" s="7"/>
      </tp>
      <tp t="s">
        <v>表示銘柄数超過</v>
        <stp/>
        <stp>Market</stp>
        <stp>STOCK</stp>
        <stp>29300.T</stp>
        <stp>出来高</stp>
        <tr r="V216" s="7"/>
      </tp>
      <tp t="s">
        <v>表示銘柄数超過</v>
        <stp/>
        <stp>Market</stp>
        <stp>STOCK</stp>
        <stp>29260.T</stp>
        <stp>出来高</stp>
        <tr r="V215" s="7"/>
      </tp>
      <tp t="s">
        <v>表示銘柄数超過</v>
        <stp/>
        <stp>Market</stp>
        <stp>STOCK</stp>
        <stp>29930.T</stp>
        <stp>出来高</stp>
        <tr r="V219" s="7"/>
      </tp>
      <tp t="s">
        <v>表示銘柄数超過</v>
        <stp/>
        <stp>Market</stp>
        <stp>STOCK</stp>
        <stp>29970.T</stp>
        <stp>出来高</stp>
        <tr r="V220" s="7"/>
      </tp>
      <tp t="s">
        <v>表示銘柄数超過</v>
        <stp/>
        <stp>Market</stp>
        <stp>STOCK</stp>
        <stp>29820.T</stp>
        <stp>出来高</stp>
        <tr r="V217" s="7"/>
      </tp>
      <tp t="s">
        <v>表示銘柄数超過</v>
        <stp/>
        <stp>Market</stp>
        <stp>STOCK</stp>
        <stp>29870.T</stp>
        <stp>出来高</stp>
        <tr r="V218" s="7"/>
      </tp>
      <tp t="s">
        <v>表示銘柄数超過</v>
        <stp/>
        <stp>Market</stp>
        <stp>STOCK</stp>
        <stp>28520.T</stp>
        <stp>出来高</stp>
        <tr r="V204" s="7"/>
      </tp>
      <tp t="s">
        <v>表示銘柄数超過</v>
        <stp/>
        <stp>Market</stp>
        <stp>STOCK</stp>
        <stp>28530.T</stp>
        <stp>出来高</stp>
        <tr r="V205" s="7"/>
      </tp>
      <tp t="s">
        <v>表示銘柄数超過</v>
        <stp/>
        <stp>Market</stp>
        <stp>STOCK</stp>
        <stp>28510.T</stp>
        <stp>出来高</stp>
        <tr r="V203" s="7"/>
      </tp>
      <tp t="s">
        <v>表示銘柄数超過</v>
        <stp/>
        <stp>Market</stp>
        <stp>STOCK</stp>
        <stp>28560.T</stp>
        <stp>出来高</stp>
        <tr r="V206" s="7"/>
      </tp>
      <tp t="s">
        <v>表示銘柄数超過</v>
        <stp/>
        <stp>Market</stp>
        <stp>STOCK</stp>
        <stp>28570.T</stp>
        <stp>出来高</stp>
        <tr r="V207" s="7"/>
      </tp>
      <tp t="s">
        <v>表示銘柄数超過</v>
        <stp/>
        <stp>Market</stp>
        <stp>STOCK</stp>
        <stp>28580.T</stp>
        <stp>出来高</stp>
        <tr r="V208" s="7"/>
      </tp>
      <tp t="s">
        <v>表示銘柄数超過</v>
        <stp/>
        <stp>Market</stp>
        <stp>STOCK</stp>
        <stp>28450.T</stp>
        <stp>出来高</stp>
        <tr r="V202" s="7"/>
      </tp>
      <tp t="s">
        <v>表示銘柄数超過</v>
        <stp/>
        <stp>Market</stp>
        <stp>STOCK</stp>
        <stp>28750.T</stp>
        <stp>出来高</stp>
        <tr r="V211" s="7"/>
      </tp>
      <tp t="s">
        <v>表示銘柄数超過</v>
        <stp/>
        <stp>Market</stp>
        <stp>STOCK</stp>
        <stp>28650.T</stp>
        <stp>出来高</stp>
        <tr r="V209" s="7"/>
      </tp>
      <tp t="s">
        <v>表示銘柄数超過</v>
        <stp/>
        <stp>Market</stp>
        <stp>STOCK</stp>
        <stp>28680.T</stp>
        <stp>出来高</stp>
        <tr r="V210" s="7"/>
      </tp>
      <tp t="s">
        <v>表示銘柄数超過</v>
        <stp/>
        <stp>Market</stp>
        <stp>STOCK</stp>
        <stp>28100.T</stp>
        <stp>出来高</stp>
        <tr r="V201" s="7"/>
      </tp>
      <tp t="s">
        <v>表示銘柄数超過</v>
        <stp/>
        <stp>Market</stp>
        <stp>STOCK</stp>
        <stp>28940.T</stp>
        <stp>出来高</stp>
        <tr r="V212" s="7"/>
      </tp>
      <tp t="s">
        <v>表示銘柄数超過</v>
        <stp/>
        <stp>Market</stp>
        <stp>STOCK</stp>
        <stp>98900.T</stp>
        <stp>高値</stp>
        <tr r="N1177" s="7"/>
      </tp>
      <tp t="s">
        <v>表示銘柄数超過</v>
        <stp/>
        <stp>Market</stp>
        <stp>STOCK</stp>
        <stp>99900.T</stp>
        <stp>高値</stp>
        <tr r="N1190" s="7"/>
      </tp>
      <tp t="s">
        <v>表示銘柄数超過</v>
        <stp/>
        <stp>Market</stp>
        <stp>STOCK</stp>
        <stp>99800.T</stp>
        <stp>高値</stp>
        <tr r="N1187" s="7"/>
      </tp>
      <tp t="s">
        <v>表示銘柄数超過</v>
        <stp/>
        <stp>Market</stp>
        <stp>STOCK</stp>
        <stp>99300.T</stp>
        <stp>高値</stp>
        <tr r="N1183" s="7"/>
      </tp>
      <tp t="s">
        <v>表示銘柄数超過</v>
        <stp/>
        <stp>Market</stp>
        <stp>STOCK</stp>
        <stp>92700.T</stp>
        <stp>高値</stp>
        <tr r="N1105" s="7"/>
      </tp>
      <tp t="s">
        <v>表示銘柄数超過</v>
        <stp/>
        <stp>Market</stp>
        <stp>STOCK</stp>
        <stp>93800.T</stp>
        <stp>高値</stp>
        <tr r="N1112" s="7"/>
      </tp>
      <tp t="s">
        <v>表示銘柄数超過</v>
        <stp/>
        <stp>Market</stp>
        <stp>STOCK</stp>
        <stp>90900.T</stp>
        <stp>高値</stp>
        <tr r="N1092" s="7"/>
      </tp>
      <tp t="s">
        <v>表示銘柄数超過</v>
        <stp/>
        <stp>Market</stp>
        <stp>STOCK</stp>
        <stp>90200.T</stp>
        <stp>高値</stp>
        <tr r="N1080" s="7"/>
        <tr r="N1081" s="7"/>
      </tp>
      <tp t="s">
        <v>表示銘柄数超過</v>
        <stp/>
        <stp>Market</stp>
        <stp>STOCK</stp>
        <stp>96100.T</stp>
        <stp>高値</stp>
        <tr r="N1159" s="7"/>
      </tp>
      <tp t="s">
        <v>表示銘柄数超過</v>
        <stp/>
        <stp>Market</stp>
        <stp>STOCK</stp>
        <stp>97600.T</stp>
        <stp>高値</stp>
        <tr r="N1164" s="7"/>
      </tp>
      <tp t="s">
        <v>表示銘柄数超過</v>
        <stp/>
        <stp>Market</stp>
        <stp>STOCK</stp>
        <stp>94500.T</stp>
        <stp>高値</stp>
        <tr r="N1133" s="7"/>
      </tp>
      <tp t="s">
        <v>表示銘柄数超過</v>
        <stp/>
        <stp>Market</stp>
        <stp>STOCK</stp>
        <stp>94700.T</stp>
        <stp>高値</stp>
        <tr r="N1135" s="7"/>
      </tp>
      <tp t="s">
        <v>表示銘柄数超過</v>
        <stp/>
        <stp>Market</stp>
        <stp>STOCK</stp>
        <stp>95600.T</stp>
        <stp>高値</stp>
        <tr r="N1157" s="7"/>
      </tp>
      <tp t="s">
        <v>表示銘柄数超過</v>
        <stp/>
        <stp>Market</stp>
        <stp>STOCK</stp>
        <stp>88300.T</stp>
        <stp>高値</stp>
        <tr r="N1054" s="7"/>
      </tp>
      <tp>
        <v>367</v>
        <stp/>
        <stp>Market</stp>
        <stp>STOCK</stp>
        <stp>82300.T</stp>
        <stp>高値</stp>
        <tr r="N994" s="7"/>
      </tp>
      <tp>
        <v>2355</v>
        <stp/>
        <stp>Market</stp>
        <stp>STOCK</stp>
        <stp>80200.T</stp>
        <stp>高値</stp>
        <tr r="N968" s="7"/>
      </tp>
      <tp>
        <v>2319</v>
        <stp/>
        <stp>Market</stp>
        <stp>STOCK</stp>
        <stp>81500.T</stp>
        <stp>高値</stp>
        <tr r="N984" s="7"/>
      </tp>
      <tp t="s">
        <v>表示銘柄数超過</v>
        <stp/>
        <stp>Market</stp>
        <stp>STOCK</stp>
        <stp>87500.T</stp>
        <stp>高値</stp>
        <tr r="N1044" s="7"/>
      </tp>
      <tp>
        <v>304.3</v>
        <stp/>
        <stp>Market</stp>
        <stp>STOCK</stp>
        <stp>84100.T</stp>
        <stp>高値</stp>
        <tr r="N1010" s="7"/>
      </tp>
      <tp>
        <v>1345</v>
        <stp/>
        <stp>Market</stp>
        <stp>STOCK</stp>
        <stp>85700.T</stp>
        <stp>高値</stp>
        <tr r="N1020" s="7"/>
      </tp>
      <tp>
        <v>654</v>
        <stp/>
        <stp>Market</stp>
        <stp>STOCK</stp>
        <stp>78000.T</stp>
        <stp>高値</stp>
        <tr r="N938" s="7"/>
      </tp>
      <tp>
        <v>689</v>
        <stp/>
        <stp>Market</stp>
        <stp>STOCK</stp>
        <stp>79400.T</stp>
        <stp>高値</stp>
        <tr r="N957" s="7"/>
      </tp>
      <tp>
        <v>1142</v>
        <stp/>
        <stp>Market</stp>
        <stp>STOCK</stp>
        <stp>72800.T</stp>
        <stp>高値</stp>
        <tr r="N869" s="7"/>
      </tp>
      <tp>
        <v>2105</v>
        <stp/>
        <stp>Market</stp>
        <stp>STOCK</stp>
        <stp>72400.T</stp>
        <stp>高値</stp>
        <tr r="N857" s="7"/>
      </tp>
      <tp>
        <v>3138</v>
        <stp/>
        <stp>Market</stp>
        <stp>STOCK</stp>
        <stp>72700.T</stp>
        <stp>高値</stp>
        <tr r="N867" s="7"/>
      </tp>
      <tp>
        <v>2499</v>
        <stp/>
        <stp>Market</stp>
        <stp>STOCK</stp>
        <stp>73500.T</stp>
        <stp>高値</stp>
        <tr r="N877" s="7"/>
      </tp>
      <tp>
        <v>1109</v>
        <stp/>
        <stp>Market</stp>
        <stp>STOCK</stp>
        <stp>73700.T</stp>
        <stp>高値</stp>
        <tr r="N881" s="7"/>
      </tp>
      <tp>
        <v>514</v>
        <stp/>
        <stp>Market</stp>
        <stp>STOCK</stp>
        <stp>70600.T</stp>
        <stp>高値</stp>
        <tr r="N819" s="7"/>
      </tp>
      <tp>
        <v>966.7</v>
        <stp/>
        <stp>Market</stp>
        <stp>STOCK</stp>
        <stp>71800.T</stp>
        <stp>高値</stp>
        <tr r="N838" s="7"/>
      </tp>
      <tp>
        <v>522</v>
        <stp/>
        <stp>Market</stp>
        <stp>STOCK</stp>
        <stp>71500.T</stp>
        <stp>高値</stp>
        <tr r="N831" s="7"/>
      </tp>
      <tp>
        <v>158</v>
        <stp/>
        <stp>Market</stp>
        <stp>STOCK</stp>
        <stp>76400.T</stp>
        <stp>高値</stp>
        <tr r="N917" s="7"/>
      </tp>
      <tp>
        <v>131</v>
        <stp/>
        <stp>Market</stp>
        <stp>STOCK</stp>
        <stp>76100.T</stp>
        <stp>高値</stp>
        <tr r="N912" s="7"/>
      </tp>
      <tp>
        <v>2353</v>
        <stp/>
        <stp>Market</stp>
        <stp>STOCK</stp>
        <stp>74200.T</stp>
        <stp>高値</stp>
        <tr r="N888" s="7"/>
      </tp>
      <tp>
        <v>501</v>
        <stp/>
        <stp>Market</stp>
        <stp>STOCK</stp>
        <stp>75900.T</stp>
        <stp>高値</stp>
        <tr r="N907" s="7"/>
      </tp>
      <tp>
        <v>486</v>
        <stp/>
        <stp>Market</stp>
        <stp>STOCK</stp>
        <stp>68400.T</stp>
        <stp>高値</stp>
        <tr r="N777" s="7"/>
      </tp>
      <tp>
        <v>1573</v>
        <stp/>
        <stp>Market</stp>
        <stp>STOCK</stp>
        <stp>68100.T</stp>
        <stp>高値</stp>
        <tr r="N774" s="7"/>
      </tp>
      <tp>
        <v>39920</v>
        <stp/>
        <stp>Market</stp>
        <stp>STOCK</stp>
        <stp>69200.T</stp>
        <stp>高値</stp>
        <tr r="N787" s="7"/>
      </tp>
      <tp>
        <v>364</v>
        <stp/>
        <stp>Market</stp>
        <stp>STOCK</stp>
        <stp>62400.T</stp>
        <stp>高値</stp>
        <tr r="N681" s="7"/>
      </tp>
      <tp>
        <v>1527</v>
        <stp/>
        <stp>Market</stp>
        <stp>STOCK</stp>
        <stp>63900.T</stp>
        <stp>高値</stp>
        <tr r="N698" s="7"/>
      </tp>
      <tp>
        <v>810</v>
        <stp/>
        <stp>Market</stp>
        <stp>STOCK</stp>
        <stp>63300.T</stp>
        <stp>高値</stp>
        <tr r="N688" s="7"/>
      </tp>
      <tp>
        <v>531</v>
        <stp/>
        <stp>Market</stp>
        <stp>STOCK</stp>
        <stp>61900.T</stp>
        <stp>高値</stp>
        <tr r="N673" s="7"/>
      </tp>
      <tp>
        <v>871</v>
        <stp/>
        <stp>Market</stp>
        <stp>STOCK</stp>
        <stp>61400.T</stp>
        <stp>高値</stp>
        <tr r="N658" s="7"/>
      </tp>
      <tp>
        <v>1788</v>
        <stp/>
        <stp>Market</stp>
        <stp>STOCK</stp>
        <stp>66400.T</stp>
        <stp>高値</stp>
        <tr r="N745" s="7"/>
      </tp>
      <tp>
        <v>1011</v>
        <stp/>
        <stp>Market</stp>
        <stp>STOCK</stp>
        <stp>66300.T</stp>
        <stp>高値</stp>
        <tr r="N740" s="7"/>
      </tp>
      <tp>
        <v>1702</v>
        <stp/>
        <stp>Market</stp>
        <stp>STOCK</stp>
        <stp>67500.T</stp>
        <stp>高値</stp>
        <tr r="N763" s="7"/>
      </tp>
      <tp>
        <v>21</v>
        <stp/>
        <stp>Market</stp>
        <stp>STOCK</stp>
        <stp>67400.T</stp>
        <stp>高値</stp>
        <tr r="N759" s="7"/>
      </tp>
      <tp>
        <v>598</v>
        <stp/>
        <stp>Market</stp>
        <stp>STOCK</stp>
        <stp>64800.T</stp>
        <stp>高値</stp>
        <tr r="N707" s="7"/>
      </tp>
      <tp>
        <v>464</v>
        <stp/>
        <stp>Market</stp>
        <stp>STOCK</stp>
        <stp>64400.T</stp>
        <stp>高値</stp>
        <tr r="N702" s="7"/>
      </tp>
      <tp>
        <v>837</v>
        <stp/>
        <stp>Market</stp>
        <stp>STOCK</stp>
        <stp>64700.T</stp>
        <stp>高値</stp>
        <tr r="N705" s="7"/>
      </tp>
      <tp>
        <v>715</v>
        <stp/>
        <stp>Market</stp>
        <stp>STOCK</stp>
        <stp>65800.T</stp>
        <stp>高値</stp>
        <tr r="N732" s="7"/>
      </tp>
      <tp>
        <v>160</v>
        <stp/>
        <stp>Market</stp>
        <stp>STOCK</stp>
        <stp>65500.T</stp>
        <stp>高値</stp>
        <tr r="N723" s="7"/>
      </tp>
      <tp>
        <v>109</v>
        <stp/>
        <stp>Market</stp>
        <stp>STOCK</stp>
        <stp>59500.T</stp>
        <stp>高値</stp>
        <tr r="N625" s="7"/>
      </tp>
      <tp>
        <v>80</v>
        <stp/>
        <stp>Market</stp>
        <stp>STOCK</stp>
        <stp>59400.T</stp>
        <stp>高値</stp>
        <tr r="N622" s="7"/>
      </tp>
      <tp>
        <v>2113</v>
        <stp/>
        <stp>Market</stp>
        <stp>STOCK</stp>
        <stp>59700.T</stp>
        <stp>高値</stp>
        <tr r="N629" s="7"/>
      </tp>
      <tp t="s">
        <v>表示銘柄数超過</v>
        <stp/>
        <stp>Market</stp>
        <stp>STOCK</stp>
        <stp>50100.T</stp>
        <stp>高値</stp>
        <tr r="N558" s="7"/>
      </tp>
      <tp t="s">
        <v>表示銘柄数超過</v>
        <stp/>
        <stp>Market</stp>
        <stp>STOCK</stp>
        <stp>50200.T</stp>
        <stp>高値</stp>
        <tr r="N562" s="7"/>
      </tp>
      <tp>
        <v>1748</v>
        <stp/>
        <stp>Market</stp>
        <stp>STOCK</stp>
        <stp>51100.T</stp>
        <stp>高値</stp>
        <tr r="N569" s="7"/>
      </tp>
      <tp>
        <v>5880</v>
        <stp/>
        <stp>Market</stp>
        <stp>STOCK</stp>
        <stp>54100.T</stp>
        <stp>高値</stp>
        <tr r="N593" s="7"/>
      </tp>
      <tp t="s">
        <v>表示銘柄数超過</v>
        <stp/>
        <stp>Market</stp>
        <stp>STOCK</stp>
        <stp>48900.T</stp>
        <stp>高値</stp>
        <tr r="N548" s="7"/>
      </tp>
      <tp t="s">
        <v>表示銘柄数超過</v>
        <stp/>
        <stp>Market</stp>
        <stp>STOCK</stp>
        <stp>48000.T</stp>
        <stp>高値</stp>
        <tr r="N536" s="7"/>
      </tp>
      <tp t="s">
        <v>表示銘柄数超過</v>
        <stp/>
        <stp>Market</stp>
        <stp>STOCK</stp>
        <stp>48200.T</stp>
        <stp>高値</stp>
        <tr r="N538" s="7"/>
      </tp>
      <tp t="s">
        <v>表示銘柄数超過</v>
        <stp/>
        <stp>Market</stp>
        <stp>STOCK</stp>
        <stp>49600.T</stp>
        <stp>高値</stp>
        <tr r="N554" s="7"/>
      </tp>
      <tp t="s">
        <v>表示銘柄数超過</v>
        <stp/>
        <stp>Market</stp>
        <stp>STOCK</stp>
        <stp>49200.T</stp>
        <stp>高値</stp>
        <tr r="N553" s="7"/>
      </tp>
      <tp t="s">
        <v>表示銘柄数超過</v>
        <stp/>
        <stp>Market</stp>
        <stp>STOCK</stp>
        <stp>42000.T</stp>
        <stp>高値</stp>
        <tr r="N425" s="7"/>
      </tp>
      <tp t="s">
        <v>表示銘柄数超過</v>
        <stp/>
        <stp>Market</stp>
        <stp>STOCK</stp>
        <stp>43500.T</stp>
        <stp>高値</stp>
        <tr r="N447" s="7"/>
      </tp>
      <tp t="s">
        <v>表示銘柄数超過</v>
        <stp/>
        <stp>Market</stp>
        <stp>STOCK</stp>
        <stp>43700.T</stp>
        <stp>高値</stp>
        <tr r="N449" s="7"/>
      </tp>
      <tp t="s">
        <v>表示銘柄数超過</v>
        <stp/>
        <stp>Market</stp>
        <stp>STOCK</stp>
        <stp>41700.T</stp>
        <stp>高値</stp>
        <tr r="N420" s="7"/>
      </tp>
      <tp t="s">
        <v>表示銘柄数超過</v>
        <stp/>
        <stp>Market</stp>
        <stp>STOCK</stp>
        <stp>46900.T</stp>
        <stp>高値</stp>
        <tr r="N521" s="7"/>
      </tp>
      <tp t="s">
        <v>表示銘柄数超過</v>
        <stp/>
        <stp>Market</stp>
        <stp>STOCK</stp>
        <stp>46800.T</stp>
        <stp>高値</stp>
        <tr r="N519" s="7"/>
      </tp>
      <tp t="s">
        <v>表示銘柄数超過</v>
        <stp/>
        <stp>Market</stp>
        <stp>STOCK</stp>
        <stp>46200.T</stp>
        <stp>高値</stp>
        <tr r="N512" s="7"/>
      </tp>
      <tp t="s">
        <v>表示銘柄数超過</v>
        <stp/>
        <stp>Market</stp>
        <stp>STOCK</stp>
        <stp>47700.T</stp>
        <stp>高値</stp>
        <tr r="N532" s="7"/>
      </tp>
      <tp t="s">
        <v>表示銘柄数超過</v>
        <stp/>
        <stp>Market</stp>
        <stp>STOCK</stp>
        <stp>47200.T</stp>
        <stp>高値</stp>
        <tr r="N526" s="7"/>
      </tp>
      <tp t="s">
        <v>表示銘柄数超過</v>
        <stp/>
        <stp>Market</stp>
        <stp>STOCK</stp>
        <stp>45700.T</stp>
        <stp>高値</stp>
        <tr r="N490" s="7"/>
      </tp>
      <tp t="s">
        <v>表示銘柄数超過</v>
        <stp/>
        <stp>Market</stp>
        <stp>STOCK</stp>
        <stp>38800.T</stp>
        <stp>高値</stp>
        <tr r="N383" s="7"/>
      </tp>
      <tp t="s">
        <v>表示銘柄数超過</v>
        <stp/>
        <stp>Market</stp>
        <stp>STOCK</stp>
        <stp>38500.T</stp>
        <stp>高値</stp>
        <tr r="N373" s="7"/>
      </tp>
      <tp t="s">
        <v>表示銘柄数超過</v>
        <stp/>
        <stp>Market</stp>
        <stp>STOCK</stp>
        <stp>38400.T</stp>
        <stp>高値</stp>
        <tr r="N370" s="7"/>
      </tp>
      <tp t="s">
        <v>表示銘柄数超過</v>
        <stp/>
        <stp>Market</stp>
        <stp>STOCK</stp>
        <stp>38100.T</stp>
        <stp>高値</stp>
        <tr r="N362" s="7"/>
      </tp>
      <tp t="s">
        <v>表示銘柄数超過</v>
        <stp/>
        <stp>Market</stp>
        <stp>STOCK</stp>
        <stp>39900.T</stp>
        <stp>高値</stp>
        <tr r="N405" s="7"/>
      </tp>
      <tp t="s">
        <v>表示銘柄数超過</v>
        <stp/>
        <stp>Market</stp>
        <stp>STOCK</stp>
        <stp>39400.T</stp>
        <stp>高値</stp>
        <tr r="N399" s="7"/>
      </tp>
      <tp t="s">
        <v>表示銘柄数超過</v>
        <stp/>
        <stp>Market</stp>
        <stp>STOCK</stp>
        <stp>39100.T</stp>
        <stp>高値</stp>
        <tr r="N389" s="7"/>
      </tp>
      <tp t="s">
        <v>表示銘柄数超過</v>
        <stp/>
        <stp>Market</stp>
        <stp>STOCK</stp>
        <stp>39000.T</stp>
        <stp>高値</stp>
        <tr r="N384" s="7"/>
      </tp>
      <tp t="s">
        <v>表示銘柄数超過</v>
        <stp/>
        <stp>Market</stp>
        <stp>STOCK</stp>
        <stp>39200.T</stp>
        <stp>高値</stp>
        <tr r="N392" s="7"/>
      </tp>
      <tp t="s">
        <v>表示銘柄数超過</v>
        <stp/>
        <stp>Market</stp>
        <stp>STOCK</stp>
        <stp>33500.T</stp>
        <stp>高値</stp>
        <tr r="N283" s="7"/>
      </tp>
      <tp t="s">
        <v>表示銘柄数超過</v>
        <stp/>
        <stp>Market</stp>
        <stp>STOCK</stp>
        <stp>33700.T</stp>
        <stp>高値</stp>
        <tr r="N287" s="7"/>
      </tp>
      <tp t="s">
        <v>表示銘柄数超過</v>
        <stp/>
        <stp>Market</stp>
        <stp>STOCK</stp>
        <stp>33000.T</stp>
        <stp>高値</stp>
        <tr r="N275" s="7"/>
      </tp>
      <tp t="s">
        <v>表示銘柄数超過</v>
        <stp/>
        <stp>Market</stp>
        <stp>STOCK</stp>
        <stp>30500.T</stp>
        <stp>高値</stp>
        <tr r="N232" s="7"/>
      </tp>
      <tp t="s">
        <v>表示銘柄数超過</v>
        <stp/>
        <stp>Market</stp>
        <stp>STOCK</stp>
        <stp>30700.T</stp>
        <stp>高値</stp>
        <tr r="N236" s="7"/>
      </tp>
      <tp t="s">
        <v>表示銘柄数超過</v>
        <stp/>
        <stp>Market</stp>
        <stp>STOCK</stp>
        <stp>30100.T</stp>
        <stp>高値</stp>
        <tr r="N223" s="7"/>
      </tp>
      <tp t="s">
        <v>表示銘柄数超過</v>
        <stp/>
        <stp>Market</stp>
        <stp>STOCK</stp>
        <stp>30300.T</stp>
        <stp>高値</stp>
        <tr r="N225" s="7"/>
      </tp>
      <tp t="s">
        <v>表示銘柄数超過</v>
        <stp/>
        <stp>Market</stp>
        <stp>STOCK</stp>
        <stp>36800.T</stp>
        <stp>高値</stp>
        <tr r="N336" s="7"/>
      </tp>
      <tp t="s">
        <v>表示銘柄数超過</v>
        <stp/>
        <stp>Market</stp>
        <stp>STOCK</stp>
        <stp>36600.T</stp>
        <stp>高値</stp>
        <tr r="N325" s="7"/>
      </tp>
      <tp t="s">
        <v>表示銘柄数超過</v>
        <stp/>
        <stp>Market</stp>
        <stp>STOCK</stp>
        <stp>37700.T</stp>
        <stp>高値</stp>
        <tr r="N353" s="7"/>
      </tp>
      <tp t="s">
        <v>表示銘柄数超過</v>
        <stp/>
        <stp>Market</stp>
        <stp>STOCK</stp>
        <stp>37600.T</stp>
        <stp>高値</stp>
        <tr r="N352" s="7"/>
      </tp>
      <tp t="s">
        <v>表示銘柄数超過</v>
        <stp/>
        <stp>Market</stp>
        <stp>STOCK</stp>
        <stp>37100.T</stp>
        <stp>高値</stp>
        <tr r="N344" s="7"/>
      </tp>
      <tp t="s">
        <v>表示銘柄数超過</v>
        <stp/>
        <stp>Market</stp>
        <stp>STOCK</stp>
        <stp>35800.T</stp>
        <stp>高値</stp>
        <tr r="N310" s="7"/>
      </tp>
      <tp t="s">
        <v>表示銘柄数超過</v>
        <stp/>
        <stp>Market</stp>
        <stp>STOCK</stp>
        <stp>28100.T</stp>
        <stp>高値</stp>
        <tr r="N201" s="7"/>
      </tp>
      <tp t="s">
        <v>表示銘柄数超過</v>
        <stp/>
        <stp>Market</stp>
        <stp>STOCK</stp>
        <stp>29300.T</stp>
        <stp>高値</stp>
        <tr r="N216" s="7"/>
      </tp>
      <tp t="s">
        <v>表示銘柄数超過</v>
        <stp/>
        <stp>Market</stp>
        <stp>STOCK</stp>
        <stp>22500.T</stp>
        <stp>高値</stp>
        <tr r="N109" s="7"/>
      </tp>
      <tp t="s">
        <v>表示銘柄数超過</v>
        <stp/>
        <stp>Market</stp>
        <stp>STOCK</stp>
        <stp>23400.T</stp>
        <stp>高値</stp>
        <tr r="N119" s="7"/>
      </tp>
      <tp t="s">
        <v>表示銘柄数超過</v>
        <stp/>
        <stp>Market</stp>
        <stp>STOCK</stp>
        <stp>23700.T</stp>
        <stp>高値</stp>
        <tr r="N126" s="7"/>
      </tp>
      <tp t="s">
        <v>表示銘柄数超過</v>
        <stp/>
        <stp>Market</stp>
        <stp>STOCK</stp>
        <stp>23300.T</stp>
        <stp>高値</stp>
        <tr r="N117" s="7"/>
      </tp>
      <tp t="s">
        <v>表示銘柄数超過</v>
        <stp/>
        <stp>Market</stp>
        <stp>STOCK</stp>
        <stp>21500.T</stp>
        <stp>高値</stp>
        <tr r="N94" s="7"/>
      </tp>
      <tp t="s">
        <v>表示銘柄数超過</v>
        <stp/>
        <stp>Market</stp>
        <stp>STOCK</stp>
        <stp>21600.T</stp>
        <stp>高値</stp>
        <tr r="N98" s="7"/>
      </tp>
      <tp t="s">
        <v>表示銘柄数超過</v>
        <stp/>
        <stp>Market</stp>
        <stp>STOCK</stp>
        <stp>21200.T</stp>
        <stp>高値</stp>
        <tr r="N90" s="7"/>
      </tp>
      <tp t="s">
        <v>表示銘柄数超過</v>
        <stp/>
        <stp>Market</stp>
        <stp>STOCK</stp>
        <stp>26200.T</stp>
        <stp>高値</stp>
        <tr r="N169" s="7"/>
      </tp>
      <tp t="s">
        <v>表示銘柄数超過</v>
        <stp/>
        <stp>Market</stp>
        <stp>STOCK</stp>
        <stp>27900.T</stp>
        <stp>高値</stp>
        <tr r="N200" s="7"/>
      </tp>
      <tp t="s">
        <v>表示銘柄数超過</v>
        <stp/>
        <stp>Market</stp>
        <stp>STOCK</stp>
        <stp>24100.T</stp>
        <stp>高値</stp>
        <tr r="N135" s="7"/>
      </tp>
      <tp t="s">
        <v>表示銘柄数超過</v>
        <stp/>
        <stp>Market</stp>
        <stp>STOCK</stp>
        <stp>25100.T</stp>
        <stp>高値</stp>
        <tr r="N157" s="7"/>
      </tp>
      <tp t="s">
        <v>表示銘柄数超過</v>
        <stp/>
        <stp>Market</stp>
        <stp>STOCK</stp>
        <stp>18400.T</stp>
        <stp>高値</stp>
        <tr r="N65" s="7"/>
      </tp>
      <tp t="s">
        <v>表示銘柄数超過</v>
        <stp/>
        <stp>Market</stp>
        <stp>STOCK</stp>
        <stp>19500.T</stp>
        <stp>高値</stp>
        <tr r="N81" s="7"/>
      </tp>
      <tp t="s">
        <v>表示銘柄数超過</v>
        <stp/>
        <stp>Market</stp>
        <stp>STOCK</stp>
        <stp>19600.T</stp>
        <stp>高値</stp>
        <tr r="N82" s="7"/>
      </tp>
      <tp t="s">
        <v>表示銘柄数超過</v>
        <stp/>
        <stp>Market</stp>
        <stp>STOCK</stp>
        <stp>19300.T</stp>
        <stp>高値</stp>
        <tr r="N76" s="7"/>
      </tp>
      <tp t="s">
        <v>表示銘柄数超過</v>
        <stp/>
        <stp>Market</stp>
        <stp>STOCK</stp>
        <stp>13600.T</stp>
        <stp>高値</stp>
        <tr r="N13" s="7"/>
      </tp>
      <tp t="s">
        <v>表示銘柄数超過</v>
        <stp/>
        <stp>Market</stp>
        <stp>STOCK</stp>
        <stp>17700.T</stp>
        <stp>高値</stp>
        <tr r="N55" s="7"/>
      </tp>
      <tp t="s">
        <v>表示銘柄数超過</v>
        <stp/>
        <stp>Market</stp>
        <stp>STOCK</stp>
        <stp>17300.T</stp>
        <stp>高値</stp>
        <tr r="N52" s="7"/>
      </tp>
      <tp t="s">
        <v>表示銘柄数超過</v>
        <stp/>
        <stp>Market</stp>
        <stp>STOCK</stp>
        <stp>17200.T</stp>
        <stp>高値</stp>
        <tr r="N50" s="7"/>
      </tp>
      <tp t="s">
        <v>表示銘柄数超過</v>
        <stp/>
        <stp>Market</stp>
        <stp>STOCK</stp>
        <stp>14000.T</stp>
        <stp>高値</stp>
        <tr r="N17" s="7"/>
      </tp>
      <tp t="s">
        <v>表示銘柄数超過</v>
        <stp/>
        <stp>Market</stp>
        <stp>STOCK</stp>
        <stp>14300.T</stp>
        <stp>高値</stp>
        <tr r="N22" s="7"/>
      </tp>
    </main>
    <main first="rtdsrv.662c26bade854d00aebc6010f8a2e03a">
      <tp t="s">
        <v>表示銘柄数超過</v>
        <stp/>
        <stp>Market</stp>
        <stp>STOCK</stp>
        <stp>31540.T</stp>
        <stp>出来高</stp>
        <tr r="V248" s="7"/>
      </tp>
      <tp t="s">
        <v>表示銘柄数超過</v>
        <stp/>
        <stp>Market</stp>
        <stp>STOCK</stp>
        <stp>31590.T</stp>
        <stp>出来高</stp>
        <tr r="V249" s="7"/>
      </tp>
      <tp t="s">
        <v>表示銘柄数超過</v>
        <stp/>
        <stp>Market</stp>
        <stp>STOCK</stp>
        <stp>31410.T</stp>
        <stp>出来高</stp>
        <tr r="V247" s="7"/>
      </tp>
      <tp t="s">
        <v>表示銘柄数超過</v>
        <stp/>
        <stp>Market</stp>
        <stp>STOCK</stp>
        <stp>31760.T</stp>
        <stp>出来高</stp>
        <tr r="V250" s="7"/>
      </tp>
      <tp t="s">
        <v>表示銘柄数超過</v>
        <stp/>
        <stp>Market</stp>
        <stp>STOCK</stp>
        <stp>31130.T</stp>
        <stp>出来高</stp>
        <tr r="V243" s="7"/>
      </tp>
      <tp t="s">
        <v>表示銘柄数超過</v>
        <stp/>
        <stp>Market</stp>
        <stp>STOCK</stp>
        <stp>31030.T</stp>
        <stp>出来高</stp>
        <tr r="V242" s="7"/>
      </tp>
      <tp t="s">
        <v>表示銘柄数超過</v>
        <stp/>
        <stp>Market</stp>
        <stp>STOCK</stp>
        <stp>31010.T</stp>
        <stp>出来高</stp>
        <tr r="V241" s="7"/>
      </tp>
      <tp t="s">
        <v>表示銘柄数超過</v>
        <stp/>
        <stp>Market</stp>
        <stp>STOCK</stp>
        <stp>31330.T</stp>
        <stp>出来高</stp>
        <tr r="V245" s="7"/>
      </tp>
      <tp t="s">
        <v>表示銘柄数超過</v>
        <stp/>
        <stp>Market</stp>
        <stp>STOCK</stp>
        <stp>31370.T</stp>
        <stp>出来高</stp>
        <tr r="V246" s="7"/>
      </tp>
      <tp t="s">
        <v>表示銘柄数超過</v>
        <stp/>
        <stp>Market</stp>
        <stp>STOCK</stp>
        <stp>31210.T</stp>
        <stp>出来高</stp>
        <tr r="V244" s="7"/>
      </tp>
      <tp t="s">
        <v>表示銘柄数超過</v>
        <stp/>
        <stp>Market</stp>
        <stp>STOCK</stp>
        <stp>31920.T</stp>
        <stp>出来高</stp>
        <tr r="V256" s="7"/>
      </tp>
      <tp t="s">
        <v>表示銘柄数超過</v>
        <stp/>
        <stp>Market</stp>
        <stp>STOCK</stp>
        <stp>31970.T</stp>
        <stp>出来高</stp>
        <tr r="V257" s="7"/>
      </tp>
      <tp t="s">
        <v>表示銘柄数超過</v>
        <stp/>
        <stp>Market</stp>
        <stp>STOCK</stp>
        <stp>31820.T</stp>
        <stp>出来高</stp>
        <tr r="V251" s="7"/>
      </tp>
      <tp t="s">
        <v>表示銘柄数超過</v>
        <stp/>
        <stp>Market</stp>
        <stp>STOCK</stp>
        <stp>31860.T</stp>
        <stp>出来高</stp>
        <tr r="V253" s="7"/>
      </tp>
      <tp t="s">
        <v>表示銘柄数超過</v>
        <stp/>
        <stp>Market</stp>
        <stp>STOCK</stp>
        <stp>31870.T</stp>
        <stp>出来高</stp>
        <tr r="V254" s="7"/>
      </tp>
      <tp t="s">
        <v>表示銘柄数超過</v>
        <stp/>
        <stp>Market</stp>
        <stp>STOCK</stp>
        <stp>31850.T</stp>
        <stp>出来高</stp>
        <tr r="V252" s="7"/>
      </tp>
      <tp t="s">
        <v>表示銘柄数超過</v>
        <stp/>
        <stp>Market</stp>
        <stp>STOCK</stp>
        <stp>31890.T</stp>
        <stp>出来高</stp>
        <tr r="V255" s="7"/>
      </tp>
      <tp t="s">
        <v>表示銘柄数超過</v>
        <stp/>
        <stp>Market</stp>
        <stp>STOCK</stp>
        <stp>30530.T</stp>
        <stp>出来高</stp>
        <tr r="V233" s="7"/>
      </tp>
      <tp t="s">
        <v>表示銘柄数超過</v>
        <stp/>
        <stp>Market</stp>
        <stp>STOCK</stp>
        <stp>30500.T</stp>
        <stp>出来高</stp>
        <tr r="V232" s="7"/>
      </tp>
      <tp t="s">
        <v>表示銘柄数超過</v>
        <stp/>
        <stp>Market</stp>
        <stp>STOCK</stp>
        <stp>30410.T</stp>
        <stp>出来高</stp>
        <tr r="V231" s="7"/>
      </tp>
      <tp t="s">
        <v>表示銘柄数超過</v>
        <stp/>
        <stp>Market</stp>
        <stp>STOCK</stp>
        <stp>30700.T</stp>
        <stp>出来高</stp>
        <tr r="V236" s="7"/>
      </tp>
      <tp t="s">
        <v>表示銘柄数超過</v>
        <stp/>
        <stp>Market</stp>
        <stp>STOCK</stp>
        <stp>30710.T</stp>
        <stp>出来高</stp>
        <tr r="V237" s="7"/>
      </tp>
      <tp t="s">
        <v>表示銘柄数超過</v>
        <stp/>
        <stp>Market</stp>
        <stp>STOCK</stp>
        <stp>30640.T</stp>
        <stp>出来高</stp>
        <tr r="V234" s="7"/>
      </tp>
      <tp t="s">
        <v>表示銘柄数超過</v>
        <stp/>
        <stp>Market</stp>
        <stp>STOCK</stp>
        <stp>30690.T</stp>
        <stp>出来高</stp>
        <tr r="V235" s="7"/>
      </tp>
      <tp t="s">
        <v>表示銘柄数超過</v>
        <stp/>
        <stp>Market</stp>
        <stp>STOCK</stp>
        <stp>30100.T</stp>
        <stp>出来高</stp>
        <tr r="V223" s="7"/>
      </tp>
      <tp t="s">
        <v>表示銘柄数超過</v>
        <stp/>
        <stp>Market</stp>
        <stp>STOCK</stp>
        <stp>30030.T</stp>
        <stp>出来高</stp>
        <tr r="V221" s="7"/>
      </tp>
      <tp t="s">
        <v>表示銘柄数超過</v>
        <stp/>
        <stp>Market</stp>
        <stp>STOCK</stp>
        <stp>30040.T</stp>
        <stp>出来高</stp>
        <tr r="V222" s="7"/>
      </tp>
      <tp t="s">
        <v>表示銘柄数超過</v>
        <stp/>
        <stp>Market</stp>
        <stp>STOCK</stp>
        <stp>30300.T</stp>
        <stp>出来高</stp>
        <tr r="V225" s="7"/>
      </tp>
      <tp t="s">
        <v>表示銘柄数超過</v>
        <stp/>
        <stp>Market</stp>
        <stp>STOCK</stp>
        <stp>30310.T</stp>
        <stp>出来高</stp>
        <tr r="V226" s="7"/>
      </tp>
      <tp t="s">
        <v>表示銘柄数超過</v>
        <stp/>
        <stp>Market</stp>
        <stp>STOCK</stp>
        <stp>30360.T</stp>
        <stp>出来高</stp>
        <tr r="V229" s="7"/>
      </tp>
      <tp t="s">
        <v>表示銘柄数超過</v>
        <stp/>
        <stp>Market</stp>
        <stp>STOCK</stp>
        <stp>30340.T</stp>
        <stp>出来高</stp>
        <tr r="V227" s="7"/>
      </tp>
      <tp t="s">
        <v>表示銘柄数超過</v>
        <stp/>
        <stp>Market</stp>
        <stp>STOCK</stp>
        <stp>30350.T</stp>
        <stp>出来高</stp>
        <tr r="V228" s="7"/>
      </tp>
      <tp t="s">
        <v>表示銘柄数超過</v>
        <stp/>
        <stp>Market</stp>
        <stp>STOCK</stp>
        <stp>30380.T</stp>
        <stp>出来高</stp>
        <tr r="V230" s="7"/>
      </tp>
      <tp t="s">
        <v>表示銘柄数超過</v>
        <stp/>
        <stp>Market</stp>
        <stp>STOCK</stp>
        <stp>30210.T</stp>
        <stp>出来高</stp>
        <tr r="V224" s="7"/>
      </tp>
      <tp t="s">
        <v>表示銘柄数超過</v>
        <stp/>
        <stp>Market</stp>
        <stp>STOCK</stp>
        <stp>30990.T</stp>
        <stp>出来高</stp>
        <tr r="V240" s="7"/>
      </tp>
      <tp t="s">
        <v>表示銘柄数超過</v>
        <stp/>
        <stp>Market</stp>
        <stp>STOCK</stp>
        <stp>30830.T</stp>
        <stp>出来高</stp>
        <tr r="V238" s="7"/>
      </tp>
      <tp t="s">
        <v>表示銘柄数超過</v>
        <stp/>
        <stp>Market</stp>
        <stp>STOCK</stp>
        <stp>30860.T</stp>
        <stp>出来高</stp>
        <tr r="V239" s="7"/>
      </tp>
      <tp t="s">
        <v>表示銘柄数超過</v>
        <stp/>
        <stp>Market</stp>
        <stp>STOCK</stp>
        <stp>33500.T</stp>
        <stp>出来高</stp>
        <tr r="V283" s="7"/>
      </tp>
      <tp t="s">
        <v>表示銘柄数超過</v>
        <stp/>
        <stp>Market</stp>
        <stp>STOCK</stp>
        <stp>33550.T</stp>
        <stp>出来高</stp>
        <tr r="V284" s="7"/>
      </tp>
      <tp t="s">
        <v>表示銘柄数超過</v>
        <stp/>
        <stp>Market</stp>
        <stp>STOCK</stp>
        <stp>33580.T</stp>
        <stp>出来高</stp>
        <tr r="V285" s="7"/>
      </tp>
      <tp t="s">
        <v>表示銘柄数超過</v>
        <stp/>
        <stp>Market</stp>
        <stp>STOCK</stp>
        <stp>33590.T</stp>
        <stp>出来高</stp>
        <tr r="V286" s="7"/>
      </tp>
      <tp t="s">
        <v>表示銘柄数超過</v>
        <stp/>
        <stp>Market</stp>
        <stp>STOCK</stp>
        <stp>33410.T</stp>
        <stp>出来高</stp>
        <tr r="V282" s="7"/>
      </tp>
      <tp t="s">
        <v>表示銘柄数超過</v>
        <stp/>
        <stp>Market</stp>
        <stp>STOCK</stp>
        <stp>33720.T</stp>
        <stp>出来高</stp>
        <tr r="V288" s="7"/>
      </tp>
      <tp t="s">
        <v>表示銘柄数超過</v>
        <stp/>
        <stp>Market</stp>
        <stp>STOCK</stp>
        <stp>33700.T</stp>
        <stp>出来高</stp>
        <tr r="V287" s="7"/>
      </tp>
      <tp t="s">
        <v>表示銘柄数超過</v>
        <stp/>
        <stp>Market</stp>
        <stp>STOCK</stp>
        <stp>33770.T</stp>
        <stp>出来高</stp>
        <tr r="V289" s="7"/>
      </tp>
      <tp t="s">
        <v>表示銘柄数超過</v>
        <stp/>
        <stp>Market</stp>
        <stp>STOCK</stp>
        <stp>33160.T</stp>
        <stp>出来高</stp>
        <tr r="V277" s="7"/>
      </tp>
      <tp t="s">
        <v>表示銘柄数超過</v>
        <stp/>
        <stp>Market</stp>
        <stp>STOCK</stp>
        <stp>33150.T</stp>
        <stp>出来高</stp>
        <tr r="V276" s="7"/>
      </tp>
      <tp t="s">
        <v>表示銘柄数超過</v>
        <stp/>
        <stp>Market</stp>
        <stp>STOCK</stp>
        <stp>33000.T</stp>
        <stp>出来高</stp>
        <tr r="V275" s="7"/>
      </tp>
      <tp t="s">
        <v>表示銘柄数超過</v>
        <stp/>
        <stp>Market</stp>
        <stp>STOCK</stp>
        <stp>33330.T</stp>
        <stp>出来高</stp>
        <tr r="V281" s="7"/>
      </tp>
      <tp t="s">
        <v>表示銘柄数超過</v>
        <stp/>
        <stp>Market</stp>
        <stp>STOCK</stp>
        <stp>33230.T</stp>
        <stp>出来高</stp>
        <tr r="V278" s="7"/>
      </tp>
      <tp t="s">
        <v>表示銘柄数超過</v>
        <stp/>
        <stp>Market</stp>
        <stp>STOCK</stp>
        <stp>33260.T</stp>
        <stp>出来高</stp>
        <tr r="V279" s="7"/>
      </tp>
      <tp t="s">
        <v>表示銘柄数超過</v>
        <stp/>
        <stp>Market</stp>
        <stp>STOCK</stp>
        <stp>33280.T</stp>
        <stp>出来高</stp>
        <tr r="V280" s="7"/>
      </tp>
      <tp t="s">
        <v>表示銘柄数超過</v>
        <stp/>
        <stp>Market</stp>
        <stp>STOCK</stp>
        <stp>33920.T</stp>
        <stp>出来高</stp>
        <tr r="V293" s="7"/>
      </tp>
      <tp t="s">
        <v>表示銘柄数超過</v>
        <stp/>
        <stp>Market</stp>
        <stp>STOCK</stp>
        <stp>33820.T</stp>
        <stp>出来高</stp>
        <tr r="V290" s="7"/>
      </tp>
      <tp t="s">
        <v>表示銘柄数超過</v>
        <stp/>
        <stp>Market</stp>
        <stp>STOCK</stp>
        <stp>33860.T</stp>
        <stp>出来高</stp>
        <tr r="V291" s="7"/>
      </tp>
      <tp t="s">
        <v>表示銘柄数超過</v>
        <stp/>
        <stp>Market</stp>
        <stp>STOCK</stp>
        <stp>33880.T</stp>
        <stp>出来高</stp>
        <tr r="V292" s="7"/>
      </tp>
      <tp t="s">
        <v>表示銘柄数超過</v>
        <stp/>
        <stp>Market</stp>
        <stp>STOCK</stp>
        <stp>32420.T</stp>
        <stp>出来高</stp>
        <tr r="V263" s="7"/>
      </tp>
      <tp t="s">
        <v>表示銘柄数超過</v>
        <stp/>
        <stp>Market</stp>
        <stp>STOCK</stp>
        <stp>32410.T</stp>
        <stp>出来高</stp>
        <tr r="V262" s="7"/>
      </tp>
      <tp t="s">
        <v>表示銘柄数超過</v>
        <stp/>
        <stp>Market</stp>
        <stp>STOCK</stp>
        <stp>32440.T</stp>
        <stp>出来高</stp>
        <tr r="V264" s="7"/>
      </tp>
      <tp t="s">
        <v>表示銘柄数超過</v>
        <stp/>
        <stp>Market</stp>
        <stp>STOCK</stp>
        <stp>32710.T</stp>
        <stp>出来高</stp>
        <tr r="V268" s="7"/>
      </tp>
      <tp t="s">
        <v>表示銘柄数超過</v>
        <stp/>
        <stp>Market</stp>
        <stp>STOCK</stp>
        <stp>32610.T</stp>
        <stp>出来高</stp>
        <tr r="V265" s="7"/>
      </tp>
      <tp t="s">
        <v>表示銘柄数超過</v>
        <stp/>
        <stp>Market</stp>
        <stp>STOCK</stp>
        <stp>32660.T</stp>
        <stp>出来高</stp>
        <tr r="V267" s="7"/>
      </tp>
      <tp t="s">
        <v>表示銘柄数超過</v>
        <stp/>
        <stp>Market</stp>
        <stp>STOCK</stp>
        <stp>32640.T</stp>
        <stp>出来高</stp>
        <tr r="V266" s="7"/>
      </tp>
      <tp t="s">
        <v>表示銘柄数超過</v>
        <stp/>
        <stp>Market</stp>
        <stp>STOCK</stp>
        <stp>32320.T</stp>
        <stp>出来高</stp>
        <tr r="V258" s="7"/>
      </tp>
      <tp t="s">
        <v>表示銘柄数超過</v>
        <stp/>
        <stp>Market</stp>
        <stp>STOCK</stp>
        <stp>32360.T</stp>
        <stp>出来高</stp>
        <tr r="V259" s="7"/>
      </tp>
      <tp t="s">
        <v>表示銘柄数超過</v>
        <stp/>
        <stp>Market</stp>
        <stp>STOCK</stp>
        <stp>32370.T</stp>
        <stp>出来高</stp>
        <tr r="V260" s="7"/>
      </tp>
      <tp t="s">
        <v>表示銘柄数超過</v>
        <stp/>
        <stp>Market</stp>
        <stp>STOCK</stp>
        <stp>32380.T</stp>
        <stp>出来高</stp>
        <tr r="V261" s="7"/>
      </tp>
      <tp t="s">
        <v>表示銘柄数超過</v>
        <stp/>
        <stp>Market</stp>
        <stp>STOCK</stp>
        <stp>32970.T</stp>
        <stp>出来高</stp>
        <tr r="V273" s="7"/>
      </tp>
      <tp t="s">
        <v>表示銘柄数超過</v>
        <stp/>
        <stp>Market</stp>
        <stp>STOCK</stp>
        <stp>32990.T</stp>
        <stp>出来高</stp>
        <tr r="V274" s="7"/>
      </tp>
      <tp t="s">
        <v>表示銘柄数超過</v>
        <stp/>
        <stp>Market</stp>
        <stp>STOCK</stp>
        <stp>32860.T</stp>
        <stp>出来高</stp>
        <tr r="V270" s="7"/>
      </tp>
      <tp t="s">
        <v>表示銘柄数超過</v>
        <stp/>
        <stp>Market</stp>
        <stp>STOCK</stp>
        <stp>32840.T</stp>
        <stp>出来高</stp>
        <tr r="V269" s="7"/>
      </tp>
      <tp t="s">
        <v>表示銘柄数超過</v>
        <stp/>
        <stp>Market</stp>
        <stp>STOCK</stp>
        <stp>32880.T</stp>
        <stp>出来高</stp>
        <tr r="V271" s="7"/>
      </tp>
      <tp t="s">
        <v>表示銘柄数超過</v>
        <stp/>
        <stp>Market</stp>
        <stp>STOCK</stp>
        <stp>32890.T</stp>
        <stp>出来高</stp>
        <tr r="V272" s="7"/>
      </tp>
      <tp t="s">
        <v>表示銘柄数超過</v>
        <stp/>
        <stp>Market</stp>
        <stp>STOCK</stp>
        <stp>35530.T</stp>
        <stp>出来高</stp>
        <tr r="V308" s="7"/>
      </tp>
      <tp t="s">
        <v>表示銘柄数超過</v>
        <stp/>
        <stp>Market</stp>
        <stp>STOCK</stp>
        <stp>35510.T</stp>
        <stp>出来高</stp>
        <tr r="V307" s="7"/>
      </tp>
      <tp t="s">
        <v>表示銘柄数超過</v>
        <stp/>
        <stp>Market</stp>
        <stp>STOCK</stp>
        <stp>35430.T</stp>
        <stp>出来高</stp>
        <tr r="V306" s="7"/>
      </tp>
      <tp t="s">
        <v>表示銘柄数超過</v>
        <stp/>
        <stp>Market</stp>
        <stp>STOCK</stp>
        <stp>35410.T</stp>
        <stp>出来高</stp>
        <tr r="V305" s="7"/>
      </tp>
      <tp t="s">
        <v>表示銘柄数超過</v>
        <stp/>
        <stp>Market</stp>
        <stp>STOCK</stp>
        <stp>35610.T</stp>
        <stp>出来高</stp>
        <tr r="V309" s="7"/>
      </tp>
      <tp t="s">
        <v>表示銘柄数超過</v>
        <stp/>
        <stp>Market</stp>
        <stp>STOCK</stp>
        <stp>35360.T</stp>
        <stp>出来高</stp>
        <tr r="V304" s="7"/>
      </tp>
      <tp t="s">
        <v>表示銘柄数超過</v>
        <stp/>
        <stp>Market</stp>
        <stp>STOCK</stp>
        <stp>35210.T</stp>
        <stp>出来高</stp>
        <tr r="V303" s="7"/>
      </tp>
      <tp t="s">
        <v>表示銘柄数超過</v>
        <stp/>
        <stp>Market</stp>
        <stp>STOCK</stp>
        <stp>35800.T</stp>
        <stp>出来高</stp>
        <tr r="V310" s="7"/>
      </tp>
      <tp t="s">
        <v>表示銘柄数超過</v>
        <stp/>
        <stp>Market</stp>
        <stp>STOCK</stp>
        <stp>34540.T</stp>
        <stp>出来高</stp>
        <tr r="V300" s="7"/>
      </tp>
      <tp t="s">
        <v>表示銘柄数超過</v>
        <stp/>
        <stp>Market</stp>
        <stp>STOCK</stp>
        <stp>34610.T</stp>
        <stp>出来高</stp>
        <tr r="V301" s="7"/>
      </tp>
      <tp t="s">
        <v>表示銘柄数超過</v>
        <stp/>
        <stp>Market</stp>
        <stp>STOCK</stp>
        <stp>34640.T</stp>
        <stp>出来高</stp>
        <tr r="V302" s="7"/>
      </tp>
      <tp t="s">
        <v>表示銘柄数超過</v>
        <stp/>
        <stp>Market</stp>
        <stp>STOCK</stp>
        <stp>34010.T</stp>
        <stp>出来高</stp>
        <tr r="V294" s="7"/>
      </tp>
      <tp t="s">
        <v>表示銘柄数超過</v>
        <stp/>
        <stp>Market</stp>
        <stp>STOCK</stp>
        <stp>34070.T</stp>
        <stp>出来高</stp>
        <tr r="V295" s="7"/>
      </tp>
      <tp t="s">
        <v>表示銘柄数超過</v>
        <stp/>
        <stp>Market</stp>
        <stp>STOCK</stp>
        <stp>34090.T</stp>
        <stp>出来高</stp>
        <tr r="V296" s="7"/>
      </tp>
      <tp t="s">
        <v>表示銘柄数超過</v>
        <stp/>
        <stp>Market</stp>
        <stp>STOCK</stp>
        <stp>34330.T</stp>
        <stp>出来高</stp>
        <tr r="V298" s="7"/>
      </tp>
      <tp t="s">
        <v>表示銘柄数超過</v>
        <stp/>
        <stp>Market</stp>
        <stp>STOCK</stp>
        <stp>34360.T</stp>
        <stp>出来高</stp>
        <tr r="V299" s="7"/>
      </tp>
      <tp t="s">
        <v>表示銘柄数超過</v>
        <stp/>
        <stp>Market</stp>
        <stp>STOCK</stp>
        <stp>34220.T</stp>
        <stp>出来高</stp>
        <tr r="V297" s="7"/>
      </tp>
      <tp t="s">
        <v>表示銘柄数超過</v>
        <stp/>
        <stp>Market</stp>
        <stp>STOCK</stp>
        <stp>37580.T</stp>
        <stp>出来高</stp>
        <tr r="V351" s="7"/>
      </tp>
      <tp t="s">
        <v>表示銘柄数超過</v>
        <stp/>
        <stp>Market</stp>
        <stp>STOCK</stp>
        <stp>37410.T</stp>
        <stp>出来高</stp>
        <tr r="V349" s="7"/>
      </tp>
      <tp t="s">
        <v>表示銘柄数超過</v>
        <stp/>
        <stp>Market</stp>
        <stp>STOCK</stp>
        <stp>37470.T</stp>
        <stp>出来高</stp>
        <tr r="V350" s="7"/>
      </tp>
      <tp t="s">
        <v>表示銘柄数超過</v>
        <stp/>
        <stp>Market</stp>
        <stp>STOCK</stp>
        <stp>37730.T</stp>
        <stp>出来高</stp>
        <tr r="V354" s="7"/>
      </tp>
      <tp t="s">
        <v>表示銘柄数超過</v>
        <stp/>
        <stp>Market</stp>
        <stp>STOCK</stp>
        <stp>37700.T</stp>
        <stp>出来高</stp>
        <tr r="V353" s="7"/>
      </tp>
      <tp t="s">
        <v>表示銘柄数超過</v>
        <stp/>
        <stp>Market</stp>
        <stp>STOCK</stp>
        <stp>37760.T</stp>
        <stp>出来高</stp>
        <tr r="V355" s="7"/>
      </tp>
      <tp t="s">
        <v>表示銘柄数超過</v>
        <stp/>
        <stp>Market</stp>
        <stp>STOCK</stp>
        <stp>37770.T</stp>
        <stp>出来高</stp>
        <tr r="V356" s="7"/>
      </tp>
      <tp t="s">
        <v>表示銘柄数超過</v>
        <stp/>
        <stp>Market</stp>
        <stp>STOCK</stp>
        <stp>37780.T</stp>
        <stp>出来高</stp>
        <tr r="V357" s="7"/>
      </tp>
      <tp t="s">
        <v>表示銘柄数超過</v>
        <stp/>
        <stp>Market</stp>
        <stp>STOCK</stp>
        <stp>37790.T</stp>
        <stp>出来高</stp>
        <tr r="V358" s="7"/>
      </tp>
      <tp t="s">
        <v>表示銘柄数超過</v>
        <stp/>
        <stp>Market</stp>
        <stp>STOCK</stp>
        <stp>37600.T</stp>
        <stp>出来高</stp>
        <tr r="V352" s="7"/>
      </tp>
      <tp t="s">
        <v>表示銘柄数超過</v>
        <stp/>
        <stp>Market</stp>
        <stp>STOCK</stp>
        <stp>37100.T</stp>
        <stp>出来高</stp>
        <tr r="V344" s="7"/>
      </tp>
      <tp t="s">
        <v>表示銘柄数超過</v>
        <stp/>
        <stp>Market</stp>
        <stp>STOCK</stp>
        <stp>37190.T</stp>
        <stp>出来高</stp>
        <tr r="V345" s="7"/>
      </tp>
      <tp t="s">
        <v>表示銘柄数超過</v>
        <stp/>
        <stp>Market</stp>
        <stp>STOCK</stp>
        <stp>37380.T</stp>
        <stp>出来高</stp>
        <tr r="V348" s="7"/>
      </tp>
      <tp t="s">
        <v>表示銘柄数超過</v>
        <stp/>
        <stp>Market</stp>
        <stp>STOCK</stp>
        <stp>37230.T</stp>
        <stp>出来高</stp>
        <tr r="V346" s="7"/>
      </tp>
      <tp t="s">
        <v>表示銘柄数超過</v>
        <stp/>
        <stp>Market</stp>
        <stp>STOCK</stp>
        <stp>37270.T</stp>
        <stp>出来高</stp>
        <tr r="V347" s="7"/>
      </tp>
      <tp t="s">
        <v>表示銘柄数超過</v>
        <stp/>
        <stp>Market</stp>
        <stp>STOCK</stp>
        <stp>37930.T</stp>
        <stp>出来高</stp>
        <tr r="V360" s="7"/>
      </tp>
      <tp t="s">
        <v>表示銘柄数超過</v>
        <stp/>
        <stp>Market</stp>
        <stp>STOCK</stp>
        <stp>37840.T</stp>
        <stp>出来高</stp>
        <tr r="V359" s="7"/>
      </tp>
      <tp t="s">
        <v>表示銘柄数超過</v>
        <stp/>
        <stp>Market</stp>
        <stp>STOCK</stp>
        <stp>36520.T</stp>
        <stp>出来高</stp>
        <tr r="V322" s="7"/>
      </tp>
      <tp t="s">
        <v>表示銘柄数超過</v>
        <stp/>
        <stp>Market</stp>
        <stp>STOCK</stp>
        <stp>36560.T</stp>
        <stp>出来高</stp>
        <tr r="V324" s="7"/>
      </tp>
      <tp t="s">
        <v>表示銘柄数超過</v>
        <stp/>
        <stp>Market</stp>
        <stp>STOCK</stp>
        <stp>36550.T</stp>
        <stp>出来高</stp>
        <tr r="V323" s="7"/>
      </tp>
      <tp t="s">
        <v>表示銘柄数超過</v>
        <stp/>
        <stp>Market</stp>
        <stp>STOCK</stp>
        <stp>36470.T</stp>
        <stp>出来高</stp>
        <tr r="V320" s="7"/>
      </tp>
      <tp t="s">
        <v>表示銘柄数超過</v>
        <stp/>
        <stp>Market</stp>
        <stp>STOCK</stp>
        <stp>36450.T</stp>
        <stp>出来高</stp>
        <tr r="V319" s="7"/>
      </tp>
      <tp t="s">
        <v>表示銘柄数超過</v>
        <stp/>
        <stp>Market</stp>
        <stp>STOCK</stp>
        <stp>36490.T</stp>
        <stp>出来高</stp>
        <tr r="V321" s="7"/>
      </tp>
      <tp t="s">
        <v>表示銘柄数超過</v>
        <stp/>
        <stp>Market</stp>
        <stp>STOCK</stp>
        <stp>36720.T</stp>
        <stp>出来高</stp>
        <tr r="V332" s="7"/>
      </tp>
      <tp t="s">
        <v>表示銘柄数超過</v>
        <stp/>
        <stp>Market</stp>
        <stp>STOCK</stp>
        <stp>36760.T</stp>
        <stp>出来高</stp>
        <tr r="V334" s="7"/>
      </tp>
      <tp t="s">
        <v>表示銘柄数超過</v>
        <stp/>
        <stp>Market</stp>
        <stp>STOCK</stp>
        <stp>36770.T</stp>
        <stp>出来高</stp>
        <tr r="V335" s="7"/>
      </tp>
      <tp t="s">
        <v>表示銘柄数超過</v>
        <stp/>
        <stp>Market</stp>
        <stp>STOCK</stp>
        <stp>36740.T</stp>
        <stp>出来高</stp>
        <tr r="V333" s="7"/>
      </tp>
      <tp t="s">
        <v>表示銘柄数超過</v>
        <stp/>
        <stp>Market</stp>
        <stp>STOCK</stp>
        <stp>36630.T</stp>
        <stp>出来高</stp>
        <tr r="V326" s="7"/>
      </tp>
      <tp t="s">
        <v>表示銘柄数超過</v>
        <stp/>
        <stp>Market</stp>
        <stp>STOCK</stp>
        <stp>36600.T</stp>
        <stp>出来高</stp>
        <tr r="V325" s="7"/>
      </tp>
      <tp t="s">
        <v>表示銘柄数超過</v>
        <stp/>
        <stp>Market</stp>
        <stp>STOCK</stp>
        <stp>36660.T</stp>
        <stp>出来高</stp>
        <tr r="V329" s="7"/>
      </tp>
      <tp t="s">
        <v>表示銘柄数超過</v>
        <stp/>
        <stp>Market</stp>
        <stp>STOCK</stp>
        <stp>36670.T</stp>
        <stp>出来高</stp>
        <tr r="V330" s="7"/>
      </tp>
      <tp t="s">
        <v>表示銘柄数超過</v>
        <stp/>
        <stp>Market</stp>
        <stp>STOCK</stp>
        <stp>36640.T</stp>
        <stp>出来高</stp>
        <tr r="V327" s="7"/>
      </tp>
      <tp t="s">
        <v>表示銘柄数超過</v>
        <stp/>
        <stp>Market</stp>
        <stp>STOCK</stp>
        <stp>36650.T</stp>
        <stp>出来高</stp>
        <tr r="V328" s="7"/>
      </tp>
      <tp t="s">
        <v>表示銘柄数超過</v>
        <stp/>
        <stp>Market</stp>
        <stp>STOCK</stp>
        <stp>36680.T</stp>
        <stp>出来高</stp>
        <tr r="V331" s="7"/>
      </tp>
      <tp t="s">
        <v>表示銘柄数超過</v>
        <stp/>
        <stp>Market</stp>
        <stp>STOCK</stp>
        <stp>36070.T</stp>
        <stp>出来高</stp>
        <tr r="V311" s="7"/>
      </tp>
      <tp t="s">
        <v>表示銘柄数超過</v>
        <stp/>
        <stp>Market</stp>
        <stp>STOCK</stp>
        <stp>36320.T</stp>
        <stp>出来高</stp>
        <tr r="V316" s="7"/>
      </tp>
      <tp t="s">
        <v>表示銘柄数超過</v>
        <stp/>
        <stp>Market</stp>
        <stp>STOCK</stp>
        <stp>36350.T</stp>
        <stp>出来高</stp>
        <tr r="V317" s="7"/>
      </tp>
      <tp t="s">
        <v>表示銘柄数超過</v>
        <stp/>
        <stp>Market</stp>
        <stp>STOCK</stp>
        <stp>36390.T</stp>
        <stp>出来高</stp>
        <tr r="V318" s="7"/>
      </tp>
      <tp t="s">
        <v>表示銘柄数超過</v>
        <stp/>
        <stp>Market</stp>
        <stp>STOCK</stp>
        <stp>36260.T</stp>
        <stp>出来高</stp>
        <tr r="V314" s="7"/>
      </tp>
      <tp t="s">
        <v>表示銘柄数超過</v>
        <stp/>
        <stp>Market</stp>
        <stp>STOCK</stp>
        <stp>36270.T</stp>
        <stp>出来高</stp>
        <tr r="V315" s="7"/>
      </tp>
      <tp t="s">
        <v>表示銘柄数超過</v>
        <stp/>
        <stp>Market</stp>
        <stp>STOCK</stp>
        <stp>36240.T</stp>
        <stp>出来高</stp>
        <tr r="V312" s="7"/>
      </tp>
      <tp t="s">
        <v>表示銘柄数超過</v>
        <stp/>
        <stp>Market</stp>
        <stp>STOCK</stp>
        <stp>36250.T</stp>
        <stp>出来高</stp>
        <tr r="V313" s="7"/>
      </tp>
      <tp t="s">
        <v>表示銘柄数超過</v>
        <stp/>
        <stp>Market</stp>
        <stp>STOCK</stp>
        <stp>36910.T</stp>
        <stp>出来高</stp>
        <tr r="V341" s="7"/>
      </tp>
      <tp t="s">
        <v>表示銘柄数超過</v>
        <stp/>
        <stp>Market</stp>
        <stp>STOCK</stp>
        <stp>36960.T</stp>
        <stp>出来高</stp>
        <tr r="V342" s="7"/>
      </tp>
      <tp t="s">
        <v>表示銘柄数超過</v>
        <stp/>
        <stp>Market</stp>
        <stp>STOCK</stp>
        <stp>36980.T</stp>
        <stp>出来高</stp>
        <tr r="V343" s="7"/>
      </tp>
      <tp t="s">
        <v>表示銘柄数超過</v>
        <stp/>
        <stp>Market</stp>
        <stp>STOCK</stp>
        <stp>36820.T</stp>
        <stp>出来高</stp>
        <tr r="V338" s="7"/>
      </tp>
      <tp t="s">
        <v>表示銘柄数超過</v>
        <stp/>
        <stp>Market</stp>
        <stp>STOCK</stp>
        <stp>36830.T</stp>
        <stp>出来高</stp>
        <tr r="V339" s="7"/>
      </tp>
      <tp t="s">
        <v>表示銘柄数超過</v>
        <stp/>
        <stp>Market</stp>
        <stp>STOCK</stp>
        <stp>36800.T</stp>
        <stp>出来高</stp>
        <tr r="V336" s="7"/>
      </tp>
      <tp t="s">
        <v>表示銘柄数超過</v>
        <stp/>
        <stp>Market</stp>
        <stp>STOCK</stp>
        <stp>36810.T</stp>
        <stp>出来高</stp>
        <tr r="V337" s="7"/>
      </tp>
      <tp t="s">
        <v>表示銘柄数超過</v>
        <stp/>
        <stp>Market</stp>
        <stp>STOCK</stp>
        <stp>36860.T</stp>
        <stp>出来高</stp>
        <tr r="V340" s="7"/>
      </tp>
      <tp t="s">
        <v>表示銘柄数超過</v>
        <stp/>
        <stp>Market</stp>
        <stp>STOCK</stp>
        <stp>39400.T</stp>
        <stp>出来高</stp>
        <tr r="V399" s="7"/>
      </tp>
      <tp t="s">
        <v>表示銘柄数超過</v>
        <stp/>
        <stp>Market</stp>
        <stp>STOCK</stp>
        <stp>39760.T</stp>
        <stp>出来高</stp>
        <tr r="V402" s="7"/>
      </tp>
      <tp t="s">
        <v>表示銘柄数超過</v>
        <stp/>
        <stp>Market</stp>
        <stp>STOCK</stp>
        <stp>39630.T</stp>
        <stp>出来高</stp>
        <tr r="V400" s="7"/>
      </tp>
      <tp t="s">
        <v>表示銘柄数超過</v>
        <stp/>
        <stp>Market</stp>
        <stp>STOCK</stp>
        <stp>39650.T</stp>
        <stp>出来高</stp>
        <tr r="V401" s="7"/>
      </tp>
      <tp t="s">
        <v>表示銘柄数超過</v>
        <stp/>
        <stp>Market</stp>
        <stp>STOCK</stp>
        <stp>39100.T</stp>
        <stp>出来高</stp>
        <tr r="V389" s="7"/>
      </tp>
      <tp t="s">
        <v>表示銘柄数超過</v>
        <stp/>
        <stp>Market</stp>
        <stp>STOCK</stp>
        <stp>39110.T</stp>
        <stp>出来高</stp>
        <tr r="V390" s="7"/>
      </tp>
      <tp t="s">
        <v>表示銘柄数超過</v>
        <stp/>
        <stp>Market</stp>
        <stp>STOCK</stp>
        <stp>39170.T</stp>
        <stp>出来高</stp>
        <tr r="V391" s="7"/>
      </tp>
      <tp t="s">
        <v>表示銘柄数超過</v>
        <stp/>
        <stp>Market</stp>
        <stp>STOCK</stp>
        <stp>39020.T</stp>
        <stp>出来高</stp>
        <tr r="V385" s="7"/>
      </tp>
      <tp t="s">
        <v>表示銘柄数超過</v>
        <stp/>
        <stp>Market</stp>
        <stp>STOCK</stp>
        <stp>39030.T</stp>
        <stp>出来高</stp>
        <tr r="V386" s="7"/>
      </tp>
      <tp t="s">
        <v>表示銘柄数超過</v>
        <stp/>
        <stp>Market</stp>
        <stp>STOCK</stp>
        <stp>39000.T</stp>
        <stp>出来高</stp>
        <tr r="V384" s="7"/>
      </tp>
      <tp t="s">
        <v>表示銘柄数超過</v>
        <stp/>
        <stp>Market</stp>
        <stp>STOCK</stp>
        <stp>39070.T</stp>
        <stp>出来高</stp>
        <tr r="V387" s="7"/>
      </tp>
      <tp t="s">
        <v>表示銘柄数超過</v>
        <stp/>
        <stp>Market</stp>
        <stp>STOCK</stp>
        <stp>39090.T</stp>
        <stp>出来高</stp>
        <tr r="V388" s="7"/>
      </tp>
      <tp t="s">
        <v>表示銘柄数超過</v>
        <stp/>
        <stp>Market</stp>
        <stp>STOCK</stp>
        <stp>39340.T</stp>
        <stp>出来高</stp>
        <tr r="V396" s="7"/>
      </tp>
      <tp t="s">
        <v>表示銘柄数超過</v>
        <stp/>
        <stp>Market</stp>
        <stp>STOCK</stp>
        <stp>39350.T</stp>
        <stp>出来高</stp>
        <tr r="V397" s="7"/>
      </tp>
      <tp t="s">
        <v>表示銘柄数超過</v>
        <stp/>
        <stp>Market</stp>
        <stp>STOCK</stp>
        <stp>39390.T</stp>
        <stp>出来高</stp>
        <tr r="V398" s="7"/>
      </tp>
      <tp t="s">
        <v>表示銘柄数超過</v>
        <stp/>
        <stp>Market</stp>
        <stp>STOCK</stp>
        <stp>39200.T</stp>
        <stp>出来高</stp>
        <tr r="V392" s="7"/>
      </tp>
      <tp t="s">
        <v>表示銘柄数超過</v>
        <stp/>
        <stp>Market</stp>
        <stp>STOCK</stp>
        <stp>39270.T</stp>
        <stp>出来高</stp>
        <tr r="V393" s="7"/>
      </tp>
      <tp t="s">
        <v>表示銘柄数超過</v>
        <stp/>
        <stp>Market</stp>
        <stp>STOCK</stp>
        <stp>39280.T</stp>
        <stp>出来高</stp>
        <tr r="V394" s="7"/>
      </tp>
      <tp t="s">
        <v>表示銘柄数超過</v>
        <stp/>
        <stp>Market</stp>
        <stp>STOCK</stp>
        <stp>39290.T</stp>
        <stp>出来高</stp>
        <tr r="V395" s="7"/>
      </tp>
      <tp t="s">
        <v>表示銘柄数超過</v>
        <stp/>
        <stp>Market</stp>
        <stp>STOCK</stp>
        <stp>39920.T</stp>
        <stp>出来高</stp>
        <tr r="V406" s="7"/>
      </tp>
      <tp t="s">
        <v>表示銘柄数超過</v>
        <stp/>
        <stp>Market</stp>
        <stp>STOCK</stp>
        <stp>39900.T</stp>
        <stp>出来高</stp>
        <tr r="V405" s="7"/>
      </tp>
      <tp t="s">
        <v>表示銘柄数超過</v>
        <stp/>
        <stp>Market</stp>
        <stp>STOCK</stp>
        <stp>39970.T</stp>
        <stp>出来高</stp>
        <tr r="V408" s="7"/>
      </tp>
      <tp t="s">
        <v>表示銘柄数超過</v>
        <stp/>
        <stp>Market</stp>
        <stp>STOCK</stp>
        <stp>39950.T</stp>
        <stp>出来高</stp>
        <tr r="V407" s="7"/>
      </tp>
      <tp t="s">
        <v>表示銘柄数超過</v>
        <stp/>
        <stp>Market</stp>
        <stp>STOCK</stp>
        <stp>39980.T</stp>
        <stp>出来高</stp>
        <tr r="V409" s="7"/>
      </tp>
      <tp t="s">
        <v>表示銘柄数超過</v>
        <stp/>
        <stp>Market</stp>
        <stp>STOCK</stp>
        <stp>39870.T</stp>
        <stp>出来高</stp>
        <tr r="V403" s="7"/>
      </tp>
      <tp t="s">
        <v>表示銘柄数超過</v>
        <stp/>
        <stp>Market</stp>
        <stp>STOCK</stp>
        <stp>39890.T</stp>
        <stp>出来高</stp>
        <tr r="V404" s="7"/>
      </tp>
      <tp t="s">
        <v>表示銘柄数超過</v>
        <stp/>
        <stp>Market</stp>
        <stp>STOCK</stp>
        <stp>38520.T</stp>
        <stp>出来高</stp>
        <tr r="V375" s="7"/>
      </tp>
      <tp t="s">
        <v>表示銘柄数超過</v>
        <stp/>
        <stp>Market</stp>
        <stp>STOCK</stp>
        <stp>38530.T</stp>
        <stp>出来高</stp>
        <tr r="V376" s="7"/>
      </tp>
      <tp t="s">
        <v>表示銘柄数超過</v>
        <stp/>
        <stp>Market</stp>
        <stp>STOCK</stp>
        <stp>38500.T</stp>
        <stp>出来高</stp>
        <tr r="V373" s="7"/>
      </tp>
      <tp t="s">
        <v>表示銘柄数超過</v>
        <stp/>
        <stp>Market</stp>
        <stp>STOCK</stp>
        <stp>38510.T</stp>
        <stp>出来高</stp>
        <tr r="V374" s="7"/>
      </tp>
      <tp t="s">
        <v>表示銘柄数超過</v>
        <stp/>
        <stp>Market</stp>
        <stp>STOCK</stp>
        <stp>38560.T</stp>
        <stp>出来高</stp>
        <tr r="V377" s="7"/>
      </tp>
      <tp t="s">
        <v>表示銘柄数超過</v>
        <stp/>
        <stp>Market</stp>
        <stp>STOCK</stp>
        <stp>38580.T</stp>
        <stp>出来高</stp>
        <tr r="V378" s="7"/>
      </tp>
      <tp t="s">
        <v>表示銘柄数超過</v>
        <stp/>
        <stp>Market</stp>
        <stp>STOCK</stp>
        <stp>38420.T</stp>
        <stp>出来高</stp>
        <tr r="V371" s="7"/>
      </tp>
      <tp t="s">
        <v>表示銘柄数超過</v>
        <stp/>
        <stp>Market</stp>
        <stp>STOCK</stp>
        <stp>38400.T</stp>
        <stp>出来高</stp>
        <tr r="V370" s="7"/>
      </tp>
      <tp t="s">
        <v>表示銘柄数超過</v>
        <stp/>
        <stp>Market</stp>
        <stp>STOCK</stp>
        <stp>38450.T</stp>
        <stp>出来高</stp>
        <tr r="V372" s="7"/>
      </tp>
      <tp t="s">
        <v>表示銘柄数超過</v>
        <stp/>
        <stp>Market</stp>
        <stp>STOCK</stp>
        <stp>38630.T</stp>
        <stp>出来高</stp>
        <tr r="V380" s="7"/>
      </tp>
      <tp t="s">
        <v>表示銘柄数超過</v>
        <stp/>
        <stp>Market</stp>
        <stp>STOCK</stp>
        <stp>38610.T</stp>
        <stp>出来高</stp>
        <tr r="V379" s="7"/>
      </tp>
      <tp t="s">
        <v>表示銘柄数超過</v>
        <stp/>
        <stp>Market</stp>
        <stp>STOCK</stp>
        <stp>38640.T</stp>
        <stp>出来高</stp>
        <tr r="V381" s="7"/>
      </tp>
      <tp t="s">
        <v>表示銘柄数超過</v>
        <stp/>
        <stp>Market</stp>
        <stp>STOCK</stp>
        <stp>38650.T</stp>
        <stp>出来高</stp>
        <tr r="V382" s="7"/>
      </tp>
      <tp t="s">
        <v>表示銘柄数超過</v>
        <stp/>
        <stp>Market</stp>
        <stp>STOCK</stp>
        <stp>38100.T</stp>
        <stp>出来高</stp>
        <tr r="V362" s="7"/>
      </tp>
      <tp t="s">
        <v>表示銘柄数超過</v>
        <stp/>
        <stp>Market</stp>
        <stp>STOCK</stp>
        <stp>38160.T</stp>
        <stp>出来高</stp>
        <tr r="V365" s="7"/>
      </tp>
      <tp t="s">
        <v>表示銘柄数超過</v>
        <stp/>
        <stp>Market</stp>
        <stp>STOCK</stp>
        <stp>38140.T</stp>
        <stp>出来高</stp>
        <tr r="V363" s="7"/>
      </tp>
      <tp t="s">
        <v>表示銘柄数超過</v>
        <stp/>
        <stp>Market</stp>
        <stp>STOCK</stp>
        <stp>38150.T</stp>
        <stp>出来高</stp>
        <tr r="V364" s="7"/>
      </tp>
      <tp t="s">
        <v>表示銘柄数超過</v>
        <stp/>
        <stp>Market</stp>
        <stp>STOCK</stp>
        <stp>38070.T</stp>
        <stp>出来高</stp>
        <tr r="V361" s="7"/>
      </tp>
      <tp t="s">
        <v>表示銘柄数超過</v>
        <stp/>
        <stp>Market</stp>
        <stp>STOCK</stp>
        <stp>38350.T</stp>
        <stp>出来高</stp>
        <tr r="V369" s="7"/>
      </tp>
      <tp t="s">
        <v>表示銘柄数超過</v>
        <stp/>
        <stp>Market</stp>
        <stp>STOCK</stp>
        <stp>38230.T</stp>
        <stp>出来高</stp>
        <tr r="V366" s="7"/>
      </tp>
      <tp t="s">
        <v>表示銘柄数超過</v>
        <stp/>
        <stp>Market</stp>
        <stp>STOCK</stp>
        <stp>38260.T</stp>
        <stp>出来高</stp>
        <tr r="V368" s="7"/>
      </tp>
      <tp t="s">
        <v>表示銘柄数超過</v>
        <stp/>
        <stp>Market</stp>
        <stp>STOCK</stp>
        <stp>38250.T</stp>
        <stp>出来高</stp>
        <tr r="V367" s="7"/>
      </tp>
      <tp t="s">
        <v>表示銘柄数超過</v>
        <stp/>
        <stp>Market</stp>
        <stp>STOCK</stp>
        <stp>38800.T</stp>
        <stp>出来高</stp>
        <tr r="V383" s="7"/>
      </tp>
      <tp>
        <v>448.7</v>
        <stp/>
        <stp>Market</stp>
        <stp>STOCK</stp>
        <stp>98310.T</stp>
        <stp>高値</stp>
        <tr r="N1171" s="7"/>
      </tp>
      <tp t="s">
        <v>表示銘柄数超過</v>
        <stp/>
        <stp>Market</stp>
        <stp>STOCK</stp>
        <stp>92410.T</stp>
        <stp>高値</stp>
        <tr r="N1100" s="7"/>
      </tp>
      <tp t="s">
        <v>表示銘柄数超過</v>
        <stp/>
        <stp>Market</stp>
        <stp>STOCK</stp>
        <stp>93610.T</stp>
        <stp>高値</stp>
        <tr r="N1111" s="7"/>
      </tp>
      <tp t="s">
        <v>表示銘柄数超過</v>
        <stp/>
        <stp>Market</stp>
        <stp>STOCK</stp>
        <stp>90410.T</stp>
        <stp>高値</stp>
        <tr r="N1085" s="7"/>
      </tp>
      <tp t="s">
        <v>表示銘柄数超過</v>
        <stp/>
        <stp>Market</stp>
        <stp>STOCK</stp>
        <stp>90010.T</stp>
        <stp>高値</stp>
        <tr r="N1073" s="7"/>
      </tp>
      <tp t="s">
        <v>表示銘柄数超過</v>
        <stp/>
        <stp>Market</stp>
        <stp>STOCK</stp>
        <stp>91010.T</stp>
        <stp>高値</stp>
        <tr r="N1093" s="7"/>
      </tp>
      <tp t="s">
        <v>表示銘柄数超過</v>
        <stp/>
        <stp>Market</stp>
        <stp>STOCK</stp>
        <stp>94010.T</stp>
        <stp>高値</stp>
        <tr r="N1114" s="7"/>
      </tp>
      <tp t="s">
        <v>表示銘柄数超過</v>
        <stp/>
        <stp>Market</stp>
        <stp>STOCK</stp>
        <stp>94210.T</stp>
        <stp>高値</stp>
        <tr r="N1123" s="7"/>
      </tp>
      <tp t="s">
        <v>表示銘柄数超過</v>
        <stp/>
        <stp>Market</stp>
        <stp>STOCK</stp>
        <stp>95110.T</stp>
        <stp>高値</stp>
        <tr r="N1149" s="7"/>
      </tp>
      <tp t="s">
        <v>表示銘柄数超過</v>
        <stp/>
        <stp>Market</stp>
        <stp>STOCK</stp>
        <stp>95010.T</stp>
        <stp>高値</stp>
        <tr r="N1140" s="7"/>
      </tp>
      <tp t="s">
        <v>表示銘柄数超過</v>
        <stp/>
        <stp>Market</stp>
        <stp>STOCK</stp>
        <stp>95310.T</stp>
        <stp>高値</stp>
        <tr r="N1153" s="7"/>
      </tp>
      <tp t="s">
        <v>表示銘柄数超過</v>
        <stp/>
        <stp>Market</stp>
        <stp>STOCK</stp>
        <stp>88810.T</stp>
        <stp>高値</stp>
        <tr r="N1057" s="7"/>
      </tp>
      <tp t="s">
        <v>表示銘柄数超過</v>
        <stp/>
        <stp>Market</stp>
        <stp>STOCK</stp>
        <stp>88410.T</stp>
        <stp>高値</stp>
        <tr r="N1055" s="7"/>
      </tp>
      <tp t="s">
        <v>表示銘柄数超過</v>
        <stp/>
        <stp>Market</stp>
        <stp>STOCK</stp>
        <stp>88010.T</stp>
        <stp>高値</stp>
        <tr r="N1050" s="7"/>
      </tp>
      <tp>
        <v>497</v>
        <stp/>
        <stp>Market</stp>
        <stp>STOCK</stp>
        <stp>82910.T</stp>
        <stp>高値</stp>
        <tr r="N1002" s="7"/>
      </tp>
      <tp>
        <v>1104</v>
        <stp/>
        <stp>Market</stp>
        <stp>STOCK</stp>
        <stp>83310.T</stp>
        <stp>高値</stp>
        <tr r="N1004" s="7"/>
      </tp>
      <tp>
        <v>1516</v>
        <stp/>
        <stp>Market</stp>
        <stp>STOCK</stp>
        <stp>80810.T</stp>
        <stp>高値</stp>
        <tr r="N974" s="7"/>
      </tp>
      <tp>
        <v>6736</v>
        <stp/>
        <stp>Market</stp>
        <stp>STOCK</stp>
        <stp>80010.T</stp>
        <stp>高値</stp>
        <tr r="N964" s="7"/>
      </tp>
      <tp>
        <v>5893</v>
        <stp/>
        <stp>Market</stp>
        <stp>STOCK</stp>
        <stp>80310.T</stp>
        <stp>高値</stp>
        <tr r="N969" s="7"/>
      </tp>
      <tp>
        <v>1012</v>
        <stp/>
        <stp>Market</stp>
        <stp>STOCK</stp>
        <stp>86010.T</stp>
        <stp>高値</stp>
        <tr r="N1025" s="7"/>
      </tp>
      <tp>
        <v>2897.5</v>
        <stp/>
        <stp>Market</stp>
        <stp>STOCK</stp>
        <stp>85910.T</stp>
        <stp>高値</stp>
        <tr r="N1023" s="7"/>
      </tp>
      <tp>
        <v>1576</v>
        <stp/>
        <stp>Market</stp>
        <stp>STOCK</stp>
        <stp>85110.T</stp>
        <stp>高値</stp>
        <tr r="N1015" s="7"/>
      </tp>
      <tp>
        <v>253</v>
        <stp/>
        <stp>Market</stp>
        <stp>STOCK</stp>
        <stp>78510.T</stp>
        <stp>高値</stp>
        <tr r="N946" s="7"/>
      </tp>
      <tp>
        <v>404</v>
        <stp/>
        <stp>Market</stp>
        <stp>STOCK</stp>
        <stp>79710.T</stp>
        <stp>高値</stp>
        <tr r="N960" s="7"/>
      </tp>
      <tp>
        <v>3985</v>
        <stp/>
        <stp>Market</stp>
        <stp>STOCK</stp>
        <stp>79110.T</stp>
        <stp>高値</stp>
        <tr r="N954" s="7"/>
      </tp>
      <tp>
        <v>610</v>
        <stp/>
        <stp>Market</stp>
        <stp>STOCK</stp>
        <stp>72910.T</stp>
        <stp>高値</stp>
        <tr r="N871" s="7"/>
      </tp>
      <tp>
        <v>1935</v>
        <stp/>
        <stp>Market</stp>
        <stp>STOCK</stp>
        <stp>72610.T</stp>
        <stp>高値</stp>
        <tr r="N863" s="7"/>
      </tp>
      <tp>
        <v>458.7</v>
        <stp/>
        <stp>Market</stp>
        <stp>STOCK</stp>
        <stp>72110.T</stp>
        <stp>高値</stp>
        <tr r="N848" s="7"/>
      </tp>
      <tp>
        <v>623</v>
        <stp/>
        <stp>Market</stp>
        <stp>STOCK</stp>
        <stp>72010.T</stp>
        <stp>高値</stp>
        <tr r="N844" s="7"/>
      </tp>
      <tp>
        <v>582</v>
        <stp/>
        <stp>Market</stp>
        <stp>STOCK</stp>
        <stp>73510.T</stp>
        <stp>高値</stp>
        <tr r="N878" s="7"/>
      </tp>
      <tp>
        <v>516</v>
        <stp/>
        <stp>Market</stp>
        <stp>STOCK</stp>
        <stp>73710.T</stp>
        <stp>高値</stp>
        <tr r="N882" s="7"/>
      </tp>
      <tp>
        <v>530</v>
        <stp/>
        <stp>Market</stp>
        <stp>STOCK</stp>
        <stp>70410.T</stp>
        <stp>高値</stp>
        <tr r="N812" s="7"/>
      </tp>
      <tp>
        <v>10800</v>
        <stp/>
        <stp>Market</stp>
        <stp>STOCK</stp>
        <stp>70110.T</stp>
        <stp>高値</stp>
        <tr r="N806" s="7"/>
      </tp>
      <tp>
        <v>1233</v>
        <stp/>
        <stp>Market</stp>
        <stp>STOCK</stp>
        <stp>70310.T</stp>
        <stp>高値</stp>
        <tr r="N810" s="7"/>
      </tp>
      <tp>
        <v>564</v>
        <stp/>
        <stp>Market</stp>
        <stp>STOCK</stp>
        <stp>71610.T</stp>
        <stp>高値</stp>
        <tr r="N832" s="7"/>
      </tp>
      <tp>
        <v>84</v>
        <stp/>
        <stp>Market</stp>
        <stp>STOCK</stp>
        <stp>71110.T</stp>
        <stp>高値</stp>
        <tr r="N826" s="7"/>
      </tp>
      <tp>
        <v>267</v>
        <stp/>
        <stp>Market</stp>
        <stp>STOCK</stp>
        <stp>76010.T</stp>
        <stp>高値</stp>
        <tr r="N909" s="7"/>
      </tp>
      <tp>
        <v>4087</v>
        <stp/>
        <stp>Market</stp>
        <stp>STOCK</stp>
        <stp>77510.T</stp>
        <stp>高値</stp>
        <tr r="N928" s="7"/>
      </tp>
      <tp>
        <v>72</v>
        <stp/>
        <stp>Market</stp>
        <stp>STOCK</stp>
        <stp>77710.T</stp>
        <stp>高値</stp>
        <tr r="N931" s="7"/>
      </tp>
      <tp>
        <v>1874</v>
        <stp/>
        <stp>Market</stp>
        <stp>STOCK</stp>
        <stp>74810.T</stp>
        <stp>高値</stp>
        <tr r="N893" s="7"/>
      </tp>
      <tp>
        <v>4285</v>
        <stp/>
        <stp>Market</stp>
        <stp>STOCK</stp>
        <stp>68710.T</stp>
        <stp>高値</stp>
        <tr r="N782" s="7"/>
      </tp>
      <tp>
        <v>3051</v>
        <stp/>
        <stp>Market</stp>
        <stp>STOCK</stp>
        <stp>69810.T</stp>
        <stp>高値</stp>
        <tr r="N798" s="7"/>
      </tp>
      <tp>
        <v>2376</v>
        <stp/>
        <stp>Market</stp>
        <stp>STOCK</stp>
        <stp>69410.T</stp>
        <stp>高値</stp>
        <tr r="N791" s="7"/>
      </tp>
      <tp>
        <v>1309</v>
        <stp/>
        <stp>Market</stp>
        <stp>STOCK</stp>
        <stp>63810.T</stp>
        <stp>高値</stp>
        <tr r="N696" s="7"/>
      </tp>
      <tp>
        <v>4352</v>
        <stp/>
        <stp>Market</stp>
        <stp>STOCK</stp>
        <stp>63010.T</stp>
        <stp>高値</stp>
        <tr r="N686" s="7"/>
      </tp>
      <tp>
        <v>536</v>
        <stp/>
        <stp>Market</stp>
        <stp>STOCK</stp>
        <stp>60910.T</stp>
        <stp>高値</stp>
        <tr r="N650" s="7"/>
      </tp>
      <tp>
        <v>295</v>
        <stp/>
        <stp>Market</stp>
        <stp>STOCK</stp>
        <stp>60810.T</stp>
        <stp>高値</stp>
        <tr r="N649" s="7"/>
      </tp>
      <tp>
        <v>789</v>
        <stp/>
        <stp>Market</stp>
        <stp>STOCK</stp>
        <stp>60310.T</stp>
        <stp>高値</stp>
        <tr r="N639" s="7"/>
      </tp>
      <tp>
        <v>115</v>
        <stp/>
        <stp>Market</stp>
        <stp>STOCK</stp>
        <stp>61810.T</stp>
        <stp>高値</stp>
        <tr r="N667" s="7"/>
      </tp>
      <tp>
        <v>959</v>
        <stp/>
        <stp>Market</stp>
        <stp>STOCK</stp>
        <stp>67410.T</stp>
        <stp>高値</stp>
        <tr r="N760" s="7"/>
      </tp>
      <tp>
        <v>9540</v>
        <stp/>
        <stp>Market</stp>
        <stp>STOCK</stp>
        <stp>67010.T</stp>
        <stp>高値</stp>
        <tr r="N754" s="7"/>
      </tp>
      <tp>
        <v>159</v>
        <stp/>
        <stp>Market</stp>
        <stp>STOCK</stp>
        <stp>67310.T</stp>
        <stp>高値</stp>
        <tr r="N758" s="7"/>
      </tp>
      <tp>
        <v>94</v>
        <stp/>
        <stp>Market</stp>
        <stp>STOCK</stp>
        <stp>67210.T</stp>
        <stp>高値</stp>
        <tr r="N756" s="7"/>
      </tp>
      <tp>
        <v>815.6</v>
        <stp/>
        <stp>Market</stp>
        <stp>STOCK</stp>
        <stp>64710.T</stp>
        <stp>高値</stp>
        <tr r="N706" s="7"/>
      </tp>
      <tp>
        <v>11910</v>
        <stp/>
        <stp>Market</stp>
        <stp>STOCK</stp>
        <stp>65010.T</stp>
        <stp>高値</stp>
        <tr r="N713" s="7"/>
      </tp>
      <tp>
        <v>2773</v>
        <stp/>
        <stp>Market</stp>
        <stp>STOCK</stp>
        <stp>58010.T</stp>
        <stp>高値</stp>
        <tr r="N611" s="7"/>
      </tp>
      <tp>
        <v>1242.5</v>
        <stp/>
        <stp>Market</stp>
        <stp>STOCK</stp>
        <stp>59910.T</stp>
        <stp>高値</stp>
        <tr r="N633" s="7"/>
      </tp>
      <tp>
        <v>1365</v>
        <stp/>
        <stp>Market</stp>
        <stp>STOCK</stp>
        <stp>59810.T</stp>
        <stp>高値</stp>
        <tr r="N631" s="7"/>
      </tp>
      <tp>
        <v>477</v>
        <stp/>
        <stp>Market</stp>
        <stp>STOCK</stp>
        <stp>53810.T</stp>
        <stp>高値</stp>
        <tr r="N589" s="7"/>
      </tp>
      <tp>
        <v>435</v>
        <stp/>
        <stp>Market</stp>
        <stp>STOCK</stp>
        <stp>53410.T</stp>
        <stp>高値</stp>
        <tr r="N587" s="7"/>
      </tp>
      <tp t="s">
        <v>表示銘柄数超過</v>
        <stp/>
        <stp>Market</stp>
        <stp>STOCK</stp>
        <stp>50210.T</stp>
        <stp>高値</stp>
        <tr r="N563" s="7"/>
      </tp>
      <tp>
        <v>196</v>
        <stp/>
        <stp>Market</stp>
        <stp>STOCK</stp>
        <stp>51310.T</stp>
        <stp>高値</stp>
        <tr r="N572" s="7"/>
      </tp>
      <tp>
        <v>1453</v>
        <stp/>
        <stp>Market</stp>
        <stp>STOCK</stp>
        <stp>51210.T</stp>
        <stp>高値</stp>
        <tr r="N570" s="7"/>
      </tp>
      <tp>
        <v>2776</v>
        <stp/>
        <stp>Market</stp>
        <stp>STOCK</stp>
        <stp>57110.T</stp>
        <stp>高値</stp>
        <tr r="N607" s="7"/>
      </tp>
      <tp>
        <v>885</v>
        <stp/>
        <stp>Market</stp>
        <stp>STOCK</stp>
        <stp>54910.T</stp>
        <stp>高値</stp>
        <tr r="N598" s="7"/>
      </tp>
      <tp>
        <v>2334.5</v>
        <stp/>
        <stp>Market</stp>
        <stp>STOCK</stp>
        <stp>54110.T</stp>
        <stp>高値</stp>
        <tr r="N594" s="7"/>
      </tp>
      <tp>
        <v>3566</v>
        <stp/>
        <stp>Market</stp>
        <stp>STOCK</stp>
        <stp>54010.T</stp>
        <stp>高値</stp>
        <tr r="N590" s="7"/>
      </tp>
      <tp t="s">
        <v>表示銘柄数超過</v>
        <stp/>
        <stp>Market</stp>
        <stp>STOCK</stp>
        <stp>48910.T</stp>
        <stp>高値</stp>
        <tr r="N549" s="7"/>
      </tp>
      <tp t="s">
        <v>表示銘柄数超過</v>
        <stp/>
        <stp>Market</stp>
        <stp>STOCK</stp>
        <stp>48810.T</stp>
        <stp>高値</stp>
        <tr r="N545" s="7"/>
      </tp>
      <tp t="s">
        <v>表示銘柄数超過</v>
        <stp/>
        <stp>Market</stp>
        <stp>STOCK</stp>
        <stp>42410.T</stp>
        <stp>高値</stp>
        <tr r="N429" s="7"/>
      </tp>
      <tp t="s">
        <v>表示銘柄数超過</v>
        <stp/>
        <stp>Market</stp>
        <stp>STOCK</stp>
        <stp>40110.T</stp>
        <stp>高値</stp>
        <tr r="N411" s="7"/>
      </tp>
      <tp t="s">
        <v>表示銘柄数超過</v>
        <stp/>
        <stp>Market</stp>
        <stp>STOCK</stp>
        <stp>46510.T</stp>
        <stp>高値</stp>
        <tr r="N513" s="7"/>
      </tp>
      <tp t="s">
        <v>表示銘柄数超過</v>
        <stp/>
        <stp>Market</stp>
        <stp>STOCK</stp>
        <stp>46110.T</stp>
        <stp>高値</stp>
        <tr r="N508" s="7"/>
      </tp>
      <tp t="s">
        <v>表示銘柄数超過</v>
        <stp/>
        <stp>Market</stp>
        <stp>STOCK</stp>
        <stp>46310.T</stp>
        <stp>高値</stp>
        <tr r="N470" s="7"/>
      </tp>
      <tp t="s">
        <v>表示銘柄数超過</v>
        <stp/>
        <stp>Market</stp>
        <stp>STOCK</stp>
        <stp>47510.T</stp>
        <stp>高値</stp>
        <tr r="N528" s="7"/>
      </tp>
      <tp t="s">
        <v>表示銘柄数超過</v>
        <stp/>
        <stp>Market</stp>
        <stp>STOCK</stp>
        <stp>44410.T</stp>
        <stp>高値</stp>
        <tr r="N466" s="7"/>
      </tp>
      <tp t="s">
        <v>表示銘柄数超過</v>
        <stp/>
        <stp>Market</stp>
        <stp>STOCK</stp>
        <stp>45910.T</stp>
        <stp>高値</stp>
        <tr r="N502" s="7"/>
      </tp>
      <tp t="s">
        <v>表示銘柄数超過</v>
        <stp/>
        <stp>Market</stp>
        <stp>STOCK</stp>
        <stp>45710.T</stp>
        <stp>高値</stp>
        <tr r="N491" s="7"/>
      </tp>
      <tp t="s">
        <v>表示銘柄数超過</v>
        <stp/>
        <stp>Market</stp>
        <stp>STOCK</stp>
        <stp>45310.T</stp>
        <stp>高値</stp>
        <tr r="N483" s="7"/>
      </tp>
      <tp t="s">
        <v>表示銘柄数超過</v>
        <stp/>
        <stp>Market</stp>
        <stp>STOCK</stp>
        <stp>38510.T</stp>
        <stp>高値</stp>
        <tr r="N374" s="7"/>
      </tp>
      <tp t="s">
        <v>表示銘柄数超過</v>
        <stp/>
        <stp>Market</stp>
        <stp>STOCK</stp>
        <stp>38610.T</stp>
        <stp>高値</stp>
        <tr r="N379" s="7"/>
      </tp>
      <tp t="s">
        <v>表示銘柄数超過</v>
        <stp/>
        <stp>Market</stp>
        <stp>STOCK</stp>
        <stp>39110.T</stp>
        <stp>高値</stp>
        <tr r="N390" s="7"/>
      </tp>
      <tp t="s">
        <v>表示銘柄数超過</v>
        <stp/>
        <stp>Market</stp>
        <stp>STOCK</stp>
        <stp>32410.T</stp>
        <stp>高値</stp>
        <tr r="N262" s="7"/>
      </tp>
      <tp t="s">
        <v>表示銘柄数超過</v>
        <stp/>
        <stp>Market</stp>
        <stp>STOCK</stp>
        <stp>32710.T</stp>
        <stp>高値</stp>
        <tr r="N268" s="7"/>
      </tp>
      <tp t="s">
        <v>表示銘柄数超過</v>
        <stp/>
        <stp>Market</stp>
        <stp>STOCK</stp>
        <stp>32610.T</stp>
        <stp>高値</stp>
        <tr r="N265" s="7"/>
      </tp>
      <tp t="s">
        <v>表示銘柄数超過</v>
        <stp/>
        <stp>Market</stp>
        <stp>STOCK</stp>
        <stp>33410.T</stp>
        <stp>高値</stp>
        <tr r="N282" s="7"/>
      </tp>
      <tp t="s">
        <v>表示銘柄数超過</v>
        <stp/>
        <stp>Market</stp>
        <stp>STOCK</stp>
        <stp>30410.T</stp>
        <stp>高値</stp>
        <tr r="N231" s="7"/>
      </tp>
      <tp t="s">
        <v>表示銘柄数超過</v>
        <stp/>
        <stp>Market</stp>
        <stp>STOCK</stp>
        <stp>30710.T</stp>
        <stp>高値</stp>
        <tr r="N237" s="7"/>
      </tp>
      <tp t="s">
        <v>表示銘柄数超過</v>
        <stp/>
        <stp>Market</stp>
        <stp>STOCK</stp>
        <stp>30310.T</stp>
        <stp>高値</stp>
        <tr r="N226" s="7"/>
      </tp>
      <tp t="s">
        <v>表示銘柄数超過</v>
        <stp/>
        <stp>Market</stp>
        <stp>STOCK</stp>
        <stp>30210.T</stp>
        <stp>高値</stp>
        <tr r="N224" s="7"/>
      </tp>
      <tp t="s">
        <v>表示銘柄数超過</v>
        <stp/>
        <stp>Market</stp>
        <stp>STOCK</stp>
        <stp>31410.T</stp>
        <stp>高値</stp>
        <tr r="N247" s="7"/>
      </tp>
      <tp t="s">
        <v>表示銘柄数超過</v>
        <stp/>
        <stp>Market</stp>
        <stp>STOCK</stp>
        <stp>31010.T</stp>
        <stp>高値</stp>
        <tr r="N241" s="7"/>
      </tp>
      <tp t="s">
        <v>表示銘柄数超過</v>
        <stp/>
        <stp>Market</stp>
        <stp>STOCK</stp>
        <stp>31210.T</stp>
        <stp>高値</stp>
        <tr r="N244" s="7"/>
      </tp>
      <tp t="s">
        <v>表示銘柄数超過</v>
        <stp/>
        <stp>Market</stp>
        <stp>STOCK</stp>
        <stp>36910.T</stp>
        <stp>高値</stp>
        <tr r="N341" s="7"/>
      </tp>
      <tp t="s">
        <v>表示銘柄数超過</v>
        <stp/>
        <stp>Market</stp>
        <stp>STOCK</stp>
        <stp>36810.T</stp>
        <stp>高値</stp>
        <tr r="N337" s="7"/>
      </tp>
      <tp t="s">
        <v>表示銘柄数超過</v>
        <stp/>
        <stp>Market</stp>
        <stp>STOCK</stp>
        <stp>37410.T</stp>
        <stp>高値</stp>
        <tr r="N349" s="7"/>
      </tp>
      <tp t="s">
        <v>表示銘柄数超過</v>
        <stp/>
        <stp>Market</stp>
        <stp>STOCK</stp>
        <stp>34610.T</stp>
        <stp>高値</stp>
        <tr r="N301" s="7"/>
      </tp>
      <tp t="s">
        <v>表示銘柄数超過</v>
        <stp/>
        <stp>Market</stp>
        <stp>STOCK</stp>
        <stp>34010.T</stp>
        <stp>高値</stp>
        <tr r="N294" s="7"/>
      </tp>
      <tp t="s">
        <v>表示銘柄数超過</v>
        <stp/>
        <stp>Market</stp>
        <stp>STOCK</stp>
        <stp>35510.T</stp>
        <stp>高値</stp>
        <tr r="N307" s="7"/>
      </tp>
      <tp t="s">
        <v>表示銘柄数超過</v>
        <stp/>
        <stp>Market</stp>
        <stp>STOCK</stp>
        <stp>35410.T</stp>
        <stp>高値</stp>
        <tr r="N305" s="7"/>
      </tp>
      <tp t="s">
        <v>表示銘柄数超過</v>
        <stp/>
        <stp>Market</stp>
        <stp>STOCK</stp>
        <stp>35610.T</stp>
        <stp>高値</stp>
        <tr r="N309" s="7"/>
      </tp>
      <tp t="s">
        <v>表示銘柄数超過</v>
        <stp/>
        <stp>Market</stp>
        <stp>STOCK</stp>
        <stp>35210.T</stp>
        <stp>高値</stp>
        <tr r="N303" s="7"/>
      </tp>
      <tp t="s">
        <v>表示銘柄数超過</v>
        <stp/>
        <stp>Market</stp>
        <stp>STOCK</stp>
        <stp>28510.T</stp>
        <stp>高値</stp>
        <tr r="N203" s="7"/>
      </tp>
      <tp t="s">
        <v>表示銘柄数超過</v>
        <stp/>
        <stp>Market</stp>
        <stp>STOCK</stp>
        <stp>29010.T</stp>
        <stp>高値</stp>
        <tr r="N213" s="7"/>
      </tp>
      <tp t="s">
        <v>表示銘柄数超過</v>
        <stp/>
        <stp>Market</stp>
        <stp>STOCK</stp>
        <stp>22410.T</stp>
        <stp>高値</stp>
        <tr r="N107" s="7"/>
      </tp>
      <tp t="s">
        <v>表示銘柄数超過</v>
        <stp/>
        <stp>Market</stp>
        <stp>STOCK</stp>
        <stp>23510.T</stp>
        <stp>高値</stp>
        <tr r="N123" s="7"/>
      </tp>
      <tp t="s">
        <v>表示銘柄数超過</v>
        <stp/>
        <stp>Market</stp>
        <stp>STOCK</stp>
        <stp>23410.T</stp>
        <stp>高値</stp>
        <tr r="N120" s="7"/>
      </tp>
      <tp t="s">
        <v>表示銘柄数超過</v>
        <stp/>
        <stp>Market</stp>
        <stp>STOCK</stp>
        <stp>23210.T</stp>
        <stp>高値</stp>
        <tr r="N115" s="7"/>
      </tp>
      <tp t="s">
        <v>表示銘柄数超過</v>
        <stp/>
        <stp>Market</stp>
        <stp>STOCK</stp>
        <stp>26810.T</stp>
        <stp>高値</stp>
        <tr r="N180" s="7"/>
      </tp>
      <tp t="s">
        <v>表示銘柄数超過</v>
        <stp/>
        <stp>Market</stp>
        <stp>STOCK</stp>
        <stp>26510.T</stp>
        <stp>高値</stp>
        <tr r="N175" s="7"/>
      </tp>
      <tp t="s">
        <v>表示銘柄数超過</v>
        <stp/>
        <stp>Market</stp>
        <stp>STOCK</stp>
        <stp>26210.T</stp>
        <stp>高値</stp>
        <tr r="N170" s="7"/>
      </tp>
      <tp t="s">
        <v>表示銘柄数超過</v>
        <stp/>
        <stp>Market</stp>
        <stp>STOCK</stp>
        <stp>27210.T</stp>
        <stp>高値</stp>
        <tr r="N187" s="7"/>
      </tp>
      <tp t="s">
        <v>表示銘柄数超過</v>
        <stp/>
        <stp>Market</stp>
        <stp>STOCK</stp>
        <stp>24710.T</stp>
        <stp>高値</stp>
        <tr r="N149" s="7"/>
      </tp>
      <tp t="s">
        <v>表示銘柄数超過</v>
        <stp/>
        <stp>Market</stp>
        <stp>STOCK</stp>
        <stp>24610.T</stp>
        <stp>高値</stp>
        <tr r="N147" s="7"/>
      </tp>
      <tp t="s">
        <v>表示銘柄数超過</v>
        <stp/>
        <stp>Market</stp>
        <stp>STOCK</stp>
        <stp>24110.T</stp>
        <stp>高値</stp>
        <tr r="N136" s="7"/>
      </tp>
      <tp t="s">
        <v>表示銘柄数超過</v>
        <stp/>
        <stp>Market</stp>
        <stp>STOCK</stp>
        <stp>25010.T</stp>
        <stp>高値</stp>
        <tr r="N156" s="7"/>
      </tp>
      <tp t="s">
        <v>表示銘柄数超過</v>
        <stp/>
        <stp>Market</stp>
        <stp>STOCK</stp>
        <stp>18210.T</stp>
        <stp>高値</stp>
        <tr r="N62" s="7"/>
      </tp>
      <tp t="s">
        <v>表示銘柄数超過</v>
        <stp/>
        <stp>Market</stp>
        <stp>STOCK</stp>
        <stp>19410.T</stp>
        <stp>高値</stp>
        <tr r="N79" s="7"/>
      </tp>
      <tp t="s">
        <v>表示銘柄数超過</v>
        <stp/>
        <stp>Market</stp>
        <stp>STOCK</stp>
        <stp>19710.T</stp>
        <stp>高値</stp>
        <tr r="N85" s="7"/>
      </tp>
      <tp t="s">
        <v>表示銘柄数超過</v>
        <stp/>
        <stp>Market</stp>
        <stp>STOCK</stp>
        <stp>19110.T</stp>
        <stp>高値</stp>
        <tr r="N72" s="7"/>
      </tp>
      <tp t="s">
        <v>表示銘柄数超過</v>
        <stp/>
        <stp>Market</stp>
        <stp>STOCK</stp>
        <stp>13110.T</stp>
        <stp>高値</stp>
        <tr r="N5" s="7"/>
      </tp>
      <tp t="s">
        <v>表示銘柄数超過</v>
        <stp/>
        <stp>Market</stp>
        <stp>STOCK</stp>
        <stp>16710.T</stp>
        <stp>高値</stp>
        <tr r="N41" s="7"/>
      </tp>
      <tp t="s">
        <v>表示銘柄数超過</v>
        <stp/>
        <stp>Market</stp>
        <stp>STOCK</stp>
        <stp>17110.T</stp>
        <stp>高値</stp>
        <tr r="N46" s="7"/>
      </tp>
      <tp t="s">
        <v>表示銘柄数超過</v>
        <stp/>
        <stp>Market</stp>
        <stp>STOCK</stp>
        <stp>17210.T</stp>
        <stp>高値</stp>
        <tr r="N51" s="7"/>
      </tp>
      <tp t="s">
        <v>表示銘柄数超過</v>
        <stp/>
        <stp>Market</stp>
        <stp>STOCK</stp>
        <stp>14910.T</stp>
        <stp>高値</stp>
        <tr r="N29" s="7"/>
      </tp>
      <tp t="s">
        <v>表示銘柄数超過</v>
        <stp/>
        <stp>Market</stp>
        <stp>STOCK</stp>
        <stp>14510.T</stp>
        <stp>高値</stp>
        <tr r="N25" s="7"/>
      </tp>
      <tp t="s">
        <v>表示銘柄数超過</v>
        <stp/>
        <stp>Market</stp>
        <stp>STOCK</stp>
        <stp>14010.T</stp>
        <stp>高値</stp>
        <tr r="N18" s="7"/>
      </tp>
      <tp t="s">
        <v>表示銘柄数超過</v>
        <stp/>
        <stp>Market</stp>
        <stp>STOCK</stp>
        <stp>15510.T</stp>
        <stp>高値</stp>
        <tr r="N31" s="7"/>
      </tp>
      <tp t="s">
        <v>表示銘柄数超過</v>
        <stp/>
        <stp>Market</stp>
        <stp>STOCK</stp>
        <stp>15710.T</stp>
        <stp>高値</stp>
        <tr r="N34" s="7"/>
      </tp>
    </main>
    <main first="rtdsrv.662c26bade854d00aebc6010f8a2e03a">
      <tp t="s">
        <v>表示銘柄数超過</v>
        <stp/>
        <stp>Market</stp>
        <stp>STOCK</stp>
        <stp>98420.T</stp>
        <stp>高値</stp>
        <tr r="N1172" s="7"/>
      </tp>
      <tp t="s">
        <v>表示銘柄数超過</v>
        <stp/>
        <stp>Market</stp>
        <stp>STOCK</stp>
        <stp>98120.T</stp>
        <stp>高値</stp>
        <tr r="N1170" s="7"/>
      </tp>
      <tp t="s">
        <v>表示銘柄数超過</v>
        <stp/>
        <stp>Market</stp>
        <stp>STOCK</stp>
        <stp>99820.T</stp>
        <stp>高値</stp>
        <tr r="N1188" s="7"/>
      </tp>
      <tp t="s">
        <v>表示銘柄数超過</v>
        <stp/>
        <stp>Market</stp>
        <stp>STOCK</stp>
        <stp>92720.T</stp>
        <stp>高値</stp>
        <tr r="N1106" s="7"/>
      </tp>
      <tp t="s">
        <v>表示銘柄数超過</v>
        <stp/>
        <stp>Market</stp>
        <stp>STOCK</stp>
        <stp>90420.T</stp>
        <stp>高値</stp>
        <tr r="N1086" s="7"/>
      </tp>
      <tp t="s">
        <v>表示銘柄数超過</v>
        <stp/>
        <stp>Market</stp>
        <stp>STOCK</stp>
        <stp>90220.T</stp>
        <stp>高値</stp>
        <tr r="N1082" s="7"/>
      </tp>
      <tp t="s">
        <v>表示銘柄数超過</v>
        <stp/>
        <stp>Market</stp>
        <stp>STOCK</stp>
        <stp>91420.T</stp>
        <stp>高値</stp>
        <tr r="N1098" s="7"/>
      </tp>
      <tp t="s">
        <v>表示銘柄数超過</v>
        <stp/>
        <stp>Market</stp>
        <stp>STOCK</stp>
        <stp>97820.T</stp>
        <stp>高値</stp>
        <tr r="N1166" s="7"/>
      </tp>
      <tp t="s">
        <v>表示銘柄数超過</v>
        <stp/>
        <stp>Market</stp>
        <stp>STOCK</stp>
        <stp>94120.T</stp>
        <stp>高値</stp>
        <tr r="N1118" s="7"/>
      </tp>
      <tp>
        <v>184.1</v>
        <stp/>
        <stp>Market</stp>
        <stp>STOCK</stp>
        <stp>94320.T</stp>
        <stp>高値</stp>
        <tr r="N1127" s="7"/>
      </tp>
      <tp t="s">
        <v>表示銘柄数超過</v>
        <stp/>
        <stp>Market</stp>
        <stp>STOCK</stp>
        <stp>95020.T</stp>
        <stp>高値</stp>
        <tr r="N1141" s="7"/>
      </tp>
      <tp t="s">
        <v>表示銘柄数超過</v>
        <stp/>
        <stp>Market</stp>
        <stp>STOCK</stp>
        <stp>95320.T</stp>
        <stp>高値</stp>
        <tr r="N1154" s="7"/>
      </tp>
      <tp t="s">
        <v>表示銘柄数超過</v>
        <stp/>
        <stp>Market</stp>
        <stp>STOCK</stp>
        <stp>95220.T</stp>
        <stp>高値</stp>
        <tr r="N1152" s="7"/>
      </tp>
      <tp t="s">
        <v>表示銘柄数超過</v>
        <stp/>
        <stp>Market</stp>
        <stp>STOCK</stp>
        <stp>88020.T</stp>
        <stp>高値</stp>
        <tr r="N1051" s="7"/>
      </tp>
      <tp t="s">
        <v>表示銘柄数超過</v>
        <stp/>
        <stp>Market</stp>
        <stp>STOCK</stp>
        <stp>89120.T</stp>
        <stp>高値</stp>
        <tr r="N1063" s="7"/>
      </tp>
      <tp>
        <v>2484</v>
        <stp/>
        <stp>Market</stp>
        <stp>STOCK</stp>
        <stp>82520.T</stp>
        <stp>高値</stp>
        <tr r="N999" s="7"/>
      </tp>
      <tp>
        <v>1835</v>
        <stp/>
        <stp>Market</stp>
        <stp>STOCK</stp>
        <stp>82420.T</stp>
        <stp>高値</stp>
        <tr r="N996" s="7"/>
      </tp>
      <tp>
        <v>246</v>
        <stp/>
        <stp>Market</stp>
        <stp>STOCK</stp>
        <stp>82020.T</stp>
        <stp>高値</stp>
        <tr r="N990" s="7"/>
      </tp>
      <tp>
        <v>452</v>
        <stp/>
        <stp>Market</stp>
        <stp>STOCK</stp>
        <stp>86220.T</stp>
        <stp>高値</stp>
        <tr r="N1032" s="7"/>
      </tp>
      <tp>
        <v>256</v>
        <stp/>
        <stp>Market</stp>
        <stp>STOCK</stp>
        <stp>87420.T</stp>
        <stp>高値</stp>
        <tr r="N1042" s="7"/>
      </tp>
      <tp>
        <v>305</v>
        <stp/>
        <stp>Market</stp>
        <stp>STOCK</stp>
        <stp>87320.T</stp>
        <stp>高値</stp>
        <tr r="N1040" s="7"/>
      </tp>
      <tp>
        <v>496</v>
        <stp/>
        <stp>Market</stp>
        <stp>STOCK</stp>
        <stp>84620.T</stp>
        <stp>高値</stp>
        <tr r="N1012" s="7"/>
      </tp>
      <tp>
        <v>372</v>
        <stp/>
        <stp>Market</stp>
        <stp>STOCK</stp>
        <stp>85720.T</stp>
        <stp>高値</stp>
        <tr r="N1021" s="7"/>
      </tp>
      <tp>
        <v>233</v>
        <stp/>
        <stp>Market</stp>
        <stp>STOCK</stp>
        <stp>85620.T</stp>
        <stp>高値</stp>
        <tr r="N1019" s="7"/>
      </tp>
      <tp>
        <v>1564</v>
        <stp/>
        <stp>Market</stp>
        <stp>STOCK</stp>
        <stp>79720.T</stp>
        <stp>高値</stp>
        <tr r="N961" s="7"/>
      </tp>
      <tp>
        <v>1442</v>
        <stp/>
        <stp>Market</stp>
        <stp>STOCK</stp>
        <stp>72720.T</stp>
        <stp>高値</stp>
        <tr r="N868" s="7"/>
      </tp>
      <tp>
        <v>696</v>
        <stp/>
        <stp>Market</stp>
        <stp>STOCK</stp>
        <stp>72120.T</stp>
        <stp>高値</stp>
        <tr r="N849" s="7"/>
      </tp>
      <tp>
        <v>2068.5</v>
        <stp/>
        <stp>Market</stp>
        <stp>STOCK</stp>
        <stp>72020.T</stp>
        <stp>高値</stp>
        <tr r="N845" s="7"/>
      </tp>
      <tp>
        <v>992</v>
        <stp/>
        <stp>Market</stp>
        <stp>STOCK</stp>
        <stp>72220.T</stp>
        <stp>高値</stp>
        <tr r="N852" s="7"/>
      </tp>
      <tp>
        <v>1664</v>
        <stp/>
        <stp>Market</stp>
        <stp>STOCK</stp>
        <stp>73420.T</stp>
        <stp>高値</stp>
        <tr r="N876" s="7"/>
      </tp>
      <tp>
        <v>1018</v>
        <stp/>
        <stp>Market</stp>
        <stp>STOCK</stp>
        <stp>70620.T</stp>
        <stp>高値</stp>
        <tr r="N820" s="7"/>
      </tp>
      <tp>
        <v>3519</v>
        <stp/>
        <stp>Market</stp>
        <stp>STOCK</stp>
        <stp>70120.T</stp>
        <stp>高値</stp>
        <tr r="N807" s="7"/>
      </tp>
      <tp>
        <v>1505</v>
        <stp/>
        <stp>Market</stp>
        <stp>STOCK</stp>
        <stp>71820.T</stp>
        <stp>高値</stp>
        <tr r="N839" s="7"/>
      </tp>
      <tp>
        <v>945</v>
        <stp/>
        <stp>Market</stp>
        <stp>STOCK</stp>
        <stp>71720.T</stp>
        <stp>高値</stp>
        <tr r="N835" s="7"/>
      </tp>
      <tp>
        <v>2291</v>
        <stp/>
        <stp>Market</stp>
        <stp>STOCK</stp>
        <stp>71020.T</stp>
        <stp>高値</stp>
        <tr r="N825" s="7"/>
      </tp>
      <tp>
        <v>2045</v>
        <stp/>
        <stp>Market</stp>
        <stp>STOCK</stp>
        <stp>71220.T</stp>
        <stp>高値</stp>
        <tr r="N828" s="7"/>
      </tp>
      <tp>
        <v>64</v>
        <stp/>
        <stp>Market</stp>
        <stp>STOCK</stp>
        <stp>76920.T</stp>
        <stp>高値</stp>
        <tr r="N920" s="7"/>
      </tp>
      <tp>
        <v>183</v>
        <stp/>
        <stp>Market</stp>
        <stp>STOCK</stp>
        <stp>76020.T</stp>
        <stp>高値</stp>
        <tr r="N910" s="7"/>
      </tp>
      <tp>
        <v>863</v>
        <stp/>
        <stp>Market</stp>
        <stp>STOCK</stp>
        <stp>77920.T</stp>
        <stp>高値</stp>
        <tr r="N935" s="7"/>
      </tp>
      <tp>
        <v>1275</v>
        <stp/>
        <stp>Market</stp>
        <stp>STOCK</stp>
        <stp>77520.T</stp>
        <stp>高値</stp>
        <tr r="N929" s="7"/>
      </tp>
      <tp>
        <v>977</v>
        <stp/>
        <stp>Market</stp>
        <stp>STOCK</stp>
        <stp>77620.T</stp>
        <stp>高値</stp>
        <tr r="N930" s="7"/>
      </tp>
      <tp>
        <v>1734</v>
        <stp/>
        <stp>Market</stp>
        <stp>STOCK</stp>
        <stp>77320.T</stp>
        <stp>高値</stp>
        <tr r="N925" s="7"/>
      </tp>
      <tp>
        <v>508</v>
        <stp/>
        <stp>Market</stp>
        <stp>STOCK</stp>
        <stp>77220.T</stp>
        <stp>高値</stp>
        <tr r="N923" s="7"/>
      </tp>
      <tp>
        <v>937</v>
        <stp/>
        <stp>Market</stp>
        <stp>STOCK</stp>
        <stp>75120.T</stp>
        <stp>高値</stp>
        <tr r="N896" s="7"/>
      </tp>
      <tp>
        <v>1397</v>
        <stp/>
        <stp>Market</stp>
        <stp>STOCK</stp>
        <stp>68620.T</stp>
        <stp>高値</stp>
        <tr r="N779" s="7"/>
      </tp>
      <tp>
        <v>691</v>
        <stp/>
        <stp>Market</stp>
        <stp>STOCK</stp>
        <stp>69820.T</stp>
        <stp>高値</stp>
        <tr r="N799" s="7"/>
      </tp>
      <tp>
        <v>1283</v>
        <stp/>
        <stp>Market</stp>
        <stp>STOCK</stp>
        <stp>69520.T</stp>
        <stp>高値</stp>
        <tr r="N793" s="7"/>
      </tp>
      <tp>
        <v>1774</v>
        <stp/>
        <stp>Market</stp>
        <stp>STOCK</stp>
        <stp>69420.T</stp>
        <stp>高値</stp>
        <tr r="N792" s="7"/>
      </tp>
      <tp>
        <v>2582</v>
        <stp/>
        <stp>Market</stp>
        <stp>STOCK</stp>
        <stp>69020.T</stp>
        <stp>高値</stp>
        <tr r="N784" s="7"/>
      </tp>
      <tp>
        <v>593</v>
        <stp/>
        <stp>Market</stp>
        <stp>STOCK</stp>
        <stp>60920.T</stp>
        <stp>高値</stp>
        <tr r="N651" s="7"/>
      </tp>
      <tp t="s">
        <v/>
        <stp/>
        <stp>Market</stp>
        <stp>STOCK</stp>
        <stp>61920.T</stp>
        <stp>高値</stp>
        <tr r="N674" s="7"/>
      </tp>
      <tp>
        <v>1278</v>
        <stp/>
        <stp>Market</stp>
        <stp>STOCK</stp>
        <stp>61820.T</stp>
        <stp>高値</stp>
        <tr r="N668" s="7"/>
      </tp>
      <tp>
        <v>659</v>
        <stp/>
        <stp>Market</stp>
        <stp>STOCK</stp>
        <stp>66320.T</stp>
        <stp>高値</stp>
        <tr r="N741" s="7"/>
      </tp>
      <tp>
        <v>1433</v>
        <stp/>
        <stp>Market</stp>
        <stp>STOCK</stp>
        <stp>67520.T</stp>
        <stp>高値</stp>
        <tr r="N764" s="7"/>
      </tp>
      <tp>
        <v>469</v>
        <stp/>
        <stp>Market</stp>
        <stp>STOCK</stp>
        <stp>67420.T</stp>
        <stp>高値</stp>
        <tr r="N761" s="7"/>
      </tp>
      <tp>
        <v>7700</v>
        <stp/>
        <stp>Market</stp>
        <stp>STOCK</stp>
        <stp>67620.T</stp>
        <stp>高値</stp>
        <tr r="N768" s="7"/>
      </tp>
      <tp>
        <v>23475</v>
        <stp/>
        <stp>Market</stp>
        <stp>STOCK</stp>
        <stp>67020.T</stp>
        <stp>高値</stp>
        <tr r="N755" s="7"/>
      </tp>
      <tp>
        <v>312</v>
        <stp/>
        <stp>Market</stp>
        <stp>STOCK</stp>
        <stp>65520.T</stp>
        <stp>高値</stp>
        <tr r="N724" s="7"/>
      </tp>
      <tp t="s">
        <v/>
        <stp/>
        <stp>Market</stp>
        <stp>STOCK</stp>
        <stp>65020.T</stp>
        <stp>高値</stp>
        <tr r="N714" s="7"/>
      </tp>
      <tp>
        <v>638</v>
        <stp/>
        <stp>Market</stp>
        <stp>STOCK</stp>
        <stp>65220.T</stp>
        <stp>高値</stp>
        <tr r="N719" s="7"/>
      </tp>
      <tp>
        <v>772</v>
        <stp/>
        <stp>Market</stp>
        <stp>STOCK</stp>
        <stp>58520.T</stp>
        <stp>高値</stp>
        <tr r="N616" s="7"/>
      </tp>
      <tp>
        <v>2100.5</v>
        <stp/>
        <stp>Market</stp>
        <stp>STOCK</stp>
        <stp>58020.T</stp>
        <stp>高値</stp>
        <tr r="N612" s="7"/>
      </tp>
      <tp>
        <v>1082</v>
        <stp/>
        <stp>Market</stp>
        <stp>STOCK</stp>
        <stp>58320.T</stp>
        <stp>高値</stp>
        <tr r="N614" s="7"/>
      </tp>
      <tp>
        <v>143</v>
        <stp/>
        <stp>Market</stp>
        <stp>STOCK</stp>
        <stp>59520.T</stp>
        <stp>高値</stp>
        <tr r="N626" s="7"/>
      </tp>
      <tp>
        <v>909</v>
        <stp/>
        <stp>Market</stp>
        <stp>STOCK</stp>
        <stp>52620.T</stp>
        <stp>高値</stp>
        <tr r="N581" s="7"/>
      </tp>
      <tp t="s">
        <v>表示銘柄数超過</v>
        <stp/>
        <stp>Market</stp>
        <stp>STOCK</stp>
        <stp>50320.T</stp>
        <stp>高値</stp>
        <tr r="N565" s="7"/>
      </tp>
      <tp>
        <v>4910</v>
        <stp/>
        <stp>Market</stp>
        <stp>STOCK</stp>
        <stp>51920.T</stp>
        <stp>高値</stp>
        <tr r="N574" s="7"/>
      </tp>
      <tp>
        <v>1179</v>
        <stp/>
        <stp>Market</stp>
        <stp>STOCK</stp>
        <stp>56120.T</stp>
        <stp>高値</stp>
        <tr r="N601" s="7"/>
      </tp>
      <tp>
        <v>1671</v>
        <stp/>
        <stp>Market</stp>
        <stp>STOCK</stp>
        <stp>56320.T</stp>
        <stp>高値</stp>
        <tr r="N602" s="7"/>
      </tp>
      <tp t="s">
        <v>表示銘柄数超過</v>
        <stp/>
        <stp>Market</stp>
        <stp>STOCK</stp>
        <stp>48920.T</stp>
        <stp>高値</stp>
        <tr r="N550" s="7"/>
      </tp>
      <tp t="s">
        <v>表示銘柄数超過</v>
        <stp/>
        <stp>Market</stp>
        <stp>STOCK</stp>
        <stp>49120.T</stp>
        <stp>高値</stp>
        <tr r="N552" s="7"/>
      </tp>
      <tp t="s">
        <v>表示銘柄数超過</v>
        <stp/>
        <stp>Market</stp>
        <stp>STOCK</stp>
        <stp>49020.T</stp>
        <stp>高値</stp>
        <tr r="N551" s="7"/>
      </tp>
      <tp t="s">
        <v>表示銘柄数超過</v>
        <stp/>
        <stp>Market</stp>
        <stp>STOCK</stp>
        <stp>42020.T</stp>
        <stp>高値</stp>
        <tr r="N426" s="7"/>
      </tp>
      <tp t="s">
        <v>表示銘柄数超過</v>
        <stp/>
        <stp>Market</stp>
        <stp>STOCK</stp>
        <stp>43820.T</stp>
        <stp>高値</stp>
        <tr r="N455" s="7"/>
      </tp>
      <tp t="s">
        <v>表示銘柄数超過</v>
        <stp/>
        <stp>Market</stp>
        <stp>STOCK</stp>
        <stp>41920.T</stp>
        <stp>高値</stp>
        <tr r="N424" s="7"/>
      </tp>
      <tp t="s">
        <v>表示銘柄数超過</v>
        <stp/>
        <stp>Market</stp>
        <stp>STOCK</stp>
        <stp>46120.T</stp>
        <stp>高値</stp>
        <tr r="N509" s="7"/>
      </tp>
      <tp t="s">
        <v>表示銘柄数超過</v>
        <stp/>
        <stp>Market</stp>
        <stp>STOCK</stp>
        <stp>44920.T</stp>
        <stp>高値</stp>
        <tr r="N477" s="7"/>
      </tp>
      <tp t="s">
        <v>表示銘柄数超過</v>
        <stp/>
        <stp>Market</stp>
        <stp>STOCK</stp>
        <stp>44520.T</stp>
        <stp>高値</stp>
        <tr r="N469" s="7"/>
      </tp>
      <tp t="s">
        <v>表示銘柄数超過</v>
        <stp/>
        <stp>Market</stp>
        <stp>STOCK</stp>
        <stp>45920.T</stp>
        <stp>高値</stp>
        <tr r="N503" s="7"/>
      </tp>
      <tp t="s">
        <v>表示銘柄数超過</v>
        <stp/>
        <stp>Market</stp>
        <stp>STOCK</stp>
        <stp>45820.T</stp>
        <stp>高値</stp>
        <tr r="N497" s="7"/>
      </tp>
      <tp t="s">
        <v>表示銘柄数超過</v>
        <stp/>
        <stp>Market</stp>
        <stp>STOCK</stp>
        <stp>45720.T</stp>
        <stp>高値</stp>
        <tr r="N492" s="7"/>
      </tp>
      <tp t="s">
        <v>表示銘柄数超過</v>
        <stp/>
        <stp>Market</stp>
        <stp>STOCK</stp>
        <stp>38520.T</stp>
        <stp>高値</stp>
        <tr r="N375" s="7"/>
      </tp>
      <tp t="s">
        <v>表示銘柄数超過</v>
        <stp/>
        <stp>Market</stp>
        <stp>STOCK</stp>
        <stp>38420.T</stp>
        <stp>高値</stp>
        <tr r="N371" s="7"/>
      </tp>
      <tp t="s">
        <v>表示銘柄数超過</v>
        <stp/>
        <stp>Market</stp>
        <stp>STOCK</stp>
        <stp>39920.T</stp>
        <stp>高値</stp>
        <tr r="N406" s="7"/>
      </tp>
      <tp t="s">
        <v>表示銘柄数超過</v>
        <stp/>
        <stp>Market</stp>
        <stp>STOCK</stp>
        <stp>39020.T</stp>
        <stp>高値</stp>
        <tr r="N385" s="7"/>
      </tp>
      <tp t="s">
        <v>表示銘柄数超過</v>
        <stp/>
        <stp>Market</stp>
        <stp>STOCK</stp>
        <stp>32420.T</stp>
        <stp>高値</stp>
        <tr r="N263" s="7"/>
      </tp>
      <tp t="s">
        <v>表示銘柄数超過</v>
        <stp/>
        <stp>Market</stp>
        <stp>STOCK</stp>
        <stp>32320.T</stp>
        <stp>高値</stp>
        <tr r="N258" s="7"/>
      </tp>
      <tp t="s">
        <v>表示銘柄数超過</v>
        <stp/>
        <stp>Market</stp>
        <stp>STOCK</stp>
        <stp>33920.T</stp>
        <stp>高値</stp>
        <tr r="N293" s="7"/>
      </tp>
      <tp t="s">
        <v>表示銘柄数超過</v>
        <stp/>
        <stp>Market</stp>
        <stp>STOCK</stp>
        <stp>33820.T</stp>
        <stp>高値</stp>
        <tr r="N290" s="7"/>
      </tp>
      <tp t="s">
        <v>表示銘柄数超過</v>
        <stp/>
        <stp>Market</stp>
        <stp>STOCK</stp>
        <stp>33720.T</stp>
        <stp>高値</stp>
        <tr r="N288" s="7"/>
      </tp>
      <tp t="s">
        <v>表示銘柄数超過</v>
        <stp/>
        <stp>Market</stp>
        <stp>STOCK</stp>
        <stp>31920.T</stp>
        <stp>高値</stp>
        <tr r="N256" s="7"/>
      </tp>
      <tp t="s">
        <v>表示銘柄数超過</v>
        <stp/>
        <stp>Market</stp>
        <stp>STOCK</stp>
        <stp>31820.T</stp>
        <stp>高値</stp>
        <tr r="N251" s="7"/>
      </tp>
      <tp t="s">
        <v>表示銘柄数超過</v>
        <stp/>
        <stp>Market</stp>
        <stp>STOCK</stp>
        <stp>36820.T</stp>
        <stp>高値</stp>
        <tr r="N338" s="7"/>
      </tp>
      <tp t="s">
        <v>表示銘柄数超過</v>
        <stp/>
        <stp>Market</stp>
        <stp>STOCK</stp>
        <stp>36520.T</stp>
        <stp>高値</stp>
        <tr r="N322" s="7"/>
      </tp>
      <tp t="s">
        <v>表示銘柄数超過</v>
        <stp/>
        <stp>Market</stp>
        <stp>STOCK</stp>
        <stp>36720.T</stp>
        <stp>高値</stp>
        <tr r="N332" s="7"/>
      </tp>
      <tp t="s">
        <v>表示銘柄数超過</v>
        <stp/>
        <stp>Market</stp>
        <stp>STOCK</stp>
        <stp>36320.T</stp>
        <stp>高値</stp>
        <tr r="N316" s="7"/>
      </tp>
      <tp t="s">
        <v>表示銘柄数超過</v>
        <stp/>
        <stp>Market</stp>
        <stp>STOCK</stp>
        <stp>34220.T</stp>
        <stp>高値</stp>
        <tr r="N297" s="7"/>
      </tp>
      <tp t="s">
        <v>表示銘柄数超過</v>
        <stp/>
        <stp>Market</stp>
        <stp>STOCK</stp>
        <stp>28520.T</stp>
        <stp>高値</stp>
        <tr r="N204" s="7"/>
      </tp>
      <tp t="s">
        <v>表示銘柄数超過</v>
        <stp/>
        <stp>Market</stp>
        <stp>STOCK</stp>
        <stp>29820.T</stp>
        <stp>高値</stp>
        <tr r="N217" s="7"/>
      </tp>
      <tp t="s">
        <v>表示銘柄数超過</v>
        <stp/>
        <stp>Market</stp>
        <stp>STOCK</stp>
        <stp>22420.T</stp>
        <stp>高値</stp>
        <tr r="N108" s="7"/>
      </tp>
      <tp t="s">
        <v>表示銘柄数超過</v>
        <stp/>
        <stp>Market</stp>
        <stp>STOCK</stp>
        <stp>21520.T</stp>
        <stp>高値</stp>
        <tr r="N95" s="7"/>
      </tp>
      <tp t="s">
        <v>表示銘柄数超過</v>
        <stp/>
        <stp>Market</stp>
        <stp>STOCK</stp>
        <stp>21620.T</stp>
        <stp>高値</stp>
        <tr r="N99" s="7"/>
      </tp>
      <tp t="s">
        <v>表示銘柄数超過</v>
        <stp/>
        <stp>Market</stp>
        <stp>STOCK</stp>
        <stp>27820.T</stp>
        <stp>高値</stp>
        <tr r="N199" s="7"/>
      </tp>
      <tp t="s">
        <v>表示銘柄数超過</v>
        <stp/>
        <stp>Market</stp>
        <stp>STOCK</stp>
        <stp>27620.T</stp>
        <stp>高値</stp>
        <tr r="N193" s="7"/>
      </tp>
      <tp t="s">
        <v>表示銘柄数超過</v>
        <stp/>
        <stp>Market</stp>
        <stp>STOCK</stp>
        <stp>27020.T</stp>
        <stp>高値</stp>
        <tr r="N186" s="7"/>
      </tp>
      <tp t="s">
        <v>表示銘柄数超過</v>
        <stp/>
        <stp>Market</stp>
        <stp>STOCK</stp>
        <stp>27220.T</stp>
        <stp>高値</stp>
        <tr r="N188" s="7"/>
      </tp>
      <tp t="s">
        <v>表示銘柄数超過</v>
        <stp/>
        <stp>Market</stp>
        <stp>STOCK</stp>
        <stp>24920.T</stp>
        <stp>高値</stp>
        <tr r="N154" s="7"/>
      </tp>
      <tp t="s">
        <v>表示銘柄数超過</v>
        <stp/>
        <stp>Market</stp>
        <stp>STOCK</stp>
        <stp>24120.T</stp>
        <stp>高値</stp>
        <tr r="N137" s="7"/>
      </tp>
      <tp t="s">
        <v>表示銘柄数超過</v>
        <stp/>
        <stp>Market</stp>
        <stp>STOCK</stp>
        <stp>24020.T</stp>
        <stp>高値</stp>
        <tr r="N132" s="7"/>
      </tp>
      <tp t="s">
        <v>表示銘柄数超過</v>
        <stp/>
        <stp>Market</stp>
        <stp>STOCK</stp>
        <stp>24320.T</stp>
        <stp>高値</stp>
        <tr r="N140" s="7"/>
      </tp>
      <tp t="s">
        <v>表示銘柄数超過</v>
        <stp/>
        <stp>Market</stp>
        <stp>STOCK</stp>
        <stp>18120.T</stp>
        <stp>高値</stp>
        <tr r="N60" s="7"/>
      </tp>
      <tp t="s">
        <v>表示銘柄数超過</v>
        <stp/>
        <stp>Market</stp>
        <stp>STOCK</stp>
        <stp>18020.T</stp>
        <stp>高値</stp>
        <tr r="N57" s="7"/>
      </tp>
      <tp t="s">
        <v>表示銘柄数超過</v>
        <stp/>
        <stp>Market</stp>
        <stp>STOCK</stp>
        <stp>19420.T</stp>
        <stp>高値</stp>
        <tr r="N80" s="7"/>
      </tp>
      <tp t="s">
        <v>表示銘柄数超過</v>
        <stp/>
        <stp>Market</stp>
        <stp>STOCK</stp>
        <stp>13320.T</stp>
        <stp>高値</stp>
        <tr r="N8" s="7"/>
      </tp>
      <tp t="s">
        <v>表示銘柄数超過</v>
        <stp/>
        <stp>Market</stp>
        <stp>STOCK</stp>
        <stp>16820.T</stp>
        <stp>高値</stp>
        <tr r="N43" s="7"/>
      </tp>
      <tp t="s">
        <v>表示銘柄数超過</v>
        <stp/>
        <stp>Market</stp>
        <stp>STOCK</stp>
        <stp>17120.T</stp>
        <stp>高値</stp>
        <tr r="N47" s="7"/>
      </tp>
      <tp t="s">
        <v>表示銘柄数超過</v>
        <stp/>
        <stp>Market</stp>
        <stp>STOCK</stp>
        <stp>14720.T</stp>
        <stp>高値</stp>
        <tr r="N28" s="7"/>
      </tp>
      <tp t="s">
        <v>表示銘柄数超過</v>
        <stp/>
        <stp>Market</stp>
        <stp>STOCK</stp>
        <stp>15520.T</stp>
        <stp>高値</stp>
        <tr r="N32" s="7"/>
      </tp>
      <tp t="s">
        <v>表示銘柄数超過</v>
        <stp/>
        <stp>Market</stp>
        <stp>STOCK</stp>
        <stp>15720.T</stp>
        <stp>高値</stp>
        <tr r="N35" s="7"/>
      </tp>
      <tp t="s">
        <v>表示銘柄数超過</v>
        <stp/>
        <stp>Market</stp>
        <stp>STOCK</stp>
        <stp>13560.T</stp>
        <stp>出来高</stp>
        <tr r="V11" s="7"/>
      </tp>
      <tp>
        <v>36723097</v>
        <stp/>
        <stp>Market</stp>
        <stp>STOCK</stp>
        <stp>13570.T</stp>
        <stp>出来高</stp>
        <tr r="V12" s="7"/>
      </tp>
      <tp t="s">
        <v>表示銘柄数超過</v>
        <stp/>
        <stp>Market</stp>
        <stp>STOCK</stp>
        <stp>13450.T</stp>
        <stp>出来高</stp>
        <tr r="V10" s="7"/>
      </tp>
      <tp t="s">
        <v>表示銘柄数超過</v>
        <stp/>
        <stp>Market</stp>
        <stp>STOCK</stp>
        <stp>13600.T</stp>
        <stp>出来高</stp>
        <tr r="V13" s="7"/>
      </tp>
      <tp t="s">
        <v>表示銘柄数超過</v>
        <stp/>
        <stp>Market</stp>
        <stp>STOCK</stp>
        <stp>13660.T</stp>
        <stp>出来高</stp>
        <tr r="V14" s="7"/>
      </tp>
      <tp t="s">
        <v>表示銘柄数超過</v>
        <stp/>
        <stp>Market</stp>
        <stp>STOCK</stp>
        <stp>13680.T</stp>
        <stp>出来高</stp>
        <tr r="V15" s="7"/>
      </tp>
      <tp t="s">
        <v>表示銘柄数超過</v>
        <stp/>
        <stp>Market</stp>
        <stp>STOCK</stp>
        <stp>13110.T</stp>
        <stp>出来高</stp>
        <tr r="V5" s="7"/>
      </tp>
      <tp t="s">
        <v>表示銘柄数超過</v>
        <stp/>
        <stp>Market</stp>
        <stp>STOCK</stp>
        <stp>13190.T</stp>
        <stp>出来高</stp>
        <tr r="V6" s="7"/>
      </tp>
      <tp t="s">
        <v>表示銘柄数超過</v>
        <stp/>
        <stp>Market</stp>
        <stp>STOCK</stp>
        <stp>13060.T</stp>
        <stp>出来高</stp>
        <tr r="V3" s="7"/>
      </tp>
      <tp t="s">
        <v>表示銘柄数超過</v>
        <stp/>
        <stp>Market</stp>
        <stp>STOCK</stp>
        <stp>13050.T</stp>
        <stp>出来高</stp>
        <tr r="V2" s="7"/>
      </tp>
      <tp t="s">
        <v>表示銘柄数超過</v>
        <stp/>
        <stp>Market</stp>
        <stp>STOCK</stp>
        <stp>13080.T</stp>
        <stp>出来高</stp>
        <tr r="V4" s="7"/>
      </tp>
      <tp t="s">
        <v>表示銘柄数超過</v>
        <stp/>
        <stp>Market</stp>
        <stp>STOCK</stp>
        <stp>13320.T</stp>
        <stp>出来高</stp>
        <tr r="V8" s="7"/>
      </tp>
      <tp t="s">
        <v>表示銘柄数超過</v>
        <stp/>
        <stp>Market</stp>
        <stp>STOCK</stp>
        <stp>13330.T</stp>
        <stp>出来高</stp>
        <tr r="V9" s="7"/>
      </tp>
      <tp t="s">
        <v>表示銘柄数超過</v>
        <stp/>
        <stp>Market</stp>
        <stp>STOCK</stp>
        <stp>13250.T</stp>
        <stp>出来高</stp>
        <tr r="V7" s="7"/>
      </tp>
      <tp t="s">
        <v>表示銘柄数超過</v>
        <stp/>
        <stp>Market</stp>
        <stp>STOCK</stp>
        <stp>13990.T</stp>
        <stp>出来高</stp>
        <tr r="V16" s="7"/>
      </tp>
      <tp t="s">
        <v>表示銘柄数超過</v>
        <stp/>
        <stp>Market</stp>
        <stp>STOCK</stp>
        <stp>15520.T</stp>
        <stp>出来高</stp>
        <tr r="V32" s="7"/>
      </tp>
      <tp t="s">
        <v>表示銘柄数超過</v>
        <stp/>
        <stp>Market</stp>
        <stp>STOCK</stp>
        <stp>15510.T</stp>
        <stp>出来高</stp>
        <tr r="V31" s="7"/>
      </tp>
      <tp t="s">
        <v>表示銘柄数超過</v>
        <stp/>
        <stp>Market</stp>
        <stp>STOCK</stp>
        <stp>15720.T</stp>
        <stp>出来高</stp>
        <tr r="V35" s="7"/>
      </tp>
      <tp t="s">
        <v>表示銘柄数超過</v>
        <stp/>
        <stp>Market</stp>
        <stp>STOCK</stp>
        <stp>15710.T</stp>
        <stp>出来高</stp>
        <tr r="V34" s="7"/>
      </tp>
      <tp t="s">
        <v>表示銘柄数超過</v>
        <stp/>
        <stp>Market</stp>
        <stp>STOCK</stp>
        <stp>15780.T</stp>
        <stp>出来高</stp>
        <tr r="V36" s="7"/>
      </tp>
      <tp t="s">
        <v>表示銘柄数超過</v>
        <stp/>
        <stp>Market</stp>
        <stp>STOCK</stp>
        <stp>15630.T</stp>
        <stp>出来高</stp>
        <tr r="V33" s="7"/>
      </tp>
      <tp t="s">
        <v>表示銘柄数超過</v>
        <stp/>
        <stp>Market</stp>
        <stp>STOCK</stp>
        <stp>15140.T</stp>
        <stp>出来高</stp>
        <tr r="V30" s="7"/>
      </tp>
      <tp t="s">
        <v>表示銘柄数超過</v>
        <stp/>
        <stp>Market</stp>
        <stp>STOCK</stp>
        <stp>14510.T</stp>
        <stp>出来高</stp>
        <tr r="V25" s="7"/>
      </tp>
      <tp t="s">
        <v>表示銘柄数超過</v>
        <stp/>
        <stp>Market</stp>
        <stp>STOCK</stp>
        <stp>14590.T</stp>
        <stp>出来高</stp>
        <tr r="V26" s="7"/>
      </tp>
      <tp t="s">
        <v>表示銘柄数超過</v>
        <stp/>
        <stp>Market</stp>
        <stp>STOCK</stp>
        <stp>14720.T</stp>
        <stp>出来高</stp>
        <tr r="V28" s="7"/>
      </tp>
      <tp t="s">
        <v>表示銘柄数超過</v>
        <stp/>
        <stp>Market</stp>
        <stp>STOCK</stp>
        <stp>14690.T</stp>
        <stp>出来高</stp>
        <tr r="V27" s="7"/>
      </tp>
      <tp t="s">
        <v>表示銘柄数超過</v>
        <stp/>
        <stp>Market</stp>
        <stp>STOCK</stp>
        <stp>14180.T</stp>
        <stp>出来高</stp>
        <tr r="V20" s="7"/>
      </tp>
      <tp t="s">
        <v>表示銘柄数超過</v>
        <stp/>
        <stp>Market</stp>
        <stp>STOCK</stp>
        <stp>14190.T</stp>
        <stp>出来高</stp>
        <tr r="V21" s="7"/>
      </tp>
      <tp t="s">
        <v>表示銘柄数超過</v>
        <stp/>
        <stp>Market</stp>
        <stp>STOCK</stp>
        <stp>14000.T</stp>
        <stp>出来高</stp>
        <tr r="V17" s="7"/>
      </tp>
      <tp t="s">
        <v>表示銘柄数超過</v>
        <stp/>
        <stp>Market</stp>
        <stp>STOCK</stp>
        <stp>14010.T</stp>
        <stp>出来高</stp>
        <tr r="V18" s="7"/>
      </tp>
      <tp t="s">
        <v>表示銘柄数超過</v>
        <stp/>
        <stp>Market</stp>
        <stp>STOCK</stp>
        <stp>14070.T</stp>
        <stp>出来高</stp>
        <tr r="V19" s="7"/>
      </tp>
      <tp t="s">
        <v>表示銘柄数超過</v>
        <stp/>
        <stp>Market</stp>
        <stp>STOCK</stp>
        <stp>14300.T</stp>
        <stp>出来高</stp>
        <tr r="V22" s="7"/>
      </tp>
      <tp t="s">
        <v>表示銘柄数超過</v>
        <stp/>
        <stp>Market</stp>
        <stp>STOCK</stp>
        <stp>14350.T</stp>
        <stp>出来高</stp>
        <tr r="V23" s="7"/>
      </tp>
      <tp t="s">
        <v>表示銘柄数超過</v>
        <stp/>
        <stp>Market</stp>
        <stp>STOCK</stp>
        <stp>14390.T</stp>
        <stp>出来高</stp>
        <tr r="V24" s="7"/>
      </tp>
      <tp t="s">
        <v>表示銘柄数超過</v>
        <stp/>
        <stp>Market</stp>
        <stp>STOCK</stp>
        <stp>14910.T</stp>
        <stp>出来高</stp>
        <tr r="V29" s="7"/>
      </tp>
      <tp t="s">
        <v>表示銘柄数超過</v>
        <stp/>
        <stp>Market</stp>
        <stp>STOCK</stp>
        <stp>17570.T</stp>
        <stp>出来高</stp>
        <tr r="V54" s="7"/>
      </tp>
      <tp t="s">
        <v>表示銘柄数超過</v>
        <stp/>
        <stp>Market</stp>
        <stp>STOCK</stp>
        <stp>17430.T</stp>
        <stp>出来高</stp>
        <tr r="V53" s="7"/>
      </tp>
      <tp t="s">
        <v>表示銘柄数超過</v>
        <stp/>
        <stp>Market</stp>
        <stp>STOCK</stp>
        <stp>17700.T</stp>
        <stp>出来高</stp>
        <tr r="V55" s="7"/>
      </tp>
      <tp t="s">
        <v>表示銘柄数超過</v>
        <stp/>
        <stp>Market</stp>
        <stp>STOCK</stp>
        <stp>17120.T</stp>
        <stp>出来高</stp>
        <tr r="V47" s="7"/>
      </tp>
      <tp t="s">
        <v>表示銘柄数超過</v>
        <stp/>
        <stp>Market</stp>
        <stp>STOCK</stp>
        <stp>17110.T</stp>
        <stp>出来高</stp>
        <tr r="V46" s="7"/>
      </tp>
      <tp t="s">
        <v>表示銘柄数超過</v>
        <stp/>
        <stp>Market</stp>
        <stp>STOCK</stp>
        <stp>17160.T</stp>
        <stp>出来高</stp>
        <tr r="V48" s="7"/>
      </tp>
      <tp t="s">
        <v>表示銘柄数超過</v>
        <stp/>
        <stp>Market</stp>
        <stp>STOCK</stp>
        <stp>17190.T</stp>
        <stp>出来高</stp>
        <tr r="V49" s="7"/>
      </tp>
      <tp t="s">
        <v>表示銘柄数超過</v>
        <stp/>
        <stp>Market</stp>
        <stp>STOCK</stp>
        <stp>17300.T</stp>
        <stp>出来高</stp>
        <tr r="V52" s="7"/>
      </tp>
      <tp t="s">
        <v>表示銘柄数超過</v>
        <stp/>
        <stp>Market</stp>
        <stp>STOCK</stp>
        <stp>17200.T</stp>
        <stp>出来高</stp>
        <tr r="V50" s="7"/>
      </tp>
      <tp t="s">
        <v>表示銘柄数超過</v>
        <stp/>
        <stp>Market</stp>
        <stp>STOCK</stp>
        <stp>17210.T</stp>
        <stp>出来高</stp>
        <tr r="V51" s="7"/>
      </tp>
      <tp t="s">
        <v>表示銘柄数超過</v>
        <stp/>
        <stp>Market</stp>
        <stp>STOCK</stp>
        <stp>17830.T</stp>
        <stp>出来高</stp>
        <tr r="V56" s="7"/>
      </tp>
      <tp t="s">
        <v>表示銘柄数超過</v>
        <stp/>
        <stp>Market</stp>
        <stp>STOCK</stp>
        <stp>16560.T</stp>
        <stp>出来高</stp>
        <tr r="V40" s="7"/>
      </tp>
      <tp t="s">
        <v>表示銘柄数超過</v>
        <stp/>
        <stp>Market</stp>
        <stp>STOCK</stp>
        <stp>16550.T</stp>
        <stp>出来高</stp>
        <tr r="V39" s="7"/>
      </tp>
      <tp t="s">
        <v>表示銘柄数超過</v>
        <stp/>
        <stp>Market</stp>
        <stp>STOCK</stp>
        <stp>16710.T</stp>
        <stp>出来高</stp>
        <tr r="V41" s="7"/>
      </tp>
      <tp t="s">
        <v>表示銘柄数超過</v>
        <stp/>
        <stp>Market</stp>
        <stp>STOCK</stp>
        <stp>16780.T</stp>
        <stp>出来高</stp>
        <tr r="V42" s="7"/>
      </tp>
      <tp t="s">
        <v>表示銘柄数超過</v>
        <stp/>
        <stp>Market</stp>
        <stp>STOCK</stp>
        <stp>16150.T</stp>
        <stp>出来高</stp>
        <tr r="V38" s="7"/>
      </tp>
      <tp t="s">
        <v>表示銘柄数超過</v>
        <stp/>
        <stp>Market</stp>
        <stp>STOCK</stp>
        <stp>16050.T</stp>
        <stp>出来高</stp>
        <tr r="V37" s="7"/>
      </tp>
      <tp t="s">
        <v>表示銘柄数超過</v>
        <stp/>
        <stp>Market</stp>
        <stp>STOCK</stp>
        <stp>16990.T</stp>
        <stp>出来高</stp>
        <tr r="V45" s="7"/>
      </tp>
      <tp t="s">
        <v>表示銘柄数超過</v>
        <stp/>
        <stp>Market</stp>
        <stp>STOCK</stp>
        <stp>16820.T</stp>
        <stp>出来高</stp>
        <tr r="V43" s="7"/>
      </tp>
      <tp t="s">
        <v>表示銘柄数超過</v>
        <stp/>
        <stp>Market</stp>
        <stp>STOCK</stp>
        <stp>16890.T</stp>
        <stp>出来高</stp>
        <tr r="V44" s="7"/>
      </tp>
      <tp t="s">
        <v>表示銘柄数超過</v>
        <stp/>
        <stp>Market</stp>
        <stp>STOCK</stp>
        <stp>19500.T</stp>
        <stp>出来高</stp>
        <tr r="V81" s="7"/>
      </tp>
      <tp t="s">
        <v>表示銘柄数超過</v>
        <stp/>
        <stp>Market</stp>
        <stp>STOCK</stp>
        <stp>19420.T</stp>
        <stp>出来高</stp>
        <tr r="V80" s="7"/>
      </tp>
      <tp t="s">
        <v>表示銘柄数超過</v>
        <stp/>
        <stp>Market</stp>
        <stp>STOCK</stp>
        <stp>19410.T</stp>
        <stp>出来高</stp>
        <tr r="V79" s="7"/>
      </tp>
      <tp t="s">
        <v>表示銘柄数超過</v>
        <stp/>
        <stp>Market</stp>
        <stp>STOCK</stp>
        <stp>19710.T</stp>
        <stp>出来高</stp>
        <tr r="V85" s="7"/>
      </tp>
      <tp t="s">
        <v>表示銘柄数超過</v>
        <stp/>
        <stp>Market</stp>
        <stp>STOCK</stp>
        <stp>19600.T</stp>
        <stp>出来高</stp>
        <tr r="V82" s="7"/>
      </tp>
      <tp t="s">
        <v>表示銘柄数超過</v>
        <stp/>
        <stp>Market</stp>
        <stp>STOCK</stp>
        <stp>19660.T</stp>
        <stp>出来高</stp>
        <tr r="V84" s="7"/>
      </tp>
      <tp t="s">
        <v>表示銘柄数超過</v>
        <stp/>
        <stp>Market</stp>
        <stp>STOCK</stp>
        <stp>19650.T</stp>
        <stp>出来高</stp>
        <tr r="V83" s="7"/>
      </tp>
      <tp t="s">
        <v>表示銘柄数超過</v>
        <stp/>
        <stp>Market</stp>
        <stp>STOCK</stp>
        <stp>19110.T</stp>
        <stp>出来高</stp>
        <tr r="V72" s="7"/>
      </tp>
      <tp t="s">
        <v>表示銘柄数超過</v>
        <stp/>
        <stp>Market</stp>
        <stp>STOCK</stp>
        <stp>19140.T</stp>
        <stp>出来高</stp>
        <tr r="V73" s="7"/>
      </tp>
      <tp t="s">
        <v>表示銘柄数超過</v>
        <stp/>
        <stp>Market</stp>
        <stp>STOCK</stp>
        <stp>19300.T</stp>
        <stp>出来高</stp>
        <tr r="V76" s="7"/>
      </tp>
      <tp t="s">
        <v>表示銘柄数超過</v>
        <stp/>
        <stp>Market</stp>
        <stp>STOCK</stp>
        <stp>19380.T</stp>
        <stp>出来高</stp>
        <tr r="V77" s="7"/>
      </tp>
      <tp t="s">
        <v>表示銘柄数超過</v>
        <stp/>
        <stp>Market</stp>
        <stp>STOCK</stp>
        <stp>19390.T</stp>
        <stp>出来高</stp>
        <tr r="V78" s="7"/>
      </tp>
      <tp t="s">
        <v>表示銘柄数超過</v>
        <stp/>
        <stp>Market</stp>
        <stp>STOCK</stp>
        <stp>19250.T</stp>
        <stp>出来高</stp>
        <tr r="V74" s="7"/>
      </tp>
      <tp t="s">
        <v>表示銘柄数超過</v>
        <stp/>
        <stp>Market</stp>
        <stp>STOCK</stp>
        <stp>19280.T</stp>
        <stp>出来高</stp>
        <tr r="V75" s="7"/>
      </tp>
      <tp t="s">
        <v>表示銘柄数超過</v>
        <stp/>
        <stp>Market</stp>
        <stp>STOCK</stp>
        <stp>19940.T</stp>
        <stp>出来高</stp>
        <tr r="V86" s="7"/>
      </tp>
      <tp t="s">
        <v>表示銘柄数超過</v>
        <stp/>
        <stp>Market</stp>
        <stp>STOCK</stp>
        <stp>18400.T</stp>
        <stp>出来高</stp>
        <tr r="V65" s="7"/>
      </tp>
      <tp t="s">
        <v>表示銘柄数超過</v>
        <stp/>
        <stp>Market</stp>
        <stp>STOCK</stp>
        <stp>18440.T</stp>
        <stp>出来高</stp>
        <tr r="V66" s="7"/>
      </tp>
      <tp t="s">
        <v>表示銘柄数超過</v>
        <stp/>
        <stp>Market</stp>
        <stp>STOCK</stp>
        <stp>18480.T</stp>
        <stp>出来高</stp>
        <tr r="V67" s="7"/>
      </tp>
      <tp t="s">
        <v>表示銘柄数超過</v>
        <stp/>
        <stp>Market</stp>
        <stp>STOCK</stp>
        <stp>18790.T</stp>
        <stp>出来高</stp>
        <tr r="V68" s="7"/>
      </tp>
      <tp t="s">
        <v>表示銘柄数超過</v>
        <stp/>
        <stp>Market</stp>
        <stp>STOCK</stp>
        <stp>18120.T</stp>
        <stp>出来高</stp>
        <tr r="V60" s="7"/>
      </tp>
      <tp t="s">
        <v>表示銘柄数超過</v>
        <stp/>
        <stp>Market</stp>
        <stp>STOCK</stp>
        <stp>18150.T</stp>
        <stp>出来高</stp>
        <tr r="V61" s="7"/>
      </tp>
      <tp t="s">
        <v>表示銘柄数超過</v>
        <stp/>
        <stp>Market</stp>
        <stp>STOCK</stp>
        <stp>18020.T</stp>
        <stp>出来高</stp>
        <tr r="V57" s="7"/>
      </tp>
      <tp t="s">
        <v>表示銘柄数超過</v>
        <stp/>
        <stp>Market</stp>
        <stp>STOCK</stp>
        <stp>18030.T</stp>
        <stp>出来高</stp>
        <tr r="V58" s="7"/>
      </tp>
      <tp t="s">
        <v>表示銘柄数超過</v>
        <stp/>
        <stp>Market</stp>
        <stp>STOCK</stp>
        <stp>18050.T</stp>
        <stp>出来高</stp>
        <tr r="V59" s="7"/>
      </tp>
      <tp t="s">
        <v>表示銘柄数超過</v>
        <stp/>
        <stp>Market</stp>
        <stp>STOCK</stp>
        <stp>18210.T</stp>
        <stp>出来高</stp>
        <tr r="V62" s="7"/>
      </tp>
      <tp t="s">
        <v>表示銘柄数超過</v>
        <stp/>
        <stp>Market</stp>
        <stp>STOCK</stp>
        <stp>18260.T</stp>
        <stp>出来高</stp>
        <tr r="V63" s="7"/>
      </tp>
      <tp t="s">
        <v>表示銘柄数超過</v>
        <stp/>
        <stp>Market</stp>
        <stp>STOCK</stp>
        <stp>18270.T</stp>
        <stp>出来高</stp>
        <tr r="V64" s="7"/>
      </tp>
      <tp t="s">
        <v>表示銘柄数超過</v>
        <stp/>
        <stp>Market</stp>
        <stp>STOCK</stp>
        <stp>18930.T</stp>
        <stp>出来高</stp>
        <tr r="V70" s="7"/>
      </tp>
      <tp t="s">
        <v>表示銘柄数超過</v>
        <stp/>
        <stp>Market</stp>
        <stp>STOCK</stp>
        <stp>18980.T</stp>
        <stp>出来高</stp>
        <tr r="V71" s="7"/>
      </tp>
      <tp t="s">
        <v>表示銘柄数超過</v>
        <stp/>
        <stp>Market</stp>
        <stp>STOCK</stp>
        <stp>18870.T</stp>
        <stp>出来高</stp>
        <tr r="V69" s="7"/>
      </tp>
      <tp t="s">
        <v>表示銘柄数超過</v>
        <stp/>
        <stp>Market</stp>
        <stp>STOCK</stp>
        <stp>98530.T</stp>
        <stp>高値</stp>
        <tr r="N1173" s="7"/>
      </tp>
      <tp t="s">
        <v>表示銘柄数超過</v>
        <stp/>
        <stp>Market</stp>
        <stp>STOCK</stp>
        <stp>99730.T</stp>
        <stp>高値</stp>
        <tr r="N1186" s="7"/>
      </tp>
      <tp t="s">
        <v>表示銘柄数超過</v>
        <stp/>
        <stp>Market</stp>
        <stp>STOCK</stp>
        <stp>92630.T</stp>
        <stp>高値</stp>
        <tr r="N1104" s="7"/>
      </tp>
      <tp t="s">
        <v>表示銘柄数超過</v>
        <stp/>
        <stp>Market</stp>
        <stp>STOCK</stp>
        <stp>92130.T</stp>
        <stp>高値</stp>
        <tr r="N1099" s="7"/>
      </tp>
      <tp t="s">
        <v>表示銘柄数超過</v>
        <stp/>
        <stp>Market</stp>
        <stp>STOCK</stp>
        <stp>90630.T</stp>
        <stp>高値</stp>
        <tr r="N1090" s="7"/>
      </tp>
      <tp t="s">
        <v>表示銘柄数超過</v>
        <stp/>
        <stp>Market</stp>
        <stp>STOCK</stp>
        <stp>90030.T</stp>
        <stp>高値</stp>
        <tr r="N1074" s="7"/>
      </tp>
      <tp t="s">
        <v>表示銘柄数超過</v>
        <stp/>
        <stp>Market</stp>
        <stp>STOCK</stp>
        <stp>90330.T</stp>
        <stp>高値</stp>
        <tr r="N1084" s="7"/>
      </tp>
      <tp t="s">
        <v>表示銘柄数超過</v>
        <stp/>
        <stp>Market</stp>
        <stp>STOCK</stp>
        <stp>96130.T</stp>
        <stp>高値</stp>
        <tr r="N1160" s="7"/>
      </tp>
      <tp t="s">
        <v>表示銘柄数超過</v>
        <stp/>
        <stp>Market</stp>
        <stp>STOCK</stp>
        <stp>96030.T</stp>
        <stp>高値</stp>
        <tr r="N1158" s="7"/>
      </tp>
      <tp t="s">
        <v>表示銘柄数超過</v>
        <stp/>
        <stp>Market</stp>
        <stp>STOCK</stp>
        <stp>97830.T</stp>
        <stp>高値</stp>
        <tr r="N1167" s="7"/>
      </tp>
      <tp t="s">
        <v>表示銘柄数超過</v>
        <stp/>
        <stp>Market</stp>
        <stp>STOCK</stp>
        <stp>97230.T</stp>
        <stp>高値</stp>
        <tr r="N1163" s="7"/>
      </tp>
      <tp t="s">
        <v>表示銘柄数超過</v>
        <stp/>
        <stp>Market</stp>
        <stp>STOCK</stp>
        <stp>94130.T</stp>
        <stp>高値</stp>
        <tr r="N1119" s="7"/>
      </tp>
      <tp t="s">
        <v>表示銘柄数超過</v>
        <stp/>
        <stp>Market</stp>
        <stp>STOCK</stp>
        <stp>94330.T</stp>
        <stp>高値</stp>
        <tr r="N1128" s="7"/>
      </tp>
      <tp t="s">
        <v>表示銘柄数超過</v>
        <stp/>
        <stp>Market</stp>
        <stp>STOCK</stp>
        <stp>94230.T</stp>
        <stp>高値</stp>
        <tr r="N1124" s="7"/>
      </tp>
      <tp t="s">
        <v>表示銘柄数超過</v>
        <stp/>
        <stp>Market</stp>
        <stp>STOCK</stp>
        <stp>95530.T</stp>
        <stp>高値</stp>
        <tr r="N1155" s="7"/>
      </tp>
      <tp t="s">
        <v>表示銘柄数超過</v>
        <stp/>
        <stp>Market</stp>
        <stp>STOCK</stp>
        <stp>95030.T</stp>
        <stp>高値</stp>
        <tr r="N1142" s="7"/>
      </tp>
      <tp t="s">
        <v>表示銘柄数超過</v>
        <stp/>
        <stp>Market</stp>
        <stp>STOCK</stp>
        <stp>88930.T</stp>
        <stp>高値</stp>
        <tr r="N1059" s="7"/>
      </tp>
      <tp t="s">
        <v>表示銘柄数超過</v>
        <stp/>
        <stp>Market</stp>
        <stp>STOCK</stp>
        <stp>89230.T</stp>
        <stp>高値</stp>
        <tr r="N1065" s="7"/>
      </tp>
      <tp>
        <v>633</v>
        <stp/>
        <stp>Market</stp>
        <stp>STOCK</stp>
        <stp>82030.T</stp>
        <stp>高値</stp>
        <tr r="N991" s="7"/>
      </tp>
      <tp>
        <v>1411</v>
        <stp/>
        <stp>Market</stp>
        <stp>STOCK</stp>
        <stp>83830.T</stp>
        <stp>高値</stp>
        <tr r="N1008" s="7"/>
      </tp>
      <tp>
        <v>3358</v>
        <stp/>
        <stp>Market</stp>
        <stp>STOCK</stp>
        <stp>80530.T</stp>
        <stp>高値</stp>
        <tr r="N970" s="7"/>
      </tp>
      <tp>
        <v>3490</v>
        <stp/>
        <stp>Market</stp>
        <stp>STOCK</stp>
        <stp>81530.T</stp>
        <stp>高値</stp>
        <tr r="N985" s="7"/>
      </tp>
      <tp>
        <v>289</v>
        <stp/>
        <stp>Market</stp>
        <stp>STOCK</stp>
        <stp>81430.T</stp>
        <stp>高値</stp>
        <tr r="N983" s="7"/>
      </tp>
      <tp>
        <v>2386</v>
        <stp/>
        <stp>Market</stp>
        <stp>STOCK</stp>
        <stp>81730.T</stp>
        <stp>高値</stp>
        <tr r="N987" s="7"/>
      </tp>
      <tp>
        <v>719</v>
        <stp/>
        <stp>Market</stp>
        <stp>STOCK</stp>
        <stp>81030.T</stp>
        <stp>高値</stp>
        <tr r="N976" s="7"/>
      </tp>
      <tp>
        <v>1561</v>
        <stp/>
        <stp>Market</stp>
        <stp>STOCK</stp>
        <stp>81330.T</stp>
        <stp>高値</stp>
        <tr r="N980" s="7"/>
      </tp>
      <tp>
        <v>930</v>
        <stp/>
        <stp>Market</stp>
        <stp>STOCK</stp>
        <stp>86130.T</stp>
        <stp>高値</stp>
        <tr r="N1028" s="7"/>
      </tp>
      <tp t="s">
        <v>表示銘柄数超過</v>
        <stp/>
        <stp>Market</stp>
        <stp>STOCK</stp>
        <stp>87930.T</stp>
        <stp>高値</stp>
        <tr r="N1049" s="7"/>
      </tp>
      <tp t="s">
        <v>表示銘柄数超過</v>
        <stp/>
        <stp>Market</stp>
        <stp>STOCK</stp>
        <stp>87830.T</stp>
        <stp>高値</stp>
        <tr r="N1047" s="7"/>
      </tp>
      <tp>
        <v>3838</v>
        <stp/>
        <stp>Market</stp>
        <stp>STOCK</stp>
        <stp>84730.T</stp>
        <stp>高値</stp>
        <tr r="N1013" s="7"/>
      </tp>
      <tp>
        <v>1050</v>
        <stp/>
        <stp>Market</stp>
        <stp>STOCK</stp>
        <stp>85930.T</stp>
        <stp>高値</stp>
        <tr r="N1024" s="7"/>
      </tp>
      <tp>
        <v>805</v>
        <stp/>
        <stp>Market</stp>
        <stp>STOCK</stp>
        <stp>78230.T</stp>
        <stp>高値</stp>
        <tr r="N941" s="7"/>
      </tp>
      <tp>
        <v>400</v>
        <stp/>
        <stp>Market</stp>
        <stp>STOCK</stp>
        <stp>79530.T</stp>
        <stp>高値</stp>
        <tr r="N958" s="7"/>
      </tp>
      <tp>
        <v>1476</v>
        <stp/>
        <stp>Market</stp>
        <stp>STOCK</stp>
        <stp>72830.T</stp>
        <stp>高値</stp>
        <tr r="N870" s="7"/>
      </tp>
      <tp>
        <v>692</v>
        <stp/>
        <stp>Market</stp>
        <stp>STOCK</stp>
        <stp>72130.T</stp>
        <stp>高値</stp>
        <tr r="N850" s="7"/>
      </tp>
      <tp>
        <v>3364</v>
        <stp/>
        <stp>Market</stp>
        <stp>STOCK</stp>
        <stp>72030.T</stp>
        <stp>高値</stp>
        <tr r="N846" s="7"/>
      </tp>
      <tp>
        <v>159</v>
        <stp/>
        <stp>Market</stp>
        <stp>STOCK</stp>
        <stp>73830.T</stp>
        <stp>高値</stp>
        <tr r="N884" s="7"/>
      </tp>
      <tp>
        <v>926</v>
        <stp/>
        <stp>Market</stp>
        <stp>STOCK</stp>
        <stp>73530.T</stp>
        <stp>高値</stp>
        <tr r="N879" s="7"/>
      </tp>
      <tp>
        <v>962</v>
        <stp/>
        <stp>Market</stp>
        <stp>STOCK</stp>
        <stp>70430.T</stp>
        <stp>高値</stp>
        <tr r="N813" s="7"/>
      </tp>
      <tp>
        <v>1238</v>
        <stp/>
        <stp>Market</stp>
        <stp>STOCK</stp>
        <stp>70630.T</stp>
        <stp>高値</stp>
        <tr r="N821" s="7"/>
      </tp>
      <tp>
        <v>2794.5</v>
        <stp/>
        <stp>Market</stp>
        <stp>STOCK</stp>
        <stp>70130.T</stp>
        <stp>高値</stp>
        <tr r="N808" s="7"/>
      </tp>
      <tp>
        <v>761</v>
        <stp/>
        <stp>Market</stp>
        <stp>STOCK</stp>
        <stp>70030.T</stp>
        <stp>高値</stp>
        <tr r="N804" s="7"/>
      </tp>
      <tp>
        <v>275</v>
        <stp/>
        <stp>Market</stp>
        <stp>STOCK</stp>
        <stp>71830.T</stp>
        <stp>高値</stp>
        <tr r="N840" s="7"/>
      </tp>
      <tp>
        <v>1733</v>
        <stp/>
        <stp>Market</stp>
        <stp>STOCK</stp>
        <stp>71630.T</stp>
        <stp>高値</stp>
        <tr r="N833" s="7"/>
      </tp>
      <tp>
        <v>593</v>
        <stp/>
        <stp>Market</stp>
        <stp>STOCK</stp>
        <stp>76230.T</stp>
        <stp>高値</stp>
        <tr r="N915" s="7"/>
      </tp>
      <tp>
        <v>2129</v>
        <stp/>
        <stp>Market</stp>
        <stp>STOCK</stp>
        <stp>74530.T</stp>
        <stp>高値</stp>
        <tr r="N890" s="7"/>
      </tp>
      <tp t="s">
        <v>表示銘柄数超過</v>
        <stp/>
        <stp>Market</stp>
        <stp>STOCK</stp>
        <stp>25935.T</stp>
        <stp>高値</stp>
        <tr r="N167" s="7"/>
      </tp>
      <tp>
        <v>532</v>
        <stp/>
        <stp>Market</stp>
        <stp>STOCK</stp>
        <stp>75930.T</stp>
        <stp>高値</stp>
        <tr r="N908" s="7"/>
      </tp>
      <tp>
        <v>747</v>
        <stp/>
        <stp>Market</stp>
        <stp>STOCK</stp>
        <stp>75130.T</stp>
        <stp>高値</stp>
        <tr r="N897" s="7"/>
      </tp>
      <tp>
        <v>1205</v>
        <stp/>
        <stp>Market</stp>
        <stp>STOCK</stp>
        <stp>75230.T</stp>
        <stp>高値</stp>
        <tr r="N900" s="7"/>
      </tp>
      <tp>
        <v>1370</v>
        <stp/>
        <stp>Market</stp>
        <stp>STOCK</stp>
        <stp>68630.T</stp>
        <stp>高値</stp>
        <tr r="N780" s="7"/>
      </tp>
      <tp>
        <v>100</v>
        <stp/>
        <stp>Market</stp>
        <stp>STOCK</stp>
        <stp>68030.T</stp>
        <stp>高値</stp>
        <tr r="N773" s="7"/>
      </tp>
      <tp>
        <v>41</v>
        <stp/>
        <stp>Market</stp>
        <stp>STOCK</stp>
        <stp>69930.T</stp>
        <stp>高値</stp>
        <tr r="N801" s="7"/>
      </tp>
      <tp>
        <v>2719</v>
        <stp/>
        <stp>Market</stp>
        <stp>STOCK</stp>
        <stp>69230.T</stp>
        <stp>高値</stp>
        <tr r="N788" s="7"/>
      </tp>
      <tp>
        <v>775</v>
        <stp/>
        <stp>Market</stp>
        <stp>STOCK</stp>
        <stp>62030.T</stp>
        <stp>高値</stp>
        <tr r="N677" s="7"/>
      </tp>
      <tp>
        <v>542</v>
        <stp/>
        <stp>Market</stp>
        <stp>STOCK</stp>
        <stp>62330.T</stp>
        <stp>高値</stp>
        <tr r="N680" s="7"/>
      </tp>
      <tp>
        <v>2867.5</v>
        <stp/>
        <stp>Market</stp>
        <stp>STOCK</stp>
        <stp>63830.T</stp>
        <stp>高値</stp>
        <tr r="N697" s="7"/>
      </tp>
      <tp>
        <v>105</v>
        <stp/>
        <stp>Market</stp>
        <stp>STOCK</stp>
        <stp>63430.T</stp>
        <stp>高値</stp>
        <tr r="N691" s="7"/>
      </tp>
      <tp>
        <v>142</v>
        <stp/>
        <stp>Market</stp>
        <stp>STOCK</stp>
        <stp>60930.T</stp>
        <stp>高値</stp>
        <tr r="N652" s="7"/>
      </tp>
      <tp>
        <v>1680</v>
        <stp/>
        <stp>Market</stp>
        <stp>STOCK</stp>
        <stp>60730.T</stp>
        <stp>高値</stp>
        <tr r="N648" s="7"/>
      </tp>
      <tp>
        <v>1246</v>
        <stp/>
        <stp>Market</stp>
        <stp>STOCK</stp>
        <stp>60230.T</stp>
        <stp>高値</stp>
        <tr r="N636" s="7"/>
      </tp>
      <tp>
        <v>540</v>
        <stp/>
        <stp>Market</stp>
        <stp>STOCK</stp>
        <stp>61730.T</stp>
        <stp>高値</stp>
        <tr r="N663" s="7"/>
      </tp>
      <tp>
        <v>1596</v>
        <stp/>
        <stp>Market</stp>
        <stp>STOCK</stp>
        <stp>61130.T</stp>
        <stp>高値</stp>
        <tr r="N656" s="7"/>
      </tp>
      <tp>
        <v>573</v>
        <stp/>
        <stp>Market</stp>
        <stp>STOCK</stp>
        <stp>66130.T</stp>
        <stp>高値</stp>
        <tr r="N736" s="7"/>
      </tp>
      <tp>
        <v>318</v>
        <stp/>
        <stp>Market</stp>
        <stp>STOCK</stp>
        <stp>66330.T</stp>
        <stp>高値</stp>
        <tr r="N742" s="7"/>
      </tp>
      <tp>
        <v>921</v>
        <stp/>
        <stp>Market</stp>
        <stp>STOCK</stp>
        <stp>67530.T</stp>
        <stp>高値</stp>
        <tr r="N765" s="7"/>
      </tp>
      <tp>
        <v>2422</v>
        <stp/>
        <stp>Market</stp>
        <stp>STOCK</stp>
        <stp>67230.T</stp>
        <stp>高値</stp>
        <tr r="N757" s="7"/>
      </tp>
      <tp>
        <v>379</v>
        <stp/>
        <stp>Market</stp>
        <stp>STOCK</stp>
        <stp>64930.T</stp>
        <stp>高値</stp>
        <tr r="N709" s="7"/>
      </tp>
      <tp>
        <v>274</v>
        <stp/>
        <stp>Market</stp>
        <stp>STOCK</stp>
        <stp>64330.T</stp>
        <stp>高値</stp>
        <tr r="N701" s="7"/>
      </tp>
      <tp>
        <v>626</v>
        <stp/>
        <stp>Market</stp>
        <stp>STOCK</stp>
        <stp>65430.T</stp>
        <stp>高値</stp>
        <tr r="N721" s="7"/>
      </tp>
      <tp>
        <v>359</v>
        <stp/>
        <stp>Market</stp>
        <stp>STOCK</stp>
        <stp>65730.T</stp>
        <stp>高値</stp>
        <tr r="N729" s="7"/>
      </tp>
      <tp>
        <v>1234</v>
        <stp/>
        <stp>Market</stp>
        <stp>STOCK</stp>
        <stp>65130.T</stp>
        <stp>高値</stp>
        <tr r="N718" s="7"/>
      </tp>
      <tp>
        <v>2068.5</v>
        <stp/>
        <stp>Market</stp>
        <stp>STOCK</stp>
        <stp>65030.T</stp>
        <stp>高値</stp>
        <tr r="N715" s="7"/>
      </tp>
      <tp>
        <v>1256</v>
        <stp/>
        <stp>Market</stp>
        <stp>STOCK</stp>
        <stp>58030.T</stp>
        <stp>高値</stp>
        <tr r="N613" s="7"/>
      </tp>
      <tp>
        <v>2904</v>
        <stp/>
        <stp>Market</stp>
        <stp>STOCK</stp>
        <stp>52530.T</stp>
        <stp>高値</stp>
        <tr r="N580" s="7"/>
      </tp>
      <tp>
        <v>578</v>
        <stp/>
        <stp>Market</stp>
        <stp>STOCK</stp>
        <stp>52430.T</stp>
        <stp>高値</stp>
        <tr r="N577" s="7"/>
      </tp>
      <tp>
        <v>44</v>
        <stp/>
        <stp>Market</stp>
        <stp>STOCK</stp>
        <stp>51030.T</stp>
        <stp>高値</stp>
        <tr r="N567" s="7"/>
      </tp>
      <tp>
        <v>293</v>
        <stp/>
        <stp>Market</stp>
        <stp>STOCK</stp>
        <stp>51330.T</stp>
        <stp>高値</stp>
        <tr r="N573" s="7"/>
      </tp>
      <tp>
        <v>1726</v>
        <stp/>
        <stp>Market</stp>
        <stp>STOCK</stp>
        <stp>57030.T</stp>
        <stp>高値</stp>
        <tr r="N605" s="7"/>
      </tp>
      <tp>
        <v>1744</v>
        <stp/>
        <stp>Market</stp>
        <stp>STOCK</stp>
        <stp>54230.T</stp>
        <stp>高値</stp>
        <tr r="N595" s="7"/>
      </tp>
      <tp>
        <v>284</v>
        <stp/>
        <stp>Market</stp>
        <stp>STOCK</stp>
        <stp>55630.T</stp>
        <stp>高値</stp>
        <tr r="N599" s="7"/>
      </tp>
      <tp t="s">
        <v>表示銘柄数超過</v>
        <stp/>
        <stp>Market</stp>
        <stp>STOCK</stp>
        <stp>48830.T</stp>
        <stp>高値</stp>
        <tr r="N546" s="7"/>
      </tp>
      <tp t="s">
        <v>表示銘柄数超過</v>
        <stp/>
        <stp>Market</stp>
        <stp>STOCK</stp>
        <stp>48330.T</stp>
        <stp>高値</stp>
        <tr r="N541" s="7"/>
      </tp>
      <tp t="s">
        <v>表示銘柄数超過</v>
        <stp/>
        <stp>Market</stp>
        <stp>STOCK</stp>
        <stp>49630.T</stp>
        <stp>高値</stp>
        <tr r="N555" s="7"/>
      </tp>
      <tp t="s">
        <v>表示銘柄数超過</v>
        <stp/>
        <stp>Market</stp>
        <stp>STOCK</stp>
        <stp>42930.T</stp>
        <stp>高値</stp>
        <tr r="N439" s="7"/>
      </tp>
      <tp t="s">
        <v>表示銘柄数超過</v>
        <stp/>
        <stp>Market</stp>
        <stp>STOCK</stp>
        <stp>42430.T</stp>
        <stp>高値</stp>
        <tr r="N430" s="7"/>
      </tp>
      <tp t="s">
        <v>表示銘柄数超過</v>
        <stp/>
        <stp>Market</stp>
        <stp>STOCK</stp>
        <stp>43430.T</stp>
        <stp>高値</stp>
        <tr r="N445" s="7"/>
      </tp>
      <tp t="s">
        <v>表示銘柄数超過</v>
        <stp/>
        <stp>Market</stp>
        <stp>STOCK</stp>
        <stp>43730.T</stp>
        <stp>高値</stp>
        <tr r="N450" s="7"/>
      </tp>
      <tp t="s">
        <v>表示銘柄数超過</v>
        <stp/>
        <stp>Market</stp>
        <stp>STOCK</stp>
        <stp>40630.T</stp>
        <stp>高値</stp>
        <tr r="N415" s="7"/>
      </tp>
      <tp t="s">
        <v>表示銘柄数超過</v>
        <stp/>
        <stp>Market</stp>
        <stp>STOCK</stp>
        <stp>46130.T</stp>
        <stp>高値</stp>
        <tr r="N510" s="7"/>
      </tp>
      <tp t="s">
        <v>表示銘柄数超過</v>
        <stp/>
        <stp>Market</stp>
        <stp>STOCK</stp>
        <stp>45930.T</stp>
        <stp>高値</stp>
        <tr r="N504" s="7"/>
      </tp>
      <tp t="s">
        <v>表示銘柄数超過</v>
        <stp/>
        <stp>Market</stp>
        <stp>STOCK</stp>
        <stp>45830.T</stp>
        <stp>高値</stp>
        <tr r="N498" s="7"/>
      </tp>
      <tp t="s">
        <v>表示銘柄数超過</v>
        <stp/>
        <stp>Market</stp>
        <stp>STOCK</stp>
        <stp>45630.T</stp>
        <stp>高値</stp>
        <tr r="N486" s="7"/>
      </tp>
      <tp t="s">
        <v>表示銘柄数超過</v>
        <stp/>
        <stp>Market</stp>
        <stp>STOCK</stp>
        <stp>45030.T</stp>
        <stp>高値</stp>
        <tr r="N479" s="7"/>
      </tp>
      <tp t="s">
        <v>表示銘柄数超過</v>
        <stp/>
        <stp>Market</stp>
        <stp>STOCK</stp>
        <stp>45230.T</stp>
        <stp>高値</stp>
        <tr r="N482" s="7"/>
      </tp>
      <tp t="s">
        <v>表示銘柄数超過</v>
        <stp/>
        <stp>Market</stp>
        <stp>STOCK</stp>
        <stp>38530.T</stp>
        <stp>高値</stp>
        <tr r="N376" s="7"/>
      </tp>
      <tp t="s">
        <v>表示銘柄数超過</v>
        <stp/>
        <stp>Market</stp>
        <stp>STOCK</stp>
        <stp>38630.T</stp>
        <stp>高値</stp>
        <tr r="N380" s="7"/>
      </tp>
      <tp t="s">
        <v>表示銘柄数超過</v>
        <stp/>
        <stp>Market</stp>
        <stp>STOCK</stp>
        <stp>38230.T</stp>
        <stp>高値</stp>
        <tr r="N366" s="7"/>
      </tp>
      <tp t="s">
        <v>表示銘柄数超過</v>
        <stp/>
        <stp>Market</stp>
        <stp>STOCK</stp>
        <stp>39630.T</stp>
        <stp>高値</stp>
        <tr r="N400" s="7"/>
      </tp>
      <tp t="s">
        <v>表示銘柄数超過</v>
        <stp/>
        <stp>Market</stp>
        <stp>STOCK</stp>
        <stp>39030.T</stp>
        <stp>高値</stp>
        <tr r="N386" s="7"/>
      </tp>
      <tp t="s">
        <v>表示銘柄数超過</v>
        <stp/>
        <stp>Market</stp>
        <stp>STOCK</stp>
        <stp>33330.T</stp>
        <stp>高値</stp>
        <tr r="N281" s="7"/>
      </tp>
      <tp t="s">
        <v>表示銘柄数超過</v>
        <stp/>
        <stp>Market</stp>
        <stp>STOCK</stp>
        <stp>33230.T</stp>
        <stp>高値</stp>
        <tr r="N278" s="7"/>
      </tp>
      <tp t="s">
        <v>表示銘柄数超過</v>
        <stp/>
        <stp>Market</stp>
        <stp>STOCK</stp>
        <stp>30830.T</stp>
        <stp>高値</stp>
        <tr r="N238" s="7"/>
      </tp>
      <tp t="s">
        <v>表示銘柄数超過</v>
        <stp/>
        <stp>Market</stp>
        <stp>STOCK</stp>
        <stp>30530.T</stp>
        <stp>高値</stp>
        <tr r="N233" s="7"/>
      </tp>
      <tp t="s">
        <v>表示銘柄数超過</v>
        <stp/>
        <stp>Market</stp>
        <stp>STOCK</stp>
        <stp>30030.T</stp>
        <stp>高値</stp>
        <tr r="N221" s="7"/>
      </tp>
      <tp t="s">
        <v>表示銘柄数超過</v>
        <stp/>
        <stp>Market</stp>
        <stp>STOCK</stp>
        <stp>31130.T</stp>
        <stp>高値</stp>
        <tr r="N243" s="7"/>
      </tp>
      <tp t="s">
        <v>表示銘柄数超過</v>
        <stp/>
        <stp>Market</stp>
        <stp>STOCK</stp>
        <stp>31030.T</stp>
        <stp>高値</stp>
        <tr r="N242" s="7"/>
      </tp>
      <tp t="s">
        <v>表示銘柄数超過</v>
        <stp/>
        <stp>Market</stp>
        <stp>STOCK</stp>
        <stp>31330.T</stp>
        <stp>高値</stp>
        <tr r="N245" s="7"/>
      </tp>
      <tp t="s">
        <v>表示銘柄数超過</v>
        <stp/>
        <stp>Market</stp>
        <stp>STOCK</stp>
        <stp>36830.T</stp>
        <stp>高値</stp>
        <tr r="N339" s="7"/>
      </tp>
      <tp t="s">
        <v>表示銘柄数超過</v>
        <stp/>
        <stp>Market</stp>
        <stp>STOCK</stp>
        <stp>36630.T</stp>
        <stp>高値</stp>
        <tr r="N326" s="7"/>
      </tp>
      <tp t="s">
        <v>表示銘柄数超過</v>
        <stp/>
        <stp>Market</stp>
        <stp>STOCK</stp>
        <stp>37930.T</stp>
        <stp>高値</stp>
        <tr r="N360" s="7"/>
      </tp>
      <tp t="s">
        <v>表示銘柄数超過</v>
        <stp/>
        <stp>Market</stp>
        <stp>STOCK</stp>
        <stp>37730.T</stp>
        <stp>高値</stp>
        <tr r="N354" s="7"/>
      </tp>
      <tp t="s">
        <v>表示銘柄数超過</v>
        <stp/>
        <stp>Market</stp>
        <stp>STOCK</stp>
        <stp>37230.T</stp>
        <stp>高値</stp>
        <tr r="N346" s="7"/>
      </tp>
      <tp t="s">
        <v>表示銘柄数超過</v>
        <stp/>
        <stp>Market</stp>
        <stp>STOCK</stp>
        <stp>34330.T</stp>
        <stp>高値</stp>
        <tr r="N298" s="7"/>
      </tp>
      <tp t="s">
        <v>表示銘柄数超過</v>
        <stp/>
        <stp>Market</stp>
        <stp>STOCK</stp>
        <stp>35530.T</stp>
        <stp>高値</stp>
        <tr r="N308" s="7"/>
      </tp>
      <tp t="s">
        <v>表示銘柄数超過</v>
        <stp/>
        <stp>Market</stp>
        <stp>STOCK</stp>
        <stp>35430.T</stp>
        <stp>高値</stp>
        <tr r="N306" s="7"/>
      </tp>
      <tp t="s">
        <v>表示銘柄数超過</v>
        <stp/>
        <stp>Market</stp>
        <stp>STOCK</stp>
        <stp>28530.T</stp>
        <stp>高値</stp>
        <tr r="N205" s="7"/>
      </tp>
      <tp t="s">
        <v>表示銘柄数超過</v>
        <stp/>
        <stp>Market</stp>
        <stp>STOCK</stp>
        <stp>29930.T</stp>
        <stp>高値</stp>
        <tr r="N219" s="7"/>
      </tp>
      <tp t="s">
        <v>表示銘柄数超過</v>
        <stp/>
        <stp>Market</stp>
        <stp>STOCK</stp>
        <stp>22530.T</stp>
        <stp>高値</stp>
        <tr r="N110" s="7"/>
      </tp>
      <tp t="s">
        <v>表示銘柄数超過</v>
        <stp/>
        <stp>Market</stp>
        <stp>STOCK</stp>
        <stp>23530.T</stp>
        <stp>高値</stp>
        <tr r="N124" s="7"/>
      </tp>
      <tp t="s">
        <v>表示銘柄数超過</v>
        <stp/>
        <stp>Market</stp>
        <stp>STOCK</stp>
        <stp>23730.T</stp>
        <stp>高値</stp>
        <tr r="N127" s="7"/>
      </tp>
      <tp t="s">
        <v>表示銘柄数超過</v>
        <stp/>
        <stp>Market</stp>
        <stp>STOCK</stp>
        <stp>23230.T</stp>
        <stp>高値</stp>
        <tr r="N116" s="7"/>
      </tp>
      <tp t="s">
        <v>表示銘柄数超過</v>
        <stp/>
        <stp>Market</stp>
        <stp>STOCK</stp>
        <stp>26930.T</stp>
        <stp>高値</stp>
        <tr r="N183" s="7"/>
      </tp>
      <tp t="s">
        <v>表示銘柄数超過</v>
        <stp/>
        <stp>Market</stp>
        <stp>STOCK</stp>
        <stp>26330.T</stp>
        <stp>高値</stp>
        <tr r="N172" s="7"/>
      </tp>
      <tp t="s">
        <v>表示銘柄数超過</v>
        <stp/>
        <stp>Market</stp>
        <stp>STOCK</stp>
        <stp>27430.T</stp>
        <stp>高値</stp>
        <tr r="N191" s="7"/>
      </tp>
      <tp t="s">
        <v>表示銘柄数超過</v>
        <stp/>
        <stp>Market</stp>
        <stp>STOCK</stp>
        <stp>24830.T</stp>
        <stp>高値</stp>
        <tr r="N151" s="7"/>
      </tp>
      <tp t="s">
        <v>表示銘柄数超過</v>
        <stp/>
        <stp>Market</stp>
        <stp>STOCK</stp>
        <stp>24530.T</stp>
        <stp>高値</stp>
        <tr r="N146" s="7"/>
      </tp>
      <tp t="s">
        <v>表示銘柄数超過</v>
        <stp/>
        <stp>Market</stp>
        <stp>STOCK</stp>
        <stp>24330.T</stp>
        <stp>高値</stp>
        <tr r="N141" s="7"/>
      </tp>
      <tp t="s">
        <v>表示銘柄数超過</v>
        <stp/>
        <stp>Market</stp>
        <stp>STOCK</stp>
        <stp>25630.T</stp>
        <stp>高値</stp>
        <tr r="N161" s="7"/>
      </tp>
      <tp t="s">
        <v>表示銘柄数超過</v>
        <stp/>
        <stp>Market</stp>
        <stp>STOCK</stp>
        <stp>25330.T</stp>
        <stp>高値</stp>
        <tr r="N160" s="7"/>
      </tp>
      <tp t="s">
        <v>表示銘柄数超過</v>
        <stp/>
        <stp>Market</stp>
        <stp>STOCK</stp>
        <stp>18930.T</stp>
        <stp>高値</stp>
        <tr r="N70" s="7"/>
      </tp>
      <tp t="s">
        <v>表示銘柄数超過</v>
        <stp/>
        <stp>Market</stp>
        <stp>STOCK</stp>
        <stp>18030.T</stp>
        <stp>高値</stp>
        <tr r="N58" s="7"/>
      </tp>
      <tp t="s">
        <v>表示銘柄数超過</v>
        <stp/>
        <stp>Market</stp>
        <stp>STOCK</stp>
        <stp>13330.T</stp>
        <stp>高値</stp>
        <tr r="N9" s="7"/>
      </tp>
      <tp t="s">
        <v>表示銘柄数超過</v>
        <stp/>
        <stp>Market</stp>
        <stp>STOCK</stp>
        <stp>17830.T</stp>
        <stp>高値</stp>
        <tr r="N56" s="7"/>
      </tp>
      <tp t="s">
        <v>表示銘柄数超過</v>
        <stp/>
        <stp>Market</stp>
        <stp>STOCK</stp>
        <stp>17430.T</stp>
        <stp>高値</stp>
        <tr r="N53" s="7"/>
      </tp>
      <tp t="s">
        <v>表示銘柄数超過</v>
        <stp/>
        <stp>Market</stp>
        <stp>STOCK</stp>
        <stp>15630.T</stp>
        <stp>高値</stp>
        <tr r="N33" s="7"/>
      </tp>
      <tp>
        <v>148700</v>
        <stp/>
        <stp>Market</stp>
        <stp>STOCK</stp>
        <stp>61400.T</stp>
        <stp>出来高</stp>
        <tr r="V658" s="7"/>
      </tp>
      <tp>
        <v>1570900</v>
        <stp/>
        <stp>Market</stp>
        <stp>STOCK</stp>
        <stp>61460.T</stp>
        <stp>出来高</stp>
        <tr r="V659" s="7"/>
      </tp>
      <tp>
        <v>9700</v>
        <stp/>
        <stp>Market</stp>
        <stp>STOCK</stp>
        <stp>61730.T</stp>
        <stp>出来高</stp>
        <tr r="V663" s="7"/>
      </tp>
      <tp>
        <v>66700</v>
        <stp/>
        <stp>Market</stp>
        <stp>STOCK</stp>
        <stp>61760.T</stp>
        <stp>出来高</stp>
        <tr r="V664" s="7"/>
      </tp>
      <tp>
        <v>16900</v>
        <stp/>
        <stp>Market</stp>
        <stp>STOCK</stp>
        <stp>61770.T</stp>
        <stp>出来高</stp>
        <tr r="V665" s="7"/>
      </tp>
      <tp>
        <v>6977700</v>
        <stp/>
        <stp>Market</stp>
        <stp>STOCK</stp>
        <stp>61780.T</stp>
        <stp>出来高</stp>
        <tr r="V666" s="7"/>
      </tp>
      <tp>
        <v>33000</v>
        <stp/>
        <stp>Market</stp>
        <stp>STOCK</stp>
        <stp>61660.T</stp>
        <stp>出来高</stp>
        <tr r="V661" s="7"/>
      </tp>
      <tp>
        <v>40800</v>
        <stp/>
        <stp>Market</stp>
        <stp>STOCK</stp>
        <stp>61670.T</stp>
        <stp>出来高</stp>
        <tr r="V662" s="7"/>
      </tp>
      <tp>
        <v>40500</v>
        <stp/>
        <stp>Market</stp>
        <stp>STOCK</stp>
        <stp>61650.T</stp>
        <stp>出来高</stp>
        <tr r="V660" s="7"/>
      </tp>
      <tp>
        <v>1155000</v>
        <stp/>
        <stp>Market</stp>
        <stp>STOCK</stp>
        <stp>61130.T</stp>
        <stp>出来高</stp>
        <tr r="V656" s="7"/>
      </tp>
      <tp>
        <v>426500</v>
        <stp/>
        <stp>Market</stp>
        <stp>STOCK</stp>
        <stp>61040.T</stp>
        <stp>出来高</stp>
        <tr r="V655" s="7"/>
      </tp>
      <tp>
        <v>281200</v>
        <stp/>
        <stp>Market</stp>
        <stp>STOCK</stp>
        <stp>61340.T</stp>
        <stp>出来高</stp>
        <tr r="V657" s="7"/>
      </tp>
      <tp t="s">
        <v/>
        <stp/>
        <stp>Market</stp>
        <stp>STOCK</stp>
        <stp>61920.T</stp>
        <stp>出来高</stp>
        <tr r="V674" s="7"/>
      </tp>
      <tp>
        <v>2100</v>
        <stp/>
        <stp>Market</stp>
        <stp>STOCK</stp>
        <stp>61900.T</stp>
        <stp>出来高</stp>
        <tr r="V673" s="7"/>
      </tp>
      <tp>
        <v>357900</v>
        <stp/>
        <stp>Market</stp>
        <stp>STOCK</stp>
        <stp>61940.T</stp>
        <stp>出来高</stp>
        <tr r="V675" s="7"/>
      </tp>
      <tp>
        <v>76000</v>
        <stp/>
        <stp>Market</stp>
        <stp>STOCK</stp>
        <stp>61950.T</stp>
        <stp>出来高</stp>
        <tr r="V676" s="7"/>
      </tp>
      <tp>
        <v>120100</v>
        <stp/>
        <stp>Market</stp>
        <stp>STOCK</stp>
        <stp>61820.T</stp>
        <stp>出来高</stp>
        <tr r="V668" s="7"/>
      </tp>
      <tp>
        <v>80800</v>
        <stp/>
        <stp>Market</stp>
        <stp>STOCK</stp>
        <stp>61810.T</stp>
        <stp>出来高</stp>
        <tr r="V667" s="7"/>
      </tp>
      <tp>
        <v>7400</v>
        <stp/>
        <stp>Market</stp>
        <stp>STOCK</stp>
        <stp>61860.T</stp>
        <stp>出来高</stp>
        <tr r="V671" s="7"/>
      </tp>
      <tp>
        <v>125500</v>
        <stp/>
        <stp>Market</stp>
        <stp>STOCK</stp>
        <stp>61840.T</stp>
        <stp>出来高</stp>
        <tr r="V669" s="7"/>
      </tp>
      <tp>
        <v>47200</v>
        <stp/>
        <stp>Market</stp>
        <stp>STOCK</stp>
        <stp>61850.T</stp>
        <stp>出来高</stp>
        <tr r="V670" s="7"/>
      </tp>
      <tp>
        <v>1500</v>
        <stp/>
        <stp>Market</stp>
        <stp>STOCK</stp>
        <stp>61880.T</stp>
        <stp>出来高</stp>
        <tr r="V672" s="7"/>
      </tp>
      <tp>
        <v>33300</v>
        <stp/>
        <stp>Market</stp>
        <stp>STOCK</stp>
        <stp>60540.T</stp>
        <stp>出来高</stp>
        <tr r="V646" s="7"/>
      </tp>
      <tp>
        <v>40300</v>
        <stp/>
        <stp>Market</stp>
        <stp>STOCK</stp>
        <stp>60590.T</stp>
        <stp>出来高</stp>
        <tr r="V647" s="7"/>
      </tp>
      <tp>
        <v>12900</v>
        <stp/>
        <stp>Market</stp>
        <stp>STOCK</stp>
        <stp>60460.T</stp>
        <stp>出来高</stp>
        <tr r="V642" s="7"/>
      </tp>
      <tp>
        <v>760900</v>
        <stp/>
        <stp>Market</stp>
        <stp>STOCK</stp>
        <stp>60470.T</stp>
        <stp>出来高</stp>
        <tr r="V643" s="7"/>
      </tp>
      <tp>
        <v>9700</v>
        <stp/>
        <stp>Market</stp>
        <stp>STOCK</stp>
        <stp>60440.T</stp>
        <stp>出来高</stp>
        <tr r="V641" s="7"/>
      </tp>
      <tp>
        <v>126200</v>
        <stp/>
        <stp>Market</stp>
        <stp>STOCK</stp>
        <stp>60480.T</stp>
        <stp>出来高</stp>
        <tr r="V644" s="7"/>
      </tp>
      <tp>
        <v>108900</v>
        <stp/>
        <stp>Market</stp>
        <stp>STOCK</stp>
        <stp>60490.T</stp>
        <stp>出来高</stp>
        <tr r="V645" s="7"/>
      </tp>
      <tp>
        <v>44800</v>
        <stp/>
        <stp>Market</stp>
        <stp>STOCK</stp>
        <stp>60730.T</stp>
        <stp>出来高</stp>
        <tr r="V648" s="7"/>
      </tp>
      <tp>
        <v>176300</v>
        <stp/>
        <stp>Market</stp>
        <stp>STOCK</stp>
        <stp>60310.T</stp>
        <stp>出来高</stp>
        <tr r="V639" s="7"/>
      </tp>
      <tp>
        <v>468400</v>
        <stp/>
        <stp>Market</stp>
        <stp>STOCK</stp>
        <stp>60350.T</stp>
        <stp>出来高</stp>
        <tr r="V640" s="7"/>
      </tp>
      <tp>
        <v>239500</v>
        <stp/>
        <stp>Market</stp>
        <stp>STOCK</stp>
        <stp>60230.T</stp>
        <stp>出来高</stp>
        <tr r="V636" s="7"/>
      </tp>
      <tp>
        <v>1122400</v>
        <stp/>
        <stp>Market</stp>
        <stp>STOCK</stp>
        <stp>60280.T</stp>
        <stp>出来高</stp>
        <tr r="V637" s="7"/>
      </tp>
      <tp>
        <v>7700</v>
        <stp/>
        <stp>Market</stp>
        <stp>STOCK</stp>
        <stp>60290.T</stp>
        <stp>出来高</stp>
        <tr r="V638" s="7"/>
      </tp>
      <tp>
        <v>2800</v>
        <stp/>
        <stp>Market</stp>
        <stp>STOCK</stp>
        <stp>60920.T</stp>
        <stp>出来高</stp>
        <tr r="V651" s="7"/>
      </tp>
      <tp>
        <v>95000</v>
        <stp/>
        <stp>Market</stp>
        <stp>STOCK</stp>
        <stp>60930.T</stp>
        <stp>出来高</stp>
        <tr r="V652" s="7"/>
      </tp>
      <tp>
        <v>9700</v>
        <stp/>
        <stp>Market</stp>
        <stp>STOCK</stp>
        <stp>60910.T</stp>
        <stp>出来高</stp>
        <tr r="V650" s="7"/>
      </tp>
      <tp>
        <v>27900</v>
        <stp/>
        <stp>Market</stp>
        <stp>STOCK</stp>
        <stp>60960.T</stp>
        <stp>出来高</stp>
        <tr r="V653" s="7"/>
      </tp>
      <tp>
        <v>3483400</v>
        <stp/>
        <stp>Market</stp>
        <stp>STOCK</stp>
        <stp>60980.T</stp>
        <stp>出来高</stp>
        <tr r="V654" s="7"/>
      </tp>
      <tp>
        <v>477500</v>
        <stp/>
        <stp>Market</stp>
        <stp>STOCK</stp>
        <stp>60810.T</stp>
        <stp>出来高</stp>
        <tr r="V649" s="7"/>
      </tp>
      <tp>
        <v>202900</v>
        <stp/>
        <stp>Market</stp>
        <stp>STOCK</stp>
        <stp>63560.T</stp>
        <stp>出来高</stp>
        <tr r="V693" s="7"/>
      </tp>
      <tp>
        <v>19500</v>
        <stp/>
        <stp>Market</stp>
        <stp>STOCK</stp>
        <stp>63430.T</stp>
        <stp>出来高</stp>
        <tr r="V691" s="7"/>
      </tp>
      <tp>
        <v>4900</v>
        <stp/>
        <stp>Market</stp>
        <stp>STOCK</stp>
        <stp>63470.T</stp>
        <stp>出来高</stp>
        <tr r="V692" s="7"/>
      </tp>
      <tp>
        <v>2657300</v>
        <stp/>
        <stp>Market</stp>
        <stp>STOCK</stp>
        <stp>63660.T</stp>
        <stp>出来高</stp>
        <tr r="V695" s="7"/>
      </tp>
      <tp>
        <v>48700</v>
        <stp/>
        <stp>Market</stp>
        <stp>STOCK</stp>
        <stp>63640.T</stp>
        <stp>出来高</stp>
        <tr r="V694" s="7"/>
      </tp>
      <tp>
        <v>3692500</v>
        <stp/>
        <stp>Market</stp>
        <stp>STOCK</stp>
        <stp>63010.T</stp>
        <stp>出来高</stp>
        <tr r="V686" s="7"/>
      </tp>
      <tp>
        <v>970700</v>
        <stp/>
        <stp>Market</stp>
        <stp>STOCK</stp>
        <stp>63050.T</stp>
        <stp>出来高</stp>
        <tr r="V687" s="7"/>
      </tp>
      <tp>
        <v>232500</v>
        <stp/>
        <stp>Market</stp>
        <stp>STOCK</stp>
        <stp>63300.T</stp>
        <stp>出来高</stp>
        <tr r="V688" s="7"/>
      </tp>
      <tp>
        <v>1500</v>
        <stp/>
        <stp>Market</stp>
        <stp>STOCK</stp>
        <stp>63360.T</stp>
        <stp>出来高</stp>
        <tr r="V690" s="7"/>
      </tp>
      <tp>
        <v>20000</v>
        <stp/>
        <stp>Market</stp>
        <stp>STOCK</stp>
        <stp>63340.T</stp>
        <stp>出来高</stp>
        <tr r="V689" s="7"/>
      </tp>
      <tp>
        <v>89200</v>
        <stp/>
        <stp>Market</stp>
        <stp>STOCK</stp>
        <stp>63900.T</stp>
        <stp>出来高</stp>
        <tr r="V698" s="7"/>
      </tp>
      <tp>
        <v>208000</v>
        <stp/>
        <stp>Market</stp>
        <stp>STOCK</stp>
        <stp>63950.T</stp>
        <stp>出来高</stp>
        <tr r="V699" s="7"/>
      </tp>
      <tp>
        <v>1209200</v>
        <stp/>
        <stp>Market</stp>
        <stp>STOCK</stp>
        <stp>63830.T</stp>
        <stp>出来高</stp>
        <tr r="V697" s="7"/>
      </tp>
      <tp>
        <v>82200</v>
        <stp/>
        <stp>Market</stp>
        <stp>STOCK</stp>
        <stp>63810.T</stp>
        <stp>出来高</stp>
        <tr r="V696" s="7"/>
      </tp>
      <tp>
        <v>205900</v>
        <stp/>
        <stp>Market</stp>
        <stp>STOCK</stp>
        <stp>62550.T</stp>
        <stp>出来高</stp>
        <tr r="V682" s="7"/>
      </tp>
      <tp>
        <v>776500</v>
        <stp/>
        <stp>Market</stp>
        <stp>STOCK</stp>
        <stp>62400.T</stp>
        <stp>出来高</stp>
        <tr r="V681" s="7"/>
      </tp>
      <tp>
        <v>23500</v>
        <stp/>
        <stp>Market</stp>
        <stp>STOCK</stp>
        <stp>62180.T</stp>
        <stp>出来高</stp>
        <tr r="V678" s="7"/>
      </tp>
      <tp>
        <v>30500</v>
        <stp/>
        <stp>Market</stp>
        <stp>STOCK</stp>
        <stp>62030.T</stp>
        <stp>出来高</stp>
        <tr r="V677" s="7"/>
      </tp>
      <tp>
        <v>2400</v>
        <stp/>
        <stp>Market</stp>
        <stp>STOCK</stp>
        <stp>62330.T</stp>
        <stp>出来高</stp>
        <tr r="V680" s="7"/>
      </tp>
      <tp>
        <v>36400</v>
        <stp/>
        <stp>Market</stp>
        <stp>STOCK</stp>
        <stp>62260.T</stp>
        <stp>出来高</stp>
        <tr r="V679" s="7"/>
      </tp>
      <tp>
        <v>19300</v>
        <stp/>
        <stp>Market</stp>
        <stp>STOCK</stp>
        <stp>62970.T</stp>
        <stp>出来高</stp>
        <tr r="V684" s="7"/>
      </tp>
      <tp>
        <v>207100</v>
        <stp/>
        <stp>Market</stp>
        <stp>STOCK</stp>
        <stp>62980.T</stp>
        <stp>出来高</stp>
        <tr r="V685" s="7"/>
      </tp>
      <tp>
        <v>17700</v>
        <stp/>
        <stp>Market</stp>
        <stp>STOCK</stp>
        <stp>62860.T</stp>
        <stp>出来高</stp>
        <tr r="V683" s="7"/>
      </tp>
      <tp>
        <v>90600</v>
        <stp/>
        <stp>Market</stp>
        <stp>STOCK</stp>
        <stp>65520.T</stp>
        <stp>出来高</stp>
        <tr r="V724" s="7"/>
      </tp>
      <tp>
        <v>58200</v>
        <stp/>
        <stp>Market</stp>
        <stp>STOCK</stp>
        <stp>65500.T</stp>
        <stp>出来高</stp>
        <tr r="V723" s="7"/>
      </tp>
      <tp>
        <v>118000</v>
        <stp/>
        <stp>Market</stp>
        <stp>STOCK</stp>
        <stp>65560.T</stp>
        <stp>出来高</stp>
        <tr r="V727" s="7"/>
      </tp>
      <tp>
        <v>213400</v>
        <stp/>
        <stp>Market</stp>
        <stp>STOCK</stp>
        <stp>65570.T</stp>
        <stp>出来高</stp>
        <tr r="V728" s="7"/>
      </tp>
      <tp>
        <v>37600</v>
        <stp/>
        <stp>Market</stp>
        <stp>STOCK</stp>
        <stp>65540.T</stp>
        <stp>出来高</stp>
        <tr r="V725" s="7"/>
      </tp>
      <tp>
        <v>8600</v>
        <stp/>
        <stp>Market</stp>
        <stp>STOCK</stp>
        <stp>65550.T</stp>
        <stp>出来高</stp>
        <tr r="V726" s="7"/>
      </tp>
      <tp>
        <v>1000</v>
        <stp/>
        <stp>Market</stp>
        <stp>STOCK</stp>
        <stp>65430.T</stp>
        <stp>出来高</stp>
        <tr r="V721" s="7"/>
      </tp>
      <tp>
        <v>800</v>
        <stp/>
        <stp>Market</stp>
        <stp>STOCK</stp>
        <stp>65450.T</stp>
        <stp>出来高</stp>
        <tr r="V722" s="7"/>
      </tp>
      <tp>
        <v>599600</v>
        <stp/>
        <stp>Market</stp>
        <stp>STOCK</stp>
        <stp>65730.T</stp>
        <stp>出来高</stp>
        <tr r="V729" s="7"/>
      </tp>
      <tp>
        <v>1800</v>
        <stp/>
        <stp>Market</stp>
        <stp>STOCK</stp>
        <stp>65740.T</stp>
        <stp>出来高</stp>
        <tr r="V730" s="7"/>
      </tp>
      <tp>
        <v>13800</v>
        <stp/>
        <stp>Market</stp>
        <stp>STOCK</stp>
        <stp>65780.T</stp>
        <stp>出来高</stp>
        <tr r="V731" s="7"/>
      </tp>
      <tp>
        <v>16400</v>
        <stp/>
        <stp>Market</stp>
        <stp>STOCK</stp>
        <stp>65130.T</stp>
        <stp>出来高</stp>
        <tr r="V718" s="7"/>
      </tp>
      <tp t="s">
        <v/>
        <stp/>
        <stp>Market</stp>
        <stp>STOCK</stp>
        <stp>65020.T</stp>
        <stp>出来高</stp>
        <tr r="V714" s="7"/>
      </tp>
      <tp>
        <v>10077700</v>
        <stp/>
        <stp>Market</stp>
        <stp>STOCK</stp>
        <stp>65030.T</stp>
        <stp>出来高</stp>
        <tr r="V715" s="7"/>
      </tp>
      <tp>
        <v>2053900</v>
        <stp/>
        <stp>Market</stp>
        <stp>STOCK</stp>
        <stp>65010.T</stp>
        <stp>出来高</stp>
        <tr r="V713" s="7"/>
      </tp>
      <tp>
        <v>380000</v>
        <stp/>
        <stp>Market</stp>
        <stp>STOCK</stp>
        <stp>65070.T</stp>
        <stp>出来高</stp>
        <tr r="V717" s="7"/>
      </tp>
      <tp>
        <v>726400</v>
        <stp/>
        <stp>Market</stp>
        <stp>STOCK</stp>
        <stp>65040.T</stp>
        <stp>出来高</stp>
        <tr r="V716" s="7"/>
      </tp>
      <tp>
        <v>24600</v>
        <stp/>
        <stp>Market</stp>
        <stp>STOCK</stp>
        <stp>65370.T</stp>
        <stp>出来高</stp>
        <tr r="V720" s="7"/>
      </tp>
      <tp>
        <v>26500</v>
        <stp/>
        <stp>Market</stp>
        <stp>STOCK</stp>
        <stp>65220.T</stp>
        <stp>出来高</stp>
        <tr r="V719" s="7"/>
      </tp>
      <tp>
        <v>2652700</v>
        <stp/>
        <stp>Market</stp>
        <stp>STOCK</stp>
        <stp>65940.T</stp>
        <stp>出来高</stp>
        <tr r="V735" s="7"/>
      </tp>
      <tp>
        <v>6500</v>
        <stp/>
        <stp>Market</stp>
        <stp>STOCK</stp>
        <stp>65800.T</stp>
        <stp>出来高</stp>
        <tr r="V732" s="7"/>
      </tp>
      <tp>
        <v>264600</v>
        <stp/>
        <stp>Market</stp>
        <stp>STOCK</stp>
        <stp>65840.T</stp>
        <stp>出来高</stp>
        <tr r="V733" s="7"/>
      </tp>
      <tp>
        <v>118400</v>
        <stp/>
        <stp>Market</stp>
        <stp>STOCK</stp>
        <stp>65880.T</stp>
        <stp>出来高</stp>
        <tr r="V734" s="7"/>
      </tp>
      <tp>
        <v>204900</v>
        <stp/>
        <stp>Market</stp>
        <stp>STOCK</stp>
        <stp>64400.T</stp>
        <stp>出来高</stp>
        <tr r="V702" s="7"/>
      </tp>
      <tp>
        <v>567300</v>
        <stp/>
        <stp>Market</stp>
        <stp>STOCK</stp>
        <stp>64440.T</stp>
        <stp>出来高</stp>
        <tr r="V703" s="7"/>
      </tp>
      <tp>
        <v>130500</v>
        <stp/>
        <stp>Market</stp>
        <stp>STOCK</stp>
        <stp>64700.T</stp>
        <stp>出来高</stp>
        <tr r="V705" s="7"/>
      </tp>
      <tp>
        <v>2269600</v>
        <stp/>
        <stp>Market</stp>
        <stp>STOCK</stp>
        <stp>64710.T</stp>
        <stp>出来高</stp>
        <tr r="V706" s="7"/>
      </tp>
      <tp>
        <v>4600</v>
        <stp/>
        <stp>Market</stp>
        <stp>STOCK</stp>
        <stp>64670.T</stp>
        <stp>出来高</stp>
        <tr r="V704" s="7"/>
      </tp>
      <tp>
        <v>263800</v>
        <stp/>
        <stp>Market</stp>
        <stp>STOCK</stp>
        <stp>64180.T</stp>
        <stp>出来高</stp>
        <tr r="V700" s="7"/>
      </tp>
      <tp>
        <v>60000</v>
        <stp/>
        <stp>Market</stp>
        <stp>STOCK</stp>
        <stp>64330.T</stp>
        <stp>出来高</stp>
        <tr r="V701" s="7"/>
      </tp>
      <tp>
        <v>100200</v>
        <stp/>
        <stp>Market</stp>
        <stp>STOCK</stp>
        <stp>64930.T</stp>
        <stp>出来高</stp>
        <tr r="V709" s="7"/>
      </tp>
      <tp>
        <v>72200</v>
        <stp/>
        <stp>Market</stp>
        <stp>STOCK</stp>
        <stp>64940.T</stp>
        <stp>出来高</stp>
        <tr r="V710" s="7"/>
      </tp>
      <tp>
        <v>10100</v>
        <stp/>
        <stp>Market</stp>
        <stp>STOCK</stp>
        <stp>64950.T</stp>
        <stp>出来高</stp>
        <tr r="V711" s="7"/>
      </tp>
      <tp>
        <v>152600</v>
        <stp/>
        <stp>Market</stp>
        <stp>STOCK</stp>
        <stp>64980.T</stp>
        <stp>出来高</stp>
        <tr r="V712" s="7"/>
      </tp>
      <tp>
        <v>195600</v>
        <stp/>
        <stp>Market</stp>
        <stp>STOCK</stp>
        <stp>64800.T</stp>
        <stp>出来高</stp>
        <tr r="V707" s="7"/>
      </tp>
      <tp>
        <v>28700</v>
        <stp/>
        <stp>Market</stp>
        <stp>STOCK</stp>
        <stp>64890.T</stp>
        <stp>出来高</stp>
        <tr r="V708" s="7"/>
      </tp>
      <tp>
        <v>10765600</v>
        <stp/>
        <stp>Market</stp>
        <stp>STOCK</stp>
        <stp>67520.T</stp>
        <stp>出来高</stp>
        <tr r="V764" s="7"/>
      </tp>
      <tp>
        <v>14582500</v>
        <stp/>
        <stp>Market</stp>
        <stp>STOCK</stp>
        <stp>67530.T</stp>
        <stp>出来高</stp>
        <tr r="V765" s="7"/>
      </tp>
      <tp>
        <v>147200</v>
        <stp/>
        <stp>Market</stp>
        <stp>STOCK</stp>
        <stp>67500.T</stp>
        <stp>出来高</stp>
        <tr r="V763" s="7"/>
      </tp>
      <tp>
        <v>1303300</v>
        <stp/>
        <stp>Market</stp>
        <stp>STOCK</stp>
        <stp>67540.T</stp>
        <stp>出来高</stp>
        <tr r="V766" s="7"/>
      </tp>
      <tp>
        <v>2905300</v>
        <stp/>
        <stp>Market</stp>
        <stp>STOCK</stp>
        <stp>67580.T</stp>
        <stp>出来高</stp>
        <tr r="V767" s="7"/>
      </tp>
      <tp>
        <v>59200</v>
        <stp/>
        <stp>Market</stp>
        <stp>STOCK</stp>
        <stp>67420.T</stp>
        <stp>出来高</stp>
        <tr r="V761" s="7"/>
      </tp>
      <tp>
        <v>28082400</v>
        <stp/>
        <stp>Market</stp>
        <stp>STOCK</stp>
        <stp>67400.T</stp>
        <stp>出来高</stp>
        <tr r="V759" s="7"/>
      </tp>
      <tp>
        <v>276400</v>
        <stp/>
        <stp>Market</stp>
        <stp>STOCK</stp>
        <stp>67410.T</stp>
        <stp>出来高</stp>
        <tr r="V760" s="7"/>
      </tp>
      <tp>
        <v>7500</v>
        <stp/>
        <stp>Market</stp>
        <stp>STOCK</stp>
        <stp>67480.T</stp>
        <stp>出来高</stp>
        <tr r="V762" s="7"/>
      </tp>
      <tp>
        <v>12500</v>
        <stp/>
        <stp>Market</stp>
        <stp>STOCK</stp>
        <stp>67760.T</stp>
        <stp>出来高</stp>
        <tr r="V771" s="7"/>
      </tp>
      <tp>
        <v>56000</v>
        <stp/>
        <stp>Market</stp>
        <stp>STOCK</stp>
        <stp>67770.T</stp>
        <stp>出来高</stp>
        <tr r="V772" s="7"/>
      </tp>
      <tp>
        <v>175700</v>
        <stp/>
        <stp>Market</stp>
        <stp>STOCK</stp>
        <stp>67750.T</stp>
        <stp>出来高</stp>
        <tr r="V770" s="7"/>
      </tp>
      <tp>
        <v>1494500</v>
        <stp/>
        <stp>Market</stp>
        <stp>STOCK</stp>
        <stp>67620.T</stp>
        <stp>出来高</stp>
        <tr r="V768" s="7"/>
      </tp>
      <tp>
        <v>413900</v>
        <stp/>
        <stp>Market</stp>
        <stp>STOCK</stp>
        <stp>67680.T</stp>
        <stp>出来高</stp>
        <tr r="V769" s="7"/>
      </tp>
      <tp>
        <v>689900</v>
        <stp/>
        <stp>Market</stp>
        <stp>STOCK</stp>
        <stp>67020.T</stp>
        <stp>出来高</stp>
        <tr r="V755" s="7"/>
      </tp>
      <tp>
        <v>873300</v>
        <stp/>
        <stp>Market</stp>
        <stp>STOCK</stp>
        <stp>67010.T</stp>
        <stp>出来高</stp>
        <tr r="V754" s="7"/>
      </tp>
      <tp>
        <v>826900</v>
        <stp/>
        <stp>Market</stp>
        <stp>STOCK</stp>
        <stp>67310.T</stp>
        <stp>出来高</stp>
        <tr r="V758" s="7"/>
      </tp>
      <tp>
        <v>17068300</v>
        <stp/>
        <stp>Market</stp>
        <stp>STOCK</stp>
        <stp>67230.T</stp>
        <stp>出来高</stp>
        <tr r="V757" s="7"/>
      </tp>
      <tp>
        <v>68300</v>
        <stp/>
        <stp>Market</stp>
        <stp>STOCK</stp>
        <stp>67210.T</stp>
        <stp>出来高</stp>
        <tr r="V756" s="7"/>
      </tp>
      <tp>
        <v>8100</v>
        <stp/>
        <stp>Market</stp>
        <stp>STOCK</stp>
        <stp>66540.T</stp>
        <stp>出来高</stp>
        <tr r="V747" s="7"/>
      </tp>
      <tp>
        <v>215500</v>
        <stp/>
        <stp>Market</stp>
        <stp>STOCK</stp>
        <stp>66580.T</stp>
        <stp>出来高</stp>
        <tr r="V748" s="7"/>
      </tp>
      <tp>
        <v>212700</v>
        <stp/>
        <stp>Market</stp>
        <stp>STOCK</stp>
        <stp>66590.T</stp>
        <stp>出来高</stp>
        <tr r="V749" s="7"/>
      </tp>
      <tp>
        <v>75200</v>
        <stp/>
        <stp>Market</stp>
        <stp>STOCK</stp>
        <stp>66400.T</stp>
        <stp>出来高</stp>
        <tr r="V745" s="7"/>
      </tp>
      <tp>
        <v>718600</v>
        <stp/>
        <stp>Market</stp>
        <stp>STOCK</stp>
        <stp>66440.T</stp>
        <stp>出来高</stp>
        <tr r="V746" s="7"/>
      </tp>
      <tp>
        <v>4900</v>
        <stp/>
        <stp>Market</stp>
        <stp>STOCK</stp>
        <stp>66760.T</stp>
        <stp>出来高</stp>
        <tr r="V751" s="7"/>
      </tp>
      <tp>
        <v>49400</v>
        <stp/>
        <stp>Market</stp>
        <stp>STOCK</stp>
        <stp>66770.T</stp>
        <stp>出来高</stp>
        <tr r="V752" s="7"/>
      </tp>
      <tp>
        <v>70200</v>
        <stp/>
        <stp>Market</stp>
        <stp>STOCK</stp>
        <stp>66660.T</stp>
        <stp>出来高</stp>
        <tr r="V750" s="7"/>
      </tp>
      <tp>
        <v>1637600</v>
        <stp/>
        <stp>Market</stp>
        <stp>STOCK</stp>
        <stp>66130.T</stp>
        <stp>出来高</stp>
        <tr r="V736" s="7"/>
      </tp>
      <tp>
        <v>68500</v>
        <stp/>
        <stp>Market</stp>
        <stp>STOCK</stp>
        <stp>66170.T</stp>
        <stp>出来高</stp>
        <tr r="V737" s="7"/>
      </tp>
      <tp>
        <v>1512100</v>
        <stp/>
        <stp>Market</stp>
        <stp>STOCK</stp>
        <stp>66190.T</stp>
        <stp>出来高</stp>
        <tr r="V738" s="7"/>
      </tp>
      <tp>
        <v>1928000</v>
        <stp/>
        <stp>Market</stp>
        <stp>STOCK</stp>
        <stp>66320.T</stp>
        <stp>出来高</stp>
        <tr r="V741" s="7"/>
      </tp>
      <tp>
        <v>3300</v>
        <stp/>
        <stp>Market</stp>
        <stp>STOCK</stp>
        <stp>66330.T</stp>
        <stp>出来高</stp>
        <tr r="V742" s="7"/>
      </tp>
      <tp>
        <v>89600</v>
        <stp/>
        <stp>Market</stp>
        <stp>STOCK</stp>
        <stp>66300.T</stp>
        <stp>出来高</stp>
        <tr r="V740" s="7"/>
      </tp>
      <tp>
        <v>20200</v>
        <stp/>
        <stp>Market</stp>
        <stp>STOCK</stp>
        <stp>66340.T</stp>
        <stp>出来高</stp>
        <tr r="V743" s="7"/>
      </tp>
      <tp>
        <v>30900</v>
        <stp/>
        <stp>Market</stp>
        <stp>STOCK</stp>
        <stp>66350.T</stp>
        <stp>出来高</stp>
        <tr r="V744" s="7"/>
      </tp>
      <tp>
        <v>583800</v>
        <stp/>
        <stp>Market</stp>
        <stp>STOCK</stp>
        <stp>66250.T</stp>
        <stp>出来高</stp>
        <tr r="V739" s="7"/>
      </tp>
      <tp>
        <v>51700</v>
        <stp/>
        <stp>Market</stp>
        <stp>STOCK</stp>
        <stp>66960.T</stp>
        <stp>出来高</stp>
        <tr r="V753" s="7"/>
      </tp>
      <tp>
        <v>1338900</v>
        <stp/>
        <stp>Market</stp>
        <stp>STOCK</stp>
        <stp>69520.T</stp>
        <stp>出来高</stp>
        <tr r="V793" s="7"/>
      </tp>
      <tp>
        <v>3367200</v>
        <stp/>
        <stp>Market</stp>
        <stp>STOCK</stp>
        <stp>69540.T</stp>
        <stp>出来高</stp>
        <tr r="V794" s="7"/>
      </tp>
      <tp>
        <v>34600</v>
        <stp/>
        <stp>Market</stp>
        <stp>STOCK</stp>
        <stp>69550.T</stp>
        <stp>出来高</stp>
        <tr r="V795" s="7"/>
      </tp>
      <tp>
        <v>659400</v>
        <stp/>
        <stp>Market</stp>
        <stp>STOCK</stp>
        <stp>69580.T</stp>
        <stp>出来高</stp>
        <tr r="V796" s="7"/>
      </tp>
      <tp>
        <v>551900</v>
        <stp/>
        <stp>Market</stp>
        <stp>STOCK</stp>
        <stp>69420.T</stp>
        <stp>出来高</stp>
        <tr r="V792" s="7"/>
      </tp>
      <tp>
        <v>1132700</v>
        <stp/>
        <stp>Market</stp>
        <stp>STOCK</stp>
        <stp>69410.T</stp>
        <stp>出来高</stp>
        <tr r="V791" s="7"/>
      </tp>
      <tp>
        <v>2382900</v>
        <stp/>
        <stp>Market</stp>
        <stp>STOCK</stp>
        <stp>69760.T</stp>
        <stp>出来高</stp>
        <tr r="V797" s="7"/>
      </tp>
      <tp>
        <v>20222500</v>
        <stp/>
        <stp>Market</stp>
        <stp>STOCK</stp>
        <stp>69020.T</stp>
        <stp>出来高</stp>
        <tr r="V784" s="7"/>
      </tp>
      <tp>
        <v>8400</v>
        <stp/>
        <stp>Market</stp>
        <stp>STOCK</stp>
        <stp>69070.T</stp>
        <stp>出来高</stp>
        <tr r="V786" s="7"/>
      </tp>
      <tp>
        <v>95500</v>
        <stp/>
        <stp>Market</stp>
        <stp>STOCK</stp>
        <stp>69050.T</stp>
        <stp>出来高</stp>
        <tr r="V785" s="7"/>
      </tp>
      <tp>
        <v>27400</v>
        <stp/>
        <stp>Market</stp>
        <stp>STOCK</stp>
        <stp>69380.T</stp>
        <stp>出来高</stp>
        <tr r="V790" s="7"/>
      </tp>
      <tp>
        <v>1161200</v>
        <stp/>
        <stp>Market</stp>
        <stp>STOCK</stp>
        <stp>69230.T</stp>
        <stp>出来高</stp>
        <tr r="V788" s="7"/>
      </tp>
      <tp>
        <v>8557500</v>
        <stp/>
        <stp>Market</stp>
        <stp>STOCK</stp>
        <stp>69200.T</stp>
        <stp>出来高</stp>
        <tr r="V787" s="7"/>
      </tp>
      <tp>
        <v>536500</v>
        <stp/>
        <stp>Market</stp>
        <stp>STOCK</stp>
        <stp>69270.T</stp>
        <stp>出来高</stp>
        <tr r="V789" s="7"/>
      </tp>
      <tp>
        <v>1031300</v>
        <stp/>
        <stp>Market</stp>
        <stp>STOCK</stp>
        <stp>69930.T</stp>
        <stp>出来高</stp>
        <tr r="V801" s="7"/>
      </tp>
      <tp>
        <v>244800</v>
        <stp/>
        <stp>Market</stp>
        <stp>STOCK</stp>
        <stp>69970.T</stp>
        <stp>出来高</stp>
        <tr r="V803" s="7"/>
      </tp>
      <tp>
        <v>23200</v>
        <stp/>
        <stp>Market</stp>
        <stp>STOCK</stp>
        <stp>69940.T</stp>
        <stp>出来高</stp>
        <tr r="V802" s="7"/>
      </tp>
      <tp>
        <v>26500</v>
        <stp/>
        <stp>Market</stp>
        <stp>STOCK</stp>
        <stp>69820.T</stp>
        <stp>出来高</stp>
        <tr r="V799" s="7"/>
      </tp>
      <tp>
        <v>5978000</v>
        <stp/>
        <stp>Market</stp>
        <stp>STOCK</stp>
        <stp>69810.T</stp>
        <stp>出来高</stp>
        <tr r="V798" s="7"/>
      </tp>
      <tp>
        <v>70900</v>
        <stp/>
        <stp>Market</stp>
        <stp>STOCK</stp>
        <stp>69860.T</stp>
        <stp>出来高</stp>
        <tr r="V800" s="7"/>
      </tp>
      <tp>
        <v>10847700</v>
        <stp/>
        <stp>Market</stp>
        <stp>STOCK</stp>
        <stp>68570.T</stp>
        <stp>出来高</stp>
        <tr r="V778" s="7"/>
      </tp>
      <tp>
        <v>92600</v>
        <stp/>
        <stp>Market</stp>
        <stp>STOCK</stp>
        <stp>68400.T</stp>
        <stp>出来高</stp>
        <tr r="V777" s="7"/>
      </tp>
      <tp>
        <v>1166700</v>
        <stp/>
        <stp>Market</stp>
        <stp>STOCK</stp>
        <stp>68710.T</stp>
        <stp>出来高</stp>
        <tr r="V782" s="7"/>
      </tp>
      <tp>
        <v>159200</v>
        <stp/>
        <stp>Market</stp>
        <stp>STOCK</stp>
        <stp>68620.T</stp>
        <stp>出来高</stp>
        <tr r="V779" s="7"/>
      </tp>
      <tp>
        <v>17700</v>
        <stp/>
        <stp>Market</stp>
        <stp>STOCK</stp>
        <stp>68630.T</stp>
        <stp>出来高</stp>
        <tr r="V780" s="7"/>
      </tp>
      <tp>
        <v>45400</v>
        <stp/>
        <stp>Market</stp>
        <stp>STOCK</stp>
        <stp>68670.T</stp>
        <stp>出来高</stp>
        <tr r="V781" s="7"/>
      </tp>
      <tp>
        <v>277900</v>
        <stp/>
        <stp>Market</stp>
        <stp>STOCK</stp>
        <stp>68100.T</stp>
        <stp>出来高</stp>
        <tr r="V774" s="7"/>
      </tp>
      <tp>
        <v>205000</v>
        <stp/>
        <stp>Market</stp>
        <stp>STOCK</stp>
        <stp>68140.T</stp>
        <stp>出来高</stp>
        <tr r="V775" s="7"/>
      </tp>
      <tp>
        <v>172700</v>
        <stp/>
        <stp>Market</stp>
        <stp>STOCK</stp>
        <stp>68030.T</stp>
        <stp>出来高</stp>
        <tr r="V773" s="7"/>
      </tp>
      <tp>
        <v>209000</v>
        <stp/>
        <stp>Market</stp>
        <stp>STOCK</stp>
        <stp>68350.T</stp>
        <stp>出来高</stp>
        <tr r="V776" s="7"/>
      </tp>
      <tp>
        <v>5800</v>
        <stp/>
        <stp>Market</stp>
        <stp>STOCK</stp>
        <stp>68970.T</stp>
        <stp>出来高</stp>
        <tr r="V783" s="7"/>
      </tp>
      <tp t="s">
        <v>表示銘柄数超過</v>
        <stp/>
        <stp>Market</stp>
        <stp>STOCK</stp>
        <stp>98540.T</stp>
        <stp>高値</stp>
        <tr r="N1174" s="7"/>
      </tp>
      <tp t="s">
        <v>表示銘柄数超過</v>
        <stp/>
        <stp>Market</stp>
        <stp>STOCK</stp>
        <stp>99840.T</stp>
        <stp>高値</stp>
        <tr r="N1189" s="7"/>
      </tp>
      <tp t="s">
        <v>表示銘柄数超過</v>
        <stp/>
        <stp>Market</stp>
        <stp>STOCK</stp>
        <stp>99040.T</stp>
        <stp>高値</stp>
        <tr r="N1178" s="7"/>
      </tp>
      <tp t="s">
        <v>表示銘柄数超過</v>
        <stp/>
        <stp>Market</stp>
        <stp>STOCK</stp>
        <stp>92540.T</stp>
        <stp>高値</stp>
        <tr r="N1103" s="7"/>
      </tp>
      <tp t="s">
        <v>表示銘柄数超過</v>
        <stp/>
        <stp>Market</stp>
        <stp>STOCK</stp>
        <stp>92740.T</stp>
        <stp>高値</stp>
        <tr r="N1107" s="7"/>
      </tp>
      <tp t="s">
        <v>表示銘柄数超過</v>
        <stp/>
        <stp>Market</stp>
        <stp>STOCK</stp>
        <stp>90440.T</stp>
        <stp>高値</stp>
        <tr r="N1087" s="7"/>
      </tp>
      <tp t="s">
        <v>表示銘柄数超過</v>
        <stp/>
        <stp>Market</stp>
        <stp>STOCK</stp>
        <stp>90640.T</stp>
        <stp>高値</stp>
        <tr r="N1091" s="7"/>
      </tp>
      <tp t="s">
        <v>表示銘柄数超過</v>
        <stp/>
        <stp>Market</stp>
        <stp>STOCK</stp>
        <stp>90240.T</stp>
        <stp>高値</stp>
        <tr r="N1083" s="7"/>
      </tp>
      <tp t="s">
        <v>表示銘柄数超過</v>
        <stp/>
        <stp>Market</stp>
        <stp>STOCK</stp>
        <stp>91040.T</stp>
        <stp>高値</stp>
        <tr r="N1094" s="7"/>
      </tp>
      <tp t="s">
        <v>表示銘柄数超過</v>
        <stp/>
        <stp>Market</stp>
        <stp>STOCK</stp>
        <stp>94440.T</stp>
        <stp>高値</stp>
        <tr r="N1132" s="7"/>
      </tp>
      <tp t="s">
        <v>表示銘柄数超過</v>
        <stp/>
        <stp>Market</stp>
        <stp>STOCK</stp>
        <stp>94740.T</stp>
        <stp>高値</stp>
        <tr r="N1136" s="7"/>
      </tp>
      <tp t="s">
        <v>表示銘柄数超過</v>
        <stp/>
        <stp>Market</stp>
        <stp>STOCK</stp>
        <stp>94140.T</stp>
        <stp>高値</stp>
        <tr r="N1120" s="7"/>
      </tp>
      <tp t="s">
        <v>表示銘柄数超過</v>
        <stp/>
        <stp>Market</stp>
        <stp>STOCK</stp>
        <stp>94040.T</stp>
        <stp>高値</stp>
        <tr r="N1115" s="7"/>
      </tp>
      <tp>
        <v>1948.5</v>
        <stp/>
        <stp>Market</stp>
        <stp>STOCK</stp>
        <stp>94340.T</stp>
        <stp>高値</stp>
        <tr r="N1129" s="7"/>
      </tp>
      <tp t="s">
        <v>表示銘柄数超過</v>
        <stp/>
        <stp>Market</stp>
        <stp>STOCK</stp>
        <stp>94240.T</stp>
        <stp>高値</stp>
        <tr r="N1125" s="7"/>
      </tp>
      <tp t="s">
        <v>表示銘柄数超過</v>
        <stp/>
        <stp>Market</stp>
        <stp>STOCK</stp>
        <stp>95140.T</stp>
        <stp>高値</stp>
        <tr r="N1150" s="7"/>
      </tp>
      <tp t="s">
        <v>表示銘柄数超過</v>
        <stp/>
        <stp>Market</stp>
        <stp>STOCK</stp>
        <stp>95040.T</stp>
        <stp>高値</stp>
        <tr r="N1143" s="7"/>
      </tp>
      <tp t="s">
        <v>表示銘柄数超過</v>
        <stp/>
        <stp>Market</stp>
        <stp>STOCK</stp>
        <stp>88940.T</stp>
        <stp>高値</stp>
        <tr r="N1060" s="7"/>
      </tp>
      <tp t="s">
        <v>表示銘柄数超過</v>
        <stp/>
        <stp>Market</stp>
        <stp>STOCK</stp>
        <stp>88440.T</stp>
        <stp>高値</stp>
        <tr r="N1056" s="7"/>
      </tp>
      <tp t="s">
        <v>表示銘柄数超過</v>
        <stp/>
        <stp>Market</stp>
        <stp>STOCK</stp>
        <stp>88040.T</stp>
        <stp>高値</stp>
        <tr r="N1052" s="7"/>
      </tp>
      <tp t="s">
        <v>表示銘柄数超過</v>
        <stp/>
        <stp>Market</stp>
        <stp>STOCK</stp>
        <stp>89440.T</stp>
        <stp>高値</stp>
        <tr r="N1069" s="7"/>
      </tp>
      <tp>
        <v>2585</v>
        <stp/>
        <stp>Market</stp>
        <stp>STOCK</stp>
        <stp>82440.T</stp>
        <stp>高値</stp>
        <tr r="N997" s="7"/>
      </tp>
      <tp>
        <v>3770</v>
        <stp/>
        <stp>Market</stp>
        <stp>STOCK</stp>
        <stp>81940.T</stp>
        <stp>高値</stp>
        <tr r="N989" s="7"/>
      </tp>
      <tp>
        <v>715</v>
        <stp/>
        <stp>Market</stp>
        <stp>STOCK</stp>
        <stp>81040.T</stp>
        <stp>高値</stp>
        <tr r="N977" s="7"/>
      </tp>
      <tp>
        <v>333</v>
        <stp/>
        <stp>Market</stp>
        <stp>STOCK</stp>
        <stp>86140.T</stp>
        <stp>高値</stp>
        <tr r="N1029" s="7"/>
      </tp>
      <tp>
        <v>816.4</v>
        <stp/>
        <stp>Market</stp>
        <stp>STOCK</stp>
        <stp>86040.T</stp>
        <stp>高値</stp>
        <tr r="N1026" s="7"/>
      </tp>
      <tp>
        <v>750</v>
        <stp/>
        <stp>Market</stp>
        <stp>STOCK</stp>
        <stp>86240.T</stp>
        <stp>高値</stp>
        <tr r="N1033" s="7"/>
      </tp>
      <tp>
        <v>377</v>
        <stp/>
        <stp>Market</stp>
        <stp>STOCK</stp>
        <stp>85240.T</stp>
        <stp>高値</stp>
        <tr r="N1018" s="7"/>
      </tp>
      <tp>
        <v>749</v>
        <stp/>
        <stp>Market</stp>
        <stp>STOCK</stp>
        <stp>78440.T</stp>
        <stp>高値</stp>
        <tr r="N945" s="7"/>
      </tp>
      <tp>
        <v>609</v>
        <stp/>
        <stp>Market</stp>
        <stp>STOCK</stp>
        <stp>78140.T</stp>
        <stp>高値</stp>
        <tr r="N940" s="7"/>
      </tp>
      <tp>
        <v>8623</v>
        <stp/>
        <stp>Market</stp>
        <stp>STOCK</stp>
        <stp>79740.T</stp>
        <stp>高値</stp>
        <tr r="N962" s="7"/>
      </tp>
      <tp>
        <v>1012</v>
        <stp/>
        <stp>Market</stp>
        <stp>STOCK</stp>
        <stp>72940.T</stp>
        <stp>高値</stp>
        <tr r="N872" s="7"/>
      </tp>
      <tp>
        <v>615</v>
        <stp/>
        <stp>Market</stp>
        <stp>STOCK</stp>
        <stp>72540.T</stp>
        <stp>高値</stp>
        <tr r="N861" s="7"/>
      </tp>
      <tp>
        <v>1301</v>
        <stp/>
        <stp>Market</stp>
        <stp>STOCK</stp>
        <stp>72140.T</stp>
        <stp>高値</stp>
        <tr r="N851" s="7"/>
      </tp>
      <tp>
        <v>1860</v>
        <stp/>
        <stp>Market</stp>
        <stp>STOCK</stp>
        <stp>73840.T</stp>
        <stp>高値</stp>
        <tr r="N885" s="7"/>
      </tp>
      <tp>
        <v>328</v>
        <stp/>
        <stp>Market</stp>
        <stp>STOCK</stp>
        <stp>70440.T</stp>
        <stp>高値</stp>
        <tr r="N814" s="7"/>
      </tp>
      <tp>
        <v>260</v>
        <stp/>
        <stp>Market</stp>
        <stp>STOCK</stp>
        <stp>70740.T</stp>
        <stp>高値</stp>
        <tr r="N823" s="7"/>
      </tp>
      <tp>
        <v>1355</v>
        <stp/>
        <stp>Market</stp>
        <stp>STOCK</stp>
        <stp>70140.T</stp>
        <stp>高値</stp>
        <tr r="N809" s="7"/>
      </tp>
      <tp>
        <v>1015</v>
        <stp/>
        <stp>Market</stp>
        <stp>STOCK</stp>
        <stp>70040.T</stp>
        <stp>高値</stp>
        <tr r="N805" s="7"/>
      </tp>
      <tp>
        <v>857</v>
        <stp/>
        <stp>Market</stp>
        <stp>STOCK</stp>
        <stp>71840.T</stp>
        <stp>高値</stp>
        <tr r="N841" s="7"/>
      </tp>
      <tp>
        <v>146</v>
        <stp/>
        <stp>Market</stp>
        <stp>STOCK</stp>
        <stp>76240.T</stp>
        <stp>高値</stp>
        <tr r="N916" s="7"/>
      </tp>
      <tp>
        <v>1479</v>
        <stp/>
        <stp>Market</stp>
        <stp>STOCK</stp>
        <stp>77940.T</stp>
        <stp>高値</stp>
        <tr r="N936" s="7"/>
      </tp>
      <tp>
        <v>425</v>
        <stp/>
        <stp>Market</stp>
        <stp>STOCK</stp>
        <stp>74940.T</stp>
        <stp>高値</stp>
        <tr r="N894" s="7"/>
      </tp>
      <tp>
        <v>487</v>
        <stp/>
        <stp>Market</stp>
        <stp>STOCK</stp>
        <stp>75440.T</stp>
        <stp>高値</stp>
        <tr r="N903" s="7"/>
      </tp>
      <tp>
        <v>940</v>
        <stp/>
        <stp>Market</stp>
        <stp>STOCK</stp>
        <stp>75140.T</stp>
        <stp>高値</stp>
        <tr r="N898" s="7"/>
      </tp>
      <tp>
        <v>2035</v>
        <stp/>
        <stp>Market</stp>
        <stp>STOCK</stp>
        <stp>68140.T</stp>
        <stp>高値</stp>
        <tr r="N775" s="7"/>
      </tp>
      <tp>
        <v>444</v>
        <stp/>
        <stp>Market</stp>
        <stp>STOCK</stp>
        <stp>69940.T</stp>
        <stp>高値</stp>
        <tr r="N802" s="7"/>
      </tp>
      <tp>
        <v>3987</v>
        <stp/>
        <stp>Market</stp>
        <stp>STOCK</stp>
        <stp>69540.T</stp>
        <stp>高値</stp>
        <tr r="N794" s="7"/>
      </tp>
      <tp>
        <v>2504</v>
        <stp/>
        <stp>Market</stp>
        <stp>STOCK</stp>
        <stp>63640.T</stp>
        <stp>高値</stp>
        <tr r="N694" s="7"/>
      </tp>
      <tp>
        <v>370</v>
        <stp/>
        <stp>Market</stp>
        <stp>STOCK</stp>
        <stp>63340.T</stp>
        <stp>高値</stp>
        <tr r="N689" s="7"/>
      </tp>
      <tp>
        <v>250</v>
        <stp/>
        <stp>Market</stp>
        <stp>STOCK</stp>
        <stp>60540.T</stp>
        <stp>高値</stp>
        <tr r="N646" s="7"/>
      </tp>
      <tp>
        <v>1376</v>
        <stp/>
        <stp>Market</stp>
        <stp>STOCK</stp>
        <stp>60440.T</stp>
        <stp>高値</stp>
        <tr r="N641" s="7"/>
      </tp>
      <tp>
        <v>687</v>
        <stp/>
        <stp>Market</stp>
        <stp>STOCK</stp>
        <stp>61940.T</stp>
        <stp>高値</stp>
        <tr r="N675" s="7"/>
      </tp>
      <tp>
        <v>620</v>
        <stp/>
        <stp>Market</stp>
        <stp>STOCK</stp>
        <stp>61840.T</stp>
        <stp>高値</stp>
        <tr r="N669" s="7"/>
      </tp>
      <tp>
        <v>3410</v>
        <stp/>
        <stp>Market</stp>
        <stp>STOCK</stp>
        <stp>61040.T</stp>
        <stp>高値</stp>
        <tr r="N655" s="7"/>
      </tp>
      <tp>
        <v>2488.5</v>
        <stp/>
        <stp>Market</stp>
        <stp>STOCK</stp>
        <stp>61340.T</stp>
        <stp>高値</stp>
        <tr r="N657" s="7"/>
      </tp>
      <tp>
        <v>1156</v>
        <stp/>
        <stp>Market</stp>
        <stp>STOCK</stp>
        <stp>66540.T</stp>
        <stp>高値</stp>
        <tr r="N747" s="7"/>
      </tp>
      <tp>
        <v>704</v>
        <stp/>
        <stp>Market</stp>
        <stp>STOCK</stp>
        <stp>66440.T</stp>
        <stp>高値</stp>
        <tr r="N746" s="7"/>
      </tp>
      <tp>
        <v>137</v>
        <stp/>
        <stp>Market</stp>
        <stp>STOCK</stp>
        <stp>66340.T</stp>
        <stp>高値</stp>
        <tr r="N743" s="7"/>
      </tp>
      <tp>
        <v>1194</v>
        <stp/>
        <stp>Market</stp>
        <stp>STOCK</stp>
        <stp>67540.T</stp>
        <stp>高値</stp>
        <tr r="N766" s="7"/>
      </tp>
      <tp>
        <v>95</v>
        <stp/>
        <stp>Market</stp>
        <stp>STOCK</stp>
        <stp>64940.T</stp>
        <stp>高値</stp>
        <tr r="N710" s="7"/>
      </tp>
      <tp>
        <v>193</v>
        <stp/>
        <stp>Market</stp>
        <stp>STOCK</stp>
        <stp>64440.T</stp>
        <stp>高値</stp>
        <tr r="N703" s="7"/>
      </tp>
      <tp>
        <v>5497</v>
        <stp/>
        <stp>Market</stp>
        <stp>STOCK</stp>
        <stp>65940.T</stp>
        <stp>高値</stp>
        <tr r="N735" s="7"/>
      </tp>
      <tp>
        <v>900</v>
        <stp/>
        <stp>Market</stp>
        <stp>STOCK</stp>
        <stp>65840.T</stp>
        <stp>高値</stp>
        <tr r="N733" s="7"/>
      </tp>
      <tp>
        <v>822</v>
        <stp/>
        <stp>Market</stp>
        <stp>STOCK</stp>
        <stp>65540.T</stp>
        <stp>高値</stp>
        <tr r="N725" s="7"/>
      </tp>
      <tp>
        <v>808</v>
        <stp/>
        <stp>Market</stp>
        <stp>STOCK</stp>
        <stp>65740.T</stp>
        <stp>高値</stp>
        <tr r="N730" s="7"/>
      </tp>
      <tp>
        <v>8112</v>
        <stp/>
        <stp>Market</stp>
        <stp>STOCK</stp>
        <stp>65040.T</stp>
        <stp>高値</stp>
        <tr r="N716" s="7"/>
      </tp>
      <tp>
        <v>1130</v>
        <stp/>
        <stp>Market</stp>
        <stp>STOCK</stp>
        <stp>59940.T</stp>
        <stp>高値</stp>
        <tr r="N634" s="7"/>
      </tp>
      <tp>
        <v>352</v>
        <stp/>
        <stp>Market</stp>
        <stp>STOCK</stp>
        <stp>52440.T</stp>
        <stp>高値</stp>
        <tr r="N578" s="7"/>
      </tp>
      <tp>
        <v>3595</v>
        <stp/>
        <stp>Market</stp>
        <stp>STOCK</stp>
        <stp>52040.T</stp>
        <stp>高値</stp>
        <tr r="N575" s="7"/>
      </tp>
      <tp>
        <v>4288</v>
        <stp/>
        <stp>Market</stp>
        <stp>STOCK</stp>
        <stp>53340.T</stp>
        <stp>高値</stp>
        <tr r="N586" s="7"/>
      </tp>
      <tp t="s">
        <v>表示銘柄数超過</v>
        <stp/>
        <stp>Market</stp>
        <stp>STOCK</stp>
        <stp>50740.T</stp>
        <stp>高値</stp>
        <tr r="N566" s="7"/>
      </tp>
      <tp>
        <v>1343</v>
        <stp/>
        <stp>Market</stp>
        <stp>STOCK</stp>
        <stp>57040.T</stp>
        <stp>高値</stp>
        <tr r="N606" s="7"/>
      </tp>
      <tp t="s">
        <v>表示銘柄数超過</v>
        <stp/>
        <stp>Market</stp>
        <stp>STOCK</stp>
        <stp>48140.T</stp>
        <stp>高値</stp>
        <tr r="N537" s="7"/>
      </tp>
      <tp t="s">
        <v>表示銘柄数超過</v>
        <stp/>
        <stp>Market</stp>
        <stp>STOCK</stp>
        <stp>48240.T</stp>
        <stp>高値</stp>
        <tr r="N539" s="7"/>
      </tp>
      <tp t="s">
        <v>表示銘柄数超過</v>
        <stp/>
        <stp>Market</stp>
        <stp>STOCK</stp>
        <stp>42740.T</stp>
        <stp>高値</stp>
        <tr r="N435" s="7"/>
      </tp>
      <tp t="s">
        <v>表示銘柄数超過</v>
        <stp/>
        <stp>Market</stp>
        <stp>STOCK</stp>
        <stp>42640.T</stp>
        <stp>高値</stp>
        <tr r="N433" s="7"/>
      </tp>
      <tp t="s">
        <v>表示銘柄数超過</v>
        <stp/>
        <stp>Market</stp>
        <stp>STOCK</stp>
        <stp>43740.T</stp>
        <stp>高値</stp>
        <tr r="N451" s="7"/>
      </tp>
      <tp t="s">
        <v>表示銘柄数超過</v>
        <stp/>
        <stp>Market</stp>
        <stp>STOCK</stp>
        <stp>43040.T</stp>
        <stp>高値</stp>
        <tr r="N440" s="7"/>
      </tp>
      <tp t="s">
        <v>表示銘柄数超過</v>
        <stp/>
        <stp>Market</stp>
        <stp>STOCK</stp>
        <stp>43240.T</stp>
        <stp>高値</stp>
        <tr r="N443" s="7"/>
      </tp>
      <tp t="s">
        <v>表示銘柄数超過</v>
        <stp/>
        <stp>Market</stp>
        <stp>STOCK</stp>
        <stp>40040.T</stp>
        <stp>高値</stp>
        <tr r="N410" s="7"/>
      </tp>
      <tp t="s">
        <v>表示銘柄数超過</v>
        <stp/>
        <stp>Market</stp>
        <stp>STOCK</stp>
        <stp>46640.T</stp>
        <stp>高値</stp>
        <tr r="N515" s="7"/>
      </tp>
      <tp t="s">
        <v>表示銘柄数超過</v>
        <stp/>
        <stp>Market</stp>
        <stp>STOCK</stp>
        <stp>47840.T</stp>
        <stp>高値</stp>
        <tr r="N535" s="7"/>
      </tp>
      <tp t="s">
        <v>表示銘柄数超過</v>
        <stp/>
        <stp>Market</stp>
        <stp>STOCK</stp>
        <stp>47140.T</stp>
        <stp>高値</stp>
        <tr r="N524" s="7"/>
      </tp>
      <tp t="s">
        <v>表示銘柄数超過</v>
        <stp/>
        <stp>Market</stp>
        <stp>STOCK</stp>
        <stp>44840.T</stp>
        <stp>高値</stp>
        <tr r="N475" s="7"/>
      </tp>
      <tp t="s">
        <v>表示銘柄数超過</v>
        <stp/>
        <stp>Market</stp>
        <stp>STOCK</stp>
        <stp>44440.T</stp>
        <stp>高値</stp>
        <tr r="N467" s="7"/>
      </tp>
      <tp t="s">
        <v>表示銘柄数超過</v>
        <stp/>
        <stp>Market</stp>
        <stp>STOCK</stp>
        <stp>44140.T</stp>
        <stp>高値</stp>
        <tr r="N460" s="7"/>
      </tp>
      <tp t="s">
        <v>表示銘柄数超過</v>
        <stp/>
        <stp>Market</stp>
        <stp>STOCK</stp>
        <stp>45940.T</stp>
        <stp>高値</stp>
        <tr r="N505" s="7"/>
      </tp>
      <tp t="s">
        <v>表示銘柄数超過</v>
        <stp/>
        <stp>Market</stp>
        <stp>STOCK</stp>
        <stp>45840.T</stp>
        <stp>高値</stp>
        <tr r="N499" s="7"/>
      </tp>
      <tp t="s">
        <v>表示銘柄数超過</v>
        <stp/>
        <stp>Market</stp>
        <stp>STOCK</stp>
        <stp>45540.T</stp>
        <stp>高値</stp>
        <tr r="N484" s="7"/>
      </tp>
      <tp t="s">
        <v>表示銘柄数超過</v>
        <stp/>
        <stp>Market</stp>
        <stp>STOCK</stp>
        <stp>45740.T</stp>
        <stp>高値</stp>
        <tr r="N493" s="7"/>
      </tp>
      <tp t="s">
        <v>表示銘柄数超過</v>
        <stp/>
        <stp>Market</stp>
        <stp>STOCK</stp>
        <stp>45640.T</stp>
        <stp>高値</stp>
        <tr r="N487" s="7"/>
      </tp>
      <tp t="s">
        <v>表示銘柄数超過</v>
        <stp/>
        <stp>Market</stp>
        <stp>STOCK</stp>
        <stp>38640.T</stp>
        <stp>高値</stp>
        <tr r="N381" s="7"/>
      </tp>
      <tp t="s">
        <v>表示銘柄数超過</v>
        <stp/>
        <stp>Market</stp>
        <stp>STOCK</stp>
        <stp>38140.T</stp>
        <stp>高値</stp>
        <tr r="N363" s="7"/>
      </tp>
      <tp t="s">
        <v>表示銘柄数超過</v>
        <stp/>
        <stp>Market</stp>
        <stp>STOCK</stp>
        <stp>39340.T</stp>
        <stp>高値</stp>
        <tr r="N396" s="7"/>
      </tp>
      <tp t="s">
        <v>表示銘柄数超過</v>
        <stp/>
        <stp>Market</stp>
        <stp>STOCK</stp>
        <stp>32840.T</stp>
        <stp>高値</stp>
        <tr r="N269" s="7"/>
      </tp>
      <tp t="s">
        <v>表示銘柄数超過</v>
        <stp/>
        <stp>Market</stp>
        <stp>STOCK</stp>
        <stp>32440.T</stp>
        <stp>高値</stp>
        <tr r="N264" s="7"/>
      </tp>
      <tp t="s">
        <v>表示銘柄数超過</v>
        <stp/>
        <stp>Market</stp>
        <stp>STOCK</stp>
        <stp>32640.T</stp>
        <stp>高値</stp>
        <tr r="N266" s="7"/>
      </tp>
      <tp t="s">
        <v>表示銘柄数超過</v>
        <stp/>
        <stp>Market</stp>
        <stp>STOCK</stp>
        <stp>30640.T</stp>
        <stp>高値</stp>
        <tr r="N234" s="7"/>
      </tp>
      <tp t="s">
        <v>表示銘柄数超過</v>
        <stp/>
        <stp>Market</stp>
        <stp>STOCK</stp>
        <stp>30040.T</stp>
        <stp>高値</stp>
        <tr r="N222" s="7"/>
      </tp>
      <tp t="s">
        <v>表示銘柄数超過</v>
        <stp/>
        <stp>Market</stp>
        <stp>STOCK</stp>
        <stp>30340.T</stp>
        <stp>高値</stp>
        <tr r="N227" s="7"/>
      </tp>
      <tp t="s">
        <v>表示銘柄数超過</v>
        <stp/>
        <stp>Market</stp>
        <stp>STOCK</stp>
        <stp>31540.T</stp>
        <stp>高値</stp>
        <tr r="N248" s="7"/>
      </tp>
      <tp t="s">
        <v>表示銘柄数超過</v>
        <stp/>
        <stp>Market</stp>
        <stp>STOCK</stp>
        <stp>36740.T</stp>
        <stp>高値</stp>
        <tr r="N333" s="7"/>
      </tp>
      <tp t="s">
        <v>表示銘柄数超過</v>
        <stp/>
        <stp>Market</stp>
        <stp>STOCK</stp>
        <stp>36640.T</stp>
        <stp>高値</stp>
        <tr r="N327" s="7"/>
      </tp>
      <tp t="s">
        <v>表示銘柄数超過</v>
        <stp/>
        <stp>Market</stp>
        <stp>STOCK</stp>
        <stp>36240.T</stp>
        <stp>高値</stp>
        <tr r="N312" s="7"/>
      </tp>
      <tp t="s">
        <v>表示銘柄数超過</v>
        <stp/>
        <stp>Market</stp>
        <stp>STOCK</stp>
        <stp>37840.T</stp>
        <stp>高値</stp>
        <tr r="N359" s="7"/>
      </tp>
      <tp t="s">
        <v>表示銘柄数超過</v>
        <stp/>
        <stp>Market</stp>
        <stp>STOCK</stp>
        <stp>34540.T</stp>
        <stp>高値</stp>
        <tr r="N300" s="7"/>
      </tp>
      <tp t="s">
        <v>表示銘柄数超過</v>
        <stp/>
        <stp>Market</stp>
        <stp>STOCK</stp>
        <stp>34640.T</stp>
        <stp>高値</stp>
        <tr r="N302" s="7"/>
      </tp>
      <tp t="s">
        <v>表示銘柄数超過</v>
        <stp/>
        <stp>Market</stp>
        <stp>STOCK</stp>
        <stp>28940.T</stp>
        <stp>高値</stp>
        <tr r="N212" s="7"/>
      </tp>
      <tp>
        <v>3939</v>
        <stp/>
        <stp>Market</stp>
        <stp>STOCK</stp>
        <stp>29140.T</stp>
        <stp>高値</stp>
        <tr r="N214" s="7"/>
      </tp>
      <tp t="s">
        <v>表示銘柄数超過</v>
        <stp/>
        <stp>Market</stp>
        <stp>STOCK</stp>
        <stp>23540.T</stp>
        <stp>高値</stp>
        <tr r="N125" s="7"/>
      </tp>
      <tp t="s">
        <v>表示銘柄数超過</v>
        <stp/>
        <stp>Market</stp>
        <stp>STOCK</stp>
        <stp>23440.T</stp>
        <stp>高値</stp>
        <tr r="N121" s="7"/>
      </tp>
      <tp t="s">
        <v>表示銘柄数超過</v>
        <stp/>
        <stp>Market</stp>
        <stp>STOCK</stp>
        <stp>23040.T</stp>
        <stp>高値</stp>
        <tr r="N111" s="7"/>
      </tp>
      <tp t="s">
        <v>表示銘柄数超過</v>
        <stp/>
        <stp>Market</stp>
        <stp>STOCK</stp>
        <stp>21540.T</stp>
        <stp>高値</stp>
        <tr r="N96" s="7"/>
      </tp>
      <tp t="s">
        <v>表示銘柄数超過</v>
        <stp/>
        <stp>Market</stp>
        <stp>STOCK</stp>
        <stp>21640.T</stp>
        <stp>高値</stp>
        <tr r="N100" s="7"/>
      </tp>
      <tp t="s">
        <v>表示銘柄数超過</v>
        <stp/>
        <stp>Market</stp>
        <stp>STOCK</stp>
        <stp>21140.T</stp>
        <stp>高値</stp>
        <tr r="N89" s="7"/>
      </tp>
      <tp t="s">
        <v>表示銘柄数超過</v>
        <stp/>
        <stp>Market</stp>
        <stp>STOCK</stp>
        <stp>21340.T</stp>
        <stp>高値</stp>
        <tr r="N92" s="7"/>
      </tp>
      <tp t="s">
        <v>表示銘柄数超過</v>
        <stp/>
        <stp>Market</stp>
        <stp>STOCK</stp>
        <stp>26940.T</stp>
        <stp>高値</stp>
        <tr r="N184" s="7"/>
      </tp>
      <tp t="s">
        <v>表示銘柄数超過</v>
        <stp/>
        <stp>Market</stp>
        <stp>STOCK</stp>
        <stp>26740.T</stp>
        <stp>高値</stp>
        <tr r="N179" s="7"/>
      </tp>
      <tp t="s">
        <v>表示銘柄数超過</v>
        <stp/>
        <stp>Market</stp>
        <stp>STOCK</stp>
        <stp>26340.T</stp>
        <stp>高値</stp>
        <tr r="N173" s="7"/>
      </tp>
      <tp t="s">
        <v>表示銘柄数超過</v>
        <stp/>
        <stp>Market</stp>
        <stp>STOCK</stp>
        <stp>26240.T</stp>
        <stp>高値</stp>
        <tr r="N171" s="7"/>
      </tp>
      <tp t="s">
        <v>表示銘柄数超過</v>
        <stp/>
        <stp>Market</stp>
        <stp>STOCK</stp>
        <stp>27640.T</stp>
        <stp>高値</stp>
        <tr r="N194" s="7"/>
      </tp>
      <tp t="s">
        <v>表示銘柄数超過</v>
        <stp/>
        <stp>Market</stp>
        <stp>STOCK</stp>
        <stp>27340.T</stp>
        <stp>高値</stp>
        <tr r="N189" s="7"/>
      </tp>
      <tp t="s">
        <v>表示銘柄数超過</v>
        <stp/>
        <stp>Market</stp>
        <stp>STOCK</stp>
        <stp>24840.T</stp>
        <stp>高値</stp>
        <tr r="N152" s="7"/>
      </tp>
      <tp t="s">
        <v>表示銘柄数超過</v>
        <stp/>
        <stp>Market</stp>
        <stp>STOCK</stp>
        <stp>24040.T</stp>
        <stp>高値</stp>
        <tr r="N133" s="7"/>
      </tp>
      <tp t="s">
        <v>表示銘柄数超過</v>
        <stp/>
        <stp>Market</stp>
        <stp>STOCK</stp>
        <stp>18440.T</stp>
        <stp>高値</stp>
        <tr r="N66" s="7"/>
      </tp>
      <tp t="s">
        <v>表示銘柄数超過</v>
        <stp/>
        <stp>Market</stp>
        <stp>STOCK</stp>
        <stp>19940.T</stp>
        <stp>高値</stp>
        <tr r="N86" s="7"/>
      </tp>
      <tp t="s">
        <v>表示銘柄数超過</v>
        <stp/>
        <stp>Market</stp>
        <stp>STOCK</stp>
        <stp>19140.T</stp>
        <stp>高値</stp>
        <tr r="N73" s="7"/>
      </tp>
      <tp t="s">
        <v>表示銘柄数超過</v>
        <stp/>
        <stp>Market</stp>
        <stp>STOCK</stp>
        <stp>15140.T</stp>
        <stp>高値</stp>
        <tr r="N30" s="7"/>
      </tp>
    </main>
    <main first="rtdsrv.662c26bade854d00aebc6010f8a2e03a">
      <tp>
        <v>12400</v>
        <stp/>
        <stp>Market</stp>
        <stp>STOCK</stp>
        <stp>71500.T</stp>
        <stp>出来高</stp>
        <tr r="V831" s="7"/>
      </tp>
      <tp>
        <v>353400</v>
        <stp/>
        <stp>Market</stp>
        <stp>STOCK</stp>
        <stp>71480.T</stp>
        <stp>出来高</stp>
        <tr r="V830" s="7"/>
      </tp>
      <tp>
        <v>266600</v>
        <stp/>
        <stp>Market</stp>
        <stp>STOCK</stp>
        <stp>71720.T</stp>
        <stp>出来高</stp>
        <tr r="V835" s="7"/>
      </tp>
      <tp>
        <v>988100</v>
        <stp/>
        <stp>Market</stp>
        <stp>STOCK</stp>
        <stp>71770.T</stp>
        <stp>出来高</stp>
        <tr r="V837" s="7"/>
      </tp>
      <tp>
        <v>900</v>
        <stp/>
        <stp>Market</stp>
        <stp>STOCK</stp>
        <stp>71750.T</stp>
        <stp>出来高</stp>
        <tr r="V836" s="7"/>
      </tp>
      <tp>
        <v>664700</v>
        <stp/>
        <stp>Market</stp>
        <stp>STOCK</stp>
        <stp>71630.T</stp>
        <stp>出来高</stp>
        <tr r="V833" s="7"/>
      </tp>
      <tp>
        <v>228100</v>
        <stp/>
        <stp>Market</stp>
        <stp>STOCK</stp>
        <stp>71610.T</stp>
        <stp>出来高</stp>
        <tr r="V832" s="7"/>
      </tp>
      <tp>
        <v>2703400</v>
        <stp/>
        <stp>Market</stp>
        <stp>STOCK</stp>
        <stp>71670.T</stp>
        <stp>出来高</stp>
        <tr r="V834" s="7"/>
      </tp>
      <tp>
        <v>981800</v>
        <stp/>
        <stp>Market</stp>
        <stp>STOCK</stp>
        <stp>71110.T</stp>
        <stp>出来高</stp>
        <tr r="V826" s="7"/>
      </tp>
      <tp>
        <v>37500</v>
        <stp/>
        <stp>Market</stp>
        <stp>STOCK</stp>
        <stp>71160.T</stp>
        <stp>出来高</stp>
        <tr r="V827" s="7"/>
      </tp>
      <tp>
        <v>16000</v>
        <stp/>
        <stp>Market</stp>
        <stp>STOCK</stp>
        <stp>71020.T</stp>
        <stp>出来高</stp>
        <tr r="V825" s="7"/>
      </tp>
      <tp>
        <v>25400</v>
        <stp/>
        <stp>Market</stp>
        <stp>STOCK</stp>
        <stp>71350.T</stp>
        <stp>出来高</stp>
        <tr r="V829" s="7"/>
      </tp>
      <tp>
        <v>11000</v>
        <stp/>
        <stp>Market</stp>
        <stp>STOCK</stp>
        <stp>71220.T</stp>
        <stp>出来高</stp>
        <tr r="V828" s="7"/>
      </tp>
      <tp>
        <v>47900</v>
        <stp/>
        <stp>Market</stp>
        <stp>STOCK</stp>
        <stp>71960.T</stp>
        <stp>出来高</stp>
        <tr r="V843" s="7"/>
      </tp>
      <tp>
        <v>5931600</v>
        <stp/>
        <stp>Market</stp>
        <stp>STOCK</stp>
        <stp>71820.T</stp>
        <stp>出来高</stp>
        <tr r="V839" s="7"/>
      </tp>
      <tp>
        <v>101000</v>
        <stp/>
        <stp>Market</stp>
        <stp>STOCK</stp>
        <stp>71830.T</stp>
        <stp>出来高</stp>
        <tr r="V840" s="7"/>
      </tp>
      <tp>
        <v>2753800</v>
        <stp/>
        <stp>Market</stp>
        <stp>STOCK</stp>
        <stp>71800.T</stp>
        <stp>出来高</stp>
        <tr r="V838" s="7"/>
      </tp>
      <tp>
        <v>3323300</v>
        <stp/>
        <stp>Market</stp>
        <stp>STOCK</stp>
        <stp>71860.T</stp>
        <stp>出来高</stp>
        <tr r="V842" s="7"/>
      </tp>
      <tp>
        <v>319600</v>
        <stp/>
        <stp>Market</stp>
        <stp>STOCK</stp>
        <stp>71840.T</stp>
        <stp>出来高</stp>
        <tr r="V841" s="7"/>
      </tp>
      <tp>
        <v>59900</v>
        <stp/>
        <stp>Market</stp>
        <stp>STOCK</stp>
        <stp>70590.T</stp>
        <stp>出来高</stp>
        <tr r="V818" s="7"/>
      </tp>
      <tp>
        <v>110600</v>
        <stp/>
        <stp>Market</stp>
        <stp>STOCK</stp>
        <stp>70430.T</stp>
        <stp>出来高</stp>
        <tr r="V813" s="7"/>
      </tp>
      <tp>
        <v>13900</v>
        <stp/>
        <stp>Market</stp>
        <stp>STOCK</stp>
        <stp>70410.T</stp>
        <stp>出来高</stp>
        <tr r="V812" s="7"/>
      </tp>
      <tp>
        <v>128600</v>
        <stp/>
        <stp>Market</stp>
        <stp>STOCK</stp>
        <stp>70470.T</stp>
        <stp>出来高</stp>
        <tr r="V815" s="7"/>
      </tp>
      <tp>
        <v>209500</v>
        <stp/>
        <stp>Market</stp>
        <stp>STOCK</stp>
        <stp>70440.T</stp>
        <stp>出来高</stp>
        <tr r="V814" s="7"/>
      </tp>
      <tp>
        <v>256600</v>
        <stp/>
        <stp>Market</stp>
        <stp>STOCK</stp>
        <stp>70480.T</stp>
        <stp>出来高</stp>
        <tr r="V816" s="7"/>
      </tp>
      <tp>
        <v>6300</v>
        <stp/>
        <stp>Market</stp>
        <stp>STOCK</stp>
        <stp>70490.T</stp>
        <stp>出来高</stp>
        <tr r="V817" s="7"/>
      </tp>
      <tp>
        <v>37200</v>
        <stp/>
        <stp>Market</stp>
        <stp>STOCK</stp>
        <stp>70740.T</stp>
        <stp>出来高</stp>
        <tr r="V823" s="7"/>
      </tp>
      <tp>
        <v>5500</v>
        <stp/>
        <stp>Market</stp>
        <stp>STOCK</stp>
        <stp>70620.T</stp>
        <stp>出来高</stp>
        <tr r="V820" s="7"/>
      </tp>
      <tp>
        <v>29100</v>
        <stp/>
        <stp>Market</stp>
        <stp>STOCK</stp>
        <stp>70630.T</stp>
        <stp>出来高</stp>
        <tr r="V821" s="7"/>
      </tp>
      <tp>
        <v>29300</v>
        <stp/>
        <stp>Market</stp>
        <stp>STOCK</stp>
        <stp>70600.T</stp>
        <stp>出来高</stp>
        <tr r="V819" s="7"/>
      </tp>
      <tp>
        <v>215800</v>
        <stp/>
        <stp>Market</stp>
        <stp>STOCK</stp>
        <stp>70680.T</stp>
        <stp>出来高</stp>
        <tr r="V822" s="7"/>
      </tp>
      <tp>
        <v>2001900</v>
        <stp/>
        <stp>Market</stp>
        <stp>STOCK</stp>
        <stp>70120.T</stp>
        <stp>出来高</stp>
        <tr r="V807" s="7"/>
      </tp>
      <tp>
        <v>2050000</v>
        <stp/>
        <stp>Market</stp>
        <stp>STOCK</stp>
        <stp>70130.T</stp>
        <stp>出来高</stp>
        <tr r="V808" s="7"/>
      </tp>
      <tp>
        <v>8547900</v>
        <stp/>
        <stp>Market</stp>
        <stp>STOCK</stp>
        <stp>70110.T</stp>
        <stp>出来高</stp>
        <tr r="V806" s="7"/>
      </tp>
      <tp>
        <v>7026800</v>
        <stp/>
        <stp>Market</stp>
        <stp>STOCK</stp>
        <stp>70140.T</stp>
        <stp>出来高</stp>
        <tr r="V809" s="7"/>
      </tp>
      <tp>
        <v>9323600</v>
        <stp/>
        <stp>Market</stp>
        <stp>STOCK</stp>
        <stp>70030.T</stp>
        <stp>出来高</stp>
        <tr r="V804" s="7"/>
      </tp>
      <tp>
        <v>2205500</v>
        <stp/>
        <stp>Market</stp>
        <stp>STOCK</stp>
        <stp>70040.T</stp>
        <stp>出来高</stp>
        <tr r="V805" s="7"/>
      </tp>
      <tp>
        <v>3700</v>
        <stp/>
        <stp>Market</stp>
        <stp>STOCK</stp>
        <stp>70310.T</stp>
        <stp>出来高</stp>
        <tr r="V810" s="7"/>
      </tp>
      <tp>
        <v>7200</v>
        <stp/>
        <stp>Market</stp>
        <stp>STOCK</stp>
        <stp>70370.T</stp>
        <stp>出来高</stp>
        <tr r="V811" s="7"/>
      </tp>
      <tp>
        <v>199600</v>
        <stp/>
        <stp>Market</stp>
        <stp>STOCK</stp>
        <stp>70880.T</stp>
        <stp>出来高</stp>
        <tr r="V824" s="7"/>
      </tp>
      <tp>
        <v>4100</v>
        <stp/>
        <stp>Market</stp>
        <stp>STOCK</stp>
        <stp>73530.T</stp>
        <stp>出来高</stp>
        <tr r="V879" s="7"/>
      </tp>
      <tp>
        <v>25400</v>
        <stp/>
        <stp>Market</stp>
        <stp>STOCK</stp>
        <stp>73500.T</stp>
        <stp>出来高</stp>
        <tr r="V877" s="7"/>
      </tp>
      <tp>
        <v>102900</v>
        <stp/>
        <stp>Market</stp>
        <stp>STOCK</stp>
        <stp>73510.T</stp>
        <stp>出来高</stp>
        <tr r="V878" s="7"/>
      </tp>
      <tp>
        <v>88500</v>
        <stp/>
        <stp>Market</stp>
        <stp>STOCK</stp>
        <stp>73590.T</stp>
        <stp>出来高</stp>
        <tr r="V880" s="7"/>
      </tp>
      <tp>
        <v>997700</v>
        <stp/>
        <stp>Market</stp>
        <stp>STOCK</stp>
        <stp>73420.T</stp>
        <stp>出来高</stp>
        <tr r="V876" s="7"/>
      </tp>
      <tp>
        <v>39600</v>
        <stp/>
        <stp>Market</stp>
        <stp>STOCK</stp>
        <stp>73700.T</stp>
        <stp>出来高</stp>
        <tr r="V881" s="7"/>
      </tp>
      <tp>
        <v>18800</v>
        <stp/>
        <stp>Market</stp>
        <stp>STOCK</stp>
        <stp>73710.T</stp>
        <stp>出来高</stp>
        <tr r="V882" s="7"/>
      </tp>
      <tp>
        <v>66000</v>
        <stp/>
        <stp>Market</stp>
        <stp>STOCK</stp>
        <stp>73790.T</stp>
        <stp>出来高</stp>
        <tr r="V883" s="7"/>
      </tp>
      <tp>
        <v>80600</v>
        <stp/>
        <stp>Market</stp>
        <stp>STOCK</stp>
        <stp>73170.T</stp>
        <stp>出来高</stp>
        <tr r="V874" s="7"/>
      </tp>
      <tp>
        <v>670100</v>
        <stp/>
        <stp>Market</stp>
        <stp>STOCK</stp>
        <stp>73370.T</stp>
        <stp>出来高</stp>
        <tr r="V875" s="7"/>
      </tp>
      <tp>
        <v>1407500</v>
        <stp/>
        <stp>Market</stp>
        <stp>STOCK</stp>
        <stp>73830.T</stp>
        <stp>出来高</stp>
        <tr r="V884" s="7"/>
      </tp>
      <tp>
        <v>60400</v>
        <stp/>
        <stp>Market</stp>
        <stp>STOCK</stp>
        <stp>73840.T</stp>
        <stp>出来高</stp>
        <tr r="V885" s="7"/>
      </tp>
      <tp>
        <v>258100</v>
        <stp/>
        <stp>Market</stp>
        <stp>STOCK</stp>
        <stp>72560.T</stp>
        <stp>出来高</stp>
        <tr r="V862" s="7"/>
      </tp>
      <tp>
        <v>54900</v>
        <stp/>
        <stp>Market</stp>
        <stp>STOCK</stp>
        <stp>72540.T</stp>
        <stp>出来高</stp>
        <tr r="V861" s="7"/>
      </tp>
      <tp>
        <v>548500</v>
        <stp/>
        <stp>Market</stp>
        <stp>STOCK</stp>
        <stp>72400.T</stp>
        <stp>出来高</stp>
        <tr r="V857" s="7"/>
      </tp>
      <tp>
        <v>484100</v>
        <stp/>
        <stp>Market</stp>
        <stp>STOCK</stp>
        <stp>72460.T</stp>
        <stp>出来高</stp>
        <tr r="V859" s="7"/>
      </tp>
      <tp>
        <v>169100</v>
        <stp/>
        <stp>Market</stp>
        <stp>STOCK</stp>
        <stp>72470.T</stp>
        <stp>出来高</stp>
        <tr r="V860" s="7"/>
      </tp>
      <tp>
        <v>135700</v>
        <stp/>
        <stp>Market</stp>
        <stp>STOCK</stp>
        <stp>72450.T</stp>
        <stp>出来高</stp>
        <tr r="V858" s="7"/>
      </tp>
      <tp>
        <v>4505400</v>
        <stp/>
        <stp>Market</stp>
        <stp>STOCK</stp>
        <stp>72720.T</stp>
        <stp>出来高</stp>
        <tr r="V868" s="7"/>
      </tp>
      <tp>
        <v>3544500</v>
        <stp/>
        <stp>Market</stp>
        <stp>STOCK</stp>
        <stp>72700.T</stp>
        <stp>出来高</stp>
        <tr r="V867" s="7"/>
      </tp>
      <tp>
        <v>7363600</v>
        <stp/>
        <stp>Market</stp>
        <stp>STOCK</stp>
        <stp>72610.T</stp>
        <stp>出来高</stp>
        <tr r="V863" s="7"/>
      </tp>
      <tp>
        <v>24095300</v>
        <stp/>
        <stp>Market</stp>
        <stp>STOCK</stp>
        <stp>72670.T</stp>
        <stp>出来高</stp>
        <tr r="V864" s="7"/>
      </tp>
      <tp>
        <v>74400</v>
        <stp/>
        <stp>Market</stp>
        <stp>STOCK</stp>
        <stp>72680.T</stp>
        <stp>出来高</stp>
        <tr r="V865" s="7"/>
      </tp>
      <tp>
        <v>3842800</v>
        <stp/>
        <stp>Market</stp>
        <stp>STOCK</stp>
        <stp>72690.T</stp>
        <stp>出来高</stp>
        <tr r="V866" s="7"/>
      </tp>
      <tp>
        <v>179800</v>
        <stp/>
        <stp>Market</stp>
        <stp>STOCK</stp>
        <stp>72120.T</stp>
        <stp>出来高</stp>
        <tr r="V849" s="7"/>
      </tp>
      <tp>
        <v>20800</v>
        <stp/>
        <stp>Market</stp>
        <stp>STOCK</stp>
        <stp>72130.T</stp>
        <stp>出来高</stp>
        <tr r="V850" s="7"/>
      </tp>
      <tp>
        <v>16067500</v>
        <stp/>
        <stp>Market</stp>
        <stp>STOCK</stp>
        <stp>72110.T</stp>
        <stp>出来高</stp>
        <tr r="V848" s="7"/>
      </tp>
      <tp>
        <v>89500</v>
        <stp/>
        <stp>Market</stp>
        <stp>STOCK</stp>
        <stp>72140.T</stp>
        <stp>出来高</stp>
        <tr r="V851" s="7"/>
      </tp>
      <tp>
        <v>2816500</v>
        <stp/>
        <stp>Market</stp>
        <stp>STOCK</stp>
        <stp>72020.T</stp>
        <stp>出来高</stp>
        <tr r="V845" s="7"/>
      </tp>
      <tp>
        <v>90841000</v>
        <stp/>
        <stp>Market</stp>
        <stp>STOCK</stp>
        <stp>72030.T</stp>
        <stp>出来高</stp>
        <tr r="V846" s="7"/>
      </tp>
      <tp>
        <v>43828700</v>
        <stp/>
        <stp>Market</stp>
        <stp>STOCK</stp>
        <stp>72010.T</stp>
        <stp>出来高</stp>
        <tr r="V844" s="7"/>
      </tp>
      <tp>
        <v>1973300</v>
        <stp/>
        <stp>Market</stp>
        <stp>STOCK</stp>
        <stp>72050.T</stp>
        <stp>出来高</stp>
        <tr r="V847" s="7"/>
      </tp>
      <tp>
        <v>80900</v>
        <stp/>
        <stp>Market</stp>
        <stp>STOCK</stp>
        <stp>72360.T</stp>
        <stp>出来高</stp>
        <tr r="V855" s="7"/>
      </tp>
      <tp>
        <v>48800</v>
        <stp/>
        <stp>Market</stp>
        <stp>STOCK</stp>
        <stp>72350.T</stp>
        <stp>出来高</stp>
        <tr r="V854" s="7"/>
      </tp>
      <tp>
        <v>564300</v>
        <stp/>
        <stp>Market</stp>
        <stp>STOCK</stp>
        <stp>72380.T</stp>
        <stp>出来高</stp>
        <tr r="V856" s="7"/>
      </tp>
      <tp>
        <v>124300</v>
        <stp/>
        <stp>Market</stp>
        <stp>STOCK</stp>
        <stp>72220.T</stp>
        <stp>出来高</stp>
        <tr r="V852" s="7"/>
      </tp>
      <tp>
        <v>52300</v>
        <stp/>
        <stp>Market</stp>
        <stp>STOCK</stp>
        <stp>72290.T</stp>
        <stp>出来高</stp>
        <tr r="V853" s="7"/>
      </tp>
      <tp>
        <v>116500</v>
        <stp/>
        <stp>Market</stp>
        <stp>STOCK</stp>
        <stp>72910.T</stp>
        <stp>出来高</stp>
        <tr r="V871" s="7"/>
      </tp>
      <tp>
        <v>95600</v>
        <stp/>
        <stp>Market</stp>
        <stp>STOCK</stp>
        <stp>72940.T</stp>
        <stp>出来高</stp>
        <tr r="V872" s="7"/>
      </tp>
      <tp t="s">
        <v/>
        <stp/>
        <stp>Market</stp>
        <stp>STOCK</stp>
        <stp>72980.T</stp>
        <stp>出来高</stp>
        <tr r="V873" s="7"/>
      </tp>
      <tp>
        <v>512500</v>
        <stp/>
        <stp>Market</stp>
        <stp>STOCK</stp>
        <stp>72830.T</stp>
        <stp>出来高</stp>
        <tr r="V870" s="7"/>
      </tp>
      <tp>
        <v>373900</v>
        <stp/>
        <stp>Market</stp>
        <stp>STOCK</stp>
        <stp>72800.T</stp>
        <stp>出来高</stp>
        <tr r="V869" s="7"/>
      </tp>
      <tp>
        <v>833600</v>
        <stp/>
        <stp>Market</stp>
        <stp>STOCK</stp>
        <stp>75440.T</stp>
        <stp>出来高</stp>
        <tr r="V903" s="7"/>
      </tp>
      <tp>
        <v>62800</v>
        <stp/>
        <stp>Market</stp>
        <stp>STOCK</stp>
        <stp>75780.T</stp>
        <stp>出来高</stp>
        <tr r="V905" s="7"/>
      </tp>
      <tp>
        <v>6900</v>
        <stp/>
        <stp>Market</stp>
        <stp>STOCK</stp>
        <stp>75670.T</stp>
        <stp>出来高</stp>
        <tr r="V904" s="7"/>
      </tp>
      <tp>
        <v>299800</v>
        <stp/>
        <stp>Market</stp>
        <stp>STOCK</stp>
        <stp>75120.T</stp>
        <stp>出来高</stp>
        <tr r="V896" s="7"/>
      </tp>
      <tp>
        <v>204000</v>
        <stp/>
        <stp>Market</stp>
        <stp>STOCK</stp>
        <stp>75130.T</stp>
        <stp>出来高</stp>
        <tr r="V897" s="7"/>
      </tp>
      <tp>
        <v>177000</v>
        <stp/>
        <stp>Market</stp>
        <stp>STOCK</stp>
        <stp>75160.T</stp>
        <stp>出来高</stp>
        <tr r="V899" s="7"/>
      </tp>
      <tp>
        <v>21100</v>
        <stp/>
        <stp>Market</stp>
        <stp>STOCK</stp>
        <stp>75140.T</stp>
        <stp>出来高</stp>
        <tr r="V898" s="7"/>
      </tp>
      <tp>
        <v>400</v>
        <stp/>
        <stp>Market</stp>
        <stp>STOCK</stp>
        <stp>75050.T</stp>
        <stp>出来高</stp>
        <tr r="V895" s="7"/>
      </tp>
      <tp>
        <v>56800</v>
        <stp/>
        <stp>Market</stp>
        <stp>STOCK</stp>
        <stp>75380.T</stp>
        <stp>出来高</stp>
        <tr r="V902" s="7"/>
      </tp>
      <tp>
        <v>25200</v>
        <stp/>
        <stp>Market</stp>
        <stp>STOCK</stp>
        <stp>75230.T</stp>
        <stp>出来高</stp>
        <tr r="V900" s="7"/>
      </tp>
      <tp>
        <v>129400</v>
        <stp/>
        <stp>Market</stp>
        <stp>STOCK</stp>
        <stp>75270.T</stp>
        <stp>出来高</stp>
        <tr r="V901" s="7"/>
      </tp>
      <tp t="s">
        <v>表示銘柄数超過</v>
        <stp/>
        <stp>Market</stp>
        <stp>STOCK</stp>
        <stp>25935.T</stp>
        <stp>出来高</stp>
        <tr r="V167" s="7"/>
      </tp>
      <tp>
        <v>151700</v>
        <stp/>
        <stp>Market</stp>
        <stp>STOCK</stp>
        <stp>75930.T</stp>
        <stp>出来高</stp>
        <tr r="V908" s="7"/>
      </tp>
      <tp>
        <v>25000</v>
        <stp/>
        <stp>Market</stp>
        <stp>STOCK</stp>
        <stp>75900.T</stp>
        <stp>出来高</stp>
        <tr r="V907" s="7"/>
      </tp>
      <tp>
        <v>3100</v>
        <stp/>
        <stp>Market</stp>
        <stp>STOCK</stp>
        <stp>75850.T</stp>
        <stp>出来高</stp>
        <tr r="V906" s="7"/>
      </tp>
      <tp>
        <v>3914300</v>
        <stp/>
        <stp>Market</stp>
        <stp>STOCK</stp>
        <stp>74530.T</stp>
        <stp>出来高</stp>
        <tr r="V890" s="7"/>
      </tp>
      <tp>
        <v>213700</v>
        <stp/>
        <stp>Market</stp>
        <stp>STOCK</stp>
        <stp>74550.T</stp>
        <stp>出来高</stp>
        <tr r="V891" s="7"/>
      </tp>
      <tp>
        <v>609400</v>
        <stp/>
        <stp>Market</stp>
        <stp>STOCK</stp>
        <stp>74590.T</stp>
        <stp>出来高</stp>
        <tr r="V892" s="7"/>
      </tp>
      <tp>
        <v>37600</v>
        <stp/>
        <stp>Market</stp>
        <stp>STOCK</stp>
        <stp>74450.T</stp>
        <stp>出来高</stp>
        <tr r="V889" s="7"/>
      </tp>
      <tp>
        <v>276000</v>
        <stp/>
        <stp>Market</stp>
        <stp>STOCK</stp>
        <stp>74190.T</stp>
        <stp>出来高</stp>
        <tr r="V887" s="7"/>
      </tp>
      <tp>
        <v>94700</v>
        <stp/>
        <stp>Market</stp>
        <stp>STOCK</stp>
        <stp>74080.T</stp>
        <stp>出来高</stp>
        <tr r="V886" s="7"/>
      </tp>
      <tp>
        <v>51300</v>
        <stp/>
        <stp>Market</stp>
        <stp>STOCK</stp>
        <stp>74200.T</stp>
        <stp>出来高</stp>
        <tr r="V888" s="7"/>
      </tp>
      <tp>
        <v>59200</v>
        <stp/>
        <stp>Market</stp>
        <stp>STOCK</stp>
        <stp>74940.T</stp>
        <stp>出来高</stp>
        <tr r="V894" s="7"/>
      </tp>
      <tp>
        <v>6200</v>
        <stp/>
        <stp>Market</stp>
        <stp>STOCK</stp>
        <stp>74810.T</stp>
        <stp>出来高</stp>
        <tr r="V893" s="7"/>
      </tp>
      <tp>
        <v>5485200</v>
        <stp/>
        <stp>Market</stp>
        <stp>STOCK</stp>
        <stp>77520.T</stp>
        <stp>出来高</stp>
        <tr r="V929" s="7"/>
      </tp>
      <tp>
        <v>5367000</v>
        <stp/>
        <stp>Market</stp>
        <stp>STOCK</stp>
        <stp>77510.T</stp>
        <stp>出来高</stp>
        <tr r="V928" s="7"/>
      </tp>
      <tp>
        <v>201800</v>
        <stp/>
        <stp>Market</stp>
        <stp>STOCK</stp>
        <stp>77450.T</stp>
        <stp>出来高</stp>
        <tr r="V927" s="7"/>
      </tp>
      <tp>
        <v>28000</v>
        <stp/>
        <stp>Market</stp>
        <stp>STOCK</stp>
        <stp>77710.T</stp>
        <stp>出来高</stp>
        <tr r="V931" s="7"/>
      </tp>
      <tp>
        <v>275700</v>
        <stp/>
        <stp>Market</stp>
        <stp>STOCK</stp>
        <stp>77760.T</stp>
        <stp>出来高</stp>
        <tr r="V932" s="7"/>
      </tp>
      <tp>
        <v>439400</v>
        <stp/>
        <stp>Market</stp>
        <stp>STOCK</stp>
        <stp>77770.T</stp>
        <stp>出来高</stp>
        <tr r="V933" s="7"/>
      </tp>
      <tp>
        <v>844000</v>
        <stp/>
        <stp>Market</stp>
        <stp>STOCK</stp>
        <stp>77790.T</stp>
        <stp>出来高</stp>
        <tr r="V934" s="7"/>
      </tp>
      <tp>
        <v>1513600</v>
        <stp/>
        <stp>Market</stp>
        <stp>STOCK</stp>
        <stp>77620.T</stp>
        <stp>出来高</stp>
        <tr r="V930" s="7"/>
      </tp>
      <tp>
        <v>57400</v>
        <stp/>
        <stp>Market</stp>
        <stp>STOCK</stp>
        <stp>77190.T</stp>
        <stp>出来高</stp>
        <tr r="V922" s="7"/>
      </tp>
      <tp>
        <v>5200</v>
        <stp/>
        <stp>Market</stp>
        <stp>STOCK</stp>
        <stp>77090.T</stp>
        <stp>出来高</stp>
        <tr r="V921" s="7"/>
      </tp>
      <tp>
        <v>398300</v>
        <stp/>
        <stp>Market</stp>
        <stp>STOCK</stp>
        <stp>77320.T</stp>
        <stp>出来高</stp>
        <tr r="V925" s="7"/>
      </tp>
      <tp>
        <v>53400</v>
        <stp/>
        <stp>Market</stp>
        <stp>STOCK</stp>
        <stp>77390.T</stp>
        <stp>出来高</stp>
        <tr r="V926" s="7"/>
      </tp>
      <tp>
        <v>1600</v>
        <stp/>
        <stp>Market</stp>
        <stp>STOCK</stp>
        <stp>77220.T</stp>
        <stp>出来高</stp>
        <tr r="V923" s="7"/>
      </tp>
      <tp>
        <v>51500</v>
        <stp/>
        <stp>Market</stp>
        <stp>STOCK</stp>
        <stp>77250.T</stp>
        <stp>出来高</stp>
        <tr r="V924" s="7"/>
      </tp>
      <tp>
        <v>52600</v>
        <stp/>
        <stp>Market</stp>
        <stp>STOCK</stp>
        <stp>77920.T</stp>
        <stp>出来高</stp>
        <tr r="V935" s="7"/>
      </tp>
      <tp>
        <v>107300</v>
        <stp/>
        <stp>Market</stp>
        <stp>STOCK</stp>
        <stp>77940.T</stp>
        <stp>出来高</stp>
        <tr r="V936" s="7"/>
      </tp>
      <tp>
        <v>251800</v>
        <stp/>
        <stp>Market</stp>
        <stp>STOCK</stp>
        <stp>77950.T</stp>
        <stp>出来高</stp>
        <tr r="V937" s="7"/>
      </tp>
      <tp>
        <v>29600</v>
        <stp/>
        <stp>Market</stp>
        <stp>STOCK</stp>
        <stp>76400.T</stp>
        <stp>出来高</stp>
        <tr r="V917" s="7"/>
      </tp>
      <tp>
        <v>170677500</v>
        <stp/>
        <stp>Market</stp>
        <stp>STOCK</stp>
        <stp>76470.T</stp>
        <stp>出来高</stp>
        <tr r="V918" s="7"/>
      </tp>
      <tp>
        <v>18900</v>
        <stp/>
        <stp>Market</stp>
        <stp>STOCK</stp>
        <stp>76760.T</stp>
        <stp>出来高</stp>
        <tr r="V919" s="7"/>
      </tp>
      <tp>
        <v>798100</v>
        <stp/>
        <stp>Market</stp>
        <stp>STOCK</stp>
        <stp>76100.T</stp>
        <stp>出来高</stp>
        <tr r="V912" s="7"/>
      </tp>
      <tp>
        <v>90300</v>
        <stp/>
        <stp>Market</stp>
        <stp>STOCK</stp>
        <stp>76150.T</stp>
        <stp>出来高</stp>
        <tr r="V913" s="7"/>
      </tp>
      <tp>
        <v>16100</v>
        <stp/>
        <stp>Market</stp>
        <stp>STOCK</stp>
        <stp>76020.T</stp>
        <stp>出来高</stp>
        <tr r="V910" s="7"/>
      </tp>
      <tp>
        <v>1770800</v>
        <stp/>
        <stp>Market</stp>
        <stp>STOCK</stp>
        <stp>76010.T</stp>
        <stp>出来高</stp>
        <tr r="V909" s="7"/>
      </tp>
      <tp>
        <v>12200</v>
        <stp/>
        <stp>Market</stp>
        <stp>STOCK</stp>
        <stp>76050.T</stp>
        <stp>出来高</stp>
        <tr r="V911" s="7"/>
      </tp>
      <tp>
        <v>4000</v>
        <stp/>
        <stp>Market</stp>
        <stp>STOCK</stp>
        <stp>76230.T</stp>
        <stp>出来高</stp>
        <tr r="V915" s="7"/>
      </tp>
      <tp>
        <v>53200</v>
        <stp/>
        <stp>Market</stp>
        <stp>STOCK</stp>
        <stp>76240.T</stp>
        <stp>出来高</stp>
        <tr r="V916" s="7"/>
      </tp>
      <tp>
        <v>659500</v>
        <stp/>
        <stp>Market</stp>
        <stp>STOCK</stp>
        <stp>76920.T</stp>
        <stp>出来高</stp>
        <tr r="V920" s="7"/>
      </tp>
      <tp>
        <v>5700</v>
        <stp/>
        <stp>Market</stp>
        <stp>STOCK</stp>
        <stp>79530.T</stp>
        <stp>出来高</stp>
        <tr r="V958" s="7"/>
      </tp>
      <tp>
        <v>147400</v>
        <stp/>
        <stp>Market</stp>
        <stp>STOCK</stp>
        <stp>79550.T</stp>
        <stp>出来高</stp>
        <tr r="V959" s="7"/>
      </tp>
      <tp>
        <v>30600</v>
        <stp/>
        <stp>Market</stp>
        <stp>STOCK</stp>
        <stp>79400.T</stp>
        <stp>出来高</stp>
        <tr r="V957" s="7"/>
      </tp>
      <tp>
        <v>284300</v>
        <stp/>
        <stp>Market</stp>
        <stp>STOCK</stp>
        <stp>79720.T</stp>
        <stp>出来高</stp>
        <tr r="V961" s="7"/>
      </tp>
      <tp>
        <v>506200</v>
        <stp/>
        <stp>Market</stp>
        <stp>STOCK</stp>
        <stp>79710.T</stp>
        <stp>出来高</stp>
        <tr r="V960" s="7"/>
      </tp>
      <tp>
        <v>9328400</v>
        <stp/>
        <stp>Market</stp>
        <stp>STOCK</stp>
        <stp>79740.T</stp>
        <stp>出来高</stp>
        <tr r="V962" s="7"/>
      </tp>
      <tp>
        <v>1133700</v>
        <stp/>
        <stp>Market</stp>
        <stp>STOCK</stp>
        <stp>79110.T</stp>
        <stp>出来高</stp>
        <tr r="V954" s="7"/>
      </tp>
      <tp>
        <v>3792900</v>
        <stp/>
        <stp>Market</stp>
        <stp>STOCK</stp>
        <stp>79180.T</stp>
        <stp>出来高</stp>
        <tr r="V955" s="7"/>
      </tp>
      <tp>
        <v>65000</v>
        <stp/>
        <stp>Market</stp>
        <stp>STOCK</stp>
        <stp>79190.T</stp>
        <stp>出来高</stp>
        <tr r="V956" s="7"/>
      </tp>
      <tp>
        <v>83700</v>
        <stp/>
        <stp>Market</stp>
        <stp>STOCK</stp>
        <stp>79080.T</stp>
        <stp>出来高</stp>
        <tr r="V953" s="7"/>
      </tp>
      <tp>
        <v>4700</v>
        <stp/>
        <stp>Market</stp>
        <stp>STOCK</stp>
        <stp>79970.T</stp>
        <stp>出来高</stp>
        <tr r="V963" s="7"/>
      </tp>
      <tp>
        <v>9100</v>
        <stp/>
        <stp>Market</stp>
        <stp>STOCK</stp>
        <stp>78510.T</stp>
        <stp>出来高</stp>
        <tr r="V946" s="7"/>
      </tp>
      <tp>
        <v>49500</v>
        <stp/>
        <stp>Market</stp>
        <stp>STOCK</stp>
        <stp>78560.T</stp>
        <stp>出来高</stp>
        <tr r="V947" s="7"/>
      </tp>
      <tp>
        <v>8104900</v>
        <stp/>
        <stp>Market</stp>
        <stp>STOCK</stp>
        <stp>78590.T</stp>
        <stp>出来高</stp>
        <tr r="V948" s="7"/>
      </tp>
      <tp>
        <v>142700</v>
        <stp/>
        <stp>Market</stp>
        <stp>STOCK</stp>
        <stp>78440.T</stp>
        <stp>出来高</stp>
        <tr r="V945" s="7"/>
      </tp>
      <tp>
        <v>2005000</v>
        <stp/>
        <stp>Market</stp>
        <stp>STOCK</stp>
        <stp>78670.T</stp>
        <stp>出来高</stp>
        <tr r="V949" s="7"/>
      </tp>
      <tp>
        <v>447900</v>
        <stp/>
        <stp>Market</stp>
        <stp>STOCK</stp>
        <stp>78680.T</stp>
        <stp>出来高</stp>
        <tr r="V950" s="7"/>
      </tp>
      <tp>
        <v>3500</v>
        <stp/>
        <stp>Market</stp>
        <stp>STOCK</stp>
        <stp>78140.T</stp>
        <stp>出来高</stp>
        <tr r="V940" s="7"/>
      </tp>
      <tp>
        <v>3000</v>
        <stp/>
        <stp>Market</stp>
        <stp>STOCK</stp>
        <stp>78000.T</stp>
        <stp>出来高</stp>
        <tr r="V938" s="7"/>
      </tp>
      <tp>
        <v>6400</v>
        <stp/>
        <stp>Market</stp>
        <stp>STOCK</stp>
        <stp>78050.T</stp>
        <stp>出来高</stp>
        <tr r="V939" s="7"/>
      </tp>
      <tp>
        <v>114500</v>
        <stp/>
        <stp>Market</stp>
        <stp>STOCK</stp>
        <stp>78360.T</stp>
        <stp>出来高</stp>
        <tr r="V943" s="7"/>
      </tp>
      <tp>
        <v>1700</v>
        <stp/>
        <stp>Market</stp>
        <stp>STOCK</stp>
        <stp>78370.T</stp>
        <stp>出来高</stp>
        <tr r="V944" s="7"/>
      </tp>
      <tp>
        <v>22200</v>
        <stp/>
        <stp>Market</stp>
        <stp>STOCK</stp>
        <stp>78230.T</stp>
        <stp>出来高</stp>
        <tr r="V941" s="7"/>
      </tp>
      <tp>
        <v>59400</v>
        <stp/>
        <stp>Market</stp>
        <stp>STOCK</stp>
        <stp>78290.T</stp>
        <stp>出来高</stp>
        <tr r="V942" s="7"/>
      </tp>
      <tp>
        <v>140300</v>
        <stp/>
        <stp>Market</stp>
        <stp>STOCK</stp>
        <stp>78970.T</stp>
        <stp>出来高</stp>
        <tr r="V952" s="7"/>
      </tp>
      <tp>
        <v>220800</v>
        <stp/>
        <stp>Market</stp>
        <stp>STOCK</stp>
        <stp>78880.T</stp>
        <stp>出来高</stp>
        <tr r="V951" s="7"/>
      </tp>
      <tp t="s">
        <v>表示銘柄数超過</v>
        <stp/>
        <stp>Market</stp>
        <stp>STOCK</stp>
        <stp>99950.T</stp>
        <stp>高値</stp>
        <tr r="N1191" s="7"/>
      </tp>
      <tp t="s">
        <v>表示銘柄数超過</v>
        <stp/>
        <stp>Market</stp>
        <stp>STOCK</stp>
        <stp>93250.T</stp>
        <stp>高値</stp>
        <tr r="N1110" s="7"/>
      </tp>
      <tp t="s">
        <v>表示銘柄数超過</v>
        <stp/>
        <stp>Market</stp>
        <stp>STOCK</stp>
        <stp>90050.T</stp>
        <stp>高値</stp>
        <tr r="N1075" s="7"/>
      </tp>
      <tp t="s">
        <v>表示銘柄数超過</v>
        <stp/>
        <stp>Market</stp>
        <stp>STOCK</stp>
        <stp>91150.T</stp>
        <stp>高値</stp>
        <tr r="N1096" s="7"/>
      </tp>
      <tp t="s">
        <v>表示銘柄数超過</v>
        <stp/>
        <stp>Market</stp>
        <stp>STOCK</stp>
        <stp>97650.T</stp>
        <stp>高値</stp>
        <tr r="N1165" s="7"/>
      </tp>
      <tp t="s">
        <v>表示銘柄数超過</v>
        <stp/>
        <stp>Market</stp>
        <stp>STOCK</stp>
        <stp>94750.T</stp>
        <stp>高値</stp>
        <tr r="N1137" s="7"/>
      </tp>
      <tp t="s">
        <v>表示銘柄数超過</v>
        <stp/>
        <stp>Market</stp>
        <stp>STOCK</stp>
        <stp>94050.T</stp>
        <stp>高値</stp>
        <tr r="N1116" s="7"/>
      </tp>
      <tp t="s">
        <v>表示銘柄数超過</v>
        <stp/>
        <stp>Market</stp>
        <stp>STOCK</stp>
        <stp>94250.T</stp>
        <stp>高値</stp>
        <tr r="N1126" s="7"/>
      </tp>
      <tp t="s">
        <v>表示銘柄数超過</v>
        <stp/>
        <stp>Market</stp>
        <stp>STOCK</stp>
        <stp>95050.T</stp>
        <stp>高値</stp>
        <tr r="N1144" s="7"/>
      </tp>
      <tp t="s">
        <v>表示銘柄数超過</v>
        <stp/>
        <stp>Market</stp>
        <stp>STOCK</stp>
        <stp>89450.T</stp>
        <stp>高値</stp>
        <tr r="N1070" s="7"/>
      </tp>
      <tp t="s">
        <v>表示銘柄数超過</v>
        <stp/>
        <stp>Market</stp>
        <stp>STOCK</stp>
        <stp>89050.T</stp>
        <stp>高値</stp>
        <tr r="N1062" s="7"/>
      </tp>
      <tp t="s">
        <v>表示銘柄数超過</v>
        <stp/>
        <stp>Market</stp>
        <stp>STOCK</stp>
        <stp>89250.T</stp>
        <stp>高値</stp>
        <tr r="N1066" s="7"/>
      </tp>
      <tp>
        <v>474</v>
        <stp/>
        <stp>Market</stp>
        <stp>STOCK</stp>
        <stp>80950.T</stp>
        <stp>高値</stp>
        <tr r="N975" s="7"/>
      </tp>
      <tp>
        <v>973</v>
        <stp/>
        <stp>Market</stp>
        <stp>STOCK</stp>
        <stp>80050.T</stp>
        <stp>高値</stp>
        <tr r="N965" s="7"/>
      </tp>
      <tp>
        <v>50</v>
        <stp/>
        <stp>Market</stp>
        <stp>STOCK</stp>
        <stp>81050.T</stp>
        <stp>高値</stp>
        <tr r="N978" s="7"/>
      </tp>
      <tp>
        <v>323</v>
        <stp/>
        <stp>Market</stp>
        <stp>STOCK</stp>
        <stp>81350.T</stp>
        <stp>高値</stp>
        <tr r="N981" s="7"/>
      </tp>
      <tp>
        <v>183</v>
        <stp/>
        <stp>Market</stp>
        <stp>STOCK</stp>
        <stp>87050.T</stp>
        <stp>高値</stp>
        <tr r="N1037" s="7"/>
      </tp>
      <tp>
        <v>1068</v>
        <stp/>
        <stp>Market</stp>
        <stp>STOCK</stp>
        <stp>85850.T</stp>
        <stp>高値</stp>
        <tr r="N1022" s="7"/>
      </tp>
      <tp>
        <v>388</v>
        <stp/>
        <stp>Market</stp>
        <stp>STOCK</stp>
        <stp>85150.T</stp>
        <stp>高値</stp>
        <tr r="N1016" s="7"/>
      </tp>
      <tp>
        <v>642</v>
        <stp/>
        <stp>Market</stp>
        <stp>STOCK</stp>
        <stp>78050.T</stp>
        <stp>高値</stp>
        <tr r="N939" s="7"/>
      </tp>
      <tp>
        <v>791</v>
        <stp/>
        <stp>Market</stp>
        <stp>STOCK</stp>
        <stp>79550.T</stp>
        <stp>高値</stp>
        <tr r="N959" s="7"/>
      </tp>
      <tp>
        <v>573</v>
        <stp/>
        <stp>Market</stp>
        <stp>STOCK</stp>
        <stp>72450.T</stp>
        <stp>高値</stp>
        <tr r="N858" s="7"/>
      </tp>
      <tp>
        <v>469.4</v>
        <stp/>
        <stp>Market</stp>
        <stp>STOCK</stp>
        <stp>72050.T</stp>
        <stp>高値</stp>
        <tr r="N847" s="7"/>
      </tp>
      <tp>
        <v>774</v>
        <stp/>
        <stp>Market</stp>
        <stp>STOCK</stp>
        <stp>72350.T</stp>
        <stp>高値</stp>
        <tr r="N854" s="7"/>
      </tp>
      <tp>
        <v>1127</v>
        <stp/>
        <stp>Market</stp>
        <stp>STOCK</stp>
        <stp>71750.T</stp>
        <stp>高値</stp>
        <tr r="N836" s="7"/>
      </tp>
      <tp>
        <v>170</v>
        <stp/>
        <stp>Market</stp>
        <stp>STOCK</stp>
        <stp>71350.T</stp>
        <stp>高値</stp>
        <tr r="N829" s="7"/>
      </tp>
      <tp>
        <v>145</v>
        <stp/>
        <stp>Market</stp>
        <stp>STOCK</stp>
        <stp>76150.T</stp>
        <stp>高値</stp>
        <tr r="N913" s="7"/>
      </tp>
      <tp>
        <v>1771</v>
        <stp/>
        <stp>Market</stp>
        <stp>STOCK</stp>
        <stp>76050.T</stp>
        <stp>高値</stp>
        <tr r="N911" s="7"/>
      </tp>
      <tp>
        <v>204</v>
        <stp/>
        <stp>Market</stp>
        <stp>STOCK</stp>
        <stp>77950.T</stp>
        <stp>高値</stp>
        <tr r="N937" s="7"/>
      </tp>
      <tp>
        <v>2121</v>
        <stp/>
        <stp>Market</stp>
        <stp>STOCK</stp>
        <stp>77450.T</stp>
        <stp>高値</stp>
        <tr r="N927" s="7"/>
      </tp>
      <tp>
        <v>1138</v>
        <stp/>
        <stp>Market</stp>
        <stp>STOCK</stp>
        <stp>77250.T</stp>
        <stp>高値</stp>
        <tr r="N924" s="7"/>
      </tp>
      <tp>
        <v>523</v>
        <stp/>
        <stp>Market</stp>
        <stp>STOCK</stp>
        <stp>74550.T</stp>
        <stp>高値</stp>
        <tr r="N891" s="7"/>
      </tp>
      <tp>
        <v>420</v>
        <stp/>
        <stp>Market</stp>
        <stp>STOCK</stp>
        <stp>74450.T</stp>
        <stp>高値</stp>
        <tr r="N889" s="7"/>
      </tp>
      <tp>
        <v>395</v>
        <stp/>
        <stp>Market</stp>
        <stp>STOCK</stp>
        <stp>75850.T</stp>
        <stp>高値</stp>
        <tr r="N906" s="7"/>
      </tp>
      <tp>
        <v>1441</v>
        <stp/>
        <stp>Market</stp>
        <stp>STOCK</stp>
        <stp>75050.T</stp>
        <stp>高値</stp>
        <tr r="N895" s="7"/>
      </tp>
      <tp>
        <v>114</v>
        <stp/>
        <stp>Market</stp>
        <stp>STOCK</stp>
        <stp>68350.T</stp>
        <stp>高値</stp>
        <tr r="N776" s="7"/>
      </tp>
      <tp>
        <v>680</v>
        <stp/>
        <stp>Market</stp>
        <stp>STOCK</stp>
        <stp>69550.T</stp>
        <stp>高値</stp>
        <tr r="N795" s="7"/>
      </tp>
      <tp>
        <v>1475</v>
        <stp/>
        <stp>Market</stp>
        <stp>STOCK</stp>
        <stp>69050.T</stp>
        <stp>高値</stp>
        <tr r="N785" s="7"/>
      </tp>
      <tp>
        <v>639</v>
        <stp/>
        <stp>Market</stp>
        <stp>STOCK</stp>
        <stp>62550.T</stp>
        <stp>高値</stp>
        <tr r="N682" s="7"/>
      </tp>
      <tp>
        <v>1186</v>
        <stp/>
        <stp>Market</stp>
        <stp>STOCK</stp>
        <stp>63950.T</stp>
        <stp>高値</stp>
        <tr r="N699" s="7"/>
      </tp>
      <tp>
        <v>4286</v>
        <stp/>
        <stp>Market</stp>
        <stp>STOCK</stp>
        <stp>63050.T</stp>
        <stp>高値</stp>
        <tr r="N687" s="7"/>
      </tp>
      <tp>
        <v>1330</v>
        <stp/>
        <stp>Market</stp>
        <stp>STOCK</stp>
        <stp>60350.T</stp>
        <stp>高値</stp>
        <tr r="N640" s="7"/>
      </tp>
      <tp>
        <v>260</v>
        <stp/>
        <stp>Market</stp>
        <stp>STOCK</stp>
        <stp>61950.T</stp>
        <stp>高値</stp>
        <tr r="N676" s="7"/>
      </tp>
      <tp>
        <v>330</v>
        <stp/>
        <stp>Market</stp>
        <stp>STOCK</stp>
        <stp>61850.T</stp>
        <stp>高値</stp>
        <tr r="N670" s="7"/>
      </tp>
      <tp>
        <v>434</v>
        <stp/>
        <stp>Market</stp>
        <stp>STOCK</stp>
        <stp>61650.T</stp>
        <stp>高値</stp>
        <tr r="N660" s="7"/>
      </tp>
      <tp>
        <v>511</v>
        <stp/>
        <stp>Market</stp>
        <stp>STOCK</stp>
        <stp>66350.T</stp>
        <stp>高値</stp>
        <tr r="N744" s="7"/>
      </tp>
      <tp>
        <v>333</v>
        <stp/>
        <stp>Market</stp>
        <stp>STOCK</stp>
        <stp>66250.T</stp>
        <stp>高値</stp>
        <tr r="N739" s="7"/>
      </tp>
      <tp>
        <v>199</v>
        <stp/>
        <stp>Market</stp>
        <stp>STOCK</stp>
        <stp>67750.T</stp>
        <stp>高値</stp>
        <tr r="N770" s="7"/>
      </tp>
      <tp>
        <v>120</v>
        <stp/>
        <stp>Market</stp>
        <stp>STOCK</stp>
        <stp>64950.T</stp>
        <stp>高値</stp>
        <tr r="N711" s="7"/>
      </tp>
      <tp>
        <v>595</v>
        <stp/>
        <stp>Market</stp>
        <stp>STOCK</stp>
        <stp>65550.T</stp>
        <stp>高値</stp>
        <tr r="N726" s="7"/>
      </tp>
      <tp>
        <v>387</v>
        <stp/>
        <stp>Market</stp>
        <stp>STOCK</stp>
        <stp>65450.T</stp>
        <stp>高値</stp>
        <tr r="N722" s="7"/>
      </tp>
      <tp>
        <v>81</v>
        <stp/>
        <stp>Market</stp>
        <stp>STOCK</stp>
        <stp>59550.T</stp>
        <stp>高値</stp>
        <tr r="N627" s="7"/>
      </tp>
      <tp>
        <v>1379</v>
        <stp/>
        <stp>Market</stp>
        <stp>STOCK</stp>
        <stp>52850.T</stp>
        <stp>高値</stp>
        <tr r="N584" s="7"/>
      </tp>
      <tp t="s">
        <v>表示銘柄数超過</v>
        <stp/>
        <stp>Market</stp>
        <stp>STOCK</stp>
        <stp>50150.T</stp>
        <stp>高値</stp>
        <tr r="N559" s="7"/>
      </tp>
      <tp t="s">
        <v>表示銘柄数超過</v>
        <stp/>
        <stp>Market</stp>
        <stp>STOCK</stp>
        <stp>42750.T</stp>
        <stp>高値</stp>
        <tr r="N436" s="7"/>
      </tp>
      <tp t="s">
        <v>表示銘柄数超過</v>
        <stp/>
        <stp>Market</stp>
        <stp>STOCK</stp>
        <stp>43950.T</stp>
        <stp>高値</stp>
        <tr r="N458" s="7"/>
      </tp>
      <tp t="s">
        <v>表示銘柄数超過</v>
        <stp/>
        <stp>Market</stp>
        <stp>STOCK</stp>
        <stp>43850.T</stp>
        <stp>高値</stp>
        <tr r="N456" s="7"/>
      </tp>
      <tp t="s">
        <v>表示銘柄数超過</v>
        <stp/>
        <stp>Market</stp>
        <stp>STOCK</stp>
        <stp>43550.T</stp>
        <stp>高値</stp>
        <tr r="N448" s="7"/>
      </tp>
      <tp t="s">
        <v>表示銘柄数超過</v>
        <stp/>
        <stp>Market</stp>
        <stp>STOCK</stp>
        <stp>40750.T</stp>
        <stp>高値</stp>
        <tr r="N416" s="7"/>
      </tp>
      <tp t="s">
        <v>表示銘柄数超過</v>
        <stp/>
        <stp>Market</stp>
        <stp>STOCK</stp>
        <stp>41850.T</stp>
        <stp>高値</stp>
        <tr r="N422" s="7"/>
      </tp>
      <tp t="s">
        <v>表示銘柄数超過</v>
        <stp/>
        <stp>Market</stp>
        <stp>STOCK</stp>
        <stp>41650.T</stp>
        <stp>高値</stp>
        <tr r="N417" s="7"/>
      </tp>
      <tp t="s">
        <v>表示銘柄数超過</v>
        <stp/>
        <stp>Market</stp>
        <stp>STOCK</stp>
        <stp>47550.T</stp>
        <stp>高値</stp>
        <tr r="N529" s="7"/>
      </tp>
      <tp t="s">
        <v>表示銘柄数超過</v>
        <stp/>
        <stp>Market</stp>
        <stp>STOCK</stp>
        <stp>47050.T</stp>
        <stp>高値</stp>
        <tr r="N522" s="7"/>
      </tp>
      <tp t="s">
        <v>表示銘柄数超過</v>
        <stp/>
        <stp>Market</stp>
        <stp>STOCK</stp>
        <stp>44950.T</stp>
        <stp>高値</stp>
        <tr r="N478" s="7"/>
      </tp>
      <tp t="s">
        <v>表示銘柄数超過</v>
        <stp/>
        <stp>Market</stp>
        <stp>STOCK</stp>
        <stp>44750.T</stp>
        <stp>高値</stp>
        <tr r="N471" s="7"/>
      </tp>
      <tp t="s">
        <v>表示銘柄数超過</v>
        <stp/>
        <stp>Market</stp>
        <stp>STOCK</stp>
        <stp>45750.T</stp>
        <stp>高値</stp>
        <tr r="N494" s="7"/>
      </tp>
      <tp t="s">
        <v>表示銘柄数超過</v>
        <stp/>
        <stp>Market</stp>
        <stp>STOCK</stp>
        <stp>45650.T</stp>
        <stp>高値</stp>
        <tr r="N488" s="7"/>
      </tp>
      <tp t="s">
        <v>表示銘柄数超過</v>
        <stp/>
        <stp>Market</stp>
        <stp>STOCK</stp>
        <stp>38450.T</stp>
        <stp>高値</stp>
        <tr r="N372" s="7"/>
      </tp>
      <tp t="s">
        <v>表示銘柄数超過</v>
        <stp/>
        <stp>Market</stp>
        <stp>STOCK</stp>
        <stp>38650.T</stp>
        <stp>高値</stp>
        <tr r="N382" s="7"/>
      </tp>
      <tp t="s">
        <v>表示銘柄数超過</v>
        <stp/>
        <stp>Market</stp>
        <stp>STOCK</stp>
        <stp>38150.T</stp>
        <stp>高値</stp>
        <tr r="N364" s="7"/>
      </tp>
      <tp t="s">
        <v>表示銘柄数超過</v>
        <stp/>
        <stp>Market</stp>
        <stp>STOCK</stp>
        <stp>38350.T</stp>
        <stp>高値</stp>
        <tr r="N369" s="7"/>
      </tp>
      <tp t="s">
        <v>表示銘柄数超過</v>
        <stp/>
        <stp>Market</stp>
        <stp>STOCK</stp>
        <stp>38250.T</stp>
        <stp>高値</stp>
        <tr r="N367" s="7"/>
      </tp>
      <tp t="s">
        <v>表示銘柄数超過</v>
        <stp/>
        <stp>Market</stp>
        <stp>STOCK</stp>
        <stp>39950.T</stp>
        <stp>高値</stp>
        <tr r="N407" s="7"/>
      </tp>
      <tp t="s">
        <v>表示銘柄数超過</v>
        <stp/>
        <stp>Market</stp>
        <stp>STOCK</stp>
        <stp>39650.T</stp>
        <stp>高値</stp>
        <tr r="N401" s="7"/>
      </tp>
      <tp t="s">
        <v>表示銘柄数超過</v>
        <stp/>
        <stp>Market</stp>
        <stp>STOCK</stp>
        <stp>39350.T</stp>
        <stp>高値</stp>
        <tr r="N397" s="7"/>
      </tp>
      <tp t="s">
        <v>表示銘柄数超過</v>
        <stp/>
        <stp>Market</stp>
        <stp>STOCK</stp>
        <stp>33550.T</stp>
        <stp>高値</stp>
        <tr r="N284" s="7"/>
      </tp>
      <tp t="s">
        <v>表示銘柄数超過</v>
        <stp/>
        <stp>Market</stp>
        <stp>STOCK</stp>
        <stp>33150.T</stp>
        <stp>高値</stp>
        <tr r="N276" s="7"/>
      </tp>
      <tp t="s">
        <v>表示銘柄数超過</v>
        <stp/>
        <stp>Market</stp>
        <stp>STOCK</stp>
        <stp>30350.T</stp>
        <stp>高値</stp>
        <tr r="N228" s="7"/>
      </tp>
      <tp t="s">
        <v>表示銘柄数超過</v>
        <stp/>
        <stp>Market</stp>
        <stp>STOCK</stp>
        <stp>31850.T</stp>
        <stp>高値</stp>
        <tr r="N252" s="7"/>
      </tp>
      <tp t="s">
        <v>表示銘柄数超過</v>
        <stp/>
        <stp>Market</stp>
        <stp>STOCK</stp>
        <stp>36550.T</stp>
        <stp>高値</stp>
        <tr r="N323" s="7"/>
      </tp>
      <tp t="s">
        <v>表示銘柄数超過</v>
        <stp/>
        <stp>Market</stp>
        <stp>STOCK</stp>
        <stp>36450.T</stp>
        <stp>高値</stp>
        <tr r="N319" s="7"/>
      </tp>
      <tp t="s">
        <v>表示銘柄数超過</v>
        <stp/>
        <stp>Market</stp>
        <stp>STOCK</stp>
        <stp>36650.T</stp>
        <stp>高値</stp>
        <tr r="N328" s="7"/>
      </tp>
      <tp t="s">
        <v>表示銘柄数超過</v>
        <stp/>
        <stp>Market</stp>
        <stp>STOCK</stp>
        <stp>36350.T</stp>
        <stp>高値</stp>
        <tr r="N317" s="7"/>
      </tp>
      <tp t="s">
        <v>表示銘柄数超過</v>
        <stp/>
        <stp>Market</stp>
        <stp>STOCK</stp>
        <stp>36250.T</stp>
        <stp>高値</stp>
        <tr r="N313" s="7"/>
      </tp>
      <tp t="s">
        <v>表示銘柄数超過</v>
        <stp/>
        <stp>Market</stp>
        <stp>STOCK</stp>
        <stp>28450.T</stp>
        <stp>高値</stp>
        <tr r="N202" s="7"/>
      </tp>
      <tp t="s">
        <v>表示銘柄数超過</v>
        <stp/>
        <stp>Market</stp>
        <stp>STOCK</stp>
        <stp>28750.T</stp>
        <stp>高値</stp>
        <tr r="N211" s="7"/>
      </tp>
      <tp t="s">
        <v>表示銘柄数超過</v>
        <stp/>
        <stp>Market</stp>
        <stp>STOCK</stp>
        <stp>28650.T</stp>
        <stp>高値</stp>
        <tr r="N209" s="7"/>
      </tp>
      <tp t="s">
        <v>表示銘柄数超過</v>
        <stp/>
        <stp>Market</stp>
        <stp>STOCK</stp>
        <stp>22350.T</stp>
        <stp>高値</stp>
        <tr r="N105" s="7"/>
      </tp>
      <tp t="s">
        <v>表示銘柄数超過</v>
        <stp/>
        <stp>Market</stp>
        <stp>STOCK</stp>
        <stp>23450.T</stp>
        <stp>高値</stp>
        <tr r="N122" s="7"/>
      </tp>
      <tp t="s">
        <v>表示銘柄数超過</v>
        <stp/>
        <stp>Market</stp>
        <stp>STOCK</stp>
        <stp>23750.T</stp>
        <stp>高値</stp>
        <tr r="N128" s="7"/>
      </tp>
      <tp>
        <v>44</v>
        <stp/>
        <stp>Market</stp>
        <stp>STOCK</stp>
        <stp>23150.T</stp>
        <stp>高値</stp>
        <tr r="N113" s="7"/>
      </tp>
      <tp t="s">
        <v>表示銘柄数超過</v>
        <stp/>
        <stp>Market</stp>
        <stp>STOCK</stp>
        <stp>23050.T</stp>
        <stp>高値</stp>
        <tr r="N112" s="7"/>
      </tp>
      <tp t="s">
        <v>表示銘柄数超過</v>
        <stp/>
        <stp>Market</stp>
        <stp>STOCK</stp>
        <stp>20550.T</stp>
        <stp>高値</stp>
        <tr r="N88" s="7"/>
      </tp>
      <tp t="s">
        <v>表示銘柄数超過</v>
        <stp/>
        <stp>Market</stp>
        <stp>STOCK</stp>
        <stp>26850.T</stp>
        <stp>高値</stp>
        <tr r="N181" s="7"/>
      </tp>
      <tp t="s">
        <v>表示銘柄数超過</v>
        <stp/>
        <stp>Market</stp>
        <stp>STOCK</stp>
        <stp>26350.T</stp>
        <stp>高値</stp>
        <tr r="N174" s="7"/>
      </tp>
      <tp t="s">
        <v>表示銘柄数超過</v>
        <stp/>
        <stp>Market</stp>
        <stp>STOCK</stp>
        <stp>27350.T</stp>
        <stp>高値</stp>
        <tr r="N190" s="7"/>
      </tp>
      <tp t="s">
        <v>表示銘柄数超過</v>
        <stp/>
        <stp>Market</stp>
        <stp>STOCK</stp>
        <stp>24450.T</stp>
        <stp>高値</stp>
        <tr r="N145" s="7"/>
      </tp>
      <tp t="s">
        <v>表示銘柄数超過</v>
        <stp/>
        <stp>Market</stp>
        <stp>STOCK</stp>
        <stp>24150.T</stp>
        <stp>高値</stp>
        <tr r="N138" s="7"/>
      </tp>
      <tp t="s">
        <v>表示銘柄数超過</v>
        <stp/>
        <stp>Market</stp>
        <stp>STOCK</stp>
        <stp>24350.T</stp>
        <stp>高値</stp>
        <tr r="N142" s="7"/>
      </tp>
      <tp t="s">
        <v>表示銘柄数超過</v>
        <stp/>
        <stp>Market</stp>
        <stp>STOCK</stp>
        <stp>25850.T</stp>
        <stp>高値</stp>
        <tr r="N164" s="7"/>
      </tp>
      <tp t="s">
        <v>表示銘柄数超過</v>
        <stp/>
        <stp>Market</stp>
        <stp>STOCK</stp>
        <stp>18150.T</stp>
        <stp>高値</stp>
        <tr r="N61" s="7"/>
      </tp>
      <tp t="s">
        <v>表示銘柄数超過</v>
        <stp/>
        <stp>Market</stp>
        <stp>STOCK</stp>
        <stp>18050.T</stp>
        <stp>高値</stp>
        <tr r="N59" s="7"/>
      </tp>
      <tp t="s">
        <v>表示銘柄数超過</v>
        <stp/>
        <stp>Market</stp>
        <stp>STOCK</stp>
        <stp>19650.T</stp>
        <stp>高値</stp>
        <tr r="N83" s="7"/>
      </tp>
      <tp t="s">
        <v>表示銘柄数超過</v>
        <stp/>
        <stp>Market</stp>
        <stp>STOCK</stp>
        <stp>19250.T</stp>
        <stp>高値</stp>
        <tr r="N74" s="7"/>
      </tp>
      <tp t="s">
        <v>表示銘柄数超過</v>
        <stp/>
        <stp>Market</stp>
        <stp>STOCK</stp>
        <stp>13450.T</stp>
        <stp>高値</stp>
        <tr r="N10" s="7"/>
      </tp>
      <tp t="s">
        <v>表示銘柄数超過</v>
        <stp/>
        <stp>Market</stp>
        <stp>STOCK</stp>
        <stp>13050.T</stp>
        <stp>高値</stp>
        <tr r="N2" s="7"/>
      </tp>
      <tp t="s">
        <v>表示銘柄数超過</v>
        <stp/>
        <stp>Market</stp>
        <stp>STOCK</stp>
        <stp>13250.T</stp>
        <stp>高値</stp>
        <tr r="N7" s="7"/>
      </tp>
      <tp t="s">
        <v>表示銘柄数超過</v>
        <stp/>
        <stp>Market</stp>
        <stp>STOCK</stp>
        <stp>16550.T</stp>
        <stp>高値</stp>
        <tr r="N39" s="7"/>
      </tp>
      <tp t="s">
        <v>表示銘柄数超過</v>
        <stp/>
        <stp>Market</stp>
        <stp>STOCK</stp>
        <stp>16150.T</stp>
        <stp>高値</stp>
        <tr r="N38" s="7"/>
      </tp>
      <tp t="s">
        <v>表示銘柄数超過</v>
        <stp/>
        <stp>Market</stp>
        <stp>STOCK</stp>
        <stp>16050.T</stp>
        <stp>高値</stp>
        <tr r="N37" s="7"/>
      </tp>
      <tp t="s">
        <v>表示銘柄数超過</v>
        <stp/>
        <stp>Market</stp>
        <stp>STOCK</stp>
        <stp>14350.T</stp>
        <stp>高値</stp>
        <tr r="N23" s="7"/>
      </tp>
      <tp t="s">
        <v>表示銘柄数超過</v>
        <stp/>
        <stp>Market</stp>
        <stp>STOCK</stp>
        <stp>39980.T</stp>
        <stp>売買代金</stp>
        <tr r="W409" s="7"/>
      </tp>
      <tp t="s">
        <v>表示銘柄数超過</v>
        <stp/>
        <stp>Market</stp>
        <stp>STOCK</stp>
        <stp>99950.T</stp>
        <stp>売買代金</stp>
        <tr r="W1191" s="7"/>
      </tp>
      <tp t="s">
        <v>表示銘柄数超過</v>
        <stp/>
        <stp>Market</stp>
        <stp>STOCK</stp>
        <stp>39950.T</stp>
        <stp>売買代金</stp>
        <tr r="W407" s="7"/>
      </tp>
      <tp t="s">
        <v>表示銘柄数超過</v>
        <stp/>
        <stp>Market</stp>
        <stp>STOCK</stp>
        <stp>19940.T</stp>
        <stp>売買代金</stp>
        <tr r="W86" s="7"/>
      </tp>
      <tp>
        <v>12536</v>
        <stp/>
        <stp>Market</stp>
        <stp>STOCK</stp>
        <stp>59940.T</stp>
        <stp>売買代金</stp>
        <tr r="W634" s="7"/>
      </tp>
      <tp>
        <v>10159</v>
        <stp/>
        <stp>Market</stp>
        <stp>STOCK</stp>
        <stp>69940.T</stp>
        <stp>売買代金</stp>
        <tr r="W802" s="7"/>
      </tp>
      <tp t="s">
        <v>表示銘柄数超過</v>
        <stp/>
        <stp>Market</stp>
        <stp>STOCK</stp>
        <stp>39970.T</stp>
        <stp>売買代金</stp>
        <tr r="W408" s="7"/>
      </tp>
      <tp t="s">
        <v>表示銘柄数超過</v>
        <stp/>
        <stp>Market</stp>
        <stp>STOCK</stp>
        <stp>29970.T</stp>
        <stp>売買代金</stp>
        <tr r="W220" s="7"/>
      </tp>
      <tp>
        <v>4250</v>
        <stp/>
        <stp>Market</stp>
        <stp>STOCK</stp>
        <stp>59970.T</stp>
        <stp>売買代金</stp>
        <tr r="W635" s="7"/>
      </tp>
      <tp>
        <v>87436</v>
        <stp/>
        <stp>Market</stp>
        <stp>STOCK</stp>
        <stp>49970.T</stp>
        <stp>売買代金</stp>
        <tr r="W557" s="7"/>
      </tp>
      <tp>
        <v>3778</v>
        <stp/>
        <stp>Market</stp>
        <stp>STOCK</stp>
        <stp>79970.T</stp>
        <stp>売買代金</stp>
        <tr r="W963" s="7"/>
      </tp>
      <tp>
        <v>341192</v>
        <stp/>
        <stp>Market</stp>
        <stp>STOCK</stp>
        <stp>69970.T</stp>
        <stp>売買代金</stp>
        <tr r="W803" s="7"/>
      </tp>
      <tp t="s">
        <v>表示銘柄数超過</v>
        <stp/>
        <stp>Market</stp>
        <stp>STOCK</stp>
        <stp>89960.T</stp>
        <stp>売買代金</stp>
        <tr r="W1072" s="7"/>
      </tp>
      <tp>
        <v>259695</v>
        <stp/>
        <stp>Market</stp>
        <stp>STOCK</stp>
        <stp>59910.T</stp>
        <stp>売買代金</stp>
        <tr r="W633" s="7"/>
      </tp>
      <tp t="s">
        <v>表示銘柄数超過</v>
        <stp/>
        <stp>Market</stp>
        <stp>STOCK</stp>
        <stp>99900.T</stp>
        <stp>売買代金</stp>
        <tr r="W1190" s="7"/>
      </tp>
      <tp t="s">
        <v>表示銘柄数超過</v>
        <stp/>
        <stp>Market</stp>
        <stp>STOCK</stp>
        <stp>39900.T</stp>
        <stp>売買代金</stp>
        <tr r="W405" s="7"/>
      </tp>
      <tp t="s">
        <v>表示銘柄数超過</v>
        <stp/>
        <stp>Market</stp>
        <stp>STOCK</stp>
        <stp>29930.T</stp>
        <stp>売買代金</stp>
        <tr r="W219" s="7"/>
      </tp>
      <tp>
        <v>41383</v>
        <stp/>
        <stp>Market</stp>
        <stp>STOCK</stp>
        <stp>69930.T</stp>
        <stp>売買代金</stp>
        <tr r="W801" s="7"/>
      </tp>
      <tp t="s">
        <v>表示銘柄数超過</v>
        <stp/>
        <stp>Market</stp>
        <stp>STOCK</stp>
        <stp>39920.T</stp>
        <stp>売買代金</stp>
        <tr r="W406" s="7"/>
      </tp>
      <tp t="s">
        <v>表示銘柄数超過</v>
        <stp/>
        <stp>Market</stp>
        <stp>STOCK</stp>
        <stp>39890.T</stp>
        <stp>売買代金</stp>
        <tr r="W404" s="7"/>
      </tp>
      <tp t="s">
        <v>表示銘柄数超過</v>
        <stp/>
        <stp>Market</stp>
        <stp>STOCK</stp>
        <stp>99840.T</stp>
        <stp>売買代金</stp>
        <tr r="W1189" s="7"/>
      </tp>
      <tp t="s">
        <v>表示銘柄数超過</v>
        <stp/>
        <stp>Market</stp>
        <stp>STOCK</stp>
        <stp>39870.T</stp>
        <stp>売買代金</stp>
        <tr r="W403" s="7"/>
      </tp>
      <tp t="s">
        <v>表示銘柄数超過</v>
        <stp/>
        <stp>Market</stp>
        <stp>STOCK</stp>
        <stp>29870.T</stp>
        <stp>売買代金</stp>
        <tr r="W218" s="7"/>
      </tp>
      <tp>
        <v>8307</v>
        <stp/>
        <stp>Market</stp>
        <stp>STOCK</stp>
        <stp>59860.T</stp>
        <stp>売買代金</stp>
        <tr r="W632" s="7"/>
      </tp>
      <tp>
        <v>35894</v>
        <stp/>
        <stp>Market</stp>
        <stp>STOCK</stp>
        <stp>69860.T</stp>
        <stp>売買代金</stp>
        <tr r="W800" s="7"/>
      </tp>
      <tp>
        <v>36679</v>
        <stp/>
        <stp>Market</stp>
        <stp>STOCK</stp>
        <stp>59810.T</stp>
        <stp>売買代金</stp>
        <tr r="W631" s="7"/>
      </tp>
      <tp>
        <v>17935504</v>
        <stp/>
        <stp>Market</stp>
        <stp>STOCK</stp>
        <stp>69810.T</stp>
        <stp>売買代金</stp>
        <tr r="W798" s="7"/>
      </tp>
      <tp t="s">
        <v>表示銘柄数超過</v>
        <stp/>
        <stp>Market</stp>
        <stp>STOCK</stp>
        <stp>99800.T</stp>
        <stp>売買代金</stp>
        <tr r="W1187" s="7"/>
      </tp>
      <tp t="s">
        <v>表示銘柄数超過</v>
        <stp/>
        <stp>Market</stp>
        <stp>STOCK</stp>
        <stp>99820.T</stp>
        <stp>売買代金</stp>
        <tr r="W1188" s="7"/>
      </tp>
      <tp t="s">
        <v>表示銘柄数超過</v>
        <stp/>
        <stp>Market</stp>
        <stp>STOCK</stp>
        <stp>29820.T</stp>
        <stp>売買代金</stp>
        <tr r="W217" s="7"/>
      </tp>
      <tp>
        <v>18189</v>
        <stp/>
        <stp>Market</stp>
        <stp>STOCK</stp>
        <stp>69820.T</stp>
        <stp>売買代金</stp>
        <tr r="W799" s="7"/>
      </tp>
      <tp t="s">
        <v>表示銘柄数超過</v>
        <stp/>
        <stp>Market</stp>
        <stp>STOCK</stp>
        <stp>49780.T</stp>
        <stp>売買代金</stp>
        <tr r="W556" s="7"/>
      </tp>
      <tp>
        <v>78480875</v>
        <stp/>
        <stp>Market</stp>
        <stp>STOCK</stp>
        <stp>79740.T</stp>
        <stp>売買代金</stp>
        <tr r="W962" s="7"/>
      </tp>
      <tp t="s">
        <v>表示銘柄数超過</v>
        <stp/>
        <stp>Market</stp>
        <stp>STOCK</stp>
        <stp>39760.T</stp>
        <stp>売買代金</stp>
        <tr r="W402" s="7"/>
      </tp>
      <tp>
        <v>137999</v>
        <stp/>
        <stp>Market</stp>
        <stp>STOCK</stp>
        <stp>59760.T</stp>
        <stp>売買代金</stp>
        <tr r="W630" s="7"/>
      </tp>
      <tp>
        <v>8275953</v>
        <stp/>
        <stp>Market</stp>
        <stp>STOCK</stp>
        <stp>69760.T</stp>
        <stp>売買代金</stp>
        <tr r="W797" s="7"/>
      </tp>
      <tp t="s">
        <v>表示銘柄数超過</v>
        <stp/>
        <stp>Market</stp>
        <stp>STOCK</stp>
        <stp>19710.T</stp>
        <stp>売買代金</stp>
        <tr r="W85" s="7"/>
      </tp>
      <tp>
        <v>202548</v>
        <stp/>
        <stp>Market</stp>
        <stp>STOCK</stp>
        <stp>79710.T</stp>
        <stp>売買代金</stp>
        <tr r="W960" s="7"/>
      </tp>
      <tp>
        <v>308050</v>
        <stp/>
        <stp>Market</stp>
        <stp>STOCK</stp>
        <stp>59700.T</stp>
        <stp>売買代金</stp>
        <tr r="W629" s="7"/>
      </tp>
      <tp t="s">
        <v>表示銘柄数超過</v>
        <stp/>
        <stp>Market</stp>
        <stp>STOCK</stp>
        <stp>99730.T</stp>
        <stp>売買代金</stp>
        <tr r="W1186" s="7"/>
      </tp>
      <tp>
        <v>439815</v>
        <stp/>
        <stp>Market</stp>
        <stp>STOCK</stp>
        <stp>79720.T</stp>
        <stp>売買代金</stp>
        <tr r="W961" s="7"/>
      </tp>
      <tp t="s">
        <v>表示銘柄数超過</v>
        <stp/>
        <stp>Market</stp>
        <stp>STOCK</stp>
        <stp>99690.T</stp>
        <stp>売買代金</stp>
        <tr r="W1185" s="7"/>
      </tp>
      <tp t="s">
        <v>表示銘柄数超過</v>
        <stp/>
        <stp>Market</stp>
        <stp>STOCK</stp>
        <stp>19650.T</stp>
        <stp>売買代金</stp>
        <tr r="W83" s="7"/>
      </tp>
      <tp t="s">
        <v>表示銘柄数超過</v>
        <stp/>
        <stp>Market</stp>
        <stp>STOCK</stp>
        <stp>39650.T</stp>
        <stp>売買代金</stp>
        <tr r="W401" s="7"/>
      </tp>
      <tp t="s">
        <v>表示銘柄数超過</v>
        <stp/>
        <stp>Market</stp>
        <stp>STOCK</stp>
        <stp>19660.T</stp>
        <stp>売買代金</stp>
        <tr r="W84" s="7"/>
      </tp>
      <tp>
        <v>12608</v>
        <stp/>
        <stp>Market</stp>
        <stp>STOCK</stp>
        <stp>59660.T</stp>
        <stp>売買代金</stp>
        <tr r="W628" s="7"/>
      </tp>
      <tp t="s">
        <v>表示銘柄数超過</v>
        <stp/>
        <stp>Market</stp>
        <stp>STOCK</stp>
        <stp>19600.T</stp>
        <stp>売買代金</stp>
        <tr r="W82" s="7"/>
      </tp>
      <tp t="s">
        <v>表示銘柄数超過</v>
        <stp/>
        <stp>Market</stp>
        <stp>STOCK</stp>
        <stp>49600.T</stp>
        <stp>売買代金</stp>
        <tr r="W554" s="7"/>
      </tp>
      <tp t="s">
        <v>表示銘柄数超過</v>
        <stp/>
        <stp>Market</stp>
        <stp>STOCK</stp>
        <stp>39630.T</stp>
        <stp>売買代金</stp>
        <tr r="W400" s="7"/>
      </tp>
      <tp t="s">
        <v>表示銘柄数超過</v>
        <stp/>
        <stp>Market</stp>
        <stp>STOCK</stp>
        <stp>49630.T</stp>
        <stp>売買代金</stp>
        <tr r="W555" s="7"/>
      </tp>
      <tp>
        <v>492696</v>
        <stp/>
        <stp>Market</stp>
        <stp>STOCK</stp>
        <stp>69580.T</stp>
        <stp>売買代金</stp>
        <tr r="W796" s="7"/>
      </tp>
      <tp>
        <v>34604</v>
        <stp/>
        <stp>Market</stp>
        <stp>STOCK</stp>
        <stp>59550.T</stp>
        <stp>売買代金</stp>
        <tr r="W627" s="7"/>
      </tp>
      <tp>
        <v>114839</v>
        <stp/>
        <stp>Market</stp>
        <stp>STOCK</stp>
        <stp>79550.T</stp>
        <stp>売買代金</stp>
        <tr r="W959" s="7"/>
      </tp>
      <tp>
        <v>23298</v>
        <stp/>
        <stp>Market</stp>
        <stp>STOCK</stp>
        <stp>69550.T</stp>
        <stp>売買代金</stp>
        <tr r="W795" s="7"/>
      </tp>
      <tp>
        <v>13322303</v>
        <stp/>
        <stp>Market</stp>
        <stp>STOCK</stp>
        <stp>69540.T</stp>
        <stp>売買代金</stp>
        <tr r="W794" s="7"/>
      </tp>
      <tp t="s">
        <v>表示銘柄数超過</v>
        <stp/>
        <stp>Market</stp>
        <stp>STOCK</stp>
        <stp>19500.T</stp>
        <stp>売買代金</stp>
        <tr r="W81" s="7"/>
      </tp>
      <tp>
        <v>889</v>
        <stp/>
        <stp>Market</stp>
        <stp>STOCK</stp>
        <stp>59500.T</stp>
        <stp>売買代金</stp>
        <tr r="W625" s="7"/>
      </tp>
      <tp>
        <v>2273</v>
        <stp/>
        <stp>Market</stp>
        <stp>STOCK</stp>
        <stp>79530.T</stp>
        <stp>売買代金</stp>
        <tr r="W958" s="7"/>
      </tp>
      <tp>
        <v>4404</v>
        <stp/>
        <stp>Market</stp>
        <stp>STOCK</stp>
        <stp>59520.T</stp>
        <stp>売買代金</stp>
        <tr r="W626" s="7"/>
      </tp>
      <tp>
        <v>1700101</v>
        <stp/>
        <stp>Market</stp>
        <stp>STOCK</stp>
        <stp>69520.T</stp>
        <stp>売買代金</stp>
        <tr r="W793" s="7"/>
      </tp>
      <tp>
        <v>233363</v>
        <stp/>
        <stp>Market</stp>
        <stp>STOCK</stp>
        <stp>59490.T</stp>
        <stp>売買代金</stp>
        <tr r="W624" s="7"/>
      </tp>
      <tp t="s">
        <v>表示銘柄数超過</v>
        <stp/>
        <stp>Market</stp>
        <stp>STOCK</stp>
        <stp>89450.T</stp>
        <stp>売買代金</stp>
        <tr r="W1070" s="7"/>
      </tp>
      <tp t="s">
        <v>表示銘柄数超過</v>
        <stp/>
        <stp>Market</stp>
        <stp>STOCK</stp>
        <stp>89440.T</stp>
        <stp>売買代金</stp>
        <tr r="W1069" s="7"/>
      </tp>
      <tp>
        <v>1069948</v>
        <stp/>
        <stp>Market</stp>
        <stp>STOCK</stp>
        <stp>59470.T</stp>
        <stp>売買代金</stp>
        <tr r="W623" s="7"/>
      </tp>
      <tp t="s">
        <v>表示銘柄数超過</v>
        <stp/>
        <stp>Market</stp>
        <stp>STOCK</stp>
        <stp>99460.T</stp>
        <stp>売買代金</stp>
        <tr r="W1184" s="7"/>
      </tp>
      <tp t="s">
        <v>表示銘柄数超過</v>
        <stp/>
        <stp>Market</stp>
        <stp>STOCK</stp>
        <stp>89460.T</stp>
        <stp>売買代金</stp>
        <tr r="W1071" s="7"/>
      </tp>
      <tp t="s">
        <v>表示銘柄数超過</v>
        <stp/>
        <stp>Market</stp>
        <stp>STOCK</stp>
        <stp>19410.T</stp>
        <stp>売買代金</stp>
        <tr r="W79" s="7"/>
      </tp>
      <tp>
        <v>2533575</v>
        <stp/>
        <stp>Market</stp>
        <stp>STOCK</stp>
        <stp>69410.T</stp>
        <stp>売買代金</stp>
        <tr r="W791" s="7"/>
      </tp>
      <tp t="s">
        <v>表示銘柄数超過</v>
        <stp/>
        <stp>Market</stp>
        <stp>STOCK</stp>
        <stp>39400.T</stp>
        <stp>売買代金</stp>
        <tr r="W399" s="7"/>
      </tp>
      <tp>
        <v>42551</v>
        <stp/>
        <stp>Market</stp>
        <stp>STOCK</stp>
        <stp>59400.T</stp>
        <stp>売買代金</stp>
        <tr r="W622" s="7"/>
      </tp>
      <tp>
        <v>20968</v>
        <stp/>
        <stp>Market</stp>
        <stp>STOCK</stp>
        <stp>79400.T</stp>
        <stp>売買代金</stp>
        <tr r="W957" s="7"/>
      </tp>
      <tp t="s">
        <v>表示銘柄数超過</v>
        <stp/>
        <stp>Market</stp>
        <stp>STOCK</stp>
        <stp>19420.T</stp>
        <stp>売買代金</stp>
        <tr r="W80" s="7"/>
      </tp>
      <tp>
        <v>947606</v>
        <stp/>
        <stp>Market</stp>
        <stp>STOCK</stp>
        <stp>69420.T</stp>
        <stp>売買代金</stp>
        <tr r="W792" s="7"/>
      </tp>
      <tp t="s">
        <v>表示銘柄数超過</v>
        <stp/>
        <stp>Market</stp>
        <stp>STOCK</stp>
        <stp>19390.T</stp>
        <stp>売買代金</stp>
        <tr r="W78" s="7"/>
      </tp>
      <tp t="s">
        <v>表示銘柄数超過</v>
        <stp/>
        <stp>Market</stp>
        <stp>STOCK</stp>
        <stp>39390.T</stp>
        <stp>売買代金</stp>
        <tr r="W398" s="7"/>
      </tp>
      <tp t="s">
        <v>表示銘柄数超過</v>
        <stp/>
        <stp>Market</stp>
        <stp>STOCK</stp>
        <stp>89380.T</stp>
        <stp>売買代金</stp>
        <tr r="W1068" s="7"/>
      </tp>
      <tp t="s">
        <v>表示銘柄数超過</v>
        <stp/>
        <stp>Market</stp>
        <stp>STOCK</stp>
        <stp>19380.T</stp>
        <stp>売買代金</stp>
        <tr r="W77" s="7"/>
      </tp>
      <tp>
        <v>3080527</v>
        <stp/>
        <stp>Market</stp>
        <stp>STOCK</stp>
        <stp>59380.T</stp>
        <stp>売買代金</stp>
        <tr r="W621" s="7"/>
      </tp>
      <tp>
        <v>8123</v>
        <stp/>
        <stp>Market</stp>
        <stp>STOCK</stp>
        <stp>69380.T</stp>
        <stp>売買代金</stp>
        <tr r="W790" s="7"/>
      </tp>
      <tp t="s">
        <v>表示銘柄数超過</v>
        <stp/>
        <stp>Market</stp>
        <stp>STOCK</stp>
        <stp>39350.T</stp>
        <stp>売買代金</stp>
        <tr r="W397" s="7"/>
      </tp>
      <tp t="s">
        <v>表示銘柄数超過</v>
        <stp/>
        <stp>Market</stp>
        <stp>STOCK</stp>
        <stp>39340.T</stp>
        <stp>売買代金</stp>
        <tr r="W396" s="7"/>
      </tp>
      <tp>
        <v>8268</v>
        <stp/>
        <stp>Market</stp>
        <stp>STOCK</stp>
        <stp>59360.T</stp>
        <stp>売買代金</stp>
        <tr r="W620" s="7"/>
      </tp>
      <tp t="s">
        <v>表示銘柄数超過</v>
        <stp/>
        <stp>Market</stp>
        <stp>STOCK</stp>
        <stp>99300.T</stp>
        <stp>売買代金</stp>
        <tr r="W1183" s="7"/>
      </tp>
      <tp t="s">
        <v>表示銘柄数超過</v>
        <stp/>
        <stp>Market</stp>
        <stp>STOCK</stp>
        <stp>19300.T</stp>
        <stp>売買代金</stp>
        <tr r="W76" s="7"/>
      </tp>
      <tp t="s">
        <v>表示銘柄数超過</v>
        <stp/>
        <stp>Market</stp>
        <stp>STOCK</stp>
        <stp>29300.T</stp>
        <stp>売買代金</stp>
        <tr r="W216" s="7"/>
      </tp>
      <tp t="s">
        <v>表示銘柄数超過</v>
        <stp/>
        <stp>Market</stp>
        <stp>STOCK</stp>
        <stp>39290.T</stp>
        <stp>売買代金</stp>
        <tr r="W395" s="7"/>
      </tp>
      <tp t="s">
        <v>表示銘柄数超過</v>
        <stp/>
        <stp>Market</stp>
        <stp>STOCK</stp>
        <stp>99280.T</stp>
        <stp>売買代金</stp>
        <tr r="W1182" s="7"/>
      </tp>
      <tp t="s">
        <v>表示銘柄数超過</v>
        <stp/>
        <stp>Market</stp>
        <stp>STOCK</stp>
        <stp>19280.T</stp>
        <stp>売買代金</stp>
        <tr r="W75" s="7"/>
      </tp>
      <tp t="s">
        <v>表示銘柄数超過</v>
        <stp/>
        <stp>Market</stp>
        <stp>STOCK</stp>
        <stp>39280.T</stp>
        <stp>売買代金</stp>
        <tr r="W394" s="7"/>
      </tp>
      <tp>
        <v>13022</v>
        <stp/>
        <stp>Market</stp>
        <stp>STOCK</stp>
        <stp>59280.T</stp>
        <stp>売買代金</stp>
        <tr r="W619" s="7"/>
      </tp>
      <tp t="s">
        <v>表示銘柄数超過</v>
        <stp/>
        <stp>Market</stp>
        <stp>STOCK</stp>
        <stp>89250.T</stp>
        <stp>売買代金</stp>
        <tr r="W1066" s="7"/>
      </tp>
      <tp t="s">
        <v>表示銘柄数超過</v>
        <stp/>
        <stp>Market</stp>
        <stp>STOCK</stp>
        <stp>19250.T</stp>
        <stp>売買代金</stp>
        <tr r="W74" s="7"/>
      </tp>
      <tp t="s">
        <v>表示銘柄数超過</v>
        <stp/>
        <stp>Market</stp>
        <stp>STOCK</stp>
        <stp>99270.T</stp>
        <stp>売買代金</stp>
        <tr r="W1181" s="7"/>
      </tp>
      <tp t="s">
        <v>表示銘柄数超過</v>
        <stp/>
        <stp>Market</stp>
        <stp>STOCK</stp>
        <stp>89270.T</stp>
        <stp>売買代金</stp>
        <tr r="W1067" s="7"/>
      </tp>
      <tp t="s">
        <v>表示銘柄数超過</v>
        <stp/>
        <stp>Market</stp>
        <stp>STOCK</stp>
        <stp>39270.T</stp>
        <stp>売買代金</stp>
        <tr r="W393" s="7"/>
      </tp>
      <tp>
        <v>281861</v>
        <stp/>
        <stp>Market</stp>
        <stp>STOCK</stp>
        <stp>69270.T</stp>
        <stp>売買代金</stp>
        <tr r="W789" s="7"/>
      </tp>
      <tp t="s">
        <v>表示銘柄数超過</v>
        <stp/>
        <stp>Market</stp>
        <stp>STOCK</stp>
        <stp>29260.T</stp>
        <stp>売買代金</stp>
        <tr r="W215" s="7"/>
      </tp>
      <tp t="s">
        <v>表示銘柄数超過</v>
        <stp/>
        <stp>Market</stp>
        <stp>STOCK</stp>
        <stp>39200.T</stp>
        <stp>売買代金</stp>
        <tr r="W392" s="7"/>
      </tp>
      <tp t="s">
        <v>表示銘柄数超過</v>
        <stp/>
        <stp>Market</stp>
        <stp>STOCK</stp>
        <stp>49200.T</stp>
        <stp>売買代金</stp>
        <tr r="W553" s="7"/>
      </tp>
      <tp>
        <v>338481719</v>
        <stp/>
        <stp>Market</stp>
        <stp>STOCK</stp>
        <stp>69200.T</stp>
        <stp>売買代金</stp>
        <tr r="W787" s="7"/>
      </tp>
      <tp t="s">
        <v>表示銘柄数超過</v>
        <stp/>
        <stp>Market</stp>
        <stp>STOCK</stp>
        <stp>89230.T</stp>
        <stp>売買代金</stp>
        <tr r="W1065" s="7"/>
      </tp>
      <tp>
        <v>3090120</v>
        <stp/>
        <stp>Market</stp>
        <stp>STOCK</stp>
        <stp>69230.T</stp>
        <stp>売買代金</stp>
        <tr r="W788" s="7"/>
      </tp>
      <tp t="s">
        <v>表示銘柄数超過</v>
        <stp/>
        <stp>Market</stp>
        <stp>STOCK</stp>
        <stp>99190.T</stp>
        <stp>売買代金</stp>
        <tr r="W1180" s="7"/>
      </tp>
      <tp>
        <v>10551</v>
        <stp/>
        <stp>Market</stp>
        <stp>STOCK</stp>
        <stp>79190.T</stp>
        <stp>売買代金</stp>
        <tr r="W956" s="7"/>
      </tp>
      <tp t="s">
        <v>表示銘柄数超過</v>
        <stp/>
        <stp>Market</stp>
        <stp>STOCK</stp>
        <stp>89180.T</stp>
        <stp>売買代金</stp>
        <tr r="W1064" s="7"/>
      </tp>
      <tp>
        <v>614567</v>
        <stp/>
        <stp>Market</stp>
        <stp>STOCK</stp>
        <stp>79180.T</stp>
        <stp>売買代金</stp>
        <tr r="W955" s="7"/>
      </tp>
      <tp t="s">
        <v>表示銘柄数超過</v>
        <stp/>
        <stp>Market</stp>
        <stp>STOCK</stp>
        <stp>19140.T</stp>
        <stp>売買代金</stp>
        <tr r="W73" s="7"/>
      </tp>
      <tp>
        <v>17271000</v>
        <stp/>
        <stp>Market</stp>
        <stp>STOCK</stp>
        <stp>29140.T</stp>
        <stp>売買代金</stp>
        <tr r="W214" s="7"/>
      </tp>
      <tp t="s">
        <v>表示銘柄数超過</v>
        <stp/>
        <stp>Market</stp>
        <stp>STOCK</stp>
        <stp>39170.T</stp>
        <stp>売買代金</stp>
        <tr r="W391" s="7"/>
      </tp>
      <tp t="s">
        <v>表示銘柄数超過</v>
        <stp/>
        <stp>Market</stp>
        <stp>STOCK</stp>
        <stp>19110.T</stp>
        <stp>売買代金</stp>
        <tr r="W72" s="7"/>
      </tp>
      <tp t="s">
        <v>表示銘柄数超過</v>
        <stp/>
        <stp>Market</stp>
        <stp>STOCK</stp>
        <stp>39110.T</stp>
        <stp>売買代金</stp>
        <tr r="W390" s="7"/>
      </tp>
      <tp>
        <v>4468695</v>
        <stp/>
        <stp>Market</stp>
        <stp>STOCK</stp>
        <stp>79110.T</stp>
        <stp>売買代金</stp>
        <tr r="W954" s="7"/>
      </tp>
      <tp t="s">
        <v>表示銘柄数超過</v>
        <stp/>
        <stp>Market</stp>
        <stp>STOCK</stp>
        <stp>39100.T</stp>
        <stp>売買代金</stp>
        <tr r="W389" s="7"/>
      </tp>
      <tp t="s">
        <v>表示銘柄数超過</v>
        <stp/>
        <stp>Market</stp>
        <stp>STOCK</stp>
        <stp>89120.T</stp>
        <stp>売買代金</stp>
        <tr r="W1063" s="7"/>
      </tp>
      <tp t="s">
        <v>表示銘柄数超過</v>
        <stp/>
        <stp>Market</stp>
        <stp>STOCK</stp>
        <stp>49120.T</stp>
        <stp>売買代金</stp>
        <tr r="W552" s="7"/>
      </tp>
      <tp t="s">
        <v>表示銘柄数超過</v>
        <stp/>
        <stp>Market</stp>
        <stp>STOCK</stp>
        <stp>39090.T</stp>
        <stp>売買代金</stp>
        <tr r="W388" s="7"/>
      </tp>
      <tp>
        <v>6679</v>
        <stp/>
        <stp>Market</stp>
        <stp>STOCK</stp>
        <stp>59090.T</stp>
        <stp>売買代金</stp>
        <tr r="W618" s="7"/>
      </tp>
      <tp t="s">
        <v>表示銘柄数超過</v>
        <stp/>
        <stp>Market</stp>
        <stp>STOCK</stp>
        <stp>99080.T</stp>
        <stp>売買代金</stp>
        <tr r="W1179" s="7"/>
      </tp>
      <tp>
        <v>17590</v>
        <stp/>
        <stp>Market</stp>
        <stp>STOCK</stp>
        <stp>79080.T</stp>
        <stp>売買代金</stp>
        <tr r="W953" s="7"/>
      </tp>
      <tp t="s">
        <v>表示銘柄数超過</v>
        <stp/>
        <stp>Market</stp>
        <stp>STOCK</stp>
        <stp>89050.T</stp>
        <stp>売買代金</stp>
        <tr r="W1062" s="7"/>
      </tp>
      <tp>
        <v>139478</v>
        <stp/>
        <stp>Market</stp>
        <stp>STOCK</stp>
        <stp>69050.T</stp>
        <stp>売買代金</stp>
        <tr r="W785" s="7"/>
      </tp>
      <tp t="s">
        <v>表示銘柄数超過</v>
        <stp/>
        <stp>Market</stp>
        <stp>STOCK</stp>
        <stp>99040.T</stp>
        <stp>売買代金</stp>
        <tr r="W1178" s="7"/>
      </tp>
      <tp t="s">
        <v>表示銘柄数超過</v>
        <stp/>
        <stp>Market</stp>
        <stp>STOCK</stp>
        <stp>39070.T</stp>
        <stp>売買代金</stp>
        <tr r="W387" s="7"/>
      </tp>
      <tp>
        <v>4198</v>
        <stp/>
        <stp>Market</stp>
        <stp>STOCK</stp>
        <stp>69070.T</stp>
        <stp>売買代金</stp>
        <tr r="W786" s="7"/>
      </tp>
      <tp t="s">
        <v>表示銘柄数超過</v>
        <stp/>
        <stp>Market</stp>
        <stp>STOCK</stp>
        <stp>29010.T</stp>
        <stp>売買代金</stp>
        <tr r="W213" s="7"/>
      </tp>
      <tp t="s">
        <v>表示銘柄数超過</v>
        <stp/>
        <stp>Market</stp>
        <stp>STOCK</stp>
        <stp>39000.T</stp>
        <stp>売買代金</stp>
        <tr r="W384" s="7"/>
      </tp>
      <tp t="s">
        <v>表示銘柄数超過</v>
        <stp/>
        <stp>Market</stp>
        <stp>STOCK</stp>
        <stp>39030.T</stp>
        <stp>売買代金</stp>
        <tr r="W386" s="7"/>
      </tp>
      <tp t="s">
        <v>表示銘柄数超過</v>
        <stp/>
        <stp>Market</stp>
        <stp>STOCK</stp>
        <stp>39020.T</stp>
        <stp>売買代金</stp>
        <tr r="W385" s="7"/>
      </tp>
      <tp t="s">
        <v>表示銘柄数超過</v>
        <stp/>
        <stp>Market</stp>
        <stp>STOCK</stp>
        <stp>49020.T</stp>
        <stp>売買代金</stp>
        <tr r="W551" s="7"/>
      </tp>
      <tp>
        <v>51020827</v>
        <stp/>
        <stp>Market</stp>
        <stp>STOCK</stp>
        <stp>69020.T</stp>
        <stp>売買代金</stp>
        <tr r="W784" s="7"/>
      </tp>
      <tp t="s">
        <v>表示銘柄数超過</v>
        <stp/>
        <stp>Market</stp>
        <stp>STOCK</stp>
        <stp>41700.T</stp>
        <stp>出来高</stp>
        <tr r="V420" s="7"/>
      </tp>
      <tp t="s">
        <v>表示銘柄数超過</v>
        <stp/>
        <stp>Market</stp>
        <stp>STOCK</stp>
        <stp>41760.T</stp>
        <stp>出来高</stp>
        <tr r="V421" s="7"/>
      </tp>
      <tp t="s">
        <v>表示銘柄数超過</v>
        <stp/>
        <stp>Market</stp>
        <stp>STOCK</stp>
        <stp>41670.T</stp>
        <stp>出来高</stp>
        <tr r="V418" s="7"/>
      </tp>
      <tp t="s">
        <v>表示銘柄数超過</v>
        <stp/>
        <stp>Market</stp>
        <stp>STOCK</stp>
        <stp>41650.T</stp>
        <stp>出来高</stp>
        <tr r="V417" s="7"/>
      </tp>
      <tp t="s">
        <v>表示銘柄数超過</v>
        <stp/>
        <stp>Market</stp>
        <stp>STOCK</stp>
        <stp>41690.T</stp>
        <stp>出来高</stp>
        <tr r="V419" s="7"/>
      </tp>
      <tp t="s">
        <v>表示銘柄数超過</v>
        <stp/>
        <stp>Market</stp>
        <stp>STOCK</stp>
        <stp>41920.T</stp>
        <stp>出来高</stp>
        <tr r="V424" s="7"/>
      </tp>
      <tp t="s">
        <v>表示銘柄数超過</v>
        <stp/>
        <stp>Market</stp>
        <stp>STOCK</stp>
        <stp>41850.T</stp>
        <stp>出来高</stp>
        <tr r="V422" s="7"/>
      </tp>
      <tp t="s">
        <v>表示銘柄数超過</v>
        <stp/>
        <stp>Market</stp>
        <stp>STOCK</stp>
        <stp>41880.T</stp>
        <stp>出来高</stp>
        <tr r="V423" s="7"/>
      </tp>
      <tp t="s">
        <v>表示銘柄数超過</v>
        <stp/>
        <stp>Market</stp>
        <stp>STOCK</stp>
        <stp>40590.T</stp>
        <stp>出来高</stp>
        <tr r="V414" s="7"/>
      </tp>
      <tp t="s">
        <v>表示銘柄数超過</v>
        <stp/>
        <stp>Market</stp>
        <stp>STOCK</stp>
        <stp>40750.T</stp>
        <stp>出来高</stp>
        <tr r="V416" s="7"/>
      </tp>
      <tp t="s">
        <v>表示銘柄数超過</v>
        <stp/>
        <stp>Market</stp>
        <stp>STOCK</stp>
        <stp>40630.T</stp>
        <stp>出来高</stp>
        <tr r="V415" s="7"/>
      </tp>
      <tp t="s">
        <v>表示銘柄数超過</v>
        <stp/>
        <stp>Market</stp>
        <stp>STOCK</stp>
        <stp>40110.T</stp>
        <stp>出来高</stp>
        <tr r="V411" s="7"/>
      </tp>
      <tp t="s">
        <v>表示銘柄数超過</v>
        <stp/>
        <stp>Market</stp>
        <stp>STOCK</stp>
        <stp>40160.T</stp>
        <stp>出来高</stp>
        <tr r="V412" s="7"/>
      </tp>
      <tp t="s">
        <v>表示銘柄数超過</v>
        <stp/>
        <stp>Market</stp>
        <stp>STOCK</stp>
        <stp>40040.T</stp>
        <stp>出来高</stp>
        <tr r="V410" s="7"/>
      </tp>
      <tp t="s">
        <v>表示銘柄数超過</v>
        <stp/>
        <stp>Market</stp>
        <stp>STOCK</stp>
        <stp>40270.T</stp>
        <stp>出来高</stp>
        <tr r="V413" s="7"/>
      </tp>
      <tp t="s">
        <v>表示銘柄数超過</v>
        <stp/>
        <stp>Market</stp>
        <stp>STOCK</stp>
        <stp>43500.T</stp>
        <stp>出来高</stp>
        <tr r="V447" s="7"/>
      </tp>
      <tp t="s">
        <v>表示銘柄数超過</v>
        <stp/>
        <stp>Market</stp>
        <stp>STOCK</stp>
        <stp>43550.T</stp>
        <stp>出来高</stp>
        <tr r="V448" s="7"/>
      </tp>
      <tp t="s">
        <v>表示銘柄数超過</v>
        <stp/>
        <stp>Market</stp>
        <stp>STOCK</stp>
        <stp>43430.T</stp>
        <stp>出来高</stp>
        <tr r="V445" s="7"/>
      </tp>
      <tp t="s">
        <v>表示銘柄数超過</v>
        <stp/>
        <stp>Market</stp>
        <stp>STOCK</stp>
        <stp>43460.T</stp>
        <stp>出来高</stp>
        <tr r="V446" s="7"/>
      </tp>
      <tp t="s">
        <v>表示銘柄数超過</v>
        <stp/>
        <stp>Market</stp>
        <stp>STOCK</stp>
        <stp>43730.T</stp>
        <stp>出来高</stp>
        <tr r="V450" s="7"/>
      </tp>
      <tp t="s">
        <v>表示銘柄数超過</v>
        <stp/>
        <stp>Market</stp>
        <stp>STOCK</stp>
        <stp>43700.T</stp>
        <stp>出来高</stp>
        <tr r="V449" s="7"/>
      </tp>
      <tp t="s">
        <v>表示銘柄数超過</v>
        <stp/>
        <stp>Market</stp>
        <stp>STOCK</stp>
        <stp>43760.T</stp>
        <stp>出来高</stp>
        <tr r="V452" s="7"/>
      </tp>
      <tp t="s">
        <v>表示銘柄数超過</v>
        <stp/>
        <stp>Market</stp>
        <stp>STOCK</stp>
        <stp>43740.T</stp>
        <stp>出来高</stp>
        <tr r="V451" s="7"/>
      </tp>
      <tp t="s">
        <v>表示銘柄数超過</v>
        <stp/>
        <stp>Market</stp>
        <stp>STOCK</stp>
        <stp>43780.T</stp>
        <stp>出来高</stp>
        <tr r="V453" s="7"/>
      </tp>
      <tp t="s">
        <v>表示銘柄数超過</v>
        <stp/>
        <stp>Market</stp>
        <stp>STOCK</stp>
        <stp>43790.T</stp>
        <stp>出来高</stp>
        <tr r="V454" s="7"/>
      </tp>
      <tp t="s">
        <v>表示銘柄数超過</v>
        <stp/>
        <stp>Market</stp>
        <stp>STOCK</stp>
        <stp>43160.T</stp>
        <stp>出来高</stp>
        <tr r="V442" s="7"/>
      </tp>
      <tp t="s">
        <v>表示銘柄数超過</v>
        <stp/>
        <stp>Market</stp>
        <stp>STOCK</stp>
        <stp>43040.T</stp>
        <stp>出来高</stp>
        <tr r="V440" s="7"/>
      </tp>
      <tp t="s">
        <v>表示銘柄数超過</v>
        <stp/>
        <stp>Market</stp>
        <stp>STOCK</stp>
        <stp>43080.T</stp>
        <stp>出来高</stp>
        <tr r="V441" s="7"/>
      </tp>
      <tp t="s">
        <v>表示銘柄数超過</v>
        <stp/>
        <stp>Market</stp>
        <stp>STOCK</stp>
        <stp>43370.T</stp>
        <stp>出来高</stp>
        <tr r="V444" s="7"/>
      </tp>
      <tp t="s">
        <v>表示銘柄数超過</v>
        <stp/>
        <stp>Market</stp>
        <stp>STOCK</stp>
        <stp>43240.T</stp>
        <stp>出来高</stp>
        <tr r="V443" s="7"/>
      </tp>
      <tp t="s">
        <v>表示銘柄数超過</v>
        <stp/>
        <stp>Market</stp>
        <stp>STOCK</stp>
        <stp>43950.T</stp>
        <stp>出来高</stp>
        <tr r="V458" s="7"/>
      </tp>
      <tp t="s">
        <v>表示銘柄数超過</v>
        <stp/>
        <stp>Market</stp>
        <stp>STOCK</stp>
        <stp>43820.T</stp>
        <stp>出来高</stp>
        <tr r="V455" s="7"/>
      </tp>
      <tp t="s">
        <v>表示銘柄数超過</v>
        <stp/>
        <stp>Market</stp>
        <stp>STOCK</stp>
        <stp>43850.T</stp>
        <stp>出来高</stp>
        <tr r="V456" s="7"/>
      </tp>
      <tp t="s">
        <v>表示銘柄数超過</v>
        <stp/>
        <stp>Market</stp>
        <stp>STOCK</stp>
        <stp>43880.T</stp>
        <stp>出来高</stp>
        <tr r="V457" s="7"/>
      </tp>
      <tp t="s">
        <v>表示銘柄数超過</v>
        <stp/>
        <stp>Market</stp>
        <stp>STOCK</stp>
        <stp>42580.T</stp>
        <stp>出来高</stp>
        <tr r="V431" s="7"/>
      </tp>
      <tp t="s">
        <v>表示銘柄数超過</v>
        <stp/>
        <stp>Market</stp>
        <stp>STOCK</stp>
        <stp>42590.T</stp>
        <stp>出来高</stp>
        <tr r="V432" s="7"/>
      </tp>
      <tp t="s">
        <v>表示銘柄数超過</v>
        <stp/>
        <stp>Market</stp>
        <stp>STOCK</stp>
        <stp>42430.T</stp>
        <stp>出来高</stp>
        <tr r="V430" s="7"/>
      </tp>
      <tp t="s">
        <v>表示銘柄数超過</v>
        <stp/>
        <stp>Market</stp>
        <stp>STOCK</stp>
        <stp>42410.T</stp>
        <stp>出来高</stp>
        <tr r="V429" s="7"/>
      </tp>
      <tp t="s">
        <v>表示銘柄数超過</v>
        <stp/>
        <stp>Market</stp>
        <stp>STOCK</stp>
        <stp>42740.T</stp>
        <stp>出来高</stp>
        <tr r="V435" s="7"/>
      </tp>
      <tp t="s">
        <v>表示銘柄数超過</v>
        <stp/>
        <stp>Market</stp>
        <stp>STOCK</stp>
        <stp>42750.T</stp>
        <stp>出来高</stp>
        <tr r="V436" s="7"/>
      </tp>
      <tp t="s">
        <v>表示銘柄数超過</v>
        <stp/>
        <stp>Market</stp>
        <stp>STOCK</stp>
        <stp>42640.T</stp>
        <stp>出来高</stp>
        <tr r="V433" s="7"/>
      </tp>
      <tp t="s">
        <v>表示銘柄数超過</v>
        <stp/>
        <stp>Market</stp>
        <stp>STOCK</stp>
        <stp>42680.T</stp>
        <stp>出来高</stp>
        <tr r="V434" s="7"/>
      </tp>
      <tp t="s">
        <v>表示銘柄数超過</v>
        <stp/>
        <stp>Market</stp>
        <stp>STOCK</stp>
        <stp>42020.T</stp>
        <stp>出来高</stp>
        <tr r="V426" s="7"/>
      </tp>
      <tp t="s">
        <v>表示銘柄数超過</v>
        <stp/>
        <stp>Market</stp>
        <stp>STOCK</stp>
        <stp>42000.T</stp>
        <stp>出来高</stp>
        <tr r="V425" s="7"/>
      </tp>
      <tp t="s">
        <v>表示銘柄数超過</v>
        <stp/>
        <stp>Market</stp>
        <stp>STOCK</stp>
        <stp>42370.T</stp>
        <stp>出来高</stp>
        <tr r="V427" s="7"/>
      </tp>
      <tp t="s">
        <v>表示銘柄数超過</v>
        <stp/>
        <stp>Market</stp>
        <stp>STOCK</stp>
        <stp>42380.T</stp>
        <stp>出来高</stp>
        <tr r="V428" s="7"/>
      </tp>
      <tp t="s">
        <v>表示銘柄数超過</v>
        <stp/>
        <stp>Market</stp>
        <stp>STOCK</stp>
        <stp>42930.T</stp>
        <stp>出来高</stp>
        <tr r="V439" s="7"/>
      </tp>
      <tp t="s">
        <v>表示銘柄数超過</v>
        <stp/>
        <stp>Market</stp>
        <stp>STOCK</stp>
        <stp>42860.T</stp>
        <stp>出来高</stp>
        <tr r="V437" s="7"/>
      </tp>
      <tp t="s">
        <v>表示銘柄数超過</v>
        <stp/>
        <stp>Market</stp>
        <stp>STOCK</stp>
        <stp>42870.T</stp>
        <stp>出来高</stp>
        <tr r="V438" s="7"/>
      </tp>
      <tp t="s">
        <v>表示銘柄数超過</v>
        <stp/>
        <stp>Market</stp>
        <stp>STOCK</stp>
        <stp>45540.T</stp>
        <stp>出来高</stp>
        <tr r="V484" s="7"/>
      </tp>
      <tp t="s">
        <v>表示銘柄数超過</v>
        <stp/>
        <stp>Market</stp>
        <stp>STOCK</stp>
        <stp>45580.T</stp>
        <stp>出来高</stp>
        <tr r="V485" s="7"/>
      </tp>
      <tp t="s">
        <v>表示銘柄数超過</v>
        <stp/>
        <stp>Market</stp>
        <stp>STOCK</stp>
        <stp>45720.T</stp>
        <stp>出来高</stp>
        <tr r="V492" s="7"/>
      </tp>
      <tp t="s">
        <v>表示銘柄数超過</v>
        <stp/>
        <stp>Market</stp>
        <stp>STOCK</stp>
        <stp>45700.T</stp>
        <stp>出来高</stp>
        <tr r="V490" s="7"/>
      </tp>
      <tp t="s">
        <v>表示銘柄数超過</v>
        <stp/>
        <stp>Market</stp>
        <stp>STOCK</stp>
        <stp>45710.T</stp>
        <stp>出来高</stp>
        <tr r="V491" s="7"/>
      </tp>
      <tp t="s">
        <v>表示銘柄数超過</v>
        <stp/>
        <stp>Market</stp>
        <stp>STOCK</stp>
        <stp>45760.T</stp>
        <stp>出来高</stp>
        <tr r="V495" s="7"/>
      </tp>
      <tp t="s">
        <v>表示銘柄数超過</v>
        <stp/>
        <stp>Market</stp>
        <stp>STOCK</stp>
        <stp>45740.T</stp>
        <stp>出来高</stp>
        <tr r="V493" s="7"/>
      </tp>
      <tp t="s">
        <v>表示銘柄数超過</v>
        <stp/>
        <stp>Market</stp>
        <stp>STOCK</stp>
        <stp>45750.T</stp>
        <stp>出来高</stp>
        <tr r="V494" s="7"/>
      </tp>
      <tp t="s">
        <v>表示銘柄数超過</v>
        <stp/>
        <stp>Market</stp>
        <stp>STOCK</stp>
        <stp>45780.T</stp>
        <stp>出来高</stp>
        <tr r="V496" s="7"/>
      </tp>
      <tp t="s">
        <v>表示銘柄数超過</v>
        <stp/>
        <stp>Market</stp>
        <stp>STOCK</stp>
        <stp>45630.T</stp>
        <stp>出来高</stp>
        <tr r="V486" s="7"/>
      </tp>
      <tp t="s">
        <v>表示銘柄数超過</v>
        <stp/>
        <stp>Market</stp>
        <stp>STOCK</stp>
        <stp>45640.T</stp>
        <stp>出来高</stp>
        <tr r="V487" s="7"/>
      </tp>
      <tp t="s">
        <v>表示銘柄数超過</v>
        <stp/>
        <stp>Market</stp>
        <stp>STOCK</stp>
        <stp>45650.T</stp>
        <stp>出来高</stp>
        <tr r="V488" s="7"/>
      </tp>
      <tp t="s">
        <v>表示銘柄数超過</v>
        <stp/>
        <stp>Market</stp>
        <stp>STOCK</stp>
        <stp>45680.T</stp>
        <stp>出来高</stp>
        <tr r="V489" s="7"/>
      </tp>
      <tp t="s">
        <v>表示銘柄数超過</v>
        <stp/>
        <stp>Market</stp>
        <stp>STOCK</stp>
        <stp>45030.T</stp>
        <stp>出来高</stp>
        <tr r="V479" s="7"/>
      </tp>
      <tp>
        <v>5676800</v>
        <stp/>
        <stp>Market</stp>
        <stp>STOCK</stp>
        <stp>45060.T</stp>
        <stp>出来高</stp>
        <tr r="V480" s="7"/>
      </tp>
      <tp t="s">
        <v>表示銘柄数超過</v>
        <stp/>
        <stp>Market</stp>
        <stp>STOCK</stp>
        <stp>45070.T</stp>
        <stp>出来高</stp>
        <tr r="V481" s="7"/>
      </tp>
      <tp t="s">
        <v>表示銘柄数超過</v>
        <stp/>
        <stp>Market</stp>
        <stp>STOCK</stp>
        <stp>45310.T</stp>
        <stp>出来高</stp>
        <tr r="V483" s="7"/>
      </tp>
      <tp t="s">
        <v>表示銘柄数超過</v>
        <stp/>
        <stp>Market</stp>
        <stp>STOCK</stp>
        <stp>45230.T</stp>
        <stp>出来高</stp>
        <tr r="V482" s="7"/>
      </tp>
      <tp t="s">
        <v>表示銘柄数超過</v>
        <stp/>
        <stp>Market</stp>
        <stp>STOCK</stp>
        <stp>45920.T</stp>
        <stp>出来高</stp>
        <tr r="V503" s="7"/>
      </tp>
      <tp t="s">
        <v>表示銘柄数超過</v>
        <stp/>
        <stp>Market</stp>
        <stp>STOCK</stp>
        <stp>45930.T</stp>
        <stp>出来高</stp>
        <tr r="V504" s="7"/>
      </tp>
      <tp t="s">
        <v>表示銘柄数超過</v>
        <stp/>
        <stp>Market</stp>
        <stp>STOCK</stp>
        <stp>45910.T</stp>
        <stp>出来高</stp>
        <tr r="V502" s="7"/>
      </tp>
      <tp t="s">
        <v>表示銘柄数超過</v>
        <stp/>
        <stp>Market</stp>
        <stp>STOCK</stp>
        <stp>45960.T</stp>
        <stp>出来高</stp>
        <tr r="V506" s="7"/>
      </tp>
      <tp t="s">
        <v>表示銘柄数超過</v>
        <stp/>
        <stp>Market</stp>
        <stp>STOCK</stp>
        <stp>45970.T</stp>
        <stp>出来高</stp>
        <tr r="V507" s="7"/>
      </tp>
      <tp t="s">
        <v>表示銘柄数超過</v>
        <stp/>
        <stp>Market</stp>
        <stp>STOCK</stp>
        <stp>45940.T</stp>
        <stp>出来高</stp>
        <tr r="V505" s="7"/>
      </tp>
      <tp t="s">
        <v>表示銘柄数超過</v>
        <stp/>
        <stp>Market</stp>
        <stp>STOCK</stp>
        <stp>45820.T</stp>
        <stp>出来高</stp>
        <tr r="V497" s="7"/>
      </tp>
      <tp t="s">
        <v>表示銘柄数超過</v>
        <stp/>
        <stp>Market</stp>
        <stp>STOCK</stp>
        <stp>45830.T</stp>
        <stp>出来高</stp>
        <tr r="V498" s="7"/>
      </tp>
      <tp t="s">
        <v>表示銘柄数超過</v>
        <stp/>
        <stp>Market</stp>
        <stp>STOCK</stp>
        <stp>45860.T</stp>
        <stp>出来高</stp>
        <tr r="V500" s="7"/>
      </tp>
      <tp t="s">
        <v>表示銘柄数超過</v>
        <stp/>
        <stp>Market</stp>
        <stp>STOCK</stp>
        <stp>45840.T</stp>
        <stp>出来高</stp>
        <tr r="V499" s="7"/>
      </tp>
      <tp t="s">
        <v>表示銘柄数超過</v>
        <stp/>
        <stp>Market</stp>
        <stp>STOCK</stp>
        <stp>45880.T</stp>
        <stp>出来高</stp>
        <tr r="V501" s="7"/>
      </tp>
      <tp t="s">
        <v>表示銘柄数超過</v>
        <stp/>
        <stp>Market</stp>
        <stp>STOCK</stp>
        <stp>44520.T</stp>
        <stp>出来高</stp>
        <tr r="V469" s="7"/>
      </tp>
      <tp t="s">
        <v>表示銘柄数超過</v>
        <stp/>
        <stp>Market</stp>
        <stp>STOCK</stp>
        <stp>44410.T</stp>
        <stp>出来高</stp>
        <tr r="V466" s="7"/>
      </tp>
      <tp t="s">
        <v>表示銘柄数超過</v>
        <stp/>
        <stp>Market</stp>
        <stp>STOCK</stp>
        <stp>44440.T</stp>
        <stp>出来高</stp>
        <tr r="V467" s="7"/>
      </tp>
      <tp t="s">
        <v>表示銘柄数超過</v>
        <stp/>
        <stp>Market</stp>
        <stp>STOCK</stp>
        <stp>44480.T</stp>
        <stp>出来高</stp>
        <tr r="V468" s="7"/>
      </tp>
      <tp t="s">
        <v>表示銘柄数超過</v>
        <stp/>
        <stp>Market</stp>
        <stp>STOCK</stp>
        <stp>44760.T</stp>
        <stp>出来高</stp>
        <tr r="V472" s="7"/>
      </tp>
      <tp t="s">
        <v>表示銘柄数超過</v>
        <stp/>
        <stp>Market</stp>
        <stp>STOCK</stp>
        <stp>44770.T</stp>
        <stp>出来高</stp>
        <tr r="V473" s="7"/>
      </tp>
      <tp t="s">
        <v>表示銘柄数超過</v>
        <stp/>
        <stp>Market</stp>
        <stp>STOCK</stp>
        <stp>44750.T</stp>
        <stp>出来高</stp>
        <tr r="V471" s="7"/>
      </tp>
      <tp t="s">
        <v>表示銘柄数超過</v>
        <stp/>
        <stp>Market</stp>
        <stp>STOCK</stp>
        <stp>44790.T</stp>
        <stp>出来高</stp>
        <tr r="V474" s="7"/>
      </tp>
      <tp t="s">
        <v>表示銘柄数超過</v>
        <stp/>
        <stp>Market</stp>
        <stp>STOCK</stp>
        <stp>44160.T</stp>
        <stp>出来高</stp>
        <tr r="V461" s="7"/>
      </tp>
      <tp t="s">
        <v>表示銘柄数超過</v>
        <stp/>
        <stp>Market</stp>
        <stp>STOCK</stp>
        <stp>44140.T</stp>
        <stp>出来高</stp>
        <tr r="V460" s="7"/>
      </tp>
      <tp t="s">
        <v>表示銘柄数超過</v>
        <stp/>
        <stp>Market</stp>
        <stp>STOCK</stp>
        <stp>44190.T</stp>
        <stp>出来高</stp>
        <tr r="V462" s="7"/>
      </tp>
      <tp t="s">
        <v>表示銘柄数超過</v>
        <stp/>
        <stp>Market</stp>
        <stp>STOCK</stp>
        <stp>44060.T</stp>
        <stp>出来高</stp>
        <tr r="V459" s="7"/>
      </tp>
      <tp t="s">
        <v>表示銘柄数超過</v>
        <stp/>
        <stp>Market</stp>
        <stp>STOCK</stp>
        <stp>44360.T</stp>
        <stp>出来高</stp>
        <tr r="V464" s="7"/>
      </tp>
      <tp t="s">
        <v>表示銘柄数超過</v>
        <stp/>
        <stp>Market</stp>
        <stp>STOCK</stp>
        <stp>44380.T</stp>
        <stp>出来高</stp>
        <tr r="V465" s="7"/>
      </tp>
      <tp t="s">
        <v>表示銘柄数超過</v>
        <stp/>
        <stp>Market</stp>
        <stp>STOCK</stp>
        <stp>44270.T</stp>
        <stp>出来高</stp>
        <tr r="V463" s="7"/>
      </tp>
      <tp t="s">
        <v>表示銘柄数超過</v>
        <stp/>
        <stp>Market</stp>
        <stp>STOCK</stp>
        <stp>44920.T</stp>
        <stp>出来高</stp>
        <tr r="V477" s="7"/>
      </tp>
      <tp t="s">
        <v>表示銘柄数超過</v>
        <stp/>
        <stp>Market</stp>
        <stp>STOCK</stp>
        <stp>44950.T</stp>
        <stp>出来高</stp>
        <tr r="V478" s="7"/>
      </tp>
      <tp t="s">
        <v>表示銘柄数超過</v>
        <stp/>
        <stp>Market</stp>
        <stp>STOCK</stp>
        <stp>44870.T</stp>
        <stp>出来高</stp>
        <tr r="V476" s="7"/>
      </tp>
      <tp t="s">
        <v>表示銘柄数超過</v>
        <stp/>
        <stp>Market</stp>
        <stp>STOCK</stp>
        <stp>44840.T</stp>
        <stp>出来高</stp>
        <tr r="V475" s="7"/>
      </tp>
      <tp t="s">
        <v>表示銘柄数超過</v>
        <stp/>
        <stp>Market</stp>
        <stp>STOCK</stp>
        <stp>47510.T</stp>
        <stp>出来高</stp>
        <tr r="V528" s="7"/>
      </tp>
      <tp t="s">
        <v>表示銘柄数超過</v>
        <stp/>
        <stp>Market</stp>
        <stp>STOCK</stp>
        <stp>47550.T</stp>
        <stp>出来高</stp>
        <tr r="V529" s="7"/>
      </tp>
      <tp t="s">
        <v>表示銘柄数超過</v>
        <stp/>
        <stp>Market</stp>
        <stp>STOCK</stp>
        <stp>47700.T</stp>
        <stp>出来高</stp>
        <tr r="V532" s="7"/>
      </tp>
      <tp t="s">
        <v>表示銘柄数超過</v>
        <stp/>
        <stp>Market</stp>
        <stp>STOCK</stp>
        <stp>47760.T</stp>
        <stp>出来高</stp>
        <tr r="V533" s="7"/>
      </tp>
      <tp t="s">
        <v>表示銘柄数超過</v>
        <stp/>
        <stp>Market</stp>
        <stp>STOCK</stp>
        <stp>47770.T</stp>
        <stp>出来高</stp>
        <tr r="V534" s="7"/>
      </tp>
      <tp t="s">
        <v>表示銘柄数超過</v>
        <stp/>
        <stp>Market</stp>
        <stp>STOCK</stp>
        <stp>47660.T</stp>
        <stp>出来高</stp>
        <tr r="V530" s="7"/>
      </tp>
      <tp t="s">
        <v>表示銘柄数超過</v>
        <stp/>
        <stp>Market</stp>
        <stp>STOCK</stp>
        <stp>47670.T</stp>
        <stp>出来高</stp>
        <tr r="V531" s="7"/>
      </tp>
      <tp t="s">
        <v>表示銘柄数超過</v>
        <stp/>
        <stp>Market</stp>
        <stp>STOCK</stp>
        <stp>47160.T</stp>
        <stp>出来高</stp>
        <tr r="V525" s="7"/>
      </tp>
      <tp t="s">
        <v>表示銘柄数超過</v>
        <stp/>
        <stp>Market</stp>
        <stp>STOCK</stp>
        <stp>47140.T</stp>
        <stp>出来高</stp>
        <tr r="V524" s="7"/>
      </tp>
      <tp t="s">
        <v>表示銘柄数超過</v>
        <stp/>
        <stp>Market</stp>
        <stp>STOCK</stp>
        <stp>47070.T</stp>
        <stp>出来高</stp>
        <tr r="V523" s="7"/>
      </tp>
      <tp t="s">
        <v>表示銘柄数超過</v>
        <stp/>
        <stp>Market</stp>
        <stp>STOCK</stp>
        <stp>47050.T</stp>
        <stp>出来高</stp>
        <tr r="V522" s="7"/>
      </tp>
      <tp t="s">
        <v>表示銘柄数超過</v>
        <stp/>
        <stp>Market</stp>
        <stp>STOCK</stp>
        <stp>47200.T</stp>
        <stp>出来高</stp>
        <tr r="V526" s="7"/>
      </tp>
      <tp t="s">
        <v>表示銘柄数超過</v>
        <stp/>
        <stp>Market</stp>
        <stp>STOCK</stp>
        <stp>47260.T</stp>
        <stp>出来高</stp>
        <tr r="V527" s="7"/>
      </tp>
      <tp t="s">
        <v>表示銘柄数超過</v>
        <stp/>
        <stp>Market</stp>
        <stp>STOCK</stp>
        <stp>47840.T</stp>
        <stp>出来高</stp>
        <tr r="V535" s="7"/>
      </tp>
      <tp t="s">
        <v>表示銘柄数超過</v>
        <stp/>
        <stp>Market</stp>
        <stp>STOCK</stp>
        <stp>46510.T</stp>
        <stp>出来高</stp>
        <tr r="V513" s="7"/>
      </tp>
      <tp t="s">
        <v>表示銘柄数超過</v>
        <stp/>
        <stp>Market</stp>
        <stp>STOCK</stp>
        <stp>46570.T</stp>
        <stp>出来高</stp>
        <tr r="V514" s="7"/>
      </tp>
      <tp t="s">
        <v>表示銘柄数超過</v>
        <stp/>
        <stp>Market</stp>
        <stp>STOCK</stp>
        <stp>46760.T</stp>
        <stp>出来高</stp>
        <tr r="V518" s="7"/>
      </tp>
      <tp t="s">
        <v>表示銘柄数超過</v>
        <stp/>
        <stp>Market</stp>
        <stp>STOCK</stp>
        <stp>46670.T</stp>
        <stp>出来高</stp>
        <tr r="V516" s="7"/>
        <tr r="V517" s="7"/>
      </tp>
      <tp t="s">
        <v>表示銘柄数超過</v>
        <stp/>
        <stp>Market</stp>
        <stp>STOCK</stp>
        <stp>46640.T</stp>
        <stp>出来高</stp>
        <tr r="V515" s="7"/>
      </tp>
      <tp t="s">
        <v>表示銘柄数超過</v>
        <stp/>
        <stp>Market</stp>
        <stp>STOCK</stp>
        <stp>46120.T</stp>
        <stp>出来高</stp>
        <tr r="V509" s="7"/>
      </tp>
      <tp t="s">
        <v>表示銘柄数超過</v>
        <stp/>
        <stp>Market</stp>
        <stp>STOCK</stp>
        <stp>46130.T</stp>
        <stp>出来高</stp>
        <tr r="V510" s="7"/>
      </tp>
      <tp t="s">
        <v>表示銘柄数超過</v>
        <stp/>
        <stp>Market</stp>
        <stp>STOCK</stp>
        <stp>46110.T</stp>
        <stp>出来高</stp>
        <tr r="V508" s="7"/>
      </tp>
      <tp t="s">
        <v>表示銘柄数超過</v>
        <stp/>
        <stp>Market</stp>
        <stp>STOCK</stp>
        <stp>46190.T</stp>
        <stp>出来高</stp>
        <tr r="V511" s="7"/>
      </tp>
      <tp t="s">
        <v>表示銘柄数超過</v>
        <stp/>
        <stp>Market</stp>
        <stp>STOCK</stp>
        <stp>46310.T</stp>
        <stp>出来高</stp>
        <tr r="V470" s="7"/>
      </tp>
      <tp t="s">
        <v>表示銘柄数超過</v>
        <stp/>
        <stp>Market</stp>
        <stp>STOCK</stp>
        <stp>46200.T</stp>
        <stp>出来高</stp>
        <tr r="V512" s="7"/>
      </tp>
      <tp t="s">
        <v>表示銘柄数超過</v>
        <stp/>
        <stp>Market</stp>
        <stp>STOCK</stp>
        <stp>46900.T</stp>
        <stp>出来高</stp>
        <tr r="V521" s="7"/>
      </tp>
      <tp t="s">
        <v>表示銘柄数超過</v>
        <stp/>
        <stp>Market</stp>
        <stp>STOCK</stp>
        <stp>46800.T</stp>
        <stp>出来高</stp>
        <tr r="V519" s="7"/>
      </tp>
      <tp>
        <v>53086700</v>
        <stp/>
        <stp>Market</stp>
        <stp>STOCK</stp>
        <stp>46890.T</stp>
        <stp>出来高</stp>
        <tr r="V520" s="7"/>
      </tp>
      <tp t="s">
        <v>表示銘柄数超過</v>
        <stp/>
        <stp>Market</stp>
        <stp>STOCK</stp>
        <stp>49780.T</stp>
        <stp>出来高</stp>
        <tr r="V556" s="7"/>
      </tp>
      <tp t="s">
        <v>表示銘柄数超過</v>
        <stp/>
        <stp>Market</stp>
        <stp>STOCK</stp>
        <stp>49630.T</stp>
        <stp>出来高</stp>
        <tr r="V555" s="7"/>
      </tp>
      <tp t="s">
        <v>表示銘柄数超過</v>
        <stp/>
        <stp>Market</stp>
        <stp>STOCK</stp>
        <stp>49600.T</stp>
        <stp>出来高</stp>
        <tr r="V554" s="7"/>
      </tp>
      <tp t="s">
        <v>表示銘柄数超過</v>
        <stp/>
        <stp>Market</stp>
        <stp>STOCK</stp>
        <stp>49120.T</stp>
        <stp>出来高</stp>
        <tr r="V552" s="7"/>
      </tp>
      <tp t="s">
        <v>表示銘柄数超過</v>
        <stp/>
        <stp>Market</stp>
        <stp>STOCK</stp>
        <stp>49020.T</stp>
        <stp>出来高</stp>
        <tr r="V551" s="7"/>
      </tp>
      <tp t="s">
        <v>表示銘柄数超過</v>
        <stp/>
        <stp>Market</stp>
        <stp>STOCK</stp>
        <stp>49200.T</stp>
        <stp>出来高</stp>
        <tr r="V553" s="7"/>
      </tp>
      <tp>
        <v>127700</v>
        <stp/>
        <stp>Market</stp>
        <stp>STOCK</stp>
        <stp>49970.T</stp>
        <stp>出来高</stp>
        <tr r="V557" s="7"/>
      </tp>
      <tp t="s">
        <v>表示銘柄数超過</v>
        <stp/>
        <stp>Market</stp>
        <stp>STOCK</stp>
        <stp>48470.T</stp>
        <stp>出来高</stp>
        <tr r="V544" s="7"/>
      </tp>
      <tp t="s">
        <v>表示銘柄数超過</v>
        <stp/>
        <stp>Market</stp>
        <stp>STOCK</stp>
        <stp>48140.T</stp>
        <stp>出来高</stp>
        <tr r="V537" s="7"/>
      </tp>
      <tp t="s">
        <v>表示銘柄数超過</v>
        <stp/>
        <stp>Market</stp>
        <stp>STOCK</stp>
        <stp>48000.T</stp>
        <stp>出来高</stp>
        <tr r="V536" s="7"/>
      </tp>
      <tp t="s">
        <v>表示銘柄数超過</v>
        <stp/>
        <stp>Market</stp>
        <stp>STOCK</stp>
        <stp>48330.T</stp>
        <stp>出来高</stp>
        <tr r="V541" s="7"/>
      </tp>
      <tp t="s">
        <v>表示銘柄数超過</v>
        <stp/>
        <stp>Market</stp>
        <stp>STOCK</stp>
        <stp>48370.T</stp>
        <stp>出来高</stp>
        <tr r="V542" s="7"/>
      </tp>
      <tp t="s">
        <v>表示銘柄数超過</v>
        <stp/>
        <stp>Market</stp>
        <stp>STOCK</stp>
        <stp>48380.T</stp>
        <stp>出来高</stp>
        <tr r="V543" s="7"/>
      </tp>
      <tp t="s">
        <v>表示銘柄数超過</v>
        <stp/>
        <stp>Market</stp>
        <stp>STOCK</stp>
        <stp>48200.T</stp>
        <stp>出来高</stp>
        <tr r="V538" s="7"/>
      </tp>
      <tp t="s">
        <v>表示銘柄数超過</v>
        <stp/>
        <stp>Market</stp>
        <stp>STOCK</stp>
        <stp>48240.T</stp>
        <stp>出来高</stp>
        <tr r="V539" s="7"/>
      </tp>
      <tp t="s">
        <v>表示銘柄数超過</v>
        <stp/>
        <stp>Market</stp>
        <stp>STOCK</stp>
        <stp>48290.T</stp>
        <stp>出来高</stp>
        <tr r="V540" s="7"/>
      </tp>
      <tp t="s">
        <v>表示銘柄数超過</v>
        <stp/>
        <stp>Market</stp>
        <stp>STOCK</stp>
        <stp>48920.T</stp>
        <stp>出来高</stp>
        <tr r="V550" s="7"/>
      </tp>
      <tp t="s">
        <v>表示銘柄数超過</v>
        <stp/>
        <stp>Market</stp>
        <stp>STOCK</stp>
        <stp>48900.T</stp>
        <stp>出来高</stp>
        <tr r="V548" s="7"/>
      </tp>
      <tp t="s">
        <v>表示銘柄数超過</v>
        <stp/>
        <stp>Market</stp>
        <stp>STOCK</stp>
        <stp>48910.T</stp>
        <stp>出来高</stp>
        <tr r="V549" s="7"/>
      </tp>
      <tp t="s">
        <v>表示銘柄数超過</v>
        <stp/>
        <stp>Market</stp>
        <stp>STOCK</stp>
        <stp>48830.T</stp>
        <stp>出来高</stp>
        <tr r="V546" s="7"/>
      </tp>
      <tp t="s">
        <v>表示銘柄数超過</v>
        <stp/>
        <stp>Market</stp>
        <stp>STOCK</stp>
        <stp>48810.T</stp>
        <stp>出来高</stp>
        <tr r="V545" s="7"/>
      </tp>
      <tp t="s">
        <v>表示銘柄数超過</v>
        <stp/>
        <stp>Market</stp>
        <stp>STOCK</stp>
        <stp>48890.T</stp>
        <stp>出来高</stp>
        <tr r="V547" s="7"/>
      </tp>
      <tp t="s">
        <v>表示銘柄数超過</v>
        <stp/>
        <stp>Market</stp>
        <stp>STOCK</stp>
        <stp>98760.T</stp>
        <stp>高値</stp>
        <tr r="N1175" s="7"/>
      </tp>
      <tp t="s">
        <v>表示銘柄数超過</v>
        <stp/>
        <stp>Market</stp>
        <stp>STOCK</stp>
        <stp>99460.T</stp>
        <stp>高値</stp>
        <tr r="N1184" s="7"/>
      </tp>
      <tp t="s">
        <v>表示銘柄数超過</v>
        <stp/>
        <stp>Market</stp>
        <stp>STOCK</stp>
        <stp>90060.T</stp>
        <stp>高値</stp>
        <tr r="N1076" s="7"/>
      </tp>
      <tp t="s">
        <v>表示銘柄数超過</v>
        <stp/>
        <stp>Market</stp>
        <stp>STOCK</stp>
        <stp>96560.T</stp>
        <stp>高値</stp>
        <tr r="N1161" s="7"/>
      </tp>
      <tp t="s">
        <v>表示銘柄数超過</v>
        <stp/>
        <stp>Market</stp>
        <stp>STOCK</stp>
        <stp>94760.T</stp>
        <stp>高値</stp>
        <tr r="N1138" s="7"/>
      </tp>
      <tp t="s">
        <v>表示銘柄数超過</v>
        <stp/>
        <stp>Market</stp>
        <stp>STOCK</stp>
        <stp>94660.T</stp>
        <stp>高値</stp>
        <tr r="N1134" s="7"/>
      </tp>
      <tp t="s">
        <v>表示銘柄数超過</v>
        <stp/>
        <stp>Market</stp>
        <stp>STOCK</stp>
        <stp>94360.T</stp>
        <stp>高値</stp>
        <tr r="N1130" s="7"/>
      </tp>
      <tp t="s">
        <v>表示銘柄数超過</v>
        <stp/>
        <stp>Market</stp>
        <stp>STOCK</stp>
        <stp>95060.T</stp>
        <stp>高値</stp>
        <tr r="N1145" s="7"/>
      </tp>
      <tp t="s">
        <v>表示銘柄数超過</v>
        <stp/>
        <stp>Market</stp>
        <stp>STOCK</stp>
        <stp>89960.T</stp>
        <stp>高値</stp>
        <tr r="N1072" s="7"/>
      </tp>
      <tp t="s">
        <v>表示銘柄数超過</v>
        <stp/>
        <stp>Market</stp>
        <stp>STOCK</stp>
        <stp>89460.T</stp>
        <stp>高値</stp>
        <tr r="N1071" s="7"/>
      </tp>
      <tp t="s">
        <v/>
        <stp/>
        <stp>Market</stp>
        <stp>STOCK</stp>
        <stp>82560.T</stp>
        <stp>高値</stp>
        <tr r="N1000" s="7"/>
      </tp>
      <tp>
        <v>212</v>
        <stp/>
        <stp>Market</stp>
        <stp>STOCK</stp>
        <stp>82260.T</stp>
        <stp>高値</stp>
        <tr r="N993" s="7"/>
      </tp>
      <tp>
        <v>7692</v>
        <stp/>
        <stp>Market</stp>
        <stp>STOCK</stp>
        <stp>83160.T</stp>
        <stp>高値</stp>
        <tr r="N1003" s="7"/>
      </tp>
      <tp>
        <v>4542</v>
        <stp/>
        <stp>Market</stp>
        <stp>STOCK</stp>
        <stp>80560.T</stp>
        <stp>高値</stp>
        <tr r="N971" s="7"/>
      </tp>
      <tp>
        <v>544</v>
        <stp/>
        <stp>Market</stp>
        <stp>STOCK</stp>
        <stp>80160.T</stp>
        <stp>高値</stp>
        <tr r="N967" s="7"/>
      </tp>
      <tp>
        <v>67</v>
        <stp/>
        <stp>Market</stp>
        <stp>STOCK</stp>
        <stp>81660.T</stp>
        <stp>高値</stp>
        <tr r="N986" s="7"/>
      </tp>
      <tp>
        <v>570</v>
        <stp/>
        <stp>Market</stp>
        <stp>STOCK</stp>
        <stp>86160.T</stp>
        <stp>高値</stp>
        <tr r="N1030" s="7"/>
      </tp>
      <tp>
        <v>101</v>
        <stp/>
        <stp>Market</stp>
        <stp>STOCK</stp>
        <stp>87460.T</stp>
        <stp>高値</stp>
        <tr r="N1043" s="7"/>
      </tp>
      <tp t="s">
        <v>表示銘柄数超過</v>
        <stp/>
        <stp>Market</stp>
        <stp>STOCK</stp>
        <stp>87660.T</stp>
        <stp>高値</stp>
        <tr r="N1045" s="7"/>
      </tp>
      <tp>
        <v>999</v>
        <stp/>
        <stp>Market</stp>
        <stp>STOCK</stp>
        <stp>87060.T</stp>
        <stp>高値</stp>
        <tr r="N1038" s="7"/>
      </tp>
      <tp>
        <v>946</v>
        <stp/>
        <stp>Market</stp>
        <stp>STOCK</stp>
        <stp>84160.T</stp>
        <stp>高値</stp>
        <tr r="N1011" s="7"/>
      </tp>
      <tp>
        <v>1501</v>
        <stp/>
        <stp>Market</stp>
        <stp>STOCK</stp>
        <stp>78560.T</stp>
        <stp>高値</stp>
        <tr r="N947" s="7"/>
      </tp>
      <tp>
        <v>91</v>
        <stp/>
        <stp>Market</stp>
        <stp>STOCK</stp>
        <stp>78360.T</stp>
        <stp>高値</stp>
        <tr r="N943" s="7"/>
      </tp>
      <tp>
        <v>189</v>
        <stp/>
        <stp>Market</stp>
        <stp>STOCK</stp>
        <stp>72560.T</stp>
        <stp>高値</stp>
        <tr r="N862" s="7"/>
      </tp>
      <tp>
        <v>676</v>
        <stp/>
        <stp>Market</stp>
        <stp>STOCK</stp>
        <stp>72460.T</stp>
        <stp>高値</stp>
        <tr r="N859" s="7"/>
      </tp>
      <tp>
        <v>3795</v>
        <stp/>
        <stp>Market</stp>
        <stp>STOCK</stp>
        <stp>72360.T</stp>
        <stp>高値</stp>
        <tr r="N855" s="7"/>
      </tp>
      <tp>
        <v>843</v>
        <stp/>
        <stp>Market</stp>
        <stp>STOCK</stp>
        <stp>71960.T</stp>
        <stp>高値</stp>
        <tr r="N843" s="7"/>
      </tp>
      <tp>
        <v>702</v>
        <stp/>
        <stp>Market</stp>
        <stp>STOCK</stp>
        <stp>71860.T</stp>
        <stp>高値</stp>
        <tr r="N842" s="7"/>
      </tp>
      <tp>
        <v>1419</v>
        <stp/>
        <stp>Market</stp>
        <stp>STOCK</stp>
        <stp>71160.T</stp>
        <stp>高値</stp>
        <tr r="N827" s="7"/>
      </tp>
      <tp>
        <v>725</v>
        <stp/>
        <stp>Market</stp>
        <stp>STOCK</stp>
        <stp>76760.T</stp>
        <stp>高値</stp>
        <tr r="N919" s="7"/>
      </tp>
      <tp>
        <v>247</v>
        <stp/>
        <stp>Market</stp>
        <stp>STOCK</stp>
        <stp>77760.T</stp>
        <stp>高値</stp>
        <tr r="N932" s="7"/>
      </tp>
      <tp>
        <v>3960</v>
        <stp/>
        <stp>Market</stp>
        <stp>STOCK</stp>
        <stp>75160.T</stp>
        <stp>高値</stp>
        <tr r="N899" s="7"/>
      </tp>
      <tp>
        <v>509</v>
        <stp/>
        <stp>Market</stp>
        <stp>STOCK</stp>
        <stp>69860.T</stp>
        <stp>高値</stp>
        <tr r="N800" s="7"/>
      </tp>
      <tp>
        <v>3565</v>
        <stp/>
        <stp>Market</stp>
        <stp>STOCK</stp>
        <stp>69760.T</stp>
        <stp>高値</stp>
        <tr r="N797" s="7"/>
      </tp>
      <tp>
        <v>795</v>
        <stp/>
        <stp>Market</stp>
        <stp>STOCK</stp>
        <stp>62860.T</stp>
        <stp>高値</stp>
        <tr r="N683" s="7"/>
      </tp>
      <tp>
        <v>1175</v>
        <stp/>
        <stp>Market</stp>
        <stp>STOCK</stp>
        <stp>62260.T</stp>
        <stp>高値</stp>
        <tr r="N679" s="7"/>
      </tp>
      <tp>
        <v>681</v>
        <stp/>
        <stp>Market</stp>
        <stp>STOCK</stp>
        <stp>63560.T</stp>
        <stp>高値</stp>
        <tr r="N693" s="7"/>
      </tp>
      <tp>
        <v>366</v>
        <stp/>
        <stp>Market</stp>
        <stp>STOCK</stp>
        <stp>63660.T</stp>
        <stp>高値</stp>
        <tr r="N695" s="7"/>
      </tp>
      <tp>
        <v>705</v>
        <stp/>
        <stp>Market</stp>
        <stp>STOCK</stp>
        <stp>63360.T</stp>
        <stp>高値</stp>
        <tr r="N690" s="7"/>
      </tp>
      <tp>
        <v>926</v>
        <stp/>
        <stp>Market</stp>
        <stp>STOCK</stp>
        <stp>60960.T</stp>
        <stp>高値</stp>
        <tr r="N653" s="7"/>
      </tp>
      <tp>
        <v>176</v>
        <stp/>
        <stp>Market</stp>
        <stp>STOCK</stp>
        <stp>60460.T</stp>
        <stp>高値</stp>
        <tr r="N642" s="7"/>
      </tp>
      <tp>
        <v>626</v>
        <stp/>
        <stp>Market</stp>
        <stp>STOCK</stp>
        <stp>61860.T</stp>
        <stp>高値</stp>
        <tr r="N671" s="7"/>
      </tp>
      <tp>
        <v>43120</v>
        <stp/>
        <stp>Market</stp>
        <stp>STOCK</stp>
        <stp>61460.T</stp>
        <stp>高値</stp>
        <tr r="N659" s="7"/>
      </tp>
      <tp>
        <v>688</v>
        <stp/>
        <stp>Market</stp>
        <stp>STOCK</stp>
        <stp>61760.T</stp>
        <stp>高値</stp>
        <tr r="N664" s="7"/>
      </tp>
      <tp>
        <v>386</v>
        <stp/>
        <stp>Market</stp>
        <stp>STOCK</stp>
        <stp>61660.T</stp>
        <stp>高値</stp>
        <tr r="N661" s="7"/>
      </tp>
      <tp>
        <v>265</v>
        <stp/>
        <stp>Market</stp>
        <stp>STOCK</stp>
        <stp>66960.T</stp>
        <stp>高値</stp>
        <tr r="N753" s="7"/>
      </tp>
      <tp>
        <v>3260</v>
        <stp/>
        <stp>Market</stp>
        <stp>STOCK</stp>
        <stp>66760.T</stp>
        <stp>高値</stp>
        <tr r="N751" s="7"/>
      </tp>
      <tp>
        <v>613</v>
        <stp/>
        <stp>Market</stp>
        <stp>STOCK</stp>
        <stp>66660.T</stp>
        <stp>高値</stp>
        <tr r="N750" s="7"/>
      </tp>
      <tp>
        <v>450</v>
        <stp/>
        <stp>Market</stp>
        <stp>STOCK</stp>
        <stp>67760.T</stp>
        <stp>高値</stp>
        <tr r="N771" s="7"/>
      </tp>
      <tp>
        <v>854</v>
        <stp/>
        <stp>Market</stp>
        <stp>STOCK</stp>
        <stp>65560.T</stp>
        <stp>高値</stp>
        <tr r="N727" s="7"/>
      </tp>
      <tp>
        <v>44</v>
        <stp/>
        <stp>Market</stp>
        <stp>STOCK</stp>
        <stp>58560.T</stp>
        <stp>高値</stp>
        <tr r="N617" s="7"/>
      </tp>
      <tp>
        <v>290</v>
        <stp/>
        <stp>Market</stp>
        <stp>STOCK</stp>
        <stp>59860.T</stp>
        <stp>高値</stp>
        <tr r="N632" s="7"/>
      </tp>
      <tp>
        <v>1062</v>
        <stp/>
        <stp>Market</stp>
        <stp>STOCK</stp>
        <stp>59760.T</stp>
        <stp>高値</stp>
        <tr r="N630" s="7"/>
      </tp>
      <tp>
        <v>2498</v>
        <stp/>
        <stp>Market</stp>
        <stp>STOCK</stp>
        <stp>59660.T</stp>
        <stp>高値</stp>
        <tr r="N628" s="7"/>
      </tp>
      <tp>
        <v>737</v>
        <stp/>
        <stp>Market</stp>
        <stp>STOCK</stp>
        <stp>59360.T</stp>
        <stp>高値</stp>
        <tr r="N620" s="7"/>
      </tp>
      <tp>
        <v>649</v>
        <stp/>
        <stp>Market</stp>
        <stp>STOCK</stp>
        <stp>52460.T</stp>
        <stp>高値</stp>
        <tr r="N579" s="7"/>
      </tp>
      <tp>
        <v>87</v>
        <stp/>
        <stp>Market</stp>
        <stp>STOCK</stp>
        <stp>52160.T</stp>
        <stp>高値</stp>
        <tr r="N576" s="7"/>
      </tp>
      <tp>
        <v>2940</v>
        <stp/>
        <stp>Market</stp>
        <stp>STOCK</stp>
        <stp>57260.T</stp>
        <stp>高値</stp>
        <tr r="N608" s="7"/>
      </tp>
      <tp>
        <v>560</v>
        <stp/>
        <stp>Market</stp>
        <stp>STOCK</stp>
        <stp>54760.T</stp>
        <stp>高値</stp>
        <tr r="N597" s="7"/>
      </tp>
      <tp>
        <v>2069</v>
        <stp/>
        <stp>Market</stp>
        <stp>STOCK</stp>
        <stp>54060.T</stp>
        <stp>高値</stp>
        <tr r="N591" s="7"/>
      </tp>
      <tp>
        <v>721</v>
        <stp/>
        <stp>Market</stp>
        <stp>STOCK</stp>
        <stp>55860.T</stp>
        <stp>高値</stp>
        <tr r="N600" s="7"/>
      </tp>
      <tp t="s">
        <v>表示銘柄数超過</v>
        <stp/>
        <stp>Market</stp>
        <stp>STOCK</stp>
        <stp>42860.T</stp>
        <stp>高値</stp>
        <tr r="N437" s="7"/>
      </tp>
      <tp t="s">
        <v>表示銘柄数超過</v>
        <stp/>
        <stp>Market</stp>
        <stp>STOCK</stp>
        <stp>43460.T</stp>
        <stp>高値</stp>
        <tr r="N446" s="7"/>
      </tp>
      <tp t="s">
        <v>表示銘柄数超過</v>
        <stp/>
        <stp>Market</stp>
        <stp>STOCK</stp>
        <stp>43760.T</stp>
        <stp>高値</stp>
        <tr r="N452" s="7"/>
      </tp>
      <tp t="s">
        <v>表示銘柄数超過</v>
        <stp/>
        <stp>Market</stp>
        <stp>STOCK</stp>
        <stp>43160.T</stp>
        <stp>高値</stp>
        <tr r="N442" s="7"/>
      </tp>
      <tp t="s">
        <v>表示銘柄数超過</v>
        <stp/>
        <stp>Market</stp>
        <stp>STOCK</stp>
        <stp>40160.T</stp>
        <stp>高値</stp>
        <tr r="N412" s="7"/>
      </tp>
      <tp t="s">
        <v>表示銘柄数超過</v>
        <stp/>
        <stp>Market</stp>
        <stp>STOCK</stp>
        <stp>41760.T</stp>
        <stp>高値</stp>
        <tr r="N421" s="7"/>
      </tp>
      <tp t="s">
        <v>表示銘柄数超過</v>
        <stp/>
        <stp>Market</stp>
        <stp>STOCK</stp>
        <stp>46760.T</stp>
        <stp>高値</stp>
        <tr r="N518" s="7"/>
      </tp>
      <tp t="s">
        <v>表示銘柄数超過</v>
        <stp/>
        <stp>Market</stp>
        <stp>STOCK</stp>
        <stp>47760.T</stp>
        <stp>高値</stp>
        <tr r="N533" s="7"/>
      </tp>
      <tp t="s">
        <v>表示銘柄数超過</v>
        <stp/>
        <stp>Market</stp>
        <stp>STOCK</stp>
        <stp>47660.T</stp>
        <stp>高値</stp>
        <tr r="N530" s="7"/>
      </tp>
      <tp t="s">
        <v>表示銘柄数超過</v>
        <stp/>
        <stp>Market</stp>
        <stp>STOCK</stp>
        <stp>47160.T</stp>
        <stp>高値</stp>
        <tr r="N525" s="7"/>
      </tp>
      <tp t="s">
        <v>表示銘柄数超過</v>
        <stp/>
        <stp>Market</stp>
        <stp>STOCK</stp>
        <stp>47260.T</stp>
        <stp>高値</stp>
        <tr r="N527" s="7"/>
      </tp>
      <tp t="s">
        <v>表示銘柄数超過</v>
        <stp/>
        <stp>Market</stp>
        <stp>STOCK</stp>
        <stp>44760.T</stp>
        <stp>高値</stp>
        <tr r="N472" s="7"/>
      </tp>
      <tp t="s">
        <v>表示銘柄数超過</v>
        <stp/>
        <stp>Market</stp>
        <stp>STOCK</stp>
        <stp>44160.T</stp>
        <stp>高値</stp>
        <tr r="N461" s="7"/>
      </tp>
      <tp t="s">
        <v>表示銘柄数超過</v>
        <stp/>
        <stp>Market</stp>
        <stp>STOCK</stp>
        <stp>44060.T</stp>
        <stp>高値</stp>
        <tr r="N459" s="7"/>
      </tp>
      <tp t="s">
        <v>表示銘柄数超過</v>
        <stp/>
        <stp>Market</stp>
        <stp>STOCK</stp>
        <stp>44360.T</stp>
        <stp>高値</stp>
        <tr r="N464" s="7"/>
      </tp>
      <tp t="s">
        <v>表示銘柄数超過</v>
        <stp/>
        <stp>Market</stp>
        <stp>STOCK</stp>
        <stp>45960.T</stp>
        <stp>高値</stp>
        <tr r="N506" s="7"/>
      </tp>
      <tp t="s">
        <v>表示銘柄数超過</v>
        <stp/>
        <stp>Market</stp>
        <stp>STOCK</stp>
        <stp>45860.T</stp>
        <stp>高値</stp>
        <tr r="N500" s="7"/>
      </tp>
      <tp t="s">
        <v>表示銘柄数超過</v>
        <stp/>
        <stp>Market</stp>
        <stp>STOCK</stp>
        <stp>45760.T</stp>
        <stp>高値</stp>
        <tr r="N495" s="7"/>
      </tp>
      <tp>
        <v>349</v>
        <stp/>
        <stp>Market</stp>
        <stp>STOCK</stp>
        <stp>45060.T</stp>
        <stp>高値</stp>
        <tr r="N480" s="7"/>
      </tp>
      <tp t="s">
        <v>表示銘柄数超過</v>
        <stp/>
        <stp>Market</stp>
        <stp>STOCK</stp>
        <stp>38560.T</stp>
        <stp>高値</stp>
        <tr r="N377" s="7"/>
      </tp>
      <tp t="s">
        <v>表示銘柄数超過</v>
        <stp/>
        <stp>Market</stp>
        <stp>STOCK</stp>
        <stp>38160.T</stp>
        <stp>高値</stp>
        <tr r="N365" s="7"/>
      </tp>
      <tp t="s">
        <v>表示銘柄数超過</v>
        <stp/>
        <stp>Market</stp>
        <stp>STOCK</stp>
        <stp>38260.T</stp>
        <stp>高値</stp>
        <tr r="N368" s="7"/>
      </tp>
      <tp t="s">
        <v>表示銘柄数超過</v>
        <stp/>
        <stp>Market</stp>
        <stp>STOCK</stp>
        <stp>39760.T</stp>
        <stp>高値</stp>
        <tr r="N402" s="7"/>
      </tp>
      <tp t="s">
        <v>表示銘柄数超過</v>
        <stp/>
        <stp>Market</stp>
        <stp>STOCK</stp>
        <stp>32860.T</stp>
        <stp>高値</stp>
        <tr r="N270" s="7"/>
      </tp>
      <tp t="s">
        <v>表示銘柄数超過</v>
        <stp/>
        <stp>Market</stp>
        <stp>STOCK</stp>
        <stp>32660.T</stp>
        <stp>高値</stp>
        <tr r="N267" s="7"/>
      </tp>
      <tp t="s">
        <v>表示銘柄数超過</v>
        <stp/>
        <stp>Market</stp>
        <stp>STOCK</stp>
        <stp>32360.T</stp>
        <stp>高値</stp>
        <tr r="N259" s="7"/>
      </tp>
      <tp t="s">
        <v>表示銘柄数超過</v>
        <stp/>
        <stp>Market</stp>
        <stp>STOCK</stp>
        <stp>33860.T</stp>
        <stp>高値</stp>
        <tr r="N291" s="7"/>
      </tp>
      <tp t="s">
        <v>表示銘柄数超過</v>
        <stp/>
        <stp>Market</stp>
        <stp>STOCK</stp>
        <stp>33160.T</stp>
        <stp>高値</stp>
        <tr r="N277" s="7"/>
      </tp>
      <tp t="s">
        <v>表示銘柄数超過</v>
        <stp/>
        <stp>Market</stp>
        <stp>STOCK</stp>
        <stp>33260.T</stp>
        <stp>高値</stp>
        <tr r="N279" s="7"/>
      </tp>
      <tp t="s">
        <v>表示銘柄数超過</v>
        <stp/>
        <stp>Market</stp>
        <stp>STOCK</stp>
        <stp>30860.T</stp>
        <stp>高値</stp>
        <tr r="N239" s="7"/>
      </tp>
      <tp t="s">
        <v>表示銘柄数超過</v>
        <stp/>
        <stp>Market</stp>
        <stp>STOCK</stp>
        <stp>30360.T</stp>
        <stp>高値</stp>
        <tr r="N229" s="7"/>
      </tp>
      <tp t="s">
        <v>表示銘柄数超過</v>
        <stp/>
        <stp>Market</stp>
        <stp>STOCK</stp>
        <stp>31860.T</stp>
        <stp>高値</stp>
        <tr r="N253" s="7"/>
      </tp>
      <tp t="s">
        <v>表示銘柄数超過</v>
        <stp/>
        <stp>Market</stp>
        <stp>STOCK</stp>
        <stp>31760.T</stp>
        <stp>高値</stp>
        <tr r="N250" s="7"/>
      </tp>
      <tp t="s">
        <v>表示銘柄数超過</v>
        <stp/>
        <stp>Market</stp>
        <stp>STOCK</stp>
        <stp>36960.T</stp>
        <stp>高値</stp>
        <tr r="N342" s="7"/>
      </tp>
      <tp t="s">
        <v>表示銘柄数超過</v>
        <stp/>
        <stp>Market</stp>
        <stp>STOCK</stp>
        <stp>36860.T</stp>
        <stp>高値</stp>
        <tr r="N340" s="7"/>
      </tp>
      <tp t="s">
        <v>表示銘柄数超過</v>
        <stp/>
        <stp>Market</stp>
        <stp>STOCK</stp>
        <stp>36560.T</stp>
        <stp>高値</stp>
        <tr r="N324" s="7"/>
      </tp>
      <tp t="s">
        <v>表示銘柄数超過</v>
        <stp/>
        <stp>Market</stp>
        <stp>STOCK</stp>
        <stp>36760.T</stp>
        <stp>高値</stp>
        <tr r="N334" s="7"/>
      </tp>
      <tp t="s">
        <v>表示銘柄数超過</v>
        <stp/>
        <stp>Market</stp>
        <stp>STOCK</stp>
        <stp>36660.T</stp>
        <stp>高値</stp>
        <tr r="N329" s="7"/>
      </tp>
      <tp t="s">
        <v>表示銘柄数超過</v>
        <stp/>
        <stp>Market</stp>
        <stp>STOCK</stp>
        <stp>36260.T</stp>
        <stp>高値</stp>
        <tr r="N314" s="7"/>
      </tp>
      <tp t="s">
        <v>表示銘柄数超過</v>
        <stp/>
        <stp>Market</stp>
        <stp>STOCK</stp>
        <stp>37760.T</stp>
        <stp>高値</stp>
        <tr r="N355" s="7"/>
      </tp>
      <tp t="s">
        <v>表示銘柄数超過</v>
        <stp/>
        <stp>Market</stp>
        <stp>STOCK</stp>
        <stp>34360.T</stp>
        <stp>高値</stp>
        <tr r="N299" s="7"/>
      </tp>
      <tp t="s">
        <v>表示銘柄数超過</v>
        <stp/>
        <stp>Market</stp>
        <stp>STOCK</stp>
        <stp>35360.T</stp>
        <stp>高値</stp>
        <tr r="N304" s="7"/>
      </tp>
      <tp t="s">
        <v>表示銘柄数超過</v>
        <stp/>
        <stp>Market</stp>
        <stp>STOCK</stp>
        <stp>28560.T</stp>
        <stp>高値</stp>
        <tr r="N206" s="7"/>
      </tp>
      <tp t="s">
        <v>表示銘柄数超過</v>
        <stp/>
        <stp>Market</stp>
        <stp>STOCK</stp>
        <stp>29260.T</stp>
        <stp>高値</stp>
        <tr r="N215" s="7"/>
      </tp>
      <tp t="s">
        <v>表示銘柄数超過</v>
        <stp/>
        <stp>Market</stp>
        <stp>STOCK</stp>
        <stp>22160.T</stp>
        <stp>高値</stp>
        <tr r="N104" s="7"/>
      </tp>
      <tp t="s">
        <v>表示銘柄数超過</v>
        <stp/>
        <stp>Market</stp>
        <stp>STOCK</stp>
        <stp>22060.T</stp>
        <stp>高値</stp>
        <tr r="N103" s="7"/>
      </tp>
      <tp t="s">
        <v>表示銘柄数超過</v>
        <stp/>
        <stp>Market</stp>
        <stp>STOCK</stp>
        <stp>22360.T</stp>
        <stp>高値</stp>
        <tr r="N106" s="7"/>
      </tp>
      <tp t="s">
        <v>表示銘柄数超過</v>
        <stp/>
        <stp>Market</stp>
        <stp>STOCK</stp>
        <stp>23760.T</stp>
        <stp>高値</stp>
        <tr r="N129" s="7"/>
      </tp>
      <tp t="s">
        <v>表示銘柄数超過</v>
        <stp/>
        <stp>Market</stp>
        <stp>STOCK</stp>
        <stp>26860.T</stp>
        <stp>高値</stp>
        <tr r="N182" s="7"/>
      </tp>
      <tp t="s">
        <v>表示銘柄数超過</v>
        <stp/>
        <stp>Market</stp>
        <stp>STOCK</stp>
        <stp>26560.T</stp>
        <stp>高値</stp>
        <tr r="N176" s="7"/>
      </tp>
      <tp t="s">
        <v>表示銘柄数超過</v>
        <stp/>
        <stp>Market</stp>
        <stp>STOCK</stp>
        <stp>26660.T</stp>
        <stp>高値</stp>
        <tr r="N177" s="7"/>
      </tp>
      <tp t="s">
        <v>表示銘柄数超過</v>
        <stp/>
        <stp>Market</stp>
        <stp>STOCK</stp>
        <stp>27760.T</stp>
        <stp>高値</stp>
        <tr r="N197" s="7"/>
      </tp>
      <tp t="s">
        <v>表示銘柄数超過</v>
        <stp/>
        <stp>Market</stp>
        <stp>STOCK</stp>
        <stp>25860.T</stp>
        <stp>高値</stp>
        <tr r="N165" s="7"/>
      </tp>
      <tp t="s">
        <v>表示銘柄数超過</v>
        <stp/>
        <stp>Market</stp>
        <stp>STOCK</stp>
        <stp>25160.T</stp>
        <stp>高値</stp>
        <tr r="N158" s="7"/>
      </tp>
      <tp t="s">
        <v>表示銘柄数超過</v>
        <stp/>
        <stp>Market</stp>
        <stp>STOCK</stp>
        <stp>18260.T</stp>
        <stp>高値</stp>
        <tr r="N63" s="7"/>
      </tp>
      <tp t="s">
        <v>表示銘柄数超過</v>
        <stp/>
        <stp>Market</stp>
        <stp>STOCK</stp>
        <stp>19660.T</stp>
        <stp>高値</stp>
        <tr r="N84" s="7"/>
      </tp>
      <tp t="s">
        <v>表示銘柄数超過</v>
        <stp/>
        <stp>Market</stp>
        <stp>STOCK</stp>
        <stp>13560.T</stp>
        <stp>高値</stp>
        <tr r="N11" s="7"/>
      </tp>
      <tp t="s">
        <v>表示銘柄数超過</v>
        <stp/>
        <stp>Market</stp>
        <stp>STOCK</stp>
        <stp>13660.T</stp>
        <stp>高値</stp>
        <tr r="N14" s="7"/>
      </tp>
      <tp t="s">
        <v>表示銘柄数超過</v>
        <stp/>
        <stp>Market</stp>
        <stp>STOCK</stp>
        <stp>13060.T</stp>
        <stp>高値</stp>
        <tr r="N3" s="7"/>
      </tp>
      <tp t="s">
        <v>表示銘柄数超過</v>
        <stp/>
        <stp>Market</stp>
        <stp>STOCK</stp>
        <stp>16560.T</stp>
        <stp>高値</stp>
        <tr r="N40" s="7"/>
      </tp>
      <tp t="s">
        <v>表示銘柄数超過</v>
        <stp/>
        <stp>Market</stp>
        <stp>STOCK</stp>
        <stp>17160.T</stp>
        <stp>高値</stp>
        <tr r="N48" s="7"/>
      </tp>
      <tp t="s">
        <v>表示銘柄数超過</v>
        <stp/>
        <stp>Market</stp>
        <stp>STOCK</stp>
        <stp>18980.T</stp>
        <stp>売買代金</stp>
        <tr r="W71" s="7"/>
      </tp>
      <tp t="s">
        <v>表示銘柄数超過</v>
        <stp/>
        <stp>Market</stp>
        <stp>STOCK</stp>
        <stp>88940.T</stp>
        <stp>売買代金</stp>
        <tr r="W1060" s="7"/>
      </tp>
      <tp t="s">
        <v>表示銘柄数超過</v>
        <stp/>
        <stp>Market</stp>
        <stp>STOCK</stp>
        <stp>28940.T</stp>
        <stp>売買代金</stp>
        <tr r="W212" s="7"/>
      </tp>
      <tp t="s">
        <v>表示銘柄数超過</v>
        <stp/>
        <stp>Market</stp>
        <stp>STOCK</stp>
        <stp>88970.T</stp>
        <stp>売買代金</stp>
        <tr r="W1061" s="7"/>
      </tp>
      <tp>
        <v>16011</v>
        <stp/>
        <stp>Market</stp>
        <stp>STOCK</stp>
        <stp>78970.T</stp>
        <stp>売買代金</stp>
        <tr r="W952" s="7"/>
      </tp>
      <tp>
        <v>2964</v>
        <stp/>
        <stp>Market</stp>
        <stp>STOCK</stp>
        <stp>68970.T</stp>
        <stp>売買代金</stp>
        <tr r="W783" s="7"/>
      </tp>
      <tp t="s">
        <v>表示銘柄数超過</v>
        <stp/>
        <stp>Market</stp>
        <stp>STOCK</stp>
        <stp>48910.T</stp>
        <stp>売買代金</stp>
        <tr r="W549" s="7"/>
      </tp>
      <tp t="s">
        <v>表示銘柄数超過</v>
        <stp/>
        <stp>Market</stp>
        <stp>STOCK</stp>
        <stp>98900.T</stp>
        <stp>売買代金</stp>
        <tr r="W1177" s="7"/>
      </tp>
      <tp t="s">
        <v>表示銘柄数超過</v>
        <stp/>
        <stp>Market</stp>
        <stp>STOCK</stp>
        <stp>48900.T</stp>
        <stp>売買代金</stp>
        <tr r="W548" s="7"/>
      </tp>
      <tp t="s">
        <v>表示銘柄数超過</v>
        <stp/>
        <stp>Market</stp>
        <stp>STOCK</stp>
        <stp>88930.T</stp>
        <stp>売買代金</stp>
        <tr r="W1059" s="7"/>
      </tp>
      <tp t="s">
        <v>表示銘柄数超過</v>
        <stp/>
        <stp>Market</stp>
        <stp>STOCK</stp>
        <stp>18930.T</stp>
        <stp>売買代金</stp>
        <tr r="W70" s="7"/>
      </tp>
      <tp t="s">
        <v>表示銘柄数超過</v>
        <stp/>
        <stp>Market</stp>
        <stp>STOCK</stp>
        <stp>48920.T</stp>
        <stp>売買代金</stp>
        <tr r="W550" s="7"/>
      </tp>
      <tp t="s">
        <v>表示銘柄数超過</v>
        <stp/>
        <stp>Market</stp>
        <stp>STOCK</stp>
        <stp>48890.T</stp>
        <stp>売買代金</stp>
        <tr r="W547" s="7"/>
      </tp>
      <tp t="s">
        <v>表示銘柄数超過</v>
        <stp/>
        <stp>Market</stp>
        <stp>STOCK</stp>
        <stp>98880.T</stp>
        <stp>売買代金</stp>
        <tr r="W1176" s="7"/>
      </tp>
      <tp>
        <v>147789</v>
        <stp/>
        <stp>Market</stp>
        <stp>STOCK</stp>
        <stp>78880.T</stp>
        <stp>売買代金</stp>
        <tr r="W951" s="7"/>
      </tp>
      <tp t="s">
        <v>表示銘柄数超過</v>
        <stp/>
        <stp>Market</stp>
        <stp>STOCK</stp>
        <stp>88870.T</stp>
        <stp>売買代金</stp>
        <tr r="W1058" s="7"/>
      </tp>
      <tp t="s">
        <v>表示銘柄数超過</v>
        <stp/>
        <stp>Market</stp>
        <stp>STOCK</stp>
        <stp>18870.T</stp>
        <stp>売買代金</stp>
        <tr r="W69" s="7"/>
      </tp>
      <tp t="s">
        <v>表示銘柄数超過</v>
        <stp/>
        <stp>Market</stp>
        <stp>STOCK</stp>
        <stp>88810.T</stp>
        <stp>売買代金</stp>
        <tr r="W1057" s="7"/>
      </tp>
      <tp t="s">
        <v>表示銘柄数超過</v>
        <stp/>
        <stp>Market</stp>
        <stp>STOCK</stp>
        <stp>48810.T</stp>
        <stp>売買代金</stp>
        <tr r="W545" s="7"/>
      </tp>
      <tp t="s">
        <v>表示銘柄数超過</v>
        <stp/>
        <stp>Market</stp>
        <stp>STOCK</stp>
        <stp>38800.T</stp>
        <stp>売買代金</stp>
        <tr r="W383" s="7"/>
      </tp>
      <tp t="s">
        <v>表示銘柄数超過</v>
        <stp/>
        <stp>Market</stp>
        <stp>STOCK</stp>
        <stp>48830.T</stp>
        <stp>売買代金</stp>
        <tr r="W546" s="7"/>
      </tp>
      <tp t="s">
        <v>表示銘柄数超過</v>
        <stp/>
        <stp>Market</stp>
        <stp>STOCK</stp>
        <stp>18790.T</stp>
        <stp>売買代金</stp>
        <tr r="W68" s="7"/>
      </tp>
      <tp t="s">
        <v>表示銘柄数超過</v>
        <stp/>
        <stp>Market</stp>
        <stp>STOCK</stp>
        <stp>28750.T</stp>
        <stp>売買代金</stp>
        <tr r="W211" s="7"/>
      </tp>
      <tp t="s">
        <v>表示銘柄数超過</v>
        <stp/>
        <stp>Market</stp>
        <stp>STOCK</stp>
        <stp>98760.T</stp>
        <stp>売買代金</stp>
        <tr r="W1175" s="7"/>
      </tp>
      <tp>
        <v>4856530</v>
        <stp/>
        <stp>Market</stp>
        <stp>STOCK</stp>
        <stp>68710.T</stp>
        <stp>売買代金</stp>
        <tr r="W782" s="7"/>
      </tp>
      <tp t="s">
        <v>表示銘柄数超過</v>
        <stp/>
        <stp>Market</stp>
        <stp>STOCK</stp>
        <stp>28680.T</stp>
        <stp>売買代金</stp>
        <tr r="W210" s="7"/>
      </tp>
      <tp>
        <v>329509</v>
        <stp/>
        <stp>Market</stp>
        <stp>STOCK</stp>
        <stp>78680.T</stp>
        <stp>売買代金</stp>
        <tr r="W950" s="7"/>
      </tp>
      <tp t="s">
        <v>表示銘柄数超過</v>
        <stp/>
        <stp>Market</stp>
        <stp>STOCK</stp>
        <stp>38650.T</stp>
        <stp>売買代金</stp>
        <tr r="W382" s="7"/>
      </tp>
      <tp t="s">
        <v>表示銘柄数超過</v>
        <stp/>
        <stp>Market</stp>
        <stp>STOCK</stp>
        <stp>28650.T</stp>
        <stp>売買代金</stp>
        <tr r="W209" s="7"/>
      </tp>
      <tp t="s">
        <v>表示銘柄数超過</v>
        <stp/>
        <stp>Market</stp>
        <stp>STOCK</stp>
        <stp>38640.T</stp>
        <stp>売買代金</stp>
        <tr r="W381" s="7"/>
      </tp>
      <tp>
        <v>4712599</v>
        <stp/>
        <stp>Market</stp>
        <stp>STOCK</stp>
        <stp>78670.T</stp>
        <stp>売買代金</stp>
        <tr r="W949" s="7"/>
      </tp>
      <tp>
        <v>32515</v>
        <stp/>
        <stp>Market</stp>
        <stp>STOCK</stp>
        <stp>68670.T</stp>
        <stp>売買代金</stp>
        <tr r="W781" s="7"/>
      </tp>
      <tp t="s">
        <v>表示銘柄数超過</v>
        <stp/>
        <stp>Market</stp>
        <stp>STOCK</stp>
        <stp>38610.T</stp>
        <stp>売買代金</stp>
        <tr r="W379" s="7"/>
      </tp>
      <tp t="s">
        <v>表示銘柄数超過</v>
        <stp/>
        <stp>Market</stp>
        <stp>STOCK</stp>
        <stp>38630.T</stp>
        <stp>売買代金</stp>
        <tr r="W380" s="7"/>
      </tp>
      <tp>
        <v>24033</v>
        <stp/>
        <stp>Market</stp>
        <stp>STOCK</stp>
        <stp>68630.T</stp>
        <stp>売買代金</stp>
        <tr r="W780" s="7"/>
      </tp>
      <tp>
        <v>219240</v>
        <stp/>
        <stp>Market</stp>
        <stp>STOCK</stp>
        <stp>68620.T</stp>
        <stp>売買代金</stp>
        <tr r="W779" s="7"/>
      </tp>
      <tp>
        <v>10348309</v>
        <stp/>
        <stp>Market</stp>
        <stp>STOCK</stp>
        <stp>78590.T</stp>
        <stp>売買代金</stp>
        <tr r="W948" s="7"/>
      </tp>
      <tp t="s">
        <v>表示銘柄数超過</v>
        <stp/>
        <stp>Market</stp>
        <stp>STOCK</stp>
        <stp>38580.T</stp>
        <stp>売買代金</stp>
        <tr r="W378" s="7"/>
      </tp>
      <tp t="s">
        <v>表示銘柄数超過</v>
        <stp/>
        <stp>Market</stp>
        <stp>STOCK</stp>
        <stp>28580.T</stp>
        <stp>売買代金</stp>
        <tr r="W208" s="7"/>
      </tp>
      <tp t="s">
        <v>表示銘柄数超過</v>
        <stp/>
        <stp>Market</stp>
        <stp>STOCK</stp>
        <stp>98540.T</stp>
        <stp>売買代金</stp>
        <tr r="W1174" s="7"/>
      </tp>
      <tp t="s">
        <v>表示銘柄数超過</v>
        <stp/>
        <stp>Market</stp>
        <stp>STOCK</stp>
        <stp>28570.T</stp>
        <stp>売買代金</stp>
        <tr r="W207" s="7"/>
      </tp>
      <tp>
        <v>66477058</v>
        <stp/>
        <stp>Market</stp>
        <stp>STOCK</stp>
        <stp>68570.T</stp>
        <stp>売買代金</stp>
        <tr r="W778" s="7"/>
      </tp>
      <tp t="s">
        <v>表示銘柄数超過</v>
        <stp/>
        <stp>Market</stp>
        <stp>STOCK</stp>
        <stp>38560.T</stp>
        <stp>売買代金</stp>
        <tr r="W377" s="7"/>
      </tp>
      <tp t="s">
        <v>表示銘柄数超過</v>
        <stp/>
        <stp>Market</stp>
        <stp>STOCK</stp>
        <stp>28560.T</stp>
        <stp>売買代金</stp>
        <tr r="W206" s="7"/>
      </tp>
      <tp>
        <v>2111</v>
        <stp/>
        <stp>Market</stp>
        <stp>STOCK</stp>
        <stp>58560.T</stp>
        <stp>売買代金</stp>
        <tr r="W617" s="7"/>
      </tp>
      <tp>
        <v>73923</v>
        <stp/>
        <stp>Market</stp>
        <stp>STOCK</stp>
        <stp>78560.T</stp>
        <stp>売買代金</stp>
        <tr r="W947" s="7"/>
      </tp>
      <tp t="s">
        <v>表示銘柄数超過</v>
        <stp/>
        <stp>Market</stp>
        <stp>STOCK</stp>
        <stp>38510.T</stp>
        <stp>売買代金</stp>
        <tr r="W374" s="7"/>
      </tp>
      <tp t="s">
        <v>表示銘柄数超過</v>
        <stp/>
        <stp>Market</stp>
        <stp>STOCK</stp>
        <stp>28510.T</stp>
        <stp>売買代金</stp>
        <tr r="W203" s="7"/>
      </tp>
      <tp>
        <v>2288</v>
        <stp/>
        <stp>Market</stp>
        <stp>STOCK</stp>
        <stp>78510.T</stp>
        <stp>売買代金</stp>
        <tr r="W946" s="7"/>
      </tp>
      <tp t="s">
        <v>表示銘柄数超過</v>
        <stp/>
        <stp>Market</stp>
        <stp>STOCK</stp>
        <stp>38500.T</stp>
        <stp>売買代金</stp>
        <tr r="W373" s="7"/>
      </tp>
      <tp t="s">
        <v>表示銘柄数超過</v>
        <stp/>
        <stp>Market</stp>
        <stp>STOCK</stp>
        <stp>98530.T</stp>
        <stp>売買代金</stp>
        <tr r="W1173" s="7"/>
      </tp>
      <tp t="s">
        <v>表示銘柄数超過</v>
        <stp/>
        <stp>Market</stp>
        <stp>STOCK</stp>
        <stp>38530.T</stp>
        <stp>売買代金</stp>
        <tr r="W376" s="7"/>
      </tp>
      <tp t="s">
        <v>表示銘柄数超過</v>
        <stp/>
        <stp>Market</stp>
        <stp>STOCK</stp>
        <stp>28530.T</stp>
        <stp>売買代金</stp>
        <tr r="W205" s="7"/>
      </tp>
      <tp t="s">
        <v>表示銘柄数超過</v>
        <stp/>
        <stp>Market</stp>
        <stp>STOCK</stp>
        <stp>38520.T</stp>
        <stp>売買代金</stp>
        <tr r="W375" s="7"/>
      </tp>
      <tp t="s">
        <v>表示銘柄数超過</v>
        <stp/>
        <stp>Market</stp>
        <stp>STOCK</stp>
        <stp>28520.T</stp>
        <stp>売買代金</stp>
        <tr r="W204" s="7"/>
      </tp>
      <tp>
        <v>491942</v>
        <stp/>
        <stp>Market</stp>
        <stp>STOCK</stp>
        <stp>58520.T</stp>
        <stp>売買代金</stp>
        <tr r="W616" s="7"/>
      </tp>
      <tp t="s">
        <v>表示銘柄数超過</v>
        <stp/>
        <stp>Market</stp>
        <stp>STOCK</stp>
        <stp>18480.T</stp>
        <stp>売買代金</stp>
        <tr r="W67" s="7"/>
      </tp>
      <tp t="s">
        <v>表示銘柄数超過</v>
        <stp/>
        <stp>Market</stp>
        <stp>STOCK</stp>
        <stp>38450.T</stp>
        <stp>売買代金</stp>
        <tr r="W372" s="7"/>
      </tp>
      <tp t="s">
        <v>表示銘柄数超過</v>
        <stp/>
        <stp>Market</stp>
        <stp>STOCK</stp>
        <stp>28450.T</stp>
        <stp>売買代金</stp>
        <tr r="W202" s="7"/>
      </tp>
      <tp t="s">
        <v>表示銘柄数超過</v>
        <stp/>
        <stp>Market</stp>
        <stp>STOCK</stp>
        <stp>88440.T</stp>
        <stp>売買代金</stp>
        <tr r="W1056" s="7"/>
      </tp>
      <tp t="s">
        <v>表示銘柄数超過</v>
        <stp/>
        <stp>Market</stp>
        <stp>STOCK</stp>
        <stp>18440.T</stp>
        <stp>売買代金</stp>
        <tr r="W66" s="7"/>
      </tp>
      <tp>
        <v>106176</v>
        <stp/>
        <stp>Market</stp>
        <stp>STOCK</stp>
        <stp>78440.T</stp>
        <stp>売買代金</stp>
        <tr r="W945" s="7"/>
      </tp>
      <tp t="s">
        <v>表示銘柄数超過</v>
        <stp/>
        <stp>Market</stp>
        <stp>STOCK</stp>
        <stp>48470.T</stp>
        <stp>売買代金</stp>
        <tr r="W544" s="7"/>
      </tp>
      <tp t="s">
        <v>表示銘柄数超過</v>
        <stp/>
        <stp>Market</stp>
        <stp>STOCK</stp>
        <stp>88410.T</stp>
        <stp>売買代金</stp>
        <tr r="W1055" s="7"/>
      </tp>
      <tp t="s">
        <v>表示銘柄数超過</v>
        <stp/>
        <stp>Market</stp>
        <stp>STOCK</stp>
        <stp>18400.T</stp>
        <stp>売買代金</stp>
        <tr r="W65" s="7"/>
      </tp>
      <tp t="s">
        <v>表示銘柄数超過</v>
        <stp/>
        <stp>Market</stp>
        <stp>STOCK</stp>
        <stp>38400.T</stp>
        <stp>売買代金</stp>
        <tr r="W370" s="7"/>
      </tp>
      <tp>
        <v>44377</v>
        <stp/>
        <stp>Market</stp>
        <stp>STOCK</stp>
        <stp>68400.T</stp>
        <stp>売買代金</stp>
        <tr r="W777" s="7"/>
      </tp>
      <tp t="s">
        <v>表示銘柄数超過</v>
        <stp/>
        <stp>Market</stp>
        <stp>STOCK</stp>
        <stp>98420.T</stp>
        <stp>売買代金</stp>
        <tr r="W1172" s="7"/>
      </tp>
      <tp t="s">
        <v>表示銘柄数超過</v>
        <stp/>
        <stp>Market</stp>
        <stp>STOCK</stp>
        <stp>38420.T</stp>
        <stp>売買代金</stp>
        <tr r="W371" s="7"/>
      </tp>
      <tp>
        <v>2196000</v>
        <stp/>
        <stp>Market</stp>
        <stp>STOCK</stp>
        <stp>58380.T</stp>
        <stp>売買代金</stp>
        <tr r="W615" s="7"/>
      </tp>
      <tp t="s">
        <v>表示銘柄数超過</v>
        <stp/>
        <stp>Market</stp>
        <stp>STOCK</stp>
        <stp>48380.T</stp>
        <stp>売買代金</stp>
        <tr r="W543" s="7"/>
      </tp>
      <tp t="s">
        <v>表示銘柄数超過</v>
        <stp/>
        <stp>Market</stp>
        <stp>STOCK</stp>
        <stp>38350.T</stp>
        <stp>売買代金</stp>
        <tr r="W369" s="7"/>
      </tp>
      <tp>
        <v>23530</v>
        <stp/>
        <stp>Market</stp>
        <stp>STOCK</stp>
        <stp>68350.T</stp>
        <stp>売買代金</stp>
        <tr r="W776" s="7"/>
      </tp>
      <tp t="s">
        <v>表示銘柄数超過</v>
        <stp/>
        <stp>Market</stp>
        <stp>STOCK</stp>
        <stp>48370.T</stp>
        <stp>売買代金</stp>
        <tr r="W542" s="7"/>
      </tp>
      <tp>
        <v>733</v>
        <stp/>
        <stp>Market</stp>
        <stp>STOCK</stp>
        <stp>78370.T</stp>
        <stp>売買代金</stp>
        <tr r="W944" s="7"/>
      </tp>
      <tp>
        <v>10255</v>
        <stp/>
        <stp>Market</stp>
        <stp>STOCK</stp>
        <stp>78360.T</stp>
        <stp>売買代金</stp>
        <tr r="W943" s="7"/>
      </tp>
      <tp>
        <v>1366487</v>
        <stp/>
        <stp>Market</stp>
        <stp>STOCK</stp>
        <stp>98310.T</stp>
        <stp>売買代金</stp>
        <tr r="W1171" s="7"/>
      </tp>
      <tp t="s">
        <v>表示銘柄数超過</v>
        <stp/>
        <stp>Market</stp>
        <stp>STOCK</stp>
        <stp>88300.T</stp>
        <stp>売買代金</stp>
        <tr r="W1054" s="7"/>
      </tp>
      <tp t="s">
        <v>表示銘柄数超過</v>
        <stp/>
        <stp>Market</stp>
        <stp>STOCK</stp>
        <stp>48330.T</stp>
        <stp>売買代金</stp>
        <tr r="W541" s="7"/>
      </tp>
      <tp>
        <v>505478</v>
        <stp/>
        <stp>Market</stp>
        <stp>STOCK</stp>
        <stp>58320.T</stp>
        <stp>売買代金</stp>
        <tr r="W614" s="7"/>
      </tp>
      <tp t="s">
        <v>表示銘柄数超過</v>
        <stp/>
        <stp>Market</stp>
        <stp>STOCK</stp>
        <stp>48290.T</stp>
        <stp>売買代金</stp>
        <tr r="W540" s="7"/>
      </tp>
      <tp>
        <v>5284</v>
        <stp/>
        <stp>Market</stp>
        <stp>STOCK</stp>
        <stp>78290.T</stp>
        <stp>売買代金</stp>
        <tr r="W942" s="7"/>
      </tp>
      <tp t="s">
        <v>表示銘柄数超過</v>
        <stp/>
        <stp>Market</stp>
        <stp>STOCK</stp>
        <stp>38250.T</stp>
        <stp>売買代金</stp>
        <tr r="W367" s="7"/>
      </tp>
      <tp t="s">
        <v>表示銘柄数超過</v>
        <stp/>
        <stp>Market</stp>
        <stp>STOCK</stp>
        <stp>48240.T</stp>
        <stp>売買代金</stp>
        <tr r="W539" s="7"/>
      </tp>
      <tp t="s">
        <v>表示銘柄数超過</v>
        <stp/>
        <stp>Market</stp>
        <stp>STOCK</stp>
        <stp>18270.T</stp>
        <stp>売買代金</stp>
        <tr r="W64" s="7"/>
      </tp>
      <tp t="s">
        <v>表示銘柄数超過</v>
        <stp/>
        <stp>Market</stp>
        <stp>STOCK</stp>
        <stp>18260.T</stp>
        <stp>売買代金</stp>
        <tr r="W63" s="7"/>
      </tp>
      <tp t="s">
        <v>表示銘柄数超過</v>
        <stp/>
        <stp>Market</stp>
        <stp>STOCK</stp>
        <stp>38260.T</stp>
        <stp>売買代金</stp>
        <tr r="W368" s="7"/>
      </tp>
      <tp t="s">
        <v>表示銘柄数超過</v>
        <stp/>
        <stp>Market</stp>
        <stp>STOCK</stp>
        <stp>18210.T</stp>
        <stp>売買代金</stp>
        <tr r="W62" s="7"/>
      </tp>
      <tp t="s">
        <v>表示銘柄数超過</v>
        <stp/>
        <stp>Market</stp>
        <stp>STOCK</stp>
        <stp>48200.T</stp>
        <stp>売買代金</stp>
        <tr r="W538" s="7"/>
      </tp>
      <tp t="s">
        <v>表示銘柄数超過</v>
        <stp/>
        <stp>Market</stp>
        <stp>STOCK</stp>
        <stp>38230.T</stp>
        <stp>売買代金</stp>
        <tr r="W366" s="7"/>
      </tp>
      <tp>
        <v>17766</v>
        <stp/>
        <stp>Market</stp>
        <stp>STOCK</stp>
        <stp>78230.T</stp>
        <stp>売買代金</stp>
        <tr r="W941" s="7"/>
      </tp>
      <tp t="s">
        <v>表示銘柄数超過</v>
        <stp/>
        <stp>Market</stp>
        <stp>STOCK</stp>
        <stp>88180.T</stp>
        <stp>売買代金</stp>
        <tr r="W1053" s="7"/>
      </tp>
      <tp t="s">
        <v>表示銘柄数超過</v>
        <stp/>
        <stp>Market</stp>
        <stp>STOCK</stp>
        <stp>18150.T</stp>
        <stp>売買代金</stp>
        <tr r="W61" s="7"/>
      </tp>
      <tp t="s">
        <v>表示銘柄数超過</v>
        <stp/>
        <stp>Market</stp>
        <stp>STOCK</stp>
        <stp>38150.T</stp>
        <stp>売買代金</stp>
        <tr r="W364" s="7"/>
      </tp>
      <tp t="s">
        <v>表示銘柄数超過</v>
        <stp/>
        <stp>Market</stp>
        <stp>STOCK</stp>
        <stp>38140.T</stp>
        <stp>売買代金</stp>
        <tr r="W363" s="7"/>
      </tp>
      <tp t="s">
        <v>表示銘柄数超過</v>
        <stp/>
        <stp>Market</stp>
        <stp>STOCK</stp>
        <stp>48140.T</stp>
        <stp>売買代金</stp>
        <tr r="W537" s="7"/>
      </tp>
      <tp>
        <v>2124</v>
        <stp/>
        <stp>Market</stp>
        <stp>STOCK</stp>
        <stp>78140.T</stp>
        <stp>売買代金</stp>
        <tr r="W940" s="7"/>
      </tp>
      <tp>
        <v>413399</v>
        <stp/>
        <stp>Market</stp>
        <stp>STOCK</stp>
        <stp>68140.T</stp>
        <stp>売買代金</stp>
        <tr r="W775" s="7"/>
      </tp>
      <tp t="s">
        <v>表示銘柄数超過</v>
        <stp/>
        <stp>Market</stp>
        <stp>STOCK</stp>
        <stp>38160.T</stp>
        <stp>売買代金</stp>
        <tr r="W365" s="7"/>
      </tp>
      <tp t="s">
        <v>表示銘柄数超過</v>
        <stp/>
        <stp>Market</stp>
        <stp>STOCK</stp>
        <stp>38100.T</stp>
        <stp>売買代金</stp>
        <tr r="W362" s="7"/>
      </tp>
      <tp t="s">
        <v>表示銘柄数超過</v>
        <stp/>
        <stp>Market</stp>
        <stp>STOCK</stp>
        <stp>28100.T</stp>
        <stp>売買代金</stp>
        <tr r="W201" s="7"/>
      </tp>
      <tp>
        <v>433826</v>
        <stp/>
        <stp>Market</stp>
        <stp>STOCK</stp>
        <stp>68100.T</stp>
        <stp>売買代金</stp>
        <tr r="W774" s="7"/>
      </tp>
      <tp t="s">
        <v>表示銘柄数超過</v>
        <stp/>
        <stp>Market</stp>
        <stp>STOCK</stp>
        <stp>98120.T</stp>
        <stp>売買代金</stp>
        <tr r="W1170" s="7"/>
      </tp>
      <tp t="s">
        <v>表示銘柄数超過</v>
        <stp/>
        <stp>Market</stp>
        <stp>STOCK</stp>
        <stp>18120.T</stp>
        <stp>売買代金</stp>
        <tr r="W60" s="7"/>
      </tp>
      <tp t="s">
        <v>表示銘柄数超過</v>
        <stp/>
        <stp>Market</stp>
        <stp>STOCK</stp>
        <stp>18050.T</stp>
        <stp>売買代金</stp>
        <tr r="W59" s="7"/>
      </tp>
      <tp>
        <v>4094</v>
        <stp/>
        <stp>Market</stp>
        <stp>STOCK</stp>
        <stp>78050.T</stp>
        <stp>売買代金</stp>
        <tr r="W939" s="7"/>
      </tp>
      <tp t="s">
        <v>表示銘柄数超過</v>
        <stp/>
        <stp>Market</stp>
        <stp>STOCK</stp>
        <stp>88040.T</stp>
        <stp>売買代金</stp>
        <tr r="W1052" s="7"/>
      </tp>
      <tp t="s">
        <v>表示銘柄数超過</v>
        <stp/>
        <stp>Market</stp>
        <stp>STOCK</stp>
        <stp>38070.T</stp>
        <stp>売買代金</stp>
        <tr r="W361" s="7"/>
      </tp>
      <tp t="s">
        <v>表示銘柄数超過</v>
        <stp/>
        <stp>Market</stp>
        <stp>STOCK</stp>
        <stp>88010.T</stp>
        <stp>売買代金</stp>
        <tr r="W1050" s="7"/>
      </tp>
      <tp>
        <v>1653585</v>
        <stp/>
        <stp>Market</stp>
        <stp>STOCK</stp>
        <stp>58010.T</stp>
        <stp>売買代金</stp>
        <tr r="W611" s="7"/>
      </tp>
      <tp t="s">
        <v>表示銘柄数超過</v>
        <stp/>
        <stp>Market</stp>
        <stp>STOCK</stp>
        <stp>48000.T</stp>
        <stp>売買代金</stp>
        <tr r="W536" s="7"/>
      </tp>
      <tp>
        <v>1957</v>
        <stp/>
        <stp>Market</stp>
        <stp>STOCK</stp>
        <stp>78000.T</stp>
        <stp>売買代金</stp>
        <tr r="W938" s="7"/>
      </tp>
      <tp t="s">
        <v>表示銘柄数超過</v>
        <stp/>
        <stp>Market</stp>
        <stp>STOCK</stp>
        <stp>18030.T</stp>
        <stp>売買代金</stp>
        <tr r="W58" s="7"/>
      </tp>
      <tp>
        <v>2490989</v>
        <stp/>
        <stp>Market</stp>
        <stp>STOCK</stp>
        <stp>58030.T</stp>
        <stp>売買代金</stp>
        <tr r="W613" s="7"/>
      </tp>
      <tp>
        <v>17099</v>
        <stp/>
        <stp>Market</stp>
        <stp>STOCK</stp>
        <stp>68030.T</stp>
        <stp>売買代金</stp>
        <tr r="W773" s="7"/>
      </tp>
      <tp t="s">
        <v>表示銘柄数超過</v>
        <stp/>
        <stp>Market</stp>
        <stp>STOCK</stp>
        <stp>88020.T</stp>
        <stp>売買代金</stp>
        <tr r="W1051" s="7"/>
      </tp>
      <tp t="s">
        <v>表示銘柄数超過</v>
        <stp/>
        <stp>Market</stp>
        <stp>STOCK</stp>
        <stp>18020.T</stp>
        <stp>売買代金</stp>
        <tr r="W57" s="7"/>
      </tp>
      <tp>
        <v>6346419</v>
        <stp/>
        <stp>Market</stp>
        <stp>STOCK</stp>
        <stp>58020.T</stp>
        <stp>売買代金</stp>
        <tr r="W612" s="7"/>
      </tp>
      <tp>
        <v>725900</v>
        <stp/>
        <stp>Market</stp>
        <stp>STOCK</stp>
        <stp>51100.T</stp>
        <stp>出来高</stp>
        <tr r="V569" s="7"/>
      </tp>
      <tp>
        <v>80000</v>
        <stp/>
        <stp>Market</stp>
        <stp>STOCK</stp>
        <stp>51030.T</stp>
        <stp>出来高</stp>
        <tr r="V567" s="7"/>
      </tp>
      <tp>
        <v>1780600</v>
        <stp/>
        <stp>Market</stp>
        <stp>STOCK</stp>
        <stp>51080.T</stp>
        <stp>出来高</stp>
        <tr r="V568" s="7"/>
      </tp>
      <tp>
        <v>21100</v>
        <stp/>
        <stp>Market</stp>
        <stp>STOCK</stp>
        <stp>51330.T</stp>
        <stp>出来高</stp>
        <tr r="V573" s="7"/>
      </tp>
      <tp>
        <v>291900</v>
        <stp/>
        <stp>Market</stp>
        <stp>STOCK</stp>
        <stp>51310.T</stp>
        <stp>出来高</stp>
        <tr r="V572" s="7"/>
      </tp>
      <tp>
        <v>145000</v>
        <stp/>
        <stp>Market</stp>
        <stp>STOCK</stp>
        <stp>51210.T</stp>
        <stp>出来高</stp>
        <tr r="V570" s="7"/>
      </tp>
      <tp>
        <v>94000</v>
        <stp/>
        <stp>Market</stp>
        <stp>STOCK</stp>
        <stp>51290.T</stp>
        <stp>出来高</stp>
        <tr r="V571" s="7"/>
      </tp>
      <tp>
        <v>637100</v>
        <stp/>
        <stp>Market</stp>
        <stp>STOCK</stp>
        <stp>51920.T</stp>
        <stp>出来高</stp>
        <tr r="V574" s="7"/>
      </tp>
      <tp t="s">
        <v>表示銘柄数超過</v>
        <stp/>
        <stp>Market</stp>
        <stp>STOCK</stp>
        <stp>50740.T</stp>
        <stp>出来高</stp>
        <tr r="V566" s="7"/>
      </tp>
      <tp t="s">
        <v>表示銘柄数超過</v>
        <stp/>
        <stp>Market</stp>
        <stp>STOCK</stp>
        <stp>50100.T</stp>
        <stp>出来高</stp>
        <tr r="V558" s="7"/>
      </tp>
      <tp t="s">
        <v>表示銘柄数超過</v>
        <stp/>
        <stp>Market</stp>
        <stp>STOCK</stp>
        <stp>50170.T</stp>
        <stp>出来高</stp>
        <tr r="V560" s="7"/>
      </tp>
      <tp t="s">
        <v>表示銘柄数超過</v>
        <stp/>
        <stp>Market</stp>
        <stp>STOCK</stp>
        <stp>50150.T</stp>
        <stp>出来高</stp>
        <tr r="V559" s="7"/>
      </tp>
      <tp t="s">
        <v>表示銘柄数超過</v>
        <stp/>
        <stp>Market</stp>
        <stp>STOCK</stp>
        <stp>50190.T</stp>
        <stp>出来高</stp>
        <tr r="V561" s="7"/>
      </tp>
      <tp t="s">
        <v>表示銘柄数超過</v>
        <stp/>
        <stp>Market</stp>
        <stp>STOCK</stp>
        <stp>50320.T</stp>
        <stp>出来高</stp>
        <tr r="V565" s="7"/>
      </tp>
      <tp t="s">
        <v>表示銘柄数超過</v>
        <stp/>
        <stp>Market</stp>
        <stp>STOCK</stp>
        <stp>50200.T</stp>
        <stp>出来高</stp>
        <tr r="V562" s="7"/>
      </tp>
      <tp t="s">
        <v>表示銘柄数超過</v>
        <stp/>
        <stp>Market</stp>
        <stp>STOCK</stp>
        <stp>50210.T</stp>
        <stp>出来高</stp>
        <tr r="V563" s="7"/>
      </tp>
      <tp t="s">
        <v>表示銘柄数超過</v>
        <stp/>
        <stp>Market</stp>
        <stp>STOCK</stp>
        <stp>50280.T</stp>
        <stp>出来高</stp>
        <tr r="V564" s="7"/>
      </tp>
      <tp>
        <v>12500</v>
        <stp/>
        <stp>Market</stp>
        <stp>STOCK</stp>
        <stp>53570.T</stp>
        <stp>出来高</stp>
        <tr r="V588" s="7"/>
      </tp>
      <tp>
        <v>22100</v>
        <stp/>
        <stp>Market</stp>
        <stp>STOCK</stp>
        <stp>53410.T</stp>
        <stp>出来高</stp>
        <tr r="V587" s="7"/>
      </tp>
      <tp>
        <v>2393200</v>
        <stp/>
        <stp>Market</stp>
        <stp>STOCK</stp>
        <stp>53340.T</stp>
        <stp>出来高</stp>
        <tr r="V586" s="7"/>
      </tp>
      <tp>
        <v>93500</v>
        <stp/>
        <stp>Market</stp>
        <stp>STOCK</stp>
        <stp>53810.T</stp>
        <stp>出来高</stp>
        <tr r="V589" s="7"/>
      </tp>
      <tp>
        <v>3887300</v>
        <stp/>
        <stp>Market</stp>
        <stp>STOCK</stp>
        <stp>52530.T</stp>
        <stp>出来高</stp>
        <tr r="V580" s="7"/>
      </tp>
      <tp>
        <v>98400</v>
        <stp/>
        <stp>Market</stp>
        <stp>STOCK</stp>
        <stp>52430.T</stp>
        <stp>出来高</stp>
        <tr r="V577" s="7"/>
      </tp>
      <tp>
        <v>4690100</v>
        <stp/>
        <stp>Market</stp>
        <stp>STOCK</stp>
        <stp>52460.T</stp>
        <stp>出来高</stp>
        <tr r="V579" s="7"/>
      </tp>
      <tp>
        <v>269200</v>
        <stp/>
        <stp>Market</stp>
        <stp>STOCK</stp>
        <stp>52440.T</stp>
        <stp>出来高</stp>
        <tr r="V578" s="7"/>
      </tp>
      <tp>
        <v>8400</v>
        <stp/>
        <stp>Market</stp>
        <stp>STOCK</stp>
        <stp>52770.T</stp>
        <stp>出来高</stp>
        <tr r="V583" s="7"/>
      </tp>
      <tp>
        <v>24700</v>
        <stp/>
        <stp>Market</stp>
        <stp>STOCK</stp>
        <stp>52620.T</stp>
        <stp>出来高</stp>
        <tr r="V581" s="7"/>
      </tp>
      <tp>
        <v>809200</v>
        <stp/>
        <stp>Market</stp>
        <stp>STOCK</stp>
        <stp>52690.T</stp>
        <stp>出来高</stp>
        <tr r="V582" s="7"/>
      </tp>
      <tp>
        <v>2900</v>
        <stp/>
        <stp>Market</stp>
        <stp>STOCK</stp>
        <stp>52160.T</stp>
        <stp>出来高</stp>
        <tr r="V576" s="7"/>
      </tp>
      <tp>
        <v>36900</v>
        <stp/>
        <stp>Market</stp>
        <stp>STOCK</stp>
        <stp>52040.T</stp>
        <stp>出来高</stp>
        <tr r="V575" s="7"/>
      </tp>
      <tp>
        <v>700</v>
        <stp/>
        <stp>Market</stp>
        <stp>STOCK</stp>
        <stp>52870.T</stp>
        <stp>出来高</stp>
        <tr r="V585" s="7"/>
      </tp>
      <tp>
        <v>346500</v>
        <stp/>
        <stp>Market</stp>
        <stp>STOCK</stp>
        <stp>52850.T</stp>
        <stp>出来高</stp>
        <tr r="V584" s="7"/>
      </tp>
      <tp>
        <v>469500</v>
        <stp/>
        <stp>Market</stp>
        <stp>STOCK</stp>
        <stp>55630.T</stp>
        <stp>出来高</stp>
        <tr r="V599" s="7"/>
      </tp>
      <tp>
        <v>325200</v>
        <stp/>
        <stp>Market</stp>
        <stp>STOCK</stp>
        <stp>55860.T</stp>
        <stp>出来高</stp>
        <tr r="V600" s="7"/>
      </tp>
      <tp>
        <v>29300</v>
        <stp/>
        <stp>Market</stp>
        <stp>STOCK</stp>
        <stp>54490.T</stp>
        <stp>出来高</stp>
        <tr r="V596" s="7"/>
      </tp>
      <tp>
        <v>52900</v>
        <stp/>
        <stp>Market</stp>
        <stp>STOCK</stp>
        <stp>54760.T</stp>
        <stp>出来高</stp>
        <tr r="V597" s="7"/>
      </tp>
      <tp>
        <v>214900</v>
        <stp/>
        <stp>Market</stp>
        <stp>STOCK</stp>
        <stp>54100.T</stp>
        <stp>出来高</stp>
        <tr r="V593" s="7"/>
      </tp>
      <tp>
        <v>7333500</v>
        <stp/>
        <stp>Market</stp>
        <stp>STOCK</stp>
        <stp>54110.T</stp>
        <stp>出来高</stp>
        <tr r="V594" s="7"/>
      </tp>
      <tp>
        <v>9754000</v>
        <stp/>
        <stp>Market</stp>
        <stp>STOCK</stp>
        <stp>54010.T</stp>
        <stp>出来高</stp>
        <tr r="V590" s="7"/>
      </tp>
      <tp>
        <v>8289300</v>
        <stp/>
        <stp>Market</stp>
        <stp>STOCK</stp>
        <stp>54060.T</stp>
        <stp>出来高</stp>
        <tr r="V591" s="7"/>
      </tp>
      <tp>
        <v>2734600</v>
        <stp/>
        <stp>Market</stp>
        <stp>STOCK</stp>
        <stp>54080.T</stp>
        <stp>出来高</stp>
        <tr r="V592" s="7"/>
      </tp>
      <tp>
        <v>263400</v>
        <stp/>
        <stp>Market</stp>
        <stp>STOCK</stp>
        <stp>54230.T</stp>
        <stp>出来高</stp>
        <tr r="V595" s="7"/>
      </tp>
      <tp>
        <v>18800</v>
        <stp/>
        <stp>Market</stp>
        <stp>STOCK</stp>
        <stp>54910.T</stp>
        <stp>出来高</stp>
        <tr r="V598" s="7"/>
      </tp>
      <tp>
        <v>70300</v>
        <stp/>
        <stp>Market</stp>
        <stp>STOCK</stp>
        <stp>57590.T</stp>
        <stp>出来高</stp>
        <tr r="V610" s="7"/>
      </tp>
      <tp>
        <v>782200</v>
        <stp/>
        <stp>Market</stp>
        <stp>STOCK</stp>
        <stp>57110.T</stp>
        <stp>出来高</stp>
        <tr r="V607" s="7"/>
      </tp>
      <tp>
        <v>182400</v>
        <stp/>
        <stp>Market</stp>
        <stp>STOCK</stp>
        <stp>57030.T</stp>
        <stp>出来高</stp>
        <tr r="V605" s="7"/>
      </tp>
      <tp>
        <v>103000</v>
        <stp/>
        <stp>Market</stp>
        <stp>STOCK</stp>
        <stp>57040.T</stp>
        <stp>出来高</stp>
        <tr r="V606" s="7"/>
      </tp>
      <tp>
        <v>4402000</v>
        <stp/>
        <stp>Market</stp>
        <stp>STOCK</stp>
        <stp>57260.T</stp>
        <stp>出来高</stp>
        <tr r="V608" s="7"/>
      </tp>
      <tp>
        <v>725900</v>
        <stp/>
        <stp>Market</stp>
        <stp>STOCK</stp>
        <stp>57270.T</stp>
        <stp>出来高</stp>
        <tr r="V609" s="7"/>
      </tp>
      <tp>
        <v>46900</v>
        <stp/>
        <stp>Market</stp>
        <stp>STOCK</stp>
        <stp>56580.T</stp>
        <stp>出来高</stp>
        <tr r="V603" s="7"/>
      </tp>
      <tp>
        <v>4400</v>
        <stp/>
        <stp>Market</stp>
        <stp>STOCK</stp>
        <stp>56120.T</stp>
        <stp>出来高</stp>
        <tr r="V601" s="7"/>
      </tp>
      <tp>
        <v>171800</v>
        <stp/>
        <stp>Market</stp>
        <stp>STOCK</stp>
        <stp>56320.T</stp>
        <stp>出来高</stp>
        <tr r="V602" s="7"/>
      </tp>
      <tp>
        <v>51100</v>
        <stp/>
        <stp>Market</stp>
        <stp>STOCK</stp>
        <stp>56980.T</stp>
        <stp>出来高</stp>
        <tr r="V604" s="7"/>
      </tp>
      <tp>
        <v>31100</v>
        <stp/>
        <stp>Market</stp>
        <stp>STOCK</stp>
        <stp>59520.T</stp>
        <stp>出来高</stp>
        <tr r="V626" s="7"/>
      </tp>
      <tp>
        <v>8200</v>
        <stp/>
        <stp>Market</stp>
        <stp>STOCK</stp>
        <stp>59500.T</stp>
        <stp>出来高</stp>
        <tr r="V625" s="7"/>
      </tp>
      <tp>
        <v>432300</v>
        <stp/>
        <stp>Market</stp>
        <stp>STOCK</stp>
        <stp>59550.T</stp>
        <stp>出来高</stp>
        <tr r="V627" s="7"/>
      </tp>
      <tp>
        <v>540200</v>
        <stp/>
        <stp>Market</stp>
        <stp>STOCK</stp>
        <stp>59400.T</stp>
        <stp>出来高</stp>
        <tr r="V622" s="7"/>
      </tp>
      <tp>
        <v>330000</v>
        <stp/>
        <stp>Market</stp>
        <stp>STOCK</stp>
        <stp>59470.T</stp>
        <stp>出来高</stp>
        <tr r="V623" s="7"/>
      </tp>
      <tp>
        <v>210900</v>
        <stp/>
        <stp>Market</stp>
        <stp>STOCK</stp>
        <stp>59490.T</stp>
        <stp>出来高</stp>
        <tr r="V624" s="7"/>
      </tp>
      <tp>
        <v>147600</v>
        <stp/>
        <stp>Market</stp>
        <stp>STOCK</stp>
        <stp>59700.T</stp>
        <stp>出来高</stp>
        <tr r="V629" s="7"/>
      </tp>
      <tp>
        <v>130700</v>
        <stp/>
        <stp>Market</stp>
        <stp>STOCK</stp>
        <stp>59760.T</stp>
        <stp>出来高</stp>
        <tr r="V630" s="7"/>
      </tp>
      <tp>
        <v>5300</v>
        <stp/>
        <stp>Market</stp>
        <stp>STOCK</stp>
        <stp>59660.T</stp>
        <stp>出来高</stp>
        <tr r="V628" s="7"/>
      </tp>
      <tp>
        <v>7000</v>
        <stp/>
        <stp>Market</stp>
        <stp>STOCK</stp>
        <stp>59090.T</stp>
        <stp>出来高</stp>
        <tr r="V618" s="7"/>
      </tp>
      <tp>
        <v>11300</v>
        <stp/>
        <stp>Market</stp>
        <stp>STOCK</stp>
        <stp>59360.T</stp>
        <stp>出来高</stp>
        <tr r="V620" s="7"/>
      </tp>
      <tp>
        <v>1570700</v>
        <stp/>
        <stp>Market</stp>
        <stp>STOCK</stp>
        <stp>59380.T</stp>
        <stp>出来高</stp>
        <tr r="V621" s="7"/>
      </tp>
      <tp>
        <v>41800</v>
        <stp/>
        <stp>Market</stp>
        <stp>STOCK</stp>
        <stp>59280.T</stp>
        <stp>出来高</stp>
        <tr r="V619" s="7"/>
      </tp>
      <tp>
        <v>209800</v>
        <stp/>
        <stp>Market</stp>
        <stp>STOCK</stp>
        <stp>59910.T</stp>
        <stp>出来高</stp>
        <tr r="V633" s="7"/>
      </tp>
      <tp>
        <v>6300</v>
        <stp/>
        <stp>Market</stp>
        <stp>STOCK</stp>
        <stp>59970.T</stp>
        <stp>出来高</stp>
        <tr r="V635" s="7"/>
      </tp>
      <tp>
        <v>11200</v>
        <stp/>
        <stp>Market</stp>
        <stp>STOCK</stp>
        <stp>59940.T</stp>
        <stp>出来高</stp>
        <tr r="V634" s="7"/>
      </tp>
      <tp>
        <v>27000</v>
        <stp/>
        <stp>Market</stp>
        <stp>STOCK</stp>
        <stp>59810.T</stp>
        <stp>出来高</stp>
        <tr r="V631" s="7"/>
      </tp>
      <tp>
        <v>28800</v>
        <stp/>
        <stp>Market</stp>
        <stp>STOCK</stp>
        <stp>59860.T</stp>
        <stp>出来高</stp>
        <tr r="V632" s="7"/>
      </tp>
      <tp>
        <v>642700</v>
        <stp/>
        <stp>Market</stp>
        <stp>STOCK</stp>
        <stp>58520.T</stp>
        <stp>出来高</stp>
        <tr r="V616" s="7"/>
      </tp>
      <tp>
        <v>48500</v>
        <stp/>
        <stp>Market</stp>
        <stp>STOCK</stp>
        <stp>58560.T</stp>
        <stp>出来高</stp>
        <tr r="V617" s="7"/>
      </tp>
      <tp>
        <v>3058000</v>
        <stp/>
        <stp>Market</stp>
        <stp>STOCK</stp>
        <stp>58020.T</stp>
        <stp>出来高</stp>
        <tr r="V612" s="7"/>
      </tp>
      <tp>
        <v>2001100</v>
        <stp/>
        <stp>Market</stp>
        <stp>STOCK</stp>
        <stp>58030.T</stp>
        <stp>出来高</stp>
        <tr r="V613" s="7"/>
      </tp>
      <tp>
        <v>600100</v>
        <stp/>
        <stp>Market</stp>
        <stp>STOCK</stp>
        <stp>58010.T</stp>
        <stp>出来高</stp>
        <tr r="V611" s="7"/>
      </tp>
      <tp>
        <v>472000</v>
        <stp/>
        <stp>Market</stp>
        <stp>STOCK</stp>
        <stp>58320.T</stp>
        <stp>出来高</stp>
        <tr r="V614" s="7"/>
      </tp>
      <tp>
        <v>941000</v>
        <stp/>
        <stp>Market</stp>
        <stp>STOCK</stp>
        <stp>58380.T</stp>
        <stp>出来高</stp>
        <tr r="V615" s="7"/>
      </tp>
      <tp t="s">
        <v>表示銘柄数超過</v>
        <stp/>
        <stp>Market</stp>
        <stp>STOCK</stp>
        <stp>99270.T</stp>
        <stp>高値</stp>
        <tr r="N1181" s="7"/>
      </tp>
      <tp t="s">
        <v>表示銘柄数超過</v>
        <stp/>
        <stp>Market</stp>
        <stp>STOCK</stp>
        <stp>92470.T</stp>
        <stp>高値</stp>
        <tr r="N1101" s="7"/>
      </tp>
      <tp t="s">
        <v>表示銘柄数超過</v>
        <stp/>
        <stp>Market</stp>
        <stp>STOCK</stp>
        <stp>93070.T</stp>
        <stp>高値</stp>
        <tr r="N1109" s="7"/>
      </tp>
      <tp t="s">
        <v>表示銘柄数超過</v>
        <stp/>
        <stp>Market</stp>
        <stp>STOCK</stp>
        <stp>90070.T</stp>
        <stp>高値</stp>
        <tr r="N1077" s="7"/>
      </tp>
      <tp t="s">
        <v>表示銘柄数超過</v>
        <stp/>
        <stp>Market</stp>
        <stp>STOCK</stp>
        <stp>91070.T</stp>
        <stp>高値</stp>
        <tr r="N1095" s="7"/>
      </tp>
      <tp t="s">
        <v>表示銘柄数超過</v>
        <stp/>
        <stp>Market</stp>
        <stp>STOCK</stp>
        <stp>97870.T</stp>
        <stp>高値</stp>
        <tr r="N1168" s="7"/>
      </tp>
      <tp t="s">
        <v>表示銘柄数超過</v>
        <stp/>
        <stp>Market</stp>
        <stp>STOCK</stp>
        <stp>94170.T</stp>
        <stp>高値</stp>
        <tr r="N1121" s="7"/>
      </tp>
      <tp t="s">
        <v>表示銘柄数超過</v>
        <stp/>
        <stp>Market</stp>
        <stp>STOCK</stp>
        <stp>95570.T</stp>
        <stp>高値</stp>
        <tr r="N1156" s="7"/>
      </tp>
      <tp t="s">
        <v>表示銘柄数超過</v>
        <stp/>
        <stp>Market</stp>
        <stp>STOCK</stp>
        <stp>95070.T</stp>
        <stp>高値</stp>
        <tr r="N1146" s="7"/>
      </tp>
      <tp t="s">
        <v>表示銘柄数超過</v>
        <stp/>
        <stp>Market</stp>
        <stp>STOCK</stp>
        <stp>88970.T</stp>
        <stp>高値</stp>
        <tr r="N1061" s="7"/>
      </tp>
      <tp t="s">
        <v>表示銘柄数超過</v>
        <stp/>
        <stp>Market</stp>
        <stp>STOCK</stp>
        <stp>88870.T</stp>
        <stp>高値</stp>
        <tr r="N1058" s="7"/>
      </tp>
      <tp t="s">
        <v>表示銘柄数超過</v>
        <stp/>
        <stp>Market</stp>
        <stp>STOCK</stp>
        <stp>89270.T</stp>
        <stp>高値</stp>
        <tr r="N1067" s="7"/>
      </tp>
      <tp>
        <v>503</v>
        <stp/>
        <stp>Market</stp>
        <stp>STOCK</stp>
        <stp>82470.T</stp>
        <stp>高値</stp>
        <tr r="N998" s="7"/>
      </tp>
      <tp>
        <v>3598</v>
        <stp/>
        <stp>Market</stp>
        <stp>STOCK</stp>
        <stp>82670.T</stp>
        <stp>高値</stp>
        <tr r="N1001" s="7"/>
      </tp>
      <tp>
        <v>317</v>
        <stp/>
        <stp>Market</stp>
        <stp>STOCK</stp>
        <stp>82070.T</stp>
        <stp>高値</stp>
        <tr r="N992" s="7"/>
      </tp>
      <tp>
        <v>973</v>
        <stp/>
        <stp>Market</stp>
        <stp>STOCK</stp>
        <stp>82370.T</stp>
        <stp>高値</stp>
        <tr r="N995" s="7"/>
      </tp>
      <tp>
        <v>1062</v>
        <stp/>
        <stp>Market</stp>
        <stp>STOCK</stp>
        <stp>83870.T</stp>
        <stp>高値</stp>
        <tr r="N1009" s="7"/>
      </tp>
      <tp>
        <v>1594</v>
        <stp/>
        <stp>Market</stp>
        <stp>STOCK</stp>
        <stp>83770.T</stp>
        <stp>高値</stp>
        <tr r="N1007" s="7"/>
      </tp>
      <tp>
        <v>858</v>
        <stp/>
        <stp>Market</stp>
        <stp>STOCK</stp>
        <stp>83370.T</stp>
        <stp>高値</stp>
        <tr r="N1005" s="7"/>
      </tp>
      <tp>
        <v>297</v>
        <stp/>
        <stp>Market</stp>
        <stp>STOCK</stp>
        <stp>80770.T</stp>
        <stp>高値</stp>
        <tr r="N973" s="7"/>
      </tp>
      <tp>
        <v>3335</v>
        <stp/>
        <stp>Market</stp>
        <stp>STOCK</stp>
        <stp>86970.T</stp>
        <stp>高値</stp>
        <tr r="N1035" s="7"/>
      </tp>
      <tp>
        <v>595</v>
        <stp/>
        <stp>Market</stp>
        <stp>STOCK</stp>
        <stp>86170.T</stp>
        <stp>高値</stp>
        <tr r="N1031" s="7"/>
      </tp>
      <tp>
        <v>507</v>
        <stp/>
        <stp>Market</stp>
        <stp>STOCK</stp>
        <stp>87370.T</stp>
        <stp>高値</stp>
        <tr r="N1041" s="7"/>
      </tp>
      <tp>
        <v>116</v>
        <stp/>
        <stp>Market</stp>
        <stp>STOCK</stp>
        <stp>78970.T</stp>
        <stp>高値</stp>
        <tr r="N952" s="7"/>
      </tp>
      <tp>
        <v>2387</v>
        <stp/>
        <stp>Market</stp>
        <stp>STOCK</stp>
        <stp>78670.T</stp>
        <stp>高値</stp>
        <tr r="N949" s="7"/>
      </tp>
      <tp>
        <v>437</v>
        <stp/>
        <stp>Market</stp>
        <stp>STOCK</stp>
        <stp>78370.T</stp>
        <stp>高値</stp>
        <tr r="N944" s="7"/>
      </tp>
      <tp>
        <v>811</v>
        <stp/>
        <stp>Market</stp>
        <stp>STOCK</stp>
        <stp>79970.T</stp>
        <stp>高値</stp>
        <tr r="N963" s="7"/>
      </tp>
      <tp>
        <v>504</v>
        <stp/>
        <stp>Market</stp>
        <stp>STOCK</stp>
        <stp>72470.T</stp>
        <stp>高値</stp>
        <tr r="N860" s="7"/>
      </tp>
      <tp>
        <v>1735</v>
        <stp/>
        <stp>Market</stp>
        <stp>STOCK</stp>
        <stp>72670.T</stp>
        <stp>高値</stp>
        <tr r="N864" s="7"/>
      </tp>
      <tp>
        <v>857</v>
        <stp/>
        <stp>Market</stp>
        <stp>STOCK</stp>
        <stp>73170.T</stp>
        <stp>高値</stp>
        <tr r="N874" s="7"/>
      </tp>
      <tp>
        <v>985.8</v>
        <stp/>
        <stp>Market</stp>
        <stp>STOCK</stp>
        <stp>73370.T</stp>
        <stp>高値</stp>
        <tr r="N875" s="7"/>
      </tp>
      <tp>
        <v>2506</v>
        <stp/>
        <stp>Market</stp>
        <stp>STOCK</stp>
        <stp>70470.T</stp>
        <stp>高値</stp>
        <tr r="N815" s="7"/>
      </tp>
      <tp>
        <v>529</v>
        <stp/>
        <stp>Market</stp>
        <stp>STOCK</stp>
        <stp>70370.T</stp>
        <stp>高値</stp>
        <tr r="N811" s="7"/>
      </tp>
      <tp>
        <v>689</v>
        <stp/>
        <stp>Market</stp>
        <stp>STOCK</stp>
        <stp>71770.T</stp>
        <stp>高値</stp>
        <tr r="N837" s="7"/>
      </tp>
      <tp>
        <v>435.2</v>
        <stp/>
        <stp>Market</stp>
        <stp>STOCK</stp>
        <stp>71670.T</stp>
        <stp>高値</stp>
        <tr r="N834" s="7"/>
      </tp>
      <tp>
        <v>26</v>
        <stp/>
        <stp>Market</stp>
        <stp>STOCK</stp>
        <stp>76470.T</stp>
        <stp>高値</stp>
        <tr r="N918" s="7"/>
      </tp>
      <tp>
        <v>109</v>
        <stp/>
        <stp>Market</stp>
        <stp>STOCK</stp>
        <stp>77770.T</stp>
        <stp>高値</stp>
        <tr r="N933" s="7"/>
      </tp>
      <tp>
        <v>454</v>
        <stp/>
        <stp>Market</stp>
        <stp>STOCK</stp>
        <stp>75670.T</stp>
        <stp>高値</stp>
        <tr r="N904" s="7"/>
      </tp>
      <tp>
        <v>59</v>
        <stp/>
        <stp>Market</stp>
        <stp>STOCK</stp>
        <stp>75270.T</stp>
        <stp>高値</stp>
        <tr r="N901" s="7"/>
      </tp>
      <tp>
        <v>513</v>
        <stp/>
        <stp>Market</stp>
        <stp>STOCK</stp>
        <stp>68970.T</stp>
        <stp>高値</stp>
        <tr r="N783" s="7"/>
      </tp>
      <tp>
        <v>6195</v>
        <stp/>
        <stp>Market</stp>
        <stp>STOCK</stp>
        <stp>68570.T</stp>
        <stp>高値</stp>
        <tr r="N778" s="7"/>
      </tp>
      <tp>
        <v>736</v>
        <stp/>
        <stp>Market</stp>
        <stp>STOCK</stp>
        <stp>68670.T</stp>
        <stp>高値</stp>
        <tr r="N781" s="7"/>
      </tp>
      <tp>
        <v>1403</v>
        <stp/>
        <stp>Market</stp>
        <stp>STOCK</stp>
        <stp>69970.T</stp>
        <stp>高値</stp>
        <tr r="N803" s="7"/>
      </tp>
      <tp>
        <v>501</v>
        <stp/>
        <stp>Market</stp>
        <stp>STOCK</stp>
        <stp>69070.T</stp>
        <stp>高値</stp>
        <tr r="N786" s="7"/>
      </tp>
      <tp>
        <v>534</v>
        <stp/>
        <stp>Market</stp>
        <stp>STOCK</stp>
        <stp>69270.T</stp>
        <stp>高値</stp>
        <tr r="N789" s="7"/>
      </tp>
      <tp>
        <v>487</v>
        <stp/>
        <stp>Market</stp>
        <stp>STOCK</stp>
        <stp>62970.T</stp>
        <stp>高値</stp>
        <tr r="N684" s="7"/>
      </tp>
      <tp>
        <v>224</v>
        <stp/>
        <stp>Market</stp>
        <stp>STOCK</stp>
        <stp>63470.T</stp>
        <stp>高値</stp>
        <tr r="N692" s="7"/>
      </tp>
      <tp>
        <v>770</v>
        <stp/>
        <stp>Market</stp>
        <stp>STOCK</stp>
        <stp>60470.T</stp>
        <stp>高値</stp>
        <tr r="N643" s="7"/>
      </tp>
      <tp>
        <v>100</v>
        <stp/>
        <stp>Market</stp>
        <stp>STOCK</stp>
        <stp>61770.T</stp>
        <stp>高値</stp>
        <tr r="N665" s="7"/>
      </tp>
      <tp>
        <v>714</v>
        <stp/>
        <stp>Market</stp>
        <stp>STOCK</stp>
        <stp>61670.T</stp>
        <stp>高値</stp>
        <tr r="N662" s="7"/>
      </tp>
      <tp>
        <v>4020</v>
        <stp/>
        <stp>Market</stp>
        <stp>STOCK</stp>
        <stp>66770.T</stp>
        <stp>高値</stp>
        <tr r="N752" s="7"/>
      </tp>
      <tp>
        <v>2379</v>
        <stp/>
        <stp>Market</stp>
        <stp>STOCK</stp>
        <stp>66170.T</stp>
        <stp>高値</stp>
        <tr r="N737" s="7"/>
      </tp>
      <tp>
        <v>3870</v>
        <stp/>
        <stp>Market</stp>
        <stp>STOCK</stp>
        <stp>67770.T</stp>
        <stp>高値</stp>
        <tr r="N772" s="7"/>
      </tp>
      <tp>
        <v>365</v>
        <stp/>
        <stp>Market</stp>
        <stp>STOCK</stp>
        <stp>64670.T</stp>
        <stp>高値</stp>
        <tr r="N704" s="7"/>
      </tp>
      <tp>
        <v>1527</v>
        <stp/>
        <stp>Market</stp>
        <stp>STOCK</stp>
        <stp>65570.T</stp>
        <stp>高値</stp>
        <tr r="N728" s="7"/>
      </tp>
      <tp>
        <v>2301</v>
        <stp/>
        <stp>Market</stp>
        <stp>STOCK</stp>
        <stp>65070.T</stp>
        <stp>高値</stp>
        <tr r="N717" s="7"/>
      </tp>
      <tp>
        <v>327</v>
        <stp/>
        <stp>Market</stp>
        <stp>STOCK</stp>
        <stp>65370.T</stp>
        <stp>高値</stp>
        <tr r="N720" s="7"/>
      </tp>
      <tp>
        <v>677</v>
        <stp/>
        <stp>Market</stp>
        <stp>STOCK</stp>
        <stp>59970.T</stp>
        <stp>高値</stp>
        <tr r="N635" s="7"/>
      </tp>
      <tp>
        <v>3256</v>
        <stp/>
        <stp>Market</stp>
        <stp>STOCK</stp>
        <stp>59470.T</stp>
        <stp>高値</stp>
        <tr r="N623" s="7"/>
      </tp>
      <tp>
        <v>591</v>
        <stp/>
        <stp>Market</stp>
        <stp>STOCK</stp>
        <stp>52870.T</stp>
        <stp>高値</stp>
        <tr r="N585" s="7"/>
      </tp>
      <tp>
        <v>266</v>
        <stp/>
        <stp>Market</stp>
        <stp>STOCK</stp>
        <stp>52770.T</stp>
        <stp>高値</stp>
        <tr r="N583" s="7"/>
      </tp>
      <tp>
        <v>1468</v>
        <stp/>
        <stp>Market</stp>
        <stp>STOCK</stp>
        <stp>53570.T</stp>
        <stp>高値</stp>
        <tr r="N588" s="7"/>
      </tp>
      <tp t="s">
        <v>表示銘柄数超過</v>
        <stp/>
        <stp>Market</stp>
        <stp>STOCK</stp>
        <stp>50170.T</stp>
        <stp>高値</stp>
        <tr r="N560" s="7"/>
      </tp>
      <tp>
        <v>1911</v>
        <stp/>
        <stp>Market</stp>
        <stp>STOCK</stp>
        <stp>57270.T</stp>
        <stp>高値</stp>
        <tr r="N609" s="7"/>
      </tp>
      <tp t="s">
        <v>表示銘柄数超過</v>
        <stp/>
        <stp>Market</stp>
        <stp>STOCK</stp>
        <stp>48470.T</stp>
        <stp>高値</stp>
        <tr r="N544" s="7"/>
      </tp>
      <tp t="s">
        <v>表示銘柄数超過</v>
        <stp/>
        <stp>Market</stp>
        <stp>STOCK</stp>
        <stp>48370.T</stp>
        <stp>高値</stp>
        <tr r="N542" s="7"/>
      </tp>
      <tp>
        <v>691</v>
        <stp/>
        <stp>Market</stp>
        <stp>STOCK</stp>
        <stp>49970.T</stp>
        <stp>高値</stp>
        <tr r="N557" s="7"/>
      </tp>
      <tp t="s">
        <v>表示銘柄数超過</v>
        <stp/>
        <stp>Market</stp>
        <stp>STOCK</stp>
        <stp>42870.T</stp>
        <stp>高値</stp>
        <tr r="N438" s="7"/>
      </tp>
      <tp t="s">
        <v>表示銘柄数超過</v>
        <stp/>
        <stp>Market</stp>
        <stp>STOCK</stp>
        <stp>42370.T</stp>
        <stp>高値</stp>
        <tr r="N427" s="7"/>
      </tp>
      <tp t="s">
        <v>表示銘柄数超過</v>
        <stp/>
        <stp>Market</stp>
        <stp>STOCK</stp>
        <stp>43370.T</stp>
        <stp>高値</stp>
        <tr r="N444" s="7"/>
      </tp>
      <tp t="s">
        <v>表示銘柄数超過</v>
        <stp/>
        <stp>Market</stp>
        <stp>STOCK</stp>
        <stp>40270.T</stp>
        <stp>高値</stp>
        <tr r="N413" s="7"/>
      </tp>
      <tp t="s">
        <v>表示銘柄数超過</v>
        <stp/>
        <stp>Market</stp>
        <stp>STOCK</stp>
        <stp>41670.T</stp>
        <stp>高値</stp>
        <tr r="N418" s="7"/>
      </tp>
      <tp t="s">
        <v>表示銘柄数超過</v>
        <stp/>
        <stp>Market</stp>
        <stp>STOCK</stp>
        <stp>46570.T</stp>
        <stp>高値</stp>
        <tr r="N514" s="7"/>
      </tp>
      <tp t="s">
        <v>表示銘柄数超過</v>
        <stp/>
        <stp>Market</stp>
        <stp>STOCK</stp>
        <stp>46670.T</stp>
        <stp>高値</stp>
        <tr r="N516" s="7"/>
        <tr r="N517" s="7"/>
      </tp>
      <tp t="s">
        <v>表示銘柄数超過</v>
        <stp/>
        <stp>Market</stp>
        <stp>STOCK</stp>
        <stp>47770.T</stp>
        <stp>高値</stp>
        <tr r="N534" s="7"/>
      </tp>
      <tp t="s">
        <v>表示銘柄数超過</v>
        <stp/>
        <stp>Market</stp>
        <stp>STOCK</stp>
        <stp>47670.T</stp>
        <stp>高値</stp>
        <tr r="N531" s="7"/>
      </tp>
      <tp t="s">
        <v>表示銘柄数超過</v>
        <stp/>
        <stp>Market</stp>
        <stp>STOCK</stp>
        <stp>47070.T</stp>
        <stp>高値</stp>
        <tr r="N523" s="7"/>
      </tp>
      <tp t="s">
        <v>表示銘柄数超過</v>
        <stp/>
        <stp>Market</stp>
        <stp>STOCK</stp>
        <stp>44870.T</stp>
        <stp>高値</stp>
        <tr r="N476" s="7"/>
      </tp>
      <tp t="s">
        <v>表示銘柄数超過</v>
        <stp/>
        <stp>Market</stp>
        <stp>STOCK</stp>
        <stp>44770.T</stp>
        <stp>高値</stp>
        <tr r="N473" s="7"/>
      </tp>
      <tp t="s">
        <v>表示銘柄数超過</v>
        <stp/>
        <stp>Market</stp>
        <stp>STOCK</stp>
        <stp>44270.T</stp>
        <stp>高値</stp>
        <tr r="N463" s="7"/>
      </tp>
      <tp t="s">
        <v>表示銘柄数超過</v>
        <stp/>
        <stp>Market</stp>
        <stp>STOCK</stp>
        <stp>45970.T</stp>
        <stp>高値</stp>
        <tr r="N507" s="7"/>
      </tp>
      <tp t="s">
        <v>表示銘柄数超過</v>
        <stp/>
        <stp>Market</stp>
        <stp>STOCK</stp>
        <stp>45070.T</stp>
        <stp>高値</stp>
        <tr r="N481" s="7"/>
      </tp>
      <tp t="s">
        <v>表示銘柄数超過</v>
        <stp/>
        <stp>Market</stp>
        <stp>STOCK</stp>
        <stp>38070.T</stp>
        <stp>高値</stp>
        <tr r="N361" s="7"/>
      </tp>
      <tp t="s">
        <v>表示銘柄数超過</v>
        <stp/>
        <stp>Market</stp>
        <stp>STOCK</stp>
        <stp>39970.T</stp>
        <stp>高値</stp>
        <tr r="N408" s="7"/>
      </tp>
      <tp t="s">
        <v>表示銘柄数超過</v>
        <stp/>
        <stp>Market</stp>
        <stp>STOCK</stp>
        <stp>39870.T</stp>
        <stp>高値</stp>
        <tr r="N403" s="7"/>
      </tp>
      <tp t="s">
        <v>表示銘柄数超過</v>
        <stp/>
        <stp>Market</stp>
        <stp>STOCK</stp>
        <stp>39170.T</stp>
        <stp>高値</stp>
        <tr r="N391" s="7"/>
      </tp>
      <tp t="s">
        <v>表示銘柄数超過</v>
        <stp/>
        <stp>Market</stp>
        <stp>STOCK</stp>
        <stp>39070.T</stp>
        <stp>高値</stp>
        <tr r="N387" s="7"/>
      </tp>
      <tp t="s">
        <v>表示銘柄数超過</v>
        <stp/>
        <stp>Market</stp>
        <stp>STOCK</stp>
        <stp>39270.T</stp>
        <stp>高値</stp>
        <tr r="N393" s="7"/>
      </tp>
      <tp t="s">
        <v>表示銘柄数超過</v>
        <stp/>
        <stp>Market</stp>
        <stp>STOCK</stp>
        <stp>32970.T</stp>
        <stp>高値</stp>
        <tr r="N273" s="7"/>
      </tp>
      <tp t="s">
        <v>表示銘柄数超過</v>
        <stp/>
        <stp>Market</stp>
        <stp>STOCK</stp>
        <stp>32370.T</stp>
        <stp>高値</stp>
        <tr r="N260" s="7"/>
      </tp>
      <tp t="s">
        <v>表示銘柄数超過</v>
        <stp/>
        <stp>Market</stp>
        <stp>STOCK</stp>
        <stp>33770.T</stp>
        <stp>高値</stp>
        <tr r="N289" s="7"/>
      </tp>
      <tp t="s">
        <v>表示銘柄数超過</v>
        <stp/>
        <stp>Market</stp>
        <stp>STOCK</stp>
        <stp>31970.T</stp>
        <stp>高値</stp>
        <tr r="N257" s="7"/>
      </tp>
      <tp t="s">
        <v>表示銘柄数超過</v>
        <stp/>
        <stp>Market</stp>
        <stp>STOCK</stp>
        <stp>31870.T</stp>
        <stp>高値</stp>
        <tr r="N254" s="7"/>
      </tp>
      <tp t="s">
        <v>表示銘柄数超過</v>
        <stp/>
        <stp>Market</stp>
        <stp>STOCK</stp>
        <stp>31370.T</stp>
        <stp>高値</stp>
        <tr r="N246" s="7"/>
      </tp>
      <tp t="s">
        <v>表示銘柄数超過</v>
        <stp/>
        <stp>Market</stp>
        <stp>STOCK</stp>
        <stp>36470.T</stp>
        <stp>高値</stp>
        <tr r="N320" s="7"/>
      </tp>
      <tp t="s">
        <v>表示銘柄数超過</v>
        <stp/>
        <stp>Market</stp>
        <stp>STOCK</stp>
        <stp>36770.T</stp>
        <stp>高値</stp>
        <tr r="N335" s="7"/>
      </tp>
      <tp t="s">
        <v>表示銘柄数超過</v>
        <stp/>
        <stp>Market</stp>
        <stp>STOCK</stp>
        <stp>36670.T</stp>
        <stp>高値</stp>
        <tr r="N330" s="7"/>
      </tp>
      <tp t="s">
        <v>表示銘柄数超過</v>
        <stp/>
        <stp>Market</stp>
        <stp>STOCK</stp>
        <stp>36070.T</stp>
        <stp>高値</stp>
        <tr r="N311" s="7"/>
      </tp>
      <tp t="s">
        <v>表示銘柄数超過</v>
        <stp/>
        <stp>Market</stp>
        <stp>STOCK</stp>
        <stp>36270.T</stp>
        <stp>高値</stp>
        <tr r="N315" s="7"/>
      </tp>
      <tp t="s">
        <v>表示銘柄数超過</v>
        <stp/>
        <stp>Market</stp>
        <stp>STOCK</stp>
        <stp>37470.T</stp>
        <stp>高値</stp>
        <tr r="N350" s="7"/>
      </tp>
      <tp t="s">
        <v>表示銘柄数超過</v>
        <stp/>
        <stp>Market</stp>
        <stp>STOCK</stp>
        <stp>37770.T</stp>
        <stp>高値</stp>
        <tr r="N356" s="7"/>
      </tp>
      <tp t="s">
        <v>表示銘柄数超過</v>
        <stp/>
        <stp>Market</stp>
        <stp>STOCK</stp>
        <stp>37270.T</stp>
        <stp>高値</stp>
        <tr r="N347" s="7"/>
      </tp>
      <tp t="s">
        <v>表示銘柄数超過</v>
        <stp/>
        <stp>Market</stp>
        <stp>STOCK</stp>
        <stp>34070.T</stp>
        <stp>高値</stp>
        <tr r="N295" s="7"/>
      </tp>
      <tp t="s">
        <v>表示銘柄数超過</v>
        <stp/>
        <stp>Market</stp>
        <stp>STOCK</stp>
        <stp>28570.T</stp>
        <stp>高値</stp>
        <tr r="N207" s="7"/>
      </tp>
      <tp t="s">
        <v>表示銘柄数超過</v>
        <stp/>
        <stp>Market</stp>
        <stp>STOCK</stp>
        <stp>29970.T</stp>
        <stp>高値</stp>
        <tr r="N220" s="7"/>
      </tp>
      <tp t="s">
        <v>表示銘柄数超過</v>
        <stp/>
        <stp>Market</stp>
        <stp>STOCK</stp>
        <stp>29870.T</stp>
        <stp>高値</stp>
        <tr r="N218" s="7"/>
      </tp>
      <tp t="s">
        <v>表示銘柄数超過</v>
        <stp/>
        <stp>Market</stp>
        <stp>STOCK</stp>
        <stp>23170.T</stp>
        <stp>高値</stp>
        <tr r="N114" s="7"/>
      </tp>
      <tp t="s">
        <v>表示銘柄数超過</v>
        <stp/>
        <stp>Market</stp>
        <stp>STOCK</stp>
        <stp>23370.T</stp>
        <stp>高値</stp>
        <tr r="N118" s="7"/>
      </tp>
      <tp t="s">
        <v>表示銘柄数超過</v>
        <stp/>
        <stp>Market</stp>
        <stp>STOCK</stp>
        <stp>21270.T</stp>
        <stp>高値</stp>
        <tr r="N91" s="7"/>
      </tp>
      <tp t="s">
        <v>表示銘柄数超過</v>
        <stp/>
        <stp>Market</stp>
        <stp>STOCK</stp>
        <stp>26670.T</stp>
        <stp>高値</stp>
        <tr r="N178" s="7"/>
      </tp>
      <tp t="s">
        <v>表示銘柄数超過</v>
        <stp/>
        <stp>Market</stp>
        <stp>STOCK</stp>
        <stp>27670.T</stp>
        <stp>高値</stp>
        <tr r="N195" s="7"/>
      </tp>
      <tp t="s">
        <v>表示銘柄数超過</v>
        <stp/>
        <stp>Market</stp>
        <stp>STOCK</stp>
        <stp>24970.T</stp>
        <stp>高値</stp>
        <tr r="N155" s="7"/>
      </tp>
      <tp t="s">
        <v>表示銘柄数超過</v>
        <stp/>
        <stp>Market</stp>
        <stp>STOCK</stp>
        <stp>24370.T</stp>
        <stp>高値</stp>
        <tr r="N143" s="7"/>
      </tp>
      <tp t="s">
        <v>表示銘柄数超過</v>
        <stp/>
        <stp>Market</stp>
        <stp>STOCK</stp>
        <stp>25970.T</stp>
        <stp>高値</stp>
        <tr r="N168" s="7"/>
      </tp>
      <tp t="s">
        <v>表示銘柄数超過</v>
        <stp/>
        <stp>Market</stp>
        <stp>STOCK</stp>
        <stp>25870.T</stp>
        <stp>高値</stp>
        <tr r="N166" s="7"/>
      </tp>
      <tp t="s">
        <v>表示銘柄数超過</v>
        <stp/>
        <stp>Market</stp>
        <stp>STOCK</stp>
        <stp>25670.T</stp>
        <stp>高値</stp>
        <tr r="N162" s="7"/>
      </tp>
      <tp t="s">
        <v>表示銘柄数超過</v>
        <stp/>
        <stp>Market</stp>
        <stp>STOCK</stp>
        <stp>18870.T</stp>
        <stp>高値</stp>
        <tr r="N69" s="7"/>
      </tp>
      <tp t="s">
        <v>表示銘柄数超過</v>
        <stp/>
        <stp>Market</stp>
        <stp>STOCK</stp>
        <stp>18270.T</stp>
        <stp>高値</stp>
        <tr r="N64" s="7"/>
      </tp>
      <tp>
        <v>180</v>
        <stp/>
        <stp>Market</stp>
        <stp>STOCK</stp>
        <stp>13570.T</stp>
        <stp>高値</stp>
        <tr r="N12" s="7"/>
      </tp>
      <tp t="s">
        <v>表示銘柄数超過</v>
        <stp/>
        <stp>Market</stp>
        <stp>STOCK</stp>
        <stp>17570.T</stp>
        <stp>高値</stp>
        <tr r="N54" s="7"/>
      </tp>
      <tp t="s">
        <v>表示銘柄数超過</v>
        <stp/>
        <stp>Market</stp>
        <stp>STOCK</stp>
        <stp>14070.T</stp>
        <stp>高値</stp>
        <tr r="N19" s="7"/>
      </tp>
      <tp t="s">
        <v/>
        <stp/>
        <stp>Market</stp>
        <stp>STOCK</stp>
        <stp/>
        <stp>高値</stp>
        <tr r="N914" s="7"/>
        <tr r="N1193" s="7"/>
        <tr r="N1197" s="7"/>
        <tr r="N1201" s="7"/>
        <tr r="N1205" s="7"/>
        <tr r="N1209" s="7"/>
        <tr r="N1213" s="7"/>
        <tr r="N1217" s="7"/>
        <tr r="N1221" s="7"/>
        <tr r="N1225" s="7"/>
        <tr r="N1229" s="7"/>
        <tr r="N1233" s="7"/>
        <tr r="N1237" s="7"/>
        <tr r="N1241" s="7"/>
        <tr r="N1245" s="7"/>
        <tr r="N1249" s="7"/>
        <tr r="N1253" s="7"/>
        <tr r="N1194" s="7"/>
        <tr r="N1198" s="7"/>
        <tr r="N1202" s="7"/>
        <tr r="N1206" s="7"/>
        <tr r="N1210" s="7"/>
        <tr r="N1214" s="7"/>
        <tr r="N1218" s="7"/>
        <tr r="N1222" s="7"/>
        <tr r="N1226" s="7"/>
        <tr r="N1230" s="7"/>
        <tr r="N1234" s="7"/>
        <tr r="N1238" s="7"/>
        <tr r="N1242" s="7"/>
        <tr r="N1246" s="7"/>
        <tr r="N1250" s="7"/>
        <tr r="N1254" s="7"/>
        <tr r="N1195" s="7"/>
        <tr r="N1199" s="7"/>
        <tr r="N1203" s="7"/>
        <tr r="N1207" s="7"/>
        <tr r="N1211" s="7"/>
        <tr r="N1215" s="7"/>
        <tr r="N1219" s="7"/>
        <tr r="N1223" s="7"/>
        <tr r="N1227" s="7"/>
        <tr r="N1231" s="7"/>
        <tr r="N1235" s="7"/>
        <tr r="N1239" s="7"/>
        <tr r="N1243" s="7"/>
        <tr r="N1247" s="7"/>
        <tr r="N1251" s="7"/>
        <tr r="N1255" s="7"/>
        <tr r="N1258" s="7"/>
        <tr r="N1259" s="7"/>
        <tr r="N1260" s="7"/>
        <tr r="N1263" s="7"/>
        <tr r="N1264" s="7"/>
        <tr r="N1267" s="7"/>
        <tr r="N1268" s="7"/>
        <tr r="N1272" s="7"/>
        <tr r="N1192" s="7"/>
        <tr r="N1196" s="7"/>
        <tr r="N1200" s="7"/>
        <tr r="N1204" s="7"/>
        <tr r="N1208" s="7"/>
        <tr r="N1212" s="7"/>
        <tr r="N1216" s="7"/>
        <tr r="N1220" s="7"/>
        <tr r="N1224" s="7"/>
        <tr r="N1228" s="7"/>
        <tr r="N1232" s="7"/>
        <tr r="N1236" s="7"/>
        <tr r="N1240" s="7"/>
        <tr r="N1244" s="7"/>
        <tr r="N1248" s="7"/>
        <tr r="N1252" s="7"/>
        <tr r="N1256" s="7"/>
        <tr r="N1271" s="7"/>
        <tr r="N1275" s="7"/>
        <tr r="N1279" s="7"/>
        <tr r="N1283" s="7"/>
        <tr r="N1287" s="7"/>
        <tr r="N1291" s="7"/>
        <tr r="N1295" s="7"/>
        <tr r="N1299" s="7"/>
        <tr r="N1303" s="7"/>
        <tr r="N1307" s="7"/>
        <tr r="N1311" s="7"/>
        <tr r="N1315" s="7"/>
        <tr r="N1319" s="7"/>
        <tr r="N1323" s="7"/>
        <tr r="N1327" s="7"/>
        <tr r="N1331" s="7"/>
        <tr r="N1335" s="7"/>
        <tr r="N1276" s="7"/>
        <tr r="N1280" s="7"/>
        <tr r="N1284" s="7"/>
        <tr r="N1288" s="7"/>
        <tr r="N1292" s="7"/>
        <tr r="N1296" s="7"/>
        <tr r="N1300" s="7"/>
        <tr r="N1304" s="7"/>
        <tr r="N1308" s="7"/>
        <tr r="N1312" s="7"/>
        <tr r="N1316" s="7"/>
        <tr r="N1320" s="7"/>
        <tr r="N1324" s="7"/>
        <tr r="N1328" s="7"/>
        <tr r="N1332" s="7"/>
        <tr r="N1336" s="7"/>
        <tr r="N1257" s="7"/>
        <tr r="N1261" s="7"/>
        <tr r="N1265" s="7"/>
        <tr r="N1269" s="7"/>
        <tr r="N1273" s="7"/>
        <tr r="N1277" s="7"/>
        <tr r="N1281" s="7"/>
        <tr r="N1285" s="7"/>
        <tr r="N1289" s="7"/>
        <tr r="N1293" s="7"/>
        <tr r="N1297" s="7"/>
        <tr r="N1301" s="7"/>
        <tr r="N1305" s="7"/>
        <tr r="N1309" s="7"/>
        <tr r="N1313" s="7"/>
        <tr r="N1317" s="7"/>
        <tr r="N1321" s="7"/>
        <tr r="N1325" s="7"/>
        <tr r="N1329" s="7"/>
        <tr r="N1333" s="7"/>
        <tr r="N1337" s="7"/>
        <tr r="N1339" s="7"/>
        <tr r="N1340" s="7"/>
        <tr r="N1343" s="7"/>
        <tr r="N1344" s="7"/>
        <tr r="N1262" s="7"/>
        <tr r="N1266" s="7"/>
        <tr r="N1270" s="7"/>
        <tr r="N1274" s="7"/>
        <tr r="N1278" s="7"/>
        <tr r="N1282" s="7"/>
        <tr r="N1286" s="7"/>
        <tr r="N1290" s="7"/>
        <tr r="N1294" s="7"/>
        <tr r="N1298" s="7"/>
        <tr r="N1302" s="7"/>
        <tr r="N1306" s="7"/>
        <tr r="N1310" s="7"/>
        <tr r="N1314" s="7"/>
        <tr r="N1318" s="7"/>
        <tr r="N1322" s="7"/>
        <tr r="N1326" s="7"/>
        <tr r="N1330" s="7"/>
        <tr r="N1334" s="7"/>
        <tr r="N1347" s="7"/>
        <tr r="N1351" s="7"/>
        <tr r="N1355" s="7"/>
        <tr r="N1359" s="7"/>
        <tr r="N1363" s="7"/>
        <tr r="N1367" s="7"/>
        <tr r="N1371" s="7"/>
        <tr r="N1375" s="7"/>
        <tr r="N1379" s="7"/>
        <tr r="N1383" s="7"/>
        <tr r="N1387" s="7"/>
        <tr r="N1391" s="7"/>
        <tr r="N1395" s="7"/>
        <tr r="N1399" s="7"/>
        <tr r="N1403" s="7"/>
        <tr r="N1407" s="7"/>
        <tr r="N1411" s="7"/>
        <tr r="N1415" s="7"/>
        <tr r="N1419" s="7"/>
        <tr r="N1423" s="7"/>
        <tr r="N1428" s="7"/>
        <tr r="N1432" s="7"/>
        <tr r="N1436" s="7"/>
        <tr r="N1440" s="7"/>
        <tr r="N1348" s="7"/>
        <tr r="N1352" s="7"/>
        <tr r="N1356" s="7"/>
        <tr r="N1360" s="7"/>
        <tr r="N1364" s="7"/>
        <tr r="N1368" s="7"/>
        <tr r="N1372" s="7"/>
        <tr r="N1376" s="7"/>
        <tr r="N1380" s="7"/>
        <tr r="N1384" s="7"/>
        <tr r="N1388" s="7"/>
        <tr r="N1392" s="7"/>
        <tr r="N1396" s="7"/>
        <tr r="N1400" s="7"/>
        <tr r="N1404" s="7"/>
        <tr r="N1408" s="7"/>
        <tr r="N1412" s="7"/>
        <tr r="N1416" s="7"/>
        <tr r="N1420" s="7"/>
        <tr r="N1424" s="7"/>
        <tr r="N1504" s="7"/>
        <tr r="N1512" s="7"/>
        <tr r="N1520" s="7"/>
        <tr r="N1528" s="7"/>
        <tr r="N1536" s="7"/>
        <tr r="N1544" s="7"/>
        <tr r="N1341" s="7"/>
        <tr r="N1345" s="7"/>
        <tr r="N1349" s="7"/>
        <tr r="N1353" s="7"/>
        <tr r="N1357" s="7"/>
        <tr r="N1361" s="7"/>
        <tr r="N1365" s="7"/>
        <tr r="N1369" s="7"/>
        <tr r="N1373" s="7"/>
        <tr r="N1377" s="7"/>
        <tr r="N1381" s="7"/>
        <tr r="N1385" s="7"/>
        <tr r="N1389" s="7"/>
        <tr r="N1393" s="7"/>
        <tr r="N1397" s="7"/>
        <tr r="N1401" s="7"/>
        <tr r="N1405" s="7"/>
        <tr r="N1409" s="7"/>
        <tr r="N1413" s="7"/>
        <tr r="N1417" s="7"/>
        <tr r="N1421" s="7"/>
        <tr r="N1444" s="7"/>
        <tr r="N1448" s="7"/>
        <tr r="N1452" s="7"/>
        <tr r="N1456" s="7"/>
        <tr r="N1460" s="7"/>
        <tr r="N1464" s="7"/>
        <tr r="N1468" s="7"/>
        <tr r="N1472" s="7"/>
        <tr r="N1476" s="7"/>
        <tr r="N1480" s="7"/>
        <tr r="N1484" s="7"/>
        <tr r="N1488" s="7"/>
        <tr r="N1492" s="7"/>
        <tr r="N1338" s="7"/>
        <tr r="N1342" s="7"/>
        <tr r="N1346" s="7"/>
        <tr r="N1350" s="7"/>
        <tr r="N1354" s="7"/>
        <tr r="N1358" s="7"/>
        <tr r="N1362" s="7"/>
        <tr r="N1366" s="7"/>
        <tr r="N1370" s="7"/>
        <tr r="N1374" s="7"/>
        <tr r="N1378" s="7"/>
        <tr r="N1382" s="7"/>
        <tr r="N1386" s="7"/>
        <tr r="N1390" s="7"/>
        <tr r="N1394" s="7"/>
        <tr r="N1398" s="7"/>
        <tr r="N1402" s="7"/>
        <tr r="N1406" s="7"/>
        <tr r="N1410" s="7"/>
        <tr r="N1414" s="7"/>
        <tr r="N1418" s="7"/>
        <tr r="N1422" s="7"/>
        <tr r="N1426" s="7"/>
        <tr r="N1427" s="7"/>
        <tr r="N1430" s="7"/>
        <tr r="N1431" s="7"/>
        <tr r="N1434" s="7"/>
        <tr r="N1435" s="7"/>
        <tr r="N1438" s="7"/>
        <tr r="N1439" s="7"/>
        <tr r="N1489" s="7"/>
        <tr r="N1493" s="7"/>
        <tr r="N1500" s="7"/>
        <tr r="N1508" s="7"/>
        <tr r="N1516" s="7"/>
        <tr r="N1524" s="7"/>
        <tr r="N1532" s="7"/>
        <tr r="N1540" s="7"/>
        <tr r="N1548" s="7"/>
        <tr r="N1552" s="7"/>
        <tr r="N1556" s="7"/>
        <tr r="N1560" s="7"/>
        <tr r="N1564" s="7"/>
        <tr r="N1568" s="7"/>
        <tr r="N1572" s="7"/>
        <tr r="N1576" s="7"/>
        <tr r="N1580" s="7"/>
        <tr r="N1584" s="7"/>
        <tr r="N1588" s="7"/>
        <tr r="N1592" s="7"/>
        <tr r="N1596" s="7"/>
        <tr r="N1600" s="7"/>
        <tr r="N1604" s="7"/>
        <tr r="N1608" s="7"/>
        <tr r="N1612" s="7"/>
        <tr r="N1815" s="7"/>
        <tr r="N1425" s="7"/>
        <tr r="N1429" s="7"/>
        <tr r="N1433" s="7"/>
        <tr r="N1437" s="7"/>
        <tr r="N1441" s="7"/>
        <tr r="N1445" s="7"/>
        <tr r="N1449" s="7"/>
        <tr r="N1453" s="7"/>
        <tr r="N1457" s="7"/>
        <tr r="N1461" s="7"/>
        <tr r="N1465" s="7"/>
        <tr r="N1469" s="7"/>
        <tr r="N1473" s="7"/>
        <tr r="N1477" s="7"/>
        <tr r="N1481" s="7"/>
        <tr r="N1485" s="7"/>
        <tr r="N1490" s="7"/>
        <tr r="N1494" s="7"/>
        <tr r="N1442" s="7"/>
        <tr r="N1446" s="7"/>
        <tr r="N1450" s="7"/>
        <tr r="N1454" s="7"/>
        <tr r="N1458" s="7"/>
        <tr r="N1462" s="7"/>
        <tr r="N1466" s="7"/>
        <tr r="N1470" s="7"/>
        <tr r="N1474" s="7"/>
        <tr r="N1478" s="7"/>
        <tr r="N1482" s="7"/>
        <tr r="N1486" s="7"/>
        <tr r="N1443" s="7"/>
        <tr r="N1447" s="7"/>
        <tr r="N1451" s="7"/>
        <tr r="N1455" s="7"/>
        <tr r="N1459" s="7"/>
        <tr r="N1463" s="7"/>
        <tr r="N1467" s="7"/>
        <tr r="N1471" s="7"/>
        <tr r="N1475" s="7"/>
        <tr r="N1479" s="7"/>
        <tr r="N1483" s="7"/>
        <tr r="N1487" s="7"/>
        <tr r="N1496" s="7"/>
        <tr r="N1658" s="7"/>
        <tr r="N1659" s="7"/>
        <tr r="N1497" s="7"/>
        <tr r="N1501" s="7"/>
        <tr r="N1505" s="7"/>
        <tr r="N1509" s="7"/>
        <tr r="N1513" s="7"/>
        <tr r="N1517" s="7"/>
        <tr r="N1521" s="7"/>
        <tr r="N1525" s="7"/>
        <tr r="N1529" s="7"/>
        <tr r="N1533" s="7"/>
        <tr r="N1537" s="7"/>
        <tr r="N1541" s="7"/>
        <tr r="N1545" s="7"/>
        <tr r="N1549" s="7"/>
        <tr r="N1553" s="7"/>
        <tr r="N1557" s="7"/>
        <tr r="N1561" s="7"/>
        <tr r="N1565" s="7"/>
        <tr r="N1569" s="7"/>
        <tr r="N1573" s="7"/>
        <tr r="N1577" s="7"/>
        <tr r="N1581" s="7"/>
        <tr r="N1585" s="7"/>
        <tr r="N1589" s="7"/>
        <tr r="N1593" s="7"/>
        <tr r="N1597" s="7"/>
        <tr r="N1601" s="7"/>
        <tr r="N1605" s="7"/>
        <tr r="N1609" s="7"/>
        <tr r="N1662" s="7"/>
        <tr r="N1666" s="7"/>
        <tr r="N1670" s="7"/>
        <tr r="N1498" s="7"/>
        <tr r="N1502" s="7"/>
        <tr r="N1506" s="7"/>
        <tr r="N1510" s="7"/>
        <tr r="N1514" s="7"/>
        <tr r="N1518" s="7"/>
        <tr r="N1522" s="7"/>
        <tr r="N1526" s="7"/>
        <tr r="N1530" s="7"/>
        <tr r="N1534" s="7"/>
        <tr r="N1538" s="7"/>
        <tr r="N1542" s="7"/>
        <tr r="N1546" s="7"/>
        <tr r="N1550" s="7"/>
        <tr r="N1554" s="7"/>
        <tr r="N1558" s="7"/>
        <tr r="N1562" s="7"/>
        <tr r="N1566" s="7"/>
        <tr r="N1570" s="7"/>
        <tr r="N1574" s="7"/>
        <tr r="N1578" s="7"/>
        <tr r="N1582" s="7"/>
        <tr r="N1586" s="7"/>
        <tr r="N1590" s="7"/>
        <tr r="N1594" s="7"/>
        <tr r="N1598" s="7"/>
        <tr r="N1602" s="7"/>
        <tr r="N1606" s="7"/>
        <tr r="N1610" s="7"/>
        <tr r="N1613" s="7"/>
        <tr r="N1614" s="7"/>
        <tr r="N1617" s="7"/>
        <tr r="N1618" s="7"/>
        <tr r="N1621" s="7"/>
        <tr r="N1622" s="7"/>
        <tr r="N1625" s="7"/>
        <tr r="N1626" s="7"/>
        <tr r="N1629" s="7"/>
        <tr r="N1630" s="7"/>
        <tr r="N1633" s="7"/>
        <tr r="N1634" s="7"/>
        <tr r="N1637" s="7"/>
        <tr r="N1638" s="7"/>
        <tr r="N1641" s="7"/>
        <tr r="N1642" s="7"/>
        <tr r="N1645" s="7"/>
        <tr r="N1646" s="7"/>
        <tr r="N1649" s="7"/>
        <tr r="N1650" s="7"/>
        <tr r="N1653" s="7"/>
        <tr r="N1654" s="7"/>
        <tr r="N1491" s="7"/>
        <tr r="N1495" s="7"/>
        <tr r="N1499" s="7"/>
        <tr r="N1503" s="7"/>
        <tr r="N1507" s="7"/>
        <tr r="N1511" s="7"/>
        <tr r="N1515" s="7"/>
        <tr r="N1519" s="7"/>
        <tr r="N1523" s="7"/>
        <tr r="N1527" s="7"/>
        <tr r="N1531" s="7"/>
        <tr r="N1535" s="7"/>
        <tr r="N1539" s="7"/>
        <tr r="N1543" s="7"/>
        <tr r="N1547" s="7"/>
        <tr r="N1551" s="7"/>
        <tr r="N1555" s="7"/>
        <tr r="N1559" s="7"/>
        <tr r="N1563" s="7"/>
        <tr r="N1567" s="7"/>
        <tr r="N1571" s="7"/>
        <tr r="N1575" s="7"/>
        <tr r="N1579" s="7"/>
        <tr r="N1583" s="7"/>
        <tr r="N1587" s="7"/>
        <tr r="N1591" s="7"/>
        <tr r="N1595" s="7"/>
        <tr r="N1599" s="7"/>
        <tr r="N1603" s="7"/>
        <tr r="N1607" s="7"/>
        <tr r="N1611" s="7"/>
        <tr r="N1615" s="7"/>
        <tr r="N1619" s="7"/>
        <tr r="N1623" s="7"/>
        <tr r="N1627" s="7"/>
        <tr r="N1631" s="7"/>
        <tr r="N1635" s="7"/>
        <tr r="N1639" s="7"/>
        <tr r="N1643" s="7"/>
        <tr r="N1647" s="7"/>
        <tr r="N1651" s="7"/>
        <tr r="N1655" s="7"/>
        <tr r="N1663" s="7"/>
        <tr r="N1667" s="7"/>
        <tr r="N1671" s="7"/>
        <tr r="N1616" s="7"/>
        <tr r="N1620" s="7"/>
        <tr r="N1624" s="7"/>
        <tr r="N1628" s="7"/>
        <tr r="N1632" s="7"/>
        <tr r="N1636" s="7"/>
        <tr r="N1640" s="7"/>
        <tr r="N1644" s="7"/>
        <tr r="N1648" s="7"/>
        <tr r="N1652" s="7"/>
        <tr r="N1656" s="7"/>
        <tr r="N1660" s="7"/>
        <tr r="N1664" s="7"/>
        <tr r="N1668" s="7"/>
        <tr r="N1672" s="7"/>
        <tr r="N1676" s="7"/>
        <tr r="N1680" s="7"/>
        <tr r="N1684" s="7"/>
        <tr r="N1688" s="7"/>
        <tr r="N1692" s="7"/>
        <tr r="N1696" s="7"/>
        <tr r="N1700" s="7"/>
        <tr r="N1704" s="7"/>
        <tr r="N1708" s="7"/>
        <tr r="N1712" s="7"/>
        <tr r="N1716" s="7"/>
        <tr r="N1720" s="7"/>
        <tr r="N1724" s="7"/>
        <tr r="N1728" s="7"/>
        <tr r="N1732" s="7"/>
        <tr r="N1736" s="7"/>
        <tr r="N1740" s="7"/>
        <tr r="N1744" s="7"/>
        <tr r="N1748" s="7"/>
        <tr r="N1657" s="7"/>
        <tr r="N1661" s="7"/>
        <tr r="N1665" s="7"/>
        <tr r="N1669" s="7"/>
        <tr r="N1673" s="7"/>
        <tr r="N1799" s="7"/>
        <tr r="N1677" s="7"/>
        <tr r="N1681" s="7"/>
        <tr r="N1685" s="7"/>
        <tr r="N1689" s="7"/>
        <tr r="N1693" s="7"/>
        <tr r="N1697" s="7"/>
        <tr r="N1701" s="7"/>
        <tr r="N1705" s="7"/>
        <tr r="N1709" s="7"/>
        <tr r="N1713" s="7"/>
        <tr r="N1717" s="7"/>
        <tr r="N1721" s="7"/>
        <tr r="N1725" s="7"/>
        <tr r="N1729" s="7"/>
        <tr r="N1733" s="7"/>
        <tr r="N1737" s="7"/>
        <tr r="N1741" s="7"/>
        <tr r="N1745" s="7"/>
        <tr r="N1750" s="7"/>
        <tr r="N1754" s="7"/>
        <tr r="N1758" s="7"/>
        <tr r="N1762" s="7"/>
        <tr r="N1766" s="7"/>
        <tr r="N1770" s="7"/>
        <tr r="N1803" s="7"/>
        <tr r="N1674" s="7"/>
        <tr r="N1678" s="7"/>
        <tr r="N1682" s="7"/>
        <tr r="N1686" s="7"/>
        <tr r="N1690" s="7"/>
        <tr r="N1694" s="7"/>
        <tr r="N1698" s="7"/>
        <tr r="N1702" s="7"/>
        <tr r="N1706" s="7"/>
        <tr r="N1710" s="7"/>
        <tr r="N1714" s="7"/>
        <tr r="N1718" s="7"/>
        <tr r="N1722" s="7"/>
        <tr r="N1726" s="7"/>
        <tr r="N1730" s="7"/>
        <tr r="N1734" s="7"/>
        <tr r="N1738" s="7"/>
        <tr r="N1742" s="7"/>
        <tr r="N1746" s="7"/>
        <tr r="N1807" s="7"/>
        <tr r="N1675" s="7"/>
        <tr r="N1679" s="7"/>
        <tr r="N1683" s="7"/>
        <tr r="N1687" s="7"/>
        <tr r="N1691" s="7"/>
        <tr r="N1695" s="7"/>
        <tr r="N1699" s="7"/>
        <tr r="N1703" s="7"/>
        <tr r="N1707" s="7"/>
        <tr r="N1711" s="7"/>
        <tr r="N1715" s="7"/>
        <tr r="N1719" s="7"/>
        <tr r="N1723" s="7"/>
        <tr r="N1727" s="7"/>
        <tr r="N1731" s="7"/>
        <tr r="N1735" s="7"/>
        <tr r="N1739" s="7"/>
        <tr r="N1743" s="7"/>
        <tr r="N1747" s="7"/>
        <tr r="N1811" s="7"/>
        <tr r="N1751" s="7"/>
        <tr r="N1755" s="7"/>
        <tr r="N1759" s="7"/>
        <tr r="N1763" s="7"/>
        <tr r="N1767" s="7"/>
        <tr r="N1771" s="7"/>
        <tr r="N1775" s="7"/>
        <tr r="N1776" s="7"/>
        <tr r="N1779" s="7"/>
        <tr r="N1780" s="7"/>
        <tr r="N1783" s="7"/>
        <tr r="N1784" s="7"/>
        <tr r="N1787" s="7"/>
        <tr r="N1788" s="7"/>
        <tr r="N1791" s="7"/>
        <tr r="N1792" s="7"/>
        <tr r="N1752" s="7"/>
        <tr r="N1756" s="7"/>
        <tr r="N1760" s="7"/>
        <tr r="N1764" s="7"/>
        <tr r="N1768" s="7"/>
        <tr r="N1772" s="7"/>
        <tr r="N1795" s="7"/>
        <tr r="N1749" s="7"/>
        <tr r="N1753" s="7"/>
        <tr r="N1757" s="7"/>
        <tr r="N1761" s="7"/>
        <tr r="N1765" s="7"/>
        <tr r="N1769" s="7"/>
        <tr r="N1773" s="7"/>
        <tr r="N1796" s="7"/>
        <tr r="N1800" s="7"/>
        <tr r="N1804" s="7"/>
        <tr r="N1808" s="7"/>
        <tr r="N1812" s="7"/>
        <tr r="N1816" s="7"/>
        <tr r="N1819" s="7"/>
        <tr r="N1820" s="7"/>
        <tr r="N1823" s="7"/>
        <tr r="N1824" s="7"/>
        <tr r="N1827" s="7"/>
        <tr r="N1828" s="7"/>
        <tr r="N1833" s="7"/>
        <tr r="N1841" s="7"/>
        <tr r="N1777" s="7"/>
        <tr r="N1781" s="7"/>
        <tr r="N1785" s="7"/>
        <tr r="N1789" s="7"/>
        <tr r="N1793" s="7"/>
        <tr r="N1797" s="7"/>
        <tr r="N1774" s="7"/>
        <tr r="N1778" s="7"/>
        <tr r="N1782" s="7"/>
        <tr r="N1786" s="7"/>
        <tr r="N1790" s="7"/>
        <tr r="N1837" s="7"/>
        <tr r="N1801" s="7"/>
        <tr r="N1805" s="7"/>
        <tr r="N1809" s="7"/>
        <tr r="N1813" s="7"/>
        <tr r="N1817" s="7"/>
        <tr r="N1821" s="7"/>
        <tr r="N1825" s="7"/>
        <tr r="N1794" s="7"/>
        <tr r="N1798" s="7"/>
        <tr r="N1802" s="7"/>
        <tr r="N1806" s="7"/>
        <tr r="N1810" s="7"/>
        <tr r="N1814" s="7"/>
        <tr r="N1818" s="7"/>
        <tr r="N1822" s="7"/>
        <tr r="N1826" s="7"/>
        <tr r="N1829" s="7"/>
        <tr r="N1832" s="7"/>
        <tr r="N1830" s="7"/>
        <tr r="N1834" s="7"/>
        <tr r="N1838" s="7"/>
        <tr r="N1842" s="7"/>
        <tr r="N1867" s="7"/>
        <tr r="N1875" s="7"/>
        <tr r="N1831" s="7"/>
        <tr r="N1835" s="7"/>
        <tr r="N1839" s="7"/>
        <tr r="N1843" s="7"/>
        <tr r="N1836" s="7"/>
        <tr r="N1840" s="7"/>
        <tr r="N1844" s="7"/>
        <tr r="N1846" s="7"/>
        <tr r="N1847" s="7"/>
        <tr r="N1850" s="7"/>
        <tr r="N1851" s="7"/>
        <tr r="N1854" s="7"/>
        <tr r="N1855" s="7"/>
        <tr r="N1858" s="7"/>
        <tr r="N1859" s="7"/>
        <tr r="N1863" s="7"/>
        <tr r="N1871" s="7"/>
        <tr r="N1879" s="7"/>
        <tr r="N1848" s="7"/>
        <tr r="N1852" s="7"/>
        <tr r="N1856" s="7"/>
        <tr r="N1860" s="7"/>
        <tr r="N1845" s="7"/>
        <tr r="N1849" s="7"/>
        <tr r="N1853" s="7"/>
        <tr r="N1857" s="7"/>
        <tr r="N1864" s="7"/>
        <tr r="N1868" s="7"/>
        <tr r="N1872" s="7"/>
        <tr r="N1876" s="7"/>
        <tr r="N1880" s="7"/>
        <tr r="N1861" s="7"/>
        <tr r="N1865" s="7"/>
        <tr r="N1869" s="7"/>
        <tr r="N1873" s="7"/>
        <tr r="N1877" s="7"/>
        <tr r="N1881" s="7"/>
        <tr r="N1862" s="7"/>
        <tr r="N1866" s="7"/>
        <tr r="N1870" s="7"/>
        <tr r="N1874" s="7"/>
        <tr r="N1878" s="7"/>
      </tp>
    </main>
    <main first="rtdsrv.662c26bade854d00aebc6010f8a2e03a">
      <tp t="s">
        <v/>
        <stp/>
        <stp>Market</stp>
        <stp>STOCK</stp>
        <stp/>
        <stp>現在値詳細時刻</stp>
        <tr r="D914" s="7"/>
        <tr r="D1195" s="7"/>
        <tr r="D1199" s="7"/>
        <tr r="D1203" s="7"/>
        <tr r="D1207" s="7"/>
        <tr r="D1211" s="7"/>
        <tr r="D1215" s="7"/>
        <tr r="D1219" s="7"/>
        <tr r="D1223" s="7"/>
        <tr r="D1227" s="7"/>
        <tr r="D1231" s="7"/>
        <tr r="D1235" s="7"/>
        <tr r="D1239" s="7"/>
        <tr r="D1243" s="7"/>
        <tr r="D1247" s="7"/>
        <tr r="D1251" s="7"/>
        <tr r="D1255" s="7"/>
        <tr r="D1270" s="7"/>
        <tr r="D1274" s="7"/>
        <tr r="D1192" s="7"/>
        <tr r="D1196" s="7"/>
        <tr r="D1200" s="7"/>
        <tr r="D1204" s="7"/>
        <tr r="D1208" s="7"/>
        <tr r="D1212" s="7"/>
        <tr r="D1216" s="7"/>
        <tr r="D1220" s="7"/>
        <tr r="D1224" s="7"/>
        <tr r="D1228" s="7"/>
        <tr r="D1232" s="7"/>
        <tr r="D1236" s="7"/>
        <tr r="D1240" s="7"/>
        <tr r="D1244" s="7"/>
        <tr r="D1248" s="7"/>
        <tr r="D1252" s="7"/>
        <tr r="D1256" s="7"/>
        <tr r="D1261" s="7"/>
        <tr r="D1262" s="7"/>
        <tr r="D1265" s="7"/>
        <tr r="D1266" s="7"/>
        <tr r="D1193" s="7"/>
        <tr r="D1197" s="7"/>
        <tr r="D1201" s="7"/>
        <tr r="D1205" s="7"/>
        <tr r="D1209" s="7"/>
        <tr r="D1213" s="7"/>
        <tr r="D1217" s="7"/>
        <tr r="D1221" s="7"/>
        <tr r="D1225" s="7"/>
        <tr r="D1229" s="7"/>
        <tr r="D1233" s="7"/>
        <tr r="D1237" s="7"/>
        <tr r="D1241" s="7"/>
        <tr r="D1245" s="7"/>
        <tr r="D1249" s="7"/>
        <tr r="D1253" s="7"/>
        <tr r="D1257" s="7"/>
        <tr r="D1258" s="7"/>
        <tr r="D1194" s="7"/>
        <tr r="D1198" s="7"/>
        <tr r="D1202" s="7"/>
        <tr r="D1206" s="7"/>
        <tr r="D1210" s="7"/>
        <tr r="D1214" s="7"/>
        <tr r="D1218" s="7"/>
        <tr r="D1222" s="7"/>
        <tr r="D1226" s="7"/>
        <tr r="D1230" s="7"/>
        <tr r="D1234" s="7"/>
        <tr r="D1238" s="7"/>
        <tr r="D1242" s="7"/>
        <tr r="D1246" s="7"/>
        <tr r="D1250" s="7"/>
        <tr r="D1254" s="7"/>
        <tr r="D1269" s="7"/>
        <tr r="D1273" s="7"/>
        <tr r="D1277" s="7"/>
        <tr r="D1281" s="7"/>
        <tr r="D1285" s="7"/>
        <tr r="D1289" s="7"/>
        <tr r="D1293" s="7"/>
        <tr r="D1297" s="7"/>
        <tr r="D1301" s="7"/>
        <tr r="D1305" s="7"/>
        <tr r="D1309" s="7"/>
        <tr r="D1313" s="7"/>
        <tr r="D1317" s="7"/>
        <tr r="D1321" s="7"/>
        <tr r="D1325" s="7"/>
        <tr r="D1329" s="7"/>
        <tr r="D1333" s="7"/>
        <tr r="D1337" s="7"/>
        <tr r="D1278" s="7"/>
        <tr r="D1282" s="7"/>
        <tr r="D1286" s="7"/>
        <tr r="D1290" s="7"/>
        <tr r="D1294" s="7"/>
        <tr r="D1298" s="7"/>
        <tr r="D1302" s="7"/>
        <tr r="D1306" s="7"/>
        <tr r="D1310" s="7"/>
        <tr r="D1314" s="7"/>
        <tr r="D1318" s="7"/>
        <tr r="D1322" s="7"/>
        <tr r="D1326" s="7"/>
        <tr r="D1330" s="7"/>
        <tr r="D1334" s="7"/>
        <tr r="D1338" s="7"/>
        <tr r="D1341" s="7"/>
        <tr r="D1342" s="7"/>
        <tr r="D1345" s="7"/>
        <tr r="D1346" s="7"/>
        <tr r="D1349" s="7"/>
        <tr r="D1353" s="7"/>
        <tr r="D1357" s="7"/>
        <tr r="D1361" s="7"/>
        <tr r="D1365" s="7"/>
        <tr r="D1369" s="7"/>
        <tr r="D1373" s="7"/>
        <tr r="D1377" s="7"/>
        <tr r="D1381" s="7"/>
        <tr r="D1385" s="7"/>
        <tr r="D1389" s="7"/>
        <tr r="D1393" s="7"/>
        <tr r="D1397" s="7"/>
        <tr r="D1401" s="7"/>
        <tr r="D1405" s="7"/>
        <tr r="D1409" s="7"/>
        <tr r="D1413" s="7"/>
        <tr r="D1259" s="7"/>
        <tr r="D1263" s="7"/>
        <tr r="D1267" s="7"/>
        <tr r="D1271" s="7"/>
        <tr r="D1275" s="7"/>
        <tr r="D1279" s="7"/>
        <tr r="D1283" s="7"/>
        <tr r="D1287" s="7"/>
        <tr r="D1291" s="7"/>
        <tr r="D1295" s="7"/>
        <tr r="D1299" s="7"/>
        <tr r="D1303" s="7"/>
        <tr r="D1307" s="7"/>
        <tr r="D1311" s="7"/>
        <tr r="D1315" s="7"/>
        <tr r="D1319" s="7"/>
        <tr r="D1323" s="7"/>
        <tr r="D1327" s="7"/>
        <tr r="D1331" s="7"/>
        <tr r="D1335" s="7"/>
        <tr r="D1260" s="7"/>
        <tr r="D1264" s="7"/>
        <tr r="D1268" s="7"/>
        <tr r="D1272" s="7"/>
        <tr r="D1276" s="7"/>
        <tr r="D1280" s="7"/>
        <tr r="D1284" s="7"/>
        <tr r="D1288" s="7"/>
        <tr r="D1292" s="7"/>
        <tr r="D1296" s="7"/>
        <tr r="D1300" s="7"/>
        <tr r="D1304" s="7"/>
        <tr r="D1308" s="7"/>
        <tr r="D1312" s="7"/>
        <tr r="D1316" s="7"/>
        <tr r="D1320" s="7"/>
        <tr r="D1324" s="7"/>
        <tr r="D1328" s="7"/>
        <tr r="D1332" s="7"/>
        <tr r="D1336" s="7"/>
        <tr r="D1417" s="7"/>
        <tr r="D1421" s="7"/>
        <tr r="D1440" s="7"/>
        <tr r="D1442" s="7"/>
        <tr r="D1446" s="7"/>
        <tr r="D1450" s="7"/>
        <tr r="D1454" s="7"/>
        <tr r="D1458" s="7"/>
        <tr r="D1462" s="7"/>
        <tr r="D1466" s="7"/>
        <tr r="D1470" s="7"/>
        <tr r="D1474" s="7"/>
        <tr r="D1478" s="7"/>
        <tr r="D1482" s="7"/>
        <tr r="D1486" s="7"/>
        <tr r="D1492" s="7"/>
        <tr r="D1350" s="7"/>
        <tr r="D1354" s="7"/>
        <tr r="D1358" s="7"/>
        <tr r="D1362" s="7"/>
        <tr r="D1366" s="7"/>
        <tr r="D1370" s="7"/>
        <tr r="D1374" s="7"/>
        <tr r="D1378" s="7"/>
        <tr r="D1382" s="7"/>
        <tr r="D1386" s="7"/>
        <tr r="D1390" s="7"/>
        <tr r="D1394" s="7"/>
        <tr r="D1398" s="7"/>
        <tr r="D1402" s="7"/>
        <tr r="D1406" s="7"/>
        <tr r="D1410" s="7"/>
        <tr r="D1414" s="7"/>
        <tr r="D1418" s="7"/>
        <tr r="D1422" s="7"/>
        <tr r="D1339" s="7"/>
        <tr r="D1343" s="7"/>
        <tr r="D1347" s="7"/>
        <tr r="D1351" s="7"/>
        <tr r="D1355" s="7"/>
        <tr r="D1359" s="7"/>
        <tr r="D1363" s="7"/>
        <tr r="D1367" s="7"/>
        <tr r="D1371" s="7"/>
        <tr r="D1375" s="7"/>
        <tr r="D1379" s="7"/>
        <tr r="D1383" s="7"/>
        <tr r="D1387" s="7"/>
        <tr r="D1391" s="7"/>
        <tr r="D1395" s="7"/>
        <tr r="D1399" s="7"/>
        <tr r="D1403" s="7"/>
        <tr r="D1407" s="7"/>
        <tr r="D1411" s="7"/>
        <tr r="D1415" s="7"/>
        <tr r="D1419" s="7"/>
        <tr r="D1423" s="7"/>
        <tr r="D1428" s="7"/>
        <tr r="D1432" s="7"/>
        <tr r="D1436" s="7"/>
        <tr r="D1340" s="7"/>
        <tr r="D1344" s="7"/>
        <tr r="D1348" s="7"/>
        <tr r="D1352" s="7"/>
        <tr r="D1356" s="7"/>
        <tr r="D1360" s="7"/>
        <tr r="D1364" s="7"/>
        <tr r="D1368" s="7"/>
        <tr r="D1372" s="7"/>
        <tr r="D1376" s="7"/>
        <tr r="D1380" s="7"/>
        <tr r="D1384" s="7"/>
        <tr r="D1388" s="7"/>
        <tr r="D1392" s="7"/>
        <tr r="D1396" s="7"/>
        <tr r="D1400" s="7"/>
        <tr r="D1404" s="7"/>
        <tr r="D1408" s="7"/>
        <tr r="D1412" s="7"/>
        <tr r="D1416" s="7"/>
        <tr r="D1420" s="7"/>
        <tr r="D1424" s="7"/>
        <tr r="D1425" s="7"/>
        <tr r="D1426" s="7"/>
        <tr r="D1429" s="7"/>
        <tr r="D1430" s="7"/>
        <tr r="D1433" s="7"/>
        <tr r="D1434" s="7"/>
        <tr r="D1437" s="7"/>
        <tr r="D1438" s="7"/>
        <tr r="D1491" s="7"/>
        <tr r="D1427" s="7"/>
        <tr r="D1431" s="7"/>
        <tr r="D1435" s="7"/>
        <tr r="D1439" s="7"/>
        <tr r="D1443" s="7"/>
        <tr r="D1447" s="7"/>
        <tr r="D1451" s="7"/>
        <tr r="D1455" s="7"/>
        <tr r="D1459" s="7"/>
        <tr r="D1463" s="7"/>
        <tr r="D1467" s="7"/>
        <tr r="D1471" s="7"/>
        <tr r="D1475" s="7"/>
        <tr r="D1479" s="7"/>
        <tr r="D1483" s="7"/>
        <tr r="D1487" s="7"/>
        <tr r="D1444" s="7"/>
        <tr r="D1448" s="7"/>
        <tr r="D1452" s="7"/>
        <tr r="D1456" s="7"/>
        <tr r="D1460" s="7"/>
        <tr r="D1464" s="7"/>
        <tr r="D1468" s="7"/>
        <tr r="D1472" s="7"/>
        <tr r="D1476" s="7"/>
        <tr r="D1480" s="7"/>
        <tr r="D1484" s="7"/>
        <tr r="D1488" s="7"/>
        <tr r="D1495" s="7"/>
        <tr r="D1498" s="7"/>
        <tr r="D1502" s="7"/>
        <tr r="D1506" s="7"/>
        <tr r="D1510" s="7"/>
        <tr r="D1514" s="7"/>
        <tr r="D1518" s="7"/>
        <tr r="D1522" s="7"/>
        <tr r="D1526" s="7"/>
        <tr r="D1530" s="7"/>
        <tr r="D1534" s="7"/>
        <tr r="D1538" s="7"/>
        <tr r="D1542" s="7"/>
        <tr r="D1546" s="7"/>
        <tr r="D1550" s="7"/>
        <tr r="D1554" s="7"/>
        <tr r="D1558" s="7"/>
        <tr r="D1562" s="7"/>
        <tr r="D1566" s="7"/>
        <tr r="D1570" s="7"/>
        <tr r="D1574" s="7"/>
        <tr r="D1578" s="7"/>
        <tr r="D1582" s="7"/>
        <tr r="D1586" s="7"/>
        <tr r="D1590" s="7"/>
        <tr r="D1594" s="7"/>
        <tr r="D1598" s="7"/>
        <tr r="D1602" s="7"/>
        <tr r="D1606" s="7"/>
        <tr r="D1610" s="7"/>
        <tr r="D1441" s="7"/>
        <tr r="D1445" s="7"/>
        <tr r="D1449" s="7"/>
        <tr r="D1453" s="7"/>
        <tr r="D1457" s="7"/>
        <tr r="D1461" s="7"/>
        <tr r="D1465" s="7"/>
        <tr r="D1469" s="7"/>
        <tr r="D1473" s="7"/>
        <tr r="D1477" s="7"/>
        <tr r="D1481" s="7"/>
        <tr r="D1485" s="7"/>
        <tr r="D1490" s="7"/>
        <tr r="D1494" s="7"/>
        <tr r="D1499" s="7"/>
        <tr r="D1503" s="7"/>
        <tr r="D1507" s="7"/>
        <tr r="D1511" s="7"/>
        <tr r="D1515" s="7"/>
        <tr r="D1519" s="7"/>
        <tr r="D1523" s="7"/>
        <tr r="D1527" s="7"/>
        <tr r="D1531" s="7"/>
        <tr r="D1535" s="7"/>
        <tr r="D1539" s="7"/>
        <tr r="D1543" s="7"/>
        <tr r="D1547" s="7"/>
        <tr r="D1551" s="7"/>
        <tr r="D1555" s="7"/>
        <tr r="D1559" s="7"/>
        <tr r="D1563" s="7"/>
        <tr r="D1567" s="7"/>
        <tr r="D1571" s="7"/>
        <tr r="D1575" s="7"/>
        <tr r="D1579" s="7"/>
        <tr r="D1583" s="7"/>
        <tr r="D1587" s="7"/>
        <tr r="D1591" s="7"/>
        <tr r="D1595" s="7"/>
        <tr r="D1599" s="7"/>
        <tr r="D1603" s="7"/>
        <tr r="D1607" s="7"/>
        <tr r="D1611" s="7"/>
        <tr r="D1615" s="7"/>
        <tr r="D1619" s="7"/>
        <tr r="D1623" s="7"/>
        <tr r="D1627" s="7"/>
        <tr r="D1631" s="7"/>
        <tr r="D1635" s="7"/>
        <tr r="D1639" s="7"/>
        <tr r="D1643" s="7"/>
        <tr r="D1647" s="7"/>
        <tr r="D1651" s="7"/>
        <tr r="D1655" s="7"/>
        <tr r="D1682" s="7"/>
        <tr r="D1690" s="7"/>
        <tr r="D1698" s="7"/>
        <tr r="D1706" s="7"/>
        <tr r="D1714" s="7"/>
        <tr r="D1722" s="7"/>
        <tr r="D1730" s="7"/>
        <tr r="D1738" s="7"/>
        <tr r="D1746" s="7"/>
        <tr r="D1496" s="7"/>
        <tr r="D1500" s="7"/>
        <tr r="D1504" s="7"/>
        <tr r="D1508" s="7"/>
        <tr r="D1512" s="7"/>
        <tr r="D1516" s="7"/>
        <tr r="D1520" s="7"/>
        <tr r="D1524" s="7"/>
        <tr r="D1528" s="7"/>
        <tr r="D1532" s="7"/>
        <tr r="D1536" s="7"/>
        <tr r="D1540" s="7"/>
        <tr r="D1544" s="7"/>
        <tr r="D1548" s="7"/>
        <tr r="D1552" s="7"/>
        <tr r="D1556" s="7"/>
        <tr r="D1560" s="7"/>
        <tr r="D1564" s="7"/>
        <tr r="D1568" s="7"/>
        <tr r="D1572" s="7"/>
        <tr r="D1576" s="7"/>
        <tr r="D1580" s="7"/>
        <tr r="D1584" s="7"/>
        <tr r="D1588" s="7"/>
        <tr r="D1592" s="7"/>
        <tr r="D1596" s="7"/>
        <tr r="D1600" s="7"/>
        <tr r="D1604" s="7"/>
        <tr r="D1608" s="7"/>
        <tr r="D1612" s="7"/>
        <tr r="D1613" s="7"/>
        <tr r="D1616" s="7"/>
        <tr r="D1617" s="7"/>
        <tr r="D1620" s="7"/>
        <tr r="D1621" s="7"/>
        <tr r="D1624" s="7"/>
        <tr r="D1625" s="7"/>
        <tr r="D1628" s="7"/>
        <tr r="D1629" s="7"/>
        <tr r="D1632" s="7"/>
        <tr r="D1633" s="7"/>
        <tr r="D1636" s="7"/>
        <tr r="D1637" s="7"/>
        <tr r="D1640" s="7"/>
        <tr r="D1641" s="7"/>
        <tr r="D1644" s="7"/>
        <tr r="D1645" s="7"/>
        <tr r="D1648" s="7"/>
        <tr r="D1649" s="7"/>
        <tr r="D1652" s="7"/>
        <tr r="D1653" s="7"/>
        <tr r="D1656" s="7"/>
        <tr r="D1489" s="7"/>
        <tr r="D1493" s="7"/>
        <tr r="D1497" s="7"/>
        <tr r="D1501" s="7"/>
        <tr r="D1505" s="7"/>
        <tr r="D1509" s="7"/>
        <tr r="D1513" s="7"/>
        <tr r="D1517" s="7"/>
        <tr r="D1521" s="7"/>
        <tr r="D1525" s="7"/>
        <tr r="D1529" s="7"/>
        <tr r="D1533" s="7"/>
        <tr r="D1537" s="7"/>
        <tr r="D1541" s="7"/>
        <tr r="D1545" s="7"/>
        <tr r="D1549" s="7"/>
        <tr r="D1553" s="7"/>
        <tr r="D1557" s="7"/>
        <tr r="D1561" s="7"/>
        <tr r="D1565" s="7"/>
        <tr r="D1569" s="7"/>
        <tr r="D1573" s="7"/>
        <tr r="D1577" s="7"/>
        <tr r="D1581" s="7"/>
        <tr r="D1585" s="7"/>
        <tr r="D1589" s="7"/>
        <tr r="D1593" s="7"/>
        <tr r="D1597" s="7"/>
        <tr r="D1601" s="7"/>
        <tr r="D1605" s="7"/>
        <tr r="D1609" s="7"/>
        <tr r="D1657" s="7"/>
        <tr r="D1660" s="7"/>
        <tr r="D1664" s="7"/>
        <tr r="D1668" s="7"/>
        <tr r="D1672" s="7"/>
        <tr r="D1678" s="7"/>
        <tr r="D1686" s="7"/>
        <tr r="D1694" s="7"/>
        <tr r="D1702" s="7"/>
        <tr r="D1710" s="7"/>
        <tr r="D1718" s="7"/>
        <tr r="D1726" s="7"/>
        <tr r="D1734" s="7"/>
        <tr r="D1742" s="7"/>
        <tr r="D1661" s="7"/>
        <tr r="D1665" s="7"/>
        <tr r="D1669" s="7"/>
        <tr r="D1673" s="7"/>
        <tr r="D1614" s="7"/>
        <tr r="D1618" s="7"/>
        <tr r="D1622" s="7"/>
        <tr r="D1626" s="7"/>
        <tr r="D1630" s="7"/>
        <tr r="D1634" s="7"/>
        <tr r="D1638" s="7"/>
        <tr r="D1642" s="7"/>
        <tr r="D1646" s="7"/>
        <tr r="D1650" s="7"/>
        <tr r="D1654" s="7"/>
        <tr r="D1658" s="7"/>
        <tr r="D1662" s="7"/>
        <tr r="D1666" s="7"/>
        <tr r="D1670" s="7"/>
        <tr r="D1674" s="7"/>
        <tr r="D1659" s="7"/>
        <tr r="D1663" s="7"/>
        <tr r="D1667" s="7"/>
        <tr r="D1671" s="7"/>
        <tr r="D1675" s="7"/>
        <tr r="D1679" s="7"/>
        <tr r="D1683" s="7"/>
        <tr r="D1687" s="7"/>
        <tr r="D1691" s="7"/>
        <tr r="D1695" s="7"/>
        <tr r="D1699" s="7"/>
        <tr r="D1703" s="7"/>
        <tr r="D1707" s="7"/>
        <tr r="D1711" s="7"/>
        <tr r="D1715" s="7"/>
        <tr r="D1719" s="7"/>
        <tr r="D1723" s="7"/>
        <tr r="D1727" s="7"/>
        <tr r="D1731" s="7"/>
        <tr r="D1735" s="7"/>
        <tr r="D1739" s="7"/>
        <tr r="D1743" s="7"/>
        <tr r="D1747" s="7"/>
        <tr r="D1777" s="7"/>
        <tr r="D1778" s="7"/>
        <tr r="D1785" s="7"/>
        <tr r="D1786" s="7"/>
        <tr r="D1793" s="7"/>
        <tr r="D1797" s="7"/>
        <tr r="D1822" s="7"/>
        <tr r="D1676" s="7"/>
        <tr r="D1680" s="7"/>
        <tr r="D1684" s="7"/>
        <tr r="D1688" s="7"/>
        <tr r="D1692" s="7"/>
        <tr r="D1696" s="7"/>
        <tr r="D1700" s="7"/>
        <tr r="D1704" s="7"/>
        <tr r="D1708" s="7"/>
        <tr r="D1712" s="7"/>
        <tr r="D1716" s="7"/>
        <tr r="D1720" s="7"/>
        <tr r="D1724" s="7"/>
        <tr r="D1728" s="7"/>
        <tr r="D1732" s="7"/>
        <tr r="D1736" s="7"/>
        <tr r="D1740" s="7"/>
        <tr r="D1744" s="7"/>
        <tr r="D1748" s="7"/>
        <tr r="D1677" s="7"/>
        <tr r="D1681" s="7"/>
        <tr r="D1685" s="7"/>
        <tr r="D1689" s="7"/>
        <tr r="D1693" s="7"/>
        <tr r="D1697" s="7"/>
        <tr r="D1701" s="7"/>
        <tr r="D1705" s="7"/>
        <tr r="D1709" s="7"/>
        <tr r="D1713" s="7"/>
        <tr r="D1717" s="7"/>
        <tr r="D1721" s="7"/>
        <tr r="D1725" s="7"/>
        <tr r="D1729" s="7"/>
        <tr r="D1733" s="7"/>
        <tr r="D1737" s="7"/>
        <tr r="D1741" s="7"/>
        <tr r="D1745" s="7"/>
        <tr r="D1752" s="7"/>
        <tr r="D1756" s="7"/>
        <tr r="D1760" s="7"/>
        <tr r="D1764" s="7"/>
        <tr r="D1768" s="7"/>
        <tr r="D1772" s="7"/>
        <tr r="D1781" s="7"/>
        <tr r="D1782" s="7"/>
        <tr r="D1789" s="7"/>
        <tr r="D1790" s="7"/>
        <tr r="D1821" s="7"/>
        <tr r="D1749" s="7"/>
        <tr r="D1753" s="7"/>
        <tr r="D1757" s="7"/>
        <tr r="D1761" s="7"/>
        <tr r="D1765" s="7"/>
        <tr r="D1769" s="7"/>
        <tr r="D1773" s="7"/>
        <tr r="D1774" s="7"/>
        <tr r="D1798" s="7"/>
        <tr r="D1802" s="7"/>
        <tr r="D1806" s="7"/>
        <tr r="D1810" s="7"/>
        <tr r="D1814" s="7"/>
        <tr r="D1818" s="7"/>
        <tr r="D1750" s="7"/>
        <tr r="D1754" s="7"/>
        <tr r="D1758" s="7"/>
        <tr r="D1762" s="7"/>
        <tr r="D1766" s="7"/>
        <tr r="D1770" s="7"/>
        <tr r="D1794" s="7"/>
        <tr r="D1801" s="7"/>
        <tr r="D1805" s="7"/>
        <tr r="D1809" s="7"/>
        <tr r="D1813" s="7"/>
        <tr r="D1817" s="7"/>
        <tr r="D1825" s="7"/>
        <tr r="D1826" s="7"/>
        <tr r="D1751" s="7"/>
        <tr r="D1755" s="7"/>
        <tr r="D1759" s="7"/>
        <tr r="D1763" s="7"/>
        <tr r="D1767" s="7"/>
        <tr r="D1771" s="7"/>
        <tr r="D1795" s="7"/>
        <tr r="D1775" s="7"/>
        <tr r="D1779" s="7"/>
        <tr r="D1783" s="7"/>
        <tr r="D1787" s="7"/>
        <tr r="D1791" s="7"/>
        <tr r="D1776" s="7"/>
        <tr r="D1780" s="7"/>
        <tr r="D1784" s="7"/>
        <tr r="D1788" s="7"/>
        <tr r="D1792" s="7"/>
        <tr r="D1799" s="7"/>
        <tr r="D1803" s="7"/>
        <tr r="D1807" s="7"/>
        <tr r="D1811" s="7"/>
        <tr r="D1815" s="7"/>
        <tr r="D1819" s="7"/>
        <tr r="D1823" s="7"/>
        <tr r="D1827" s="7"/>
        <tr r="D1830" s="7"/>
        <tr r="D1831" s="7"/>
        <tr r="D1835" s="7"/>
        <tr r="D1839" s="7"/>
        <tr r="D1843" s="7"/>
        <tr r="D1796" s="7"/>
        <tr r="D1800" s="7"/>
        <tr r="D1804" s="7"/>
        <tr r="D1808" s="7"/>
        <tr r="D1812" s="7"/>
        <tr r="D1816" s="7"/>
        <tr r="D1820" s="7"/>
        <tr r="D1824" s="7"/>
        <tr r="D1828" s="7"/>
        <tr r="D1832" s="7"/>
        <tr r="D1836" s="7"/>
        <tr r="D1840" s="7"/>
        <tr r="D1844" s="7"/>
        <tr r="D1845" s="7"/>
        <tr r="D1829" s="7"/>
        <tr r="D1833" s="7"/>
        <tr r="D1837" s="7"/>
        <tr r="D1841" s="7"/>
        <tr r="D1848" s="7"/>
        <tr r="D1849" s="7"/>
        <tr r="D1852" s="7"/>
        <tr r="D1853" s="7"/>
        <tr r="D1856" s="7"/>
        <tr r="D1857" s="7"/>
        <tr r="D1860" s="7"/>
        <tr r="D1834" s="7"/>
        <tr r="D1838" s="7"/>
        <tr r="D1842" s="7"/>
        <tr r="D1846" s="7"/>
        <tr r="D1850" s="7"/>
        <tr r="D1854" s="7"/>
        <tr r="D1858" s="7"/>
        <tr r="D1861" s="7"/>
        <tr r="D1865" s="7"/>
        <tr r="D1869" s="7"/>
        <tr r="D1873" s="7"/>
        <tr r="D1877" s="7"/>
        <tr r="D1881" s="7"/>
        <tr r="D1847" s="7"/>
        <tr r="D1851" s="7"/>
        <tr r="D1855" s="7"/>
        <tr r="D1859" s="7"/>
        <tr r="D1862" s="7"/>
        <tr r="D1866" s="7"/>
        <tr r="D1870" s="7"/>
        <tr r="D1874" s="7"/>
        <tr r="D1878" s="7"/>
        <tr r="D1863" s="7"/>
        <tr r="D1867" s="7"/>
        <tr r="D1871" s="7"/>
        <tr r="D1875" s="7"/>
        <tr r="D1879" s="7"/>
        <tr r="D1864" s="7"/>
        <tr r="D1868" s="7"/>
        <tr r="D1872" s="7"/>
        <tr r="D1876" s="7"/>
        <tr r="D1880" s="7"/>
      </tp>
    </main>
    <main first="rtdsrv.662c26bade854d00aebc6010f8a2e03a">
      <tp t="s">
        <v/>
        <stp/>
        <stp>Market</stp>
        <stp>STOCK</stp>
        <stp/>
        <stp>前日比率</stp>
        <tr r="F914" s="7"/>
        <tr r="F1193" s="7"/>
        <tr r="F1197" s="7"/>
        <tr r="F1201" s="7"/>
        <tr r="F1205" s="7"/>
        <tr r="F1209" s="7"/>
        <tr r="F1213" s="7"/>
        <tr r="F1217" s="7"/>
        <tr r="F1221" s="7"/>
        <tr r="F1225" s="7"/>
        <tr r="F1229" s="7"/>
        <tr r="F1233" s="7"/>
        <tr r="F1237" s="7"/>
        <tr r="F1241" s="7"/>
        <tr r="F1245" s="7"/>
        <tr r="F1249" s="7"/>
        <tr r="F1253" s="7"/>
        <tr r="F1259" s="7"/>
        <tr r="F1263" s="7"/>
        <tr r="F1267" s="7"/>
        <tr r="F1272" s="7"/>
        <tr r="F1194" s="7"/>
        <tr r="F1198" s="7"/>
        <tr r="F1202" s="7"/>
        <tr r="F1206" s="7"/>
        <tr r="F1210" s="7"/>
        <tr r="F1214" s="7"/>
        <tr r="F1218" s="7"/>
        <tr r="F1222" s="7"/>
        <tr r="F1226" s="7"/>
        <tr r="F1230" s="7"/>
        <tr r="F1234" s="7"/>
        <tr r="F1238" s="7"/>
        <tr r="F1242" s="7"/>
        <tr r="F1246" s="7"/>
        <tr r="F1250" s="7"/>
        <tr r="F1254" s="7"/>
        <tr r="F1195" s="7"/>
        <tr r="F1199" s="7"/>
        <tr r="F1203" s="7"/>
        <tr r="F1207" s="7"/>
        <tr r="F1211" s="7"/>
        <tr r="F1215" s="7"/>
        <tr r="F1219" s="7"/>
        <tr r="F1223" s="7"/>
        <tr r="F1227" s="7"/>
        <tr r="F1231" s="7"/>
        <tr r="F1235" s="7"/>
        <tr r="F1239" s="7"/>
        <tr r="F1243" s="7"/>
        <tr r="F1247" s="7"/>
        <tr r="F1251" s="7"/>
        <tr r="F1255" s="7"/>
        <tr r="F1192" s="7"/>
        <tr r="F1196" s="7"/>
        <tr r="F1200" s="7"/>
        <tr r="F1204" s="7"/>
        <tr r="F1208" s="7"/>
        <tr r="F1212" s="7"/>
        <tr r="F1216" s="7"/>
        <tr r="F1220" s="7"/>
        <tr r="F1224" s="7"/>
        <tr r="F1228" s="7"/>
        <tr r="F1232" s="7"/>
        <tr r="F1236" s="7"/>
        <tr r="F1240" s="7"/>
        <tr r="F1244" s="7"/>
        <tr r="F1248" s="7"/>
        <tr r="F1252" s="7"/>
        <tr r="F1256" s="7"/>
        <tr r="F1258" s="7"/>
        <tr r="F1260" s="7"/>
        <tr r="F1264" s="7"/>
        <tr r="F1268" s="7"/>
        <tr r="F1271" s="7"/>
        <tr r="F1275" s="7"/>
        <tr r="F1279" s="7"/>
        <tr r="F1283" s="7"/>
        <tr r="F1287" s="7"/>
        <tr r="F1291" s="7"/>
        <tr r="F1295" s="7"/>
        <tr r="F1299" s="7"/>
        <tr r="F1303" s="7"/>
        <tr r="F1307" s="7"/>
        <tr r="F1311" s="7"/>
        <tr r="F1315" s="7"/>
        <tr r="F1319" s="7"/>
        <tr r="F1323" s="7"/>
        <tr r="F1327" s="7"/>
        <tr r="F1331" s="7"/>
        <tr r="F1335" s="7"/>
        <tr r="F1339" s="7"/>
        <tr r="F1343" s="7"/>
        <tr r="F1276" s="7"/>
        <tr r="F1280" s="7"/>
        <tr r="F1284" s="7"/>
        <tr r="F1288" s="7"/>
        <tr r="F1292" s="7"/>
        <tr r="F1296" s="7"/>
        <tr r="F1300" s="7"/>
        <tr r="F1304" s="7"/>
        <tr r="F1308" s="7"/>
        <tr r="F1312" s="7"/>
        <tr r="F1316" s="7"/>
        <tr r="F1320" s="7"/>
        <tr r="F1324" s="7"/>
        <tr r="F1328" s="7"/>
        <tr r="F1332" s="7"/>
        <tr r="F1336" s="7"/>
        <tr r="F1347" s="7"/>
        <tr r="F1351" s="7"/>
        <tr r="F1355" s="7"/>
        <tr r="F1359" s="7"/>
        <tr r="F1363" s="7"/>
        <tr r="F1367" s="7"/>
        <tr r="F1371" s="7"/>
        <tr r="F1375" s="7"/>
        <tr r="F1379" s="7"/>
        <tr r="F1383" s="7"/>
        <tr r="F1387" s="7"/>
        <tr r="F1391" s="7"/>
        <tr r="F1395" s="7"/>
        <tr r="F1399" s="7"/>
        <tr r="F1403" s="7"/>
        <tr r="F1407" s="7"/>
        <tr r="F1411" s="7"/>
        <tr r="F1257" s="7"/>
        <tr r="F1261" s="7"/>
        <tr r="F1265" s="7"/>
        <tr r="F1269" s="7"/>
        <tr r="F1273" s="7"/>
        <tr r="F1277" s="7"/>
        <tr r="F1281" s="7"/>
        <tr r="F1285" s="7"/>
        <tr r="F1289" s="7"/>
        <tr r="F1293" s="7"/>
        <tr r="F1297" s="7"/>
        <tr r="F1301" s="7"/>
        <tr r="F1305" s="7"/>
        <tr r="F1309" s="7"/>
        <tr r="F1313" s="7"/>
        <tr r="F1317" s="7"/>
        <tr r="F1321" s="7"/>
        <tr r="F1325" s="7"/>
        <tr r="F1329" s="7"/>
        <tr r="F1333" s="7"/>
        <tr r="F1337" s="7"/>
        <tr r="F1262" s="7"/>
        <tr r="F1266" s="7"/>
        <tr r="F1270" s="7"/>
        <tr r="F1274" s="7"/>
        <tr r="F1278" s="7"/>
        <tr r="F1282" s="7"/>
        <tr r="F1286" s="7"/>
        <tr r="F1290" s="7"/>
        <tr r="F1294" s="7"/>
        <tr r="F1298" s="7"/>
        <tr r="F1302" s="7"/>
        <tr r="F1306" s="7"/>
        <tr r="F1310" s="7"/>
        <tr r="F1314" s="7"/>
        <tr r="F1318" s="7"/>
        <tr r="F1322" s="7"/>
        <tr r="F1326" s="7"/>
        <tr r="F1330" s="7"/>
        <tr r="F1334" s="7"/>
        <tr r="F1340" s="7"/>
        <tr r="F1344" s="7"/>
        <tr r="F1415" s="7"/>
        <tr r="F1419" s="7"/>
        <tr r="F1423" s="7"/>
        <tr r="F1426" s="7"/>
        <tr r="F1427" s="7"/>
        <tr r="F1428" s="7"/>
        <tr r="F1430" s="7"/>
        <tr r="F1431" s="7"/>
        <tr r="F1432" s="7"/>
        <tr r="F1434" s="7"/>
        <tr r="F1435" s="7"/>
        <tr r="F1436" s="7"/>
        <tr r="F1438" s="7"/>
        <tr r="F1439" s="7"/>
        <tr r="F1444" s="7"/>
        <tr r="F1448" s="7"/>
        <tr r="F1452" s="7"/>
        <tr r="F1456" s="7"/>
        <tr r="F1460" s="7"/>
        <tr r="F1464" s="7"/>
        <tr r="F1468" s="7"/>
        <tr r="F1472" s="7"/>
        <tr r="F1476" s="7"/>
        <tr r="F1480" s="7"/>
        <tr r="F1484" s="7"/>
        <tr r="F1488" s="7"/>
        <tr r="F1348" s="7"/>
        <tr r="F1352" s="7"/>
        <tr r="F1356" s="7"/>
        <tr r="F1360" s="7"/>
        <tr r="F1364" s="7"/>
        <tr r="F1368" s="7"/>
        <tr r="F1372" s="7"/>
        <tr r="F1376" s="7"/>
        <tr r="F1380" s="7"/>
        <tr r="F1384" s="7"/>
        <tr r="F1388" s="7"/>
        <tr r="F1392" s="7"/>
        <tr r="F1396" s="7"/>
        <tr r="F1400" s="7"/>
        <tr r="F1404" s="7"/>
        <tr r="F1408" s="7"/>
        <tr r="F1412" s="7"/>
        <tr r="F1416" s="7"/>
        <tr r="F1420" s="7"/>
        <tr r="F1424" s="7"/>
        <tr r="F1440" s="7"/>
        <tr r="F1341" s="7"/>
        <tr r="F1345" s="7"/>
        <tr r="F1349" s="7"/>
        <tr r="F1353" s="7"/>
        <tr r="F1357" s="7"/>
        <tr r="F1361" s="7"/>
        <tr r="F1365" s="7"/>
        <tr r="F1369" s="7"/>
        <tr r="F1373" s="7"/>
        <tr r="F1377" s="7"/>
        <tr r="F1381" s="7"/>
        <tr r="F1385" s="7"/>
        <tr r="F1389" s="7"/>
        <tr r="F1393" s="7"/>
        <tr r="F1397" s="7"/>
        <tr r="F1401" s="7"/>
        <tr r="F1405" s="7"/>
        <tr r="F1409" s="7"/>
        <tr r="F1413" s="7"/>
        <tr r="F1417" s="7"/>
        <tr r="F1421" s="7"/>
        <tr r="F1497" s="7"/>
        <tr r="F1338" s="7"/>
        <tr r="F1342" s="7"/>
        <tr r="F1346" s="7"/>
        <tr r="F1350" s="7"/>
        <tr r="F1354" s="7"/>
        <tr r="F1358" s="7"/>
        <tr r="F1362" s="7"/>
        <tr r="F1366" s="7"/>
        <tr r="F1370" s="7"/>
        <tr r="F1374" s="7"/>
        <tr r="F1378" s="7"/>
        <tr r="F1382" s="7"/>
        <tr r="F1386" s="7"/>
        <tr r="F1390" s="7"/>
        <tr r="F1394" s="7"/>
        <tr r="F1398" s="7"/>
        <tr r="F1402" s="7"/>
        <tr r="F1406" s="7"/>
        <tr r="F1410" s="7"/>
        <tr r="F1414" s="7"/>
        <tr r="F1418" s="7"/>
        <tr r="F1422" s="7"/>
        <tr r="F1680" s="7"/>
        <tr r="F1712" s="7"/>
        <tr r="F1744" s="7"/>
        <tr r="F1425" s="7"/>
        <tr r="F1429" s="7"/>
        <tr r="F1433" s="7"/>
        <tr r="F1437" s="7"/>
        <tr r="F1441" s="7"/>
        <tr r="F1445" s="7"/>
        <tr r="F1449" s="7"/>
        <tr r="F1453" s="7"/>
        <tr r="F1457" s="7"/>
        <tr r="F1461" s="7"/>
        <tr r="F1465" s="7"/>
        <tr r="F1469" s="7"/>
        <tr r="F1473" s="7"/>
        <tr r="F1477" s="7"/>
        <tr r="F1481" s="7"/>
        <tr r="F1485" s="7"/>
        <tr r="F1489" s="7"/>
        <tr r="F1490" s="7"/>
        <tr r="F1492" s="7"/>
        <tr r="F1493" s="7"/>
        <tr r="F1494" s="7"/>
        <tr r="F1496" s="7"/>
        <tr r="F1704" s="7"/>
        <tr r="F1736" s="7"/>
        <tr r="F1442" s="7"/>
        <tr r="F1446" s="7"/>
        <tr r="F1450" s="7"/>
        <tr r="F1454" s="7"/>
        <tr r="F1458" s="7"/>
        <tr r="F1462" s="7"/>
        <tr r="F1466" s="7"/>
        <tr r="F1470" s="7"/>
        <tr r="F1474" s="7"/>
        <tr r="F1478" s="7"/>
        <tr r="F1482" s="7"/>
        <tr r="F1486" s="7"/>
        <tr r="F1500" s="7"/>
        <tr r="F1504" s="7"/>
        <tr r="F1508" s="7"/>
        <tr r="F1512" s="7"/>
        <tr r="F1516" s="7"/>
        <tr r="F1520" s="7"/>
        <tr r="F1524" s="7"/>
        <tr r="F1528" s="7"/>
        <tr r="F1532" s="7"/>
        <tr r="F1536" s="7"/>
        <tr r="F1540" s="7"/>
        <tr r="F1544" s="7"/>
        <tr r="F1548" s="7"/>
        <tr r="F1552" s="7"/>
        <tr r="F1556" s="7"/>
        <tr r="F1560" s="7"/>
        <tr r="F1564" s="7"/>
        <tr r="F1568" s="7"/>
        <tr r="F1572" s="7"/>
        <tr r="F1576" s="7"/>
        <tr r="F1580" s="7"/>
        <tr r="F1584" s="7"/>
        <tr r="F1588" s="7"/>
        <tr r="F1592" s="7"/>
        <tr r="F1596" s="7"/>
        <tr r="F1600" s="7"/>
        <tr r="F1604" s="7"/>
        <tr r="F1608" s="7"/>
        <tr r="F1612" s="7"/>
        <tr r="F1696" s="7"/>
        <tr r="F1728" s="7"/>
        <tr r="F1443" s="7"/>
        <tr r="F1447" s="7"/>
        <tr r="F1451" s="7"/>
        <tr r="F1455" s="7"/>
        <tr r="F1459" s="7"/>
        <tr r="F1463" s="7"/>
        <tr r="F1467" s="7"/>
        <tr r="F1471" s="7"/>
        <tr r="F1475" s="7"/>
        <tr r="F1479" s="7"/>
        <tr r="F1483" s="7"/>
        <tr r="F1487" s="7"/>
        <tr r="F1688" s="7"/>
        <tr r="F1720" s="7"/>
        <tr r="F1501" s="7"/>
        <tr r="F1505" s="7"/>
        <tr r="F1509" s="7"/>
        <tr r="F1513" s="7"/>
        <tr r="F1517" s="7"/>
        <tr r="F1521" s="7"/>
        <tr r="F1525" s="7"/>
        <tr r="F1529" s="7"/>
        <tr r="F1533" s="7"/>
        <tr r="F1537" s="7"/>
        <tr r="F1541" s="7"/>
        <tr r="F1545" s="7"/>
        <tr r="F1549" s="7"/>
        <tr r="F1553" s="7"/>
        <tr r="F1557" s="7"/>
        <tr r="F1561" s="7"/>
        <tr r="F1565" s="7"/>
        <tr r="F1569" s="7"/>
        <tr r="F1573" s="7"/>
        <tr r="F1577" s="7"/>
        <tr r="F1581" s="7"/>
        <tr r="F1585" s="7"/>
        <tr r="F1589" s="7"/>
        <tr r="F1593" s="7"/>
        <tr r="F1597" s="7"/>
        <tr r="F1601" s="7"/>
        <tr r="F1605" s="7"/>
        <tr r="F1609" s="7"/>
        <tr r="F1659" s="7"/>
        <tr r="F1498" s="7"/>
        <tr r="F1502" s="7"/>
        <tr r="F1506" s="7"/>
        <tr r="F1510" s="7"/>
        <tr r="F1514" s="7"/>
        <tr r="F1518" s="7"/>
        <tr r="F1522" s="7"/>
        <tr r="F1526" s="7"/>
        <tr r="F1530" s="7"/>
        <tr r="F1534" s="7"/>
        <tr r="F1538" s="7"/>
        <tr r="F1542" s="7"/>
        <tr r="F1546" s="7"/>
        <tr r="F1550" s="7"/>
        <tr r="F1554" s="7"/>
        <tr r="F1558" s="7"/>
        <tr r="F1562" s="7"/>
        <tr r="F1566" s="7"/>
        <tr r="F1570" s="7"/>
        <tr r="F1574" s="7"/>
        <tr r="F1578" s="7"/>
        <tr r="F1582" s="7"/>
        <tr r="F1586" s="7"/>
        <tr r="F1590" s="7"/>
        <tr r="F1594" s="7"/>
        <tr r="F1598" s="7"/>
        <tr r="F1602" s="7"/>
        <tr r="F1606" s="7"/>
        <tr r="F1610" s="7"/>
        <tr r="F1658" s="7"/>
        <tr r="F1676" s="7"/>
        <tr r="F1684" s="7"/>
        <tr r="F1692" s="7"/>
        <tr r="F1700" s="7"/>
        <tr r="F1708" s="7"/>
        <tr r="F1716" s="7"/>
        <tr r="F1724" s="7"/>
        <tr r="F1732" s="7"/>
        <tr r="F1740" s="7"/>
        <tr r="F1748" s="7"/>
        <tr r="F1491" s="7"/>
        <tr r="F1495" s="7"/>
        <tr r="F1499" s="7"/>
        <tr r="F1503" s="7"/>
        <tr r="F1507" s="7"/>
        <tr r="F1511" s="7"/>
        <tr r="F1515" s="7"/>
        <tr r="F1519" s="7"/>
        <tr r="F1523" s="7"/>
        <tr r="F1527" s="7"/>
        <tr r="F1531" s="7"/>
        <tr r="F1535" s="7"/>
        <tr r="F1539" s="7"/>
        <tr r="F1543" s="7"/>
        <tr r="F1547" s="7"/>
        <tr r="F1551" s="7"/>
        <tr r="F1555" s="7"/>
        <tr r="F1559" s="7"/>
        <tr r="F1563" s="7"/>
        <tr r="F1567" s="7"/>
        <tr r="F1571" s="7"/>
        <tr r="F1575" s="7"/>
        <tr r="F1579" s="7"/>
        <tr r="F1583" s="7"/>
        <tr r="F1587" s="7"/>
        <tr r="F1591" s="7"/>
        <tr r="F1595" s="7"/>
        <tr r="F1599" s="7"/>
        <tr r="F1603" s="7"/>
        <tr r="F1607" s="7"/>
        <tr r="F1611" s="7"/>
        <tr r="F1613" s="7"/>
        <tr r="F1614" s="7"/>
        <tr r="F1615" s="7"/>
        <tr r="F1617" s="7"/>
        <tr r="F1618" s="7"/>
        <tr r="F1619" s="7"/>
        <tr r="F1621" s="7"/>
        <tr r="F1622" s="7"/>
        <tr r="F1623" s="7"/>
        <tr r="F1625" s="7"/>
        <tr r="F1626" s="7"/>
        <tr r="F1627" s="7"/>
        <tr r="F1629" s="7"/>
        <tr r="F1630" s="7"/>
        <tr r="F1631" s="7"/>
        <tr r="F1633" s="7"/>
        <tr r="F1634" s="7"/>
        <tr r="F1635" s="7"/>
        <tr r="F1637" s="7"/>
        <tr r="F1638" s="7"/>
        <tr r="F1639" s="7"/>
        <tr r="F1641" s="7"/>
        <tr r="F1642" s="7"/>
        <tr r="F1643" s="7"/>
        <tr r="F1645" s="7"/>
        <tr r="F1646" s="7"/>
        <tr r="F1647" s="7"/>
        <tr r="F1649" s="7"/>
        <tr r="F1650" s="7"/>
        <tr r="F1651" s="7"/>
        <tr r="F1653" s="7"/>
        <tr r="F1654" s="7"/>
        <tr r="F1655" s="7"/>
        <tr r="F1662" s="7"/>
        <tr r="F1666" s="7"/>
        <tr r="F1670" s="7"/>
        <tr r="F1663" s="7"/>
        <tr r="F1667" s="7"/>
        <tr r="F1671" s="7"/>
        <tr r="F1616" s="7"/>
        <tr r="F1620" s="7"/>
        <tr r="F1624" s="7"/>
        <tr r="F1628" s="7"/>
        <tr r="F1632" s="7"/>
        <tr r="F1636" s="7"/>
        <tr r="F1640" s="7"/>
        <tr r="F1644" s="7"/>
        <tr r="F1648" s="7"/>
        <tr r="F1652" s="7"/>
        <tr r="F1656" s="7"/>
        <tr r="F1660" s="7"/>
        <tr r="F1664" s="7"/>
        <tr r="F1668" s="7"/>
        <tr r="F1672" s="7"/>
        <tr r="F1657" s="7"/>
        <tr r="F1661" s="7"/>
        <tr r="F1665" s="7"/>
        <tr r="F1669" s="7"/>
        <tr r="F1673" s="7"/>
        <tr r="F1677" s="7"/>
        <tr r="F1681" s="7"/>
        <tr r="F1685" s="7"/>
        <tr r="F1689" s="7"/>
        <tr r="F1693" s="7"/>
        <tr r="F1697" s="7"/>
        <tr r="F1701" s="7"/>
        <tr r="F1705" s="7"/>
        <tr r="F1709" s="7"/>
        <tr r="F1713" s="7"/>
        <tr r="F1717" s="7"/>
        <tr r="F1721" s="7"/>
        <tr r="F1725" s="7"/>
        <tr r="F1729" s="7"/>
        <tr r="F1733" s="7"/>
        <tr r="F1737" s="7"/>
        <tr r="F1741" s="7"/>
        <tr r="F1745" s="7"/>
        <tr r="F1829" s="7"/>
        <tr r="F1674" s="7"/>
        <tr r="F1678" s="7"/>
        <tr r="F1682" s="7"/>
        <tr r="F1686" s="7"/>
        <tr r="F1690" s="7"/>
        <tr r="F1694" s="7"/>
        <tr r="F1698" s="7"/>
        <tr r="F1702" s="7"/>
        <tr r="F1706" s="7"/>
        <tr r="F1710" s="7"/>
        <tr r="F1714" s="7"/>
        <tr r="F1718" s="7"/>
        <tr r="F1722" s="7"/>
        <tr r="F1726" s="7"/>
        <tr r="F1730" s="7"/>
        <tr r="F1734" s="7"/>
        <tr r="F1738" s="7"/>
        <tr r="F1742" s="7"/>
        <tr r="F1746" s="7"/>
        <tr r="F1675" s="7"/>
        <tr r="F1679" s="7"/>
        <tr r="F1683" s="7"/>
        <tr r="F1687" s="7"/>
        <tr r="F1691" s="7"/>
        <tr r="F1695" s="7"/>
        <tr r="F1699" s="7"/>
        <tr r="F1703" s="7"/>
        <tr r="F1707" s="7"/>
        <tr r="F1711" s="7"/>
        <tr r="F1715" s="7"/>
        <tr r="F1719" s="7"/>
        <tr r="F1723" s="7"/>
        <tr r="F1727" s="7"/>
        <tr r="F1731" s="7"/>
        <tr r="F1735" s="7"/>
        <tr r="F1739" s="7"/>
        <tr r="F1743" s="7"/>
        <tr r="F1747" s="7"/>
        <tr r="F1750" s="7"/>
        <tr r="F1754" s="7"/>
        <tr r="F1758" s="7"/>
        <tr r="F1762" s="7"/>
        <tr r="F1766" s="7"/>
        <tr r="F1770" s="7"/>
        <tr r="F1751" s="7"/>
        <tr r="F1755" s="7"/>
        <tr r="F1759" s="7"/>
        <tr r="F1763" s="7"/>
        <tr r="F1767" s="7"/>
        <tr r="F1771" s="7"/>
        <tr r="F1752" s="7"/>
        <tr r="F1756" s="7"/>
        <tr r="F1760" s="7"/>
        <tr r="F1764" s="7"/>
        <tr r="F1768" s="7"/>
        <tr r="F1772" s="7"/>
        <tr r="F1776" s="7"/>
        <tr r="F1780" s="7"/>
        <tr r="F1784" s="7"/>
        <tr r="F1788" s="7"/>
        <tr r="F1792" s="7"/>
        <tr r="F1749" s="7"/>
        <tr r="F1753" s="7"/>
        <tr r="F1757" s="7"/>
        <tr r="F1761" s="7"/>
        <tr r="F1765" s="7"/>
        <tr r="F1769" s="7"/>
        <tr r="F1773" s="7"/>
        <tr r="F1775" s="7"/>
        <tr r="F1779" s="7"/>
        <tr r="F1783" s="7"/>
        <tr r="F1787" s="7"/>
        <tr r="F1791" s="7"/>
        <tr r="F1855" s="7"/>
        <tr r="F1777" s="7"/>
        <tr r="F1781" s="7"/>
        <tr r="F1785" s="7"/>
        <tr r="F1789" s="7"/>
        <tr r="F1793" s="7"/>
        <tr r="F1795" s="7"/>
        <tr r="F1796" s="7"/>
        <tr r="F1797" s="7"/>
        <tr r="F1800" s="7"/>
        <tr r="F1804" s="7"/>
        <tr r="F1808" s="7"/>
        <tr r="F1812" s="7"/>
        <tr r="F1816" s="7"/>
        <tr r="F1820" s="7"/>
        <tr r="F1824" s="7"/>
        <tr r="F1828" s="7"/>
        <tr r="F1832" s="7"/>
        <tr r="F1774" s="7"/>
        <tr r="F1778" s="7"/>
        <tr r="F1782" s="7"/>
        <tr r="F1786" s="7"/>
        <tr r="F1790" s="7"/>
        <tr r="F1799" s="7"/>
        <tr r="F1803" s="7"/>
        <tr r="F1807" s="7"/>
        <tr r="F1811" s="7"/>
        <tr r="F1815" s="7"/>
        <tr r="F1819" s="7"/>
        <tr r="F1823" s="7"/>
        <tr r="F1827" s="7"/>
        <tr r="F1847" s="7"/>
        <tr r="F1801" s="7"/>
        <tr r="F1805" s="7"/>
        <tr r="F1809" s="7"/>
        <tr r="F1813" s="7"/>
        <tr r="F1817" s="7"/>
        <tr r="F1821" s="7"/>
        <tr r="F1825" s="7"/>
        <tr r="F1833" s="7"/>
        <tr r="F1837" s="7"/>
        <tr r="F1841" s="7"/>
        <tr r="F1794" s="7"/>
        <tr r="F1798" s="7"/>
        <tr r="F1802" s="7"/>
        <tr r="F1806" s="7"/>
        <tr r="F1810" s="7"/>
        <tr r="F1814" s="7"/>
        <tr r="F1818" s="7"/>
        <tr r="F1822" s="7"/>
        <tr r="F1826" s="7"/>
        <tr r="F1851" s="7"/>
        <tr r="F1859" s="7"/>
        <tr r="F1830" s="7"/>
        <tr r="F1834" s="7"/>
        <tr r="F1838" s="7"/>
        <tr r="F1842" s="7"/>
        <tr r="F1846" s="7"/>
        <tr r="F1850" s="7"/>
        <tr r="F1854" s="7"/>
        <tr r="F1858" s="7"/>
        <tr r="F1831" s="7"/>
        <tr r="F1835" s="7"/>
        <tr r="F1839" s="7"/>
        <tr r="F1843" s="7"/>
        <tr r="F1836" s="7"/>
        <tr r="F1840" s="7"/>
        <tr r="F1844" s="7"/>
        <tr r="F1848" s="7"/>
        <tr r="F1852" s="7"/>
        <tr r="F1856" s="7"/>
        <tr r="F1860" s="7"/>
        <tr r="F1863" s="7"/>
        <tr r="F1867" s="7"/>
        <tr r="F1871" s="7"/>
        <tr r="F1875" s="7"/>
        <tr r="F1879" s="7"/>
        <tr r="F1845" s="7"/>
        <tr r="F1849" s="7"/>
        <tr r="F1853" s="7"/>
        <tr r="F1857" s="7"/>
        <tr r="F1864" s="7"/>
        <tr r="F1868" s="7"/>
        <tr r="F1872" s="7"/>
        <tr r="F1876" s="7"/>
        <tr r="F1880" s="7"/>
        <tr r="F1861" s="7"/>
        <tr r="F1865" s="7"/>
        <tr r="F1869" s="7"/>
        <tr r="F1873" s="7"/>
        <tr r="F1877" s="7"/>
        <tr r="F1881" s="7"/>
        <tr r="F1862" s="7"/>
        <tr r="F1866" s="7"/>
        <tr r="F1870" s="7"/>
        <tr r="F1874" s="7"/>
        <tr r="F1878" s="7"/>
      </tp>
    </main>
    <main first="rtdsrv.662c26bade854d00aebc6010f8a2e03a">
      <tp>
        <v>1921</v>
        <stp/>
        <stp>Market</stp>
        <stp>STOCK</stp>
        <stp>54230.T</stp>
        <stp>年初来高値</stp>
        <tr r="Y595" s="7"/>
      </tp>
      <tp t="s">
        <v>表示銘柄数超過</v>
        <stp/>
        <stp>Market</stp>
        <stp>STOCK</stp>
        <stp>45230.T</stp>
        <stp>年初来高値</stp>
        <tr r="Y482" s="7"/>
      </tp>
      <tp>
        <v>1298</v>
        <stp/>
        <stp>Market</stp>
        <stp>STOCK</stp>
        <stp>75230.T</stp>
        <stp>年初来高値</stp>
        <tr r="Y900" s="7"/>
      </tp>
      <tp>
        <v>1024</v>
        <stp/>
        <stp>Market</stp>
        <stp>STOCK</stp>
        <stp>76230.T</stp>
        <stp>年初来高値</stp>
        <tr r="Y915" s="7"/>
      </tp>
      <tp>
        <v>854</v>
        <stp/>
        <stp>Market</stp>
        <stp>STOCK</stp>
        <stp>78230.T</stp>
        <stp>年初来高値</stp>
        <tr r="Y941" s="7"/>
      </tp>
      <tp>
        <v>2899.5</v>
        <stp/>
        <stp>Market</stp>
        <stp>STOCK</stp>
        <stp>67230.T</stp>
        <stp>年初来高値</stp>
        <tr r="Y757" s="7"/>
      </tp>
      <tp>
        <v>1311</v>
        <stp/>
        <stp>Market</stp>
        <stp>STOCK</stp>
        <stp>60230.T</stp>
        <stp>年初来高値</stp>
        <tr r="Y636" s="7"/>
      </tp>
      <tp>
        <v>3075</v>
        <stp/>
        <stp>Market</stp>
        <stp>STOCK</stp>
        <stp>69230.T</stp>
        <stp>年初来高値</stp>
        <tr r="Y788" s="7"/>
      </tp>
      <tp t="s">
        <v>表示銘柄数超過</v>
        <stp/>
        <stp>Market</stp>
        <stp>STOCK</stp>
        <stp>37230.T</stp>
        <stp>年初来高値</stp>
        <tr r="Y346" s="7"/>
      </tp>
      <tp t="s">
        <v>表示銘柄数超過</v>
        <stp/>
        <stp>Market</stp>
        <stp>STOCK</stp>
        <stp>33230.T</stp>
        <stp>年初来高値</stp>
        <tr r="Y278" s="7"/>
      </tp>
      <tp t="s">
        <v>表示銘柄数超過</v>
        <stp/>
        <stp>Market</stp>
        <stp>STOCK</stp>
        <stp>38230.T</stp>
        <stp>年初来高値</stp>
        <tr r="Y366" s="7"/>
      </tp>
      <tp t="s">
        <v>表示銘柄数超過</v>
        <stp/>
        <stp>Market</stp>
        <stp>STOCK</stp>
        <stp>23230.T</stp>
        <stp>年初来高値</stp>
        <tr r="Y116" s="7"/>
      </tp>
      <tp t="s">
        <v>表示銘柄数超過</v>
        <stp/>
        <stp>Market</stp>
        <stp>STOCK</stp>
        <stp>94230.T</stp>
        <stp>年初来高値</stp>
        <tr r="Y1124" s="7"/>
      </tp>
      <tp t="s">
        <v>表示銘柄数超過</v>
        <stp/>
        <stp>Market</stp>
        <stp>STOCK</stp>
        <stp>97230.T</stp>
        <stp>年初来高値</stp>
        <tr r="Y1163" s="7"/>
      </tp>
      <tp t="s">
        <v>表示銘柄数超過</v>
        <stp/>
        <stp>Market</stp>
        <stp>STOCK</stp>
        <stp>89230.T</stp>
        <stp>年初来高値</stp>
        <tr r="Y1065" s="7"/>
      </tp>
      <tp>
        <v>543</v>
        <stp/>
        <stp>Market</stp>
        <stp>STOCK</stp>
        <stp>77220.T</stp>
        <stp>年初来高値</stp>
        <tr r="Y923" s="7"/>
      </tp>
      <tp>
        <v>2266</v>
        <stp/>
        <stp>Market</stp>
        <stp>STOCK</stp>
        <stp>71220.T</stp>
        <stp>年初来高値</stp>
        <tr r="Y828" s="7"/>
      </tp>
      <tp>
        <v>1042</v>
        <stp/>
        <stp>Market</stp>
        <stp>STOCK</stp>
        <stp>72220.T</stp>
        <stp>年初来高値</stp>
        <tr r="Y852" s="7"/>
      </tp>
      <tp>
        <v>1355</v>
        <stp/>
        <stp>Market</stp>
        <stp>STOCK</stp>
        <stp>65220.T</stp>
        <stp>年初来高値</stp>
        <tr r="Y719" s="7"/>
      </tp>
      <tp t="s">
        <v>表示銘柄数超過</v>
        <stp/>
        <stp>Market</stp>
        <stp>STOCK</stp>
        <stp>34220.T</stp>
        <stp>年初来高値</stp>
        <tr r="Y297" s="7"/>
      </tp>
      <tp t="s">
        <v>表示銘柄数超過</v>
        <stp/>
        <stp>Market</stp>
        <stp>STOCK</stp>
        <stp>27220.T</stp>
        <stp>年初来高値</stp>
        <tr r="Y188" s="7"/>
      </tp>
      <tp t="s">
        <v>表示銘柄数超過</v>
        <stp/>
        <stp>Market</stp>
        <stp>STOCK</stp>
        <stp>95220.T</stp>
        <stp>年初来高値</stp>
        <tr r="Y1152" s="7"/>
      </tp>
      <tp t="s">
        <v>表示銘柄数超過</v>
        <stp/>
        <stp>Market</stp>
        <stp>STOCK</stp>
        <stp>90220.T</stp>
        <stp>年初来高値</stp>
        <tr r="Y1082" s="7"/>
      </tp>
      <tp>
        <v>503</v>
        <stp/>
        <stp>Market</stp>
        <stp>STOCK</stp>
        <stp>86220.T</stp>
        <stp>年初来高値</stp>
        <tr r="Y1032" s="7"/>
      </tp>
      <tp t="s">
        <v>表示銘柄数超過</v>
        <stp/>
        <stp>Market</stp>
        <stp>STOCK</stp>
        <stp>50210.T</stp>
        <stp>年初来高値</stp>
        <tr r="Y563" s="7"/>
      </tp>
      <tp>
        <v>1512</v>
        <stp/>
        <stp>Market</stp>
        <stp>STOCK</stp>
        <stp>51210.T</stp>
        <stp>年初来高値</stp>
        <tr r="Y570" s="7"/>
      </tp>
      <tp>
        <v>174</v>
        <stp/>
        <stp>Market</stp>
        <stp>STOCK</stp>
        <stp>67210.T</stp>
        <stp>年初来高値</stp>
        <tr r="Y756" s="7"/>
      </tp>
      <tp t="s">
        <v>表示銘柄数超過</v>
        <stp/>
        <stp>Market</stp>
        <stp>STOCK</stp>
        <stp>17210.T</stp>
        <stp>年初来高値</stp>
        <tr r="Y51" s="7"/>
      </tp>
      <tp t="s">
        <v>表示銘柄数超過</v>
        <stp/>
        <stp>Market</stp>
        <stp>STOCK</stp>
        <stp>18210.T</stp>
        <stp>年初来高値</stp>
        <tr r="Y62" s="7"/>
      </tp>
      <tp t="s">
        <v>表示銘柄数超過</v>
        <stp/>
        <stp>Market</stp>
        <stp>STOCK</stp>
        <stp>35210.T</stp>
        <stp>年初来高値</stp>
        <tr r="Y303" s="7"/>
      </tp>
      <tp t="s">
        <v>表示銘柄数超過</v>
        <stp/>
        <stp>Market</stp>
        <stp>STOCK</stp>
        <stp>30210.T</stp>
        <stp>年初来高値</stp>
        <tr r="Y224" s="7"/>
      </tp>
      <tp t="s">
        <v>表示銘柄数超過</v>
        <stp/>
        <stp>Market</stp>
        <stp>STOCK</stp>
        <stp>31210.T</stp>
        <stp>年初来高値</stp>
        <tr r="Y244" s="7"/>
      </tp>
      <tp t="s">
        <v>表示銘柄数超過</v>
        <stp/>
        <stp>Market</stp>
        <stp>STOCK</stp>
        <stp>26210.T</stp>
        <stp>年初来高値</stp>
        <tr r="Y170" s="7"/>
      </tp>
      <tp t="s">
        <v>表示銘柄数超過</v>
        <stp/>
        <stp>Market</stp>
        <stp>STOCK</stp>
        <stp>27210.T</stp>
        <stp>年初来高値</stp>
        <tr r="Y187" s="7"/>
      </tp>
      <tp t="s">
        <v>表示銘柄数超過</v>
        <stp/>
        <stp>Market</stp>
        <stp>STOCK</stp>
        <stp>23210.T</stp>
        <stp>年初来高値</stp>
        <tr r="Y115" s="7"/>
      </tp>
      <tp t="s">
        <v>表示銘柄数超過</v>
        <stp/>
        <stp>Market</stp>
        <stp>STOCK</stp>
        <stp>94210.T</stp>
        <stp>年初来高値</stp>
        <tr r="Y1123" s="7"/>
      </tp>
      <tp t="s">
        <v>表示銘柄数超過</v>
        <stp/>
        <stp>Market</stp>
        <stp>STOCK</stp>
        <stp>50200.T</stp>
        <stp>年初来高値</stp>
        <tr r="Y562" s="7"/>
      </tp>
      <tp t="s">
        <v>表示銘柄数超過</v>
        <stp/>
        <stp>Market</stp>
        <stp>STOCK</stp>
        <stp>46200.T</stp>
        <stp>年初来高値</stp>
        <tr r="Y512" s="7"/>
      </tp>
      <tp t="s">
        <v>表示銘柄数超過</v>
        <stp/>
        <stp>Market</stp>
        <stp>STOCK</stp>
        <stp>47200.T</stp>
        <stp>年初来高値</stp>
        <tr r="Y526" s="7"/>
      </tp>
      <tp t="s">
        <v>表示銘柄数超過</v>
        <stp/>
        <stp>Market</stp>
        <stp>STOCK</stp>
        <stp>48200.T</stp>
        <stp>年初来高値</stp>
        <tr r="Y538" s="7"/>
      </tp>
      <tp t="s">
        <v>表示銘柄数超過</v>
        <stp/>
        <stp>Market</stp>
        <stp>STOCK</stp>
        <stp>49200.T</stp>
        <stp>年初来高値</stp>
        <tr r="Y553" s="7"/>
      </tp>
      <tp>
        <v>2525</v>
        <stp/>
        <stp>Market</stp>
        <stp>STOCK</stp>
        <stp>74200.T</stp>
        <stp>年初来高値</stp>
        <tr r="Y888" s="7"/>
      </tp>
      <tp>
        <v>41920</v>
        <stp/>
        <stp>Market</stp>
        <stp>STOCK</stp>
        <stp>69200.T</stp>
        <stp>年初来高値</stp>
        <tr r="Y787" s="7"/>
      </tp>
      <tp t="s">
        <v>表示銘柄数超過</v>
        <stp/>
        <stp>Market</stp>
        <stp>STOCK</stp>
        <stp>17200.T</stp>
        <stp>年初来高値</stp>
        <tr r="Y50" s="7"/>
      </tp>
      <tp t="s">
        <v>表示銘柄数超過</v>
        <stp/>
        <stp>Market</stp>
        <stp>STOCK</stp>
        <stp>39200.T</stp>
        <stp>年初来高値</stp>
        <tr r="Y392" s="7"/>
      </tp>
      <tp t="s">
        <v>表示銘柄数超過</v>
        <stp/>
        <stp>Market</stp>
        <stp>STOCK</stp>
        <stp>26200.T</stp>
        <stp>年初来高値</stp>
        <tr r="Y169" s="7"/>
      </tp>
      <tp t="s">
        <v>表示銘柄数超過</v>
        <stp/>
        <stp>Market</stp>
        <stp>STOCK</stp>
        <stp>21200.T</stp>
        <stp>年初来高値</stp>
        <tr r="Y90" s="7"/>
      </tp>
      <tp t="s">
        <v>表示銘柄数超過</v>
        <stp/>
        <stp>Market</stp>
        <stp>STOCK</stp>
        <stp>90200.T</stp>
        <stp>年初来高値</stp>
        <tr r="Y1081" s="7"/>
        <tr r="Y1080" s="7"/>
      </tp>
      <tp>
        <v>2376</v>
        <stp/>
        <stp>Market</stp>
        <stp>STOCK</stp>
        <stp>80200.T</stp>
        <stp>年初来高値</stp>
        <tr r="Y968" s="7"/>
      </tp>
      <tp>
        <v>2829</v>
        <stp/>
        <stp>Market</stp>
        <stp>STOCK</stp>
        <stp>57270.T</stp>
        <stp>年初来高値</stp>
        <tr r="Y609" s="7"/>
      </tp>
      <tp t="s">
        <v>表示銘柄数超過</v>
        <stp/>
        <stp>Market</stp>
        <stp>STOCK</stp>
        <stp>44270.T</stp>
        <stp>年初来高値</stp>
        <tr r="Y463" s="7"/>
      </tp>
      <tp t="s">
        <v>表示銘柄数超過</v>
        <stp/>
        <stp>Market</stp>
        <stp>STOCK</stp>
        <stp>40270.T</stp>
        <stp>年初来高値</stp>
        <tr r="Y413" s="7"/>
      </tp>
      <tp>
        <v>94</v>
        <stp/>
        <stp>Market</stp>
        <stp>STOCK</stp>
        <stp>75270.T</stp>
        <stp>年初来高値</stp>
        <tr r="Y901" s="7"/>
      </tp>
      <tp>
        <v>1375</v>
        <stp/>
        <stp>Market</stp>
        <stp>STOCK</stp>
        <stp>69270.T</stp>
        <stp>年初来高値</stp>
        <tr r="Y789" s="7"/>
      </tp>
      <tp t="s">
        <v>表示銘柄数超過</v>
        <stp/>
        <stp>Market</stp>
        <stp>STOCK</stp>
        <stp>18270.T</stp>
        <stp>年初来高値</stp>
        <tr r="Y64" s="7"/>
      </tp>
      <tp t="s">
        <v>表示銘柄数超過</v>
        <stp/>
        <stp>Market</stp>
        <stp>STOCK</stp>
        <stp>36270.T</stp>
        <stp>年初来高値</stp>
        <tr r="Y315" s="7"/>
      </tp>
      <tp t="s">
        <v>表示銘柄数超過</v>
        <stp/>
        <stp>Market</stp>
        <stp>STOCK</stp>
        <stp>37270.T</stp>
        <stp>年初来高値</stp>
        <tr r="Y347" s="7"/>
      </tp>
      <tp t="s">
        <v>表示銘柄数超過</v>
        <stp/>
        <stp>Market</stp>
        <stp>STOCK</stp>
        <stp>39270.T</stp>
        <stp>年初来高値</stp>
        <tr r="Y393" s="7"/>
      </tp>
      <tp t="s">
        <v>表示銘柄数超過</v>
        <stp/>
        <stp>Market</stp>
        <stp>STOCK</stp>
        <stp>21270.T</stp>
        <stp>年初来高値</stp>
        <tr r="Y91" s="7"/>
      </tp>
      <tp t="s">
        <v>表示銘柄数超過</v>
        <stp/>
        <stp>Market</stp>
        <stp>STOCK</stp>
        <stp>99270.T</stp>
        <stp>年初来高値</stp>
        <tr r="Y1181" s="7"/>
      </tp>
      <tp t="s">
        <v>表示銘柄数超過</v>
        <stp/>
        <stp>Market</stp>
        <stp>STOCK</stp>
        <stp>89270.T</stp>
        <stp>年初来高値</stp>
        <tr r="Y1067" s="7"/>
      </tp>
      <tp>
        <v>4025</v>
        <stp/>
        <stp>Market</stp>
        <stp>STOCK</stp>
        <stp>57260.T</stp>
        <stp>年初来高値</stp>
        <tr r="Y608" s="7"/>
      </tp>
      <tp t="s">
        <v>表示銘柄数超過</v>
        <stp/>
        <stp>Market</stp>
        <stp>STOCK</stp>
        <stp>47260.T</stp>
        <stp>年初来高値</stp>
        <tr r="Y527" s="7"/>
      </tp>
      <tp>
        <v>1472</v>
        <stp/>
        <stp>Market</stp>
        <stp>STOCK</stp>
        <stp>62260.T</stp>
        <stp>年初来高値</stp>
        <tr r="Y679" s="7"/>
      </tp>
      <tp t="s">
        <v>表示銘柄数超過</v>
        <stp/>
        <stp>Market</stp>
        <stp>STOCK</stp>
        <stp>18260.T</stp>
        <stp>年初来高値</stp>
        <tr r="Y63" s="7"/>
      </tp>
      <tp t="s">
        <v>表示銘柄数超過</v>
        <stp/>
        <stp>Market</stp>
        <stp>STOCK</stp>
        <stp>36260.T</stp>
        <stp>年初来高値</stp>
        <tr r="Y314" s="7"/>
      </tp>
      <tp t="s">
        <v>表示銘柄数超過</v>
        <stp/>
        <stp>Market</stp>
        <stp>STOCK</stp>
        <stp>33260.T</stp>
        <stp>年初来高値</stp>
        <tr r="Y279" s="7"/>
      </tp>
      <tp t="s">
        <v>表示銘柄数超過</v>
        <stp/>
        <stp>Market</stp>
        <stp>STOCK</stp>
        <stp>38260.T</stp>
        <stp>年初来高値</stp>
        <tr r="Y368" s="7"/>
      </tp>
      <tp t="s">
        <v>表示銘柄数超過</v>
        <stp/>
        <stp>Market</stp>
        <stp>STOCK</stp>
        <stp>29260.T</stp>
        <stp>年初来高値</stp>
        <tr r="Y215" s="7"/>
      </tp>
      <tp>
        <v>276</v>
        <stp/>
        <stp>Market</stp>
        <stp>STOCK</stp>
        <stp>82260.T</stp>
        <stp>年初来高値</stp>
        <tr r="Y993" s="7"/>
      </tp>
      <tp>
        <v>1610</v>
        <stp/>
        <stp>Market</stp>
        <stp>STOCK</stp>
        <stp>77250.T</stp>
        <stp>年初来高値</stp>
        <tr r="Y924" s="7"/>
      </tp>
      <tp>
        <v>356</v>
        <stp/>
        <stp>Market</stp>
        <stp>STOCK</stp>
        <stp>66250.T</stp>
        <stp>年初来高値</stp>
        <tr r="Y739" s="7"/>
      </tp>
      <tp t="s">
        <v>表示銘柄数超過</v>
        <stp/>
        <stp>Market</stp>
        <stp>STOCK</stp>
        <stp>13250.T</stp>
        <stp>年初来高値</stp>
        <tr r="Y7" s="7"/>
      </tp>
      <tp t="s">
        <v>表示銘柄数超過</v>
        <stp/>
        <stp>Market</stp>
        <stp>STOCK</stp>
        <stp>19250.T</stp>
        <stp>年初来高値</stp>
        <tr r="Y74" s="7"/>
      </tp>
      <tp t="s">
        <v>表示銘柄数超過</v>
        <stp/>
        <stp>Market</stp>
        <stp>STOCK</stp>
        <stp>36250.T</stp>
        <stp>年初来高値</stp>
        <tr r="Y313" s="7"/>
      </tp>
      <tp t="s">
        <v>表示銘柄数超過</v>
        <stp/>
        <stp>Market</stp>
        <stp>STOCK</stp>
        <stp>38250.T</stp>
        <stp>年初来高値</stp>
        <tr r="Y367" s="7"/>
      </tp>
      <tp t="s">
        <v>表示銘柄数超過</v>
        <stp/>
        <stp>Market</stp>
        <stp>STOCK</stp>
        <stp>94250.T</stp>
        <stp>年初来高値</stp>
        <tr r="Y1126" s="7"/>
      </tp>
      <tp t="s">
        <v>表示銘柄数超過</v>
        <stp/>
        <stp>Market</stp>
        <stp>STOCK</stp>
        <stp>93250.T</stp>
        <stp>年初来高値</stp>
        <tr r="Y1110" s="7"/>
      </tp>
      <tp t="s">
        <v>表示銘柄数超過</v>
        <stp/>
        <stp>Market</stp>
        <stp>STOCK</stp>
        <stp>89250.T</stp>
        <stp>年初来高値</stp>
        <tr r="Y1066" s="7"/>
      </tp>
      <tp t="s">
        <v>表示銘柄数超過</v>
        <stp/>
        <stp>Market</stp>
        <stp>STOCK</stp>
        <stp>43240.T</stp>
        <stp>年初来高値</stp>
        <tr r="Y443" s="7"/>
      </tp>
      <tp t="s">
        <v>表示銘柄数超過</v>
        <stp/>
        <stp>Market</stp>
        <stp>STOCK</stp>
        <stp>48240.T</stp>
        <stp>年初来高値</stp>
        <tr r="Y539" s="7"/>
      </tp>
      <tp>
        <v>163</v>
        <stp/>
        <stp>Market</stp>
        <stp>STOCK</stp>
        <stp>76240.T</stp>
        <stp>年初来高値</stp>
        <tr r="Y916" s="7"/>
      </tp>
      <tp t="s">
        <v>表示銘柄数超過</v>
        <stp/>
        <stp>Market</stp>
        <stp>STOCK</stp>
        <stp>36240.T</stp>
        <stp>年初来高値</stp>
        <tr r="Y312" s="7"/>
      </tp>
      <tp t="s">
        <v>表示銘柄数超過</v>
        <stp/>
        <stp>Market</stp>
        <stp>STOCK</stp>
        <stp>26240.T</stp>
        <stp>年初来高値</stp>
        <tr r="Y171" s="7"/>
      </tp>
      <tp t="s">
        <v>表示銘柄数超過</v>
        <stp/>
        <stp>Market</stp>
        <stp>STOCK</stp>
        <stp>94240.T</stp>
        <stp>年初来高値</stp>
        <tr r="Y1125" s="7"/>
      </tp>
      <tp t="s">
        <v>表示銘柄数超過</v>
        <stp/>
        <stp>Market</stp>
        <stp>STOCK</stp>
        <stp>90240.T</stp>
        <stp>年初来高値</stp>
        <tr r="Y1083" s="7"/>
      </tp>
      <tp>
        <v>418</v>
        <stp/>
        <stp>Market</stp>
        <stp>STOCK</stp>
        <stp>85240.T</stp>
        <stp>年初来高値</stp>
        <tr r="Y1018" s="7"/>
      </tp>
      <tp>
        <v>791</v>
        <stp/>
        <stp>Market</stp>
        <stp>STOCK</stp>
        <stp>86240.T</stp>
        <stp>年初来高値</stp>
        <tr r="Y1033" s="7"/>
      </tp>
      <tp>
        <v>3095</v>
        <stp/>
        <stp>Market</stp>
        <stp>STOCK</stp>
        <stp>51290.T</stp>
        <stp>年初来高値</stp>
        <tr r="Y571" s="7"/>
      </tp>
      <tp t="s">
        <v>表示銘柄数超過</v>
        <stp/>
        <stp>Market</stp>
        <stp>STOCK</stp>
        <stp>48290.T</stp>
        <stp>年初来高値</stp>
        <tr r="Y540" s="7"/>
      </tp>
      <tp>
        <v>2756</v>
        <stp/>
        <stp>Market</stp>
        <stp>STOCK</stp>
        <stp>72290.T</stp>
        <stp>年初来高値</stp>
        <tr r="Y853" s="7"/>
      </tp>
      <tp>
        <v>168</v>
        <stp/>
        <stp>Market</stp>
        <stp>STOCK</stp>
        <stp>78290.T</stp>
        <stp>年初来高値</stp>
        <tr r="Y942" s="7"/>
      </tp>
      <tp>
        <v>412</v>
        <stp/>
        <stp>Market</stp>
        <stp>STOCK</stp>
        <stp>60290.T</stp>
        <stp>年初来高値</stp>
        <tr r="Y638" s="7"/>
      </tp>
      <tp t="s">
        <v>表示銘柄数超過</v>
        <stp/>
        <stp>Market</stp>
        <stp>STOCK</stp>
        <stp>39290.T</stp>
        <stp>年初来高値</stp>
        <tr r="Y395" s="7"/>
      </tp>
      <tp t="s">
        <v>表示銘柄数超過</v>
        <stp/>
        <stp>Market</stp>
        <stp>STOCK</stp>
        <stp>24290.T</stp>
        <stp>年初来高値</stp>
        <tr r="Y139" s="7"/>
      </tp>
      <tp t="s">
        <v>表示銘柄数超過</v>
        <stp/>
        <stp>Market</stp>
        <stp>STOCK</stp>
        <stp>50280.T</stp>
        <stp>年初来高値</stp>
        <tr r="Y564" s="7"/>
      </tp>
      <tp>
        <v>490</v>
        <stp/>
        <stp>Market</stp>
        <stp>STOCK</stp>
        <stp>59280.T</stp>
        <stp>年初来高値</stp>
        <tr r="Y619" s="7"/>
      </tp>
      <tp>
        <v>4140</v>
        <stp/>
        <stp>Market</stp>
        <stp>STOCK</stp>
        <stp>60280.T</stp>
        <stp>年初来高値</stp>
        <tr r="Y637" s="7"/>
      </tp>
      <tp t="s">
        <v>表示銘柄数超過</v>
        <stp/>
        <stp>Market</stp>
        <stp>STOCK</stp>
        <stp>19280.T</stp>
        <stp>年初来高値</stp>
        <tr r="Y75" s="7"/>
      </tp>
      <tp t="s">
        <v>表示銘柄数超過</v>
        <stp/>
        <stp>Market</stp>
        <stp>STOCK</stp>
        <stp>33280.T</stp>
        <stp>年初来高値</stp>
        <tr r="Y280" s="7"/>
      </tp>
      <tp t="s">
        <v>表示銘柄数超過</v>
        <stp/>
        <stp>Market</stp>
        <stp>STOCK</stp>
        <stp>39280.T</stp>
        <stp>年初来高値</stp>
        <tr r="Y394" s="7"/>
      </tp>
      <tp t="s">
        <v>表示銘柄数超過</v>
        <stp/>
        <stp>Market</stp>
        <stp>STOCK</stp>
        <stp>99280.T</stp>
        <stp>年初来高値</stp>
        <tr r="Y1182" s="7"/>
      </tp>
      <tp>
        <v>870</v>
        <stp/>
        <stp>Market</stp>
        <stp>STOCK</stp>
        <stp>86280.T</stp>
        <stp>年初来高値</stp>
        <tr r="Y1034" s="7"/>
      </tp>
    </main>
    <main first="rtdsrv.662c26bade854d00aebc6010f8a2e03a">
      <tp>
        <v>390</v>
        <stp/>
        <stp>Market</stp>
        <stp>STOCK</stp>
        <stp>51330.T</stp>
        <stp>年初来高値</stp>
        <tr r="Y573" s="7"/>
      </tp>
      <tp t="s">
        <v>表示銘柄数超過</v>
        <stp/>
        <stp>Market</stp>
        <stp>STOCK</stp>
        <stp>48330.T</stp>
        <stp>年初来高値</stp>
        <tr r="Y541" s="7"/>
      </tp>
      <tp>
        <v>320</v>
        <stp/>
        <stp>Market</stp>
        <stp>STOCK</stp>
        <stp>64330.T</stp>
        <stp>年初来高値</stp>
        <tr r="Y701" s="7"/>
      </tp>
      <tp>
        <v>420</v>
        <stp/>
        <stp>Market</stp>
        <stp>STOCK</stp>
        <stp>66330.T</stp>
        <stp>年初来高値</stp>
        <tr r="Y742" s="7"/>
      </tp>
      <tp>
        <v>710</v>
        <stp/>
        <stp>Market</stp>
        <stp>STOCK</stp>
        <stp>62330.T</stp>
        <stp>年初来高値</stp>
        <tr r="Y680" s="7"/>
      </tp>
      <tp t="s">
        <v>表示銘柄数超過</v>
        <stp/>
        <stp>Market</stp>
        <stp>STOCK</stp>
        <stp>13330.T</stp>
        <stp>年初来高値</stp>
        <tr r="Y9" s="7"/>
      </tp>
      <tp t="s">
        <v>表示銘柄数超過</v>
        <stp/>
        <stp>Market</stp>
        <stp>STOCK</stp>
        <stp>34330.T</stp>
        <stp>年初来高値</stp>
        <tr r="Y298" s="7"/>
      </tp>
      <tp t="s">
        <v>表示銘柄数超過</v>
        <stp/>
        <stp>Market</stp>
        <stp>STOCK</stp>
        <stp>31330.T</stp>
        <stp>年初来高値</stp>
        <tr r="Y245" s="7"/>
      </tp>
      <tp t="s">
        <v>表示銘柄数超過</v>
        <stp/>
        <stp>Market</stp>
        <stp>STOCK</stp>
        <stp>33330.T</stp>
        <stp>年初来高値</stp>
        <tr r="Y281" s="7"/>
      </tp>
      <tp t="s">
        <v>表示銘柄数超過</v>
        <stp/>
        <stp>Market</stp>
        <stp>STOCK</stp>
        <stp>24330.T</stp>
        <stp>年初来高値</stp>
        <tr r="Y141" s="7"/>
      </tp>
      <tp t="s">
        <v>表示銘柄数超過</v>
        <stp/>
        <stp>Market</stp>
        <stp>STOCK</stp>
        <stp>25330.T</stp>
        <stp>年初来高値</stp>
        <tr r="Y160" s="7"/>
      </tp>
      <tp t="s">
        <v>表示銘柄数超過</v>
        <stp/>
        <stp>Market</stp>
        <stp>STOCK</stp>
        <stp>26330.T</stp>
        <stp>年初来高値</stp>
        <tr r="Y172" s="7"/>
      </tp>
      <tp t="s">
        <v>表示銘柄数超過</v>
        <stp/>
        <stp>Market</stp>
        <stp>STOCK</stp>
        <stp>94330.T</stp>
        <stp>年初来高値</stp>
        <tr r="Y1128" s="7"/>
      </tp>
      <tp t="s">
        <v>表示銘柄数超過</v>
        <stp/>
        <stp>Market</stp>
        <stp>STOCK</stp>
        <stp>90330.T</stp>
        <stp>年初来高値</stp>
        <tr r="Y1084" s="7"/>
      </tp>
      <tp>
        <v>1676</v>
        <stp/>
        <stp>Market</stp>
        <stp>STOCK</stp>
        <stp>81330.T</stp>
        <stp>年初来高値</stp>
        <tr r="Y980" s="7"/>
      </tp>
      <tp>
        <v>1799</v>
        <stp/>
        <stp>Market</stp>
        <stp>STOCK</stp>
        <stp>56320.T</stp>
        <stp>年初来高値</stp>
        <tr r="Y602" s="7"/>
      </tp>
      <tp t="s">
        <v>表示銘柄数超過</v>
        <stp/>
        <stp>Market</stp>
        <stp>STOCK</stp>
        <stp>50320.T</stp>
        <stp>年初来高値</stp>
        <tr r="Y565" s="7"/>
      </tp>
      <tp>
        <v>1259.5</v>
        <stp/>
        <stp>Market</stp>
        <stp>STOCK</stp>
        <stp>58320.T</stp>
        <stp>年初来高値</stp>
        <tr r="Y614" s="7"/>
      </tp>
      <tp>
        <v>2164.5</v>
        <stp/>
        <stp>Market</stp>
        <stp>STOCK</stp>
        <stp>77320.T</stp>
        <stp>年初来高値</stp>
        <tr r="Y925" s="7"/>
      </tp>
      <tp>
        <v>811</v>
        <stp/>
        <stp>Market</stp>
        <stp>STOCK</stp>
        <stp>66320.T</stp>
        <stp>年初来高値</stp>
        <tr r="Y741" s="7"/>
      </tp>
      <tp t="s">
        <v>表示銘柄数超過</v>
        <stp/>
        <stp>Market</stp>
        <stp>STOCK</stp>
        <stp>13320.T</stp>
        <stp>年初来高値</stp>
        <tr r="Y8" s="7"/>
      </tp>
      <tp t="s">
        <v>表示銘柄数超過</v>
        <stp/>
        <stp>Market</stp>
        <stp>STOCK</stp>
        <stp>36320.T</stp>
        <stp>年初来高値</stp>
        <tr r="Y316" s="7"/>
      </tp>
      <tp t="s">
        <v>表示銘柄数超過</v>
        <stp/>
        <stp>Market</stp>
        <stp>STOCK</stp>
        <stp>32320.T</stp>
        <stp>年初来高値</stp>
        <tr r="Y258" s="7"/>
      </tp>
      <tp t="s">
        <v>表示銘柄数超過</v>
        <stp/>
        <stp>Market</stp>
        <stp>STOCK</stp>
        <stp>24320.T</stp>
        <stp>年初来高値</stp>
        <tr r="Y140" s="7"/>
      </tp>
      <tp>
        <v>192.9</v>
        <stp/>
        <stp>Market</stp>
        <stp>STOCK</stp>
        <stp>94320.T</stp>
        <stp>年初来高値</stp>
        <tr r="Y1127" s="7"/>
      </tp>
      <tp t="s">
        <v>表示銘柄数超過</v>
        <stp/>
        <stp>Market</stp>
        <stp>STOCK</stp>
        <stp>95320.T</stp>
        <stp>年初来高値</stp>
        <tr r="Y1154" s="7"/>
      </tp>
      <tp>
        <v>335</v>
        <stp/>
        <stp>Market</stp>
        <stp>STOCK</stp>
        <stp>87320.T</stp>
        <stp>年初来高値</stp>
        <tr r="Y1040" s="7"/>
      </tp>
      <tp>
        <v>414</v>
        <stp/>
        <stp>Market</stp>
        <stp>STOCK</stp>
        <stp>51310.T</stp>
        <stp>年初来高値</stp>
        <tr r="Y572" s="7"/>
      </tp>
      <tp t="s">
        <v>表示銘柄数超過</v>
        <stp/>
        <stp>Market</stp>
        <stp>STOCK</stp>
        <stp>45310.T</stp>
        <stp>年初来高値</stp>
        <tr r="Y483" s="7"/>
      </tp>
      <tp t="s">
        <v>表示銘柄数超過</v>
        <stp/>
        <stp>Market</stp>
        <stp>STOCK</stp>
        <stp>46310.T</stp>
        <stp>年初来高値</stp>
        <tr r="Y470" s="7"/>
      </tp>
      <tp>
        <v>1770</v>
        <stp/>
        <stp>Market</stp>
        <stp>STOCK</stp>
        <stp>70310.T</stp>
        <stp>年初来高値</stp>
        <tr r="Y810" s="7"/>
      </tp>
      <tp>
        <v>620</v>
        <stp/>
        <stp>Market</stp>
        <stp>STOCK</stp>
        <stp>67310.T</stp>
        <stp>年初来高値</stp>
        <tr r="Y758" s="7"/>
      </tp>
      <tp>
        <v>831</v>
        <stp/>
        <stp>Market</stp>
        <stp>STOCK</stp>
        <stp>60310.T</stp>
        <stp>年初来高値</stp>
        <tr r="Y639" s="7"/>
      </tp>
      <tp t="s">
        <v>表示銘柄数超過</v>
        <stp/>
        <stp>Market</stp>
        <stp>STOCK</stp>
        <stp>30310.T</stp>
        <stp>年初来高値</stp>
        <tr r="Y226" s="7"/>
      </tp>
      <tp t="s">
        <v>表示銘柄数超過</v>
        <stp/>
        <stp>Market</stp>
        <stp>STOCK</stp>
        <stp>95310.T</stp>
        <stp>年初来高値</stp>
        <tr r="Y1153" s="7"/>
      </tp>
      <tp>
        <v>495</v>
        <stp/>
        <stp>Market</stp>
        <stp>STOCK</stp>
        <stp>98310.T</stp>
        <stp>年初来高値</stp>
        <tr r="Y1171" s="7"/>
      </tp>
      <tp>
        <v>6119</v>
        <stp/>
        <stp>Market</stp>
        <stp>STOCK</stp>
        <stp>80310.T</stp>
        <stp>年初来高値</stp>
        <tr r="Y969" s="7"/>
      </tp>
      <tp>
        <v>1197</v>
        <stp/>
        <stp>Market</stp>
        <stp>STOCK</stp>
        <stp>83310.T</stp>
        <stp>年初来高値</stp>
        <tr r="Y1004" s="7"/>
      </tp>
      <tp>
        <v>1590</v>
        <stp/>
        <stp>Market</stp>
        <stp>STOCK</stp>
        <stp>66300.T</stp>
        <stp>年初来高値</stp>
        <tr r="Y740" s="7"/>
      </tp>
      <tp>
        <v>844</v>
        <stp/>
        <stp>Market</stp>
        <stp>STOCK</stp>
        <stp>63300.T</stp>
        <stp>年初来高値</stp>
        <tr r="Y688" s="7"/>
      </tp>
      <tp t="s">
        <v>表示銘柄数超過</v>
        <stp/>
        <stp>Market</stp>
        <stp>STOCK</stp>
        <stp>14300.T</stp>
        <stp>年初来高値</stp>
        <tr r="Y22" s="7"/>
      </tp>
      <tp t="s">
        <v>表示銘柄数超過</v>
        <stp/>
        <stp>Market</stp>
        <stp>STOCK</stp>
        <stp>17300.T</stp>
        <stp>年初来高値</stp>
        <tr r="Y52" s="7"/>
      </tp>
      <tp t="s">
        <v>表示銘柄数超過</v>
        <stp/>
        <stp>Market</stp>
        <stp>STOCK</stp>
        <stp>19300.T</stp>
        <stp>年初来高値</stp>
        <tr r="Y76" s="7"/>
      </tp>
      <tp t="s">
        <v>表示銘柄数超過</v>
        <stp/>
        <stp>Market</stp>
        <stp>STOCK</stp>
        <stp>30300.T</stp>
        <stp>年初来高値</stp>
        <tr r="Y225" s="7"/>
      </tp>
      <tp t="s">
        <v>表示銘柄数超過</v>
        <stp/>
        <stp>Market</stp>
        <stp>STOCK</stp>
        <stp>23300.T</stp>
        <stp>年初来高値</stp>
        <tr r="Y117" s="7"/>
      </tp>
      <tp t="s">
        <v>表示銘柄数超過</v>
        <stp/>
        <stp>Market</stp>
        <stp>STOCK</stp>
        <stp>29300.T</stp>
        <stp>年初来高値</stp>
        <tr r="Y216" s="7"/>
      </tp>
      <tp t="s">
        <v>表示銘柄数超過</v>
        <stp/>
        <stp>Market</stp>
        <stp>STOCK</stp>
        <stp>99300.T</stp>
        <stp>年初来高値</stp>
        <tr r="Y1183" s="7"/>
      </tp>
      <tp>
        <v>401</v>
        <stp/>
        <stp>Market</stp>
        <stp>STOCK</stp>
        <stp>82300.T</stp>
        <stp>年初来高値</stp>
        <tr r="Y994" s="7"/>
      </tp>
      <tp t="s">
        <v>表示銘柄数超過</v>
        <stp/>
        <stp>Market</stp>
        <stp>STOCK</stp>
        <stp>88300.T</stp>
        <stp>年初来高値</stp>
        <tr r="Y1054" s="7"/>
      </tp>
      <tp t="s">
        <v>表示銘柄数超過</v>
        <stp/>
        <stp>Market</stp>
        <stp>STOCK</stp>
        <stp>42370.T</stp>
        <stp>年初来高値</stp>
        <tr r="Y427" s="7"/>
      </tp>
      <tp t="s">
        <v>表示銘柄数超過</v>
        <stp/>
        <stp>Market</stp>
        <stp>STOCK</stp>
        <stp>43370.T</stp>
        <stp>年初来高値</stp>
        <tr r="Y444" s="7"/>
      </tp>
      <tp t="s">
        <v>表示銘柄数超過</v>
        <stp/>
        <stp>Market</stp>
        <stp>STOCK</stp>
        <stp>48370.T</stp>
        <stp>年初来高値</stp>
        <tr r="Y542" s="7"/>
      </tp>
      <tp>
        <v>1268</v>
        <stp/>
        <stp>Market</stp>
        <stp>STOCK</stp>
        <stp>70370.T</stp>
        <stp>年初来高値</stp>
        <tr r="Y811" s="7"/>
      </tp>
      <tp>
        <v>1022.5</v>
        <stp/>
        <stp>Market</stp>
        <stp>STOCK</stp>
        <stp>73370.T</stp>
        <stp>年初来高値</stp>
        <tr r="Y875" s="7"/>
      </tp>
      <tp>
        <v>537</v>
        <stp/>
        <stp>Market</stp>
        <stp>STOCK</stp>
        <stp>78370.T</stp>
        <stp>年初来高値</stp>
        <tr r="Y944" s="7"/>
      </tp>
      <tp>
        <v>678</v>
        <stp/>
        <stp>Market</stp>
        <stp>STOCK</stp>
        <stp>65370.T</stp>
        <stp>年初来高値</stp>
        <tr r="Y720" s="7"/>
      </tp>
      <tp t="s">
        <v>表示銘柄数超過</v>
        <stp/>
        <stp>Market</stp>
        <stp>STOCK</stp>
        <stp>31370.T</stp>
        <stp>年初来高値</stp>
        <tr r="Y246" s="7"/>
      </tp>
      <tp t="s">
        <v>表示銘柄数超過</v>
        <stp/>
        <stp>Market</stp>
        <stp>STOCK</stp>
        <stp>32370.T</stp>
        <stp>年初来高値</stp>
        <tr r="Y260" s="7"/>
      </tp>
      <tp t="s">
        <v>表示銘柄数超過</v>
        <stp/>
        <stp>Market</stp>
        <stp>STOCK</stp>
        <stp>24370.T</stp>
        <stp>年初来高値</stp>
        <tr r="Y143" s="7"/>
      </tp>
      <tp t="s">
        <v>表示銘柄数超過</v>
        <stp/>
        <stp>Market</stp>
        <stp>STOCK</stp>
        <stp>23370.T</stp>
        <stp>年初来高値</stp>
        <tr r="Y118" s="7"/>
      </tp>
      <tp>
        <v>515</v>
        <stp/>
        <stp>Market</stp>
        <stp>STOCK</stp>
        <stp>87370.T</stp>
        <stp>年初来高値</stp>
        <tr r="Y1041" s="7"/>
      </tp>
      <tp>
        <v>1286</v>
        <stp/>
        <stp>Market</stp>
        <stp>STOCK</stp>
        <stp>82370.T</stp>
        <stp>年初来高値</stp>
        <tr r="Y995" s="7"/>
      </tp>
      <tp>
        <v>1017</v>
        <stp/>
        <stp>Market</stp>
        <stp>STOCK</stp>
        <stp>83370.T</stp>
        <stp>年初来高値</stp>
        <tr r="Y1005" s="7"/>
      </tp>
      <tp>
        <v>766</v>
        <stp/>
        <stp>Market</stp>
        <stp>STOCK</stp>
        <stp>59360.T</stp>
        <stp>年初来高値</stp>
        <tr r="Y620" s="7"/>
      </tp>
      <tp t="s">
        <v>表示銘柄数超過</v>
        <stp/>
        <stp>Market</stp>
        <stp>STOCK</stp>
        <stp>44360.T</stp>
        <stp>年初来高値</stp>
        <tr r="Y464" s="7"/>
      </tp>
      <tp>
        <v>3845</v>
        <stp/>
        <stp>Market</stp>
        <stp>STOCK</stp>
        <stp>72360.T</stp>
        <stp>年初来高値</stp>
        <tr r="Y855" s="7"/>
      </tp>
      <tp>
        <v>150</v>
        <stp/>
        <stp>Market</stp>
        <stp>STOCK</stp>
        <stp>78360.T</stp>
        <stp>年初来高値</stp>
        <tr r="Y943" s="7"/>
      </tp>
      <tp>
        <v>944</v>
        <stp/>
        <stp>Market</stp>
        <stp>STOCK</stp>
        <stp>63360.T</stp>
        <stp>年初来高値</stp>
        <tr r="Y690" s="7"/>
      </tp>
      <tp t="s">
        <v>表示銘柄数超過</v>
        <stp/>
        <stp>Market</stp>
        <stp>STOCK</stp>
        <stp>34360.T</stp>
        <stp>年初来高値</stp>
        <tr r="Y299" s="7"/>
      </tp>
      <tp t="s">
        <v>表示銘柄数超過</v>
        <stp/>
        <stp>Market</stp>
        <stp>STOCK</stp>
        <stp>35360.T</stp>
        <stp>年初来高値</stp>
        <tr r="Y304" s="7"/>
      </tp>
      <tp t="s">
        <v>表示銘柄数超過</v>
        <stp/>
        <stp>Market</stp>
        <stp>STOCK</stp>
        <stp>30360.T</stp>
        <stp>年初来高値</stp>
        <tr r="Y229" s="7"/>
      </tp>
      <tp t="s">
        <v>表示銘柄数超過</v>
        <stp/>
        <stp>Market</stp>
        <stp>STOCK</stp>
        <stp>32360.T</stp>
        <stp>年初来高値</stp>
        <tr r="Y259" s="7"/>
      </tp>
      <tp t="s">
        <v>表示銘柄数超過</v>
        <stp/>
        <stp>Market</stp>
        <stp>STOCK</stp>
        <stp>22360.T</stp>
        <stp>年初来高値</stp>
        <tr r="Y106" s="7"/>
      </tp>
      <tp t="s">
        <v>表示銘柄数超過</v>
        <stp/>
        <stp>Market</stp>
        <stp>STOCK</stp>
        <stp>94360.T</stp>
        <stp>年初来高値</stp>
        <tr r="Y1130" s="7"/>
      </tp>
      <tp>
        <v>302</v>
        <stp/>
        <stp>Market</stp>
        <stp>STOCK</stp>
        <stp>71350.T</stp>
        <stp>年初来高値</stp>
        <tr r="Y829" s="7"/>
      </tp>
      <tp>
        <v>771</v>
        <stp/>
        <stp>Market</stp>
        <stp>STOCK</stp>
        <stp>72350.T</stp>
        <stp>年初来高値</stp>
        <tr r="Y854" s="7"/>
      </tp>
      <tp>
        <v>810</v>
        <stp/>
        <stp>Market</stp>
        <stp>STOCK</stp>
        <stp>66350.T</stp>
        <stp>年初来高値</stp>
        <tr r="Y744" s="7"/>
      </tp>
      <tp>
        <v>2467</v>
        <stp/>
        <stp>Market</stp>
        <stp>STOCK</stp>
        <stp>60350.T</stp>
        <stp>年初来高値</stp>
        <tr r="Y640" s="7"/>
      </tp>
      <tp>
        <v>138</v>
        <stp/>
        <stp>Market</stp>
        <stp>STOCK</stp>
        <stp>68350.T</stp>
        <stp>年初来高値</stp>
        <tr r="Y776" s="7"/>
      </tp>
      <tp t="s">
        <v>表示銘柄数超過</v>
        <stp/>
        <stp>Market</stp>
        <stp>STOCK</stp>
        <stp>14350.T</stp>
        <stp>年初来高値</stp>
        <tr r="Y23" s="7"/>
      </tp>
      <tp t="s">
        <v>表示銘柄数超過</v>
        <stp/>
        <stp>Market</stp>
        <stp>STOCK</stp>
        <stp>36350.T</stp>
        <stp>年初来高値</stp>
        <tr r="Y317" s="7"/>
      </tp>
      <tp t="s">
        <v>表示銘柄数超過</v>
        <stp/>
        <stp>Market</stp>
        <stp>STOCK</stp>
        <stp>30350.T</stp>
        <stp>年初来高値</stp>
        <tr r="Y228" s="7"/>
      </tp>
      <tp t="s">
        <v>表示銘柄数超過</v>
        <stp/>
        <stp>Market</stp>
        <stp>STOCK</stp>
        <stp>38350.T</stp>
        <stp>年初来高値</stp>
        <tr r="Y369" s="7"/>
      </tp>
      <tp t="s">
        <v>表示銘柄数超過</v>
        <stp/>
        <stp>Market</stp>
        <stp>STOCK</stp>
        <stp>39350.T</stp>
        <stp>年初来高値</stp>
        <tr r="Y397" s="7"/>
      </tp>
      <tp t="s">
        <v>表示銘柄数超過</v>
        <stp/>
        <stp>Market</stp>
        <stp>STOCK</stp>
        <stp>24350.T</stp>
        <stp>年初来高値</stp>
        <tr r="Y142" s="7"/>
      </tp>
      <tp t="s">
        <v>表示銘柄数超過</v>
        <stp/>
        <stp>Market</stp>
        <stp>STOCK</stp>
        <stp>26350.T</stp>
        <stp>年初来高値</stp>
        <tr r="Y174" s="7"/>
      </tp>
      <tp t="s">
        <v>表示銘柄数超過</v>
        <stp/>
        <stp>Market</stp>
        <stp>STOCK</stp>
        <stp>27350.T</stp>
        <stp>年初来高値</stp>
        <tr r="Y190" s="7"/>
      </tp>
      <tp t="s">
        <v>表示銘柄数超過</v>
        <stp/>
        <stp>Market</stp>
        <stp>STOCK</stp>
        <stp>22350.T</stp>
        <stp>年初来高値</stp>
        <tr r="Y105" s="7"/>
      </tp>
      <tp>
        <v>420</v>
        <stp/>
        <stp>Market</stp>
        <stp>STOCK</stp>
        <stp>81350.T</stp>
        <stp>年初来高値</stp>
        <tr r="Y981" s="7"/>
      </tp>
      <tp>
        <v>4096</v>
        <stp/>
        <stp>Market</stp>
        <stp>STOCK</stp>
        <stp>53340.T</stp>
        <stp>年初来高値</stp>
        <tr r="Y586" s="7"/>
      </tp>
      <tp>
        <v>206</v>
        <stp/>
        <stp>Market</stp>
        <stp>STOCK</stp>
        <stp>66340.T</stp>
        <stp>年初来高値</stp>
        <tr r="Y743" s="7"/>
      </tp>
      <tp>
        <v>2689</v>
        <stp/>
        <stp>Market</stp>
        <stp>STOCK</stp>
        <stp>61340.T</stp>
        <stp>年初来高値</stp>
        <tr r="Y657" s="7"/>
      </tp>
      <tp>
        <v>655</v>
        <stp/>
        <stp>Market</stp>
        <stp>STOCK</stp>
        <stp>63340.T</stp>
        <stp>年初来高値</stp>
        <tr r="Y689" s="7"/>
      </tp>
      <tp t="s">
        <v>表示銘柄数超過</v>
        <stp/>
        <stp>Market</stp>
        <stp>STOCK</stp>
        <stp>30340.T</stp>
        <stp>年初来高値</stp>
        <tr r="Y227" s="7"/>
      </tp>
      <tp t="s">
        <v>表示銘柄数超過</v>
        <stp/>
        <stp>Market</stp>
        <stp>STOCK</stp>
        <stp>39340.T</stp>
        <stp>年初来高値</stp>
        <tr r="Y396" s="7"/>
      </tp>
      <tp t="s">
        <v>表示銘柄数超過</v>
        <stp/>
        <stp>Market</stp>
        <stp>STOCK</stp>
        <stp>26340.T</stp>
        <stp>年初来高値</stp>
        <tr r="Y173" s="7"/>
      </tp>
      <tp t="s">
        <v>表示銘柄数超過</v>
        <stp/>
        <stp>Market</stp>
        <stp>STOCK</stp>
        <stp>27340.T</stp>
        <stp>年初来高値</stp>
        <tr r="Y189" s="7"/>
      </tp>
      <tp t="s">
        <v>表示銘柄数超過</v>
        <stp/>
        <stp>Market</stp>
        <stp>STOCK</stp>
        <stp>21340.T</stp>
        <stp>年初来高値</stp>
        <tr r="Y92" s="7"/>
      </tp>
      <tp>
        <v>1996.5</v>
        <stp/>
        <stp>Market</stp>
        <stp>STOCK</stp>
        <stp>94340.T</stp>
        <stp>年初来高値</stp>
        <tr r="Y1129" s="7"/>
      </tp>
      <tp>
        <v>2179</v>
        <stp/>
        <stp>Market</stp>
        <stp>STOCK</stp>
        <stp>77390.T</stp>
        <stp>年初来高値</stp>
        <tr r="Y926" s="7"/>
      </tp>
      <tp t="s">
        <v>表示銘柄数超過</v>
        <stp/>
        <stp>Market</stp>
        <stp>STOCK</stp>
        <stp>14390.T</stp>
        <stp>年初来高値</stp>
        <tr r="Y24" s="7"/>
      </tp>
      <tp t="s">
        <v>表示銘柄数超過</v>
        <stp/>
        <stp>Market</stp>
        <stp>STOCK</stp>
        <stp>19390.T</stp>
        <stp>年初来高値</stp>
        <tr r="Y78" s="7"/>
      </tp>
      <tp t="s">
        <v>表示銘柄数超過</v>
        <stp/>
        <stp>Market</stp>
        <stp>STOCK</stp>
        <stp>36390.T</stp>
        <stp>年初来高値</stp>
        <tr r="Y318" s="7"/>
      </tp>
      <tp t="s">
        <v>表示銘柄数超過</v>
        <stp/>
        <stp>Market</stp>
        <stp>STOCK</stp>
        <stp>39390.T</stp>
        <stp>年初来高値</stp>
        <tr r="Y398" s="7"/>
      </tp>
      <tp t="s">
        <v>表示銘柄数超過</v>
        <stp/>
        <stp>Market</stp>
        <stp>STOCK</stp>
        <stp>94390.T</stp>
        <stp>年初来高値</stp>
        <tr r="Y1131" s="7"/>
      </tp>
      <tp>
        <v>1861</v>
        <stp/>
        <stp>Market</stp>
        <stp>STOCK</stp>
        <stp>81390.T</stp>
        <stp>年初来高値</stp>
        <tr r="Y982" s="7"/>
      </tp>
      <tp>
        <v>2789</v>
        <stp/>
        <stp>Market</stp>
        <stp>STOCK</stp>
        <stp>58380.T</stp>
        <stp>年初来高値</stp>
        <tr r="Y615" s="7"/>
      </tp>
      <tp>
        <v>2368</v>
        <stp/>
        <stp>Market</stp>
        <stp>STOCK</stp>
        <stp>59380.T</stp>
        <stp>年初来高値</stp>
        <tr r="Y621" s="7"/>
      </tp>
      <tp t="s">
        <v>表示銘柄数超過</v>
        <stp/>
        <stp>Market</stp>
        <stp>STOCK</stp>
        <stp>44380.T</stp>
        <stp>年初来高値</stp>
        <tr r="Y465" s="7"/>
      </tp>
      <tp t="s">
        <v>表示銘柄数超過</v>
        <stp/>
        <stp>Market</stp>
        <stp>STOCK</stp>
        <stp>42380.T</stp>
        <stp>年初来高値</stp>
        <tr r="Y428" s="7"/>
      </tp>
      <tp t="s">
        <v>表示銘柄数超過</v>
        <stp/>
        <stp>Market</stp>
        <stp>STOCK</stp>
        <stp>48380.T</stp>
        <stp>年初来高値</stp>
        <tr r="Y543" s="7"/>
      </tp>
      <tp>
        <v>457</v>
        <stp/>
        <stp>Market</stp>
        <stp>STOCK</stp>
        <stp>75380.T</stp>
        <stp>年初来高値</stp>
        <tr r="Y902" s="7"/>
      </tp>
      <tp>
        <v>155</v>
        <stp/>
        <stp>Market</stp>
        <stp>STOCK</stp>
        <stp>72380.T</stp>
        <stp>年初来高値</stp>
        <tr r="Y856" s="7"/>
      </tp>
      <tp>
        <v>407</v>
        <stp/>
        <stp>Market</stp>
        <stp>STOCK</stp>
        <stp>69380.T</stp>
        <stp>年初来高値</stp>
        <tr r="Y790" s="7"/>
      </tp>
      <tp t="s">
        <v>表示銘柄数超過</v>
        <stp/>
        <stp>Market</stp>
        <stp>STOCK</stp>
        <stp>19380.T</stp>
        <stp>年初来高値</stp>
        <tr r="Y77" s="7"/>
      </tp>
      <tp t="s">
        <v>表示銘柄数超過</v>
        <stp/>
        <stp>Market</stp>
        <stp>STOCK</stp>
        <stp>37380.T</stp>
        <stp>年初来高値</stp>
        <tr r="Y348" s="7"/>
      </tp>
      <tp t="s">
        <v>表示銘柄数超過</v>
        <stp/>
        <stp>Market</stp>
        <stp>STOCK</stp>
        <stp>30380.T</stp>
        <stp>年初来高値</stp>
        <tr r="Y230" s="7"/>
      </tp>
      <tp t="s">
        <v>表示銘柄数超過</v>
        <stp/>
        <stp>Market</stp>
        <stp>STOCK</stp>
        <stp>32380.T</stp>
        <stp>年初来高値</stp>
        <tr r="Y261" s="7"/>
      </tp>
      <tp t="s">
        <v>表示銘柄数超過</v>
        <stp/>
        <stp>Market</stp>
        <stp>STOCK</stp>
        <stp>24380.T</stp>
        <stp>年初来高値</stp>
        <tr r="Y144" s="7"/>
      </tp>
      <tp>
        <v>2285</v>
        <stp/>
        <stp>Market</stp>
        <stp>STOCK</stp>
        <stp>20380.T</stp>
        <stp>年初来高値</stp>
        <tr r="Y87" s="7"/>
      </tp>
      <tp t="s">
        <v>表示銘柄数超過</v>
        <stp/>
        <stp>Market</stp>
        <stp>STOCK</stp>
        <stp>21380.T</stp>
        <stp>年初来高値</stp>
        <tr r="Y93" s="7"/>
      </tp>
      <tp t="s">
        <v>表示銘柄数超過</v>
        <stp/>
        <stp>Market</stp>
        <stp>STOCK</stp>
        <stp>89380.T</stp>
        <stp>年初来高値</stp>
        <tr r="Y1068" s="7"/>
      </tp>
    </main>
    <main first="rtdsrv.662c26bade854d00aebc6010f8a2e03a">
      <tp>
        <v>1868</v>
        <stp/>
        <stp>Market</stp>
        <stp>STOCK</stp>
        <stp>57030.T</stp>
        <stp>年初来高値</stp>
        <tr r="Y605" s="7"/>
      </tp>
      <tp>
        <v>62</v>
        <stp/>
        <stp>Market</stp>
        <stp>STOCK</stp>
        <stp>51030.T</stp>
        <stp>年初来高値</stp>
        <tr r="Y567" s="7"/>
      </tp>
      <tp>
        <v>1304.5</v>
        <stp/>
        <stp>Market</stp>
        <stp>STOCK</stp>
        <stp>58030.T</stp>
        <stp>年初来高値</stp>
        <tr r="Y613" s="7"/>
      </tp>
      <tp t="s">
        <v>表示銘柄数超過</v>
        <stp/>
        <stp>Market</stp>
        <stp>STOCK</stp>
        <stp>45030.T</stp>
        <stp>年初来高値</stp>
        <tr r="Y479" s="7"/>
      </tp>
      <tp>
        <v>788</v>
        <stp/>
        <stp>Market</stp>
        <stp>STOCK</stp>
        <stp>70030.T</stp>
        <stp>年初来高値</stp>
        <tr r="Y804" s="7"/>
      </tp>
      <tp>
        <v>3148</v>
        <stp/>
        <stp>Market</stp>
        <stp>STOCK</stp>
        <stp>72030.T</stp>
        <stp>年初来高値</stp>
        <tr r="Y846" s="7"/>
      </tp>
      <tp>
        <v>2243.5</v>
        <stp/>
        <stp>Market</stp>
        <stp>STOCK</stp>
        <stp>65030.T</stp>
        <stp>年初来高値</stp>
        <tr r="Y715" s="7"/>
      </tp>
      <tp>
        <v>1041</v>
        <stp/>
        <stp>Market</stp>
        <stp>STOCK</stp>
        <stp>62030.T</stp>
        <stp>年初来高値</stp>
        <tr r="Y677" s="7"/>
      </tp>
      <tp>
        <v>130</v>
        <stp/>
        <stp>Market</stp>
        <stp>STOCK</stp>
        <stp>68030.T</stp>
        <stp>年初来高値</stp>
        <tr r="Y773" s="7"/>
      </tp>
      <tp t="s">
        <v>表示銘柄数超過</v>
        <stp/>
        <stp>Market</stp>
        <stp>STOCK</stp>
        <stp>18030.T</stp>
        <stp>年初来高値</stp>
        <tr r="Y58" s="7"/>
      </tp>
      <tp t="s">
        <v>表示銘柄数超過</v>
        <stp/>
        <stp>Market</stp>
        <stp>STOCK</stp>
        <stp>30030.T</stp>
        <stp>年初来高値</stp>
        <tr r="Y221" s="7"/>
      </tp>
      <tp t="s">
        <v>表示銘柄数超過</v>
        <stp/>
        <stp>Market</stp>
        <stp>STOCK</stp>
        <stp>31030.T</stp>
        <stp>年初来高値</stp>
        <tr r="Y242" s="7"/>
      </tp>
      <tp t="s">
        <v>表示銘柄数超過</v>
        <stp/>
        <stp>Market</stp>
        <stp>STOCK</stp>
        <stp>39030.T</stp>
        <stp>年初来高値</stp>
        <tr r="Y386" s="7"/>
      </tp>
      <tp t="s">
        <v>表示銘柄数超過</v>
        <stp/>
        <stp>Market</stp>
        <stp>STOCK</stp>
        <stp>95030.T</stp>
        <stp>年初来高値</stp>
        <tr r="Y1142" s="7"/>
      </tp>
      <tp t="s">
        <v>表示銘柄数超過</v>
        <stp/>
        <stp>Market</stp>
        <stp>STOCK</stp>
        <stp>96030.T</stp>
        <stp>年初来高値</stp>
        <tr r="Y1158" s="7"/>
      </tp>
      <tp t="s">
        <v>表示銘柄数超過</v>
        <stp/>
        <stp>Market</stp>
        <stp>STOCK</stp>
        <stp>90030.T</stp>
        <stp>年初来高値</stp>
        <tr r="Y1074" s="7"/>
      </tp>
      <tp>
        <v>719</v>
        <stp/>
        <stp>Market</stp>
        <stp>STOCK</stp>
        <stp>81030.T</stp>
        <stp>年初来高値</stp>
        <tr r="Y976" s="7"/>
      </tp>
      <tp>
        <v>693</v>
        <stp/>
        <stp>Market</stp>
        <stp>STOCK</stp>
        <stp>82030.T</stp>
        <stp>年初来高値</stp>
        <tr r="Y991" s="7"/>
      </tp>
      <tp>
        <v>2099.5</v>
        <stp/>
        <stp>Market</stp>
        <stp>STOCK</stp>
        <stp>58020.T</stp>
        <stp>年初来高値</stp>
        <tr r="Y612" s="7"/>
      </tp>
      <tp t="s">
        <v>表示銘柄数超過</v>
        <stp/>
        <stp>Market</stp>
        <stp>STOCK</stp>
        <stp>42020.T</stp>
        <stp>年初来高値</stp>
        <tr r="Y426" s="7"/>
      </tp>
      <tp t="s">
        <v>表示銘柄数超過</v>
        <stp/>
        <stp>Market</stp>
        <stp>STOCK</stp>
        <stp>49020.T</stp>
        <stp>年初来高値</stp>
        <tr r="Y551" s="7"/>
      </tp>
      <tp>
        <v>264</v>
        <stp/>
        <stp>Market</stp>
        <stp>STOCK</stp>
        <stp>76020.T</stp>
        <stp>年初来高値</stp>
        <tr r="Y910" s="7"/>
      </tp>
      <tp>
        <v>2321</v>
        <stp/>
        <stp>Market</stp>
        <stp>STOCK</stp>
        <stp>71020.T</stp>
        <stp>年初来高値</stp>
        <tr r="Y825" s="7"/>
      </tp>
      <tp>
        <v>2099</v>
        <stp/>
        <stp>Market</stp>
        <stp>STOCK</stp>
        <stp>72020.T</stp>
        <stp>年初来高値</stp>
        <tr r="Y845" s="7"/>
      </tp>
      <tp t="s">
        <v/>
        <stp/>
        <stp>Market</stp>
        <stp>STOCK</stp>
        <stp>65020.T</stp>
        <stp>年初来高値</stp>
        <tr r="Y714" s="7"/>
      </tp>
      <tp>
        <v>24050</v>
        <stp/>
        <stp>Market</stp>
        <stp>STOCK</stp>
        <stp>67020.T</stp>
        <stp>年初来高値</stp>
        <tr r="Y755" s="7"/>
      </tp>
      <tp>
        <v>2555</v>
        <stp/>
        <stp>Market</stp>
        <stp>STOCK</stp>
        <stp>69020.T</stp>
        <stp>年初来高値</stp>
        <tr r="Y784" s="7"/>
      </tp>
      <tp t="s">
        <v>表示銘柄数超過</v>
        <stp/>
        <stp>Market</stp>
        <stp>STOCK</stp>
        <stp>18020.T</stp>
        <stp>年初来高値</stp>
        <tr r="Y57" s="7"/>
      </tp>
      <tp t="s">
        <v>表示銘柄数超過</v>
        <stp/>
        <stp>Market</stp>
        <stp>STOCK</stp>
        <stp>39020.T</stp>
        <stp>年初来高値</stp>
        <tr r="Y385" s="7"/>
      </tp>
      <tp t="s">
        <v>表示銘柄数超過</v>
        <stp/>
        <stp>Market</stp>
        <stp>STOCK</stp>
        <stp>24020.T</stp>
        <stp>年初来高値</stp>
        <tr r="Y132" s="7"/>
      </tp>
      <tp t="s">
        <v>表示銘柄数超過</v>
        <stp/>
        <stp>Market</stp>
        <stp>STOCK</stp>
        <stp>27020.T</stp>
        <stp>年初来高値</stp>
        <tr r="Y186" s="7"/>
      </tp>
      <tp t="s">
        <v>表示銘柄数超過</v>
        <stp/>
        <stp>Market</stp>
        <stp>STOCK</stp>
        <stp>95020.T</stp>
        <stp>年初来高値</stp>
        <tr r="Y1141" s="7"/>
      </tp>
      <tp>
        <v>372</v>
        <stp/>
        <stp>Market</stp>
        <stp>STOCK</stp>
        <stp>82020.T</stp>
        <stp>年初来高値</stp>
        <tr r="Y990" s="7"/>
      </tp>
      <tp t="s">
        <v>表示銘柄数超過</v>
        <stp/>
        <stp>Market</stp>
        <stp>STOCK</stp>
        <stp>88020.T</stp>
        <stp>年初来高値</stp>
        <tr r="Y1051" s="7"/>
      </tp>
      <tp>
        <v>3816</v>
        <stp/>
        <stp>Market</stp>
        <stp>STOCK</stp>
        <stp>54010.T</stp>
        <stp>年初来高値</stp>
        <tr r="Y590" s="7"/>
      </tp>
      <tp>
        <v>2845</v>
        <stp/>
        <stp>Market</stp>
        <stp>STOCK</stp>
        <stp>58010.T</stp>
        <stp>年初来高値</stp>
        <tr r="Y611" s="7"/>
      </tp>
      <tp>
        <v>399</v>
        <stp/>
        <stp>Market</stp>
        <stp>STOCK</stp>
        <stp>76010.T</stp>
        <stp>年初来高値</stp>
        <tr r="Y909" s="7"/>
      </tp>
      <tp>
        <v>712.5</v>
        <stp/>
        <stp>Market</stp>
        <stp>STOCK</stp>
        <stp>72010.T</stp>
        <stp>年初来高値</stp>
        <tr r="Y844" s="7"/>
      </tp>
      <tp>
        <v>12075</v>
        <stp/>
        <stp>Market</stp>
        <stp>STOCK</stp>
        <stp>65010.T</stp>
        <stp>年初来高値</stp>
        <tr r="Y713" s="7"/>
      </tp>
      <tp>
        <v>9827</v>
        <stp/>
        <stp>Market</stp>
        <stp>STOCK</stp>
        <stp>67010.T</stp>
        <stp>年初来高値</stp>
        <tr r="Y754" s="7"/>
      </tp>
      <tp>
        <v>4511</v>
        <stp/>
        <stp>Market</stp>
        <stp>STOCK</stp>
        <stp>63010.T</stp>
        <stp>年初来高値</stp>
        <tr r="Y686" s="7"/>
      </tp>
      <tp t="s">
        <v>表示銘柄数超過</v>
        <stp/>
        <stp>Market</stp>
        <stp>STOCK</stp>
        <stp>14010.T</stp>
        <stp>年初来高値</stp>
        <tr r="Y18" s="7"/>
      </tp>
      <tp t="s">
        <v>表示銘柄数超過</v>
        <stp/>
        <stp>Market</stp>
        <stp>STOCK</stp>
        <stp>34010.T</stp>
        <stp>年初来高値</stp>
        <tr r="Y294" s="7"/>
      </tp>
      <tp t="s">
        <v>表示銘柄数超過</v>
        <stp/>
        <stp>Market</stp>
        <stp>STOCK</stp>
        <stp>31010.T</stp>
        <stp>年初来高値</stp>
        <tr r="Y241" s="7"/>
      </tp>
      <tp t="s">
        <v>表示銘柄数超過</v>
        <stp/>
        <stp>Market</stp>
        <stp>STOCK</stp>
        <stp>25010.T</stp>
        <stp>年初来高値</stp>
        <tr r="Y156" s="7"/>
      </tp>
      <tp t="s">
        <v>表示銘柄数超過</v>
        <stp/>
        <stp>Market</stp>
        <stp>STOCK</stp>
        <stp>29010.T</stp>
        <stp>年初来高値</stp>
        <tr r="Y213" s="7"/>
      </tp>
      <tp t="s">
        <v>表示銘柄数超過</v>
        <stp/>
        <stp>Market</stp>
        <stp>STOCK</stp>
        <stp>94010.T</stp>
        <stp>年初来高値</stp>
        <tr r="Y1114" s="7"/>
      </tp>
      <tp t="s">
        <v>表示銘柄数超過</v>
        <stp/>
        <stp>Market</stp>
        <stp>STOCK</stp>
        <stp>95010.T</stp>
        <stp>年初来高値</stp>
        <tr r="Y1140" s="7"/>
      </tp>
      <tp t="s">
        <v>表示銘柄数超過</v>
        <stp/>
        <stp>Market</stp>
        <stp>STOCK</stp>
        <stp>90010.T</stp>
        <stp>年初来高値</stp>
        <tr r="Y1073" s="7"/>
      </tp>
      <tp t="s">
        <v>表示銘柄数超過</v>
        <stp/>
        <stp>Market</stp>
        <stp>STOCK</stp>
        <stp>91010.T</stp>
        <stp>年初来高値</stp>
        <tr r="Y1093" s="7"/>
      </tp>
      <tp>
        <v>1075.5</v>
        <stp/>
        <stp>Market</stp>
        <stp>STOCK</stp>
        <stp>86010.T</stp>
        <stp>年初来高値</stp>
        <tr r="Y1025" s="7"/>
      </tp>
      <tp>
        <v>6844</v>
        <stp/>
        <stp>Market</stp>
        <stp>STOCK</stp>
        <stp>80010.T</stp>
        <stp>年初来高値</stp>
        <tr r="Y964" s="7"/>
      </tp>
      <tp t="s">
        <v>表示銘柄数超過</v>
        <stp/>
        <stp>Market</stp>
        <stp>STOCK</stp>
        <stp>88010.T</stp>
        <stp>年初来高値</stp>
        <tr r="Y1050" s="7"/>
      </tp>
      <tp t="s">
        <v>表示銘柄数超過</v>
        <stp/>
        <stp>Market</stp>
        <stp>STOCK</stp>
        <stp>42000.T</stp>
        <stp>年初来高値</stp>
        <tr r="Y425" s="7"/>
      </tp>
      <tp t="s">
        <v>表示銘柄数超過</v>
        <stp/>
        <stp>Market</stp>
        <stp>STOCK</stp>
        <stp>48000.T</stp>
        <stp>年初来高値</stp>
        <tr r="Y536" s="7"/>
      </tp>
      <tp>
        <v>709</v>
        <stp/>
        <stp>Market</stp>
        <stp>STOCK</stp>
        <stp>78000.T</stp>
        <stp>年初来高値</stp>
        <tr r="Y938" s="7"/>
      </tp>
      <tp t="s">
        <v>表示銘柄数超過</v>
        <stp/>
        <stp>Market</stp>
        <stp>STOCK</stp>
        <stp>14000.T</stp>
        <stp>年初来高値</stp>
        <tr r="Y17" s="7"/>
      </tp>
      <tp t="s">
        <v>表示銘柄数超過</v>
        <stp/>
        <stp>Market</stp>
        <stp>STOCK</stp>
        <stp>33000.T</stp>
        <stp>年初来高値</stp>
        <tr r="Y275" s="7"/>
      </tp>
      <tp t="s">
        <v>表示銘柄数超過</v>
        <stp/>
        <stp>Market</stp>
        <stp>STOCK</stp>
        <stp>39000.T</stp>
        <stp>年初来高値</stp>
        <tr r="Y384" s="7"/>
      </tp>
      <tp t="s">
        <v>表示銘柄数超過</v>
        <stp/>
        <stp>Market</stp>
        <stp>STOCK</stp>
        <stp>45070.T</stp>
        <stp>年初来高値</stp>
        <tr r="Y481" s="7"/>
      </tp>
      <tp t="s">
        <v>表示銘柄数超過</v>
        <stp/>
        <stp>Market</stp>
        <stp>STOCK</stp>
        <stp>47070.T</stp>
        <stp>年初来高値</stp>
        <tr r="Y523" s="7"/>
      </tp>
      <tp>
        <v>2428</v>
        <stp/>
        <stp>Market</stp>
        <stp>STOCK</stp>
        <stp>65070.T</stp>
        <stp>年初来高値</stp>
        <tr r="Y717" s="7"/>
      </tp>
      <tp>
        <v>628</v>
        <stp/>
        <stp>Market</stp>
        <stp>STOCK</stp>
        <stp>69070.T</stp>
        <stp>年初来高値</stp>
        <tr r="Y786" s="7"/>
      </tp>
      <tp t="s">
        <v>表示銘柄数超過</v>
        <stp/>
        <stp>Market</stp>
        <stp>STOCK</stp>
        <stp>14070.T</stp>
        <stp>年初来高値</stp>
        <tr r="Y19" s="7"/>
      </tp>
      <tp t="s">
        <v>表示銘柄数超過</v>
        <stp/>
        <stp>Market</stp>
        <stp>STOCK</stp>
        <stp>34070.T</stp>
        <stp>年初来高値</stp>
        <tr r="Y295" s="7"/>
      </tp>
      <tp t="s">
        <v>表示銘柄数超過</v>
        <stp/>
        <stp>Market</stp>
        <stp>STOCK</stp>
        <stp>36070.T</stp>
        <stp>年初来高値</stp>
        <tr r="Y311" s="7"/>
      </tp>
      <tp t="s">
        <v>表示銘柄数超過</v>
        <stp/>
        <stp>Market</stp>
        <stp>STOCK</stp>
        <stp>38070.T</stp>
        <stp>年初来高値</stp>
        <tr r="Y361" s="7"/>
      </tp>
      <tp t="s">
        <v>表示銘柄数超過</v>
        <stp/>
        <stp>Market</stp>
        <stp>STOCK</stp>
        <stp>39070.T</stp>
        <stp>年初来高値</stp>
        <tr r="Y387" s="7"/>
      </tp>
      <tp t="s">
        <v>表示銘柄数超過</v>
        <stp/>
        <stp>Market</stp>
        <stp>STOCK</stp>
        <stp>95070.T</stp>
        <stp>年初来高値</stp>
        <tr r="Y1146" s="7"/>
      </tp>
      <tp t="s">
        <v>表示銘柄数超過</v>
        <stp/>
        <stp>Market</stp>
        <stp>STOCK</stp>
        <stp>90070.T</stp>
        <stp>年初来高値</stp>
        <tr r="Y1077" s="7"/>
      </tp>
      <tp t="s">
        <v>表示銘柄数超過</v>
        <stp/>
        <stp>Market</stp>
        <stp>STOCK</stp>
        <stp>91070.T</stp>
        <stp>年初来高値</stp>
        <tr r="Y1095" s="7"/>
      </tp>
      <tp t="s">
        <v>表示銘柄数超過</v>
        <stp/>
        <stp>Market</stp>
        <stp>STOCK</stp>
        <stp>93070.T</stp>
        <stp>年初来高値</stp>
        <tr r="Y1109" s="7"/>
      </tp>
      <tp>
        <v>334</v>
        <stp/>
        <stp>Market</stp>
        <stp>STOCK</stp>
        <stp>82070.T</stp>
        <stp>年初来高値</stp>
        <tr r="Y992" s="7"/>
      </tp>
      <tp>
        <v>2179</v>
        <stp/>
        <stp>Market</stp>
        <stp>STOCK</stp>
        <stp>54060.T</stp>
        <stp>年初来高値</stp>
        <tr r="Y591" s="7"/>
      </tp>
      <tp t="s">
        <v>表示銘柄数超過</v>
        <stp/>
        <stp>Market</stp>
        <stp>STOCK</stp>
        <stp>44060.T</stp>
        <stp>年初来高値</stp>
        <tr r="Y459" s="7"/>
      </tp>
      <tp>
        <v>1001</v>
        <stp/>
        <stp>Market</stp>
        <stp>STOCK</stp>
        <stp>45060.T</stp>
        <stp>年初来高値</stp>
        <tr r="Y480" s="7"/>
      </tp>
      <tp t="s">
        <v>表示銘柄数超過</v>
        <stp/>
        <stp>Market</stp>
        <stp>STOCK</stp>
        <stp>13060.T</stp>
        <stp>年初来高値</stp>
        <tr r="Y3" s="7"/>
      </tp>
      <tp t="s">
        <v>表示銘柄数超過</v>
        <stp/>
        <stp>Market</stp>
        <stp>STOCK</stp>
        <stp>22060.T</stp>
        <stp>年初来高値</stp>
        <tr r="Y103" s="7"/>
      </tp>
      <tp t="s">
        <v>表示銘柄数超過</v>
        <stp/>
        <stp>Market</stp>
        <stp>STOCK</stp>
        <stp>95060.T</stp>
        <stp>年初来高値</stp>
        <tr r="Y1145" s="7"/>
      </tp>
      <tp t="s">
        <v>表示銘柄数超過</v>
        <stp/>
        <stp>Market</stp>
        <stp>STOCK</stp>
        <stp>90060.T</stp>
        <stp>年初来高値</stp>
        <tr r="Y1076" s="7"/>
      </tp>
      <tp>
        <v>1104</v>
        <stp/>
        <stp>Market</stp>
        <stp>STOCK</stp>
        <stp>87060.T</stp>
        <stp>年初来高値</stp>
        <tr r="Y1038" s="7"/>
      </tp>
      <tp t="s">
        <v>表示銘柄数超過</v>
        <stp/>
        <stp>Market</stp>
        <stp>STOCK</stp>
        <stp>47050.T</stp>
        <stp>年初来高値</stp>
        <tr r="Y522" s="7"/>
      </tp>
      <tp>
        <v>1832</v>
        <stp/>
        <stp>Market</stp>
        <stp>STOCK</stp>
        <stp>75050.T</stp>
        <stp>年初来高値</stp>
        <tr r="Y895" s="7"/>
      </tp>
      <tp>
        <v>2173</v>
        <stp/>
        <stp>Market</stp>
        <stp>STOCK</stp>
        <stp>76050.T</stp>
        <stp>年初来高値</stp>
        <tr r="Y911" s="7"/>
      </tp>
      <tp>
        <v>645.20000000000005</v>
        <stp/>
        <stp>Market</stp>
        <stp>STOCK</stp>
        <stp>72050.T</stp>
        <stp>年初来高値</stp>
        <tr r="Y847" s="7"/>
      </tp>
      <tp>
        <v>879</v>
        <stp/>
        <stp>Market</stp>
        <stp>STOCK</stp>
        <stp>78050.T</stp>
        <stp>年初来高値</stp>
        <tr r="Y939" s="7"/>
      </tp>
      <tp>
        <v>4927</v>
        <stp/>
        <stp>Market</stp>
        <stp>STOCK</stp>
        <stp>63050.T</stp>
        <stp>年初来高値</stp>
        <tr r="Y687" s="7"/>
      </tp>
      <tp>
        <v>1523</v>
        <stp/>
        <stp>Market</stp>
        <stp>STOCK</stp>
        <stp>69050.T</stp>
        <stp>年初来高値</stp>
        <tr r="Y785" s="7"/>
      </tp>
      <tp t="s">
        <v>表示銘柄数超過</v>
        <stp/>
        <stp>Market</stp>
        <stp>STOCK</stp>
        <stp>16050.T</stp>
        <stp>年初来高値</stp>
        <tr r="Y37" s="7"/>
      </tp>
      <tp t="s">
        <v>表示銘柄数超過</v>
        <stp/>
        <stp>Market</stp>
        <stp>STOCK</stp>
        <stp>13050.T</stp>
        <stp>年初来高値</stp>
        <tr r="Y2" s="7"/>
      </tp>
      <tp t="s">
        <v>表示銘柄数超過</v>
        <stp/>
        <stp>Market</stp>
        <stp>STOCK</stp>
        <stp>18050.T</stp>
        <stp>年初来高値</stp>
        <tr r="Y59" s="7"/>
      </tp>
      <tp t="s">
        <v>表示銘柄数超過</v>
        <stp/>
        <stp>Market</stp>
        <stp>STOCK</stp>
        <stp>23050.T</stp>
        <stp>年初来高値</stp>
        <tr r="Y112" s="7"/>
      </tp>
      <tp t="s">
        <v>表示銘柄数超過</v>
        <stp/>
        <stp>Market</stp>
        <stp>STOCK</stp>
        <stp>94050.T</stp>
        <stp>年初来高値</stp>
        <tr r="Y1116" s="7"/>
      </tp>
      <tp t="s">
        <v>表示銘柄数超過</v>
        <stp/>
        <stp>Market</stp>
        <stp>STOCK</stp>
        <stp>95050.T</stp>
        <stp>年初来高値</stp>
        <tr r="Y1144" s="7"/>
      </tp>
      <tp t="s">
        <v>表示銘柄数超過</v>
        <stp/>
        <stp>Market</stp>
        <stp>STOCK</stp>
        <stp>90050.T</stp>
        <stp>年初来高値</stp>
        <tr r="Y1075" s="7"/>
      </tp>
      <tp>
        <v>190</v>
        <stp/>
        <stp>Market</stp>
        <stp>STOCK</stp>
        <stp>87050.T</stp>
        <stp>年初来高値</stp>
        <tr r="Y1037" s="7"/>
      </tp>
      <tp>
        <v>1092</v>
        <stp/>
        <stp>Market</stp>
        <stp>STOCK</stp>
        <stp>80050.T</stp>
        <stp>年初来高値</stp>
        <tr r="Y965" s="7"/>
      </tp>
      <tp>
        <v>68</v>
        <stp/>
        <stp>Market</stp>
        <stp>STOCK</stp>
        <stp>81050.T</stp>
        <stp>年初来高値</stp>
        <tr r="Y978" s="7"/>
      </tp>
      <tp t="s">
        <v>表示銘柄数超過</v>
        <stp/>
        <stp>Market</stp>
        <stp>STOCK</stp>
        <stp>89050.T</stp>
        <stp>年初来高値</stp>
        <tr r="Y1062" s="7"/>
      </tp>
      <tp>
        <v>1536</v>
        <stp/>
        <stp>Market</stp>
        <stp>STOCK</stp>
        <stp>57040.T</stp>
        <stp>年初来高値</stp>
        <tr r="Y606" s="7"/>
      </tp>
      <tp>
        <v>4135</v>
        <stp/>
        <stp>Market</stp>
        <stp>STOCK</stp>
        <stp>52040.T</stp>
        <stp>年初来高値</stp>
        <tr r="Y575" s="7"/>
      </tp>
      <tp t="s">
        <v>表示銘柄数超過</v>
        <stp/>
        <stp>Market</stp>
        <stp>STOCK</stp>
        <stp>40040.T</stp>
        <stp>年初来高値</stp>
        <tr r="Y410" s="7"/>
      </tp>
      <tp t="s">
        <v>表示銘柄数超過</v>
        <stp/>
        <stp>Market</stp>
        <stp>STOCK</stp>
        <stp>43040.T</stp>
        <stp>年初来高値</stp>
        <tr r="Y440" s="7"/>
      </tp>
      <tp>
        <v>999</v>
        <stp/>
        <stp>Market</stp>
        <stp>STOCK</stp>
        <stp>70040.T</stp>
        <stp>年初来高値</stp>
        <tr r="Y805" s="7"/>
      </tp>
      <tp>
        <v>8125</v>
        <stp/>
        <stp>Market</stp>
        <stp>STOCK</stp>
        <stp>65040.T</stp>
        <stp>年初来高値</stp>
        <tr r="Y716" s="7"/>
      </tp>
      <tp>
        <v>5020</v>
        <stp/>
        <stp>Market</stp>
        <stp>STOCK</stp>
        <stp>61040.T</stp>
        <stp>年初来高値</stp>
        <tr r="Y655" s="7"/>
      </tp>
      <tp t="s">
        <v>表示銘柄数超過</v>
        <stp/>
        <stp>Market</stp>
        <stp>STOCK</stp>
        <stp>30040.T</stp>
        <stp>年初来高値</stp>
        <tr r="Y222" s="7"/>
      </tp>
      <tp t="s">
        <v>表示銘柄数超過</v>
        <stp/>
        <stp>Market</stp>
        <stp>STOCK</stp>
        <stp>24040.T</stp>
        <stp>年初来高値</stp>
        <tr r="Y133" s="7"/>
      </tp>
      <tp t="s">
        <v>表示銘柄数超過</v>
        <stp/>
        <stp>Market</stp>
        <stp>STOCK</stp>
        <stp>23040.T</stp>
        <stp>年初来高値</stp>
        <tr r="Y111" s="7"/>
      </tp>
      <tp t="s">
        <v>表示銘柄数超過</v>
        <stp/>
        <stp>Market</stp>
        <stp>STOCK</stp>
        <stp>94040.T</stp>
        <stp>年初来高値</stp>
        <tr r="Y1115" s="7"/>
      </tp>
      <tp t="s">
        <v>表示銘柄数超過</v>
        <stp/>
        <stp>Market</stp>
        <stp>STOCK</stp>
        <stp>95040.T</stp>
        <stp>年初来高値</stp>
        <tr r="Y1143" s="7"/>
      </tp>
      <tp t="s">
        <v>表示銘柄数超過</v>
        <stp/>
        <stp>Market</stp>
        <stp>STOCK</stp>
        <stp>91040.T</stp>
        <stp>年初来高値</stp>
        <tr r="Y1094" s="7"/>
      </tp>
      <tp t="s">
        <v>表示銘柄数超過</v>
        <stp/>
        <stp>Market</stp>
        <stp>STOCK</stp>
        <stp>99040.T</stp>
        <stp>年初来高値</stp>
        <tr r="Y1178" s="7"/>
      </tp>
      <tp>
        <v>829.9</v>
        <stp/>
        <stp>Market</stp>
        <stp>STOCK</stp>
        <stp>86040.T</stp>
        <stp>年初来高値</stp>
        <tr r="Y1026" s="7"/>
      </tp>
      <tp>
        <v>743</v>
        <stp/>
        <stp>Market</stp>
        <stp>STOCK</stp>
        <stp>81040.T</stp>
        <stp>年初来高値</stp>
        <tr r="Y977" s="7"/>
      </tp>
      <tp t="s">
        <v>表示銘柄数超過</v>
        <stp/>
        <stp>Market</stp>
        <stp>STOCK</stp>
        <stp>88040.T</stp>
        <stp>年初来高値</stp>
        <tr r="Y1052" s="7"/>
      </tp>
      <tp>
        <v>996</v>
        <stp/>
        <stp>Market</stp>
        <stp>STOCK</stp>
        <stp>59090.T</stp>
        <stp>年初来高値</stp>
        <tr r="Y618" s="7"/>
      </tp>
      <tp>
        <v>466</v>
        <stp/>
        <stp>Market</stp>
        <stp>STOCK</stp>
        <stp>77090.T</stp>
        <stp>年初来高値</stp>
        <tr r="Y921" s="7"/>
      </tp>
      <tp t="s">
        <v>表示銘柄数超過</v>
        <stp/>
        <stp>Market</stp>
        <stp>STOCK</stp>
        <stp>34090.T</stp>
        <stp>年初来高値</stp>
        <tr r="Y296" s="7"/>
      </tp>
      <tp t="s">
        <v>表示銘柄数超過</v>
        <stp/>
        <stp>Market</stp>
        <stp>STOCK</stp>
        <stp>39090.T</stp>
        <stp>年初来高値</stp>
        <tr r="Y388" s="7"/>
      </tp>
      <tp t="s">
        <v>表示銘柄数超過</v>
        <stp/>
        <stp>Market</stp>
        <stp>STOCK</stp>
        <stp>94090.T</stp>
        <stp>年初来高値</stp>
        <tr r="Y1117" s="7"/>
      </tp>
      <tp t="s">
        <v>表示銘柄数超過</v>
        <stp/>
        <stp>Market</stp>
        <stp>STOCK</stp>
        <stp>95090.T</stp>
        <stp>年初来高値</stp>
        <tr r="Y1148" s="7"/>
      </tp>
      <tp t="s">
        <v>表示銘柄数超過</v>
        <stp/>
        <stp>Market</stp>
        <stp>STOCK</stp>
        <stp>97090.T</stp>
        <stp>年初来高値</stp>
        <tr r="Y1162" s="7"/>
      </tp>
      <tp t="s">
        <v>表示銘柄数超過</v>
        <stp/>
        <stp>Market</stp>
        <stp>STOCK</stp>
        <stp>90090.T</stp>
        <stp>年初来高値</stp>
        <tr r="Y1079" s="7"/>
      </tp>
      <tp>
        <v>767</v>
        <stp/>
        <stp>Market</stp>
        <stp>STOCK</stp>
        <stp>86090.T</stp>
        <stp>年初来高値</stp>
        <tr r="Y1027" s="7"/>
      </tp>
      <tp>
        <v>1205</v>
        <stp/>
        <stp>Market</stp>
        <stp>STOCK</stp>
        <stp>54080.T</stp>
        <stp>年初来高値</stp>
        <tr r="Y592" s="7"/>
      </tp>
      <tp>
        <v>6478</v>
        <stp/>
        <stp>Market</stp>
        <stp>STOCK</stp>
        <stp>51080.T</stp>
        <stp>年初来高値</stp>
        <tr r="Y568" s="7"/>
      </tp>
      <tp t="s">
        <v>表示銘柄数超過</v>
        <stp/>
        <stp>Market</stp>
        <stp>STOCK</stp>
        <stp>43080.T</stp>
        <stp>年初来高値</stp>
        <tr r="Y441" s="7"/>
      </tp>
      <tp>
        <v>1855</v>
        <stp/>
        <stp>Market</stp>
        <stp>STOCK</stp>
        <stp>74080.T</stp>
        <stp>年初来高値</stp>
        <tr r="Y886" s="7"/>
      </tp>
      <tp>
        <v>235</v>
        <stp/>
        <stp>Market</stp>
        <stp>STOCK</stp>
        <stp>79080.T</stp>
        <stp>年初来高値</stp>
        <tr r="Y953" s="7"/>
      </tp>
      <tp t="s">
        <v>表示銘柄数超過</v>
        <stp/>
        <stp>Market</stp>
        <stp>STOCK</stp>
        <stp>13080.T</stp>
        <stp>年初来高値</stp>
        <tr r="Y4" s="7"/>
      </tp>
      <tp t="s">
        <v>表示銘柄数超過</v>
        <stp/>
        <stp>Market</stp>
        <stp>STOCK</stp>
        <stp>24080.T</stp>
        <stp>年初来高値</stp>
        <tr r="Y134" s="7"/>
      </tp>
      <tp t="s">
        <v>表示銘柄数超過</v>
        <stp/>
        <stp>Market</stp>
        <stp>STOCK</stp>
        <stp>95080.T</stp>
        <stp>年初来高値</stp>
        <tr r="Y1147" s="7"/>
      </tp>
      <tp t="s">
        <v>表示銘柄数超過</v>
        <stp/>
        <stp>Market</stp>
        <stp>STOCK</stp>
        <stp>90080.T</stp>
        <stp>年初来高値</stp>
        <tr r="Y1078" s="7"/>
      </tp>
      <tp t="s">
        <v>表示銘柄数超過</v>
        <stp/>
        <stp>Market</stp>
        <stp>STOCK</stp>
        <stp>99080.T</stp>
        <stp>年初来高値</stp>
        <tr r="Y1179" s="7"/>
      </tp>
      <tp>
        <v>590</v>
        <stp/>
        <stp>Market</stp>
        <stp>STOCK</stp>
        <stp>85080.T</stp>
        <stp>年初来高値</stp>
        <tr r="Y1014" s="7"/>
      </tp>
      <tp>
        <v>1361</v>
        <stp/>
        <stp>Market</stp>
        <stp>STOCK</stp>
        <stp>87080.T</stp>
        <stp>年初来高値</stp>
        <tr r="Y1039" s="7"/>
      </tp>
      <tp>
        <v>2100</v>
        <stp/>
        <stp>Market</stp>
        <stp>STOCK</stp>
        <stp>80080.T</stp>
        <stp>年初来高値</stp>
        <tr r="Y966" s="7"/>
      </tp>
    </main>
    <main first="rtdsrv.662c26bade854d00aebc6010f8a2e03a">
      <tp t="s">
        <v>表示銘柄数超過</v>
        <stp/>
        <stp>Market</stp>
        <stp>STOCK</stp>
        <stp>46130.T</stp>
        <stp>年初来高値</stp>
        <tr r="Y510" s="7"/>
      </tp>
      <tp>
        <v>802</v>
        <stp/>
        <stp>Market</stp>
        <stp>STOCK</stp>
        <stp>75130.T</stp>
        <stp>年初来高値</stp>
        <tr r="Y897" s="7"/>
      </tp>
      <tp>
        <v>4088</v>
        <stp/>
        <stp>Market</stp>
        <stp>STOCK</stp>
        <stp>70130.T</stp>
        <stp>年初来高値</stp>
        <tr r="Y808" s="7"/>
      </tp>
      <tp>
        <v>698</v>
        <stp/>
        <stp>Market</stp>
        <stp>STOCK</stp>
        <stp>72130.T</stp>
        <stp>年初来高値</stp>
        <tr r="Y850" s="7"/>
      </tp>
      <tp>
        <v>1345</v>
        <stp/>
        <stp>Market</stp>
        <stp>STOCK</stp>
        <stp>65130.T</stp>
        <stp>年初来高値</stp>
        <tr r="Y718" s="7"/>
      </tp>
      <tp>
        <v>984</v>
        <stp/>
        <stp>Market</stp>
        <stp>STOCK</stp>
        <stp>66130.T</stp>
        <stp>年初来高値</stp>
        <tr r="Y736" s="7"/>
      </tp>
      <tp>
        <v>1632.5</v>
        <stp/>
        <stp>Market</stp>
        <stp>STOCK</stp>
        <stp>61130.T</stp>
        <stp>年初来高値</stp>
        <tr r="Y656" s="7"/>
      </tp>
      <tp t="s">
        <v>表示銘柄数超過</v>
        <stp/>
        <stp>Market</stp>
        <stp>STOCK</stp>
        <stp>31130.T</stp>
        <stp>年初来高値</stp>
        <tr r="Y243" s="7"/>
      </tp>
      <tp t="s">
        <v>表示銘柄数超過</v>
        <stp/>
        <stp>Market</stp>
        <stp>STOCK</stp>
        <stp>94130.T</stp>
        <stp>年初来高値</stp>
        <tr r="Y1119" s="7"/>
      </tp>
      <tp t="s">
        <v>表示銘柄数超過</v>
        <stp/>
        <stp>Market</stp>
        <stp>STOCK</stp>
        <stp>96130.T</stp>
        <stp>年初来高値</stp>
        <tr r="Y1160" s="7"/>
      </tp>
      <tp t="s">
        <v>表示銘柄数超過</v>
        <stp/>
        <stp>Market</stp>
        <stp>STOCK</stp>
        <stp>92130.T</stp>
        <stp>年初来高値</stp>
        <tr r="Y1099" s="7"/>
      </tp>
      <tp>
        <v>961</v>
        <stp/>
        <stp>Market</stp>
        <stp>STOCK</stp>
        <stp>86130.T</stp>
        <stp>年初来高値</stp>
        <tr r="Y1028" s="7"/>
      </tp>
      <tp>
        <v>1274</v>
        <stp/>
        <stp>Market</stp>
        <stp>STOCK</stp>
        <stp>56120.T</stp>
        <stp>年初来高値</stp>
        <tr r="Y601" s="7"/>
      </tp>
      <tp t="s">
        <v>表示銘柄数超過</v>
        <stp/>
        <stp>Market</stp>
        <stp>STOCK</stp>
        <stp>46120.T</stp>
        <stp>年初来高値</stp>
        <tr r="Y509" s="7"/>
      </tp>
      <tp t="s">
        <v>表示銘柄数超過</v>
        <stp/>
        <stp>Market</stp>
        <stp>STOCK</stp>
        <stp>49120.T</stp>
        <stp>年初来高値</stp>
        <tr r="Y552" s="7"/>
      </tp>
      <tp>
        <v>1121</v>
        <stp/>
        <stp>Market</stp>
        <stp>STOCK</stp>
        <stp>75120.T</stp>
        <stp>年初来高値</stp>
        <tr r="Y896" s="7"/>
      </tp>
      <tp>
        <v>4228</v>
        <stp/>
        <stp>Market</stp>
        <stp>STOCK</stp>
        <stp>70120.T</stp>
        <stp>年初来高値</stp>
        <tr r="Y807" s="7"/>
      </tp>
      <tp>
        <v>1020</v>
        <stp/>
        <stp>Market</stp>
        <stp>STOCK</stp>
        <stp>72120.T</stp>
        <stp>年初来高値</stp>
        <tr r="Y849" s="7"/>
      </tp>
      <tp t="s">
        <v>表示銘柄数超過</v>
        <stp/>
        <stp>Market</stp>
        <stp>STOCK</stp>
        <stp>17120.T</stp>
        <stp>年初来高値</stp>
        <tr r="Y47" s="7"/>
      </tp>
      <tp t="s">
        <v>表示銘柄数超過</v>
        <stp/>
        <stp>Market</stp>
        <stp>STOCK</stp>
        <stp>18120.T</stp>
        <stp>年初来高値</stp>
        <tr r="Y60" s="7"/>
      </tp>
      <tp t="s">
        <v>表示銘柄数超過</v>
        <stp/>
        <stp>Market</stp>
        <stp>STOCK</stp>
        <stp>24120.T</stp>
        <stp>年初来高値</stp>
        <tr r="Y137" s="7"/>
      </tp>
      <tp t="s">
        <v>表示銘柄数超過</v>
        <stp/>
        <stp>Market</stp>
        <stp>STOCK</stp>
        <stp>94120.T</stp>
        <stp>年初来高値</stp>
        <tr r="Y1118" s="7"/>
      </tp>
      <tp t="s">
        <v>表示銘柄数超過</v>
        <stp/>
        <stp>Market</stp>
        <stp>STOCK</stp>
        <stp>98120.T</stp>
        <stp>年初来高値</stp>
        <tr r="Y1170" s="7"/>
      </tp>
      <tp t="s">
        <v>表示銘柄数超過</v>
        <stp/>
        <stp>Market</stp>
        <stp>STOCK</stp>
        <stp>89120.T</stp>
        <stp>年初来高値</stp>
        <tr r="Y1063" s="7"/>
      </tp>
      <tp>
        <v>2437</v>
        <stp/>
        <stp>Market</stp>
        <stp>STOCK</stp>
        <stp>54110.T</stp>
        <stp>年初来高値</stp>
        <tr r="Y594" s="7"/>
      </tp>
      <tp>
        <v>2765</v>
        <stp/>
        <stp>Market</stp>
        <stp>STOCK</stp>
        <stp>57110.T</stp>
        <stp>年初来高値</stp>
        <tr r="Y607" s="7"/>
      </tp>
      <tp t="s">
        <v>表示銘柄数超過</v>
        <stp/>
        <stp>Market</stp>
        <stp>STOCK</stp>
        <stp>46110.T</stp>
        <stp>年初来高値</stp>
        <tr r="Y508" s="7"/>
      </tp>
      <tp t="s">
        <v>表示銘柄数超過</v>
        <stp/>
        <stp>Market</stp>
        <stp>STOCK</stp>
        <stp>40110.T</stp>
        <stp>年初来高値</stp>
        <tr r="Y411" s="7"/>
      </tp>
      <tp>
        <v>10770</v>
        <stp/>
        <stp>Market</stp>
        <stp>STOCK</stp>
        <stp>70110.T</stp>
        <stp>年初来高値</stp>
        <tr r="Y806" s="7"/>
      </tp>
      <tp>
        <v>122</v>
        <stp/>
        <stp>Market</stp>
        <stp>STOCK</stp>
        <stp>71110.T</stp>
        <stp>年初来高値</stp>
        <tr r="Y826" s="7"/>
      </tp>
      <tp>
        <v>681</v>
        <stp/>
        <stp>Market</stp>
        <stp>STOCK</stp>
        <stp>72110.T</stp>
        <stp>年初来高値</stp>
        <tr r="Y848" s="7"/>
      </tp>
      <tp>
        <v>4307</v>
        <stp/>
        <stp>Market</stp>
        <stp>STOCK</stp>
        <stp>79110.T</stp>
        <stp>年初来高値</stp>
        <tr r="Y954" s="7"/>
      </tp>
      <tp t="s">
        <v>表示銘柄数超過</v>
        <stp/>
        <stp>Market</stp>
        <stp>STOCK</stp>
        <stp>17110.T</stp>
        <stp>年初来高値</stp>
        <tr r="Y46" s="7"/>
      </tp>
      <tp t="s">
        <v>表示銘柄数超過</v>
        <stp/>
        <stp>Market</stp>
        <stp>STOCK</stp>
        <stp>13110.T</stp>
        <stp>年初来高値</stp>
        <tr r="Y5" s="7"/>
      </tp>
      <tp t="s">
        <v>表示銘柄数超過</v>
        <stp/>
        <stp>Market</stp>
        <stp>STOCK</stp>
        <stp>19110.T</stp>
        <stp>年初来高値</stp>
        <tr r="Y72" s="7"/>
      </tp>
      <tp t="s">
        <v>表示銘柄数超過</v>
        <stp/>
        <stp>Market</stp>
        <stp>STOCK</stp>
        <stp>39110.T</stp>
        <stp>年初来高値</stp>
        <tr r="Y390" s="7"/>
      </tp>
      <tp t="s">
        <v>表示銘柄数超過</v>
        <stp/>
        <stp>Market</stp>
        <stp>STOCK</stp>
        <stp>24110.T</stp>
        <stp>年初来高値</stp>
        <tr r="Y136" s="7"/>
      </tp>
      <tp t="s">
        <v>表示銘柄数超過</v>
        <stp/>
        <stp>Market</stp>
        <stp>STOCK</stp>
        <stp>95110.T</stp>
        <stp>年初来高値</stp>
        <tr r="Y1149" s="7"/>
      </tp>
      <tp>
        <v>1711</v>
        <stp/>
        <stp>Market</stp>
        <stp>STOCK</stp>
        <stp>85110.T</stp>
        <stp>年初来高値</stp>
        <tr r="Y1015" s="7"/>
      </tp>
      <tp>
        <v>6030</v>
        <stp/>
        <stp>Market</stp>
        <stp>STOCK</stp>
        <stp>54100.T</stp>
        <stp>年初来高値</stp>
        <tr r="Y593" s="7"/>
      </tp>
      <tp t="s">
        <v>表示銘柄数超過</v>
        <stp/>
        <stp>Market</stp>
        <stp>STOCK</stp>
        <stp>50100.T</stp>
        <stp>年初来高値</stp>
        <tr r="Y558" s="7"/>
      </tp>
      <tp>
        <v>1818.5</v>
        <stp/>
        <stp>Market</stp>
        <stp>STOCK</stp>
        <stp>51100.T</stp>
        <stp>年初来高値</stp>
        <tr r="Y569" s="7"/>
      </tp>
      <tp>
        <v>245</v>
        <stp/>
        <stp>Market</stp>
        <stp>STOCK</stp>
        <stp>76100.T</stp>
        <stp>年初来高値</stp>
        <tr r="Y912" s="7"/>
      </tp>
      <tp>
        <v>1803</v>
        <stp/>
        <stp>Market</stp>
        <stp>STOCK</stp>
        <stp>68100.T</stp>
        <stp>年初来高値</stp>
        <tr r="Y774" s="7"/>
      </tp>
      <tp t="s">
        <v>表示銘柄数超過</v>
        <stp/>
        <stp>Market</stp>
        <stp>STOCK</stp>
        <stp>37100.T</stp>
        <stp>年初来高値</stp>
        <tr r="Y344" s="7"/>
      </tp>
      <tp t="s">
        <v>表示銘柄数超過</v>
        <stp/>
        <stp>Market</stp>
        <stp>STOCK</stp>
        <stp>30100.T</stp>
        <stp>年初来高値</stp>
        <tr r="Y223" s="7"/>
      </tp>
      <tp t="s">
        <v>表示銘柄数超過</v>
        <stp/>
        <stp>Market</stp>
        <stp>STOCK</stp>
        <stp>38100.T</stp>
        <stp>年初来高値</stp>
        <tr r="Y362" s="7"/>
      </tp>
      <tp t="s">
        <v>表示銘柄数超過</v>
        <stp/>
        <stp>Market</stp>
        <stp>STOCK</stp>
        <stp>39100.T</stp>
        <stp>年初来高値</stp>
        <tr r="Y389" s="7"/>
      </tp>
      <tp t="s">
        <v>表示銘柄数超過</v>
        <stp/>
        <stp>Market</stp>
        <stp>STOCK</stp>
        <stp>24100.T</stp>
        <stp>年初来高値</stp>
        <tr r="Y135" s="7"/>
      </tp>
      <tp t="s">
        <v>表示銘柄数超過</v>
        <stp/>
        <stp>Market</stp>
        <stp>STOCK</stp>
        <stp>25100.T</stp>
        <stp>年初来高値</stp>
        <tr r="Y157" s="7"/>
      </tp>
      <tp t="s">
        <v>表示銘柄数超過</v>
        <stp/>
        <stp>Market</stp>
        <stp>STOCK</stp>
        <stp>28100.T</stp>
        <stp>年初来高値</stp>
        <tr r="Y201" s="7"/>
      </tp>
      <tp t="s">
        <v>表示銘柄数超過</v>
        <stp/>
        <stp>Market</stp>
        <stp>STOCK</stp>
        <stp>96100.T</stp>
        <stp>年初来高値</stp>
        <tr r="Y1159" s="7"/>
      </tp>
      <tp>
        <v>331.7</v>
        <stp/>
        <stp>Market</stp>
        <stp>STOCK</stp>
        <stp>84100.T</stp>
        <stp>年初来高値</stp>
        <tr r="Y1010" s="7"/>
      </tp>
      <tp t="s">
        <v>表示銘柄数超過</v>
        <stp/>
        <stp>Market</stp>
        <stp>STOCK</stp>
        <stp>50170.T</stp>
        <stp>年初来高値</stp>
        <tr r="Y560" s="7"/>
      </tp>
      <tp>
        <v>937</v>
        <stp/>
        <stp>Market</stp>
        <stp>STOCK</stp>
        <stp>73170.T</stp>
        <stp>年初来高値</stp>
        <tr r="Y874" s="7"/>
      </tp>
      <tp>
        <v>2641</v>
        <stp/>
        <stp>Market</stp>
        <stp>STOCK</stp>
        <stp>66170.T</stp>
        <stp>年初来高値</stp>
        <tr r="Y737" s="7"/>
      </tp>
      <tp t="s">
        <v>表示銘柄数超過</v>
        <stp/>
        <stp>Market</stp>
        <stp>STOCK</stp>
        <stp>39170.T</stp>
        <stp>年初来高値</stp>
        <tr r="Y391" s="7"/>
      </tp>
      <tp t="s">
        <v>表示銘柄数超過</v>
        <stp/>
        <stp>Market</stp>
        <stp>STOCK</stp>
        <stp>23170.T</stp>
        <stp>年初来高値</stp>
        <tr r="Y114" s="7"/>
      </tp>
      <tp t="s">
        <v>表示銘柄数超過</v>
        <stp/>
        <stp>Market</stp>
        <stp>STOCK</stp>
        <stp>94170.T</stp>
        <stp>年初来高値</stp>
        <tr r="Y1121" s="7"/>
      </tp>
      <tp>
        <v>679</v>
        <stp/>
        <stp>Market</stp>
        <stp>STOCK</stp>
        <stp>86170.T</stp>
        <stp>年初来高値</stp>
        <tr r="Y1031" s="7"/>
      </tp>
      <tp>
        <v>144</v>
        <stp/>
        <stp>Market</stp>
        <stp>STOCK</stp>
        <stp>52160.T</stp>
        <stp>年初来高値</stp>
        <tr r="Y576" s="7"/>
      </tp>
      <tp t="s">
        <v>表示銘柄数超過</v>
        <stp/>
        <stp>Market</stp>
        <stp>STOCK</stp>
        <stp>44160.T</stp>
        <stp>年初来高値</stp>
        <tr r="Y461" s="7"/>
      </tp>
      <tp t="s">
        <v>表示銘柄数超過</v>
        <stp/>
        <stp>Market</stp>
        <stp>STOCK</stp>
        <stp>47160.T</stp>
        <stp>年初来高値</stp>
        <tr r="Y525" s="7"/>
      </tp>
      <tp t="s">
        <v>表示銘柄数超過</v>
        <stp/>
        <stp>Market</stp>
        <stp>STOCK</stp>
        <stp>40160.T</stp>
        <stp>年初来高値</stp>
        <tr r="Y412" s="7"/>
      </tp>
      <tp t="s">
        <v>表示銘柄数超過</v>
        <stp/>
        <stp>Market</stp>
        <stp>STOCK</stp>
        <stp>43160.T</stp>
        <stp>年初来高値</stp>
        <tr r="Y442" s="7"/>
      </tp>
      <tp>
        <v>4150</v>
        <stp/>
        <stp>Market</stp>
        <stp>STOCK</stp>
        <stp>75160.T</stp>
        <stp>年初来高値</stp>
        <tr r="Y899" s="7"/>
      </tp>
      <tp>
        <v>2515</v>
        <stp/>
        <stp>Market</stp>
        <stp>STOCK</stp>
        <stp>71160.T</stp>
        <stp>年初来高値</stp>
        <tr r="Y827" s="7"/>
      </tp>
      <tp t="s">
        <v>表示銘柄数超過</v>
        <stp/>
        <stp>Market</stp>
        <stp>STOCK</stp>
        <stp>17160.T</stp>
        <stp>年初来高値</stp>
        <tr r="Y48" s="7"/>
      </tp>
      <tp t="s">
        <v>表示銘柄数超過</v>
        <stp/>
        <stp>Market</stp>
        <stp>STOCK</stp>
        <stp>33160.T</stp>
        <stp>年初来高値</stp>
        <tr r="Y277" s="7"/>
      </tp>
      <tp t="s">
        <v>表示銘柄数超過</v>
        <stp/>
        <stp>Market</stp>
        <stp>STOCK</stp>
        <stp>38160.T</stp>
        <stp>年初来高値</stp>
        <tr r="Y365" s="7"/>
      </tp>
      <tp t="s">
        <v>表示銘柄数超過</v>
        <stp/>
        <stp>Market</stp>
        <stp>STOCK</stp>
        <stp>25160.T</stp>
        <stp>年初来高値</stp>
        <tr r="Y158" s="7"/>
      </tp>
      <tp t="s">
        <v>表示銘柄数超過</v>
        <stp/>
        <stp>Market</stp>
        <stp>STOCK</stp>
        <stp>22160.T</stp>
        <stp>年初来高値</stp>
        <tr r="Y104" s="7"/>
      </tp>
      <tp>
        <v>1149</v>
        <stp/>
        <stp>Market</stp>
        <stp>STOCK</stp>
        <stp>84160.T</stp>
        <stp>年初来高値</stp>
        <tr r="Y1011" s="7"/>
      </tp>
      <tp>
        <v>588</v>
        <stp/>
        <stp>Market</stp>
        <stp>STOCK</stp>
        <stp>86160.T</stp>
        <stp>年初来高値</stp>
        <tr r="Y1030" s="7"/>
      </tp>
      <tp>
        <v>584</v>
        <stp/>
        <stp>Market</stp>
        <stp>STOCK</stp>
        <stp>80160.T</stp>
        <stp>年初来高値</stp>
        <tr r="Y967" s="7"/>
      </tp>
      <tp>
        <v>7849</v>
        <stp/>
        <stp>Market</stp>
        <stp>STOCK</stp>
        <stp>83160.T</stp>
        <stp>年初来高値</stp>
        <tr r="Y1003" s="7"/>
      </tp>
      <tp t="s">
        <v>表示銘柄数超過</v>
        <stp/>
        <stp>Market</stp>
        <stp>STOCK</stp>
        <stp>50150.T</stp>
        <stp>年初来高値</stp>
        <tr r="Y559" s="7"/>
      </tp>
      <tp>
        <v>226</v>
        <stp/>
        <stp>Market</stp>
        <stp>STOCK</stp>
        <stp>76150.T</stp>
        <stp>年初来高値</stp>
        <tr r="Y913" s="7"/>
      </tp>
      <tp t="s">
        <v>表示銘柄数超過</v>
        <stp/>
        <stp>Market</stp>
        <stp>STOCK</stp>
        <stp>16150.T</stp>
        <stp>年初来高値</stp>
        <tr r="Y38" s="7"/>
      </tp>
      <tp t="s">
        <v>表示銘柄数超過</v>
        <stp/>
        <stp>Market</stp>
        <stp>STOCK</stp>
        <stp>18150.T</stp>
        <stp>年初来高値</stp>
        <tr r="Y61" s="7"/>
      </tp>
      <tp t="s">
        <v>表示銘柄数超過</v>
        <stp/>
        <stp>Market</stp>
        <stp>STOCK</stp>
        <stp>33150.T</stp>
        <stp>年初来高値</stp>
        <tr r="Y276" s="7"/>
      </tp>
      <tp t="s">
        <v>表示銘柄数超過</v>
        <stp/>
        <stp>Market</stp>
        <stp>STOCK</stp>
        <stp>38150.T</stp>
        <stp>年初来高値</stp>
        <tr r="Y364" s="7"/>
      </tp>
      <tp t="s">
        <v>表示銘柄数超過</v>
        <stp/>
        <stp>Market</stp>
        <stp>STOCK</stp>
        <stp>24150.T</stp>
        <stp>年初来高値</stp>
        <tr r="Y138" s="7"/>
      </tp>
      <tp>
        <v>86</v>
        <stp/>
        <stp>Market</stp>
        <stp>STOCK</stp>
        <stp>23150.T</stp>
        <stp>年初来高値</stp>
        <tr r="Y113" s="7"/>
      </tp>
      <tp t="s">
        <v>表示銘柄数超過</v>
        <stp/>
        <stp>Market</stp>
        <stp>STOCK</stp>
        <stp>91150.T</stp>
        <stp>年初来高値</stp>
        <tr r="Y1096" s="7"/>
      </tp>
      <tp>
        <v>405</v>
        <stp/>
        <stp>Market</stp>
        <stp>STOCK</stp>
        <stp>85150.T</stp>
        <stp>年初来高値</stp>
        <tr r="Y1016" s="7"/>
      </tp>
      <tp t="s">
        <v>表示銘柄数超過</v>
        <stp/>
        <stp>Market</stp>
        <stp>STOCK</stp>
        <stp>44140.T</stp>
        <stp>年初来高値</stp>
        <tr r="Y460" s="7"/>
      </tp>
      <tp t="s">
        <v>表示銘柄数超過</v>
        <stp/>
        <stp>Market</stp>
        <stp>STOCK</stp>
        <stp>47140.T</stp>
        <stp>年初来高値</stp>
        <tr r="Y524" s="7"/>
      </tp>
      <tp t="s">
        <v>表示銘柄数超過</v>
        <stp/>
        <stp>Market</stp>
        <stp>STOCK</stp>
        <stp>48140.T</stp>
        <stp>年初来高値</stp>
        <tr r="Y537" s="7"/>
      </tp>
      <tp>
        <v>980</v>
        <stp/>
        <stp>Market</stp>
        <stp>STOCK</stp>
        <stp>75140.T</stp>
        <stp>年初来高値</stp>
        <tr r="Y898" s="7"/>
      </tp>
      <tp>
        <v>1546</v>
        <stp/>
        <stp>Market</stp>
        <stp>STOCK</stp>
        <stp>70140.T</stp>
        <stp>年初来高値</stp>
        <tr r="Y809" s="7"/>
      </tp>
      <tp>
        <v>3350</v>
        <stp/>
        <stp>Market</stp>
        <stp>STOCK</stp>
        <stp>72140.T</stp>
        <stp>年初来高値</stp>
        <tr r="Y851" s="7"/>
      </tp>
      <tp>
        <v>725</v>
        <stp/>
        <stp>Market</stp>
        <stp>STOCK</stp>
        <stp>78140.T</stp>
        <stp>年初来高値</stp>
        <tr r="Y940" s="7"/>
      </tp>
      <tp>
        <v>2380</v>
        <stp/>
        <stp>Market</stp>
        <stp>STOCK</stp>
        <stp>68140.T</stp>
        <stp>年初来高値</stp>
        <tr r="Y775" s="7"/>
      </tp>
      <tp t="s">
        <v>表示銘柄数超過</v>
        <stp/>
        <stp>Market</stp>
        <stp>STOCK</stp>
        <stp>15140.T</stp>
        <stp>年初来高値</stp>
        <tr r="Y30" s="7"/>
      </tp>
      <tp t="s">
        <v>表示銘柄数超過</v>
        <stp/>
        <stp>Market</stp>
        <stp>STOCK</stp>
        <stp>19140.T</stp>
        <stp>年初来高値</stp>
        <tr r="Y73" s="7"/>
      </tp>
      <tp t="s">
        <v>表示銘柄数超過</v>
        <stp/>
        <stp>Market</stp>
        <stp>STOCK</stp>
        <stp>38140.T</stp>
        <stp>年初来高値</stp>
        <tr r="Y363" s="7"/>
      </tp>
      <tp t="s">
        <v>表示銘柄数超過</v>
        <stp/>
        <stp>Market</stp>
        <stp>STOCK</stp>
        <stp>21140.T</stp>
        <stp>年初来高値</stp>
        <tr r="Y89" s="7"/>
      </tp>
      <tp>
        <v>3969</v>
        <stp/>
        <stp>Market</stp>
        <stp>STOCK</stp>
        <stp>29140.T</stp>
        <stp>年初来高値</stp>
        <tr r="Y214" s="7"/>
      </tp>
      <tp t="s">
        <v>表示銘柄数超過</v>
        <stp/>
        <stp>Market</stp>
        <stp>STOCK</stp>
        <stp>94140.T</stp>
        <stp>年初来高値</stp>
        <tr r="Y1120" s="7"/>
      </tp>
      <tp t="s">
        <v>表示銘柄数超過</v>
        <stp/>
        <stp>Market</stp>
        <stp>STOCK</stp>
        <stp>95140.T</stp>
        <stp>年初来高値</stp>
        <tr r="Y1150" s="7"/>
      </tp>
      <tp>
        <v>380</v>
        <stp/>
        <stp>Market</stp>
        <stp>STOCK</stp>
        <stp>86140.T</stp>
        <stp>年初来高値</stp>
        <tr r="Y1029" s="7"/>
      </tp>
      <tp t="s">
        <v>表示銘柄数超過</v>
        <stp/>
        <stp>Market</stp>
        <stp>STOCK</stp>
        <stp>50190.T</stp>
        <stp>年初来高値</stp>
        <tr r="Y561" s="7"/>
      </tp>
      <tp t="s">
        <v>表示銘柄数超過</v>
        <stp/>
        <stp>Market</stp>
        <stp>STOCK</stp>
        <stp>44190.T</stp>
        <stp>年初来高値</stp>
        <tr r="Y462" s="7"/>
      </tp>
      <tp t="s">
        <v>表示銘柄数超過</v>
        <stp/>
        <stp>Market</stp>
        <stp>STOCK</stp>
        <stp>46190.T</stp>
        <stp>年初来高値</stp>
        <tr r="Y511" s="7"/>
      </tp>
      <tp>
        <v>1935</v>
        <stp/>
        <stp>Market</stp>
        <stp>STOCK</stp>
        <stp>74190.T</stp>
        <stp>年初来高値</stp>
        <tr r="Y887" s="7"/>
      </tp>
      <tp>
        <v>370</v>
        <stp/>
        <stp>Market</stp>
        <stp>STOCK</stp>
        <stp>77190.T</stp>
        <stp>年初来高値</stp>
        <tr r="Y922" s="7"/>
      </tp>
      <tp>
        <v>175</v>
        <stp/>
        <stp>Market</stp>
        <stp>STOCK</stp>
        <stp>79190.T</stp>
        <stp>年初来高値</stp>
        <tr r="Y956" s="7"/>
      </tp>
      <tp>
        <v>1555</v>
        <stp/>
        <stp>Market</stp>
        <stp>STOCK</stp>
        <stp>66190.T</stp>
        <stp>年初来高値</stp>
        <tr r="Y738" s="7"/>
      </tp>
      <tp t="s">
        <v>表示銘柄数超過</v>
        <stp/>
        <stp>Market</stp>
        <stp>STOCK</stp>
        <stp>14190.T</stp>
        <stp>年初来高値</stp>
        <tr r="Y21" s="7"/>
      </tp>
      <tp t="s">
        <v>表示銘柄数超過</v>
        <stp/>
        <stp>Market</stp>
        <stp>STOCK</stp>
        <stp>17190.T</stp>
        <stp>年初来高値</stp>
        <tr r="Y49" s="7"/>
      </tp>
      <tp t="s">
        <v>表示銘柄数超過</v>
        <stp/>
        <stp>Market</stp>
        <stp>STOCK</stp>
        <stp>13190.T</stp>
        <stp>年初来高値</stp>
        <tr r="Y6" s="7"/>
      </tp>
      <tp t="s">
        <v>表示銘柄数超過</v>
        <stp/>
        <stp>Market</stp>
        <stp>STOCK</stp>
        <stp>37190.T</stp>
        <stp>年初来高値</stp>
        <tr r="Y345" s="7"/>
      </tp>
      <tp t="s">
        <v>表示銘柄数超過</v>
        <stp/>
        <stp>Market</stp>
        <stp>STOCK</stp>
        <stp>94190.T</stp>
        <stp>年初来高値</stp>
        <tr r="Y1122" s="7"/>
      </tp>
      <tp t="s">
        <v>表示銘柄数超過</v>
        <stp/>
        <stp>Market</stp>
        <stp>STOCK</stp>
        <stp>95190.T</stp>
        <stp>年初来高値</stp>
        <tr r="Y1151" s="7"/>
      </tp>
      <tp t="s">
        <v>表示銘柄数超過</v>
        <stp/>
        <stp>Market</stp>
        <stp>STOCK</stp>
        <stp>91190.T</stp>
        <stp>年初来高値</stp>
        <tr r="Y1097" s="7"/>
      </tp>
      <tp t="s">
        <v>表示銘柄数超過</v>
        <stp/>
        <stp>Market</stp>
        <stp>STOCK</stp>
        <stp>99190.T</stp>
        <stp>年初来高値</stp>
        <tr r="Y1180" s="7"/>
      </tp>
      <tp>
        <v>255</v>
        <stp/>
        <stp>Market</stp>
        <stp>STOCK</stp>
        <stp>79180.T</stp>
        <stp>年初来高値</stp>
        <tr r="Y955" s="7"/>
      </tp>
      <tp>
        <v>1589</v>
        <stp/>
        <stp>Market</stp>
        <stp>STOCK</stp>
        <stp>64180.T</stp>
        <stp>年初来高値</stp>
        <tr r="Y700" s="7"/>
      </tp>
      <tp>
        <v>865</v>
        <stp/>
        <stp>Market</stp>
        <stp>STOCK</stp>
        <stp>62180.T</stp>
        <stp>年初来高値</stp>
        <tr r="Y678" s="7"/>
      </tp>
      <tp t="s">
        <v>表示銘柄数超過</v>
        <stp/>
        <stp>Market</stp>
        <stp>STOCK</stp>
        <stp>14180.T</stp>
        <stp>年初来高値</stp>
        <tr r="Y20" s="7"/>
      </tp>
      <tp t="s">
        <v>表示銘柄数超過</v>
        <stp/>
        <stp>Market</stp>
        <stp>STOCK</stp>
        <stp>25180.T</stp>
        <stp>年初来高値</stp>
        <tr r="Y159" s="7"/>
      </tp>
      <tp>
        <v>289</v>
        <stp/>
        <stp>Market</stp>
        <stp>STOCK</stp>
        <stp>85180.T</stp>
        <stp>年初来高値</stp>
        <tr r="Y1017" s="7"/>
      </tp>
      <tp>
        <v>717</v>
        <stp/>
        <stp>Market</stp>
        <stp>STOCK</stp>
        <stp>81180.T</stp>
        <stp>年初来高値</stp>
        <tr r="Y979" s="7"/>
      </tp>
      <tp t="s">
        <v>表示銘柄数超過</v>
        <stp/>
        <stp>Market</stp>
        <stp>STOCK</stp>
        <stp>88180.T</stp>
        <stp>年初来高値</stp>
        <tr r="Y1053" s="7"/>
      </tp>
      <tp t="s">
        <v>表示銘柄数超過</v>
        <stp/>
        <stp>Market</stp>
        <stp>STOCK</stp>
        <stp>89180.T</stp>
        <stp>年初来高値</stp>
        <tr r="Y1064" s="7"/>
      </tp>
      <tp>
        <v>394</v>
        <stp/>
        <stp>Market</stp>
        <stp>STOCK</stp>
        <stp>55630.T</stp>
        <stp>年初来高値</stp>
        <tr r="Y599" s="7"/>
      </tp>
      <tp t="s">
        <v>表示銘柄数超過</v>
        <stp/>
        <stp>Market</stp>
        <stp>STOCK</stp>
        <stp>45630.T</stp>
        <stp>年初来高値</stp>
        <tr r="Y486" s="7"/>
      </tp>
      <tp t="s">
        <v>表示銘柄数超過</v>
        <stp/>
        <stp>Market</stp>
        <stp>STOCK</stp>
        <stp>40630.T</stp>
        <stp>年初来高値</stp>
        <tr r="Y415" s="7"/>
      </tp>
      <tp t="s">
        <v>表示銘柄数超過</v>
        <stp/>
        <stp>Market</stp>
        <stp>STOCK</stp>
        <stp>49630.T</stp>
        <stp>年初来高値</stp>
        <tr r="Y555" s="7"/>
      </tp>
      <tp>
        <v>1965</v>
        <stp/>
        <stp>Market</stp>
        <stp>STOCK</stp>
        <stp>70630.T</stp>
        <stp>年初来高値</stp>
        <tr r="Y821" s="7"/>
      </tp>
      <tp>
        <v>1860</v>
        <stp/>
        <stp>Market</stp>
        <stp>STOCK</stp>
        <stp>71630.T</stp>
        <stp>年初来高値</stp>
        <tr r="Y833" s="7"/>
      </tp>
      <tp>
        <v>1395</v>
        <stp/>
        <stp>Market</stp>
        <stp>STOCK</stp>
        <stp>68630.T</stp>
        <stp>年初来高値</stp>
        <tr r="Y780" s="7"/>
      </tp>
      <tp t="s">
        <v>表示銘柄数超過</v>
        <stp/>
        <stp>Market</stp>
        <stp>STOCK</stp>
        <stp>15630.T</stp>
        <stp>年初来高値</stp>
        <tr r="Y33" s="7"/>
      </tp>
      <tp t="s">
        <v>表示銘柄数超過</v>
        <stp/>
        <stp>Market</stp>
        <stp>STOCK</stp>
        <stp>36630.T</stp>
        <stp>年初来高値</stp>
        <tr r="Y326" s="7"/>
      </tp>
      <tp t="s">
        <v>表示銘柄数超過</v>
        <stp/>
        <stp>Market</stp>
        <stp>STOCK</stp>
        <stp>38630.T</stp>
        <stp>年初来高値</stp>
        <tr r="Y380" s="7"/>
      </tp>
      <tp t="s">
        <v>表示銘柄数超過</v>
        <stp/>
        <stp>Market</stp>
        <stp>STOCK</stp>
        <stp>39630.T</stp>
        <stp>年初来高値</stp>
        <tr r="Y400" s="7"/>
      </tp>
      <tp t="s">
        <v>表示銘柄数超過</v>
        <stp/>
        <stp>Market</stp>
        <stp>STOCK</stp>
        <stp>25630.T</stp>
        <stp>年初来高値</stp>
        <tr r="Y161" s="7"/>
      </tp>
      <tp t="s">
        <v>表示銘柄数超過</v>
        <stp/>
        <stp>Market</stp>
        <stp>STOCK</stp>
        <stp>90630.T</stp>
        <stp>年初来高値</stp>
        <tr r="Y1090" s="7"/>
      </tp>
      <tp t="s">
        <v>表示銘柄数超過</v>
        <stp/>
        <stp>Market</stp>
        <stp>STOCK</stp>
        <stp>92630.T</stp>
        <stp>年初来高値</stp>
        <tr r="Y1104" s="7"/>
      </tp>
      <tp>
        <v>964</v>
        <stp/>
        <stp>Market</stp>
        <stp>STOCK</stp>
        <stp>52620.T</stp>
        <stp>年初来高値</stp>
        <tr r="Y581" s="7"/>
      </tp>
      <tp>
        <v>977</v>
        <stp/>
        <stp>Market</stp>
        <stp>STOCK</stp>
        <stp>77620.T</stp>
        <stp>年初来高値</stp>
        <tr r="Y930" s="7"/>
      </tp>
      <tp>
        <v>1125</v>
        <stp/>
        <stp>Market</stp>
        <stp>STOCK</stp>
        <stp>70620.T</stp>
        <stp>年初来高値</stp>
        <tr r="Y820" s="7"/>
      </tp>
      <tp>
        <v>7935</v>
        <stp/>
        <stp>Market</stp>
        <stp>STOCK</stp>
        <stp>67620.T</stp>
        <stp>年初来高値</stp>
        <tr r="Y768" s="7"/>
      </tp>
      <tp>
        <v>1565</v>
        <stp/>
        <stp>Market</stp>
        <stp>STOCK</stp>
        <stp>68620.T</stp>
        <stp>年初来高値</stp>
        <tr r="Y779" s="7"/>
      </tp>
      <tp t="s">
        <v>表示銘柄数超過</v>
        <stp/>
        <stp>Market</stp>
        <stp>STOCK</stp>
        <stp>27620.T</stp>
        <stp>年初来高値</stp>
        <tr r="Y193" s="7"/>
      </tp>
      <tp t="s">
        <v>表示銘柄数超過</v>
        <stp/>
        <stp>Market</stp>
        <stp>STOCK</stp>
        <stp>21620.T</stp>
        <stp>年初来高値</stp>
        <tr r="Y99" s="7"/>
      </tp>
      <tp>
        <v>1200</v>
        <stp/>
        <stp>Market</stp>
        <stp>STOCK</stp>
        <stp>84620.T</stp>
        <stp>年初来高値</stp>
        <tr r="Y1012" s="7"/>
      </tp>
      <tp>
        <v>283</v>
        <stp/>
        <stp>Market</stp>
        <stp>STOCK</stp>
        <stp>85620.T</stp>
        <stp>年初来高値</stp>
        <tr r="Y1019" s="7"/>
      </tp>
      <tp>
        <v>630</v>
        <stp/>
        <stp>Market</stp>
        <stp>STOCK</stp>
        <stp>71610.T</stp>
        <stp>年初来高値</stp>
        <tr r="Y832" s="7"/>
      </tp>
      <tp>
        <v>1876</v>
        <stp/>
        <stp>Market</stp>
        <stp>STOCK</stp>
        <stp>72610.T</stp>
        <stp>年初来高値</stp>
        <tr r="Y863" s="7"/>
      </tp>
      <tp t="s">
        <v>表示銘柄数超過</v>
        <stp/>
        <stp>Market</stp>
        <stp>STOCK</stp>
        <stp>34610.T</stp>
        <stp>年初来高値</stp>
        <tr r="Y301" s="7"/>
      </tp>
      <tp t="s">
        <v>表示銘柄数超過</v>
        <stp/>
        <stp>Market</stp>
        <stp>STOCK</stp>
        <stp>35610.T</stp>
        <stp>年初来高値</stp>
        <tr r="Y309" s="7"/>
      </tp>
      <tp t="s">
        <v>表示銘柄数超過</v>
        <stp/>
        <stp>Market</stp>
        <stp>STOCK</stp>
        <stp>32610.T</stp>
        <stp>年初来高値</stp>
        <tr r="Y265" s="7"/>
      </tp>
      <tp t="s">
        <v>表示銘柄数超過</v>
        <stp/>
        <stp>Market</stp>
        <stp>STOCK</stp>
        <stp>38610.T</stp>
        <stp>年初来高値</stp>
        <tr r="Y379" s="7"/>
      </tp>
      <tp t="s">
        <v>表示銘柄数超過</v>
        <stp/>
        <stp>Market</stp>
        <stp>STOCK</stp>
        <stp>24610.T</stp>
        <stp>年初来高値</stp>
        <tr r="Y147" s="7"/>
      </tp>
      <tp t="s">
        <v>表示銘柄数超過</v>
        <stp/>
        <stp>Market</stp>
        <stp>STOCK</stp>
        <stp>93610.T</stp>
        <stp>年初来高値</stp>
        <tr r="Y1111" s="7"/>
      </tp>
      <tp t="s">
        <v>表示銘柄数超過</v>
        <stp/>
        <stp>Market</stp>
        <stp>STOCK</stp>
        <stp>49600.T</stp>
        <stp>年初来高値</stp>
        <tr r="Y554" s="7"/>
      </tp>
      <tp>
        <v>1280</v>
        <stp/>
        <stp>Market</stp>
        <stp>STOCK</stp>
        <stp>70600.T</stp>
        <stp>年初来高値</stp>
        <tr r="Y819" s="7"/>
      </tp>
      <tp t="s">
        <v>表示銘柄数超過</v>
        <stp/>
        <stp>Market</stp>
        <stp>STOCK</stp>
        <stp>13600.T</stp>
        <stp>年初来高値</stp>
        <tr r="Y13" s="7"/>
      </tp>
      <tp t="s">
        <v>表示銘柄数超過</v>
        <stp/>
        <stp>Market</stp>
        <stp>STOCK</stp>
        <stp>19600.T</stp>
        <stp>年初来高値</stp>
        <tr r="Y82" s="7"/>
      </tp>
      <tp t="s">
        <v>表示銘柄数超過</v>
        <stp/>
        <stp>Market</stp>
        <stp>STOCK</stp>
        <stp>36600.T</stp>
        <stp>年初来高値</stp>
        <tr r="Y325" s="7"/>
      </tp>
      <tp t="s">
        <v>表示銘柄数超過</v>
        <stp/>
        <stp>Market</stp>
        <stp>STOCK</stp>
        <stp>37600.T</stp>
        <stp>年初来高値</stp>
        <tr r="Y352" s="7"/>
      </tp>
      <tp t="s">
        <v>表示銘柄数超過</v>
        <stp/>
        <stp>Market</stp>
        <stp>STOCK</stp>
        <stp>21600.T</stp>
        <stp>年初来高値</stp>
        <tr r="Y98" s="7"/>
      </tp>
      <tp t="s">
        <v>表示銘柄数超過</v>
        <stp/>
        <stp>Market</stp>
        <stp>STOCK</stp>
        <stp>95600.T</stp>
        <stp>年初来高値</stp>
        <tr r="Y1157" s="7"/>
      </tp>
      <tp t="s">
        <v>表示銘柄数超過</v>
        <stp/>
        <stp>Market</stp>
        <stp>STOCK</stp>
        <stp>97600.T</stp>
        <stp>年初来高値</stp>
        <tr r="Y1164" s="7"/>
      </tp>
      <tp t="s">
        <v>表示銘柄数超過</v>
        <stp/>
        <stp>Market</stp>
        <stp>STOCK</stp>
        <stp>46670.T</stp>
        <stp>年初来高値</stp>
        <tr r="Y516" s="7"/>
        <tr r="Y517" s="7"/>
      </tp>
      <tp t="s">
        <v>表示銘柄数超過</v>
        <stp/>
        <stp>Market</stp>
        <stp>STOCK</stp>
        <stp>47670.T</stp>
        <stp>年初来高値</stp>
        <tr r="Y531" s="7"/>
      </tp>
      <tp t="s">
        <v>表示銘柄数超過</v>
        <stp/>
        <stp>Market</stp>
        <stp>STOCK</stp>
        <stp>41670.T</stp>
        <stp>年初来高値</stp>
        <tr r="Y418" s="7"/>
      </tp>
      <tp>
        <v>600</v>
        <stp/>
        <stp>Market</stp>
        <stp>STOCK</stp>
        <stp>75670.T</stp>
        <stp>年初来高値</stp>
        <tr r="Y904" s="7"/>
      </tp>
      <tp>
        <v>478.6</v>
        <stp/>
        <stp>Market</stp>
        <stp>STOCK</stp>
        <stp>71670.T</stp>
        <stp>年初来高値</stp>
        <tr r="Y834" s="7"/>
      </tp>
      <tp>
        <v>1742</v>
        <stp/>
        <stp>Market</stp>
        <stp>STOCK</stp>
        <stp>72670.T</stp>
        <stp>年初来高値</stp>
        <tr r="Y864" s="7"/>
      </tp>
      <tp>
        <v>2595</v>
        <stp/>
        <stp>Market</stp>
        <stp>STOCK</stp>
        <stp>78670.T</stp>
        <stp>年初来高値</stp>
        <tr r="Y949" s="7"/>
      </tp>
      <tp>
        <v>412</v>
        <stp/>
        <stp>Market</stp>
        <stp>STOCK</stp>
        <stp>64670.T</stp>
        <stp>年初来高値</stp>
        <tr r="Y704" s="7"/>
      </tp>
      <tp>
        <v>1255</v>
        <stp/>
        <stp>Market</stp>
        <stp>STOCK</stp>
        <stp>61670.T</stp>
        <stp>年初来高値</stp>
        <tr r="Y662" s="7"/>
      </tp>
      <tp>
        <v>764</v>
        <stp/>
        <stp>Market</stp>
        <stp>STOCK</stp>
        <stp>68670.T</stp>
        <stp>年初来高値</stp>
        <tr r="Y781" s="7"/>
      </tp>
      <tp t="s">
        <v>表示銘柄数超過</v>
        <stp/>
        <stp>Market</stp>
        <stp>STOCK</stp>
        <stp>36670.T</stp>
        <stp>年初来高値</stp>
        <tr r="Y330" s="7"/>
      </tp>
      <tp t="s">
        <v>表示銘柄数超過</v>
        <stp/>
        <stp>Market</stp>
        <stp>STOCK</stp>
        <stp>25670.T</stp>
        <stp>年初来高値</stp>
        <tr r="Y162" s="7"/>
      </tp>
      <tp t="s">
        <v>表示銘柄数超過</v>
        <stp/>
        <stp>Market</stp>
        <stp>STOCK</stp>
        <stp>26670.T</stp>
        <stp>年初来高値</stp>
        <tr r="Y178" s="7"/>
      </tp>
      <tp t="s">
        <v>表示銘柄数超過</v>
        <stp/>
        <stp>Market</stp>
        <stp>STOCK</stp>
        <stp>27670.T</stp>
        <stp>年初来高値</stp>
        <tr r="Y195" s="7"/>
      </tp>
      <tp>
        <v>3595</v>
        <stp/>
        <stp>Market</stp>
        <stp>STOCK</stp>
        <stp>82670.T</stp>
        <stp>年初来高値</stp>
        <tr r="Y1001" s="7"/>
      </tp>
      <tp>
        <v>3235</v>
        <stp/>
        <stp>Market</stp>
        <stp>STOCK</stp>
        <stp>59660.T</stp>
        <stp>年初来高値</stp>
        <tr r="Y628" s="7"/>
      </tp>
      <tp t="s">
        <v>表示銘柄数超過</v>
        <stp/>
        <stp>Market</stp>
        <stp>STOCK</stp>
        <stp>47660.T</stp>
        <stp>年初来高値</stp>
        <tr r="Y530" s="7"/>
      </tp>
      <tp>
        <v>778</v>
        <stp/>
        <stp>Market</stp>
        <stp>STOCK</stp>
        <stp>66660.T</stp>
        <stp>年初来高値</stp>
        <tr r="Y750" s="7"/>
      </tp>
      <tp>
        <v>690</v>
        <stp/>
        <stp>Market</stp>
        <stp>STOCK</stp>
        <stp>61660.T</stp>
        <stp>年初来高値</stp>
        <tr r="Y661" s="7"/>
      </tp>
      <tp>
        <v>432</v>
        <stp/>
        <stp>Market</stp>
        <stp>STOCK</stp>
        <stp>63660.T</stp>
        <stp>年初来高値</stp>
        <tr r="Y695" s="7"/>
      </tp>
      <tp t="s">
        <v>表示銘柄数超過</v>
        <stp/>
        <stp>Market</stp>
        <stp>STOCK</stp>
        <stp>13660.T</stp>
        <stp>年初来高値</stp>
        <tr r="Y14" s="7"/>
      </tp>
      <tp t="s">
        <v>表示銘柄数超過</v>
        <stp/>
        <stp>Market</stp>
        <stp>STOCK</stp>
        <stp>19660.T</stp>
        <stp>年初来高値</stp>
        <tr r="Y84" s="7"/>
      </tp>
      <tp t="s">
        <v>表示銘柄数超過</v>
        <stp/>
        <stp>Market</stp>
        <stp>STOCK</stp>
        <stp>36660.T</stp>
        <stp>年初来高値</stp>
        <tr r="Y329" s="7"/>
      </tp>
      <tp t="s">
        <v>表示銘柄数超過</v>
        <stp/>
        <stp>Market</stp>
        <stp>STOCK</stp>
        <stp>32660.T</stp>
        <stp>年初来高値</stp>
        <tr r="Y267" s="7"/>
      </tp>
      <tp t="s">
        <v>表示銘柄数超過</v>
        <stp/>
        <stp>Market</stp>
        <stp>STOCK</stp>
        <stp>26660.T</stp>
        <stp>年初来高値</stp>
        <tr r="Y177" s="7"/>
      </tp>
      <tp t="s">
        <v>表示銘柄数超過</v>
        <stp/>
        <stp>Market</stp>
        <stp>STOCK</stp>
        <stp>94660.T</stp>
        <stp>年初来高値</stp>
        <tr r="Y1134" s="7"/>
      </tp>
      <tp t="s">
        <v>表示銘柄数超過</v>
        <stp/>
        <stp>Market</stp>
        <stp>STOCK</stp>
        <stp>87660.T</stp>
        <stp>年初来高値</stp>
        <tr r="Y1045" s="7"/>
      </tp>
      <tp>
        <v>117</v>
        <stp/>
        <stp>Market</stp>
        <stp>STOCK</stp>
        <stp>81660.T</stp>
        <stp>年初来高値</stp>
        <tr r="Y986" s="7"/>
      </tp>
      <tp t="s">
        <v>表示銘柄数超過</v>
        <stp/>
        <stp>Market</stp>
        <stp>STOCK</stp>
        <stp>45650.T</stp>
        <stp>年初来高値</stp>
        <tr r="Y488" s="7"/>
      </tp>
      <tp t="s">
        <v>表示銘柄数超過</v>
        <stp/>
        <stp>Market</stp>
        <stp>STOCK</stp>
        <stp>41650.T</stp>
        <stp>年初来高値</stp>
        <tr r="Y417" s="7"/>
      </tp>
      <tp>
        <v>596</v>
        <stp/>
        <stp>Market</stp>
        <stp>STOCK</stp>
        <stp>61650.T</stp>
        <stp>年初来高値</stp>
        <tr r="Y660" s="7"/>
      </tp>
      <tp t="s">
        <v>表示銘柄数超過</v>
        <stp/>
        <stp>Market</stp>
        <stp>STOCK</stp>
        <stp>19650.T</stp>
        <stp>年初来高値</stp>
        <tr r="Y83" s="7"/>
      </tp>
      <tp t="s">
        <v>表示銘柄数超過</v>
        <stp/>
        <stp>Market</stp>
        <stp>STOCK</stp>
        <stp>36650.T</stp>
        <stp>年初来高値</stp>
        <tr r="Y328" s="7"/>
      </tp>
      <tp t="s">
        <v>表示銘柄数超過</v>
        <stp/>
        <stp>Market</stp>
        <stp>STOCK</stp>
        <stp>38650.T</stp>
        <stp>年初来高値</stp>
        <tr r="Y382" s="7"/>
      </tp>
      <tp t="s">
        <v>表示銘柄数超過</v>
        <stp/>
        <stp>Market</stp>
        <stp>STOCK</stp>
        <stp>39650.T</stp>
        <stp>年初来高値</stp>
        <tr r="Y401" s="7"/>
      </tp>
      <tp t="s">
        <v>表示銘柄数超過</v>
        <stp/>
        <stp>Market</stp>
        <stp>STOCK</stp>
        <stp>28650.T</stp>
        <stp>年初来高値</stp>
        <tr r="Y209" s="7"/>
      </tp>
      <tp t="s">
        <v>表示銘柄数超過</v>
        <stp/>
        <stp>Market</stp>
        <stp>STOCK</stp>
        <stp>97650.T</stp>
        <stp>年初来高値</stp>
        <tr r="Y1165" s="7"/>
      </tp>
      <tp t="s">
        <v>表示銘柄数超過</v>
        <stp/>
        <stp>Market</stp>
        <stp>STOCK</stp>
        <stp>45640.T</stp>
        <stp>年初来高値</stp>
        <tr r="Y487" s="7"/>
      </tp>
      <tp t="s">
        <v>表示銘柄数超過</v>
        <stp/>
        <stp>Market</stp>
        <stp>STOCK</stp>
        <stp>46640.T</stp>
        <stp>年初来高値</stp>
        <tr r="Y515" s="7"/>
      </tp>
      <tp t="s">
        <v>表示銘柄数超過</v>
        <stp/>
        <stp>Market</stp>
        <stp>STOCK</stp>
        <stp>42640.T</stp>
        <stp>年初来高値</stp>
        <tr r="Y433" s="7"/>
      </tp>
      <tp>
        <v>2734</v>
        <stp/>
        <stp>Market</stp>
        <stp>STOCK</stp>
        <stp>63640.T</stp>
        <stp>年初来高値</stp>
        <tr r="Y694" s="7"/>
      </tp>
      <tp t="s">
        <v>表示銘柄数超過</v>
        <stp/>
        <stp>Market</stp>
        <stp>STOCK</stp>
        <stp>34640.T</stp>
        <stp>年初来高値</stp>
        <tr r="Y302" s="7"/>
      </tp>
      <tp t="s">
        <v>表示銘柄数超過</v>
        <stp/>
        <stp>Market</stp>
        <stp>STOCK</stp>
        <stp>36640.T</stp>
        <stp>年初来高値</stp>
        <tr r="Y327" s="7"/>
      </tp>
      <tp t="s">
        <v>表示銘柄数超過</v>
        <stp/>
        <stp>Market</stp>
        <stp>STOCK</stp>
        <stp>30640.T</stp>
        <stp>年初来高値</stp>
        <tr r="Y234" s="7"/>
      </tp>
      <tp t="s">
        <v>表示銘柄数超過</v>
        <stp/>
        <stp>Market</stp>
        <stp>STOCK</stp>
        <stp>32640.T</stp>
        <stp>年初来高値</stp>
        <tr r="Y266" s="7"/>
      </tp>
      <tp t="s">
        <v>表示銘柄数超過</v>
        <stp/>
        <stp>Market</stp>
        <stp>STOCK</stp>
        <stp>38640.T</stp>
        <stp>年初来高値</stp>
        <tr r="Y381" s="7"/>
      </tp>
      <tp t="s">
        <v>表示銘柄数超過</v>
        <stp/>
        <stp>Market</stp>
        <stp>STOCK</stp>
        <stp>27640.T</stp>
        <stp>年初来高値</stp>
        <tr r="Y194" s="7"/>
      </tp>
      <tp t="s">
        <v>表示銘柄数超過</v>
        <stp/>
        <stp>Market</stp>
        <stp>STOCK</stp>
        <stp>21640.T</stp>
        <stp>年初来高値</stp>
        <tr r="Y100" s="7"/>
      </tp>
      <tp t="s">
        <v>表示銘柄数超過</v>
        <stp/>
        <stp>Market</stp>
        <stp>STOCK</stp>
        <stp>90640.T</stp>
        <stp>年初来高値</stp>
        <tr r="Y1091" s="7"/>
      </tp>
      <tp>
        <v>510</v>
        <stp/>
        <stp>Market</stp>
        <stp>STOCK</stp>
        <stp>52690.T</stp>
        <stp>年初来高値</stp>
        <tr r="Y582" s="7"/>
      </tp>
      <tp t="s">
        <v>表示銘柄数超過</v>
        <stp/>
        <stp>Market</stp>
        <stp>STOCK</stp>
        <stp>41690.T</stp>
        <stp>年初来高値</stp>
        <tr r="Y419" s="7"/>
      </tp>
      <tp>
        <v>7094</v>
        <stp/>
        <stp>Market</stp>
        <stp>STOCK</stp>
        <stp>72690.T</stp>
        <stp>年初来高値</stp>
        <tr r="Y866" s="7"/>
      </tp>
      <tp t="s">
        <v>表示銘柄数超過</v>
        <stp/>
        <stp>Market</stp>
        <stp>STOCK</stp>
        <stp>14690.T</stp>
        <stp>年初来高値</stp>
        <tr r="Y27" s="7"/>
      </tp>
      <tp t="s">
        <v>表示銘柄数超過</v>
        <stp/>
        <stp>Market</stp>
        <stp>STOCK</stp>
        <stp>30690.T</stp>
        <stp>年初来高値</stp>
        <tr r="Y235" s="7"/>
      </tp>
      <tp t="s">
        <v>表示銘柄数超過</v>
        <stp/>
        <stp>Market</stp>
        <stp>STOCK</stp>
        <stp>99690.T</stp>
        <stp>年初来高値</stp>
        <tr r="Y1185" s="7"/>
      </tp>
      <tp t="s">
        <v>表示銘柄数超過</v>
        <stp/>
        <stp>Market</stp>
        <stp>STOCK</stp>
        <stp>87690.T</stp>
        <stp>年初来高値</stp>
        <tr r="Y1046" s="7"/>
      </tp>
      <tp t="s">
        <v>表示銘柄数超過</v>
        <stp/>
        <stp>Market</stp>
        <stp>STOCK</stp>
        <stp>45680.T</stp>
        <stp>年初来高値</stp>
        <tr r="Y489" s="7"/>
      </tp>
      <tp t="s">
        <v>表示銘柄数超過</v>
        <stp/>
        <stp>Market</stp>
        <stp>STOCK</stp>
        <stp>42680.T</stp>
        <stp>年初来高値</stp>
        <tr r="Y434" s="7"/>
      </tp>
      <tp>
        <v>1131</v>
        <stp/>
        <stp>Market</stp>
        <stp>STOCK</stp>
        <stp>70680.T</stp>
        <stp>年初来高値</stp>
        <tr r="Y822" s="7"/>
      </tp>
      <tp>
        <v>493</v>
        <stp/>
        <stp>Market</stp>
        <stp>STOCK</stp>
        <stp>72680.T</stp>
        <stp>年初来高値</stp>
        <tr r="Y865" s="7"/>
      </tp>
      <tp>
        <v>838</v>
        <stp/>
        <stp>Market</stp>
        <stp>STOCK</stp>
        <stp>78680.T</stp>
        <stp>年初来高値</stp>
        <tr r="Y950" s="7"/>
      </tp>
      <tp>
        <v>850</v>
        <stp/>
        <stp>Market</stp>
        <stp>STOCK</stp>
        <stp>67680.T</stp>
        <stp>年初来高値</stp>
        <tr r="Y769" s="7"/>
      </tp>
      <tp t="s">
        <v>表示銘柄数超過</v>
        <stp/>
        <stp>Market</stp>
        <stp>STOCK</stp>
        <stp>13680.T</stp>
        <stp>年初来高値</stp>
        <tr r="Y15" s="7"/>
      </tp>
      <tp t="s">
        <v>表示銘柄数超過</v>
        <stp/>
        <stp>Market</stp>
        <stp>STOCK</stp>
        <stp>36680.T</stp>
        <stp>年初来高値</stp>
        <tr r="Y331" s="7"/>
      </tp>
      <tp t="s">
        <v>表示銘柄数超過</v>
        <stp/>
        <stp>Market</stp>
        <stp>STOCK</stp>
        <stp>24680.T</stp>
        <stp>年初来高値</stp>
        <tr r="Y148" s="7"/>
      </tp>
      <tp t="s">
        <v>表示銘柄数超過</v>
        <stp/>
        <stp>Market</stp>
        <stp>STOCK</stp>
        <stp>27680.T</stp>
        <stp>年初来高値</stp>
        <tr r="Y196" s="7"/>
      </tp>
      <tp t="s">
        <v>表示銘柄数超過</v>
        <stp/>
        <stp>Market</stp>
        <stp>STOCK</stp>
        <stp>21680.T</stp>
        <stp>年初来高値</stp>
        <tr r="Y101" s="7"/>
      </tp>
      <tp t="s">
        <v>表示銘柄数超過</v>
        <stp/>
        <stp>Market</stp>
        <stp>STOCK</stp>
        <stp>28680.T</stp>
        <stp>年初来高値</stp>
        <tr r="Y210" s="7"/>
      </tp>
    </main>
    <main first="rtdsrv.662c26bade854d00aebc6010f8a2e03a">
      <tp t="s">
        <v>表示銘柄数超過</v>
        <stp/>
        <stp>Market</stp>
        <stp>STOCK</stp>
        <stp>43730.T</stp>
        <stp>年初来高値</stp>
        <tr r="Y450" s="7"/>
      </tp>
      <tp>
        <v>961</v>
        <stp/>
        <stp>Market</stp>
        <stp>STOCK</stp>
        <stp>65730.T</stp>
        <stp>年初来高値</stp>
        <tr r="Y729" s="7"/>
      </tp>
      <tp>
        <v>1738</v>
        <stp/>
        <stp>Market</stp>
        <stp>STOCK</stp>
        <stp>60730.T</stp>
        <stp>年初来高値</stp>
        <tr r="Y648" s="7"/>
      </tp>
      <tp>
        <v>1583</v>
        <stp/>
        <stp>Market</stp>
        <stp>STOCK</stp>
        <stp>61730.T</stp>
        <stp>年初来高値</stp>
        <tr r="Y663" s="7"/>
      </tp>
      <tp t="s">
        <v>表示銘柄数超過</v>
        <stp/>
        <stp>Market</stp>
        <stp>STOCK</stp>
        <stp>37730.T</stp>
        <stp>年初来高値</stp>
        <tr r="Y354" s="7"/>
      </tp>
      <tp t="s">
        <v>表示銘柄数超過</v>
        <stp/>
        <stp>Market</stp>
        <stp>STOCK</stp>
        <stp>23730.T</stp>
        <stp>年初来高値</stp>
        <tr r="Y127" s="7"/>
      </tp>
      <tp t="s">
        <v>表示銘柄数超過</v>
        <stp/>
        <stp>Market</stp>
        <stp>STOCK</stp>
        <stp>99730.T</stp>
        <stp>年初来高値</stp>
        <tr r="Y1186" s="7"/>
      </tp>
      <tp>
        <v>3718</v>
        <stp/>
        <stp>Market</stp>
        <stp>STOCK</stp>
        <stp>84730.T</stp>
        <stp>年初来高値</stp>
        <tr r="Y1013" s="7"/>
      </tp>
      <tp>
        <v>2535</v>
        <stp/>
        <stp>Market</stp>
        <stp>STOCK</stp>
        <stp>81730.T</stp>
        <stp>年初来高値</stp>
        <tr r="Y987" s="7"/>
      </tp>
      <tp t="s">
        <v>表示銘柄数超過</v>
        <stp/>
        <stp>Market</stp>
        <stp>STOCK</stp>
        <stp>45720.T</stp>
        <stp>年初来高値</stp>
        <tr r="Y492" s="7"/>
      </tp>
      <tp>
        <v>1919</v>
        <stp/>
        <stp>Market</stp>
        <stp>STOCK</stp>
        <stp>71720.T</stp>
        <stp>年初来高値</stp>
        <tr r="Y835" s="7"/>
      </tp>
      <tp>
        <v>1475</v>
        <stp/>
        <stp>Market</stp>
        <stp>STOCK</stp>
        <stp>72720.T</stp>
        <stp>年初来高値</stp>
        <tr r="Y868" s="7"/>
      </tp>
      <tp>
        <v>1587</v>
        <stp/>
        <stp>Market</stp>
        <stp>STOCK</stp>
        <stp>79720.T</stp>
        <stp>年初来高値</stp>
        <tr r="Y961" s="7"/>
      </tp>
      <tp t="s">
        <v>表示銘柄数超過</v>
        <stp/>
        <stp>Market</stp>
        <stp>STOCK</stp>
        <stp>14720.T</stp>
        <stp>年初来高値</stp>
        <tr r="Y28" s="7"/>
      </tp>
      <tp t="s">
        <v>表示銘柄数超過</v>
        <stp/>
        <stp>Market</stp>
        <stp>STOCK</stp>
        <stp>15720.T</stp>
        <stp>年初来高値</stp>
        <tr r="Y35" s="7"/>
      </tp>
      <tp t="s">
        <v>表示銘柄数超過</v>
        <stp/>
        <stp>Market</stp>
        <stp>STOCK</stp>
        <stp>36720.T</stp>
        <stp>年初来高値</stp>
        <tr r="Y332" s="7"/>
      </tp>
      <tp t="s">
        <v>表示銘柄数超過</v>
        <stp/>
        <stp>Market</stp>
        <stp>STOCK</stp>
        <stp>33720.T</stp>
        <stp>年初来高値</stp>
        <tr r="Y288" s="7"/>
      </tp>
      <tp t="s">
        <v>表示銘柄数超過</v>
        <stp/>
        <stp>Market</stp>
        <stp>STOCK</stp>
        <stp>92720.T</stp>
        <stp>年初来高値</stp>
        <tr r="Y1106" s="7"/>
      </tp>
      <tp>
        <v>382.2</v>
        <stp/>
        <stp>Market</stp>
        <stp>STOCK</stp>
        <stp>85720.T</stp>
        <stp>年初来高値</stp>
        <tr r="Y1021" s="7"/>
      </tp>
      <tp t="s">
        <v>表示銘柄数超過</v>
        <stp/>
        <stp>Market</stp>
        <stp>STOCK</stp>
        <stp>45710.T</stp>
        <stp>年初来高値</stp>
        <tr r="Y491" s="7"/>
      </tp>
      <tp>
        <v>118</v>
        <stp/>
        <stp>Market</stp>
        <stp>STOCK</stp>
        <stp>77710.T</stp>
        <stp>年初来高値</stp>
        <tr r="Y931" s="7"/>
      </tp>
      <tp>
        <v>763</v>
        <stp/>
        <stp>Market</stp>
        <stp>STOCK</stp>
        <stp>73710.T</stp>
        <stp>年初来高値</stp>
        <tr r="Y882" s="7"/>
      </tp>
      <tp>
        <v>398</v>
        <stp/>
        <stp>Market</stp>
        <stp>STOCK</stp>
        <stp>79710.T</stp>
        <stp>年初来高値</stp>
        <tr r="Y960" s="7"/>
      </tp>
      <tp>
        <v>931.6</v>
        <stp/>
        <stp>Market</stp>
        <stp>STOCK</stp>
        <stp>64710.T</stp>
        <stp>年初来高値</stp>
        <tr r="Y706" s="7"/>
      </tp>
      <tp>
        <v>4660</v>
        <stp/>
        <stp>Market</stp>
        <stp>STOCK</stp>
        <stp>68710.T</stp>
        <stp>年初来高値</stp>
        <tr r="Y782" s="7"/>
      </tp>
      <tp t="s">
        <v>表示銘柄数超過</v>
        <stp/>
        <stp>Market</stp>
        <stp>STOCK</stp>
        <stp>15710.T</stp>
        <stp>年初来高値</stp>
        <tr r="Y34" s="7"/>
      </tp>
      <tp t="s">
        <v>表示銘柄数超過</v>
        <stp/>
        <stp>Market</stp>
        <stp>STOCK</stp>
        <stp>16710.T</stp>
        <stp>年初来高値</stp>
        <tr r="Y41" s="7"/>
      </tp>
      <tp t="s">
        <v>表示銘柄数超過</v>
        <stp/>
        <stp>Market</stp>
        <stp>STOCK</stp>
        <stp>19710.T</stp>
        <stp>年初来高値</stp>
        <tr r="Y85" s="7"/>
      </tp>
      <tp t="s">
        <v>表示銘柄数超過</v>
        <stp/>
        <stp>Market</stp>
        <stp>STOCK</stp>
        <stp>30710.T</stp>
        <stp>年初来高値</stp>
        <tr r="Y237" s="7"/>
      </tp>
      <tp t="s">
        <v>表示銘柄数超過</v>
        <stp/>
        <stp>Market</stp>
        <stp>STOCK</stp>
        <stp>32710.T</stp>
        <stp>年初来高値</stp>
        <tr r="Y268" s="7"/>
      </tp>
      <tp t="s">
        <v>表示銘柄数超過</v>
        <stp/>
        <stp>Market</stp>
        <stp>STOCK</stp>
        <stp>24710.T</stp>
        <stp>年初来高値</stp>
        <tr r="Y149" s="7"/>
      </tp>
      <tp>
        <v>2059</v>
        <stp/>
        <stp>Market</stp>
        <stp>STOCK</stp>
        <stp>59700.T</stp>
        <stp>年初来高値</stp>
        <tr r="Y629" s="7"/>
      </tp>
      <tp t="s">
        <v>表示銘柄数超過</v>
        <stp/>
        <stp>Market</stp>
        <stp>STOCK</stp>
        <stp>45700.T</stp>
        <stp>年初来高値</stp>
        <tr r="Y490" s="7"/>
      </tp>
      <tp t="s">
        <v>表示銘柄数超過</v>
        <stp/>
        <stp>Market</stp>
        <stp>STOCK</stp>
        <stp>47700.T</stp>
        <stp>年初来高値</stp>
        <tr r="Y532" s="7"/>
      </tp>
      <tp t="s">
        <v>表示銘柄数超過</v>
        <stp/>
        <stp>Market</stp>
        <stp>STOCK</stp>
        <stp>41700.T</stp>
        <stp>年初来高値</stp>
        <tr r="Y420" s="7"/>
      </tp>
      <tp t="s">
        <v>表示銘柄数超過</v>
        <stp/>
        <stp>Market</stp>
        <stp>STOCK</stp>
        <stp>43700.T</stp>
        <stp>年初来高値</stp>
        <tr r="Y449" s="7"/>
      </tp>
      <tp>
        <v>3115</v>
        <stp/>
        <stp>Market</stp>
        <stp>STOCK</stp>
        <stp>72700.T</stp>
        <stp>年初来高値</stp>
        <tr r="Y867" s="7"/>
      </tp>
      <tp>
        <v>1925</v>
        <stp/>
        <stp>Market</stp>
        <stp>STOCK</stp>
        <stp>73700.T</stp>
        <stp>年初来高値</stp>
        <tr r="Y881" s="7"/>
      </tp>
      <tp>
        <v>990</v>
        <stp/>
        <stp>Market</stp>
        <stp>STOCK</stp>
        <stp>64700.T</stp>
        <stp>年初来高値</stp>
        <tr r="Y705" s="7"/>
      </tp>
      <tp t="s">
        <v>表示銘柄数超過</v>
        <stp/>
        <stp>Market</stp>
        <stp>STOCK</stp>
        <stp>17700.T</stp>
        <stp>年初来高値</stp>
        <tr r="Y55" s="7"/>
      </tp>
      <tp t="s">
        <v>表示銘柄数超過</v>
        <stp/>
        <stp>Market</stp>
        <stp>STOCK</stp>
        <stp>37700.T</stp>
        <stp>年初来高値</stp>
        <tr r="Y353" s="7"/>
      </tp>
      <tp t="s">
        <v>表示銘柄数超過</v>
        <stp/>
        <stp>Market</stp>
        <stp>STOCK</stp>
        <stp>30700.T</stp>
        <stp>年初来高値</stp>
        <tr r="Y236" s="7"/>
      </tp>
      <tp t="s">
        <v>表示銘柄数超過</v>
        <stp/>
        <stp>Market</stp>
        <stp>STOCK</stp>
        <stp>33700.T</stp>
        <stp>年初来高値</stp>
        <tr r="Y287" s="7"/>
      </tp>
      <tp t="s">
        <v>表示銘柄数超過</v>
        <stp/>
        <stp>Market</stp>
        <stp>STOCK</stp>
        <stp>23700.T</stp>
        <stp>年初来高値</stp>
        <tr r="Y126" s="7"/>
      </tp>
      <tp t="s">
        <v>表示銘柄数超過</v>
        <stp/>
        <stp>Market</stp>
        <stp>STOCK</stp>
        <stp>94700.T</stp>
        <stp>年初来高値</stp>
        <tr r="Y1135" s="7"/>
      </tp>
      <tp t="s">
        <v>表示銘柄数超過</v>
        <stp/>
        <stp>Market</stp>
        <stp>STOCK</stp>
        <stp>92700.T</stp>
        <stp>年初来高値</stp>
        <tr r="Y1105" s="7"/>
      </tp>
      <tp>
        <v>1431</v>
        <stp/>
        <stp>Market</stp>
        <stp>STOCK</stp>
        <stp>85700.T</stp>
        <stp>年初来高値</stp>
        <tr r="Y1020" s="7"/>
      </tp>
      <tp>
        <v>423</v>
        <stp/>
        <stp>Market</stp>
        <stp>STOCK</stp>
        <stp>52770.T</stp>
        <stp>年初来高値</stp>
        <tr r="Y583" s="7"/>
      </tp>
      <tp t="s">
        <v>表示銘柄数超過</v>
        <stp/>
        <stp>Market</stp>
        <stp>STOCK</stp>
        <stp>44770.T</stp>
        <stp>年初来高値</stp>
        <tr r="Y473" s="7"/>
      </tp>
      <tp t="s">
        <v>表示銘柄数超過</v>
        <stp/>
        <stp>Market</stp>
        <stp>STOCK</stp>
        <stp>47770.T</stp>
        <stp>年初来高値</stp>
        <tr r="Y534" s="7"/>
      </tp>
      <tp>
        <v>346</v>
        <stp/>
        <stp>Market</stp>
        <stp>STOCK</stp>
        <stp>77770.T</stp>
        <stp>年初来高値</stp>
        <tr r="Y933" s="7"/>
      </tp>
      <tp>
        <v>785</v>
        <stp/>
        <stp>Market</stp>
        <stp>STOCK</stp>
        <stp>71770.T</stp>
        <stp>年初来高値</stp>
        <tr r="Y837" s="7"/>
      </tp>
      <tp>
        <v>4200</v>
        <stp/>
        <stp>Market</stp>
        <stp>STOCK</stp>
        <stp>66770.T</stp>
        <stp>年初来高値</stp>
        <tr r="Y752" s="7"/>
      </tp>
      <tp>
        <v>3845</v>
        <stp/>
        <stp>Market</stp>
        <stp>STOCK</stp>
        <stp>67770.T</stp>
        <stp>年初来高値</stp>
        <tr r="Y772" s="7"/>
      </tp>
      <tp>
        <v>216</v>
        <stp/>
        <stp>Market</stp>
        <stp>STOCK</stp>
        <stp>61770.T</stp>
        <stp>年初来高値</stp>
        <tr r="Y665" s="7"/>
      </tp>
      <tp t="s">
        <v>表示銘柄数超過</v>
        <stp/>
        <stp>Market</stp>
        <stp>STOCK</stp>
        <stp>36770.T</stp>
        <stp>年初来高値</stp>
        <tr r="Y335" s="7"/>
      </tp>
      <tp t="s">
        <v>表示銘柄数超過</v>
        <stp/>
        <stp>Market</stp>
        <stp>STOCK</stp>
        <stp>37770.T</stp>
        <stp>年初来高値</stp>
        <tr r="Y356" s="7"/>
      </tp>
      <tp t="s">
        <v>表示銘柄数超過</v>
        <stp/>
        <stp>Market</stp>
        <stp>STOCK</stp>
        <stp>33770.T</stp>
        <stp>年初来高値</stp>
        <tr r="Y289" s="7"/>
      </tp>
      <tp>
        <v>329</v>
        <stp/>
        <stp>Market</stp>
        <stp>STOCK</stp>
        <stp>80770.T</stp>
        <stp>年初来高値</stp>
        <tr r="Y973" s="7"/>
      </tp>
      <tp>
        <v>1898</v>
        <stp/>
        <stp>Market</stp>
        <stp>STOCK</stp>
        <stp>83770.T</stp>
        <stp>年初来高値</stp>
        <tr r="Y1007" s="7"/>
      </tp>
      <tp>
        <v>760</v>
        <stp/>
        <stp>Market</stp>
        <stp>STOCK</stp>
        <stp>54760.T</stp>
        <stp>年初来高値</stp>
        <tr r="Y597" s="7"/>
      </tp>
      <tp>
        <v>1078</v>
        <stp/>
        <stp>Market</stp>
        <stp>STOCK</stp>
        <stp>59760.T</stp>
        <stp>年初来高値</stp>
        <tr r="Y630" s="7"/>
      </tp>
      <tp t="s">
        <v>表示銘柄数超過</v>
        <stp/>
        <stp>Market</stp>
        <stp>STOCK</stp>
        <stp>44760.T</stp>
        <stp>年初来高値</stp>
        <tr r="Y472" s="7"/>
      </tp>
      <tp t="s">
        <v>表示銘柄数超過</v>
        <stp/>
        <stp>Market</stp>
        <stp>STOCK</stp>
        <stp>45760.T</stp>
        <stp>年初来高値</stp>
        <tr r="Y495" s="7"/>
      </tp>
      <tp t="s">
        <v>表示銘柄数超過</v>
        <stp/>
        <stp>Market</stp>
        <stp>STOCK</stp>
        <stp>46760.T</stp>
        <stp>年初来高値</stp>
        <tr r="Y518" s="7"/>
      </tp>
      <tp t="s">
        <v>表示銘柄数超過</v>
        <stp/>
        <stp>Market</stp>
        <stp>STOCK</stp>
        <stp>47760.T</stp>
        <stp>年初来高値</stp>
        <tr r="Y533" s="7"/>
      </tp>
      <tp t="s">
        <v>表示銘柄数超過</v>
        <stp/>
        <stp>Market</stp>
        <stp>STOCK</stp>
        <stp>41760.T</stp>
        <stp>年初来高値</stp>
        <tr r="Y421" s="7"/>
      </tp>
      <tp t="s">
        <v>表示銘柄数超過</v>
        <stp/>
        <stp>Market</stp>
        <stp>STOCK</stp>
        <stp>43760.T</stp>
        <stp>年初来高値</stp>
        <tr r="Y452" s="7"/>
      </tp>
      <tp>
        <v>2333</v>
        <stp/>
        <stp>Market</stp>
        <stp>STOCK</stp>
        <stp>76760.T</stp>
        <stp>年初来高値</stp>
        <tr r="Y919" s="7"/>
      </tp>
      <tp>
        <v>984</v>
        <stp/>
        <stp>Market</stp>
        <stp>STOCK</stp>
        <stp>77760.T</stp>
        <stp>年初来高値</stp>
        <tr r="Y932" s="7"/>
      </tp>
      <tp>
        <v>3595</v>
        <stp/>
        <stp>Market</stp>
        <stp>STOCK</stp>
        <stp>66760.T</stp>
        <stp>年初来高値</stp>
        <tr r="Y751" s="7"/>
      </tp>
      <tp>
        <v>469</v>
        <stp/>
        <stp>Market</stp>
        <stp>STOCK</stp>
        <stp>67760.T</stp>
        <stp>年初来高値</stp>
        <tr r="Y771" s="7"/>
      </tp>
      <tp>
        <v>1076</v>
        <stp/>
        <stp>Market</stp>
        <stp>STOCK</stp>
        <stp>61760.T</stp>
        <stp>年初来高値</stp>
        <tr r="Y664" s="7"/>
      </tp>
      <tp>
        <v>4625</v>
        <stp/>
        <stp>Market</stp>
        <stp>STOCK</stp>
        <stp>69760.T</stp>
        <stp>年初来高値</stp>
        <tr r="Y797" s="7"/>
      </tp>
      <tp t="s">
        <v>表示銘柄数超過</v>
        <stp/>
        <stp>Market</stp>
        <stp>STOCK</stp>
        <stp>36760.T</stp>
        <stp>年初来高値</stp>
        <tr r="Y334" s="7"/>
      </tp>
      <tp t="s">
        <v>表示銘柄数超過</v>
        <stp/>
        <stp>Market</stp>
        <stp>STOCK</stp>
        <stp>37760.T</stp>
        <stp>年初来高値</stp>
        <tr r="Y355" s="7"/>
      </tp>
      <tp t="s">
        <v>表示銘柄数超過</v>
        <stp/>
        <stp>Market</stp>
        <stp>STOCK</stp>
        <stp>31760.T</stp>
        <stp>年初来高値</stp>
        <tr r="Y250" s="7"/>
      </tp>
      <tp t="s">
        <v>表示銘柄数超過</v>
        <stp/>
        <stp>Market</stp>
        <stp>STOCK</stp>
        <stp>39760.T</stp>
        <stp>年初来高値</stp>
        <tr r="Y402" s="7"/>
      </tp>
      <tp t="s">
        <v>表示銘柄数超過</v>
        <stp/>
        <stp>Market</stp>
        <stp>STOCK</stp>
        <stp>27760.T</stp>
        <stp>年初来高値</stp>
        <tr r="Y197" s="7"/>
      </tp>
      <tp t="s">
        <v>表示銘柄数超過</v>
        <stp/>
        <stp>Market</stp>
        <stp>STOCK</stp>
        <stp>23760.T</stp>
        <stp>年初来高値</stp>
        <tr r="Y129" s="7"/>
      </tp>
      <tp t="s">
        <v>表示銘柄数超過</v>
        <stp/>
        <stp>Market</stp>
        <stp>STOCK</stp>
        <stp>94760.T</stp>
        <stp>年初来高値</stp>
        <tr r="Y1138" s="7"/>
      </tp>
      <tp t="s">
        <v>表示銘柄数超過</v>
        <stp/>
        <stp>Market</stp>
        <stp>STOCK</stp>
        <stp>98760.T</stp>
        <stp>年初来高値</stp>
        <tr r="Y1175" s="7"/>
      </tp>
      <tp t="s">
        <v>表示銘柄数超過</v>
        <stp/>
        <stp>Market</stp>
        <stp>STOCK</stp>
        <stp>44750.T</stp>
        <stp>年初来高値</stp>
        <tr r="Y471" s="7"/>
      </tp>
      <tp t="s">
        <v>表示銘柄数超過</v>
        <stp/>
        <stp>Market</stp>
        <stp>STOCK</stp>
        <stp>45750.T</stp>
        <stp>年初来高値</stp>
        <tr r="Y494" s="7"/>
      </tp>
      <tp t="s">
        <v>表示銘柄数超過</v>
        <stp/>
        <stp>Market</stp>
        <stp>STOCK</stp>
        <stp>40750.T</stp>
        <stp>年初来高値</stp>
        <tr r="Y416" s="7"/>
      </tp>
      <tp t="s">
        <v>表示銘柄数超過</v>
        <stp/>
        <stp>Market</stp>
        <stp>STOCK</stp>
        <stp>42750.T</stp>
        <stp>年初来高値</stp>
        <tr r="Y436" s="7"/>
      </tp>
      <tp>
        <v>1188</v>
        <stp/>
        <stp>Market</stp>
        <stp>STOCK</stp>
        <stp>71750.T</stp>
        <stp>年初来高値</stp>
        <tr r="Y836" s="7"/>
      </tp>
      <tp>
        <v>393</v>
        <stp/>
        <stp>Market</stp>
        <stp>STOCK</stp>
        <stp>67750.T</stp>
        <stp>年初来高値</stp>
        <tr r="Y770" s="7"/>
      </tp>
      <tp t="s">
        <v>表示銘柄数超過</v>
        <stp/>
        <stp>Market</stp>
        <stp>STOCK</stp>
        <stp>23750.T</stp>
        <stp>年初来高値</stp>
        <tr r="Y128" s="7"/>
      </tp>
      <tp t="s">
        <v>表示銘柄数超過</v>
        <stp/>
        <stp>Market</stp>
        <stp>STOCK</stp>
        <stp>28750.T</stp>
        <stp>年初来高値</stp>
        <tr r="Y211" s="7"/>
      </tp>
      <tp t="s">
        <v>表示銘柄数超過</v>
        <stp/>
        <stp>Market</stp>
        <stp>STOCK</stp>
        <stp>94750.T</stp>
        <stp>年初来高値</stp>
        <tr r="Y1137" s="7"/>
      </tp>
      <tp t="s">
        <v>表示銘柄数超過</v>
        <stp/>
        <stp>Market</stp>
        <stp>STOCK</stp>
        <stp>50740.T</stp>
        <stp>年初来高値</stp>
        <tr r="Y566" s="7"/>
      </tp>
      <tp t="s">
        <v>表示銘柄数超過</v>
        <stp/>
        <stp>Market</stp>
        <stp>STOCK</stp>
        <stp>45740.T</stp>
        <stp>年初来高値</stp>
        <tr r="Y493" s="7"/>
      </tp>
      <tp t="s">
        <v>表示銘柄数超過</v>
        <stp/>
        <stp>Market</stp>
        <stp>STOCK</stp>
        <stp>42740.T</stp>
        <stp>年初来高値</stp>
        <tr r="Y435" s="7"/>
      </tp>
      <tp t="s">
        <v>表示銘柄数超過</v>
        <stp/>
        <stp>Market</stp>
        <stp>STOCK</stp>
        <stp>43740.T</stp>
        <stp>年初来高値</stp>
        <tr r="Y451" s="7"/>
      </tp>
      <tp>
        <v>600</v>
        <stp/>
        <stp>Market</stp>
        <stp>STOCK</stp>
        <stp>70740.T</stp>
        <stp>年初来高値</stp>
        <tr r="Y823" s="7"/>
      </tp>
      <tp>
        <v>8508</v>
        <stp/>
        <stp>Market</stp>
        <stp>STOCK</stp>
        <stp>79740.T</stp>
        <stp>年初来高値</stp>
        <tr r="Y962" s="7"/>
      </tp>
      <tp>
        <v>869</v>
        <stp/>
        <stp>Market</stp>
        <stp>STOCK</stp>
        <stp>65740.T</stp>
        <stp>年初来高値</stp>
        <tr r="Y730" s="7"/>
      </tp>
      <tp t="s">
        <v>表示銘柄数超過</v>
        <stp/>
        <stp>Market</stp>
        <stp>STOCK</stp>
        <stp>36740.T</stp>
        <stp>年初来高値</stp>
        <tr r="Y333" s="7"/>
      </tp>
      <tp t="s">
        <v>表示銘柄数超過</v>
        <stp/>
        <stp>Market</stp>
        <stp>STOCK</stp>
        <stp>26740.T</stp>
        <stp>年初来高値</stp>
        <tr r="Y179" s="7"/>
      </tp>
      <tp t="s">
        <v>表示銘柄数超過</v>
        <stp/>
        <stp>Market</stp>
        <stp>STOCK</stp>
        <stp>94740.T</stp>
        <stp>年初来高値</stp>
        <tr r="Y1136" s="7"/>
      </tp>
      <tp t="s">
        <v>表示銘柄数超過</v>
        <stp/>
        <stp>Market</stp>
        <stp>STOCK</stp>
        <stp>92740.T</stp>
        <stp>年初来高値</stp>
        <tr r="Y1107" s="7"/>
      </tp>
      <tp t="s">
        <v>表示銘柄数超過</v>
        <stp/>
        <stp>Market</stp>
        <stp>STOCK</stp>
        <stp>44790.T</stp>
        <stp>年初来高値</stp>
        <tr r="Y474" s="7"/>
      </tp>
      <tp t="s">
        <v>表示銘柄数超過</v>
        <stp/>
        <stp>Market</stp>
        <stp>STOCK</stp>
        <stp>43790.T</stp>
        <stp>年初来高値</stp>
        <tr r="Y454" s="7"/>
      </tp>
      <tp>
        <v>357</v>
        <stp/>
        <stp>Market</stp>
        <stp>STOCK</stp>
        <stp>77790.T</stp>
        <stp>年初来高値</stp>
        <tr r="Y934" s="7"/>
      </tp>
      <tp>
        <v>1525</v>
        <stp/>
        <stp>Market</stp>
        <stp>STOCK</stp>
        <stp>73790.T</stp>
        <stp>年初来高値</stp>
        <tr r="Y883" s="7"/>
      </tp>
      <tp t="s">
        <v>表示銘柄数超過</v>
        <stp/>
        <stp>Market</stp>
        <stp>STOCK</stp>
        <stp>18790.T</stp>
        <stp>年初来高値</stp>
        <tr r="Y68" s="7"/>
      </tp>
      <tp t="s">
        <v>表示銘柄数超過</v>
        <stp/>
        <stp>Market</stp>
        <stp>STOCK</stp>
        <stp>37790.T</stp>
        <stp>年初来高値</stp>
        <tr r="Y358" s="7"/>
      </tp>
      <tp t="s">
        <v>表示銘柄数超過</v>
        <stp/>
        <stp>Market</stp>
        <stp>STOCK</stp>
        <stp>24790.T</stp>
        <stp>年初来高値</stp>
        <tr r="Y150" s="7"/>
      </tp>
      <tp t="s">
        <v>表示銘柄数超過</v>
        <stp/>
        <stp>Market</stp>
        <stp>STOCK</stp>
        <stp>25790.T</stp>
        <stp>年初来高値</stp>
        <tr r="Y163" s="7"/>
      </tp>
      <tp t="s">
        <v>表示銘柄数超過</v>
        <stp/>
        <stp>Market</stp>
        <stp>STOCK</stp>
        <stp>94790.T</stp>
        <stp>年初来高値</stp>
        <tr r="Y1139" s="7"/>
      </tp>
      <tp>
        <v>2968</v>
        <stp/>
        <stp>Market</stp>
        <stp>STOCK</stp>
        <stp>81790.T</stp>
        <stp>年初来高値</stp>
        <tr r="Y988" s="7"/>
      </tp>
      <tp t="s">
        <v>表示銘柄数超過</v>
        <stp/>
        <stp>Market</stp>
        <stp>STOCK</stp>
        <stp>45780.T</stp>
        <stp>年初来高値</stp>
        <tr r="Y496" s="7"/>
      </tp>
      <tp t="s">
        <v>表示銘柄数超過</v>
        <stp/>
        <stp>Market</stp>
        <stp>STOCK</stp>
        <stp>43780.T</stp>
        <stp>年初来高値</stp>
        <tr r="Y453" s="7"/>
      </tp>
      <tp t="s">
        <v>表示銘柄数超過</v>
        <stp/>
        <stp>Market</stp>
        <stp>STOCK</stp>
        <stp>49780.T</stp>
        <stp>年初来高値</stp>
        <tr r="Y556" s="7"/>
      </tp>
      <tp>
        <v>714</v>
        <stp/>
        <stp>Market</stp>
        <stp>STOCK</stp>
        <stp>75780.T</stp>
        <stp>年初来高値</stp>
        <tr r="Y905" s="7"/>
      </tp>
      <tp>
        <v>463</v>
        <stp/>
        <stp>Market</stp>
        <stp>STOCK</stp>
        <stp>65780.T</stp>
        <stp>年初来高値</stp>
        <tr r="Y731" s="7"/>
      </tp>
      <tp>
        <v>1449.5</v>
        <stp/>
        <stp>Market</stp>
        <stp>STOCK</stp>
        <stp>61780.T</stp>
        <stp>年初来高値</stp>
        <tr r="Y666" s="7"/>
      </tp>
      <tp t="s">
        <v>表示銘柄数超過</v>
        <stp/>
        <stp>Market</stp>
        <stp>STOCK</stp>
        <stp>15780.T</stp>
        <stp>年初来高値</stp>
        <tr r="Y36" s="7"/>
      </tp>
      <tp t="s">
        <v>表示銘柄数超過</v>
        <stp/>
        <stp>Market</stp>
        <stp>STOCK</stp>
        <stp>16780.T</stp>
        <stp>年初来高値</stp>
        <tr r="Y42" s="7"/>
      </tp>
      <tp t="s">
        <v>表示銘柄数超過</v>
        <stp/>
        <stp>Market</stp>
        <stp>STOCK</stp>
        <stp>37780.T</stp>
        <stp>年初来高値</stp>
        <tr r="Y357" s="7"/>
      </tp>
      <tp t="s">
        <v>表示銘柄数超過</v>
        <stp/>
        <stp>Market</stp>
        <stp>STOCK</stp>
        <stp>27780.T</stp>
        <stp>年初来高値</stp>
        <tr r="Y198" s="7"/>
      </tp>
      <tp t="s">
        <v>表示銘柄数超過</v>
        <stp/>
        <stp>Market</stp>
        <stp>STOCK</stp>
        <stp>23780.T</stp>
        <stp>年初来高値</stp>
        <tr r="Y130" s="7"/>
      </tp>
      <tp t="s">
        <v>表示銘柄数超過</v>
        <stp/>
        <stp>Market</stp>
        <stp>STOCK</stp>
        <stp>92780.T</stp>
        <stp>年初来高値</stp>
        <tr r="Y1108" s="7"/>
      </tp>
      <tp>
        <v>3325</v>
        <stp/>
        <stp>Market</stp>
        <stp>STOCK</stp>
        <stp>86970.T</stp>
        <stp>現在値</stp>
        <tr r="C1035" s="7"/>
      </tp>
      <tp>
        <v>730</v>
        <stp/>
        <stp>Market</stp>
        <stp>STOCK</stp>
        <stp>86980.T</stp>
        <stp>現在値</stp>
        <tr r="C1036" s="7"/>
      </tp>
      <tp>
        <v>922</v>
        <stp/>
        <stp>Market</stp>
        <stp>STOCK</stp>
        <stp>86130.T</stp>
        <stp>現在値</stp>
        <tr r="C1028" s="7"/>
      </tp>
      <tp>
        <v>331</v>
        <stp/>
        <stp>Market</stp>
        <stp>STOCK</stp>
        <stp>86140.T</stp>
        <stp>現在値</stp>
        <tr r="C1029" s="7"/>
      </tp>
      <tp>
        <v>570</v>
        <stp/>
        <stp>Market</stp>
        <stp>STOCK</stp>
        <stp>86160.T</stp>
        <stp>現在値</stp>
        <tr r="C1030" s="7"/>
      </tp>
      <tp>
        <v>587</v>
        <stp/>
        <stp>Market</stp>
        <stp>STOCK</stp>
        <stp>86170.T</stp>
        <stp>現在値</stp>
        <tr r="C1031" s="7"/>
      </tp>
      <tp>
        <v>1007.5</v>
        <stp/>
        <stp>Market</stp>
        <stp>STOCK</stp>
        <stp>86010.T</stp>
        <stp>現在値</stp>
        <tr r="C1025" s="7"/>
      </tp>
      <tp>
        <v>807.7</v>
        <stp/>
        <stp>Market</stp>
        <stp>STOCK</stp>
        <stp>86040.T</stp>
        <stp>現在値</stp>
        <tr r="C1026" s="7"/>
      </tp>
      <tp>
        <v>705</v>
        <stp/>
        <stp>Market</stp>
        <stp>STOCK</stp>
        <stp>86090.T</stp>
        <stp>現在値</stp>
        <tr r="C1027" s="7"/>
      </tp>
      <tp>
        <v>451</v>
        <stp/>
        <stp>Market</stp>
        <stp>STOCK</stp>
        <stp>86220.T</stp>
        <stp>現在値</stp>
        <tr r="C1032" s="7"/>
      </tp>
      <tp>
        <v>748</v>
        <stp/>
        <stp>Market</stp>
        <stp>STOCK</stp>
        <stp>86240.T</stp>
        <stp>現在値</stp>
        <tr r="C1033" s="7"/>
      </tp>
      <tp>
        <v>850</v>
        <stp/>
        <stp>Market</stp>
        <stp>STOCK</stp>
        <stp>86280.T</stp>
        <stp>現在値</stp>
        <tr r="C1034" s="7"/>
      </tp>
      <tp t="s">
        <v>表示銘柄数超過</v>
        <stp/>
        <stp>Market</stp>
        <stp>STOCK</stp>
        <stp>87930.T</stp>
        <stp>現在値</stp>
        <tr r="C1049" s="7"/>
      </tp>
      <tp t="s">
        <v>表示銘柄数超過</v>
        <stp/>
        <stp>Market</stp>
        <stp>STOCK</stp>
        <stp>87830.T</stp>
        <stp>現在値</stp>
        <tr r="C1047" s="7"/>
      </tp>
      <tp t="s">
        <v>表示銘柄数超過</v>
        <stp/>
        <stp>Market</stp>
        <stp>STOCK</stp>
        <stp>87890.T</stp>
        <stp>現在値</stp>
        <tr r="C1048" s="7"/>
      </tp>
      <tp>
        <v>183</v>
        <stp/>
        <stp>Market</stp>
        <stp>STOCK</stp>
        <stp>87050.T</stp>
        <stp>現在値</stp>
        <tr r="C1037" s="7"/>
      </tp>
      <tp>
        <v>998</v>
        <stp/>
        <stp>Market</stp>
        <stp>STOCK</stp>
        <stp>87060.T</stp>
        <stp>現在値</stp>
        <tr r="C1038" s="7"/>
      </tp>
      <tp>
        <v>1210</v>
        <stp/>
        <stp>Market</stp>
        <stp>STOCK</stp>
        <stp>87080.T</stp>
        <stp>現在値</stp>
        <tr r="C1039" s="7"/>
      </tp>
      <tp>
        <v>298</v>
        <stp/>
        <stp>Market</stp>
        <stp>STOCK</stp>
        <stp>87320.T</stp>
        <stp>現在値</stp>
        <tr r="C1040" s="7"/>
      </tp>
      <tp>
        <v>505</v>
        <stp/>
        <stp>Market</stp>
        <stp>STOCK</stp>
        <stp>87370.T</stp>
        <stp>現在値</stp>
        <tr r="C1041" s="7"/>
      </tp>
      <tp t="s">
        <v>表示銘柄数超過</v>
        <stp/>
        <stp>Market</stp>
        <stp>STOCK</stp>
        <stp>87500.T</stp>
        <stp>現在値</stp>
        <tr r="C1044" s="7"/>
      </tp>
      <tp>
        <v>255</v>
        <stp/>
        <stp>Market</stp>
        <stp>STOCK</stp>
        <stp>87420.T</stp>
        <stp>現在値</stp>
        <tr r="C1042" s="7"/>
      </tp>
      <tp>
        <v>99</v>
        <stp/>
        <stp>Market</stp>
        <stp>STOCK</stp>
        <stp>87460.T</stp>
        <stp>現在値</stp>
        <tr r="C1043" s="7"/>
      </tp>
      <tp t="s">
        <v>表示銘柄数超過</v>
        <stp/>
        <stp>Market</stp>
        <stp>STOCK</stp>
        <stp>87660.T</stp>
        <stp>現在値</stp>
        <tr r="C1045" s="7"/>
      </tp>
      <tp t="s">
        <v>表示銘柄数超過</v>
        <stp/>
        <stp>Market</stp>
        <stp>STOCK</stp>
        <stp>87690.T</stp>
        <stp>現在値</stp>
        <tr r="C1046" s="7"/>
      </tp>
      <tp>
        <v>303.10000000000002</v>
        <stp/>
        <stp>Market</stp>
        <stp>STOCK</stp>
        <stp>84100.T</stp>
        <stp>現在値</stp>
        <tr r="C1010" s="7"/>
      </tp>
      <tp>
        <v>936</v>
        <stp/>
        <stp>Market</stp>
        <stp>STOCK</stp>
        <stp>84160.T</stp>
        <stp>現在値</stp>
        <tr r="C1011" s="7"/>
      </tp>
      <tp>
        <v>3775</v>
        <stp/>
        <stp>Market</stp>
        <stp>STOCK</stp>
        <stp>84730.T</stp>
        <stp>現在値</stp>
        <tr r="C1013" s="7"/>
      </tp>
      <tp>
        <v>496</v>
        <stp/>
        <stp>Market</stp>
        <stp>STOCK</stp>
        <stp>84620.T</stp>
        <stp>現在値</stp>
        <tr r="C1012" s="7"/>
      </tp>
      <tp>
        <v>2877</v>
        <stp/>
        <stp>Market</stp>
        <stp>STOCK</stp>
        <stp>85910.T</stp>
        <stp>現在値</stp>
        <tr r="C1023" s="7"/>
      </tp>
      <tp>
        <v>1045.5</v>
        <stp/>
        <stp>Market</stp>
        <stp>STOCK</stp>
        <stp>85930.T</stp>
        <stp>現在値</stp>
        <tr r="C1024" s="7"/>
      </tp>
      <tp>
        <v>1065</v>
        <stp/>
        <stp>Market</stp>
        <stp>STOCK</stp>
        <stp>85850.T</stp>
        <stp>現在値</stp>
        <tr r="C1022" s="7"/>
      </tp>
      <tp>
        <v>1562</v>
        <stp/>
        <stp>Market</stp>
        <stp>STOCK</stp>
        <stp>85110.T</stp>
        <stp>現在値</stp>
        <tr r="C1015" s="7"/>
      </tp>
      <tp>
        <v>384</v>
        <stp/>
        <stp>Market</stp>
        <stp>STOCK</stp>
        <stp>85150.T</stp>
        <stp>現在値</stp>
        <tr r="C1016" s="7"/>
      </tp>
      <tp>
        <v>280</v>
        <stp/>
        <stp>Market</stp>
        <stp>STOCK</stp>
        <stp>85180.T</stp>
        <stp>現在値</stp>
        <tr r="C1017" s="7"/>
      </tp>
      <tp>
        <v>472</v>
        <stp/>
        <stp>Market</stp>
        <stp>STOCK</stp>
        <stp>85080.T</stp>
        <stp>現在値</stp>
        <tr r="C1014" s="7"/>
      </tp>
      <tp>
        <v>377</v>
        <stp/>
        <stp>Market</stp>
        <stp>STOCK</stp>
        <stp>85240.T</stp>
        <stp>現在値</stp>
        <tr r="C1018" s="7"/>
      </tp>
      <tp>
        <v>1338.5</v>
        <stp/>
        <stp>Market</stp>
        <stp>STOCK</stp>
        <stp>85700.T</stp>
        <stp>現在値</stp>
        <tr r="C1020" s="7"/>
      </tp>
      <tp>
        <v>362.8</v>
        <stp/>
        <stp>Market</stp>
        <stp>STOCK</stp>
        <stp>85720.T</stp>
        <stp>現在値</stp>
        <tr r="C1021" s="7"/>
      </tp>
      <tp>
        <v>232</v>
        <stp/>
        <stp>Market</stp>
        <stp>STOCK</stp>
        <stp>85620.T</stp>
        <stp>現在値</stp>
        <tr r="C1019" s="7"/>
      </tp>
      <tp>
        <v>494</v>
        <stp/>
        <stp>Market</stp>
        <stp>STOCK</stp>
        <stp>82910.T</stp>
        <stp>現在値</stp>
        <tr r="C1002" s="7"/>
      </tp>
      <tp>
        <v>241</v>
        <stp/>
        <stp>Market</stp>
        <stp>STOCK</stp>
        <stp>82020.T</stp>
        <stp>現在値</stp>
        <tr r="C990" s="7"/>
      </tp>
      <tp>
        <v>630</v>
        <stp/>
        <stp>Market</stp>
        <stp>STOCK</stp>
        <stp>82030.T</stp>
        <stp>現在値</stp>
        <tr r="C991" s="7"/>
      </tp>
      <tp>
        <v>317</v>
        <stp/>
        <stp>Market</stp>
        <stp>STOCK</stp>
        <stp>82070.T</stp>
        <stp>現在値</stp>
        <tr r="C992" s="7"/>
      </tp>
      <tp>
        <v>361</v>
        <stp/>
        <stp>Market</stp>
        <stp>STOCK</stp>
        <stp>82300.T</stp>
        <stp>現在値</stp>
        <tr r="C994" s="7"/>
      </tp>
      <tp>
        <v>968</v>
        <stp/>
        <stp>Market</stp>
        <stp>STOCK</stp>
        <stp>82370.T</stp>
        <stp>現在値</stp>
        <tr r="C995" s="7"/>
      </tp>
      <tp>
        <v>210</v>
        <stp/>
        <stp>Market</stp>
        <stp>STOCK</stp>
        <stp>82260.T</stp>
        <stp>現在値</stp>
        <tr r="C993" s="7"/>
      </tp>
      <tp>
        <v>2436</v>
        <stp/>
        <stp>Market</stp>
        <stp>STOCK</stp>
        <stp>82520.T</stp>
        <stp>現在値</stp>
        <tr r="C999" s="7"/>
      </tp>
      <tp t="s">
        <v/>
        <stp/>
        <stp>Market</stp>
        <stp>STOCK</stp>
        <stp>82560.T</stp>
        <stp>現在値</stp>
        <tr r="C1000" s="7"/>
      </tp>
      <tp>
        <v>1818</v>
        <stp/>
        <stp>Market</stp>
        <stp>STOCK</stp>
        <stp>82420.T</stp>
        <stp>現在値</stp>
        <tr r="C996" s="7"/>
      </tp>
      <tp>
        <v>2570</v>
        <stp/>
        <stp>Market</stp>
        <stp>STOCK</stp>
        <stp>82440.T</stp>
        <stp>現在値</stp>
        <tr r="C997" s="7"/>
      </tp>
      <tp>
        <v>502</v>
        <stp/>
        <stp>Market</stp>
        <stp>STOCK</stp>
        <stp>82470.T</stp>
        <stp>現在値</stp>
        <tr r="C998" s="7"/>
      </tp>
      <tp>
        <v>3583</v>
        <stp/>
        <stp>Market</stp>
        <stp>STOCK</stp>
        <stp>82670.T</stp>
        <stp>現在値</stp>
        <tr r="C1001" s="7"/>
      </tp>
      <tp>
        <v>1403</v>
        <stp/>
        <stp>Market</stp>
        <stp>STOCK</stp>
        <stp>83830.T</stp>
        <stp>現在値</stp>
        <tr r="C1008" s="7"/>
      </tp>
      <tp>
        <v>1059</v>
        <stp/>
        <stp>Market</stp>
        <stp>STOCK</stp>
        <stp>83870.T</stp>
        <stp>現在値</stp>
        <tr r="C1009" s="7"/>
      </tp>
      <tp>
        <v>7687</v>
        <stp/>
        <stp>Market</stp>
        <stp>STOCK</stp>
        <stp>83160.T</stp>
        <stp>現在値</stp>
        <tr r="C1003" s="7"/>
      </tp>
      <tp>
        <v>1092</v>
        <stp/>
        <stp>Market</stp>
        <stp>STOCK</stp>
        <stp>83310.T</stp>
        <stp>現在値</stp>
        <tr r="C1004" s="7"/>
      </tp>
      <tp>
        <v>851</v>
        <stp/>
        <stp>Market</stp>
        <stp>STOCK</stp>
        <stp>83370.T</stp>
        <stp>現在値</stp>
        <tr r="C1005" s="7"/>
      </tp>
      <tp>
        <v>806</v>
        <stp/>
        <stp>Market</stp>
        <stp>STOCK</stp>
        <stp>83580.T</stp>
        <stp>現在値</stp>
        <tr r="C1006" s="7"/>
      </tp>
      <tp>
        <v>1588.5</v>
        <stp/>
        <stp>Market</stp>
        <stp>STOCK</stp>
        <stp>83770.T</stp>
        <stp>現在値</stp>
        <tr r="C1007" s="7"/>
      </tp>
      <tp>
        <v>472</v>
        <stp/>
        <stp>Market</stp>
        <stp>STOCK</stp>
        <stp>80950.T</stp>
        <stp>現在値</stp>
        <tr r="C975" s="7"/>
      </tp>
      <tp>
        <v>1500</v>
        <stp/>
        <stp>Market</stp>
        <stp>STOCK</stp>
        <stp>80810.T</stp>
        <stp>現在値</stp>
        <tr r="C974" s="7"/>
      </tp>
      <tp>
        <v>542</v>
        <stp/>
        <stp>Market</stp>
        <stp>STOCK</stp>
        <stp>80160.T</stp>
        <stp>現在値</stp>
        <tr r="C967" s="7"/>
      </tp>
      <tp>
        <v>6736</v>
        <stp/>
        <stp>Market</stp>
        <stp>STOCK</stp>
        <stp>80010.T</stp>
        <stp>現在値</stp>
        <tr r="C964" s="7"/>
      </tp>
      <tp>
        <v>968</v>
        <stp/>
        <stp>Market</stp>
        <stp>STOCK</stp>
        <stp>80050.T</stp>
        <stp>現在値</stp>
        <tr r="C965" s="7"/>
      </tp>
      <tp>
        <v>1971</v>
        <stp/>
        <stp>Market</stp>
        <stp>STOCK</stp>
        <stp>80080.T</stp>
        <stp>現在値</stp>
        <tr r="C966" s="7"/>
      </tp>
      <tp>
        <v>5840</v>
        <stp/>
        <stp>Market</stp>
        <stp>STOCK</stp>
        <stp>80310.T</stp>
        <stp>現在値</stp>
        <tr r="C969" s="7"/>
      </tp>
      <tp>
        <v>2326</v>
        <stp/>
        <stp>Market</stp>
        <stp>STOCK</stp>
        <stp>80200.T</stp>
        <stp>現在値</stp>
        <tr r="C968" s="7"/>
      </tp>
      <tp>
        <v>3357</v>
        <stp/>
        <stp>Market</stp>
        <stp>STOCK</stp>
        <stp>80530.T</stp>
        <stp>現在値</stp>
        <tr r="C970" s="7"/>
      </tp>
      <tp>
        <v>4495</v>
        <stp/>
        <stp>Market</stp>
        <stp>STOCK</stp>
        <stp>80560.T</stp>
        <stp>現在値</stp>
        <tr r="C971" s="7"/>
      </tp>
      <tp>
        <v>2782</v>
        <stp/>
        <stp>Market</stp>
        <stp>STOCK</stp>
        <stp>80580.T</stp>
        <stp>現在値</stp>
        <tr r="C972" s="7"/>
      </tp>
      <tp>
        <v>294</v>
        <stp/>
        <stp>Market</stp>
        <stp>STOCK</stp>
        <stp>80770.T</stp>
        <stp>現在値</stp>
        <tr r="C973" s="7"/>
      </tp>
      <tp>
        <v>3765</v>
        <stp/>
        <stp>Market</stp>
        <stp>STOCK</stp>
        <stp>81940.T</stp>
        <stp>現在値</stp>
        <tr r="C989" s="7"/>
      </tp>
      <tp>
        <v>696</v>
        <stp/>
        <stp>Market</stp>
        <stp>STOCK</stp>
        <stp>81180.T</stp>
        <stp>現在値</stp>
        <tr r="C979" s="7"/>
      </tp>
      <tp>
        <v>718</v>
        <stp/>
        <stp>Market</stp>
        <stp>STOCK</stp>
        <stp>81030.T</stp>
        <stp>現在値</stp>
        <tr r="C976" s="7"/>
      </tp>
      <tp>
        <v>702</v>
        <stp/>
        <stp>Market</stp>
        <stp>STOCK</stp>
        <stp>81040.T</stp>
        <stp>現在値</stp>
        <tr r="C977" s="7"/>
      </tp>
      <tp>
        <v>50</v>
        <stp/>
        <stp>Market</stp>
        <stp>STOCK</stp>
        <stp>81050.T</stp>
        <stp>現在値</stp>
        <tr r="C978" s="7"/>
      </tp>
      <tp>
        <v>1558</v>
        <stp/>
        <stp>Market</stp>
        <stp>STOCK</stp>
        <stp>81330.T</stp>
        <stp>現在値</stp>
        <tr r="C980" s="7"/>
      </tp>
      <tp>
        <v>323</v>
        <stp/>
        <stp>Market</stp>
        <stp>STOCK</stp>
        <stp>81350.T</stp>
        <stp>現在値</stp>
        <tr r="C981" s="7"/>
      </tp>
      <tp>
        <v>1549</v>
        <stp/>
        <stp>Market</stp>
        <stp>STOCK</stp>
        <stp>81390.T</stp>
        <stp>現在値</stp>
        <tr r="C982" s="7"/>
      </tp>
      <tp>
        <v>2317</v>
        <stp/>
        <stp>Market</stp>
        <stp>STOCK</stp>
        <stp>81500.T</stp>
        <stp>現在値</stp>
        <tr r="C984" s="7"/>
      </tp>
      <tp>
        <v>3440</v>
        <stp/>
        <stp>Market</stp>
        <stp>STOCK</stp>
        <stp>81530.T</stp>
        <stp>現在値</stp>
        <tr r="C985" s="7"/>
      </tp>
      <tp>
        <v>288</v>
        <stp/>
        <stp>Market</stp>
        <stp>STOCK</stp>
        <stp>81430.T</stp>
        <stp>現在値</stp>
        <tr r="C983" s="7"/>
      </tp>
      <tp>
        <v>2376</v>
        <stp/>
        <stp>Market</stp>
        <stp>STOCK</stp>
        <stp>81730.T</stp>
        <stp>現在値</stp>
        <tr r="C987" s="7"/>
      </tp>
      <tp>
        <v>2548</v>
        <stp/>
        <stp>Market</stp>
        <stp>STOCK</stp>
        <stp>81790.T</stp>
        <stp>現在値</stp>
        <tr r="C988" s="7"/>
      </tp>
      <tp>
        <v>66</v>
        <stp/>
        <stp>Market</stp>
        <stp>STOCK</stp>
        <stp>81660.T</stp>
        <stp>現在値</stp>
        <tr r="C986" s="7"/>
      </tp>
      <tp t="s">
        <v>表示銘柄数超過</v>
        <stp/>
        <stp>Market</stp>
        <stp>STOCK</stp>
        <stp>88930.T</stp>
        <stp>現在値</stp>
        <tr r="C1059" s="7"/>
      </tp>
      <tp t="s">
        <v>表示銘柄数超過</v>
        <stp/>
        <stp>Market</stp>
        <stp>STOCK</stp>
        <stp>88940.T</stp>
        <stp>現在値</stp>
        <tr r="C1060" s="7"/>
      </tp>
      <tp t="s">
        <v>表示銘柄数超過</v>
        <stp/>
        <stp>Market</stp>
        <stp>STOCK</stp>
        <stp>88970.T</stp>
        <stp>現在値</stp>
        <tr r="C1061" s="7"/>
      </tp>
      <tp t="s">
        <v>表示銘柄数超過</v>
        <stp/>
        <stp>Market</stp>
        <stp>STOCK</stp>
        <stp>88810.T</stp>
        <stp>現在値</stp>
        <tr r="C1057" s="7"/>
      </tp>
      <tp t="s">
        <v>表示銘柄数超過</v>
        <stp/>
        <stp>Market</stp>
        <stp>STOCK</stp>
        <stp>88870.T</stp>
        <stp>現在値</stp>
        <tr r="C1058" s="7"/>
      </tp>
      <tp t="s">
        <v>表示銘柄数超過</v>
        <stp/>
        <stp>Market</stp>
        <stp>STOCK</stp>
        <stp>88180.T</stp>
        <stp>現在値</stp>
        <tr r="C1053" s="7"/>
      </tp>
      <tp t="s">
        <v>表示銘柄数超過</v>
        <stp/>
        <stp>Market</stp>
        <stp>STOCK</stp>
        <stp>88010.T</stp>
        <stp>現在値</stp>
        <tr r="C1050" s="7"/>
      </tp>
      <tp t="s">
        <v>表示銘柄数超過</v>
        <stp/>
        <stp>Market</stp>
        <stp>STOCK</stp>
        <stp>88020.T</stp>
        <stp>現在値</stp>
        <tr r="C1051" s="7"/>
      </tp>
      <tp t="s">
        <v>表示銘柄数超過</v>
        <stp/>
        <stp>Market</stp>
        <stp>STOCK</stp>
        <stp>88040.T</stp>
        <stp>現在値</stp>
        <tr r="C1052" s="7"/>
      </tp>
      <tp t="s">
        <v>表示銘柄数超過</v>
        <stp/>
        <stp>Market</stp>
        <stp>STOCK</stp>
        <stp>88300.T</stp>
        <stp>現在値</stp>
        <tr r="C1054" s="7"/>
      </tp>
      <tp t="s">
        <v>表示銘柄数超過</v>
        <stp/>
        <stp>Market</stp>
        <stp>STOCK</stp>
        <stp>88410.T</stp>
        <stp>現在値</stp>
        <tr r="C1055" s="7"/>
      </tp>
      <tp t="s">
        <v>表示銘柄数超過</v>
        <stp/>
        <stp>Market</stp>
        <stp>STOCK</stp>
        <stp>88440.T</stp>
        <stp>現在値</stp>
        <tr r="C1056" s="7"/>
      </tp>
      <tp t="s">
        <v>表示銘柄数超過</v>
        <stp/>
        <stp>Market</stp>
        <stp>STOCK</stp>
        <stp>89960.T</stp>
        <stp>現在値</stp>
        <tr r="C1072" s="7"/>
      </tp>
      <tp t="s">
        <v>表示銘柄数超過</v>
        <stp/>
        <stp>Market</stp>
        <stp>STOCK</stp>
        <stp>89120.T</stp>
        <stp>現在値</stp>
        <tr r="C1063" s="7"/>
      </tp>
      <tp t="s">
        <v>表示銘柄数超過</v>
        <stp/>
        <stp>Market</stp>
        <stp>STOCK</stp>
        <stp>89180.T</stp>
        <stp>現在値</stp>
        <tr r="C1064" s="7"/>
      </tp>
      <tp t="s">
        <v>表示銘柄数超過</v>
        <stp/>
        <stp>Market</stp>
        <stp>STOCK</stp>
        <stp>89050.T</stp>
        <stp>現在値</stp>
        <tr r="C1062" s="7"/>
      </tp>
      <tp t="s">
        <v>表示銘柄数超過</v>
        <stp/>
        <stp>Market</stp>
        <stp>STOCK</stp>
        <stp>89380.T</stp>
        <stp>現在値</stp>
        <tr r="C1068" s="7"/>
      </tp>
      <tp t="s">
        <v>表示銘柄数超過</v>
        <stp/>
        <stp>Market</stp>
        <stp>STOCK</stp>
        <stp>89230.T</stp>
        <stp>現在値</stp>
        <tr r="C1065" s="7"/>
      </tp>
      <tp t="s">
        <v>表示銘柄数超過</v>
        <stp/>
        <stp>Market</stp>
        <stp>STOCK</stp>
        <stp>89250.T</stp>
        <stp>現在値</stp>
        <tr r="C1066" s="7"/>
      </tp>
      <tp t="s">
        <v>表示銘柄数超過</v>
        <stp/>
        <stp>Market</stp>
        <stp>STOCK</stp>
        <stp>89270.T</stp>
        <stp>現在値</stp>
        <tr r="C1067" s="7"/>
      </tp>
      <tp t="s">
        <v>表示銘柄数超過</v>
        <stp/>
        <stp>Market</stp>
        <stp>STOCK</stp>
        <stp>89440.T</stp>
        <stp>現在値</stp>
        <tr r="C1069" s="7"/>
      </tp>
      <tp t="s">
        <v>表示銘柄数超過</v>
        <stp/>
        <stp>Market</stp>
        <stp>STOCK</stp>
        <stp>89450.T</stp>
        <stp>現在値</stp>
        <tr r="C1070" s="7"/>
      </tp>
      <tp t="s">
        <v>表示銘柄数超過</v>
        <stp/>
        <stp>Market</stp>
        <stp>STOCK</stp>
        <stp>89460.T</stp>
        <stp>現在値</stp>
        <tr r="C1071" s="7"/>
      </tp>
    </main>
    <main first="rtdsrv.662c26bade854d00aebc6010f8a2e03a">
      <tp t="s">
        <v>表示銘柄数超過</v>
        <stp/>
        <stp>Market</stp>
        <stp>STOCK</stp>
        <stp>28940.T</stp>
        <stp>決算発表日</stp>
        <tr r="X212" s="7"/>
      </tp>
      <tp t="s">
        <v>表示銘柄数超過</v>
        <stp/>
        <stp>Market</stp>
        <stp>STOCK</stp>
        <stp>26940.T</stp>
        <stp>決算発表日</stp>
        <tr r="X184" s="7"/>
      </tp>
      <tp t="s">
        <v>表示銘柄数超過</v>
        <stp/>
        <stp>Market</stp>
        <stp>STOCK</stp>
        <stp>19940.T</stp>
        <stp>決算発表日</stp>
        <tr r="X86" s="7"/>
      </tp>
      <tp t="s">
        <v>2024/02/09</v>
        <stp/>
        <stp>Market</stp>
        <stp>STOCK</stp>
        <stp>77940.T</stp>
        <stp>決算発表日</stp>
        <tr r="X936" s="7"/>
      </tp>
      <tp t="s">
        <v>2024/02/14</v>
        <stp/>
        <stp>Market</stp>
        <stp>STOCK</stp>
        <stp>74940.T</stp>
        <stp>決算発表日</stp>
        <tr r="X894" s="7"/>
      </tp>
      <tp t="s">
        <v>2024/02/09</v>
        <stp/>
        <stp>Market</stp>
        <stp>STOCK</stp>
        <stp>72940.T</stp>
        <stp>決算発表日</stp>
        <tr r="X872" s="7"/>
      </tp>
      <tp t="s">
        <v>2024/02/06</v>
        <stp/>
        <stp>Market</stp>
        <stp>STOCK</stp>
        <stp>69940.T</stp>
        <stp>決算発表日</stp>
        <tr r="X802" s="7"/>
      </tp>
      <tp t="s">
        <v>2024/01/24</v>
        <stp/>
        <stp>Market</stp>
        <stp>STOCK</stp>
        <stp>65940.T</stp>
        <stp>決算発表日</stp>
        <tr r="X735" s="7"/>
      </tp>
      <tp t="s">
        <v>2024/02/09</v>
        <stp/>
        <stp>Market</stp>
        <stp>STOCK</stp>
        <stp>64940.T</stp>
        <stp>決算発表日</stp>
        <tr r="X710" s="7"/>
      </tp>
      <tp t="s">
        <v>2024/02/09</v>
        <stp/>
        <stp>Market</stp>
        <stp>STOCK</stp>
        <stp>61940.T</stp>
        <stp>決算発表日</stp>
        <tr r="X675" s="7"/>
      </tp>
      <tp t="s">
        <v>2024/02/01</v>
        <stp/>
        <stp>Market</stp>
        <stp>STOCK</stp>
        <stp>59940.T</stp>
        <stp>決算発表日</stp>
        <tr r="X634" s="7"/>
      </tp>
      <tp t="s">
        <v>表示銘柄数超過</v>
        <stp/>
        <stp>Market</stp>
        <stp>STOCK</stp>
        <stp>45940.T</stp>
        <stp>決算発表日</stp>
        <tr r="X505" s="7"/>
      </tp>
      <tp t="s">
        <v>表示銘柄数超過</v>
        <stp/>
        <stp>Market</stp>
        <stp>STOCK</stp>
        <stp>88940.T</stp>
        <stp>決算発表日</stp>
        <tr r="X1060" s="7"/>
      </tp>
      <tp t="s">
        <v>2024/01/11</v>
        <stp/>
        <stp>Market</stp>
        <stp>STOCK</stp>
        <stp>81940.T</stp>
        <stp>決算発表日</stp>
        <tr r="X989" s="7"/>
      </tp>
      <tp t="s">
        <v>表示銘柄数超過</v>
        <stp/>
        <stp>Market</stp>
        <stp>STOCK</stp>
        <stp>39950.T</stp>
        <stp>決算発表日</stp>
        <tr r="X407" s="7"/>
      </tp>
      <tp t="s">
        <v>2024/01/31</v>
        <stp/>
        <stp>Market</stp>
        <stp>STOCK</stp>
        <stp>77950.T</stp>
        <stp>決算発表日</stp>
        <tr r="X937" s="7"/>
      </tp>
      <tp t="s">
        <v>2024/02/13</v>
        <stp/>
        <stp>Market</stp>
        <stp>STOCK</stp>
        <stp>64950.T</stp>
        <stp>決算発表日</stp>
        <tr r="X711" s="7"/>
      </tp>
      <tp t="s">
        <v>2024/02/14</v>
        <stp/>
        <stp>Market</stp>
        <stp>STOCK</stp>
        <stp>63950.T</stp>
        <stp>決算発表日</stp>
        <tr r="X699" s="7"/>
      </tp>
      <tp t="s">
        <v>2024/02/13</v>
        <stp/>
        <stp>Market</stp>
        <stp>STOCK</stp>
        <stp>61950.T</stp>
        <stp>決算発表日</stp>
        <tr r="X676" s="7"/>
      </tp>
      <tp t="s">
        <v>表示銘柄数超過</v>
        <stp/>
        <stp>Market</stp>
        <stp>STOCK</stp>
        <stp>44950.T</stp>
        <stp>決算発表日</stp>
        <tr r="X478" s="7"/>
      </tp>
      <tp t="s">
        <v>表示銘柄数超過</v>
        <stp/>
        <stp>Market</stp>
        <stp>STOCK</stp>
        <stp>43950.T</stp>
        <stp>決算発表日</stp>
        <tr r="X458" s="7"/>
      </tp>
      <tp t="s">
        <v>表示銘柄数超過</v>
        <stp/>
        <stp>Market</stp>
        <stp>STOCK</stp>
        <stp>99950.T</stp>
        <stp>決算発表日</stp>
        <tr r="X1191" s="7"/>
      </tp>
      <tp t="s">
        <v>2024/01/12</v>
        <stp/>
        <stp>Market</stp>
        <stp>STOCK</stp>
        <stp>80950.T</stp>
        <stp>決算発表日</stp>
        <tr r="X975" s="7"/>
      </tp>
      <tp t="s">
        <v>表示銘柄数超過</v>
        <stp/>
        <stp>Market</stp>
        <stp>STOCK</stp>
        <stp>36960.T</stp>
        <stp>決算発表日</stp>
        <tr r="X342" s="7"/>
      </tp>
      <tp t="s">
        <v>2024/03/06</v>
        <stp/>
        <stp>Market</stp>
        <stp>STOCK</stp>
        <stp>71960.T</stp>
        <stp>決算発表日</stp>
        <tr r="X843" s="7"/>
      </tp>
      <tp t="s">
        <v>2024/03/13</v>
        <stp/>
        <stp>Market</stp>
        <stp>STOCK</stp>
        <stp>66960.T</stp>
        <stp>決算発表日</stp>
        <tr r="X753" s="7"/>
      </tp>
      <tp t="s">
        <v>2024/02/14</v>
        <stp/>
        <stp>Market</stp>
        <stp>STOCK</stp>
        <stp>60960.T</stp>
        <stp>決算発表日</stp>
        <tr r="X653" s="7"/>
      </tp>
      <tp t="s">
        <v>表示銘柄数超過</v>
        <stp/>
        <stp>Market</stp>
        <stp>STOCK</stp>
        <stp>45960.T</stp>
        <stp>決算発表日</stp>
        <tr r="X506" s="7"/>
      </tp>
      <tp t="s">
        <v>表示銘柄数超過</v>
        <stp/>
        <stp>Market</stp>
        <stp>STOCK</stp>
        <stp>89960.T</stp>
        <stp>決算発表日</stp>
        <tr r="X1072" s="7"/>
      </tp>
      <tp t="s">
        <v>表示銘柄数超過</v>
        <stp/>
        <stp>Market</stp>
        <stp>STOCK</stp>
        <stp>39970.T</stp>
        <stp>決算発表日</stp>
        <tr r="X408" s="7"/>
      </tp>
      <tp t="s">
        <v>表示銘柄数超過</v>
        <stp/>
        <stp>Market</stp>
        <stp>STOCK</stp>
        <stp>32970.T</stp>
        <stp>決算発表日</stp>
        <tr r="X273" s="7"/>
      </tp>
      <tp t="s">
        <v>表示銘柄数超過</v>
        <stp/>
        <stp>Market</stp>
        <stp>STOCK</stp>
        <stp>31970.T</stp>
        <stp>決算発表日</stp>
        <tr r="X257" s="7"/>
      </tp>
      <tp t="s">
        <v>表示銘柄数超過</v>
        <stp/>
        <stp>Market</stp>
        <stp>STOCK</stp>
        <stp>29970.T</stp>
        <stp>決算発表日</stp>
        <tr r="X220" s="7"/>
      </tp>
      <tp t="s">
        <v>表示銘柄数超過</v>
        <stp/>
        <stp>Market</stp>
        <stp>STOCK</stp>
        <stp>25970.T</stp>
        <stp>決算発表日</stp>
        <tr r="X168" s="7"/>
      </tp>
      <tp t="s">
        <v>表示銘柄数超過</v>
        <stp/>
        <stp>Market</stp>
        <stp>STOCK</stp>
        <stp>24970.T</stp>
        <stp>決算発表日</stp>
        <tr r="X155" s="7"/>
      </tp>
      <tp t="s">
        <v>2024/01/15</v>
        <stp/>
        <stp>Market</stp>
        <stp>STOCK</stp>
        <stp>79970.T</stp>
        <stp>決算発表日</stp>
        <tr r="X963" s="7"/>
      </tp>
      <tp t="s">
        <v>2024/01/26</v>
        <stp/>
        <stp>Market</stp>
        <stp>STOCK</stp>
        <stp>78970.T</stp>
        <stp>決算発表日</stp>
        <tr r="X952" s="7"/>
      </tp>
      <tp t="s">
        <v>2024/02/07</v>
        <stp/>
        <stp>Market</stp>
        <stp>STOCK</stp>
        <stp>69970.T</stp>
        <stp>決算発表日</stp>
        <tr r="X803" s="7"/>
      </tp>
      <tp t="s">
        <v>2024/01/11</v>
        <stp/>
        <stp>Market</stp>
        <stp>STOCK</stp>
        <stp>68970.T</stp>
        <stp>決算発表日</stp>
        <tr r="X783" s="7"/>
      </tp>
      <tp t="s">
        <v>2024/02/13</v>
        <stp/>
        <stp>Market</stp>
        <stp>STOCK</stp>
        <stp>62970.T</stp>
        <stp>決算発表日</stp>
        <tr r="X684" s="7"/>
      </tp>
      <tp t="s">
        <v>2024/02/14</v>
        <stp/>
        <stp>Market</stp>
        <stp>STOCK</stp>
        <stp>59970.T</stp>
        <stp>決算発表日</stp>
        <tr r="X635" s="7"/>
      </tp>
      <tp t="s">
        <v>2024/02/08</v>
        <stp/>
        <stp>Market</stp>
        <stp>STOCK</stp>
        <stp>49970.T</stp>
        <stp>決算発表日</stp>
        <tr r="X557" s="7"/>
      </tp>
      <tp t="s">
        <v>表示銘柄数超過</v>
        <stp/>
        <stp>Market</stp>
        <stp>STOCK</stp>
        <stp>45970.T</stp>
        <stp>決算発表日</stp>
        <tr r="X507" s="7"/>
      </tp>
      <tp t="s">
        <v>表示銘柄数超過</v>
        <stp/>
        <stp>Market</stp>
        <stp>STOCK</stp>
        <stp>88970.T</stp>
        <stp>決算発表日</stp>
        <tr r="X1061" s="7"/>
      </tp>
      <tp t="s">
        <v>2024/01/29</v>
        <stp/>
        <stp>Market</stp>
        <stp>STOCK</stp>
        <stp>86970.T</stp>
        <stp>決算発表日</stp>
        <tr r="X1035" s="7"/>
      </tp>
      <tp t="s">
        <v>表示銘柄数超過</v>
        <stp/>
        <stp>Market</stp>
        <stp>STOCK</stp>
        <stp>39900.T</stp>
        <stp>決算発表日</stp>
        <tr r="X405" s="7"/>
      </tp>
      <tp t="s">
        <v>表示銘柄数超過</v>
        <stp/>
        <stp>Market</stp>
        <stp>STOCK</stp>
        <stp>27900.T</stp>
        <stp>決算発表日</stp>
        <tr r="X200" s="7"/>
      </tp>
      <tp t="s">
        <v>2024/03/05</v>
        <stp/>
        <stp>Market</stp>
        <stp>STOCK</stp>
        <stp>75900.T</stp>
        <stp>決算発表日</stp>
        <tr r="X907" s="7"/>
      </tp>
      <tp t="s">
        <v>2024/02/13</v>
        <stp/>
        <stp>Market</stp>
        <stp>STOCK</stp>
        <stp>63900.T</stp>
        <stp>決算発表日</stp>
        <tr r="X698" s="7"/>
      </tp>
      <tp t="s">
        <v>2024/02/14</v>
        <stp/>
        <stp>Market</stp>
        <stp>STOCK</stp>
        <stp>61900.T</stp>
        <stp>決算発表日</stp>
        <tr r="X673" s="7"/>
      </tp>
      <tp t="s">
        <v>表示銘柄数超過</v>
        <stp/>
        <stp>Market</stp>
        <stp>STOCK</stp>
        <stp>48900.T</stp>
        <stp>決算発表日</stp>
        <tr r="X548" s="7"/>
      </tp>
      <tp t="s">
        <v>表示銘柄数超過</v>
        <stp/>
        <stp>Market</stp>
        <stp>STOCK</stp>
        <stp>46900.T</stp>
        <stp>決算発表日</stp>
        <tr r="X521" s="7"/>
      </tp>
      <tp t="s">
        <v>表示銘柄数超過</v>
        <stp/>
        <stp>Market</stp>
        <stp>STOCK</stp>
        <stp>99900.T</stp>
        <stp>決算発表日</stp>
        <tr r="X1190" s="7"/>
      </tp>
      <tp t="s">
        <v>表示銘柄数超過</v>
        <stp/>
        <stp>Market</stp>
        <stp>STOCK</stp>
        <stp>98900.T</stp>
        <stp>決算発表日</stp>
        <tr r="X1177" s="7"/>
      </tp>
      <tp t="s">
        <v>表示銘柄数超過</v>
        <stp/>
        <stp>Market</stp>
        <stp>STOCK</stp>
        <stp>90900.T</stp>
        <stp>決算発表日</stp>
        <tr r="X1092" s="7"/>
      </tp>
      <tp t="s">
        <v>表示銘柄数超過</v>
        <stp/>
        <stp>Market</stp>
        <stp>STOCK</stp>
        <stp>36910.T</stp>
        <stp>決算発表日</stp>
        <tr r="X341" s="7"/>
      </tp>
      <tp t="s">
        <v>表示銘柄数超過</v>
        <stp/>
        <stp>Market</stp>
        <stp>STOCK</stp>
        <stp>14910.T</stp>
        <stp>決算発表日</stp>
        <tr r="X29" s="7"/>
      </tp>
      <tp t="s">
        <v>2024/02/08</v>
        <stp/>
        <stp>Market</stp>
        <stp>STOCK</stp>
        <stp>72910.T</stp>
        <stp>決算発表日</stp>
        <tr r="X871" s="7"/>
      </tp>
      <tp t="s">
        <v>2024/03/13</v>
        <stp/>
        <stp>Market</stp>
        <stp>STOCK</stp>
        <stp>60910.T</stp>
        <stp>決算発表日</stp>
        <tr r="X650" s="7"/>
      </tp>
      <tp t="s">
        <v>2024/02/13</v>
        <stp/>
        <stp>Market</stp>
        <stp>STOCK</stp>
        <stp>59910.T</stp>
        <stp>決算発表日</stp>
        <tr r="X633" s="7"/>
      </tp>
      <tp t="s">
        <v>2024/01/31</v>
        <stp/>
        <stp>Market</stp>
        <stp>STOCK</stp>
        <stp>54910.T</stp>
        <stp>決算発表日</stp>
        <tr r="X598" s="7"/>
      </tp>
      <tp t="s">
        <v>表示銘柄数超過</v>
        <stp/>
        <stp>Market</stp>
        <stp>STOCK</stp>
        <stp>48910.T</stp>
        <stp>決算発表日</stp>
        <tr r="X549" s="7"/>
      </tp>
      <tp t="s">
        <v>表示銘柄数超過</v>
        <stp/>
        <stp>Market</stp>
        <stp>STOCK</stp>
        <stp>45910.T</stp>
        <stp>決算発表日</stp>
        <tr r="X502" s="7"/>
      </tp>
      <tp t="s">
        <v>2024/02/07</v>
        <stp/>
        <stp>Market</stp>
        <stp>STOCK</stp>
        <stp>85910.T</stp>
        <stp>決算発表日</stp>
        <tr r="X1023" s="7"/>
      </tp>
      <tp t="s">
        <v>2024/02/09</v>
        <stp/>
        <stp>Market</stp>
        <stp>STOCK</stp>
        <stp>82910.T</stp>
        <stp>決算発表日</stp>
        <tr r="X1002" s="7"/>
      </tp>
      <tp t="s">
        <v>表示銘柄数超過</v>
        <stp/>
        <stp>Market</stp>
        <stp>STOCK</stp>
        <stp>39920.T</stp>
        <stp>決算発表日</stp>
        <tr r="X406" s="7"/>
      </tp>
      <tp t="s">
        <v>表示銘柄数超過</v>
        <stp/>
        <stp>Market</stp>
        <stp>STOCK</stp>
        <stp>33920.T</stp>
        <stp>決算発表日</stp>
        <tr r="X293" s="7"/>
      </tp>
      <tp t="s">
        <v>表示銘柄数超過</v>
        <stp/>
        <stp>Market</stp>
        <stp>STOCK</stp>
        <stp>31920.T</stp>
        <stp>決算発表日</stp>
        <tr r="X256" s="7"/>
      </tp>
      <tp t="s">
        <v>表示銘柄数超過</v>
        <stp/>
        <stp>Market</stp>
        <stp>STOCK</stp>
        <stp>24920.T</stp>
        <stp>決算発表日</stp>
        <tr r="X154" s="7"/>
      </tp>
      <tp t="s">
        <v>2024/02/09</v>
        <stp/>
        <stp>Market</stp>
        <stp>STOCK</stp>
        <stp>77920.T</stp>
        <stp>決算発表日</stp>
        <tr r="X935" s="7"/>
      </tp>
      <tp t="s">
        <v>2024/03/15</v>
        <stp/>
        <stp>Market</stp>
        <stp>STOCK</stp>
        <stp>76920.T</stp>
        <stp>決算発表日</stp>
        <tr r="X920" s="7"/>
      </tp>
      <tp t="s">
        <v/>
        <stp/>
        <stp>Market</stp>
        <stp>STOCK</stp>
        <stp>61920.T</stp>
        <stp>決算発表日</stp>
        <tr r="X674" s="7"/>
      </tp>
      <tp t="s">
        <v>2024/02/14</v>
        <stp/>
        <stp>Market</stp>
        <stp>STOCK</stp>
        <stp>60920.T</stp>
        <stp>決算発表日</stp>
        <tr r="X651" s="7"/>
      </tp>
      <tp t="s">
        <v>2024/02/07</v>
        <stp/>
        <stp>Market</stp>
        <stp>STOCK</stp>
        <stp>51920.T</stp>
        <stp>決算発表日</stp>
        <tr r="X574" s="7"/>
      </tp>
      <tp t="s">
        <v>表示銘柄数超過</v>
        <stp/>
        <stp>Market</stp>
        <stp>STOCK</stp>
        <stp>48920.T</stp>
        <stp>決算発表日</stp>
        <tr r="X550" s="7"/>
      </tp>
      <tp t="s">
        <v>表示銘柄数超過</v>
        <stp/>
        <stp>Market</stp>
        <stp>STOCK</stp>
        <stp>45920.T</stp>
        <stp>決算発表日</stp>
        <tr r="X503" s="7"/>
      </tp>
      <tp t="s">
        <v>表示銘柄数超過</v>
        <stp/>
        <stp>Market</stp>
        <stp>STOCK</stp>
        <stp>44920.T</stp>
        <stp>決算発表日</stp>
        <tr r="X477" s="7"/>
      </tp>
      <tp t="s">
        <v>表示銘柄数超過</v>
        <stp/>
        <stp>Market</stp>
        <stp>STOCK</stp>
        <stp>41920.T</stp>
        <stp>決算発表日</stp>
        <tr r="X424" s="7"/>
      </tp>
      <tp t="s">
        <v>表示銘柄数超過</v>
        <stp/>
        <stp>Market</stp>
        <stp>STOCK</stp>
        <stp>37930.T</stp>
        <stp>決算発表日</stp>
        <tr r="X360" s="7"/>
      </tp>
      <tp t="s">
        <v>表示銘柄数超過</v>
        <stp/>
        <stp>Market</stp>
        <stp>STOCK</stp>
        <stp>29930.T</stp>
        <stp>決算発表日</stp>
        <tr r="X219" s="7"/>
      </tp>
      <tp t="s">
        <v>表示銘柄数超過</v>
        <stp/>
        <stp>Market</stp>
        <stp>STOCK</stp>
        <stp>26930.T</stp>
        <stp>決算発表日</stp>
        <tr r="X183" s="7"/>
      </tp>
      <tp t="s">
        <v>表示銘柄数超過</v>
        <stp/>
        <stp>Market</stp>
        <stp>STOCK</stp>
        <stp>18930.T</stp>
        <stp>決算発表日</stp>
        <tr r="X70" s="7"/>
      </tp>
      <tp t="s">
        <v>表示銘柄数超過</v>
        <stp/>
        <stp>Market</stp>
        <stp>STOCK</stp>
        <stp>25935.T</stp>
        <stp>決算発表日</stp>
        <tr r="X167" s="7"/>
      </tp>
      <tp t="s">
        <v>2024/02/14</v>
        <stp/>
        <stp>Market</stp>
        <stp>STOCK</stp>
        <stp>75930.T</stp>
        <stp>決算発表日</stp>
        <tr r="X908" s="7"/>
      </tp>
      <tp t="s">
        <v>2024/02/09</v>
        <stp/>
        <stp>Market</stp>
        <stp>STOCK</stp>
        <stp>69930.T</stp>
        <stp>決算発表日</stp>
        <tr r="X801" s="7"/>
      </tp>
      <tp t="s">
        <v>2024/01/31</v>
        <stp/>
        <stp>Market</stp>
        <stp>STOCK</stp>
        <stp>64930.T</stp>
        <stp>決算発表日</stp>
        <tr r="X709" s="7"/>
      </tp>
      <tp t="s">
        <v>2024/01/09</v>
        <stp/>
        <stp>Market</stp>
        <stp>STOCK</stp>
        <stp>60930.T</stp>
        <stp>決算発表日</stp>
        <tr r="X652" s="7"/>
      </tp>
      <tp t="s">
        <v>表示銘柄数超過</v>
        <stp/>
        <stp>Market</stp>
        <stp>STOCK</stp>
        <stp>45930.T</stp>
        <stp>決算発表日</stp>
        <tr r="X504" s="7"/>
      </tp>
      <tp t="s">
        <v>表示銘柄数超過</v>
        <stp/>
        <stp>Market</stp>
        <stp>STOCK</stp>
        <stp>42930.T</stp>
        <stp>決算発表日</stp>
        <tr r="X439" s="7"/>
      </tp>
      <tp t="s">
        <v>表示銘柄数超過</v>
        <stp/>
        <stp>Market</stp>
        <stp>STOCK</stp>
        <stp>88930.T</stp>
        <stp>決算発表日</stp>
        <tr r="X1059" s="7"/>
      </tp>
      <tp t="s">
        <v>表示銘柄数超過</v>
        <stp/>
        <stp>Market</stp>
        <stp>STOCK</stp>
        <stp>87930.T</stp>
        <stp>決算発表日</stp>
        <tr r="X1049" s="7"/>
      </tp>
      <tp t="s">
        <v>2024/02/09</v>
        <stp/>
        <stp>Market</stp>
        <stp>STOCK</stp>
        <stp>85930.T</stp>
        <stp>決算発表日</stp>
        <tr r="X1024" s="7"/>
      </tp>
      <tp t="s">
        <v>表示銘柄数超過</v>
        <stp/>
        <stp>Market</stp>
        <stp>STOCK</stp>
        <stp>39980.T</stp>
        <stp>決算発表日</stp>
        <tr r="X409" s="7"/>
      </tp>
      <tp t="s">
        <v>表示銘柄数超過</v>
        <stp/>
        <stp>Market</stp>
        <stp>STOCK</stp>
        <stp>36980.T</stp>
        <stp>決算発表日</stp>
        <tr r="X343" s="7"/>
      </tp>
      <tp t="s">
        <v>表示銘柄数超過</v>
        <stp/>
        <stp>Market</stp>
        <stp>STOCK</stp>
        <stp>26980.T</stp>
        <stp>決算発表日</stp>
        <tr r="X185" s="7"/>
      </tp>
      <tp t="s">
        <v>表示銘柄数超過</v>
        <stp/>
        <stp>Market</stp>
        <stp>STOCK</stp>
        <stp>21980.T</stp>
        <stp>決算発表日</stp>
        <tr r="X102" s="7"/>
      </tp>
      <tp t="s">
        <v>表示銘柄数超過</v>
        <stp/>
        <stp>Market</stp>
        <stp>STOCK</stp>
        <stp>18980.T</stp>
        <stp>決算発表日</stp>
        <tr r="X71" s="7"/>
      </tp>
      <tp t="s">
        <v/>
        <stp/>
        <stp>Market</stp>
        <stp>STOCK</stp>
        <stp>72980.T</stp>
        <stp>決算発表日</stp>
        <tr r="X873" s="7"/>
      </tp>
      <tp t="s">
        <v>2024/02/13</v>
        <stp/>
        <stp>Market</stp>
        <stp>STOCK</stp>
        <stp>64980.T</stp>
        <stp>決算発表日</stp>
        <tr r="X712" s="7"/>
      </tp>
      <tp t="s">
        <v>2024/02/13</v>
        <stp/>
        <stp>Market</stp>
        <stp>STOCK</stp>
        <stp>62980.T</stp>
        <stp>決算発表日</stp>
        <tr r="X685" s="7"/>
      </tp>
      <tp t="s">
        <v>2024/02/09</v>
        <stp/>
        <stp>Market</stp>
        <stp>STOCK</stp>
        <stp>60980.T</stp>
        <stp>決算発表日</stp>
        <tr r="X654" s="7"/>
      </tp>
      <tp t="s">
        <v>2024/02/09</v>
        <stp/>
        <stp>Market</stp>
        <stp>STOCK</stp>
        <stp>56980.T</stp>
        <stp>決算発表日</stp>
        <tr r="X604" s="7"/>
      </tp>
      <tp t="s">
        <v>2024/01/31</v>
        <stp/>
        <stp>Market</stp>
        <stp>STOCK</stp>
        <stp>86980.T</stp>
        <stp>決算発表日</stp>
        <tr r="X1036" s="7"/>
      </tp>
      <tp t="s">
        <v>表示銘柄数超過</v>
        <stp/>
        <stp>Market</stp>
        <stp>STOCK</stp>
        <stp>32990.T</stp>
        <stp>決算発表日</stp>
        <tr r="X274" s="7"/>
      </tp>
      <tp t="s">
        <v>表示銘柄数超過</v>
        <stp/>
        <stp>Market</stp>
        <stp>STOCK</stp>
        <stp>30990.T</stp>
        <stp>決算発表日</stp>
        <tr r="X240" s="7"/>
      </tp>
      <tp t="s">
        <v>表示銘柄数超過</v>
        <stp/>
        <stp>Market</stp>
        <stp>STOCK</stp>
        <stp>16990.T</stp>
        <stp>決算発表日</stp>
        <tr r="X45" s="7"/>
      </tp>
      <tp t="s">
        <v>表示銘柄数超過</v>
        <stp/>
        <stp>Market</stp>
        <stp>STOCK</stp>
        <stp>13990.T</stp>
        <stp>決算発表日</stp>
        <tr r="X16" s="7"/>
      </tp>
      <tp t="s">
        <v>-</v>
        <stp/>
        <stp>Market</stp>
        <stp>STOCK</stp>
        <stp>93990.T</stp>
        <stp>決算発表日</stp>
        <tr r="X1113" s="7"/>
      </tp>
      <tp>
        <v>927</v>
        <stp/>
        <stp>Market</stp>
        <stp>STOCK</stp>
        <stp>52430.T</stp>
        <stp>年初来高値</stp>
        <tr r="Y577" s="7"/>
      </tp>
      <tp t="s">
        <v>表示銘柄数超過</v>
        <stp/>
        <stp>Market</stp>
        <stp>STOCK</stp>
        <stp>42430.T</stp>
        <stp>年初来高値</stp>
        <tr r="Y430" s="7"/>
      </tp>
      <tp t="s">
        <v>表示銘柄数超過</v>
        <stp/>
        <stp>Market</stp>
        <stp>STOCK</stp>
        <stp>43430.T</stp>
        <stp>年初来高値</stp>
        <tr r="Y445" s="7"/>
      </tp>
      <tp>
        <v>1577</v>
        <stp/>
        <stp>Market</stp>
        <stp>STOCK</stp>
        <stp>70430.T</stp>
        <stp>年初来高値</stp>
        <tr r="Y813" s="7"/>
      </tp>
      <tp>
        <v>655</v>
        <stp/>
        <stp>Market</stp>
        <stp>STOCK</stp>
        <stp>65430.T</stp>
        <stp>年初来高値</stp>
        <tr r="Y721" s="7"/>
      </tp>
      <tp>
        <v>117</v>
        <stp/>
        <stp>Market</stp>
        <stp>STOCK</stp>
        <stp>63430.T</stp>
        <stp>年初来高値</stp>
        <tr r="Y691" s="7"/>
      </tp>
      <tp t="s">
        <v>表示銘柄数超過</v>
        <stp/>
        <stp>Market</stp>
        <stp>STOCK</stp>
        <stp>17430.T</stp>
        <stp>年初来高値</stp>
        <tr r="Y53" s="7"/>
      </tp>
      <tp t="s">
        <v>表示銘柄数超過</v>
        <stp/>
        <stp>Market</stp>
        <stp>STOCK</stp>
        <stp>35430.T</stp>
        <stp>年初来高値</stp>
        <tr r="Y306" s="7"/>
      </tp>
      <tp t="s">
        <v>表示銘柄数超過</v>
        <stp/>
        <stp>Market</stp>
        <stp>STOCK</stp>
        <stp>27430.T</stp>
        <stp>年初来高値</stp>
        <tr r="Y191" s="7"/>
      </tp>
      <tp>
        <v>460</v>
        <stp/>
        <stp>Market</stp>
        <stp>STOCK</stp>
        <stp>81430.T</stp>
        <stp>年初来高値</stp>
        <tr r="Y983" s="7"/>
      </tp>
      <tp>
        <v>2040</v>
        <stp/>
        <stp>Market</stp>
        <stp>STOCK</stp>
        <stp>73420.T</stp>
        <stp>年初来高値</stp>
        <tr r="Y876" s="7"/>
      </tp>
      <tp>
        <v>535</v>
        <stp/>
        <stp>Market</stp>
        <stp>STOCK</stp>
        <stp>67420.T</stp>
        <stp>年初来高値</stp>
        <tr r="Y761" s="7"/>
      </tp>
      <tp>
        <v>1551</v>
        <stp/>
        <stp>Market</stp>
        <stp>STOCK</stp>
        <stp>69420.T</stp>
        <stp>年初来高値</stp>
        <tr r="Y792" s="7"/>
      </tp>
      <tp t="s">
        <v>表示銘柄数超過</v>
        <stp/>
        <stp>Market</stp>
        <stp>STOCK</stp>
        <stp>19420.T</stp>
        <stp>年初来高値</stp>
        <tr r="Y80" s="7"/>
      </tp>
      <tp t="s">
        <v>表示銘柄数超過</v>
        <stp/>
        <stp>Market</stp>
        <stp>STOCK</stp>
        <stp>32420.T</stp>
        <stp>年初来高値</stp>
        <tr r="Y263" s="7"/>
      </tp>
      <tp t="s">
        <v>表示銘柄数超過</v>
        <stp/>
        <stp>Market</stp>
        <stp>STOCK</stp>
        <stp>38420.T</stp>
        <stp>年初来高値</stp>
        <tr r="Y371" s="7"/>
      </tp>
      <tp t="s">
        <v>表示銘柄数超過</v>
        <stp/>
        <stp>Market</stp>
        <stp>STOCK</stp>
        <stp>22420.T</stp>
        <stp>年初来高値</stp>
        <tr r="Y108" s="7"/>
      </tp>
      <tp t="s">
        <v>表示銘柄数超過</v>
        <stp/>
        <stp>Market</stp>
        <stp>STOCK</stp>
        <stp>90420.T</stp>
        <stp>年初来高値</stp>
        <tr r="Y1086" s="7"/>
      </tp>
      <tp t="s">
        <v>表示銘柄数超過</v>
        <stp/>
        <stp>Market</stp>
        <stp>STOCK</stp>
        <stp>91420.T</stp>
        <stp>年初来高値</stp>
        <tr r="Y1098" s="7"/>
      </tp>
      <tp t="s">
        <v>表示銘柄数超過</v>
        <stp/>
        <stp>Market</stp>
        <stp>STOCK</stp>
        <stp>98420.T</stp>
        <stp>年初来高値</stp>
        <tr r="Y1172" s="7"/>
      </tp>
      <tp>
        <v>261</v>
        <stp/>
        <stp>Market</stp>
        <stp>STOCK</stp>
        <stp>87420.T</stp>
        <stp>年初来高値</stp>
        <tr r="Y1042" s="7"/>
      </tp>
      <tp>
        <v>1961</v>
        <stp/>
        <stp>Market</stp>
        <stp>STOCK</stp>
        <stp>82420.T</stp>
        <stp>年初来高値</stp>
        <tr r="Y996" s="7"/>
      </tp>
      <tp>
        <v>840</v>
        <stp/>
        <stp>Market</stp>
        <stp>STOCK</stp>
        <stp>53410.T</stp>
        <stp>年初来高値</stp>
        <tr r="Y587" s="7"/>
      </tp>
      <tp t="s">
        <v>表示銘柄数超過</v>
        <stp/>
        <stp>Market</stp>
        <stp>STOCK</stp>
        <stp>44410.T</stp>
        <stp>年初来高値</stp>
        <tr r="Y466" s="7"/>
      </tp>
      <tp t="s">
        <v>表示銘柄数超過</v>
        <stp/>
        <stp>Market</stp>
        <stp>STOCK</stp>
        <stp>42410.T</stp>
        <stp>年初来高値</stp>
        <tr r="Y429" s="7"/>
      </tp>
      <tp>
        <v>652</v>
        <stp/>
        <stp>Market</stp>
        <stp>STOCK</stp>
        <stp>70410.T</stp>
        <stp>年初来高値</stp>
        <tr r="Y812" s="7"/>
      </tp>
      <tp>
        <v>1179</v>
        <stp/>
        <stp>Market</stp>
        <stp>STOCK</stp>
        <stp>67410.T</stp>
        <stp>年初来高値</stp>
        <tr r="Y760" s="7"/>
      </tp>
      <tp>
        <v>2444</v>
        <stp/>
        <stp>Market</stp>
        <stp>STOCK</stp>
        <stp>69410.T</stp>
        <stp>年初来高値</stp>
        <tr r="Y791" s="7"/>
      </tp>
      <tp t="s">
        <v>表示銘柄数超過</v>
        <stp/>
        <stp>Market</stp>
        <stp>STOCK</stp>
        <stp>19410.T</stp>
        <stp>年初来高値</stp>
        <tr r="Y79" s="7"/>
      </tp>
      <tp t="s">
        <v>表示銘柄数超過</v>
        <stp/>
        <stp>Market</stp>
        <stp>STOCK</stp>
        <stp>35410.T</stp>
        <stp>年初来高値</stp>
        <tr r="Y305" s="7"/>
      </tp>
      <tp t="s">
        <v>表示銘柄数超過</v>
        <stp/>
        <stp>Market</stp>
        <stp>STOCK</stp>
        <stp>37410.T</stp>
        <stp>年初来高値</stp>
        <tr r="Y349" s="7"/>
      </tp>
      <tp t="s">
        <v>表示銘柄数超過</v>
        <stp/>
        <stp>Market</stp>
        <stp>STOCK</stp>
        <stp>30410.T</stp>
        <stp>年初来高値</stp>
        <tr r="Y231" s="7"/>
      </tp>
      <tp t="s">
        <v>表示銘柄数超過</v>
        <stp/>
        <stp>Market</stp>
        <stp>STOCK</stp>
        <stp>31410.T</stp>
        <stp>年初来高値</stp>
        <tr r="Y247" s="7"/>
      </tp>
      <tp t="s">
        <v>表示銘柄数超過</v>
        <stp/>
        <stp>Market</stp>
        <stp>STOCK</stp>
        <stp>32410.T</stp>
        <stp>年初来高値</stp>
        <tr r="Y262" s="7"/>
      </tp>
      <tp t="s">
        <v>表示銘柄数超過</v>
        <stp/>
        <stp>Market</stp>
        <stp>STOCK</stp>
        <stp>33410.T</stp>
        <stp>年初来高値</stp>
        <tr r="Y282" s="7"/>
      </tp>
      <tp t="s">
        <v>表示銘柄数超過</v>
        <stp/>
        <stp>Market</stp>
        <stp>STOCK</stp>
        <stp>22410.T</stp>
        <stp>年初来高値</stp>
        <tr r="Y107" s="7"/>
      </tp>
      <tp t="s">
        <v>表示銘柄数超過</v>
        <stp/>
        <stp>Market</stp>
        <stp>STOCK</stp>
        <stp>23410.T</stp>
        <stp>年初来高値</stp>
        <tr r="Y120" s="7"/>
      </tp>
      <tp t="s">
        <v>表示銘柄数超過</v>
        <stp/>
        <stp>Market</stp>
        <stp>STOCK</stp>
        <stp>90410.T</stp>
        <stp>年初来高値</stp>
        <tr r="Y1085" s="7"/>
      </tp>
      <tp t="s">
        <v>表示銘柄数超過</v>
        <stp/>
        <stp>Market</stp>
        <stp>STOCK</stp>
        <stp>92410.T</stp>
        <stp>年初来高値</stp>
        <tr r="Y1100" s="7"/>
      </tp>
      <tp t="s">
        <v>表示銘柄数超過</v>
        <stp/>
        <stp>Market</stp>
        <stp>STOCK</stp>
        <stp>88410.T</stp>
        <stp>年初来高値</stp>
        <tr r="Y1055" s="7"/>
      </tp>
      <tp>
        <v>95</v>
        <stp/>
        <stp>Market</stp>
        <stp>STOCK</stp>
        <stp>59400.T</stp>
        <stp>年初来高値</stp>
        <tr r="Y622" s="7"/>
      </tp>
      <tp>
        <v>208</v>
        <stp/>
        <stp>Market</stp>
        <stp>STOCK</stp>
        <stp>76400.T</stp>
        <stp>年初来高値</stp>
        <tr r="Y917" s="7"/>
      </tp>
      <tp>
        <v>2183</v>
        <stp/>
        <stp>Market</stp>
        <stp>STOCK</stp>
        <stp>72400.T</stp>
        <stp>年初来高値</stp>
        <tr r="Y857" s="7"/>
      </tp>
      <tp>
        <v>695</v>
        <stp/>
        <stp>Market</stp>
        <stp>STOCK</stp>
        <stp>79400.T</stp>
        <stp>年初来高値</stp>
        <tr r="Y957" s="7"/>
      </tp>
      <tp>
        <v>673</v>
        <stp/>
        <stp>Market</stp>
        <stp>STOCK</stp>
        <stp>64400.T</stp>
        <stp>年初来高値</stp>
        <tr r="Y702" s="7"/>
      </tp>
      <tp>
        <v>1866</v>
        <stp/>
        <stp>Market</stp>
        <stp>STOCK</stp>
        <stp>66400.T</stp>
        <stp>年初来高値</stp>
        <tr r="Y745" s="7"/>
      </tp>
      <tp>
        <v>56</v>
        <stp/>
        <stp>Market</stp>
        <stp>STOCK</stp>
        <stp>67400.T</stp>
        <stp>年初来高値</stp>
        <tr r="Y759" s="7"/>
      </tp>
      <tp>
        <v>979</v>
        <stp/>
        <stp>Market</stp>
        <stp>STOCK</stp>
        <stp>61400.T</stp>
        <stp>年初来高値</stp>
        <tr r="Y658" s="7"/>
      </tp>
      <tp>
        <v>578</v>
        <stp/>
        <stp>Market</stp>
        <stp>STOCK</stp>
        <stp>62400.T</stp>
        <stp>年初来高値</stp>
        <tr r="Y681" s="7"/>
      </tp>
      <tp>
        <v>605</v>
        <stp/>
        <stp>Market</stp>
        <stp>STOCK</stp>
        <stp>68400.T</stp>
        <stp>年初来高値</stp>
        <tr r="Y777" s="7"/>
      </tp>
      <tp t="s">
        <v>表示銘柄数超過</v>
        <stp/>
        <stp>Market</stp>
        <stp>STOCK</stp>
        <stp>18400.T</stp>
        <stp>年初来高値</stp>
        <tr r="Y65" s="7"/>
      </tp>
      <tp t="s">
        <v>表示銘柄数超過</v>
        <stp/>
        <stp>Market</stp>
        <stp>STOCK</stp>
        <stp>38400.T</stp>
        <stp>年初来高値</stp>
        <tr r="Y370" s="7"/>
      </tp>
      <tp t="s">
        <v>表示銘柄数超過</v>
        <stp/>
        <stp>Market</stp>
        <stp>STOCK</stp>
        <stp>39400.T</stp>
        <stp>年初来高値</stp>
        <tr r="Y399" s="7"/>
      </tp>
      <tp t="s">
        <v>表示銘柄数超過</v>
        <stp/>
        <stp>Market</stp>
        <stp>STOCK</stp>
        <stp>23400.T</stp>
        <stp>年初来高値</stp>
        <tr r="Y119" s="7"/>
      </tp>
      <tp>
        <v>3450</v>
        <stp/>
        <stp>Market</stp>
        <stp>STOCK</stp>
        <stp>59470.T</stp>
        <stp>年初来高値</stp>
        <tr r="Y623" s="7"/>
      </tp>
      <tp t="s">
        <v>表示銘柄数超過</v>
        <stp/>
        <stp>Market</stp>
        <stp>STOCK</stp>
        <stp>48470.T</stp>
        <stp>年初来高値</stp>
        <tr r="Y544" s="7"/>
      </tp>
      <tp>
        <v>34</v>
        <stp/>
        <stp>Market</stp>
        <stp>STOCK</stp>
        <stp>76470.T</stp>
        <stp>年初来高値</stp>
        <tr r="Y918" s="7"/>
      </tp>
      <tp>
        <v>2930</v>
        <stp/>
        <stp>Market</stp>
        <stp>STOCK</stp>
        <stp>70470.T</stp>
        <stp>年初来高値</stp>
        <tr r="Y815" s="7"/>
      </tp>
      <tp>
        <v>540</v>
        <stp/>
        <stp>Market</stp>
        <stp>STOCK</stp>
        <stp>72470.T</stp>
        <stp>年初来高値</stp>
        <tr r="Y860" s="7"/>
      </tp>
      <tp>
        <v>815</v>
        <stp/>
        <stp>Market</stp>
        <stp>STOCK</stp>
        <stp>60470.T</stp>
        <stp>年初来高値</stp>
        <tr r="Y643" s="7"/>
      </tp>
      <tp>
        <v>352</v>
        <stp/>
        <stp>Market</stp>
        <stp>STOCK</stp>
        <stp>63470.T</stp>
        <stp>年初来高値</stp>
        <tr r="Y692" s="7"/>
      </tp>
      <tp t="s">
        <v>表示銘柄数超過</v>
        <stp/>
        <stp>Market</stp>
        <stp>STOCK</stp>
        <stp>36470.T</stp>
        <stp>年初来高値</stp>
        <tr r="Y320" s="7"/>
      </tp>
      <tp t="s">
        <v>表示銘柄数超過</v>
        <stp/>
        <stp>Market</stp>
        <stp>STOCK</stp>
        <stp>37470.T</stp>
        <stp>年初来高値</stp>
        <tr r="Y350" s="7"/>
      </tp>
      <tp t="s">
        <v>表示銘柄数超過</v>
        <stp/>
        <stp>Market</stp>
        <stp>STOCK</stp>
        <stp>92470.T</stp>
        <stp>年初来高値</stp>
        <tr r="Y1101" s="7"/>
      </tp>
      <tp>
        <v>531</v>
        <stp/>
        <stp>Market</stp>
        <stp>STOCK</stp>
        <stp>82470.T</stp>
        <stp>年初来高値</stp>
        <tr r="Y998" s="7"/>
      </tp>
      <tp>
        <v>1385</v>
        <stp/>
        <stp>Market</stp>
        <stp>STOCK</stp>
        <stp>52460.T</stp>
        <stp>年初来高値</stp>
        <tr r="Y579" s="7"/>
      </tp>
      <tp t="s">
        <v>表示銘柄数超過</v>
        <stp/>
        <stp>Market</stp>
        <stp>STOCK</stp>
        <stp>43460.T</stp>
        <stp>年初来高値</stp>
        <tr r="Y446" s="7"/>
      </tp>
      <tp>
        <v>731</v>
        <stp/>
        <stp>Market</stp>
        <stp>STOCK</stp>
        <stp>72460.T</stp>
        <stp>年初来高値</stp>
        <tr r="Y859" s="7"/>
      </tp>
      <tp>
        <v>297</v>
        <stp/>
        <stp>Market</stp>
        <stp>STOCK</stp>
        <stp>60460.T</stp>
        <stp>年初来高値</stp>
        <tr r="Y642" s="7"/>
      </tp>
      <tp>
        <v>43490</v>
        <stp/>
        <stp>Market</stp>
        <stp>STOCK</stp>
        <stp>61460.T</stp>
        <stp>年初来高値</stp>
        <tr r="Y659" s="7"/>
      </tp>
      <tp t="s">
        <v>表示銘柄数超過</v>
        <stp/>
        <stp>Market</stp>
        <stp>STOCK</stp>
        <stp>99460.T</stp>
        <stp>年初来高値</stp>
        <tr r="Y1184" s="7"/>
      </tp>
      <tp>
        <v>165</v>
        <stp/>
        <stp>Market</stp>
        <stp>STOCK</stp>
        <stp>87460.T</stp>
        <stp>年初来高値</stp>
        <tr r="Y1043" s="7"/>
      </tp>
      <tp t="s">
        <v>表示銘柄数超過</v>
        <stp/>
        <stp>Market</stp>
        <stp>STOCK</stp>
        <stp>89460.T</stp>
        <stp>年初来高値</stp>
        <tr r="Y1071" s="7"/>
      </tp>
      <tp>
        <v>632</v>
        <stp/>
        <stp>Market</stp>
        <stp>STOCK</stp>
        <stp>74450.T</stp>
        <stp>年初来高値</stp>
        <tr r="Y889" s="7"/>
      </tp>
      <tp>
        <v>2144</v>
        <stp/>
        <stp>Market</stp>
        <stp>STOCK</stp>
        <stp>77450.T</stp>
        <stp>年初来高値</stp>
        <tr r="Y927" s="7"/>
      </tp>
      <tp>
        <v>605</v>
        <stp/>
        <stp>Market</stp>
        <stp>STOCK</stp>
        <stp>72450.T</stp>
        <stp>年初来高値</stp>
        <tr r="Y858" s="7"/>
      </tp>
      <tp>
        <v>598</v>
        <stp/>
        <stp>Market</stp>
        <stp>STOCK</stp>
        <stp>65450.T</stp>
        <stp>年初来高値</stp>
        <tr r="Y722" s="7"/>
      </tp>
      <tp t="s">
        <v>表示銘柄数超過</v>
        <stp/>
        <stp>Market</stp>
        <stp>STOCK</stp>
        <stp>13450.T</stp>
        <stp>年初来高値</stp>
        <tr r="Y10" s="7"/>
      </tp>
      <tp t="s">
        <v>表示銘柄数超過</v>
        <stp/>
        <stp>Market</stp>
        <stp>STOCK</stp>
        <stp>36450.T</stp>
        <stp>年初来高値</stp>
        <tr r="Y319" s="7"/>
      </tp>
      <tp t="s">
        <v>表示銘柄数超過</v>
        <stp/>
        <stp>Market</stp>
        <stp>STOCK</stp>
        <stp>38450.T</stp>
        <stp>年初来高値</stp>
        <tr r="Y372" s="7"/>
      </tp>
      <tp t="s">
        <v>表示銘柄数超過</v>
        <stp/>
        <stp>Market</stp>
        <stp>STOCK</stp>
        <stp>24450.T</stp>
        <stp>年初来高値</stp>
        <tr r="Y145" s="7"/>
      </tp>
      <tp t="s">
        <v>表示銘柄数超過</v>
        <stp/>
        <stp>Market</stp>
        <stp>STOCK</stp>
        <stp>23450.T</stp>
        <stp>年初来高値</stp>
        <tr r="Y122" s="7"/>
      </tp>
      <tp t="s">
        <v>表示銘柄数超過</v>
        <stp/>
        <stp>Market</stp>
        <stp>STOCK</stp>
        <stp>28450.T</stp>
        <stp>年初来高値</stp>
        <tr r="Y202" s="7"/>
      </tp>
      <tp t="s">
        <v>表示銘柄数超過</v>
        <stp/>
        <stp>Market</stp>
        <stp>STOCK</stp>
        <stp>89450.T</stp>
        <stp>年初来高値</stp>
        <tr r="Y1070" s="7"/>
      </tp>
      <tp>
        <v>550</v>
        <stp/>
        <stp>Market</stp>
        <stp>STOCK</stp>
        <stp>52440.T</stp>
        <stp>年初来高値</stp>
        <tr r="Y578" s="7"/>
      </tp>
      <tp t="s">
        <v>表示銘柄数超過</v>
        <stp/>
        <stp>Market</stp>
        <stp>STOCK</stp>
        <stp>44440.T</stp>
        <stp>年初来高値</stp>
        <tr r="Y467" s="7"/>
      </tp>
      <tp>
        <v>453</v>
        <stp/>
        <stp>Market</stp>
        <stp>STOCK</stp>
        <stp>75440.T</stp>
        <stp>年初来高値</stp>
        <tr r="Y903" s="7"/>
      </tp>
      <tp>
        <v>764</v>
        <stp/>
        <stp>Market</stp>
        <stp>STOCK</stp>
        <stp>70440.T</stp>
        <stp>年初来高値</stp>
        <tr r="Y814" s="7"/>
      </tp>
      <tp>
        <v>765</v>
        <stp/>
        <stp>Market</stp>
        <stp>STOCK</stp>
        <stp>78440.T</stp>
        <stp>年初来高値</stp>
        <tr r="Y945" s="7"/>
      </tp>
      <tp>
        <v>242</v>
        <stp/>
        <stp>Market</stp>
        <stp>STOCK</stp>
        <stp>64440.T</stp>
        <stp>年初来高値</stp>
        <tr r="Y703" s="7"/>
      </tp>
      <tp>
        <v>780</v>
        <stp/>
        <stp>Market</stp>
        <stp>STOCK</stp>
        <stp>66440.T</stp>
        <stp>年初来高値</stp>
        <tr r="Y746" s="7"/>
      </tp>
      <tp>
        <v>1458</v>
        <stp/>
        <stp>Market</stp>
        <stp>STOCK</stp>
        <stp>60440.T</stp>
        <stp>年初来高値</stp>
        <tr r="Y641" s="7"/>
      </tp>
      <tp t="s">
        <v>表示銘柄数超過</v>
        <stp/>
        <stp>Market</stp>
        <stp>STOCK</stp>
        <stp>18440.T</stp>
        <stp>年初来高値</stp>
        <tr r="Y66" s="7"/>
      </tp>
      <tp t="s">
        <v>表示銘柄数超過</v>
        <stp/>
        <stp>Market</stp>
        <stp>STOCK</stp>
        <stp>32440.T</stp>
        <stp>年初来高値</stp>
        <tr r="Y264" s="7"/>
      </tp>
      <tp t="s">
        <v>表示銘柄数超過</v>
        <stp/>
        <stp>Market</stp>
        <stp>STOCK</stp>
        <stp>23440.T</stp>
        <stp>年初来高値</stp>
        <tr r="Y121" s="7"/>
      </tp>
      <tp t="s">
        <v>表示銘柄数超過</v>
        <stp/>
        <stp>Market</stp>
        <stp>STOCK</stp>
        <stp>94440.T</stp>
        <stp>年初来高値</stp>
        <tr r="Y1132" s="7"/>
      </tp>
      <tp t="s">
        <v>表示銘柄数超過</v>
        <stp/>
        <stp>Market</stp>
        <stp>STOCK</stp>
        <stp>90440.T</stp>
        <stp>年初来高値</stp>
        <tr r="Y1087" s="7"/>
      </tp>
      <tp>
        <v>3100</v>
        <stp/>
        <stp>Market</stp>
        <stp>STOCK</stp>
        <stp>82440.T</stp>
        <stp>年初来高値</stp>
        <tr r="Y997" s="7"/>
      </tp>
      <tp t="s">
        <v>表示銘柄数超過</v>
        <stp/>
        <stp>Market</stp>
        <stp>STOCK</stp>
        <stp>88440.T</stp>
        <stp>年初来高値</stp>
        <tr r="Y1056" s="7"/>
      </tp>
      <tp t="s">
        <v>表示銘柄数超過</v>
        <stp/>
        <stp>Market</stp>
        <stp>STOCK</stp>
        <stp>89440.T</stp>
        <stp>年初来高値</stp>
        <tr r="Y1069" s="7"/>
      </tp>
      <tp>
        <v>2655</v>
        <stp/>
        <stp>Market</stp>
        <stp>STOCK</stp>
        <stp>54490.T</stp>
        <stp>年初来高値</stp>
        <tr r="Y596" s="7"/>
      </tp>
      <tp>
        <v>1297</v>
        <stp/>
        <stp>Market</stp>
        <stp>STOCK</stp>
        <stp>59490.T</stp>
        <stp>年初来高値</stp>
        <tr r="Y624" s="7"/>
      </tp>
      <tp>
        <v>779</v>
        <stp/>
        <stp>Market</stp>
        <stp>STOCK</stp>
        <stp>70490.T</stp>
        <stp>年初来高値</stp>
        <tr r="Y817" s="7"/>
      </tp>
      <tp>
        <v>404</v>
        <stp/>
        <stp>Market</stp>
        <stp>STOCK</stp>
        <stp>60490.T</stp>
        <stp>年初来高値</stp>
        <tr r="Y645" s="7"/>
      </tp>
      <tp t="s">
        <v>表示銘柄数超過</v>
        <stp/>
        <stp>Market</stp>
        <stp>STOCK</stp>
        <stp>36490.T</stp>
        <stp>年初来高値</stp>
        <tr r="Y321" s="7"/>
      </tp>
      <tp t="s">
        <v>表示銘柄数超過</v>
        <stp/>
        <stp>Market</stp>
        <stp>STOCK</stp>
        <stp>27490.T</stp>
        <stp>年初来高値</stp>
        <tr r="Y192" s="7"/>
      </tp>
      <tp t="s">
        <v>表示銘柄数超過</v>
        <stp/>
        <stp>Market</stp>
        <stp>STOCK</stp>
        <stp>44480.T</stp>
        <stp>年初来高値</stp>
        <tr r="Y468" s="7"/>
      </tp>
      <tp>
        <v>780</v>
        <stp/>
        <stp>Market</stp>
        <stp>STOCK</stp>
        <stp>70480.T</stp>
        <stp>年初来高値</stp>
        <tr r="Y816" s="7"/>
      </tp>
      <tp>
        <v>1879</v>
        <stp/>
        <stp>Market</stp>
        <stp>STOCK</stp>
        <stp>71480.T</stp>
        <stp>年初来高値</stp>
        <tr r="Y830" s="7"/>
      </tp>
      <tp>
        <v>566</v>
        <stp/>
        <stp>Market</stp>
        <stp>STOCK</stp>
        <stp>67480.T</stp>
        <stp>年初来高値</stp>
        <tr r="Y762" s="7"/>
      </tp>
      <tp>
        <v>235</v>
        <stp/>
        <stp>Market</stp>
        <stp>STOCK</stp>
        <stp>60480.T</stp>
        <stp>年初来高値</stp>
        <tr r="Y644" s="7"/>
      </tp>
      <tp t="s">
        <v>表示銘柄数超過</v>
        <stp/>
        <stp>Market</stp>
        <stp>STOCK</stp>
        <stp>18480.T</stp>
        <stp>年初来高値</stp>
        <tr r="Y67" s="7"/>
      </tp>
      <tp t="s">
        <v>表示銘柄数超過</v>
        <stp/>
        <stp>Market</stp>
        <stp>STOCK</stp>
        <stp>90480.T</stp>
        <stp>年初来高値</stp>
        <tr r="Y1088" s="7"/>
      </tp>
      <tp t="s">
        <v>表示銘柄数超過</v>
        <stp/>
        <stp>Market</stp>
        <stp>STOCK</stp>
        <stp>92480.T</stp>
        <stp>年初来高値</stp>
        <tr r="Y1102" s="7"/>
      </tp>
      <tp t="s">
        <v>表示銘柄数超過</v>
        <stp/>
        <stp>Market</stp>
        <stp>STOCK</stp>
        <stp>96100.T</stp>
        <stp>現在値</stp>
        <tr r="C1159" s="7"/>
      </tp>
      <tp t="s">
        <v>表示銘柄数超過</v>
        <stp/>
        <stp>Market</stp>
        <stp>STOCK</stp>
        <stp>96130.T</stp>
        <stp>現在値</stp>
        <tr r="C1160" s="7"/>
      </tp>
      <tp t="s">
        <v>表示銘柄数超過</v>
        <stp/>
        <stp>Market</stp>
        <stp>STOCK</stp>
        <stp>96030.T</stp>
        <stp>現在値</stp>
        <tr r="C1158" s="7"/>
      </tp>
      <tp t="s">
        <v>表示銘柄数超過</v>
        <stp/>
        <stp>Market</stp>
        <stp>STOCK</stp>
        <stp>96560.T</stp>
        <stp>現在値</stp>
        <tr r="C1161" s="7"/>
      </tp>
      <tp t="s">
        <v>表示銘柄数超過</v>
        <stp/>
        <stp>Market</stp>
        <stp>STOCK</stp>
        <stp>97820.T</stp>
        <stp>現在値</stp>
        <tr r="C1166" s="7"/>
      </tp>
      <tp t="s">
        <v>表示銘柄数超過</v>
        <stp/>
        <stp>Market</stp>
        <stp>STOCK</stp>
        <stp>97830.T</stp>
        <stp>現在値</stp>
        <tr r="C1167" s="7"/>
      </tp>
      <tp t="s">
        <v>表示銘柄数超過</v>
        <stp/>
        <stp>Market</stp>
        <stp>STOCK</stp>
        <stp>97870.T</stp>
        <stp>現在値</stp>
        <tr r="C1168" s="7"/>
      </tp>
      <tp t="s">
        <v>表示銘柄数超過</v>
        <stp/>
        <stp>Market</stp>
        <stp>STOCK</stp>
        <stp>97880.T</stp>
        <stp>現在値</stp>
        <tr r="C1169" s="7"/>
      </tp>
      <tp t="s">
        <v>表示銘柄数超過</v>
        <stp/>
        <stp>Market</stp>
        <stp>STOCK</stp>
        <stp>97090.T</stp>
        <stp>現在値</stp>
        <tr r="C1162" s="7"/>
      </tp>
      <tp t="s">
        <v>表示銘柄数超過</v>
        <stp/>
        <stp>Market</stp>
        <stp>STOCK</stp>
        <stp>97230.T</stp>
        <stp>現在値</stp>
        <tr r="C1163" s="7"/>
      </tp>
      <tp t="s">
        <v>表示銘柄数超過</v>
        <stp/>
        <stp>Market</stp>
        <stp>STOCK</stp>
        <stp>97600.T</stp>
        <stp>現在値</stp>
        <tr r="C1164" s="7"/>
      </tp>
      <tp t="s">
        <v>表示銘柄数超過</v>
        <stp/>
        <stp>Market</stp>
        <stp>STOCK</stp>
        <stp>97650.T</stp>
        <stp>現在値</stp>
        <tr r="C1165" s="7"/>
      </tp>
      <tp t="s">
        <v>表示銘柄数超過</v>
        <stp/>
        <stp>Market</stp>
        <stp>STOCK</stp>
        <stp>94120.T</stp>
        <stp>現在値</stp>
        <tr r="C1118" s="7"/>
      </tp>
      <tp t="s">
        <v>表示銘柄数超過</v>
        <stp/>
        <stp>Market</stp>
        <stp>STOCK</stp>
        <stp>94130.T</stp>
        <stp>現在値</stp>
        <tr r="C1119" s="7"/>
      </tp>
      <tp t="s">
        <v>表示銘柄数超過</v>
        <stp/>
        <stp>Market</stp>
        <stp>STOCK</stp>
        <stp>94140.T</stp>
        <stp>現在値</stp>
        <tr r="C1120" s="7"/>
      </tp>
      <tp t="s">
        <v>表示銘柄数超過</v>
        <stp/>
        <stp>Market</stp>
        <stp>STOCK</stp>
        <stp>94170.T</stp>
        <stp>現在値</stp>
        <tr r="C1121" s="7"/>
      </tp>
      <tp t="s">
        <v>表示銘柄数超過</v>
        <stp/>
        <stp>Market</stp>
        <stp>STOCK</stp>
        <stp>94190.T</stp>
        <stp>現在値</stp>
        <tr r="C1122" s="7"/>
      </tp>
      <tp t="s">
        <v>表示銘柄数超過</v>
        <stp/>
        <stp>Market</stp>
        <stp>STOCK</stp>
        <stp>94010.T</stp>
        <stp>現在値</stp>
        <tr r="C1114" s="7"/>
      </tp>
      <tp t="s">
        <v>表示銘柄数超過</v>
        <stp/>
        <stp>Market</stp>
        <stp>STOCK</stp>
        <stp>94040.T</stp>
        <stp>現在値</stp>
        <tr r="C1115" s="7"/>
      </tp>
      <tp t="s">
        <v>表示銘柄数超過</v>
        <stp/>
        <stp>Market</stp>
        <stp>STOCK</stp>
        <stp>94050.T</stp>
        <stp>現在値</stp>
        <tr r="C1116" s="7"/>
      </tp>
      <tp t="s">
        <v>表示銘柄数超過</v>
        <stp/>
        <stp>Market</stp>
        <stp>STOCK</stp>
        <stp>94090.T</stp>
        <stp>現在値</stp>
        <tr r="C1117" s="7"/>
      </tp>
      <tp>
        <v>183.4</v>
        <stp/>
        <stp>Market</stp>
        <stp>STOCK</stp>
        <stp>94320.T</stp>
        <stp>現在値</stp>
        <tr r="C1127" s="7"/>
      </tp>
      <tp t="s">
        <v>表示銘柄数超過</v>
        <stp/>
        <stp>Market</stp>
        <stp>STOCK</stp>
        <stp>94330.T</stp>
        <stp>現在値</stp>
        <tr r="C1128" s="7"/>
      </tp>
      <tp>
        <v>1944.5</v>
        <stp/>
        <stp>Market</stp>
        <stp>STOCK</stp>
        <stp>94340.T</stp>
        <stp>現在値</stp>
        <tr r="C1129" s="7"/>
      </tp>
      <tp t="s">
        <v>表示銘柄数超過</v>
        <stp/>
        <stp>Market</stp>
        <stp>STOCK</stp>
        <stp>94360.T</stp>
        <stp>現在値</stp>
        <tr r="C1130" s="7"/>
      </tp>
      <tp t="s">
        <v>表示銘柄数超過</v>
        <stp/>
        <stp>Market</stp>
        <stp>STOCK</stp>
        <stp>94390.T</stp>
        <stp>現在値</stp>
        <tr r="C1131" s="7"/>
      </tp>
      <tp t="s">
        <v>表示銘柄数超過</v>
        <stp/>
        <stp>Market</stp>
        <stp>STOCK</stp>
        <stp>94210.T</stp>
        <stp>現在値</stp>
        <tr r="C1123" s="7"/>
      </tp>
      <tp t="s">
        <v>表示銘柄数超過</v>
        <stp/>
        <stp>Market</stp>
        <stp>STOCK</stp>
        <stp>94230.T</stp>
        <stp>現在値</stp>
        <tr r="C1124" s="7"/>
      </tp>
      <tp t="s">
        <v>表示銘柄数超過</v>
        <stp/>
        <stp>Market</stp>
        <stp>STOCK</stp>
        <stp>94240.T</stp>
        <stp>現在値</stp>
        <tr r="C1125" s="7"/>
      </tp>
      <tp t="s">
        <v>表示銘柄数超過</v>
        <stp/>
        <stp>Market</stp>
        <stp>STOCK</stp>
        <stp>94250.T</stp>
        <stp>現在値</stp>
        <tr r="C1126" s="7"/>
      </tp>
      <tp t="s">
        <v>表示銘柄数超過</v>
        <stp/>
        <stp>Market</stp>
        <stp>STOCK</stp>
        <stp>94500.T</stp>
        <stp>現在値</stp>
        <tr r="C1133" s="7"/>
      </tp>
      <tp t="s">
        <v>表示銘柄数超過</v>
        <stp/>
        <stp>Market</stp>
        <stp>STOCK</stp>
        <stp>94440.T</stp>
        <stp>現在値</stp>
        <tr r="C1132" s="7"/>
      </tp>
      <tp t="s">
        <v>表示銘柄数超過</v>
        <stp/>
        <stp>Market</stp>
        <stp>STOCK</stp>
        <stp>94700.T</stp>
        <stp>現在値</stp>
        <tr r="C1135" s="7"/>
      </tp>
      <tp t="s">
        <v>表示銘柄数超過</v>
        <stp/>
        <stp>Market</stp>
        <stp>STOCK</stp>
        <stp>94740.T</stp>
        <stp>現在値</stp>
        <tr r="C1136" s="7"/>
      </tp>
      <tp t="s">
        <v>表示銘柄数超過</v>
        <stp/>
        <stp>Market</stp>
        <stp>STOCK</stp>
        <stp>94750.T</stp>
        <stp>現在値</stp>
        <tr r="C1137" s="7"/>
      </tp>
      <tp t="s">
        <v>表示銘柄数超過</v>
        <stp/>
        <stp>Market</stp>
        <stp>STOCK</stp>
        <stp>94760.T</stp>
        <stp>現在値</stp>
        <tr r="C1138" s="7"/>
      </tp>
      <tp t="s">
        <v>表示銘柄数超過</v>
        <stp/>
        <stp>Market</stp>
        <stp>STOCK</stp>
        <stp>94790.T</stp>
        <stp>現在値</stp>
        <tr r="C1139" s="7"/>
      </tp>
      <tp t="s">
        <v>表示銘柄数超過</v>
        <stp/>
        <stp>Market</stp>
        <stp>STOCK</stp>
        <stp>94660.T</stp>
        <stp>現在値</stp>
        <tr r="C1134" s="7"/>
      </tp>
      <tp t="s">
        <v>表示銘柄数超過</v>
        <stp/>
        <stp>Market</stp>
        <stp>STOCK</stp>
        <stp>95110.T</stp>
        <stp>現在値</stp>
        <tr r="C1149" s="7"/>
      </tp>
      <tp t="s">
        <v>表示銘柄数超過</v>
        <stp/>
        <stp>Market</stp>
        <stp>STOCK</stp>
        <stp>95140.T</stp>
        <stp>現在値</stp>
        <tr r="C1150" s="7"/>
      </tp>
      <tp t="s">
        <v>表示銘柄数超過</v>
        <stp/>
        <stp>Market</stp>
        <stp>STOCK</stp>
        <stp>95190.T</stp>
        <stp>現在値</stp>
        <tr r="C1151" s="7"/>
      </tp>
      <tp t="s">
        <v>表示銘柄数超過</v>
        <stp/>
        <stp>Market</stp>
        <stp>STOCK</stp>
        <stp>95010.T</stp>
        <stp>現在値</stp>
        <tr r="C1140" s="7"/>
      </tp>
      <tp t="s">
        <v>表示銘柄数超過</v>
        <stp/>
        <stp>Market</stp>
        <stp>STOCK</stp>
        <stp>95020.T</stp>
        <stp>現在値</stp>
        <tr r="C1141" s="7"/>
      </tp>
      <tp t="s">
        <v>表示銘柄数超過</v>
        <stp/>
        <stp>Market</stp>
        <stp>STOCK</stp>
        <stp>95030.T</stp>
        <stp>現在値</stp>
        <tr r="C1142" s="7"/>
      </tp>
      <tp t="s">
        <v>表示銘柄数超過</v>
        <stp/>
        <stp>Market</stp>
        <stp>STOCK</stp>
        <stp>95040.T</stp>
        <stp>現在値</stp>
        <tr r="C1143" s="7"/>
      </tp>
      <tp t="s">
        <v>表示銘柄数超過</v>
        <stp/>
        <stp>Market</stp>
        <stp>STOCK</stp>
        <stp>95050.T</stp>
        <stp>現在値</stp>
        <tr r="C1144" s="7"/>
      </tp>
      <tp t="s">
        <v>表示銘柄数超過</v>
        <stp/>
        <stp>Market</stp>
        <stp>STOCK</stp>
        <stp>95060.T</stp>
        <stp>現在値</stp>
        <tr r="C1145" s="7"/>
      </tp>
      <tp t="s">
        <v>表示銘柄数超過</v>
        <stp/>
        <stp>Market</stp>
        <stp>STOCK</stp>
        <stp>95070.T</stp>
        <stp>現在値</stp>
        <tr r="C1146" s="7"/>
      </tp>
      <tp t="s">
        <v>表示銘柄数超過</v>
        <stp/>
        <stp>Market</stp>
        <stp>STOCK</stp>
        <stp>95080.T</stp>
        <stp>現在値</stp>
        <tr r="C1147" s="7"/>
      </tp>
      <tp t="s">
        <v>表示銘柄数超過</v>
        <stp/>
        <stp>Market</stp>
        <stp>STOCK</stp>
        <stp>95090.T</stp>
        <stp>現在値</stp>
        <tr r="C1148" s="7"/>
      </tp>
      <tp t="s">
        <v>表示銘柄数超過</v>
        <stp/>
        <stp>Market</stp>
        <stp>STOCK</stp>
        <stp>95310.T</stp>
        <stp>現在値</stp>
        <tr r="C1153" s="7"/>
      </tp>
      <tp t="s">
        <v>表示銘柄数超過</v>
        <stp/>
        <stp>Market</stp>
        <stp>STOCK</stp>
        <stp>95320.T</stp>
        <stp>現在値</stp>
        <tr r="C1154" s="7"/>
      </tp>
      <tp t="s">
        <v>表示銘柄数超過</v>
        <stp/>
        <stp>Market</stp>
        <stp>STOCK</stp>
        <stp>95220.T</stp>
        <stp>現在値</stp>
        <tr r="C1152" s="7"/>
      </tp>
      <tp t="s">
        <v>表示銘柄数超過</v>
        <stp/>
        <stp>Market</stp>
        <stp>STOCK</stp>
        <stp>95530.T</stp>
        <stp>現在値</stp>
        <tr r="C1155" s="7"/>
      </tp>
      <tp t="s">
        <v>表示銘柄数超過</v>
        <stp/>
        <stp>Market</stp>
        <stp>STOCK</stp>
        <stp>95570.T</stp>
        <stp>現在値</stp>
        <tr r="C1156" s="7"/>
      </tp>
      <tp t="s">
        <v>表示銘柄数超過</v>
        <stp/>
        <stp>Market</stp>
        <stp>STOCK</stp>
        <stp>95600.T</stp>
        <stp>現在値</stp>
        <tr r="C1157" s="7"/>
      </tp>
      <tp t="s">
        <v>表示銘柄数超過</v>
        <stp/>
        <stp>Market</stp>
        <stp>STOCK</stp>
        <stp>92130.T</stp>
        <stp>現在値</stp>
        <tr r="C1099" s="7"/>
      </tp>
      <tp t="s">
        <v>表示銘柄数超過</v>
        <stp/>
        <stp>Market</stp>
        <stp>STOCK</stp>
        <stp>92540.T</stp>
        <stp>現在値</stp>
        <tr r="C1103" s="7"/>
      </tp>
      <tp t="s">
        <v>表示銘柄数超過</v>
        <stp/>
        <stp>Market</stp>
        <stp>STOCK</stp>
        <stp>92410.T</stp>
        <stp>現在値</stp>
        <tr r="C1100" s="7"/>
      </tp>
      <tp t="s">
        <v>表示銘柄数超過</v>
        <stp/>
        <stp>Market</stp>
        <stp>STOCK</stp>
        <stp>92470.T</stp>
        <stp>現在値</stp>
        <tr r="C1101" s="7"/>
      </tp>
      <tp t="s">
        <v>表示銘柄数超過</v>
        <stp/>
        <stp>Market</stp>
        <stp>STOCK</stp>
        <stp>92480.T</stp>
        <stp>現在値</stp>
        <tr r="C1102" s="7"/>
      </tp>
      <tp t="s">
        <v>表示銘柄数超過</v>
        <stp/>
        <stp>Market</stp>
        <stp>STOCK</stp>
        <stp>92700.T</stp>
        <stp>現在値</stp>
        <tr r="C1105" s="7"/>
      </tp>
      <tp t="s">
        <v>表示銘柄数超過</v>
        <stp/>
        <stp>Market</stp>
        <stp>STOCK</stp>
        <stp>92720.T</stp>
        <stp>現在値</stp>
        <tr r="C1106" s="7"/>
      </tp>
      <tp t="s">
        <v>表示銘柄数超過</v>
        <stp/>
        <stp>Market</stp>
        <stp>STOCK</stp>
        <stp>92740.T</stp>
        <stp>現在値</stp>
        <tr r="C1107" s="7"/>
      </tp>
      <tp t="s">
        <v>表示銘柄数超過</v>
        <stp/>
        <stp>Market</stp>
        <stp>STOCK</stp>
        <stp>92780.T</stp>
        <stp>現在値</stp>
        <tr r="C1108" s="7"/>
      </tp>
      <tp t="s">
        <v>表示銘柄数超過</v>
        <stp/>
        <stp>Market</stp>
        <stp>STOCK</stp>
        <stp>92630.T</stp>
        <stp>現在値</stp>
        <tr r="C1104" s="7"/>
      </tp>
      <tp>
        <v>4</v>
        <stp/>
        <stp>Market</stp>
        <stp>STOCK</stp>
        <stp>93990.T</stp>
        <stp>現在値</stp>
        <tr r="C1113" s="7"/>
      </tp>
      <tp t="s">
        <v>表示銘柄数超過</v>
        <stp/>
        <stp>Market</stp>
        <stp>STOCK</stp>
        <stp>93800.T</stp>
        <stp>現在値</stp>
        <tr r="C1112" s="7"/>
      </tp>
      <tp t="s">
        <v>表示銘柄数超過</v>
        <stp/>
        <stp>Market</stp>
        <stp>STOCK</stp>
        <stp>93070.T</stp>
        <stp>現在値</stp>
        <tr r="C1109" s="7"/>
      </tp>
      <tp t="s">
        <v>表示銘柄数超過</v>
        <stp/>
        <stp>Market</stp>
        <stp>STOCK</stp>
        <stp>93250.T</stp>
        <stp>現在値</stp>
        <tr r="C1110" s="7"/>
      </tp>
      <tp t="s">
        <v>表示銘柄数超過</v>
        <stp/>
        <stp>Market</stp>
        <stp>STOCK</stp>
        <stp>93610.T</stp>
        <stp>現在値</stp>
        <tr r="C1111" s="7"/>
      </tp>
      <tp t="s">
        <v>表示銘柄数超過</v>
        <stp/>
        <stp>Market</stp>
        <stp>STOCK</stp>
        <stp>90900.T</stp>
        <stp>現在値</stp>
        <tr r="C1092" s="7"/>
      </tp>
      <tp t="s">
        <v>表示銘柄数超過</v>
        <stp/>
        <stp>Market</stp>
        <stp>STOCK</stp>
        <stp>90010.T</stp>
        <stp>現在値</stp>
        <tr r="C1073" s="7"/>
      </tp>
      <tp t="s">
        <v>表示銘柄数超過</v>
        <stp/>
        <stp>Market</stp>
        <stp>STOCK</stp>
        <stp>90030.T</stp>
        <stp>現在値</stp>
        <tr r="C1074" s="7"/>
      </tp>
      <tp t="s">
        <v>表示銘柄数超過</v>
        <stp/>
        <stp>Market</stp>
        <stp>STOCK</stp>
        <stp>90050.T</stp>
        <stp>現在値</stp>
        <tr r="C1075" s="7"/>
      </tp>
      <tp t="s">
        <v>表示銘柄数超過</v>
        <stp/>
        <stp>Market</stp>
        <stp>STOCK</stp>
        <stp>90060.T</stp>
        <stp>現在値</stp>
        <tr r="C1076" s="7"/>
      </tp>
      <tp t="s">
        <v>表示銘柄数超過</v>
        <stp/>
        <stp>Market</stp>
        <stp>STOCK</stp>
        <stp>90070.T</stp>
        <stp>現在値</stp>
        <tr r="C1077" s="7"/>
      </tp>
      <tp t="s">
        <v>表示銘柄数超過</v>
        <stp/>
        <stp>Market</stp>
        <stp>STOCK</stp>
        <stp>90080.T</stp>
        <stp>現在値</stp>
        <tr r="C1078" s="7"/>
      </tp>
      <tp t="s">
        <v>表示銘柄数超過</v>
        <stp/>
        <stp>Market</stp>
        <stp>STOCK</stp>
        <stp>90090.T</stp>
        <stp>現在値</stp>
        <tr r="C1079" s="7"/>
      </tp>
      <tp t="s">
        <v>表示銘柄数超過</v>
        <stp/>
        <stp>Market</stp>
        <stp>STOCK</stp>
        <stp>90330.T</stp>
        <stp>現在値</stp>
        <tr r="C1084" s="7"/>
      </tp>
      <tp t="s">
        <v>表示銘柄数超過</v>
        <stp/>
        <stp>Market</stp>
        <stp>STOCK</stp>
        <stp>90200.T</stp>
        <stp>現在値</stp>
        <tr r="C1080" s="7"/>
        <tr r="C1081" s="7"/>
      </tp>
      <tp t="s">
        <v>表示銘柄数超過</v>
        <stp/>
        <stp>Market</stp>
        <stp>STOCK</stp>
        <stp>90220.T</stp>
        <stp>現在値</stp>
        <tr r="C1082" s="7"/>
      </tp>
      <tp t="s">
        <v>表示銘柄数超過</v>
        <stp/>
        <stp>Market</stp>
        <stp>STOCK</stp>
        <stp>90240.T</stp>
        <stp>現在値</stp>
        <tr r="C1083" s="7"/>
      </tp>
      <tp t="s">
        <v>表示銘柄数超過</v>
        <stp/>
        <stp>Market</stp>
        <stp>STOCK</stp>
        <stp>90590.T</stp>
        <stp>現在値</stp>
        <tr r="C1089" s="7"/>
      </tp>
      <tp t="s">
        <v>表示銘柄数超過</v>
        <stp/>
        <stp>Market</stp>
        <stp>STOCK</stp>
        <stp>90410.T</stp>
        <stp>現在値</stp>
        <tr r="C1085" s="7"/>
      </tp>
      <tp t="s">
        <v>表示銘柄数超過</v>
        <stp/>
        <stp>Market</stp>
        <stp>STOCK</stp>
        <stp>90420.T</stp>
        <stp>現在値</stp>
        <tr r="C1086" s="7"/>
      </tp>
      <tp t="s">
        <v>表示銘柄数超過</v>
        <stp/>
        <stp>Market</stp>
        <stp>STOCK</stp>
        <stp>90440.T</stp>
        <stp>現在値</stp>
        <tr r="C1087" s="7"/>
      </tp>
      <tp t="s">
        <v>表示銘柄数超過</v>
        <stp/>
        <stp>Market</stp>
        <stp>STOCK</stp>
        <stp>90480.T</stp>
        <stp>現在値</stp>
        <tr r="C1088" s="7"/>
      </tp>
      <tp t="s">
        <v>表示銘柄数超過</v>
        <stp/>
        <stp>Market</stp>
        <stp>STOCK</stp>
        <stp>90630.T</stp>
        <stp>現在値</stp>
        <tr r="C1090" s="7"/>
      </tp>
      <tp t="s">
        <v>表示銘柄数超過</v>
        <stp/>
        <stp>Market</stp>
        <stp>STOCK</stp>
        <stp>90640.T</stp>
        <stp>現在値</stp>
        <tr r="C1091" s="7"/>
      </tp>
      <tp t="s">
        <v>表示銘柄数超過</v>
        <stp/>
        <stp>Market</stp>
        <stp>STOCK</stp>
        <stp>91150.T</stp>
        <stp>現在値</stp>
        <tr r="C1096" s="7"/>
      </tp>
      <tp t="s">
        <v>表示銘柄数超過</v>
        <stp/>
        <stp>Market</stp>
        <stp>STOCK</stp>
        <stp>91190.T</stp>
        <stp>現在値</stp>
        <tr r="C1097" s="7"/>
      </tp>
      <tp t="s">
        <v>表示銘柄数超過</v>
        <stp/>
        <stp>Market</stp>
        <stp>STOCK</stp>
        <stp>91010.T</stp>
        <stp>現在値</stp>
        <tr r="C1093" s="7"/>
      </tp>
      <tp t="s">
        <v>表示銘柄数超過</v>
        <stp/>
        <stp>Market</stp>
        <stp>STOCK</stp>
        <stp>91040.T</stp>
        <stp>現在値</stp>
        <tr r="C1094" s="7"/>
      </tp>
      <tp t="s">
        <v>表示銘柄数超過</v>
        <stp/>
        <stp>Market</stp>
        <stp>STOCK</stp>
        <stp>91070.T</stp>
        <stp>現在値</stp>
        <tr r="C1095" s="7"/>
      </tp>
      <tp t="s">
        <v>表示銘柄数超過</v>
        <stp/>
        <stp>Market</stp>
        <stp>STOCK</stp>
        <stp>91420.T</stp>
        <stp>現在値</stp>
        <tr r="C1098" s="7"/>
      </tp>
      <tp t="s">
        <v>表示銘柄数超過</v>
        <stp/>
        <stp>Market</stp>
        <stp>STOCK</stp>
        <stp>98900.T</stp>
        <stp>現在値</stp>
        <tr r="C1177" s="7"/>
      </tp>
      <tp t="s">
        <v>表示銘柄数超過</v>
        <stp/>
        <stp>Market</stp>
        <stp>STOCK</stp>
        <stp>98880.T</stp>
        <stp>現在値</stp>
        <tr r="C1176" s="7"/>
      </tp>
      <tp t="s">
        <v>表示銘柄数超過</v>
        <stp/>
        <stp>Market</stp>
        <stp>STOCK</stp>
        <stp>98120.T</stp>
        <stp>現在値</stp>
        <tr r="C1170" s="7"/>
      </tp>
      <tp>
        <v>444.8</v>
        <stp/>
        <stp>Market</stp>
        <stp>STOCK</stp>
        <stp>98310.T</stp>
        <stp>現在値</stp>
        <tr r="C1171" s="7"/>
      </tp>
      <tp t="s">
        <v>表示銘柄数超過</v>
        <stp/>
        <stp>Market</stp>
        <stp>STOCK</stp>
        <stp>98530.T</stp>
        <stp>現在値</stp>
        <tr r="C1173" s="7"/>
      </tp>
      <tp t="s">
        <v>表示銘柄数超過</v>
        <stp/>
        <stp>Market</stp>
        <stp>STOCK</stp>
        <stp>98540.T</stp>
        <stp>現在値</stp>
        <tr r="C1174" s="7"/>
      </tp>
      <tp t="s">
        <v>表示銘柄数超過</v>
        <stp/>
        <stp>Market</stp>
        <stp>STOCK</stp>
        <stp>98420.T</stp>
        <stp>現在値</stp>
        <tr r="C1172" s="7"/>
      </tp>
      <tp t="s">
        <v>表示銘柄数超過</v>
        <stp/>
        <stp>Market</stp>
        <stp>STOCK</stp>
        <stp>98760.T</stp>
        <stp>現在値</stp>
        <tr r="C1175" s="7"/>
      </tp>
      <tp t="s">
        <v>表示銘柄数超過</v>
        <stp/>
        <stp>Market</stp>
        <stp>STOCK</stp>
        <stp>99900.T</stp>
        <stp>現在値</stp>
        <tr r="C1190" s="7"/>
      </tp>
      <tp t="s">
        <v>表示銘柄数超過</v>
        <stp/>
        <stp>Market</stp>
        <stp>STOCK</stp>
        <stp>99950.T</stp>
        <stp>現在値</stp>
        <tr r="C1191" s="7"/>
      </tp>
      <tp t="s">
        <v>表示銘柄数超過</v>
        <stp/>
        <stp>Market</stp>
        <stp>STOCK</stp>
        <stp>99800.T</stp>
        <stp>現在値</stp>
        <tr r="C1187" s="7"/>
      </tp>
      <tp t="s">
        <v>表示銘柄数超過</v>
        <stp/>
        <stp>Market</stp>
        <stp>STOCK</stp>
        <stp>99820.T</stp>
        <stp>現在値</stp>
        <tr r="C1188" s="7"/>
      </tp>
      <tp t="s">
        <v>表示銘柄数超過</v>
        <stp/>
        <stp>Market</stp>
        <stp>STOCK</stp>
        <stp>99840.T</stp>
        <stp>現在値</stp>
        <tr r="C1189" s="7"/>
      </tp>
      <tp t="s">
        <v>表示銘柄数超過</v>
        <stp/>
        <stp>Market</stp>
        <stp>STOCK</stp>
        <stp>99190.T</stp>
        <stp>現在値</stp>
        <tr r="C1180" s="7"/>
      </tp>
      <tp t="s">
        <v>表示銘柄数超過</v>
        <stp/>
        <stp>Market</stp>
        <stp>STOCK</stp>
        <stp>99040.T</stp>
        <stp>現在値</stp>
        <tr r="C1178" s="7"/>
      </tp>
      <tp t="s">
        <v>表示銘柄数超過</v>
        <stp/>
        <stp>Market</stp>
        <stp>STOCK</stp>
        <stp>99080.T</stp>
        <stp>現在値</stp>
        <tr r="C1179" s="7"/>
      </tp>
      <tp t="s">
        <v>表示銘柄数超過</v>
        <stp/>
        <stp>Market</stp>
        <stp>STOCK</stp>
        <stp>99300.T</stp>
        <stp>現在値</stp>
        <tr r="C1183" s="7"/>
      </tp>
      <tp t="s">
        <v>表示銘柄数超過</v>
        <stp/>
        <stp>Market</stp>
        <stp>STOCK</stp>
        <stp>99270.T</stp>
        <stp>現在値</stp>
        <tr r="C1181" s="7"/>
      </tp>
      <tp t="s">
        <v>表示銘柄数超過</v>
        <stp/>
        <stp>Market</stp>
        <stp>STOCK</stp>
        <stp>99280.T</stp>
        <stp>現在値</stp>
        <tr r="C1182" s="7"/>
      </tp>
      <tp t="s">
        <v>表示銘柄数超過</v>
        <stp/>
        <stp>Market</stp>
        <stp>STOCK</stp>
        <stp>99460.T</stp>
        <stp>現在値</stp>
        <tr r="C1184" s="7"/>
      </tp>
      <tp t="s">
        <v>表示銘柄数超過</v>
        <stp/>
        <stp>Market</stp>
        <stp>STOCK</stp>
        <stp>99730.T</stp>
        <stp>現在値</stp>
        <tr r="C1186" s="7"/>
      </tp>
      <tp t="s">
        <v>表示銘柄数超過</v>
        <stp/>
        <stp>Market</stp>
        <stp>STOCK</stp>
        <stp>99690.T</stp>
        <stp>現在値</stp>
        <tr r="C1185" s="7"/>
      </tp>
    </main>
    <main first="rtdsrv.662c26bade854d00aebc6010f8a2e03a">
      <tp t="s">
        <v>表示銘柄数超過</v>
        <stp/>
        <stp>Market</stp>
        <stp>STOCK</stp>
        <stp>37840.T</stp>
        <stp>決算発表日</stp>
        <tr r="X359" s="7"/>
      </tp>
      <tp t="s">
        <v>表示銘柄数超過</v>
        <stp/>
        <stp>Market</stp>
        <stp>STOCK</stp>
        <stp>32840.T</stp>
        <stp>決算発表日</stp>
        <tr r="X269" s="7"/>
      </tp>
      <tp t="s">
        <v>表示銘柄数超過</v>
        <stp/>
        <stp>Market</stp>
        <stp>STOCK</stp>
        <stp>24840.T</stp>
        <stp>決算発表日</stp>
        <tr r="X152" s="7"/>
      </tp>
      <tp t="s">
        <v>2024/02/09</v>
        <stp/>
        <stp>Market</stp>
        <stp>STOCK</stp>
        <stp>73840.T</stp>
        <stp>決算発表日</stp>
        <tr r="X885" s="7"/>
      </tp>
      <tp t="s">
        <v>2024/02/02</v>
        <stp/>
        <stp>Market</stp>
        <stp>STOCK</stp>
        <stp>71840.T</stp>
        <stp>決算発表日</stp>
        <tr r="X841" s="7"/>
      </tp>
      <tp t="s">
        <v>2024/02/09</v>
        <stp/>
        <stp>Market</stp>
        <stp>STOCK</stp>
        <stp>65840.T</stp>
        <stp>決算発表日</stp>
        <tr r="X733" s="7"/>
      </tp>
      <tp t="s">
        <v>2024/03/14</v>
        <stp/>
        <stp>Market</stp>
        <stp>STOCK</stp>
        <stp>61840.T</stp>
        <stp>決算発表日</stp>
        <tr r="X669" s="7"/>
      </tp>
      <tp t="s">
        <v>表示銘柄数超過</v>
        <stp/>
        <stp>Market</stp>
        <stp>STOCK</stp>
        <stp>47840.T</stp>
        <stp>決算発表日</stp>
        <tr r="X535" s="7"/>
      </tp>
      <tp t="s">
        <v>表示銘柄数超過</v>
        <stp/>
        <stp>Market</stp>
        <stp>STOCK</stp>
        <stp>45840.T</stp>
        <stp>決算発表日</stp>
        <tr r="X499" s="7"/>
      </tp>
      <tp t="s">
        <v>表示銘柄数超過</v>
        <stp/>
        <stp>Market</stp>
        <stp>STOCK</stp>
        <stp>44840.T</stp>
        <stp>決算発表日</stp>
        <tr r="X475" s="7"/>
      </tp>
      <tp t="s">
        <v>表示銘柄数超過</v>
        <stp/>
        <stp>Market</stp>
        <stp>STOCK</stp>
        <stp>99840.T</stp>
        <stp>決算発表日</stp>
        <tr r="X1189" s="7"/>
      </tp>
      <tp t="s">
        <v>表示銘柄数超過</v>
        <stp/>
        <stp>Market</stp>
        <stp>STOCK</stp>
        <stp>31850.T</stp>
        <stp>決算発表日</stp>
        <tr r="X252" s="7"/>
      </tp>
      <tp t="s">
        <v>表示銘柄数超過</v>
        <stp/>
        <stp>Market</stp>
        <stp>STOCK</stp>
        <stp>26850.T</stp>
        <stp>決算発表日</stp>
        <tr r="X181" s="7"/>
      </tp>
      <tp t="s">
        <v>表示銘柄数超過</v>
        <stp/>
        <stp>Market</stp>
        <stp>STOCK</stp>
        <stp>25850.T</stp>
        <stp>決算発表日</stp>
        <tr r="X164" s="7"/>
      </tp>
      <tp t="s">
        <v>2024/02/13</v>
        <stp/>
        <stp>Market</stp>
        <stp>STOCK</stp>
        <stp>75850.T</stp>
        <stp>決算発表日</stp>
        <tr r="X906" s="7"/>
      </tp>
      <tp t="s">
        <v>2024/01/31</v>
        <stp/>
        <stp>Market</stp>
        <stp>STOCK</stp>
        <stp>61850.T</stp>
        <stp>決算発表日</stp>
        <tr r="X670" s="7"/>
      </tp>
      <tp t="s">
        <v>2024/02/08</v>
        <stp/>
        <stp>Market</stp>
        <stp>STOCK</stp>
        <stp>52850.T</stp>
        <stp>決算発表日</stp>
        <tr r="X584" s="7"/>
      </tp>
      <tp t="s">
        <v>表示銘柄数超過</v>
        <stp/>
        <stp>Market</stp>
        <stp>STOCK</stp>
        <stp>43850.T</stp>
        <stp>決算発表日</stp>
        <tr r="X456" s="7"/>
      </tp>
      <tp t="s">
        <v>表示銘柄数超過</v>
        <stp/>
        <stp>Market</stp>
        <stp>STOCK</stp>
        <stp>41850.T</stp>
        <stp>決算発表日</stp>
        <tr r="X422" s="7"/>
      </tp>
      <tp t="s">
        <v>2024/01/31</v>
        <stp/>
        <stp>Market</stp>
        <stp>STOCK</stp>
        <stp>85850.T</stp>
        <stp>決算発表日</stp>
        <tr r="X1022" s="7"/>
      </tp>
      <tp t="s">
        <v>表示銘柄数超過</v>
        <stp/>
        <stp>Market</stp>
        <stp>STOCK</stp>
        <stp>36860.T</stp>
        <stp>決算発表日</stp>
        <tr r="X340" s="7"/>
      </tp>
      <tp t="s">
        <v>表示銘柄数超過</v>
        <stp/>
        <stp>Market</stp>
        <stp>STOCK</stp>
        <stp>33860.T</stp>
        <stp>決算発表日</stp>
        <tr r="X291" s="7"/>
      </tp>
      <tp t="s">
        <v>表示銘柄数超過</v>
        <stp/>
        <stp>Market</stp>
        <stp>STOCK</stp>
        <stp>32860.T</stp>
        <stp>決算発表日</stp>
        <tr r="X270" s="7"/>
      </tp>
      <tp t="s">
        <v>表示銘柄数超過</v>
        <stp/>
        <stp>Market</stp>
        <stp>STOCK</stp>
        <stp>31860.T</stp>
        <stp>決算発表日</stp>
        <tr r="X253" s="7"/>
      </tp>
      <tp t="s">
        <v>表示銘柄数超過</v>
        <stp/>
        <stp>Market</stp>
        <stp>STOCK</stp>
        <stp>30860.T</stp>
        <stp>決算発表日</stp>
        <tr r="X239" s="7"/>
      </tp>
      <tp t="s">
        <v>表示銘柄数超過</v>
        <stp/>
        <stp>Market</stp>
        <stp>STOCK</stp>
        <stp>26860.T</stp>
        <stp>決算発表日</stp>
        <tr r="X182" s="7"/>
      </tp>
      <tp t="s">
        <v>表示銘柄数超過</v>
        <stp/>
        <stp>Market</stp>
        <stp>STOCK</stp>
        <stp>25860.T</stp>
        <stp>決算発表日</stp>
        <tr r="X165" s="7"/>
      </tp>
      <tp t="s">
        <v>2024/02/05</v>
        <stp/>
        <stp>Market</stp>
        <stp>STOCK</stp>
        <stp>71860.T</stp>
        <stp>決算発表日</stp>
        <tr r="X842" s="7"/>
      </tp>
      <tp t="s">
        <v>2024/02/09</v>
        <stp/>
        <stp>Market</stp>
        <stp>STOCK</stp>
        <stp>69860.T</stp>
        <stp>決算発表日</stp>
        <tr r="X800" s="7"/>
      </tp>
      <tp t="s">
        <v>2024/02/07</v>
        <stp/>
        <stp>Market</stp>
        <stp>STOCK</stp>
        <stp>62860.T</stp>
        <stp>決算発表日</stp>
        <tr r="X683" s="7"/>
      </tp>
      <tp t="s">
        <v>2024/02/09</v>
        <stp/>
        <stp>Market</stp>
        <stp>STOCK</stp>
        <stp>61860.T</stp>
        <stp>決算発表日</stp>
        <tr r="X671" s="7"/>
      </tp>
      <tp t="s">
        <v>2024/02/09</v>
        <stp/>
        <stp>Market</stp>
        <stp>STOCK</stp>
        <stp>59860.T</stp>
        <stp>決算発表日</stp>
        <tr r="X632" s="7"/>
      </tp>
      <tp t="s">
        <v>2024/02/09</v>
        <stp/>
        <stp>Market</stp>
        <stp>STOCK</stp>
        <stp>55860.T</stp>
        <stp>決算発表日</stp>
        <tr r="X600" s="7"/>
      </tp>
      <tp t="s">
        <v>表示銘柄数超過</v>
        <stp/>
        <stp>Market</stp>
        <stp>STOCK</stp>
        <stp>45860.T</stp>
        <stp>決算発表日</stp>
        <tr r="X500" s="7"/>
      </tp>
      <tp t="s">
        <v>表示銘柄数超過</v>
        <stp/>
        <stp>Market</stp>
        <stp>STOCK</stp>
        <stp>42860.T</stp>
        <stp>決算発表日</stp>
        <tr r="X437" s="7"/>
      </tp>
      <tp t="s">
        <v>表示銘柄数超過</v>
        <stp/>
        <stp>Market</stp>
        <stp>STOCK</stp>
        <stp>39870.T</stp>
        <stp>決算発表日</stp>
        <tr r="X403" s="7"/>
      </tp>
      <tp t="s">
        <v>表示銘柄数超過</v>
        <stp/>
        <stp>Market</stp>
        <stp>STOCK</stp>
        <stp>31870.T</stp>
        <stp>決算発表日</stp>
        <tr r="X254" s="7"/>
      </tp>
      <tp t="s">
        <v>表示銘柄数超過</v>
        <stp/>
        <stp>Market</stp>
        <stp>STOCK</stp>
        <stp>29870.T</stp>
        <stp>決算発表日</stp>
        <tr r="X218" s="7"/>
      </tp>
      <tp t="s">
        <v>表示銘柄数超過</v>
        <stp/>
        <stp>Market</stp>
        <stp>STOCK</stp>
        <stp>25870.T</stp>
        <stp>決算発表日</stp>
        <tr r="X166" s="7"/>
      </tp>
      <tp t="s">
        <v>表示銘柄数超過</v>
        <stp/>
        <stp>Market</stp>
        <stp>STOCK</stp>
        <stp>18870.T</stp>
        <stp>決算発表日</stp>
        <tr r="X69" s="7"/>
      </tp>
      <tp t="s">
        <v>2024/02/09</v>
        <stp/>
        <stp>Market</stp>
        <stp>STOCK</stp>
        <stp>52870.T</stp>
        <stp>決算発表日</stp>
        <tr r="X585" s="7"/>
      </tp>
      <tp t="s">
        <v>表示銘柄数超過</v>
        <stp/>
        <stp>Market</stp>
        <stp>STOCK</stp>
        <stp>44870.T</stp>
        <stp>決算発表日</stp>
        <tr r="X476" s="7"/>
      </tp>
      <tp t="s">
        <v>表示銘柄数超過</v>
        <stp/>
        <stp>Market</stp>
        <stp>STOCK</stp>
        <stp>42870.T</stp>
        <stp>決算発表日</stp>
        <tr r="X438" s="7"/>
      </tp>
      <tp t="s">
        <v>表示銘柄数超過</v>
        <stp/>
        <stp>Market</stp>
        <stp>STOCK</stp>
        <stp>97870.T</stp>
        <stp>決算発表日</stp>
        <tr r="X1168" s="7"/>
      </tp>
      <tp t="s">
        <v>表示銘柄数超過</v>
        <stp/>
        <stp>Market</stp>
        <stp>STOCK</stp>
        <stp>88870.T</stp>
        <stp>決算発表日</stp>
        <tr r="X1058" s="7"/>
      </tp>
      <tp t="s">
        <v>2024/02/06</v>
        <stp/>
        <stp>Market</stp>
        <stp>STOCK</stp>
        <stp>83870.T</stp>
        <stp>決算発表日</stp>
        <tr r="X1009" s="7"/>
      </tp>
      <tp t="s">
        <v>表示銘柄数超過</v>
        <stp/>
        <stp>Market</stp>
        <stp>STOCK</stp>
        <stp>38800.T</stp>
        <stp>決算発表日</stp>
        <tr r="X383" s="7"/>
      </tp>
      <tp t="s">
        <v>表示銘柄数超過</v>
        <stp/>
        <stp>Market</stp>
        <stp>STOCK</stp>
        <stp>36800.T</stp>
        <stp>決算発表日</stp>
        <tr r="X336" s="7"/>
      </tp>
      <tp t="s">
        <v>表示銘柄数超過</v>
        <stp/>
        <stp>Market</stp>
        <stp>STOCK</stp>
        <stp>35800.T</stp>
        <stp>決算発表日</stp>
        <tr r="X310" s="7"/>
      </tp>
      <tp t="s">
        <v>2024/02/14</v>
        <stp/>
        <stp>Market</stp>
        <stp>STOCK</stp>
        <stp>72800.T</stp>
        <stp>決算発表日</stp>
        <tr r="X869" s="7"/>
      </tp>
      <tp t="s">
        <v>2024/02/08</v>
        <stp/>
        <stp>Market</stp>
        <stp>STOCK</stp>
        <stp>71800.T</stp>
        <stp>決算発表日</stp>
        <tr r="X838" s="7"/>
      </tp>
      <tp t="s">
        <v>2024/02/14</v>
        <stp/>
        <stp>Market</stp>
        <stp>STOCK</stp>
        <stp>65800.T</stp>
        <stp>決算発表日</stp>
        <tr r="X732" s="7"/>
      </tp>
      <tp t="s">
        <v>2024/02/13</v>
        <stp/>
        <stp>Market</stp>
        <stp>STOCK</stp>
        <stp>64800.T</stp>
        <stp>決算発表日</stp>
        <tr r="X707" s="7"/>
      </tp>
      <tp t="s">
        <v>表示銘柄数超過</v>
        <stp/>
        <stp>Market</stp>
        <stp>STOCK</stp>
        <stp>46800.T</stp>
        <stp>決算発表日</stp>
        <tr r="X519" s="7"/>
      </tp>
      <tp t="s">
        <v>表示銘柄数超過</v>
        <stp/>
        <stp>Market</stp>
        <stp>STOCK</stp>
        <stp>99800.T</stp>
        <stp>決算発表日</stp>
        <tr r="X1187" s="7"/>
      </tp>
      <tp t="s">
        <v>表示銘柄数超過</v>
        <stp/>
        <stp>Market</stp>
        <stp>STOCK</stp>
        <stp>93800.T</stp>
        <stp>決算発表日</stp>
        <tr r="X1112" s="7"/>
      </tp>
      <tp t="s">
        <v>表示銘柄数超過</v>
        <stp/>
        <stp>Market</stp>
        <stp>STOCK</stp>
        <stp>36810.T</stp>
        <stp>決算発表日</stp>
        <tr r="X337" s="7"/>
      </tp>
      <tp t="s">
        <v>表示銘柄数超過</v>
        <stp/>
        <stp>Market</stp>
        <stp>STOCK</stp>
        <stp>26810.T</stp>
        <stp>決算発表日</stp>
        <tr r="X180" s="7"/>
      </tp>
      <tp t="s">
        <v>2024/02/09</v>
        <stp/>
        <stp>Market</stp>
        <stp>STOCK</stp>
        <stp>74810.T</stp>
        <stp>決算発表日</stp>
        <tr r="X893" s="7"/>
      </tp>
      <tp t="s">
        <v>2024/02/02</v>
        <stp/>
        <stp>Market</stp>
        <stp>STOCK</stp>
        <stp>69810.T</stp>
        <stp>決算発表日</stp>
        <tr r="X798" s="7"/>
      </tp>
      <tp t="s">
        <v>2024/02/09</v>
        <stp/>
        <stp>Market</stp>
        <stp>STOCK</stp>
        <stp>63810.T</stp>
        <stp>決算発表日</stp>
        <tr r="X696" s="7"/>
      </tp>
      <tp t="s">
        <v>2024/02/09</v>
        <stp/>
        <stp>Market</stp>
        <stp>STOCK</stp>
        <stp>61810.T</stp>
        <stp>決算発表日</stp>
        <tr r="X667" s="7"/>
      </tp>
      <tp t="s">
        <v>2024/02/14</v>
        <stp/>
        <stp>Market</stp>
        <stp>STOCK</stp>
        <stp>60810.T</stp>
        <stp>決算発表日</stp>
        <tr r="X649" s="7"/>
      </tp>
      <tp t="s">
        <v>2024/02/09</v>
        <stp/>
        <stp>Market</stp>
        <stp>STOCK</stp>
        <stp>59810.T</stp>
        <stp>決算発表日</stp>
        <tr r="X631" s="7"/>
      </tp>
      <tp t="s">
        <v>-</v>
        <stp/>
        <stp>Market</stp>
        <stp>STOCK</stp>
        <stp>53810.T</stp>
        <stp>決算発表日</stp>
        <tr r="X589" s="7"/>
      </tp>
      <tp t="s">
        <v>表示銘柄数超過</v>
        <stp/>
        <stp>Market</stp>
        <stp>STOCK</stp>
        <stp>48810.T</stp>
        <stp>決算発表日</stp>
        <tr r="X545" s="7"/>
      </tp>
      <tp t="s">
        <v>表示銘柄数超過</v>
        <stp/>
        <stp>Market</stp>
        <stp>STOCK</stp>
        <stp>88810.T</stp>
        <stp>決算発表日</stp>
        <tr r="X1057" s="7"/>
      </tp>
      <tp t="s">
        <v>2024/01/31</v>
        <stp/>
        <stp>Market</stp>
        <stp>STOCK</stp>
        <stp>80810.T</stp>
        <stp>決算発表日</stp>
        <tr r="X974" s="7"/>
      </tp>
      <tp t="s">
        <v>表示銘柄数超過</v>
        <stp/>
        <stp>Market</stp>
        <stp>STOCK</stp>
        <stp>36820.T</stp>
        <stp>決算発表日</stp>
        <tr r="X338" s="7"/>
      </tp>
      <tp t="s">
        <v>表示銘柄数超過</v>
        <stp/>
        <stp>Market</stp>
        <stp>STOCK</stp>
        <stp>33820.T</stp>
        <stp>決算発表日</stp>
        <tr r="X290" s="7"/>
      </tp>
      <tp t="s">
        <v>表示銘柄数超過</v>
        <stp/>
        <stp>Market</stp>
        <stp>STOCK</stp>
        <stp>31820.T</stp>
        <stp>決算発表日</stp>
        <tr r="X251" s="7"/>
      </tp>
      <tp t="s">
        <v>表示銘柄数超過</v>
        <stp/>
        <stp>Market</stp>
        <stp>STOCK</stp>
        <stp>29820.T</stp>
        <stp>決算発表日</stp>
        <tr r="X217" s="7"/>
      </tp>
      <tp t="s">
        <v>表示銘柄数超過</v>
        <stp/>
        <stp>Market</stp>
        <stp>STOCK</stp>
        <stp>27820.T</stp>
        <stp>決算発表日</stp>
        <tr r="X199" s="7"/>
      </tp>
      <tp t="s">
        <v>表示銘柄数超過</v>
        <stp/>
        <stp>Market</stp>
        <stp>STOCK</stp>
        <stp>16820.T</stp>
        <stp>決算発表日</stp>
        <tr r="X43" s="7"/>
      </tp>
      <tp t="s">
        <v>2024/02/14</v>
        <stp/>
        <stp>Market</stp>
        <stp>STOCK</stp>
        <stp>71820.T</stp>
        <stp>決算発表日</stp>
        <tr r="X839" s="7"/>
      </tp>
      <tp t="s">
        <v>2024/02/07</v>
        <stp/>
        <stp>Market</stp>
        <stp>STOCK</stp>
        <stp>69820.T</stp>
        <stp>決算発表日</stp>
        <tr r="X799" s="7"/>
      </tp>
      <tp t="s">
        <v>2024/01/12</v>
        <stp/>
        <stp>Market</stp>
        <stp>STOCK</stp>
        <stp>61820.T</stp>
        <stp>決算発表日</stp>
        <tr r="X668" s="7"/>
      </tp>
      <tp t="s">
        <v>表示銘柄数超過</v>
        <stp/>
        <stp>Market</stp>
        <stp>STOCK</stp>
        <stp>45820.T</stp>
        <stp>決算発表日</stp>
        <tr r="X497" s="7"/>
      </tp>
      <tp t="s">
        <v>表示銘柄数超過</v>
        <stp/>
        <stp>Market</stp>
        <stp>STOCK</stp>
        <stp>43820.T</stp>
        <stp>決算発表日</stp>
        <tr r="X455" s="7"/>
      </tp>
      <tp t="s">
        <v>表示銘柄数超過</v>
        <stp/>
        <stp>Market</stp>
        <stp>STOCK</stp>
        <stp>99820.T</stp>
        <stp>決算発表日</stp>
        <tr r="X1188" s="7"/>
      </tp>
      <tp t="s">
        <v>表示銘柄数超過</v>
        <stp/>
        <stp>Market</stp>
        <stp>STOCK</stp>
        <stp>97820.T</stp>
        <stp>決算発表日</stp>
        <tr r="X1166" s="7"/>
      </tp>
      <tp t="s">
        <v>表示銘柄数超過</v>
        <stp/>
        <stp>Market</stp>
        <stp>STOCK</stp>
        <stp>36830.T</stp>
        <stp>決算発表日</stp>
        <tr r="X339" s="7"/>
      </tp>
      <tp t="s">
        <v>表示銘柄数超過</v>
        <stp/>
        <stp>Market</stp>
        <stp>STOCK</stp>
        <stp>30830.T</stp>
        <stp>決算発表日</stp>
        <tr r="X238" s="7"/>
      </tp>
      <tp t="s">
        <v>表示銘柄数超過</v>
        <stp/>
        <stp>Market</stp>
        <stp>STOCK</stp>
        <stp>24830.T</stp>
        <stp>決算発表日</stp>
        <tr r="X151" s="7"/>
      </tp>
      <tp t="s">
        <v>表示銘柄数超過</v>
        <stp/>
        <stp>Market</stp>
        <stp>STOCK</stp>
        <stp>17830.T</stp>
        <stp>決算発表日</stp>
        <tr r="X56" s="7"/>
      </tp>
      <tp t="s">
        <v>2024/02/14</v>
        <stp/>
        <stp>Market</stp>
        <stp>STOCK</stp>
        <stp>73830.T</stp>
        <stp>決算発表日</stp>
        <tr r="X884" s="7"/>
      </tp>
      <tp t="s">
        <v>2024/02/01</v>
        <stp/>
        <stp>Market</stp>
        <stp>STOCK</stp>
        <stp>72830.T</stp>
        <stp>決算発表日</stp>
        <tr r="X870" s="7"/>
      </tp>
      <tp t="s">
        <v>2024/02/09</v>
        <stp/>
        <stp>Market</stp>
        <stp>STOCK</stp>
        <stp>71830.T</stp>
        <stp>決算発表日</stp>
        <tr r="X840" s="7"/>
      </tp>
      <tp t="s">
        <v>2024/02/08</v>
        <stp/>
        <stp>Market</stp>
        <stp>STOCK</stp>
        <stp>63830.T</stp>
        <stp>決算発表日</stp>
        <tr r="X697" s="7"/>
      </tp>
      <tp t="s">
        <v>表示銘柄数超過</v>
        <stp/>
        <stp>Market</stp>
        <stp>STOCK</stp>
        <stp>48830.T</stp>
        <stp>決算発表日</stp>
        <tr r="X546" s="7"/>
      </tp>
      <tp t="s">
        <v>表示銘柄数超過</v>
        <stp/>
        <stp>Market</stp>
        <stp>STOCK</stp>
        <stp>45830.T</stp>
        <stp>決算発表日</stp>
        <tr r="X498" s="7"/>
      </tp>
      <tp t="s">
        <v>表示銘柄数超過</v>
        <stp/>
        <stp>Market</stp>
        <stp>STOCK</stp>
        <stp>97830.T</stp>
        <stp>決算発表日</stp>
        <tr r="X1167" s="7"/>
      </tp>
      <tp t="s">
        <v>表示銘柄数超過</v>
        <stp/>
        <stp>Market</stp>
        <stp>STOCK</stp>
        <stp>87830.T</stp>
        <stp>決算発表日</stp>
        <tr r="X1047" s="7"/>
      </tp>
      <tp t="s">
        <v>2024/01/26</v>
        <stp/>
        <stp>Market</stp>
        <stp>STOCK</stp>
        <stp>83830.T</stp>
        <stp>決算発表日</stp>
        <tr r="X1008" s="7"/>
      </tp>
      <tp t="s">
        <v>表示銘柄数超過</v>
        <stp/>
        <stp>Market</stp>
        <stp>STOCK</stp>
        <stp>33880.T</stp>
        <stp>決算発表日</stp>
        <tr r="X292" s="7"/>
      </tp>
      <tp t="s">
        <v>表示銘柄数超過</v>
        <stp/>
        <stp>Market</stp>
        <stp>STOCK</stp>
        <stp>32880.T</stp>
        <stp>決算発表日</stp>
        <tr r="X271" s="7"/>
      </tp>
      <tp t="s">
        <v>表示銘柄数超過</v>
        <stp/>
        <stp>Market</stp>
        <stp>STOCK</stp>
        <stp>24880.T</stp>
        <stp>決算発表日</stp>
        <tr r="X153" s="7"/>
      </tp>
      <tp t="s">
        <v>表示銘柄数超過</v>
        <stp/>
        <stp>Market</stp>
        <stp>STOCK</stp>
        <stp>23880.T</stp>
        <stp>決算発表日</stp>
        <tr r="X131" s="7"/>
      </tp>
      <tp t="s">
        <v>2024/01/11</v>
        <stp/>
        <stp>Market</stp>
        <stp>STOCK</stp>
        <stp>78880.T</stp>
        <stp>決算発表日</stp>
        <tr r="X951" s="7"/>
      </tp>
      <tp t="s">
        <v>2024/02/09</v>
        <stp/>
        <stp>Market</stp>
        <stp>STOCK</stp>
        <stp>70880.T</stp>
        <stp>決算発表日</stp>
        <tr r="X824" s="7"/>
      </tp>
      <tp t="s">
        <v>2024/02/07</v>
        <stp/>
        <stp>Market</stp>
        <stp>STOCK</stp>
        <stp>65880.T</stp>
        <stp>決算発表日</stp>
        <tr r="X734" s="7"/>
      </tp>
      <tp t="s">
        <v>-</v>
        <stp/>
        <stp>Market</stp>
        <stp>STOCK</stp>
        <stp>61880.T</stp>
        <stp>決算発表日</stp>
        <tr r="X672" s="7"/>
      </tp>
      <tp t="s">
        <v>表示銘柄数超過</v>
        <stp/>
        <stp>Market</stp>
        <stp>STOCK</stp>
        <stp>45880.T</stp>
        <stp>決算発表日</stp>
        <tr r="X501" s="7"/>
      </tp>
      <tp t="s">
        <v>表示銘柄数超過</v>
        <stp/>
        <stp>Market</stp>
        <stp>STOCK</stp>
        <stp>43880.T</stp>
        <stp>決算発表日</stp>
        <tr r="X457" s="7"/>
      </tp>
      <tp t="s">
        <v>表示銘柄数超過</v>
        <stp/>
        <stp>Market</stp>
        <stp>STOCK</stp>
        <stp>41880.T</stp>
        <stp>決算発表日</stp>
        <tr r="X423" s="7"/>
      </tp>
      <tp t="s">
        <v>表示銘柄数超過</v>
        <stp/>
        <stp>Market</stp>
        <stp>STOCK</stp>
        <stp>98880.T</stp>
        <stp>決算発表日</stp>
        <tr r="X1176" s="7"/>
      </tp>
      <tp t="s">
        <v>表示銘柄数超過</v>
        <stp/>
        <stp>Market</stp>
        <stp>STOCK</stp>
        <stp>97880.T</stp>
        <stp>決算発表日</stp>
        <tr r="X1169" s="7"/>
      </tp>
      <tp t="s">
        <v>表示銘柄数超過</v>
        <stp/>
        <stp>Market</stp>
        <stp>STOCK</stp>
        <stp>39890.T</stp>
        <stp>決算発表日</stp>
        <tr r="X404" s="7"/>
      </tp>
      <tp t="s">
        <v>表示銘柄数超過</v>
        <stp/>
        <stp>Market</stp>
        <stp>STOCK</stp>
        <stp>32890.T</stp>
        <stp>決算発表日</stp>
        <tr r="X272" s="7"/>
      </tp>
      <tp t="s">
        <v>表示銘柄数超過</v>
        <stp/>
        <stp>Market</stp>
        <stp>STOCK</stp>
        <stp>31890.T</stp>
        <stp>決算発表日</stp>
        <tr r="X255" s="7"/>
      </tp>
      <tp t="s">
        <v>表示銘柄数超過</v>
        <stp/>
        <stp>Market</stp>
        <stp>STOCK</stp>
        <stp>16890.T</stp>
        <stp>決算発表日</stp>
        <tr r="X44" s="7"/>
      </tp>
      <tp t="s">
        <v>2024/01/12</v>
        <stp/>
        <stp>Market</stp>
        <stp>STOCK</stp>
        <stp>64890.T</stp>
        <stp>決算発表日</stp>
        <tr r="X708" s="7"/>
      </tp>
      <tp t="s">
        <v>表示銘柄数超過</v>
        <stp/>
        <stp>Market</stp>
        <stp>STOCK</stp>
        <stp>48890.T</stp>
        <stp>決算発表日</stp>
        <tr r="X547" s="7"/>
      </tp>
      <tp t="s">
        <v>2024/02/06</v>
        <stp/>
        <stp>Market</stp>
        <stp>STOCK</stp>
        <stp>46890.T</stp>
        <stp>決算発表日</stp>
        <tr r="X520" s="7"/>
      </tp>
      <tp t="s">
        <v>表示銘柄数超過</v>
        <stp/>
        <stp>Market</stp>
        <stp>STOCK</stp>
        <stp>87890.T</stp>
        <stp>決算発表日</stp>
        <tr r="X1048" s="7"/>
      </tp>
      <tp>
        <v>3325</v>
        <stp/>
        <stp>Market</stp>
        <stp>STOCK</stp>
        <stp>52530.T</stp>
        <stp>年初来高値</stp>
        <tr r="Y580" s="7"/>
      </tp>
      <tp>
        <v>2584</v>
        <stp/>
        <stp>Market</stp>
        <stp>STOCK</stp>
        <stp>74530.T</stp>
        <stp>年初来高値</stp>
        <tr r="Y890" s="7"/>
      </tp>
      <tp>
        <v>1321</v>
        <stp/>
        <stp>Market</stp>
        <stp>STOCK</stp>
        <stp>73530.T</stp>
        <stp>年初来高値</stp>
        <tr r="Y879" s="7"/>
      </tp>
      <tp>
        <v>454</v>
        <stp/>
        <stp>Market</stp>
        <stp>STOCK</stp>
        <stp>79530.T</stp>
        <stp>年初来高値</stp>
        <tr r="Y958" s="7"/>
      </tp>
      <tp>
        <v>1144.5</v>
        <stp/>
        <stp>Market</stp>
        <stp>STOCK</stp>
        <stp>67530.T</stp>
        <stp>年初来高値</stp>
        <tr r="Y765" s="7"/>
      </tp>
      <tp t="s">
        <v>表示銘柄数超過</v>
        <stp/>
        <stp>Market</stp>
        <stp>STOCK</stp>
        <stp>35530.T</stp>
        <stp>年初来高値</stp>
        <tr r="Y308" s="7"/>
      </tp>
      <tp t="s">
        <v>表示銘柄数超過</v>
        <stp/>
        <stp>Market</stp>
        <stp>STOCK</stp>
        <stp>30530.T</stp>
        <stp>年初来高値</stp>
        <tr r="Y233" s="7"/>
      </tp>
      <tp t="s">
        <v>表示銘柄数超過</v>
        <stp/>
        <stp>Market</stp>
        <stp>STOCK</stp>
        <stp>38530.T</stp>
        <stp>年初来高値</stp>
        <tr r="Y376" s="7"/>
      </tp>
      <tp t="s">
        <v>表示銘柄数超過</v>
        <stp/>
        <stp>Market</stp>
        <stp>STOCK</stp>
        <stp>24530.T</stp>
        <stp>年初来高値</stp>
        <tr r="Y146" s="7"/>
      </tp>
      <tp t="s">
        <v>表示銘柄数超過</v>
        <stp/>
        <stp>Market</stp>
        <stp>STOCK</stp>
        <stp>22530.T</stp>
        <stp>年初来高値</stp>
        <tr r="Y110" s="7"/>
      </tp>
      <tp t="s">
        <v>表示銘柄数超過</v>
        <stp/>
        <stp>Market</stp>
        <stp>STOCK</stp>
        <stp>23530.T</stp>
        <stp>年初来高値</stp>
        <tr r="Y124" s="7"/>
      </tp>
      <tp t="s">
        <v>表示銘柄数超過</v>
        <stp/>
        <stp>Market</stp>
        <stp>STOCK</stp>
        <stp>28530.T</stp>
        <stp>年初来高値</stp>
        <tr r="Y205" s="7"/>
      </tp>
      <tp t="s">
        <v>表示銘柄数超過</v>
        <stp/>
        <stp>Market</stp>
        <stp>STOCK</stp>
        <stp>95530.T</stp>
        <stp>年初来高値</stp>
        <tr r="Y1155" s="7"/>
      </tp>
      <tp t="s">
        <v>表示銘柄数超過</v>
        <stp/>
        <stp>Market</stp>
        <stp>STOCK</stp>
        <stp>98530.T</stp>
        <stp>年初来高値</stp>
        <tr r="Y1173" s="7"/>
      </tp>
      <tp>
        <v>3427</v>
        <stp/>
        <stp>Market</stp>
        <stp>STOCK</stp>
        <stp>80530.T</stp>
        <stp>年初来高値</stp>
        <tr r="Y970" s="7"/>
      </tp>
      <tp>
        <v>3540</v>
        <stp/>
        <stp>Market</stp>
        <stp>STOCK</stp>
        <stp>81530.T</stp>
        <stp>年初来高値</stp>
        <tr r="Y985" s="7"/>
      </tp>
      <tp>
        <v>941</v>
        <stp/>
        <stp>Market</stp>
        <stp>STOCK</stp>
        <stp>58520.T</stp>
        <stp>年初来高値</stp>
        <tr r="Y616" s="7"/>
      </tp>
      <tp>
        <v>176</v>
        <stp/>
        <stp>Market</stp>
        <stp>STOCK</stp>
        <stp>59520.T</stp>
        <stp>年初来高値</stp>
        <tr r="Y626" s="7"/>
      </tp>
      <tp t="s">
        <v>表示銘柄数超過</v>
        <stp/>
        <stp>Market</stp>
        <stp>STOCK</stp>
        <stp>44520.T</stp>
        <stp>年初来高値</stp>
        <tr r="Y469" s="7"/>
      </tp>
      <tp>
        <v>1353.5</v>
        <stp/>
        <stp>Market</stp>
        <stp>STOCK</stp>
        <stp>77520.T</stp>
        <stp>年初来高値</stp>
        <tr r="Y929" s="7"/>
      </tp>
      <tp>
        <v>420</v>
        <stp/>
        <stp>Market</stp>
        <stp>STOCK</stp>
        <stp>65520.T</stp>
        <stp>年初来高値</stp>
        <tr r="Y724" s="7"/>
      </tp>
      <tp>
        <v>1808</v>
        <stp/>
        <stp>Market</stp>
        <stp>STOCK</stp>
        <stp>67520.T</stp>
        <stp>年初来高値</stp>
        <tr r="Y764" s="7"/>
      </tp>
      <tp>
        <v>1374</v>
        <stp/>
        <stp>Market</stp>
        <stp>STOCK</stp>
        <stp>69520.T</stp>
        <stp>年初来高値</stp>
        <tr r="Y793" s="7"/>
      </tp>
      <tp t="s">
        <v>表示銘柄数超過</v>
        <stp/>
        <stp>Market</stp>
        <stp>STOCK</stp>
        <stp>15520.T</stp>
        <stp>年初来高値</stp>
        <tr r="Y32" s="7"/>
      </tp>
      <tp t="s">
        <v>表示銘柄数超過</v>
        <stp/>
        <stp>Market</stp>
        <stp>STOCK</stp>
        <stp>36520.T</stp>
        <stp>年初来高値</stp>
        <tr r="Y322" s="7"/>
      </tp>
      <tp t="s">
        <v>表示銘柄数超過</v>
        <stp/>
        <stp>Market</stp>
        <stp>STOCK</stp>
        <stp>38520.T</stp>
        <stp>年初来高値</stp>
        <tr r="Y375" s="7"/>
      </tp>
      <tp t="s">
        <v>表示銘柄数超過</v>
        <stp/>
        <stp>Market</stp>
        <stp>STOCK</stp>
        <stp>21520.T</stp>
        <stp>年初来高値</stp>
        <tr r="Y95" s="7"/>
      </tp>
      <tp t="s">
        <v>表示銘柄数超過</v>
        <stp/>
        <stp>Market</stp>
        <stp>STOCK</stp>
        <stp>28520.T</stp>
        <stp>年初来高値</stp>
        <tr r="Y204" s="7"/>
      </tp>
      <tp>
        <v>2628</v>
        <stp/>
        <stp>Market</stp>
        <stp>STOCK</stp>
        <stp>82520.T</stp>
        <stp>年初来高値</stp>
        <tr r="Y999" s="7"/>
      </tp>
      <tp t="s">
        <v>表示銘柄数超過</v>
        <stp/>
        <stp>Market</stp>
        <stp>STOCK</stp>
        <stp>46510.T</stp>
        <stp>年初来高値</stp>
        <tr r="Y513" s="7"/>
      </tp>
      <tp t="s">
        <v>表示銘柄数超過</v>
        <stp/>
        <stp>Market</stp>
        <stp>STOCK</stp>
        <stp>47510.T</stp>
        <stp>年初来高値</stp>
        <tr r="Y528" s="7"/>
      </tp>
      <tp>
        <v>4092</v>
        <stp/>
        <stp>Market</stp>
        <stp>STOCK</stp>
        <stp>77510.T</stp>
        <stp>年初来高値</stp>
        <tr r="Y928" s="7"/>
      </tp>
      <tp>
        <v>1165</v>
        <stp/>
        <stp>Market</stp>
        <stp>STOCK</stp>
        <stp>73510.T</stp>
        <stp>年初来高値</stp>
        <tr r="Y878" s="7"/>
      </tp>
      <tp>
        <v>355</v>
        <stp/>
        <stp>Market</stp>
        <stp>STOCK</stp>
        <stp>78510.T</stp>
        <stp>年初来高値</stp>
        <tr r="Y946" s="7"/>
      </tp>
      <tp t="s">
        <v>表示銘柄数超過</v>
        <stp/>
        <stp>Market</stp>
        <stp>STOCK</stp>
        <stp>14510.T</stp>
        <stp>年初来高値</stp>
        <tr r="Y25" s="7"/>
      </tp>
      <tp t="s">
        <v>表示銘柄数超過</v>
        <stp/>
        <stp>Market</stp>
        <stp>STOCK</stp>
        <stp>15510.T</stp>
        <stp>年初来高値</stp>
        <tr r="Y31" s="7"/>
      </tp>
      <tp t="s">
        <v>表示銘柄数超過</v>
        <stp/>
        <stp>Market</stp>
        <stp>STOCK</stp>
        <stp>35510.T</stp>
        <stp>年初来高値</stp>
        <tr r="Y307" s="7"/>
      </tp>
      <tp t="s">
        <v>表示銘柄数超過</v>
        <stp/>
        <stp>Market</stp>
        <stp>STOCK</stp>
        <stp>38510.T</stp>
        <stp>年初来高値</stp>
        <tr r="Y374" s="7"/>
      </tp>
      <tp t="s">
        <v>表示銘柄数超過</v>
        <stp/>
        <stp>Market</stp>
        <stp>STOCK</stp>
        <stp>26510.T</stp>
        <stp>年初来高値</stp>
        <tr r="Y175" s="7"/>
      </tp>
      <tp t="s">
        <v>表示銘柄数超過</v>
        <stp/>
        <stp>Market</stp>
        <stp>STOCK</stp>
        <stp>23510.T</stp>
        <stp>年初来高値</stp>
        <tr r="Y123" s="7"/>
      </tp>
      <tp t="s">
        <v>表示銘柄数超過</v>
        <stp/>
        <stp>Market</stp>
        <stp>STOCK</stp>
        <stp>28510.T</stp>
        <stp>年初来高値</stp>
        <tr r="Y203" s="7"/>
      </tp>
      <tp>
        <v>140</v>
        <stp/>
        <stp>Market</stp>
        <stp>STOCK</stp>
        <stp>59500.T</stp>
        <stp>年初来高値</stp>
        <tr r="Y625" s="7"/>
      </tp>
      <tp t="s">
        <v>表示銘柄数超過</v>
        <stp/>
        <stp>Market</stp>
        <stp>STOCK</stp>
        <stp>43500.T</stp>
        <stp>年初来高値</stp>
        <tr r="Y447" s="7"/>
      </tp>
      <tp>
        <v>605</v>
        <stp/>
        <stp>Market</stp>
        <stp>STOCK</stp>
        <stp>71500.T</stp>
        <stp>年初来高値</stp>
        <tr r="Y831" s="7"/>
      </tp>
      <tp>
        <v>2626</v>
        <stp/>
        <stp>Market</stp>
        <stp>STOCK</stp>
        <stp>73500.T</stp>
        <stp>年初来高値</stp>
        <tr r="Y877" s="7"/>
      </tp>
      <tp>
        <v>284</v>
        <stp/>
        <stp>Market</stp>
        <stp>STOCK</stp>
        <stp>65500.T</stp>
        <stp>年初来高値</stp>
        <tr r="Y723" s="7"/>
      </tp>
      <tp>
        <v>1840</v>
        <stp/>
        <stp>Market</stp>
        <stp>STOCK</stp>
        <stp>67500.T</stp>
        <stp>年初来高値</stp>
        <tr r="Y763" s="7"/>
      </tp>
      <tp t="s">
        <v>表示銘柄数超過</v>
        <stp/>
        <stp>Market</stp>
        <stp>STOCK</stp>
        <stp>19500.T</stp>
        <stp>年初来高値</stp>
        <tr r="Y81" s="7"/>
      </tp>
      <tp t="s">
        <v>表示銘柄数超過</v>
        <stp/>
        <stp>Market</stp>
        <stp>STOCK</stp>
        <stp>30500.T</stp>
        <stp>年初来高値</stp>
        <tr r="Y232" s="7"/>
      </tp>
      <tp t="s">
        <v>表示銘柄数超過</v>
        <stp/>
        <stp>Market</stp>
        <stp>STOCK</stp>
        <stp>33500.T</stp>
        <stp>年初来高値</stp>
        <tr r="Y283" s="7"/>
      </tp>
      <tp t="s">
        <v>表示銘柄数超過</v>
        <stp/>
        <stp>Market</stp>
        <stp>STOCK</stp>
        <stp>38500.T</stp>
        <stp>年初来高値</stp>
        <tr r="Y373" s="7"/>
      </tp>
      <tp t="s">
        <v>表示銘柄数超過</v>
        <stp/>
        <stp>Market</stp>
        <stp>STOCK</stp>
        <stp>21500.T</stp>
        <stp>年初来高値</stp>
        <tr r="Y94" s="7"/>
      </tp>
      <tp t="s">
        <v>表示銘柄数超過</v>
        <stp/>
        <stp>Market</stp>
        <stp>STOCK</stp>
        <stp>22500.T</stp>
        <stp>年初来高値</stp>
        <tr r="Y109" s="7"/>
      </tp>
      <tp t="s">
        <v>表示銘柄数超過</v>
        <stp/>
        <stp>Market</stp>
        <stp>STOCK</stp>
        <stp>94500.T</stp>
        <stp>年初来高値</stp>
        <tr r="Y1133" s="7"/>
      </tp>
      <tp t="s">
        <v>表示銘柄数超過</v>
        <stp/>
        <stp>Market</stp>
        <stp>STOCK</stp>
        <stp>87500.T</stp>
        <stp>年初来高値</stp>
        <tr r="Y1044" s="7"/>
      </tp>
      <tp>
        <v>2669</v>
        <stp/>
        <stp>Market</stp>
        <stp>STOCK</stp>
        <stp>81500.T</stp>
        <stp>年初来高値</stp>
        <tr r="Y984" s="7"/>
      </tp>
      <tp>
        <v>1617</v>
        <stp/>
        <stp>Market</stp>
        <stp>STOCK</stp>
        <stp>53570.T</stp>
        <stp>年初来高値</stp>
        <tr r="Y588" s="7"/>
      </tp>
      <tp t="s">
        <v>表示銘柄数超過</v>
        <stp/>
        <stp>Market</stp>
        <stp>STOCK</stp>
        <stp>46570.T</stp>
        <stp>年初来高値</stp>
        <tr r="Y514" s="7"/>
      </tp>
      <tp>
        <v>1595</v>
        <stp/>
        <stp>Market</stp>
        <stp>STOCK</stp>
        <stp>65570.T</stp>
        <stp>年初来高値</stp>
        <tr r="Y728" s="7"/>
      </tp>
      <tp>
        <v>6256</v>
        <stp/>
        <stp>Market</stp>
        <stp>STOCK</stp>
        <stp>68570.T</stp>
        <stp>年初来高値</stp>
        <tr r="Y778" s="7"/>
      </tp>
      <tp t="s">
        <v>表示銘柄数超過</v>
        <stp/>
        <stp>Market</stp>
        <stp>STOCK</stp>
        <stp>17570.T</stp>
        <stp>年初来高値</stp>
        <tr r="Y54" s="7"/>
      </tp>
      <tp>
        <v>404</v>
        <stp/>
        <stp>Market</stp>
        <stp>STOCK</stp>
        <stp>13570.T</stp>
        <stp>年初来高値</stp>
        <tr r="Y12" s="7"/>
      </tp>
      <tp t="s">
        <v>表示銘柄数超過</v>
        <stp/>
        <stp>Market</stp>
        <stp>STOCK</stp>
        <stp>28570.T</stp>
        <stp>年初来高値</stp>
        <tr r="Y207" s="7"/>
      </tp>
      <tp t="s">
        <v>表示銘柄数超過</v>
        <stp/>
        <stp>Market</stp>
        <stp>STOCK</stp>
        <stp>95570.T</stp>
        <stp>年初来高値</stp>
        <tr r="Y1156" s="7"/>
      </tp>
      <tp>
        <v>66</v>
        <stp/>
        <stp>Market</stp>
        <stp>STOCK</stp>
        <stp>58560.T</stp>
        <stp>年初来高値</stp>
        <tr r="Y617" s="7"/>
      </tp>
      <tp>
        <v>374</v>
        <stp/>
        <stp>Market</stp>
        <stp>STOCK</stp>
        <stp>72560.T</stp>
        <stp>年初来高値</stp>
        <tr r="Y862" s="7"/>
      </tp>
      <tp>
        <v>1900</v>
        <stp/>
        <stp>Market</stp>
        <stp>STOCK</stp>
        <stp>78560.T</stp>
        <stp>年初来高値</stp>
        <tr r="Y947" s="7"/>
      </tp>
      <tp>
        <v>904</v>
        <stp/>
        <stp>Market</stp>
        <stp>STOCK</stp>
        <stp>65560.T</stp>
        <stp>年初来高値</stp>
        <tr r="Y727" s="7"/>
      </tp>
      <tp>
        <v>725</v>
        <stp/>
        <stp>Market</stp>
        <stp>STOCK</stp>
        <stp>63560.T</stp>
        <stp>年初来高値</stp>
        <tr r="Y693" s="7"/>
      </tp>
      <tp t="s">
        <v>表示銘柄数超過</v>
        <stp/>
        <stp>Market</stp>
        <stp>STOCK</stp>
        <stp>16560.T</stp>
        <stp>年初来高値</stp>
        <tr r="Y40" s="7"/>
      </tp>
      <tp t="s">
        <v>表示銘柄数超過</v>
        <stp/>
        <stp>Market</stp>
        <stp>STOCK</stp>
        <stp>13560.T</stp>
        <stp>年初来高値</stp>
        <tr r="Y11" s="7"/>
      </tp>
      <tp t="s">
        <v>表示銘柄数超過</v>
        <stp/>
        <stp>Market</stp>
        <stp>STOCK</stp>
        <stp>36560.T</stp>
        <stp>年初来高値</stp>
        <tr r="Y324" s="7"/>
      </tp>
      <tp t="s">
        <v>表示銘柄数超過</v>
        <stp/>
        <stp>Market</stp>
        <stp>STOCK</stp>
        <stp>38560.T</stp>
        <stp>年初来高値</stp>
        <tr r="Y377" s="7"/>
      </tp>
      <tp t="s">
        <v>表示銘柄数超過</v>
        <stp/>
        <stp>Market</stp>
        <stp>STOCK</stp>
        <stp>26560.T</stp>
        <stp>年初来高値</stp>
        <tr r="Y176" s="7"/>
      </tp>
      <tp t="s">
        <v>表示銘柄数超過</v>
        <stp/>
        <stp>Market</stp>
        <stp>STOCK</stp>
        <stp>28560.T</stp>
        <stp>年初来高値</stp>
        <tr r="Y206" s="7"/>
      </tp>
      <tp t="s">
        <v>表示銘柄数超過</v>
        <stp/>
        <stp>Market</stp>
        <stp>STOCK</stp>
        <stp>96560.T</stp>
        <stp>年初来高値</stp>
        <tr r="Y1161" s="7"/>
      </tp>
      <tp>
        <v>4674</v>
        <stp/>
        <stp>Market</stp>
        <stp>STOCK</stp>
        <stp>80560.T</stp>
        <stp>年初来高値</stp>
        <tr r="Y971" s="7"/>
      </tp>
      <tp t="s">
        <v/>
        <stp/>
        <stp>Market</stp>
        <stp>STOCK</stp>
        <stp>82560.T</stp>
        <stp>年初来高値</stp>
        <tr r="Y1000" s="7"/>
      </tp>
      <tp>
        <v>160</v>
        <stp/>
        <stp>Market</stp>
        <stp>STOCK</stp>
        <stp>59550.T</stp>
        <stp>年初来高値</stp>
        <tr r="Y627" s="7"/>
      </tp>
      <tp t="s">
        <v>表示銘柄数超過</v>
        <stp/>
        <stp>Market</stp>
        <stp>STOCK</stp>
        <stp>47550.T</stp>
        <stp>年初来高値</stp>
        <tr r="Y529" s="7"/>
      </tp>
      <tp t="s">
        <v>表示銘柄数超過</v>
        <stp/>
        <stp>Market</stp>
        <stp>STOCK</stp>
        <stp>43550.T</stp>
        <stp>年初来高値</stp>
        <tr r="Y448" s="7"/>
      </tp>
      <tp>
        <v>548</v>
        <stp/>
        <stp>Market</stp>
        <stp>STOCK</stp>
        <stp>74550.T</stp>
        <stp>年初来高値</stp>
        <tr r="Y891" s="7"/>
      </tp>
      <tp>
        <v>766</v>
        <stp/>
        <stp>Market</stp>
        <stp>STOCK</stp>
        <stp>79550.T</stp>
        <stp>年初来高値</stp>
        <tr r="Y959" s="7"/>
      </tp>
      <tp>
        <v>760</v>
        <stp/>
        <stp>Market</stp>
        <stp>STOCK</stp>
        <stp>65550.T</stp>
        <stp>年初来高値</stp>
        <tr r="Y726" s="7"/>
      </tp>
      <tp>
        <v>869</v>
        <stp/>
        <stp>Market</stp>
        <stp>STOCK</stp>
        <stp>62550.T</stp>
        <stp>年初来高値</stp>
        <tr r="Y682" s="7"/>
      </tp>
      <tp>
        <v>1033</v>
        <stp/>
        <stp>Market</stp>
        <stp>STOCK</stp>
        <stp>69550.T</stp>
        <stp>年初来高値</stp>
        <tr r="Y795" s="7"/>
      </tp>
      <tp t="s">
        <v>表示銘柄数超過</v>
        <stp/>
        <stp>Market</stp>
        <stp>STOCK</stp>
        <stp>16550.T</stp>
        <stp>年初来高値</stp>
        <tr r="Y39" s="7"/>
      </tp>
      <tp t="s">
        <v>表示銘柄数超過</v>
        <stp/>
        <stp>Market</stp>
        <stp>STOCK</stp>
        <stp>36550.T</stp>
        <stp>年初来高値</stp>
        <tr r="Y323" s="7"/>
      </tp>
      <tp t="s">
        <v>表示銘柄数超過</v>
        <stp/>
        <stp>Market</stp>
        <stp>STOCK</stp>
        <stp>33550.T</stp>
        <stp>年初来高値</stp>
        <tr r="Y284" s="7"/>
      </tp>
      <tp t="s">
        <v>表示銘柄数超過</v>
        <stp/>
        <stp>Market</stp>
        <stp>STOCK</stp>
        <stp>20550.T</stp>
        <stp>年初来高値</stp>
        <tr r="Y88" s="7"/>
      </tp>
      <tp t="s">
        <v>表示銘柄数超過</v>
        <stp/>
        <stp>Market</stp>
        <stp>STOCK</stp>
        <stp>45540.T</stp>
        <stp>年初来高値</stp>
        <tr r="Y484" s="7"/>
      </tp>
      <tp>
        <v>638</v>
        <stp/>
        <stp>Market</stp>
        <stp>STOCK</stp>
        <stp>72540.T</stp>
        <stp>年初来高値</stp>
        <tr r="Y861" s="7"/>
      </tp>
      <tp>
        <v>1116</v>
        <stp/>
        <stp>Market</stp>
        <stp>STOCK</stp>
        <stp>65540.T</stp>
        <stp>年初来高値</stp>
        <tr r="Y725" s="7"/>
      </tp>
      <tp>
        <v>1266</v>
        <stp/>
        <stp>Market</stp>
        <stp>STOCK</stp>
        <stp>66540.T</stp>
        <stp>年初来高値</stp>
        <tr r="Y747" s="7"/>
      </tp>
      <tp>
        <v>1376.5</v>
        <stp/>
        <stp>Market</stp>
        <stp>STOCK</stp>
        <stp>67540.T</stp>
        <stp>年初来高値</stp>
        <tr r="Y766" s="7"/>
      </tp>
      <tp>
        <v>361</v>
        <stp/>
        <stp>Market</stp>
        <stp>STOCK</stp>
        <stp>60540.T</stp>
        <stp>年初来高値</stp>
        <tr r="Y646" s="7"/>
      </tp>
      <tp>
        <v>5334</v>
        <stp/>
        <stp>Market</stp>
        <stp>STOCK</stp>
        <stp>69540.T</stp>
        <stp>年初来高値</stp>
        <tr r="Y794" s="7"/>
      </tp>
      <tp t="s">
        <v>表示銘柄数超過</v>
        <stp/>
        <stp>Market</stp>
        <stp>STOCK</stp>
        <stp>34540.T</stp>
        <stp>年初来高値</stp>
        <tr r="Y300" s="7"/>
      </tp>
      <tp t="s">
        <v>表示銘柄数超過</v>
        <stp/>
        <stp>Market</stp>
        <stp>STOCK</stp>
        <stp>31540.T</stp>
        <stp>年初来高値</stp>
        <tr r="Y248" s="7"/>
      </tp>
      <tp t="s">
        <v>表示銘柄数超過</v>
        <stp/>
        <stp>Market</stp>
        <stp>STOCK</stp>
        <stp>21540.T</stp>
        <stp>年初来高値</stp>
        <tr r="Y96" s="7"/>
      </tp>
      <tp t="s">
        <v>表示銘柄数超過</v>
        <stp/>
        <stp>Market</stp>
        <stp>STOCK</stp>
        <stp>23540.T</stp>
        <stp>年初来高値</stp>
        <tr r="Y125" s="7"/>
      </tp>
      <tp t="s">
        <v>表示銘柄数超過</v>
        <stp/>
        <stp>Market</stp>
        <stp>STOCK</stp>
        <stp>92540.T</stp>
        <stp>年初来高値</stp>
        <tr r="Y1103" s="7"/>
      </tp>
      <tp t="s">
        <v>表示銘柄数超過</v>
        <stp/>
        <stp>Market</stp>
        <stp>STOCK</stp>
        <stp>98540.T</stp>
        <stp>年初来高値</stp>
        <tr r="Y1174" s="7"/>
      </tp>
      <tp>
        <v>2480</v>
        <stp/>
        <stp>Market</stp>
        <stp>STOCK</stp>
        <stp>57590.T</stp>
        <stp>年初来高値</stp>
        <tr r="Y610" s="7"/>
      </tp>
      <tp t="s">
        <v>表示銘柄数超過</v>
        <stp/>
        <stp>Market</stp>
        <stp>STOCK</stp>
        <stp>40590.T</stp>
        <stp>年初来高値</stp>
        <tr r="Y414" s="7"/>
      </tp>
      <tp t="s">
        <v>表示銘柄数超過</v>
        <stp/>
        <stp>Market</stp>
        <stp>STOCK</stp>
        <stp>42590.T</stp>
        <stp>年初来高値</stp>
        <tr r="Y432" s="7"/>
      </tp>
      <tp>
        <v>2683.5</v>
        <stp/>
        <stp>Market</stp>
        <stp>STOCK</stp>
        <stp>74590.T</stp>
        <stp>年初来高値</stp>
        <tr r="Y892" s="7"/>
      </tp>
      <tp>
        <v>1695</v>
        <stp/>
        <stp>Market</stp>
        <stp>STOCK</stp>
        <stp>70590.T</stp>
        <stp>年初来高値</stp>
        <tr r="Y818" s="7"/>
      </tp>
      <tp>
        <v>1364</v>
        <stp/>
        <stp>Market</stp>
        <stp>STOCK</stp>
        <stp>73590.T</stp>
        <stp>年初来高値</stp>
        <tr r="Y880" s="7"/>
      </tp>
      <tp>
        <v>1113</v>
        <stp/>
        <stp>Market</stp>
        <stp>STOCK</stp>
        <stp>78590.T</stp>
        <stp>年初来高値</stp>
        <tr r="Y948" s="7"/>
      </tp>
      <tp>
        <v>90</v>
        <stp/>
        <stp>Market</stp>
        <stp>STOCK</stp>
        <stp>66590.T</stp>
        <stp>年初来高値</stp>
        <tr r="Y749" s="7"/>
      </tp>
      <tp>
        <v>401</v>
        <stp/>
        <stp>Market</stp>
        <stp>STOCK</stp>
        <stp>60590.T</stp>
        <stp>年初来高値</stp>
        <tr r="Y647" s="7"/>
      </tp>
      <tp t="s">
        <v>表示銘柄数超過</v>
        <stp/>
        <stp>Market</stp>
        <stp>STOCK</stp>
        <stp>14590.T</stp>
        <stp>年初来高値</stp>
        <tr r="Y26" s="7"/>
      </tp>
      <tp t="s">
        <v>表示銘柄数超過</v>
        <stp/>
        <stp>Market</stp>
        <stp>STOCK</stp>
        <stp>31590.T</stp>
        <stp>年初来高値</stp>
        <tr r="Y249" s="7"/>
      </tp>
      <tp t="s">
        <v>表示銘柄数超過</v>
        <stp/>
        <stp>Market</stp>
        <stp>STOCK</stp>
        <stp>33590.T</stp>
        <stp>年初来高値</stp>
        <tr r="Y286" s="7"/>
      </tp>
      <tp t="s">
        <v>表示銘柄数超過</v>
        <stp/>
        <stp>Market</stp>
        <stp>STOCK</stp>
        <stp>90590.T</stp>
        <stp>年初来高値</stp>
        <tr r="Y1089" s="7"/>
      </tp>
      <tp>
        <v>342</v>
        <stp/>
        <stp>Market</stp>
        <stp>STOCK</stp>
        <stp>56580.T</stp>
        <stp>年初来高値</stp>
        <tr r="Y603" s="7"/>
      </tp>
      <tp t="s">
        <v>表示銘柄数超過</v>
        <stp/>
        <stp>Market</stp>
        <stp>STOCK</stp>
        <stp>45580.T</stp>
        <stp>年初来高値</stp>
        <tr r="Y485" s="7"/>
      </tp>
      <tp t="s">
        <v>表示銘柄数超過</v>
        <stp/>
        <stp>Market</stp>
        <stp>STOCK</stp>
        <stp>42580.T</stp>
        <stp>年初来高値</stp>
        <tr r="Y431" s="7"/>
      </tp>
      <tp>
        <v>888</v>
        <stp/>
        <stp>Market</stp>
        <stp>STOCK</stp>
        <stp>66580.T</stp>
        <stp>年初来高値</stp>
        <tr r="Y748" s="7"/>
      </tp>
      <tp>
        <v>14915</v>
        <stp/>
        <stp>Market</stp>
        <stp>STOCK</stp>
        <stp>67580.T</stp>
        <stp>年初来高値</stp>
        <tr r="Y767" s="7"/>
      </tp>
      <tp>
        <v>830</v>
        <stp/>
        <stp>Market</stp>
        <stp>STOCK</stp>
        <stp>69580.T</stp>
        <stp>年初来高値</stp>
        <tr r="Y796" s="7"/>
      </tp>
      <tp t="s">
        <v>表示銘柄数超過</v>
        <stp/>
        <stp>Market</stp>
        <stp>STOCK</stp>
        <stp>37580.T</stp>
        <stp>年初来高値</stp>
        <tr r="Y351" s="7"/>
      </tp>
      <tp t="s">
        <v>表示銘柄数超過</v>
        <stp/>
        <stp>Market</stp>
        <stp>STOCK</stp>
        <stp>33580.T</stp>
        <stp>年初来高値</stp>
        <tr r="Y285" s="7"/>
      </tp>
      <tp t="s">
        <v>表示銘柄数超過</v>
        <stp/>
        <stp>Market</stp>
        <stp>STOCK</stp>
        <stp>38580.T</stp>
        <stp>年初来高値</stp>
        <tr r="Y378" s="7"/>
      </tp>
      <tp t="s">
        <v>表示銘柄数超過</v>
        <stp/>
        <stp>Market</stp>
        <stp>STOCK</stp>
        <stp>21580.T</stp>
        <stp>年初来高値</stp>
        <tr r="Y97" s="7"/>
      </tp>
      <tp t="s">
        <v>表示銘柄数超過</v>
        <stp/>
        <stp>Market</stp>
        <stp>STOCK</stp>
        <stp>28580.T</stp>
        <stp>年初来高値</stp>
        <tr r="Y208" s="7"/>
      </tp>
      <tp>
        <v>2618</v>
        <stp/>
        <stp>Market</stp>
        <stp>STOCK</stp>
        <stp>80580.T</stp>
        <stp>年初来高値</stp>
        <tr r="Y972" s="7"/>
      </tp>
      <tp>
        <v>912</v>
        <stp/>
        <stp>Market</stp>
        <stp>STOCK</stp>
        <stp>83580.T</stp>
        <stp>年初来高値</stp>
        <tr r="Y1006" s="7"/>
      </tp>
      <tp>
        <v>258</v>
        <stp/>
        <stp>Market</stp>
        <stp>STOCK</stp>
        <stp>66960.T</stp>
        <stp>現在値</stp>
        <tr r="C753" s="7"/>
      </tp>
      <tp>
        <v>567</v>
        <stp/>
        <stp>Market</stp>
        <stp>STOCK</stp>
        <stp>66130.T</stp>
        <stp>現在値</stp>
        <tr r="C736" s="7"/>
      </tp>
      <tp>
        <v>2373</v>
        <stp/>
        <stp>Market</stp>
        <stp>STOCK</stp>
        <stp>66170.T</stp>
        <stp>現在値</stp>
        <tr r="C737" s="7"/>
      </tp>
      <tp>
        <v>726</v>
        <stp/>
        <stp>Market</stp>
        <stp>STOCK</stp>
        <stp>66190.T</stp>
        <stp>現在値</stp>
        <tr r="C738" s="7"/>
      </tp>
      <tp>
        <v>1004</v>
        <stp/>
        <stp>Market</stp>
        <stp>STOCK</stp>
        <stp>66300.T</stp>
        <stp>現在値</stp>
        <tr r="C740" s="7"/>
      </tp>
      <tp>
        <v>657</v>
        <stp/>
        <stp>Market</stp>
        <stp>STOCK</stp>
        <stp>66320.T</stp>
        <stp>現在値</stp>
        <tr r="C741" s="7"/>
      </tp>
      <tp>
        <v>318</v>
        <stp/>
        <stp>Market</stp>
        <stp>STOCK</stp>
        <stp>66330.T</stp>
        <stp>現在値</stp>
        <tr r="C742" s="7"/>
      </tp>
      <tp>
        <v>136</v>
        <stp/>
        <stp>Market</stp>
        <stp>STOCK</stp>
        <stp>66340.T</stp>
        <stp>現在値</stp>
        <tr r="C743" s="7"/>
      </tp>
      <tp>
        <v>507</v>
        <stp/>
        <stp>Market</stp>
        <stp>STOCK</stp>
        <stp>66350.T</stp>
        <stp>現在値</stp>
        <tr r="C744" s="7"/>
      </tp>
      <tp>
        <v>326</v>
        <stp/>
        <stp>Market</stp>
        <stp>STOCK</stp>
        <stp>66250.T</stp>
        <stp>現在値</stp>
        <tr r="C739" s="7"/>
      </tp>
      <tp>
        <v>1148</v>
        <stp/>
        <stp>Market</stp>
        <stp>STOCK</stp>
        <stp>66540.T</stp>
        <stp>現在値</stp>
        <tr r="C747" s="7"/>
      </tp>
      <tp>
        <v>526</v>
        <stp/>
        <stp>Market</stp>
        <stp>STOCK</stp>
        <stp>66580.T</stp>
        <stp>現在値</stp>
        <tr r="C748" s="7"/>
      </tp>
      <tp>
        <v>36</v>
        <stp/>
        <stp>Market</stp>
        <stp>STOCK</stp>
        <stp>66590.T</stp>
        <stp>現在値</stp>
        <tr r="C749" s="7"/>
      </tp>
      <tp>
        <v>1756</v>
        <stp/>
        <stp>Market</stp>
        <stp>STOCK</stp>
        <stp>66400.T</stp>
        <stp>現在値</stp>
        <tr r="C745" s="7"/>
      </tp>
      <tp>
        <v>678</v>
        <stp/>
        <stp>Market</stp>
        <stp>STOCK</stp>
        <stp>66440.T</stp>
        <stp>現在値</stp>
        <tr r="C746" s="7"/>
      </tp>
      <tp>
        <v>3250</v>
        <stp/>
        <stp>Market</stp>
        <stp>STOCK</stp>
        <stp>66760.T</stp>
        <stp>現在値</stp>
        <tr r="C751" s="7"/>
      </tp>
      <tp>
        <v>4020</v>
        <stp/>
        <stp>Market</stp>
        <stp>STOCK</stp>
        <stp>66770.T</stp>
        <stp>現在値</stp>
        <tr r="C752" s="7"/>
      </tp>
      <tp>
        <v>602</v>
        <stp/>
        <stp>Market</stp>
        <stp>STOCK</stp>
        <stp>66660.T</stp>
        <stp>現在値</stp>
        <tr r="C750" s="7"/>
      </tp>
      <tp>
        <v>9464</v>
        <stp/>
        <stp>Market</stp>
        <stp>STOCK</stp>
        <stp>67010.T</stp>
        <stp>現在値</stp>
        <tr r="C754" s="7"/>
      </tp>
      <tp>
        <v>22995</v>
        <stp/>
        <stp>Market</stp>
        <stp>STOCK</stp>
        <stp>67020.T</stp>
        <stp>現在値</stp>
        <tr r="C755" s="7"/>
      </tp>
      <tp>
        <v>154</v>
        <stp/>
        <stp>Market</stp>
        <stp>STOCK</stp>
        <stp>67310.T</stp>
        <stp>現在値</stp>
        <tr r="C758" s="7"/>
      </tp>
      <tp>
        <v>92</v>
        <stp/>
        <stp>Market</stp>
        <stp>STOCK</stp>
        <stp>67210.T</stp>
        <stp>現在値</stp>
        <tr r="C756" s="7"/>
      </tp>
      <tp>
        <v>2374</v>
        <stp/>
        <stp>Market</stp>
        <stp>STOCK</stp>
        <stp>67230.T</stp>
        <stp>現在値</stp>
        <tr r="C757" s="7"/>
      </tp>
      <tp>
        <v>1687</v>
        <stp/>
        <stp>Market</stp>
        <stp>STOCK</stp>
        <stp>67500.T</stp>
        <stp>現在値</stp>
        <tr r="C763" s="7"/>
      </tp>
      <tp>
        <v>1430.5</v>
        <stp/>
        <stp>Market</stp>
        <stp>STOCK</stp>
        <stp>67520.T</stp>
        <stp>現在値</stp>
        <tr r="C764" s="7"/>
      </tp>
      <tp>
        <v>862.1</v>
        <stp/>
        <stp>Market</stp>
        <stp>STOCK</stp>
        <stp>67530.T</stp>
        <stp>現在値</stp>
        <tr r="C765" s="7"/>
      </tp>
      <tp>
        <v>1164.5</v>
        <stp/>
        <stp>Market</stp>
        <stp>STOCK</stp>
        <stp>67540.T</stp>
        <stp>現在値</stp>
        <tr r="C766" s="7"/>
      </tp>
      <tp>
        <v>14300</v>
        <stp/>
        <stp>Market</stp>
        <stp>STOCK</stp>
        <stp>67580.T</stp>
        <stp>現在値</stp>
        <tr r="C767" s="7"/>
      </tp>
      <tp>
        <v>20</v>
        <stp/>
        <stp>Market</stp>
        <stp>STOCK</stp>
        <stp>67400.T</stp>
        <stp>現在値</stp>
        <tr r="C759" s="7"/>
      </tp>
      <tp>
        <v>955</v>
        <stp/>
        <stp>Market</stp>
        <stp>STOCK</stp>
        <stp>67410.T</stp>
        <stp>現在値</stp>
        <tr r="C760" s="7"/>
      </tp>
      <tp>
        <v>465</v>
        <stp/>
        <stp>Market</stp>
        <stp>STOCK</stp>
        <stp>67420.T</stp>
        <stp>現在値</stp>
        <tr r="C761" s="7"/>
      </tp>
      <tp>
        <v>480</v>
        <stp/>
        <stp>Market</stp>
        <stp>STOCK</stp>
        <stp>67480.T</stp>
        <stp>現在値</stp>
        <tr r="C762" s="7"/>
      </tp>
      <tp>
        <v>190</v>
        <stp/>
        <stp>Market</stp>
        <stp>STOCK</stp>
        <stp>67750.T</stp>
        <stp>現在値</stp>
        <tr r="C770" s="7"/>
      </tp>
      <tp>
        <v>448</v>
        <stp/>
        <stp>Market</stp>
        <stp>STOCK</stp>
        <stp>67760.T</stp>
        <stp>現在値</stp>
        <tr r="C771" s="7"/>
      </tp>
      <tp>
        <v>3775</v>
        <stp/>
        <stp>Market</stp>
        <stp>STOCK</stp>
        <stp>67770.T</stp>
        <stp>現在値</stp>
        <tr r="C772" s="7"/>
      </tp>
      <tp>
        <v>7599</v>
        <stp/>
        <stp>Market</stp>
        <stp>STOCK</stp>
        <stp>67620.T</stp>
        <stp>現在値</stp>
        <tr r="C768" s="7"/>
      </tp>
      <tp>
        <v>541</v>
        <stp/>
        <stp>Market</stp>
        <stp>STOCK</stp>
        <stp>67680.T</stp>
        <stp>現在値</stp>
        <tr r="C769" s="7"/>
      </tp>
      <tp>
        <v>376</v>
        <stp/>
        <stp>Market</stp>
        <stp>STOCK</stp>
        <stp>64930.T</stp>
        <stp>現在値</stp>
        <tr r="C709" s="7"/>
      </tp>
      <tp>
        <v>95</v>
        <stp/>
        <stp>Market</stp>
        <stp>STOCK</stp>
        <stp>64940.T</stp>
        <stp>現在値</stp>
        <tr r="C710" s="7"/>
      </tp>
      <tp>
        <v>119</v>
        <stp/>
        <stp>Market</stp>
        <stp>STOCK</stp>
        <stp>64950.T</stp>
        <stp>現在値</stp>
        <tr r="C711" s="7"/>
      </tp>
      <tp>
        <v>1221</v>
        <stp/>
        <stp>Market</stp>
        <stp>STOCK</stp>
        <stp>64980.T</stp>
        <stp>現在値</stp>
        <tr r="C712" s="7"/>
      </tp>
      <tp>
        <v>594</v>
        <stp/>
        <stp>Market</stp>
        <stp>STOCK</stp>
        <stp>64800.T</stp>
        <stp>現在値</stp>
        <tr r="C707" s="7"/>
      </tp>
      <tp>
        <v>1082</v>
        <stp/>
        <stp>Market</stp>
        <stp>STOCK</stp>
        <stp>64890.T</stp>
        <stp>現在値</stp>
        <tr r="C708" s="7"/>
      </tp>
      <tp>
        <v>1444</v>
        <stp/>
        <stp>Market</stp>
        <stp>STOCK</stp>
        <stp>64180.T</stp>
        <stp>現在値</stp>
        <tr r="C700" s="7"/>
      </tp>
      <tp>
        <v>272</v>
        <stp/>
        <stp>Market</stp>
        <stp>STOCK</stp>
        <stp>64330.T</stp>
        <stp>現在値</stp>
        <tr r="C701" s="7"/>
      </tp>
      <tp>
        <v>461</v>
        <stp/>
        <stp>Market</stp>
        <stp>STOCK</stp>
        <stp>64400.T</stp>
        <stp>現在値</stp>
        <tr r="C702" s="7"/>
      </tp>
      <tp>
        <v>191</v>
        <stp/>
        <stp>Market</stp>
        <stp>STOCK</stp>
        <stp>64440.T</stp>
        <stp>現在値</stp>
        <tr r="C703" s="7"/>
      </tp>
      <tp>
        <v>831</v>
        <stp/>
        <stp>Market</stp>
        <stp>STOCK</stp>
        <stp>64700.T</stp>
        <stp>現在値</stp>
        <tr r="C705" s="7"/>
      </tp>
      <tp>
        <v>797.3</v>
        <stp/>
        <stp>Market</stp>
        <stp>STOCK</stp>
        <stp>64710.T</stp>
        <stp>現在値</stp>
        <tr r="C706" s="7"/>
      </tp>
      <tp>
        <v>365</v>
        <stp/>
        <stp>Market</stp>
        <stp>STOCK</stp>
        <stp>64670.T</stp>
        <stp>現在値</stp>
        <tr r="C704" s="7"/>
      </tp>
      <tp>
        <v>5469</v>
        <stp/>
        <stp>Market</stp>
        <stp>STOCK</stp>
        <stp>65940.T</stp>
        <stp>現在値</stp>
        <tr r="C735" s="7"/>
      </tp>
      <tp>
        <v>712</v>
        <stp/>
        <stp>Market</stp>
        <stp>STOCK</stp>
        <stp>65800.T</stp>
        <stp>現在値</stp>
        <tr r="C732" s="7"/>
      </tp>
      <tp>
        <v>889</v>
        <stp/>
        <stp>Market</stp>
        <stp>STOCK</stp>
        <stp>65840.T</stp>
        <stp>現在値</stp>
        <tr r="C733" s="7"/>
      </tp>
      <tp>
        <v>3210</v>
        <stp/>
        <stp>Market</stp>
        <stp>STOCK</stp>
        <stp>65880.T</stp>
        <stp>現在値</stp>
        <tr r="C734" s="7"/>
      </tp>
      <tp>
        <v>1220</v>
        <stp/>
        <stp>Market</stp>
        <stp>STOCK</stp>
        <stp>65130.T</stp>
        <stp>現在値</stp>
        <tr r="C718" s="7"/>
      </tp>
      <tp>
        <v>11720</v>
        <stp/>
        <stp>Market</stp>
        <stp>STOCK</stp>
        <stp>65010.T</stp>
        <stp>現在値</stp>
        <tr r="C713" s="7"/>
      </tp>
      <tp t="s">
        <v/>
        <stp/>
        <stp>Market</stp>
        <stp>STOCK</stp>
        <stp>65020.T</stp>
        <stp>現在値</stp>
        <tr r="C714" s="7"/>
      </tp>
      <tp>
        <v>2015</v>
        <stp/>
        <stp>Market</stp>
        <stp>STOCK</stp>
        <stp>65030.T</stp>
        <stp>現在値</stp>
        <tr r="C715" s="7"/>
      </tp>
      <tp>
        <v>8090</v>
        <stp/>
        <stp>Market</stp>
        <stp>STOCK</stp>
        <stp>65040.T</stp>
        <stp>現在値</stp>
        <tr r="C716" s="7"/>
      </tp>
      <tp>
        <v>2204</v>
        <stp/>
        <stp>Market</stp>
        <stp>STOCK</stp>
        <stp>65070.T</stp>
        <stp>現在値</stp>
        <tr r="C717" s="7"/>
      </tp>
      <tp>
        <v>324</v>
        <stp/>
        <stp>Market</stp>
        <stp>STOCK</stp>
        <stp>65370.T</stp>
        <stp>現在値</stp>
        <tr r="C720" s="7"/>
      </tp>
      <tp>
        <v>633</v>
        <stp/>
        <stp>Market</stp>
        <stp>STOCK</stp>
        <stp>65220.T</stp>
        <stp>現在値</stp>
        <tr r="C719" s="7"/>
      </tp>
      <tp>
        <v>159</v>
        <stp/>
        <stp>Market</stp>
        <stp>STOCK</stp>
        <stp>65500.T</stp>
        <stp>現在値</stp>
        <tr r="C723" s="7"/>
      </tp>
      <tp>
        <v>312</v>
        <stp/>
        <stp>Market</stp>
        <stp>STOCK</stp>
        <stp>65520.T</stp>
        <stp>現在値</stp>
        <tr r="C724" s="7"/>
      </tp>
      <tp>
        <v>810</v>
        <stp/>
        <stp>Market</stp>
        <stp>STOCK</stp>
        <stp>65540.T</stp>
        <stp>現在値</stp>
        <tr r="C725" s="7"/>
      </tp>
      <tp>
        <v>590</v>
        <stp/>
        <stp>Market</stp>
        <stp>STOCK</stp>
        <stp>65550.T</stp>
        <stp>現在値</stp>
        <tr r="C726" s="7"/>
      </tp>
      <tp>
        <v>851</v>
        <stp/>
        <stp>Market</stp>
        <stp>STOCK</stp>
        <stp>65560.T</stp>
        <stp>現在値</stp>
        <tr r="C727" s="7"/>
      </tp>
      <tp>
        <v>1470</v>
        <stp/>
        <stp>Market</stp>
        <stp>STOCK</stp>
        <stp>65570.T</stp>
        <stp>現在値</stp>
        <tr r="C728" s="7"/>
      </tp>
      <tp>
        <v>621</v>
        <stp/>
        <stp>Market</stp>
        <stp>STOCK</stp>
        <stp>65430.T</stp>
        <stp>現在値</stp>
        <tr r="C721" s="7"/>
      </tp>
      <tp>
        <v>387</v>
        <stp/>
        <stp>Market</stp>
        <stp>STOCK</stp>
        <stp>65450.T</stp>
        <stp>現在値</stp>
        <tr r="C722" s="7"/>
      </tp>
      <tp>
        <v>349</v>
        <stp/>
        <stp>Market</stp>
        <stp>STOCK</stp>
        <stp>65730.T</stp>
        <stp>現在値</stp>
        <tr r="C729" s="7"/>
      </tp>
      <tp>
        <v>808</v>
        <stp/>
        <stp>Market</stp>
        <stp>STOCK</stp>
        <stp>65740.T</stp>
        <stp>現在値</stp>
        <tr r="C730" s="7"/>
      </tp>
      <tp>
        <v>270</v>
        <stp/>
        <stp>Market</stp>
        <stp>STOCK</stp>
        <stp>65780.T</stp>
        <stp>現在値</stp>
        <tr r="C731" s="7"/>
      </tp>
      <tp>
        <v>483</v>
        <stp/>
        <stp>Market</stp>
        <stp>STOCK</stp>
        <stp>62970.T</stp>
        <stp>現在値</stp>
        <tr r="C684" s="7"/>
      </tp>
      <tp>
        <v>2325</v>
        <stp/>
        <stp>Market</stp>
        <stp>STOCK</stp>
        <stp>62980.T</stp>
        <stp>現在値</stp>
        <tr r="C685" s="7"/>
      </tp>
      <tp>
        <v>795</v>
        <stp/>
        <stp>Market</stp>
        <stp>STOCK</stp>
        <stp>62860.T</stp>
        <stp>現在値</stp>
        <tr r="C683" s="7"/>
      </tp>
      <tp>
        <v>706</v>
        <stp/>
        <stp>Market</stp>
        <stp>STOCK</stp>
        <stp>62180.T</stp>
        <stp>現在値</stp>
        <tr r="C678" s="7"/>
      </tp>
      <tp>
        <v>773</v>
        <stp/>
        <stp>Market</stp>
        <stp>STOCK</stp>
        <stp>62030.T</stp>
        <stp>現在値</stp>
        <tr r="C677" s="7"/>
      </tp>
      <tp>
        <v>541</v>
        <stp/>
        <stp>Market</stp>
        <stp>STOCK</stp>
        <stp>62330.T</stp>
        <stp>現在値</stp>
        <tr r="C680" s="7"/>
      </tp>
      <tp>
        <v>1166</v>
        <stp/>
        <stp>Market</stp>
        <stp>STOCK</stp>
        <stp>62260.T</stp>
        <stp>現在値</stp>
        <tr r="C679" s="7"/>
      </tp>
      <tp>
        <v>633</v>
        <stp/>
        <stp>Market</stp>
        <stp>STOCK</stp>
        <stp>62550.T</stp>
        <stp>現在値</stp>
        <tr r="C682" s="7"/>
      </tp>
      <tp>
        <v>361</v>
        <stp/>
        <stp>Market</stp>
        <stp>STOCK</stp>
        <stp>62400.T</stp>
        <stp>現在値</stp>
        <tr r="C681" s="7"/>
      </tp>
      <tp>
        <v>1520</v>
        <stp/>
        <stp>Market</stp>
        <stp>STOCK</stp>
        <stp>63900.T</stp>
        <stp>現在値</stp>
        <tr r="C698" s="7"/>
      </tp>
      <tp>
        <v>1175.5</v>
        <stp/>
        <stp>Market</stp>
        <stp>STOCK</stp>
        <stp>63950.T</stp>
        <stp>現在値</stp>
        <tr r="C699" s="7"/>
      </tp>
      <tp>
        <v>1299</v>
        <stp/>
        <stp>Market</stp>
        <stp>STOCK</stp>
        <stp>63810.T</stp>
        <stp>現在値</stp>
        <tr r="C696" s="7"/>
      </tp>
      <tp>
        <v>2867.5</v>
        <stp/>
        <stp>Market</stp>
        <stp>STOCK</stp>
        <stp>63830.T</stp>
        <stp>現在値</stp>
        <tr r="C697" s="7"/>
      </tp>
      <tp>
        <v>4299</v>
        <stp/>
        <stp>Market</stp>
        <stp>STOCK</stp>
        <stp>63010.T</stp>
        <stp>現在値</stp>
        <tr r="C686" s="7"/>
      </tp>
      <tp>
        <v>4227</v>
        <stp/>
        <stp>Market</stp>
        <stp>STOCK</stp>
        <stp>63050.T</stp>
        <stp>現在値</stp>
        <tr r="C687" s="7"/>
      </tp>
      <tp>
        <v>809</v>
        <stp/>
        <stp>Market</stp>
        <stp>STOCK</stp>
        <stp>63300.T</stp>
        <stp>現在値</stp>
        <tr r="C688" s="7"/>
      </tp>
      <tp>
        <v>360</v>
        <stp/>
        <stp>Market</stp>
        <stp>STOCK</stp>
        <stp>63340.T</stp>
        <stp>現在値</stp>
        <tr r="C689" s="7"/>
      </tp>
      <tp>
        <v>699</v>
        <stp/>
        <stp>Market</stp>
        <stp>STOCK</stp>
        <stp>63360.T</stp>
        <stp>現在値</stp>
        <tr r="C690" s="7"/>
      </tp>
      <tp>
        <v>667</v>
        <stp/>
        <stp>Market</stp>
        <stp>STOCK</stp>
        <stp>63560.T</stp>
        <stp>現在値</stp>
        <tr r="C693" s="7"/>
      </tp>
      <tp>
        <v>105</v>
        <stp/>
        <stp>Market</stp>
        <stp>STOCK</stp>
        <stp>63430.T</stp>
        <stp>現在値</stp>
        <tr r="C691" s="7"/>
      </tp>
      <tp>
        <v>224</v>
        <stp/>
        <stp>Market</stp>
        <stp>STOCK</stp>
        <stp>63470.T</stp>
        <stp>現在値</stp>
        <tr r="C692" s="7"/>
      </tp>
      <tp>
        <v>2453</v>
        <stp/>
        <stp>Market</stp>
        <stp>STOCK</stp>
        <stp>63640.T</stp>
        <stp>現在値</stp>
        <tr r="C694" s="7"/>
      </tp>
      <tp>
        <v>355</v>
        <stp/>
        <stp>Market</stp>
        <stp>STOCK</stp>
        <stp>63660.T</stp>
        <stp>現在値</stp>
        <tr r="C695" s="7"/>
      </tp>
      <tp>
        <v>535</v>
        <stp/>
        <stp>Market</stp>
        <stp>STOCK</stp>
        <stp>60910.T</stp>
        <stp>現在値</stp>
        <tr r="C650" s="7"/>
      </tp>
      <tp>
        <v>590</v>
        <stp/>
        <stp>Market</stp>
        <stp>STOCK</stp>
        <stp>60920.T</stp>
        <stp>現在値</stp>
        <tr r="C651" s="7"/>
      </tp>
      <tp>
        <v>140</v>
        <stp/>
        <stp>Market</stp>
        <stp>STOCK</stp>
        <stp>60930.T</stp>
        <stp>現在値</stp>
        <tr r="C652" s="7"/>
      </tp>
      <tp>
        <v>913</v>
        <stp/>
        <stp>Market</stp>
        <stp>STOCK</stp>
        <stp>60960.T</stp>
        <stp>現在値</stp>
        <tr r="C653" s="7"/>
      </tp>
      <tp>
        <v>5783</v>
        <stp/>
        <stp>Market</stp>
        <stp>STOCK</stp>
        <stp>60980.T</stp>
        <stp>現在値</stp>
        <tr r="C654" s="7"/>
      </tp>
      <tp>
        <v>285</v>
        <stp/>
        <stp>Market</stp>
        <stp>STOCK</stp>
        <stp>60810.T</stp>
        <stp>現在値</stp>
        <tr r="C649" s="7"/>
      </tp>
      <tp>
        <v>731</v>
        <stp/>
        <stp>Market</stp>
        <stp>STOCK</stp>
        <stp>60310.T</stp>
        <stp>現在値</stp>
        <tr r="C639" s="7"/>
      </tp>
      <tp>
        <v>1321</v>
        <stp/>
        <stp>Market</stp>
        <stp>STOCK</stp>
        <stp>60350.T</stp>
        <stp>現在値</stp>
        <tr r="C640" s="7"/>
      </tp>
      <tp>
        <v>1225</v>
        <stp/>
        <stp>Market</stp>
        <stp>STOCK</stp>
        <stp>60230.T</stp>
        <stp>現在値</stp>
        <tr r="C636" s="7"/>
      </tp>
      <tp>
        <v>3365</v>
        <stp/>
        <stp>Market</stp>
        <stp>STOCK</stp>
        <stp>60280.T</stp>
        <stp>現在値</stp>
        <tr r="C637" s="7"/>
      </tp>
      <tp>
        <v>181</v>
        <stp/>
        <stp>Market</stp>
        <stp>STOCK</stp>
        <stp>60290.T</stp>
        <stp>現在値</stp>
        <tr r="C638" s="7"/>
      </tp>
      <tp>
        <v>243</v>
        <stp/>
        <stp>Market</stp>
        <stp>STOCK</stp>
        <stp>60540.T</stp>
        <stp>現在値</stp>
        <tr r="C646" s="7"/>
      </tp>
      <tp>
        <v>383</v>
        <stp/>
        <stp>Market</stp>
        <stp>STOCK</stp>
        <stp>60590.T</stp>
        <stp>現在値</stp>
        <tr r="C647" s="7"/>
      </tp>
      <tp>
        <v>1346</v>
        <stp/>
        <stp>Market</stp>
        <stp>STOCK</stp>
        <stp>60440.T</stp>
        <stp>現在値</stp>
        <tr r="C641" s="7"/>
      </tp>
      <tp>
        <v>174</v>
        <stp/>
        <stp>Market</stp>
        <stp>STOCK</stp>
        <stp>60460.T</stp>
        <stp>現在値</stp>
        <tr r="C642" s="7"/>
      </tp>
      <tp>
        <v>730</v>
        <stp/>
        <stp>Market</stp>
        <stp>STOCK</stp>
        <stp>60470.T</stp>
        <stp>現在値</stp>
        <tr r="C643" s="7"/>
      </tp>
      <tp>
        <v>133</v>
        <stp/>
        <stp>Market</stp>
        <stp>STOCK</stp>
        <stp>60480.T</stp>
        <stp>現在値</stp>
        <tr r="C644" s="7"/>
      </tp>
      <tp>
        <v>302</v>
        <stp/>
        <stp>Market</stp>
        <stp>STOCK</stp>
        <stp>60490.T</stp>
        <stp>現在値</stp>
        <tr r="C645" s="7"/>
      </tp>
      <tp>
        <v>1665</v>
        <stp/>
        <stp>Market</stp>
        <stp>STOCK</stp>
        <stp>60730.T</stp>
        <stp>現在値</stp>
        <tr r="C648" s="7"/>
      </tp>
      <tp>
        <v>531</v>
        <stp/>
        <stp>Market</stp>
        <stp>STOCK</stp>
        <stp>61900.T</stp>
        <stp>現在値</stp>
        <tr r="C673" s="7"/>
      </tp>
      <tp t="s">
        <v/>
        <stp/>
        <stp>Market</stp>
        <stp>STOCK</stp>
        <stp>61920.T</stp>
        <stp>現在値</stp>
        <tr r="C674" s="7"/>
      </tp>
      <tp>
        <v>665</v>
        <stp/>
        <stp>Market</stp>
        <stp>STOCK</stp>
        <stp>61940.T</stp>
        <stp>現在値</stp>
        <tr r="C675" s="7"/>
      </tp>
      <tp>
        <v>259</v>
        <stp/>
        <stp>Market</stp>
        <stp>STOCK</stp>
        <stp>61950.T</stp>
        <stp>現在値</stp>
        <tr r="C676" s="7"/>
      </tp>
      <tp>
        <v>112</v>
        <stp/>
        <stp>Market</stp>
        <stp>STOCK</stp>
        <stp>61810.T</stp>
        <stp>現在値</stp>
        <tr r="C667" s="7"/>
      </tp>
      <tp>
        <v>1249</v>
        <stp/>
        <stp>Market</stp>
        <stp>STOCK</stp>
        <stp>61820.T</stp>
        <stp>現在値</stp>
        <tr r="C668" s="7"/>
      </tp>
      <tp>
        <v>620</v>
        <stp/>
        <stp>Market</stp>
        <stp>STOCK</stp>
        <stp>61840.T</stp>
        <stp>現在値</stp>
        <tr r="C669" s="7"/>
      </tp>
      <tp>
        <v>324</v>
        <stp/>
        <stp>Market</stp>
        <stp>STOCK</stp>
        <stp>61850.T</stp>
        <stp>現在値</stp>
        <tr r="C670" s="7"/>
      </tp>
      <tp>
        <v>618</v>
        <stp/>
        <stp>Market</stp>
        <stp>STOCK</stp>
        <stp>61860.T</stp>
        <stp>現在値</stp>
        <tr r="C671" s="7"/>
      </tp>
      <tp>
        <v>614</v>
        <stp/>
        <stp>Market</stp>
        <stp>STOCK</stp>
        <stp>61880.T</stp>
        <stp>現在値</stp>
        <tr r="C672" s="7"/>
      </tp>
      <tp>
        <v>1589</v>
        <stp/>
        <stp>Market</stp>
        <stp>STOCK</stp>
        <stp>61130.T</stp>
        <stp>現在値</stp>
        <tr r="C656" s="7"/>
      </tp>
      <tp>
        <v>3375</v>
        <stp/>
        <stp>Market</stp>
        <stp>STOCK</stp>
        <stp>61040.T</stp>
        <stp>現在値</stp>
        <tr r="C655" s="7"/>
      </tp>
      <tp>
        <v>2474</v>
        <stp/>
        <stp>Market</stp>
        <stp>STOCK</stp>
        <stp>61340.T</stp>
        <stp>現在値</stp>
        <tr r="C657" s="7"/>
      </tp>
      <tp>
        <v>866</v>
        <stp/>
        <stp>Market</stp>
        <stp>STOCK</stp>
        <stp>61400.T</stp>
        <stp>現在値</stp>
        <tr r="C658" s="7"/>
      </tp>
      <tp>
        <v>42850</v>
        <stp/>
        <stp>Market</stp>
        <stp>STOCK</stp>
        <stp>61460.T</stp>
        <stp>現在値</stp>
        <tr r="C659" s="7"/>
      </tp>
      <tp>
        <v>540</v>
        <stp/>
        <stp>Market</stp>
        <stp>STOCK</stp>
        <stp>61730.T</stp>
        <stp>現在値</stp>
        <tr r="C663" s="7"/>
      </tp>
      <tp>
        <v>685</v>
        <stp/>
        <stp>Market</stp>
        <stp>STOCK</stp>
        <stp>61760.T</stp>
        <stp>現在値</stp>
        <tr r="C664" s="7"/>
      </tp>
      <tp>
        <v>98</v>
        <stp/>
        <stp>Market</stp>
        <stp>STOCK</stp>
        <stp>61770.T</stp>
        <stp>現在値</stp>
        <tr r="C665" s="7"/>
      </tp>
      <tp>
        <v>1416</v>
        <stp/>
        <stp>Market</stp>
        <stp>STOCK</stp>
        <stp>61780.T</stp>
        <stp>現在値</stp>
        <tr r="C666" s="7"/>
      </tp>
      <tp>
        <v>433</v>
        <stp/>
        <stp>Market</stp>
        <stp>STOCK</stp>
        <stp>61650.T</stp>
        <stp>現在値</stp>
        <tr r="C660" s="7"/>
      </tp>
      <tp>
        <v>382</v>
        <stp/>
        <stp>Market</stp>
        <stp>STOCK</stp>
        <stp>61660.T</stp>
        <stp>現在値</stp>
        <tr r="C661" s="7"/>
      </tp>
      <tp>
        <v>712</v>
        <stp/>
        <stp>Market</stp>
        <stp>STOCK</stp>
        <stp>61670.T</stp>
        <stp>現在値</stp>
        <tr r="C662" s="7"/>
      </tp>
      <tp>
        <v>510</v>
        <stp/>
        <stp>Market</stp>
        <stp>STOCK</stp>
        <stp>68970.T</stp>
        <stp>現在値</stp>
        <tr r="C783" s="7"/>
      </tp>
      <tp>
        <v>1570</v>
        <stp/>
        <stp>Market</stp>
        <stp>STOCK</stp>
        <stp>68100.T</stp>
        <stp>現在値</stp>
        <tr r="C774" s="7"/>
      </tp>
      <tp>
        <v>2034</v>
        <stp/>
        <stp>Market</stp>
        <stp>STOCK</stp>
        <stp>68140.T</stp>
        <stp>現在値</stp>
        <tr r="C775" s="7"/>
      </tp>
      <tp>
        <v>99</v>
        <stp/>
        <stp>Market</stp>
        <stp>STOCK</stp>
        <stp>68030.T</stp>
        <stp>現在値</stp>
        <tr r="C773" s="7"/>
      </tp>
      <tp>
        <v>114</v>
        <stp/>
        <stp>Market</stp>
        <stp>STOCK</stp>
        <stp>68350.T</stp>
        <stp>現在値</stp>
        <tr r="C776" s="7"/>
      </tp>
      <tp>
        <v>6115</v>
        <stp/>
        <stp>Market</stp>
        <stp>STOCK</stp>
        <stp>68570.T</stp>
        <stp>現在値</stp>
        <tr r="C778" s="7"/>
      </tp>
      <tp>
        <v>486</v>
        <stp/>
        <stp>Market</stp>
        <stp>STOCK</stp>
        <stp>68400.T</stp>
        <stp>現在値</stp>
        <tr r="C777" s="7"/>
      </tp>
      <tp>
        <v>4180</v>
        <stp/>
        <stp>Market</stp>
        <stp>STOCK</stp>
        <stp>68710.T</stp>
        <stp>現在値</stp>
        <tr r="C782" s="7"/>
      </tp>
      <tp>
        <v>1375</v>
        <stp/>
        <stp>Market</stp>
        <stp>STOCK</stp>
        <stp>68620.T</stp>
        <stp>現在値</stp>
        <tr r="C779" s="7"/>
      </tp>
      <tp>
        <v>1367</v>
        <stp/>
        <stp>Market</stp>
        <stp>STOCK</stp>
        <stp>68630.T</stp>
        <stp>現在値</stp>
        <tr r="C780" s="7"/>
      </tp>
      <tp>
        <v>707</v>
        <stp/>
        <stp>Market</stp>
        <stp>STOCK</stp>
        <stp>68670.T</stp>
        <stp>現在値</stp>
        <tr r="C781" s="7"/>
      </tp>
      <tp>
        <v>40</v>
        <stp/>
        <stp>Market</stp>
        <stp>STOCK</stp>
        <stp>69930.T</stp>
        <stp>現在値</stp>
        <tr r="C801" s="7"/>
      </tp>
      <tp>
        <v>440</v>
        <stp/>
        <stp>Market</stp>
        <stp>STOCK</stp>
        <stp>69940.T</stp>
        <stp>現在値</stp>
        <tr r="C802" s="7"/>
      </tp>
      <tp>
        <v>1402</v>
        <stp/>
        <stp>Market</stp>
        <stp>STOCK</stp>
        <stp>69970.T</stp>
        <stp>現在値</stp>
        <tr r="C803" s="7"/>
      </tp>
      <tp>
        <v>2989.5</v>
        <stp/>
        <stp>Market</stp>
        <stp>STOCK</stp>
        <stp>69810.T</stp>
        <stp>現在値</stp>
        <tr r="C798" s="7"/>
      </tp>
      <tp>
        <v>682</v>
        <stp/>
        <stp>Market</stp>
        <stp>STOCK</stp>
        <stp>69820.T</stp>
        <stp>現在値</stp>
        <tr r="C799" s="7"/>
      </tp>
      <tp>
        <v>506</v>
        <stp/>
        <stp>Market</stp>
        <stp>STOCK</stp>
        <stp>69860.T</stp>
        <stp>現在値</stp>
        <tr r="C800" s="7"/>
      </tp>
      <tp>
        <v>2522.5</v>
        <stp/>
        <stp>Market</stp>
        <stp>STOCK</stp>
        <stp>69020.T</stp>
        <stp>現在値</stp>
        <tr r="C784" s="7"/>
      </tp>
      <tp>
        <v>1462</v>
        <stp/>
        <stp>Market</stp>
        <stp>STOCK</stp>
        <stp>69050.T</stp>
        <stp>現在値</stp>
        <tr r="C785" s="7"/>
      </tp>
      <tp>
        <v>498</v>
        <stp/>
        <stp>Market</stp>
        <stp>STOCK</stp>
        <stp>69070.T</stp>
        <stp>現在値</stp>
        <tr r="C786" s="7"/>
      </tp>
      <tp>
        <v>295</v>
        <stp/>
        <stp>Market</stp>
        <stp>STOCK</stp>
        <stp>69380.T</stp>
        <stp>現在値</stp>
        <tr r="C790" s="7"/>
      </tp>
      <tp>
        <v>39920</v>
        <stp/>
        <stp>Market</stp>
        <stp>STOCK</stp>
        <stp>69200.T</stp>
        <stp>現在値</stp>
        <tr r="C787" s="7"/>
      </tp>
      <tp>
        <v>2659.5</v>
        <stp/>
        <stp>Market</stp>
        <stp>STOCK</stp>
        <stp>69230.T</stp>
        <stp>現在値</stp>
        <tr r="C788" s="7"/>
      </tp>
      <tp>
        <v>532</v>
        <stp/>
        <stp>Market</stp>
        <stp>STOCK</stp>
        <stp>69270.T</stp>
        <stp>現在値</stp>
        <tr r="C789" s="7"/>
      </tp>
      <tp>
        <v>1260.5</v>
        <stp/>
        <stp>Market</stp>
        <stp>STOCK</stp>
        <stp>69520.T</stp>
        <stp>現在値</stp>
        <tr r="C793" s="7"/>
      </tp>
      <tp>
        <v>3945</v>
        <stp/>
        <stp>Market</stp>
        <stp>STOCK</stp>
        <stp>69540.T</stp>
        <stp>現在値</stp>
        <tr r="C794" s="7"/>
      </tp>
      <tp>
        <v>674</v>
        <stp/>
        <stp>Market</stp>
        <stp>STOCK</stp>
        <stp>69550.T</stp>
        <stp>現在値</stp>
        <tr r="C795" s="7"/>
      </tp>
      <tp>
        <v>752</v>
        <stp/>
        <stp>Market</stp>
        <stp>STOCK</stp>
        <stp>69580.T</stp>
        <stp>現在値</stp>
        <tr r="C796" s="7"/>
      </tp>
      <tp>
        <v>2196</v>
        <stp/>
        <stp>Market</stp>
        <stp>STOCK</stp>
        <stp>69410.T</stp>
        <stp>現在値</stp>
        <tr r="C791" s="7"/>
      </tp>
      <tp>
        <v>1774</v>
        <stp/>
        <stp>Market</stp>
        <stp>STOCK</stp>
        <stp>69420.T</stp>
        <stp>現在値</stp>
        <tr r="C792" s="7"/>
      </tp>
      <tp>
        <v>3431</v>
        <stp/>
        <stp>Market</stp>
        <stp>STOCK</stp>
        <stp>69760.T</stp>
        <stp>現在値</stp>
        <tr r="C797" s="7"/>
      </tp>
    </main>
    <main first="rtdsrv.662c26bade854d00aebc6010f8a2e03a">
      <tp t="s">
        <v>表示銘柄数超過</v>
        <stp/>
        <stp>Market</stp>
        <stp>STOCK</stp>
        <stp>36740.T</stp>
        <stp>決算発表日</stp>
        <tr r="X333" s="7"/>
      </tp>
      <tp t="s">
        <v>表示銘柄数超過</v>
        <stp/>
        <stp>Market</stp>
        <stp>STOCK</stp>
        <stp>26740.T</stp>
        <stp>決算発表日</stp>
        <tr r="X179" s="7"/>
      </tp>
      <tp t="s">
        <v>2024/02/06</v>
        <stp/>
        <stp>Market</stp>
        <stp>STOCK</stp>
        <stp>79740.T</stp>
        <stp>決算発表日</stp>
        <tr r="X962" s="7"/>
      </tp>
      <tp t="s">
        <v>2024/01/15</v>
        <stp/>
        <stp>Market</stp>
        <stp>STOCK</stp>
        <stp>70740.T</stp>
        <stp>決算発表日</stp>
        <tr r="X823" s="7"/>
      </tp>
      <tp t="s">
        <v>2024/02/14</v>
        <stp/>
        <stp>Market</stp>
        <stp>STOCK</stp>
        <stp>65740.T</stp>
        <stp>決算発表日</stp>
        <tr r="X730" s="7"/>
      </tp>
      <tp t="s">
        <v>表示銘柄数超過</v>
        <stp/>
        <stp>Market</stp>
        <stp>STOCK</stp>
        <stp>50740.T</stp>
        <stp>決算発表日</stp>
        <tr r="X566" s="7"/>
      </tp>
      <tp t="s">
        <v>表示銘柄数超過</v>
        <stp/>
        <stp>Market</stp>
        <stp>STOCK</stp>
        <stp>45740.T</stp>
        <stp>決算発表日</stp>
        <tr r="X493" s="7"/>
      </tp>
      <tp t="s">
        <v>表示銘柄数超過</v>
        <stp/>
        <stp>Market</stp>
        <stp>STOCK</stp>
        <stp>43740.T</stp>
        <stp>決算発表日</stp>
        <tr r="X451" s="7"/>
      </tp>
      <tp t="s">
        <v>表示銘柄数超過</v>
        <stp/>
        <stp>Market</stp>
        <stp>STOCK</stp>
        <stp>42740.T</stp>
        <stp>決算発表日</stp>
        <tr r="X435" s="7"/>
      </tp>
      <tp t="s">
        <v>表示銘柄数超過</v>
        <stp/>
        <stp>Market</stp>
        <stp>STOCK</stp>
        <stp>94740.T</stp>
        <stp>決算発表日</stp>
        <tr r="X1136" s="7"/>
      </tp>
      <tp t="s">
        <v>表示銘柄数超過</v>
        <stp/>
        <stp>Market</stp>
        <stp>STOCK</stp>
        <stp>92740.T</stp>
        <stp>決算発表日</stp>
        <tr r="X1107" s="7"/>
      </tp>
      <tp t="s">
        <v>表示銘柄数超過</v>
        <stp/>
        <stp>Market</stp>
        <stp>STOCK</stp>
        <stp>28750.T</stp>
        <stp>決算発表日</stp>
        <tr r="X211" s="7"/>
      </tp>
      <tp t="s">
        <v>表示銘柄数超過</v>
        <stp/>
        <stp>Market</stp>
        <stp>STOCK</stp>
        <stp>23750.T</stp>
        <stp>決算発表日</stp>
        <tr r="X128" s="7"/>
      </tp>
      <tp t="s">
        <v>2024/01/30</v>
        <stp/>
        <stp>Market</stp>
        <stp>STOCK</stp>
        <stp>71750.T</stp>
        <stp>決算発表日</stp>
        <tr r="X836" s="7"/>
      </tp>
      <tp t="s">
        <v>2024/02/09</v>
        <stp/>
        <stp>Market</stp>
        <stp>STOCK</stp>
        <stp>67750.T</stp>
        <stp>決算発表日</stp>
        <tr r="X770" s="7"/>
      </tp>
      <tp t="s">
        <v>表示銘柄数超過</v>
        <stp/>
        <stp>Market</stp>
        <stp>STOCK</stp>
        <stp>45750.T</stp>
        <stp>決算発表日</stp>
        <tr r="X494" s="7"/>
      </tp>
      <tp t="s">
        <v>表示銘柄数超過</v>
        <stp/>
        <stp>Market</stp>
        <stp>STOCK</stp>
        <stp>44750.T</stp>
        <stp>決算発表日</stp>
        <tr r="X471" s="7"/>
      </tp>
      <tp t="s">
        <v>表示銘柄数超過</v>
        <stp/>
        <stp>Market</stp>
        <stp>STOCK</stp>
        <stp>42750.T</stp>
        <stp>決算発表日</stp>
        <tr r="X436" s="7"/>
      </tp>
      <tp t="s">
        <v>表示銘柄数超過</v>
        <stp/>
        <stp>Market</stp>
        <stp>STOCK</stp>
        <stp>40750.T</stp>
        <stp>決算発表日</stp>
        <tr r="X416" s="7"/>
      </tp>
      <tp t="s">
        <v>表示銘柄数超過</v>
        <stp/>
        <stp>Market</stp>
        <stp>STOCK</stp>
        <stp>94750.T</stp>
        <stp>決算発表日</stp>
        <tr r="X1137" s="7"/>
      </tp>
      <tp t="s">
        <v>表示銘柄数超過</v>
        <stp/>
        <stp>Market</stp>
        <stp>STOCK</stp>
        <stp>39760.T</stp>
        <stp>決算発表日</stp>
        <tr r="X402" s="7"/>
      </tp>
      <tp t="s">
        <v>表示銘柄数超過</v>
        <stp/>
        <stp>Market</stp>
        <stp>STOCK</stp>
        <stp>37760.T</stp>
        <stp>決算発表日</stp>
        <tr r="X355" s="7"/>
      </tp>
      <tp t="s">
        <v>表示銘柄数超過</v>
        <stp/>
        <stp>Market</stp>
        <stp>STOCK</stp>
        <stp>36760.T</stp>
        <stp>決算発表日</stp>
        <tr r="X334" s="7"/>
      </tp>
      <tp t="s">
        <v>表示銘柄数超過</v>
        <stp/>
        <stp>Market</stp>
        <stp>STOCK</stp>
        <stp>31760.T</stp>
        <stp>決算発表日</stp>
        <tr r="X250" s="7"/>
      </tp>
      <tp t="s">
        <v>表示銘柄数超過</v>
        <stp/>
        <stp>Market</stp>
        <stp>STOCK</stp>
        <stp>27760.T</stp>
        <stp>決算発表日</stp>
        <tr r="X197" s="7"/>
      </tp>
      <tp t="s">
        <v>表示銘柄数超過</v>
        <stp/>
        <stp>Market</stp>
        <stp>STOCK</stp>
        <stp>23760.T</stp>
        <stp>決算発表日</stp>
        <tr r="X129" s="7"/>
      </tp>
      <tp t="s">
        <v>-</v>
        <stp/>
        <stp>Market</stp>
        <stp>STOCK</stp>
        <stp>77760.T</stp>
        <stp>決算発表日</stp>
        <tr r="X932" s="7"/>
      </tp>
      <tp t="s">
        <v>-</v>
        <stp/>
        <stp>Market</stp>
        <stp>STOCK</stp>
        <stp>76760.T</stp>
        <stp>決算発表日</stp>
        <tr r="X919" s="7"/>
      </tp>
      <tp t="s">
        <v>2024/02/07</v>
        <stp/>
        <stp>Market</stp>
        <stp>STOCK</stp>
        <stp>69760.T</stp>
        <stp>決算発表日</stp>
        <tr r="X797" s="7"/>
      </tp>
      <tp t="s">
        <v>2024/02/13</v>
        <stp/>
        <stp>Market</stp>
        <stp>STOCK</stp>
        <stp>67760.T</stp>
        <stp>決算発表日</stp>
        <tr r="X771" s="7"/>
      </tp>
      <tp t="s">
        <v>2024/02/13</v>
        <stp/>
        <stp>Market</stp>
        <stp>STOCK</stp>
        <stp>66760.T</stp>
        <stp>決算発表日</stp>
        <tr r="X751" s="7"/>
      </tp>
      <tp t="s">
        <v>2024/02/14</v>
        <stp/>
        <stp>Market</stp>
        <stp>STOCK</stp>
        <stp>61760.T</stp>
        <stp>決算発表日</stp>
        <tr r="X664" s="7"/>
      </tp>
      <tp t="s">
        <v>2024/02/07</v>
        <stp/>
        <stp>Market</stp>
        <stp>STOCK</stp>
        <stp>59760.T</stp>
        <stp>決算発表日</stp>
        <tr r="X630" s="7"/>
      </tp>
      <tp t="s">
        <v>2024/02/02</v>
        <stp/>
        <stp>Market</stp>
        <stp>STOCK</stp>
        <stp>54760.T</stp>
        <stp>決算発表日</stp>
        <tr r="X597" s="7"/>
      </tp>
      <tp t="s">
        <v>表示銘柄数超過</v>
        <stp/>
        <stp>Market</stp>
        <stp>STOCK</stp>
        <stp>47760.T</stp>
        <stp>決算発表日</stp>
        <tr r="X533" s="7"/>
      </tp>
      <tp t="s">
        <v>表示銘柄数超過</v>
        <stp/>
        <stp>Market</stp>
        <stp>STOCK</stp>
        <stp>46760.T</stp>
        <stp>決算発表日</stp>
        <tr r="X518" s="7"/>
      </tp>
      <tp t="s">
        <v>表示銘柄数超過</v>
        <stp/>
        <stp>Market</stp>
        <stp>STOCK</stp>
        <stp>45760.T</stp>
        <stp>決算発表日</stp>
        <tr r="X495" s="7"/>
      </tp>
      <tp t="s">
        <v>表示銘柄数超過</v>
        <stp/>
        <stp>Market</stp>
        <stp>STOCK</stp>
        <stp>44760.T</stp>
        <stp>決算発表日</stp>
        <tr r="X472" s="7"/>
      </tp>
      <tp t="s">
        <v>表示銘柄数超過</v>
        <stp/>
        <stp>Market</stp>
        <stp>STOCK</stp>
        <stp>43760.T</stp>
        <stp>決算発表日</stp>
        <tr r="X452" s="7"/>
      </tp>
      <tp t="s">
        <v>表示銘柄数超過</v>
        <stp/>
        <stp>Market</stp>
        <stp>STOCK</stp>
        <stp>41760.T</stp>
        <stp>決算発表日</stp>
        <tr r="X421" s="7"/>
      </tp>
      <tp t="s">
        <v>表示銘柄数超過</v>
        <stp/>
        <stp>Market</stp>
        <stp>STOCK</stp>
        <stp>98760.T</stp>
        <stp>決算発表日</stp>
        <tr r="X1175" s="7"/>
      </tp>
      <tp t="s">
        <v>表示銘柄数超過</v>
        <stp/>
        <stp>Market</stp>
        <stp>STOCK</stp>
        <stp>94760.T</stp>
        <stp>決算発表日</stp>
        <tr r="X1138" s="7"/>
      </tp>
      <tp t="s">
        <v>表示銘柄数超過</v>
        <stp/>
        <stp>Market</stp>
        <stp>STOCK</stp>
        <stp>37770.T</stp>
        <stp>決算発表日</stp>
        <tr r="X356" s="7"/>
      </tp>
      <tp t="s">
        <v>表示銘柄数超過</v>
        <stp/>
        <stp>Market</stp>
        <stp>STOCK</stp>
        <stp>36770.T</stp>
        <stp>決算発表日</stp>
        <tr r="X335" s="7"/>
      </tp>
      <tp t="s">
        <v>表示銘柄数超過</v>
        <stp/>
        <stp>Market</stp>
        <stp>STOCK</stp>
        <stp>33770.T</stp>
        <stp>決算発表日</stp>
        <tr r="X289" s="7"/>
      </tp>
      <tp t="s">
        <v>-</v>
        <stp/>
        <stp>Market</stp>
        <stp>STOCK</stp>
        <stp>77770.T</stp>
        <stp>決算発表日</stp>
        <tr r="X933" s="7"/>
      </tp>
      <tp t="s">
        <v>2024/02/05</v>
        <stp/>
        <stp>Market</stp>
        <stp>STOCK</stp>
        <stp>71770.T</stp>
        <stp>決算発表日</stp>
        <tr r="X837" s="7"/>
      </tp>
      <tp t="s">
        <v>2024/02/09</v>
        <stp/>
        <stp>Market</stp>
        <stp>STOCK</stp>
        <stp>67770.T</stp>
        <stp>決算発表日</stp>
        <tr r="X772" s="7"/>
      </tp>
      <tp t="s">
        <v>2024/02/13</v>
        <stp/>
        <stp>Market</stp>
        <stp>STOCK</stp>
        <stp>66770.T</stp>
        <stp>決算発表日</stp>
        <tr r="X752" s="7"/>
      </tp>
      <tp t="s">
        <v>2024/02/13</v>
        <stp/>
        <stp>Market</stp>
        <stp>STOCK</stp>
        <stp>61770.T</stp>
        <stp>決算発表日</stp>
        <tr r="X665" s="7"/>
      </tp>
      <tp t="s">
        <v>2024/02/13</v>
        <stp/>
        <stp>Market</stp>
        <stp>STOCK</stp>
        <stp>52770.T</stp>
        <stp>決算発表日</stp>
        <tr r="X583" s="7"/>
      </tp>
      <tp t="s">
        <v>表示銘柄数超過</v>
        <stp/>
        <stp>Market</stp>
        <stp>STOCK</stp>
        <stp>47770.T</stp>
        <stp>決算発表日</stp>
        <tr r="X534" s="7"/>
      </tp>
      <tp t="s">
        <v>表示銘柄数超過</v>
        <stp/>
        <stp>Market</stp>
        <stp>STOCK</stp>
        <stp>44770.T</stp>
        <stp>決算発表日</stp>
        <tr r="X473" s="7"/>
      </tp>
      <tp t="s">
        <v>2024/01/30</v>
        <stp/>
        <stp>Market</stp>
        <stp>STOCK</stp>
        <stp>83770.T</stp>
        <stp>決算発表日</stp>
        <tr r="X1007" s="7"/>
      </tp>
      <tp t="s">
        <v>2024/03/15</v>
        <stp/>
        <stp>Market</stp>
        <stp>STOCK</stp>
        <stp>80770.T</stp>
        <stp>決算発表日</stp>
        <tr r="X973" s="7"/>
      </tp>
      <tp t="s">
        <v>表示銘柄数超過</v>
        <stp/>
        <stp>Market</stp>
        <stp>STOCK</stp>
        <stp>37700.T</stp>
        <stp>決算発表日</stp>
        <tr r="X353" s="7"/>
      </tp>
      <tp t="s">
        <v>表示銘柄数超過</v>
        <stp/>
        <stp>Market</stp>
        <stp>STOCK</stp>
        <stp>33700.T</stp>
        <stp>決算発表日</stp>
        <tr r="X287" s="7"/>
      </tp>
      <tp t="s">
        <v>表示銘柄数超過</v>
        <stp/>
        <stp>Market</stp>
        <stp>STOCK</stp>
        <stp>30700.T</stp>
        <stp>決算発表日</stp>
        <tr r="X236" s="7"/>
      </tp>
      <tp t="s">
        <v>表示銘柄数超過</v>
        <stp/>
        <stp>Market</stp>
        <stp>STOCK</stp>
        <stp>23700.T</stp>
        <stp>決算発表日</stp>
        <tr r="X126" s="7"/>
      </tp>
      <tp t="s">
        <v>表示銘柄数超過</v>
        <stp/>
        <stp>Market</stp>
        <stp>STOCK</stp>
        <stp>17700.T</stp>
        <stp>決算発表日</stp>
        <tr r="X55" s="7"/>
      </tp>
      <tp t="s">
        <v>2024/01/12</v>
        <stp/>
        <stp>Market</stp>
        <stp>STOCK</stp>
        <stp>73700.T</stp>
        <stp>決算発表日</stp>
        <tr r="X881" s="7"/>
      </tp>
      <tp t="s">
        <v>2024/02/08</v>
        <stp/>
        <stp>Market</stp>
        <stp>STOCK</stp>
        <stp>72700.T</stp>
        <stp>決算発表日</stp>
        <tr r="X867" s="7"/>
      </tp>
      <tp t="s">
        <v>2024/02/01</v>
        <stp/>
        <stp>Market</stp>
        <stp>STOCK</stp>
        <stp>64700.T</stp>
        <stp>決算発表日</stp>
        <tr r="X705" s="7"/>
      </tp>
      <tp t="s">
        <v>2024/02/02</v>
        <stp/>
        <stp>Market</stp>
        <stp>STOCK</stp>
        <stp>59700.T</stp>
        <stp>決算発表日</stp>
        <tr r="X629" s="7"/>
      </tp>
      <tp t="s">
        <v>表示銘柄数超過</v>
        <stp/>
        <stp>Market</stp>
        <stp>STOCK</stp>
        <stp>47700.T</stp>
        <stp>決算発表日</stp>
        <tr r="X532" s="7"/>
      </tp>
      <tp t="s">
        <v>表示銘柄数超過</v>
        <stp/>
        <stp>Market</stp>
        <stp>STOCK</stp>
        <stp>45700.T</stp>
        <stp>決算発表日</stp>
        <tr r="X490" s="7"/>
      </tp>
      <tp t="s">
        <v>表示銘柄数超過</v>
        <stp/>
        <stp>Market</stp>
        <stp>STOCK</stp>
        <stp>43700.T</stp>
        <stp>決算発表日</stp>
        <tr r="X449" s="7"/>
      </tp>
      <tp t="s">
        <v>表示銘柄数超過</v>
        <stp/>
        <stp>Market</stp>
        <stp>STOCK</stp>
        <stp>41700.T</stp>
        <stp>決算発表日</stp>
        <tr r="X420" s="7"/>
      </tp>
      <tp t="s">
        <v>表示銘柄数超過</v>
        <stp/>
        <stp>Market</stp>
        <stp>STOCK</stp>
        <stp>94700.T</stp>
        <stp>決算発表日</stp>
        <tr r="X1135" s="7"/>
      </tp>
      <tp t="s">
        <v>表示銘柄数超過</v>
        <stp/>
        <stp>Market</stp>
        <stp>STOCK</stp>
        <stp>92700.T</stp>
        <stp>決算発表日</stp>
        <tr r="X1105" s="7"/>
      </tp>
      <tp t="s">
        <v>2024/01/11</v>
        <stp/>
        <stp>Market</stp>
        <stp>STOCK</stp>
        <stp>85700.T</stp>
        <stp>決算発表日</stp>
        <tr r="X1020" s="7"/>
      </tp>
      <tp t="s">
        <v>表示銘柄数超過</v>
        <stp/>
        <stp>Market</stp>
        <stp>STOCK</stp>
        <stp>32710.T</stp>
        <stp>決算発表日</stp>
        <tr r="X268" s="7"/>
      </tp>
      <tp t="s">
        <v>表示銘柄数超過</v>
        <stp/>
        <stp>Market</stp>
        <stp>STOCK</stp>
        <stp>30710.T</stp>
        <stp>決算発表日</stp>
        <tr r="X237" s="7"/>
      </tp>
      <tp t="s">
        <v>表示銘柄数超過</v>
        <stp/>
        <stp>Market</stp>
        <stp>STOCK</stp>
        <stp>24710.T</stp>
        <stp>決算発表日</stp>
        <tr r="X149" s="7"/>
      </tp>
      <tp t="s">
        <v>表示銘柄数超過</v>
        <stp/>
        <stp>Market</stp>
        <stp>STOCK</stp>
        <stp>19710.T</stp>
        <stp>決算発表日</stp>
        <tr r="X85" s="7"/>
      </tp>
      <tp t="s">
        <v>表示銘柄数超過</v>
        <stp/>
        <stp>Market</stp>
        <stp>STOCK</stp>
        <stp>16710.T</stp>
        <stp>決算発表日</stp>
        <tr r="X41" s="7"/>
      </tp>
      <tp t="s">
        <v>表示銘柄数超過</v>
        <stp/>
        <stp>Market</stp>
        <stp>STOCK</stp>
        <stp>15710.T</stp>
        <stp>決算発表日</stp>
        <tr r="X34" s="7"/>
      </tp>
      <tp t="s">
        <v>2024/02/02</v>
        <stp/>
        <stp>Market</stp>
        <stp>STOCK</stp>
        <stp>79710.T</stp>
        <stp>決算発表日</stp>
        <tr r="X960" s="7"/>
      </tp>
      <tp t="s">
        <v>2024/02/13</v>
        <stp/>
        <stp>Market</stp>
        <stp>STOCK</stp>
        <stp>77710.T</stp>
        <stp>決算発表日</stp>
        <tr r="X931" s="7"/>
      </tp>
      <tp t="s">
        <v>2024/02/14</v>
        <stp/>
        <stp>Market</stp>
        <stp>STOCK</stp>
        <stp>73710.T</stp>
        <stp>決算発表日</stp>
        <tr r="X882" s="7"/>
      </tp>
      <tp t="s">
        <v>2024/02/14</v>
        <stp/>
        <stp>Market</stp>
        <stp>STOCK</stp>
        <stp>68710.T</stp>
        <stp>決算発表日</stp>
        <tr r="X782" s="7"/>
      </tp>
      <tp t="s">
        <v>2024/02/02</v>
        <stp/>
        <stp>Market</stp>
        <stp>STOCK</stp>
        <stp>64710.T</stp>
        <stp>決算発表日</stp>
        <tr r="X706" s="7"/>
      </tp>
      <tp t="s">
        <v>表示銘柄数超過</v>
        <stp/>
        <stp>Market</stp>
        <stp>STOCK</stp>
        <stp>45710.T</stp>
        <stp>決算発表日</stp>
        <tr r="X491" s="7"/>
      </tp>
      <tp t="s">
        <v>表示銘柄数超過</v>
        <stp/>
        <stp>Market</stp>
        <stp>STOCK</stp>
        <stp>36720.T</stp>
        <stp>決算発表日</stp>
        <tr r="X332" s="7"/>
      </tp>
      <tp t="s">
        <v>表示銘柄数超過</v>
        <stp/>
        <stp>Market</stp>
        <stp>STOCK</stp>
        <stp>33720.T</stp>
        <stp>決算発表日</stp>
        <tr r="X288" s="7"/>
      </tp>
      <tp t="s">
        <v>表示銘柄数超過</v>
        <stp/>
        <stp>Market</stp>
        <stp>STOCK</stp>
        <stp>15720.T</stp>
        <stp>決算発表日</stp>
        <tr r="X35" s="7"/>
      </tp>
      <tp t="s">
        <v>表示銘柄数超過</v>
        <stp/>
        <stp>Market</stp>
        <stp>STOCK</stp>
        <stp>14720.T</stp>
        <stp>決算発表日</stp>
        <tr r="X28" s="7"/>
      </tp>
      <tp t="s">
        <v>2024/02/13</v>
        <stp/>
        <stp>Market</stp>
        <stp>STOCK</stp>
        <stp>79720.T</stp>
        <stp>決算発表日</stp>
        <tr r="X961" s="7"/>
      </tp>
      <tp t="s">
        <v>2024/02/14</v>
        <stp/>
        <stp>Market</stp>
        <stp>STOCK</stp>
        <stp>72720.T</stp>
        <stp>決算発表日</stp>
        <tr r="X868" s="7"/>
      </tp>
      <tp t="s">
        <v>2024/02/09</v>
        <stp/>
        <stp>Market</stp>
        <stp>STOCK</stp>
        <stp>71720.T</stp>
        <stp>決算発表日</stp>
        <tr r="X835" s="7"/>
      </tp>
      <tp t="s">
        <v>表示銘柄数超過</v>
        <stp/>
        <stp>Market</stp>
        <stp>STOCK</stp>
        <stp>45720.T</stp>
        <stp>決算発表日</stp>
        <tr r="X492" s="7"/>
      </tp>
      <tp t="s">
        <v>表示銘柄数超過</v>
        <stp/>
        <stp>Market</stp>
        <stp>STOCK</stp>
        <stp>92720.T</stp>
        <stp>決算発表日</stp>
        <tr r="X1106" s="7"/>
      </tp>
      <tp t="s">
        <v>2024/01/31</v>
        <stp/>
        <stp>Market</stp>
        <stp>STOCK</stp>
        <stp>85720.T</stp>
        <stp>決算発表日</stp>
        <tr r="X1021" s="7"/>
      </tp>
      <tp t="s">
        <v>表示銘柄数超過</v>
        <stp/>
        <stp>Market</stp>
        <stp>STOCK</stp>
        <stp>37730.T</stp>
        <stp>決算発表日</stp>
        <tr r="X354" s="7"/>
      </tp>
      <tp t="s">
        <v>表示銘柄数超過</v>
        <stp/>
        <stp>Market</stp>
        <stp>STOCK</stp>
        <stp>23730.T</stp>
        <stp>決算発表日</stp>
        <tr r="X127" s="7"/>
      </tp>
      <tp t="s">
        <v>-</v>
        <stp/>
        <stp>Market</stp>
        <stp>STOCK</stp>
        <stp>65730.T</stp>
        <stp>決算発表日</stp>
        <tr r="X729" s="7"/>
      </tp>
      <tp t="s">
        <v>2024/01/15</v>
        <stp/>
        <stp>Market</stp>
        <stp>STOCK</stp>
        <stp>61730.T</stp>
        <stp>決算発表日</stp>
        <tr r="X663" s="7"/>
      </tp>
      <tp t="s">
        <v>2024/02/06</v>
        <stp/>
        <stp>Market</stp>
        <stp>STOCK</stp>
        <stp>60730.T</stp>
        <stp>決算発表日</stp>
        <tr r="X648" s="7"/>
      </tp>
      <tp t="s">
        <v>表示銘柄数超過</v>
        <stp/>
        <stp>Market</stp>
        <stp>STOCK</stp>
        <stp>43730.T</stp>
        <stp>決算発表日</stp>
        <tr r="X450" s="7"/>
      </tp>
      <tp t="s">
        <v>表示銘柄数超過</v>
        <stp/>
        <stp>Market</stp>
        <stp>STOCK</stp>
        <stp>99730.T</stp>
        <stp>決算発表日</stp>
        <tr r="X1186" s="7"/>
      </tp>
      <tp t="s">
        <v>2024/02/07</v>
        <stp/>
        <stp>Market</stp>
        <stp>STOCK</stp>
        <stp>84730.T</stp>
        <stp>決算発表日</stp>
        <tr r="X1013" s="7"/>
      </tp>
      <tp t="s">
        <v>2024/02/06</v>
        <stp/>
        <stp>Market</stp>
        <stp>STOCK</stp>
        <stp>81730.T</stp>
        <stp>決算発表日</stp>
        <tr r="X987" s="7"/>
      </tp>
      <tp t="s">
        <v>表示銘柄数超過</v>
        <stp/>
        <stp>Market</stp>
        <stp>STOCK</stp>
        <stp>37780.T</stp>
        <stp>決算発表日</stp>
        <tr r="X357" s="7"/>
      </tp>
      <tp t="s">
        <v>表示銘柄数超過</v>
        <stp/>
        <stp>Market</stp>
        <stp>STOCK</stp>
        <stp>27780.T</stp>
        <stp>決算発表日</stp>
        <tr r="X198" s="7"/>
      </tp>
      <tp t="s">
        <v>表示銘柄数超過</v>
        <stp/>
        <stp>Market</stp>
        <stp>STOCK</stp>
        <stp>23780.T</stp>
        <stp>決算発表日</stp>
        <tr r="X130" s="7"/>
      </tp>
      <tp t="s">
        <v>表示銘柄数超過</v>
        <stp/>
        <stp>Market</stp>
        <stp>STOCK</stp>
        <stp>16780.T</stp>
        <stp>決算発表日</stp>
        <tr r="X42" s="7"/>
      </tp>
      <tp t="s">
        <v>表示銘柄数超過</v>
        <stp/>
        <stp>Market</stp>
        <stp>STOCK</stp>
        <stp>15780.T</stp>
        <stp>決算発表日</stp>
        <tr r="X36" s="7"/>
      </tp>
      <tp t="s">
        <v>2024/02/09</v>
        <stp/>
        <stp>Market</stp>
        <stp>STOCK</stp>
        <stp>75780.T</stp>
        <stp>決算発表日</stp>
        <tr r="X905" s="7"/>
      </tp>
      <tp t="s">
        <v>2024/01/12</v>
        <stp/>
        <stp>Market</stp>
        <stp>STOCK</stp>
        <stp>65780.T</stp>
        <stp>決算発表日</stp>
        <tr r="X731" s="7"/>
      </tp>
      <tp t="s">
        <v>2024/02/14</v>
        <stp/>
        <stp>Market</stp>
        <stp>STOCK</stp>
        <stp>61780.T</stp>
        <stp>決算発表日</stp>
        <tr r="X666" s="7"/>
      </tp>
      <tp t="s">
        <v>表示銘柄数超過</v>
        <stp/>
        <stp>Market</stp>
        <stp>STOCK</stp>
        <stp>49780.T</stp>
        <stp>決算発表日</stp>
        <tr r="X556" s="7"/>
      </tp>
      <tp t="s">
        <v>表示銘柄数超過</v>
        <stp/>
        <stp>Market</stp>
        <stp>STOCK</stp>
        <stp>45780.T</stp>
        <stp>決算発表日</stp>
        <tr r="X496" s="7"/>
      </tp>
      <tp t="s">
        <v>表示銘柄数超過</v>
        <stp/>
        <stp>Market</stp>
        <stp>STOCK</stp>
        <stp>43780.T</stp>
        <stp>決算発表日</stp>
        <tr r="X453" s="7"/>
      </tp>
      <tp t="s">
        <v>表示銘柄数超過</v>
        <stp/>
        <stp>Market</stp>
        <stp>STOCK</stp>
        <stp>92780.T</stp>
        <stp>決算発表日</stp>
        <tr r="X1108" s="7"/>
      </tp>
      <tp t="s">
        <v>表示銘柄数超過</v>
        <stp/>
        <stp>Market</stp>
        <stp>STOCK</stp>
        <stp>37790.T</stp>
        <stp>決算発表日</stp>
        <tr r="X358" s="7"/>
      </tp>
      <tp t="s">
        <v>表示銘柄数超過</v>
        <stp/>
        <stp>Market</stp>
        <stp>STOCK</stp>
        <stp>25790.T</stp>
        <stp>決算発表日</stp>
        <tr r="X163" s="7"/>
      </tp>
      <tp t="s">
        <v>表示銘柄数超過</v>
        <stp/>
        <stp>Market</stp>
        <stp>STOCK</stp>
        <stp>24790.T</stp>
        <stp>決算発表日</stp>
        <tr r="X150" s="7"/>
      </tp>
      <tp t="s">
        <v>表示銘柄数超過</v>
        <stp/>
        <stp>Market</stp>
        <stp>STOCK</stp>
        <stp>18790.T</stp>
        <stp>決算発表日</stp>
        <tr r="X68" s="7"/>
      </tp>
      <tp t="s">
        <v>2024/02/14</v>
        <stp/>
        <stp>Market</stp>
        <stp>STOCK</stp>
        <stp>77790.T</stp>
        <stp>決算発表日</stp>
        <tr r="X934" s="7"/>
      </tp>
      <tp t="s">
        <v>2024/03/15</v>
        <stp/>
        <stp>Market</stp>
        <stp>STOCK</stp>
        <stp>73790.T</stp>
        <stp>決算発表日</stp>
        <tr r="X883" s="7"/>
      </tp>
      <tp t="s">
        <v>表示銘柄数超過</v>
        <stp/>
        <stp>Market</stp>
        <stp>STOCK</stp>
        <stp>44790.T</stp>
        <stp>決算発表日</stp>
        <tr r="X474" s="7"/>
      </tp>
      <tp t="s">
        <v>表示銘柄数超過</v>
        <stp/>
        <stp>Market</stp>
        <stp>STOCK</stp>
        <stp>43790.T</stp>
        <stp>決算発表日</stp>
        <tr r="X454" s="7"/>
      </tp>
      <tp t="s">
        <v>表示銘柄数超過</v>
        <stp/>
        <stp>Market</stp>
        <stp>STOCK</stp>
        <stp>94790.T</stp>
        <stp>決算発表日</stp>
        <tr r="X1139" s="7"/>
      </tp>
      <tp t="s">
        <v>2024/02/14</v>
        <stp/>
        <stp>Market</stp>
        <stp>STOCK</stp>
        <stp>81790.T</stp>
        <stp>決算発表日</stp>
        <tr r="X988" s="7"/>
      </tp>
      <tp>
        <v>62</v>
        <stp/>
        <stp>Market</stp>
        <stp>STOCK</stp>
        <stp>76920.T</stp>
        <stp>現在値</stp>
        <tr r="C920" s="7"/>
      </tp>
      <tp>
        <v>129</v>
        <stp/>
        <stp>Market</stp>
        <stp>STOCK</stp>
        <stp>76100.T</stp>
        <stp>現在値</stp>
        <tr r="C912" s="7"/>
      </tp>
      <tp>
        <v>145</v>
        <stp/>
        <stp>Market</stp>
        <stp>STOCK</stp>
        <stp>76150.T</stp>
        <stp>現在値</stp>
        <tr r="C913" s="7"/>
      </tp>
      <tp>
        <v>244</v>
        <stp/>
        <stp>Market</stp>
        <stp>STOCK</stp>
        <stp>76010.T</stp>
        <stp>現在値</stp>
        <tr r="C909" s="7"/>
      </tp>
      <tp>
        <v>183</v>
        <stp/>
        <stp>Market</stp>
        <stp>STOCK</stp>
        <stp>76020.T</stp>
        <stp>現在値</stp>
        <tr r="C910" s="7"/>
      </tp>
      <tp>
        <v>1769</v>
        <stp/>
        <stp>Market</stp>
        <stp>STOCK</stp>
        <stp>76050.T</stp>
        <stp>現在値</stp>
        <tr r="C911" s="7"/>
      </tp>
      <tp>
        <v>585</v>
        <stp/>
        <stp>Market</stp>
        <stp>STOCK</stp>
        <stp>76230.T</stp>
        <stp>現在値</stp>
        <tr r="C915" s="7"/>
      </tp>
      <tp>
        <v>144</v>
        <stp/>
        <stp>Market</stp>
        <stp>STOCK</stp>
        <stp>76240.T</stp>
        <stp>現在値</stp>
        <tr r="C916" s="7"/>
      </tp>
      <tp>
        <v>157</v>
        <stp/>
        <stp>Market</stp>
        <stp>STOCK</stp>
        <stp>76400.T</stp>
        <stp>現在値</stp>
        <tr r="C917" s="7"/>
      </tp>
      <tp>
        <v>26</v>
        <stp/>
        <stp>Market</stp>
        <stp>STOCK</stp>
        <stp>76470.T</stp>
        <stp>現在値</stp>
        <tr r="C918" s="7"/>
      </tp>
      <tp>
        <v>720</v>
        <stp/>
        <stp>Market</stp>
        <stp>STOCK</stp>
        <stp>76760.T</stp>
        <stp>現在値</stp>
        <tr r="C919" s="7"/>
      </tp>
      <tp>
        <v>823</v>
        <stp/>
        <stp>Market</stp>
        <stp>STOCK</stp>
        <stp>77920.T</stp>
        <stp>現在値</stp>
        <tr r="C935" s="7"/>
      </tp>
      <tp>
        <v>1447</v>
        <stp/>
        <stp>Market</stp>
        <stp>STOCK</stp>
        <stp>77940.T</stp>
        <stp>現在値</stp>
        <tr r="C936" s="7"/>
      </tp>
      <tp>
        <v>202</v>
        <stp/>
        <stp>Market</stp>
        <stp>STOCK</stp>
        <stp>77950.T</stp>
        <stp>現在値</stp>
        <tr r="C937" s="7"/>
      </tp>
      <tp>
        <v>215</v>
        <stp/>
        <stp>Market</stp>
        <stp>STOCK</stp>
        <stp>77190.T</stp>
        <stp>現在値</stp>
        <tr r="C922" s="7"/>
      </tp>
      <tp>
        <v>255</v>
        <stp/>
        <stp>Market</stp>
        <stp>STOCK</stp>
        <stp>77090.T</stp>
        <stp>現在値</stp>
        <tr r="C921" s="7"/>
      </tp>
      <tp>
        <v>1716.5</v>
        <stp/>
        <stp>Market</stp>
        <stp>STOCK</stp>
        <stp>77320.T</stp>
        <stp>現在値</stp>
        <tr r="C925" s="7"/>
      </tp>
      <tp>
        <v>2081</v>
        <stp/>
        <stp>Market</stp>
        <stp>STOCK</stp>
        <stp>77390.T</stp>
        <stp>現在値</stp>
        <tr r="C926" s="7"/>
      </tp>
      <tp>
        <v>507</v>
        <stp/>
        <stp>Market</stp>
        <stp>STOCK</stp>
        <stp>77220.T</stp>
        <stp>現在値</stp>
        <tr r="C923" s="7"/>
      </tp>
      <tp>
        <v>1125</v>
        <stp/>
        <stp>Market</stp>
        <stp>STOCK</stp>
        <stp>77250.T</stp>
        <stp>現在値</stp>
        <tr r="C924" s="7"/>
      </tp>
      <tp>
        <v>4087</v>
        <stp/>
        <stp>Market</stp>
        <stp>STOCK</stp>
        <stp>77510.T</stp>
        <stp>現在値</stp>
        <tr r="C928" s="7"/>
      </tp>
      <tp>
        <v>1269.5</v>
        <stp/>
        <stp>Market</stp>
        <stp>STOCK</stp>
        <stp>77520.T</stp>
        <stp>現在値</stp>
        <tr r="C929" s="7"/>
      </tp>
      <tp>
        <v>2120</v>
        <stp/>
        <stp>Market</stp>
        <stp>STOCK</stp>
        <stp>77450.T</stp>
        <stp>現在値</stp>
        <tr r="C927" s="7"/>
      </tp>
      <tp>
        <v>71</v>
        <stp/>
        <stp>Market</stp>
        <stp>STOCK</stp>
        <stp>77710.T</stp>
        <stp>現在値</stp>
        <tr r="C931" s="7"/>
      </tp>
      <tp>
        <v>244</v>
        <stp/>
        <stp>Market</stp>
        <stp>STOCK</stp>
        <stp>77760.T</stp>
        <stp>現在値</stp>
        <tr r="C932" s="7"/>
      </tp>
      <tp>
        <v>107</v>
        <stp/>
        <stp>Market</stp>
        <stp>STOCK</stp>
        <stp>77770.T</stp>
        <stp>現在値</stp>
        <tr r="C933" s="7"/>
      </tp>
      <tp>
        <v>203</v>
        <stp/>
        <stp>Market</stp>
        <stp>STOCK</stp>
        <stp>77790.T</stp>
        <stp>現在値</stp>
        <tr r="C934" s="7"/>
      </tp>
      <tp>
        <v>973</v>
        <stp/>
        <stp>Market</stp>
        <stp>STOCK</stp>
        <stp>77620.T</stp>
        <stp>現在値</stp>
        <tr r="C930" s="7"/>
      </tp>
      <tp>
        <v>425</v>
        <stp/>
        <stp>Market</stp>
        <stp>STOCK</stp>
        <stp>74940.T</stp>
        <stp>現在値</stp>
        <tr r="C894" s="7"/>
      </tp>
      <tp>
        <v>1841</v>
        <stp/>
        <stp>Market</stp>
        <stp>STOCK</stp>
        <stp>74810.T</stp>
        <stp>現在値</stp>
        <tr r="C893" s="7"/>
      </tp>
      <tp>
        <v>1608</v>
        <stp/>
        <stp>Market</stp>
        <stp>STOCK</stp>
        <stp>74190.T</stp>
        <stp>現在値</stp>
        <tr r="C887" s="7"/>
      </tp>
      <tp>
        <v>1520</v>
        <stp/>
        <stp>Market</stp>
        <stp>STOCK</stp>
        <stp>74080.T</stp>
        <stp>現在値</stp>
        <tr r="C886" s="7"/>
      </tp>
      <tp>
        <v>2324</v>
        <stp/>
        <stp>Market</stp>
        <stp>STOCK</stp>
        <stp>74200.T</stp>
        <stp>現在値</stp>
        <tr r="C888" s="7"/>
      </tp>
      <tp>
        <v>2113</v>
        <stp/>
        <stp>Market</stp>
        <stp>STOCK</stp>
        <stp>74530.T</stp>
        <stp>現在値</stp>
        <tr r="C890" s="7"/>
      </tp>
      <tp>
        <v>491</v>
        <stp/>
        <stp>Market</stp>
        <stp>STOCK</stp>
        <stp>74550.T</stp>
        <stp>現在値</stp>
        <tr r="C891" s="7"/>
      </tp>
      <tp>
        <v>2372.5</v>
        <stp/>
        <stp>Market</stp>
        <stp>STOCK</stp>
        <stp>74590.T</stp>
        <stp>現在値</stp>
        <tr r="C892" s="7"/>
      </tp>
      <tp>
        <v>417</v>
        <stp/>
        <stp>Market</stp>
        <stp>STOCK</stp>
        <stp>74450.T</stp>
        <stp>現在値</stp>
        <tr r="C889" s="7"/>
      </tp>
      <tp>
        <v>497</v>
        <stp/>
        <stp>Market</stp>
        <stp>STOCK</stp>
        <stp>75900.T</stp>
        <stp>現在値</stp>
        <tr r="C907" s="7"/>
      </tp>
      <tp t="s">
        <v>表示銘柄数超過</v>
        <stp/>
        <stp>Market</stp>
        <stp>STOCK</stp>
        <stp>25935.T</stp>
        <stp>現在値</stp>
        <tr r="C167" s="7"/>
      </tp>
      <tp>
        <v>532</v>
        <stp/>
        <stp>Market</stp>
        <stp>STOCK</stp>
        <stp>75930.T</stp>
        <stp>現在値</stp>
        <tr r="C908" s="7"/>
      </tp>
      <tp>
        <v>391</v>
        <stp/>
        <stp>Market</stp>
        <stp>STOCK</stp>
        <stp>75850.T</stp>
        <stp>現在値</stp>
        <tr r="C906" s="7"/>
      </tp>
      <tp>
        <v>931</v>
        <stp/>
        <stp>Market</stp>
        <stp>STOCK</stp>
        <stp>75120.T</stp>
        <stp>現在値</stp>
        <tr r="C896" s="7"/>
      </tp>
      <tp>
        <v>734</v>
        <stp/>
        <stp>Market</stp>
        <stp>STOCK</stp>
        <stp>75130.T</stp>
        <stp>現在値</stp>
        <tr r="C897" s="7"/>
      </tp>
      <tp>
        <v>935</v>
        <stp/>
        <stp>Market</stp>
        <stp>STOCK</stp>
        <stp>75140.T</stp>
        <stp>現在値</stp>
        <tr r="C898" s="7"/>
      </tp>
      <tp>
        <v>3960</v>
        <stp/>
        <stp>Market</stp>
        <stp>STOCK</stp>
        <stp>75160.T</stp>
        <stp>現在値</stp>
        <tr r="C899" s="7"/>
      </tp>
      <tp>
        <v>1441</v>
        <stp/>
        <stp>Market</stp>
        <stp>STOCK</stp>
        <stp>75050.T</stp>
        <stp>現在値</stp>
        <tr r="C895" s="7"/>
      </tp>
      <tp>
        <v>335</v>
        <stp/>
        <stp>Market</stp>
        <stp>STOCK</stp>
        <stp>75380.T</stp>
        <stp>現在値</stp>
        <tr r="C902" s="7"/>
      </tp>
      <tp>
        <v>1188</v>
        <stp/>
        <stp>Market</stp>
        <stp>STOCK</stp>
        <stp>75230.T</stp>
        <stp>現在値</stp>
        <tr r="C900" s="7"/>
      </tp>
      <tp>
        <v>58</v>
        <stp/>
        <stp>Market</stp>
        <stp>STOCK</stp>
        <stp>75270.T</stp>
        <stp>現在値</stp>
        <tr r="C901" s="7"/>
      </tp>
      <tp>
        <v>430</v>
        <stp/>
        <stp>Market</stp>
        <stp>STOCK</stp>
        <stp>75440.T</stp>
        <stp>現在値</stp>
        <tr r="C903" s="7"/>
      </tp>
      <tp>
        <v>431</v>
        <stp/>
        <stp>Market</stp>
        <stp>STOCK</stp>
        <stp>75780.T</stp>
        <stp>現在値</stp>
        <tr r="C905" s="7"/>
      </tp>
      <tp>
        <v>451</v>
        <stp/>
        <stp>Market</stp>
        <stp>STOCK</stp>
        <stp>75670.T</stp>
        <stp>現在値</stp>
        <tr r="C904" s="7"/>
      </tp>
      <tp>
        <v>605</v>
        <stp/>
        <stp>Market</stp>
        <stp>STOCK</stp>
        <stp>72910.T</stp>
        <stp>現在値</stp>
        <tr r="C871" s="7"/>
      </tp>
      <tp>
        <v>998</v>
        <stp/>
        <stp>Market</stp>
        <stp>STOCK</stp>
        <stp>72940.T</stp>
        <stp>現在値</stp>
        <tr r="C872" s="7"/>
      </tp>
      <tp t="s">
        <v/>
        <stp/>
        <stp>Market</stp>
        <stp>STOCK</stp>
        <stp>72980.T</stp>
        <stp>現在値</stp>
        <tr r="C873" s="7"/>
      </tp>
      <tp>
        <v>1128</v>
        <stp/>
        <stp>Market</stp>
        <stp>STOCK</stp>
        <stp>72800.T</stp>
        <stp>現在値</stp>
        <tr r="C869" s="7"/>
      </tp>
      <tp>
        <v>1458</v>
        <stp/>
        <stp>Market</stp>
        <stp>STOCK</stp>
        <stp>72830.T</stp>
        <stp>現在値</stp>
        <tr r="C870" s="7"/>
      </tp>
      <tp>
        <v>455.7</v>
        <stp/>
        <stp>Market</stp>
        <stp>STOCK</stp>
        <stp>72110.T</stp>
        <stp>現在値</stp>
        <tr r="C848" s="7"/>
      </tp>
      <tp>
        <v>687</v>
        <stp/>
        <stp>Market</stp>
        <stp>STOCK</stp>
        <stp>72120.T</stp>
        <stp>現在値</stp>
        <tr r="C849" s="7"/>
      </tp>
      <tp>
        <v>671</v>
        <stp/>
        <stp>Market</stp>
        <stp>STOCK</stp>
        <stp>72130.T</stp>
        <stp>現在値</stp>
        <tr r="C850" s="7"/>
      </tp>
      <tp>
        <v>1258</v>
        <stp/>
        <stp>Market</stp>
        <stp>STOCK</stp>
        <stp>72140.T</stp>
        <stp>現在値</stp>
        <tr r="C851" s="7"/>
      </tp>
      <tp>
        <v>614.1</v>
        <stp/>
        <stp>Market</stp>
        <stp>STOCK</stp>
        <stp>72010.T</stp>
        <stp>現在値</stp>
        <tr r="C844" s="7"/>
      </tp>
      <tp>
        <v>2044</v>
        <stp/>
        <stp>Market</stp>
        <stp>STOCK</stp>
        <stp>72020.T</stp>
        <stp>現在値</stp>
        <tr r="C845" s="7"/>
      </tp>
      <tp>
        <v>3260</v>
        <stp/>
        <stp>Market</stp>
        <stp>STOCK</stp>
        <stp>72030.T</stp>
        <stp>現在値</stp>
        <tr r="C846" s="7"/>
      </tp>
      <tp>
        <v>466</v>
        <stp/>
        <stp>Market</stp>
        <stp>STOCK</stp>
        <stp>72050.T</stp>
        <stp>現在値</stp>
        <tr r="C847" s="7"/>
      </tp>
      <tp>
        <v>762</v>
        <stp/>
        <stp>Market</stp>
        <stp>STOCK</stp>
        <stp>72350.T</stp>
        <stp>現在値</stp>
        <tr r="C854" s="7"/>
      </tp>
      <tp>
        <v>3775</v>
        <stp/>
        <stp>Market</stp>
        <stp>STOCK</stp>
        <stp>72360.T</stp>
        <stp>現在値</stp>
        <tr r="C855" s="7"/>
      </tp>
      <tp>
        <v>114</v>
        <stp/>
        <stp>Market</stp>
        <stp>STOCK</stp>
        <stp>72380.T</stp>
        <stp>現在値</stp>
        <tr r="C856" s="7"/>
      </tp>
      <tp>
        <v>981</v>
        <stp/>
        <stp>Market</stp>
        <stp>STOCK</stp>
        <stp>72220.T</stp>
        <stp>現在値</stp>
        <tr r="C852" s="7"/>
      </tp>
      <tp>
        <v>2744</v>
        <stp/>
        <stp>Market</stp>
        <stp>STOCK</stp>
        <stp>72290.T</stp>
        <stp>現在値</stp>
        <tr r="C853" s="7"/>
      </tp>
      <tp>
        <v>615</v>
        <stp/>
        <stp>Market</stp>
        <stp>STOCK</stp>
        <stp>72540.T</stp>
        <stp>現在値</stp>
        <tr r="C861" s="7"/>
      </tp>
      <tp>
        <v>188</v>
        <stp/>
        <stp>Market</stp>
        <stp>STOCK</stp>
        <stp>72560.T</stp>
        <stp>現在値</stp>
        <tr r="C862" s="7"/>
      </tp>
      <tp>
        <v>2052</v>
        <stp/>
        <stp>Market</stp>
        <stp>STOCK</stp>
        <stp>72400.T</stp>
        <stp>現在値</stp>
        <tr r="C857" s="7"/>
      </tp>
      <tp>
        <v>571</v>
        <stp/>
        <stp>Market</stp>
        <stp>STOCK</stp>
        <stp>72450.T</stp>
        <stp>現在値</stp>
        <tr r="C858" s="7"/>
      </tp>
      <tp>
        <v>673</v>
        <stp/>
        <stp>Market</stp>
        <stp>STOCK</stp>
        <stp>72460.T</stp>
        <stp>現在値</stp>
        <tr r="C859" s="7"/>
      </tp>
      <tp>
        <v>501</v>
        <stp/>
        <stp>Market</stp>
        <stp>STOCK</stp>
        <stp>72470.T</stp>
        <stp>現在値</stp>
        <tr r="C860" s="7"/>
      </tp>
      <tp>
        <v>3095</v>
        <stp/>
        <stp>Market</stp>
        <stp>STOCK</stp>
        <stp>72700.T</stp>
        <stp>現在値</stp>
        <tr r="C867" s="7"/>
      </tp>
      <tp>
        <v>1419.5</v>
        <stp/>
        <stp>Market</stp>
        <stp>STOCK</stp>
        <stp>72720.T</stp>
        <stp>現在値</stp>
        <tr r="C868" s="7"/>
      </tp>
      <tp>
        <v>1902</v>
        <stp/>
        <stp>Market</stp>
        <stp>STOCK</stp>
        <stp>72610.T</stp>
        <stp>現在値</stp>
        <tr r="C863" s="7"/>
      </tp>
      <tp>
        <v>1710.5</v>
        <stp/>
        <stp>Market</stp>
        <stp>STOCK</stp>
        <stp>72670.T</stp>
        <stp>現在値</stp>
        <tr r="C864" s="7"/>
      </tp>
      <tp>
        <v>350</v>
        <stp/>
        <stp>Market</stp>
        <stp>STOCK</stp>
        <stp>72680.T</stp>
        <stp>現在値</stp>
        <tr r="C865" s="7"/>
      </tp>
      <tp>
        <v>7235</v>
        <stp/>
        <stp>Market</stp>
        <stp>STOCK</stp>
        <stp>72690.T</stp>
        <stp>現在値</stp>
        <tr r="C866" s="7"/>
      </tp>
      <tp>
        <v>156</v>
        <stp/>
        <stp>Market</stp>
        <stp>STOCK</stp>
        <stp>73830.T</stp>
        <stp>現在値</stp>
        <tr r="C884" s="7"/>
      </tp>
      <tp>
        <v>1841</v>
        <stp/>
        <stp>Market</stp>
        <stp>STOCK</stp>
        <stp>73840.T</stp>
        <stp>現在値</stp>
        <tr r="C885" s="7"/>
      </tp>
      <tp>
        <v>842</v>
        <stp/>
        <stp>Market</stp>
        <stp>STOCK</stp>
        <stp>73170.T</stp>
        <stp>現在値</stp>
        <tr r="C874" s="7"/>
      </tp>
      <tp>
        <v>983</v>
        <stp/>
        <stp>Market</stp>
        <stp>STOCK</stp>
        <stp>73370.T</stp>
        <stp>現在値</stp>
        <tr r="C875" s="7"/>
      </tp>
      <tp>
        <v>2482</v>
        <stp/>
        <stp>Market</stp>
        <stp>STOCK</stp>
        <stp>73500.T</stp>
        <stp>現在値</stp>
        <tr r="C877" s="7"/>
      </tp>
      <tp>
        <v>571</v>
        <stp/>
        <stp>Market</stp>
        <stp>STOCK</stp>
        <stp>73510.T</stp>
        <stp>現在値</stp>
        <tr r="C878" s="7"/>
      </tp>
      <tp>
        <v>914</v>
        <stp/>
        <stp>Market</stp>
        <stp>STOCK</stp>
        <stp>73530.T</stp>
        <stp>現在値</stp>
        <tr r="C879" s="7"/>
      </tp>
      <tp>
        <v>651</v>
        <stp/>
        <stp>Market</stp>
        <stp>STOCK</stp>
        <stp>73590.T</stp>
        <stp>現在値</stp>
        <tr r="C880" s="7"/>
      </tp>
      <tp>
        <v>1657</v>
        <stp/>
        <stp>Market</stp>
        <stp>STOCK</stp>
        <stp>73420.T</stp>
        <stp>現在値</stp>
        <tr r="C876" s="7"/>
      </tp>
      <tp>
        <v>1095</v>
        <stp/>
        <stp>Market</stp>
        <stp>STOCK</stp>
        <stp>73700.T</stp>
        <stp>現在値</stp>
        <tr r="C881" s="7"/>
      </tp>
      <tp>
        <v>509</v>
        <stp/>
        <stp>Market</stp>
        <stp>STOCK</stp>
        <stp>73710.T</stp>
        <stp>現在値</stp>
        <tr r="C882" s="7"/>
      </tp>
      <tp>
        <v>841</v>
        <stp/>
        <stp>Market</stp>
        <stp>STOCK</stp>
        <stp>73790.T</stp>
        <stp>現在値</stp>
        <tr r="C883" s="7"/>
      </tp>
      <tp>
        <v>797</v>
        <stp/>
        <stp>Market</stp>
        <stp>STOCK</stp>
        <stp>70880.T</stp>
        <stp>現在値</stp>
        <tr r="C824" s="7"/>
      </tp>
      <tp>
        <v>10360</v>
        <stp/>
        <stp>Market</stp>
        <stp>STOCK</stp>
        <stp>70110.T</stp>
        <stp>現在値</stp>
        <tr r="C806" s="7"/>
      </tp>
      <tp>
        <v>3507</v>
        <stp/>
        <stp>Market</stp>
        <stp>STOCK</stp>
        <stp>70120.T</stp>
        <stp>現在値</stp>
        <tr r="C807" s="7"/>
      </tp>
      <tp>
        <v>2754.5</v>
        <stp/>
        <stp>Market</stp>
        <stp>STOCK</stp>
        <stp>70130.T</stp>
        <stp>現在値</stp>
        <tr r="C808" s="7"/>
      </tp>
      <tp>
        <v>1350</v>
        <stp/>
        <stp>Market</stp>
        <stp>STOCK</stp>
        <stp>70140.T</stp>
        <stp>現在値</stp>
        <tr r="C809" s="7"/>
      </tp>
      <tp>
        <v>753</v>
        <stp/>
        <stp>Market</stp>
        <stp>STOCK</stp>
        <stp>70030.T</stp>
        <stp>現在値</stp>
        <tr r="C804" s="7"/>
      </tp>
      <tp>
        <v>1007</v>
        <stp/>
        <stp>Market</stp>
        <stp>STOCK</stp>
        <stp>70040.T</stp>
        <stp>現在値</stp>
        <tr r="C805" s="7"/>
      </tp>
      <tp>
        <v>1223</v>
        <stp/>
        <stp>Market</stp>
        <stp>STOCK</stp>
        <stp>70310.T</stp>
        <stp>現在値</stp>
        <tr r="C810" s="7"/>
      </tp>
      <tp>
        <v>518</v>
        <stp/>
        <stp>Market</stp>
        <stp>STOCK</stp>
        <stp>70370.T</stp>
        <stp>現在値</stp>
        <tr r="C811" s="7"/>
      </tp>
      <tp>
        <v>1626</v>
        <stp/>
        <stp>Market</stp>
        <stp>STOCK</stp>
        <stp>70590.T</stp>
        <stp>現在値</stp>
        <tr r="C818" s="7"/>
      </tp>
      <tp>
        <v>524</v>
        <stp/>
        <stp>Market</stp>
        <stp>STOCK</stp>
        <stp>70410.T</stp>
        <stp>現在値</stp>
        <tr r="C812" s="7"/>
      </tp>
      <tp>
        <v>907</v>
        <stp/>
        <stp>Market</stp>
        <stp>STOCK</stp>
        <stp>70430.T</stp>
        <stp>現在値</stp>
        <tr r="C813" s="7"/>
      </tp>
      <tp>
        <v>314</v>
        <stp/>
        <stp>Market</stp>
        <stp>STOCK</stp>
        <stp>70440.T</stp>
        <stp>現在値</stp>
        <tr r="C814" s="7"/>
      </tp>
      <tp>
        <v>2490</v>
        <stp/>
        <stp>Market</stp>
        <stp>STOCK</stp>
        <stp>70470.T</stp>
        <stp>現在値</stp>
        <tr r="C815" s="7"/>
      </tp>
      <tp>
        <v>591</v>
        <stp/>
        <stp>Market</stp>
        <stp>STOCK</stp>
        <stp>70480.T</stp>
        <stp>現在値</stp>
        <tr r="C816" s="7"/>
      </tp>
      <tp>
        <v>535</v>
        <stp/>
        <stp>Market</stp>
        <stp>STOCK</stp>
        <stp>70490.T</stp>
        <stp>現在値</stp>
        <tr r="C817" s="7"/>
      </tp>
      <tp>
        <v>256</v>
        <stp/>
        <stp>Market</stp>
        <stp>STOCK</stp>
        <stp>70740.T</stp>
        <stp>現在値</stp>
        <tr r="C823" s="7"/>
      </tp>
      <tp>
        <v>503</v>
        <stp/>
        <stp>Market</stp>
        <stp>STOCK</stp>
        <stp>70600.T</stp>
        <stp>現在値</stp>
        <tr r="C819" s="7"/>
      </tp>
      <tp>
        <v>1010</v>
        <stp/>
        <stp>Market</stp>
        <stp>STOCK</stp>
        <stp>70620.T</stp>
        <stp>現在値</stp>
        <tr r="C820" s="7"/>
      </tp>
      <tp>
        <v>1213</v>
        <stp/>
        <stp>Market</stp>
        <stp>STOCK</stp>
        <stp>70630.T</stp>
        <stp>現在値</stp>
        <tr r="C821" s="7"/>
      </tp>
      <tp>
        <v>539</v>
        <stp/>
        <stp>Market</stp>
        <stp>STOCK</stp>
        <stp>70680.T</stp>
        <stp>現在値</stp>
        <tr r="C822" s="7"/>
      </tp>
      <tp>
        <v>831</v>
        <stp/>
        <stp>Market</stp>
        <stp>STOCK</stp>
        <stp>71960.T</stp>
        <stp>現在値</stp>
        <tr r="C843" s="7"/>
      </tp>
      <tp>
        <v>958.5</v>
        <stp/>
        <stp>Market</stp>
        <stp>STOCK</stp>
        <stp>71800.T</stp>
        <stp>現在値</stp>
        <tr r="C838" s="7"/>
      </tp>
      <tp>
        <v>1503.5</v>
        <stp/>
        <stp>Market</stp>
        <stp>STOCK</stp>
        <stp>71820.T</stp>
        <stp>現在値</stp>
        <tr r="C839" s="7"/>
      </tp>
      <tp>
        <v>250</v>
        <stp/>
        <stp>Market</stp>
        <stp>STOCK</stp>
        <stp>71830.T</stp>
        <stp>現在値</stp>
        <tr r="C840" s="7"/>
      </tp>
      <tp>
        <v>849</v>
        <stp/>
        <stp>Market</stp>
        <stp>STOCK</stp>
        <stp>71840.T</stp>
        <stp>現在値</stp>
        <tr r="C841" s="7"/>
      </tp>
      <tp>
        <v>699.7</v>
        <stp/>
        <stp>Market</stp>
        <stp>STOCK</stp>
        <stp>71860.T</stp>
        <stp>現在値</stp>
        <tr r="C842" s="7"/>
      </tp>
      <tp>
        <v>81</v>
        <stp/>
        <stp>Market</stp>
        <stp>STOCK</stp>
        <stp>71110.T</stp>
        <stp>現在値</stp>
        <tr r="C826" s="7"/>
      </tp>
      <tp>
        <v>1401</v>
        <stp/>
        <stp>Market</stp>
        <stp>STOCK</stp>
        <stp>71160.T</stp>
        <stp>現在値</stp>
        <tr r="C827" s="7"/>
      </tp>
      <tp>
        <v>2286</v>
        <stp/>
        <stp>Market</stp>
        <stp>STOCK</stp>
        <stp>71020.T</stp>
        <stp>現在値</stp>
        <tr r="C825" s="7"/>
      </tp>
      <tp>
        <v>168</v>
        <stp/>
        <stp>Market</stp>
        <stp>STOCK</stp>
        <stp>71350.T</stp>
        <stp>現在値</stp>
        <tr r="C829" s="7"/>
      </tp>
      <tp>
        <v>2007</v>
        <stp/>
        <stp>Market</stp>
        <stp>STOCK</stp>
        <stp>71220.T</stp>
        <stp>現在値</stp>
        <tr r="C828" s="7"/>
      </tp>
      <tp>
        <v>518</v>
        <stp/>
        <stp>Market</stp>
        <stp>STOCK</stp>
        <stp>71500.T</stp>
        <stp>現在値</stp>
        <tr r="C831" s="7"/>
      </tp>
      <tp>
        <v>1776</v>
        <stp/>
        <stp>Market</stp>
        <stp>STOCK</stp>
        <stp>71480.T</stp>
        <stp>現在値</stp>
        <tr r="C830" s="7"/>
      </tp>
      <tp>
        <v>945</v>
        <stp/>
        <stp>Market</stp>
        <stp>STOCK</stp>
        <stp>71720.T</stp>
        <stp>現在値</stp>
        <tr r="C835" s="7"/>
      </tp>
      <tp>
        <v>1114</v>
        <stp/>
        <stp>Market</stp>
        <stp>STOCK</stp>
        <stp>71750.T</stp>
        <stp>現在値</stp>
        <tr r="C836" s="7"/>
      </tp>
      <tp>
        <v>671</v>
        <stp/>
        <stp>Market</stp>
        <stp>STOCK</stp>
        <stp>71770.T</stp>
        <stp>現在値</stp>
        <tr r="C837" s="7"/>
      </tp>
      <tp>
        <v>563</v>
        <stp/>
        <stp>Market</stp>
        <stp>STOCK</stp>
        <stp>71610.T</stp>
        <stp>現在値</stp>
        <tr r="C832" s="7"/>
      </tp>
      <tp>
        <v>1720</v>
        <stp/>
        <stp>Market</stp>
        <stp>STOCK</stp>
        <stp>71630.T</stp>
        <stp>現在値</stp>
        <tr r="C833" s="7"/>
      </tp>
      <tp>
        <v>433.1</v>
        <stp/>
        <stp>Market</stp>
        <stp>STOCK</stp>
        <stp>71670.T</stp>
        <stp>現在値</stp>
        <tr r="C834" s="7"/>
      </tp>
      <tp>
        <v>115</v>
        <stp/>
        <stp>Market</stp>
        <stp>STOCK</stp>
        <stp>78970.T</stp>
        <stp>現在値</stp>
        <tr r="C952" s="7"/>
      </tp>
      <tp>
        <v>668</v>
        <stp/>
        <stp>Market</stp>
        <stp>STOCK</stp>
        <stp>78880.T</stp>
        <stp>現在値</stp>
        <tr r="C951" s="7"/>
      </tp>
      <tp>
        <v>607</v>
        <stp/>
        <stp>Market</stp>
        <stp>STOCK</stp>
        <stp>78140.T</stp>
        <stp>現在値</stp>
        <tr r="C940" s="7"/>
      </tp>
      <tp>
        <v>651</v>
        <stp/>
        <stp>Market</stp>
        <stp>STOCK</stp>
        <stp>78000.T</stp>
        <stp>現在値</stp>
        <tr r="C938" s="7"/>
      </tp>
      <tp>
        <v>641</v>
        <stp/>
        <stp>Market</stp>
        <stp>STOCK</stp>
        <stp>78050.T</stp>
        <stp>現在値</stp>
        <tr r="C939" s="7"/>
      </tp>
      <tp>
        <v>89</v>
        <stp/>
        <stp>Market</stp>
        <stp>STOCK</stp>
        <stp>78360.T</stp>
        <stp>現在値</stp>
        <tr r="C943" s="7"/>
      </tp>
      <tp>
        <v>437</v>
        <stp/>
        <stp>Market</stp>
        <stp>STOCK</stp>
        <stp>78370.T</stp>
        <stp>現在値</stp>
        <tr r="C944" s="7"/>
      </tp>
      <tp>
        <v>797</v>
        <stp/>
        <stp>Market</stp>
        <stp>STOCK</stp>
        <stp>78230.T</stp>
        <stp>現在値</stp>
        <tr r="C941" s="7"/>
      </tp>
      <tp>
        <v>90</v>
        <stp/>
        <stp>Market</stp>
        <stp>STOCK</stp>
        <stp>78290.T</stp>
        <stp>現在値</stp>
        <tr r="C942" s="7"/>
      </tp>
      <tp>
        <v>251</v>
        <stp/>
        <stp>Market</stp>
        <stp>STOCK</stp>
        <stp>78510.T</stp>
        <stp>現在値</stp>
        <tr r="C946" s="7"/>
      </tp>
      <tp>
        <v>1489</v>
        <stp/>
        <stp>Market</stp>
        <stp>STOCK</stp>
        <stp>78560.T</stp>
        <stp>現在値</stp>
        <tr r="C947" s="7"/>
      </tp>
      <tp>
        <v>1309</v>
        <stp/>
        <stp>Market</stp>
        <stp>STOCK</stp>
        <stp>78590.T</stp>
        <stp>現在値</stp>
        <tr r="C948" s="7"/>
      </tp>
      <tp>
        <v>741</v>
        <stp/>
        <stp>Market</stp>
        <stp>STOCK</stp>
        <stp>78440.T</stp>
        <stp>現在値</stp>
        <tr r="C945" s="7"/>
      </tp>
      <tp>
        <v>2379.5</v>
        <stp/>
        <stp>Market</stp>
        <stp>STOCK</stp>
        <stp>78670.T</stp>
        <stp>現在値</stp>
        <tr r="C949" s="7"/>
      </tp>
      <tp>
        <v>739</v>
        <stp/>
        <stp>Market</stp>
        <stp>STOCK</stp>
        <stp>78680.T</stp>
        <stp>現在値</stp>
        <tr r="C950" s="7"/>
      </tp>
      <tp>
        <v>800</v>
        <stp/>
        <stp>Market</stp>
        <stp>STOCK</stp>
        <stp>79970.T</stp>
        <stp>現在値</stp>
        <tr r="C963" s="7"/>
      </tp>
      <tp>
        <v>3940</v>
        <stp/>
        <stp>Market</stp>
        <stp>STOCK</stp>
        <stp>79110.T</stp>
        <stp>現在値</stp>
        <tr r="C954" s="7"/>
      </tp>
      <tp>
        <v>153</v>
        <stp/>
        <stp>Market</stp>
        <stp>STOCK</stp>
        <stp>79180.T</stp>
        <stp>現在値</stp>
        <tr r="C955" s="7"/>
      </tp>
      <tp>
        <v>160</v>
        <stp/>
        <stp>Market</stp>
        <stp>STOCK</stp>
        <stp>79190.T</stp>
        <stp>現在値</stp>
        <tr r="C956" s="7"/>
      </tp>
      <tp>
        <v>211</v>
        <stp/>
        <stp>Market</stp>
        <stp>STOCK</stp>
        <stp>79080.T</stp>
        <stp>現在値</stp>
        <tr r="C953" s="7"/>
      </tp>
      <tp>
        <v>399</v>
        <stp/>
        <stp>Market</stp>
        <stp>STOCK</stp>
        <stp>79530.T</stp>
        <stp>現在値</stp>
        <tr r="C958" s="7"/>
      </tp>
      <tp>
        <v>776</v>
        <stp/>
        <stp>Market</stp>
        <stp>STOCK</stp>
        <stp>79550.T</stp>
        <stp>現在値</stp>
        <tr r="C959" s="7"/>
      </tp>
      <tp>
        <v>681</v>
        <stp/>
        <stp>Market</stp>
        <stp>STOCK</stp>
        <stp>79400.T</stp>
        <stp>現在値</stp>
        <tr r="C957" s="7"/>
      </tp>
      <tp>
        <v>399</v>
        <stp/>
        <stp>Market</stp>
        <stp>STOCK</stp>
        <stp>79710.T</stp>
        <stp>現在値</stp>
        <tr r="C960" s="7"/>
      </tp>
      <tp>
        <v>1564</v>
        <stp/>
        <stp>Market</stp>
        <stp>STOCK</stp>
        <stp>79720.T</stp>
        <stp>現在値</stp>
        <tr r="C961" s="7"/>
      </tp>
      <tp>
        <v>8369</v>
        <stp/>
        <stp>Market</stp>
        <stp>STOCK</stp>
        <stp>79740.T</stp>
        <stp>現在値</stp>
        <tr r="C962" s="7"/>
      </tp>
      <tp t="s">
        <v/>
        <stp/>
        <stp>Market</stp>
        <stp>STOCK</stp>
        <stp/>
        <stp>銘柄名称</stp>
        <tr r="B914" s="7"/>
        <tr r="B1193" s="7"/>
        <tr r="B1197" s="7"/>
        <tr r="B1201" s="7"/>
        <tr r="B1205" s="7"/>
        <tr r="B1209" s="7"/>
        <tr r="B1213" s="7"/>
        <tr r="B1217" s="7"/>
        <tr r="B1221" s="7"/>
        <tr r="B1225" s="7"/>
        <tr r="B1229" s="7"/>
        <tr r="B1233" s="7"/>
        <tr r="B1237" s="7"/>
        <tr r="B1241" s="7"/>
        <tr r="B1245" s="7"/>
        <tr r="B1249" s="7"/>
        <tr r="B1253" s="7"/>
        <tr r="B1256" s="7"/>
        <tr r="B1258" s="7"/>
        <tr r="B1194" s="7"/>
        <tr r="B1198" s="7"/>
        <tr r="B1202" s="7"/>
        <tr r="B1206" s="7"/>
        <tr r="B1210" s="7"/>
        <tr r="B1214" s="7"/>
        <tr r="B1218" s="7"/>
        <tr r="B1222" s="7"/>
        <tr r="B1226" s="7"/>
        <tr r="B1230" s="7"/>
        <tr r="B1234" s="7"/>
        <tr r="B1238" s="7"/>
        <tr r="B1242" s="7"/>
        <tr r="B1246" s="7"/>
        <tr r="B1250" s="7"/>
        <tr r="B1254" s="7"/>
        <tr r="B1260" s="7"/>
        <tr r="B1264" s="7"/>
        <tr r="B1268" s="7"/>
        <tr r="B1195" s="7"/>
        <tr r="B1199" s="7"/>
        <tr r="B1203" s="7"/>
        <tr r="B1207" s="7"/>
        <tr r="B1211" s="7"/>
        <tr r="B1215" s="7"/>
        <tr r="B1219" s="7"/>
        <tr r="B1223" s="7"/>
        <tr r="B1227" s="7"/>
        <tr r="B1231" s="7"/>
        <tr r="B1235" s="7"/>
        <tr r="B1239" s="7"/>
        <tr r="B1243" s="7"/>
        <tr r="B1247" s="7"/>
        <tr r="B1251" s="7"/>
        <tr r="B1255" s="7"/>
        <tr r="B1259" s="7"/>
        <tr r="B1263" s="7"/>
        <tr r="B1267" s="7"/>
        <tr r="B1192" s="7"/>
        <tr r="B1196" s="7"/>
        <tr r="B1200" s="7"/>
        <tr r="B1204" s="7"/>
        <tr r="B1208" s="7"/>
        <tr r="B1212" s="7"/>
        <tr r="B1216" s="7"/>
        <tr r="B1220" s="7"/>
        <tr r="B1224" s="7"/>
        <tr r="B1228" s="7"/>
        <tr r="B1232" s="7"/>
        <tr r="B1236" s="7"/>
        <tr r="B1240" s="7"/>
        <tr r="B1244" s="7"/>
        <tr r="B1248" s="7"/>
        <tr r="B1252" s="7"/>
        <tr r="B1272" s="7"/>
        <tr r="B1271" s="7"/>
        <tr r="B1275" s="7"/>
        <tr r="B1279" s="7"/>
        <tr r="B1283" s="7"/>
        <tr r="B1287" s="7"/>
        <tr r="B1291" s="7"/>
        <tr r="B1295" s="7"/>
        <tr r="B1299" s="7"/>
        <tr r="B1303" s="7"/>
        <tr r="B1307" s="7"/>
        <tr r="B1311" s="7"/>
        <tr r="B1315" s="7"/>
        <tr r="B1319" s="7"/>
        <tr r="B1323" s="7"/>
        <tr r="B1327" s="7"/>
        <tr r="B1331" s="7"/>
        <tr r="B1335" s="7"/>
        <tr r="B1347" s="7"/>
        <tr r="B1351" s="7"/>
        <tr r="B1355" s="7"/>
        <tr r="B1359" s="7"/>
        <tr r="B1363" s="7"/>
        <tr r="B1367" s="7"/>
        <tr r="B1371" s="7"/>
        <tr r="B1375" s="7"/>
        <tr r="B1379" s="7"/>
        <tr r="B1383" s="7"/>
        <tr r="B1387" s="7"/>
        <tr r="B1391" s="7"/>
        <tr r="B1395" s="7"/>
        <tr r="B1399" s="7"/>
        <tr r="B1403" s="7"/>
        <tr r="B1407" s="7"/>
        <tr r="B1411" s="7"/>
        <tr r="B1415" s="7"/>
        <tr r="B1276" s="7"/>
        <tr r="B1280" s="7"/>
        <tr r="B1284" s="7"/>
        <tr r="B1288" s="7"/>
        <tr r="B1292" s="7"/>
        <tr r="B1296" s="7"/>
        <tr r="B1300" s="7"/>
        <tr r="B1304" s="7"/>
        <tr r="B1308" s="7"/>
        <tr r="B1312" s="7"/>
        <tr r="B1316" s="7"/>
        <tr r="B1320" s="7"/>
        <tr r="B1324" s="7"/>
        <tr r="B1328" s="7"/>
        <tr r="B1332" s="7"/>
        <tr r="B1336" s="7"/>
        <tr r="B1340" s="7"/>
        <tr r="B1344" s="7"/>
        <tr r="B1257" s="7"/>
        <tr r="B1261" s="7"/>
        <tr r="B1265" s="7"/>
        <tr r="B1269" s="7"/>
        <tr r="B1273" s="7"/>
        <tr r="B1277" s="7"/>
        <tr r="B1281" s="7"/>
        <tr r="B1285" s="7"/>
        <tr r="B1289" s="7"/>
        <tr r="B1293" s="7"/>
        <tr r="B1297" s="7"/>
        <tr r="B1301" s="7"/>
        <tr r="B1305" s="7"/>
        <tr r="B1309" s="7"/>
        <tr r="B1313" s="7"/>
        <tr r="B1317" s="7"/>
        <tr r="B1321" s="7"/>
        <tr r="B1325" s="7"/>
        <tr r="B1329" s="7"/>
        <tr r="B1333" s="7"/>
        <tr r="B1337" s="7"/>
        <tr r="B1339" s="7"/>
        <tr r="B1343" s="7"/>
        <tr r="B1262" s="7"/>
        <tr r="B1266" s="7"/>
        <tr r="B1270" s="7"/>
        <tr r="B1274" s="7"/>
        <tr r="B1278" s="7"/>
        <tr r="B1282" s="7"/>
        <tr r="B1286" s="7"/>
        <tr r="B1290" s="7"/>
        <tr r="B1294" s="7"/>
        <tr r="B1298" s="7"/>
        <tr r="B1302" s="7"/>
        <tr r="B1306" s="7"/>
        <tr r="B1310" s="7"/>
        <tr r="B1314" s="7"/>
        <tr r="B1318" s="7"/>
        <tr r="B1322" s="7"/>
        <tr r="B1326" s="7"/>
        <tr r="B1330" s="7"/>
        <tr r="B1334" s="7"/>
        <tr r="B1338" s="7"/>
        <tr r="B1419" s="7"/>
        <tr r="B1423" s="7"/>
        <tr r="B1348" s="7"/>
        <tr r="B1352" s="7"/>
        <tr r="B1356" s="7"/>
        <tr r="B1360" s="7"/>
        <tr r="B1364" s="7"/>
        <tr r="B1368" s="7"/>
        <tr r="B1372" s="7"/>
        <tr r="B1376" s="7"/>
        <tr r="B1380" s="7"/>
        <tr r="B1384" s="7"/>
        <tr r="B1388" s="7"/>
        <tr r="B1392" s="7"/>
        <tr r="B1396" s="7"/>
        <tr r="B1400" s="7"/>
        <tr r="B1404" s="7"/>
        <tr r="B1408" s="7"/>
        <tr r="B1412" s="7"/>
        <tr r="B1416" s="7"/>
        <tr r="B1420" s="7"/>
        <tr r="B1424" s="7"/>
        <tr r="B1426" s="7"/>
        <tr r="B1427" s="7"/>
        <tr r="B1428" s="7"/>
        <tr r="B1430" s="7"/>
        <tr r="B1431" s="7"/>
        <tr r="B1432" s="7"/>
        <tr r="B1434" s="7"/>
        <tr r="B1435" s="7"/>
        <tr r="B1436" s="7"/>
        <tr r="B1438" s="7"/>
        <tr r="B1439" s="7"/>
        <tr r="B1341" s="7"/>
        <tr r="B1345" s="7"/>
        <tr r="B1349" s="7"/>
        <tr r="B1353" s="7"/>
        <tr r="B1357" s="7"/>
        <tr r="B1361" s="7"/>
        <tr r="B1365" s="7"/>
        <tr r="B1369" s="7"/>
        <tr r="B1373" s="7"/>
        <tr r="B1377" s="7"/>
        <tr r="B1381" s="7"/>
        <tr r="B1385" s="7"/>
        <tr r="B1389" s="7"/>
        <tr r="B1393" s="7"/>
        <tr r="B1397" s="7"/>
        <tr r="B1401" s="7"/>
        <tr r="B1405" s="7"/>
        <tr r="B1409" s="7"/>
        <tr r="B1413" s="7"/>
        <tr r="B1417" s="7"/>
        <tr r="B1421" s="7"/>
        <tr r="B1342" s="7"/>
        <tr r="B1346" s="7"/>
        <tr r="B1350" s="7"/>
        <tr r="B1354" s="7"/>
        <tr r="B1358" s="7"/>
        <tr r="B1362" s="7"/>
        <tr r="B1366" s="7"/>
        <tr r="B1370" s="7"/>
        <tr r="B1374" s="7"/>
        <tr r="B1378" s="7"/>
        <tr r="B1382" s="7"/>
        <tr r="B1386" s="7"/>
        <tr r="B1390" s="7"/>
        <tr r="B1394" s="7"/>
        <tr r="B1398" s="7"/>
        <tr r="B1402" s="7"/>
        <tr r="B1406" s="7"/>
        <tr r="B1410" s="7"/>
        <tr r="B1414" s="7"/>
        <tr r="B1418" s="7"/>
        <tr r="B1422" s="7"/>
        <tr r="B1440" s="7"/>
        <tr r="B1444" s="7"/>
        <tr r="B1448" s="7"/>
        <tr r="B1452" s="7"/>
        <tr r="B1456" s="7"/>
        <tr r="B1460" s="7"/>
        <tr r="B1464" s="7"/>
        <tr r="B1468" s="7"/>
        <tr r="B1472" s="7"/>
        <tr r="B1476" s="7"/>
        <tr r="B1480" s="7"/>
        <tr r="B1484" s="7"/>
        <tr r="B1488" s="7"/>
        <tr r="B1425" s="7"/>
        <tr r="B1429" s="7"/>
        <tr r="B1433" s="7"/>
        <tr r="B1437" s="7"/>
        <tr r="B1441" s="7"/>
        <tr r="B1445" s="7"/>
        <tr r="B1449" s="7"/>
        <tr r="B1453" s="7"/>
        <tr r="B1457" s="7"/>
        <tr r="B1461" s="7"/>
        <tr r="B1465" s="7"/>
        <tr r="B1469" s="7"/>
        <tr r="B1473" s="7"/>
        <tr r="B1477" s="7"/>
        <tr r="B1481" s="7"/>
        <tr r="B1485" s="7"/>
        <tr r="B1500" s="7"/>
        <tr r="B1504" s="7"/>
        <tr r="B1508" s="7"/>
        <tr r="B1512" s="7"/>
        <tr r="B1516" s="7"/>
        <tr r="B1520" s="7"/>
        <tr r="B1524" s="7"/>
        <tr r="B1528" s="7"/>
        <tr r="B1532" s="7"/>
        <tr r="B1536" s="7"/>
        <tr r="B1540" s="7"/>
        <tr r="B1544" s="7"/>
        <tr r="B1548" s="7"/>
        <tr r="B1552" s="7"/>
        <tr r="B1556" s="7"/>
        <tr r="B1560" s="7"/>
        <tr r="B1564" s="7"/>
        <tr r="B1568" s="7"/>
        <tr r="B1572" s="7"/>
        <tr r="B1576" s="7"/>
        <tr r="B1580" s="7"/>
        <tr r="B1584" s="7"/>
        <tr r="B1588" s="7"/>
        <tr r="B1592" s="7"/>
        <tr r="B1596" s="7"/>
        <tr r="B1600" s="7"/>
        <tr r="B1604" s="7"/>
        <tr r="B1608" s="7"/>
        <tr r="B1612" s="7"/>
        <tr r="B1658" s="7"/>
        <tr r="B1442" s="7"/>
        <tr r="B1446" s="7"/>
        <tr r="B1450" s="7"/>
        <tr r="B1454" s="7"/>
        <tr r="B1458" s="7"/>
        <tr r="B1462" s="7"/>
        <tr r="B1466" s="7"/>
        <tr r="B1470" s="7"/>
        <tr r="B1474" s="7"/>
        <tr r="B1478" s="7"/>
        <tr r="B1482" s="7"/>
        <tr r="B1486" s="7"/>
        <tr r="B1489" s="7"/>
        <tr r="B1490" s="7"/>
        <tr r="B1492" s="7"/>
        <tr r="B1493" s="7"/>
        <tr r="B1494" s="7"/>
        <tr r="B1497" s="7"/>
        <tr r="B1673" s="7"/>
        <tr r="B1443" s="7"/>
        <tr r="B1447" s="7"/>
        <tr r="B1451" s="7"/>
        <tr r="B1455" s="7"/>
        <tr r="B1459" s="7"/>
        <tr r="B1463" s="7"/>
        <tr r="B1467" s="7"/>
        <tr r="B1471" s="7"/>
        <tr r="B1475" s="7"/>
        <tr r="B1479" s="7"/>
        <tr r="B1483" s="7"/>
        <tr r="B1487" s="7"/>
        <tr r="B1496" s="7"/>
        <tr r="B1613" s="7"/>
        <tr r="B1614" s="7"/>
        <tr r="B1615" s="7"/>
        <tr r="B1617" s="7"/>
        <tr r="B1618" s="7"/>
        <tr r="B1619" s="7"/>
        <tr r="B1621" s="7"/>
        <tr r="B1622" s="7"/>
        <tr r="B1623" s="7"/>
        <tr r="B1625" s="7"/>
        <tr r="B1626" s="7"/>
        <tr r="B1627" s="7"/>
        <tr r="B1629" s="7"/>
        <tr r="B1630" s="7"/>
        <tr r="B1631" s="7"/>
        <tr r="B1633" s="7"/>
        <tr r="B1634" s="7"/>
        <tr r="B1635" s="7"/>
        <tr r="B1637" s="7"/>
        <tr r="B1638" s="7"/>
        <tr r="B1639" s="7"/>
        <tr r="B1641" s="7"/>
        <tr r="B1642" s="7"/>
        <tr r="B1643" s="7"/>
        <tr r="B1645" s="7"/>
        <tr r="B1646" s="7"/>
        <tr r="B1647" s="7"/>
        <tr r="B1649" s="7"/>
        <tr r="B1650" s="7"/>
        <tr r="B1651" s="7"/>
        <tr r="B1653" s="7"/>
        <tr r="B1654" s="7"/>
        <tr r="B1655" s="7"/>
        <tr r="B1501" s="7"/>
        <tr r="B1505" s="7"/>
        <tr r="B1509" s="7"/>
        <tr r="B1513" s="7"/>
        <tr r="B1517" s="7"/>
        <tr r="B1521" s="7"/>
        <tr r="B1525" s="7"/>
        <tr r="B1529" s="7"/>
        <tr r="B1533" s="7"/>
        <tr r="B1537" s="7"/>
        <tr r="B1541" s="7"/>
        <tr r="B1545" s="7"/>
        <tr r="B1549" s="7"/>
        <tr r="B1553" s="7"/>
        <tr r="B1557" s="7"/>
        <tr r="B1561" s="7"/>
        <tr r="B1565" s="7"/>
        <tr r="B1569" s="7"/>
        <tr r="B1573" s="7"/>
        <tr r="B1577" s="7"/>
        <tr r="B1581" s="7"/>
        <tr r="B1585" s="7"/>
        <tr r="B1589" s="7"/>
        <tr r="B1593" s="7"/>
        <tr r="B1597" s="7"/>
        <tr r="B1601" s="7"/>
        <tr r="B1605" s="7"/>
        <tr r="B1609" s="7"/>
        <tr r="B1498" s="7"/>
        <tr r="B1502" s="7"/>
        <tr r="B1506" s="7"/>
        <tr r="B1510" s="7"/>
        <tr r="B1514" s="7"/>
        <tr r="B1518" s="7"/>
        <tr r="B1522" s="7"/>
        <tr r="B1526" s="7"/>
        <tr r="B1530" s="7"/>
        <tr r="B1534" s="7"/>
        <tr r="B1538" s="7"/>
        <tr r="B1542" s="7"/>
        <tr r="B1546" s="7"/>
        <tr r="B1550" s="7"/>
        <tr r="B1554" s="7"/>
        <tr r="B1558" s="7"/>
        <tr r="B1562" s="7"/>
        <tr r="B1566" s="7"/>
        <tr r="B1570" s="7"/>
        <tr r="B1574" s="7"/>
        <tr r="B1578" s="7"/>
        <tr r="B1582" s="7"/>
        <tr r="B1586" s="7"/>
        <tr r="B1590" s="7"/>
        <tr r="B1594" s="7"/>
        <tr r="B1598" s="7"/>
        <tr r="B1602" s="7"/>
        <tr r="B1606" s="7"/>
        <tr r="B1610" s="7"/>
        <tr r="B1662" s="7"/>
        <tr r="B1666" s="7"/>
        <tr r="B1670" s="7"/>
        <tr r="B1491" s="7"/>
        <tr r="B1495" s="7"/>
        <tr r="B1499" s="7"/>
        <tr r="B1503" s="7"/>
        <tr r="B1507" s="7"/>
        <tr r="B1511" s="7"/>
        <tr r="B1515" s="7"/>
        <tr r="B1519" s="7"/>
        <tr r="B1523" s="7"/>
        <tr r="B1527" s="7"/>
        <tr r="B1531" s="7"/>
        <tr r="B1535" s="7"/>
        <tr r="B1539" s="7"/>
        <tr r="B1543" s="7"/>
        <tr r="B1547" s="7"/>
        <tr r="B1551" s="7"/>
        <tr r="B1555" s="7"/>
        <tr r="B1559" s="7"/>
        <tr r="B1563" s="7"/>
        <tr r="B1567" s="7"/>
        <tr r="B1571" s="7"/>
        <tr r="B1575" s="7"/>
        <tr r="B1579" s="7"/>
        <tr r="B1583" s="7"/>
        <tr r="B1587" s="7"/>
        <tr r="B1591" s="7"/>
        <tr r="B1595" s="7"/>
        <tr r="B1599" s="7"/>
        <tr r="B1603" s="7"/>
        <tr r="B1607" s="7"/>
        <tr r="B1611" s="7"/>
        <tr r="B1659" s="7"/>
        <tr r="B1663" s="7"/>
        <tr r="B1667" s="7"/>
        <tr r="B1671" s="7"/>
        <tr r="B1675" s="7"/>
        <tr r="B1616" s="7"/>
        <tr r="B1620" s="7"/>
        <tr r="B1624" s="7"/>
        <tr r="B1628" s="7"/>
        <tr r="B1632" s="7"/>
        <tr r="B1636" s="7"/>
        <tr r="B1640" s="7"/>
        <tr r="B1644" s="7"/>
        <tr r="B1648" s="7"/>
        <tr r="B1652" s="7"/>
        <tr r="B1656" s="7"/>
        <tr r="B1660" s="7"/>
        <tr r="B1664" s="7"/>
        <tr r="B1668" s="7"/>
        <tr r="B1672" s="7"/>
        <tr r="B1657" s="7"/>
        <tr r="B1661" s="7"/>
        <tr r="B1665" s="7"/>
        <tr r="B1669" s="7"/>
        <tr r="B1676" s="7"/>
        <tr r="B1680" s="7"/>
        <tr r="B1684" s="7"/>
        <tr r="B1688" s="7"/>
        <tr r="B1692" s="7"/>
        <tr r="B1696" s="7"/>
        <tr r="B1700" s="7"/>
        <tr r="B1704" s="7"/>
        <tr r="B1708" s="7"/>
        <tr r="B1712" s="7"/>
        <tr r="B1716" s="7"/>
        <tr r="B1720" s="7"/>
        <tr r="B1724" s="7"/>
        <tr r="B1728" s="7"/>
        <tr r="B1732" s="7"/>
        <tr r="B1736" s="7"/>
        <tr r="B1740" s="7"/>
        <tr r="B1744" s="7"/>
        <tr r="B1748" s="7"/>
        <tr r="B1677" s="7"/>
        <tr r="B1681" s="7"/>
        <tr r="B1685" s="7"/>
        <tr r="B1689" s="7"/>
        <tr r="B1693" s="7"/>
        <tr r="B1697" s="7"/>
        <tr r="B1701" s="7"/>
        <tr r="B1705" s="7"/>
        <tr r="B1709" s="7"/>
        <tr r="B1713" s="7"/>
        <tr r="B1717" s="7"/>
        <tr r="B1721" s="7"/>
        <tr r="B1725" s="7"/>
        <tr r="B1729" s="7"/>
        <tr r="B1733" s="7"/>
        <tr r="B1737" s="7"/>
        <tr r="B1741" s="7"/>
        <tr r="B1745" s="7"/>
        <tr r="B1776" s="7"/>
        <tr r="B1784" s="7"/>
        <tr r="B1792" s="7"/>
        <tr r="B1820" s="7"/>
        <tr r="B1674" s="7"/>
        <tr r="B1678" s="7"/>
        <tr r="B1682" s="7"/>
        <tr r="B1686" s="7"/>
        <tr r="B1690" s="7"/>
        <tr r="B1694" s="7"/>
        <tr r="B1698" s="7"/>
        <tr r="B1702" s="7"/>
        <tr r="B1706" s="7"/>
        <tr r="B1710" s="7"/>
        <tr r="B1714" s="7"/>
        <tr r="B1718" s="7"/>
        <tr r="B1722" s="7"/>
        <tr r="B1726" s="7"/>
        <tr r="B1730" s="7"/>
        <tr r="B1734" s="7"/>
        <tr r="B1738" s="7"/>
        <tr r="B1742" s="7"/>
        <tr r="B1746" s="7"/>
        <tr r="B1750" s="7"/>
        <tr r="B1754" s="7"/>
        <tr r="B1758" s="7"/>
        <tr r="B1762" s="7"/>
        <tr r="B1766" s="7"/>
        <tr r="B1770" s="7"/>
        <tr r="B1679" s="7"/>
        <tr r="B1683" s="7"/>
        <tr r="B1687" s="7"/>
        <tr r="B1691" s="7"/>
        <tr r="B1695" s="7"/>
        <tr r="B1699" s="7"/>
        <tr r="B1703" s="7"/>
        <tr r="B1707" s="7"/>
        <tr r="B1711" s="7"/>
        <tr r="B1715" s="7"/>
        <tr r="B1719" s="7"/>
        <tr r="B1723" s="7"/>
        <tr r="B1727" s="7"/>
        <tr r="B1731" s="7"/>
        <tr r="B1735" s="7"/>
        <tr r="B1739" s="7"/>
        <tr r="B1743" s="7"/>
        <tr r="B1747" s="7"/>
        <tr r="B1780" s="7"/>
        <tr r="B1788" s="7"/>
        <tr r="B1828" s="7"/>
        <tr r="B1751" s="7"/>
        <tr r="B1755" s="7"/>
        <tr r="B1759" s="7"/>
        <tr r="B1763" s="7"/>
        <tr r="B1767" s="7"/>
        <tr r="B1771" s="7"/>
        <tr r="B1775" s="7"/>
        <tr r="B1779" s="7"/>
        <tr r="B1783" s="7"/>
        <tr r="B1787" s="7"/>
        <tr r="B1791" s="7"/>
        <tr r="B1752" s="7"/>
        <tr r="B1756" s="7"/>
        <tr r="B1760" s="7"/>
        <tr r="B1764" s="7"/>
        <tr r="B1768" s="7"/>
        <tr r="B1772" s="7"/>
        <tr r="B1799" s="7"/>
        <tr r="B1803" s="7"/>
        <tr r="B1807" s="7"/>
        <tr r="B1811" s="7"/>
        <tr r="B1815" s="7"/>
        <tr r="B1824" s="7"/>
        <tr r="B1749" s="7"/>
        <tr r="B1753" s="7"/>
        <tr r="B1757" s="7"/>
        <tr r="B1761" s="7"/>
        <tr r="B1765" s="7"/>
        <tr r="B1769" s="7"/>
        <tr r="B1773" s="7"/>
        <tr r="B1800" s="7"/>
        <tr r="B1804" s="7"/>
        <tr r="B1808" s="7"/>
        <tr r="B1812" s="7"/>
        <tr r="B1816" s="7"/>
        <tr r="B1819" s="7"/>
        <tr r="B1823" s="7"/>
        <tr r="B1827" s="7"/>
        <tr r="B1837" s="7"/>
        <tr r="B1777" s="7"/>
        <tr r="B1781" s="7"/>
        <tr r="B1785" s="7"/>
        <tr r="B1789" s="7"/>
        <tr r="B1793" s="7"/>
        <tr r="B1774" s="7"/>
        <tr r="B1778" s="7"/>
        <tr r="B1782" s="7"/>
        <tr r="B1786" s="7"/>
        <tr r="B1790" s="7"/>
        <tr r="B1795" s="7"/>
        <tr r="B1796" s="7"/>
        <tr r="B1797" s="7"/>
        <tr r="B1833" s="7"/>
        <tr r="B1841" s="7"/>
        <tr r="B1801" s="7"/>
        <tr r="B1805" s="7"/>
        <tr r="B1809" s="7"/>
        <tr r="B1813" s="7"/>
        <tr r="B1817" s="7"/>
        <tr r="B1821" s="7"/>
        <tr r="B1825" s="7"/>
        <tr r="B1829" s="7"/>
        <tr r="B1794" s="7"/>
        <tr r="B1798" s="7"/>
        <tr r="B1802" s="7"/>
        <tr r="B1806" s="7"/>
        <tr r="B1810" s="7"/>
        <tr r="B1814" s="7"/>
        <tr r="B1818" s="7"/>
        <tr r="B1822" s="7"/>
        <tr r="B1826" s="7"/>
        <tr r="B1832" s="7"/>
        <tr r="B1830" s="7"/>
        <tr r="B1834" s="7"/>
        <tr r="B1838" s="7"/>
        <tr r="B1842" s="7"/>
        <tr r="B1863" s="7"/>
        <tr r="B1871" s="7"/>
        <tr r="B1879" s="7"/>
        <tr r="B1831" s="7"/>
        <tr r="B1835" s="7"/>
        <tr r="B1839" s="7"/>
        <tr r="B1843" s="7"/>
        <tr r="B1847" s="7"/>
        <tr r="B1851" s="7"/>
        <tr r="B1855" s="7"/>
        <tr r="B1859" s="7"/>
        <tr r="B1836" s="7"/>
        <tr r="B1840" s="7"/>
        <tr r="B1844" s="7"/>
        <tr r="B1846" s="7"/>
        <tr r="B1850" s="7"/>
        <tr r="B1854" s="7"/>
        <tr r="B1858" s="7"/>
        <tr r="B1867" s="7"/>
        <tr r="B1875" s="7"/>
        <tr r="B1848" s="7"/>
        <tr r="B1852" s="7"/>
        <tr r="B1856" s="7"/>
        <tr r="B1860" s="7"/>
        <tr r="B1845" s="7"/>
        <tr r="B1849" s="7"/>
        <tr r="B1853" s="7"/>
        <tr r="B1857" s="7"/>
        <tr r="B1864" s="7"/>
        <tr r="B1868" s="7"/>
        <tr r="B1872" s="7"/>
        <tr r="B1876" s="7"/>
        <tr r="B1880" s="7"/>
        <tr r="B1861" s="7"/>
        <tr r="B1865" s="7"/>
        <tr r="B1869" s="7"/>
        <tr r="B1873" s="7"/>
        <tr r="B1877" s="7"/>
        <tr r="B1881" s="7"/>
        <tr r="B1862" s="7"/>
        <tr r="B1866" s="7"/>
        <tr r="B1870" s="7"/>
        <tr r="B1874" s="7"/>
        <tr r="B1878" s="7"/>
      </tp>
    </main>
    <main first="rtdsrv.662c26bade854d00aebc6010f8a2e03a">
      <tp t="s">
        <v>表示銘柄数超過</v>
        <stp/>
        <stp>Market</stp>
        <stp>STOCK</stp>
        <stp>38640.T</stp>
        <stp>決算発表日</stp>
        <tr r="X381" s="7"/>
      </tp>
      <tp t="s">
        <v>表示銘柄数超過</v>
        <stp/>
        <stp>Market</stp>
        <stp>STOCK</stp>
        <stp>36640.T</stp>
        <stp>決算発表日</stp>
        <tr r="X327" s="7"/>
      </tp>
      <tp t="s">
        <v>表示銘柄数超過</v>
        <stp/>
        <stp>Market</stp>
        <stp>STOCK</stp>
        <stp>34640.T</stp>
        <stp>決算発表日</stp>
        <tr r="X302" s="7"/>
      </tp>
      <tp t="s">
        <v>表示銘柄数超過</v>
        <stp/>
        <stp>Market</stp>
        <stp>STOCK</stp>
        <stp>32640.T</stp>
        <stp>決算発表日</stp>
        <tr r="X266" s="7"/>
      </tp>
      <tp t="s">
        <v>表示銘柄数超過</v>
        <stp/>
        <stp>Market</stp>
        <stp>STOCK</stp>
        <stp>30640.T</stp>
        <stp>決算発表日</stp>
        <tr r="X234" s="7"/>
      </tp>
      <tp t="s">
        <v>表示銘柄数超過</v>
        <stp/>
        <stp>Market</stp>
        <stp>STOCK</stp>
        <stp>27640.T</stp>
        <stp>決算発表日</stp>
        <tr r="X194" s="7"/>
      </tp>
      <tp t="s">
        <v>表示銘柄数超過</v>
        <stp/>
        <stp>Market</stp>
        <stp>STOCK</stp>
        <stp>21640.T</stp>
        <stp>決算発表日</stp>
        <tr r="X100" s="7"/>
      </tp>
      <tp t="s">
        <v>2024/01/31</v>
        <stp/>
        <stp>Market</stp>
        <stp>STOCK</stp>
        <stp>63640.T</stp>
        <stp>決算発表日</stp>
        <tr r="X694" s="7"/>
      </tp>
      <tp t="s">
        <v>表示銘柄数超過</v>
        <stp/>
        <stp>Market</stp>
        <stp>STOCK</stp>
        <stp>46640.T</stp>
        <stp>決算発表日</stp>
        <tr r="X515" s="7"/>
      </tp>
      <tp t="s">
        <v>表示銘柄数超過</v>
        <stp/>
        <stp>Market</stp>
        <stp>STOCK</stp>
        <stp>45640.T</stp>
        <stp>決算発表日</stp>
        <tr r="X487" s="7"/>
      </tp>
      <tp t="s">
        <v>表示銘柄数超過</v>
        <stp/>
        <stp>Market</stp>
        <stp>STOCK</stp>
        <stp>42640.T</stp>
        <stp>決算発表日</stp>
        <tr r="X433" s="7"/>
      </tp>
      <tp t="s">
        <v>表示銘柄数超過</v>
        <stp/>
        <stp>Market</stp>
        <stp>STOCK</stp>
        <stp>90640.T</stp>
        <stp>決算発表日</stp>
        <tr r="X1091" s="7"/>
      </tp>
      <tp t="s">
        <v>表示銘柄数超過</v>
        <stp/>
        <stp>Market</stp>
        <stp>STOCK</stp>
        <stp>39650.T</stp>
        <stp>決算発表日</stp>
        <tr r="X401" s="7"/>
      </tp>
      <tp t="s">
        <v>表示銘柄数超過</v>
        <stp/>
        <stp>Market</stp>
        <stp>STOCK</stp>
        <stp>38650.T</stp>
        <stp>決算発表日</stp>
        <tr r="X382" s="7"/>
      </tp>
      <tp t="s">
        <v>表示銘柄数超過</v>
        <stp/>
        <stp>Market</stp>
        <stp>STOCK</stp>
        <stp>36650.T</stp>
        <stp>決算発表日</stp>
        <tr r="X328" s="7"/>
      </tp>
      <tp t="s">
        <v>表示銘柄数超過</v>
        <stp/>
        <stp>Market</stp>
        <stp>STOCK</stp>
        <stp>28650.T</stp>
        <stp>決算発表日</stp>
        <tr r="X209" s="7"/>
      </tp>
      <tp t="s">
        <v>表示銘柄数超過</v>
        <stp/>
        <stp>Market</stp>
        <stp>STOCK</stp>
        <stp>19650.T</stp>
        <stp>決算発表日</stp>
        <tr r="X83" s="7"/>
      </tp>
      <tp t="s">
        <v>2024/02/09</v>
        <stp/>
        <stp>Market</stp>
        <stp>STOCK</stp>
        <stp>61650.T</stp>
        <stp>決算発表日</stp>
        <tr r="X660" s="7"/>
      </tp>
      <tp t="s">
        <v>表示銘柄数超過</v>
        <stp/>
        <stp>Market</stp>
        <stp>STOCK</stp>
        <stp>45650.T</stp>
        <stp>決算発表日</stp>
        <tr r="X488" s="7"/>
      </tp>
      <tp t="s">
        <v>表示銘柄数超過</v>
        <stp/>
        <stp>Market</stp>
        <stp>STOCK</stp>
        <stp>41650.T</stp>
        <stp>決算発表日</stp>
        <tr r="X417" s="7"/>
      </tp>
      <tp t="s">
        <v>表示銘柄数超過</v>
        <stp/>
        <stp>Market</stp>
        <stp>STOCK</stp>
        <stp>97650.T</stp>
        <stp>決算発表日</stp>
        <tr r="X1165" s="7"/>
      </tp>
      <tp t="s">
        <v>表示銘柄数超過</v>
        <stp/>
        <stp>Market</stp>
        <stp>STOCK</stp>
        <stp>36660.T</stp>
        <stp>決算発表日</stp>
        <tr r="X329" s="7"/>
      </tp>
      <tp t="s">
        <v>表示銘柄数超過</v>
        <stp/>
        <stp>Market</stp>
        <stp>STOCK</stp>
        <stp>32660.T</stp>
        <stp>決算発表日</stp>
        <tr r="X267" s="7"/>
      </tp>
      <tp t="s">
        <v>表示銘柄数超過</v>
        <stp/>
        <stp>Market</stp>
        <stp>STOCK</stp>
        <stp>26660.T</stp>
        <stp>決算発表日</stp>
        <tr r="X177" s="7"/>
      </tp>
      <tp t="s">
        <v>表示銘柄数超過</v>
        <stp/>
        <stp>Market</stp>
        <stp>STOCK</stp>
        <stp>19660.T</stp>
        <stp>決算発表日</stp>
        <tr r="X84" s="7"/>
      </tp>
      <tp t="s">
        <v>表示銘柄数超過</v>
        <stp/>
        <stp>Market</stp>
        <stp>STOCK</stp>
        <stp>13660.T</stp>
        <stp>決算発表日</stp>
        <tr r="X14" s="7"/>
      </tp>
      <tp t="s">
        <v>2024/02/09</v>
        <stp/>
        <stp>Market</stp>
        <stp>STOCK</stp>
        <stp>66660.T</stp>
        <stp>決算発表日</stp>
        <tr r="X750" s="7"/>
      </tp>
      <tp t="s">
        <v>2024/02/05</v>
        <stp/>
        <stp>Market</stp>
        <stp>STOCK</stp>
        <stp>63660.T</stp>
        <stp>決算発表日</stp>
        <tr r="X695" s="7"/>
      </tp>
      <tp t="s">
        <v>2024/02/09</v>
        <stp/>
        <stp>Market</stp>
        <stp>STOCK</stp>
        <stp>61660.T</stp>
        <stp>決算発表日</stp>
        <tr r="X661" s="7"/>
      </tp>
      <tp t="s">
        <v>2024/02/07</v>
        <stp/>
        <stp>Market</stp>
        <stp>STOCK</stp>
        <stp>59660.T</stp>
        <stp>決算発表日</stp>
        <tr r="X628" s="7"/>
      </tp>
      <tp t="s">
        <v>表示銘柄数超過</v>
        <stp/>
        <stp>Market</stp>
        <stp>STOCK</stp>
        <stp>47660.T</stp>
        <stp>決算発表日</stp>
        <tr r="X530" s="7"/>
      </tp>
      <tp t="s">
        <v>表示銘柄数超過</v>
        <stp/>
        <stp>Market</stp>
        <stp>STOCK</stp>
        <stp>94660.T</stp>
        <stp>決算発表日</stp>
        <tr r="X1134" s="7"/>
      </tp>
      <tp t="s">
        <v>表示銘柄数超過</v>
        <stp/>
        <stp>Market</stp>
        <stp>STOCK</stp>
        <stp>87660.T</stp>
        <stp>決算発表日</stp>
        <tr r="X1045" s="7"/>
      </tp>
      <tp t="s">
        <v>2024/01/09</v>
        <stp/>
        <stp>Market</stp>
        <stp>STOCK</stp>
        <stp>81660.T</stp>
        <stp>決算発表日</stp>
        <tr r="X986" s="7"/>
      </tp>
      <tp t="s">
        <v>表示銘柄数超過</v>
        <stp/>
        <stp>Market</stp>
        <stp>STOCK</stp>
        <stp>36670.T</stp>
        <stp>決算発表日</stp>
        <tr r="X330" s="7"/>
      </tp>
      <tp t="s">
        <v>表示銘柄数超過</v>
        <stp/>
        <stp>Market</stp>
        <stp>STOCK</stp>
        <stp>27670.T</stp>
        <stp>決算発表日</stp>
        <tr r="X195" s="7"/>
      </tp>
      <tp t="s">
        <v>表示銘柄数超過</v>
        <stp/>
        <stp>Market</stp>
        <stp>STOCK</stp>
        <stp>26670.T</stp>
        <stp>決算発表日</stp>
        <tr r="X178" s="7"/>
      </tp>
      <tp t="s">
        <v>表示銘柄数超過</v>
        <stp/>
        <stp>Market</stp>
        <stp>STOCK</stp>
        <stp>25670.T</stp>
        <stp>決算発表日</stp>
        <tr r="X162" s="7"/>
      </tp>
      <tp t="s">
        <v>2024/02/06</v>
        <stp/>
        <stp>Market</stp>
        <stp>STOCK</stp>
        <stp>78670.T</stp>
        <stp>決算発表日</stp>
        <tr r="X949" s="7"/>
      </tp>
      <tp t="s">
        <v>2024/02/09</v>
        <stp/>
        <stp>Market</stp>
        <stp>STOCK</stp>
        <stp>75670.T</stp>
        <stp>決算発表日</stp>
        <tr r="X904" s="7"/>
      </tp>
      <tp t="s">
        <v>2024/02/08</v>
        <stp/>
        <stp>Market</stp>
        <stp>STOCK</stp>
        <stp>72670.T</stp>
        <stp>決算発表日</stp>
        <tr r="X864" s="7"/>
      </tp>
      <tp t="s">
        <v>2024/02/07</v>
        <stp/>
        <stp>Market</stp>
        <stp>STOCK</stp>
        <stp>71670.T</stp>
        <stp>決算発表日</stp>
        <tr r="X834" s="7"/>
      </tp>
      <tp t="s">
        <v>2024/02/08</v>
        <stp/>
        <stp>Market</stp>
        <stp>STOCK</stp>
        <stp>68670.T</stp>
        <stp>決算発表日</stp>
        <tr r="X781" s="7"/>
      </tp>
      <tp t="s">
        <v>2024/02/01</v>
        <stp/>
        <stp>Market</stp>
        <stp>STOCK</stp>
        <stp>64670.T</stp>
        <stp>決算発表日</stp>
        <tr r="X704" s="7"/>
      </tp>
      <tp t="s">
        <v>2024/02/14</v>
        <stp/>
        <stp>Market</stp>
        <stp>STOCK</stp>
        <stp>61670.T</stp>
        <stp>決算発表日</stp>
        <tr r="X662" s="7"/>
      </tp>
      <tp t="s">
        <v>表示銘柄数超過</v>
        <stp/>
        <stp>Market</stp>
        <stp>STOCK</stp>
        <stp>47670.T</stp>
        <stp>決算発表日</stp>
        <tr r="X531" s="7"/>
      </tp>
      <tp t="s">
        <v>表示銘柄数超過</v>
        <stp/>
        <stp>Market</stp>
        <stp>STOCK</stp>
        <stp>46670.T</stp>
        <stp>決算発表日</stp>
        <tr r="X516" s="7"/>
        <tr r="X517" s="7"/>
      </tp>
      <tp t="s">
        <v>表示銘柄数超過</v>
        <stp/>
        <stp>Market</stp>
        <stp>STOCK</stp>
        <stp>41670.T</stp>
        <stp>決算発表日</stp>
        <tr r="X418" s="7"/>
      </tp>
      <tp t="s">
        <v>2024/01/12</v>
        <stp/>
        <stp>Market</stp>
        <stp>STOCK</stp>
        <stp>82670.T</stp>
        <stp>決算発表日</stp>
        <tr r="X1001" s="7"/>
      </tp>
      <tp t="s">
        <v>表示銘柄数超過</v>
        <stp/>
        <stp>Market</stp>
        <stp>STOCK</stp>
        <stp>37600.T</stp>
        <stp>決算発表日</stp>
        <tr r="X352" s="7"/>
      </tp>
      <tp t="s">
        <v>表示銘柄数超過</v>
        <stp/>
        <stp>Market</stp>
        <stp>STOCK</stp>
        <stp>36600.T</stp>
        <stp>決算発表日</stp>
        <tr r="X325" s="7"/>
      </tp>
      <tp t="s">
        <v>表示銘柄数超過</v>
        <stp/>
        <stp>Market</stp>
        <stp>STOCK</stp>
        <stp>21600.T</stp>
        <stp>決算発表日</stp>
        <tr r="X98" s="7"/>
      </tp>
      <tp t="s">
        <v>表示銘柄数超過</v>
        <stp/>
        <stp>Market</stp>
        <stp>STOCK</stp>
        <stp>19600.T</stp>
        <stp>決算発表日</stp>
        <tr r="X82" s="7"/>
      </tp>
      <tp t="s">
        <v>表示銘柄数超過</v>
        <stp/>
        <stp>Market</stp>
        <stp>STOCK</stp>
        <stp>13600.T</stp>
        <stp>決算発表日</stp>
        <tr r="X13" s="7"/>
      </tp>
      <tp t="s">
        <v>2024/02/09</v>
        <stp/>
        <stp>Market</stp>
        <stp>STOCK</stp>
        <stp>70600.T</stp>
        <stp>決算発表日</stp>
        <tr r="X819" s="7"/>
      </tp>
      <tp t="s">
        <v>表示銘柄数超過</v>
        <stp/>
        <stp>Market</stp>
        <stp>STOCK</stp>
        <stp>49600.T</stp>
        <stp>決算発表日</stp>
        <tr r="X554" s="7"/>
      </tp>
      <tp t="s">
        <v>表示銘柄数超過</v>
        <stp/>
        <stp>Market</stp>
        <stp>STOCK</stp>
        <stp>97600.T</stp>
        <stp>決算発表日</stp>
        <tr r="X1164" s="7"/>
      </tp>
      <tp t="s">
        <v>表示銘柄数超過</v>
        <stp/>
        <stp>Market</stp>
        <stp>STOCK</stp>
        <stp>95600.T</stp>
        <stp>決算発表日</stp>
        <tr r="X1157" s="7"/>
      </tp>
      <tp t="s">
        <v>表示銘柄数超過</v>
        <stp/>
        <stp>Market</stp>
        <stp>STOCK</stp>
        <stp>38610.T</stp>
        <stp>決算発表日</stp>
        <tr r="X379" s="7"/>
      </tp>
      <tp t="s">
        <v>表示銘柄数超過</v>
        <stp/>
        <stp>Market</stp>
        <stp>STOCK</stp>
        <stp>35610.T</stp>
        <stp>決算発表日</stp>
        <tr r="X309" s="7"/>
      </tp>
      <tp t="s">
        <v>表示銘柄数超過</v>
        <stp/>
        <stp>Market</stp>
        <stp>STOCK</stp>
        <stp>34610.T</stp>
        <stp>決算発表日</stp>
        <tr r="X301" s="7"/>
      </tp>
      <tp t="s">
        <v>表示銘柄数超過</v>
        <stp/>
        <stp>Market</stp>
        <stp>STOCK</stp>
        <stp>32610.T</stp>
        <stp>決算発表日</stp>
        <tr r="X265" s="7"/>
      </tp>
      <tp t="s">
        <v>表示銘柄数超過</v>
        <stp/>
        <stp>Market</stp>
        <stp>STOCK</stp>
        <stp>24610.T</stp>
        <stp>決算発表日</stp>
        <tr r="X147" s="7"/>
      </tp>
      <tp t="s">
        <v>2024/02/09</v>
        <stp/>
        <stp>Market</stp>
        <stp>STOCK</stp>
        <stp>72610.T</stp>
        <stp>決算発表日</stp>
        <tr r="X863" s="7"/>
      </tp>
      <tp t="s">
        <v>2024/02/06</v>
        <stp/>
        <stp>Market</stp>
        <stp>STOCK</stp>
        <stp>71610.T</stp>
        <stp>決算発表日</stp>
        <tr r="X832" s="7"/>
      </tp>
      <tp t="s">
        <v>表示銘柄数超過</v>
        <stp/>
        <stp>Market</stp>
        <stp>STOCK</stp>
        <stp>93610.T</stp>
        <stp>決算発表日</stp>
        <tr r="X1111" s="7"/>
      </tp>
      <tp t="s">
        <v>表示銘柄数超過</v>
        <stp/>
        <stp>Market</stp>
        <stp>STOCK</stp>
        <stp>27620.T</stp>
        <stp>決算発表日</stp>
        <tr r="X193" s="7"/>
      </tp>
      <tp t="s">
        <v>表示銘柄数超過</v>
        <stp/>
        <stp>Market</stp>
        <stp>STOCK</stp>
        <stp>21620.T</stp>
        <stp>決算発表日</stp>
        <tr r="X99" s="7"/>
      </tp>
      <tp t="s">
        <v>2024/02/13</v>
        <stp/>
        <stp>Market</stp>
        <stp>STOCK</stp>
        <stp>77620.T</stp>
        <stp>決算発表日</stp>
        <tr r="X930" s="7"/>
      </tp>
      <tp t="s">
        <v>2024/02/14</v>
        <stp/>
        <stp>Market</stp>
        <stp>STOCK</stp>
        <stp>70620.T</stp>
        <stp>決算発表日</stp>
        <tr r="X820" s="7"/>
      </tp>
      <tp t="s">
        <v>2024/02/09</v>
        <stp/>
        <stp>Market</stp>
        <stp>STOCK</stp>
        <stp>68620.T</stp>
        <stp>決算発表日</stp>
        <tr r="X779" s="7"/>
      </tp>
      <tp t="s">
        <v>2024/01/31</v>
        <stp/>
        <stp>Market</stp>
        <stp>STOCK</stp>
        <stp>67620.T</stp>
        <stp>決算発表日</stp>
        <tr r="X768" s="7"/>
      </tp>
      <tp t="s">
        <v>2024/02/09</v>
        <stp/>
        <stp>Market</stp>
        <stp>STOCK</stp>
        <stp>52620.T</stp>
        <stp>決算発表日</stp>
        <tr r="X581" s="7"/>
      </tp>
      <tp t="s">
        <v>2024/02/08</v>
        <stp/>
        <stp>Market</stp>
        <stp>STOCK</stp>
        <stp>85620.T</stp>
        <stp>決算発表日</stp>
        <tr r="X1019" s="7"/>
      </tp>
      <tp t="s">
        <v>-</v>
        <stp/>
        <stp>Market</stp>
        <stp>STOCK</stp>
        <stp>84620.T</stp>
        <stp>決算発表日</stp>
        <tr r="X1012" s="7"/>
      </tp>
      <tp t="s">
        <v>表示銘柄数超過</v>
        <stp/>
        <stp>Market</stp>
        <stp>STOCK</stp>
        <stp>39630.T</stp>
        <stp>決算発表日</stp>
        <tr r="X400" s="7"/>
      </tp>
      <tp t="s">
        <v>表示銘柄数超過</v>
        <stp/>
        <stp>Market</stp>
        <stp>STOCK</stp>
        <stp>38630.T</stp>
        <stp>決算発表日</stp>
        <tr r="X380" s="7"/>
      </tp>
      <tp t="s">
        <v>表示銘柄数超過</v>
        <stp/>
        <stp>Market</stp>
        <stp>STOCK</stp>
        <stp>36630.T</stp>
        <stp>決算発表日</stp>
        <tr r="X326" s="7"/>
      </tp>
      <tp t="s">
        <v>表示銘柄数超過</v>
        <stp/>
        <stp>Market</stp>
        <stp>STOCK</stp>
        <stp>25630.T</stp>
        <stp>決算発表日</stp>
        <tr r="X161" s="7"/>
      </tp>
      <tp t="s">
        <v>表示銘柄数超過</v>
        <stp/>
        <stp>Market</stp>
        <stp>STOCK</stp>
        <stp>15630.T</stp>
        <stp>決算発表日</stp>
        <tr r="X33" s="7"/>
      </tp>
      <tp t="s">
        <v>2024/01/29</v>
        <stp/>
        <stp>Market</stp>
        <stp>STOCK</stp>
        <stp>71630.T</stp>
        <stp>決算発表日</stp>
        <tr r="X833" s="7"/>
      </tp>
      <tp t="s">
        <v>2024/02/14</v>
        <stp/>
        <stp>Market</stp>
        <stp>STOCK</stp>
        <stp>70630.T</stp>
        <stp>決算発表日</stp>
        <tr r="X821" s="7"/>
      </tp>
      <tp t="s">
        <v>2024/02/13</v>
        <stp/>
        <stp>Market</stp>
        <stp>STOCK</stp>
        <stp>68630.T</stp>
        <stp>決算発表日</stp>
        <tr r="X780" s="7"/>
      </tp>
      <tp t="s">
        <v>2024/02/08</v>
        <stp/>
        <stp>Market</stp>
        <stp>STOCK</stp>
        <stp>55630.T</stp>
        <stp>決算発表日</stp>
        <tr r="X599" s="7"/>
      </tp>
      <tp t="s">
        <v>表示銘柄数超過</v>
        <stp/>
        <stp>Market</stp>
        <stp>STOCK</stp>
        <stp>49630.T</stp>
        <stp>決算発表日</stp>
        <tr r="X555" s="7"/>
      </tp>
      <tp t="s">
        <v>表示銘柄数超過</v>
        <stp/>
        <stp>Market</stp>
        <stp>STOCK</stp>
        <stp>45630.T</stp>
        <stp>決算発表日</stp>
        <tr r="X486" s="7"/>
      </tp>
      <tp t="s">
        <v>表示銘柄数超過</v>
        <stp/>
        <stp>Market</stp>
        <stp>STOCK</stp>
        <stp>40630.T</stp>
        <stp>決算発表日</stp>
        <tr r="X415" s="7"/>
      </tp>
      <tp t="s">
        <v>表示銘柄数超過</v>
        <stp/>
        <stp>Market</stp>
        <stp>STOCK</stp>
        <stp>92630.T</stp>
        <stp>決算発表日</stp>
        <tr r="X1104" s="7"/>
      </tp>
      <tp t="s">
        <v>表示銘柄数超過</v>
        <stp/>
        <stp>Market</stp>
        <stp>STOCK</stp>
        <stp>90630.T</stp>
        <stp>決算発表日</stp>
        <tr r="X1090" s="7"/>
      </tp>
      <tp t="s">
        <v>表示銘柄数超過</v>
        <stp/>
        <stp>Market</stp>
        <stp>STOCK</stp>
        <stp>36680.T</stp>
        <stp>決算発表日</stp>
        <tr r="X331" s="7"/>
      </tp>
      <tp t="s">
        <v>表示銘柄数超過</v>
        <stp/>
        <stp>Market</stp>
        <stp>STOCK</stp>
        <stp>28680.T</stp>
        <stp>決算発表日</stp>
        <tr r="X210" s="7"/>
      </tp>
      <tp t="s">
        <v>表示銘柄数超過</v>
        <stp/>
        <stp>Market</stp>
        <stp>STOCK</stp>
        <stp>27680.T</stp>
        <stp>決算発表日</stp>
        <tr r="X196" s="7"/>
      </tp>
      <tp t="s">
        <v>表示銘柄数超過</v>
        <stp/>
        <stp>Market</stp>
        <stp>STOCK</stp>
        <stp>24680.T</stp>
        <stp>決算発表日</stp>
        <tr r="X148" s="7"/>
      </tp>
      <tp t="s">
        <v>表示銘柄数超過</v>
        <stp/>
        <stp>Market</stp>
        <stp>STOCK</stp>
        <stp>21680.T</stp>
        <stp>決算発表日</stp>
        <tr r="X101" s="7"/>
      </tp>
      <tp t="s">
        <v>表示銘柄数超過</v>
        <stp/>
        <stp>Market</stp>
        <stp>STOCK</stp>
        <stp>13680.T</stp>
        <stp>決算発表日</stp>
        <tr r="X15" s="7"/>
      </tp>
      <tp t="s">
        <v>2024/02/09</v>
        <stp/>
        <stp>Market</stp>
        <stp>STOCK</stp>
        <stp>78680.T</stp>
        <stp>決算発表日</stp>
        <tr r="X950" s="7"/>
      </tp>
      <tp t="s">
        <v>2024/02/13</v>
        <stp/>
        <stp>Market</stp>
        <stp>STOCK</stp>
        <stp>72680.T</stp>
        <stp>決算発表日</stp>
        <tr r="X865" s="7"/>
      </tp>
      <tp t="s">
        <v>-</v>
        <stp/>
        <stp>Market</stp>
        <stp>STOCK</stp>
        <stp>70680.T</stp>
        <stp>決算発表日</stp>
        <tr r="X822" s="7"/>
      </tp>
      <tp t="s">
        <v>2024/02/05</v>
        <stp/>
        <stp>Market</stp>
        <stp>STOCK</stp>
        <stp>67680.T</stp>
        <stp>決算発表日</stp>
        <tr r="X769" s="7"/>
      </tp>
      <tp t="s">
        <v>表示銘柄数超過</v>
        <stp/>
        <stp>Market</stp>
        <stp>STOCK</stp>
        <stp>45680.T</stp>
        <stp>決算発表日</stp>
        <tr r="X489" s="7"/>
      </tp>
      <tp t="s">
        <v>表示銘柄数超過</v>
        <stp/>
        <stp>Market</stp>
        <stp>STOCK</stp>
        <stp>42680.T</stp>
        <stp>決算発表日</stp>
        <tr r="X434" s="7"/>
      </tp>
      <tp t="s">
        <v>表示銘柄数超過</v>
        <stp/>
        <stp>Market</stp>
        <stp>STOCK</stp>
        <stp>30690.T</stp>
        <stp>決算発表日</stp>
        <tr r="X235" s="7"/>
      </tp>
      <tp t="s">
        <v>表示銘柄数超過</v>
        <stp/>
        <stp>Market</stp>
        <stp>STOCK</stp>
        <stp>14690.T</stp>
        <stp>決算発表日</stp>
        <tr r="X27" s="7"/>
      </tp>
      <tp t="s">
        <v>2024/02/07</v>
        <stp/>
        <stp>Market</stp>
        <stp>STOCK</stp>
        <stp>72690.T</stp>
        <stp>決算発表日</stp>
        <tr r="X866" s="7"/>
      </tp>
      <tp t="s">
        <v>-</v>
        <stp/>
        <stp>Market</stp>
        <stp>STOCK</stp>
        <stp>52690.T</stp>
        <stp>決算発表日</stp>
        <tr r="X582" s="7"/>
      </tp>
      <tp t="s">
        <v>表示銘柄数超過</v>
        <stp/>
        <stp>Market</stp>
        <stp>STOCK</stp>
        <stp>41690.T</stp>
        <stp>決算発表日</stp>
        <tr r="X419" s="7"/>
      </tp>
      <tp t="s">
        <v>表示銘柄数超過</v>
        <stp/>
        <stp>Market</stp>
        <stp>STOCK</stp>
        <stp>99690.T</stp>
        <stp>決算発表日</stp>
        <tr r="X1185" s="7"/>
      </tp>
      <tp t="s">
        <v>表示銘柄数超過</v>
        <stp/>
        <stp>Market</stp>
        <stp>STOCK</stp>
        <stp>87690.T</stp>
        <stp>決算発表日</stp>
        <tr r="X1046" s="7"/>
      </tp>
      <tp t="s">
        <v>表示銘柄数超過</v>
        <stp/>
        <stp>Market</stp>
        <stp>STOCK</stp>
        <stp>46900.T</stp>
        <stp>現在値</stp>
        <tr r="C521" s="7"/>
      </tp>
      <tp t="s">
        <v>表示銘柄数超過</v>
        <stp/>
        <stp>Market</stp>
        <stp>STOCK</stp>
        <stp>46800.T</stp>
        <stp>現在値</stp>
        <tr r="C519" s="7"/>
      </tp>
      <tp>
        <v>433.3</v>
        <stp/>
        <stp>Market</stp>
        <stp>STOCK</stp>
        <stp>46890.T</stp>
        <stp>現在値</stp>
        <tr r="C520" s="7"/>
      </tp>
      <tp t="s">
        <v>表示銘柄数超過</v>
        <stp/>
        <stp>Market</stp>
        <stp>STOCK</stp>
        <stp>46110.T</stp>
        <stp>現在値</stp>
        <tr r="C508" s="7"/>
      </tp>
      <tp t="s">
        <v>表示銘柄数超過</v>
        <stp/>
        <stp>Market</stp>
        <stp>STOCK</stp>
        <stp>46120.T</stp>
        <stp>現在値</stp>
        <tr r="C509" s="7"/>
      </tp>
      <tp t="s">
        <v>表示銘柄数超過</v>
        <stp/>
        <stp>Market</stp>
        <stp>STOCK</stp>
        <stp>46130.T</stp>
        <stp>現在値</stp>
        <tr r="C510" s="7"/>
      </tp>
      <tp t="s">
        <v>表示銘柄数超過</v>
        <stp/>
        <stp>Market</stp>
        <stp>STOCK</stp>
        <stp>46190.T</stp>
        <stp>現在値</stp>
        <tr r="C511" s="7"/>
      </tp>
      <tp t="s">
        <v>表示銘柄数超過</v>
        <stp/>
        <stp>Market</stp>
        <stp>STOCK</stp>
        <stp>46310.T</stp>
        <stp>現在値</stp>
        <tr r="C470" s="7"/>
      </tp>
      <tp t="s">
        <v>表示銘柄数超過</v>
        <stp/>
        <stp>Market</stp>
        <stp>STOCK</stp>
        <stp>46200.T</stp>
        <stp>現在値</stp>
        <tr r="C512" s="7"/>
      </tp>
      <tp t="s">
        <v>表示銘柄数超過</v>
        <stp/>
        <stp>Market</stp>
        <stp>STOCK</stp>
        <stp>46510.T</stp>
        <stp>現在値</stp>
        <tr r="C513" s="7"/>
      </tp>
      <tp t="s">
        <v>表示銘柄数超過</v>
        <stp/>
        <stp>Market</stp>
        <stp>STOCK</stp>
        <stp>46570.T</stp>
        <stp>現在値</stp>
        <tr r="C514" s="7"/>
      </tp>
      <tp t="s">
        <v>表示銘柄数超過</v>
        <stp/>
        <stp>Market</stp>
        <stp>STOCK</stp>
        <stp>46760.T</stp>
        <stp>現在値</stp>
        <tr r="C518" s="7"/>
      </tp>
      <tp t="s">
        <v>表示銘柄数超過</v>
        <stp/>
        <stp>Market</stp>
        <stp>STOCK</stp>
        <stp>46640.T</stp>
        <stp>現在値</stp>
        <tr r="C515" s="7"/>
      </tp>
      <tp t="s">
        <v>表示銘柄数超過</v>
        <stp/>
        <stp>Market</stp>
        <stp>STOCK</stp>
        <stp>46670.T</stp>
        <stp>現在値</stp>
        <tr r="C517" s="7"/>
        <tr r="C516" s="7"/>
      </tp>
      <tp t="s">
        <v>表示銘柄数超過</v>
        <stp/>
        <stp>Market</stp>
        <stp>STOCK</stp>
        <stp>47840.T</stp>
        <stp>現在値</stp>
        <tr r="C535" s="7"/>
      </tp>
      <tp t="s">
        <v>表示銘柄数超過</v>
        <stp/>
        <stp>Market</stp>
        <stp>STOCK</stp>
        <stp>47140.T</stp>
        <stp>現在値</stp>
        <tr r="C524" s="7"/>
      </tp>
      <tp t="s">
        <v>表示銘柄数超過</v>
        <stp/>
        <stp>Market</stp>
        <stp>STOCK</stp>
        <stp>47160.T</stp>
        <stp>現在値</stp>
        <tr r="C525" s="7"/>
      </tp>
      <tp t="s">
        <v>表示銘柄数超過</v>
        <stp/>
        <stp>Market</stp>
        <stp>STOCK</stp>
        <stp>47050.T</stp>
        <stp>現在値</stp>
        <tr r="C522" s="7"/>
      </tp>
      <tp t="s">
        <v>表示銘柄数超過</v>
        <stp/>
        <stp>Market</stp>
        <stp>STOCK</stp>
        <stp>47070.T</stp>
        <stp>現在値</stp>
        <tr r="C523" s="7"/>
      </tp>
      <tp t="s">
        <v>表示銘柄数超過</v>
        <stp/>
        <stp>Market</stp>
        <stp>STOCK</stp>
        <stp>47200.T</stp>
        <stp>現在値</stp>
        <tr r="C526" s="7"/>
      </tp>
      <tp t="s">
        <v>表示銘柄数超過</v>
        <stp/>
        <stp>Market</stp>
        <stp>STOCK</stp>
        <stp>47260.T</stp>
        <stp>現在値</stp>
        <tr r="C527" s="7"/>
      </tp>
      <tp t="s">
        <v>表示銘柄数超過</v>
        <stp/>
        <stp>Market</stp>
        <stp>STOCK</stp>
        <stp>47510.T</stp>
        <stp>現在値</stp>
        <tr r="C528" s="7"/>
      </tp>
      <tp t="s">
        <v>表示銘柄数超過</v>
        <stp/>
        <stp>Market</stp>
        <stp>STOCK</stp>
        <stp>47550.T</stp>
        <stp>現在値</stp>
        <tr r="C529" s="7"/>
      </tp>
      <tp t="s">
        <v>表示銘柄数超過</v>
        <stp/>
        <stp>Market</stp>
        <stp>STOCK</stp>
        <stp>47700.T</stp>
        <stp>現在値</stp>
        <tr r="C532" s="7"/>
      </tp>
      <tp t="s">
        <v>表示銘柄数超過</v>
        <stp/>
        <stp>Market</stp>
        <stp>STOCK</stp>
        <stp>47760.T</stp>
        <stp>現在値</stp>
        <tr r="C533" s="7"/>
      </tp>
      <tp t="s">
        <v>表示銘柄数超過</v>
        <stp/>
        <stp>Market</stp>
        <stp>STOCK</stp>
        <stp>47770.T</stp>
        <stp>現在値</stp>
        <tr r="C534" s="7"/>
      </tp>
      <tp t="s">
        <v>表示銘柄数超過</v>
        <stp/>
        <stp>Market</stp>
        <stp>STOCK</stp>
        <stp>47660.T</stp>
        <stp>現在値</stp>
        <tr r="C530" s="7"/>
      </tp>
      <tp t="s">
        <v>表示銘柄数超過</v>
        <stp/>
        <stp>Market</stp>
        <stp>STOCK</stp>
        <stp>47670.T</stp>
        <stp>現在値</stp>
        <tr r="C531" s="7"/>
      </tp>
      <tp t="s">
        <v>表示銘柄数超過</v>
        <stp/>
        <stp>Market</stp>
        <stp>STOCK</stp>
        <stp>44920.T</stp>
        <stp>現在値</stp>
        <tr r="C477" s="7"/>
      </tp>
      <tp t="s">
        <v>表示銘柄数超過</v>
        <stp/>
        <stp>Market</stp>
        <stp>STOCK</stp>
        <stp>44950.T</stp>
        <stp>現在値</stp>
        <tr r="C478" s="7"/>
      </tp>
      <tp t="s">
        <v>表示銘柄数超過</v>
        <stp/>
        <stp>Market</stp>
        <stp>STOCK</stp>
        <stp>44840.T</stp>
        <stp>現在値</stp>
        <tr r="C475" s="7"/>
      </tp>
      <tp t="s">
        <v>表示銘柄数超過</v>
        <stp/>
        <stp>Market</stp>
        <stp>STOCK</stp>
        <stp>44870.T</stp>
        <stp>現在値</stp>
        <tr r="C476" s="7"/>
      </tp>
      <tp t="s">
        <v>表示銘柄数超過</v>
        <stp/>
        <stp>Market</stp>
        <stp>STOCK</stp>
        <stp>44140.T</stp>
        <stp>現在値</stp>
        <tr r="C460" s="7"/>
      </tp>
      <tp t="s">
        <v>表示銘柄数超過</v>
        <stp/>
        <stp>Market</stp>
        <stp>STOCK</stp>
        <stp>44160.T</stp>
        <stp>現在値</stp>
        <tr r="C461" s="7"/>
      </tp>
      <tp t="s">
        <v>表示銘柄数超過</v>
        <stp/>
        <stp>Market</stp>
        <stp>STOCK</stp>
        <stp>44190.T</stp>
        <stp>現在値</stp>
        <tr r="C462" s="7"/>
      </tp>
      <tp t="s">
        <v>表示銘柄数超過</v>
        <stp/>
        <stp>Market</stp>
        <stp>STOCK</stp>
        <stp>44060.T</stp>
        <stp>現在値</stp>
        <tr r="C459" s="7"/>
      </tp>
      <tp t="s">
        <v>表示銘柄数超過</v>
        <stp/>
        <stp>Market</stp>
        <stp>STOCK</stp>
        <stp>44360.T</stp>
        <stp>現在値</stp>
        <tr r="C464" s="7"/>
      </tp>
      <tp t="s">
        <v>表示銘柄数超過</v>
        <stp/>
        <stp>Market</stp>
        <stp>STOCK</stp>
        <stp>44380.T</stp>
        <stp>現在値</stp>
        <tr r="C465" s="7"/>
      </tp>
      <tp t="s">
        <v>表示銘柄数超過</v>
        <stp/>
        <stp>Market</stp>
        <stp>STOCK</stp>
        <stp>44270.T</stp>
        <stp>現在値</stp>
        <tr r="C463" s="7"/>
      </tp>
      <tp t="s">
        <v>表示銘柄数超過</v>
        <stp/>
        <stp>Market</stp>
        <stp>STOCK</stp>
        <stp>44520.T</stp>
        <stp>現在値</stp>
        <tr r="C469" s="7"/>
      </tp>
      <tp t="s">
        <v>表示銘柄数超過</v>
        <stp/>
        <stp>Market</stp>
        <stp>STOCK</stp>
        <stp>44410.T</stp>
        <stp>現在値</stp>
        <tr r="C466" s="7"/>
      </tp>
      <tp t="s">
        <v>表示銘柄数超過</v>
        <stp/>
        <stp>Market</stp>
        <stp>STOCK</stp>
        <stp>44440.T</stp>
        <stp>現在値</stp>
        <tr r="C467" s="7"/>
      </tp>
      <tp t="s">
        <v>表示銘柄数超過</v>
        <stp/>
        <stp>Market</stp>
        <stp>STOCK</stp>
        <stp>44480.T</stp>
        <stp>現在値</stp>
        <tr r="C468" s="7"/>
      </tp>
      <tp t="s">
        <v>表示銘柄数超過</v>
        <stp/>
        <stp>Market</stp>
        <stp>STOCK</stp>
        <stp>44750.T</stp>
        <stp>現在値</stp>
        <tr r="C471" s="7"/>
      </tp>
      <tp t="s">
        <v>表示銘柄数超過</v>
        <stp/>
        <stp>Market</stp>
        <stp>STOCK</stp>
        <stp>44760.T</stp>
        <stp>現在値</stp>
        <tr r="C472" s="7"/>
      </tp>
      <tp t="s">
        <v>表示銘柄数超過</v>
        <stp/>
        <stp>Market</stp>
        <stp>STOCK</stp>
        <stp>44770.T</stp>
        <stp>現在値</stp>
        <tr r="C473" s="7"/>
      </tp>
      <tp t="s">
        <v>表示銘柄数超過</v>
        <stp/>
        <stp>Market</stp>
        <stp>STOCK</stp>
        <stp>44790.T</stp>
        <stp>現在値</stp>
        <tr r="C474" s="7"/>
      </tp>
      <tp t="s">
        <v>表示銘柄数超過</v>
        <stp/>
        <stp>Market</stp>
        <stp>STOCK</stp>
        <stp>45910.T</stp>
        <stp>現在値</stp>
        <tr r="C502" s="7"/>
      </tp>
      <tp t="s">
        <v>表示銘柄数超過</v>
        <stp/>
        <stp>Market</stp>
        <stp>STOCK</stp>
        <stp>45920.T</stp>
        <stp>現在値</stp>
        <tr r="C503" s="7"/>
      </tp>
      <tp t="s">
        <v>表示銘柄数超過</v>
        <stp/>
        <stp>Market</stp>
        <stp>STOCK</stp>
        <stp>45930.T</stp>
        <stp>現在値</stp>
        <tr r="C504" s="7"/>
      </tp>
      <tp t="s">
        <v>表示銘柄数超過</v>
        <stp/>
        <stp>Market</stp>
        <stp>STOCK</stp>
        <stp>45940.T</stp>
        <stp>現在値</stp>
        <tr r="C505" s="7"/>
      </tp>
      <tp t="s">
        <v>表示銘柄数超過</v>
        <stp/>
        <stp>Market</stp>
        <stp>STOCK</stp>
        <stp>45960.T</stp>
        <stp>現在値</stp>
        <tr r="C506" s="7"/>
      </tp>
      <tp t="s">
        <v>表示銘柄数超過</v>
        <stp/>
        <stp>Market</stp>
        <stp>STOCK</stp>
        <stp>45970.T</stp>
        <stp>現在値</stp>
        <tr r="C507" s="7"/>
      </tp>
      <tp t="s">
        <v>表示銘柄数超過</v>
        <stp/>
        <stp>Market</stp>
        <stp>STOCK</stp>
        <stp>45820.T</stp>
        <stp>現在値</stp>
        <tr r="C497" s="7"/>
      </tp>
      <tp t="s">
        <v>表示銘柄数超過</v>
        <stp/>
        <stp>Market</stp>
        <stp>STOCK</stp>
        <stp>45830.T</stp>
        <stp>現在値</stp>
        <tr r="C498" s="7"/>
      </tp>
      <tp t="s">
        <v>表示銘柄数超過</v>
        <stp/>
        <stp>Market</stp>
        <stp>STOCK</stp>
        <stp>45840.T</stp>
        <stp>現在値</stp>
        <tr r="C499" s="7"/>
      </tp>
      <tp t="s">
        <v>表示銘柄数超過</v>
        <stp/>
        <stp>Market</stp>
        <stp>STOCK</stp>
        <stp>45860.T</stp>
        <stp>現在値</stp>
        <tr r="C500" s="7"/>
      </tp>
      <tp t="s">
        <v>表示銘柄数超過</v>
        <stp/>
        <stp>Market</stp>
        <stp>STOCK</stp>
        <stp>45880.T</stp>
        <stp>現在値</stp>
        <tr r="C501" s="7"/>
      </tp>
      <tp t="s">
        <v>表示銘柄数超過</v>
        <stp/>
        <stp>Market</stp>
        <stp>STOCK</stp>
        <stp>45030.T</stp>
        <stp>現在値</stp>
        <tr r="C479" s="7"/>
      </tp>
      <tp>
        <v>345</v>
        <stp/>
        <stp>Market</stp>
        <stp>STOCK</stp>
        <stp>45060.T</stp>
        <stp>現在値</stp>
        <tr r="C480" s="7"/>
      </tp>
      <tp t="s">
        <v>表示銘柄数超過</v>
        <stp/>
        <stp>Market</stp>
        <stp>STOCK</stp>
        <stp>45070.T</stp>
        <stp>現在値</stp>
        <tr r="C481" s="7"/>
      </tp>
      <tp t="s">
        <v>表示銘柄数超過</v>
        <stp/>
        <stp>Market</stp>
        <stp>STOCK</stp>
        <stp>45310.T</stp>
        <stp>現在値</stp>
        <tr r="C483" s="7"/>
      </tp>
      <tp t="s">
        <v>表示銘柄数超過</v>
        <stp/>
        <stp>Market</stp>
        <stp>STOCK</stp>
        <stp>45230.T</stp>
        <stp>現在値</stp>
        <tr r="C482" s="7"/>
      </tp>
      <tp t="s">
        <v>表示銘柄数超過</v>
        <stp/>
        <stp>Market</stp>
        <stp>STOCK</stp>
        <stp>45540.T</stp>
        <stp>現在値</stp>
        <tr r="C484" s="7"/>
      </tp>
      <tp t="s">
        <v>表示銘柄数超過</v>
        <stp/>
        <stp>Market</stp>
        <stp>STOCK</stp>
        <stp>45580.T</stp>
        <stp>現在値</stp>
        <tr r="C485" s="7"/>
      </tp>
      <tp t="s">
        <v>表示銘柄数超過</v>
        <stp/>
        <stp>Market</stp>
        <stp>STOCK</stp>
        <stp>45700.T</stp>
        <stp>現在値</stp>
        <tr r="C490" s="7"/>
      </tp>
      <tp t="s">
        <v>表示銘柄数超過</v>
        <stp/>
        <stp>Market</stp>
        <stp>STOCK</stp>
        <stp>45710.T</stp>
        <stp>現在値</stp>
        <tr r="C491" s="7"/>
      </tp>
      <tp t="s">
        <v>表示銘柄数超過</v>
        <stp/>
        <stp>Market</stp>
        <stp>STOCK</stp>
        <stp>45720.T</stp>
        <stp>現在値</stp>
        <tr r="C492" s="7"/>
      </tp>
      <tp t="s">
        <v>表示銘柄数超過</v>
        <stp/>
        <stp>Market</stp>
        <stp>STOCK</stp>
        <stp>45740.T</stp>
        <stp>現在値</stp>
        <tr r="C493" s="7"/>
      </tp>
      <tp t="s">
        <v>表示銘柄数超過</v>
        <stp/>
        <stp>Market</stp>
        <stp>STOCK</stp>
        <stp>45750.T</stp>
        <stp>現在値</stp>
        <tr r="C494" s="7"/>
      </tp>
      <tp t="s">
        <v>表示銘柄数超過</v>
        <stp/>
        <stp>Market</stp>
        <stp>STOCK</stp>
        <stp>45760.T</stp>
        <stp>現在値</stp>
        <tr r="C495" s="7"/>
      </tp>
      <tp t="s">
        <v>表示銘柄数超過</v>
        <stp/>
        <stp>Market</stp>
        <stp>STOCK</stp>
        <stp>45780.T</stp>
        <stp>現在値</stp>
        <tr r="C496" s="7"/>
      </tp>
      <tp t="s">
        <v>表示銘柄数超過</v>
        <stp/>
        <stp>Market</stp>
        <stp>STOCK</stp>
        <stp>45630.T</stp>
        <stp>現在値</stp>
        <tr r="C486" s="7"/>
      </tp>
      <tp t="s">
        <v>表示銘柄数超過</v>
        <stp/>
        <stp>Market</stp>
        <stp>STOCK</stp>
        <stp>45640.T</stp>
        <stp>現在値</stp>
        <tr r="C487" s="7"/>
      </tp>
      <tp t="s">
        <v>表示銘柄数超過</v>
        <stp/>
        <stp>Market</stp>
        <stp>STOCK</stp>
        <stp>45650.T</stp>
        <stp>現在値</stp>
        <tr r="C488" s="7"/>
      </tp>
      <tp t="s">
        <v>表示銘柄数超過</v>
        <stp/>
        <stp>Market</stp>
        <stp>STOCK</stp>
        <stp>45680.T</stp>
        <stp>現在値</stp>
        <tr r="C489" s="7"/>
      </tp>
      <tp t="s">
        <v>表示銘柄数超過</v>
        <stp/>
        <stp>Market</stp>
        <stp>STOCK</stp>
        <stp>42930.T</stp>
        <stp>現在値</stp>
        <tr r="C439" s="7"/>
      </tp>
      <tp t="s">
        <v>表示銘柄数超過</v>
        <stp/>
        <stp>Market</stp>
        <stp>STOCK</stp>
        <stp>42860.T</stp>
        <stp>現在値</stp>
        <tr r="C437" s="7"/>
      </tp>
      <tp t="s">
        <v>表示銘柄数超過</v>
        <stp/>
        <stp>Market</stp>
        <stp>STOCK</stp>
        <stp>42870.T</stp>
        <stp>現在値</stp>
        <tr r="C438" s="7"/>
      </tp>
      <tp t="s">
        <v>表示銘柄数超過</v>
        <stp/>
        <stp>Market</stp>
        <stp>STOCK</stp>
        <stp>42000.T</stp>
        <stp>現在値</stp>
        <tr r="C425" s="7"/>
      </tp>
      <tp t="s">
        <v>表示銘柄数超過</v>
        <stp/>
        <stp>Market</stp>
        <stp>STOCK</stp>
        <stp>42020.T</stp>
        <stp>現在値</stp>
        <tr r="C426" s="7"/>
      </tp>
      <tp t="s">
        <v>表示銘柄数超過</v>
        <stp/>
        <stp>Market</stp>
        <stp>STOCK</stp>
        <stp>42370.T</stp>
        <stp>現在値</stp>
        <tr r="C427" s="7"/>
      </tp>
      <tp t="s">
        <v>表示銘柄数超過</v>
        <stp/>
        <stp>Market</stp>
        <stp>STOCK</stp>
        <stp>42380.T</stp>
        <stp>現在値</stp>
        <tr r="C428" s="7"/>
      </tp>
      <tp t="s">
        <v>表示銘柄数超過</v>
        <stp/>
        <stp>Market</stp>
        <stp>STOCK</stp>
        <stp>42580.T</stp>
        <stp>現在値</stp>
        <tr r="C431" s="7"/>
      </tp>
      <tp t="s">
        <v>表示銘柄数超過</v>
        <stp/>
        <stp>Market</stp>
        <stp>STOCK</stp>
        <stp>42590.T</stp>
        <stp>現在値</stp>
        <tr r="C432" s="7"/>
      </tp>
      <tp t="s">
        <v>表示銘柄数超過</v>
        <stp/>
        <stp>Market</stp>
        <stp>STOCK</stp>
        <stp>42410.T</stp>
        <stp>現在値</stp>
        <tr r="C429" s="7"/>
      </tp>
      <tp t="s">
        <v>表示銘柄数超過</v>
        <stp/>
        <stp>Market</stp>
        <stp>STOCK</stp>
        <stp>42430.T</stp>
        <stp>現在値</stp>
        <tr r="C430" s="7"/>
      </tp>
      <tp t="s">
        <v>表示銘柄数超過</v>
        <stp/>
        <stp>Market</stp>
        <stp>STOCK</stp>
        <stp>42740.T</stp>
        <stp>現在値</stp>
        <tr r="C435" s="7"/>
      </tp>
      <tp t="s">
        <v>表示銘柄数超過</v>
        <stp/>
        <stp>Market</stp>
        <stp>STOCK</stp>
        <stp>42750.T</stp>
        <stp>現在値</stp>
        <tr r="C436" s="7"/>
      </tp>
      <tp t="s">
        <v>表示銘柄数超過</v>
        <stp/>
        <stp>Market</stp>
        <stp>STOCK</stp>
        <stp>42640.T</stp>
        <stp>現在値</stp>
        <tr r="C433" s="7"/>
      </tp>
      <tp t="s">
        <v>表示銘柄数超過</v>
        <stp/>
        <stp>Market</stp>
        <stp>STOCK</stp>
        <stp>42680.T</stp>
        <stp>現在値</stp>
        <tr r="C434" s="7"/>
      </tp>
      <tp t="s">
        <v>表示銘柄数超過</v>
        <stp/>
        <stp>Market</stp>
        <stp>STOCK</stp>
        <stp>43950.T</stp>
        <stp>現在値</stp>
        <tr r="C458" s="7"/>
      </tp>
      <tp t="s">
        <v>表示銘柄数超過</v>
        <stp/>
        <stp>Market</stp>
        <stp>STOCK</stp>
        <stp>43820.T</stp>
        <stp>現在値</stp>
        <tr r="C455" s="7"/>
      </tp>
      <tp t="s">
        <v>表示銘柄数超過</v>
        <stp/>
        <stp>Market</stp>
        <stp>STOCK</stp>
        <stp>43850.T</stp>
        <stp>現在値</stp>
        <tr r="C456" s="7"/>
      </tp>
      <tp t="s">
        <v>表示銘柄数超過</v>
        <stp/>
        <stp>Market</stp>
        <stp>STOCK</stp>
        <stp>43880.T</stp>
        <stp>現在値</stp>
        <tr r="C457" s="7"/>
      </tp>
      <tp t="s">
        <v>表示銘柄数超過</v>
        <stp/>
        <stp>Market</stp>
        <stp>STOCK</stp>
        <stp>43160.T</stp>
        <stp>現在値</stp>
        <tr r="C442" s="7"/>
      </tp>
      <tp t="s">
        <v>表示銘柄数超過</v>
        <stp/>
        <stp>Market</stp>
        <stp>STOCK</stp>
        <stp>43040.T</stp>
        <stp>現在値</stp>
        <tr r="C440" s="7"/>
      </tp>
      <tp t="s">
        <v>表示銘柄数超過</v>
        <stp/>
        <stp>Market</stp>
        <stp>STOCK</stp>
        <stp>43080.T</stp>
        <stp>現在値</stp>
        <tr r="C441" s="7"/>
      </tp>
      <tp t="s">
        <v>表示銘柄数超過</v>
        <stp/>
        <stp>Market</stp>
        <stp>STOCK</stp>
        <stp>43370.T</stp>
        <stp>現在値</stp>
        <tr r="C444" s="7"/>
      </tp>
      <tp t="s">
        <v>表示銘柄数超過</v>
        <stp/>
        <stp>Market</stp>
        <stp>STOCK</stp>
        <stp>43240.T</stp>
        <stp>現在値</stp>
        <tr r="C443" s="7"/>
      </tp>
      <tp t="s">
        <v>表示銘柄数超過</v>
        <stp/>
        <stp>Market</stp>
        <stp>STOCK</stp>
        <stp>43500.T</stp>
        <stp>現在値</stp>
        <tr r="C447" s="7"/>
      </tp>
      <tp t="s">
        <v>表示銘柄数超過</v>
        <stp/>
        <stp>Market</stp>
        <stp>STOCK</stp>
        <stp>43550.T</stp>
        <stp>現在値</stp>
        <tr r="C448" s="7"/>
      </tp>
      <tp t="s">
        <v>表示銘柄数超過</v>
        <stp/>
        <stp>Market</stp>
        <stp>STOCK</stp>
        <stp>43430.T</stp>
        <stp>現在値</stp>
        <tr r="C445" s="7"/>
      </tp>
      <tp t="s">
        <v>表示銘柄数超過</v>
        <stp/>
        <stp>Market</stp>
        <stp>STOCK</stp>
        <stp>43460.T</stp>
        <stp>現在値</stp>
        <tr r="C446" s="7"/>
      </tp>
      <tp t="s">
        <v>表示銘柄数超過</v>
        <stp/>
        <stp>Market</stp>
        <stp>STOCK</stp>
        <stp>43700.T</stp>
        <stp>現在値</stp>
        <tr r="C449" s="7"/>
      </tp>
      <tp t="s">
        <v>表示銘柄数超過</v>
        <stp/>
        <stp>Market</stp>
        <stp>STOCK</stp>
        <stp>43730.T</stp>
        <stp>現在値</stp>
        <tr r="C450" s="7"/>
      </tp>
      <tp t="s">
        <v>表示銘柄数超過</v>
        <stp/>
        <stp>Market</stp>
        <stp>STOCK</stp>
        <stp>43740.T</stp>
        <stp>現在値</stp>
        <tr r="C451" s="7"/>
      </tp>
      <tp t="s">
        <v>表示銘柄数超過</v>
        <stp/>
        <stp>Market</stp>
        <stp>STOCK</stp>
        <stp>43760.T</stp>
        <stp>現在値</stp>
        <tr r="C452" s="7"/>
      </tp>
      <tp t="s">
        <v>表示銘柄数超過</v>
        <stp/>
        <stp>Market</stp>
        <stp>STOCK</stp>
        <stp>43780.T</stp>
        <stp>現在値</stp>
        <tr r="C453" s="7"/>
      </tp>
      <tp t="s">
        <v>表示銘柄数超過</v>
        <stp/>
        <stp>Market</stp>
        <stp>STOCK</stp>
        <stp>43790.T</stp>
        <stp>現在値</stp>
        <tr r="C454" s="7"/>
      </tp>
      <tp t="s">
        <v>表示銘柄数超過</v>
        <stp/>
        <stp>Market</stp>
        <stp>STOCK</stp>
        <stp>40110.T</stp>
        <stp>現在値</stp>
        <tr r="C411" s="7"/>
      </tp>
      <tp t="s">
        <v>表示銘柄数超過</v>
        <stp/>
        <stp>Market</stp>
        <stp>STOCK</stp>
        <stp>40160.T</stp>
        <stp>現在値</stp>
        <tr r="C412" s="7"/>
      </tp>
      <tp t="s">
        <v>表示銘柄数超過</v>
        <stp/>
        <stp>Market</stp>
        <stp>STOCK</stp>
        <stp>40040.T</stp>
        <stp>現在値</stp>
        <tr r="C410" s="7"/>
      </tp>
      <tp t="s">
        <v>表示銘柄数超過</v>
        <stp/>
        <stp>Market</stp>
        <stp>STOCK</stp>
        <stp>40270.T</stp>
        <stp>現在値</stp>
        <tr r="C413" s="7"/>
      </tp>
      <tp t="s">
        <v>表示銘柄数超過</v>
        <stp/>
        <stp>Market</stp>
        <stp>STOCK</stp>
        <stp>40590.T</stp>
        <stp>現在値</stp>
        <tr r="C414" s="7"/>
      </tp>
      <tp t="s">
        <v>表示銘柄数超過</v>
        <stp/>
        <stp>Market</stp>
        <stp>STOCK</stp>
        <stp>40750.T</stp>
        <stp>現在値</stp>
        <tr r="C416" s="7"/>
      </tp>
      <tp t="s">
        <v>表示銘柄数超過</v>
        <stp/>
        <stp>Market</stp>
        <stp>STOCK</stp>
        <stp>40630.T</stp>
        <stp>現在値</stp>
        <tr r="C415" s="7"/>
      </tp>
      <tp t="s">
        <v>表示銘柄数超過</v>
        <stp/>
        <stp>Market</stp>
        <stp>STOCK</stp>
        <stp>41920.T</stp>
        <stp>現在値</stp>
        <tr r="C424" s="7"/>
      </tp>
      <tp t="s">
        <v>表示銘柄数超過</v>
        <stp/>
        <stp>Market</stp>
        <stp>STOCK</stp>
        <stp>41850.T</stp>
        <stp>現在値</stp>
        <tr r="C422" s="7"/>
      </tp>
      <tp t="s">
        <v>表示銘柄数超過</v>
        <stp/>
        <stp>Market</stp>
        <stp>STOCK</stp>
        <stp>41880.T</stp>
        <stp>現在値</stp>
        <tr r="C423" s="7"/>
      </tp>
      <tp t="s">
        <v>表示銘柄数超過</v>
        <stp/>
        <stp>Market</stp>
        <stp>STOCK</stp>
        <stp>41700.T</stp>
        <stp>現在値</stp>
        <tr r="C420" s="7"/>
      </tp>
      <tp t="s">
        <v>表示銘柄数超過</v>
        <stp/>
        <stp>Market</stp>
        <stp>STOCK</stp>
        <stp>41760.T</stp>
        <stp>現在値</stp>
        <tr r="C421" s="7"/>
      </tp>
      <tp t="s">
        <v>表示銘柄数超過</v>
        <stp/>
        <stp>Market</stp>
        <stp>STOCK</stp>
        <stp>41650.T</stp>
        <stp>現在値</stp>
        <tr r="C417" s="7"/>
      </tp>
      <tp t="s">
        <v>表示銘柄数超過</v>
        <stp/>
        <stp>Market</stp>
        <stp>STOCK</stp>
        <stp>41670.T</stp>
        <stp>現在値</stp>
        <tr r="C418" s="7"/>
      </tp>
      <tp t="s">
        <v>表示銘柄数超過</v>
        <stp/>
        <stp>Market</stp>
        <stp>STOCK</stp>
        <stp>41690.T</stp>
        <stp>現在値</stp>
        <tr r="C419" s="7"/>
      </tp>
      <tp t="s">
        <v>表示銘柄数超過</v>
        <stp/>
        <stp>Market</stp>
        <stp>STOCK</stp>
        <stp>48900.T</stp>
        <stp>現在値</stp>
        <tr r="C548" s="7"/>
      </tp>
      <tp t="s">
        <v>表示銘柄数超過</v>
        <stp/>
        <stp>Market</stp>
        <stp>STOCK</stp>
        <stp>48910.T</stp>
        <stp>現在値</stp>
        <tr r="C549" s="7"/>
      </tp>
      <tp t="s">
        <v>表示銘柄数超過</v>
        <stp/>
        <stp>Market</stp>
        <stp>STOCK</stp>
        <stp>48920.T</stp>
        <stp>現在値</stp>
        <tr r="C550" s="7"/>
      </tp>
      <tp t="s">
        <v>表示銘柄数超過</v>
        <stp/>
        <stp>Market</stp>
        <stp>STOCK</stp>
        <stp>48810.T</stp>
        <stp>現在値</stp>
        <tr r="C545" s="7"/>
      </tp>
      <tp t="s">
        <v>表示銘柄数超過</v>
        <stp/>
        <stp>Market</stp>
        <stp>STOCK</stp>
        <stp>48830.T</stp>
        <stp>現在値</stp>
        <tr r="C546" s="7"/>
      </tp>
      <tp t="s">
        <v>表示銘柄数超過</v>
        <stp/>
        <stp>Market</stp>
        <stp>STOCK</stp>
        <stp>48890.T</stp>
        <stp>現在値</stp>
        <tr r="C547" s="7"/>
      </tp>
      <tp t="s">
        <v>表示銘柄数超過</v>
        <stp/>
        <stp>Market</stp>
        <stp>STOCK</stp>
        <stp>48140.T</stp>
        <stp>現在値</stp>
        <tr r="C537" s="7"/>
      </tp>
      <tp t="s">
        <v>表示銘柄数超過</v>
        <stp/>
        <stp>Market</stp>
        <stp>STOCK</stp>
        <stp>48000.T</stp>
        <stp>現在値</stp>
        <tr r="C536" s="7"/>
      </tp>
      <tp t="s">
        <v>表示銘柄数超過</v>
        <stp/>
        <stp>Market</stp>
        <stp>STOCK</stp>
        <stp>48330.T</stp>
        <stp>現在値</stp>
        <tr r="C541" s="7"/>
      </tp>
      <tp t="s">
        <v>表示銘柄数超過</v>
        <stp/>
        <stp>Market</stp>
        <stp>STOCK</stp>
        <stp>48370.T</stp>
        <stp>現在値</stp>
        <tr r="C542" s="7"/>
      </tp>
      <tp t="s">
        <v>表示銘柄数超過</v>
        <stp/>
        <stp>Market</stp>
        <stp>STOCK</stp>
        <stp>48380.T</stp>
        <stp>現在値</stp>
        <tr r="C543" s="7"/>
      </tp>
      <tp t="s">
        <v>表示銘柄数超過</v>
        <stp/>
        <stp>Market</stp>
        <stp>STOCK</stp>
        <stp>48200.T</stp>
        <stp>現在値</stp>
        <tr r="C538" s="7"/>
      </tp>
      <tp t="s">
        <v>表示銘柄数超過</v>
        <stp/>
        <stp>Market</stp>
        <stp>STOCK</stp>
        <stp>48240.T</stp>
        <stp>現在値</stp>
        <tr r="C539" s="7"/>
      </tp>
      <tp t="s">
        <v>表示銘柄数超過</v>
        <stp/>
        <stp>Market</stp>
        <stp>STOCK</stp>
        <stp>48290.T</stp>
        <stp>現在値</stp>
        <tr r="C540" s="7"/>
      </tp>
      <tp t="s">
        <v>表示銘柄数超過</v>
        <stp/>
        <stp>Market</stp>
        <stp>STOCK</stp>
        <stp>48470.T</stp>
        <stp>現在値</stp>
        <tr r="C544" s="7"/>
      </tp>
      <tp>
        <v>683</v>
        <stp/>
        <stp>Market</stp>
        <stp>STOCK</stp>
        <stp>49970.T</stp>
        <stp>現在値</stp>
        <tr r="C557" s="7"/>
      </tp>
      <tp t="s">
        <v>表示銘柄数超過</v>
        <stp/>
        <stp>Market</stp>
        <stp>STOCK</stp>
        <stp>49120.T</stp>
        <stp>現在値</stp>
        <tr r="C552" s="7"/>
      </tp>
      <tp t="s">
        <v>表示銘柄数超過</v>
        <stp/>
        <stp>Market</stp>
        <stp>STOCK</stp>
        <stp>49020.T</stp>
        <stp>現在値</stp>
        <tr r="C551" s="7"/>
      </tp>
      <tp t="s">
        <v>表示銘柄数超過</v>
        <stp/>
        <stp>Market</stp>
        <stp>STOCK</stp>
        <stp>49200.T</stp>
        <stp>現在値</stp>
        <tr r="C553" s="7"/>
      </tp>
      <tp t="s">
        <v>表示銘柄数超過</v>
        <stp/>
        <stp>Market</stp>
        <stp>STOCK</stp>
        <stp>49780.T</stp>
        <stp>現在値</stp>
        <tr r="C556" s="7"/>
      </tp>
      <tp t="s">
        <v>表示銘柄数超過</v>
        <stp/>
        <stp>Market</stp>
        <stp>STOCK</stp>
        <stp>49600.T</stp>
        <stp>現在値</stp>
        <tr r="C554" s="7"/>
      </tp>
      <tp t="s">
        <v>表示銘柄数超過</v>
        <stp/>
        <stp>Market</stp>
        <stp>STOCK</stp>
        <stp>49630.T</stp>
        <stp>現在値</stp>
        <tr r="C555" s="7"/>
      </tp>
    </main>
    <main first="rtdsrv.662c26bade854d00aebc6010f8a2e03a">
      <tp t="s">
        <v>表示銘柄数超過</v>
        <stp/>
        <stp>Market</stp>
        <stp>STOCK</stp>
        <stp>34540.T</stp>
        <stp>決算発表日</stp>
        <tr r="X300" s="7"/>
      </tp>
      <tp t="s">
        <v>表示銘柄数超過</v>
        <stp/>
        <stp>Market</stp>
        <stp>STOCK</stp>
        <stp>31540.T</stp>
        <stp>決算発表日</stp>
        <tr r="X248" s="7"/>
      </tp>
      <tp t="s">
        <v>表示銘柄数超過</v>
        <stp/>
        <stp>Market</stp>
        <stp>STOCK</stp>
        <stp>23540.T</stp>
        <stp>決算発表日</stp>
        <tr r="X125" s="7"/>
      </tp>
      <tp t="s">
        <v>表示銘柄数超過</v>
        <stp/>
        <stp>Market</stp>
        <stp>STOCK</stp>
        <stp>21540.T</stp>
        <stp>決算発表日</stp>
        <tr r="X96" s="7"/>
      </tp>
      <tp t="s">
        <v>2024/02/13</v>
        <stp/>
        <stp>Market</stp>
        <stp>STOCK</stp>
        <stp>72540.T</stp>
        <stp>決算発表日</stp>
        <tr r="X861" s="7"/>
      </tp>
      <tp t="s">
        <v>2024/01/26</v>
        <stp/>
        <stp>Market</stp>
        <stp>STOCK</stp>
        <stp>69540.T</stp>
        <stp>決算発表日</stp>
        <tr r="X794" s="7"/>
      </tp>
      <tp t="s">
        <v>2024/01/30</v>
        <stp/>
        <stp>Market</stp>
        <stp>STOCK</stp>
        <stp>67540.T</stp>
        <stp>決算発表日</stp>
        <tr r="X766" s="7"/>
      </tp>
      <tp t="s">
        <v>2024/03/12</v>
        <stp/>
        <stp>Market</stp>
        <stp>STOCK</stp>
        <stp>66540.T</stp>
        <stp>決算発表日</stp>
        <tr r="X747" s="7"/>
      </tp>
      <tp t="s">
        <v>2024/02/14</v>
        <stp/>
        <stp>Market</stp>
        <stp>STOCK</stp>
        <stp>65540.T</stp>
        <stp>決算発表日</stp>
        <tr r="X725" s="7"/>
      </tp>
      <tp t="s">
        <v>2024/02/14</v>
        <stp/>
        <stp>Market</stp>
        <stp>STOCK</stp>
        <stp>60540.T</stp>
        <stp>決算発表日</stp>
        <tr r="X646" s="7"/>
      </tp>
      <tp t="s">
        <v>表示銘柄数超過</v>
        <stp/>
        <stp>Market</stp>
        <stp>STOCK</stp>
        <stp>45540.T</stp>
        <stp>決算発表日</stp>
        <tr r="X484" s="7"/>
      </tp>
      <tp t="s">
        <v>表示銘柄数超過</v>
        <stp/>
        <stp>Market</stp>
        <stp>STOCK</stp>
        <stp>98540.T</stp>
        <stp>決算発表日</stp>
        <tr r="X1174" s="7"/>
      </tp>
      <tp t="s">
        <v>表示銘柄数超過</v>
        <stp/>
        <stp>Market</stp>
        <stp>STOCK</stp>
        <stp>92540.T</stp>
        <stp>決算発表日</stp>
        <tr r="X1103" s="7"/>
      </tp>
      <tp t="s">
        <v>表示銘柄数超過</v>
        <stp/>
        <stp>Market</stp>
        <stp>STOCK</stp>
        <stp>36550.T</stp>
        <stp>決算発表日</stp>
        <tr r="X323" s="7"/>
      </tp>
      <tp t="s">
        <v>表示銘柄数超過</v>
        <stp/>
        <stp>Market</stp>
        <stp>STOCK</stp>
        <stp>33550.T</stp>
        <stp>決算発表日</stp>
        <tr r="X284" s="7"/>
      </tp>
      <tp t="s">
        <v>表示銘柄数超過</v>
        <stp/>
        <stp>Market</stp>
        <stp>STOCK</stp>
        <stp>20550.T</stp>
        <stp>決算発表日</stp>
        <tr r="X88" s="7"/>
      </tp>
      <tp t="s">
        <v>表示銘柄数超過</v>
        <stp/>
        <stp>Market</stp>
        <stp>STOCK</stp>
        <stp>16550.T</stp>
        <stp>決算発表日</stp>
        <tr r="X39" s="7"/>
      </tp>
      <tp t="s">
        <v>2024/02/06</v>
        <stp/>
        <stp>Market</stp>
        <stp>STOCK</stp>
        <stp>79550.T</stp>
        <stp>決算発表日</stp>
        <tr r="X959" s="7"/>
      </tp>
      <tp t="s">
        <v>2024/02/14</v>
        <stp/>
        <stp>Market</stp>
        <stp>STOCK</stp>
        <stp>74550.T</stp>
        <stp>決算発表日</stp>
        <tr r="X891" s="7"/>
      </tp>
      <tp t="s">
        <v>2024/01/30</v>
        <stp/>
        <stp>Market</stp>
        <stp>STOCK</stp>
        <stp>69550.T</stp>
        <stp>決算発表日</stp>
        <tr r="X795" s="7"/>
      </tp>
      <tp t="s">
        <v>2024/01/12</v>
        <stp/>
        <stp>Market</stp>
        <stp>STOCK</stp>
        <stp>65550.T</stp>
        <stp>決算発表日</stp>
        <tr r="X726" s="7"/>
      </tp>
      <tp t="s">
        <v>2024/01/11</v>
        <stp/>
        <stp>Market</stp>
        <stp>STOCK</stp>
        <stp>62550.T</stp>
        <stp>決算発表日</stp>
        <tr r="X682" s="7"/>
      </tp>
      <tp t="s">
        <v>2024/01/31</v>
        <stp/>
        <stp>Market</stp>
        <stp>STOCK</stp>
        <stp>59550.T</stp>
        <stp>決算発表日</stp>
        <tr r="X627" s="7"/>
      </tp>
      <tp t="s">
        <v>表示銘柄数超過</v>
        <stp/>
        <stp>Market</stp>
        <stp>STOCK</stp>
        <stp>47550.T</stp>
        <stp>決算発表日</stp>
        <tr r="X529" s="7"/>
      </tp>
      <tp t="s">
        <v>表示銘柄数超過</v>
        <stp/>
        <stp>Market</stp>
        <stp>STOCK</stp>
        <stp>43550.T</stp>
        <stp>決算発表日</stp>
        <tr r="X448" s="7"/>
      </tp>
      <tp t="s">
        <v>表示銘柄数超過</v>
        <stp/>
        <stp>Market</stp>
        <stp>STOCK</stp>
        <stp>38560.T</stp>
        <stp>決算発表日</stp>
        <tr r="X377" s="7"/>
      </tp>
      <tp t="s">
        <v>表示銘柄数超過</v>
        <stp/>
        <stp>Market</stp>
        <stp>STOCK</stp>
        <stp>36560.T</stp>
        <stp>決算発表日</stp>
        <tr r="X324" s="7"/>
      </tp>
      <tp t="s">
        <v>表示銘柄数超過</v>
        <stp/>
        <stp>Market</stp>
        <stp>STOCK</stp>
        <stp>28560.T</stp>
        <stp>決算発表日</stp>
        <tr r="X206" s="7"/>
      </tp>
      <tp t="s">
        <v>表示銘柄数超過</v>
        <stp/>
        <stp>Market</stp>
        <stp>STOCK</stp>
        <stp>26560.T</stp>
        <stp>決算発表日</stp>
        <tr r="X176" s="7"/>
      </tp>
      <tp t="s">
        <v>表示銘柄数超過</v>
        <stp/>
        <stp>Market</stp>
        <stp>STOCK</stp>
        <stp>16560.T</stp>
        <stp>決算発表日</stp>
        <tr r="X40" s="7"/>
      </tp>
      <tp t="s">
        <v>表示銘柄数超過</v>
        <stp/>
        <stp>Market</stp>
        <stp>STOCK</stp>
        <stp>13560.T</stp>
        <stp>決算発表日</stp>
        <tr r="X11" s="7"/>
      </tp>
      <tp t="s">
        <v>2024/03/11</v>
        <stp/>
        <stp>Market</stp>
        <stp>STOCK</stp>
        <stp>78560.T</stp>
        <stp>決算発表日</stp>
        <tr r="X947" s="7"/>
      </tp>
      <tp t="s">
        <v>2024/02/14</v>
        <stp/>
        <stp>Market</stp>
        <stp>STOCK</stp>
        <stp>72560.T</stp>
        <stp>決算発表日</stp>
        <tr r="X862" s="7"/>
      </tp>
      <tp t="s">
        <v>2024/02/13</v>
        <stp/>
        <stp>Market</stp>
        <stp>STOCK</stp>
        <stp>65560.T</stp>
        <stp>決算発表日</stp>
        <tr r="X727" s="7"/>
      </tp>
      <tp t="s">
        <v>2024/01/30</v>
        <stp/>
        <stp>Market</stp>
        <stp>STOCK</stp>
        <stp>63560.T</stp>
        <stp>決算発表日</stp>
        <tr r="X693" s="7"/>
      </tp>
      <tp t="s">
        <v>2024/02/14</v>
        <stp/>
        <stp>Market</stp>
        <stp>STOCK</stp>
        <stp>58560.T</stp>
        <stp>決算発表日</stp>
        <tr r="X617" s="7"/>
      </tp>
      <tp t="s">
        <v>表示銘柄数超過</v>
        <stp/>
        <stp>Market</stp>
        <stp>STOCK</stp>
        <stp>96560.T</stp>
        <stp>決算発表日</stp>
        <tr r="X1161" s="7"/>
      </tp>
      <tp t="s">
        <v/>
        <stp/>
        <stp>Market</stp>
        <stp>STOCK</stp>
        <stp>82560.T</stp>
        <stp>決算発表日</stp>
        <tr r="X1000" s="7"/>
      </tp>
      <tp t="s">
        <v>2024/02/01</v>
        <stp/>
        <stp>Market</stp>
        <stp>STOCK</stp>
        <stp>80560.T</stp>
        <stp>決算発表日</stp>
        <tr r="X971" s="7"/>
      </tp>
      <tp t="s">
        <v>表示銘柄数超過</v>
        <stp/>
        <stp>Market</stp>
        <stp>STOCK</stp>
        <stp>28570.T</stp>
        <stp>決算発表日</stp>
        <tr r="X207" s="7"/>
      </tp>
      <tp t="s">
        <v>表示銘柄数超過</v>
        <stp/>
        <stp>Market</stp>
        <stp>STOCK</stp>
        <stp>17570.T</stp>
        <stp>決算発表日</stp>
        <tr r="X54" s="7"/>
      </tp>
      <tp t="s">
        <v>-</v>
        <stp/>
        <stp>Market</stp>
        <stp>STOCK</stp>
        <stp>13570.T</stp>
        <stp>決算発表日</stp>
        <tr r="X12" s="7"/>
      </tp>
      <tp t="s">
        <v>2024/01/31</v>
        <stp/>
        <stp>Market</stp>
        <stp>STOCK</stp>
        <stp>68570.T</stp>
        <stp>決算発表日</stp>
        <tr r="X778" s="7"/>
      </tp>
      <tp t="s">
        <v>2024/02/01</v>
        <stp/>
        <stp>Market</stp>
        <stp>STOCK</stp>
        <stp>65570.T</stp>
        <stp>決算発表日</stp>
        <tr r="X728" s="7"/>
      </tp>
      <tp t="s">
        <v>2024/02/09</v>
        <stp/>
        <stp>Market</stp>
        <stp>STOCK</stp>
        <stp>53570.T</stp>
        <stp>決算発表日</stp>
        <tr r="X588" s="7"/>
      </tp>
      <tp t="s">
        <v>表示銘柄数超過</v>
        <stp/>
        <stp>Market</stp>
        <stp>STOCK</stp>
        <stp>46570.T</stp>
        <stp>決算発表日</stp>
        <tr r="X514" s="7"/>
      </tp>
      <tp t="s">
        <v>表示銘柄数超過</v>
        <stp/>
        <stp>Market</stp>
        <stp>STOCK</stp>
        <stp>95570.T</stp>
        <stp>決算発表日</stp>
        <tr r="X1156" s="7"/>
      </tp>
      <tp t="s">
        <v>表示銘柄数超過</v>
        <stp/>
        <stp>Market</stp>
        <stp>STOCK</stp>
        <stp>38500.T</stp>
        <stp>決算発表日</stp>
        <tr r="X373" s="7"/>
      </tp>
      <tp t="s">
        <v>表示銘柄数超過</v>
        <stp/>
        <stp>Market</stp>
        <stp>STOCK</stp>
        <stp>33500.T</stp>
        <stp>決算発表日</stp>
        <tr r="X283" s="7"/>
      </tp>
      <tp t="s">
        <v>表示銘柄数超過</v>
        <stp/>
        <stp>Market</stp>
        <stp>STOCK</stp>
        <stp>30500.T</stp>
        <stp>決算発表日</stp>
        <tr r="X232" s="7"/>
      </tp>
      <tp t="s">
        <v>表示銘柄数超過</v>
        <stp/>
        <stp>Market</stp>
        <stp>STOCK</stp>
        <stp>22500.T</stp>
        <stp>決算発表日</stp>
        <tr r="X109" s="7"/>
      </tp>
      <tp t="s">
        <v>表示銘柄数超過</v>
        <stp/>
        <stp>Market</stp>
        <stp>STOCK</stp>
        <stp>21500.T</stp>
        <stp>決算発表日</stp>
        <tr r="X94" s="7"/>
      </tp>
      <tp t="s">
        <v>表示銘柄数超過</v>
        <stp/>
        <stp>Market</stp>
        <stp>STOCK</stp>
        <stp>19500.T</stp>
        <stp>決算発表日</stp>
        <tr r="X81" s="7"/>
      </tp>
      <tp t="s">
        <v>2024/02/09</v>
        <stp/>
        <stp>Market</stp>
        <stp>STOCK</stp>
        <stp>73500.T</stp>
        <stp>決算発表日</stp>
        <tr r="X877" s="7"/>
      </tp>
      <tp t="s">
        <v>2024/01/31</v>
        <stp/>
        <stp>Market</stp>
        <stp>STOCK</stp>
        <stp>71500.T</stp>
        <stp>決算発表日</stp>
        <tr r="X831" s="7"/>
      </tp>
      <tp t="s">
        <v>2024/02/14</v>
        <stp/>
        <stp>Market</stp>
        <stp>STOCK</stp>
        <stp>67500.T</stp>
        <stp>決算発表日</stp>
        <tr r="X763" s="7"/>
      </tp>
      <tp t="s">
        <v>-</v>
        <stp/>
        <stp>Market</stp>
        <stp>STOCK</stp>
        <stp>65500.T</stp>
        <stp>決算発表日</stp>
        <tr r="X723" s="7"/>
      </tp>
      <tp t="s">
        <v>2024/02/14</v>
        <stp/>
        <stp>Market</stp>
        <stp>STOCK</stp>
        <stp>59500.T</stp>
        <stp>決算発表日</stp>
        <tr r="X625" s="7"/>
      </tp>
      <tp t="s">
        <v>表示銘柄数超過</v>
        <stp/>
        <stp>Market</stp>
        <stp>STOCK</stp>
        <stp>43500.T</stp>
        <stp>決算発表日</stp>
        <tr r="X447" s="7"/>
      </tp>
      <tp t="s">
        <v>表示銘柄数超過</v>
        <stp/>
        <stp>Market</stp>
        <stp>STOCK</stp>
        <stp>94500.T</stp>
        <stp>決算発表日</stp>
        <tr r="X1133" s="7"/>
      </tp>
      <tp t="s">
        <v>表示銘柄数超過</v>
        <stp/>
        <stp>Market</stp>
        <stp>STOCK</stp>
        <stp>87500.T</stp>
        <stp>決算発表日</stp>
        <tr r="X1044" s="7"/>
      </tp>
      <tp t="s">
        <v>2024/02/05</v>
        <stp/>
        <stp>Market</stp>
        <stp>STOCK</stp>
        <stp>81500.T</stp>
        <stp>決算発表日</stp>
        <tr r="X984" s="7"/>
      </tp>
      <tp t="s">
        <v>表示銘柄数超過</v>
        <stp/>
        <stp>Market</stp>
        <stp>STOCK</stp>
        <stp>38510.T</stp>
        <stp>決算発表日</stp>
        <tr r="X374" s="7"/>
      </tp>
      <tp t="s">
        <v>表示銘柄数超過</v>
        <stp/>
        <stp>Market</stp>
        <stp>STOCK</stp>
        <stp>35510.T</stp>
        <stp>決算発表日</stp>
        <tr r="X307" s="7"/>
      </tp>
      <tp t="s">
        <v>表示銘柄数超過</v>
        <stp/>
        <stp>Market</stp>
        <stp>STOCK</stp>
        <stp>28510.T</stp>
        <stp>決算発表日</stp>
        <tr r="X203" s="7"/>
      </tp>
      <tp t="s">
        <v>表示銘柄数超過</v>
        <stp/>
        <stp>Market</stp>
        <stp>STOCK</stp>
        <stp>26510.T</stp>
        <stp>決算発表日</stp>
        <tr r="X175" s="7"/>
      </tp>
      <tp t="s">
        <v>表示銘柄数超過</v>
        <stp/>
        <stp>Market</stp>
        <stp>STOCK</stp>
        <stp>23510.T</stp>
        <stp>決算発表日</stp>
        <tr r="X123" s="7"/>
      </tp>
      <tp t="s">
        <v>表示銘柄数超過</v>
        <stp/>
        <stp>Market</stp>
        <stp>STOCK</stp>
        <stp>15510.T</stp>
        <stp>決算発表日</stp>
        <tr r="X31" s="7"/>
      </tp>
      <tp t="s">
        <v>表示銘柄数超過</v>
        <stp/>
        <stp>Market</stp>
        <stp>STOCK</stp>
        <stp>14510.T</stp>
        <stp>決算発表日</stp>
        <tr r="X25" s="7"/>
      </tp>
      <tp t="s">
        <v>2024/02/13</v>
        <stp/>
        <stp>Market</stp>
        <stp>STOCK</stp>
        <stp>78510.T</stp>
        <stp>決算発表日</stp>
        <tr r="X946" s="7"/>
      </tp>
      <tp t="s">
        <v>2024/01/30</v>
        <stp/>
        <stp>Market</stp>
        <stp>STOCK</stp>
        <stp>77510.T</stp>
        <stp>決算発表日</stp>
        <tr r="X928" s="7"/>
      </tp>
      <tp t="s">
        <v>2024/01/12</v>
        <stp/>
        <stp>Market</stp>
        <stp>STOCK</stp>
        <stp>73510.T</stp>
        <stp>決算発表日</stp>
        <tr r="X878" s="7"/>
      </tp>
      <tp t="s">
        <v>表示銘柄数超過</v>
        <stp/>
        <stp>Market</stp>
        <stp>STOCK</stp>
        <stp>47510.T</stp>
        <stp>決算発表日</stp>
        <tr r="X528" s="7"/>
      </tp>
      <tp t="s">
        <v>表示銘柄数超過</v>
        <stp/>
        <stp>Market</stp>
        <stp>STOCK</stp>
        <stp>46510.T</stp>
        <stp>決算発表日</stp>
        <tr r="X513" s="7"/>
      </tp>
      <tp t="s">
        <v>表示銘柄数超過</v>
        <stp/>
        <stp>Market</stp>
        <stp>STOCK</stp>
        <stp>38520.T</stp>
        <stp>決算発表日</stp>
        <tr r="X375" s="7"/>
      </tp>
      <tp t="s">
        <v>表示銘柄数超過</v>
        <stp/>
        <stp>Market</stp>
        <stp>STOCK</stp>
        <stp>36520.T</stp>
        <stp>決算発表日</stp>
        <tr r="X322" s="7"/>
      </tp>
      <tp t="s">
        <v>表示銘柄数超過</v>
        <stp/>
        <stp>Market</stp>
        <stp>STOCK</stp>
        <stp>28520.T</stp>
        <stp>決算発表日</stp>
        <tr r="X204" s="7"/>
      </tp>
      <tp t="s">
        <v>表示銘柄数超過</v>
        <stp/>
        <stp>Market</stp>
        <stp>STOCK</stp>
        <stp>21520.T</stp>
        <stp>決算発表日</stp>
        <tr r="X95" s="7"/>
      </tp>
      <tp t="s">
        <v>表示銘柄数超過</v>
        <stp/>
        <stp>Market</stp>
        <stp>STOCK</stp>
        <stp>15520.T</stp>
        <stp>決算発表日</stp>
        <tr r="X32" s="7"/>
      </tp>
      <tp t="s">
        <v>2024/02/06</v>
        <stp/>
        <stp>Market</stp>
        <stp>STOCK</stp>
        <stp>77520.T</stp>
        <stp>決算発表日</stp>
        <tr r="X929" s="7"/>
      </tp>
      <tp t="s">
        <v>2024/02/07</v>
        <stp/>
        <stp>Market</stp>
        <stp>STOCK</stp>
        <stp>69520.T</stp>
        <stp>決算発表日</stp>
        <tr r="X793" s="7"/>
      </tp>
      <tp t="s">
        <v>2024/02/02</v>
        <stp/>
        <stp>Market</stp>
        <stp>STOCK</stp>
        <stp>67520.T</stp>
        <stp>決算発表日</stp>
        <tr r="X764" s="7"/>
      </tp>
      <tp t="s">
        <v>2024/01/10</v>
        <stp/>
        <stp>Market</stp>
        <stp>STOCK</stp>
        <stp>65520.T</stp>
        <stp>決算発表日</stp>
        <tr r="X724" s="7"/>
      </tp>
      <tp t="s">
        <v>2024/02/13</v>
        <stp/>
        <stp>Market</stp>
        <stp>STOCK</stp>
        <stp>59520.T</stp>
        <stp>決算発表日</stp>
        <tr r="X626" s="7"/>
      </tp>
      <tp t="s">
        <v>2024/02/08</v>
        <stp/>
        <stp>Market</stp>
        <stp>STOCK</stp>
        <stp>58520.T</stp>
        <stp>決算発表日</stp>
        <tr r="X616" s="7"/>
      </tp>
      <tp t="s">
        <v>表示銘柄数超過</v>
        <stp/>
        <stp>Market</stp>
        <stp>STOCK</stp>
        <stp>44520.T</stp>
        <stp>決算発表日</stp>
        <tr r="X469" s="7"/>
      </tp>
      <tp t="s">
        <v>2024/02/08</v>
        <stp/>
        <stp>Market</stp>
        <stp>STOCK</stp>
        <stp>82520.T</stp>
        <stp>決算発表日</stp>
        <tr r="X999" s="7"/>
      </tp>
      <tp t="s">
        <v>表示銘柄数超過</v>
        <stp/>
        <stp>Market</stp>
        <stp>STOCK</stp>
        <stp>38530.T</stp>
        <stp>決算発表日</stp>
        <tr r="X376" s="7"/>
      </tp>
      <tp t="s">
        <v>表示銘柄数超過</v>
        <stp/>
        <stp>Market</stp>
        <stp>STOCK</stp>
        <stp>35530.T</stp>
        <stp>決算発表日</stp>
        <tr r="X308" s="7"/>
      </tp>
      <tp t="s">
        <v>表示銘柄数超過</v>
        <stp/>
        <stp>Market</stp>
        <stp>STOCK</stp>
        <stp>30530.T</stp>
        <stp>決算発表日</stp>
        <tr r="X233" s="7"/>
      </tp>
      <tp t="s">
        <v>表示銘柄数超過</v>
        <stp/>
        <stp>Market</stp>
        <stp>STOCK</stp>
        <stp>28530.T</stp>
        <stp>決算発表日</stp>
        <tr r="X205" s="7"/>
      </tp>
      <tp t="s">
        <v>表示銘柄数超過</v>
        <stp/>
        <stp>Market</stp>
        <stp>STOCK</stp>
        <stp>24530.T</stp>
        <stp>決算発表日</stp>
        <tr r="X146" s="7"/>
      </tp>
      <tp t="s">
        <v>表示銘柄数超過</v>
        <stp/>
        <stp>Market</stp>
        <stp>STOCK</stp>
        <stp>23530.T</stp>
        <stp>決算発表日</stp>
        <tr r="X124" s="7"/>
      </tp>
      <tp t="s">
        <v>表示銘柄数超過</v>
        <stp/>
        <stp>Market</stp>
        <stp>STOCK</stp>
        <stp>22530.T</stp>
        <stp>決算発表日</stp>
        <tr r="X110" s="7"/>
      </tp>
      <tp t="s">
        <v>2024/02/09</v>
        <stp/>
        <stp>Market</stp>
        <stp>STOCK</stp>
        <stp>79530.T</stp>
        <stp>決算発表日</stp>
        <tr r="X958" s="7"/>
      </tp>
      <tp t="s">
        <v>2024/01/12</v>
        <stp/>
        <stp>Market</stp>
        <stp>STOCK</stp>
        <stp>74530.T</stp>
        <stp>決算発表日</stp>
        <tr r="X890" s="7"/>
      </tp>
      <tp t="s">
        <v>-</v>
        <stp/>
        <stp>Market</stp>
        <stp>STOCK</stp>
        <stp>73530.T</stp>
        <stp>決算発表日</stp>
        <tr r="X879" s="7"/>
      </tp>
      <tp t="s">
        <v>2024/02/06</v>
        <stp/>
        <stp>Market</stp>
        <stp>STOCK</stp>
        <stp>67530.T</stp>
        <stp>決算発表日</stp>
        <tr r="X765" s="7"/>
      </tp>
      <tp t="s">
        <v>2024/02/08</v>
        <stp/>
        <stp>Market</stp>
        <stp>STOCK</stp>
        <stp>52530.T</stp>
        <stp>決算発表日</stp>
        <tr r="X580" s="7"/>
      </tp>
      <tp t="s">
        <v>表示銘柄数超過</v>
        <stp/>
        <stp>Market</stp>
        <stp>STOCK</stp>
        <stp>98530.T</stp>
        <stp>決算発表日</stp>
        <tr r="X1173" s="7"/>
      </tp>
      <tp t="s">
        <v>表示銘柄数超過</v>
        <stp/>
        <stp>Market</stp>
        <stp>STOCK</stp>
        <stp>95530.T</stp>
        <stp>決算発表日</stp>
        <tr r="X1155" s="7"/>
      </tp>
      <tp t="s">
        <v>2024/02/09</v>
        <stp/>
        <stp>Market</stp>
        <stp>STOCK</stp>
        <stp>81530.T</stp>
        <stp>決算発表日</stp>
        <tr r="X985" s="7"/>
      </tp>
      <tp t="s">
        <v>2024/02/05</v>
        <stp/>
        <stp>Market</stp>
        <stp>STOCK</stp>
        <stp>80530.T</stp>
        <stp>決算発表日</stp>
        <tr r="X970" s="7"/>
      </tp>
      <tp t="s">
        <v>表示銘柄数超過</v>
        <stp/>
        <stp>Market</stp>
        <stp>STOCK</stp>
        <stp>38580.T</stp>
        <stp>決算発表日</stp>
        <tr r="X378" s="7"/>
      </tp>
      <tp t="s">
        <v>表示銘柄数超過</v>
        <stp/>
        <stp>Market</stp>
        <stp>STOCK</stp>
        <stp>37580.T</stp>
        <stp>決算発表日</stp>
        <tr r="X351" s="7"/>
      </tp>
      <tp t="s">
        <v>表示銘柄数超過</v>
        <stp/>
        <stp>Market</stp>
        <stp>STOCK</stp>
        <stp>33580.T</stp>
        <stp>決算発表日</stp>
        <tr r="X285" s="7"/>
      </tp>
      <tp t="s">
        <v>表示銘柄数超過</v>
        <stp/>
        <stp>Market</stp>
        <stp>STOCK</stp>
        <stp>28580.T</stp>
        <stp>決算発表日</stp>
        <tr r="X208" s="7"/>
      </tp>
      <tp t="s">
        <v>表示銘柄数超過</v>
        <stp/>
        <stp>Market</stp>
        <stp>STOCK</stp>
        <stp>21580.T</stp>
        <stp>決算発表日</stp>
        <tr r="X97" s="7"/>
      </tp>
      <tp t="s">
        <v>2024/02/07</v>
        <stp/>
        <stp>Market</stp>
        <stp>STOCK</stp>
        <stp>69580.T</stp>
        <stp>決算発表日</stp>
        <tr r="X796" s="7"/>
      </tp>
      <tp t="s">
        <v>2024/02/14</v>
        <stp/>
        <stp>Market</stp>
        <stp>STOCK</stp>
        <stp>67580.T</stp>
        <stp>決算発表日</stp>
        <tr r="X767" s="7"/>
      </tp>
      <tp t="s">
        <v>2024/02/13</v>
        <stp/>
        <stp>Market</stp>
        <stp>STOCK</stp>
        <stp>66580.T</stp>
        <stp>決算発表日</stp>
        <tr r="X748" s="7"/>
      </tp>
      <tp t="s">
        <v>2024/01/31</v>
        <stp/>
        <stp>Market</stp>
        <stp>STOCK</stp>
        <stp>56580.T</stp>
        <stp>決算発表日</stp>
        <tr r="X603" s="7"/>
      </tp>
      <tp t="s">
        <v>表示銘柄数超過</v>
        <stp/>
        <stp>Market</stp>
        <stp>STOCK</stp>
        <stp>45580.T</stp>
        <stp>決算発表日</stp>
        <tr r="X485" s="7"/>
      </tp>
      <tp t="s">
        <v>表示銘柄数超過</v>
        <stp/>
        <stp>Market</stp>
        <stp>STOCK</stp>
        <stp>42580.T</stp>
        <stp>決算発表日</stp>
        <tr r="X431" s="7"/>
      </tp>
      <tp t="s">
        <v>2024/02/09</v>
        <stp/>
        <stp>Market</stp>
        <stp>STOCK</stp>
        <stp>83580.T</stp>
        <stp>決算発表日</stp>
        <tr r="X1006" s="7"/>
      </tp>
      <tp t="s">
        <v>2024/02/06</v>
        <stp/>
        <stp>Market</stp>
        <stp>STOCK</stp>
        <stp>80580.T</stp>
        <stp>決算発表日</stp>
        <tr r="X972" s="7"/>
      </tp>
      <tp t="s">
        <v>表示銘柄数超過</v>
        <stp/>
        <stp>Market</stp>
        <stp>STOCK</stp>
        <stp>33590.T</stp>
        <stp>決算発表日</stp>
        <tr r="X286" s="7"/>
      </tp>
      <tp t="s">
        <v>表示銘柄数超過</v>
        <stp/>
        <stp>Market</stp>
        <stp>STOCK</stp>
        <stp>31590.T</stp>
        <stp>決算発表日</stp>
        <tr r="X249" s="7"/>
      </tp>
      <tp t="s">
        <v>表示銘柄数超過</v>
        <stp/>
        <stp>Market</stp>
        <stp>STOCK</stp>
        <stp>14590.T</stp>
        <stp>決算発表日</stp>
        <tr r="X26" s="7"/>
      </tp>
      <tp t="s">
        <v>2024/02/02</v>
        <stp/>
        <stp>Market</stp>
        <stp>STOCK</stp>
        <stp>78590.T</stp>
        <stp>決算発表日</stp>
        <tr r="X948" s="7"/>
      </tp>
      <tp t="s">
        <v>2024/02/05</v>
        <stp/>
        <stp>Market</stp>
        <stp>STOCK</stp>
        <stp>74590.T</stp>
        <stp>決算発表日</stp>
        <tr r="X892" s="7"/>
      </tp>
      <tp t="s">
        <v>2024/02/14</v>
        <stp/>
        <stp>Market</stp>
        <stp>STOCK</stp>
        <stp>73590.T</stp>
        <stp>決算発表日</stp>
        <tr r="X880" s="7"/>
      </tp>
      <tp t="s">
        <v>2024/02/14</v>
        <stp/>
        <stp>Market</stp>
        <stp>STOCK</stp>
        <stp>70590.T</stp>
        <stp>決算発表日</stp>
        <tr r="X818" s="7"/>
      </tp>
      <tp t="s">
        <v>2024/01/25</v>
        <stp/>
        <stp>Market</stp>
        <stp>STOCK</stp>
        <stp>66590.T</stp>
        <stp>決算発表日</stp>
        <tr r="X749" s="7"/>
      </tp>
      <tp t="s">
        <v>2024/02/09</v>
        <stp/>
        <stp>Market</stp>
        <stp>STOCK</stp>
        <stp>60590.T</stp>
        <stp>決算発表日</stp>
        <tr r="X647" s="7"/>
      </tp>
      <tp t="s">
        <v>2024/02/09</v>
        <stp/>
        <stp>Market</stp>
        <stp>STOCK</stp>
        <stp>57590.T</stp>
        <stp>決算発表日</stp>
        <tr r="X610" s="7"/>
      </tp>
      <tp t="s">
        <v>表示銘柄数超過</v>
        <stp/>
        <stp>Market</stp>
        <stp>STOCK</stp>
        <stp>42590.T</stp>
        <stp>決算発表日</stp>
        <tr r="X432" s="7"/>
      </tp>
      <tp t="s">
        <v>表示銘柄数超過</v>
        <stp/>
        <stp>Market</stp>
        <stp>STOCK</stp>
        <stp>40590.T</stp>
        <stp>決算発表日</stp>
        <tr r="X414" s="7"/>
      </tp>
      <tp t="s">
        <v>表示銘柄数超過</v>
        <stp/>
        <stp>Market</stp>
        <stp>STOCK</stp>
        <stp>90590.T</stp>
        <stp>決算発表日</stp>
        <tr r="X1089" s="7"/>
      </tp>
      <tp t="s">
        <v>表示銘柄数超過</v>
        <stp/>
        <stp>Market</stp>
        <stp>STOCK</stp>
        <stp>45830.T</stp>
        <stp>年初来高値</stp>
        <tr r="Y498" s="7"/>
      </tp>
      <tp t="s">
        <v>表示銘柄数超過</v>
        <stp/>
        <stp>Market</stp>
        <stp>STOCK</stp>
        <stp>48830.T</stp>
        <stp>年初来高値</stp>
        <tr r="Y546" s="7"/>
      </tp>
      <tp>
        <v>339</v>
        <stp/>
        <stp>Market</stp>
        <stp>STOCK</stp>
        <stp>71830.T</stp>
        <stp>年初来高値</stp>
        <tr r="Y840" s="7"/>
      </tp>
      <tp>
        <v>1457</v>
        <stp/>
        <stp>Market</stp>
        <stp>STOCK</stp>
        <stp>72830.T</stp>
        <stp>年初来高値</stp>
        <tr r="Y870" s="7"/>
      </tp>
      <tp>
        <v>630</v>
        <stp/>
        <stp>Market</stp>
        <stp>STOCK</stp>
        <stp>73830.T</stp>
        <stp>年初来高値</stp>
        <tr r="Y884" s="7"/>
      </tp>
      <tp>
        <v>3116</v>
        <stp/>
        <stp>Market</stp>
        <stp>STOCK</stp>
        <stp>63830.T</stp>
        <stp>年初来高値</stp>
        <tr r="Y697" s="7"/>
      </tp>
      <tp t="s">
        <v>表示銘柄数超過</v>
        <stp/>
        <stp>Market</stp>
        <stp>STOCK</stp>
        <stp>17830.T</stp>
        <stp>年初来高値</stp>
        <tr r="Y56" s="7"/>
      </tp>
      <tp t="s">
        <v>表示銘柄数超過</v>
        <stp/>
        <stp>Market</stp>
        <stp>STOCK</stp>
        <stp>36830.T</stp>
        <stp>年初来高値</stp>
        <tr r="Y339" s="7"/>
      </tp>
      <tp t="s">
        <v>表示銘柄数超過</v>
        <stp/>
        <stp>Market</stp>
        <stp>STOCK</stp>
        <stp>30830.T</stp>
        <stp>年初来高値</stp>
        <tr r="Y238" s="7"/>
      </tp>
      <tp t="s">
        <v>表示銘柄数超過</v>
        <stp/>
        <stp>Market</stp>
        <stp>STOCK</stp>
        <stp>24830.T</stp>
        <stp>年初来高値</stp>
        <tr r="Y151" s="7"/>
      </tp>
      <tp t="s">
        <v>表示銘柄数超過</v>
        <stp/>
        <stp>Market</stp>
        <stp>STOCK</stp>
        <stp>97830.T</stp>
        <stp>年初来高値</stp>
        <tr r="Y1167" s="7"/>
      </tp>
      <tp t="s">
        <v>表示銘柄数超過</v>
        <stp/>
        <stp>Market</stp>
        <stp>STOCK</stp>
        <stp>87830.T</stp>
        <stp>年初来高値</stp>
        <tr r="Y1047" s="7"/>
      </tp>
      <tp>
        <v>1474</v>
        <stp/>
        <stp>Market</stp>
        <stp>STOCK</stp>
        <stp>83830.T</stp>
        <stp>年初来高値</stp>
        <tr r="Y1008" s="7"/>
      </tp>
      <tp t="s">
        <v>表示銘柄数超過</v>
        <stp/>
        <stp>Market</stp>
        <stp>STOCK</stp>
        <stp>45820.T</stp>
        <stp>年初来高値</stp>
        <tr r="Y497" s="7"/>
      </tp>
      <tp t="s">
        <v>表示銘柄数超過</v>
        <stp/>
        <stp>Market</stp>
        <stp>STOCK</stp>
        <stp>43820.T</stp>
        <stp>年初来高値</stp>
        <tr r="Y455" s="7"/>
      </tp>
      <tp>
        <v>1562</v>
        <stp/>
        <stp>Market</stp>
        <stp>STOCK</stp>
        <stp>71820.T</stp>
        <stp>年初来高値</stp>
        <tr r="Y839" s="7"/>
      </tp>
      <tp>
        <v>2279</v>
        <stp/>
        <stp>Market</stp>
        <stp>STOCK</stp>
        <stp>61820.T</stp>
        <stp>年初来高値</stp>
        <tr r="Y668" s="7"/>
      </tp>
      <tp>
        <v>975</v>
        <stp/>
        <stp>Market</stp>
        <stp>STOCK</stp>
        <stp>69820.T</stp>
        <stp>年初来高値</stp>
        <tr r="Y799" s="7"/>
      </tp>
      <tp t="s">
        <v>表示銘柄数超過</v>
        <stp/>
        <stp>Market</stp>
        <stp>STOCK</stp>
        <stp>16820.T</stp>
        <stp>年初来高値</stp>
        <tr r="Y43" s="7"/>
      </tp>
      <tp t="s">
        <v>表示銘柄数超過</v>
        <stp/>
        <stp>Market</stp>
        <stp>STOCK</stp>
        <stp>36820.T</stp>
        <stp>年初来高値</stp>
        <tr r="Y338" s="7"/>
      </tp>
      <tp t="s">
        <v>表示銘柄数超過</v>
        <stp/>
        <stp>Market</stp>
        <stp>STOCK</stp>
        <stp>31820.T</stp>
        <stp>年初来高値</stp>
        <tr r="Y251" s="7"/>
      </tp>
      <tp t="s">
        <v>表示銘柄数超過</v>
        <stp/>
        <stp>Market</stp>
        <stp>STOCK</stp>
        <stp>33820.T</stp>
        <stp>年初来高値</stp>
        <tr r="Y290" s="7"/>
      </tp>
      <tp t="s">
        <v>表示銘柄数超過</v>
        <stp/>
        <stp>Market</stp>
        <stp>STOCK</stp>
        <stp>27820.T</stp>
        <stp>年初来高値</stp>
        <tr r="Y199" s="7"/>
      </tp>
      <tp t="s">
        <v>表示銘柄数超過</v>
        <stp/>
        <stp>Market</stp>
        <stp>STOCK</stp>
        <stp>29820.T</stp>
        <stp>年初来高値</stp>
        <tr r="Y217" s="7"/>
      </tp>
      <tp t="s">
        <v>表示銘柄数超過</v>
        <stp/>
        <stp>Market</stp>
        <stp>STOCK</stp>
        <stp>97820.T</stp>
        <stp>年初来高値</stp>
        <tr r="Y1166" s="7"/>
      </tp>
      <tp t="s">
        <v>表示銘柄数超過</v>
        <stp/>
        <stp>Market</stp>
        <stp>STOCK</stp>
        <stp>99820.T</stp>
        <stp>年初来高値</stp>
        <tr r="Y1188" s="7"/>
      </tp>
      <tp>
        <v>771</v>
        <stp/>
        <stp>Market</stp>
        <stp>STOCK</stp>
        <stp>53810.T</stp>
        <stp>年初来高値</stp>
        <tr r="Y589" s="7"/>
      </tp>
      <tp>
        <v>1460</v>
        <stp/>
        <stp>Market</stp>
        <stp>STOCK</stp>
        <stp>59810.T</stp>
        <stp>年初来高値</stp>
        <tr r="Y631" s="7"/>
      </tp>
      <tp t="s">
        <v>表示銘柄数超過</v>
        <stp/>
        <stp>Market</stp>
        <stp>STOCK</stp>
        <stp>48810.T</stp>
        <stp>年初来高値</stp>
        <tr r="Y545" s="7"/>
      </tp>
      <tp>
        <v>2151</v>
        <stp/>
        <stp>Market</stp>
        <stp>STOCK</stp>
        <stp>74810.T</stp>
        <stp>年初来高値</stp>
        <tr r="Y893" s="7"/>
      </tp>
      <tp>
        <v>1460</v>
        <stp/>
        <stp>Market</stp>
        <stp>STOCK</stp>
        <stp>60810.T</stp>
        <stp>年初来高値</stp>
        <tr r="Y649" s="7"/>
      </tp>
      <tp>
        <v>171</v>
        <stp/>
        <stp>Market</stp>
        <stp>STOCK</stp>
        <stp>61810.T</stp>
        <stp>年初来高値</stp>
        <tr r="Y667" s="7"/>
      </tp>
      <tp>
        <v>1328</v>
        <stp/>
        <stp>Market</stp>
        <stp>STOCK</stp>
        <stp>63810.T</stp>
        <stp>年初来高値</stp>
        <tr r="Y696" s="7"/>
      </tp>
      <tp>
        <v>3141</v>
        <stp/>
        <stp>Market</stp>
        <stp>STOCK</stp>
        <stp>69810.T</stp>
        <stp>年初来高値</stp>
        <tr r="Y798" s="7"/>
      </tp>
      <tp t="s">
        <v>表示銘柄数超過</v>
        <stp/>
        <stp>Market</stp>
        <stp>STOCK</stp>
        <stp>36810.T</stp>
        <stp>年初来高値</stp>
        <tr r="Y337" s="7"/>
      </tp>
      <tp t="s">
        <v>表示銘柄数超過</v>
        <stp/>
        <stp>Market</stp>
        <stp>STOCK</stp>
        <stp>26810.T</stp>
        <stp>年初来高値</stp>
        <tr r="Y180" s="7"/>
      </tp>
      <tp>
        <v>1629</v>
        <stp/>
        <stp>Market</stp>
        <stp>STOCK</stp>
        <stp>80810.T</stp>
        <stp>年初来高値</stp>
        <tr r="Y974" s="7"/>
      </tp>
      <tp t="s">
        <v>表示銘柄数超過</v>
        <stp/>
        <stp>Market</stp>
        <stp>STOCK</stp>
        <stp>88810.T</stp>
        <stp>年初来高値</stp>
        <tr r="Y1057" s="7"/>
      </tp>
      <tp t="s">
        <v>表示銘柄数超過</v>
        <stp/>
        <stp>Market</stp>
        <stp>STOCK</stp>
        <stp>46800.T</stp>
        <stp>年初来高値</stp>
        <tr r="Y519" s="7"/>
      </tp>
      <tp>
        <v>1014.5</v>
        <stp/>
        <stp>Market</stp>
        <stp>STOCK</stp>
        <stp>71800.T</stp>
        <stp>年初来高値</stp>
        <tr r="Y838" s="7"/>
      </tp>
      <tp>
        <v>1125</v>
        <stp/>
        <stp>Market</stp>
        <stp>STOCK</stp>
        <stp>72800.T</stp>
        <stp>年初来高値</stp>
        <tr r="Y869" s="7"/>
      </tp>
      <tp>
        <v>648</v>
        <stp/>
        <stp>Market</stp>
        <stp>STOCK</stp>
        <stp>64800.T</stp>
        <stp>年初来高値</stp>
        <tr r="Y707" s="7"/>
      </tp>
      <tp>
        <v>1437</v>
        <stp/>
        <stp>Market</stp>
        <stp>STOCK</stp>
        <stp>65800.T</stp>
        <stp>年初来高値</stp>
        <tr r="Y732" s="7"/>
      </tp>
      <tp t="s">
        <v>表示銘柄数超過</v>
        <stp/>
        <stp>Market</stp>
        <stp>STOCK</stp>
        <stp>35800.T</stp>
        <stp>年初来高値</stp>
        <tr r="Y310" s="7"/>
      </tp>
      <tp t="s">
        <v>表示銘柄数超過</v>
        <stp/>
        <stp>Market</stp>
        <stp>STOCK</stp>
        <stp>36800.T</stp>
        <stp>年初来高値</stp>
        <tr r="Y336" s="7"/>
      </tp>
      <tp t="s">
        <v>表示銘柄数超過</v>
        <stp/>
        <stp>Market</stp>
        <stp>STOCK</stp>
        <stp>38800.T</stp>
        <stp>年初来高値</stp>
        <tr r="Y383" s="7"/>
      </tp>
      <tp t="s">
        <v>表示銘柄数超過</v>
        <stp/>
        <stp>Market</stp>
        <stp>STOCK</stp>
        <stp>93800.T</stp>
        <stp>年初来高値</stp>
        <tr r="Y1112" s="7"/>
      </tp>
      <tp t="s">
        <v>表示銘柄数超過</v>
        <stp/>
        <stp>Market</stp>
        <stp>STOCK</stp>
        <stp>99800.T</stp>
        <stp>年初来高値</stp>
        <tr r="Y1187" s="7"/>
      </tp>
      <tp>
        <v>711</v>
        <stp/>
        <stp>Market</stp>
        <stp>STOCK</stp>
        <stp>52870.T</stp>
        <stp>年初来高値</stp>
        <tr r="Y585" s="7"/>
      </tp>
      <tp t="s">
        <v>表示銘柄数超過</v>
        <stp/>
        <stp>Market</stp>
        <stp>STOCK</stp>
        <stp>44870.T</stp>
        <stp>年初来高値</stp>
        <tr r="Y476" s="7"/>
      </tp>
      <tp t="s">
        <v>表示銘柄数超過</v>
        <stp/>
        <stp>Market</stp>
        <stp>STOCK</stp>
        <stp>42870.T</stp>
        <stp>年初来高値</stp>
        <tr r="Y438" s="7"/>
      </tp>
      <tp t="s">
        <v>表示銘柄数超過</v>
        <stp/>
        <stp>Market</stp>
        <stp>STOCK</stp>
        <stp>18870.T</stp>
        <stp>年初来高値</stp>
        <tr r="Y69" s="7"/>
      </tp>
      <tp t="s">
        <v>表示銘柄数超過</v>
        <stp/>
        <stp>Market</stp>
        <stp>STOCK</stp>
        <stp>31870.T</stp>
        <stp>年初来高値</stp>
        <tr r="Y254" s="7"/>
      </tp>
      <tp t="s">
        <v>表示銘柄数超過</v>
        <stp/>
        <stp>Market</stp>
        <stp>STOCK</stp>
        <stp>39870.T</stp>
        <stp>年初来高値</stp>
        <tr r="Y403" s="7"/>
      </tp>
      <tp t="s">
        <v>表示銘柄数超過</v>
        <stp/>
        <stp>Market</stp>
        <stp>STOCK</stp>
        <stp>25870.T</stp>
        <stp>年初来高値</stp>
        <tr r="Y166" s="7"/>
      </tp>
      <tp t="s">
        <v>表示銘柄数超過</v>
        <stp/>
        <stp>Market</stp>
        <stp>STOCK</stp>
        <stp>29870.T</stp>
        <stp>年初来高値</stp>
        <tr r="Y218" s="7"/>
      </tp>
      <tp t="s">
        <v>表示銘柄数超過</v>
        <stp/>
        <stp>Market</stp>
        <stp>STOCK</stp>
        <stp>97870.T</stp>
        <stp>年初来高値</stp>
        <tr r="Y1168" s="7"/>
      </tp>
      <tp>
        <v>1114</v>
        <stp/>
        <stp>Market</stp>
        <stp>STOCK</stp>
        <stp>83870.T</stp>
        <stp>年初来高値</stp>
        <tr r="Y1009" s="7"/>
      </tp>
      <tp t="s">
        <v>表示銘柄数超過</v>
        <stp/>
        <stp>Market</stp>
        <stp>STOCK</stp>
        <stp>88870.T</stp>
        <stp>年初来高値</stp>
        <tr r="Y1058" s="7"/>
      </tp>
      <tp>
        <v>1545</v>
        <stp/>
        <stp>Market</stp>
        <stp>STOCK</stp>
        <stp>55860.T</stp>
        <stp>年初来高値</stp>
        <tr r="Y600" s="7"/>
      </tp>
      <tp>
        <v>388</v>
        <stp/>
        <stp>Market</stp>
        <stp>STOCK</stp>
        <stp>59860.T</stp>
        <stp>年初来高値</stp>
        <tr r="Y632" s="7"/>
      </tp>
      <tp t="s">
        <v>表示銘柄数超過</v>
        <stp/>
        <stp>Market</stp>
        <stp>STOCK</stp>
        <stp>45860.T</stp>
        <stp>年初来高値</stp>
        <tr r="Y500" s="7"/>
      </tp>
      <tp t="s">
        <v>表示銘柄数超過</v>
        <stp/>
        <stp>Market</stp>
        <stp>STOCK</stp>
        <stp>42860.T</stp>
        <stp>年初来高値</stp>
        <tr r="Y437" s="7"/>
      </tp>
      <tp>
        <v>739.3</v>
        <stp/>
        <stp>Market</stp>
        <stp>STOCK</stp>
        <stp>71860.T</stp>
        <stp>年初来高値</stp>
        <tr r="Y842" s="7"/>
      </tp>
      <tp>
        <v>650</v>
        <stp/>
        <stp>Market</stp>
        <stp>STOCK</stp>
        <stp>61860.T</stp>
        <stp>年初来高値</stp>
        <tr r="Y671" s="7"/>
      </tp>
      <tp>
        <v>949</v>
        <stp/>
        <stp>Market</stp>
        <stp>STOCK</stp>
        <stp>62860.T</stp>
        <stp>年初来高値</stp>
        <tr r="Y683" s="7"/>
      </tp>
      <tp>
        <v>593</v>
        <stp/>
        <stp>Market</stp>
        <stp>STOCK</stp>
        <stp>69860.T</stp>
        <stp>年初来高値</stp>
        <tr r="Y800" s="7"/>
      </tp>
      <tp t="s">
        <v>表示銘柄数超過</v>
        <stp/>
        <stp>Market</stp>
        <stp>STOCK</stp>
        <stp>36860.T</stp>
        <stp>年初来高値</stp>
        <tr r="Y340" s="7"/>
      </tp>
      <tp t="s">
        <v>表示銘柄数超過</v>
        <stp/>
        <stp>Market</stp>
        <stp>STOCK</stp>
        <stp>30860.T</stp>
        <stp>年初来高値</stp>
        <tr r="Y239" s="7"/>
      </tp>
      <tp t="s">
        <v>表示銘柄数超過</v>
        <stp/>
        <stp>Market</stp>
        <stp>STOCK</stp>
        <stp>31860.T</stp>
        <stp>年初来高値</stp>
        <tr r="Y253" s="7"/>
      </tp>
      <tp t="s">
        <v>表示銘柄数超過</v>
        <stp/>
        <stp>Market</stp>
        <stp>STOCK</stp>
        <stp>32860.T</stp>
        <stp>年初来高値</stp>
        <tr r="Y270" s="7"/>
      </tp>
      <tp t="s">
        <v>表示銘柄数超過</v>
        <stp/>
        <stp>Market</stp>
        <stp>STOCK</stp>
        <stp>33860.T</stp>
        <stp>年初来高値</stp>
        <tr r="Y291" s="7"/>
      </tp>
      <tp t="s">
        <v>表示銘柄数超過</v>
        <stp/>
        <stp>Market</stp>
        <stp>STOCK</stp>
        <stp>25860.T</stp>
        <stp>年初来高値</stp>
        <tr r="Y165" s="7"/>
      </tp>
      <tp t="s">
        <v>表示銘柄数超過</v>
        <stp/>
        <stp>Market</stp>
        <stp>STOCK</stp>
        <stp>26860.T</stp>
        <stp>年初来高値</stp>
        <tr r="Y182" s="7"/>
      </tp>
      <tp>
        <v>1296</v>
        <stp/>
        <stp>Market</stp>
        <stp>STOCK</stp>
        <stp>52850.T</stp>
        <stp>年初来高値</stp>
        <tr r="Y584" s="7"/>
      </tp>
      <tp t="s">
        <v>表示銘柄数超過</v>
        <stp/>
        <stp>Market</stp>
        <stp>STOCK</stp>
        <stp>41850.T</stp>
        <stp>年初来高値</stp>
        <tr r="Y422" s="7"/>
      </tp>
      <tp t="s">
        <v>表示銘柄数超過</v>
        <stp/>
        <stp>Market</stp>
        <stp>STOCK</stp>
        <stp>43850.T</stp>
        <stp>年初来高値</stp>
        <tr r="Y456" s="7"/>
      </tp>
      <tp>
        <v>919</v>
        <stp/>
        <stp>Market</stp>
        <stp>STOCK</stp>
        <stp>75850.T</stp>
        <stp>年初来高値</stp>
        <tr r="Y906" s="7"/>
      </tp>
      <tp>
        <v>500</v>
        <stp/>
        <stp>Market</stp>
        <stp>STOCK</stp>
        <stp>61850.T</stp>
        <stp>年初来高値</stp>
        <tr r="Y670" s="7"/>
      </tp>
      <tp t="s">
        <v>表示銘柄数超過</v>
        <stp/>
        <stp>Market</stp>
        <stp>STOCK</stp>
        <stp>31850.T</stp>
        <stp>年初来高値</stp>
        <tr r="Y252" s="7"/>
      </tp>
      <tp t="s">
        <v>表示銘柄数超過</v>
        <stp/>
        <stp>Market</stp>
        <stp>STOCK</stp>
        <stp>25850.T</stp>
        <stp>年初来高値</stp>
        <tr r="Y164" s="7"/>
      </tp>
      <tp t="s">
        <v>表示銘柄数超過</v>
        <stp/>
        <stp>Market</stp>
        <stp>STOCK</stp>
        <stp>26850.T</stp>
        <stp>年初来高値</stp>
        <tr r="Y181" s="7"/>
      </tp>
      <tp>
        <v>1211</v>
        <stp/>
        <stp>Market</stp>
        <stp>STOCK</stp>
        <stp>85850.T</stp>
        <stp>年初来高値</stp>
        <tr r="Y1022" s="7"/>
      </tp>
      <tp t="s">
        <v>表示銘柄数超過</v>
        <stp/>
        <stp>Market</stp>
        <stp>STOCK</stp>
        <stp>44840.T</stp>
        <stp>年初来高値</stp>
        <tr r="Y475" s="7"/>
      </tp>
      <tp t="s">
        <v>表示銘柄数超過</v>
        <stp/>
        <stp>Market</stp>
        <stp>STOCK</stp>
        <stp>45840.T</stp>
        <stp>年初来高値</stp>
        <tr r="Y499" s="7"/>
      </tp>
      <tp t="s">
        <v>表示銘柄数超過</v>
        <stp/>
        <stp>Market</stp>
        <stp>STOCK</stp>
        <stp>47840.T</stp>
        <stp>年初来高値</stp>
        <tr r="Y535" s="7"/>
      </tp>
      <tp>
        <v>1074</v>
        <stp/>
        <stp>Market</stp>
        <stp>STOCK</stp>
        <stp>71840.T</stp>
        <stp>年初来高値</stp>
        <tr r="Y841" s="7"/>
      </tp>
      <tp>
        <v>2387</v>
        <stp/>
        <stp>Market</stp>
        <stp>STOCK</stp>
        <stp>73840.T</stp>
        <stp>年初来高値</stp>
        <tr r="Y885" s="7"/>
      </tp>
      <tp>
        <v>1055</v>
        <stp/>
        <stp>Market</stp>
        <stp>STOCK</stp>
        <stp>65840.T</stp>
        <stp>年初来高値</stp>
        <tr r="Y733" s="7"/>
      </tp>
      <tp>
        <v>1197</v>
        <stp/>
        <stp>Market</stp>
        <stp>STOCK</stp>
        <stp>61840.T</stp>
        <stp>年初来高値</stp>
        <tr r="Y669" s="7"/>
      </tp>
      <tp t="s">
        <v>表示銘柄数超過</v>
        <stp/>
        <stp>Market</stp>
        <stp>STOCK</stp>
        <stp>37840.T</stp>
        <stp>年初来高値</stp>
        <tr r="Y359" s="7"/>
      </tp>
      <tp t="s">
        <v>表示銘柄数超過</v>
        <stp/>
        <stp>Market</stp>
        <stp>STOCK</stp>
        <stp>32840.T</stp>
        <stp>年初来高値</stp>
        <tr r="Y269" s="7"/>
      </tp>
      <tp t="s">
        <v>表示銘柄数超過</v>
        <stp/>
        <stp>Market</stp>
        <stp>STOCK</stp>
        <stp>24840.T</stp>
        <stp>年初来高値</stp>
        <tr r="Y152" s="7"/>
      </tp>
      <tp t="s">
        <v>表示銘柄数超過</v>
        <stp/>
        <stp>Market</stp>
        <stp>STOCK</stp>
        <stp>99840.T</stp>
        <stp>年初来高値</stp>
        <tr r="Y1189" s="7"/>
      </tp>
      <tp>
        <v>503.5</v>
        <stp/>
        <stp>Market</stp>
        <stp>STOCK</stp>
        <stp>46890.T</stp>
        <stp>年初来高値</stp>
        <tr r="Y520" s="7"/>
      </tp>
      <tp t="s">
        <v>表示銘柄数超過</v>
        <stp/>
        <stp>Market</stp>
        <stp>STOCK</stp>
        <stp>48890.T</stp>
        <stp>年初来高値</stp>
        <tr r="Y547" s="7"/>
      </tp>
      <tp>
        <v>1164</v>
        <stp/>
        <stp>Market</stp>
        <stp>STOCK</stp>
        <stp>64890.T</stp>
        <stp>年初来高値</stp>
        <tr r="Y708" s="7"/>
      </tp>
      <tp t="s">
        <v>表示銘柄数超過</v>
        <stp/>
        <stp>Market</stp>
        <stp>STOCK</stp>
        <stp>16890.T</stp>
        <stp>年初来高値</stp>
        <tr r="Y44" s="7"/>
      </tp>
      <tp t="s">
        <v>表示銘柄数超過</v>
        <stp/>
        <stp>Market</stp>
        <stp>STOCK</stp>
        <stp>31890.T</stp>
        <stp>年初来高値</stp>
        <tr r="Y255" s="7"/>
      </tp>
      <tp t="s">
        <v>表示銘柄数超過</v>
        <stp/>
        <stp>Market</stp>
        <stp>STOCK</stp>
        <stp>32890.T</stp>
        <stp>年初来高値</stp>
        <tr r="Y272" s="7"/>
      </tp>
      <tp t="s">
        <v>表示銘柄数超過</v>
        <stp/>
        <stp>Market</stp>
        <stp>STOCK</stp>
        <stp>39890.T</stp>
        <stp>年初来高値</stp>
        <tr r="Y404" s="7"/>
      </tp>
      <tp t="s">
        <v>表示銘柄数超過</v>
        <stp/>
        <stp>Market</stp>
        <stp>STOCK</stp>
        <stp>87890.T</stp>
        <stp>年初来高値</stp>
        <tr r="Y1048" s="7"/>
      </tp>
      <tp t="s">
        <v>表示銘柄数超過</v>
        <stp/>
        <stp>Market</stp>
        <stp>STOCK</stp>
        <stp>45880.T</stp>
        <stp>年初来高値</stp>
        <tr r="Y501" s="7"/>
      </tp>
      <tp t="s">
        <v>表示銘柄数超過</v>
        <stp/>
        <stp>Market</stp>
        <stp>STOCK</stp>
        <stp>41880.T</stp>
        <stp>年初来高値</stp>
        <tr r="Y423" s="7"/>
      </tp>
      <tp t="s">
        <v>表示銘柄数超過</v>
        <stp/>
        <stp>Market</stp>
        <stp>STOCK</stp>
        <stp>43880.T</stp>
        <stp>年初来高値</stp>
        <tr r="Y457" s="7"/>
      </tp>
      <tp>
        <v>873</v>
        <stp/>
        <stp>Market</stp>
        <stp>STOCK</stp>
        <stp>70880.T</stp>
        <stp>年初来高値</stp>
        <tr r="Y824" s="7"/>
      </tp>
      <tp>
        <v>766</v>
        <stp/>
        <stp>Market</stp>
        <stp>STOCK</stp>
        <stp>78880.T</stp>
        <stp>年初来高値</stp>
        <tr r="Y951" s="7"/>
      </tp>
      <tp>
        <v>4420</v>
        <stp/>
        <stp>Market</stp>
        <stp>STOCK</stp>
        <stp>65880.T</stp>
        <stp>年初来高値</stp>
        <tr r="Y734" s="7"/>
      </tp>
      <tp>
        <v>615</v>
        <stp/>
        <stp>Market</stp>
        <stp>STOCK</stp>
        <stp>61880.T</stp>
        <stp>年初来高値</stp>
        <tr r="Y672" s="7"/>
      </tp>
      <tp t="s">
        <v>表示銘柄数超過</v>
        <stp/>
        <stp>Market</stp>
        <stp>STOCK</stp>
        <stp>32880.T</stp>
        <stp>年初来高値</stp>
        <tr r="Y271" s="7"/>
      </tp>
      <tp t="s">
        <v>表示銘柄数超過</v>
        <stp/>
        <stp>Market</stp>
        <stp>STOCK</stp>
        <stp>33880.T</stp>
        <stp>年初来高値</stp>
        <tr r="Y292" s="7"/>
      </tp>
      <tp t="s">
        <v>表示銘柄数超過</v>
        <stp/>
        <stp>Market</stp>
        <stp>STOCK</stp>
        <stp>24880.T</stp>
        <stp>年初来高値</stp>
        <tr r="Y153" s="7"/>
      </tp>
      <tp t="s">
        <v>表示銘柄数超過</v>
        <stp/>
        <stp>Market</stp>
        <stp>STOCK</stp>
        <stp>23880.T</stp>
        <stp>年初来高値</stp>
        <tr r="Y131" s="7"/>
      </tp>
      <tp t="s">
        <v>表示銘柄数超過</v>
        <stp/>
        <stp>Market</stp>
        <stp>STOCK</stp>
        <stp>97880.T</stp>
        <stp>年初来高値</stp>
        <tr r="Y1169" s="7"/>
      </tp>
      <tp t="s">
        <v>表示銘柄数超過</v>
        <stp/>
        <stp>Market</stp>
        <stp>STOCK</stp>
        <stp>98880.T</stp>
        <stp>年初来高値</stp>
        <tr r="Y1176" s="7"/>
      </tp>
      <tp>
        <v>591</v>
        <stp/>
        <stp>Market</stp>
        <stp>STOCK</stp>
        <stp>56980.T</stp>
        <stp>現在値</stp>
        <tr r="C604" s="7"/>
      </tp>
      <tp>
        <v>1178</v>
        <stp/>
        <stp>Market</stp>
        <stp>STOCK</stp>
        <stp>56120.T</stp>
        <stp>現在値</stp>
        <tr r="C601" s="7"/>
      </tp>
      <tp>
        <v>1671</v>
        <stp/>
        <stp>Market</stp>
        <stp>STOCK</stp>
        <stp>56320.T</stp>
        <stp>現在値</stp>
        <tr r="C602" s="7"/>
      </tp>
      <tp>
        <v>333</v>
        <stp/>
        <stp>Market</stp>
        <stp>STOCK</stp>
        <stp>56580.T</stp>
        <stp>現在値</stp>
        <tr r="C603" s="7"/>
      </tp>
      <tp>
        <v>2771</v>
        <stp/>
        <stp>Market</stp>
        <stp>STOCK</stp>
        <stp>57110.T</stp>
        <stp>現在値</stp>
        <tr r="C607" s="7"/>
      </tp>
      <tp>
        <v>1722</v>
        <stp/>
        <stp>Market</stp>
        <stp>STOCK</stp>
        <stp>57030.T</stp>
        <stp>現在値</stp>
        <tr r="C605" s="7"/>
      </tp>
      <tp>
        <v>1314</v>
        <stp/>
        <stp>Market</stp>
        <stp>STOCK</stp>
        <stp>57040.T</stp>
        <stp>現在値</stp>
        <tr r="C606" s="7"/>
      </tp>
      <tp>
        <v>2791</v>
        <stp/>
        <stp>Market</stp>
        <stp>STOCK</stp>
        <stp>57260.T</stp>
        <stp>現在値</stp>
        <tr r="C608" s="7"/>
      </tp>
      <tp>
        <v>1860</v>
        <stp/>
        <stp>Market</stp>
        <stp>STOCK</stp>
        <stp>57270.T</stp>
        <stp>現在値</stp>
        <tr r="C609" s="7"/>
      </tp>
      <tp>
        <v>1114</v>
        <stp/>
        <stp>Market</stp>
        <stp>STOCK</stp>
        <stp>57590.T</stp>
        <stp>現在値</stp>
        <tr r="C610" s="7"/>
      </tp>
      <tp>
        <v>882</v>
        <stp/>
        <stp>Market</stp>
        <stp>STOCK</stp>
        <stp>54910.T</stp>
        <stp>現在値</stp>
        <tr r="C598" s="7"/>
      </tp>
      <tp>
        <v>5860</v>
        <stp/>
        <stp>Market</stp>
        <stp>STOCK</stp>
        <stp>54100.T</stp>
        <stp>現在値</stp>
        <tr r="C593" s="7"/>
      </tp>
      <tp>
        <v>2320.5</v>
        <stp/>
        <stp>Market</stp>
        <stp>STOCK</stp>
        <stp>54110.T</stp>
        <stp>現在値</stp>
        <tr r="C594" s="7"/>
      </tp>
      <tp>
        <v>3565</v>
        <stp/>
        <stp>Market</stp>
        <stp>STOCK</stp>
        <stp>54010.T</stp>
        <stp>現在値</stp>
        <tr r="C590" s="7"/>
      </tp>
      <tp>
        <v>2068</v>
        <stp/>
        <stp>Market</stp>
        <stp>STOCK</stp>
        <stp>54060.T</stp>
        <stp>現在値</stp>
        <tr r="C591" s="7"/>
      </tp>
      <tp>
        <v>943</v>
        <stp/>
        <stp>Market</stp>
        <stp>STOCK</stp>
        <stp>54080.T</stp>
        <stp>現在値</stp>
        <tr r="C592" s="7"/>
      </tp>
      <tp>
        <v>1741</v>
        <stp/>
        <stp>Market</stp>
        <stp>STOCK</stp>
        <stp>54230.T</stp>
        <stp>現在値</stp>
        <tr r="C595" s="7"/>
      </tp>
      <tp>
        <v>2208</v>
        <stp/>
        <stp>Market</stp>
        <stp>STOCK</stp>
        <stp>54490.T</stp>
        <stp>現在値</stp>
        <tr r="C596" s="7"/>
      </tp>
      <tp>
        <v>554</v>
        <stp/>
        <stp>Market</stp>
        <stp>STOCK</stp>
        <stp>54760.T</stp>
        <stp>現在値</stp>
        <tr r="C597" s="7"/>
      </tp>
      <tp>
        <v>702</v>
        <stp/>
        <stp>Market</stp>
        <stp>STOCK</stp>
        <stp>55860.T</stp>
        <stp>現在値</stp>
        <tr r="C600" s="7"/>
      </tp>
      <tp>
        <v>283</v>
        <stp/>
        <stp>Market</stp>
        <stp>STOCK</stp>
        <stp>55630.T</stp>
        <stp>現在値</stp>
        <tr r="C599" s="7"/>
      </tp>
      <tp>
        <v>1379</v>
        <stp/>
        <stp>Market</stp>
        <stp>STOCK</stp>
        <stp>52850.T</stp>
        <stp>現在値</stp>
        <tr r="C584" s="7"/>
      </tp>
      <tp>
        <v>591</v>
        <stp/>
        <stp>Market</stp>
        <stp>STOCK</stp>
        <stp>52870.T</stp>
        <stp>現在値</stp>
        <tr r="C585" s="7"/>
      </tp>
      <tp>
        <v>86</v>
        <stp/>
        <stp>Market</stp>
        <stp>STOCK</stp>
        <stp>52160.T</stp>
        <stp>現在値</stp>
        <tr r="C576" s="7"/>
      </tp>
      <tp>
        <v>3510</v>
        <stp/>
        <stp>Market</stp>
        <stp>STOCK</stp>
        <stp>52040.T</stp>
        <stp>現在値</stp>
        <tr r="C575" s="7"/>
      </tp>
      <tp>
        <v>2806</v>
        <stp/>
        <stp>Market</stp>
        <stp>STOCK</stp>
        <stp>52530.T</stp>
        <stp>現在値</stp>
        <tr r="C580" s="7"/>
      </tp>
      <tp>
        <v>571</v>
        <stp/>
        <stp>Market</stp>
        <stp>STOCK</stp>
        <stp>52430.T</stp>
        <stp>現在値</stp>
        <tr r="C577" s="7"/>
      </tp>
      <tp>
        <v>342</v>
        <stp/>
        <stp>Market</stp>
        <stp>STOCK</stp>
        <stp>52440.T</stp>
        <stp>現在値</stp>
        <tr r="C578" s="7"/>
      </tp>
      <tp>
        <v>649</v>
        <stp/>
        <stp>Market</stp>
        <stp>STOCK</stp>
        <stp>52460.T</stp>
        <stp>現在値</stp>
        <tr r="C579" s="7"/>
      </tp>
      <tp>
        <v>266</v>
        <stp/>
        <stp>Market</stp>
        <stp>STOCK</stp>
        <stp>52770.T</stp>
        <stp>現在値</stp>
        <tr r="C583" s="7"/>
      </tp>
      <tp>
        <v>904</v>
        <stp/>
        <stp>Market</stp>
        <stp>STOCK</stp>
        <stp>52620.T</stp>
        <stp>現在値</stp>
        <tr r="C581" s="7"/>
      </tp>
      <tp>
        <v>473</v>
        <stp/>
        <stp>Market</stp>
        <stp>STOCK</stp>
        <stp>52690.T</stp>
        <stp>現在値</stp>
        <tr r="C582" s="7"/>
      </tp>
      <tp>
        <v>477</v>
        <stp/>
        <stp>Market</stp>
        <stp>STOCK</stp>
        <stp>53810.T</stp>
        <stp>現在値</stp>
        <tr r="C589" s="7"/>
      </tp>
      <tp>
        <v>4229</v>
        <stp/>
        <stp>Market</stp>
        <stp>STOCK</stp>
        <stp>53340.T</stp>
        <stp>現在値</stp>
        <tr r="C586" s="7"/>
      </tp>
      <tp>
        <v>1459</v>
        <stp/>
        <stp>Market</stp>
        <stp>STOCK</stp>
        <stp>53570.T</stp>
        <stp>現在値</stp>
        <tr r="C588" s="7"/>
      </tp>
      <tp>
        <v>429</v>
        <stp/>
        <stp>Market</stp>
        <stp>STOCK</stp>
        <stp>53410.T</stp>
        <stp>現在値</stp>
        <tr r="C587" s="7"/>
      </tp>
      <tp t="s">
        <v>表示銘柄数超過</v>
        <stp/>
        <stp>Market</stp>
        <stp>STOCK</stp>
        <stp>50100.T</stp>
        <stp>現在値</stp>
        <tr r="C558" s="7"/>
      </tp>
      <tp t="s">
        <v>表示銘柄数超過</v>
        <stp/>
        <stp>Market</stp>
        <stp>STOCK</stp>
        <stp>50150.T</stp>
        <stp>現在値</stp>
        <tr r="C559" s="7"/>
      </tp>
      <tp t="s">
        <v>表示銘柄数超過</v>
        <stp/>
        <stp>Market</stp>
        <stp>STOCK</stp>
        <stp>50170.T</stp>
        <stp>現在値</stp>
        <tr r="C560" s="7"/>
      </tp>
      <tp t="s">
        <v>表示銘柄数超過</v>
        <stp/>
        <stp>Market</stp>
        <stp>STOCK</stp>
        <stp>50190.T</stp>
        <stp>現在値</stp>
        <tr r="C561" s="7"/>
      </tp>
      <tp t="s">
        <v>表示銘柄数超過</v>
        <stp/>
        <stp>Market</stp>
        <stp>STOCK</stp>
        <stp>50320.T</stp>
        <stp>現在値</stp>
        <tr r="C565" s="7"/>
      </tp>
      <tp t="s">
        <v>表示銘柄数超過</v>
        <stp/>
        <stp>Market</stp>
        <stp>STOCK</stp>
        <stp>50200.T</stp>
        <stp>現在値</stp>
        <tr r="C562" s="7"/>
      </tp>
      <tp t="s">
        <v>表示銘柄数超過</v>
        <stp/>
        <stp>Market</stp>
        <stp>STOCK</stp>
        <stp>50210.T</stp>
        <stp>現在値</stp>
        <tr r="C563" s="7"/>
      </tp>
      <tp t="s">
        <v>表示銘柄数超過</v>
        <stp/>
        <stp>Market</stp>
        <stp>STOCK</stp>
        <stp>50280.T</stp>
        <stp>現在値</stp>
        <tr r="C564" s="7"/>
      </tp>
      <tp t="s">
        <v>表示銘柄数超過</v>
        <stp/>
        <stp>Market</stp>
        <stp>STOCK</stp>
        <stp>50740.T</stp>
        <stp>現在値</stp>
        <tr r="C566" s="7"/>
      </tp>
      <tp>
        <v>4775</v>
        <stp/>
        <stp>Market</stp>
        <stp>STOCK</stp>
        <stp>51920.T</stp>
        <stp>現在値</stp>
        <tr r="C574" s="7"/>
      </tp>
      <tp>
        <v>1740</v>
        <stp/>
        <stp>Market</stp>
        <stp>STOCK</stp>
        <stp>51100.T</stp>
        <stp>現在値</stp>
        <tr r="C569" s="7"/>
      </tp>
      <tp>
        <v>43</v>
        <stp/>
        <stp>Market</stp>
        <stp>STOCK</stp>
        <stp>51030.T</stp>
        <stp>現在値</stp>
        <tr r="C567" s="7"/>
      </tp>
      <tp>
        <v>6341</v>
        <stp/>
        <stp>Market</stp>
        <stp>STOCK</stp>
        <stp>51080.T</stp>
        <stp>現在値</stp>
        <tr r="C568" s="7"/>
      </tp>
      <tp>
        <v>186</v>
        <stp/>
        <stp>Market</stp>
        <stp>STOCK</stp>
        <stp>51310.T</stp>
        <stp>現在値</stp>
        <tr r="C572" s="7"/>
      </tp>
      <tp>
        <v>289</v>
        <stp/>
        <stp>Market</stp>
        <stp>STOCK</stp>
        <stp>51330.T</stp>
        <stp>現在値</stp>
        <tr r="C573" s="7"/>
      </tp>
      <tp>
        <v>1441</v>
        <stp/>
        <stp>Market</stp>
        <stp>STOCK</stp>
        <stp>51210.T</stp>
        <stp>現在値</stp>
        <tr r="C570" s="7"/>
      </tp>
      <tp>
        <v>1320</v>
        <stp/>
        <stp>Market</stp>
        <stp>STOCK</stp>
        <stp>51290.T</stp>
        <stp>現在値</stp>
        <tr r="C571" s="7"/>
      </tp>
      <tp>
        <v>2759.5</v>
        <stp/>
        <stp>Market</stp>
        <stp>STOCK</stp>
        <stp>58010.T</stp>
        <stp>現在値</stp>
        <tr r="C611" s="7"/>
      </tp>
      <tp>
        <v>2073.5</v>
        <stp/>
        <stp>Market</stp>
        <stp>STOCK</stp>
        <stp>58020.T</stp>
        <stp>現在値</stp>
        <tr r="C612" s="7"/>
      </tp>
      <tp>
        <v>1242</v>
        <stp/>
        <stp>Market</stp>
        <stp>STOCK</stp>
        <stp>58030.T</stp>
        <stp>現在値</stp>
        <tr r="C613" s="7"/>
      </tp>
      <tp>
        <v>1077.5</v>
        <stp/>
        <stp>Market</stp>
        <stp>STOCK</stp>
        <stp>58320.T</stp>
        <stp>現在値</stp>
        <tr r="C614" s="7"/>
      </tp>
      <tp>
        <v>2333</v>
        <stp/>
        <stp>Market</stp>
        <stp>STOCK</stp>
        <stp>58380.T</stp>
        <stp>現在値</stp>
        <tr r="C615" s="7"/>
      </tp>
      <tp>
        <v>768</v>
        <stp/>
        <stp>Market</stp>
        <stp>STOCK</stp>
        <stp>58520.T</stp>
        <stp>現在値</stp>
        <tr r="C616" s="7"/>
      </tp>
      <tp>
        <v>43</v>
        <stp/>
        <stp>Market</stp>
        <stp>STOCK</stp>
        <stp>58560.T</stp>
        <stp>現在値</stp>
        <tr r="C617" s="7"/>
      </tp>
      <tp>
        <v>1240</v>
        <stp/>
        <stp>Market</stp>
        <stp>STOCK</stp>
        <stp>59910.T</stp>
        <stp>現在値</stp>
        <tr r="C633" s="7"/>
      </tp>
      <tp>
        <v>1124</v>
        <stp/>
        <stp>Market</stp>
        <stp>STOCK</stp>
        <stp>59940.T</stp>
        <stp>現在値</stp>
        <tr r="C634" s="7"/>
      </tp>
      <tp>
        <v>672</v>
        <stp/>
        <stp>Market</stp>
        <stp>STOCK</stp>
        <stp>59970.T</stp>
        <stp>現在値</stp>
        <tr r="C635" s="7"/>
      </tp>
      <tp>
        <v>1358</v>
        <stp/>
        <stp>Market</stp>
        <stp>STOCK</stp>
        <stp>59810.T</stp>
        <stp>現在値</stp>
        <tr r="C631" s="7"/>
      </tp>
      <tp>
        <v>288</v>
        <stp/>
        <stp>Market</stp>
        <stp>STOCK</stp>
        <stp>59860.T</stp>
        <stp>現在値</stp>
        <tr r="C632" s="7"/>
      </tp>
      <tp>
        <v>953</v>
        <stp/>
        <stp>Market</stp>
        <stp>STOCK</stp>
        <stp>59090.T</stp>
        <stp>現在値</stp>
        <tr r="C618" s="7"/>
      </tp>
      <tp>
        <v>731</v>
        <stp/>
        <stp>Market</stp>
        <stp>STOCK</stp>
        <stp>59360.T</stp>
        <stp>現在値</stp>
        <tr r="C620" s="7"/>
      </tp>
      <tp>
        <v>1960</v>
        <stp/>
        <stp>Market</stp>
        <stp>STOCK</stp>
        <stp>59380.T</stp>
        <stp>現在値</stp>
        <tr r="C621" s="7"/>
      </tp>
      <tp>
        <v>310</v>
        <stp/>
        <stp>Market</stp>
        <stp>STOCK</stp>
        <stp>59280.T</stp>
        <stp>現在値</stp>
        <tr r="C619" s="7"/>
      </tp>
      <tp>
        <v>109</v>
        <stp/>
        <stp>Market</stp>
        <stp>STOCK</stp>
        <stp>59500.T</stp>
        <stp>現在値</stp>
        <tr r="C625" s="7"/>
      </tp>
      <tp>
        <v>141</v>
        <stp/>
        <stp>Market</stp>
        <stp>STOCK</stp>
        <stp>59520.T</stp>
        <stp>現在値</stp>
        <tr r="C626" s="7"/>
      </tp>
      <tp>
        <v>81</v>
        <stp/>
        <stp>Market</stp>
        <stp>STOCK</stp>
        <stp>59550.T</stp>
        <stp>現在値</stp>
        <tr r="C627" s="7"/>
      </tp>
      <tp>
        <v>79</v>
        <stp/>
        <stp>Market</stp>
        <stp>STOCK</stp>
        <stp>59400.T</stp>
        <stp>現在値</stp>
        <tr r="C622" s="7"/>
      </tp>
      <tp>
        <v>3249</v>
        <stp/>
        <stp>Market</stp>
        <stp>STOCK</stp>
        <stp>59470.T</stp>
        <stp>現在値</stp>
        <tr r="C623" s="7"/>
      </tp>
      <tp>
        <v>1109</v>
        <stp/>
        <stp>Market</stp>
        <stp>STOCK</stp>
        <stp>59490.T</stp>
        <stp>現在値</stp>
        <tr r="C624" s="7"/>
      </tp>
      <tp>
        <v>2113</v>
        <stp/>
        <stp>Market</stp>
        <stp>STOCK</stp>
        <stp>59700.T</stp>
        <stp>現在値</stp>
        <tr r="C629" s="7"/>
      </tp>
      <tp>
        <v>1058</v>
        <stp/>
        <stp>Market</stp>
        <stp>STOCK</stp>
        <stp>59760.T</stp>
        <stp>現在値</stp>
        <tr r="C630" s="7"/>
      </tp>
      <tp>
        <v>2273</v>
        <stp/>
        <stp>Market</stp>
        <stp>STOCK</stp>
        <stp>59660.T</stp>
        <stp>現在値</stp>
        <tr r="C628" s="7"/>
      </tp>
    </main>
    <main first="rtdsrv.662c26bade854d00aebc6010f8a2e03a">
      <tp t="s">
        <v>表示銘柄数超過</v>
        <stp/>
        <stp>Market</stp>
        <stp>STOCK</stp>
        <stp>32440.T</stp>
        <stp>決算発表日</stp>
        <tr r="X264" s="7"/>
      </tp>
      <tp t="s">
        <v>表示銘柄数超過</v>
        <stp/>
        <stp>Market</stp>
        <stp>STOCK</stp>
        <stp>23440.T</stp>
        <stp>決算発表日</stp>
        <tr r="X121" s="7"/>
      </tp>
      <tp t="s">
        <v>表示銘柄数超過</v>
        <stp/>
        <stp>Market</stp>
        <stp>STOCK</stp>
        <stp>18440.T</stp>
        <stp>決算発表日</stp>
        <tr r="X66" s="7"/>
      </tp>
      <tp t="s">
        <v>2024/01/31</v>
        <stp/>
        <stp>Market</stp>
        <stp>STOCK</stp>
        <stp>78440.T</stp>
        <stp>決算発表日</stp>
        <tr r="X945" s="7"/>
      </tp>
      <tp t="s">
        <v>2024/01/11</v>
        <stp/>
        <stp>Market</stp>
        <stp>STOCK</stp>
        <stp>75440.T</stp>
        <stp>決算発表日</stp>
        <tr r="X903" s="7"/>
      </tp>
      <tp t="s">
        <v>2024/02/13</v>
        <stp/>
        <stp>Market</stp>
        <stp>STOCK</stp>
        <stp>70440.T</stp>
        <stp>決算発表日</stp>
        <tr r="X814" s="7"/>
      </tp>
      <tp t="s">
        <v>2024/02/06</v>
        <stp/>
        <stp>Market</stp>
        <stp>STOCK</stp>
        <stp>66440.T</stp>
        <stp>決算発表日</stp>
        <tr r="X746" s="7"/>
      </tp>
      <tp t="s">
        <v>2024/02/14</v>
        <stp/>
        <stp>Market</stp>
        <stp>STOCK</stp>
        <stp>64440.T</stp>
        <stp>決算発表日</stp>
        <tr r="X703" s="7"/>
      </tp>
      <tp t="s">
        <v>2024/01/12</v>
        <stp/>
        <stp>Market</stp>
        <stp>STOCK</stp>
        <stp>60440.T</stp>
        <stp>決算発表日</stp>
        <tr r="X641" s="7"/>
      </tp>
      <tp t="s">
        <v>2024/02/14</v>
        <stp/>
        <stp>Market</stp>
        <stp>STOCK</stp>
        <stp>52440.T</stp>
        <stp>決算発表日</stp>
        <tr r="X578" s="7"/>
      </tp>
      <tp t="s">
        <v>表示銘柄数超過</v>
        <stp/>
        <stp>Market</stp>
        <stp>STOCK</stp>
        <stp>44440.T</stp>
        <stp>決算発表日</stp>
        <tr r="X467" s="7"/>
      </tp>
      <tp t="s">
        <v>表示銘柄数超過</v>
        <stp/>
        <stp>Market</stp>
        <stp>STOCK</stp>
        <stp>94440.T</stp>
        <stp>決算発表日</stp>
        <tr r="X1132" s="7"/>
      </tp>
      <tp t="s">
        <v>表示銘柄数超過</v>
        <stp/>
        <stp>Market</stp>
        <stp>STOCK</stp>
        <stp>90440.T</stp>
        <stp>決算発表日</stp>
        <tr r="X1087" s="7"/>
      </tp>
      <tp t="s">
        <v>表示銘柄数超過</v>
        <stp/>
        <stp>Market</stp>
        <stp>STOCK</stp>
        <stp>89440.T</stp>
        <stp>決算発表日</stp>
        <tr r="X1069" s="7"/>
      </tp>
      <tp t="s">
        <v>表示銘柄数超過</v>
        <stp/>
        <stp>Market</stp>
        <stp>STOCK</stp>
        <stp>88440.T</stp>
        <stp>決算発表日</stp>
        <tr r="X1056" s="7"/>
      </tp>
      <tp t="s">
        <v>2024/01/10</v>
        <stp/>
        <stp>Market</stp>
        <stp>STOCK</stp>
        <stp>82440.T</stp>
        <stp>決算発表日</stp>
        <tr r="X997" s="7"/>
      </tp>
      <tp t="s">
        <v>表示銘柄数超過</v>
        <stp/>
        <stp>Market</stp>
        <stp>STOCK</stp>
        <stp>38450.T</stp>
        <stp>決算発表日</stp>
        <tr r="X372" s="7"/>
      </tp>
      <tp t="s">
        <v>表示銘柄数超過</v>
        <stp/>
        <stp>Market</stp>
        <stp>STOCK</stp>
        <stp>36450.T</stp>
        <stp>決算発表日</stp>
        <tr r="X319" s="7"/>
      </tp>
      <tp t="s">
        <v>表示銘柄数超過</v>
        <stp/>
        <stp>Market</stp>
        <stp>STOCK</stp>
        <stp>28450.T</stp>
        <stp>決算発表日</stp>
        <tr r="X202" s="7"/>
      </tp>
      <tp t="s">
        <v>表示銘柄数超過</v>
        <stp/>
        <stp>Market</stp>
        <stp>STOCK</stp>
        <stp>24450.T</stp>
        <stp>決算発表日</stp>
        <tr r="X145" s="7"/>
      </tp>
      <tp t="s">
        <v>表示銘柄数超過</v>
        <stp/>
        <stp>Market</stp>
        <stp>STOCK</stp>
        <stp>23450.T</stp>
        <stp>決算発表日</stp>
        <tr r="X122" s="7"/>
      </tp>
      <tp t="s">
        <v>表示銘柄数超過</v>
        <stp/>
        <stp>Market</stp>
        <stp>STOCK</stp>
        <stp>13450.T</stp>
        <stp>決算発表日</stp>
        <tr r="X10" s="7"/>
      </tp>
      <tp t="s">
        <v>2024/02/07</v>
        <stp/>
        <stp>Market</stp>
        <stp>STOCK</stp>
        <stp>77450.T</stp>
        <stp>決算発表日</stp>
        <tr r="X927" s="7"/>
      </tp>
      <tp t="s">
        <v>2024/01/11</v>
        <stp/>
        <stp>Market</stp>
        <stp>STOCK</stp>
        <stp>74450.T</stp>
        <stp>決算発表日</stp>
        <tr r="X889" s="7"/>
      </tp>
      <tp t="s">
        <v>2024/02/09</v>
        <stp/>
        <stp>Market</stp>
        <stp>STOCK</stp>
        <stp>72450.T</stp>
        <stp>決算発表日</stp>
        <tr r="X858" s="7"/>
      </tp>
      <tp t="s">
        <v>2024/02/14</v>
        <stp/>
        <stp>Market</stp>
        <stp>STOCK</stp>
        <stp>65450.T</stp>
        <stp>決算発表日</stp>
        <tr r="X722" s="7"/>
      </tp>
      <tp t="s">
        <v>表示銘柄数超過</v>
        <stp/>
        <stp>Market</stp>
        <stp>STOCK</stp>
        <stp>89450.T</stp>
        <stp>決算発表日</stp>
        <tr r="X1070" s="7"/>
      </tp>
      <tp t="s">
        <v>2024/02/09</v>
        <stp/>
        <stp>Market</stp>
        <stp>STOCK</stp>
        <stp>72460.T</stp>
        <stp>決算発表日</stp>
        <tr r="X859" s="7"/>
      </tp>
      <tp t="s">
        <v>2024/01/24</v>
        <stp/>
        <stp>Market</stp>
        <stp>STOCK</stp>
        <stp>61460.T</stp>
        <stp>決算発表日</stp>
        <tr r="X659" s="7"/>
      </tp>
      <tp t="s">
        <v>2024/02/08</v>
        <stp/>
        <stp>Market</stp>
        <stp>STOCK</stp>
        <stp>60460.T</stp>
        <stp>決算発表日</stp>
        <tr r="X642" s="7"/>
      </tp>
      <tp t="s">
        <v>2024/01/15</v>
        <stp/>
        <stp>Market</stp>
        <stp>STOCK</stp>
        <stp>52460.T</stp>
        <stp>決算発表日</stp>
        <tr r="X579" s="7"/>
      </tp>
      <tp t="s">
        <v>表示銘柄数超過</v>
        <stp/>
        <stp>Market</stp>
        <stp>STOCK</stp>
        <stp>43460.T</stp>
        <stp>決算発表日</stp>
        <tr r="X446" s="7"/>
      </tp>
      <tp t="s">
        <v>表示銘柄数超過</v>
        <stp/>
        <stp>Market</stp>
        <stp>STOCK</stp>
        <stp>99460.T</stp>
        <stp>決算発表日</stp>
        <tr r="X1184" s="7"/>
      </tp>
      <tp t="s">
        <v>表示銘柄数超過</v>
        <stp/>
        <stp>Market</stp>
        <stp>STOCK</stp>
        <stp>89460.T</stp>
        <stp>決算発表日</stp>
        <tr r="X1071" s="7"/>
      </tp>
      <tp t="s">
        <v>2024/02/14</v>
        <stp/>
        <stp>Market</stp>
        <stp>STOCK</stp>
        <stp>87460.T</stp>
        <stp>決算発表日</stp>
        <tr r="X1043" s="7"/>
      </tp>
      <tp t="s">
        <v>表示銘柄数超過</v>
        <stp/>
        <stp>Market</stp>
        <stp>STOCK</stp>
        <stp>37470.T</stp>
        <stp>決算発表日</stp>
        <tr r="X350" s="7"/>
      </tp>
      <tp t="s">
        <v>表示銘柄数超過</v>
        <stp/>
        <stp>Market</stp>
        <stp>STOCK</stp>
        <stp>36470.T</stp>
        <stp>決算発表日</stp>
        <tr r="X320" s="7"/>
      </tp>
      <tp t="s">
        <v>2024/02/09</v>
        <stp/>
        <stp>Market</stp>
        <stp>STOCK</stp>
        <stp>76470.T</stp>
        <stp>決算発表日</stp>
        <tr r="X918" s="7"/>
      </tp>
      <tp t="s">
        <v>2024/02/09</v>
        <stp/>
        <stp>Market</stp>
        <stp>STOCK</stp>
        <stp>72470.T</stp>
        <stp>決算発表日</stp>
        <tr r="X860" s="7"/>
      </tp>
      <tp t="s">
        <v>2024/02/13</v>
        <stp/>
        <stp>Market</stp>
        <stp>STOCK</stp>
        <stp>70470.T</stp>
        <stp>決算発表日</stp>
        <tr r="X815" s="7"/>
      </tp>
      <tp t="s">
        <v>2024/02/09</v>
        <stp/>
        <stp>Market</stp>
        <stp>STOCK</stp>
        <stp>63470.T</stp>
        <stp>決算発表日</stp>
        <tr r="X692" s="7"/>
      </tp>
      <tp t="s">
        <v>2024/01/15</v>
        <stp/>
        <stp>Market</stp>
        <stp>STOCK</stp>
        <stp>60470.T</stp>
        <stp>決算発表日</stp>
        <tr r="X643" s="7"/>
      </tp>
      <tp t="s">
        <v>2024/02/08</v>
        <stp/>
        <stp>Market</stp>
        <stp>STOCK</stp>
        <stp>59470.T</stp>
        <stp>決算発表日</stp>
        <tr r="X623" s="7"/>
      </tp>
      <tp t="s">
        <v>表示銘柄数超過</v>
        <stp/>
        <stp>Market</stp>
        <stp>STOCK</stp>
        <stp>48470.T</stp>
        <stp>決算発表日</stp>
        <tr r="X544" s="7"/>
      </tp>
      <tp t="s">
        <v>表示銘柄数超過</v>
        <stp/>
        <stp>Market</stp>
        <stp>STOCK</stp>
        <stp>92470.T</stp>
        <stp>決算発表日</stp>
        <tr r="X1101" s="7"/>
      </tp>
      <tp t="s">
        <v>2024/01/11</v>
        <stp/>
        <stp>Market</stp>
        <stp>STOCK</stp>
        <stp>82470.T</stp>
        <stp>決算発表日</stp>
        <tr r="X998" s="7"/>
      </tp>
      <tp t="s">
        <v>表示銘柄数超過</v>
        <stp/>
        <stp>Market</stp>
        <stp>STOCK</stp>
        <stp>39400.T</stp>
        <stp>決算発表日</stp>
        <tr r="X399" s="7"/>
      </tp>
      <tp t="s">
        <v>表示銘柄数超過</v>
        <stp/>
        <stp>Market</stp>
        <stp>STOCK</stp>
        <stp>38400.T</stp>
        <stp>決算発表日</stp>
        <tr r="X370" s="7"/>
      </tp>
      <tp t="s">
        <v>表示銘柄数超過</v>
        <stp/>
        <stp>Market</stp>
        <stp>STOCK</stp>
        <stp>23400.T</stp>
        <stp>決算発表日</stp>
        <tr r="X119" s="7"/>
      </tp>
      <tp t="s">
        <v>表示銘柄数超過</v>
        <stp/>
        <stp>Market</stp>
        <stp>STOCK</stp>
        <stp>18400.T</stp>
        <stp>決算発表日</stp>
        <tr r="X65" s="7"/>
      </tp>
      <tp t="s">
        <v>2024/01/31</v>
        <stp/>
        <stp>Market</stp>
        <stp>STOCK</stp>
        <stp>79400.T</stp>
        <stp>決算発表日</stp>
        <tr r="X957" s="7"/>
      </tp>
      <tp t="s">
        <v>2024/03/14</v>
        <stp/>
        <stp>Market</stp>
        <stp>STOCK</stp>
        <stp>76400.T</stp>
        <stp>決算発表日</stp>
        <tr r="X917" s="7"/>
      </tp>
      <tp t="s">
        <v>2024/02/02</v>
        <stp/>
        <stp>Market</stp>
        <stp>STOCK</stp>
        <stp>72400.T</stp>
        <stp>決算発表日</stp>
        <tr r="X857" s="7"/>
      </tp>
      <tp t="s">
        <v>2024/02/13</v>
        <stp/>
        <stp>Market</stp>
        <stp>STOCK</stp>
        <stp>68400.T</stp>
        <stp>決算発表日</stp>
        <tr r="X777" s="7"/>
      </tp>
      <tp t="s">
        <v>2024/02/09</v>
        <stp/>
        <stp>Market</stp>
        <stp>STOCK</stp>
        <stp>67400.T</stp>
        <stp>決算発表日</stp>
        <tr r="X759" s="7"/>
      </tp>
      <tp t="s">
        <v>2024/02/09</v>
        <stp/>
        <stp>Market</stp>
        <stp>STOCK</stp>
        <stp>66400.T</stp>
        <stp>決算発表日</stp>
        <tr r="X745" s="7"/>
      </tp>
      <tp t="s">
        <v>-</v>
        <stp/>
        <stp>Market</stp>
        <stp>STOCK</stp>
        <stp>64400.T</stp>
        <stp>決算発表日</stp>
        <tr r="X702" s="7"/>
      </tp>
      <tp t="s">
        <v>2024/02/05</v>
        <stp/>
        <stp>Market</stp>
        <stp>STOCK</stp>
        <stp>62400.T</stp>
        <stp>決算発表日</stp>
        <tr r="X681" s="7"/>
      </tp>
      <tp t="s">
        <v>2024/02/07</v>
        <stp/>
        <stp>Market</stp>
        <stp>STOCK</stp>
        <stp>61400.T</stp>
        <stp>決算発表日</stp>
        <tr r="X658" s="7"/>
      </tp>
      <tp t="s">
        <v>2024/02/06</v>
        <stp/>
        <stp>Market</stp>
        <stp>STOCK</stp>
        <stp>59400.T</stp>
        <stp>決算発表日</stp>
        <tr r="X622" s="7"/>
      </tp>
      <tp t="s">
        <v>表示銘柄数超過</v>
        <stp/>
        <stp>Market</stp>
        <stp>STOCK</stp>
        <stp>37410.T</stp>
        <stp>決算発表日</stp>
        <tr r="X349" s="7"/>
      </tp>
      <tp t="s">
        <v>表示銘柄数超過</v>
        <stp/>
        <stp>Market</stp>
        <stp>STOCK</stp>
        <stp>35410.T</stp>
        <stp>決算発表日</stp>
        <tr r="X305" s="7"/>
      </tp>
      <tp t="s">
        <v>表示銘柄数超過</v>
        <stp/>
        <stp>Market</stp>
        <stp>STOCK</stp>
        <stp>33410.T</stp>
        <stp>決算発表日</stp>
        <tr r="X282" s="7"/>
      </tp>
      <tp t="s">
        <v>表示銘柄数超過</v>
        <stp/>
        <stp>Market</stp>
        <stp>STOCK</stp>
        <stp>32410.T</stp>
        <stp>決算発表日</stp>
        <tr r="X262" s="7"/>
      </tp>
      <tp t="s">
        <v>表示銘柄数超過</v>
        <stp/>
        <stp>Market</stp>
        <stp>STOCK</stp>
        <stp>31410.T</stp>
        <stp>決算発表日</stp>
        <tr r="X247" s="7"/>
      </tp>
      <tp t="s">
        <v>表示銘柄数超過</v>
        <stp/>
        <stp>Market</stp>
        <stp>STOCK</stp>
        <stp>30410.T</stp>
        <stp>決算発表日</stp>
        <tr r="X231" s="7"/>
      </tp>
      <tp t="s">
        <v>表示銘柄数超過</v>
        <stp/>
        <stp>Market</stp>
        <stp>STOCK</stp>
        <stp>23410.T</stp>
        <stp>決算発表日</stp>
        <tr r="X120" s="7"/>
      </tp>
      <tp t="s">
        <v>表示銘柄数超過</v>
        <stp/>
        <stp>Market</stp>
        <stp>STOCK</stp>
        <stp>22410.T</stp>
        <stp>決算発表日</stp>
        <tr r="X107" s="7"/>
      </tp>
      <tp t="s">
        <v>表示銘柄数超過</v>
        <stp/>
        <stp>Market</stp>
        <stp>STOCK</stp>
        <stp>19410.T</stp>
        <stp>決算発表日</stp>
        <tr r="X79" s="7"/>
      </tp>
      <tp t="s">
        <v>2024/02/14</v>
        <stp/>
        <stp>Market</stp>
        <stp>STOCK</stp>
        <stp>70410.T</stp>
        <stp>決算発表日</stp>
        <tr r="X812" s="7"/>
      </tp>
      <tp t="s">
        <v>2024/02/06</v>
        <stp/>
        <stp>Market</stp>
        <stp>STOCK</stp>
        <stp>69410.T</stp>
        <stp>決算発表日</stp>
        <tr r="X791" s="7"/>
      </tp>
      <tp t="s">
        <v>2024/02/06</v>
        <stp/>
        <stp>Market</stp>
        <stp>STOCK</stp>
        <stp>67410.T</stp>
        <stp>決算発表日</stp>
        <tr r="X760" s="7"/>
      </tp>
      <tp t="s">
        <v>2024/01/19</v>
        <stp/>
        <stp>Market</stp>
        <stp>STOCK</stp>
        <stp>53410.T</stp>
        <stp>決算発表日</stp>
        <tr r="X587" s="7"/>
      </tp>
      <tp t="s">
        <v>表示銘柄数超過</v>
        <stp/>
        <stp>Market</stp>
        <stp>STOCK</stp>
        <stp>44410.T</stp>
        <stp>決算発表日</stp>
        <tr r="X466" s="7"/>
      </tp>
      <tp t="s">
        <v>表示銘柄数超過</v>
        <stp/>
        <stp>Market</stp>
        <stp>STOCK</stp>
        <stp>42410.T</stp>
        <stp>決算発表日</stp>
        <tr r="X429" s="7"/>
      </tp>
      <tp t="s">
        <v>表示銘柄数超過</v>
        <stp/>
        <stp>Market</stp>
        <stp>STOCK</stp>
        <stp>92410.T</stp>
        <stp>決算発表日</stp>
        <tr r="X1100" s="7"/>
      </tp>
      <tp t="s">
        <v>表示銘柄数超過</v>
        <stp/>
        <stp>Market</stp>
        <stp>STOCK</stp>
        <stp>90410.T</stp>
        <stp>決算発表日</stp>
        <tr r="X1085" s="7"/>
      </tp>
      <tp t="s">
        <v>表示銘柄数超過</v>
        <stp/>
        <stp>Market</stp>
        <stp>STOCK</stp>
        <stp>88410.T</stp>
        <stp>決算発表日</stp>
        <tr r="X1055" s="7"/>
      </tp>
      <tp t="s">
        <v>表示銘柄数超過</v>
        <stp/>
        <stp>Market</stp>
        <stp>STOCK</stp>
        <stp>38420.T</stp>
        <stp>決算発表日</stp>
        <tr r="X371" s="7"/>
      </tp>
      <tp t="s">
        <v>表示銘柄数超過</v>
        <stp/>
        <stp>Market</stp>
        <stp>STOCK</stp>
        <stp>32420.T</stp>
        <stp>決算発表日</stp>
        <tr r="X263" s="7"/>
      </tp>
      <tp t="s">
        <v>表示銘柄数超過</v>
        <stp/>
        <stp>Market</stp>
        <stp>STOCK</stp>
        <stp>22420.T</stp>
        <stp>決算発表日</stp>
        <tr r="X108" s="7"/>
      </tp>
      <tp t="s">
        <v>表示銘柄数超過</v>
        <stp/>
        <stp>Market</stp>
        <stp>STOCK</stp>
        <stp>19420.T</stp>
        <stp>決算発表日</stp>
        <tr r="X80" s="7"/>
      </tp>
      <tp t="s">
        <v>2024/02/14</v>
        <stp/>
        <stp>Market</stp>
        <stp>STOCK</stp>
        <stp>73420.T</stp>
        <stp>決算発表日</stp>
        <tr r="X876" s="7"/>
      </tp>
      <tp t="s">
        <v>2024/02/14</v>
        <stp/>
        <stp>Market</stp>
        <stp>STOCK</stp>
        <stp>69420.T</stp>
        <stp>決算発表日</stp>
        <tr r="X792" s="7"/>
      </tp>
      <tp t="s">
        <v>2024/02/09</v>
        <stp/>
        <stp>Market</stp>
        <stp>STOCK</stp>
        <stp>67420.T</stp>
        <stp>決算発表日</stp>
        <tr r="X761" s="7"/>
      </tp>
      <tp t="s">
        <v>表示銘柄数超過</v>
        <stp/>
        <stp>Market</stp>
        <stp>STOCK</stp>
        <stp>98420.T</stp>
        <stp>決算発表日</stp>
        <tr r="X1172" s="7"/>
      </tp>
      <tp t="s">
        <v>表示銘柄数超過</v>
        <stp/>
        <stp>Market</stp>
        <stp>STOCK</stp>
        <stp>91420.T</stp>
        <stp>決算発表日</stp>
        <tr r="X1098" s="7"/>
      </tp>
      <tp t="s">
        <v>表示銘柄数超過</v>
        <stp/>
        <stp>Market</stp>
        <stp>STOCK</stp>
        <stp>90420.T</stp>
        <stp>決算発表日</stp>
        <tr r="X1086" s="7"/>
      </tp>
      <tp t="s">
        <v>2024/02/09</v>
        <stp/>
        <stp>Market</stp>
        <stp>STOCK</stp>
        <stp>87420.T</stp>
        <stp>決算発表日</stp>
        <tr r="X1042" s="7"/>
      </tp>
      <tp t="s">
        <v>2024/02/02</v>
        <stp/>
        <stp>Market</stp>
        <stp>STOCK</stp>
        <stp>82420.T</stp>
        <stp>決算発表日</stp>
        <tr r="X996" s="7"/>
      </tp>
      <tp t="s">
        <v>表示銘柄数超過</v>
        <stp/>
        <stp>Market</stp>
        <stp>STOCK</stp>
        <stp>35430.T</stp>
        <stp>決算発表日</stp>
        <tr r="X306" s="7"/>
      </tp>
      <tp t="s">
        <v>表示銘柄数超過</v>
        <stp/>
        <stp>Market</stp>
        <stp>STOCK</stp>
        <stp>27430.T</stp>
        <stp>決算発表日</stp>
        <tr r="X191" s="7"/>
      </tp>
      <tp t="s">
        <v>表示銘柄数超過</v>
        <stp/>
        <stp>Market</stp>
        <stp>STOCK</stp>
        <stp>17430.T</stp>
        <stp>決算発表日</stp>
        <tr r="X53" s="7"/>
      </tp>
      <tp t="s">
        <v>2024/02/09</v>
        <stp/>
        <stp>Market</stp>
        <stp>STOCK</stp>
        <stp>70430.T</stp>
        <stp>決算発表日</stp>
        <tr r="X813" s="7"/>
      </tp>
      <tp t="s">
        <v>2024/01/12</v>
        <stp/>
        <stp>Market</stp>
        <stp>STOCK</stp>
        <stp>65430.T</stp>
        <stp>決算発表日</stp>
        <tr r="X721" s="7"/>
      </tp>
      <tp t="s">
        <v>2024/02/14</v>
        <stp/>
        <stp>Market</stp>
        <stp>STOCK</stp>
        <stp>63430.T</stp>
        <stp>決算発表日</stp>
        <tr r="X691" s="7"/>
      </tp>
      <tp t="s">
        <v>2024/01/11</v>
        <stp/>
        <stp>Market</stp>
        <stp>STOCK</stp>
        <stp>52430.T</stp>
        <stp>決算発表日</stp>
        <tr r="X577" s="7"/>
      </tp>
      <tp t="s">
        <v>表示銘柄数超過</v>
        <stp/>
        <stp>Market</stp>
        <stp>STOCK</stp>
        <stp>43430.T</stp>
        <stp>決算発表日</stp>
        <tr r="X445" s="7"/>
      </tp>
      <tp t="s">
        <v>表示銘柄数超過</v>
        <stp/>
        <stp>Market</stp>
        <stp>STOCK</stp>
        <stp>42430.T</stp>
        <stp>決算発表日</stp>
        <tr r="X430" s="7"/>
      </tp>
      <tp t="s">
        <v>2024/01/12</v>
        <stp/>
        <stp>Market</stp>
        <stp>STOCK</stp>
        <stp>81430.T</stp>
        <stp>決算発表日</stp>
        <tr r="X983" s="7"/>
      </tp>
      <tp t="s">
        <v>表示銘柄数超過</v>
        <stp/>
        <stp>Market</stp>
        <stp>STOCK</stp>
        <stp>18480.T</stp>
        <stp>決算発表日</stp>
        <tr r="X67" s="7"/>
      </tp>
      <tp t="s">
        <v>2024/01/31</v>
        <stp/>
        <stp>Market</stp>
        <stp>STOCK</stp>
        <stp>71480.T</stp>
        <stp>決算発表日</stp>
        <tr r="X830" s="7"/>
      </tp>
      <tp t="s">
        <v>2024/02/14</v>
        <stp/>
        <stp>Market</stp>
        <stp>STOCK</stp>
        <stp>70480.T</stp>
        <stp>決算発表日</stp>
        <tr r="X816" s="7"/>
      </tp>
      <tp t="s">
        <v>2024/02/13</v>
        <stp/>
        <stp>Market</stp>
        <stp>STOCK</stp>
        <stp>67480.T</stp>
        <stp>決算発表日</stp>
        <tr r="X762" s="7"/>
      </tp>
      <tp t="s">
        <v>2024/01/12</v>
        <stp/>
        <stp>Market</stp>
        <stp>STOCK</stp>
        <stp>60480.T</stp>
        <stp>決算発表日</stp>
        <tr r="X644" s="7"/>
      </tp>
      <tp t="s">
        <v>表示銘柄数超過</v>
        <stp/>
        <stp>Market</stp>
        <stp>STOCK</stp>
        <stp>44480.T</stp>
        <stp>決算発表日</stp>
        <tr r="X468" s="7"/>
      </tp>
      <tp t="s">
        <v>表示銘柄数超過</v>
        <stp/>
        <stp>Market</stp>
        <stp>STOCK</stp>
        <stp>92480.T</stp>
        <stp>決算発表日</stp>
        <tr r="X1102" s="7"/>
      </tp>
      <tp t="s">
        <v>表示銘柄数超過</v>
        <stp/>
        <stp>Market</stp>
        <stp>STOCK</stp>
        <stp>90480.T</stp>
        <stp>決算発表日</stp>
        <tr r="X1088" s="7"/>
      </tp>
      <tp t="s">
        <v>表示銘柄数超過</v>
        <stp/>
        <stp>Market</stp>
        <stp>STOCK</stp>
        <stp>36490.T</stp>
        <stp>決算発表日</stp>
        <tr r="X321" s="7"/>
      </tp>
      <tp t="s">
        <v>表示銘柄数超過</v>
        <stp/>
        <stp>Market</stp>
        <stp>STOCK</stp>
        <stp>27490.T</stp>
        <stp>決算発表日</stp>
        <tr r="X192" s="7"/>
      </tp>
      <tp t="s">
        <v>2024/01/11</v>
        <stp/>
        <stp>Market</stp>
        <stp>STOCK</stp>
        <stp>70490.T</stp>
        <stp>決算発表日</stp>
        <tr r="X817" s="7"/>
      </tp>
      <tp t="s">
        <v>2024/03/08</v>
        <stp/>
        <stp>Market</stp>
        <stp>STOCK</stp>
        <stp>60490.T</stp>
        <stp>決算発表日</stp>
        <tr r="X645" s="7"/>
      </tp>
      <tp t="s">
        <v>2024/02/13</v>
        <stp/>
        <stp>Market</stp>
        <stp>STOCK</stp>
        <stp>59490.T</stp>
        <stp>決算発表日</stp>
        <tr r="X624" s="7"/>
      </tp>
      <tp t="s">
        <v>2024/01/30</v>
        <stp/>
        <stp>Market</stp>
        <stp>STOCK</stp>
        <stp>54490.T</stp>
        <stp>決算発表日</stp>
        <tr r="X596" s="7"/>
      </tp>
      <tp t="s">
        <v>表示銘柄数超過</v>
        <stp/>
        <stp>Market</stp>
        <stp>STOCK</stp>
        <stp>45930.T</stp>
        <stp>年初来高値</stp>
        <tr r="Y504" s="7"/>
      </tp>
      <tp t="s">
        <v>表示銘柄数超過</v>
        <stp/>
        <stp>Market</stp>
        <stp>STOCK</stp>
        <stp>42930.T</stp>
        <stp>年初来高値</stp>
        <tr r="Y439" s="7"/>
      </tp>
      <tp t="s">
        <v>表示銘柄数超過</v>
        <stp/>
        <stp>Market</stp>
        <stp>STOCK</stp>
        <stp>25935.T</stp>
        <stp>年初来高値</stp>
        <tr r="Y167" s="7"/>
      </tp>
      <tp>
        <v>553</v>
        <stp/>
        <stp>Market</stp>
        <stp>STOCK</stp>
        <stp>75930.T</stp>
        <stp>年初来高値</stp>
        <tr r="Y908" s="7"/>
      </tp>
      <tp>
        <v>380</v>
        <stp/>
        <stp>Market</stp>
        <stp>STOCK</stp>
        <stp>64930.T</stp>
        <stp>年初来高値</stp>
        <tr r="Y709" s="7"/>
      </tp>
      <tp>
        <v>158</v>
        <stp/>
        <stp>Market</stp>
        <stp>STOCK</stp>
        <stp>60930.T</stp>
        <stp>年初来高値</stp>
        <tr r="Y652" s="7"/>
      </tp>
      <tp>
        <v>67</v>
        <stp/>
        <stp>Market</stp>
        <stp>STOCK</stp>
        <stp>69930.T</stp>
        <stp>年初来高値</stp>
        <tr r="Y801" s="7"/>
      </tp>
      <tp t="s">
        <v>表示銘柄数超過</v>
        <stp/>
        <stp>Market</stp>
        <stp>STOCK</stp>
        <stp>18930.T</stp>
        <stp>年初来高値</stp>
        <tr r="Y70" s="7"/>
      </tp>
      <tp t="s">
        <v>表示銘柄数超過</v>
        <stp/>
        <stp>Market</stp>
        <stp>STOCK</stp>
        <stp>37930.T</stp>
        <stp>年初来高値</stp>
        <tr r="Y360" s="7"/>
      </tp>
      <tp t="s">
        <v>表示銘柄数超過</v>
        <stp/>
        <stp>Market</stp>
        <stp>STOCK</stp>
        <stp>26930.T</stp>
        <stp>年初来高値</stp>
        <tr r="Y183" s="7"/>
      </tp>
      <tp t="s">
        <v>表示銘柄数超過</v>
        <stp/>
        <stp>Market</stp>
        <stp>STOCK</stp>
        <stp>29930.T</stp>
        <stp>年初来高値</stp>
        <tr r="Y219" s="7"/>
      </tp>
      <tp>
        <v>1088</v>
        <stp/>
        <stp>Market</stp>
        <stp>STOCK</stp>
        <stp>85930.T</stp>
        <stp>年初来高値</stp>
        <tr r="Y1024" s="7"/>
      </tp>
      <tp t="s">
        <v>表示銘柄数超過</v>
        <stp/>
        <stp>Market</stp>
        <stp>STOCK</stp>
        <stp>87930.T</stp>
        <stp>年初来高値</stp>
        <tr r="Y1049" s="7"/>
      </tp>
      <tp t="s">
        <v>表示銘柄数超過</v>
        <stp/>
        <stp>Market</stp>
        <stp>STOCK</stp>
        <stp>88930.T</stp>
        <stp>年初来高値</stp>
        <tr r="Y1059" s="7"/>
      </tp>
      <tp>
        <v>5020</v>
        <stp/>
        <stp>Market</stp>
        <stp>STOCK</stp>
        <stp>51920.T</stp>
        <stp>年初来高値</stp>
        <tr r="Y574" s="7"/>
      </tp>
      <tp t="s">
        <v>表示銘柄数超過</v>
        <stp/>
        <stp>Market</stp>
        <stp>STOCK</stp>
        <stp>44920.T</stp>
        <stp>年初来高値</stp>
        <tr r="Y477" s="7"/>
      </tp>
      <tp t="s">
        <v>表示銘柄数超過</v>
        <stp/>
        <stp>Market</stp>
        <stp>STOCK</stp>
        <stp>45920.T</stp>
        <stp>年初来高値</stp>
        <tr r="Y503" s="7"/>
      </tp>
      <tp t="s">
        <v>表示銘柄数超過</v>
        <stp/>
        <stp>Market</stp>
        <stp>STOCK</stp>
        <stp>41920.T</stp>
        <stp>年初来高値</stp>
        <tr r="Y424" s="7"/>
      </tp>
      <tp t="s">
        <v>表示銘柄数超過</v>
        <stp/>
        <stp>Market</stp>
        <stp>STOCK</stp>
        <stp>48920.T</stp>
        <stp>年初来高値</stp>
        <tr r="Y550" s="7"/>
      </tp>
      <tp>
        <v>274</v>
        <stp/>
        <stp>Market</stp>
        <stp>STOCK</stp>
        <stp>76920.T</stp>
        <stp>年初来高値</stp>
        <tr r="Y920" s="7"/>
      </tp>
      <tp>
        <v>1345</v>
        <stp/>
        <stp>Market</stp>
        <stp>STOCK</stp>
        <stp>77920.T</stp>
        <stp>年初来高値</stp>
        <tr r="Y935" s="7"/>
      </tp>
      <tp>
        <v>799</v>
        <stp/>
        <stp>Market</stp>
        <stp>STOCK</stp>
        <stp>60920.T</stp>
        <stp>年初来高値</stp>
        <tr r="Y651" s="7"/>
      </tp>
      <tp t="s">
        <v/>
        <stp/>
        <stp>Market</stp>
        <stp>STOCK</stp>
        <stp>61920.T</stp>
        <stp>年初来高値</stp>
        <tr r="Y674" s="7"/>
      </tp>
      <tp t="s">
        <v>表示銘柄数超過</v>
        <stp/>
        <stp>Market</stp>
        <stp>STOCK</stp>
        <stp>31920.T</stp>
        <stp>年初来高値</stp>
        <tr r="Y256" s="7"/>
      </tp>
      <tp t="s">
        <v>表示銘柄数超過</v>
        <stp/>
        <stp>Market</stp>
        <stp>STOCK</stp>
        <stp>33920.T</stp>
        <stp>年初来高値</stp>
        <tr r="Y293" s="7"/>
      </tp>
      <tp t="s">
        <v>表示銘柄数超過</v>
        <stp/>
        <stp>Market</stp>
        <stp>STOCK</stp>
        <stp>39920.T</stp>
        <stp>年初来高値</stp>
        <tr r="Y406" s="7"/>
      </tp>
      <tp t="s">
        <v>表示銘柄数超過</v>
        <stp/>
        <stp>Market</stp>
        <stp>STOCK</stp>
        <stp>24920.T</stp>
        <stp>年初来高値</stp>
        <tr r="Y154" s="7"/>
      </tp>
      <tp>
        <v>1010</v>
        <stp/>
        <stp>Market</stp>
        <stp>STOCK</stp>
        <stp>54910.T</stp>
        <stp>年初来高値</stp>
        <tr r="Y598" s="7"/>
      </tp>
      <tp>
        <v>1255.5</v>
        <stp/>
        <stp>Market</stp>
        <stp>STOCK</stp>
        <stp>59910.T</stp>
        <stp>年初来高値</stp>
        <tr r="Y633" s="7"/>
      </tp>
      <tp t="s">
        <v>表示銘柄数超過</v>
        <stp/>
        <stp>Market</stp>
        <stp>STOCK</stp>
        <stp>45910.T</stp>
        <stp>年初来高値</stp>
        <tr r="Y502" s="7"/>
      </tp>
      <tp t="s">
        <v>表示銘柄数超過</v>
        <stp/>
        <stp>Market</stp>
        <stp>STOCK</stp>
        <stp>48910.T</stp>
        <stp>年初来高値</stp>
        <tr r="Y549" s="7"/>
      </tp>
      <tp>
        <v>605</v>
        <stp/>
        <stp>Market</stp>
        <stp>STOCK</stp>
        <stp>72910.T</stp>
        <stp>年初来高値</stp>
        <tr r="Y871" s="7"/>
      </tp>
      <tp>
        <v>549</v>
        <stp/>
        <stp>Market</stp>
        <stp>STOCK</stp>
        <stp>60910.T</stp>
        <stp>年初来高値</stp>
        <tr r="Y650" s="7"/>
      </tp>
      <tp t="s">
        <v>表示銘柄数超過</v>
        <stp/>
        <stp>Market</stp>
        <stp>STOCK</stp>
        <stp>14910.T</stp>
        <stp>年初来高値</stp>
        <tr r="Y29" s="7"/>
      </tp>
      <tp t="s">
        <v>表示銘柄数超過</v>
        <stp/>
        <stp>Market</stp>
        <stp>STOCK</stp>
        <stp>36910.T</stp>
        <stp>年初来高値</stp>
        <tr r="Y341" s="7"/>
      </tp>
      <tp>
        <v>2991</v>
        <stp/>
        <stp>Market</stp>
        <stp>STOCK</stp>
        <stp>85910.T</stp>
        <stp>年初来高値</stp>
        <tr r="Y1023" s="7"/>
      </tp>
      <tp>
        <v>498</v>
        <stp/>
        <stp>Market</stp>
        <stp>STOCK</stp>
        <stp>82910.T</stp>
        <stp>年初来高値</stp>
        <tr r="Y1002" s="7"/>
      </tp>
      <tp t="s">
        <v>表示銘柄数超過</v>
        <stp/>
        <stp>Market</stp>
        <stp>STOCK</stp>
        <stp>46900.T</stp>
        <stp>年初来高値</stp>
        <tr r="Y521" s="7"/>
      </tp>
      <tp t="s">
        <v>表示銘柄数超過</v>
        <stp/>
        <stp>Market</stp>
        <stp>STOCK</stp>
        <stp>48900.T</stp>
        <stp>年初来高値</stp>
        <tr r="Y548" s="7"/>
      </tp>
      <tp>
        <v>753</v>
        <stp/>
        <stp>Market</stp>
        <stp>STOCK</stp>
        <stp>75900.T</stp>
        <stp>年初来高値</stp>
        <tr r="Y907" s="7"/>
      </tp>
      <tp>
        <v>810</v>
        <stp/>
        <stp>Market</stp>
        <stp>STOCK</stp>
        <stp>61900.T</stp>
        <stp>年初来高値</stp>
        <tr r="Y673" s="7"/>
      </tp>
      <tp>
        <v>1572</v>
        <stp/>
        <stp>Market</stp>
        <stp>STOCK</stp>
        <stp>63900.T</stp>
        <stp>年初来高値</stp>
        <tr r="Y698" s="7"/>
      </tp>
      <tp t="s">
        <v>表示銘柄数超過</v>
        <stp/>
        <stp>Market</stp>
        <stp>STOCK</stp>
        <stp>39900.T</stp>
        <stp>年初来高値</stp>
        <tr r="Y405" s="7"/>
      </tp>
      <tp t="s">
        <v>表示銘柄数超過</v>
        <stp/>
        <stp>Market</stp>
        <stp>STOCK</stp>
        <stp>27900.T</stp>
        <stp>年初来高値</stp>
        <tr r="Y200" s="7"/>
      </tp>
      <tp t="s">
        <v>表示銘柄数超過</v>
        <stp/>
        <stp>Market</stp>
        <stp>STOCK</stp>
        <stp>90900.T</stp>
        <stp>年初来高値</stp>
        <tr r="Y1092" s="7"/>
      </tp>
      <tp t="s">
        <v>表示銘柄数超過</v>
        <stp/>
        <stp>Market</stp>
        <stp>STOCK</stp>
        <stp>98900.T</stp>
        <stp>年初来高値</stp>
        <tr r="Y1177" s="7"/>
      </tp>
      <tp t="s">
        <v>表示銘柄数超過</v>
        <stp/>
        <stp>Market</stp>
        <stp>STOCK</stp>
        <stp>99900.T</stp>
        <stp>年初来高値</stp>
        <tr r="Y1190" s="7"/>
      </tp>
      <tp>
        <v>700</v>
        <stp/>
        <stp>Market</stp>
        <stp>STOCK</stp>
        <stp>59970.T</stp>
        <stp>年初来高値</stp>
        <tr r="Y635" s="7"/>
      </tp>
      <tp t="s">
        <v>表示銘柄数超過</v>
        <stp/>
        <stp>Market</stp>
        <stp>STOCK</stp>
        <stp>45970.T</stp>
        <stp>年初来高値</stp>
        <tr r="Y507" s="7"/>
      </tp>
      <tp>
        <v>746</v>
        <stp/>
        <stp>Market</stp>
        <stp>STOCK</stp>
        <stp>49970.T</stp>
        <stp>年初来高値</stp>
        <tr r="Y557" s="7"/>
      </tp>
      <tp>
        <v>160</v>
        <stp/>
        <stp>Market</stp>
        <stp>STOCK</stp>
        <stp>78970.T</stp>
        <stp>年初来高値</stp>
        <tr r="Y952" s="7"/>
      </tp>
      <tp>
        <v>1159</v>
        <stp/>
        <stp>Market</stp>
        <stp>STOCK</stp>
        <stp>79970.T</stp>
        <stp>年初来高値</stp>
        <tr r="Y963" s="7"/>
      </tp>
      <tp>
        <v>564</v>
        <stp/>
        <stp>Market</stp>
        <stp>STOCK</stp>
        <stp>62970.T</stp>
        <stp>年初来高値</stp>
        <tr r="Y684" s="7"/>
      </tp>
      <tp>
        <v>550</v>
        <stp/>
        <stp>Market</stp>
        <stp>STOCK</stp>
        <stp>68970.T</stp>
        <stp>年初来高値</stp>
        <tr r="Y783" s="7"/>
      </tp>
      <tp>
        <v>2354</v>
        <stp/>
        <stp>Market</stp>
        <stp>STOCK</stp>
        <stp>69970.T</stp>
        <stp>年初来高値</stp>
        <tr r="Y803" s="7"/>
      </tp>
      <tp t="s">
        <v>表示銘柄数超過</v>
        <stp/>
        <stp>Market</stp>
        <stp>STOCK</stp>
        <stp>31970.T</stp>
        <stp>年初来高値</stp>
        <tr r="Y257" s="7"/>
      </tp>
      <tp t="s">
        <v>表示銘柄数超過</v>
        <stp/>
        <stp>Market</stp>
        <stp>STOCK</stp>
        <stp>32970.T</stp>
        <stp>年初来高値</stp>
        <tr r="Y273" s="7"/>
      </tp>
      <tp t="s">
        <v>表示銘柄数超過</v>
        <stp/>
        <stp>Market</stp>
        <stp>STOCK</stp>
        <stp>39970.T</stp>
        <stp>年初来高値</stp>
        <tr r="Y408" s="7"/>
      </tp>
      <tp t="s">
        <v>表示銘柄数超過</v>
        <stp/>
        <stp>Market</stp>
        <stp>STOCK</stp>
        <stp>24970.T</stp>
        <stp>年初来高値</stp>
        <tr r="Y155" s="7"/>
      </tp>
      <tp t="s">
        <v>表示銘柄数超過</v>
        <stp/>
        <stp>Market</stp>
        <stp>STOCK</stp>
        <stp>25970.T</stp>
        <stp>年初来高値</stp>
        <tr r="Y168" s="7"/>
      </tp>
      <tp t="s">
        <v>表示銘柄数超過</v>
        <stp/>
        <stp>Market</stp>
        <stp>STOCK</stp>
        <stp>29970.T</stp>
        <stp>年初来高値</stp>
        <tr r="Y220" s="7"/>
      </tp>
      <tp>
        <v>3402</v>
        <stp/>
        <stp>Market</stp>
        <stp>STOCK</stp>
        <stp>86970.T</stp>
        <stp>年初来高値</stp>
        <tr r="Y1035" s="7"/>
      </tp>
      <tp t="s">
        <v>表示銘柄数超過</v>
        <stp/>
        <stp>Market</stp>
        <stp>STOCK</stp>
        <stp>88970.T</stp>
        <stp>年初来高値</stp>
        <tr r="Y1061" s="7"/>
      </tp>
      <tp t="s">
        <v>表示銘柄数超過</v>
        <stp/>
        <stp>Market</stp>
        <stp>STOCK</stp>
        <stp>45960.T</stp>
        <stp>年初来高値</stp>
        <tr r="Y506" s="7"/>
      </tp>
      <tp>
        <v>1084</v>
        <stp/>
        <stp>Market</stp>
        <stp>STOCK</stp>
        <stp>71960.T</stp>
        <stp>年初来高値</stp>
        <tr r="Y843" s="7"/>
      </tp>
      <tp>
        <v>842</v>
        <stp/>
        <stp>Market</stp>
        <stp>STOCK</stp>
        <stp>66960.T</stp>
        <stp>年初来高値</stp>
        <tr r="Y753" s="7"/>
      </tp>
      <tp>
        <v>1585</v>
        <stp/>
        <stp>Market</stp>
        <stp>STOCK</stp>
        <stp>60960.T</stp>
        <stp>年初来高値</stp>
        <tr r="Y653" s="7"/>
      </tp>
      <tp t="s">
        <v>表示銘柄数超過</v>
        <stp/>
        <stp>Market</stp>
        <stp>STOCK</stp>
        <stp>36960.T</stp>
        <stp>年初来高値</stp>
        <tr r="Y342" s="7"/>
      </tp>
      <tp t="s">
        <v>表示銘柄数超過</v>
        <stp/>
        <stp>Market</stp>
        <stp>STOCK</stp>
        <stp>89960.T</stp>
        <stp>年初来高値</stp>
        <tr r="Y1072" s="7"/>
      </tp>
      <tp t="s">
        <v>表示銘柄数超過</v>
        <stp/>
        <stp>Market</stp>
        <stp>STOCK</stp>
        <stp>44950.T</stp>
        <stp>年初来高値</stp>
        <tr r="Y478" s="7"/>
      </tp>
      <tp t="s">
        <v>表示銘柄数超過</v>
        <stp/>
        <stp>Market</stp>
        <stp>STOCK</stp>
        <stp>43950.T</stp>
        <stp>年初来高値</stp>
        <tr r="Y458" s="7"/>
      </tp>
      <tp>
        <v>213</v>
        <stp/>
        <stp>Market</stp>
        <stp>STOCK</stp>
        <stp>77950.T</stp>
        <stp>年初来高値</stp>
        <tr r="Y937" s="7"/>
      </tp>
      <tp>
        <v>159</v>
        <stp/>
        <stp>Market</stp>
        <stp>STOCK</stp>
        <stp>64950.T</stp>
        <stp>年初来高値</stp>
        <tr r="Y711" s="7"/>
      </tp>
      <tp>
        <v>427</v>
        <stp/>
        <stp>Market</stp>
        <stp>STOCK</stp>
        <stp>61950.T</stp>
        <stp>年初来高値</stp>
        <tr r="Y676" s="7"/>
      </tp>
      <tp>
        <v>1355</v>
        <stp/>
        <stp>Market</stp>
        <stp>STOCK</stp>
        <stp>63950.T</stp>
        <stp>年初来高値</stp>
        <tr r="Y699" s="7"/>
      </tp>
      <tp t="s">
        <v>表示銘柄数超過</v>
        <stp/>
        <stp>Market</stp>
        <stp>STOCK</stp>
        <stp>39950.T</stp>
        <stp>年初来高値</stp>
        <tr r="Y407" s="7"/>
      </tp>
      <tp t="s">
        <v>表示銘柄数超過</v>
        <stp/>
        <stp>Market</stp>
        <stp>STOCK</stp>
        <stp>99950.T</stp>
        <stp>年初来高値</stp>
        <tr r="Y1191" s="7"/>
      </tp>
      <tp>
        <v>548</v>
        <stp/>
        <stp>Market</stp>
        <stp>STOCK</stp>
        <stp>80950.T</stp>
        <stp>年初来高値</stp>
        <tr r="Y975" s="7"/>
      </tp>
      <tp>
        <v>1650</v>
        <stp/>
        <stp>Market</stp>
        <stp>STOCK</stp>
        <stp>59940.T</stp>
        <stp>年初来高値</stp>
        <tr r="Y634" s="7"/>
      </tp>
      <tp t="s">
        <v>表示銘柄数超過</v>
        <stp/>
        <stp>Market</stp>
        <stp>STOCK</stp>
        <stp>45940.T</stp>
        <stp>年初来高値</stp>
        <tr r="Y505" s="7"/>
      </tp>
      <tp>
        <v>468</v>
        <stp/>
        <stp>Market</stp>
        <stp>STOCK</stp>
        <stp>74940.T</stp>
        <stp>年初来高値</stp>
        <tr r="Y894" s="7"/>
      </tp>
      <tp>
        <v>3155</v>
        <stp/>
        <stp>Market</stp>
        <stp>STOCK</stp>
        <stp>77940.T</stp>
        <stp>年初来高値</stp>
        <tr r="Y936" s="7"/>
      </tp>
      <tp>
        <v>1008</v>
        <stp/>
        <stp>Market</stp>
        <stp>STOCK</stp>
        <stp>72940.T</stp>
        <stp>年初来高値</stp>
        <tr r="Y872" s="7"/>
      </tp>
      <tp>
        <v>124</v>
        <stp/>
        <stp>Market</stp>
        <stp>STOCK</stp>
        <stp>64940.T</stp>
        <stp>年初来高値</stp>
        <tr r="Y710" s="7"/>
      </tp>
      <tp>
        <v>8706</v>
        <stp/>
        <stp>Market</stp>
        <stp>STOCK</stp>
        <stp>65940.T</stp>
        <stp>年初来高値</stp>
        <tr r="Y735" s="7"/>
      </tp>
      <tp>
        <v>1311</v>
        <stp/>
        <stp>Market</stp>
        <stp>STOCK</stp>
        <stp>61940.T</stp>
        <stp>年初来高値</stp>
        <tr r="Y675" s="7"/>
      </tp>
      <tp>
        <v>550</v>
        <stp/>
        <stp>Market</stp>
        <stp>STOCK</stp>
        <stp>69940.T</stp>
        <stp>年初来高値</stp>
        <tr r="Y802" s="7"/>
      </tp>
      <tp t="s">
        <v>表示銘柄数超過</v>
        <stp/>
        <stp>Market</stp>
        <stp>STOCK</stp>
        <stp>19940.T</stp>
        <stp>年初来高値</stp>
        <tr r="Y86" s="7"/>
      </tp>
      <tp t="s">
        <v>表示銘柄数超過</v>
        <stp/>
        <stp>Market</stp>
        <stp>STOCK</stp>
        <stp>26940.T</stp>
        <stp>年初来高値</stp>
        <tr r="Y184" s="7"/>
      </tp>
      <tp t="s">
        <v>表示銘柄数超過</v>
        <stp/>
        <stp>Market</stp>
        <stp>STOCK</stp>
        <stp>28940.T</stp>
        <stp>年初来高値</stp>
        <tr r="Y212" s="7"/>
      </tp>
      <tp>
        <v>3890</v>
        <stp/>
        <stp>Market</stp>
        <stp>STOCK</stp>
        <stp>81940.T</stp>
        <stp>年初来高値</stp>
        <tr r="Y989" s="7"/>
      </tp>
      <tp t="s">
        <v>表示銘柄数超過</v>
        <stp/>
        <stp>Market</stp>
        <stp>STOCK</stp>
        <stp>88940.T</stp>
        <stp>年初来高値</stp>
        <tr r="Y1060" s="7"/>
      </tp>
      <tp t="s">
        <v>表示銘柄数超過</v>
        <stp/>
        <stp>Market</stp>
        <stp>STOCK</stp>
        <stp>16990.T</stp>
        <stp>年初来高値</stp>
        <tr r="Y45" s="7"/>
      </tp>
      <tp t="s">
        <v>表示銘柄数超過</v>
        <stp/>
        <stp>Market</stp>
        <stp>STOCK</stp>
        <stp>13990.T</stp>
        <stp>年初来高値</stp>
        <tr r="Y16" s="7"/>
      </tp>
      <tp t="s">
        <v>表示銘柄数超過</v>
        <stp/>
        <stp>Market</stp>
        <stp>STOCK</stp>
        <stp>30990.T</stp>
        <stp>年初来高値</stp>
        <tr r="Y240" s="7"/>
      </tp>
      <tp t="s">
        <v>表示銘柄数超過</v>
        <stp/>
        <stp>Market</stp>
        <stp>STOCK</stp>
        <stp>32990.T</stp>
        <stp>年初来高値</stp>
        <tr r="Y274" s="7"/>
      </tp>
      <tp>
        <v>30</v>
        <stp/>
        <stp>Market</stp>
        <stp>STOCK</stp>
        <stp>93990.T</stp>
        <stp>年初来高値</stp>
        <tr r="Y1113" s="7"/>
      </tp>
      <tp>
        <v>778</v>
        <stp/>
        <stp>Market</stp>
        <stp>STOCK</stp>
        <stp>56980.T</stp>
        <stp>年初来高値</stp>
        <tr r="Y604" s="7"/>
      </tp>
      <tp t="s">
        <v/>
        <stp/>
        <stp>Market</stp>
        <stp>STOCK</stp>
        <stp>72980.T</stp>
        <stp>年初来高値</stp>
        <tr r="Y873" s="7"/>
      </tp>
      <tp>
        <v>1248</v>
        <stp/>
        <stp>Market</stp>
        <stp>STOCK</stp>
        <stp>64980.T</stp>
        <stp>年初来高値</stp>
        <tr r="Y712" s="7"/>
      </tp>
      <tp>
        <v>6353</v>
        <stp/>
        <stp>Market</stp>
        <stp>STOCK</stp>
        <stp>60980.T</stp>
        <stp>年初来高値</stp>
        <tr r="Y654" s="7"/>
      </tp>
      <tp>
        <v>3610</v>
        <stp/>
        <stp>Market</stp>
        <stp>STOCK</stp>
        <stp>62980.T</stp>
        <stp>年初来高値</stp>
        <tr r="Y685" s="7"/>
      </tp>
      <tp t="s">
        <v>表示銘柄数超過</v>
        <stp/>
        <stp>Market</stp>
        <stp>STOCK</stp>
        <stp>18980.T</stp>
        <stp>年初来高値</stp>
        <tr r="Y71" s="7"/>
      </tp>
      <tp t="s">
        <v>表示銘柄数超過</v>
        <stp/>
        <stp>Market</stp>
        <stp>STOCK</stp>
        <stp>36980.T</stp>
        <stp>年初来高値</stp>
        <tr r="Y343" s="7"/>
      </tp>
      <tp t="s">
        <v>表示銘柄数超過</v>
        <stp/>
        <stp>Market</stp>
        <stp>STOCK</stp>
        <stp>39980.T</stp>
        <stp>年初来高値</stp>
        <tr r="Y409" s="7"/>
      </tp>
      <tp t="s">
        <v>表示銘柄数超過</v>
        <stp/>
        <stp>Market</stp>
        <stp>STOCK</stp>
        <stp>26980.T</stp>
        <stp>年初来高値</stp>
        <tr r="Y185" s="7"/>
      </tp>
      <tp t="s">
        <v>表示銘柄数超過</v>
        <stp/>
        <stp>Market</stp>
        <stp>STOCK</stp>
        <stp>21980.T</stp>
        <stp>年初来高値</stp>
        <tr r="Y102" s="7"/>
      </tp>
      <tp>
        <v>787</v>
        <stp/>
        <stp>Market</stp>
        <stp>STOCK</stp>
        <stp>86980.T</stp>
        <stp>年初来高値</stp>
        <tr r="Y1036" s="7"/>
      </tp>
      <tp t="s">
        <v>表示銘柄数超過</v>
        <stp/>
        <stp>Market</stp>
        <stp>STOCK</stp>
        <stp>26930.T</stp>
        <stp>現在値</stp>
        <tr r="C183" s="7"/>
      </tp>
      <tp t="s">
        <v>表示銘柄数超過</v>
        <stp/>
        <stp>Market</stp>
        <stp>STOCK</stp>
        <stp>26940.T</stp>
        <stp>現在値</stp>
        <tr r="C184" s="7"/>
      </tp>
      <tp t="s">
        <v>表示銘柄数超過</v>
        <stp/>
        <stp>Market</stp>
        <stp>STOCK</stp>
        <stp>26980.T</stp>
        <stp>現在値</stp>
        <tr r="C185" s="7"/>
      </tp>
      <tp t="s">
        <v>表示銘柄数超過</v>
        <stp/>
        <stp>Market</stp>
        <stp>STOCK</stp>
        <stp>26810.T</stp>
        <stp>現在値</stp>
        <tr r="C180" s="7"/>
      </tp>
      <tp t="s">
        <v>表示銘柄数超過</v>
        <stp/>
        <stp>Market</stp>
        <stp>STOCK</stp>
        <stp>26850.T</stp>
        <stp>現在値</stp>
        <tr r="C181" s="7"/>
      </tp>
      <tp t="s">
        <v>表示銘柄数超過</v>
        <stp/>
        <stp>Market</stp>
        <stp>STOCK</stp>
        <stp>26860.T</stp>
        <stp>現在値</stp>
        <tr r="C182" s="7"/>
      </tp>
      <tp t="s">
        <v>表示銘柄数超過</v>
        <stp/>
        <stp>Market</stp>
        <stp>STOCK</stp>
        <stp>26330.T</stp>
        <stp>現在値</stp>
        <tr r="C172" s="7"/>
      </tp>
      <tp t="s">
        <v>表示銘柄数超過</v>
        <stp/>
        <stp>Market</stp>
        <stp>STOCK</stp>
        <stp>26340.T</stp>
        <stp>現在値</stp>
        <tr r="C173" s="7"/>
      </tp>
      <tp t="s">
        <v>表示銘柄数超過</v>
        <stp/>
        <stp>Market</stp>
        <stp>STOCK</stp>
        <stp>26350.T</stp>
        <stp>現在値</stp>
        <tr r="C174" s="7"/>
      </tp>
      <tp t="s">
        <v>表示銘柄数超過</v>
        <stp/>
        <stp>Market</stp>
        <stp>STOCK</stp>
        <stp>26200.T</stp>
        <stp>現在値</stp>
        <tr r="C169" s="7"/>
      </tp>
      <tp t="s">
        <v>表示銘柄数超過</v>
        <stp/>
        <stp>Market</stp>
        <stp>STOCK</stp>
        <stp>26210.T</stp>
        <stp>現在値</stp>
        <tr r="C170" s="7"/>
      </tp>
      <tp t="s">
        <v>表示銘柄数超過</v>
        <stp/>
        <stp>Market</stp>
        <stp>STOCK</stp>
        <stp>26240.T</stp>
        <stp>現在値</stp>
        <tr r="C171" s="7"/>
      </tp>
      <tp t="s">
        <v>表示銘柄数超過</v>
        <stp/>
        <stp>Market</stp>
        <stp>STOCK</stp>
        <stp>26510.T</stp>
        <stp>現在値</stp>
        <tr r="C175" s="7"/>
      </tp>
      <tp t="s">
        <v>表示銘柄数超過</v>
        <stp/>
        <stp>Market</stp>
        <stp>STOCK</stp>
        <stp>26560.T</stp>
        <stp>現在値</stp>
        <tr r="C176" s="7"/>
      </tp>
      <tp t="s">
        <v>表示銘柄数超過</v>
        <stp/>
        <stp>Market</stp>
        <stp>STOCK</stp>
        <stp>26740.T</stp>
        <stp>現在値</stp>
        <tr r="C179" s="7"/>
      </tp>
      <tp t="s">
        <v>表示銘柄数超過</v>
        <stp/>
        <stp>Market</stp>
        <stp>STOCK</stp>
        <stp>26660.T</stp>
        <stp>現在値</stp>
        <tr r="C177" s="7"/>
      </tp>
      <tp t="s">
        <v>表示銘柄数超過</v>
        <stp/>
        <stp>Market</stp>
        <stp>STOCK</stp>
        <stp>26670.T</stp>
        <stp>現在値</stp>
        <tr r="C178" s="7"/>
      </tp>
      <tp t="s">
        <v>表示銘柄数超過</v>
        <stp/>
        <stp>Market</stp>
        <stp>STOCK</stp>
        <stp>27900.T</stp>
        <stp>現在値</stp>
        <tr r="C200" s="7"/>
      </tp>
      <tp t="s">
        <v>表示銘柄数超過</v>
        <stp/>
        <stp>Market</stp>
        <stp>STOCK</stp>
        <stp>27820.T</stp>
        <stp>現在値</stp>
        <tr r="C199" s="7"/>
      </tp>
      <tp t="s">
        <v>表示銘柄数超過</v>
        <stp/>
        <stp>Market</stp>
        <stp>STOCK</stp>
        <stp>27020.T</stp>
        <stp>現在値</stp>
        <tr r="C186" s="7"/>
      </tp>
      <tp t="s">
        <v>表示銘柄数超過</v>
        <stp/>
        <stp>Market</stp>
        <stp>STOCK</stp>
        <stp>27340.T</stp>
        <stp>現在値</stp>
        <tr r="C189" s="7"/>
      </tp>
      <tp t="s">
        <v>表示銘柄数超過</v>
        <stp/>
        <stp>Market</stp>
        <stp>STOCK</stp>
        <stp>27350.T</stp>
        <stp>現在値</stp>
        <tr r="C190" s="7"/>
      </tp>
      <tp t="s">
        <v>表示銘柄数超過</v>
        <stp/>
        <stp>Market</stp>
        <stp>STOCK</stp>
        <stp>27210.T</stp>
        <stp>現在値</stp>
        <tr r="C187" s="7"/>
      </tp>
      <tp t="s">
        <v>表示銘柄数超過</v>
        <stp/>
        <stp>Market</stp>
        <stp>STOCK</stp>
        <stp>27220.T</stp>
        <stp>現在値</stp>
        <tr r="C188" s="7"/>
      </tp>
      <tp t="s">
        <v>表示銘柄数超過</v>
        <stp/>
        <stp>Market</stp>
        <stp>STOCK</stp>
        <stp>27430.T</stp>
        <stp>現在値</stp>
        <tr r="C191" s="7"/>
      </tp>
      <tp t="s">
        <v>表示銘柄数超過</v>
        <stp/>
        <stp>Market</stp>
        <stp>STOCK</stp>
        <stp>27490.T</stp>
        <stp>現在値</stp>
        <tr r="C192" s="7"/>
      </tp>
      <tp t="s">
        <v>表示銘柄数超過</v>
        <stp/>
        <stp>Market</stp>
        <stp>STOCK</stp>
        <stp>27760.T</stp>
        <stp>現在値</stp>
        <tr r="C197" s="7"/>
      </tp>
      <tp t="s">
        <v>表示銘柄数超過</v>
        <stp/>
        <stp>Market</stp>
        <stp>STOCK</stp>
        <stp>27780.T</stp>
        <stp>現在値</stp>
        <tr r="C198" s="7"/>
      </tp>
      <tp t="s">
        <v>表示銘柄数超過</v>
        <stp/>
        <stp>Market</stp>
        <stp>STOCK</stp>
        <stp>27620.T</stp>
        <stp>現在値</stp>
        <tr r="C193" s="7"/>
      </tp>
      <tp t="s">
        <v>表示銘柄数超過</v>
        <stp/>
        <stp>Market</stp>
        <stp>STOCK</stp>
        <stp>27640.T</stp>
        <stp>現在値</stp>
        <tr r="C194" s="7"/>
      </tp>
      <tp t="s">
        <v>表示銘柄数超過</v>
        <stp/>
        <stp>Market</stp>
        <stp>STOCK</stp>
        <stp>27670.T</stp>
        <stp>現在値</stp>
        <tr r="C195" s="7"/>
      </tp>
      <tp t="s">
        <v>表示銘柄数超過</v>
        <stp/>
        <stp>Market</stp>
        <stp>STOCK</stp>
        <stp>27680.T</stp>
        <stp>現在値</stp>
        <tr r="C196" s="7"/>
      </tp>
      <tp t="s">
        <v>表示銘柄数超過</v>
        <stp/>
        <stp>Market</stp>
        <stp>STOCK</stp>
        <stp>24920.T</stp>
        <stp>現在値</stp>
        <tr r="C154" s="7"/>
      </tp>
      <tp t="s">
        <v>表示銘柄数超過</v>
        <stp/>
        <stp>Market</stp>
        <stp>STOCK</stp>
        <stp>24970.T</stp>
        <stp>現在値</stp>
        <tr r="C155" s="7"/>
      </tp>
      <tp t="s">
        <v>表示銘柄数超過</v>
        <stp/>
        <stp>Market</stp>
        <stp>STOCK</stp>
        <stp>24830.T</stp>
        <stp>現在値</stp>
        <tr r="C151" s="7"/>
      </tp>
      <tp t="s">
        <v>表示銘柄数超過</v>
        <stp/>
        <stp>Market</stp>
        <stp>STOCK</stp>
        <stp>24840.T</stp>
        <stp>現在値</stp>
        <tr r="C152" s="7"/>
      </tp>
      <tp t="s">
        <v>表示銘柄数超過</v>
        <stp/>
        <stp>Market</stp>
        <stp>STOCK</stp>
        <stp>24880.T</stp>
        <stp>現在値</stp>
        <tr r="C153" s="7"/>
      </tp>
      <tp t="s">
        <v>表示銘柄数超過</v>
        <stp/>
        <stp>Market</stp>
        <stp>STOCK</stp>
        <stp>24100.T</stp>
        <stp>現在値</stp>
        <tr r="C135" s="7"/>
      </tp>
      <tp t="s">
        <v>表示銘柄数超過</v>
        <stp/>
        <stp>Market</stp>
        <stp>STOCK</stp>
        <stp>24110.T</stp>
        <stp>現在値</stp>
        <tr r="C136" s="7"/>
      </tp>
      <tp t="s">
        <v>表示銘柄数超過</v>
        <stp/>
        <stp>Market</stp>
        <stp>STOCK</stp>
        <stp>24120.T</stp>
        <stp>現在値</stp>
        <tr r="C137" s="7"/>
      </tp>
      <tp t="s">
        <v>表示銘柄数超過</v>
        <stp/>
        <stp>Market</stp>
        <stp>STOCK</stp>
        <stp>24150.T</stp>
        <stp>現在値</stp>
        <tr r="C138" s="7"/>
      </tp>
      <tp t="s">
        <v>表示銘柄数超過</v>
        <stp/>
        <stp>Market</stp>
        <stp>STOCK</stp>
        <stp>24020.T</stp>
        <stp>現在値</stp>
        <tr r="C132" s="7"/>
      </tp>
      <tp t="s">
        <v>表示銘柄数超過</v>
        <stp/>
        <stp>Market</stp>
        <stp>STOCK</stp>
        <stp>24040.T</stp>
        <stp>現在値</stp>
        <tr r="C133" s="7"/>
      </tp>
      <tp t="s">
        <v>表示銘柄数超過</v>
        <stp/>
        <stp>Market</stp>
        <stp>STOCK</stp>
        <stp>24080.T</stp>
        <stp>現在値</stp>
        <tr r="C134" s="7"/>
      </tp>
      <tp t="s">
        <v>表示銘柄数超過</v>
        <stp/>
        <stp>Market</stp>
        <stp>STOCK</stp>
        <stp>24320.T</stp>
        <stp>現在値</stp>
        <tr r="C140" s="7"/>
      </tp>
      <tp t="s">
        <v>表示銘柄数超過</v>
        <stp/>
        <stp>Market</stp>
        <stp>STOCK</stp>
        <stp>24330.T</stp>
        <stp>現在値</stp>
        <tr r="C141" s="7"/>
      </tp>
      <tp t="s">
        <v>表示銘柄数超過</v>
        <stp/>
        <stp>Market</stp>
        <stp>STOCK</stp>
        <stp>24350.T</stp>
        <stp>現在値</stp>
        <tr r="C142" s="7"/>
      </tp>
      <tp t="s">
        <v>表示銘柄数超過</v>
        <stp/>
        <stp>Market</stp>
        <stp>STOCK</stp>
        <stp>24370.T</stp>
        <stp>現在値</stp>
        <tr r="C143" s="7"/>
      </tp>
      <tp t="s">
        <v>表示銘柄数超過</v>
        <stp/>
        <stp>Market</stp>
        <stp>STOCK</stp>
        <stp>24380.T</stp>
        <stp>現在値</stp>
        <tr r="C144" s="7"/>
      </tp>
      <tp t="s">
        <v>表示銘柄数超過</v>
        <stp/>
        <stp>Market</stp>
        <stp>STOCK</stp>
        <stp>24290.T</stp>
        <stp>現在値</stp>
        <tr r="C139" s="7"/>
      </tp>
      <tp t="s">
        <v>表示銘柄数超過</v>
        <stp/>
        <stp>Market</stp>
        <stp>STOCK</stp>
        <stp>24530.T</stp>
        <stp>現在値</stp>
        <tr r="C146" s="7"/>
      </tp>
      <tp t="s">
        <v>表示銘柄数超過</v>
        <stp/>
        <stp>Market</stp>
        <stp>STOCK</stp>
        <stp>24450.T</stp>
        <stp>現在値</stp>
        <tr r="C145" s="7"/>
      </tp>
      <tp t="s">
        <v>表示銘柄数超過</v>
        <stp/>
        <stp>Market</stp>
        <stp>STOCK</stp>
        <stp>24710.T</stp>
        <stp>現在値</stp>
        <tr r="C149" s="7"/>
      </tp>
      <tp t="s">
        <v>表示銘柄数超過</v>
        <stp/>
        <stp>Market</stp>
        <stp>STOCK</stp>
        <stp>24790.T</stp>
        <stp>現在値</stp>
        <tr r="C150" s="7"/>
      </tp>
      <tp t="s">
        <v>表示銘柄数超過</v>
        <stp/>
        <stp>Market</stp>
        <stp>STOCK</stp>
        <stp>24610.T</stp>
        <stp>現在値</stp>
        <tr r="C147" s="7"/>
      </tp>
      <tp t="s">
        <v>表示銘柄数超過</v>
        <stp/>
        <stp>Market</stp>
        <stp>STOCK</stp>
        <stp>24680.T</stp>
        <stp>現在値</stp>
        <tr r="C148" s="7"/>
      </tp>
      <tp t="s">
        <v>表示銘柄数超過</v>
        <stp/>
        <stp>Market</stp>
        <stp>STOCK</stp>
        <stp>25970.T</stp>
        <stp>現在値</stp>
        <tr r="C168" s="7"/>
      </tp>
      <tp t="s">
        <v>表示銘柄数超過</v>
        <stp/>
        <stp>Market</stp>
        <stp>STOCK</stp>
        <stp>25850.T</stp>
        <stp>現在値</stp>
        <tr r="C164" s="7"/>
      </tp>
      <tp t="s">
        <v>表示銘柄数超過</v>
        <stp/>
        <stp>Market</stp>
        <stp>STOCK</stp>
        <stp>25860.T</stp>
        <stp>現在値</stp>
        <tr r="C165" s="7"/>
      </tp>
      <tp t="s">
        <v>表示銘柄数超過</v>
        <stp/>
        <stp>Market</stp>
        <stp>STOCK</stp>
        <stp>25870.T</stp>
        <stp>現在値</stp>
        <tr r="C166" s="7"/>
      </tp>
      <tp t="s">
        <v>表示銘柄数超過</v>
        <stp/>
        <stp>Market</stp>
        <stp>STOCK</stp>
        <stp>25100.T</stp>
        <stp>現在値</stp>
        <tr r="C157" s="7"/>
      </tp>
      <tp t="s">
        <v>表示銘柄数超過</v>
        <stp/>
        <stp>Market</stp>
        <stp>STOCK</stp>
        <stp>25160.T</stp>
        <stp>現在値</stp>
        <tr r="C158" s="7"/>
      </tp>
      <tp t="s">
        <v>表示銘柄数超過</v>
        <stp/>
        <stp>Market</stp>
        <stp>STOCK</stp>
        <stp>25180.T</stp>
        <stp>現在値</stp>
        <tr r="C159" s="7"/>
      </tp>
      <tp t="s">
        <v>表示銘柄数超過</v>
        <stp/>
        <stp>Market</stp>
        <stp>STOCK</stp>
        <stp>25010.T</stp>
        <stp>現在値</stp>
        <tr r="C156" s="7"/>
      </tp>
      <tp t="s">
        <v>表示銘柄数超過</v>
        <stp/>
        <stp>Market</stp>
        <stp>STOCK</stp>
        <stp>25330.T</stp>
        <stp>現在値</stp>
        <tr r="C160" s="7"/>
      </tp>
      <tp t="s">
        <v>表示銘柄数超過</v>
        <stp/>
        <stp>Market</stp>
        <stp>STOCK</stp>
        <stp>25790.T</stp>
        <stp>現在値</stp>
        <tr r="C163" s="7"/>
      </tp>
      <tp t="s">
        <v>表示銘柄数超過</v>
        <stp/>
        <stp>Market</stp>
        <stp>STOCK</stp>
        <stp>25630.T</stp>
        <stp>現在値</stp>
        <tr r="C161" s="7"/>
      </tp>
      <tp t="s">
        <v>表示銘柄数超過</v>
        <stp/>
        <stp>Market</stp>
        <stp>STOCK</stp>
        <stp>25670.T</stp>
        <stp>現在値</stp>
        <tr r="C162" s="7"/>
      </tp>
      <tp t="s">
        <v>表示銘柄数超過</v>
        <stp/>
        <stp>Market</stp>
        <stp>STOCK</stp>
        <stp>22160.T</stp>
        <stp>現在値</stp>
        <tr r="C104" s="7"/>
      </tp>
      <tp t="s">
        <v>表示銘柄数超過</v>
        <stp/>
        <stp>Market</stp>
        <stp>STOCK</stp>
        <stp>22060.T</stp>
        <stp>現在値</stp>
        <tr r="C103" s="7"/>
      </tp>
      <tp t="s">
        <v>表示銘柄数超過</v>
        <stp/>
        <stp>Market</stp>
        <stp>STOCK</stp>
        <stp>22350.T</stp>
        <stp>現在値</stp>
        <tr r="C105" s="7"/>
      </tp>
      <tp t="s">
        <v>表示銘柄数超過</v>
        <stp/>
        <stp>Market</stp>
        <stp>STOCK</stp>
        <stp>22360.T</stp>
        <stp>現在値</stp>
        <tr r="C106" s="7"/>
      </tp>
      <tp t="s">
        <v>表示銘柄数超過</v>
        <stp/>
        <stp>Market</stp>
        <stp>STOCK</stp>
        <stp>22500.T</stp>
        <stp>現在値</stp>
        <tr r="C109" s="7"/>
      </tp>
      <tp t="s">
        <v>表示銘柄数超過</v>
        <stp/>
        <stp>Market</stp>
        <stp>STOCK</stp>
        <stp>22530.T</stp>
        <stp>現在値</stp>
        <tr r="C110" s="7"/>
      </tp>
      <tp t="s">
        <v>表示銘柄数超過</v>
        <stp/>
        <stp>Market</stp>
        <stp>STOCK</stp>
        <stp>22410.T</stp>
        <stp>現在値</stp>
        <tr r="C107" s="7"/>
      </tp>
      <tp t="s">
        <v>表示銘柄数超過</v>
        <stp/>
        <stp>Market</stp>
        <stp>STOCK</stp>
        <stp>22420.T</stp>
        <stp>現在値</stp>
        <tr r="C108" s="7"/>
      </tp>
      <tp t="s">
        <v>表示銘柄数超過</v>
        <stp/>
        <stp>Market</stp>
        <stp>STOCK</stp>
        <stp>23880.T</stp>
        <stp>現在値</stp>
        <tr r="C131" s="7"/>
      </tp>
      <tp>
        <v>43</v>
        <stp/>
        <stp>Market</stp>
        <stp>STOCK</stp>
        <stp>23150.T</stp>
        <stp>現在値</stp>
        <tr r="C113" s="7"/>
      </tp>
      <tp t="s">
        <v>表示銘柄数超過</v>
        <stp/>
        <stp>Market</stp>
        <stp>STOCK</stp>
        <stp>23170.T</stp>
        <stp>現在値</stp>
        <tr r="C114" s="7"/>
      </tp>
      <tp t="s">
        <v>表示銘柄数超過</v>
        <stp/>
        <stp>Market</stp>
        <stp>STOCK</stp>
        <stp>23040.T</stp>
        <stp>現在値</stp>
        <tr r="C111" s="7"/>
      </tp>
      <tp t="s">
        <v>表示銘柄数超過</v>
        <stp/>
        <stp>Market</stp>
        <stp>STOCK</stp>
        <stp>23050.T</stp>
        <stp>現在値</stp>
        <tr r="C112" s="7"/>
      </tp>
      <tp t="s">
        <v>表示銘柄数超過</v>
        <stp/>
        <stp>Market</stp>
        <stp>STOCK</stp>
        <stp>23300.T</stp>
        <stp>現在値</stp>
        <tr r="C117" s="7"/>
      </tp>
      <tp t="s">
        <v>表示銘柄数超過</v>
        <stp/>
        <stp>Market</stp>
        <stp>STOCK</stp>
        <stp>23370.T</stp>
        <stp>現在値</stp>
        <tr r="C118" s="7"/>
      </tp>
      <tp t="s">
        <v>表示銘柄数超過</v>
        <stp/>
        <stp>Market</stp>
        <stp>STOCK</stp>
        <stp>23210.T</stp>
        <stp>現在値</stp>
        <tr r="C115" s="7"/>
      </tp>
      <tp t="s">
        <v>表示銘柄数超過</v>
        <stp/>
        <stp>Market</stp>
        <stp>STOCK</stp>
        <stp>23230.T</stp>
        <stp>現在値</stp>
        <tr r="C116" s="7"/>
      </tp>
      <tp t="s">
        <v>表示銘柄数超過</v>
        <stp/>
        <stp>Market</stp>
        <stp>STOCK</stp>
        <stp>23510.T</stp>
        <stp>現在値</stp>
        <tr r="C123" s="7"/>
      </tp>
      <tp t="s">
        <v>表示銘柄数超過</v>
        <stp/>
        <stp>Market</stp>
        <stp>STOCK</stp>
        <stp>23530.T</stp>
        <stp>現在値</stp>
        <tr r="C124" s="7"/>
      </tp>
      <tp t="s">
        <v>表示銘柄数超過</v>
        <stp/>
        <stp>Market</stp>
        <stp>STOCK</stp>
        <stp>23540.T</stp>
        <stp>現在値</stp>
        <tr r="C125" s="7"/>
      </tp>
      <tp t="s">
        <v>表示銘柄数超過</v>
        <stp/>
        <stp>Market</stp>
        <stp>STOCK</stp>
        <stp>23400.T</stp>
        <stp>現在値</stp>
        <tr r="C119" s="7"/>
      </tp>
      <tp t="s">
        <v>表示銘柄数超過</v>
        <stp/>
        <stp>Market</stp>
        <stp>STOCK</stp>
        <stp>23410.T</stp>
        <stp>現在値</stp>
        <tr r="C120" s="7"/>
      </tp>
      <tp t="s">
        <v>表示銘柄数超過</v>
        <stp/>
        <stp>Market</stp>
        <stp>STOCK</stp>
        <stp>23440.T</stp>
        <stp>現在値</stp>
        <tr r="C121" s="7"/>
      </tp>
      <tp t="s">
        <v>表示銘柄数超過</v>
        <stp/>
        <stp>Market</stp>
        <stp>STOCK</stp>
        <stp>23450.T</stp>
        <stp>現在値</stp>
        <tr r="C122" s="7"/>
      </tp>
      <tp t="s">
        <v>表示銘柄数超過</v>
        <stp/>
        <stp>Market</stp>
        <stp>STOCK</stp>
        <stp>23700.T</stp>
        <stp>現在値</stp>
        <tr r="C126" s="7"/>
      </tp>
      <tp t="s">
        <v>表示銘柄数超過</v>
        <stp/>
        <stp>Market</stp>
        <stp>STOCK</stp>
        <stp>23730.T</stp>
        <stp>現在値</stp>
        <tr r="C127" s="7"/>
      </tp>
      <tp t="s">
        <v>表示銘柄数超過</v>
        <stp/>
        <stp>Market</stp>
        <stp>STOCK</stp>
        <stp>23750.T</stp>
        <stp>現在値</stp>
        <tr r="C128" s="7"/>
      </tp>
      <tp t="s">
        <v>表示銘柄数超過</v>
        <stp/>
        <stp>Market</stp>
        <stp>STOCK</stp>
        <stp>23760.T</stp>
        <stp>現在値</stp>
        <tr r="C129" s="7"/>
      </tp>
      <tp t="s">
        <v>表示銘柄数超過</v>
        <stp/>
        <stp>Market</stp>
        <stp>STOCK</stp>
        <stp>23780.T</stp>
        <stp>現在値</stp>
        <tr r="C130" s="7"/>
      </tp>
      <tp>
        <v>1737</v>
        <stp/>
        <stp>Market</stp>
        <stp>STOCK</stp>
        <stp>20380.T</stp>
        <stp>現在値</stp>
        <tr r="C87" s="7"/>
      </tp>
      <tp t="s">
        <v>表示銘柄数超過</v>
        <stp/>
        <stp>Market</stp>
        <stp>STOCK</stp>
        <stp>20550.T</stp>
        <stp>現在値</stp>
        <tr r="C88" s="7"/>
      </tp>
      <tp t="s">
        <v>表示銘柄数超過</v>
        <stp/>
        <stp>Market</stp>
        <stp>STOCK</stp>
        <stp>21980.T</stp>
        <stp>現在値</stp>
        <tr r="C102" s="7"/>
      </tp>
      <tp t="s">
        <v>表示銘柄数超過</v>
        <stp/>
        <stp>Market</stp>
        <stp>STOCK</stp>
        <stp>21140.T</stp>
        <stp>現在値</stp>
        <tr r="C89" s="7"/>
      </tp>
      <tp t="s">
        <v>表示銘柄数超過</v>
        <stp/>
        <stp>Market</stp>
        <stp>STOCK</stp>
        <stp>21340.T</stp>
        <stp>現在値</stp>
        <tr r="C92" s="7"/>
      </tp>
      <tp t="s">
        <v>表示銘柄数超過</v>
        <stp/>
        <stp>Market</stp>
        <stp>STOCK</stp>
        <stp>21380.T</stp>
        <stp>現在値</stp>
        <tr r="C93" s="7"/>
      </tp>
      <tp t="s">
        <v>表示銘柄数超過</v>
        <stp/>
        <stp>Market</stp>
        <stp>STOCK</stp>
        <stp>21200.T</stp>
        <stp>現在値</stp>
        <tr r="C90" s="7"/>
      </tp>
      <tp t="s">
        <v>表示銘柄数超過</v>
        <stp/>
        <stp>Market</stp>
        <stp>STOCK</stp>
        <stp>21270.T</stp>
        <stp>現在値</stp>
        <tr r="C91" s="7"/>
      </tp>
      <tp t="s">
        <v>表示銘柄数超過</v>
        <stp/>
        <stp>Market</stp>
        <stp>STOCK</stp>
        <stp>21500.T</stp>
        <stp>現在値</stp>
        <tr r="C94" s="7"/>
      </tp>
      <tp t="s">
        <v>表示銘柄数超過</v>
        <stp/>
        <stp>Market</stp>
        <stp>STOCK</stp>
        <stp>21520.T</stp>
        <stp>現在値</stp>
        <tr r="C95" s="7"/>
      </tp>
      <tp t="s">
        <v>表示銘柄数超過</v>
        <stp/>
        <stp>Market</stp>
        <stp>STOCK</stp>
        <stp>21540.T</stp>
        <stp>現在値</stp>
        <tr r="C96" s="7"/>
      </tp>
      <tp t="s">
        <v>表示銘柄数超過</v>
        <stp/>
        <stp>Market</stp>
        <stp>STOCK</stp>
        <stp>21580.T</stp>
        <stp>現在値</stp>
        <tr r="C97" s="7"/>
      </tp>
      <tp t="s">
        <v>表示銘柄数超過</v>
        <stp/>
        <stp>Market</stp>
        <stp>STOCK</stp>
        <stp>21600.T</stp>
        <stp>現在値</stp>
        <tr r="C98" s="7"/>
      </tp>
      <tp t="s">
        <v>表示銘柄数超過</v>
        <stp/>
        <stp>Market</stp>
        <stp>STOCK</stp>
        <stp>21620.T</stp>
        <stp>現在値</stp>
        <tr r="C99" s="7"/>
      </tp>
      <tp t="s">
        <v>表示銘柄数超過</v>
        <stp/>
        <stp>Market</stp>
        <stp>STOCK</stp>
        <stp>21640.T</stp>
        <stp>現在値</stp>
        <tr r="C100" s="7"/>
      </tp>
      <tp t="s">
        <v>表示銘柄数超過</v>
        <stp/>
        <stp>Market</stp>
        <stp>STOCK</stp>
        <stp>21680.T</stp>
        <stp>現在値</stp>
        <tr r="C101" s="7"/>
      </tp>
      <tp t="s">
        <v>表示銘柄数超過</v>
        <stp/>
        <stp>Market</stp>
        <stp>STOCK</stp>
        <stp>28940.T</stp>
        <stp>現在値</stp>
        <tr r="C212" s="7"/>
      </tp>
      <tp t="s">
        <v>表示銘柄数超過</v>
        <stp/>
        <stp>Market</stp>
        <stp>STOCK</stp>
        <stp>28100.T</stp>
        <stp>現在値</stp>
        <tr r="C201" s="7"/>
      </tp>
      <tp t="s">
        <v>表示銘柄数超過</v>
        <stp/>
        <stp>Market</stp>
        <stp>STOCK</stp>
        <stp>28510.T</stp>
        <stp>現在値</stp>
        <tr r="C203" s="7"/>
      </tp>
      <tp t="s">
        <v>表示銘柄数超過</v>
        <stp/>
        <stp>Market</stp>
        <stp>STOCK</stp>
        <stp>28520.T</stp>
        <stp>現在値</stp>
        <tr r="C204" s="7"/>
      </tp>
      <tp t="s">
        <v>表示銘柄数超過</v>
        <stp/>
        <stp>Market</stp>
        <stp>STOCK</stp>
        <stp>28530.T</stp>
        <stp>現在値</stp>
        <tr r="C205" s="7"/>
      </tp>
      <tp t="s">
        <v>表示銘柄数超過</v>
        <stp/>
        <stp>Market</stp>
        <stp>STOCK</stp>
        <stp>28560.T</stp>
        <stp>現在値</stp>
        <tr r="C206" s="7"/>
      </tp>
      <tp t="s">
        <v>表示銘柄数超過</v>
        <stp/>
        <stp>Market</stp>
        <stp>STOCK</stp>
        <stp>28570.T</stp>
        <stp>現在値</stp>
        <tr r="C207" s="7"/>
      </tp>
      <tp t="s">
        <v>表示銘柄数超過</v>
        <stp/>
        <stp>Market</stp>
        <stp>STOCK</stp>
        <stp>28580.T</stp>
        <stp>現在値</stp>
        <tr r="C208" s="7"/>
      </tp>
      <tp t="s">
        <v>表示銘柄数超過</v>
        <stp/>
        <stp>Market</stp>
        <stp>STOCK</stp>
        <stp>28450.T</stp>
        <stp>現在値</stp>
        <tr r="C202" s="7"/>
      </tp>
      <tp t="s">
        <v>表示銘柄数超過</v>
        <stp/>
        <stp>Market</stp>
        <stp>STOCK</stp>
        <stp>28750.T</stp>
        <stp>現在値</stp>
        <tr r="C211" s="7"/>
      </tp>
      <tp t="s">
        <v>表示銘柄数超過</v>
        <stp/>
        <stp>Market</stp>
        <stp>STOCK</stp>
        <stp>28650.T</stp>
        <stp>現在値</stp>
        <tr r="C209" s="7"/>
      </tp>
      <tp t="s">
        <v>表示銘柄数超過</v>
        <stp/>
        <stp>Market</stp>
        <stp>STOCK</stp>
        <stp>28680.T</stp>
        <stp>現在値</stp>
        <tr r="C210" s="7"/>
      </tp>
      <tp t="s">
        <v>表示銘柄数超過</v>
        <stp/>
        <stp>Market</stp>
        <stp>STOCK</stp>
        <stp>29930.T</stp>
        <stp>現在値</stp>
        <tr r="C219" s="7"/>
      </tp>
      <tp t="s">
        <v>表示銘柄数超過</v>
        <stp/>
        <stp>Market</stp>
        <stp>STOCK</stp>
        <stp>29970.T</stp>
        <stp>現在値</stp>
        <tr r="C220" s="7"/>
      </tp>
      <tp t="s">
        <v>表示銘柄数超過</v>
        <stp/>
        <stp>Market</stp>
        <stp>STOCK</stp>
        <stp>29820.T</stp>
        <stp>現在値</stp>
        <tr r="C217" s="7"/>
      </tp>
      <tp t="s">
        <v>表示銘柄数超過</v>
        <stp/>
        <stp>Market</stp>
        <stp>STOCK</stp>
        <stp>29870.T</stp>
        <stp>現在値</stp>
        <tr r="C218" s="7"/>
      </tp>
      <tp>
        <v>3939</v>
        <stp/>
        <stp>Market</stp>
        <stp>STOCK</stp>
        <stp>29140.T</stp>
        <stp>現在値</stp>
        <tr r="C214" s="7"/>
      </tp>
      <tp t="s">
        <v>表示銘柄数超過</v>
        <stp/>
        <stp>Market</stp>
        <stp>STOCK</stp>
        <stp>29010.T</stp>
        <stp>現在値</stp>
        <tr r="C213" s="7"/>
      </tp>
      <tp t="s">
        <v>表示銘柄数超過</v>
        <stp/>
        <stp>Market</stp>
        <stp>STOCK</stp>
        <stp>29300.T</stp>
        <stp>現在値</stp>
        <tr r="C216" s="7"/>
      </tp>
      <tp t="s">
        <v>表示銘柄数超過</v>
        <stp/>
        <stp>Market</stp>
        <stp>STOCK</stp>
        <stp>29260.T</stp>
        <stp>現在値</stp>
        <tr r="C215" s="7"/>
      </tp>
    </main>
    <main first="rtdsrv.662c26bade854d00aebc6010f8a2e03a">
      <tp t="s">
        <v>表示銘柄数超過</v>
        <stp/>
        <stp>Market</stp>
        <stp>STOCK</stp>
        <stp>39340.T</stp>
        <stp>決算発表日</stp>
        <tr r="X396" s="7"/>
      </tp>
      <tp t="s">
        <v>表示銘柄数超過</v>
        <stp/>
        <stp>Market</stp>
        <stp>STOCK</stp>
        <stp>30340.T</stp>
        <stp>決算発表日</stp>
        <tr r="X227" s="7"/>
      </tp>
      <tp t="s">
        <v>表示銘柄数超過</v>
        <stp/>
        <stp>Market</stp>
        <stp>STOCK</stp>
        <stp>27340.T</stp>
        <stp>決算発表日</stp>
        <tr r="X189" s="7"/>
      </tp>
      <tp t="s">
        <v>表示銘柄数超過</v>
        <stp/>
        <stp>Market</stp>
        <stp>STOCK</stp>
        <stp>26340.T</stp>
        <stp>決算発表日</stp>
        <tr r="X173" s="7"/>
      </tp>
      <tp t="s">
        <v>表示銘柄数超過</v>
        <stp/>
        <stp>Market</stp>
        <stp>STOCK</stp>
        <stp>21340.T</stp>
        <stp>決算発表日</stp>
        <tr r="X92" s="7"/>
      </tp>
      <tp t="s">
        <v>2024/01/18</v>
        <stp/>
        <stp>Market</stp>
        <stp>STOCK</stp>
        <stp>66340.T</stp>
        <stp>決算発表日</stp>
        <tr r="X743" s="7"/>
      </tp>
      <tp t="s">
        <v>2024/02/13</v>
        <stp/>
        <stp>Market</stp>
        <stp>STOCK</stp>
        <stp>63340.T</stp>
        <stp>決算発表日</stp>
        <tr r="X689" s="7"/>
      </tp>
      <tp t="s">
        <v>2024/02/07</v>
        <stp/>
        <stp>Market</stp>
        <stp>STOCK</stp>
        <stp>61340.T</stp>
        <stp>決算発表日</stp>
        <tr r="X657" s="7"/>
      </tp>
      <tp t="s">
        <v>2024/01/31</v>
        <stp/>
        <stp>Market</stp>
        <stp>STOCK</stp>
        <stp>53340.T</stp>
        <stp>決算発表日</stp>
        <tr r="X586" s="7"/>
      </tp>
      <tp t="s">
        <v>2024/02/07</v>
        <stp/>
        <stp>Market</stp>
        <stp>STOCK</stp>
        <stp>94340.T</stp>
        <stp>決算発表日</stp>
        <tr r="X1129" s="7"/>
      </tp>
      <tp t="s">
        <v>表示銘柄数超過</v>
        <stp/>
        <stp>Market</stp>
        <stp>STOCK</stp>
        <stp>39350.T</stp>
        <stp>決算発表日</stp>
        <tr r="X397" s="7"/>
      </tp>
      <tp t="s">
        <v>表示銘柄数超過</v>
        <stp/>
        <stp>Market</stp>
        <stp>STOCK</stp>
        <stp>38350.T</stp>
        <stp>決算発表日</stp>
        <tr r="X369" s="7"/>
      </tp>
      <tp t="s">
        <v>表示銘柄数超過</v>
        <stp/>
        <stp>Market</stp>
        <stp>STOCK</stp>
        <stp>36350.T</stp>
        <stp>決算発表日</stp>
        <tr r="X317" s="7"/>
      </tp>
      <tp t="s">
        <v>表示銘柄数超過</v>
        <stp/>
        <stp>Market</stp>
        <stp>STOCK</stp>
        <stp>30350.T</stp>
        <stp>決算発表日</stp>
        <tr r="X228" s="7"/>
      </tp>
      <tp t="s">
        <v>表示銘柄数超過</v>
        <stp/>
        <stp>Market</stp>
        <stp>STOCK</stp>
        <stp>27350.T</stp>
        <stp>決算発表日</stp>
        <tr r="X190" s="7"/>
      </tp>
      <tp t="s">
        <v>表示銘柄数超過</v>
        <stp/>
        <stp>Market</stp>
        <stp>STOCK</stp>
        <stp>26350.T</stp>
        <stp>決算発表日</stp>
        <tr r="X174" s="7"/>
      </tp>
      <tp t="s">
        <v>表示銘柄数超過</v>
        <stp/>
        <stp>Market</stp>
        <stp>STOCK</stp>
        <stp>24350.T</stp>
        <stp>決算発表日</stp>
        <tr r="X142" s="7"/>
      </tp>
      <tp t="s">
        <v>表示銘柄数超過</v>
        <stp/>
        <stp>Market</stp>
        <stp>STOCK</stp>
        <stp>22350.T</stp>
        <stp>決算発表日</stp>
        <tr r="X105" s="7"/>
      </tp>
      <tp t="s">
        <v>表示銘柄数超過</v>
        <stp/>
        <stp>Market</stp>
        <stp>STOCK</stp>
        <stp>14350.T</stp>
        <stp>決算発表日</stp>
        <tr r="X23" s="7"/>
      </tp>
      <tp t="s">
        <v>2024/02/09</v>
        <stp/>
        <stp>Market</stp>
        <stp>STOCK</stp>
        <stp>72350.T</stp>
        <stp>決算発表日</stp>
        <tr r="X854" s="7"/>
      </tp>
      <tp t="s">
        <v>2024/02/14</v>
        <stp/>
        <stp>Market</stp>
        <stp>STOCK</stp>
        <stp>71350.T</stp>
        <stp>決算発表日</stp>
        <tr r="X829" s="7"/>
      </tp>
      <tp t="s">
        <v>2024/02/14</v>
        <stp/>
        <stp>Market</stp>
        <stp>STOCK</stp>
        <stp>68350.T</stp>
        <stp>決算発表日</stp>
        <tr r="X776" s="7"/>
      </tp>
      <tp t="s">
        <v>2024/02/14</v>
        <stp/>
        <stp>Market</stp>
        <stp>STOCK</stp>
        <stp>66350.T</stp>
        <stp>決算発表日</stp>
        <tr r="X744" s="7"/>
      </tp>
      <tp t="s">
        <v>2024/02/02</v>
        <stp/>
        <stp>Market</stp>
        <stp>STOCK</stp>
        <stp>60350.T</stp>
        <stp>決算発表日</stp>
        <tr r="X640" s="7"/>
      </tp>
      <tp t="s">
        <v>2024/02/08</v>
        <stp/>
        <stp>Market</stp>
        <stp>STOCK</stp>
        <stp>81350.T</stp>
        <stp>決算発表日</stp>
        <tr r="X981" s="7"/>
      </tp>
      <tp t="s">
        <v>表示銘柄数超過</v>
        <stp/>
        <stp>Market</stp>
        <stp>STOCK</stp>
        <stp>35360.T</stp>
        <stp>決算発表日</stp>
        <tr r="X304" s="7"/>
      </tp>
      <tp t="s">
        <v>表示銘柄数超過</v>
        <stp/>
        <stp>Market</stp>
        <stp>STOCK</stp>
        <stp>34360.T</stp>
        <stp>決算発表日</stp>
        <tr r="X299" s="7"/>
      </tp>
      <tp t="s">
        <v>表示銘柄数超過</v>
        <stp/>
        <stp>Market</stp>
        <stp>STOCK</stp>
        <stp>32360.T</stp>
        <stp>決算発表日</stp>
        <tr r="X259" s="7"/>
      </tp>
      <tp t="s">
        <v>表示銘柄数超過</v>
        <stp/>
        <stp>Market</stp>
        <stp>STOCK</stp>
        <stp>30360.T</stp>
        <stp>決算発表日</stp>
        <tr r="X229" s="7"/>
      </tp>
      <tp t="s">
        <v>表示銘柄数超過</v>
        <stp/>
        <stp>Market</stp>
        <stp>STOCK</stp>
        <stp>22360.T</stp>
        <stp>決算発表日</stp>
        <tr r="X106" s="7"/>
      </tp>
      <tp t="s">
        <v>2024/02/14</v>
        <stp/>
        <stp>Market</stp>
        <stp>STOCK</stp>
        <stp>78360.T</stp>
        <stp>決算発表日</stp>
        <tr r="X943" s="7"/>
      </tp>
      <tp t="s">
        <v>2024/02/05</v>
        <stp/>
        <stp>Market</stp>
        <stp>STOCK</stp>
        <stp>72360.T</stp>
        <stp>決算発表日</stp>
        <tr r="X855" s="7"/>
      </tp>
      <tp t="s">
        <v>2024/03/15</v>
        <stp/>
        <stp>Market</stp>
        <stp>STOCK</stp>
        <stp>63360.T</stp>
        <stp>決算発表日</stp>
        <tr r="X690" s="7"/>
      </tp>
      <tp t="s">
        <v>2024/01/30</v>
        <stp/>
        <stp>Market</stp>
        <stp>STOCK</stp>
        <stp>59360.T</stp>
        <stp>決算発表日</stp>
        <tr r="X620" s="7"/>
      </tp>
      <tp t="s">
        <v>表示銘柄数超過</v>
        <stp/>
        <stp>Market</stp>
        <stp>STOCK</stp>
        <stp>44360.T</stp>
        <stp>決算発表日</stp>
        <tr r="X464" s="7"/>
      </tp>
      <tp t="s">
        <v>表示銘柄数超過</v>
        <stp/>
        <stp>Market</stp>
        <stp>STOCK</stp>
        <stp>94360.T</stp>
        <stp>決算発表日</stp>
        <tr r="X1130" s="7"/>
      </tp>
      <tp t="s">
        <v>表示銘柄数超過</v>
        <stp/>
        <stp>Market</stp>
        <stp>STOCK</stp>
        <stp>32370.T</stp>
        <stp>決算発表日</stp>
        <tr r="X260" s="7"/>
      </tp>
      <tp t="s">
        <v>表示銘柄数超過</v>
        <stp/>
        <stp>Market</stp>
        <stp>STOCK</stp>
        <stp>31370.T</stp>
        <stp>決算発表日</stp>
        <tr r="X246" s="7"/>
      </tp>
      <tp t="s">
        <v>表示銘柄数超過</v>
        <stp/>
        <stp>Market</stp>
        <stp>STOCK</stp>
        <stp>24370.T</stp>
        <stp>決算発表日</stp>
        <tr r="X143" s="7"/>
      </tp>
      <tp t="s">
        <v>表示銘柄数超過</v>
        <stp/>
        <stp>Market</stp>
        <stp>STOCK</stp>
        <stp>23370.T</stp>
        <stp>決算発表日</stp>
        <tr r="X118" s="7"/>
      </tp>
      <tp t="s">
        <v>2024/02/14</v>
        <stp/>
        <stp>Market</stp>
        <stp>STOCK</stp>
        <stp>78370.T</stp>
        <stp>決算発表日</stp>
        <tr r="X944" s="7"/>
      </tp>
      <tp t="s">
        <v>2024/02/05</v>
        <stp/>
        <stp>Market</stp>
        <stp>STOCK</stp>
        <stp>73370.T</stp>
        <stp>決算発表日</stp>
        <tr r="X875" s="7"/>
      </tp>
      <tp t="s">
        <v>2024/02/14</v>
        <stp/>
        <stp>Market</stp>
        <stp>STOCK</stp>
        <stp>70370.T</stp>
        <stp>決算発表日</stp>
        <tr r="X811" s="7"/>
      </tp>
      <tp t="s">
        <v>2024/02/09</v>
        <stp/>
        <stp>Market</stp>
        <stp>STOCK</stp>
        <stp>65370.T</stp>
        <stp>決算発表日</stp>
        <tr r="X720" s="7"/>
      </tp>
      <tp t="s">
        <v>表示銘柄数超過</v>
        <stp/>
        <stp>Market</stp>
        <stp>STOCK</stp>
        <stp>48370.T</stp>
        <stp>決算発表日</stp>
        <tr r="X542" s="7"/>
      </tp>
      <tp t="s">
        <v>表示銘柄数超過</v>
        <stp/>
        <stp>Market</stp>
        <stp>STOCK</stp>
        <stp>43370.T</stp>
        <stp>決算発表日</stp>
        <tr r="X444" s="7"/>
      </tp>
      <tp t="s">
        <v>表示銘柄数超過</v>
        <stp/>
        <stp>Market</stp>
        <stp>STOCK</stp>
        <stp>42370.T</stp>
        <stp>決算発表日</stp>
        <tr r="X427" s="7"/>
      </tp>
      <tp t="s">
        <v>2024/02/14</v>
        <stp/>
        <stp>Market</stp>
        <stp>STOCK</stp>
        <stp>87370.T</stp>
        <stp>決算発表日</stp>
        <tr r="X1041" s="7"/>
      </tp>
      <tp t="s">
        <v>2024/02/08</v>
        <stp/>
        <stp>Market</stp>
        <stp>STOCK</stp>
        <stp>83370.T</stp>
        <stp>決算発表日</stp>
        <tr r="X1005" s="7"/>
      </tp>
      <tp t="s">
        <v>2024/01/12</v>
        <stp/>
        <stp>Market</stp>
        <stp>STOCK</stp>
        <stp>82370.T</stp>
        <stp>決算発表日</stp>
        <tr r="X995" s="7"/>
      </tp>
      <tp t="s">
        <v>表示銘柄数超過</v>
        <stp/>
        <stp>Market</stp>
        <stp>STOCK</stp>
        <stp>30300.T</stp>
        <stp>決算発表日</stp>
        <tr r="X225" s="7"/>
      </tp>
      <tp t="s">
        <v>表示銘柄数超過</v>
        <stp/>
        <stp>Market</stp>
        <stp>STOCK</stp>
        <stp>29300.T</stp>
        <stp>決算発表日</stp>
        <tr r="X216" s="7"/>
      </tp>
      <tp t="s">
        <v>表示銘柄数超過</v>
        <stp/>
        <stp>Market</stp>
        <stp>STOCK</stp>
        <stp>23300.T</stp>
        <stp>決算発表日</stp>
        <tr r="X117" s="7"/>
      </tp>
      <tp t="s">
        <v>表示銘柄数超過</v>
        <stp/>
        <stp>Market</stp>
        <stp>STOCK</stp>
        <stp>19300.T</stp>
        <stp>決算発表日</stp>
        <tr r="X76" s="7"/>
      </tp>
      <tp t="s">
        <v>表示銘柄数超過</v>
        <stp/>
        <stp>Market</stp>
        <stp>STOCK</stp>
        <stp>17300.T</stp>
        <stp>決算発表日</stp>
        <tr r="X52" s="7"/>
      </tp>
      <tp t="s">
        <v>表示銘柄数超過</v>
        <stp/>
        <stp>Market</stp>
        <stp>STOCK</stp>
        <stp>14300.T</stp>
        <stp>決算発表日</stp>
        <tr r="X22" s="7"/>
      </tp>
      <tp t="s">
        <v>2024/03/14</v>
        <stp/>
        <stp>Market</stp>
        <stp>STOCK</stp>
        <stp>66300.T</stp>
        <stp>決算発表日</stp>
        <tr r="X740" s="7"/>
      </tp>
      <tp t="s">
        <v>2024/02/08</v>
        <stp/>
        <stp>Market</stp>
        <stp>STOCK</stp>
        <stp>63300.T</stp>
        <stp>決算発表日</stp>
        <tr r="X688" s="7"/>
      </tp>
      <tp t="s">
        <v>表示銘柄数超過</v>
        <stp/>
        <stp>Market</stp>
        <stp>STOCK</stp>
        <stp>99300.T</stp>
        <stp>決算発表日</stp>
        <tr r="X1183" s="7"/>
      </tp>
      <tp t="s">
        <v>表示銘柄数超過</v>
        <stp/>
        <stp>Market</stp>
        <stp>STOCK</stp>
        <stp>88300.T</stp>
        <stp>決算発表日</stp>
        <tr r="X1054" s="7"/>
      </tp>
      <tp t="s">
        <v>2024/02/05</v>
        <stp/>
        <stp>Market</stp>
        <stp>STOCK</stp>
        <stp>82300.T</stp>
        <stp>決算発表日</stp>
        <tr r="X994" s="7"/>
      </tp>
      <tp t="s">
        <v>表示銘柄数超過</v>
        <stp/>
        <stp>Market</stp>
        <stp>STOCK</stp>
        <stp>30310.T</stp>
        <stp>決算発表日</stp>
        <tr r="X226" s="7"/>
      </tp>
      <tp t="s">
        <v>2024/02/14</v>
        <stp/>
        <stp>Market</stp>
        <stp>STOCK</stp>
        <stp>70310.T</stp>
        <stp>決算発表日</stp>
        <tr r="X810" s="7"/>
      </tp>
      <tp t="s">
        <v>2024/02/14</v>
        <stp/>
        <stp>Market</stp>
        <stp>STOCK</stp>
        <stp>67310.T</stp>
        <stp>決算発表日</stp>
        <tr r="X758" s="7"/>
      </tp>
      <tp t="s">
        <v>2024/02/13</v>
        <stp/>
        <stp>Market</stp>
        <stp>STOCK</stp>
        <stp>60310.T</stp>
        <stp>決算発表日</stp>
        <tr r="X639" s="7"/>
      </tp>
      <tp t="s">
        <v>2024/03/14</v>
        <stp/>
        <stp>Market</stp>
        <stp>STOCK</stp>
        <stp>51310.T</stp>
        <stp>決算発表日</stp>
        <tr r="X572" s="7"/>
      </tp>
      <tp t="s">
        <v>表示銘柄数超過</v>
        <stp/>
        <stp>Market</stp>
        <stp>STOCK</stp>
        <stp>46310.T</stp>
        <stp>決算発表日</stp>
        <tr r="X470" s="7"/>
      </tp>
      <tp t="s">
        <v>表示銘柄数超過</v>
        <stp/>
        <stp>Market</stp>
        <stp>STOCK</stp>
        <stp>45310.T</stp>
        <stp>決算発表日</stp>
        <tr r="X483" s="7"/>
      </tp>
      <tp t="s">
        <v>2024/02/01</v>
        <stp/>
        <stp>Market</stp>
        <stp>STOCK</stp>
        <stp>98310.T</stp>
        <stp>決算発表日</stp>
        <tr r="X1171" s="7"/>
      </tp>
      <tp t="s">
        <v>表示銘柄数超過</v>
        <stp/>
        <stp>Market</stp>
        <stp>STOCK</stp>
        <stp>95310.T</stp>
        <stp>決算発表日</stp>
        <tr r="X1153" s="7"/>
      </tp>
      <tp t="s">
        <v>2024/02/02</v>
        <stp/>
        <stp>Market</stp>
        <stp>STOCK</stp>
        <stp>83310.T</stp>
        <stp>決算発表日</stp>
        <tr r="X1004" s="7"/>
      </tp>
      <tp t="s">
        <v>2024/02/02</v>
        <stp/>
        <stp>Market</stp>
        <stp>STOCK</stp>
        <stp>80310.T</stp>
        <stp>決算発表日</stp>
        <tr r="X969" s="7"/>
      </tp>
      <tp t="s">
        <v>表示銘柄数超過</v>
        <stp/>
        <stp>Market</stp>
        <stp>STOCK</stp>
        <stp>36320.T</stp>
        <stp>決算発表日</stp>
        <tr r="X316" s="7"/>
      </tp>
      <tp t="s">
        <v>表示銘柄数超過</v>
        <stp/>
        <stp>Market</stp>
        <stp>STOCK</stp>
        <stp>32320.T</stp>
        <stp>決算発表日</stp>
        <tr r="X258" s="7"/>
      </tp>
      <tp t="s">
        <v>表示銘柄数超過</v>
        <stp/>
        <stp>Market</stp>
        <stp>STOCK</stp>
        <stp>24320.T</stp>
        <stp>決算発表日</stp>
        <tr r="X140" s="7"/>
      </tp>
      <tp t="s">
        <v>表示銘柄数超過</v>
        <stp/>
        <stp>Market</stp>
        <stp>STOCK</stp>
        <stp>13320.T</stp>
        <stp>決算発表日</stp>
        <tr r="X8" s="7"/>
      </tp>
      <tp t="s">
        <v>2024/01/29</v>
        <stp/>
        <stp>Market</stp>
        <stp>STOCK</stp>
        <stp>77320.T</stp>
        <stp>決算発表日</stp>
        <tr r="X925" s="7"/>
      </tp>
      <tp t="s">
        <v>2024/02/01</v>
        <stp/>
        <stp>Market</stp>
        <stp>STOCK</stp>
        <stp>66320.T</stp>
        <stp>決算発表日</stp>
        <tr r="X741" s="7"/>
      </tp>
      <tp t="s">
        <v>2024/02/02</v>
        <stp/>
        <stp>Market</stp>
        <stp>STOCK</stp>
        <stp>58320.T</stp>
        <stp>決算発表日</stp>
        <tr r="X614" s="7"/>
      </tp>
      <tp t="s">
        <v>2024/02/07</v>
        <stp/>
        <stp>Market</stp>
        <stp>STOCK</stp>
        <stp>56320.T</stp>
        <stp>決算発表日</stp>
        <tr r="X602" s="7"/>
      </tp>
      <tp t="s">
        <v>表示銘柄数超過</v>
        <stp/>
        <stp>Market</stp>
        <stp>STOCK</stp>
        <stp>50320.T</stp>
        <stp>決算発表日</stp>
        <tr r="X565" s="7"/>
      </tp>
      <tp t="s">
        <v>表示銘柄数超過</v>
        <stp/>
        <stp>Market</stp>
        <stp>STOCK</stp>
        <stp>95320.T</stp>
        <stp>決算発表日</stp>
        <tr r="X1154" s="7"/>
      </tp>
      <tp t="s">
        <v>2024/02/08</v>
        <stp/>
        <stp>Market</stp>
        <stp>STOCK</stp>
        <stp>94320.T</stp>
        <stp>決算発表日</stp>
        <tr r="X1127" s="7"/>
      </tp>
      <tp t="s">
        <v>2024/01/31</v>
        <stp/>
        <stp>Market</stp>
        <stp>STOCK</stp>
        <stp>87320.T</stp>
        <stp>決算発表日</stp>
        <tr r="X1040" s="7"/>
      </tp>
      <tp t="s">
        <v>表示銘柄数超過</v>
        <stp/>
        <stp>Market</stp>
        <stp>STOCK</stp>
        <stp>34330.T</stp>
        <stp>決算発表日</stp>
        <tr r="X298" s="7"/>
      </tp>
      <tp t="s">
        <v>表示銘柄数超過</v>
        <stp/>
        <stp>Market</stp>
        <stp>STOCK</stp>
        <stp>33330.T</stp>
        <stp>決算発表日</stp>
        <tr r="X281" s="7"/>
      </tp>
      <tp t="s">
        <v>表示銘柄数超過</v>
        <stp/>
        <stp>Market</stp>
        <stp>STOCK</stp>
        <stp>31330.T</stp>
        <stp>決算発表日</stp>
        <tr r="X245" s="7"/>
      </tp>
      <tp t="s">
        <v>表示銘柄数超過</v>
        <stp/>
        <stp>Market</stp>
        <stp>STOCK</stp>
        <stp>26330.T</stp>
        <stp>決算発表日</stp>
        <tr r="X172" s="7"/>
      </tp>
      <tp t="s">
        <v>表示銘柄数超過</v>
        <stp/>
        <stp>Market</stp>
        <stp>STOCK</stp>
        <stp>25330.T</stp>
        <stp>決算発表日</stp>
        <tr r="X160" s="7"/>
      </tp>
      <tp t="s">
        <v>表示銘柄数超過</v>
        <stp/>
        <stp>Market</stp>
        <stp>STOCK</stp>
        <stp>24330.T</stp>
        <stp>決算発表日</stp>
        <tr r="X141" s="7"/>
      </tp>
      <tp t="s">
        <v>表示銘柄数超過</v>
        <stp/>
        <stp>Market</stp>
        <stp>STOCK</stp>
        <stp>13330.T</stp>
        <stp>決算発表日</stp>
        <tr r="X9" s="7"/>
      </tp>
      <tp t="s">
        <v>2024/02/14</v>
        <stp/>
        <stp>Market</stp>
        <stp>STOCK</stp>
        <stp>66330.T</stp>
        <stp>決算発表日</stp>
        <tr r="X742" s="7"/>
      </tp>
      <tp t="s">
        <v>2024/02/09</v>
        <stp/>
        <stp>Market</stp>
        <stp>STOCK</stp>
        <stp>64330.T</stp>
        <stp>決算発表日</stp>
        <tr r="X701" s="7"/>
      </tp>
      <tp t="s">
        <v>2024/02/14</v>
        <stp/>
        <stp>Market</stp>
        <stp>STOCK</stp>
        <stp>62330.T</stp>
        <stp>決算発表日</stp>
        <tr r="X680" s="7"/>
      </tp>
      <tp t="s">
        <v>2024/02/14</v>
        <stp/>
        <stp>Market</stp>
        <stp>STOCK</stp>
        <stp>51330.T</stp>
        <stp>決算発表日</stp>
        <tr r="X573" s="7"/>
      </tp>
      <tp t="s">
        <v>表示銘柄数超過</v>
        <stp/>
        <stp>Market</stp>
        <stp>STOCK</stp>
        <stp>48330.T</stp>
        <stp>決算発表日</stp>
        <tr r="X541" s="7"/>
      </tp>
      <tp t="s">
        <v>表示銘柄数超過</v>
        <stp/>
        <stp>Market</stp>
        <stp>STOCK</stp>
        <stp>94330.T</stp>
        <stp>決算発表日</stp>
        <tr r="X1128" s="7"/>
      </tp>
      <tp t="s">
        <v>表示銘柄数超過</v>
        <stp/>
        <stp>Market</stp>
        <stp>STOCK</stp>
        <stp>90330.T</stp>
        <stp>決算発表日</stp>
        <tr r="X1084" s="7"/>
      </tp>
      <tp t="s">
        <v>2024/01/31</v>
        <stp/>
        <stp>Market</stp>
        <stp>STOCK</stp>
        <stp>81330.T</stp>
        <stp>決算発表日</stp>
        <tr r="X980" s="7"/>
      </tp>
      <tp t="s">
        <v>表示銘柄数超過</v>
        <stp/>
        <stp>Market</stp>
        <stp>STOCK</stp>
        <stp>37380.T</stp>
        <stp>決算発表日</stp>
        <tr r="X348" s="7"/>
      </tp>
      <tp t="s">
        <v>表示銘柄数超過</v>
        <stp/>
        <stp>Market</stp>
        <stp>STOCK</stp>
        <stp>32380.T</stp>
        <stp>決算発表日</stp>
        <tr r="X261" s="7"/>
      </tp>
      <tp t="s">
        <v>表示銘柄数超過</v>
        <stp/>
        <stp>Market</stp>
        <stp>STOCK</stp>
        <stp>30380.T</stp>
        <stp>決算発表日</stp>
        <tr r="X230" s="7"/>
      </tp>
      <tp t="s">
        <v>表示銘柄数超過</v>
        <stp/>
        <stp>Market</stp>
        <stp>STOCK</stp>
        <stp>24380.T</stp>
        <stp>決算発表日</stp>
        <tr r="X144" s="7"/>
      </tp>
      <tp t="s">
        <v>表示銘柄数超過</v>
        <stp/>
        <stp>Market</stp>
        <stp>STOCK</stp>
        <stp>21380.T</stp>
        <stp>決算発表日</stp>
        <tr r="X93" s="7"/>
      </tp>
      <tp t="s">
        <v>-</v>
        <stp/>
        <stp>Market</stp>
        <stp>STOCK</stp>
        <stp>20380.T</stp>
        <stp>決算発表日</stp>
        <tr r="X87" s="7"/>
      </tp>
      <tp t="s">
        <v>表示銘柄数超過</v>
        <stp/>
        <stp>Market</stp>
        <stp>STOCK</stp>
        <stp>19380.T</stp>
        <stp>決算発表日</stp>
        <tr r="X77" s="7"/>
      </tp>
      <tp t="s">
        <v>2024/02/06</v>
        <stp/>
        <stp>Market</stp>
        <stp>STOCK</stp>
        <stp>75380.T</stp>
        <stp>決算発表日</stp>
        <tr r="X902" s="7"/>
      </tp>
      <tp t="s">
        <v>2024/02/09</v>
        <stp/>
        <stp>Market</stp>
        <stp>STOCK</stp>
        <stp>72380.T</stp>
        <stp>決算発表日</stp>
        <tr r="X856" s="7"/>
      </tp>
      <tp t="s">
        <v>2024/01/31</v>
        <stp/>
        <stp>Market</stp>
        <stp>STOCK</stp>
        <stp>69380.T</stp>
        <stp>決算発表日</stp>
        <tr r="X790" s="7"/>
      </tp>
      <tp t="s">
        <v>2024/01/31</v>
        <stp/>
        <stp>Market</stp>
        <stp>STOCK</stp>
        <stp>59380.T</stp>
        <stp>決算発表日</stp>
        <tr r="X621" s="7"/>
      </tp>
      <tp t="s">
        <v>2024/02/13</v>
        <stp/>
        <stp>Market</stp>
        <stp>STOCK</stp>
        <stp>58380.T</stp>
        <stp>決算発表日</stp>
        <tr r="X615" s="7"/>
      </tp>
      <tp t="s">
        <v>表示銘柄数超過</v>
        <stp/>
        <stp>Market</stp>
        <stp>STOCK</stp>
        <stp>48380.T</stp>
        <stp>決算発表日</stp>
        <tr r="X543" s="7"/>
      </tp>
      <tp t="s">
        <v>表示銘柄数超過</v>
        <stp/>
        <stp>Market</stp>
        <stp>STOCK</stp>
        <stp>44380.T</stp>
        <stp>決算発表日</stp>
        <tr r="X465" s="7"/>
      </tp>
      <tp t="s">
        <v>表示銘柄数超過</v>
        <stp/>
        <stp>Market</stp>
        <stp>STOCK</stp>
        <stp>42380.T</stp>
        <stp>決算発表日</stp>
        <tr r="X428" s="7"/>
      </tp>
      <tp t="s">
        <v>表示銘柄数超過</v>
        <stp/>
        <stp>Market</stp>
        <stp>STOCK</stp>
        <stp>89380.T</stp>
        <stp>決算発表日</stp>
        <tr r="X1068" s="7"/>
      </tp>
      <tp t="s">
        <v>表示銘柄数超過</v>
        <stp/>
        <stp>Market</stp>
        <stp>STOCK</stp>
        <stp>39390.T</stp>
        <stp>決算発表日</stp>
        <tr r="X398" s="7"/>
      </tp>
      <tp t="s">
        <v>表示銘柄数超過</v>
        <stp/>
        <stp>Market</stp>
        <stp>STOCK</stp>
        <stp>36390.T</stp>
        <stp>決算発表日</stp>
        <tr r="X318" s="7"/>
      </tp>
      <tp t="s">
        <v>表示銘柄数超過</v>
        <stp/>
        <stp>Market</stp>
        <stp>STOCK</stp>
        <stp>19390.T</stp>
        <stp>決算発表日</stp>
        <tr r="X78" s="7"/>
      </tp>
      <tp t="s">
        <v>表示銘柄数超過</v>
        <stp/>
        <stp>Market</stp>
        <stp>STOCK</stp>
        <stp>14390.T</stp>
        <stp>決算発表日</stp>
        <tr r="X24" s="7"/>
      </tp>
      <tp t="s">
        <v>2024/01/29</v>
        <stp/>
        <stp>Market</stp>
        <stp>STOCK</stp>
        <stp>77390.T</stp>
        <stp>決算発表日</stp>
        <tr r="X926" s="7"/>
      </tp>
      <tp t="s">
        <v>表示銘柄数超過</v>
        <stp/>
        <stp>Market</stp>
        <stp>STOCK</stp>
        <stp>94390.T</stp>
        <stp>決算発表日</stp>
        <tr r="X1131" s="7"/>
      </tp>
      <tp t="s">
        <v>2024/02/09</v>
        <stp/>
        <stp>Market</stp>
        <stp>STOCK</stp>
        <stp>81390.T</stp>
        <stp>決算発表日</stp>
        <tr r="X982" s="7"/>
      </tp>
      <tp t="s">
        <v>表示銘柄数超過</v>
        <stp/>
        <stp>Market</stp>
        <stp>STOCK</stp>
        <stp>36910.T</stp>
        <stp>現在値</stp>
        <tr r="C341" s="7"/>
      </tp>
      <tp t="s">
        <v>表示銘柄数超過</v>
        <stp/>
        <stp>Market</stp>
        <stp>STOCK</stp>
        <stp>36960.T</stp>
        <stp>現在値</stp>
        <tr r="C342" s="7"/>
      </tp>
      <tp t="s">
        <v>表示銘柄数超過</v>
        <stp/>
        <stp>Market</stp>
        <stp>STOCK</stp>
        <stp>36980.T</stp>
        <stp>現在値</stp>
        <tr r="C343" s="7"/>
      </tp>
      <tp t="s">
        <v>表示銘柄数超過</v>
        <stp/>
        <stp>Market</stp>
        <stp>STOCK</stp>
        <stp>36800.T</stp>
        <stp>現在値</stp>
        <tr r="C336" s="7"/>
      </tp>
      <tp t="s">
        <v>表示銘柄数超過</v>
        <stp/>
        <stp>Market</stp>
        <stp>STOCK</stp>
        <stp>36810.T</stp>
        <stp>現在値</stp>
        <tr r="C337" s="7"/>
      </tp>
      <tp t="s">
        <v>表示銘柄数超過</v>
        <stp/>
        <stp>Market</stp>
        <stp>STOCK</stp>
        <stp>36820.T</stp>
        <stp>現在値</stp>
        <tr r="C338" s="7"/>
      </tp>
      <tp t="s">
        <v>表示銘柄数超過</v>
        <stp/>
        <stp>Market</stp>
        <stp>STOCK</stp>
        <stp>36830.T</stp>
        <stp>現在値</stp>
        <tr r="C339" s="7"/>
      </tp>
      <tp t="s">
        <v>表示銘柄数超過</v>
        <stp/>
        <stp>Market</stp>
        <stp>STOCK</stp>
        <stp>36860.T</stp>
        <stp>現在値</stp>
        <tr r="C340" s="7"/>
      </tp>
      <tp t="s">
        <v>表示銘柄数超過</v>
        <stp/>
        <stp>Market</stp>
        <stp>STOCK</stp>
        <stp>36070.T</stp>
        <stp>現在値</stp>
        <tr r="C311" s="7"/>
      </tp>
      <tp t="s">
        <v>表示銘柄数超過</v>
        <stp/>
        <stp>Market</stp>
        <stp>STOCK</stp>
        <stp>36320.T</stp>
        <stp>現在値</stp>
        <tr r="C316" s="7"/>
      </tp>
      <tp t="s">
        <v>表示銘柄数超過</v>
        <stp/>
        <stp>Market</stp>
        <stp>STOCK</stp>
        <stp>36350.T</stp>
        <stp>現在値</stp>
        <tr r="C317" s="7"/>
      </tp>
      <tp t="s">
        <v>表示銘柄数超過</v>
        <stp/>
        <stp>Market</stp>
        <stp>STOCK</stp>
        <stp>36390.T</stp>
        <stp>現在値</stp>
        <tr r="C318" s="7"/>
      </tp>
      <tp t="s">
        <v>表示銘柄数超過</v>
        <stp/>
        <stp>Market</stp>
        <stp>STOCK</stp>
        <stp>36240.T</stp>
        <stp>現在値</stp>
        <tr r="C312" s="7"/>
      </tp>
      <tp t="s">
        <v>表示銘柄数超過</v>
        <stp/>
        <stp>Market</stp>
        <stp>STOCK</stp>
        <stp>36250.T</stp>
        <stp>現在値</stp>
        <tr r="C313" s="7"/>
      </tp>
      <tp t="s">
        <v>表示銘柄数超過</v>
        <stp/>
        <stp>Market</stp>
        <stp>STOCK</stp>
        <stp>36260.T</stp>
        <stp>現在値</stp>
        <tr r="C314" s="7"/>
      </tp>
      <tp t="s">
        <v>表示銘柄数超過</v>
        <stp/>
        <stp>Market</stp>
        <stp>STOCK</stp>
        <stp>36270.T</stp>
        <stp>現在値</stp>
        <tr r="C315" s="7"/>
      </tp>
      <tp t="s">
        <v>表示銘柄数超過</v>
        <stp/>
        <stp>Market</stp>
        <stp>STOCK</stp>
        <stp>36520.T</stp>
        <stp>現在値</stp>
        <tr r="C322" s="7"/>
      </tp>
      <tp t="s">
        <v>表示銘柄数超過</v>
        <stp/>
        <stp>Market</stp>
        <stp>STOCK</stp>
        <stp>36550.T</stp>
        <stp>現在値</stp>
        <tr r="C323" s="7"/>
      </tp>
      <tp t="s">
        <v>表示銘柄数超過</v>
        <stp/>
        <stp>Market</stp>
        <stp>STOCK</stp>
        <stp>36560.T</stp>
        <stp>現在値</stp>
        <tr r="C324" s="7"/>
      </tp>
      <tp t="s">
        <v>表示銘柄数超過</v>
        <stp/>
        <stp>Market</stp>
        <stp>STOCK</stp>
        <stp>36450.T</stp>
        <stp>現在値</stp>
        <tr r="C319" s="7"/>
      </tp>
      <tp t="s">
        <v>表示銘柄数超過</v>
        <stp/>
        <stp>Market</stp>
        <stp>STOCK</stp>
        <stp>36470.T</stp>
        <stp>現在値</stp>
        <tr r="C320" s="7"/>
      </tp>
      <tp t="s">
        <v>表示銘柄数超過</v>
        <stp/>
        <stp>Market</stp>
        <stp>STOCK</stp>
        <stp>36490.T</stp>
        <stp>現在値</stp>
        <tr r="C321" s="7"/>
      </tp>
      <tp t="s">
        <v>表示銘柄数超過</v>
        <stp/>
        <stp>Market</stp>
        <stp>STOCK</stp>
        <stp>36720.T</stp>
        <stp>現在値</stp>
        <tr r="C332" s="7"/>
      </tp>
      <tp t="s">
        <v>表示銘柄数超過</v>
        <stp/>
        <stp>Market</stp>
        <stp>STOCK</stp>
        <stp>36740.T</stp>
        <stp>現在値</stp>
        <tr r="C333" s="7"/>
      </tp>
      <tp t="s">
        <v>表示銘柄数超過</v>
        <stp/>
        <stp>Market</stp>
        <stp>STOCK</stp>
        <stp>36760.T</stp>
        <stp>現在値</stp>
        <tr r="C334" s="7"/>
      </tp>
      <tp t="s">
        <v>表示銘柄数超過</v>
        <stp/>
        <stp>Market</stp>
        <stp>STOCK</stp>
        <stp>36770.T</stp>
        <stp>現在値</stp>
        <tr r="C335" s="7"/>
      </tp>
      <tp t="s">
        <v>表示銘柄数超過</v>
        <stp/>
        <stp>Market</stp>
        <stp>STOCK</stp>
        <stp>36600.T</stp>
        <stp>現在値</stp>
        <tr r="C325" s="7"/>
      </tp>
      <tp t="s">
        <v>表示銘柄数超過</v>
        <stp/>
        <stp>Market</stp>
        <stp>STOCK</stp>
        <stp>36630.T</stp>
        <stp>現在値</stp>
        <tr r="C326" s="7"/>
      </tp>
      <tp t="s">
        <v>表示銘柄数超過</v>
        <stp/>
        <stp>Market</stp>
        <stp>STOCK</stp>
        <stp>36640.T</stp>
        <stp>現在値</stp>
        <tr r="C327" s="7"/>
      </tp>
      <tp t="s">
        <v>表示銘柄数超過</v>
        <stp/>
        <stp>Market</stp>
        <stp>STOCK</stp>
        <stp>36650.T</stp>
        <stp>現在値</stp>
        <tr r="C328" s="7"/>
      </tp>
      <tp t="s">
        <v>表示銘柄数超過</v>
        <stp/>
        <stp>Market</stp>
        <stp>STOCK</stp>
        <stp>36660.T</stp>
        <stp>現在値</stp>
        <tr r="C329" s="7"/>
      </tp>
      <tp t="s">
        <v>表示銘柄数超過</v>
        <stp/>
        <stp>Market</stp>
        <stp>STOCK</stp>
        <stp>36670.T</stp>
        <stp>現在値</stp>
        <tr r="C330" s="7"/>
      </tp>
      <tp t="s">
        <v>表示銘柄数超過</v>
        <stp/>
        <stp>Market</stp>
        <stp>STOCK</stp>
        <stp>36680.T</stp>
        <stp>現在値</stp>
        <tr r="C331" s="7"/>
      </tp>
      <tp t="s">
        <v>表示銘柄数超過</v>
        <stp/>
        <stp>Market</stp>
        <stp>STOCK</stp>
        <stp>37930.T</stp>
        <stp>現在値</stp>
        <tr r="C360" s="7"/>
      </tp>
      <tp t="s">
        <v>表示銘柄数超過</v>
        <stp/>
        <stp>Market</stp>
        <stp>STOCK</stp>
        <stp>37840.T</stp>
        <stp>現在値</stp>
        <tr r="C359" s="7"/>
      </tp>
      <tp t="s">
        <v>表示銘柄数超過</v>
        <stp/>
        <stp>Market</stp>
        <stp>STOCK</stp>
        <stp>37100.T</stp>
        <stp>現在値</stp>
        <tr r="C344" s="7"/>
      </tp>
      <tp t="s">
        <v>表示銘柄数超過</v>
        <stp/>
        <stp>Market</stp>
        <stp>STOCK</stp>
        <stp>37190.T</stp>
        <stp>現在値</stp>
        <tr r="C345" s="7"/>
      </tp>
      <tp t="s">
        <v>表示銘柄数超過</v>
        <stp/>
        <stp>Market</stp>
        <stp>STOCK</stp>
        <stp>37380.T</stp>
        <stp>現在値</stp>
        <tr r="C348" s="7"/>
      </tp>
      <tp t="s">
        <v>表示銘柄数超過</v>
        <stp/>
        <stp>Market</stp>
        <stp>STOCK</stp>
        <stp>37230.T</stp>
        <stp>現在値</stp>
        <tr r="C346" s="7"/>
      </tp>
      <tp t="s">
        <v>表示銘柄数超過</v>
        <stp/>
        <stp>Market</stp>
        <stp>STOCK</stp>
        <stp>37270.T</stp>
        <stp>現在値</stp>
        <tr r="C347" s="7"/>
      </tp>
      <tp t="s">
        <v>表示銘柄数超過</v>
        <stp/>
        <stp>Market</stp>
        <stp>STOCK</stp>
        <stp>37580.T</stp>
        <stp>現在値</stp>
        <tr r="C351" s="7"/>
      </tp>
      <tp t="s">
        <v>表示銘柄数超過</v>
        <stp/>
        <stp>Market</stp>
        <stp>STOCK</stp>
        <stp>37410.T</stp>
        <stp>現在値</stp>
        <tr r="C349" s="7"/>
      </tp>
      <tp t="s">
        <v>表示銘柄数超過</v>
        <stp/>
        <stp>Market</stp>
        <stp>STOCK</stp>
        <stp>37470.T</stp>
        <stp>現在値</stp>
        <tr r="C350" s="7"/>
      </tp>
      <tp t="s">
        <v>表示銘柄数超過</v>
        <stp/>
        <stp>Market</stp>
        <stp>STOCK</stp>
        <stp>37700.T</stp>
        <stp>現在値</stp>
        <tr r="C353" s="7"/>
      </tp>
      <tp t="s">
        <v>表示銘柄数超過</v>
        <stp/>
        <stp>Market</stp>
        <stp>STOCK</stp>
        <stp>37730.T</stp>
        <stp>現在値</stp>
        <tr r="C354" s="7"/>
      </tp>
      <tp t="s">
        <v>表示銘柄数超過</v>
        <stp/>
        <stp>Market</stp>
        <stp>STOCK</stp>
        <stp>37760.T</stp>
        <stp>現在値</stp>
        <tr r="C355" s="7"/>
      </tp>
      <tp t="s">
        <v>表示銘柄数超過</v>
        <stp/>
        <stp>Market</stp>
        <stp>STOCK</stp>
        <stp>37770.T</stp>
        <stp>現在値</stp>
        <tr r="C356" s="7"/>
      </tp>
      <tp t="s">
        <v>表示銘柄数超過</v>
        <stp/>
        <stp>Market</stp>
        <stp>STOCK</stp>
        <stp>37780.T</stp>
        <stp>現在値</stp>
        <tr r="C357" s="7"/>
      </tp>
      <tp t="s">
        <v>表示銘柄数超過</v>
        <stp/>
        <stp>Market</stp>
        <stp>STOCK</stp>
        <stp>37790.T</stp>
        <stp>現在値</stp>
        <tr r="C358" s="7"/>
      </tp>
      <tp t="s">
        <v>表示銘柄数超過</v>
        <stp/>
        <stp>Market</stp>
        <stp>STOCK</stp>
        <stp>37600.T</stp>
        <stp>現在値</stp>
        <tr r="C352" s="7"/>
      </tp>
      <tp t="s">
        <v>表示銘柄数超過</v>
        <stp/>
        <stp>Market</stp>
        <stp>STOCK</stp>
        <stp>34010.T</stp>
        <stp>現在値</stp>
        <tr r="C294" s="7"/>
      </tp>
      <tp t="s">
        <v>表示銘柄数超過</v>
        <stp/>
        <stp>Market</stp>
        <stp>STOCK</stp>
        <stp>34070.T</stp>
        <stp>現在値</stp>
        <tr r="C295" s="7"/>
      </tp>
      <tp t="s">
        <v>表示銘柄数超過</v>
        <stp/>
        <stp>Market</stp>
        <stp>STOCK</stp>
        <stp>34090.T</stp>
        <stp>現在値</stp>
        <tr r="C296" s="7"/>
      </tp>
      <tp t="s">
        <v>表示銘柄数超過</v>
        <stp/>
        <stp>Market</stp>
        <stp>STOCK</stp>
        <stp>34330.T</stp>
        <stp>現在値</stp>
        <tr r="C298" s="7"/>
      </tp>
      <tp t="s">
        <v>表示銘柄数超過</v>
        <stp/>
        <stp>Market</stp>
        <stp>STOCK</stp>
        <stp>34360.T</stp>
        <stp>現在値</stp>
        <tr r="C299" s="7"/>
      </tp>
      <tp t="s">
        <v>表示銘柄数超過</v>
        <stp/>
        <stp>Market</stp>
        <stp>STOCK</stp>
        <stp>34220.T</stp>
        <stp>現在値</stp>
        <tr r="C297" s="7"/>
      </tp>
      <tp t="s">
        <v>表示銘柄数超過</v>
        <stp/>
        <stp>Market</stp>
        <stp>STOCK</stp>
        <stp>34540.T</stp>
        <stp>現在値</stp>
        <tr r="C300" s="7"/>
      </tp>
      <tp t="s">
        <v>表示銘柄数超過</v>
        <stp/>
        <stp>Market</stp>
        <stp>STOCK</stp>
        <stp>34610.T</stp>
        <stp>現在値</stp>
        <tr r="C301" s="7"/>
      </tp>
      <tp t="s">
        <v>表示銘柄数超過</v>
        <stp/>
        <stp>Market</stp>
        <stp>STOCK</stp>
        <stp>34640.T</stp>
        <stp>現在値</stp>
        <tr r="C302" s="7"/>
      </tp>
      <tp t="s">
        <v>表示銘柄数超過</v>
        <stp/>
        <stp>Market</stp>
        <stp>STOCK</stp>
        <stp>35800.T</stp>
        <stp>現在値</stp>
        <tr r="C310" s="7"/>
      </tp>
      <tp t="s">
        <v>表示銘柄数超過</v>
        <stp/>
        <stp>Market</stp>
        <stp>STOCK</stp>
        <stp>35360.T</stp>
        <stp>現在値</stp>
        <tr r="C304" s="7"/>
      </tp>
      <tp t="s">
        <v>表示銘柄数超過</v>
        <stp/>
        <stp>Market</stp>
        <stp>STOCK</stp>
        <stp>35210.T</stp>
        <stp>現在値</stp>
        <tr r="C303" s="7"/>
      </tp>
      <tp t="s">
        <v>表示銘柄数超過</v>
        <stp/>
        <stp>Market</stp>
        <stp>STOCK</stp>
        <stp>35510.T</stp>
        <stp>現在値</stp>
        <tr r="C307" s="7"/>
      </tp>
      <tp t="s">
        <v>表示銘柄数超過</v>
        <stp/>
        <stp>Market</stp>
        <stp>STOCK</stp>
        <stp>35530.T</stp>
        <stp>現在値</stp>
        <tr r="C308" s="7"/>
      </tp>
      <tp t="s">
        <v>表示銘柄数超過</v>
        <stp/>
        <stp>Market</stp>
        <stp>STOCK</stp>
        <stp>35410.T</stp>
        <stp>現在値</stp>
        <tr r="C305" s="7"/>
      </tp>
      <tp t="s">
        <v>表示銘柄数超過</v>
        <stp/>
        <stp>Market</stp>
        <stp>STOCK</stp>
        <stp>35430.T</stp>
        <stp>現在値</stp>
        <tr r="C306" s="7"/>
      </tp>
      <tp t="s">
        <v>表示銘柄数超過</v>
        <stp/>
        <stp>Market</stp>
        <stp>STOCK</stp>
        <stp>35610.T</stp>
        <stp>現在値</stp>
        <tr r="C309" s="7"/>
      </tp>
      <tp t="s">
        <v>表示銘柄数超過</v>
        <stp/>
        <stp>Market</stp>
        <stp>STOCK</stp>
        <stp>32970.T</stp>
        <stp>現在値</stp>
        <tr r="C273" s="7"/>
      </tp>
      <tp t="s">
        <v>表示銘柄数超過</v>
        <stp/>
        <stp>Market</stp>
        <stp>STOCK</stp>
        <stp>32990.T</stp>
        <stp>現在値</stp>
        <tr r="C274" s="7"/>
      </tp>
      <tp t="s">
        <v>表示銘柄数超過</v>
        <stp/>
        <stp>Market</stp>
        <stp>STOCK</stp>
        <stp>32840.T</stp>
        <stp>現在値</stp>
        <tr r="C269" s="7"/>
      </tp>
      <tp t="s">
        <v>表示銘柄数超過</v>
        <stp/>
        <stp>Market</stp>
        <stp>STOCK</stp>
        <stp>32860.T</stp>
        <stp>現在値</stp>
        <tr r="C270" s="7"/>
      </tp>
      <tp t="s">
        <v>表示銘柄数超過</v>
        <stp/>
        <stp>Market</stp>
        <stp>STOCK</stp>
        <stp>32880.T</stp>
        <stp>現在値</stp>
        <tr r="C271" s="7"/>
      </tp>
      <tp t="s">
        <v>表示銘柄数超過</v>
        <stp/>
        <stp>Market</stp>
        <stp>STOCK</stp>
        <stp>32890.T</stp>
        <stp>現在値</stp>
        <tr r="C272" s="7"/>
      </tp>
      <tp t="s">
        <v>表示銘柄数超過</v>
        <stp/>
        <stp>Market</stp>
        <stp>STOCK</stp>
        <stp>32320.T</stp>
        <stp>現在値</stp>
        <tr r="C258" s="7"/>
      </tp>
      <tp t="s">
        <v>表示銘柄数超過</v>
        <stp/>
        <stp>Market</stp>
        <stp>STOCK</stp>
        <stp>32360.T</stp>
        <stp>現在値</stp>
        <tr r="C259" s="7"/>
      </tp>
      <tp t="s">
        <v>表示銘柄数超過</v>
        <stp/>
        <stp>Market</stp>
        <stp>STOCK</stp>
        <stp>32370.T</stp>
        <stp>現在値</stp>
        <tr r="C260" s="7"/>
      </tp>
      <tp t="s">
        <v>表示銘柄数超過</v>
        <stp/>
        <stp>Market</stp>
        <stp>STOCK</stp>
        <stp>32380.T</stp>
        <stp>現在値</stp>
        <tr r="C261" s="7"/>
      </tp>
      <tp t="s">
        <v>表示銘柄数超過</v>
        <stp/>
        <stp>Market</stp>
        <stp>STOCK</stp>
        <stp>32410.T</stp>
        <stp>現在値</stp>
        <tr r="C262" s="7"/>
      </tp>
      <tp t="s">
        <v>表示銘柄数超過</v>
        <stp/>
        <stp>Market</stp>
        <stp>STOCK</stp>
        <stp>32420.T</stp>
        <stp>現在値</stp>
        <tr r="C263" s="7"/>
      </tp>
      <tp t="s">
        <v>表示銘柄数超過</v>
        <stp/>
        <stp>Market</stp>
        <stp>STOCK</stp>
        <stp>32440.T</stp>
        <stp>現在値</stp>
        <tr r="C264" s="7"/>
      </tp>
      <tp t="s">
        <v>表示銘柄数超過</v>
        <stp/>
        <stp>Market</stp>
        <stp>STOCK</stp>
        <stp>32710.T</stp>
        <stp>現在値</stp>
        <tr r="C268" s="7"/>
      </tp>
      <tp t="s">
        <v>表示銘柄数超過</v>
        <stp/>
        <stp>Market</stp>
        <stp>STOCK</stp>
        <stp>32610.T</stp>
        <stp>現在値</stp>
        <tr r="C265" s="7"/>
      </tp>
      <tp t="s">
        <v>表示銘柄数超過</v>
        <stp/>
        <stp>Market</stp>
        <stp>STOCK</stp>
        <stp>32640.T</stp>
        <stp>現在値</stp>
        <tr r="C266" s="7"/>
      </tp>
      <tp t="s">
        <v>表示銘柄数超過</v>
        <stp/>
        <stp>Market</stp>
        <stp>STOCK</stp>
        <stp>32660.T</stp>
        <stp>現在値</stp>
        <tr r="C267" s="7"/>
      </tp>
      <tp t="s">
        <v>表示銘柄数超過</v>
        <stp/>
        <stp>Market</stp>
        <stp>STOCK</stp>
        <stp>33920.T</stp>
        <stp>現在値</stp>
        <tr r="C293" s="7"/>
      </tp>
      <tp t="s">
        <v>表示銘柄数超過</v>
        <stp/>
        <stp>Market</stp>
        <stp>STOCK</stp>
        <stp>33820.T</stp>
        <stp>現在値</stp>
        <tr r="C290" s="7"/>
      </tp>
      <tp t="s">
        <v>表示銘柄数超過</v>
        <stp/>
        <stp>Market</stp>
        <stp>STOCK</stp>
        <stp>33860.T</stp>
        <stp>現在値</stp>
        <tr r="C291" s="7"/>
      </tp>
      <tp t="s">
        <v>表示銘柄数超過</v>
        <stp/>
        <stp>Market</stp>
        <stp>STOCK</stp>
        <stp>33880.T</stp>
        <stp>現在値</stp>
        <tr r="C292" s="7"/>
      </tp>
      <tp t="s">
        <v>表示銘柄数超過</v>
        <stp/>
        <stp>Market</stp>
        <stp>STOCK</stp>
        <stp>33150.T</stp>
        <stp>現在値</stp>
        <tr r="C276" s="7"/>
      </tp>
      <tp t="s">
        <v>表示銘柄数超過</v>
        <stp/>
        <stp>Market</stp>
        <stp>STOCK</stp>
        <stp>33160.T</stp>
        <stp>現在値</stp>
        <tr r="C277" s="7"/>
      </tp>
      <tp t="s">
        <v>表示銘柄数超過</v>
        <stp/>
        <stp>Market</stp>
        <stp>STOCK</stp>
        <stp>33000.T</stp>
        <stp>現在値</stp>
        <tr r="C275" s="7"/>
      </tp>
      <tp t="s">
        <v>表示銘柄数超過</v>
        <stp/>
        <stp>Market</stp>
        <stp>STOCK</stp>
        <stp>33330.T</stp>
        <stp>現在値</stp>
        <tr r="C281" s="7"/>
      </tp>
      <tp t="s">
        <v>表示銘柄数超過</v>
        <stp/>
        <stp>Market</stp>
        <stp>STOCK</stp>
        <stp>33230.T</stp>
        <stp>現在値</stp>
        <tr r="C278" s="7"/>
      </tp>
      <tp t="s">
        <v>表示銘柄数超過</v>
        <stp/>
        <stp>Market</stp>
        <stp>STOCK</stp>
        <stp>33260.T</stp>
        <stp>現在値</stp>
        <tr r="C279" s="7"/>
      </tp>
      <tp t="s">
        <v>表示銘柄数超過</v>
        <stp/>
        <stp>Market</stp>
        <stp>STOCK</stp>
        <stp>33280.T</stp>
        <stp>現在値</stp>
        <tr r="C280" s="7"/>
      </tp>
      <tp t="s">
        <v>表示銘柄数超過</v>
        <stp/>
        <stp>Market</stp>
        <stp>STOCK</stp>
        <stp>33500.T</stp>
        <stp>現在値</stp>
        <tr r="C283" s="7"/>
      </tp>
      <tp t="s">
        <v>表示銘柄数超過</v>
        <stp/>
        <stp>Market</stp>
        <stp>STOCK</stp>
        <stp>33550.T</stp>
        <stp>現在値</stp>
        <tr r="C284" s="7"/>
      </tp>
      <tp t="s">
        <v>表示銘柄数超過</v>
        <stp/>
        <stp>Market</stp>
        <stp>STOCK</stp>
        <stp>33580.T</stp>
        <stp>現在値</stp>
        <tr r="C285" s="7"/>
      </tp>
      <tp t="s">
        <v>表示銘柄数超過</v>
        <stp/>
        <stp>Market</stp>
        <stp>STOCK</stp>
        <stp>33590.T</stp>
        <stp>現在値</stp>
        <tr r="C286" s="7"/>
      </tp>
      <tp t="s">
        <v>表示銘柄数超過</v>
        <stp/>
        <stp>Market</stp>
        <stp>STOCK</stp>
        <stp>33410.T</stp>
        <stp>現在値</stp>
        <tr r="C282" s="7"/>
      </tp>
      <tp t="s">
        <v>表示銘柄数超過</v>
        <stp/>
        <stp>Market</stp>
        <stp>STOCK</stp>
        <stp>33700.T</stp>
        <stp>現在値</stp>
        <tr r="C287" s="7"/>
      </tp>
      <tp t="s">
        <v>表示銘柄数超過</v>
        <stp/>
        <stp>Market</stp>
        <stp>STOCK</stp>
        <stp>33720.T</stp>
        <stp>現在値</stp>
        <tr r="C288" s="7"/>
      </tp>
      <tp t="s">
        <v>表示銘柄数超過</v>
        <stp/>
        <stp>Market</stp>
        <stp>STOCK</stp>
        <stp>33770.T</stp>
        <stp>現在値</stp>
        <tr r="C289" s="7"/>
      </tp>
      <tp t="s">
        <v>表示銘柄数超過</v>
        <stp/>
        <stp>Market</stp>
        <stp>STOCK</stp>
        <stp>30990.T</stp>
        <stp>現在値</stp>
        <tr r="C240" s="7"/>
      </tp>
      <tp t="s">
        <v>表示銘柄数超過</v>
        <stp/>
        <stp>Market</stp>
        <stp>STOCK</stp>
        <stp>30830.T</stp>
        <stp>現在値</stp>
        <tr r="C238" s="7"/>
      </tp>
      <tp t="s">
        <v>表示銘柄数超過</v>
        <stp/>
        <stp>Market</stp>
        <stp>STOCK</stp>
        <stp>30860.T</stp>
        <stp>現在値</stp>
        <tr r="C239" s="7"/>
      </tp>
      <tp t="s">
        <v>表示銘柄数超過</v>
        <stp/>
        <stp>Market</stp>
        <stp>STOCK</stp>
        <stp>30100.T</stp>
        <stp>現在値</stp>
        <tr r="C223" s="7"/>
      </tp>
      <tp t="s">
        <v>表示銘柄数超過</v>
        <stp/>
        <stp>Market</stp>
        <stp>STOCK</stp>
        <stp>30030.T</stp>
        <stp>現在値</stp>
        <tr r="C221" s="7"/>
      </tp>
      <tp t="s">
        <v>表示銘柄数超過</v>
        <stp/>
        <stp>Market</stp>
        <stp>STOCK</stp>
        <stp>30040.T</stp>
        <stp>現在値</stp>
        <tr r="C222" s="7"/>
      </tp>
      <tp t="s">
        <v>表示銘柄数超過</v>
        <stp/>
        <stp>Market</stp>
        <stp>STOCK</stp>
        <stp>30300.T</stp>
        <stp>現在値</stp>
        <tr r="C225" s="7"/>
      </tp>
      <tp t="s">
        <v>表示銘柄数超過</v>
        <stp/>
        <stp>Market</stp>
        <stp>STOCK</stp>
        <stp>30310.T</stp>
        <stp>現在値</stp>
        <tr r="C226" s="7"/>
      </tp>
      <tp t="s">
        <v>表示銘柄数超過</v>
        <stp/>
        <stp>Market</stp>
        <stp>STOCK</stp>
        <stp>30340.T</stp>
        <stp>現在値</stp>
        <tr r="C227" s="7"/>
      </tp>
      <tp t="s">
        <v>表示銘柄数超過</v>
        <stp/>
        <stp>Market</stp>
        <stp>STOCK</stp>
        <stp>30350.T</stp>
        <stp>現在値</stp>
        <tr r="C228" s="7"/>
      </tp>
      <tp t="s">
        <v>表示銘柄数超過</v>
        <stp/>
        <stp>Market</stp>
        <stp>STOCK</stp>
        <stp>30360.T</stp>
        <stp>現在値</stp>
        <tr r="C229" s="7"/>
      </tp>
      <tp t="s">
        <v>表示銘柄数超過</v>
        <stp/>
        <stp>Market</stp>
        <stp>STOCK</stp>
        <stp>30380.T</stp>
        <stp>現在値</stp>
        <tr r="C230" s="7"/>
      </tp>
      <tp t="s">
        <v>表示銘柄数超過</v>
        <stp/>
        <stp>Market</stp>
        <stp>STOCK</stp>
        <stp>30210.T</stp>
        <stp>現在値</stp>
        <tr r="C224" s="7"/>
      </tp>
      <tp t="s">
        <v>表示銘柄数超過</v>
        <stp/>
        <stp>Market</stp>
        <stp>STOCK</stp>
        <stp>30500.T</stp>
        <stp>現在値</stp>
        <tr r="C232" s="7"/>
      </tp>
      <tp t="s">
        <v>表示銘柄数超過</v>
        <stp/>
        <stp>Market</stp>
        <stp>STOCK</stp>
        <stp>30530.T</stp>
        <stp>現在値</stp>
        <tr r="C233" s="7"/>
      </tp>
      <tp t="s">
        <v>表示銘柄数超過</v>
        <stp/>
        <stp>Market</stp>
        <stp>STOCK</stp>
        <stp>30410.T</stp>
        <stp>現在値</stp>
        <tr r="C231" s="7"/>
      </tp>
      <tp t="s">
        <v>表示銘柄数超過</v>
        <stp/>
        <stp>Market</stp>
        <stp>STOCK</stp>
        <stp>30700.T</stp>
        <stp>現在値</stp>
        <tr r="C236" s="7"/>
      </tp>
      <tp t="s">
        <v>表示銘柄数超過</v>
        <stp/>
        <stp>Market</stp>
        <stp>STOCK</stp>
        <stp>30710.T</stp>
        <stp>現在値</stp>
        <tr r="C237" s="7"/>
      </tp>
      <tp t="s">
        <v>表示銘柄数超過</v>
        <stp/>
        <stp>Market</stp>
        <stp>STOCK</stp>
        <stp>30640.T</stp>
        <stp>現在値</stp>
        <tr r="C234" s="7"/>
      </tp>
      <tp t="s">
        <v>表示銘柄数超過</v>
        <stp/>
        <stp>Market</stp>
        <stp>STOCK</stp>
        <stp>30690.T</stp>
        <stp>現在値</stp>
        <tr r="C235" s="7"/>
      </tp>
      <tp t="s">
        <v>表示銘柄数超過</v>
        <stp/>
        <stp>Market</stp>
        <stp>STOCK</stp>
        <stp>31920.T</stp>
        <stp>現在値</stp>
        <tr r="C256" s="7"/>
      </tp>
      <tp t="s">
        <v>表示銘柄数超過</v>
        <stp/>
        <stp>Market</stp>
        <stp>STOCK</stp>
        <stp>31970.T</stp>
        <stp>現在値</stp>
        <tr r="C257" s="7"/>
      </tp>
      <tp t="s">
        <v>表示銘柄数超過</v>
        <stp/>
        <stp>Market</stp>
        <stp>STOCK</stp>
        <stp>31820.T</stp>
        <stp>現在値</stp>
        <tr r="C251" s="7"/>
      </tp>
      <tp t="s">
        <v>表示銘柄数超過</v>
        <stp/>
        <stp>Market</stp>
        <stp>STOCK</stp>
        <stp>31850.T</stp>
        <stp>現在値</stp>
        <tr r="C252" s="7"/>
      </tp>
      <tp t="s">
        <v>表示銘柄数超過</v>
        <stp/>
        <stp>Market</stp>
        <stp>STOCK</stp>
        <stp>31860.T</stp>
        <stp>現在値</stp>
        <tr r="C253" s="7"/>
      </tp>
      <tp t="s">
        <v>表示銘柄数超過</v>
        <stp/>
        <stp>Market</stp>
        <stp>STOCK</stp>
        <stp>31870.T</stp>
        <stp>現在値</stp>
        <tr r="C254" s="7"/>
      </tp>
      <tp t="s">
        <v>表示銘柄数超過</v>
        <stp/>
        <stp>Market</stp>
        <stp>STOCK</stp>
        <stp>31890.T</stp>
        <stp>現在値</stp>
        <tr r="C255" s="7"/>
      </tp>
      <tp t="s">
        <v>表示銘柄数超過</v>
        <stp/>
        <stp>Market</stp>
        <stp>STOCK</stp>
        <stp>31130.T</stp>
        <stp>現在値</stp>
        <tr r="C243" s="7"/>
      </tp>
      <tp t="s">
        <v>表示銘柄数超過</v>
        <stp/>
        <stp>Market</stp>
        <stp>STOCK</stp>
        <stp>31010.T</stp>
        <stp>現在値</stp>
        <tr r="C241" s="7"/>
      </tp>
      <tp t="s">
        <v>表示銘柄数超過</v>
        <stp/>
        <stp>Market</stp>
        <stp>STOCK</stp>
        <stp>31030.T</stp>
        <stp>現在値</stp>
        <tr r="C242" s="7"/>
      </tp>
      <tp t="s">
        <v>表示銘柄数超過</v>
        <stp/>
        <stp>Market</stp>
        <stp>STOCK</stp>
        <stp>31330.T</stp>
        <stp>現在値</stp>
        <tr r="C245" s="7"/>
      </tp>
      <tp t="s">
        <v>表示銘柄数超過</v>
        <stp/>
        <stp>Market</stp>
        <stp>STOCK</stp>
        <stp>31370.T</stp>
        <stp>現在値</stp>
        <tr r="C246" s="7"/>
      </tp>
      <tp t="s">
        <v>表示銘柄数超過</v>
        <stp/>
        <stp>Market</stp>
        <stp>STOCK</stp>
        <stp>31210.T</stp>
        <stp>現在値</stp>
        <tr r="C244" s="7"/>
      </tp>
      <tp t="s">
        <v>表示銘柄数超過</v>
        <stp/>
        <stp>Market</stp>
        <stp>STOCK</stp>
        <stp>31540.T</stp>
        <stp>現在値</stp>
        <tr r="C248" s="7"/>
      </tp>
      <tp t="s">
        <v>表示銘柄数超過</v>
        <stp/>
        <stp>Market</stp>
        <stp>STOCK</stp>
        <stp>31590.T</stp>
        <stp>現在値</stp>
        <tr r="C249" s="7"/>
      </tp>
      <tp t="s">
        <v>表示銘柄数超過</v>
        <stp/>
        <stp>Market</stp>
        <stp>STOCK</stp>
        <stp>31410.T</stp>
        <stp>現在値</stp>
        <tr r="C247" s="7"/>
      </tp>
      <tp t="s">
        <v>表示銘柄数超過</v>
        <stp/>
        <stp>Market</stp>
        <stp>STOCK</stp>
        <stp>31760.T</stp>
        <stp>現在値</stp>
        <tr r="C250" s="7"/>
      </tp>
      <tp t="s">
        <v>表示銘柄数超過</v>
        <stp/>
        <stp>Market</stp>
        <stp>STOCK</stp>
        <stp>38800.T</stp>
        <stp>現在値</stp>
        <tr r="C383" s="7"/>
      </tp>
      <tp t="s">
        <v>表示銘柄数超過</v>
        <stp/>
        <stp>Market</stp>
        <stp>STOCK</stp>
        <stp>38100.T</stp>
        <stp>現在値</stp>
        <tr r="C362" s="7"/>
      </tp>
      <tp t="s">
        <v>表示銘柄数超過</v>
        <stp/>
        <stp>Market</stp>
        <stp>STOCK</stp>
        <stp>38140.T</stp>
        <stp>現在値</stp>
        <tr r="C363" s="7"/>
      </tp>
      <tp t="s">
        <v>表示銘柄数超過</v>
        <stp/>
        <stp>Market</stp>
        <stp>STOCK</stp>
        <stp>38150.T</stp>
        <stp>現在値</stp>
        <tr r="C364" s="7"/>
      </tp>
      <tp t="s">
        <v>表示銘柄数超過</v>
        <stp/>
        <stp>Market</stp>
        <stp>STOCK</stp>
        <stp>38160.T</stp>
        <stp>現在値</stp>
        <tr r="C365" s="7"/>
      </tp>
      <tp t="s">
        <v>表示銘柄数超過</v>
        <stp/>
        <stp>Market</stp>
        <stp>STOCK</stp>
        <stp>38070.T</stp>
        <stp>現在値</stp>
        <tr r="C361" s="7"/>
      </tp>
      <tp t="s">
        <v>表示銘柄数超過</v>
        <stp/>
        <stp>Market</stp>
        <stp>STOCK</stp>
        <stp>38350.T</stp>
        <stp>現在値</stp>
        <tr r="C369" s="7"/>
      </tp>
      <tp t="s">
        <v>表示銘柄数超過</v>
        <stp/>
        <stp>Market</stp>
        <stp>STOCK</stp>
        <stp>38230.T</stp>
        <stp>現在値</stp>
        <tr r="C366" s="7"/>
      </tp>
      <tp t="s">
        <v>表示銘柄数超過</v>
        <stp/>
        <stp>Market</stp>
        <stp>STOCK</stp>
        <stp>38250.T</stp>
        <stp>現在値</stp>
        <tr r="C367" s="7"/>
      </tp>
      <tp t="s">
        <v>表示銘柄数超過</v>
        <stp/>
        <stp>Market</stp>
        <stp>STOCK</stp>
        <stp>38260.T</stp>
        <stp>現在値</stp>
        <tr r="C368" s="7"/>
      </tp>
      <tp t="s">
        <v>表示銘柄数超過</v>
        <stp/>
        <stp>Market</stp>
        <stp>STOCK</stp>
        <stp>38500.T</stp>
        <stp>現在値</stp>
        <tr r="C373" s="7"/>
      </tp>
      <tp t="s">
        <v>表示銘柄数超過</v>
        <stp/>
        <stp>Market</stp>
        <stp>STOCK</stp>
        <stp>38510.T</stp>
        <stp>現在値</stp>
        <tr r="C374" s="7"/>
      </tp>
      <tp t="s">
        <v>表示銘柄数超過</v>
        <stp/>
        <stp>Market</stp>
        <stp>STOCK</stp>
        <stp>38520.T</stp>
        <stp>現在値</stp>
        <tr r="C375" s="7"/>
      </tp>
      <tp t="s">
        <v>表示銘柄数超過</v>
        <stp/>
        <stp>Market</stp>
        <stp>STOCK</stp>
        <stp>38530.T</stp>
        <stp>現在値</stp>
        <tr r="C376" s="7"/>
      </tp>
      <tp t="s">
        <v>表示銘柄数超過</v>
        <stp/>
        <stp>Market</stp>
        <stp>STOCK</stp>
        <stp>38560.T</stp>
        <stp>現在値</stp>
        <tr r="C377" s="7"/>
      </tp>
      <tp t="s">
        <v>表示銘柄数超過</v>
        <stp/>
        <stp>Market</stp>
        <stp>STOCK</stp>
        <stp>38580.T</stp>
        <stp>現在値</stp>
        <tr r="C378" s="7"/>
      </tp>
      <tp t="s">
        <v>表示銘柄数超過</v>
        <stp/>
        <stp>Market</stp>
        <stp>STOCK</stp>
        <stp>38400.T</stp>
        <stp>現在値</stp>
        <tr r="C370" s="7"/>
      </tp>
      <tp t="s">
        <v>表示銘柄数超過</v>
        <stp/>
        <stp>Market</stp>
        <stp>STOCK</stp>
        <stp>38420.T</stp>
        <stp>現在値</stp>
        <tr r="C371" s="7"/>
      </tp>
      <tp t="s">
        <v>表示銘柄数超過</v>
        <stp/>
        <stp>Market</stp>
        <stp>STOCK</stp>
        <stp>38450.T</stp>
        <stp>現在値</stp>
        <tr r="C372" s="7"/>
      </tp>
      <tp t="s">
        <v>表示銘柄数超過</v>
        <stp/>
        <stp>Market</stp>
        <stp>STOCK</stp>
        <stp>38610.T</stp>
        <stp>現在値</stp>
        <tr r="C379" s="7"/>
      </tp>
      <tp t="s">
        <v>表示銘柄数超過</v>
        <stp/>
        <stp>Market</stp>
        <stp>STOCK</stp>
        <stp>38630.T</stp>
        <stp>現在値</stp>
        <tr r="C380" s="7"/>
      </tp>
      <tp t="s">
        <v>表示銘柄数超過</v>
        <stp/>
        <stp>Market</stp>
        <stp>STOCK</stp>
        <stp>38640.T</stp>
        <stp>現在値</stp>
        <tr r="C381" s="7"/>
      </tp>
      <tp t="s">
        <v>表示銘柄数超過</v>
        <stp/>
        <stp>Market</stp>
        <stp>STOCK</stp>
        <stp>38650.T</stp>
        <stp>現在値</stp>
        <tr r="C382" s="7"/>
      </tp>
      <tp t="s">
        <v>表示銘柄数超過</v>
        <stp/>
        <stp>Market</stp>
        <stp>STOCK</stp>
        <stp>39900.T</stp>
        <stp>現在値</stp>
        <tr r="C405" s="7"/>
      </tp>
      <tp t="s">
        <v>表示銘柄数超過</v>
        <stp/>
        <stp>Market</stp>
        <stp>STOCK</stp>
        <stp>39920.T</stp>
        <stp>現在値</stp>
        <tr r="C406" s="7"/>
      </tp>
      <tp t="s">
        <v>表示銘柄数超過</v>
        <stp/>
        <stp>Market</stp>
        <stp>STOCK</stp>
        <stp>39950.T</stp>
        <stp>現在値</stp>
        <tr r="C407" s="7"/>
      </tp>
      <tp t="s">
        <v>表示銘柄数超過</v>
        <stp/>
        <stp>Market</stp>
        <stp>STOCK</stp>
        <stp>39970.T</stp>
        <stp>現在値</stp>
        <tr r="C408" s="7"/>
      </tp>
      <tp t="s">
        <v>表示銘柄数超過</v>
        <stp/>
        <stp>Market</stp>
        <stp>STOCK</stp>
        <stp>39980.T</stp>
        <stp>現在値</stp>
        <tr r="C409" s="7"/>
      </tp>
      <tp t="s">
        <v>表示銘柄数超過</v>
        <stp/>
        <stp>Market</stp>
        <stp>STOCK</stp>
        <stp>39870.T</stp>
        <stp>現在値</stp>
        <tr r="C403" s="7"/>
      </tp>
      <tp t="s">
        <v>表示銘柄数超過</v>
        <stp/>
        <stp>Market</stp>
        <stp>STOCK</stp>
        <stp>39890.T</stp>
        <stp>現在値</stp>
        <tr r="C404" s="7"/>
      </tp>
      <tp t="s">
        <v>表示銘柄数超過</v>
        <stp/>
        <stp>Market</stp>
        <stp>STOCK</stp>
        <stp>39100.T</stp>
        <stp>現在値</stp>
        <tr r="C389" s="7"/>
      </tp>
      <tp t="s">
        <v>表示銘柄数超過</v>
        <stp/>
        <stp>Market</stp>
        <stp>STOCK</stp>
        <stp>39110.T</stp>
        <stp>現在値</stp>
        <tr r="C390" s="7"/>
      </tp>
      <tp t="s">
        <v>表示銘柄数超過</v>
        <stp/>
        <stp>Market</stp>
        <stp>STOCK</stp>
        <stp>39170.T</stp>
        <stp>現在値</stp>
        <tr r="C391" s="7"/>
      </tp>
      <tp t="s">
        <v>表示銘柄数超過</v>
        <stp/>
        <stp>Market</stp>
        <stp>STOCK</stp>
        <stp>39000.T</stp>
        <stp>現在値</stp>
        <tr r="C384" s="7"/>
      </tp>
      <tp t="s">
        <v>表示銘柄数超過</v>
        <stp/>
        <stp>Market</stp>
        <stp>STOCK</stp>
        <stp>39020.T</stp>
        <stp>現在値</stp>
        <tr r="C385" s="7"/>
      </tp>
      <tp t="s">
        <v>表示銘柄数超過</v>
        <stp/>
        <stp>Market</stp>
        <stp>STOCK</stp>
        <stp>39030.T</stp>
        <stp>現在値</stp>
        <tr r="C386" s="7"/>
      </tp>
      <tp t="s">
        <v>表示銘柄数超過</v>
        <stp/>
        <stp>Market</stp>
        <stp>STOCK</stp>
        <stp>39070.T</stp>
        <stp>現在値</stp>
        <tr r="C387" s="7"/>
      </tp>
      <tp t="s">
        <v>表示銘柄数超過</v>
        <stp/>
        <stp>Market</stp>
        <stp>STOCK</stp>
        <stp>39090.T</stp>
        <stp>現在値</stp>
        <tr r="C388" s="7"/>
      </tp>
      <tp t="s">
        <v>表示銘柄数超過</v>
        <stp/>
        <stp>Market</stp>
        <stp>STOCK</stp>
        <stp>39340.T</stp>
        <stp>現在値</stp>
        <tr r="C396" s="7"/>
      </tp>
      <tp t="s">
        <v>表示銘柄数超過</v>
        <stp/>
        <stp>Market</stp>
        <stp>STOCK</stp>
        <stp>39350.T</stp>
        <stp>現在値</stp>
        <tr r="C397" s="7"/>
      </tp>
      <tp t="s">
        <v>表示銘柄数超過</v>
        <stp/>
        <stp>Market</stp>
        <stp>STOCK</stp>
        <stp>39390.T</stp>
        <stp>現在値</stp>
        <tr r="C398" s="7"/>
      </tp>
      <tp t="s">
        <v>表示銘柄数超過</v>
        <stp/>
        <stp>Market</stp>
        <stp>STOCK</stp>
        <stp>39200.T</stp>
        <stp>現在値</stp>
        <tr r="C392" s="7"/>
      </tp>
      <tp t="s">
        <v>表示銘柄数超過</v>
        <stp/>
        <stp>Market</stp>
        <stp>STOCK</stp>
        <stp>39270.T</stp>
        <stp>現在値</stp>
        <tr r="C393" s="7"/>
      </tp>
      <tp t="s">
        <v>表示銘柄数超過</v>
        <stp/>
        <stp>Market</stp>
        <stp>STOCK</stp>
        <stp>39280.T</stp>
        <stp>現在値</stp>
        <tr r="C394" s="7"/>
      </tp>
      <tp t="s">
        <v>表示銘柄数超過</v>
        <stp/>
        <stp>Market</stp>
        <stp>STOCK</stp>
        <stp>39290.T</stp>
        <stp>現在値</stp>
        <tr r="C395" s="7"/>
      </tp>
      <tp t="s">
        <v>表示銘柄数超過</v>
        <stp/>
        <stp>Market</stp>
        <stp>STOCK</stp>
        <stp>39400.T</stp>
        <stp>現在値</stp>
        <tr r="C399" s="7"/>
      </tp>
      <tp t="s">
        <v>表示銘柄数超過</v>
        <stp/>
        <stp>Market</stp>
        <stp>STOCK</stp>
        <stp>39760.T</stp>
        <stp>現在値</stp>
        <tr r="C402" s="7"/>
      </tp>
      <tp t="s">
        <v>表示銘柄数超過</v>
        <stp/>
        <stp>Market</stp>
        <stp>STOCK</stp>
        <stp>39630.T</stp>
        <stp>現在値</stp>
        <tr r="C400" s="7"/>
      </tp>
      <tp t="s">
        <v>表示銘柄数超過</v>
        <stp/>
        <stp>Market</stp>
        <stp>STOCK</stp>
        <stp>39650.T</stp>
        <stp>現在値</stp>
        <tr r="C401" s="7"/>
      </tp>
    </main>
    <main first="rtdsrv.662c26bade854d00aebc6010f8a2e03a">
      <tp t="s">
        <v>表示銘柄数超過</v>
        <stp/>
        <stp>Market</stp>
        <stp>STOCK</stp>
        <stp>36240.T</stp>
        <stp>決算発表日</stp>
        <tr r="X312" s="7"/>
      </tp>
      <tp t="s">
        <v>表示銘柄数超過</v>
        <stp/>
        <stp>Market</stp>
        <stp>STOCK</stp>
        <stp>26240.T</stp>
        <stp>決算発表日</stp>
        <tr r="X171" s="7"/>
      </tp>
      <tp t="s">
        <v>-</v>
        <stp/>
        <stp>Market</stp>
        <stp>STOCK</stp>
        <stp>76240.T</stp>
        <stp>決算発表日</stp>
        <tr r="X916" s="7"/>
      </tp>
      <tp t="s">
        <v>表示銘柄数超過</v>
        <stp/>
        <stp>Market</stp>
        <stp>STOCK</stp>
        <stp>48240.T</stp>
        <stp>決算発表日</stp>
        <tr r="X539" s="7"/>
      </tp>
      <tp t="s">
        <v>表示銘柄数超過</v>
        <stp/>
        <stp>Market</stp>
        <stp>STOCK</stp>
        <stp>43240.T</stp>
        <stp>決算発表日</stp>
        <tr r="X443" s="7"/>
      </tp>
      <tp t="s">
        <v>表示銘柄数超過</v>
        <stp/>
        <stp>Market</stp>
        <stp>STOCK</stp>
        <stp>94240.T</stp>
        <stp>決算発表日</stp>
        <tr r="X1125" s="7"/>
      </tp>
      <tp t="s">
        <v>表示銘柄数超過</v>
        <stp/>
        <stp>Market</stp>
        <stp>STOCK</stp>
        <stp>90240.T</stp>
        <stp>決算発表日</stp>
        <tr r="X1083" s="7"/>
      </tp>
      <tp t="s">
        <v>2024/01/30</v>
        <stp/>
        <stp>Market</stp>
        <stp>STOCK</stp>
        <stp>86240.T</stp>
        <stp>決算発表日</stp>
        <tr r="X1033" s="7"/>
      </tp>
      <tp t="s">
        <v>2024/02/08</v>
        <stp/>
        <stp>Market</stp>
        <stp>STOCK</stp>
        <stp>85240.T</stp>
        <stp>決算発表日</stp>
        <tr r="X1018" s="7"/>
      </tp>
      <tp t="s">
        <v>表示銘柄数超過</v>
        <stp/>
        <stp>Market</stp>
        <stp>STOCK</stp>
        <stp>38250.T</stp>
        <stp>決算発表日</stp>
        <tr r="X367" s="7"/>
      </tp>
      <tp t="s">
        <v>表示銘柄数超過</v>
        <stp/>
        <stp>Market</stp>
        <stp>STOCK</stp>
        <stp>36250.T</stp>
        <stp>決算発表日</stp>
        <tr r="X313" s="7"/>
      </tp>
      <tp t="s">
        <v>表示銘柄数超過</v>
        <stp/>
        <stp>Market</stp>
        <stp>STOCK</stp>
        <stp>19250.T</stp>
        <stp>決算発表日</stp>
        <tr r="X74" s="7"/>
      </tp>
      <tp t="s">
        <v>表示銘柄数超過</v>
        <stp/>
        <stp>Market</stp>
        <stp>STOCK</stp>
        <stp>13250.T</stp>
        <stp>決算発表日</stp>
        <tr r="X7" s="7"/>
      </tp>
      <tp t="s">
        <v>2024/01/12</v>
        <stp/>
        <stp>Market</stp>
        <stp>STOCK</stp>
        <stp>77250.T</stp>
        <stp>決算発表日</stp>
        <tr r="X924" s="7"/>
      </tp>
      <tp t="s">
        <v>2024/02/09</v>
        <stp/>
        <stp>Market</stp>
        <stp>STOCK</stp>
        <stp>66250.T</stp>
        <stp>決算発表日</stp>
        <tr r="X739" s="7"/>
      </tp>
      <tp t="s">
        <v>表示銘柄数超過</v>
        <stp/>
        <stp>Market</stp>
        <stp>STOCK</stp>
        <stp>94250.T</stp>
        <stp>決算発表日</stp>
        <tr r="X1126" s="7"/>
      </tp>
      <tp t="s">
        <v>表示銘柄数超過</v>
        <stp/>
        <stp>Market</stp>
        <stp>STOCK</stp>
        <stp>93250.T</stp>
        <stp>決算発表日</stp>
        <tr r="X1110" s="7"/>
      </tp>
      <tp t="s">
        <v>表示銘柄数超過</v>
        <stp/>
        <stp>Market</stp>
        <stp>STOCK</stp>
        <stp>89250.T</stp>
        <stp>決算発表日</stp>
        <tr r="X1066" s="7"/>
      </tp>
      <tp t="s">
        <v>表示銘柄数超過</v>
        <stp/>
        <stp>Market</stp>
        <stp>STOCK</stp>
        <stp>38260.T</stp>
        <stp>決算発表日</stp>
        <tr r="X368" s="7"/>
      </tp>
      <tp t="s">
        <v>表示銘柄数超過</v>
        <stp/>
        <stp>Market</stp>
        <stp>STOCK</stp>
        <stp>36260.T</stp>
        <stp>決算発表日</stp>
        <tr r="X314" s="7"/>
      </tp>
      <tp t="s">
        <v>表示銘柄数超過</v>
        <stp/>
        <stp>Market</stp>
        <stp>STOCK</stp>
        <stp>33260.T</stp>
        <stp>決算発表日</stp>
        <tr r="X279" s="7"/>
      </tp>
      <tp t="s">
        <v>表示銘柄数超過</v>
        <stp/>
        <stp>Market</stp>
        <stp>STOCK</stp>
        <stp>29260.T</stp>
        <stp>決算発表日</stp>
        <tr r="X215" s="7"/>
      </tp>
      <tp t="s">
        <v>表示銘柄数超過</v>
        <stp/>
        <stp>Market</stp>
        <stp>STOCK</stp>
        <stp>18260.T</stp>
        <stp>決算発表日</stp>
        <tr r="X63" s="7"/>
      </tp>
      <tp t="s">
        <v>2024/02/13</v>
        <stp/>
        <stp>Market</stp>
        <stp>STOCK</stp>
        <stp>62260.T</stp>
        <stp>決算発表日</stp>
        <tr r="X679" s="7"/>
      </tp>
      <tp t="s">
        <v>2024/02/06</v>
        <stp/>
        <stp>Market</stp>
        <stp>STOCK</stp>
        <stp>57260.T</stp>
        <stp>決算発表日</stp>
        <tr r="X608" s="7"/>
      </tp>
      <tp t="s">
        <v>表示銘柄数超過</v>
        <stp/>
        <stp>Market</stp>
        <stp>STOCK</stp>
        <stp>47260.T</stp>
        <stp>決算発表日</stp>
        <tr r="X527" s="7"/>
      </tp>
      <tp t="s">
        <v>2024/02/09</v>
        <stp/>
        <stp>Market</stp>
        <stp>STOCK</stp>
        <stp>82260.T</stp>
        <stp>決算発表日</stp>
        <tr r="X993" s="7"/>
      </tp>
      <tp t="s">
        <v>表示銘柄数超過</v>
        <stp/>
        <stp>Market</stp>
        <stp>STOCK</stp>
        <stp>39270.T</stp>
        <stp>決算発表日</stp>
        <tr r="X393" s="7"/>
      </tp>
      <tp t="s">
        <v>表示銘柄数超過</v>
        <stp/>
        <stp>Market</stp>
        <stp>STOCK</stp>
        <stp>37270.T</stp>
        <stp>決算発表日</stp>
        <tr r="X347" s="7"/>
      </tp>
      <tp t="s">
        <v>表示銘柄数超過</v>
        <stp/>
        <stp>Market</stp>
        <stp>STOCK</stp>
        <stp>36270.T</stp>
        <stp>決算発表日</stp>
        <tr r="X315" s="7"/>
      </tp>
      <tp t="s">
        <v>表示銘柄数超過</v>
        <stp/>
        <stp>Market</stp>
        <stp>STOCK</stp>
        <stp>21270.T</stp>
        <stp>決算発表日</stp>
        <tr r="X91" s="7"/>
      </tp>
      <tp t="s">
        <v>表示銘柄数超過</v>
        <stp/>
        <stp>Market</stp>
        <stp>STOCK</stp>
        <stp>18270.T</stp>
        <stp>決算発表日</stp>
        <tr r="X64" s="7"/>
      </tp>
      <tp t="s">
        <v>2024/01/31</v>
        <stp/>
        <stp>Market</stp>
        <stp>STOCK</stp>
        <stp>75270.T</stp>
        <stp>決算発表日</stp>
        <tr r="X901" s="7"/>
      </tp>
      <tp t="s">
        <v>2024/02/05</v>
        <stp/>
        <stp>Market</stp>
        <stp>STOCK</stp>
        <stp>69270.T</stp>
        <stp>決算発表日</stp>
        <tr r="X789" s="7"/>
      </tp>
      <tp t="s">
        <v>2024/01/25</v>
        <stp/>
        <stp>Market</stp>
        <stp>STOCK</stp>
        <stp>57270.T</stp>
        <stp>決算発表日</stp>
        <tr r="X609" s="7"/>
      </tp>
      <tp t="s">
        <v>表示銘柄数超過</v>
        <stp/>
        <stp>Market</stp>
        <stp>STOCK</stp>
        <stp>44270.T</stp>
        <stp>決算発表日</stp>
        <tr r="X463" s="7"/>
      </tp>
      <tp t="s">
        <v>表示銘柄数超過</v>
        <stp/>
        <stp>Market</stp>
        <stp>STOCK</stp>
        <stp>40270.T</stp>
        <stp>決算発表日</stp>
        <tr r="X413" s="7"/>
      </tp>
      <tp t="s">
        <v>表示銘柄数超過</v>
        <stp/>
        <stp>Market</stp>
        <stp>STOCK</stp>
        <stp>99270.T</stp>
        <stp>決算発表日</stp>
        <tr r="X1181" s="7"/>
      </tp>
      <tp t="s">
        <v>表示銘柄数超過</v>
        <stp/>
        <stp>Market</stp>
        <stp>STOCK</stp>
        <stp>89270.T</stp>
        <stp>決算発表日</stp>
        <tr r="X1067" s="7"/>
      </tp>
      <tp t="s">
        <v>表示銘柄数超過</v>
        <stp/>
        <stp>Market</stp>
        <stp>STOCK</stp>
        <stp>39200.T</stp>
        <stp>決算発表日</stp>
        <tr r="X392" s="7"/>
      </tp>
      <tp t="s">
        <v>表示銘柄数超過</v>
        <stp/>
        <stp>Market</stp>
        <stp>STOCK</stp>
        <stp>26200.T</stp>
        <stp>決算発表日</stp>
        <tr r="X169" s="7"/>
      </tp>
      <tp t="s">
        <v>表示銘柄数超過</v>
        <stp/>
        <stp>Market</stp>
        <stp>STOCK</stp>
        <stp>21200.T</stp>
        <stp>決算発表日</stp>
        <tr r="X90" s="7"/>
      </tp>
      <tp t="s">
        <v>表示銘柄数超過</v>
        <stp/>
        <stp>Market</stp>
        <stp>STOCK</stp>
        <stp>17200.T</stp>
        <stp>決算発表日</stp>
        <tr r="X50" s="7"/>
      </tp>
      <tp t="s">
        <v>2024/01/15</v>
        <stp/>
        <stp>Market</stp>
        <stp>STOCK</stp>
        <stp>74200.T</stp>
        <stp>決算発表日</stp>
        <tr r="X888" s="7"/>
      </tp>
      <tp t="s">
        <v>2024/01/31</v>
        <stp/>
        <stp>Market</stp>
        <stp>STOCK</stp>
        <stp>69200.T</stp>
        <stp>決算発表日</stp>
        <tr r="X787" s="7"/>
      </tp>
      <tp t="s">
        <v>表示銘柄数超過</v>
        <stp/>
        <stp>Market</stp>
        <stp>STOCK</stp>
        <stp>50200.T</stp>
        <stp>決算発表日</stp>
        <tr r="X562" s="7"/>
      </tp>
      <tp t="s">
        <v>表示銘柄数超過</v>
        <stp/>
        <stp>Market</stp>
        <stp>STOCK</stp>
        <stp>49200.T</stp>
        <stp>決算発表日</stp>
        <tr r="X553" s="7"/>
      </tp>
      <tp t="s">
        <v>表示銘柄数超過</v>
        <stp/>
        <stp>Market</stp>
        <stp>STOCK</stp>
        <stp>48200.T</stp>
        <stp>決算発表日</stp>
        <tr r="X538" s="7"/>
      </tp>
      <tp t="s">
        <v>表示銘柄数超過</v>
        <stp/>
        <stp>Market</stp>
        <stp>STOCK</stp>
        <stp>47200.T</stp>
        <stp>決算発表日</stp>
        <tr r="X526" s="7"/>
      </tp>
      <tp t="s">
        <v>表示銘柄数超過</v>
        <stp/>
        <stp>Market</stp>
        <stp>STOCK</stp>
        <stp>46200.T</stp>
        <stp>決算発表日</stp>
        <tr r="X512" s="7"/>
      </tp>
      <tp t="s">
        <v>表示銘柄数超過</v>
        <stp/>
        <stp>Market</stp>
        <stp>STOCK</stp>
        <stp>90200.T</stp>
        <stp>決算発表日</stp>
        <tr r="X1081" s="7"/>
        <tr r="X1080" s="7"/>
      </tp>
      <tp t="s">
        <v>2024/02/06</v>
        <stp/>
        <stp>Market</stp>
        <stp>STOCK</stp>
        <stp>80200.T</stp>
        <stp>決算発表日</stp>
        <tr r="X968" s="7"/>
      </tp>
      <tp t="s">
        <v>表示銘柄数超過</v>
        <stp/>
        <stp>Market</stp>
        <stp>STOCK</stp>
        <stp>35210.T</stp>
        <stp>決算発表日</stp>
        <tr r="X303" s="7"/>
      </tp>
      <tp t="s">
        <v>表示銘柄数超過</v>
        <stp/>
        <stp>Market</stp>
        <stp>STOCK</stp>
        <stp>31210.T</stp>
        <stp>決算発表日</stp>
        <tr r="X244" s="7"/>
      </tp>
      <tp t="s">
        <v>表示銘柄数超過</v>
        <stp/>
        <stp>Market</stp>
        <stp>STOCK</stp>
        <stp>30210.T</stp>
        <stp>決算発表日</stp>
        <tr r="X224" s="7"/>
      </tp>
      <tp t="s">
        <v>表示銘柄数超過</v>
        <stp/>
        <stp>Market</stp>
        <stp>STOCK</stp>
        <stp>27210.T</stp>
        <stp>決算発表日</stp>
        <tr r="X187" s="7"/>
      </tp>
      <tp t="s">
        <v>表示銘柄数超過</v>
        <stp/>
        <stp>Market</stp>
        <stp>STOCK</stp>
        <stp>26210.T</stp>
        <stp>決算発表日</stp>
        <tr r="X170" s="7"/>
      </tp>
      <tp t="s">
        <v>表示銘柄数超過</v>
        <stp/>
        <stp>Market</stp>
        <stp>STOCK</stp>
        <stp>23210.T</stp>
        <stp>決算発表日</stp>
        <tr r="X115" s="7"/>
      </tp>
      <tp t="s">
        <v>表示銘柄数超過</v>
        <stp/>
        <stp>Market</stp>
        <stp>STOCK</stp>
        <stp>18210.T</stp>
        <stp>決算発表日</stp>
        <tr r="X62" s="7"/>
      </tp>
      <tp t="s">
        <v>表示銘柄数超過</v>
        <stp/>
        <stp>Market</stp>
        <stp>STOCK</stp>
        <stp>17210.T</stp>
        <stp>決算発表日</stp>
        <tr r="X51" s="7"/>
      </tp>
      <tp t="s">
        <v>2024/02/14</v>
        <stp/>
        <stp>Market</stp>
        <stp>STOCK</stp>
        <stp>67210.T</stp>
        <stp>決算発表日</stp>
        <tr r="X756" s="7"/>
      </tp>
      <tp t="s">
        <v>2024/02/09</v>
        <stp/>
        <stp>Market</stp>
        <stp>STOCK</stp>
        <stp>51210.T</stp>
        <stp>決算発表日</stp>
        <tr r="X570" s="7"/>
      </tp>
      <tp t="s">
        <v>表示銘柄数超過</v>
        <stp/>
        <stp>Market</stp>
        <stp>STOCK</stp>
        <stp>50210.T</stp>
        <stp>決算発表日</stp>
        <tr r="X563" s="7"/>
      </tp>
      <tp t="s">
        <v>表示銘柄数超過</v>
        <stp/>
        <stp>Market</stp>
        <stp>STOCK</stp>
        <stp>94210.T</stp>
        <stp>決算発表日</stp>
        <tr r="X1123" s="7"/>
      </tp>
      <tp t="s">
        <v>表示銘柄数超過</v>
        <stp/>
        <stp>Market</stp>
        <stp>STOCK</stp>
        <stp>34220.T</stp>
        <stp>決算発表日</stp>
        <tr r="X297" s="7"/>
      </tp>
      <tp t="s">
        <v>表示銘柄数超過</v>
        <stp/>
        <stp>Market</stp>
        <stp>STOCK</stp>
        <stp>27220.T</stp>
        <stp>決算発表日</stp>
        <tr r="X188" s="7"/>
      </tp>
      <tp t="s">
        <v>2024/02/09</v>
        <stp/>
        <stp>Market</stp>
        <stp>STOCK</stp>
        <stp>77220.T</stp>
        <stp>決算発表日</stp>
        <tr r="X923" s="7"/>
      </tp>
      <tp t="s">
        <v>2024/02/08</v>
        <stp/>
        <stp>Market</stp>
        <stp>STOCK</stp>
        <stp>72220.T</stp>
        <stp>決算発表日</stp>
        <tr r="X852" s="7"/>
      </tp>
      <tp t="s">
        <v>2024/02/13</v>
        <stp/>
        <stp>Market</stp>
        <stp>STOCK</stp>
        <stp>71220.T</stp>
        <stp>決算発表日</stp>
        <tr r="X828" s="7"/>
      </tp>
      <tp t="s">
        <v>2024/01/12</v>
        <stp/>
        <stp>Market</stp>
        <stp>STOCK</stp>
        <stp>65220.T</stp>
        <stp>決算発表日</stp>
        <tr r="X719" s="7"/>
      </tp>
      <tp t="s">
        <v>表示銘柄数超過</v>
        <stp/>
        <stp>Market</stp>
        <stp>STOCK</stp>
        <stp>95220.T</stp>
        <stp>決算発表日</stp>
        <tr r="X1152" s="7"/>
      </tp>
      <tp t="s">
        <v>表示銘柄数超過</v>
        <stp/>
        <stp>Market</stp>
        <stp>STOCK</stp>
        <stp>90220.T</stp>
        <stp>決算発表日</stp>
        <tr r="X1082" s="7"/>
      </tp>
      <tp t="s">
        <v>2024/01/30</v>
        <stp/>
        <stp>Market</stp>
        <stp>STOCK</stp>
        <stp>86220.T</stp>
        <stp>決算発表日</stp>
        <tr r="X1032" s="7"/>
      </tp>
      <tp t="s">
        <v>表示銘柄数超過</v>
        <stp/>
        <stp>Market</stp>
        <stp>STOCK</stp>
        <stp>38230.T</stp>
        <stp>決算発表日</stp>
        <tr r="X366" s="7"/>
      </tp>
      <tp t="s">
        <v>表示銘柄数超過</v>
        <stp/>
        <stp>Market</stp>
        <stp>STOCK</stp>
        <stp>37230.T</stp>
        <stp>決算発表日</stp>
        <tr r="X346" s="7"/>
      </tp>
      <tp t="s">
        <v>表示銘柄数超過</v>
        <stp/>
        <stp>Market</stp>
        <stp>STOCK</stp>
        <stp>33230.T</stp>
        <stp>決算発表日</stp>
        <tr r="X278" s="7"/>
      </tp>
      <tp t="s">
        <v>表示銘柄数超過</v>
        <stp/>
        <stp>Market</stp>
        <stp>STOCK</stp>
        <stp>23230.T</stp>
        <stp>決算発表日</stp>
        <tr r="X116" s="7"/>
      </tp>
      <tp t="s">
        <v>2024/01/30</v>
        <stp/>
        <stp>Market</stp>
        <stp>STOCK</stp>
        <stp>78230.T</stp>
        <stp>決算発表日</stp>
        <tr r="X941" s="7"/>
      </tp>
      <tp t="s">
        <v>2024/03/13</v>
        <stp/>
        <stp>Market</stp>
        <stp>STOCK</stp>
        <stp>76230.T</stp>
        <stp>決算発表日</stp>
        <tr r="X915" s="7"/>
      </tp>
      <tp t="s">
        <v>2024/02/09</v>
        <stp/>
        <stp>Market</stp>
        <stp>STOCK</stp>
        <stp>75230.T</stp>
        <stp>決算発表日</stp>
        <tr r="X900" s="7"/>
      </tp>
      <tp t="s">
        <v>2024/01/31</v>
        <stp/>
        <stp>Market</stp>
        <stp>STOCK</stp>
        <stp>69230.T</stp>
        <stp>決算発表日</stp>
        <tr r="X788" s="7"/>
      </tp>
      <tp t="s">
        <v>2024/02/08</v>
        <stp/>
        <stp>Market</stp>
        <stp>STOCK</stp>
        <stp>67230.T</stp>
        <stp>決算発表日</stp>
        <tr r="X757" s="7"/>
      </tp>
      <tp t="s">
        <v>2024/01/30</v>
        <stp/>
        <stp>Market</stp>
        <stp>STOCK</stp>
        <stp>60230.T</stp>
        <stp>決算発表日</stp>
        <tr r="X636" s="7"/>
      </tp>
      <tp t="s">
        <v>2024/01/19</v>
        <stp/>
        <stp>Market</stp>
        <stp>STOCK</stp>
        <stp>54230.T</stp>
        <stp>決算発表日</stp>
        <tr r="X595" s="7"/>
      </tp>
      <tp t="s">
        <v>表示銘柄数超過</v>
        <stp/>
        <stp>Market</stp>
        <stp>STOCK</stp>
        <stp>45230.T</stp>
        <stp>決算発表日</stp>
        <tr r="X482" s="7"/>
      </tp>
      <tp t="s">
        <v>表示銘柄数超過</v>
        <stp/>
        <stp>Market</stp>
        <stp>STOCK</stp>
        <stp>97230.T</stp>
        <stp>決算発表日</stp>
        <tr r="X1163" s="7"/>
      </tp>
      <tp t="s">
        <v>表示銘柄数超過</v>
        <stp/>
        <stp>Market</stp>
        <stp>STOCK</stp>
        <stp>94230.T</stp>
        <stp>決算発表日</stp>
        <tr r="X1124" s="7"/>
      </tp>
      <tp t="s">
        <v>表示銘柄数超過</v>
        <stp/>
        <stp>Market</stp>
        <stp>STOCK</stp>
        <stp>89230.T</stp>
        <stp>決算発表日</stp>
        <tr r="X1065" s="7"/>
      </tp>
      <tp t="s">
        <v>表示銘柄数超過</v>
        <stp/>
        <stp>Market</stp>
        <stp>STOCK</stp>
        <stp>39280.T</stp>
        <stp>決算発表日</stp>
        <tr r="X394" s="7"/>
      </tp>
      <tp t="s">
        <v>表示銘柄数超過</v>
        <stp/>
        <stp>Market</stp>
        <stp>STOCK</stp>
        <stp>33280.T</stp>
        <stp>決算発表日</stp>
        <tr r="X280" s="7"/>
      </tp>
      <tp t="s">
        <v>表示銘柄数超過</v>
        <stp/>
        <stp>Market</stp>
        <stp>STOCK</stp>
        <stp>19280.T</stp>
        <stp>決算発表日</stp>
        <tr r="X75" s="7"/>
      </tp>
      <tp t="s">
        <v>2024/02/06</v>
        <stp/>
        <stp>Market</stp>
        <stp>STOCK</stp>
        <stp>60280.T</stp>
        <stp>決算発表日</stp>
        <tr r="X637" s="7"/>
      </tp>
      <tp t="s">
        <v>2024/01/31</v>
        <stp/>
        <stp>Market</stp>
        <stp>STOCK</stp>
        <stp>59280.T</stp>
        <stp>決算発表日</stp>
        <tr r="X619" s="7"/>
      </tp>
      <tp t="s">
        <v>表示銘柄数超過</v>
        <stp/>
        <stp>Market</stp>
        <stp>STOCK</stp>
        <stp>50280.T</stp>
        <stp>決算発表日</stp>
        <tr r="X564" s="7"/>
      </tp>
      <tp t="s">
        <v>表示銘柄数超過</v>
        <stp/>
        <stp>Market</stp>
        <stp>STOCK</stp>
        <stp>99280.T</stp>
        <stp>決算発表日</stp>
        <tr r="X1182" s="7"/>
      </tp>
      <tp t="s">
        <v>2024/01/26</v>
        <stp/>
        <stp>Market</stp>
        <stp>STOCK</stp>
        <stp>86280.T</stp>
        <stp>決算発表日</stp>
        <tr r="X1034" s="7"/>
      </tp>
      <tp t="s">
        <v>表示銘柄数超過</v>
        <stp/>
        <stp>Market</stp>
        <stp>STOCK</stp>
        <stp>39290.T</stp>
        <stp>決算発表日</stp>
        <tr r="X395" s="7"/>
      </tp>
      <tp t="s">
        <v>表示銘柄数超過</v>
        <stp/>
        <stp>Market</stp>
        <stp>STOCK</stp>
        <stp>24290.T</stp>
        <stp>決算発表日</stp>
        <tr r="X139" s="7"/>
      </tp>
      <tp t="s">
        <v>2024/01/12</v>
        <stp/>
        <stp>Market</stp>
        <stp>STOCK</stp>
        <stp>78290.T</stp>
        <stp>決算発表日</stp>
        <tr r="X942" s="7"/>
      </tp>
      <tp t="s">
        <v>2024/01/31</v>
        <stp/>
        <stp>Market</stp>
        <stp>STOCK</stp>
        <stp>72290.T</stp>
        <stp>決算発表日</stp>
        <tr r="X853" s="7"/>
      </tp>
      <tp t="s">
        <v>2024/02/14</v>
        <stp/>
        <stp>Market</stp>
        <stp>STOCK</stp>
        <stp>60290.T</stp>
        <stp>決算発表日</stp>
        <tr r="X638" s="7"/>
      </tp>
      <tp t="s">
        <v>2024/01/11</v>
        <stp/>
        <stp>Market</stp>
        <stp>STOCK</stp>
        <stp>51290.T</stp>
        <stp>決算発表日</stp>
        <tr r="X571" s="7"/>
      </tp>
      <tp t="s">
        <v>表示銘柄数超過</v>
        <stp/>
        <stp>Market</stp>
        <stp>STOCK</stp>
        <stp>48290.T</stp>
        <stp>決算発表日</stp>
        <tr r="X540" s="7"/>
      </tp>
    </main>
    <main first="rtdsrv.662c26bade854d00aebc6010f8a2e03a">
      <tp t="s">
        <v>表示銘柄数超過</v>
        <stp/>
        <stp>Market</stp>
        <stp>STOCK</stp>
        <stp>38140.T</stp>
        <stp>決算発表日</stp>
        <tr r="X363" s="7"/>
      </tp>
      <tp t="s">
        <v>2024/02/13</v>
        <stp/>
        <stp>Market</stp>
        <stp>STOCK</stp>
        <stp>29140.T</stp>
        <stp>決算発表日</stp>
        <tr r="X214" s="7"/>
      </tp>
      <tp t="s">
        <v>表示銘柄数超過</v>
        <stp/>
        <stp>Market</stp>
        <stp>STOCK</stp>
        <stp>21140.T</stp>
        <stp>決算発表日</stp>
        <tr r="X89" s="7"/>
      </tp>
      <tp t="s">
        <v>表示銘柄数超過</v>
        <stp/>
        <stp>Market</stp>
        <stp>STOCK</stp>
        <stp>19140.T</stp>
        <stp>決算発表日</stp>
        <tr r="X73" s="7"/>
      </tp>
      <tp t="s">
        <v>表示銘柄数超過</v>
        <stp/>
        <stp>Market</stp>
        <stp>STOCK</stp>
        <stp>15140.T</stp>
        <stp>決算発表日</stp>
        <tr r="X30" s="7"/>
      </tp>
      <tp t="s">
        <v>2024/02/14</v>
        <stp/>
        <stp>Market</stp>
        <stp>STOCK</stp>
        <stp>78140.T</stp>
        <stp>決算発表日</stp>
        <tr r="X940" s="7"/>
      </tp>
      <tp t="s">
        <v>2024/01/09</v>
        <stp/>
        <stp>Market</stp>
        <stp>STOCK</stp>
        <stp>75140.T</stp>
        <stp>決算発表日</stp>
        <tr r="X898" s="7"/>
      </tp>
      <tp t="s">
        <v>2024/02/14</v>
        <stp/>
        <stp>Market</stp>
        <stp>STOCK</stp>
        <stp>72140.T</stp>
        <stp>決算発表日</stp>
        <tr r="X851" s="7"/>
      </tp>
      <tp t="s">
        <v>2024/02/14</v>
        <stp/>
        <stp>Market</stp>
        <stp>STOCK</stp>
        <stp>70140.T</stp>
        <stp>決算発表日</stp>
        <tr r="X809" s="7"/>
      </tp>
      <tp t="s">
        <v>2024/01/15</v>
        <stp/>
        <stp>Market</stp>
        <stp>STOCK</stp>
        <stp>68140.T</stp>
        <stp>決算発表日</stp>
        <tr r="X775" s="7"/>
      </tp>
      <tp t="s">
        <v>表示銘柄数超過</v>
        <stp/>
        <stp>Market</stp>
        <stp>STOCK</stp>
        <stp>48140.T</stp>
        <stp>決算発表日</stp>
        <tr r="X537" s="7"/>
      </tp>
      <tp t="s">
        <v>表示銘柄数超過</v>
        <stp/>
        <stp>Market</stp>
        <stp>STOCK</stp>
        <stp>47140.T</stp>
        <stp>決算発表日</stp>
        <tr r="X524" s="7"/>
      </tp>
      <tp t="s">
        <v>表示銘柄数超過</v>
        <stp/>
        <stp>Market</stp>
        <stp>STOCK</stp>
        <stp>44140.T</stp>
        <stp>決算発表日</stp>
        <tr r="X460" s="7"/>
      </tp>
      <tp t="s">
        <v>表示銘柄数超過</v>
        <stp/>
        <stp>Market</stp>
        <stp>STOCK</stp>
        <stp>95140.T</stp>
        <stp>決算発表日</stp>
        <tr r="X1150" s="7"/>
      </tp>
      <tp t="s">
        <v>表示銘柄数超過</v>
        <stp/>
        <stp>Market</stp>
        <stp>STOCK</stp>
        <stp>94140.T</stp>
        <stp>決算発表日</stp>
        <tr r="X1120" s="7"/>
      </tp>
      <tp t="s">
        <v>2024/01/29</v>
        <stp/>
        <stp>Market</stp>
        <stp>STOCK</stp>
        <stp>86140.T</stp>
        <stp>決算発表日</stp>
        <tr r="X1029" s="7"/>
      </tp>
      <tp t="s">
        <v>表示銘柄数超過</v>
        <stp/>
        <stp>Market</stp>
        <stp>STOCK</stp>
        <stp>38150.T</stp>
        <stp>決算発表日</stp>
        <tr r="X364" s="7"/>
      </tp>
      <tp t="s">
        <v>表示銘柄数超過</v>
        <stp/>
        <stp>Market</stp>
        <stp>STOCK</stp>
        <stp>33150.T</stp>
        <stp>決算発表日</stp>
        <tr r="X276" s="7"/>
      </tp>
      <tp t="s">
        <v>表示銘柄数超過</v>
        <stp/>
        <stp>Market</stp>
        <stp>STOCK</stp>
        <stp>24150.T</stp>
        <stp>決算発表日</stp>
        <tr r="X138" s="7"/>
      </tp>
      <tp t="s">
        <v>2024/03/15</v>
        <stp/>
        <stp>Market</stp>
        <stp>STOCK</stp>
        <stp>23150.T</stp>
        <stp>決算発表日</stp>
        <tr r="X113" s="7"/>
      </tp>
      <tp t="s">
        <v>表示銘柄数超過</v>
        <stp/>
        <stp>Market</stp>
        <stp>STOCK</stp>
        <stp>18150.T</stp>
        <stp>決算発表日</stp>
        <tr r="X61" s="7"/>
      </tp>
      <tp t="s">
        <v>表示銘柄数超過</v>
        <stp/>
        <stp>Market</stp>
        <stp>STOCK</stp>
        <stp>16150.T</stp>
        <stp>決算発表日</stp>
        <tr r="X38" s="7"/>
      </tp>
      <tp t="s">
        <v>2024/02/07</v>
        <stp/>
        <stp>Market</stp>
        <stp>STOCK</stp>
        <stp>76150.T</stp>
        <stp>決算発表日</stp>
        <tr r="X913" s="7"/>
      </tp>
      <tp t="s">
        <v>表示銘柄数超過</v>
        <stp/>
        <stp>Market</stp>
        <stp>STOCK</stp>
        <stp>50150.T</stp>
        <stp>決算発表日</stp>
        <tr r="X559" s="7"/>
      </tp>
      <tp t="s">
        <v>表示銘柄数超過</v>
        <stp/>
        <stp>Market</stp>
        <stp>STOCK</stp>
        <stp>91150.T</stp>
        <stp>決算発表日</stp>
        <tr r="X1096" s="7"/>
      </tp>
      <tp t="s">
        <v>2024/02/09</v>
        <stp/>
        <stp>Market</stp>
        <stp>STOCK</stp>
        <stp>85150.T</stp>
        <stp>決算発表日</stp>
        <tr r="X1016" s="7"/>
      </tp>
      <tp t="s">
        <v>表示銘柄数超過</v>
        <stp/>
        <stp>Market</stp>
        <stp>STOCK</stp>
        <stp>38160.T</stp>
        <stp>決算発表日</stp>
        <tr r="X365" s="7"/>
      </tp>
      <tp t="s">
        <v>表示銘柄数超過</v>
        <stp/>
        <stp>Market</stp>
        <stp>STOCK</stp>
        <stp>33160.T</stp>
        <stp>決算発表日</stp>
        <tr r="X277" s="7"/>
      </tp>
      <tp t="s">
        <v>表示銘柄数超過</v>
        <stp/>
        <stp>Market</stp>
        <stp>STOCK</stp>
        <stp>25160.T</stp>
        <stp>決算発表日</stp>
        <tr r="X158" s="7"/>
      </tp>
      <tp t="s">
        <v>表示銘柄数超過</v>
        <stp/>
        <stp>Market</stp>
        <stp>STOCK</stp>
        <stp>22160.T</stp>
        <stp>決算発表日</stp>
        <tr r="X104" s="7"/>
      </tp>
      <tp t="s">
        <v>表示銘柄数超過</v>
        <stp/>
        <stp>Market</stp>
        <stp>STOCK</stp>
        <stp>17160.T</stp>
        <stp>決算発表日</stp>
        <tr r="X48" s="7"/>
      </tp>
      <tp t="s">
        <v>2024/01/11</v>
        <stp/>
        <stp>Market</stp>
        <stp>STOCK</stp>
        <stp>75160.T</stp>
        <stp>決算発表日</stp>
        <tr r="X899" s="7"/>
      </tp>
      <tp t="s">
        <v>2024/02/14</v>
        <stp/>
        <stp>Market</stp>
        <stp>STOCK</stp>
        <stp>71160.T</stp>
        <stp>決算発表日</stp>
        <tr r="X827" s="7"/>
      </tp>
      <tp t="s">
        <v>2024/02/14</v>
        <stp/>
        <stp>Market</stp>
        <stp>STOCK</stp>
        <stp>52160.T</stp>
        <stp>決算発表日</stp>
        <tr r="X576" s="7"/>
      </tp>
      <tp t="s">
        <v>表示銘柄数超過</v>
        <stp/>
        <stp>Market</stp>
        <stp>STOCK</stp>
        <stp>47160.T</stp>
        <stp>決算発表日</stp>
        <tr r="X525" s="7"/>
      </tp>
      <tp t="s">
        <v>表示銘柄数超過</v>
        <stp/>
        <stp>Market</stp>
        <stp>STOCK</stp>
        <stp>44160.T</stp>
        <stp>決算発表日</stp>
        <tr r="X461" s="7"/>
      </tp>
      <tp t="s">
        <v>表示銘柄数超過</v>
        <stp/>
        <stp>Market</stp>
        <stp>STOCK</stp>
        <stp>43160.T</stp>
        <stp>決算発表日</stp>
        <tr r="X442" s="7"/>
      </tp>
      <tp t="s">
        <v>表示銘柄数超過</v>
        <stp/>
        <stp>Market</stp>
        <stp>STOCK</stp>
        <stp>40160.T</stp>
        <stp>決算発表日</stp>
        <tr r="X412" s="7"/>
      </tp>
      <tp t="s">
        <v>2024/01/31</v>
        <stp/>
        <stp>Market</stp>
        <stp>STOCK</stp>
        <stp>86160.T</stp>
        <stp>決算発表日</stp>
        <tr r="X1030" s="7"/>
      </tp>
      <tp t="s">
        <v>2024/02/09</v>
        <stp/>
        <stp>Market</stp>
        <stp>STOCK</stp>
        <stp>84160.T</stp>
        <stp>決算発表日</stp>
        <tr r="X1011" s="7"/>
      </tp>
      <tp t="s">
        <v>2024/02/01</v>
        <stp/>
        <stp>Market</stp>
        <stp>STOCK</stp>
        <stp>83160.T</stp>
        <stp>決算発表日</stp>
        <tr r="X1003" s="7"/>
      </tp>
      <tp t="s">
        <v>2024/01/11</v>
        <stp/>
        <stp>Market</stp>
        <stp>STOCK</stp>
        <stp>80160.T</stp>
        <stp>決算発表日</stp>
        <tr r="X967" s="7"/>
      </tp>
      <tp t="s">
        <v>表示銘柄数超過</v>
        <stp/>
        <stp>Market</stp>
        <stp>STOCK</stp>
        <stp>39170.T</stp>
        <stp>決算発表日</stp>
        <tr r="X391" s="7"/>
      </tp>
      <tp t="s">
        <v>表示銘柄数超過</v>
        <stp/>
        <stp>Market</stp>
        <stp>STOCK</stp>
        <stp>23170.T</stp>
        <stp>決算発表日</stp>
        <tr r="X114" s="7"/>
      </tp>
      <tp t="s">
        <v>2024/02/09</v>
        <stp/>
        <stp>Market</stp>
        <stp>STOCK</stp>
        <stp>73170.T</stp>
        <stp>決算発表日</stp>
        <tr r="X874" s="7"/>
      </tp>
      <tp t="s">
        <v>2024/01/29</v>
        <stp/>
        <stp>Market</stp>
        <stp>STOCK</stp>
        <stp>66170.T</stp>
        <stp>決算発表日</stp>
        <tr r="X737" s="7"/>
      </tp>
      <tp t="s">
        <v>表示銘柄数超過</v>
        <stp/>
        <stp>Market</stp>
        <stp>STOCK</stp>
        <stp>50170.T</stp>
        <stp>決算発表日</stp>
        <tr r="X560" s="7"/>
      </tp>
      <tp t="s">
        <v>表示銘柄数超過</v>
        <stp/>
        <stp>Market</stp>
        <stp>STOCK</stp>
        <stp>94170.T</stp>
        <stp>決算発表日</stp>
        <tr r="X1121" s="7"/>
      </tp>
      <tp t="s">
        <v>2024/01/19</v>
        <stp/>
        <stp>Market</stp>
        <stp>STOCK</stp>
        <stp>86170.T</stp>
        <stp>決算発表日</stp>
        <tr r="X1031" s="7"/>
      </tp>
      <tp t="s">
        <v>表示銘柄数超過</v>
        <stp/>
        <stp>Market</stp>
        <stp>STOCK</stp>
        <stp>39100.T</stp>
        <stp>決算発表日</stp>
        <tr r="X389" s="7"/>
      </tp>
      <tp t="s">
        <v>表示銘柄数超過</v>
        <stp/>
        <stp>Market</stp>
        <stp>STOCK</stp>
        <stp>38100.T</stp>
        <stp>決算発表日</stp>
        <tr r="X362" s="7"/>
      </tp>
      <tp t="s">
        <v>表示銘柄数超過</v>
        <stp/>
        <stp>Market</stp>
        <stp>STOCK</stp>
        <stp>37100.T</stp>
        <stp>決算発表日</stp>
        <tr r="X344" s="7"/>
      </tp>
      <tp t="s">
        <v>表示銘柄数超過</v>
        <stp/>
        <stp>Market</stp>
        <stp>STOCK</stp>
        <stp>30100.T</stp>
        <stp>決算発表日</stp>
        <tr r="X223" s="7"/>
      </tp>
      <tp t="s">
        <v>表示銘柄数超過</v>
        <stp/>
        <stp>Market</stp>
        <stp>STOCK</stp>
        <stp>28100.T</stp>
        <stp>決算発表日</stp>
        <tr r="X201" s="7"/>
      </tp>
      <tp t="s">
        <v>表示銘柄数超過</v>
        <stp/>
        <stp>Market</stp>
        <stp>STOCK</stp>
        <stp>25100.T</stp>
        <stp>決算発表日</stp>
        <tr r="X157" s="7"/>
      </tp>
      <tp t="s">
        <v>表示銘柄数超過</v>
        <stp/>
        <stp>Market</stp>
        <stp>STOCK</stp>
        <stp>24100.T</stp>
        <stp>決算発表日</stp>
        <tr r="X135" s="7"/>
      </tp>
      <tp t="s">
        <v>2024/01/15</v>
        <stp/>
        <stp>Market</stp>
        <stp>STOCK</stp>
        <stp>76100.T</stp>
        <stp>決算発表日</stp>
        <tr r="X912" s="7"/>
      </tp>
      <tp t="s">
        <v>2024/01/31</v>
        <stp/>
        <stp>Market</stp>
        <stp>STOCK</stp>
        <stp>68100.T</stp>
        <stp>決算発表日</stp>
        <tr r="X774" s="7"/>
      </tp>
      <tp t="s">
        <v>2024/02/02</v>
        <stp/>
        <stp>Market</stp>
        <stp>STOCK</stp>
        <stp>54100.T</stp>
        <stp>決算発表日</stp>
        <tr r="X593" s="7"/>
      </tp>
      <tp t="s">
        <v>2024/02/14</v>
        <stp/>
        <stp>Market</stp>
        <stp>STOCK</stp>
        <stp>51100.T</stp>
        <stp>決算発表日</stp>
        <tr r="X569" s="7"/>
      </tp>
      <tp t="s">
        <v>表示銘柄数超過</v>
        <stp/>
        <stp>Market</stp>
        <stp>STOCK</stp>
        <stp>50100.T</stp>
        <stp>決算発表日</stp>
        <tr r="X558" s="7"/>
      </tp>
      <tp t="s">
        <v>表示銘柄数超過</v>
        <stp/>
        <stp>Market</stp>
        <stp>STOCK</stp>
        <stp>96100.T</stp>
        <stp>決算発表日</stp>
        <tr r="X1159" s="7"/>
      </tp>
      <tp t="s">
        <v>2024/02/09</v>
        <stp/>
        <stp>Market</stp>
        <stp>STOCK</stp>
        <stp>84100.T</stp>
        <stp>決算発表日</stp>
        <tr r="X1010" s="7"/>
      </tp>
      <tp t="s">
        <v>表示銘柄数超過</v>
        <stp/>
        <stp>Market</stp>
        <stp>STOCK</stp>
        <stp>39110.T</stp>
        <stp>決算発表日</stp>
        <tr r="X390" s="7"/>
      </tp>
      <tp t="s">
        <v>表示銘柄数超過</v>
        <stp/>
        <stp>Market</stp>
        <stp>STOCK</stp>
        <stp>24110.T</stp>
        <stp>決算発表日</stp>
        <tr r="X136" s="7"/>
      </tp>
      <tp t="s">
        <v>表示銘柄数超過</v>
        <stp/>
        <stp>Market</stp>
        <stp>STOCK</stp>
        <stp>19110.T</stp>
        <stp>決算発表日</stp>
        <tr r="X72" s="7"/>
      </tp>
      <tp t="s">
        <v>表示銘柄数超過</v>
        <stp/>
        <stp>Market</stp>
        <stp>STOCK</stp>
        <stp>17110.T</stp>
        <stp>決算発表日</stp>
        <tr r="X46" s="7"/>
      </tp>
      <tp t="s">
        <v>表示銘柄数超過</v>
        <stp/>
        <stp>Market</stp>
        <stp>STOCK</stp>
        <stp>13110.T</stp>
        <stp>決算発表日</stp>
        <tr r="X5" s="7"/>
      </tp>
      <tp t="s">
        <v>2024/02/14</v>
        <stp/>
        <stp>Market</stp>
        <stp>STOCK</stp>
        <stp>79110.T</stp>
        <stp>決算発表日</stp>
        <tr r="X954" s="7"/>
      </tp>
      <tp t="s">
        <v>2024/02/01</v>
        <stp/>
        <stp>Market</stp>
        <stp>STOCK</stp>
        <stp>72110.T</stp>
        <stp>決算発表日</stp>
        <tr r="X848" s="7"/>
      </tp>
      <tp t="s">
        <v>2024/02/14</v>
        <stp/>
        <stp>Market</stp>
        <stp>STOCK</stp>
        <stp>71110.T</stp>
        <stp>決算発表日</stp>
        <tr r="X826" s="7"/>
      </tp>
      <tp t="s">
        <v>2024/02/06</v>
        <stp/>
        <stp>Market</stp>
        <stp>STOCK</stp>
        <stp>70110.T</stp>
        <stp>決算発表日</stp>
        <tr r="X806" s="7"/>
      </tp>
      <tp t="s">
        <v>2024/02/09</v>
        <stp/>
        <stp>Market</stp>
        <stp>STOCK</stp>
        <stp>57110.T</stp>
        <stp>決算発表日</stp>
        <tr r="X607" s="7"/>
      </tp>
      <tp t="s">
        <v>2024/02/06</v>
        <stp/>
        <stp>Market</stp>
        <stp>STOCK</stp>
        <stp>54110.T</stp>
        <stp>決算発表日</stp>
        <tr r="X594" s="7"/>
      </tp>
      <tp t="s">
        <v>表示銘柄数超過</v>
        <stp/>
        <stp>Market</stp>
        <stp>STOCK</stp>
        <stp>46110.T</stp>
        <stp>決算発表日</stp>
        <tr r="X508" s="7"/>
      </tp>
      <tp t="s">
        <v>表示銘柄数超過</v>
        <stp/>
        <stp>Market</stp>
        <stp>STOCK</stp>
        <stp>40110.T</stp>
        <stp>決算発表日</stp>
        <tr r="X411" s="7"/>
      </tp>
      <tp t="s">
        <v>表示銘柄数超過</v>
        <stp/>
        <stp>Market</stp>
        <stp>STOCK</stp>
        <stp>95110.T</stp>
        <stp>決算発表日</stp>
        <tr r="X1149" s="7"/>
      </tp>
      <tp t="s">
        <v>2024/02/05</v>
        <stp/>
        <stp>Market</stp>
        <stp>STOCK</stp>
        <stp>85110.T</stp>
        <stp>決算発表日</stp>
        <tr r="X1015" s="7"/>
      </tp>
      <tp t="s">
        <v>表示銘柄数超過</v>
        <stp/>
        <stp>Market</stp>
        <stp>STOCK</stp>
        <stp>24120.T</stp>
        <stp>決算発表日</stp>
        <tr r="X137" s="7"/>
      </tp>
      <tp t="s">
        <v>表示銘柄数超過</v>
        <stp/>
        <stp>Market</stp>
        <stp>STOCK</stp>
        <stp>18120.T</stp>
        <stp>決算発表日</stp>
        <tr r="X60" s="7"/>
      </tp>
      <tp t="s">
        <v>表示銘柄数超過</v>
        <stp/>
        <stp>Market</stp>
        <stp>STOCK</stp>
        <stp>17120.T</stp>
        <stp>決算発表日</stp>
        <tr r="X47" s="7"/>
      </tp>
      <tp t="s">
        <v>2024/01/12</v>
        <stp/>
        <stp>Market</stp>
        <stp>STOCK</stp>
        <stp>75120.T</stp>
        <stp>決算発表日</stp>
        <tr r="X896" s="7"/>
      </tp>
      <tp t="s">
        <v>-</v>
        <stp/>
        <stp>Market</stp>
        <stp>STOCK</stp>
        <stp>72120.T</stp>
        <stp>決算発表日</stp>
        <tr r="X849" s="7"/>
      </tp>
      <tp t="s">
        <v>2024/02/09</v>
        <stp/>
        <stp>Market</stp>
        <stp>STOCK</stp>
        <stp>70120.T</stp>
        <stp>決算発表日</stp>
        <tr r="X807" s="7"/>
      </tp>
      <tp t="s">
        <v>2024/01/31</v>
        <stp/>
        <stp>Market</stp>
        <stp>STOCK</stp>
        <stp>56120.T</stp>
        <stp>決算発表日</stp>
        <tr r="X601" s="7"/>
      </tp>
      <tp t="s">
        <v>表示銘柄数超過</v>
        <stp/>
        <stp>Market</stp>
        <stp>STOCK</stp>
        <stp>49120.T</stp>
        <stp>決算発表日</stp>
        <tr r="X552" s="7"/>
      </tp>
      <tp t="s">
        <v>表示銘柄数超過</v>
        <stp/>
        <stp>Market</stp>
        <stp>STOCK</stp>
        <stp>46120.T</stp>
        <stp>決算発表日</stp>
        <tr r="X509" s="7"/>
      </tp>
      <tp t="s">
        <v>表示銘柄数超過</v>
        <stp/>
        <stp>Market</stp>
        <stp>STOCK</stp>
        <stp>98120.T</stp>
        <stp>決算発表日</stp>
        <tr r="X1170" s="7"/>
      </tp>
      <tp t="s">
        <v>表示銘柄数超過</v>
        <stp/>
        <stp>Market</stp>
        <stp>STOCK</stp>
        <stp>94120.T</stp>
        <stp>決算発表日</stp>
        <tr r="X1118" s="7"/>
      </tp>
      <tp t="s">
        <v>表示銘柄数超過</v>
        <stp/>
        <stp>Market</stp>
        <stp>STOCK</stp>
        <stp>89120.T</stp>
        <stp>決算発表日</stp>
        <tr r="X1063" s="7"/>
      </tp>
      <tp t="s">
        <v>表示銘柄数超過</v>
        <stp/>
        <stp>Market</stp>
        <stp>STOCK</stp>
        <stp>31130.T</stp>
        <stp>決算発表日</stp>
        <tr r="X243" s="7"/>
      </tp>
      <tp t="s">
        <v>2024/01/11</v>
        <stp/>
        <stp>Market</stp>
        <stp>STOCK</stp>
        <stp>75130.T</stp>
        <stp>決算発表日</stp>
        <tr r="X897" s="7"/>
      </tp>
      <tp t="s">
        <v>2024/02/09</v>
        <stp/>
        <stp>Market</stp>
        <stp>STOCK</stp>
        <stp>72130.T</stp>
        <stp>決算発表日</stp>
        <tr r="X850" s="7"/>
      </tp>
      <tp t="s">
        <v>2024/02/09</v>
        <stp/>
        <stp>Market</stp>
        <stp>STOCK</stp>
        <stp>70130.T</stp>
        <stp>決算発表日</stp>
        <tr r="X808" s="7"/>
      </tp>
      <tp t="s">
        <v>2024/02/14</v>
        <stp/>
        <stp>Market</stp>
        <stp>STOCK</stp>
        <stp>66130.T</stp>
        <stp>決算発表日</stp>
        <tr r="X736" s="7"/>
      </tp>
      <tp t="s">
        <v>2024/02/09</v>
        <stp/>
        <stp>Market</stp>
        <stp>STOCK</stp>
        <stp>65130.T</stp>
        <stp>決算発表日</stp>
        <tr r="X718" s="7"/>
      </tp>
      <tp t="s">
        <v>2024/02/08</v>
        <stp/>
        <stp>Market</stp>
        <stp>STOCK</stp>
        <stp>61130.T</stp>
        <stp>決算発表日</stp>
        <tr r="X656" s="7"/>
      </tp>
      <tp t="s">
        <v>表示銘柄数超過</v>
        <stp/>
        <stp>Market</stp>
        <stp>STOCK</stp>
        <stp>46130.T</stp>
        <stp>決算発表日</stp>
        <tr r="X510" s="7"/>
      </tp>
      <tp t="s">
        <v>表示銘柄数超過</v>
        <stp/>
        <stp>Market</stp>
        <stp>STOCK</stp>
        <stp>96130.T</stp>
        <stp>決算発表日</stp>
        <tr r="X1160" s="7"/>
      </tp>
      <tp t="s">
        <v>表示銘柄数超過</v>
        <stp/>
        <stp>Market</stp>
        <stp>STOCK</stp>
        <stp>94130.T</stp>
        <stp>決算発表日</stp>
        <tr r="X1119" s="7"/>
      </tp>
      <tp t="s">
        <v>表示銘柄数超過</v>
        <stp/>
        <stp>Market</stp>
        <stp>STOCK</stp>
        <stp>92130.T</stp>
        <stp>決算発表日</stp>
        <tr r="X1099" s="7"/>
      </tp>
      <tp t="s">
        <v>2024/01/30</v>
        <stp/>
        <stp>Market</stp>
        <stp>STOCK</stp>
        <stp>86130.T</stp>
        <stp>決算発表日</stp>
        <tr r="X1028" s="7"/>
      </tp>
      <tp t="s">
        <v>表示銘柄数超過</v>
        <stp/>
        <stp>Market</stp>
        <stp>STOCK</stp>
        <stp>25180.T</stp>
        <stp>決算発表日</stp>
        <tr r="X159" s="7"/>
      </tp>
      <tp t="s">
        <v>表示銘柄数超過</v>
        <stp/>
        <stp>Market</stp>
        <stp>STOCK</stp>
        <stp>14180.T</stp>
        <stp>決算発表日</stp>
        <tr r="X20" s="7"/>
      </tp>
      <tp t="s">
        <v>2024/02/06</v>
        <stp/>
        <stp>Market</stp>
        <stp>STOCK</stp>
        <stp>79180.T</stp>
        <stp>決算発表日</stp>
        <tr r="X955" s="7"/>
      </tp>
      <tp t="s">
        <v>2024/02/08</v>
        <stp/>
        <stp>Market</stp>
        <stp>STOCK</stp>
        <stp>64180.T</stp>
        <stp>決算発表日</stp>
        <tr r="X700" s="7"/>
      </tp>
      <tp t="s">
        <v>2024/02/13</v>
        <stp/>
        <stp>Market</stp>
        <stp>STOCK</stp>
        <stp>62180.T</stp>
        <stp>決算発表日</stp>
        <tr r="X678" s="7"/>
      </tp>
      <tp t="s">
        <v>表示銘柄数超過</v>
        <stp/>
        <stp>Market</stp>
        <stp>STOCK</stp>
        <stp>89180.T</stp>
        <stp>決算発表日</stp>
        <tr r="X1064" s="7"/>
      </tp>
      <tp t="s">
        <v>表示銘柄数超過</v>
        <stp/>
        <stp>Market</stp>
        <stp>STOCK</stp>
        <stp>88180.T</stp>
        <stp>決算発表日</stp>
        <tr r="X1053" s="7"/>
      </tp>
      <tp t="s">
        <v>2024/02/14</v>
        <stp/>
        <stp>Market</stp>
        <stp>STOCK</stp>
        <stp>85180.T</stp>
        <stp>決算発表日</stp>
        <tr r="X1017" s="7"/>
      </tp>
      <tp t="s">
        <v>2024/02/05</v>
        <stp/>
        <stp>Market</stp>
        <stp>STOCK</stp>
        <stp>81180.T</stp>
        <stp>決算発表日</stp>
        <tr r="X979" s="7"/>
      </tp>
      <tp t="s">
        <v>表示銘柄数超過</v>
        <stp/>
        <stp>Market</stp>
        <stp>STOCK</stp>
        <stp>37190.T</stp>
        <stp>決算発表日</stp>
        <tr r="X345" s="7"/>
      </tp>
      <tp t="s">
        <v>表示銘柄数超過</v>
        <stp/>
        <stp>Market</stp>
        <stp>STOCK</stp>
        <stp>17190.T</stp>
        <stp>決算発表日</stp>
        <tr r="X49" s="7"/>
      </tp>
      <tp t="s">
        <v>表示銘柄数超過</v>
        <stp/>
        <stp>Market</stp>
        <stp>STOCK</stp>
        <stp>14190.T</stp>
        <stp>決算発表日</stp>
        <tr r="X21" s="7"/>
      </tp>
      <tp t="s">
        <v>表示銘柄数超過</v>
        <stp/>
        <stp>Market</stp>
        <stp>STOCK</stp>
        <stp>13190.T</stp>
        <stp>決算発表日</stp>
        <tr r="X6" s="7"/>
      </tp>
      <tp t="s">
        <v>2024/01/31</v>
        <stp/>
        <stp>Market</stp>
        <stp>STOCK</stp>
        <stp>79190.T</stp>
        <stp>決算発表日</stp>
        <tr r="X956" s="7"/>
      </tp>
      <tp t="s">
        <v>2024/01/12</v>
        <stp/>
        <stp>Market</stp>
        <stp>STOCK</stp>
        <stp>77190.T</stp>
        <stp>決算発表日</stp>
        <tr r="X922" s="7"/>
      </tp>
      <tp t="s">
        <v>2024/01/31</v>
        <stp/>
        <stp>Market</stp>
        <stp>STOCK</stp>
        <stp>74190.T</stp>
        <stp>決算発表日</stp>
        <tr r="X887" s="7"/>
      </tp>
      <tp t="s">
        <v>2024/03/14</v>
        <stp/>
        <stp>Market</stp>
        <stp>STOCK</stp>
        <stp>66190.T</stp>
        <stp>決算発表日</stp>
        <tr r="X738" s="7"/>
      </tp>
      <tp t="s">
        <v>表示銘柄数超過</v>
        <stp/>
        <stp>Market</stp>
        <stp>STOCK</stp>
        <stp>50190.T</stp>
        <stp>決算発表日</stp>
        <tr r="X561" s="7"/>
      </tp>
      <tp t="s">
        <v>表示銘柄数超過</v>
        <stp/>
        <stp>Market</stp>
        <stp>STOCK</stp>
        <stp>46190.T</stp>
        <stp>決算発表日</stp>
        <tr r="X511" s="7"/>
      </tp>
      <tp t="s">
        <v>表示銘柄数超過</v>
        <stp/>
        <stp>Market</stp>
        <stp>STOCK</stp>
        <stp>44190.T</stp>
        <stp>決算発表日</stp>
        <tr r="X462" s="7"/>
      </tp>
      <tp t="s">
        <v>表示銘柄数超過</v>
        <stp/>
        <stp>Market</stp>
        <stp>STOCK</stp>
        <stp>99190.T</stp>
        <stp>決算発表日</stp>
        <tr r="X1180" s="7"/>
      </tp>
      <tp t="s">
        <v>表示銘柄数超過</v>
        <stp/>
        <stp>Market</stp>
        <stp>STOCK</stp>
        <stp>95190.T</stp>
        <stp>決算発表日</stp>
        <tr r="X1151" s="7"/>
      </tp>
      <tp t="s">
        <v>表示銘柄数超過</v>
        <stp/>
        <stp>Market</stp>
        <stp>STOCK</stp>
        <stp>94190.T</stp>
        <stp>決算発表日</stp>
        <tr r="X1122" s="7"/>
      </tp>
      <tp t="s">
        <v>表示銘柄数超過</v>
        <stp/>
        <stp>Market</stp>
        <stp>STOCK</stp>
        <stp>91190.T</stp>
        <stp>決算発表日</stp>
        <tr r="X1097" s="7"/>
      </tp>
      <tp t="s">
        <v>表示銘柄数超過</v>
        <stp/>
        <stp>Market</stp>
        <stp>STOCK</stp>
        <stp>16990.T</stp>
        <stp>現在値</stp>
        <tr r="C45" s="7"/>
      </tp>
      <tp t="s">
        <v>表示銘柄数超過</v>
        <stp/>
        <stp>Market</stp>
        <stp>STOCK</stp>
        <stp>16820.T</stp>
        <stp>現在値</stp>
        <tr r="C43" s="7"/>
      </tp>
      <tp t="s">
        <v>表示銘柄数超過</v>
        <stp/>
        <stp>Market</stp>
        <stp>STOCK</stp>
        <stp>16890.T</stp>
        <stp>現在値</stp>
        <tr r="C44" s="7"/>
      </tp>
      <tp t="s">
        <v>表示銘柄数超過</v>
        <stp/>
        <stp>Market</stp>
        <stp>STOCK</stp>
        <stp>16150.T</stp>
        <stp>現在値</stp>
        <tr r="C38" s="7"/>
      </tp>
      <tp t="s">
        <v>表示銘柄数超過</v>
        <stp/>
        <stp>Market</stp>
        <stp>STOCK</stp>
        <stp>16050.T</stp>
        <stp>現在値</stp>
        <tr r="C37" s="7"/>
      </tp>
      <tp t="s">
        <v>表示銘柄数超過</v>
        <stp/>
        <stp>Market</stp>
        <stp>STOCK</stp>
        <stp>16550.T</stp>
        <stp>現在値</stp>
        <tr r="C39" s="7"/>
      </tp>
      <tp t="s">
        <v>表示銘柄数超過</v>
        <stp/>
        <stp>Market</stp>
        <stp>STOCK</stp>
        <stp>16560.T</stp>
        <stp>現在値</stp>
        <tr r="C40" s="7"/>
      </tp>
      <tp t="s">
        <v>表示銘柄数超過</v>
        <stp/>
        <stp>Market</stp>
        <stp>STOCK</stp>
        <stp>16710.T</stp>
        <stp>現在値</stp>
        <tr r="C41" s="7"/>
      </tp>
      <tp t="s">
        <v>表示銘柄数超過</v>
        <stp/>
        <stp>Market</stp>
        <stp>STOCK</stp>
        <stp>16780.T</stp>
        <stp>現在値</stp>
        <tr r="C42" s="7"/>
      </tp>
      <tp t="s">
        <v>表示銘柄数超過</v>
        <stp/>
        <stp>Market</stp>
        <stp>STOCK</stp>
        <stp>17830.T</stp>
        <stp>現在値</stp>
        <tr r="C56" s="7"/>
      </tp>
      <tp t="s">
        <v>表示銘柄数超過</v>
        <stp/>
        <stp>Market</stp>
        <stp>STOCK</stp>
        <stp>17110.T</stp>
        <stp>現在値</stp>
        <tr r="C46" s="7"/>
      </tp>
      <tp t="s">
        <v>表示銘柄数超過</v>
        <stp/>
        <stp>Market</stp>
        <stp>STOCK</stp>
        <stp>17120.T</stp>
        <stp>現在値</stp>
        <tr r="C47" s="7"/>
      </tp>
      <tp t="s">
        <v>表示銘柄数超過</v>
        <stp/>
        <stp>Market</stp>
        <stp>STOCK</stp>
        <stp>17160.T</stp>
        <stp>現在値</stp>
        <tr r="C48" s="7"/>
      </tp>
      <tp t="s">
        <v>表示銘柄数超過</v>
        <stp/>
        <stp>Market</stp>
        <stp>STOCK</stp>
        <stp>17190.T</stp>
        <stp>現在値</stp>
        <tr r="C49" s="7"/>
      </tp>
      <tp t="s">
        <v>表示銘柄数超過</v>
        <stp/>
        <stp>Market</stp>
        <stp>STOCK</stp>
        <stp>17300.T</stp>
        <stp>現在値</stp>
        <tr r="C52" s="7"/>
      </tp>
      <tp t="s">
        <v>表示銘柄数超過</v>
        <stp/>
        <stp>Market</stp>
        <stp>STOCK</stp>
        <stp>17200.T</stp>
        <stp>現在値</stp>
        <tr r="C50" s="7"/>
      </tp>
      <tp t="s">
        <v>表示銘柄数超過</v>
        <stp/>
        <stp>Market</stp>
        <stp>STOCK</stp>
        <stp>17210.T</stp>
        <stp>現在値</stp>
        <tr r="C51" s="7"/>
      </tp>
      <tp t="s">
        <v>表示銘柄数超過</v>
        <stp/>
        <stp>Market</stp>
        <stp>STOCK</stp>
        <stp>17570.T</stp>
        <stp>現在値</stp>
        <tr r="C54" s="7"/>
      </tp>
      <tp t="s">
        <v>表示銘柄数超過</v>
        <stp/>
        <stp>Market</stp>
        <stp>STOCK</stp>
        <stp>17430.T</stp>
        <stp>現在値</stp>
        <tr r="C53" s="7"/>
      </tp>
      <tp t="s">
        <v>表示銘柄数超過</v>
        <stp/>
        <stp>Market</stp>
        <stp>STOCK</stp>
        <stp>17700.T</stp>
        <stp>現在値</stp>
        <tr r="C55" s="7"/>
      </tp>
      <tp t="s">
        <v>表示銘柄数超過</v>
        <stp/>
        <stp>Market</stp>
        <stp>STOCK</stp>
        <stp>14910.T</stp>
        <stp>現在値</stp>
        <tr r="C29" s="7"/>
      </tp>
      <tp t="s">
        <v>表示銘柄数超過</v>
        <stp/>
        <stp>Market</stp>
        <stp>STOCK</stp>
        <stp>14180.T</stp>
        <stp>現在値</stp>
        <tr r="C20" s="7"/>
      </tp>
      <tp t="s">
        <v>表示銘柄数超過</v>
        <stp/>
        <stp>Market</stp>
        <stp>STOCK</stp>
        <stp>14190.T</stp>
        <stp>現在値</stp>
        <tr r="C21" s="7"/>
      </tp>
      <tp t="s">
        <v>表示銘柄数超過</v>
        <stp/>
        <stp>Market</stp>
        <stp>STOCK</stp>
        <stp>14000.T</stp>
        <stp>現在値</stp>
        <tr r="C17" s="7"/>
      </tp>
      <tp t="s">
        <v>表示銘柄数超過</v>
        <stp/>
        <stp>Market</stp>
        <stp>STOCK</stp>
        <stp>14010.T</stp>
        <stp>現在値</stp>
        <tr r="C18" s="7"/>
      </tp>
      <tp t="s">
        <v>表示銘柄数超過</v>
        <stp/>
        <stp>Market</stp>
        <stp>STOCK</stp>
        <stp>14070.T</stp>
        <stp>現在値</stp>
        <tr r="C19" s="7"/>
      </tp>
      <tp t="s">
        <v>表示銘柄数超過</v>
        <stp/>
        <stp>Market</stp>
        <stp>STOCK</stp>
        <stp>14300.T</stp>
        <stp>現在値</stp>
        <tr r="C22" s="7"/>
      </tp>
      <tp t="s">
        <v>表示銘柄数超過</v>
        <stp/>
        <stp>Market</stp>
        <stp>STOCK</stp>
        <stp>14350.T</stp>
        <stp>現在値</stp>
        <tr r="C23" s="7"/>
      </tp>
      <tp t="s">
        <v>表示銘柄数超過</v>
        <stp/>
        <stp>Market</stp>
        <stp>STOCK</stp>
        <stp>14390.T</stp>
        <stp>現在値</stp>
        <tr r="C24" s="7"/>
      </tp>
      <tp t="s">
        <v>表示銘柄数超過</v>
        <stp/>
        <stp>Market</stp>
        <stp>STOCK</stp>
        <stp>14510.T</stp>
        <stp>現在値</stp>
        <tr r="C25" s="7"/>
      </tp>
      <tp t="s">
        <v>表示銘柄数超過</v>
        <stp/>
        <stp>Market</stp>
        <stp>STOCK</stp>
        <stp>14590.T</stp>
        <stp>現在値</stp>
        <tr r="C26" s="7"/>
      </tp>
      <tp t="s">
        <v>表示銘柄数超過</v>
        <stp/>
        <stp>Market</stp>
        <stp>STOCK</stp>
        <stp>14720.T</stp>
        <stp>現在値</stp>
        <tr r="C28" s="7"/>
      </tp>
      <tp t="s">
        <v>表示銘柄数超過</v>
        <stp/>
        <stp>Market</stp>
        <stp>STOCK</stp>
        <stp>14690.T</stp>
        <stp>現在値</stp>
        <tr r="C27" s="7"/>
      </tp>
      <tp t="s">
        <v>表示銘柄数超過</v>
        <stp/>
        <stp>Market</stp>
        <stp>STOCK</stp>
        <stp>15140.T</stp>
        <stp>現在値</stp>
        <tr r="C30" s="7"/>
      </tp>
      <tp t="s">
        <v>表示銘柄数超過</v>
        <stp/>
        <stp>Market</stp>
        <stp>STOCK</stp>
        <stp>15510.T</stp>
        <stp>現在値</stp>
        <tr r="C31" s="7"/>
      </tp>
      <tp t="s">
        <v>表示銘柄数超過</v>
        <stp/>
        <stp>Market</stp>
        <stp>STOCK</stp>
        <stp>15520.T</stp>
        <stp>現在値</stp>
        <tr r="C32" s="7"/>
      </tp>
      <tp t="s">
        <v>表示銘柄数超過</v>
        <stp/>
        <stp>Market</stp>
        <stp>STOCK</stp>
        <stp>15710.T</stp>
        <stp>現在値</stp>
        <tr r="C34" s="7"/>
      </tp>
      <tp t="s">
        <v>表示銘柄数超過</v>
        <stp/>
        <stp>Market</stp>
        <stp>STOCK</stp>
        <stp>15720.T</stp>
        <stp>現在値</stp>
        <tr r="C35" s="7"/>
      </tp>
      <tp t="s">
        <v>表示銘柄数超過</v>
        <stp/>
        <stp>Market</stp>
        <stp>STOCK</stp>
        <stp>15780.T</stp>
        <stp>現在値</stp>
        <tr r="C36" s="7"/>
      </tp>
      <tp t="s">
        <v>表示銘柄数超過</v>
        <stp/>
        <stp>Market</stp>
        <stp>STOCK</stp>
        <stp>15630.T</stp>
        <stp>現在値</stp>
        <tr r="C33" s="7"/>
      </tp>
      <tp t="s">
        <v>表示銘柄数超過</v>
        <stp/>
        <stp>Market</stp>
        <stp>STOCK</stp>
        <stp>13990.T</stp>
        <stp>現在値</stp>
        <tr r="C16" s="7"/>
      </tp>
      <tp t="s">
        <v>表示銘柄数超過</v>
        <stp/>
        <stp>Market</stp>
        <stp>STOCK</stp>
        <stp>13110.T</stp>
        <stp>現在値</stp>
        <tr r="C5" s="7"/>
      </tp>
      <tp t="s">
        <v>表示銘柄数超過</v>
        <stp/>
        <stp>Market</stp>
        <stp>STOCK</stp>
        <stp>13190.T</stp>
        <stp>現在値</stp>
        <tr r="C6" s="7"/>
      </tp>
      <tp t="s">
        <v>表示銘柄数超過</v>
        <stp/>
        <stp>Market</stp>
        <stp>STOCK</stp>
        <stp>13050.T</stp>
        <stp>現在値</stp>
        <tr r="C2" s="7"/>
      </tp>
      <tp t="s">
        <v>表示銘柄数超過</v>
        <stp/>
        <stp>Market</stp>
        <stp>STOCK</stp>
        <stp>13060.T</stp>
        <stp>現在値</stp>
        <tr r="C3" s="7"/>
      </tp>
      <tp t="s">
        <v>表示銘柄数超過</v>
        <stp/>
        <stp>Market</stp>
        <stp>STOCK</stp>
        <stp>13080.T</stp>
        <stp>現在値</stp>
        <tr r="C4" s="7"/>
      </tp>
      <tp t="s">
        <v>表示銘柄数超過</v>
        <stp/>
        <stp>Market</stp>
        <stp>STOCK</stp>
        <stp>13320.T</stp>
        <stp>現在値</stp>
        <tr r="C8" s="7"/>
      </tp>
      <tp t="s">
        <v>表示銘柄数超過</v>
        <stp/>
        <stp>Market</stp>
        <stp>STOCK</stp>
        <stp>13330.T</stp>
        <stp>現在値</stp>
        <tr r="C9" s="7"/>
      </tp>
      <tp t="s">
        <v>表示銘柄数超過</v>
        <stp/>
        <stp>Market</stp>
        <stp>STOCK</stp>
        <stp>13250.T</stp>
        <stp>現在値</stp>
        <tr r="C7" s="7"/>
      </tp>
      <tp t="s">
        <v>表示銘柄数超過</v>
        <stp/>
        <stp>Market</stp>
        <stp>STOCK</stp>
        <stp>13560.T</stp>
        <stp>現在値</stp>
        <tr r="C11" s="7"/>
      </tp>
      <tp>
        <v>177</v>
        <stp/>
        <stp>Market</stp>
        <stp>STOCK</stp>
        <stp>13570.T</stp>
        <stp>現在値</stp>
        <tr r="C12" s="7"/>
      </tp>
      <tp t="s">
        <v>表示銘柄数超過</v>
        <stp/>
        <stp>Market</stp>
        <stp>STOCK</stp>
        <stp>13450.T</stp>
        <stp>現在値</stp>
        <tr r="C10" s="7"/>
      </tp>
      <tp t="s">
        <v>表示銘柄数超過</v>
        <stp/>
        <stp>Market</stp>
        <stp>STOCK</stp>
        <stp>13600.T</stp>
        <stp>現在値</stp>
        <tr r="C13" s="7"/>
      </tp>
      <tp t="s">
        <v>表示銘柄数超過</v>
        <stp/>
        <stp>Market</stp>
        <stp>STOCK</stp>
        <stp>13660.T</stp>
        <stp>現在値</stp>
        <tr r="C14" s="7"/>
      </tp>
      <tp t="s">
        <v>表示銘柄数超過</v>
        <stp/>
        <stp>Market</stp>
        <stp>STOCK</stp>
        <stp>13680.T</stp>
        <stp>現在値</stp>
        <tr r="C15" s="7"/>
      </tp>
      <tp t="s">
        <v>表示銘柄数超過</v>
        <stp/>
        <stp>Market</stp>
        <stp>STOCK</stp>
        <stp>18930.T</stp>
        <stp>現在値</stp>
        <tr r="C70" s="7"/>
      </tp>
      <tp t="s">
        <v>表示銘柄数超過</v>
        <stp/>
        <stp>Market</stp>
        <stp>STOCK</stp>
        <stp>18980.T</stp>
        <stp>現在値</stp>
        <tr r="C71" s="7"/>
      </tp>
      <tp t="s">
        <v>表示銘柄数超過</v>
        <stp/>
        <stp>Market</stp>
        <stp>STOCK</stp>
        <stp>18870.T</stp>
        <stp>現在値</stp>
        <tr r="C69" s="7"/>
      </tp>
      <tp t="s">
        <v>表示銘柄数超過</v>
        <stp/>
        <stp>Market</stp>
        <stp>STOCK</stp>
        <stp>18120.T</stp>
        <stp>現在値</stp>
        <tr r="C60" s="7"/>
      </tp>
      <tp t="s">
        <v>表示銘柄数超過</v>
        <stp/>
        <stp>Market</stp>
        <stp>STOCK</stp>
        <stp>18150.T</stp>
        <stp>現在値</stp>
        <tr r="C61" s="7"/>
      </tp>
      <tp t="s">
        <v>表示銘柄数超過</v>
        <stp/>
        <stp>Market</stp>
        <stp>STOCK</stp>
        <stp>18020.T</stp>
        <stp>現在値</stp>
        <tr r="C57" s="7"/>
      </tp>
      <tp t="s">
        <v>表示銘柄数超過</v>
        <stp/>
        <stp>Market</stp>
        <stp>STOCK</stp>
        <stp>18030.T</stp>
        <stp>現在値</stp>
        <tr r="C58" s="7"/>
      </tp>
      <tp t="s">
        <v>表示銘柄数超過</v>
        <stp/>
        <stp>Market</stp>
        <stp>STOCK</stp>
        <stp>18050.T</stp>
        <stp>現在値</stp>
        <tr r="C59" s="7"/>
      </tp>
      <tp t="s">
        <v>表示銘柄数超過</v>
        <stp/>
        <stp>Market</stp>
        <stp>STOCK</stp>
        <stp>18210.T</stp>
        <stp>現在値</stp>
        <tr r="C62" s="7"/>
      </tp>
      <tp t="s">
        <v>表示銘柄数超過</v>
        <stp/>
        <stp>Market</stp>
        <stp>STOCK</stp>
        <stp>18260.T</stp>
        <stp>現在値</stp>
        <tr r="C63" s="7"/>
      </tp>
      <tp t="s">
        <v>表示銘柄数超過</v>
        <stp/>
        <stp>Market</stp>
        <stp>STOCK</stp>
        <stp>18270.T</stp>
        <stp>現在値</stp>
        <tr r="C64" s="7"/>
      </tp>
      <tp t="s">
        <v>表示銘柄数超過</v>
        <stp/>
        <stp>Market</stp>
        <stp>STOCK</stp>
        <stp>18400.T</stp>
        <stp>現在値</stp>
        <tr r="C65" s="7"/>
      </tp>
      <tp t="s">
        <v>表示銘柄数超過</v>
        <stp/>
        <stp>Market</stp>
        <stp>STOCK</stp>
        <stp>18440.T</stp>
        <stp>現在値</stp>
        <tr r="C66" s="7"/>
      </tp>
      <tp t="s">
        <v>表示銘柄数超過</v>
        <stp/>
        <stp>Market</stp>
        <stp>STOCK</stp>
        <stp>18480.T</stp>
        <stp>現在値</stp>
        <tr r="C67" s="7"/>
      </tp>
      <tp t="s">
        <v>表示銘柄数超過</v>
        <stp/>
        <stp>Market</stp>
        <stp>STOCK</stp>
        <stp>18790.T</stp>
        <stp>現在値</stp>
        <tr r="C68" s="7"/>
      </tp>
      <tp t="s">
        <v>表示銘柄数超過</v>
        <stp/>
        <stp>Market</stp>
        <stp>STOCK</stp>
        <stp>19940.T</stp>
        <stp>現在値</stp>
        <tr r="C86" s="7"/>
      </tp>
      <tp t="s">
        <v>表示銘柄数超過</v>
        <stp/>
        <stp>Market</stp>
        <stp>STOCK</stp>
        <stp>19110.T</stp>
        <stp>現在値</stp>
        <tr r="C72" s="7"/>
      </tp>
      <tp t="s">
        <v>表示銘柄数超過</v>
        <stp/>
        <stp>Market</stp>
        <stp>STOCK</stp>
        <stp>19140.T</stp>
        <stp>現在値</stp>
        <tr r="C73" s="7"/>
      </tp>
      <tp t="s">
        <v>表示銘柄数超過</v>
        <stp/>
        <stp>Market</stp>
        <stp>STOCK</stp>
        <stp>19300.T</stp>
        <stp>現在値</stp>
        <tr r="C76" s="7"/>
      </tp>
      <tp t="s">
        <v>表示銘柄数超過</v>
        <stp/>
        <stp>Market</stp>
        <stp>STOCK</stp>
        <stp>19380.T</stp>
        <stp>現在値</stp>
        <tr r="C77" s="7"/>
      </tp>
      <tp t="s">
        <v>表示銘柄数超過</v>
        <stp/>
        <stp>Market</stp>
        <stp>STOCK</stp>
        <stp>19390.T</stp>
        <stp>現在値</stp>
        <tr r="C78" s="7"/>
      </tp>
      <tp t="s">
        <v>表示銘柄数超過</v>
        <stp/>
        <stp>Market</stp>
        <stp>STOCK</stp>
        <stp>19250.T</stp>
        <stp>現在値</stp>
        <tr r="C74" s="7"/>
      </tp>
      <tp t="s">
        <v>表示銘柄数超過</v>
        <stp/>
        <stp>Market</stp>
        <stp>STOCK</stp>
        <stp>19280.T</stp>
        <stp>現在値</stp>
        <tr r="C75" s="7"/>
      </tp>
      <tp t="s">
        <v>表示銘柄数超過</v>
        <stp/>
        <stp>Market</stp>
        <stp>STOCK</stp>
        <stp>19500.T</stp>
        <stp>現在値</stp>
        <tr r="C81" s="7"/>
      </tp>
      <tp t="s">
        <v>表示銘柄数超過</v>
        <stp/>
        <stp>Market</stp>
        <stp>STOCK</stp>
        <stp>19410.T</stp>
        <stp>現在値</stp>
        <tr r="C79" s="7"/>
      </tp>
      <tp t="s">
        <v>表示銘柄数超過</v>
        <stp/>
        <stp>Market</stp>
        <stp>STOCK</stp>
        <stp>19420.T</stp>
        <stp>現在値</stp>
        <tr r="C80" s="7"/>
      </tp>
      <tp t="s">
        <v>表示銘柄数超過</v>
        <stp/>
        <stp>Market</stp>
        <stp>STOCK</stp>
        <stp>19710.T</stp>
        <stp>現在値</stp>
        <tr r="C85" s="7"/>
      </tp>
      <tp t="s">
        <v>表示銘柄数超過</v>
        <stp/>
        <stp>Market</stp>
        <stp>STOCK</stp>
        <stp>19600.T</stp>
        <stp>現在値</stp>
        <tr r="C82" s="7"/>
      </tp>
      <tp t="s">
        <v>表示銘柄数超過</v>
        <stp/>
        <stp>Market</stp>
        <stp>STOCK</stp>
        <stp>19650.T</stp>
        <stp>現在値</stp>
        <tr r="C83" s="7"/>
      </tp>
      <tp t="s">
        <v>表示銘柄数超過</v>
        <stp/>
        <stp>Market</stp>
        <stp>STOCK</stp>
        <stp>19660.T</stp>
        <stp>現在値</stp>
        <tr r="C84" s="7"/>
      </tp>
    </main>
    <main first="rtdsrv.662c26bade854d00aebc6010f8a2e03a">
      <tp t="s">
        <v>表示銘柄数超過</v>
        <stp/>
        <stp>Market</stp>
        <stp>STOCK</stp>
        <stp>30040.T</stp>
        <stp>決算発表日</stp>
        <tr r="X222" s="7"/>
      </tp>
      <tp t="s">
        <v>表示銘柄数超過</v>
        <stp/>
        <stp>Market</stp>
        <stp>STOCK</stp>
        <stp>24040.T</stp>
        <stp>決算発表日</stp>
        <tr r="X133" s="7"/>
      </tp>
      <tp t="s">
        <v>表示銘柄数超過</v>
        <stp/>
        <stp>Market</stp>
        <stp>STOCK</stp>
        <stp>23040.T</stp>
        <stp>決算発表日</stp>
        <tr r="X111" s="7"/>
      </tp>
      <tp t="s">
        <v>2024/02/05</v>
        <stp/>
        <stp>Market</stp>
        <stp>STOCK</stp>
        <stp>70040.T</stp>
        <stp>決算発表日</stp>
        <tr r="X805" s="7"/>
      </tp>
      <tp t="s">
        <v>2024/01/31</v>
        <stp/>
        <stp>Market</stp>
        <stp>STOCK</stp>
        <stp>65040.T</stp>
        <stp>決算発表日</stp>
        <tr r="X716" s="7"/>
      </tp>
      <tp t="s">
        <v>2024/01/31</v>
        <stp/>
        <stp>Market</stp>
        <stp>STOCK</stp>
        <stp>61040.T</stp>
        <stp>決算発表日</stp>
        <tr r="X655" s="7"/>
      </tp>
      <tp t="s">
        <v>2024/02/14</v>
        <stp/>
        <stp>Market</stp>
        <stp>STOCK</stp>
        <stp>57040.T</stp>
        <stp>決算発表日</stp>
        <tr r="X606" s="7"/>
      </tp>
      <tp t="s">
        <v>2024/01/31</v>
        <stp/>
        <stp>Market</stp>
        <stp>STOCK</stp>
        <stp>52040.T</stp>
        <stp>決算発表日</stp>
        <tr r="X575" s="7"/>
      </tp>
      <tp t="s">
        <v>表示銘柄数超過</v>
        <stp/>
        <stp>Market</stp>
        <stp>STOCK</stp>
        <stp>43040.T</stp>
        <stp>決算発表日</stp>
        <tr r="X440" s="7"/>
      </tp>
      <tp t="s">
        <v>表示銘柄数超過</v>
        <stp/>
        <stp>Market</stp>
        <stp>STOCK</stp>
        <stp>40040.T</stp>
        <stp>決算発表日</stp>
        <tr r="X410" s="7"/>
      </tp>
      <tp t="s">
        <v>表示銘柄数超過</v>
        <stp/>
        <stp>Market</stp>
        <stp>STOCK</stp>
        <stp>99040.T</stp>
        <stp>決算発表日</stp>
        <tr r="X1178" s="7"/>
      </tp>
      <tp t="s">
        <v>表示銘柄数超過</v>
        <stp/>
        <stp>Market</stp>
        <stp>STOCK</stp>
        <stp>95040.T</stp>
        <stp>決算発表日</stp>
        <tr r="X1143" s="7"/>
      </tp>
      <tp t="s">
        <v>表示銘柄数超過</v>
        <stp/>
        <stp>Market</stp>
        <stp>STOCK</stp>
        <stp>94040.T</stp>
        <stp>決算発表日</stp>
        <tr r="X1115" s="7"/>
      </tp>
      <tp t="s">
        <v>表示銘柄数超過</v>
        <stp/>
        <stp>Market</stp>
        <stp>STOCK</stp>
        <stp>91040.T</stp>
        <stp>決算発表日</stp>
        <tr r="X1094" s="7"/>
      </tp>
      <tp t="s">
        <v>表示銘柄数超過</v>
        <stp/>
        <stp>Market</stp>
        <stp>STOCK</stp>
        <stp>88040.T</stp>
        <stp>決算発表日</stp>
        <tr r="X1052" s="7"/>
      </tp>
      <tp t="s">
        <v>2024/01/31</v>
        <stp/>
        <stp>Market</stp>
        <stp>STOCK</stp>
        <stp>86040.T</stp>
        <stp>決算発表日</stp>
        <tr r="X1026" s="7"/>
      </tp>
      <tp t="s">
        <v>2024/02/09</v>
        <stp/>
        <stp>Market</stp>
        <stp>STOCK</stp>
        <stp>81040.T</stp>
        <stp>決算発表日</stp>
        <tr r="X977" s="7"/>
      </tp>
      <tp t="s">
        <v>表示銘柄数超過</v>
        <stp/>
        <stp>Market</stp>
        <stp>STOCK</stp>
        <stp>23050.T</stp>
        <stp>決算発表日</stp>
        <tr r="X112" s="7"/>
      </tp>
      <tp t="s">
        <v>表示銘柄数超過</v>
        <stp/>
        <stp>Market</stp>
        <stp>STOCK</stp>
        <stp>18050.T</stp>
        <stp>決算発表日</stp>
        <tr r="X59" s="7"/>
      </tp>
      <tp t="s">
        <v>表示銘柄数超過</v>
        <stp/>
        <stp>Market</stp>
        <stp>STOCK</stp>
        <stp>16050.T</stp>
        <stp>決算発表日</stp>
        <tr r="X37" s="7"/>
      </tp>
      <tp t="s">
        <v>表示銘柄数超過</v>
        <stp/>
        <stp>Market</stp>
        <stp>STOCK</stp>
        <stp>13050.T</stp>
        <stp>決算発表日</stp>
        <tr r="X2" s="7"/>
      </tp>
      <tp t="s">
        <v>2024/01/12</v>
        <stp/>
        <stp>Market</stp>
        <stp>STOCK</stp>
        <stp>78050.T</stp>
        <stp>決算発表日</stp>
        <tr r="X939" s="7"/>
      </tp>
      <tp t="s">
        <v>-</v>
        <stp/>
        <stp>Market</stp>
        <stp>STOCK</stp>
        <stp>76050.T</stp>
        <stp>決算発表日</stp>
        <tr r="X911" s="7"/>
      </tp>
      <tp t="s">
        <v>2024/02/09</v>
        <stp/>
        <stp>Market</stp>
        <stp>STOCK</stp>
        <stp>75050.T</stp>
        <stp>決算発表日</stp>
        <tr r="X895" s="7"/>
      </tp>
      <tp t="s">
        <v>2024/02/01</v>
        <stp/>
        <stp>Market</stp>
        <stp>STOCK</stp>
        <stp>72050.T</stp>
        <stp>決算発表日</stp>
        <tr r="X847" s="7"/>
      </tp>
      <tp t="s">
        <v>-</v>
        <stp/>
        <stp>Market</stp>
        <stp>STOCK</stp>
        <stp>69050.T</stp>
        <stp>決算発表日</stp>
        <tr r="X785" s="7"/>
      </tp>
      <tp t="s">
        <v>2024/01/26</v>
        <stp/>
        <stp>Market</stp>
        <stp>STOCK</stp>
        <stp>63050.T</stp>
        <stp>決算発表日</stp>
        <tr r="X687" s="7"/>
      </tp>
      <tp t="s">
        <v>表示銘柄数超過</v>
        <stp/>
        <stp>Market</stp>
        <stp>STOCK</stp>
        <stp>47050.T</stp>
        <stp>決算発表日</stp>
        <tr r="X522" s="7"/>
      </tp>
      <tp t="s">
        <v>表示銘柄数超過</v>
        <stp/>
        <stp>Market</stp>
        <stp>STOCK</stp>
        <stp>95050.T</stp>
        <stp>決算発表日</stp>
        <tr r="X1144" s="7"/>
      </tp>
      <tp t="s">
        <v>表示銘柄数超過</v>
        <stp/>
        <stp>Market</stp>
        <stp>STOCK</stp>
        <stp>94050.T</stp>
        <stp>決算発表日</stp>
        <tr r="X1116" s="7"/>
      </tp>
      <tp t="s">
        <v>表示銘柄数超過</v>
        <stp/>
        <stp>Market</stp>
        <stp>STOCK</stp>
        <stp>90050.T</stp>
        <stp>決算発表日</stp>
        <tr r="X1075" s="7"/>
      </tp>
      <tp t="s">
        <v>表示銘柄数超過</v>
        <stp/>
        <stp>Market</stp>
        <stp>STOCK</stp>
        <stp>89050.T</stp>
        <stp>決算発表日</stp>
        <tr r="X1062" s="7"/>
      </tp>
      <tp t="s">
        <v>2024/02/09</v>
        <stp/>
        <stp>Market</stp>
        <stp>STOCK</stp>
        <stp>87050.T</stp>
        <stp>決算発表日</stp>
        <tr r="X1037" s="7"/>
      </tp>
      <tp t="s">
        <v>2024/02/13</v>
        <stp/>
        <stp>Market</stp>
        <stp>STOCK</stp>
        <stp>81050.T</stp>
        <stp>決算発表日</stp>
        <tr r="X978" s="7"/>
      </tp>
      <tp t="s">
        <v>2024/01/31</v>
        <stp/>
        <stp>Market</stp>
        <stp>STOCK</stp>
        <stp>80050.T</stp>
        <stp>決算発表日</stp>
        <tr r="X965" s="7"/>
      </tp>
      <tp t="s">
        <v>表示銘柄数超過</v>
        <stp/>
        <stp>Market</stp>
        <stp>STOCK</stp>
        <stp>22060.T</stp>
        <stp>決算発表日</stp>
        <tr r="X103" s="7"/>
      </tp>
      <tp t="s">
        <v>表示銘柄数超過</v>
        <stp/>
        <stp>Market</stp>
        <stp>STOCK</stp>
        <stp>13060.T</stp>
        <stp>決算発表日</stp>
        <tr r="X3" s="7"/>
      </tp>
      <tp t="s">
        <v>2024/02/09</v>
        <stp/>
        <stp>Market</stp>
        <stp>STOCK</stp>
        <stp>54060.T</stp>
        <stp>決算発表日</stp>
        <tr r="X591" s="7"/>
      </tp>
      <tp t="s">
        <v>2024/01/31</v>
        <stp/>
        <stp>Market</stp>
        <stp>STOCK</stp>
        <stp>45060.T</stp>
        <stp>決算発表日</stp>
        <tr r="X480" s="7"/>
      </tp>
      <tp t="s">
        <v>表示銘柄数超過</v>
        <stp/>
        <stp>Market</stp>
        <stp>STOCK</stp>
        <stp>44060.T</stp>
        <stp>決算発表日</stp>
        <tr r="X459" s="7"/>
      </tp>
      <tp t="s">
        <v>表示銘柄数超過</v>
        <stp/>
        <stp>Market</stp>
        <stp>STOCK</stp>
        <stp>95060.T</stp>
        <stp>決算発表日</stp>
        <tr r="X1145" s="7"/>
      </tp>
      <tp t="s">
        <v>表示銘柄数超過</v>
        <stp/>
        <stp>Market</stp>
        <stp>STOCK</stp>
        <stp>90060.T</stp>
        <stp>決算発表日</stp>
        <tr r="X1076" s="7"/>
      </tp>
      <tp t="s">
        <v>2024/01/30</v>
        <stp/>
        <stp>Market</stp>
        <stp>STOCK</stp>
        <stp>87060.T</stp>
        <stp>決算発表日</stp>
        <tr r="X1038" s="7"/>
      </tp>
      <tp t="s">
        <v>表示銘柄数超過</v>
        <stp/>
        <stp>Market</stp>
        <stp>STOCK</stp>
        <stp>39070.T</stp>
        <stp>決算発表日</stp>
        <tr r="X387" s="7"/>
      </tp>
      <tp t="s">
        <v>表示銘柄数超過</v>
        <stp/>
        <stp>Market</stp>
        <stp>STOCK</stp>
        <stp>38070.T</stp>
        <stp>決算発表日</stp>
        <tr r="X361" s="7"/>
      </tp>
      <tp t="s">
        <v>表示銘柄数超過</v>
        <stp/>
        <stp>Market</stp>
        <stp>STOCK</stp>
        <stp>36070.T</stp>
        <stp>決算発表日</stp>
        <tr r="X311" s="7"/>
      </tp>
      <tp t="s">
        <v>表示銘柄数超過</v>
        <stp/>
        <stp>Market</stp>
        <stp>STOCK</stp>
        <stp>34070.T</stp>
        <stp>決算発表日</stp>
        <tr r="X295" s="7"/>
      </tp>
      <tp t="s">
        <v>表示銘柄数超過</v>
        <stp/>
        <stp>Market</stp>
        <stp>STOCK</stp>
        <stp>14070.T</stp>
        <stp>決算発表日</stp>
        <tr r="X19" s="7"/>
      </tp>
      <tp t="s">
        <v>2024/02/08</v>
        <stp/>
        <stp>Market</stp>
        <stp>STOCK</stp>
        <stp>69070.T</stp>
        <stp>決算発表日</stp>
        <tr r="X786" s="7"/>
      </tp>
      <tp t="s">
        <v>2024/02/07</v>
        <stp/>
        <stp>Market</stp>
        <stp>STOCK</stp>
        <stp>65070.T</stp>
        <stp>決算発表日</stp>
        <tr r="X717" s="7"/>
      </tp>
      <tp t="s">
        <v>表示銘柄数超過</v>
        <stp/>
        <stp>Market</stp>
        <stp>STOCK</stp>
        <stp>47070.T</stp>
        <stp>決算発表日</stp>
        <tr r="X523" s="7"/>
      </tp>
      <tp t="s">
        <v>表示銘柄数超過</v>
        <stp/>
        <stp>Market</stp>
        <stp>STOCK</stp>
        <stp>45070.T</stp>
        <stp>決算発表日</stp>
        <tr r="X481" s="7"/>
      </tp>
      <tp t="s">
        <v>表示銘柄数超過</v>
        <stp/>
        <stp>Market</stp>
        <stp>STOCK</stp>
        <stp>95070.T</stp>
        <stp>決算発表日</stp>
        <tr r="X1146" s="7"/>
      </tp>
      <tp t="s">
        <v>表示銘柄数超過</v>
        <stp/>
        <stp>Market</stp>
        <stp>STOCK</stp>
        <stp>93070.T</stp>
        <stp>決算発表日</stp>
        <tr r="X1109" s="7"/>
      </tp>
      <tp t="s">
        <v>表示銘柄数超過</v>
        <stp/>
        <stp>Market</stp>
        <stp>STOCK</stp>
        <stp>91070.T</stp>
        <stp>決算発表日</stp>
        <tr r="X1095" s="7"/>
      </tp>
      <tp t="s">
        <v>表示銘柄数超過</v>
        <stp/>
        <stp>Market</stp>
        <stp>STOCK</stp>
        <stp>90070.T</stp>
        <stp>決算発表日</stp>
        <tr r="X1077" s="7"/>
      </tp>
      <tp t="s">
        <v>2024/02/09</v>
        <stp/>
        <stp>Market</stp>
        <stp>STOCK</stp>
        <stp>82070.T</stp>
        <stp>決算発表日</stp>
        <tr r="X992" s="7"/>
      </tp>
      <tp t="s">
        <v>表示銘柄数超過</v>
        <stp/>
        <stp>Market</stp>
        <stp>STOCK</stp>
        <stp>39000.T</stp>
        <stp>決算発表日</stp>
        <tr r="X384" s="7"/>
      </tp>
      <tp t="s">
        <v>表示銘柄数超過</v>
        <stp/>
        <stp>Market</stp>
        <stp>STOCK</stp>
        <stp>33000.T</stp>
        <stp>決算発表日</stp>
        <tr r="X275" s="7"/>
      </tp>
      <tp t="s">
        <v>表示銘柄数超過</v>
        <stp/>
        <stp>Market</stp>
        <stp>STOCK</stp>
        <stp>14000.T</stp>
        <stp>決算発表日</stp>
        <tr r="X17" s="7"/>
      </tp>
      <tp t="s">
        <v>2024/02/14</v>
        <stp/>
        <stp>Market</stp>
        <stp>STOCK</stp>
        <stp>78000.T</stp>
        <stp>決算発表日</stp>
        <tr r="X938" s="7"/>
      </tp>
      <tp t="s">
        <v>表示銘柄数超過</v>
        <stp/>
        <stp>Market</stp>
        <stp>STOCK</stp>
        <stp>48000.T</stp>
        <stp>決算発表日</stp>
        <tr r="X536" s="7"/>
      </tp>
      <tp t="s">
        <v>表示銘柄数超過</v>
        <stp/>
        <stp>Market</stp>
        <stp>STOCK</stp>
        <stp>42000.T</stp>
        <stp>決算発表日</stp>
        <tr r="X425" s="7"/>
      </tp>
      <tp t="s">
        <v>表示銘柄数超過</v>
        <stp/>
        <stp>Market</stp>
        <stp>STOCK</stp>
        <stp>34010.T</stp>
        <stp>決算発表日</stp>
        <tr r="X294" s="7"/>
      </tp>
      <tp t="s">
        <v>表示銘柄数超過</v>
        <stp/>
        <stp>Market</stp>
        <stp>STOCK</stp>
        <stp>31010.T</stp>
        <stp>決算発表日</stp>
        <tr r="X241" s="7"/>
      </tp>
      <tp t="s">
        <v>表示銘柄数超過</v>
        <stp/>
        <stp>Market</stp>
        <stp>STOCK</stp>
        <stp>29010.T</stp>
        <stp>決算発表日</stp>
        <tr r="X213" s="7"/>
      </tp>
      <tp t="s">
        <v>表示銘柄数超過</v>
        <stp/>
        <stp>Market</stp>
        <stp>STOCK</stp>
        <stp>25010.T</stp>
        <stp>決算発表日</stp>
        <tr r="X156" s="7"/>
      </tp>
      <tp t="s">
        <v>表示銘柄数超過</v>
        <stp/>
        <stp>Market</stp>
        <stp>STOCK</stp>
        <stp>14010.T</stp>
        <stp>決算発表日</stp>
        <tr r="X18" s="7"/>
      </tp>
      <tp t="s">
        <v>2024/01/10</v>
        <stp/>
        <stp>Market</stp>
        <stp>STOCK</stp>
        <stp>76010.T</stp>
        <stp>決算発表日</stp>
        <tr r="X909" s="7"/>
      </tp>
      <tp t="s">
        <v>2024/02/08</v>
        <stp/>
        <stp>Market</stp>
        <stp>STOCK</stp>
        <stp>72010.T</stp>
        <stp>決算発表日</stp>
        <tr r="X844" s="7"/>
      </tp>
      <tp t="s">
        <v>2024/01/30</v>
        <stp/>
        <stp>Market</stp>
        <stp>STOCK</stp>
        <stp>67010.T</stp>
        <stp>決算発表日</stp>
        <tr r="X754" s="7"/>
      </tp>
      <tp t="s">
        <v>2024/01/31</v>
        <stp/>
        <stp>Market</stp>
        <stp>STOCK</stp>
        <stp>65010.T</stp>
        <stp>決算発表日</stp>
        <tr r="X713" s="7"/>
      </tp>
      <tp t="s">
        <v>2024/01/30</v>
        <stp/>
        <stp>Market</stp>
        <stp>STOCK</stp>
        <stp>63010.T</stp>
        <stp>決算発表日</stp>
        <tr r="X686" s="7"/>
      </tp>
      <tp t="s">
        <v>2024/02/08</v>
        <stp/>
        <stp>Market</stp>
        <stp>STOCK</stp>
        <stp>58010.T</stp>
        <stp>決算発表日</stp>
        <tr r="X611" s="7"/>
      </tp>
      <tp t="s">
        <v>2024/02/07</v>
        <stp/>
        <stp>Market</stp>
        <stp>STOCK</stp>
        <stp>54010.T</stp>
        <stp>決算発表日</stp>
        <tr r="X590" s="7"/>
      </tp>
      <tp t="s">
        <v>表示銘柄数超過</v>
        <stp/>
        <stp>Market</stp>
        <stp>STOCK</stp>
        <stp>95010.T</stp>
        <stp>決算発表日</stp>
        <tr r="X1140" s="7"/>
      </tp>
      <tp t="s">
        <v>表示銘柄数超過</v>
        <stp/>
        <stp>Market</stp>
        <stp>STOCK</stp>
        <stp>94010.T</stp>
        <stp>決算発表日</stp>
        <tr r="X1114" s="7"/>
      </tp>
      <tp t="s">
        <v>表示銘柄数超過</v>
        <stp/>
        <stp>Market</stp>
        <stp>STOCK</stp>
        <stp>91010.T</stp>
        <stp>決算発表日</stp>
        <tr r="X1093" s="7"/>
      </tp>
      <tp t="s">
        <v>表示銘柄数超過</v>
        <stp/>
        <stp>Market</stp>
        <stp>STOCK</stp>
        <stp>90010.T</stp>
        <stp>決算発表日</stp>
        <tr r="X1073" s="7"/>
      </tp>
      <tp t="s">
        <v>表示銘柄数超過</v>
        <stp/>
        <stp>Market</stp>
        <stp>STOCK</stp>
        <stp>88010.T</stp>
        <stp>決算発表日</stp>
        <tr r="X1050" s="7"/>
      </tp>
      <tp t="s">
        <v>2024/01/31</v>
        <stp/>
        <stp>Market</stp>
        <stp>STOCK</stp>
        <stp>86010.T</stp>
        <stp>決算発表日</stp>
        <tr r="X1025" s="7"/>
      </tp>
      <tp t="s">
        <v>2024/02/05</v>
        <stp/>
        <stp>Market</stp>
        <stp>STOCK</stp>
        <stp>80010.T</stp>
        <stp>決算発表日</stp>
        <tr r="X964" s="7"/>
      </tp>
      <tp t="s">
        <v>表示銘柄数超過</v>
        <stp/>
        <stp>Market</stp>
        <stp>STOCK</stp>
        <stp>39020.T</stp>
        <stp>決算発表日</stp>
        <tr r="X385" s="7"/>
      </tp>
      <tp t="s">
        <v>表示銘柄数超過</v>
        <stp/>
        <stp>Market</stp>
        <stp>STOCK</stp>
        <stp>27020.T</stp>
        <stp>決算発表日</stp>
        <tr r="X186" s="7"/>
      </tp>
      <tp t="s">
        <v>表示銘柄数超過</v>
        <stp/>
        <stp>Market</stp>
        <stp>STOCK</stp>
        <stp>24020.T</stp>
        <stp>決算発表日</stp>
        <tr r="X132" s="7"/>
      </tp>
      <tp t="s">
        <v>表示銘柄数超過</v>
        <stp/>
        <stp>Market</stp>
        <stp>STOCK</stp>
        <stp>18020.T</stp>
        <stp>決算発表日</stp>
        <tr r="X57" s="7"/>
      </tp>
      <tp t="s">
        <v>2024/02/14</v>
        <stp/>
        <stp>Market</stp>
        <stp>STOCK</stp>
        <stp>76020.T</stp>
        <stp>決算発表日</stp>
        <tr r="X910" s="7"/>
      </tp>
      <tp t="s">
        <v>2024/02/09</v>
        <stp/>
        <stp>Market</stp>
        <stp>STOCK</stp>
        <stp>72020.T</stp>
        <stp>決算発表日</stp>
        <tr r="X845" s="7"/>
      </tp>
      <tp t="s">
        <v>2024/01/29</v>
        <stp/>
        <stp>Market</stp>
        <stp>STOCK</stp>
        <stp>71020.T</stp>
        <stp>決算発表日</stp>
        <tr r="X825" s="7"/>
      </tp>
      <tp t="s">
        <v>2024/02/02</v>
        <stp/>
        <stp>Market</stp>
        <stp>STOCK</stp>
        <stp>69020.T</stp>
        <stp>決算発表日</stp>
        <tr r="X784" s="7"/>
      </tp>
      <tp t="s">
        <v>2024/01/31</v>
        <stp/>
        <stp>Market</stp>
        <stp>STOCK</stp>
        <stp>67020.T</stp>
        <stp>決算発表日</stp>
        <tr r="X755" s="7"/>
      </tp>
      <tp t="s">
        <v/>
        <stp/>
        <stp>Market</stp>
        <stp>STOCK</stp>
        <stp>65020.T</stp>
        <stp>決算発表日</stp>
        <tr r="X714" s="7"/>
      </tp>
      <tp t="s">
        <v>2024/02/05</v>
        <stp/>
        <stp>Market</stp>
        <stp>STOCK</stp>
        <stp>58020.T</stp>
        <stp>決算発表日</stp>
        <tr r="X612" s="7"/>
      </tp>
      <tp t="s">
        <v>表示銘柄数超過</v>
        <stp/>
        <stp>Market</stp>
        <stp>STOCK</stp>
        <stp>49020.T</stp>
        <stp>決算発表日</stp>
        <tr r="X551" s="7"/>
      </tp>
      <tp t="s">
        <v>表示銘柄数超過</v>
        <stp/>
        <stp>Market</stp>
        <stp>STOCK</stp>
        <stp>42020.T</stp>
        <stp>決算発表日</stp>
        <tr r="X426" s="7"/>
      </tp>
      <tp t="s">
        <v>表示銘柄数超過</v>
        <stp/>
        <stp>Market</stp>
        <stp>STOCK</stp>
        <stp>95020.T</stp>
        <stp>決算発表日</stp>
        <tr r="X1141" s="7"/>
      </tp>
      <tp t="s">
        <v>表示銘柄数超過</v>
        <stp/>
        <stp>Market</stp>
        <stp>STOCK</stp>
        <stp>88020.T</stp>
        <stp>決算発表日</stp>
        <tr r="X1051" s="7"/>
      </tp>
      <tp t="s">
        <v>2024/02/09</v>
        <stp/>
        <stp>Market</stp>
        <stp>STOCK</stp>
        <stp>82020.T</stp>
        <stp>決算発表日</stp>
        <tr r="X990" s="7"/>
      </tp>
      <tp t="s">
        <v>表示銘柄数超過</v>
        <stp/>
        <stp>Market</stp>
        <stp>STOCK</stp>
        <stp>39030.T</stp>
        <stp>決算発表日</stp>
        <tr r="X386" s="7"/>
      </tp>
      <tp t="s">
        <v>表示銘柄数超過</v>
        <stp/>
        <stp>Market</stp>
        <stp>STOCK</stp>
        <stp>31030.T</stp>
        <stp>決算発表日</stp>
        <tr r="X242" s="7"/>
      </tp>
      <tp t="s">
        <v>表示銘柄数超過</v>
        <stp/>
        <stp>Market</stp>
        <stp>STOCK</stp>
        <stp>30030.T</stp>
        <stp>決算発表日</stp>
        <tr r="X221" s="7"/>
      </tp>
      <tp t="s">
        <v>表示銘柄数超過</v>
        <stp/>
        <stp>Market</stp>
        <stp>STOCK</stp>
        <stp>18030.T</stp>
        <stp>決算発表日</stp>
        <tr r="X58" s="7"/>
      </tp>
      <tp t="s">
        <v>2024/02/06</v>
        <stp/>
        <stp>Market</stp>
        <stp>STOCK</stp>
        <stp>72030.T</stp>
        <stp>決算発表日</stp>
        <tr r="X846" s="7"/>
      </tp>
      <tp t="s">
        <v>2024/02/14</v>
        <stp/>
        <stp>Market</stp>
        <stp>STOCK</stp>
        <stp>70030.T</stp>
        <stp>決算発表日</stp>
        <tr r="X804" s="7"/>
      </tp>
      <tp t="s">
        <v>-</v>
        <stp/>
        <stp>Market</stp>
        <stp>STOCK</stp>
        <stp>68030.T</stp>
        <stp>決算発表日</stp>
        <tr r="X773" s="7"/>
      </tp>
      <tp t="s">
        <v>2024/02/05</v>
        <stp/>
        <stp>Market</stp>
        <stp>STOCK</stp>
        <stp>65030.T</stp>
        <stp>決算発表日</stp>
        <tr r="X715" s="7"/>
      </tp>
      <tp t="s">
        <v>2024/02/14</v>
        <stp/>
        <stp>Market</stp>
        <stp>STOCK</stp>
        <stp>62030.T</stp>
        <stp>決算発表日</stp>
        <tr r="X677" s="7"/>
      </tp>
      <tp t="s">
        <v>2024/02/08</v>
        <stp/>
        <stp>Market</stp>
        <stp>STOCK</stp>
        <stp>58030.T</stp>
        <stp>決算発表日</stp>
        <tr r="X613" s="7"/>
      </tp>
      <tp t="s">
        <v>2024/01/31</v>
        <stp/>
        <stp>Market</stp>
        <stp>STOCK</stp>
        <stp>57030.T</stp>
        <stp>決算発表日</stp>
        <tr r="X605" s="7"/>
      </tp>
      <tp t="s">
        <v>-</v>
        <stp/>
        <stp>Market</stp>
        <stp>STOCK</stp>
        <stp>51030.T</stp>
        <stp>決算発表日</stp>
        <tr r="X567" s="7"/>
      </tp>
      <tp t="s">
        <v>表示銘柄数超過</v>
        <stp/>
        <stp>Market</stp>
        <stp>STOCK</stp>
        <stp>45030.T</stp>
        <stp>決算発表日</stp>
        <tr r="X479" s="7"/>
      </tp>
      <tp t="s">
        <v>表示銘柄数超過</v>
        <stp/>
        <stp>Market</stp>
        <stp>STOCK</stp>
        <stp>96030.T</stp>
        <stp>決算発表日</stp>
        <tr r="X1158" s="7"/>
      </tp>
      <tp t="s">
        <v>表示銘柄数超過</v>
        <stp/>
        <stp>Market</stp>
        <stp>STOCK</stp>
        <stp>95030.T</stp>
        <stp>決算発表日</stp>
        <tr r="X1142" s="7"/>
      </tp>
      <tp t="s">
        <v>表示銘柄数超過</v>
        <stp/>
        <stp>Market</stp>
        <stp>STOCK</stp>
        <stp>90030.T</stp>
        <stp>決算発表日</stp>
        <tr r="X1074" s="7"/>
      </tp>
      <tp t="s">
        <v>2024/01/12</v>
        <stp/>
        <stp>Market</stp>
        <stp>STOCK</stp>
        <stp>82030.T</stp>
        <stp>決算発表日</stp>
        <tr r="X991" s="7"/>
      </tp>
      <tp t="s">
        <v>2024/01/31</v>
        <stp/>
        <stp>Market</stp>
        <stp>STOCK</stp>
        <stp>81030.T</stp>
        <stp>決算発表日</stp>
        <tr r="X976" s="7"/>
      </tp>
      <tp t="s">
        <v>表示銘柄数超過</v>
        <stp/>
        <stp>Market</stp>
        <stp>STOCK</stp>
        <stp>24080.T</stp>
        <stp>決算発表日</stp>
        <tr r="X134" s="7"/>
      </tp>
      <tp t="s">
        <v>表示銘柄数超過</v>
        <stp/>
        <stp>Market</stp>
        <stp>STOCK</stp>
        <stp>13080.T</stp>
        <stp>決算発表日</stp>
        <tr r="X4" s="7"/>
      </tp>
      <tp t="s">
        <v>2024/01/29</v>
        <stp/>
        <stp>Market</stp>
        <stp>STOCK</stp>
        <stp>79080.T</stp>
        <stp>決算発表日</stp>
        <tr r="X953" s="7"/>
      </tp>
      <tp t="s">
        <v>2024/02/09</v>
        <stp/>
        <stp>Market</stp>
        <stp>STOCK</stp>
        <stp>74080.T</stp>
        <stp>決算発表日</stp>
        <tr r="X886" s="7"/>
      </tp>
      <tp t="s">
        <v>2024/02/06</v>
        <stp/>
        <stp>Market</stp>
        <stp>STOCK</stp>
        <stp>54080.T</stp>
        <stp>決算発表日</stp>
        <tr r="X592" s="7"/>
      </tp>
      <tp t="s">
        <v>2024/02/16</v>
        <stp/>
        <stp>Market</stp>
        <stp>STOCK</stp>
        <stp>51080.T</stp>
        <stp>決算発表日</stp>
        <tr r="X568" s="7"/>
      </tp>
      <tp t="s">
        <v>表示銘柄数超過</v>
        <stp/>
        <stp>Market</stp>
        <stp>STOCK</stp>
        <stp>43080.T</stp>
        <stp>決算発表日</stp>
        <tr r="X441" s="7"/>
      </tp>
      <tp t="s">
        <v>表示銘柄数超過</v>
        <stp/>
        <stp>Market</stp>
        <stp>STOCK</stp>
        <stp>99080.T</stp>
        <stp>決算発表日</stp>
        <tr r="X1179" s="7"/>
      </tp>
      <tp t="s">
        <v>表示銘柄数超過</v>
        <stp/>
        <stp>Market</stp>
        <stp>STOCK</stp>
        <stp>95080.T</stp>
        <stp>決算発表日</stp>
        <tr r="X1147" s="7"/>
      </tp>
      <tp t="s">
        <v>表示銘柄数超過</v>
        <stp/>
        <stp>Market</stp>
        <stp>STOCK</stp>
        <stp>90080.T</stp>
        <stp>決算発表日</stp>
        <tr r="X1078" s="7"/>
      </tp>
      <tp t="s">
        <v>2024/01/30</v>
        <stp/>
        <stp>Market</stp>
        <stp>STOCK</stp>
        <stp>87080.T</stp>
        <stp>決算発表日</stp>
        <tr r="X1039" s="7"/>
      </tp>
      <tp t="s">
        <v>2024/02/13</v>
        <stp/>
        <stp>Market</stp>
        <stp>STOCK</stp>
        <stp>85080.T</stp>
        <stp>決算発表日</stp>
        <tr r="X1014" s="7"/>
      </tp>
      <tp t="s">
        <v>2024/01/09</v>
        <stp/>
        <stp>Market</stp>
        <stp>STOCK</stp>
        <stp>80080.T</stp>
        <stp>決算発表日</stp>
        <tr r="X966" s="7"/>
      </tp>
      <tp t="s">
        <v>表示銘柄数超過</v>
        <stp/>
        <stp>Market</stp>
        <stp>STOCK</stp>
        <stp>39090.T</stp>
        <stp>決算発表日</stp>
        <tr r="X388" s="7"/>
      </tp>
      <tp t="s">
        <v>表示銘柄数超過</v>
        <stp/>
        <stp>Market</stp>
        <stp>STOCK</stp>
        <stp>34090.T</stp>
        <stp>決算発表日</stp>
        <tr r="X296" s="7"/>
      </tp>
      <tp t="s">
        <v>2024/02/02</v>
        <stp/>
        <stp>Market</stp>
        <stp>STOCK</stp>
        <stp>77090.T</stp>
        <stp>決算発表日</stp>
        <tr r="X921" s="7"/>
      </tp>
      <tp t="s">
        <v>2024/02/02</v>
        <stp/>
        <stp>Market</stp>
        <stp>STOCK</stp>
        <stp>59090.T</stp>
        <stp>決算発表日</stp>
        <tr r="X618" s="7"/>
      </tp>
      <tp t="s">
        <v>表示銘柄数超過</v>
        <stp/>
        <stp>Market</stp>
        <stp>STOCK</stp>
        <stp>97090.T</stp>
        <stp>決算発表日</stp>
        <tr r="X1162" s="7"/>
      </tp>
      <tp t="s">
        <v>表示銘柄数超過</v>
        <stp/>
        <stp>Market</stp>
        <stp>STOCK</stp>
        <stp>95090.T</stp>
        <stp>決算発表日</stp>
        <tr r="X1148" s="7"/>
      </tp>
      <tp t="s">
        <v>表示銘柄数超過</v>
        <stp/>
        <stp>Market</stp>
        <stp>STOCK</stp>
        <stp>94090.T</stp>
        <stp>決算発表日</stp>
        <tr r="X1117" s="7"/>
      </tp>
      <tp t="s">
        <v>表示銘柄数超過</v>
        <stp/>
        <stp>Market</stp>
        <stp>STOCK</stp>
        <stp>90090.T</stp>
        <stp>決算発表日</stp>
        <tr r="X1079" s="7"/>
      </tp>
      <tp t="s">
        <v>2024/01/30</v>
        <stp/>
        <stp>Market</stp>
        <stp>STOCK</stp>
        <stp>86090.T</stp>
        <stp>決算発表日</stp>
        <tr r="X1027" s="7"/>
      </tp>
    </main>
    <main first="rtdsrv.662c26bade854d00aebc6010f8a2e03a">
      <tp t="s">
        <v/>
        <stp/>
        <stp>Market</stp>
        <stp>STOCK</stp>
        <stp/>
        <stp>現在値</stp>
        <tr r="C914" s="7"/>
        <tr r="C1192" s="7"/>
        <tr r="C1196" s="7"/>
        <tr r="C1200" s="7"/>
        <tr r="C1204" s="7"/>
        <tr r="C1208" s="7"/>
        <tr r="C1212" s="7"/>
        <tr r="C1216" s="7"/>
        <tr r="C1220" s="7"/>
        <tr r="C1224" s="7"/>
        <tr r="C1228" s="7"/>
        <tr r="C1232" s="7"/>
        <tr r="C1236" s="7"/>
        <tr r="C1240" s="7"/>
        <tr r="C1244" s="7"/>
        <tr r="C1248" s="7"/>
        <tr r="C1252" s="7"/>
        <tr r="C1262" s="7"/>
        <tr r="C1266" s="7"/>
        <tr r="C1193" s="7"/>
        <tr r="C1197" s="7"/>
        <tr r="C1201" s="7"/>
        <tr r="C1205" s="7"/>
        <tr r="C1209" s="7"/>
        <tr r="C1213" s="7"/>
        <tr r="C1217" s="7"/>
        <tr r="C1221" s="7"/>
        <tr r="C1225" s="7"/>
        <tr r="C1229" s="7"/>
        <tr r="C1233" s="7"/>
        <tr r="C1237" s="7"/>
        <tr r="C1241" s="7"/>
        <tr r="C1245" s="7"/>
        <tr r="C1249" s="7"/>
        <tr r="C1253" s="7"/>
        <tr r="C1257" s="7"/>
        <tr r="C1258" s="7"/>
        <tr r="C1194" s="7"/>
        <tr r="C1198" s="7"/>
        <tr r="C1202" s="7"/>
        <tr r="C1206" s="7"/>
        <tr r="C1210" s="7"/>
        <tr r="C1214" s="7"/>
        <tr r="C1218" s="7"/>
        <tr r="C1222" s="7"/>
        <tr r="C1226" s="7"/>
        <tr r="C1230" s="7"/>
        <tr r="C1234" s="7"/>
        <tr r="C1238" s="7"/>
        <tr r="C1242" s="7"/>
        <tr r="C1246" s="7"/>
        <tr r="C1250" s="7"/>
        <tr r="C1254" s="7"/>
        <tr r="C1271" s="7"/>
        <tr r="C1275" s="7"/>
        <tr r="C1195" s="7"/>
        <tr r="C1199" s="7"/>
        <tr r="C1203" s="7"/>
        <tr r="C1207" s="7"/>
        <tr r="C1211" s="7"/>
        <tr r="C1215" s="7"/>
        <tr r="C1219" s="7"/>
        <tr r="C1223" s="7"/>
        <tr r="C1227" s="7"/>
        <tr r="C1231" s="7"/>
        <tr r="C1235" s="7"/>
        <tr r="C1239" s="7"/>
        <tr r="C1243" s="7"/>
        <tr r="C1247" s="7"/>
        <tr r="C1251" s="7"/>
        <tr r="C1255" s="7"/>
        <tr r="C1259" s="7"/>
        <tr r="C1263" s="7"/>
        <tr r="C1267" s="7"/>
        <tr r="C1270" s="7"/>
        <tr r="C1274" s="7"/>
        <tr r="C1278" s="7"/>
        <tr r="C1282" s="7"/>
        <tr r="C1286" s="7"/>
        <tr r="C1290" s="7"/>
        <tr r="C1294" s="7"/>
        <tr r="C1298" s="7"/>
        <tr r="C1302" s="7"/>
        <tr r="C1306" s="7"/>
        <tr r="C1310" s="7"/>
        <tr r="C1314" s="7"/>
        <tr r="C1318" s="7"/>
        <tr r="C1322" s="7"/>
        <tr r="C1326" s="7"/>
        <tr r="C1330" s="7"/>
        <tr r="C1334" s="7"/>
        <tr r="C1338" s="7"/>
        <tr r="C1342" s="7"/>
        <tr r="C1346" s="7"/>
        <tr r="C1279" s="7"/>
        <tr r="C1283" s="7"/>
        <tr r="C1287" s="7"/>
        <tr r="C1291" s="7"/>
        <tr r="C1295" s="7"/>
        <tr r="C1299" s="7"/>
        <tr r="C1303" s="7"/>
        <tr r="C1307" s="7"/>
        <tr r="C1311" s="7"/>
        <tr r="C1315" s="7"/>
        <tr r="C1319" s="7"/>
        <tr r="C1323" s="7"/>
        <tr r="C1327" s="7"/>
        <tr r="C1331" s="7"/>
        <tr r="C1335" s="7"/>
        <tr r="C1256" s="7"/>
        <tr r="C1260" s="7"/>
        <tr r="C1264" s="7"/>
        <tr r="C1268" s="7"/>
        <tr r="C1272" s="7"/>
        <tr r="C1276" s="7"/>
        <tr r="C1280" s="7"/>
        <tr r="C1284" s="7"/>
        <tr r="C1288" s="7"/>
        <tr r="C1292" s="7"/>
        <tr r="C1296" s="7"/>
        <tr r="C1300" s="7"/>
        <tr r="C1304" s="7"/>
        <tr r="C1308" s="7"/>
        <tr r="C1312" s="7"/>
        <tr r="C1316" s="7"/>
        <tr r="C1320" s="7"/>
        <tr r="C1324" s="7"/>
        <tr r="C1328" s="7"/>
        <tr r="C1332" s="7"/>
        <tr r="C1336" s="7"/>
        <tr r="C1261" s="7"/>
        <tr r="C1265" s="7"/>
        <tr r="C1269" s="7"/>
        <tr r="C1273" s="7"/>
        <tr r="C1277" s="7"/>
        <tr r="C1281" s="7"/>
        <tr r="C1285" s="7"/>
        <tr r="C1289" s="7"/>
        <tr r="C1293" s="7"/>
        <tr r="C1297" s="7"/>
        <tr r="C1301" s="7"/>
        <tr r="C1305" s="7"/>
        <tr r="C1309" s="7"/>
        <tr r="C1313" s="7"/>
        <tr r="C1317" s="7"/>
        <tr r="C1321" s="7"/>
        <tr r="C1325" s="7"/>
        <tr r="C1329" s="7"/>
        <tr r="C1333" s="7"/>
        <tr r="C1337" s="7"/>
        <tr r="C1339" s="7"/>
        <tr r="C1343" s="7"/>
        <tr r="C1350" s="7"/>
        <tr r="C1354" s="7"/>
        <tr r="C1358" s="7"/>
        <tr r="C1362" s="7"/>
        <tr r="C1366" s="7"/>
        <tr r="C1370" s="7"/>
        <tr r="C1374" s="7"/>
        <tr r="C1378" s="7"/>
        <tr r="C1382" s="7"/>
        <tr r="C1386" s="7"/>
        <tr r="C1390" s="7"/>
        <tr r="C1394" s="7"/>
        <tr r="C1398" s="7"/>
        <tr r="C1402" s="7"/>
        <tr r="C1406" s="7"/>
        <tr r="C1410" s="7"/>
        <tr r="C1414" s="7"/>
        <tr r="C1418" s="7"/>
        <tr r="C1422" s="7"/>
        <tr r="C1347" s="7"/>
        <tr r="C1351" s="7"/>
        <tr r="C1355" s="7"/>
        <tr r="C1359" s="7"/>
        <tr r="C1363" s="7"/>
        <tr r="C1367" s="7"/>
        <tr r="C1371" s="7"/>
        <tr r="C1375" s="7"/>
        <tr r="C1379" s="7"/>
        <tr r="C1383" s="7"/>
        <tr r="C1387" s="7"/>
        <tr r="C1391" s="7"/>
        <tr r="C1395" s="7"/>
        <tr r="C1399" s="7"/>
        <tr r="C1403" s="7"/>
        <tr r="C1407" s="7"/>
        <tr r="C1411" s="7"/>
        <tr r="C1415" s="7"/>
        <tr r="C1419" s="7"/>
        <tr r="C1423" s="7"/>
        <tr r="C1503" s="7"/>
        <tr r="C1511" s="7"/>
        <tr r="C1519" s="7"/>
        <tr r="C1527" s="7"/>
        <tr r="C1535" s="7"/>
        <tr r="C1543" s="7"/>
        <tr r="C1340" s="7"/>
        <tr r="C1344" s="7"/>
        <tr r="C1348" s="7"/>
        <tr r="C1352" s="7"/>
        <tr r="C1356" s="7"/>
        <tr r="C1360" s="7"/>
        <tr r="C1364" s="7"/>
        <tr r="C1368" s="7"/>
        <tr r="C1372" s="7"/>
        <tr r="C1376" s="7"/>
        <tr r="C1380" s="7"/>
        <tr r="C1384" s="7"/>
        <tr r="C1388" s="7"/>
        <tr r="C1392" s="7"/>
        <tr r="C1396" s="7"/>
        <tr r="C1400" s="7"/>
        <tr r="C1404" s="7"/>
        <tr r="C1408" s="7"/>
        <tr r="C1412" s="7"/>
        <tr r="C1416" s="7"/>
        <tr r="C1420" s="7"/>
        <tr r="C1424" s="7"/>
        <tr r="C1425" s="7"/>
        <tr r="C1426" s="7"/>
        <tr r="C1427" s="7"/>
        <tr r="C1429" s="7"/>
        <tr r="C1430" s="7"/>
        <tr r="C1431" s="7"/>
        <tr r="C1433" s="7"/>
        <tr r="C1434" s="7"/>
        <tr r="C1435" s="7"/>
        <tr r="C1437" s="7"/>
        <tr r="C1438" s="7"/>
        <tr r="C1439" s="7"/>
        <tr r="C1443" s="7"/>
        <tr r="C1447" s="7"/>
        <tr r="C1451" s="7"/>
        <tr r="C1455" s="7"/>
        <tr r="C1459" s="7"/>
        <tr r="C1463" s="7"/>
        <tr r="C1467" s="7"/>
        <tr r="C1471" s="7"/>
        <tr r="C1475" s="7"/>
        <tr r="C1479" s="7"/>
        <tr r="C1483" s="7"/>
        <tr r="C1487" s="7"/>
        <tr r="C1496" s="7"/>
        <tr r="C1341" s="7"/>
        <tr r="C1345" s="7"/>
        <tr r="C1349" s="7"/>
        <tr r="C1353" s="7"/>
        <tr r="C1357" s="7"/>
        <tr r="C1361" s="7"/>
        <tr r="C1365" s="7"/>
        <tr r="C1369" s="7"/>
        <tr r="C1373" s="7"/>
        <tr r="C1377" s="7"/>
        <tr r="C1381" s="7"/>
        <tr r="C1385" s="7"/>
        <tr r="C1389" s="7"/>
        <tr r="C1393" s="7"/>
        <tr r="C1397" s="7"/>
        <tr r="C1401" s="7"/>
        <tr r="C1405" s="7"/>
        <tr r="C1409" s="7"/>
        <tr r="C1413" s="7"/>
        <tr r="C1417" s="7"/>
        <tr r="C1421" s="7"/>
        <tr r="C1499" s="7"/>
        <tr r="C1507" s="7"/>
        <tr r="C1515" s="7"/>
        <tr r="C1523" s="7"/>
        <tr r="C1531" s="7"/>
        <tr r="C1539" s="7"/>
        <tr r="C1547" s="7"/>
        <tr r="C1551" s="7"/>
        <tr r="C1555" s="7"/>
        <tr r="C1559" s="7"/>
        <tr r="C1563" s="7"/>
        <tr r="C1567" s="7"/>
        <tr r="C1571" s="7"/>
        <tr r="C1575" s="7"/>
        <tr r="C1579" s="7"/>
        <tr r="C1583" s="7"/>
        <tr r="C1587" s="7"/>
        <tr r="C1591" s="7"/>
        <tr r="C1595" s="7"/>
        <tr r="C1599" s="7"/>
        <tr r="C1603" s="7"/>
        <tr r="C1607" s="7"/>
        <tr r="C1611" s="7"/>
        <tr r="C1428" s="7"/>
        <tr r="C1432" s="7"/>
        <tr r="C1436" s="7"/>
        <tr r="C1440" s="7"/>
        <tr r="C1444" s="7"/>
        <tr r="C1448" s="7"/>
        <tr r="C1452" s="7"/>
        <tr r="C1456" s="7"/>
        <tr r="C1460" s="7"/>
        <tr r="C1464" s="7"/>
        <tr r="C1468" s="7"/>
        <tr r="C1472" s="7"/>
        <tr r="C1476" s="7"/>
        <tr r="C1480" s="7"/>
        <tr r="C1484" s="7"/>
        <tr r="C1488" s="7"/>
        <tr r="C1495" s="7"/>
        <tr r="C1441" s="7"/>
        <tr r="C1445" s="7"/>
        <tr r="C1449" s="7"/>
        <tr r="C1453" s="7"/>
        <tr r="C1457" s="7"/>
        <tr r="C1461" s="7"/>
        <tr r="C1465" s="7"/>
        <tr r="C1469" s="7"/>
        <tr r="C1473" s="7"/>
        <tr r="C1477" s="7"/>
        <tr r="C1481" s="7"/>
        <tr r="C1485" s="7"/>
        <tr r="C1442" s="7"/>
        <tr r="C1446" s="7"/>
        <tr r="C1450" s="7"/>
        <tr r="C1454" s="7"/>
        <tr r="C1458" s="7"/>
        <tr r="C1462" s="7"/>
        <tr r="C1466" s="7"/>
        <tr r="C1470" s="7"/>
        <tr r="C1474" s="7"/>
        <tr r="C1478" s="7"/>
        <tr r="C1482" s="7"/>
        <tr r="C1486" s="7"/>
        <tr r="C1489" s="7"/>
        <tr r="C1491" s="7"/>
        <tr r="C1492" s="7"/>
        <tr r="C1493" s="7"/>
        <tr r="C1500" s="7"/>
        <tr r="C1504" s="7"/>
        <tr r="C1508" s="7"/>
        <tr r="C1512" s="7"/>
        <tr r="C1516" s="7"/>
        <tr r="C1520" s="7"/>
        <tr r="C1524" s="7"/>
        <tr r="C1528" s="7"/>
        <tr r="C1532" s="7"/>
        <tr r="C1536" s="7"/>
        <tr r="C1540" s="7"/>
        <tr r="C1544" s="7"/>
        <tr r="C1548" s="7"/>
        <tr r="C1552" s="7"/>
        <tr r="C1556" s="7"/>
        <tr r="C1560" s="7"/>
        <tr r="C1564" s="7"/>
        <tr r="C1568" s="7"/>
        <tr r="C1572" s="7"/>
        <tr r="C1576" s="7"/>
        <tr r="C1580" s="7"/>
        <tr r="C1584" s="7"/>
        <tr r="C1588" s="7"/>
        <tr r="C1592" s="7"/>
        <tr r="C1596" s="7"/>
        <tr r="C1600" s="7"/>
        <tr r="C1604" s="7"/>
        <tr r="C1608" s="7"/>
        <tr r="C1612" s="7"/>
        <tr r="C1613" s="7"/>
        <tr r="C1614" s="7"/>
        <tr r="C1616" s="7"/>
        <tr r="C1617" s="7"/>
        <tr r="C1618" s="7"/>
        <tr r="C1620" s="7"/>
        <tr r="C1621" s="7"/>
        <tr r="C1622" s="7"/>
        <tr r="C1624" s="7"/>
        <tr r="C1625" s="7"/>
        <tr r="C1626" s="7"/>
        <tr r="C1628" s="7"/>
        <tr r="C1629" s="7"/>
        <tr r="C1630" s="7"/>
        <tr r="C1632" s="7"/>
        <tr r="C1633" s="7"/>
        <tr r="C1634" s="7"/>
        <tr r="C1636" s="7"/>
        <tr r="C1637" s="7"/>
        <tr r="C1638" s="7"/>
        <tr r="C1640" s="7"/>
        <tr r="C1641" s="7"/>
        <tr r="C1642" s="7"/>
        <tr r="C1644" s="7"/>
        <tr r="C1645" s="7"/>
        <tr r="C1646" s="7"/>
        <tr r="C1648" s="7"/>
        <tr r="C1649" s="7"/>
        <tr r="C1650" s="7"/>
        <tr r="C1652" s="7"/>
        <tr r="C1653" s="7"/>
        <tr r="C1654" s="7"/>
        <tr r="C1656" s="7"/>
        <tr r="C1658" s="7"/>
        <tr r="C1661" s="7"/>
        <tr r="C1665" s="7"/>
        <tr r="C1669" s="7"/>
        <tr r="C1497" s="7"/>
        <tr r="C1501" s="7"/>
        <tr r="C1505" s="7"/>
        <tr r="C1509" s="7"/>
        <tr r="C1513" s="7"/>
        <tr r="C1517" s="7"/>
        <tr r="C1521" s="7"/>
        <tr r="C1525" s="7"/>
        <tr r="C1529" s="7"/>
        <tr r="C1533" s="7"/>
        <tr r="C1537" s="7"/>
        <tr r="C1541" s="7"/>
        <tr r="C1545" s="7"/>
        <tr r="C1549" s="7"/>
        <tr r="C1553" s="7"/>
        <tr r="C1557" s="7"/>
        <tr r="C1561" s="7"/>
        <tr r="C1565" s="7"/>
        <tr r="C1569" s="7"/>
        <tr r="C1573" s="7"/>
        <tr r="C1577" s="7"/>
        <tr r="C1581" s="7"/>
        <tr r="C1585" s="7"/>
        <tr r="C1589" s="7"/>
        <tr r="C1593" s="7"/>
        <tr r="C1597" s="7"/>
        <tr r="C1601" s="7"/>
        <tr r="C1605" s="7"/>
        <tr r="C1609" s="7"/>
        <tr r="C1657" s="7"/>
        <tr r="C1490" s="7"/>
        <tr r="C1494" s="7"/>
        <tr r="C1498" s="7"/>
        <tr r="C1502" s="7"/>
        <tr r="C1506" s="7"/>
        <tr r="C1510" s="7"/>
        <tr r="C1514" s="7"/>
        <tr r="C1518" s="7"/>
        <tr r="C1522" s="7"/>
        <tr r="C1526" s="7"/>
        <tr r="C1530" s="7"/>
        <tr r="C1534" s="7"/>
        <tr r="C1538" s="7"/>
        <tr r="C1542" s="7"/>
        <tr r="C1546" s="7"/>
        <tr r="C1550" s="7"/>
        <tr r="C1554" s="7"/>
        <tr r="C1558" s="7"/>
        <tr r="C1562" s="7"/>
        <tr r="C1566" s="7"/>
        <tr r="C1570" s="7"/>
        <tr r="C1574" s="7"/>
        <tr r="C1578" s="7"/>
        <tr r="C1582" s="7"/>
        <tr r="C1586" s="7"/>
        <tr r="C1590" s="7"/>
        <tr r="C1594" s="7"/>
        <tr r="C1598" s="7"/>
        <tr r="C1602" s="7"/>
        <tr r="C1606" s="7"/>
        <tr r="C1610" s="7"/>
        <tr r="C1662" s="7"/>
        <tr r="C1666" s="7"/>
        <tr r="C1670" s="7"/>
        <tr r="C1674" s="7"/>
        <tr r="C1615" s="7"/>
        <tr r="C1619" s="7"/>
        <tr r="C1623" s="7"/>
        <tr r="C1627" s="7"/>
        <tr r="C1631" s="7"/>
        <tr r="C1635" s="7"/>
        <tr r="C1639" s="7"/>
        <tr r="C1643" s="7"/>
        <tr r="C1647" s="7"/>
        <tr r="C1651" s="7"/>
        <tr r="C1655" s="7"/>
        <tr r="C1659" s="7"/>
        <tr r="C1663" s="7"/>
        <tr r="C1667" s="7"/>
        <tr r="C1671" s="7"/>
        <tr r="C1675" s="7"/>
        <tr r="C1679" s="7"/>
        <tr r="C1683" s="7"/>
        <tr r="C1687" s="7"/>
        <tr r="C1691" s="7"/>
        <tr r="C1695" s="7"/>
        <tr r="C1699" s="7"/>
        <tr r="C1703" s="7"/>
        <tr r="C1707" s="7"/>
        <tr r="C1711" s="7"/>
        <tr r="C1715" s="7"/>
        <tr r="C1719" s="7"/>
        <tr r="C1723" s="7"/>
        <tr r="C1727" s="7"/>
        <tr r="C1731" s="7"/>
        <tr r="C1735" s="7"/>
        <tr r="C1739" s="7"/>
        <tr r="C1743" s="7"/>
        <tr r="C1747" s="7"/>
        <tr r="C1660" s="7"/>
        <tr r="C1664" s="7"/>
        <tr r="C1668" s="7"/>
        <tr r="C1672" s="7"/>
        <tr r="C1676" s="7"/>
        <tr r="C1680" s="7"/>
        <tr r="C1684" s="7"/>
        <tr r="C1688" s="7"/>
        <tr r="C1692" s="7"/>
        <tr r="C1696" s="7"/>
        <tr r="C1700" s="7"/>
        <tr r="C1704" s="7"/>
        <tr r="C1708" s="7"/>
        <tr r="C1712" s="7"/>
        <tr r="C1716" s="7"/>
        <tr r="C1720" s="7"/>
        <tr r="C1724" s="7"/>
        <tr r="C1728" s="7"/>
        <tr r="C1732" s="7"/>
        <tr r="C1736" s="7"/>
        <tr r="C1740" s="7"/>
        <tr r="C1744" s="7"/>
        <tr r="C1748" s="7"/>
        <tr r="C1749" s="7"/>
        <tr r="C1753" s="7"/>
        <tr r="C1757" s="7"/>
        <tr r="C1761" s="7"/>
        <tr r="C1765" s="7"/>
        <tr r="C1769" s="7"/>
        <tr r="C1773" s="7"/>
        <tr r="C1840" s="7"/>
        <tr r="C1673" s="7"/>
        <tr r="C1677" s="7"/>
        <tr r="C1681" s="7"/>
        <tr r="C1685" s="7"/>
        <tr r="C1689" s="7"/>
        <tr r="C1693" s="7"/>
        <tr r="C1697" s="7"/>
        <tr r="C1701" s="7"/>
        <tr r="C1705" s="7"/>
        <tr r="C1709" s="7"/>
        <tr r="C1713" s="7"/>
        <tr r="C1717" s="7"/>
        <tr r="C1721" s="7"/>
        <tr r="C1725" s="7"/>
        <tr r="C1729" s="7"/>
        <tr r="C1733" s="7"/>
        <tr r="C1737" s="7"/>
        <tr r="C1741" s="7"/>
        <tr r="C1745" s="7"/>
        <tr r="C1774" s="7"/>
        <tr r="C1678" s="7"/>
        <tr r="C1682" s="7"/>
        <tr r="C1686" s="7"/>
        <tr r="C1690" s="7"/>
        <tr r="C1694" s="7"/>
        <tr r="C1698" s="7"/>
        <tr r="C1702" s="7"/>
        <tr r="C1706" s="7"/>
        <tr r="C1710" s="7"/>
        <tr r="C1714" s="7"/>
        <tr r="C1718" s="7"/>
        <tr r="C1722" s="7"/>
        <tr r="C1726" s="7"/>
        <tr r="C1730" s="7"/>
        <tr r="C1734" s="7"/>
        <tr r="C1738" s="7"/>
        <tr r="C1742" s="7"/>
        <tr r="C1746" s="7"/>
        <tr r="C1750" s="7"/>
        <tr r="C1754" s="7"/>
        <tr r="C1758" s="7"/>
        <tr r="C1762" s="7"/>
        <tr r="C1766" s="7"/>
        <tr r="C1770" s="7"/>
        <tr r="C1794" s="7"/>
        <tr r="C1846" s="7"/>
        <tr r="C1751" s="7"/>
        <tr r="C1755" s="7"/>
        <tr r="C1759" s="7"/>
        <tr r="C1763" s="7"/>
        <tr r="C1767" s="7"/>
        <tr r="C1771" s="7"/>
        <tr r="C1775" s="7"/>
        <tr r="C1779" s="7"/>
        <tr r="C1783" s="7"/>
        <tr r="C1787" s="7"/>
        <tr r="C1791" s="7"/>
        <tr r="C1795" s="7"/>
        <tr r="C1752" s="7"/>
        <tr r="C1756" s="7"/>
        <tr r="C1760" s="7"/>
        <tr r="C1764" s="7"/>
        <tr r="C1768" s="7"/>
        <tr r="C1772" s="7"/>
        <tr r="C1778" s="7"/>
        <tr r="C1782" s="7"/>
        <tr r="C1786" s="7"/>
        <tr r="C1790" s="7"/>
        <tr r="C1796" s="7"/>
        <tr r="C1832" s="7"/>
        <tr r="C1845" s="7"/>
        <tr r="C1776" s="7"/>
        <tr r="C1780" s="7"/>
        <tr r="C1784" s="7"/>
        <tr r="C1788" s="7"/>
        <tr r="C1792" s="7"/>
        <tr r="C1799" s="7"/>
        <tr r="C1803" s="7"/>
        <tr r="C1807" s="7"/>
        <tr r="C1811" s="7"/>
        <tr r="C1815" s="7"/>
        <tr r="C1819" s="7"/>
        <tr r="C1823" s="7"/>
        <tr r="C1827" s="7"/>
        <tr r="C1836" s="7"/>
        <tr r="C1844" s="7"/>
        <tr r="C1854" s="7"/>
        <tr r="C1777" s="7"/>
        <tr r="C1781" s="7"/>
        <tr r="C1785" s="7"/>
        <tr r="C1789" s="7"/>
        <tr r="C1793" s="7"/>
        <tr r="C1798" s="7"/>
        <tr r="C1802" s="7"/>
        <tr r="C1806" s="7"/>
        <tr r="C1810" s="7"/>
        <tr r="C1814" s="7"/>
        <tr r="C1818" s="7"/>
        <tr r="C1822" s="7"/>
        <tr r="C1826" s="7"/>
        <tr r="C1831" s="7"/>
        <tr r="C1800" s="7"/>
        <tr r="C1804" s="7"/>
        <tr r="C1808" s="7"/>
        <tr r="C1812" s="7"/>
        <tr r="C1816" s="7"/>
        <tr r="C1820" s="7"/>
        <tr r="C1824" s="7"/>
        <tr r="C1828" s="7"/>
        <tr r="C1866" s="7"/>
        <tr r="C1797" s="7"/>
        <tr r="C1801" s="7"/>
        <tr r="C1805" s="7"/>
        <tr r="C1809" s="7"/>
        <tr r="C1813" s="7"/>
        <tr r="C1817" s="7"/>
        <tr r="C1821" s="7"/>
        <tr r="C1825" s="7"/>
        <tr r="C1850" s="7"/>
        <tr r="C1858" s="7"/>
        <tr r="C1874" s="7"/>
        <tr r="C1829" s="7"/>
        <tr r="C1833" s="7"/>
        <tr r="C1837" s="7"/>
        <tr r="C1841" s="7"/>
        <tr r="C1849" s="7"/>
        <tr r="C1853" s="7"/>
        <tr r="C1857" s="7"/>
        <tr r="C1830" s="7"/>
        <tr r="C1834" s="7"/>
        <tr r="C1838" s="7"/>
        <tr r="C1842" s="7"/>
        <tr r="C1862" s="7"/>
        <tr r="C1870" s="7"/>
        <tr r="C1878" s="7"/>
        <tr r="C1835" s="7"/>
        <tr r="C1839" s="7"/>
        <tr r="C1843" s="7"/>
        <tr r="C1847" s="7"/>
        <tr r="C1851" s="7"/>
        <tr r="C1855" s="7"/>
        <tr r="C1859" s="7"/>
        <tr r="C1848" s="7"/>
        <tr r="C1852" s="7"/>
        <tr r="C1856" s="7"/>
        <tr r="C1860" s="7"/>
        <tr r="C1863" s="7"/>
        <tr r="C1867" s="7"/>
        <tr r="C1871" s="7"/>
        <tr r="C1875" s="7"/>
        <tr r="C1879" s="7"/>
        <tr r="C1864" s="7"/>
        <tr r="C1868" s="7"/>
        <tr r="C1872" s="7"/>
        <tr r="C1876" s="7"/>
        <tr r="C1880" s="7"/>
        <tr r="C1861" s="7"/>
        <tr r="C1865" s="7"/>
        <tr r="C1869" s="7"/>
        <tr r="C1873" s="7"/>
        <tr r="C1877" s="7"/>
        <tr r="C1881" s="7"/>
      </tp>
      <tp t="s">
        <v/>
        <stp/>
        <stp>Market</stp>
        <stp>STOCK</stp>
        <stp/>
        <stp>売買代金</stp>
        <tr r="W914" s="7"/>
        <tr r="W1192" s="7"/>
        <tr r="W1196" s="7"/>
        <tr r="W1200" s="7"/>
        <tr r="W1204" s="7"/>
        <tr r="W1208" s="7"/>
        <tr r="W1212" s="7"/>
        <tr r="W1216" s="7"/>
        <tr r="W1220" s="7"/>
        <tr r="W1224" s="7"/>
        <tr r="W1228" s="7"/>
        <tr r="W1232" s="7"/>
        <tr r="W1236" s="7"/>
        <tr r="W1240" s="7"/>
        <tr r="W1244" s="7"/>
        <tr r="W1248" s="7"/>
        <tr r="W1252" s="7"/>
        <tr r="W1258" s="7"/>
        <tr r="W1262" s="7"/>
        <tr r="W1266" s="7"/>
        <tr r="W1193" s="7"/>
        <tr r="W1197" s="7"/>
        <tr r="W1201" s="7"/>
        <tr r="W1205" s="7"/>
        <tr r="W1209" s="7"/>
        <tr r="W1213" s="7"/>
        <tr r="W1217" s="7"/>
        <tr r="W1221" s="7"/>
        <tr r="W1225" s="7"/>
        <tr r="W1229" s="7"/>
        <tr r="W1233" s="7"/>
        <tr r="W1237" s="7"/>
        <tr r="W1241" s="7"/>
        <tr r="W1245" s="7"/>
        <tr r="W1249" s="7"/>
        <tr r="W1253" s="7"/>
        <tr r="W1255" s="7"/>
        <tr r="W1257" s="7"/>
        <tr r="W1194" s="7"/>
        <tr r="W1198" s="7"/>
        <tr r="W1202" s="7"/>
        <tr r="W1206" s="7"/>
        <tr r="W1210" s="7"/>
        <tr r="W1214" s="7"/>
        <tr r="W1218" s="7"/>
        <tr r="W1222" s="7"/>
        <tr r="W1226" s="7"/>
        <tr r="W1230" s="7"/>
        <tr r="W1234" s="7"/>
        <tr r="W1238" s="7"/>
        <tr r="W1242" s="7"/>
        <tr r="W1246" s="7"/>
        <tr r="W1250" s="7"/>
        <tr r="W1254" s="7"/>
        <tr r="W1271" s="7"/>
        <tr r="W1195" s="7"/>
        <tr r="W1199" s="7"/>
        <tr r="W1203" s="7"/>
        <tr r="W1207" s="7"/>
        <tr r="W1211" s="7"/>
        <tr r="W1215" s="7"/>
        <tr r="W1219" s="7"/>
        <tr r="W1223" s="7"/>
        <tr r="W1227" s="7"/>
        <tr r="W1231" s="7"/>
        <tr r="W1235" s="7"/>
        <tr r="W1239" s="7"/>
        <tr r="W1243" s="7"/>
        <tr r="W1247" s="7"/>
        <tr r="W1251" s="7"/>
        <tr r="W1259" s="7"/>
        <tr r="W1263" s="7"/>
        <tr r="W1267" s="7"/>
        <tr r="W1270" s="7"/>
        <tr r="W1274" s="7"/>
        <tr r="W1278" s="7"/>
        <tr r="W1282" s="7"/>
        <tr r="W1286" s="7"/>
        <tr r="W1290" s="7"/>
        <tr r="W1294" s="7"/>
        <tr r="W1298" s="7"/>
        <tr r="W1302" s="7"/>
        <tr r="W1306" s="7"/>
        <tr r="W1310" s="7"/>
        <tr r="W1314" s="7"/>
        <tr r="W1318" s="7"/>
        <tr r="W1322" s="7"/>
        <tr r="W1326" s="7"/>
        <tr r="W1330" s="7"/>
        <tr r="W1334" s="7"/>
        <tr r="W1338" s="7"/>
        <tr r="W1342" s="7"/>
        <tr r="W1275" s="7"/>
        <tr r="W1279" s="7"/>
        <tr r="W1283" s="7"/>
        <tr r="W1287" s="7"/>
        <tr r="W1291" s="7"/>
        <tr r="W1295" s="7"/>
        <tr r="W1299" s="7"/>
        <tr r="W1303" s="7"/>
        <tr r="W1307" s="7"/>
        <tr r="W1311" s="7"/>
        <tr r="W1315" s="7"/>
        <tr r="W1319" s="7"/>
        <tr r="W1323" s="7"/>
        <tr r="W1327" s="7"/>
        <tr r="W1331" s="7"/>
        <tr r="W1335" s="7"/>
        <tr r="W1256" s="7"/>
        <tr r="W1260" s="7"/>
        <tr r="W1264" s="7"/>
        <tr r="W1268" s="7"/>
        <tr r="W1272" s="7"/>
        <tr r="W1276" s="7"/>
        <tr r="W1280" s="7"/>
        <tr r="W1284" s="7"/>
        <tr r="W1288" s="7"/>
        <tr r="W1292" s="7"/>
        <tr r="W1296" s="7"/>
        <tr r="W1300" s="7"/>
        <tr r="W1304" s="7"/>
        <tr r="W1308" s="7"/>
        <tr r="W1312" s="7"/>
        <tr r="W1316" s="7"/>
        <tr r="W1320" s="7"/>
        <tr r="W1324" s="7"/>
        <tr r="W1328" s="7"/>
        <tr r="W1332" s="7"/>
        <tr r="W1336" s="7"/>
        <tr r="W1261" s="7"/>
        <tr r="W1265" s="7"/>
        <tr r="W1269" s="7"/>
        <tr r="W1273" s="7"/>
        <tr r="W1277" s="7"/>
        <tr r="W1281" s="7"/>
        <tr r="W1285" s="7"/>
        <tr r="W1289" s="7"/>
        <tr r="W1293" s="7"/>
        <tr r="W1297" s="7"/>
        <tr r="W1301" s="7"/>
        <tr r="W1305" s="7"/>
        <tr r="W1309" s="7"/>
        <tr r="W1313" s="7"/>
        <tr r="W1317" s="7"/>
        <tr r="W1321" s="7"/>
        <tr r="W1325" s="7"/>
        <tr r="W1329" s="7"/>
        <tr r="W1333" s="7"/>
        <tr r="W1337" s="7"/>
        <tr r="W1339" s="7"/>
        <tr r="W1343" s="7"/>
        <tr r="W1346" s="7"/>
        <tr r="W1350" s="7"/>
        <tr r="W1354" s="7"/>
        <tr r="W1358" s="7"/>
        <tr r="W1362" s="7"/>
        <tr r="W1366" s="7"/>
        <tr r="W1370" s="7"/>
        <tr r="W1374" s="7"/>
        <tr r="W1378" s="7"/>
        <tr r="W1382" s="7"/>
        <tr r="W1386" s="7"/>
        <tr r="W1390" s="7"/>
        <tr r="W1394" s="7"/>
        <tr r="W1398" s="7"/>
        <tr r="W1402" s="7"/>
        <tr r="W1406" s="7"/>
        <tr r="W1410" s="7"/>
        <tr r="W1414" s="7"/>
        <tr r="W1418" s="7"/>
        <tr r="W1422" s="7"/>
        <tr r="W1347" s="7"/>
        <tr r="W1351" s="7"/>
        <tr r="W1355" s="7"/>
        <tr r="W1359" s="7"/>
        <tr r="W1363" s="7"/>
        <tr r="W1367" s="7"/>
        <tr r="W1371" s="7"/>
        <tr r="W1375" s="7"/>
        <tr r="W1379" s="7"/>
        <tr r="W1383" s="7"/>
        <tr r="W1387" s="7"/>
        <tr r="W1391" s="7"/>
        <tr r="W1395" s="7"/>
        <tr r="W1399" s="7"/>
        <tr r="W1403" s="7"/>
        <tr r="W1407" s="7"/>
        <tr r="W1411" s="7"/>
        <tr r="W1415" s="7"/>
        <tr r="W1419" s="7"/>
        <tr r="W1423" s="7"/>
        <tr r="W1439" s="7"/>
        <tr r="W1496" s="7"/>
        <tr r="W1499" s="7"/>
        <tr r="W1507" s="7"/>
        <tr r="W1515" s="7"/>
        <tr r="W1523" s="7"/>
        <tr r="W1531" s="7"/>
        <tr r="W1539" s="7"/>
        <tr r="W1547" s="7"/>
        <tr r="W1340" s="7"/>
        <tr r="W1344" s="7"/>
        <tr r="W1348" s="7"/>
        <tr r="W1352" s="7"/>
        <tr r="W1356" s="7"/>
        <tr r="W1360" s="7"/>
        <tr r="W1364" s="7"/>
        <tr r="W1368" s="7"/>
        <tr r="W1372" s="7"/>
        <tr r="W1376" s="7"/>
        <tr r="W1380" s="7"/>
        <tr r="W1384" s="7"/>
        <tr r="W1388" s="7"/>
        <tr r="W1392" s="7"/>
        <tr r="W1396" s="7"/>
        <tr r="W1400" s="7"/>
        <tr r="W1404" s="7"/>
        <tr r="W1408" s="7"/>
        <tr r="W1412" s="7"/>
        <tr r="W1416" s="7"/>
        <tr r="W1420" s="7"/>
        <tr r="W1424" s="7"/>
        <tr r="W1425" s="7"/>
        <tr r="W1426" s="7"/>
        <tr r="W1427" s="7"/>
        <tr r="W1429" s="7"/>
        <tr r="W1430" s="7"/>
        <tr r="W1431" s="7"/>
        <tr r="W1433" s="7"/>
        <tr r="W1434" s="7"/>
        <tr r="W1435" s="7"/>
        <tr r="W1437" s="7"/>
        <tr r="W1438" s="7"/>
        <tr r="W1443" s="7"/>
        <tr r="W1447" s="7"/>
        <tr r="W1451" s="7"/>
        <tr r="W1455" s="7"/>
        <tr r="W1459" s="7"/>
        <tr r="W1463" s="7"/>
        <tr r="W1467" s="7"/>
        <tr r="W1471" s="7"/>
        <tr r="W1475" s="7"/>
        <tr r="W1479" s="7"/>
        <tr r="W1483" s="7"/>
        <tr r="W1487" s="7"/>
        <tr r="W1341" s="7"/>
        <tr r="W1345" s="7"/>
        <tr r="W1349" s="7"/>
        <tr r="W1353" s="7"/>
        <tr r="W1357" s="7"/>
        <tr r="W1361" s="7"/>
        <tr r="W1365" s="7"/>
        <tr r="W1369" s="7"/>
        <tr r="W1373" s="7"/>
        <tr r="W1377" s="7"/>
        <tr r="W1381" s="7"/>
        <tr r="W1385" s="7"/>
        <tr r="W1389" s="7"/>
        <tr r="W1393" s="7"/>
        <tr r="W1397" s="7"/>
        <tr r="W1401" s="7"/>
        <tr r="W1405" s="7"/>
        <tr r="W1409" s="7"/>
        <tr r="W1413" s="7"/>
        <tr r="W1417" s="7"/>
        <tr r="W1421" s="7"/>
        <tr r="W1503" s="7"/>
        <tr r="W1511" s="7"/>
        <tr r="W1519" s="7"/>
        <tr r="W1527" s="7"/>
        <tr r="W1535" s="7"/>
        <tr r="W1543" s="7"/>
        <tr r="W1551" s="7"/>
        <tr r="W1555" s="7"/>
        <tr r="W1559" s="7"/>
        <tr r="W1563" s="7"/>
        <tr r="W1567" s="7"/>
        <tr r="W1571" s="7"/>
        <tr r="W1575" s="7"/>
        <tr r="W1579" s="7"/>
        <tr r="W1583" s="7"/>
        <tr r="W1587" s="7"/>
        <tr r="W1591" s="7"/>
        <tr r="W1595" s="7"/>
        <tr r="W1599" s="7"/>
        <tr r="W1603" s="7"/>
        <tr r="W1607" s="7"/>
        <tr r="W1611" s="7"/>
        <tr r="W1428" s="7"/>
        <tr r="W1432" s="7"/>
        <tr r="W1436" s="7"/>
        <tr r="W1440" s="7"/>
        <tr r="W1444" s="7"/>
        <tr r="W1448" s="7"/>
        <tr r="W1452" s="7"/>
        <tr r="W1456" s="7"/>
        <tr r="W1460" s="7"/>
        <tr r="W1464" s="7"/>
        <tr r="W1468" s="7"/>
        <tr r="W1472" s="7"/>
        <tr r="W1476" s="7"/>
        <tr r="W1480" s="7"/>
        <tr r="W1484" s="7"/>
        <tr r="W1495" s="7"/>
        <tr r="W1441" s="7"/>
        <tr r="W1445" s="7"/>
        <tr r="W1449" s="7"/>
        <tr r="W1453" s="7"/>
        <tr r="W1457" s="7"/>
        <tr r="W1461" s="7"/>
        <tr r="W1465" s="7"/>
        <tr r="W1469" s="7"/>
        <tr r="W1473" s="7"/>
        <tr r="W1477" s="7"/>
        <tr r="W1481" s="7"/>
        <tr r="W1485" s="7"/>
        <tr r="W1442" s="7"/>
        <tr r="W1446" s="7"/>
        <tr r="W1450" s="7"/>
        <tr r="W1454" s="7"/>
        <tr r="W1458" s="7"/>
        <tr r="W1462" s="7"/>
        <tr r="W1466" s="7"/>
        <tr r="W1470" s="7"/>
        <tr r="W1474" s="7"/>
        <tr r="W1478" s="7"/>
        <tr r="W1482" s="7"/>
        <tr r="W1486" s="7"/>
        <tr r="W1488" s="7"/>
        <tr r="W1489" s="7"/>
        <tr r="W1491" s="7"/>
        <tr r="W1492" s="7"/>
        <tr r="W1493" s="7"/>
        <tr r="W1500" s="7"/>
        <tr r="W1504" s="7"/>
        <tr r="W1508" s="7"/>
        <tr r="W1512" s="7"/>
        <tr r="W1516" s="7"/>
        <tr r="W1520" s="7"/>
        <tr r="W1524" s="7"/>
        <tr r="W1528" s="7"/>
        <tr r="W1532" s="7"/>
        <tr r="W1536" s="7"/>
        <tr r="W1540" s="7"/>
        <tr r="W1544" s="7"/>
        <tr r="W1548" s="7"/>
        <tr r="W1552" s="7"/>
        <tr r="W1556" s="7"/>
        <tr r="W1560" s="7"/>
        <tr r="W1564" s="7"/>
        <tr r="W1568" s="7"/>
        <tr r="W1572" s="7"/>
        <tr r="W1576" s="7"/>
        <tr r="W1580" s="7"/>
        <tr r="W1584" s="7"/>
        <tr r="W1588" s="7"/>
        <tr r="W1592" s="7"/>
        <tr r="W1596" s="7"/>
        <tr r="W1600" s="7"/>
        <tr r="W1604" s="7"/>
        <tr r="W1608" s="7"/>
        <tr r="W1612" s="7"/>
        <tr r="W1613" s="7"/>
        <tr r="W1614" s="7"/>
        <tr r="W1616" s="7"/>
        <tr r="W1617" s="7"/>
        <tr r="W1618" s="7"/>
        <tr r="W1620" s="7"/>
        <tr r="W1621" s="7"/>
        <tr r="W1622" s="7"/>
        <tr r="W1624" s="7"/>
        <tr r="W1625" s="7"/>
        <tr r="W1626" s="7"/>
        <tr r="W1628" s="7"/>
        <tr r="W1629" s="7"/>
        <tr r="W1630" s="7"/>
        <tr r="W1632" s="7"/>
        <tr r="W1633" s="7"/>
        <tr r="W1634" s="7"/>
        <tr r="W1636" s="7"/>
        <tr r="W1637" s="7"/>
        <tr r="W1638" s="7"/>
        <tr r="W1640" s="7"/>
        <tr r="W1641" s="7"/>
        <tr r="W1642" s="7"/>
        <tr r="W1644" s="7"/>
        <tr r="W1645" s="7"/>
        <tr r="W1646" s="7"/>
        <tr r="W1648" s="7"/>
        <tr r="W1649" s="7"/>
        <tr r="W1650" s="7"/>
        <tr r="W1652" s="7"/>
        <tr r="W1653" s="7"/>
        <tr r="W1654" s="7"/>
        <tr r="W1658" s="7"/>
        <tr r="W1661" s="7"/>
        <tr r="W1665" s="7"/>
        <tr r="W1669" s="7"/>
        <tr r="W1497" s="7"/>
        <tr r="W1501" s="7"/>
        <tr r="W1505" s="7"/>
        <tr r="W1509" s="7"/>
        <tr r="W1513" s="7"/>
        <tr r="W1517" s="7"/>
        <tr r="W1521" s="7"/>
        <tr r="W1525" s="7"/>
        <tr r="W1529" s="7"/>
        <tr r="W1533" s="7"/>
        <tr r="W1537" s="7"/>
        <tr r="W1541" s="7"/>
        <tr r="W1545" s="7"/>
        <tr r="W1549" s="7"/>
        <tr r="W1553" s="7"/>
        <tr r="W1557" s="7"/>
        <tr r="W1561" s="7"/>
        <tr r="W1565" s="7"/>
        <tr r="W1569" s="7"/>
        <tr r="W1573" s="7"/>
        <tr r="W1577" s="7"/>
        <tr r="W1581" s="7"/>
        <tr r="W1585" s="7"/>
        <tr r="W1589" s="7"/>
        <tr r="W1593" s="7"/>
        <tr r="W1597" s="7"/>
        <tr r="W1601" s="7"/>
        <tr r="W1605" s="7"/>
        <tr r="W1609" s="7"/>
        <tr r="W1657" s="7"/>
        <tr r="W1490" s="7"/>
        <tr r="W1494" s="7"/>
        <tr r="W1498" s="7"/>
        <tr r="W1502" s="7"/>
        <tr r="W1506" s="7"/>
        <tr r="W1510" s="7"/>
        <tr r="W1514" s="7"/>
        <tr r="W1518" s="7"/>
        <tr r="W1522" s="7"/>
        <tr r="W1526" s="7"/>
        <tr r="W1530" s="7"/>
        <tr r="W1534" s="7"/>
        <tr r="W1538" s="7"/>
        <tr r="W1542" s="7"/>
        <tr r="W1546" s="7"/>
        <tr r="W1550" s="7"/>
        <tr r="W1554" s="7"/>
        <tr r="W1558" s="7"/>
        <tr r="W1562" s="7"/>
        <tr r="W1566" s="7"/>
        <tr r="W1570" s="7"/>
        <tr r="W1574" s="7"/>
        <tr r="W1578" s="7"/>
        <tr r="W1582" s="7"/>
        <tr r="W1586" s="7"/>
        <tr r="W1590" s="7"/>
        <tr r="W1594" s="7"/>
        <tr r="W1598" s="7"/>
        <tr r="W1602" s="7"/>
        <tr r="W1606" s="7"/>
        <tr r="W1610" s="7"/>
        <tr r="W1662" s="7"/>
        <tr r="W1666" s="7"/>
        <tr r="W1670" s="7"/>
        <tr r="W1672" s="7"/>
        <tr r="W1615" s="7"/>
        <tr r="W1619" s="7"/>
        <tr r="W1623" s="7"/>
        <tr r="W1627" s="7"/>
        <tr r="W1631" s="7"/>
        <tr r="W1635" s="7"/>
        <tr r="W1639" s="7"/>
        <tr r="W1643" s="7"/>
        <tr r="W1647" s="7"/>
        <tr r="W1651" s="7"/>
        <tr r="W1655" s="7"/>
        <tr r="W1659" s="7"/>
        <tr r="W1663" s="7"/>
        <tr r="W1667" s="7"/>
        <tr r="W1671" s="7"/>
        <tr r="W1675" s="7"/>
        <tr r="W1679" s="7"/>
        <tr r="W1683" s="7"/>
        <tr r="W1687" s="7"/>
        <tr r="W1691" s="7"/>
        <tr r="W1695" s="7"/>
        <tr r="W1699" s="7"/>
        <tr r="W1703" s="7"/>
        <tr r="W1707" s="7"/>
        <tr r="W1711" s="7"/>
        <tr r="W1715" s="7"/>
        <tr r="W1719" s="7"/>
        <tr r="W1723" s="7"/>
        <tr r="W1727" s="7"/>
        <tr r="W1731" s="7"/>
        <tr r="W1735" s="7"/>
        <tr r="W1739" s="7"/>
        <tr r="W1743" s="7"/>
        <tr r="W1747" s="7"/>
        <tr r="W1656" s="7"/>
        <tr r="W1660" s="7"/>
        <tr r="W1664" s="7"/>
        <tr r="W1668" s="7"/>
        <tr r="W1674" s="7"/>
        <tr r="W1676" s="7"/>
        <tr r="W1680" s="7"/>
        <tr r="W1684" s="7"/>
        <tr r="W1688" s="7"/>
        <tr r="W1692" s="7"/>
        <tr r="W1696" s="7"/>
        <tr r="W1700" s="7"/>
        <tr r="W1704" s="7"/>
        <tr r="W1708" s="7"/>
        <tr r="W1712" s="7"/>
        <tr r="W1716" s="7"/>
        <tr r="W1720" s="7"/>
        <tr r="W1724" s="7"/>
        <tr r="W1728" s="7"/>
        <tr r="W1732" s="7"/>
        <tr r="W1736" s="7"/>
        <tr r="W1740" s="7"/>
        <tr r="W1744" s="7"/>
        <tr r="W1749" s="7"/>
        <tr r="W1753" s="7"/>
        <tr r="W1757" s="7"/>
        <tr r="W1761" s="7"/>
        <tr r="W1765" s="7"/>
        <tr r="W1769" s="7"/>
        <tr r="W1773" s="7"/>
        <tr r="W1673" s="7"/>
        <tr r="W1677" s="7"/>
        <tr r="W1681" s="7"/>
        <tr r="W1685" s="7"/>
        <tr r="W1689" s="7"/>
        <tr r="W1693" s="7"/>
        <tr r="W1697" s="7"/>
        <tr r="W1701" s="7"/>
        <tr r="W1705" s="7"/>
        <tr r="W1709" s="7"/>
        <tr r="W1713" s="7"/>
        <tr r="W1717" s="7"/>
        <tr r="W1721" s="7"/>
        <tr r="W1725" s="7"/>
        <tr r="W1729" s="7"/>
        <tr r="W1733" s="7"/>
        <tr r="W1737" s="7"/>
        <tr r="W1741" s="7"/>
        <tr r="W1745" s="7"/>
        <tr r="W1678" s="7"/>
        <tr r="W1682" s="7"/>
        <tr r="W1686" s="7"/>
        <tr r="W1690" s="7"/>
        <tr r="W1694" s="7"/>
        <tr r="W1698" s="7"/>
        <tr r="W1702" s="7"/>
        <tr r="W1706" s="7"/>
        <tr r="W1710" s="7"/>
        <tr r="W1714" s="7"/>
        <tr r="W1718" s="7"/>
        <tr r="W1722" s="7"/>
        <tr r="W1726" s="7"/>
        <tr r="W1730" s="7"/>
        <tr r="W1734" s="7"/>
        <tr r="W1738" s="7"/>
        <tr r="W1742" s="7"/>
        <tr r="W1746" s="7"/>
        <tr r="W1748" s="7"/>
        <tr r="W1794" s="7"/>
        <tr r="W1750" s="7"/>
        <tr r="W1754" s="7"/>
        <tr r="W1758" s="7"/>
        <tr r="W1762" s="7"/>
        <tr r="W1766" s="7"/>
        <tr r="W1770" s="7"/>
        <tr r="W1795" s="7"/>
        <tr r="W1854" s="7"/>
        <tr r="W1751" s="7"/>
        <tr r="W1755" s="7"/>
        <tr r="W1759" s="7"/>
        <tr r="W1763" s="7"/>
        <tr r="W1767" s="7"/>
        <tr r="W1771" s="7"/>
        <tr r="W1775" s="7"/>
        <tr r="W1779" s="7"/>
        <tr r="W1783" s="7"/>
        <tr r="W1787" s="7"/>
        <tr r="W1791" s="7"/>
        <tr r="W1796" s="7"/>
        <tr r="W1831" s="7"/>
        <tr r="W1836" s="7"/>
        <tr r="W1752" s="7"/>
        <tr r="W1756" s="7"/>
        <tr r="W1760" s="7"/>
        <tr r="W1764" s="7"/>
        <tr r="W1768" s="7"/>
        <tr r="W1772" s="7"/>
        <tr r="W1774" s="7"/>
        <tr r="W1778" s="7"/>
        <tr r="W1782" s="7"/>
        <tr r="W1786" s="7"/>
        <tr r="W1790" s="7"/>
        <tr r="W1844" s="7"/>
        <tr r="W1870" s="7"/>
        <tr r="W1776" s="7"/>
        <tr r="W1780" s="7"/>
        <tr r="W1784" s="7"/>
        <tr r="W1788" s="7"/>
        <tr r="W1792" s="7"/>
        <tr r="W1799" s="7"/>
        <tr r="W1803" s="7"/>
        <tr r="W1807" s="7"/>
        <tr r="W1811" s="7"/>
        <tr r="W1815" s="7"/>
        <tr r="W1819" s="7"/>
        <tr r="W1823" s="7"/>
        <tr r="W1827" s="7"/>
        <tr r="W1832" s="7"/>
        <tr r="W1840" s="7"/>
        <tr r="W1846" s="7"/>
        <tr r="W1777" s="7"/>
        <tr r="W1781" s="7"/>
        <tr r="W1785" s="7"/>
        <tr r="W1789" s="7"/>
        <tr r="W1798" s="7"/>
        <tr r="W1802" s="7"/>
        <tr r="W1806" s="7"/>
        <tr r="W1810" s="7"/>
        <tr r="W1814" s="7"/>
        <tr r="W1818" s="7"/>
        <tr r="W1822" s="7"/>
        <tr r="W1826" s="7"/>
        <tr r="W1862" s="7"/>
        <tr r="W1800" s="7"/>
        <tr r="W1804" s="7"/>
        <tr r="W1808" s="7"/>
        <tr r="W1812" s="7"/>
        <tr r="W1816" s="7"/>
        <tr r="W1820" s="7"/>
        <tr r="W1824" s="7"/>
        <tr r="W1828" s="7"/>
        <tr r="W1850" s="7"/>
        <tr r="W1858" s="7"/>
        <tr r="W1878" s="7"/>
        <tr r="W1793" s="7"/>
        <tr r="W1797" s="7"/>
        <tr r="W1801" s="7"/>
        <tr r="W1805" s="7"/>
        <tr r="W1809" s="7"/>
        <tr r="W1813" s="7"/>
        <tr r="W1817" s="7"/>
        <tr r="W1821" s="7"/>
        <tr r="W1825" s="7"/>
        <tr r="W1829" s="7"/>
        <tr r="W1833" s="7"/>
        <tr r="W1837" s="7"/>
        <tr r="W1841" s="7"/>
        <tr r="W1845" s="7"/>
        <tr r="W1849" s="7"/>
        <tr r="W1853" s="7"/>
        <tr r="W1857" s="7"/>
        <tr r="W1860" s="7"/>
        <tr r="W1830" s="7"/>
        <tr r="W1834" s="7"/>
        <tr r="W1838" s="7"/>
        <tr r="W1842" s="7"/>
        <tr r="W1866" s="7"/>
        <tr r="W1874" s="7"/>
        <tr r="W1835" s="7"/>
        <tr r="W1839" s="7"/>
        <tr r="W1843" s="7"/>
        <tr r="W1847" s="7"/>
        <tr r="W1851" s="7"/>
        <tr r="W1855" s="7"/>
        <tr r="W1859" s="7"/>
        <tr r="W1848" s="7"/>
        <tr r="W1852" s="7"/>
        <tr r="W1856" s="7"/>
        <tr r="W1863" s="7"/>
        <tr r="W1867" s="7"/>
        <tr r="W1871" s="7"/>
        <tr r="W1875" s="7"/>
        <tr r="W1879" s="7"/>
        <tr r="W1864" s="7"/>
        <tr r="W1868" s="7"/>
        <tr r="W1872" s="7"/>
        <tr r="W1876" s="7"/>
        <tr r="W1880" s="7"/>
        <tr r="W1861" s="7"/>
        <tr r="W1865" s="7"/>
        <tr r="W1869" s="7"/>
        <tr r="W1873" s="7"/>
        <tr r="W1877" s="7"/>
        <tr r="W1881" s="7"/>
      </tp>
    </main>
    <main first="rtdsrv.662c26bade854d00aebc6010f8a2e03a">
      <tp t="s">
        <v/>
        <stp/>
        <stp>Market</stp>
        <stp>STOCK</stp>
        <stp/>
        <stp>決算発表日</stp>
        <tr r="X914" s="7"/>
        <tr r="X1195" s="7"/>
        <tr r="X1199" s="7"/>
        <tr r="X1203" s="7"/>
        <tr r="X1207" s="7"/>
        <tr r="X1211" s="7"/>
        <tr r="X1215" s="7"/>
        <tr r="X1219" s="7"/>
        <tr r="X1223" s="7"/>
        <tr r="X1227" s="7"/>
        <tr r="X1231" s="7"/>
        <tr r="X1235" s="7"/>
        <tr r="X1239" s="7"/>
        <tr r="X1243" s="7"/>
        <tr r="X1247" s="7"/>
        <tr r="X1251" s="7"/>
        <tr r="X1192" s="7"/>
        <tr r="X1196" s="7"/>
        <tr r="X1200" s="7"/>
        <tr r="X1204" s="7"/>
        <tr r="X1208" s="7"/>
        <tr r="X1212" s="7"/>
        <tr r="X1216" s="7"/>
        <tr r="X1220" s="7"/>
        <tr r="X1224" s="7"/>
        <tr r="X1228" s="7"/>
        <tr r="X1232" s="7"/>
        <tr r="X1236" s="7"/>
        <tr r="X1240" s="7"/>
        <tr r="X1244" s="7"/>
        <tr r="X1248" s="7"/>
        <tr r="X1252" s="7"/>
        <tr r="X1258" s="7"/>
        <tr r="X1262" s="7"/>
        <tr r="X1266" s="7"/>
        <tr r="X1270" s="7"/>
        <tr r="X1274" s="7"/>
        <tr r="X1193" s="7"/>
        <tr r="X1197" s="7"/>
        <tr r="X1201" s="7"/>
        <tr r="X1205" s="7"/>
        <tr r="X1209" s="7"/>
        <tr r="X1213" s="7"/>
        <tr r="X1217" s="7"/>
        <tr r="X1221" s="7"/>
        <tr r="X1225" s="7"/>
        <tr r="X1229" s="7"/>
        <tr r="X1233" s="7"/>
        <tr r="X1237" s="7"/>
        <tr r="X1241" s="7"/>
        <tr r="X1245" s="7"/>
        <tr r="X1249" s="7"/>
        <tr r="X1253" s="7"/>
        <tr r="X1256" s="7"/>
        <tr r="X1257" s="7"/>
        <tr r="X1261" s="7"/>
        <tr r="X1265" s="7"/>
        <tr r="X1194" s="7"/>
        <tr r="X1198" s="7"/>
        <tr r="X1202" s="7"/>
        <tr r="X1206" s="7"/>
        <tr r="X1210" s="7"/>
        <tr r="X1214" s="7"/>
        <tr r="X1218" s="7"/>
        <tr r="X1222" s="7"/>
        <tr r="X1226" s="7"/>
        <tr r="X1230" s="7"/>
        <tr r="X1234" s="7"/>
        <tr r="X1238" s="7"/>
        <tr r="X1242" s="7"/>
        <tr r="X1246" s="7"/>
        <tr r="X1250" s="7"/>
        <tr r="X1254" s="7"/>
        <tr r="X1269" s="7"/>
        <tr r="X1273" s="7"/>
        <tr r="X1277" s="7"/>
        <tr r="X1281" s="7"/>
        <tr r="X1285" s="7"/>
        <tr r="X1289" s="7"/>
        <tr r="X1293" s="7"/>
        <tr r="X1297" s="7"/>
        <tr r="X1301" s="7"/>
        <tr r="X1305" s="7"/>
        <tr r="X1309" s="7"/>
        <tr r="X1313" s="7"/>
        <tr r="X1317" s="7"/>
        <tr r="X1321" s="7"/>
        <tr r="X1325" s="7"/>
        <tr r="X1329" s="7"/>
        <tr r="X1333" s="7"/>
        <tr r="X1337" s="7"/>
        <tr r="X1278" s="7"/>
        <tr r="X1282" s="7"/>
        <tr r="X1286" s="7"/>
        <tr r="X1290" s="7"/>
        <tr r="X1294" s="7"/>
        <tr r="X1298" s="7"/>
        <tr r="X1302" s="7"/>
        <tr r="X1306" s="7"/>
        <tr r="X1310" s="7"/>
        <tr r="X1314" s="7"/>
        <tr r="X1318" s="7"/>
        <tr r="X1322" s="7"/>
        <tr r="X1326" s="7"/>
        <tr r="X1330" s="7"/>
        <tr r="X1334" s="7"/>
        <tr r="X1338" s="7"/>
        <tr r="X1342" s="7"/>
        <tr r="X1255" s="7"/>
        <tr r="X1259" s="7"/>
        <tr r="X1263" s="7"/>
        <tr r="X1267" s="7"/>
        <tr r="X1271" s="7"/>
        <tr r="X1275" s="7"/>
        <tr r="X1279" s="7"/>
        <tr r="X1283" s="7"/>
        <tr r="X1287" s="7"/>
        <tr r="X1291" s="7"/>
        <tr r="X1295" s="7"/>
        <tr r="X1299" s="7"/>
        <tr r="X1303" s="7"/>
        <tr r="X1307" s="7"/>
        <tr r="X1311" s="7"/>
        <tr r="X1315" s="7"/>
        <tr r="X1319" s="7"/>
        <tr r="X1323" s="7"/>
        <tr r="X1327" s="7"/>
        <tr r="X1331" s="7"/>
        <tr r="X1335" s="7"/>
        <tr r="X1341" s="7"/>
        <tr r="X1345" s="7"/>
        <tr r="X1349" s="7"/>
        <tr r="X1353" s="7"/>
        <tr r="X1357" s="7"/>
        <tr r="X1361" s="7"/>
        <tr r="X1365" s="7"/>
        <tr r="X1369" s="7"/>
        <tr r="X1373" s="7"/>
        <tr r="X1377" s="7"/>
        <tr r="X1381" s="7"/>
        <tr r="X1385" s="7"/>
        <tr r="X1389" s="7"/>
        <tr r="X1393" s="7"/>
        <tr r="X1397" s="7"/>
        <tr r="X1401" s="7"/>
        <tr r="X1405" s="7"/>
        <tr r="X1409" s="7"/>
        <tr r="X1413" s="7"/>
        <tr r="X1260" s="7"/>
        <tr r="X1264" s="7"/>
        <tr r="X1268" s="7"/>
        <tr r="X1272" s="7"/>
        <tr r="X1276" s="7"/>
        <tr r="X1280" s="7"/>
        <tr r="X1284" s="7"/>
        <tr r="X1288" s="7"/>
        <tr r="X1292" s="7"/>
        <tr r="X1296" s="7"/>
        <tr r="X1300" s="7"/>
        <tr r="X1304" s="7"/>
        <tr r="X1308" s="7"/>
        <tr r="X1312" s="7"/>
        <tr r="X1316" s="7"/>
        <tr r="X1320" s="7"/>
        <tr r="X1324" s="7"/>
        <tr r="X1328" s="7"/>
        <tr r="X1332" s="7"/>
        <tr r="X1336" s="7"/>
        <tr r="X1417" s="7"/>
        <tr r="X1421" s="7"/>
        <tr r="X1488" s="7"/>
        <tr r="X1492" s="7"/>
        <tr r="X1346" s="7"/>
        <tr r="X1350" s="7"/>
        <tr r="X1354" s="7"/>
        <tr r="X1358" s="7"/>
        <tr r="X1362" s="7"/>
        <tr r="X1366" s="7"/>
        <tr r="X1370" s="7"/>
        <tr r="X1374" s="7"/>
        <tr r="X1378" s="7"/>
        <tr r="X1382" s="7"/>
        <tr r="X1386" s="7"/>
        <tr r="X1390" s="7"/>
        <tr r="X1394" s="7"/>
        <tr r="X1398" s="7"/>
        <tr r="X1402" s="7"/>
        <tr r="X1406" s="7"/>
        <tr r="X1410" s="7"/>
        <tr r="X1414" s="7"/>
        <tr r="X1418" s="7"/>
        <tr r="X1422" s="7"/>
        <tr r="X1442" s="7"/>
        <tr r="X1446" s="7"/>
        <tr r="X1450" s="7"/>
        <tr r="X1454" s="7"/>
        <tr r="X1458" s="7"/>
        <tr r="X1462" s="7"/>
        <tr r="X1466" s="7"/>
        <tr r="X1470" s="7"/>
        <tr r="X1474" s="7"/>
        <tr r="X1478" s="7"/>
        <tr r="X1482" s="7"/>
        <tr r="X1486" s="7"/>
        <tr r="X1339" s="7"/>
        <tr r="X1343" s="7"/>
        <tr r="X1347" s="7"/>
        <tr r="X1351" s="7"/>
        <tr r="X1355" s="7"/>
        <tr r="X1359" s="7"/>
        <tr r="X1363" s="7"/>
        <tr r="X1367" s="7"/>
        <tr r="X1371" s="7"/>
        <tr r="X1375" s="7"/>
        <tr r="X1379" s="7"/>
        <tr r="X1383" s="7"/>
        <tr r="X1387" s="7"/>
        <tr r="X1391" s="7"/>
        <tr r="X1395" s="7"/>
        <tr r="X1399" s="7"/>
        <tr r="X1403" s="7"/>
        <tr r="X1407" s="7"/>
        <tr r="X1411" s="7"/>
        <tr r="X1415" s="7"/>
        <tr r="X1419" s="7"/>
        <tr r="X1423" s="7"/>
        <tr r="X1490" s="7"/>
        <tr r="X1340" s="7"/>
        <tr r="X1344" s="7"/>
        <tr r="X1348" s="7"/>
        <tr r="X1352" s="7"/>
        <tr r="X1356" s="7"/>
        <tr r="X1360" s="7"/>
        <tr r="X1364" s="7"/>
        <tr r="X1368" s="7"/>
        <tr r="X1372" s="7"/>
        <tr r="X1376" s="7"/>
        <tr r="X1380" s="7"/>
        <tr r="X1384" s="7"/>
        <tr r="X1388" s="7"/>
        <tr r="X1392" s="7"/>
        <tr r="X1396" s="7"/>
        <tr r="X1400" s="7"/>
        <tr r="X1404" s="7"/>
        <tr r="X1408" s="7"/>
        <tr r="X1412" s="7"/>
        <tr r="X1416" s="7"/>
        <tr r="X1420" s="7"/>
        <tr r="X1424" s="7"/>
        <tr r="X1425" s="7"/>
        <tr r="X1426" s="7"/>
        <tr r="X1428" s="7"/>
        <tr r="X1429" s="7"/>
        <tr r="X1430" s="7"/>
        <tr r="X1432" s="7"/>
        <tr r="X1433" s="7"/>
        <tr r="X1434" s="7"/>
        <tr r="X1436" s="7"/>
        <tr r="X1437" s="7"/>
        <tr r="X1438" s="7"/>
        <tr r="X1491" s="7"/>
        <tr r="X1756" s="7"/>
        <tr r="X1427" s="7"/>
        <tr r="X1431" s="7"/>
        <tr r="X1435" s="7"/>
        <tr r="X1439" s="7"/>
        <tr r="X1443" s="7"/>
        <tr r="X1447" s="7"/>
        <tr r="X1451" s="7"/>
        <tr r="X1455" s="7"/>
        <tr r="X1459" s="7"/>
        <tr r="X1463" s="7"/>
        <tr r="X1467" s="7"/>
        <tr r="X1471" s="7"/>
        <tr r="X1475" s="7"/>
        <tr r="X1479" s="7"/>
        <tr r="X1483" s="7"/>
        <tr r="X1487" s="7"/>
        <tr r="X1764" s="7"/>
        <tr r="X1797" s="7"/>
        <tr r="X1440" s="7"/>
        <tr r="X1444" s="7"/>
        <tr r="X1448" s="7"/>
        <tr r="X1452" s="7"/>
        <tr r="X1456" s="7"/>
        <tr r="X1460" s="7"/>
        <tr r="X1464" s="7"/>
        <tr r="X1468" s="7"/>
        <tr r="X1472" s="7"/>
        <tr r="X1476" s="7"/>
        <tr r="X1480" s="7"/>
        <tr r="X1484" s="7"/>
        <tr r="X1495" s="7"/>
        <tr r="X1656" s="7"/>
        <tr r="X1660" s="7"/>
        <tr r="X1664" s="7"/>
        <tr r="X1668" s="7"/>
        <tr r="X1772" s="7"/>
        <tr r="X1441" s="7"/>
        <tr r="X1445" s="7"/>
        <tr r="X1449" s="7"/>
        <tr r="X1453" s="7"/>
        <tr r="X1457" s="7"/>
        <tr r="X1461" s="7"/>
        <tr r="X1465" s="7"/>
        <tr r="X1469" s="7"/>
        <tr r="X1473" s="7"/>
        <tr r="X1477" s="7"/>
        <tr r="X1481" s="7"/>
        <tr r="X1485" s="7"/>
        <tr r="X1494" s="7"/>
        <tr r="X1498" s="7"/>
        <tr r="X1502" s="7"/>
        <tr r="X1506" s="7"/>
        <tr r="X1510" s="7"/>
        <tr r="X1514" s="7"/>
        <tr r="X1518" s="7"/>
        <tr r="X1522" s="7"/>
        <tr r="X1526" s="7"/>
        <tr r="X1530" s="7"/>
        <tr r="X1534" s="7"/>
        <tr r="X1538" s="7"/>
        <tr r="X1542" s="7"/>
        <tr r="X1546" s="7"/>
        <tr r="X1550" s="7"/>
        <tr r="X1554" s="7"/>
        <tr r="X1558" s="7"/>
        <tr r="X1562" s="7"/>
        <tr r="X1566" s="7"/>
        <tr r="X1570" s="7"/>
        <tr r="X1574" s="7"/>
        <tr r="X1578" s="7"/>
        <tr r="X1582" s="7"/>
        <tr r="X1586" s="7"/>
        <tr r="X1590" s="7"/>
        <tr r="X1594" s="7"/>
        <tr r="X1598" s="7"/>
        <tr r="X1602" s="7"/>
        <tr r="X1606" s="7"/>
        <tr r="X1610" s="7"/>
        <tr r="X1748" s="7"/>
        <tr r="X1499" s="7"/>
        <tr r="X1503" s="7"/>
        <tr r="X1507" s="7"/>
        <tr r="X1511" s="7"/>
        <tr r="X1515" s="7"/>
        <tr r="X1519" s="7"/>
        <tr r="X1523" s="7"/>
        <tr r="X1527" s="7"/>
        <tr r="X1531" s="7"/>
        <tr r="X1535" s="7"/>
        <tr r="X1539" s="7"/>
        <tr r="X1543" s="7"/>
        <tr r="X1547" s="7"/>
        <tr r="X1551" s="7"/>
        <tr r="X1555" s="7"/>
        <tr r="X1559" s="7"/>
        <tr r="X1563" s="7"/>
        <tr r="X1567" s="7"/>
        <tr r="X1571" s="7"/>
        <tr r="X1575" s="7"/>
        <tr r="X1579" s="7"/>
        <tr r="X1583" s="7"/>
        <tr r="X1587" s="7"/>
        <tr r="X1591" s="7"/>
        <tr r="X1595" s="7"/>
        <tr r="X1599" s="7"/>
        <tr r="X1603" s="7"/>
        <tr r="X1607" s="7"/>
        <tr r="X1611" s="7"/>
        <tr r="X1778" s="7"/>
        <tr r="X1496" s="7"/>
        <tr r="X1500" s="7"/>
        <tr r="X1504" s="7"/>
        <tr r="X1508" s="7"/>
        <tr r="X1512" s="7"/>
        <tr r="X1516" s="7"/>
        <tr r="X1520" s="7"/>
        <tr r="X1524" s="7"/>
        <tr r="X1528" s="7"/>
        <tr r="X1532" s="7"/>
        <tr r="X1536" s="7"/>
        <tr r="X1540" s="7"/>
        <tr r="X1544" s="7"/>
        <tr r="X1548" s="7"/>
        <tr r="X1552" s="7"/>
        <tr r="X1556" s="7"/>
        <tr r="X1560" s="7"/>
        <tr r="X1564" s="7"/>
        <tr r="X1568" s="7"/>
        <tr r="X1572" s="7"/>
        <tr r="X1576" s="7"/>
        <tr r="X1580" s="7"/>
        <tr r="X1584" s="7"/>
        <tr r="X1588" s="7"/>
        <tr r="X1592" s="7"/>
        <tr r="X1596" s="7"/>
        <tr r="X1600" s="7"/>
        <tr r="X1604" s="7"/>
        <tr r="X1608" s="7"/>
        <tr r="X1612" s="7"/>
        <tr r="X1613" s="7"/>
        <tr r="X1615" s="7"/>
        <tr r="X1616" s="7"/>
        <tr r="X1617" s="7"/>
        <tr r="X1619" s="7"/>
        <tr r="X1620" s="7"/>
        <tr r="X1621" s="7"/>
        <tr r="X1623" s="7"/>
        <tr r="X1624" s="7"/>
        <tr r="X1625" s="7"/>
        <tr r="X1627" s="7"/>
        <tr r="X1628" s="7"/>
        <tr r="X1629" s="7"/>
        <tr r="X1631" s="7"/>
        <tr r="X1632" s="7"/>
        <tr r="X1633" s="7"/>
        <tr r="X1635" s="7"/>
        <tr r="X1636" s="7"/>
        <tr r="X1637" s="7"/>
        <tr r="X1639" s="7"/>
        <tr r="X1640" s="7"/>
        <tr r="X1641" s="7"/>
        <tr r="X1643" s="7"/>
        <tr r="X1644" s="7"/>
        <tr r="X1645" s="7"/>
        <tr r="X1647" s="7"/>
        <tr r="X1648" s="7"/>
        <tr r="X1649" s="7"/>
        <tr r="X1651" s="7"/>
        <tr r="X1652" s="7"/>
        <tr r="X1653" s="7"/>
        <tr r="X1655" s="7"/>
        <tr r="X1752" s="7"/>
        <tr r="X1760" s="7"/>
        <tr r="X1768" s="7"/>
        <tr r="X1489" s="7"/>
        <tr r="X1493" s="7"/>
        <tr r="X1497" s="7"/>
        <tr r="X1501" s="7"/>
        <tr r="X1505" s="7"/>
        <tr r="X1509" s="7"/>
        <tr r="X1513" s="7"/>
        <tr r="X1517" s="7"/>
        <tr r="X1521" s="7"/>
        <tr r="X1525" s="7"/>
        <tr r="X1529" s="7"/>
        <tr r="X1533" s="7"/>
        <tr r="X1537" s="7"/>
        <tr r="X1541" s="7"/>
        <tr r="X1545" s="7"/>
        <tr r="X1549" s="7"/>
        <tr r="X1553" s="7"/>
        <tr r="X1557" s="7"/>
        <tr r="X1561" s="7"/>
        <tr r="X1565" s="7"/>
        <tr r="X1569" s="7"/>
        <tr r="X1573" s="7"/>
        <tr r="X1577" s="7"/>
        <tr r="X1581" s="7"/>
        <tr r="X1585" s="7"/>
        <tr r="X1589" s="7"/>
        <tr r="X1593" s="7"/>
        <tr r="X1597" s="7"/>
        <tr r="X1601" s="7"/>
        <tr r="X1605" s="7"/>
        <tr r="X1609" s="7"/>
        <tr r="X1657" s="7"/>
        <tr r="X1674" s="7"/>
        <tr r="X1786" s="7"/>
        <tr r="X1661" s="7"/>
        <tr r="X1665" s="7"/>
        <tr r="X1669" s="7"/>
        <tr r="X1678" s="7"/>
        <tr r="X1682" s="7"/>
        <tr r="X1686" s="7"/>
        <tr r="X1690" s="7"/>
        <tr r="X1694" s="7"/>
        <tr r="X1698" s="7"/>
        <tr r="X1702" s="7"/>
        <tr r="X1706" s="7"/>
        <tr r="X1710" s="7"/>
        <tr r="X1714" s="7"/>
        <tr r="X1718" s="7"/>
        <tr r="X1722" s="7"/>
        <tr r="X1726" s="7"/>
        <tr r="X1730" s="7"/>
        <tr r="X1734" s="7"/>
        <tr r="X1738" s="7"/>
        <tr r="X1742" s="7"/>
        <tr r="X1746" s="7"/>
        <tr r="X1813" s="7"/>
        <tr r="X1614" s="7"/>
        <tr r="X1618" s="7"/>
        <tr r="X1622" s="7"/>
        <tr r="X1626" s="7"/>
        <tr r="X1630" s="7"/>
        <tr r="X1634" s="7"/>
        <tr r="X1638" s="7"/>
        <tr r="X1642" s="7"/>
        <tr r="X1646" s="7"/>
        <tr r="X1650" s="7"/>
        <tr r="X1654" s="7"/>
        <tr r="X1658" s="7"/>
        <tr r="X1662" s="7"/>
        <tr r="X1666" s="7"/>
        <tr r="X1670" s="7"/>
        <tr r="X1673" s="7"/>
        <tr r="X1793" s="7"/>
        <tr r="X1659" s="7"/>
        <tr r="X1663" s="7"/>
        <tr r="X1667" s="7"/>
        <tr r="X1671" s="7"/>
        <tr r="X1675" s="7"/>
        <tr r="X1679" s="7"/>
        <tr r="X1683" s="7"/>
        <tr r="X1687" s="7"/>
        <tr r="X1691" s="7"/>
        <tr r="X1695" s="7"/>
        <tr r="X1699" s="7"/>
        <tr r="X1703" s="7"/>
        <tr r="X1707" s="7"/>
        <tr r="X1711" s="7"/>
        <tr r="X1715" s="7"/>
        <tr r="X1719" s="7"/>
        <tr r="X1723" s="7"/>
        <tr r="X1727" s="7"/>
        <tr r="X1731" s="7"/>
        <tr r="X1735" s="7"/>
        <tr r="X1739" s="7"/>
        <tr r="X1743" s="7"/>
        <tr r="X1747" s="7"/>
        <tr r="X1801" s="7"/>
        <tr r="X1817" s="7"/>
        <tr r="X1672" s="7"/>
        <tr r="X1676" s="7"/>
        <tr r="X1680" s="7"/>
        <tr r="X1684" s="7"/>
        <tr r="X1688" s="7"/>
        <tr r="X1692" s="7"/>
        <tr r="X1696" s="7"/>
        <tr r="X1700" s="7"/>
        <tr r="X1704" s="7"/>
        <tr r="X1708" s="7"/>
        <tr r="X1712" s="7"/>
        <tr r="X1716" s="7"/>
        <tr r="X1720" s="7"/>
        <tr r="X1724" s="7"/>
        <tr r="X1728" s="7"/>
        <tr r="X1732" s="7"/>
        <tr r="X1736" s="7"/>
        <tr r="X1740" s="7"/>
        <tr r="X1744" s="7"/>
        <tr r="X1774" s="7"/>
        <tr r="X1782" s="7"/>
        <tr r="X1790" s="7"/>
        <tr r="X1805" s="7"/>
        <tr r="X1677" s="7"/>
        <tr r="X1681" s="7"/>
        <tr r="X1685" s="7"/>
        <tr r="X1689" s="7"/>
        <tr r="X1693" s="7"/>
        <tr r="X1697" s="7"/>
        <tr r="X1701" s="7"/>
        <tr r="X1705" s="7"/>
        <tr r="X1709" s="7"/>
        <tr r="X1713" s="7"/>
        <tr r="X1717" s="7"/>
        <tr r="X1721" s="7"/>
        <tr r="X1725" s="7"/>
        <tr r="X1729" s="7"/>
        <tr r="X1733" s="7"/>
        <tr r="X1737" s="7"/>
        <tr r="X1741" s="7"/>
        <tr r="X1745" s="7"/>
        <tr r="X1809" s="7"/>
        <tr r="X1749" s="7"/>
        <tr r="X1753" s="7"/>
        <tr r="X1757" s="7"/>
        <tr r="X1761" s="7"/>
        <tr r="X1765" s="7"/>
        <tr r="X1769" s="7"/>
        <tr r="X1773" s="7"/>
        <tr r="X1777" s="7"/>
        <tr r="X1781" s="7"/>
        <tr r="X1785" s="7"/>
        <tr r="X1789" s="7"/>
        <tr r="X1794" s="7"/>
        <tr r="X1798" s="7"/>
        <tr r="X1802" s="7"/>
        <tr r="X1806" s="7"/>
        <tr r="X1810" s="7"/>
        <tr r="X1814" s="7"/>
        <tr r="X1818" s="7"/>
        <tr r="X1826" s="7"/>
        <tr r="X1750" s="7"/>
        <tr r="X1754" s="7"/>
        <tr r="X1758" s="7"/>
        <tr r="X1762" s="7"/>
        <tr r="X1766" s="7"/>
        <tr r="X1770" s="7"/>
        <tr r="X1795" s="7"/>
        <tr r="X1751" s="7"/>
        <tr r="X1755" s="7"/>
        <tr r="X1759" s="7"/>
        <tr r="X1763" s="7"/>
        <tr r="X1767" s="7"/>
        <tr r="X1771" s="7"/>
        <tr r="X1822" s="7"/>
        <tr r="X1821" s="7"/>
        <tr r="X1825" s="7"/>
        <tr r="X1775" s="7"/>
        <tr r="X1779" s="7"/>
        <tr r="X1783" s="7"/>
        <tr r="X1787" s="7"/>
        <tr r="X1791" s="7"/>
        <tr r="X1776" s="7"/>
        <tr r="X1780" s="7"/>
        <tr r="X1784" s="7"/>
        <tr r="X1788" s="7"/>
        <tr r="X1792" s="7"/>
        <tr r="X1799" s="7"/>
        <tr r="X1803" s="7"/>
        <tr r="X1807" s="7"/>
        <tr r="X1811" s="7"/>
        <tr r="X1815" s="7"/>
        <tr r="X1819" s="7"/>
        <tr r="X1823" s="7"/>
        <tr r="X1827" s="7"/>
        <tr r="X1831" s="7"/>
        <tr r="X1796" s="7"/>
        <tr r="X1800" s="7"/>
        <tr r="X1804" s="7"/>
        <tr r="X1808" s="7"/>
        <tr r="X1812" s="7"/>
        <tr r="X1816" s="7"/>
        <tr r="X1820" s="7"/>
        <tr r="X1824" s="7"/>
        <tr r="X1828" s="7"/>
        <tr r="X1830" s="7"/>
        <tr r="X1835" s="7"/>
        <tr r="X1839" s="7"/>
        <tr r="X1843" s="7"/>
        <tr r="X1832" s="7"/>
        <tr r="X1836" s="7"/>
        <tr r="X1840" s="7"/>
        <tr r="X1844" s="7"/>
        <tr r="X1829" s="7"/>
        <tr r="X1833" s="7"/>
        <tr r="X1837" s="7"/>
        <tr r="X1841" s="7"/>
        <tr r="X1845" s="7"/>
        <tr r="X1849" s="7"/>
        <tr r="X1853" s="7"/>
        <tr r="X1857" s="7"/>
        <tr r="X1834" s="7"/>
        <tr r="X1838" s="7"/>
        <tr r="X1842" s="7"/>
        <tr r="X1848" s="7"/>
        <tr r="X1852" s="7"/>
        <tr r="X1856" s="7"/>
        <tr r="X1846" s="7"/>
        <tr r="X1850" s="7"/>
        <tr r="X1854" s="7"/>
        <tr r="X1858" s="7"/>
        <tr r="X1847" s="7"/>
        <tr r="X1851" s="7"/>
        <tr r="X1855" s="7"/>
        <tr r="X1859" s="7"/>
        <tr r="X1861" s="7"/>
        <tr r="X1865" s="7"/>
        <tr r="X1869" s="7"/>
        <tr r="X1873" s="7"/>
        <tr r="X1877" s="7"/>
        <tr r="X1881" s="7"/>
        <tr r="X1862" s="7"/>
        <tr r="X1866" s="7"/>
        <tr r="X1870" s="7"/>
        <tr r="X1874" s="7"/>
        <tr r="X1878" s="7"/>
        <tr r="X1863" s="7"/>
        <tr r="X1867" s="7"/>
        <tr r="X1871" s="7"/>
        <tr r="X1875" s="7"/>
        <tr r="X1879" s="7"/>
        <tr r="X1860" s="7"/>
        <tr r="X1864" s="7"/>
        <tr r="X1868" s="7"/>
        <tr r="X1872" s="7"/>
        <tr r="X1876" s="7"/>
        <tr r="X1880" s="7"/>
      </tp>
    </main>
    <main first="rtdsrv.662c26bade854d00aebc6010f8a2e03a">
      <tp t="s">
        <v/>
        <stp/>
        <stp>Market</stp>
        <stp>STOCK</stp>
        <stp/>
        <stp>年初来高値</stp>
        <tr r="Y1879" s="7"/>
        <tr r="Y1855" s="7"/>
        <tr r="Y1851" s="7"/>
        <tr r="Y1833" s="7"/>
        <tr r="Y1825" s="7"/>
        <tr r="Y1809" s="7"/>
        <tr r="Y1869" s="7"/>
        <tr r="Y1872" s="7"/>
        <tr r="Y1868" s="7"/>
        <tr r="Y1867" s="7"/>
        <tr r="Y1856" s="7"/>
        <tr r="Y1862" s="7"/>
        <tr r="Y1830" s="7"/>
        <tr r="Y1837" s="7"/>
        <tr r="Y1829" s="7"/>
        <tr r="Y1874" s="7"/>
        <tr r="Y1858" s="7"/>
        <tr r="Y1813" s="7"/>
        <tr r="Y1820" s="7"/>
        <tr r="Y1804" s="7"/>
        <tr r="Y1831" s="7"/>
        <tr r="Y1814" s="7"/>
        <tr r="Y1798" s="7"/>
        <tr r="Y1793" s="7"/>
        <tr r="Y1789" s="7"/>
        <tr r="Y1836" s="7"/>
        <tr r="Y1827" s="7"/>
        <tr r="Y1811" s="7"/>
        <tr r="Y1788" s="7"/>
        <tr r="Y1778" s="7"/>
        <tr r="Y1768" s="7"/>
        <tr r="Y1752" s="7"/>
        <tr r="Y1787" s="7"/>
        <tr r="Y1771" s="7"/>
        <tr r="Y1755" s="7"/>
        <tr r="Y1770" s="7"/>
        <tr r="Y1754" s="7"/>
        <tr r="Y1734" s="7"/>
        <tr r="Y1718" s="7"/>
        <tr r="Y1702" s="7"/>
        <tr r="Y1686" s="7"/>
        <tr r="Y1745" s="7"/>
        <tr r="Y1729" s="7"/>
        <tr r="Y1713" s="7"/>
        <tr r="Y1697" s="7"/>
        <tr r="Y1681" s="7"/>
        <tr r="Y1765" s="7"/>
        <tr r="Y1749" s="7"/>
        <tr r="Y1732" s="7"/>
        <tr r="Y1716" s="7"/>
        <tr r="Y1700" s="7"/>
        <tr r="Y1684" s="7"/>
        <tr r="Y1664" s="7"/>
        <tr r="Y1747" s="7"/>
        <tr r="Y1731" s="7"/>
        <tr r="Y1715" s="7"/>
        <tr r="Y1699" s="7"/>
        <tr r="Y1683" s="7"/>
        <tr r="Y1663" s="7"/>
        <tr r="Y1655" s="7"/>
        <tr r="Y1639" s="7"/>
        <tr r="Y1623" s="7"/>
        <tr r="Y1662" s="7"/>
        <tr r="Y1610" s="7"/>
        <tr r="Y1594" s="7"/>
        <tr r="Y1578" s="7"/>
        <tr r="Y1562" s="7"/>
        <tr r="Y1546" s="7"/>
        <tr r="Y1530" s="7"/>
        <tr r="Y1514" s="7"/>
        <tr r="Y1498" s="7"/>
        <tr r="Y1490" s="7"/>
        <tr r="Y1601" s="7"/>
        <tr r="Y1585" s="7"/>
        <tr r="Y1569" s="7"/>
        <tr r="Y1553" s="7"/>
        <tr r="Y1537" s="7"/>
        <tr r="Y1521" s="7"/>
        <tr r="Y1505" s="7"/>
        <tr r="Y1665" s="7"/>
        <tr r="Y1653" s="7"/>
        <tr r="Y1646" s="7"/>
        <tr r="Y1644" s="7"/>
        <tr r="Y1637" s="7"/>
        <tr r="Y1630" s="7"/>
        <tr r="Y1628" s="7"/>
        <tr r="Y1621" s="7"/>
        <tr r="Y1614" s="7"/>
        <tr r="Y1612" s="7"/>
        <tr r="Y1608" s="7"/>
        <tr r="Y1592" s="7"/>
        <tr r="Y1576" s="7"/>
        <tr r="Y1560" s="7"/>
        <tr r="Y1544" s="7"/>
        <tr r="Y1528" s="7"/>
        <tr r="Y1512" s="7"/>
        <tr r="Y1489" s="7"/>
        <tr r="Y1482" s="7"/>
        <tr r="Y1466" s="7"/>
        <tr r="Y1450" s="7"/>
        <tr r="Y1481" s="7"/>
        <tr r="Y1465" s="7"/>
        <tr r="Y1449" s="7"/>
        <tr r="Y1476" s="7"/>
        <tr r="Y1460" s="7"/>
        <tr r="Y1444" s="7"/>
        <tr r="Y1436" s="7"/>
        <tr r="Y1603" s="7"/>
        <tr r="Y1587" s="7"/>
        <tr r="Y1571" s="7"/>
        <tr r="Y1555" s="7"/>
        <tr r="Y1531" s="7"/>
        <tr r="Y1499" s="7"/>
        <tr r="Y1417" s="7"/>
        <tr r="Y1401" s="7"/>
        <tr r="Y1385" s="7"/>
        <tr r="Y1369" s="7"/>
        <tr r="Y1353" s="7"/>
        <tr r="Y1483" s="7"/>
        <tr r="Y1467" s="7"/>
        <tr r="Y1451" s="7"/>
        <tr r="Y1439" s="7"/>
        <tr r="Y1433" s="7"/>
        <tr r="Y1431" s="7"/>
        <tr r="Y1426" s="7"/>
        <tr r="Y1408" s="7"/>
        <tr r="Y1392" s="7"/>
        <tr r="Y1376" s="7"/>
        <tr r="Y1360" s="7"/>
        <tr r="Y1344" s="7"/>
        <tr r="Y1519" s="7"/>
        <tr r="Y1415" s="7"/>
        <tr r="Y1399" s="7"/>
        <tr r="Y1383" s="7"/>
        <tr r="Y1367" s="7"/>
        <tr r="Y1351" s="7"/>
        <tr r="Y1418" s="7"/>
        <tr r="Y1402" s="7"/>
        <tr r="Y1386" s="7"/>
        <tr r="Y1370" s="7"/>
        <tr r="Y1354" s="7"/>
        <tr r="Y1329" s="7"/>
        <tr r="Y1313" s="7"/>
        <tr r="Y1297" s="7"/>
        <tr r="Y1281" s="7"/>
        <tr r="Y1265" s="7"/>
        <tr r="Y1328" s="7"/>
        <tr r="Y1312" s="7"/>
        <tr r="Y1296" s="7"/>
        <tr r="Y1280" s="7"/>
        <tr r="Y1260" s="7"/>
        <tr r="Y1335" s="7"/>
        <tr r="Y1319" s="7"/>
        <tr r="Y1303" s="7"/>
        <tr r="Y1287" s="7"/>
        <tr r="Y1346" s="7"/>
        <tr r="Y1330" s="7"/>
        <tr r="Y1314" s="7"/>
        <tr r="Y1298" s="7"/>
        <tr r="Y1282" s="7"/>
        <tr r="Y1263" s="7"/>
        <tr r="Y1243" s="7"/>
        <tr r="Y1227" s="7"/>
        <tr r="Y1211" s="7"/>
        <tr r="Y1195" s="7"/>
        <tr r="Y1275" s="7"/>
        <tr r="Y1242" s="7"/>
        <tr r="Y1226" s="7"/>
        <tr r="Y1210" s="7"/>
        <tr r="Y1194" s="7"/>
        <tr r="Y1257" s="7"/>
        <tr r="Y1253" s="7"/>
        <tr r="Y1237" s="7"/>
        <tr r="Y1221" s="7"/>
        <tr r="Y1205" s="7"/>
        <tr r="Y1252" s="7"/>
        <tr r="Y1236" s="7"/>
        <tr r="Y1220" s="7"/>
        <tr r="Y1204" s="7"/>
        <tr r="Y1852" s="7"/>
        <tr r="Y1857" s="7"/>
        <tr r="Y1850" s="7"/>
        <tr r="Y1873" s="7"/>
        <tr r="Y1871" s="7"/>
        <tr r="Y1860" s="7"/>
        <tr r="Y1859" s="7"/>
        <tr r="Y1847" s="7"/>
        <tr r="Y1835" s="7"/>
        <tr r="Y1870" s="7"/>
        <tr r="Y1838" s="7"/>
        <tr r="Y1834" s="7"/>
        <tr r="Y1849" s="7"/>
        <tr r="Y1841" s="7"/>
        <tr r="Y1817" s="7"/>
        <tr r="Y1801" s="7"/>
        <tr r="Y1866" s="7"/>
        <tr r="Y1824" s="7"/>
        <tr r="Y1808" s="7"/>
        <tr r="Y1818" s="7"/>
        <tr r="Y1802" s="7"/>
        <tr r="Y1777" s="7"/>
        <tr r="Y1844" s="7"/>
        <tr r="Y1815" s="7"/>
        <tr r="Y1799" s="7"/>
        <tr r="Y1792" s="7"/>
        <tr r="Y1776" s="7"/>
        <tr r="Y1832" s="7"/>
        <tr r="Y1796" s="7"/>
        <tr r="Y1782" s="7"/>
        <tr r="Y1772" s="7"/>
        <tr r="Y1756" s="7"/>
        <tr r="Y1791" s="7"/>
        <tr r="Y1775" s="7"/>
        <tr r="Y1759" s="7"/>
        <tr r="Y1758" s="7"/>
        <tr r="Y1738" s="7"/>
        <tr r="Y1722" s="7"/>
        <tr r="Y1706" s="7"/>
        <tr r="Y1690" s="7"/>
        <tr r="Y1733" s="7"/>
        <tr r="Y1717" s="7"/>
        <tr r="Y1701" s="7"/>
        <tr r="Y1685" s="7"/>
        <tr r="Y1769" s="7"/>
        <tr r="Y1753" s="7"/>
        <tr r="Y1736" s="7"/>
        <tr r="Y1720" s="7"/>
        <tr r="Y1704" s="7"/>
        <tr r="Y1688" s="7"/>
        <tr r="Y1668" s="7"/>
        <tr r="Y1735" s="7"/>
        <tr r="Y1719" s="7"/>
        <tr r="Y1703" s="7"/>
        <tr r="Y1687" s="7"/>
        <tr r="Y1667" s="7"/>
        <tr r="Y1643" s="7"/>
        <tr r="Y1627" s="7"/>
        <tr r="Y1666" s="7"/>
        <tr r="Y1598" s="7"/>
        <tr r="Y1582" s="7"/>
        <tr r="Y1566" s="7"/>
        <tr r="Y1550" s="7"/>
        <tr r="Y1534" s="7"/>
        <tr r="Y1518" s="7"/>
        <tr r="Y1502" s="7"/>
        <tr r="Y1494" s="7"/>
        <tr r="Y1605" s="7"/>
        <tr r="Y1589" s="7"/>
        <tr r="Y1573" s="7"/>
        <tr r="Y1557" s="7"/>
        <tr r="Y1541" s="7"/>
        <tr r="Y1525" s="7"/>
        <tr r="Y1509" s="7"/>
        <tr r="Y1669" s="7"/>
        <tr r="Y1656" s="7"/>
        <tr r="Y1649" s="7"/>
        <tr r="Y1642" s="7"/>
        <tr r="Y1640" s="7"/>
        <tr r="Y1633" s="7"/>
        <tr r="Y1626" s="7"/>
        <tr r="Y1624" s="7"/>
        <tr r="Y1617" s="7"/>
        <tr r="Y1596" s="7"/>
        <tr r="Y1580" s="7"/>
        <tr r="Y1564" s="7"/>
        <tr r="Y1548" s="7"/>
        <tr r="Y1532" s="7"/>
        <tr r="Y1516" s="7"/>
        <tr r="Y1500" s="7"/>
        <tr r="Y1486" s="7"/>
        <tr r="Y1470" s="7"/>
        <tr r="Y1454" s="7"/>
        <tr r="Y1485" s="7"/>
        <tr r="Y1469" s="7"/>
        <tr r="Y1453" s="7"/>
        <tr r="Y1480" s="7"/>
        <tr r="Y1464" s="7"/>
        <tr r="Y1448" s="7"/>
        <tr r="Y1607" s="7"/>
        <tr r="Y1591" s="7"/>
        <tr r="Y1575" s="7"/>
        <tr r="Y1559" s="7"/>
        <tr r="Y1539" s="7"/>
        <tr r="Y1507" s="7"/>
        <tr r="Y1421" s="7"/>
        <tr r="Y1405" s="7"/>
        <tr r="Y1389" s="7"/>
        <tr r="Y1373" s="7"/>
        <tr r="Y1357" s="7"/>
        <tr r="Y1341" s="7"/>
        <tr r="Y1487" s="7"/>
        <tr r="Y1471" s="7"/>
        <tr r="Y1455" s="7"/>
        <tr r="Y1438" s="7"/>
        <tr r="Y1429" s="7"/>
        <tr r="Y1427" s="7"/>
        <tr r="Y1416" s="7"/>
        <tr r="Y1412" s="7"/>
        <tr r="Y1396" s="7"/>
        <tr r="Y1380" s="7"/>
        <tr r="Y1364" s="7"/>
        <tr r="Y1348" s="7"/>
        <tr r="Y1527" s="7"/>
        <tr r="Y1419" s="7"/>
        <tr r="Y1403" s="7"/>
        <tr r="Y1387" s="7"/>
        <tr r="Y1371" s="7"/>
        <tr r="Y1355" s="7"/>
        <tr r="Y1422" s="7"/>
        <tr r="Y1406" s="7"/>
        <tr r="Y1390" s="7"/>
        <tr r="Y1374" s="7"/>
        <tr r="Y1358" s="7"/>
        <tr r="Y1333" s="7"/>
        <tr r="Y1317" s="7"/>
        <tr r="Y1301" s="7"/>
        <tr r="Y1285" s="7"/>
        <tr r="Y1269" s="7"/>
        <tr r="Y1332" s="7"/>
        <tr r="Y1316" s="7"/>
        <tr r="Y1300" s="7"/>
        <tr r="Y1284" s="7"/>
        <tr r="Y1264" s="7"/>
        <tr r="Y1323" s="7"/>
        <tr r="Y1307" s="7"/>
        <tr r="Y1291" s="7"/>
        <tr r="Y1334" s="7"/>
        <tr r="Y1318" s="7"/>
        <tr r="Y1302" s="7"/>
        <tr r="Y1286" s="7"/>
        <tr r="Y1270" s="7"/>
        <tr r="Y1267" s="7"/>
        <tr r="Y1247" s="7"/>
        <tr r="Y1231" s="7"/>
        <tr r="Y1215" s="7"/>
        <tr r="Y1199" s="7"/>
        <tr r="Y1246" s="7"/>
        <tr r="Y1230" s="7"/>
        <tr r="Y1214" s="7"/>
        <tr r="Y1198" s="7"/>
        <tr r="Y1258" s="7"/>
        <tr r="Y1241" s="7"/>
        <tr r="Y1225" s="7"/>
        <tr r="Y1209" s="7"/>
        <tr r="Y1193" s="7"/>
        <tr r="Y1262" s="7"/>
        <tr r="Y1240" s="7"/>
        <tr r="Y1224" s="7"/>
        <tr r="Y1208" s="7"/>
        <tr r="Y1192" s="7"/>
        <tr r="Y1863" s="7"/>
        <tr r="Y1877" s="7"/>
        <tr r="Y1861" s="7"/>
        <tr r="Y1880" s="7"/>
        <tr r="Y1876" s="7"/>
        <tr r="Y1864" s="7"/>
        <tr r="Y1875" s="7"/>
        <tr r="Y1848" s="7"/>
        <tr r="Y1839" s="7"/>
        <tr r="Y1878" s="7"/>
        <tr r="Y1853" s="7"/>
        <tr r="Y1821" s="7"/>
        <tr r="Y1805" s="7"/>
        <tr r="Y1828" s="7"/>
        <tr r="Y1812" s="7"/>
        <tr r="Y1822" s="7"/>
        <tr r="Y1806" s="7"/>
        <tr r="Y1781" s="7"/>
        <tr r="Y1819" s="7"/>
        <tr r="Y1803" s="7"/>
        <tr r="Y1780" s="7"/>
        <tr r="Y1845" s="7"/>
        <tr r="Y1786" s="7"/>
        <tr r="Y1760" s="7"/>
        <tr r="Y1795" s="7"/>
        <tr r="Y1779" s="7"/>
        <tr r="Y1763" s="7"/>
        <tr r="Y1846" s="7"/>
        <tr r="Y1762" s="7"/>
        <tr r="Y1742" s="7"/>
        <tr r="Y1726" s="7"/>
        <tr r="Y1710" s="7"/>
        <tr r="Y1694" s="7"/>
        <tr r="Y1678" s="7"/>
        <tr r="Y1737" s="7"/>
        <tr r="Y1721" s="7"/>
        <tr r="Y1705" s="7"/>
        <tr r="Y1689" s="7"/>
        <tr r="Y1773" s="7"/>
        <tr r="Y1757" s="7"/>
        <tr r="Y1740" s="7"/>
        <tr r="Y1724" s="7"/>
        <tr r="Y1708" s="7"/>
        <tr r="Y1692" s="7"/>
        <tr r="Y1676" s="7"/>
        <tr r="Y1672" s="7"/>
        <tr r="Y1739" s="7"/>
        <tr r="Y1723" s="7"/>
        <tr r="Y1707" s="7"/>
        <tr r="Y1691" s="7"/>
        <tr r="Y1675" s="7"/>
        <tr r="Y1671" s="7"/>
        <tr r="Y1659" s="7"/>
        <tr r="Y1647" s="7"/>
        <tr r="Y1631" s="7"/>
        <tr r="Y1615" s="7"/>
        <tr r="Y1674" s="7"/>
        <tr r="Y1670" s="7"/>
        <tr r="Y1602" s="7"/>
        <tr r="Y1586" s="7"/>
        <tr r="Y1570" s="7"/>
        <tr r="Y1554" s="7"/>
        <tr r="Y1538" s="7"/>
        <tr r="Y1522" s="7"/>
        <tr r="Y1506" s="7"/>
        <tr r="Y1609" s="7"/>
        <tr r="Y1593" s="7"/>
        <tr r="Y1577" s="7"/>
        <tr r="Y1561" s="7"/>
        <tr r="Y1545" s="7"/>
        <tr r="Y1529" s="7"/>
        <tr r="Y1513" s="7"/>
        <tr r="Y1497" s="7"/>
        <tr r="Y1654" s="7"/>
        <tr r="Y1652" s="7"/>
        <tr r="Y1645" s="7"/>
        <tr r="Y1638" s="7"/>
        <tr r="Y1636" s="7"/>
        <tr r="Y1629" s="7"/>
        <tr r="Y1622" s="7"/>
        <tr r="Y1620" s="7"/>
        <tr r="Y1613" s="7"/>
        <tr r="Y1600" s="7"/>
        <tr r="Y1584" s="7"/>
        <tr r="Y1568" s="7"/>
        <tr r="Y1552" s="7"/>
        <tr r="Y1536" s="7"/>
        <tr r="Y1520" s="7"/>
        <tr r="Y1504" s="7"/>
        <tr r="Y1474" s="7"/>
        <tr r="Y1458" s="7"/>
        <tr r="Y1442" s="7"/>
        <tr r="Y1473" s="7"/>
        <tr r="Y1457" s="7"/>
        <tr r="Y1441" s="7"/>
        <tr r="Y1484" s="7"/>
        <tr r="Y1468" s="7"/>
        <tr r="Y1452" s="7"/>
        <tr r="Y1428" s="7"/>
        <tr r="Y1611" s="7"/>
        <tr r="Y1595" s="7"/>
        <tr r="Y1579" s="7"/>
        <tr r="Y1563" s="7"/>
        <tr r="Y1547" s="7"/>
        <tr r="Y1515" s="7"/>
        <tr r="Y1409" s="7"/>
        <tr r="Y1393" s="7"/>
        <tr r="Y1377" s="7"/>
        <tr r="Y1361" s="7"/>
        <tr r="Y1345" s="7"/>
        <tr r="Y1475" s="7"/>
        <tr r="Y1459" s="7"/>
        <tr r="Y1443" s="7"/>
        <tr r="Y1434" s="7"/>
        <tr r="Y1425" s="7"/>
        <tr r="Y1420" s="7"/>
        <tr r="Y1400" s="7"/>
        <tr r="Y1384" s="7"/>
        <tr r="Y1368" s="7"/>
        <tr r="Y1352" s="7"/>
        <tr r="Y1535" s="7"/>
        <tr r="Y1503" s="7"/>
        <tr r="Y1423" s="7"/>
        <tr r="Y1407" s="7"/>
        <tr r="Y1391" s="7"/>
        <tr r="Y1375" s="7"/>
        <tr r="Y1359" s="7"/>
        <tr r="Y1410" s="7"/>
        <tr r="Y1394" s="7"/>
        <tr r="Y1378" s="7"/>
        <tr r="Y1362" s="7"/>
        <tr r="Y1339" s="7"/>
        <tr r="Y1337" s="7"/>
        <tr r="Y1321" s="7"/>
        <tr r="Y1305" s="7"/>
        <tr r="Y1289" s="7"/>
        <tr r="Y1273" s="7"/>
        <tr r="Y1336" s="7"/>
        <tr r="Y1320" s="7"/>
        <tr r="Y1304" s="7"/>
        <tr r="Y1288" s="7"/>
        <tr r="Y1268" s="7"/>
        <tr r="Y1327" s="7"/>
        <tr r="Y1311" s="7"/>
        <tr r="Y1295" s="7"/>
        <tr r="Y1279" s="7"/>
        <tr r="Y1338" s="7"/>
        <tr r="Y1322" s="7"/>
        <tr r="Y1306" s="7"/>
        <tr r="Y1290" s="7"/>
        <tr r="Y1274" s="7"/>
        <tr r="Y1251" s="7"/>
        <tr r="Y1235" s="7"/>
        <tr r="Y1219" s="7"/>
        <tr r="Y1203" s="7"/>
        <tr r="Y1250" s="7"/>
        <tr r="Y1234" s="7"/>
        <tr r="Y1218" s="7"/>
        <tr r="Y1202" s="7"/>
        <tr r="Y1245" s="7"/>
        <tr r="Y1229" s="7"/>
        <tr r="Y1213" s="7"/>
        <tr r="Y1197" s="7"/>
        <tr r="Y1266" s="7"/>
        <tr r="Y1244" s="7"/>
        <tr r="Y1228" s="7"/>
        <tr r="Y1212" s="7"/>
        <tr r="Y1196" s="7"/>
        <tr r="Y1881" s="7"/>
        <tr r="Y1865" s="7"/>
        <tr r="Y1843" s="7"/>
        <tr r="Y1842" s="7"/>
        <tr r="Y1797" s="7"/>
        <tr r="Y1816" s="7"/>
        <tr r="Y1800" s="7"/>
        <tr r="Y1826" s="7"/>
        <tr r="Y1810" s="7"/>
        <tr r="Y1785" s="7"/>
        <tr r="Y1854" s="7"/>
        <tr r="Y1823" s="7"/>
        <tr r="Y1807" s="7"/>
        <tr r="Y1784" s="7"/>
        <tr r="Y1790" s="7"/>
        <tr r="Y1764" s="7"/>
        <tr r="Y1783" s="7"/>
        <tr r="Y1767" s="7"/>
        <tr r="Y1751" s="7"/>
        <tr r="Y1794" s="7"/>
        <tr r="Y1766" s="7"/>
        <tr r="Y1750" s="7"/>
        <tr r="Y1746" s="7"/>
        <tr r="Y1730" s="7"/>
        <tr r="Y1714" s="7"/>
        <tr r="Y1698" s="7"/>
        <tr r="Y1682" s="7"/>
        <tr r="Y1774" s="7"/>
        <tr r="Y1741" s="7"/>
        <tr r="Y1725" s="7"/>
        <tr r="Y1709" s="7"/>
        <tr r="Y1693" s="7"/>
        <tr r="Y1677" s="7"/>
        <tr r="Y1673" s="7"/>
        <tr r="Y1840" s="7"/>
        <tr r="Y1761" s="7"/>
        <tr r="Y1748" s="7"/>
        <tr r="Y1744" s="7"/>
        <tr r="Y1728" s="7"/>
        <tr r="Y1712" s="7"/>
        <tr r="Y1696" s="7"/>
        <tr r="Y1680" s="7"/>
        <tr r="Y1660" s="7"/>
        <tr r="Y1743" s="7"/>
        <tr r="Y1727" s="7"/>
        <tr r="Y1711" s="7"/>
        <tr r="Y1695" s="7"/>
        <tr r="Y1679" s="7"/>
        <tr r="Y1651" s="7"/>
        <tr r="Y1635" s="7"/>
        <tr r="Y1619" s="7"/>
        <tr r="Y1606" s="7"/>
        <tr r="Y1590" s="7"/>
        <tr r="Y1574" s="7"/>
        <tr r="Y1558" s="7"/>
        <tr r="Y1542" s="7"/>
        <tr r="Y1526" s="7"/>
        <tr r="Y1510" s="7"/>
        <tr r="Y1657" s="7"/>
        <tr r="Y1597" s="7"/>
        <tr r="Y1581" s="7"/>
        <tr r="Y1565" s="7"/>
        <tr r="Y1549" s="7"/>
        <tr r="Y1533" s="7"/>
        <tr r="Y1517" s="7"/>
        <tr r="Y1501" s="7"/>
        <tr r="Y1661" s="7"/>
        <tr r="Y1658" s="7"/>
        <tr r="Y1650" s="7"/>
        <tr r="Y1648" s="7"/>
        <tr r="Y1641" s="7"/>
        <tr r="Y1634" s="7"/>
        <tr r="Y1632" s="7"/>
        <tr r="Y1625" s="7"/>
        <tr r="Y1618" s="7"/>
        <tr r="Y1616" s="7"/>
        <tr r="Y1604" s="7"/>
        <tr r="Y1588" s="7"/>
        <tr r="Y1572" s="7"/>
        <tr r="Y1556" s="7"/>
        <tr r="Y1540" s="7"/>
        <tr r="Y1524" s="7"/>
        <tr r="Y1508" s="7"/>
        <tr r="Y1493" s="7"/>
        <tr r="Y1492" s="7"/>
        <tr r="Y1491" s="7"/>
        <tr r="Y1478" s="7"/>
        <tr r="Y1462" s="7"/>
        <tr r="Y1446" s="7"/>
        <tr r="Y1477" s="7"/>
        <tr r="Y1461" s="7"/>
        <tr r="Y1445" s="7"/>
        <tr r="Y1495" s="7"/>
        <tr r="Y1488" s="7"/>
        <tr r="Y1472" s="7"/>
        <tr r="Y1456" s="7"/>
        <tr r="Y1440" s="7"/>
        <tr r="Y1432" s="7"/>
        <tr r="Y1599" s="7"/>
        <tr r="Y1583" s="7"/>
        <tr r="Y1567" s="7"/>
        <tr r="Y1551" s="7"/>
        <tr r="Y1523" s="7"/>
        <tr r="Y1413" s="7"/>
        <tr r="Y1397" s="7"/>
        <tr r="Y1381" s="7"/>
        <tr r="Y1365" s="7"/>
        <tr r="Y1349" s="7"/>
        <tr r="Y1496" s="7"/>
        <tr r="Y1479" s="7"/>
        <tr r="Y1463" s="7"/>
        <tr r="Y1447" s="7"/>
        <tr r="Y1437" s="7"/>
        <tr r="Y1435" s="7"/>
        <tr r="Y1430" s="7"/>
        <tr r="Y1424" s="7"/>
        <tr r="Y1404" s="7"/>
        <tr r="Y1388" s="7"/>
        <tr r="Y1372" s="7"/>
        <tr r="Y1356" s="7"/>
        <tr r="Y1340" s="7"/>
        <tr r="Y1543" s="7"/>
        <tr r="Y1511" s="7"/>
        <tr r="Y1411" s="7"/>
        <tr r="Y1395" s="7"/>
        <tr r="Y1379" s="7"/>
        <tr r="Y1363" s="7"/>
        <tr r="Y1347" s="7"/>
        <tr r="Y1414" s="7"/>
        <tr r="Y1398" s="7"/>
        <tr r="Y1382" s="7"/>
        <tr r="Y1366" s="7"/>
        <tr r="Y1350" s="7"/>
        <tr r="Y1343" s="7"/>
        <tr r="Y1325" s="7"/>
        <tr r="Y1309" s="7"/>
        <tr r="Y1293" s="7"/>
        <tr r="Y1277" s="7"/>
        <tr r="Y1261" s="7"/>
        <tr r="Y1324" s="7"/>
        <tr r="Y1308" s="7"/>
        <tr r="Y1292" s="7"/>
        <tr r="Y1276" s="7"/>
        <tr r="Y1272" s="7"/>
        <tr r="Y1256" s="7"/>
        <tr r="Y1331" s="7"/>
        <tr r="Y1315" s="7"/>
        <tr r="Y1299" s="7"/>
        <tr r="Y1283" s="7"/>
        <tr r="Y1342" s="7"/>
        <tr r="Y1326" s="7"/>
        <tr r="Y1310" s="7"/>
        <tr r="Y1294" s="7"/>
        <tr r="Y1278" s="7"/>
        <tr r="Y1259" s="7"/>
        <tr r="Y1255" s="7"/>
        <tr r="Y1239" s="7"/>
        <tr r="Y1223" s="7"/>
        <tr r="Y1207" s="7"/>
        <tr r="Y1271" s="7"/>
        <tr r="Y1254" s="7"/>
        <tr r="Y1238" s="7"/>
        <tr r="Y1222" s="7"/>
        <tr r="Y1206" s="7"/>
        <tr r="Y1249" s="7"/>
        <tr r="Y1233" s="7"/>
        <tr r="Y1217" s="7"/>
        <tr r="Y1201" s="7"/>
        <tr r="Y1248" s="7"/>
        <tr r="Y1232" s="7"/>
        <tr r="Y1216" s="7"/>
        <tr r="Y1200" s="7"/>
        <tr r="Y914" s="7"/>
      </tp>
    </main>
    <main first="rtdsrv.662c26bade854d00aebc6010f8a2e03a">
      <tp t="s">
        <v>15:00:00</v>
        <stp/>
        <stp>Market</stp>
        <stp>STOCK</stp>
        <stp>86980.T</stp>
        <stp>現在値詳細時刻</stp>
        <tr r="D1036" s="7"/>
      </tp>
      <tp t="s">
        <v>15:00:00</v>
        <stp/>
        <stp>Market</stp>
        <stp>STOCK</stp>
        <stp>86970.T</stp>
        <stp>現在値詳細時刻</stp>
        <tr r="D1035" s="7"/>
      </tp>
      <tp t="s">
        <v>15:00:00</v>
        <stp/>
        <stp>Market</stp>
        <stp>STOCK</stp>
        <stp>86090.T</stp>
        <stp>現在値詳細時刻</stp>
        <tr r="D1027" s="7"/>
      </tp>
      <tp t="s">
        <v>15:00:00</v>
        <stp/>
        <stp>Market</stp>
        <stp>STOCK</stp>
        <stp>86010.T</stp>
        <stp>現在値詳細時刻</stp>
        <tr r="D1025" s="7"/>
      </tp>
      <tp t="s">
        <v>15:00:00</v>
        <stp/>
        <stp>Market</stp>
        <stp>STOCK</stp>
        <stp>86040.T</stp>
        <stp>現在値詳細時刻</stp>
        <tr r="D1026" s="7"/>
      </tp>
      <tp t="s">
        <v>15:00:00</v>
        <stp/>
        <stp>Market</stp>
        <stp>STOCK</stp>
        <stp>86130.T</stp>
        <stp>現在値詳細時刻</stp>
        <tr r="D1028" s="7"/>
      </tp>
      <tp t="s">
        <v>15:00:00</v>
        <stp/>
        <stp>Market</stp>
        <stp>STOCK</stp>
        <stp>86160.T</stp>
        <stp>現在値詳細時刻</stp>
        <tr r="D1030" s="7"/>
      </tp>
      <tp t="s">
        <v>15:00:00</v>
        <stp/>
        <stp>Market</stp>
        <stp>STOCK</stp>
        <stp>86170.T</stp>
        <stp>現在値詳細時刻</stp>
        <tr r="D1031" s="7"/>
      </tp>
      <tp t="s">
        <v>15:00:00</v>
        <stp/>
        <stp>Market</stp>
        <stp>STOCK</stp>
        <stp>86140.T</stp>
        <stp>現在値詳細時刻</stp>
        <tr r="D1029" s="7"/>
      </tp>
      <tp t="s">
        <v>15:00:00</v>
        <stp/>
        <stp>Market</stp>
        <stp>STOCK</stp>
        <stp>86280.T</stp>
        <stp>現在値詳細時刻</stp>
        <tr r="D1034" s="7"/>
      </tp>
      <tp t="s">
        <v>15:00:00</v>
        <stp/>
        <stp>Market</stp>
        <stp>STOCK</stp>
        <stp>86220.T</stp>
        <stp>現在値詳細時刻</stp>
        <tr r="D1032" s="7"/>
      </tp>
      <tp t="s">
        <v>15:00:00</v>
        <stp/>
        <stp>Market</stp>
        <stp>STOCK</stp>
        <stp>86240.T</stp>
        <stp>現在値詳細時刻</stp>
        <tr r="D1033" s="7"/>
      </tp>
      <tp t="s">
        <v>表示銘柄数超過</v>
        <stp/>
        <stp>Market</stp>
        <stp>STOCK</stp>
        <stp>87890.T</stp>
        <stp>現在値詳細時刻</stp>
        <tr r="D1048" s="7"/>
      </tp>
      <tp t="s">
        <v>表示銘柄数超過</v>
        <stp/>
        <stp>Market</stp>
        <stp>STOCK</stp>
        <stp>87830.T</stp>
        <stp>現在値詳細時刻</stp>
        <tr r="D1047" s="7"/>
      </tp>
      <tp t="s">
        <v>表示銘柄数超過</v>
        <stp/>
        <stp>Market</stp>
        <stp>STOCK</stp>
        <stp>87930.T</stp>
        <stp>現在値詳細時刻</stp>
        <tr r="D1049" s="7"/>
      </tp>
      <tp t="s">
        <v>15:00:00</v>
        <stp/>
        <stp>Market</stp>
        <stp>STOCK</stp>
        <stp>87080.T</stp>
        <stp>現在値詳細時刻</stp>
        <tr r="D1039" s="7"/>
      </tp>
      <tp t="s">
        <v>15:00:00</v>
        <stp/>
        <stp>Market</stp>
        <stp>STOCK</stp>
        <stp>87060.T</stp>
        <stp>現在値詳細時刻</stp>
        <tr r="D1038" s="7"/>
      </tp>
      <tp t="s">
        <v>15:00:00</v>
        <stp/>
        <stp>Market</stp>
        <stp>STOCK</stp>
        <stp>87050.T</stp>
        <stp>現在値詳細時刻</stp>
        <tr r="D1037" s="7"/>
      </tp>
      <tp t="s">
        <v>15:00:00</v>
        <stp/>
        <stp>Market</stp>
        <stp>STOCK</stp>
        <stp>87320.T</stp>
        <stp>現在値詳細時刻</stp>
        <tr r="D1040" s="7"/>
      </tp>
      <tp t="s">
        <v>15:00:00</v>
        <stp/>
        <stp>Market</stp>
        <stp>STOCK</stp>
        <stp>87370.T</stp>
        <stp>現在値詳細時刻</stp>
        <tr r="D1041" s="7"/>
      </tp>
      <tp t="s">
        <v>15:00:00</v>
        <stp/>
        <stp>Market</stp>
        <stp>STOCK</stp>
        <stp>87420.T</stp>
        <stp>現在値詳細時刻</stp>
        <tr r="D1042" s="7"/>
      </tp>
      <tp t="s">
        <v>15:00:00</v>
        <stp/>
        <stp>Market</stp>
        <stp>STOCK</stp>
        <stp>87460.T</stp>
        <stp>現在値詳細時刻</stp>
        <tr r="D1043" s="7"/>
      </tp>
      <tp t="s">
        <v>表示銘柄数超過</v>
        <stp/>
        <stp>Market</stp>
        <stp>STOCK</stp>
        <stp>87500.T</stp>
        <stp>現在値詳細時刻</stp>
        <tr r="D1044" s="7"/>
      </tp>
      <tp t="s">
        <v>表示銘柄数超過</v>
        <stp/>
        <stp>Market</stp>
        <stp>STOCK</stp>
        <stp>87690.T</stp>
        <stp>現在値詳細時刻</stp>
        <tr r="D1046" s="7"/>
      </tp>
      <tp t="s">
        <v>表示銘柄数超過</v>
        <stp/>
        <stp>Market</stp>
        <stp>STOCK</stp>
        <stp>87660.T</stp>
        <stp>現在値詳細時刻</stp>
        <tr r="D1045" s="7"/>
      </tp>
      <tp t="s">
        <v>15:00:00</v>
        <stp/>
        <stp>Market</stp>
        <stp>STOCK</stp>
        <stp>84100.T</stp>
        <stp>現在値詳細時刻</stp>
        <tr r="D1010" s="7"/>
      </tp>
      <tp t="s">
        <v>15:00:00</v>
        <stp/>
        <stp>Market</stp>
        <stp>STOCK</stp>
        <stp>84160.T</stp>
        <stp>現在値詳細時刻</stp>
        <tr r="D1011" s="7"/>
      </tp>
      <tp t="s">
        <v>15:00:00</v>
        <stp/>
        <stp>Market</stp>
        <stp>STOCK</stp>
        <stp>84620.T</stp>
        <stp>現在値詳細時刻</stp>
        <tr r="D1012" s="7"/>
      </tp>
      <tp t="s">
        <v>15:00:00</v>
        <stp/>
        <stp>Market</stp>
        <stp>STOCK</stp>
        <stp>84730.T</stp>
        <stp>現在値詳細時刻</stp>
        <tr r="D1013" s="7"/>
      </tp>
      <tp t="s">
        <v>15:00:00</v>
        <stp/>
        <stp>Market</stp>
        <stp>STOCK</stp>
        <stp>85850.T</stp>
        <stp>現在値詳細時刻</stp>
        <tr r="D1022" s="7"/>
      </tp>
      <tp t="s">
        <v>15:00:00</v>
        <stp/>
        <stp>Market</stp>
        <stp>STOCK</stp>
        <stp>85930.T</stp>
        <stp>現在値詳細時刻</stp>
        <tr r="D1024" s="7"/>
      </tp>
      <tp t="s">
        <v>15:00:00</v>
        <stp/>
        <stp>Market</stp>
        <stp>STOCK</stp>
        <stp>85910.T</stp>
        <stp>現在値詳細時刻</stp>
        <tr r="D1023" s="7"/>
      </tp>
      <tp t="s">
        <v>15:00:00</v>
        <stp/>
        <stp>Market</stp>
        <stp>STOCK</stp>
        <stp>85080.T</stp>
        <stp>現在値詳細時刻</stp>
        <tr r="D1014" s="7"/>
      </tp>
      <tp t="s">
        <v>15:00:00</v>
        <stp/>
        <stp>Market</stp>
        <stp>STOCK</stp>
        <stp>85180.T</stp>
        <stp>現在値詳細時刻</stp>
        <tr r="D1017" s="7"/>
      </tp>
      <tp t="s">
        <v>15:00:00</v>
        <stp/>
        <stp>Market</stp>
        <stp>STOCK</stp>
        <stp>85110.T</stp>
        <stp>現在値詳細時刻</stp>
        <tr r="D1015" s="7"/>
      </tp>
      <tp t="s">
        <v>15:00:00</v>
        <stp/>
        <stp>Market</stp>
        <stp>STOCK</stp>
        <stp>85150.T</stp>
        <stp>現在値詳細時刻</stp>
        <tr r="D1016" s="7"/>
      </tp>
      <tp t="s">
        <v>15:00:00</v>
        <stp/>
        <stp>Market</stp>
        <stp>STOCK</stp>
        <stp>85240.T</stp>
        <stp>現在値詳細時刻</stp>
        <tr r="D1018" s="7"/>
      </tp>
      <tp t="s">
        <v>15:00:00</v>
        <stp/>
        <stp>Market</stp>
        <stp>STOCK</stp>
        <stp>85620.T</stp>
        <stp>現在値詳細時刻</stp>
        <tr r="D1019" s="7"/>
      </tp>
      <tp t="s">
        <v>15:00:00</v>
        <stp/>
        <stp>Market</stp>
        <stp>STOCK</stp>
        <stp>85720.T</stp>
        <stp>現在値詳細時刻</stp>
        <tr r="D1021" s="7"/>
      </tp>
      <tp t="s">
        <v>15:00:00</v>
        <stp/>
        <stp>Market</stp>
        <stp>STOCK</stp>
        <stp>85700.T</stp>
        <stp>現在値詳細時刻</stp>
        <tr r="D1020" s="7"/>
      </tp>
      <tp t="s">
        <v>15:00:00</v>
        <stp/>
        <stp>Market</stp>
        <stp>STOCK</stp>
        <stp>82910.T</stp>
        <stp>現在値詳細時刻</stp>
        <tr r="D1002" s="7"/>
      </tp>
      <tp t="s">
        <v>15:00:00</v>
        <stp/>
        <stp>Market</stp>
        <stp>STOCK</stp>
        <stp>82020.T</stp>
        <stp>現在値詳細時刻</stp>
        <tr r="D990" s="7"/>
      </tp>
      <tp t="s">
        <v>15:00:00</v>
        <stp/>
        <stp>Market</stp>
        <stp>STOCK</stp>
        <stp>82030.T</stp>
        <stp>現在値詳細時刻</stp>
        <tr r="D991" s="7"/>
      </tp>
      <tp t="s">
        <v>15:00:00</v>
        <stp/>
        <stp>Market</stp>
        <stp>STOCK</stp>
        <stp>82070.T</stp>
        <stp>現在値詳細時刻</stp>
        <tr r="D992" s="7"/>
      </tp>
      <tp t="s">
        <v>15:00:00</v>
        <stp/>
        <stp>Market</stp>
        <stp>STOCK</stp>
        <stp>82260.T</stp>
        <stp>現在値詳細時刻</stp>
        <tr r="D993" s="7"/>
      </tp>
      <tp t="s">
        <v>15:00:00</v>
        <stp/>
        <stp>Market</stp>
        <stp>STOCK</stp>
        <stp>82300.T</stp>
        <stp>現在値詳細時刻</stp>
        <tr r="D994" s="7"/>
      </tp>
      <tp t="s">
        <v>15:00:00</v>
        <stp/>
        <stp>Market</stp>
        <stp>STOCK</stp>
        <stp>82370.T</stp>
        <stp>現在値詳細時刻</stp>
        <tr r="D995" s="7"/>
      </tp>
      <tp t="s">
        <v>15:00:00</v>
        <stp/>
        <stp>Market</stp>
        <stp>STOCK</stp>
        <stp>82420.T</stp>
        <stp>現在値詳細時刻</stp>
        <tr r="D996" s="7"/>
      </tp>
      <tp t="s">
        <v>14:58:53</v>
        <stp/>
        <stp>Market</stp>
        <stp>STOCK</stp>
        <stp>82470.T</stp>
        <stp>現在値詳細時刻</stp>
        <tr r="D998" s="7"/>
      </tp>
      <tp t="s">
        <v>15:00:00</v>
        <stp/>
        <stp>Market</stp>
        <stp>STOCK</stp>
        <stp>82440.T</stp>
        <stp>現在値詳細時刻</stp>
        <tr r="D997" s="7"/>
      </tp>
      <tp t="s">
        <v>15:00:00</v>
        <stp/>
        <stp>Market</stp>
        <stp>STOCK</stp>
        <stp>82520.T</stp>
        <stp>現在値詳細時刻</stp>
        <tr r="D999" s="7"/>
      </tp>
      <tp t="s">
        <v/>
        <stp/>
        <stp>Market</stp>
        <stp>STOCK</stp>
        <stp>82560.T</stp>
        <stp>現在値詳細時刻</stp>
        <tr r="D1000" s="7"/>
      </tp>
      <tp t="s">
        <v>15:00:00</v>
        <stp/>
        <stp>Market</stp>
        <stp>STOCK</stp>
        <stp>82670.T</stp>
        <stp>現在値詳細時刻</stp>
        <tr r="D1001" s="7"/>
      </tp>
      <tp t="s">
        <v>15:00:00</v>
        <stp/>
        <stp>Market</stp>
        <stp>STOCK</stp>
        <stp>83830.T</stp>
        <stp>現在値詳細時刻</stp>
        <tr r="D1008" s="7"/>
      </tp>
      <tp t="s">
        <v>15:00:00</v>
        <stp/>
        <stp>Market</stp>
        <stp>STOCK</stp>
        <stp>83870.T</stp>
        <stp>現在値詳細時刻</stp>
        <tr r="D1009" s="7"/>
      </tp>
      <tp t="s">
        <v>15:00:00</v>
        <stp/>
        <stp>Market</stp>
        <stp>STOCK</stp>
        <stp>83160.T</stp>
        <stp>現在値詳細時刻</stp>
        <tr r="D1003" s="7"/>
      </tp>
      <tp t="s">
        <v>15:00:00</v>
        <stp/>
        <stp>Market</stp>
        <stp>STOCK</stp>
        <stp>83310.T</stp>
        <stp>現在値詳細時刻</stp>
        <tr r="D1004" s="7"/>
      </tp>
      <tp t="s">
        <v>15:00:00</v>
        <stp/>
        <stp>Market</stp>
        <stp>STOCK</stp>
        <stp>83370.T</stp>
        <stp>現在値詳細時刻</stp>
        <tr r="D1005" s="7"/>
      </tp>
      <tp t="s">
        <v>15:00:00</v>
        <stp/>
        <stp>Market</stp>
        <stp>STOCK</stp>
        <stp>83580.T</stp>
        <stp>現在値詳細時刻</stp>
        <tr r="D1006" s="7"/>
      </tp>
      <tp t="s">
        <v>15:00:00</v>
        <stp/>
        <stp>Market</stp>
        <stp>STOCK</stp>
        <stp>83770.T</stp>
        <stp>現在値詳細時刻</stp>
        <tr r="D1007" s="7"/>
      </tp>
      <tp t="s">
        <v>15:00:00</v>
        <stp/>
        <stp>Market</stp>
        <stp>STOCK</stp>
        <stp>80810.T</stp>
        <stp>現在値詳細時刻</stp>
        <tr r="D974" s="7"/>
      </tp>
      <tp t="s">
        <v>15:00:00</v>
        <stp/>
        <stp>Market</stp>
        <stp>STOCK</stp>
        <stp>80950.T</stp>
        <stp>現在値詳細時刻</stp>
        <tr r="D975" s="7"/>
      </tp>
      <tp t="s">
        <v>15:00:00</v>
        <stp/>
        <stp>Market</stp>
        <stp>STOCK</stp>
        <stp>80080.T</stp>
        <stp>現在値詳細時刻</stp>
        <tr r="D966" s="7"/>
      </tp>
      <tp t="s">
        <v>15:00:00</v>
        <stp/>
        <stp>Market</stp>
        <stp>STOCK</stp>
        <stp>80010.T</stp>
        <stp>現在値詳細時刻</stp>
        <tr r="D964" s="7"/>
      </tp>
      <tp t="s">
        <v>15:00:00</v>
        <stp/>
        <stp>Market</stp>
        <stp>STOCK</stp>
        <stp>80050.T</stp>
        <stp>現在値詳細時刻</stp>
        <tr r="D965" s="7"/>
      </tp>
      <tp t="s">
        <v>15:00:00</v>
        <stp/>
        <stp>Market</stp>
        <stp>STOCK</stp>
        <stp>80160.T</stp>
        <stp>現在値詳細時刻</stp>
        <tr r="D967" s="7"/>
      </tp>
      <tp t="s">
        <v>15:00:00</v>
        <stp/>
        <stp>Market</stp>
        <stp>STOCK</stp>
        <stp>80200.T</stp>
        <stp>現在値詳細時刻</stp>
        <tr r="D968" s="7"/>
      </tp>
      <tp t="s">
        <v>15:00:00</v>
        <stp/>
        <stp>Market</stp>
        <stp>STOCK</stp>
        <stp>80310.T</stp>
        <stp>現在値詳細時刻</stp>
        <tr r="D969" s="7"/>
      </tp>
      <tp t="s">
        <v>15:00:00</v>
        <stp/>
        <stp>Market</stp>
        <stp>STOCK</stp>
        <stp>80580.T</stp>
        <stp>現在値詳細時刻</stp>
        <tr r="D972" s="7"/>
      </tp>
      <tp t="s">
        <v>15:00:00</v>
        <stp/>
        <stp>Market</stp>
        <stp>STOCK</stp>
        <stp>80530.T</stp>
        <stp>現在値詳細時刻</stp>
        <tr r="D970" s="7"/>
      </tp>
      <tp t="s">
        <v>15:00:00</v>
        <stp/>
        <stp>Market</stp>
        <stp>STOCK</stp>
        <stp>80560.T</stp>
        <stp>現在値詳細時刻</stp>
        <tr r="D971" s="7"/>
      </tp>
      <tp t="s">
        <v>15:00:00</v>
        <stp/>
        <stp>Market</stp>
        <stp>STOCK</stp>
        <stp>80770.T</stp>
        <stp>現在値詳細時刻</stp>
        <tr r="D973" s="7"/>
      </tp>
      <tp t="s">
        <v>15:00:00</v>
        <stp/>
        <stp>Market</stp>
        <stp>STOCK</stp>
        <stp>81940.T</stp>
        <stp>現在値詳細時刻</stp>
        <tr r="D989" s="7"/>
      </tp>
      <tp t="s">
        <v>15:00:00</v>
        <stp/>
        <stp>Market</stp>
        <stp>STOCK</stp>
        <stp>81030.T</stp>
        <stp>現在値詳細時刻</stp>
        <tr r="D976" s="7"/>
      </tp>
      <tp t="s">
        <v>15:00:00</v>
        <stp/>
        <stp>Market</stp>
        <stp>STOCK</stp>
        <stp>81040.T</stp>
        <stp>現在値詳細時刻</stp>
        <tr r="D977" s="7"/>
      </tp>
      <tp t="s">
        <v>15:00:00</v>
        <stp/>
        <stp>Market</stp>
        <stp>STOCK</stp>
        <stp>81050.T</stp>
        <stp>現在値詳細時刻</stp>
        <tr r="D978" s="7"/>
      </tp>
      <tp t="s">
        <v>15:00:00</v>
        <stp/>
        <stp>Market</stp>
        <stp>STOCK</stp>
        <stp>81180.T</stp>
        <stp>現在値詳細時刻</stp>
        <tr r="D979" s="7"/>
      </tp>
      <tp t="s">
        <v>15:00:00</v>
        <stp/>
        <stp>Market</stp>
        <stp>STOCK</stp>
        <stp>81390.T</stp>
        <stp>現在値詳細時刻</stp>
        <tr r="D982" s="7"/>
      </tp>
      <tp t="s">
        <v>15:00:00</v>
        <stp/>
        <stp>Market</stp>
        <stp>STOCK</stp>
        <stp>81330.T</stp>
        <stp>現在値詳細時刻</stp>
        <tr r="D980" s="7"/>
      </tp>
      <tp t="s">
        <v>15:00:00</v>
        <stp/>
        <stp>Market</stp>
        <stp>STOCK</stp>
        <stp>81350.T</stp>
        <stp>現在値詳細時刻</stp>
        <tr r="D981" s="7"/>
      </tp>
      <tp t="s">
        <v>15:00:00</v>
        <stp/>
        <stp>Market</stp>
        <stp>STOCK</stp>
        <stp>81430.T</stp>
        <stp>現在値詳細時刻</stp>
        <tr r="D983" s="7"/>
      </tp>
      <tp t="s">
        <v>15:00:00</v>
        <stp/>
        <stp>Market</stp>
        <stp>STOCK</stp>
        <stp>81530.T</stp>
        <stp>現在値詳細時刻</stp>
        <tr r="D985" s="7"/>
      </tp>
      <tp t="s">
        <v>15:00:00</v>
        <stp/>
        <stp>Market</stp>
        <stp>STOCK</stp>
        <stp>81500.T</stp>
        <stp>現在値詳細時刻</stp>
        <tr r="D984" s="7"/>
      </tp>
      <tp t="s">
        <v>15:00:00</v>
        <stp/>
        <stp>Market</stp>
        <stp>STOCK</stp>
        <stp>81660.T</stp>
        <stp>現在値詳細時刻</stp>
        <tr r="D986" s="7"/>
      </tp>
      <tp t="s">
        <v>15:00:00</v>
        <stp/>
        <stp>Market</stp>
        <stp>STOCK</stp>
        <stp>81790.T</stp>
        <stp>現在値詳細時刻</stp>
        <tr r="D988" s="7"/>
      </tp>
      <tp t="s">
        <v>15:00:00</v>
        <stp/>
        <stp>Market</stp>
        <stp>STOCK</stp>
        <stp>81730.T</stp>
        <stp>現在値詳細時刻</stp>
        <tr r="D987" s="7"/>
      </tp>
      <tp t="s">
        <v>表示銘柄数超過</v>
        <stp/>
        <stp>Market</stp>
        <stp>STOCK</stp>
        <stp>88810.T</stp>
        <stp>現在値詳細時刻</stp>
        <tr r="D1057" s="7"/>
      </tp>
      <tp t="s">
        <v>表示銘柄数超過</v>
        <stp/>
        <stp>Market</stp>
        <stp>STOCK</stp>
        <stp>88870.T</stp>
        <stp>現在値詳細時刻</stp>
        <tr r="D1058" s="7"/>
      </tp>
      <tp t="s">
        <v>表示銘柄数超過</v>
        <stp/>
        <stp>Market</stp>
        <stp>STOCK</stp>
        <stp>88930.T</stp>
        <stp>現在値詳細時刻</stp>
        <tr r="D1059" s="7"/>
      </tp>
      <tp t="s">
        <v>表示銘柄数超過</v>
        <stp/>
        <stp>Market</stp>
        <stp>STOCK</stp>
        <stp>88970.T</stp>
        <stp>現在値詳細時刻</stp>
        <tr r="D1061" s="7"/>
      </tp>
      <tp t="s">
        <v>表示銘柄数超過</v>
        <stp/>
        <stp>Market</stp>
        <stp>STOCK</stp>
        <stp>88940.T</stp>
        <stp>現在値詳細時刻</stp>
        <tr r="D1060" s="7"/>
      </tp>
      <tp t="s">
        <v>表示銘柄数超過</v>
        <stp/>
        <stp>Market</stp>
        <stp>STOCK</stp>
        <stp>88020.T</stp>
        <stp>現在値詳細時刻</stp>
        <tr r="D1051" s="7"/>
      </tp>
      <tp t="s">
        <v>表示銘柄数超過</v>
        <stp/>
        <stp>Market</stp>
        <stp>STOCK</stp>
        <stp>88010.T</stp>
        <stp>現在値詳細時刻</stp>
        <tr r="D1050" s="7"/>
      </tp>
      <tp t="s">
        <v>表示銘柄数超過</v>
        <stp/>
        <stp>Market</stp>
        <stp>STOCK</stp>
        <stp>88040.T</stp>
        <stp>現在値詳細時刻</stp>
        <tr r="D1052" s="7"/>
      </tp>
      <tp t="s">
        <v>表示銘柄数超過</v>
        <stp/>
        <stp>Market</stp>
        <stp>STOCK</stp>
        <stp>88180.T</stp>
        <stp>現在値詳細時刻</stp>
        <tr r="D1053" s="7"/>
      </tp>
      <tp t="s">
        <v>表示銘柄数超過</v>
        <stp/>
        <stp>Market</stp>
        <stp>STOCK</stp>
        <stp>88300.T</stp>
        <stp>現在値詳細時刻</stp>
        <tr r="D1054" s="7"/>
      </tp>
      <tp t="s">
        <v>表示銘柄数超過</v>
        <stp/>
        <stp>Market</stp>
        <stp>STOCK</stp>
        <stp>88410.T</stp>
        <stp>現在値詳細時刻</stp>
        <tr r="D1055" s="7"/>
      </tp>
      <tp t="s">
        <v>表示銘柄数超過</v>
        <stp/>
        <stp>Market</stp>
        <stp>STOCK</stp>
        <stp>88440.T</stp>
        <stp>現在値詳細時刻</stp>
        <tr r="D1056" s="7"/>
      </tp>
      <tp t="s">
        <v>表示銘柄数超過</v>
        <stp/>
        <stp>Market</stp>
        <stp>STOCK</stp>
        <stp>89960.T</stp>
        <stp>現在値詳細時刻</stp>
        <tr r="D1072" s="7"/>
      </tp>
      <tp t="s">
        <v>表示銘柄数超過</v>
        <stp/>
        <stp>Market</stp>
        <stp>STOCK</stp>
        <stp>89050.T</stp>
        <stp>現在値詳細時刻</stp>
        <tr r="D1062" s="7"/>
      </tp>
      <tp t="s">
        <v>表示銘柄数超過</v>
        <stp/>
        <stp>Market</stp>
        <stp>STOCK</stp>
        <stp>89180.T</stp>
        <stp>現在値詳細時刻</stp>
        <tr r="D1064" s="7"/>
      </tp>
      <tp t="s">
        <v>表示銘柄数超過</v>
        <stp/>
        <stp>Market</stp>
        <stp>STOCK</stp>
        <stp>89120.T</stp>
        <stp>現在値詳細時刻</stp>
        <tr r="D1063" s="7"/>
      </tp>
      <tp t="s">
        <v>表示銘柄数超過</v>
        <stp/>
        <stp>Market</stp>
        <stp>STOCK</stp>
        <stp>89230.T</stp>
        <stp>現在値詳細時刻</stp>
        <tr r="D1065" s="7"/>
      </tp>
      <tp t="s">
        <v>表示銘柄数超過</v>
        <stp/>
        <stp>Market</stp>
        <stp>STOCK</stp>
        <stp>89270.T</stp>
        <stp>現在値詳細時刻</stp>
        <tr r="D1067" s="7"/>
      </tp>
      <tp t="s">
        <v>表示銘柄数超過</v>
        <stp/>
        <stp>Market</stp>
        <stp>STOCK</stp>
        <stp>89250.T</stp>
        <stp>現在値詳細時刻</stp>
        <tr r="D1066" s="7"/>
      </tp>
      <tp t="s">
        <v>表示銘柄数超過</v>
        <stp/>
        <stp>Market</stp>
        <stp>STOCK</stp>
        <stp>89380.T</stp>
        <stp>現在値詳細時刻</stp>
        <tr r="D1068" s="7"/>
      </tp>
      <tp t="s">
        <v>表示銘柄数超過</v>
        <stp/>
        <stp>Market</stp>
        <stp>STOCK</stp>
        <stp>89460.T</stp>
        <stp>現在値詳細時刻</stp>
        <tr r="D1071" s="7"/>
      </tp>
      <tp t="s">
        <v>表示銘柄数超過</v>
        <stp/>
        <stp>Market</stp>
        <stp>STOCK</stp>
        <stp>89440.T</stp>
        <stp>現在値詳細時刻</stp>
        <tr r="D1069" s="7"/>
      </tp>
      <tp t="s">
        <v>表示銘柄数超過</v>
        <stp/>
        <stp>Market</stp>
        <stp>STOCK</stp>
        <stp>89450.T</stp>
        <stp>現在値詳細時刻</stp>
        <tr r="D1070" s="7"/>
      </tp>
    </main>
    <main first="rtdsrv.662c26bade854d00aebc6010f8a2e03a">
      <tp t="s">
        <v>表示銘柄数超過</v>
        <stp/>
        <stp>Market</stp>
        <stp>STOCK</stp>
        <stp>96030.T</stp>
        <stp>現在値詳細時刻</stp>
        <tr r="D1158" s="7"/>
      </tp>
      <tp t="s">
        <v>表示銘柄数超過</v>
        <stp/>
        <stp>Market</stp>
        <stp>STOCK</stp>
        <stp>96130.T</stp>
        <stp>現在値詳細時刻</stp>
        <tr r="D1160" s="7"/>
      </tp>
      <tp t="s">
        <v>表示銘柄数超過</v>
        <stp/>
        <stp>Market</stp>
        <stp>STOCK</stp>
        <stp>96100.T</stp>
        <stp>現在値詳細時刻</stp>
        <tr r="D1159" s="7"/>
      </tp>
      <tp t="s">
        <v>表示銘柄数超過</v>
        <stp/>
        <stp>Market</stp>
        <stp>STOCK</stp>
        <stp>96560.T</stp>
        <stp>現在値詳細時刻</stp>
        <tr r="D1161" s="7"/>
      </tp>
      <tp t="s">
        <v>表示銘柄数超過</v>
        <stp/>
        <stp>Market</stp>
        <stp>STOCK</stp>
        <stp>97880.T</stp>
        <stp>現在値詳細時刻</stp>
        <tr r="D1169" s="7"/>
      </tp>
      <tp t="s">
        <v>表示銘柄数超過</v>
        <stp/>
        <stp>Market</stp>
        <stp>STOCK</stp>
        <stp>97820.T</stp>
        <stp>現在値詳細時刻</stp>
        <tr r="D1166" s="7"/>
      </tp>
      <tp t="s">
        <v>表示銘柄数超過</v>
        <stp/>
        <stp>Market</stp>
        <stp>STOCK</stp>
        <stp>97830.T</stp>
        <stp>現在値詳細時刻</stp>
        <tr r="D1167" s="7"/>
      </tp>
      <tp t="s">
        <v>表示銘柄数超過</v>
        <stp/>
        <stp>Market</stp>
        <stp>STOCK</stp>
        <stp>97870.T</stp>
        <stp>現在値詳細時刻</stp>
        <tr r="D1168" s="7"/>
      </tp>
      <tp t="s">
        <v>表示銘柄数超過</v>
        <stp/>
        <stp>Market</stp>
        <stp>STOCK</stp>
        <stp>97090.T</stp>
        <stp>現在値詳細時刻</stp>
        <tr r="D1162" s="7"/>
      </tp>
      <tp t="s">
        <v>表示銘柄数超過</v>
        <stp/>
        <stp>Market</stp>
        <stp>STOCK</stp>
        <stp>97230.T</stp>
        <stp>現在値詳細時刻</stp>
        <tr r="D1163" s="7"/>
      </tp>
      <tp t="s">
        <v>表示銘柄数超過</v>
        <stp/>
        <stp>Market</stp>
        <stp>STOCK</stp>
        <stp>97600.T</stp>
        <stp>現在値詳細時刻</stp>
        <tr r="D1164" s="7"/>
      </tp>
      <tp t="s">
        <v>表示銘柄数超過</v>
        <stp/>
        <stp>Market</stp>
        <stp>STOCK</stp>
        <stp>97650.T</stp>
        <stp>現在値詳細時刻</stp>
        <tr r="D1165" s="7"/>
      </tp>
      <tp t="s">
        <v>表示銘柄数超過</v>
        <stp/>
        <stp>Market</stp>
        <stp>STOCK</stp>
        <stp>94090.T</stp>
        <stp>現在値詳細時刻</stp>
        <tr r="D1117" s="7"/>
      </tp>
      <tp t="s">
        <v>表示銘柄数超過</v>
        <stp/>
        <stp>Market</stp>
        <stp>STOCK</stp>
        <stp>94010.T</stp>
        <stp>現在値詳細時刻</stp>
        <tr r="D1114" s="7"/>
      </tp>
      <tp t="s">
        <v>表示銘柄数超過</v>
        <stp/>
        <stp>Market</stp>
        <stp>STOCK</stp>
        <stp>94040.T</stp>
        <stp>現在値詳細時刻</stp>
        <tr r="D1115" s="7"/>
      </tp>
      <tp t="s">
        <v>表示銘柄数超過</v>
        <stp/>
        <stp>Market</stp>
        <stp>STOCK</stp>
        <stp>94050.T</stp>
        <stp>現在値詳細時刻</stp>
        <tr r="D1116" s="7"/>
      </tp>
      <tp t="s">
        <v>表示銘柄数超過</v>
        <stp/>
        <stp>Market</stp>
        <stp>STOCK</stp>
        <stp>94190.T</stp>
        <stp>現在値詳細時刻</stp>
        <tr r="D1122" s="7"/>
      </tp>
      <tp t="s">
        <v>表示銘柄数超過</v>
        <stp/>
        <stp>Market</stp>
        <stp>STOCK</stp>
        <stp>94120.T</stp>
        <stp>現在値詳細時刻</stp>
        <tr r="D1118" s="7"/>
      </tp>
      <tp t="s">
        <v>表示銘柄数超過</v>
        <stp/>
        <stp>Market</stp>
        <stp>STOCK</stp>
        <stp>94130.T</stp>
        <stp>現在値詳細時刻</stp>
        <tr r="D1119" s="7"/>
      </tp>
      <tp t="s">
        <v>表示銘柄数超過</v>
        <stp/>
        <stp>Market</stp>
        <stp>STOCK</stp>
        <stp>94170.T</stp>
        <stp>現在値詳細時刻</stp>
        <tr r="D1121" s="7"/>
      </tp>
      <tp t="s">
        <v>表示銘柄数超過</v>
        <stp/>
        <stp>Market</stp>
        <stp>STOCK</stp>
        <stp>94140.T</stp>
        <stp>現在値詳細時刻</stp>
        <tr r="D1120" s="7"/>
      </tp>
      <tp t="s">
        <v>表示銘柄数超過</v>
        <stp/>
        <stp>Market</stp>
        <stp>STOCK</stp>
        <stp>94230.T</stp>
        <stp>現在値詳細時刻</stp>
        <tr r="D1124" s="7"/>
      </tp>
      <tp t="s">
        <v>表示銘柄数超過</v>
        <stp/>
        <stp>Market</stp>
        <stp>STOCK</stp>
        <stp>94210.T</stp>
        <stp>現在値詳細時刻</stp>
        <tr r="D1123" s="7"/>
      </tp>
      <tp t="s">
        <v>表示銘柄数超過</v>
        <stp/>
        <stp>Market</stp>
        <stp>STOCK</stp>
        <stp>94240.T</stp>
        <stp>現在値詳細時刻</stp>
        <tr r="D1125" s="7"/>
      </tp>
      <tp t="s">
        <v>表示銘柄数超過</v>
        <stp/>
        <stp>Market</stp>
        <stp>STOCK</stp>
        <stp>94250.T</stp>
        <stp>現在値詳細時刻</stp>
        <tr r="D1126" s="7"/>
      </tp>
      <tp t="s">
        <v>表示銘柄数超過</v>
        <stp/>
        <stp>Market</stp>
        <stp>STOCK</stp>
        <stp>94390.T</stp>
        <stp>現在値詳細時刻</stp>
        <tr r="D1131" s="7"/>
      </tp>
      <tp t="s">
        <v>15:00:00</v>
        <stp/>
        <stp>Market</stp>
        <stp>STOCK</stp>
        <stp>94320.T</stp>
        <stp>現在値詳細時刻</stp>
        <tr r="D1127" s="7"/>
      </tp>
      <tp t="s">
        <v>表示銘柄数超過</v>
        <stp/>
        <stp>Market</stp>
        <stp>STOCK</stp>
        <stp>94330.T</stp>
        <stp>現在値詳細時刻</stp>
        <tr r="D1128" s="7"/>
      </tp>
      <tp t="s">
        <v>表示銘柄数超過</v>
        <stp/>
        <stp>Market</stp>
        <stp>STOCK</stp>
        <stp>94360.T</stp>
        <stp>現在値詳細時刻</stp>
        <tr r="D1130" s="7"/>
      </tp>
      <tp t="s">
        <v>15:00:00</v>
        <stp/>
        <stp>Market</stp>
        <stp>STOCK</stp>
        <stp>94340.T</stp>
        <stp>現在値詳細時刻</stp>
        <tr r="D1129" s="7"/>
      </tp>
      <tp t="s">
        <v>表示銘柄数超過</v>
        <stp/>
        <stp>Market</stp>
        <stp>STOCK</stp>
        <stp>94440.T</stp>
        <stp>現在値詳細時刻</stp>
        <tr r="D1132" s="7"/>
      </tp>
      <tp t="s">
        <v>表示銘柄数超過</v>
        <stp/>
        <stp>Market</stp>
        <stp>STOCK</stp>
        <stp>94500.T</stp>
        <stp>現在値詳細時刻</stp>
        <tr r="D1133" s="7"/>
      </tp>
      <tp t="s">
        <v>表示銘柄数超過</v>
        <stp/>
        <stp>Market</stp>
        <stp>STOCK</stp>
        <stp>94660.T</stp>
        <stp>現在値詳細時刻</stp>
        <tr r="D1134" s="7"/>
      </tp>
      <tp t="s">
        <v>表示銘柄数超過</v>
        <stp/>
        <stp>Market</stp>
        <stp>STOCK</stp>
        <stp>94790.T</stp>
        <stp>現在値詳細時刻</stp>
        <tr r="D1139" s="7"/>
      </tp>
      <tp t="s">
        <v>表示銘柄数超過</v>
        <stp/>
        <stp>Market</stp>
        <stp>STOCK</stp>
        <stp>94700.T</stp>
        <stp>現在値詳細時刻</stp>
        <tr r="D1135" s="7"/>
      </tp>
      <tp t="s">
        <v>表示銘柄数超過</v>
        <stp/>
        <stp>Market</stp>
        <stp>STOCK</stp>
        <stp>94760.T</stp>
        <stp>現在値詳細時刻</stp>
        <tr r="D1138" s="7"/>
      </tp>
      <tp t="s">
        <v>表示銘柄数超過</v>
        <stp/>
        <stp>Market</stp>
        <stp>STOCK</stp>
        <stp>94740.T</stp>
        <stp>現在値詳細時刻</stp>
        <tr r="D1136" s="7"/>
      </tp>
      <tp t="s">
        <v>表示銘柄数超過</v>
        <stp/>
        <stp>Market</stp>
        <stp>STOCK</stp>
        <stp>94750.T</stp>
        <stp>現在値詳細時刻</stp>
        <tr r="D1137" s="7"/>
      </tp>
      <tp t="s">
        <v>表示銘柄数超過</v>
        <stp/>
        <stp>Market</stp>
        <stp>STOCK</stp>
        <stp>95080.T</stp>
        <stp>現在値詳細時刻</stp>
        <tr r="D1147" s="7"/>
      </tp>
      <tp t="s">
        <v>表示銘柄数超過</v>
        <stp/>
        <stp>Market</stp>
        <stp>STOCK</stp>
        <stp>95090.T</stp>
        <stp>現在値詳細時刻</stp>
        <tr r="D1148" s="7"/>
      </tp>
      <tp t="s">
        <v>表示銘柄数超過</v>
        <stp/>
        <stp>Market</stp>
        <stp>STOCK</stp>
        <stp>95020.T</stp>
        <stp>現在値詳細時刻</stp>
        <tr r="D1141" s="7"/>
      </tp>
      <tp t="s">
        <v>表示銘柄数超過</v>
        <stp/>
        <stp>Market</stp>
        <stp>STOCK</stp>
        <stp>95030.T</stp>
        <stp>現在値詳細時刻</stp>
        <tr r="D1142" s="7"/>
      </tp>
      <tp t="s">
        <v>表示銘柄数超過</v>
        <stp/>
        <stp>Market</stp>
        <stp>STOCK</stp>
        <stp>95010.T</stp>
        <stp>現在値詳細時刻</stp>
        <tr r="D1140" s="7"/>
      </tp>
      <tp t="s">
        <v>表示銘柄数超過</v>
        <stp/>
        <stp>Market</stp>
        <stp>STOCK</stp>
        <stp>95060.T</stp>
        <stp>現在値詳細時刻</stp>
        <tr r="D1145" s="7"/>
      </tp>
      <tp t="s">
        <v>表示銘柄数超過</v>
        <stp/>
        <stp>Market</stp>
        <stp>STOCK</stp>
        <stp>95070.T</stp>
        <stp>現在値詳細時刻</stp>
        <tr r="D1146" s="7"/>
      </tp>
      <tp t="s">
        <v>表示銘柄数超過</v>
        <stp/>
        <stp>Market</stp>
        <stp>STOCK</stp>
        <stp>95040.T</stp>
        <stp>現在値詳細時刻</stp>
        <tr r="D1143" s="7"/>
      </tp>
      <tp t="s">
        <v>表示銘柄数超過</v>
        <stp/>
        <stp>Market</stp>
        <stp>STOCK</stp>
        <stp>95050.T</stp>
        <stp>現在値詳細時刻</stp>
        <tr r="D1144" s="7"/>
      </tp>
      <tp t="s">
        <v>表示銘柄数超過</v>
        <stp/>
        <stp>Market</stp>
        <stp>STOCK</stp>
        <stp>95190.T</stp>
        <stp>現在値詳細時刻</stp>
        <tr r="D1151" s="7"/>
      </tp>
      <tp t="s">
        <v>表示銘柄数超過</v>
        <stp/>
        <stp>Market</stp>
        <stp>STOCK</stp>
        <stp>95110.T</stp>
        <stp>現在値詳細時刻</stp>
        <tr r="D1149" s="7"/>
      </tp>
      <tp t="s">
        <v>表示銘柄数超過</v>
        <stp/>
        <stp>Market</stp>
        <stp>STOCK</stp>
        <stp>95140.T</stp>
        <stp>現在値詳細時刻</stp>
        <tr r="D1150" s="7"/>
      </tp>
      <tp t="s">
        <v>表示銘柄数超過</v>
        <stp/>
        <stp>Market</stp>
        <stp>STOCK</stp>
        <stp>95220.T</stp>
        <stp>現在値詳細時刻</stp>
        <tr r="D1152" s="7"/>
      </tp>
      <tp t="s">
        <v>表示銘柄数超過</v>
        <stp/>
        <stp>Market</stp>
        <stp>STOCK</stp>
        <stp>95320.T</stp>
        <stp>現在値詳細時刻</stp>
        <tr r="D1154" s="7"/>
      </tp>
      <tp t="s">
        <v>表示銘柄数超過</v>
        <stp/>
        <stp>Market</stp>
        <stp>STOCK</stp>
        <stp>95310.T</stp>
        <stp>現在値詳細時刻</stp>
        <tr r="D1153" s="7"/>
      </tp>
      <tp t="s">
        <v>表示銘柄数超過</v>
        <stp/>
        <stp>Market</stp>
        <stp>STOCK</stp>
        <stp>95530.T</stp>
        <stp>現在値詳細時刻</stp>
        <tr r="D1155" s="7"/>
      </tp>
      <tp t="s">
        <v>表示銘柄数超過</v>
        <stp/>
        <stp>Market</stp>
        <stp>STOCK</stp>
        <stp>95570.T</stp>
        <stp>現在値詳細時刻</stp>
        <tr r="D1156" s="7"/>
      </tp>
      <tp t="s">
        <v>表示銘柄数超過</v>
        <stp/>
        <stp>Market</stp>
        <stp>STOCK</stp>
        <stp>95600.T</stp>
        <stp>現在値詳細時刻</stp>
        <tr r="D1157" s="7"/>
      </tp>
      <tp t="s">
        <v>表示銘柄数超過</v>
        <stp/>
        <stp>Market</stp>
        <stp>STOCK</stp>
        <stp>92130.T</stp>
        <stp>現在値詳細時刻</stp>
        <tr r="D1099" s="7"/>
      </tp>
      <tp t="s">
        <v>表示銘柄数超過</v>
        <stp/>
        <stp>Market</stp>
        <stp>STOCK</stp>
        <stp>92480.T</stp>
        <stp>現在値詳細時刻</stp>
        <tr r="D1102" s="7"/>
      </tp>
      <tp t="s">
        <v>表示銘柄数超過</v>
        <stp/>
        <stp>Market</stp>
        <stp>STOCK</stp>
        <stp>92410.T</stp>
        <stp>現在値詳細時刻</stp>
        <tr r="D1100" s="7"/>
      </tp>
      <tp t="s">
        <v>表示銘柄数超過</v>
        <stp/>
        <stp>Market</stp>
        <stp>STOCK</stp>
        <stp>92470.T</stp>
        <stp>現在値詳細時刻</stp>
        <tr r="D1101" s="7"/>
      </tp>
      <tp t="s">
        <v>表示銘柄数超過</v>
        <stp/>
        <stp>Market</stp>
        <stp>STOCK</stp>
        <stp>92540.T</stp>
        <stp>現在値詳細時刻</stp>
        <tr r="D1103" s="7"/>
      </tp>
      <tp t="s">
        <v>表示銘柄数超過</v>
        <stp/>
        <stp>Market</stp>
        <stp>STOCK</stp>
        <stp>92630.T</stp>
        <stp>現在値詳細時刻</stp>
        <tr r="D1104" s="7"/>
      </tp>
      <tp t="s">
        <v>表示銘柄数超過</v>
        <stp/>
        <stp>Market</stp>
        <stp>STOCK</stp>
        <stp>92780.T</stp>
        <stp>現在値詳細時刻</stp>
        <tr r="D1108" s="7"/>
      </tp>
      <tp t="s">
        <v>表示銘柄数超過</v>
        <stp/>
        <stp>Market</stp>
        <stp>STOCK</stp>
        <stp>92720.T</stp>
        <stp>現在値詳細時刻</stp>
        <tr r="D1106" s="7"/>
      </tp>
      <tp t="s">
        <v>表示銘柄数超過</v>
        <stp/>
        <stp>Market</stp>
        <stp>STOCK</stp>
        <stp>92700.T</stp>
        <stp>現在値詳細時刻</stp>
        <tr r="D1105" s="7"/>
      </tp>
      <tp t="s">
        <v>表示銘柄数超過</v>
        <stp/>
        <stp>Market</stp>
        <stp>STOCK</stp>
        <stp>92740.T</stp>
        <stp>現在値詳細時刻</stp>
        <tr r="D1107" s="7"/>
      </tp>
      <tp t="s">
        <v>表示銘柄数超過</v>
        <stp/>
        <stp>Market</stp>
        <stp>STOCK</stp>
        <stp>93800.T</stp>
        <stp>現在値詳細時刻</stp>
        <tr r="D1112" s="7"/>
      </tp>
      <tp t="s">
        <v>15:00:00</v>
        <stp/>
        <stp>Market</stp>
        <stp>STOCK</stp>
        <stp>93990.T</stp>
        <stp>現在値詳細時刻</stp>
        <tr r="D1113" s="7"/>
      </tp>
      <tp t="s">
        <v>表示銘柄数超過</v>
        <stp/>
        <stp>Market</stp>
        <stp>STOCK</stp>
        <stp>93070.T</stp>
        <stp>現在値詳細時刻</stp>
        <tr r="D1109" s="7"/>
      </tp>
      <tp t="s">
        <v>表示銘柄数超過</v>
        <stp/>
        <stp>Market</stp>
        <stp>STOCK</stp>
        <stp>93250.T</stp>
        <stp>現在値詳細時刻</stp>
        <tr r="D1110" s="7"/>
      </tp>
      <tp t="s">
        <v>表示銘柄数超過</v>
        <stp/>
        <stp>Market</stp>
        <stp>STOCK</stp>
        <stp>93610.T</stp>
        <stp>現在値詳細時刻</stp>
        <tr r="D1111" s="7"/>
      </tp>
      <tp t="s">
        <v>表示銘柄数超過</v>
        <stp/>
        <stp>Market</stp>
        <stp>STOCK</stp>
        <stp>90900.T</stp>
        <stp>現在値詳細時刻</stp>
        <tr r="D1092" s="7"/>
      </tp>
      <tp t="s">
        <v>表示銘柄数超過</v>
        <stp/>
        <stp>Market</stp>
        <stp>STOCK</stp>
        <stp>90080.T</stp>
        <stp>現在値詳細時刻</stp>
        <tr r="D1078" s="7"/>
      </tp>
      <tp t="s">
        <v>表示銘柄数超過</v>
        <stp/>
        <stp>Market</stp>
        <stp>STOCK</stp>
        <stp>90090.T</stp>
        <stp>現在値詳細時刻</stp>
        <tr r="D1079" s="7"/>
      </tp>
      <tp t="s">
        <v>表示銘柄数超過</v>
        <stp/>
        <stp>Market</stp>
        <stp>STOCK</stp>
        <stp>90030.T</stp>
        <stp>現在値詳細時刻</stp>
        <tr r="D1074" s="7"/>
      </tp>
      <tp t="s">
        <v>表示銘柄数超過</v>
        <stp/>
        <stp>Market</stp>
        <stp>STOCK</stp>
        <stp>90010.T</stp>
        <stp>現在値詳細時刻</stp>
        <tr r="D1073" s="7"/>
      </tp>
      <tp t="s">
        <v>表示銘柄数超過</v>
        <stp/>
        <stp>Market</stp>
        <stp>STOCK</stp>
        <stp>90060.T</stp>
        <stp>現在値詳細時刻</stp>
        <tr r="D1076" s="7"/>
      </tp>
      <tp t="s">
        <v>表示銘柄数超過</v>
        <stp/>
        <stp>Market</stp>
        <stp>STOCK</stp>
        <stp>90070.T</stp>
        <stp>現在値詳細時刻</stp>
        <tr r="D1077" s="7"/>
      </tp>
      <tp t="s">
        <v>表示銘柄数超過</v>
        <stp/>
        <stp>Market</stp>
        <stp>STOCK</stp>
        <stp>90050.T</stp>
        <stp>現在値詳細時刻</stp>
        <tr r="D1075" s="7"/>
      </tp>
      <tp t="s">
        <v>表示銘柄数超過</v>
        <stp/>
        <stp>Market</stp>
        <stp>STOCK</stp>
        <stp>90220.T</stp>
        <stp>現在値詳細時刻</stp>
        <tr r="D1082" s="7"/>
      </tp>
      <tp t="s">
        <v>表示銘柄数超過</v>
        <stp/>
        <stp>Market</stp>
        <stp>STOCK</stp>
        <stp>90200.T</stp>
        <stp>現在値詳細時刻</stp>
        <tr r="D1081" s="7"/>
        <tr r="D1080" s="7"/>
      </tp>
      <tp t="s">
        <v>表示銘柄数超過</v>
        <stp/>
        <stp>Market</stp>
        <stp>STOCK</stp>
        <stp>90240.T</stp>
        <stp>現在値詳細時刻</stp>
        <tr r="D1083" s="7"/>
      </tp>
      <tp t="s">
        <v>表示銘柄数超過</v>
        <stp/>
        <stp>Market</stp>
        <stp>STOCK</stp>
        <stp>90330.T</stp>
        <stp>現在値詳細時刻</stp>
        <tr r="D1084" s="7"/>
      </tp>
      <tp t="s">
        <v>表示銘柄数超過</v>
        <stp/>
        <stp>Market</stp>
        <stp>STOCK</stp>
        <stp>90480.T</stp>
        <stp>現在値詳細時刻</stp>
        <tr r="D1088" s="7"/>
      </tp>
      <tp t="s">
        <v>表示銘柄数超過</v>
        <stp/>
        <stp>Market</stp>
        <stp>STOCK</stp>
        <stp>90420.T</stp>
        <stp>現在値詳細時刻</stp>
        <tr r="D1086" s="7"/>
      </tp>
      <tp t="s">
        <v>表示銘柄数超過</v>
        <stp/>
        <stp>Market</stp>
        <stp>STOCK</stp>
        <stp>90410.T</stp>
        <stp>現在値詳細時刻</stp>
        <tr r="D1085" s="7"/>
      </tp>
      <tp t="s">
        <v>表示銘柄数超過</v>
        <stp/>
        <stp>Market</stp>
        <stp>STOCK</stp>
        <stp>90440.T</stp>
        <stp>現在値詳細時刻</stp>
        <tr r="D1087" s="7"/>
      </tp>
      <tp t="s">
        <v>表示銘柄数超過</v>
        <stp/>
        <stp>Market</stp>
        <stp>STOCK</stp>
        <stp>90590.T</stp>
        <stp>現在値詳細時刻</stp>
        <tr r="D1089" s="7"/>
      </tp>
      <tp t="s">
        <v>表示銘柄数超過</v>
        <stp/>
        <stp>Market</stp>
        <stp>STOCK</stp>
        <stp>90630.T</stp>
        <stp>現在値詳細時刻</stp>
        <tr r="D1090" s="7"/>
      </tp>
      <tp t="s">
        <v>表示銘柄数超過</v>
        <stp/>
        <stp>Market</stp>
        <stp>STOCK</stp>
        <stp>90640.T</stp>
        <stp>現在値詳細時刻</stp>
        <tr r="D1091" s="7"/>
      </tp>
      <tp t="s">
        <v>表示銘柄数超過</v>
        <stp/>
        <stp>Market</stp>
        <stp>STOCK</stp>
        <stp>91010.T</stp>
        <stp>現在値詳細時刻</stp>
        <tr r="D1093" s="7"/>
      </tp>
      <tp t="s">
        <v>表示銘柄数超過</v>
        <stp/>
        <stp>Market</stp>
        <stp>STOCK</stp>
        <stp>91070.T</stp>
        <stp>現在値詳細時刻</stp>
        <tr r="D1095" s="7"/>
      </tp>
      <tp t="s">
        <v>表示銘柄数超過</v>
        <stp/>
        <stp>Market</stp>
        <stp>STOCK</stp>
        <stp>91040.T</stp>
        <stp>現在値詳細時刻</stp>
        <tr r="D1094" s="7"/>
      </tp>
      <tp t="s">
        <v>表示銘柄数超過</v>
        <stp/>
        <stp>Market</stp>
        <stp>STOCK</stp>
        <stp>91190.T</stp>
        <stp>現在値詳細時刻</stp>
        <tr r="D1097" s="7"/>
      </tp>
      <tp t="s">
        <v>表示銘柄数超過</v>
        <stp/>
        <stp>Market</stp>
        <stp>STOCK</stp>
        <stp>91150.T</stp>
        <stp>現在値詳細時刻</stp>
        <tr r="D1096" s="7"/>
      </tp>
      <tp t="s">
        <v>表示銘柄数超過</v>
        <stp/>
        <stp>Market</stp>
        <stp>STOCK</stp>
        <stp>91420.T</stp>
        <stp>現在値詳細時刻</stp>
        <tr r="D1098" s="7"/>
      </tp>
      <tp t="s">
        <v>表示銘柄数超過</v>
        <stp/>
        <stp>Market</stp>
        <stp>STOCK</stp>
        <stp>98880.T</stp>
        <stp>現在値詳細時刻</stp>
        <tr r="D1176" s="7"/>
      </tp>
      <tp t="s">
        <v>表示銘柄数超過</v>
        <stp/>
        <stp>Market</stp>
        <stp>STOCK</stp>
        <stp>98900.T</stp>
        <stp>現在値詳細時刻</stp>
        <tr r="D1177" s="7"/>
      </tp>
      <tp t="s">
        <v>表示銘柄数超過</v>
        <stp/>
        <stp>Market</stp>
        <stp>STOCK</stp>
        <stp>98120.T</stp>
        <stp>現在値詳細時刻</stp>
        <tr r="D1170" s="7"/>
      </tp>
      <tp t="s">
        <v>15:00:00</v>
        <stp/>
        <stp>Market</stp>
        <stp>STOCK</stp>
        <stp>98310.T</stp>
        <stp>現在値詳細時刻</stp>
        <tr r="D1171" s="7"/>
      </tp>
      <tp t="s">
        <v>表示銘柄数超過</v>
        <stp/>
        <stp>Market</stp>
        <stp>STOCK</stp>
        <stp>98420.T</stp>
        <stp>現在値詳細時刻</stp>
        <tr r="D1172" s="7"/>
      </tp>
      <tp t="s">
        <v>表示銘柄数超過</v>
        <stp/>
        <stp>Market</stp>
        <stp>STOCK</stp>
        <stp>98530.T</stp>
        <stp>現在値詳細時刻</stp>
        <tr r="D1173" s="7"/>
      </tp>
      <tp t="s">
        <v>表示銘柄数超過</v>
        <stp/>
        <stp>Market</stp>
        <stp>STOCK</stp>
        <stp>98540.T</stp>
        <stp>現在値詳細時刻</stp>
        <tr r="D1174" s="7"/>
      </tp>
      <tp t="s">
        <v>表示銘柄数超過</v>
        <stp/>
        <stp>Market</stp>
        <stp>STOCK</stp>
        <stp>98760.T</stp>
        <stp>現在値詳細時刻</stp>
        <tr r="D1175" s="7"/>
      </tp>
      <tp t="s">
        <v>表示銘柄数超過</v>
        <stp/>
        <stp>Market</stp>
        <stp>STOCK</stp>
        <stp>99820.T</stp>
        <stp>現在値詳細時刻</stp>
        <tr r="D1188" s="7"/>
      </tp>
      <tp t="s">
        <v>表示銘柄数超過</v>
        <stp/>
        <stp>Market</stp>
        <stp>STOCK</stp>
        <stp>99800.T</stp>
        <stp>現在値詳細時刻</stp>
        <tr r="D1187" s="7"/>
      </tp>
      <tp t="s">
        <v>表示銘柄数超過</v>
        <stp/>
        <stp>Market</stp>
        <stp>STOCK</stp>
        <stp>99840.T</stp>
        <stp>現在値詳細時刻</stp>
        <tr r="D1189" s="7"/>
      </tp>
      <tp t="s">
        <v>表示銘柄数超過</v>
        <stp/>
        <stp>Market</stp>
        <stp>STOCK</stp>
        <stp>99900.T</stp>
        <stp>現在値詳細時刻</stp>
        <tr r="D1190" s="7"/>
      </tp>
      <tp t="s">
        <v>表示銘柄数超過</v>
        <stp/>
        <stp>Market</stp>
        <stp>STOCK</stp>
        <stp>99950.T</stp>
        <stp>現在値詳細時刻</stp>
        <tr r="D1191" s="7"/>
      </tp>
      <tp t="s">
        <v>表示銘柄数超過</v>
        <stp/>
        <stp>Market</stp>
        <stp>STOCK</stp>
        <stp>99080.T</stp>
        <stp>現在値詳細時刻</stp>
        <tr r="D1179" s="7"/>
      </tp>
      <tp t="s">
        <v>表示銘柄数超過</v>
        <stp/>
        <stp>Market</stp>
        <stp>STOCK</stp>
        <stp>99040.T</stp>
        <stp>現在値詳細時刻</stp>
        <tr r="D1178" s="7"/>
      </tp>
      <tp t="s">
        <v>表示銘柄数超過</v>
        <stp/>
        <stp>Market</stp>
        <stp>STOCK</stp>
        <stp>99190.T</stp>
        <stp>現在値詳細時刻</stp>
        <tr r="D1180" s="7"/>
      </tp>
      <tp t="s">
        <v>表示銘柄数超過</v>
        <stp/>
        <stp>Market</stp>
        <stp>STOCK</stp>
        <stp>99280.T</stp>
        <stp>現在値詳細時刻</stp>
        <tr r="D1182" s="7"/>
      </tp>
      <tp t="s">
        <v>表示銘柄数超過</v>
        <stp/>
        <stp>Market</stp>
        <stp>STOCK</stp>
        <stp>99270.T</stp>
        <stp>現在値詳細時刻</stp>
        <tr r="D1181" s="7"/>
      </tp>
      <tp t="s">
        <v>表示銘柄数超過</v>
        <stp/>
        <stp>Market</stp>
        <stp>STOCK</stp>
        <stp>99300.T</stp>
        <stp>現在値詳細時刻</stp>
        <tr r="D1183" s="7"/>
      </tp>
      <tp t="s">
        <v>表示銘柄数超過</v>
        <stp/>
        <stp>Market</stp>
        <stp>STOCK</stp>
        <stp>99460.T</stp>
        <stp>現在値詳細時刻</stp>
        <tr r="D1184" s="7"/>
      </tp>
      <tp t="s">
        <v>表示銘柄数超過</v>
        <stp/>
        <stp>Market</stp>
        <stp>STOCK</stp>
        <stp>99690.T</stp>
        <stp>現在値詳細時刻</stp>
        <tr r="D1185" s="7"/>
      </tp>
      <tp t="s">
        <v>表示銘柄数超過</v>
        <stp/>
        <stp>Market</stp>
        <stp>STOCK</stp>
        <stp>99730.T</stp>
        <stp>現在値詳細時刻</stp>
        <tr r="D1186" s="7"/>
      </tp>
    </main>
    <main first="rtdsrv.662c26bade854d00aebc6010f8a2e03a">
      <tp t="s">
        <v>表示銘柄数超過</v>
        <stp/>
        <stp>Market</stp>
        <stp>STOCK</stp>
        <stp>88970.T</stp>
        <stp>銘柄名称</stp>
        <tr r="B1061" s="7"/>
      </tp>
      <tp t="s">
        <v>ツインバード</v>
        <stp/>
        <stp>Market</stp>
        <stp>STOCK</stp>
        <stp>68970.T</stp>
        <stp>銘柄名称</stp>
        <tr r="B783" s="7"/>
      </tp>
      <tp t="s">
        <v>ホクシン</v>
        <stp/>
        <stp>Market</stp>
        <stp>STOCK</stp>
        <stp>78970.T</stp>
        <stp>銘柄名称</stp>
        <tr r="B952" s="7"/>
      </tp>
      <tp t="s">
        <v>表示銘柄数超過</v>
        <stp/>
        <stp>Market</stp>
        <stp>STOCK</stp>
        <stp>88940.T</stp>
        <stp>銘柄名称</stp>
        <tr r="B1060" s="7"/>
      </tp>
      <tp t="s">
        <v>表示銘柄数超過</v>
        <stp/>
        <stp>Market</stp>
        <stp>STOCK</stp>
        <stp>28940.T</stp>
        <stp>銘柄名称</stp>
        <tr r="B212" s="7"/>
      </tp>
      <tp t="s">
        <v>表示銘柄数超過</v>
        <stp/>
        <stp>Market</stp>
        <stp>STOCK</stp>
        <stp>48920.T</stp>
        <stp>銘柄名称</stp>
        <tr r="B550" s="7"/>
      </tp>
      <tp t="s">
        <v>表示銘柄数超過</v>
        <stp/>
        <stp>Market</stp>
        <stp>STOCK</stp>
        <stp>88930.T</stp>
        <stp>銘柄名称</stp>
        <tr r="B1059" s="7"/>
      </tp>
      <tp t="s">
        <v>表示銘柄数超過</v>
        <stp/>
        <stp>Market</stp>
        <stp>STOCK</stp>
        <stp>18930.T</stp>
        <stp>銘柄名称</stp>
        <tr r="B70" s="7"/>
      </tp>
      <tp t="s">
        <v>表示銘柄数超過</v>
        <stp/>
        <stp>Market</stp>
        <stp>STOCK</stp>
        <stp>98900.T</stp>
        <stp>銘柄名称</stp>
        <tr r="B1177" s="7"/>
      </tp>
      <tp t="s">
        <v>表示銘柄数超過</v>
        <stp/>
        <stp>Market</stp>
        <stp>STOCK</stp>
        <stp>48900.T</stp>
        <stp>銘柄名称</stp>
        <tr r="B548" s="7"/>
      </tp>
      <tp t="s">
        <v>表示銘柄数超過</v>
        <stp/>
        <stp>Market</stp>
        <stp>STOCK</stp>
        <stp>48910.T</stp>
        <stp>銘柄名称</stp>
        <tr r="B549" s="7"/>
      </tp>
      <tp t="s">
        <v>表示銘柄数超過</v>
        <stp/>
        <stp>Market</stp>
        <stp>STOCK</stp>
        <stp>18980.T</stp>
        <stp>銘柄名称</stp>
        <tr r="B71" s="7"/>
      </tp>
      <tp t="s">
        <v>表示銘柄数超過</v>
        <stp/>
        <stp>Market</stp>
        <stp>STOCK</stp>
        <stp>88870.T</stp>
        <stp>銘柄名称</stp>
        <tr r="B1058" s="7"/>
      </tp>
      <tp t="s">
        <v>表示銘柄数超過</v>
        <stp/>
        <stp>Market</stp>
        <stp>STOCK</stp>
        <stp>18870.T</stp>
        <stp>銘柄名称</stp>
        <tr r="B69" s="7"/>
      </tp>
      <tp t="s">
        <v>表示銘柄数超過</v>
        <stp/>
        <stp>Market</stp>
        <stp>STOCK</stp>
        <stp>48830.T</stp>
        <stp>銘柄名称</stp>
        <tr r="B546" s="7"/>
      </tp>
      <tp t="s">
        <v>表示銘柄数超過</v>
        <stp/>
        <stp>Market</stp>
        <stp>STOCK</stp>
        <stp>38800.T</stp>
        <stp>銘柄名称</stp>
        <tr r="B383" s="7"/>
      </tp>
      <tp t="s">
        <v>表示銘柄数超過</v>
        <stp/>
        <stp>Market</stp>
        <stp>STOCK</stp>
        <stp>88810.T</stp>
        <stp>銘柄名称</stp>
        <tr r="B1057" s="7"/>
      </tp>
      <tp t="s">
        <v>表示銘柄数超過</v>
        <stp/>
        <stp>Market</stp>
        <stp>STOCK</stp>
        <stp>48810.T</stp>
        <stp>銘柄名称</stp>
        <tr r="B545" s="7"/>
      </tp>
      <tp t="s">
        <v>表示銘柄数超過</v>
        <stp/>
        <stp>Market</stp>
        <stp>STOCK</stp>
        <stp>98880.T</stp>
        <stp>銘柄名称</stp>
        <tr r="B1176" s="7"/>
      </tp>
      <tp t="s">
        <v>三光合成</v>
        <stp/>
        <stp>Market</stp>
        <stp>STOCK</stp>
        <stp>78880.T</stp>
        <stp>銘柄名称</stp>
        <tr r="B951" s="7"/>
      </tp>
      <tp t="s">
        <v>表示銘柄数超過</v>
        <stp/>
        <stp>Market</stp>
        <stp>STOCK</stp>
        <stp>48890.T</stp>
        <stp>銘柄名称</stp>
        <tr r="B547" s="7"/>
      </tp>
      <tp t="s">
        <v>表示銘柄数超過</v>
        <stp/>
        <stp>Market</stp>
        <stp>STOCK</stp>
        <stp>38160.T</stp>
        <stp>銘柄名称</stp>
        <tr r="B365" s="7"/>
      </tp>
      <tp t="s">
        <v>表示銘柄数超過</v>
        <stp/>
        <stp>Market</stp>
        <stp>STOCK</stp>
        <stp>38140.T</stp>
        <stp>銘柄名称</stp>
        <tr r="B363" s="7"/>
      </tp>
      <tp t="s">
        <v>表示銘柄数超過</v>
        <stp/>
        <stp>Market</stp>
        <stp>STOCK</stp>
        <stp>48140.T</stp>
        <stp>銘柄名称</stp>
        <tr r="B537" s="7"/>
      </tp>
      <tp t="s">
        <v>古野電気</v>
        <stp/>
        <stp>Market</stp>
        <stp>STOCK</stp>
        <stp>68140.T</stp>
        <stp>銘柄名称</stp>
        <tr r="B775" s="7"/>
      </tp>
      <tp t="s">
        <v>日本創発グループ</v>
        <stp/>
        <stp>Market</stp>
        <stp>STOCK</stp>
        <stp>78140.T</stp>
        <stp>銘柄名称</stp>
        <tr r="B940" s="7"/>
      </tp>
      <tp t="s">
        <v>表示銘柄数超過</v>
        <stp/>
        <stp>Market</stp>
        <stp>STOCK</stp>
        <stp>18150.T</stp>
        <stp>銘柄名称</stp>
        <tr r="B61" s="7"/>
      </tp>
      <tp t="s">
        <v>表示銘柄数超過</v>
        <stp/>
        <stp>Market</stp>
        <stp>STOCK</stp>
        <stp>38150.T</stp>
        <stp>銘柄名称</stp>
        <tr r="B364" s="7"/>
      </tp>
      <tp t="s">
        <v>表示銘柄数超過</v>
        <stp/>
        <stp>Market</stp>
        <stp>STOCK</stp>
        <stp>98120.T</stp>
        <stp>銘柄名称</stp>
        <tr r="B1170" s="7"/>
      </tp>
      <tp t="s">
        <v>表示銘柄数超過</v>
        <stp/>
        <stp>Market</stp>
        <stp>STOCK</stp>
        <stp>18120.T</stp>
        <stp>銘柄名称</stp>
        <tr r="B60" s="7"/>
      </tp>
      <tp t="s">
        <v>表示銘柄数超過</v>
        <stp/>
        <stp>Market</stp>
        <stp>STOCK</stp>
        <stp>28100.T</stp>
        <stp>銘柄名称</stp>
        <tr r="B201" s="7"/>
      </tp>
      <tp t="s">
        <v>表示銘柄数超過</v>
        <stp/>
        <stp>Market</stp>
        <stp>STOCK</stp>
        <stp>38100.T</stp>
        <stp>銘柄名称</stp>
        <tr r="B362" s="7"/>
      </tp>
      <tp t="s">
        <v>マクセル</v>
        <stp/>
        <stp>Market</stp>
        <stp>STOCK</stp>
        <stp>68100.T</stp>
        <stp>銘柄名称</stp>
        <tr r="B774" s="7"/>
      </tp>
      <tp t="s">
        <v>表示銘柄数超過</v>
        <stp/>
        <stp>Market</stp>
        <stp>STOCK</stp>
        <stp>88180.T</stp>
        <stp>銘柄名称</stp>
        <tr r="B1053" s="7"/>
      </tp>
      <tp t="s">
        <v>表示銘柄数超過</v>
        <stp/>
        <stp>Market</stp>
        <stp>STOCK</stp>
        <stp>38070.T</stp>
        <stp>銘柄名称</stp>
        <tr r="B361" s="7"/>
      </tp>
      <tp t="s">
        <v>表示銘柄数超過</v>
        <stp/>
        <stp>Market</stp>
        <stp>STOCK</stp>
        <stp>88040.T</stp>
        <stp>銘柄名称</stp>
        <tr r="B1052" s="7"/>
      </tp>
      <tp t="s">
        <v>表示銘柄数超過</v>
        <stp/>
        <stp>Market</stp>
        <stp>STOCK</stp>
        <stp>18050.T</stp>
        <stp>銘柄名称</stp>
        <tr r="B59" s="7"/>
      </tp>
      <tp t="s">
        <v>プリントネット</v>
        <stp/>
        <stp>Market</stp>
        <stp>STOCK</stp>
        <stp>78050.T</stp>
        <stp>銘柄名称</stp>
        <tr r="B939" s="7"/>
      </tp>
      <tp t="s">
        <v>表示銘柄数超過</v>
        <stp/>
        <stp>Market</stp>
        <stp>STOCK</stp>
        <stp>88020.T</stp>
        <stp>銘柄名称</stp>
        <tr r="B1051" s="7"/>
      </tp>
      <tp t="s">
        <v>表示銘柄数超過</v>
        <stp/>
        <stp>Market</stp>
        <stp>STOCK</stp>
        <stp>18020.T</stp>
        <stp>銘柄名称</stp>
        <tr r="B57" s="7"/>
      </tp>
      <tp t="s">
        <v>住友電工</v>
        <stp/>
        <stp>Market</stp>
        <stp>STOCK</stp>
        <stp>58020.T</stp>
        <stp>銘柄名称</stp>
        <tr r="B612" s="7"/>
      </tp>
      <tp t="s">
        <v>表示銘柄数超過</v>
        <stp/>
        <stp>Market</stp>
        <stp>STOCK</stp>
        <stp>18030.T</stp>
        <stp>銘柄名称</stp>
        <tr r="B58" s="7"/>
      </tp>
      <tp t="s">
        <v>フジクラ</v>
        <stp/>
        <stp>Market</stp>
        <stp>STOCK</stp>
        <stp>58030.T</stp>
        <stp>銘柄名称</stp>
        <tr r="B613" s="7"/>
      </tp>
      <tp t="s">
        <v>ティアック</v>
        <stp/>
        <stp>Market</stp>
        <stp>STOCK</stp>
        <stp>68030.T</stp>
        <stp>銘柄名称</stp>
        <tr r="B773" s="7"/>
      </tp>
      <tp t="s">
        <v>表示銘柄数超過</v>
        <stp/>
        <stp>Market</stp>
        <stp>STOCK</stp>
        <stp>48000.T</stp>
        <stp>銘柄名称</stp>
        <tr r="B536" s="7"/>
      </tp>
      <tp t="s">
        <v>アミファ</v>
        <stp/>
        <stp>Market</stp>
        <stp>STOCK</stp>
        <stp>78000.T</stp>
        <stp>銘柄名称</stp>
        <tr r="B938" s="7"/>
      </tp>
      <tp t="s">
        <v>表示銘柄数超過</v>
        <stp/>
        <stp>Market</stp>
        <stp>STOCK</stp>
        <stp>88010.T</stp>
        <stp>銘柄名称</stp>
        <tr r="B1050" s="7"/>
      </tp>
      <tp t="s">
        <v>古河電工</v>
        <stp/>
        <stp>Market</stp>
        <stp>STOCK</stp>
        <stp>58010.T</stp>
        <stp>銘柄名称</stp>
        <tr r="B611" s="7"/>
      </tp>
      <tp t="s">
        <v>アビックス</v>
        <stp/>
        <stp>Market</stp>
        <stp>STOCK</stp>
        <stp>78360.T</stp>
        <stp>銘柄名称</stp>
        <tr r="B943" s="7"/>
      </tp>
      <tp t="s">
        <v>表示銘柄数超過</v>
        <stp/>
        <stp>Market</stp>
        <stp>STOCK</stp>
        <stp>48370.T</stp>
        <stp>銘柄名称</stp>
        <tr r="B542" s="7"/>
      </tp>
      <tp t="s">
        <v>アールシーコア</v>
        <stp/>
        <stp>Market</stp>
        <stp>STOCK</stp>
        <stp>78370.T</stp>
        <stp>銘柄名称</stp>
        <tr r="B944" s="7"/>
      </tp>
      <tp t="s">
        <v>表示銘柄数超過</v>
        <stp/>
        <stp>Market</stp>
        <stp>STOCK</stp>
        <stp>38350.T</stp>
        <stp>銘柄名称</stp>
        <tr r="B369" s="7"/>
      </tp>
      <tp t="s">
        <v>アライドテレシスＨＬＤＧＳ</v>
        <stp/>
        <stp>Market</stp>
        <stp>STOCK</stp>
        <stp>68350.T</stp>
        <stp>銘柄名称</stp>
        <tr r="B776" s="7"/>
      </tp>
      <tp t="s">
        <v>ちゅうぎんフィナンシャ</v>
        <stp/>
        <stp>Market</stp>
        <stp>STOCK</stp>
        <stp>58320.T</stp>
        <stp>銘柄名称</stp>
        <tr r="B614" s="7"/>
      </tp>
      <tp t="s">
        <v>表示銘柄数超過</v>
        <stp/>
        <stp>Market</stp>
        <stp>STOCK</stp>
        <stp>48330.T</stp>
        <stp>銘柄名称</stp>
        <tr r="B541" s="7"/>
      </tp>
      <tp t="s">
        <v>表示銘柄数超過</v>
        <stp/>
        <stp>Market</stp>
        <stp>STOCK</stp>
        <stp>88300.T</stp>
        <stp>銘柄名称</stp>
        <tr r="B1054" s="7"/>
      </tp>
      <tp t="s">
        <v>ヤマダホールディングス</v>
        <stp/>
        <stp>Market</stp>
        <stp>STOCK</stp>
        <stp>98310.T</stp>
        <stp>銘柄名称</stp>
        <tr r="B1171" s="7"/>
      </tp>
      <tp t="s">
        <v>表示銘柄数超過</v>
        <stp/>
        <stp>Market</stp>
        <stp>STOCK</stp>
        <stp>48380.T</stp>
        <stp>銘柄名称</stp>
        <tr r="B543" s="7"/>
      </tp>
      <tp t="s">
        <v>楽天銀行</v>
        <stp/>
        <stp>Market</stp>
        <stp>STOCK</stp>
        <stp>58380.T</stp>
        <stp>銘柄名称</stp>
        <tr r="B615" s="7"/>
      </tp>
      <tp t="s">
        <v>表示銘柄数超過</v>
        <stp/>
        <stp>Market</stp>
        <stp>STOCK</stp>
        <stp>18260.T</stp>
        <stp>銘柄名称</stp>
        <tr r="B63" s="7"/>
      </tp>
      <tp t="s">
        <v>表示銘柄数超過</v>
        <stp/>
        <stp>Market</stp>
        <stp>STOCK</stp>
        <stp>38260.T</stp>
        <stp>銘柄名称</stp>
        <tr r="B368" s="7"/>
      </tp>
      <tp t="s">
        <v>表示銘柄数超過</v>
        <stp/>
        <stp>Market</stp>
        <stp>STOCK</stp>
        <stp>18270.T</stp>
        <stp>銘柄名称</stp>
        <tr r="B64" s="7"/>
      </tp>
      <tp t="s">
        <v>表示銘柄数超過</v>
        <stp/>
        <stp>Market</stp>
        <stp>STOCK</stp>
        <stp>48240.T</stp>
        <stp>銘柄名称</stp>
        <tr r="B539" s="7"/>
      </tp>
      <tp t="s">
        <v>表示銘柄数超過</v>
        <stp/>
        <stp>Market</stp>
        <stp>STOCK</stp>
        <stp>38250.T</stp>
        <stp>銘柄名称</stp>
        <tr r="B367" s="7"/>
      </tp>
      <tp t="s">
        <v>表示銘柄数超過</v>
        <stp/>
        <stp>Market</stp>
        <stp>STOCK</stp>
        <stp>38230.T</stp>
        <stp>銘柄名称</stp>
        <tr r="B366" s="7"/>
      </tp>
      <tp t="s">
        <v>アートネイチャー</v>
        <stp/>
        <stp>Market</stp>
        <stp>STOCK</stp>
        <stp>78230.T</stp>
        <stp>銘柄名称</stp>
        <tr r="B941" s="7"/>
      </tp>
      <tp t="s">
        <v>表示銘柄数超過</v>
        <stp/>
        <stp>Market</stp>
        <stp>STOCK</stp>
        <stp>48200.T</stp>
        <stp>銘柄名称</stp>
        <tr r="B538" s="7"/>
      </tp>
      <tp t="s">
        <v>表示銘柄数超過</v>
        <stp/>
        <stp>Market</stp>
        <stp>STOCK</stp>
        <stp>18210.T</stp>
        <stp>銘柄名称</stp>
        <tr r="B62" s="7"/>
      </tp>
      <tp t="s">
        <v>表示銘柄数超過</v>
        <stp/>
        <stp>Market</stp>
        <stp>STOCK</stp>
        <stp>48290.T</stp>
        <stp>銘柄名称</stp>
        <tr r="B540" s="7"/>
      </tp>
      <tp t="s">
        <v>サマンサタバサジャパン</v>
        <stp/>
        <stp>Market</stp>
        <stp>STOCK</stp>
        <stp>78290.T</stp>
        <stp>銘柄名称</stp>
        <tr r="B942" s="7"/>
      </tp>
      <tp t="s">
        <v>表示銘柄数超過</v>
        <stp/>
        <stp>Market</stp>
        <stp>STOCK</stp>
        <stp>28560.T</stp>
        <stp>銘柄名称</stp>
        <tr r="B206" s="7"/>
      </tp>
      <tp t="s">
        <v>表示銘柄数超過</v>
        <stp/>
        <stp>Market</stp>
        <stp>STOCK</stp>
        <stp>38560.T</stp>
        <stp>銘柄名称</stp>
        <tr r="B377" s="7"/>
      </tp>
      <tp t="s">
        <v>エルアイイーエイチ</v>
        <stp/>
        <stp>Market</stp>
        <stp>STOCK</stp>
        <stp>58560.T</stp>
        <stp>銘柄名称</stp>
        <tr r="B617" s="7"/>
      </tp>
      <tp t="s">
        <v>萩原工業</v>
        <stp/>
        <stp>Market</stp>
        <stp>STOCK</stp>
        <stp>78560.T</stp>
        <stp>銘柄名称</stp>
        <tr r="B947" s="7"/>
      </tp>
      <tp t="s">
        <v>表示銘柄数超過</v>
        <stp/>
        <stp>Market</stp>
        <stp>STOCK</stp>
        <stp>28570.T</stp>
        <stp>銘柄名称</stp>
        <tr r="B207" s="7"/>
      </tp>
      <tp t="s">
        <v>アドバンテスト</v>
        <stp/>
        <stp>Market</stp>
        <stp>STOCK</stp>
        <stp>68570.T</stp>
        <stp>銘柄名称</stp>
        <tr r="B778" s="7"/>
      </tp>
      <tp t="s">
        <v>表示銘柄数超過</v>
        <stp/>
        <stp>Market</stp>
        <stp>STOCK</stp>
        <stp>98540.T</stp>
        <stp>銘柄名称</stp>
        <tr r="B1174" s="7"/>
      </tp>
      <tp t="s">
        <v>表示銘柄数超過</v>
        <stp/>
        <stp>Market</stp>
        <stp>STOCK</stp>
        <stp>28520.T</stp>
        <stp>銘柄名称</stp>
        <tr r="B204" s="7"/>
      </tp>
      <tp t="s">
        <v>表示銘柄数超過</v>
        <stp/>
        <stp>Market</stp>
        <stp>STOCK</stp>
        <stp>38520.T</stp>
        <stp>銘柄名称</stp>
        <tr r="B375" s="7"/>
      </tp>
      <tp t="s">
        <v>アーレステイ</v>
        <stp/>
        <stp>Market</stp>
        <stp>STOCK</stp>
        <stp>58520.T</stp>
        <stp>銘柄名称</stp>
        <tr r="B616" s="7"/>
      </tp>
      <tp t="s">
        <v>表示銘柄数超過</v>
        <stp/>
        <stp>Market</stp>
        <stp>STOCK</stp>
        <stp>98530.T</stp>
        <stp>銘柄名称</stp>
        <tr r="B1173" s="7"/>
      </tp>
      <tp t="s">
        <v>表示銘柄数超過</v>
        <stp/>
        <stp>Market</stp>
        <stp>STOCK</stp>
        <stp>28530.T</stp>
        <stp>銘柄名称</stp>
        <tr r="B205" s="7"/>
      </tp>
      <tp t="s">
        <v>表示銘柄数超過</v>
        <stp/>
        <stp>Market</stp>
        <stp>STOCK</stp>
        <stp>38530.T</stp>
        <stp>銘柄名称</stp>
        <tr r="B376" s="7"/>
      </tp>
      <tp t="s">
        <v>表示銘柄数超過</v>
        <stp/>
        <stp>Market</stp>
        <stp>STOCK</stp>
        <stp>38500.T</stp>
        <stp>銘柄名称</stp>
        <tr r="B373" s="7"/>
      </tp>
      <tp t="s">
        <v>表示銘柄数超過</v>
        <stp/>
        <stp>Market</stp>
        <stp>STOCK</stp>
        <stp>28510.T</stp>
        <stp>銘柄名称</stp>
        <tr r="B203" s="7"/>
      </tp>
      <tp t="s">
        <v>表示銘柄数超過</v>
        <stp/>
        <stp>Market</stp>
        <stp>STOCK</stp>
        <stp>38510.T</stp>
        <stp>銘柄名称</stp>
        <tr r="B374" s="7"/>
      </tp>
      <tp t="s">
        <v>カワセコンピュータサプライ</v>
        <stp/>
        <stp>Market</stp>
        <stp>STOCK</stp>
        <stp>78510.T</stp>
        <stp>銘柄名称</stp>
        <tr r="B946" s="7"/>
      </tp>
      <tp t="s">
        <v>表示銘柄数超過</v>
        <stp/>
        <stp>Market</stp>
        <stp>STOCK</stp>
        <stp>28580.T</stp>
        <stp>銘柄名称</stp>
        <tr r="B208" s="7"/>
      </tp>
      <tp t="s">
        <v>表示銘柄数超過</v>
        <stp/>
        <stp>Market</stp>
        <stp>STOCK</stp>
        <stp>38580.T</stp>
        <stp>銘柄名称</stp>
        <tr r="B378" s="7"/>
      </tp>
      <tp t="s">
        <v>アルメディオ</v>
        <stp/>
        <stp>Market</stp>
        <stp>STOCK</stp>
        <stp>78590.T</stp>
        <stp>銘柄名称</stp>
        <tr r="B948" s="7"/>
      </tp>
      <tp t="s">
        <v>表示銘柄数超過</v>
        <stp/>
        <stp>Market</stp>
        <stp>STOCK</stp>
        <stp>48470.T</stp>
        <stp>銘柄名称</stp>
        <tr r="B544" s="7"/>
      </tp>
      <tp t="s">
        <v>表示銘柄数超過</v>
        <stp/>
        <stp>Market</stp>
        <stp>STOCK</stp>
        <stp>88440.T</stp>
        <stp>銘柄名称</stp>
        <tr r="B1056" s="7"/>
      </tp>
      <tp t="s">
        <v>表示銘柄数超過</v>
        <stp/>
        <stp>Market</stp>
        <stp>STOCK</stp>
        <stp>18440.T</stp>
        <stp>銘柄名称</stp>
        <tr r="B66" s="7"/>
      </tp>
      <tp t="s">
        <v>マーベラス</v>
        <stp/>
        <stp>Market</stp>
        <stp>STOCK</stp>
        <stp>78440.T</stp>
        <stp>銘柄名称</stp>
        <tr r="B945" s="7"/>
      </tp>
      <tp t="s">
        <v>表示銘柄数超過</v>
        <stp/>
        <stp>Market</stp>
        <stp>STOCK</stp>
        <stp>28450.T</stp>
        <stp>銘柄名称</stp>
        <tr r="B202" s="7"/>
      </tp>
      <tp t="s">
        <v>表示銘柄数超過</v>
        <stp/>
        <stp>Market</stp>
        <stp>STOCK</stp>
        <stp>38450.T</stp>
        <stp>銘柄名称</stp>
        <tr r="B372" s="7"/>
      </tp>
      <tp t="s">
        <v>表示銘柄数超過</v>
        <stp/>
        <stp>Market</stp>
        <stp>STOCK</stp>
        <stp>98420.T</stp>
        <stp>銘柄名称</stp>
        <tr r="B1172" s="7"/>
      </tp>
      <tp t="s">
        <v>表示銘柄数超過</v>
        <stp/>
        <stp>Market</stp>
        <stp>STOCK</stp>
        <stp>38420.T</stp>
        <stp>銘柄名称</stp>
        <tr r="B371" s="7"/>
      </tp>
      <tp t="s">
        <v>表示銘柄数超過</v>
        <stp/>
        <stp>Market</stp>
        <stp>STOCK</stp>
        <stp>18400.T</stp>
        <stp>銘柄名称</stp>
        <tr r="B65" s="7"/>
      </tp>
      <tp t="s">
        <v>表示銘柄数超過</v>
        <stp/>
        <stp>Market</stp>
        <stp>STOCK</stp>
        <stp>38400.T</stp>
        <stp>銘柄名称</stp>
        <tr r="B370" s="7"/>
      </tp>
      <tp t="s">
        <v>ＡＫＩＢＡホールディングス</v>
        <stp/>
        <stp>Market</stp>
        <stp>STOCK</stp>
        <stp>68400.T</stp>
        <stp>銘柄名称</stp>
        <tr r="B777" s="7"/>
      </tp>
      <tp t="s">
        <v>表示銘柄数超過</v>
        <stp/>
        <stp>Market</stp>
        <stp>STOCK</stp>
        <stp>88410.T</stp>
        <stp>銘柄名称</stp>
        <tr r="B1055" s="7"/>
      </tp>
      <tp t="s">
        <v>表示銘柄数超過</v>
        <stp/>
        <stp>Market</stp>
        <stp>STOCK</stp>
        <stp>18480.T</stp>
        <stp>銘柄名称</stp>
        <tr r="B67" s="7"/>
      </tp>
      <tp t="s">
        <v>表示銘柄数超過</v>
        <stp/>
        <stp>Market</stp>
        <stp>STOCK</stp>
        <stp>98760.T</stp>
        <stp>銘柄名称</stp>
        <tr r="B1175" s="7"/>
      </tp>
      <tp t="s">
        <v>表示銘柄数超過</v>
        <stp/>
        <stp>Market</stp>
        <stp>STOCK</stp>
        <stp>28750.T</stp>
        <stp>銘柄名称</stp>
        <tr r="B211" s="7"/>
      </tp>
      <tp t="s">
        <v>日本マイクロニクス</v>
        <stp/>
        <stp>Market</stp>
        <stp>STOCK</stp>
        <stp>68710.T</stp>
        <stp>銘柄名称</stp>
        <tr r="B782" s="7"/>
      </tp>
      <tp t="s">
        <v>表示銘柄数超過</v>
        <stp/>
        <stp>Market</stp>
        <stp>STOCK</stp>
        <stp>18790.T</stp>
        <stp>銘柄名称</stp>
        <tr r="B68" s="7"/>
      </tp>
      <tp t="s">
        <v>リーダー電子</v>
        <stp/>
        <stp>Market</stp>
        <stp>STOCK</stp>
        <stp>68670.T</stp>
        <stp>銘柄名称</stp>
        <tr r="B781" s="7"/>
      </tp>
      <tp t="s">
        <v>タカラトミー</v>
        <stp/>
        <stp>Market</stp>
        <stp>STOCK</stp>
        <stp>78670.T</stp>
        <stp>銘柄名称</stp>
        <tr r="B949" s="7"/>
      </tp>
      <tp t="s">
        <v>表示銘柄数超過</v>
        <stp/>
        <stp>Market</stp>
        <stp>STOCK</stp>
        <stp>38640.T</stp>
        <stp>銘柄名称</stp>
        <tr r="B381" s="7"/>
      </tp>
      <tp t="s">
        <v>表示銘柄数超過</v>
        <stp/>
        <stp>Market</stp>
        <stp>STOCK</stp>
        <stp>28650.T</stp>
        <stp>銘柄名称</stp>
        <tr r="B209" s="7"/>
      </tp>
      <tp t="s">
        <v>表示銘柄数超過</v>
        <stp/>
        <stp>Market</stp>
        <stp>STOCK</stp>
        <stp>38650.T</stp>
        <stp>銘柄名称</stp>
        <tr r="B382" s="7"/>
      </tp>
      <tp t="s">
        <v>ミナトホールディングス</v>
        <stp/>
        <stp>Market</stp>
        <stp>STOCK</stp>
        <stp>68620.T</stp>
        <stp>銘柄名称</stp>
        <tr r="B779" s="7"/>
      </tp>
      <tp t="s">
        <v>表示銘柄数超過</v>
        <stp/>
        <stp>Market</stp>
        <stp>STOCK</stp>
        <stp>38630.T</stp>
        <stp>銘柄名称</stp>
        <tr r="B380" s="7"/>
      </tp>
      <tp t="s">
        <v>ニレコ</v>
        <stp/>
        <stp>Market</stp>
        <stp>STOCK</stp>
        <stp>68630.T</stp>
        <stp>銘柄名称</stp>
        <tr r="B780" s="7"/>
      </tp>
      <tp t="s">
        <v>表示銘柄数超過</v>
        <stp/>
        <stp>Market</stp>
        <stp>STOCK</stp>
        <stp>38610.T</stp>
        <stp>銘柄名称</stp>
        <tr r="B379" s="7"/>
      </tp>
      <tp t="s">
        <v>表示銘柄数超過</v>
        <stp/>
        <stp>Market</stp>
        <stp>STOCK</stp>
        <stp>28680.T</stp>
        <stp>銘柄名称</stp>
        <tr r="B210" s="7"/>
      </tp>
      <tp t="s">
        <v>広済堂ホールディングス</v>
        <stp/>
        <stp>Market</stp>
        <stp>STOCK</stp>
        <stp>78680.T</stp>
        <stp>銘柄名称</stp>
        <tr r="B950" s="7"/>
      </tp>
    </main>
    <main first="rtdsrv.662c26bade854d00aebc6010f8a2e03a">
      <tp t="s">
        <v>表示銘柄数超過</v>
        <stp/>
        <stp>Market</stp>
        <stp>STOCK</stp>
        <stp>89960.T</stp>
        <stp>銘柄名称</stp>
        <tr r="B1072" s="7"/>
      </tp>
      <tp t="s">
        <v>表示銘柄数超過</v>
        <stp/>
        <stp>Market</stp>
        <stp>STOCK</stp>
        <stp>29970.T</stp>
        <stp>銘柄名称</stp>
        <tr r="B220" s="7"/>
      </tp>
      <tp t="s">
        <v>表示銘柄数超過</v>
        <stp/>
        <stp>Market</stp>
        <stp>STOCK</stp>
        <stp>39970.T</stp>
        <stp>銘柄名称</stp>
        <tr r="B408" s="7"/>
      </tp>
      <tp t="s">
        <v>日本農薬</v>
        <stp/>
        <stp>Market</stp>
        <stp>STOCK</stp>
        <stp>49970.T</stp>
        <stp>銘柄名称</stp>
        <tr r="B557" s="7"/>
      </tp>
      <tp t="s">
        <v>協立エアテック</v>
        <stp/>
        <stp>Market</stp>
        <stp>STOCK</stp>
        <stp>59970.T</stp>
        <stp>銘柄名称</stp>
        <tr r="B635" s="7"/>
      </tp>
      <tp t="s">
        <v>日本ケミコン</v>
        <stp/>
        <stp>Market</stp>
        <stp>STOCK</stp>
        <stp>69970.T</stp>
        <stp>銘柄名称</stp>
        <tr r="B803" s="7"/>
      </tp>
      <tp t="s">
        <v>くろがね工作所</v>
        <stp/>
        <stp>Market</stp>
        <stp>STOCK</stp>
        <stp>79970.T</stp>
        <stp>銘柄名称</stp>
        <tr r="B963" s="7"/>
      </tp>
      <tp t="s">
        <v>表示銘柄数超過</v>
        <stp/>
        <stp>Market</stp>
        <stp>STOCK</stp>
        <stp>19940.T</stp>
        <stp>銘柄名称</stp>
        <tr r="B86" s="7"/>
      </tp>
      <tp t="s">
        <v>ファインシンター</v>
        <stp/>
        <stp>Market</stp>
        <stp>STOCK</stp>
        <stp>59940.T</stp>
        <stp>銘柄名称</stp>
        <tr r="B634" s="7"/>
      </tp>
      <tp t="s">
        <v>指月電機</v>
        <stp/>
        <stp>Market</stp>
        <stp>STOCK</stp>
        <stp>69940.T</stp>
        <stp>銘柄名称</stp>
        <tr r="B802" s="7"/>
      </tp>
      <tp t="s">
        <v>表示銘柄数超過</v>
        <stp/>
        <stp>Market</stp>
        <stp>STOCK</stp>
        <stp>99950.T</stp>
        <stp>銘柄名称</stp>
        <tr r="B1191" s="7"/>
      </tp>
      <tp t="s">
        <v>表示銘柄数超過</v>
        <stp/>
        <stp>Market</stp>
        <stp>STOCK</stp>
        <stp>39950.T</stp>
        <stp>銘柄名称</stp>
        <tr r="B407" s="7"/>
      </tp>
      <tp t="s">
        <v>表示銘柄数超過</v>
        <stp/>
        <stp>Market</stp>
        <stp>STOCK</stp>
        <stp>39920.T</stp>
        <stp>銘柄名称</stp>
        <tr r="B406" s="7"/>
      </tp>
      <tp t="s">
        <v>表示銘柄数超過</v>
        <stp/>
        <stp>Market</stp>
        <stp>STOCK</stp>
        <stp>29930.T</stp>
        <stp>銘柄名称</stp>
        <tr r="B219" s="7"/>
      </tp>
      <tp t="s">
        <v>大黒屋ホールディングス</v>
        <stp/>
        <stp>Market</stp>
        <stp>STOCK</stp>
        <stp>69930.T</stp>
        <stp>銘柄名称</stp>
        <tr r="B801" s="7"/>
      </tp>
      <tp t="s">
        <v>表示銘柄数超過</v>
        <stp/>
        <stp>Market</stp>
        <stp>STOCK</stp>
        <stp>99900.T</stp>
        <stp>銘柄名称</stp>
        <tr r="B1190" s="7"/>
      </tp>
      <tp t="s">
        <v>表示銘柄数超過</v>
        <stp/>
        <stp>Market</stp>
        <stp>STOCK</stp>
        <stp>39900.T</stp>
        <stp>銘柄名称</stp>
        <tr r="B405" s="7"/>
      </tp>
      <tp t="s">
        <v>日本発条</v>
        <stp/>
        <stp>Market</stp>
        <stp>STOCK</stp>
        <stp>59910.T</stp>
        <stp>銘柄名称</stp>
        <tr r="B633" s="7"/>
      </tp>
      <tp t="s">
        <v>表示銘柄数超過</v>
        <stp/>
        <stp>Market</stp>
        <stp>STOCK</stp>
        <stp>39980.T</stp>
        <stp>銘柄名称</stp>
        <tr r="B409" s="7"/>
      </tp>
      <tp t="s">
        <v>モリテックスチル</v>
        <stp/>
        <stp>Market</stp>
        <stp>STOCK</stp>
        <stp>59860.T</stp>
        <stp>銘柄名称</stp>
        <tr r="B632" s="7"/>
      </tp>
      <tp t="s">
        <v>双葉電子工業</v>
        <stp/>
        <stp>Market</stp>
        <stp>STOCK</stp>
        <stp>69860.T</stp>
        <stp>銘柄名称</stp>
        <tr r="B800" s="7"/>
      </tp>
      <tp t="s">
        <v>表示銘柄数超過</v>
        <stp/>
        <stp>Market</stp>
        <stp>STOCK</stp>
        <stp>29870.T</stp>
        <stp>銘柄名称</stp>
        <tr r="B218" s="7"/>
      </tp>
      <tp t="s">
        <v>表示銘柄数超過</v>
        <stp/>
        <stp>Market</stp>
        <stp>STOCK</stp>
        <stp>39870.T</stp>
        <stp>銘柄名称</stp>
        <tr r="B403" s="7"/>
      </tp>
      <tp t="s">
        <v>表示銘柄数超過</v>
        <stp/>
        <stp>Market</stp>
        <stp>STOCK</stp>
        <stp>99840.T</stp>
        <stp>銘柄名称</stp>
        <tr r="B1189" s="7"/>
      </tp>
      <tp t="s">
        <v>表示銘柄数超過</v>
        <stp/>
        <stp>Market</stp>
        <stp>STOCK</stp>
        <stp>99820.T</stp>
        <stp>銘柄名称</stp>
        <tr r="B1188" s="7"/>
      </tp>
      <tp t="s">
        <v>表示銘柄数超過</v>
        <stp/>
        <stp>Market</stp>
        <stp>STOCK</stp>
        <stp>29820.T</stp>
        <stp>銘柄名称</stp>
        <tr r="B217" s="7"/>
      </tp>
      <tp t="s">
        <v>リード</v>
        <stp/>
        <stp>Market</stp>
        <stp>STOCK</stp>
        <stp>69820.T</stp>
        <stp>銘柄名称</stp>
        <tr r="B799" s="7"/>
      </tp>
      <tp t="s">
        <v>表示銘柄数超過</v>
        <stp/>
        <stp>Market</stp>
        <stp>STOCK</stp>
        <stp>99800.T</stp>
        <stp>銘柄名称</stp>
        <tr r="B1187" s="7"/>
      </tp>
      <tp t="s">
        <v>東京製綱</v>
        <stp/>
        <stp>Market</stp>
        <stp>STOCK</stp>
        <stp>59810.T</stp>
        <stp>銘柄名称</stp>
        <tr r="B631" s="7"/>
      </tp>
      <tp t="s">
        <v>村田製作所</v>
        <stp/>
        <stp>Market</stp>
        <stp>STOCK</stp>
        <stp>69810.T</stp>
        <stp>銘柄名称</stp>
        <tr r="B798" s="7"/>
      </tp>
      <tp t="s">
        <v>表示銘柄数超過</v>
        <stp/>
        <stp>Market</stp>
        <stp>STOCK</stp>
        <stp>39890.T</stp>
        <stp>銘柄名称</stp>
        <tr r="B404" s="7"/>
      </tp>
      <tp t="s">
        <v>表示銘柄数超過</v>
        <stp/>
        <stp>Market</stp>
        <stp>STOCK</stp>
        <stp>39170.T</stp>
        <stp>銘柄名称</stp>
        <tr r="B391" s="7"/>
      </tp>
      <tp t="s">
        <v>表示銘柄数超過</v>
        <stp/>
        <stp>Market</stp>
        <stp>STOCK</stp>
        <stp>19140.T</stp>
        <stp>銘柄名称</stp>
        <tr r="B73" s="7"/>
      </tp>
      <tp t="s">
        <v>日本たばこ産業</v>
        <stp/>
        <stp>Market</stp>
        <stp>STOCK</stp>
        <stp>29140.T</stp>
        <stp>銘柄名称</stp>
        <tr r="B214" s="7"/>
      </tp>
      <tp t="s">
        <v>表示銘柄数超過</v>
        <stp/>
        <stp>Market</stp>
        <stp>STOCK</stp>
        <stp>89120.T</stp>
        <stp>銘柄名称</stp>
        <tr r="B1063" s="7"/>
      </tp>
      <tp t="s">
        <v>表示銘柄数超過</v>
        <stp/>
        <stp>Market</stp>
        <stp>STOCK</stp>
        <stp>49120.T</stp>
        <stp>銘柄名称</stp>
        <tr r="B552" s="7"/>
      </tp>
      <tp t="s">
        <v>表示銘柄数超過</v>
        <stp/>
        <stp>Market</stp>
        <stp>STOCK</stp>
        <stp>39100.T</stp>
        <stp>銘柄名称</stp>
        <tr r="B389" s="7"/>
      </tp>
      <tp t="s">
        <v>表示銘柄数超過</v>
        <stp/>
        <stp>Market</stp>
        <stp>STOCK</stp>
        <stp>19110.T</stp>
        <stp>銘柄名称</stp>
        <tr r="B72" s="7"/>
      </tp>
      <tp t="s">
        <v>表示銘柄数超過</v>
        <stp/>
        <stp>Market</stp>
        <stp>STOCK</stp>
        <stp>39110.T</stp>
        <stp>銘柄名称</stp>
        <tr r="B390" s="7"/>
      </tp>
      <tp t="s">
        <v>ＴＯＰＰＡＮホールディングス</v>
        <stp/>
        <stp>Market</stp>
        <stp>STOCK</stp>
        <stp>79110.T</stp>
        <stp>銘柄名称</stp>
        <tr r="B954" s="7"/>
      </tp>
      <tp t="s">
        <v>表示銘柄数超過</v>
        <stp/>
        <stp>Market</stp>
        <stp>STOCK</stp>
        <stp>89180.T</stp>
        <stp>銘柄名称</stp>
        <tr r="B1064" s="7"/>
      </tp>
      <tp t="s">
        <v>ヴィア・ホールディングス</v>
        <stp/>
        <stp>Market</stp>
        <stp>STOCK</stp>
        <stp>79180.T</stp>
        <stp>銘柄名称</stp>
        <tr r="B955" s="7"/>
      </tp>
      <tp t="s">
        <v>表示銘柄数超過</v>
        <stp/>
        <stp>Market</stp>
        <stp>STOCK</stp>
        <stp>99190.T</stp>
        <stp>銘柄名称</stp>
        <tr r="B1180" s="7"/>
      </tp>
      <tp t="s">
        <v>野崎印刷</v>
        <stp/>
        <stp>Market</stp>
        <stp>STOCK</stp>
        <stp>79190.T</stp>
        <stp>銘柄名称</stp>
        <tr r="B956" s="7"/>
      </tp>
      <tp t="s">
        <v>表示銘柄数超過</v>
        <stp/>
        <stp>Market</stp>
        <stp>STOCK</stp>
        <stp>39070.T</stp>
        <stp>銘柄名称</stp>
        <tr r="B387" s="7"/>
      </tp>
      <tp t="s">
        <v>ジオマテック</v>
        <stp/>
        <stp>Market</stp>
        <stp>STOCK</stp>
        <stp>69070.T</stp>
        <stp>銘柄名称</stp>
        <tr r="B786" s="7"/>
      </tp>
      <tp t="s">
        <v>表示銘柄数超過</v>
        <stp/>
        <stp>Market</stp>
        <stp>STOCK</stp>
        <stp>99040.T</stp>
        <stp>銘柄名称</stp>
        <tr r="B1178" s="7"/>
      </tp>
      <tp t="s">
        <v>表示銘柄数超過</v>
        <stp/>
        <stp>Market</stp>
        <stp>STOCK</stp>
        <stp>89050.T</stp>
        <stp>銘柄名称</stp>
        <tr r="B1062" s="7"/>
      </tp>
      <tp t="s">
        <v>コーセル</v>
        <stp/>
        <stp>Market</stp>
        <stp>STOCK</stp>
        <stp>69050.T</stp>
        <stp>銘柄名称</stp>
        <tr r="B785" s="7"/>
      </tp>
      <tp t="s">
        <v>表示銘柄数超過</v>
        <stp/>
        <stp>Market</stp>
        <stp>STOCK</stp>
        <stp>39020.T</stp>
        <stp>銘柄名称</stp>
        <tr r="B385" s="7"/>
      </tp>
      <tp t="s">
        <v>表示銘柄数超過</v>
        <stp/>
        <stp>Market</stp>
        <stp>STOCK</stp>
        <stp>49020.T</stp>
        <stp>銘柄名称</stp>
        <tr r="B551" s="7"/>
      </tp>
      <tp t="s">
        <v>デンソー</v>
        <stp/>
        <stp>Market</stp>
        <stp>STOCK</stp>
        <stp>69020.T</stp>
        <stp>銘柄名称</stp>
        <tr r="B784" s="7"/>
      </tp>
      <tp t="s">
        <v>表示銘柄数超過</v>
        <stp/>
        <stp>Market</stp>
        <stp>STOCK</stp>
        <stp>39030.T</stp>
        <stp>銘柄名称</stp>
        <tr r="B386" s="7"/>
      </tp>
      <tp t="s">
        <v>表示銘柄数超過</v>
        <stp/>
        <stp>Market</stp>
        <stp>STOCK</stp>
        <stp>39000.T</stp>
        <stp>銘柄名称</stp>
        <tr r="B384" s="7"/>
      </tp>
      <tp t="s">
        <v>表示銘柄数超過</v>
        <stp/>
        <stp>Market</stp>
        <stp>STOCK</stp>
        <stp>29010.T</stp>
        <stp>銘柄名称</stp>
        <tr r="B213" s="7"/>
      </tp>
      <tp t="s">
        <v>表示銘柄数超過</v>
        <stp/>
        <stp>Market</stp>
        <stp>STOCK</stp>
        <stp>99080.T</stp>
        <stp>銘柄名称</stp>
        <tr r="B1179" s="7"/>
      </tp>
      <tp t="s">
        <v>きもと</v>
        <stp/>
        <stp>Market</stp>
        <stp>STOCK</stp>
        <stp>79080.T</stp>
        <stp>銘柄名称</stp>
        <tr r="B953" s="7"/>
      </tp>
      <tp t="s">
        <v>表示銘柄数超過</v>
        <stp/>
        <stp>Market</stp>
        <stp>STOCK</stp>
        <stp>39090.T</stp>
        <stp>銘柄名称</stp>
        <tr r="B388" s="7"/>
      </tp>
      <tp t="s">
        <v>コロナ</v>
        <stp/>
        <stp>Market</stp>
        <stp>STOCK</stp>
        <stp>59090.T</stp>
        <stp>銘柄名称</stp>
        <tr r="B618" s="7"/>
      </tp>
      <tp t="s">
        <v>東洋シヤツタ－</v>
        <stp/>
        <stp>Market</stp>
        <stp>STOCK</stp>
        <stp>59360.T</stp>
        <stp>銘柄名称</stp>
        <tr r="B620" s="7"/>
      </tp>
      <tp t="s">
        <v>表示銘柄数超過</v>
        <stp/>
        <stp>Market</stp>
        <stp>STOCK</stp>
        <stp>39340.T</stp>
        <stp>銘柄名称</stp>
        <tr r="B396" s="7"/>
      </tp>
      <tp t="s">
        <v>表示銘柄数超過</v>
        <stp/>
        <stp>Market</stp>
        <stp>STOCK</stp>
        <stp>39350.T</stp>
        <stp>銘柄名称</stp>
        <tr r="B397" s="7"/>
      </tp>
      <tp t="s">
        <v>表示銘柄数超過</v>
        <stp/>
        <stp>Market</stp>
        <stp>STOCK</stp>
        <stp>99300.T</stp>
        <stp>銘柄名称</stp>
        <tr r="B1183" s="7"/>
      </tp>
      <tp t="s">
        <v>表示銘柄数超過</v>
        <stp/>
        <stp>Market</stp>
        <stp>STOCK</stp>
        <stp>19300.T</stp>
        <stp>銘柄名称</stp>
        <tr r="B76" s="7"/>
      </tp>
      <tp t="s">
        <v>表示銘柄数超過</v>
        <stp/>
        <stp>Market</stp>
        <stp>STOCK</stp>
        <stp>29300.T</stp>
        <stp>銘柄名称</stp>
        <tr r="B216" s="7"/>
      </tp>
      <tp t="s">
        <v>表示銘柄数超過</v>
        <stp/>
        <stp>Market</stp>
        <stp>STOCK</stp>
        <stp>89380.T</stp>
        <stp>銘柄名称</stp>
        <tr r="B1068" s="7"/>
      </tp>
      <tp t="s">
        <v>表示銘柄数超過</v>
        <stp/>
        <stp>Market</stp>
        <stp>STOCK</stp>
        <stp>19380.T</stp>
        <stp>銘柄名称</stp>
        <tr r="B77" s="7"/>
      </tp>
      <tp t="s">
        <v>ＬＩＸＩＬ</v>
        <stp/>
        <stp>Market</stp>
        <stp>STOCK</stp>
        <stp>59380.T</stp>
        <stp>銘柄名称</stp>
        <tr r="B621" s="7"/>
      </tp>
      <tp t="s">
        <v>双信電機</v>
        <stp/>
        <stp>Market</stp>
        <stp>STOCK</stp>
        <stp>69380.T</stp>
        <stp>銘柄名称</stp>
        <tr r="B790" s="7"/>
      </tp>
      <tp t="s">
        <v>表示銘柄数超過</v>
        <stp/>
        <stp>Market</stp>
        <stp>STOCK</stp>
        <stp>19390.T</stp>
        <stp>銘柄名称</stp>
        <tr r="B78" s="7"/>
      </tp>
      <tp t="s">
        <v>表示銘柄数超過</v>
        <stp/>
        <stp>Market</stp>
        <stp>STOCK</stp>
        <stp>39390.T</stp>
        <stp>銘柄名称</stp>
        <tr r="B398" s="7"/>
      </tp>
      <tp t="s">
        <v>表示銘柄数超過</v>
        <stp/>
        <stp>Market</stp>
        <stp>STOCK</stp>
        <stp>29260.T</stp>
        <stp>銘柄名称</stp>
        <tr r="B215" s="7"/>
      </tp>
      <tp t="s">
        <v>表示銘柄数超過</v>
        <stp/>
        <stp>Market</stp>
        <stp>STOCK</stp>
        <stp>89270.T</stp>
        <stp>銘柄名称</stp>
        <tr r="B1067" s="7"/>
      </tp>
      <tp t="s">
        <v>表示銘柄数超過</v>
        <stp/>
        <stp>Market</stp>
        <stp>STOCK</stp>
        <stp>99270.T</stp>
        <stp>銘柄名称</stp>
        <tr r="B1181" s="7"/>
      </tp>
      <tp t="s">
        <v>表示銘柄数超過</v>
        <stp/>
        <stp>Market</stp>
        <stp>STOCK</stp>
        <stp>39270.T</stp>
        <stp>銘柄名称</stp>
        <tr r="B393" s="7"/>
      </tp>
      <tp t="s">
        <v>ヘリオステクノＨ</v>
        <stp/>
        <stp>Market</stp>
        <stp>STOCK</stp>
        <stp>69270.T</stp>
        <stp>銘柄名称</stp>
        <tr r="B789" s="7"/>
      </tp>
      <tp t="s">
        <v>表示銘柄数超過</v>
        <stp/>
        <stp>Market</stp>
        <stp>STOCK</stp>
        <stp>89250.T</stp>
        <stp>銘柄名称</stp>
        <tr r="B1066" s="7"/>
      </tp>
      <tp t="s">
        <v>表示銘柄数超過</v>
        <stp/>
        <stp>Market</stp>
        <stp>STOCK</stp>
        <stp>19250.T</stp>
        <stp>銘柄名称</stp>
        <tr r="B74" s="7"/>
      </tp>
      <tp t="s">
        <v>表示銘柄数超過</v>
        <stp/>
        <stp>Market</stp>
        <stp>STOCK</stp>
        <stp>89230.T</stp>
        <stp>銘柄名称</stp>
        <tr r="B1065" s="7"/>
      </tp>
      <tp t="s">
        <v>スタンレー電気</v>
        <stp/>
        <stp>Market</stp>
        <stp>STOCK</stp>
        <stp>69230.T</stp>
        <stp>銘柄名称</stp>
        <tr r="B788" s="7"/>
      </tp>
      <tp t="s">
        <v>表示銘柄数超過</v>
        <stp/>
        <stp>Market</stp>
        <stp>STOCK</stp>
        <stp>39200.T</stp>
        <stp>銘柄名称</stp>
        <tr r="B392" s="7"/>
      </tp>
      <tp t="s">
        <v>表示銘柄数超過</v>
        <stp/>
        <stp>Market</stp>
        <stp>STOCK</stp>
        <stp>49200.T</stp>
        <stp>銘柄名称</stp>
        <tr r="B553" s="7"/>
      </tp>
      <tp t="s">
        <v>レーザーテック</v>
        <stp/>
        <stp>Market</stp>
        <stp>STOCK</stp>
        <stp>69200.T</stp>
        <stp>銘柄名称</stp>
        <tr r="B787" s="7"/>
      </tp>
      <tp t="s">
        <v>表示銘柄数超過</v>
        <stp/>
        <stp>Market</stp>
        <stp>STOCK</stp>
        <stp>99280.T</stp>
        <stp>銘柄名称</stp>
        <tr r="B1182" s="7"/>
      </tp>
      <tp t="s">
        <v>表示銘柄数超過</v>
        <stp/>
        <stp>Market</stp>
        <stp>STOCK</stp>
        <stp>19280.T</stp>
        <stp>銘柄名称</stp>
        <tr r="B75" s="7"/>
      </tp>
      <tp t="s">
        <v>表示銘柄数超過</v>
        <stp/>
        <stp>Market</stp>
        <stp>STOCK</stp>
        <stp>39280.T</stp>
        <stp>銘柄名称</stp>
        <tr r="B394" s="7"/>
      </tp>
      <tp t="s">
        <v>アルメタックス</v>
        <stp/>
        <stp>Market</stp>
        <stp>STOCK</stp>
        <stp>59280.T</stp>
        <stp>銘柄名称</stp>
        <tr r="B619" s="7"/>
      </tp>
      <tp t="s">
        <v>表示銘柄数超過</v>
        <stp/>
        <stp>Market</stp>
        <stp>STOCK</stp>
        <stp>39290.T</stp>
        <stp>銘柄名称</stp>
        <tr r="B395" s="7"/>
      </tp>
      <tp t="s">
        <v>ファナック</v>
        <stp/>
        <stp>Market</stp>
        <stp>STOCK</stp>
        <stp>69540.T</stp>
        <stp>銘柄名称</stp>
        <tr r="B794" s="7"/>
      </tp>
      <tp t="s">
        <v>ヤマシナ</v>
        <stp/>
        <stp>Market</stp>
        <stp>STOCK</stp>
        <stp>59550.T</stp>
        <stp>銘柄名称</stp>
        <tr r="B627" s="7"/>
      </tp>
      <tp t="s">
        <v>ＦＤＫ</v>
        <stp/>
        <stp>Market</stp>
        <stp>STOCK</stp>
        <stp>69550.T</stp>
        <stp>銘柄名称</stp>
        <tr r="B795" s="7"/>
      </tp>
      <tp t="s">
        <v>クリナップ</v>
        <stp/>
        <stp>Market</stp>
        <stp>STOCK</stp>
        <stp>79550.T</stp>
        <stp>銘柄名称</stp>
        <tr r="B959" s="7"/>
      </tp>
      <tp t="s">
        <v>アマテイ</v>
        <stp/>
        <stp>Market</stp>
        <stp>STOCK</stp>
        <stp>59520.T</stp>
        <stp>銘柄名称</stp>
        <tr r="B626" s="7"/>
      </tp>
      <tp t="s">
        <v>カシオ</v>
        <stp/>
        <stp>Market</stp>
        <stp>STOCK</stp>
        <stp>69520.T</stp>
        <stp>銘柄名称</stp>
        <tr r="B793" s="7"/>
      </tp>
      <tp t="s">
        <v>菊水化学工業</v>
        <stp/>
        <stp>Market</stp>
        <stp>STOCK</stp>
        <stp>79530.T</stp>
        <stp>銘柄名称</stp>
        <tr r="B958" s="7"/>
      </tp>
      <tp t="s">
        <v>表示銘柄数超過</v>
        <stp/>
        <stp>Market</stp>
        <stp>STOCK</stp>
        <stp>19500.T</stp>
        <stp>銘柄名称</stp>
        <tr r="B81" s="7"/>
      </tp>
      <tp t="s">
        <v>日本パワーファスニング</v>
        <stp/>
        <stp>Market</stp>
        <stp>STOCK</stp>
        <stp>59500.T</stp>
        <stp>銘柄名称</stp>
        <tr r="B625" s="7"/>
      </tp>
      <tp t="s">
        <v>日本シイエムケイ</v>
        <stp/>
        <stp>Market</stp>
        <stp>STOCK</stp>
        <stp>69580.T</stp>
        <stp>銘柄名称</stp>
        <tr r="B796" s="7"/>
      </tp>
      <tp t="s">
        <v>表示銘柄数超過</v>
        <stp/>
        <stp>Market</stp>
        <stp>STOCK</stp>
        <stp>89460.T</stp>
        <stp>銘柄名称</stp>
        <tr r="B1071" s="7"/>
      </tp>
      <tp t="s">
        <v>表示銘柄数超過</v>
        <stp/>
        <stp>Market</stp>
        <stp>STOCK</stp>
        <stp>99460.T</stp>
        <stp>銘柄名称</stp>
        <tr r="B1184" s="7"/>
      </tp>
      <tp t="s">
        <v>リンナイ</v>
        <stp/>
        <stp>Market</stp>
        <stp>STOCK</stp>
        <stp>59470.T</stp>
        <stp>銘柄名称</stp>
        <tr r="B623" s="7"/>
      </tp>
      <tp t="s">
        <v>表示銘柄数超過</v>
        <stp/>
        <stp>Market</stp>
        <stp>STOCK</stp>
        <stp>89440.T</stp>
        <stp>銘柄名称</stp>
        <tr r="B1069" s="7"/>
      </tp>
      <tp t="s">
        <v>表示銘柄数超過</v>
        <stp/>
        <stp>Market</stp>
        <stp>STOCK</stp>
        <stp>89450.T</stp>
        <stp>銘柄名称</stp>
        <tr r="B1070" s="7"/>
      </tp>
      <tp t="s">
        <v>表示銘柄数超過</v>
        <stp/>
        <stp>Market</stp>
        <stp>STOCK</stp>
        <stp>19420.T</stp>
        <stp>銘柄名称</stp>
        <tr r="B80" s="7"/>
      </tp>
      <tp t="s">
        <v>ソフィアホールディングス</v>
        <stp/>
        <stp>Market</stp>
        <stp>STOCK</stp>
        <stp>69420.T</stp>
        <stp>銘柄名称</stp>
        <tr r="B792" s="7"/>
      </tp>
      <tp t="s">
        <v>表示銘柄数超過</v>
        <stp/>
        <stp>Market</stp>
        <stp>STOCK</stp>
        <stp>39400.T</stp>
        <stp>銘柄名称</stp>
        <tr r="B399" s="7"/>
      </tp>
      <tp t="s">
        <v>不二サッシ</v>
        <stp/>
        <stp>Market</stp>
        <stp>STOCK</stp>
        <stp>59400.T</stp>
        <stp>銘柄名称</stp>
        <tr r="B622" s="7"/>
      </tp>
      <tp t="s">
        <v>ウェーブロックＨＬＤＧＳ</v>
        <stp/>
        <stp>Market</stp>
        <stp>STOCK</stp>
        <stp>79400.T</stp>
        <stp>銘柄名称</stp>
        <tr r="B957" s="7"/>
      </tp>
      <tp t="s">
        <v>表示銘柄数超過</v>
        <stp/>
        <stp>Market</stp>
        <stp>STOCK</stp>
        <stp>19410.T</stp>
        <stp>銘柄名称</stp>
        <tr r="B79" s="7"/>
      </tp>
      <tp t="s">
        <v>山一電機</v>
        <stp/>
        <stp>Market</stp>
        <stp>STOCK</stp>
        <stp>69410.T</stp>
        <stp>銘柄名称</stp>
        <tr r="B791" s="7"/>
      </tp>
      <tp t="s">
        <v>ユニプレス</v>
        <stp/>
        <stp>Market</stp>
        <stp>STOCK</stp>
        <stp>59490.T</stp>
        <stp>銘柄名称</stp>
        <tr r="B624" s="7"/>
      </tp>
      <tp t="s">
        <v>表示銘柄数超過</v>
        <stp/>
        <stp>Market</stp>
        <stp>STOCK</stp>
        <stp>39760.T</stp>
        <stp>銘柄名称</stp>
        <tr r="B402" s="7"/>
      </tp>
      <tp t="s">
        <v>高周波熱錬</v>
        <stp/>
        <stp>Market</stp>
        <stp>STOCK</stp>
        <stp>59760.T</stp>
        <stp>銘柄名称</stp>
        <tr r="B630" s="7"/>
      </tp>
      <tp t="s">
        <v>太陽誘電</v>
        <stp/>
        <stp>Market</stp>
        <stp>STOCK</stp>
        <stp>69760.T</stp>
        <stp>銘柄名称</stp>
        <tr r="B797" s="7"/>
      </tp>
      <tp t="s">
        <v>任天堂</v>
        <stp/>
        <stp>Market</stp>
        <stp>STOCK</stp>
        <stp>79740.T</stp>
        <stp>銘柄名称</stp>
        <tr r="B962" s="7"/>
      </tp>
      <tp t="s">
        <v>イトーキ</v>
        <stp/>
        <stp>Market</stp>
        <stp>STOCK</stp>
        <stp>79720.T</stp>
        <stp>銘柄名称</stp>
        <tr r="B961" s="7"/>
      </tp>
      <tp t="s">
        <v>表示銘柄数超過</v>
        <stp/>
        <stp>Market</stp>
        <stp>STOCK</stp>
        <stp>99730.T</stp>
        <stp>銘柄名称</stp>
        <tr r="B1186" s="7"/>
      </tp>
      <tp t="s">
        <v>ジーテクト</v>
        <stp/>
        <stp>Market</stp>
        <stp>STOCK</stp>
        <stp>59700.T</stp>
        <stp>銘柄名称</stp>
        <tr r="B629" s="7"/>
      </tp>
      <tp t="s">
        <v>表示銘柄数超過</v>
        <stp/>
        <stp>Market</stp>
        <stp>STOCK</stp>
        <stp>19710.T</stp>
        <stp>銘柄名称</stp>
        <tr r="B85" s="7"/>
      </tp>
      <tp t="s">
        <v>東リ</v>
        <stp/>
        <stp>Market</stp>
        <stp>STOCK</stp>
        <stp>79710.T</stp>
        <stp>銘柄名称</stp>
        <tr r="B960" s="7"/>
      </tp>
      <tp t="s">
        <v>表示銘柄数超過</v>
        <stp/>
        <stp>Market</stp>
        <stp>STOCK</stp>
        <stp>49780.T</stp>
        <stp>銘柄名称</stp>
        <tr r="B556" s="7"/>
      </tp>
      <tp t="s">
        <v>表示銘柄数超過</v>
        <stp/>
        <stp>Market</stp>
        <stp>STOCK</stp>
        <stp>19660.T</stp>
        <stp>銘柄名称</stp>
        <tr r="B84" s="7"/>
      </tp>
      <tp t="s">
        <v>京都機械工具</v>
        <stp/>
        <stp>Market</stp>
        <stp>STOCK</stp>
        <stp>59660.T</stp>
        <stp>銘柄名称</stp>
        <tr r="B628" s="7"/>
      </tp>
      <tp t="s">
        <v>表示銘柄数超過</v>
        <stp/>
        <stp>Market</stp>
        <stp>STOCK</stp>
        <stp>19650.T</stp>
        <stp>銘柄名称</stp>
        <tr r="B83" s="7"/>
      </tp>
      <tp t="s">
        <v>表示銘柄数超過</v>
        <stp/>
        <stp>Market</stp>
        <stp>STOCK</stp>
        <stp>39650.T</stp>
        <stp>銘柄名称</stp>
        <tr r="B401" s="7"/>
      </tp>
      <tp t="s">
        <v>表示銘柄数超過</v>
        <stp/>
        <stp>Market</stp>
        <stp>STOCK</stp>
        <stp>39630.T</stp>
        <stp>銘柄名称</stp>
        <tr r="B400" s="7"/>
      </tp>
      <tp t="s">
        <v>表示銘柄数超過</v>
        <stp/>
        <stp>Market</stp>
        <stp>STOCK</stp>
        <stp>49630.T</stp>
        <stp>銘柄名称</stp>
        <tr r="B555" s="7"/>
      </tp>
      <tp t="s">
        <v>表示銘柄数超過</v>
        <stp/>
        <stp>Market</stp>
        <stp>STOCK</stp>
        <stp>19600.T</stp>
        <stp>銘柄名称</stp>
        <tr r="B82" s="7"/>
      </tp>
      <tp t="s">
        <v>表示銘柄数超過</v>
        <stp/>
        <stp>Market</stp>
        <stp>STOCK</stp>
        <stp>49600.T</stp>
        <stp>銘柄名称</stp>
        <tr r="B554" s="7"/>
      </tp>
      <tp t="s">
        <v>表示銘柄数超過</v>
        <stp/>
        <stp>Market</stp>
        <stp>STOCK</stp>
        <stp>99690.T</stp>
        <stp>銘柄名称</stp>
        <tr r="B1185" s="7"/>
      </tp>
    </main>
    <main first="rtdsrv.662c26bade854d00aebc6010f8a2e03a">
      <tp t="s">
        <v>表示銘柄数超過</v>
        <stp/>
        <stp>Market</stp>
        <stp>STOCK</stp>
        <stp>36960.T</stp>
        <stp>銘柄名称</stp>
        <tr r="B342" s="7"/>
      </tp>
      <tp t="s">
        <v>トラース・オン・プロダクト</v>
        <stp/>
        <stp>Market</stp>
        <stp>STOCK</stp>
        <stp>66960.T</stp>
        <stp>銘柄名称</stp>
        <tr r="B753" s="7"/>
      </tp>
      <tp t="s">
        <v>日本取引所グループ</v>
        <stp/>
        <stp>Market</stp>
        <stp>STOCK</stp>
        <stp>86970.T</stp>
        <stp>銘柄名称</stp>
        <tr r="B1035" s="7"/>
      </tp>
      <tp t="s">
        <v>表示銘柄数超過</v>
        <stp/>
        <stp>Market</stp>
        <stp>STOCK</stp>
        <stp>26940.T</stp>
        <stp>銘柄名称</stp>
        <tr r="B184" s="7"/>
      </tp>
      <tp t="s">
        <v>アースインフィニティ</v>
        <stp/>
        <stp>Market</stp>
        <stp>STOCK</stp>
        <stp>76920.T</stp>
        <stp>銘柄名称</stp>
        <tr r="B920" s="7"/>
      </tp>
      <tp t="s">
        <v>表示銘柄数超過</v>
        <stp/>
        <stp>Market</stp>
        <stp>STOCK</stp>
        <stp>26930.T</stp>
        <stp>銘柄名称</stp>
        <tr r="B183" s="7"/>
      </tp>
      <tp t="s">
        <v>表示銘柄数超過</v>
        <stp/>
        <stp>Market</stp>
        <stp>STOCK</stp>
        <stp>46900.T</stp>
        <stp>銘柄名称</stp>
        <tr r="B521" s="7"/>
      </tp>
      <tp t="s">
        <v>表示銘柄数超過</v>
        <stp/>
        <stp>Market</stp>
        <stp>STOCK</stp>
        <stp>36910.T</stp>
        <stp>銘柄名称</stp>
        <tr r="B341" s="7"/>
      </tp>
      <tp t="s">
        <v>マネックスＧ</v>
        <stp/>
        <stp>Market</stp>
        <stp>STOCK</stp>
        <stp>86980.T</stp>
        <stp>銘柄名称</stp>
        <tr r="B1036" s="7"/>
      </tp>
      <tp t="s">
        <v>表示銘柄数超過</v>
        <stp/>
        <stp>Market</stp>
        <stp>STOCK</stp>
        <stp>26980.T</stp>
        <stp>銘柄名称</stp>
        <tr r="B185" s="7"/>
      </tp>
      <tp t="s">
        <v>表示銘柄数超過</v>
        <stp/>
        <stp>Market</stp>
        <stp>STOCK</stp>
        <stp>36980.T</stp>
        <stp>銘柄名称</stp>
        <tr r="B343" s="7"/>
      </tp>
      <tp t="s">
        <v>エンビプロＨＤ</v>
        <stp/>
        <stp>Market</stp>
        <stp>STOCK</stp>
        <stp>56980.T</stp>
        <stp>銘柄名称</stp>
        <tr r="B604" s="7"/>
      </tp>
      <tp t="s">
        <v>表示銘柄数超過</v>
        <stp/>
        <stp>Market</stp>
        <stp>STOCK</stp>
        <stp>16990.T</stp>
        <stp>銘柄名称</stp>
        <tr r="B45" s="7"/>
      </tp>
      <tp t="s">
        <v>表示銘柄数超過</v>
        <stp/>
        <stp>Market</stp>
        <stp>STOCK</stp>
        <stp>26860.T</stp>
        <stp>銘柄名称</stp>
        <tr r="B182" s="7"/>
      </tp>
      <tp t="s">
        <v>表示銘柄数超過</v>
        <stp/>
        <stp>Market</stp>
        <stp>STOCK</stp>
        <stp>36860.T</stp>
        <stp>銘柄名称</stp>
        <tr r="B340" s="7"/>
      </tp>
      <tp t="s">
        <v>表示銘柄数超過</v>
        <stp/>
        <stp>Market</stp>
        <stp>STOCK</stp>
        <stp>26850.T</stp>
        <stp>銘柄名称</stp>
        <tr r="B181" s="7"/>
      </tp>
      <tp t="s">
        <v>表示銘柄数超過</v>
        <stp/>
        <stp>Market</stp>
        <stp>STOCK</stp>
        <stp>16820.T</stp>
        <stp>銘柄名称</stp>
        <tr r="B43" s="7"/>
      </tp>
      <tp t="s">
        <v>表示銘柄数超過</v>
        <stp/>
        <stp>Market</stp>
        <stp>STOCK</stp>
        <stp>36820.T</stp>
        <stp>銘柄名称</stp>
        <tr r="B338" s="7"/>
      </tp>
      <tp t="s">
        <v>表示銘柄数超過</v>
        <stp/>
        <stp>Market</stp>
        <stp>STOCK</stp>
        <stp>36830.T</stp>
        <stp>銘柄名称</stp>
        <tr r="B339" s="7"/>
      </tp>
      <tp t="s">
        <v>表示銘柄数超過</v>
        <stp/>
        <stp>Market</stp>
        <stp>STOCK</stp>
        <stp>36800.T</stp>
        <stp>銘柄名称</stp>
        <tr r="B336" s="7"/>
      </tp>
      <tp t="s">
        <v>表示銘柄数超過</v>
        <stp/>
        <stp>Market</stp>
        <stp>STOCK</stp>
        <stp>46800.T</stp>
        <stp>銘柄名称</stp>
        <tr r="B519" s="7"/>
      </tp>
      <tp t="s">
        <v>表示銘柄数超過</v>
        <stp/>
        <stp>Market</stp>
        <stp>STOCK</stp>
        <stp>26810.T</stp>
        <stp>銘柄名称</stp>
        <tr r="B180" s="7"/>
      </tp>
      <tp t="s">
        <v>表示銘柄数超過</v>
        <stp/>
        <stp>Market</stp>
        <stp>STOCK</stp>
        <stp>36810.T</stp>
        <stp>銘柄名称</stp>
        <tr r="B337" s="7"/>
      </tp>
      <tp t="s">
        <v>表示銘柄数超過</v>
        <stp/>
        <stp>Market</stp>
        <stp>STOCK</stp>
        <stp>16890.T</stp>
        <stp>銘柄名称</stp>
        <tr r="B44" s="7"/>
      </tp>
      <tp t="s">
        <v>ＬＩＮＥヤフー</v>
        <stp/>
        <stp>Market</stp>
        <stp>STOCK</stp>
        <stp>46890.T</stp>
        <stp>銘柄名称</stp>
        <tr r="B520" s="7"/>
      </tp>
      <tp t="s">
        <v>東海東京ＨＤ</v>
        <stp/>
        <stp>Market</stp>
        <stp>STOCK</stp>
        <stp>86160.T</stp>
        <stp>銘柄名称</stp>
        <tr r="B1030" s="7"/>
      </tp>
      <tp t="s">
        <v>光世証券</v>
        <stp/>
        <stp>Market</stp>
        <stp>STOCK</stp>
        <stp>86170.T</stp>
        <stp>銘柄名称</stp>
        <tr r="B1031" s="7"/>
      </tp>
      <tp t="s">
        <v>東光高岳</v>
        <stp/>
        <stp>Market</stp>
        <stp>STOCK</stp>
        <stp>66170.T</stp>
        <stp>銘柄名称</stp>
        <tr r="B737" s="7"/>
      </tp>
      <tp t="s">
        <v>東洋証券</v>
        <stp/>
        <stp>Market</stp>
        <stp>STOCK</stp>
        <stp>86140.T</stp>
        <stp>銘柄名称</stp>
        <tr r="B1029" s="7"/>
      </tp>
      <tp t="s">
        <v>表示銘柄数超過</v>
        <stp/>
        <stp>Market</stp>
        <stp>STOCK</stp>
        <stp>16150.T</stp>
        <stp>銘柄名称</stp>
        <tr r="B38" s="7"/>
      </tp>
      <tp t="s">
        <v>ＹＵ－ＷＡＣＲＥＡＴＩＯＮＨ</v>
        <stp/>
        <stp>Market</stp>
        <stp>STOCK</stp>
        <stp>76150.T</stp>
        <stp>銘柄名称</stp>
        <tr r="B913" s="7"/>
      </tp>
      <tp t="s">
        <v>表示銘柄数超過</v>
        <stp/>
        <stp>Market</stp>
        <stp>STOCK</stp>
        <stp>46120.T</stp>
        <stp>銘柄名称</stp>
        <tr r="B509" s="7"/>
      </tp>
      <tp t="s">
        <v>日本鋳鉄管</v>
        <stp/>
        <stp>Market</stp>
        <stp>STOCK</stp>
        <stp>56120.T</stp>
        <stp>銘柄名称</stp>
        <tr r="B601" s="7"/>
      </tp>
      <tp t="s">
        <v>丸三証券</v>
        <stp/>
        <stp>Market</stp>
        <stp>STOCK</stp>
        <stp>86130.T</stp>
        <stp>銘柄名称</stp>
        <tr r="B1028" s="7"/>
      </tp>
      <tp t="s">
        <v>表示銘柄数超過</v>
        <stp/>
        <stp>Market</stp>
        <stp>STOCK</stp>
        <stp>96130.T</stp>
        <stp>銘柄名称</stp>
        <tr r="B1160" s="7"/>
      </tp>
      <tp t="s">
        <v>表示銘柄数超過</v>
        <stp/>
        <stp>Market</stp>
        <stp>STOCK</stp>
        <stp>46130.T</stp>
        <stp>銘柄名称</stp>
        <tr r="B510" s="7"/>
      </tp>
      <tp t="s">
        <v>ＱＤレーザ</v>
        <stp/>
        <stp>Market</stp>
        <stp>STOCK</stp>
        <stp>66130.T</stp>
        <stp>銘柄名称</stp>
        <tr r="B736" s="7"/>
      </tp>
      <tp t="s">
        <v>表示銘柄数超過</v>
        <stp/>
        <stp>Market</stp>
        <stp>STOCK</stp>
        <stp>96100.T</stp>
        <stp>銘柄名称</stp>
        <tr r="B1159" s="7"/>
      </tp>
      <tp t="s">
        <v>テイツー</v>
        <stp/>
        <stp>Market</stp>
        <stp>STOCK</stp>
        <stp>76100.T</stp>
        <stp>銘柄名称</stp>
        <tr r="B912" s="7"/>
      </tp>
      <tp t="s">
        <v>表示銘柄数超過</v>
        <stp/>
        <stp>Market</stp>
        <stp>STOCK</stp>
        <stp>46110.T</stp>
        <stp>銘柄名称</stp>
        <tr r="B508" s="7"/>
      </tp>
      <tp t="s">
        <v>表示銘柄数超過</v>
        <stp/>
        <stp>Market</stp>
        <stp>STOCK</stp>
        <stp>46190.T</stp>
        <stp>銘柄名称</stp>
        <tr r="B511" s="7"/>
      </tp>
      <tp t="s">
        <v>ダブル・スコープ</v>
        <stp/>
        <stp>Market</stp>
        <stp>STOCK</stp>
        <stp>66190.T</stp>
        <stp>銘柄名称</stp>
        <tr r="B738" s="7"/>
      </tp>
      <tp t="s">
        <v>表示銘柄数超過</v>
        <stp/>
        <stp>Market</stp>
        <stp>STOCK</stp>
        <stp>36070.T</stp>
        <stp>銘柄名称</stp>
        <tr r="B311" s="7"/>
      </tp>
      <tp t="s">
        <v>野村ホールディングス</v>
        <stp/>
        <stp>Market</stp>
        <stp>STOCK</stp>
        <stp>86040.T</stp>
        <stp>銘柄名称</stp>
        <tr r="B1026" s="7"/>
      </tp>
      <tp t="s">
        <v>表示銘柄数超過</v>
        <stp/>
        <stp>Market</stp>
        <stp>STOCK</stp>
        <stp>16050.T</stp>
        <stp>銘柄名称</stp>
        <tr r="B37" s="7"/>
      </tp>
      <tp t="s">
        <v>フジ・コーポレーション</v>
        <stp/>
        <stp>Market</stp>
        <stp>STOCK</stp>
        <stp>76050.T</stp>
        <stp>銘柄名称</stp>
        <tr r="B911" s="7"/>
      </tp>
      <tp t="s">
        <v>カーチスホールディングス</v>
        <stp/>
        <stp>Market</stp>
        <stp>STOCK</stp>
        <stp>76020.T</stp>
        <stp>銘柄名称</stp>
        <tr r="B910" s="7"/>
      </tp>
      <tp t="s">
        <v>表示銘柄数超過</v>
        <stp/>
        <stp>Market</stp>
        <stp>STOCK</stp>
        <stp>96030.T</stp>
        <stp>銘柄名称</stp>
        <tr r="B1158" s="7"/>
      </tp>
      <tp t="s">
        <v>大和証券Ｇ本社</v>
        <stp/>
        <stp>Market</stp>
        <stp>STOCK</stp>
        <stp>86010.T</stp>
        <stp>銘柄名称</stp>
        <tr r="B1025" s="7"/>
      </tp>
      <tp t="s">
        <v>ポプラ</v>
        <stp/>
        <stp>Market</stp>
        <stp>STOCK</stp>
        <stp>76010.T</stp>
        <stp>銘柄名称</stp>
        <tr r="B909" s="7"/>
      </tp>
      <tp t="s">
        <v>岡三証券グループ</v>
        <stp/>
        <stp>Market</stp>
        <stp>STOCK</stp>
        <stp>86090.T</stp>
        <stp>銘柄名称</stp>
        <tr r="B1027" s="7"/>
      </tp>
      <tp t="s">
        <v>表示銘柄数超過</v>
        <stp/>
        <stp>Market</stp>
        <stp>STOCK</stp>
        <stp>26340.T</stp>
        <stp>銘柄名称</stp>
        <tr r="B173" s="7"/>
      </tp>
      <tp t="s">
        <v>ネクスグループ</v>
        <stp/>
        <stp>Market</stp>
        <stp>STOCK</stp>
        <stp>66340.T</stp>
        <stp>銘柄名称</stp>
        <tr r="B743" s="7"/>
      </tp>
      <tp t="s">
        <v>表示銘柄数超過</v>
        <stp/>
        <stp>Market</stp>
        <stp>STOCK</stp>
        <stp>26350.T</stp>
        <stp>銘柄名称</stp>
        <tr r="B174" s="7"/>
      </tp>
      <tp t="s">
        <v>表示銘柄数超過</v>
        <stp/>
        <stp>Market</stp>
        <stp>STOCK</stp>
        <stp>36350.T</stp>
        <stp>銘柄名称</stp>
        <tr r="B317" s="7"/>
      </tp>
      <tp t="s">
        <v>大日光エンジニアリング</v>
        <stp/>
        <stp>Market</stp>
        <stp>STOCK</stp>
        <stp>66350.T</stp>
        <stp>銘柄名称</stp>
        <tr r="B744" s="7"/>
      </tp>
      <tp t="s">
        <v>表示銘柄数超過</v>
        <stp/>
        <stp>Market</stp>
        <stp>STOCK</stp>
        <stp>36320.T</stp>
        <stp>銘柄名称</stp>
        <tr r="B316" s="7"/>
      </tp>
      <tp t="s">
        <v>三菱製鋼</v>
        <stp/>
        <stp>Market</stp>
        <stp>STOCK</stp>
        <stp>56320.T</stp>
        <stp>銘柄名称</stp>
        <tr r="B602" s="7"/>
      </tp>
      <tp t="s">
        <v>ＪＶＣケンウッド</v>
        <stp/>
        <stp>Market</stp>
        <stp>STOCK</stp>
        <stp>66320.T</stp>
        <stp>銘柄名称</stp>
        <tr r="B741" s="7"/>
      </tp>
      <tp t="s">
        <v>表示銘柄数超過</v>
        <stp/>
        <stp>Market</stp>
        <stp>STOCK</stp>
        <stp>26330.T</stp>
        <stp>銘柄名称</stp>
        <tr r="B172" s="7"/>
      </tp>
      <tp t="s">
        <v>Ｃ＆Ｇシステムズ</v>
        <stp/>
        <stp>Market</stp>
        <stp>STOCK</stp>
        <stp>66330.T</stp>
        <stp>銘柄名称</stp>
        <tr r="B742" s="7"/>
      </tp>
      <tp t="s">
        <v>ヤーマン</v>
        <stp/>
        <stp>Market</stp>
        <stp>STOCK</stp>
        <stp>66300.T</stp>
        <stp>銘柄名称</stp>
        <tr r="B740" s="7"/>
      </tp>
      <tp t="s">
        <v>表示銘柄数超過</v>
        <stp/>
        <stp>Market</stp>
        <stp>STOCK</stp>
        <stp>46310.T</stp>
        <stp>銘柄名称</stp>
        <tr r="B470" s="7"/>
      </tp>
      <tp t="s">
        <v>表示銘柄数超過</v>
        <stp/>
        <stp>Market</stp>
        <stp>STOCK</stp>
        <stp>36390.T</stp>
        <stp>銘柄名称</stp>
        <tr r="B318" s="7"/>
      </tp>
      <tp t="s">
        <v>表示銘柄数超過</v>
        <stp/>
        <stp>Market</stp>
        <stp>STOCK</stp>
        <stp>36260.T</stp>
        <stp>銘柄名称</stp>
        <tr r="B314" s="7"/>
      </tp>
      <tp t="s">
        <v>表示銘柄数超過</v>
        <stp/>
        <stp>Market</stp>
        <stp>STOCK</stp>
        <stp>36270.T</stp>
        <stp>銘柄名称</stp>
        <tr r="B315" s="7"/>
      </tp>
      <tp t="s">
        <v>いちよし証券</v>
        <stp/>
        <stp>Market</stp>
        <stp>STOCK</stp>
        <stp>86240.T</stp>
        <stp>銘柄名称</stp>
        <tr r="B1033" s="7"/>
      </tp>
      <tp t="s">
        <v>表示銘柄数超過</v>
        <stp/>
        <stp>Market</stp>
        <stp>STOCK</stp>
        <stp>26240.T</stp>
        <stp>銘柄名称</stp>
        <tr r="B171" s="7"/>
      </tp>
      <tp t="s">
        <v>表示銘柄数超過</v>
        <stp/>
        <stp>Market</stp>
        <stp>STOCK</stp>
        <stp>36240.T</stp>
        <stp>銘柄名称</stp>
        <tr r="B312" s="7"/>
      </tp>
      <tp t="s">
        <v>ＮａＩＴＯ</v>
        <stp/>
        <stp>Market</stp>
        <stp>STOCK</stp>
        <stp>76240.T</stp>
        <stp>銘柄名称</stp>
        <tr r="B916" s="7"/>
      </tp>
      <tp t="s">
        <v>表示銘柄数超過</v>
        <stp/>
        <stp>Market</stp>
        <stp>STOCK</stp>
        <stp>36250.T</stp>
        <stp>銘柄名称</stp>
        <tr r="B313" s="7"/>
      </tp>
      <tp t="s">
        <v>ＪＡＬＣＯホールディングス</v>
        <stp/>
        <stp>Market</stp>
        <stp>STOCK</stp>
        <stp>66250.T</stp>
        <stp>銘柄名称</stp>
        <tr r="B739" s="7"/>
      </tp>
      <tp t="s">
        <v>水戸証券</v>
        <stp/>
        <stp>Market</stp>
        <stp>STOCK</stp>
        <stp>86220.T</stp>
        <stp>銘柄名称</stp>
        <tr r="B1032" s="7"/>
      </tp>
      <tp t="s">
        <v>サンオータス</v>
        <stp/>
        <stp>Market</stp>
        <stp>STOCK</stp>
        <stp>76230.T</stp>
        <stp>銘柄名称</stp>
        <tr r="B915" s="7"/>
      </tp>
      <tp t="s">
        <v>表示銘柄数超過</v>
        <stp/>
        <stp>Market</stp>
        <stp>STOCK</stp>
        <stp>26200.T</stp>
        <stp>銘柄名称</stp>
        <tr r="B169" s="7"/>
      </tp>
      <tp t="s">
        <v>表示銘柄数超過</v>
        <stp/>
        <stp>Market</stp>
        <stp>STOCK</stp>
        <stp>46200.T</stp>
        <stp>銘柄名称</stp>
        <tr r="B512" s="7"/>
      </tp>
      <tp t="s">
        <v>表示銘柄数超過</v>
        <stp/>
        <stp>Market</stp>
        <stp>STOCK</stp>
        <stp>26210.T</stp>
        <stp>銘柄名称</stp>
        <tr r="B170" s="7"/>
      </tp>
      <tp t="s">
        <v>松井証券</v>
        <stp/>
        <stp>Market</stp>
        <stp>STOCK</stp>
        <stp>86280.T</stp>
        <stp>銘柄名称</stp>
        <tr r="B1034" s="7"/>
      </tp>
      <tp t="s">
        <v>表示銘柄数超過</v>
        <stp/>
        <stp>Market</stp>
        <stp>STOCK</stp>
        <stp>96560.T</stp>
        <stp>銘柄名称</stp>
        <tr r="B1161" s="7"/>
      </tp>
      <tp t="s">
        <v>表示銘柄数超過</v>
        <stp/>
        <stp>Market</stp>
        <stp>STOCK</stp>
        <stp>16560.T</stp>
        <stp>銘柄名称</stp>
        <tr r="B40" s="7"/>
      </tp>
      <tp t="s">
        <v>表示銘柄数超過</v>
        <stp/>
        <stp>Market</stp>
        <stp>STOCK</stp>
        <stp>26560.T</stp>
        <stp>銘柄名称</stp>
        <tr r="B176" s="7"/>
      </tp>
      <tp t="s">
        <v>表示銘柄数超過</v>
        <stp/>
        <stp>Market</stp>
        <stp>STOCK</stp>
        <stp>36560.T</stp>
        <stp>銘柄名称</stp>
        <tr r="B324" s="7"/>
      </tp>
      <tp t="s">
        <v>表示銘柄数超過</v>
        <stp/>
        <stp>Market</stp>
        <stp>STOCK</stp>
        <stp>46570.T</stp>
        <stp>銘柄名称</stp>
        <tr r="B514" s="7"/>
      </tp>
      <tp t="s">
        <v>不二電機工業</v>
        <stp/>
        <stp>Market</stp>
        <stp>STOCK</stp>
        <stp>66540.T</stp>
        <stp>銘柄名称</stp>
        <tr r="B747" s="7"/>
      </tp>
      <tp t="s">
        <v>表示銘柄数超過</v>
        <stp/>
        <stp>Market</stp>
        <stp>STOCK</stp>
        <stp>16550.T</stp>
        <stp>銘柄名称</stp>
        <tr r="B39" s="7"/>
      </tp>
      <tp t="s">
        <v>表示銘柄数超過</v>
        <stp/>
        <stp>Market</stp>
        <stp>STOCK</stp>
        <stp>36550.T</stp>
        <stp>銘柄名称</stp>
        <tr r="B323" s="7"/>
      </tp>
      <tp t="s">
        <v>表示銘柄数超過</v>
        <stp/>
        <stp>Market</stp>
        <stp>STOCK</stp>
        <stp>36520.T</stp>
        <stp>銘柄名称</stp>
        <tr r="B322" s="7"/>
      </tp>
      <tp t="s">
        <v>表示銘柄数超過</v>
        <stp/>
        <stp>Market</stp>
        <stp>STOCK</stp>
        <stp>26510.T</stp>
        <stp>銘柄名称</stp>
        <tr r="B175" s="7"/>
      </tp>
      <tp t="s">
        <v>表示銘柄数超過</v>
        <stp/>
        <stp>Market</stp>
        <stp>STOCK</stp>
        <stp>46510.T</stp>
        <stp>銘柄名称</stp>
        <tr r="B513" s="7"/>
      </tp>
      <tp t="s">
        <v>日亜鋼業</v>
        <stp/>
        <stp>Market</stp>
        <stp>STOCK</stp>
        <stp>56580.T</stp>
        <stp>銘柄名称</stp>
        <tr r="B603" s="7"/>
      </tp>
      <tp t="s">
        <v>シライ電子工業</v>
        <stp/>
        <stp>Market</stp>
        <stp>STOCK</stp>
        <stp>66580.T</stp>
        <stp>銘柄名称</stp>
        <tr r="B748" s="7"/>
      </tp>
      <tp t="s">
        <v>メディアリンクス</v>
        <stp/>
        <stp>Market</stp>
        <stp>STOCK</stp>
        <stp>66590.T</stp>
        <stp>銘柄名称</stp>
        <tr r="B749" s="7"/>
      </tp>
      <tp t="s">
        <v>表示銘柄数超過</v>
        <stp/>
        <stp>Market</stp>
        <stp>STOCK</stp>
        <stp>36470.T</stp>
        <stp>銘柄名称</stp>
        <tr r="B320" s="7"/>
      </tp>
      <tp t="s">
        <v>音通</v>
        <stp/>
        <stp>Market</stp>
        <stp>STOCK</stp>
        <stp>76470.T</stp>
        <stp>銘柄名称</stp>
        <tr r="B918" s="7"/>
      </tp>
      <tp t="s">
        <v>大崎電気</v>
        <stp/>
        <stp>Market</stp>
        <stp>STOCK</stp>
        <stp>66440.T</stp>
        <stp>銘柄名称</stp>
        <tr r="B746" s="7"/>
      </tp>
      <tp t="s">
        <v>表示銘柄数超過</v>
        <stp/>
        <stp>Market</stp>
        <stp>STOCK</stp>
        <stp>36450.T</stp>
        <stp>銘柄名称</stp>
        <tr r="B319" s="7"/>
      </tp>
      <tp t="s">
        <v>Ｉ－ＰＥＸ</v>
        <stp/>
        <stp>Market</stp>
        <stp>STOCK</stp>
        <stp>66400.T</stp>
        <stp>銘柄名称</stp>
        <tr r="B745" s="7"/>
      </tp>
      <tp t="s">
        <v>トップカルチャー</v>
        <stp/>
        <stp>Market</stp>
        <stp>STOCK</stp>
        <stp>76400.T</stp>
        <stp>銘柄名称</stp>
        <tr r="B917" s="7"/>
      </tp>
      <tp t="s">
        <v>表示銘柄数超過</v>
        <stp/>
        <stp>Market</stp>
        <stp>STOCK</stp>
        <stp>36490.T</stp>
        <stp>銘柄名称</stp>
        <tr r="B321" s="7"/>
      </tp>
      <tp t="s">
        <v>表示銘柄数超過</v>
        <stp/>
        <stp>Market</stp>
        <stp>STOCK</stp>
        <stp>36760.T</stp>
        <stp>銘柄名称</stp>
        <tr r="B334" s="7"/>
      </tp>
      <tp t="s">
        <v>表示銘柄数超過</v>
        <stp/>
        <stp>Market</stp>
        <stp>STOCK</stp>
        <stp>46760.T</stp>
        <stp>銘柄名称</stp>
        <tr r="B518" s="7"/>
      </tp>
      <tp t="s">
        <v>メルコホールディングス</v>
        <stp/>
        <stp>Market</stp>
        <stp>STOCK</stp>
        <stp>66760.T</stp>
        <stp>銘柄名称</stp>
        <tr r="B751" s="7"/>
      </tp>
      <tp t="s">
        <v>グッドスピード</v>
        <stp/>
        <stp>Market</stp>
        <stp>STOCK</stp>
        <stp>76760.T</stp>
        <stp>銘柄名称</stp>
        <tr r="B919" s="7"/>
      </tp>
      <tp t="s">
        <v>表示銘柄数超過</v>
        <stp/>
        <stp>Market</stp>
        <stp>STOCK</stp>
        <stp>36770.T</stp>
        <stp>銘柄名称</stp>
        <tr r="B335" s="7"/>
      </tp>
      <tp t="s">
        <v>エスケーエレクトロニクス</v>
        <stp/>
        <stp>Market</stp>
        <stp>STOCK</stp>
        <stp>66770.T</stp>
        <stp>銘柄名称</stp>
        <tr r="B752" s="7"/>
      </tp>
      <tp t="s">
        <v>表示銘柄数超過</v>
        <stp/>
        <stp>Market</stp>
        <stp>STOCK</stp>
        <stp>26740.T</stp>
        <stp>銘柄名称</stp>
        <tr r="B179" s="7"/>
      </tp>
      <tp t="s">
        <v>表示銘柄数超過</v>
        <stp/>
        <stp>Market</stp>
        <stp>STOCK</stp>
        <stp>36740.T</stp>
        <stp>銘柄名称</stp>
        <tr r="B333" s="7"/>
      </tp>
      <tp t="s">
        <v>表示銘柄数超過</v>
        <stp/>
        <stp>Market</stp>
        <stp>STOCK</stp>
        <stp>36720.T</stp>
        <stp>銘柄名称</stp>
        <tr r="B332" s="7"/>
      </tp>
      <tp t="s">
        <v>表示銘柄数超過</v>
        <stp/>
        <stp>Market</stp>
        <stp>STOCK</stp>
        <stp>16710.T</stp>
        <stp>銘柄名称</stp>
        <tr r="B41" s="7"/>
      </tp>
      <tp t="s">
        <v>表示銘柄数超過</v>
        <stp/>
        <stp>Market</stp>
        <stp>STOCK</stp>
        <stp>16780.T</stp>
        <stp>銘柄名称</stp>
        <tr r="B42" s="7"/>
      </tp>
      <tp t="s">
        <v>表示銘柄数超過</v>
        <stp/>
        <stp>Market</stp>
        <stp>STOCK</stp>
        <stp>26660.T</stp>
        <stp>銘柄名称</stp>
        <tr r="B177" s="7"/>
      </tp>
      <tp t="s">
        <v>表示銘柄数超過</v>
        <stp/>
        <stp>Market</stp>
        <stp>STOCK</stp>
        <stp>36660.T</stp>
        <stp>銘柄名称</stp>
        <tr r="B329" s="7"/>
      </tp>
      <tp t="s">
        <v>リバーエレテック</v>
        <stp/>
        <stp>Market</stp>
        <stp>STOCK</stp>
        <stp>66660.T</stp>
        <stp>銘柄名称</stp>
        <tr r="B750" s="7"/>
      </tp>
      <tp t="s">
        <v>表示銘柄数超過</v>
        <stp/>
        <stp>Market</stp>
        <stp>STOCK</stp>
        <stp>26670.T</stp>
        <stp>銘柄名称</stp>
        <tr r="B178" s="7"/>
      </tp>
      <tp t="s">
        <v>表示銘柄数超過</v>
        <stp/>
        <stp>Market</stp>
        <stp>STOCK</stp>
        <stp>36670.T</stp>
        <stp>銘柄名称</stp>
        <tr r="B330" s="7"/>
      </tp>
      <tp t="s">
        <v>表示銘柄数超過</v>
        <stp/>
        <stp>Market</stp>
        <stp>STOCK</stp>
        <stp>46670.T</stp>
        <stp>銘柄名称</stp>
        <tr r="B516" s="7"/>
        <tr r="B517" s="7"/>
      </tp>
      <tp t="s">
        <v>表示銘柄数超過</v>
        <stp/>
        <stp>Market</stp>
        <stp>STOCK</stp>
        <stp>36640.T</stp>
        <stp>銘柄名称</stp>
        <tr r="B327" s="7"/>
      </tp>
      <tp t="s">
        <v>表示銘柄数超過</v>
        <stp/>
        <stp>Market</stp>
        <stp>STOCK</stp>
        <stp>46640.T</stp>
        <stp>銘柄名称</stp>
        <tr r="B515" s="7"/>
      </tp>
      <tp t="s">
        <v>表示銘柄数超過</v>
        <stp/>
        <stp>Market</stp>
        <stp>STOCK</stp>
        <stp>36650.T</stp>
        <stp>銘柄名称</stp>
        <tr r="B328" s="7"/>
      </tp>
      <tp t="s">
        <v>表示銘柄数超過</v>
        <stp/>
        <stp>Market</stp>
        <stp>STOCK</stp>
        <stp>36630.T</stp>
        <stp>銘柄名称</stp>
        <tr r="B326" s="7"/>
      </tp>
      <tp t="s">
        <v>表示銘柄数超過</v>
        <stp/>
        <stp>Market</stp>
        <stp>STOCK</stp>
        <stp>36600.T</stp>
        <stp>銘柄名称</stp>
        <tr r="B325" s="7"/>
      </tp>
      <tp t="s">
        <v>表示銘柄数超過</v>
        <stp/>
        <stp>Market</stp>
        <stp>STOCK</stp>
        <stp>36680.T</stp>
        <stp>銘柄名称</stp>
        <tr r="B331" s="7"/>
      </tp>
    </main>
    <main first="rtdsrv.662c26bade854d00aebc6010f8a2e03a">
      <tp t="s">
        <v>表示銘柄数超過</v>
        <stp/>
        <stp>Market</stp>
        <stp>STOCK</stp>
        <stp>16890.T</stp>
        <stp>現在値詳細時刻</stp>
        <tr r="D44" s="7"/>
      </tp>
      <tp t="s">
        <v>表示銘柄数超過</v>
        <stp/>
        <stp>Market</stp>
        <stp>STOCK</stp>
        <stp>16820.T</stp>
        <stp>現在値詳細時刻</stp>
        <tr r="D43" s="7"/>
      </tp>
      <tp t="s">
        <v>表示銘柄数超過</v>
        <stp/>
        <stp>Market</stp>
        <stp>STOCK</stp>
        <stp>16990.T</stp>
        <stp>現在値詳細時刻</stp>
        <tr r="D45" s="7"/>
      </tp>
      <tp t="s">
        <v>表示銘柄数超過</v>
        <stp/>
        <stp>Market</stp>
        <stp>STOCK</stp>
        <stp>16050.T</stp>
        <stp>現在値詳細時刻</stp>
        <tr r="D37" s="7"/>
      </tp>
      <tp t="s">
        <v>表示銘柄数超過</v>
        <stp/>
        <stp>Market</stp>
        <stp>STOCK</stp>
        <stp>16150.T</stp>
        <stp>現在値詳細時刻</stp>
        <tr r="D38" s="7"/>
      </tp>
      <tp t="s">
        <v>表示銘柄数超過</v>
        <stp/>
        <stp>Market</stp>
        <stp>STOCK</stp>
        <stp>16560.T</stp>
        <stp>現在値詳細時刻</stp>
        <tr r="D40" s="7"/>
      </tp>
      <tp t="s">
        <v>表示銘柄数超過</v>
        <stp/>
        <stp>Market</stp>
        <stp>STOCK</stp>
        <stp>16550.T</stp>
        <stp>現在値詳細時刻</stp>
        <tr r="D39" s="7"/>
      </tp>
      <tp t="s">
        <v>表示銘柄数超過</v>
        <stp/>
        <stp>Market</stp>
        <stp>STOCK</stp>
        <stp>16780.T</stp>
        <stp>現在値詳細時刻</stp>
        <tr r="D42" s="7"/>
      </tp>
      <tp t="s">
        <v>表示銘柄数超過</v>
        <stp/>
        <stp>Market</stp>
        <stp>STOCK</stp>
        <stp>16710.T</stp>
        <stp>現在値詳細時刻</stp>
        <tr r="D41" s="7"/>
      </tp>
      <tp t="s">
        <v>表示銘柄数超過</v>
        <stp/>
        <stp>Market</stp>
        <stp>STOCK</stp>
        <stp>17830.T</stp>
        <stp>現在値詳細時刻</stp>
        <tr r="D56" s="7"/>
      </tp>
      <tp t="s">
        <v>表示銘柄数超過</v>
        <stp/>
        <stp>Market</stp>
        <stp>STOCK</stp>
        <stp>17190.T</stp>
        <stp>現在値詳細時刻</stp>
        <tr r="D49" s="7"/>
      </tp>
      <tp t="s">
        <v>表示銘柄数超過</v>
        <stp/>
        <stp>Market</stp>
        <stp>STOCK</stp>
        <stp>17120.T</stp>
        <stp>現在値詳細時刻</stp>
        <tr r="D47" s="7"/>
      </tp>
      <tp t="s">
        <v>表示銘柄数超過</v>
        <stp/>
        <stp>Market</stp>
        <stp>STOCK</stp>
        <stp>17110.T</stp>
        <stp>現在値詳細時刻</stp>
        <tr r="D46" s="7"/>
      </tp>
      <tp t="s">
        <v>表示銘柄数超過</v>
        <stp/>
        <stp>Market</stp>
        <stp>STOCK</stp>
        <stp>17160.T</stp>
        <stp>現在値詳細時刻</stp>
        <tr r="D48" s="7"/>
      </tp>
      <tp t="s">
        <v>表示銘柄数超過</v>
        <stp/>
        <stp>Market</stp>
        <stp>STOCK</stp>
        <stp>17200.T</stp>
        <stp>現在値詳細時刻</stp>
        <tr r="D50" s="7"/>
      </tp>
      <tp t="s">
        <v>表示銘柄数超過</v>
        <stp/>
        <stp>Market</stp>
        <stp>STOCK</stp>
        <stp>17210.T</stp>
        <stp>現在値詳細時刻</stp>
        <tr r="D51" s="7"/>
      </tp>
      <tp t="s">
        <v>表示銘柄数超過</v>
        <stp/>
        <stp>Market</stp>
        <stp>STOCK</stp>
        <stp>17300.T</stp>
        <stp>現在値詳細時刻</stp>
        <tr r="D52" s="7"/>
      </tp>
      <tp t="s">
        <v>表示銘柄数超過</v>
        <stp/>
        <stp>Market</stp>
        <stp>STOCK</stp>
        <stp>17430.T</stp>
        <stp>現在値詳細時刻</stp>
        <tr r="D53" s="7"/>
      </tp>
      <tp t="s">
        <v>表示銘柄数超過</v>
        <stp/>
        <stp>Market</stp>
        <stp>STOCK</stp>
        <stp>17570.T</stp>
        <stp>現在値詳細時刻</stp>
        <tr r="D54" s="7"/>
      </tp>
      <tp t="s">
        <v>表示銘柄数超過</v>
        <stp/>
        <stp>Market</stp>
        <stp>STOCK</stp>
        <stp>17700.T</stp>
        <stp>現在値詳細時刻</stp>
        <tr r="D55" s="7"/>
      </tp>
      <tp t="s">
        <v>表示銘柄数超過</v>
        <stp/>
        <stp>Market</stp>
        <stp>STOCK</stp>
        <stp>14910.T</stp>
        <stp>現在値詳細時刻</stp>
        <tr r="D29" s="7"/>
      </tp>
      <tp t="s">
        <v>表示銘柄数超過</v>
        <stp/>
        <stp>Market</stp>
        <stp>STOCK</stp>
        <stp>14000.T</stp>
        <stp>現在値詳細時刻</stp>
        <tr r="D17" s="7"/>
      </tp>
      <tp t="s">
        <v>表示銘柄数超過</v>
        <stp/>
        <stp>Market</stp>
        <stp>STOCK</stp>
        <stp>14010.T</stp>
        <stp>現在値詳細時刻</stp>
        <tr r="D18" s="7"/>
      </tp>
      <tp t="s">
        <v>表示銘柄数超過</v>
        <stp/>
        <stp>Market</stp>
        <stp>STOCK</stp>
        <stp>14070.T</stp>
        <stp>現在値詳細時刻</stp>
        <tr r="D19" s="7"/>
      </tp>
      <tp t="s">
        <v>表示銘柄数超過</v>
        <stp/>
        <stp>Market</stp>
        <stp>STOCK</stp>
        <stp>14180.T</stp>
        <stp>現在値詳細時刻</stp>
        <tr r="D20" s="7"/>
      </tp>
      <tp t="s">
        <v>表示銘柄数超過</v>
        <stp/>
        <stp>Market</stp>
        <stp>STOCK</stp>
        <stp>14190.T</stp>
        <stp>現在値詳細時刻</stp>
        <tr r="D21" s="7"/>
      </tp>
      <tp t="s">
        <v>表示銘柄数超過</v>
        <stp/>
        <stp>Market</stp>
        <stp>STOCK</stp>
        <stp>14390.T</stp>
        <stp>現在値詳細時刻</stp>
        <tr r="D24" s="7"/>
      </tp>
      <tp t="s">
        <v>表示銘柄数超過</v>
        <stp/>
        <stp>Market</stp>
        <stp>STOCK</stp>
        <stp>14300.T</stp>
        <stp>現在値詳細時刻</stp>
        <tr r="D22" s="7"/>
      </tp>
      <tp t="s">
        <v>表示銘柄数超過</v>
        <stp/>
        <stp>Market</stp>
        <stp>STOCK</stp>
        <stp>14350.T</stp>
        <stp>現在値詳細時刻</stp>
        <tr r="D23" s="7"/>
      </tp>
      <tp t="s">
        <v>表示銘柄数超過</v>
        <stp/>
        <stp>Market</stp>
        <stp>STOCK</stp>
        <stp>14590.T</stp>
        <stp>現在値詳細時刻</stp>
        <tr r="D26" s="7"/>
      </tp>
      <tp t="s">
        <v>表示銘柄数超過</v>
        <stp/>
        <stp>Market</stp>
        <stp>STOCK</stp>
        <stp>14510.T</stp>
        <stp>現在値詳細時刻</stp>
        <tr r="D25" s="7"/>
      </tp>
      <tp t="s">
        <v>表示銘柄数超過</v>
        <stp/>
        <stp>Market</stp>
        <stp>STOCK</stp>
        <stp>14690.T</stp>
        <stp>現在値詳細時刻</stp>
        <tr r="D27" s="7"/>
      </tp>
      <tp t="s">
        <v>表示銘柄数超過</v>
        <stp/>
        <stp>Market</stp>
        <stp>STOCK</stp>
        <stp>14720.T</stp>
        <stp>現在値詳細時刻</stp>
        <tr r="D28" s="7"/>
      </tp>
      <tp t="s">
        <v>表示銘柄数超過</v>
        <stp/>
        <stp>Market</stp>
        <stp>STOCK</stp>
        <stp>15140.T</stp>
        <stp>現在値詳細時刻</stp>
        <tr r="D30" s="7"/>
      </tp>
      <tp t="s">
        <v>表示銘柄数超過</v>
        <stp/>
        <stp>Market</stp>
        <stp>STOCK</stp>
        <stp>15520.T</stp>
        <stp>現在値詳細時刻</stp>
        <tr r="D32" s="7"/>
      </tp>
      <tp t="s">
        <v>表示銘柄数超過</v>
        <stp/>
        <stp>Market</stp>
        <stp>STOCK</stp>
        <stp>15510.T</stp>
        <stp>現在値詳細時刻</stp>
        <tr r="D31" s="7"/>
      </tp>
      <tp t="s">
        <v>表示銘柄数超過</v>
        <stp/>
        <stp>Market</stp>
        <stp>STOCK</stp>
        <stp>15630.T</stp>
        <stp>現在値詳細時刻</stp>
        <tr r="D33" s="7"/>
      </tp>
      <tp t="s">
        <v>表示銘柄数超過</v>
        <stp/>
        <stp>Market</stp>
        <stp>STOCK</stp>
        <stp>15780.T</stp>
        <stp>現在値詳細時刻</stp>
        <tr r="D36" s="7"/>
      </tp>
      <tp t="s">
        <v>表示銘柄数超過</v>
        <stp/>
        <stp>Market</stp>
        <stp>STOCK</stp>
        <stp>15720.T</stp>
        <stp>現在値詳細時刻</stp>
        <tr r="D35" s="7"/>
      </tp>
      <tp t="s">
        <v>表示銘柄数超過</v>
        <stp/>
        <stp>Market</stp>
        <stp>STOCK</stp>
        <stp>15710.T</stp>
        <stp>現在値詳細時刻</stp>
        <tr r="D34" s="7"/>
      </tp>
      <tp t="s">
        <v>表示銘柄数超過</v>
        <stp/>
        <stp>Market</stp>
        <stp>STOCK</stp>
        <stp>13990.T</stp>
        <stp>現在値詳細時刻</stp>
        <tr r="D16" s="7"/>
      </tp>
      <tp t="s">
        <v>表示銘柄数超過</v>
        <stp/>
        <stp>Market</stp>
        <stp>STOCK</stp>
        <stp>13080.T</stp>
        <stp>現在値詳細時刻</stp>
        <tr r="D4" s="7"/>
      </tp>
      <tp t="s">
        <v>表示銘柄数超過</v>
        <stp/>
        <stp>Market</stp>
        <stp>STOCK</stp>
        <stp>13060.T</stp>
        <stp>現在値詳細時刻</stp>
        <tr r="D3" s="7"/>
      </tp>
      <tp t="s">
        <v>表示銘柄数超過</v>
        <stp/>
        <stp>Market</stp>
        <stp>STOCK</stp>
        <stp>13050.T</stp>
        <stp>現在値詳細時刻</stp>
        <tr r="D2" s="7"/>
      </tp>
      <tp t="s">
        <v>表示銘柄数超過</v>
        <stp/>
        <stp>Market</stp>
        <stp>STOCK</stp>
        <stp>13190.T</stp>
        <stp>現在値詳細時刻</stp>
        <tr r="D6" s="7"/>
      </tp>
      <tp t="s">
        <v>表示銘柄数超過</v>
        <stp/>
        <stp>Market</stp>
        <stp>STOCK</stp>
        <stp>13110.T</stp>
        <stp>現在値詳細時刻</stp>
        <tr r="D5" s="7"/>
      </tp>
      <tp t="s">
        <v>表示銘柄数超過</v>
        <stp/>
        <stp>Market</stp>
        <stp>STOCK</stp>
        <stp>13250.T</stp>
        <stp>現在値詳細時刻</stp>
        <tr r="D7" s="7"/>
      </tp>
      <tp t="s">
        <v>表示銘柄数超過</v>
        <stp/>
        <stp>Market</stp>
        <stp>STOCK</stp>
        <stp>13320.T</stp>
        <stp>現在値詳細時刻</stp>
        <tr r="D8" s="7"/>
      </tp>
      <tp t="s">
        <v>表示銘柄数超過</v>
        <stp/>
        <stp>Market</stp>
        <stp>STOCK</stp>
        <stp>13330.T</stp>
        <stp>現在値詳細時刻</stp>
        <tr r="D9" s="7"/>
      </tp>
      <tp t="s">
        <v>表示銘柄数超過</v>
        <stp/>
        <stp>Market</stp>
        <stp>STOCK</stp>
        <stp>13450.T</stp>
        <stp>現在値詳細時刻</stp>
        <tr r="D10" s="7"/>
      </tp>
      <tp t="s">
        <v>表示銘柄数超過</v>
        <stp/>
        <stp>Market</stp>
        <stp>STOCK</stp>
        <stp>13560.T</stp>
        <stp>現在値詳細時刻</stp>
        <tr r="D11" s="7"/>
      </tp>
      <tp t="s">
        <v>15:00:00</v>
        <stp/>
        <stp>Market</stp>
        <stp>STOCK</stp>
        <stp>13570.T</stp>
        <stp>現在値詳細時刻</stp>
        <tr r="D12" s="7"/>
      </tp>
      <tp t="s">
        <v>表示銘柄数超過</v>
        <stp/>
        <stp>Market</stp>
        <stp>STOCK</stp>
        <stp>13680.T</stp>
        <stp>現在値詳細時刻</stp>
        <tr r="D15" s="7"/>
      </tp>
      <tp t="s">
        <v>表示銘柄数超過</v>
        <stp/>
        <stp>Market</stp>
        <stp>STOCK</stp>
        <stp>13600.T</stp>
        <stp>現在値詳細時刻</stp>
        <tr r="D13" s="7"/>
      </tp>
      <tp t="s">
        <v>表示銘柄数超過</v>
        <stp/>
        <stp>Market</stp>
        <stp>STOCK</stp>
        <stp>13660.T</stp>
        <stp>現在値詳細時刻</stp>
        <tr r="D14" s="7"/>
      </tp>
      <tp t="s">
        <v>表示銘柄数超過</v>
        <stp/>
        <stp>Market</stp>
        <stp>STOCK</stp>
        <stp>18870.T</stp>
        <stp>現在値詳細時刻</stp>
        <tr r="D69" s="7"/>
      </tp>
      <tp t="s">
        <v>表示銘柄数超過</v>
        <stp/>
        <stp>Market</stp>
        <stp>STOCK</stp>
        <stp>18980.T</stp>
        <stp>現在値詳細時刻</stp>
        <tr r="D71" s="7"/>
      </tp>
      <tp t="s">
        <v>表示銘柄数超過</v>
        <stp/>
        <stp>Market</stp>
        <stp>STOCK</stp>
        <stp>18930.T</stp>
        <stp>現在値詳細時刻</stp>
        <tr r="D70" s="7"/>
      </tp>
      <tp t="s">
        <v>表示銘柄数超過</v>
        <stp/>
        <stp>Market</stp>
        <stp>STOCK</stp>
        <stp>18020.T</stp>
        <stp>現在値詳細時刻</stp>
        <tr r="D57" s="7"/>
      </tp>
      <tp t="s">
        <v>表示銘柄数超過</v>
        <stp/>
        <stp>Market</stp>
        <stp>STOCK</stp>
        <stp>18030.T</stp>
        <stp>現在値詳細時刻</stp>
        <tr r="D58" s="7"/>
      </tp>
      <tp t="s">
        <v>表示銘柄数超過</v>
        <stp/>
        <stp>Market</stp>
        <stp>STOCK</stp>
        <stp>18050.T</stp>
        <stp>現在値詳細時刻</stp>
        <tr r="D59" s="7"/>
      </tp>
      <tp t="s">
        <v>表示銘柄数超過</v>
        <stp/>
        <stp>Market</stp>
        <stp>STOCK</stp>
        <stp>18120.T</stp>
        <stp>現在値詳細時刻</stp>
        <tr r="D60" s="7"/>
      </tp>
      <tp t="s">
        <v>表示銘柄数超過</v>
        <stp/>
        <stp>Market</stp>
        <stp>STOCK</stp>
        <stp>18150.T</stp>
        <stp>現在値詳細時刻</stp>
        <tr r="D61" s="7"/>
      </tp>
      <tp t="s">
        <v>表示銘柄数超過</v>
        <stp/>
        <stp>Market</stp>
        <stp>STOCK</stp>
        <stp>18210.T</stp>
        <stp>現在値詳細時刻</stp>
        <tr r="D62" s="7"/>
      </tp>
      <tp t="s">
        <v>表示銘柄数超過</v>
        <stp/>
        <stp>Market</stp>
        <stp>STOCK</stp>
        <stp>18260.T</stp>
        <stp>現在値詳細時刻</stp>
        <tr r="D63" s="7"/>
      </tp>
      <tp t="s">
        <v>表示銘柄数超過</v>
        <stp/>
        <stp>Market</stp>
        <stp>STOCK</stp>
        <stp>18270.T</stp>
        <stp>現在値詳細時刻</stp>
        <tr r="D64" s="7"/>
      </tp>
      <tp t="s">
        <v>表示銘柄数超過</v>
        <stp/>
        <stp>Market</stp>
        <stp>STOCK</stp>
        <stp>18480.T</stp>
        <stp>現在値詳細時刻</stp>
        <tr r="D67" s="7"/>
      </tp>
      <tp t="s">
        <v>表示銘柄数超過</v>
        <stp/>
        <stp>Market</stp>
        <stp>STOCK</stp>
        <stp>18400.T</stp>
        <stp>現在値詳細時刻</stp>
        <tr r="D65" s="7"/>
      </tp>
      <tp t="s">
        <v>表示銘柄数超過</v>
        <stp/>
        <stp>Market</stp>
        <stp>STOCK</stp>
        <stp>18440.T</stp>
        <stp>現在値詳細時刻</stp>
        <tr r="D66" s="7"/>
      </tp>
      <tp t="s">
        <v>表示銘柄数超過</v>
        <stp/>
        <stp>Market</stp>
        <stp>STOCK</stp>
        <stp>18790.T</stp>
        <stp>現在値詳細時刻</stp>
        <tr r="D68" s="7"/>
      </tp>
      <tp t="s">
        <v>表示銘柄数超過</v>
        <stp/>
        <stp>Market</stp>
        <stp>STOCK</stp>
        <stp>19940.T</stp>
        <stp>現在値詳細時刻</stp>
        <tr r="D86" s="7"/>
      </tp>
      <tp t="s">
        <v>表示銘柄数超過</v>
        <stp/>
        <stp>Market</stp>
        <stp>STOCK</stp>
        <stp>19110.T</stp>
        <stp>現在値詳細時刻</stp>
        <tr r="D72" s="7"/>
      </tp>
      <tp t="s">
        <v>表示銘柄数超過</v>
        <stp/>
        <stp>Market</stp>
        <stp>STOCK</stp>
        <stp>19140.T</stp>
        <stp>現在値詳細時刻</stp>
        <tr r="D73" s="7"/>
      </tp>
      <tp t="s">
        <v>表示銘柄数超過</v>
        <stp/>
        <stp>Market</stp>
        <stp>STOCK</stp>
        <stp>19280.T</stp>
        <stp>現在値詳細時刻</stp>
        <tr r="D75" s="7"/>
      </tp>
      <tp t="s">
        <v>表示銘柄数超過</v>
        <stp/>
        <stp>Market</stp>
        <stp>STOCK</stp>
        <stp>19250.T</stp>
        <stp>現在値詳細時刻</stp>
        <tr r="D74" s="7"/>
      </tp>
      <tp t="s">
        <v>表示銘柄数超過</v>
        <stp/>
        <stp>Market</stp>
        <stp>STOCK</stp>
        <stp>19380.T</stp>
        <stp>現在値詳細時刻</stp>
        <tr r="D77" s="7"/>
      </tp>
      <tp t="s">
        <v>表示銘柄数超過</v>
        <stp/>
        <stp>Market</stp>
        <stp>STOCK</stp>
        <stp>19390.T</stp>
        <stp>現在値詳細時刻</stp>
        <tr r="D78" s="7"/>
      </tp>
      <tp t="s">
        <v>表示銘柄数超過</v>
        <stp/>
        <stp>Market</stp>
        <stp>STOCK</stp>
        <stp>19300.T</stp>
        <stp>現在値詳細時刻</stp>
        <tr r="D76" s="7"/>
      </tp>
      <tp t="s">
        <v>表示銘柄数超過</v>
        <stp/>
        <stp>Market</stp>
        <stp>STOCK</stp>
        <stp>19420.T</stp>
        <stp>現在値詳細時刻</stp>
        <tr r="D80" s="7"/>
      </tp>
      <tp t="s">
        <v>表示銘柄数超過</v>
        <stp/>
        <stp>Market</stp>
        <stp>STOCK</stp>
        <stp>19410.T</stp>
        <stp>現在値詳細時刻</stp>
        <tr r="D79" s="7"/>
      </tp>
      <tp t="s">
        <v>表示銘柄数超過</v>
        <stp/>
        <stp>Market</stp>
        <stp>STOCK</stp>
        <stp>19500.T</stp>
        <stp>現在値詳細時刻</stp>
        <tr r="D81" s="7"/>
      </tp>
      <tp t="s">
        <v>表示銘柄数超過</v>
        <stp/>
        <stp>Market</stp>
        <stp>STOCK</stp>
        <stp>19600.T</stp>
        <stp>現在値詳細時刻</stp>
        <tr r="D82" s="7"/>
      </tp>
      <tp t="s">
        <v>表示銘柄数超過</v>
        <stp/>
        <stp>Market</stp>
        <stp>STOCK</stp>
        <stp>19660.T</stp>
        <stp>現在値詳細時刻</stp>
        <tr r="D84" s="7"/>
      </tp>
      <tp t="s">
        <v>表示銘柄数超過</v>
        <stp/>
        <stp>Market</stp>
        <stp>STOCK</stp>
        <stp>19650.T</stp>
        <stp>現在値詳細時刻</stp>
        <tr r="D83" s="7"/>
      </tp>
      <tp t="s">
        <v>表示銘柄数超過</v>
        <stp/>
        <stp>Market</stp>
        <stp>STOCK</stp>
        <stp>19710.T</stp>
        <stp>現在値詳細時刻</stp>
        <tr r="D85" s="7"/>
      </tp>
      <tp t="s">
        <v>イーディーピー</v>
        <stp/>
        <stp>Market</stp>
        <stp>STOCK</stp>
        <stp>77940.T</stp>
        <stp>銘柄名称</stp>
        <tr r="B936" s="7"/>
      </tp>
      <tp t="s">
        <v>ＫＹＯＲＩＴＳＵ</v>
        <stp/>
        <stp>Market</stp>
        <stp>STOCK</stp>
        <stp>77950.T</stp>
        <stp>銘柄名称</stp>
        <tr r="B937" s="7"/>
      </tp>
      <tp t="s">
        <v>コラントッテ</v>
        <stp/>
        <stp>Market</stp>
        <stp>STOCK</stp>
        <stp>77920.T</stp>
        <stp>銘柄名称</stp>
        <tr r="B935" s="7"/>
      </tp>
      <tp t="s">
        <v>表示銘柄数超過</v>
        <stp/>
        <stp>Market</stp>
        <stp>STOCK</stp>
        <stp>87930.T</stp>
        <stp>銘柄名称</stp>
        <tr r="B1049" s="7"/>
      </tp>
      <tp t="s">
        <v>表示銘柄数超過</v>
        <stp/>
        <stp>Market</stp>
        <stp>STOCK</stp>
        <stp>37930.T</stp>
        <stp>銘柄名称</stp>
        <tr r="B360" s="7"/>
      </tp>
      <tp t="s">
        <v>表示銘柄数超過</v>
        <stp/>
        <stp>Market</stp>
        <stp>STOCK</stp>
        <stp>27900.T</stp>
        <stp>銘柄名称</stp>
        <tr r="B200" s="7"/>
      </tp>
      <tp t="s">
        <v>表示銘柄数超過</v>
        <stp/>
        <stp>Market</stp>
        <stp>STOCK</stp>
        <stp>97870.T</stp>
        <stp>銘柄名称</stp>
        <tr r="B1168" s="7"/>
      </tp>
      <tp t="s">
        <v>表示銘柄数超過</v>
        <stp/>
        <stp>Market</stp>
        <stp>STOCK</stp>
        <stp>37840.T</stp>
        <stp>銘柄名称</stp>
        <tr r="B359" s="7"/>
      </tp>
      <tp t="s">
        <v>表示銘柄数超過</v>
        <stp/>
        <stp>Market</stp>
        <stp>STOCK</stp>
        <stp>47840.T</stp>
        <stp>銘柄名称</stp>
        <tr r="B535" s="7"/>
      </tp>
      <tp t="s">
        <v>表示銘柄数超過</v>
        <stp/>
        <stp>Market</stp>
        <stp>STOCK</stp>
        <stp>97820.T</stp>
        <stp>銘柄名称</stp>
        <tr r="B1166" s="7"/>
      </tp>
      <tp t="s">
        <v>表示銘柄数超過</v>
        <stp/>
        <stp>Market</stp>
        <stp>STOCK</stp>
        <stp>27820.T</stp>
        <stp>銘柄名称</stp>
        <tr r="B199" s="7"/>
      </tp>
      <tp t="s">
        <v>表示銘柄数超過</v>
        <stp/>
        <stp>Market</stp>
        <stp>STOCK</stp>
        <stp>87830.T</stp>
        <stp>銘柄名称</stp>
        <tr r="B1047" s="7"/>
      </tp>
      <tp t="s">
        <v>表示銘柄数超過</v>
        <stp/>
        <stp>Market</stp>
        <stp>STOCK</stp>
        <stp>97830.T</stp>
        <stp>銘柄名称</stp>
        <tr r="B1167" s="7"/>
      </tp>
      <tp t="s">
        <v>表示銘柄数超過</v>
        <stp/>
        <stp>Market</stp>
        <stp>STOCK</stp>
        <stp>17830.T</stp>
        <stp>銘柄名称</stp>
        <tr r="B56" s="7"/>
      </tp>
      <tp t="s">
        <v>表示銘柄数超過</v>
        <stp/>
        <stp>Market</stp>
        <stp>STOCK</stp>
        <stp>97880.T</stp>
        <stp>銘柄名称</stp>
        <tr r="B1169" s="7"/>
      </tp>
      <tp t="s">
        <v>表示銘柄数超過</v>
        <stp/>
        <stp>Market</stp>
        <stp>STOCK</stp>
        <stp>87890.T</stp>
        <stp>銘柄名称</stp>
        <tr r="B1048" s="7"/>
      </tp>
      <tp t="s">
        <v>表示銘柄数超過</v>
        <stp/>
        <stp>Market</stp>
        <stp>STOCK</stp>
        <stp>17160.T</stp>
        <stp>銘柄名称</stp>
        <tr r="B48" s="7"/>
      </tp>
      <tp t="s">
        <v>表示銘柄数超過</v>
        <stp/>
        <stp>Market</stp>
        <stp>STOCK</stp>
        <stp>47160.T</stp>
        <stp>銘柄名称</stp>
        <tr r="B525" s="7"/>
      </tp>
      <tp t="s">
        <v>表示銘柄数超過</v>
        <stp/>
        <stp>Market</stp>
        <stp>STOCK</stp>
        <stp>47140.T</stp>
        <stp>銘柄名称</stp>
        <tr r="B524" s="7"/>
      </tp>
      <tp t="s">
        <v>表示銘柄数超過</v>
        <stp/>
        <stp>Market</stp>
        <stp>STOCK</stp>
        <stp>17120.T</stp>
        <stp>銘柄名称</stp>
        <tr r="B47" s="7"/>
      </tp>
      <tp t="s">
        <v>表示銘柄数超過</v>
        <stp/>
        <stp>Market</stp>
        <stp>STOCK</stp>
        <stp>37100.T</stp>
        <stp>銘柄名称</stp>
        <tr r="B344" s="7"/>
      </tp>
      <tp t="s">
        <v>表示銘柄数超過</v>
        <stp/>
        <stp>Market</stp>
        <stp>STOCK</stp>
        <stp>17110.T</stp>
        <stp>銘柄名称</stp>
        <tr r="B46" s="7"/>
      </tp>
      <tp t="s">
        <v>三菱マテリアル</v>
        <stp/>
        <stp>Market</stp>
        <stp>STOCK</stp>
        <stp>57110.T</stp>
        <stp>銘柄名称</stp>
        <tr r="B607" s="7"/>
      </tp>
      <tp t="s">
        <v>表示銘柄数超過</v>
        <stp/>
        <stp>Market</stp>
        <stp>STOCK</stp>
        <stp>17190.T</stp>
        <stp>銘柄名称</stp>
        <tr r="B49" s="7"/>
      </tp>
      <tp t="s">
        <v>表示銘柄数超過</v>
        <stp/>
        <stp>Market</stp>
        <stp>STOCK</stp>
        <stp>37190.T</stp>
        <stp>銘柄名称</stp>
        <tr r="B345" s="7"/>
      </tp>
      <tp t="s">
        <v>東京衡機</v>
        <stp/>
        <stp>Market</stp>
        <stp>STOCK</stp>
        <stp>77190.T</stp>
        <stp>銘柄名称</stp>
        <tr r="B922" s="7"/>
      </tp>
      <tp t="s">
        <v>極東証券</v>
        <stp/>
        <stp>Market</stp>
        <stp>STOCK</stp>
        <stp>87060.T</stp>
        <stp>銘柄名称</stp>
        <tr r="B1038" s="7"/>
      </tp>
      <tp t="s">
        <v>表示銘柄数超過</v>
        <stp/>
        <stp>Market</stp>
        <stp>STOCK</stp>
        <stp>47070.T</stp>
        <stp>銘柄名称</stp>
        <tr r="B523" s="7"/>
      </tp>
      <tp t="s">
        <v>ＪＭＣ</v>
        <stp/>
        <stp>Market</stp>
        <stp>STOCK</stp>
        <stp>57040.T</stp>
        <stp>銘柄名称</stp>
        <tr r="B606" s="7"/>
      </tp>
      <tp t="s">
        <v>日産証券グループ</v>
        <stp/>
        <stp>Market</stp>
        <stp>STOCK</stp>
        <stp>87050.T</stp>
        <stp>銘柄名称</stp>
        <tr r="B1037" s="7"/>
      </tp>
      <tp t="s">
        <v>表示銘柄数超過</v>
        <stp/>
        <stp>Market</stp>
        <stp>STOCK</stp>
        <stp>47050.T</stp>
        <stp>銘柄名称</stp>
        <tr r="B522" s="7"/>
      </tp>
      <tp t="s">
        <v>表示銘柄数超過</v>
        <stp/>
        <stp>Market</stp>
        <stp>STOCK</stp>
        <stp>27020.T</stp>
        <stp>銘柄名称</stp>
        <tr r="B186" s="7"/>
      </tp>
      <tp t="s">
        <v>富士通</v>
        <stp/>
        <stp>Market</stp>
        <stp>STOCK</stp>
        <stp>67020.T</stp>
        <stp>銘柄名称</stp>
        <tr r="B755" s="7"/>
      </tp>
      <tp t="s">
        <v>日本軽金属ＨＤ</v>
        <stp/>
        <stp>Market</stp>
        <stp>STOCK</stp>
        <stp>57030.T</stp>
        <stp>銘柄名称</stp>
        <tr r="B605" s="7"/>
      </tp>
      <tp t="s">
        <v>日本電気</v>
        <stp/>
        <stp>Market</stp>
        <stp>STOCK</stp>
        <stp>67010.T</stp>
        <stp>銘柄名称</stp>
        <tr r="B754" s="7"/>
      </tp>
      <tp t="s">
        <v>アイザワ証券グループ</v>
        <stp/>
        <stp>Market</stp>
        <stp>STOCK</stp>
        <stp>87080.T</stp>
        <stp>銘柄名称</stp>
        <tr r="B1039" s="7"/>
      </tp>
      <tp t="s">
        <v>表示銘柄数超過</v>
        <stp/>
        <stp>Market</stp>
        <stp>STOCK</stp>
        <stp>97090.T</stp>
        <stp>銘柄名称</stp>
        <tr r="B1162" s="7"/>
      </tp>
      <tp t="s">
        <v>クボテック</v>
        <stp/>
        <stp>Market</stp>
        <stp>STOCK</stp>
        <stp>77090.T</stp>
        <stp>銘柄名称</stp>
        <tr r="B921" s="7"/>
      </tp>
      <tp t="s">
        <v>あかつき本社</v>
        <stp/>
        <stp>Market</stp>
        <stp>STOCK</stp>
        <stp>87370.T</stp>
        <stp>銘柄名称</stp>
        <tr r="B1041" s="7"/>
      </tp>
      <tp t="s">
        <v>表示銘柄数超過</v>
        <stp/>
        <stp>Market</stp>
        <stp>STOCK</stp>
        <stp>27340.T</stp>
        <stp>銘柄名称</stp>
        <tr r="B189" s="7"/>
      </tp>
      <tp t="s">
        <v>表示銘柄数超過</v>
        <stp/>
        <stp>Market</stp>
        <stp>STOCK</stp>
        <stp>27350.T</stp>
        <stp>銘柄名称</stp>
        <tr r="B190" s="7"/>
      </tp>
      <tp t="s">
        <v>マネーパートナーズＧＰ</v>
        <stp/>
        <stp>Market</stp>
        <stp>STOCK</stp>
        <stp>87320.T</stp>
        <stp>銘柄名称</stp>
        <tr r="B1040" s="7"/>
      </tp>
      <tp t="s">
        <v>トプコン</v>
        <stp/>
        <stp>Market</stp>
        <stp>STOCK</stp>
        <stp>77320.T</stp>
        <stp>銘柄名称</stp>
        <tr r="B925" s="7"/>
      </tp>
      <tp t="s">
        <v>表示銘柄数超過</v>
        <stp/>
        <stp>Market</stp>
        <stp>STOCK</stp>
        <stp>17300.T</stp>
        <stp>銘柄名称</stp>
        <tr r="B52" s="7"/>
      </tp>
      <tp t="s">
        <v>ピクセラ</v>
        <stp/>
        <stp>Market</stp>
        <stp>STOCK</stp>
        <stp>67310.T</stp>
        <stp>銘柄名称</stp>
        <tr r="B758" s="7"/>
      </tp>
      <tp t="s">
        <v>表示銘柄数超過</v>
        <stp/>
        <stp>Market</stp>
        <stp>STOCK</stp>
        <stp>37380.T</stp>
        <stp>銘柄名称</stp>
        <tr r="B348" s="7"/>
      </tp>
      <tp t="s">
        <v>キヤノン電子</v>
        <stp/>
        <stp>Market</stp>
        <stp>STOCK</stp>
        <stp>77390.T</stp>
        <stp>銘柄名称</stp>
        <tr r="B926" s="7"/>
      </tp>
      <tp t="s">
        <v>表示銘柄数超過</v>
        <stp/>
        <stp>Market</stp>
        <stp>STOCK</stp>
        <stp>47260.T</stp>
        <stp>銘柄名称</stp>
        <tr r="B527" s="7"/>
      </tp>
      <tp t="s">
        <v>大阪チタニウム</v>
        <stp/>
        <stp>Market</stp>
        <stp>STOCK</stp>
        <stp>57260.T</stp>
        <stp>銘柄名称</stp>
        <tr r="B608" s="7"/>
      </tp>
      <tp t="s">
        <v>表示銘柄数超過</v>
        <stp/>
        <stp>Market</stp>
        <stp>STOCK</stp>
        <stp>37270.T</stp>
        <stp>銘柄名称</stp>
        <tr r="B347" s="7"/>
      </tp>
      <tp t="s">
        <v>東邦チタニウム</v>
        <stp/>
        <stp>Market</stp>
        <stp>STOCK</stp>
        <stp>57270.T</stp>
        <stp>銘柄名称</stp>
        <tr r="B609" s="7"/>
      </tp>
      <tp t="s">
        <v>インターアクション</v>
        <stp/>
        <stp>Market</stp>
        <stp>STOCK</stp>
        <stp>77250.T</stp>
        <stp>銘柄名称</stp>
        <tr r="B924" s="7"/>
      </tp>
      <tp t="s">
        <v>表示銘柄数超過</v>
        <stp/>
        <stp>Market</stp>
        <stp>STOCK</stp>
        <stp>27220.T</stp>
        <stp>銘柄名称</stp>
        <tr r="B188" s="7"/>
      </tp>
      <tp t="s">
        <v>国際計測器</v>
        <stp/>
        <stp>Market</stp>
        <stp>STOCK</stp>
        <stp>77220.T</stp>
        <stp>銘柄名称</stp>
        <tr r="B923" s="7"/>
      </tp>
      <tp t="s">
        <v>表示銘柄数超過</v>
        <stp/>
        <stp>Market</stp>
        <stp>STOCK</stp>
        <stp>97230.T</stp>
        <stp>銘柄名称</stp>
        <tr r="B1163" s="7"/>
      </tp>
      <tp t="s">
        <v>表示銘柄数超過</v>
        <stp/>
        <stp>Market</stp>
        <stp>STOCK</stp>
        <stp>37230.T</stp>
        <stp>銘柄名称</stp>
        <tr r="B346" s="7"/>
      </tp>
      <tp t="s">
        <v>ルネサスエレクトロニクス</v>
        <stp/>
        <stp>Market</stp>
        <stp>STOCK</stp>
        <stp>67230.T</stp>
        <stp>銘柄名称</stp>
        <tr r="B757" s="7"/>
      </tp>
      <tp t="s">
        <v>表示銘柄数超過</v>
        <stp/>
        <stp>Market</stp>
        <stp>STOCK</stp>
        <stp>17200.T</stp>
        <stp>銘柄名称</stp>
        <tr r="B50" s="7"/>
      </tp>
      <tp t="s">
        <v>表示銘柄数超過</v>
        <stp/>
        <stp>Market</stp>
        <stp>STOCK</stp>
        <stp>47200.T</stp>
        <stp>銘柄名称</stp>
        <tr r="B526" s="7"/>
      </tp>
      <tp t="s">
        <v>表示銘柄数超過</v>
        <stp/>
        <stp>Market</stp>
        <stp>STOCK</stp>
        <stp>17210.T</stp>
        <stp>銘柄名称</stp>
        <tr r="B51" s="7"/>
      </tp>
      <tp t="s">
        <v>表示銘柄数超過</v>
        <stp/>
        <stp>Market</stp>
        <stp>STOCK</stp>
        <stp>27210.T</stp>
        <stp>銘柄名称</stp>
        <tr r="B187" s="7"/>
      </tp>
      <tp t="s">
        <v>ウインテスト</v>
        <stp/>
        <stp>Market</stp>
        <stp>STOCK</stp>
        <stp>67210.T</stp>
        <stp>銘柄名称</stp>
        <tr r="B756" s="7"/>
      </tp>
      <tp t="s">
        <v>表示銘柄数超過</v>
        <stp/>
        <stp>Market</stp>
        <stp>STOCK</stp>
        <stp>17570.T</stp>
        <stp>銘柄名称</stp>
        <tr r="B54" s="7"/>
      </tp>
      <tp t="s">
        <v>アンリツ</v>
        <stp/>
        <stp>Market</stp>
        <stp>STOCK</stp>
        <stp>67540.T</stp>
        <stp>銘柄名称</stp>
        <tr r="B766" s="7"/>
      </tp>
      <tp t="s">
        <v>表示銘柄数超過</v>
        <stp/>
        <stp>Market</stp>
        <stp>STOCK</stp>
        <stp>47550.T</stp>
        <stp>銘柄名称</stp>
        <tr r="B529" s="7"/>
      </tp>
      <tp t="s">
        <v>パナソニックホールディンク</v>
        <stp/>
        <stp>Market</stp>
        <stp>STOCK</stp>
        <stp>67520.T</stp>
        <stp>銘柄名称</stp>
        <tr r="B764" s="7"/>
      </tp>
      <tp t="s">
        <v>リコー</v>
        <stp/>
        <stp>Market</stp>
        <stp>STOCK</stp>
        <stp>77520.T</stp>
        <stp>銘柄名称</stp>
        <tr r="B929" s="7"/>
      </tp>
      <tp t="s">
        <v>シャープ</v>
        <stp/>
        <stp>Market</stp>
        <stp>STOCK</stp>
        <stp>67530.T</stp>
        <stp>銘柄名称</stp>
        <tr r="B765" s="7"/>
      </tp>
      <tp t="s">
        <v>表示銘柄数超過</v>
        <stp/>
        <stp>Market</stp>
        <stp>STOCK</stp>
        <stp>87500.T</stp>
        <stp>銘柄名称</stp>
        <tr r="B1044" s="7"/>
      </tp>
      <tp t="s">
        <v>エレコム</v>
        <stp/>
        <stp>Market</stp>
        <stp>STOCK</stp>
        <stp>67500.T</stp>
        <stp>銘柄名称</stp>
        <tr r="B763" s="7"/>
      </tp>
      <tp t="s">
        <v>表示銘柄数超過</v>
        <stp/>
        <stp>Market</stp>
        <stp>STOCK</stp>
        <stp>47510.T</stp>
        <stp>銘柄名称</stp>
        <tr r="B528" s="7"/>
      </tp>
      <tp t="s">
        <v>キヤノン</v>
        <stp/>
        <stp>Market</stp>
        <stp>STOCK</stp>
        <stp>77510.T</stp>
        <stp>銘柄名称</stp>
        <tr r="B928" s="7"/>
      </tp>
      <tp t="s">
        <v>表示銘柄数超過</v>
        <stp/>
        <stp>Market</stp>
        <stp>STOCK</stp>
        <stp>37580.T</stp>
        <stp>銘柄名称</stp>
        <tr r="B351" s="7"/>
      </tp>
      <tp t="s">
        <v>ソニーグループ</v>
        <stp/>
        <stp>Market</stp>
        <stp>STOCK</stp>
        <stp>67580.T</stp>
        <stp>銘柄名称</stp>
        <tr r="B767" s="7"/>
      </tp>
      <tp t="s">
        <v>日本電解</v>
        <stp/>
        <stp>Market</stp>
        <stp>STOCK</stp>
        <stp>57590.T</stp>
        <stp>銘柄名称</stp>
        <tr r="B610" s="7"/>
      </tp>
      <tp t="s">
        <v>第一商品</v>
        <stp/>
        <stp>Market</stp>
        <stp>STOCK</stp>
        <stp>87460.T</stp>
        <stp>銘柄名称</stp>
        <tr r="B1043" s="7"/>
      </tp>
      <tp t="s">
        <v>表示銘柄数超過</v>
        <stp/>
        <stp>Market</stp>
        <stp>STOCK</stp>
        <stp>37470.T</stp>
        <stp>銘柄名称</stp>
        <tr r="B350" s="7"/>
      </tp>
      <tp t="s">
        <v>Ａ＆Ｄホロンホールディングス</v>
        <stp/>
        <stp>Market</stp>
        <stp>STOCK</stp>
        <stp>77450.T</stp>
        <stp>銘柄名称</stp>
        <tr r="B927" s="7"/>
      </tp>
      <tp t="s">
        <v>小林洋行</v>
        <stp/>
        <stp>Market</stp>
        <stp>STOCK</stp>
        <stp>87420.T</stp>
        <stp>銘柄名称</stp>
        <tr r="B1042" s="7"/>
      </tp>
      <tp t="s">
        <v>京三製作所</v>
        <stp/>
        <stp>Market</stp>
        <stp>STOCK</stp>
        <stp>67420.T</stp>
        <stp>銘柄名称</stp>
        <tr r="B761" s="7"/>
      </tp>
      <tp t="s">
        <v>表示銘柄数超過</v>
        <stp/>
        <stp>Market</stp>
        <stp>STOCK</stp>
        <stp>17430.T</stp>
        <stp>銘柄名称</stp>
        <tr r="B53" s="7"/>
      </tp>
      <tp t="s">
        <v>表示銘柄数超過</v>
        <stp/>
        <stp>Market</stp>
        <stp>STOCK</stp>
        <stp>27430.T</stp>
        <stp>銘柄名称</stp>
        <tr r="B191" s="7"/>
      </tp>
      <tp t="s">
        <v>ジャパンディスプレイ</v>
        <stp/>
        <stp>Market</stp>
        <stp>STOCK</stp>
        <stp>67400.T</stp>
        <stp>銘柄名称</stp>
        <tr r="B759" s="7"/>
      </tp>
      <tp t="s">
        <v>表示銘柄数超過</v>
        <stp/>
        <stp>Market</stp>
        <stp>STOCK</stp>
        <stp>37410.T</stp>
        <stp>銘柄名称</stp>
        <tr r="B349" s="7"/>
      </tp>
      <tp t="s">
        <v>日本信号</v>
        <stp/>
        <stp>Market</stp>
        <stp>STOCK</stp>
        <stp>67410.T</stp>
        <stp>銘柄名称</stp>
        <tr r="B760" s="7"/>
      </tp>
      <tp t="s">
        <v>星和電機</v>
        <stp/>
        <stp>Market</stp>
        <stp>STOCK</stp>
        <stp>67480.T</stp>
        <stp>銘柄名称</stp>
        <tr r="B762" s="7"/>
      </tp>
      <tp t="s">
        <v>表示銘柄数超過</v>
        <stp/>
        <stp>Market</stp>
        <stp>STOCK</stp>
        <stp>27490.T</stp>
        <stp>銘柄名称</stp>
        <tr r="B192" s="7"/>
      </tp>
      <tp t="s">
        <v>表示銘柄数超過</v>
        <stp/>
        <stp>Market</stp>
        <stp>STOCK</stp>
        <stp>27760.T</stp>
        <stp>銘柄名称</stp>
        <tr r="B197" s="7"/>
      </tp>
      <tp t="s">
        <v>表示銘柄数超過</v>
        <stp/>
        <stp>Market</stp>
        <stp>STOCK</stp>
        <stp>37760.T</stp>
        <stp>銘柄名称</stp>
        <tr r="B355" s="7"/>
      </tp>
      <tp t="s">
        <v>表示銘柄数超過</v>
        <stp/>
        <stp>Market</stp>
        <stp>STOCK</stp>
        <stp>47760.T</stp>
        <stp>銘柄名称</stp>
        <tr r="B533" s="7"/>
      </tp>
      <tp t="s">
        <v>天昇電気</v>
        <stp/>
        <stp>Market</stp>
        <stp>STOCK</stp>
        <stp>67760.T</stp>
        <stp>銘柄名称</stp>
        <tr r="B771" s="7"/>
      </tp>
      <tp t="s">
        <v>セルシード</v>
        <stp/>
        <stp>Market</stp>
        <stp>STOCK</stp>
        <stp>77760.T</stp>
        <stp>銘柄名称</stp>
        <tr r="B932" s="7"/>
      </tp>
      <tp t="s">
        <v>表示銘柄数超過</v>
        <stp/>
        <stp>Market</stp>
        <stp>STOCK</stp>
        <stp>37770.T</stp>
        <stp>銘柄名称</stp>
        <tr r="B356" s="7"/>
      </tp>
      <tp t="s">
        <v>表示銘柄数超過</v>
        <stp/>
        <stp>Market</stp>
        <stp>STOCK</stp>
        <stp>47770.T</stp>
        <stp>銘柄名称</stp>
        <tr r="B534" s="7"/>
      </tp>
      <tp t="s">
        <v>ＳＡＮＴＥＣＨＯＬＤＩＮＧＳ</v>
        <stp/>
        <stp>Market</stp>
        <stp>STOCK</stp>
        <stp>67770.T</stp>
        <stp>銘柄名称</stp>
        <tr r="B772" s="7"/>
      </tp>
      <tp t="s">
        <v>スリー・ディー・マトリックス</v>
        <stp/>
        <stp>Market</stp>
        <stp>STOCK</stp>
        <stp>77770.T</stp>
        <stp>銘柄名称</stp>
        <tr r="B933" s="7"/>
      </tp>
      <tp t="s">
        <v>ＴＢグループ</v>
        <stp/>
        <stp>Market</stp>
        <stp>STOCK</stp>
        <stp>67750.T</stp>
        <stp>銘柄名称</stp>
        <tr r="B770" s="7"/>
      </tp>
      <tp t="s">
        <v>表示銘柄数超過</v>
        <stp/>
        <stp>Market</stp>
        <stp>STOCK</stp>
        <stp>37730.T</stp>
        <stp>銘柄名称</stp>
        <tr r="B354" s="7"/>
      </tp>
      <tp t="s">
        <v>表示銘柄数超過</v>
        <stp/>
        <stp>Market</stp>
        <stp>STOCK</stp>
        <stp>17700.T</stp>
        <stp>銘柄名称</stp>
        <tr r="B55" s="7"/>
      </tp>
      <tp t="s">
        <v>表示銘柄数超過</v>
        <stp/>
        <stp>Market</stp>
        <stp>STOCK</stp>
        <stp>37700.T</stp>
        <stp>銘柄名称</stp>
        <tr r="B353" s="7"/>
      </tp>
      <tp t="s">
        <v>表示銘柄数超過</v>
        <stp/>
        <stp>Market</stp>
        <stp>STOCK</stp>
        <stp>47700.T</stp>
        <stp>銘柄名称</stp>
        <tr r="B532" s="7"/>
      </tp>
      <tp t="s">
        <v>日本精密</v>
        <stp/>
        <stp>Market</stp>
        <stp>STOCK</stp>
        <stp>77710.T</stp>
        <stp>銘柄名称</stp>
        <tr r="B931" s="7"/>
      </tp>
      <tp t="s">
        <v>表示銘柄数超過</v>
        <stp/>
        <stp>Market</stp>
        <stp>STOCK</stp>
        <stp>27780.T</stp>
        <stp>銘柄名称</stp>
        <tr r="B198" s="7"/>
      </tp>
      <tp t="s">
        <v>表示銘柄数超過</v>
        <stp/>
        <stp>Market</stp>
        <stp>STOCK</stp>
        <stp>37780.T</stp>
        <stp>銘柄名称</stp>
        <tr r="B357" s="7"/>
      </tp>
      <tp t="s">
        <v>表示銘柄数超過</v>
        <stp/>
        <stp>Market</stp>
        <stp>STOCK</stp>
        <stp>37790.T</stp>
        <stp>銘柄名称</stp>
        <tr r="B358" s="7"/>
      </tp>
      <tp t="s">
        <v>ＣＹＢＥＲＤＹＮＥ</v>
        <stp/>
        <stp>Market</stp>
        <stp>STOCK</stp>
        <stp>77790.T</stp>
        <stp>銘柄名称</stp>
        <tr r="B934" s="7"/>
      </tp>
      <tp t="s">
        <v>表示銘柄数超過</v>
        <stp/>
        <stp>Market</stp>
        <stp>STOCK</stp>
        <stp>87660.T</stp>
        <stp>銘柄名称</stp>
        <tr r="B1045" s="7"/>
      </tp>
      <tp t="s">
        <v>表示銘柄数超過</v>
        <stp/>
        <stp>Market</stp>
        <stp>STOCK</stp>
        <stp>47660.T</stp>
        <stp>銘柄名称</stp>
        <tr r="B530" s="7"/>
      </tp>
      <tp t="s">
        <v>表示銘柄数超過</v>
        <stp/>
        <stp>Market</stp>
        <stp>STOCK</stp>
        <stp>27670.T</stp>
        <stp>銘柄名称</stp>
        <tr r="B195" s="7"/>
      </tp>
      <tp t="s">
        <v>表示銘柄数超過</v>
        <stp/>
        <stp>Market</stp>
        <stp>STOCK</stp>
        <stp>47670.T</stp>
        <stp>銘柄名称</stp>
        <tr r="B531" s="7"/>
      </tp>
      <tp t="s">
        <v>表示銘柄数超過</v>
        <stp/>
        <stp>Market</stp>
        <stp>STOCK</stp>
        <stp>27640.T</stp>
        <stp>銘柄名称</stp>
        <tr r="B194" s="7"/>
      </tp>
      <tp t="s">
        <v>表示銘柄数超過</v>
        <stp/>
        <stp>Market</stp>
        <stp>STOCK</stp>
        <stp>97650.T</stp>
        <stp>銘柄名称</stp>
        <tr r="B1165" s="7"/>
      </tp>
      <tp t="s">
        <v>表示銘柄数超過</v>
        <stp/>
        <stp>Market</stp>
        <stp>STOCK</stp>
        <stp>27620.T</stp>
        <stp>銘柄名称</stp>
        <tr r="B193" s="7"/>
      </tp>
      <tp t="s">
        <v>ＴＤＫ</v>
        <stp/>
        <stp>Market</stp>
        <stp>STOCK</stp>
        <stp>67620.T</stp>
        <stp>銘柄名称</stp>
        <tr r="B768" s="7"/>
      </tp>
      <tp t="s">
        <v>シチズン時計</v>
        <stp/>
        <stp>Market</stp>
        <stp>STOCK</stp>
        <stp>77620.T</stp>
        <stp>銘柄名称</stp>
        <tr r="B930" s="7"/>
      </tp>
      <tp t="s">
        <v>表示銘柄数超過</v>
        <stp/>
        <stp>Market</stp>
        <stp>STOCK</stp>
        <stp>97600.T</stp>
        <stp>銘柄名称</stp>
        <tr r="B1164" s="7"/>
      </tp>
      <tp t="s">
        <v>表示銘柄数超過</v>
        <stp/>
        <stp>Market</stp>
        <stp>STOCK</stp>
        <stp>37600.T</stp>
        <stp>銘柄名称</stp>
        <tr r="B352" s="7"/>
      </tp>
      <tp t="s">
        <v>表示銘柄数超過</v>
        <stp/>
        <stp>Market</stp>
        <stp>STOCK</stp>
        <stp>27680.T</stp>
        <stp>銘柄名称</stp>
        <tr r="B196" s="7"/>
      </tp>
      <tp t="s">
        <v>タムラ製作所</v>
        <stp/>
        <stp>Market</stp>
        <stp>STOCK</stp>
        <stp>67680.T</stp>
        <stp>銘柄名称</stp>
        <tr r="B769" s="7"/>
      </tp>
      <tp t="s">
        <v>表示銘柄数超過</v>
        <stp/>
        <stp>Market</stp>
        <stp>STOCK</stp>
        <stp>87690.T</stp>
        <stp>銘柄名称</stp>
        <tr r="B1046" s="7"/>
      </tp>
    </main>
    <main first="rtdsrv.662c26bade854d00aebc6010f8a2e03a">
      <tp t="s">
        <v>表示銘柄数超過</v>
        <stp/>
        <stp>Market</stp>
        <stp>STOCK</stp>
        <stp>26810.T</stp>
        <stp>現在値詳細時刻</stp>
        <tr r="D180" s="7"/>
      </tp>
      <tp t="s">
        <v>表示銘柄数超過</v>
        <stp/>
        <stp>Market</stp>
        <stp>STOCK</stp>
        <stp>26860.T</stp>
        <stp>現在値詳細時刻</stp>
        <tr r="D182" s="7"/>
      </tp>
      <tp t="s">
        <v>表示銘柄数超過</v>
        <stp/>
        <stp>Market</stp>
        <stp>STOCK</stp>
        <stp>26850.T</stp>
        <stp>現在値詳細時刻</stp>
        <tr r="D181" s="7"/>
      </tp>
      <tp t="s">
        <v>表示銘柄数超過</v>
        <stp/>
        <stp>Market</stp>
        <stp>STOCK</stp>
        <stp>26980.T</stp>
        <stp>現在値詳細時刻</stp>
        <tr r="D185" s="7"/>
      </tp>
      <tp t="s">
        <v>表示銘柄数超過</v>
        <stp/>
        <stp>Market</stp>
        <stp>STOCK</stp>
        <stp>26930.T</stp>
        <stp>現在値詳細時刻</stp>
        <tr r="D183" s="7"/>
      </tp>
      <tp t="s">
        <v>表示銘柄数超過</v>
        <stp/>
        <stp>Market</stp>
        <stp>STOCK</stp>
        <stp>26940.T</stp>
        <stp>現在値詳細時刻</stp>
        <tr r="D184" s="7"/>
      </tp>
      <tp t="s">
        <v>表示銘柄数超過</v>
        <stp/>
        <stp>Market</stp>
        <stp>STOCK</stp>
        <stp>26200.T</stp>
        <stp>現在値詳細時刻</stp>
        <tr r="D169" s="7"/>
      </tp>
      <tp t="s">
        <v>表示銘柄数超過</v>
        <stp/>
        <stp>Market</stp>
        <stp>STOCK</stp>
        <stp>26210.T</stp>
        <stp>現在値詳細時刻</stp>
        <tr r="D170" s="7"/>
      </tp>
      <tp t="s">
        <v>表示銘柄数超過</v>
        <stp/>
        <stp>Market</stp>
        <stp>STOCK</stp>
        <stp>26240.T</stp>
        <stp>現在値詳細時刻</stp>
        <tr r="D171" s="7"/>
      </tp>
      <tp t="s">
        <v>表示銘柄数超過</v>
        <stp/>
        <stp>Market</stp>
        <stp>STOCK</stp>
        <stp>26330.T</stp>
        <stp>現在値詳細時刻</stp>
        <tr r="D172" s="7"/>
      </tp>
      <tp t="s">
        <v>表示銘柄数超過</v>
        <stp/>
        <stp>Market</stp>
        <stp>STOCK</stp>
        <stp>26340.T</stp>
        <stp>現在値詳細時刻</stp>
        <tr r="D173" s="7"/>
      </tp>
      <tp t="s">
        <v>表示銘柄数超過</v>
        <stp/>
        <stp>Market</stp>
        <stp>STOCK</stp>
        <stp>26350.T</stp>
        <stp>現在値詳細時刻</stp>
        <tr r="D174" s="7"/>
      </tp>
      <tp t="s">
        <v>表示銘柄数超過</v>
        <stp/>
        <stp>Market</stp>
        <stp>STOCK</stp>
        <stp>26510.T</stp>
        <stp>現在値詳細時刻</stp>
        <tr r="D175" s="7"/>
      </tp>
      <tp t="s">
        <v>表示銘柄数超過</v>
        <stp/>
        <stp>Market</stp>
        <stp>STOCK</stp>
        <stp>26560.T</stp>
        <stp>現在値詳細時刻</stp>
        <tr r="D176" s="7"/>
      </tp>
      <tp t="s">
        <v>表示銘柄数超過</v>
        <stp/>
        <stp>Market</stp>
        <stp>STOCK</stp>
        <stp>26660.T</stp>
        <stp>現在値詳細時刻</stp>
        <tr r="D177" s="7"/>
      </tp>
      <tp t="s">
        <v>表示銘柄数超過</v>
        <stp/>
        <stp>Market</stp>
        <stp>STOCK</stp>
        <stp>26670.T</stp>
        <stp>現在値詳細時刻</stp>
        <tr r="D178" s="7"/>
      </tp>
      <tp t="s">
        <v>表示銘柄数超過</v>
        <stp/>
        <stp>Market</stp>
        <stp>STOCK</stp>
        <stp>26740.T</stp>
        <stp>現在値詳細時刻</stp>
        <tr r="D179" s="7"/>
      </tp>
      <tp t="s">
        <v>表示銘柄数超過</v>
        <stp/>
        <stp>Market</stp>
        <stp>STOCK</stp>
        <stp>27820.T</stp>
        <stp>現在値詳細時刻</stp>
        <tr r="D199" s="7"/>
      </tp>
      <tp t="s">
        <v>表示銘柄数超過</v>
        <stp/>
        <stp>Market</stp>
        <stp>STOCK</stp>
        <stp>27900.T</stp>
        <stp>現在値詳細時刻</stp>
        <tr r="D200" s="7"/>
      </tp>
      <tp t="s">
        <v>表示銘柄数超過</v>
        <stp/>
        <stp>Market</stp>
        <stp>STOCK</stp>
        <stp>27020.T</stp>
        <stp>現在値詳細時刻</stp>
        <tr r="D186" s="7"/>
      </tp>
      <tp t="s">
        <v>表示銘柄数超過</v>
        <stp/>
        <stp>Market</stp>
        <stp>STOCK</stp>
        <stp>27220.T</stp>
        <stp>現在値詳細時刻</stp>
        <tr r="D188" s="7"/>
      </tp>
      <tp t="s">
        <v>表示銘柄数超過</v>
        <stp/>
        <stp>Market</stp>
        <stp>STOCK</stp>
        <stp>27210.T</stp>
        <stp>現在値詳細時刻</stp>
        <tr r="D187" s="7"/>
      </tp>
      <tp t="s">
        <v>表示銘柄数超過</v>
        <stp/>
        <stp>Market</stp>
        <stp>STOCK</stp>
        <stp>27340.T</stp>
        <stp>現在値詳細時刻</stp>
        <tr r="D189" s="7"/>
      </tp>
      <tp t="s">
        <v>表示銘柄数超過</v>
        <stp/>
        <stp>Market</stp>
        <stp>STOCK</stp>
        <stp>27350.T</stp>
        <stp>現在値詳細時刻</stp>
        <tr r="D190" s="7"/>
      </tp>
      <tp t="s">
        <v>表示銘柄数超過</v>
        <stp/>
        <stp>Market</stp>
        <stp>STOCK</stp>
        <stp>27490.T</stp>
        <stp>現在値詳細時刻</stp>
        <tr r="D192" s="7"/>
      </tp>
      <tp t="s">
        <v>表示銘柄数超過</v>
        <stp/>
        <stp>Market</stp>
        <stp>STOCK</stp>
        <stp>27430.T</stp>
        <stp>現在値詳細時刻</stp>
        <tr r="D191" s="7"/>
      </tp>
      <tp t="s">
        <v>表示銘柄数超過</v>
        <stp/>
        <stp>Market</stp>
        <stp>STOCK</stp>
        <stp>27680.T</stp>
        <stp>現在値詳細時刻</stp>
        <tr r="D196" s="7"/>
      </tp>
      <tp t="s">
        <v>表示銘柄数超過</v>
        <stp/>
        <stp>Market</stp>
        <stp>STOCK</stp>
        <stp>27620.T</stp>
        <stp>現在値詳細時刻</stp>
        <tr r="D193" s="7"/>
      </tp>
      <tp t="s">
        <v>表示銘柄数超過</v>
        <stp/>
        <stp>Market</stp>
        <stp>STOCK</stp>
        <stp>27670.T</stp>
        <stp>現在値詳細時刻</stp>
        <tr r="D195" s="7"/>
      </tp>
      <tp t="s">
        <v>表示銘柄数超過</v>
        <stp/>
        <stp>Market</stp>
        <stp>STOCK</stp>
        <stp>27640.T</stp>
        <stp>現在値詳細時刻</stp>
        <tr r="D194" s="7"/>
      </tp>
      <tp t="s">
        <v>表示銘柄数超過</v>
        <stp/>
        <stp>Market</stp>
        <stp>STOCK</stp>
        <stp>27780.T</stp>
        <stp>現在値詳細時刻</stp>
        <tr r="D198" s="7"/>
      </tp>
      <tp t="s">
        <v>表示銘柄数超過</v>
        <stp/>
        <stp>Market</stp>
        <stp>STOCK</stp>
        <stp>27760.T</stp>
        <stp>現在値詳細時刻</stp>
        <tr r="D197" s="7"/>
      </tp>
      <tp t="s">
        <v>表示銘柄数超過</v>
        <stp/>
        <stp>Market</stp>
        <stp>STOCK</stp>
        <stp>24880.T</stp>
        <stp>現在値詳細時刻</stp>
        <tr r="D153" s="7"/>
      </tp>
      <tp t="s">
        <v>表示銘柄数超過</v>
        <stp/>
        <stp>Market</stp>
        <stp>STOCK</stp>
        <stp>24830.T</stp>
        <stp>現在値詳細時刻</stp>
        <tr r="D151" s="7"/>
      </tp>
      <tp t="s">
        <v>表示銘柄数超過</v>
        <stp/>
        <stp>Market</stp>
        <stp>STOCK</stp>
        <stp>24840.T</stp>
        <stp>現在値詳細時刻</stp>
        <tr r="D152" s="7"/>
      </tp>
      <tp t="s">
        <v>表示銘柄数超過</v>
        <stp/>
        <stp>Market</stp>
        <stp>STOCK</stp>
        <stp>24920.T</stp>
        <stp>現在値詳細時刻</stp>
        <tr r="D154" s="7"/>
      </tp>
      <tp t="s">
        <v>表示銘柄数超過</v>
        <stp/>
        <stp>Market</stp>
        <stp>STOCK</stp>
        <stp>24970.T</stp>
        <stp>現在値詳細時刻</stp>
        <tr r="D155" s="7"/>
      </tp>
      <tp t="s">
        <v>表示銘柄数超過</v>
        <stp/>
        <stp>Market</stp>
        <stp>STOCK</stp>
        <stp>24080.T</stp>
        <stp>現在値詳細時刻</stp>
        <tr r="D134" s="7"/>
      </tp>
      <tp t="s">
        <v>表示銘柄数超過</v>
        <stp/>
        <stp>Market</stp>
        <stp>STOCK</stp>
        <stp>24020.T</stp>
        <stp>現在値詳細時刻</stp>
        <tr r="D132" s="7"/>
      </tp>
      <tp t="s">
        <v>表示銘柄数超過</v>
        <stp/>
        <stp>Market</stp>
        <stp>STOCK</stp>
        <stp>24040.T</stp>
        <stp>現在値詳細時刻</stp>
        <tr r="D133" s="7"/>
      </tp>
      <tp t="s">
        <v>表示銘柄数超過</v>
        <stp/>
        <stp>Market</stp>
        <stp>STOCK</stp>
        <stp>24120.T</stp>
        <stp>現在値詳細時刻</stp>
        <tr r="D137" s="7"/>
      </tp>
      <tp t="s">
        <v>表示銘柄数超過</v>
        <stp/>
        <stp>Market</stp>
        <stp>STOCK</stp>
        <stp>24100.T</stp>
        <stp>現在値詳細時刻</stp>
        <tr r="D135" s="7"/>
      </tp>
      <tp t="s">
        <v>表示銘柄数超過</v>
        <stp/>
        <stp>Market</stp>
        <stp>STOCK</stp>
        <stp>24110.T</stp>
        <stp>現在値詳細時刻</stp>
        <tr r="D136" s="7"/>
      </tp>
      <tp t="s">
        <v>表示銘柄数超過</v>
        <stp/>
        <stp>Market</stp>
        <stp>STOCK</stp>
        <stp>24150.T</stp>
        <stp>現在値詳細時刻</stp>
        <tr r="D138" s="7"/>
      </tp>
      <tp t="s">
        <v>表示銘柄数超過</v>
        <stp/>
        <stp>Market</stp>
        <stp>STOCK</stp>
        <stp>24290.T</stp>
        <stp>現在値詳細時刻</stp>
        <tr r="D139" s="7"/>
      </tp>
      <tp t="s">
        <v>表示銘柄数超過</v>
        <stp/>
        <stp>Market</stp>
        <stp>STOCK</stp>
        <stp>24380.T</stp>
        <stp>現在値詳細時刻</stp>
        <tr r="D144" s="7"/>
      </tp>
      <tp t="s">
        <v>表示銘柄数超過</v>
        <stp/>
        <stp>Market</stp>
        <stp>STOCK</stp>
        <stp>24320.T</stp>
        <stp>現在値詳細時刻</stp>
        <tr r="D140" s="7"/>
      </tp>
      <tp t="s">
        <v>表示銘柄数超過</v>
        <stp/>
        <stp>Market</stp>
        <stp>STOCK</stp>
        <stp>24330.T</stp>
        <stp>現在値詳細時刻</stp>
        <tr r="D141" s="7"/>
      </tp>
      <tp t="s">
        <v>表示銘柄数超過</v>
        <stp/>
        <stp>Market</stp>
        <stp>STOCK</stp>
        <stp>24370.T</stp>
        <stp>現在値詳細時刻</stp>
        <tr r="D143" s="7"/>
      </tp>
      <tp t="s">
        <v>表示銘柄数超過</v>
        <stp/>
        <stp>Market</stp>
        <stp>STOCK</stp>
        <stp>24350.T</stp>
        <stp>現在値詳細時刻</stp>
        <tr r="D142" s="7"/>
      </tp>
      <tp t="s">
        <v>表示銘柄数超過</v>
        <stp/>
        <stp>Market</stp>
        <stp>STOCK</stp>
        <stp>24450.T</stp>
        <stp>現在値詳細時刻</stp>
        <tr r="D145" s="7"/>
      </tp>
      <tp t="s">
        <v>表示銘柄数超過</v>
        <stp/>
        <stp>Market</stp>
        <stp>STOCK</stp>
        <stp>24530.T</stp>
        <stp>現在値詳細時刻</stp>
        <tr r="D146" s="7"/>
      </tp>
      <tp t="s">
        <v>表示銘柄数超過</v>
        <stp/>
        <stp>Market</stp>
        <stp>STOCK</stp>
        <stp>24680.T</stp>
        <stp>現在値詳細時刻</stp>
        <tr r="D148" s="7"/>
      </tp>
      <tp t="s">
        <v>表示銘柄数超過</v>
        <stp/>
        <stp>Market</stp>
        <stp>STOCK</stp>
        <stp>24610.T</stp>
        <stp>現在値詳細時刻</stp>
        <tr r="D147" s="7"/>
      </tp>
      <tp t="s">
        <v>表示銘柄数超過</v>
        <stp/>
        <stp>Market</stp>
        <stp>STOCK</stp>
        <stp>24790.T</stp>
        <stp>現在値詳細時刻</stp>
        <tr r="D150" s="7"/>
      </tp>
      <tp t="s">
        <v>表示銘柄数超過</v>
        <stp/>
        <stp>Market</stp>
        <stp>STOCK</stp>
        <stp>24710.T</stp>
        <stp>現在値詳細時刻</stp>
        <tr r="D149" s="7"/>
      </tp>
      <tp t="s">
        <v>表示銘柄数超過</v>
        <stp/>
        <stp>Market</stp>
        <stp>STOCK</stp>
        <stp>25860.T</stp>
        <stp>現在値詳細時刻</stp>
        <tr r="D165" s="7"/>
      </tp>
      <tp t="s">
        <v>表示銘柄数超過</v>
        <stp/>
        <stp>Market</stp>
        <stp>STOCK</stp>
        <stp>25870.T</stp>
        <stp>現在値詳細時刻</stp>
        <tr r="D166" s="7"/>
      </tp>
      <tp t="s">
        <v>表示銘柄数超過</v>
        <stp/>
        <stp>Market</stp>
        <stp>STOCK</stp>
        <stp>25850.T</stp>
        <stp>現在値詳細時刻</stp>
        <tr r="D164" s="7"/>
      </tp>
      <tp t="s">
        <v>表示銘柄数超過</v>
        <stp/>
        <stp>Market</stp>
        <stp>STOCK</stp>
        <stp>25970.T</stp>
        <stp>現在値詳細時刻</stp>
        <tr r="D168" s="7"/>
      </tp>
      <tp t="s">
        <v>表示銘柄数超過</v>
        <stp/>
        <stp>Market</stp>
        <stp>STOCK</stp>
        <stp>25010.T</stp>
        <stp>現在値詳細時刻</stp>
        <tr r="D156" s="7"/>
      </tp>
      <tp t="s">
        <v>表示銘柄数超過</v>
        <stp/>
        <stp>Market</stp>
        <stp>STOCK</stp>
        <stp>25180.T</stp>
        <stp>現在値詳細時刻</stp>
        <tr r="D159" s="7"/>
      </tp>
      <tp t="s">
        <v>表示銘柄数超過</v>
        <stp/>
        <stp>Market</stp>
        <stp>STOCK</stp>
        <stp>25100.T</stp>
        <stp>現在値詳細時刻</stp>
        <tr r="D157" s="7"/>
      </tp>
      <tp t="s">
        <v>表示銘柄数超過</v>
        <stp/>
        <stp>Market</stp>
        <stp>STOCK</stp>
        <stp>25160.T</stp>
        <stp>現在値詳細時刻</stp>
        <tr r="D158" s="7"/>
      </tp>
      <tp t="s">
        <v>表示銘柄数超過</v>
        <stp/>
        <stp>Market</stp>
        <stp>STOCK</stp>
        <stp>25330.T</stp>
        <stp>現在値詳細時刻</stp>
        <tr r="D160" s="7"/>
      </tp>
      <tp t="s">
        <v>表示銘柄数超過</v>
        <stp/>
        <stp>Market</stp>
        <stp>STOCK</stp>
        <stp>25630.T</stp>
        <stp>現在値詳細時刻</stp>
        <tr r="D161" s="7"/>
      </tp>
      <tp t="s">
        <v>表示銘柄数超過</v>
        <stp/>
        <stp>Market</stp>
        <stp>STOCK</stp>
        <stp>25670.T</stp>
        <stp>現在値詳細時刻</stp>
        <tr r="D162" s="7"/>
      </tp>
      <tp t="s">
        <v>表示銘柄数超過</v>
        <stp/>
        <stp>Market</stp>
        <stp>STOCK</stp>
        <stp>25790.T</stp>
        <stp>現在値詳細時刻</stp>
        <tr r="D163" s="7"/>
      </tp>
      <tp t="s">
        <v>表示銘柄数超過</v>
        <stp/>
        <stp>Market</stp>
        <stp>STOCK</stp>
        <stp>22060.T</stp>
        <stp>現在値詳細時刻</stp>
        <tr r="D103" s="7"/>
      </tp>
      <tp t="s">
        <v>表示銘柄数超過</v>
        <stp/>
        <stp>Market</stp>
        <stp>STOCK</stp>
        <stp>22160.T</stp>
        <stp>現在値詳細時刻</stp>
        <tr r="D104" s="7"/>
      </tp>
      <tp t="s">
        <v>表示銘柄数超過</v>
        <stp/>
        <stp>Market</stp>
        <stp>STOCK</stp>
        <stp>22360.T</stp>
        <stp>現在値詳細時刻</stp>
        <tr r="D106" s="7"/>
      </tp>
      <tp t="s">
        <v>表示銘柄数超過</v>
        <stp/>
        <stp>Market</stp>
        <stp>STOCK</stp>
        <stp>22350.T</stp>
        <stp>現在値詳細時刻</stp>
        <tr r="D105" s="7"/>
      </tp>
      <tp t="s">
        <v>表示銘柄数超過</v>
        <stp/>
        <stp>Market</stp>
        <stp>STOCK</stp>
        <stp>22420.T</stp>
        <stp>現在値詳細時刻</stp>
        <tr r="D108" s="7"/>
      </tp>
      <tp t="s">
        <v>表示銘柄数超過</v>
        <stp/>
        <stp>Market</stp>
        <stp>STOCK</stp>
        <stp>22410.T</stp>
        <stp>現在値詳細時刻</stp>
        <tr r="D107" s="7"/>
      </tp>
      <tp t="s">
        <v>表示銘柄数超過</v>
        <stp/>
        <stp>Market</stp>
        <stp>STOCK</stp>
        <stp>22530.T</stp>
        <stp>現在値詳細時刻</stp>
        <tr r="D110" s="7"/>
      </tp>
      <tp t="s">
        <v>表示銘柄数超過</v>
        <stp/>
        <stp>Market</stp>
        <stp>STOCK</stp>
        <stp>22500.T</stp>
        <stp>現在値詳細時刻</stp>
        <tr r="D109" s="7"/>
      </tp>
      <tp t="s">
        <v>表示銘柄数超過</v>
        <stp/>
        <stp>Market</stp>
        <stp>STOCK</stp>
        <stp>23880.T</stp>
        <stp>現在値詳細時刻</stp>
        <tr r="D131" s="7"/>
      </tp>
      <tp t="s">
        <v>表示銘柄数超過</v>
        <stp/>
        <stp>Market</stp>
        <stp>STOCK</stp>
        <stp>23040.T</stp>
        <stp>現在値詳細時刻</stp>
        <tr r="D111" s="7"/>
      </tp>
      <tp t="s">
        <v>表示銘柄数超過</v>
        <stp/>
        <stp>Market</stp>
        <stp>STOCK</stp>
        <stp>23050.T</stp>
        <stp>現在値詳細時刻</stp>
        <tr r="D112" s="7"/>
      </tp>
      <tp t="s">
        <v>表示銘柄数超過</v>
        <stp/>
        <stp>Market</stp>
        <stp>STOCK</stp>
        <stp>23170.T</stp>
        <stp>現在値詳細時刻</stp>
        <tr r="D114" s="7"/>
      </tp>
      <tp t="s">
        <v>15:00:00</v>
        <stp/>
        <stp>Market</stp>
        <stp>STOCK</stp>
        <stp>23150.T</stp>
        <stp>現在値詳細時刻</stp>
        <tr r="D113" s="7"/>
      </tp>
      <tp t="s">
        <v>表示銘柄数超過</v>
        <stp/>
        <stp>Market</stp>
        <stp>STOCK</stp>
        <stp>23230.T</stp>
        <stp>現在値詳細時刻</stp>
        <tr r="D116" s="7"/>
      </tp>
      <tp t="s">
        <v>表示銘柄数超過</v>
        <stp/>
        <stp>Market</stp>
        <stp>STOCK</stp>
        <stp>23210.T</stp>
        <stp>現在値詳細時刻</stp>
        <tr r="D115" s="7"/>
      </tp>
      <tp t="s">
        <v>表示銘柄数超過</v>
        <stp/>
        <stp>Market</stp>
        <stp>STOCK</stp>
        <stp>23300.T</stp>
        <stp>現在値詳細時刻</stp>
        <tr r="D117" s="7"/>
      </tp>
      <tp t="s">
        <v>表示銘柄数超過</v>
        <stp/>
        <stp>Market</stp>
        <stp>STOCK</stp>
        <stp>23370.T</stp>
        <stp>現在値詳細時刻</stp>
        <tr r="D118" s="7"/>
      </tp>
      <tp t="s">
        <v>表示銘柄数超過</v>
        <stp/>
        <stp>Market</stp>
        <stp>STOCK</stp>
        <stp>23400.T</stp>
        <stp>現在値詳細時刻</stp>
        <tr r="D119" s="7"/>
      </tp>
      <tp t="s">
        <v>表示銘柄数超過</v>
        <stp/>
        <stp>Market</stp>
        <stp>STOCK</stp>
        <stp>23410.T</stp>
        <stp>現在値詳細時刻</stp>
        <tr r="D120" s="7"/>
      </tp>
      <tp t="s">
        <v>表示銘柄数超過</v>
        <stp/>
        <stp>Market</stp>
        <stp>STOCK</stp>
        <stp>23440.T</stp>
        <stp>現在値詳細時刻</stp>
        <tr r="D121" s="7"/>
      </tp>
      <tp t="s">
        <v>表示銘柄数超過</v>
        <stp/>
        <stp>Market</stp>
        <stp>STOCK</stp>
        <stp>23450.T</stp>
        <stp>現在値詳細時刻</stp>
        <tr r="D122" s="7"/>
      </tp>
      <tp t="s">
        <v>表示銘柄数超過</v>
        <stp/>
        <stp>Market</stp>
        <stp>STOCK</stp>
        <stp>23530.T</stp>
        <stp>現在値詳細時刻</stp>
        <tr r="D124" s="7"/>
      </tp>
      <tp t="s">
        <v>表示銘柄数超過</v>
        <stp/>
        <stp>Market</stp>
        <stp>STOCK</stp>
        <stp>23510.T</stp>
        <stp>現在値詳細時刻</stp>
        <tr r="D123" s="7"/>
      </tp>
      <tp t="s">
        <v>表示銘柄数超過</v>
        <stp/>
        <stp>Market</stp>
        <stp>STOCK</stp>
        <stp>23540.T</stp>
        <stp>現在値詳細時刻</stp>
        <tr r="D125" s="7"/>
      </tp>
      <tp t="s">
        <v>表示銘柄数超過</v>
        <stp/>
        <stp>Market</stp>
        <stp>STOCK</stp>
        <stp>23780.T</stp>
        <stp>現在値詳細時刻</stp>
        <tr r="D130" s="7"/>
      </tp>
      <tp t="s">
        <v>表示銘柄数超過</v>
        <stp/>
        <stp>Market</stp>
        <stp>STOCK</stp>
        <stp>23730.T</stp>
        <stp>現在値詳細時刻</stp>
        <tr r="D127" s="7"/>
      </tp>
      <tp t="s">
        <v>表示銘柄数超過</v>
        <stp/>
        <stp>Market</stp>
        <stp>STOCK</stp>
        <stp>23700.T</stp>
        <stp>現在値詳細時刻</stp>
        <tr r="D126" s="7"/>
      </tp>
      <tp t="s">
        <v>表示銘柄数超過</v>
        <stp/>
        <stp>Market</stp>
        <stp>STOCK</stp>
        <stp>23760.T</stp>
        <stp>現在値詳細時刻</stp>
        <tr r="D129" s="7"/>
      </tp>
      <tp t="s">
        <v>表示銘柄数超過</v>
        <stp/>
        <stp>Market</stp>
        <stp>STOCK</stp>
        <stp>23750.T</stp>
        <stp>現在値詳細時刻</stp>
        <tr r="D128" s="7"/>
      </tp>
      <tp t="s">
        <v>15:00:00</v>
        <stp/>
        <stp>Market</stp>
        <stp>STOCK</stp>
        <stp>20380.T</stp>
        <stp>現在値詳細時刻</stp>
        <tr r="D87" s="7"/>
      </tp>
      <tp t="s">
        <v>表示銘柄数超過</v>
        <stp/>
        <stp>Market</stp>
        <stp>STOCK</stp>
        <stp>20550.T</stp>
        <stp>現在値詳細時刻</stp>
        <tr r="D88" s="7"/>
      </tp>
      <tp t="s">
        <v>表示銘柄数超過</v>
        <stp/>
        <stp>Market</stp>
        <stp>STOCK</stp>
        <stp>21980.T</stp>
        <stp>現在値詳細時刻</stp>
        <tr r="D102" s="7"/>
      </tp>
      <tp t="s">
        <v>表示銘柄数超過</v>
        <stp/>
        <stp>Market</stp>
        <stp>STOCK</stp>
        <stp>21140.T</stp>
        <stp>現在値詳細時刻</stp>
        <tr r="D89" s="7"/>
      </tp>
      <tp t="s">
        <v>表示銘柄数超過</v>
        <stp/>
        <stp>Market</stp>
        <stp>STOCK</stp>
        <stp>21200.T</stp>
        <stp>現在値詳細時刻</stp>
        <tr r="D90" s="7"/>
      </tp>
      <tp t="s">
        <v>表示銘柄数超過</v>
        <stp/>
        <stp>Market</stp>
        <stp>STOCK</stp>
        <stp>21270.T</stp>
        <stp>現在値詳細時刻</stp>
        <tr r="D91" s="7"/>
      </tp>
      <tp t="s">
        <v>表示銘柄数超過</v>
        <stp/>
        <stp>Market</stp>
        <stp>STOCK</stp>
        <stp>21380.T</stp>
        <stp>現在値詳細時刻</stp>
        <tr r="D93" s="7"/>
      </tp>
      <tp t="s">
        <v>表示銘柄数超過</v>
        <stp/>
        <stp>Market</stp>
        <stp>STOCK</stp>
        <stp>21340.T</stp>
        <stp>現在値詳細時刻</stp>
        <tr r="D92" s="7"/>
      </tp>
      <tp t="s">
        <v>表示銘柄数超過</v>
        <stp/>
        <stp>Market</stp>
        <stp>STOCK</stp>
        <stp>21580.T</stp>
        <stp>現在値詳細時刻</stp>
        <tr r="D97" s="7"/>
      </tp>
      <tp t="s">
        <v>表示銘柄数超過</v>
        <stp/>
        <stp>Market</stp>
        <stp>STOCK</stp>
        <stp>21520.T</stp>
        <stp>現在値詳細時刻</stp>
        <tr r="D95" s="7"/>
      </tp>
      <tp t="s">
        <v>表示銘柄数超過</v>
        <stp/>
        <stp>Market</stp>
        <stp>STOCK</stp>
        <stp>21500.T</stp>
        <stp>現在値詳細時刻</stp>
        <tr r="D94" s="7"/>
      </tp>
      <tp t="s">
        <v>表示銘柄数超過</v>
        <stp/>
        <stp>Market</stp>
        <stp>STOCK</stp>
        <stp>21540.T</stp>
        <stp>現在値詳細時刻</stp>
        <tr r="D96" s="7"/>
      </tp>
      <tp t="s">
        <v>表示銘柄数超過</v>
        <stp/>
        <stp>Market</stp>
        <stp>STOCK</stp>
        <stp>21680.T</stp>
        <stp>現在値詳細時刻</stp>
        <tr r="D101" s="7"/>
      </tp>
      <tp t="s">
        <v>表示銘柄数超過</v>
        <stp/>
        <stp>Market</stp>
        <stp>STOCK</stp>
        <stp>21620.T</stp>
        <stp>現在値詳細時刻</stp>
        <tr r="D99" s="7"/>
      </tp>
      <tp t="s">
        <v>表示銘柄数超過</v>
        <stp/>
        <stp>Market</stp>
        <stp>STOCK</stp>
        <stp>21600.T</stp>
        <stp>現在値詳細時刻</stp>
        <tr r="D98" s="7"/>
      </tp>
      <tp t="s">
        <v>表示銘柄数超過</v>
        <stp/>
        <stp>Market</stp>
        <stp>STOCK</stp>
        <stp>21640.T</stp>
        <stp>現在値詳細時刻</stp>
        <tr r="D100" s="7"/>
      </tp>
      <tp t="s">
        <v>表示銘柄数超過</v>
        <stp/>
        <stp>Market</stp>
        <stp>STOCK</stp>
        <stp>28940.T</stp>
        <stp>現在値詳細時刻</stp>
        <tr r="D212" s="7"/>
      </tp>
      <tp t="s">
        <v>表示銘柄数超過</v>
        <stp/>
        <stp>Market</stp>
        <stp>STOCK</stp>
        <stp>28100.T</stp>
        <stp>現在値詳細時刻</stp>
        <tr r="D201" s="7"/>
      </tp>
      <tp t="s">
        <v>表示銘柄数超過</v>
        <stp/>
        <stp>Market</stp>
        <stp>STOCK</stp>
        <stp>28450.T</stp>
        <stp>現在値詳細時刻</stp>
        <tr r="D202" s="7"/>
      </tp>
      <tp t="s">
        <v>表示銘柄数超過</v>
        <stp/>
        <stp>Market</stp>
        <stp>STOCK</stp>
        <stp>28580.T</stp>
        <stp>現在値詳細時刻</stp>
        <tr r="D208" s="7"/>
      </tp>
      <tp t="s">
        <v>表示銘柄数超過</v>
        <stp/>
        <stp>Market</stp>
        <stp>STOCK</stp>
        <stp>28520.T</stp>
        <stp>現在値詳細時刻</stp>
        <tr r="D204" s="7"/>
      </tp>
      <tp t="s">
        <v>表示銘柄数超過</v>
        <stp/>
        <stp>Market</stp>
        <stp>STOCK</stp>
        <stp>28530.T</stp>
        <stp>現在値詳細時刻</stp>
        <tr r="D205" s="7"/>
      </tp>
      <tp t="s">
        <v>表示銘柄数超過</v>
        <stp/>
        <stp>Market</stp>
        <stp>STOCK</stp>
        <stp>28510.T</stp>
        <stp>現在値詳細時刻</stp>
        <tr r="D203" s="7"/>
      </tp>
      <tp t="s">
        <v>表示銘柄数超過</v>
        <stp/>
        <stp>Market</stp>
        <stp>STOCK</stp>
        <stp>28560.T</stp>
        <stp>現在値詳細時刻</stp>
        <tr r="D206" s="7"/>
      </tp>
      <tp t="s">
        <v>表示銘柄数超過</v>
        <stp/>
        <stp>Market</stp>
        <stp>STOCK</stp>
        <stp>28570.T</stp>
        <stp>現在値詳細時刻</stp>
        <tr r="D207" s="7"/>
      </tp>
      <tp t="s">
        <v>表示銘柄数超過</v>
        <stp/>
        <stp>Market</stp>
        <stp>STOCK</stp>
        <stp>28680.T</stp>
        <stp>現在値詳細時刻</stp>
        <tr r="D210" s="7"/>
      </tp>
      <tp t="s">
        <v>表示銘柄数超過</v>
        <stp/>
        <stp>Market</stp>
        <stp>STOCK</stp>
        <stp>28650.T</stp>
        <stp>現在値詳細時刻</stp>
        <tr r="D209" s="7"/>
      </tp>
      <tp t="s">
        <v>表示銘柄数超過</v>
        <stp/>
        <stp>Market</stp>
        <stp>STOCK</stp>
        <stp>28750.T</stp>
        <stp>現在値詳細時刻</stp>
        <tr r="D211" s="7"/>
      </tp>
      <tp t="s">
        <v>表示銘柄数超過</v>
        <stp/>
        <stp>Market</stp>
        <stp>STOCK</stp>
        <stp>29820.T</stp>
        <stp>現在値詳細時刻</stp>
        <tr r="D217" s="7"/>
      </tp>
      <tp t="s">
        <v>表示銘柄数超過</v>
        <stp/>
        <stp>Market</stp>
        <stp>STOCK</stp>
        <stp>29870.T</stp>
        <stp>現在値詳細時刻</stp>
        <tr r="D218" s="7"/>
      </tp>
      <tp t="s">
        <v>表示銘柄数超過</v>
        <stp/>
        <stp>Market</stp>
        <stp>STOCK</stp>
        <stp>29930.T</stp>
        <stp>現在値詳細時刻</stp>
        <tr r="D219" s="7"/>
      </tp>
      <tp t="s">
        <v>表示銘柄数超過</v>
        <stp/>
        <stp>Market</stp>
        <stp>STOCK</stp>
        <stp>29970.T</stp>
        <stp>現在値詳細時刻</stp>
        <tr r="D220" s="7"/>
      </tp>
      <tp t="s">
        <v>表示銘柄数超過</v>
        <stp/>
        <stp>Market</stp>
        <stp>STOCK</stp>
        <stp>29010.T</stp>
        <stp>現在値詳細時刻</stp>
        <tr r="D213" s="7"/>
      </tp>
      <tp t="s">
        <v>15:00:00</v>
        <stp/>
        <stp>Market</stp>
        <stp>STOCK</stp>
        <stp>29140.T</stp>
        <stp>現在値詳細時刻</stp>
        <tr r="D214" s="7"/>
      </tp>
      <tp t="s">
        <v>表示銘柄数超過</v>
        <stp/>
        <stp>Market</stp>
        <stp>STOCK</stp>
        <stp>29260.T</stp>
        <stp>現在値詳細時刻</stp>
        <tr r="D215" s="7"/>
      </tp>
      <tp t="s">
        <v>表示銘柄数超過</v>
        <stp/>
        <stp>Market</stp>
        <stp>STOCK</stp>
        <stp>29300.T</stp>
        <stp>現在値詳細時刻</stp>
        <tr r="D216" s="7"/>
      </tp>
    </main>
    <main first="rtdsrv.662c26bade854d00aebc6010f8a2e03a">
      <tp t="s">
        <v>表示銘柄数超過</v>
        <stp/>
        <stp>Market</stp>
        <stp>STOCK</stp>
        <stp>24970.T</stp>
        <stp>銘柄名称</stp>
        <tr r="B155" s="7"/>
      </tp>
      <tp t="s">
        <v>ＮＦＫホールディングス</v>
        <stp/>
        <stp>Market</stp>
        <stp>STOCK</stp>
        <stp>64940.T</stp>
        <stp>銘柄名称</stp>
        <tr r="B710" s="7"/>
      </tp>
      <tp t="s">
        <v>コナカ</v>
        <stp/>
        <stp>Market</stp>
        <stp>STOCK</stp>
        <stp>74940.T</stp>
        <stp>銘柄名称</stp>
        <tr r="B894" s="7"/>
      </tp>
      <tp t="s">
        <v>表示銘柄数超過</v>
        <stp/>
        <stp>Market</stp>
        <stp>STOCK</stp>
        <stp>44950.T</stp>
        <stp>銘柄名称</stp>
        <tr r="B478" s="7"/>
      </tp>
      <tp t="s">
        <v>宮入バルブ</v>
        <stp/>
        <stp>Market</stp>
        <stp>STOCK</stp>
        <stp>64950.T</stp>
        <stp>銘柄名称</stp>
        <tr r="B711" s="7"/>
      </tp>
      <tp t="s">
        <v>表示銘柄数超過</v>
        <stp/>
        <stp>Market</stp>
        <stp>STOCK</stp>
        <stp>24920.T</stp>
        <stp>銘柄名称</stp>
        <tr r="B154" s="7"/>
      </tp>
      <tp t="s">
        <v>表示銘柄数超過</v>
        <stp/>
        <stp>Market</stp>
        <stp>STOCK</stp>
        <stp>44920.T</stp>
        <stp>銘柄名称</stp>
        <tr r="B477" s="7"/>
      </tp>
      <tp t="s">
        <v>ＮＩＴＴＡＮ</v>
        <stp/>
        <stp>Market</stp>
        <stp>STOCK</stp>
        <stp>64930.T</stp>
        <stp>銘柄名称</stp>
        <tr r="B709" s="7"/>
      </tp>
      <tp t="s">
        <v>表示銘柄数超過</v>
        <stp/>
        <stp>Market</stp>
        <stp>STOCK</stp>
        <stp>14910.T</stp>
        <stp>銘柄名称</stp>
        <tr r="B29" s="7"/>
      </tp>
      <tp t="s">
        <v>日本金属</v>
        <stp/>
        <stp>Market</stp>
        <stp>STOCK</stp>
        <stp>54910.T</stp>
        <stp>銘柄名称</stp>
        <tr r="B598" s="7"/>
      </tp>
      <tp t="s">
        <v>キッツ</v>
        <stp/>
        <stp>Market</stp>
        <stp>STOCK</stp>
        <stp>64980.T</stp>
        <stp>銘柄名称</stp>
        <tr r="B712" s="7"/>
      </tp>
      <tp t="s">
        <v>表示銘柄数超過</v>
        <stp/>
        <stp>Market</stp>
        <stp>STOCK</stp>
        <stp>44870.T</stp>
        <stp>銘柄名称</stp>
        <tr r="B476" s="7"/>
      </tp>
      <tp t="s">
        <v>表示銘柄数超過</v>
        <stp/>
        <stp>Market</stp>
        <stp>STOCK</stp>
        <stp>24840.T</stp>
        <stp>銘柄名称</stp>
        <tr r="B152" s="7"/>
      </tp>
      <tp t="s">
        <v>表示銘柄数超過</v>
        <stp/>
        <stp>Market</stp>
        <stp>STOCK</stp>
        <stp>44840.T</stp>
        <stp>銘柄名称</stp>
        <tr r="B475" s="7"/>
      </tp>
      <tp t="s">
        <v>表示銘柄数超過</v>
        <stp/>
        <stp>Market</stp>
        <stp>STOCK</stp>
        <stp>24830.T</stp>
        <stp>銘柄名称</stp>
        <tr r="B151" s="7"/>
      </tp>
      <tp t="s">
        <v>日本トムソン</v>
        <stp/>
        <stp>Market</stp>
        <stp>STOCK</stp>
        <stp>64800.T</stp>
        <stp>銘柄名称</stp>
        <tr r="B707" s="7"/>
      </tp>
      <tp t="s">
        <v>尾家産業</v>
        <stp/>
        <stp>Market</stp>
        <stp>STOCK</stp>
        <stp>74810.T</stp>
        <stp>銘柄名称</stp>
        <tr r="B893" s="7"/>
      </tp>
      <tp t="s">
        <v>表示銘柄数超過</v>
        <stp/>
        <stp>Market</stp>
        <stp>STOCK</stp>
        <stp>24880.T</stp>
        <stp>銘柄名称</stp>
        <tr r="B153" s="7"/>
      </tp>
      <tp t="s">
        <v>前澤工業</v>
        <stp/>
        <stp>Market</stp>
        <stp>STOCK</stp>
        <stp>64890.T</stp>
        <stp>銘柄名称</stp>
        <tr r="B708" s="7"/>
      </tp>
      <tp t="s">
        <v>高知銀行</v>
        <stp/>
        <stp>Market</stp>
        <stp>STOCK</stp>
        <stp>84160.T</stp>
        <stp>銘柄名称</stp>
        <tr r="B1011" s="7"/>
      </tp>
      <tp t="s">
        <v>表示銘柄数超過</v>
        <stp/>
        <stp>Market</stp>
        <stp>STOCK</stp>
        <stp>44160.T</stp>
        <stp>銘柄名称</stp>
        <tr r="B461" s="7"/>
      </tp>
      <tp t="s">
        <v>表示銘柄数超過</v>
        <stp/>
        <stp>Market</stp>
        <stp>STOCK</stp>
        <stp>94170.T</stp>
        <stp>銘柄名称</stp>
        <tr r="B1121" s="7"/>
      </tp>
      <tp t="s">
        <v>表示銘柄数超過</v>
        <stp/>
        <stp>Market</stp>
        <stp>STOCK</stp>
        <stp>94140.T</stp>
        <stp>銘柄名称</stp>
        <tr r="B1120" s="7"/>
      </tp>
      <tp t="s">
        <v>表示銘柄数超過</v>
        <stp/>
        <stp>Market</stp>
        <stp>STOCK</stp>
        <stp>44140.T</stp>
        <stp>銘柄名称</stp>
        <tr r="B460" s="7"/>
      </tp>
      <tp t="s">
        <v>表示銘柄数超過</v>
        <stp/>
        <stp>Market</stp>
        <stp>STOCK</stp>
        <stp>24150.T</stp>
        <stp>銘柄名称</stp>
        <tr r="B138" s="7"/>
      </tp>
      <tp t="s">
        <v>表示銘柄数超過</v>
        <stp/>
        <stp>Market</stp>
        <stp>STOCK</stp>
        <stp>94120.T</stp>
        <stp>銘柄名称</stp>
        <tr r="B1118" s="7"/>
      </tp>
      <tp t="s">
        <v>表示銘柄数超過</v>
        <stp/>
        <stp>Market</stp>
        <stp>STOCK</stp>
        <stp>24120.T</stp>
        <stp>銘柄名称</stp>
        <tr r="B137" s="7"/>
      </tp>
      <tp t="s">
        <v>表示銘柄数超過</v>
        <stp/>
        <stp>Market</stp>
        <stp>STOCK</stp>
        <stp>94130.T</stp>
        <stp>銘柄名称</stp>
        <tr r="B1119" s="7"/>
      </tp>
      <tp t="s">
        <v>セブン銀行</v>
        <stp/>
        <stp>Market</stp>
        <stp>STOCK</stp>
        <stp>84100.T</stp>
        <stp>銘柄名称</stp>
        <tr r="B1010" s="7"/>
      </tp>
      <tp t="s">
        <v>表示銘柄数超過</v>
        <stp/>
        <stp>Market</stp>
        <stp>STOCK</stp>
        <stp>24100.T</stp>
        <stp>銘柄名称</stp>
        <tr r="B135" s="7"/>
      </tp>
      <tp t="s">
        <v>合同製鐵</v>
        <stp/>
        <stp>Market</stp>
        <stp>STOCK</stp>
        <stp>54100.T</stp>
        <stp>銘柄名称</stp>
        <tr r="B593" s="7"/>
      </tp>
      <tp t="s">
        <v>表示銘柄数超過</v>
        <stp/>
        <stp>Market</stp>
        <stp>STOCK</stp>
        <stp>24110.T</stp>
        <stp>銘柄名称</stp>
        <tr r="B136" s="7"/>
      </tp>
      <tp t="s">
        <v>ＪＦＥホールディングス</v>
        <stp/>
        <stp>Market</stp>
        <stp>STOCK</stp>
        <stp>54110.T</stp>
        <stp>銘柄名称</stp>
        <tr r="B594" s="7"/>
      </tp>
      <tp t="s">
        <v>表示銘柄数超過</v>
        <stp/>
        <stp>Market</stp>
        <stp>STOCK</stp>
        <stp>14180.T</stp>
        <stp>銘柄名称</stp>
        <tr r="B20" s="7"/>
      </tp>
      <tp t="s">
        <v>日本金銭機械</v>
        <stp/>
        <stp>Market</stp>
        <stp>STOCK</stp>
        <stp>64180.T</stp>
        <stp>銘柄名称</stp>
        <tr r="B700" s="7"/>
      </tp>
      <tp t="s">
        <v>表示銘柄数超過</v>
        <stp/>
        <stp>Market</stp>
        <stp>STOCK</stp>
        <stp>94190.T</stp>
        <stp>銘柄名称</stp>
        <tr r="B1122" s="7"/>
      </tp>
      <tp t="s">
        <v>表示銘柄数超過</v>
        <stp/>
        <stp>Market</stp>
        <stp>STOCK</stp>
        <stp>14190.T</stp>
        <stp>銘柄名称</stp>
        <tr r="B21" s="7"/>
      </tp>
      <tp t="s">
        <v>表示銘柄数超過</v>
        <stp/>
        <stp>Market</stp>
        <stp>STOCK</stp>
        <stp>44190.T</stp>
        <stp>銘柄名称</stp>
        <tr r="B462" s="7"/>
      </tp>
      <tp t="s">
        <v>ノジマ</v>
        <stp/>
        <stp>Market</stp>
        <stp>STOCK</stp>
        <stp>74190.T</stp>
        <stp>銘柄名称</stp>
        <tr r="B887" s="7"/>
      </tp>
      <tp t="s">
        <v>表示銘柄数超過</v>
        <stp/>
        <stp>Market</stp>
        <stp>STOCK</stp>
        <stp>44060.T</stp>
        <stp>銘柄名称</stp>
        <tr r="B459" s="7"/>
      </tp>
      <tp t="s">
        <v>神戸製鋼所</v>
        <stp/>
        <stp>Market</stp>
        <stp>STOCK</stp>
        <stp>54060.T</stp>
        <stp>銘柄名称</stp>
        <tr r="B591" s="7"/>
      </tp>
      <tp t="s">
        <v>表示銘柄数超過</v>
        <stp/>
        <stp>Market</stp>
        <stp>STOCK</stp>
        <stp>14070.T</stp>
        <stp>銘柄名称</stp>
        <tr r="B19" s="7"/>
      </tp>
      <tp t="s">
        <v>表示銘柄数超過</v>
        <stp/>
        <stp>Market</stp>
        <stp>STOCK</stp>
        <stp>34070.T</stp>
        <stp>銘柄名称</stp>
        <tr r="B295" s="7"/>
      </tp>
      <tp t="s">
        <v>表示銘柄数超過</v>
        <stp/>
        <stp>Market</stp>
        <stp>STOCK</stp>
        <stp>94040.T</stp>
        <stp>銘柄名称</stp>
        <tr r="B1115" s="7"/>
      </tp>
      <tp t="s">
        <v>表示銘柄数超過</v>
        <stp/>
        <stp>Market</stp>
        <stp>STOCK</stp>
        <stp>24040.T</stp>
        <stp>銘柄名称</stp>
        <tr r="B133" s="7"/>
      </tp>
      <tp t="s">
        <v>表示銘柄数超過</v>
        <stp/>
        <stp>Market</stp>
        <stp>STOCK</stp>
        <stp>94050.T</stp>
        <stp>銘柄名称</stp>
        <tr r="B1116" s="7"/>
      </tp>
      <tp t="s">
        <v>表示銘柄数超過</v>
        <stp/>
        <stp>Market</stp>
        <stp>STOCK</stp>
        <stp>24020.T</stp>
        <stp>銘柄名称</stp>
        <tr r="B132" s="7"/>
      </tp>
      <tp t="s">
        <v>表示銘柄数超過</v>
        <stp/>
        <stp>Market</stp>
        <stp>STOCK</stp>
        <stp>14000.T</stp>
        <stp>銘柄名称</stp>
        <tr r="B17" s="7"/>
      </tp>
      <tp t="s">
        <v>表示銘柄数超過</v>
        <stp/>
        <stp>Market</stp>
        <stp>STOCK</stp>
        <stp>94010.T</stp>
        <stp>銘柄名称</stp>
        <tr r="B1114" s="7"/>
      </tp>
      <tp t="s">
        <v>表示銘柄数超過</v>
        <stp/>
        <stp>Market</stp>
        <stp>STOCK</stp>
        <stp>14010.T</stp>
        <stp>銘柄名称</stp>
        <tr r="B18" s="7"/>
      </tp>
      <tp t="s">
        <v>表示銘柄数超過</v>
        <stp/>
        <stp>Market</stp>
        <stp>STOCK</stp>
        <stp>34010.T</stp>
        <stp>銘柄名称</stp>
        <tr r="B294" s="7"/>
      </tp>
      <tp t="s">
        <v>日本製鉄</v>
        <stp/>
        <stp>Market</stp>
        <stp>STOCK</stp>
        <stp>54010.T</stp>
        <stp>銘柄名称</stp>
        <tr r="B590" s="7"/>
      </tp>
      <tp t="s">
        <v>表示銘柄数超過</v>
        <stp/>
        <stp>Market</stp>
        <stp>STOCK</stp>
        <stp>24080.T</stp>
        <stp>銘柄名称</stp>
        <tr r="B134" s="7"/>
      </tp>
      <tp t="s">
        <v>中山製鋼所</v>
        <stp/>
        <stp>Market</stp>
        <stp>STOCK</stp>
        <stp>54080.T</stp>
        <stp>銘柄名称</stp>
        <tr r="B592" s="7"/>
      </tp>
      <tp t="s">
        <v>ジャムコ</v>
        <stp/>
        <stp>Market</stp>
        <stp>STOCK</stp>
        <stp>74080.T</stp>
        <stp>銘柄名称</stp>
        <tr r="B886" s="7"/>
      </tp>
      <tp t="s">
        <v>表示銘柄数超過</v>
        <stp/>
        <stp>Market</stp>
        <stp>STOCK</stp>
        <stp>94090.T</stp>
        <stp>銘柄名称</stp>
        <tr r="B1117" s="7"/>
      </tp>
      <tp t="s">
        <v>表示銘柄数超過</v>
        <stp/>
        <stp>Market</stp>
        <stp>STOCK</stp>
        <stp>34090.T</stp>
        <stp>銘柄名称</stp>
        <tr r="B296" s="7"/>
      </tp>
      <tp t="s">
        <v>表示銘柄数超過</v>
        <stp/>
        <stp>Market</stp>
        <stp>STOCK</stp>
        <stp>94360.T</stp>
        <stp>銘柄名称</stp>
        <tr r="B1130" s="7"/>
      </tp>
      <tp t="s">
        <v>表示銘柄数超過</v>
        <stp/>
        <stp>Market</stp>
        <stp>STOCK</stp>
        <stp>34360.T</stp>
        <stp>銘柄名称</stp>
        <tr r="B299" s="7"/>
      </tp>
      <tp t="s">
        <v>表示銘柄数超過</v>
        <stp/>
        <stp>Market</stp>
        <stp>STOCK</stp>
        <stp>44360.T</stp>
        <stp>銘柄名称</stp>
        <tr r="B464" s="7"/>
      </tp>
      <tp t="s">
        <v>表示銘柄数超過</v>
        <stp/>
        <stp>Market</stp>
        <stp>STOCK</stp>
        <stp>24370.T</stp>
        <stp>銘柄名称</stp>
        <tr r="B143" s="7"/>
      </tp>
      <tp t="s">
        <v>ソフトバンク</v>
        <stp/>
        <stp>Market</stp>
        <stp>STOCK</stp>
        <stp>94340.T</stp>
        <stp>銘柄名称</stp>
        <tr r="B1129" s="7"/>
      </tp>
      <tp t="s">
        <v>表示銘柄数超過</v>
        <stp/>
        <stp>Market</stp>
        <stp>STOCK</stp>
        <stp>14350.T</stp>
        <stp>銘柄名称</stp>
        <tr r="B23" s="7"/>
      </tp>
      <tp t="s">
        <v>表示銘柄数超過</v>
        <stp/>
        <stp>Market</stp>
        <stp>STOCK</stp>
        <stp>24350.T</stp>
        <stp>銘柄名称</stp>
        <tr r="B142" s="7"/>
      </tp>
      <tp t="s">
        <v>日本電信電話</v>
        <stp/>
        <stp>Market</stp>
        <stp>STOCK</stp>
        <stp>94320.T</stp>
        <stp>銘柄名称</stp>
        <tr r="B1127" s="7"/>
      </tp>
      <tp t="s">
        <v>表示銘柄数超過</v>
        <stp/>
        <stp>Market</stp>
        <stp>STOCK</stp>
        <stp>24320.T</stp>
        <stp>銘柄名称</stp>
        <tr r="B140" s="7"/>
      </tp>
      <tp t="s">
        <v>表示銘柄数超過</v>
        <stp/>
        <stp>Market</stp>
        <stp>STOCK</stp>
        <stp>94330.T</stp>
        <stp>銘柄名称</stp>
        <tr r="B1128" s="7"/>
      </tp>
      <tp t="s">
        <v>表示銘柄数超過</v>
        <stp/>
        <stp>Market</stp>
        <stp>STOCK</stp>
        <stp>24330.T</stp>
        <stp>銘柄名称</stp>
        <tr r="B141" s="7"/>
      </tp>
      <tp t="s">
        <v>表示銘柄数超過</v>
        <stp/>
        <stp>Market</stp>
        <stp>STOCK</stp>
        <stp>34330.T</stp>
        <stp>銘柄名称</stp>
        <tr r="B298" s="7"/>
      </tp>
      <tp t="s">
        <v>ヒーハイスト</v>
        <stp/>
        <stp>Market</stp>
        <stp>STOCK</stp>
        <stp>64330.T</stp>
        <stp>銘柄名称</stp>
        <tr r="B701" s="7"/>
      </tp>
      <tp t="s">
        <v>表示銘柄数超過</v>
        <stp/>
        <stp>Market</stp>
        <stp>STOCK</stp>
        <stp>14300.T</stp>
        <stp>銘柄名称</stp>
        <tr r="B22" s="7"/>
      </tp>
      <tp t="s">
        <v>表示銘柄数超過</v>
        <stp/>
        <stp>Market</stp>
        <stp>STOCK</stp>
        <stp>24380.T</stp>
        <stp>銘柄名称</stp>
        <tr r="B144" s="7"/>
      </tp>
      <tp t="s">
        <v>表示銘柄数超過</v>
        <stp/>
        <stp>Market</stp>
        <stp>STOCK</stp>
        <stp>44380.T</stp>
        <stp>銘柄名称</stp>
        <tr r="B465" s="7"/>
      </tp>
      <tp t="s">
        <v>表示銘柄数超過</v>
        <stp/>
        <stp>Market</stp>
        <stp>STOCK</stp>
        <stp>94390.T</stp>
        <stp>銘柄名称</stp>
        <tr r="B1131" s="7"/>
      </tp>
      <tp t="s">
        <v>表示銘柄数超過</v>
        <stp/>
        <stp>Market</stp>
        <stp>STOCK</stp>
        <stp>14390.T</stp>
        <stp>銘柄名称</stp>
        <tr r="B24" s="7"/>
      </tp>
      <tp t="s">
        <v>表示銘柄数超過</v>
        <stp/>
        <stp>Market</stp>
        <stp>STOCK</stp>
        <stp>44270.T</stp>
        <stp>銘柄名称</stp>
        <tr r="B463" s="7"/>
      </tp>
      <tp t="s">
        <v>表示銘柄数超過</v>
        <stp/>
        <stp>Market</stp>
        <stp>STOCK</stp>
        <stp>94240.T</stp>
        <stp>銘柄名称</stp>
        <tr r="B1125" s="7"/>
      </tp>
      <tp t="s">
        <v>表示銘柄数超過</v>
        <stp/>
        <stp>Market</stp>
        <stp>STOCK</stp>
        <stp>94250.T</stp>
        <stp>銘柄名称</stp>
        <tr r="B1126" s="7"/>
      </tp>
      <tp t="s">
        <v>表示銘柄数超過</v>
        <stp/>
        <stp>Market</stp>
        <stp>STOCK</stp>
        <stp>34220.T</stp>
        <stp>銘柄名称</stp>
        <tr r="B297" s="7"/>
      </tp>
      <tp t="s">
        <v>表示銘柄数超過</v>
        <stp/>
        <stp>Market</stp>
        <stp>STOCK</stp>
        <stp>94230.T</stp>
        <stp>銘柄名称</stp>
        <tr r="B1124" s="7"/>
      </tp>
      <tp t="s">
        <v>東京製鐵</v>
        <stp/>
        <stp>Market</stp>
        <stp>STOCK</stp>
        <stp>54230.T</stp>
        <stp>銘柄名称</stp>
        <tr r="B595" s="7"/>
      </tp>
      <tp t="s">
        <v>佐鳥電機</v>
        <stp/>
        <stp>Market</stp>
        <stp>STOCK</stp>
        <stp>74200.T</stp>
        <stp>銘柄名称</stp>
        <tr r="B888" s="7"/>
      </tp>
      <tp t="s">
        <v>表示銘柄数超過</v>
        <stp/>
        <stp>Market</stp>
        <stp>STOCK</stp>
        <stp>94210.T</stp>
        <stp>銘柄名称</stp>
        <tr r="B1123" s="7"/>
      </tp>
      <tp t="s">
        <v>表示銘柄数超過</v>
        <stp/>
        <stp>Market</stp>
        <stp>STOCK</stp>
        <stp>24290.T</stp>
        <stp>銘柄名称</stp>
        <tr r="B139" s="7"/>
      </tp>
      <tp t="s">
        <v>表示銘柄数超過</v>
        <stp/>
        <stp>Market</stp>
        <stp>STOCK</stp>
        <stp>34540.T</stp>
        <stp>銘柄名称</stp>
        <tr r="B300" s="7"/>
      </tp>
      <tp t="s">
        <v>パリミキホールディングス</v>
        <stp/>
        <stp>Market</stp>
        <stp>STOCK</stp>
        <stp>74550.T</stp>
        <stp>銘柄名称</stp>
        <tr r="B891" s="7"/>
      </tp>
      <tp t="s">
        <v>表示銘柄数超過</v>
        <stp/>
        <stp>Market</stp>
        <stp>STOCK</stp>
        <stp>44520.T</stp>
        <stp>銘柄名称</stp>
        <tr r="B469" s="7"/>
      </tp>
      <tp t="s">
        <v>表示銘柄数超過</v>
        <stp/>
        <stp>Market</stp>
        <stp>STOCK</stp>
        <stp>24530.T</stp>
        <stp>銘柄名称</stp>
        <tr r="B146" s="7"/>
      </tp>
      <tp t="s">
        <v>良品計画</v>
        <stp/>
        <stp>Market</stp>
        <stp>STOCK</stp>
        <stp>74530.T</stp>
        <stp>銘柄名称</stp>
        <tr r="B890" s="7"/>
      </tp>
      <tp t="s">
        <v>表示銘柄数超過</v>
        <stp/>
        <stp>Market</stp>
        <stp>STOCK</stp>
        <stp>94500.T</stp>
        <stp>銘柄名称</stp>
        <tr r="B1133" s="7"/>
      </tp>
      <tp t="s">
        <v>表示銘柄数超過</v>
        <stp/>
        <stp>Market</stp>
        <stp>STOCK</stp>
        <stp>14510.T</stp>
        <stp>銘柄名称</stp>
        <tr r="B25" s="7"/>
      </tp>
      <tp t="s">
        <v>表示銘柄数超過</v>
        <stp/>
        <stp>Market</stp>
        <stp>STOCK</stp>
        <stp>14590.T</stp>
        <stp>銘柄名称</stp>
        <tr r="B26" s="7"/>
      </tp>
      <tp t="s">
        <v>メディパルＨＤ</v>
        <stp/>
        <stp>Market</stp>
        <stp>STOCK</stp>
        <stp>74590.T</stp>
        <stp>銘柄名称</stp>
        <tr r="B892" s="7"/>
      </tp>
      <tp t="s">
        <v>表示銘柄数超過</v>
        <stp/>
        <stp>Market</stp>
        <stp>STOCK</stp>
        <stp>94440.T</stp>
        <stp>銘柄名称</stp>
        <tr r="B1132" s="7"/>
      </tp>
      <tp t="s">
        <v>表示銘柄数超過</v>
        <stp/>
        <stp>Market</stp>
        <stp>STOCK</stp>
        <stp>44440.T</stp>
        <stp>銘柄名称</stp>
        <tr r="B467" s="7"/>
      </tp>
      <tp t="s">
        <v>サンデン</v>
        <stp/>
        <stp>Market</stp>
        <stp>STOCK</stp>
        <stp>64440.T</stp>
        <stp>銘柄名称</stp>
        <tr r="B703" s="7"/>
      </tp>
      <tp t="s">
        <v>表示銘柄数超過</v>
        <stp/>
        <stp>Market</stp>
        <stp>STOCK</stp>
        <stp>24450.T</stp>
        <stp>銘柄名称</stp>
        <tr r="B145" s="7"/>
      </tp>
      <tp t="s">
        <v>ライトオン</v>
        <stp/>
        <stp>Market</stp>
        <stp>STOCK</stp>
        <stp>74450.T</stp>
        <stp>銘柄名称</stp>
        <tr r="B889" s="7"/>
      </tp>
      <tp t="s">
        <v>ＪＵＫＩ</v>
        <stp/>
        <stp>Market</stp>
        <stp>STOCK</stp>
        <stp>64400.T</stp>
        <stp>銘柄名称</stp>
        <tr r="B702" s="7"/>
      </tp>
      <tp t="s">
        <v>表示銘柄数超過</v>
        <stp/>
        <stp>Market</stp>
        <stp>STOCK</stp>
        <stp>44410.T</stp>
        <stp>銘柄名称</stp>
        <tr r="B466" s="7"/>
      </tp>
      <tp t="s">
        <v>表示銘柄数超過</v>
        <stp/>
        <stp>Market</stp>
        <stp>STOCK</stp>
        <stp>44480.T</stp>
        <stp>銘柄名称</stp>
        <tr r="B468" s="7"/>
      </tp>
      <tp t="s">
        <v>大阪製鐵</v>
        <stp/>
        <stp>Market</stp>
        <stp>STOCK</stp>
        <stp>54490.T</stp>
        <stp>銘柄名称</stp>
        <tr r="B596" s="7"/>
      </tp>
      <tp t="s">
        <v>表示銘柄数超過</v>
        <stp/>
        <stp>Market</stp>
        <stp>STOCK</stp>
        <stp>94760.T</stp>
        <stp>銘柄名称</stp>
        <tr r="B1138" s="7"/>
      </tp>
      <tp t="s">
        <v>表示銘柄数超過</v>
        <stp/>
        <stp>Market</stp>
        <stp>STOCK</stp>
        <stp>44760.T</stp>
        <stp>銘柄名称</stp>
        <tr r="B472" s="7"/>
      </tp>
      <tp t="s">
        <v>日本高周波</v>
        <stp/>
        <stp>Market</stp>
        <stp>STOCK</stp>
        <stp>54760.T</stp>
        <stp>銘柄名称</stp>
        <tr r="B597" s="7"/>
      </tp>
      <tp t="s">
        <v>表示銘柄数超過</v>
        <stp/>
        <stp>Market</stp>
        <stp>STOCK</stp>
        <stp>44770.T</stp>
        <stp>銘柄名称</stp>
        <tr r="B473" s="7"/>
      </tp>
      <tp t="s">
        <v>表示銘柄数超過</v>
        <stp/>
        <stp>Market</stp>
        <stp>STOCK</stp>
        <stp>94740.T</stp>
        <stp>銘柄名称</stp>
        <tr r="B1136" s="7"/>
      </tp>
      <tp t="s">
        <v>表示銘柄数超過</v>
        <stp/>
        <stp>Market</stp>
        <stp>STOCK</stp>
        <stp>94750.T</stp>
        <stp>銘柄名称</stp>
        <tr r="B1137" s="7"/>
      </tp>
      <tp t="s">
        <v>表示銘柄数超過</v>
        <stp/>
        <stp>Market</stp>
        <stp>STOCK</stp>
        <stp>44750.T</stp>
        <stp>銘柄名称</stp>
        <tr r="B471" s="7"/>
      </tp>
      <tp t="s">
        <v>表示銘柄数超過</v>
        <stp/>
        <stp>Market</stp>
        <stp>STOCK</stp>
        <stp>14720.T</stp>
        <stp>銘柄名称</stp>
        <tr r="B28" s="7"/>
      </tp>
      <tp t="s">
        <v>ＳＢＩホールディングス</v>
        <stp/>
        <stp>Market</stp>
        <stp>STOCK</stp>
        <stp>84730.T</stp>
        <stp>銘柄名称</stp>
        <tr r="B1013" s="7"/>
      </tp>
      <tp t="s">
        <v>表示銘柄数超過</v>
        <stp/>
        <stp>Market</stp>
        <stp>STOCK</stp>
        <stp>94700.T</stp>
        <stp>銘柄名称</stp>
        <tr r="B1135" s="7"/>
      </tp>
      <tp t="s">
        <v>大豊工業</v>
        <stp/>
        <stp>Market</stp>
        <stp>STOCK</stp>
        <stp>64700.T</stp>
        <stp>銘柄名称</stp>
        <tr r="B705" s="7"/>
      </tp>
      <tp t="s">
        <v>表示銘柄数超過</v>
        <stp/>
        <stp>Market</stp>
        <stp>STOCK</stp>
        <stp>24710.T</stp>
        <stp>銘柄名称</stp>
        <tr r="B149" s="7"/>
      </tp>
      <tp t="s">
        <v>日本精工</v>
        <stp/>
        <stp>Market</stp>
        <stp>STOCK</stp>
        <stp>64710.T</stp>
        <stp>銘柄名称</stp>
        <tr r="B706" s="7"/>
      </tp>
      <tp t="s">
        <v>表示銘柄数超過</v>
        <stp/>
        <stp>Market</stp>
        <stp>STOCK</stp>
        <stp>94790.T</stp>
        <stp>銘柄名称</stp>
        <tr r="B1139" s="7"/>
      </tp>
      <tp t="s">
        <v>表示銘柄数超過</v>
        <stp/>
        <stp>Market</stp>
        <stp>STOCK</stp>
        <stp>24790.T</stp>
        <stp>銘柄名称</stp>
        <tr r="B150" s="7"/>
      </tp>
      <tp t="s">
        <v>表示銘柄数超過</v>
        <stp/>
        <stp>Market</stp>
        <stp>STOCK</stp>
        <stp>44790.T</stp>
        <stp>銘柄名称</stp>
        <tr r="B474" s="7"/>
      </tp>
      <tp t="s">
        <v>表示銘柄数超過</v>
        <stp/>
        <stp>Market</stp>
        <stp>STOCK</stp>
        <stp>94660.T</stp>
        <stp>銘柄名称</stp>
        <tr r="B1134" s="7"/>
      </tp>
      <tp t="s">
        <v>ニチダイ</v>
        <stp/>
        <stp>Market</stp>
        <stp>STOCK</stp>
        <stp>64670.T</stp>
        <stp>銘柄名称</stp>
        <tr r="B704" s="7"/>
      </tp>
      <tp t="s">
        <v>表示銘柄数超過</v>
        <stp/>
        <stp>Market</stp>
        <stp>STOCK</stp>
        <stp>34640.T</stp>
        <stp>銘柄名称</stp>
        <tr r="B302" s="7"/>
      </tp>
      <tp t="s">
        <v>フューチャーベンチャーキャピ</v>
        <stp/>
        <stp>Market</stp>
        <stp>STOCK</stp>
        <stp>84620.T</stp>
        <stp>銘柄名称</stp>
        <tr r="B1012" s="7"/>
      </tp>
      <tp t="s">
        <v>表示銘柄数超過</v>
        <stp/>
        <stp>Market</stp>
        <stp>STOCK</stp>
        <stp>24610.T</stp>
        <stp>銘柄名称</stp>
        <tr r="B147" s="7"/>
      </tp>
      <tp t="s">
        <v>表示銘柄数超過</v>
        <stp/>
        <stp>Market</stp>
        <stp>STOCK</stp>
        <stp>34610.T</stp>
        <stp>銘柄名称</stp>
        <tr r="B301" s="7"/>
      </tp>
      <tp t="s">
        <v>表示銘柄数超過</v>
        <stp/>
        <stp>Market</stp>
        <stp>STOCK</stp>
        <stp>24680.T</stp>
        <stp>銘柄名称</stp>
        <tr r="B148" s="7"/>
      </tp>
      <tp t="s">
        <v>表示銘柄数超過</v>
        <stp/>
        <stp>Market</stp>
        <stp>STOCK</stp>
        <stp>14690.T</stp>
        <stp>銘柄名称</stp>
        <tr r="B27" s="7"/>
      </tp>
    </main>
    <main first="rtdsrv.662c26bade854d00aebc6010f8a2e03a">
      <tp t="s">
        <v>表示銘柄数超過</v>
        <stp/>
        <stp>Market</stp>
        <stp>STOCK</stp>
        <stp>36820.T</stp>
        <stp>現在値詳細時刻</stp>
        <tr r="D338" s="7"/>
      </tp>
      <tp t="s">
        <v>表示銘柄数超過</v>
        <stp/>
        <stp>Market</stp>
        <stp>STOCK</stp>
        <stp>36830.T</stp>
        <stp>現在値詳細時刻</stp>
        <tr r="D339" s="7"/>
      </tp>
      <tp t="s">
        <v>表示銘柄数超過</v>
        <stp/>
        <stp>Market</stp>
        <stp>STOCK</stp>
        <stp>36800.T</stp>
        <stp>現在値詳細時刻</stp>
        <tr r="D336" s="7"/>
      </tp>
      <tp t="s">
        <v>表示銘柄数超過</v>
        <stp/>
        <stp>Market</stp>
        <stp>STOCK</stp>
        <stp>36810.T</stp>
        <stp>現在値詳細時刻</stp>
        <tr r="D337" s="7"/>
      </tp>
      <tp t="s">
        <v>表示銘柄数超過</v>
        <stp/>
        <stp>Market</stp>
        <stp>STOCK</stp>
        <stp>36860.T</stp>
        <stp>現在値詳細時刻</stp>
        <tr r="D340" s="7"/>
      </tp>
      <tp t="s">
        <v>表示銘柄数超過</v>
        <stp/>
        <stp>Market</stp>
        <stp>STOCK</stp>
        <stp>36980.T</stp>
        <stp>現在値詳細時刻</stp>
        <tr r="D343" s="7"/>
      </tp>
      <tp t="s">
        <v>表示銘柄数超過</v>
        <stp/>
        <stp>Market</stp>
        <stp>STOCK</stp>
        <stp>36910.T</stp>
        <stp>現在値詳細時刻</stp>
        <tr r="D341" s="7"/>
      </tp>
      <tp t="s">
        <v>表示銘柄数超過</v>
        <stp/>
        <stp>Market</stp>
        <stp>STOCK</stp>
        <stp>36960.T</stp>
        <stp>現在値詳細時刻</stp>
        <tr r="D342" s="7"/>
      </tp>
      <tp t="s">
        <v>表示銘柄数超過</v>
        <stp/>
        <stp>Market</stp>
        <stp>STOCK</stp>
        <stp>36070.T</stp>
        <stp>現在値詳細時刻</stp>
        <tr r="D311" s="7"/>
      </tp>
      <tp t="s">
        <v>表示銘柄数超過</v>
        <stp/>
        <stp>Market</stp>
        <stp>STOCK</stp>
        <stp>36260.T</stp>
        <stp>現在値詳細時刻</stp>
        <tr r="D314" s="7"/>
      </tp>
      <tp t="s">
        <v>表示銘柄数超過</v>
        <stp/>
        <stp>Market</stp>
        <stp>STOCK</stp>
        <stp>36270.T</stp>
        <stp>現在値詳細時刻</stp>
        <tr r="D315" s="7"/>
      </tp>
      <tp t="s">
        <v>表示銘柄数超過</v>
        <stp/>
        <stp>Market</stp>
        <stp>STOCK</stp>
        <stp>36240.T</stp>
        <stp>現在値詳細時刻</stp>
        <tr r="D312" s="7"/>
      </tp>
      <tp t="s">
        <v>表示銘柄数超過</v>
        <stp/>
        <stp>Market</stp>
        <stp>STOCK</stp>
        <stp>36250.T</stp>
        <stp>現在値詳細時刻</stp>
        <tr r="D313" s="7"/>
      </tp>
      <tp t="s">
        <v>表示銘柄数超過</v>
        <stp/>
        <stp>Market</stp>
        <stp>STOCK</stp>
        <stp>36390.T</stp>
        <stp>現在値詳細時刻</stp>
        <tr r="D318" s="7"/>
      </tp>
      <tp t="s">
        <v>表示銘柄数超過</v>
        <stp/>
        <stp>Market</stp>
        <stp>STOCK</stp>
        <stp>36320.T</stp>
        <stp>現在値詳細時刻</stp>
        <tr r="D316" s="7"/>
      </tp>
      <tp t="s">
        <v>表示銘柄数超過</v>
        <stp/>
        <stp>Market</stp>
        <stp>STOCK</stp>
        <stp>36350.T</stp>
        <stp>現在値詳細時刻</stp>
        <tr r="D317" s="7"/>
      </tp>
      <tp t="s">
        <v>表示銘柄数超過</v>
        <stp/>
        <stp>Market</stp>
        <stp>STOCK</stp>
        <stp>36490.T</stp>
        <stp>現在値詳細時刻</stp>
        <tr r="D321" s="7"/>
      </tp>
      <tp t="s">
        <v>表示銘柄数超過</v>
        <stp/>
        <stp>Market</stp>
        <stp>STOCK</stp>
        <stp>36470.T</stp>
        <stp>現在値詳細時刻</stp>
        <tr r="D320" s="7"/>
      </tp>
      <tp t="s">
        <v>表示銘柄数超過</v>
        <stp/>
        <stp>Market</stp>
        <stp>STOCK</stp>
        <stp>36450.T</stp>
        <stp>現在値詳細時刻</stp>
        <tr r="D319" s="7"/>
      </tp>
      <tp t="s">
        <v>表示銘柄数超過</v>
        <stp/>
        <stp>Market</stp>
        <stp>STOCK</stp>
        <stp>36520.T</stp>
        <stp>現在値詳細時刻</stp>
        <tr r="D322" s="7"/>
      </tp>
      <tp t="s">
        <v>表示銘柄数超過</v>
        <stp/>
        <stp>Market</stp>
        <stp>STOCK</stp>
        <stp>36560.T</stp>
        <stp>現在値詳細時刻</stp>
        <tr r="D324" s="7"/>
      </tp>
      <tp t="s">
        <v>表示銘柄数超過</v>
        <stp/>
        <stp>Market</stp>
        <stp>STOCK</stp>
        <stp>36550.T</stp>
        <stp>現在値詳細時刻</stp>
        <tr r="D323" s="7"/>
      </tp>
      <tp t="s">
        <v>表示銘柄数超過</v>
        <stp/>
        <stp>Market</stp>
        <stp>STOCK</stp>
        <stp>36680.T</stp>
        <stp>現在値詳細時刻</stp>
        <tr r="D331" s="7"/>
      </tp>
      <tp t="s">
        <v>表示銘柄数超過</v>
        <stp/>
        <stp>Market</stp>
        <stp>STOCK</stp>
        <stp>36630.T</stp>
        <stp>現在値詳細時刻</stp>
        <tr r="D326" s="7"/>
      </tp>
      <tp t="s">
        <v>表示銘柄数超過</v>
        <stp/>
        <stp>Market</stp>
        <stp>STOCK</stp>
        <stp>36600.T</stp>
        <stp>現在値詳細時刻</stp>
        <tr r="D325" s="7"/>
      </tp>
      <tp t="s">
        <v>表示銘柄数超過</v>
        <stp/>
        <stp>Market</stp>
        <stp>STOCK</stp>
        <stp>36660.T</stp>
        <stp>現在値詳細時刻</stp>
        <tr r="D329" s="7"/>
      </tp>
      <tp t="s">
        <v>表示銘柄数超過</v>
        <stp/>
        <stp>Market</stp>
        <stp>STOCK</stp>
        <stp>36670.T</stp>
        <stp>現在値詳細時刻</stp>
        <tr r="D330" s="7"/>
      </tp>
      <tp t="s">
        <v>表示銘柄数超過</v>
        <stp/>
        <stp>Market</stp>
        <stp>STOCK</stp>
        <stp>36640.T</stp>
        <stp>現在値詳細時刻</stp>
        <tr r="D327" s="7"/>
      </tp>
      <tp t="s">
        <v>表示銘柄数超過</v>
        <stp/>
        <stp>Market</stp>
        <stp>STOCK</stp>
        <stp>36650.T</stp>
        <stp>現在値詳細時刻</stp>
        <tr r="D328" s="7"/>
      </tp>
      <tp t="s">
        <v>表示銘柄数超過</v>
        <stp/>
        <stp>Market</stp>
        <stp>STOCK</stp>
        <stp>36720.T</stp>
        <stp>現在値詳細時刻</stp>
        <tr r="D332" s="7"/>
      </tp>
      <tp t="s">
        <v>表示銘柄数超過</v>
        <stp/>
        <stp>Market</stp>
        <stp>STOCK</stp>
        <stp>36760.T</stp>
        <stp>現在値詳細時刻</stp>
        <tr r="D334" s="7"/>
      </tp>
      <tp t="s">
        <v>表示銘柄数超過</v>
        <stp/>
        <stp>Market</stp>
        <stp>STOCK</stp>
        <stp>36770.T</stp>
        <stp>現在値詳細時刻</stp>
        <tr r="D335" s="7"/>
      </tp>
      <tp t="s">
        <v>表示銘柄数超過</v>
        <stp/>
        <stp>Market</stp>
        <stp>STOCK</stp>
        <stp>36740.T</stp>
        <stp>現在値詳細時刻</stp>
        <tr r="D333" s="7"/>
      </tp>
      <tp t="s">
        <v>表示銘柄数超過</v>
        <stp/>
        <stp>Market</stp>
        <stp>STOCK</stp>
        <stp>37840.T</stp>
        <stp>現在値詳細時刻</stp>
        <tr r="D359" s="7"/>
      </tp>
      <tp t="s">
        <v>表示銘柄数超過</v>
        <stp/>
        <stp>Market</stp>
        <stp>STOCK</stp>
        <stp>37930.T</stp>
        <stp>現在値詳細時刻</stp>
        <tr r="D360" s="7"/>
      </tp>
      <tp t="s">
        <v>表示銘柄数超過</v>
        <stp/>
        <stp>Market</stp>
        <stp>STOCK</stp>
        <stp>37190.T</stp>
        <stp>現在値詳細時刻</stp>
        <tr r="D345" s="7"/>
      </tp>
      <tp t="s">
        <v>表示銘柄数超過</v>
        <stp/>
        <stp>Market</stp>
        <stp>STOCK</stp>
        <stp>37100.T</stp>
        <stp>現在値詳細時刻</stp>
        <tr r="D344" s="7"/>
      </tp>
      <tp t="s">
        <v>表示銘柄数超過</v>
        <stp/>
        <stp>Market</stp>
        <stp>STOCK</stp>
        <stp>37230.T</stp>
        <stp>現在値詳細時刻</stp>
        <tr r="D346" s="7"/>
      </tp>
      <tp t="s">
        <v>表示銘柄数超過</v>
        <stp/>
        <stp>Market</stp>
        <stp>STOCK</stp>
        <stp>37270.T</stp>
        <stp>現在値詳細時刻</stp>
        <tr r="D347" s="7"/>
      </tp>
      <tp t="s">
        <v>表示銘柄数超過</v>
        <stp/>
        <stp>Market</stp>
        <stp>STOCK</stp>
        <stp>37380.T</stp>
        <stp>現在値詳細時刻</stp>
        <tr r="D348" s="7"/>
      </tp>
      <tp t="s">
        <v>表示銘柄数超過</v>
        <stp/>
        <stp>Market</stp>
        <stp>STOCK</stp>
        <stp>37410.T</stp>
        <stp>現在値詳細時刻</stp>
        <tr r="D349" s="7"/>
      </tp>
      <tp t="s">
        <v>表示銘柄数超過</v>
        <stp/>
        <stp>Market</stp>
        <stp>STOCK</stp>
        <stp>37470.T</stp>
        <stp>現在値詳細時刻</stp>
        <tr r="D350" s="7"/>
      </tp>
      <tp t="s">
        <v>表示銘柄数超過</v>
        <stp/>
        <stp>Market</stp>
        <stp>STOCK</stp>
        <stp>37580.T</stp>
        <stp>現在値詳細時刻</stp>
        <tr r="D351" s="7"/>
      </tp>
      <tp t="s">
        <v>表示銘柄数超過</v>
        <stp/>
        <stp>Market</stp>
        <stp>STOCK</stp>
        <stp>37600.T</stp>
        <stp>現在値詳細時刻</stp>
        <tr r="D352" s="7"/>
      </tp>
      <tp t="s">
        <v>表示銘柄数超過</v>
        <stp/>
        <stp>Market</stp>
        <stp>STOCK</stp>
        <stp>37780.T</stp>
        <stp>現在値詳細時刻</stp>
        <tr r="D357" s="7"/>
      </tp>
      <tp t="s">
        <v>表示銘柄数超過</v>
        <stp/>
        <stp>Market</stp>
        <stp>STOCK</stp>
        <stp>37790.T</stp>
        <stp>現在値詳細時刻</stp>
        <tr r="D358" s="7"/>
      </tp>
      <tp t="s">
        <v>表示銘柄数超過</v>
        <stp/>
        <stp>Market</stp>
        <stp>STOCK</stp>
        <stp>37730.T</stp>
        <stp>現在値詳細時刻</stp>
        <tr r="D354" s="7"/>
      </tp>
      <tp t="s">
        <v>表示銘柄数超過</v>
        <stp/>
        <stp>Market</stp>
        <stp>STOCK</stp>
        <stp>37700.T</stp>
        <stp>現在値詳細時刻</stp>
        <tr r="D353" s="7"/>
      </tp>
      <tp t="s">
        <v>表示銘柄数超過</v>
        <stp/>
        <stp>Market</stp>
        <stp>STOCK</stp>
        <stp>37760.T</stp>
        <stp>現在値詳細時刻</stp>
        <tr r="D355" s="7"/>
      </tp>
      <tp t="s">
        <v>表示銘柄数超過</v>
        <stp/>
        <stp>Market</stp>
        <stp>STOCK</stp>
        <stp>37770.T</stp>
        <stp>現在値詳細時刻</stp>
        <tr r="D356" s="7"/>
      </tp>
      <tp t="s">
        <v>表示銘柄数超過</v>
        <stp/>
        <stp>Market</stp>
        <stp>STOCK</stp>
        <stp>34090.T</stp>
        <stp>現在値詳細時刻</stp>
        <tr r="D296" s="7"/>
      </tp>
      <tp t="s">
        <v>表示銘柄数超過</v>
        <stp/>
        <stp>Market</stp>
        <stp>STOCK</stp>
        <stp>34010.T</stp>
        <stp>現在値詳細時刻</stp>
        <tr r="D294" s="7"/>
      </tp>
      <tp t="s">
        <v>表示銘柄数超過</v>
        <stp/>
        <stp>Market</stp>
        <stp>STOCK</stp>
        <stp>34070.T</stp>
        <stp>現在値詳細時刻</stp>
        <tr r="D295" s="7"/>
      </tp>
      <tp t="s">
        <v>表示銘柄数超過</v>
        <stp/>
        <stp>Market</stp>
        <stp>STOCK</stp>
        <stp>34220.T</stp>
        <stp>現在値詳細時刻</stp>
        <tr r="D297" s="7"/>
      </tp>
      <tp t="s">
        <v>表示銘柄数超過</v>
        <stp/>
        <stp>Market</stp>
        <stp>STOCK</stp>
        <stp>34330.T</stp>
        <stp>現在値詳細時刻</stp>
        <tr r="D298" s="7"/>
      </tp>
      <tp t="s">
        <v>表示銘柄数超過</v>
        <stp/>
        <stp>Market</stp>
        <stp>STOCK</stp>
        <stp>34360.T</stp>
        <stp>現在値詳細時刻</stp>
        <tr r="D299" s="7"/>
      </tp>
      <tp t="s">
        <v>表示銘柄数超過</v>
        <stp/>
        <stp>Market</stp>
        <stp>STOCK</stp>
        <stp>34540.T</stp>
        <stp>現在値詳細時刻</stp>
        <tr r="D300" s="7"/>
      </tp>
      <tp t="s">
        <v>表示銘柄数超過</v>
        <stp/>
        <stp>Market</stp>
        <stp>STOCK</stp>
        <stp>34610.T</stp>
        <stp>現在値詳細時刻</stp>
        <tr r="D301" s="7"/>
      </tp>
      <tp t="s">
        <v>表示銘柄数超過</v>
        <stp/>
        <stp>Market</stp>
        <stp>STOCK</stp>
        <stp>34640.T</stp>
        <stp>現在値詳細時刻</stp>
        <tr r="D302" s="7"/>
      </tp>
      <tp t="s">
        <v>表示銘柄数超過</v>
        <stp/>
        <stp>Market</stp>
        <stp>STOCK</stp>
        <stp>35800.T</stp>
        <stp>現在値詳細時刻</stp>
        <tr r="D310" s="7"/>
      </tp>
      <tp t="s">
        <v>表示銘柄数超過</v>
        <stp/>
        <stp>Market</stp>
        <stp>STOCK</stp>
        <stp>35210.T</stp>
        <stp>現在値詳細時刻</stp>
        <tr r="D303" s="7"/>
      </tp>
      <tp t="s">
        <v>表示銘柄数超過</v>
        <stp/>
        <stp>Market</stp>
        <stp>STOCK</stp>
        <stp>35360.T</stp>
        <stp>現在値詳細時刻</stp>
        <tr r="D304" s="7"/>
      </tp>
      <tp t="s">
        <v>表示銘柄数超過</v>
        <stp/>
        <stp>Market</stp>
        <stp>STOCK</stp>
        <stp>35430.T</stp>
        <stp>現在値詳細時刻</stp>
        <tr r="D306" s="7"/>
      </tp>
      <tp t="s">
        <v>表示銘柄数超過</v>
        <stp/>
        <stp>Market</stp>
        <stp>STOCK</stp>
        <stp>35410.T</stp>
        <stp>現在値詳細時刻</stp>
        <tr r="D305" s="7"/>
      </tp>
      <tp t="s">
        <v>表示銘柄数超過</v>
        <stp/>
        <stp>Market</stp>
        <stp>STOCK</stp>
        <stp>35530.T</stp>
        <stp>現在値詳細時刻</stp>
        <tr r="D308" s="7"/>
      </tp>
      <tp t="s">
        <v>表示銘柄数超過</v>
        <stp/>
        <stp>Market</stp>
        <stp>STOCK</stp>
        <stp>35510.T</stp>
        <stp>現在値詳細時刻</stp>
        <tr r="D307" s="7"/>
      </tp>
      <tp t="s">
        <v>表示銘柄数超過</v>
        <stp/>
        <stp>Market</stp>
        <stp>STOCK</stp>
        <stp>35610.T</stp>
        <stp>現在値詳細時刻</stp>
        <tr r="D309" s="7"/>
      </tp>
      <tp t="s">
        <v>表示銘柄数超過</v>
        <stp/>
        <stp>Market</stp>
        <stp>STOCK</stp>
        <stp>32880.T</stp>
        <stp>現在値詳細時刻</stp>
        <tr r="D271" s="7"/>
      </tp>
      <tp t="s">
        <v>表示銘柄数超過</v>
        <stp/>
        <stp>Market</stp>
        <stp>STOCK</stp>
        <stp>32890.T</stp>
        <stp>現在値詳細時刻</stp>
        <tr r="D272" s="7"/>
      </tp>
      <tp t="s">
        <v>表示銘柄数超過</v>
        <stp/>
        <stp>Market</stp>
        <stp>STOCK</stp>
        <stp>32860.T</stp>
        <stp>現在値詳細時刻</stp>
        <tr r="D270" s="7"/>
      </tp>
      <tp t="s">
        <v>表示銘柄数超過</v>
        <stp/>
        <stp>Market</stp>
        <stp>STOCK</stp>
        <stp>32840.T</stp>
        <stp>現在値詳細時刻</stp>
        <tr r="D269" s="7"/>
      </tp>
      <tp t="s">
        <v>表示銘柄数超過</v>
        <stp/>
        <stp>Market</stp>
        <stp>STOCK</stp>
        <stp>32990.T</stp>
        <stp>現在値詳細時刻</stp>
        <tr r="D274" s="7"/>
      </tp>
      <tp t="s">
        <v>表示銘柄数超過</v>
        <stp/>
        <stp>Market</stp>
        <stp>STOCK</stp>
        <stp>32970.T</stp>
        <stp>現在値詳細時刻</stp>
        <tr r="D273" s="7"/>
      </tp>
      <tp t="s">
        <v>表示銘柄数超過</v>
        <stp/>
        <stp>Market</stp>
        <stp>STOCK</stp>
        <stp>32380.T</stp>
        <stp>現在値詳細時刻</stp>
        <tr r="D261" s="7"/>
      </tp>
      <tp t="s">
        <v>表示銘柄数超過</v>
        <stp/>
        <stp>Market</stp>
        <stp>STOCK</stp>
        <stp>32320.T</stp>
        <stp>現在値詳細時刻</stp>
        <tr r="D258" s="7"/>
      </tp>
      <tp t="s">
        <v>表示銘柄数超過</v>
        <stp/>
        <stp>Market</stp>
        <stp>STOCK</stp>
        <stp>32360.T</stp>
        <stp>現在値詳細時刻</stp>
        <tr r="D259" s="7"/>
      </tp>
      <tp t="s">
        <v>表示銘柄数超過</v>
        <stp/>
        <stp>Market</stp>
        <stp>STOCK</stp>
        <stp>32370.T</stp>
        <stp>現在値詳細時刻</stp>
        <tr r="D260" s="7"/>
      </tp>
      <tp t="s">
        <v>表示銘柄数超過</v>
        <stp/>
        <stp>Market</stp>
        <stp>STOCK</stp>
        <stp>32420.T</stp>
        <stp>現在値詳細時刻</stp>
        <tr r="D263" s="7"/>
      </tp>
      <tp t="s">
        <v>表示銘柄数超過</v>
        <stp/>
        <stp>Market</stp>
        <stp>STOCK</stp>
        <stp>32410.T</stp>
        <stp>現在値詳細時刻</stp>
        <tr r="D262" s="7"/>
      </tp>
      <tp t="s">
        <v>表示銘柄数超過</v>
        <stp/>
        <stp>Market</stp>
        <stp>STOCK</stp>
        <stp>32440.T</stp>
        <stp>現在値詳細時刻</stp>
        <tr r="D264" s="7"/>
      </tp>
      <tp t="s">
        <v>表示銘柄数超過</v>
        <stp/>
        <stp>Market</stp>
        <stp>STOCK</stp>
        <stp>32610.T</stp>
        <stp>現在値詳細時刻</stp>
        <tr r="D265" s="7"/>
      </tp>
      <tp t="s">
        <v>表示銘柄数超過</v>
        <stp/>
        <stp>Market</stp>
        <stp>STOCK</stp>
        <stp>32660.T</stp>
        <stp>現在値詳細時刻</stp>
        <tr r="D267" s="7"/>
      </tp>
      <tp t="s">
        <v>表示銘柄数超過</v>
        <stp/>
        <stp>Market</stp>
        <stp>STOCK</stp>
        <stp>32640.T</stp>
        <stp>現在値詳細時刻</stp>
        <tr r="D266" s="7"/>
      </tp>
      <tp t="s">
        <v>表示銘柄数超過</v>
        <stp/>
        <stp>Market</stp>
        <stp>STOCK</stp>
        <stp>32710.T</stp>
        <stp>現在値詳細時刻</stp>
        <tr r="D268" s="7"/>
      </tp>
      <tp t="s">
        <v>表示銘柄数超過</v>
        <stp/>
        <stp>Market</stp>
        <stp>STOCK</stp>
        <stp>33880.T</stp>
        <stp>現在値詳細時刻</stp>
        <tr r="D292" s="7"/>
      </tp>
      <tp t="s">
        <v>表示銘柄数超過</v>
        <stp/>
        <stp>Market</stp>
        <stp>STOCK</stp>
        <stp>33820.T</stp>
        <stp>現在値詳細時刻</stp>
        <tr r="D290" s="7"/>
      </tp>
      <tp t="s">
        <v>表示銘柄数超過</v>
        <stp/>
        <stp>Market</stp>
        <stp>STOCK</stp>
        <stp>33860.T</stp>
        <stp>現在値詳細時刻</stp>
        <tr r="D291" s="7"/>
      </tp>
      <tp t="s">
        <v>表示銘柄数超過</v>
        <stp/>
        <stp>Market</stp>
        <stp>STOCK</stp>
        <stp>33920.T</stp>
        <stp>現在値詳細時刻</stp>
        <tr r="D293" s="7"/>
      </tp>
      <tp t="s">
        <v>表示銘柄数超過</v>
        <stp/>
        <stp>Market</stp>
        <stp>STOCK</stp>
        <stp>33000.T</stp>
        <stp>現在値詳細時刻</stp>
        <tr r="D275" s="7"/>
      </tp>
      <tp t="s">
        <v>表示銘柄数超過</v>
        <stp/>
        <stp>Market</stp>
        <stp>STOCK</stp>
        <stp>33160.T</stp>
        <stp>現在値詳細時刻</stp>
        <tr r="D277" s="7"/>
      </tp>
      <tp t="s">
        <v>表示銘柄数超過</v>
        <stp/>
        <stp>Market</stp>
        <stp>STOCK</stp>
        <stp>33150.T</stp>
        <stp>現在値詳細時刻</stp>
        <tr r="D276" s="7"/>
      </tp>
      <tp t="s">
        <v>表示銘柄数超過</v>
        <stp/>
        <stp>Market</stp>
        <stp>STOCK</stp>
        <stp>33280.T</stp>
        <stp>現在値詳細時刻</stp>
        <tr r="D280" s="7"/>
      </tp>
      <tp t="s">
        <v>表示銘柄数超過</v>
        <stp/>
        <stp>Market</stp>
        <stp>STOCK</stp>
        <stp>33230.T</stp>
        <stp>現在値詳細時刻</stp>
        <tr r="D278" s="7"/>
      </tp>
      <tp t="s">
        <v>表示銘柄数超過</v>
        <stp/>
        <stp>Market</stp>
        <stp>STOCK</stp>
        <stp>33260.T</stp>
        <stp>現在値詳細時刻</stp>
        <tr r="D279" s="7"/>
      </tp>
      <tp t="s">
        <v>表示銘柄数超過</v>
        <stp/>
        <stp>Market</stp>
        <stp>STOCK</stp>
        <stp>33330.T</stp>
        <stp>現在値詳細時刻</stp>
        <tr r="D281" s="7"/>
      </tp>
      <tp t="s">
        <v>表示銘柄数超過</v>
        <stp/>
        <stp>Market</stp>
        <stp>STOCK</stp>
        <stp>33410.T</stp>
        <stp>現在値詳細時刻</stp>
        <tr r="D282" s="7"/>
      </tp>
      <tp t="s">
        <v>表示銘柄数超過</v>
        <stp/>
        <stp>Market</stp>
        <stp>STOCK</stp>
        <stp>33580.T</stp>
        <stp>現在値詳細時刻</stp>
        <tr r="D285" s="7"/>
      </tp>
      <tp t="s">
        <v>表示銘柄数超過</v>
        <stp/>
        <stp>Market</stp>
        <stp>STOCK</stp>
        <stp>33590.T</stp>
        <stp>現在値詳細時刻</stp>
        <tr r="D286" s="7"/>
      </tp>
      <tp t="s">
        <v>表示銘柄数超過</v>
        <stp/>
        <stp>Market</stp>
        <stp>STOCK</stp>
        <stp>33500.T</stp>
        <stp>現在値詳細時刻</stp>
        <tr r="D283" s="7"/>
      </tp>
      <tp t="s">
        <v>表示銘柄数超過</v>
        <stp/>
        <stp>Market</stp>
        <stp>STOCK</stp>
        <stp>33550.T</stp>
        <stp>現在値詳細時刻</stp>
        <tr r="D284" s="7"/>
      </tp>
      <tp t="s">
        <v>表示銘柄数超過</v>
        <stp/>
        <stp>Market</stp>
        <stp>STOCK</stp>
        <stp>33720.T</stp>
        <stp>現在値詳細時刻</stp>
        <tr r="D288" s="7"/>
      </tp>
      <tp t="s">
        <v>表示銘柄数超過</v>
        <stp/>
        <stp>Market</stp>
        <stp>STOCK</stp>
        <stp>33700.T</stp>
        <stp>現在値詳細時刻</stp>
        <tr r="D287" s="7"/>
      </tp>
      <tp t="s">
        <v>表示銘柄数超過</v>
        <stp/>
        <stp>Market</stp>
        <stp>STOCK</stp>
        <stp>33770.T</stp>
        <stp>現在値詳細時刻</stp>
        <tr r="D289" s="7"/>
      </tp>
      <tp t="s">
        <v>表示銘柄数超過</v>
        <stp/>
        <stp>Market</stp>
        <stp>STOCK</stp>
        <stp>30830.T</stp>
        <stp>現在値詳細時刻</stp>
        <tr r="D238" s="7"/>
      </tp>
      <tp t="s">
        <v>表示銘柄数超過</v>
        <stp/>
        <stp>Market</stp>
        <stp>STOCK</stp>
        <stp>30860.T</stp>
        <stp>現在値詳細時刻</stp>
        <tr r="D239" s="7"/>
      </tp>
      <tp t="s">
        <v>表示銘柄数超過</v>
        <stp/>
        <stp>Market</stp>
        <stp>STOCK</stp>
        <stp>30990.T</stp>
        <stp>現在値詳細時刻</stp>
        <tr r="D240" s="7"/>
      </tp>
      <tp t="s">
        <v>表示銘柄数超過</v>
        <stp/>
        <stp>Market</stp>
        <stp>STOCK</stp>
        <stp>30030.T</stp>
        <stp>現在値詳細時刻</stp>
        <tr r="D221" s="7"/>
      </tp>
      <tp t="s">
        <v>表示銘柄数超過</v>
        <stp/>
        <stp>Market</stp>
        <stp>STOCK</stp>
        <stp>30040.T</stp>
        <stp>現在値詳細時刻</stp>
        <tr r="D222" s="7"/>
      </tp>
      <tp t="s">
        <v>表示銘柄数超過</v>
        <stp/>
        <stp>Market</stp>
        <stp>STOCK</stp>
        <stp>30100.T</stp>
        <stp>現在値詳細時刻</stp>
        <tr r="D223" s="7"/>
      </tp>
      <tp t="s">
        <v>表示銘柄数超過</v>
        <stp/>
        <stp>Market</stp>
        <stp>STOCK</stp>
        <stp>30210.T</stp>
        <stp>現在値詳細時刻</stp>
        <tr r="D224" s="7"/>
      </tp>
      <tp t="s">
        <v>表示銘柄数超過</v>
        <stp/>
        <stp>Market</stp>
        <stp>STOCK</stp>
        <stp>30380.T</stp>
        <stp>現在値詳細時刻</stp>
        <tr r="D230" s="7"/>
      </tp>
      <tp t="s">
        <v>表示銘柄数超過</v>
        <stp/>
        <stp>Market</stp>
        <stp>STOCK</stp>
        <stp>30300.T</stp>
        <stp>現在値詳細時刻</stp>
        <tr r="D225" s="7"/>
      </tp>
      <tp t="s">
        <v>表示銘柄数超過</v>
        <stp/>
        <stp>Market</stp>
        <stp>STOCK</stp>
        <stp>30310.T</stp>
        <stp>現在値詳細時刻</stp>
        <tr r="D226" s="7"/>
      </tp>
      <tp t="s">
        <v>表示銘柄数超過</v>
        <stp/>
        <stp>Market</stp>
        <stp>STOCK</stp>
        <stp>30360.T</stp>
        <stp>現在値詳細時刻</stp>
        <tr r="D229" s="7"/>
      </tp>
      <tp t="s">
        <v>表示銘柄数超過</v>
        <stp/>
        <stp>Market</stp>
        <stp>STOCK</stp>
        <stp>30340.T</stp>
        <stp>現在値詳細時刻</stp>
        <tr r="D227" s="7"/>
      </tp>
      <tp t="s">
        <v>表示銘柄数超過</v>
        <stp/>
        <stp>Market</stp>
        <stp>STOCK</stp>
        <stp>30350.T</stp>
        <stp>現在値詳細時刻</stp>
        <tr r="D228" s="7"/>
      </tp>
      <tp t="s">
        <v>表示銘柄数超過</v>
        <stp/>
        <stp>Market</stp>
        <stp>STOCK</stp>
        <stp>30410.T</stp>
        <stp>現在値詳細時刻</stp>
        <tr r="D231" s="7"/>
      </tp>
      <tp t="s">
        <v>表示銘柄数超過</v>
        <stp/>
        <stp>Market</stp>
        <stp>STOCK</stp>
        <stp>30530.T</stp>
        <stp>現在値詳細時刻</stp>
        <tr r="D233" s="7"/>
      </tp>
      <tp t="s">
        <v>表示銘柄数超過</v>
        <stp/>
        <stp>Market</stp>
        <stp>STOCK</stp>
        <stp>30500.T</stp>
        <stp>現在値詳細時刻</stp>
        <tr r="D232" s="7"/>
      </tp>
      <tp t="s">
        <v>表示銘柄数超過</v>
        <stp/>
        <stp>Market</stp>
        <stp>STOCK</stp>
        <stp>30690.T</stp>
        <stp>現在値詳細時刻</stp>
        <tr r="D235" s="7"/>
      </tp>
      <tp t="s">
        <v>表示銘柄数超過</v>
        <stp/>
        <stp>Market</stp>
        <stp>STOCK</stp>
        <stp>30640.T</stp>
        <stp>現在値詳細時刻</stp>
        <tr r="D234" s="7"/>
      </tp>
      <tp t="s">
        <v>表示銘柄数超過</v>
        <stp/>
        <stp>Market</stp>
        <stp>STOCK</stp>
        <stp>30700.T</stp>
        <stp>現在値詳細時刻</stp>
        <tr r="D236" s="7"/>
      </tp>
      <tp t="s">
        <v>表示銘柄数超過</v>
        <stp/>
        <stp>Market</stp>
        <stp>STOCK</stp>
        <stp>30710.T</stp>
        <stp>現在値詳細時刻</stp>
        <tr r="D237" s="7"/>
      </tp>
      <tp t="s">
        <v>表示銘柄数超過</v>
        <stp/>
        <stp>Market</stp>
        <stp>STOCK</stp>
        <stp>31890.T</stp>
        <stp>現在値詳細時刻</stp>
        <tr r="D255" s="7"/>
      </tp>
      <tp t="s">
        <v>表示銘柄数超過</v>
        <stp/>
        <stp>Market</stp>
        <stp>STOCK</stp>
        <stp>31820.T</stp>
        <stp>現在値詳細時刻</stp>
        <tr r="D251" s="7"/>
      </tp>
      <tp t="s">
        <v>表示銘柄数超過</v>
        <stp/>
        <stp>Market</stp>
        <stp>STOCK</stp>
        <stp>31860.T</stp>
        <stp>現在値詳細時刻</stp>
        <tr r="D253" s="7"/>
      </tp>
      <tp t="s">
        <v>表示銘柄数超過</v>
        <stp/>
        <stp>Market</stp>
        <stp>STOCK</stp>
        <stp>31870.T</stp>
        <stp>現在値詳細時刻</stp>
        <tr r="D254" s="7"/>
      </tp>
      <tp t="s">
        <v>表示銘柄数超過</v>
        <stp/>
        <stp>Market</stp>
        <stp>STOCK</stp>
        <stp>31850.T</stp>
        <stp>現在値詳細時刻</stp>
        <tr r="D252" s="7"/>
      </tp>
      <tp t="s">
        <v>表示銘柄数超過</v>
        <stp/>
        <stp>Market</stp>
        <stp>STOCK</stp>
        <stp>31920.T</stp>
        <stp>現在値詳細時刻</stp>
        <tr r="D256" s="7"/>
      </tp>
      <tp t="s">
        <v>表示銘柄数超過</v>
        <stp/>
        <stp>Market</stp>
        <stp>STOCK</stp>
        <stp>31970.T</stp>
        <stp>現在値詳細時刻</stp>
        <tr r="D257" s="7"/>
      </tp>
      <tp t="s">
        <v>表示銘柄数超過</v>
        <stp/>
        <stp>Market</stp>
        <stp>STOCK</stp>
        <stp>31030.T</stp>
        <stp>現在値詳細時刻</stp>
        <tr r="D242" s="7"/>
      </tp>
      <tp t="s">
        <v>表示銘柄数超過</v>
        <stp/>
        <stp>Market</stp>
        <stp>STOCK</stp>
        <stp>31010.T</stp>
        <stp>現在値詳細時刻</stp>
        <tr r="D241" s="7"/>
      </tp>
      <tp t="s">
        <v>表示銘柄数超過</v>
        <stp/>
        <stp>Market</stp>
        <stp>STOCK</stp>
        <stp>31130.T</stp>
        <stp>現在値詳細時刻</stp>
        <tr r="D243" s="7"/>
      </tp>
      <tp t="s">
        <v>表示銘柄数超過</v>
        <stp/>
        <stp>Market</stp>
        <stp>STOCK</stp>
        <stp>31210.T</stp>
        <stp>現在値詳細時刻</stp>
        <tr r="D244" s="7"/>
      </tp>
      <tp t="s">
        <v>表示銘柄数超過</v>
        <stp/>
        <stp>Market</stp>
        <stp>STOCK</stp>
        <stp>31330.T</stp>
        <stp>現在値詳細時刻</stp>
        <tr r="D245" s="7"/>
      </tp>
      <tp t="s">
        <v>表示銘柄数超過</v>
        <stp/>
        <stp>Market</stp>
        <stp>STOCK</stp>
        <stp>31370.T</stp>
        <stp>現在値詳細時刻</stp>
        <tr r="D246" s="7"/>
      </tp>
      <tp t="s">
        <v>表示銘柄数超過</v>
        <stp/>
        <stp>Market</stp>
        <stp>STOCK</stp>
        <stp>31410.T</stp>
        <stp>現在値詳細時刻</stp>
        <tr r="D247" s="7"/>
      </tp>
      <tp t="s">
        <v>表示銘柄数超過</v>
        <stp/>
        <stp>Market</stp>
        <stp>STOCK</stp>
        <stp>31590.T</stp>
        <stp>現在値詳細時刻</stp>
        <tr r="D249" s="7"/>
      </tp>
      <tp t="s">
        <v>表示銘柄数超過</v>
        <stp/>
        <stp>Market</stp>
        <stp>STOCK</stp>
        <stp>31540.T</stp>
        <stp>現在値詳細時刻</stp>
        <tr r="D248" s="7"/>
      </tp>
      <tp t="s">
        <v>表示銘柄数超過</v>
        <stp/>
        <stp>Market</stp>
        <stp>STOCK</stp>
        <stp>31760.T</stp>
        <stp>現在値詳細時刻</stp>
        <tr r="D250" s="7"/>
      </tp>
      <tp t="s">
        <v>表示銘柄数超過</v>
        <stp/>
        <stp>Market</stp>
        <stp>STOCK</stp>
        <stp>38800.T</stp>
        <stp>現在値詳細時刻</stp>
        <tr r="D383" s="7"/>
      </tp>
      <tp t="s">
        <v>表示銘柄数超過</v>
        <stp/>
        <stp>Market</stp>
        <stp>STOCK</stp>
        <stp>38070.T</stp>
        <stp>現在値詳細時刻</stp>
        <tr r="D361" s="7"/>
      </tp>
      <tp t="s">
        <v>表示銘柄数超過</v>
        <stp/>
        <stp>Market</stp>
        <stp>STOCK</stp>
        <stp>38100.T</stp>
        <stp>現在値詳細時刻</stp>
        <tr r="D362" s="7"/>
      </tp>
      <tp t="s">
        <v>表示銘柄数超過</v>
        <stp/>
        <stp>Market</stp>
        <stp>STOCK</stp>
        <stp>38160.T</stp>
        <stp>現在値詳細時刻</stp>
        <tr r="D365" s="7"/>
      </tp>
      <tp t="s">
        <v>表示銘柄数超過</v>
        <stp/>
        <stp>Market</stp>
        <stp>STOCK</stp>
        <stp>38140.T</stp>
        <stp>現在値詳細時刻</stp>
        <tr r="D363" s="7"/>
      </tp>
      <tp t="s">
        <v>表示銘柄数超過</v>
        <stp/>
        <stp>Market</stp>
        <stp>STOCK</stp>
        <stp>38150.T</stp>
        <stp>現在値詳細時刻</stp>
        <tr r="D364" s="7"/>
      </tp>
      <tp t="s">
        <v>表示銘柄数超過</v>
        <stp/>
        <stp>Market</stp>
        <stp>STOCK</stp>
        <stp>38230.T</stp>
        <stp>現在値詳細時刻</stp>
        <tr r="D366" s="7"/>
      </tp>
      <tp t="s">
        <v>表示銘柄数超過</v>
        <stp/>
        <stp>Market</stp>
        <stp>STOCK</stp>
        <stp>38260.T</stp>
        <stp>現在値詳細時刻</stp>
        <tr r="D368" s="7"/>
      </tp>
      <tp t="s">
        <v>表示銘柄数超過</v>
        <stp/>
        <stp>Market</stp>
        <stp>STOCK</stp>
        <stp>38250.T</stp>
        <stp>現在値詳細時刻</stp>
        <tr r="D367" s="7"/>
      </tp>
      <tp t="s">
        <v>表示銘柄数超過</v>
        <stp/>
        <stp>Market</stp>
        <stp>STOCK</stp>
        <stp>38350.T</stp>
        <stp>現在値詳細時刻</stp>
        <tr r="D369" s="7"/>
      </tp>
      <tp t="s">
        <v>表示銘柄数超過</v>
        <stp/>
        <stp>Market</stp>
        <stp>STOCK</stp>
        <stp>38420.T</stp>
        <stp>現在値詳細時刻</stp>
        <tr r="D371" s="7"/>
      </tp>
      <tp t="s">
        <v>表示銘柄数超過</v>
        <stp/>
        <stp>Market</stp>
        <stp>STOCK</stp>
        <stp>38400.T</stp>
        <stp>現在値詳細時刻</stp>
        <tr r="D370" s="7"/>
      </tp>
      <tp t="s">
        <v>表示銘柄数超過</v>
        <stp/>
        <stp>Market</stp>
        <stp>STOCK</stp>
        <stp>38450.T</stp>
        <stp>現在値詳細時刻</stp>
        <tr r="D372" s="7"/>
      </tp>
      <tp t="s">
        <v>表示銘柄数超過</v>
        <stp/>
        <stp>Market</stp>
        <stp>STOCK</stp>
        <stp>38580.T</stp>
        <stp>現在値詳細時刻</stp>
        <tr r="D378" s="7"/>
      </tp>
      <tp t="s">
        <v>表示銘柄数超過</v>
        <stp/>
        <stp>Market</stp>
        <stp>STOCK</stp>
        <stp>38520.T</stp>
        <stp>現在値詳細時刻</stp>
        <tr r="D375" s="7"/>
      </tp>
      <tp t="s">
        <v>表示銘柄数超過</v>
        <stp/>
        <stp>Market</stp>
        <stp>STOCK</stp>
        <stp>38530.T</stp>
        <stp>現在値詳細時刻</stp>
        <tr r="D376" s="7"/>
      </tp>
      <tp t="s">
        <v>表示銘柄数超過</v>
        <stp/>
        <stp>Market</stp>
        <stp>STOCK</stp>
        <stp>38500.T</stp>
        <stp>現在値詳細時刻</stp>
        <tr r="D373" s="7"/>
      </tp>
      <tp t="s">
        <v>表示銘柄数超過</v>
        <stp/>
        <stp>Market</stp>
        <stp>STOCK</stp>
        <stp>38510.T</stp>
        <stp>現在値詳細時刻</stp>
        <tr r="D374" s="7"/>
      </tp>
      <tp t="s">
        <v>表示銘柄数超過</v>
        <stp/>
        <stp>Market</stp>
        <stp>STOCK</stp>
        <stp>38560.T</stp>
        <stp>現在値詳細時刻</stp>
        <tr r="D377" s="7"/>
      </tp>
      <tp t="s">
        <v>表示銘柄数超過</v>
        <stp/>
        <stp>Market</stp>
        <stp>STOCK</stp>
        <stp>38630.T</stp>
        <stp>現在値詳細時刻</stp>
        <tr r="D380" s="7"/>
      </tp>
      <tp t="s">
        <v>表示銘柄数超過</v>
        <stp/>
        <stp>Market</stp>
        <stp>STOCK</stp>
        <stp>38610.T</stp>
        <stp>現在値詳細時刻</stp>
        <tr r="D379" s="7"/>
      </tp>
      <tp t="s">
        <v>表示銘柄数超過</v>
        <stp/>
        <stp>Market</stp>
        <stp>STOCK</stp>
        <stp>38640.T</stp>
        <stp>現在値詳細時刻</stp>
        <tr r="D381" s="7"/>
      </tp>
      <tp t="s">
        <v>表示銘柄数超過</v>
        <stp/>
        <stp>Market</stp>
        <stp>STOCK</stp>
        <stp>38650.T</stp>
        <stp>現在値詳細時刻</stp>
        <tr r="D382" s="7"/>
      </tp>
      <tp t="s">
        <v>表示銘柄数超過</v>
        <stp/>
        <stp>Market</stp>
        <stp>STOCK</stp>
        <stp>39890.T</stp>
        <stp>現在値詳細時刻</stp>
        <tr r="D404" s="7"/>
      </tp>
      <tp t="s">
        <v>表示銘柄数超過</v>
        <stp/>
        <stp>Market</stp>
        <stp>STOCK</stp>
        <stp>39870.T</stp>
        <stp>現在値詳細時刻</stp>
        <tr r="D403" s="7"/>
      </tp>
      <tp t="s">
        <v>表示銘柄数超過</v>
        <stp/>
        <stp>Market</stp>
        <stp>STOCK</stp>
        <stp>39980.T</stp>
        <stp>現在値詳細時刻</stp>
        <tr r="D409" s="7"/>
      </tp>
      <tp t="s">
        <v>表示銘柄数超過</v>
        <stp/>
        <stp>Market</stp>
        <stp>STOCK</stp>
        <stp>39920.T</stp>
        <stp>現在値詳細時刻</stp>
        <tr r="D406" s="7"/>
      </tp>
      <tp t="s">
        <v>表示銘柄数超過</v>
        <stp/>
        <stp>Market</stp>
        <stp>STOCK</stp>
        <stp>39900.T</stp>
        <stp>現在値詳細時刻</stp>
        <tr r="D405" s="7"/>
      </tp>
      <tp t="s">
        <v>表示銘柄数超過</v>
        <stp/>
        <stp>Market</stp>
        <stp>STOCK</stp>
        <stp>39970.T</stp>
        <stp>現在値詳細時刻</stp>
        <tr r="D408" s="7"/>
      </tp>
      <tp t="s">
        <v>表示銘柄数超過</v>
        <stp/>
        <stp>Market</stp>
        <stp>STOCK</stp>
        <stp>39950.T</stp>
        <stp>現在値詳細時刻</stp>
        <tr r="D407" s="7"/>
      </tp>
      <tp t="s">
        <v>表示銘柄数超過</v>
        <stp/>
        <stp>Market</stp>
        <stp>STOCK</stp>
        <stp>39090.T</stp>
        <stp>現在値詳細時刻</stp>
        <tr r="D388" s="7"/>
      </tp>
      <tp t="s">
        <v>表示銘柄数超過</v>
        <stp/>
        <stp>Market</stp>
        <stp>STOCK</stp>
        <stp>39020.T</stp>
        <stp>現在値詳細時刻</stp>
        <tr r="D385" s="7"/>
      </tp>
      <tp t="s">
        <v>表示銘柄数超過</v>
        <stp/>
        <stp>Market</stp>
        <stp>STOCK</stp>
        <stp>39030.T</stp>
        <stp>現在値詳細時刻</stp>
        <tr r="D386" s="7"/>
      </tp>
      <tp t="s">
        <v>表示銘柄数超過</v>
        <stp/>
        <stp>Market</stp>
        <stp>STOCK</stp>
        <stp>39000.T</stp>
        <stp>現在値詳細時刻</stp>
        <tr r="D384" s="7"/>
      </tp>
      <tp t="s">
        <v>表示銘柄数超過</v>
        <stp/>
        <stp>Market</stp>
        <stp>STOCK</stp>
        <stp>39070.T</stp>
        <stp>現在値詳細時刻</stp>
        <tr r="D387" s="7"/>
      </tp>
      <tp t="s">
        <v>表示銘柄数超過</v>
        <stp/>
        <stp>Market</stp>
        <stp>STOCK</stp>
        <stp>39100.T</stp>
        <stp>現在値詳細時刻</stp>
        <tr r="D389" s="7"/>
      </tp>
      <tp t="s">
        <v>表示銘柄数超過</v>
        <stp/>
        <stp>Market</stp>
        <stp>STOCK</stp>
        <stp>39110.T</stp>
        <stp>現在値詳細時刻</stp>
        <tr r="D390" s="7"/>
      </tp>
      <tp t="s">
        <v>表示銘柄数超過</v>
        <stp/>
        <stp>Market</stp>
        <stp>STOCK</stp>
        <stp>39170.T</stp>
        <stp>現在値詳細時刻</stp>
        <tr r="D391" s="7"/>
      </tp>
      <tp t="s">
        <v>表示銘柄数超過</v>
        <stp/>
        <stp>Market</stp>
        <stp>STOCK</stp>
        <stp>39280.T</stp>
        <stp>現在値詳細時刻</stp>
        <tr r="D394" s="7"/>
      </tp>
      <tp t="s">
        <v>表示銘柄数超過</v>
        <stp/>
        <stp>Market</stp>
        <stp>STOCK</stp>
        <stp>39290.T</stp>
        <stp>現在値詳細時刻</stp>
        <tr r="D395" s="7"/>
      </tp>
      <tp t="s">
        <v>表示銘柄数超過</v>
        <stp/>
        <stp>Market</stp>
        <stp>STOCK</stp>
        <stp>39200.T</stp>
        <stp>現在値詳細時刻</stp>
        <tr r="D392" s="7"/>
      </tp>
      <tp t="s">
        <v>表示銘柄数超過</v>
        <stp/>
        <stp>Market</stp>
        <stp>STOCK</stp>
        <stp>39270.T</stp>
        <stp>現在値詳細時刻</stp>
        <tr r="D393" s="7"/>
      </tp>
      <tp t="s">
        <v>表示銘柄数超過</v>
        <stp/>
        <stp>Market</stp>
        <stp>STOCK</stp>
        <stp>39390.T</stp>
        <stp>現在値詳細時刻</stp>
        <tr r="D398" s="7"/>
      </tp>
      <tp t="s">
        <v>表示銘柄数超過</v>
        <stp/>
        <stp>Market</stp>
        <stp>STOCK</stp>
        <stp>39340.T</stp>
        <stp>現在値詳細時刻</stp>
        <tr r="D396" s="7"/>
      </tp>
      <tp t="s">
        <v>表示銘柄数超過</v>
        <stp/>
        <stp>Market</stp>
        <stp>STOCK</stp>
        <stp>39350.T</stp>
        <stp>現在値詳細時刻</stp>
        <tr r="D397" s="7"/>
      </tp>
      <tp t="s">
        <v>表示銘柄数超過</v>
        <stp/>
        <stp>Market</stp>
        <stp>STOCK</stp>
        <stp>39400.T</stp>
        <stp>現在値詳細時刻</stp>
        <tr r="D399" s="7"/>
      </tp>
      <tp t="s">
        <v>表示銘柄数超過</v>
        <stp/>
        <stp>Market</stp>
        <stp>STOCK</stp>
        <stp>39630.T</stp>
        <stp>現在値詳細時刻</stp>
        <tr r="D400" s="7"/>
      </tp>
      <tp t="s">
        <v>表示銘柄数超過</v>
        <stp/>
        <stp>Market</stp>
        <stp>STOCK</stp>
        <stp>39650.T</stp>
        <stp>現在値詳細時刻</stp>
        <tr r="D401" s="7"/>
      </tp>
      <tp t="s">
        <v>表示銘柄数超過</v>
        <stp/>
        <stp>Market</stp>
        <stp>STOCK</stp>
        <stp>39760.T</stp>
        <stp>現在値詳細時刻</stp>
        <tr r="D402" s="7"/>
      </tp>
    </main>
    <main first="rtdsrv.662c26bade854d00aebc6010f8a2e03a">
      <tp t="s">
        <v>表示銘柄数超過</v>
        <stp/>
        <stp>Market</stp>
        <stp>STOCK</stp>
        <stp>45960.T</stp>
        <stp>銘柄名称</stp>
        <tr r="B506" s="7"/>
      </tp>
      <tp t="s">
        <v>表示銘柄数超過</v>
        <stp/>
        <stp>Market</stp>
        <stp>STOCK</stp>
        <stp>25970.T</stp>
        <stp>銘柄名称</stp>
        <tr r="B168" s="7"/>
      </tp>
      <tp t="s">
        <v>表示銘柄数超過</v>
        <stp/>
        <stp>Market</stp>
        <stp>STOCK</stp>
        <stp>45970.T</stp>
        <stp>銘柄名称</stp>
        <tr r="B507" s="7"/>
      </tp>
      <tp t="s">
        <v>表示銘柄数超過</v>
        <stp/>
        <stp>Market</stp>
        <stp>STOCK</stp>
        <stp>45940.T</stp>
        <stp>銘柄名称</stp>
        <tr r="B505" s="7"/>
      </tp>
      <tp t="s">
        <v>ニデック</v>
        <stp/>
        <stp>Market</stp>
        <stp>STOCK</stp>
        <stp>65940.T</stp>
        <stp>銘柄名称</stp>
        <tr r="B735" s="7"/>
      </tp>
      <tp t="s">
        <v>表示銘柄数超過</v>
        <stp/>
        <stp>Market</stp>
        <stp>STOCK</stp>
        <stp>45920.T</stp>
        <stp>銘柄名称</stp>
        <tr r="B503" s="7"/>
      </tp>
      <tp t="s">
        <v>三菱ＨＣキャピタル</v>
        <stp/>
        <stp>Market</stp>
        <stp>STOCK</stp>
        <stp>85930.T</stp>
        <stp>銘柄名称</stp>
        <tr r="B1024" s="7"/>
      </tp>
      <tp t="s">
        <v>表示銘柄数超過</v>
        <stp/>
        <stp>Market</stp>
        <stp>STOCK</stp>
        <stp>45930.T</stp>
        <stp>銘柄名称</stp>
        <tr r="B504" s="7"/>
      </tp>
      <tp t="s">
        <v>表示銘柄数超過</v>
        <stp/>
        <stp>Market</stp>
        <stp>STOCK</stp>
        <stp>25935.T</stp>
        <stp>銘柄名称</stp>
        <tr r="B167" s="7"/>
      </tp>
      <tp t="s">
        <v>ＶＴホールディングス</v>
        <stp/>
        <stp>Market</stp>
        <stp>STOCK</stp>
        <stp>75930.T</stp>
        <stp>銘柄名称</stp>
        <tr r="B908" s="7"/>
      </tp>
      <tp t="s">
        <v>タカショー</v>
        <stp/>
        <stp>Market</stp>
        <stp>STOCK</stp>
        <stp>75900.T</stp>
        <stp>銘柄名称</stp>
        <tr r="B907" s="7"/>
      </tp>
      <tp t="s">
        <v>オリックス</v>
        <stp/>
        <stp>Market</stp>
        <stp>STOCK</stp>
        <stp>85910.T</stp>
        <stp>銘柄名称</stp>
        <tr r="B1023" s="7"/>
      </tp>
      <tp t="s">
        <v>表示銘柄数超過</v>
        <stp/>
        <stp>Market</stp>
        <stp>STOCK</stp>
        <stp>45910.T</stp>
        <stp>銘柄名称</stp>
        <tr r="B502" s="7"/>
      </tp>
      <tp t="s">
        <v>表示銘柄数超過</v>
        <stp/>
        <stp>Market</stp>
        <stp>STOCK</stp>
        <stp>25860.T</stp>
        <stp>銘柄名称</stp>
        <tr r="B165" s="7"/>
      </tp>
      <tp t="s">
        <v>表示銘柄数超過</v>
        <stp/>
        <stp>Market</stp>
        <stp>STOCK</stp>
        <stp>45860.T</stp>
        <stp>銘柄名称</stp>
        <tr r="B500" s="7"/>
      </tp>
      <tp t="s">
        <v>ＬＡＢＯＲＯ．ＡＩ</v>
        <stp/>
        <stp>Market</stp>
        <stp>STOCK</stp>
        <stp>55860.T</stp>
        <stp>銘柄名称</stp>
        <tr r="B600" s="7"/>
      </tp>
      <tp t="s">
        <v>表示銘柄数超過</v>
        <stp/>
        <stp>Market</stp>
        <stp>STOCK</stp>
        <stp>25870.T</stp>
        <stp>銘柄名称</stp>
        <tr r="B166" s="7"/>
      </tp>
      <tp t="s">
        <v>表示銘柄数超過</v>
        <stp/>
        <stp>Market</stp>
        <stp>STOCK</stp>
        <stp>45840.T</stp>
        <stp>銘柄名称</stp>
        <tr r="B499" s="7"/>
      </tp>
      <tp t="s">
        <v>三桜工業</v>
        <stp/>
        <stp>Market</stp>
        <stp>STOCK</stp>
        <stp>65840.T</stp>
        <stp>銘柄名称</stp>
        <tr r="B733" s="7"/>
      </tp>
      <tp t="s">
        <v>オリコ</v>
        <stp/>
        <stp>Market</stp>
        <stp>STOCK</stp>
        <stp>85850.T</stp>
        <stp>銘柄名称</stp>
        <tr r="B1022" s="7"/>
      </tp>
      <tp t="s">
        <v>表示銘柄数超過</v>
        <stp/>
        <stp>Market</stp>
        <stp>STOCK</stp>
        <stp>25850.T</stp>
        <stp>銘柄名称</stp>
        <tr r="B164" s="7"/>
      </tp>
      <tp t="s">
        <v>かんなん丸</v>
        <stp/>
        <stp>Market</stp>
        <stp>STOCK</stp>
        <stp>75850.T</stp>
        <stp>銘柄名称</stp>
        <tr r="B906" s="7"/>
      </tp>
      <tp t="s">
        <v>表示銘柄数超過</v>
        <stp/>
        <stp>Market</stp>
        <stp>STOCK</stp>
        <stp>45820.T</stp>
        <stp>銘柄名称</stp>
        <tr r="B497" s="7"/>
      </tp>
      <tp t="s">
        <v>表示銘柄数超過</v>
        <stp/>
        <stp>Market</stp>
        <stp>STOCK</stp>
        <stp>45830.T</stp>
        <stp>銘柄名称</stp>
        <tr r="B498" s="7"/>
      </tp>
      <tp t="s">
        <v>表示銘柄数超過</v>
        <stp/>
        <stp>Market</stp>
        <stp>STOCK</stp>
        <stp>35800.T</stp>
        <stp>銘柄名称</stp>
        <tr r="B310" s="7"/>
      </tp>
      <tp t="s">
        <v>ライトアップ</v>
        <stp/>
        <stp>Market</stp>
        <stp>STOCK</stp>
        <stp>65800.T</stp>
        <stp>銘柄名称</stp>
        <tr r="B732" s="7"/>
      </tp>
      <tp t="s">
        <v>表示銘柄数超過</v>
        <stp/>
        <stp>Market</stp>
        <stp>STOCK</stp>
        <stp>45880.T</stp>
        <stp>銘柄名称</stp>
        <tr r="B501" s="7"/>
      </tp>
      <tp t="s">
        <v>東芝テック</v>
        <stp/>
        <stp>Market</stp>
        <stp>STOCK</stp>
        <stp>65880.T</stp>
        <stp>銘柄名称</stp>
        <tr r="B734" s="7"/>
      </tp>
      <tp t="s">
        <v>表示銘柄数超過</v>
        <stp/>
        <stp>Market</stp>
        <stp>STOCK</stp>
        <stp>25160.T</stp>
        <stp>銘柄名称</stp>
        <tr r="B158" s="7"/>
      </tp>
      <tp t="s">
        <v>コーナン商事</v>
        <stp/>
        <stp>Market</stp>
        <stp>STOCK</stp>
        <stp>75160.T</stp>
        <stp>銘柄名称</stp>
        <tr r="B899" s="7"/>
      </tp>
      <tp t="s">
        <v>表示銘柄数超過</v>
        <stp/>
        <stp>Market</stp>
        <stp>STOCK</stp>
        <stp>95140.T</stp>
        <stp>銘柄名称</stp>
        <tr r="B1150" s="7"/>
      </tp>
      <tp t="s">
        <v>表示銘柄数超過</v>
        <stp/>
        <stp>Market</stp>
        <stp>STOCK</stp>
        <stp>15140.T</stp>
        <stp>銘柄名称</stp>
        <tr r="B30" s="7"/>
      </tp>
      <tp t="s">
        <v>ヒマラヤ</v>
        <stp/>
        <stp>Market</stp>
        <stp>STOCK</stp>
        <stp>75140.T</stp>
        <stp>銘柄名称</stp>
        <tr r="B898" s="7"/>
      </tp>
      <tp t="s">
        <v>アイフル</v>
        <stp/>
        <stp>Market</stp>
        <stp>STOCK</stp>
        <stp>85150.T</stp>
        <stp>銘柄名称</stp>
        <tr r="B1016" s="7"/>
      </tp>
      <tp t="s">
        <v>イオン北海道</v>
        <stp/>
        <stp>Market</stp>
        <stp>STOCK</stp>
        <stp>75120.T</stp>
        <stp>銘柄名称</stp>
        <tr r="B896" s="7"/>
      </tp>
      <tp t="s">
        <v>オリジン</v>
        <stp/>
        <stp>Market</stp>
        <stp>STOCK</stp>
        <stp>65130.T</stp>
        <stp>銘柄名称</stp>
        <tr r="B718" s="7"/>
      </tp>
      <tp t="s">
        <v>コジマ</v>
        <stp/>
        <stp>Market</stp>
        <stp>STOCK</stp>
        <stp>75130.T</stp>
        <stp>銘柄名称</stp>
        <tr r="B897" s="7"/>
      </tp>
      <tp t="s">
        <v>表示銘柄数超過</v>
        <stp/>
        <stp>Market</stp>
        <stp>STOCK</stp>
        <stp>25100.T</stp>
        <stp>銘柄名称</stp>
        <tr r="B157" s="7"/>
      </tp>
      <tp t="s">
        <v>日本証券金融</v>
        <stp/>
        <stp>Market</stp>
        <stp>STOCK</stp>
        <stp>85110.T</stp>
        <stp>銘柄名称</stp>
        <tr r="B1015" s="7"/>
      </tp>
      <tp t="s">
        <v>表示銘柄数超過</v>
        <stp/>
        <stp>Market</stp>
        <stp>STOCK</stp>
        <stp>95110.T</stp>
        <stp>銘柄名称</stp>
        <tr r="B1149" s="7"/>
      </tp>
      <tp t="s">
        <v>日本アジア投資</v>
        <stp/>
        <stp>Market</stp>
        <stp>STOCK</stp>
        <stp>85180.T</stp>
        <stp>銘柄名称</stp>
        <tr r="B1017" s="7"/>
      </tp>
      <tp t="s">
        <v>表示銘柄数超過</v>
        <stp/>
        <stp>Market</stp>
        <stp>STOCK</stp>
        <stp>25180.T</stp>
        <stp>銘柄名称</stp>
        <tr r="B159" s="7"/>
      </tp>
      <tp t="s">
        <v>表示銘柄数超過</v>
        <stp/>
        <stp>Market</stp>
        <stp>STOCK</stp>
        <stp>95190.T</stp>
        <stp>銘柄名称</stp>
        <tr r="B1151" s="7"/>
      </tp>
      <tp t="s">
        <v>表示銘柄数超過</v>
        <stp/>
        <stp>Market</stp>
        <stp>STOCK</stp>
        <stp>95060.T</stp>
        <stp>銘柄名称</stp>
        <tr r="B1145" s="7"/>
      </tp>
      <tp t="s">
        <v>住友ファーマ</v>
        <stp/>
        <stp>Market</stp>
        <stp>STOCK</stp>
        <stp>45060.T</stp>
        <stp>銘柄名称</stp>
        <tr r="B480" s="7"/>
      </tp>
      <tp t="s">
        <v>表示銘柄数超過</v>
        <stp/>
        <stp>Market</stp>
        <stp>STOCK</stp>
        <stp>95070.T</stp>
        <stp>銘柄名称</stp>
        <tr r="B1146" s="7"/>
      </tp>
      <tp t="s">
        <v>表示銘柄数超過</v>
        <stp/>
        <stp>Market</stp>
        <stp>STOCK</stp>
        <stp>45070.T</stp>
        <stp>銘柄名称</stp>
        <tr r="B481" s="7"/>
      </tp>
      <tp t="s">
        <v>シンフォニアテクノロジー</v>
        <stp/>
        <stp>Market</stp>
        <stp>STOCK</stp>
        <stp>65070.T</stp>
        <stp>銘柄名称</stp>
        <tr r="B717" s="7"/>
      </tp>
      <tp t="s">
        <v>表示銘柄数超過</v>
        <stp/>
        <stp>Market</stp>
        <stp>STOCK</stp>
        <stp>95040.T</stp>
        <stp>銘柄名称</stp>
        <tr r="B1143" s="7"/>
      </tp>
      <tp t="s">
        <v>富士電機</v>
        <stp/>
        <stp>Market</stp>
        <stp>STOCK</stp>
        <stp>65040.T</stp>
        <stp>銘柄名称</stp>
        <tr r="B716" s="7"/>
      </tp>
      <tp t="s">
        <v>表示銘柄数超過</v>
        <stp/>
        <stp>Market</stp>
        <stp>STOCK</stp>
        <stp>95050.T</stp>
        <stp>銘柄名称</stp>
        <tr r="B1144" s="7"/>
      </tp>
      <tp t="s">
        <v>扶桑電通</v>
        <stp/>
        <stp>Market</stp>
        <stp>STOCK</stp>
        <stp>75050.T</stp>
        <stp>銘柄名称</stp>
        <tr r="B895" s="7"/>
      </tp>
      <tp t="s">
        <v>表示銘柄数超過</v>
        <stp/>
        <stp>Market</stp>
        <stp>STOCK</stp>
        <stp>95020.T</stp>
        <stp>銘柄名称</stp>
        <tr r="B1141" s="7"/>
      </tp>
      <tp t="s">
        <v/>
        <stp/>
        <stp>Market</stp>
        <stp>STOCK</stp>
        <stp>65020.T</stp>
        <stp>銘柄名称</stp>
        <tr r="B714" s="7"/>
      </tp>
      <tp t="s">
        <v>表示銘柄数超過</v>
        <stp/>
        <stp>Market</stp>
        <stp>STOCK</stp>
        <stp>95030.T</stp>
        <stp>銘柄名称</stp>
        <tr r="B1142" s="7"/>
      </tp>
      <tp t="s">
        <v>表示銘柄数超過</v>
        <stp/>
        <stp>Market</stp>
        <stp>STOCK</stp>
        <stp>45030.T</stp>
        <stp>銘柄名称</stp>
        <tr r="B479" s="7"/>
      </tp>
      <tp t="s">
        <v>三菱電機</v>
        <stp/>
        <stp>Market</stp>
        <stp>STOCK</stp>
        <stp>65030.T</stp>
        <stp>銘柄名称</stp>
        <tr r="B715" s="7"/>
      </tp>
      <tp t="s">
        <v>表示銘柄数超過</v>
        <stp/>
        <stp>Market</stp>
        <stp>STOCK</stp>
        <stp>95010.T</stp>
        <stp>銘柄名称</stp>
        <tr r="B1140" s="7"/>
      </tp>
      <tp t="s">
        <v>表示銘柄数超過</v>
        <stp/>
        <stp>Market</stp>
        <stp>STOCK</stp>
        <stp>25010.T</stp>
        <stp>銘柄名称</stp>
        <tr r="B156" s="7"/>
      </tp>
      <tp t="s">
        <v>日立</v>
        <stp/>
        <stp>Market</stp>
        <stp>STOCK</stp>
        <stp>65010.T</stp>
        <stp>銘柄名称</stp>
        <tr r="B713" s="7"/>
      </tp>
      <tp t="s">
        <v>Ｊトラスト</v>
        <stp/>
        <stp>Market</stp>
        <stp>STOCK</stp>
        <stp>85080.T</stp>
        <stp>銘柄名称</stp>
        <tr r="B1014" s="7"/>
      </tp>
      <tp t="s">
        <v>表示銘柄数超過</v>
        <stp/>
        <stp>Market</stp>
        <stp>STOCK</stp>
        <stp>95080.T</stp>
        <stp>銘柄名称</stp>
        <tr r="B1147" s="7"/>
      </tp>
      <tp t="s">
        <v>表示銘柄数超過</v>
        <stp/>
        <stp>Market</stp>
        <stp>STOCK</stp>
        <stp>95090.T</stp>
        <stp>銘柄名称</stp>
        <tr r="B1148" s="7"/>
      </tp>
      <tp t="s">
        <v>表示銘柄数超過</v>
        <stp/>
        <stp>Market</stp>
        <stp>STOCK</stp>
        <stp>35360.T</stp>
        <stp>銘柄名称</stp>
        <tr r="B304" s="7"/>
      </tp>
      <tp t="s">
        <v>ＷＡＳＨハウス</v>
        <stp/>
        <stp>Market</stp>
        <stp>STOCK</stp>
        <stp>65370.T</stp>
        <stp>銘柄名称</stp>
        <tr r="B720" s="7"/>
      </tp>
      <tp t="s">
        <v>表示銘柄数超過</v>
        <stp/>
        <stp>Market</stp>
        <stp>STOCK</stp>
        <stp>95320.T</stp>
        <stp>銘柄名称</stp>
        <tr r="B1154" s="7"/>
      </tp>
      <tp t="s">
        <v>表示銘柄数超過</v>
        <stp/>
        <stp>Market</stp>
        <stp>STOCK</stp>
        <stp>25330.T</stp>
        <stp>銘柄名称</stp>
        <tr r="B160" s="7"/>
      </tp>
      <tp t="s">
        <v>表示銘柄数超過</v>
        <stp/>
        <stp>Market</stp>
        <stp>STOCK</stp>
        <stp>95310.T</stp>
        <stp>銘柄名称</stp>
        <tr r="B1153" s="7"/>
      </tp>
      <tp t="s">
        <v>表示銘柄数超過</v>
        <stp/>
        <stp>Market</stp>
        <stp>STOCK</stp>
        <stp>45310.T</stp>
        <stp>銘柄名称</stp>
        <tr r="B483" s="7"/>
      </tp>
      <tp t="s">
        <v>大水</v>
        <stp/>
        <stp>Market</stp>
        <stp>STOCK</stp>
        <stp>75380.T</stp>
        <stp>銘柄名称</stp>
        <tr r="B902" s="7"/>
      </tp>
      <tp t="s">
        <v>システムソフト</v>
        <stp/>
        <stp>Market</stp>
        <stp>STOCK</stp>
        <stp>75270.T</stp>
        <stp>銘柄名称</stp>
        <tr r="B901" s="7"/>
      </tp>
      <tp t="s">
        <v>北洋銀行</v>
        <stp/>
        <stp>Market</stp>
        <stp>STOCK</stp>
        <stp>85240.T</stp>
        <stp>銘柄名称</stp>
        <tr r="B1018" s="7"/>
      </tp>
      <tp t="s">
        <v>表示銘柄数超過</v>
        <stp/>
        <stp>Market</stp>
        <stp>STOCK</stp>
        <stp>95220.T</stp>
        <stp>銘柄名称</stp>
        <tr r="B1152" s="7"/>
      </tp>
      <tp t="s">
        <v>アスタリスク</v>
        <stp/>
        <stp>Market</stp>
        <stp>STOCK</stp>
        <stp>65220.T</stp>
        <stp>銘柄名称</stp>
        <tr r="B719" s="7"/>
      </tp>
      <tp t="s">
        <v>表示銘柄数超過</v>
        <stp/>
        <stp>Market</stp>
        <stp>STOCK</stp>
        <stp>45230.T</stp>
        <stp>銘柄名称</stp>
        <tr r="B482" s="7"/>
      </tp>
      <tp t="s">
        <v>アールビバン</v>
        <stp/>
        <stp>Market</stp>
        <stp>STOCK</stp>
        <stp>75230.T</stp>
        <stp>銘柄名称</stp>
        <tr r="B900" s="7"/>
      </tp>
      <tp t="s">
        <v>表示銘柄数超過</v>
        <stp/>
        <stp>Market</stp>
        <stp>STOCK</stp>
        <stp>35210.T</stp>
        <stp>銘柄名称</stp>
        <tr r="B303" s="7"/>
      </tp>
      <tp t="s">
        <v>ウェルビー</v>
        <stp/>
        <stp>Market</stp>
        <stp>STOCK</stp>
        <stp>65560.T</stp>
        <stp>銘柄名称</stp>
        <tr r="B727" s="7"/>
      </tp>
      <tp t="s">
        <v>表示銘柄数超過</v>
        <stp/>
        <stp>Market</stp>
        <stp>STOCK</stp>
        <stp>95570.T</stp>
        <stp>銘柄名称</stp>
        <tr r="B1156" s="7"/>
      </tp>
      <tp t="s">
        <v>ＡＩＡＩグループ</v>
        <stp/>
        <stp>Market</stp>
        <stp>STOCK</stp>
        <stp>65570.T</stp>
        <stp>銘柄名称</stp>
        <tr r="B728" s="7"/>
      </tp>
      <tp t="s">
        <v>表示銘柄数超過</v>
        <stp/>
        <stp>Market</stp>
        <stp>STOCK</stp>
        <stp>45540.T</stp>
        <stp>銘柄名称</stp>
        <tr r="B484" s="7"/>
      </tp>
      <tp t="s">
        <v>エスユーエス</v>
        <stp/>
        <stp>Market</stp>
        <stp>STOCK</stp>
        <stp>65540.T</stp>
        <stp>銘柄名称</stp>
        <tr r="B725" s="7"/>
      </tp>
      <tp t="s">
        <v>ＭＳ＆ＣＯＮＳＵＬＴＩＮＧ</v>
        <stp/>
        <stp>Market</stp>
        <stp>STOCK</stp>
        <stp>65550.T</stp>
        <stp>銘柄名称</stp>
        <tr r="B726" s="7"/>
      </tp>
      <tp t="s">
        <v>表示銘柄数超過</v>
        <stp/>
        <stp>Market</stp>
        <stp>STOCK</stp>
        <stp>15520.T</stp>
        <stp>銘柄名称</stp>
        <tr r="B32" s="7"/>
      </tp>
      <tp t="s">
        <v>ＧＡＭＥＷＩＴＨ</v>
        <stp/>
        <stp>Market</stp>
        <stp>STOCK</stp>
        <stp>65520.T</stp>
        <stp>銘柄名称</stp>
        <tr r="B724" s="7"/>
      </tp>
      <tp t="s">
        <v>表示銘柄数超過</v>
        <stp/>
        <stp>Market</stp>
        <stp>STOCK</stp>
        <stp>95530.T</stp>
        <stp>銘柄名称</stp>
        <tr r="B1155" s="7"/>
      </tp>
      <tp t="s">
        <v>表示銘柄数超過</v>
        <stp/>
        <stp>Market</stp>
        <stp>STOCK</stp>
        <stp>35530.T</stp>
        <stp>銘柄名称</stp>
        <tr r="B308" s="7"/>
      </tp>
      <tp t="s">
        <v>Ｕｎｉｐｏｓ</v>
        <stp/>
        <stp>Market</stp>
        <stp>STOCK</stp>
        <stp>65500.T</stp>
        <stp>銘柄名称</stp>
        <tr r="B723" s="7"/>
      </tp>
      <tp t="s">
        <v>表示銘柄数超過</v>
        <stp/>
        <stp>Market</stp>
        <stp>STOCK</stp>
        <stp>15510.T</stp>
        <stp>銘柄名称</stp>
        <tr r="B31" s="7"/>
      </tp>
      <tp t="s">
        <v>表示銘柄数超過</v>
        <stp/>
        <stp>Market</stp>
        <stp>STOCK</stp>
        <stp>35510.T</stp>
        <stp>銘柄名称</stp>
        <tr r="B307" s="7"/>
      </tp>
      <tp t="s">
        <v>表示銘柄数超過</v>
        <stp/>
        <stp>Market</stp>
        <stp>STOCK</stp>
        <stp>45580.T</stp>
        <stp>銘柄名称</stp>
        <tr r="B485" s="7"/>
      </tp>
      <tp t="s">
        <v>スリーエフ</v>
        <stp/>
        <stp>Market</stp>
        <stp>STOCK</stp>
        <stp>75440.T</stp>
        <stp>銘柄名称</stp>
        <tr r="B903" s="7"/>
      </tp>
      <tp t="s">
        <v>インターネットインフィニティー</v>
        <stp/>
        <stp>Market</stp>
        <stp>STOCK</stp>
        <stp>65450.T</stp>
        <stp>銘柄名称</stp>
        <tr r="B722" s="7"/>
      </tp>
      <tp t="s">
        <v>表示銘柄数超過</v>
        <stp/>
        <stp>Market</stp>
        <stp>STOCK</stp>
        <stp>35430.T</stp>
        <stp>銘柄名称</stp>
        <tr r="B306" s="7"/>
      </tp>
      <tp t="s">
        <v>日宣</v>
        <stp/>
        <stp>Market</stp>
        <stp>STOCK</stp>
        <stp>65430.T</stp>
        <stp>銘柄名称</stp>
        <tr r="B721" s="7"/>
      </tp>
      <tp t="s">
        <v>表示銘柄数超過</v>
        <stp/>
        <stp>Market</stp>
        <stp>STOCK</stp>
        <stp>35410.T</stp>
        <stp>銘柄名称</stp>
        <tr r="B305" s="7"/>
      </tp>
      <tp t="s">
        <v>表示銘柄数超過</v>
        <stp/>
        <stp>Market</stp>
        <stp>STOCK</stp>
        <stp>45760.T</stp>
        <stp>銘柄名称</stp>
        <tr r="B495" s="7"/>
      </tp>
      <tp t="s">
        <v>表示銘柄数超過</v>
        <stp/>
        <stp>Market</stp>
        <stp>STOCK</stp>
        <stp>45740.T</stp>
        <stp>銘柄名称</stp>
        <tr r="B493" s="7"/>
      </tp>
      <tp t="s">
        <v>コンヴァノ</v>
        <stp/>
        <stp>Market</stp>
        <stp>STOCK</stp>
        <stp>65740.T</stp>
        <stp>銘柄名称</stp>
        <tr r="B730" s="7"/>
      </tp>
      <tp t="s">
        <v>表示銘柄数超過</v>
        <stp/>
        <stp>Market</stp>
        <stp>STOCK</stp>
        <stp>45750.T</stp>
        <stp>銘柄名称</stp>
        <tr r="B494" s="7"/>
      </tp>
      <tp t="s">
        <v>アコム</v>
        <stp/>
        <stp>Market</stp>
        <stp>STOCK</stp>
        <stp>85720.T</stp>
        <stp>銘柄名称</stp>
        <tr r="B1021" s="7"/>
      </tp>
      <tp t="s">
        <v>表示銘柄数超過</v>
        <stp/>
        <stp>Market</stp>
        <stp>STOCK</stp>
        <stp>15720.T</stp>
        <stp>銘柄名称</stp>
        <tr r="B35" s="7"/>
      </tp>
      <tp t="s">
        <v>表示銘柄数超過</v>
        <stp/>
        <stp>Market</stp>
        <stp>STOCK</stp>
        <stp>45720.T</stp>
        <stp>銘柄名称</stp>
        <tr r="B492" s="7"/>
      </tp>
      <tp t="s">
        <v>アジャイルメディア・ネット</v>
        <stp/>
        <stp>Market</stp>
        <stp>STOCK</stp>
        <stp>65730.T</stp>
        <stp>銘柄名称</stp>
        <tr r="B729" s="7"/>
      </tp>
      <tp t="s">
        <v>イオンフィナンシャルサービス</v>
        <stp/>
        <stp>Market</stp>
        <stp>STOCK</stp>
        <stp>85700.T</stp>
        <stp>銘柄名称</stp>
        <tr r="B1020" s="7"/>
      </tp>
      <tp t="s">
        <v>表示銘柄数超過</v>
        <stp/>
        <stp>Market</stp>
        <stp>STOCK</stp>
        <stp>45700.T</stp>
        <stp>銘柄名称</stp>
        <tr r="B490" s="7"/>
      </tp>
      <tp t="s">
        <v>表示銘柄数超過</v>
        <stp/>
        <stp>Market</stp>
        <stp>STOCK</stp>
        <stp>15710.T</stp>
        <stp>銘柄名称</stp>
        <tr r="B34" s="7"/>
      </tp>
      <tp t="s">
        <v>表示銘柄数超過</v>
        <stp/>
        <stp>Market</stp>
        <stp>STOCK</stp>
        <stp>45710.T</stp>
        <stp>銘柄名称</stp>
        <tr r="B491" s="7"/>
      </tp>
      <tp t="s">
        <v>表示銘柄数超過</v>
        <stp/>
        <stp>Market</stp>
        <stp>STOCK</stp>
        <stp>15780.T</stp>
        <stp>銘柄名称</stp>
        <tr r="B36" s="7"/>
      </tp>
      <tp t="s">
        <v>表示銘柄数超過</v>
        <stp/>
        <stp>Market</stp>
        <stp>STOCK</stp>
        <stp>45780.T</stp>
        <stp>銘柄名称</stp>
        <tr r="B496" s="7"/>
      </tp>
      <tp t="s">
        <v>エヌリンクス</v>
        <stp/>
        <stp>Market</stp>
        <stp>STOCK</stp>
        <stp>65780.T</stp>
        <stp>銘柄名称</stp>
        <tr r="B731" s="7"/>
      </tp>
      <tp t="s">
        <v>ニチリョク</v>
        <stp/>
        <stp>Market</stp>
        <stp>STOCK</stp>
        <stp>75780.T</stp>
        <stp>銘柄名称</stp>
        <tr r="B905" s="7"/>
      </tp>
      <tp t="s">
        <v>表示銘柄数超過</v>
        <stp/>
        <stp>Market</stp>
        <stp>STOCK</stp>
        <stp>25790.T</stp>
        <stp>銘柄名称</stp>
        <tr r="B163" s="7"/>
      </tp>
      <tp t="s">
        <v>表示銘柄数超過</v>
        <stp/>
        <stp>Market</stp>
        <stp>STOCK</stp>
        <stp>25670.T</stp>
        <stp>銘柄名称</stp>
        <tr r="B162" s="7"/>
      </tp>
      <tp t="s">
        <v>栄電子</v>
        <stp/>
        <stp>Market</stp>
        <stp>STOCK</stp>
        <stp>75670.T</stp>
        <stp>銘柄名称</stp>
        <tr r="B904" s="7"/>
      </tp>
      <tp t="s">
        <v>表示銘柄数超過</v>
        <stp/>
        <stp>Market</stp>
        <stp>STOCK</stp>
        <stp>45640.T</stp>
        <stp>銘柄名称</stp>
        <tr r="B487" s="7"/>
      </tp>
      <tp t="s">
        <v>表示銘柄数超過</v>
        <stp/>
        <stp>Market</stp>
        <stp>STOCK</stp>
        <stp>45650.T</stp>
        <stp>銘柄名称</stp>
        <tr r="B488" s="7"/>
      </tp>
      <tp t="s">
        <v>福島銀行</v>
        <stp/>
        <stp>Market</stp>
        <stp>STOCK</stp>
        <stp>85620.T</stp>
        <stp>銘柄名称</stp>
        <tr r="B1019" s="7"/>
      </tp>
      <tp t="s">
        <v>表示銘柄数超過</v>
        <stp/>
        <stp>Market</stp>
        <stp>STOCK</stp>
        <stp>15630.T</stp>
        <stp>銘柄名称</stp>
        <tr r="B33" s="7"/>
      </tp>
      <tp t="s">
        <v>表示銘柄数超過</v>
        <stp/>
        <stp>Market</stp>
        <stp>STOCK</stp>
        <stp>25630.T</stp>
        <stp>銘柄名称</stp>
        <tr r="B161" s="7"/>
      </tp>
      <tp t="s">
        <v>表示銘柄数超過</v>
        <stp/>
        <stp>Market</stp>
        <stp>STOCK</stp>
        <stp>45630.T</stp>
        <stp>銘柄名称</stp>
        <tr r="B486" s="7"/>
      </tp>
      <tp t="s">
        <v>新日本電工</v>
        <stp/>
        <stp>Market</stp>
        <stp>STOCK</stp>
        <stp>55630.T</stp>
        <stp>銘柄名称</stp>
        <tr r="B599" s="7"/>
      </tp>
      <tp t="s">
        <v>表示銘柄数超過</v>
        <stp/>
        <stp>Market</stp>
        <stp>STOCK</stp>
        <stp>95600.T</stp>
        <stp>銘柄名称</stp>
        <tr r="B1157" s="7"/>
      </tp>
      <tp t="s">
        <v>表示銘柄数超過</v>
        <stp/>
        <stp>Market</stp>
        <stp>STOCK</stp>
        <stp>35610.T</stp>
        <stp>銘柄名称</stp>
        <tr r="B309" s="7"/>
      </tp>
      <tp t="s">
        <v>表示銘柄数超過</v>
        <stp/>
        <stp>Market</stp>
        <stp>STOCK</stp>
        <stp>45680.T</stp>
        <stp>銘柄名称</stp>
        <tr r="B489" s="7"/>
      </tp>
    </main>
    <main first="rtdsrv.662c26bade854d00aebc6010f8a2e03a">
      <tp t="s">
        <v>15:00:00</v>
        <stp/>
        <stp>Market</stp>
        <stp>STOCK</stp>
        <stp>46890.T</stp>
        <stp>現在値詳細時刻</stp>
        <tr r="D520" s="7"/>
      </tp>
      <tp t="s">
        <v>表示銘柄数超過</v>
        <stp/>
        <stp>Market</stp>
        <stp>STOCK</stp>
        <stp>46800.T</stp>
        <stp>現在値詳細時刻</stp>
        <tr r="D519" s="7"/>
      </tp>
      <tp t="s">
        <v>表示銘柄数超過</v>
        <stp/>
        <stp>Market</stp>
        <stp>STOCK</stp>
        <stp>46900.T</stp>
        <stp>現在値詳細時刻</stp>
        <tr r="D521" s="7"/>
      </tp>
      <tp t="s">
        <v>表示銘柄数超過</v>
        <stp/>
        <stp>Market</stp>
        <stp>STOCK</stp>
        <stp>46190.T</stp>
        <stp>現在値詳細時刻</stp>
        <tr r="D511" s="7"/>
      </tp>
      <tp t="s">
        <v>表示銘柄数超過</v>
        <stp/>
        <stp>Market</stp>
        <stp>STOCK</stp>
        <stp>46120.T</stp>
        <stp>現在値詳細時刻</stp>
        <tr r="D509" s="7"/>
      </tp>
      <tp t="s">
        <v>表示銘柄数超過</v>
        <stp/>
        <stp>Market</stp>
        <stp>STOCK</stp>
        <stp>46130.T</stp>
        <stp>現在値詳細時刻</stp>
        <tr r="D510" s="7"/>
      </tp>
      <tp t="s">
        <v>表示銘柄数超過</v>
        <stp/>
        <stp>Market</stp>
        <stp>STOCK</stp>
        <stp>46110.T</stp>
        <stp>現在値詳細時刻</stp>
        <tr r="D508" s="7"/>
      </tp>
      <tp t="s">
        <v>表示銘柄数超過</v>
        <stp/>
        <stp>Market</stp>
        <stp>STOCK</stp>
        <stp>46200.T</stp>
        <stp>現在値詳細時刻</stp>
        <tr r="D512" s="7"/>
      </tp>
      <tp t="s">
        <v>表示銘柄数超過</v>
        <stp/>
        <stp>Market</stp>
        <stp>STOCK</stp>
        <stp>46310.T</stp>
        <stp>現在値詳細時刻</stp>
        <tr r="D470" s="7"/>
      </tp>
      <tp t="s">
        <v>表示銘柄数超過</v>
        <stp/>
        <stp>Market</stp>
        <stp>STOCK</stp>
        <stp>46510.T</stp>
        <stp>現在値詳細時刻</stp>
        <tr r="D513" s="7"/>
      </tp>
      <tp t="s">
        <v>表示銘柄数超過</v>
        <stp/>
        <stp>Market</stp>
        <stp>STOCK</stp>
        <stp>46570.T</stp>
        <stp>現在値詳細時刻</stp>
        <tr r="D514" s="7"/>
      </tp>
      <tp t="s">
        <v>表示銘柄数超過</v>
        <stp/>
        <stp>Market</stp>
        <stp>STOCK</stp>
        <stp>46670.T</stp>
        <stp>現在値詳細時刻</stp>
        <tr r="D516" s="7"/>
        <tr r="D517" s="7"/>
      </tp>
      <tp t="s">
        <v>表示銘柄数超過</v>
        <stp/>
        <stp>Market</stp>
        <stp>STOCK</stp>
        <stp>46640.T</stp>
        <stp>現在値詳細時刻</stp>
        <tr r="D515" s="7"/>
      </tp>
      <tp t="s">
        <v>表示銘柄数超過</v>
        <stp/>
        <stp>Market</stp>
        <stp>STOCK</stp>
        <stp>46760.T</stp>
        <stp>現在値詳細時刻</stp>
        <tr r="D518" s="7"/>
      </tp>
      <tp t="s">
        <v>表示銘柄数超過</v>
        <stp/>
        <stp>Market</stp>
        <stp>STOCK</stp>
        <stp>47840.T</stp>
        <stp>現在値詳細時刻</stp>
        <tr r="D535" s="7"/>
      </tp>
      <tp t="s">
        <v>表示銘柄数超過</v>
        <stp/>
        <stp>Market</stp>
        <stp>STOCK</stp>
        <stp>47070.T</stp>
        <stp>現在値詳細時刻</stp>
        <tr r="D523" s="7"/>
      </tp>
      <tp t="s">
        <v>表示銘柄数超過</v>
        <stp/>
        <stp>Market</stp>
        <stp>STOCK</stp>
        <stp>47050.T</stp>
        <stp>現在値詳細時刻</stp>
        <tr r="D522" s="7"/>
      </tp>
      <tp t="s">
        <v>表示銘柄数超過</v>
        <stp/>
        <stp>Market</stp>
        <stp>STOCK</stp>
        <stp>47160.T</stp>
        <stp>現在値詳細時刻</stp>
        <tr r="D525" s="7"/>
      </tp>
      <tp t="s">
        <v>表示銘柄数超過</v>
        <stp/>
        <stp>Market</stp>
        <stp>STOCK</stp>
        <stp>47140.T</stp>
        <stp>現在値詳細時刻</stp>
        <tr r="D524" s="7"/>
      </tp>
      <tp t="s">
        <v>表示銘柄数超過</v>
        <stp/>
        <stp>Market</stp>
        <stp>STOCK</stp>
        <stp>47200.T</stp>
        <stp>現在値詳細時刻</stp>
        <tr r="D526" s="7"/>
      </tp>
      <tp t="s">
        <v>表示銘柄数超過</v>
        <stp/>
        <stp>Market</stp>
        <stp>STOCK</stp>
        <stp>47260.T</stp>
        <stp>現在値詳細時刻</stp>
        <tr r="D527" s="7"/>
      </tp>
      <tp t="s">
        <v>表示銘柄数超過</v>
        <stp/>
        <stp>Market</stp>
        <stp>STOCK</stp>
        <stp>47510.T</stp>
        <stp>現在値詳細時刻</stp>
        <tr r="D528" s="7"/>
      </tp>
      <tp t="s">
        <v>表示銘柄数超過</v>
        <stp/>
        <stp>Market</stp>
        <stp>STOCK</stp>
        <stp>47550.T</stp>
        <stp>現在値詳細時刻</stp>
        <tr r="D529" s="7"/>
      </tp>
      <tp t="s">
        <v>表示銘柄数超過</v>
        <stp/>
        <stp>Market</stp>
        <stp>STOCK</stp>
        <stp>47660.T</stp>
        <stp>現在値詳細時刻</stp>
        <tr r="D530" s="7"/>
      </tp>
      <tp t="s">
        <v>表示銘柄数超過</v>
        <stp/>
        <stp>Market</stp>
        <stp>STOCK</stp>
        <stp>47670.T</stp>
        <stp>現在値詳細時刻</stp>
        <tr r="D531" s="7"/>
      </tp>
      <tp t="s">
        <v>表示銘柄数超過</v>
        <stp/>
        <stp>Market</stp>
        <stp>STOCK</stp>
        <stp>47700.T</stp>
        <stp>現在値詳細時刻</stp>
        <tr r="D532" s="7"/>
      </tp>
      <tp t="s">
        <v>表示銘柄数超過</v>
        <stp/>
        <stp>Market</stp>
        <stp>STOCK</stp>
        <stp>47760.T</stp>
        <stp>現在値詳細時刻</stp>
        <tr r="D533" s="7"/>
      </tp>
      <tp t="s">
        <v>表示銘柄数超過</v>
        <stp/>
        <stp>Market</stp>
        <stp>STOCK</stp>
        <stp>47770.T</stp>
        <stp>現在値詳細時刻</stp>
        <tr r="D534" s="7"/>
      </tp>
      <tp t="s">
        <v>表示銘柄数超過</v>
        <stp/>
        <stp>Market</stp>
        <stp>STOCK</stp>
        <stp>44870.T</stp>
        <stp>現在値詳細時刻</stp>
        <tr r="D476" s="7"/>
      </tp>
      <tp t="s">
        <v>表示銘柄数超過</v>
        <stp/>
        <stp>Market</stp>
        <stp>STOCK</stp>
        <stp>44840.T</stp>
        <stp>現在値詳細時刻</stp>
        <tr r="D475" s="7"/>
      </tp>
      <tp t="s">
        <v>表示銘柄数超過</v>
        <stp/>
        <stp>Market</stp>
        <stp>STOCK</stp>
        <stp>44920.T</stp>
        <stp>現在値詳細時刻</stp>
        <tr r="D477" s="7"/>
      </tp>
      <tp t="s">
        <v>表示銘柄数超過</v>
        <stp/>
        <stp>Market</stp>
        <stp>STOCK</stp>
        <stp>44950.T</stp>
        <stp>現在値詳細時刻</stp>
        <tr r="D478" s="7"/>
      </tp>
      <tp t="s">
        <v>表示銘柄数超過</v>
        <stp/>
        <stp>Market</stp>
        <stp>STOCK</stp>
        <stp>44060.T</stp>
        <stp>現在値詳細時刻</stp>
        <tr r="D459" s="7"/>
      </tp>
      <tp t="s">
        <v>表示銘柄数超過</v>
        <stp/>
        <stp>Market</stp>
        <stp>STOCK</stp>
        <stp>44190.T</stp>
        <stp>現在値詳細時刻</stp>
        <tr r="D462" s="7"/>
      </tp>
      <tp t="s">
        <v>表示銘柄数超過</v>
        <stp/>
        <stp>Market</stp>
        <stp>STOCK</stp>
        <stp>44160.T</stp>
        <stp>現在値詳細時刻</stp>
        <tr r="D461" s="7"/>
      </tp>
      <tp t="s">
        <v>表示銘柄数超過</v>
        <stp/>
        <stp>Market</stp>
        <stp>STOCK</stp>
        <stp>44140.T</stp>
        <stp>現在値詳細時刻</stp>
        <tr r="D460" s="7"/>
      </tp>
      <tp t="s">
        <v>表示銘柄数超過</v>
        <stp/>
        <stp>Market</stp>
        <stp>STOCK</stp>
        <stp>44270.T</stp>
        <stp>現在値詳細時刻</stp>
        <tr r="D463" s="7"/>
      </tp>
      <tp t="s">
        <v>表示銘柄数超過</v>
        <stp/>
        <stp>Market</stp>
        <stp>STOCK</stp>
        <stp>44380.T</stp>
        <stp>現在値詳細時刻</stp>
        <tr r="D465" s="7"/>
      </tp>
      <tp t="s">
        <v>表示銘柄数超過</v>
        <stp/>
        <stp>Market</stp>
        <stp>STOCK</stp>
        <stp>44360.T</stp>
        <stp>現在値詳細時刻</stp>
        <tr r="D464" s="7"/>
      </tp>
      <tp t="s">
        <v>表示銘柄数超過</v>
        <stp/>
        <stp>Market</stp>
        <stp>STOCK</stp>
        <stp>44480.T</stp>
        <stp>現在値詳細時刻</stp>
        <tr r="D468" s="7"/>
      </tp>
      <tp t="s">
        <v>表示銘柄数超過</v>
        <stp/>
        <stp>Market</stp>
        <stp>STOCK</stp>
        <stp>44410.T</stp>
        <stp>現在値詳細時刻</stp>
        <tr r="D466" s="7"/>
      </tp>
      <tp t="s">
        <v>表示銘柄数超過</v>
        <stp/>
        <stp>Market</stp>
        <stp>STOCK</stp>
        <stp>44440.T</stp>
        <stp>現在値詳細時刻</stp>
        <tr r="D467" s="7"/>
      </tp>
      <tp t="s">
        <v>表示銘柄数超過</v>
        <stp/>
        <stp>Market</stp>
        <stp>STOCK</stp>
        <stp>44520.T</stp>
        <stp>現在値詳細時刻</stp>
        <tr r="D469" s="7"/>
      </tp>
      <tp t="s">
        <v>表示銘柄数超過</v>
        <stp/>
        <stp>Market</stp>
        <stp>STOCK</stp>
        <stp>44790.T</stp>
        <stp>現在値詳細時刻</stp>
        <tr r="D474" s="7"/>
      </tp>
      <tp t="s">
        <v>表示銘柄数超過</v>
        <stp/>
        <stp>Market</stp>
        <stp>STOCK</stp>
        <stp>44760.T</stp>
        <stp>現在値詳細時刻</stp>
        <tr r="D472" s="7"/>
      </tp>
      <tp t="s">
        <v>表示銘柄数超過</v>
        <stp/>
        <stp>Market</stp>
        <stp>STOCK</stp>
        <stp>44770.T</stp>
        <stp>現在値詳細時刻</stp>
        <tr r="D473" s="7"/>
      </tp>
      <tp t="s">
        <v>表示銘柄数超過</v>
        <stp/>
        <stp>Market</stp>
        <stp>STOCK</stp>
        <stp>44750.T</stp>
        <stp>現在値詳細時刻</stp>
        <tr r="D471" s="7"/>
      </tp>
      <tp t="s">
        <v>表示銘柄数超過</v>
        <stp/>
        <stp>Market</stp>
        <stp>STOCK</stp>
        <stp>45880.T</stp>
        <stp>現在値詳細時刻</stp>
        <tr r="D501" s="7"/>
      </tp>
      <tp t="s">
        <v>表示銘柄数超過</v>
        <stp/>
        <stp>Market</stp>
        <stp>STOCK</stp>
        <stp>45820.T</stp>
        <stp>現在値詳細時刻</stp>
        <tr r="D497" s="7"/>
      </tp>
      <tp t="s">
        <v>表示銘柄数超過</v>
        <stp/>
        <stp>Market</stp>
        <stp>STOCK</stp>
        <stp>45830.T</stp>
        <stp>現在値詳細時刻</stp>
        <tr r="D498" s="7"/>
      </tp>
      <tp t="s">
        <v>表示銘柄数超過</v>
        <stp/>
        <stp>Market</stp>
        <stp>STOCK</stp>
        <stp>45860.T</stp>
        <stp>現在値詳細時刻</stp>
        <tr r="D500" s="7"/>
      </tp>
      <tp t="s">
        <v>表示銘柄数超過</v>
        <stp/>
        <stp>Market</stp>
        <stp>STOCK</stp>
        <stp>45840.T</stp>
        <stp>現在値詳細時刻</stp>
        <tr r="D499" s="7"/>
      </tp>
      <tp t="s">
        <v>表示銘柄数超過</v>
        <stp/>
        <stp>Market</stp>
        <stp>STOCK</stp>
        <stp>45920.T</stp>
        <stp>現在値詳細時刻</stp>
        <tr r="D503" s="7"/>
      </tp>
      <tp t="s">
        <v>表示銘柄数超過</v>
        <stp/>
        <stp>Market</stp>
        <stp>STOCK</stp>
        <stp>45930.T</stp>
        <stp>現在値詳細時刻</stp>
        <tr r="D504" s="7"/>
      </tp>
      <tp t="s">
        <v>表示銘柄数超過</v>
        <stp/>
        <stp>Market</stp>
        <stp>STOCK</stp>
        <stp>45910.T</stp>
        <stp>現在値詳細時刻</stp>
        <tr r="D502" s="7"/>
      </tp>
      <tp t="s">
        <v>表示銘柄数超過</v>
        <stp/>
        <stp>Market</stp>
        <stp>STOCK</stp>
        <stp>45960.T</stp>
        <stp>現在値詳細時刻</stp>
        <tr r="D506" s="7"/>
      </tp>
      <tp t="s">
        <v>表示銘柄数超過</v>
        <stp/>
        <stp>Market</stp>
        <stp>STOCK</stp>
        <stp>45970.T</stp>
        <stp>現在値詳細時刻</stp>
        <tr r="D507" s="7"/>
      </tp>
      <tp t="s">
        <v>表示銘柄数超過</v>
        <stp/>
        <stp>Market</stp>
        <stp>STOCK</stp>
        <stp>45940.T</stp>
        <stp>現在値詳細時刻</stp>
        <tr r="D505" s="7"/>
      </tp>
      <tp t="s">
        <v>表示銘柄数超過</v>
        <stp/>
        <stp>Market</stp>
        <stp>STOCK</stp>
        <stp>45030.T</stp>
        <stp>現在値詳細時刻</stp>
        <tr r="D479" s="7"/>
      </tp>
      <tp t="s">
        <v>15:00:00</v>
        <stp/>
        <stp>Market</stp>
        <stp>STOCK</stp>
        <stp>45060.T</stp>
        <stp>現在値詳細時刻</stp>
        <tr r="D480" s="7"/>
      </tp>
      <tp t="s">
        <v>表示銘柄数超過</v>
        <stp/>
        <stp>Market</stp>
        <stp>STOCK</stp>
        <stp>45070.T</stp>
        <stp>現在値詳細時刻</stp>
        <tr r="D481" s="7"/>
      </tp>
      <tp t="s">
        <v>表示銘柄数超過</v>
        <stp/>
        <stp>Market</stp>
        <stp>STOCK</stp>
        <stp>45230.T</stp>
        <stp>現在値詳細時刻</stp>
        <tr r="D482" s="7"/>
      </tp>
      <tp t="s">
        <v>表示銘柄数超過</v>
        <stp/>
        <stp>Market</stp>
        <stp>STOCK</stp>
        <stp>45310.T</stp>
        <stp>現在値詳細時刻</stp>
        <tr r="D483" s="7"/>
      </tp>
      <tp t="s">
        <v>表示銘柄数超過</v>
        <stp/>
        <stp>Market</stp>
        <stp>STOCK</stp>
        <stp>45580.T</stp>
        <stp>現在値詳細時刻</stp>
        <tr r="D485" s="7"/>
      </tp>
      <tp t="s">
        <v>表示銘柄数超過</v>
        <stp/>
        <stp>Market</stp>
        <stp>STOCK</stp>
        <stp>45540.T</stp>
        <stp>現在値詳細時刻</stp>
        <tr r="D484" s="7"/>
      </tp>
      <tp t="s">
        <v>表示銘柄数超過</v>
        <stp/>
        <stp>Market</stp>
        <stp>STOCK</stp>
        <stp>45680.T</stp>
        <stp>現在値詳細時刻</stp>
        <tr r="D489" s="7"/>
      </tp>
      <tp t="s">
        <v>表示銘柄数超過</v>
        <stp/>
        <stp>Market</stp>
        <stp>STOCK</stp>
        <stp>45630.T</stp>
        <stp>現在値詳細時刻</stp>
        <tr r="D486" s="7"/>
      </tp>
      <tp t="s">
        <v>表示銘柄数超過</v>
        <stp/>
        <stp>Market</stp>
        <stp>STOCK</stp>
        <stp>45640.T</stp>
        <stp>現在値詳細時刻</stp>
        <tr r="D487" s="7"/>
      </tp>
      <tp t="s">
        <v>表示銘柄数超過</v>
        <stp/>
        <stp>Market</stp>
        <stp>STOCK</stp>
        <stp>45650.T</stp>
        <stp>現在値詳細時刻</stp>
        <tr r="D488" s="7"/>
      </tp>
      <tp t="s">
        <v>表示銘柄数超過</v>
        <stp/>
        <stp>Market</stp>
        <stp>STOCK</stp>
        <stp>45780.T</stp>
        <stp>現在値詳細時刻</stp>
        <tr r="D496" s="7"/>
      </tp>
      <tp t="s">
        <v>表示銘柄数超過</v>
        <stp/>
        <stp>Market</stp>
        <stp>STOCK</stp>
        <stp>45720.T</stp>
        <stp>現在値詳細時刻</stp>
        <tr r="D492" s="7"/>
      </tp>
      <tp t="s">
        <v>表示銘柄数超過</v>
        <stp/>
        <stp>Market</stp>
        <stp>STOCK</stp>
        <stp>45700.T</stp>
        <stp>現在値詳細時刻</stp>
        <tr r="D490" s="7"/>
      </tp>
      <tp t="s">
        <v>表示銘柄数超過</v>
        <stp/>
        <stp>Market</stp>
        <stp>STOCK</stp>
        <stp>45710.T</stp>
        <stp>現在値詳細時刻</stp>
        <tr r="D491" s="7"/>
      </tp>
      <tp t="s">
        <v>表示銘柄数超過</v>
        <stp/>
        <stp>Market</stp>
        <stp>STOCK</stp>
        <stp>45760.T</stp>
        <stp>現在値詳細時刻</stp>
        <tr r="D495" s="7"/>
      </tp>
      <tp t="s">
        <v>表示銘柄数超過</v>
        <stp/>
        <stp>Market</stp>
        <stp>STOCK</stp>
        <stp>45740.T</stp>
        <stp>現在値詳細時刻</stp>
        <tr r="D493" s="7"/>
      </tp>
      <tp t="s">
        <v>表示銘柄数超過</v>
        <stp/>
        <stp>Market</stp>
        <stp>STOCK</stp>
        <stp>45750.T</stp>
        <stp>現在値詳細時刻</stp>
        <tr r="D494" s="7"/>
      </tp>
      <tp t="s">
        <v>表示銘柄数超過</v>
        <stp/>
        <stp>Market</stp>
        <stp>STOCK</stp>
        <stp>42860.T</stp>
        <stp>現在値詳細時刻</stp>
        <tr r="D437" s="7"/>
      </tp>
      <tp t="s">
        <v>表示銘柄数超過</v>
        <stp/>
        <stp>Market</stp>
        <stp>STOCK</stp>
        <stp>42870.T</stp>
        <stp>現在値詳細時刻</stp>
        <tr r="D438" s="7"/>
      </tp>
      <tp t="s">
        <v>表示銘柄数超過</v>
        <stp/>
        <stp>Market</stp>
        <stp>STOCK</stp>
        <stp>42930.T</stp>
        <stp>現在値詳細時刻</stp>
        <tr r="D439" s="7"/>
      </tp>
      <tp t="s">
        <v>表示銘柄数超過</v>
        <stp/>
        <stp>Market</stp>
        <stp>STOCK</stp>
        <stp>42020.T</stp>
        <stp>現在値詳細時刻</stp>
        <tr r="D426" s="7"/>
      </tp>
      <tp t="s">
        <v>表示銘柄数超過</v>
        <stp/>
        <stp>Market</stp>
        <stp>STOCK</stp>
        <stp>42000.T</stp>
        <stp>現在値詳細時刻</stp>
        <tr r="D425" s="7"/>
      </tp>
      <tp t="s">
        <v>表示銘柄数超過</v>
        <stp/>
        <stp>Market</stp>
        <stp>STOCK</stp>
        <stp>42380.T</stp>
        <stp>現在値詳細時刻</stp>
        <tr r="D428" s="7"/>
      </tp>
      <tp t="s">
        <v>表示銘柄数超過</v>
        <stp/>
        <stp>Market</stp>
        <stp>STOCK</stp>
        <stp>42370.T</stp>
        <stp>現在値詳細時刻</stp>
        <tr r="D427" s="7"/>
      </tp>
      <tp t="s">
        <v>表示銘柄数超過</v>
        <stp/>
        <stp>Market</stp>
        <stp>STOCK</stp>
        <stp>42430.T</stp>
        <stp>現在値詳細時刻</stp>
        <tr r="D430" s="7"/>
      </tp>
      <tp t="s">
        <v>表示銘柄数超過</v>
        <stp/>
        <stp>Market</stp>
        <stp>STOCK</stp>
        <stp>42410.T</stp>
        <stp>現在値詳細時刻</stp>
        <tr r="D429" s="7"/>
      </tp>
      <tp t="s">
        <v>表示銘柄数超過</v>
        <stp/>
        <stp>Market</stp>
        <stp>STOCK</stp>
        <stp>42580.T</stp>
        <stp>現在値詳細時刻</stp>
        <tr r="D431" s="7"/>
      </tp>
      <tp t="s">
        <v>表示銘柄数超過</v>
        <stp/>
        <stp>Market</stp>
        <stp>STOCK</stp>
        <stp>42590.T</stp>
        <stp>現在値詳細時刻</stp>
        <tr r="D432" s="7"/>
      </tp>
      <tp t="s">
        <v>表示銘柄数超過</v>
        <stp/>
        <stp>Market</stp>
        <stp>STOCK</stp>
        <stp>42680.T</stp>
        <stp>現在値詳細時刻</stp>
        <tr r="D434" s="7"/>
      </tp>
      <tp t="s">
        <v>表示銘柄数超過</v>
        <stp/>
        <stp>Market</stp>
        <stp>STOCK</stp>
        <stp>42640.T</stp>
        <stp>現在値詳細時刻</stp>
        <tr r="D433" s="7"/>
      </tp>
      <tp t="s">
        <v>表示銘柄数超過</v>
        <stp/>
        <stp>Market</stp>
        <stp>STOCK</stp>
        <stp>42740.T</stp>
        <stp>現在値詳細時刻</stp>
        <tr r="D435" s="7"/>
      </tp>
      <tp t="s">
        <v>表示銘柄数超過</v>
        <stp/>
        <stp>Market</stp>
        <stp>STOCK</stp>
        <stp>42750.T</stp>
        <stp>現在値詳細時刻</stp>
        <tr r="D436" s="7"/>
      </tp>
      <tp t="s">
        <v>表示銘柄数超過</v>
        <stp/>
        <stp>Market</stp>
        <stp>STOCK</stp>
        <stp>43880.T</stp>
        <stp>現在値詳細時刻</stp>
        <tr r="D457" s="7"/>
      </tp>
      <tp t="s">
        <v>表示銘柄数超過</v>
        <stp/>
        <stp>Market</stp>
        <stp>STOCK</stp>
        <stp>43820.T</stp>
        <stp>現在値詳細時刻</stp>
        <tr r="D455" s="7"/>
      </tp>
      <tp t="s">
        <v>表示銘柄数超過</v>
        <stp/>
        <stp>Market</stp>
        <stp>STOCK</stp>
        <stp>43850.T</stp>
        <stp>現在値詳細時刻</stp>
        <tr r="D456" s="7"/>
      </tp>
      <tp t="s">
        <v>表示銘柄数超過</v>
        <stp/>
        <stp>Market</stp>
        <stp>STOCK</stp>
        <stp>43950.T</stp>
        <stp>現在値詳細時刻</stp>
        <tr r="D458" s="7"/>
      </tp>
      <tp t="s">
        <v>表示銘柄数超過</v>
        <stp/>
        <stp>Market</stp>
        <stp>STOCK</stp>
        <stp>43080.T</stp>
        <stp>現在値詳細時刻</stp>
        <tr r="D441" s="7"/>
      </tp>
      <tp t="s">
        <v>表示銘柄数超過</v>
        <stp/>
        <stp>Market</stp>
        <stp>STOCK</stp>
        <stp>43040.T</stp>
        <stp>現在値詳細時刻</stp>
        <tr r="D440" s="7"/>
      </tp>
      <tp t="s">
        <v>表示銘柄数超過</v>
        <stp/>
        <stp>Market</stp>
        <stp>STOCK</stp>
        <stp>43160.T</stp>
        <stp>現在値詳細時刻</stp>
        <tr r="D442" s="7"/>
      </tp>
      <tp t="s">
        <v>表示銘柄数超過</v>
        <stp/>
        <stp>Market</stp>
        <stp>STOCK</stp>
        <stp>43240.T</stp>
        <stp>現在値詳細時刻</stp>
        <tr r="D443" s="7"/>
      </tp>
      <tp t="s">
        <v>表示銘柄数超過</v>
        <stp/>
        <stp>Market</stp>
        <stp>STOCK</stp>
        <stp>43370.T</stp>
        <stp>現在値詳細時刻</stp>
        <tr r="D444" s="7"/>
      </tp>
      <tp t="s">
        <v>表示銘柄数超過</v>
        <stp/>
        <stp>Market</stp>
        <stp>STOCK</stp>
        <stp>43430.T</stp>
        <stp>現在値詳細時刻</stp>
        <tr r="D445" s="7"/>
      </tp>
      <tp t="s">
        <v>表示銘柄数超過</v>
        <stp/>
        <stp>Market</stp>
        <stp>STOCK</stp>
        <stp>43460.T</stp>
        <stp>現在値詳細時刻</stp>
        <tr r="D446" s="7"/>
      </tp>
      <tp t="s">
        <v>表示銘柄数超過</v>
        <stp/>
        <stp>Market</stp>
        <stp>STOCK</stp>
        <stp>43500.T</stp>
        <stp>現在値詳細時刻</stp>
        <tr r="D447" s="7"/>
      </tp>
      <tp t="s">
        <v>表示銘柄数超過</v>
        <stp/>
        <stp>Market</stp>
        <stp>STOCK</stp>
        <stp>43550.T</stp>
        <stp>現在値詳細時刻</stp>
        <tr r="D448" s="7"/>
      </tp>
      <tp t="s">
        <v>表示銘柄数超過</v>
        <stp/>
        <stp>Market</stp>
        <stp>STOCK</stp>
        <stp>43780.T</stp>
        <stp>現在値詳細時刻</stp>
        <tr r="D453" s="7"/>
      </tp>
      <tp t="s">
        <v>表示銘柄数超過</v>
        <stp/>
        <stp>Market</stp>
        <stp>STOCK</stp>
        <stp>43790.T</stp>
        <stp>現在値詳細時刻</stp>
        <tr r="D454" s="7"/>
      </tp>
      <tp t="s">
        <v>表示銘柄数超過</v>
        <stp/>
        <stp>Market</stp>
        <stp>STOCK</stp>
        <stp>43730.T</stp>
        <stp>現在値詳細時刻</stp>
        <tr r="D450" s="7"/>
      </tp>
      <tp t="s">
        <v>表示銘柄数超過</v>
        <stp/>
        <stp>Market</stp>
        <stp>STOCK</stp>
        <stp>43700.T</stp>
        <stp>現在値詳細時刻</stp>
        <tr r="D449" s="7"/>
      </tp>
      <tp t="s">
        <v>表示銘柄数超過</v>
        <stp/>
        <stp>Market</stp>
        <stp>STOCK</stp>
        <stp>43760.T</stp>
        <stp>現在値詳細時刻</stp>
        <tr r="D452" s="7"/>
      </tp>
      <tp t="s">
        <v>表示銘柄数超過</v>
        <stp/>
        <stp>Market</stp>
        <stp>STOCK</stp>
        <stp>43740.T</stp>
        <stp>現在値詳細時刻</stp>
        <tr r="D451" s="7"/>
      </tp>
      <tp t="s">
        <v>表示銘柄数超過</v>
        <stp/>
        <stp>Market</stp>
        <stp>STOCK</stp>
        <stp>40040.T</stp>
        <stp>現在値詳細時刻</stp>
        <tr r="D410" s="7"/>
      </tp>
      <tp t="s">
        <v>表示銘柄数超過</v>
        <stp/>
        <stp>Market</stp>
        <stp>STOCK</stp>
        <stp>40110.T</stp>
        <stp>現在値詳細時刻</stp>
        <tr r="D411" s="7"/>
      </tp>
      <tp t="s">
        <v>表示銘柄数超過</v>
        <stp/>
        <stp>Market</stp>
        <stp>STOCK</stp>
        <stp>40160.T</stp>
        <stp>現在値詳細時刻</stp>
        <tr r="D412" s="7"/>
      </tp>
      <tp t="s">
        <v>表示銘柄数超過</v>
        <stp/>
        <stp>Market</stp>
        <stp>STOCK</stp>
        <stp>40270.T</stp>
        <stp>現在値詳細時刻</stp>
        <tr r="D413" s="7"/>
      </tp>
      <tp t="s">
        <v>表示銘柄数超過</v>
        <stp/>
        <stp>Market</stp>
        <stp>STOCK</stp>
        <stp>40590.T</stp>
        <stp>現在値詳細時刻</stp>
        <tr r="D414" s="7"/>
      </tp>
      <tp t="s">
        <v>表示銘柄数超過</v>
        <stp/>
        <stp>Market</stp>
        <stp>STOCK</stp>
        <stp>40630.T</stp>
        <stp>現在値詳細時刻</stp>
        <tr r="D415" s="7"/>
      </tp>
      <tp t="s">
        <v>表示銘柄数超過</v>
        <stp/>
        <stp>Market</stp>
        <stp>STOCK</stp>
        <stp>40750.T</stp>
        <stp>現在値詳細時刻</stp>
        <tr r="D416" s="7"/>
      </tp>
      <tp t="s">
        <v>表示銘柄数超過</v>
        <stp/>
        <stp>Market</stp>
        <stp>STOCK</stp>
        <stp>41880.T</stp>
        <stp>現在値詳細時刻</stp>
        <tr r="D423" s="7"/>
      </tp>
      <tp t="s">
        <v>表示銘柄数超過</v>
        <stp/>
        <stp>Market</stp>
        <stp>STOCK</stp>
        <stp>41850.T</stp>
        <stp>現在値詳細時刻</stp>
        <tr r="D422" s="7"/>
      </tp>
      <tp t="s">
        <v>表示銘柄数超過</v>
        <stp/>
        <stp>Market</stp>
        <stp>STOCK</stp>
        <stp>41920.T</stp>
        <stp>現在値詳細時刻</stp>
        <tr r="D424" s="7"/>
      </tp>
      <tp t="s">
        <v>表示銘柄数超過</v>
        <stp/>
        <stp>Market</stp>
        <stp>STOCK</stp>
        <stp>41690.T</stp>
        <stp>現在値詳細時刻</stp>
        <tr r="D419" s="7"/>
      </tp>
      <tp t="s">
        <v>表示銘柄数超過</v>
        <stp/>
        <stp>Market</stp>
        <stp>STOCK</stp>
        <stp>41670.T</stp>
        <stp>現在値詳細時刻</stp>
        <tr r="D418" s="7"/>
      </tp>
      <tp t="s">
        <v>表示銘柄数超過</v>
        <stp/>
        <stp>Market</stp>
        <stp>STOCK</stp>
        <stp>41650.T</stp>
        <stp>現在値詳細時刻</stp>
        <tr r="D417" s="7"/>
      </tp>
      <tp t="s">
        <v>表示銘柄数超過</v>
        <stp/>
        <stp>Market</stp>
        <stp>STOCK</stp>
        <stp>41700.T</stp>
        <stp>現在値詳細時刻</stp>
        <tr r="D420" s="7"/>
      </tp>
      <tp t="s">
        <v>表示銘柄数超過</v>
        <stp/>
        <stp>Market</stp>
        <stp>STOCK</stp>
        <stp>41760.T</stp>
        <stp>現在値詳細時刻</stp>
        <tr r="D421" s="7"/>
      </tp>
      <tp t="s">
        <v>表示銘柄数超過</v>
        <stp/>
        <stp>Market</stp>
        <stp>STOCK</stp>
        <stp>48890.T</stp>
        <stp>現在値詳細時刻</stp>
        <tr r="D547" s="7"/>
      </tp>
      <tp t="s">
        <v>表示銘柄数超過</v>
        <stp/>
        <stp>Market</stp>
        <stp>STOCK</stp>
        <stp>48830.T</stp>
        <stp>現在値詳細時刻</stp>
        <tr r="D546" s="7"/>
      </tp>
      <tp t="s">
        <v>表示銘柄数超過</v>
        <stp/>
        <stp>Market</stp>
        <stp>STOCK</stp>
        <stp>48810.T</stp>
        <stp>現在値詳細時刻</stp>
        <tr r="D545" s="7"/>
      </tp>
      <tp t="s">
        <v>表示銘柄数超過</v>
        <stp/>
        <stp>Market</stp>
        <stp>STOCK</stp>
        <stp>48920.T</stp>
        <stp>現在値詳細時刻</stp>
        <tr r="D550" s="7"/>
      </tp>
      <tp t="s">
        <v>表示銘柄数超過</v>
        <stp/>
        <stp>Market</stp>
        <stp>STOCK</stp>
        <stp>48900.T</stp>
        <stp>現在値詳細時刻</stp>
        <tr r="D548" s="7"/>
      </tp>
      <tp t="s">
        <v>表示銘柄数超過</v>
        <stp/>
        <stp>Market</stp>
        <stp>STOCK</stp>
        <stp>48910.T</stp>
        <stp>現在値詳細時刻</stp>
        <tr r="D549" s="7"/>
      </tp>
      <tp t="s">
        <v>表示銘柄数超過</v>
        <stp/>
        <stp>Market</stp>
        <stp>STOCK</stp>
        <stp>48000.T</stp>
        <stp>現在値詳細時刻</stp>
        <tr r="D536" s="7"/>
      </tp>
      <tp t="s">
        <v>表示銘柄数超過</v>
        <stp/>
        <stp>Market</stp>
        <stp>STOCK</stp>
        <stp>48140.T</stp>
        <stp>現在値詳細時刻</stp>
        <tr r="D537" s="7"/>
      </tp>
      <tp t="s">
        <v>表示銘柄数超過</v>
        <stp/>
        <stp>Market</stp>
        <stp>STOCK</stp>
        <stp>48290.T</stp>
        <stp>現在値詳細時刻</stp>
        <tr r="D540" s="7"/>
      </tp>
      <tp t="s">
        <v>表示銘柄数超過</v>
        <stp/>
        <stp>Market</stp>
        <stp>STOCK</stp>
        <stp>48200.T</stp>
        <stp>現在値詳細時刻</stp>
        <tr r="D538" s="7"/>
      </tp>
      <tp t="s">
        <v>表示銘柄数超過</v>
        <stp/>
        <stp>Market</stp>
        <stp>STOCK</stp>
        <stp>48240.T</stp>
        <stp>現在値詳細時刻</stp>
        <tr r="D539" s="7"/>
      </tp>
      <tp t="s">
        <v>表示銘柄数超過</v>
        <stp/>
        <stp>Market</stp>
        <stp>STOCK</stp>
        <stp>48380.T</stp>
        <stp>現在値詳細時刻</stp>
        <tr r="D543" s="7"/>
      </tp>
      <tp t="s">
        <v>表示銘柄数超過</v>
        <stp/>
        <stp>Market</stp>
        <stp>STOCK</stp>
        <stp>48330.T</stp>
        <stp>現在値詳細時刻</stp>
        <tr r="D541" s="7"/>
      </tp>
      <tp t="s">
        <v>表示銘柄数超過</v>
        <stp/>
        <stp>Market</stp>
        <stp>STOCK</stp>
        <stp>48370.T</stp>
        <stp>現在値詳細時刻</stp>
        <tr r="D542" s="7"/>
      </tp>
      <tp t="s">
        <v>表示銘柄数超過</v>
        <stp/>
        <stp>Market</stp>
        <stp>STOCK</stp>
        <stp>48470.T</stp>
        <stp>現在値詳細時刻</stp>
        <tr r="D544" s="7"/>
      </tp>
      <tp t="s">
        <v>15:00:00</v>
        <stp/>
        <stp>Market</stp>
        <stp>STOCK</stp>
        <stp>49970.T</stp>
        <stp>現在値詳細時刻</stp>
        <tr r="D557" s="7"/>
      </tp>
      <tp t="s">
        <v>表示銘柄数超過</v>
        <stp/>
        <stp>Market</stp>
        <stp>STOCK</stp>
        <stp>49020.T</stp>
        <stp>現在値詳細時刻</stp>
        <tr r="D551" s="7"/>
      </tp>
      <tp t="s">
        <v>表示銘柄数超過</v>
        <stp/>
        <stp>Market</stp>
        <stp>STOCK</stp>
        <stp>49120.T</stp>
        <stp>現在値詳細時刻</stp>
        <tr r="D552" s="7"/>
      </tp>
      <tp t="s">
        <v>表示銘柄数超過</v>
        <stp/>
        <stp>Market</stp>
        <stp>STOCK</stp>
        <stp>49200.T</stp>
        <stp>現在値詳細時刻</stp>
        <tr r="D553" s="7"/>
      </tp>
      <tp t="s">
        <v>表示銘柄数超過</v>
        <stp/>
        <stp>Market</stp>
        <stp>STOCK</stp>
        <stp>49630.T</stp>
        <stp>現在値詳細時刻</stp>
        <tr r="D555" s="7"/>
      </tp>
      <tp t="s">
        <v>表示銘柄数超過</v>
        <stp/>
        <stp>Market</stp>
        <stp>STOCK</stp>
        <stp>49600.T</stp>
        <stp>現在値詳細時刻</stp>
        <tr r="D554" s="7"/>
      </tp>
      <tp t="s">
        <v>表示銘柄数超過</v>
        <stp/>
        <stp>Market</stp>
        <stp>STOCK</stp>
        <stp>49780.T</stp>
        <stp>現在値詳細時刻</stp>
        <tr r="D556" s="7"/>
      </tp>
      <tp t="s">
        <v>表示銘柄数超過</v>
        <stp/>
        <stp>Market</stp>
        <stp>STOCK</stp>
        <stp>32970.T</stp>
        <stp>銘柄名称</stp>
        <tr r="B273" s="7"/>
      </tp>
      <tp t="s">
        <v>鉱研工業</v>
        <stp/>
        <stp>Market</stp>
        <stp>STOCK</stp>
        <stp>62970.T</stp>
        <stp>銘柄名称</stp>
        <tr r="B684" s="7"/>
      </tp>
      <tp t="s">
        <v>ヨロズ</v>
        <stp/>
        <stp>Market</stp>
        <stp>STOCK</stp>
        <stp>72940.T</stp>
        <stp>銘柄名称</stp>
        <tr r="B872" s="7"/>
      </tp>
      <tp t="s">
        <v>表示銘柄数超過</v>
        <stp/>
        <stp>Market</stp>
        <stp>STOCK</stp>
        <stp>42930.T</stp>
        <stp>銘柄名称</stp>
        <tr r="B439" s="7"/>
      </tp>
      <tp t="s">
        <v>日産東京販売ＨＤ</v>
        <stp/>
        <stp>Market</stp>
        <stp>STOCK</stp>
        <stp>82910.T</stp>
        <stp>銘柄名称</stp>
        <tr r="B1002" s="7"/>
      </tp>
      <tp t="s">
        <v>日本プラスト</v>
        <stp/>
        <stp>Market</stp>
        <stp>STOCK</stp>
        <stp>72910.T</stp>
        <stp>銘柄名称</stp>
        <tr r="B871" s="7"/>
      </tp>
      <tp t="s">
        <v>ワイエイシイホールディングス</v>
        <stp/>
        <stp>Market</stp>
        <stp>STOCK</stp>
        <stp>62980.T</stp>
        <stp>銘柄名称</stp>
        <tr r="B685" s="7"/>
      </tp>
      <tp t="s">
        <v/>
        <stp/>
        <stp>Market</stp>
        <stp>STOCK</stp>
        <stp>72980.T</stp>
        <stp>銘柄名称</stp>
        <tr r="B873" s="7"/>
      </tp>
      <tp t="s">
        <v>表示銘柄数超過</v>
        <stp/>
        <stp>Market</stp>
        <stp>STOCK</stp>
        <stp>32990.T</stp>
        <stp>銘柄名称</stp>
        <tr r="B274" s="7"/>
      </tp>
      <tp t="s">
        <v>表示銘柄数超過</v>
        <stp/>
        <stp>Market</stp>
        <stp>STOCK</stp>
        <stp>32860.T</stp>
        <stp>銘柄名称</stp>
        <tr r="B270" s="7"/>
      </tp>
      <tp t="s">
        <v>表示銘柄数超過</v>
        <stp/>
        <stp>Market</stp>
        <stp>STOCK</stp>
        <stp>42860.T</stp>
        <stp>銘柄名称</stp>
        <tr r="B437" s="7"/>
      </tp>
      <tp t="s">
        <v>静甲</v>
        <stp/>
        <stp>Market</stp>
        <stp>STOCK</stp>
        <stp>62860.T</stp>
        <stp>銘柄名称</stp>
        <tr r="B683" s="7"/>
      </tp>
      <tp t="s">
        <v>表示銘柄数超過</v>
        <stp/>
        <stp>Market</stp>
        <stp>STOCK</stp>
        <stp>42870.T</stp>
        <stp>銘柄名称</stp>
        <tr r="B438" s="7"/>
      </tp>
      <tp t="s">
        <v>イトーヨーギョー</v>
        <stp/>
        <stp>Market</stp>
        <stp>STOCK</stp>
        <stp>52870.T</stp>
        <stp>銘柄名称</stp>
        <tr r="B585" s="7"/>
      </tp>
      <tp t="s">
        <v>表示銘柄数超過</v>
        <stp/>
        <stp>Market</stp>
        <stp>STOCK</stp>
        <stp>32840.T</stp>
        <stp>銘柄名称</stp>
        <tr r="B269" s="7"/>
      </tp>
      <tp t="s">
        <v>ヤマックス</v>
        <stp/>
        <stp>Market</stp>
        <stp>STOCK</stp>
        <stp>52850.T</stp>
        <stp>銘柄名称</stp>
        <tr r="B584" s="7"/>
      </tp>
      <tp t="s">
        <v>愛三工業</v>
        <stp/>
        <stp>Market</stp>
        <stp>STOCK</stp>
        <stp>72830.T</stp>
        <stp>銘柄名称</stp>
        <tr r="B870" s="7"/>
      </tp>
      <tp t="s">
        <v>ミツバ</v>
        <stp/>
        <stp>Market</stp>
        <stp>STOCK</stp>
        <stp>72800.T</stp>
        <stp>銘柄名称</stp>
        <tr r="B869" s="7"/>
      </tp>
      <tp t="s">
        <v>表示銘柄数超過</v>
        <stp/>
        <stp>Market</stp>
        <stp>STOCK</stp>
        <stp>32880.T</stp>
        <stp>銘柄名称</stp>
        <tr r="B271" s="7"/>
      </tp>
      <tp t="s">
        <v>表示銘柄数超過</v>
        <stp/>
        <stp>Market</stp>
        <stp>STOCK</stp>
        <stp>32890.T</stp>
        <stp>銘柄名称</stp>
        <tr r="B272" s="7"/>
      </tp>
      <tp t="s">
        <v>表示銘柄数超過</v>
        <stp/>
        <stp>Market</stp>
        <stp>STOCK</stp>
        <stp>22160.T</stp>
        <stp>銘柄名称</stp>
        <tr r="B104" s="7"/>
      </tp>
      <tp t="s">
        <v>倉元製作所</v>
        <stp/>
        <stp>Market</stp>
        <stp>STOCK</stp>
        <stp>52160.T</stp>
        <stp>銘柄名称</stp>
        <tr r="B576" s="7"/>
      </tp>
      <tp t="s">
        <v>ＧＭＢ</v>
        <stp/>
        <stp>Market</stp>
        <stp>STOCK</stp>
        <stp>72140.T</stp>
        <stp>銘柄名称</stp>
        <tr r="B851" s="7"/>
      </tp>
      <tp t="s">
        <v>エフテック</v>
        <stp/>
        <stp>Market</stp>
        <stp>STOCK</stp>
        <stp>72120.T</stp>
        <stp>銘柄名称</stp>
        <tr r="B849" s="7"/>
      </tp>
      <tp t="s">
        <v>表示銘柄数超過</v>
        <stp/>
        <stp>Market</stp>
        <stp>STOCK</stp>
        <stp>92130.T</stp>
        <stp>銘柄名称</stp>
        <tr r="B1099" s="7"/>
      </tp>
      <tp t="s">
        <v>レシップホールディングス</v>
        <stp/>
        <stp>Market</stp>
        <stp>STOCK</stp>
        <stp>72130.T</stp>
        <stp>銘柄名称</stp>
        <tr r="B850" s="7"/>
      </tp>
      <tp t="s">
        <v>三菱自動車工業</v>
        <stp/>
        <stp>Market</stp>
        <stp>STOCK</stp>
        <stp>72110.T</stp>
        <stp>銘柄名称</stp>
        <tr r="B848" s="7"/>
      </tp>
      <tp t="s">
        <v>エンシュウ</v>
        <stp/>
        <stp>Market</stp>
        <stp>STOCK</stp>
        <stp>62180.T</stp>
        <stp>銘柄名称</stp>
        <tr r="B678" s="7"/>
      </tp>
      <tp t="s">
        <v>表示銘柄数超過</v>
        <stp/>
        <stp>Market</stp>
        <stp>STOCK</stp>
        <stp>22060.T</stp>
        <stp>銘柄名称</stp>
        <tr r="B103" s="7"/>
      </tp>
      <tp t="s">
        <v>テンアライド</v>
        <stp/>
        <stp>Market</stp>
        <stp>STOCK</stp>
        <stp>82070.T</stp>
        <stp>銘柄名称</stp>
        <tr r="B992" s="7"/>
      </tp>
      <tp t="s">
        <v>石塚硝子</v>
        <stp/>
        <stp>Market</stp>
        <stp>STOCK</stp>
        <stp>52040.T</stp>
        <stp>銘柄名称</stp>
        <tr r="B575" s="7"/>
      </tp>
      <tp t="s">
        <v>日野自動車</v>
        <stp/>
        <stp>Market</stp>
        <stp>STOCK</stp>
        <stp>72050.T</stp>
        <stp>銘柄名称</stp>
        <tr r="B847" s="7"/>
      </tp>
      <tp t="s">
        <v>ラオックスホールディングス</v>
        <stp/>
        <stp>Market</stp>
        <stp>STOCK</stp>
        <stp>82020.T</stp>
        <stp>銘柄名称</stp>
        <tr r="B990" s="7"/>
      </tp>
      <tp t="s">
        <v>表示銘柄数超過</v>
        <stp/>
        <stp>Market</stp>
        <stp>STOCK</stp>
        <stp>42020.T</stp>
        <stp>銘柄名称</stp>
        <tr r="B426" s="7"/>
      </tp>
      <tp t="s">
        <v>いすゞ自動車</v>
        <stp/>
        <stp>Market</stp>
        <stp>STOCK</stp>
        <stp>72020.T</stp>
        <stp>銘柄名称</stp>
        <tr r="B845" s="7"/>
      </tp>
      <tp t="s">
        <v>ＭｒＭａｘＨＤ</v>
        <stp/>
        <stp>Market</stp>
        <stp>STOCK</stp>
        <stp>82030.T</stp>
        <stp>銘柄名称</stp>
        <tr r="B991" s="7"/>
      </tp>
      <tp t="s">
        <v>豊和工業</v>
        <stp/>
        <stp>Market</stp>
        <stp>STOCK</stp>
        <stp>62030.T</stp>
        <stp>銘柄名称</stp>
        <tr r="B677" s="7"/>
      </tp>
      <tp t="s">
        <v>トヨタ自動車</v>
        <stp/>
        <stp>Market</stp>
        <stp>STOCK</stp>
        <stp>72030.T</stp>
        <stp>銘柄名称</stp>
        <tr r="B846" s="7"/>
      </tp>
      <tp t="s">
        <v>表示銘柄数超過</v>
        <stp/>
        <stp>Market</stp>
        <stp>STOCK</stp>
        <stp>42000.T</stp>
        <stp>銘柄名称</stp>
        <tr r="B425" s="7"/>
      </tp>
      <tp t="s">
        <v>日産自動車</v>
        <stp/>
        <stp>Market</stp>
        <stp>STOCK</stp>
        <stp>72010.T</stp>
        <stp>銘柄名称</stp>
        <tr r="B844" s="7"/>
      </tp>
      <tp t="s">
        <v>表示銘柄数超過</v>
        <stp/>
        <stp>Market</stp>
        <stp>STOCK</stp>
        <stp>22360.T</stp>
        <stp>銘柄名称</stp>
        <tr r="B106" s="7"/>
      </tp>
      <tp t="s">
        <v>表示銘柄数超過</v>
        <stp/>
        <stp>Market</stp>
        <stp>STOCK</stp>
        <stp>32360.T</stp>
        <stp>銘柄名称</stp>
        <tr r="B259" s="7"/>
      </tp>
      <tp t="s">
        <v>ティラド</v>
        <stp/>
        <stp>Market</stp>
        <stp>STOCK</stp>
        <stp>72360.T</stp>
        <stp>銘柄名称</stp>
        <tr r="B855" s="7"/>
      </tp>
      <tp t="s">
        <v>松屋</v>
        <stp/>
        <stp>Market</stp>
        <stp>STOCK</stp>
        <stp>82370.T</stp>
        <stp>銘柄名称</stp>
        <tr r="B995" s="7"/>
      </tp>
      <tp t="s">
        <v>表示銘柄数超過</v>
        <stp/>
        <stp>Market</stp>
        <stp>STOCK</stp>
        <stp>32370.T</stp>
        <stp>銘柄名称</stp>
        <tr r="B260" s="7"/>
      </tp>
      <tp t="s">
        <v>表示銘柄数超過</v>
        <stp/>
        <stp>Market</stp>
        <stp>STOCK</stp>
        <stp>42370.T</stp>
        <stp>銘柄名称</stp>
        <tr r="B427" s="7"/>
      </tp>
      <tp t="s">
        <v>表示銘柄数超過</v>
        <stp/>
        <stp>Market</stp>
        <stp>STOCK</stp>
        <stp>22350.T</stp>
        <stp>銘柄名称</stp>
        <tr r="B105" s="7"/>
      </tp>
      <tp t="s">
        <v>東京ラヂエ－タ－</v>
        <stp/>
        <stp>Market</stp>
        <stp>STOCK</stp>
        <stp>72350.T</stp>
        <stp>銘柄名称</stp>
        <tr r="B854" s="7"/>
      </tp>
      <tp t="s">
        <v>表示銘柄数超過</v>
        <stp/>
        <stp>Market</stp>
        <stp>STOCK</stp>
        <stp>32320.T</stp>
        <stp>銘柄名称</stp>
        <tr r="B258" s="7"/>
      </tp>
      <tp t="s">
        <v>ＫＬＡＳＳ</v>
        <stp/>
        <stp>Market</stp>
        <stp>STOCK</stp>
        <stp>62330.T</stp>
        <stp>銘柄名称</stp>
        <tr r="B680" s="7"/>
      </tp>
      <tp t="s">
        <v>はせがわ</v>
        <stp/>
        <stp>Market</stp>
        <stp>STOCK</stp>
        <stp>82300.T</stp>
        <stp>銘柄名称</stp>
        <tr r="B994" s="7"/>
      </tp>
      <tp t="s">
        <v>表示銘柄数超過</v>
        <stp/>
        <stp>Market</stp>
        <stp>STOCK</stp>
        <stp>32380.T</stp>
        <stp>銘柄名称</stp>
        <tr r="B261" s="7"/>
      </tp>
      <tp t="s">
        <v>表示銘柄数超過</v>
        <stp/>
        <stp>Market</stp>
        <stp>STOCK</stp>
        <stp>42380.T</stp>
        <stp>銘柄名称</stp>
        <tr r="B428" s="7"/>
      </tp>
      <tp t="s">
        <v>曙ブレーキ</v>
        <stp/>
        <stp>Market</stp>
        <stp>STOCK</stp>
        <stp>72380.T</stp>
        <stp>銘柄名称</stp>
        <tr r="B856" s="7"/>
      </tp>
      <tp t="s">
        <v>理経</v>
        <stp/>
        <stp>Market</stp>
        <stp>STOCK</stp>
        <stp>82260.T</stp>
        <stp>銘柄名称</stp>
        <tr r="B993" s="7"/>
      </tp>
      <tp t="s">
        <v>守谷輸送機工業</v>
        <stp/>
        <stp>Market</stp>
        <stp>STOCK</stp>
        <stp>62260.T</stp>
        <stp>銘柄名称</stp>
        <tr r="B679" s="7"/>
      </tp>
      <tp t="s">
        <v>日産車体</v>
        <stp/>
        <stp>Market</stp>
        <stp>STOCK</stp>
        <stp>72220.T</stp>
        <stp>銘柄名称</stp>
        <tr r="B852" s="7"/>
      </tp>
      <tp t="s">
        <v>ユタカ技研</v>
        <stp/>
        <stp>Market</stp>
        <stp>STOCK</stp>
        <stp>72290.T</stp>
        <stp>銘柄名称</stp>
        <tr r="B853" s="7"/>
      </tp>
      <tp t="s">
        <v/>
        <stp/>
        <stp>Market</stp>
        <stp>STOCK</stp>
        <stp>82560.T</stp>
        <stp>銘柄名称</stp>
        <tr r="B1000" s="7"/>
      </tp>
      <tp t="s">
        <v>河西工業</v>
        <stp/>
        <stp>Market</stp>
        <stp>STOCK</stp>
        <stp>72560.T</stp>
        <stp>銘柄名称</stp>
        <tr r="B862" s="7"/>
      </tp>
      <tp t="s">
        <v>表示銘柄数超過</v>
        <stp/>
        <stp>Market</stp>
        <stp>STOCK</stp>
        <stp>92540.T</stp>
        <stp>銘柄名称</stp>
        <tr r="B1103" s="7"/>
      </tp>
      <tp t="s">
        <v>ユニバンス</v>
        <stp/>
        <stp>Market</stp>
        <stp>STOCK</stp>
        <stp>72540.T</stp>
        <stp>銘柄名称</stp>
        <tr r="B861" s="7"/>
      </tp>
      <tp t="s">
        <v>エヌ・ピー・シー</v>
        <stp/>
        <stp>Market</stp>
        <stp>STOCK</stp>
        <stp>62550.T</stp>
        <stp>銘柄名称</stp>
        <tr r="B682" s="7"/>
      </tp>
      <tp t="s">
        <v>丸井グループ</v>
        <stp/>
        <stp>Market</stp>
        <stp>STOCK</stp>
        <stp>82520.T</stp>
        <stp>銘柄名称</stp>
        <tr r="B999" s="7"/>
      </tp>
      <tp t="s">
        <v>表示銘柄数超過</v>
        <stp/>
        <stp>Market</stp>
        <stp>STOCK</stp>
        <stp>22530.T</stp>
        <stp>銘柄名称</stp>
        <tr r="B110" s="7"/>
      </tp>
      <tp t="s">
        <v>カバー</v>
        <stp/>
        <stp>Market</stp>
        <stp>STOCK</stp>
        <stp>52530.T</stp>
        <stp>銘柄名称</stp>
        <tr r="B580" s="7"/>
      </tp>
      <tp t="s">
        <v>表示銘柄数超過</v>
        <stp/>
        <stp>Market</stp>
        <stp>STOCK</stp>
        <stp>22500.T</stp>
        <stp>銘柄名称</stp>
        <tr r="B109" s="7"/>
      </tp>
      <tp t="s">
        <v>表示銘柄数超過</v>
        <stp/>
        <stp>Market</stp>
        <stp>STOCK</stp>
        <stp>42580.T</stp>
        <stp>銘柄名称</stp>
        <tr r="B431" s="7"/>
      </tp>
      <tp t="s">
        <v>表示銘柄数超過</v>
        <stp/>
        <stp>Market</stp>
        <stp>STOCK</stp>
        <stp>42590.T</stp>
        <stp>銘柄名称</stp>
        <tr r="B432" s="7"/>
      </tp>
      <tp t="s">
        <v>ＥＬＥＭＥＮＴＳ</v>
        <stp/>
        <stp>Market</stp>
        <stp>STOCK</stp>
        <stp>52460.T</stp>
        <stp>銘柄名称</stp>
        <tr r="B579" s="7"/>
      </tp>
      <tp t="s">
        <v>プレス工業</v>
        <stp/>
        <stp>Market</stp>
        <stp>STOCK</stp>
        <stp>72460.T</stp>
        <stp>銘柄名称</stp>
        <tr r="B859" s="7"/>
      </tp>
      <tp t="s">
        <v>大和</v>
        <stp/>
        <stp>Market</stp>
        <stp>STOCK</stp>
        <stp>82470.T</stp>
        <stp>銘柄名称</stp>
        <tr r="B998" s="7"/>
      </tp>
      <tp t="s">
        <v>表示銘柄数超過</v>
        <stp/>
        <stp>Market</stp>
        <stp>STOCK</stp>
        <stp>92470.T</stp>
        <stp>銘柄名称</stp>
        <tr r="B1101" s="7"/>
      </tp>
      <tp t="s">
        <v>ミクニ</v>
        <stp/>
        <stp>Market</stp>
        <stp>STOCK</stp>
        <stp>72470.T</stp>
        <stp>銘柄名称</stp>
        <tr r="B860" s="7"/>
      </tp>
      <tp t="s">
        <v>近鉄百貨店</v>
        <stp/>
        <stp>Market</stp>
        <stp>STOCK</stp>
        <stp>82440.T</stp>
        <stp>銘柄名称</stp>
        <tr r="B997" s="7"/>
      </tp>
      <tp t="s">
        <v>表示銘柄数超過</v>
        <stp/>
        <stp>Market</stp>
        <stp>STOCK</stp>
        <stp>32440.T</stp>
        <stp>銘柄名称</stp>
        <tr r="B264" s="7"/>
      </tp>
      <tp t="s">
        <v>ＪＩＧ．ＪＰ</v>
        <stp/>
        <stp>Market</stp>
        <stp>STOCK</stp>
        <stp>52440.T</stp>
        <stp>銘柄名称</stp>
        <tr r="B578" s="7"/>
      </tp>
      <tp t="s">
        <v>大同メタル工業</v>
        <stp/>
        <stp>Market</stp>
        <stp>STOCK</stp>
        <stp>72450.T</stp>
        <stp>銘柄名称</stp>
        <tr r="B858" s="7"/>
      </tp>
      <tp t="s">
        <v>エイチ・ツー・オーリテイリング</v>
        <stp/>
        <stp>Market</stp>
        <stp>STOCK</stp>
        <stp>82420.T</stp>
        <stp>銘柄名称</stp>
        <tr r="B996" s="7"/>
      </tp>
      <tp t="s">
        <v>表示銘柄数超過</v>
        <stp/>
        <stp>Market</stp>
        <stp>STOCK</stp>
        <stp>22420.T</stp>
        <stp>銘柄名称</stp>
        <tr r="B108" s="7"/>
      </tp>
      <tp t="s">
        <v>表示銘柄数超過</v>
        <stp/>
        <stp>Market</stp>
        <stp>STOCK</stp>
        <stp>32420.T</stp>
        <stp>銘柄名称</stp>
        <tr r="B263" s="7"/>
      </tp>
      <tp t="s">
        <v>表示銘柄数超過</v>
        <stp/>
        <stp>Market</stp>
        <stp>STOCK</stp>
        <stp>42430.T</stp>
        <stp>銘柄名称</stp>
        <tr r="B430" s="7"/>
      </tp>
      <tp t="s">
        <v>ＮＯＴＥ</v>
        <stp/>
        <stp>Market</stp>
        <stp>STOCK</stp>
        <stp>52430.T</stp>
        <stp>銘柄名称</stp>
        <tr r="B577" s="7"/>
      </tp>
      <tp t="s">
        <v>ヤマシンフィルタ</v>
        <stp/>
        <stp>Market</stp>
        <stp>STOCK</stp>
        <stp>62400.T</stp>
        <stp>銘柄名称</stp>
        <tr r="B681" s="7"/>
      </tp>
      <tp t="s">
        <v>ＮＯＫ</v>
        <stp/>
        <stp>Market</stp>
        <stp>STOCK</stp>
        <stp>72400.T</stp>
        <stp>銘柄名称</stp>
        <tr r="B857" s="7"/>
      </tp>
      <tp t="s">
        <v>表示銘柄数超過</v>
        <stp/>
        <stp>Market</stp>
        <stp>STOCK</stp>
        <stp>92410.T</stp>
        <stp>銘柄名称</stp>
        <tr r="B1100" s="7"/>
      </tp>
      <tp t="s">
        <v>表示銘柄数超過</v>
        <stp/>
        <stp>Market</stp>
        <stp>STOCK</stp>
        <stp>22410.T</stp>
        <stp>銘柄名称</stp>
        <tr r="B107" s="7"/>
      </tp>
      <tp t="s">
        <v>表示銘柄数超過</v>
        <stp/>
        <stp>Market</stp>
        <stp>STOCK</stp>
        <stp>32410.T</stp>
        <stp>銘柄名称</stp>
        <tr r="B262" s="7"/>
      </tp>
      <tp t="s">
        <v>表示銘柄数超過</v>
        <stp/>
        <stp>Market</stp>
        <stp>STOCK</stp>
        <stp>42410.T</stp>
        <stp>銘柄名称</stp>
        <tr r="B429" s="7"/>
      </tp>
      <tp t="s">
        <v>表示銘柄数超過</v>
        <stp/>
        <stp>Market</stp>
        <stp>STOCK</stp>
        <stp>92480.T</stp>
        <stp>銘柄名称</stp>
        <tr r="B1102" s="7"/>
      </tp>
      <tp t="s">
        <v>スパンクリート</v>
        <stp/>
        <stp>Market</stp>
        <stp>STOCK</stp>
        <stp>52770.T</stp>
        <stp>銘柄名称</stp>
        <tr r="B583" s="7"/>
      </tp>
      <tp t="s">
        <v>表示銘柄数超過</v>
        <stp/>
        <stp>Market</stp>
        <stp>STOCK</stp>
        <stp>92740.T</stp>
        <stp>銘柄名称</stp>
        <tr r="B1107" s="7"/>
      </tp>
      <tp t="s">
        <v>表示銘柄数超過</v>
        <stp/>
        <stp>Market</stp>
        <stp>STOCK</stp>
        <stp>42740.T</stp>
        <stp>銘柄名称</stp>
        <tr r="B435" s="7"/>
      </tp>
      <tp t="s">
        <v>表示銘柄数超過</v>
        <stp/>
        <stp>Market</stp>
        <stp>STOCK</stp>
        <stp>42750.T</stp>
        <stp>銘柄名称</stp>
        <tr r="B436" s="7"/>
      </tp>
      <tp t="s">
        <v>表示銘柄数超過</v>
        <stp/>
        <stp>Market</stp>
        <stp>STOCK</stp>
        <stp>92720.T</stp>
        <stp>銘柄名称</stp>
        <tr r="B1106" s="7"/>
      </tp>
      <tp t="s">
        <v>ヤマハ発動機</v>
        <stp/>
        <stp>Market</stp>
        <stp>STOCK</stp>
        <stp>72720.T</stp>
        <stp>銘柄名称</stp>
        <tr r="B868" s="7"/>
      </tp>
      <tp t="s">
        <v>表示銘柄数超過</v>
        <stp/>
        <stp>Market</stp>
        <stp>STOCK</stp>
        <stp>92700.T</stp>
        <stp>銘柄名称</stp>
        <tr r="B1105" s="7"/>
      </tp>
      <tp t="s">
        <v>ＳＵＢＡＲＵ</v>
        <stp/>
        <stp>Market</stp>
        <stp>STOCK</stp>
        <stp>72700.T</stp>
        <stp>銘柄名称</stp>
        <tr r="B867" s="7"/>
      </tp>
      <tp t="s">
        <v>表示銘柄数超過</v>
        <stp/>
        <stp>Market</stp>
        <stp>STOCK</stp>
        <stp>32710.T</stp>
        <stp>銘柄名称</stp>
        <tr r="B268" s="7"/>
      </tp>
      <tp t="s">
        <v>表示銘柄数超過</v>
        <stp/>
        <stp>Market</stp>
        <stp>STOCK</stp>
        <stp>92780.T</stp>
        <stp>銘柄名称</stp>
        <tr r="B1108" s="7"/>
      </tp>
      <tp t="s">
        <v>表示銘柄数超過</v>
        <stp/>
        <stp>Market</stp>
        <stp>STOCK</stp>
        <stp>32660.T</stp>
        <stp>銘柄名称</stp>
        <tr r="B267" s="7"/>
      </tp>
      <tp t="s">
        <v>イオン</v>
        <stp/>
        <stp>Market</stp>
        <stp>STOCK</stp>
        <stp>82670.T</stp>
        <stp>銘柄名称</stp>
        <tr r="B1001" s="7"/>
      </tp>
      <tp t="s">
        <v>本田技研</v>
        <stp/>
        <stp>Market</stp>
        <stp>STOCK</stp>
        <stp>72670.T</stp>
        <stp>銘柄名称</stp>
        <tr r="B864" s="7"/>
      </tp>
      <tp t="s">
        <v>表示銘柄数超過</v>
        <stp/>
        <stp>Market</stp>
        <stp>STOCK</stp>
        <stp>32640.T</stp>
        <stp>銘柄名称</stp>
        <tr r="B266" s="7"/>
      </tp>
      <tp t="s">
        <v>表示銘柄数超過</v>
        <stp/>
        <stp>Market</stp>
        <stp>STOCK</stp>
        <stp>42640.T</stp>
        <stp>銘柄名称</stp>
        <tr r="B433" s="7"/>
      </tp>
      <tp t="s">
        <v>日本ヒユ－ム</v>
        <stp/>
        <stp>Market</stp>
        <stp>STOCK</stp>
        <stp>52620.T</stp>
        <stp>銘柄名称</stp>
        <tr r="B581" s="7"/>
      </tp>
      <tp t="s">
        <v>表示銘柄数超過</v>
        <stp/>
        <stp>Market</stp>
        <stp>STOCK</stp>
        <stp>92630.T</stp>
        <stp>銘柄名称</stp>
        <tr r="B1104" s="7"/>
      </tp>
      <tp t="s">
        <v>表示銘柄数超過</v>
        <stp/>
        <stp>Market</stp>
        <stp>STOCK</stp>
        <stp>32610.T</stp>
        <stp>銘柄名称</stp>
        <tr r="B265" s="7"/>
      </tp>
      <tp t="s">
        <v>マツダ</v>
        <stp/>
        <stp>Market</stp>
        <stp>STOCK</stp>
        <stp>72610.T</stp>
        <stp>銘柄名称</stp>
        <tr r="B863" s="7"/>
      </tp>
      <tp t="s">
        <v>表示銘柄数超過</v>
        <stp/>
        <stp>Market</stp>
        <stp>STOCK</stp>
        <stp>42680.T</stp>
        <stp>銘柄名称</stp>
        <tr r="B434" s="7"/>
      </tp>
      <tp t="s">
        <v>タツミ</v>
        <stp/>
        <stp>Market</stp>
        <stp>STOCK</stp>
        <stp>72680.T</stp>
        <stp>銘柄名称</stp>
        <tr r="B865" s="7"/>
      </tp>
      <tp t="s">
        <v>日本コンクリ－ト</v>
        <stp/>
        <stp>Market</stp>
        <stp>STOCK</stp>
        <stp>52690.T</stp>
        <stp>銘柄名称</stp>
        <tr r="B582" s="7"/>
      </tp>
      <tp t="s">
        <v>スズキ</v>
        <stp/>
        <stp>Market</stp>
        <stp>STOCK</stp>
        <stp>72690.T</stp>
        <stp>銘柄名称</stp>
        <tr r="B866" s="7"/>
      </tp>
    </main>
    <main first="rtdsrv.662c26bade854d00aebc6010f8a2e03a">
      <tp t="s">
        <v>15:00:00</v>
        <stp/>
        <stp>Market</stp>
        <stp>STOCK</stp>
        <stp>56980.T</stp>
        <stp>現在値詳細時刻</stp>
        <tr r="D604" s="7"/>
      </tp>
      <tp t="s">
        <v>15:00:00</v>
        <stp/>
        <stp>Market</stp>
        <stp>STOCK</stp>
        <stp>56120.T</stp>
        <stp>現在値詳細時刻</stp>
        <tr r="D601" s="7"/>
      </tp>
      <tp t="s">
        <v>15:00:00</v>
        <stp/>
        <stp>Market</stp>
        <stp>STOCK</stp>
        <stp>56320.T</stp>
        <stp>現在値詳細時刻</stp>
        <tr r="D602" s="7"/>
      </tp>
      <tp t="s">
        <v>15:00:00</v>
        <stp/>
        <stp>Market</stp>
        <stp>STOCK</stp>
        <stp>56580.T</stp>
        <stp>現在値詳細時刻</stp>
        <tr r="D603" s="7"/>
      </tp>
      <tp t="s">
        <v>15:00:00</v>
        <stp/>
        <stp>Market</stp>
        <stp>STOCK</stp>
        <stp>57030.T</stp>
        <stp>現在値詳細時刻</stp>
        <tr r="D605" s="7"/>
      </tp>
      <tp t="s">
        <v>15:00:00</v>
        <stp/>
        <stp>Market</stp>
        <stp>STOCK</stp>
        <stp>57040.T</stp>
        <stp>現在値詳細時刻</stp>
        <tr r="D606" s="7"/>
      </tp>
      <tp t="s">
        <v>15:00:00</v>
        <stp/>
        <stp>Market</stp>
        <stp>STOCK</stp>
        <stp>57110.T</stp>
        <stp>現在値詳細時刻</stp>
        <tr r="D607" s="7"/>
      </tp>
      <tp t="s">
        <v>15:00:00</v>
        <stp/>
        <stp>Market</stp>
        <stp>STOCK</stp>
        <stp>57260.T</stp>
        <stp>現在値詳細時刻</stp>
        <tr r="D608" s="7"/>
      </tp>
      <tp t="s">
        <v>15:00:00</v>
        <stp/>
        <stp>Market</stp>
        <stp>STOCK</stp>
        <stp>57270.T</stp>
        <stp>現在値詳細時刻</stp>
        <tr r="D609" s="7"/>
      </tp>
      <tp t="s">
        <v>15:00:00</v>
        <stp/>
        <stp>Market</stp>
        <stp>STOCK</stp>
        <stp>57590.T</stp>
        <stp>現在値詳細時刻</stp>
        <tr r="D610" s="7"/>
      </tp>
      <tp t="s">
        <v>15:00:00</v>
        <stp/>
        <stp>Market</stp>
        <stp>STOCK</stp>
        <stp>54910.T</stp>
        <stp>現在値詳細時刻</stp>
        <tr r="D598" s="7"/>
      </tp>
      <tp t="s">
        <v>15:00:00</v>
        <stp/>
        <stp>Market</stp>
        <stp>STOCK</stp>
        <stp>54080.T</stp>
        <stp>現在値詳細時刻</stp>
        <tr r="D592" s="7"/>
      </tp>
      <tp t="s">
        <v>15:00:00</v>
        <stp/>
        <stp>Market</stp>
        <stp>STOCK</stp>
        <stp>54010.T</stp>
        <stp>現在値詳細時刻</stp>
        <tr r="D590" s="7"/>
      </tp>
      <tp t="s">
        <v>15:00:00</v>
        <stp/>
        <stp>Market</stp>
        <stp>STOCK</stp>
        <stp>54060.T</stp>
        <stp>現在値詳細時刻</stp>
        <tr r="D591" s="7"/>
      </tp>
      <tp t="s">
        <v>15:00:00</v>
        <stp/>
        <stp>Market</stp>
        <stp>STOCK</stp>
        <stp>54100.T</stp>
        <stp>現在値詳細時刻</stp>
        <tr r="D593" s="7"/>
      </tp>
      <tp t="s">
        <v>15:00:00</v>
        <stp/>
        <stp>Market</stp>
        <stp>STOCK</stp>
        <stp>54110.T</stp>
        <stp>現在値詳細時刻</stp>
        <tr r="D594" s="7"/>
      </tp>
      <tp t="s">
        <v>15:00:00</v>
        <stp/>
        <stp>Market</stp>
        <stp>STOCK</stp>
        <stp>54230.T</stp>
        <stp>現在値詳細時刻</stp>
        <tr r="D595" s="7"/>
      </tp>
      <tp t="s">
        <v>15:00:00</v>
        <stp/>
        <stp>Market</stp>
        <stp>STOCK</stp>
        <stp>54490.T</stp>
        <stp>現在値詳細時刻</stp>
        <tr r="D596" s="7"/>
      </tp>
      <tp t="s">
        <v>15:00:00</v>
        <stp/>
        <stp>Market</stp>
        <stp>STOCK</stp>
        <stp>54760.T</stp>
        <stp>現在値詳細時刻</stp>
        <tr r="D597" s="7"/>
      </tp>
      <tp t="s">
        <v>15:00:00</v>
        <stp/>
        <stp>Market</stp>
        <stp>STOCK</stp>
        <stp>55860.T</stp>
        <stp>現在値詳細時刻</stp>
        <tr r="D600" s="7"/>
      </tp>
      <tp t="s">
        <v>15:00:00</v>
        <stp/>
        <stp>Market</stp>
        <stp>STOCK</stp>
        <stp>55630.T</stp>
        <stp>現在値詳細時刻</stp>
        <tr r="D599" s="7"/>
      </tp>
      <tp t="s">
        <v>13:28:30</v>
        <stp/>
        <stp>Market</stp>
        <stp>STOCK</stp>
        <stp>52870.T</stp>
        <stp>現在値詳細時刻</stp>
        <tr r="D585" s="7"/>
      </tp>
      <tp t="s">
        <v>15:00:00</v>
        <stp/>
        <stp>Market</stp>
        <stp>STOCK</stp>
        <stp>52850.T</stp>
        <stp>現在値詳細時刻</stp>
        <tr r="D584" s="7"/>
      </tp>
      <tp t="s">
        <v>15:00:00</v>
        <stp/>
        <stp>Market</stp>
        <stp>STOCK</stp>
        <stp>52040.T</stp>
        <stp>現在値詳細時刻</stp>
        <tr r="D575" s="7"/>
      </tp>
      <tp t="s">
        <v>15:00:00</v>
        <stp/>
        <stp>Market</stp>
        <stp>STOCK</stp>
        <stp>52160.T</stp>
        <stp>現在値詳細時刻</stp>
        <tr r="D576" s="7"/>
      </tp>
      <tp t="s">
        <v>15:00:00</v>
        <stp/>
        <stp>Market</stp>
        <stp>STOCK</stp>
        <stp>52430.T</stp>
        <stp>現在値詳細時刻</stp>
        <tr r="D577" s="7"/>
      </tp>
      <tp t="s">
        <v>15:00:00</v>
        <stp/>
        <stp>Market</stp>
        <stp>STOCK</stp>
        <stp>52460.T</stp>
        <stp>現在値詳細時刻</stp>
        <tr r="D579" s="7"/>
      </tp>
      <tp t="s">
        <v>15:00:00</v>
        <stp/>
        <stp>Market</stp>
        <stp>STOCK</stp>
        <stp>52440.T</stp>
        <stp>現在値詳細時刻</stp>
        <tr r="D578" s="7"/>
      </tp>
      <tp t="s">
        <v>15:00:00</v>
        <stp/>
        <stp>Market</stp>
        <stp>STOCK</stp>
        <stp>52530.T</stp>
        <stp>現在値詳細時刻</stp>
        <tr r="D580" s="7"/>
      </tp>
      <tp t="s">
        <v>15:00:00</v>
        <stp/>
        <stp>Market</stp>
        <stp>STOCK</stp>
        <stp>52690.T</stp>
        <stp>現在値詳細時刻</stp>
        <tr r="D582" s="7"/>
      </tp>
      <tp t="s">
        <v>15:00:00</v>
        <stp/>
        <stp>Market</stp>
        <stp>STOCK</stp>
        <stp>52620.T</stp>
        <stp>現在値詳細時刻</stp>
        <tr r="D581" s="7"/>
      </tp>
      <tp t="s">
        <v>15:00:00</v>
        <stp/>
        <stp>Market</stp>
        <stp>STOCK</stp>
        <stp>52770.T</stp>
        <stp>現在値詳細時刻</stp>
        <tr r="D583" s="7"/>
      </tp>
      <tp t="s">
        <v>15:00:00</v>
        <stp/>
        <stp>Market</stp>
        <stp>STOCK</stp>
        <stp>53810.T</stp>
        <stp>現在値詳細時刻</stp>
        <tr r="D589" s="7"/>
      </tp>
      <tp t="s">
        <v>15:00:00</v>
        <stp/>
        <stp>Market</stp>
        <stp>STOCK</stp>
        <stp>53340.T</stp>
        <stp>現在値詳細時刻</stp>
        <tr r="D586" s="7"/>
      </tp>
      <tp t="s">
        <v>15:00:00</v>
        <stp/>
        <stp>Market</stp>
        <stp>STOCK</stp>
        <stp>53410.T</stp>
        <stp>現在値詳細時刻</stp>
        <tr r="D587" s="7"/>
      </tp>
      <tp t="s">
        <v>15:00:00</v>
        <stp/>
        <stp>Market</stp>
        <stp>STOCK</stp>
        <stp>53570.T</stp>
        <stp>現在値詳細時刻</stp>
        <tr r="D588" s="7"/>
      </tp>
      <tp t="s">
        <v>表示銘柄数超過</v>
        <stp/>
        <stp>Market</stp>
        <stp>STOCK</stp>
        <stp>50190.T</stp>
        <stp>現在値詳細時刻</stp>
        <tr r="D561" s="7"/>
      </tp>
      <tp t="s">
        <v>表示銘柄数超過</v>
        <stp/>
        <stp>Market</stp>
        <stp>STOCK</stp>
        <stp>50100.T</stp>
        <stp>現在値詳細時刻</stp>
        <tr r="D558" s="7"/>
      </tp>
      <tp t="s">
        <v>表示銘柄数超過</v>
        <stp/>
        <stp>Market</stp>
        <stp>STOCK</stp>
        <stp>50170.T</stp>
        <stp>現在値詳細時刻</stp>
        <tr r="D560" s="7"/>
      </tp>
      <tp t="s">
        <v>表示銘柄数超過</v>
        <stp/>
        <stp>Market</stp>
        <stp>STOCK</stp>
        <stp>50150.T</stp>
        <stp>現在値詳細時刻</stp>
        <tr r="D559" s="7"/>
      </tp>
      <tp t="s">
        <v>表示銘柄数超過</v>
        <stp/>
        <stp>Market</stp>
        <stp>STOCK</stp>
        <stp>50280.T</stp>
        <stp>現在値詳細時刻</stp>
        <tr r="D564" s="7"/>
      </tp>
      <tp t="s">
        <v>表示銘柄数超過</v>
        <stp/>
        <stp>Market</stp>
        <stp>STOCK</stp>
        <stp>50200.T</stp>
        <stp>現在値詳細時刻</stp>
        <tr r="D562" s="7"/>
      </tp>
      <tp t="s">
        <v>表示銘柄数超過</v>
        <stp/>
        <stp>Market</stp>
        <stp>STOCK</stp>
        <stp>50210.T</stp>
        <stp>現在値詳細時刻</stp>
        <tr r="D563" s="7"/>
      </tp>
      <tp t="s">
        <v>表示銘柄数超過</v>
        <stp/>
        <stp>Market</stp>
        <stp>STOCK</stp>
        <stp>50320.T</stp>
        <stp>現在値詳細時刻</stp>
        <tr r="D565" s="7"/>
      </tp>
      <tp t="s">
        <v>表示銘柄数超過</v>
        <stp/>
        <stp>Market</stp>
        <stp>STOCK</stp>
        <stp>50740.T</stp>
        <stp>現在値詳細時刻</stp>
        <tr r="D566" s="7"/>
      </tp>
      <tp t="s">
        <v>15:00:00</v>
        <stp/>
        <stp>Market</stp>
        <stp>STOCK</stp>
        <stp>51920.T</stp>
        <stp>現在値詳細時刻</stp>
        <tr r="D574" s="7"/>
      </tp>
      <tp t="s">
        <v>15:00:00</v>
        <stp/>
        <stp>Market</stp>
        <stp>STOCK</stp>
        <stp>51080.T</stp>
        <stp>現在値詳細時刻</stp>
        <tr r="D568" s="7"/>
      </tp>
      <tp t="s">
        <v>15:00:00</v>
        <stp/>
        <stp>Market</stp>
        <stp>STOCK</stp>
        <stp>51030.T</stp>
        <stp>現在値詳細時刻</stp>
        <tr r="D567" s="7"/>
      </tp>
      <tp t="s">
        <v>15:00:00</v>
        <stp/>
        <stp>Market</stp>
        <stp>STOCK</stp>
        <stp>51100.T</stp>
        <stp>現在値詳細時刻</stp>
        <tr r="D569" s="7"/>
      </tp>
      <tp t="s">
        <v>15:00:00</v>
        <stp/>
        <stp>Market</stp>
        <stp>STOCK</stp>
        <stp>51290.T</stp>
        <stp>現在値詳細時刻</stp>
        <tr r="D571" s="7"/>
      </tp>
      <tp t="s">
        <v>15:00:00</v>
        <stp/>
        <stp>Market</stp>
        <stp>STOCK</stp>
        <stp>51210.T</stp>
        <stp>現在値詳細時刻</stp>
        <tr r="D570" s="7"/>
      </tp>
      <tp t="s">
        <v>15:00:00</v>
        <stp/>
        <stp>Market</stp>
        <stp>STOCK</stp>
        <stp>51330.T</stp>
        <stp>現在値詳細時刻</stp>
        <tr r="D573" s="7"/>
      </tp>
      <tp t="s">
        <v>15:00:00</v>
        <stp/>
        <stp>Market</stp>
        <stp>STOCK</stp>
        <stp>51310.T</stp>
        <stp>現在値詳細時刻</stp>
        <tr r="D572" s="7"/>
      </tp>
      <tp t="s">
        <v>15:00:00</v>
        <stp/>
        <stp>Market</stp>
        <stp>STOCK</stp>
        <stp>58020.T</stp>
        <stp>現在値詳細時刻</stp>
        <tr r="D612" s="7"/>
      </tp>
      <tp t="s">
        <v>15:00:00</v>
        <stp/>
        <stp>Market</stp>
        <stp>STOCK</stp>
        <stp>58030.T</stp>
        <stp>現在値詳細時刻</stp>
        <tr r="D613" s="7"/>
      </tp>
      <tp t="s">
        <v>15:00:00</v>
        <stp/>
        <stp>Market</stp>
        <stp>STOCK</stp>
        <stp>58010.T</stp>
        <stp>現在値詳細時刻</stp>
        <tr r="D611" s="7"/>
      </tp>
      <tp t="s">
        <v>15:00:00</v>
        <stp/>
        <stp>Market</stp>
        <stp>STOCK</stp>
        <stp>58380.T</stp>
        <stp>現在値詳細時刻</stp>
        <tr r="D615" s="7"/>
      </tp>
      <tp t="s">
        <v>15:00:00</v>
        <stp/>
        <stp>Market</stp>
        <stp>STOCK</stp>
        <stp>58320.T</stp>
        <stp>現在値詳細時刻</stp>
        <tr r="D614" s="7"/>
      </tp>
      <tp t="s">
        <v>15:00:00</v>
        <stp/>
        <stp>Market</stp>
        <stp>STOCK</stp>
        <stp>58520.T</stp>
        <stp>現在値詳細時刻</stp>
        <tr r="D616" s="7"/>
      </tp>
      <tp t="s">
        <v>15:00:00</v>
        <stp/>
        <stp>Market</stp>
        <stp>STOCK</stp>
        <stp>58560.T</stp>
        <stp>現在値詳細時刻</stp>
        <tr r="D617" s="7"/>
      </tp>
      <tp t="s">
        <v>15:00:00</v>
        <stp/>
        <stp>Market</stp>
        <stp>STOCK</stp>
        <stp>59810.T</stp>
        <stp>現在値詳細時刻</stp>
        <tr r="D631" s="7"/>
      </tp>
      <tp t="s">
        <v>15:00:00</v>
        <stp/>
        <stp>Market</stp>
        <stp>STOCK</stp>
        <stp>59860.T</stp>
        <stp>現在値詳細時刻</stp>
        <tr r="D632" s="7"/>
      </tp>
      <tp t="s">
        <v>15:00:00</v>
        <stp/>
        <stp>Market</stp>
        <stp>STOCK</stp>
        <stp>59910.T</stp>
        <stp>現在値詳細時刻</stp>
        <tr r="D633" s="7"/>
      </tp>
      <tp t="s">
        <v>15:00:00</v>
        <stp/>
        <stp>Market</stp>
        <stp>STOCK</stp>
        <stp>59970.T</stp>
        <stp>現在値詳細時刻</stp>
        <tr r="D635" s="7"/>
      </tp>
      <tp t="s">
        <v>14:26:38</v>
        <stp/>
        <stp>Market</stp>
        <stp>STOCK</stp>
        <stp>59940.T</stp>
        <stp>現在値詳細時刻</stp>
        <tr r="D634" s="7"/>
      </tp>
      <tp t="s">
        <v>15:00:00</v>
        <stp/>
        <stp>Market</stp>
        <stp>STOCK</stp>
        <stp>59090.T</stp>
        <stp>現在値詳細時刻</stp>
        <tr r="D618" s="7"/>
      </tp>
      <tp t="s">
        <v>15:00:00</v>
        <stp/>
        <stp>Market</stp>
        <stp>STOCK</stp>
        <stp>59280.T</stp>
        <stp>現在値詳細時刻</stp>
        <tr r="D619" s="7"/>
      </tp>
      <tp t="s">
        <v>15:00:00</v>
        <stp/>
        <stp>Market</stp>
        <stp>STOCK</stp>
        <stp>59380.T</stp>
        <stp>現在値詳細時刻</stp>
        <tr r="D621" s="7"/>
      </tp>
      <tp t="s">
        <v>15:00:00</v>
        <stp/>
        <stp>Market</stp>
        <stp>STOCK</stp>
        <stp>59360.T</stp>
        <stp>現在値詳細時刻</stp>
        <tr r="D620" s="7"/>
      </tp>
      <tp t="s">
        <v>15:00:00</v>
        <stp/>
        <stp>Market</stp>
        <stp>STOCK</stp>
        <stp>59490.T</stp>
        <stp>現在値詳細時刻</stp>
        <tr r="D624" s="7"/>
      </tp>
      <tp t="s">
        <v>15:00:00</v>
        <stp/>
        <stp>Market</stp>
        <stp>STOCK</stp>
        <stp>59400.T</stp>
        <stp>現在値詳細時刻</stp>
        <tr r="D622" s="7"/>
      </tp>
      <tp t="s">
        <v>15:00:00</v>
        <stp/>
        <stp>Market</stp>
        <stp>STOCK</stp>
        <stp>59470.T</stp>
        <stp>現在値詳細時刻</stp>
        <tr r="D623" s="7"/>
      </tp>
      <tp t="s">
        <v>15:00:00</v>
        <stp/>
        <stp>Market</stp>
        <stp>STOCK</stp>
        <stp>59520.T</stp>
        <stp>現在値詳細時刻</stp>
        <tr r="D626" s="7"/>
      </tp>
      <tp t="s">
        <v>15:00:00</v>
        <stp/>
        <stp>Market</stp>
        <stp>STOCK</stp>
        <stp>59500.T</stp>
        <stp>現在値詳細時刻</stp>
        <tr r="D625" s="7"/>
      </tp>
      <tp t="s">
        <v>15:00:00</v>
        <stp/>
        <stp>Market</stp>
        <stp>STOCK</stp>
        <stp>59550.T</stp>
        <stp>現在値詳細時刻</stp>
        <tr r="D627" s="7"/>
      </tp>
      <tp t="s">
        <v>15:00:00</v>
        <stp/>
        <stp>Market</stp>
        <stp>STOCK</stp>
        <stp>59660.T</stp>
        <stp>現在値詳細時刻</stp>
        <tr r="D628" s="7"/>
      </tp>
      <tp t="s">
        <v>15:00:00</v>
        <stp/>
        <stp>Market</stp>
        <stp>STOCK</stp>
        <stp>59700.T</stp>
        <stp>現在値詳細時刻</stp>
        <tr r="D629" s="7"/>
      </tp>
      <tp t="s">
        <v>15:00:00</v>
        <stp/>
        <stp>Market</stp>
        <stp>STOCK</stp>
        <stp>59760.T</stp>
        <stp>現在値詳細時刻</stp>
        <tr r="D630" s="7"/>
      </tp>
      <tp t="s">
        <v>表示銘柄数超過</v>
        <stp/>
        <stp>Market</stp>
        <stp>STOCK</stp>
        <stp>43950.T</stp>
        <stp>銘柄名称</stp>
        <tr r="B458" s="7"/>
      </tp>
      <tp t="s">
        <v>タダノ</v>
        <stp/>
        <stp>Market</stp>
        <stp>STOCK</stp>
        <stp>63950.T</stp>
        <stp>銘柄名称</stp>
        <tr r="B699" s="7"/>
      </tp>
      <tp t="s">
        <v>表示銘柄数超過</v>
        <stp/>
        <stp>Market</stp>
        <stp>STOCK</stp>
        <stp>33920.T</stp>
        <stp>銘柄名称</stp>
        <tr r="B293" s="7"/>
      </tp>
      <tp t="s">
        <v>加藤製作所</v>
        <stp/>
        <stp>Market</stp>
        <stp>STOCK</stp>
        <stp>63900.T</stp>
        <stp>銘柄名称</stp>
        <tr r="B698" s="7"/>
      </tp>
      <tp t="s">
        <v>ビートＨＬＤＧＳリミテッド</v>
        <stp/>
        <stp>Market</stp>
        <stp>STOCK</stp>
        <stp>93990.T</stp>
        <stp>銘柄名称</stp>
        <tr r="B1113" s="7"/>
      </tp>
      <tp t="s">
        <v>表示銘柄数超過</v>
        <stp/>
        <stp>Market</stp>
        <stp>STOCK</stp>
        <stp>13990.T</stp>
        <stp>銘柄名称</stp>
        <tr r="B16" s="7"/>
      </tp>
      <tp t="s">
        <v>表示銘柄数超過</v>
        <stp/>
        <stp>Market</stp>
        <stp>STOCK</stp>
        <stp>33860.T</stp>
        <stp>銘柄名称</stp>
        <tr r="B291" s="7"/>
      </tp>
      <tp t="s">
        <v>四国銀行</v>
        <stp/>
        <stp>Market</stp>
        <stp>STOCK</stp>
        <stp>83870.T</stp>
        <stp>銘柄名称</stp>
        <tr r="B1009" s="7"/>
      </tp>
      <tp t="s">
        <v>プロクレアホールディングス</v>
        <stp/>
        <stp>Market</stp>
        <stp>STOCK</stp>
        <stp>73840.T</stp>
        <stp>銘柄名称</stp>
        <tr r="B885" s="7"/>
      </tp>
      <tp t="s">
        <v>表示銘柄数超過</v>
        <stp/>
        <stp>Market</stp>
        <stp>STOCK</stp>
        <stp>43850.T</stp>
        <stp>銘柄名称</stp>
        <tr r="B456" s="7"/>
      </tp>
      <tp t="s">
        <v>表示銘柄数超過</v>
        <stp/>
        <stp>Market</stp>
        <stp>STOCK</stp>
        <stp>33820.T</stp>
        <stp>銘柄名称</stp>
        <tr r="B290" s="7"/>
      </tp>
      <tp t="s">
        <v>表示銘柄数超過</v>
        <stp/>
        <stp>Market</stp>
        <stp>STOCK</stp>
        <stp>43820.T</stp>
        <stp>銘柄名称</stp>
        <tr r="B455" s="7"/>
      </tp>
      <tp t="s">
        <v>鳥取銀行</v>
        <stp/>
        <stp>Market</stp>
        <stp>STOCK</stp>
        <stp>83830.T</stp>
        <stp>銘柄名称</stp>
        <tr r="B1008" s="7"/>
      </tp>
      <tp t="s">
        <v>ダイフク</v>
        <stp/>
        <stp>Market</stp>
        <stp>STOCK</stp>
        <stp>63830.T</stp>
        <stp>銘柄名称</stp>
        <tr r="B697" s="7"/>
      </tp>
      <tp t="s">
        <v>ネットプロＨＤ</v>
        <stp/>
        <stp>Market</stp>
        <stp>STOCK</stp>
        <stp>73830.T</stp>
        <stp>銘柄名称</stp>
        <tr r="B884" s="7"/>
      </tp>
      <tp t="s">
        <v>表示銘柄数超過</v>
        <stp/>
        <stp>Market</stp>
        <stp>STOCK</stp>
        <stp>93800.T</stp>
        <stp>銘柄名称</stp>
        <tr r="B1112" s="7"/>
      </tp>
      <tp t="s">
        <v>ＭＩＰＯＸ</v>
        <stp/>
        <stp>Market</stp>
        <stp>STOCK</stp>
        <stp>53810.T</stp>
        <stp>銘柄名称</stp>
        <tr r="B589" s="7"/>
      </tp>
      <tp t="s">
        <v>アネスト岩田</v>
        <stp/>
        <stp>Market</stp>
        <stp>STOCK</stp>
        <stp>63810.T</stp>
        <stp>銘柄名称</stp>
        <tr r="B696" s="7"/>
      </tp>
      <tp t="s">
        <v>表示銘柄数超過</v>
        <stp/>
        <stp>Market</stp>
        <stp>STOCK</stp>
        <stp>23880.T</stp>
        <stp>銘柄名称</stp>
        <tr r="B131" s="7"/>
      </tp>
      <tp t="s">
        <v>表示銘柄数超過</v>
        <stp/>
        <stp>Market</stp>
        <stp>STOCK</stp>
        <stp>33880.T</stp>
        <stp>銘柄名称</stp>
        <tr r="B292" s="7"/>
      </tp>
      <tp t="s">
        <v>表示銘柄数超過</v>
        <stp/>
        <stp>Market</stp>
        <stp>STOCK</stp>
        <stp>43880.T</stp>
        <stp>銘柄名称</stp>
        <tr r="B457" s="7"/>
      </tp>
      <tp t="s">
        <v>三井住友フィナンシャルＧ</v>
        <stp/>
        <stp>Market</stp>
        <stp>STOCK</stp>
        <stp>83160.T</stp>
        <stp>銘柄名称</stp>
        <tr r="B1003" s="7"/>
      </tp>
      <tp t="s">
        <v>表示銘柄数超過</v>
        <stp/>
        <stp>Market</stp>
        <stp>STOCK</stp>
        <stp>33160.T</stp>
        <stp>銘柄名称</stp>
        <tr r="B277" s="7"/>
      </tp>
      <tp t="s">
        <v>表示銘柄数超過</v>
        <stp/>
        <stp>Market</stp>
        <stp>STOCK</stp>
        <stp>43160.T</stp>
        <stp>銘柄名称</stp>
        <tr r="B442" s="7"/>
      </tp>
      <tp t="s">
        <v>表示銘柄数超過</v>
        <stp/>
        <stp>Market</stp>
        <stp>STOCK</stp>
        <stp>23170.T</stp>
        <stp>銘柄名称</stp>
        <tr r="B114" s="7"/>
      </tp>
      <tp t="s">
        <v>松屋アールアンドディ</v>
        <stp/>
        <stp>Market</stp>
        <stp>STOCK</stp>
        <stp>73170.T</stp>
        <stp>銘柄名称</stp>
        <tr r="B874" s="7"/>
      </tp>
      <tp t="s">
        <v>ＣＡＩＣＡＤＩＧＩＴＡＬ</v>
        <stp/>
        <stp>Market</stp>
        <stp>STOCK</stp>
        <stp>23150.T</stp>
        <stp>銘柄名称</stp>
        <tr r="B113" s="7"/>
      </tp>
      <tp t="s">
        <v>表示銘柄数超過</v>
        <stp/>
        <stp>Market</stp>
        <stp>STOCK</stp>
        <stp>33150.T</stp>
        <stp>銘柄名称</stp>
        <tr r="B276" s="7"/>
      </tp>
      <tp t="s">
        <v>表示銘柄数超過</v>
        <stp/>
        <stp>Market</stp>
        <stp>STOCK</stp>
        <stp>13110.T</stp>
        <stp>銘柄名称</stp>
        <tr r="B5" s="7"/>
      </tp>
      <tp t="s">
        <v>表示銘柄数超過</v>
        <stp/>
        <stp>Market</stp>
        <stp>STOCK</stp>
        <stp>13190.T</stp>
        <stp>銘柄名称</stp>
        <tr r="B6" s="7"/>
      </tp>
      <tp t="s">
        <v>表示銘柄数超過</v>
        <stp/>
        <stp>Market</stp>
        <stp>STOCK</stp>
        <stp>13060.T</stp>
        <stp>銘柄名称</stp>
        <tr r="B3" s="7"/>
      </tp>
      <tp t="s">
        <v>表示銘柄数超過</v>
        <stp/>
        <stp>Market</stp>
        <stp>STOCK</stp>
        <stp>93070.T</stp>
        <stp>銘柄名称</stp>
        <tr r="B1109" s="7"/>
      </tp>
      <tp t="s">
        <v>表示銘柄数超過</v>
        <stp/>
        <stp>Market</stp>
        <stp>STOCK</stp>
        <stp>23040.T</stp>
        <stp>銘柄名称</stp>
        <tr r="B111" s="7"/>
      </tp>
      <tp t="s">
        <v>表示銘柄数超過</v>
        <stp/>
        <stp>Market</stp>
        <stp>STOCK</stp>
        <stp>43040.T</stp>
        <stp>銘柄名称</stp>
        <tr r="B440" s="7"/>
      </tp>
      <tp t="s">
        <v>表示銘柄数超過</v>
        <stp/>
        <stp>Market</stp>
        <stp>STOCK</stp>
        <stp>13050.T</stp>
        <stp>銘柄名称</stp>
        <tr r="B2" s="7"/>
      </tp>
      <tp t="s">
        <v>表示銘柄数超過</v>
        <stp/>
        <stp>Market</stp>
        <stp>STOCK</stp>
        <stp>23050.T</stp>
        <stp>銘柄名称</stp>
        <tr r="B112" s="7"/>
      </tp>
      <tp t="s">
        <v>日立建機</v>
        <stp/>
        <stp>Market</stp>
        <stp>STOCK</stp>
        <stp>63050.T</stp>
        <stp>銘柄名称</stp>
        <tr r="B687" s="7"/>
      </tp>
      <tp t="s">
        <v>表示銘柄数超過</v>
        <stp/>
        <stp>Market</stp>
        <stp>STOCK</stp>
        <stp>33000.T</stp>
        <stp>銘柄名称</stp>
        <tr r="B275" s="7"/>
      </tp>
      <tp t="s">
        <v>小松製作所</v>
        <stp/>
        <stp>Market</stp>
        <stp>STOCK</stp>
        <stp>63010.T</stp>
        <stp>銘柄名称</stp>
        <tr r="B686" s="7"/>
      </tp>
      <tp t="s">
        <v>表示銘柄数超過</v>
        <stp/>
        <stp>Market</stp>
        <stp>STOCK</stp>
        <stp>13080.T</stp>
        <stp>銘柄名称</stp>
        <tr r="B4" s="7"/>
      </tp>
      <tp t="s">
        <v>表示銘柄数超過</v>
        <stp/>
        <stp>Market</stp>
        <stp>STOCK</stp>
        <stp>43080.T</stp>
        <stp>銘柄名称</stp>
        <tr r="B441" s="7"/>
      </tp>
      <tp t="s">
        <v>石井表記</v>
        <stp/>
        <stp>Market</stp>
        <stp>STOCK</stp>
        <stp>63360.T</stp>
        <stp>銘柄名称</stp>
        <tr r="B690" s="7"/>
      </tp>
      <tp t="s">
        <v>千葉興業銀行</v>
        <stp/>
        <stp>Market</stp>
        <stp>STOCK</stp>
        <stp>83370.T</stp>
        <stp>銘柄名称</stp>
        <tr r="B1005" s="7"/>
      </tp>
      <tp t="s">
        <v>表示銘柄数超過</v>
        <stp/>
        <stp>Market</stp>
        <stp>STOCK</stp>
        <stp>23370.T</stp>
        <stp>銘柄名称</stp>
        <tr r="B118" s="7"/>
      </tp>
      <tp t="s">
        <v>表示銘柄数超過</v>
        <stp/>
        <stp>Market</stp>
        <stp>STOCK</stp>
        <stp>43370.T</stp>
        <stp>銘柄名称</stp>
        <tr r="B444" s="7"/>
      </tp>
      <tp t="s">
        <v>ひろぎんＨＬＤＧＳ</v>
        <stp/>
        <stp>Market</stp>
        <stp>STOCK</stp>
        <stp>73370.T</stp>
        <stp>銘柄名称</stp>
        <tr r="B875" s="7"/>
      </tp>
      <tp t="s">
        <v>日本特殊陶業</v>
        <stp/>
        <stp>Market</stp>
        <stp>STOCK</stp>
        <stp>53340.T</stp>
        <stp>銘柄名称</stp>
        <tr r="B586" s="7"/>
      </tp>
      <tp t="s">
        <v>明治機械</v>
        <stp/>
        <stp>Market</stp>
        <stp>STOCK</stp>
        <stp>63340.T</stp>
        <stp>銘柄名称</stp>
        <tr r="B689" s="7"/>
      </tp>
      <tp t="s">
        <v>表示銘柄数超過</v>
        <stp/>
        <stp>Market</stp>
        <stp>STOCK</stp>
        <stp>13320.T</stp>
        <stp>銘柄名称</stp>
        <tr r="B8" s="7"/>
      </tp>
      <tp t="s">
        <v>表示銘柄数超過</v>
        <stp/>
        <stp>Market</stp>
        <stp>STOCK</stp>
        <stp>13330.T</stp>
        <stp>銘柄名称</stp>
        <tr r="B9" s="7"/>
      </tp>
      <tp t="s">
        <v>表示銘柄数超過</v>
        <stp/>
        <stp>Market</stp>
        <stp>STOCK</stp>
        <stp>33330.T</stp>
        <stp>銘柄名称</stp>
        <tr r="B281" s="7"/>
      </tp>
      <tp t="s">
        <v>表示銘柄数超過</v>
        <stp/>
        <stp>Market</stp>
        <stp>STOCK</stp>
        <stp>23300.T</stp>
        <stp>銘柄名称</stp>
        <tr r="B117" s="7"/>
      </tp>
      <tp t="s">
        <v>東洋エンジニア</v>
        <stp/>
        <stp>Market</stp>
        <stp>STOCK</stp>
        <stp>63300.T</stp>
        <stp>銘柄名称</stp>
        <tr r="B688" s="7"/>
      </tp>
      <tp t="s">
        <v>千葉銀行</v>
        <stp/>
        <stp>Market</stp>
        <stp>STOCK</stp>
        <stp>83310.T</stp>
        <stp>銘柄名称</stp>
        <tr r="B1004" s="7"/>
      </tp>
      <tp t="s">
        <v>表示銘柄数超過</v>
        <stp/>
        <stp>Market</stp>
        <stp>STOCK</stp>
        <stp>33260.T</stp>
        <stp>銘柄名称</stp>
        <tr r="B279" s="7"/>
      </tp>
      <tp t="s">
        <v>表示銘柄数超過</v>
        <stp/>
        <stp>Market</stp>
        <stp>STOCK</stp>
        <stp>43240.T</stp>
        <stp>銘柄名称</stp>
        <tr r="B443" s="7"/>
      </tp>
      <tp t="s">
        <v>表示銘柄数超過</v>
        <stp/>
        <stp>Market</stp>
        <stp>STOCK</stp>
        <stp>93250.T</stp>
        <stp>銘柄名称</stp>
        <tr r="B1110" s="7"/>
      </tp>
      <tp t="s">
        <v>表示銘柄数超過</v>
        <stp/>
        <stp>Market</stp>
        <stp>STOCK</stp>
        <stp>13250.T</stp>
        <stp>銘柄名称</stp>
        <tr r="B7" s="7"/>
      </tp>
      <tp t="s">
        <v>表示銘柄数超過</v>
        <stp/>
        <stp>Market</stp>
        <stp>STOCK</stp>
        <stp>23230.T</stp>
        <stp>銘柄名称</stp>
        <tr r="B116" s="7"/>
      </tp>
      <tp t="s">
        <v>表示銘柄数超過</v>
        <stp/>
        <stp>Market</stp>
        <stp>STOCK</stp>
        <stp>33230.T</stp>
        <stp>銘柄名称</stp>
        <tr r="B278" s="7"/>
      </tp>
      <tp t="s">
        <v>表示銘柄数超過</v>
        <stp/>
        <stp>Market</stp>
        <stp>STOCK</stp>
        <stp>23210.T</stp>
        <stp>銘柄名称</stp>
        <tr r="B115" s="7"/>
      </tp>
      <tp t="s">
        <v>表示銘柄数超過</v>
        <stp/>
        <stp>Market</stp>
        <stp>STOCK</stp>
        <stp>33280.T</stp>
        <stp>銘柄名称</stp>
        <tr r="B280" s="7"/>
      </tp>
      <tp t="s">
        <v>表示銘柄数超過</v>
        <stp/>
        <stp>Market</stp>
        <stp>STOCK</stp>
        <stp>13560.T</stp>
        <stp>銘柄名称</stp>
        <tr r="B11" s="7"/>
      </tp>
      <tp t="s">
        <v>日本ギア工業</v>
        <stp/>
        <stp>Market</stp>
        <stp>STOCK</stp>
        <stp>63560.T</stp>
        <stp>銘柄名称</stp>
        <tr r="B693" s="7"/>
      </tp>
      <tp t="s">
        <v>ＮＦ日経ダブインバ</v>
        <stp/>
        <stp>Market</stp>
        <stp>STOCK</stp>
        <stp>13570.T</stp>
        <stp>銘柄名称</stp>
        <tr r="B12" s="7"/>
      </tp>
      <tp t="s">
        <v>ヨータイ</v>
        <stp/>
        <stp>Market</stp>
        <stp>STOCK</stp>
        <stp>53570.T</stp>
        <stp>銘柄名称</stp>
        <tr r="B588" s="7"/>
      </tp>
      <tp t="s">
        <v>表示銘柄数超過</v>
        <stp/>
        <stp>Market</stp>
        <stp>STOCK</stp>
        <stp>23540.T</stp>
        <stp>銘柄名称</stp>
        <tr r="B125" s="7"/>
      </tp>
      <tp t="s">
        <v>表示銘柄数超過</v>
        <stp/>
        <stp>Market</stp>
        <stp>STOCK</stp>
        <stp>33550.T</stp>
        <stp>銘柄名称</stp>
        <tr r="B284" s="7"/>
      </tp>
      <tp t="s">
        <v>表示銘柄数超過</v>
        <stp/>
        <stp>Market</stp>
        <stp>STOCK</stp>
        <stp>43550.T</stp>
        <stp>銘柄名称</stp>
        <tr r="B448" s="7"/>
      </tp>
      <tp t="s">
        <v>表示銘柄数超過</v>
        <stp/>
        <stp>Market</stp>
        <stp>STOCK</stp>
        <stp>23530.T</stp>
        <stp>銘柄名称</stp>
        <tr r="B124" s="7"/>
      </tp>
      <tp t="s">
        <v>ＫＩＹＯラーニング</v>
        <stp/>
        <stp>Market</stp>
        <stp>STOCK</stp>
        <stp>73530.T</stp>
        <stp>銘柄名称</stp>
        <tr r="B879" s="7"/>
      </tp>
      <tp t="s">
        <v>表示銘柄数超過</v>
        <stp/>
        <stp>Market</stp>
        <stp>STOCK</stp>
        <stp>33500.T</stp>
        <stp>銘柄名称</stp>
        <tr r="B283" s="7"/>
      </tp>
      <tp t="s">
        <v>表示銘柄数超過</v>
        <stp/>
        <stp>Market</stp>
        <stp>STOCK</stp>
        <stp>43500.T</stp>
        <stp>銘柄名称</stp>
        <tr r="B447" s="7"/>
      </tp>
      <tp t="s">
        <v>おきなわＦＧ</v>
        <stp/>
        <stp>Market</stp>
        <stp>STOCK</stp>
        <stp>73500.T</stp>
        <stp>銘柄名称</stp>
        <tr r="B877" s="7"/>
      </tp>
      <tp t="s">
        <v>表示銘柄数超過</v>
        <stp/>
        <stp>Market</stp>
        <stp>STOCK</stp>
        <stp>23510.T</stp>
        <stp>銘柄名称</stp>
        <tr r="B123" s="7"/>
      </tp>
      <tp t="s">
        <v>グッドパッチ</v>
        <stp/>
        <stp>Market</stp>
        <stp>STOCK</stp>
        <stp>73510.T</stp>
        <stp>銘柄名称</stp>
        <tr r="B878" s="7"/>
      </tp>
      <tp t="s">
        <v>スルガ銀行</v>
        <stp/>
        <stp>Market</stp>
        <stp>STOCK</stp>
        <stp>83580.T</stp>
        <stp>銘柄名称</stp>
        <tr r="B1006" s="7"/>
      </tp>
      <tp t="s">
        <v>表示銘柄数超過</v>
        <stp/>
        <stp>Market</stp>
        <stp>STOCK</stp>
        <stp>33580.T</stp>
        <stp>銘柄名称</stp>
        <tr r="B285" s="7"/>
      </tp>
      <tp t="s">
        <v>表示銘柄数超過</v>
        <stp/>
        <stp>Market</stp>
        <stp>STOCK</stp>
        <stp>33590.T</stp>
        <stp>銘柄名称</stp>
        <tr r="B286" s="7"/>
      </tp>
      <tp t="s">
        <v>東京通信グループ</v>
        <stp/>
        <stp>Market</stp>
        <stp>STOCK</stp>
        <stp>73590.T</stp>
        <stp>銘柄名称</stp>
        <tr r="B880" s="7"/>
      </tp>
      <tp t="s">
        <v>表示銘柄数超過</v>
        <stp/>
        <stp>Market</stp>
        <stp>STOCK</stp>
        <stp>43460.T</stp>
        <stp>銘柄名称</stp>
        <tr r="B446" s="7"/>
      </tp>
      <tp t="s">
        <v>プラコー</v>
        <stp/>
        <stp>Market</stp>
        <stp>STOCK</stp>
        <stp>63470.T</stp>
        <stp>銘柄名称</stp>
        <tr r="B692" s="7"/>
      </tp>
      <tp t="s">
        <v>表示銘柄数超過</v>
        <stp/>
        <stp>Market</stp>
        <stp>STOCK</stp>
        <stp>23440.T</stp>
        <stp>銘柄名称</stp>
        <tr r="B121" s="7"/>
      </tp>
      <tp t="s">
        <v>表示銘柄数超過</v>
        <stp/>
        <stp>Market</stp>
        <stp>STOCK</stp>
        <stp>13450.T</stp>
        <stp>銘柄名称</stp>
        <tr r="B10" s="7"/>
      </tp>
      <tp t="s">
        <v>表示銘柄数超過</v>
        <stp/>
        <stp>Market</stp>
        <stp>STOCK</stp>
        <stp>23450.T</stp>
        <stp>銘柄名称</stp>
        <tr r="B122" s="7"/>
      </tp>
      <tp t="s">
        <v>ウェルスナビ</v>
        <stp/>
        <stp>Market</stp>
        <stp>STOCK</stp>
        <stp>73420.T</stp>
        <stp>銘柄名称</stp>
        <tr r="B876" s="7"/>
      </tp>
      <tp t="s">
        <v>表示銘柄数超過</v>
        <stp/>
        <stp>Market</stp>
        <stp>STOCK</stp>
        <stp>43430.T</stp>
        <stp>銘柄名称</stp>
        <tr r="B445" s="7"/>
      </tp>
      <tp t="s">
        <v>フリージアマクロス</v>
        <stp/>
        <stp>Market</stp>
        <stp>STOCK</stp>
        <stp>63430.T</stp>
        <stp>銘柄名称</stp>
        <tr r="B691" s="7"/>
      </tp>
      <tp t="s">
        <v>表示銘柄数超過</v>
        <stp/>
        <stp>Market</stp>
        <stp>STOCK</stp>
        <stp>23400.T</stp>
        <stp>銘柄名称</stp>
        <tr r="B119" s="7"/>
      </tp>
      <tp t="s">
        <v>表示銘柄数超過</v>
        <stp/>
        <stp>Market</stp>
        <stp>STOCK</stp>
        <stp>23410.T</stp>
        <stp>銘柄名称</stp>
        <tr r="B120" s="7"/>
      </tp>
      <tp t="s">
        <v>表示銘柄数超過</v>
        <stp/>
        <stp>Market</stp>
        <stp>STOCK</stp>
        <stp>33410.T</stp>
        <stp>銘柄名称</stp>
        <tr r="B282" s="7"/>
      </tp>
      <tp t="s">
        <v>ＡＳＡＨＩＥＩＴＯＨＬＤＧＳ</v>
        <stp/>
        <stp>Market</stp>
        <stp>STOCK</stp>
        <stp>53410.T</stp>
        <stp>銘柄名称</stp>
        <tr r="B587" s="7"/>
      </tp>
      <tp t="s">
        <v>表示銘柄数超過</v>
        <stp/>
        <stp>Market</stp>
        <stp>STOCK</stp>
        <stp>23760.T</stp>
        <stp>銘柄名称</stp>
        <tr r="B129" s="7"/>
      </tp>
      <tp t="s">
        <v>表示銘柄数超過</v>
        <stp/>
        <stp>Market</stp>
        <stp>STOCK</stp>
        <stp>43760.T</stp>
        <stp>銘柄名称</stp>
        <tr r="B452" s="7"/>
      </tp>
      <tp t="s">
        <v>ほくほくフィナンシャルＧ</v>
        <stp/>
        <stp>Market</stp>
        <stp>STOCK</stp>
        <stp>83770.T</stp>
        <stp>銘柄名称</stp>
        <tr r="B1007" s="7"/>
      </tp>
      <tp t="s">
        <v>表示銘柄数超過</v>
        <stp/>
        <stp>Market</stp>
        <stp>STOCK</stp>
        <stp>33770.T</stp>
        <stp>銘柄名称</stp>
        <tr r="B289" s="7"/>
      </tp>
      <tp t="s">
        <v>表示銘柄数超過</v>
        <stp/>
        <stp>Market</stp>
        <stp>STOCK</stp>
        <stp>43740.T</stp>
        <stp>銘柄名称</stp>
        <tr r="B451" s="7"/>
      </tp>
      <tp t="s">
        <v>表示銘柄数超過</v>
        <stp/>
        <stp>Market</stp>
        <stp>STOCK</stp>
        <stp>23750.T</stp>
        <stp>銘柄名称</stp>
        <tr r="B128" s="7"/>
      </tp>
      <tp t="s">
        <v>表示銘柄数超過</v>
        <stp/>
        <stp>Market</stp>
        <stp>STOCK</stp>
        <stp>33720.T</stp>
        <stp>銘柄名称</stp>
        <tr r="B288" s="7"/>
      </tp>
      <tp t="s">
        <v>表示銘柄数超過</v>
        <stp/>
        <stp>Market</stp>
        <stp>STOCK</stp>
        <stp>23730.T</stp>
        <stp>銘柄名称</stp>
        <tr r="B127" s="7"/>
      </tp>
      <tp t="s">
        <v>表示銘柄数超過</v>
        <stp/>
        <stp>Market</stp>
        <stp>STOCK</stp>
        <stp>43730.T</stp>
        <stp>銘柄名称</stp>
        <tr r="B450" s="7"/>
      </tp>
      <tp t="s">
        <v>表示銘柄数超過</v>
        <stp/>
        <stp>Market</stp>
        <stp>STOCK</stp>
        <stp>23700.T</stp>
        <stp>銘柄名称</stp>
        <tr r="B126" s="7"/>
      </tp>
      <tp t="s">
        <v>表示銘柄数超過</v>
        <stp/>
        <stp>Market</stp>
        <stp>STOCK</stp>
        <stp>33700.T</stp>
        <stp>銘柄名称</stp>
        <tr r="B287" s="7"/>
      </tp>
      <tp t="s">
        <v>表示銘柄数超過</v>
        <stp/>
        <stp>Market</stp>
        <stp>STOCK</stp>
        <stp>43700.T</stp>
        <stp>銘柄名称</stp>
        <tr r="B449" s="7"/>
      </tp>
      <tp t="s">
        <v>Ｅｎｊｉｎ</v>
        <stp/>
        <stp>Market</stp>
        <stp>STOCK</stp>
        <stp>73700.T</stp>
        <stp>銘柄名称</stp>
        <tr r="B881" s="7"/>
      </tp>
      <tp t="s">
        <v>Ｚｅｎｋｅｎ</v>
        <stp/>
        <stp>Market</stp>
        <stp>STOCK</stp>
        <stp>73710.T</stp>
        <stp>銘柄名称</stp>
        <tr r="B882" s="7"/>
      </tp>
      <tp t="s">
        <v>表示銘柄数超過</v>
        <stp/>
        <stp>Market</stp>
        <stp>STOCK</stp>
        <stp>23780.T</stp>
        <stp>銘柄名称</stp>
        <tr r="B130" s="7"/>
      </tp>
      <tp t="s">
        <v>表示銘柄数超過</v>
        <stp/>
        <stp>Market</stp>
        <stp>STOCK</stp>
        <stp>43780.T</stp>
        <stp>銘柄名称</stp>
        <tr r="B453" s="7"/>
      </tp>
      <tp t="s">
        <v>表示銘柄数超過</v>
        <stp/>
        <stp>Market</stp>
        <stp>STOCK</stp>
        <stp>43790.T</stp>
        <stp>銘柄名称</stp>
        <tr r="B454" s="7"/>
      </tp>
      <tp t="s">
        <v>サーキュレーション</v>
        <stp/>
        <stp>Market</stp>
        <stp>STOCK</stp>
        <stp>73790.T</stp>
        <stp>銘柄名称</stp>
        <tr r="B883" s="7"/>
      </tp>
      <tp t="s">
        <v>表示銘柄数超過</v>
        <stp/>
        <stp>Market</stp>
        <stp>STOCK</stp>
        <stp>13660.T</stp>
        <stp>銘柄名称</stp>
        <tr r="B14" s="7"/>
      </tp>
      <tp t="s">
        <v>千代田化工建</v>
        <stp/>
        <stp>Market</stp>
        <stp>STOCK</stp>
        <stp>63660.T</stp>
        <stp>銘柄名称</stp>
        <tr r="B695" s="7"/>
      </tp>
      <tp t="s">
        <v>北越工業</v>
        <stp/>
        <stp>Market</stp>
        <stp>STOCK</stp>
        <stp>63640.T</stp>
        <stp>銘柄名称</stp>
        <tr r="B694" s="7"/>
      </tp>
      <tp t="s">
        <v>表示銘柄数超過</v>
        <stp/>
        <stp>Market</stp>
        <stp>STOCK</stp>
        <stp>13600.T</stp>
        <stp>銘柄名称</stp>
        <tr r="B13" s="7"/>
      </tp>
      <tp t="s">
        <v>表示銘柄数超過</v>
        <stp/>
        <stp>Market</stp>
        <stp>STOCK</stp>
        <stp>93610.T</stp>
        <stp>銘柄名称</stp>
        <tr r="B1111" s="7"/>
      </tp>
      <tp t="s">
        <v>表示銘柄数超過</v>
        <stp/>
        <stp>Market</stp>
        <stp>STOCK</stp>
        <stp>13680.T</stp>
        <stp>銘柄名称</stp>
        <tr r="B15" s="7"/>
      </tp>
    </main>
    <main first="rtdsrv.662c26bade854d00aebc6010f8a2e03a">
      <tp t="s">
        <v>15:00:00</v>
        <stp/>
        <stp>Market</stp>
        <stp>STOCK</stp>
        <stp>66960.T</stp>
        <stp>現在値詳細時刻</stp>
        <tr r="D753" s="7"/>
      </tp>
      <tp t="s">
        <v>15:00:00</v>
        <stp/>
        <stp>Market</stp>
        <stp>STOCK</stp>
        <stp>66190.T</stp>
        <stp>現在値詳細時刻</stp>
        <tr r="D738" s="7"/>
      </tp>
      <tp t="s">
        <v>15:00:00</v>
        <stp/>
        <stp>Market</stp>
        <stp>STOCK</stp>
        <stp>66130.T</stp>
        <stp>現在値詳細時刻</stp>
        <tr r="D736" s="7"/>
      </tp>
      <tp t="s">
        <v>15:00:00</v>
        <stp/>
        <stp>Market</stp>
        <stp>STOCK</stp>
        <stp>66170.T</stp>
        <stp>現在値詳細時刻</stp>
        <tr r="D737" s="7"/>
      </tp>
      <tp t="s">
        <v>15:00:00</v>
        <stp/>
        <stp>Market</stp>
        <stp>STOCK</stp>
        <stp>66250.T</stp>
        <stp>現在値詳細時刻</stp>
        <tr r="D739" s="7"/>
      </tp>
      <tp t="s">
        <v>15:00:00</v>
        <stp/>
        <stp>Market</stp>
        <stp>STOCK</stp>
        <stp>66320.T</stp>
        <stp>現在値詳細時刻</stp>
        <tr r="D741" s="7"/>
      </tp>
      <tp t="s">
        <v>15:00:00</v>
        <stp/>
        <stp>Market</stp>
        <stp>STOCK</stp>
        <stp>66330.T</stp>
        <stp>現在値詳細時刻</stp>
        <tr r="D742" s="7"/>
      </tp>
      <tp t="s">
        <v>15:00:00</v>
        <stp/>
        <stp>Market</stp>
        <stp>STOCK</stp>
        <stp>66300.T</stp>
        <stp>現在値詳細時刻</stp>
        <tr r="D740" s="7"/>
      </tp>
      <tp t="s">
        <v>14:59:02</v>
        <stp/>
        <stp>Market</stp>
        <stp>STOCK</stp>
        <stp>66340.T</stp>
        <stp>現在値詳細時刻</stp>
        <tr r="D743" s="7"/>
      </tp>
      <tp t="s">
        <v>15:00:00</v>
        <stp/>
        <stp>Market</stp>
        <stp>STOCK</stp>
        <stp>66350.T</stp>
        <stp>現在値詳細時刻</stp>
        <tr r="D744" s="7"/>
      </tp>
      <tp t="s">
        <v>15:00:00</v>
        <stp/>
        <stp>Market</stp>
        <stp>STOCK</stp>
        <stp>66400.T</stp>
        <stp>現在値詳細時刻</stp>
        <tr r="D745" s="7"/>
      </tp>
      <tp t="s">
        <v>15:00:00</v>
        <stp/>
        <stp>Market</stp>
        <stp>STOCK</stp>
        <stp>66440.T</stp>
        <stp>現在値詳細時刻</stp>
        <tr r="D746" s="7"/>
      </tp>
      <tp t="s">
        <v>15:00:00</v>
        <stp/>
        <stp>Market</stp>
        <stp>STOCK</stp>
        <stp>66580.T</stp>
        <stp>現在値詳細時刻</stp>
        <tr r="D748" s="7"/>
      </tp>
      <tp t="s">
        <v>15:00:00</v>
        <stp/>
        <stp>Market</stp>
        <stp>STOCK</stp>
        <stp>66590.T</stp>
        <stp>現在値詳細時刻</stp>
        <tr r="D749" s="7"/>
      </tp>
      <tp t="s">
        <v>15:00:00</v>
        <stp/>
        <stp>Market</stp>
        <stp>STOCK</stp>
        <stp>66540.T</stp>
        <stp>現在値詳細時刻</stp>
        <tr r="D747" s="7"/>
      </tp>
      <tp t="s">
        <v>15:00:00</v>
        <stp/>
        <stp>Market</stp>
        <stp>STOCK</stp>
        <stp>66660.T</stp>
        <stp>現在値詳細時刻</stp>
        <tr r="D750" s="7"/>
      </tp>
      <tp t="s">
        <v>15:00:00</v>
        <stp/>
        <stp>Market</stp>
        <stp>STOCK</stp>
        <stp>66760.T</stp>
        <stp>現在値詳細時刻</stp>
        <tr r="D751" s="7"/>
      </tp>
      <tp t="s">
        <v>15:00:00</v>
        <stp/>
        <stp>Market</stp>
        <stp>STOCK</stp>
        <stp>66770.T</stp>
        <stp>現在値詳細時刻</stp>
        <tr r="D752" s="7"/>
      </tp>
      <tp t="s">
        <v>15:00:00</v>
        <stp/>
        <stp>Market</stp>
        <stp>STOCK</stp>
        <stp>67020.T</stp>
        <stp>現在値詳細時刻</stp>
        <tr r="D755" s="7"/>
      </tp>
      <tp t="s">
        <v>15:00:00</v>
        <stp/>
        <stp>Market</stp>
        <stp>STOCK</stp>
        <stp>67010.T</stp>
        <stp>現在値詳細時刻</stp>
        <tr r="D754" s="7"/>
      </tp>
      <tp t="s">
        <v>15:00:00</v>
        <stp/>
        <stp>Market</stp>
        <stp>STOCK</stp>
        <stp>67230.T</stp>
        <stp>現在値詳細時刻</stp>
        <tr r="D757" s="7"/>
      </tp>
      <tp t="s">
        <v>15:00:00</v>
        <stp/>
        <stp>Market</stp>
        <stp>STOCK</stp>
        <stp>67210.T</stp>
        <stp>現在値詳細時刻</stp>
        <tr r="D756" s="7"/>
      </tp>
      <tp t="s">
        <v>15:00:00</v>
        <stp/>
        <stp>Market</stp>
        <stp>STOCK</stp>
        <stp>67310.T</stp>
        <stp>現在値詳細時刻</stp>
        <tr r="D758" s="7"/>
      </tp>
      <tp t="s">
        <v>15:00:00</v>
        <stp/>
        <stp>Market</stp>
        <stp>STOCK</stp>
        <stp>67480.T</stp>
        <stp>現在値詳細時刻</stp>
        <tr r="D762" s="7"/>
      </tp>
      <tp t="s">
        <v>15:00:00</v>
        <stp/>
        <stp>Market</stp>
        <stp>STOCK</stp>
        <stp>67420.T</stp>
        <stp>現在値詳細時刻</stp>
        <tr r="D761" s="7"/>
      </tp>
      <tp t="s">
        <v>15:00:00</v>
        <stp/>
        <stp>Market</stp>
        <stp>STOCK</stp>
        <stp>67400.T</stp>
        <stp>現在値詳細時刻</stp>
        <tr r="D759" s="7"/>
      </tp>
      <tp t="s">
        <v>15:00:00</v>
        <stp/>
        <stp>Market</stp>
        <stp>STOCK</stp>
        <stp>67410.T</stp>
        <stp>現在値詳細時刻</stp>
        <tr r="D760" s="7"/>
      </tp>
      <tp t="s">
        <v>15:00:00</v>
        <stp/>
        <stp>Market</stp>
        <stp>STOCK</stp>
        <stp>67580.T</stp>
        <stp>現在値詳細時刻</stp>
        <tr r="D767" s="7"/>
      </tp>
      <tp t="s">
        <v>15:00:00</v>
        <stp/>
        <stp>Market</stp>
        <stp>STOCK</stp>
        <stp>67520.T</stp>
        <stp>現在値詳細時刻</stp>
        <tr r="D764" s="7"/>
      </tp>
      <tp t="s">
        <v>15:00:00</v>
        <stp/>
        <stp>Market</stp>
        <stp>STOCK</stp>
        <stp>67530.T</stp>
        <stp>現在値詳細時刻</stp>
        <tr r="D765" s="7"/>
      </tp>
      <tp t="s">
        <v>15:00:00</v>
        <stp/>
        <stp>Market</stp>
        <stp>STOCK</stp>
        <stp>67500.T</stp>
        <stp>現在値詳細時刻</stp>
        <tr r="D763" s="7"/>
      </tp>
      <tp t="s">
        <v>15:00:00</v>
        <stp/>
        <stp>Market</stp>
        <stp>STOCK</stp>
        <stp>67540.T</stp>
        <stp>現在値詳細時刻</stp>
        <tr r="D766" s="7"/>
      </tp>
      <tp t="s">
        <v>15:00:00</v>
        <stp/>
        <stp>Market</stp>
        <stp>STOCK</stp>
        <stp>67680.T</stp>
        <stp>現在値詳細時刻</stp>
        <tr r="D769" s="7"/>
      </tp>
      <tp t="s">
        <v>15:00:00</v>
        <stp/>
        <stp>Market</stp>
        <stp>STOCK</stp>
        <stp>67620.T</stp>
        <stp>現在値詳細時刻</stp>
        <tr r="D768" s="7"/>
      </tp>
      <tp t="s">
        <v>15:00:00</v>
        <stp/>
        <stp>Market</stp>
        <stp>STOCK</stp>
        <stp>67760.T</stp>
        <stp>現在値詳細時刻</stp>
        <tr r="D771" s="7"/>
      </tp>
      <tp t="s">
        <v>15:00:00</v>
        <stp/>
        <stp>Market</stp>
        <stp>STOCK</stp>
        <stp>67770.T</stp>
        <stp>現在値詳細時刻</stp>
        <tr r="D772" s="7"/>
      </tp>
      <tp t="s">
        <v>15:00:00</v>
        <stp/>
        <stp>Market</stp>
        <stp>STOCK</stp>
        <stp>67750.T</stp>
        <stp>現在値詳細時刻</stp>
        <tr r="D770" s="7"/>
      </tp>
      <tp t="s">
        <v>15:00:00</v>
        <stp/>
        <stp>Market</stp>
        <stp>STOCK</stp>
        <stp>64890.T</stp>
        <stp>現在値詳細時刻</stp>
        <tr r="D708" s="7"/>
      </tp>
      <tp t="s">
        <v>15:00:00</v>
        <stp/>
        <stp>Market</stp>
        <stp>STOCK</stp>
        <stp>64800.T</stp>
        <stp>現在値詳細時刻</stp>
        <tr r="D707" s="7"/>
      </tp>
      <tp t="s">
        <v>15:00:00</v>
        <stp/>
        <stp>Market</stp>
        <stp>STOCK</stp>
        <stp>64980.T</stp>
        <stp>現在値詳細時刻</stp>
        <tr r="D712" s="7"/>
      </tp>
      <tp t="s">
        <v>15:00:00</v>
        <stp/>
        <stp>Market</stp>
        <stp>STOCK</stp>
        <stp>64930.T</stp>
        <stp>現在値詳細時刻</stp>
        <tr r="D709" s="7"/>
      </tp>
      <tp t="s">
        <v>15:00:00</v>
        <stp/>
        <stp>Market</stp>
        <stp>STOCK</stp>
        <stp>64940.T</stp>
        <stp>現在値詳細時刻</stp>
        <tr r="D710" s="7"/>
      </tp>
      <tp t="s">
        <v>15:00:00</v>
        <stp/>
        <stp>Market</stp>
        <stp>STOCK</stp>
        <stp>64950.T</stp>
        <stp>現在値詳細時刻</stp>
        <tr r="D711" s="7"/>
      </tp>
      <tp t="s">
        <v>15:00:00</v>
        <stp/>
        <stp>Market</stp>
        <stp>STOCK</stp>
        <stp>64180.T</stp>
        <stp>現在値詳細時刻</stp>
        <tr r="D700" s="7"/>
      </tp>
      <tp t="s">
        <v>15:00:00</v>
        <stp/>
        <stp>Market</stp>
        <stp>STOCK</stp>
        <stp>64330.T</stp>
        <stp>現在値詳細時刻</stp>
        <tr r="D701" s="7"/>
      </tp>
      <tp t="s">
        <v>15:00:00</v>
        <stp/>
        <stp>Market</stp>
        <stp>STOCK</stp>
        <stp>64400.T</stp>
        <stp>現在値詳細時刻</stp>
        <tr r="D702" s="7"/>
      </tp>
      <tp t="s">
        <v>15:00:00</v>
        <stp/>
        <stp>Market</stp>
        <stp>STOCK</stp>
        <stp>64440.T</stp>
        <stp>現在値詳細時刻</stp>
        <tr r="D703" s="7"/>
      </tp>
      <tp t="s">
        <v>15:00:00</v>
        <stp/>
        <stp>Market</stp>
        <stp>STOCK</stp>
        <stp>64670.T</stp>
        <stp>現在値詳細時刻</stp>
        <tr r="D704" s="7"/>
      </tp>
      <tp t="s">
        <v>15:00:00</v>
        <stp/>
        <stp>Market</stp>
        <stp>STOCK</stp>
        <stp>64700.T</stp>
        <stp>現在値詳細時刻</stp>
        <tr r="D705" s="7"/>
      </tp>
      <tp t="s">
        <v>15:00:00</v>
        <stp/>
        <stp>Market</stp>
        <stp>STOCK</stp>
        <stp>64710.T</stp>
        <stp>現在値詳細時刻</stp>
        <tr r="D706" s="7"/>
      </tp>
      <tp t="s">
        <v>15:00:00</v>
        <stp/>
        <stp>Market</stp>
        <stp>STOCK</stp>
        <stp>65880.T</stp>
        <stp>現在値詳細時刻</stp>
        <tr r="D734" s="7"/>
      </tp>
      <tp t="s">
        <v>15:00:00</v>
        <stp/>
        <stp>Market</stp>
        <stp>STOCK</stp>
        <stp>65800.T</stp>
        <stp>現在値詳細時刻</stp>
        <tr r="D732" s="7"/>
      </tp>
      <tp t="s">
        <v>15:00:00</v>
        <stp/>
        <stp>Market</stp>
        <stp>STOCK</stp>
        <stp>65840.T</stp>
        <stp>現在値詳細時刻</stp>
        <tr r="D733" s="7"/>
      </tp>
      <tp t="s">
        <v>15:00:00</v>
        <stp/>
        <stp>Market</stp>
        <stp>STOCK</stp>
        <stp>65940.T</stp>
        <stp>現在値詳細時刻</stp>
        <tr r="D735" s="7"/>
      </tp>
      <tp t="s">
        <v/>
        <stp/>
        <stp>Market</stp>
        <stp>STOCK</stp>
        <stp>65020.T</stp>
        <stp>現在値詳細時刻</stp>
        <tr r="D714" s="7"/>
      </tp>
      <tp t="s">
        <v>15:00:00</v>
        <stp/>
        <stp>Market</stp>
        <stp>STOCK</stp>
        <stp>65030.T</stp>
        <stp>現在値詳細時刻</stp>
        <tr r="D715" s="7"/>
      </tp>
      <tp t="s">
        <v>15:00:00</v>
        <stp/>
        <stp>Market</stp>
        <stp>STOCK</stp>
        <stp>65010.T</stp>
        <stp>現在値詳細時刻</stp>
        <tr r="D713" s="7"/>
      </tp>
      <tp t="s">
        <v>15:00:00</v>
        <stp/>
        <stp>Market</stp>
        <stp>STOCK</stp>
        <stp>65070.T</stp>
        <stp>現在値詳細時刻</stp>
        <tr r="D717" s="7"/>
      </tp>
      <tp t="s">
        <v>15:00:00</v>
        <stp/>
        <stp>Market</stp>
        <stp>STOCK</stp>
        <stp>65040.T</stp>
        <stp>現在値詳細時刻</stp>
        <tr r="D716" s="7"/>
      </tp>
      <tp t="s">
        <v>15:00:00</v>
        <stp/>
        <stp>Market</stp>
        <stp>STOCK</stp>
        <stp>65130.T</stp>
        <stp>現在値詳細時刻</stp>
        <tr r="D718" s="7"/>
      </tp>
      <tp t="s">
        <v>14:59:27</v>
        <stp/>
        <stp>Market</stp>
        <stp>STOCK</stp>
        <stp>65220.T</stp>
        <stp>現在値詳細時刻</stp>
        <tr r="D719" s="7"/>
      </tp>
      <tp t="s">
        <v>15:00:00</v>
        <stp/>
        <stp>Market</stp>
        <stp>STOCK</stp>
        <stp>65370.T</stp>
        <stp>現在値詳細時刻</stp>
        <tr r="D720" s="7"/>
      </tp>
      <tp t="s">
        <v>15:00:00</v>
        <stp/>
        <stp>Market</stp>
        <stp>STOCK</stp>
        <stp>65430.T</stp>
        <stp>現在値詳細時刻</stp>
        <tr r="D721" s="7"/>
      </tp>
      <tp t="s">
        <v>14:59:56</v>
        <stp/>
        <stp>Market</stp>
        <stp>STOCK</stp>
        <stp>65450.T</stp>
        <stp>現在値詳細時刻</stp>
        <tr r="D722" s="7"/>
      </tp>
      <tp t="s">
        <v>15:00:00</v>
        <stp/>
        <stp>Market</stp>
        <stp>STOCK</stp>
        <stp>65520.T</stp>
        <stp>現在値詳細時刻</stp>
        <tr r="D724" s="7"/>
      </tp>
      <tp t="s">
        <v>15:00:00</v>
        <stp/>
        <stp>Market</stp>
        <stp>STOCK</stp>
        <stp>65500.T</stp>
        <stp>現在値詳細時刻</stp>
        <tr r="D723" s="7"/>
      </tp>
      <tp t="s">
        <v>15:00:00</v>
        <stp/>
        <stp>Market</stp>
        <stp>STOCK</stp>
        <stp>65560.T</stp>
        <stp>現在値詳細時刻</stp>
        <tr r="D727" s="7"/>
      </tp>
      <tp t="s">
        <v>15:00:00</v>
        <stp/>
        <stp>Market</stp>
        <stp>STOCK</stp>
        <stp>65570.T</stp>
        <stp>現在値詳細時刻</stp>
        <tr r="D728" s="7"/>
      </tp>
      <tp t="s">
        <v>15:00:00</v>
        <stp/>
        <stp>Market</stp>
        <stp>STOCK</stp>
        <stp>65540.T</stp>
        <stp>現在値詳細時刻</stp>
        <tr r="D725" s="7"/>
      </tp>
      <tp t="s">
        <v>15:00:00</v>
        <stp/>
        <stp>Market</stp>
        <stp>STOCK</stp>
        <stp>65550.T</stp>
        <stp>現在値詳細時刻</stp>
        <tr r="D726" s="7"/>
      </tp>
      <tp t="s">
        <v>15:00:00</v>
        <stp/>
        <stp>Market</stp>
        <stp>STOCK</stp>
        <stp>65780.T</stp>
        <stp>現在値詳細時刻</stp>
        <tr r="D731" s="7"/>
      </tp>
      <tp t="s">
        <v>15:00:00</v>
        <stp/>
        <stp>Market</stp>
        <stp>STOCK</stp>
        <stp>65730.T</stp>
        <stp>現在値詳細時刻</stp>
        <tr r="D729" s="7"/>
      </tp>
      <tp t="s">
        <v>15:00:00</v>
        <stp/>
        <stp>Market</stp>
        <stp>STOCK</stp>
        <stp>65740.T</stp>
        <stp>現在値詳細時刻</stp>
        <tr r="D730" s="7"/>
      </tp>
      <tp t="s">
        <v>15:00:00</v>
        <stp/>
        <stp>Market</stp>
        <stp>STOCK</stp>
        <stp>62860.T</stp>
        <stp>現在値詳細時刻</stp>
        <tr r="D683" s="7"/>
      </tp>
      <tp t="s">
        <v>15:00:00</v>
        <stp/>
        <stp>Market</stp>
        <stp>STOCK</stp>
        <stp>62980.T</stp>
        <stp>現在値詳細時刻</stp>
        <tr r="D685" s="7"/>
      </tp>
      <tp t="s">
        <v>15:00:00</v>
        <stp/>
        <stp>Market</stp>
        <stp>STOCK</stp>
        <stp>62970.T</stp>
        <stp>現在値詳細時刻</stp>
        <tr r="D684" s="7"/>
      </tp>
      <tp t="s">
        <v>15:00:00</v>
        <stp/>
        <stp>Market</stp>
        <stp>STOCK</stp>
        <stp>62030.T</stp>
        <stp>現在値詳細時刻</stp>
        <tr r="D677" s="7"/>
      </tp>
      <tp t="s">
        <v>15:00:00</v>
        <stp/>
        <stp>Market</stp>
        <stp>STOCK</stp>
        <stp>62180.T</stp>
        <stp>現在値詳細時刻</stp>
        <tr r="D678" s="7"/>
      </tp>
      <tp t="s">
        <v>15:00:00</v>
        <stp/>
        <stp>Market</stp>
        <stp>STOCK</stp>
        <stp>62260.T</stp>
        <stp>現在値詳細時刻</stp>
        <tr r="D679" s="7"/>
      </tp>
      <tp t="s">
        <v>15:00:00</v>
        <stp/>
        <stp>Market</stp>
        <stp>STOCK</stp>
        <stp>62330.T</stp>
        <stp>現在値詳細時刻</stp>
        <tr r="D680" s="7"/>
      </tp>
      <tp t="s">
        <v>15:00:00</v>
        <stp/>
        <stp>Market</stp>
        <stp>STOCK</stp>
        <stp>62400.T</stp>
        <stp>現在値詳細時刻</stp>
        <tr r="D681" s="7"/>
      </tp>
      <tp t="s">
        <v>15:00:00</v>
        <stp/>
        <stp>Market</stp>
        <stp>STOCK</stp>
        <stp>62550.T</stp>
        <stp>現在値詳細時刻</stp>
        <tr r="D682" s="7"/>
      </tp>
      <tp t="s">
        <v>15:00:00</v>
        <stp/>
        <stp>Market</stp>
        <stp>STOCK</stp>
        <stp>63830.T</stp>
        <stp>現在値詳細時刻</stp>
        <tr r="D697" s="7"/>
      </tp>
      <tp t="s">
        <v>15:00:00</v>
        <stp/>
        <stp>Market</stp>
        <stp>STOCK</stp>
        <stp>63810.T</stp>
        <stp>現在値詳細時刻</stp>
        <tr r="D696" s="7"/>
      </tp>
      <tp t="s">
        <v>15:00:00</v>
        <stp/>
        <stp>Market</stp>
        <stp>STOCK</stp>
        <stp>63900.T</stp>
        <stp>現在値詳細時刻</stp>
        <tr r="D698" s="7"/>
      </tp>
      <tp t="s">
        <v>15:00:00</v>
        <stp/>
        <stp>Market</stp>
        <stp>STOCK</stp>
        <stp>63950.T</stp>
        <stp>現在値詳細時刻</stp>
        <tr r="D699" s="7"/>
      </tp>
      <tp t="s">
        <v>15:00:00</v>
        <stp/>
        <stp>Market</stp>
        <stp>STOCK</stp>
        <stp>63010.T</stp>
        <stp>現在値詳細時刻</stp>
        <tr r="D686" s="7"/>
      </tp>
      <tp t="s">
        <v>15:00:00</v>
        <stp/>
        <stp>Market</stp>
        <stp>STOCK</stp>
        <stp>63050.T</stp>
        <stp>現在値詳細時刻</stp>
        <tr r="D687" s="7"/>
      </tp>
      <tp t="s">
        <v>15:00:00</v>
        <stp/>
        <stp>Market</stp>
        <stp>STOCK</stp>
        <stp>63300.T</stp>
        <stp>現在値詳細時刻</stp>
        <tr r="D688" s="7"/>
      </tp>
      <tp t="s">
        <v>13:22:11</v>
        <stp/>
        <stp>Market</stp>
        <stp>STOCK</stp>
        <stp>63360.T</stp>
        <stp>現在値詳細時刻</stp>
        <tr r="D690" s="7"/>
      </tp>
      <tp t="s">
        <v>15:00:00</v>
        <stp/>
        <stp>Market</stp>
        <stp>STOCK</stp>
        <stp>63340.T</stp>
        <stp>現在値詳細時刻</stp>
        <tr r="D689" s="7"/>
      </tp>
      <tp t="s">
        <v>15:00:00</v>
        <stp/>
        <stp>Market</stp>
        <stp>STOCK</stp>
        <stp>63430.T</stp>
        <stp>現在値詳細時刻</stp>
        <tr r="D691" s="7"/>
      </tp>
      <tp t="s">
        <v>15:00:00</v>
        <stp/>
        <stp>Market</stp>
        <stp>STOCK</stp>
        <stp>63470.T</stp>
        <stp>現在値詳細時刻</stp>
        <tr r="D692" s="7"/>
      </tp>
      <tp t="s">
        <v>15:00:00</v>
        <stp/>
        <stp>Market</stp>
        <stp>STOCK</stp>
        <stp>63560.T</stp>
        <stp>現在値詳細時刻</stp>
        <tr r="D693" s="7"/>
      </tp>
      <tp t="s">
        <v>15:00:00</v>
        <stp/>
        <stp>Market</stp>
        <stp>STOCK</stp>
        <stp>63660.T</stp>
        <stp>現在値詳細時刻</stp>
        <tr r="D695" s="7"/>
      </tp>
      <tp t="s">
        <v>15:00:00</v>
        <stp/>
        <stp>Market</stp>
        <stp>STOCK</stp>
        <stp>63640.T</stp>
        <stp>現在値詳細時刻</stp>
        <tr r="D694" s="7"/>
      </tp>
      <tp t="s">
        <v>15:00:00</v>
        <stp/>
        <stp>Market</stp>
        <stp>STOCK</stp>
        <stp>60810.T</stp>
        <stp>現在値詳細時刻</stp>
        <tr r="D649" s="7"/>
      </tp>
      <tp t="s">
        <v>15:00:00</v>
        <stp/>
        <stp>Market</stp>
        <stp>STOCK</stp>
        <stp>60980.T</stp>
        <stp>現在値詳細時刻</stp>
        <tr r="D654" s="7"/>
      </tp>
      <tp t="s">
        <v>14:45:01</v>
        <stp/>
        <stp>Market</stp>
        <stp>STOCK</stp>
        <stp>60920.T</stp>
        <stp>現在値詳細時刻</stp>
        <tr r="D651" s="7"/>
      </tp>
      <tp t="s">
        <v>15:00:00</v>
        <stp/>
        <stp>Market</stp>
        <stp>STOCK</stp>
        <stp>60930.T</stp>
        <stp>現在値詳細時刻</stp>
        <tr r="D652" s="7"/>
      </tp>
      <tp t="s">
        <v>15:00:00</v>
        <stp/>
        <stp>Market</stp>
        <stp>STOCK</stp>
        <stp>60910.T</stp>
        <stp>現在値詳細時刻</stp>
        <tr r="D650" s="7"/>
      </tp>
      <tp t="s">
        <v>15:00:00</v>
        <stp/>
        <stp>Market</stp>
        <stp>STOCK</stp>
        <stp>60960.T</stp>
        <stp>現在値詳細時刻</stp>
        <tr r="D653" s="7"/>
      </tp>
      <tp t="s">
        <v>15:00:00</v>
        <stp/>
        <stp>Market</stp>
        <stp>STOCK</stp>
        <stp>60280.T</stp>
        <stp>現在値詳細時刻</stp>
        <tr r="D637" s="7"/>
      </tp>
      <tp t="s">
        <v>15:00:00</v>
        <stp/>
        <stp>Market</stp>
        <stp>STOCK</stp>
        <stp>60290.T</stp>
        <stp>現在値詳細時刻</stp>
        <tr r="D638" s="7"/>
      </tp>
      <tp t="s">
        <v>15:00:00</v>
        <stp/>
        <stp>Market</stp>
        <stp>STOCK</stp>
        <stp>60230.T</stp>
        <stp>現在値詳細時刻</stp>
        <tr r="D636" s="7"/>
      </tp>
      <tp t="s">
        <v>15:00:00</v>
        <stp/>
        <stp>Market</stp>
        <stp>STOCK</stp>
        <stp>60310.T</stp>
        <stp>現在値詳細時刻</stp>
        <tr r="D639" s="7"/>
      </tp>
      <tp t="s">
        <v>15:00:00</v>
        <stp/>
        <stp>Market</stp>
        <stp>STOCK</stp>
        <stp>60350.T</stp>
        <stp>現在値詳細時刻</stp>
        <tr r="D640" s="7"/>
      </tp>
      <tp t="s">
        <v>15:00:00</v>
        <stp/>
        <stp>Market</stp>
        <stp>STOCK</stp>
        <stp>60480.T</stp>
        <stp>現在値詳細時刻</stp>
        <tr r="D644" s="7"/>
      </tp>
      <tp t="s">
        <v>15:00:00</v>
        <stp/>
        <stp>Market</stp>
        <stp>STOCK</stp>
        <stp>60490.T</stp>
        <stp>現在値詳細時刻</stp>
        <tr r="D645" s="7"/>
      </tp>
      <tp t="s">
        <v>15:00:00</v>
        <stp/>
        <stp>Market</stp>
        <stp>STOCK</stp>
        <stp>60460.T</stp>
        <stp>現在値詳細時刻</stp>
        <tr r="D642" s="7"/>
      </tp>
      <tp t="s">
        <v>15:00:00</v>
        <stp/>
        <stp>Market</stp>
        <stp>STOCK</stp>
        <stp>60470.T</stp>
        <stp>現在値詳細時刻</stp>
        <tr r="D643" s="7"/>
      </tp>
      <tp t="s">
        <v>15:00:00</v>
        <stp/>
        <stp>Market</stp>
        <stp>STOCK</stp>
        <stp>60440.T</stp>
        <stp>現在値詳細時刻</stp>
        <tr r="D641" s="7"/>
      </tp>
      <tp t="s">
        <v>15:00:00</v>
        <stp/>
        <stp>Market</stp>
        <stp>STOCK</stp>
        <stp>60590.T</stp>
        <stp>現在値詳細時刻</stp>
        <tr r="D647" s="7"/>
      </tp>
      <tp t="s">
        <v>15:00:00</v>
        <stp/>
        <stp>Market</stp>
        <stp>STOCK</stp>
        <stp>60540.T</stp>
        <stp>現在値詳細時刻</stp>
        <tr r="D646" s="7"/>
      </tp>
      <tp t="s">
        <v>15:00:00</v>
        <stp/>
        <stp>Market</stp>
        <stp>STOCK</stp>
        <stp>60730.T</stp>
        <stp>現在値詳細時刻</stp>
        <tr r="D648" s="7"/>
      </tp>
      <tp t="s">
        <v>15:00:00</v>
        <stp/>
        <stp>Market</stp>
        <stp>STOCK</stp>
        <stp>61880.T</stp>
        <stp>現在値詳細時刻</stp>
        <tr r="D672" s="7"/>
      </tp>
      <tp t="s">
        <v>15:00:00</v>
        <stp/>
        <stp>Market</stp>
        <stp>STOCK</stp>
        <stp>61820.T</stp>
        <stp>現在値詳細時刻</stp>
        <tr r="D668" s="7"/>
      </tp>
      <tp t="s">
        <v>15:00:00</v>
        <stp/>
        <stp>Market</stp>
        <stp>STOCK</stp>
        <stp>61810.T</stp>
        <stp>現在値詳細時刻</stp>
        <tr r="D667" s="7"/>
      </tp>
      <tp t="s">
        <v>15:00:00</v>
        <stp/>
        <stp>Market</stp>
        <stp>STOCK</stp>
        <stp>61860.T</stp>
        <stp>現在値詳細時刻</stp>
        <tr r="D671" s="7"/>
      </tp>
      <tp t="s">
        <v>15:00:00</v>
        <stp/>
        <stp>Market</stp>
        <stp>STOCK</stp>
        <stp>61840.T</stp>
        <stp>現在値詳細時刻</stp>
        <tr r="D669" s="7"/>
      </tp>
      <tp t="s">
        <v>15:00:00</v>
        <stp/>
        <stp>Market</stp>
        <stp>STOCK</stp>
        <stp>61850.T</stp>
        <stp>現在値詳細時刻</stp>
        <tr r="D670" s="7"/>
      </tp>
      <tp t="s">
        <v/>
        <stp/>
        <stp>Market</stp>
        <stp>STOCK</stp>
        <stp>61920.T</stp>
        <stp>現在値詳細時刻</stp>
        <tr r="D674" s="7"/>
      </tp>
      <tp t="s">
        <v>15:00:00</v>
        <stp/>
        <stp>Market</stp>
        <stp>STOCK</stp>
        <stp>61900.T</stp>
        <stp>現在値詳細時刻</stp>
        <tr r="D673" s="7"/>
      </tp>
      <tp t="s">
        <v>15:00:00</v>
        <stp/>
        <stp>Market</stp>
        <stp>STOCK</stp>
        <stp>61940.T</stp>
        <stp>現在値詳細時刻</stp>
        <tr r="D675" s="7"/>
      </tp>
      <tp t="s">
        <v>15:00:00</v>
        <stp/>
        <stp>Market</stp>
        <stp>STOCK</stp>
        <stp>61950.T</stp>
        <stp>現在値詳細時刻</stp>
        <tr r="D676" s="7"/>
      </tp>
      <tp t="s">
        <v>15:00:00</v>
        <stp/>
        <stp>Market</stp>
        <stp>STOCK</stp>
        <stp>61040.T</stp>
        <stp>現在値詳細時刻</stp>
        <tr r="D655" s="7"/>
      </tp>
      <tp t="s">
        <v>15:00:00</v>
        <stp/>
        <stp>Market</stp>
        <stp>STOCK</stp>
        <stp>61130.T</stp>
        <stp>現在値詳細時刻</stp>
        <tr r="D656" s="7"/>
      </tp>
      <tp t="s">
        <v>15:00:00</v>
        <stp/>
        <stp>Market</stp>
        <stp>STOCK</stp>
        <stp>61340.T</stp>
        <stp>現在値詳細時刻</stp>
        <tr r="D657" s="7"/>
      </tp>
      <tp t="s">
        <v>15:00:00</v>
        <stp/>
        <stp>Market</stp>
        <stp>STOCK</stp>
        <stp>61400.T</stp>
        <stp>現在値詳細時刻</stp>
        <tr r="D658" s="7"/>
      </tp>
      <tp t="s">
        <v>15:00:00</v>
        <stp/>
        <stp>Market</stp>
        <stp>STOCK</stp>
        <stp>61460.T</stp>
        <stp>現在値詳細時刻</stp>
        <tr r="D659" s="7"/>
      </tp>
      <tp t="s">
        <v>15:00:00</v>
        <stp/>
        <stp>Market</stp>
        <stp>STOCK</stp>
        <stp>61660.T</stp>
        <stp>現在値詳細時刻</stp>
        <tr r="D661" s="7"/>
      </tp>
      <tp t="s">
        <v>15:00:00</v>
        <stp/>
        <stp>Market</stp>
        <stp>STOCK</stp>
        <stp>61670.T</stp>
        <stp>現在値詳細時刻</stp>
        <tr r="D662" s="7"/>
      </tp>
      <tp t="s">
        <v>15:00:00</v>
        <stp/>
        <stp>Market</stp>
        <stp>STOCK</stp>
        <stp>61650.T</stp>
        <stp>現在値詳細時刻</stp>
        <tr r="D660" s="7"/>
      </tp>
      <tp t="s">
        <v>15:00:00</v>
        <stp/>
        <stp>Market</stp>
        <stp>STOCK</stp>
        <stp>61780.T</stp>
        <stp>現在値詳細時刻</stp>
        <tr r="D666" s="7"/>
      </tp>
      <tp t="s">
        <v>14:59:21</v>
        <stp/>
        <stp>Market</stp>
        <stp>STOCK</stp>
        <stp>61730.T</stp>
        <stp>現在値詳細時刻</stp>
        <tr r="D663" s="7"/>
      </tp>
      <tp t="s">
        <v>15:00:00</v>
        <stp/>
        <stp>Market</stp>
        <stp>STOCK</stp>
        <stp>61760.T</stp>
        <stp>現在値詳細時刻</stp>
        <tr r="D664" s="7"/>
      </tp>
      <tp t="s">
        <v>15:00:00</v>
        <stp/>
        <stp>Market</stp>
        <stp>STOCK</stp>
        <stp>61770.T</stp>
        <stp>現在値詳細時刻</stp>
        <tr r="D665" s="7"/>
      </tp>
      <tp t="s">
        <v>15:00:00</v>
        <stp/>
        <stp>Market</stp>
        <stp>STOCK</stp>
        <stp>68970.T</stp>
        <stp>現在値詳細時刻</stp>
        <tr r="D783" s="7"/>
      </tp>
      <tp t="s">
        <v>15:00:00</v>
        <stp/>
        <stp>Market</stp>
        <stp>STOCK</stp>
        <stp>68030.T</stp>
        <stp>現在値詳細時刻</stp>
        <tr r="D773" s="7"/>
      </tp>
      <tp t="s">
        <v>15:00:00</v>
        <stp/>
        <stp>Market</stp>
        <stp>STOCK</stp>
        <stp>68100.T</stp>
        <stp>現在値詳細時刻</stp>
        <tr r="D774" s="7"/>
      </tp>
      <tp t="s">
        <v>15:00:00</v>
        <stp/>
        <stp>Market</stp>
        <stp>STOCK</stp>
        <stp>68140.T</stp>
        <stp>現在値詳細時刻</stp>
        <tr r="D775" s="7"/>
      </tp>
      <tp t="s">
        <v>15:00:00</v>
        <stp/>
        <stp>Market</stp>
        <stp>STOCK</stp>
        <stp>68350.T</stp>
        <stp>現在値詳細時刻</stp>
        <tr r="D776" s="7"/>
      </tp>
      <tp t="s">
        <v>15:00:00</v>
        <stp/>
        <stp>Market</stp>
        <stp>STOCK</stp>
        <stp>68400.T</stp>
        <stp>現在値詳細時刻</stp>
        <tr r="D777" s="7"/>
      </tp>
      <tp t="s">
        <v>15:00:00</v>
        <stp/>
        <stp>Market</stp>
        <stp>STOCK</stp>
        <stp>68570.T</stp>
        <stp>現在値詳細時刻</stp>
        <tr r="D778" s="7"/>
      </tp>
      <tp t="s">
        <v>15:00:00</v>
        <stp/>
        <stp>Market</stp>
        <stp>STOCK</stp>
        <stp>68620.T</stp>
        <stp>現在値詳細時刻</stp>
        <tr r="D779" s="7"/>
      </tp>
      <tp t="s">
        <v>15:00:00</v>
        <stp/>
        <stp>Market</stp>
        <stp>STOCK</stp>
        <stp>68630.T</stp>
        <stp>現在値詳細時刻</stp>
        <tr r="D780" s="7"/>
      </tp>
      <tp t="s">
        <v>15:00:00</v>
        <stp/>
        <stp>Market</stp>
        <stp>STOCK</stp>
        <stp>68670.T</stp>
        <stp>現在値詳細時刻</stp>
        <tr r="D781" s="7"/>
      </tp>
      <tp t="s">
        <v>15:00:00</v>
        <stp/>
        <stp>Market</stp>
        <stp>STOCK</stp>
        <stp>68710.T</stp>
        <stp>現在値詳細時刻</stp>
        <tr r="D782" s="7"/>
      </tp>
      <tp t="s">
        <v>15:00:00</v>
        <stp/>
        <stp>Market</stp>
        <stp>STOCK</stp>
        <stp>69820.T</stp>
        <stp>現在値詳細時刻</stp>
        <tr r="D799" s="7"/>
      </tp>
      <tp t="s">
        <v>15:00:00</v>
        <stp/>
        <stp>Market</stp>
        <stp>STOCK</stp>
        <stp>69810.T</stp>
        <stp>現在値詳細時刻</stp>
        <tr r="D798" s="7"/>
      </tp>
      <tp t="s">
        <v>15:00:00</v>
        <stp/>
        <stp>Market</stp>
        <stp>STOCK</stp>
        <stp>69860.T</stp>
        <stp>現在値詳細時刻</stp>
        <tr r="D800" s="7"/>
      </tp>
      <tp t="s">
        <v>15:00:00</v>
        <stp/>
        <stp>Market</stp>
        <stp>STOCK</stp>
        <stp>69930.T</stp>
        <stp>現在値詳細時刻</stp>
        <tr r="D801" s="7"/>
      </tp>
      <tp t="s">
        <v>15:00:00</v>
        <stp/>
        <stp>Market</stp>
        <stp>STOCK</stp>
        <stp>69970.T</stp>
        <stp>現在値詳細時刻</stp>
        <tr r="D803" s="7"/>
      </tp>
      <tp t="s">
        <v>15:00:00</v>
        <stp/>
        <stp>Market</stp>
        <stp>STOCK</stp>
        <stp>69940.T</stp>
        <stp>現在値詳細時刻</stp>
        <tr r="D802" s="7"/>
      </tp>
      <tp t="s">
        <v>15:00:00</v>
        <stp/>
        <stp>Market</stp>
        <stp>STOCK</stp>
        <stp>69020.T</stp>
        <stp>現在値詳細時刻</stp>
        <tr r="D784" s="7"/>
      </tp>
      <tp t="s">
        <v>15:00:00</v>
        <stp/>
        <stp>Market</stp>
        <stp>STOCK</stp>
        <stp>69070.T</stp>
        <stp>現在値詳細時刻</stp>
        <tr r="D786" s="7"/>
      </tp>
      <tp t="s">
        <v>15:00:00</v>
        <stp/>
        <stp>Market</stp>
        <stp>STOCK</stp>
        <stp>69050.T</stp>
        <stp>現在値詳細時刻</stp>
        <tr r="D785" s="7"/>
      </tp>
      <tp t="s">
        <v>15:00:00</v>
        <stp/>
        <stp>Market</stp>
        <stp>STOCK</stp>
        <stp>69230.T</stp>
        <stp>現在値詳細時刻</stp>
        <tr r="D788" s="7"/>
      </tp>
      <tp t="s">
        <v>15:00:00</v>
        <stp/>
        <stp>Market</stp>
        <stp>STOCK</stp>
        <stp>69200.T</stp>
        <stp>現在値詳細時刻</stp>
        <tr r="D787" s="7"/>
      </tp>
      <tp t="s">
        <v>15:00:00</v>
        <stp/>
        <stp>Market</stp>
        <stp>STOCK</stp>
        <stp>69270.T</stp>
        <stp>現在値詳細時刻</stp>
        <tr r="D789" s="7"/>
      </tp>
      <tp t="s">
        <v>15:00:00</v>
        <stp/>
        <stp>Market</stp>
        <stp>STOCK</stp>
        <stp>69380.T</stp>
        <stp>現在値詳細時刻</stp>
        <tr r="D790" s="7"/>
      </tp>
      <tp t="s">
        <v>15:00:00</v>
        <stp/>
        <stp>Market</stp>
        <stp>STOCK</stp>
        <stp>69420.T</stp>
        <stp>現在値詳細時刻</stp>
        <tr r="D792" s="7"/>
      </tp>
      <tp t="s">
        <v>15:00:00</v>
        <stp/>
        <stp>Market</stp>
        <stp>STOCK</stp>
        <stp>69410.T</stp>
        <stp>現在値詳細時刻</stp>
        <tr r="D791" s="7"/>
      </tp>
      <tp t="s">
        <v>15:00:00</v>
        <stp/>
        <stp>Market</stp>
        <stp>STOCK</stp>
        <stp>69580.T</stp>
        <stp>現在値詳細時刻</stp>
        <tr r="D796" s="7"/>
      </tp>
      <tp t="s">
        <v>15:00:00</v>
        <stp/>
        <stp>Market</stp>
        <stp>STOCK</stp>
        <stp>69520.T</stp>
        <stp>現在値詳細時刻</stp>
        <tr r="D793" s="7"/>
      </tp>
      <tp t="s">
        <v>15:00:00</v>
        <stp/>
        <stp>Market</stp>
        <stp>STOCK</stp>
        <stp>69540.T</stp>
        <stp>現在値詳細時刻</stp>
        <tr r="D794" s="7"/>
      </tp>
      <tp t="s">
        <v>15:00:00</v>
        <stp/>
        <stp>Market</stp>
        <stp>STOCK</stp>
        <stp>69550.T</stp>
        <stp>現在値詳細時刻</stp>
        <tr r="D795" s="7"/>
      </tp>
      <tp t="s">
        <v>15:00:00</v>
        <stp/>
        <stp>Market</stp>
        <stp>STOCK</stp>
        <stp>69760.T</stp>
        <stp>現在値詳細時刻</stp>
        <tr r="D797" s="7"/>
      </tp>
      <tp t="s">
        <v>レアジョブ</v>
        <stp/>
        <stp>Market</stp>
        <stp>STOCK</stp>
        <stp>60960.T</stp>
        <stp>銘柄名称</stp>
        <tr r="B653" s="7"/>
      </tp>
      <tp t="s">
        <v>アステナホールディングス</v>
        <stp/>
        <stp>Market</stp>
        <stp>STOCK</stp>
        <stp>80950.T</stp>
        <stp>銘柄名称</stp>
        <tr r="B975" s="7"/>
      </tp>
      <tp t="s">
        <v>エンバイオ・ホールディング</v>
        <stp/>
        <stp>Market</stp>
        <stp>STOCK</stp>
        <stp>60920.T</stp>
        <stp>銘柄名称</stp>
        <tr r="B651" s="7"/>
      </tp>
      <tp t="s">
        <v>エスクローＡＪ</v>
        <stp/>
        <stp>Market</stp>
        <stp>STOCK</stp>
        <stp>60930.T</stp>
        <stp>銘柄名称</stp>
        <tr r="B652" s="7"/>
      </tp>
      <tp t="s">
        <v>表示銘柄数超過</v>
        <stp/>
        <stp>Market</stp>
        <stp>STOCK</stp>
        <stp>90900.T</stp>
        <stp>銘柄名称</stp>
        <tr r="B1092" s="7"/>
      </tp>
      <tp t="s">
        <v>ウエスコホールディングス</v>
        <stp/>
        <stp>Market</stp>
        <stp>STOCK</stp>
        <stp>60910.T</stp>
        <stp>銘柄名称</stp>
        <tr r="B650" s="7"/>
      </tp>
      <tp t="s">
        <v>リクルートホールディングス</v>
        <stp/>
        <stp>Market</stp>
        <stp>STOCK</stp>
        <stp>60980.T</stp>
        <stp>銘柄名称</stp>
        <tr r="B654" s="7"/>
      </tp>
      <tp t="s">
        <v>表示銘柄数超過</v>
        <stp/>
        <stp>Market</stp>
        <stp>STOCK</stp>
        <stp>30990.T</stp>
        <stp>銘柄名称</stp>
        <tr r="B240" s="7"/>
      </tp>
      <tp t="s">
        <v>表示銘柄数超過</v>
        <stp/>
        <stp>Market</stp>
        <stp>STOCK</stp>
        <stp>30860.T</stp>
        <stp>銘柄名称</stp>
        <tr r="B239" s="7"/>
      </tp>
      <tp t="s">
        <v>表示銘柄数超過</v>
        <stp/>
        <stp>Market</stp>
        <stp>STOCK</stp>
        <stp>30830.T</stp>
        <stp>銘柄名称</stp>
        <tr r="B238" s="7"/>
      </tp>
      <tp t="s">
        <v>カナデン</v>
        <stp/>
        <stp>Market</stp>
        <stp>STOCK</stp>
        <stp>80810.T</stp>
        <stp>銘柄名称</stp>
        <tr r="B974" s="7"/>
      </tp>
      <tp t="s">
        <v>アライドアーキテクツ</v>
        <stp/>
        <stp>Market</stp>
        <stp>STOCK</stp>
        <stp>60810.T</stp>
        <stp>銘柄名称</stp>
        <tr r="B649" s="7"/>
      </tp>
      <tp t="s">
        <v>フォーラムエンジニアリング</v>
        <stp/>
        <stp>Market</stp>
        <stp>STOCK</stp>
        <stp>70880.T</stp>
        <stp>銘柄名称</stp>
        <tr r="B824" s="7"/>
      </tp>
      <tp t="s">
        <v>オンワ－ドホールディングス</v>
        <stp/>
        <stp>Market</stp>
        <stp>STOCK</stp>
        <stp>80160.T</stp>
        <stp>銘柄名称</stp>
        <tr r="B967" s="7"/>
      </tp>
      <tp t="s">
        <v>表示銘柄数超過</v>
        <stp/>
        <stp>Market</stp>
        <stp>STOCK</stp>
        <stp>40160.T</stp>
        <stp>銘柄名称</stp>
        <tr r="B412" s="7"/>
      </tp>
      <tp t="s">
        <v>表示銘柄数超過</v>
        <stp/>
        <stp>Market</stp>
        <stp>STOCK</stp>
        <stp>50170.T</stp>
        <stp>銘柄名称</stp>
        <tr r="B560" s="7"/>
      </tp>
      <tp t="s">
        <v>名村造船所</v>
        <stp/>
        <stp>Market</stp>
        <stp>STOCK</stp>
        <stp>70140.T</stp>
        <stp>銘柄名称</stp>
        <tr r="B809" s="7"/>
      </tp>
      <tp t="s">
        <v>表示銘柄数超過</v>
        <stp/>
        <stp>Market</stp>
        <stp>STOCK</stp>
        <stp>50150.T</stp>
        <stp>銘柄名称</stp>
        <tr r="B559" s="7"/>
      </tp>
      <tp t="s">
        <v>川崎重工業</v>
        <stp/>
        <stp>Market</stp>
        <stp>STOCK</stp>
        <stp>70120.T</stp>
        <stp>銘柄名称</stp>
        <tr r="B807" s="7"/>
      </tp>
      <tp t="s">
        <v>ＩＨＩ</v>
        <stp/>
        <stp>Market</stp>
        <stp>STOCK</stp>
        <stp>70130.T</stp>
        <stp>銘柄名称</stp>
        <tr r="B808" s="7"/>
      </tp>
      <tp t="s">
        <v>表示銘柄数超過</v>
        <stp/>
        <stp>Market</stp>
        <stp>STOCK</stp>
        <stp>30100.T</stp>
        <stp>銘柄名称</stp>
        <tr r="B223" s="7"/>
      </tp>
      <tp t="s">
        <v>表示銘柄数超過</v>
        <stp/>
        <stp>Market</stp>
        <stp>STOCK</stp>
        <stp>50100.T</stp>
        <stp>銘柄名称</stp>
        <tr r="B558" s="7"/>
      </tp>
      <tp t="s">
        <v>表示銘柄数超過</v>
        <stp/>
        <stp>Market</stp>
        <stp>STOCK</stp>
        <stp>40110.T</stp>
        <stp>銘柄名称</stp>
        <tr r="B411" s="7"/>
      </tp>
      <tp t="s">
        <v>三菱重工業</v>
        <stp/>
        <stp>Market</stp>
        <stp>STOCK</stp>
        <stp>70110.T</stp>
        <stp>銘柄名称</stp>
        <tr r="B806" s="7"/>
      </tp>
      <tp t="s">
        <v>表示銘柄数超過</v>
        <stp/>
        <stp>Market</stp>
        <stp>STOCK</stp>
        <stp>50190.T</stp>
        <stp>銘柄名称</stp>
        <tr r="B561" s="7"/>
      </tp>
      <tp t="s">
        <v>表示銘柄数超過</v>
        <stp/>
        <stp>Market</stp>
        <stp>STOCK</stp>
        <stp>90060.T</stp>
        <stp>銘柄名称</stp>
        <tr r="B1076" s="7"/>
      </tp>
      <tp t="s">
        <v>表示銘柄数超過</v>
        <stp/>
        <stp>Market</stp>
        <stp>STOCK</stp>
        <stp>90070.T</stp>
        <stp>銘柄名称</stp>
        <tr r="B1077" s="7"/>
      </tp>
      <tp t="s">
        <v>表示銘柄数超過</v>
        <stp/>
        <stp>Market</stp>
        <stp>STOCK</stp>
        <stp>30040.T</stp>
        <stp>銘柄名称</stp>
        <tr r="B222" s="7"/>
      </tp>
      <tp t="s">
        <v>表示銘柄数超過</v>
        <stp/>
        <stp>Market</stp>
        <stp>STOCK</stp>
        <stp>40040.T</stp>
        <stp>銘柄名称</stp>
        <tr r="B410" s="7"/>
      </tp>
      <tp t="s">
        <v>日立造船</v>
        <stp/>
        <stp>Market</stp>
        <stp>STOCK</stp>
        <stp>70040.T</stp>
        <stp>銘柄名称</stp>
        <tr r="B805" s="7"/>
      </tp>
      <tp t="s">
        <v>スクロール</v>
        <stp/>
        <stp>Market</stp>
        <stp>STOCK</stp>
        <stp>80050.T</stp>
        <stp>銘柄名称</stp>
        <tr r="B965" s="7"/>
      </tp>
      <tp t="s">
        <v>表示銘柄数超過</v>
        <stp/>
        <stp>Market</stp>
        <stp>STOCK</stp>
        <stp>90050.T</stp>
        <stp>銘柄名称</stp>
        <tr r="B1075" s="7"/>
      </tp>
      <tp t="s">
        <v>表示銘柄数超過</v>
        <stp/>
        <stp>Market</stp>
        <stp>STOCK</stp>
        <stp>90030.T</stp>
        <stp>銘柄名称</stp>
        <tr r="B1074" s="7"/>
      </tp>
      <tp t="s">
        <v>表示銘柄数超過</v>
        <stp/>
        <stp>Market</stp>
        <stp>STOCK</stp>
        <stp>30030.T</stp>
        <stp>銘柄名称</stp>
        <tr r="B221" s="7"/>
      </tp>
      <tp t="s">
        <v>三井Ｅ＆Ｓ</v>
        <stp/>
        <stp>Market</stp>
        <stp>STOCK</stp>
        <stp>70030.T</stp>
        <stp>銘柄名称</stp>
        <tr r="B804" s="7"/>
      </tp>
      <tp t="s">
        <v>伊藤忠</v>
        <stp/>
        <stp>Market</stp>
        <stp>STOCK</stp>
        <stp>80010.T</stp>
        <stp>銘柄名称</stp>
        <tr r="B964" s="7"/>
      </tp>
      <tp t="s">
        <v>表示銘柄数超過</v>
        <stp/>
        <stp>Market</stp>
        <stp>STOCK</stp>
        <stp>90010.T</stp>
        <stp>銘柄名称</stp>
        <tr r="B1073" s="7"/>
      </tp>
      <tp t="s">
        <v>ヨンドシーホールディングス</v>
        <stp/>
        <stp>Market</stp>
        <stp>STOCK</stp>
        <stp>80080.T</stp>
        <stp>銘柄名称</stp>
        <tr r="B966" s="7"/>
      </tp>
      <tp t="s">
        <v>表示銘柄数超過</v>
        <stp/>
        <stp>Market</stp>
        <stp>STOCK</stp>
        <stp>90080.T</stp>
        <stp>銘柄名称</stp>
        <tr r="B1078" s="7"/>
      </tp>
      <tp t="s">
        <v>表示銘柄数超過</v>
        <stp/>
        <stp>Market</stp>
        <stp>STOCK</stp>
        <stp>90090.T</stp>
        <stp>銘柄名称</stp>
        <tr r="B1079" s="7"/>
      </tp>
      <tp t="s">
        <v>表示銘柄数超過</v>
        <stp/>
        <stp>Market</stp>
        <stp>STOCK</stp>
        <stp>30360.T</stp>
        <stp>銘柄名称</stp>
        <tr r="B229" s="7"/>
      </tp>
      <tp t="s">
        <v>テノ．ホールディングス</v>
        <stp/>
        <stp>Market</stp>
        <stp>STOCK</stp>
        <stp>70370.T</stp>
        <stp>銘柄名称</stp>
        <tr r="B811" s="7"/>
      </tp>
      <tp t="s">
        <v>表示銘柄数超過</v>
        <stp/>
        <stp>Market</stp>
        <stp>STOCK</stp>
        <stp>30340.T</stp>
        <stp>銘柄名称</stp>
        <tr r="B227" s="7"/>
      </tp>
      <tp t="s">
        <v>表示銘柄数超過</v>
        <stp/>
        <stp>Market</stp>
        <stp>STOCK</stp>
        <stp>30350.T</stp>
        <stp>銘柄名称</stp>
        <tr r="B228" s="7"/>
      </tp>
      <tp t="s">
        <v>アイ・アールジャパンＨＤ</v>
        <stp/>
        <stp>Market</stp>
        <stp>STOCK</stp>
        <stp>60350.T</stp>
        <stp>銘柄名称</stp>
        <tr r="B640" s="7"/>
      </tp>
      <tp t="s">
        <v>表示銘柄数超過</v>
        <stp/>
        <stp>Market</stp>
        <stp>STOCK</stp>
        <stp>50320.T</stp>
        <stp>銘柄名称</stp>
        <tr r="B565" s="7"/>
      </tp>
      <tp t="s">
        <v>表示銘柄数超過</v>
        <stp/>
        <stp>Market</stp>
        <stp>STOCK</stp>
        <stp>90330.T</stp>
        <stp>銘柄名称</stp>
        <tr r="B1084" s="7"/>
      </tp>
      <tp t="s">
        <v>表示銘柄数超過</v>
        <stp/>
        <stp>Market</stp>
        <stp>STOCK</stp>
        <stp>30300.T</stp>
        <stp>銘柄名称</stp>
        <tr r="B225" s="7"/>
      </tp>
      <tp t="s">
        <v>三井物産</v>
        <stp/>
        <stp>Market</stp>
        <stp>STOCK</stp>
        <stp>80310.T</stp>
        <stp>銘柄名称</stp>
        <tr r="B969" s="7"/>
      </tp>
      <tp t="s">
        <v>表示銘柄数超過</v>
        <stp/>
        <stp>Market</stp>
        <stp>STOCK</stp>
        <stp>30310.T</stp>
        <stp>銘柄名称</stp>
        <tr r="B226" s="7"/>
      </tp>
      <tp t="s">
        <v>サイジニア</v>
        <stp/>
        <stp>Market</stp>
        <stp>STOCK</stp>
        <stp>60310.T</stp>
        <stp>銘柄名称</stp>
        <tr r="B639" s="7"/>
      </tp>
      <tp t="s">
        <v>インバウンドテック</v>
        <stp/>
        <stp>Market</stp>
        <stp>STOCK</stp>
        <stp>70310.T</stp>
        <stp>銘柄名称</stp>
        <tr r="B810" s="7"/>
      </tp>
      <tp t="s">
        <v>ＮＮ原油ダブル・ブル</v>
        <stp/>
        <stp>Market</stp>
        <stp>STOCK</stp>
        <stp>20380.T</stp>
        <stp>銘柄名称</stp>
        <tr r="B87" s="7"/>
      </tp>
      <tp t="s">
        <v>表示銘柄数超過</v>
        <stp/>
        <stp>Market</stp>
        <stp>STOCK</stp>
        <stp>30380.T</stp>
        <stp>銘柄名称</stp>
        <tr r="B230" s="7"/>
      </tp>
      <tp t="s">
        <v>表示銘柄数超過</v>
        <stp/>
        <stp>Market</stp>
        <stp>STOCK</stp>
        <stp>40270.T</stp>
        <stp>銘柄名称</stp>
        <tr r="B413" s="7"/>
      </tp>
      <tp t="s">
        <v>表示銘柄数超過</v>
        <stp/>
        <stp>Market</stp>
        <stp>STOCK</stp>
        <stp>90240.T</stp>
        <stp>銘柄名称</stp>
        <tr r="B1083" s="7"/>
      </tp>
      <tp t="s">
        <v>表示銘柄数超過</v>
        <stp/>
        <stp>Market</stp>
        <stp>STOCK</stp>
        <stp>90220.T</stp>
        <stp>銘柄名称</stp>
        <tr r="B1082" s="7"/>
      </tp>
      <tp t="s">
        <v>ダイハツデイ－ゼル</v>
        <stp/>
        <stp>Market</stp>
        <stp>STOCK</stp>
        <stp>60230.T</stp>
        <stp>銘柄名称</stp>
        <tr r="B636" s="7"/>
      </tp>
      <tp t="s">
        <v>兼松</v>
        <stp/>
        <stp>Market</stp>
        <stp>STOCK</stp>
        <stp>80200.T</stp>
        <stp>銘柄名称</stp>
        <tr r="B968" s="7"/>
      </tp>
      <tp t="s">
        <v>表示銘柄数超過</v>
        <stp/>
        <stp>Market</stp>
        <stp>STOCK</stp>
        <stp>90200.T</stp>
        <stp>銘柄名称</stp>
        <tr r="B1080" s="7"/>
        <tr r="B1081" s="7"/>
      </tp>
      <tp t="s">
        <v>表示銘柄数超過</v>
        <stp/>
        <stp>Market</stp>
        <stp>STOCK</stp>
        <stp>50200.T</stp>
        <stp>銘柄名称</stp>
        <tr r="B562" s="7"/>
      </tp>
      <tp t="s">
        <v>表示銘柄数超過</v>
        <stp/>
        <stp>Market</stp>
        <stp>STOCK</stp>
        <stp>30210.T</stp>
        <stp>銘柄名称</stp>
        <tr r="B224" s="7"/>
      </tp>
      <tp t="s">
        <v>表示銘柄数超過</v>
        <stp/>
        <stp>Market</stp>
        <stp>STOCK</stp>
        <stp>50210.T</stp>
        <stp>銘柄名称</stp>
        <tr r="B563" s="7"/>
      </tp>
      <tp t="s">
        <v>表示銘柄数超過</v>
        <stp/>
        <stp>Market</stp>
        <stp>STOCK</stp>
        <stp>50280.T</stp>
        <stp>銘柄名称</stp>
        <tr r="B564" s="7"/>
      </tp>
      <tp t="s">
        <v>テクノプロ・ホールディング</v>
        <stp/>
        <stp>Market</stp>
        <stp>STOCK</stp>
        <stp>60280.T</stp>
        <stp>銘柄名称</stp>
        <tr r="B637" s="7"/>
      </tp>
      <tp t="s">
        <v>アトラグループ</v>
        <stp/>
        <stp>Market</stp>
        <stp>STOCK</stp>
        <stp>60290.T</stp>
        <stp>銘柄名称</stp>
        <tr r="B638" s="7"/>
      </tp>
      <tp t="s">
        <v>ＢＩＰＲＯＧＹ</v>
        <stp/>
        <stp>Market</stp>
        <stp>STOCK</stp>
        <stp>80560.T</stp>
        <stp>銘柄名称</stp>
        <tr r="B971" s="7"/>
      </tp>
      <tp t="s">
        <v>リブセンス</v>
        <stp/>
        <stp>Market</stp>
        <stp>STOCK</stp>
        <stp>60540.T</stp>
        <stp>銘柄名称</stp>
        <tr r="B646" s="7"/>
      </tp>
      <tp t="s">
        <v>表示銘柄数超過</v>
        <stp/>
        <stp>Market</stp>
        <stp>STOCK</stp>
        <stp>20550.T</stp>
        <stp>銘柄名称</stp>
        <tr r="B88" s="7"/>
      </tp>
      <tp t="s">
        <v>住友商事</v>
        <stp/>
        <stp>Market</stp>
        <stp>STOCK</stp>
        <stp>80530.T</stp>
        <stp>銘柄名称</stp>
        <tr r="B970" s="7"/>
      </tp>
      <tp t="s">
        <v>表示銘柄数超過</v>
        <stp/>
        <stp>Market</stp>
        <stp>STOCK</stp>
        <stp>30530.T</stp>
        <stp>銘柄名称</stp>
        <tr r="B233" s="7"/>
      </tp>
      <tp t="s">
        <v>表示銘柄数超過</v>
        <stp/>
        <stp>Market</stp>
        <stp>STOCK</stp>
        <stp>30500.T</stp>
        <stp>銘柄名称</stp>
        <tr r="B232" s="7"/>
      </tp>
      <tp t="s">
        <v>三菱商事</v>
        <stp/>
        <stp>Market</stp>
        <stp>STOCK</stp>
        <stp>80580.T</stp>
        <stp>銘柄名称</stp>
        <tr r="B972" s="7"/>
      </tp>
      <tp t="s">
        <v>表示銘柄数超過</v>
        <stp/>
        <stp>Market</stp>
        <stp>STOCK</stp>
        <stp>90590.T</stp>
        <stp>銘柄名称</stp>
        <tr r="B1089" s="7"/>
      </tp>
      <tp t="s">
        <v>表示銘柄数超過</v>
        <stp/>
        <stp>Market</stp>
        <stp>STOCK</stp>
        <stp>40590.T</stp>
        <stp>銘柄名称</stp>
        <tr r="B414" s="7"/>
      </tp>
      <tp t="s">
        <v>ウチヤマホールディングス</v>
        <stp/>
        <stp>Market</stp>
        <stp>STOCK</stp>
        <stp>60590.T</stp>
        <stp>銘柄名称</stp>
        <tr r="B647" s="7"/>
      </tp>
      <tp t="s">
        <v>コプロ・ホールディングス</v>
        <stp/>
        <stp>Market</stp>
        <stp>STOCK</stp>
        <stp>70590.T</stp>
        <stp>銘柄名称</stp>
        <tr r="B818" s="7"/>
      </tp>
      <tp t="s">
        <v>リンクバル</v>
        <stp/>
        <stp>Market</stp>
        <stp>STOCK</stp>
        <stp>60460.T</stp>
        <stp>銘柄名称</stp>
        <tr r="B642" s="7"/>
      </tp>
      <tp t="s">
        <v>Ｇｕｎｏｓｙ</v>
        <stp/>
        <stp>Market</stp>
        <stp>STOCK</stp>
        <stp>60470.T</stp>
        <stp>銘柄名称</stp>
        <tr r="B643" s="7"/>
      </tp>
      <tp t="s">
        <v>ポート</v>
        <stp/>
        <stp>Market</stp>
        <stp>STOCK</stp>
        <stp>70470.T</stp>
        <stp>銘柄名称</stp>
        <tr r="B815" s="7"/>
      </tp>
      <tp t="s">
        <v>表示銘柄数超過</v>
        <stp/>
        <stp>Market</stp>
        <stp>STOCK</stp>
        <stp>90440.T</stp>
        <stp>銘柄名称</stp>
        <tr r="B1087" s="7"/>
      </tp>
      <tp t="s">
        <v>三機サービス</v>
        <stp/>
        <stp>Market</stp>
        <stp>STOCK</stp>
        <stp>60440.T</stp>
        <stp>銘柄名称</stp>
        <tr r="B641" s="7"/>
      </tp>
      <tp t="s">
        <v>ピアラ</v>
        <stp/>
        <stp>Market</stp>
        <stp>STOCK</stp>
        <stp>70440.T</stp>
        <stp>銘柄名称</stp>
        <tr r="B814" s="7"/>
      </tp>
      <tp t="s">
        <v>表示銘柄数超過</v>
        <stp/>
        <stp>Market</stp>
        <stp>STOCK</stp>
        <stp>90420.T</stp>
        <stp>銘柄名称</stp>
        <tr r="B1086" s="7"/>
      </tp>
      <tp t="s">
        <v>アルー</v>
        <stp/>
        <stp>Market</stp>
        <stp>STOCK</stp>
        <stp>70430.T</stp>
        <stp>銘柄名称</stp>
        <tr r="B813" s="7"/>
      </tp>
      <tp t="s">
        <v>表示銘柄数超過</v>
        <stp/>
        <stp>Market</stp>
        <stp>STOCK</stp>
        <stp>90410.T</stp>
        <stp>銘柄名称</stp>
        <tr r="B1085" s="7"/>
      </tp>
      <tp t="s">
        <v>表示銘柄数超過</v>
        <stp/>
        <stp>Market</stp>
        <stp>STOCK</stp>
        <stp>30410.T</stp>
        <stp>銘柄名称</stp>
        <tr r="B231" s="7"/>
      </tp>
      <tp t="s">
        <v>ＣＲＧホールディングス</v>
        <stp/>
        <stp>Market</stp>
        <stp>STOCK</stp>
        <stp>70410.T</stp>
        <stp>銘柄名称</stp>
        <tr r="B812" s="7"/>
      </tp>
      <tp t="s">
        <v>表示銘柄数超過</v>
        <stp/>
        <stp>Market</stp>
        <stp>STOCK</stp>
        <stp>90480.T</stp>
        <stp>銘柄名称</stp>
        <tr r="B1088" s="7"/>
      </tp>
      <tp t="s">
        <v>デザインワン・ジャパン</v>
        <stp/>
        <stp>Market</stp>
        <stp>STOCK</stp>
        <stp>60480.T</stp>
        <stp>銘柄名称</stp>
        <tr r="B644" s="7"/>
      </tp>
      <tp t="s">
        <v>ベルトラ</v>
        <stp/>
        <stp>Market</stp>
        <stp>STOCK</stp>
        <stp>70480.T</stp>
        <stp>銘柄名称</stp>
        <tr r="B816" s="7"/>
      </tp>
      <tp t="s">
        <v>イトクロ</v>
        <stp/>
        <stp>Market</stp>
        <stp>STOCK</stp>
        <stp>60490.T</stp>
        <stp>銘柄名称</stp>
        <tr r="B645" s="7"/>
      </tp>
      <tp t="s">
        <v>識学</v>
        <stp/>
        <stp>Market</stp>
        <stp>STOCK</stp>
        <stp>70490.T</stp>
        <stp>銘柄名称</stp>
        <tr r="B817" s="7"/>
      </tp>
      <tp t="s">
        <v>トルク</v>
        <stp/>
        <stp>Market</stp>
        <stp>STOCK</stp>
        <stp>80770.T</stp>
        <stp>銘柄名称</stp>
        <tr r="B973" s="7"/>
      </tp>
      <tp t="s">
        <v>表示銘柄数超過</v>
        <stp/>
        <stp>Market</stp>
        <stp>STOCK</stp>
        <stp>50740.T</stp>
        <stp>銘柄名称</stp>
        <tr r="B566" s="7"/>
      </tp>
      <tp t="s">
        <v>トゥエンティーフォーセブン</v>
        <stp/>
        <stp>Market</stp>
        <stp>STOCK</stp>
        <stp>70740.T</stp>
        <stp>銘柄名称</stp>
        <tr r="B823" s="7"/>
      </tp>
      <tp t="s">
        <v>表示銘柄数超過</v>
        <stp/>
        <stp>Market</stp>
        <stp>STOCK</stp>
        <stp>40750.T</stp>
        <stp>銘柄名称</stp>
        <tr r="B416" s="7"/>
      </tp>
      <tp t="s">
        <v>アサンテ</v>
        <stp/>
        <stp>Market</stp>
        <stp>STOCK</stp>
        <stp>60730.T</stp>
        <stp>銘柄名称</stp>
        <tr r="B648" s="7"/>
      </tp>
      <tp t="s">
        <v>表示銘柄数超過</v>
        <stp/>
        <stp>Market</stp>
        <stp>STOCK</stp>
        <stp>30700.T</stp>
        <stp>銘柄名称</stp>
        <tr r="B236" s="7"/>
      </tp>
      <tp t="s">
        <v>表示銘柄数超過</v>
        <stp/>
        <stp>Market</stp>
        <stp>STOCK</stp>
        <stp>30710.T</stp>
        <stp>銘柄名称</stp>
        <tr r="B237" s="7"/>
      </tp>
      <tp t="s">
        <v>表示銘柄数超過</v>
        <stp/>
        <stp>Market</stp>
        <stp>STOCK</stp>
        <stp>90640.T</stp>
        <stp>銘柄名称</stp>
        <tr r="B1091" s="7"/>
      </tp>
      <tp t="s">
        <v>表示銘柄数超過</v>
        <stp/>
        <stp>Market</stp>
        <stp>STOCK</stp>
        <stp>30640.T</stp>
        <stp>銘柄名称</stp>
        <tr r="B234" s="7"/>
      </tp>
      <tp t="s">
        <v>フレアス</v>
        <stp/>
        <stp>Market</stp>
        <stp>STOCK</stp>
        <stp>70620.T</stp>
        <stp>銘柄名称</stp>
        <tr r="B820" s="7"/>
      </tp>
      <tp t="s">
        <v>表示銘柄数超過</v>
        <stp/>
        <stp>Market</stp>
        <stp>STOCK</stp>
        <stp>90630.T</stp>
        <stp>銘柄名称</stp>
        <tr r="B1090" s="7"/>
      </tp>
      <tp t="s">
        <v>表示銘柄数超過</v>
        <stp/>
        <stp>Market</stp>
        <stp>STOCK</stp>
        <stp>40630.T</stp>
        <stp>銘柄名称</stp>
        <tr r="B415" s="7"/>
      </tp>
      <tp t="s">
        <v>Ｂｉｒｄｍａｎ</v>
        <stp/>
        <stp>Market</stp>
        <stp>STOCK</stp>
        <stp>70630.T</stp>
        <stp>銘柄名称</stp>
        <tr r="B821" s="7"/>
      </tp>
      <tp t="s">
        <v>ギークス</v>
        <stp/>
        <stp>Market</stp>
        <stp>STOCK</stp>
        <stp>70600.T</stp>
        <stp>銘柄名称</stp>
        <tr r="B819" s="7"/>
      </tp>
      <tp t="s">
        <v>フィードフォースグループ</v>
        <stp/>
        <stp>Market</stp>
        <stp>STOCK</stp>
        <stp>70680.T</stp>
        <stp>銘柄名称</stp>
        <tr r="B822" s="7"/>
      </tp>
      <tp t="s">
        <v>表示銘柄数超過</v>
        <stp/>
        <stp>Market</stp>
        <stp>STOCK</stp>
        <stp>30690.T</stp>
        <stp>銘柄名称</stp>
        <tr r="B235" s="7"/>
      </tp>
    </main>
    <main first="rtdsrv.662c26bade854d00aebc6010f8a2e03a">
      <tp t="s">
        <v>15:00:00</v>
        <stp/>
        <stp>Market</stp>
        <stp>STOCK</stp>
        <stp>76920.T</stp>
        <stp>現在値詳細時刻</stp>
        <tr r="D920" s="7"/>
      </tp>
      <tp t="s">
        <v>15:00:00</v>
        <stp/>
        <stp>Market</stp>
        <stp>STOCK</stp>
        <stp>76020.T</stp>
        <stp>現在値詳細時刻</stp>
        <tr r="D910" s="7"/>
      </tp>
      <tp t="s">
        <v>15:00:00</v>
        <stp/>
        <stp>Market</stp>
        <stp>STOCK</stp>
        <stp>76010.T</stp>
        <stp>現在値詳細時刻</stp>
        <tr r="D909" s="7"/>
      </tp>
      <tp t="s">
        <v>15:00:00</v>
        <stp/>
        <stp>Market</stp>
        <stp>STOCK</stp>
        <stp>76050.T</stp>
        <stp>現在値詳細時刻</stp>
        <tr r="D911" s="7"/>
      </tp>
      <tp t="s">
        <v>15:00:00</v>
        <stp/>
        <stp>Market</stp>
        <stp>STOCK</stp>
        <stp>76100.T</stp>
        <stp>現在値詳細時刻</stp>
        <tr r="D912" s="7"/>
      </tp>
      <tp t="s">
        <v>15:00:00</v>
        <stp/>
        <stp>Market</stp>
        <stp>STOCK</stp>
        <stp>76150.T</stp>
        <stp>現在値詳細時刻</stp>
        <tr r="D913" s="7"/>
      </tp>
      <tp t="s">
        <v>15:00:00</v>
        <stp/>
        <stp>Market</stp>
        <stp>STOCK</stp>
        <stp>76230.T</stp>
        <stp>現在値詳細時刻</stp>
        <tr r="D915" s="7"/>
      </tp>
      <tp t="s">
        <v>15:00:00</v>
        <stp/>
        <stp>Market</stp>
        <stp>STOCK</stp>
        <stp>76240.T</stp>
        <stp>現在値詳細時刻</stp>
        <tr r="D916" s="7"/>
      </tp>
      <tp t="s">
        <v>15:00:00</v>
        <stp/>
        <stp>Market</stp>
        <stp>STOCK</stp>
        <stp>76400.T</stp>
        <stp>現在値詳細時刻</stp>
        <tr r="D917" s="7"/>
      </tp>
      <tp t="s">
        <v>15:00:00</v>
        <stp/>
        <stp>Market</stp>
        <stp>STOCK</stp>
        <stp>76470.T</stp>
        <stp>現在値詳細時刻</stp>
        <tr r="D918" s="7"/>
      </tp>
      <tp t="s">
        <v>15:00:00</v>
        <stp/>
        <stp>Market</stp>
        <stp>STOCK</stp>
        <stp>76760.T</stp>
        <stp>現在値詳細時刻</stp>
        <tr r="D919" s="7"/>
      </tp>
      <tp t="s">
        <v>15:00:00</v>
        <stp/>
        <stp>Market</stp>
        <stp>STOCK</stp>
        <stp>77920.T</stp>
        <stp>現在値詳細時刻</stp>
        <tr r="D935" s="7"/>
      </tp>
      <tp t="s">
        <v>15:00:00</v>
        <stp/>
        <stp>Market</stp>
        <stp>STOCK</stp>
        <stp>77940.T</stp>
        <stp>現在値詳細時刻</stp>
        <tr r="D936" s="7"/>
      </tp>
      <tp t="s">
        <v>15:00:00</v>
        <stp/>
        <stp>Market</stp>
        <stp>STOCK</stp>
        <stp>77950.T</stp>
        <stp>現在値詳細時刻</stp>
        <tr r="D937" s="7"/>
      </tp>
      <tp t="s">
        <v>15:00:00</v>
        <stp/>
        <stp>Market</stp>
        <stp>STOCK</stp>
        <stp>77090.T</stp>
        <stp>現在値詳細時刻</stp>
        <tr r="D921" s="7"/>
      </tp>
      <tp t="s">
        <v>15:00:00</v>
        <stp/>
        <stp>Market</stp>
        <stp>STOCK</stp>
        <stp>77190.T</stp>
        <stp>現在値詳細時刻</stp>
        <tr r="D922" s="7"/>
      </tp>
      <tp t="s">
        <v>14:59:56</v>
        <stp/>
        <stp>Market</stp>
        <stp>STOCK</stp>
        <stp>77220.T</stp>
        <stp>現在値詳細時刻</stp>
        <tr r="D923" s="7"/>
      </tp>
      <tp t="s">
        <v>15:00:00</v>
        <stp/>
        <stp>Market</stp>
        <stp>STOCK</stp>
        <stp>77250.T</stp>
        <stp>現在値詳細時刻</stp>
        <tr r="D924" s="7"/>
      </tp>
      <tp t="s">
        <v>15:00:00</v>
        <stp/>
        <stp>Market</stp>
        <stp>STOCK</stp>
        <stp>77390.T</stp>
        <stp>現在値詳細時刻</stp>
        <tr r="D926" s="7"/>
      </tp>
      <tp t="s">
        <v>15:00:00</v>
        <stp/>
        <stp>Market</stp>
        <stp>STOCK</stp>
        <stp>77320.T</stp>
        <stp>現在値詳細時刻</stp>
        <tr r="D925" s="7"/>
      </tp>
      <tp t="s">
        <v>15:00:00</v>
        <stp/>
        <stp>Market</stp>
        <stp>STOCK</stp>
        <stp>77450.T</stp>
        <stp>現在値詳細時刻</stp>
        <tr r="D927" s="7"/>
      </tp>
      <tp t="s">
        <v>15:00:00</v>
        <stp/>
        <stp>Market</stp>
        <stp>STOCK</stp>
        <stp>77520.T</stp>
        <stp>現在値詳細時刻</stp>
        <tr r="D929" s="7"/>
      </tp>
      <tp t="s">
        <v>15:00:00</v>
        <stp/>
        <stp>Market</stp>
        <stp>STOCK</stp>
        <stp>77510.T</stp>
        <stp>現在値詳細時刻</stp>
        <tr r="D928" s="7"/>
      </tp>
      <tp t="s">
        <v>15:00:00</v>
        <stp/>
        <stp>Market</stp>
        <stp>STOCK</stp>
        <stp>77620.T</stp>
        <stp>現在値詳細時刻</stp>
        <tr r="D930" s="7"/>
      </tp>
      <tp t="s">
        <v>15:00:00</v>
        <stp/>
        <stp>Market</stp>
        <stp>STOCK</stp>
        <stp>77790.T</stp>
        <stp>現在値詳細時刻</stp>
        <tr r="D934" s="7"/>
      </tp>
      <tp t="s">
        <v>15:00:00</v>
        <stp/>
        <stp>Market</stp>
        <stp>STOCK</stp>
        <stp>77710.T</stp>
        <stp>現在値詳細時刻</stp>
        <tr r="D931" s="7"/>
      </tp>
      <tp t="s">
        <v>15:00:00</v>
        <stp/>
        <stp>Market</stp>
        <stp>STOCK</stp>
        <stp>77760.T</stp>
        <stp>現在値詳細時刻</stp>
        <tr r="D932" s="7"/>
      </tp>
      <tp t="s">
        <v>15:00:00</v>
        <stp/>
        <stp>Market</stp>
        <stp>STOCK</stp>
        <stp>77770.T</stp>
        <stp>現在値詳細時刻</stp>
        <tr r="D933" s="7"/>
      </tp>
      <tp t="s">
        <v>15:00:00</v>
        <stp/>
        <stp>Market</stp>
        <stp>STOCK</stp>
        <stp>74810.T</stp>
        <stp>現在値詳細時刻</stp>
        <tr r="D893" s="7"/>
      </tp>
      <tp t="s">
        <v>15:00:00</v>
        <stp/>
        <stp>Market</stp>
        <stp>STOCK</stp>
        <stp>74940.T</stp>
        <stp>現在値詳細時刻</stp>
        <tr r="D894" s="7"/>
      </tp>
      <tp t="s">
        <v>15:00:00</v>
        <stp/>
        <stp>Market</stp>
        <stp>STOCK</stp>
        <stp>74080.T</stp>
        <stp>現在値詳細時刻</stp>
        <tr r="D886" s="7"/>
      </tp>
      <tp t="s">
        <v>15:00:00</v>
        <stp/>
        <stp>Market</stp>
        <stp>STOCK</stp>
        <stp>74190.T</stp>
        <stp>現在値詳細時刻</stp>
        <tr r="D887" s="7"/>
      </tp>
      <tp t="s">
        <v>15:00:00</v>
        <stp/>
        <stp>Market</stp>
        <stp>STOCK</stp>
        <stp>74200.T</stp>
        <stp>現在値詳細時刻</stp>
        <tr r="D888" s="7"/>
      </tp>
      <tp t="s">
        <v>15:00:00</v>
        <stp/>
        <stp>Market</stp>
        <stp>STOCK</stp>
        <stp>74450.T</stp>
        <stp>現在値詳細時刻</stp>
        <tr r="D889" s="7"/>
      </tp>
      <tp t="s">
        <v>15:00:00</v>
        <stp/>
        <stp>Market</stp>
        <stp>STOCK</stp>
        <stp>74590.T</stp>
        <stp>現在値詳細時刻</stp>
        <tr r="D892" s="7"/>
      </tp>
      <tp t="s">
        <v>15:00:00</v>
        <stp/>
        <stp>Market</stp>
        <stp>STOCK</stp>
        <stp>74530.T</stp>
        <stp>現在値詳細時刻</stp>
        <tr r="D890" s="7"/>
      </tp>
      <tp t="s">
        <v>15:00:00</v>
        <stp/>
        <stp>Market</stp>
        <stp>STOCK</stp>
        <stp>74550.T</stp>
        <stp>現在値詳細時刻</stp>
        <tr r="D891" s="7"/>
      </tp>
      <tp t="s">
        <v>14:57:52</v>
        <stp/>
        <stp>Market</stp>
        <stp>STOCK</stp>
        <stp>75850.T</stp>
        <stp>現在値詳細時刻</stp>
        <tr r="D906" s="7"/>
      </tp>
      <tp t="s">
        <v>表示銘柄数超過</v>
        <stp/>
        <stp>Market</stp>
        <stp>STOCK</stp>
        <stp>25935.T</stp>
        <stp>現在値詳細時刻</stp>
        <tr r="D167" s="7"/>
      </tp>
      <tp t="s">
        <v>15:00:00</v>
        <stp/>
        <stp>Market</stp>
        <stp>STOCK</stp>
        <stp>75930.T</stp>
        <stp>現在値詳細時刻</stp>
        <tr r="D908" s="7"/>
      </tp>
      <tp t="s">
        <v>15:00:00</v>
        <stp/>
        <stp>Market</stp>
        <stp>STOCK</stp>
        <stp>75900.T</stp>
        <stp>現在値詳細時刻</stp>
        <tr r="D907" s="7"/>
      </tp>
      <tp t="s">
        <v>10:34:48</v>
        <stp/>
        <stp>Market</stp>
        <stp>STOCK</stp>
        <stp>75050.T</stp>
        <stp>現在値詳細時刻</stp>
        <tr r="D895" s="7"/>
      </tp>
      <tp t="s">
        <v>15:00:00</v>
        <stp/>
        <stp>Market</stp>
        <stp>STOCK</stp>
        <stp>75120.T</stp>
        <stp>現在値詳細時刻</stp>
        <tr r="D896" s="7"/>
      </tp>
      <tp t="s">
        <v>15:00:00</v>
        <stp/>
        <stp>Market</stp>
        <stp>STOCK</stp>
        <stp>75130.T</stp>
        <stp>現在値詳細時刻</stp>
        <tr r="D897" s="7"/>
      </tp>
      <tp t="s">
        <v>15:00:00</v>
        <stp/>
        <stp>Market</stp>
        <stp>STOCK</stp>
        <stp>75160.T</stp>
        <stp>現在値詳細時刻</stp>
        <tr r="D899" s="7"/>
      </tp>
      <tp t="s">
        <v>15:00:00</v>
        <stp/>
        <stp>Market</stp>
        <stp>STOCK</stp>
        <stp>75140.T</stp>
        <stp>現在値詳細時刻</stp>
        <tr r="D898" s="7"/>
      </tp>
      <tp t="s">
        <v>15:00:00</v>
        <stp/>
        <stp>Market</stp>
        <stp>STOCK</stp>
        <stp>75230.T</stp>
        <stp>現在値詳細時刻</stp>
        <tr r="D900" s="7"/>
      </tp>
      <tp t="s">
        <v>15:00:00</v>
        <stp/>
        <stp>Market</stp>
        <stp>STOCK</stp>
        <stp>75270.T</stp>
        <stp>現在値詳細時刻</stp>
        <tr r="D901" s="7"/>
      </tp>
      <tp t="s">
        <v>15:00:00</v>
        <stp/>
        <stp>Market</stp>
        <stp>STOCK</stp>
        <stp>75380.T</stp>
        <stp>現在値詳細時刻</stp>
        <tr r="D902" s="7"/>
      </tp>
      <tp t="s">
        <v>15:00:00</v>
        <stp/>
        <stp>Market</stp>
        <stp>STOCK</stp>
        <stp>75440.T</stp>
        <stp>現在値詳細時刻</stp>
        <tr r="D903" s="7"/>
      </tp>
      <tp t="s">
        <v>15:00:00</v>
        <stp/>
        <stp>Market</stp>
        <stp>STOCK</stp>
        <stp>75670.T</stp>
        <stp>現在値詳細時刻</stp>
        <tr r="D904" s="7"/>
      </tp>
      <tp t="s">
        <v>15:00:00</v>
        <stp/>
        <stp>Market</stp>
        <stp>STOCK</stp>
        <stp>75780.T</stp>
        <stp>現在値詳細時刻</stp>
        <tr r="D905" s="7"/>
      </tp>
      <tp t="s">
        <v>15:00:00</v>
        <stp/>
        <stp>Market</stp>
        <stp>STOCK</stp>
        <stp>72830.T</stp>
        <stp>現在値詳細時刻</stp>
        <tr r="D870" s="7"/>
      </tp>
      <tp t="s">
        <v>15:00:00</v>
        <stp/>
        <stp>Market</stp>
        <stp>STOCK</stp>
        <stp>72800.T</stp>
        <stp>現在値詳細時刻</stp>
        <tr r="D869" s="7"/>
      </tp>
      <tp t="s">
        <v/>
        <stp/>
        <stp>Market</stp>
        <stp>STOCK</stp>
        <stp>72980.T</stp>
        <stp>現在値詳細時刻</stp>
        <tr r="D873" s="7"/>
      </tp>
      <tp t="s">
        <v>15:00:00</v>
        <stp/>
        <stp>Market</stp>
        <stp>STOCK</stp>
        <stp>72910.T</stp>
        <stp>現在値詳細時刻</stp>
        <tr r="D871" s="7"/>
      </tp>
      <tp t="s">
        <v>15:00:00</v>
        <stp/>
        <stp>Market</stp>
        <stp>STOCK</stp>
        <stp>72940.T</stp>
        <stp>現在値詳細時刻</stp>
        <tr r="D872" s="7"/>
      </tp>
      <tp t="s">
        <v>15:00:00</v>
        <stp/>
        <stp>Market</stp>
        <stp>STOCK</stp>
        <stp>72020.T</stp>
        <stp>現在値詳細時刻</stp>
        <tr r="D845" s="7"/>
      </tp>
      <tp t="s">
        <v>15:00:00</v>
        <stp/>
        <stp>Market</stp>
        <stp>STOCK</stp>
        <stp>72030.T</stp>
        <stp>現在値詳細時刻</stp>
        <tr r="D846" s="7"/>
      </tp>
      <tp t="s">
        <v>15:00:00</v>
        <stp/>
        <stp>Market</stp>
        <stp>STOCK</stp>
        <stp>72010.T</stp>
        <stp>現在値詳細時刻</stp>
        <tr r="D844" s="7"/>
      </tp>
      <tp t="s">
        <v>15:00:00</v>
        <stp/>
        <stp>Market</stp>
        <stp>STOCK</stp>
        <stp>72050.T</stp>
        <stp>現在値詳細時刻</stp>
        <tr r="D847" s="7"/>
      </tp>
      <tp t="s">
        <v>15:00:00</v>
        <stp/>
        <stp>Market</stp>
        <stp>STOCK</stp>
        <stp>72120.T</stp>
        <stp>現在値詳細時刻</stp>
        <tr r="D849" s="7"/>
      </tp>
      <tp t="s">
        <v>15:00:00</v>
        <stp/>
        <stp>Market</stp>
        <stp>STOCK</stp>
        <stp>72130.T</stp>
        <stp>現在値詳細時刻</stp>
        <tr r="D850" s="7"/>
      </tp>
      <tp t="s">
        <v>15:00:00</v>
        <stp/>
        <stp>Market</stp>
        <stp>STOCK</stp>
        <stp>72110.T</stp>
        <stp>現在値詳細時刻</stp>
        <tr r="D848" s="7"/>
      </tp>
      <tp t="s">
        <v>15:00:00</v>
        <stp/>
        <stp>Market</stp>
        <stp>STOCK</stp>
        <stp>72140.T</stp>
        <stp>現在値詳細時刻</stp>
        <tr r="D851" s="7"/>
      </tp>
      <tp t="s">
        <v>15:00:00</v>
        <stp/>
        <stp>Market</stp>
        <stp>STOCK</stp>
        <stp>72290.T</stp>
        <stp>現在値詳細時刻</stp>
        <tr r="D853" s="7"/>
      </tp>
      <tp t="s">
        <v>15:00:00</v>
        <stp/>
        <stp>Market</stp>
        <stp>STOCK</stp>
        <stp>72220.T</stp>
        <stp>現在値詳細時刻</stp>
        <tr r="D852" s="7"/>
      </tp>
      <tp t="s">
        <v>15:00:00</v>
        <stp/>
        <stp>Market</stp>
        <stp>STOCK</stp>
        <stp>72380.T</stp>
        <stp>現在値詳細時刻</stp>
        <tr r="D856" s="7"/>
      </tp>
      <tp t="s">
        <v>15:00:00</v>
        <stp/>
        <stp>Market</stp>
        <stp>STOCK</stp>
        <stp>72360.T</stp>
        <stp>現在値詳細時刻</stp>
        <tr r="D855" s="7"/>
      </tp>
      <tp t="s">
        <v>15:00:00</v>
        <stp/>
        <stp>Market</stp>
        <stp>STOCK</stp>
        <stp>72350.T</stp>
        <stp>現在値詳細時刻</stp>
        <tr r="D854" s="7"/>
      </tp>
      <tp t="s">
        <v>15:00:00</v>
        <stp/>
        <stp>Market</stp>
        <stp>STOCK</stp>
        <stp>72400.T</stp>
        <stp>現在値詳細時刻</stp>
        <tr r="D857" s="7"/>
      </tp>
      <tp t="s">
        <v>15:00:00</v>
        <stp/>
        <stp>Market</stp>
        <stp>STOCK</stp>
        <stp>72460.T</stp>
        <stp>現在値詳細時刻</stp>
        <tr r="D859" s="7"/>
      </tp>
      <tp t="s">
        <v>15:00:00</v>
        <stp/>
        <stp>Market</stp>
        <stp>STOCK</stp>
        <stp>72470.T</stp>
        <stp>現在値詳細時刻</stp>
        <tr r="D860" s="7"/>
      </tp>
      <tp t="s">
        <v>15:00:00</v>
        <stp/>
        <stp>Market</stp>
        <stp>STOCK</stp>
        <stp>72450.T</stp>
        <stp>現在値詳細時刻</stp>
        <tr r="D858" s="7"/>
      </tp>
      <tp t="s">
        <v>15:00:00</v>
        <stp/>
        <stp>Market</stp>
        <stp>STOCK</stp>
        <stp>72560.T</stp>
        <stp>現在値詳細時刻</stp>
        <tr r="D862" s="7"/>
      </tp>
      <tp t="s">
        <v>15:00:00</v>
        <stp/>
        <stp>Market</stp>
        <stp>STOCK</stp>
        <stp>72540.T</stp>
        <stp>現在値詳細時刻</stp>
        <tr r="D861" s="7"/>
      </tp>
      <tp t="s">
        <v>15:00:00</v>
        <stp/>
        <stp>Market</stp>
        <stp>STOCK</stp>
        <stp>72680.T</stp>
        <stp>現在値詳細時刻</stp>
        <tr r="D865" s="7"/>
      </tp>
      <tp t="s">
        <v>15:00:00</v>
        <stp/>
        <stp>Market</stp>
        <stp>STOCK</stp>
        <stp>72690.T</stp>
        <stp>現在値詳細時刻</stp>
        <tr r="D866" s="7"/>
      </tp>
      <tp t="s">
        <v>15:00:00</v>
        <stp/>
        <stp>Market</stp>
        <stp>STOCK</stp>
        <stp>72610.T</stp>
        <stp>現在値詳細時刻</stp>
        <tr r="D863" s="7"/>
      </tp>
      <tp t="s">
        <v>15:00:00</v>
        <stp/>
        <stp>Market</stp>
        <stp>STOCK</stp>
        <stp>72670.T</stp>
        <stp>現在値詳細時刻</stp>
        <tr r="D864" s="7"/>
      </tp>
      <tp t="s">
        <v>15:00:00</v>
        <stp/>
        <stp>Market</stp>
        <stp>STOCK</stp>
        <stp>72720.T</stp>
        <stp>現在値詳細時刻</stp>
        <tr r="D868" s="7"/>
      </tp>
      <tp t="s">
        <v>15:00:00</v>
        <stp/>
        <stp>Market</stp>
        <stp>STOCK</stp>
        <stp>72700.T</stp>
        <stp>現在値詳細時刻</stp>
        <tr r="D867" s="7"/>
      </tp>
      <tp t="s">
        <v>15:00:00</v>
        <stp/>
        <stp>Market</stp>
        <stp>STOCK</stp>
        <stp>73830.T</stp>
        <stp>現在値詳細時刻</stp>
        <tr r="D884" s="7"/>
      </tp>
      <tp t="s">
        <v>15:00:00</v>
        <stp/>
        <stp>Market</stp>
        <stp>STOCK</stp>
        <stp>73840.T</stp>
        <stp>現在値詳細時刻</stp>
        <tr r="D885" s="7"/>
      </tp>
      <tp t="s">
        <v>15:00:00</v>
        <stp/>
        <stp>Market</stp>
        <stp>STOCK</stp>
        <stp>73170.T</stp>
        <stp>現在値詳細時刻</stp>
        <tr r="D874" s="7"/>
      </tp>
      <tp t="s">
        <v>15:00:00</v>
        <stp/>
        <stp>Market</stp>
        <stp>STOCK</stp>
        <stp>73370.T</stp>
        <stp>現在値詳細時刻</stp>
        <tr r="D875" s="7"/>
      </tp>
      <tp t="s">
        <v>15:00:00</v>
        <stp/>
        <stp>Market</stp>
        <stp>STOCK</stp>
        <stp>73420.T</stp>
        <stp>現在値詳細時刻</stp>
        <tr r="D876" s="7"/>
      </tp>
      <tp t="s">
        <v>15:00:00</v>
        <stp/>
        <stp>Market</stp>
        <stp>STOCK</stp>
        <stp>73590.T</stp>
        <stp>現在値詳細時刻</stp>
        <tr r="D880" s="7"/>
      </tp>
      <tp t="s">
        <v>15:00:00</v>
        <stp/>
        <stp>Market</stp>
        <stp>STOCK</stp>
        <stp>73530.T</stp>
        <stp>現在値詳細時刻</stp>
        <tr r="D879" s="7"/>
      </tp>
      <tp t="s">
        <v>15:00:00</v>
        <stp/>
        <stp>Market</stp>
        <stp>STOCK</stp>
        <stp>73500.T</stp>
        <stp>現在値詳細時刻</stp>
        <tr r="D877" s="7"/>
      </tp>
      <tp t="s">
        <v>15:00:00</v>
        <stp/>
        <stp>Market</stp>
        <stp>STOCK</stp>
        <stp>73510.T</stp>
        <stp>現在値詳細時刻</stp>
        <tr r="D878" s="7"/>
      </tp>
      <tp t="s">
        <v>15:00:00</v>
        <stp/>
        <stp>Market</stp>
        <stp>STOCK</stp>
        <stp>73790.T</stp>
        <stp>現在値詳細時刻</stp>
        <tr r="D883" s="7"/>
      </tp>
      <tp t="s">
        <v>15:00:00</v>
        <stp/>
        <stp>Market</stp>
        <stp>STOCK</stp>
        <stp>73700.T</stp>
        <stp>現在値詳細時刻</stp>
        <tr r="D881" s="7"/>
      </tp>
      <tp t="s">
        <v>15:00:00</v>
        <stp/>
        <stp>Market</stp>
        <stp>STOCK</stp>
        <stp>73710.T</stp>
        <stp>現在値詳細時刻</stp>
        <tr r="D882" s="7"/>
      </tp>
      <tp t="s">
        <v>15:00:00</v>
        <stp/>
        <stp>Market</stp>
        <stp>STOCK</stp>
        <stp>70880.T</stp>
        <stp>現在値詳細時刻</stp>
        <tr r="D824" s="7"/>
      </tp>
      <tp t="s">
        <v>15:00:00</v>
        <stp/>
        <stp>Market</stp>
        <stp>STOCK</stp>
        <stp>70030.T</stp>
        <stp>現在値詳細時刻</stp>
        <tr r="D804" s="7"/>
      </tp>
      <tp t="s">
        <v>15:00:00</v>
        <stp/>
        <stp>Market</stp>
        <stp>STOCK</stp>
        <stp>70040.T</stp>
        <stp>現在値詳細時刻</stp>
        <tr r="D805" s="7"/>
      </tp>
      <tp t="s">
        <v>15:00:00</v>
        <stp/>
        <stp>Market</stp>
        <stp>STOCK</stp>
        <stp>70120.T</stp>
        <stp>現在値詳細時刻</stp>
        <tr r="D807" s="7"/>
      </tp>
      <tp t="s">
        <v>15:00:00</v>
        <stp/>
        <stp>Market</stp>
        <stp>STOCK</stp>
        <stp>70130.T</stp>
        <stp>現在値詳細時刻</stp>
        <tr r="D808" s="7"/>
      </tp>
      <tp t="s">
        <v>15:00:00</v>
        <stp/>
        <stp>Market</stp>
        <stp>STOCK</stp>
        <stp>70110.T</stp>
        <stp>現在値詳細時刻</stp>
        <tr r="D806" s="7"/>
      </tp>
      <tp t="s">
        <v>15:00:00</v>
        <stp/>
        <stp>Market</stp>
        <stp>STOCK</stp>
        <stp>70140.T</stp>
        <stp>現在値詳細時刻</stp>
        <tr r="D809" s="7"/>
      </tp>
      <tp t="s">
        <v>15:00:00</v>
        <stp/>
        <stp>Market</stp>
        <stp>STOCK</stp>
        <stp>70310.T</stp>
        <stp>現在値詳細時刻</stp>
        <tr r="D810" s="7"/>
      </tp>
      <tp t="s">
        <v>15:00:00</v>
        <stp/>
        <stp>Market</stp>
        <stp>STOCK</stp>
        <stp>70370.T</stp>
        <stp>現在値詳細時刻</stp>
        <tr r="D811" s="7"/>
      </tp>
      <tp t="s">
        <v>15:00:00</v>
        <stp/>
        <stp>Market</stp>
        <stp>STOCK</stp>
        <stp>70480.T</stp>
        <stp>現在値詳細時刻</stp>
        <tr r="D816" s="7"/>
      </tp>
      <tp t="s">
        <v>15:00:00</v>
        <stp/>
        <stp>Market</stp>
        <stp>STOCK</stp>
        <stp>70490.T</stp>
        <stp>現在値詳細時刻</stp>
        <tr r="D817" s="7"/>
      </tp>
      <tp t="s">
        <v>15:00:00</v>
        <stp/>
        <stp>Market</stp>
        <stp>STOCK</stp>
        <stp>70430.T</stp>
        <stp>現在値詳細時刻</stp>
        <tr r="D813" s="7"/>
      </tp>
      <tp t="s">
        <v>15:00:00</v>
        <stp/>
        <stp>Market</stp>
        <stp>STOCK</stp>
        <stp>70410.T</stp>
        <stp>現在値詳細時刻</stp>
        <tr r="D812" s="7"/>
      </tp>
      <tp t="s">
        <v>15:00:00</v>
        <stp/>
        <stp>Market</stp>
        <stp>STOCK</stp>
        <stp>70470.T</stp>
        <stp>現在値詳細時刻</stp>
        <tr r="D815" s="7"/>
      </tp>
      <tp t="s">
        <v>15:00:00</v>
        <stp/>
        <stp>Market</stp>
        <stp>STOCK</stp>
        <stp>70440.T</stp>
        <stp>現在値詳細時刻</stp>
        <tr r="D814" s="7"/>
      </tp>
      <tp t="s">
        <v>15:00:00</v>
        <stp/>
        <stp>Market</stp>
        <stp>STOCK</stp>
        <stp>70590.T</stp>
        <stp>現在値詳細時刻</stp>
        <tr r="D818" s="7"/>
      </tp>
      <tp t="s">
        <v>15:00:00</v>
        <stp/>
        <stp>Market</stp>
        <stp>STOCK</stp>
        <stp>70680.T</stp>
        <stp>現在値詳細時刻</stp>
        <tr r="D822" s="7"/>
      </tp>
      <tp t="s">
        <v>14:57:11</v>
        <stp/>
        <stp>Market</stp>
        <stp>STOCK</stp>
        <stp>70620.T</stp>
        <stp>現在値詳細時刻</stp>
        <tr r="D820" s="7"/>
      </tp>
      <tp t="s">
        <v>15:00:00</v>
        <stp/>
        <stp>Market</stp>
        <stp>STOCK</stp>
        <stp>70630.T</stp>
        <stp>現在値詳細時刻</stp>
        <tr r="D821" s="7"/>
      </tp>
      <tp t="s">
        <v>15:00:00</v>
        <stp/>
        <stp>Market</stp>
        <stp>STOCK</stp>
        <stp>70600.T</stp>
        <stp>現在値詳細時刻</stp>
        <tr r="D819" s="7"/>
      </tp>
      <tp t="s">
        <v>15:00:00</v>
        <stp/>
        <stp>Market</stp>
        <stp>STOCK</stp>
        <stp>70740.T</stp>
        <stp>現在値詳細時刻</stp>
        <tr r="D823" s="7"/>
      </tp>
      <tp t="s">
        <v>15:00:00</v>
        <stp/>
        <stp>Market</stp>
        <stp>STOCK</stp>
        <stp>71820.T</stp>
        <stp>現在値詳細時刻</stp>
        <tr r="D839" s="7"/>
      </tp>
      <tp t="s">
        <v>15:00:00</v>
        <stp/>
        <stp>Market</stp>
        <stp>STOCK</stp>
        <stp>71830.T</stp>
        <stp>現在値詳細時刻</stp>
        <tr r="D840" s="7"/>
      </tp>
      <tp t="s">
        <v>15:00:00</v>
        <stp/>
        <stp>Market</stp>
        <stp>STOCK</stp>
        <stp>71800.T</stp>
        <stp>現在値詳細時刻</stp>
        <tr r="D838" s="7"/>
      </tp>
      <tp t="s">
        <v>15:00:00</v>
        <stp/>
        <stp>Market</stp>
        <stp>STOCK</stp>
        <stp>71860.T</stp>
        <stp>現在値詳細時刻</stp>
        <tr r="D842" s="7"/>
      </tp>
      <tp t="s">
        <v>15:00:00</v>
        <stp/>
        <stp>Market</stp>
        <stp>STOCK</stp>
        <stp>71840.T</stp>
        <stp>現在値詳細時刻</stp>
        <tr r="D841" s="7"/>
      </tp>
      <tp t="s">
        <v>15:00:00</v>
        <stp/>
        <stp>Market</stp>
        <stp>STOCK</stp>
        <stp>71960.T</stp>
        <stp>現在値詳細時刻</stp>
        <tr r="D843" s="7"/>
      </tp>
      <tp t="s">
        <v>15:00:00</v>
        <stp/>
        <stp>Market</stp>
        <stp>STOCK</stp>
        <stp>71020.T</stp>
        <stp>現在値詳細時刻</stp>
        <tr r="D825" s="7"/>
      </tp>
      <tp t="s">
        <v>15:00:00</v>
        <stp/>
        <stp>Market</stp>
        <stp>STOCK</stp>
        <stp>71110.T</stp>
        <stp>現在値詳細時刻</stp>
        <tr r="D826" s="7"/>
      </tp>
      <tp t="s">
        <v>15:00:00</v>
        <stp/>
        <stp>Market</stp>
        <stp>STOCK</stp>
        <stp>71160.T</stp>
        <stp>現在値詳細時刻</stp>
        <tr r="D827" s="7"/>
      </tp>
      <tp t="s">
        <v>15:00:00</v>
        <stp/>
        <stp>Market</stp>
        <stp>STOCK</stp>
        <stp>71220.T</stp>
        <stp>現在値詳細時刻</stp>
        <tr r="D828" s="7"/>
      </tp>
      <tp t="s">
        <v>15:00:00</v>
        <stp/>
        <stp>Market</stp>
        <stp>STOCK</stp>
        <stp>71350.T</stp>
        <stp>現在値詳細時刻</stp>
        <tr r="D829" s="7"/>
      </tp>
      <tp t="s">
        <v>15:00:00</v>
        <stp/>
        <stp>Market</stp>
        <stp>STOCK</stp>
        <stp>71480.T</stp>
        <stp>現在値詳細時刻</stp>
        <tr r="D830" s="7"/>
      </tp>
      <tp t="s">
        <v>15:00:00</v>
        <stp/>
        <stp>Market</stp>
        <stp>STOCK</stp>
        <stp>71500.T</stp>
        <stp>現在値詳細時刻</stp>
        <tr r="D831" s="7"/>
      </tp>
      <tp t="s">
        <v>15:00:00</v>
        <stp/>
        <stp>Market</stp>
        <stp>STOCK</stp>
        <stp>71630.T</stp>
        <stp>現在値詳細時刻</stp>
        <tr r="D833" s="7"/>
      </tp>
      <tp t="s">
        <v>15:00:00</v>
        <stp/>
        <stp>Market</stp>
        <stp>STOCK</stp>
        <stp>71610.T</stp>
        <stp>現在値詳細時刻</stp>
        <tr r="D832" s="7"/>
      </tp>
      <tp t="s">
        <v>15:00:00</v>
        <stp/>
        <stp>Market</stp>
        <stp>STOCK</stp>
        <stp>71670.T</stp>
        <stp>現在値詳細時刻</stp>
        <tr r="D834" s="7"/>
      </tp>
      <tp t="s">
        <v>15:00:00</v>
        <stp/>
        <stp>Market</stp>
        <stp>STOCK</stp>
        <stp>71720.T</stp>
        <stp>現在値詳細時刻</stp>
        <tr r="D835" s="7"/>
      </tp>
      <tp t="s">
        <v>15:00:00</v>
        <stp/>
        <stp>Market</stp>
        <stp>STOCK</stp>
        <stp>71770.T</stp>
        <stp>現在値詳細時刻</stp>
        <tr r="D837" s="7"/>
      </tp>
      <tp t="s">
        <v>12:44:52</v>
        <stp/>
        <stp>Market</stp>
        <stp>STOCK</stp>
        <stp>71750.T</stp>
        <stp>現在値詳細時刻</stp>
        <tr r="D836" s="7"/>
      </tp>
      <tp t="s">
        <v>15:00:00</v>
        <stp/>
        <stp>Market</stp>
        <stp>STOCK</stp>
        <stp>78880.T</stp>
        <stp>現在値詳細時刻</stp>
        <tr r="D951" s="7"/>
      </tp>
      <tp t="s">
        <v>15:00:00</v>
        <stp/>
        <stp>Market</stp>
        <stp>STOCK</stp>
        <stp>78970.T</stp>
        <stp>現在値詳細時刻</stp>
        <tr r="D952" s="7"/>
      </tp>
      <tp t="s">
        <v>14:07:19</v>
        <stp/>
        <stp>Market</stp>
        <stp>STOCK</stp>
        <stp>78000.T</stp>
        <stp>現在値詳細時刻</stp>
        <tr r="D938" s="7"/>
      </tp>
      <tp t="s">
        <v>14:16:06</v>
        <stp/>
        <stp>Market</stp>
        <stp>STOCK</stp>
        <stp>78050.T</stp>
        <stp>現在値詳細時刻</stp>
        <tr r="D939" s="7"/>
      </tp>
      <tp t="s">
        <v>15:00:00</v>
        <stp/>
        <stp>Market</stp>
        <stp>STOCK</stp>
        <stp>78140.T</stp>
        <stp>現在値詳細時刻</stp>
        <tr r="D940" s="7"/>
      </tp>
      <tp t="s">
        <v>15:00:00</v>
        <stp/>
        <stp>Market</stp>
        <stp>STOCK</stp>
        <stp>78290.T</stp>
        <stp>現在値詳細時刻</stp>
        <tr r="D942" s="7"/>
      </tp>
      <tp t="s">
        <v>15:00:00</v>
        <stp/>
        <stp>Market</stp>
        <stp>STOCK</stp>
        <stp>78230.T</stp>
        <stp>現在値詳細時刻</stp>
        <tr r="D941" s="7"/>
      </tp>
      <tp t="s">
        <v>15:00:00</v>
        <stp/>
        <stp>Market</stp>
        <stp>STOCK</stp>
        <stp>78360.T</stp>
        <stp>現在値詳細時刻</stp>
        <tr r="D943" s="7"/>
      </tp>
      <tp t="s">
        <v>15:00:00</v>
        <stp/>
        <stp>Market</stp>
        <stp>STOCK</stp>
        <stp>78370.T</stp>
        <stp>現在値詳細時刻</stp>
        <tr r="D944" s="7"/>
      </tp>
      <tp t="s">
        <v>15:00:00</v>
        <stp/>
        <stp>Market</stp>
        <stp>STOCK</stp>
        <stp>78440.T</stp>
        <stp>現在値詳細時刻</stp>
        <tr r="D945" s="7"/>
      </tp>
      <tp t="s">
        <v>15:00:00</v>
        <stp/>
        <stp>Market</stp>
        <stp>STOCK</stp>
        <stp>78590.T</stp>
        <stp>現在値詳細時刻</stp>
        <tr r="D948" s="7"/>
      </tp>
      <tp t="s">
        <v>15:00:00</v>
        <stp/>
        <stp>Market</stp>
        <stp>STOCK</stp>
        <stp>78510.T</stp>
        <stp>現在値詳細時刻</stp>
        <tr r="D946" s="7"/>
      </tp>
      <tp t="s">
        <v>15:00:00</v>
        <stp/>
        <stp>Market</stp>
        <stp>STOCK</stp>
        <stp>78560.T</stp>
        <stp>現在値詳細時刻</stp>
        <tr r="D947" s="7"/>
      </tp>
      <tp t="s">
        <v>15:00:00</v>
        <stp/>
        <stp>Market</stp>
        <stp>STOCK</stp>
        <stp>78680.T</stp>
        <stp>現在値詳細時刻</stp>
        <tr r="D950" s="7"/>
      </tp>
      <tp t="s">
        <v>15:00:00</v>
        <stp/>
        <stp>Market</stp>
        <stp>STOCK</stp>
        <stp>78670.T</stp>
        <stp>現在値詳細時刻</stp>
        <tr r="D949" s="7"/>
      </tp>
      <tp t="s">
        <v>14:57:45</v>
        <stp/>
        <stp>Market</stp>
        <stp>STOCK</stp>
        <stp>79970.T</stp>
        <stp>現在値詳細時刻</stp>
        <tr r="D963" s="7"/>
      </tp>
      <tp t="s">
        <v>15:00:00</v>
        <stp/>
        <stp>Market</stp>
        <stp>STOCK</stp>
        <stp>79080.T</stp>
        <stp>現在値詳細時刻</stp>
        <tr r="D953" s="7"/>
      </tp>
      <tp t="s">
        <v>15:00:00</v>
        <stp/>
        <stp>Market</stp>
        <stp>STOCK</stp>
        <stp>79180.T</stp>
        <stp>現在値詳細時刻</stp>
        <tr r="D955" s="7"/>
      </tp>
      <tp t="s">
        <v>15:00:00</v>
        <stp/>
        <stp>Market</stp>
        <stp>STOCK</stp>
        <stp>79190.T</stp>
        <stp>現在値詳細時刻</stp>
        <tr r="D956" s="7"/>
      </tp>
      <tp t="s">
        <v>15:00:00</v>
        <stp/>
        <stp>Market</stp>
        <stp>STOCK</stp>
        <stp>79110.T</stp>
        <stp>現在値詳細時刻</stp>
        <tr r="D954" s="7"/>
      </tp>
      <tp t="s">
        <v>15:00:00</v>
        <stp/>
        <stp>Market</stp>
        <stp>STOCK</stp>
        <stp>79400.T</stp>
        <stp>現在値詳細時刻</stp>
        <tr r="D957" s="7"/>
      </tp>
      <tp t="s">
        <v>14:59:54</v>
        <stp/>
        <stp>Market</stp>
        <stp>STOCK</stp>
        <stp>79530.T</stp>
        <stp>現在値詳細時刻</stp>
        <tr r="D958" s="7"/>
      </tp>
      <tp t="s">
        <v>15:00:00</v>
        <stp/>
        <stp>Market</stp>
        <stp>STOCK</stp>
        <stp>79550.T</stp>
        <stp>現在値詳細時刻</stp>
        <tr r="D959" s="7"/>
      </tp>
      <tp t="s">
        <v>15:00:00</v>
        <stp/>
        <stp>Market</stp>
        <stp>STOCK</stp>
        <stp>79720.T</stp>
        <stp>現在値詳細時刻</stp>
        <tr r="D961" s="7"/>
      </tp>
      <tp t="s">
        <v>15:00:00</v>
        <stp/>
        <stp>Market</stp>
        <stp>STOCK</stp>
        <stp>79710.T</stp>
        <stp>現在値詳細時刻</stp>
        <tr r="D960" s="7"/>
      </tp>
      <tp t="s">
        <v>15:00:00</v>
        <stp/>
        <stp>Market</stp>
        <stp>STOCK</stp>
        <stp>79740.T</stp>
        <stp>現在値詳細時刻</stp>
        <tr r="D962" s="7"/>
      </tp>
      <tp t="s">
        <v>Ｃａｓａ</v>
        <stp/>
        <stp>Market</stp>
        <stp>STOCK</stp>
        <stp>71960.T</stp>
        <stp>銘柄名称</stp>
        <tr r="B843" s="7"/>
      </tp>
      <tp t="s">
        <v>表示銘柄数超過</v>
        <stp/>
        <stp>Market</stp>
        <stp>STOCK</stp>
        <stp>31970.T</stp>
        <stp>銘柄名称</stp>
        <tr r="B257" s="7"/>
      </tp>
      <tp t="s">
        <v>ライフコ－ポレ－ション</v>
        <stp/>
        <stp>Market</stp>
        <stp>STOCK</stp>
        <stp>81940.T</stp>
        <stp>銘柄名称</stp>
        <tr r="B989" s="7"/>
      </tp>
      <tp t="s">
        <v>アトラエ</v>
        <stp/>
        <stp>Market</stp>
        <stp>STOCK</stp>
        <stp>61940.T</stp>
        <stp>銘柄名称</stp>
        <tr r="B675" s="7"/>
      </tp>
      <tp t="s">
        <v>ホープ</v>
        <stp/>
        <stp>Market</stp>
        <stp>STOCK</stp>
        <stp>61950.T</stp>
        <stp>銘柄名称</stp>
        <tr r="B676" s="7"/>
      </tp>
      <tp t="s">
        <v>表示銘柄数超過</v>
        <stp/>
        <stp>Market</stp>
        <stp>STOCK</stp>
        <stp>31920.T</stp>
        <stp>銘柄名称</stp>
        <tr r="B256" s="7"/>
      </tp>
      <tp t="s">
        <v>表示銘柄数超過</v>
        <stp/>
        <stp>Market</stp>
        <stp>STOCK</stp>
        <stp>41920.T</stp>
        <stp>銘柄名称</stp>
        <tr r="B424" s="7"/>
      </tp>
      <tp t="s">
        <v>三ツ星ベルト</v>
        <stp/>
        <stp>Market</stp>
        <stp>STOCK</stp>
        <stp>51920.T</stp>
        <stp>銘柄名称</stp>
        <tr r="B574" s="7"/>
      </tp>
      <tp t="s">
        <v/>
        <stp/>
        <stp>Market</stp>
        <stp>STOCK</stp>
        <stp>61920.T</stp>
        <stp>銘柄名称</stp>
        <tr r="B674" s="7"/>
      </tp>
      <tp t="s">
        <v>フェニックスバイオ</v>
        <stp/>
        <stp>Market</stp>
        <stp>STOCK</stp>
        <stp>61900.T</stp>
        <stp>銘柄名称</stp>
        <tr r="B673" s="7"/>
      </tp>
      <tp t="s">
        <v>表示銘柄数超過</v>
        <stp/>
        <stp>Market</stp>
        <stp>STOCK</stp>
        <stp>21980.T</stp>
        <stp>銘柄名称</stp>
        <tr r="B102" s="7"/>
      </tp>
      <tp t="s">
        <v>表示銘柄数超過</v>
        <stp/>
        <stp>Market</stp>
        <stp>STOCK</stp>
        <stp>31860.T</stp>
        <stp>銘柄名称</stp>
        <tr r="B253" s="7"/>
      </tp>
      <tp t="s">
        <v>一蔵</v>
        <stp/>
        <stp>Market</stp>
        <stp>STOCK</stp>
        <stp>61860.T</stp>
        <stp>銘柄名称</stp>
        <tr r="B671" s="7"/>
      </tp>
      <tp t="s">
        <v>コンコルディア・フィナンシャル</v>
        <stp/>
        <stp>Market</stp>
        <stp>STOCK</stp>
        <stp>71860.T</stp>
        <stp>銘柄名称</stp>
        <tr r="B842" s="7"/>
      </tp>
      <tp t="s">
        <v>表示銘柄数超過</v>
        <stp/>
        <stp>Market</stp>
        <stp>STOCK</stp>
        <stp>31870.T</stp>
        <stp>銘柄名称</stp>
        <tr r="B254" s="7"/>
      </tp>
      <tp t="s">
        <v>鎌倉新書</v>
        <stp/>
        <stp>Market</stp>
        <stp>STOCK</stp>
        <stp>61840.T</stp>
        <stp>銘柄名称</stp>
        <tr r="B669" s="7"/>
      </tp>
      <tp t="s">
        <v>富山第一銀行</v>
        <stp/>
        <stp>Market</stp>
        <stp>STOCK</stp>
        <stp>71840.T</stp>
        <stp>銘柄名称</stp>
        <tr r="B841" s="7"/>
      </tp>
      <tp t="s">
        <v>表示銘柄数超過</v>
        <stp/>
        <stp>Market</stp>
        <stp>STOCK</stp>
        <stp>31850.T</stp>
        <stp>銘柄名称</stp>
        <tr r="B252" s="7"/>
      </tp>
      <tp t="s">
        <v>表示銘柄数超過</v>
        <stp/>
        <stp>Market</stp>
        <stp>STOCK</stp>
        <stp>41850.T</stp>
        <stp>銘柄名称</stp>
        <tr r="B422" s="7"/>
      </tp>
      <tp t="s">
        <v>ＳＭＮ</v>
        <stp/>
        <stp>Market</stp>
        <stp>STOCK</stp>
        <stp>61850.T</stp>
        <stp>銘柄名称</stp>
        <tr r="B670" s="7"/>
      </tp>
      <tp t="s">
        <v>表示銘柄数超過</v>
        <stp/>
        <stp>Market</stp>
        <stp>STOCK</stp>
        <stp>31820.T</stp>
        <stp>銘柄名称</stp>
        <tr r="B251" s="7"/>
      </tp>
      <tp t="s">
        <v>メタリアル</v>
        <stp/>
        <stp>Market</stp>
        <stp>STOCK</stp>
        <stp>61820.T</stp>
        <stp>銘柄名称</stp>
        <tr r="B668" s="7"/>
      </tp>
      <tp t="s">
        <v>ゆうちょ銀行</v>
        <stp/>
        <stp>Market</stp>
        <stp>STOCK</stp>
        <stp>71820.T</stp>
        <stp>銘柄名称</stp>
        <tr r="B839" s="7"/>
      </tp>
      <tp t="s">
        <v>あんしん保証</v>
        <stp/>
        <stp>Market</stp>
        <stp>STOCK</stp>
        <stp>71830.T</stp>
        <stp>銘柄名称</stp>
        <tr r="B840" s="7"/>
      </tp>
      <tp t="s">
        <v>九州フィナンシャルＧ</v>
        <stp/>
        <stp>Market</stp>
        <stp>STOCK</stp>
        <stp>71800.T</stp>
        <stp>銘柄名称</stp>
        <tr r="B838" s="7"/>
      </tp>
      <tp t="s">
        <v>タメニー</v>
        <stp/>
        <stp>Market</stp>
        <stp>STOCK</stp>
        <stp>61810.T</stp>
        <stp>銘柄名称</stp>
        <tr r="B667" s="7"/>
      </tp>
      <tp t="s">
        <v>表示銘柄数超過</v>
        <stp/>
        <stp>Market</stp>
        <stp>STOCK</stp>
        <stp>41880.T</stp>
        <stp>銘柄名称</stp>
        <tr r="B423" s="7"/>
      </tp>
      <tp t="s">
        <v>富士ソフトサービスビュー</v>
        <stp/>
        <stp>Market</stp>
        <stp>STOCK</stp>
        <stp>61880.T</stp>
        <stp>銘柄名称</stp>
        <tr r="B672" s="7"/>
      </tp>
      <tp t="s">
        <v>表示銘柄数超過</v>
        <stp/>
        <stp>Market</stp>
        <stp>STOCK</stp>
        <stp>31890.T</stp>
        <stp>銘柄名称</stp>
        <tr r="B255" s="7"/>
      </tp>
      <tp t="s">
        <v>ダイワ通信</v>
        <stp/>
        <stp>Market</stp>
        <stp>STOCK</stp>
        <stp>71160.T</stp>
        <stp>銘柄名称</stp>
        <tr r="B827" s="7"/>
      </tp>
      <tp t="s">
        <v>表示銘柄数超過</v>
        <stp/>
        <stp>Market</stp>
        <stp>STOCK</stp>
        <stp>21140.T</stp>
        <stp>銘柄名称</stp>
        <tr r="B89" s="7"/>
      </tp>
      <tp t="s">
        <v>表示銘柄数超過</v>
        <stp/>
        <stp>Market</stp>
        <stp>STOCK</stp>
        <stp>91150.T</stp>
        <stp>銘柄名称</stp>
        <tr r="B1096" s="7"/>
      </tp>
      <tp t="s">
        <v>表示銘柄数超過</v>
        <stp/>
        <stp>Market</stp>
        <stp>STOCK</stp>
        <stp>31130.T</stp>
        <stp>銘柄名称</stp>
        <tr r="B243" s="7"/>
      </tp>
      <tp t="s">
        <v>アマダ</v>
        <stp/>
        <stp>Market</stp>
        <stp>STOCK</stp>
        <stp>61130.T</stp>
        <stp>銘柄名称</stp>
        <tr r="B656" s="7"/>
      </tp>
      <tp t="s">
        <v>住友ゴム</v>
        <stp/>
        <stp>Market</stp>
        <stp>STOCK</stp>
        <stp>51100.T</stp>
        <stp>銘柄名称</stp>
        <tr r="B569" s="7"/>
      </tp>
      <tp t="s">
        <v>ＩＮＥＳＴ</v>
        <stp/>
        <stp>Market</stp>
        <stp>STOCK</stp>
        <stp>71110.T</stp>
        <stp>銘柄名称</stp>
        <tr r="B826" s="7"/>
      </tp>
      <tp t="s">
        <v>キング</v>
        <stp/>
        <stp>Market</stp>
        <stp>STOCK</stp>
        <stp>81180.T</stp>
        <stp>銘柄名称</stp>
        <tr r="B979" s="7"/>
      </tp>
      <tp t="s">
        <v>表示銘柄数超過</v>
        <stp/>
        <stp>Market</stp>
        <stp>STOCK</stp>
        <stp>91190.T</stp>
        <stp>銘柄名称</stp>
        <tr r="B1097" s="7"/>
      </tp>
      <tp t="s">
        <v>表示銘柄数超過</v>
        <stp/>
        <stp>Market</stp>
        <stp>STOCK</stp>
        <stp>91070.T</stp>
        <stp>銘柄名称</stp>
        <tr r="B1095" s="7"/>
      </tp>
      <tp t="s">
        <v>クワザワホールディングス</v>
        <stp/>
        <stp>Market</stp>
        <stp>STOCK</stp>
        <stp>81040.T</stp>
        <stp>銘柄名称</stp>
        <tr r="B977" s="7"/>
      </tp>
      <tp t="s">
        <v>表示銘柄数超過</v>
        <stp/>
        <stp>Market</stp>
        <stp>STOCK</stp>
        <stp>91040.T</stp>
        <stp>銘柄名称</stp>
        <tr r="B1094" s="7"/>
      </tp>
      <tp t="s">
        <v>芝浦機械</v>
        <stp/>
        <stp>Market</stp>
        <stp>STOCK</stp>
        <stp>61040.T</stp>
        <stp>銘柄名称</stp>
        <tr r="B655" s="7"/>
      </tp>
      <tp t="s">
        <v>堀田丸正</v>
        <stp/>
        <stp>Market</stp>
        <stp>STOCK</stp>
        <stp>81050.T</stp>
        <stp>銘柄名称</stp>
        <tr r="B978" s="7"/>
      </tp>
      <tp t="s">
        <v>日本車輌</v>
        <stp/>
        <stp>Market</stp>
        <stp>STOCK</stp>
        <stp>71020.T</stp>
        <stp>銘柄名称</stp>
        <tr r="B825" s="7"/>
      </tp>
      <tp t="s">
        <v>明和産業</v>
        <stp/>
        <stp>Market</stp>
        <stp>STOCK</stp>
        <stp>81030.T</stp>
        <stp>銘柄名称</stp>
        <tr r="B976" s="7"/>
      </tp>
      <tp t="s">
        <v>表示銘柄数超過</v>
        <stp/>
        <stp>Market</stp>
        <stp>STOCK</stp>
        <stp>31030.T</stp>
        <stp>銘柄名称</stp>
        <tr r="B242" s="7"/>
      </tp>
      <tp t="s">
        <v>昭和ホールディングス</v>
        <stp/>
        <stp>Market</stp>
        <stp>STOCK</stp>
        <stp>51030.T</stp>
        <stp>銘柄名称</stp>
        <tr r="B567" s="7"/>
      </tp>
      <tp t="s">
        <v>表示銘柄数超過</v>
        <stp/>
        <stp>Market</stp>
        <stp>STOCK</stp>
        <stp>91010.T</stp>
        <stp>銘柄名称</stp>
        <tr r="B1093" s="7"/>
      </tp>
      <tp t="s">
        <v>表示銘柄数超過</v>
        <stp/>
        <stp>Market</stp>
        <stp>STOCK</stp>
        <stp>31010.T</stp>
        <stp>銘柄名称</stp>
        <tr r="B241" s="7"/>
      </tp>
      <tp t="s">
        <v>ブリヂストン</v>
        <stp/>
        <stp>Market</stp>
        <stp>STOCK</stp>
        <stp>51080.T</stp>
        <stp>銘柄名称</stp>
        <tr r="B568" s="7"/>
      </tp>
      <tp t="s">
        <v>表示銘柄数超過</v>
        <stp/>
        <stp>Market</stp>
        <stp>STOCK</stp>
        <stp>31370.T</stp>
        <stp>銘柄名称</stp>
        <tr r="B246" s="7"/>
      </tp>
      <tp t="s">
        <v>表示銘柄数超過</v>
        <stp/>
        <stp>Market</stp>
        <stp>STOCK</stp>
        <stp>21340.T</stp>
        <stp>銘柄名称</stp>
        <tr r="B92" s="7"/>
      </tp>
      <tp t="s">
        <v>ＦＵＪＩ</v>
        <stp/>
        <stp>Market</stp>
        <stp>STOCK</stp>
        <stp>61340.T</stp>
        <stp>銘柄名称</stp>
        <tr r="B657" s="7"/>
      </tp>
      <tp t="s">
        <v>ゼット</v>
        <stp/>
        <stp>Market</stp>
        <stp>STOCK</stp>
        <stp>81350.T</stp>
        <stp>銘柄名称</stp>
        <tr r="B981" s="7"/>
      </tp>
      <tp t="s">
        <v>ジャパンクラフトホールディ</v>
        <stp/>
        <stp>Market</stp>
        <stp>STOCK</stp>
        <stp>71350.T</stp>
        <stp>銘柄名称</stp>
        <tr r="B829" s="7"/>
      </tp>
      <tp t="s">
        <v>伊藤忠エネクス</v>
        <stp/>
        <stp>Market</stp>
        <stp>STOCK</stp>
        <stp>81330.T</stp>
        <stp>銘柄名称</stp>
        <tr r="B980" s="7"/>
      </tp>
      <tp t="s">
        <v>表示銘柄数超過</v>
        <stp/>
        <stp>Market</stp>
        <stp>STOCK</stp>
        <stp>31330.T</stp>
        <stp>銘柄名称</stp>
        <tr r="B245" s="7"/>
      </tp>
      <tp t="s">
        <v>テリロジーホールディングス</v>
        <stp/>
        <stp>Market</stp>
        <stp>STOCK</stp>
        <stp>51330.T</stp>
        <stp>銘柄名称</stp>
        <tr r="B573" s="7"/>
      </tp>
      <tp t="s">
        <v>リンカーズ</v>
        <stp/>
        <stp>Market</stp>
        <stp>STOCK</stp>
        <stp>51310.T</stp>
        <stp>銘柄名称</stp>
        <tr r="B572" s="7"/>
      </tp>
      <tp t="s">
        <v>表示銘柄数超過</v>
        <stp/>
        <stp>Market</stp>
        <stp>STOCK</stp>
        <stp>21380.T</stp>
        <stp>銘柄名称</stp>
        <tr r="B93" s="7"/>
      </tp>
      <tp t="s">
        <v>ナガホリ</v>
        <stp/>
        <stp>Market</stp>
        <stp>STOCK</stp>
        <stp>81390.T</stp>
        <stp>銘柄名称</stp>
        <tr r="B982" s="7"/>
      </tp>
      <tp t="s">
        <v>表示銘柄数超過</v>
        <stp/>
        <stp>Market</stp>
        <stp>STOCK</stp>
        <stp>21270.T</stp>
        <stp>銘柄名称</stp>
        <tr r="B91" s="7"/>
      </tp>
      <tp t="s">
        <v>近畿車輌</v>
        <stp/>
        <stp>Market</stp>
        <stp>STOCK</stp>
        <stp>71220.T</stp>
        <stp>銘柄名称</stp>
        <tr r="B828" s="7"/>
      </tp>
      <tp t="s">
        <v>表示銘柄数超過</v>
        <stp/>
        <stp>Market</stp>
        <stp>STOCK</stp>
        <stp>21200.T</stp>
        <stp>銘柄名称</stp>
        <tr r="B90" s="7"/>
      </tp>
      <tp t="s">
        <v>表示銘柄数超過</v>
        <stp/>
        <stp>Market</stp>
        <stp>STOCK</stp>
        <stp>31210.T</stp>
        <stp>銘柄名称</stp>
        <tr r="B244" s="7"/>
      </tp>
      <tp t="s">
        <v>藤倉コンポジット</v>
        <stp/>
        <stp>Market</stp>
        <stp>STOCK</stp>
        <stp>51210.T</stp>
        <stp>銘柄名称</stp>
        <tr r="B570" s="7"/>
      </tp>
      <tp t="s">
        <v>ＦＩＸＥＲ</v>
        <stp/>
        <stp>Market</stp>
        <stp>STOCK</stp>
        <stp>51290.T</stp>
        <stp>銘柄名称</stp>
        <tr r="B571" s="7"/>
      </tp>
      <tp t="s">
        <v>表示銘柄数超過</v>
        <stp/>
        <stp>Market</stp>
        <stp>STOCK</stp>
        <stp>21540.T</stp>
        <stp>銘柄名称</stp>
        <tr r="B96" s="7"/>
      </tp>
      <tp t="s">
        <v>表示銘柄数超過</v>
        <stp/>
        <stp>Market</stp>
        <stp>STOCK</stp>
        <stp>31540.T</stp>
        <stp>銘柄名称</stp>
        <tr r="B248" s="7"/>
      </tp>
      <tp t="s">
        <v>表示銘柄数超過</v>
        <stp/>
        <stp>Market</stp>
        <stp>STOCK</stp>
        <stp>21520.T</stp>
        <stp>銘柄名称</stp>
        <tr r="B95" s="7"/>
      </tp>
      <tp t="s">
        <v>モスフードサービス</v>
        <stp/>
        <stp>Market</stp>
        <stp>STOCK</stp>
        <stp>81530.T</stp>
        <stp>銘柄名称</stp>
        <tr r="B985" s="7"/>
      </tp>
      <tp t="s">
        <v>三信電気</v>
        <stp/>
        <stp>Market</stp>
        <stp>STOCK</stp>
        <stp>81500.T</stp>
        <stp>銘柄名称</stp>
        <tr r="B984" s="7"/>
      </tp>
      <tp t="s">
        <v>表示銘柄数超過</v>
        <stp/>
        <stp>Market</stp>
        <stp>STOCK</stp>
        <stp>21500.T</stp>
        <stp>銘柄名称</stp>
        <tr r="B94" s="7"/>
      </tp>
      <tp t="s">
        <v>島根銀行</v>
        <stp/>
        <stp>Market</stp>
        <stp>STOCK</stp>
        <stp>71500.T</stp>
        <stp>銘柄名称</stp>
        <tr r="B831" s="7"/>
      </tp>
      <tp t="s">
        <v>表示銘柄数超過</v>
        <stp/>
        <stp>Market</stp>
        <stp>STOCK</stp>
        <stp>21580.T</stp>
        <stp>銘柄名称</stp>
        <tr r="B97" s="7"/>
      </tp>
      <tp t="s">
        <v>表示銘柄数超過</v>
        <stp/>
        <stp>Market</stp>
        <stp>STOCK</stp>
        <stp>31590.T</stp>
        <stp>銘柄名称</stp>
        <tr r="B249" s="7"/>
      </tp>
      <tp t="s">
        <v>ディスコ</v>
        <stp/>
        <stp>Market</stp>
        <stp>STOCK</stp>
        <stp>61460.T</stp>
        <stp>銘柄名称</stp>
        <tr r="B659" s="7"/>
      </tp>
      <tp t="s">
        <v>表示銘柄数超過</v>
        <stp/>
        <stp>Market</stp>
        <stp>STOCK</stp>
        <stp>91420.T</stp>
        <stp>銘柄名称</stp>
        <tr r="B1098" s="7"/>
      </tp>
      <tp t="s">
        <v>ラピーヌ</v>
        <stp/>
        <stp>Market</stp>
        <stp>STOCK</stp>
        <stp>81430.T</stp>
        <stp>銘柄名称</stp>
        <tr r="B983" s="7"/>
      </tp>
      <tp t="s">
        <v>旭ダイヤモンド</v>
        <stp/>
        <stp>Market</stp>
        <stp>STOCK</stp>
        <stp>61400.T</stp>
        <stp>銘柄名称</stp>
        <tr r="B658" s="7"/>
      </tp>
      <tp t="s">
        <v>表示銘柄数超過</v>
        <stp/>
        <stp>Market</stp>
        <stp>STOCK</stp>
        <stp>31410.T</stp>
        <stp>銘柄名称</stp>
        <tr r="B247" s="7"/>
      </tp>
      <tp t="s">
        <v>ＦＰＧ</v>
        <stp/>
        <stp>Market</stp>
        <stp>STOCK</stp>
        <stp>71480.T</stp>
        <stp>銘柄名称</stp>
        <tr r="B830" s="7"/>
      </tp>
      <tp t="s">
        <v>表示銘柄数超過</v>
        <stp/>
        <stp>Market</stp>
        <stp>STOCK</stp>
        <stp>31760.T</stp>
        <stp>銘柄名称</stp>
        <tr r="B250" s="7"/>
      </tp>
      <tp t="s">
        <v>表示銘柄数超過</v>
        <stp/>
        <stp>Market</stp>
        <stp>STOCK</stp>
        <stp>41760.T</stp>
        <stp>銘柄名称</stp>
        <tr r="B421" s="7"/>
      </tp>
      <tp t="s">
        <v>ブランジスタ</v>
        <stp/>
        <stp>Market</stp>
        <stp>STOCK</stp>
        <stp>61760.T</stp>
        <stp>銘柄名称</stp>
        <tr r="B664" s="7"/>
      </tp>
      <tp t="s">
        <v>ＡｐｐＢａｎｋ</v>
        <stp/>
        <stp>Market</stp>
        <stp>STOCK</stp>
        <stp>61770.T</stp>
        <stp>銘柄名称</stp>
        <tr r="B665" s="7"/>
      </tp>
      <tp t="s">
        <v>ＧＭＯフィナンシャルＨＬＤＧＳ</v>
        <stp/>
        <stp>Market</stp>
        <stp>STOCK</stp>
        <stp>71770.T</stp>
        <stp>銘柄名称</stp>
        <tr r="B837" s="7"/>
      </tp>
      <tp t="s">
        <v>今村証券</v>
        <stp/>
        <stp>Market</stp>
        <stp>STOCK</stp>
        <stp>71750.T</stp>
        <stp>銘柄名称</stp>
        <tr r="B836" s="7"/>
      </tp>
      <tp t="s">
        <v>ジャパンインベストメントＡ</v>
        <stp/>
        <stp>Market</stp>
        <stp>STOCK</stp>
        <stp>71720.T</stp>
        <stp>銘柄名称</stp>
        <tr r="B835" s="7"/>
      </tp>
      <tp t="s">
        <v>上新電機</v>
        <stp/>
        <stp>Market</stp>
        <stp>STOCK</stp>
        <stp>81730.T</stp>
        <stp>銘柄名称</stp>
        <tr r="B987" s="7"/>
      </tp>
      <tp t="s">
        <v>アクアライン</v>
        <stp/>
        <stp>Market</stp>
        <stp>STOCK</stp>
        <stp>61730.T</stp>
        <stp>銘柄名称</stp>
        <tr r="B663" s="7"/>
      </tp>
      <tp t="s">
        <v>表示銘柄数超過</v>
        <stp/>
        <stp>Market</stp>
        <stp>STOCK</stp>
        <stp>41700.T</stp>
        <stp>銘柄名称</stp>
        <tr r="B420" s="7"/>
      </tp>
      <tp t="s">
        <v>日本郵政</v>
        <stp/>
        <stp>Market</stp>
        <stp>STOCK</stp>
        <stp>61780.T</stp>
        <stp>銘柄名称</stp>
        <tr r="B666" s="7"/>
      </tp>
      <tp t="s">
        <v>ロイヤルホールディングス</v>
        <stp/>
        <stp>Market</stp>
        <stp>STOCK</stp>
        <stp>81790.T</stp>
        <stp>銘柄名称</stp>
        <tr r="B988" s="7"/>
      </tp>
      <tp t="s">
        <v>タカキユー</v>
        <stp/>
        <stp>Market</stp>
        <stp>STOCK</stp>
        <stp>81660.T</stp>
        <stp>銘柄名称</stp>
        <tr r="B986" s="7"/>
      </tp>
      <tp t="s">
        <v>中村超硬</v>
        <stp/>
        <stp>Market</stp>
        <stp>STOCK</stp>
        <stp>61660.T</stp>
        <stp>銘柄名称</stp>
        <tr r="B661" s="7"/>
      </tp>
      <tp t="s">
        <v>表示銘柄数超過</v>
        <stp/>
        <stp>Market</stp>
        <stp>STOCK</stp>
        <stp>41670.T</stp>
        <stp>銘柄名称</stp>
        <tr r="B418" s="7"/>
      </tp>
      <tp t="s">
        <v>冨士ダイス</v>
        <stp/>
        <stp>Market</stp>
        <stp>STOCK</stp>
        <stp>61670.T</stp>
        <stp>銘柄名称</stp>
        <tr r="B662" s="7"/>
      </tp>
      <tp t="s">
        <v>めぶきフィナンシャルＧ</v>
        <stp/>
        <stp>Market</stp>
        <stp>STOCK</stp>
        <stp>71670.T</stp>
        <stp>銘柄名称</stp>
        <tr r="B834" s="7"/>
      </tp>
      <tp t="s">
        <v>表示銘柄数超過</v>
        <stp/>
        <stp>Market</stp>
        <stp>STOCK</stp>
        <stp>21640.T</stp>
        <stp>銘柄名称</stp>
        <tr r="B100" s="7"/>
      </tp>
      <tp t="s">
        <v>表示銘柄数超過</v>
        <stp/>
        <stp>Market</stp>
        <stp>STOCK</stp>
        <stp>41650.T</stp>
        <stp>銘柄名称</stp>
        <tr r="B417" s="7"/>
      </tp>
      <tp t="s">
        <v>パンチ工業</v>
        <stp/>
        <stp>Market</stp>
        <stp>STOCK</stp>
        <stp>61650.T</stp>
        <stp>銘柄名称</stp>
        <tr r="B660" s="7"/>
      </tp>
      <tp t="s">
        <v>表示銘柄数超過</v>
        <stp/>
        <stp>Market</stp>
        <stp>STOCK</stp>
        <stp>21620.T</stp>
        <stp>銘柄名称</stp>
        <tr r="B99" s="7"/>
      </tp>
      <tp t="s">
        <v>住信ＳＢＩネット銀行</v>
        <stp/>
        <stp>Market</stp>
        <stp>STOCK</stp>
        <stp>71630.T</stp>
        <stp>銘柄名称</stp>
        <tr r="B833" s="7"/>
      </tp>
      <tp t="s">
        <v>表示銘柄数超過</v>
        <stp/>
        <stp>Market</stp>
        <stp>STOCK</stp>
        <stp>21600.T</stp>
        <stp>銘柄名称</stp>
        <tr r="B98" s="7"/>
      </tp>
      <tp t="s">
        <v>じもとホールディングス</v>
        <stp/>
        <stp>Market</stp>
        <stp>STOCK</stp>
        <stp>71610.T</stp>
        <stp>銘柄名称</stp>
        <tr r="B832" s="7"/>
      </tp>
      <tp t="s">
        <v>表示銘柄数超過</v>
        <stp/>
        <stp>Market</stp>
        <stp>STOCK</stp>
        <stp>21680.T</stp>
        <stp>銘柄名称</stp>
        <tr r="B101" s="7"/>
      </tp>
      <tp t="s">
        <v>表示銘柄数超過</v>
        <stp/>
        <stp>Market</stp>
        <stp>STOCK</stp>
        <stp>41690.T</stp>
        <stp>銘柄名称</stp>
        <tr r="B419" s="7"/>
      </tp>
    </main>
    <main first="rtdsrv.662c26bade854d00aebc6010f8a2e03a">
      <tp>
        <v>-0.66</v>
        <stp/>
        <stp>Market</stp>
        <stp>STOCK</stp>
        <stp>80810.T</stp>
        <stp>前日比率</stp>
        <tr r="F974" s="7"/>
      </tp>
      <tp>
        <v>-0.35</v>
        <stp/>
        <stp>Market</stp>
        <stp>STOCK</stp>
        <stp>60810.T</stp>
        <stp>前日比率</stp>
        <tr r="F649" s="7"/>
      </tp>
      <tp t="s">
        <v>表示銘柄数超過</v>
        <stp/>
        <stp>Market</stp>
        <stp>STOCK</stp>
        <stp>30830.T</stp>
        <stp>前日比率</stp>
        <tr r="F238" s="7"/>
      </tp>
      <tp t="s">
        <v>表示銘柄数超過</v>
        <stp/>
        <stp>Market</stp>
        <stp>STOCK</stp>
        <stp>30860.T</stp>
        <stp>前日比率</stp>
        <tr r="F239" s="7"/>
      </tp>
      <tp>
        <v>0.13</v>
        <stp/>
        <stp>Market</stp>
        <stp>STOCK</stp>
        <stp>70880.T</stp>
        <stp>前日比率</stp>
        <tr r="F824" s="7"/>
      </tp>
      <tp>
        <v>0.19</v>
        <stp/>
        <stp>Market</stp>
        <stp>STOCK</stp>
        <stp>60910.T</stp>
        <stp>前日比率</stp>
        <tr r="F650" s="7"/>
      </tp>
      <tp t="s">
        <v>表示銘柄数超過</v>
        <stp/>
        <stp>Market</stp>
        <stp>STOCK</stp>
        <stp>90900.T</stp>
        <stp>前日比率</stp>
        <tr r="F1092" s="7"/>
      </tp>
      <tp>
        <v>0</v>
        <stp/>
        <stp>Market</stp>
        <stp>STOCK</stp>
        <stp>60930.T</stp>
        <stp>前日比率</stp>
        <tr r="F652" s="7"/>
      </tp>
      <tp>
        <v>0</v>
        <stp/>
        <stp>Market</stp>
        <stp>STOCK</stp>
        <stp>60920.T</stp>
        <stp>前日比率</stp>
        <tr r="F651" s="7"/>
      </tp>
      <tp>
        <v>-0.21</v>
        <stp/>
        <stp>Market</stp>
        <stp>STOCK</stp>
        <stp>80950.T</stp>
        <stp>前日比率</stp>
        <tr r="F975" s="7"/>
      </tp>
      <tp>
        <v>-1.4</v>
        <stp/>
        <stp>Market</stp>
        <stp>STOCK</stp>
        <stp>60960.T</stp>
        <stp>前日比率</stp>
        <tr r="F653" s="7"/>
      </tp>
      <tp t="s">
        <v>表示銘柄数超過</v>
        <stp/>
        <stp>Market</stp>
        <stp>STOCK</stp>
        <stp>30990.T</stp>
        <stp>前日比率</stp>
        <tr r="F240" s="7"/>
      </tp>
      <tp>
        <v>1.35</v>
        <stp/>
        <stp>Market</stp>
        <stp>STOCK</stp>
        <stp>60980.T</stp>
        <stp>前日比率</stp>
        <tr r="F654" s="7"/>
      </tp>
      <tp t="s">
        <v>表示銘柄数超過</v>
        <stp/>
        <stp>Market</stp>
        <stp>STOCK</stp>
        <stp>50210.T</stp>
        <stp>前日比率</stp>
        <tr r="F563" s="7"/>
      </tp>
      <tp t="s">
        <v>表示銘柄数超過</v>
        <stp/>
        <stp>Market</stp>
        <stp>STOCK</stp>
        <stp>30210.T</stp>
        <stp>前日比率</stp>
        <tr r="F224" s="7"/>
      </tp>
      <tp t="s">
        <v>表示銘柄数超過</v>
        <stp/>
        <stp>Market</stp>
        <stp>STOCK</stp>
        <stp>90200.T</stp>
        <stp>前日比率</stp>
        <tr r="F1080" s="7"/>
        <tr r="F1081" s="7"/>
      </tp>
      <tp>
        <v>-0.26</v>
        <stp/>
        <stp>Market</stp>
        <stp>STOCK</stp>
        <stp>80200.T</stp>
        <stp>前日比率</stp>
        <tr r="F968" s="7"/>
      </tp>
      <tp t="s">
        <v>表示銘柄数超過</v>
        <stp/>
        <stp>Market</stp>
        <stp>STOCK</stp>
        <stp>50200.T</stp>
        <stp>前日比率</stp>
        <tr r="F562" s="7"/>
      </tp>
      <tp>
        <v>0.74</v>
        <stp/>
        <stp>Market</stp>
        <stp>STOCK</stp>
        <stp>60230.T</stp>
        <stp>前日比率</stp>
        <tr r="F636" s="7"/>
      </tp>
      <tp t="s">
        <v>表示銘柄数超過</v>
        <stp/>
        <stp>Market</stp>
        <stp>STOCK</stp>
        <stp>90220.T</stp>
        <stp>前日比率</stp>
        <tr r="F1082" s="7"/>
      </tp>
      <tp t="s">
        <v>表示銘柄数超過</v>
        <stp/>
        <stp>Market</stp>
        <stp>STOCK</stp>
        <stp>90240.T</stp>
        <stp>前日比率</stp>
        <tr r="F1083" s="7"/>
      </tp>
      <tp t="s">
        <v>表示銘柄数超過</v>
        <stp/>
        <stp>Market</stp>
        <stp>STOCK</stp>
        <stp>40270.T</stp>
        <stp>前日比率</stp>
        <tr r="F413" s="7"/>
      </tp>
      <tp>
        <v>-0.55000000000000004</v>
        <stp/>
        <stp>Market</stp>
        <stp>STOCK</stp>
        <stp>60290.T</stp>
        <stp>前日比率</stp>
        <tr r="F638" s="7"/>
      </tp>
      <tp>
        <v>-6.27</v>
        <stp/>
        <stp>Market</stp>
        <stp>STOCK</stp>
        <stp>60280.T</stp>
        <stp>前日比率</stp>
        <tr r="F637" s="7"/>
      </tp>
      <tp t="s">
        <v>表示銘柄数超過</v>
        <stp/>
        <stp>Market</stp>
        <stp>STOCK</stp>
        <stp>50280.T</stp>
        <stp>前日比率</stp>
        <tr r="F564" s="7"/>
      </tp>
      <tp>
        <v>1.81</v>
        <stp/>
        <stp>Market</stp>
        <stp>STOCK</stp>
        <stp>80310.T</stp>
        <stp>前日比率</stp>
        <tr r="F969" s="7"/>
      </tp>
      <tp>
        <v>-0.81</v>
        <stp/>
        <stp>Market</stp>
        <stp>STOCK</stp>
        <stp>70310.T</stp>
        <stp>前日比率</stp>
        <tr r="F810" s="7"/>
      </tp>
      <tp>
        <v>-7.47</v>
        <stp/>
        <stp>Market</stp>
        <stp>STOCK</stp>
        <stp>60310.T</stp>
        <stp>前日比率</stp>
        <tr r="F639" s="7"/>
      </tp>
      <tp t="s">
        <v>表示銘柄数超過</v>
        <stp/>
        <stp>Market</stp>
        <stp>STOCK</stp>
        <stp>30310.T</stp>
        <stp>前日比率</stp>
        <tr r="F226" s="7"/>
      </tp>
      <tp t="s">
        <v>表示銘柄数超過</v>
        <stp/>
        <stp>Market</stp>
        <stp>STOCK</stp>
        <stp>30300.T</stp>
        <stp>前日比率</stp>
        <tr r="F225" s="7"/>
      </tp>
      <tp t="s">
        <v>表示銘柄数超過</v>
        <stp/>
        <stp>Market</stp>
        <stp>STOCK</stp>
        <stp>90330.T</stp>
        <stp>前日比率</stp>
        <tr r="F1084" s="7"/>
      </tp>
      <tp t="s">
        <v>表示銘柄数超過</v>
        <stp/>
        <stp>Market</stp>
        <stp>STOCK</stp>
        <stp>50320.T</stp>
        <stp>前日比率</stp>
        <tr r="F565" s="7"/>
      </tp>
      <tp>
        <v>3.36</v>
        <stp/>
        <stp>Market</stp>
        <stp>STOCK</stp>
        <stp>60350.T</stp>
        <stp>前日比率</stp>
        <tr r="F640" s="7"/>
      </tp>
      <tp t="s">
        <v>表示銘柄数超過</v>
        <stp/>
        <stp>Market</stp>
        <stp>STOCK</stp>
        <stp>30350.T</stp>
        <stp>前日比率</stp>
        <tr r="F228" s="7"/>
      </tp>
      <tp t="s">
        <v>表示銘柄数超過</v>
        <stp/>
        <stp>Market</stp>
        <stp>STOCK</stp>
        <stp>30340.T</stp>
        <stp>前日比率</stp>
        <tr r="F227" s="7"/>
      </tp>
      <tp>
        <v>-0.57999999999999996</v>
        <stp/>
        <stp>Market</stp>
        <stp>STOCK</stp>
        <stp>70370.T</stp>
        <stp>前日比率</stp>
        <tr r="F811" s="7"/>
      </tp>
      <tp t="s">
        <v>表示銘柄数超過</v>
        <stp/>
        <stp>Market</stp>
        <stp>STOCK</stp>
        <stp>30360.T</stp>
        <stp>前日比率</stp>
        <tr r="F229" s="7"/>
      </tp>
      <tp t="s">
        <v>表示銘柄数超過</v>
        <stp/>
        <stp>Market</stp>
        <stp>STOCK</stp>
        <stp>30380.T</stp>
        <stp>前日比率</stp>
        <tr r="F230" s="7"/>
      </tp>
      <tp>
        <v>0</v>
        <stp/>
        <stp>Market</stp>
        <stp>STOCK</stp>
        <stp>20380.T</stp>
        <stp>前日比率</stp>
        <tr r="F87" s="7"/>
      </tp>
      <tp t="s">
        <v>表示銘柄数超過</v>
        <stp/>
        <stp>Market</stp>
        <stp>STOCK</stp>
        <stp>90010.T</stp>
        <stp>前日比率</stp>
        <tr r="F1073" s="7"/>
      </tp>
      <tp>
        <v>3.31</v>
        <stp/>
        <stp>Market</stp>
        <stp>STOCK</stp>
        <stp>80010.T</stp>
        <stp>前日比率</stp>
        <tr r="F964" s="7"/>
      </tp>
      <tp t="s">
        <v>表示銘柄数超過</v>
        <stp/>
        <stp>Market</stp>
        <stp>STOCK</stp>
        <stp>90030.T</stp>
        <stp>前日比率</stp>
        <tr r="F1074" s="7"/>
      </tp>
      <tp>
        <v>0.53</v>
        <stp/>
        <stp>Market</stp>
        <stp>STOCK</stp>
        <stp>70030.T</stp>
        <stp>前日比率</stp>
        <tr r="F804" s="7"/>
      </tp>
      <tp t="s">
        <v>表示銘柄数超過</v>
        <stp/>
        <stp>Market</stp>
        <stp>STOCK</stp>
        <stp>30030.T</stp>
        <stp>前日比率</stp>
        <tr r="F221" s="7"/>
      </tp>
      <tp t="s">
        <v>表示銘柄数超過</v>
        <stp/>
        <stp>Market</stp>
        <stp>STOCK</stp>
        <stp>90050.T</stp>
        <stp>前日比率</stp>
        <tr r="F1075" s="7"/>
      </tp>
      <tp>
        <v>0.1</v>
        <stp/>
        <stp>Market</stp>
        <stp>STOCK</stp>
        <stp>80050.T</stp>
        <stp>前日比率</stp>
        <tr r="F965" s="7"/>
      </tp>
      <tp>
        <v>2.13</v>
        <stp/>
        <stp>Market</stp>
        <stp>STOCK</stp>
        <stp>70040.T</stp>
        <stp>前日比率</stp>
        <tr r="F805" s="7"/>
      </tp>
      <tp t="s">
        <v>表示銘柄数超過</v>
        <stp/>
        <stp>Market</stp>
        <stp>STOCK</stp>
        <stp>40040.T</stp>
        <stp>前日比率</stp>
        <tr r="F410" s="7"/>
      </tp>
      <tp t="s">
        <v>表示銘柄数超過</v>
        <stp/>
        <stp>Market</stp>
        <stp>STOCK</stp>
        <stp>30040.T</stp>
        <stp>前日比率</stp>
        <tr r="F222" s="7"/>
      </tp>
      <tp t="s">
        <v>表示銘柄数超過</v>
        <stp/>
        <stp>Market</stp>
        <stp>STOCK</stp>
        <stp>90070.T</stp>
        <stp>前日比率</stp>
        <tr r="F1077" s="7"/>
      </tp>
      <tp t="s">
        <v>表示銘柄数超過</v>
        <stp/>
        <stp>Market</stp>
        <stp>STOCK</stp>
        <stp>90060.T</stp>
        <stp>前日比率</stp>
        <tr r="F1076" s="7"/>
      </tp>
      <tp t="s">
        <v>表示銘柄数超過</v>
        <stp/>
        <stp>Market</stp>
        <stp>STOCK</stp>
        <stp>90090.T</stp>
        <stp>前日比率</stp>
        <tr r="F1079" s="7"/>
      </tp>
      <tp t="s">
        <v>表示銘柄数超過</v>
        <stp/>
        <stp>Market</stp>
        <stp>STOCK</stp>
        <stp>90080.T</stp>
        <stp>前日比率</stp>
        <tr r="F1078" s="7"/>
      </tp>
      <tp>
        <v>0.36</v>
        <stp/>
        <stp>Market</stp>
        <stp>STOCK</stp>
        <stp>80080.T</stp>
        <stp>前日比率</stp>
        <tr r="F966" s="7"/>
      </tp>
      <tp>
        <v>-3.67</v>
        <stp/>
        <stp>Market</stp>
        <stp>STOCK</stp>
        <stp>70110.T</stp>
        <stp>前日比率</stp>
        <tr r="F806" s="7"/>
      </tp>
      <tp t="s">
        <v>表示銘柄数超過</v>
        <stp/>
        <stp>Market</stp>
        <stp>STOCK</stp>
        <stp>40110.T</stp>
        <stp>前日比率</stp>
        <tr r="F411" s="7"/>
      </tp>
      <tp t="s">
        <v>表示銘柄数超過</v>
        <stp/>
        <stp>Market</stp>
        <stp>STOCK</stp>
        <stp>50100.T</stp>
        <stp>前日比率</stp>
        <tr r="F558" s="7"/>
      </tp>
      <tp t="s">
        <v>表示銘柄数超過</v>
        <stp/>
        <stp>Market</stp>
        <stp>STOCK</stp>
        <stp>30100.T</stp>
        <stp>前日比率</stp>
        <tr r="F223" s="7"/>
      </tp>
      <tp>
        <v>-0.16</v>
        <stp/>
        <stp>Market</stp>
        <stp>STOCK</stp>
        <stp>70130.T</stp>
        <stp>前日比率</stp>
        <tr r="F808" s="7"/>
      </tp>
      <tp>
        <v>2.36</v>
        <stp/>
        <stp>Market</stp>
        <stp>STOCK</stp>
        <stp>70120.T</stp>
        <stp>前日比率</stp>
        <tr r="F807" s="7"/>
      </tp>
      <tp t="s">
        <v>表示銘柄数超過</v>
        <stp/>
        <stp>Market</stp>
        <stp>STOCK</stp>
        <stp>50150.T</stp>
        <stp>前日比率</stp>
        <tr r="F559" s="7"/>
      </tp>
      <tp>
        <v>2.74</v>
        <stp/>
        <stp>Market</stp>
        <stp>STOCK</stp>
        <stp>70140.T</stp>
        <stp>前日比率</stp>
        <tr r="F809" s="7"/>
      </tp>
      <tp t="s">
        <v>表示銘柄数超過</v>
        <stp/>
        <stp>Market</stp>
        <stp>STOCK</stp>
        <stp>50170.T</stp>
        <stp>前日比率</stp>
        <tr r="F560" s="7"/>
      </tp>
      <tp>
        <v>-0.73</v>
        <stp/>
        <stp>Market</stp>
        <stp>STOCK</stp>
        <stp>80160.T</stp>
        <stp>前日比率</stp>
        <tr r="F967" s="7"/>
      </tp>
      <tp t="s">
        <v>表示銘柄数超過</v>
        <stp/>
        <stp>Market</stp>
        <stp>STOCK</stp>
        <stp>40160.T</stp>
        <stp>前日比率</stp>
        <tr r="F412" s="7"/>
      </tp>
      <tp t="s">
        <v>表示銘柄数超過</v>
        <stp/>
        <stp>Market</stp>
        <stp>STOCK</stp>
        <stp>50190.T</stp>
        <stp>前日比率</stp>
        <tr r="F561" s="7"/>
      </tp>
      <tp>
        <v>-1.76</v>
        <stp/>
        <stp>Market</stp>
        <stp>STOCK</stp>
        <stp>70600.T</stp>
        <stp>前日比率</stp>
        <tr r="F819" s="7"/>
      </tp>
      <tp t="s">
        <v>表示銘柄数超過</v>
        <stp/>
        <stp>Market</stp>
        <stp>STOCK</stp>
        <stp>90630.T</stp>
        <stp>前日比率</stp>
        <tr r="F1090" s="7"/>
      </tp>
      <tp>
        <v>-0.25</v>
        <stp/>
        <stp>Market</stp>
        <stp>STOCK</stp>
        <stp>70630.T</stp>
        <stp>前日比率</stp>
        <tr r="F821" s="7"/>
      </tp>
      <tp t="s">
        <v>表示銘柄数超過</v>
        <stp/>
        <stp>Market</stp>
        <stp>STOCK</stp>
        <stp>40630.T</stp>
        <stp>前日比率</stp>
        <tr r="F415" s="7"/>
      </tp>
      <tp>
        <v>0.5</v>
        <stp/>
        <stp>Market</stp>
        <stp>STOCK</stp>
        <stp>70620.T</stp>
        <stp>前日比率</stp>
        <tr r="F820" s="7"/>
      </tp>
      <tp t="s">
        <v>表示銘柄数超過</v>
        <stp/>
        <stp>Market</stp>
        <stp>STOCK</stp>
        <stp>90640.T</stp>
        <stp>前日比率</stp>
        <tr r="F1091" s="7"/>
      </tp>
      <tp t="s">
        <v>表示銘柄数超過</v>
        <stp/>
        <stp>Market</stp>
        <stp>STOCK</stp>
        <stp>30640.T</stp>
        <stp>前日比率</stp>
        <tr r="F234" s="7"/>
      </tp>
      <tp t="s">
        <v>表示銘柄数超過</v>
        <stp/>
        <stp>Market</stp>
        <stp>STOCK</stp>
        <stp>30690.T</stp>
        <stp>前日比率</stp>
        <tr r="F235" s="7"/>
      </tp>
      <tp>
        <v>8.23</v>
        <stp/>
        <stp>Market</stp>
        <stp>STOCK</stp>
        <stp>70680.T</stp>
        <stp>前日比率</stp>
        <tr r="F822" s="7"/>
      </tp>
      <tp t="s">
        <v>表示銘柄数超過</v>
        <stp/>
        <stp>Market</stp>
        <stp>STOCK</stp>
        <stp>30710.T</stp>
        <stp>前日比率</stp>
        <tr r="F237" s="7"/>
      </tp>
      <tp t="s">
        <v>表示銘柄数超過</v>
        <stp/>
        <stp>Market</stp>
        <stp>STOCK</stp>
        <stp>30700.T</stp>
        <stp>前日比率</stp>
        <tr r="F236" s="7"/>
      </tp>
      <tp>
        <v>-1.48</v>
        <stp/>
        <stp>Market</stp>
        <stp>STOCK</stp>
        <stp>60730.T</stp>
        <stp>前日比率</stp>
        <tr r="F648" s="7"/>
      </tp>
      <tp t="s">
        <v>表示銘柄数超過</v>
        <stp/>
        <stp>Market</stp>
        <stp>STOCK</stp>
        <stp>40750.T</stp>
        <stp>前日比率</stp>
        <tr r="F416" s="7"/>
      </tp>
      <tp>
        <v>0</v>
        <stp/>
        <stp>Market</stp>
        <stp>STOCK</stp>
        <stp>70740.T</stp>
        <stp>前日比率</stp>
        <tr r="F823" s="7"/>
      </tp>
      <tp t="s">
        <v>表示銘柄数超過</v>
        <stp/>
        <stp>Market</stp>
        <stp>STOCK</stp>
        <stp>50740.T</stp>
        <stp>前日比率</stp>
        <tr r="F566" s="7"/>
      </tp>
      <tp>
        <v>0</v>
        <stp/>
        <stp>Market</stp>
        <stp>STOCK</stp>
        <stp>80770.T</stp>
        <stp>前日比率</stp>
        <tr r="F973" s="7"/>
      </tp>
      <tp t="s">
        <v>表示銘柄数超過</v>
        <stp/>
        <stp>Market</stp>
        <stp>STOCK</stp>
        <stp>90410.T</stp>
        <stp>前日比率</stp>
        <tr r="F1085" s="7"/>
      </tp>
      <tp>
        <v>0.77</v>
        <stp/>
        <stp>Market</stp>
        <stp>STOCK</stp>
        <stp>70410.T</stp>
        <stp>前日比率</stp>
        <tr r="F812" s="7"/>
      </tp>
      <tp t="s">
        <v>表示銘柄数超過</v>
        <stp/>
        <stp>Market</stp>
        <stp>STOCK</stp>
        <stp>30410.T</stp>
        <stp>前日比率</stp>
        <tr r="F231" s="7"/>
      </tp>
      <tp>
        <v>-4.63</v>
        <stp/>
        <stp>Market</stp>
        <stp>STOCK</stp>
        <stp>70430.T</stp>
        <stp>前日比率</stp>
        <tr r="F813" s="7"/>
      </tp>
      <tp t="s">
        <v>表示銘柄数超過</v>
        <stp/>
        <stp>Market</stp>
        <stp>STOCK</stp>
        <stp>90420.T</stp>
        <stp>前日比率</stp>
        <tr r="F1086" s="7"/>
      </tp>
      <tp t="s">
        <v>表示銘柄数超過</v>
        <stp/>
        <stp>Market</stp>
        <stp>STOCK</stp>
        <stp>90440.T</stp>
        <stp>前日比率</stp>
        <tr r="F1087" s="7"/>
      </tp>
      <tp>
        <v>-2.48</v>
        <stp/>
        <stp>Market</stp>
        <stp>STOCK</stp>
        <stp>70440.T</stp>
        <stp>前日比率</stp>
        <tr r="F814" s="7"/>
      </tp>
      <tp>
        <v>-1.32</v>
        <stp/>
        <stp>Market</stp>
        <stp>STOCK</stp>
        <stp>60440.T</stp>
        <stp>前日比率</stp>
        <tr r="F641" s="7"/>
      </tp>
      <tp>
        <v>-1.1499999999999999</v>
        <stp/>
        <stp>Market</stp>
        <stp>STOCK</stp>
        <stp>70470.T</stp>
        <stp>前日比率</stp>
        <tr r="F815" s="7"/>
      </tp>
      <tp>
        <v>-7.12</v>
        <stp/>
        <stp>Market</stp>
        <stp>STOCK</stp>
        <stp>60470.T</stp>
        <stp>前日比率</stp>
        <tr r="F643" s="7"/>
      </tp>
      <tp>
        <v>0.57999999999999996</v>
        <stp/>
        <stp>Market</stp>
        <stp>STOCK</stp>
        <stp>60460.T</stp>
        <stp>前日比率</stp>
        <tr r="F642" s="7"/>
      </tp>
      <tp>
        <v>0</v>
        <stp/>
        <stp>Market</stp>
        <stp>STOCK</stp>
        <stp>70490.T</stp>
        <stp>前日比率</stp>
        <tr r="F817" s="7"/>
      </tp>
      <tp>
        <v>-1.31</v>
        <stp/>
        <stp>Market</stp>
        <stp>STOCK</stp>
        <stp>60490.T</stp>
        <stp>前日比率</stp>
        <tr r="F645" s="7"/>
      </tp>
      <tp t="s">
        <v>表示銘柄数超過</v>
        <stp/>
        <stp>Market</stp>
        <stp>STOCK</stp>
        <stp>90480.T</stp>
        <stp>前日比率</stp>
        <tr r="F1088" s="7"/>
      </tp>
      <tp>
        <v>0.34</v>
        <stp/>
        <stp>Market</stp>
        <stp>STOCK</stp>
        <stp>70480.T</stp>
        <stp>前日比率</stp>
        <tr r="F816" s="7"/>
      </tp>
      <tp>
        <v>-2.21</v>
        <stp/>
        <stp>Market</stp>
        <stp>STOCK</stp>
        <stp>60480.T</stp>
        <stp>前日比率</stp>
        <tr r="F644" s="7"/>
      </tp>
      <tp t="s">
        <v>表示銘柄数超過</v>
        <stp/>
        <stp>Market</stp>
        <stp>STOCK</stp>
        <stp>30500.T</stp>
        <stp>前日比率</stp>
        <tr r="F232" s="7"/>
      </tp>
      <tp>
        <v>1.05</v>
        <stp/>
        <stp>Market</stp>
        <stp>STOCK</stp>
        <stp>80530.T</stp>
        <stp>前日比率</stp>
        <tr r="F970" s="7"/>
      </tp>
      <tp t="s">
        <v>表示銘柄数超過</v>
        <stp/>
        <stp>Market</stp>
        <stp>STOCK</stp>
        <stp>30530.T</stp>
        <stp>前日比率</stp>
        <tr r="F233" s="7"/>
      </tp>
      <tp t="s">
        <v>表示銘柄数超過</v>
        <stp/>
        <stp>Market</stp>
        <stp>STOCK</stp>
        <stp>20550.T</stp>
        <stp>前日比率</stp>
        <tr r="F88" s="7"/>
      </tp>
      <tp>
        <v>0</v>
        <stp/>
        <stp>Market</stp>
        <stp>STOCK</stp>
        <stp>60540.T</stp>
        <stp>前日比率</stp>
        <tr r="F646" s="7"/>
      </tp>
      <tp>
        <v>-0.71</v>
        <stp/>
        <stp>Market</stp>
        <stp>STOCK</stp>
        <stp>80560.T</stp>
        <stp>前日比率</stp>
        <tr r="F971" s="7"/>
      </tp>
      <tp t="s">
        <v>表示銘柄数超過</v>
        <stp/>
        <stp>Market</stp>
        <stp>STOCK</stp>
        <stp>90590.T</stp>
        <stp>前日比率</stp>
        <tr r="F1089" s="7"/>
      </tp>
      <tp>
        <v>-0.67</v>
        <stp/>
        <stp>Market</stp>
        <stp>STOCK</stp>
        <stp>70590.T</stp>
        <stp>前日比率</stp>
        <tr r="F818" s="7"/>
      </tp>
      <tp>
        <v>-1.29</v>
        <stp/>
        <stp>Market</stp>
        <stp>STOCK</stp>
        <stp>60590.T</stp>
        <stp>前日比率</stp>
        <tr r="F647" s="7"/>
      </tp>
      <tp t="s">
        <v>表示銘柄数超過</v>
        <stp/>
        <stp>Market</stp>
        <stp>STOCK</stp>
        <stp>40590.T</stp>
        <stp>前日比率</stp>
        <tr r="F414" s="7"/>
      </tp>
      <tp>
        <v>9.74</v>
        <stp/>
        <stp>Market</stp>
        <stp>STOCK</stp>
        <stp>80580.T</stp>
        <stp>前日比率</stp>
        <tr r="F972" s="7"/>
      </tp>
      <tp>
        <v>-1.75</v>
        <stp/>
        <stp>Market</stp>
        <stp>STOCK</stp>
        <stp>61810.T</stp>
        <stp>前日比率</stp>
        <tr r="F667" s="7"/>
      </tp>
      <tp>
        <v>-0.04</v>
        <stp/>
        <stp>Market</stp>
        <stp>STOCK</stp>
        <stp>71800.T</stp>
        <stp>前日比率</stp>
        <tr r="F838" s="7"/>
      </tp>
      <tp>
        <v>0</v>
        <stp/>
        <stp>Market</stp>
        <stp>STOCK</stp>
        <stp>71830.T</stp>
        <stp>前日比率</stp>
        <tr r="F840" s="7"/>
      </tp>
      <tp>
        <v>-0.17</v>
        <stp/>
        <stp>Market</stp>
        <stp>STOCK</stp>
        <stp>71820.T</stp>
        <stp>前日比率</stp>
        <tr r="F839" s="7"/>
      </tp>
      <tp>
        <v>-2.12</v>
        <stp/>
        <stp>Market</stp>
        <stp>STOCK</stp>
        <stp>61820.T</stp>
        <stp>前日比率</stp>
        <tr r="F668" s="7"/>
      </tp>
      <tp t="s">
        <v>表示銘柄数超過</v>
        <stp/>
        <stp>Market</stp>
        <stp>STOCK</stp>
        <stp>31820.T</stp>
        <stp>前日比率</stp>
        <tr r="F251" s="7"/>
      </tp>
      <tp>
        <v>-1.82</v>
        <stp/>
        <stp>Market</stp>
        <stp>STOCK</stp>
        <stp>61850.T</stp>
        <stp>前日比率</stp>
        <tr r="F670" s="7"/>
      </tp>
      <tp t="s">
        <v>表示銘柄数超過</v>
        <stp/>
        <stp>Market</stp>
        <stp>STOCK</stp>
        <stp>41850.T</stp>
        <stp>前日比率</stp>
        <tr r="F422" s="7"/>
      </tp>
      <tp t="s">
        <v>表示銘柄数超過</v>
        <stp/>
        <stp>Market</stp>
        <stp>STOCK</stp>
        <stp>31850.T</stp>
        <stp>前日比率</stp>
        <tr r="F252" s="7"/>
      </tp>
      <tp>
        <v>-1.1599999999999999</v>
        <stp/>
        <stp>Market</stp>
        <stp>STOCK</stp>
        <stp>71840.T</stp>
        <stp>前日比率</stp>
        <tr r="F841" s="7"/>
      </tp>
      <tp>
        <v>-0.32</v>
        <stp/>
        <stp>Market</stp>
        <stp>STOCK</stp>
        <stp>61840.T</stp>
        <stp>前日比率</stp>
        <tr r="F669" s="7"/>
      </tp>
      <tp t="s">
        <v>表示銘柄数超過</v>
        <stp/>
        <stp>Market</stp>
        <stp>STOCK</stp>
        <stp>31870.T</stp>
        <stp>前日比率</stp>
        <tr r="F254" s="7"/>
      </tp>
      <tp>
        <v>1.32</v>
        <stp/>
        <stp>Market</stp>
        <stp>STOCK</stp>
        <stp>71860.T</stp>
        <stp>前日比率</stp>
        <tr r="F842" s="7"/>
      </tp>
      <tp>
        <v>-0.96</v>
        <stp/>
        <stp>Market</stp>
        <stp>STOCK</stp>
        <stp>61860.T</stp>
        <stp>前日比率</stp>
        <tr r="F671" s="7"/>
      </tp>
      <tp t="s">
        <v>表示銘柄数超過</v>
        <stp/>
        <stp>Market</stp>
        <stp>STOCK</stp>
        <stp>31860.T</stp>
        <stp>前日比率</stp>
        <tr r="F253" s="7"/>
      </tp>
      <tp t="s">
        <v>表示銘柄数超過</v>
        <stp/>
        <stp>Market</stp>
        <stp>STOCK</stp>
        <stp>31890.T</stp>
        <stp>前日比率</stp>
        <tr r="F255" s="7"/>
      </tp>
      <tp>
        <v>0</v>
        <stp/>
        <stp>Market</stp>
        <stp>STOCK</stp>
        <stp>61880.T</stp>
        <stp>前日比率</stp>
        <tr r="F672" s="7"/>
      </tp>
      <tp t="s">
        <v>表示銘柄数超過</v>
        <stp/>
        <stp>Market</stp>
        <stp>STOCK</stp>
        <stp>41880.T</stp>
        <stp>前日比率</stp>
        <tr r="F423" s="7"/>
      </tp>
      <tp>
        <v>0</v>
        <stp/>
        <stp>Market</stp>
        <stp>STOCK</stp>
        <stp>61900.T</stp>
        <stp>前日比率</stp>
        <tr r="F673" s="7"/>
      </tp>
      <tp t="s">
        <v/>
        <stp/>
        <stp>Market</stp>
        <stp>STOCK</stp>
        <stp>61920.T</stp>
        <stp>前日比率</stp>
        <tr r="F674" s="7"/>
      </tp>
      <tp>
        <v>-1.44</v>
        <stp/>
        <stp>Market</stp>
        <stp>STOCK</stp>
        <stp>51920.T</stp>
        <stp>前日比率</stp>
        <tr r="F574" s="7"/>
      </tp>
      <tp t="s">
        <v>表示銘柄数超過</v>
        <stp/>
        <stp>Market</stp>
        <stp>STOCK</stp>
        <stp>41920.T</stp>
        <stp>前日比率</stp>
        <tr r="F424" s="7"/>
      </tp>
      <tp t="s">
        <v>表示銘柄数超過</v>
        <stp/>
        <stp>Market</stp>
        <stp>STOCK</stp>
        <stp>31920.T</stp>
        <stp>前日比率</stp>
        <tr r="F256" s="7"/>
      </tp>
      <tp>
        <v>-0.38</v>
        <stp/>
        <stp>Market</stp>
        <stp>STOCK</stp>
        <stp>61950.T</stp>
        <stp>前日比率</stp>
        <tr r="F676" s="7"/>
      </tp>
      <tp>
        <v>2.0299999999999998</v>
        <stp/>
        <stp>Market</stp>
        <stp>STOCK</stp>
        <stp>81940.T</stp>
        <stp>前日比率</stp>
        <tr r="F989" s="7"/>
      </tp>
      <tp>
        <v>-3.2</v>
        <stp/>
        <stp>Market</stp>
        <stp>STOCK</stp>
        <stp>61940.T</stp>
        <stp>前日比率</stp>
        <tr r="F675" s="7"/>
      </tp>
      <tp t="s">
        <v>表示銘柄数超過</v>
        <stp/>
        <stp>Market</stp>
        <stp>STOCK</stp>
        <stp>31970.T</stp>
        <stp>前日比率</stp>
        <tr r="F257" s="7"/>
      </tp>
      <tp>
        <v>-1.07</v>
        <stp/>
        <stp>Market</stp>
        <stp>STOCK</stp>
        <stp>71960.T</stp>
        <stp>前日比率</stp>
        <tr r="F843" s="7"/>
      </tp>
      <tp t="s">
        <v>表示銘柄数超過</v>
        <stp/>
        <stp>Market</stp>
        <stp>STOCK</stp>
        <stp>21980.T</stp>
        <stp>前日比率</stp>
        <tr r="F102" s="7"/>
      </tp>
      <tp>
        <v>0.84</v>
        <stp/>
        <stp>Market</stp>
        <stp>STOCK</stp>
        <stp>51210.T</stp>
        <stp>前日比率</stp>
        <tr r="F570" s="7"/>
      </tp>
      <tp t="s">
        <v>表示銘柄数超過</v>
        <stp/>
        <stp>Market</stp>
        <stp>STOCK</stp>
        <stp>31210.T</stp>
        <stp>前日比率</stp>
        <tr r="F244" s="7"/>
      </tp>
      <tp t="s">
        <v>表示銘柄数超過</v>
        <stp/>
        <stp>Market</stp>
        <stp>STOCK</stp>
        <stp>21200.T</stp>
        <stp>前日比率</stp>
        <tr r="F90" s="7"/>
      </tp>
      <tp>
        <v>-0.69</v>
        <stp/>
        <stp>Market</stp>
        <stp>STOCK</stp>
        <stp>71220.T</stp>
        <stp>前日比率</stp>
        <tr r="F828" s="7"/>
      </tp>
      <tp t="s">
        <v>表示銘柄数超過</v>
        <stp/>
        <stp>Market</stp>
        <stp>STOCK</stp>
        <stp>21270.T</stp>
        <stp>前日比率</stp>
        <tr r="F91" s="7"/>
      </tp>
      <tp>
        <v>1.46</v>
        <stp/>
        <stp>Market</stp>
        <stp>STOCK</stp>
        <stp>51290.T</stp>
        <stp>前日比率</stp>
        <tr r="F571" s="7"/>
      </tp>
      <tp>
        <v>-4.62</v>
        <stp/>
        <stp>Market</stp>
        <stp>STOCK</stp>
        <stp>51310.T</stp>
        <stp>前日比率</stp>
        <tr r="F572" s="7"/>
      </tp>
      <tp>
        <v>0.57999999999999996</v>
        <stp/>
        <stp>Market</stp>
        <stp>STOCK</stp>
        <stp>81330.T</stp>
        <stp>前日比率</stp>
        <tr r="F980" s="7"/>
      </tp>
      <tp>
        <v>-1.37</v>
        <stp/>
        <stp>Market</stp>
        <stp>STOCK</stp>
        <stp>51330.T</stp>
        <stp>前日比率</stp>
        <tr r="F573" s="7"/>
      </tp>
      <tp t="s">
        <v>表示銘柄数超過</v>
        <stp/>
        <stp>Market</stp>
        <stp>STOCK</stp>
        <stp>31330.T</stp>
        <stp>前日比率</stp>
        <tr r="F245" s="7"/>
      </tp>
      <tp>
        <v>1.25</v>
        <stp/>
        <stp>Market</stp>
        <stp>STOCK</stp>
        <stp>81350.T</stp>
        <stp>前日比率</stp>
        <tr r="F981" s="7"/>
      </tp>
      <tp>
        <v>0</v>
        <stp/>
        <stp>Market</stp>
        <stp>STOCK</stp>
        <stp>71350.T</stp>
        <stp>前日比率</stp>
        <tr r="F829" s="7"/>
      </tp>
      <tp>
        <v>0.04</v>
        <stp/>
        <stp>Market</stp>
        <stp>STOCK</stp>
        <stp>61340.T</stp>
        <stp>前日比率</stp>
        <tr r="F657" s="7"/>
      </tp>
      <tp t="s">
        <v>表示銘柄数超過</v>
        <stp/>
        <stp>Market</stp>
        <stp>STOCK</stp>
        <stp>21340.T</stp>
        <stp>前日比率</stp>
        <tr r="F92" s="7"/>
      </tp>
      <tp t="s">
        <v>表示銘柄数超過</v>
        <stp/>
        <stp>Market</stp>
        <stp>STOCK</stp>
        <stp>31370.T</stp>
        <stp>前日比率</stp>
        <tr r="F246" s="7"/>
      </tp>
      <tp>
        <v>-1.27</v>
        <stp/>
        <stp>Market</stp>
        <stp>STOCK</stp>
        <stp>81390.T</stp>
        <stp>前日比率</stp>
        <tr r="F982" s="7"/>
      </tp>
      <tp t="s">
        <v>表示銘柄数超過</v>
        <stp/>
        <stp>Market</stp>
        <stp>STOCK</stp>
        <stp>21380.T</stp>
        <stp>前日比率</stp>
        <tr r="F93" s="7"/>
      </tp>
      <tp t="s">
        <v>表示銘柄数超過</v>
        <stp/>
        <stp>Market</stp>
        <stp>STOCK</stp>
        <stp>91010.T</stp>
        <stp>前日比率</stp>
        <tr r="F1093" s="7"/>
      </tp>
      <tp t="s">
        <v>表示銘柄数超過</v>
        <stp/>
        <stp>Market</stp>
        <stp>STOCK</stp>
        <stp>31010.T</stp>
        <stp>前日比率</stp>
        <tr r="F241" s="7"/>
      </tp>
      <tp>
        <v>1.1299999999999999</v>
        <stp/>
        <stp>Market</stp>
        <stp>STOCK</stp>
        <stp>81030.T</stp>
        <stp>前日比率</stp>
        <tr r="F976" s="7"/>
      </tp>
      <tp>
        <v>0</v>
        <stp/>
        <stp>Market</stp>
        <stp>STOCK</stp>
        <stp>51030.T</stp>
        <stp>前日比率</stp>
        <tr r="F567" s="7"/>
      </tp>
      <tp t="s">
        <v>表示銘柄数超過</v>
        <stp/>
        <stp>Market</stp>
        <stp>STOCK</stp>
        <stp>31030.T</stp>
        <stp>前日比率</stp>
        <tr r="F242" s="7"/>
      </tp>
      <tp>
        <v>1.37</v>
        <stp/>
        <stp>Market</stp>
        <stp>STOCK</stp>
        <stp>71020.T</stp>
        <stp>前日比率</stp>
        <tr r="F825" s="7"/>
      </tp>
      <tp>
        <v>0</v>
        <stp/>
        <stp>Market</stp>
        <stp>STOCK</stp>
        <stp>81050.T</stp>
        <stp>前日比率</stp>
        <tr r="F978" s="7"/>
      </tp>
      <tp t="s">
        <v>表示銘柄数超過</v>
        <stp/>
        <stp>Market</stp>
        <stp>STOCK</stp>
        <stp>91040.T</stp>
        <stp>前日比率</stp>
        <tr r="F1094" s="7"/>
      </tp>
      <tp>
        <v>-0.43</v>
        <stp/>
        <stp>Market</stp>
        <stp>STOCK</stp>
        <stp>81040.T</stp>
        <stp>前日比率</stp>
        <tr r="F977" s="7"/>
      </tp>
      <tp>
        <v>1.2</v>
        <stp/>
        <stp>Market</stp>
        <stp>STOCK</stp>
        <stp>61040.T</stp>
        <stp>前日比率</stp>
        <tr r="F655" s="7"/>
      </tp>
      <tp t="s">
        <v>表示銘柄数超過</v>
        <stp/>
        <stp>Market</stp>
        <stp>STOCK</stp>
        <stp>91070.T</stp>
        <stp>前日比率</stp>
        <tr r="F1095" s="7"/>
      </tp>
      <tp>
        <v>1.49</v>
        <stp/>
        <stp>Market</stp>
        <stp>STOCK</stp>
        <stp>51080.T</stp>
        <stp>前日比率</stp>
        <tr r="F568" s="7"/>
      </tp>
      <tp>
        <v>-3.57</v>
        <stp/>
        <stp>Market</stp>
        <stp>STOCK</stp>
        <stp>71110.T</stp>
        <stp>前日比率</stp>
        <tr r="F826" s="7"/>
      </tp>
      <tp>
        <v>1.22</v>
        <stp/>
        <stp>Market</stp>
        <stp>STOCK</stp>
        <stp>51100.T</stp>
        <stp>前日比率</stp>
        <tr r="F569" s="7"/>
      </tp>
      <tp>
        <v>1.4</v>
        <stp/>
        <stp>Market</stp>
        <stp>STOCK</stp>
        <stp>61130.T</stp>
        <stp>前日比率</stp>
        <tr r="F656" s="7"/>
      </tp>
      <tp t="s">
        <v>表示銘柄数超過</v>
        <stp/>
        <stp>Market</stp>
        <stp>STOCK</stp>
        <stp>31130.T</stp>
        <stp>前日比率</stp>
        <tr r="F243" s="7"/>
      </tp>
      <tp t="s">
        <v>表示銘柄数超過</v>
        <stp/>
        <stp>Market</stp>
        <stp>STOCK</stp>
        <stp>91150.T</stp>
        <stp>前日比率</stp>
        <tr r="F1096" s="7"/>
      </tp>
      <tp t="s">
        <v>表示銘柄数超過</v>
        <stp/>
        <stp>Market</stp>
        <stp>STOCK</stp>
        <stp>21140.T</stp>
        <stp>前日比率</stp>
        <tr r="F89" s="7"/>
      </tp>
      <tp>
        <v>-2.64</v>
        <stp/>
        <stp>Market</stp>
        <stp>STOCK</stp>
        <stp>71160.T</stp>
        <stp>前日比率</stp>
        <tr r="F827" s="7"/>
      </tp>
      <tp t="s">
        <v>表示銘柄数超過</v>
        <stp/>
        <stp>Market</stp>
        <stp>STOCK</stp>
        <stp>91190.T</stp>
        <stp>前日比率</stp>
        <tr r="F1097" s="7"/>
      </tp>
      <tp>
        <v>-0.85</v>
        <stp/>
        <stp>Market</stp>
        <stp>STOCK</stp>
        <stp>81180.T</stp>
        <stp>前日比率</stp>
        <tr r="F979" s="7"/>
      </tp>
      <tp>
        <v>4.45</v>
        <stp/>
        <stp>Market</stp>
        <stp>STOCK</stp>
        <stp>71610.T</stp>
        <stp>前日比率</stp>
        <tr r="F832" s="7"/>
      </tp>
      <tp t="s">
        <v>表示銘柄数超過</v>
        <stp/>
        <stp>Market</stp>
        <stp>STOCK</stp>
        <stp>21600.T</stp>
        <stp>前日比率</stp>
        <tr r="F98" s="7"/>
      </tp>
      <tp>
        <v>0.28999999999999998</v>
        <stp/>
        <stp>Market</stp>
        <stp>STOCK</stp>
        <stp>71630.T</stp>
        <stp>前日比率</stp>
        <tr r="F833" s="7"/>
      </tp>
      <tp t="s">
        <v>表示銘柄数超過</v>
        <stp/>
        <stp>Market</stp>
        <stp>STOCK</stp>
        <stp>21620.T</stp>
        <stp>前日比率</stp>
        <tr r="F99" s="7"/>
      </tp>
      <tp>
        <v>0.7</v>
        <stp/>
        <stp>Market</stp>
        <stp>STOCK</stp>
        <stp>61650.T</stp>
        <stp>前日比率</stp>
        <tr r="F660" s="7"/>
      </tp>
      <tp t="s">
        <v>表示銘柄数超過</v>
        <stp/>
        <stp>Market</stp>
        <stp>STOCK</stp>
        <stp>41650.T</stp>
        <stp>前日比率</stp>
        <tr r="F417" s="7"/>
      </tp>
      <tp t="s">
        <v>表示銘柄数超過</v>
        <stp/>
        <stp>Market</stp>
        <stp>STOCK</stp>
        <stp>21640.T</stp>
        <stp>前日比率</stp>
        <tr r="F100" s="7"/>
      </tp>
      <tp>
        <v>-0.14000000000000001</v>
        <stp/>
        <stp>Market</stp>
        <stp>STOCK</stp>
        <stp>71670.T</stp>
        <stp>前日比率</stp>
        <tr r="F834" s="7"/>
      </tp>
      <tp>
        <v>1.71</v>
        <stp/>
        <stp>Market</stp>
        <stp>STOCK</stp>
        <stp>61670.T</stp>
        <stp>前日比率</stp>
        <tr r="F662" s="7"/>
      </tp>
      <tp t="s">
        <v>表示銘柄数超過</v>
        <stp/>
        <stp>Market</stp>
        <stp>STOCK</stp>
        <stp>41670.T</stp>
        <stp>前日比率</stp>
        <tr r="F418" s="7"/>
      </tp>
      <tp>
        <v>-1.49</v>
        <stp/>
        <stp>Market</stp>
        <stp>STOCK</stp>
        <stp>81660.T</stp>
        <stp>前日比率</stp>
        <tr r="F986" s="7"/>
      </tp>
      <tp>
        <v>-1.04</v>
        <stp/>
        <stp>Market</stp>
        <stp>STOCK</stp>
        <stp>61660.T</stp>
        <stp>前日比率</stp>
        <tr r="F661" s="7"/>
      </tp>
      <tp t="s">
        <v>表示銘柄数超過</v>
        <stp/>
        <stp>Market</stp>
        <stp>STOCK</stp>
        <stp>41690.T</stp>
        <stp>前日比率</stp>
        <tr r="F419" s="7"/>
      </tp>
      <tp t="s">
        <v>表示銘柄数超過</v>
        <stp/>
        <stp>Market</stp>
        <stp>STOCK</stp>
        <stp>21680.T</stp>
        <stp>前日比率</stp>
        <tr r="F101" s="7"/>
      </tp>
      <tp t="s">
        <v>表示銘柄数超過</v>
        <stp/>
        <stp>Market</stp>
        <stp>STOCK</stp>
        <stp>41700.T</stp>
        <stp>前日比率</stp>
        <tr r="F420" s="7"/>
      </tp>
      <tp>
        <v>-0.71</v>
        <stp/>
        <stp>Market</stp>
        <stp>STOCK</stp>
        <stp>81730.T</stp>
        <stp>前日比率</stp>
        <tr r="F987" s="7"/>
      </tp>
      <tp>
        <v>0.19</v>
        <stp/>
        <stp>Market</stp>
        <stp>STOCK</stp>
        <stp>61730.T</stp>
        <stp>前日比率</stp>
        <tr r="F663" s="7"/>
      </tp>
      <tp>
        <v>1.61</v>
        <stp/>
        <stp>Market</stp>
        <stp>STOCK</stp>
        <stp>71720.T</stp>
        <stp>前日比率</stp>
        <tr r="F835" s="7"/>
      </tp>
      <tp>
        <v>-0.54</v>
        <stp/>
        <stp>Market</stp>
        <stp>STOCK</stp>
        <stp>71750.T</stp>
        <stp>前日比率</stp>
        <tr r="F836" s="7"/>
      </tp>
      <tp>
        <v>-2.75</v>
        <stp/>
        <stp>Market</stp>
        <stp>STOCK</stp>
        <stp>71770.T</stp>
        <stp>前日比率</stp>
        <tr r="F837" s="7"/>
      </tp>
      <tp>
        <v>-2.97</v>
        <stp/>
        <stp>Market</stp>
        <stp>STOCK</stp>
        <stp>61770.T</stp>
        <stp>前日比率</stp>
        <tr r="F665" s="7"/>
      </tp>
      <tp>
        <v>0.59</v>
        <stp/>
        <stp>Market</stp>
        <stp>STOCK</stp>
        <stp>61760.T</stp>
        <stp>前日比率</stp>
        <tr r="F664" s="7"/>
      </tp>
      <tp t="s">
        <v>表示銘柄数超過</v>
        <stp/>
        <stp>Market</stp>
        <stp>STOCK</stp>
        <stp>41760.T</stp>
        <stp>前日比率</stp>
        <tr r="F421" s="7"/>
      </tp>
      <tp t="s">
        <v>表示銘柄数超過</v>
        <stp/>
        <stp>Market</stp>
        <stp>STOCK</stp>
        <stp>31760.T</stp>
        <stp>前日比率</stp>
        <tr r="F250" s="7"/>
      </tp>
      <tp>
        <v>-0.93</v>
        <stp/>
        <stp>Market</stp>
        <stp>STOCK</stp>
        <stp>81790.T</stp>
        <stp>前日比率</stp>
        <tr r="F988" s="7"/>
      </tp>
      <tp>
        <v>1.8</v>
        <stp/>
        <stp>Market</stp>
        <stp>STOCK</stp>
        <stp>61780.T</stp>
        <stp>前日比率</stp>
        <tr r="F666" s="7"/>
      </tp>
      <tp t="s">
        <v>表示銘柄数超過</v>
        <stp/>
        <stp>Market</stp>
        <stp>STOCK</stp>
        <stp>31410.T</stp>
        <stp>前日比率</stp>
        <tr r="F247" s="7"/>
      </tp>
      <tp>
        <v>0.12</v>
        <stp/>
        <stp>Market</stp>
        <stp>STOCK</stp>
        <stp>61400.T</stp>
        <stp>前日比率</stp>
        <tr r="F658" s="7"/>
      </tp>
      <tp>
        <v>-0.35</v>
        <stp/>
        <stp>Market</stp>
        <stp>STOCK</stp>
        <stp>81430.T</stp>
        <stp>前日比率</stp>
        <tr r="F983" s="7"/>
      </tp>
      <tp t="s">
        <v>表示銘柄数超過</v>
        <stp/>
        <stp>Market</stp>
        <stp>STOCK</stp>
        <stp>91420.T</stp>
        <stp>前日比率</stp>
        <tr r="F1098" s="7"/>
      </tp>
      <tp>
        <v>-1.24</v>
        <stp/>
        <stp>Market</stp>
        <stp>STOCK</stp>
        <stp>61460.T</stp>
        <stp>前日比率</stp>
        <tr r="F659" s="7"/>
      </tp>
      <tp>
        <v>1.1399999999999999</v>
        <stp/>
        <stp>Market</stp>
        <stp>STOCK</stp>
        <stp>71480.T</stp>
        <stp>前日比率</stp>
        <tr r="F830" s="7"/>
      </tp>
      <tp>
        <v>-0.69</v>
        <stp/>
        <stp>Market</stp>
        <stp>STOCK</stp>
        <stp>81500.T</stp>
        <stp>前日比率</stp>
        <tr r="F984" s="7"/>
      </tp>
      <tp>
        <v>-0.38</v>
        <stp/>
        <stp>Market</stp>
        <stp>STOCK</stp>
        <stp>71500.T</stp>
        <stp>前日比率</stp>
        <tr r="F831" s="7"/>
      </tp>
      <tp t="s">
        <v>表示銘柄数超過</v>
        <stp/>
        <stp>Market</stp>
        <stp>STOCK</stp>
        <stp>21500.T</stp>
        <stp>前日比率</stp>
        <tr r="F94" s="7"/>
      </tp>
      <tp>
        <v>-1.1499999999999999</v>
        <stp/>
        <stp>Market</stp>
        <stp>STOCK</stp>
        <stp>81530.T</stp>
        <stp>前日比率</stp>
        <tr r="F985" s="7"/>
      </tp>
      <tp t="s">
        <v>表示銘柄数超過</v>
        <stp/>
        <stp>Market</stp>
        <stp>STOCK</stp>
        <stp>21520.T</stp>
        <stp>前日比率</stp>
        <tr r="F95" s="7"/>
      </tp>
      <tp t="s">
        <v>表示銘柄数超過</v>
        <stp/>
        <stp>Market</stp>
        <stp>STOCK</stp>
        <stp>31540.T</stp>
        <stp>前日比率</stp>
        <tr r="F248" s="7"/>
      </tp>
      <tp t="s">
        <v>表示銘柄数超過</v>
        <stp/>
        <stp>Market</stp>
        <stp>STOCK</stp>
        <stp>21540.T</stp>
        <stp>前日比率</stp>
        <tr r="F96" s="7"/>
      </tp>
      <tp t="s">
        <v>表示銘柄数超過</v>
        <stp/>
        <stp>Market</stp>
        <stp>STOCK</stp>
        <stp>31590.T</stp>
        <stp>前日比率</stp>
        <tr r="F249" s="7"/>
      </tp>
      <tp t="s">
        <v>表示銘柄数超過</v>
        <stp/>
        <stp>Market</stp>
        <stp>STOCK</stp>
        <stp>21580.T</stp>
        <stp>前日比率</stp>
        <tr r="F97" s="7"/>
      </tp>
      <tp>
        <v>2.83</v>
        <stp/>
        <stp>Market</stp>
        <stp>STOCK</stp>
        <stp>72800.T</stp>
        <stp>前日比率</stp>
        <tr r="F869" s="7"/>
      </tp>
      <tp>
        <v>3.33</v>
        <stp/>
        <stp>Market</stp>
        <stp>STOCK</stp>
        <stp>72830.T</stp>
        <stp>前日比率</stp>
        <tr r="F870" s="7"/>
      </tp>
      <tp>
        <v>9.18</v>
        <stp/>
        <stp>Market</stp>
        <stp>STOCK</stp>
        <stp>52850.T</stp>
        <stp>前日比率</stp>
        <tr r="F584" s="7"/>
      </tp>
      <tp t="s">
        <v>表示銘柄数超過</v>
        <stp/>
        <stp>Market</stp>
        <stp>STOCK</stp>
        <stp>32840.T</stp>
        <stp>前日比率</stp>
        <tr r="F269" s="7"/>
      </tp>
      <tp>
        <v>0.51</v>
        <stp/>
        <stp>Market</stp>
        <stp>STOCK</stp>
        <stp>52870.T</stp>
        <stp>前日比率</stp>
        <tr r="F585" s="7"/>
      </tp>
      <tp t="s">
        <v>表示銘柄数超過</v>
        <stp/>
        <stp>Market</stp>
        <stp>STOCK</stp>
        <stp>42870.T</stp>
        <stp>前日比率</stp>
        <tr r="F438" s="7"/>
      </tp>
      <tp>
        <v>9.35</v>
        <stp/>
        <stp>Market</stp>
        <stp>STOCK</stp>
        <stp>62860.T</stp>
        <stp>前日比率</stp>
        <tr r="F683" s="7"/>
      </tp>
      <tp t="s">
        <v>表示銘柄数超過</v>
        <stp/>
        <stp>Market</stp>
        <stp>STOCK</stp>
        <stp>42860.T</stp>
        <stp>前日比率</stp>
        <tr r="F437" s="7"/>
      </tp>
      <tp t="s">
        <v>表示銘柄数超過</v>
        <stp/>
        <stp>Market</stp>
        <stp>STOCK</stp>
        <stp>32860.T</stp>
        <stp>前日比率</stp>
        <tr r="F270" s="7"/>
      </tp>
      <tp t="s">
        <v>表示銘柄数超過</v>
        <stp/>
        <stp>Market</stp>
        <stp>STOCK</stp>
        <stp>32890.T</stp>
        <stp>前日比率</stp>
        <tr r="F272" s="7"/>
      </tp>
      <tp t="s">
        <v>表示銘柄数超過</v>
        <stp/>
        <stp>Market</stp>
        <stp>STOCK</stp>
        <stp>32880.T</stp>
        <stp>前日比率</stp>
        <tr r="F271" s="7"/>
      </tp>
      <tp>
        <v>0.41</v>
        <stp/>
        <stp>Market</stp>
        <stp>STOCK</stp>
        <stp>82910.T</stp>
        <stp>前日比率</stp>
        <tr r="F1002" s="7"/>
      </tp>
      <tp>
        <v>2.89</v>
        <stp/>
        <stp>Market</stp>
        <stp>STOCK</stp>
        <stp>72910.T</stp>
        <stp>前日比率</stp>
        <tr r="F871" s="7"/>
      </tp>
      <tp t="s">
        <v>表示銘柄数超過</v>
        <stp/>
        <stp>Market</stp>
        <stp>STOCK</stp>
        <stp>42930.T</stp>
        <stp>前日比率</stp>
        <tr r="F439" s="7"/>
      </tp>
      <tp>
        <v>1.22</v>
        <stp/>
        <stp>Market</stp>
        <stp>STOCK</stp>
        <stp>72940.T</stp>
        <stp>前日比率</stp>
        <tr r="F872" s="7"/>
      </tp>
      <tp>
        <v>0</v>
        <stp/>
        <stp>Market</stp>
        <stp>STOCK</stp>
        <stp>62970.T</stp>
        <stp>前日比率</stp>
        <tr r="F684" s="7"/>
      </tp>
      <tp t="s">
        <v>表示銘柄数超過</v>
        <stp/>
        <stp>Market</stp>
        <stp>STOCK</stp>
        <stp>32970.T</stp>
        <stp>前日比率</stp>
        <tr r="F273" s="7"/>
      </tp>
      <tp t="s">
        <v>表示銘柄数超過</v>
        <stp/>
        <stp>Market</stp>
        <stp>STOCK</stp>
        <stp>32990.T</stp>
        <stp>前日比率</stp>
        <tr r="F274" s="7"/>
      </tp>
      <tp t="s">
        <v/>
        <stp/>
        <stp>Market</stp>
        <stp>STOCK</stp>
        <stp>72980.T</stp>
        <stp>前日比率</stp>
        <tr r="F873" s="7"/>
      </tp>
      <tp>
        <v>-3.04</v>
        <stp/>
        <stp>Market</stp>
        <stp>STOCK</stp>
        <stp>62980.T</stp>
        <stp>前日比率</stp>
        <tr r="F685" s="7"/>
      </tp>
      <tp>
        <v>-1.7</v>
        <stp/>
        <stp>Market</stp>
        <stp>STOCK</stp>
        <stp>72220.T</stp>
        <stp>前日比率</stp>
        <tr r="F852" s="7"/>
      </tp>
      <tp>
        <v>-0.47</v>
        <stp/>
        <stp>Market</stp>
        <stp>STOCK</stp>
        <stp>82260.T</stp>
        <stp>前日比率</stp>
        <tr r="F993" s="7"/>
      </tp>
      <tp>
        <v>-0.6</v>
        <stp/>
        <stp>Market</stp>
        <stp>STOCK</stp>
        <stp>62260.T</stp>
        <stp>前日比率</stp>
        <tr r="F679" s="7"/>
      </tp>
      <tp>
        <v>0.77</v>
        <stp/>
        <stp>Market</stp>
        <stp>STOCK</stp>
        <stp>72290.T</stp>
        <stp>前日比率</stp>
        <tr r="F853" s="7"/>
      </tp>
      <tp>
        <v>0.28000000000000003</v>
        <stp/>
        <stp>Market</stp>
        <stp>STOCK</stp>
        <stp>82300.T</stp>
        <stp>前日比率</stp>
        <tr r="F994" s="7"/>
      </tp>
      <tp>
        <v>0.19</v>
        <stp/>
        <stp>Market</stp>
        <stp>STOCK</stp>
        <stp>62330.T</stp>
        <stp>前日比率</stp>
        <tr r="F680" s="7"/>
      </tp>
      <tp t="s">
        <v>表示銘柄数超過</v>
        <stp/>
        <stp>Market</stp>
        <stp>STOCK</stp>
        <stp>32320.T</stp>
        <stp>前日比率</stp>
        <tr r="F258" s="7"/>
      </tp>
      <tp>
        <v>2.14</v>
        <stp/>
        <stp>Market</stp>
        <stp>STOCK</stp>
        <stp>72350.T</stp>
        <stp>前日比率</stp>
        <tr r="F854" s="7"/>
      </tp>
      <tp t="s">
        <v>表示銘柄数超過</v>
        <stp/>
        <stp>Market</stp>
        <stp>STOCK</stp>
        <stp>22350.T</stp>
        <stp>前日比率</stp>
        <tr r="F105" s="7"/>
      </tp>
      <tp>
        <v>2.98</v>
        <stp/>
        <stp>Market</stp>
        <stp>STOCK</stp>
        <stp>82370.T</stp>
        <stp>前日比率</stp>
        <tr r="F995" s="7"/>
      </tp>
      <tp t="s">
        <v>表示銘柄数超過</v>
        <stp/>
        <stp>Market</stp>
        <stp>STOCK</stp>
        <stp>42370.T</stp>
        <stp>前日比率</stp>
        <tr r="F427" s="7"/>
      </tp>
      <tp t="s">
        <v>表示銘柄数超過</v>
        <stp/>
        <stp>Market</stp>
        <stp>STOCK</stp>
        <stp>32370.T</stp>
        <stp>前日比率</stp>
        <tr r="F260" s="7"/>
      </tp>
      <tp>
        <v>2.17</v>
        <stp/>
        <stp>Market</stp>
        <stp>STOCK</stp>
        <stp>72360.T</stp>
        <stp>前日比率</stp>
        <tr r="F855" s="7"/>
      </tp>
      <tp t="s">
        <v>表示銘柄数超過</v>
        <stp/>
        <stp>Market</stp>
        <stp>STOCK</stp>
        <stp>32360.T</stp>
        <stp>前日比率</stp>
        <tr r="F259" s="7"/>
      </tp>
      <tp t="s">
        <v>表示銘柄数超過</v>
        <stp/>
        <stp>Market</stp>
        <stp>STOCK</stp>
        <stp>22360.T</stp>
        <stp>前日比率</stp>
        <tr r="F106" s="7"/>
      </tp>
      <tp>
        <v>0.88</v>
        <stp/>
        <stp>Market</stp>
        <stp>STOCK</stp>
        <stp>72380.T</stp>
        <stp>前日比率</stp>
        <tr r="F856" s="7"/>
      </tp>
      <tp t="s">
        <v>表示銘柄数超過</v>
        <stp/>
        <stp>Market</stp>
        <stp>STOCK</stp>
        <stp>42380.T</stp>
        <stp>前日比率</stp>
        <tr r="F428" s="7"/>
      </tp>
      <tp t="s">
        <v>表示銘柄数超過</v>
        <stp/>
        <stp>Market</stp>
        <stp>STOCK</stp>
        <stp>32380.T</stp>
        <stp>前日比率</stp>
        <tr r="F261" s="7"/>
      </tp>
      <tp>
        <v>2.83</v>
        <stp/>
        <stp>Market</stp>
        <stp>STOCK</stp>
        <stp>72010.T</stp>
        <stp>前日比率</stp>
        <tr r="F844" s="7"/>
      </tp>
      <tp t="s">
        <v>表示銘柄数超過</v>
        <stp/>
        <stp>Market</stp>
        <stp>STOCK</stp>
        <stp>42000.T</stp>
        <stp>前日比率</stp>
        <tr r="F425" s="7"/>
      </tp>
      <tp>
        <v>0.64</v>
        <stp/>
        <stp>Market</stp>
        <stp>STOCK</stp>
        <stp>82030.T</stp>
        <stp>前日比率</stp>
        <tr r="F991" s="7"/>
      </tp>
      <tp>
        <v>3.99</v>
        <stp/>
        <stp>Market</stp>
        <stp>STOCK</stp>
        <stp>72030.T</stp>
        <stp>前日比率</stp>
        <tr r="F846" s="7"/>
      </tp>
      <tp>
        <v>-0.13</v>
        <stp/>
        <stp>Market</stp>
        <stp>STOCK</stp>
        <stp>62030.T</stp>
        <stp>前日比率</stp>
        <tr r="F677" s="7"/>
      </tp>
      <tp>
        <v>-0.82</v>
        <stp/>
        <stp>Market</stp>
        <stp>STOCK</stp>
        <stp>82020.T</stp>
        <stp>前日比率</stp>
        <tr r="F990" s="7"/>
      </tp>
      <tp>
        <v>1.44</v>
        <stp/>
        <stp>Market</stp>
        <stp>STOCK</stp>
        <stp>72020.T</stp>
        <stp>前日比率</stp>
        <tr r="F845" s="7"/>
      </tp>
      <tp t="s">
        <v>表示銘柄数超過</v>
        <stp/>
        <stp>Market</stp>
        <stp>STOCK</stp>
        <stp>42020.T</stp>
        <stp>前日比率</stp>
        <tr r="F426" s="7"/>
      </tp>
      <tp>
        <v>0.32</v>
        <stp/>
        <stp>Market</stp>
        <stp>STOCK</stp>
        <stp>72050.T</stp>
        <stp>前日比率</stp>
        <tr r="F847" s="7"/>
      </tp>
      <tp>
        <v>-0.71</v>
        <stp/>
        <stp>Market</stp>
        <stp>STOCK</stp>
        <stp>52040.T</stp>
        <stp>前日比率</stp>
        <tr r="F575" s="7"/>
      </tp>
      <tp>
        <v>0.63</v>
        <stp/>
        <stp>Market</stp>
        <stp>STOCK</stp>
        <stp>82070.T</stp>
        <stp>前日比率</stp>
        <tr r="F992" s="7"/>
      </tp>
      <tp t="s">
        <v>表示銘柄数超過</v>
        <stp/>
        <stp>Market</stp>
        <stp>STOCK</stp>
        <stp>22060.T</stp>
        <stp>前日比率</stp>
        <tr r="F103" s="7"/>
      </tp>
      <tp>
        <v>1.72</v>
        <stp/>
        <stp>Market</stp>
        <stp>STOCK</stp>
        <stp>72110.T</stp>
        <stp>前日比率</stp>
        <tr r="F848" s="7"/>
      </tp>
      <tp t="s">
        <v>表示銘柄数超過</v>
        <stp/>
        <stp>Market</stp>
        <stp>STOCK</stp>
        <stp>92130.T</stp>
        <stp>前日比率</stp>
        <tr r="F1099" s="7"/>
      </tp>
      <tp>
        <v>-2.19</v>
        <stp/>
        <stp>Market</stp>
        <stp>STOCK</stp>
        <stp>72130.T</stp>
        <stp>前日比率</stp>
        <tr r="F850" s="7"/>
      </tp>
      <tp>
        <v>3</v>
        <stp/>
        <stp>Market</stp>
        <stp>STOCK</stp>
        <stp>72120.T</stp>
        <stp>前日比率</stp>
        <tr r="F849" s="7"/>
      </tp>
      <tp>
        <v>0.24</v>
        <stp/>
        <stp>Market</stp>
        <stp>STOCK</stp>
        <stp>72140.T</stp>
        <stp>前日比率</stp>
        <tr r="F851" s="7"/>
      </tp>
      <tp>
        <v>-1.1499999999999999</v>
        <stp/>
        <stp>Market</stp>
        <stp>STOCK</stp>
        <stp>52160.T</stp>
        <stp>前日比率</stp>
        <tr r="F576" s="7"/>
      </tp>
      <tp t="s">
        <v>表示銘柄数超過</v>
        <stp/>
        <stp>Market</stp>
        <stp>STOCK</stp>
        <stp>22160.T</stp>
        <stp>前日比率</stp>
        <tr r="F104" s="7"/>
      </tp>
      <tp>
        <v>0.43</v>
        <stp/>
        <stp>Market</stp>
        <stp>STOCK</stp>
        <stp>62180.T</stp>
        <stp>前日比率</stp>
        <tr r="F678" s="7"/>
      </tp>
      <tp>
        <v>2.1800000000000002</v>
        <stp/>
        <stp>Market</stp>
        <stp>STOCK</stp>
        <stp>72610.T</stp>
        <stp>前日比率</stp>
        <tr r="F863" s="7"/>
      </tp>
      <tp t="s">
        <v>表示銘柄数超過</v>
        <stp/>
        <stp>Market</stp>
        <stp>STOCK</stp>
        <stp>32610.T</stp>
        <stp>前日比率</stp>
        <tr r="F265" s="7"/>
      </tp>
      <tp t="s">
        <v>表示銘柄数超過</v>
        <stp/>
        <stp>Market</stp>
        <stp>STOCK</stp>
        <stp>92630.T</stp>
        <stp>前日比率</stp>
        <tr r="F1104" s="7"/>
      </tp>
      <tp>
        <v>0.22</v>
        <stp/>
        <stp>Market</stp>
        <stp>STOCK</stp>
        <stp>52620.T</stp>
        <stp>前日比率</stp>
        <tr r="F581" s="7"/>
      </tp>
      <tp t="s">
        <v>表示銘柄数超過</v>
        <stp/>
        <stp>Market</stp>
        <stp>STOCK</stp>
        <stp>42640.T</stp>
        <stp>前日比率</stp>
        <tr r="F433" s="7"/>
      </tp>
      <tp t="s">
        <v>表示銘柄数超過</v>
        <stp/>
        <stp>Market</stp>
        <stp>STOCK</stp>
        <stp>32640.T</stp>
        <stp>前日比率</stp>
        <tr r="F266" s="7"/>
      </tp>
      <tp>
        <v>1.04</v>
        <stp/>
        <stp>Market</stp>
        <stp>STOCK</stp>
        <stp>82670.T</stp>
        <stp>前日比率</stp>
        <tr r="F1001" s="7"/>
      </tp>
      <tp>
        <v>1.1499999999999999</v>
        <stp/>
        <stp>Market</stp>
        <stp>STOCK</stp>
        <stp>72670.T</stp>
        <stp>前日比率</stp>
        <tr r="F864" s="7"/>
      </tp>
      <tp t="s">
        <v>表示銘柄数超過</v>
        <stp/>
        <stp>Market</stp>
        <stp>STOCK</stp>
        <stp>32660.T</stp>
        <stp>前日比率</stp>
        <tr r="F267" s="7"/>
      </tp>
      <tp>
        <v>2.39</v>
        <stp/>
        <stp>Market</stp>
        <stp>STOCK</stp>
        <stp>72690.T</stp>
        <stp>前日比率</stp>
        <tr r="F866" s="7"/>
      </tp>
      <tp>
        <v>-2.87</v>
        <stp/>
        <stp>Market</stp>
        <stp>STOCK</stp>
        <stp>52690.T</stp>
        <stp>前日比率</stp>
        <tr r="F582" s="7"/>
      </tp>
      <tp>
        <v>1.1599999999999999</v>
        <stp/>
        <stp>Market</stp>
        <stp>STOCK</stp>
        <stp>72680.T</stp>
        <stp>前日比率</stp>
        <tr r="F865" s="7"/>
      </tp>
      <tp t="s">
        <v>表示銘柄数超過</v>
        <stp/>
        <stp>Market</stp>
        <stp>STOCK</stp>
        <stp>42680.T</stp>
        <stp>前日比率</stp>
        <tr r="F434" s="7"/>
      </tp>
      <tp t="s">
        <v>表示銘柄数超過</v>
        <stp/>
        <stp>Market</stp>
        <stp>STOCK</stp>
        <stp>32710.T</stp>
        <stp>前日比率</stp>
        <tr r="F268" s="7"/>
      </tp>
      <tp t="s">
        <v>表示銘柄数超過</v>
        <stp/>
        <stp>Market</stp>
        <stp>STOCK</stp>
        <stp>92700.T</stp>
        <stp>前日比率</stp>
        <tr r="F1105" s="7"/>
      </tp>
      <tp>
        <v>2.21</v>
        <stp/>
        <stp>Market</stp>
        <stp>STOCK</stp>
        <stp>72700.T</stp>
        <stp>前日比率</stp>
        <tr r="F867" s="7"/>
      </tp>
      <tp t="s">
        <v>表示銘柄数超過</v>
        <stp/>
        <stp>Market</stp>
        <stp>STOCK</stp>
        <stp>92720.T</stp>
        <stp>前日比率</stp>
        <tr r="F1106" s="7"/>
      </tp>
      <tp>
        <v>0.53</v>
        <stp/>
        <stp>Market</stp>
        <stp>STOCK</stp>
        <stp>72720.T</stp>
        <stp>前日比率</stp>
        <tr r="F868" s="7"/>
      </tp>
      <tp t="s">
        <v>表示銘柄数超過</v>
        <stp/>
        <stp>Market</stp>
        <stp>STOCK</stp>
        <stp>42750.T</stp>
        <stp>前日比率</stp>
        <tr r="F436" s="7"/>
      </tp>
      <tp t="s">
        <v>表示銘柄数超過</v>
        <stp/>
        <stp>Market</stp>
        <stp>STOCK</stp>
        <stp>92740.T</stp>
        <stp>前日比率</stp>
        <tr r="F1107" s="7"/>
      </tp>
      <tp t="s">
        <v>表示銘柄数超過</v>
        <stp/>
        <stp>Market</stp>
        <stp>STOCK</stp>
        <stp>42740.T</stp>
        <stp>前日比率</stp>
        <tr r="F435" s="7"/>
      </tp>
      <tp>
        <v>0</v>
        <stp/>
        <stp>Market</stp>
        <stp>STOCK</stp>
        <stp>52770.T</stp>
        <stp>前日比率</stp>
        <tr r="F583" s="7"/>
      </tp>
      <tp t="s">
        <v>表示銘柄数超過</v>
        <stp/>
        <stp>Market</stp>
        <stp>STOCK</stp>
        <stp>92780.T</stp>
        <stp>前日比率</stp>
        <tr r="F1108" s="7"/>
      </tp>
      <tp t="s">
        <v>表示銘柄数超過</v>
        <stp/>
        <stp>Market</stp>
        <stp>STOCK</stp>
        <stp>92410.T</stp>
        <stp>前日比率</stp>
        <tr r="F1100" s="7"/>
      </tp>
      <tp t="s">
        <v>表示銘柄数超過</v>
        <stp/>
        <stp>Market</stp>
        <stp>STOCK</stp>
        <stp>42410.T</stp>
        <stp>前日比率</stp>
        <tr r="F429" s="7"/>
      </tp>
      <tp t="s">
        <v>表示銘柄数超過</v>
        <stp/>
        <stp>Market</stp>
        <stp>STOCK</stp>
        <stp>32410.T</stp>
        <stp>前日比率</stp>
        <tr r="F262" s="7"/>
      </tp>
      <tp t="s">
        <v>表示銘柄数超過</v>
        <stp/>
        <stp>Market</stp>
        <stp>STOCK</stp>
        <stp>22410.T</stp>
        <stp>前日比率</stp>
        <tr r="F107" s="7"/>
      </tp>
      <tp>
        <v>-1.06</v>
        <stp/>
        <stp>Market</stp>
        <stp>STOCK</stp>
        <stp>72400.T</stp>
        <stp>前日比率</stp>
        <tr r="F857" s="7"/>
      </tp>
      <tp>
        <v>-0.55000000000000004</v>
        <stp/>
        <stp>Market</stp>
        <stp>STOCK</stp>
        <stp>62400.T</stp>
        <stp>前日比率</stp>
        <tr r="F681" s="7"/>
      </tp>
      <tp>
        <v>-2.06</v>
        <stp/>
        <stp>Market</stp>
        <stp>STOCK</stp>
        <stp>52430.T</stp>
        <stp>前日比率</stp>
        <tr r="F577" s="7"/>
      </tp>
      <tp t="s">
        <v>表示銘柄数超過</v>
        <stp/>
        <stp>Market</stp>
        <stp>STOCK</stp>
        <stp>42430.T</stp>
        <stp>前日比率</stp>
        <tr r="F430" s="7"/>
      </tp>
      <tp>
        <v>2.25</v>
        <stp/>
        <stp>Market</stp>
        <stp>STOCK</stp>
        <stp>82420.T</stp>
        <stp>前日比率</stp>
        <tr r="F996" s="7"/>
      </tp>
      <tp t="s">
        <v>表示銘柄数超過</v>
        <stp/>
        <stp>Market</stp>
        <stp>STOCK</stp>
        <stp>32420.T</stp>
        <stp>前日比率</stp>
        <tr r="F263" s="7"/>
      </tp>
      <tp t="s">
        <v>表示銘柄数超過</v>
        <stp/>
        <stp>Market</stp>
        <stp>STOCK</stp>
        <stp>22420.T</stp>
        <stp>前日比率</stp>
        <tr r="F108" s="7"/>
      </tp>
      <tp>
        <v>2.5099999999999998</v>
        <stp/>
        <stp>Market</stp>
        <stp>STOCK</stp>
        <stp>72450.T</stp>
        <stp>前日比率</stp>
        <tr r="F858" s="7"/>
      </tp>
      <tp>
        <v>-0.57999999999999996</v>
        <stp/>
        <stp>Market</stp>
        <stp>STOCK</stp>
        <stp>82440.T</stp>
        <stp>前日比率</stp>
        <tr r="F997" s="7"/>
      </tp>
      <tp>
        <v>-1.1599999999999999</v>
        <stp/>
        <stp>Market</stp>
        <stp>STOCK</stp>
        <stp>52440.T</stp>
        <stp>前日比率</stp>
        <tr r="F578" s="7"/>
      </tp>
      <tp t="s">
        <v>表示銘柄数超過</v>
        <stp/>
        <stp>Market</stp>
        <stp>STOCK</stp>
        <stp>32440.T</stp>
        <stp>前日比率</stp>
        <tr r="F264" s="7"/>
      </tp>
      <tp t="s">
        <v>表示銘柄数超過</v>
        <stp/>
        <stp>Market</stp>
        <stp>STOCK</stp>
        <stp>92470.T</stp>
        <stp>前日比率</stp>
        <tr r="F1101" s="7"/>
      </tp>
      <tp>
        <v>2.0299999999999998</v>
        <stp/>
        <stp>Market</stp>
        <stp>STOCK</stp>
        <stp>82470.T</stp>
        <stp>前日比率</stp>
        <tr r="F998" s="7"/>
      </tp>
      <tp>
        <v>2.04</v>
        <stp/>
        <stp>Market</stp>
        <stp>STOCK</stp>
        <stp>72470.T</stp>
        <stp>前日比率</stp>
        <tr r="F860" s="7"/>
      </tp>
      <tp>
        <v>1.97</v>
        <stp/>
        <stp>Market</stp>
        <stp>STOCK</stp>
        <stp>72460.T</stp>
        <stp>前日比率</stp>
        <tr r="F859" s="7"/>
      </tp>
      <tp>
        <v>18.21</v>
        <stp/>
        <stp>Market</stp>
        <stp>STOCK</stp>
        <stp>52460.T</stp>
        <stp>前日比率</stp>
        <tr r="F579" s="7"/>
      </tp>
      <tp t="s">
        <v>表示銘柄数超過</v>
        <stp/>
        <stp>Market</stp>
        <stp>STOCK</stp>
        <stp>92480.T</stp>
        <stp>前日比率</stp>
        <tr r="F1102" s="7"/>
      </tp>
      <tp t="s">
        <v>表示銘柄数超過</v>
        <stp/>
        <stp>Market</stp>
        <stp>STOCK</stp>
        <stp>22500.T</stp>
        <stp>前日比率</stp>
        <tr r="F109" s="7"/>
      </tp>
      <tp>
        <v>-3.04</v>
        <stp/>
        <stp>Market</stp>
        <stp>STOCK</stp>
        <stp>52530.T</stp>
        <stp>前日比率</stp>
        <tr r="F580" s="7"/>
      </tp>
      <tp t="s">
        <v>表示銘柄数超過</v>
        <stp/>
        <stp>Market</stp>
        <stp>STOCK</stp>
        <stp>22530.T</stp>
        <stp>前日比率</stp>
        <tr r="F110" s="7"/>
      </tp>
      <tp>
        <v>-2.5</v>
        <stp/>
        <stp>Market</stp>
        <stp>STOCK</stp>
        <stp>82520.T</stp>
        <stp>前日比率</stp>
        <tr r="F999" s="7"/>
      </tp>
      <tp>
        <v>-0.47</v>
        <stp/>
        <stp>Market</stp>
        <stp>STOCK</stp>
        <stp>62550.T</stp>
        <stp>前日比率</stp>
        <tr r="F682" s="7"/>
      </tp>
      <tp t="s">
        <v>表示銘柄数超過</v>
        <stp/>
        <stp>Market</stp>
        <stp>STOCK</stp>
        <stp>92540.T</stp>
        <stp>前日比率</stp>
        <tr r="F1103" s="7"/>
      </tp>
      <tp>
        <v>0.99</v>
        <stp/>
        <stp>Market</stp>
        <stp>STOCK</stp>
        <stp>72540.T</stp>
        <stp>前日比率</stp>
        <tr r="F861" s="7"/>
      </tp>
      <tp t="s">
        <v/>
        <stp/>
        <stp>Market</stp>
        <stp>STOCK</stp>
        <stp>82560.T</stp>
        <stp>前日比率</stp>
        <tr r="F1000" s="7"/>
      </tp>
      <tp>
        <v>1.62</v>
        <stp/>
        <stp>Market</stp>
        <stp>STOCK</stp>
        <stp>72560.T</stp>
        <stp>前日比率</stp>
        <tr r="F862" s="7"/>
      </tp>
      <tp t="s">
        <v>表示銘柄数超過</v>
        <stp/>
        <stp>Market</stp>
        <stp>STOCK</stp>
        <stp>42590.T</stp>
        <stp>前日比率</stp>
        <tr r="F432" s="7"/>
      </tp>
      <tp t="s">
        <v>表示銘柄数超過</v>
        <stp/>
        <stp>Market</stp>
        <stp>STOCK</stp>
        <stp>42580.T</stp>
        <stp>前日比率</stp>
        <tr r="F431" s="7"/>
      </tp>
      <tp>
        <v>-0.76</v>
        <stp/>
        <stp>Market</stp>
        <stp>STOCK</stp>
        <stp>63810.T</stp>
        <stp>前日比率</stp>
        <tr r="F696" s="7"/>
      </tp>
      <tp>
        <v>2.36</v>
        <stp/>
        <stp>Market</stp>
        <stp>STOCK</stp>
        <stp>53810.T</stp>
        <stp>前日比率</stp>
        <tr r="F589" s="7"/>
      </tp>
      <tp t="s">
        <v>表示銘柄数超過</v>
        <stp/>
        <stp>Market</stp>
        <stp>STOCK</stp>
        <stp>93800.T</stp>
        <stp>前日比率</stp>
        <tr r="F1112" s="7"/>
      </tp>
      <tp>
        <v>0</v>
        <stp/>
        <stp>Market</stp>
        <stp>STOCK</stp>
        <stp>83830.T</stp>
        <stp>前日比率</stp>
        <tr r="F1008" s="7"/>
      </tp>
      <tp>
        <v>-3.11</v>
        <stp/>
        <stp>Market</stp>
        <stp>STOCK</stp>
        <stp>73830.T</stp>
        <stp>前日比率</stp>
        <tr r="F884" s="7"/>
      </tp>
      <tp>
        <v>0.68</v>
        <stp/>
        <stp>Market</stp>
        <stp>STOCK</stp>
        <stp>63830.T</stp>
        <stp>前日比率</stp>
        <tr r="F697" s="7"/>
      </tp>
      <tp t="s">
        <v>表示銘柄数超過</v>
        <stp/>
        <stp>Market</stp>
        <stp>STOCK</stp>
        <stp>43820.T</stp>
        <stp>前日比率</stp>
        <tr r="F455" s="7"/>
      </tp>
      <tp t="s">
        <v>表示銘柄数超過</v>
        <stp/>
        <stp>Market</stp>
        <stp>STOCK</stp>
        <stp>33820.T</stp>
        <stp>前日比率</stp>
        <tr r="F290" s="7"/>
      </tp>
      <tp t="s">
        <v>表示銘柄数超過</v>
        <stp/>
        <stp>Market</stp>
        <stp>STOCK</stp>
        <stp>43850.T</stp>
        <stp>前日比率</stp>
        <tr r="F456" s="7"/>
      </tp>
      <tp>
        <v>-0.75</v>
        <stp/>
        <stp>Market</stp>
        <stp>STOCK</stp>
        <stp>73840.T</stp>
        <stp>前日比率</stp>
        <tr r="F885" s="7"/>
      </tp>
      <tp>
        <v>2.12</v>
        <stp/>
        <stp>Market</stp>
        <stp>STOCK</stp>
        <stp>83870.T</stp>
        <stp>前日比率</stp>
        <tr r="F1009" s="7"/>
      </tp>
      <tp t="s">
        <v>表示銘柄数超過</v>
        <stp/>
        <stp>Market</stp>
        <stp>STOCK</stp>
        <stp>33860.T</stp>
        <stp>前日比率</stp>
        <tr r="F291" s="7"/>
      </tp>
      <tp t="s">
        <v>表示銘柄数超過</v>
        <stp/>
        <stp>Market</stp>
        <stp>STOCK</stp>
        <stp>43880.T</stp>
        <stp>前日比率</stp>
        <tr r="F457" s="7"/>
      </tp>
      <tp t="s">
        <v>表示銘柄数超過</v>
        <stp/>
        <stp>Market</stp>
        <stp>STOCK</stp>
        <stp>33880.T</stp>
        <stp>前日比率</stp>
        <tr r="F292" s="7"/>
      </tp>
      <tp t="s">
        <v>表示銘柄数超過</v>
        <stp/>
        <stp>Market</stp>
        <stp>STOCK</stp>
        <stp>23880.T</stp>
        <stp>前日比率</stp>
        <tr r="F131" s="7"/>
      </tp>
      <tp>
        <v>7.0000000000000007E-2</v>
        <stp/>
        <stp>Market</stp>
        <stp>STOCK</stp>
        <stp>63900.T</stp>
        <stp>前日比率</stp>
        <tr r="F698" s="7"/>
      </tp>
      <tp t="s">
        <v>表示銘柄数超過</v>
        <stp/>
        <stp>Market</stp>
        <stp>STOCK</stp>
        <stp>33920.T</stp>
        <stp>前日比率</stp>
        <tr r="F293" s="7"/>
      </tp>
      <tp>
        <v>-0.17</v>
        <stp/>
        <stp>Market</stp>
        <stp>STOCK</stp>
        <stp>63950.T</stp>
        <stp>前日比率</stp>
        <tr r="F699" s="7"/>
      </tp>
      <tp t="s">
        <v>表示銘柄数超過</v>
        <stp/>
        <stp>Market</stp>
        <stp>STOCK</stp>
        <stp>43950.T</stp>
        <stp>前日比率</stp>
        <tr r="F458" s="7"/>
      </tp>
      <tp>
        <v>0</v>
        <stp/>
        <stp>Market</stp>
        <stp>STOCK</stp>
        <stp>93990.T</stp>
        <stp>前日比率</stp>
        <tr r="F1113" s="7"/>
      </tp>
      <tp t="s">
        <v>表示銘柄数超過</v>
        <stp/>
        <stp>Market</stp>
        <stp>STOCK</stp>
        <stp>13990.T</stp>
        <stp>前日比率</stp>
        <tr r="F16" s="7"/>
      </tp>
      <tp t="s">
        <v>表示銘柄数超過</v>
        <stp/>
        <stp>Market</stp>
        <stp>STOCK</stp>
        <stp>23210.T</stp>
        <stp>前日比率</stp>
        <tr r="F115" s="7"/>
      </tp>
      <tp t="s">
        <v>表示銘柄数超過</v>
        <stp/>
        <stp>Market</stp>
        <stp>STOCK</stp>
        <stp>33230.T</stp>
        <stp>前日比率</stp>
        <tr r="F278" s="7"/>
      </tp>
      <tp t="s">
        <v>表示銘柄数超過</v>
        <stp/>
        <stp>Market</stp>
        <stp>STOCK</stp>
        <stp>23230.T</stp>
        <stp>前日比率</stp>
        <tr r="F116" s="7"/>
      </tp>
      <tp t="s">
        <v>表示銘柄数超過</v>
        <stp/>
        <stp>Market</stp>
        <stp>STOCK</stp>
        <stp>93250.T</stp>
        <stp>前日比率</stp>
        <tr r="F1110" s="7"/>
      </tp>
      <tp t="s">
        <v>表示銘柄数超過</v>
        <stp/>
        <stp>Market</stp>
        <stp>STOCK</stp>
        <stp>13250.T</stp>
        <stp>前日比率</stp>
        <tr r="F7" s="7"/>
      </tp>
      <tp t="s">
        <v>表示銘柄数超過</v>
        <stp/>
        <stp>Market</stp>
        <stp>STOCK</stp>
        <stp>43240.T</stp>
        <stp>前日比率</stp>
        <tr r="F443" s="7"/>
      </tp>
      <tp t="s">
        <v>表示銘柄数超過</v>
        <stp/>
        <stp>Market</stp>
        <stp>STOCK</stp>
        <stp>33260.T</stp>
        <stp>前日比率</stp>
        <tr r="F279" s="7"/>
      </tp>
      <tp t="s">
        <v>表示銘柄数超過</v>
        <stp/>
        <stp>Market</stp>
        <stp>STOCK</stp>
        <stp>33280.T</stp>
        <stp>前日比率</stp>
        <tr r="F280" s="7"/>
      </tp>
      <tp>
        <v>-1.22</v>
        <stp/>
        <stp>Market</stp>
        <stp>STOCK</stp>
        <stp>83310.T</stp>
        <stp>前日比率</stp>
        <tr r="F1004" s="7"/>
      </tp>
      <tp>
        <v>1.76</v>
        <stp/>
        <stp>Market</stp>
        <stp>STOCK</stp>
        <stp>63300.T</stp>
        <stp>前日比率</stp>
        <tr r="F688" s="7"/>
      </tp>
      <tp t="s">
        <v>表示銘柄数超過</v>
        <stp/>
        <stp>Market</stp>
        <stp>STOCK</stp>
        <stp>23300.T</stp>
        <stp>前日比率</stp>
        <tr r="F117" s="7"/>
      </tp>
      <tp t="s">
        <v>表示銘柄数超過</v>
        <stp/>
        <stp>Market</stp>
        <stp>STOCK</stp>
        <stp>33330.T</stp>
        <stp>前日比率</stp>
        <tr r="F281" s="7"/>
      </tp>
      <tp t="s">
        <v>表示銘柄数超過</v>
        <stp/>
        <stp>Market</stp>
        <stp>STOCK</stp>
        <stp>13330.T</stp>
        <stp>前日比率</stp>
        <tr r="F9" s="7"/>
      </tp>
      <tp t="s">
        <v>表示銘柄数超過</v>
        <stp/>
        <stp>Market</stp>
        <stp>STOCK</stp>
        <stp>13320.T</stp>
        <stp>前日比率</stp>
        <tr r="F8" s="7"/>
      </tp>
      <tp>
        <v>-2.44</v>
        <stp/>
        <stp>Market</stp>
        <stp>STOCK</stp>
        <stp>63340.T</stp>
        <stp>前日比率</stp>
        <tr r="F689" s="7"/>
      </tp>
      <tp>
        <v>3.86</v>
        <stp/>
        <stp>Market</stp>
        <stp>STOCK</stp>
        <stp>53340.T</stp>
        <stp>前日比率</stp>
        <tr r="F586" s="7"/>
      </tp>
      <tp>
        <v>-0.23</v>
        <stp/>
        <stp>Market</stp>
        <stp>STOCK</stp>
        <stp>83370.T</stp>
        <stp>前日比率</stp>
        <tr r="F1005" s="7"/>
      </tp>
      <tp>
        <v>0</v>
        <stp/>
        <stp>Market</stp>
        <stp>STOCK</stp>
        <stp>73370.T</stp>
        <stp>前日比率</stp>
        <tr r="F875" s="7"/>
      </tp>
      <tp t="s">
        <v>表示銘柄数超過</v>
        <stp/>
        <stp>Market</stp>
        <stp>STOCK</stp>
        <stp>43370.T</stp>
        <stp>前日比率</stp>
        <tr r="F444" s="7"/>
      </tp>
      <tp t="s">
        <v>表示銘柄数超過</v>
        <stp/>
        <stp>Market</stp>
        <stp>STOCK</stp>
        <stp>23370.T</stp>
        <stp>前日比率</stp>
        <tr r="F118" s="7"/>
      </tp>
      <tp>
        <v>-0.28999999999999998</v>
        <stp/>
        <stp>Market</stp>
        <stp>STOCK</stp>
        <stp>63360.T</stp>
        <stp>前日比率</stp>
        <tr r="F690" s="7"/>
      </tp>
      <tp>
        <v>-0.09</v>
        <stp/>
        <stp>Market</stp>
        <stp>STOCK</stp>
        <stp>63010.T</stp>
        <stp>前日比率</stp>
        <tr r="F686" s="7"/>
      </tp>
      <tp t="s">
        <v>表示銘柄数超過</v>
        <stp/>
        <stp>Market</stp>
        <stp>STOCK</stp>
        <stp>33000.T</stp>
        <stp>前日比率</stp>
        <tr r="F275" s="7"/>
      </tp>
      <tp>
        <v>0.38</v>
        <stp/>
        <stp>Market</stp>
        <stp>STOCK</stp>
        <stp>63050.T</stp>
        <stp>前日比率</stp>
        <tr r="F687" s="7"/>
      </tp>
      <tp t="s">
        <v>表示銘柄数超過</v>
        <stp/>
        <stp>Market</stp>
        <stp>STOCK</stp>
        <stp>23050.T</stp>
        <stp>前日比率</stp>
        <tr r="F112" s="7"/>
      </tp>
      <tp t="s">
        <v>表示銘柄数超過</v>
        <stp/>
        <stp>Market</stp>
        <stp>STOCK</stp>
        <stp>13050.T</stp>
        <stp>前日比率</stp>
        <tr r="F2" s="7"/>
      </tp>
      <tp t="s">
        <v>表示銘柄数超過</v>
        <stp/>
        <stp>Market</stp>
        <stp>STOCK</stp>
        <stp>43040.T</stp>
        <stp>前日比率</stp>
        <tr r="F440" s="7"/>
      </tp>
      <tp t="s">
        <v>表示銘柄数超過</v>
        <stp/>
        <stp>Market</stp>
        <stp>STOCK</stp>
        <stp>23040.T</stp>
        <stp>前日比率</stp>
        <tr r="F111" s="7"/>
      </tp>
      <tp t="s">
        <v>表示銘柄数超過</v>
        <stp/>
        <stp>Market</stp>
        <stp>STOCK</stp>
        <stp>93070.T</stp>
        <stp>前日比率</stp>
        <tr r="F1109" s="7"/>
      </tp>
      <tp t="s">
        <v>表示銘柄数超過</v>
        <stp/>
        <stp>Market</stp>
        <stp>STOCK</stp>
        <stp>13060.T</stp>
        <stp>前日比率</stp>
        <tr r="F3" s="7"/>
      </tp>
      <tp t="s">
        <v>表示銘柄数超過</v>
        <stp/>
        <stp>Market</stp>
        <stp>STOCK</stp>
        <stp>43080.T</stp>
        <stp>前日比率</stp>
        <tr r="F441" s="7"/>
      </tp>
      <tp t="s">
        <v>表示銘柄数超過</v>
        <stp/>
        <stp>Market</stp>
        <stp>STOCK</stp>
        <stp>13080.T</stp>
        <stp>前日比率</stp>
        <tr r="F4" s="7"/>
      </tp>
      <tp t="s">
        <v>表示銘柄数超過</v>
        <stp/>
        <stp>Market</stp>
        <stp>STOCK</stp>
        <stp>13110.T</stp>
        <stp>前日比率</stp>
        <tr r="F5" s="7"/>
      </tp>
      <tp t="s">
        <v>表示銘柄数超過</v>
        <stp/>
        <stp>Market</stp>
        <stp>STOCK</stp>
        <stp>33150.T</stp>
        <stp>前日比率</stp>
        <tr r="F276" s="7"/>
      </tp>
      <tp>
        <v>-2.27</v>
        <stp/>
        <stp>Market</stp>
        <stp>STOCK</stp>
        <stp>23150.T</stp>
        <stp>前日比率</stp>
        <tr r="F113" s="7"/>
      </tp>
      <tp>
        <v>-2.09</v>
        <stp/>
        <stp>Market</stp>
        <stp>STOCK</stp>
        <stp>73170.T</stp>
        <stp>前日比率</stp>
        <tr r="F874" s="7"/>
      </tp>
      <tp t="s">
        <v>表示銘柄数超過</v>
        <stp/>
        <stp>Market</stp>
        <stp>STOCK</stp>
        <stp>23170.T</stp>
        <stp>前日比率</stp>
        <tr r="F114" s="7"/>
      </tp>
      <tp>
        <v>0.75</v>
        <stp/>
        <stp>Market</stp>
        <stp>STOCK</stp>
        <stp>83160.T</stp>
        <stp>前日比率</stp>
        <tr r="F1003" s="7"/>
      </tp>
      <tp t="s">
        <v>表示銘柄数超過</v>
        <stp/>
        <stp>Market</stp>
        <stp>STOCK</stp>
        <stp>43160.T</stp>
        <stp>前日比率</stp>
        <tr r="F442" s="7"/>
      </tp>
      <tp t="s">
        <v>表示銘柄数超過</v>
        <stp/>
        <stp>Market</stp>
        <stp>STOCK</stp>
        <stp>33160.T</stp>
        <stp>前日比率</stp>
        <tr r="F277" s="7"/>
      </tp>
      <tp t="s">
        <v>表示銘柄数超過</v>
        <stp/>
        <stp>Market</stp>
        <stp>STOCK</stp>
        <stp>13190.T</stp>
        <stp>前日比率</stp>
        <tr r="F6" s="7"/>
      </tp>
      <tp t="s">
        <v>表示銘柄数超過</v>
        <stp/>
        <stp>Market</stp>
        <stp>STOCK</stp>
        <stp>93610.T</stp>
        <stp>前日比率</stp>
        <tr r="F1111" s="7"/>
      </tp>
      <tp t="s">
        <v>表示銘柄数超過</v>
        <stp/>
        <stp>Market</stp>
        <stp>STOCK</stp>
        <stp>13600.T</stp>
        <stp>前日比率</stp>
        <tr r="F13" s="7"/>
      </tp>
      <tp>
        <v>-2.7</v>
        <stp/>
        <stp>Market</stp>
        <stp>STOCK</stp>
        <stp>63640.T</stp>
        <stp>前日比率</stp>
        <tr r="F694" s="7"/>
      </tp>
      <tp>
        <v>-1.66</v>
        <stp/>
        <stp>Market</stp>
        <stp>STOCK</stp>
        <stp>63660.T</stp>
        <stp>前日比率</stp>
        <tr r="F695" s="7"/>
      </tp>
      <tp t="s">
        <v>表示銘柄数超過</v>
        <stp/>
        <stp>Market</stp>
        <stp>STOCK</stp>
        <stp>13660.T</stp>
        <stp>前日比率</stp>
        <tr r="F14" s="7"/>
      </tp>
      <tp t="s">
        <v>表示銘柄数超過</v>
        <stp/>
        <stp>Market</stp>
        <stp>STOCK</stp>
        <stp>13680.T</stp>
        <stp>前日比率</stp>
        <tr r="F15" s="7"/>
      </tp>
      <tp>
        <v>-1.36</v>
        <stp/>
        <stp>Market</stp>
        <stp>STOCK</stp>
        <stp>73710.T</stp>
        <stp>前日比率</stp>
        <tr r="F882" s="7"/>
      </tp>
      <tp>
        <v>-1.17</v>
        <stp/>
        <stp>Market</stp>
        <stp>STOCK</stp>
        <stp>73700.T</stp>
        <stp>前日比率</stp>
        <tr r="F881" s="7"/>
      </tp>
      <tp t="s">
        <v>表示銘柄数超過</v>
        <stp/>
        <stp>Market</stp>
        <stp>STOCK</stp>
        <stp>43700.T</stp>
        <stp>前日比率</stp>
        <tr r="F449" s="7"/>
      </tp>
      <tp t="s">
        <v>表示銘柄数超過</v>
        <stp/>
        <stp>Market</stp>
        <stp>STOCK</stp>
        <stp>33700.T</stp>
        <stp>前日比率</stp>
        <tr r="F287" s="7"/>
      </tp>
      <tp t="s">
        <v>表示銘柄数超過</v>
        <stp/>
        <stp>Market</stp>
        <stp>STOCK</stp>
        <stp>23700.T</stp>
        <stp>前日比率</stp>
        <tr r="F126" s="7"/>
      </tp>
      <tp t="s">
        <v>表示銘柄数超過</v>
        <stp/>
        <stp>Market</stp>
        <stp>STOCK</stp>
        <stp>43730.T</stp>
        <stp>前日比率</stp>
        <tr r="F450" s="7"/>
      </tp>
      <tp t="s">
        <v>表示銘柄数超過</v>
        <stp/>
        <stp>Market</stp>
        <stp>STOCK</stp>
        <stp>23730.T</stp>
        <stp>前日比率</stp>
        <tr r="F127" s="7"/>
      </tp>
      <tp t="s">
        <v>表示銘柄数超過</v>
        <stp/>
        <stp>Market</stp>
        <stp>STOCK</stp>
        <stp>33720.T</stp>
        <stp>前日比率</stp>
        <tr r="F288" s="7"/>
      </tp>
      <tp t="s">
        <v>表示銘柄数超過</v>
        <stp/>
        <stp>Market</stp>
        <stp>STOCK</stp>
        <stp>23750.T</stp>
        <stp>前日比率</stp>
        <tr r="F128" s="7"/>
      </tp>
      <tp t="s">
        <v>表示銘柄数超過</v>
        <stp/>
        <stp>Market</stp>
        <stp>STOCK</stp>
        <stp>43740.T</stp>
        <stp>前日比率</stp>
        <tr r="F451" s="7"/>
      </tp>
      <tp>
        <v>1.21</v>
        <stp/>
        <stp>Market</stp>
        <stp>STOCK</stp>
        <stp>83770.T</stp>
        <stp>前日比率</stp>
        <tr r="F1007" s="7"/>
      </tp>
      <tp t="s">
        <v>表示銘柄数超過</v>
        <stp/>
        <stp>Market</stp>
        <stp>STOCK</stp>
        <stp>33770.T</stp>
        <stp>前日比率</stp>
        <tr r="F289" s="7"/>
      </tp>
      <tp t="s">
        <v>表示銘柄数超過</v>
        <stp/>
        <stp>Market</stp>
        <stp>STOCK</stp>
        <stp>43760.T</stp>
        <stp>前日比率</stp>
        <tr r="F452" s="7"/>
      </tp>
      <tp t="s">
        <v>表示銘柄数超過</v>
        <stp/>
        <stp>Market</stp>
        <stp>STOCK</stp>
        <stp>23760.T</stp>
        <stp>前日比率</stp>
        <tr r="F129" s="7"/>
      </tp>
      <tp>
        <v>-5.51</v>
        <stp/>
        <stp>Market</stp>
        <stp>STOCK</stp>
        <stp>73790.T</stp>
        <stp>前日比率</stp>
        <tr r="F883" s="7"/>
      </tp>
      <tp t="s">
        <v>表示銘柄数超過</v>
        <stp/>
        <stp>Market</stp>
        <stp>STOCK</stp>
        <stp>43790.T</stp>
        <stp>前日比率</stp>
        <tr r="F454" s="7"/>
      </tp>
      <tp t="s">
        <v>表示銘柄数超過</v>
        <stp/>
        <stp>Market</stp>
        <stp>STOCK</stp>
        <stp>43780.T</stp>
        <stp>前日比率</stp>
        <tr r="F453" s="7"/>
      </tp>
      <tp t="s">
        <v>表示銘柄数超過</v>
        <stp/>
        <stp>Market</stp>
        <stp>STOCK</stp>
        <stp>23780.T</stp>
        <stp>前日比率</stp>
        <tr r="F130" s="7"/>
      </tp>
      <tp>
        <v>-2.0499999999999998</v>
        <stp/>
        <stp>Market</stp>
        <stp>STOCK</stp>
        <stp>53410.T</stp>
        <stp>前日比率</stp>
        <tr r="F587" s="7"/>
      </tp>
      <tp t="s">
        <v>表示銘柄数超過</v>
        <stp/>
        <stp>Market</stp>
        <stp>STOCK</stp>
        <stp>33410.T</stp>
        <stp>前日比率</stp>
        <tr r="F282" s="7"/>
      </tp>
      <tp t="s">
        <v>表示銘柄数超過</v>
        <stp/>
        <stp>Market</stp>
        <stp>STOCK</stp>
        <stp>23410.T</stp>
        <stp>前日比率</stp>
        <tr r="F120" s="7"/>
      </tp>
      <tp t="s">
        <v>表示銘柄数超過</v>
        <stp/>
        <stp>Market</stp>
        <stp>STOCK</stp>
        <stp>23400.T</stp>
        <stp>前日比率</stp>
        <tr r="F119" s="7"/>
      </tp>
      <tp>
        <v>0.96</v>
        <stp/>
        <stp>Market</stp>
        <stp>STOCK</stp>
        <stp>63430.T</stp>
        <stp>前日比率</stp>
        <tr r="F691" s="7"/>
      </tp>
      <tp t="s">
        <v>表示銘柄数超過</v>
        <stp/>
        <stp>Market</stp>
        <stp>STOCK</stp>
        <stp>43430.T</stp>
        <stp>前日比率</stp>
        <tr r="F445" s="7"/>
      </tp>
      <tp>
        <v>0.24</v>
        <stp/>
        <stp>Market</stp>
        <stp>STOCK</stp>
        <stp>73420.T</stp>
        <stp>前日比率</stp>
        <tr r="F876" s="7"/>
      </tp>
      <tp t="s">
        <v>表示銘柄数超過</v>
        <stp/>
        <stp>Market</stp>
        <stp>STOCK</stp>
        <stp>23450.T</stp>
        <stp>前日比率</stp>
        <tr r="F122" s="7"/>
      </tp>
      <tp t="s">
        <v>表示銘柄数超過</v>
        <stp/>
        <stp>Market</stp>
        <stp>STOCK</stp>
        <stp>13450.T</stp>
        <stp>前日比率</stp>
        <tr r="F10" s="7"/>
      </tp>
      <tp t="s">
        <v>表示銘柄数超過</v>
        <stp/>
        <stp>Market</stp>
        <stp>STOCK</stp>
        <stp>23440.T</stp>
        <stp>前日比率</stp>
        <tr r="F121" s="7"/>
      </tp>
      <tp>
        <v>0</v>
        <stp/>
        <stp>Market</stp>
        <stp>STOCK</stp>
        <stp>63470.T</stp>
        <stp>前日比率</stp>
        <tr r="F692" s="7"/>
      </tp>
      <tp t="s">
        <v>表示銘柄数超過</v>
        <stp/>
        <stp>Market</stp>
        <stp>STOCK</stp>
        <stp>43460.T</stp>
        <stp>前日比率</stp>
        <tr r="F446" s="7"/>
      </tp>
      <tp>
        <v>-1.55</v>
        <stp/>
        <stp>Market</stp>
        <stp>STOCK</stp>
        <stp>73510.T</stp>
        <stp>前日比率</stp>
        <tr r="F878" s="7"/>
      </tp>
      <tp t="s">
        <v>表示銘柄数超過</v>
        <stp/>
        <stp>Market</stp>
        <stp>STOCK</stp>
        <stp>23510.T</stp>
        <stp>前日比率</stp>
        <tr r="F123" s="7"/>
      </tp>
      <tp>
        <v>0.12</v>
        <stp/>
        <stp>Market</stp>
        <stp>STOCK</stp>
        <stp>73500.T</stp>
        <stp>前日比率</stp>
        <tr r="F877" s="7"/>
      </tp>
      <tp t="s">
        <v>表示銘柄数超過</v>
        <stp/>
        <stp>Market</stp>
        <stp>STOCK</stp>
        <stp>43500.T</stp>
        <stp>前日比率</stp>
        <tr r="F447" s="7"/>
      </tp>
      <tp t="s">
        <v>表示銘柄数超過</v>
        <stp/>
        <stp>Market</stp>
        <stp>STOCK</stp>
        <stp>33500.T</stp>
        <stp>前日比率</stp>
        <tr r="F283" s="7"/>
      </tp>
      <tp>
        <v>0.22</v>
        <stp/>
        <stp>Market</stp>
        <stp>STOCK</stp>
        <stp>73530.T</stp>
        <stp>前日比率</stp>
        <tr r="F879" s="7"/>
      </tp>
      <tp t="s">
        <v>表示銘柄数超過</v>
        <stp/>
        <stp>Market</stp>
        <stp>STOCK</stp>
        <stp>23530.T</stp>
        <stp>前日比率</stp>
        <tr r="F124" s="7"/>
      </tp>
      <tp t="s">
        <v>表示銘柄数超過</v>
        <stp/>
        <stp>Market</stp>
        <stp>STOCK</stp>
        <stp>43550.T</stp>
        <stp>前日比率</stp>
        <tr r="F448" s="7"/>
      </tp>
      <tp t="s">
        <v>表示銘柄数超過</v>
        <stp/>
        <stp>Market</stp>
        <stp>STOCK</stp>
        <stp>33550.T</stp>
        <stp>前日比率</stp>
        <tr r="F284" s="7"/>
      </tp>
      <tp t="s">
        <v>表示銘柄数超過</v>
        <stp/>
        <stp>Market</stp>
        <stp>STOCK</stp>
        <stp>23540.T</stp>
        <stp>前日比率</stp>
        <tr r="F125" s="7"/>
      </tp>
      <tp>
        <v>0.62</v>
        <stp/>
        <stp>Market</stp>
        <stp>STOCK</stp>
        <stp>53570.T</stp>
        <stp>前日比率</stp>
        <tr r="F588" s="7"/>
      </tp>
      <tp>
        <v>0</v>
        <stp/>
        <stp>Market</stp>
        <stp>STOCK</stp>
        <stp>13570.T</stp>
        <stp>前日比率</stp>
        <tr r="F12" s="7"/>
      </tp>
      <tp>
        <v>0</v>
        <stp/>
        <stp>Market</stp>
        <stp>STOCK</stp>
        <stp>63560.T</stp>
        <stp>前日比率</stp>
        <tr r="F693" s="7"/>
      </tp>
      <tp t="s">
        <v>表示銘柄数超過</v>
        <stp/>
        <stp>Market</stp>
        <stp>STOCK</stp>
        <stp>13560.T</stp>
        <stp>前日比率</stp>
        <tr r="F11" s="7"/>
      </tp>
      <tp>
        <v>-3.13</v>
        <stp/>
        <stp>Market</stp>
        <stp>STOCK</stp>
        <stp>73590.T</stp>
        <stp>前日比率</stp>
        <tr r="F880" s="7"/>
      </tp>
      <tp t="s">
        <v>表示銘柄数超過</v>
        <stp/>
        <stp>Market</stp>
        <stp>STOCK</stp>
        <stp>33590.T</stp>
        <stp>前日比率</stp>
        <tr r="F286" s="7"/>
      </tp>
      <tp>
        <v>0.5</v>
        <stp/>
        <stp>Market</stp>
        <stp>STOCK</stp>
        <stp>83580.T</stp>
        <stp>前日比率</stp>
        <tr r="F1006" s="7"/>
      </tp>
      <tp t="s">
        <v>表示銘柄数超過</v>
        <stp/>
        <stp>Market</stp>
        <stp>STOCK</stp>
        <stp>33580.T</stp>
        <stp>前日比率</stp>
        <tr r="F285" s="7"/>
      </tp>
      <tp>
        <v>-1.39</v>
        <stp/>
        <stp>Market</stp>
        <stp>STOCK</stp>
        <stp>74810.T</stp>
        <stp>前日比率</stp>
        <tr r="F893" s="7"/>
      </tp>
      <tp>
        <v>0.51</v>
        <stp/>
        <stp>Market</stp>
        <stp>STOCK</stp>
        <stp>64800.T</stp>
        <stp>前日比率</stp>
        <tr r="F707" s="7"/>
      </tp>
      <tp t="s">
        <v>表示銘柄数超過</v>
        <stp/>
        <stp>Market</stp>
        <stp>STOCK</stp>
        <stp>24830.T</stp>
        <stp>前日比率</stp>
        <tr r="F151" s="7"/>
      </tp>
      <tp t="s">
        <v>表示銘柄数超過</v>
        <stp/>
        <stp>Market</stp>
        <stp>STOCK</stp>
        <stp>44840.T</stp>
        <stp>前日比率</stp>
        <tr r="F475" s="7"/>
      </tp>
      <tp t="s">
        <v>表示銘柄数超過</v>
        <stp/>
        <stp>Market</stp>
        <stp>STOCK</stp>
        <stp>24840.T</stp>
        <stp>前日比率</stp>
        <tr r="F152" s="7"/>
      </tp>
      <tp t="s">
        <v>表示銘柄数超過</v>
        <stp/>
        <stp>Market</stp>
        <stp>STOCK</stp>
        <stp>44870.T</stp>
        <stp>前日比率</stp>
        <tr r="F476" s="7"/>
      </tp>
      <tp>
        <v>0.09</v>
        <stp/>
        <stp>Market</stp>
        <stp>STOCK</stp>
        <stp>64890.T</stp>
        <stp>前日比率</stp>
        <tr r="F708" s="7"/>
      </tp>
      <tp t="s">
        <v>表示銘柄数超過</v>
        <stp/>
        <stp>Market</stp>
        <stp>STOCK</stp>
        <stp>24880.T</stp>
        <stp>前日比率</stp>
        <tr r="F153" s="7"/>
      </tp>
      <tp>
        <v>0.23</v>
        <stp/>
        <stp>Market</stp>
        <stp>STOCK</stp>
        <stp>54910.T</stp>
        <stp>前日比率</stp>
        <tr r="F598" s="7"/>
      </tp>
      <tp t="s">
        <v>表示銘柄数超過</v>
        <stp/>
        <stp>Market</stp>
        <stp>STOCK</stp>
        <stp>14910.T</stp>
        <stp>前日比率</stp>
        <tr r="F29" s="7"/>
      </tp>
      <tp>
        <v>1.62</v>
        <stp/>
        <stp>Market</stp>
        <stp>STOCK</stp>
        <stp>64930.T</stp>
        <stp>前日比率</stp>
        <tr r="F709" s="7"/>
      </tp>
      <tp t="s">
        <v>表示銘柄数超過</v>
        <stp/>
        <stp>Market</stp>
        <stp>STOCK</stp>
        <stp>44920.T</stp>
        <stp>前日比率</stp>
        <tr r="F477" s="7"/>
      </tp>
      <tp t="s">
        <v>表示銘柄数超過</v>
        <stp/>
        <stp>Market</stp>
        <stp>STOCK</stp>
        <stp>24920.T</stp>
        <stp>前日比率</stp>
        <tr r="F154" s="7"/>
      </tp>
      <tp>
        <v>0</v>
        <stp/>
        <stp>Market</stp>
        <stp>STOCK</stp>
        <stp>64950.T</stp>
        <stp>前日比率</stp>
        <tr r="F711" s="7"/>
      </tp>
      <tp t="s">
        <v>表示銘柄数超過</v>
        <stp/>
        <stp>Market</stp>
        <stp>STOCK</stp>
        <stp>44950.T</stp>
        <stp>前日比率</stp>
        <tr r="F478" s="7"/>
      </tp>
      <tp>
        <v>0.95</v>
        <stp/>
        <stp>Market</stp>
        <stp>STOCK</stp>
        <stp>74940.T</stp>
        <stp>前日比率</stp>
        <tr r="F894" s="7"/>
      </tp>
      <tp>
        <v>-1.04</v>
        <stp/>
        <stp>Market</stp>
        <stp>STOCK</stp>
        <stp>64940.T</stp>
        <stp>前日比率</stp>
        <tr r="F710" s="7"/>
      </tp>
      <tp t="s">
        <v>表示銘柄数超過</v>
        <stp/>
        <stp>Market</stp>
        <stp>STOCK</stp>
        <stp>24970.T</stp>
        <stp>前日比率</stp>
        <tr r="F155" s="7"/>
      </tp>
      <tp>
        <v>0.16</v>
        <stp/>
        <stp>Market</stp>
        <stp>STOCK</stp>
        <stp>64980.T</stp>
        <stp>前日比率</stp>
        <tr r="F712" s="7"/>
      </tp>
      <tp t="s">
        <v>表示銘柄数超過</v>
        <stp/>
        <stp>Market</stp>
        <stp>STOCK</stp>
        <stp>94210.T</stp>
        <stp>前日比率</stp>
        <tr r="F1123" s="7"/>
      </tp>
      <tp>
        <v>-0.9</v>
        <stp/>
        <stp>Market</stp>
        <stp>STOCK</stp>
        <stp>74200.T</stp>
        <stp>前日比率</stp>
        <tr r="F888" s="7"/>
      </tp>
      <tp t="s">
        <v>表示銘柄数超過</v>
        <stp/>
        <stp>Market</stp>
        <stp>STOCK</stp>
        <stp>94230.T</stp>
        <stp>前日比率</stp>
        <tr r="F1124" s="7"/>
      </tp>
      <tp>
        <v>0.69</v>
        <stp/>
        <stp>Market</stp>
        <stp>STOCK</stp>
        <stp>54230.T</stp>
        <stp>前日比率</stp>
        <tr r="F595" s="7"/>
      </tp>
      <tp t="s">
        <v>表示銘柄数超過</v>
        <stp/>
        <stp>Market</stp>
        <stp>STOCK</stp>
        <stp>34220.T</stp>
        <stp>前日比率</stp>
        <tr r="F297" s="7"/>
      </tp>
      <tp t="s">
        <v>表示銘柄数超過</v>
        <stp/>
        <stp>Market</stp>
        <stp>STOCK</stp>
        <stp>94250.T</stp>
        <stp>前日比率</stp>
        <tr r="F1126" s="7"/>
      </tp>
      <tp t="s">
        <v>表示銘柄数超過</v>
        <stp/>
        <stp>Market</stp>
        <stp>STOCK</stp>
        <stp>94240.T</stp>
        <stp>前日比率</stp>
        <tr r="F1125" s="7"/>
      </tp>
      <tp t="s">
        <v>表示銘柄数超過</v>
        <stp/>
        <stp>Market</stp>
        <stp>STOCK</stp>
        <stp>44270.T</stp>
        <stp>前日比率</stp>
        <tr r="F463" s="7"/>
      </tp>
      <tp t="s">
        <v>表示銘柄数超過</v>
        <stp/>
        <stp>Market</stp>
        <stp>STOCK</stp>
        <stp>24290.T</stp>
        <stp>前日比率</stp>
        <tr r="F139" s="7"/>
      </tp>
      <tp t="s">
        <v>表示銘柄数超過</v>
        <stp/>
        <stp>Market</stp>
        <stp>STOCK</stp>
        <stp>14300.T</stp>
        <stp>前日比率</stp>
        <tr r="F22" s="7"/>
      </tp>
      <tp t="s">
        <v>表示銘柄数超過</v>
        <stp/>
        <stp>Market</stp>
        <stp>STOCK</stp>
        <stp>94330.T</stp>
        <stp>前日比率</stp>
        <tr r="F1128" s="7"/>
      </tp>
      <tp>
        <v>4.62</v>
        <stp/>
        <stp>Market</stp>
        <stp>STOCK</stp>
        <stp>64330.T</stp>
        <stp>前日比率</stp>
        <tr r="F701" s="7"/>
      </tp>
      <tp t="s">
        <v>表示銘柄数超過</v>
        <stp/>
        <stp>Market</stp>
        <stp>STOCK</stp>
        <stp>34330.T</stp>
        <stp>前日比率</stp>
        <tr r="F298" s="7"/>
      </tp>
      <tp t="s">
        <v>表示銘柄数超過</v>
        <stp/>
        <stp>Market</stp>
        <stp>STOCK</stp>
        <stp>24330.T</stp>
        <stp>前日比率</stp>
        <tr r="F141" s="7"/>
      </tp>
      <tp>
        <v>0</v>
        <stp/>
        <stp>Market</stp>
        <stp>STOCK</stp>
        <stp>94320.T</stp>
        <stp>前日比率</stp>
        <tr r="F1127" s="7"/>
      </tp>
      <tp t="s">
        <v>表示銘柄数超過</v>
        <stp/>
        <stp>Market</stp>
        <stp>STOCK</stp>
        <stp>24320.T</stp>
        <stp>前日比率</stp>
        <tr r="F140" s="7"/>
      </tp>
      <tp t="s">
        <v>表示銘柄数超過</v>
        <stp/>
        <stp>Market</stp>
        <stp>STOCK</stp>
        <stp>24350.T</stp>
        <stp>前日比率</stp>
        <tr r="F142" s="7"/>
      </tp>
      <tp t="s">
        <v>表示銘柄数超過</v>
        <stp/>
        <stp>Market</stp>
        <stp>STOCK</stp>
        <stp>14350.T</stp>
        <stp>前日比率</stp>
        <tr r="F23" s="7"/>
      </tp>
      <tp>
        <v>-0.54</v>
        <stp/>
        <stp>Market</stp>
        <stp>STOCK</stp>
        <stp>94340.T</stp>
        <stp>前日比率</stp>
        <tr r="F1129" s="7"/>
      </tp>
      <tp t="s">
        <v>表示銘柄数超過</v>
        <stp/>
        <stp>Market</stp>
        <stp>STOCK</stp>
        <stp>24370.T</stp>
        <stp>前日比率</stp>
        <tr r="F143" s="7"/>
      </tp>
      <tp t="s">
        <v>表示銘柄数超過</v>
        <stp/>
        <stp>Market</stp>
        <stp>STOCK</stp>
        <stp>94360.T</stp>
        <stp>前日比率</stp>
        <tr r="F1130" s="7"/>
      </tp>
      <tp t="s">
        <v>表示銘柄数超過</v>
        <stp/>
        <stp>Market</stp>
        <stp>STOCK</stp>
        <stp>44360.T</stp>
        <stp>前日比率</stp>
        <tr r="F464" s="7"/>
      </tp>
      <tp t="s">
        <v>表示銘柄数超過</v>
        <stp/>
        <stp>Market</stp>
        <stp>STOCK</stp>
        <stp>34360.T</stp>
        <stp>前日比率</stp>
        <tr r="F299" s="7"/>
      </tp>
      <tp t="s">
        <v>表示銘柄数超過</v>
        <stp/>
        <stp>Market</stp>
        <stp>STOCK</stp>
        <stp>94390.T</stp>
        <stp>前日比率</stp>
        <tr r="F1131" s="7"/>
      </tp>
      <tp t="s">
        <v>表示銘柄数超過</v>
        <stp/>
        <stp>Market</stp>
        <stp>STOCK</stp>
        <stp>14390.T</stp>
        <stp>前日比率</stp>
        <tr r="F24" s="7"/>
      </tp>
      <tp t="s">
        <v>表示銘柄数超過</v>
        <stp/>
        <stp>Market</stp>
        <stp>STOCK</stp>
        <stp>44380.T</stp>
        <stp>前日比率</stp>
        <tr r="F465" s="7"/>
      </tp>
      <tp t="s">
        <v>表示銘柄数超過</v>
        <stp/>
        <stp>Market</stp>
        <stp>STOCK</stp>
        <stp>24380.T</stp>
        <stp>前日比率</stp>
        <tr r="F144" s="7"/>
      </tp>
      <tp t="s">
        <v>表示銘柄数超過</v>
        <stp/>
        <stp>Market</stp>
        <stp>STOCK</stp>
        <stp>94010.T</stp>
        <stp>前日比率</stp>
        <tr r="F1114" s="7"/>
      </tp>
      <tp>
        <v>1.42</v>
        <stp/>
        <stp>Market</stp>
        <stp>STOCK</stp>
        <stp>54010.T</stp>
        <stp>前日比率</stp>
        <tr r="F590" s="7"/>
      </tp>
      <tp t="s">
        <v>表示銘柄数超過</v>
        <stp/>
        <stp>Market</stp>
        <stp>STOCK</stp>
        <stp>34010.T</stp>
        <stp>前日比率</stp>
        <tr r="F294" s="7"/>
      </tp>
      <tp t="s">
        <v>表示銘柄数超過</v>
        <stp/>
        <stp>Market</stp>
        <stp>STOCK</stp>
        <stp>14010.T</stp>
        <stp>前日比率</stp>
        <tr r="F18" s="7"/>
      </tp>
      <tp t="s">
        <v>表示銘柄数超過</v>
        <stp/>
        <stp>Market</stp>
        <stp>STOCK</stp>
        <stp>14000.T</stp>
        <stp>前日比率</stp>
        <tr r="F17" s="7"/>
      </tp>
      <tp t="s">
        <v>表示銘柄数超過</v>
        <stp/>
        <stp>Market</stp>
        <stp>STOCK</stp>
        <stp>24020.T</stp>
        <stp>前日比率</stp>
        <tr r="F132" s="7"/>
      </tp>
      <tp t="s">
        <v>表示銘柄数超過</v>
        <stp/>
        <stp>Market</stp>
        <stp>STOCK</stp>
        <stp>94050.T</stp>
        <stp>前日比率</stp>
        <tr r="F1116" s="7"/>
      </tp>
      <tp t="s">
        <v>表示銘柄数超過</v>
        <stp/>
        <stp>Market</stp>
        <stp>STOCK</stp>
        <stp>94040.T</stp>
        <stp>前日比率</stp>
        <tr r="F1115" s="7"/>
      </tp>
      <tp t="s">
        <v>表示銘柄数超過</v>
        <stp/>
        <stp>Market</stp>
        <stp>STOCK</stp>
        <stp>24040.T</stp>
        <stp>前日比率</stp>
        <tr r="F133" s="7"/>
      </tp>
      <tp t="s">
        <v>表示銘柄数超過</v>
        <stp/>
        <stp>Market</stp>
        <stp>STOCK</stp>
        <stp>34070.T</stp>
        <stp>前日比率</stp>
        <tr r="F295" s="7"/>
      </tp>
      <tp t="s">
        <v>表示銘柄数超過</v>
        <stp/>
        <stp>Market</stp>
        <stp>STOCK</stp>
        <stp>14070.T</stp>
        <stp>前日比率</stp>
        <tr r="F19" s="7"/>
      </tp>
      <tp>
        <v>2.73</v>
        <stp/>
        <stp>Market</stp>
        <stp>STOCK</stp>
        <stp>54060.T</stp>
        <stp>前日比率</stp>
        <tr r="F591" s="7"/>
      </tp>
      <tp t="s">
        <v>表示銘柄数超過</v>
        <stp/>
        <stp>Market</stp>
        <stp>STOCK</stp>
        <stp>44060.T</stp>
        <stp>前日比率</stp>
        <tr r="F459" s="7"/>
      </tp>
      <tp t="s">
        <v>表示銘柄数超過</v>
        <stp/>
        <stp>Market</stp>
        <stp>STOCK</stp>
        <stp>94090.T</stp>
        <stp>前日比率</stp>
        <tr r="F1117" s="7"/>
      </tp>
      <tp t="s">
        <v>表示銘柄数超過</v>
        <stp/>
        <stp>Market</stp>
        <stp>STOCK</stp>
        <stp>34090.T</stp>
        <stp>前日比率</stp>
        <tr r="F296" s="7"/>
      </tp>
      <tp>
        <v>-1.17</v>
        <stp/>
        <stp>Market</stp>
        <stp>STOCK</stp>
        <stp>74080.T</stp>
        <stp>前日比率</stp>
        <tr r="F886" s="7"/>
      </tp>
      <tp>
        <v>6.92</v>
        <stp/>
        <stp>Market</stp>
        <stp>STOCK</stp>
        <stp>54080.T</stp>
        <stp>前日比率</stp>
        <tr r="F592" s="7"/>
      </tp>
      <tp t="s">
        <v>表示銘柄数超過</v>
        <stp/>
        <stp>Market</stp>
        <stp>STOCK</stp>
        <stp>24080.T</stp>
        <stp>前日比率</stp>
        <tr r="F134" s="7"/>
      </tp>
      <tp>
        <v>0.52</v>
        <stp/>
        <stp>Market</stp>
        <stp>STOCK</stp>
        <stp>54110.T</stp>
        <stp>前日比率</stp>
        <tr r="F594" s="7"/>
      </tp>
      <tp t="s">
        <v>表示銘柄数超過</v>
        <stp/>
        <stp>Market</stp>
        <stp>STOCK</stp>
        <stp>24110.T</stp>
        <stp>前日比率</stp>
        <tr r="F136" s="7"/>
      </tp>
      <tp>
        <v>0.73</v>
        <stp/>
        <stp>Market</stp>
        <stp>STOCK</stp>
        <stp>84100.T</stp>
        <stp>前日比率</stp>
        <tr r="F1010" s="7"/>
      </tp>
      <tp>
        <v>1.21</v>
        <stp/>
        <stp>Market</stp>
        <stp>STOCK</stp>
        <stp>54100.T</stp>
        <stp>前日比率</stp>
        <tr r="F593" s="7"/>
      </tp>
      <tp t="s">
        <v>表示銘柄数超過</v>
        <stp/>
        <stp>Market</stp>
        <stp>STOCK</stp>
        <stp>24100.T</stp>
        <stp>前日比率</stp>
        <tr r="F135" s="7"/>
      </tp>
      <tp t="s">
        <v>表示銘柄数超過</v>
        <stp/>
        <stp>Market</stp>
        <stp>STOCK</stp>
        <stp>94130.T</stp>
        <stp>前日比率</stp>
        <tr r="F1119" s="7"/>
      </tp>
      <tp t="s">
        <v>表示銘柄数超過</v>
        <stp/>
        <stp>Market</stp>
        <stp>STOCK</stp>
        <stp>94120.T</stp>
        <stp>前日比率</stp>
        <tr r="F1118" s="7"/>
      </tp>
      <tp t="s">
        <v>表示銘柄数超過</v>
        <stp/>
        <stp>Market</stp>
        <stp>STOCK</stp>
        <stp>24120.T</stp>
        <stp>前日比率</stp>
        <tr r="F137" s="7"/>
      </tp>
      <tp t="s">
        <v>表示銘柄数超過</v>
        <stp/>
        <stp>Market</stp>
        <stp>STOCK</stp>
        <stp>24150.T</stp>
        <stp>前日比率</stp>
        <tr r="F138" s="7"/>
      </tp>
      <tp t="s">
        <v>表示銘柄数超過</v>
        <stp/>
        <stp>Market</stp>
        <stp>STOCK</stp>
        <stp>94140.T</stp>
        <stp>前日比率</stp>
        <tr r="F1120" s="7"/>
      </tp>
      <tp t="s">
        <v>表示銘柄数超過</v>
        <stp/>
        <stp>Market</stp>
        <stp>STOCK</stp>
        <stp>44140.T</stp>
        <stp>前日比率</stp>
        <tr r="F460" s="7"/>
      </tp>
      <tp t="s">
        <v>表示銘柄数超過</v>
        <stp/>
        <stp>Market</stp>
        <stp>STOCK</stp>
        <stp>94170.T</stp>
        <stp>前日比率</stp>
        <tr r="F1121" s="7"/>
      </tp>
      <tp>
        <v>-1.06</v>
        <stp/>
        <stp>Market</stp>
        <stp>STOCK</stp>
        <stp>84160.T</stp>
        <stp>前日比率</stp>
        <tr r="F1011" s="7"/>
      </tp>
      <tp t="s">
        <v>表示銘柄数超過</v>
        <stp/>
        <stp>Market</stp>
        <stp>STOCK</stp>
        <stp>44160.T</stp>
        <stp>前日比率</stp>
        <tr r="F461" s="7"/>
      </tp>
      <tp t="s">
        <v>表示銘柄数超過</v>
        <stp/>
        <stp>Market</stp>
        <stp>STOCK</stp>
        <stp>94190.T</stp>
        <stp>前日比率</stp>
        <tr r="F1122" s="7"/>
      </tp>
      <tp>
        <v>0.82</v>
        <stp/>
        <stp>Market</stp>
        <stp>STOCK</stp>
        <stp>74190.T</stp>
        <stp>前日比率</stp>
        <tr r="F887" s="7"/>
      </tp>
      <tp t="s">
        <v>表示銘柄数超過</v>
        <stp/>
        <stp>Market</stp>
        <stp>STOCK</stp>
        <stp>44190.T</stp>
        <stp>前日比率</stp>
        <tr r="F462" s="7"/>
      </tp>
      <tp t="s">
        <v>表示銘柄数超過</v>
        <stp/>
        <stp>Market</stp>
        <stp>STOCK</stp>
        <stp>14190.T</stp>
        <stp>前日比率</stp>
        <tr r="F21" s="7"/>
      </tp>
      <tp>
        <v>2.34</v>
        <stp/>
        <stp>Market</stp>
        <stp>STOCK</stp>
        <stp>64180.T</stp>
        <stp>前日比率</stp>
        <tr r="F700" s="7"/>
      </tp>
      <tp t="s">
        <v>表示銘柄数超過</v>
        <stp/>
        <stp>Market</stp>
        <stp>STOCK</stp>
        <stp>14180.T</stp>
        <stp>前日比率</stp>
        <tr r="F20" s="7"/>
      </tp>
      <tp t="s">
        <v>表示銘柄数超過</v>
        <stp/>
        <stp>Market</stp>
        <stp>STOCK</stp>
        <stp>34610.T</stp>
        <stp>前日比率</stp>
        <tr r="F301" s="7"/>
      </tp>
      <tp t="s">
        <v>表示銘柄数超過</v>
        <stp/>
        <stp>Market</stp>
        <stp>STOCK</stp>
        <stp>24610.T</stp>
        <stp>前日比率</stp>
        <tr r="F147" s="7"/>
      </tp>
      <tp>
        <v>0</v>
        <stp/>
        <stp>Market</stp>
        <stp>STOCK</stp>
        <stp>84620.T</stp>
        <stp>前日比率</stp>
        <tr r="F1012" s="7"/>
      </tp>
      <tp t="s">
        <v>表示銘柄数超過</v>
        <stp/>
        <stp>Market</stp>
        <stp>STOCK</stp>
        <stp>34640.T</stp>
        <stp>前日比率</stp>
        <tr r="F302" s="7"/>
      </tp>
      <tp>
        <v>0</v>
        <stp/>
        <stp>Market</stp>
        <stp>STOCK</stp>
        <stp>64670.T</stp>
        <stp>前日比率</stp>
        <tr r="F704" s="7"/>
      </tp>
      <tp t="s">
        <v>表示銘柄数超過</v>
        <stp/>
        <stp>Market</stp>
        <stp>STOCK</stp>
        <stp>94660.T</stp>
        <stp>前日比率</stp>
        <tr r="F1134" s="7"/>
      </tp>
      <tp t="s">
        <v>表示銘柄数超過</v>
        <stp/>
        <stp>Market</stp>
        <stp>STOCK</stp>
        <stp>14690.T</stp>
        <stp>前日比率</stp>
        <tr r="F27" s="7"/>
      </tp>
      <tp t="s">
        <v>表示銘柄数超過</v>
        <stp/>
        <stp>Market</stp>
        <stp>STOCK</stp>
        <stp>24680.T</stp>
        <stp>前日比率</stp>
        <tr r="F148" s="7"/>
      </tp>
      <tp>
        <v>-1.58</v>
        <stp/>
        <stp>Market</stp>
        <stp>STOCK</stp>
        <stp>64710.T</stp>
        <stp>前日比率</stp>
        <tr r="F706" s="7"/>
      </tp>
      <tp t="s">
        <v>表示銘柄数超過</v>
        <stp/>
        <stp>Market</stp>
        <stp>STOCK</stp>
        <stp>24710.T</stp>
        <stp>前日比率</stp>
        <tr r="F149" s="7"/>
      </tp>
      <tp t="s">
        <v>表示銘柄数超過</v>
        <stp/>
        <stp>Market</stp>
        <stp>STOCK</stp>
        <stp>94700.T</stp>
        <stp>前日比率</stp>
        <tr r="F1135" s="7"/>
      </tp>
      <tp>
        <v>0.61</v>
        <stp/>
        <stp>Market</stp>
        <stp>STOCK</stp>
        <stp>64700.T</stp>
        <stp>前日比率</stp>
        <tr r="F705" s="7"/>
      </tp>
      <tp>
        <v>3.23</v>
        <stp/>
        <stp>Market</stp>
        <stp>STOCK</stp>
        <stp>84730.T</stp>
        <stp>前日比率</stp>
        <tr r="F1013" s="7"/>
      </tp>
      <tp t="s">
        <v>表示銘柄数超過</v>
        <stp/>
        <stp>Market</stp>
        <stp>STOCK</stp>
        <stp>14720.T</stp>
        <stp>前日比率</stp>
        <tr r="F28" s="7"/>
      </tp>
      <tp t="s">
        <v>表示銘柄数超過</v>
        <stp/>
        <stp>Market</stp>
        <stp>STOCK</stp>
        <stp>94750.T</stp>
        <stp>前日比率</stp>
        <tr r="F1137" s="7"/>
      </tp>
      <tp t="s">
        <v>表示銘柄数超過</v>
        <stp/>
        <stp>Market</stp>
        <stp>STOCK</stp>
        <stp>44750.T</stp>
        <stp>前日比率</stp>
        <tr r="F471" s="7"/>
      </tp>
      <tp t="s">
        <v>表示銘柄数超過</v>
        <stp/>
        <stp>Market</stp>
        <stp>STOCK</stp>
        <stp>94740.T</stp>
        <stp>前日比率</stp>
        <tr r="F1136" s="7"/>
      </tp>
      <tp t="s">
        <v>表示銘柄数超過</v>
        <stp/>
        <stp>Market</stp>
        <stp>STOCK</stp>
        <stp>44770.T</stp>
        <stp>前日比率</stp>
        <tr r="F473" s="7"/>
      </tp>
      <tp t="s">
        <v>表示銘柄数超過</v>
        <stp/>
        <stp>Market</stp>
        <stp>STOCK</stp>
        <stp>94760.T</stp>
        <stp>前日比率</stp>
        <tr r="F1138" s="7"/>
      </tp>
      <tp>
        <v>0.91</v>
        <stp/>
        <stp>Market</stp>
        <stp>STOCK</stp>
        <stp>54760.T</stp>
        <stp>前日比率</stp>
        <tr r="F597" s="7"/>
      </tp>
      <tp t="s">
        <v>表示銘柄数超過</v>
        <stp/>
        <stp>Market</stp>
        <stp>STOCK</stp>
        <stp>44760.T</stp>
        <stp>前日比率</stp>
        <tr r="F472" s="7"/>
      </tp>
      <tp t="s">
        <v>表示銘柄数超過</v>
        <stp/>
        <stp>Market</stp>
        <stp>STOCK</stp>
        <stp>94790.T</stp>
        <stp>前日比率</stp>
        <tr r="F1139" s="7"/>
      </tp>
      <tp t="s">
        <v>表示銘柄数超過</v>
        <stp/>
        <stp>Market</stp>
        <stp>STOCK</stp>
        <stp>44790.T</stp>
        <stp>前日比率</stp>
        <tr r="F474" s="7"/>
      </tp>
      <tp t="s">
        <v>表示銘柄数超過</v>
        <stp/>
        <stp>Market</stp>
        <stp>STOCK</stp>
        <stp>24790.T</stp>
        <stp>前日比率</stp>
        <tr r="F150" s="7"/>
      </tp>
      <tp t="s">
        <v>表示銘柄数超過</v>
        <stp/>
        <stp>Market</stp>
        <stp>STOCK</stp>
        <stp>44410.T</stp>
        <stp>前日比率</stp>
        <tr r="F466" s="7"/>
      </tp>
      <tp>
        <v>0.66</v>
        <stp/>
        <stp>Market</stp>
        <stp>STOCK</stp>
        <stp>64400.T</stp>
        <stp>前日比率</stp>
        <tr r="F702" s="7"/>
      </tp>
      <tp>
        <v>0</v>
        <stp/>
        <stp>Market</stp>
        <stp>STOCK</stp>
        <stp>74450.T</stp>
        <stp>前日比率</stp>
        <tr r="F889" s="7"/>
      </tp>
      <tp t="s">
        <v>表示銘柄数超過</v>
        <stp/>
        <stp>Market</stp>
        <stp>STOCK</stp>
        <stp>24450.T</stp>
        <stp>前日比率</stp>
        <tr r="F145" s="7"/>
      </tp>
      <tp t="s">
        <v>表示銘柄数超過</v>
        <stp/>
        <stp>Market</stp>
        <stp>STOCK</stp>
        <stp>94440.T</stp>
        <stp>前日比率</stp>
        <tr r="F1132" s="7"/>
      </tp>
      <tp>
        <v>3.24</v>
        <stp/>
        <stp>Market</stp>
        <stp>STOCK</stp>
        <stp>64440.T</stp>
        <stp>前日比率</stp>
        <tr r="F703" s="7"/>
      </tp>
      <tp t="s">
        <v>表示銘柄数超過</v>
        <stp/>
        <stp>Market</stp>
        <stp>STOCK</stp>
        <stp>44440.T</stp>
        <stp>前日比率</stp>
        <tr r="F467" s="7"/>
      </tp>
      <tp>
        <v>0.18</v>
        <stp/>
        <stp>Market</stp>
        <stp>STOCK</stp>
        <stp>54490.T</stp>
        <stp>前日比率</stp>
        <tr r="F596" s="7"/>
      </tp>
      <tp t="s">
        <v>表示銘柄数超過</v>
        <stp/>
        <stp>Market</stp>
        <stp>STOCK</stp>
        <stp>44480.T</stp>
        <stp>前日比率</stp>
        <tr r="F468" s="7"/>
      </tp>
      <tp t="s">
        <v>表示銘柄数超過</v>
        <stp/>
        <stp>Market</stp>
        <stp>STOCK</stp>
        <stp>14510.T</stp>
        <stp>前日比率</stp>
        <tr r="F25" s="7"/>
      </tp>
      <tp t="s">
        <v>表示銘柄数超過</v>
        <stp/>
        <stp>Market</stp>
        <stp>STOCK</stp>
        <stp>94500.T</stp>
        <stp>前日比率</stp>
        <tr r="F1133" s="7"/>
      </tp>
      <tp>
        <v>0.79</v>
        <stp/>
        <stp>Market</stp>
        <stp>STOCK</stp>
        <stp>74530.T</stp>
        <stp>前日比率</stp>
        <tr r="F890" s="7"/>
      </tp>
      <tp t="s">
        <v>表示銘柄数超過</v>
        <stp/>
        <stp>Market</stp>
        <stp>STOCK</stp>
        <stp>24530.T</stp>
        <stp>前日比率</stp>
        <tr r="F146" s="7"/>
      </tp>
      <tp t="s">
        <v>表示銘柄数超過</v>
        <stp/>
        <stp>Market</stp>
        <stp>STOCK</stp>
        <stp>44520.T</stp>
        <stp>前日比率</stp>
        <tr r="F469" s="7"/>
      </tp>
      <tp>
        <v>-5.94</v>
        <stp/>
        <stp>Market</stp>
        <stp>STOCK</stp>
        <stp>74550.T</stp>
        <stp>前日比率</stp>
        <tr r="F891" s="7"/>
      </tp>
      <tp t="s">
        <v>表示銘柄数超過</v>
        <stp/>
        <stp>Market</stp>
        <stp>STOCK</stp>
        <stp>34540.T</stp>
        <stp>前日比率</stp>
        <tr r="F300" s="7"/>
      </tp>
      <tp>
        <v>1.8</v>
        <stp/>
        <stp>Market</stp>
        <stp>STOCK</stp>
        <stp>74590.T</stp>
        <stp>前日比率</stp>
        <tr r="F892" s="7"/>
      </tp>
      <tp t="s">
        <v>表示銘柄数超過</v>
        <stp/>
        <stp>Market</stp>
        <stp>STOCK</stp>
        <stp>14590.T</stp>
        <stp>前日比率</stp>
        <tr r="F26" s="7"/>
      </tp>
      <tp>
        <v>-0.42</v>
        <stp/>
        <stp>Market</stp>
        <stp>STOCK</stp>
        <stp>65800.T</stp>
        <stp>前日比率</stp>
        <tr r="F732" s="7"/>
      </tp>
      <tp t="s">
        <v>表示銘柄数超過</v>
        <stp/>
        <stp>Market</stp>
        <stp>STOCK</stp>
        <stp>35800.T</stp>
        <stp>前日比率</stp>
        <tr r="F310" s="7"/>
      </tp>
      <tp t="s">
        <v>表示銘柄数超過</v>
        <stp/>
        <stp>Market</stp>
        <stp>STOCK</stp>
        <stp>45830.T</stp>
        <stp>前日比率</stp>
        <tr r="F498" s="7"/>
      </tp>
      <tp t="s">
        <v>表示銘柄数超過</v>
        <stp/>
        <stp>Market</stp>
        <stp>STOCK</stp>
        <stp>45820.T</stp>
        <stp>前日比率</stp>
        <tr r="F497" s="7"/>
      </tp>
      <tp>
        <v>-0.47</v>
        <stp/>
        <stp>Market</stp>
        <stp>STOCK</stp>
        <stp>85850.T</stp>
        <stp>前日比率</stp>
        <tr r="F1022" s="7"/>
      </tp>
      <tp>
        <v>-0.51</v>
        <stp/>
        <stp>Market</stp>
        <stp>STOCK</stp>
        <stp>75850.T</stp>
        <stp>前日比率</stp>
        <tr r="F906" s="7"/>
      </tp>
      <tp t="s">
        <v>表示銘柄数超過</v>
        <stp/>
        <stp>Market</stp>
        <stp>STOCK</stp>
        <stp>25850.T</stp>
        <stp>前日比率</stp>
        <tr r="F164" s="7"/>
      </tp>
      <tp>
        <v>1.1399999999999999</v>
        <stp/>
        <stp>Market</stp>
        <stp>STOCK</stp>
        <stp>65840.T</stp>
        <stp>前日比率</stp>
        <tr r="F733" s="7"/>
      </tp>
      <tp t="s">
        <v>表示銘柄数超過</v>
        <stp/>
        <stp>Market</stp>
        <stp>STOCK</stp>
        <stp>45840.T</stp>
        <stp>前日比率</stp>
        <tr r="F499" s="7"/>
      </tp>
      <tp t="s">
        <v>表示銘柄数超過</v>
        <stp/>
        <stp>Market</stp>
        <stp>STOCK</stp>
        <stp>25870.T</stp>
        <stp>前日比率</stp>
        <tr r="F166" s="7"/>
      </tp>
      <tp>
        <v>-2.09</v>
        <stp/>
        <stp>Market</stp>
        <stp>STOCK</stp>
        <stp>55860.T</stp>
        <stp>前日比率</stp>
        <tr r="F600" s="7"/>
      </tp>
      <tp t="s">
        <v>表示銘柄数超過</v>
        <stp/>
        <stp>Market</stp>
        <stp>STOCK</stp>
        <stp>45860.T</stp>
        <stp>前日比率</stp>
        <tr r="F500" s="7"/>
      </tp>
      <tp t="s">
        <v>表示銘柄数超過</v>
        <stp/>
        <stp>Market</stp>
        <stp>STOCK</stp>
        <stp>25860.T</stp>
        <stp>前日比率</stp>
        <tr r="F165" s="7"/>
      </tp>
      <tp>
        <v>1.26</v>
        <stp/>
        <stp>Market</stp>
        <stp>STOCK</stp>
        <stp>65880.T</stp>
        <stp>前日比率</stp>
        <tr r="F734" s="7"/>
      </tp>
      <tp t="s">
        <v>表示銘柄数超過</v>
        <stp/>
        <stp>Market</stp>
        <stp>STOCK</stp>
        <stp>45880.T</stp>
        <stp>前日比率</stp>
        <tr r="F501" s="7"/>
      </tp>
      <tp>
        <v>1.04</v>
        <stp/>
        <stp>Market</stp>
        <stp>STOCK</stp>
        <stp>85910.T</stp>
        <stp>前日比率</stp>
        <tr r="F1023" s="7"/>
      </tp>
      <tp t="s">
        <v>表示銘柄数超過</v>
        <stp/>
        <stp>Market</stp>
        <stp>STOCK</stp>
        <stp>45910.T</stp>
        <stp>前日比率</stp>
        <tr r="F502" s="7"/>
      </tp>
      <tp>
        <v>-0.6</v>
        <stp/>
        <stp>Market</stp>
        <stp>STOCK</stp>
        <stp>75900.T</stp>
        <stp>前日比率</stp>
        <tr r="F907" s="7"/>
      </tp>
      <tp>
        <v>-0.33</v>
        <stp/>
        <stp>Market</stp>
        <stp>STOCK</stp>
        <stp>85930.T</stp>
        <stp>前日比率</stp>
        <tr r="F1024" s="7"/>
      </tp>
      <tp t="s">
        <v>表示銘柄数超過</v>
        <stp/>
        <stp>Market</stp>
        <stp>STOCK</stp>
        <stp>25935.T</stp>
        <stp>前日比率</stp>
        <tr r="F167" s="7"/>
      </tp>
      <tp>
        <v>0.19</v>
        <stp/>
        <stp>Market</stp>
        <stp>STOCK</stp>
        <stp>75930.T</stp>
        <stp>前日比率</stp>
        <tr r="F908" s="7"/>
      </tp>
      <tp t="s">
        <v>表示銘柄数超過</v>
        <stp/>
        <stp>Market</stp>
        <stp>STOCK</stp>
        <stp>45930.T</stp>
        <stp>前日比率</stp>
        <tr r="F504" s="7"/>
      </tp>
      <tp t="s">
        <v>表示銘柄数超過</v>
        <stp/>
        <stp>Market</stp>
        <stp>STOCK</stp>
        <stp>45920.T</stp>
        <stp>前日比率</stp>
        <tr r="F503" s="7"/>
      </tp>
      <tp>
        <v>0.89</v>
        <stp/>
        <stp>Market</stp>
        <stp>STOCK</stp>
        <stp>65940.T</stp>
        <stp>前日比率</stp>
        <tr r="F735" s="7"/>
      </tp>
      <tp t="s">
        <v>表示銘柄数超過</v>
        <stp/>
        <stp>Market</stp>
        <stp>STOCK</stp>
        <stp>45940.T</stp>
        <stp>前日比率</stp>
        <tr r="F505" s="7"/>
      </tp>
      <tp t="s">
        <v>表示銘柄数超過</v>
        <stp/>
        <stp>Market</stp>
        <stp>STOCK</stp>
        <stp>45970.T</stp>
        <stp>前日比率</stp>
        <tr r="F507" s="7"/>
      </tp>
      <tp t="s">
        <v>表示銘柄数超過</v>
        <stp/>
        <stp>Market</stp>
        <stp>STOCK</stp>
        <stp>25970.T</stp>
        <stp>前日比率</stp>
        <tr r="F168" s="7"/>
      </tp>
      <tp t="s">
        <v>表示銘柄数超過</v>
        <stp/>
        <stp>Market</stp>
        <stp>STOCK</stp>
        <stp>45960.T</stp>
        <stp>前日比率</stp>
        <tr r="F506" s="7"/>
      </tp>
      <tp t="s">
        <v>表示銘柄数超過</v>
        <stp/>
        <stp>Market</stp>
        <stp>STOCK</stp>
        <stp>35210.T</stp>
        <stp>前日比率</stp>
        <tr r="F303" s="7"/>
      </tp>
      <tp>
        <v>-1.1599999999999999</v>
        <stp/>
        <stp>Market</stp>
        <stp>STOCK</stp>
        <stp>75230.T</stp>
        <stp>前日比率</stp>
        <tr r="F900" s="7"/>
      </tp>
      <tp t="s">
        <v>表示銘柄数超過</v>
        <stp/>
        <stp>Market</stp>
        <stp>STOCK</stp>
        <stp>45230.T</stp>
        <stp>前日比率</stp>
        <tr r="F482" s="7"/>
      </tp>
      <tp t="s">
        <v>表示銘柄数超過</v>
        <stp/>
        <stp>Market</stp>
        <stp>STOCK</stp>
        <stp>95220.T</stp>
        <stp>前日比率</stp>
        <tr r="F1152" s="7"/>
      </tp>
      <tp>
        <v>-0.63</v>
        <stp/>
        <stp>Market</stp>
        <stp>STOCK</stp>
        <stp>65220.T</stp>
        <stp>前日比率</stp>
        <tr r="F719" s="7"/>
      </tp>
      <tp>
        <v>1.07</v>
        <stp/>
        <stp>Market</stp>
        <stp>STOCK</stp>
        <stp>85240.T</stp>
        <stp>前日比率</stp>
        <tr r="F1018" s="7"/>
      </tp>
      <tp>
        <v>0</v>
        <stp/>
        <stp>Market</stp>
        <stp>STOCK</stp>
        <stp>75270.T</stp>
        <stp>前日比率</stp>
        <tr r="F901" s="7"/>
      </tp>
      <tp t="s">
        <v>表示銘柄数超過</v>
        <stp/>
        <stp>Market</stp>
        <stp>STOCK</stp>
        <stp>95310.T</stp>
        <stp>前日比率</stp>
        <tr r="F1153" s="7"/>
      </tp>
      <tp t="s">
        <v>表示銘柄数超過</v>
        <stp/>
        <stp>Market</stp>
        <stp>STOCK</stp>
        <stp>45310.T</stp>
        <stp>前日比率</stp>
        <tr r="F483" s="7"/>
      </tp>
      <tp t="s">
        <v>表示銘柄数超過</v>
        <stp/>
        <stp>Market</stp>
        <stp>STOCK</stp>
        <stp>25330.T</stp>
        <stp>前日比率</stp>
        <tr r="F160" s="7"/>
      </tp>
      <tp t="s">
        <v>表示銘柄数超過</v>
        <stp/>
        <stp>Market</stp>
        <stp>STOCK</stp>
        <stp>95320.T</stp>
        <stp>前日比率</stp>
        <tr r="F1154" s="7"/>
      </tp>
      <tp>
        <v>-0.31</v>
        <stp/>
        <stp>Market</stp>
        <stp>STOCK</stp>
        <stp>65370.T</stp>
        <stp>前日比率</stp>
        <tr r="F720" s="7"/>
      </tp>
      <tp t="s">
        <v>表示銘柄数超過</v>
        <stp/>
        <stp>Market</stp>
        <stp>STOCK</stp>
        <stp>35360.T</stp>
        <stp>前日比率</stp>
        <tr r="F304" s="7"/>
      </tp>
      <tp>
        <v>3.4</v>
        <stp/>
        <stp>Market</stp>
        <stp>STOCK</stp>
        <stp>75380.T</stp>
        <stp>前日比率</stp>
        <tr r="F902" s="7"/>
      </tp>
      <tp t="s">
        <v>表示銘柄数超過</v>
        <stp/>
        <stp>Market</stp>
        <stp>STOCK</stp>
        <stp>95010.T</stp>
        <stp>前日比率</stp>
        <tr r="F1140" s="7"/>
      </tp>
      <tp>
        <v>-0.93</v>
        <stp/>
        <stp>Market</stp>
        <stp>STOCK</stp>
        <stp>65010.T</stp>
        <stp>前日比率</stp>
        <tr r="F713" s="7"/>
      </tp>
      <tp t="s">
        <v>表示銘柄数超過</v>
        <stp/>
        <stp>Market</stp>
        <stp>STOCK</stp>
        <stp>25010.T</stp>
        <stp>前日比率</stp>
        <tr r="F156" s="7"/>
      </tp>
      <tp t="s">
        <v>表示銘柄数超過</v>
        <stp/>
        <stp>Market</stp>
        <stp>STOCK</stp>
        <stp>95030.T</stp>
        <stp>前日比率</stp>
        <tr r="F1142" s="7"/>
      </tp>
      <tp>
        <v>-2.89</v>
        <stp/>
        <stp>Market</stp>
        <stp>STOCK</stp>
        <stp>65030.T</stp>
        <stp>前日比率</stp>
        <tr r="F715" s="7"/>
      </tp>
      <tp t="s">
        <v>表示銘柄数超過</v>
        <stp/>
        <stp>Market</stp>
        <stp>STOCK</stp>
        <stp>45030.T</stp>
        <stp>前日比率</stp>
        <tr r="F479" s="7"/>
      </tp>
      <tp t="s">
        <v>表示銘柄数超過</v>
        <stp/>
        <stp>Market</stp>
        <stp>STOCK</stp>
        <stp>95020.T</stp>
        <stp>前日比率</stp>
        <tr r="F1141" s="7"/>
      </tp>
      <tp t="s">
        <v/>
        <stp/>
        <stp>Market</stp>
        <stp>STOCK</stp>
        <stp>65020.T</stp>
        <stp>前日比率</stp>
        <tr r="F714" s="7"/>
      </tp>
      <tp t="s">
        <v>表示銘柄数超過</v>
        <stp/>
        <stp>Market</stp>
        <stp>STOCK</stp>
        <stp>95050.T</stp>
        <stp>前日比率</stp>
        <tr r="F1144" s="7"/>
      </tp>
      <tp>
        <v>-0.62</v>
        <stp/>
        <stp>Market</stp>
        <stp>STOCK</stp>
        <stp>75050.T</stp>
        <stp>前日比率</stp>
        <tr r="F895" s="7"/>
      </tp>
      <tp t="s">
        <v>表示銘柄数超過</v>
        <stp/>
        <stp>Market</stp>
        <stp>STOCK</stp>
        <stp>95040.T</stp>
        <stp>前日比率</stp>
        <tr r="F1143" s="7"/>
      </tp>
      <tp>
        <v>1</v>
        <stp/>
        <stp>Market</stp>
        <stp>STOCK</stp>
        <stp>65040.T</stp>
        <stp>前日比率</stp>
        <tr r="F716" s="7"/>
      </tp>
      <tp t="s">
        <v>表示銘柄数超過</v>
        <stp/>
        <stp>Market</stp>
        <stp>STOCK</stp>
        <stp>95070.T</stp>
        <stp>前日比率</stp>
        <tr r="F1146" s="7"/>
      </tp>
      <tp>
        <v>-3.04</v>
        <stp/>
        <stp>Market</stp>
        <stp>STOCK</stp>
        <stp>65070.T</stp>
        <stp>前日比率</stp>
        <tr r="F717" s="7"/>
      </tp>
      <tp t="s">
        <v>表示銘柄数超過</v>
        <stp/>
        <stp>Market</stp>
        <stp>STOCK</stp>
        <stp>45070.T</stp>
        <stp>前日比率</stp>
        <tr r="F481" s="7"/>
      </tp>
      <tp t="s">
        <v>表示銘柄数超過</v>
        <stp/>
        <stp>Market</stp>
        <stp>STOCK</stp>
        <stp>95060.T</stp>
        <stp>前日比率</stp>
        <tr r="F1145" s="7"/>
      </tp>
      <tp>
        <v>3.92</v>
        <stp/>
        <stp>Market</stp>
        <stp>STOCK</stp>
        <stp>45060.T</stp>
        <stp>前日比率</stp>
        <tr r="F480" s="7"/>
      </tp>
      <tp t="s">
        <v>表示銘柄数超過</v>
        <stp/>
        <stp>Market</stp>
        <stp>STOCK</stp>
        <stp>95090.T</stp>
        <stp>前日比率</stp>
        <tr r="F1148" s="7"/>
      </tp>
      <tp t="s">
        <v>表示銘柄数超過</v>
        <stp/>
        <stp>Market</stp>
        <stp>STOCK</stp>
        <stp>95080.T</stp>
        <stp>前日比率</stp>
        <tr r="F1147" s="7"/>
      </tp>
      <tp>
        <v>0.21</v>
        <stp/>
        <stp>Market</stp>
        <stp>STOCK</stp>
        <stp>85080.T</stp>
        <stp>前日比率</stp>
        <tr r="F1014" s="7"/>
      </tp>
      <tp t="s">
        <v>表示銘柄数超過</v>
        <stp/>
        <stp>Market</stp>
        <stp>STOCK</stp>
        <stp>95110.T</stp>
        <stp>前日比率</stp>
        <tr r="F1149" s="7"/>
      </tp>
      <tp>
        <v>-0.95</v>
        <stp/>
        <stp>Market</stp>
        <stp>STOCK</stp>
        <stp>85110.T</stp>
        <stp>前日比率</stp>
        <tr r="F1015" s="7"/>
      </tp>
      <tp t="s">
        <v>表示銘柄数超過</v>
        <stp/>
        <stp>Market</stp>
        <stp>STOCK</stp>
        <stp>25100.T</stp>
        <stp>前日比率</stp>
        <tr r="F157" s="7"/>
      </tp>
      <tp>
        <v>-1.74</v>
        <stp/>
        <stp>Market</stp>
        <stp>STOCK</stp>
        <stp>75130.T</stp>
        <stp>前日比率</stp>
        <tr r="F897" s="7"/>
      </tp>
      <tp>
        <v>0.57999999999999996</v>
        <stp/>
        <stp>Market</stp>
        <stp>STOCK</stp>
        <stp>65130.T</stp>
        <stp>前日比率</stp>
        <tr r="F718" s="7"/>
      </tp>
      <tp>
        <v>0.11</v>
        <stp/>
        <stp>Market</stp>
        <stp>STOCK</stp>
        <stp>75120.T</stp>
        <stp>前日比率</stp>
        <tr r="F896" s="7"/>
      </tp>
      <tp>
        <v>-1.03</v>
        <stp/>
        <stp>Market</stp>
        <stp>STOCK</stp>
        <stp>85150.T</stp>
        <stp>前日比率</stp>
        <tr r="F1016" s="7"/>
      </tp>
      <tp t="s">
        <v>表示銘柄数超過</v>
        <stp/>
        <stp>Market</stp>
        <stp>STOCK</stp>
        <stp>95140.T</stp>
        <stp>前日比率</stp>
        <tr r="F1150" s="7"/>
      </tp>
      <tp>
        <v>-0.32</v>
        <stp/>
        <stp>Market</stp>
        <stp>STOCK</stp>
        <stp>75140.T</stp>
        <stp>前日比率</stp>
        <tr r="F898" s="7"/>
      </tp>
      <tp t="s">
        <v>表示銘柄数超過</v>
        <stp/>
        <stp>Market</stp>
        <stp>STOCK</stp>
        <stp>15140.T</stp>
        <stp>前日比率</stp>
        <tr r="F30" s="7"/>
      </tp>
      <tp>
        <v>0.51</v>
        <stp/>
        <stp>Market</stp>
        <stp>STOCK</stp>
        <stp>75160.T</stp>
        <stp>前日比率</stp>
        <tr r="F899" s="7"/>
      </tp>
      <tp t="s">
        <v>表示銘柄数超過</v>
        <stp/>
        <stp>Market</stp>
        <stp>STOCK</stp>
        <stp>25160.T</stp>
        <stp>前日比率</stp>
        <tr r="F158" s="7"/>
      </tp>
      <tp t="s">
        <v>表示銘柄数超過</v>
        <stp/>
        <stp>Market</stp>
        <stp>STOCK</stp>
        <stp>95190.T</stp>
        <stp>前日比率</stp>
        <tr r="F1151" s="7"/>
      </tp>
      <tp>
        <v>1.08</v>
        <stp/>
        <stp>Market</stp>
        <stp>STOCK</stp>
        <stp>85180.T</stp>
        <stp>前日比率</stp>
        <tr r="F1017" s="7"/>
      </tp>
      <tp t="s">
        <v>表示銘柄数超過</v>
        <stp/>
        <stp>Market</stp>
        <stp>STOCK</stp>
        <stp>25180.T</stp>
        <stp>前日比率</stp>
        <tr r="F159" s="7"/>
      </tp>
      <tp t="s">
        <v>表示銘柄数超過</v>
        <stp/>
        <stp>Market</stp>
        <stp>STOCK</stp>
        <stp>35610.T</stp>
        <stp>前日比率</stp>
        <tr r="F309" s="7"/>
      </tp>
      <tp t="s">
        <v>表示銘柄数超過</v>
        <stp/>
        <stp>Market</stp>
        <stp>STOCK</stp>
        <stp>95600.T</stp>
        <stp>前日比率</stp>
        <tr r="F1157" s="7"/>
      </tp>
      <tp>
        <v>0.71</v>
        <stp/>
        <stp>Market</stp>
        <stp>STOCK</stp>
        <stp>55630.T</stp>
        <stp>前日比率</stp>
        <tr r="F599" s="7"/>
      </tp>
      <tp t="s">
        <v>表示銘柄数超過</v>
        <stp/>
        <stp>Market</stp>
        <stp>STOCK</stp>
        <stp>45630.T</stp>
        <stp>前日比率</stp>
        <tr r="F486" s="7"/>
      </tp>
      <tp t="s">
        <v>表示銘柄数超過</v>
        <stp/>
        <stp>Market</stp>
        <stp>STOCK</stp>
        <stp>25630.T</stp>
        <stp>前日比率</stp>
        <tr r="F161" s="7"/>
      </tp>
      <tp t="s">
        <v>表示銘柄数超過</v>
        <stp/>
        <stp>Market</stp>
        <stp>STOCK</stp>
        <stp>15630.T</stp>
        <stp>前日比率</stp>
        <tr r="F33" s="7"/>
      </tp>
      <tp>
        <v>-0.43</v>
        <stp/>
        <stp>Market</stp>
        <stp>STOCK</stp>
        <stp>85620.T</stp>
        <stp>前日比率</stp>
        <tr r="F1019" s="7"/>
      </tp>
      <tp t="s">
        <v>表示銘柄数超過</v>
        <stp/>
        <stp>Market</stp>
        <stp>STOCK</stp>
        <stp>45650.T</stp>
        <stp>前日比率</stp>
        <tr r="F488" s="7"/>
      </tp>
      <tp t="s">
        <v>表示銘柄数超過</v>
        <stp/>
        <stp>Market</stp>
        <stp>STOCK</stp>
        <stp>45640.T</stp>
        <stp>前日比率</stp>
        <tr r="F487" s="7"/>
      </tp>
      <tp>
        <v>-0.22</v>
        <stp/>
        <stp>Market</stp>
        <stp>STOCK</stp>
        <stp>75670.T</stp>
        <stp>前日比率</stp>
        <tr r="F904" s="7"/>
      </tp>
      <tp t="s">
        <v>表示銘柄数超過</v>
        <stp/>
        <stp>Market</stp>
        <stp>STOCK</stp>
        <stp>25670.T</stp>
        <stp>前日比率</stp>
        <tr r="F162" s="7"/>
      </tp>
      <tp t="s">
        <v>表示銘柄数超過</v>
        <stp/>
        <stp>Market</stp>
        <stp>STOCK</stp>
        <stp>45680.T</stp>
        <stp>前日比率</stp>
        <tr r="F489" s="7"/>
      </tp>
      <tp t="s">
        <v>表示銘柄数超過</v>
        <stp/>
        <stp>Market</stp>
        <stp>STOCK</stp>
        <stp>45710.T</stp>
        <stp>前日比率</stp>
        <tr r="F491" s="7"/>
      </tp>
      <tp t="s">
        <v>表示銘柄数超過</v>
        <stp/>
        <stp>Market</stp>
        <stp>STOCK</stp>
        <stp>15710.T</stp>
        <stp>前日比率</stp>
        <tr r="F34" s="7"/>
      </tp>
      <tp>
        <v>0.04</v>
        <stp/>
        <stp>Market</stp>
        <stp>STOCK</stp>
        <stp>85700.T</stp>
        <stp>前日比率</stp>
        <tr r="F1020" s="7"/>
      </tp>
      <tp t="s">
        <v>表示銘柄数超過</v>
        <stp/>
        <stp>Market</stp>
        <stp>STOCK</stp>
        <stp>45700.T</stp>
        <stp>前日比率</stp>
        <tr r="F490" s="7"/>
      </tp>
      <tp>
        <v>-2.79</v>
        <stp/>
        <stp>Market</stp>
        <stp>STOCK</stp>
        <stp>65730.T</stp>
        <stp>前日比率</stp>
        <tr r="F729" s="7"/>
      </tp>
      <tp>
        <v>-3.77</v>
        <stp/>
        <stp>Market</stp>
        <stp>STOCK</stp>
        <stp>85720.T</stp>
        <stp>前日比率</stp>
        <tr r="F1021" s="7"/>
      </tp>
      <tp t="s">
        <v>表示銘柄数超過</v>
        <stp/>
        <stp>Market</stp>
        <stp>STOCK</stp>
        <stp>45720.T</stp>
        <stp>前日比率</stp>
        <tr r="F492" s="7"/>
      </tp>
      <tp t="s">
        <v>表示銘柄数超過</v>
        <stp/>
        <stp>Market</stp>
        <stp>STOCK</stp>
        <stp>15720.T</stp>
        <stp>前日比率</stp>
        <tr r="F35" s="7"/>
      </tp>
      <tp t="s">
        <v>表示銘柄数超過</v>
        <stp/>
        <stp>Market</stp>
        <stp>STOCK</stp>
        <stp>45750.T</stp>
        <stp>前日比率</stp>
        <tr r="F494" s="7"/>
      </tp>
      <tp>
        <v>2.67</v>
        <stp/>
        <stp>Market</stp>
        <stp>STOCK</stp>
        <stp>65740.T</stp>
        <stp>前日比率</stp>
        <tr r="F730" s="7"/>
      </tp>
      <tp t="s">
        <v>表示銘柄数超過</v>
        <stp/>
        <stp>Market</stp>
        <stp>STOCK</stp>
        <stp>45740.T</stp>
        <stp>前日比率</stp>
        <tr r="F493" s="7"/>
      </tp>
      <tp t="s">
        <v>表示銘柄数超過</v>
        <stp/>
        <stp>Market</stp>
        <stp>STOCK</stp>
        <stp>45760.T</stp>
        <stp>前日比率</stp>
        <tr r="F495" s="7"/>
      </tp>
      <tp t="s">
        <v>表示銘柄数超過</v>
        <stp/>
        <stp>Market</stp>
        <stp>STOCK</stp>
        <stp>25790.T</stp>
        <stp>前日比率</stp>
        <tr r="F163" s="7"/>
      </tp>
      <tp>
        <v>1.17</v>
        <stp/>
        <stp>Market</stp>
        <stp>STOCK</stp>
        <stp>75780.T</stp>
        <stp>前日比率</stp>
        <tr r="F905" s="7"/>
      </tp>
      <tp>
        <v>0.75</v>
        <stp/>
        <stp>Market</stp>
        <stp>STOCK</stp>
        <stp>65780.T</stp>
        <stp>前日比率</stp>
        <tr r="F731" s="7"/>
      </tp>
      <tp t="s">
        <v>表示銘柄数超過</v>
        <stp/>
        <stp>Market</stp>
        <stp>STOCK</stp>
        <stp>45780.T</stp>
        <stp>前日比率</stp>
        <tr r="F496" s="7"/>
      </tp>
      <tp t="s">
        <v>表示銘柄数超過</v>
        <stp/>
        <stp>Market</stp>
        <stp>STOCK</stp>
        <stp>15780.T</stp>
        <stp>前日比率</stp>
        <tr r="F36" s="7"/>
      </tp>
      <tp t="s">
        <v>表示銘柄数超過</v>
        <stp/>
        <stp>Market</stp>
        <stp>STOCK</stp>
        <stp>35410.T</stp>
        <stp>前日比率</stp>
        <tr r="F305" s="7"/>
      </tp>
      <tp>
        <v>-0.8</v>
        <stp/>
        <stp>Market</stp>
        <stp>STOCK</stp>
        <stp>65430.T</stp>
        <stp>前日比率</stp>
        <tr r="F721" s="7"/>
      </tp>
      <tp t="s">
        <v>表示銘柄数超過</v>
        <stp/>
        <stp>Market</stp>
        <stp>STOCK</stp>
        <stp>35430.T</stp>
        <stp>前日比率</stp>
        <tr r="F306" s="7"/>
      </tp>
      <tp>
        <v>0.26</v>
        <stp/>
        <stp>Market</stp>
        <stp>STOCK</stp>
        <stp>65450.T</stp>
        <stp>前日比率</stp>
        <tr r="F722" s="7"/>
      </tp>
      <tp>
        <v>7.5</v>
        <stp/>
        <stp>Market</stp>
        <stp>STOCK</stp>
        <stp>75440.T</stp>
        <stp>前日比率</stp>
        <tr r="F903" s="7"/>
      </tp>
      <tp t="s">
        <v>表示銘柄数超過</v>
        <stp/>
        <stp>Market</stp>
        <stp>STOCK</stp>
        <stp>35510.T</stp>
        <stp>前日比率</stp>
        <tr r="F307" s="7"/>
      </tp>
      <tp t="s">
        <v>表示銘柄数超過</v>
        <stp/>
        <stp>Market</stp>
        <stp>STOCK</stp>
        <stp>15510.T</stp>
        <stp>前日比率</stp>
        <tr r="F31" s="7"/>
      </tp>
      <tp>
        <v>-1.24</v>
        <stp/>
        <stp>Market</stp>
        <stp>STOCK</stp>
        <stp>65500.T</stp>
        <stp>前日比率</stp>
        <tr r="F723" s="7"/>
      </tp>
      <tp t="s">
        <v>表示銘柄数超過</v>
        <stp/>
        <stp>Market</stp>
        <stp>STOCK</stp>
        <stp>95530.T</stp>
        <stp>前日比率</stp>
        <tr r="F1155" s="7"/>
      </tp>
      <tp t="s">
        <v>表示銘柄数超過</v>
        <stp/>
        <stp>Market</stp>
        <stp>STOCK</stp>
        <stp>35530.T</stp>
        <stp>前日比率</stp>
        <tr r="F308" s="7"/>
      </tp>
      <tp>
        <v>0</v>
        <stp/>
        <stp>Market</stp>
        <stp>STOCK</stp>
        <stp>65520.T</stp>
        <stp>前日比率</stp>
        <tr r="F724" s="7"/>
      </tp>
      <tp t="s">
        <v>表示銘柄数超過</v>
        <stp/>
        <stp>Market</stp>
        <stp>STOCK</stp>
        <stp>15520.T</stp>
        <stp>前日比率</stp>
        <tr r="F32" s="7"/>
      </tp>
      <tp>
        <v>-1.34</v>
        <stp/>
        <stp>Market</stp>
        <stp>STOCK</stp>
        <stp>65550.T</stp>
        <stp>前日比率</stp>
        <tr r="F726" s="7"/>
      </tp>
      <tp>
        <v>-2.29</v>
        <stp/>
        <stp>Market</stp>
        <stp>STOCK</stp>
        <stp>65540.T</stp>
        <stp>前日比率</stp>
        <tr r="F725" s="7"/>
      </tp>
      <tp t="s">
        <v>表示銘柄数超過</v>
        <stp/>
        <stp>Market</stp>
        <stp>STOCK</stp>
        <stp>45540.T</stp>
        <stp>前日比率</stp>
        <tr r="F484" s="7"/>
      </tp>
      <tp t="s">
        <v>表示銘柄数超過</v>
        <stp/>
        <stp>Market</stp>
        <stp>STOCK</stp>
        <stp>95570.T</stp>
        <stp>前日比率</stp>
        <tr r="F1156" s="7"/>
      </tp>
      <tp>
        <v>1.1000000000000001</v>
        <stp/>
        <stp>Market</stp>
        <stp>STOCK</stp>
        <stp>65570.T</stp>
        <stp>前日比率</stp>
        <tr r="F728" s="7"/>
      </tp>
      <tp>
        <v>-0.35</v>
        <stp/>
        <stp>Market</stp>
        <stp>STOCK</stp>
        <stp>65560.T</stp>
        <stp>前日比率</stp>
        <tr r="F727" s="7"/>
      </tp>
      <tp t="s">
        <v>表示銘柄数超過</v>
        <stp/>
        <stp>Market</stp>
        <stp>STOCK</stp>
        <stp>45580.T</stp>
        <stp>前日比率</stp>
        <tr r="F485" s="7"/>
      </tp>
      <tp t="s">
        <v>表示銘柄数超過</v>
        <stp/>
        <stp>Market</stp>
        <stp>STOCK</stp>
        <stp>36810.T</stp>
        <stp>前日比率</stp>
        <tr r="F337" s="7"/>
      </tp>
      <tp t="s">
        <v>表示銘柄数超過</v>
        <stp/>
        <stp>Market</stp>
        <stp>STOCK</stp>
        <stp>26810.T</stp>
        <stp>前日比率</stp>
        <tr r="F180" s="7"/>
      </tp>
      <tp t="s">
        <v>表示銘柄数超過</v>
        <stp/>
        <stp>Market</stp>
        <stp>STOCK</stp>
        <stp>46800.T</stp>
        <stp>前日比率</stp>
        <tr r="F519" s="7"/>
      </tp>
      <tp t="s">
        <v>表示銘柄数超過</v>
        <stp/>
        <stp>Market</stp>
        <stp>STOCK</stp>
        <stp>36800.T</stp>
        <stp>前日比率</stp>
        <tr r="F336" s="7"/>
      </tp>
      <tp t="s">
        <v>表示銘柄数超過</v>
        <stp/>
        <stp>Market</stp>
        <stp>STOCK</stp>
        <stp>36830.T</stp>
        <stp>前日比率</stp>
        <tr r="F339" s="7"/>
      </tp>
      <tp t="s">
        <v>表示銘柄数超過</v>
        <stp/>
        <stp>Market</stp>
        <stp>STOCK</stp>
        <stp>36820.T</stp>
        <stp>前日比率</stp>
        <tr r="F338" s="7"/>
      </tp>
      <tp t="s">
        <v>表示銘柄数超過</v>
        <stp/>
        <stp>Market</stp>
        <stp>STOCK</stp>
        <stp>16820.T</stp>
        <stp>前日比率</stp>
        <tr r="F43" s="7"/>
      </tp>
      <tp t="s">
        <v>表示銘柄数超過</v>
        <stp/>
        <stp>Market</stp>
        <stp>STOCK</stp>
        <stp>26850.T</stp>
        <stp>前日比率</stp>
        <tr r="F181" s="7"/>
      </tp>
      <tp t="s">
        <v>表示銘柄数超過</v>
        <stp/>
        <stp>Market</stp>
        <stp>STOCK</stp>
        <stp>36860.T</stp>
        <stp>前日比率</stp>
        <tr r="F340" s="7"/>
      </tp>
      <tp t="s">
        <v>表示銘柄数超過</v>
        <stp/>
        <stp>Market</stp>
        <stp>STOCK</stp>
        <stp>26860.T</stp>
        <stp>前日比率</stp>
        <tr r="F182" s="7"/>
      </tp>
      <tp>
        <v>-7.22</v>
        <stp/>
        <stp>Market</stp>
        <stp>STOCK</stp>
        <stp>46890.T</stp>
        <stp>前日比率</stp>
        <tr r="F520" s="7"/>
      </tp>
      <tp t="s">
        <v>表示銘柄数超過</v>
        <stp/>
        <stp>Market</stp>
        <stp>STOCK</stp>
        <stp>16890.T</stp>
        <stp>前日比率</stp>
        <tr r="F44" s="7"/>
      </tp>
      <tp t="s">
        <v>表示銘柄数超過</v>
        <stp/>
        <stp>Market</stp>
        <stp>STOCK</stp>
        <stp>36910.T</stp>
        <stp>前日比率</stp>
        <tr r="F341" s="7"/>
      </tp>
      <tp t="s">
        <v>表示銘柄数超過</v>
        <stp/>
        <stp>Market</stp>
        <stp>STOCK</stp>
        <stp>46900.T</stp>
        <stp>前日比率</stp>
        <tr r="F521" s="7"/>
      </tp>
      <tp t="s">
        <v>表示銘柄数超過</v>
        <stp/>
        <stp>Market</stp>
        <stp>STOCK</stp>
        <stp>26930.T</stp>
        <stp>前日比率</stp>
        <tr r="F183" s="7"/>
      </tp>
      <tp>
        <v>-3.13</v>
        <stp/>
        <stp>Market</stp>
        <stp>STOCK</stp>
        <stp>76920.T</stp>
        <stp>前日比率</stp>
        <tr r="F920" s="7"/>
      </tp>
      <tp t="s">
        <v>表示銘柄数超過</v>
        <stp/>
        <stp>Market</stp>
        <stp>STOCK</stp>
        <stp>26940.T</stp>
        <stp>前日比率</stp>
        <tr r="F184" s="7"/>
      </tp>
      <tp>
        <v>-0.72</v>
        <stp/>
        <stp>Market</stp>
        <stp>STOCK</stp>
        <stp>86970.T</stp>
        <stp>前日比率</stp>
        <tr r="F1035" s="7"/>
      </tp>
      <tp>
        <v>-1.1499999999999999</v>
        <stp/>
        <stp>Market</stp>
        <stp>STOCK</stp>
        <stp>66960.T</stp>
        <stp>前日比率</stp>
        <tr r="F753" s="7"/>
      </tp>
      <tp t="s">
        <v>表示銘柄数超過</v>
        <stp/>
        <stp>Market</stp>
        <stp>STOCK</stp>
        <stp>36960.T</stp>
        <stp>前日比率</stp>
        <tr r="F342" s="7"/>
      </tp>
      <tp t="s">
        <v>表示銘柄数超過</v>
        <stp/>
        <stp>Market</stp>
        <stp>STOCK</stp>
        <stp>16990.T</stp>
        <stp>前日比率</stp>
        <tr r="F45" s="7"/>
      </tp>
      <tp>
        <v>1.53</v>
        <stp/>
        <stp>Market</stp>
        <stp>STOCK</stp>
        <stp>86980.T</stp>
        <stp>前日比率</stp>
        <tr r="F1036" s="7"/>
      </tp>
      <tp>
        <v>-0.34</v>
        <stp/>
        <stp>Market</stp>
        <stp>STOCK</stp>
        <stp>56980.T</stp>
        <stp>前日比率</stp>
        <tr r="F604" s="7"/>
      </tp>
      <tp t="s">
        <v>表示銘柄数超過</v>
        <stp/>
        <stp>Market</stp>
        <stp>STOCK</stp>
        <stp>36980.T</stp>
        <stp>前日比率</stp>
        <tr r="F343" s="7"/>
      </tp>
      <tp t="s">
        <v>表示銘柄数超過</v>
        <stp/>
        <stp>Market</stp>
        <stp>STOCK</stp>
        <stp>26980.T</stp>
        <stp>前日比率</stp>
        <tr r="F185" s="7"/>
      </tp>
      <tp t="s">
        <v>表示銘柄数超過</v>
        <stp/>
        <stp>Market</stp>
        <stp>STOCK</stp>
        <stp>26210.T</stp>
        <stp>前日比率</stp>
        <tr r="F170" s="7"/>
      </tp>
      <tp t="s">
        <v>表示銘柄数超過</v>
        <stp/>
        <stp>Market</stp>
        <stp>STOCK</stp>
        <stp>46200.T</stp>
        <stp>前日比率</stp>
        <tr r="F512" s="7"/>
      </tp>
      <tp t="s">
        <v>表示銘柄数超過</v>
        <stp/>
        <stp>Market</stp>
        <stp>STOCK</stp>
        <stp>26200.T</stp>
        <stp>前日比率</stp>
        <tr r="F169" s="7"/>
      </tp>
      <tp>
        <v>-1.18</v>
        <stp/>
        <stp>Market</stp>
        <stp>STOCK</stp>
        <stp>76230.T</stp>
        <stp>前日比率</stp>
        <tr r="F915" s="7"/>
      </tp>
      <tp>
        <v>1.81</v>
        <stp/>
        <stp>Market</stp>
        <stp>STOCK</stp>
        <stp>86220.T</stp>
        <stp>前日比率</stp>
        <tr r="F1032" s="7"/>
      </tp>
      <tp>
        <v>0</v>
        <stp/>
        <stp>Market</stp>
        <stp>STOCK</stp>
        <stp>66250.T</stp>
        <stp>前日比率</stp>
        <tr r="F739" s="7"/>
      </tp>
      <tp t="s">
        <v>表示銘柄数超過</v>
        <stp/>
        <stp>Market</stp>
        <stp>STOCK</stp>
        <stp>36250.T</stp>
        <stp>前日比率</stp>
        <tr r="F313" s="7"/>
      </tp>
      <tp>
        <v>0.54</v>
        <stp/>
        <stp>Market</stp>
        <stp>STOCK</stp>
        <stp>86240.T</stp>
        <stp>前日比率</stp>
        <tr r="F1033" s="7"/>
      </tp>
      <tp>
        <v>-1.37</v>
        <stp/>
        <stp>Market</stp>
        <stp>STOCK</stp>
        <stp>76240.T</stp>
        <stp>前日比率</stp>
        <tr r="F916" s="7"/>
      </tp>
      <tp t="s">
        <v>表示銘柄数超過</v>
        <stp/>
        <stp>Market</stp>
        <stp>STOCK</stp>
        <stp>36240.T</stp>
        <stp>前日比率</stp>
        <tr r="F312" s="7"/>
      </tp>
      <tp t="s">
        <v>表示銘柄数超過</v>
        <stp/>
        <stp>Market</stp>
        <stp>STOCK</stp>
        <stp>26240.T</stp>
        <stp>前日比率</stp>
        <tr r="F171" s="7"/>
      </tp>
      <tp t="s">
        <v>表示銘柄数超過</v>
        <stp/>
        <stp>Market</stp>
        <stp>STOCK</stp>
        <stp>36270.T</stp>
        <stp>前日比率</stp>
        <tr r="F315" s="7"/>
      </tp>
      <tp t="s">
        <v>表示銘柄数超過</v>
        <stp/>
        <stp>Market</stp>
        <stp>STOCK</stp>
        <stp>36260.T</stp>
        <stp>前日比率</stp>
        <tr r="F314" s="7"/>
      </tp>
      <tp>
        <v>-0.23</v>
        <stp/>
        <stp>Market</stp>
        <stp>STOCK</stp>
        <stp>86280.T</stp>
        <stp>前日比率</stp>
        <tr r="F1034" s="7"/>
      </tp>
      <tp t="s">
        <v>表示銘柄数超過</v>
        <stp/>
        <stp>Market</stp>
        <stp>STOCK</stp>
        <stp>46310.T</stp>
        <stp>前日比率</stp>
        <tr r="F470" s="7"/>
      </tp>
      <tp>
        <v>-0.5</v>
        <stp/>
        <stp>Market</stp>
        <stp>STOCK</stp>
        <stp>66300.T</stp>
        <stp>前日比率</stp>
        <tr r="F740" s="7"/>
      </tp>
      <tp>
        <v>-0.31</v>
        <stp/>
        <stp>Market</stp>
        <stp>STOCK</stp>
        <stp>66330.T</stp>
        <stp>前日比率</stp>
        <tr r="F742" s="7"/>
      </tp>
      <tp t="s">
        <v>表示銘柄数超過</v>
        <stp/>
        <stp>Market</stp>
        <stp>STOCK</stp>
        <stp>26330.T</stp>
        <stp>前日比率</stp>
        <tr r="F172" s="7"/>
      </tp>
      <tp>
        <v>2.1800000000000002</v>
        <stp/>
        <stp>Market</stp>
        <stp>STOCK</stp>
        <stp>66320.T</stp>
        <stp>前日比率</stp>
        <tr r="F741" s="7"/>
      </tp>
      <tp>
        <v>2.39</v>
        <stp/>
        <stp>Market</stp>
        <stp>STOCK</stp>
        <stp>56320.T</stp>
        <stp>前日比率</stp>
        <tr r="F602" s="7"/>
      </tp>
      <tp t="s">
        <v>表示銘柄数超過</v>
        <stp/>
        <stp>Market</stp>
        <stp>STOCK</stp>
        <stp>36320.T</stp>
        <stp>前日比率</stp>
        <tr r="F316" s="7"/>
      </tp>
      <tp>
        <v>-1.55</v>
        <stp/>
        <stp>Market</stp>
        <stp>STOCK</stp>
        <stp>66350.T</stp>
        <stp>前日比率</stp>
        <tr r="F744" s="7"/>
      </tp>
      <tp t="s">
        <v>表示銘柄数超過</v>
        <stp/>
        <stp>Market</stp>
        <stp>STOCK</stp>
        <stp>36350.T</stp>
        <stp>前日比率</stp>
        <tr r="F317" s="7"/>
      </tp>
      <tp t="s">
        <v>表示銘柄数超過</v>
        <stp/>
        <stp>Market</stp>
        <stp>STOCK</stp>
        <stp>26350.T</stp>
        <stp>前日比率</stp>
        <tr r="F174" s="7"/>
      </tp>
      <tp>
        <v>0.74</v>
        <stp/>
        <stp>Market</stp>
        <stp>STOCK</stp>
        <stp>66340.T</stp>
        <stp>前日比率</stp>
        <tr r="F743" s="7"/>
      </tp>
      <tp t="s">
        <v>表示銘柄数超過</v>
        <stp/>
        <stp>Market</stp>
        <stp>STOCK</stp>
        <stp>26340.T</stp>
        <stp>前日比率</stp>
        <tr r="F173" s="7"/>
      </tp>
      <tp t="s">
        <v>表示銘柄数超過</v>
        <stp/>
        <stp>Market</stp>
        <stp>STOCK</stp>
        <stp>36390.T</stp>
        <stp>前日比率</stp>
        <tr r="F318" s="7"/>
      </tp>
      <tp>
        <v>-0.74</v>
        <stp/>
        <stp>Market</stp>
        <stp>STOCK</stp>
        <stp>86010.T</stp>
        <stp>前日比率</stp>
        <tr r="F1025" s="7"/>
      </tp>
      <tp>
        <v>-0.41</v>
        <stp/>
        <stp>Market</stp>
        <stp>STOCK</stp>
        <stp>76010.T</stp>
        <stp>前日比率</stp>
        <tr r="F909" s="7"/>
      </tp>
      <tp t="s">
        <v>表示銘柄数超過</v>
        <stp/>
        <stp>Market</stp>
        <stp>STOCK</stp>
        <stp>96030.T</stp>
        <stp>前日比率</stp>
        <tr r="F1158" s="7"/>
      </tp>
      <tp>
        <v>0.55000000000000004</v>
        <stp/>
        <stp>Market</stp>
        <stp>STOCK</stp>
        <stp>76020.T</stp>
        <stp>前日比率</stp>
        <tr r="F910" s="7"/>
      </tp>
      <tp>
        <v>1.2</v>
        <stp/>
        <stp>Market</stp>
        <stp>STOCK</stp>
        <stp>76050.T</stp>
        <stp>前日比率</stp>
        <tr r="F911" s="7"/>
      </tp>
      <tp t="s">
        <v>表示銘柄数超過</v>
        <stp/>
        <stp>Market</stp>
        <stp>STOCK</stp>
        <stp>16050.T</stp>
        <stp>前日比率</stp>
        <tr r="F37" s="7"/>
      </tp>
      <tp>
        <v>-1.31</v>
        <stp/>
        <stp>Market</stp>
        <stp>STOCK</stp>
        <stp>86040.T</stp>
        <stp>前日比率</stp>
        <tr r="F1026" s="7"/>
      </tp>
      <tp t="s">
        <v>表示銘柄数超過</v>
        <stp/>
        <stp>Market</stp>
        <stp>STOCK</stp>
        <stp>36070.T</stp>
        <stp>前日比率</stp>
        <tr r="F311" s="7"/>
      </tp>
      <tp>
        <v>0.43</v>
        <stp/>
        <stp>Market</stp>
        <stp>STOCK</stp>
        <stp>86090.T</stp>
        <stp>前日比率</stp>
        <tr r="F1027" s="7"/>
      </tp>
      <tp t="s">
        <v>表示銘柄数超過</v>
        <stp/>
        <stp>Market</stp>
        <stp>STOCK</stp>
        <stp>46110.T</stp>
        <stp>前日比率</stp>
        <tr r="F508" s="7"/>
      </tp>
      <tp t="s">
        <v>表示銘柄数超過</v>
        <stp/>
        <stp>Market</stp>
        <stp>STOCK</stp>
        <stp>96100.T</stp>
        <stp>前日比率</stp>
        <tr r="F1159" s="7"/>
      </tp>
      <tp>
        <v>0</v>
        <stp/>
        <stp>Market</stp>
        <stp>STOCK</stp>
        <stp>76100.T</stp>
        <stp>前日比率</stp>
        <tr r="F912" s="7"/>
      </tp>
      <tp t="s">
        <v>表示銘柄数超過</v>
        <stp/>
        <stp>Market</stp>
        <stp>STOCK</stp>
        <stp>96130.T</stp>
        <stp>前日比率</stp>
        <tr r="F1160" s="7"/>
      </tp>
      <tp>
        <v>-0.22</v>
        <stp/>
        <stp>Market</stp>
        <stp>STOCK</stp>
        <stp>86130.T</stp>
        <stp>前日比率</stp>
        <tr r="F1028" s="7"/>
      </tp>
      <tp>
        <v>2.9</v>
        <stp/>
        <stp>Market</stp>
        <stp>STOCK</stp>
        <stp>66130.T</stp>
        <stp>前日比率</stp>
        <tr r="F736" s="7"/>
      </tp>
      <tp t="s">
        <v>表示銘柄数超過</v>
        <stp/>
        <stp>Market</stp>
        <stp>STOCK</stp>
        <stp>46130.T</stp>
        <stp>前日比率</stp>
        <tr r="F510" s="7"/>
      </tp>
      <tp>
        <v>0</v>
        <stp/>
        <stp>Market</stp>
        <stp>STOCK</stp>
        <stp>56120.T</stp>
        <stp>前日比率</stp>
        <tr r="F601" s="7"/>
      </tp>
      <tp t="s">
        <v>表示銘柄数超過</v>
        <stp/>
        <stp>Market</stp>
        <stp>STOCK</stp>
        <stp>46120.T</stp>
        <stp>前日比率</stp>
        <tr r="F509" s="7"/>
      </tp>
      <tp>
        <v>0</v>
        <stp/>
        <stp>Market</stp>
        <stp>STOCK</stp>
        <stp>76150.T</stp>
        <stp>前日比率</stp>
        <tr r="F913" s="7"/>
      </tp>
      <tp t="s">
        <v>表示銘柄数超過</v>
        <stp/>
        <stp>Market</stp>
        <stp>STOCK</stp>
        <stp>16150.T</stp>
        <stp>前日比率</stp>
        <tr r="F38" s="7"/>
      </tp>
      <tp>
        <v>-0.3</v>
        <stp/>
        <stp>Market</stp>
        <stp>STOCK</stp>
        <stp>86140.T</stp>
        <stp>前日比率</stp>
        <tr r="F1029" s="7"/>
      </tp>
      <tp>
        <v>-0.34</v>
        <stp/>
        <stp>Market</stp>
        <stp>STOCK</stp>
        <stp>86170.T</stp>
        <stp>前日比率</stp>
        <tr r="F1031" s="7"/>
      </tp>
      <tp>
        <v>0.81</v>
        <stp/>
        <stp>Market</stp>
        <stp>STOCK</stp>
        <stp>66170.T</stp>
        <stp>前日比率</stp>
        <tr r="F737" s="7"/>
      </tp>
      <tp>
        <v>0.18</v>
        <stp/>
        <stp>Market</stp>
        <stp>STOCK</stp>
        <stp>86160.T</stp>
        <stp>前日比率</stp>
        <tr r="F1030" s="7"/>
      </tp>
      <tp>
        <v>-1.22</v>
        <stp/>
        <stp>Market</stp>
        <stp>STOCK</stp>
        <stp>66190.T</stp>
        <stp>前日比率</stp>
        <tr r="F738" s="7"/>
      </tp>
      <tp t="s">
        <v>表示銘柄数超過</v>
        <stp/>
        <stp>Market</stp>
        <stp>STOCK</stp>
        <stp>46190.T</stp>
        <stp>前日比率</stp>
        <tr r="F511" s="7"/>
      </tp>
      <tp t="s">
        <v>表示銘柄数超過</v>
        <stp/>
        <stp>Market</stp>
        <stp>STOCK</stp>
        <stp>36600.T</stp>
        <stp>前日比率</stp>
        <tr r="F325" s="7"/>
      </tp>
      <tp t="s">
        <v>表示銘柄数超過</v>
        <stp/>
        <stp>Market</stp>
        <stp>STOCK</stp>
        <stp>36630.T</stp>
        <stp>前日比率</stp>
        <tr r="F326" s="7"/>
      </tp>
      <tp t="s">
        <v>表示銘柄数超過</v>
        <stp/>
        <stp>Market</stp>
        <stp>STOCK</stp>
        <stp>36650.T</stp>
        <stp>前日比率</stp>
        <tr r="F328" s="7"/>
      </tp>
      <tp t="s">
        <v>表示銘柄数超過</v>
        <stp/>
        <stp>Market</stp>
        <stp>STOCK</stp>
        <stp>46640.T</stp>
        <stp>前日比率</stp>
        <tr r="F515" s="7"/>
      </tp>
      <tp t="s">
        <v>表示銘柄数超過</v>
        <stp/>
        <stp>Market</stp>
        <stp>STOCK</stp>
        <stp>36640.T</stp>
        <stp>前日比率</stp>
        <tr r="F327" s="7"/>
      </tp>
      <tp t="s">
        <v>表示銘柄数超過</v>
        <stp/>
        <stp>Market</stp>
        <stp>STOCK</stp>
        <stp>46670.T</stp>
        <stp>前日比率</stp>
        <tr r="F516" s="7"/>
        <tr r="F517" s="7"/>
      </tp>
      <tp t="s">
        <v>表示銘柄数超過</v>
        <stp/>
        <stp>Market</stp>
        <stp>STOCK</stp>
        <stp>36670.T</stp>
        <stp>前日比率</stp>
        <tr r="F330" s="7"/>
      </tp>
      <tp t="s">
        <v>表示銘柄数超過</v>
        <stp/>
        <stp>Market</stp>
        <stp>STOCK</stp>
        <stp>26670.T</stp>
        <stp>前日比率</stp>
        <tr r="F178" s="7"/>
      </tp>
      <tp>
        <v>-1.79</v>
        <stp/>
        <stp>Market</stp>
        <stp>STOCK</stp>
        <stp>66660.T</stp>
        <stp>前日比率</stp>
        <tr r="F750" s="7"/>
      </tp>
      <tp t="s">
        <v>表示銘柄数超過</v>
        <stp/>
        <stp>Market</stp>
        <stp>STOCK</stp>
        <stp>36660.T</stp>
        <stp>前日比率</stp>
        <tr r="F329" s="7"/>
      </tp>
      <tp t="s">
        <v>表示銘柄数超過</v>
        <stp/>
        <stp>Market</stp>
        <stp>STOCK</stp>
        <stp>26660.T</stp>
        <stp>前日比率</stp>
        <tr r="F177" s="7"/>
      </tp>
      <tp t="s">
        <v>表示銘柄数超過</v>
        <stp/>
        <stp>Market</stp>
        <stp>STOCK</stp>
        <stp>36680.T</stp>
        <stp>前日比率</stp>
        <tr r="F331" s="7"/>
      </tp>
      <tp t="s">
        <v>表示銘柄数超過</v>
        <stp/>
        <stp>Market</stp>
        <stp>STOCK</stp>
        <stp>16710.T</stp>
        <stp>前日比率</stp>
        <tr r="F41" s="7"/>
      </tp>
      <tp t="s">
        <v>表示銘柄数超過</v>
        <stp/>
        <stp>Market</stp>
        <stp>STOCK</stp>
        <stp>36720.T</stp>
        <stp>前日比率</stp>
        <tr r="F332" s="7"/>
      </tp>
      <tp t="s">
        <v>表示銘柄数超過</v>
        <stp/>
        <stp>Market</stp>
        <stp>STOCK</stp>
        <stp>36740.T</stp>
        <stp>前日比率</stp>
        <tr r="F333" s="7"/>
      </tp>
      <tp t="s">
        <v>表示銘柄数超過</v>
        <stp/>
        <stp>Market</stp>
        <stp>STOCK</stp>
        <stp>26740.T</stp>
        <stp>前日比率</stp>
        <tr r="F179" s="7"/>
      </tp>
      <tp>
        <v>1.26</v>
        <stp/>
        <stp>Market</stp>
        <stp>STOCK</stp>
        <stp>66770.T</stp>
        <stp>前日比率</stp>
        <tr r="F752" s="7"/>
      </tp>
      <tp t="s">
        <v>表示銘柄数超過</v>
        <stp/>
        <stp>Market</stp>
        <stp>STOCK</stp>
        <stp>36770.T</stp>
        <stp>前日比率</stp>
        <tr r="F335" s="7"/>
      </tp>
      <tp>
        <v>1.69</v>
        <stp/>
        <stp>Market</stp>
        <stp>STOCK</stp>
        <stp>76760.T</stp>
        <stp>前日比率</stp>
        <tr r="F919" s="7"/>
      </tp>
      <tp>
        <v>-0.15</v>
        <stp/>
        <stp>Market</stp>
        <stp>STOCK</stp>
        <stp>66760.T</stp>
        <stp>前日比率</stp>
        <tr r="F751" s="7"/>
      </tp>
      <tp t="s">
        <v>表示銘柄数超過</v>
        <stp/>
        <stp>Market</stp>
        <stp>STOCK</stp>
        <stp>46760.T</stp>
        <stp>前日比率</stp>
        <tr r="F518" s="7"/>
      </tp>
      <tp t="s">
        <v>表示銘柄数超過</v>
        <stp/>
        <stp>Market</stp>
        <stp>STOCK</stp>
        <stp>36760.T</stp>
        <stp>前日比率</stp>
        <tr r="F334" s="7"/>
      </tp>
      <tp t="s">
        <v>表示銘柄数超過</v>
        <stp/>
        <stp>Market</stp>
        <stp>STOCK</stp>
        <stp>16780.T</stp>
        <stp>前日比率</stp>
        <tr r="F42" s="7"/>
      </tp>
      <tp>
        <v>-0.63</v>
        <stp/>
        <stp>Market</stp>
        <stp>STOCK</stp>
        <stp>76400.T</stp>
        <stp>前日比率</stp>
        <tr r="F917" s="7"/>
      </tp>
      <tp>
        <v>1.1499999999999999</v>
        <stp/>
        <stp>Market</stp>
        <stp>STOCK</stp>
        <stp>66400.T</stp>
        <stp>前日比率</stp>
        <tr r="F745" s="7"/>
      </tp>
      <tp t="s">
        <v>表示銘柄数超過</v>
        <stp/>
        <stp>Market</stp>
        <stp>STOCK</stp>
        <stp>36450.T</stp>
        <stp>前日比率</stp>
        <tr r="F319" s="7"/>
      </tp>
      <tp>
        <v>-4.6399999999999997</v>
        <stp/>
        <stp>Market</stp>
        <stp>STOCK</stp>
        <stp>66440.T</stp>
        <stp>前日比率</stp>
        <tr r="F746" s="7"/>
      </tp>
      <tp>
        <v>0</v>
        <stp/>
        <stp>Market</stp>
        <stp>STOCK</stp>
        <stp>76470.T</stp>
        <stp>前日比率</stp>
        <tr r="F918" s="7"/>
      </tp>
      <tp t="s">
        <v>表示銘柄数超過</v>
        <stp/>
        <stp>Market</stp>
        <stp>STOCK</stp>
        <stp>36470.T</stp>
        <stp>前日比率</stp>
        <tr r="F320" s="7"/>
      </tp>
      <tp t="s">
        <v>表示銘柄数超過</v>
        <stp/>
        <stp>Market</stp>
        <stp>STOCK</stp>
        <stp>36490.T</stp>
        <stp>前日比率</stp>
        <tr r="F321" s="7"/>
      </tp>
      <tp t="s">
        <v>表示銘柄数超過</v>
        <stp/>
        <stp>Market</stp>
        <stp>STOCK</stp>
        <stp>46510.T</stp>
        <stp>前日比率</stp>
        <tr r="F513" s="7"/>
      </tp>
      <tp t="s">
        <v>表示銘柄数超過</v>
        <stp/>
        <stp>Market</stp>
        <stp>STOCK</stp>
        <stp>26510.T</stp>
        <stp>前日比率</stp>
        <tr r="F175" s="7"/>
      </tp>
      <tp t="s">
        <v>表示銘柄数超過</v>
        <stp/>
        <stp>Market</stp>
        <stp>STOCK</stp>
        <stp>36520.T</stp>
        <stp>前日比率</stp>
        <tr r="F322" s="7"/>
      </tp>
      <tp t="s">
        <v>表示銘柄数超過</v>
        <stp/>
        <stp>Market</stp>
        <stp>STOCK</stp>
        <stp>36550.T</stp>
        <stp>前日比率</stp>
        <tr r="F323" s="7"/>
      </tp>
      <tp t="s">
        <v>表示銘柄数超過</v>
        <stp/>
        <stp>Market</stp>
        <stp>STOCK</stp>
        <stp>16550.T</stp>
        <stp>前日比率</stp>
        <tr r="F39" s="7"/>
      </tp>
      <tp>
        <v>-1.03</v>
        <stp/>
        <stp>Market</stp>
        <stp>STOCK</stp>
        <stp>66540.T</stp>
        <stp>前日比率</stp>
        <tr r="F747" s="7"/>
      </tp>
      <tp t="s">
        <v>表示銘柄数超過</v>
        <stp/>
        <stp>Market</stp>
        <stp>STOCK</stp>
        <stp>46570.T</stp>
        <stp>前日比率</stp>
        <tr r="F514" s="7"/>
      </tp>
      <tp t="s">
        <v>表示銘柄数超過</v>
        <stp/>
        <stp>Market</stp>
        <stp>STOCK</stp>
        <stp>96560.T</stp>
        <stp>前日比率</stp>
        <tr r="F1161" s="7"/>
      </tp>
      <tp t="s">
        <v>表示銘柄数超過</v>
        <stp/>
        <stp>Market</stp>
        <stp>STOCK</stp>
        <stp>36560.T</stp>
        <stp>前日比率</stp>
        <tr r="F324" s="7"/>
      </tp>
      <tp t="s">
        <v>表示銘柄数超過</v>
        <stp/>
        <stp>Market</stp>
        <stp>STOCK</stp>
        <stp>26560.T</stp>
        <stp>前日比率</stp>
        <tr r="F176" s="7"/>
      </tp>
      <tp t="s">
        <v>表示銘柄数超過</v>
        <stp/>
        <stp>Market</stp>
        <stp>STOCK</stp>
        <stp>16560.T</stp>
        <stp>前日比率</stp>
        <tr r="F40" s="7"/>
      </tp>
      <tp>
        <v>2.86</v>
        <stp/>
        <stp>Market</stp>
        <stp>STOCK</stp>
        <stp>66590.T</stp>
        <stp>前日比率</stp>
        <tr r="F749" s="7"/>
      </tp>
      <tp>
        <v>-2.41</v>
        <stp/>
        <stp>Market</stp>
        <stp>STOCK</stp>
        <stp>66580.T</stp>
        <stp>前日比率</stp>
        <tr r="F748" s="7"/>
      </tp>
      <tp>
        <v>1.22</v>
        <stp/>
        <stp>Market</stp>
        <stp>STOCK</stp>
        <stp>56580.T</stp>
        <stp>前日比率</stp>
        <tr r="F603" s="7"/>
      </tp>
      <tp t="s">
        <v>表示銘柄数超過</v>
        <stp/>
        <stp>Market</stp>
        <stp>STOCK</stp>
        <stp>97830.T</stp>
        <stp>前日比率</stp>
        <tr r="F1167" s="7"/>
      </tp>
      <tp t="s">
        <v>表示銘柄数超過</v>
        <stp/>
        <stp>Market</stp>
        <stp>STOCK</stp>
        <stp>87830.T</stp>
        <stp>前日比率</stp>
        <tr r="F1047" s="7"/>
      </tp>
      <tp t="s">
        <v>表示銘柄数超過</v>
        <stp/>
        <stp>Market</stp>
        <stp>STOCK</stp>
        <stp>17830.T</stp>
        <stp>前日比率</stp>
        <tr r="F56" s="7"/>
      </tp>
      <tp t="s">
        <v>表示銘柄数超過</v>
        <stp/>
        <stp>Market</stp>
        <stp>STOCK</stp>
        <stp>97820.T</stp>
        <stp>前日比率</stp>
        <tr r="F1166" s="7"/>
      </tp>
      <tp t="s">
        <v>表示銘柄数超過</v>
        <stp/>
        <stp>Market</stp>
        <stp>STOCK</stp>
        <stp>27820.T</stp>
        <stp>前日比率</stp>
        <tr r="F199" s="7"/>
      </tp>
      <tp t="s">
        <v>表示銘柄数超過</v>
        <stp/>
        <stp>Market</stp>
        <stp>STOCK</stp>
        <stp>47840.T</stp>
        <stp>前日比率</stp>
        <tr r="F535" s="7"/>
      </tp>
      <tp t="s">
        <v>表示銘柄数超過</v>
        <stp/>
        <stp>Market</stp>
        <stp>STOCK</stp>
        <stp>37840.T</stp>
        <stp>前日比率</stp>
        <tr r="F359" s="7"/>
      </tp>
      <tp t="s">
        <v>表示銘柄数超過</v>
        <stp/>
        <stp>Market</stp>
        <stp>STOCK</stp>
        <stp>97870.T</stp>
        <stp>前日比率</stp>
        <tr r="F1168" s="7"/>
      </tp>
      <tp t="s">
        <v>表示銘柄数超過</v>
        <stp/>
        <stp>Market</stp>
        <stp>STOCK</stp>
        <stp>87890.T</stp>
        <stp>前日比率</stp>
        <tr r="F1048" s="7"/>
      </tp>
      <tp t="s">
        <v>表示銘柄数超過</v>
        <stp/>
        <stp>Market</stp>
        <stp>STOCK</stp>
        <stp>97880.T</stp>
        <stp>前日比率</stp>
        <tr r="F1169" s="7"/>
      </tp>
      <tp t="s">
        <v>表示銘柄数超過</v>
        <stp/>
        <stp>Market</stp>
        <stp>STOCK</stp>
        <stp>27900.T</stp>
        <stp>前日比率</stp>
        <tr r="F200" s="7"/>
      </tp>
      <tp t="s">
        <v>表示銘柄数超過</v>
        <stp/>
        <stp>Market</stp>
        <stp>STOCK</stp>
        <stp>87930.T</stp>
        <stp>前日比率</stp>
        <tr r="F1049" s="7"/>
      </tp>
      <tp t="s">
        <v>表示銘柄数超過</v>
        <stp/>
        <stp>Market</stp>
        <stp>STOCK</stp>
        <stp>37930.T</stp>
        <stp>前日比率</stp>
        <tr r="F360" s="7"/>
      </tp>
      <tp>
        <v>-1.67</v>
        <stp/>
        <stp>Market</stp>
        <stp>STOCK</stp>
        <stp>77920.T</stp>
        <stp>前日比率</stp>
        <tr r="F935" s="7"/>
      </tp>
      <tp>
        <v>2.02</v>
        <stp/>
        <stp>Market</stp>
        <stp>STOCK</stp>
        <stp>77950.T</stp>
        <stp>前日比率</stp>
        <tr r="F937" s="7"/>
      </tp>
      <tp>
        <v>-2.36</v>
        <stp/>
        <stp>Market</stp>
        <stp>STOCK</stp>
        <stp>77940.T</stp>
        <stp>前日比率</stp>
        <tr r="F936" s="7"/>
      </tp>
      <tp>
        <v>0</v>
        <stp/>
        <stp>Market</stp>
        <stp>STOCK</stp>
        <stp>67210.T</stp>
        <stp>前日比率</stp>
        <tr r="F756" s="7"/>
      </tp>
      <tp t="s">
        <v>表示銘柄数超過</v>
        <stp/>
        <stp>Market</stp>
        <stp>STOCK</stp>
        <stp>27210.T</stp>
        <stp>前日比率</stp>
        <tr r="F187" s="7"/>
      </tp>
      <tp t="s">
        <v>表示銘柄数超過</v>
        <stp/>
        <stp>Market</stp>
        <stp>STOCK</stp>
        <stp>17210.T</stp>
        <stp>前日比率</stp>
        <tr r="F51" s="7"/>
      </tp>
      <tp t="s">
        <v>表示銘柄数超過</v>
        <stp/>
        <stp>Market</stp>
        <stp>STOCK</stp>
        <stp>47200.T</stp>
        <stp>前日比率</stp>
        <tr r="F526" s="7"/>
      </tp>
      <tp t="s">
        <v>表示銘柄数超過</v>
        <stp/>
        <stp>Market</stp>
        <stp>STOCK</stp>
        <stp>17200.T</stp>
        <stp>前日比率</stp>
        <tr r="F50" s="7"/>
      </tp>
      <tp t="s">
        <v>表示銘柄数超過</v>
        <stp/>
        <stp>Market</stp>
        <stp>STOCK</stp>
        <stp>97230.T</stp>
        <stp>前日比率</stp>
        <tr r="F1163" s="7"/>
      </tp>
      <tp>
        <v>-2.42</v>
        <stp/>
        <stp>Market</stp>
        <stp>STOCK</stp>
        <stp>67230.T</stp>
        <stp>前日比率</stp>
        <tr r="F757" s="7"/>
      </tp>
      <tp t="s">
        <v>表示銘柄数超過</v>
        <stp/>
        <stp>Market</stp>
        <stp>STOCK</stp>
        <stp>37230.T</stp>
        <stp>前日比率</stp>
        <tr r="F346" s="7"/>
      </tp>
      <tp>
        <v>0</v>
        <stp/>
        <stp>Market</stp>
        <stp>STOCK</stp>
        <stp>77220.T</stp>
        <stp>前日比率</stp>
        <tr r="F923" s="7"/>
      </tp>
      <tp t="s">
        <v>表示銘柄数超過</v>
        <stp/>
        <stp>Market</stp>
        <stp>STOCK</stp>
        <stp>27220.T</stp>
        <stp>前日比率</stp>
        <tr r="F188" s="7"/>
      </tp>
      <tp>
        <v>0.18</v>
        <stp/>
        <stp>Market</stp>
        <stp>STOCK</stp>
        <stp>77250.T</stp>
        <stp>前日比率</stp>
        <tr r="F924" s="7"/>
      </tp>
      <tp>
        <v>0.92</v>
        <stp/>
        <stp>Market</stp>
        <stp>STOCK</stp>
        <stp>57270.T</stp>
        <stp>前日比率</stp>
        <tr r="F609" s="7"/>
      </tp>
      <tp t="s">
        <v>表示銘柄数超過</v>
        <stp/>
        <stp>Market</stp>
        <stp>STOCK</stp>
        <stp>37270.T</stp>
        <stp>前日比率</stp>
        <tr r="F347" s="7"/>
      </tp>
      <tp>
        <v>1.27</v>
        <stp/>
        <stp>Market</stp>
        <stp>STOCK</stp>
        <stp>57260.T</stp>
        <stp>前日比率</stp>
        <tr r="F608" s="7"/>
      </tp>
      <tp t="s">
        <v>表示銘柄数超過</v>
        <stp/>
        <stp>Market</stp>
        <stp>STOCK</stp>
        <stp>47260.T</stp>
        <stp>前日比率</stp>
        <tr r="F527" s="7"/>
      </tp>
      <tp>
        <v>-1.28</v>
        <stp/>
        <stp>Market</stp>
        <stp>STOCK</stp>
        <stp>67310.T</stp>
        <stp>前日比率</stp>
        <tr r="F758" s="7"/>
      </tp>
      <tp t="s">
        <v>表示銘柄数超過</v>
        <stp/>
        <stp>Market</stp>
        <stp>STOCK</stp>
        <stp>17300.T</stp>
        <stp>前日比率</stp>
        <tr r="F52" s="7"/>
      </tp>
      <tp>
        <v>-1.65</v>
        <stp/>
        <stp>Market</stp>
        <stp>STOCK</stp>
        <stp>87320.T</stp>
        <stp>前日比率</stp>
        <tr r="F1040" s="7"/>
      </tp>
      <tp>
        <v>-1.49</v>
        <stp/>
        <stp>Market</stp>
        <stp>STOCK</stp>
        <stp>77320.T</stp>
        <stp>前日比率</stp>
        <tr r="F925" s="7"/>
      </tp>
      <tp t="s">
        <v>表示銘柄数超過</v>
        <stp/>
        <stp>Market</stp>
        <stp>STOCK</stp>
        <stp>27350.T</stp>
        <stp>前日比率</stp>
        <tr r="F190" s="7"/>
      </tp>
      <tp t="s">
        <v>表示銘柄数超過</v>
        <stp/>
        <stp>Market</stp>
        <stp>STOCK</stp>
        <stp>27340.T</stp>
        <stp>前日比率</stp>
        <tr r="F189" s="7"/>
      </tp>
      <tp>
        <v>0</v>
        <stp/>
        <stp>Market</stp>
        <stp>STOCK</stp>
        <stp>87370.T</stp>
        <stp>前日比率</stp>
        <tr r="F1041" s="7"/>
      </tp>
      <tp>
        <v>-1.89</v>
        <stp/>
        <stp>Market</stp>
        <stp>STOCK</stp>
        <stp>77390.T</stp>
        <stp>前日比率</stp>
        <tr r="F926" s="7"/>
      </tp>
      <tp t="s">
        <v>表示銘柄数超過</v>
        <stp/>
        <stp>Market</stp>
        <stp>STOCK</stp>
        <stp>37380.T</stp>
        <stp>前日比率</stp>
        <tr r="F348" s="7"/>
      </tp>
      <tp>
        <v>1.01</v>
        <stp/>
        <stp>Market</stp>
        <stp>STOCK</stp>
        <stp>67010.T</stp>
        <stp>前日比率</stp>
        <tr r="F754" s="7"/>
      </tp>
      <tp>
        <v>0.23</v>
        <stp/>
        <stp>Market</stp>
        <stp>STOCK</stp>
        <stp>57030.T</stp>
        <stp>前日比率</stp>
        <tr r="F605" s="7"/>
      </tp>
      <tp>
        <v>-0.67</v>
        <stp/>
        <stp>Market</stp>
        <stp>STOCK</stp>
        <stp>67020.T</stp>
        <stp>前日比率</stp>
        <tr r="F755" s="7"/>
      </tp>
      <tp t="s">
        <v>表示銘柄数超過</v>
        <stp/>
        <stp>Market</stp>
        <stp>STOCK</stp>
        <stp>27020.T</stp>
        <stp>前日比率</stp>
        <tr r="F186" s="7"/>
      </tp>
      <tp>
        <v>0</v>
        <stp/>
        <stp>Market</stp>
        <stp>STOCK</stp>
        <stp>87050.T</stp>
        <stp>前日比率</stp>
        <tr r="F1037" s="7"/>
      </tp>
      <tp t="s">
        <v>表示銘柄数超過</v>
        <stp/>
        <stp>Market</stp>
        <stp>STOCK</stp>
        <stp>47050.T</stp>
        <stp>前日比率</stp>
        <tr r="F522" s="7"/>
      </tp>
      <tp>
        <v>-1.79</v>
        <stp/>
        <stp>Market</stp>
        <stp>STOCK</stp>
        <stp>57040.T</stp>
        <stp>前日比率</stp>
        <tr r="F606" s="7"/>
      </tp>
      <tp t="s">
        <v>表示銘柄数超過</v>
        <stp/>
        <stp>Market</stp>
        <stp>STOCK</stp>
        <stp>47070.T</stp>
        <stp>前日比率</stp>
        <tr r="F523" s="7"/>
      </tp>
      <tp>
        <v>1.84</v>
        <stp/>
        <stp>Market</stp>
        <stp>STOCK</stp>
        <stp>87060.T</stp>
        <stp>前日比率</stp>
        <tr r="F1038" s="7"/>
      </tp>
      <tp t="s">
        <v>表示銘柄数超過</v>
        <stp/>
        <stp>Market</stp>
        <stp>STOCK</stp>
        <stp>97090.T</stp>
        <stp>前日比率</stp>
        <tr r="F1162" s="7"/>
      </tp>
      <tp>
        <v>0</v>
        <stp/>
        <stp>Market</stp>
        <stp>STOCK</stp>
        <stp>77090.T</stp>
        <stp>前日比率</stp>
        <tr r="F921" s="7"/>
      </tp>
      <tp>
        <v>0.08</v>
        <stp/>
        <stp>Market</stp>
        <stp>STOCK</stp>
        <stp>87080.T</stp>
        <stp>前日比率</stp>
        <tr r="F1039" s="7"/>
      </tp>
      <tp>
        <v>2.25</v>
        <stp/>
        <stp>Market</stp>
        <stp>STOCK</stp>
        <stp>57110.T</stp>
        <stp>前日比率</stp>
        <tr r="F607" s="7"/>
      </tp>
      <tp t="s">
        <v>表示銘柄数超過</v>
        <stp/>
        <stp>Market</stp>
        <stp>STOCK</stp>
        <stp>17110.T</stp>
        <stp>前日比率</stp>
        <tr r="F46" s="7"/>
      </tp>
      <tp t="s">
        <v>表示銘柄数超過</v>
        <stp/>
        <stp>Market</stp>
        <stp>STOCK</stp>
        <stp>37100.T</stp>
        <stp>前日比率</stp>
        <tr r="F344" s="7"/>
      </tp>
      <tp t="s">
        <v>表示銘柄数超過</v>
        <stp/>
        <stp>Market</stp>
        <stp>STOCK</stp>
        <stp>17120.T</stp>
        <stp>前日比率</stp>
        <tr r="F47" s="7"/>
      </tp>
      <tp t="s">
        <v>表示銘柄数超過</v>
        <stp/>
        <stp>Market</stp>
        <stp>STOCK</stp>
        <stp>47140.T</stp>
        <stp>前日比率</stp>
        <tr r="F524" s="7"/>
      </tp>
      <tp t="s">
        <v>表示銘柄数超過</v>
        <stp/>
        <stp>Market</stp>
        <stp>STOCK</stp>
        <stp>47160.T</stp>
        <stp>前日比率</stp>
        <tr r="F525" s="7"/>
      </tp>
      <tp t="s">
        <v>表示銘柄数超過</v>
        <stp/>
        <stp>Market</stp>
        <stp>STOCK</stp>
        <stp>17160.T</stp>
        <stp>前日比率</stp>
        <tr r="F48" s="7"/>
      </tp>
      <tp>
        <v>-2.27</v>
        <stp/>
        <stp>Market</stp>
        <stp>STOCK</stp>
        <stp>77190.T</stp>
        <stp>前日比率</stp>
        <tr r="F922" s="7"/>
      </tp>
      <tp t="s">
        <v>表示銘柄数超過</v>
        <stp/>
        <stp>Market</stp>
        <stp>STOCK</stp>
        <stp>37190.T</stp>
        <stp>前日比率</stp>
        <tr r="F345" s="7"/>
      </tp>
      <tp t="s">
        <v>表示銘柄数超過</v>
        <stp/>
        <stp>Market</stp>
        <stp>STOCK</stp>
        <stp>17190.T</stp>
        <stp>前日比率</stp>
        <tr r="F49" s="7"/>
      </tp>
      <tp t="s">
        <v>表示銘柄数超過</v>
        <stp/>
        <stp>Market</stp>
        <stp>STOCK</stp>
        <stp>97600.T</stp>
        <stp>前日比率</stp>
        <tr r="F1164" s="7"/>
      </tp>
      <tp t="s">
        <v>表示銘柄数超過</v>
        <stp/>
        <stp>Market</stp>
        <stp>STOCK</stp>
        <stp>37600.T</stp>
        <stp>前日比率</stp>
        <tr r="F352" s="7"/>
      </tp>
      <tp>
        <v>1.78</v>
        <stp/>
        <stp>Market</stp>
        <stp>STOCK</stp>
        <stp>77620.T</stp>
        <stp>前日比率</stp>
        <tr r="F930" s="7"/>
      </tp>
      <tp>
        <v>-1.63</v>
        <stp/>
        <stp>Market</stp>
        <stp>STOCK</stp>
        <stp>67620.T</stp>
        <stp>前日比率</stp>
        <tr r="F768" s="7"/>
      </tp>
      <tp t="s">
        <v>表示銘柄数超過</v>
        <stp/>
        <stp>Market</stp>
        <stp>STOCK</stp>
        <stp>27620.T</stp>
        <stp>前日比率</stp>
        <tr r="F193" s="7"/>
      </tp>
      <tp t="s">
        <v>表示銘柄数超過</v>
        <stp/>
        <stp>Market</stp>
        <stp>STOCK</stp>
        <stp>97650.T</stp>
        <stp>前日比率</stp>
        <tr r="F1165" s="7"/>
      </tp>
      <tp t="s">
        <v>表示銘柄数超過</v>
        <stp/>
        <stp>Market</stp>
        <stp>STOCK</stp>
        <stp>27640.T</stp>
        <stp>前日比率</stp>
        <tr r="F194" s="7"/>
      </tp>
      <tp t="s">
        <v>表示銘柄数超過</v>
        <stp/>
        <stp>Market</stp>
        <stp>STOCK</stp>
        <stp>47670.T</stp>
        <stp>前日比率</stp>
        <tr r="F531" s="7"/>
      </tp>
      <tp t="s">
        <v>表示銘柄数超過</v>
        <stp/>
        <stp>Market</stp>
        <stp>STOCK</stp>
        <stp>27670.T</stp>
        <stp>前日比率</stp>
        <tr r="F195" s="7"/>
      </tp>
      <tp t="s">
        <v>表示銘柄数超過</v>
        <stp/>
        <stp>Market</stp>
        <stp>STOCK</stp>
        <stp>87660.T</stp>
        <stp>前日比率</stp>
        <tr r="F1045" s="7"/>
      </tp>
      <tp t="s">
        <v>表示銘柄数超過</v>
        <stp/>
        <stp>Market</stp>
        <stp>STOCK</stp>
        <stp>47660.T</stp>
        <stp>前日比率</stp>
        <tr r="F530" s="7"/>
      </tp>
      <tp t="s">
        <v>表示銘柄数超過</v>
        <stp/>
        <stp>Market</stp>
        <stp>STOCK</stp>
        <stp>87690.T</stp>
        <stp>前日比率</stp>
        <tr r="F1046" s="7"/>
      </tp>
      <tp>
        <v>1.31</v>
        <stp/>
        <stp>Market</stp>
        <stp>STOCK</stp>
        <stp>67680.T</stp>
        <stp>前日比率</stp>
        <tr r="F769" s="7"/>
      </tp>
      <tp t="s">
        <v>表示銘柄数超過</v>
        <stp/>
        <stp>Market</stp>
        <stp>STOCK</stp>
        <stp>27680.T</stp>
        <stp>前日比率</stp>
        <tr r="F196" s="7"/>
      </tp>
      <tp>
        <v>0</v>
        <stp/>
        <stp>Market</stp>
        <stp>STOCK</stp>
        <stp>77710.T</stp>
        <stp>前日比率</stp>
        <tr r="F931" s="7"/>
      </tp>
      <tp t="s">
        <v>表示銘柄数超過</v>
        <stp/>
        <stp>Market</stp>
        <stp>STOCK</stp>
        <stp>47700.T</stp>
        <stp>前日比率</stp>
        <tr r="F532" s="7"/>
      </tp>
      <tp t="s">
        <v>表示銘柄数超過</v>
        <stp/>
        <stp>Market</stp>
        <stp>STOCK</stp>
        <stp>37700.T</stp>
        <stp>前日比率</stp>
        <tr r="F353" s="7"/>
      </tp>
      <tp t="s">
        <v>表示銘柄数超過</v>
        <stp/>
        <stp>Market</stp>
        <stp>STOCK</stp>
        <stp>17700.T</stp>
        <stp>前日比率</stp>
        <tr r="F55" s="7"/>
      </tp>
      <tp t="s">
        <v>表示銘柄数超過</v>
        <stp/>
        <stp>Market</stp>
        <stp>STOCK</stp>
        <stp>37730.T</stp>
        <stp>前日比率</stp>
        <tr r="F354" s="7"/>
      </tp>
      <tp>
        <v>-4.04</v>
        <stp/>
        <stp>Market</stp>
        <stp>STOCK</stp>
        <stp>67750.T</stp>
        <stp>前日比率</stp>
        <tr r="F770" s="7"/>
      </tp>
      <tp>
        <v>-0.93</v>
        <stp/>
        <stp>Market</stp>
        <stp>STOCK</stp>
        <stp>77770.T</stp>
        <stp>前日比率</stp>
        <tr r="F933" s="7"/>
      </tp>
      <tp>
        <v>-1.05</v>
        <stp/>
        <stp>Market</stp>
        <stp>STOCK</stp>
        <stp>67770.T</stp>
        <stp>前日比率</stp>
        <tr r="F772" s="7"/>
      </tp>
      <tp t="s">
        <v>表示銘柄数超過</v>
        <stp/>
        <stp>Market</stp>
        <stp>STOCK</stp>
        <stp>47770.T</stp>
        <stp>前日比率</stp>
        <tr r="F534" s="7"/>
      </tp>
      <tp t="s">
        <v>表示銘柄数超過</v>
        <stp/>
        <stp>Market</stp>
        <stp>STOCK</stp>
        <stp>37770.T</stp>
        <stp>前日比率</stp>
        <tr r="F356" s="7"/>
      </tp>
      <tp>
        <v>-1.21</v>
        <stp/>
        <stp>Market</stp>
        <stp>STOCK</stp>
        <stp>77760.T</stp>
        <stp>前日比率</stp>
        <tr r="F932" s="7"/>
      </tp>
      <tp>
        <v>-0.22</v>
        <stp/>
        <stp>Market</stp>
        <stp>STOCK</stp>
        <stp>67760.T</stp>
        <stp>前日比率</stp>
        <tr r="F771" s="7"/>
      </tp>
      <tp t="s">
        <v>表示銘柄数超過</v>
        <stp/>
        <stp>Market</stp>
        <stp>STOCK</stp>
        <stp>47760.T</stp>
        <stp>前日比率</stp>
        <tr r="F533" s="7"/>
      </tp>
      <tp t="s">
        <v>表示銘柄数超過</v>
        <stp/>
        <stp>Market</stp>
        <stp>STOCK</stp>
        <stp>37760.T</stp>
        <stp>前日比率</stp>
        <tr r="F355" s="7"/>
      </tp>
      <tp t="s">
        <v>表示銘柄数超過</v>
        <stp/>
        <stp>Market</stp>
        <stp>STOCK</stp>
        <stp>27760.T</stp>
        <stp>前日比率</stp>
        <tr r="F197" s="7"/>
      </tp>
      <tp>
        <v>-0.49</v>
        <stp/>
        <stp>Market</stp>
        <stp>STOCK</stp>
        <stp>77790.T</stp>
        <stp>前日比率</stp>
        <tr r="F934" s="7"/>
      </tp>
      <tp t="s">
        <v>表示銘柄数超過</v>
        <stp/>
        <stp>Market</stp>
        <stp>STOCK</stp>
        <stp>37790.T</stp>
        <stp>前日比率</stp>
        <tr r="F358" s="7"/>
      </tp>
      <tp t="s">
        <v>表示銘柄数超過</v>
        <stp/>
        <stp>Market</stp>
        <stp>STOCK</stp>
        <stp>37780.T</stp>
        <stp>前日比率</stp>
        <tr r="F357" s="7"/>
      </tp>
      <tp t="s">
        <v>表示銘柄数超過</v>
        <stp/>
        <stp>Market</stp>
        <stp>STOCK</stp>
        <stp>27780.T</stp>
        <stp>前日比率</stp>
        <tr r="F198" s="7"/>
      </tp>
      <tp>
        <v>-0.73</v>
        <stp/>
        <stp>Market</stp>
        <stp>STOCK</stp>
        <stp>67410.T</stp>
        <stp>前日比率</stp>
        <tr r="F760" s="7"/>
      </tp>
      <tp t="s">
        <v>表示銘柄数超過</v>
        <stp/>
        <stp>Market</stp>
        <stp>STOCK</stp>
        <stp>37410.T</stp>
        <stp>前日比率</stp>
        <tr r="F349" s="7"/>
      </tp>
      <tp>
        <v>0</v>
        <stp/>
        <stp>Market</stp>
        <stp>STOCK</stp>
        <stp>67400.T</stp>
        <stp>前日比率</stp>
        <tr r="F759" s="7"/>
      </tp>
      <tp t="s">
        <v>表示銘柄数超過</v>
        <stp/>
        <stp>Market</stp>
        <stp>STOCK</stp>
        <stp>27430.T</stp>
        <stp>前日比率</stp>
        <tr r="F191" s="7"/>
      </tp>
      <tp t="s">
        <v>表示銘柄数超過</v>
        <stp/>
        <stp>Market</stp>
        <stp>STOCK</stp>
        <stp>17430.T</stp>
        <stp>前日比率</stp>
        <tr r="F53" s="7"/>
      </tp>
      <tp>
        <v>1.19</v>
        <stp/>
        <stp>Market</stp>
        <stp>STOCK</stp>
        <stp>87420.T</stp>
        <stp>前日比率</stp>
        <tr r="F1042" s="7"/>
      </tp>
      <tp>
        <v>-0.64</v>
        <stp/>
        <stp>Market</stp>
        <stp>STOCK</stp>
        <stp>67420.T</stp>
        <stp>前日比率</stp>
        <tr r="F761" s="7"/>
      </tp>
      <tp>
        <v>0.56999999999999995</v>
        <stp/>
        <stp>Market</stp>
        <stp>STOCK</stp>
        <stp>77450.T</stp>
        <stp>前日比率</stp>
        <tr r="F927" s="7"/>
      </tp>
      <tp t="s">
        <v>表示銘柄数超過</v>
        <stp/>
        <stp>Market</stp>
        <stp>STOCK</stp>
        <stp>37470.T</stp>
        <stp>前日比率</stp>
        <tr r="F350" s="7"/>
      </tp>
      <tp>
        <v>-1.98</v>
        <stp/>
        <stp>Market</stp>
        <stp>STOCK</stp>
        <stp>87460.T</stp>
        <stp>前日比率</stp>
        <tr r="F1043" s="7"/>
      </tp>
      <tp t="s">
        <v>表示銘柄数超過</v>
        <stp/>
        <stp>Market</stp>
        <stp>STOCK</stp>
        <stp>27490.T</stp>
        <stp>前日比率</stp>
        <tr r="F192" s="7"/>
      </tp>
      <tp>
        <v>-0.21</v>
        <stp/>
        <stp>Market</stp>
        <stp>STOCK</stp>
        <stp>67480.T</stp>
        <stp>前日比率</stp>
        <tr r="F762" s="7"/>
      </tp>
      <tp>
        <v>2.23</v>
        <stp/>
        <stp>Market</stp>
        <stp>STOCK</stp>
        <stp>77510.T</stp>
        <stp>前日比率</stp>
        <tr r="F928" s="7"/>
      </tp>
      <tp t="s">
        <v>表示銘柄数超過</v>
        <stp/>
        <stp>Market</stp>
        <stp>STOCK</stp>
        <stp>47510.T</stp>
        <stp>前日比率</stp>
        <tr r="F528" s="7"/>
      </tp>
      <tp t="s">
        <v>表示銘柄数超過</v>
        <stp/>
        <stp>Market</stp>
        <stp>STOCK</stp>
        <stp>87500.T</stp>
        <stp>前日比率</stp>
        <tr r="F1044" s="7"/>
      </tp>
      <tp>
        <v>-0.18</v>
        <stp/>
        <stp>Market</stp>
        <stp>STOCK</stp>
        <stp>67500.T</stp>
        <stp>前日比率</stp>
        <tr r="F763" s="7"/>
      </tp>
      <tp>
        <v>-8.84</v>
        <stp/>
        <stp>Market</stp>
        <stp>STOCK</stp>
        <stp>67530.T</stp>
        <stp>前日比率</stp>
        <tr r="F765" s="7"/>
      </tp>
      <tp>
        <v>6.64</v>
        <stp/>
        <stp>Market</stp>
        <stp>STOCK</stp>
        <stp>77520.T</stp>
        <stp>前日比率</stp>
        <tr r="F929" s="7"/>
      </tp>
      <tp>
        <v>1.17</v>
        <stp/>
        <stp>Market</stp>
        <stp>STOCK</stp>
        <stp>67520.T</stp>
        <stp>前日比率</stp>
        <tr r="F764" s="7"/>
      </tp>
      <tp t="s">
        <v>表示銘柄数超過</v>
        <stp/>
        <stp>Market</stp>
        <stp>STOCK</stp>
        <stp>47550.T</stp>
        <stp>前日比率</stp>
        <tr r="F529" s="7"/>
      </tp>
      <tp>
        <v>-2.14</v>
        <stp/>
        <stp>Market</stp>
        <stp>STOCK</stp>
        <stp>67540.T</stp>
        <stp>前日比率</stp>
        <tr r="F766" s="7"/>
      </tp>
      <tp t="s">
        <v>表示銘柄数超過</v>
        <stp/>
        <stp>Market</stp>
        <stp>STOCK</stp>
        <stp>17570.T</stp>
        <stp>前日比率</stp>
        <tr r="F54" s="7"/>
      </tp>
      <tp>
        <v>-3.13</v>
        <stp/>
        <stp>Market</stp>
        <stp>STOCK</stp>
        <stp>57590.T</stp>
        <stp>前日比率</stp>
        <tr r="F610" s="7"/>
      </tp>
      <tp>
        <v>0.32</v>
        <stp/>
        <stp>Market</stp>
        <stp>STOCK</stp>
        <stp>67580.T</stp>
        <stp>前日比率</stp>
        <tr r="F767" s="7"/>
      </tp>
      <tp t="s">
        <v>表示銘柄数超過</v>
        <stp/>
        <stp>Market</stp>
        <stp>STOCK</stp>
        <stp>37580.T</stp>
        <stp>前日比率</stp>
        <tr r="F351" s="7"/>
      </tp>
      <tp t="s">
        <v>表示銘柄数超過</v>
        <stp/>
        <stp>Market</stp>
        <stp>STOCK</stp>
        <stp>88810.T</stp>
        <stp>前日比率</stp>
        <tr r="F1057" s="7"/>
      </tp>
      <tp t="s">
        <v>表示銘柄数超過</v>
        <stp/>
        <stp>Market</stp>
        <stp>STOCK</stp>
        <stp>48810.T</stp>
        <stp>前日比率</stp>
        <tr r="F545" s="7"/>
      </tp>
      <tp t="s">
        <v>表示銘柄数超過</v>
        <stp/>
        <stp>Market</stp>
        <stp>STOCK</stp>
        <stp>38800.T</stp>
        <stp>前日比率</stp>
        <tr r="F383" s="7"/>
      </tp>
      <tp t="s">
        <v>表示銘柄数超過</v>
        <stp/>
        <stp>Market</stp>
        <stp>STOCK</stp>
        <stp>48830.T</stp>
        <stp>前日比率</stp>
        <tr r="F546" s="7"/>
      </tp>
      <tp t="s">
        <v>表示銘柄数超過</v>
        <stp/>
        <stp>Market</stp>
        <stp>STOCK</stp>
        <stp>88870.T</stp>
        <stp>前日比率</stp>
        <tr r="F1058" s="7"/>
      </tp>
      <tp t="s">
        <v>表示銘柄数超過</v>
        <stp/>
        <stp>Market</stp>
        <stp>STOCK</stp>
        <stp>18870.T</stp>
        <stp>前日比率</stp>
        <tr r="F69" s="7"/>
      </tp>
      <tp t="s">
        <v>表示銘柄数超過</v>
        <stp/>
        <stp>Market</stp>
        <stp>STOCK</stp>
        <stp>48890.T</stp>
        <stp>前日比率</stp>
        <tr r="F547" s="7"/>
      </tp>
      <tp t="s">
        <v>表示銘柄数超過</v>
        <stp/>
        <stp>Market</stp>
        <stp>STOCK</stp>
        <stp>98880.T</stp>
        <stp>前日比率</stp>
        <tr r="F1176" s="7"/>
      </tp>
      <tp>
        <v>1.37</v>
        <stp/>
        <stp>Market</stp>
        <stp>STOCK</stp>
        <stp>78880.T</stp>
        <stp>前日比率</stp>
        <tr r="F951" s="7"/>
      </tp>
      <tp t="s">
        <v>表示銘柄数超過</v>
        <stp/>
        <stp>Market</stp>
        <stp>STOCK</stp>
        <stp>48910.T</stp>
        <stp>前日比率</stp>
        <tr r="F549" s="7"/>
      </tp>
      <tp t="s">
        <v>表示銘柄数超過</v>
        <stp/>
        <stp>Market</stp>
        <stp>STOCK</stp>
        <stp>98900.T</stp>
        <stp>前日比率</stp>
        <tr r="F1177" s="7"/>
      </tp>
      <tp t="s">
        <v>表示銘柄数超過</v>
        <stp/>
        <stp>Market</stp>
        <stp>STOCK</stp>
        <stp>48900.T</stp>
        <stp>前日比率</stp>
        <tr r="F548" s="7"/>
      </tp>
      <tp t="s">
        <v>表示銘柄数超過</v>
        <stp/>
        <stp>Market</stp>
        <stp>STOCK</stp>
        <stp>88930.T</stp>
        <stp>前日比率</stp>
        <tr r="F1059" s="7"/>
      </tp>
      <tp t="s">
        <v>表示銘柄数超過</v>
        <stp/>
        <stp>Market</stp>
        <stp>STOCK</stp>
        <stp>18930.T</stp>
        <stp>前日比率</stp>
        <tr r="F70" s="7"/>
      </tp>
      <tp t="s">
        <v>表示銘柄数超過</v>
        <stp/>
        <stp>Market</stp>
        <stp>STOCK</stp>
        <stp>48920.T</stp>
        <stp>前日比率</stp>
        <tr r="F550" s="7"/>
      </tp>
      <tp t="s">
        <v>表示銘柄数超過</v>
        <stp/>
        <stp>Market</stp>
        <stp>STOCK</stp>
        <stp>88940.T</stp>
        <stp>前日比率</stp>
        <tr r="F1060" s="7"/>
      </tp>
      <tp t="s">
        <v>表示銘柄数超過</v>
        <stp/>
        <stp>Market</stp>
        <stp>STOCK</stp>
        <stp>28940.T</stp>
        <stp>前日比率</stp>
        <tr r="F212" s="7"/>
      </tp>
      <tp t="s">
        <v>表示銘柄数超過</v>
        <stp/>
        <stp>Market</stp>
        <stp>STOCK</stp>
        <stp>88970.T</stp>
        <stp>前日比率</stp>
        <tr r="F1061" s="7"/>
      </tp>
      <tp>
        <v>0.88</v>
        <stp/>
        <stp>Market</stp>
        <stp>STOCK</stp>
        <stp>78970.T</stp>
        <stp>前日比率</stp>
        <tr r="F952" s="7"/>
      </tp>
      <tp>
        <v>0</v>
        <stp/>
        <stp>Market</stp>
        <stp>STOCK</stp>
        <stp>68970.T</stp>
        <stp>前日比率</stp>
        <tr r="F783" s="7"/>
      </tp>
      <tp t="s">
        <v>表示銘柄数超過</v>
        <stp/>
        <stp>Market</stp>
        <stp>STOCK</stp>
        <stp>18980.T</stp>
        <stp>前日比率</stp>
        <tr r="F71" s="7"/>
      </tp>
      <tp t="s">
        <v>表示銘柄数超過</v>
        <stp/>
        <stp>Market</stp>
        <stp>STOCK</stp>
        <stp>18210.T</stp>
        <stp>前日比率</stp>
        <tr r="F62" s="7"/>
      </tp>
      <tp t="s">
        <v>表示銘柄数超過</v>
        <stp/>
        <stp>Market</stp>
        <stp>STOCK</stp>
        <stp>48200.T</stp>
        <stp>前日比率</stp>
        <tr r="F538" s="7"/>
      </tp>
      <tp>
        <v>-0.25</v>
        <stp/>
        <stp>Market</stp>
        <stp>STOCK</stp>
        <stp>78230.T</stp>
        <stp>前日比率</stp>
        <tr r="F941" s="7"/>
      </tp>
      <tp t="s">
        <v>表示銘柄数超過</v>
        <stp/>
        <stp>Market</stp>
        <stp>STOCK</stp>
        <stp>38230.T</stp>
        <stp>前日比率</stp>
        <tr r="F366" s="7"/>
      </tp>
      <tp t="s">
        <v>表示銘柄数超過</v>
        <stp/>
        <stp>Market</stp>
        <stp>STOCK</stp>
        <stp>38250.T</stp>
        <stp>前日比率</stp>
        <tr r="F367" s="7"/>
      </tp>
      <tp t="s">
        <v>表示銘柄数超過</v>
        <stp/>
        <stp>Market</stp>
        <stp>STOCK</stp>
        <stp>48240.T</stp>
        <stp>前日比率</stp>
        <tr r="F539" s="7"/>
      </tp>
      <tp t="s">
        <v>表示銘柄数超過</v>
        <stp/>
        <stp>Market</stp>
        <stp>STOCK</stp>
        <stp>18270.T</stp>
        <stp>前日比率</stp>
        <tr r="F64" s="7"/>
      </tp>
      <tp t="s">
        <v>表示銘柄数超過</v>
        <stp/>
        <stp>Market</stp>
        <stp>STOCK</stp>
        <stp>38260.T</stp>
        <stp>前日比率</stp>
        <tr r="F368" s="7"/>
      </tp>
      <tp t="s">
        <v>表示銘柄数超過</v>
        <stp/>
        <stp>Market</stp>
        <stp>STOCK</stp>
        <stp>18260.T</stp>
        <stp>前日比率</stp>
        <tr r="F63" s="7"/>
      </tp>
      <tp>
        <v>2.27</v>
        <stp/>
        <stp>Market</stp>
        <stp>STOCK</stp>
        <stp>78290.T</stp>
        <stp>前日比率</stp>
        <tr r="F942" s="7"/>
      </tp>
      <tp t="s">
        <v>表示銘柄数超過</v>
        <stp/>
        <stp>Market</stp>
        <stp>STOCK</stp>
        <stp>48290.T</stp>
        <stp>前日比率</stp>
        <tr r="F540" s="7"/>
      </tp>
      <tp>
        <v>-0.74</v>
        <stp/>
        <stp>Market</stp>
        <stp>STOCK</stp>
        <stp>98310.T</stp>
        <stp>前日比率</stp>
        <tr r="F1171" s="7"/>
      </tp>
      <tp t="s">
        <v>表示銘柄数超過</v>
        <stp/>
        <stp>Market</stp>
        <stp>STOCK</stp>
        <stp>88300.T</stp>
        <stp>前日比率</stp>
        <tr r="F1054" s="7"/>
      </tp>
      <tp t="s">
        <v>表示銘柄数超過</v>
        <stp/>
        <stp>Market</stp>
        <stp>STOCK</stp>
        <stp>48330.T</stp>
        <stp>前日比率</stp>
        <tr r="F541" s="7"/>
      </tp>
      <tp>
        <v>0.19</v>
        <stp/>
        <stp>Market</stp>
        <stp>STOCK</stp>
        <stp>58320.T</stp>
        <stp>前日比率</stp>
        <tr r="F614" s="7"/>
      </tp>
      <tp>
        <v>0</v>
        <stp/>
        <stp>Market</stp>
        <stp>STOCK</stp>
        <stp>68350.T</stp>
        <stp>前日比率</stp>
        <tr r="F776" s="7"/>
      </tp>
      <tp t="s">
        <v>表示銘柄数超過</v>
        <stp/>
        <stp>Market</stp>
        <stp>STOCK</stp>
        <stp>38350.T</stp>
        <stp>前日比率</stp>
        <tr r="F369" s="7"/>
      </tp>
      <tp>
        <v>1.1599999999999999</v>
        <stp/>
        <stp>Market</stp>
        <stp>STOCK</stp>
        <stp>78370.T</stp>
        <stp>前日比率</stp>
        <tr r="F944" s="7"/>
      </tp>
      <tp t="s">
        <v>表示銘柄数超過</v>
        <stp/>
        <stp>Market</stp>
        <stp>STOCK</stp>
        <stp>48370.T</stp>
        <stp>前日比率</stp>
        <tr r="F542" s="7"/>
      </tp>
      <tp>
        <v>-1.1100000000000001</v>
        <stp/>
        <stp>Market</stp>
        <stp>STOCK</stp>
        <stp>78360.T</stp>
        <stp>前日比率</stp>
        <tr r="F943" s="7"/>
      </tp>
      <tp>
        <v>-1.44</v>
        <stp/>
        <stp>Market</stp>
        <stp>STOCK</stp>
        <stp>58380.T</stp>
        <stp>前日比率</stp>
        <tr r="F615" s="7"/>
      </tp>
      <tp t="s">
        <v>表示銘柄数超過</v>
        <stp/>
        <stp>Market</stp>
        <stp>STOCK</stp>
        <stp>48380.T</stp>
        <stp>前日比率</stp>
        <tr r="F543" s="7"/>
      </tp>
      <tp t="s">
        <v>表示銘柄数超過</v>
        <stp/>
        <stp>Market</stp>
        <stp>STOCK</stp>
        <stp>88010.T</stp>
        <stp>前日比率</stp>
        <tr r="F1050" s="7"/>
      </tp>
      <tp>
        <v>0.49</v>
        <stp/>
        <stp>Market</stp>
        <stp>STOCK</stp>
        <stp>58010.T</stp>
        <stp>前日比率</stp>
        <tr r="F611" s="7"/>
      </tp>
      <tp>
        <v>0</v>
        <stp/>
        <stp>Market</stp>
        <stp>STOCK</stp>
        <stp>78000.T</stp>
        <stp>前日比率</stp>
        <tr r="F938" s="7"/>
      </tp>
      <tp t="s">
        <v>表示銘柄数超過</v>
        <stp/>
        <stp>Market</stp>
        <stp>STOCK</stp>
        <stp>48000.T</stp>
        <stp>前日比率</stp>
        <tr r="F536" s="7"/>
      </tp>
      <tp>
        <v>0</v>
        <stp/>
        <stp>Market</stp>
        <stp>STOCK</stp>
        <stp>68030.T</stp>
        <stp>前日比率</stp>
        <tr r="F773" s="7"/>
      </tp>
      <tp>
        <v>0.81</v>
        <stp/>
        <stp>Market</stp>
        <stp>STOCK</stp>
        <stp>58030.T</stp>
        <stp>前日比率</stp>
        <tr r="F613" s="7"/>
      </tp>
      <tp t="s">
        <v>表示銘柄数超過</v>
        <stp/>
        <stp>Market</stp>
        <stp>STOCK</stp>
        <stp>18030.T</stp>
        <stp>前日比率</stp>
        <tr r="F58" s="7"/>
      </tp>
      <tp t="s">
        <v>表示銘柄数超過</v>
        <stp/>
        <stp>Market</stp>
        <stp>STOCK</stp>
        <stp>88020.T</stp>
        <stp>前日比率</stp>
        <tr r="F1051" s="7"/>
      </tp>
      <tp>
        <v>0.73</v>
        <stp/>
        <stp>Market</stp>
        <stp>STOCK</stp>
        <stp>58020.T</stp>
        <stp>前日比率</stp>
        <tr r="F612" s="7"/>
      </tp>
      <tp t="s">
        <v>表示銘柄数超過</v>
        <stp/>
        <stp>Market</stp>
        <stp>STOCK</stp>
        <stp>18020.T</stp>
        <stp>前日比率</stp>
        <tr r="F57" s="7"/>
      </tp>
      <tp>
        <v>-0.16</v>
        <stp/>
        <stp>Market</stp>
        <stp>STOCK</stp>
        <stp>78050.T</stp>
        <stp>前日比率</stp>
        <tr r="F939" s="7"/>
      </tp>
      <tp t="s">
        <v>表示銘柄数超過</v>
        <stp/>
        <stp>Market</stp>
        <stp>STOCK</stp>
        <stp>18050.T</stp>
        <stp>前日比率</stp>
        <tr r="F59" s="7"/>
      </tp>
      <tp t="s">
        <v>表示銘柄数超過</v>
        <stp/>
        <stp>Market</stp>
        <stp>STOCK</stp>
        <stp>88040.T</stp>
        <stp>前日比率</stp>
        <tr r="F1052" s="7"/>
      </tp>
      <tp t="s">
        <v>表示銘柄数超過</v>
        <stp/>
        <stp>Market</stp>
        <stp>STOCK</stp>
        <stp>38070.T</stp>
        <stp>前日比率</stp>
        <tr r="F361" s="7"/>
      </tp>
      <tp>
        <v>3.22</v>
        <stp/>
        <stp>Market</stp>
        <stp>STOCK</stp>
        <stp>68100.T</stp>
        <stp>前日比率</stp>
        <tr r="F774" s="7"/>
      </tp>
      <tp t="s">
        <v>表示銘柄数超過</v>
        <stp/>
        <stp>Market</stp>
        <stp>STOCK</stp>
        <stp>38100.T</stp>
        <stp>前日比率</stp>
        <tr r="F362" s="7"/>
      </tp>
      <tp t="s">
        <v>表示銘柄数超過</v>
        <stp/>
        <stp>Market</stp>
        <stp>STOCK</stp>
        <stp>28100.T</stp>
        <stp>前日比率</stp>
        <tr r="F201" s="7"/>
      </tp>
      <tp t="s">
        <v>表示銘柄数超過</v>
        <stp/>
        <stp>Market</stp>
        <stp>STOCK</stp>
        <stp>98120.T</stp>
        <stp>前日比率</stp>
        <tr r="F1170" s="7"/>
      </tp>
      <tp t="s">
        <v>表示銘柄数超過</v>
        <stp/>
        <stp>Market</stp>
        <stp>STOCK</stp>
        <stp>18120.T</stp>
        <stp>前日比率</stp>
        <tr r="F60" s="7"/>
      </tp>
      <tp t="s">
        <v>表示銘柄数超過</v>
        <stp/>
        <stp>Market</stp>
        <stp>STOCK</stp>
        <stp>38150.T</stp>
        <stp>前日比率</stp>
        <tr r="F364" s="7"/>
      </tp>
      <tp t="s">
        <v>表示銘柄数超過</v>
        <stp/>
        <stp>Market</stp>
        <stp>STOCK</stp>
        <stp>18150.T</stp>
        <stp>前日比率</stp>
        <tr r="F61" s="7"/>
      </tp>
      <tp>
        <v>-0.65</v>
        <stp/>
        <stp>Market</stp>
        <stp>STOCK</stp>
        <stp>78140.T</stp>
        <stp>前日比率</stp>
        <tr r="F940" s="7"/>
      </tp>
      <tp>
        <v>0.15</v>
        <stp/>
        <stp>Market</stp>
        <stp>STOCK</stp>
        <stp>68140.T</stp>
        <stp>前日比率</stp>
        <tr r="F775" s="7"/>
      </tp>
      <tp t="s">
        <v>表示銘柄数超過</v>
        <stp/>
        <stp>Market</stp>
        <stp>STOCK</stp>
        <stp>48140.T</stp>
        <stp>前日比率</stp>
        <tr r="F537" s="7"/>
      </tp>
      <tp t="s">
        <v>表示銘柄数超過</v>
        <stp/>
        <stp>Market</stp>
        <stp>STOCK</stp>
        <stp>38140.T</stp>
        <stp>前日比率</stp>
        <tr r="F363" s="7"/>
      </tp>
      <tp t="s">
        <v>表示銘柄数超過</v>
        <stp/>
        <stp>Market</stp>
        <stp>STOCK</stp>
        <stp>38160.T</stp>
        <stp>前日比率</stp>
        <tr r="F365" s="7"/>
      </tp>
      <tp t="s">
        <v>表示銘柄数超過</v>
        <stp/>
        <stp>Market</stp>
        <stp>STOCK</stp>
        <stp>88180.T</stp>
        <stp>前日比率</stp>
        <tr r="F1053" s="7"/>
      </tp>
      <tp t="s">
        <v>表示銘柄数超過</v>
        <stp/>
        <stp>Market</stp>
        <stp>STOCK</stp>
        <stp>38610.T</stp>
        <stp>前日比率</stp>
        <tr r="F379" s="7"/>
      </tp>
      <tp>
        <v>0.81</v>
        <stp/>
        <stp>Market</stp>
        <stp>STOCK</stp>
        <stp>68630.T</stp>
        <stp>前日比率</stp>
        <tr r="F780" s="7"/>
      </tp>
      <tp t="s">
        <v>表示銘柄数超過</v>
        <stp/>
        <stp>Market</stp>
        <stp>STOCK</stp>
        <stp>38630.T</stp>
        <stp>前日比率</stp>
        <tr r="F380" s="7"/>
      </tp>
      <tp>
        <v>-1.57</v>
        <stp/>
        <stp>Market</stp>
        <stp>STOCK</stp>
        <stp>68620.T</stp>
        <stp>前日比率</stp>
        <tr r="F779" s="7"/>
      </tp>
      <tp t="s">
        <v>表示銘柄数超過</v>
        <stp/>
        <stp>Market</stp>
        <stp>STOCK</stp>
        <stp>38650.T</stp>
        <stp>前日比率</stp>
        <tr r="F382" s="7"/>
      </tp>
      <tp t="s">
        <v>表示銘柄数超過</v>
        <stp/>
        <stp>Market</stp>
        <stp>STOCK</stp>
        <stp>28650.T</stp>
        <stp>前日比率</stp>
        <tr r="F209" s="7"/>
      </tp>
      <tp t="s">
        <v>表示銘柄数超過</v>
        <stp/>
        <stp>Market</stp>
        <stp>STOCK</stp>
        <stp>38640.T</stp>
        <stp>前日比率</stp>
        <tr r="F381" s="7"/>
      </tp>
      <tp>
        <v>-2.6</v>
        <stp/>
        <stp>Market</stp>
        <stp>STOCK</stp>
        <stp>78670.T</stp>
        <stp>前日比率</stp>
        <tr r="F949" s="7"/>
      </tp>
      <tp>
        <v>-3.81</v>
        <stp/>
        <stp>Market</stp>
        <stp>STOCK</stp>
        <stp>68670.T</stp>
        <stp>前日比率</stp>
        <tr r="F781" s="7"/>
      </tp>
      <tp>
        <v>0.41</v>
        <stp/>
        <stp>Market</stp>
        <stp>STOCK</stp>
        <stp>78680.T</stp>
        <stp>前日比率</stp>
        <tr r="F950" s="7"/>
      </tp>
      <tp t="s">
        <v>表示銘柄数超過</v>
        <stp/>
        <stp>Market</stp>
        <stp>STOCK</stp>
        <stp>28680.T</stp>
        <stp>前日比率</stp>
        <tr r="F210" s="7"/>
      </tp>
      <tp>
        <v>-3.02</v>
        <stp/>
        <stp>Market</stp>
        <stp>STOCK</stp>
        <stp>68710.T</stp>
        <stp>前日比率</stp>
        <tr r="F782" s="7"/>
      </tp>
      <tp t="s">
        <v>表示銘柄数超過</v>
        <stp/>
        <stp>Market</stp>
        <stp>STOCK</stp>
        <stp>28750.T</stp>
        <stp>前日比率</stp>
        <tr r="F211" s="7"/>
      </tp>
      <tp t="s">
        <v>表示銘柄数超過</v>
        <stp/>
        <stp>Market</stp>
        <stp>STOCK</stp>
        <stp>98760.T</stp>
        <stp>前日比率</stp>
        <tr r="F1175" s="7"/>
      </tp>
      <tp t="s">
        <v>表示銘柄数超過</v>
        <stp/>
        <stp>Market</stp>
        <stp>STOCK</stp>
        <stp>18790.T</stp>
        <stp>前日比率</stp>
        <tr r="F68" s="7"/>
      </tp>
      <tp t="s">
        <v>表示銘柄数超過</v>
        <stp/>
        <stp>Market</stp>
        <stp>STOCK</stp>
        <stp>88410.T</stp>
        <stp>前日比率</stp>
        <tr r="F1055" s="7"/>
      </tp>
      <tp>
        <v>1.25</v>
        <stp/>
        <stp>Market</stp>
        <stp>STOCK</stp>
        <stp>68400.T</stp>
        <stp>前日比率</stp>
        <tr r="F777" s="7"/>
      </tp>
      <tp t="s">
        <v>表示銘柄数超過</v>
        <stp/>
        <stp>Market</stp>
        <stp>STOCK</stp>
        <stp>38400.T</stp>
        <stp>前日比率</stp>
        <tr r="F370" s="7"/>
      </tp>
      <tp t="s">
        <v>表示銘柄数超過</v>
        <stp/>
        <stp>Market</stp>
        <stp>STOCK</stp>
        <stp>18400.T</stp>
        <stp>前日比率</stp>
        <tr r="F65" s="7"/>
      </tp>
      <tp t="s">
        <v>表示銘柄数超過</v>
        <stp/>
        <stp>Market</stp>
        <stp>STOCK</stp>
        <stp>98420.T</stp>
        <stp>前日比率</stp>
        <tr r="F1172" s="7"/>
      </tp>
      <tp t="s">
        <v>表示銘柄数超過</v>
        <stp/>
        <stp>Market</stp>
        <stp>STOCK</stp>
        <stp>38420.T</stp>
        <stp>前日比率</stp>
        <tr r="F371" s="7"/>
      </tp>
      <tp t="s">
        <v>表示銘柄数超過</v>
        <stp/>
        <stp>Market</stp>
        <stp>STOCK</stp>
        <stp>38450.T</stp>
        <stp>前日比率</stp>
        <tr r="F372" s="7"/>
      </tp>
      <tp t="s">
        <v>表示銘柄数超過</v>
        <stp/>
        <stp>Market</stp>
        <stp>STOCK</stp>
        <stp>28450.T</stp>
        <stp>前日比率</stp>
        <tr r="F202" s="7"/>
      </tp>
      <tp t="s">
        <v>表示銘柄数超過</v>
        <stp/>
        <stp>Market</stp>
        <stp>STOCK</stp>
        <stp>88440.T</stp>
        <stp>前日比率</stp>
        <tr r="F1056" s="7"/>
      </tp>
      <tp>
        <v>-1.07</v>
        <stp/>
        <stp>Market</stp>
        <stp>STOCK</stp>
        <stp>78440.T</stp>
        <stp>前日比率</stp>
        <tr r="F945" s="7"/>
      </tp>
      <tp t="s">
        <v>表示銘柄数超過</v>
        <stp/>
        <stp>Market</stp>
        <stp>STOCK</stp>
        <stp>18440.T</stp>
        <stp>前日比率</stp>
        <tr r="F66" s="7"/>
      </tp>
      <tp t="s">
        <v>表示銘柄数超過</v>
        <stp/>
        <stp>Market</stp>
        <stp>STOCK</stp>
        <stp>48470.T</stp>
        <stp>前日比率</stp>
        <tr r="F544" s="7"/>
      </tp>
      <tp t="s">
        <v>表示銘柄数超過</v>
        <stp/>
        <stp>Market</stp>
        <stp>STOCK</stp>
        <stp>18480.T</stp>
        <stp>前日比率</stp>
        <tr r="F67" s="7"/>
      </tp>
      <tp>
        <v>0.4</v>
        <stp/>
        <stp>Market</stp>
        <stp>STOCK</stp>
        <stp>78510.T</stp>
        <stp>前日比率</stp>
        <tr r="F946" s="7"/>
      </tp>
      <tp t="s">
        <v>表示銘柄数超過</v>
        <stp/>
        <stp>Market</stp>
        <stp>STOCK</stp>
        <stp>38510.T</stp>
        <stp>前日比率</stp>
        <tr r="F374" s="7"/>
      </tp>
      <tp t="s">
        <v>表示銘柄数超過</v>
        <stp/>
        <stp>Market</stp>
        <stp>STOCK</stp>
        <stp>28510.T</stp>
        <stp>前日比率</stp>
        <tr r="F203" s="7"/>
      </tp>
      <tp t="s">
        <v>表示銘柄数超過</v>
        <stp/>
        <stp>Market</stp>
        <stp>STOCK</stp>
        <stp>38500.T</stp>
        <stp>前日比率</stp>
        <tr r="F373" s="7"/>
      </tp>
      <tp t="s">
        <v>表示銘柄数超過</v>
        <stp/>
        <stp>Market</stp>
        <stp>STOCK</stp>
        <stp>98530.T</stp>
        <stp>前日比率</stp>
        <tr r="F1173" s="7"/>
      </tp>
      <tp t="s">
        <v>表示銘柄数超過</v>
        <stp/>
        <stp>Market</stp>
        <stp>STOCK</stp>
        <stp>38530.T</stp>
        <stp>前日比率</stp>
        <tr r="F376" s="7"/>
      </tp>
      <tp t="s">
        <v>表示銘柄数超過</v>
        <stp/>
        <stp>Market</stp>
        <stp>STOCK</stp>
        <stp>28530.T</stp>
        <stp>前日比率</stp>
        <tr r="F205" s="7"/>
      </tp>
      <tp>
        <v>4.07</v>
        <stp/>
        <stp>Market</stp>
        <stp>STOCK</stp>
        <stp>58520.T</stp>
        <stp>前日比率</stp>
        <tr r="F616" s="7"/>
      </tp>
      <tp t="s">
        <v>表示銘柄数超過</v>
        <stp/>
        <stp>Market</stp>
        <stp>STOCK</stp>
        <stp>38520.T</stp>
        <stp>前日比率</stp>
        <tr r="F375" s="7"/>
      </tp>
      <tp t="s">
        <v>表示銘柄数超過</v>
        <stp/>
        <stp>Market</stp>
        <stp>STOCK</stp>
        <stp>28520.T</stp>
        <stp>前日比率</stp>
        <tr r="F204" s="7"/>
      </tp>
      <tp t="s">
        <v>表示銘柄数超過</v>
        <stp/>
        <stp>Market</stp>
        <stp>STOCK</stp>
        <stp>98540.T</stp>
        <stp>前日比率</stp>
        <tr r="F1174" s="7"/>
      </tp>
      <tp>
        <v>-0.84</v>
        <stp/>
        <stp>Market</stp>
        <stp>STOCK</stp>
        <stp>68570.T</stp>
        <stp>前日比率</stp>
        <tr r="F778" s="7"/>
      </tp>
      <tp t="s">
        <v>表示銘柄数超過</v>
        <stp/>
        <stp>Market</stp>
        <stp>STOCK</stp>
        <stp>28570.T</stp>
        <stp>前日比率</stp>
        <tr r="F207" s="7"/>
      </tp>
      <tp>
        <v>-0.73</v>
        <stp/>
        <stp>Market</stp>
        <stp>STOCK</stp>
        <stp>78560.T</stp>
        <stp>前日比率</stp>
        <tr r="F947" s="7"/>
      </tp>
      <tp>
        <v>-2.27</v>
        <stp/>
        <stp>Market</stp>
        <stp>STOCK</stp>
        <stp>58560.T</stp>
        <stp>前日比率</stp>
        <tr r="F617" s="7"/>
      </tp>
      <tp t="s">
        <v>表示銘柄数超過</v>
        <stp/>
        <stp>Market</stp>
        <stp>STOCK</stp>
        <stp>38560.T</stp>
        <stp>前日比率</stp>
        <tr r="F377" s="7"/>
      </tp>
      <tp t="s">
        <v>表示銘柄数超過</v>
        <stp/>
        <stp>Market</stp>
        <stp>STOCK</stp>
        <stp>28560.T</stp>
        <stp>前日比率</stp>
        <tr r="F206" s="7"/>
      </tp>
      <tp>
        <v>17.61</v>
        <stp/>
        <stp>Market</stp>
        <stp>STOCK</stp>
        <stp>78590.T</stp>
        <stp>前日比率</stp>
        <tr r="F948" s="7"/>
      </tp>
      <tp t="s">
        <v>表示銘柄数超過</v>
        <stp/>
        <stp>Market</stp>
        <stp>STOCK</stp>
        <stp>38580.T</stp>
        <stp>前日比率</stp>
        <tr r="F378" s="7"/>
      </tp>
      <tp t="s">
        <v>表示銘柄数超過</v>
        <stp/>
        <stp>Market</stp>
        <stp>STOCK</stp>
        <stp>28580.T</stp>
        <stp>前日比率</stp>
        <tr r="F208" s="7"/>
      </tp>
      <tp>
        <v>-1.66</v>
        <stp/>
        <stp>Market</stp>
        <stp>STOCK</stp>
        <stp>69810.T</stp>
        <stp>前日比率</stp>
        <tr r="F798" s="7"/>
      </tp>
      <tp>
        <v>0.82</v>
        <stp/>
        <stp>Market</stp>
        <stp>STOCK</stp>
        <stp>59810.T</stp>
        <stp>前日比率</stp>
        <tr r="F631" s="7"/>
      </tp>
      <tp t="s">
        <v>表示銘柄数超過</v>
        <stp/>
        <stp>Market</stp>
        <stp>STOCK</stp>
        <stp>99800.T</stp>
        <stp>前日比率</stp>
        <tr r="F1187" s="7"/>
      </tp>
      <tp t="s">
        <v>表示銘柄数超過</v>
        <stp/>
        <stp>Market</stp>
        <stp>STOCK</stp>
        <stp>99820.T</stp>
        <stp>前日比率</stp>
        <tr r="F1188" s="7"/>
      </tp>
      <tp>
        <v>0.28999999999999998</v>
        <stp/>
        <stp>Market</stp>
        <stp>STOCK</stp>
        <stp>69820.T</stp>
        <stp>前日比率</stp>
        <tr r="F799" s="7"/>
      </tp>
      <tp t="s">
        <v>表示銘柄数超過</v>
        <stp/>
        <stp>Market</stp>
        <stp>STOCK</stp>
        <stp>29820.T</stp>
        <stp>前日比率</stp>
        <tr r="F217" s="7"/>
      </tp>
      <tp t="s">
        <v>表示銘柄数超過</v>
        <stp/>
        <stp>Market</stp>
        <stp>STOCK</stp>
        <stp>99840.T</stp>
        <stp>前日比率</stp>
        <tr r="F1189" s="7"/>
      </tp>
      <tp t="s">
        <v>表示銘柄数超過</v>
        <stp/>
        <stp>Market</stp>
        <stp>STOCK</stp>
        <stp>39870.T</stp>
        <stp>前日比率</stp>
        <tr r="F403" s="7"/>
      </tp>
      <tp t="s">
        <v>表示銘柄数超過</v>
        <stp/>
        <stp>Market</stp>
        <stp>STOCK</stp>
        <stp>29870.T</stp>
        <stp>前日比率</stp>
        <tr r="F218" s="7"/>
      </tp>
      <tp>
        <v>-0.39</v>
        <stp/>
        <stp>Market</stp>
        <stp>STOCK</stp>
        <stp>69860.T</stp>
        <stp>前日比率</stp>
        <tr r="F800" s="7"/>
      </tp>
      <tp>
        <v>0.7</v>
        <stp/>
        <stp>Market</stp>
        <stp>STOCK</stp>
        <stp>59860.T</stp>
        <stp>前日比率</stp>
        <tr r="F632" s="7"/>
      </tp>
      <tp t="s">
        <v>表示銘柄数超過</v>
        <stp/>
        <stp>Market</stp>
        <stp>STOCK</stp>
        <stp>39890.T</stp>
        <stp>前日比率</stp>
        <tr r="F404" s="7"/>
      </tp>
      <tp>
        <v>0.61</v>
        <stp/>
        <stp>Market</stp>
        <stp>STOCK</stp>
        <stp>59910.T</stp>
        <stp>前日比率</stp>
        <tr r="F633" s="7"/>
      </tp>
      <tp t="s">
        <v>表示銘柄数超過</v>
        <stp/>
        <stp>Market</stp>
        <stp>STOCK</stp>
        <stp>99900.T</stp>
        <stp>前日比率</stp>
        <tr r="F1190" s="7"/>
      </tp>
      <tp t="s">
        <v>表示銘柄数超過</v>
        <stp/>
        <stp>Market</stp>
        <stp>STOCK</stp>
        <stp>39900.T</stp>
        <stp>前日比率</stp>
        <tr r="F405" s="7"/>
      </tp>
      <tp>
        <v>0</v>
        <stp/>
        <stp>Market</stp>
        <stp>STOCK</stp>
        <stp>69930.T</stp>
        <stp>前日比率</stp>
        <tr r="F801" s="7"/>
      </tp>
      <tp t="s">
        <v>表示銘柄数超過</v>
        <stp/>
        <stp>Market</stp>
        <stp>STOCK</stp>
        <stp>29930.T</stp>
        <stp>前日比率</stp>
        <tr r="F219" s="7"/>
      </tp>
      <tp t="s">
        <v>表示銘柄数超過</v>
        <stp/>
        <stp>Market</stp>
        <stp>STOCK</stp>
        <stp>39920.T</stp>
        <stp>前日比率</stp>
        <tr r="F406" s="7"/>
      </tp>
      <tp t="s">
        <v>表示銘柄数超過</v>
        <stp/>
        <stp>Market</stp>
        <stp>STOCK</stp>
        <stp>99950.T</stp>
        <stp>前日比率</stp>
        <tr r="F1191" s="7"/>
      </tp>
      <tp t="s">
        <v>表示銘柄数超過</v>
        <stp/>
        <stp>Market</stp>
        <stp>STOCK</stp>
        <stp>39950.T</stp>
        <stp>前日比率</stp>
        <tr r="F407" s="7"/>
      </tp>
      <tp>
        <v>1.62</v>
        <stp/>
        <stp>Market</stp>
        <stp>STOCK</stp>
        <stp>69940.T</stp>
        <stp>前日比率</stp>
        <tr r="F802" s="7"/>
      </tp>
      <tp>
        <v>-0.09</v>
        <stp/>
        <stp>Market</stp>
        <stp>STOCK</stp>
        <stp>59940.T</stp>
        <stp>前日比率</stp>
        <tr r="F634" s="7"/>
      </tp>
      <tp t="s">
        <v>表示銘柄数超過</v>
        <stp/>
        <stp>Market</stp>
        <stp>STOCK</stp>
        <stp>19940.T</stp>
        <stp>前日比率</stp>
        <tr r="F86" s="7"/>
      </tp>
      <tp>
        <v>-1.1100000000000001</v>
        <stp/>
        <stp>Market</stp>
        <stp>STOCK</stp>
        <stp>79970.T</stp>
        <stp>前日比率</stp>
        <tr r="F963" s="7"/>
      </tp>
      <tp>
        <v>0.72</v>
        <stp/>
        <stp>Market</stp>
        <stp>STOCK</stp>
        <stp>69970.T</stp>
        <stp>前日比率</stp>
        <tr r="F803" s="7"/>
      </tp>
      <tp>
        <v>0</v>
        <stp/>
        <stp>Market</stp>
        <stp>STOCK</stp>
        <stp>59970.T</stp>
        <stp>前日比率</stp>
        <tr r="F635" s="7"/>
      </tp>
      <tp>
        <v>0.28999999999999998</v>
        <stp/>
        <stp>Market</stp>
        <stp>STOCK</stp>
        <stp>49970.T</stp>
        <stp>前日比率</stp>
        <tr r="F557" s="7"/>
      </tp>
      <tp t="s">
        <v>表示銘柄数超過</v>
        <stp/>
        <stp>Market</stp>
        <stp>STOCK</stp>
        <stp>39970.T</stp>
        <stp>前日比率</stp>
        <tr r="F408" s="7"/>
      </tp>
      <tp t="s">
        <v>表示銘柄数超過</v>
        <stp/>
        <stp>Market</stp>
        <stp>STOCK</stp>
        <stp>29970.T</stp>
        <stp>前日比率</stp>
        <tr r="F220" s="7"/>
      </tp>
      <tp t="s">
        <v>表示銘柄数超過</v>
        <stp/>
        <stp>Market</stp>
        <stp>STOCK</stp>
        <stp>89960.T</stp>
        <stp>前日比率</stp>
        <tr r="F1072" s="7"/>
      </tp>
      <tp t="s">
        <v>表示銘柄数超過</v>
        <stp/>
        <stp>Market</stp>
        <stp>STOCK</stp>
        <stp>39980.T</stp>
        <stp>前日比率</stp>
        <tr r="F409" s="7"/>
      </tp>
      <tp>
        <v>0.5</v>
        <stp/>
        <stp>Market</stp>
        <stp>STOCK</stp>
        <stp>69200.T</stp>
        <stp>前日比率</stp>
        <tr r="F787" s="7"/>
      </tp>
      <tp t="s">
        <v>表示銘柄数超過</v>
        <stp/>
        <stp>Market</stp>
        <stp>STOCK</stp>
        <stp>49200.T</stp>
        <stp>前日比率</stp>
        <tr r="F553" s="7"/>
      </tp>
      <tp t="s">
        <v>表示銘柄数超過</v>
        <stp/>
        <stp>Market</stp>
        <stp>STOCK</stp>
        <stp>39200.T</stp>
        <stp>前日比率</stp>
        <tr r="F392" s="7"/>
      </tp>
      <tp t="s">
        <v>表示銘柄数超過</v>
        <stp/>
        <stp>Market</stp>
        <stp>STOCK</stp>
        <stp>89230.T</stp>
        <stp>前日比率</stp>
        <tr r="F1065" s="7"/>
      </tp>
      <tp>
        <v>-2.85</v>
        <stp/>
        <stp>Market</stp>
        <stp>STOCK</stp>
        <stp>69230.T</stp>
        <stp>前日比率</stp>
        <tr r="F788" s="7"/>
      </tp>
      <tp t="s">
        <v>表示銘柄数超過</v>
        <stp/>
        <stp>Market</stp>
        <stp>STOCK</stp>
        <stp>89250.T</stp>
        <stp>前日比率</stp>
        <tr r="F1066" s="7"/>
      </tp>
      <tp t="s">
        <v>表示銘柄数超過</v>
        <stp/>
        <stp>Market</stp>
        <stp>STOCK</stp>
        <stp>19250.T</stp>
        <stp>前日比率</stp>
        <tr r="F74" s="7"/>
      </tp>
      <tp t="s">
        <v>表示銘柄数超過</v>
        <stp/>
        <stp>Market</stp>
        <stp>STOCK</stp>
        <stp>99270.T</stp>
        <stp>前日比率</stp>
        <tr r="F1181" s="7"/>
      </tp>
      <tp t="s">
        <v>表示銘柄数超過</v>
        <stp/>
        <stp>Market</stp>
        <stp>STOCK</stp>
        <stp>89270.T</stp>
        <stp>前日比率</stp>
        <tr r="F1067" s="7"/>
      </tp>
      <tp>
        <v>3.1</v>
        <stp/>
        <stp>Market</stp>
        <stp>STOCK</stp>
        <stp>69270.T</stp>
        <stp>前日比率</stp>
        <tr r="F789" s="7"/>
      </tp>
      <tp t="s">
        <v>表示銘柄数超過</v>
        <stp/>
        <stp>Market</stp>
        <stp>STOCK</stp>
        <stp>39270.T</stp>
        <stp>前日比率</stp>
        <tr r="F393" s="7"/>
      </tp>
      <tp t="s">
        <v>表示銘柄数超過</v>
        <stp/>
        <stp>Market</stp>
        <stp>STOCK</stp>
        <stp>29260.T</stp>
        <stp>前日比率</stp>
        <tr r="F215" s="7"/>
      </tp>
      <tp t="s">
        <v>表示銘柄数超過</v>
        <stp/>
        <stp>Market</stp>
        <stp>STOCK</stp>
        <stp>39290.T</stp>
        <stp>前日比率</stp>
        <tr r="F395" s="7"/>
      </tp>
      <tp t="s">
        <v>表示銘柄数超過</v>
        <stp/>
        <stp>Market</stp>
        <stp>STOCK</stp>
        <stp>99280.T</stp>
        <stp>前日比率</stp>
        <tr r="F1182" s="7"/>
      </tp>
      <tp>
        <v>-1.59</v>
        <stp/>
        <stp>Market</stp>
        <stp>STOCK</stp>
        <stp>59280.T</stp>
        <stp>前日比率</stp>
        <tr r="F619" s="7"/>
      </tp>
      <tp t="s">
        <v>表示銘柄数超過</v>
        <stp/>
        <stp>Market</stp>
        <stp>STOCK</stp>
        <stp>39280.T</stp>
        <stp>前日比率</stp>
        <tr r="F394" s="7"/>
      </tp>
      <tp t="s">
        <v>表示銘柄数超過</v>
        <stp/>
        <stp>Market</stp>
        <stp>STOCK</stp>
        <stp>19280.T</stp>
        <stp>前日比率</stp>
        <tr r="F75" s="7"/>
      </tp>
      <tp t="s">
        <v>表示銘柄数超過</v>
        <stp/>
        <stp>Market</stp>
        <stp>STOCK</stp>
        <stp>99300.T</stp>
        <stp>前日比率</stp>
        <tr r="F1183" s="7"/>
      </tp>
      <tp t="s">
        <v>表示銘柄数超過</v>
        <stp/>
        <stp>Market</stp>
        <stp>STOCK</stp>
        <stp>29300.T</stp>
        <stp>前日比率</stp>
        <tr r="F216" s="7"/>
      </tp>
      <tp t="s">
        <v>表示銘柄数超過</v>
        <stp/>
        <stp>Market</stp>
        <stp>STOCK</stp>
        <stp>19300.T</stp>
        <stp>前日比率</stp>
        <tr r="F76" s="7"/>
      </tp>
      <tp t="s">
        <v>表示銘柄数超過</v>
        <stp/>
        <stp>Market</stp>
        <stp>STOCK</stp>
        <stp>39350.T</stp>
        <stp>前日比率</stp>
        <tr r="F397" s="7"/>
      </tp>
      <tp t="s">
        <v>表示銘柄数超過</v>
        <stp/>
        <stp>Market</stp>
        <stp>STOCK</stp>
        <stp>39340.T</stp>
        <stp>前日比率</stp>
        <tr r="F396" s="7"/>
      </tp>
      <tp>
        <v>-0.14000000000000001</v>
        <stp/>
        <stp>Market</stp>
        <stp>STOCK</stp>
        <stp>59360.T</stp>
        <stp>前日比率</stp>
        <tr r="F620" s="7"/>
      </tp>
      <tp t="s">
        <v>表示銘柄数超過</v>
        <stp/>
        <stp>Market</stp>
        <stp>STOCK</stp>
        <stp>39390.T</stp>
        <stp>前日比率</stp>
        <tr r="F398" s="7"/>
      </tp>
      <tp t="s">
        <v>表示銘柄数超過</v>
        <stp/>
        <stp>Market</stp>
        <stp>STOCK</stp>
        <stp>19390.T</stp>
        <stp>前日比率</stp>
        <tr r="F78" s="7"/>
      </tp>
      <tp t="s">
        <v>表示銘柄数超過</v>
        <stp/>
        <stp>Market</stp>
        <stp>STOCK</stp>
        <stp>89380.T</stp>
        <stp>前日比率</stp>
        <tr r="F1068" s="7"/>
      </tp>
      <tp>
        <v>-1.01</v>
        <stp/>
        <stp>Market</stp>
        <stp>STOCK</stp>
        <stp>69380.T</stp>
        <stp>前日比率</stp>
        <tr r="F790" s="7"/>
      </tp>
      <tp>
        <v>-0.76</v>
        <stp/>
        <stp>Market</stp>
        <stp>STOCK</stp>
        <stp>59380.T</stp>
        <stp>前日比率</stp>
        <tr r="F621" s="7"/>
      </tp>
      <tp t="s">
        <v>表示銘柄数超過</v>
        <stp/>
        <stp>Market</stp>
        <stp>STOCK</stp>
        <stp>19380.T</stp>
        <stp>前日比率</stp>
        <tr r="F77" s="7"/>
      </tp>
      <tp t="s">
        <v>表示銘柄数超過</v>
        <stp/>
        <stp>Market</stp>
        <stp>STOCK</stp>
        <stp>29010.T</stp>
        <stp>前日比率</stp>
        <tr r="F213" s="7"/>
      </tp>
      <tp t="s">
        <v>表示銘柄数超過</v>
        <stp/>
        <stp>Market</stp>
        <stp>STOCK</stp>
        <stp>39000.T</stp>
        <stp>前日比率</stp>
        <tr r="F384" s="7"/>
      </tp>
      <tp t="s">
        <v>表示銘柄数超過</v>
        <stp/>
        <stp>Market</stp>
        <stp>STOCK</stp>
        <stp>39030.T</stp>
        <stp>前日比率</stp>
        <tr r="F386" s="7"/>
      </tp>
      <tp>
        <v>3.3</v>
        <stp/>
        <stp>Market</stp>
        <stp>STOCK</stp>
        <stp>69020.T</stp>
        <stp>前日比率</stp>
        <tr r="F784" s="7"/>
      </tp>
      <tp t="s">
        <v>表示銘柄数超過</v>
        <stp/>
        <stp>Market</stp>
        <stp>STOCK</stp>
        <stp>49020.T</stp>
        <stp>前日比率</stp>
        <tr r="F551" s="7"/>
      </tp>
      <tp t="s">
        <v>表示銘柄数超過</v>
        <stp/>
        <stp>Market</stp>
        <stp>STOCK</stp>
        <stp>39020.T</stp>
        <stp>前日比率</stp>
        <tr r="F385" s="7"/>
      </tp>
      <tp t="s">
        <v>表示銘柄数超過</v>
        <stp/>
        <stp>Market</stp>
        <stp>STOCK</stp>
        <stp>89050.T</stp>
        <stp>前日比率</stp>
        <tr r="F1062" s="7"/>
      </tp>
      <tp>
        <v>-0.88</v>
        <stp/>
        <stp>Market</stp>
        <stp>STOCK</stp>
        <stp>69050.T</stp>
        <stp>前日比率</stp>
        <tr r="F785" s="7"/>
      </tp>
      <tp t="s">
        <v>表示銘柄数超過</v>
        <stp/>
        <stp>Market</stp>
        <stp>STOCK</stp>
        <stp>99040.T</stp>
        <stp>前日比率</stp>
        <tr r="F1178" s="7"/>
      </tp>
      <tp>
        <v>-0.8</v>
        <stp/>
        <stp>Market</stp>
        <stp>STOCK</stp>
        <stp>69070.T</stp>
        <stp>前日比率</stp>
        <tr r="F786" s="7"/>
      </tp>
      <tp t="s">
        <v>表示銘柄数超過</v>
        <stp/>
        <stp>Market</stp>
        <stp>STOCK</stp>
        <stp>39070.T</stp>
        <stp>前日比率</stp>
        <tr r="F387" s="7"/>
      </tp>
      <tp>
        <v>-0.31</v>
        <stp/>
        <stp>Market</stp>
        <stp>STOCK</stp>
        <stp>59090.T</stp>
        <stp>前日比率</stp>
        <tr r="F618" s="7"/>
      </tp>
      <tp t="s">
        <v>表示銘柄数超過</v>
        <stp/>
        <stp>Market</stp>
        <stp>STOCK</stp>
        <stp>39090.T</stp>
        <stp>前日比率</stp>
        <tr r="F388" s="7"/>
      </tp>
      <tp t="s">
        <v>表示銘柄数超過</v>
        <stp/>
        <stp>Market</stp>
        <stp>STOCK</stp>
        <stp>99080.T</stp>
        <stp>前日比率</stp>
        <tr r="F1179" s="7"/>
      </tp>
      <tp>
        <v>-0.47</v>
        <stp/>
        <stp>Market</stp>
        <stp>STOCK</stp>
        <stp>79080.T</stp>
        <stp>前日比率</stp>
        <tr r="F953" s="7"/>
      </tp>
      <tp>
        <v>-0.91</v>
        <stp/>
        <stp>Market</stp>
        <stp>STOCK</stp>
        <stp>79110.T</stp>
        <stp>前日比率</stp>
        <tr r="F954" s="7"/>
      </tp>
      <tp t="s">
        <v>表示銘柄数超過</v>
        <stp/>
        <stp>Market</stp>
        <stp>STOCK</stp>
        <stp>39110.T</stp>
        <stp>前日比率</stp>
        <tr r="F390" s="7"/>
      </tp>
      <tp t="s">
        <v>表示銘柄数超過</v>
        <stp/>
        <stp>Market</stp>
        <stp>STOCK</stp>
        <stp>19110.T</stp>
        <stp>前日比率</stp>
        <tr r="F72" s="7"/>
      </tp>
      <tp t="s">
        <v>表示銘柄数超過</v>
        <stp/>
        <stp>Market</stp>
        <stp>STOCK</stp>
        <stp>39100.T</stp>
        <stp>前日比率</stp>
        <tr r="F389" s="7"/>
      </tp>
      <tp t="s">
        <v>表示銘柄数超過</v>
        <stp/>
        <stp>Market</stp>
        <stp>STOCK</stp>
        <stp>89120.T</stp>
        <stp>前日比率</stp>
        <tr r="F1063" s="7"/>
      </tp>
      <tp t="s">
        <v>表示銘柄数超過</v>
        <stp/>
        <stp>Market</stp>
        <stp>STOCK</stp>
        <stp>49120.T</stp>
        <stp>前日比率</stp>
        <tr r="F552" s="7"/>
      </tp>
      <tp>
        <v>0.13</v>
        <stp/>
        <stp>Market</stp>
        <stp>STOCK</stp>
        <stp>29140.T</stp>
        <stp>前日比率</stp>
        <tr r="F214" s="7"/>
      </tp>
      <tp t="s">
        <v>表示銘柄数超過</v>
        <stp/>
        <stp>Market</stp>
        <stp>STOCK</stp>
        <stp>19140.T</stp>
        <stp>前日比率</stp>
        <tr r="F73" s="7"/>
      </tp>
      <tp t="s">
        <v>表示銘柄数超過</v>
        <stp/>
        <stp>Market</stp>
        <stp>STOCK</stp>
        <stp>39170.T</stp>
        <stp>前日比率</stp>
        <tr r="F391" s="7"/>
      </tp>
      <tp t="s">
        <v>表示銘柄数超過</v>
        <stp/>
        <stp>Market</stp>
        <stp>STOCK</stp>
        <stp>99190.T</stp>
        <stp>前日比率</stp>
        <tr r="F1180" s="7"/>
      </tp>
      <tp>
        <v>-0.62</v>
        <stp/>
        <stp>Market</stp>
        <stp>STOCK</stp>
        <stp>79190.T</stp>
        <stp>前日比率</stp>
        <tr r="F956" s="7"/>
      </tp>
      <tp t="s">
        <v>表示銘柄数超過</v>
        <stp/>
        <stp>Market</stp>
        <stp>STOCK</stp>
        <stp>89180.T</stp>
        <stp>前日比率</stp>
        <tr r="F1064" s="7"/>
      </tp>
      <tp>
        <v>-3.77</v>
        <stp/>
        <stp>Market</stp>
        <stp>STOCK</stp>
        <stp>79180.T</stp>
        <stp>前日比率</stp>
        <tr r="F955" s="7"/>
      </tp>
      <tp t="s">
        <v>表示銘柄数超過</v>
        <stp/>
        <stp>Market</stp>
        <stp>STOCK</stp>
        <stp>49600.T</stp>
        <stp>前日比率</stp>
        <tr r="F554" s="7"/>
      </tp>
      <tp t="s">
        <v>表示銘柄数超過</v>
        <stp/>
        <stp>Market</stp>
        <stp>STOCK</stp>
        <stp>19600.T</stp>
        <stp>前日比率</stp>
        <tr r="F82" s="7"/>
      </tp>
      <tp t="s">
        <v>表示銘柄数超過</v>
        <stp/>
        <stp>Market</stp>
        <stp>STOCK</stp>
        <stp>49630.T</stp>
        <stp>前日比率</stp>
        <tr r="F555" s="7"/>
      </tp>
      <tp t="s">
        <v>表示銘柄数超過</v>
        <stp/>
        <stp>Market</stp>
        <stp>STOCK</stp>
        <stp>39630.T</stp>
        <stp>前日比率</stp>
        <tr r="F400" s="7"/>
      </tp>
      <tp t="s">
        <v>表示銘柄数超過</v>
        <stp/>
        <stp>Market</stp>
        <stp>STOCK</stp>
        <stp>39650.T</stp>
        <stp>前日比率</stp>
        <tr r="F401" s="7"/>
      </tp>
      <tp t="s">
        <v>表示銘柄数超過</v>
        <stp/>
        <stp>Market</stp>
        <stp>STOCK</stp>
        <stp>19650.T</stp>
        <stp>前日比率</stp>
        <tr r="F83" s="7"/>
      </tp>
      <tp>
        <v>-6.42</v>
        <stp/>
        <stp>Market</stp>
        <stp>STOCK</stp>
        <stp>59660.T</stp>
        <stp>前日比率</stp>
        <tr r="F628" s="7"/>
      </tp>
      <tp t="s">
        <v>表示銘柄数超過</v>
        <stp/>
        <stp>Market</stp>
        <stp>STOCK</stp>
        <stp>19660.T</stp>
        <stp>前日比率</stp>
        <tr r="F84" s="7"/>
      </tp>
      <tp t="s">
        <v>表示銘柄数超過</v>
        <stp/>
        <stp>Market</stp>
        <stp>STOCK</stp>
        <stp>99690.T</stp>
        <stp>前日比率</stp>
        <tr r="F1185" s="7"/>
      </tp>
      <tp>
        <v>2.0499999999999998</v>
        <stp/>
        <stp>Market</stp>
        <stp>STOCK</stp>
        <stp>79710.T</stp>
        <stp>前日比率</stp>
        <tr r="F960" s="7"/>
      </tp>
      <tp t="s">
        <v>表示銘柄数超過</v>
        <stp/>
        <stp>Market</stp>
        <stp>STOCK</stp>
        <stp>19710.T</stp>
        <stp>前日比率</stp>
        <tr r="F85" s="7"/>
      </tp>
      <tp>
        <v>3.83</v>
        <stp/>
        <stp>Market</stp>
        <stp>STOCK</stp>
        <stp>59700.T</stp>
        <stp>前日比率</stp>
        <tr r="F629" s="7"/>
      </tp>
      <tp t="s">
        <v>表示銘柄数超過</v>
        <stp/>
        <stp>Market</stp>
        <stp>STOCK</stp>
        <stp>99730.T</stp>
        <stp>前日比率</stp>
        <tr r="F1186" s="7"/>
      </tp>
      <tp>
        <v>1.49</v>
        <stp/>
        <stp>Market</stp>
        <stp>STOCK</stp>
        <stp>79720.T</stp>
        <stp>前日比率</stp>
        <tr r="F961" s="7"/>
      </tp>
      <tp>
        <v>-0.08</v>
        <stp/>
        <stp>Market</stp>
        <stp>STOCK</stp>
        <stp>79740.T</stp>
        <stp>前日比率</stp>
        <tr r="F962" s="7"/>
      </tp>
      <tp>
        <v>-3.32</v>
        <stp/>
        <stp>Market</stp>
        <stp>STOCK</stp>
        <stp>69760.T</stp>
        <stp>前日比率</stp>
        <tr r="F797" s="7"/>
      </tp>
      <tp>
        <v>0.19</v>
        <stp/>
        <stp>Market</stp>
        <stp>STOCK</stp>
        <stp>59760.T</stp>
        <stp>前日比率</stp>
        <tr r="F630" s="7"/>
      </tp>
      <tp t="s">
        <v>表示銘柄数超過</v>
        <stp/>
        <stp>Market</stp>
        <stp>STOCK</stp>
        <stp>39760.T</stp>
        <stp>前日比率</stp>
        <tr r="F402" s="7"/>
      </tp>
      <tp t="s">
        <v>表示銘柄数超過</v>
        <stp/>
        <stp>Market</stp>
        <stp>STOCK</stp>
        <stp>49780.T</stp>
        <stp>前日比率</stp>
        <tr r="F556" s="7"/>
      </tp>
      <tp>
        <v>7.86</v>
        <stp/>
        <stp>Market</stp>
        <stp>STOCK</stp>
        <stp>69410.T</stp>
        <stp>前日比率</stp>
        <tr r="F791" s="7"/>
      </tp>
      <tp t="s">
        <v>表示銘柄数超過</v>
        <stp/>
        <stp>Market</stp>
        <stp>STOCK</stp>
        <stp>19410.T</stp>
        <stp>前日比率</stp>
        <tr r="F79" s="7"/>
      </tp>
      <tp>
        <v>-0.73</v>
        <stp/>
        <stp>Market</stp>
        <stp>STOCK</stp>
        <stp>79400.T</stp>
        <stp>前日比率</stp>
        <tr r="F957" s="7"/>
      </tp>
      <tp>
        <v>-1.25</v>
        <stp/>
        <stp>Market</stp>
        <stp>STOCK</stp>
        <stp>59400.T</stp>
        <stp>前日比率</stp>
        <tr r="F622" s="7"/>
      </tp>
      <tp t="s">
        <v>表示銘柄数超過</v>
        <stp/>
        <stp>Market</stp>
        <stp>STOCK</stp>
        <stp>39400.T</stp>
        <stp>前日比率</stp>
        <tr r="F399" s="7"/>
      </tp>
      <tp>
        <v>20.350000000000001</v>
        <stp/>
        <stp>Market</stp>
        <stp>STOCK</stp>
        <stp>69420.T</stp>
        <stp>前日比率</stp>
        <tr r="F792" s="7"/>
      </tp>
      <tp t="s">
        <v>表示銘柄数超過</v>
        <stp/>
        <stp>Market</stp>
        <stp>STOCK</stp>
        <stp>19420.T</stp>
        <stp>前日比率</stp>
        <tr r="F80" s="7"/>
      </tp>
      <tp t="s">
        <v>表示銘柄数超過</v>
        <stp/>
        <stp>Market</stp>
        <stp>STOCK</stp>
        <stp>89450.T</stp>
        <stp>前日比率</stp>
        <tr r="F1070" s="7"/>
      </tp>
      <tp t="s">
        <v>表示銘柄数超過</v>
        <stp/>
        <stp>Market</stp>
        <stp>STOCK</stp>
        <stp>89440.T</stp>
        <stp>前日比率</stp>
        <tr r="F1069" s="7"/>
      </tp>
      <tp>
        <v>-0.37</v>
        <stp/>
        <stp>Market</stp>
        <stp>STOCK</stp>
        <stp>59470.T</stp>
        <stp>前日比率</stp>
        <tr r="F623" s="7"/>
      </tp>
      <tp t="s">
        <v>表示銘柄数超過</v>
        <stp/>
        <stp>Market</stp>
        <stp>STOCK</stp>
        <stp>99460.T</stp>
        <stp>前日比率</stp>
        <tr r="F1184" s="7"/>
      </tp>
      <tp t="s">
        <v>表示銘柄数超過</v>
        <stp/>
        <stp>Market</stp>
        <stp>STOCK</stp>
        <stp>89460.T</stp>
        <stp>前日比率</stp>
        <tr r="F1071" s="7"/>
      </tp>
      <tp>
        <v>2.97</v>
        <stp/>
        <stp>Market</stp>
        <stp>STOCK</stp>
        <stp>59490.T</stp>
        <stp>前日比率</stp>
        <tr r="F624" s="7"/>
      </tp>
      <tp>
        <v>0</v>
        <stp/>
        <stp>Market</stp>
        <stp>STOCK</stp>
        <stp>59500.T</stp>
        <stp>前日比率</stp>
        <tr r="F625" s="7"/>
      </tp>
      <tp t="s">
        <v>表示銘柄数超過</v>
        <stp/>
        <stp>Market</stp>
        <stp>STOCK</stp>
        <stp>19500.T</stp>
        <stp>前日比率</stp>
        <tr r="F81" s="7"/>
      </tp>
      <tp>
        <v>-0.25</v>
        <stp/>
        <stp>Market</stp>
        <stp>STOCK</stp>
        <stp>79530.T</stp>
        <stp>前日比率</stp>
        <tr r="F958" s="7"/>
      </tp>
      <tp>
        <v>-1.1399999999999999</v>
        <stp/>
        <stp>Market</stp>
        <stp>STOCK</stp>
        <stp>69520.T</stp>
        <stp>前日比率</stp>
        <tr r="F793" s="7"/>
      </tp>
      <tp>
        <v>0</v>
        <stp/>
        <stp>Market</stp>
        <stp>STOCK</stp>
        <stp>59520.T</stp>
        <stp>前日比率</stp>
        <tr r="F626" s="7"/>
      </tp>
      <tp>
        <v>3.6</v>
        <stp/>
        <stp>Market</stp>
        <stp>STOCK</stp>
        <stp>79550.T</stp>
        <stp>前日比率</stp>
        <tr r="F959" s="7"/>
      </tp>
      <tp>
        <v>0.9</v>
        <stp/>
        <stp>Market</stp>
        <stp>STOCK</stp>
        <stp>69550.T</stp>
        <stp>前日比率</stp>
        <tr r="F795" s="7"/>
      </tp>
      <tp>
        <v>2.5299999999999998</v>
        <stp/>
        <stp>Market</stp>
        <stp>STOCK</stp>
        <stp>59550.T</stp>
        <stp>前日比率</stp>
        <tr r="F627" s="7"/>
      </tp>
      <tp>
        <v>-0.48</v>
        <stp/>
        <stp>Market</stp>
        <stp>STOCK</stp>
        <stp>69540.T</stp>
        <stp>前日比率</stp>
        <tr r="F794" s="7"/>
      </tp>
      <tp>
        <v>1.35</v>
        <stp/>
        <stp>Market</stp>
        <stp>STOCK</stp>
        <stp>69580.T</stp>
        <stp>前日比率</stp>
        <tr r="F796" s="7"/>
      </tp>
    </main>
    <main first="rtdsrv.662c26bade854d00aebc6010f8a2e03a">
      <tp t="s">
        <v/>
        <stp/>
        <stp>Market</stp>
        <stp>STOCK</stp>
        <stp/>
        <stp>出来高</stp>
        <tr r="V914" s="7"/>
        <tr r="V1193" s="7"/>
        <tr r="V1197" s="7"/>
        <tr r="V1201" s="7"/>
        <tr r="V1205" s="7"/>
        <tr r="V1209" s="7"/>
        <tr r="V1213" s="7"/>
        <tr r="V1217" s="7"/>
        <tr r="V1221" s="7"/>
        <tr r="V1225" s="7"/>
        <tr r="V1229" s="7"/>
        <tr r="V1233" s="7"/>
        <tr r="V1237" s="7"/>
        <tr r="V1241" s="7"/>
        <tr r="V1245" s="7"/>
        <tr r="V1249" s="7"/>
        <tr r="V1253" s="7"/>
        <tr r="V1255" s="7"/>
        <tr r="V1268" s="7"/>
        <tr r="V1272" s="7"/>
        <tr r="V1194" s="7"/>
        <tr r="V1198" s="7"/>
        <tr r="V1202" s="7"/>
        <tr r="V1206" s="7"/>
        <tr r="V1210" s="7"/>
        <tr r="V1214" s="7"/>
        <tr r="V1218" s="7"/>
        <tr r="V1222" s="7"/>
        <tr r="V1226" s="7"/>
        <tr r="V1230" s="7"/>
        <tr r="V1234" s="7"/>
        <tr r="V1238" s="7"/>
        <tr r="V1242" s="7"/>
        <tr r="V1246" s="7"/>
        <tr r="V1250" s="7"/>
        <tr r="V1254" s="7"/>
        <tr r="V1256" s="7"/>
        <tr r="V1195" s="7"/>
        <tr r="V1199" s="7"/>
        <tr r="V1203" s="7"/>
        <tr r="V1207" s="7"/>
        <tr r="V1211" s="7"/>
        <tr r="V1215" s="7"/>
        <tr r="V1219" s="7"/>
        <tr r="V1223" s="7"/>
        <tr r="V1227" s="7"/>
        <tr r="V1231" s="7"/>
        <tr r="V1235" s="7"/>
        <tr r="V1239" s="7"/>
        <tr r="V1243" s="7"/>
        <tr r="V1247" s="7"/>
        <tr r="V1251" s="7"/>
        <tr r="V1259" s="7"/>
        <tr r="V1260" s="7"/>
        <tr r="V1263" s="7"/>
        <tr r="V1264" s="7"/>
        <tr r="V1267" s="7"/>
        <tr r="V1192" s="7"/>
        <tr r="V1196" s="7"/>
        <tr r="V1200" s="7"/>
        <tr r="V1204" s="7"/>
        <tr r="V1208" s="7"/>
        <tr r="V1212" s="7"/>
        <tr r="V1216" s="7"/>
        <tr r="V1220" s="7"/>
        <tr r="V1224" s="7"/>
        <tr r="V1228" s="7"/>
        <tr r="V1232" s="7"/>
        <tr r="V1236" s="7"/>
        <tr r="V1240" s="7"/>
        <tr r="V1244" s="7"/>
        <tr r="V1248" s="7"/>
        <tr r="V1252" s="7"/>
        <tr r="V1271" s="7"/>
        <tr r="V1275" s="7"/>
        <tr r="V1279" s="7"/>
        <tr r="V1283" s="7"/>
        <tr r="V1287" s="7"/>
        <tr r="V1291" s="7"/>
        <tr r="V1295" s="7"/>
        <tr r="V1299" s="7"/>
        <tr r="V1303" s="7"/>
        <tr r="V1307" s="7"/>
        <tr r="V1311" s="7"/>
        <tr r="V1315" s="7"/>
        <tr r="V1319" s="7"/>
        <tr r="V1323" s="7"/>
        <tr r="V1327" s="7"/>
        <tr r="V1331" s="7"/>
        <tr r="V1335" s="7"/>
        <tr r="V1276" s="7"/>
        <tr r="V1280" s="7"/>
        <tr r="V1284" s="7"/>
        <tr r="V1288" s="7"/>
        <tr r="V1292" s="7"/>
        <tr r="V1296" s="7"/>
        <tr r="V1300" s="7"/>
        <tr r="V1304" s="7"/>
        <tr r="V1308" s="7"/>
        <tr r="V1312" s="7"/>
        <tr r="V1316" s="7"/>
        <tr r="V1320" s="7"/>
        <tr r="V1324" s="7"/>
        <tr r="V1328" s="7"/>
        <tr r="V1332" s="7"/>
        <tr r="V1336" s="7"/>
        <tr r="V1347" s="7"/>
        <tr r="V1351" s="7"/>
        <tr r="V1355" s="7"/>
        <tr r="V1359" s="7"/>
        <tr r="V1363" s="7"/>
        <tr r="V1367" s="7"/>
        <tr r="V1371" s="7"/>
        <tr r="V1375" s="7"/>
        <tr r="V1379" s="7"/>
        <tr r="V1383" s="7"/>
        <tr r="V1387" s="7"/>
        <tr r="V1391" s="7"/>
        <tr r="V1395" s="7"/>
        <tr r="V1399" s="7"/>
        <tr r="V1403" s="7"/>
        <tr r="V1407" s="7"/>
        <tr r="V1411" s="7"/>
        <tr r="V1257" s="7"/>
        <tr r="V1261" s="7"/>
        <tr r="V1265" s="7"/>
        <tr r="V1269" s="7"/>
        <tr r="V1273" s="7"/>
        <tr r="V1277" s="7"/>
        <tr r="V1281" s="7"/>
        <tr r="V1285" s="7"/>
        <tr r="V1289" s="7"/>
        <tr r="V1293" s="7"/>
        <tr r="V1297" s="7"/>
        <tr r="V1301" s="7"/>
        <tr r="V1305" s="7"/>
        <tr r="V1309" s="7"/>
        <tr r="V1313" s="7"/>
        <tr r="V1317" s="7"/>
        <tr r="V1321" s="7"/>
        <tr r="V1325" s="7"/>
        <tr r="V1329" s="7"/>
        <tr r="V1333" s="7"/>
        <tr r="V1337" s="7"/>
        <tr r="V1339" s="7"/>
        <tr r="V1340" s="7"/>
        <tr r="V1343" s="7"/>
        <tr r="V1344" s="7"/>
        <tr r="V1258" s="7"/>
        <tr r="V1262" s="7"/>
        <tr r="V1266" s="7"/>
        <tr r="V1270" s="7"/>
        <tr r="V1274" s="7"/>
        <tr r="V1278" s="7"/>
        <tr r="V1282" s="7"/>
        <tr r="V1286" s="7"/>
        <tr r="V1290" s="7"/>
        <tr r="V1294" s="7"/>
        <tr r="V1298" s="7"/>
        <tr r="V1302" s="7"/>
        <tr r="V1306" s="7"/>
        <tr r="V1310" s="7"/>
        <tr r="V1314" s="7"/>
        <tr r="V1318" s="7"/>
        <tr r="V1322" s="7"/>
        <tr r="V1326" s="7"/>
        <tr r="V1330" s="7"/>
        <tr r="V1334" s="7"/>
        <tr r="V1415" s="7"/>
        <tr r="V1419" s="7"/>
        <tr r="V1423" s="7"/>
        <tr r="V1440" s="7"/>
        <tr r="V1444" s="7"/>
        <tr r="V1448" s="7"/>
        <tr r="V1452" s="7"/>
        <tr r="V1456" s="7"/>
        <tr r="V1460" s="7"/>
        <tr r="V1464" s="7"/>
        <tr r="V1468" s="7"/>
        <tr r="V1472" s="7"/>
        <tr r="V1476" s="7"/>
        <tr r="V1480" s="7"/>
        <tr r="V1484" s="7"/>
        <tr r="V1348" s="7"/>
        <tr r="V1352" s="7"/>
        <tr r="V1356" s="7"/>
        <tr r="V1360" s="7"/>
        <tr r="V1364" s="7"/>
        <tr r="V1368" s="7"/>
        <tr r="V1372" s="7"/>
        <tr r="V1376" s="7"/>
        <tr r="V1380" s="7"/>
        <tr r="V1384" s="7"/>
        <tr r="V1388" s="7"/>
        <tr r="V1392" s="7"/>
        <tr r="V1396" s="7"/>
        <tr r="V1400" s="7"/>
        <tr r="V1404" s="7"/>
        <tr r="V1408" s="7"/>
        <tr r="V1412" s="7"/>
        <tr r="V1416" s="7"/>
        <tr r="V1420" s="7"/>
        <tr r="V1424" s="7"/>
        <tr r="V1426" s="7"/>
        <tr r="V1427" s="7"/>
        <tr r="V1430" s="7"/>
        <tr r="V1431" s="7"/>
        <tr r="V1434" s="7"/>
        <tr r="V1435" s="7"/>
        <tr r="V1438" s="7"/>
        <tr r="V1341" s="7"/>
        <tr r="V1345" s="7"/>
        <tr r="V1349" s="7"/>
        <tr r="V1353" s="7"/>
        <tr r="V1357" s="7"/>
        <tr r="V1361" s="7"/>
        <tr r="V1365" s="7"/>
        <tr r="V1369" s="7"/>
        <tr r="V1373" s="7"/>
        <tr r="V1377" s="7"/>
        <tr r="V1381" s="7"/>
        <tr r="V1385" s="7"/>
        <tr r="V1389" s="7"/>
        <tr r="V1393" s="7"/>
        <tr r="V1397" s="7"/>
        <tr r="V1401" s="7"/>
        <tr r="V1405" s="7"/>
        <tr r="V1409" s="7"/>
        <tr r="V1413" s="7"/>
        <tr r="V1417" s="7"/>
        <tr r="V1421" s="7"/>
        <tr r="V1428" s="7"/>
        <tr r="V1432" s="7"/>
        <tr r="V1436" s="7"/>
        <tr r="V1338" s="7"/>
        <tr r="V1342" s="7"/>
        <tr r="V1346" s="7"/>
        <tr r="V1350" s="7"/>
        <tr r="V1354" s="7"/>
        <tr r="V1358" s="7"/>
        <tr r="V1362" s="7"/>
        <tr r="V1366" s="7"/>
        <tr r="V1370" s="7"/>
        <tr r="V1374" s="7"/>
        <tr r="V1378" s="7"/>
        <tr r="V1382" s="7"/>
        <tr r="V1386" s="7"/>
        <tr r="V1390" s="7"/>
        <tr r="V1394" s="7"/>
        <tr r="V1398" s="7"/>
        <tr r="V1402" s="7"/>
        <tr r="V1406" s="7"/>
        <tr r="V1410" s="7"/>
        <tr r="V1414" s="7"/>
        <tr r="V1418" s="7"/>
        <tr r="V1422" s="7"/>
        <tr r="V1658" s="7"/>
        <tr r="V1659" s="7"/>
        <tr r="V1676" s="7"/>
        <tr r="V1708" s="7"/>
        <tr r="V1740" s="7"/>
        <tr r="V1425" s="7"/>
        <tr r="V1429" s="7"/>
        <tr r="V1433" s="7"/>
        <tr r="V1437" s="7"/>
        <tr r="V1441" s="7"/>
        <tr r="V1445" s="7"/>
        <tr r="V1449" s="7"/>
        <tr r="V1453" s="7"/>
        <tr r="V1457" s="7"/>
        <tr r="V1461" s="7"/>
        <tr r="V1465" s="7"/>
        <tr r="V1469" s="7"/>
        <tr r="V1473" s="7"/>
        <tr r="V1477" s="7"/>
        <tr r="V1481" s="7"/>
        <tr r="V1485" s="7"/>
        <tr r="V1700" s="7"/>
        <tr r="V1732" s="7"/>
        <tr r="V1442" s="7"/>
        <tr r="V1446" s="7"/>
        <tr r="V1450" s="7"/>
        <tr r="V1454" s="7"/>
        <tr r="V1458" s="7"/>
        <tr r="V1462" s="7"/>
        <tr r="V1466" s="7"/>
        <tr r="V1470" s="7"/>
        <tr r="V1474" s="7"/>
        <tr r="V1478" s="7"/>
        <tr r="V1482" s="7"/>
        <tr r="V1486" s="7"/>
        <tr r="V1488" s="7"/>
        <tr r="V1489" s="7"/>
        <tr r="V1492" s="7"/>
        <tr r="V1493" s="7"/>
        <tr r="V1500" s="7"/>
        <tr r="V1504" s="7"/>
        <tr r="V1508" s="7"/>
        <tr r="V1512" s="7"/>
        <tr r="V1516" s="7"/>
        <tr r="V1520" s="7"/>
        <tr r="V1524" s="7"/>
        <tr r="V1528" s="7"/>
        <tr r="V1532" s="7"/>
        <tr r="V1536" s="7"/>
        <tr r="V1540" s="7"/>
        <tr r="V1544" s="7"/>
        <tr r="V1548" s="7"/>
        <tr r="V1552" s="7"/>
        <tr r="V1556" s="7"/>
        <tr r="V1560" s="7"/>
        <tr r="V1564" s="7"/>
        <tr r="V1568" s="7"/>
        <tr r="V1572" s="7"/>
        <tr r="V1576" s="7"/>
        <tr r="V1580" s="7"/>
        <tr r="V1584" s="7"/>
        <tr r="V1588" s="7"/>
        <tr r="V1592" s="7"/>
        <tr r="V1596" s="7"/>
        <tr r="V1600" s="7"/>
        <tr r="V1604" s="7"/>
        <tr r="V1608" s="7"/>
        <tr r="V1612" s="7"/>
        <tr r="V1613" s="7"/>
        <tr r="V1614" s="7"/>
        <tr r="V1617" s="7"/>
        <tr r="V1618" s="7"/>
        <tr r="V1621" s="7"/>
        <tr r="V1622" s="7"/>
        <tr r="V1625" s="7"/>
        <tr r="V1626" s="7"/>
        <tr r="V1629" s="7"/>
        <tr r="V1630" s="7"/>
        <tr r="V1633" s="7"/>
        <tr r="V1634" s="7"/>
        <tr r="V1637" s="7"/>
        <tr r="V1638" s="7"/>
        <tr r="V1641" s="7"/>
        <tr r="V1642" s="7"/>
        <tr r="V1645" s="7"/>
        <tr r="V1646" s="7"/>
        <tr r="V1649" s="7"/>
        <tr r="V1650" s="7"/>
        <tr r="V1653" s="7"/>
        <tr r="V1654" s="7"/>
        <tr r="V1692" s="7"/>
        <tr r="V1724" s="7"/>
        <tr r="V1439" s="7"/>
        <tr r="V1443" s="7"/>
        <tr r="V1447" s="7"/>
        <tr r="V1451" s="7"/>
        <tr r="V1455" s="7"/>
        <tr r="V1459" s="7"/>
        <tr r="V1463" s="7"/>
        <tr r="V1467" s="7"/>
        <tr r="V1471" s="7"/>
        <tr r="V1475" s="7"/>
        <tr r="V1479" s="7"/>
        <tr r="V1483" s="7"/>
        <tr r="V1487" s="7"/>
        <tr r="V1490" s="7"/>
        <tr r="V1496" s="7"/>
        <tr r="V1684" s="7"/>
        <tr r="V1716" s="7"/>
        <tr r="V1497" s="7"/>
        <tr r="V1501" s="7"/>
        <tr r="V1505" s="7"/>
        <tr r="V1509" s="7"/>
        <tr r="V1513" s="7"/>
        <tr r="V1517" s="7"/>
        <tr r="V1521" s="7"/>
        <tr r="V1525" s="7"/>
        <tr r="V1529" s="7"/>
        <tr r="V1533" s="7"/>
        <tr r="V1537" s="7"/>
        <tr r="V1541" s="7"/>
        <tr r="V1545" s="7"/>
        <tr r="V1549" s="7"/>
        <tr r="V1553" s="7"/>
        <tr r="V1557" s="7"/>
        <tr r="V1561" s="7"/>
        <tr r="V1565" s="7"/>
        <tr r="V1569" s="7"/>
        <tr r="V1573" s="7"/>
        <tr r="V1577" s="7"/>
        <tr r="V1581" s="7"/>
        <tr r="V1585" s="7"/>
        <tr r="V1589" s="7"/>
        <tr r="V1593" s="7"/>
        <tr r="V1597" s="7"/>
        <tr r="V1601" s="7"/>
        <tr r="V1605" s="7"/>
        <tr r="V1609" s="7"/>
        <tr r="V1615" s="7"/>
        <tr r="V1619" s="7"/>
        <tr r="V1623" s="7"/>
        <tr r="V1627" s="7"/>
        <tr r="V1631" s="7"/>
        <tr r="V1635" s="7"/>
        <tr r="V1639" s="7"/>
        <tr r="V1643" s="7"/>
        <tr r="V1647" s="7"/>
        <tr r="V1651" s="7"/>
        <tr r="V1655" s="7"/>
        <tr r="V1494" s="7"/>
        <tr r="V1498" s="7"/>
        <tr r="V1502" s="7"/>
        <tr r="V1506" s="7"/>
        <tr r="V1510" s="7"/>
        <tr r="V1514" s="7"/>
        <tr r="V1518" s="7"/>
        <tr r="V1522" s="7"/>
        <tr r="V1526" s="7"/>
        <tr r="V1530" s="7"/>
        <tr r="V1534" s="7"/>
        <tr r="V1538" s="7"/>
        <tr r="V1542" s="7"/>
        <tr r="V1546" s="7"/>
        <tr r="V1550" s="7"/>
        <tr r="V1554" s="7"/>
        <tr r="V1558" s="7"/>
        <tr r="V1562" s="7"/>
        <tr r="V1566" s="7"/>
        <tr r="V1570" s="7"/>
        <tr r="V1574" s="7"/>
        <tr r="V1578" s="7"/>
        <tr r="V1582" s="7"/>
        <tr r="V1586" s="7"/>
        <tr r="V1590" s="7"/>
        <tr r="V1594" s="7"/>
        <tr r="V1598" s="7"/>
        <tr r="V1602" s="7"/>
        <tr r="V1606" s="7"/>
        <tr r="V1610" s="7"/>
        <tr r="V1680" s="7"/>
        <tr r="V1688" s="7"/>
        <tr r="V1696" s="7"/>
        <tr r="V1704" s="7"/>
        <tr r="V1712" s="7"/>
        <tr r="V1720" s="7"/>
        <tr r="V1728" s="7"/>
        <tr r="V1736" s="7"/>
        <tr r="V1744" s="7"/>
        <tr r="V1491" s="7"/>
        <tr r="V1495" s="7"/>
        <tr r="V1499" s="7"/>
        <tr r="V1503" s="7"/>
        <tr r="V1507" s="7"/>
        <tr r="V1511" s="7"/>
        <tr r="V1515" s="7"/>
        <tr r="V1519" s="7"/>
        <tr r="V1523" s="7"/>
        <tr r="V1527" s="7"/>
        <tr r="V1531" s="7"/>
        <tr r="V1535" s="7"/>
        <tr r="V1539" s="7"/>
        <tr r="V1543" s="7"/>
        <tr r="V1547" s="7"/>
        <tr r="V1551" s="7"/>
        <tr r="V1555" s="7"/>
        <tr r="V1559" s="7"/>
        <tr r="V1563" s="7"/>
        <tr r="V1567" s="7"/>
        <tr r="V1571" s="7"/>
        <tr r="V1575" s="7"/>
        <tr r="V1579" s="7"/>
        <tr r="V1583" s="7"/>
        <tr r="V1587" s="7"/>
        <tr r="V1591" s="7"/>
        <tr r="V1595" s="7"/>
        <tr r="V1599" s="7"/>
        <tr r="V1603" s="7"/>
        <tr r="V1607" s="7"/>
        <tr r="V1611" s="7"/>
        <tr r="V1662" s="7"/>
        <tr r="V1666" s="7"/>
        <tr r="V1670" s="7"/>
        <tr r="V1672" s="7"/>
        <tr r="V1663" s="7"/>
        <tr r="V1667" s="7"/>
        <tr r="V1671" s="7"/>
        <tr r="V1673" s="7"/>
        <tr r="V1616" s="7"/>
        <tr r="V1620" s="7"/>
        <tr r="V1624" s="7"/>
        <tr r="V1628" s="7"/>
        <tr r="V1632" s="7"/>
        <tr r="V1636" s="7"/>
        <tr r="V1640" s="7"/>
        <tr r="V1644" s="7"/>
        <tr r="V1648" s="7"/>
        <tr r="V1652" s="7"/>
        <tr r="V1656" s="7"/>
        <tr r="V1660" s="7"/>
        <tr r="V1664" s="7"/>
        <tr r="V1668" s="7"/>
        <tr r="V1657" s="7"/>
        <tr r="V1661" s="7"/>
        <tr r="V1665" s="7"/>
        <tr r="V1669" s="7"/>
        <tr r="V1677" s="7"/>
        <tr r="V1681" s="7"/>
        <tr r="V1685" s="7"/>
        <tr r="V1689" s="7"/>
        <tr r="V1693" s="7"/>
        <tr r="V1697" s="7"/>
        <tr r="V1701" s="7"/>
        <tr r="V1705" s="7"/>
        <tr r="V1709" s="7"/>
        <tr r="V1713" s="7"/>
        <tr r="V1717" s="7"/>
        <tr r="V1721" s="7"/>
        <tr r="V1725" s="7"/>
        <tr r="V1729" s="7"/>
        <tr r="V1733" s="7"/>
        <tr r="V1737" s="7"/>
        <tr r="V1741" s="7"/>
        <tr r="V1745" s="7"/>
        <tr r="V1674" s="7"/>
        <tr r="V1678" s="7"/>
        <tr r="V1682" s="7"/>
        <tr r="V1686" s="7"/>
        <tr r="V1690" s="7"/>
        <tr r="V1694" s="7"/>
        <tr r="V1698" s="7"/>
        <tr r="V1702" s="7"/>
        <tr r="V1706" s="7"/>
        <tr r="V1710" s="7"/>
        <tr r="V1714" s="7"/>
        <tr r="V1718" s="7"/>
        <tr r="V1722" s="7"/>
        <tr r="V1726" s="7"/>
        <tr r="V1730" s="7"/>
        <tr r="V1734" s="7"/>
        <tr r="V1738" s="7"/>
        <tr r="V1742" s="7"/>
        <tr r="V1746" s="7"/>
        <tr r="V1675" s="7"/>
        <tr r="V1679" s="7"/>
        <tr r="V1683" s="7"/>
        <tr r="V1687" s="7"/>
        <tr r="V1691" s="7"/>
        <tr r="V1695" s="7"/>
        <tr r="V1699" s="7"/>
        <tr r="V1703" s="7"/>
        <tr r="V1707" s="7"/>
        <tr r="V1711" s="7"/>
        <tr r="V1715" s="7"/>
        <tr r="V1719" s="7"/>
        <tr r="V1723" s="7"/>
        <tr r="V1727" s="7"/>
        <tr r="V1731" s="7"/>
        <tr r="V1735" s="7"/>
        <tr r="V1739" s="7"/>
        <tr r="V1743" s="7"/>
        <tr r="V1747" s="7"/>
        <tr r="V1750" s="7"/>
        <tr r="V1754" s="7"/>
        <tr r="V1758" s="7"/>
        <tr r="V1762" s="7"/>
        <tr r="V1766" s="7"/>
        <tr r="V1770" s="7"/>
        <tr r="V1751" s="7"/>
        <tr r="V1755" s="7"/>
        <tr r="V1759" s="7"/>
        <tr r="V1763" s="7"/>
        <tr r="V1767" s="7"/>
        <tr r="V1771" s="7"/>
        <tr r="V1775" s="7"/>
        <tr r="V1776" s="7"/>
        <tr r="V1779" s="7"/>
        <tr r="V1780" s="7"/>
        <tr r="V1783" s="7"/>
        <tr r="V1784" s="7"/>
        <tr r="V1787" s="7"/>
        <tr r="V1788" s="7"/>
        <tr r="V1791" s="7"/>
        <tr r="V1792" s="7"/>
        <tr r="V1800" s="7"/>
        <tr r="V1804" s="7"/>
        <tr r="V1808" s="7"/>
        <tr r="V1812" s="7"/>
        <tr r="V1816" s="7"/>
        <tr r="V1748" s="7"/>
        <tr r="V1752" s="7"/>
        <tr r="V1756" s="7"/>
        <tr r="V1760" s="7"/>
        <tr r="V1764" s="7"/>
        <tr r="V1768" s="7"/>
        <tr r="V1772" s="7"/>
        <tr r="V1799" s="7"/>
        <tr r="V1803" s="7"/>
        <tr r="V1807" s="7"/>
        <tr r="V1811" s="7"/>
        <tr r="V1815" s="7"/>
        <tr r="V1749" s="7"/>
        <tr r="V1753" s="7"/>
        <tr r="V1757" s="7"/>
        <tr r="V1761" s="7"/>
        <tr r="V1765" s="7"/>
        <tr r="V1769" s="7"/>
        <tr r="V1773" s="7"/>
        <tr r="V1793" s="7"/>
        <tr r="V1797" s="7"/>
        <tr r="V1819" s="7"/>
        <tr r="V1820" s="7"/>
        <tr r="V1823" s="7"/>
        <tr r="V1824" s="7"/>
        <tr r="V1827" s="7"/>
        <tr r="V1828" s="7"/>
        <tr r="V1777" s="7"/>
        <tr r="V1781" s="7"/>
        <tr r="V1785" s="7"/>
        <tr r="V1789" s="7"/>
        <tr r="V1774" s="7"/>
        <tr r="V1778" s="7"/>
        <tr r="V1782" s="7"/>
        <tr r="V1786" s="7"/>
        <tr r="V1790" s="7"/>
        <tr r="V1795" s="7"/>
        <tr r="V1796" s="7"/>
        <tr r="V1801" s="7"/>
        <tr r="V1805" s="7"/>
        <tr r="V1809" s="7"/>
        <tr r="V1813" s="7"/>
        <tr r="V1817" s="7"/>
        <tr r="V1821" s="7"/>
        <tr r="V1825" s="7"/>
        <tr r="V1833" s="7"/>
        <tr r="V1837" s="7"/>
        <tr r="V1841" s="7"/>
        <tr r="V1794" s="7"/>
        <tr r="V1798" s="7"/>
        <tr r="V1802" s="7"/>
        <tr r="V1806" s="7"/>
        <tr r="V1810" s="7"/>
        <tr r="V1814" s="7"/>
        <tr r="V1818" s="7"/>
        <tr r="V1822" s="7"/>
        <tr r="V1826" s="7"/>
        <tr r="V1829" s="7"/>
        <tr r="V1832" s="7"/>
        <tr r="V1830" s="7"/>
        <tr r="V1834" s="7"/>
        <tr r="V1838" s="7"/>
        <tr r="V1842" s="7"/>
        <tr r="V1831" s="7"/>
        <tr r="V1835" s="7"/>
        <tr r="V1839" s="7"/>
        <tr r="V1843" s="7"/>
        <tr r="V1836" s="7"/>
        <tr r="V1840" s="7"/>
        <tr r="V1844" s="7"/>
        <tr r="V1846" s="7"/>
        <tr r="V1847" s="7"/>
        <tr r="V1850" s="7"/>
        <tr r="V1851" s="7"/>
        <tr r="V1854" s="7"/>
        <tr r="V1855" s="7"/>
        <tr r="V1858" s="7"/>
        <tr r="V1859" s="7"/>
        <tr r="V1848" s="7"/>
        <tr r="V1852" s="7"/>
        <tr r="V1856" s="7"/>
        <tr r="V1863" s="7"/>
        <tr r="V1867" s="7"/>
        <tr r="V1871" s="7"/>
        <tr r="V1875" s="7"/>
        <tr r="V1879" s="7"/>
        <tr r="V1845" s="7"/>
        <tr r="V1849" s="7"/>
        <tr r="V1853" s="7"/>
        <tr r="V1857" s="7"/>
        <tr r="V1860" s="7"/>
        <tr r="V1864" s="7"/>
        <tr r="V1868" s="7"/>
        <tr r="V1872" s="7"/>
        <tr r="V1876" s="7"/>
        <tr r="V1880" s="7"/>
        <tr r="V1861" s="7"/>
        <tr r="V1865" s="7"/>
        <tr r="V1869" s="7"/>
        <tr r="V1873" s="7"/>
        <tr r="V1877" s="7"/>
        <tr r="V1881" s="7"/>
        <tr r="V1862" s="7"/>
        <tr r="V1866" s="7"/>
        <tr r="V1870" s="7"/>
        <tr r="V1874" s="7"/>
        <tr r="V1878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9</xdr:row>
      <xdr:rowOff>28575</xdr:rowOff>
    </xdr:from>
    <xdr:to>
      <xdr:col>3</xdr:col>
      <xdr:colOff>3114675</xdr:colOff>
      <xdr:row>12</xdr:row>
      <xdr:rowOff>180975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0EFBCE0-CDBE-4C76-BD36-64AA94BFABC3}"/>
            </a:ext>
          </a:extLst>
        </xdr:cNvPr>
        <xdr:cNvSpPr/>
      </xdr:nvSpPr>
      <xdr:spPr>
        <a:xfrm>
          <a:off x="1019175" y="2466975"/>
          <a:ext cx="4371975" cy="80962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171450</xdr:colOff>
      <xdr:row>9</xdr:row>
      <xdr:rowOff>146050</xdr:rowOff>
    </xdr:from>
    <xdr:to>
      <xdr:col>3</xdr:col>
      <xdr:colOff>158750</xdr:colOff>
      <xdr:row>12</xdr:row>
      <xdr:rowOff>57150</xdr:rowOff>
    </xdr:to>
    <xdr:sp macro="[0]!Module1.manua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D2D9BFA-9EB0-4699-84FC-6C37E5569E58}"/>
            </a:ext>
          </a:extLst>
        </xdr:cNvPr>
        <xdr:cNvSpPr/>
      </xdr:nvSpPr>
      <xdr:spPr>
        <a:xfrm>
          <a:off x="1168400" y="2609850"/>
          <a:ext cx="1263650" cy="5969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r>
            <a:rPr kumimoji="1" lang="ja-JP" altLang="en-US" sz="11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列銘柄</a:t>
          </a:r>
        </a:p>
      </xdr:txBody>
    </xdr:sp>
    <xdr:clientData/>
  </xdr:twoCellAnchor>
  <xdr:twoCellAnchor>
    <xdr:from>
      <xdr:col>3</xdr:col>
      <xdr:colOff>298450</xdr:colOff>
      <xdr:row>9</xdr:row>
      <xdr:rowOff>152400</xdr:rowOff>
    </xdr:from>
    <xdr:to>
      <xdr:col>3</xdr:col>
      <xdr:colOff>1562100</xdr:colOff>
      <xdr:row>12</xdr:row>
      <xdr:rowOff>63500</xdr:rowOff>
    </xdr:to>
    <xdr:sp macro="[0]!Module1.positio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70676A2F-A3CF-4898-9B57-483529D1D857}"/>
            </a:ext>
          </a:extLst>
        </xdr:cNvPr>
        <xdr:cNvSpPr/>
      </xdr:nvSpPr>
      <xdr:spPr>
        <a:xfrm>
          <a:off x="2571750" y="2616200"/>
          <a:ext cx="1263650" cy="5969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ja-JP" altLang="en-US" sz="11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保有銘柄</a:t>
          </a:r>
        </a:p>
      </xdr:txBody>
    </xdr:sp>
    <xdr:clientData/>
  </xdr:twoCellAnchor>
  <xdr:twoCellAnchor>
    <xdr:from>
      <xdr:col>3</xdr:col>
      <xdr:colOff>1714500</xdr:colOff>
      <xdr:row>9</xdr:row>
      <xdr:rowOff>139700</xdr:rowOff>
    </xdr:from>
    <xdr:to>
      <xdr:col>3</xdr:col>
      <xdr:colOff>2978150</xdr:colOff>
      <xdr:row>12</xdr:row>
      <xdr:rowOff>82550</xdr:rowOff>
    </xdr:to>
    <xdr:sp macro="[0]!Module1.topix100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FB7B9633-4295-4837-BD52-599F4DA22C21}"/>
            </a:ext>
          </a:extLst>
        </xdr:cNvPr>
        <xdr:cNvSpPr/>
      </xdr:nvSpPr>
      <xdr:spPr>
        <a:xfrm>
          <a:off x="3987800" y="2603500"/>
          <a:ext cx="1263650" cy="62865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en-US" altLang="ja-JP" sz="1100">
              <a:solidFill>
                <a:schemeClr val="tx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rPr>
            <a:t>TOPIX100</a:t>
          </a:r>
          <a:endParaRPr kumimoji="1" lang="ja-JP" altLang="en-US" sz="1100">
            <a:solidFill>
              <a:schemeClr val="tx1"/>
            </a:solidFill>
            <a:latin typeface="メイリオ" panose="020B0604030504040204" pitchFamily="50" charset="-128"/>
            <a:ea typeface="メイリオ" panose="020B0604030504040204" pitchFamily="50" charset="-128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368300</xdr:colOff>
      <xdr:row>16</xdr:row>
      <xdr:rowOff>57150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8293100" cy="3714750"/>
        </a:xfrm>
        <a:prstGeom prst="rect">
          <a:avLst/>
        </a:prstGeom>
        <a:solidFill>
          <a:schemeClr val="bg1">
            <a:lumMod val="65000"/>
            <a:alpha val="57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rgbClr val="FF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！！注意！！</a:t>
          </a:r>
          <a:endParaRPr kumimoji="1" lang="en-US" altLang="ja-JP" sz="2000" b="1">
            <a:solidFill>
              <a:srgbClr val="FF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ctr"/>
          <a:r>
            <a:rPr kumimoji="1" lang="ja-JP" altLang="en-US" sz="2000" b="1">
              <a:solidFill>
                <a:srgbClr val="FF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本シートは下記例外時を除いて、更新・削除を行わないでください</a:t>
          </a:r>
          <a:endParaRPr kumimoji="1" lang="en-US" altLang="ja-JP" sz="2000" b="1">
            <a:solidFill>
              <a:srgbClr val="FF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ctr"/>
          <a:r>
            <a:rPr kumimoji="1" lang="ja-JP" altLang="en-US" sz="2000" b="1">
              <a:solidFill>
                <a:srgbClr val="FF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銘柄取得が正常に動作しなくなります。</a:t>
          </a:r>
          <a:endParaRPr kumimoji="1" lang="en-US" altLang="ja-JP" sz="2000" b="1">
            <a:solidFill>
              <a:srgbClr val="FF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ctr"/>
          <a:endParaRPr kumimoji="1" lang="en-US" altLang="ja-JP" sz="1800" b="1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ctr"/>
          <a:r>
            <a:rPr kumimoji="1" lang="ja-JP" altLang="en-US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（例外）</a:t>
          </a:r>
          <a:r>
            <a:rPr kumimoji="1" lang="en-US" altLang="ja-JP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TOPIX100</a:t>
          </a:r>
          <a:r>
            <a:rPr kumimoji="1" lang="ja-JP" altLang="en-US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は</a:t>
          </a:r>
          <a:r>
            <a:rPr kumimoji="1" lang="en-US" altLang="ja-JP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2021</a:t>
          </a:r>
          <a:r>
            <a:rPr kumimoji="1" lang="ja-JP" altLang="en-US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年</a:t>
          </a:r>
          <a:r>
            <a:rPr kumimoji="1" lang="en-US" altLang="ja-JP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11</a:t>
          </a:r>
          <a:r>
            <a:rPr kumimoji="1" lang="ja-JP" altLang="en-US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月</a:t>
          </a:r>
          <a:r>
            <a:rPr kumimoji="1" lang="en-US" altLang="ja-JP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1</a:t>
          </a:r>
          <a:r>
            <a:rPr kumimoji="1" lang="ja-JP" altLang="en-US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日時点の銘柄です。</a:t>
          </a:r>
          <a:endParaRPr kumimoji="1" lang="en-US" altLang="ja-JP" sz="1400" b="1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ctr"/>
          <a:r>
            <a:rPr kumimoji="1" lang="ja-JP" altLang="en-US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銘柄入替が発生した場合、本シート</a:t>
          </a:r>
          <a:r>
            <a:rPr kumimoji="1" lang="en-US" altLang="ja-JP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G</a:t>
          </a:r>
          <a:r>
            <a:rPr kumimoji="1" lang="ja-JP" altLang="en-US" sz="14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列を修正することで入替を反映できます。　　　　　　　　　　　　　　　　　　　　　　　　　　　　　　　　　　　　　　　　　　　　　　　　　　　　　　　　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arketspeed.jp/ms2_rss/onlinehelp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57757-868E-4755-957B-ACC7AA4A9CCC}">
  <sheetPr codeName="Sheet3"/>
  <dimension ref="B2:H23"/>
  <sheetViews>
    <sheetView workbookViewId="0">
      <selection activeCell="E5" sqref="E5"/>
    </sheetView>
  </sheetViews>
  <sheetFormatPr defaultColWidth="4" defaultRowHeight="18" x14ac:dyDescent="0.55000000000000004"/>
  <cols>
    <col min="1" max="16384" width="4" style="1"/>
  </cols>
  <sheetData>
    <row r="2" spans="2:8" ht="19.5" x14ac:dyDescent="0.55000000000000004">
      <c r="B2" s="28" t="s">
        <v>34</v>
      </c>
    </row>
    <row r="4" spans="2:8" ht="19.5" x14ac:dyDescent="0.55000000000000004">
      <c r="C4" s="28" t="s">
        <v>35</v>
      </c>
    </row>
    <row r="5" spans="2:8" ht="20" x14ac:dyDescent="0.55000000000000004">
      <c r="D5" s="30" t="s">
        <v>36</v>
      </c>
      <c r="E5" s="29" t="s">
        <v>37</v>
      </c>
      <c r="H5" s="31" t="s">
        <v>57</v>
      </c>
    </row>
    <row r="7" spans="2:8" x14ac:dyDescent="0.55000000000000004">
      <c r="D7" s="32" t="s">
        <v>38</v>
      </c>
      <c r="E7" s="33" t="s">
        <v>39</v>
      </c>
      <c r="H7" s="31" t="s">
        <v>58</v>
      </c>
    </row>
    <row r="8" spans="2:8" x14ac:dyDescent="0.55000000000000004">
      <c r="D8" s="32"/>
      <c r="H8" s="31"/>
    </row>
    <row r="9" spans="2:8" ht="19.5" x14ac:dyDescent="0.55000000000000004">
      <c r="C9" s="28" t="s">
        <v>46</v>
      </c>
    </row>
    <row r="10" spans="2:8" x14ac:dyDescent="0.55000000000000004">
      <c r="D10" s="39" t="s">
        <v>48</v>
      </c>
    </row>
    <row r="11" spans="2:8" x14ac:dyDescent="0.55000000000000004">
      <c r="D11" s="39" t="s">
        <v>49</v>
      </c>
    </row>
    <row r="12" spans="2:8" x14ac:dyDescent="0.55000000000000004">
      <c r="D12" s="39" t="s">
        <v>59</v>
      </c>
    </row>
    <row r="13" spans="2:8" x14ac:dyDescent="0.55000000000000004">
      <c r="D13" s="39"/>
    </row>
    <row r="14" spans="2:8" ht="19.5" x14ac:dyDescent="0.55000000000000004">
      <c r="C14" s="28" t="s">
        <v>53</v>
      </c>
      <c r="D14" s="39"/>
    </row>
    <row r="15" spans="2:8" x14ac:dyDescent="0.55000000000000004">
      <c r="D15" s="39" t="s">
        <v>60</v>
      </c>
    </row>
    <row r="16" spans="2:8" x14ac:dyDescent="0.55000000000000004">
      <c r="D16" s="39" t="s">
        <v>54</v>
      </c>
    </row>
    <row r="17" spans="3:5" x14ac:dyDescent="0.55000000000000004">
      <c r="D17" s="39" t="s">
        <v>61</v>
      </c>
    </row>
    <row r="18" spans="3:5" x14ac:dyDescent="0.55000000000000004">
      <c r="D18" s="39" t="s">
        <v>55</v>
      </c>
    </row>
    <row r="19" spans="3:5" x14ac:dyDescent="0.55000000000000004">
      <c r="D19" s="39" t="s">
        <v>56</v>
      </c>
    </row>
    <row r="21" spans="3:5" x14ac:dyDescent="0.55000000000000004">
      <c r="C21" s="41" t="s">
        <v>50</v>
      </c>
    </row>
    <row r="22" spans="3:5" x14ac:dyDescent="0.55000000000000004">
      <c r="D22" s="31" t="s">
        <v>51</v>
      </c>
    </row>
    <row r="23" spans="3:5" x14ac:dyDescent="0.55000000000000004">
      <c r="E23" s="40" t="s">
        <v>52</v>
      </c>
    </row>
  </sheetData>
  <phoneticPr fontId="2"/>
  <hyperlinks>
    <hyperlink ref="E5" location="銘柄管理!A1" display="銘柄管理" xr:uid="{8F6FBA28-C1D5-43C6-A8FE-29C30B80878B}"/>
    <hyperlink ref="E7" location="銘柄セット!A1" display="銘柄セット" xr:uid="{8230E2A5-AB9C-4A2E-BEE3-4B9AA96ABE05}"/>
    <hyperlink ref="E23" r:id="rId1" xr:uid="{E0F571E1-67D3-462D-B308-6F5DFA6C10ED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C3CB2-C814-4B12-A96D-54E1565A4D3B}">
  <sheetPr codeName="Sheet1"/>
  <dimension ref="A1:Z1881"/>
  <sheetViews>
    <sheetView tabSelected="1" zoomScale="70" zoomScaleNormal="70" workbookViewId="0">
      <pane ySplit="1" topLeftCell="A2" activePane="bottomLeft" state="frozen"/>
      <selection pane="bottomLeft" activeCell="A1359" sqref="A1359"/>
    </sheetView>
  </sheetViews>
  <sheetFormatPr defaultRowHeight="17.5" x14ac:dyDescent="0.55000000000000004"/>
  <cols>
    <col min="1" max="1" width="6.25" style="3" customWidth="1"/>
    <col min="2" max="2" width="26.5" style="3" bestFit="1" customWidth="1"/>
    <col min="3" max="3" width="8.75" style="3" bestFit="1" customWidth="1"/>
    <col min="4" max="4" width="8.6640625" style="3"/>
    <col min="5" max="5" width="9.75" style="3" customWidth="1"/>
    <col min="6" max="7" width="10.08203125" style="3" customWidth="1"/>
    <col min="8" max="8" width="14.33203125" style="3" customWidth="1"/>
    <col min="9" max="9" width="12.58203125" style="3" customWidth="1"/>
    <col min="10" max="10" width="13.6640625" style="3" bestFit="1" customWidth="1"/>
    <col min="11" max="11" width="12.58203125" style="3" customWidth="1"/>
    <col min="12" max="17" width="9.58203125" style="3" customWidth="1"/>
    <col min="18" max="18" width="12.58203125" style="3" customWidth="1"/>
    <col min="19" max="19" width="9.58203125" style="3" customWidth="1"/>
    <col min="20" max="20" width="9.58203125" style="6" customWidth="1"/>
    <col min="21" max="21" width="12.4140625" style="3" customWidth="1"/>
    <col min="22" max="22" width="12" style="3" customWidth="1"/>
    <col min="23" max="23" width="13.08203125" style="3" customWidth="1"/>
    <col min="24" max="24" width="12.58203125" style="3" customWidth="1"/>
    <col min="25" max="25" width="12.4140625" style="3" customWidth="1"/>
    <col min="26" max="26" width="11" style="3" bestFit="1" customWidth="1"/>
    <col min="27" max="27" width="11.4140625" style="3" customWidth="1"/>
    <col min="28" max="30" width="12" style="3" customWidth="1"/>
    <col min="31" max="16384" width="8.6640625" style="3"/>
  </cols>
  <sheetData>
    <row r="1" spans="1:26" ht="50.5" customHeight="1" x14ac:dyDescent="0.55000000000000004">
      <c r="A1" s="8" t="s">
        <v>0</v>
      </c>
      <c r="B1" s="8" t="s">
        <v>1</v>
      </c>
      <c r="C1" s="8" t="s">
        <v>2</v>
      </c>
      <c r="D1" s="8" t="s">
        <v>3</v>
      </c>
      <c r="E1" s="8" t="s">
        <v>15</v>
      </c>
      <c r="F1" s="8" t="s">
        <v>9</v>
      </c>
      <c r="G1" s="9" t="s">
        <v>29</v>
      </c>
      <c r="H1" s="9" t="s">
        <v>20</v>
      </c>
      <c r="I1" s="9" t="s">
        <v>30</v>
      </c>
      <c r="J1" s="9" t="s">
        <v>21</v>
      </c>
      <c r="K1" s="9" t="s">
        <v>22</v>
      </c>
      <c r="L1" s="8" t="s">
        <v>4</v>
      </c>
      <c r="M1" s="8" t="s">
        <v>7</v>
      </c>
      <c r="N1" s="8" t="s">
        <v>5</v>
      </c>
      <c r="O1" s="8" t="s">
        <v>8</v>
      </c>
      <c r="P1" s="8" t="s">
        <v>6</v>
      </c>
      <c r="Q1" s="8" t="s">
        <v>33</v>
      </c>
      <c r="R1" s="8" t="s">
        <v>23</v>
      </c>
      <c r="S1" s="8" t="s">
        <v>24</v>
      </c>
      <c r="T1" s="10" t="s">
        <v>10</v>
      </c>
      <c r="U1" s="8" t="s">
        <v>19</v>
      </c>
      <c r="V1" s="8" t="s">
        <v>11</v>
      </c>
      <c r="W1" s="8" t="s">
        <v>16</v>
      </c>
      <c r="X1" s="8" t="s">
        <v>12</v>
      </c>
      <c r="Y1" s="8" t="s">
        <v>13</v>
      </c>
      <c r="Z1" s="11" t="s">
        <v>14</v>
      </c>
    </row>
    <row r="2" spans="1:26" x14ac:dyDescent="0.25">
      <c r="A2" s="47">
        <v>1305</v>
      </c>
      <c r="B2" s="12" t="str">
        <f>_xll.RssMarket(A2,"銘柄名称")</f>
        <v>表示銘柄数超過</v>
      </c>
      <c r="C2" s="13" t="str">
        <f>_xll.RssMarket(A2,"現在値")</f>
        <v>表示銘柄数超過</v>
      </c>
      <c r="D2" s="12" t="str">
        <f>_xll.RssMarket(A2,"現在値詳細時刻")</f>
        <v>表示銘柄数超過</v>
      </c>
      <c r="E2" s="14" t="str">
        <f>_xll.RssMarket(A2,"前日比")</f>
        <v>表示銘柄数超過</v>
      </c>
      <c r="F2" s="15" t="e">
        <f>_xll.RssMarket(A2,"前日比率")/100</f>
        <v>#VALUE!</v>
      </c>
      <c r="G2" s="16" t="str">
        <f>IFERROR(VLOOKUP(A2,取得元!$A$2:$F$501,2,FALSE),"-")</f>
        <v>-</v>
      </c>
      <c r="H2" s="16" t="str">
        <f>IFERROR(VLOOKUP(A2,取得元!$A$2:$F$501,3,FALSE),"-")</f>
        <v>-</v>
      </c>
      <c r="I2" s="16" t="str">
        <f>IFERROR(VLOOKUP(A2,取得元!$A$2:$F$501,4,FALSE),"-")</f>
        <v>-</v>
      </c>
      <c r="J2" s="14" t="str">
        <f>IFERROR(VLOOKUP(A2,取得元!$A$2:$F$501,5,FALSE),"-")</f>
        <v>-</v>
      </c>
      <c r="K2" s="17" t="str">
        <f>IFERROR(VLOOKUP(A2,取得元!$A$2:$F$501,6,FALSE)/100,"-")</f>
        <v>-</v>
      </c>
      <c r="L2" s="13" t="str">
        <f>_xll.RssMarket(A2,"始値")</f>
        <v>表示銘柄数超過</v>
      </c>
      <c r="M2" s="15" t="e">
        <f t="shared" ref="M2:M32" si="0">C2/L2-1</f>
        <v>#VALUE!</v>
      </c>
      <c r="N2" s="13" t="str">
        <f>_xll.RssMarket(A2,"高値")</f>
        <v>表示銘柄数超過</v>
      </c>
      <c r="O2" s="15" t="e">
        <f t="shared" ref="O2:O32" si="1">C2/N2-1</f>
        <v>#VALUE!</v>
      </c>
      <c r="P2" s="13" t="str">
        <f>_xll.RssMarket(A2,"安値")</f>
        <v>表示銘柄数超過</v>
      </c>
      <c r="Q2" s="15" t="e">
        <f t="shared" ref="Q2:Q32" si="2">C2/P2-1</f>
        <v>#VALUE!</v>
      </c>
      <c r="R2" s="13" t="str">
        <f>_xll.RssMarket(A2,"後場始値")</f>
        <v>表示銘柄数超過</v>
      </c>
      <c r="S2" s="17" t="str">
        <f t="shared" ref="S2:S32" si="3">IFERROR(C2/R2-1,"-")</f>
        <v>-</v>
      </c>
      <c r="T2" s="13" t="str">
        <f>_xll.RssMarket(A2,"出来高加重平均")</f>
        <v>表示銘柄数超過</v>
      </c>
      <c r="U2" s="15" t="e">
        <f t="shared" ref="U2:U32" si="4">C2/T2-1</f>
        <v>#VALUE!</v>
      </c>
      <c r="V2" s="13" t="str">
        <f>_xll.RssMarket(A2,"出来高")</f>
        <v>表示銘柄数超過</v>
      </c>
      <c r="W2" s="13" t="str">
        <f>_xll.RssMarket(A2,"売買代金")</f>
        <v>表示銘柄数超過</v>
      </c>
      <c r="X2" s="12" t="str">
        <f>_xll.RssMarket(A2,"決算発表日")</f>
        <v>表示銘柄数超過</v>
      </c>
      <c r="Y2" s="18" t="str">
        <f>IF(C2&gt;_xll.RssMarket(A2,"年初来高値"),"○","×")</f>
        <v>×</v>
      </c>
      <c r="Z2" s="19" t="str">
        <f>IF(C2&lt;=_xll.RssMarket(A2,"年初来安値"),"○","×")</f>
        <v>○</v>
      </c>
    </row>
    <row r="3" spans="1:26" x14ac:dyDescent="0.25">
      <c r="A3" s="49">
        <v>1306</v>
      </c>
      <c r="B3" s="20" t="str">
        <f>_xll.RssMarket(A3,"銘柄名称")</f>
        <v>表示銘柄数超過</v>
      </c>
      <c r="C3" s="21" t="str">
        <f>_xll.RssMarket(A3,"現在値")</f>
        <v>表示銘柄数超過</v>
      </c>
      <c r="D3" s="20" t="str">
        <f>_xll.RssMarket(A3,"現在値詳細時刻")</f>
        <v>表示銘柄数超過</v>
      </c>
      <c r="E3" s="22" t="str">
        <f>_xll.RssMarket(A3,"前日比")</f>
        <v>表示銘柄数超過</v>
      </c>
      <c r="F3" s="23" t="e">
        <f>_xll.RssMarket(A3,"前日比率")/100</f>
        <v>#VALUE!</v>
      </c>
      <c r="G3" s="24" t="str">
        <f>IFERROR(VLOOKUP(A3,取得元!$A$2:$F$501,2,FALSE),"-")</f>
        <v>-</v>
      </c>
      <c r="H3" s="24" t="str">
        <f>IFERROR(VLOOKUP(A3,取得元!$A$2:$F$501,3,FALSE),"-")</f>
        <v>-</v>
      </c>
      <c r="I3" s="24" t="str">
        <f>IFERROR(VLOOKUP(A3,取得元!$A$2:$F$501,4,FALSE),"-")</f>
        <v>-</v>
      </c>
      <c r="J3" s="5" t="str">
        <f>IFERROR(VLOOKUP(A3,取得元!$A$2:$F$501,5,FALSE),"-")</f>
        <v>-</v>
      </c>
      <c r="K3" s="25" t="str">
        <f>IFERROR(VLOOKUP(A3,取得元!$A$2:$F$501,6,FALSE)/100,"-")</f>
        <v>-</v>
      </c>
      <c r="L3" s="21" t="str">
        <f>_xll.RssMarket(A3,"始値")</f>
        <v>表示銘柄数超過</v>
      </c>
      <c r="M3" s="4" t="e">
        <f t="shared" si="0"/>
        <v>#VALUE!</v>
      </c>
      <c r="N3" s="21" t="str">
        <f>_xll.RssMarket(A3,"高値")</f>
        <v>表示銘柄数超過</v>
      </c>
      <c r="O3" s="4" t="e">
        <f t="shared" si="1"/>
        <v>#VALUE!</v>
      </c>
      <c r="P3" s="21" t="str">
        <f>_xll.RssMarket(A3,"安値")</f>
        <v>表示銘柄数超過</v>
      </c>
      <c r="Q3" s="4" t="e">
        <f t="shared" si="2"/>
        <v>#VALUE!</v>
      </c>
      <c r="R3" s="21" t="str">
        <f>_xll.RssMarket(A3,"後場始値")</f>
        <v>表示銘柄数超過</v>
      </c>
      <c r="S3" s="25" t="str">
        <f t="shared" si="3"/>
        <v>-</v>
      </c>
      <c r="T3" s="7" t="str">
        <f>_xll.RssMarket(A3,"出来高加重平均")</f>
        <v>表示銘柄数超過</v>
      </c>
      <c r="U3" s="4" t="e">
        <f t="shared" si="4"/>
        <v>#VALUE!</v>
      </c>
      <c r="V3" s="21" t="str">
        <f>_xll.RssMarket(A3,"出来高")</f>
        <v>表示銘柄数超過</v>
      </c>
      <c r="W3" s="21" t="str">
        <f>_xll.RssMarket(A3,"売買代金")</f>
        <v>表示銘柄数超過</v>
      </c>
      <c r="X3" s="20" t="str">
        <f>_xll.RssMarket(A3,"決算発表日")</f>
        <v>表示銘柄数超過</v>
      </c>
      <c r="Y3" s="26" t="str">
        <f>IF(C3&gt;_xll.RssMarket(A3,"年初来高値"),"○","×")</f>
        <v>×</v>
      </c>
      <c r="Z3" s="27" t="str">
        <f>IF(C3&lt;=_xll.RssMarket(A3,"年初来安値"),"○","×")</f>
        <v>○</v>
      </c>
    </row>
    <row r="4" spans="1:26" x14ac:dyDescent="0.25">
      <c r="A4" s="47">
        <v>1308</v>
      </c>
      <c r="B4" s="20" t="str">
        <f>_xll.RssMarket(A4,"銘柄名称")</f>
        <v>表示銘柄数超過</v>
      </c>
      <c r="C4" s="21" t="str">
        <f>_xll.RssMarket(A4,"現在値")</f>
        <v>表示銘柄数超過</v>
      </c>
      <c r="D4" s="20" t="str">
        <f>_xll.RssMarket(A4,"現在値詳細時刻")</f>
        <v>表示銘柄数超過</v>
      </c>
      <c r="E4" s="22" t="str">
        <f>_xll.RssMarket(A4,"前日比")</f>
        <v>表示銘柄数超過</v>
      </c>
      <c r="F4" s="23" t="e">
        <f>_xll.RssMarket(A4,"前日比率")/100</f>
        <v>#VALUE!</v>
      </c>
      <c r="G4" s="24" t="str">
        <f>IFERROR(VLOOKUP(A4,取得元!$A$2:$F$501,2,FALSE),"-")</f>
        <v>-</v>
      </c>
      <c r="H4" s="24" t="str">
        <f>IFERROR(VLOOKUP(A4,取得元!$A$2:$F$501,3,FALSE),"-")</f>
        <v>-</v>
      </c>
      <c r="I4" s="24" t="str">
        <f>IFERROR(VLOOKUP(A4,取得元!$A$2:$F$501,4,FALSE),"-")</f>
        <v>-</v>
      </c>
      <c r="J4" s="5" t="str">
        <f>IFERROR(VLOOKUP(A4,取得元!$A$2:$F$501,5,FALSE),"-")</f>
        <v>-</v>
      </c>
      <c r="K4" s="25" t="str">
        <f>IFERROR(VLOOKUP(A4,取得元!$A$2:$F$501,6,FALSE)/100,"-")</f>
        <v>-</v>
      </c>
      <c r="L4" s="21" t="str">
        <f>_xll.RssMarket(A4,"始値")</f>
        <v>表示銘柄数超過</v>
      </c>
      <c r="M4" s="4" t="e">
        <f t="shared" si="0"/>
        <v>#VALUE!</v>
      </c>
      <c r="N4" s="21" t="str">
        <f>_xll.RssMarket(A4,"高値")</f>
        <v>表示銘柄数超過</v>
      </c>
      <c r="O4" s="4" t="e">
        <f t="shared" si="1"/>
        <v>#VALUE!</v>
      </c>
      <c r="P4" s="21" t="str">
        <f>_xll.RssMarket(A4,"安値")</f>
        <v>表示銘柄数超過</v>
      </c>
      <c r="Q4" s="4" t="e">
        <f t="shared" si="2"/>
        <v>#VALUE!</v>
      </c>
      <c r="R4" s="21" t="str">
        <f>_xll.RssMarket(A4,"後場始値")</f>
        <v>表示銘柄数超過</v>
      </c>
      <c r="S4" s="25" t="str">
        <f t="shared" si="3"/>
        <v>-</v>
      </c>
      <c r="T4" s="7" t="str">
        <f>_xll.RssMarket(A4,"出来高加重平均")</f>
        <v>表示銘柄数超過</v>
      </c>
      <c r="U4" s="4" t="e">
        <f t="shared" si="4"/>
        <v>#VALUE!</v>
      </c>
      <c r="V4" s="21" t="str">
        <f>_xll.RssMarket(A4,"出来高")</f>
        <v>表示銘柄数超過</v>
      </c>
      <c r="W4" s="21" t="str">
        <f>_xll.RssMarket(A4,"売買代金")</f>
        <v>表示銘柄数超過</v>
      </c>
      <c r="X4" s="20" t="str">
        <f>_xll.RssMarket(A4,"決算発表日")</f>
        <v>表示銘柄数超過</v>
      </c>
      <c r="Y4" s="26" t="str">
        <f>IF(C4&gt;_xll.RssMarket(A4,"年初来高値"),"○","×")</f>
        <v>×</v>
      </c>
      <c r="Z4" s="27" t="str">
        <f>IF(C4&lt;=_xll.RssMarket(A4,"年初来安値"),"○","×")</f>
        <v>○</v>
      </c>
    </row>
    <row r="5" spans="1:26" x14ac:dyDescent="0.25">
      <c r="A5" s="49">
        <v>1311</v>
      </c>
      <c r="B5" s="20" t="str">
        <f>_xll.RssMarket(A5,"銘柄名称")</f>
        <v>表示銘柄数超過</v>
      </c>
      <c r="C5" s="21" t="str">
        <f>_xll.RssMarket(A5,"現在値")</f>
        <v>表示銘柄数超過</v>
      </c>
      <c r="D5" s="20" t="str">
        <f>_xll.RssMarket(A5,"現在値詳細時刻")</f>
        <v>表示銘柄数超過</v>
      </c>
      <c r="E5" s="22" t="str">
        <f>_xll.RssMarket(A5,"前日比")</f>
        <v>表示銘柄数超過</v>
      </c>
      <c r="F5" s="23" t="e">
        <f>_xll.RssMarket(A5,"前日比率")/100</f>
        <v>#VALUE!</v>
      </c>
      <c r="G5" s="24" t="str">
        <f>IFERROR(VLOOKUP(A5,取得元!$A$2:$F$501,2,FALSE),"-")</f>
        <v>-</v>
      </c>
      <c r="H5" s="24" t="str">
        <f>IFERROR(VLOOKUP(A5,取得元!$A$2:$F$501,3,FALSE),"-")</f>
        <v>-</v>
      </c>
      <c r="I5" s="24" t="str">
        <f>IFERROR(VLOOKUP(A5,取得元!$A$2:$F$501,4,FALSE),"-")</f>
        <v>-</v>
      </c>
      <c r="J5" s="5" t="str">
        <f>IFERROR(VLOOKUP(A5,取得元!$A$2:$F$501,5,FALSE),"-")</f>
        <v>-</v>
      </c>
      <c r="K5" s="25" t="str">
        <f>IFERROR(VLOOKUP(A5,取得元!$A$2:$F$501,6,FALSE)/100,"-")</f>
        <v>-</v>
      </c>
      <c r="L5" s="21" t="str">
        <f>_xll.RssMarket(A5,"始値")</f>
        <v>表示銘柄数超過</v>
      </c>
      <c r="M5" s="4" t="e">
        <f t="shared" si="0"/>
        <v>#VALUE!</v>
      </c>
      <c r="N5" s="21" t="str">
        <f>_xll.RssMarket(A5,"高値")</f>
        <v>表示銘柄数超過</v>
      </c>
      <c r="O5" s="4" t="e">
        <f t="shared" si="1"/>
        <v>#VALUE!</v>
      </c>
      <c r="P5" s="21" t="str">
        <f>_xll.RssMarket(A5,"安値")</f>
        <v>表示銘柄数超過</v>
      </c>
      <c r="Q5" s="4" t="e">
        <f t="shared" si="2"/>
        <v>#VALUE!</v>
      </c>
      <c r="R5" s="21" t="str">
        <f>_xll.RssMarket(A5,"後場始値")</f>
        <v>表示銘柄数超過</v>
      </c>
      <c r="S5" s="25" t="str">
        <f t="shared" si="3"/>
        <v>-</v>
      </c>
      <c r="T5" s="7" t="str">
        <f>_xll.RssMarket(A5,"出来高加重平均")</f>
        <v>表示銘柄数超過</v>
      </c>
      <c r="U5" s="4" t="e">
        <f t="shared" si="4"/>
        <v>#VALUE!</v>
      </c>
      <c r="V5" s="21" t="str">
        <f>_xll.RssMarket(A5,"出来高")</f>
        <v>表示銘柄数超過</v>
      </c>
      <c r="W5" s="21" t="str">
        <f>_xll.RssMarket(A5,"売買代金")</f>
        <v>表示銘柄数超過</v>
      </c>
      <c r="X5" s="20" t="str">
        <f>_xll.RssMarket(A5,"決算発表日")</f>
        <v>表示銘柄数超過</v>
      </c>
      <c r="Y5" s="26" t="str">
        <f>IF(C5&gt;_xll.RssMarket(A5,"年初来高値"),"○","×")</f>
        <v>×</v>
      </c>
      <c r="Z5" s="27" t="str">
        <f>IF(C5&lt;=_xll.RssMarket(A5,"年初来安値"),"○","×")</f>
        <v>○</v>
      </c>
    </row>
    <row r="6" spans="1:26" x14ac:dyDescent="0.25">
      <c r="A6" s="47">
        <v>1319</v>
      </c>
      <c r="B6" s="20" t="str">
        <f>_xll.RssMarket(A6,"銘柄名称")</f>
        <v>表示銘柄数超過</v>
      </c>
      <c r="C6" s="21" t="str">
        <f>_xll.RssMarket(A6,"現在値")</f>
        <v>表示銘柄数超過</v>
      </c>
      <c r="D6" s="20" t="str">
        <f>_xll.RssMarket(A6,"現在値詳細時刻")</f>
        <v>表示銘柄数超過</v>
      </c>
      <c r="E6" s="22" t="str">
        <f>_xll.RssMarket(A6,"前日比")</f>
        <v>表示銘柄数超過</v>
      </c>
      <c r="F6" s="23" t="e">
        <f>_xll.RssMarket(A6,"前日比率")/100</f>
        <v>#VALUE!</v>
      </c>
      <c r="G6" s="24" t="str">
        <f>IFERROR(VLOOKUP(A6,取得元!$A$2:$F$501,2,FALSE),"-")</f>
        <v>-</v>
      </c>
      <c r="H6" s="24" t="str">
        <f>IFERROR(VLOOKUP(A6,取得元!$A$2:$F$501,3,FALSE),"-")</f>
        <v>-</v>
      </c>
      <c r="I6" s="24" t="str">
        <f>IFERROR(VLOOKUP(A6,取得元!$A$2:$F$501,4,FALSE),"-")</f>
        <v>-</v>
      </c>
      <c r="J6" s="5" t="str">
        <f>IFERROR(VLOOKUP(A6,取得元!$A$2:$F$501,5,FALSE),"-")</f>
        <v>-</v>
      </c>
      <c r="K6" s="25" t="str">
        <f>IFERROR(VLOOKUP(A6,取得元!$A$2:$F$501,6,FALSE)/100,"-")</f>
        <v>-</v>
      </c>
      <c r="L6" s="21" t="str">
        <f>_xll.RssMarket(A6,"始値")</f>
        <v>表示銘柄数超過</v>
      </c>
      <c r="M6" s="4" t="e">
        <f t="shared" si="0"/>
        <v>#VALUE!</v>
      </c>
      <c r="N6" s="21" t="str">
        <f>_xll.RssMarket(A6,"高値")</f>
        <v>表示銘柄数超過</v>
      </c>
      <c r="O6" s="4" t="e">
        <f t="shared" si="1"/>
        <v>#VALUE!</v>
      </c>
      <c r="P6" s="21" t="str">
        <f>_xll.RssMarket(A6,"安値")</f>
        <v>表示銘柄数超過</v>
      </c>
      <c r="Q6" s="4" t="e">
        <f t="shared" si="2"/>
        <v>#VALUE!</v>
      </c>
      <c r="R6" s="21" t="str">
        <f>_xll.RssMarket(A6,"後場始値")</f>
        <v>表示銘柄数超過</v>
      </c>
      <c r="S6" s="25" t="str">
        <f t="shared" si="3"/>
        <v>-</v>
      </c>
      <c r="T6" s="7" t="str">
        <f>_xll.RssMarket(A6,"出来高加重平均")</f>
        <v>表示銘柄数超過</v>
      </c>
      <c r="U6" s="4" t="e">
        <f t="shared" si="4"/>
        <v>#VALUE!</v>
      </c>
      <c r="V6" s="21" t="str">
        <f>_xll.RssMarket(A6,"出来高")</f>
        <v>表示銘柄数超過</v>
      </c>
      <c r="W6" s="21" t="str">
        <f>_xll.RssMarket(A6,"売買代金")</f>
        <v>表示銘柄数超過</v>
      </c>
      <c r="X6" s="20" t="str">
        <f>_xll.RssMarket(A6,"決算発表日")</f>
        <v>表示銘柄数超過</v>
      </c>
      <c r="Y6" s="26" t="str">
        <f>IF(C6&gt;_xll.RssMarket(A6,"年初来高値"),"○","×")</f>
        <v>×</v>
      </c>
      <c r="Z6" s="27" t="str">
        <f>IF(C6&lt;=_xll.RssMarket(A6,"年初来安値"),"○","×")</f>
        <v>○</v>
      </c>
    </row>
    <row r="7" spans="1:26" x14ac:dyDescent="0.25">
      <c r="A7" s="49">
        <v>1325</v>
      </c>
      <c r="B7" s="20" t="str">
        <f>_xll.RssMarket(A7,"銘柄名称")</f>
        <v>表示銘柄数超過</v>
      </c>
      <c r="C7" s="21" t="str">
        <f>_xll.RssMarket(A7,"現在値")</f>
        <v>表示銘柄数超過</v>
      </c>
      <c r="D7" s="20" t="str">
        <f>_xll.RssMarket(A7,"現在値詳細時刻")</f>
        <v>表示銘柄数超過</v>
      </c>
      <c r="E7" s="22" t="str">
        <f>_xll.RssMarket(A7,"前日比")</f>
        <v>表示銘柄数超過</v>
      </c>
      <c r="F7" s="23" t="e">
        <f>_xll.RssMarket(A7,"前日比率")/100</f>
        <v>#VALUE!</v>
      </c>
      <c r="G7" s="24" t="str">
        <f>IFERROR(VLOOKUP(A7,取得元!$A$2:$F$501,2,FALSE),"-")</f>
        <v>-</v>
      </c>
      <c r="H7" s="24" t="str">
        <f>IFERROR(VLOOKUP(A7,取得元!$A$2:$F$501,3,FALSE),"-")</f>
        <v>-</v>
      </c>
      <c r="I7" s="24" t="str">
        <f>IFERROR(VLOOKUP(A7,取得元!$A$2:$F$501,4,FALSE),"-")</f>
        <v>-</v>
      </c>
      <c r="J7" s="5" t="str">
        <f>IFERROR(VLOOKUP(A7,取得元!$A$2:$F$501,5,FALSE),"-")</f>
        <v>-</v>
      </c>
      <c r="K7" s="25" t="str">
        <f>IFERROR(VLOOKUP(A7,取得元!$A$2:$F$501,6,FALSE)/100,"-")</f>
        <v>-</v>
      </c>
      <c r="L7" s="21" t="str">
        <f>_xll.RssMarket(A7,"始値")</f>
        <v>表示銘柄数超過</v>
      </c>
      <c r="M7" s="4" t="e">
        <f t="shared" si="0"/>
        <v>#VALUE!</v>
      </c>
      <c r="N7" s="21" t="str">
        <f>_xll.RssMarket(A7,"高値")</f>
        <v>表示銘柄数超過</v>
      </c>
      <c r="O7" s="4" t="e">
        <f t="shared" si="1"/>
        <v>#VALUE!</v>
      </c>
      <c r="P7" s="21" t="str">
        <f>_xll.RssMarket(A7,"安値")</f>
        <v>表示銘柄数超過</v>
      </c>
      <c r="Q7" s="4" t="e">
        <f t="shared" si="2"/>
        <v>#VALUE!</v>
      </c>
      <c r="R7" s="21" t="str">
        <f>_xll.RssMarket(A7,"後場始値")</f>
        <v>表示銘柄数超過</v>
      </c>
      <c r="S7" s="25" t="str">
        <f t="shared" si="3"/>
        <v>-</v>
      </c>
      <c r="T7" s="7" t="str">
        <f>_xll.RssMarket(A7,"出来高加重平均")</f>
        <v>表示銘柄数超過</v>
      </c>
      <c r="U7" s="4" t="e">
        <f t="shared" si="4"/>
        <v>#VALUE!</v>
      </c>
      <c r="V7" s="21" t="str">
        <f>_xll.RssMarket(A7,"出来高")</f>
        <v>表示銘柄数超過</v>
      </c>
      <c r="W7" s="21" t="str">
        <f>_xll.RssMarket(A7,"売買代金")</f>
        <v>表示銘柄数超過</v>
      </c>
      <c r="X7" s="20" t="str">
        <f>_xll.RssMarket(A7,"決算発表日")</f>
        <v>表示銘柄数超過</v>
      </c>
      <c r="Y7" s="26" t="str">
        <f>IF(C7&gt;_xll.RssMarket(A7,"年初来高値"),"○","×")</f>
        <v>×</v>
      </c>
      <c r="Z7" s="27" t="str">
        <f>IF(C7&lt;=_xll.RssMarket(A7,"年初来安値"),"○","×")</f>
        <v>○</v>
      </c>
    </row>
    <row r="8" spans="1:26" x14ac:dyDescent="0.25">
      <c r="A8" s="47">
        <v>1332</v>
      </c>
      <c r="B8" s="20" t="str">
        <f>_xll.RssMarket(A8,"銘柄名称")</f>
        <v>表示銘柄数超過</v>
      </c>
      <c r="C8" s="21" t="str">
        <f>_xll.RssMarket(A8,"現在値")</f>
        <v>表示銘柄数超過</v>
      </c>
      <c r="D8" s="20" t="str">
        <f>_xll.RssMarket(A8,"現在値詳細時刻")</f>
        <v>表示銘柄数超過</v>
      </c>
      <c r="E8" s="22" t="str">
        <f>_xll.RssMarket(A8,"前日比")</f>
        <v>表示銘柄数超過</v>
      </c>
      <c r="F8" s="23" t="e">
        <f>_xll.RssMarket(A8,"前日比率")/100</f>
        <v>#VALUE!</v>
      </c>
      <c r="G8" s="24" t="str">
        <f>IFERROR(VLOOKUP(A8,取得元!$A$2:$F$501,2,FALSE),"-")</f>
        <v>-</v>
      </c>
      <c r="H8" s="24" t="str">
        <f>IFERROR(VLOOKUP(A8,取得元!$A$2:$F$501,3,FALSE),"-")</f>
        <v>-</v>
      </c>
      <c r="I8" s="24" t="str">
        <f>IFERROR(VLOOKUP(A8,取得元!$A$2:$F$501,4,FALSE),"-")</f>
        <v>-</v>
      </c>
      <c r="J8" s="5" t="str">
        <f>IFERROR(VLOOKUP(A8,取得元!$A$2:$F$501,5,FALSE),"-")</f>
        <v>-</v>
      </c>
      <c r="K8" s="25" t="str">
        <f>IFERROR(VLOOKUP(A8,取得元!$A$2:$F$501,6,FALSE)/100,"-")</f>
        <v>-</v>
      </c>
      <c r="L8" s="21" t="str">
        <f>_xll.RssMarket(A8,"始値")</f>
        <v>表示銘柄数超過</v>
      </c>
      <c r="M8" s="4" t="e">
        <f t="shared" si="0"/>
        <v>#VALUE!</v>
      </c>
      <c r="N8" s="21" t="str">
        <f>_xll.RssMarket(A8,"高値")</f>
        <v>表示銘柄数超過</v>
      </c>
      <c r="O8" s="4" t="e">
        <f t="shared" si="1"/>
        <v>#VALUE!</v>
      </c>
      <c r="P8" s="21" t="str">
        <f>_xll.RssMarket(A8,"安値")</f>
        <v>表示銘柄数超過</v>
      </c>
      <c r="Q8" s="4" t="e">
        <f t="shared" si="2"/>
        <v>#VALUE!</v>
      </c>
      <c r="R8" s="21" t="str">
        <f>_xll.RssMarket(A8,"後場始値")</f>
        <v>表示銘柄数超過</v>
      </c>
      <c r="S8" s="25" t="str">
        <f t="shared" si="3"/>
        <v>-</v>
      </c>
      <c r="T8" s="7" t="str">
        <f>_xll.RssMarket(A8,"出来高加重平均")</f>
        <v>表示銘柄数超過</v>
      </c>
      <c r="U8" s="4" t="e">
        <f t="shared" si="4"/>
        <v>#VALUE!</v>
      </c>
      <c r="V8" s="21" t="str">
        <f>_xll.RssMarket(A8,"出来高")</f>
        <v>表示銘柄数超過</v>
      </c>
      <c r="W8" s="21" t="str">
        <f>_xll.RssMarket(A8,"売買代金")</f>
        <v>表示銘柄数超過</v>
      </c>
      <c r="X8" s="20" t="str">
        <f>_xll.RssMarket(A8,"決算発表日")</f>
        <v>表示銘柄数超過</v>
      </c>
      <c r="Y8" s="26" t="str">
        <f>IF(C8&gt;_xll.RssMarket(A8,"年初来高値"),"○","×")</f>
        <v>×</v>
      </c>
      <c r="Z8" s="27" t="str">
        <f>IF(C8&lt;=_xll.RssMarket(A8,"年初来安値"),"○","×")</f>
        <v>○</v>
      </c>
    </row>
    <row r="9" spans="1:26" x14ac:dyDescent="0.25">
      <c r="A9" s="49">
        <v>1333</v>
      </c>
      <c r="B9" s="20" t="str">
        <f>_xll.RssMarket(A9,"銘柄名称")</f>
        <v>表示銘柄数超過</v>
      </c>
      <c r="C9" s="21" t="str">
        <f>_xll.RssMarket(A9,"現在値")</f>
        <v>表示銘柄数超過</v>
      </c>
      <c r="D9" s="20" t="str">
        <f>_xll.RssMarket(A9,"現在値詳細時刻")</f>
        <v>表示銘柄数超過</v>
      </c>
      <c r="E9" s="22" t="str">
        <f>_xll.RssMarket(A9,"前日比")</f>
        <v>表示銘柄数超過</v>
      </c>
      <c r="F9" s="23" t="e">
        <f>_xll.RssMarket(A9,"前日比率")/100</f>
        <v>#VALUE!</v>
      </c>
      <c r="G9" s="24" t="str">
        <f>IFERROR(VLOOKUP(A9,取得元!$A$2:$F$501,2,FALSE),"-")</f>
        <v>-</v>
      </c>
      <c r="H9" s="24" t="str">
        <f>IFERROR(VLOOKUP(A9,取得元!$A$2:$F$501,3,FALSE),"-")</f>
        <v>-</v>
      </c>
      <c r="I9" s="24" t="str">
        <f>IFERROR(VLOOKUP(A9,取得元!$A$2:$F$501,4,FALSE),"-")</f>
        <v>-</v>
      </c>
      <c r="J9" s="5" t="str">
        <f>IFERROR(VLOOKUP(A9,取得元!$A$2:$F$501,5,FALSE),"-")</f>
        <v>-</v>
      </c>
      <c r="K9" s="25" t="str">
        <f>IFERROR(VLOOKUP(A9,取得元!$A$2:$F$501,6,FALSE)/100,"-")</f>
        <v>-</v>
      </c>
      <c r="L9" s="21" t="str">
        <f>_xll.RssMarket(A9,"始値")</f>
        <v>表示銘柄数超過</v>
      </c>
      <c r="M9" s="4" t="e">
        <f t="shared" si="0"/>
        <v>#VALUE!</v>
      </c>
      <c r="N9" s="21" t="str">
        <f>_xll.RssMarket(A9,"高値")</f>
        <v>表示銘柄数超過</v>
      </c>
      <c r="O9" s="4" t="e">
        <f t="shared" si="1"/>
        <v>#VALUE!</v>
      </c>
      <c r="P9" s="21" t="str">
        <f>_xll.RssMarket(A9,"安値")</f>
        <v>表示銘柄数超過</v>
      </c>
      <c r="Q9" s="4" t="e">
        <f t="shared" si="2"/>
        <v>#VALUE!</v>
      </c>
      <c r="R9" s="21" t="str">
        <f>_xll.RssMarket(A9,"後場始値")</f>
        <v>表示銘柄数超過</v>
      </c>
      <c r="S9" s="25" t="str">
        <f t="shared" si="3"/>
        <v>-</v>
      </c>
      <c r="T9" s="7" t="str">
        <f>_xll.RssMarket(A9,"出来高加重平均")</f>
        <v>表示銘柄数超過</v>
      </c>
      <c r="U9" s="4" t="e">
        <f t="shared" si="4"/>
        <v>#VALUE!</v>
      </c>
      <c r="V9" s="21" t="str">
        <f>_xll.RssMarket(A9,"出来高")</f>
        <v>表示銘柄数超過</v>
      </c>
      <c r="W9" s="21" t="str">
        <f>_xll.RssMarket(A9,"売買代金")</f>
        <v>表示銘柄数超過</v>
      </c>
      <c r="X9" s="20" t="str">
        <f>_xll.RssMarket(A9,"決算発表日")</f>
        <v>表示銘柄数超過</v>
      </c>
      <c r="Y9" s="26" t="str">
        <f>IF(C9&gt;_xll.RssMarket(A9,"年初来高値"),"○","×")</f>
        <v>×</v>
      </c>
      <c r="Z9" s="27" t="str">
        <f>IF(C9&lt;=_xll.RssMarket(A9,"年初来安値"),"○","×")</f>
        <v>○</v>
      </c>
    </row>
    <row r="10" spans="1:26" x14ac:dyDescent="0.25">
      <c r="A10" s="47">
        <v>1345</v>
      </c>
      <c r="B10" s="20" t="str">
        <f>_xll.RssMarket(A10,"銘柄名称")</f>
        <v>表示銘柄数超過</v>
      </c>
      <c r="C10" s="21" t="str">
        <f>_xll.RssMarket(A10,"現在値")</f>
        <v>表示銘柄数超過</v>
      </c>
      <c r="D10" s="20" t="str">
        <f>_xll.RssMarket(A10,"現在値詳細時刻")</f>
        <v>表示銘柄数超過</v>
      </c>
      <c r="E10" s="22" t="str">
        <f>_xll.RssMarket(A10,"前日比")</f>
        <v>表示銘柄数超過</v>
      </c>
      <c r="F10" s="23" t="e">
        <f>_xll.RssMarket(A10,"前日比率")/100</f>
        <v>#VALUE!</v>
      </c>
      <c r="G10" s="24" t="str">
        <f>IFERROR(VLOOKUP(A10,取得元!$A$2:$F$501,2,FALSE),"-")</f>
        <v>-</v>
      </c>
      <c r="H10" s="24" t="str">
        <f>IFERROR(VLOOKUP(A10,取得元!$A$2:$F$501,3,FALSE),"-")</f>
        <v>-</v>
      </c>
      <c r="I10" s="24" t="str">
        <f>IFERROR(VLOOKUP(A10,取得元!$A$2:$F$501,4,FALSE),"-")</f>
        <v>-</v>
      </c>
      <c r="J10" s="5" t="str">
        <f>IFERROR(VLOOKUP(A10,取得元!$A$2:$F$501,5,FALSE),"-")</f>
        <v>-</v>
      </c>
      <c r="K10" s="25" t="str">
        <f>IFERROR(VLOOKUP(A10,取得元!$A$2:$F$501,6,FALSE)/100,"-")</f>
        <v>-</v>
      </c>
      <c r="L10" s="21" t="str">
        <f>_xll.RssMarket(A10,"始値")</f>
        <v>表示銘柄数超過</v>
      </c>
      <c r="M10" s="4" t="e">
        <f t="shared" si="0"/>
        <v>#VALUE!</v>
      </c>
      <c r="N10" s="21" t="str">
        <f>_xll.RssMarket(A10,"高値")</f>
        <v>表示銘柄数超過</v>
      </c>
      <c r="O10" s="4" t="e">
        <f t="shared" si="1"/>
        <v>#VALUE!</v>
      </c>
      <c r="P10" s="21" t="str">
        <f>_xll.RssMarket(A10,"安値")</f>
        <v>表示銘柄数超過</v>
      </c>
      <c r="Q10" s="4" t="e">
        <f t="shared" si="2"/>
        <v>#VALUE!</v>
      </c>
      <c r="R10" s="21" t="str">
        <f>_xll.RssMarket(A10,"後場始値")</f>
        <v>表示銘柄数超過</v>
      </c>
      <c r="S10" s="25" t="str">
        <f t="shared" si="3"/>
        <v>-</v>
      </c>
      <c r="T10" s="7" t="str">
        <f>_xll.RssMarket(A10,"出来高加重平均")</f>
        <v>表示銘柄数超過</v>
      </c>
      <c r="U10" s="4" t="e">
        <f t="shared" si="4"/>
        <v>#VALUE!</v>
      </c>
      <c r="V10" s="21" t="str">
        <f>_xll.RssMarket(A10,"出来高")</f>
        <v>表示銘柄数超過</v>
      </c>
      <c r="W10" s="21" t="str">
        <f>_xll.RssMarket(A10,"売買代金")</f>
        <v>表示銘柄数超過</v>
      </c>
      <c r="X10" s="20" t="str">
        <f>_xll.RssMarket(A10,"決算発表日")</f>
        <v>表示銘柄数超過</v>
      </c>
      <c r="Y10" s="26" t="str">
        <f>IF(C10&gt;_xll.RssMarket(A10,"年初来高値"),"○","×")</f>
        <v>×</v>
      </c>
      <c r="Z10" s="27" t="str">
        <f>IF(C10&lt;=_xll.RssMarket(A10,"年初来安値"),"○","×")</f>
        <v>○</v>
      </c>
    </row>
    <row r="11" spans="1:26" x14ac:dyDescent="0.25">
      <c r="A11" s="49">
        <v>1356</v>
      </c>
      <c r="B11" s="20" t="str">
        <f>_xll.RssMarket(A11,"銘柄名称")</f>
        <v>表示銘柄数超過</v>
      </c>
      <c r="C11" s="21" t="str">
        <f>_xll.RssMarket(A11,"現在値")</f>
        <v>表示銘柄数超過</v>
      </c>
      <c r="D11" s="20" t="str">
        <f>_xll.RssMarket(A11,"現在値詳細時刻")</f>
        <v>表示銘柄数超過</v>
      </c>
      <c r="E11" s="22" t="str">
        <f>_xll.RssMarket(A11,"前日比")</f>
        <v>表示銘柄数超過</v>
      </c>
      <c r="F11" s="23" t="e">
        <f>_xll.RssMarket(A11,"前日比率")/100</f>
        <v>#VALUE!</v>
      </c>
      <c r="G11" s="24" t="str">
        <f>IFERROR(VLOOKUP(A11,取得元!$A$2:$F$501,2,FALSE),"-")</f>
        <v>-</v>
      </c>
      <c r="H11" s="24" t="str">
        <f>IFERROR(VLOOKUP(A11,取得元!$A$2:$F$501,3,FALSE),"-")</f>
        <v>-</v>
      </c>
      <c r="I11" s="24" t="str">
        <f>IFERROR(VLOOKUP(A11,取得元!$A$2:$F$501,4,FALSE),"-")</f>
        <v>-</v>
      </c>
      <c r="J11" s="5" t="str">
        <f>IFERROR(VLOOKUP(A11,取得元!$A$2:$F$501,5,FALSE),"-")</f>
        <v>-</v>
      </c>
      <c r="K11" s="25" t="str">
        <f>IFERROR(VLOOKUP(A11,取得元!$A$2:$F$501,6,FALSE)/100,"-")</f>
        <v>-</v>
      </c>
      <c r="L11" s="21" t="str">
        <f>_xll.RssMarket(A11,"始値")</f>
        <v>表示銘柄数超過</v>
      </c>
      <c r="M11" s="4" t="e">
        <f t="shared" si="0"/>
        <v>#VALUE!</v>
      </c>
      <c r="N11" s="21" t="str">
        <f>_xll.RssMarket(A11,"高値")</f>
        <v>表示銘柄数超過</v>
      </c>
      <c r="O11" s="4" t="e">
        <f t="shared" si="1"/>
        <v>#VALUE!</v>
      </c>
      <c r="P11" s="21" t="str">
        <f>_xll.RssMarket(A11,"安値")</f>
        <v>表示銘柄数超過</v>
      </c>
      <c r="Q11" s="4" t="e">
        <f t="shared" si="2"/>
        <v>#VALUE!</v>
      </c>
      <c r="R11" s="21" t="str">
        <f>_xll.RssMarket(A11,"後場始値")</f>
        <v>表示銘柄数超過</v>
      </c>
      <c r="S11" s="25" t="str">
        <f t="shared" si="3"/>
        <v>-</v>
      </c>
      <c r="T11" s="7" t="str">
        <f>_xll.RssMarket(A11,"出来高加重平均")</f>
        <v>表示銘柄数超過</v>
      </c>
      <c r="U11" s="4" t="e">
        <f t="shared" si="4"/>
        <v>#VALUE!</v>
      </c>
      <c r="V11" s="21" t="str">
        <f>_xll.RssMarket(A11,"出来高")</f>
        <v>表示銘柄数超過</v>
      </c>
      <c r="W11" s="21" t="str">
        <f>_xll.RssMarket(A11,"売買代金")</f>
        <v>表示銘柄数超過</v>
      </c>
      <c r="X11" s="20" t="str">
        <f>_xll.RssMarket(A11,"決算発表日")</f>
        <v>表示銘柄数超過</v>
      </c>
      <c r="Y11" s="26" t="str">
        <f>IF(C11&gt;_xll.RssMarket(A11,"年初来高値"),"○","×")</f>
        <v>×</v>
      </c>
      <c r="Z11" s="27" t="str">
        <f>IF(C11&lt;=_xll.RssMarket(A11,"年初来安値"),"○","×")</f>
        <v>○</v>
      </c>
    </row>
    <row r="12" spans="1:26" x14ac:dyDescent="0.25">
      <c r="A12" s="47">
        <v>1357</v>
      </c>
      <c r="B12" s="20" t="str">
        <f>_xll.RssMarket(A12,"銘柄名称")</f>
        <v>ＮＦ日経ダブインバ</v>
      </c>
      <c r="C12" s="21">
        <f>_xll.RssMarket(A12,"現在値")</f>
        <v>177</v>
      </c>
      <c r="D12" s="20" t="str">
        <f>_xll.RssMarket(A12,"現在値詳細時刻")</f>
        <v>15:00:00</v>
      </c>
      <c r="E12" s="22">
        <f>_xll.RssMarket(A12,"前日比")</f>
        <v>0</v>
      </c>
      <c r="F12" s="23">
        <f>_xll.RssMarket(A12,"前日比率")/100</f>
        <v>0</v>
      </c>
      <c r="G12" s="24">
        <f>IFERROR(VLOOKUP(A12,取得元!$A$2:$F$501,2,FALSE),"-")</f>
        <v>1</v>
      </c>
      <c r="H12" s="24">
        <f>IFERROR(VLOOKUP(A12,取得元!$A$2:$F$501,3,FALSE),"-")</f>
        <v>411</v>
      </c>
      <c r="I12" s="24">
        <f>IFERROR(VLOOKUP(A12,取得元!$A$2:$F$501,4,FALSE),"-")</f>
        <v>177</v>
      </c>
      <c r="J12" s="5">
        <f>IFERROR(VLOOKUP(A12,取得元!$A$2:$F$501,5,FALSE),"-")</f>
        <v>-234</v>
      </c>
      <c r="K12" s="25">
        <f>IFERROR(VLOOKUP(A12,取得元!$A$2:$F$501,6,FALSE)/100,"-")</f>
        <v>-0.56934306999999995</v>
      </c>
      <c r="L12" s="21">
        <f>_xll.RssMarket(A12,"始値")</f>
        <v>179</v>
      </c>
      <c r="M12" s="4">
        <f t="shared" si="0"/>
        <v>-1.1173184357541888E-2</v>
      </c>
      <c r="N12" s="21">
        <f>_xll.RssMarket(A12,"高値")</f>
        <v>180</v>
      </c>
      <c r="O12" s="4">
        <f t="shared" si="1"/>
        <v>-1.6666666666666718E-2</v>
      </c>
      <c r="P12" s="21">
        <f>_xll.RssMarket(A12,"安値")</f>
        <v>176</v>
      </c>
      <c r="Q12" s="4">
        <f t="shared" si="2"/>
        <v>5.6818181818181213E-3</v>
      </c>
      <c r="R12" s="21">
        <f>_xll.RssMarket(A12,"後場始値")</f>
        <v>177</v>
      </c>
      <c r="S12" s="25">
        <f t="shared" si="3"/>
        <v>0</v>
      </c>
      <c r="T12" s="7">
        <f>_xll.RssMarket(A12,"出来高加重平均")</f>
        <v>178.39619999999999</v>
      </c>
      <c r="U12" s="4">
        <f t="shared" si="4"/>
        <v>-7.8263998896836995E-3</v>
      </c>
      <c r="V12" s="21">
        <f>_xll.RssMarket(A12,"出来高")</f>
        <v>36723097</v>
      </c>
      <c r="W12" s="21">
        <f>_xll.RssMarket(A12,"売買代金")</f>
        <v>6551263</v>
      </c>
      <c r="X12" s="20" t="str">
        <f>_xll.RssMarket(A12,"決算発表日")</f>
        <v>-</v>
      </c>
      <c r="Y12" s="26" t="str">
        <f>IF(C12&gt;_xll.RssMarket(A12,"年初来高値"),"○","×")</f>
        <v>×</v>
      </c>
      <c r="Z12" s="27" t="str">
        <f>IF(C12&lt;=_xll.RssMarket(A12,"年初来安値"),"○","×")</f>
        <v>×</v>
      </c>
    </row>
    <row r="13" spans="1:26" x14ac:dyDescent="0.25">
      <c r="A13" s="49">
        <v>1360</v>
      </c>
      <c r="B13" s="20" t="str">
        <f>_xll.RssMarket(A13,"銘柄名称")</f>
        <v>表示銘柄数超過</v>
      </c>
      <c r="C13" s="21" t="str">
        <f>_xll.RssMarket(A13,"現在値")</f>
        <v>表示銘柄数超過</v>
      </c>
      <c r="D13" s="20" t="str">
        <f>_xll.RssMarket(A13,"現在値詳細時刻")</f>
        <v>表示銘柄数超過</v>
      </c>
      <c r="E13" s="22" t="str">
        <f>_xll.RssMarket(A13,"前日比")</f>
        <v>表示銘柄数超過</v>
      </c>
      <c r="F13" s="23" t="e">
        <f>_xll.RssMarket(A13,"前日比率")/100</f>
        <v>#VALUE!</v>
      </c>
      <c r="G13" s="24" t="str">
        <f>IFERROR(VLOOKUP(A13,取得元!$A$2:$F$501,2,FALSE),"-")</f>
        <v>-</v>
      </c>
      <c r="H13" s="24" t="str">
        <f>IFERROR(VLOOKUP(A13,取得元!$A$2:$F$501,3,FALSE),"-")</f>
        <v>-</v>
      </c>
      <c r="I13" s="24" t="str">
        <f>IFERROR(VLOOKUP(A13,取得元!$A$2:$F$501,4,FALSE),"-")</f>
        <v>-</v>
      </c>
      <c r="J13" s="5" t="str">
        <f>IFERROR(VLOOKUP(A13,取得元!$A$2:$F$501,5,FALSE),"-")</f>
        <v>-</v>
      </c>
      <c r="K13" s="25" t="str">
        <f>IFERROR(VLOOKUP(A13,取得元!$A$2:$F$501,6,FALSE)/100,"-")</f>
        <v>-</v>
      </c>
      <c r="L13" s="21" t="str">
        <f>_xll.RssMarket(A13,"始値")</f>
        <v>表示銘柄数超過</v>
      </c>
      <c r="M13" s="4" t="e">
        <f t="shared" si="0"/>
        <v>#VALUE!</v>
      </c>
      <c r="N13" s="21" t="str">
        <f>_xll.RssMarket(A13,"高値")</f>
        <v>表示銘柄数超過</v>
      </c>
      <c r="O13" s="4" t="e">
        <f t="shared" si="1"/>
        <v>#VALUE!</v>
      </c>
      <c r="P13" s="21" t="str">
        <f>_xll.RssMarket(A13,"安値")</f>
        <v>表示銘柄数超過</v>
      </c>
      <c r="Q13" s="4" t="e">
        <f t="shared" si="2"/>
        <v>#VALUE!</v>
      </c>
      <c r="R13" s="21" t="str">
        <f>_xll.RssMarket(A13,"後場始値")</f>
        <v>表示銘柄数超過</v>
      </c>
      <c r="S13" s="25" t="str">
        <f t="shared" si="3"/>
        <v>-</v>
      </c>
      <c r="T13" s="7" t="str">
        <f>_xll.RssMarket(A13,"出来高加重平均")</f>
        <v>表示銘柄数超過</v>
      </c>
      <c r="U13" s="4" t="e">
        <f t="shared" si="4"/>
        <v>#VALUE!</v>
      </c>
      <c r="V13" s="21" t="str">
        <f>_xll.RssMarket(A13,"出来高")</f>
        <v>表示銘柄数超過</v>
      </c>
      <c r="W13" s="21" t="str">
        <f>_xll.RssMarket(A13,"売買代金")</f>
        <v>表示銘柄数超過</v>
      </c>
      <c r="X13" s="20" t="str">
        <f>_xll.RssMarket(A13,"決算発表日")</f>
        <v>表示銘柄数超過</v>
      </c>
      <c r="Y13" s="26" t="str">
        <f>IF(C13&gt;_xll.RssMarket(A13,"年初来高値"),"○","×")</f>
        <v>×</v>
      </c>
      <c r="Z13" s="27" t="str">
        <f>IF(C13&lt;=_xll.RssMarket(A13,"年初来安値"),"○","×")</f>
        <v>○</v>
      </c>
    </row>
    <row r="14" spans="1:26" x14ac:dyDescent="0.25">
      <c r="A14" s="47">
        <v>1366</v>
      </c>
      <c r="B14" s="20" t="str">
        <f>_xll.RssMarket(A14,"銘柄名称")</f>
        <v>表示銘柄数超過</v>
      </c>
      <c r="C14" s="21" t="str">
        <f>_xll.RssMarket(A14,"現在値")</f>
        <v>表示銘柄数超過</v>
      </c>
      <c r="D14" s="20" t="str">
        <f>_xll.RssMarket(A14,"現在値詳細時刻")</f>
        <v>表示銘柄数超過</v>
      </c>
      <c r="E14" s="22" t="str">
        <f>_xll.RssMarket(A14,"前日比")</f>
        <v>表示銘柄数超過</v>
      </c>
      <c r="F14" s="23" t="e">
        <f>_xll.RssMarket(A14,"前日比率")/100</f>
        <v>#VALUE!</v>
      </c>
      <c r="G14" s="24" t="str">
        <f>IFERROR(VLOOKUP(A14,取得元!$A$2:$F$501,2,FALSE),"-")</f>
        <v>-</v>
      </c>
      <c r="H14" s="24" t="str">
        <f>IFERROR(VLOOKUP(A14,取得元!$A$2:$F$501,3,FALSE),"-")</f>
        <v>-</v>
      </c>
      <c r="I14" s="24" t="str">
        <f>IFERROR(VLOOKUP(A14,取得元!$A$2:$F$501,4,FALSE),"-")</f>
        <v>-</v>
      </c>
      <c r="J14" s="5" t="str">
        <f>IFERROR(VLOOKUP(A14,取得元!$A$2:$F$501,5,FALSE),"-")</f>
        <v>-</v>
      </c>
      <c r="K14" s="25" t="str">
        <f>IFERROR(VLOOKUP(A14,取得元!$A$2:$F$501,6,FALSE)/100,"-")</f>
        <v>-</v>
      </c>
      <c r="L14" s="21" t="str">
        <f>_xll.RssMarket(A14,"始値")</f>
        <v>表示銘柄数超過</v>
      </c>
      <c r="M14" s="4" t="e">
        <f t="shared" si="0"/>
        <v>#VALUE!</v>
      </c>
      <c r="N14" s="21" t="str">
        <f>_xll.RssMarket(A14,"高値")</f>
        <v>表示銘柄数超過</v>
      </c>
      <c r="O14" s="4" t="e">
        <f t="shared" si="1"/>
        <v>#VALUE!</v>
      </c>
      <c r="P14" s="21" t="str">
        <f>_xll.RssMarket(A14,"安値")</f>
        <v>表示銘柄数超過</v>
      </c>
      <c r="Q14" s="4" t="e">
        <f t="shared" si="2"/>
        <v>#VALUE!</v>
      </c>
      <c r="R14" s="21" t="str">
        <f>_xll.RssMarket(A14,"後場始値")</f>
        <v>表示銘柄数超過</v>
      </c>
      <c r="S14" s="25" t="str">
        <f t="shared" si="3"/>
        <v>-</v>
      </c>
      <c r="T14" s="7" t="str">
        <f>_xll.RssMarket(A14,"出来高加重平均")</f>
        <v>表示銘柄数超過</v>
      </c>
      <c r="U14" s="4" t="e">
        <f t="shared" si="4"/>
        <v>#VALUE!</v>
      </c>
      <c r="V14" s="21" t="str">
        <f>_xll.RssMarket(A14,"出来高")</f>
        <v>表示銘柄数超過</v>
      </c>
      <c r="W14" s="21" t="str">
        <f>_xll.RssMarket(A14,"売買代金")</f>
        <v>表示銘柄数超過</v>
      </c>
      <c r="X14" s="20" t="str">
        <f>_xll.RssMarket(A14,"決算発表日")</f>
        <v>表示銘柄数超過</v>
      </c>
      <c r="Y14" s="26" t="str">
        <f>IF(C14&gt;_xll.RssMarket(A14,"年初来高値"),"○","×")</f>
        <v>×</v>
      </c>
      <c r="Z14" s="27" t="str">
        <f>IF(C14&lt;=_xll.RssMarket(A14,"年初来安値"),"○","×")</f>
        <v>○</v>
      </c>
    </row>
    <row r="15" spans="1:26" x14ac:dyDescent="0.25">
      <c r="A15" s="49">
        <v>1368</v>
      </c>
      <c r="B15" s="20" t="str">
        <f>_xll.RssMarket(A15,"銘柄名称")</f>
        <v>表示銘柄数超過</v>
      </c>
      <c r="C15" s="21" t="str">
        <f>_xll.RssMarket(A15,"現在値")</f>
        <v>表示銘柄数超過</v>
      </c>
      <c r="D15" s="20" t="str">
        <f>_xll.RssMarket(A15,"現在値詳細時刻")</f>
        <v>表示銘柄数超過</v>
      </c>
      <c r="E15" s="22" t="str">
        <f>_xll.RssMarket(A15,"前日比")</f>
        <v>表示銘柄数超過</v>
      </c>
      <c r="F15" s="23" t="e">
        <f>_xll.RssMarket(A15,"前日比率")/100</f>
        <v>#VALUE!</v>
      </c>
      <c r="G15" s="24" t="str">
        <f>IFERROR(VLOOKUP(A15,取得元!$A$2:$F$501,2,FALSE),"-")</f>
        <v>-</v>
      </c>
      <c r="H15" s="24" t="str">
        <f>IFERROR(VLOOKUP(A15,取得元!$A$2:$F$501,3,FALSE),"-")</f>
        <v>-</v>
      </c>
      <c r="I15" s="24" t="str">
        <f>IFERROR(VLOOKUP(A15,取得元!$A$2:$F$501,4,FALSE),"-")</f>
        <v>-</v>
      </c>
      <c r="J15" s="5" t="str">
        <f>IFERROR(VLOOKUP(A15,取得元!$A$2:$F$501,5,FALSE),"-")</f>
        <v>-</v>
      </c>
      <c r="K15" s="25" t="str">
        <f>IFERROR(VLOOKUP(A15,取得元!$A$2:$F$501,6,FALSE)/100,"-")</f>
        <v>-</v>
      </c>
      <c r="L15" s="21" t="str">
        <f>_xll.RssMarket(A15,"始値")</f>
        <v>表示銘柄数超過</v>
      </c>
      <c r="M15" s="4" t="e">
        <f t="shared" si="0"/>
        <v>#VALUE!</v>
      </c>
      <c r="N15" s="21" t="str">
        <f>_xll.RssMarket(A15,"高値")</f>
        <v>表示銘柄数超過</v>
      </c>
      <c r="O15" s="4" t="e">
        <f t="shared" si="1"/>
        <v>#VALUE!</v>
      </c>
      <c r="P15" s="21" t="str">
        <f>_xll.RssMarket(A15,"安値")</f>
        <v>表示銘柄数超過</v>
      </c>
      <c r="Q15" s="4" t="e">
        <f t="shared" si="2"/>
        <v>#VALUE!</v>
      </c>
      <c r="R15" s="21" t="str">
        <f>_xll.RssMarket(A15,"後場始値")</f>
        <v>表示銘柄数超過</v>
      </c>
      <c r="S15" s="25" t="str">
        <f t="shared" si="3"/>
        <v>-</v>
      </c>
      <c r="T15" s="7" t="str">
        <f>_xll.RssMarket(A15,"出来高加重平均")</f>
        <v>表示銘柄数超過</v>
      </c>
      <c r="U15" s="4" t="e">
        <f t="shared" si="4"/>
        <v>#VALUE!</v>
      </c>
      <c r="V15" s="21" t="str">
        <f>_xll.RssMarket(A15,"出来高")</f>
        <v>表示銘柄数超過</v>
      </c>
      <c r="W15" s="21" t="str">
        <f>_xll.RssMarket(A15,"売買代金")</f>
        <v>表示銘柄数超過</v>
      </c>
      <c r="X15" s="20" t="str">
        <f>_xll.RssMarket(A15,"決算発表日")</f>
        <v>表示銘柄数超過</v>
      </c>
      <c r="Y15" s="26" t="str">
        <f>IF(C15&gt;_xll.RssMarket(A15,"年初来高値"),"○","×")</f>
        <v>×</v>
      </c>
      <c r="Z15" s="27" t="str">
        <f>IF(C15&lt;=_xll.RssMarket(A15,"年初来安値"),"○","×")</f>
        <v>○</v>
      </c>
    </row>
    <row r="16" spans="1:26" x14ac:dyDescent="0.25">
      <c r="A16" s="47">
        <v>1399</v>
      </c>
      <c r="B16" s="20" t="str">
        <f>_xll.RssMarket(A16,"銘柄名称")</f>
        <v>表示銘柄数超過</v>
      </c>
      <c r="C16" s="21" t="str">
        <f>_xll.RssMarket(A16,"現在値")</f>
        <v>表示銘柄数超過</v>
      </c>
      <c r="D16" s="20" t="str">
        <f>_xll.RssMarket(A16,"現在値詳細時刻")</f>
        <v>表示銘柄数超過</v>
      </c>
      <c r="E16" s="22" t="str">
        <f>_xll.RssMarket(A16,"前日比")</f>
        <v>表示銘柄数超過</v>
      </c>
      <c r="F16" s="23" t="e">
        <f>_xll.RssMarket(A16,"前日比率")/100</f>
        <v>#VALUE!</v>
      </c>
      <c r="G16" s="24" t="str">
        <f>IFERROR(VLOOKUP(A16,取得元!$A$2:$F$501,2,FALSE),"-")</f>
        <v>-</v>
      </c>
      <c r="H16" s="24" t="str">
        <f>IFERROR(VLOOKUP(A16,取得元!$A$2:$F$501,3,FALSE),"-")</f>
        <v>-</v>
      </c>
      <c r="I16" s="24" t="str">
        <f>IFERROR(VLOOKUP(A16,取得元!$A$2:$F$501,4,FALSE),"-")</f>
        <v>-</v>
      </c>
      <c r="J16" s="5" t="str">
        <f>IFERROR(VLOOKUP(A16,取得元!$A$2:$F$501,5,FALSE),"-")</f>
        <v>-</v>
      </c>
      <c r="K16" s="25" t="str">
        <f>IFERROR(VLOOKUP(A16,取得元!$A$2:$F$501,6,FALSE)/100,"-")</f>
        <v>-</v>
      </c>
      <c r="L16" s="21" t="str">
        <f>_xll.RssMarket(A16,"始値")</f>
        <v>表示銘柄数超過</v>
      </c>
      <c r="M16" s="4" t="e">
        <f t="shared" si="0"/>
        <v>#VALUE!</v>
      </c>
      <c r="N16" s="21" t="str">
        <f>_xll.RssMarket(A16,"高値")</f>
        <v>表示銘柄数超過</v>
      </c>
      <c r="O16" s="4" t="e">
        <f t="shared" si="1"/>
        <v>#VALUE!</v>
      </c>
      <c r="P16" s="21" t="str">
        <f>_xll.RssMarket(A16,"安値")</f>
        <v>表示銘柄数超過</v>
      </c>
      <c r="Q16" s="4" t="e">
        <f t="shared" si="2"/>
        <v>#VALUE!</v>
      </c>
      <c r="R16" s="21" t="str">
        <f>_xll.RssMarket(A16,"後場始値")</f>
        <v>表示銘柄数超過</v>
      </c>
      <c r="S16" s="25" t="str">
        <f t="shared" si="3"/>
        <v>-</v>
      </c>
      <c r="T16" s="7" t="str">
        <f>_xll.RssMarket(A16,"出来高加重平均")</f>
        <v>表示銘柄数超過</v>
      </c>
      <c r="U16" s="4" t="e">
        <f t="shared" si="4"/>
        <v>#VALUE!</v>
      </c>
      <c r="V16" s="21" t="str">
        <f>_xll.RssMarket(A16,"出来高")</f>
        <v>表示銘柄数超過</v>
      </c>
      <c r="W16" s="21" t="str">
        <f>_xll.RssMarket(A16,"売買代金")</f>
        <v>表示銘柄数超過</v>
      </c>
      <c r="X16" s="20" t="str">
        <f>_xll.RssMarket(A16,"決算発表日")</f>
        <v>表示銘柄数超過</v>
      </c>
      <c r="Y16" s="26" t="str">
        <f>IF(C16&gt;_xll.RssMarket(A16,"年初来高値"),"○","×")</f>
        <v>×</v>
      </c>
      <c r="Z16" s="27" t="str">
        <f>IF(C16&lt;=_xll.RssMarket(A16,"年初来安値"),"○","×")</f>
        <v>○</v>
      </c>
    </row>
    <row r="17" spans="1:26" x14ac:dyDescent="0.25">
      <c r="A17" s="49">
        <v>1400</v>
      </c>
      <c r="B17" s="20" t="str">
        <f>_xll.RssMarket(A17,"銘柄名称")</f>
        <v>表示銘柄数超過</v>
      </c>
      <c r="C17" s="21" t="str">
        <f>_xll.RssMarket(A17,"現在値")</f>
        <v>表示銘柄数超過</v>
      </c>
      <c r="D17" s="20" t="str">
        <f>_xll.RssMarket(A17,"現在値詳細時刻")</f>
        <v>表示銘柄数超過</v>
      </c>
      <c r="E17" s="22" t="str">
        <f>_xll.RssMarket(A17,"前日比")</f>
        <v>表示銘柄数超過</v>
      </c>
      <c r="F17" s="23" t="e">
        <f>_xll.RssMarket(A17,"前日比率")/100</f>
        <v>#VALUE!</v>
      </c>
      <c r="G17" s="24" t="str">
        <f>IFERROR(VLOOKUP(A17,取得元!$A$2:$F$501,2,FALSE),"-")</f>
        <v>-</v>
      </c>
      <c r="H17" s="24" t="str">
        <f>IFERROR(VLOOKUP(A17,取得元!$A$2:$F$501,3,FALSE),"-")</f>
        <v>-</v>
      </c>
      <c r="I17" s="24" t="str">
        <f>IFERROR(VLOOKUP(A17,取得元!$A$2:$F$501,4,FALSE),"-")</f>
        <v>-</v>
      </c>
      <c r="J17" s="5" t="str">
        <f>IFERROR(VLOOKUP(A17,取得元!$A$2:$F$501,5,FALSE),"-")</f>
        <v>-</v>
      </c>
      <c r="K17" s="25" t="str">
        <f>IFERROR(VLOOKUP(A17,取得元!$A$2:$F$501,6,FALSE)/100,"-")</f>
        <v>-</v>
      </c>
      <c r="L17" s="21" t="str">
        <f>_xll.RssMarket(A17,"始値")</f>
        <v>表示銘柄数超過</v>
      </c>
      <c r="M17" s="4" t="e">
        <f t="shared" si="0"/>
        <v>#VALUE!</v>
      </c>
      <c r="N17" s="21" t="str">
        <f>_xll.RssMarket(A17,"高値")</f>
        <v>表示銘柄数超過</v>
      </c>
      <c r="O17" s="4" t="e">
        <f t="shared" si="1"/>
        <v>#VALUE!</v>
      </c>
      <c r="P17" s="21" t="str">
        <f>_xll.RssMarket(A17,"安値")</f>
        <v>表示銘柄数超過</v>
      </c>
      <c r="Q17" s="4" t="e">
        <f t="shared" si="2"/>
        <v>#VALUE!</v>
      </c>
      <c r="R17" s="21" t="str">
        <f>_xll.RssMarket(A17,"後場始値")</f>
        <v>表示銘柄数超過</v>
      </c>
      <c r="S17" s="25" t="str">
        <f t="shared" si="3"/>
        <v>-</v>
      </c>
      <c r="T17" s="7" t="str">
        <f>_xll.RssMarket(A17,"出来高加重平均")</f>
        <v>表示銘柄数超過</v>
      </c>
      <c r="U17" s="4" t="e">
        <f t="shared" si="4"/>
        <v>#VALUE!</v>
      </c>
      <c r="V17" s="21" t="str">
        <f>_xll.RssMarket(A17,"出来高")</f>
        <v>表示銘柄数超過</v>
      </c>
      <c r="W17" s="21" t="str">
        <f>_xll.RssMarket(A17,"売買代金")</f>
        <v>表示銘柄数超過</v>
      </c>
      <c r="X17" s="20" t="str">
        <f>_xll.RssMarket(A17,"決算発表日")</f>
        <v>表示銘柄数超過</v>
      </c>
      <c r="Y17" s="26" t="str">
        <f>IF(C17&gt;_xll.RssMarket(A17,"年初来高値"),"○","×")</f>
        <v>×</v>
      </c>
      <c r="Z17" s="27" t="str">
        <f>IF(C17&lt;=_xll.RssMarket(A17,"年初来安値"),"○","×")</f>
        <v>○</v>
      </c>
    </row>
    <row r="18" spans="1:26" x14ac:dyDescent="0.25">
      <c r="A18" s="47">
        <v>1401</v>
      </c>
      <c r="B18" s="20" t="str">
        <f>_xll.RssMarket(A18,"銘柄名称")</f>
        <v>表示銘柄数超過</v>
      </c>
      <c r="C18" s="21" t="str">
        <f>_xll.RssMarket(A18,"現在値")</f>
        <v>表示銘柄数超過</v>
      </c>
      <c r="D18" s="20" t="str">
        <f>_xll.RssMarket(A18,"現在値詳細時刻")</f>
        <v>表示銘柄数超過</v>
      </c>
      <c r="E18" s="22" t="str">
        <f>_xll.RssMarket(A18,"前日比")</f>
        <v>表示銘柄数超過</v>
      </c>
      <c r="F18" s="23" t="e">
        <f>_xll.RssMarket(A18,"前日比率")/100</f>
        <v>#VALUE!</v>
      </c>
      <c r="G18" s="24" t="str">
        <f>IFERROR(VLOOKUP(A18,取得元!$A$2:$F$501,2,FALSE),"-")</f>
        <v>-</v>
      </c>
      <c r="H18" s="24" t="str">
        <f>IFERROR(VLOOKUP(A18,取得元!$A$2:$F$501,3,FALSE),"-")</f>
        <v>-</v>
      </c>
      <c r="I18" s="24" t="str">
        <f>IFERROR(VLOOKUP(A18,取得元!$A$2:$F$501,4,FALSE),"-")</f>
        <v>-</v>
      </c>
      <c r="J18" s="5" t="str">
        <f>IFERROR(VLOOKUP(A18,取得元!$A$2:$F$501,5,FALSE),"-")</f>
        <v>-</v>
      </c>
      <c r="K18" s="25" t="str">
        <f>IFERROR(VLOOKUP(A18,取得元!$A$2:$F$501,6,FALSE)/100,"-")</f>
        <v>-</v>
      </c>
      <c r="L18" s="21" t="str">
        <f>_xll.RssMarket(A18,"始値")</f>
        <v>表示銘柄数超過</v>
      </c>
      <c r="M18" s="4" t="e">
        <f t="shared" si="0"/>
        <v>#VALUE!</v>
      </c>
      <c r="N18" s="21" t="str">
        <f>_xll.RssMarket(A18,"高値")</f>
        <v>表示銘柄数超過</v>
      </c>
      <c r="O18" s="4" t="e">
        <f t="shared" si="1"/>
        <v>#VALUE!</v>
      </c>
      <c r="P18" s="21" t="str">
        <f>_xll.RssMarket(A18,"安値")</f>
        <v>表示銘柄数超過</v>
      </c>
      <c r="Q18" s="4" t="e">
        <f t="shared" si="2"/>
        <v>#VALUE!</v>
      </c>
      <c r="R18" s="21" t="str">
        <f>_xll.RssMarket(A18,"後場始値")</f>
        <v>表示銘柄数超過</v>
      </c>
      <c r="S18" s="25" t="str">
        <f t="shared" si="3"/>
        <v>-</v>
      </c>
      <c r="T18" s="7" t="str">
        <f>_xll.RssMarket(A18,"出来高加重平均")</f>
        <v>表示銘柄数超過</v>
      </c>
      <c r="U18" s="4" t="e">
        <f t="shared" si="4"/>
        <v>#VALUE!</v>
      </c>
      <c r="V18" s="21" t="str">
        <f>_xll.RssMarket(A18,"出来高")</f>
        <v>表示銘柄数超過</v>
      </c>
      <c r="W18" s="21" t="str">
        <f>_xll.RssMarket(A18,"売買代金")</f>
        <v>表示銘柄数超過</v>
      </c>
      <c r="X18" s="20" t="str">
        <f>_xll.RssMarket(A18,"決算発表日")</f>
        <v>表示銘柄数超過</v>
      </c>
      <c r="Y18" s="26" t="str">
        <f>IF(C18&gt;_xll.RssMarket(A18,"年初来高値"),"○","×")</f>
        <v>×</v>
      </c>
      <c r="Z18" s="27" t="str">
        <f>IF(C18&lt;=_xll.RssMarket(A18,"年初来安値"),"○","×")</f>
        <v>○</v>
      </c>
    </row>
    <row r="19" spans="1:26" x14ac:dyDescent="0.25">
      <c r="A19" s="49">
        <v>1407</v>
      </c>
      <c r="B19" s="20" t="str">
        <f>_xll.RssMarket(A19,"銘柄名称")</f>
        <v>表示銘柄数超過</v>
      </c>
      <c r="C19" s="21" t="str">
        <f>_xll.RssMarket(A19,"現在値")</f>
        <v>表示銘柄数超過</v>
      </c>
      <c r="D19" s="20" t="str">
        <f>_xll.RssMarket(A19,"現在値詳細時刻")</f>
        <v>表示銘柄数超過</v>
      </c>
      <c r="E19" s="22" t="str">
        <f>_xll.RssMarket(A19,"前日比")</f>
        <v>表示銘柄数超過</v>
      </c>
      <c r="F19" s="23" t="e">
        <f>_xll.RssMarket(A19,"前日比率")/100</f>
        <v>#VALUE!</v>
      </c>
      <c r="G19" s="24" t="str">
        <f>IFERROR(VLOOKUP(A19,取得元!$A$2:$F$501,2,FALSE),"-")</f>
        <v>-</v>
      </c>
      <c r="H19" s="24" t="str">
        <f>IFERROR(VLOOKUP(A19,取得元!$A$2:$F$501,3,FALSE),"-")</f>
        <v>-</v>
      </c>
      <c r="I19" s="24" t="str">
        <f>IFERROR(VLOOKUP(A19,取得元!$A$2:$F$501,4,FALSE),"-")</f>
        <v>-</v>
      </c>
      <c r="J19" s="5" t="str">
        <f>IFERROR(VLOOKUP(A19,取得元!$A$2:$F$501,5,FALSE),"-")</f>
        <v>-</v>
      </c>
      <c r="K19" s="25" t="str">
        <f>IFERROR(VLOOKUP(A19,取得元!$A$2:$F$501,6,FALSE)/100,"-")</f>
        <v>-</v>
      </c>
      <c r="L19" s="21" t="str">
        <f>_xll.RssMarket(A19,"始値")</f>
        <v>表示銘柄数超過</v>
      </c>
      <c r="M19" s="4" t="e">
        <f t="shared" si="0"/>
        <v>#VALUE!</v>
      </c>
      <c r="N19" s="21" t="str">
        <f>_xll.RssMarket(A19,"高値")</f>
        <v>表示銘柄数超過</v>
      </c>
      <c r="O19" s="4" t="e">
        <f t="shared" si="1"/>
        <v>#VALUE!</v>
      </c>
      <c r="P19" s="21" t="str">
        <f>_xll.RssMarket(A19,"安値")</f>
        <v>表示銘柄数超過</v>
      </c>
      <c r="Q19" s="4" t="e">
        <f t="shared" si="2"/>
        <v>#VALUE!</v>
      </c>
      <c r="R19" s="21" t="str">
        <f>_xll.RssMarket(A19,"後場始値")</f>
        <v>表示銘柄数超過</v>
      </c>
      <c r="S19" s="25" t="str">
        <f t="shared" si="3"/>
        <v>-</v>
      </c>
      <c r="T19" s="7" t="str">
        <f>_xll.RssMarket(A19,"出来高加重平均")</f>
        <v>表示銘柄数超過</v>
      </c>
      <c r="U19" s="4" t="e">
        <f t="shared" si="4"/>
        <v>#VALUE!</v>
      </c>
      <c r="V19" s="21" t="str">
        <f>_xll.RssMarket(A19,"出来高")</f>
        <v>表示銘柄数超過</v>
      </c>
      <c r="W19" s="21" t="str">
        <f>_xll.RssMarket(A19,"売買代金")</f>
        <v>表示銘柄数超過</v>
      </c>
      <c r="X19" s="20" t="str">
        <f>_xll.RssMarket(A19,"決算発表日")</f>
        <v>表示銘柄数超過</v>
      </c>
      <c r="Y19" s="26" t="str">
        <f>IF(C19&gt;_xll.RssMarket(A19,"年初来高値"),"○","×")</f>
        <v>×</v>
      </c>
      <c r="Z19" s="27" t="str">
        <f>IF(C19&lt;=_xll.RssMarket(A19,"年初来安値"),"○","×")</f>
        <v>○</v>
      </c>
    </row>
    <row r="20" spans="1:26" x14ac:dyDescent="0.25">
      <c r="A20" s="47">
        <v>1418</v>
      </c>
      <c r="B20" s="20" t="str">
        <f>_xll.RssMarket(A20,"銘柄名称")</f>
        <v>表示銘柄数超過</v>
      </c>
      <c r="C20" s="21" t="str">
        <f>_xll.RssMarket(A20,"現在値")</f>
        <v>表示銘柄数超過</v>
      </c>
      <c r="D20" s="20" t="str">
        <f>_xll.RssMarket(A20,"現在値詳細時刻")</f>
        <v>表示銘柄数超過</v>
      </c>
      <c r="E20" s="22" t="str">
        <f>_xll.RssMarket(A20,"前日比")</f>
        <v>表示銘柄数超過</v>
      </c>
      <c r="F20" s="23" t="e">
        <f>_xll.RssMarket(A20,"前日比率")/100</f>
        <v>#VALUE!</v>
      </c>
      <c r="G20" s="24" t="str">
        <f>IFERROR(VLOOKUP(A20,取得元!$A$2:$F$501,2,FALSE),"-")</f>
        <v>-</v>
      </c>
      <c r="H20" s="24" t="str">
        <f>IFERROR(VLOOKUP(A20,取得元!$A$2:$F$501,3,FALSE),"-")</f>
        <v>-</v>
      </c>
      <c r="I20" s="24" t="str">
        <f>IFERROR(VLOOKUP(A20,取得元!$A$2:$F$501,4,FALSE),"-")</f>
        <v>-</v>
      </c>
      <c r="J20" s="5" t="str">
        <f>IFERROR(VLOOKUP(A20,取得元!$A$2:$F$501,5,FALSE),"-")</f>
        <v>-</v>
      </c>
      <c r="K20" s="25" t="str">
        <f>IFERROR(VLOOKUP(A20,取得元!$A$2:$F$501,6,FALSE)/100,"-")</f>
        <v>-</v>
      </c>
      <c r="L20" s="21" t="str">
        <f>_xll.RssMarket(A20,"始値")</f>
        <v>表示銘柄数超過</v>
      </c>
      <c r="M20" s="4" t="e">
        <f t="shared" si="0"/>
        <v>#VALUE!</v>
      </c>
      <c r="N20" s="21" t="str">
        <f>_xll.RssMarket(A20,"高値")</f>
        <v>表示銘柄数超過</v>
      </c>
      <c r="O20" s="4" t="e">
        <f t="shared" si="1"/>
        <v>#VALUE!</v>
      </c>
      <c r="P20" s="21" t="str">
        <f>_xll.RssMarket(A20,"安値")</f>
        <v>表示銘柄数超過</v>
      </c>
      <c r="Q20" s="4" t="e">
        <f t="shared" si="2"/>
        <v>#VALUE!</v>
      </c>
      <c r="R20" s="21" t="str">
        <f>_xll.RssMarket(A20,"後場始値")</f>
        <v>表示銘柄数超過</v>
      </c>
      <c r="S20" s="25" t="str">
        <f t="shared" si="3"/>
        <v>-</v>
      </c>
      <c r="T20" s="7" t="str">
        <f>_xll.RssMarket(A20,"出来高加重平均")</f>
        <v>表示銘柄数超過</v>
      </c>
      <c r="U20" s="4" t="e">
        <f t="shared" si="4"/>
        <v>#VALUE!</v>
      </c>
      <c r="V20" s="21" t="str">
        <f>_xll.RssMarket(A20,"出来高")</f>
        <v>表示銘柄数超過</v>
      </c>
      <c r="W20" s="21" t="str">
        <f>_xll.RssMarket(A20,"売買代金")</f>
        <v>表示銘柄数超過</v>
      </c>
      <c r="X20" s="20" t="str">
        <f>_xll.RssMarket(A20,"決算発表日")</f>
        <v>表示銘柄数超過</v>
      </c>
      <c r="Y20" s="26" t="str">
        <f>IF(C20&gt;_xll.RssMarket(A20,"年初来高値"),"○","×")</f>
        <v>×</v>
      </c>
      <c r="Z20" s="27" t="str">
        <f>IF(C20&lt;=_xll.RssMarket(A20,"年初来安値"),"○","×")</f>
        <v>○</v>
      </c>
    </row>
    <row r="21" spans="1:26" x14ac:dyDescent="0.25">
      <c r="A21" s="49">
        <v>1419</v>
      </c>
      <c r="B21" s="20" t="str">
        <f>_xll.RssMarket(A21,"銘柄名称")</f>
        <v>表示銘柄数超過</v>
      </c>
      <c r="C21" s="21" t="str">
        <f>_xll.RssMarket(A21,"現在値")</f>
        <v>表示銘柄数超過</v>
      </c>
      <c r="D21" s="20" t="str">
        <f>_xll.RssMarket(A21,"現在値詳細時刻")</f>
        <v>表示銘柄数超過</v>
      </c>
      <c r="E21" s="22" t="str">
        <f>_xll.RssMarket(A21,"前日比")</f>
        <v>表示銘柄数超過</v>
      </c>
      <c r="F21" s="23" t="e">
        <f>_xll.RssMarket(A21,"前日比率")/100</f>
        <v>#VALUE!</v>
      </c>
      <c r="G21" s="24" t="str">
        <f>IFERROR(VLOOKUP(A21,取得元!$A$2:$F$501,2,FALSE),"-")</f>
        <v>-</v>
      </c>
      <c r="H21" s="24" t="str">
        <f>IFERROR(VLOOKUP(A21,取得元!$A$2:$F$501,3,FALSE),"-")</f>
        <v>-</v>
      </c>
      <c r="I21" s="24" t="str">
        <f>IFERROR(VLOOKUP(A21,取得元!$A$2:$F$501,4,FALSE),"-")</f>
        <v>-</v>
      </c>
      <c r="J21" s="5" t="str">
        <f>IFERROR(VLOOKUP(A21,取得元!$A$2:$F$501,5,FALSE),"-")</f>
        <v>-</v>
      </c>
      <c r="K21" s="25" t="str">
        <f>IFERROR(VLOOKUP(A21,取得元!$A$2:$F$501,6,FALSE)/100,"-")</f>
        <v>-</v>
      </c>
      <c r="L21" s="21" t="str">
        <f>_xll.RssMarket(A21,"始値")</f>
        <v>表示銘柄数超過</v>
      </c>
      <c r="M21" s="4" t="e">
        <f t="shared" si="0"/>
        <v>#VALUE!</v>
      </c>
      <c r="N21" s="21" t="str">
        <f>_xll.RssMarket(A21,"高値")</f>
        <v>表示銘柄数超過</v>
      </c>
      <c r="O21" s="4" t="e">
        <f t="shared" si="1"/>
        <v>#VALUE!</v>
      </c>
      <c r="P21" s="21" t="str">
        <f>_xll.RssMarket(A21,"安値")</f>
        <v>表示銘柄数超過</v>
      </c>
      <c r="Q21" s="4" t="e">
        <f t="shared" si="2"/>
        <v>#VALUE!</v>
      </c>
      <c r="R21" s="21" t="str">
        <f>_xll.RssMarket(A21,"後場始値")</f>
        <v>表示銘柄数超過</v>
      </c>
      <c r="S21" s="25" t="str">
        <f t="shared" si="3"/>
        <v>-</v>
      </c>
      <c r="T21" s="7" t="str">
        <f>_xll.RssMarket(A21,"出来高加重平均")</f>
        <v>表示銘柄数超過</v>
      </c>
      <c r="U21" s="4" t="e">
        <f t="shared" si="4"/>
        <v>#VALUE!</v>
      </c>
      <c r="V21" s="21" t="str">
        <f>_xll.RssMarket(A21,"出来高")</f>
        <v>表示銘柄数超過</v>
      </c>
      <c r="W21" s="21" t="str">
        <f>_xll.RssMarket(A21,"売買代金")</f>
        <v>表示銘柄数超過</v>
      </c>
      <c r="X21" s="20" t="str">
        <f>_xll.RssMarket(A21,"決算発表日")</f>
        <v>表示銘柄数超過</v>
      </c>
      <c r="Y21" s="26" t="str">
        <f>IF(C21&gt;_xll.RssMarket(A21,"年初来高値"),"○","×")</f>
        <v>×</v>
      </c>
      <c r="Z21" s="27" t="str">
        <f>IF(C21&lt;=_xll.RssMarket(A21,"年初来安値"),"○","×")</f>
        <v>○</v>
      </c>
    </row>
    <row r="22" spans="1:26" x14ac:dyDescent="0.25">
      <c r="A22" s="47">
        <v>1430</v>
      </c>
      <c r="B22" s="20" t="str">
        <f>_xll.RssMarket(A22,"銘柄名称")</f>
        <v>表示銘柄数超過</v>
      </c>
      <c r="C22" s="21" t="str">
        <f>_xll.RssMarket(A22,"現在値")</f>
        <v>表示銘柄数超過</v>
      </c>
      <c r="D22" s="20" t="str">
        <f>_xll.RssMarket(A22,"現在値詳細時刻")</f>
        <v>表示銘柄数超過</v>
      </c>
      <c r="E22" s="22" t="str">
        <f>_xll.RssMarket(A22,"前日比")</f>
        <v>表示銘柄数超過</v>
      </c>
      <c r="F22" s="23" t="e">
        <f>_xll.RssMarket(A22,"前日比率")/100</f>
        <v>#VALUE!</v>
      </c>
      <c r="G22" s="24" t="str">
        <f>IFERROR(VLOOKUP(A22,取得元!$A$2:$F$501,2,FALSE),"-")</f>
        <v>-</v>
      </c>
      <c r="H22" s="24" t="str">
        <f>IFERROR(VLOOKUP(A22,取得元!$A$2:$F$501,3,FALSE),"-")</f>
        <v>-</v>
      </c>
      <c r="I22" s="24" t="str">
        <f>IFERROR(VLOOKUP(A22,取得元!$A$2:$F$501,4,FALSE),"-")</f>
        <v>-</v>
      </c>
      <c r="J22" s="5" t="str">
        <f>IFERROR(VLOOKUP(A22,取得元!$A$2:$F$501,5,FALSE),"-")</f>
        <v>-</v>
      </c>
      <c r="K22" s="25" t="str">
        <f>IFERROR(VLOOKUP(A22,取得元!$A$2:$F$501,6,FALSE)/100,"-")</f>
        <v>-</v>
      </c>
      <c r="L22" s="21" t="str">
        <f>_xll.RssMarket(A22,"始値")</f>
        <v>表示銘柄数超過</v>
      </c>
      <c r="M22" s="4" t="e">
        <f t="shared" si="0"/>
        <v>#VALUE!</v>
      </c>
      <c r="N22" s="21" t="str">
        <f>_xll.RssMarket(A22,"高値")</f>
        <v>表示銘柄数超過</v>
      </c>
      <c r="O22" s="4" t="e">
        <f t="shared" si="1"/>
        <v>#VALUE!</v>
      </c>
      <c r="P22" s="21" t="str">
        <f>_xll.RssMarket(A22,"安値")</f>
        <v>表示銘柄数超過</v>
      </c>
      <c r="Q22" s="4" t="e">
        <f t="shared" si="2"/>
        <v>#VALUE!</v>
      </c>
      <c r="R22" s="21" t="str">
        <f>_xll.RssMarket(A22,"後場始値")</f>
        <v>表示銘柄数超過</v>
      </c>
      <c r="S22" s="25" t="str">
        <f t="shared" si="3"/>
        <v>-</v>
      </c>
      <c r="T22" s="7" t="str">
        <f>_xll.RssMarket(A22,"出来高加重平均")</f>
        <v>表示銘柄数超過</v>
      </c>
      <c r="U22" s="4" t="e">
        <f t="shared" si="4"/>
        <v>#VALUE!</v>
      </c>
      <c r="V22" s="21" t="str">
        <f>_xll.RssMarket(A22,"出来高")</f>
        <v>表示銘柄数超過</v>
      </c>
      <c r="W22" s="21" t="str">
        <f>_xll.RssMarket(A22,"売買代金")</f>
        <v>表示銘柄数超過</v>
      </c>
      <c r="X22" s="20" t="str">
        <f>_xll.RssMarket(A22,"決算発表日")</f>
        <v>表示銘柄数超過</v>
      </c>
      <c r="Y22" s="26" t="str">
        <f>IF(C22&gt;_xll.RssMarket(A22,"年初来高値"),"○","×")</f>
        <v>×</v>
      </c>
      <c r="Z22" s="27" t="str">
        <f>IF(C22&lt;=_xll.RssMarket(A22,"年初来安値"),"○","×")</f>
        <v>○</v>
      </c>
    </row>
    <row r="23" spans="1:26" x14ac:dyDescent="0.25">
      <c r="A23" s="49">
        <v>1435</v>
      </c>
      <c r="B23" s="20" t="str">
        <f>_xll.RssMarket(A23,"銘柄名称")</f>
        <v>表示銘柄数超過</v>
      </c>
      <c r="C23" s="21" t="str">
        <f>_xll.RssMarket(A23,"現在値")</f>
        <v>表示銘柄数超過</v>
      </c>
      <c r="D23" s="20" t="str">
        <f>_xll.RssMarket(A23,"現在値詳細時刻")</f>
        <v>表示銘柄数超過</v>
      </c>
      <c r="E23" s="22" t="str">
        <f>_xll.RssMarket(A23,"前日比")</f>
        <v>表示銘柄数超過</v>
      </c>
      <c r="F23" s="23" t="e">
        <f>_xll.RssMarket(A23,"前日比率")/100</f>
        <v>#VALUE!</v>
      </c>
      <c r="G23" s="24" t="str">
        <f>IFERROR(VLOOKUP(A23,取得元!$A$2:$F$501,2,FALSE),"-")</f>
        <v>-</v>
      </c>
      <c r="H23" s="24" t="str">
        <f>IFERROR(VLOOKUP(A23,取得元!$A$2:$F$501,3,FALSE),"-")</f>
        <v>-</v>
      </c>
      <c r="I23" s="24" t="str">
        <f>IFERROR(VLOOKUP(A23,取得元!$A$2:$F$501,4,FALSE),"-")</f>
        <v>-</v>
      </c>
      <c r="J23" s="5" t="str">
        <f>IFERROR(VLOOKUP(A23,取得元!$A$2:$F$501,5,FALSE),"-")</f>
        <v>-</v>
      </c>
      <c r="K23" s="25" t="str">
        <f>IFERROR(VLOOKUP(A23,取得元!$A$2:$F$501,6,FALSE)/100,"-")</f>
        <v>-</v>
      </c>
      <c r="L23" s="21" t="str">
        <f>_xll.RssMarket(A23,"始値")</f>
        <v>表示銘柄数超過</v>
      </c>
      <c r="M23" s="4" t="e">
        <f t="shared" si="0"/>
        <v>#VALUE!</v>
      </c>
      <c r="N23" s="21" t="str">
        <f>_xll.RssMarket(A23,"高値")</f>
        <v>表示銘柄数超過</v>
      </c>
      <c r="O23" s="4" t="e">
        <f t="shared" si="1"/>
        <v>#VALUE!</v>
      </c>
      <c r="P23" s="21" t="str">
        <f>_xll.RssMarket(A23,"安値")</f>
        <v>表示銘柄数超過</v>
      </c>
      <c r="Q23" s="4" t="e">
        <f t="shared" si="2"/>
        <v>#VALUE!</v>
      </c>
      <c r="R23" s="21" t="str">
        <f>_xll.RssMarket(A23,"後場始値")</f>
        <v>表示銘柄数超過</v>
      </c>
      <c r="S23" s="25" t="str">
        <f t="shared" si="3"/>
        <v>-</v>
      </c>
      <c r="T23" s="7" t="str">
        <f>_xll.RssMarket(A23,"出来高加重平均")</f>
        <v>表示銘柄数超過</v>
      </c>
      <c r="U23" s="4" t="e">
        <f t="shared" si="4"/>
        <v>#VALUE!</v>
      </c>
      <c r="V23" s="21" t="str">
        <f>_xll.RssMarket(A23,"出来高")</f>
        <v>表示銘柄数超過</v>
      </c>
      <c r="W23" s="21" t="str">
        <f>_xll.RssMarket(A23,"売買代金")</f>
        <v>表示銘柄数超過</v>
      </c>
      <c r="X23" s="20" t="str">
        <f>_xll.RssMarket(A23,"決算発表日")</f>
        <v>表示銘柄数超過</v>
      </c>
      <c r="Y23" s="26" t="str">
        <f>IF(C23&gt;_xll.RssMarket(A23,"年初来高値"),"○","×")</f>
        <v>×</v>
      </c>
      <c r="Z23" s="27" t="str">
        <f>IF(C23&lt;=_xll.RssMarket(A23,"年初来安値"),"○","×")</f>
        <v>○</v>
      </c>
    </row>
    <row r="24" spans="1:26" x14ac:dyDescent="0.25">
      <c r="A24" s="47">
        <v>1439</v>
      </c>
      <c r="B24" s="20" t="str">
        <f>_xll.RssMarket(A24,"銘柄名称")</f>
        <v>表示銘柄数超過</v>
      </c>
      <c r="C24" s="21" t="str">
        <f>_xll.RssMarket(A24,"現在値")</f>
        <v>表示銘柄数超過</v>
      </c>
      <c r="D24" s="20" t="str">
        <f>_xll.RssMarket(A24,"現在値詳細時刻")</f>
        <v>表示銘柄数超過</v>
      </c>
      <c r="E24" s="22" t="str">
        <f>_xll.RssMarket(A24,"前日比")</f>
        <v>表示銘柄数超過</v>
      </c>
      <c r="F24" s="23" t="e">
        <f>_xll.RssMarket(A24,"前日比率")/100</f>
        <v>#VALUE!</v>
      </c>
      <c r="G24" s="24" t="str">
        <f>IFERROR(VLOOKUP(A24,取得元!$A$2:$F$501,2,FALSE),"-")</f>
        <v>-</v>
      </c>
      <c r="H24" s="24" t="str">
        <f>IFERROR(VLOOKUP(A24,取得元!$A$2:$F$501,3,FALSE),"-")</f>
        <v>-</v>
      </c>
      <c r="I24" s="24" t="str">
        <f>IFERROR(VLOOKUP(A24,取得元!$A$2:$F$501,4,FALSE),"-")</f>
        <v>-</v>
      </c>
      <c r="J24" s="5" t="str">
        <f>IFERROR(VLOOKUP(A24,取得元!$A$2:$F$501,5,FALSE),"-")</f>
        <v>-</v>
      </c>
      <c r="K24" s="25" t="str">
        <f>IFERROR(VLOOKUP(A24,取得元!$A$2:$F$501,6,FALSE)/100,"-")</f>
        <v>-</v>
      </c>
      <c r="L24" s="21" t="str">
        <f>_xll.RssMarket(A24,"始値")</f>
        <v>表示銘柄数超過</v>
      </c>
      <c r="M24" s="4" t="e">
        <f t="shared" si="0"/>
        <v>#VALUE!</v>
      </c>
      <c r="N24" s="21" t="str">
        <f>_xll.RssMarket(A24,"高値")</f>
        <v>表示銘柄数超過</v>
      </c>
      <c r="O24" s="4" t="e">
        <f t="shared" si="1"/>
        <v>#VALUE!</v>
      </c>
      <c r="P24" s="21" t="str">
        <f>_xll.RssMarket(A24,"安値")</f>
        <v>表示銘柄数超過</v>
      </c>
      <c r="Q24" s="4" t="e">
        <f t="shared" si="2"/>
        <v>#VALUE!</v>
      </c>
      <c r="R24" s="21" t="str">
        <f>_xll.RssMarket(A24,"後場始値")</f>
        <v>表示銘柄数超過</v>
      </c>
      <c r="S24" s="25" t="str">
        <f t="shared" si="3"/>
        <v>-</v>
      </c>
      <c r="T24" s="7" t="str">
        <f>_xll.RssMarket(A24,"出来高加重平均")</f>
        <v>表示銘柄数超過</v>
      </c>
      <c r="U24" s="4" t="e">
        <f t="shared" si="4"/>
        <v>#VALUE!</v>
      </c>
      <c r="V24" s="21" t="str">
        <f>_xll.RssMarket(A24,"出来高")</f>
        <v>表示銘柄数超過</v>
      </c>
      <c r="W24" s="21" t="str">
        <f>_xll.RssMarket(A24,"売買代金")</f>
        <v>表示銘柄数超過</v>
      </c>
      <c r="X24" s="20" t="str">
        <f>_xll.RssMarket(A24,"決算発表日")</f>
        <v>表示銘柄数超過</v>
      </c>
      <c r="Y24" s="26" t="str">
        <f>IF(C24&gt;_xll.RssMarket(A24,"年初来高値"),"○","×")</f>
        <v>×</v>
      </c>
      <c r="Z24" s="27" t="str">
        <f>IF(C24&lt;=_xll.RssMarket(A24,"年初来安値"),"○","×")</f>
        <v>○</v>
      </c>
    </row>
    <row r="25" spans="1:26" x14ac:dyDescent="0.25">
      <c r="A25" s="49">
        <v>1451</v>
      </c>
      <c r="B25" s="20" t="str">
        <f>_xll.RssMarket(A25,"銘柄名称")</f>
        <v>表示銘柄数超過</v>
      </c>
      <c r="C25" s="21" t="str">
        <f>_xll.RssMarket(A25,"現在値")</f>
        <v>表示銘柄数超過</v>
      </c>
      <c r="D25" s="20" t="str">
        <f>_xll.RssMarket(A25,"現在値詳細時刻")</f>
        <v>表示銘柄数超過</v>
      </c>
      <c r="E25" s="22" t="str">
        <f>_xll.RssMarket(A25,"前日比")</f>
        <v>表示銘柄数超過</v>
      </c>
      <c r="F25" s="23" t="e">
        <f>_xll.RssMarket(A25,"前日比率")/100</f>
        <v>#VALUE!</v>
      </c>
      <c r="G25" s="24" t="str">
        <f>IFERROR(VLOOKUP(A25,取得元!$A$2:$F$501,2,FALSE),"-")</f>
        <v>-</v>
      </c>
      <c r="H25" s="24" t="str">
        <f>IFERROR(VLOOKUP(A25,取得元!$A$2:$F$501,3,FALSE),"-")</f>
        <v>-</v>
      </c>
      <c r="I25" s="24" t="str">
        <f>IFERROR(VLOOKUP(A25,取得元!$A$2:$F$501,4,FALSE),"-")</f>
        <v>-</v>
      </c>
      <c r="J25" s="5" t="str">
        <f>IFERROR(VLOOKUP(A25,取得元!$A$2:$F$501,5,FALSE),"-")</f>
        <v>-</v>
      </c>
      <c r="K25" s="25" t="str">
        <f>IFERROR(VLOOKUP(A25,取得元!$A$2:$F$501,6,FALSE)/100,"-")</f>
        <v>-</v>
      </c>
      <c r="L25" s="21" t="str">
        <f>_xll.RssMarket(A25,"始値")</f>
        <v>表示銘柄数超過</v>
      </c>
      <c r="M25" s="4" t="e">
        <f t="shared" si="0"/>
        <v>#VALUE!</v>
      </c>
      <c r="N25" s="21" t="str">
        <f>_xll.RssMarket(A25,"高値")</f>
        <v>表示銘柄数超過</v>
      </c>
      <c r="O25" s="4" t="e">
        <f t="shared" si="1"/>
        <v>#VALUE!</v>
      </c>
      <c r="P25" s="21" t="str">
        <f>_xll.RssMarket(A25,"安値")</f>
        <v>表示銘柄数超過</v>
      </c>
      <c r="Q25" s="4" t="e">
        <f t="shared" si="2"/>
        <v>#VALUE!</v>
      </c>
      <c r="R25" s="21" t="str">
        <f>_xll.RssMarket(A25,"後場始値")</f>
        <v>表示銘柄数超過</v>
      </c>
      <c r="S25" s="25" t="str">
        <f t="shared" si="3"/>
        <v>-</v>
      </c>
      <c r="T25" s="7" t="str">
        <f>_xll.RssMarket(A25,"出来高加重平均")</f>
        <v>表示銘柄数超過</v>
      </c>
      <c r="U25" s="4" t="e">
        <f t="shared" si="4"/>
        <v>#VALUE!</v>
      </c>
      <c r="V25" s="21" t="str">
        <f>_xll.RssMarket(A25,"出来高")</f>
        <v>表示銘柄数超過</v>
      </c>
      <c r="W25" s="21" t="str">
        <f>_xll.RssMarket(A25,"売買代金")</f>
        <v>表示銘柄数超過</v>
      </c>
      <c r="X25" s="20" t="str">
        <f>_xll.RssMarket(A25,"決算発表日")</f>
        <v>表示銘柄数超過</v>
      </c>
      <c r="Y25" s="26" t="str">
        <f>IF(C25&gt;_xll.RssMarket(A25,"年初来高値"),"○","×")</f>
        <v>×</v>
      </c>
      <c r="Z25" s="27" t="str">
        <f>IF(C25&lt;=_xll.RssMarket(A25,"年初来安値"),"○","×")</f>
        <v>○</v>
      </c>
    </row>
    <row r="26" spans="1:26" x14ac:dyDescent="0.25">
      <c r="A26" s="47">
        <v>1459</v>
      </c>
      <c r="B26" s="20" t="str">
        <f>_xll.RssMarket(A26,"銘柄名称")</f>
        <v>表示銘柄数超過</v>
      </c>
      <c r="C26" s="21" t="str">
        <f>_xll.RssMarket(A26,"現在値")</f>
        <v>表示銘柄数超過</v>
      </c>
      <c r="D26" s="20" t="str">
        <f>_xll.RssMarket(A26,"現在値詳細時刻")</f>
        <v>表示銘柄数超過</v>
      </c>
      <c r="E26" s="22" t="str">
        <f>_xll.RssMarket(A26,"前日比")</f>
        <v>表示銘柄数超過</v>
      </c>
      <c r="F26" s="23" t="e">
        <f>_xll.RssMarket(A26,"前日比率")/100</f>
        <v>#VALUE!</v>
      </c>
      <c r="G26" s="24" t="str">
        <f>IFERROR(VLOOKUP(A26,取得元!$A$2:$F$501,2,FALSE),"-")</f>
        <v>-</v>
      </c>
      <c r="H26" s="24" t="str">
        <f>IFERROR(VLOOKUP(A26,取得元!$A$2:$F$501,3,FALSE),"-")</f>
        <v>-</v>
      </c>
      <c r="I26" s="24" t="str">
        <f>IFERROR(VLOOKUP(A26,取得元!$A$2:$F$501,4,FALSE),"-")</f>
        <v>-</v>
      </c>
      <c r="J26" s="5" t="str">
        <f>IFERROR(VLOOKUP(A26,取得元!$A$2:$F$501,5,FALSE),"-")</f>
        <v>-</v>
      </c>
      <c r="K26" s="25" t="str">
        <f>IFERROR(VLOOKUP(A26,取得元!$A$2:$F$501,6,FALSE)/100,"-")</f>
        <v>-</v>
      </c>
      <c r="L26" s="21" t="str">
        <f>_xll.RssMarket(A26,"始値")</f>
        <v>表示銘柄数超過</v>
      </c>
      <c r="M26" s="4" t="e">
        <f t="shared" si="0"/>
        <v>#VALUE!</v>
      </c>
      <c r="N26" s="21" t="str">
        <f>_xll.RssMarket(A26,"高値")</f>
        <v>表示銘柄数超過</v>
      </c>
      <c r="O26" s="4" t="e">
        <f t="shared" si="1"/>
        <v>#VALUE!</v>
      </c>
      <c r="P26" s="21" t="str">
        <f>_xll.RssMarket(A26,"安値")</f>
        <v>表示銘柄数超過</v>
      </c>
      <c r="Q26" s="4" t="e">
        <f t="shared" si="2"/>
        <v>#VALUE!</v>
      </c>
      <c r="R26" s="21" t="str">
        <f>_xll.RssMarket(A26,"後場始値")</f>
        <v>表示銘柄数超過</v>
      </c>
      <c r="S26" s="25" t="str">
        <f t="shared" si="3"/>
        <v>-</v>
      </c>
      <c r="T26" s="7" t="str">
        <f>_xll.RssMarket(A26,"出来高加重平均")</f>
        <v>表示銘柄数超過</v>
      </c>
      <c r="U26" s="4" t="e">
        <f t="shared" si="4"/>
        <v>#VALUE!</v>
      </c>
      <c r="V26" s="21" t="str">
        <f>_xll.RssMarket(A26,"出来高")</f>
        <v>表示銘柄数超過</v>
      </c>
      <c r="W26" s="21" t="str">
        <f>_xll.RssMarket(A26,"売買代金")</f>
        <v>表示銘柄数超過</v>
      </c>
      <c r="X26" s="20" t="str">
        <f>_xll.RssMarket(A26,"決算発表日")</f>
        <v>表示銘柄数超過</v>
      </c>
      <c r="Y26" s="26" t="str">
        <f>IF(C26&gt;_xll.RssMarket(A26,"年初来高値"),"○","×")</f>
        <v>×</v>
      </c>
      <c r="Z26" s="27" t="str">
        <f>IF(C26&lt;=_xll.RssMarket(A26,"年初来安値"),"○","×")</f>
        <v>○</v>
      </c>
    </row>
    <row r="27" spans="1:26" x14ac:dyDescent="0.25">
      <c r="A27" s="49">
        <v>1469</v>
      </c>
      <c r="B27" s="20" t="str">
        <f>_xll.RssMarket(A27,"銘柄名称")</f>
        <v>表示銘柄数超過</v>
      </c>
      <c r="C27" s="21" t="str">
        <f>_xll.RssMarket(A27,"現在値")</f>
        <v>表示銘柄数超過</v>
      </c>
      <c r="D27" s="20" t="str">
        <f>_xll.RssMarket(A27,"現在値詳細時刻")</f>
        <v>表示銘柄数超過</v>
      </c>
      <c r="E27" s="22" t="str">
        <f>_xll.RssMarket(A27,"前日比")</f>
        <v>表示銘柄数超過</v>
      </c>
      <c r="F27" s="23" t="e">
        <f>_xll.RssMarket(A27,"前日比率")/100</f>
        <v>#VALUE!</v>
      </c>
      <c r="G27" s="24" t="str">
        <f>IFERROR(VLOOKUP(A27,取得元!$A$2:$F$501,2,FALSE),"-")</f>
        <v>-</v>
      </c>
      <c r="H27" s="24" t="str">
        <f>IFERROR(VLOOKUP(A27,取得元!$A$2:$F$501,3,FALSE),"-")</f>
        <v>-</v>
      </c>
      <c r="I27" s="24" t="str">
        <f>IFERROR(VLOOKUP(A27,取得元!$A$2:$F$501,4,FALSE),"-")</f>
        <v>-</v>
      </c>
      <c r="J27" s="5" t="str">
        <f>IFERROR(VLOOKUP(A27,取得元!$A$2:$F$501,5,FALSE),"-")</f>
        <v>-</v>
      </c>
      <c r="K27" s="25" t="str">
        <f>IFERROR(VLOOKUP(A27,取得元!$A$2:$F$501,6,FALSE)/100,"-")</f>
        <v>-</v>
      </c>
      <c r="L27" s="21" t="str">
        <f>_xll.RssMarket(A27,"始値")</f>
        <v>表示銘柄数超過</v>
      </c>
      <c r="M27" s="4" t="e">
        <f t="shared" si="0"/>
        <v>#VALUE!</v>
      </c>
      <c r="N27" s="21" t="str">
        <f>_xll.RssMarket(A27,"高値")</f>
        <v>表示銘柄数超過</v>
      </c>
      <c r="O27" s="4" t="e">
        <f t="shared" si="1"/>
        <v>#VALUE!</v>
      </c>
      <c r="P27" s="21" t="str">
        <f>_xll.RssMarket(A27,"安値")</f>
        <v>表示銘柄数超過</v>
      </c>
      <c r="Q27" s="4" t="e">
        <f t="shared" si="2"/>
        <v>#VALUE!</v>
      </c>
      <c r="R27" s="21" t="str">
        <f>_xll.RssMarket(A27,"後場始値")</f>
        <v>表示銘柄数超過</v>
      </c>
      <c r="S27" s="25" t="str">
        <f t="shared" si="3"/>
        <v>-</v>
      </c>
      <c r="T27" s="7" t="str">
        <f>_xll.RssMarket(A27,"出来高加重平均")</f>
        <v>表示銘柄数超過</v>
      </c>
      <c r="U27" s="4" t="e">
        <f t="shared" si="4"/>
        <v>#VALUE!</v>
      </c>
      <c r="V27" s="21" t="str">
        <f>_xll.RssMarket(A27,"出来高")</f>
        <v>表示銘柄数超過</v>
      </c>
      <c r="W27" s="21" t="str">
        <f>_xll.RssMarket(A27,"売買代金")</f>
        <v>表示銘柄数超過</v>
      </c>
      <c r="X27" s="20" t="str">
        <f>_xll.RssMarket(A27,"決算発表日")</f>
        <v>表示銘柄数超過</v>
      </c>
      <c r="Y27" s="26" t="str">
        <f>IF(C27&gt;_xll.RssMarket(A27,"年初来高値"),"○","×")</f>
        <v>×</v>
      </c>
      <c r="Z27" s="27" t="str">
        <f>IF(C27&lt;=_xll.RssMarket(A27,"年初来安値"),"○","×")</f>
        <v>○</v>
      </c>
    </row>
    <row r="28" spans="1:26" x14ac:dyDescent="0.25">
      <c r="A28" s="47">
        <v>1472</v>
      </c>
      <c r="B28" s="20" t="str">
        <f>_xll.RssMarket(A28,"銘柄名称")</f>
        <v>表示銘柄数超過</v>
      </c>
      <c r="C28" s="21" t="str">
        <f>_xll.RssMarket(A28,"現在値")</f>
        <v>表示銘柄数超過</v>
      </c>
      <c r="D28" s="20" t="str">
        <f>_xll.RssMarket(A28,"現在値詳細時刻")</f>
        <v>表示銘柄数超過</v>
      </c>
      <c r="E28" s="22" t="str">
        <f>_xll.RssMarket(A28,"前日比")</f>
        <v>表示銘柄数超過</v>
      </c>
      <c r="F28" s="23" t="e">
        <f>_xll.RssMarket(A28,"前日比率")/100</f>
        <v>#VALUE!</v>
      </c>
      <c r="G28" s="24" t="str">
        <f>IFERROR(VLOOKUP(A28,取得元!$A$2:$F$501,2,FALSE),"-")</f>
        <v>-</v>
      </c>
      <c r="H28" s="24" t="str">
        <f>IFERROR(VLOOKUP(A28,取得元!$A$2:$F$501,3,FALSE),"-")</f>
        <v>-</v>
      </c>
      <c r="I28" s="24" t="str">
        <f>IFERROR(VLOOKUP(A28,取得元!$A$2:$F$501,4,FALSE),"-")</f>
        <v>-</v>
      </c>
      <c r="J28" s="5" t="str">
        <f>IFERROR(VLOOKUP(A28,取得元!$A$2:$F$501,5,FALSE),"-")</f>
        <v>-</v>
      </c>
      <c r="K28" s="25" t="str">
        <f>IFERROR(VLOOKUP(A28,取得元!$A$2:$F$501,6,FALSE)/100,"-")</f>
        <v>-</v>
      </c>
      <c r="L28" s="21" t="str">
        <f>_xll.RssMarket(A28,"始値")</f>
        <v>表示銘柄数超過</v>
      </c>
      <c r="M28" s="4" t="e">
        <f t="shared" si="0"/>
        <v>#VALUE!</v>
      </c>
      <c r="N28" s="21" t="str">
        <f>_xll.RssMarket(A28,"高値")</f>
        <v>表示銘柄数超過</v>
      </c>
      <c r="O28" s="4" t="e">
        <f t="shared" si="1"/>
        <v>#VALUE!</v>
      </c>
      <c r="P28" s="21" t="str">
        <f>_xll.RssMarket(A28,"安値")</f>
        <v>表示銘柄数超過</v>
      </c>
      <c r="Q28" s="4" t="e">
        <f t="shared" si="2"/>
        <v>#VALUE!</v>
      </c>
      <c r="R28" s="21" t="str">
        <f>_xll.RssMarket(A28,"後場始値")</f>
        <v>表示銘柄数超過</v>
      </c>
      <c r="S28" s="25" t="str">
        <f t="shared" si="3"/>
        <v>-</v>
      </c>
      <c r="T28" s="7" t="str">
        <f>_xll.RssMarket(A28,"出来高加重平均")</f>
        <v>表示銘柄数超過</v>
      </c>
      <c r="U28" s="4" t="e">
        <f t="shared" si="4"/>
        <v>#VALUE!</v>
      </c>
      <c r="V28" s="21" t="str">
        <f>_xll.RssMarket(A28,"出来高")</f>
        <v>表示銘柄数超過</v>
      </c>
      <c r="W28" s="21" t="str">
        <f>_xll.RssMarket(A28,"売買代金")</f>
        <v>表示銘柄数超過</v>
      </c>
      <c r="X28" s="20" t="str">
        <f>_xll.RssMarket(A28,"決算発表日")</f>
        <v>表示銘柄数超過</v>
      </c>
      <c r="Y28" s="26" t="str">
        <f>IF(C28&gt;_xll.RssMarket(A28,"年初来高値"),"○","×")</f>
        <v>×</v>
      </c>
      <c r="Z28" s="27" t="str">
        <f>IF(C28&lt;=_xll.RssMarket(A28,"年初来安値"),"○","×")</f>
        <v>○</v>
      </c>
    </row>
    <row r="29" spans="1:26" x14ac:dyDescent="0.25">
      <c r="A29" s="49">
        <v>1491</v>
      </c>
      <c r="B29" s="20" t="str">
        <f>_xll.RssMarket(A29,"銘柄名称")</f>
        <v>表示銘柄数超過</v>
      </c>
      <c r="C29" s="21" t="str">
        <f>_xll.RssMarket(A29,"現在値")</f>
        <v>表示銘柄数超過</v>
      </c>
      <c r="D29" s="20" t="str">
        <f>_xll.RssMarket(A29,"現在値詳細時刻")</f>
        <v>表示銘柄数超過</v>
      </c>
      <c r="E29" s="22" t="str">
        <f>_xll.RssMarket(A29,"前日比")</f>
        <v>表示銘柄数超過</v>
      </c>
      <c r="F29" s="23" t="e">
        <f>_xll.RssMarket(A29,"前日比率")/100</f>
        <v>#VALUE!</v>
      </c>
      <c r="G29" s="24" t="str">
        <f>IFERROR(VLOOKUP(A29,取得元!$A$2:$F$501,2,FALSE),"-")</f>
        <v>-</v>
      </c>
      <c r="H29" s="24" t="str">
        <f>IFERROR(VLOOKUP(A29,取得元!$A$2:$F$501,3,FALSE),"-")</f>
        <v>-</v>
      </c>
      <c r="I29" s="24" t="str">
        <f>IFERROR(VLOOKUP(A29,取得元!$A$2:$F$501,4,FALSE),"-")</f>
        <v>-</v>
      </c>
      <c r="J29" s="5" t="str">
        <f>IFERROR(VLOOKUP(A29,取得元!$A$2:$F$501,5,FALSE),"-")</f>
        <v>-</v>
      </c>
      <c r="K29" s="25" t="str">
        <f>IFERROR(VLOOKUP(A29,取得元!$A$2:$F$501,6,FALSE)/100,"-")</f>
        <v>-</v>
      </c>
      <c r="L29" s="21" t="str">
        <f>_xll.RssMarket(A29,"始値")</f>
        <v>表示銘柄数超過</v>
      </c>
      <c r="M29" s="4" t="e">
        <f t="shared" si="0"/>
        <v>#VALUE!</v>
      </c>
      <c r="N29" s="21" t="str">
        <f>_xll.RssMarket(A29,"高値")</f>
        <v>表示銘柄数超過</v>
      </c>
      <c r="O29" s="4" t="e">
        <f t="shared" si="1"/>
        <v>#VALUE!</v>
      </c>
      <c r="P29" s="21" t="str">
        <f>_xll.RssMarket(A29,"安値")</f>
        <v>表示銘柄数超過</v>
      </c>
      <c r="Q29" s="4" t="e">
        <f t="shared" si="2"/>
        <v>#VALUE!</v>
      </c>
      <c r="R29" s="21" t="str">
        <f>_xll.RssMarket(A29,"後場始値")</f>
        <v>表示銘柄数超過</v>
      </c>
      <c r="S29" s="25" t="str">
        <f t="shared" si="3"/>
        <v>-</v>
      </c>
      <c r="T29" s="7" t="str">
        <f>_xll.RssMarket(A29,"出来高加重平均")</f>
        <v>表示銘柄数超過</v>
      </c>
      <c r="U29" s="4" t="e">
        <f t="shared" si="4"/>
        <v>#VALUE!</v>
      </c>
      <c r="V29" s="21" t="str">
        <f>_xll.RssMarket(A29,"出来高")</f>
        <v>表示銘柄数超過</v>
      </c>
      <c r="W29" s="21" t="str">
        <f>_xll.RssMarket(A29,"売買代金")</f>
        <v>表示銘柄数超過</v>
      </c>
      <c r="X29" s="20" t="str">
        <f>_xll.RssMarket(A29,"決算発表日")</f>
        <v>表示銘柄数超過</v>
      </c>
      <c r="Y29" s="26" t="str">
        <f>IF(C29&gt;_xll.RssMarket(A29,"年初来高値"),"○","×")</f>
        <v>×</v>
      </c>
      <c r="Z29" s="27" t="str">
        <f>IF(C29&lt;=_xll.RssMarket(A29,"年初来安値"),"○","×")</f>
        <v>○</v>
      </c>
    </row>
    <row r="30" spans="1:26" x14ac:dyDescent="0.25">
      <c r="A30" s="47">
        <v>1514</v>
      </c>
      <c r="B30" s="20" t="str">
        <f>_xll.RssMarket(A30,"銘柄名称")</f>
        <v>表示銘柄数超過</v>
      </c>
      <c r="C30" s="21" t="str">
        <f>_xll.RssMarket(A30,"現在値")</f>
        <v>表示銘柄数超過</v>
      </c>
      <c r="D30" s="20" t="str">
        <f>_xll.RssMarket(A30,"現在値詳細時刻")</f>
        <v>表示銘柄数超過</v>
      </c>
      <c r="E30" s="22" t="str">
        <f>_xll.RssMarket(A30,"前日比")</f>
        <v>表示銘柄数超過</v>
      </c>
      <c r="F30" s="23" t="e">
        <f>_xll.RssMarket(A30,"前日比率")/100</f>
        <v>#VALUE!</v>
      </c>
      <c r="G30" s="24" t="str">
        <f>IFERROR(VLOOKUP(A30,取得元!$A$2:$F$501,2,FALSE),"-")</f>
        <v>-</v>
      </c>
      <c r="H30" s="24" t="str">
        <f>IFERROR(VLOOKUP(A30,取得元!$A$2:$F$501,3,FALSE),"-")</f>
        <v>-</v>
      </c>
      <c r="I30" s="24" t="str">
        <f>IFERROR(VLOOKUP(A30,取得元!$A$2:$F$501,4,FALSE),"-")</f>
        <v>-</v>
      </c>
      <c r="J30" s="5" t="str">
        <f>IFERROR(VLOOKUP(A30,取得元!$A$2:$F$501,5,FALSE),"-")</f>
        <v>-</v>
      </c>
      <c r="K30" s="25" t="str">
        <f>IFERROR(VLOOKUP(A30,取得元!$A$2:$F$501,6,FALSE)/100,"-")</f>
        <v>-</v>
      </c>
      <c r="L30" s="21" t="str">
        <f>_xll.RssMarket(A30,"始値")</f>
        <v>表示銘柄数超過</v>
      </c>
      <c r="M30" s="4" t="e">
        <f t="shared" si="0"/>
        <v>#VALUE!</v>
      </c>
      <c r="N30" s="21" t="str">
        <f>_xll.RssMarket(A30,"高値")</f>
        <v>表示銘柄数超過</v>
      </c>
      <c r="O30" s="4" t="e">
        <f t="shared" si="1"/>
        <v>#VALUE!</v>
      </c>
      <c r="P30" s="21" t="str">
        <f>_xll.RssMarket(A30,"安値")</f>
        <v>表示銘柄数超過</v>
      </c>
      <c r="Q30" s="4" t="e">
        <f t="shared" si="2"/>
        <v>#VALUE!</v>
      </c>
      <c r="R30" s="21" t="str">
        <f>_xll.RssMarket(A30,"後場始値")</f>
        <v>表示銘柄数超過</v>
      </c>
      <c r="S30" s="25" t="str">
        <f t="shared" si="3"/>
        <v>-</v>
      </c>
      <c r="T30" s="7" t="str">
        <f>_xll.RssMarket(A30,"出来高加重平均")</f>
        <v>表示銘柄数超過</v>
      </c>
      <c r="U30" s="4" t="e">
        <f t="shared" si="4"/>
        <v>#VALUE!</v>
      </c>
      <c r="V30" s="21" t="str">
        <f>_xll.RssMarket(A30,"出来高")</f>
        <v>表示銘柄数超過</v>
      </c>
      <c r="W30" s="21" t="str">
        <f>_xll.RssMarket(A30,"売買代金")</f>
        <v>表示銘柄数超過</v>
      </c>
      <c r="X30" s="20" t="str">
        <f>_xll.RssMarket(A30,"決算発表日")</f>
        <v>表示銘柄数超過</v>
      </c>
      <c r="Y30" s="26" t="str">
        <f>IF(C30&gt;_xll.RssMarket(A30,"年初来高値"),"○","×")</f>
        <v>×</v>
      </c>
      <c r="Z30" s="27" t="str">
        <f>IF(C30&lt;=_xll.RssMarket(A30,"年初来安値"),"○","×")</f>
        <v>○</v>
      </c>
    </row>
    <row r="31" spans="1:26" x14ac:dyDescent="0.25">
      <c r="A31" s="49">
        <v>1551</v>
      </c>
      <c r="B31" s="20" t="str">
        <f>_xll.RssMarket(A31,"銘柄名称")</f>
        <v>表示銘柄数超過</v>
      </c>
      <c r="C31" s="21" t="str">
        <f>_xll.RssMarket(A31,"現在値")</f>
        <v>表示銘柄数超過</v>
      </c>
      <c r="D31" s="20" t="str">
        <f>_xll.RssMarket(A31,"現在値詳細時刻")</f>
        <v>表示銘柄数超過</v>
      </c>
      <c r="E31" s="22" t="str">
        <f>_xll.RssMarket(A31,"前日比")</f>
        <v>表示銘柄数超過</v>
      </c>
      <c r="F31" s="23" t="e">
        <f>_xll.RssMarket(A31,"前日比率")/100</f>
        <v>#VALUE!</v>
      </c>
      <c r="G31" s="24" t="str">
        <f>IFERROR(VLOOKUP(A31,取得元!$A$2:$F$501,2,FALSE),"-")</f>
        <v>-</v>
      </c>
      <c r="H31" s="24" t="str">
        <f>IFERROR(VLOOKUP(A31,取得元!$A$2:$F$501,3,FALSE),"-")</f>
        <v>-</v>
      </c>
      <c r="I31" s="24" t="str">
        <f>IFERROR(VLOOKUP(A31,取得元!$A$2:$F$501,4,FALSE),"-")</f>
        <v>-</v>
      </c>
      <c r="J31" s="5" t="str">
        <f>IFERROR(VLOOKUP(A31,取得元!$A$2:$F$501,5,FALSE),"-")</f>
        <v>-</v>
      </c>
      <c r="K31" s="25" t="str">
        <f>IFERROR(VLOOKUP(A31,取得元!$A$2:$F$501,6,FALSE)/100,"-")</f>
        <v>-</v>
      </c>
      <c r="L31" s="21" t="str">
        <f>_xll.RssMarket(A31,"始値")</f>
        <v>表示銘柄数超過</v>
      </c>
      <c r="M31" s="4" t="e">
        <f t="shared" si="0"/>
        <v>#VALUE!</v>
      </c>
      <c r="N31" s="21" t="str">
        <f>_xll.RssMarket(A31,"高値")</f>
        <v>表示銘柄数超過</v>
      </c>
      <c r="O31" s="4" t="e">
        <f t="shared" si="1"/>
        <v>#VALUE!</v>
      </c>
      <c r="P31" s="21" t="str">
        <f>_xll.RssMarket(A31,"安値")</f>
        <v>表示銘柄数超過</v>
      </c>
      <c r="Q31" s="4" t="e">
        <f t="shared" si="2"/>
        <v>#VALUE!</v>
      </c>
      <c r="R31" s="21" t="str">
        <f>_xll.RssMarket(A31,"後場始値")</f>
        <v>表示銘柄数超過</v>
      </c>
      <c r="S31" s="25" t="str">
        <f t="shared" si="3"/>
        <v>-</v>
      </c>
      <c r="T31" s="7" t="str">
        <f>_xll.RssMarket(A31,"出来高加重平均")</f>
        <v>表示銘柄数超過</v>
      </c>
      <c r="U31" s="4" t="e">
        <f t="shared" si="4"/>
        <v>#VALUE!</v>
      </c>
      <c r="V31" s="21" t="str">
        <f>_xll.RssMarket(A31,"出来高")</f>
        <v>表示銘柄数超過</v>
      </c>
      <c r="W31" s="21" t="str">
        <f>_xll.RssMarket(A31,"売買代金")</f>
        <v>表示銘柄数超過</v>
      </c>
      <c r="X31" s="20" t="str">
        <f>_xll.RssMarket(A31,"決算発表日")</f>
        <v>表示銘柄数超過</v>
      </c>
      <c r="Y31" s="26" t="str">
        <f>IF(C31&gt;_xll.RssMarket(A31,"年初来高値"),"○","×")</f>
        <v>×</v>
      </c>
      <c r="Z31" s="27" t="str">
        <f>IF(C31&lt;=_xll.RssMarket(A31,"年初来安値"),"○","×")</f>
        <v>○</v>
      </c>
    </row>
    <row r="32" spans="1:26" x14ac:dyDescent="0.25">
      <c r="A32" s="47">
        <v>1552</v>
      </c>
      <c r="B32" s="20" t="str">
        <f>_xll.RssMarket(A32,"銘柄名称")</f>
        <v>表示銘柄数超過</v>
      </c>
      <c r="C32" s="21" t="str">
        <f>_xll.RssMarket(A32,"現在値")</f>
        <v>表示銘柄数超過</v>
      </c>
      <c r="D32" s="20" t="str">
        <f>_xll.RssMarket(A32,"現在値詳細時刻")</f>
        <v>表示銘柄数超過</v>
      </c>
      <c r="E32" s="22" t="str">
        <f>_xll.RssMarket(A32,"前日比")</f>
        <v>表示銘柄数超過</v>
      </c>
      <c r="F32" s="23" t="e">
        <f>_xll.RssMarket(A32,"前日比率")/100</f>
        <v>#VALUE!</v>
      </c>
      <c r="G32" s="24" t="str">
        <f>IFERROR(VLOOKUP(A32,取得元!$A$2:$F$501,2,FALSE),"-")</f>
        <v>-</v>
      </c>
      <c r="H32" s="24" t="str">
        <f>IFERROR(VLOOKUP(A32,取得元!$A$2:$F$501,3,FALSE),"-")</f>
        <v>-</v>
      </c>
      <c r="I32" s="24" t="str">
        <f>IFERROR(VLOOKUP(A32,取得元!$A$2:$F$501,4,FALSE),"-")</f>
        <v>-</v>
      </c>
      <c r="J32" s="5" t="str">
        <f>IFERROR(VLOOKUP(A32,取得元!$A$2:$F$501,5,FALSE),"-")</f>
        <v>-</v>
      </c>
      <c r="K32" s="25" t="str">
        <f>IFERROR(VLOOKUP(A32,取得元!$A$2:$F$501,6,FALSE)/100,"-")</f>
        <v>-</v>
      </c>
      <c r="L32" s="21" t="str">
        <f>_xll.RssMarket(A32,"始値")</f>
        <v>表示銘柄数超過</v>
      </c>
      <c r="M32" s="4" t="e">
        <f t="shared" si="0"/>
        <v>#VALUE!</v>
      </c>
      <c r="N32" s="21" t="str">
        <f>_xll.RssMarket(A32,"高値")</f>
        <v>表示銘柄数超過</v>
      </c>
      <c r="O32" s="4" t="e">
        <f t="shared" si="1"/>
        <v>#VALUE!</v>
      </c>
      <c r="P32" s="21" t="str">
        <f>_xll.RssMarket(A32,"安値")</f>
        <v>表示銘柄数超過</v>
      </c>
      <c r="Q32" s="4" t="e">
        <f t="shared" si="2"/>
        <v>#VALUE!</v>
      </c>
      <c r="R32" s="21" t="str">
        <f>_xll.RssMarket(A32,"後場始値")</f>
        <v>表示銘柄数超過</v>
      </c>
      <c r="S32" s="25" t="str">
        <f t="shared" si="3"/>
        <v>-</v>
      </c>
      <c r="T32" s="7" t="str">
        <f>_xll.RssMarket(A32,"出来高加重平均")</f>
        <v>表示銘柄数超過</v>
      </c>
      <c r="U32" s="4" t="e">
        <f t="shared" si="4"/>
        <v>#VALUE!</v>
      </c>
      <c r="V32" s="21" t="str">
        <f>_xll.RssMarket(A32,"出来高")</f>
        <v>表示銘柄数超過</v>
      </c>
      <c r="W32" s="21" t="str">
        <f>_xll.RssMarket(A32,"売買代金")</f>
        <v>表示銘柄数超過</v>
      </c>
      <c r="X32" s="20" t="str">
        <f>_xll.RssMarket(A32,"決算発表日")</f>
        <v>表示銘柄数超過</v>
      </c>
      <c r="Y32" s="26" t="str">
        <f>IF(C32&gt;_xll.RssMarket(A32,"年初来高値"),"○","×")</f>
        <v>×</v>
      </c>
      <c r="Z32" s="27" t="str">
        <f>IF(C32&lt;=_xll.RssMarket(A32,"年初来安値"),"○","×")</f>
        <v>○</v>
      </c>
    </row>
    <row r="33" spans="1:26" x14ac:dyDescent="0.25">
      <c r="A33" s="49">
        <v>1563</v>
      </c>
      <c r="B33" s="20" t="str">
        <f>_xll.RssMarket(A33,"銘柄名称")</f>
        <v>表示銘柄数超過</v>
      </c>
      <c r="C33" s="21" t="str">
        <f>_xll.RssMarket(A33,"現在値")</f>
        <v>表示銘柄数超過</v>
      </c>
      <c r="D33" s="20" t="str">
        <f>_xll.RssMarket(A33,"現在値詳細時刻")</f>
        <v>表示銘柄数超過</v>
      </c>
      <c r="E33" s="22" t="str">
        <f>_xll.RssMarket(A33,"前日比")</f>
        <v>表示銘柄数超過</v>
      </c>
      <c r="F33" s="23" t="e">
        <f>_xll.RssMarket(A33,"前日比率")/100</f>
        <v>#VALUE!</v>
      </c>
      <c r="G33" s="24" t="str">
        <f>IFERROR(VLOOKUP(A33,取得元!$A$2:$F$501,2,FALSE),"-")</f>
        <v>-</v>
      </c>
      <c r="H33" s="24" t="str">
        <f>IFERROR(VLOOKUP(A33,取得元!$A$2:$F$501,3,FALSE),"-")</f>
        <v>-</v>
      </c>
      <c r="I33" s="24" t="str">
        <f>IFERROR(VLOOKUP(A33,取得元!$A$2:$F$501,4,FALSE),"-")</f>
        <v>-</v>
      </c>
      <c r="J33" s="5" t="str">
        <f>IFERROR(VLOOKUP(A33,取得元!$A$2:$F$501,5,FALSE),"-")</f>
        <v>-</v>
      </c>
      <c r="K33" s="25" t="str">
        <f>IFERROR(VLOOKUP(A33,取得元!$A$2:$F$501,6,FALSE)/100,"-")</f>
        <v>-</v>
      </c>
      <c r="L33" s="21" t="str">
        <f>_xll.RssMarket(A33,"始値")</f>
        <v>表示銘柄数超過</v>
      </c>
      <c r="M33" s="4" t="e">
        <f t="shared" ref="M33:M96" si="5">C33/L33-1</f>
        <v>#VALUE!</v>
      </c>
      <c r="N33" s="21" t="str">
        <f>_xll.RssMarket(A33,"高値")</f>
        <v>表示銘柄数超過</v>
      </c>
      <c r="O33" s="4" t="e">
        <f t="shared" ref="O33:O96" si="6">C33/N33-1</f>
        <v>#VALUE!</v>
      </c>
      <c r="P33" s="21" t="str">
        <f>_xll.RssMarket(A33,"安値")</f>
        <v>表示銘柄数超過</v>
      </c>
      <c r="Q33" s="4" t="e">
        <f t="shared" ref="Q33:Q96" si="7">C33/P33-1</f>
        <v>#VALUE!</v>
      </c>
      <c r="R33" s="21" t="str">
        <f>_xll.RssMarket(A33,"後場始値")</f>
        <v>表示銘柄数超過</v>
      </c>
      <c r="S33" s="25" t="str">
        <f t="shared" ref="S33:S96" si="8">IFERROR(C33/R33-1,"-")</f>
        <v>-</v>
      </c>
      <c r="T33" s="7" t="str">
        <f>_xll.RssMarket(A33,"出来高加重平均")</f>
        <v>表示銘柄数超過</v>
      </c>
      <c r="U33" s="4" t="e">
        <f t="shared" ref="U33:U96" si="9">C33/T33-1</f>
        <v>#VALUE!</v>
      </c>
      <c r="V33" s="21" t="str">
        <f>_xll.RssMarket(A33,"出来高")</f>
        <v>表示銘柄数超過</v>
      </c>
      <c r="W33" s="21" t="str">
        <f>_xll.RssMarket(A33,"売買代金")</f>
        <v>表示銘柄数超過</v>
      </c>
      <c r="X33" s="20" t="str">
        <f>_xll.RssMarket(A33,"決算発表日")</f>
        <v>表示銘柄数超過</v>
      </c>
      <c r="Y33" s="26" t="str">
        <f>IF(C33&gt;_xll.RssMarket(A33,"年初来高値"),"○","×")</f>
        <v>×</v>
      </c>
      <c r="Z33" s="27" t="str">
        <f>IF(C33&lt;=_xll.RssMarket(A33,"年初来安値"),"○","×")</f>
        <v>○</v>
      </c>
    </row>
    <row r="34" spans="1:26" x14ac:dyDescent="0.25">
      <c r="A34" s="47">
        <v>1571</v>
      </c>
      <c r="B34" s="20" t="str">
        <f>_xll.RssMarket(A34,"銘柄名称")</f>
        <v>表示銘柄数超過</v>
      </c>
      <c r="C34" s="21" t="str">
        <f>_xll.RssMarket(A34,"現在値")</f>
        <v>表示銘柄数超過</v>
      </c>
      <c r="D34" s="20" t="str">
        <f>_xll.RssMarket(A34,"現在値詳細時刻")</f>
        <v>表示銘柄数超過</v>
      </c>
      <c r="E34" s="22" t="str">
        <f>_xll.RssMarket(A34,"前日比")</f>
        <v>表示銘柄数超過</v>
      </c>
      <c r="F34" s="23" t="e">
        <f>_xll.RssMarket(A34,"前日比率")/100</f>
        <v>#VALUE!</v>
      </c>
      <c r="G34" s="24" t="str">
        <f>IFERROR(VLOOKUP(A34,取得元!$A$2:$F$501,2,FALSE),"-")</f>
        <v>-</v>
      </c>
      <c r="H34" s="24" t="str">
        <f>IFERROR(VLOOKUP(A34,取得元!$A$2:$F$501,3,FALSE),"-")</f>
        <v>-</v>
      </c>
      <c r="I34" s="24" t="str">
        <f>IFERROR(VLOOKUP(A34,取得元!$A$2:$F$501,4,FALSE),"-")</f>
        <v>-</v>
      </c>
      <c r="J34" s="5" t="str">
        <f>IFERROR(VLOOKUP(A34,取得元!$A$2:$F$501,5,FALSE),"-")</f>
        <v>-</v>
      </c>
      <c r="K34" s="25" t="str">
        <f>IFERROR(VLOOKUP(A34,取得元!$A$2:$F$501,6,FALSE)/100,"-")</f>
        <v>-</v>
      </c>
      <c r="L34" s="21" t="str">
        <f>_xll.RssMarket(A34,"始値")</f>
        <v>表示銘柄数超過</v>
      </c>
      <c r="M34" s="4" t="e">
        <f t="shared" si="5"/>
        <v>#VALUE!</v>
      </c>
      <c r="N34" s="21" t="str">
        <f>_xll.RssMarket(A34,"高値")</f>
        <v>表示銘柄数超過</v>
      </c>
      <c r="O34" s="4" t="e">
        <f t="shared" si="6"/>
        <v>#VALUE!</v>
      </c>
      <c r="P34" s="21" t="str">
        <f>_xll.RssMarket(A34,"安値")</f>
        <v>表示銘柄数超過</v>
      </c>
      <c r="Q34" s="4" t="e">
        <f t="shared" si="7"/>
        <v>#VALUE!</v>
      </c>
      <c r="R34" s="21" t="str">
        <f>_xll.RssMarket(A34,"後場始値")</f>
        <v>表示銘柄数超過</v>
      </c>
      <c r="S34" s="25" t="str">
        <f t="shared" si="8"/>
        <v>-</v>
      </c>
      <c r="T34" s="7" t="str">
        <f>_xll.RssMarket(A34,"出来高加重平均")</f>
        <v>表示銘柄数超過</v>
      </c>
      <c r="U34" s="4" t="e">
        <f t="shared" si="9"/>
        <v>#VALUE!</v>
      </c>
      <c r="V34" s="21" t="str">
        <f>_xll.RssMarket(A34,"出来高")</f>
        <v>表示銘柄数超過</v>
      </c>
      <c r="W34" s="21" t="str">
        <f>_xll.RssMarket(A34,"売買代金")</f>
        <v>表示銘柄数超過</v>
      </c>
      <c r="X34" s="20" t="str">
        <f>_xll.RssMarket(A34,"決算発表日")</f>
        <v>表示銘柄数超過</v>
      </c>
      <c r="Y34" s="26" t="str">
        <f>IF(C34&gt;_xll.RssMarket(A34,"年初来高値"),"○","×")</f>
        <v>×</v>
      </c>
      <c r="Z34" s="27" t="str">
        <f>IF(C34&lt;=_xll.RssMarket(A34,"年初来安値"),"○","×")</f>
        <v>○</v>
      </c>
    </row>
    <row r="35" spans="1:26" x14ac:dyDescent="0.25">
      <c r="A35" s="49">
        <v>1572</v>
      </c>
      <c r="B35" s="20" t="str">
        <f>_xll.RssMarket(A35,"銘柄名称")</f>
        <v>表示銘柄数超過</v>
      </c>
      <c r="C35" s="21" t="str">
        <f>_xll.RssMarket(A35,"現在値")</f>
        <v>表示銘柄数超過</v>
      </c>
      <c r="D35" s="20" t="str">
        <f>_xll.RssMarket(A35,"現在値詳細時刻")</f>
        <v>表示銘柄数超過</v>
      </c>
      <c r="E35" s="22" t="str">
        <f>_xll.RssMarket(A35,"前日比")</f>
        <v>表示銘柄数超過</v>
      </c>
      <c r="F35" s="23" t="e">
        <f>_xll.RssMarket(A35,"前日比率")/100</f>
        <v>#VALUE!</v>
      </c>
      <c r="G35" s="24" t="str">
        <f>IFERROR(VLOOKUP(A35,取得元!$A$2:$F$501,2,FALSE),"-")</f>
        <v>-</v>
      </c>
      <c r="H35" s="24" t="str">
        <f>IFERROR(VLOOKUP(A35,取得元!$A$2:$F$501,3,FALSE),"-")</f>
        <v>-</v>
      </c>
      <c r="I35" s="24" t="str">
        <f>IFERROR(VLOOKUP(A35,取得元!$A$2:$F$501,4,FALSE),"-")</f>
        <v>-</v>
      </c>
      <c r="J35" s="5" t="str">
        <f>IFERROR(VLOOKUP(A35,取得元!$A$2:$F$501,5,FALSE),"-")</f>
        <v>-</v>
      </c>
      <c r="K35" s="25" t="str">
        <f>IFERROR(VLOOKUP(A35,取得元!$A$2:$F$501,6,FALSE)/100,"-")</f>
        <v>-</v>
      </c>
      <c r="L35" s="21" t="str">
        <f>_xll.RssMarket(A35,"始値")</f>
        <v>表示銘柄数超過</v>
      </c>
      <c r="M35" s="4" t="e">
        <f t="shared" si="5"/>
        <v>#VALUE!</v>
      </c>
      <c r="N35" s="21" t="str">
        <f>_xll.RssMarket(A35,"高値")</f>
        <v>表示銘柄数超過</v>
      </c>
      <c r="O35" s="4" t="e">
        <f t="shared" si="6"/>
        <v>#VALUE!</v>
      </c>
      <c r="P35" s="21" t="str">
        <f>_xll.RssMarket(A35,"安値")</f>
        <v>表示銘柄数超過</v>
      </c>
      <c r="Q35" s="4" t="e">
        <f t="shared" si="7"/>
        <v>#VALUE!</v>
      </c>
      <c r="R35" s="21" t="str">
        <f>_xll.RssMarket(A35,"後場始値")</f>
        <v>表示銘柄数超過</v>
      </c>
      <c r="S35" s="25" t="str">
        <f t="shared" si="8"/>
        <v>-</v>
      </c>
      <c r="T35" s="7" t="str">
        <f>_xll.RssMarket(A35,"出来高加重平均")</f>
        <v>表示銘柄数超過</v>
      </c>
      <c r="U35" s="4" t="e">
        <f t="shared" si="9"/>
        <v>#VALUE!</v>
      </c>
      <c r="V35" s="21" t="str">
        <f>_xll.RssMarket(A35,"出来高")</f>
        <v>表示銘柄数超過</v>
      </c>
      <c r="W35" s="21" t="str">
        <f>_xll.RssMarket(A35,"売買代金")</f>
        <v>表示銘柄数超過</v>
      </c>
      <c r="X35" s="20" t="str">
        <f>_xll.RssMarket(A35,"決算発表日")</f>
        <v>表示銘柄数超過</v>
      </c>
      <c r="Y35" s="26" t="str">
        <f>IF(C35&gt;_xll.RssMarket(A35,"年初来高値"),"○","×")</f>
        <v>×</v>
      </c>
      <c r="Z35" s="27" t="str">
        <f>IF(C35&lt;=_xll.RssMarket(A35,"年初来安値"),"○","×")</f>
        <v>○</v>
      </c>
    </row>
    <row r="36" spans="1:26" x14ac:dyDescent="0.25">
      <c r="A36" s="47">
        <v>1578</v>
      </c>
      <c r="B36" s="20" t="str">
        <f>_xll.RssMarket(A36,"銘柄名称")</f>
        <v>表示銘柄数超過</v>
      </c>
      <c r="C36" s="21" t="str">
        <f>_xll.RssMarket(A36,"現在値")</f>
        <v>表示銘柄数超過</v>
      </c>
      <c r="D36" s="20" t="str">
        <f>_xll.RssMarket(A36,"現在値詳細時刻")</f>
        <v>表示銘柄数超過</v>
      </c>
      <c r="E36" s="22" t="str">
        <f>_xll.RssMarket(A36,"前日比")</f>
        <v>表示銘柄数超過</v>
      </c>
      <c r="F36" s="23" t="e">
        <f>_xll.RssMarket(A36,"前日比率")/100</f>
        <v>#VALUE!</v>
      </c>
      <c r="G36" s="24" t="str">
        <f>IFERROR(VLOOKUP(A36,取得元!$A$2:$F$501,2,FALSE),"-")</f>
        <v>-</v>
      </c>
      <c r="H36" s="24" t="str">
        <f>IFERROR(VLOOKUP(A36,取得元!$A$2:$F$501,3,FALSE),"-")</f>
        <v>-</v>
      </c>
      <c r="I36" s="24" t="str">
        <f>IFERROR(VLOOKUP(A36,取得元!$A$2:$F$501,4,FALSE),"-")</f>
        <v>-</v>
      </c>
      <c r="J36" s="5" t="str">
        <f>IFERROR(VLOOKUP(A36,取得元!$A$2:$F$501,5,FALSE),"-")</f>
        <v>-</v>
      </c>
      <c r="K36" s="25" t="str">
        <f>IFERROR(VLOOKUP(A36,取得元!$A$2:$F$501,6,FALSE)/100,"-")</f>
        <v>-</v>
      </c>
      <c r="L36" s="21" t="str">
        <f>_xll.RssMarket(A36,"始値")</f>
        <v>表示銘柄数超過</v>
      </c>
      <c r="M36" s="4" t="e">
        <f t="shared" si="5"/>
        <v>#VALUE!</v>
      </c>
      <c r="N36" s="21" t="str">
        <f>_xll.RssMarket(A36,"高値")</f>
        <v>表示銘柄数超過</v>
      </c>
      <c r="O36" s="4" t="e">
        <f t="shared" si="6"/>
        <v>#VALUE!</v>
      </c>
      <c r="P36" s="21" t="str">
        <f>_xll.RssMarket(A36,"安値")</f>
        <v>表示銘柄数超過</v>
      </c>
      <c r="Q36" s="4" t="e">
        <f t="shared" si="7"/>
        <v>#VALUE!</v>
      </c>
      <c r="R36" s="21" t="str">
        <f>_xll.RssMarket(A36,"後場始値")</f>
        <v>表示銘柄数超過</v>
      </c>
      <c r="S36" s="25" t="str">
        <f t="shared" si="8"/>
        <v>-</v>
      </c>
      <c r="T36" s="7" t="str">
        <f>_xll.RssMarket(A36,"出来高加重平均")</f>
        <v>表示銘柄数超過</v>
      </c>
      <c r="U36" s="4" t="e">
        <f t="shared" si="9"/>
        <v>#VALUE!</v>
      </c>
      <c r="V36" s="21" t="str">
        <f>_xll.RssMarket(A36,"出来高")</f>
        <v>表示銘柄数超過</v>
      </c>
      <c r="W36" s="21" t="str">
        <f>_xll.RssMarket(A36,"売買代金")</f>
        <v>表示銘柄数超過</v>
      </c>
      <c r="X36" s="20" t="str">
        <f>_xll.RssMarket(A36,"決算発表日")</f>
        <v>表示銘柄数超過</v>
      </c>
      <c r="Y36" s="26" t="str">
        <f>IF(C36&gt;_xll.RssMarket(A36,"年初来高値"),"○","×")</f>
        <v>×</v>
      </c>
      <c r="Z36" s="27" t="str">
        <f>IF(C36&lt;=_xll.RssMarket(A36,"年初来安値"),"○","×")</f>
        <v>○</v>
      </c>
    </row>
    <row r="37" spans="1:26" x14ac:dyDescent="0.25">
      <c r="A37" s="49">
        <v>1605</v>
      </c>
      <c r="B37" s="20" t="str">
        <f>_xll.RssMarket(A37,"銘柄名称")</f>
        <v>表示銘柄数超過</v>
      </c>
      <c r="C37" s="21" t="str">
        <f>_xll.RssMarket(A37,"現在値")</f>
        <v>表示銘柄数超過</v>
      </c>
      <c r="D37" s="20" t="str">
        <f>_xll.RssMarket(A37,"現在値詳細時刻")</f>
        <v>表示銘柄数超過</v>
      </c>
      <c r="E37" s="22" t="str">
        <f>_xll.RssMarket(A37,"前日比")</f>
        <v>表示銘柄数超過</v>
      </c>
      <c r="F37" s="23" t="e">
        <f>_xll.RssMarket(A37,"前日比率")/100</f>
        <v>#VALUE!</v>
      </c>
      <c r="G37" s="24" t="str">
        <f>IFERROR(VLOOKUP(A37,取得元!$A$2:$F$501,2,FALSE),"-")</f>
        <v>-</v>
      </c>
      <c r="H37" s="24" t="str">
        <f>IFERROR(VLOOKUP(A37,取得元!$A$2:$F$501,3,FALSE),"-")</f>
        <v>-</v>
      </c>
      <c r="I37" s="24" t="str">
        <f>IFERROR(VLOOKUP(A37,取得元!$A$2:$F$501,4,FALSE),"-")</f>
        <v>-</v>
      </c>
      <c r="J37" s="5" t="str">
        <f>IFERROR(VLOOKUP(A37,取得元!$A$2:$F$501,5,FALSE),"-")</f>
        <v>-</v>
      </c>
      <c r="K37" s="25" t="str">
        <f>IFERROR(VLOOKUP(A37,取得元!$A$2:$F$501,6,FALSE)/100,"-")</f>
        <v>-</v>
      </c>
      <c r="L37" s="21" t="str">
        <f>_xll.RssMarket(A37,"始値")</f>
        <v>表示銘柄数超過</v>
      </c>
      <c r="M37" s="4" t="e">
        <f t="shared" si="5"/>
        <v>#VALUE!</v>
      </c>
      <c r="N37" s="21" t="str">
        <f>_xll.RssMarket(A37,"高値")</f>
        <v>表示銘柄数超過</v>
      </c>
      <c r="O37" s="4" t="e">
        <f t="shared" si="6"/>
        <v>#VALUE!</v>
      </c>
      <c r="P37" s="21" t="str">
        <f>_xll.RssMarket(A37,"安値")</f>
        <v>表示銘柄数超過</v>
      </c>
      <c r="Q37" s="4" t="e">
        <f t="shared" si="7"/>
        <v>#VALUE!</v>
      </c>
      <c r="R37" s="21" t="str">
        <f>_xll.RssMarket(A37,"後場始値")</f>
        <v>表示銘柄数超過</v>
      </c>
      <c r="S37" s="25" t="str">
        <f t="shared" si="8"/>
        <v>-</v>
      </c>
      <c r="T37" s="7" t="str">
        <f>_xll.RssMarket(A37,"出来高加重平均")</f>
        <v>表示銘柄数超過</v>
      </c>
      <c r="U37" s="4" t="e">
        <f t="shared" si="9"/>
        <v>#VALUE!</v>
      </c>
      <c r="V37" s="21" t="str">
        <f>_xll.RssMarket(A37,"出来高")</f>
        <v>表示銘柄数超過</v>
      </c>
      <c r="W37" s="21" t="str">
        <f>_xll.RssMarket(A37,"売買代金")</f>
        <v>表示銘柄数超過</v>
      </c>
      <c r="X37" s="20" t="str">
        <f>_xll.RssMarket(A37,"決算発表日")</f>
        <v>表示銘柄数超過</v>
      </c>
      <c r="Y37" s="26" t="str">
        <f>IF(C37&gt;_xll.RssMarket(A37,"年初来高値"),"○","×")</f>
        <v>×</v>
      </c>
      <c r="Z37" s="27" t="str">
        <f>IF(C37&lt;=_xll.RssMarket(A37,"年初来安値"),"○","×")</f>
        <v>○</v>
      </c>
    </row>
    <row r="38" spans="1:26" x14ac:dyDescent="0.25">
      <c r="A38" s="47">
        <v>1615</v>
      </c>
      <c r="B38" s="20" t="str">
        <f>_xll.RssMarket(A38,"銘柄名称")</f>
        <v>表示銘柄数超過</v>
      </c>
      <c r="C38" s="21" t="str">
        <f>_xll.RssMarket(A38,"現在値")</f>
        <v>表示銘柄数超過</v>
      </c>
      <c r="D38" s="20" t="str">
        <f>_xll.RssMarket(A38,"現在値詳細時刻")</f>
        <v>表示銘柄数超過</v>
      </c>
      <c r="E38" s="22" t="str">
        <f>_xll.RssMarket(A38,"前日比")</f>
        <v>表示銘柄数超過</v>
      </c>
      <c r="F38" s="23" t="e">
        <f>_xll.RssMarket(A38,"前日比率")/100</f>
        <v>#VALUE!</v>
      </c>
      <c r="G38" s="24" t="str">
        <f>IFERROR(VLOOKUP(A38,取得元!$A$2:$F$501,2,FALSE),"-")</f>
        <v>-</v>
      </c>
      <c r="H38" s="24" t="str">
        <f>IFERROR(VLOOKUP(A38,取得元!$A$2:$F$501,3,FALSE),"-")</f>
        <v>-</v>
      </c>
      <c r="I38" s="24" t="str">
        <f>IFERROR(VLOOKUP(A38,取得元!$A$2:$F$501,4,FALSE),"-")</f>
        <v>-</v>
      </c>
      <c r="J38" s="5" t="str">
        <f>IFERROR(VLOOKUP(A38,取得元!$A$2:$F$501,5,FALSE),"-")</f>
        <v>-</v>
      </c>
      <c r="K38" s="25" t="str">
        <f>IFERROR(VLOOKUP(A38,取得元!$A$2:$F$501,6,FALSE)/100,"-")</f>
        <v>-</v>
      </c>
      <c r="L38" s="21" t="str">
        <f>_xll.RssMarket(A38,"始値")</f>
        <v>表示銘柄数超過</v>
      </c>
      <c r="M38" s="4" t="e">
        <f t="shared" si="5"/>
        <v>#VALUE!</v>
      </c>
      <c r="N38" s="21" t="str">
        <f>_xll.RssMarket(A38,"高値")</f>
        <v>表示銘柄数超過</v>
      </c>
      <c r="O38" s="4" t="e">
        <f t="shared" si="6"/>
        <v>#VALUE!</v>
      </c>
      <c r="P38" s="21" t="str">
        <f>_xll.RssMarket(A38,"安値")</f>
        <v>表示銘柄数超過</v>
      </c>
      <c r="Q38" s="4" t="e">
        <f t="shared" si="7"/>
        <v>#VALUE!</v>
      </c>
      <c r="R38" s="21" t="str">
        <f>_xll.RssMarket(A38,"後場始値")</f>
        <v>表示銘柄数超過</v>
      </c>
      <c r="S38" s="25" t="str">
        <f t="shared" si="8"/>
        <v>-</v>
      </c>
      <c r="T38" s="7" t="str">
        <f>_xll.RssMarket(A38,"出来高加重平均")</f>
        <v>表示銘柄数超過</v>
      </c>
      <c r="U38" s="4" t="e">
        <f t="shared" si="9"/>
        <v>#VALUE!</v>
      </c>
      <c r="V38" s="21" t="str">
        <f>_xll.RssMarket(A38,"出来高")</f>
        <v>表示銘柄数超過</v>
      </c>
      <c r="W38" s="21" t="str">
        <f>_xll.RssMarket(A38,"売買代金")</f>
        <v>表示銘柄数超過</v>
      </c>
      <c r="X38" s="20" t="str">
        <f>_xll.RssMarket(A38,"決算発表日")</f>
        <v>表示銘柄数超過</v>
      </c>
      <c r="Y38" s="26" t="str">
        <f>IF(C38&gt;_xll.RssMarket(A38,"年初来高値"),"○","×")</f>
        <v>×</v>
      </c>
      <c r="Z38" s="27" t="str">
        <f>IF(C38&lt;=_xll.RssMarket(A38,"年初来安値"),"○","×")</f>
        <v>○</v>
      </c>
    </row>
    <row r="39" spans="1:26" x14ac:dyDescent="0.25">
      <c r="A39" s="49">
        <v>1655</v>
      </c>
      <c r="B39" s="20" t="str">
        <f>_xll.RssMarket(A39,"銘柄名称")</f>
        <v>表示銘柄数超過</v>
      </c>
      <c r="C39" s="21" t="str">
        <f>_xll.RssMarket(A39,"現在値")</f>
        <v>表示銘柄数超過</v>
      </c>
      <c r="D39" s="20" t="str">
        <f>_xll.RssMarket(A39,"現在値詳細時刻")</f>
        <v>表示銘柄数超過</v>
      </c>
      <c r="E39" s="22" t="str">
        <f>_xll.RssMarket(A39,"前日比")</f>
        <v>表示銘柄数超過</v>
      </c>
      <c r="F39" s="23" t="e">
        <f>_xll.RssMarket(A39,"前日比率")/100</f>
        <v>#VALUE!</v>
      </c>
      <c r="G39" s="24" t="str">
        <f>IFERROR(VLOOKUP(A39,取得元!$A$2:$F$501,2,FALSE),"-")</f>
        <v>-</v>
      </c>
      <c r="H39" s="24" t="str">
        <f>IFERROR(VLOOKUP(A39,取得元!$A$2:$F$501,3,FALSE),"-")</f>
        <v>-</v>
      </c>
      <c r="I39" s="24" t="str">
        <f>IFERROR(VLOOKUP(A39,取得元!$A$2:$F$501,4,FALSE),"-")</f>
        <v>-</v>
      </c>
      <c r="J39" s="5" t="str">
        <f>IFERROR(VLOOKUP(A39,取得元!$A$2:$F$501,5,FALSE),"-")</f>
        <v>-</v>
      </c>
      <c r="K39" s="25" t="str">
        <f>IFERROR(VLOOKUP(A39,取得元!$A$2:$F$501,6,FALSE)/100,"-")</f>
        <v>-</v>
      </c>
      <c r="L39" s="21" t="str">
        <f>_xll.RssMarket(A39,"始値")</f>
        <v>表示銘柄数超過</v>
      </c>
      <c r="M39" s="4" t="e">
        <f t="shared" si="5"/>
        <v>#VALUE!</v>
      </c>
      <c r="N39" s="21" t="str">
        <f>_xll.RssMarket(A39,"高値")</f>
        <v>表示銘柄数超過</v>
      </c>
      <c r="O39" s="4" t="e">
        <f t="shared" si="6"/>
        <v>#VALUE!</v>
      </c>
      <c r="P39" s="21" t="str">
        <f>_xll.RssMarket(A39,"安値")</f>
        <v>表示銘柄数超過</v>
      </c>
      <c r="Q39" s="4" t="e">
        <f t="shared" si="7"/>
        <v>#VALUE!</v>
      </c>
      <c r="R39" s="21" t="str">
        <f>_xll.RssMarket(A39,"後場始値")</f>
        <v>表示銘柄数超過</v>
      </c>
      <c r="S39" s="25" t="str">
        <f t="shared" si="8"/>
        <v>-</v>
      </c>
      <c r="T39" s="7" t="str">
        <f>_xll.RssMarket(A39,"出来高加重平均")</f>
        <v>表示銘柄数超過</v>
      </c>
      <c r="U39" s="4" t="e">
        <f t="shared" si="9"/>
        <v>#VALUE!</v>
      </c>
      <c r="V39" s="21" t="str">
        <f>_xll.RssMarket(A39,"出来高")</f>
        <v>表示銘柄数超過</v>
      </c>
      <c r="W39" s="21" t="str">
        <f>_xll.RssMarket(A39,"売買代金")</f>
        <v>表示銘柄数超過</v>
      </c>
      <c r="X39" s="20" t="str">
        <f>_xll.RssMarket(A39,"決算発表日")</f>
        <v>表示銘柄数超過</v>
      </c>
      <c r="Y39" s="26" t="str">
        <f>IF(C39&gt;_xll.RssMarket(A39,"年初来高値"),"○","×")</f>
        <v>×</v>
      </c>
      <c r="Z39" s="27" t="str">
        <f>IF(C39&lt;=_xll.RssMarket(A39,"年初来安値"),"○","×")</f>
        <v>○</v>
      </c>
    </row>
    <row r="40" spans="1:26" x14ac:dyDescent="0.25">
      <c r="A40" s="47">
        <v>1656</v>
      </c>
      <c r="B40" s="20" t="str">
        <f>_xll.RssMarket(A40,"銘柄名称")</f>
        <v>表示銘柄数超過</v>
      </c>
      <c r="C40" s="21" t="str">
        <f>_xll.RssMarket(A40,"現在値")</f>
        <v>表示銘柄数超過</v>
      </c>
      <c r="D40" s="20" t="str">
        <f>_xll.RssMarket(A40,"現在値詳細時刻")</f>
        <v>表示銘柄数超過</v>
      </c>
      <c r="E40" s="22" t="str">
        <f>_xll.RssMarket(A40,"前日比")</f>
        <v>表示銘柄数超過</v>
      </c>
      <c r="F40" s="23" t="e">
        <f>_xll.RssMarket(A40,"前日比率")/100</f>
        <v>#VALUE!</v>
      </c>
      <c r="G40" s="24" t="str">
        <f>IFERROR(VLOOKUP(A40,取得元!$A$2:$F$501,2,FALSE),"-")</f>
        <v>-</v>
      </c>
      <c r="H40" s="24" t="str">
        <f>IFERROR(VLOOKUP(A40,取得元!$A$2:$F$501,3,FALSE),"-")</f>
        <v>-</v>
      </c>
      <c r="I40" s="24" t="str">
        <f>IFERROR(VLOOKUP(A40,取得元!$A$2:$F$501,4,FALSE),"-")</f>
        <v>-</v>
      </c>
      <c r="J40" s="5" t="str">
        <f>IFERROR(VLOOKUP(A40,取得元!$A$2:$F$501,5,FALSE),"-")</f>
        <v>-</v>
      </c>
      <c r="K40" s="25" t="str">
        <f>IFERROR(VLOOKUP(A40,取得元!$A$2:$F$501,6,FALSE)/100,"-")</f>
        <v>-</v>
      </c>
      <c r="L40" s="21" t="str">
        <f>_xll.RssMarket(A40,"始値")</f>
        <v>表示銘柄数超過</v>
      </c>
      <c r="M40" s="4" t="e">
        <f t="shared" si="5"/>
        <v>#VALUE!</v>
      </c>
      <c r="N40" s="21" t="str">
        <f>_xll.RssMarket(A40,"高値")</f>
        <v>表示銘柄数超過</v>
      </c>
      <c r="O40" s="4" t="e">
        <f t="shared" si="6"/>
        <v>#VALUE!</v>
      </c>
      <c r="P40" s="21" t="str">
        <f>_xll.RssMarket(A40,"安値")</f>
        <v>表示銘柄数超過</v>
      </c>
      <c r="Q40" s="4" t="e">
        <f t="shared" si="7"/>
        <v>#VALUE!</v>
      </c>
      <c r="R40" s="21" t="str">
        <f>_xll.RssMarket(A40,"後場始値")</f>
        <v>表示銘柄数超過</v>
      </c>
      <c r="S40" s="25" t="str">
        <f t="shared" si="8"/>
        <v>-</v>
      </c>
      <c r="T40" s="7" t="str">
        <f>_xll.RssMarket(A40,"出来高加重平均")</f>
        <v>表示銘柄数超過</v>
      </c>
      <c r="U40" s="4" t="e">
        <f t="shared" si="9"/>
        <v>#VALUE!</v>
      </c>
      <c r="V40" s="21" t="str">
        <f>_xll.RssMarket(A40,"出来高")</f>
        <v>表示銘柄数超過</v>
      </c>
      <c r="W40" s="21" t="str">
        <f>_xll.RssMarket(A40,"売買代金")</f>
        <v>表示銘柄数超過</v>
      </c>
      <c r="X40" s="20" t="str">
        <f>_xll.RssMarket(A40,"決算発表日")</f>
        <v>表示銘柄数超過</v>
      </c>
      <c r="Y40" s="26" t="str">
        <f>IF(C40&gt;_xll.RssMarket(A40,"年初来高値"),"○","×")</f>
        <v>×</v>
      </c>
      <c r="Z40" s="27" t="str">
        <f>IF(C40&lt;=_xll.RssMarket(A40,"年初来安値"),"○","×")</f>
        <v>○</v>
      </c>
    </row>
    <row r="41" spans="1:26" x14ac:dyDescent="0.25">
      <c r="A41" s="49">
        <v>1671</v>
      </c>
      <c r="B41" s="20" t="str">
        <f>_xll.RssMarket(A41,"銘柄名称")</f>
        <v>表示銘柄数超過</v>
      </c>
      <c r="C41" s="21" t="str">
        <f>_xll.RssMarket(A41,"現在値")</f>
        <v>表示銘柄数超過</v>
      </c>
      <c r="D41" s="20" t="str">
        <f>_xll.RssMarket(A41,"現在値詳細時刻")</f>
        <v>表示銘柄数超過</v>
      </c>
      <c r="E41" s="22" t="str">
        <f>_xll.RssMarket(A41,"前日比")</f>
        <v>表示銘柄数超過</v>
      </c>
      <c r="F41" s="23" t="e">
        <f>_xll.RssMarket(A41,"前日比率")/100</f>
        <v>#VALUE!</v>
      </c>
      <c r="G41" s="24" t="str">
        <f>IFERROR(VLOOKUP(A41,取得元!$A$2:$F$501,2,FALSE),"-")</f>
        <v>-</v>
      </c>
      <c r="H41" s="24" t="str">
        <f>IFERROR(VLOOKUP(A41,取得元!$A$2:$F$501,3,FALSE),"-")</f>
        <v>-</v>
      </c>
      <c r="I41" s="24" t="str">
        <f>IFERROR(VLOOKUP(A41,取得元!$A$2:$F$501,4,FALSE),"-")</f>
        <v>-</v>
      </c>
      <c r="J41" s="5" t="str">
        <f>IFERROR(VLOOKUP(A41,取得元!$A$2:$F$501,5,FALSE),"-")</f>
        <v>-</v>
      </c>
      <c r="K41" s="25" t="str">
        <f>IFERROR(VLOOKUP(A41,取得元!$A$2:$F$501,6,FALSE)/100,"-")</f>
        <v>-</v>
      </c>
      <c r="L41" s="21" t="str">
        <f>_xll.RssMarket(A41,"始値")</f>
        <v>表示銘柄数超過</v>
      </c>
      <c r="M41" s="4" t="e">
        <f t="shared" si="5"/>
        <v>#VALUE!</v>
      </c>
      <c r="N41" s="21" t="str">
        <f>_xll.RssMarket(A41,"高値")</f>
        <v>表示銘柄数超過</v>
      </c>
      <c r="O41" s="4" t="e">
        <f t="shared" si="6"/>
        <v>#VALUE!</v>
      </c>
      <c r="P41" s="21" t="str">
        <f>_xll.RssMarket(A41,"安値")</f>
        <v>表示銘柄数超過</v>
      </c>
      <c r="Q41" s="4" t="e">
        <f t="shared" si="7"/>
        <v>#VALUE!</v>
      </c>
      <c r="R41" s="21" t="str">
        <f>_xll.RssMarket(A41,"後場始値")</f>
        <v>表示銘柄数超過</v>
      </c>
      <c r="S41" s="25" t="str">
        <f t="shared" si="8"/>
        <v>-</v>
      </c>
      <c r="T41" s="7" t="str">
        <f>_xll.RssMarket(A41,"出来高加重平均")</f>
        <v>表示銘柄数超過</v>
      </c>
      <c r="U41" s="4" t="e">
        <f t="shared" si="9"/>
        <v>#VALUE!</v>
      </c>
      <c r="V41" s="21" t="str">
        <f>_xll.RssMarket(A41,"出来高")</f>
        <v>表示銘柄数超過</v>
      </c>
      <c r="W41" s="21" t="str">
        <f>_xll.RssMarket(A41,"売買代金")</f>
        <v>表示銘柄数超過</v>
      </c>
      <c r="X41" s="20" t="str">
        <f>_xll.RssMarket(A41,"決算発表日")</f>
        <v>表示銘柄数超過</v>
      </c>
      <c r="Y41" s="26" t="str">
        <f>IF(C41&gt;_xll.RssMarket(A41,"年初来高値"),"○","×")</f>
        <v>×</v>
      </c>
      <c r="Z41" s="27" t="str">
        <f>IF(C41&lt;=_xll.RssMarket(A41,"年初来安値"),"○","×")</f>
        <v>○</v>
      </c>
    </row>
    <row r="42" spans="1:26" x14ac:dyDescent="0.25">
      <c r="A42" s="47">
        <v>1678</v>
      </c>
      <c r="B42" s="20" t="str">
        <f>_xll.RssMarket(A42,"銘柄名称")</f>
        <v>表示銘柄数超過</v>
      </c>
      <c r="C42" s="21" t="str">
        <f>_xll.RssMarket(A42,"現在値")</f>
        <v>表示銘柄数超過</v>
      </c>
      <c r="D42" s="20" t="str">
        <f>_xll.RssMarket(A42,"現在値詳細時刻")</f>
        <v>表示銘柄数超過</v>
      </c>
      <c r="E42" s="22" t="str">
        <f>_xll.RssMarket(A42,"前日比")</f>
        <v>表示銘柄数超過</v>
      </c>
      <c r="F42" s="23" t="e">
        <f>_xll.RssMarket(A42,"前日比率")/100</f>
        <v>#VALUE!</v>
      </c>
      <c r="G42" s="24" t="str">
        <f>IFERROR(VLOOKUP(A42,取得元!$A$2:$F$501,2,FALSE),"-")</f>
        <v>-</v>
      </c>
      <c r="H42" s="24" t="str">
        <f>IFERROR(VLOOKUP(A42,取得元!$A$2:$F$501,3,FALSE),"-")</f>
        <v>-</v>
      </c>
      <c r="I42" s="24" t="str">
        <f>IFERROR(VLOOKUP(A42,取得元!$A$2:$F$501,4,FALSE),"-")</f>
        <v>-</v>
      </c>
      <c r="J42" s="5" t="str">
        <f>IFERROR(VLOOKUP(A42,取得元!$A$2:$F$501,5,FALSE),"-")</f>
        <v>-</v>
      </c>
      <c r="K42" s="25" t="str">
        <f>IFERROR(VLOOKUP(A42,取得元!$A$2:$F$501,6,FALSE)/100,"-")</f>
        <v>-</v>
      </c>
      <c r="L42" s="21" t="str">
        <f>_xll.RssMarket(A42,"始値")</f>
        <v>表示銘柄数超過</v>
      </c>
      <c r="M42" s="4" t="e">
        <f t="shared" si="5"/>
        <v>#VALUE!</v>
      </c>
      <c r="N42" s="21" t="str">
        <f>_xll.RssMarket(A42,"高値")</f>
        <v>表示銘柄数超過</v>
      </c>
      <c r="O42" s="4" t="e">
        <f t="shared" si="6"/>
        <v>#VALUE!</v>
      </c>
      <c r="P42" s="21" t="str">
        <f>_xll.RssMarket(A42,"安値")</f>
        <v>表示銘柄数超過</v>
      </c>
      <c r="Q42" s="4" t="e">
        <f t="shared" si="7"/>
        <v>#VALUE!</v>
      </c>
      <c r="R42" s="21" t="str">
        <f>_xll.RssMarket(A42,"後場始値")</f>
        <v>表示銘柄数超過</v>
      </c>
      <c r="S42" s="25" t="str">
        <f t="shared" si="8"/>
        <v>-</v>
      </c>
      <c r="T42" s="7" t="str">
        <f>_xll.RssMarket(A42,"出来高加重平均")</f>
        <v>表示銘柄数超過</v>
      </c>
      <c r="U42" s="4" t="e">
        <f t="shared" si="9"/>
        <v>#VALUE!</v>
      </c>
      <c r="V42" s="21" t="str">
        <f>_xll.RssMarket(A42,"出来高")</f>
        <v>表示銘柄数超過</v>
      </c>
      <c r="W42" s="21" t="str">
        <f>_xll.RssMarket(A42,"売買代金")</f>
        <v>表示銘柄数超過</v>
      </c>
      <c r="X42" s="20" t="str">
        <f>_xll.RssMarket(A42,"決算発表日")</f>
        <v>表示銘柄数超過</v>
      </c>
      <c r="Y42" s="26" t="str">
        <f>IF(C42&gt;_xll.RssMarket(A42,"年初来高値"),"○","×")</f>
        <v>×</v>
      </c>
      <c r="Z42" s="27" t="str">
        <f>IF(C42&lt;=_xll.RssMarket(A42,"年初来安値"),"○","×")</f>
        <v>○</v>
      </c>
    </row>
    <row r="43" spans="1:26" x14ac:dyDescent="0.25">
      <c r="A43" s="49">
        <v>1682</v>
      </c>
      <c r="B43" s="20" t="str">
        <f>_xll.RssMarket(A43,"銘柄名称")</f>
        <v>表示銘柄数超過</v>
      </c>
      <c r="C43" s="21" t="str">
        <f>_xll.RssMarket(A43,"現在値")</f>
        <v>表示銘柄数超過</v>
      </c>
      <c r="D43" s="20" t="str">
        <f>_xll.RssMarket(A43,"現在値詳細時刻")</f>
        <v>表示銘柄数超過</v>
      </c>
      <c r="E43" s="22" t="str">
        <f>_xll.RssMarket(A43,"前日比")</f>
        <v>表示銘柄数超過</v>
      </c>
      <c r="F43" s="23" t="e">
        <f>_xll.RssMarket(A43,"前日比率")/100</f>
        <v>#VALUE!</v>
      </c>
      <c r="G43" s="24" t="str">
        <f>IFERROR(VLOOKUP(A43,取得元!$A$2:$F$501,2,FALSE),"-")</f>
        <v>-</v>
      </c>
      <c r="H43" s="24" t="str">
        <f>IFERROR(VLOOKUP(A43,取得元!$A$2:$F$501,3,FALSE),"-")</f>
        <v>-</v>
      </c>
      <c r="I43" s="24" t="str">
        <f>IFERROR(VLOOKUP(A43,取得元!$A$2:$F$501,4,FALSE),"-")</f>
        <v>-</v>
      </c>
      <c r="J43" s="5" t="str">
        <f>IFERROR(VLOOKUP(A43,取得元!$A$2:$F$501,5,FALSE),"-")</f>
        <v>-</v>
      </c>
      <c r="K43" s="25" t="str">
        <f>IFERROR(VLOOKUP(A43,取得元!$A$2:$F$501,6,FALSE)/100,"-")</f>
        <v>-</v>
      </c>
      <c r="L43" s="21" t="str">
        <f>_xll.RssMarket(A43,"始値")</f>
        <v>表示銘柄数超過</v>
      </c>
      <c r="M43" s="4" t="e">
        <f t="shared" si="5"/>
        <v>#VALUE!</v>
      </c>
      <c r="N43" s="21" t="str">
        <f>_xll.RssMarket(A43,"高値")</f>
        <v>表示銘柄数超過</v>
      </c>
      <c r="O43" s="4" t="e">
        <f t="shared" si="6"/>
        <v>#VALUE!</v>
      </c>
      <c r="P43" s="21" t="str">
        <f>_xll.RssMarket(A43,"安値")</f>
        <v>表示銘柄数超過</v>
      </c>
      <c r="Q43" s="4" t="e">
        <f t="shared" si="7"/>
        <v>#VALUE!</v>
      </c>
      <c r="R43" s="21" t="str">
        <f>_xll.RssMarket(A43,"後場始値")</f>
        <v>表示銘柄数超過</v>
      </c>
      <c r="S43" s="25" t="str">
        <f t="shared" si="8"/>
        <v>-</v>
      </c>
      <c r="T43" s="7" t="str">
        <f>_xll.RssMarket(A43,"出来高加重平均")</f>
        <v>表示銘柄数超過</v>
      </c>
      <c r="U43" s="4" t="e">
        <f t="shared" si="9"/>
        <v>#VALUE!</v>
      </c>
      <c r="V43" s="21" t="str">
        <f>_xll.RssMarket(A43,"出来高")</f>
        <v>表示銘柄数超過</v>
      </c>
      <c r="W43" s="21" t="str">
        <f>_xll.RssMarket(A43,"売買代金")</f>
        <v>表示銘柄数超過</v>
      </c>
      <c r="X43" s="20" t="str">
        <f>_xll.RssMarket(A43,"決算発表日")</f>
        <v>表示銘柄数超過</v>
      </c>
      <c r="Y43" s="26" t="str">
        <f>IF(C43&gt;_xll.RssMarket(A43,"年初来高値"),"○","×")</f>
        <v>×</v>
      </c>
      <c r="Z43" s="27" t="str">
        <f>IF(C43&lt;=_xll.RssMarket(A43,"年初来安値"),"○","×")</f>
        <v>○</v>
      </c>
    </row>
    <row r="44" spans="1:26" x14ac:dyDescent="0.25">
      <c r="A44" s="47">
        <v>1689</v>
      </c>
      <c r="B44" s="20" t="str">
        <f>_xll.RssMarket(A44,"銘柄名称")</f>
        <v>表示銘柄数超過</v>
      </c>
      <c r="C44" s="21" t="str">
        <f>_xll.RssMarket(A44,"現在値")</f>
        <v>表示銘柄数超過</v>
      </c>
      <c r="D44" s="20" t="str">
        <f>_xll.RssMarket(A44,"現在値詳細時刻")</f>
        <v>表示銘柄数超過</v>
      </c>
      <c r="E44" s="22" t="str">
        <f>_xll.RssMarket(A44,"前日比")</f>
        <v>表示銘柄数超過</v>
      </c>
      <c r="F44" s="23" t="e">
        <f>_xll.RssMarket(A44,"前日比率")/100</f>
        <v>#VALUE!</v>
      </c>
      <c r="G44" s="24" t="str">
        <f>IFERROR(VLOOKUP(A44,取得元!$A$2:$F$501,2,FALSE),"-")</f>
        <v>-</v>
      </c>
      <c r="H44" s="24" t="str">
        <f>IFERROR(VLOOKUP(A44,取得元!$A$2:$F$501,3,FALSE),"-")</f>
        <v>-</v>
      </c>
      <c r="I44" s="24" t="str">
        <f>IFERROR(VLOOKUP(A44,取得元!$A$2:$F$501,4,FALSE),"-")</f>
        <v>-</v>
      </c>
      <c r="J44" s="5" t="str">
        <f>IFERROR(VLOOKUP(A44,取得元!$A$2:$F$501,5,FALSE),"-")</f>
        <v>-</v>
      </c>
      <c r="K44" s="25" t="str">
        <f>IFERROR(VLOOKUP(A44,取得元!$A$2:$F$501,6,FALSE)/100,"-")</f>
        <v>-</v>
      </c>
      <c r="L44" s="21" t="str">
        <f>_xll.RssMarket(A44,"始値")</f>
        <v>表示銘柄数超過</v>
      </c>
      <c r="M44" s="4" t="e">
        <f t="shared" si="5"/>
        <v>#VALUE!</v>
      </c>
      <c r="N44" s="21" t="str">
        <f>_xll.RssMarket(A44,"高値")</f>
        <v>表示銘柄数超過</v>
      </c>
      <c r="O44" s="4" t="e">
        <f t="shared" si="6"/>
        <v>#VALUE!</v>
      </c>
      <c r="P44" s="21" t="str">
        <f>_xll.RssMarket(A44,"安値")</f>
        <v>表示銘柄数超過</v>
      </c>
      <c r="Q44" s="4" t="e">
        <f t="shared" si="7"/>
        <v>#VALUE!</v>
      </c>
      <c r="R44" s="21" t="str">
        <f>_xll.RssMarket(A44,"後場始値")</f>
        <v>表示銘柄数超過</v>
      </c>
      <c r="S44" s="25" t="str">
        <f t="shared" si="8"/>
        <v>-</v>
      </c>
      <c r="T44" s="7" t="str">
        <f>_xll.RssMarket(A44,"出来高加重平均")</f>
        <v>表示銘柄数超過</v>
      </c>
      <c r="U44" s="4" t="e">
        <f t="shared" si="9"/>
        <v>#VALUE!</v>
      </c>
      <c r="V44" s="21" t="str">
        <f>_xll.RssMarket(A44,"出来高")</f>
        <v>表示銘柄数超過</v>
      </c>
      <c r="W44" s="21" t="str">
        <f>_xll.RssMarket(A44,"売買代金")</f>
        <v>表示銘柄数超過</v>
      </c>
      <c r="X44" s="20" t="str">
        <f>_xll.RssMarket(A44,"決算発表日")</f>
        <v>表示銘柄数超過</v>
      </c>
      <c r="Y44" s="26" t="str">
        <f>IF(C44&gt;_xll.RssMarket(A44,"年初来高値"),"○","×")</f>
        <v>×</v>
      </c>
      <c r="Z44" s="27" t="str">
        <f>IF(C44&lt;=_xll.RssMarket(A44,"年初来安値"),"○","×")</f>
        <v>○</v>
      </c>
    </row>
    <row r="45" spans="1:26" x14ac:dyDescent="0.25">
      <c r="A45" s="49">
        <v>1699</v>
      </c>
      <c r="B45" s="20" t="str">
        <f>_xll.RssMarket(A45,"銘柄名称")</f>
        <v>表示銘柄数超過</v>
      </c>
      <c r="C45" s="21" t="str">
        <f>_xll.RssMarket(A45,"現在値")</f>
        <v>表示銘柄数超過</v>
      </c>
      <c r="D45" s="20" t="str">
        <f>_xll.RssMarket(A45,"現在値詳細時刻")</f>
        <v>表示銘柄数超過</v>
      </c>
      <c r="E45" s="22" t="str">
        <f>_xll.RssMarket(A45,"前日比")</f>
        <v>表示銘柄数超過</v>
      </c>
      <c r="F45" s="23" t="e">
        <f>_xll.RssMarket(A45,"前日比率")/100</f>
        <v>#VALUE!</v>
      </c>
      <c r="G45" s="24" t="str">
        <f>IFERROR(VLOOKUP(A45,取得元!$A$2:$F$501,2,FALSE),"-")</f>
        <v>-</v>
      </c>
      <c r="H45" s="24" t="str">
        <f>IFERROR(VLOOKUP(A45,取得元!$A$2:$F$501,3,FALSE),"-")</f>
        <v>-</v>
      </c>
      <c r="I45" s="24" t="str">
        <f>IFERROR(VLOOKUP(A45,取得元!$A$2:$F$501,4,FALSE),"-")</f>
        <v>-</v>
      </c>
      <c r="J45" s="5" t="str">
        <f>IFERROR(VLOOKUP(A45,取得元!$A$2:$F$501,5,FALSE),"-")</f>
        <v>-</v>
      </c>
      <c r="K45" s="25" t="str">
        <f>IFERROR(VLOOKUP(A45,取得元!$A$2:$F$501,6,FALSE)/100,"-")</f>
        <v>-</v>
      </c>
      <c r="L45" s="21" t="str">
        <f>_xll.RssMarket(A45,"始値")</f>
        <v>表示銘柄数超過</v>
      </c>
      <c r="M45" s="4" t="e">
        <f t="shared" si="5"/>
        <v>#VALUE!</v>
      </c>
      <c r="N45" s="21" t="str">
        <f>_xll.RssMarket(A45,"高値")</f>
        <v>表示銘柄数超過</v>
      </c>
      <c r="O45" s="4" t="e">
        <f t="shared" si="6"/>
        <v>#VALUE!</v>
      </c>
      <c r="P45" s="21" t="str">
        <f>_xll.RssMarket(A45,"安値")</f>
        <v>表示銘柄数超過</v>
      </c>
      <c r="Q45" s="4" t="e">
        <f t="shared" si="7"/>
        <v>#VALUE!</v>
      </c>
      <c r="R45" s="21" t="str">
        <f>_xll.RssMarket(A45,"後場始値")</f>
        <v>表示銘柄数超過</v>
      </c>
      <c r="S45" s="25" t="str">
        <f t="shared" si="8"/>
        <v>-</v>
      </c>
      <c r="T45" s="7" t="str">
        <f>_xll.RssMarket(A45,"出来高加重平均")</f>
        <v>表示銘柄数超過</v>
      </c>
      <c r="U45" s="4" t="e">
        <f t="shared" si="9"/>
        <v>#VALUE!</v>
      </c>
      <c r="V45" s="21" t="str">
        <f>_xll.RssMarket(A45,"出来高")</f>
        <v>表示銘柄数超過</v>
      </c>
      <c r="W45" s="21" t="str">
        <f>_xll.RssMarket(A45,"売買代金")</f>
        <v>表示銘柄数超過</v>
      </c>
      <c r="X45" s="20" t="str">
        <f>_xll.RssMarket(A45,"決算発表日")</f>
        <v>表示銘柄数超過</v>
      </c>
      <c r="Y45" s="26" t="str">
        <f>IF(C45&gt;_xll.RssMarket(A45,"年初来高値"),"○","×")</f>
        <v>×</v>
      </c>
      <c r="Z45" s="27" t="str">
        <f>IF(C45&lt;=_xll.RssMarket(A45,"年初来安値"),"○","×")</f>
        <v>○</v>
      </c>
    </row>
    <row r="46" spans="1:26" x14ac:dyDescent="0.25">
      <c r="A46" s="47">
        <v>1711</v>
      </c>
      <c r="B46" s="20" t="str">
        <f>_xll.RssMarket(A46,"銘柄名称")</f>
        <v>表示銘柄数超過</v>
      </c>
      <c r="C46" s="21" t="str">
        <f>_xll.RssMarket(A46,"現在値")</f>
        <v>表示銘柄数超過</v>
      </c>
      <c r="D46" s="20" t="str">
        <f>_xll.RssMarket(A46,"現在値詳細時刻")</f>
        <v>表示銘柄数超過</v>
      </c>
      <c r="E46" s="22" t="str">
        <f>_xll.RssMarket(A46,"前日比")</f>
        <v>表示銘柄数超過</v>
      </c>
      <c r="F46" s="23" t="e">
        <f>_xll.RssMarket(A46,"前日比率")/100</f>
        <v>#VALUE!</v>
      </c>
      <c r="G46" s="24" t="str">
        <f>IFERROR(VLOOKUP(A46,取得元!$A$2:$F$501,2,FALSE),"-")</f>
        <v>-</v>
      </c>
      <c r="H46" s="24" t="str">
        <f>IFERROR(VLOOKUP(A46,取得元!$A$2:$F$501,3,FALSE),"-")</f>
        <v>-</v>
      </c>
      <c r="I46" s="24" t="str">
        <f>IFERROR(VLOOKUP(A46,取得元!$A$2:$F$501,4,FALSE),"-")</f>
        <v>-</v>
      </c>
      <c r="J46" s="5" t="str">
        <f>IFERROR(VLOOKUP(A46,取得元!$A$2:$F$501,5,FALSE),"-")</f>
        <v>-</v>
      </c>
      <c r="K46" s="25" t="str">
        <f>IFERROR(VLOOKUP(A46,取得元!$A$2:$F$501,6,FALSE)/100,"-")</f>
        <v>-</v>
      </c>
      <c r="L46" s="21" t="str">
        <f>_xll.RssMarket(A46,"始値")</f>
        <v>表示銘柄数超過</v>
      </c>
      <c r="M46" s="4" t="e">
        <f t="shared" si="5"/>
        <v>#VALUE!</v>
      </c>
      <c r="N46" s="21" t="str">
        <f>_xll.RssMarket(A46,"高値")</f>
        <v>表示銘柄数超過</v>
      </c>
      <c r="O46" s="4" t="e">
        <f t="shared" si="6"/>
        <v>#VALUE!</v>
      </c>
      <c r="P46" s="21" t="str">
        <f>_xll.RssMarket(A46,"安値")</f>
        <v>表示銘柄数超過</v>
      </c>
      <c r="Q46" s="4" t="e">
        <f t="shared" si="7"/>
        <v>#VALUE!</v>
      </c>
      <c r="R46" s="21" t="str">
        <f>_xll.RssMarket(A46,"後場始値")</f>
        <v>表示銘柄数超過</v>
      </c>
      <c r="S46" s="25" t="str">
        <f t="shared" si="8"/>
        <v>-</v>
      </c>
      <c r="T46" s="7" t="str">
        <f>_xll.RssMarket(A46,"出来高加重平均")</f>
        <v>表示銘柄数超過</v>
      </c>
      <c r="U46" s="4" t="e">
        <f t="shared" si="9"/>
        <v>#VALUE!</v>
      </c>
      <c r="V46" s="21" t="str">
        <f>_xll.RssMarket(A46,"出来高")</f>
        <v>表示銘柄数超過</v>
      </c>
      <c r="W46" s="21" t="str">
        <f>_xll.RssMarket(A46,"売買代金")</f>
        <v>表示銘柄数超過</v>
      </c>
      <c r="X46" s="20" t="str">
        <f>_xll.RssMarket(A46,"決算発表日")</f>
        <v>表示銘柄数超過</v>
      </c>
      <c r="Y46" s="26" t="str">
        <f>IF(C46&gt;_xll.RssMarket(A46,"年初来高値"),"○","×")</f>
        <v>×</v>
      </c>
      <c r="Z46" s="27" t="str">
        <f>IF(C46&lt;=_xll.RssMarket(A46,"年初来安値"),"○","×")</f>
        <v>○</v>
      </c>
    </row>
    <row r="47" spans="1:26" x14ac:dyDescent="0.25">
      <c r="A47" s="49">
        <v>1712</v>
      </c>
      <c r="B47" s="20" t="str">
        <f>_xll.RssMarket(A47,"銘柄名称")</f>
        <v>表示銘柄数超過</v>
      </c>
      <c r="C47" s="21" t="str">
        <f>_xll.RssMarket(A47,"現在値")</f>
        <v>表示銘柄数超過</v>
      </c>
      <c r="D47" s="20" t="str">
        <f>_xll.RssMarket(A47,"現在値詳細時刻")</f>
        <v>表示銘柄数超過</v>
      </c>
      <c r="E47" s="22" t="str">
        <f>_xll.RssMarket(A47,"前日比")</f>
        <v>表示銘柄数超過</v>
      </c>
      <c r="F47" s="23" t="e">
        <f>_xll.RssMarket(A47,"前日比率")/100</f>
        <v>#VALUE!</v>
      </c>
      <c r="G47" s="24" t="str">
        <f>IFERROR(VLOOKUP(A47,取得元!$A$2:$F$501,2,FALSE),"-")</f>
        <v>-</v>
      </c>
      <c r="H47" s="24" t="str">
        <f>IFERROR(VLOOKUP(A47,取得元!$A$2:$F$501,3,FALSE),"-")</f>
        <v>-</v>
      </c>
      <c r="I47" s="24" t="str">
        <f>IFERROR(VLOOKUP(A47,取得元!$A$2:$F$501,4,FALSE),"-")</f>
        <v>-</v>
      </c>
      <c r="J47" s="5" t="str">
        <f>IFERROR(VLOOKUP(A47,取得元!$A$2:$F$501,5,FALSE),"-")</f>
        <v>-</v>
      </c>
      <c r="K47" s="25" t="str">
        <f>IFERROR(VLOOKUP(A47,取得元!$A$2:$F$501,6,FALSE)/100,"-")</f>
        <v>-</v>
      </c>
      <c r="L47" s="21" t="str">
        <f>_xll.RssMarket(A47,"始値")</f>
        <v>表示銘柄数超過</v>
      </c>
      <c r="M47" s="4" t="e">
        <f t="shared" si="5"/>
        <v>#VALUE!</v>
      </c>
      <c r="N47" s="21" t="str">
        <f>_xll.RssMarket(A47,"高値")</f>
        <v>表示銘柄数超過</v>
      </c>
      <c r="O47" s="4" t="e">
        <f t="shared" si="6"/>
        <v>#VALUE!</v>
      </c>
      <c r="P47" s="21" t="str">
        <f>_xll.RssMarket(A47,"安値")</f>
        <v>表示銘柄数超過</v>
      </c>
      <c r="Q47" s="4" t="e">
        <f t="shared" si="7"/>
        <v>#VALUE!</v>
      </c>
      <c r="R47" s="21" t="str">
        <f>_xll.RssMarket(A47,"後場始値")</f>
        <v>表示銘柄数超過</v>
      </c>
      <c r="S47" s="25" t="str">
        <f t="shared" si="8"/>
        <v>-</v>
      </c>
      <c r="T47" s="7" t="str">
        <f>_xll.RssMarket(A47,"出来高加重平均")</f>
        <v>表示銘柄数超過</v>
      </c>
      <c r="U47" s="4" t="e">
        <f t="shared" si="9"/>
        <v>#VALUE!</v>
      </c>
      <c r="V47" s="21" t="str">
        <f>_xll.RssMarket(A47,"出来高")</f>
        <v>表示銘柄数超過</v>
      </c>
      <c r="W47" s="21" t="str">
        <f>_xll.RssMarket(A47,"売買代金")</f>
        <v>表示銘柄数超過</v>
      </c>
      <c r="X47" s="20" t="str">
        <f>_xll.RssMarket(A47,"決算発表日")</f>
        <v>表示銘柄数超過</v>
      </c>
      <c r="Y47" s="26" t="str">
        <f>IF(C47&gt;_xll.RssMarket(A47,"年初来高値"),"○","×")</f>
        <v>×</v>
      </c>
      <c r="Z47" s="27" t="str">
        <f>IF(C47&lt;=_xll.RssMarket(A47,"年初来安値"),"○","×")</f>
        <v>○</v>
      </c>
    </row>
    <row r="48" spans="1:26" x14ac:dyDescent="0.25">
      <c r="A48" s="47">
        <v>1716</v>
      </c>
      <c r="B48" s="20" t="str">
        <f>_xll.RssMarket(A48,"銘柄名称")</f>
        <v>表示銘柄数超過</v>
      </c>
      <c r="C48" s="21" t="str">
        <f>_xll.RssMarket(A48,"現在値")</f>
        <v>表示銘柄数超過</v>
      </c>
      <c r="D48" s="20" t="str">
        <f>_xll.RssMarket(A48,"現在値詳細時刻")</f>
        <v>表示銘柄数超過</v>
      </c>
      <c r="E48" s="22" t="str">
        <f>_xll.RssMarket(A48,"前日比")</f>
        <v>表示銘柄数超過</v>
      </c>
      <c r="F48" s="23" t="e">
        <f>_xll.RssMarket(A48,"前日比率")/100</f>
        <v>#VALUE!</v>
      </c>
      <c r="G48" s="24" t="str">
        <f>IFERROR(VLOOKUP(A48,取得元!$A$2:$F$501,2,FALSE),"-")</f>
        <v>-</v>
      </c>
      <c r="H48" s="24" t="str">
        <f>IFERROR(VLOOKUP(A48,取得元!$A$2:$F$501,3,FALSE),"-")</f>
        <v>-</v>
      </c>
      <c r="I48" s="24" t="str">
        <f>IFERROR(VLOOKUP(A48,取得元!$A$2:$F$501,4,FALSE),"-")</f>
        <v>-</v>
      </c>
      <c r="J48" s="5" t="str">
        <f>IFERROR(VLOOKUP(A48,取得元!$A$2:$F$501,5,FALSE),"-")</f>
        <v>-</v>
      </c>
      <c r="K48" s="25" t="str">
        <f>IFERROR(VLOOKUP(A48,取得元!$A$2:$F$501,6,FALSE)/100,"-")</f>
        <v>-</v>
      </c>
      <c r="L48" s="21" t="str">
        <f>_xll.RssMarket(A48,"始値")</f>
        <v>表示銘柄数超過</v>
      </c>
      <c r="M48" s="4" t="e">
        <f t="shared" si="5"/>
        <v>#VALUE!</v>
      </c>
      <c r="N48" s="21" t="str">
        <f>_xll.RssMarket(A48,"高値")</f>
        <v>表示銘柄数超過</v>
      </c>
      <c r="O48" s="4" t="e">
        <f t="shared" si="6"/>
        <v>#VALUE!</v>
      </c>
      <c r="P48" s="21" t="str">
        <f>_xll.RssMarket(A48,"安値")</f>
        <v>表示銘柄数超過</v>
      </c>
      <c r="Q48" s="4" t="e">
        <f t="shared" si="7"/>
        <v>#VALUE!</v>
      </c>
      <c r="R48" s="21" t="str">
        <f>_xll.RssMarket(A48,"後場始値")</f>
        <v>表示銘柄数超過</v>
      </c>
      <c r="S48" s="25" t="str">
        <f t="shared" si="8"/>
        <v>-</v>
      </c>
      <c r="T48" s="7" t="str">
        <f>_xll.RssMarket(A48,"出来高加重平均")</f>
        <v>表示銘柄数超過</v>
      </c>
      <c r="U48" s="4" t="e">
        <f t="shared" si="9"/>
        <v>#VALUE!</v>
      </c>
      <c r="V48" s="21" t="str">
        <f>_xll.RssMarket(A48,"出来高")</f>
        <v>表示銘柄数超過</v>
      </c>
      <c r="W48" s="21" t="str">
        <f>_xll.RssMarket(A48,"売買代金")</f>
        <v>表示銘柄数超過</v>
      </c>
      <c r="X48" s="20" t="str">
        <f>_xll.RssMarket(A48,"決算発表日")</f>
        <v>表示銘柄数超過</v>
      </c>
      <c r="Y48" s="26" t="str">
        <f>IF(C48&gt;_xll.RssMarket(A48,"年初来高値"),"○","×")</f>
        <v>×</v>
      </c>
      <c r="Z48" s="27" t="str">
        <f>IF(C48&lt;=_xll.RssMarket(A48,"年初来安値"),"○","×")</f>
        <v>○</v>
      </c>
    </row>
    <row r="49" spans="1:26" x14ac:dyDescent="0.25">
      <c r="A49" s="49">
        <v>1719</v>
      </c>
      <c r="B49" s="20" t="str">
        <f>_xll.RssMarket(A49,"銘柄名称")</f>
        <v>表示銘柄数超過</v>
      </c>
      <c r="C49" s="21" t="str">
        <f>_xll.RssMarket(A49,"現在値")</f>
        <v>表示銘柄数超過</v>
      </c>
      <c r="D49" s="20" t="str">
        <f>_xll.RssMarket(A49,"現在値詳細時刻")</f>
        <v>表示銘柄数超過</v>
      </c>
      <c r="E49" s="22" t="str">
        <f>_xll.RssMarket(A49,"前日比")</f>
        <v>表示銘柄数超過</v>
      </c>
      <c r="F49" s="23" t="e">
        <f>_xll.RssMarket(A49,"前日比率")/100</f>
        <v>#VALUE!</v>
      </c>
      <c r="G49" s="24" t="str">
        <f>IFERROR(VLOOKUP(A49,取得元!$A$2:$F$501,2,FALSE),"-")</f>
        <v>-</v>
      </c>
      <c r="H49" s="24" t="str">
        <f>IFERROR(VLOOKUP(A49,取得元!$A$2:$F$501,3,FALSE),"-")</f>
        <v>-</v>
      </c>
      <c r="I49" s="24" t="str">
        <f>IFERROR(VLOOKUP(A49,取得元!$A$2:$F$501,4,FALSE),"-")</f>
        <v>-</v>
      </c>
      <c r="J49" s="5" t="str">
        <f>IFERROR(VLOOKUP(A49,取得元!$A$2:$F$501,5,FALSE),"-")</f>
        <v>-</v>
      </c>
      <c r="K49" s="25" t="str">
        <f>IFERROR(VLOOKUP(A49,取得元!$A$2:$F$501,6,FALSE)/100,"-")</f>
        <v>-</v>
      </c>
      <c r="L49" s="21" t="str">
        <f>_xll.RssMarket(A49,"始値")</f>
        <v>表示銘柄数超過</v>
      </c>
      <c r="M49" s="4" t="e">
        <f t="shared" si="5"/>
        <v>#VALUE!</v>
      </c>
      <c r="N49" s="21" t="str">
        <f>_xll.RssMarket(A49,"高値")</f>
        <v>表示銘柄数超過</v>
      </c>
      <c r="O49" s="4" t="e">
        <f t="shared" si="6"/>
        <v>#VALUE!</v>
      </c>
      <c r="P49" s="21" t="str">
        <f>_xll.RssMarket(A49,"安値")</f>
        <v>表示銘柄数超過</v>
      </c>
      <c r="Q49" s="4" t="e">
        <f t="shared" si="7"/>
        <v>#VALUE!</v>
      </c>
      <c r="R49" s="21" t="str">
        <f>_xll.RssMarket(A49,"後場始値")</f>
        <v>表示銘柄数超過</v>
      </c>
      <c r="S49" s="25" t="str">
        <f t="shared" si="8"/>
        <v>-</v>
      </c>
      <c r="T49" s="7" t="str">
        <f>_xll.RssMarket(A49,"出来高加重平均")</f>
        <v>表示銘柄数超過</v>
      </c>
      <c r="U49" s="4" t="e">
        <f t="shared" si="9"/>
        <v>#VALUE!</v>
      </c>
      <c r="V49" s="21" t="str">
        <f>_xll.RssMarket(A49,"出来高")</f>
        <v>表示銘柄数超過</v>
      </c>
      <c r="W49" s="21" t="str">
        <f>_xll.RssMarket(A49,"売買代金")</f>
        <v>表示銘柄数超過</v>
      </c>
      <c r="X49" s="20" t="str">
        <f>_xll.RssMarket(A49,"決算発表日")</f>
        <v>表示銘柄数超過</v>
      </c>
      <c r="Y49" s="26" t="str">
        <f>IF(C49&gt;_xll.RssMarket(A49,"年初来高値"),"○","×")</f>
        <v>×</v>
      </c>
      <c r="Z49" s="27" t="str">
        <f>IF(C49&lt;=_xll.RssMarket(A49,"年初来安値"),"○","×")</f>
        <v>○</v>
      </c>
    </row>
    <row r="50" spans="1:26" x14ac:dyDescent="0.25">
      <c r="A50" s="47">
        <v>1720</v>
      </c>
      <c r="B50" s="20" t="str">
        <f>_xll.RssMarket(A50,"銘柄名称")</f>
        <v>表示銘柄数超過</v>
      </c>
      <c r="C50" s="21" t="str">
        <f>_xll.RssMarket(A50,"現在値")</f>
        <v>表示銘柄数超過</v>
      </c>
      <c r="D50" s="20" t="str">
        <f>_xll.RssMarket(A50,"現在値詳細時刻")</f>
        <v>表示銘柄数超過</v>
      </c>
      <c r="E50" s="22" t="str">
        <f>_xll.RssMarket(A50,"前日比")</f>
        <v>表示銘柄数超過</v>
      </c>
      <c r="F50" s="23" t="e">
        <f>_xll.RssMarket(A50,"前日比率")/100</f>
        <v>#VALUE!</v>
      </c>
      <c r="G50" s="24" t="str">
        <f>IFERROR(VLOOKUP(A50,取得元!$A$2:$F$501,2,FALSE),"-")</f>
        <v>-</v>
      </c>
      <c r="H50" s="24" t="str">
        <f>IFERROR(VLOOKUP(A50,取得元!$A$2:$F$501,3,FALSE),"-")</f>
        <v>-</v>
      </c>
      <c r="I50" s="24" t="str">
        <f>IFERROR(VLOOKUP(A50,取得元!$A$2:$F$501,4,FALSE),"-")</f>
        <v>-</v>
      </c>
      <c r="J50" s="5" t="str">
        <f>IFERROR(VLOOKUP(A50,取得元!$A$2:$F$501,5,FALSE),"-")</f>
        <v>-</v>
      </c>
      <c r="K50" s="25" t="str">
        <f>IFERROR(VLOOKUP(A50,取得元!$A$2:$F$501,6,FALSE)/100,"-")</f>
        <v>-</v>
      </c>
      <c r="L50" s="21" t="str">
        <f>_xll.RssMarket(A50,"始値")</f>
        <v>表示銘柄数超過</v>
      </c>
      <c r="M50" s="4" t="e">
        <f t="shared" si="5"/>
        <v>#VALUE!</v>
      </c>
      <c r="N50" s="21" t="str">
        <f>_xll.RssMarket(A50,"高値")</f>
        <v>表示銘柄数超過</v>
      </c>
      <c r="O50" s="4" t="e">
        <f t="shared" si="6"/>
        <v>#VALUE!</v>
      </c>
      <c r="P50" s="21" t="str">
        <f>_xll.RssMarket(A50,"安値")</f>
        <v>表示銘柄数超過</v>
      </c>
      <c r="Q50" s="4" t="e">
        <f t="shared" si="7"/>
        <v>#VALUE!</v>
      </c>
      <c r="R50" s="21" t="str">
        <f>_xll.RssMarket(A50,"後場始値")</f>
        <v>表示銘柄数超過</v>
      </c>
      <c r="S50" s="25" t="str">
        <f t="shared" si="8"/>
        <v>-</v>
      </c>
      <c r="T50" s="7" t="str">
        <f>_xll.RssMarket(A50,"出来高加重平均")</f>
        <v>表示銘柄数超過</v>
      </c>
      <c r="U50" s="4" t="e">
        <f t="shared" si="9"/>
        <v>#VALUE!</v>
      </c>
      <c r="V50" s="21" t="str">
        <f>_xll.RssMarket(A50,"出来高")</f>
        <v>表示銘柄数超過</v>
      </c>
      <c r="W50" s="21" t="str">
        <f>_xll.RssMarket(A50,"売買代金")</f>
        <v>表示銘柄数超過</v>
      </c>
      <c r="X50" s="20" t="str">
        <f>_xll.RssMarket(A50,"決算発表日")</f>
        <v>表示銘柄数超過</v>
      </c>
      <c r="Y50" s="26" t="str">
        <f>IF(C50&gt;_xll.RssMarket(A50,"年初来高値"),"○","×")</f>
        <v>×</v>
      </c>
      <c r="Z50" s="27" t="str">
        <f>IF(C50&lt;=_xll.RssMarket(A50,"年初来安値"),"○","×")</f>
        <v>○</v>
      </c>
    </row>
    <row r="51" spans="1:26" x14ac:dyDescent="0.25">
      <c r="A51" s="49">
        <v>1721</v>
      </c>
      <c r="B51" s="20" t="str">
        <f>_xll.RssMarket(A51,"銘柄名称")</f>
        <v>表示銘柄数超過</v>
      </c>
      <c r="C51" s="21" t="str">
        <f>_xll.RssMarket(A51,"現在値")</f>
        <v>表示銘柄数超過</v>
      </c>
      <c r="D51" s="20" t="str">
        <f>_xll.RssMarket(A51,"現在値詳細時刻")</f>
        <v>表示銘柄数超過</v>
      </c>
      <c r="E51" s="22" t="str">
        <f>_xll.RssMarket(A51,"前日比")</f>
        <v>表示銘柄数超過</v>
      </c>
      <c r="F51" s="23" t="e">
        <f>_xll.RssMarket(A51,"前日比率")/100</f>
        <v>#VALUE!</v>
      </c>
      <c r="G51" s="24" t="str">
        <f>IFERROR(VLOOKUP(A51,取得元!$A$2:$F$501,2,FALSE),"-")</f>
        <v>-</v>
      </c>
      <c r="H51" s="24" t="str">
        <f>IFERROR(VLOOKUP(A51,取得元!$A$2:$F$501,3,FALSE),"-")</f>
        <v>-</v>
      </c>
      <c r="I51" s="24" t="str">
        <f>IFERROR(VLOOKUP(A51,取得元!$A$2:$F$501,4,FALSE),"-")</f>
        <v>-</v>
      </c>
      <c r="J51" s="5" t="str">
        <f>IFERROR(VLOOKUP(A51,取得元!$A$2:$F$501,5,FALSE),"-")</f>
        <v>-</v>
      </c>
      <c r="K51" s="25" t="str">
        <f>IFERROR(VLOOKUP(A51,取得元!$A$2:$F$501,6,FALSE)/100,"-")</f>
        <v>-</v>
      </c>
      <c r="L51" s="21" t="str">
        <f>_xll.RssMarket(A51,"始値")</f>
        <v>表示銘柄数超過</v>
      </c>
      <c r="M51" s="4" t="e">
        <f t="shared" si="5"/>
        <v>#VALUE!</v>
      </c>
      <c r="N51" s="21" t="str">
        <f>_xll.RssMarket(A51,"高値")</f>
        <v>表示銘柄数超過</v>
      </c>
      <c r="O51" s="4" t="e">
        <f t="shared" si="6"/>
        <v>#VALUE!</v>
      </c>
      <c r="P51" s="21" t="str">
        <f>_xll.RssMarket(A51,"安値")</f>
        <v>表示銘柄数超過</v>
      </c>
      <c r="Q51" s="4" t="e">
        <f t="shared" si="7"/>
        <v>#VALUE!</v>
      </c>
      <c r="R51" s="21" t="str">
        <f>_xll.RssMarket(A51,"後場始値")</f>
        <v>表示銘柄数超過</v>
      </c>
      <c r="S51" s="25" t="str">
        <f t="shared" si="8"/>
        <v>-</v>
      </c>
      <c r="T51" s="7" t="str">
        <f>_xll.RssMarket(A51,"出来高加重平均")</f>
        <v>表示銘柄数超過</v>
      </c>
      <c r="U51" s="4" t="e">
        <f t="shared" si="9"/>
        <v>#VALUE!</v>
      </c>
      <c r="V51" s="21" t="str">
        <f>_xll.RssMarket(A51,"出来高")</f>
        <v>表示銘柄数超過</v>
      </c>
      <c r="W51" s="21" t="str">
        <f>_xll.RssMarket(A51,"売買代金")</f>
        <v>表示銘柄数超過</v>
      </c>
      <c r="X51" s="20" t="str">
        <f>_xll.RssMarket(A51,"決算発表日")</f>
        <v>表示銘柄数超過</v>
      </c>
      <c r="Y51" s="26" t="str">
        <f>IF(C51&gt;_xll.RssMarket(A51,"年初来高値"),"○","×")</f>
        <v>×</v>
      </c>
      <c r="Z51" s="27" t="str">
        <f>IF(C51&lt;=_xll.RssMarket(A51,"年初来安値"),"○","×")</f>
        <v>○</v>
      </c>
    </row>
    <row r="52" spans="1:26" x14ac:dyDescent="0.25">
      <c r="A52" s="47">
        <v>1730</v>
      </c>
      <c r="B52" s="20" t="str">
        <f>_xll.RssMarket(A52,"銘柄名称")</f>
        <v>表示銘柄数超過</v>
      </c>
      <c r="C52" s="21" t="str">
        <f>_xll.RssMarket(A52,"現在値")</f>
        <v>表示銘柄数超過</v>
      </c>
      <c r="D52" s="20" t="str">
        <f>_xll.RssMarket(A52,"現在値詳細時刻")</f>
        <v>表示銘柄数超過</v>
      </c>
      <c r="E52" s="22" t="str">
        <f>_xll.RssMarket(A52,"前日比")</f>
        <v>表示銘柄数超過</v>
      </c>
      <c r="F52" s="23" t="e">
        <f>_xll.RssMarket(A52,"前日比率")/100</f>
        <v>#VALUE!</v>
      </c>
      <c r="G52" s="24" t="str">
        <f>IFERROR(VLOOKUP(A52,取得元!$A$2:$F$501,2,FALSE),"-")</f>
        <v>-</v>
      </c>
      <c r="H52" s="24" t="str">
        <f>IFERROR(VLOOKUP(A52,取得元!$A$2:$F$501,3,FALSE),"-")</f>
        <v>-</v>
      </c>
      <c r="I52" s="24" t="str">
        <f>IFERROR(VLOOKUP(A52,取得元!$A$2:$F$501,4,FALSE),"-")</f>
        <v>-</v>
      </c>
      <c r="J52" s="5" t="str">
        <f>IFERROR(VLOOKUP(A52,取得元!$A$2:$F$501,5,FALSE),"-")</f>
        <v>-</v>
      </c>
      <c r="K52" s="25" t="str">
        <f>IFERROR(VLOOKUP(A52,取得元!$A$2:$F$501,6,FALSE)/100,"-")</f>
        <v>-</v>
      </c>
      <c r="L52" s="21" t="str">
        <f>_xll.RssMarket(A52,"始値")</f>
        <v>表示銘柄数超過</v>
      </c>
      <c r="M52" s="4" t="e">
        <f t="shared" si="5"/>
        <v>#VALUE!</v>
      </c>
      <c r="N52" s="21" t="str">
        <f>_xll.RssMarket(A52,"高値")</f>
        <v>表示銘柄数超過</v>
      </c>
      <c r="O52" s="4" t="e">
        <f t="shared" si="6"/>
        <v>#VALUE!</v>
      </c>
      <c r="P52" s="21" t="str">
        <f>_xll.RssMarket(A52,"安値")</f>
        <v>表示銘柄数超過</v>
      </c>
      <c r="Q52" s="4" t="e">
        <f t="shared" si="7"/>
        <v>#VALUE!</v>
      </c>
      <c r="R52" s="21" t="str">
        <f>_xll.RssMarket(A52,"後場始値")</f>
        <v>表示銘柄数超過</v>
      </c>
      <c r="S52" s="25" t="str">
        <f t="shared" si="8"/>
        <v>-</v>
      </c>
      <c r="T52" s="7" t="str">
        <f>_xll.RssMarket(A52,"出来高加重平均")</f>
        <v>表示銘柄数超過</v>
      </c>
      <c r="U52" s="4" t="e">
        <f t="shared" si="9"/>
        <v>#VALUE!</v>
      </c>
      <c r="V52" s="21" t="str">
        <f>_xll.RssMarket(A52,"出来高")</f>
        <v>表示銘柄数超過</v>
      </c>
      <c r="W52" s="21" t="str">
        <f>_xll.RssMarket(A52,"売買代金")</f>
        <v>表示銘柄数超過</v>
      </c>
      <c r="X52" s="20" t="str">
        <f>_xll.RssMarket(A52,"決算発表日")</f>
        <v>表示銘柄数超過</v>
      </c>
      <c r="Y52" s="26" t="str">
        <f>IF(C52&gt;_xll.RssMarket(A52,"年初来高値"),"○","×")</f>
        <v>×</v>
      </c>
      <c r="Z52" s="27" t="str">
        <f>IF(C52&lt;=_xll.RssMarket(A52,"年初来安値"),"○","×")</f>
        <v>○</v>
      </c>
    </row>
    <row r="53" spans="1:26" x14ac:dyDescent="0.25">
      <c r="A53" s="49">
        <v>1743</v>
      </c>
      <c r="B53" s="20" t="str">
        <f>_xll.RssMarket(A53,"銘柄名称")</f>
        <v>表示銘柄数超過</v>
      </c>
      <c r="C53" s="21" t="str">
        <f>_xll.RssMarket(A53,"現在値")</f>
        <v>表示銘柄数超過</v>
      </c>
      <c r="D53" s="20" t="str">
        <f>_xll.RssMarket(A53,"現在値詳細時刻")</f>
        <v>表示銘柄数超過</v>
      </c>
      <c r="E53" s="22" t="str">
        <f>_xll.RssMarket(A53,"前日比")</f>
        <v>表示銘柄数超過</v>
      </c>
      <c r="F53" s="23" t="e">
        <f>_xll.RssMarket(A53,"前日比率")/100</f>
        <v>#VALUE!</v>
      </c>
      <c r="G53" s="24" t="str">
        <f>IFERROR(VLOOKUP(A53,取得元!$A$2:$F$501,2,FALSE),"-")</f>
        <v>-</v>
      </c>
      <c r="H53" s="24" t="str">
        <f>IFERROR(VLOOKUP(A53,取得元!$A$2:$F$501,3,FALSE),"-")</f>
        <v>-</v>
      </c>
      <c r="I53" s="24" t="str">
        <f>IFERROR(VLOOKUP(A53,取得元!$A$2:$F$501,4,FALSE),"-")</f>
        <v>-</v>
      </c>
      <c r="J53" s="5" t="str">
        <f>IFERROR(VLOOKUP(A53,取得元!$A$2:$F$501,5,FALSE),"-")</f>
        <v>-</v>
      </c>
      <c r="K53" s="25" t="str">
        <f>IFERROR(VLOOKUP(A53,取得元!$A$2:$F$501,6,FALSE)/100,"-")</f>
        <v>-</v>
      </c>
      <c r="L53" s="21" t="str">
        <f>_xll.RssMarket(A53,"始値")</f>
        <v>表示銘柄数超過</v>
      </c>
      <c r="M53" s="4" t="e">
        <f t="shared" si="5"/>
        <v>#VALUE!</v>
      </c>
      <c r="N53" s="21" t="str">
        <f>_xll.RssMarket(A53,"高値")</f>
        <v>表示銘柄数超過</v>
      </c>
      <c r="O53" s="4" t="e">
        <f t="shared" si="6"/>
        <v>#VALUE!</v>
      </c>
      <c r="P53" s="21" t="str">
        <f>_xll.RssMarket(A53,"安値")</f>
        <v>表示銘柄数超過</v>
      </c>
      <c r="Q53" s="4" t="e">
        <f t="shared" si="7"/>
        <v>#VALUE!</v>
      </c>
      <c r="R53" s="21" t="str">
        <f>_xll.RssMarket(A53,"後場始値")</f>
        <v>表示銘柄数超過</v>
      </c>
      <c r="S53" s="25" t="str">
        <f t="shared" si="8"/>
        <v>-</v>
      </c>
      <c r="T53" s="7" t="str">
        <f>_xll.RssMarket(A53,"出来高加重平均")</f>
        <v>表示銘柄数超過</v>
      </c>
      <c r="U53" s="4" t="e">
        <f t="shared" si="9"/>
        <v>#VALUE!</v>
      </c>
      <c r="V53" s="21" t="str">
        <f>_xll.RssMarket(A53,"出来高")</f>
        <v>表示銘柄数超過</v>
      </c>
      <c r="W53" s="21" t="str">
        <f>_xll.RssMarket(A53,"売買代金")</f>
        <v>表示銘柄数超過</v>
      </c>
      <c r="X53" s="20" t="str">
        <f>_xll.RssMarket(A53,"決算発表日")</f>
        <v>表示銘柄数超過</v>
      </c>
      <c r="Y53" s="26" t="str">
        <f>IF(C53&gt;_xll.RssMarket(A53,"年初来高値"),"○","×")</f>
        <v>×</v>
      </c>
      <c r="Z53" s="27" t="str">
        <f>IF(C53&lt;=_xll.RssMarket(A53,"年初来安値"),"○","×")</f>
        <v>○</v>
      </c>
    </row>
    <row r="54" spans="1:26" x14ac:dyDescent="0.25">
      <c r="A54" s="47">
        <v>1757</v>
      </c>
      <c r="B54" s="20" t="str">
        <f>_xll.RssMarket(A54,"銘柄名称")</f>
        <v>表示銘柄数超過</v>
      </c>
      <c r="C54" s="21" t="str">
        <f>_xll.RssMarket(A54,"現在値")</f>
        <v>表示銘柄数超過</v>
      </c>
      <c r="D54" s="20" t="str">
        <f>_xll.RssMarket(A54,"現在値詳細時刻")</f>
        <v>表示銘柄数超過</v>
      </c>
      <c r="E54" s="22" t="str">
        <f>_xll.RssMarket(A54,"前日比")</f>
        <v>表示銘柄数超過</v>
      </c>
      <c r="F54" s="23" t="e">
        <f>_xll.RssMarket(A54,"前日比率")/100</f>
        <v>#VALUE!</v>
      </c>
      <c r="G54" s="24" t="str">
        <f>IFERROR(VLOOKUP(A54,取得元!$A$2:$F$501,2,FALSE),"-")</f>
        <v>-</v>
      </c>
      <c r="H54" s="24" t="str">
        <f>IFERROR(VLOOKUP(A54,取得元!$A$2:$F$501,3,FALSE),"-")</f>
        <v>-</v>
      </c>
      <c r="I54" s="24" t="str">
        <f>IFERROR(VLOOKUP(A54,取得元!$A$2:$F$501,4,FALSE),"-")</f>
        <v>-</v>
      </c>
      <c r="J54" s="5" t="str">
        <f>IFERROR(VLOOKUP(A54,取得元!$A$2:$F$501,5,FALSE),"-")</f>
        <v>-</v>
      </c>
      <c r="K54" s="25" t="str">
        <f>IFERROR(VLOOKUP(A54,取得元!$A$2:$F$501,6,FALSE)/100,"-")</f>
        <v>-</v>
      </c>
      <c r="L54" s="21" t="str">
        <f>_xll.RssMarket(A54,"始値")</f>
        <v>表示銘柄数超過</v>
      </c>
      <c r="M54" s="4" t="e">
        <f t="shared" si="5"/>
        <v>#VALUE!</v>
      </c>
      <c r="N54" s="21" t="str">
        <f>_xll.RssMarket(A54,"高値")</f>
        <v>表示銘柄数超過</v>
      </c>
      <c r="O54" s="4" t="e">
        <f t="shared" si="6"/>
        <v>#VALUE!</v>
      </c>
      <c r="P54" s="21" t="str">
        <f>_xll.RssMarket(A54,"安値")</f>
        <v>表示銘柄数超過</v>
      </c>
      <c r="Q54" s="4" t="e">
        <f t="shared" si="7"/>
        <v>#VALUE!</v>
      </c>
      <c r="R54" s="21" t="str">
        <f>_xll.RssMarket(A54,"後場始値")</f>
        <v>表示銘柄数超過</v>
      </c>
      <c r="S54" s="25" t="str">
        <f t="shared" si="8"/>
        <v>-</v>
      </c>
      <c r="T54" s="7" t="str">
        <f>_xll.RssMarket(A54,"出来高加重平均")</f>
        <v>表示銘柄数超過</v>
      </c>
      <c r="U54" s="4" t="e">
        <f t="shared" si="9"/>
        <v>#VALUE!</v>
      </c>
      <c r="V54" s="21" t="str">
        <f>_xll.RssMarket(A54,"出来高")</f>
        <v>表示銘柄数超過</v>
      </c>
      <c r="W54" s="21" t="str">
        <f>_xll.RssMarket(A54,"売買代金")</f>
        <v>表示銘柄数超過</v>
      </c>
      <c r="X54" s="20" t="str">
        <f>_xll.RssMarket(A54,"決算発表日")</f>
        <v>表示銘柄数超過</v>
      </c>
      <c r="Y54" s="26" t="str">
        <f>IF(C54&gt;_xll.RssMarket(A54,"年初来高値"),"○","×")</f>
        <v>×</v>
      </c>
      <c r="Z54" s="27" t="str">
        <f>IF(C54&lt;=_xll.RssMarket(A54,"年初来安値"),"○","×")</f>
        <v>○</v>
      </c>
    </row>
    <row r="55" spans="1:26" x14ac:dyDescent="0.25">
      <c r="A55" s="49">
        <v>1770</v>
      </c>
      <c r="B55" s="20" t="str">
        <f>_xll.RssMarket(A55,"銘柄名称")</f>
        <v>表示銘柄数超過</v>
      </c>
      <c r="C55" s="21" t="str">
        <f>_xll.RssMarket(A55,"現在値")</f>
        <v>表示銘柄数超過</v>
      </c>
      <c r="D55" s="20" t="str">
        <f>_xll.RssMarket(A55,"現在値詳細時刻")</f>
        <v>表示銘柄数超過</v>
      </c>
      <c r="E55" s="22" t="str">
        <f>_xll.RssMarket(A55,"前日比")</f>
        <v>表示銘柄数超過</v>
      </c>
      <c r="F55" s="23" t="e">
        <f>_xll.RssMarket(A55,"前日比率")/100</f>
        <v>#VALUE!</v>
      </c>
      <c r="G55" s="24" t="str">
        <f>IFERROR(VLOOKUP(A55,取得元!$A$2:$F$501,2,FALSE),"-")</f>
        <v>-</v>
      </c>
      <c r="H55" s="24" t="str">
        <f>IFERROR(VLOOKUP(A55,取得元!$A$2:$F$501,3,FALSE),"-")</f>
        <v>-</v>
      </c>
      <c r="I55" s="24" t="str">
        <f>IFERROR(VLOOKUP(A55,取得元!$A$2:$F$501,4,FALSE),"-")</f>
        <v>-</v>
      </c>
      <c r="J55" s="5" t="str">
        <f>IFERROR(VLOOKUP(A55,取得元!$A$2:$F$501,5,FALSE),"-")</f>
        <v>-</v>
      </c>
      <c r="K55" s="25" t="str">
        <f>IFERROR(VLOOKUP(A55,取得元!$A$2:$F$501,6,FALSE)/100,"-")</f>
        <v>-</v>
      </c>
      <c r="L55" s="21" t="str">
        <f>_xll.RssMarket(A55,"始値")</f>
        <v>表示銘柄数超過</v>
      </c>
      <c r="M55" s="4" t="e">
        <f t="shared" si="5"/>
        <v>#VALUE!</v>
      </c>
      <c r="N55" s="21" t="str">
        <f>_xll.RssMarket(A55,"高値")</f>
        <v>表示銘柄数超過</v>
      </c>
      <c r="O55" s="4" t="e">
        <f t="shared" si="6"/>
        <v>#VALUE!</v>
      </c>
      <c r="P55" s="21" t="str">
        <f>_xll.RssMarket(A55,"安値")</f>
        <v>表示銘柄数超過</v>
      </c>
      <c r="Q55" s="4" t="e">
        <f t="shared" si="7"/>
        <v>#VALUE!</v>
      </c>
      <c r="R55" s="21" t="str">
        <f>_xll.RssMarket(A55,"後場始値")</f>
        <v>表示銘柄数超過</v>
      </c>
      <c r="S55" s="25" t="str">
        <f t="shared" si="8"/>
        <v>-</v>
      </c>
      <c r="T55" s="7" t="str">
        <f>_xll.RssMarket(A55,"出来高加重平均")</f>
        <v>表示銘柄数超過</v>
      </c>
      <c r="U55" s="4" t="e">
        <f t="shared" si="9"/>
        <v>#VALUE!</v>
      </c>
      <c r="V55" s="21" t="str">
        <f>_xll.RssMarket(A55,"出来高")</f>
        <v>表示銘柄数超過</v>
      </c>
      <c r="W55" s="21" t="str">
        <f>_xll.RssMarket(A55,"売買代金")</f>
        <v>表示銘柄数超過</v>
      </c>
      <c r="X55" s="20" t="str">
        <f>_xll.RssMarket(A55,"決算発表日")</f>
        <v>表示銘柄数超過</v>
      </c>
      <c r="Y55" s="26" t="str">
        <f>IF(C55&gt;_xll.RssMarket(A55,"年初来高値"),"○","×")</f>
        <v>×</v>
      </c>
      <c r="Z55" s="27" t="str">
        <f>IF(C55&lt;=_xll.RssMarket(A55,"年初来安値"),"○","×")</f>
        <v>○</v>
      </c>
    </row>
    <row r="56" spans="1:26" x14ac:dyDescent="0.25">
      <c r="A56" s="47">
        <v>1783</v>
      </c>
      <c r="B56" s="20" t="str">
        <f>_xll.RssMarket(A56,"銘柄名称")</f>
        <v>表示銘柄数超過</v>
      </c>
      <c r="C56" s="21" t="str">
        <f>_xll.RssMarket(A56,"現在値")</f>
        <v>表示銘柄数超過</v>
      </c>
      <c r="D56" s="20" t="str">
        <f>_xll.RssMarket(A56,"現在値詳細時刻")</f>
        <v>表示銘柄数超過</v>
      </c>
      <c r="E56" s="22" t="str">
        <f>_xll.RssMarket(A56,"前日比")</f>
        <v>表示銘柄数超過</v>
      </c>
      <c r="F56" s="23" t="e">
        <f>_xll.RssMarket(A56,"前日比率")/100</f>
        <v>#VALUE!</v>
      </c>
      <c r="G56" s="24" t="str">
        <f>IFERROR(VLOOKUP(A56,取得元!$A$2:$F$501,2,FALSE),"-")</f>
        <v>-</v>
      </c>
      <c r="H56" s="24" t="str">
        <f>IFERROR(VLOOKUP(A56,取得元!$A$2:$F$501,3,FALSE),"-")</f>
        <v>-</v>
      </c>
      <c r="I56" s="24" t="str">
        <f>IFERROR(VLOOKUP(A56,取得元!$A$2:$F$501,4,FALSE),"-")</f>
        <v>-</v>
      </c>
      <c r="J56" s="5" t="str">
        <f>IFERROR(VLOOKUP(A56,取得元!$A$2:$F$501,5,FALSE),"-")</f>
        <v>-</v>
      </c>
      <c r="K56" s="25" t="str">
        <f>IFERROR(VLOOKUP(A56,取得元!$A$2:$F$501,6,FALSE)/100,"-")</f>
        <v>-</v>
      </c>
      <c r="L56" s="21" t="str">
        <f>_xll.RssMarket(A56,"始値")</f>
        <v>表示銘柄数超過</v>
      </c>
      <c r="M56" s="4" t="e">
        <f t="shared" si="5"/>
        <v>#VALUE!</v>
      </c>
      <c r="N56" s="21" t="str">
        <f>_xll.RssMarket(A56,"高値")</f>
        <v>表示銘柄数超過</v>
      </c>
      <c r="O56" s="4" t="e">
        <f t="shared" si="6"/>
        <v>#VALUE!</v>
      </c>
      <c r="P56" s="21" t="str">
        <f>_xll.RssMarket(A56,"安値")</f>
        <v>表示銘柄数超過</v>
      </c>
      <c r="Q56" s="4" t="e">
        <f t="shared" si="7"/>
        <v>#VALUE!</v>
      </c>
      <c r="R56" s="21" t="str">
        <f>_xll.RssMarket(A56,"後場始値")</f>
        <v>表示銘柄数超過</v>
      </c>
      <c r="S56" s="25" t="str">
        <f t="shared" si="8"/>
        <v>-</v>
      </c>
      <c r="T56" s="7" t="str">
        <f>_xll.RssMarket(A56,"出来高加重平均")</f>
        <v>表示銘柄数超過</v>
      </c>
      <c r="U56" s="4" t="e">
        <f t="shared" si="9"/>
        <v>#VALUE!</v>
      </c>
      <c r="V56" s="21" t="str">
        <f>_xll.RssMarket(A56,"出来高")</f>
        <v>表示銘柄数超過</v>
      </c>
      <c r="W56" s="21" t="str">
        <f>_xll.RssMarket(A56,"売買代金")</f>
        <v>表示銘柄数超過</v>
      </c>
      <c r="X56" s="20" t="str">
        <f>_xll.RssMarket(A56,"決算発表日")</f>
        <v>表示銘柄数超過</v>
      </c>
      <c r="Y56" s="26" t="str">
        <f>IF(C56&gt;_xll.RssMarket(A56,"年初来高値"),"○","×")</f>
        <v>×</v>
      </c>
      <c r="Z56" s="27" t="str">
        <f>IF(C56&lt;=_xll.RssMarket(A56,"年初来安値"),"○","×")</f>
        <v>○</v>
      </c>
    </row>
    <row r="57" spans="1:26" x14ac:dyDescent="0.25">
      <c r="A57" s="49">
        <v>1802</v>
      </c>
      <c r="B57" s="20" t="str">
        <f>_xll.RssMarket(A57,"銘柄名称")</f>
        <v>表示銘柄数超過</v>
      </c>
      <c r="C57" s="21" t="str">
        <f>_xll.RssMarket(A57,"現在値")</f>
        <v>表示銘柄数超過</v>
      </c>
      <c r="D57" s="20" t="str">
        <f>_xll.RssMarket(A57,"現在値詳細時刻")</f>
        <v>表示銘柄数超過</v>
      </c>
      <c r="E57" s="22" t="str">
        <f>_xll.RssMarket(A57,"前日比")</f>
        <v>表示銘柄数超過</v>
      </c>
      <c r="F57" s="23" t="e">
        <f>_xll.RssMarket(A57,"前日比率")/100</f>
        <v>#VALUE!</v>
      </c>
      <c r="G57" s="24" t="str">
        <f>IFERROR(VLOOKUP(A57,取得元!$A$2:$F$501,2,FALSE),"-")</f>
        <v>-</v>
      </c>
      <c r="H57" s="24" t="str">
        <f>IFERROR(VLOOKUP(A57,取得元!$A$2:$F$501,3,FALSE),"-")</f>
        <v>-</v>
      </c>
      <c r="I57" s="24" t="str">
        <f>IFERROR(VLOOKUP(A57,取得元!$A$2:$F$501,4,FALSE),"-")</f>
        <v>-</v>
      </c>
      <c r="J57" s="5" t="str">
        <f>IFERROR(VLOOKUP(A57,取得元!$A$2:$F$501,5,FALSE),"-")</f>
        <v>-</v>
      </c>
      <c r="K57" s="25" t="str">
        <f>IFERROR(VLOOKUP(A57,取得元!$A$2:$F$501,6,FALSE)/100,"-")</f>
        <v>-</v>
      </c>
      <c r="L57" s="21" t="str">
        <f>_xll.RssMarket(A57,"始値")</f>
        <v>表示銘柄数超過</v>
      </c>
      <c r="M57" s="4" t="e">
        <f t="shared" si="5"/>
        <v>#VALUE!</v>
      </c>
      <c r="N57" s="21" t="str">
        <f>_xll.RssMarket(A57,"高値")</f>
        <v>表示銘柄数超過</v>
      </c>
      <c r="O57" s="4" t="e">
        <f t="shared" si="6"/>
        <v>#VALUE!</v>
      </c>
      <c r="P57" s="21" t="str">
        <f>_xll.RssMarket(A57,"安値")</f>
        <v>表示銘柄数超過</v>
      </c>
      <c r="Q57" s="4" t="e">
        <f t="shared" si="7"/>
        <v>#VALUE!</v>
      </c>
      <c r="R57" s="21" t="str">
        <f>_xll.RssMarket(A57,"後場始値")</f>
        <v>表示銘柄数超過</v>
      </c>
      <c r="S57" s="25" t="str">
        <f t="shared" si="8"/>
        <v>-</v>
      </c>
      <c r="T57" s="7" t="str">
        <f>_xll.RssMarket(A57,"出来高加重平均")</f>
        <v>表示銘柄数超過</v>
      </c>
      <c r="U57" s="4" t="e">
        <f t="shared" si="9"/>
        <v>#VALUE!</v>
      </c>
      <c r="V57" s="21" t="str">
        <f>_xll.RssMarket(A57,"出来高")</f>
        <v>表示銘柄数超過</v>
      </c>
      <c r="W57" s="21" t="str">
        <f>_xll.RssMarket(A57,"売買代金")</f>
        <v>表示銘柄数超過</v>
      </c>
      <c r="X57" s="20" t="str">
        <f>_xll.RssMarket(A57,"決算発表日")</f>
        <v>表示銘柄数超過</v>
      </c>
      <c r="Y57" s="26" t="str">
        <f>IF(C57&gt;_xll.RssMarket(A57,"年初来高値"),"○","×")</f>
        <v>×</v>
      </c>
      <c r="Z57" s="27" t="str">
        <f>IF(C57&lt;=_xll.RssMarket(A57,"年初来安値"),"○","×")</f>
        <v>○</v>
      </c>
    </row>
    <row r="58" spans="1:26" x14ac:dyDescent="0.25">
      <c r="A58" s="47">
        <v>1803</v>
      </c>
      <c r="B58" s="20" t="str">
        <f>_xll.RssMarket(A58,"銘柄名称")</f>
        <v>表示銘柄数超過</v>
      </c>
      <c r="C58" s="21" t="str">
        <f>_xll.RssMarket(A58,"現在値")</f>
        <v>表示銘柄数超過</v>
      </c>
      <c r="D58" s="20" t="str">
        <f>_xll.RssMarket(A58,"現在値詳細時刻")</f>
        <v>表示銘柄数超過</v>
      </c>
      <c r="E58" s="22" t="str">
        <f>_xll.RssMarket(A58,"前日比")</f>
        <v>表示銘柄数超過</v>
      </c>
      <c r="F58" s="23" t="e">
        <f>_xll.RssMarket(A58,"前日比率")/100</f>
        <v>#VALUE!</v>
      </c>
      <c r="G58" s="24" t="str">
        <f>IFERROR(VLOOKUP(A58,取得元!$A$2:$F$501,2,FALSE),"-")</f>
        <v>-</v>
      </c>
      <c r="H58" s="24" t="str">
        <f>IFERROR(VLOOKUP(A58,取得元!$A$2:$F$501,3,FALSE),"-")</f>
        <v>-</v>
      </c>
      <c r="I58" s="24" t="str">
        <f>IFERROR(VLOOKUP(A58,取得元!$A$2:$F$501,4,FALSE),"-")</f>
        <v>-</v>
      </c>
      <c r="J58" s="5" t="str">
        <f>IFERROR(VLOOKUP(A58,取得元!$A$2:$F$501,5,FALSE),"-")</f>
        <v>-</v>
      </c>
      <c r="K58" s="25" t="str">
        <f>IFERROR(VLOOKUP(A58,取得元!$A$2:$F$501,6,FALSE)/100,"-")</f>
        <v>-</v>
      </c>
      <c r="L58" s="21" t="str">
        <f>_xll.RssMarket(A58,"始値")</f>
        <v>表示銘柄数超過</v>
      </c>
      <c r="M58" s="4" t="e">
        <f t="shared" si="5"/>
        <v>#VALUE!</v>
      </c>
      <c r="N58" s="21" t="str">
        <f>_xll.RssMarket(A58,"高値")</f>
        <v>表示銘柄数超過</v>
      </c>
      <c r="O58" s="4" t="e">
        <f t="shared" si="6"/>
        <v>#VALUE!</v>
      </c>
      <c r="P58" s="21" t="str">
        <f>_xll.RssMarket(A58,"安値")</f>
        <v>表示銘柄数超過</v>
      </c>
      <c r="Q58" s="4" t="e">
        <f t="shared" si="7"/>
        <v>#VALUE!</v>
      </c>
      <c r="R58" s="21" t="str">
        <f>_xll.RssMarket(A58,"後場始値")</f>
        <v>表示銘柄数超過</v>
      </c>
      <c r="S58" s="25" t="str">
        <f t="shared" si="8"/>
        <v>-</v>
      </c>
      <c r="T58" s="7" t="str">
        <f>_xll.RssMarket(A58,"出来高加重平均")</f>
        <v>表示銘柄数超過</v>
      </c>
      <c r="U58" s="4" t="e">
        <f t="shared" si="9"/>
        <v>#VALUE!</v>
      </c>
      <c r="V58" s="21" t="str">
        <f>_xll.RssMarket(A58,"出来高")</f>
        <v>表示銘柄数超過</v>
      </c>
      <c r="W58" s="21" t="str">
        <f>_xll.RssMarket(A58,"売買代金")</f>
        <v>表示銘柄数超過</v>
      </c>
      <c r="X58" s="20" t="str">
        <f>_xll.RssMarket(A58,"決算発表日")</f>
        <v>表示銘柄数超過</v>
      </c>
      <c r="Y58" s="26" t="str">
        <f>IF(C58&gt;_xll.RssMarket(A58,"年初来高値"),"○","×")</f>
        <v>×</v>
      </c>
      <c r="Z58" s="27" t="str">
        <f>IF(C58&lt;=_xll.RssMarket(A58,"年初来安値"),"○","×")</f>
        <v>○</v>
      </c>
    </row>
    <row r="59" spans="1:26" x14ac:dyDescent="0.25">
      <c r="A59" s="49">
        <v>1805</v>
      </c>
      <c r="B59" s="20" t="str">
        <f>_xll.RssMarket(A59,"銘柄名称")</f>
        <v>表示銘柄数超過</v>
      </c>
      <c r="C59" s="21" t="str">
        <f>_xll.RssMarket(A59,"現在値")</f>
        <v>表示銘柄数超過</v>
      </c>
      <c r="D59" s="20" t="str">
        <f>_xll.RssMarket(A59,"現在値詳細時刻")</f>
        <v>表示銘柄数超過</v>
      </c>
      <c r="E59" s="22" t="str">
        <f>_xll.RssMarket(A59,"前日比")</f>
        <v>表示銘柄数超過</v>
      </c>
      <c r="F59" s="23" t="e">
        <f>_xll.RssMarket(A59,"前日比率")/100</f>
        <v>#VALUE!</v>
      </c>
      <c r="G59" s="24" t="str">
        <f>IFERROR(VLOOKUP(A59,取得元!$A$2:$F$501,2,FALSE),"-")</f>
        <v>-</v>
      </c>
      <c r="H59" s="24" t="str">
        <f>IFERROR(VLOOKUP(A59,取得元!$A$2:$F$501,3,FALSE),"-")</f>
        <v>-</v>
      </c>
      <c r="I59" s="24" t="str">
        <f>IFERROR(VLOOKUP(A59,取得元!$A$2:$F$501,4,FALSE),"-")</f>
        <v>-</v>
      </c>
      <c r="J59" s="5" t="str">
        <f>IFERROR(VLOOKUP(A59,取得元!$A$2:$F$501,5,FALSE),"-")</f>
        <v>-</v>
      </c>
      <c r="K59" s="25" t="str">
        <f>IFERROR(VLOOKUP(A59,取得元!$A$2:$F$501,6,FALSE)/100,"-")</f>
        <v>-</v>
      </c>
      <c r="L59" s="21" t="str">
        <f>_xll.RssMarket(A59,"始値")</f>
        <v>表示銘柄数超過</v>
      </c>
      <c r="M59" s="4" t="e">
        <f t="shared" si="5"/>
        <v>#VALUE!</v>
      </c>
      <c r="N59" s="21" t="str">
        <f>_xll.RssMarket(A59,"高値")</f>
        <v>表示銘柄数超過</v>
      </c>
      <c r="O59" s="4" t="e">
        <f t="shared" si="6"/>
        <v>#VALUE!</v>
      </c>
      <c r="P59" s="21" t="str">
        <f>_xll.RssMarket(A59,"安値")</f>
        <v>表示銘柄数超過</v>
      </c>
      <c r="Q59" s="4" t="e">
        <f t="shared" si="7"/>
        <v>#VALUE!</v>
      </c>
      <c r="R59" s="21" t="str">
        <f>_xll.RssMarket(A59,"後場始値")</f>
        <v>表示銘柄数超過</v>
      </c>
      <c r="S59" s="25" t="str">
        <f t="shared" si="8"/>
        <v>-</v>
      </c>
      <c r="T59" s="7" t="str">
        <f>_xll.RssMarket(A59,"出来高加重平均")</f>
        <v>表示銘柄数超過</v>
      </c>
      <c r="U59" s="4" t="e">
        <f t="shared" si="9"/>
        <v>#VALUE!</v>
      </c>
      <c r="V59" s="21" t="str">
        <f>_xll.RssMarket(A59,"出来高")</f>
        <v>表示銘柄数超過</v>
      </c>
      <c r="W59" s="21" t="str">
        <f>_xll.RssMarket(A59,"売買代金")</f>
        <v>表示銘柄数超過</v>
      </c>
      <c r="X59" s="20" t="str">
        <f>_xll.RssMarket(A59,"決算発表日")</f>
        <v>表示銘柄数超過</v>
      </c>
      <c r="Y59" s="26" t="str">
        <f>IF(C59&gt;_xll.RssMarket(A59,"年初来高値"),"○","×")</f>
        <v>×</v>
      </c>
      <c r="Z59" s="27" t="str">
        <f>IF(C59&lt;=_xll.RssMarket(A59,"年初来安値"),"○","×")</f>
        <v>○</v>
      </c>
    </row>
    <row r="60" spans="1:26" x14ac:dyDescent="0.25">
      <c r="A60" s="47">
        <v>1812</v>
      </c>
      <c r="B60" s="20" t="str">
        <f>_xll.RssMarket(A60,"銘柄名称")</f>
        <v>表示銘柄数超過</v>
      </c>
      <c r="C60" s="21" t="str">
        <f>_xll.RssMarket(A60,"現在値")</f>
        <v>表示銘柄数超過</v>
      </c>
      <c r="D60" s="20" t="str">
        <f>_xll.RssMarket(A60,"現在値詳細時刻")</f>
        <v>表示銘柄数超過</v>
      </c>
      <c r="E60" s="22" t="str">
        <f>_xll.RssMarket(A60,"前日比")</f>
        <v>表示銘柄数超過</v>
      </c>
      <c r="F60" s="23" t="e">
        <f>_xll.RssMarket(A60,"前日比率")/100</f>
        <v>#VALUE!</v>
      </c>
      <c r="G60" s="24" t="str">
        <f>IFERROR(VLOOKUP(A60,取得元!$A$2:$F$501,2,FALSE),"-")</f>
        <v>-</v>
      </c>
      <c r="H60" s="24" t="str">
        <f>IFERROR(VLOOKUP(A60,取得元!$A$2:$F$501,3,FALSE),"-")</f>
        <v>-</v>
      </c>
      <c r="I60" s="24" t="str">
        <f>IFERROR(VLOOKUP(A60,取得元!$A$2:$F$501,4,FALSE),"-")</f>
        <v>-</v>
      </c>
      <c r="J60" s="5" t="str">
        <f>IFERROR(VLOOKUP(A60,取得元!$A$2:$F$501,5,FALSE),"-")</f>
        <v>-</v>
      </c>
      <c r="K60" s="25" t="str">
        <f>IFERROR(VLOOKUP(A60,取得元!$A$2:$F$501,6,FALSE)/100,"-")</f>
        <v>-</v>
      </c>
      <c r="L60" s="21" t="str">
        <f>_xll.RssMarket(A60,"始値")</f>
        <v>表示銘柄数超過</v>
      </c>
      <c r="M60" s="4" t="e">
        <f t="shared" si="5"/>
        <v>#VALUE!</v>
      </c>
      <c r="N60" s="21" t="str">
        <f>_xll.RssMarket(A60,"高値")</f>
        <v>表示銘柄数超過</v>
      </c>
      <c r="O60" s="4" t="e">
        <f t="shared" si="6"/>
        <v>#VALUE!</v>
      </c>
      <c r="P60" s="21" t="str">
        <f>_xll.RssMarket(A60,"安値")</f>
        <v>表示銘柄数超過</v>
      </c>
      <c r="Q60" s="4" t="e">
        <f t="shared" si="7"/>
        <v>#VALUE!</v>
      </c>
      <c r="R60" s="21" t="str">
        <f>_xll.RssMarket(A60,"後場始値")</f>
        <v>表示銘柄数超過</v>
      </c>
      <c r="S60" s="25" t="str">
        <f t="shared" si="8"/>
        <v>-</v>
      </c>
      <c r="T60" s="7" t="str">
        <f>_xll.RssMarket(A60,"出来高加重平均")</f>
        <v>表示銘柄数超過</v>
      </c>
      <c r="U60" s="4" t="e">
        <f t="shared" si="9"/>
        <v>#VALUE!</v>
      </c>
      <c r="V60" s="21" t="str">
        <f>_xll.RssMarket(A60,"出来高")</f>
        <v>表示銘柄数超過</v>
      </c>
      <c r="W60" s="21" t="str">
        <f>_xll.RssMarket(A60,"売買代金")</f>
        <v>表示銘柄数超過</v>
      </c>
      <c r="X60" s="20" t="str">
        <f>_xll.RssMarket(A60,"決算発表日")</f>
        <v>表示銘柄数超過</v>
      </c>
      <c r="Y60" s="26" t="str">
        <f>IF(C60&gt;_xll.RssMarket(A60,"年初来高値"),"○","×")</f>
        <v>×</v>
      </c>
      <c r="Z60" s="27" t="str">
        <f>IF(C60&lt;=_xll.RssMarket(A60,"年初来安値"),"○","×")</f>
        <v>○</v>
      </c>
    </row>
    <row r="61" spans="1:26" x14ac:dyDescent="0.25">
      <c r="A61" s="49">
        <v>1815</v>
      </c>
      <c r="B61" s="20" t="str">
        <f>_xll.RssMarket(A61,"銘柄名称")</f>
        <v>表示銘柄数超過</v>
      </c>
      <c r="C61" s="21" t="str">
        <f>_xll.RssMarket(A61,"現在値")</f>
        <v>表示銘柄数超過</v>
      </c>
      <c r="D61" s="20" t="str">
        <f>_xll.RssMarket(A61,"現在値詳細時刻")</f>
        <v>表示銘柄数超過</v>
      </c>
      <c r="E61" s="22" t="str">
        <f>_xll.RssMarket(A61,"前日比")</f>
        <v>表示銘柄数超過</v>
      </c>
      <c r="F61" s="23" t="e">
        <f>_xll.RssMarket(A61,"前日比率")/100</f>
        <v>#VALUE!</v>
      </c>
      <c r="G61" s="24" t="str">
        <f>IFERROR(VLOOKUP(A61,取得元!$A$2:$F$501,2,FALSE),"-")</f>
        <v>-</v>
      </c>
      <c r="H61" s="24" t="str">
        <f>IFERROR(VLOOKUP(A61,取得元!$A$2:$F$501,3,FALSE),"-")</f>
        <v>-</v>
      </c>
      <c r="I61" s="24" t="str">
        <f>IFERROR(VLOOKUP(A61,取得元!$A$2:$F$501,4,FALSE),"-")</f>
        <v>-</v>
      </c>
      <c r="J61" s="5" t="str">
        <f>IFERROR(VLOOKUP(A61,取得元!$A$2:$F$501,5,FALSE),"-")</f>
        <v>-</v>
      </c>
      <c r="K61" s="25" t="str">
        <f>IFERROR(VLOOKUP(A61,取得元!$A$2:$F$501,6,FALSE)/100,"-")</f>
        <v>-</v>
      </c>
      <c r="L61" s="21" t="str">
        <f>_xll.RssMarket(A61,"始値")</f>
        <v>表示銘柄数超過</v>
      </c>
      <c r="M61" s="4" t="e">
        <f t="shared" si="5"/>
        <v>#VALUE!</v>
      </c>
      <c r="N61" s="21" t="str">
        <f>_xll.RssMarket(A61,"高値")</f>
        <v>表示銘柄数超過</v>
      </c>
      <c r="O61" s="4" t="e">
        <f t="shared" si="6"/>
        <v>#VALUE!</v>
      </c>
      <c r="P61" s="21" t="str">
        <f>_xll.RssMarket(A61,"安値")</f>
        <v>表示銘柄数超過</v>
      </c>
      <c r="Q61" s="4" t="e">
        <f t="shared" si="7"/>
        <v>#VALUE!</v>
      </c>
      <c r="R61" s="21" t="str">
        <f>_xll.RssMarket(A61,"後場始値")</f>
        <v>表示銘柄数超過</v>
      </c>
      <c r="S61" s="25" t="str">
        <f t="shared" si="8"/>
        <v>-</v>
      </c>
      <c r="T61" s="7" t="str">
        <f>_xll.RssMarket(A61,"出来高加重平均")</f>
        <v>表示銘柄数超過</v>
      </c>
      <c r="U61" s="4" t="e">
        <f t="shared" si="9"/>
        <v>#VALUE!</v>
      </c>
      <c r="V61" s="21" t="str">
        <f>_xll.RssMarket(A61,"出来高")</f>
        <v>表示銘柄数超過</v>
      </c>
      <c r="W61" s="21" t="str">
        <f>_xll.RssMarket(A61,"売買代金")</f>
        <v>表示銘柄数超過</v>
      </c>
      <c r="X61" s="20" t="str">
        <f>_xll.RssMarket(A61,"決算発表日")</f>
        <v>表示銘柄数超過</v>
      </c>
      <c r="Y61" s="26" t="str">
        <f>IF(C61&gt;_xll.RssMarket(A61,"年初来高値"),"○","×")</f>
        <v>×</v>
      </c>
      <c r="Z61" s="27" t="str">
        <f>IF(C61&lt;=_xll.RssMarket(A61,"年初来安値"),"○","×")</f>
        <v>○</v>
      </c>
    </row>
    <row r="62" spans="1:26" x14ac:dyDescent="0.25">
      <c r="A62" s="47">
        <v>1821</v>
      </c>
      <c r="B62" s="20" t="str">
        <f>_xll.RssMarket(A62,"銘柄名称")</f>
        <v>表示銘柄数超過</v>
      </c>
      <c r="C62" s="21" t="str">
        <f>_xll.RssMarket(A62,"現在値")</f>
        <v>表示銘柄数超過</v>
      </c>
      <c r="D62" s="20" t="str">
        <f>_xll.RssMarket(A62,"現在値詳細時刻")</f>
        <v>表示銘柄数超過</v>
      </c>
      <c r="E62" s="22" t="str">
        <f>_xll.RssMarket(A62,"前日比")</f>
        <v>表示銘柄数超過</v>
      </c>
      <c r="F62" s="23" t="e">
        <f>_xll.RssMarket(A62,"前日比率")/100</f>
        <v>#VALUE!</v>
      </c>
      <c r="G62" s="24" t="str">
        <f>IFERROR(VLOOKUP(A62,取得元!$A$2:$F$501,2,FALSE),"-")</f>
        <v>-</v>
      </c>
      <c r="H62" s="24" t="str">
        <f>IFERROR(VLOOKUP(A62,取得元!$A$2:$F$501,3,FALSE),"-")</f>
        <v>-</v>
      </c>
      <c r="I62" s="24" t="str">
        <f>IFERROR(VLOOKUP(A62,取得元!$A$2:$F$501,4,FALSE),"-")</f>
        <v>-</v>
      </c>
      <c r="J62" s="5" t="str">
        <f>IFERROR(VLOOKUP(A62,取得元!$A$2:$F$501,5,FALSE),"-")</f>
        <v>-</v>
      </c>
      <c r="K62" s="25" t="str">
        <f>IFERROR(VLOOKUP(A62,取得元!$A$2:$F$501,6,FALSE)/100,"-")</f>
        <v>-</v>
      </c>
      <c r="L62" s="21" t="str">
        <f>_xll.RssMarket(A62,"始値")</f>
        <v>表示銘柄数超過</v>
      </c>
      <c r="M62" s="4" t="e">
        <f t="shared" si="5"/>
        <v>#VALUE!</v>
      </c>
      <c r="N62" s="21" t="str">
        <f>_xll.RssMarket(A62,"高値")</f>
        <v>表示銘柄数超過</v>
      </c>
      <c r="O62" s="4" t="e">
        <f t="shared" si="6"/>
        <v>#VALUE!</v>
      </c>
      <c r="P62" s="21" t="str">
        <f>_xll.RssMarket(A62,"安値")</f>
        <v>表示銘柄数超過</v>
      </c>
      <c r="Q62" s="4" t="e">
        <f t="shared" si="7"/>
        <v>#VALUE!</v>
      </c>
      <c r="R62" s="21" t="str">
        <f>_xll.RssMarket(A62,"後場始値")</f>
        <v>表示銘柄数超過</v>
      </c>
      <c r="S62" s="25" t="str">
        <f t="shared" si="8"/>
        <v>-</v>
      </c>
      <c r="T62" s="7" t="str">
        <f>_xll.RssMarket(A62,"出来高加重平均")</f>
        <v>表示銘柄数超過</v>
      </c>
      <c r="U62" s="4" t="e">
        <f t="shared" si="9"/>
        <v>#VALUE!</v>
      </c>
      <c r="V62" s="21" t="str">
        <f>_xll.RssMarket(A62,"出来高")</f>
        <v>表示銘柄数超過</v>
      </c>
      <c r="W62" s="21" t="str">
        <f>_xll.RssMarket(A62,"売買代金")</f>
        <v>表示銘柄数超過</v>
      </c>
      <c r="X62" s="20" t="str">
        <f>_xll.RssMarket(A62,"決算発表日")</f>
        <v>表示銘柄数超過</v>
      </c>
      <c r="Y62" s="26" t="str">
        <f>IF(C62&gt;_xll.RssMarket(A62,"年初来高値"),"○","×")</f>
        <v>×</v>
      </c>
      <c r="Z62" s="27" t="str">
        <f>IF(C62&lt;=_xll.RssMarket(A62,"年初来安値"),"○","×")</f>
        <v>○</v>
      </c>
    </row>
    <row r="63" spans="1:26" x14ac:dyDescent="0.25">
      <c r="A63" s="49">
        <v>1826</v>
      </c>
      <c r="B63" s="20" t="str">
        <f>_xll.RssMarket(A63,"銘柄名称")</f>
        <v>表示銘柄数超過</v>
      </c>
      <c r="C63" s="21" t="str">
        <f>_xll.RssMarket(A63,"現在値")</f>
        <v>表示銘柄数超過</v>
      </c>
      <c r="D63" s="20" t="str">
        <f>_xll.RssMarket(A63,"現在値詳細時刻")</f>
        <v>表示銘柄数超過</v>
      </c>
      <c r="E63" s="22" t="str">
        <f>_xll.RssMarket(A63,"前日比")</f>
        <v>表示銘柄数超過</v>
      </c>
      <c r="F63" s="23" t="e">
        <f>_xll.RssMarket(A63,"前日比率")/100</f>
        <v>#VALUE!</v>
      </c>
      <c r="G63" s="24" t="str">
        <f>IFERROR(VLOOKUP(A63,取得元!$A$2:$F$501,2,FALSE),"-")</f>
        <v>-</v>
      </c>
      <c r="H63" s="24" t="str">
        <f>IFERROR(VLOOKUP(A63,取得元!$A$2:$F$501,3,FALSE),"-")</f>
        <v>-</v>
      </c>
      <c r="I63" s="24" t="str">
        <f>IFERROR(VLOOKUP(A63,取得元!$A$2:$F$501,4,FALSE),"-")</f>
        <v>-</v>
      </c>
      <c r="J63" s="5" t="str">
        <f>IFERROR(VLOOKUP(A63,取得元!$A$2:$F$501,5,FALSE),"-")</f>
        <v>-</v>
      </c>
      <c r="K63" s="25" t="str">
        <f>IFERROR(VLOOKUP(A63,取得元!$A$2:$F$501,6,FALSE)/100,"-")</f>
        <v>-</v>
      </c>
      <c r="L63" s="21" t="str">
        <f>_xll.RssMarket(A63,"始値")</f>
        <v>表示銘柄数超過</v>
      </c>
      <c r="M63" s="4" t="e">
        <f t="shared" si="5"/>
        <v>#VALUE!</v>
      </c>
      <c r="N63" s="21" t="str">
        <f>_xll.RssMarket(A63,"高値")</f>
        <v>表示銘柄数超過</v>
      </c>
      <c r="O63" s="4" t="e">
        <f t="shared" si="6"/>
        <v>#VALUE!</v>
      </c>
      <c r="P63" s="21" t="str">
        <f>_xll.RssMarket(A63,"安値")</f>
        <v>表示銘柄数超過</v>
      </c>
      <c r="Q63" s="4" t="e">
        <f t="shared" si="7"/>
        <v>#VALUE!</v>
      </c>
      <c r="R63" s="21" t="str">
        <f>_xll.RssMarket(A63,"後場始値")</f>
        <v>表示銘柄数超過</v>
      </c>
      <c r="S63" s="25" t="str">
        <f t="shared" si="8"/>
        <v>-</v>
      </c>
      <c r="T63" s="7" t="str">
        <f>_xll.RssMarket(A63,"出来高加重平均")</f>
        <v>表示銘柄数超過</v>
      </c>
      <c r="U63" s="4" t="e">
        <f t="shared" si="9"/>
        <v>#VALUE!</v>
      </c>
      <c r="V63" s="21" t="str">
        <f>_xll.RssMarket(A63,"出来高")</f>
        <v>表示銘柄数超過</v>
      </c>
      <c r="W63" s="21" t="str">
        <f>_xll.RssMarket(A63,"売買代金")</f>
        <v>表示銘柄数超過</v>
      </c>
      <c r="X63" s="20" t="str">
        <f>_xll.RssMarket(A63,"決算発表日")</f>
        <v>表示銘柄数超過</v>
      </c>
      <c r="Y63" s="26" t="str">
        <f>IF(C63&gt;_xll.RssMarket(A63,"年初来高値"),"○","×")</f>
        <v>×</v>
      </c>
      <c r="Z63" s="27" t="str">
        <f>IF(C63&lt;=_xll.RssMarket(A63,"年初来安値"),"○","×")</f>
        <v>○</v>
      </c>
    </row>
    <row r="64" spans="1:26" x14ac:dyDescent="0.25">
      <c r="A64" s="47">
        <v>1827</v>
      </c>
      <c r="B64" s="20" t="str">
        <f>_xll.RssMarket(A64,"銘柄名称")</f>
        <v>表示銘柄数超過</v>
      </c>
      <c r="C64" s="21" t="str">
        <f>_xll.RssMarket(A64,"現在値")</f>
        <v>表示銘柄数超過</v>
      </c>
      <c r="D64" s="20" t="str">
        <f>_xll.RssMarket(A64,"現在値詳細時刻")</f>
        <v>表示銘柄数超過</v>
      </c>
      <c r="E64" s="22" t="str">
        <f>_xll.RssMarket(A64,"前日比")</f>
        <v>表示銘柄数超過</v>
      </c>
      <c r="F64" s="23" t="e">
        <f>_xll.RssMarket(A64,"前日比率")/100</f>
        <v>#VALUE!</v>
      </c>
      <c r="G64" s="24" t="str">
        <f>IFERROR(VLOOKUP(A64,取得元!$A$2:$F$501,2,FALSE),"-")</f>
        <v>-</v>
      </c>
      <c r="H64" s="24" t="str">
        <f>IFERROR(VLOOKUP(A64,取得元!$A$2:$F$501,3,FALSE),"-")</f>
        <v>-</v>
      </c>
      <c r="I64" s="24" t="str">
        <f>IFERROR(VLOOKUP(A64,取得元!$A$2:$F$501,4,FALSE),"-")</f>
        <v>-</v>
      </c>
      <c r="J64" s="5" t="str">
        <f>IFERROR(VLOOKUP(A64,取得元!$A$2:$F$501,5,FALSE),"-")</f>
        <v>-</v>
      </c>
      <c r="K64" s="25" t="str">
        <f>IFERROR(VLOOKUP(A64,取得元!$A$2:$F$501,6,FALSE)/100,"-")</f>
        <v>-</v>
      </c>
      <c r="L64" s="21" t="str">
        <f>_xll.RssMarket(A64,"始値")</f>
        <v>表示銘柄数超過</v>
      </c>
      <c r="M64" s="4" t="e">
        <f t="shared" si="5"/>
        <v>#VALUE!</v>
      </c>
      <c r="N64" s="21" t="str">
        <f>_xll.RssMarket(A64,"高値")</f>
        <v>表示銘柄数超過</v>
      </c>
      <c r="O64" s="4" t="e">
        <f t="shared" si="6"/>
        <v>#VALUE!</v>
      </c>
      <c r="P64" s="21" t="str">
        <f>_xll.RssMarket(A64,"安値")</f>
        <v>表示銘柄数超過</v>
      </c>
      <c r="Q64" s="4" t="e">
        <f t="shared" si="7"/>
        <v>#VALUE!</v>
      </c>
      <c r="R64" s="21" t="str">
        <f>_xll.RssMarket(A64,"後場始値")</f>
        <v>表示銘柄数超過</v>
      </c>
      <c r="S64" s="25" t="str">
        <f t="shared" si="8"/>
        <v>-</v>
      </c>
      <c r="T64" s="7" t="str">
        <f>_xll.RssMarket(A64,"出来高加重平均")</f>
        <v>表示銘柄数超過</v>
      </c>
      <c r="U64" s="4" t="e">
        <f t="shared" si="9"/>
        <v>#VALUE!</v>
      </c>
      <c r="V64" s="21" t="str">
        <f>_xll.RssMarket(A64,"出来高")</f>
        <v>表示銘柄数超過</v>
      </c>
      <c r="W64" s="21" t="str">
        <f>_xll.RssMarket(A64,"売買代金")</f>
        <v>表示銘柄数超過</v>
      </c>
      <c r="X64" s="20" t="str">
        <f>_xll.RssMarket(A64,"決算発表日")</f>
        <v>表示銘柄数超過</v>
      </c>
      <c r="Y64" s="26" t="str">
        <f>IF(C64&gt;_xll.RssMarket(A64,"年初来高値"),"○","×")</f>
        <v>×</v>
      </c>
      <c r="Z64" s="27" t="str">
        <f>IF(C64&lt;=_xll.RssMarket(A64,"年初来安値"),"○","×")</f>
        <v>○</v>
      </c>
    </row>
    <row r="65" spans="1:26" x14ac:dyDescent="0.25">
      <c r="A65" s="49">
        <v>1840</v>
      </c>
      <c r="B65" s="20" t="str">
        <f>_xll.RssMarket(A65,"銘柄名称")</f>
        <v>表示銘柄数超過</v>
      </c>
      <c r="C65" s="21" t="str">
        <f>_xll.RssMarket(A65,"現在値")</f>
        <v>表示銘柄数超過</v>
      </c>
      <c r="D65" s="20" t="str">
        <f>_xll.RssMarket(A65,"現在値詳細時刻")</f>
        <v>表示銘柄数超過</v>
      </c>
      <c r="E65" s="22" t="str">
        <f>_xll.RssMarket(A65,"前日比")</f>
        <v>表示銘柄数超過</v>
      </c>
      <c r="F65" s="23" t="e">
        <f>_xll.RssMarket(A65,"前日比率")/100</f>
        <v>#VALUE!</v>
      </c>
      <c r="G65" s="24" t="str">
        <f>IFERROR(VLOOKUP(A65,取得元!$A$2:$F$501,2,FALSE),"-")</f>
        <v>-</v>
      </c>
      <c r="H65" s="24" t="str">
        <f>IFERROR(VLOOKUP(A65,取得元!$A$2:$F$501,3,FALSE),"-")</f>
        <v>-</v>
      </c>
      <c r="I65" s="24" t="str">
        <f>IFERROR(VLOOKUP(A65,取得元!$A$2:$F$501,4,FALSE),"-")</f>
        <v>-</v>
      </c>
      <c r="J65" s="5" t="str">
        <f>IFERROR(VLOOKUP(A65,取得元!$A$2:$F$501,5,FALSE),"-")</f>
        <v>-</v>
      </c>
      <c r="K65" s="25" t="str">
        <f>IFERROR(VLOOKUP(A65,取得元!$A$2:$F$501,6,FALSE)/100,"-")</f>
        <v>-</v>
      </c>
      <c r="L65" s="21" t="str">
        <f>_xll.RssMarket(A65,"始値")</f>
        <v>表示銘柄数超過</v>
      </c>
      <c r="M65" s="4" t="e">
        <f t="shared" si="5"/>
        <v>#VALUE!</v>
      </c>
      <c r="N65" s="21" t="str">
        <f>_xll.RssMarket(A65,"高値")</f>
        <v>表示銘柄数超過</v>
      </c>
      <c r="O65" s="4" t="e">
        <f t="shared" si="6"/>
        <v>#VALUE!</v>
      </c>
      <c r="P65" s="21" t="str">
        <f>_xll.RssMarket(A65,"安値")</f>
        <v>表示銘柄数超過</v>
      </c>
      <c r="Q65" s="4" t="e">
        <f t="shared" si="7"/>
        <v>#VALUE!</v>
      </c>
      <c r="R65" s="21" t="str">
        <f>_xll.RssMarket(A65,"後場始値")</f>
        <v>表示銘柄数超過</v>
      </c>
      <c r="S65" s="25" t="str">
        <f t="shared" si="8"/>
        <v>-</v>
      </c>
      <c r="T65" s="7" t="str">
        <f>_xll.RssMarket(A65,"出来高加重平均")</f>
        <v>表示銘柄数超過</v>
      </c>
      <c r="U65" s="4" t="e">
        <f t="shared" si="9"/>
        <v>#VALUE!</v>
      </c>
      <c r="V65" s="21" t="str">
        <f>_xll.RssMarket(A65,"出来高")</f>
        <v>表示銘柄数超過</v>
      </c>
      <c r="W65" s="21" t="str">
        <f>_xll.RssMarket(A65,"売買代金")</f>
        <v>表示銘柄数超過</v>
      </c>
      <c r="X65" s="20" t="str">
        <f>_xll.RssMarket(A65,"決算発表日")</f>
        <v>表示銘柄数超過</v>
      </c>
      <c r="Y65" s="26" t="str">
        <f>IF(C65&gt;_xll.RssMarket(A65,"年初来高値"),"○","×")</f>
        <v>×</v>
      </c>
      <c r="Z65" s="27" t="str">
        <f>IF(C65&lt;=_xll.RssMarket(A65,"年初来安値"),"○","×")</f>
        <v>○</v>
      </c>
    </row>
    <row r="66" spans="1:26" x14ac:dyDescent="0.25">
      <c r="A66" s="47">
        <v>1844</v>
      </c>
      <c r="B66" s="20" t="str">
        <f>_xll.RssMarket(A66,"銘柄名称")</f>
        <v>表示銘柄数超過</v>
      </c>
      <c r="C66" s="21" t="str">
        <f>_xll.RssMarket(A66,"現在値")</f>
        <v>表示銘柄数超過</v>
      </c>
      <c r="D66" s="20" t="str">
        <f>_xll.RssMarket(A66,"現在値詳細時刻")</f>
        <v>表示銘柄数超過</v>
      </c>
      <c r="E66" s="22" t="str">
        <f>_xll.RssMarket(A66,"前日比")</f>
        <v>表示銘柄数超過</v>
      </c>
      <c r="F66" s="23" t="e">
        <f>_xll.RssMarket(A66,"前日比率")/100</f>
        <v>#VALUE!</v>
      </c>
      <c r="G66" s="24" t="str">
        <f>IFERROR(VLOOKUP(A66,取得元!$A$2:$F$501,2,FALSE),"-")</f>
        <v>-</v>
      </c>
      <c r="H66" s="24" t="str">
        <f>IFERROR(VLOOKUP(A66,取得元!$A$2:$F$501,3,FALSE),"-")</f>
        <v>-</v>
      </c>
      <c r="I66" s="24" t="str">
        <f>IFERROR(VLOOKUP(A66,取得元!$A$2:$F$501,4,FALSE),"-")</f>
        <v>-</v>
      </c>
      <c r="J66" s="5" t="str">
        <f>IFERROR(VLOOKUP(A66,取得元!$A$2:$F$501,5,FALSE),"-")</f>
        <v>-</v>
      </c>
      <c r="K66" s="25" t="str">
        <f>IFERROR(VLOOKUP(A66,取得元!$A$2:$F$501,6,FALSE)/100,"-")</f>
        <v>-</v>
      </c>
      <c r="L66" s="21" t="str">
        <f>_xll.RssMarket(A66,"始値")</f>
        <v>表示銘柄数超過</v>
      </c>
      <c r="M66" s="4" t="e">
        <f t="shared" si="5"/>
        <v>#VALUE!</v>
      </c>
      <c r="N66" s="21" t="str">
        <f>_xll.RssMarket(A66,"高値")</f>
        <v>表示銘柄数超過</v>
      </c>
      <c r="O66" s="4" t="e">
        <f t="shared" si="6"/>
        <v>#VALUE!</v>
      </c>
      <c r="P66" s="21" t="str">
        <f>_xll.RssMarket(A66,"安値")</f>
        <v>表示銘柄数超過</v>
      </c>
      <c r="Q66" s="4" t="e">
        <f t="shared" si="7"/>
        <v>#VALUE!</v>
      </c>
      <c r="R66" s="21" t="str">
        <f>_xll.RssMarket(A66,"後場始値")</f>
        <v>表示銘柄数超過</v>
      </c>
      <c r="S66" s="25" t="str">
        <f t="shared" si="8"/>
        <v>-</v>
      </c>
      <c r="T66" s="7" t="str">
        <f>_xll.RssMarket(A66,"出来高加重平均")</f>
        <v>表示銘柄数超過</v>
      </c>
      <c r="U66" s="4" t="e">
        <f t="shared" si="9"/>
        <v>#VALUE!</v>
      </c>
      <c r="V66" s="21" t="str">
        <f>_xll.RssMarket(A66,"出来高")</f>
        <v>表示銘柄数超過</v>
      </c>
      <c r="W66" s="21" t="str">
        <f>_xll.RssMarket(A66,"売買代金")</f>
        <v>表示銘柄数超過</v>
      </c>
      <c r="X66" s="20" t="str">
        <f>_xll.RssMarket(A66,"決算発表日")</f>
        <v>表示銘柄数超過</v>
      </c>
      <c r="Y66" s="26" t="str">
        <f>IF(C66&gt;_xll.RssMarket(A66,"年初来高値"),"○","×")</f>
        <v>×</v>
      </c>
      <c r="Z66" s="27" t="str">
        <f>IF(C66&lt;=_xll.RssMarket(A66,"年初来安値"),"○","×")</f>
        <v>○</v>
      </c>
    </row>
    <row r="67" spans="1:26" x14ac:dyDescent="0.25">
      <c r="A67" s="49">
        <v>1848</v>
      </c>
      <c r="B67" s="20" t="str">
        <f>_xll.RssMarket(A67,"銘柄名称")</f>
        <v>表示銘柄数超過</v>
      </c>
      <c r="C67" s="21" t="str">
        <f>_xll.RssMarket(A67,"現在値")</f>
        <v>表示銘柄数超過</v>
      </c>
      <c r="D67" s="20" t="str">
        <f>_xll.RssMarket(A67,"現在値詳細時刻")</f>
        <v>表示銘柄数超過</v>
      </c>
      <c r="E67" s="22" t="str">
        <f>_xll.RssMarket(A67,"前日比")</f>
        <v>表示銘柄数超過</v>
      </c>
      <c r="F67" s="23" t="e">
        <f>_xll.RssMarket(A67,"前日比率")/100</f>
        <v>#VALUE!</v>
      </c>
      <c r="G67" s="24" t="str">
        <f>IFERROR(VLOOKUP(A67,取得元!$A$2:$F$501,2,FALSE),"-")</f>
        <v>-</v>
      </c>
      <c r="H67" s="24" t="str">
        <f>IFERROR(VLOOKUP(A67,取得元!$A$2:$F$501,3,FALSE),"-")</f>
        <v>-</v>
      </c>
      <c r="I67" s="24" t="str">
        <f>IFERROR(VLOOKUP(A67,取得元!$A$2:$F$501,4,FALSE),"-")</f>
        <v>-</v>
      </c>
      <c r="J67" s="5" t="str">
        <f>IFERROR(VLOOKUP(A67,取得元!$A$2:$F$501,5,FALSE),"-")</f>
        <v>-</v>
      </c>
      <c r="K67" s="25" t="str">
        <f>IFERROR(VLOOKUP(A67,取得元!$A$2:$F$501,6,FALSE)/100,"-")</f>
        <v>-</v>
      </c>
      <c r="L67" s="21" t="str">
        <f>_xll.RssMarket(A67,"始値")</f>
        <v>表示銘柄数超過</v>
      </c>
      <c r="M67" s="4" t="e">
        <f t="shared" si="5"/>
        <v>#VALUE!</v>
      </c>
      <c r="N67" s="21" t="str">
        <f>_xll.RssMarket(A67,"高値")</f>
        <v>表示銘柄数超過</v>
      </c>
      <c r="O67" s="4" t="e">
        <f t="shared" si="6"/>
        <v>#VALUE!</v>
      </c>
      <c r="P67" s="21" t="str">
        <f>_xll.RssMarket(A67,"安値")</f>
        <v>表示銘柄数超過</v>
      </c>
      <c r="Q67" s="4" t="e">
        <f t="shared" si="7"/>
        <v>#VALUE!</v>
      </c>
      <c r="R67" s="21" t="str">
        <f>_xll.RssMarket(A67,"後場始値")</f>
        <v>表示銘柄数超過</v>
      </c>
      <c r="S67" s="25" t="str">
        <f t="shared" si="8"/>
        <v>-</v>
      </c>
      <c r="T67" s="7" t="str">
        <f>_xll.RssMarket(A67,"出来高加重平均")</f>
        <v>表示銘柄数超過</v>
      </c>
      <c r="U67" s="4" t="e">
        <f t="shared" si="9"/>
        <v>#VALUE!</v>
      </c>
      <c r="V67" s="21" t="str">
        <f>_xll.RssMarket(A67,"出来高")</f>
        <v>表示銘柄数超過</v>
      </c>
      <c r="W67" s="21" t="str">
        <f>_xll.RssMarket(A67,"売買代金")</f>
        <v>表示銘柄数超過</v>
      </c>
      <c r="X67" s="20" t="str">
        <f>_xll.RssMarket(A67,"決算発表日")</f>
        <v>表示銘柄数超過</v>
      </c>
      <c r="Y67" s="26" t="str">
        <f>IF(C67&gt;_xll.RssMarket(A67,"年初来高値"),"○","×")</f>
        <v>×</v>
      </c>
      <c r="Z67" s="27" t="str">
        <f>IF(C67&lt;=_xll.RssMarket(A67,"年初来安値"),"○","×")</f>
        <v>○</v>
      </c>
    </row>
    <row r="68" spans="1:26" x14ac:dyDescent="0.25">
      <c r="A68" s="47">
        <v>1879</v>
      </c>
      <c r="B68" s="20" t="str">
        <f>_xll.RssMarket(A68,"銘柄名称")</f>
        <v>表示銘柄数超過</v>
      </c>
      <c r="C68" s="21" t="str">
        <f>_xll.RssMarket(A68,"現在値")</f>
        <v>表示銘柄数超過</v>
      </c>
      <c r="D68" s="20" t="str">
        <f>_xll.RssMarket(A68,"現在値詳細時刻")</f>
        <v>表示銘柄数超過</v>
      </c>
      <c r="E68" s="22" t="str">
        <f>_xll.RssMarket(A68,"前日比")</f>
        <v>表示銘柄数超過</v>
      </c>
      <c r="F68" s="23" t="e">
        <f>_xll.RssMarket(A68,"前日比率")/100</f>
        <v>#VALUE!</v>
      </c>
      <c r="G68" s="24" t="str">
        <f>IFERROR(VLOOKUP(A68,取得元!$A$2:$F$501,2,FALSE),"-")</f>
        <v>-</v>
      </c>
      <c r="H68" s="24" t="str">
        <f>IFERROR(VLOOKUP(A68,取得元!$A$2:$F$501,3,FALSE),"-")</f>
        <v>-</v>
      </c>
      <c r="I68" s="24" t="str">
        <f>IFERROR(VLOOKUP(A68,取得元!$A$2:$F$501,4,FALSE),"-")</f>
        <v>-</v>
      </c>
      <c r="J68" s="5" t="str">
        <f>IFERROR(VLOOKUP(A68,取得元!$A$2:$F$501,5,FALSE),"-")</f>
        <v>-</v>
      </c>
      <c r="K68" s="25" t="str">
        <f>IFERROR(VLOOKUP(A68,取得元!$A$2:$F$501,6,FALSE)/100,"-")</f>
        <v>-</v>
      </c>
      <c r="L68" s="21" t="str">
        <f>_xll.RssMarket(A68,"始値")</f>
        <v>表示銘柄数超過</v>
      </c>
      <c r="M68" s="4" t="e">
        <f t="shared" si="5"/>
        <v>#VALUE!</v>
      </c>
      <c r="N68" s="21" t="str">
        <f>_xll.RssMarket(A68,"高値")</f>
        <v>表示銘柄数超過</v>
      </c>
      <c r="O68" s="4" t="e">
        <f t="shared" si="6"/>
        <v>#VALUE!</v>
      </c>
      <c r="P68" s="21" t="str">
        <f>_xll.RssMarket(A68,"安値")</f>
        <v>表示銘柄数超過</v>
      </c>
      <c r="Q68" s="4" t="e">
        <f t="shared" si="7"/>
        <v>#VALUE!</v>
      </c>
      <c r="R68" s="21" t="str">
        <f>_xll.RssMarket(A68,"後場始値")</f>
        <v>表示銘柄数超過</v>
      </c>
      <c r="S68" s="25" t="str">
        <f t="shared" si="8"/>
        <v>-</v>
      </c>
      <c r="T68" s="7" t="str">
        <f>_xll.RssMarket(A68,"出来高加重平均")</f>
        <v>表示銘柄数超過</v>
      </c>
      <c r="U68" s="4" t="e">
        <f t="shared" si="9"/>
        <v>#VALUE!</v>
      </c>
      <c r="V68" s="21" t="str">
        <f>_xll.RssMarket(A68,"出来高")</f>
        <v>表示銘柄数超過</v>
      </c>
      <c r="W68" s="21" t="str">
        <f>_xll.RssMarket(A68,"売買代金")</f>
        <v>表示銘柄数超過</v>
      </c>
      <c r="X68" s="20" t="str">
        <f>_xll.RssMarket(A68,"決算発表日")</f>
        <v>表示銘柄数超過</v>
      </c>
      <c r="Y68" s="26" t="str">
        <f>IF(C68&gt;_xll.RssMarket(A68,"年初来高値"),"○","×")</f>
        <v>×</v>
      </c>
      <c r="Z68" s="27" t="str">
        <f>IF(C68&lt;=_xll.RssMarket(A68,"年初来安値"),"○","×")</f>
        <v>○</v>
      </c>
    </row>
    <row r="69" spans="1:26" x14ac:dyDescent="0.25">
      <c r="A69" s="49">
        <v>1887</v>
      </c>
      <c r="B69" s="20" t="str">
        <f>_xll.RssMarket(A69,"銘柄名称")</f>
        <v>表示銘柄数超過</v>
      </c>
      <c r="C69" s="21" t="str">
        <f>_xll.RssMarket(A69,"現在値")</f>
        <v>表示銘柄数超過</v>
      </c>
      <c r="D69" s="20" t="str">
        <f>_xll.RssMarket(A69,"現在値詳細時刻")</f>
        <v>表示銘柄数超過</v>
      </c>
      <c r="E69" s="22" t="str">
        <f>_xll.RssMarket(A69,"前日比")</f>
        <v>表示銘柄数超過</v>
      </c>
      <c r="F69" s="23" t="e">
        <f>_xll.RssMarket(A69,"前日比率")/100</f>
        <v>#VALUE!</v>
      </c>
      <c r="G69" s="24" t="str">
        <f>IFERROR(VLOOKUP(A69,取得元!$A$2:$F$501,2,FALSE),"-")</f>
        <v>-</v>
      </c>
      <c r="H69" s="24" t="str">
        <f>IFERROR(VLOOKUP(A69,取得元!$A$2:$F$501,3,FALSE),"-")</f>
        <v>-</v>
      </c>
      <c r="I69" s="24" t="str">
        <f>IFERROR(VLOOKUP(A69,取得元!$A$2:$F$501,4,FALSE),"-")</f>
        <v>-</v>
      </c>
      <c r="J69" s="5" t="str">
        <f>IFERROR(VLOOKUP(A69,取得元!$A$2:$F$501,5,FALSE),"-")</f>
        <v>-</v>
      </c>
      <c r="K69" s="25" t="str">
        <f>IFERROR(VLOOKUP(A69,取得元!$A$2:$F$501,6,FALSE)/100,"-")</f>
        <v>-</v>
      </c>
      <c r="L69" s="21" t="str">
        <f>_xll.RssMarket(A69,"始値")</f>
        <v>表示銘柄数超過</v>
      </c>
      <c r="M69" s="4" t="e">
        <f t="shared" si="5"/>
        <v>#VALUE!</v>
      </c>
      <c r="N69" s="21" t="str">
        <f>_xll.RssMarket(A69,"高値")</f>
        <v>表示銘柄数超過</v>
      </c>
      <c r="O69" s="4" t="e">
        <f t="shared" si="6"/>
        <v>#VALUE!</v>
      </c>
      <c r="P69" s="21" t="str">
        <f>_xll.RssMarket(A69,"安値")</f>
        <v>表示銘柄数超過</v>
      </c>
      <c r="Q69" s="4" t="e">
        <f t="shared" si="7"/>
        <v>#VALUE!</v>
      </c>
      <c r="R69" s="21" t="str">
        <f>_xll.RssMarket(A69,"後場始値")</f>
        <v>表示銘柄数超過</v>
      </c>
      <c r="S69" s="25" t="str">
        <f t="shared" si="8"/>
        <v>-</v>
      </c>
      <c r="T69" s="7" t="str">
        <f>_xll.RssMarket(A69,"出来高加重平均")</f>
        <v>表示銘柄数超過</v>
      </c>
      <c r="U69" s="4" t="e">
        <f t="shared" si="9"/>
        <v>#VALUE!</v>
      </c>
      <c r="V69" s="21" t="str">
        <f>_xll.RssMarket(A69,"出来高")</f>
        <v>表示銘柄数超過</v>
      </c>
      <c r="W69" s="21" t="str">
        <f>_xll.RssMarket(A69,"売買代金")</f>
        <v>表示銘柄数超過</v>
      </c>
      <c r="X69" s="20" t="str">
        <f>_xll.RssMarket(A69,"決算発表日")</f>
        <v>表示銘柄数超過</v>
      </c>
      <c r="Y69" s="26" t="str">
        <f>IF(C69&gt;_xll.RssMarket(A69,"年初来高値"),"○","×")</f>
        <v>×</v>
      </c>
      <c r="Z69" s="27" t="str">
        <f>IF(C69&lt;=_xll.RssMarket(A69,"年初来安値"),"○","×")</f>
        <v>○</v>
      </c>
    </row>
    <row r="70" spans="1:26" x14ac:dyDescent="0.25">
      <c r="A70" s="47">
        <v>1893</v>
      </c>
      <c r="B70" s="20" t="str">
        <f>_xll.RssMarket(A70,"銘柄名称")</f>
        <v>表示銘柄数超過</v>
      </c>
      <c r="C70" s="21" t="str">
        <f>_xll.RssMarket(A70,"現在値")</f>
        <v>表示銘柄数超過</v>
      </c>
      <c r="D70" s="20" t="str">
        <f>_xll.RssMarket(A70,"現在値詳細時刻")</f>
        <v>表示銘柄数超過</v>
      </c>
      <c r="E70" s="22" t="str">
        <f>_xll.RssMarket(A70,"前日比")</f>
        <v>表示銘柄数超過</v>
      </c>
      <c r="F70" s="23" t="e">
        <f>_xll.RssMarket(A70,"前日比率")/100</f>
        <v>#VALUE!</v>
      </c>
      <c r="G70" s="24" t="str">
        <f>IFERROR(VLOOKUP(A70,取得元!$A$2:$F$501,2,FALSE),"-")</f>
        <v>-</v>
      </c>
      <c r="H70" s="24" t="str">
        <f>IFERROR(VLOOKUP(A70,取得元!$A$2:$F$501,3,FALSE),"-")</f>
        <v>-</v>
      </c>
      <c r="I70" s="24" t="str">
        <f>IFERROR(VLOOKUP(A70,取得元!$A$2:$F$501,4,FALSE),"-")</f>
        <v>-</v>
      </c>
      <c r="J70" s="5" t="str">
        <f>IFERROR(VLOOKUP(A70,取得元!$A$2:$F$501,5,FALSE),"-")</f>
        <v>-</v>
      </c>
      <c r="K70" s="25" t="str">
        <f>IFERROR(VLOOKUP(A70,取得元!$A$2:$F$501,6,FALSE)/100,"-")</f>
        <v>-</v>
      </c>
      <c r="L70" s="21" t="str">
        <f>_xll.RssMarket(A70,"始値")</f>
        <v>表示銘柄数超過</v>
      </c>
      <c r="M70" s="4" t="e">
        <f t="shared" si="5"/>
        <v>#VALUE!</v>
      </c>
      <c r="N70" s="21" t="str">
        <f>_xll.RssMarket(A70,"高値")</f>
        <v>表示銘柄数超過</v>
      </c>
      <c r="O70" s="4" t="e">
        <f t="shared" si="6"/>
        <v>#VALUE!</v>
      </c>
      <c r="P70" s="21" t="str">
        <f>_xll.RssMarket(A70,"安値")</f>
        <v>表示銘柄数超過</v>
      </c>
      <c r="Q70" s="4" t="e">
        <f t="shared" si="7"/>
        <v>#VALUE!</v>
      </c>
      <c r="R70" s="21" t="str">
        <f>_xll.RssMarket(A70,"後場始値")</f>
        <v>表示銘柄数超過</v>
      </c>
      <c r="S70" s="25" t="str">
        <f t="shared" si="8"/>
        <v>-</v>
      </c>
      <c r="T70" s="7" t="str">
        <f>_xll.RssMarket(A70,"出来高加重平均")</f>
        <v>表示銘柄数超過</v>
      </c>
      <c r="U70" s="4" t="e">
        <f t="shared" si="9"/>
        <v>#VALUE!</v>
      </c>
      <c r="V70" s="21" t="str">
        <f>_xll.RssMarket(A70,"出来高")</f>
        <v>表示銘柄数超過</v>
      </c>
      <c r="W70" s="21" t="str">
        <f>_xll.RssMarket(A70,"売買代金")</f>
        <v>表示銘柄数超過</v>
      </c>
      <c r="X70" s="20" t="str">
        <f>_xll.RssMarket(A70,"決算発表日")</f>
        <v>表示銘柄数超過</v>
      </c>
      <c r="Y70" s="26" t="str">
        <f>IF(C70&gt;_xll.RssMarket(A70,"年初来高値"),"○","×")</f>
        <v>×</v>
      </c>
      <c r="Z70" s="27" t="str">
        <f>IF(C70&lt;=_xll.RssMarket(A70,"年初来安値"),"○","×")</f>
        <v>○</v>
      </c>
    </row>
    <row r="71" spans="1:26" x14ac:dyDescent="0.25">
      <c r="A71" s="49">
        <v>1898</v>
      </c>
      <c r="B71" s="20" t="str">
        <f>_xll.RssMarket(A71,"銘柄名称")</f>
        <v>表示銘柄数超過</v>
      </c>
      <c r="C71" s="21" t="str">
        <f>_xll.RssMarket(A71,"現在値")</f>
        <v>表示銘柄数超過</v>
      </c>
      <c r="D71" s="20" t="str">
        <f>_xll.RssMarket(A71,"現在値詳細時刻")</f>
        <v>表示銘柄数超過</v>
      </c>
      <c r="E71" s="22" t="str">
        <f>_xll.RssMarket(A71,"前日比")</f>
        <v>表示銘柄数超過</v>
      </c>
      <c r="F71" s="23" t="e">
        <f>_xll.RssMarket(A71,"前日比率")/100</f>
        <v>#VALUE!</v>
      </c>
      <c r="G71" s="24" t="str">
        <f>IFERROR(VLOOKUP(A71,取得元!$A$2:$F$501,2,FALSE),"-")</f>
        <v>-</v>
      </c>
      <c r="H71" s="24" t="str">
        <f>IFERROR(VLOOKUP(A71,取得元!$A$2:$F$501,3,FALSE),"-")</f>
        <v>-</v>
      </c>
      <c r="I71" s="24" t="str">
        <f>IFERROR(VLOOKUP(A71,取得元!$A$2:$F$501,4,FALSE),"-")</f>
        <v>-</v>
      </c>
      <c r="J71" s="5" t="str">
        <f>IFERROR(VLOOKUP(A71,取得元!$A$2:$F$501,5,FALSE),"-")</f>
        <v>-</v>
      </c>
      <c r="K71" s="25" t="str">
        <f>IFERROR(VLOOKUP(A71,取得元!$A$2:$F$501,6,FALSE)/100,"-")</f>
        <v>-</v>
      </c>
      <c r="L71" s="21" t="str">
        <f>_xll.RssMarket(A71,"始値")</f>
        <v>表示銘柄数超過</v>
      </c>
      <c r="M71" s="4" t="e">
        <f t="shared" si="5"/>
        <v>#VALUE!</v>
      </c>
      <c r="N71" s="21" t="str">
        <f>_xll.RssMarket(A71,"高値")</f>
        <v>表示銘柄数超過</v>
      </c>
      <c r="O71" s="4" t="e">
        <f t="shared" si="6"/>
        <v>#VALUE!</v>
      </c>
      <c r="P71" s="21" t="str">
        <f>_xll.RssMarket(A71,"安値")</f>
        <v>表示銘柄数超過</v>
      </c>
      <c r="Q71" s="4" t="e">
        <f t="shared" si="7"/>
        <v>#VALUE!</v>
      </c>
      <c r="R71" s="21" t="str">
        <f>_xll.RssMarket(A71,"後場始値")</f>
        <v>表示銘柄数超過</v>
      </c>
      <c r="S71" s="25" t="str">
        <f t="shared" si="8"/>
        <v>-</v>
      </c>
      <c r="T71" s="7" t="str">
        <f>_xll.RssMarket(A71,"出来高加重平均")</f>
        <v>表示銘柄数超過</v>
      </c>
      <c r="U71" s="4" t="e">
        <f t="shared" si="9"/>
        <v>#VALUE!</v>
      </c>
      <c r="V71" s="21" t="str">
        <f>_xll.RssMarket(A71,"出来高")</f>
        <v>表示銘柄数超過</v>
      </c>
      <c r="W71" s="21" t="str">
        <f>_xll.RssMarket(A71,"売買代金")</f>
        <v>表示銘柄数超過</v>
      </c>
      <c r="X71" s="20" t="str">
        <f>_xll.RssMarket(A71,"決算発表日")</f>
        <v>表示銘柄数超過</v>
      </c>
      <c r="Y71" s="26" t="str">
        <f>IF(C71&gt;_xll.RssMarket(A71,"年初来高値"),"○","×")</f>
        <v>×</v>
      </c>
      <c r="Z71" s="27" t="str">
        <f>IF(C71&lt;=_xll.RssMarket(A71,"年初来安値"),"○","×")</f>
        <v>○</v>
      </c>
    </row>
    <row r="72" spans="1:26" x14ac:dyDescent="0.25">
      <c r="A72" s="47">
        <v>1911</v>
      </c>
      <c r="B72" s="20" t="str">
        <f>_xll.RssMarket(A72,"銘柄名称")</f>
        <v>表示銘柄数超過</v>
      </c>
      <c r="C72" s="21" t="str">
        <f>_xll.RssMarket(A72,"現在値")</f>
        <v>表示銘柄数超過</v>
      </c>
      <c r="D72" s="20" t="str">
        <f>_xll.RssMarket(A72,"現在値詳細時刻")</f>
        <v>表示銘柄数超過</v>
      </c>
      <c r="E72" s="22" t="str">
        <f>_xll.RssMarket(A72,"前日比")</f>
        <v>表示銘柄数超過</v>
      </c>
      <c r="F72" s="23" t="e">
        <f>_xll.RssMarket(A72,"前日比率")/100</f>
        <v>#VALUE!</v>
      </c>
      <c r="G72" s="24" t="str">
        <f>IFERROR(VLOOKUP(A72,取得元!$A$2:$F$501,2,FALSE),"-")</f>
        <v>-</v>
      </c>
      <c r="H72" s="24" t="str">
        <f>IFERROR(VLOOKUP(A72,取得元!$A$2:$F$501,3,FALSE),"-")</f>
        <v>-</v>
      </c>
      <c r="I72" s="24" t="str">
        <f>IFERROR(VLOOKUP(A72,取得元!$A$2:$F$501,4,FALSE),"-")</f>
        <v>-</v>
      </c>
      <c r="J72" s="5" t="str">
        <f>IFERROR(VLOOKUP(A72,取得元!$A$2:$F$501,5,FALSE),"-")</f>
        <v>-</v>
      </c>
      <c r="K72" s="25" t="str">
        <f>IFERROR(VLOOKUP(A72,取得元!$A$2:$F$501,6,FALSE)/100,"-")</f>
        <v>-</v>
      </c>
      <c r="L72" s="21" t="str">
        <f>_xll.RssMarket(A72,"始値")</f>
        <v>表示銘柄数超過</v>
      </c>
      <c r="M72" s="4" t="e">
        <f t="shared" si="5"/>
        <v>#VALUE!</v>
      </c>
      <c r="N72" s="21" t="str">
        <f>_xll.RssMarket(A72,"高値")</f>
        <v>表示銘柄数超過</v>
      </c>
      <c r="O72" s="4" t="e">
        <f t="shared" si="6"/>
        <v>#VALUE!</v>
      </c>
      <c r="P72" s="21" t="str">
        <f>_xll.RssMarket(A72,"安値")</f>
        <v>表示銘柄数超過</v>
      </c>
      <c r="Q72" s="4" t="e">
        <f t="shared" si="7"/>
        <v>#VALUE!</v>
      </c>
      <c r="R72" s="21" t="str">
        <f>_xll.RssMarket(A72,"後場始値")</f>
        <v>表示銘柄数超過</v>
      </c>
      <c r="S72" s="25" t="str">
        <f t="shared" si="8"/>
        <v>-</v>
      </c>
      <c r="T72" s="7" t="str">
        <f>_xll.RssMarket(A72,"出来高加重平均")</f>
        <v>表示銘柄数超過</v>
      </c>
      <c r="U72" s="4" t="e">
        <f t="shared" si="9"/>
        <v>#VALUE!</v>
      </c>
      <c r="V72" s="21" t="str">
        <f>_xll.RssMarket(A72,"出来高")</f>
        <v>表示銘柄数超過</v>
      </c>
      <c r="W72" s="21" t="str">
        <f>_xll.RssMarket(A72,"売買代金")</f>
        <v>表示銘柄数超過</v>
      </c>
      <c r="X72" s="20" t="str">
        <f>_xll.RssMarket(A72,"決算発表日")</f>
        <v>表示銘柄数超過</v>
      </c>
      <c r="Y72" s="26" t="str">
        <f>IF(C72&gt;_xll.RssMarket(A72,"年初来高値"),"○","×")</f>
        <v>×</v>
      </c>
      <c r="Z72" s="27" t="str">
        <f>IF(C72&lt;=_xll.RssMarket(A72,"年初来安値"),"○","×")</f>
        <v>○</v>
      </c>
    </row>
    <row r="73" spans="1:26" x14ac:dyDescent="0.25">
      <c r="A73" s="49">
        <v>1914</v>
      </c>
      <c r="B73" s="20" t="str">
        <f>_xll.RssMarket(A73,"銘柄名称")</f>
        <v>表示銘柄数超過</v>
      </c>
      <c r="C73" s="21" t="str">
        <f>_xll.RssMarket(A73,"現在値")</f>
        <v>表示銘柄数超過</v>
      </c>
      <c r="D73" s="20" t="str">
        <f>_xll.RssMarket(A73,"現在値詳細時刻")</f>
        <v>表示銘柄数超過</v>
      </c>
      <c r="E73" s="22" t="str">
        <f>_xll.RssMarket(A73,"前日比")</f>
        <v>表示銘柄数超過</v>
      </c>
      <c r="F73" s="23" t="e">
        <f>_xll.RssMarket(A73,"前日比率")/100</f>
        <v>#VALUE!</v>
      </c>
      <c r="G73" s="24" t="str">
        <f>IFERROR(VLOOKUP(A73,取得元!$A$2:$F$501,2,FALSE),"-")</f>
        <v>-</v>
      </c>
      <c r="H73" s="24" t="str">
        <f>IFERROR(VLOOKUP(A73,取得元!$A$2:$F$501,3,FALSE),"-")</f>
        <v>-</v>
      </c>
      <c r="I73" s="24" t="str">
        <f>IFERROR(VLOOKUP(A73,取得元!$A$2:$F$501,4,FALSE),"-")</f>
        <v>-</v>
      </c>
      <c r="J73" s="5" t="str">
        <f>IFERROR(VLOOKUP(A73,取得元!$A$2:$F$501,5,FALSE),"-")</f>
        <v>-</v>
      </c>
      <c r="K73" s="25" t="str">
        <f>IFERROR(VLOOKUP(A73,取得元!$A$2:$F$501,6,FALSE)/100,"-")</f>
        <v>-</v>
      </c>
      <c r="L73" s="21" t="str">
        <f>_xll.RssMarket(A73,"始値")</f>
        <v>表示銘柄数超過</v>
      </c>
      <c r="M73" s="4" t="e">
        <f t="shared" si="5"/>
        <v>#VALUE!</v>
      </c>
      <c r="N73" s="21" t="str">
        <f>_xll.RssMarket(A73,"高値")</f>
        <v>表示銘柄数超過</v>
      </c>
      <c r="O73" s="4" t="e">
        <f t="shared" si="6"/>
        <v>#VALUE!</v>
      </c>
      <c r="P73" s="21" t="str">
        <f>_xll.RssMarket(A73,"安値")</f>
        <v>表示銘柄数超過</v>
      </c>
      <c r="Q73" s="4" t="e">
        <f t="shared" si="7"/>
        <v>#VALUE!</v>
      </c>
      <c r="R73" s="21" t="str">
        <f>_xll.RssMarket(A73,"後場始値")</f>
        <v>表示銘柄数超過</v>
      </c>
      <c r="S73" s="25" t="str">
        <f t="shared" si="8"/>
        <v>-</v>
      </c>
      <c r="T73" s="7" t="str">
        <f>_xll.RssMarket(A73,"出来高加重平均")</f>
        <v>表示銘柄数超過</v>
      </c>
      <c r="U73" s="4" t="e">
        <f t="shared" si="9"/>
        <v>#VALUE!</v>
      </c>
      <c r="V73" s="21" t="str">
        <f>_xll.RssMarket(A73,"出来高")</f>
        <v>表示銘柄数超過</v>
      </c>
      <c r="W73" s="21" t="str">
        <f>_xll.RssMarket(A73,"売買代金")</f>
        <v>表示銘柄数超過</v>
      </c>
      <c r="X73" s="20" t="str">
        <f>_xll.RssMarket(A73,"決算発表日")</f>
        <v>表示銘柄数超過</v>
      </c>
      <c r="Y73" s="26" t="str">
        <f>IF(C73&gt;_xll.RssMarket(A73,"年初来高値"),"○","×")</f>
        <v>×</v>
      </c>
      <c r="Z73" s="27" t="str">
        <f>IF(C73&lt;=_xll.RssMarket(A73,"年初来安値"),"○","×")</f>
        <v>○</v>
      </c>
    </row>
    <row r="74" spans="1:26" x14ac:dyDescent="0.25">
      <c r="A74" s="47">
        <v>1925</v>
      </c>
      <c r="B74" s="20" t="str">
        <f>_xll.RssMarket(A74,"銘柄名称")</f>
        <v>表示銘柄数超過</v>
      </c>
      <c r="C74" s="21" t="str">
        <f>_xll.RssMarket(A74,"現在値")</f>
        <v>表示銘柄数超過</v>
      </c>
      <c r="D74" s="20" t="str">
        <f>_xll.RssMarket(A74,"現在値詳細時刻")</f>
        <v>表示銘柄数超過</v>
      </c>
      <c r="E74" s="22" t="str">
        <f>_xll.RssMarket(A74,"前日比")</f>
        <v>表示銘柄数超過</v>
      </c>
      <c r="F74" s="23" t="e">
        <f>_xll.RssMarket(A74,"前日比率")/100</f>
        <v>#VALUE!</v>
      </c>
      <c r="G74" s="24" t="str">
        <f>IFERROR(VLOOKUP(A74,取得元!$A$2:$F$501,2,FALSE),"-")</f>
        <v>-</v>
      </c>
      <c r="H74" s="24" t="str">
        <f>IFERROR(VLOOKUP(A74,取得元!$A$2:$F$501,3,FALSE),"-")</f>
        <v>-</v>
      </c>
      <c r="I74" s="24" t="str">
        <f>IFERROR(VLOOKUP(A74,取得元!$A$2:$F$501,4,FALSE),"-")</f>
        <v>-</v>
      </c>
      <c r="J74" s="5" t="str">
        <f>IFERROR(VLOOKUP(A74,取得元!$A$2:$F$501,5,FALSE),"-")</f>
        <v>-</v>
      </c>
      <c r="K74" s="25" t="str">
        <f>IFERROR(VLOOKUP(A74,取得元!$A$2:$F$501,6,FALSE)/100,"-")</f>
        <v>-</v>
      </c>
      <c r="L74" s="21" t="str">
        <f>_xll.RssMarket(A74,"始値")</f>
        <v>表示銘柄数超過</v>
      </c>
      <c r="M74" s="4" t="e">
        <f t="shared" si="5"/>
        <v>#VALUE!</v>
      </c>
      <c r="N74" s="21" t="str">
        <f>_xll.RssMarket(A74,"高値")</f>
        <v>表示銘柄数超過</v>
      </c>
      <c r="O74" s="4" t="e">
        <f t="shared" si="6"/>
        <v>#VALUE!</v>
      </c>
      <c r="P74" s="21" t="str">
        <f>_xll.RssMarket(A74,"安値")</f>
        <v>表示銘柄数超過</v>
      </c>
      <c r="Q74" s="4" t="e">
        <f t="shared" si="7"/>
        <v>#VALUE!</v>
      </c>
      <c r="R74" s="21" t="str">
        <f>_xll.RssMarket(A74,"後場始値")</f>
        <v>表示銘柄数超過</v>
      </c>
      <c r="S74" s="25" t="str">
        <f t="shared" si="8"/>
        <v>-</v>
      </c>
      <c r="T74" s="7" t="str">
        <f>_xll.RssMarket(A74,"出来高加重平均")</f>
        <v>表示銘柄数超過</v>
      </c>
      <c r="U74" s="4" t="e">
        <f t="shared" si="9"/>
        <v>#VALUE!</v>
      </c>
      <c r="V74" s="21" t="str">
        <f>_xll.RssMarket(A74,"出来高")</f>
        <v>表示銘柄数超過</v>
      </c>
      <c r="W74" s="21" t="str">
        <f>_xll.RssMarket(A74,"売買代金")</f>
        <v>表示銘柄数超過</v>
      </c>
      <c r="X74" s="20" t="str">
        <f>_xll.RssMarket(A74,"決算発表日")</f>
        <v>表示銘柄数超過</v>
      </c>
      <c r="Y74" s="26" t="str">
        <f>IF(C74&gt;_xll.RssMarket(A74,"年初来高値"),"○","×")</f>
        <v>×</v>
      </c>
      <c r="Z74" s="27" t="str">
        <f>IF(C74&lt;=_xll.RssMarket(A74,"年初来安値"),"○","×")</f>
        <v>○</v>
      </c>
    </row>
    <row r="75" spans="1:26" x14ac:dyDescent="0.25">
      <c r="A75" s="49">
        <v>1928</v>
      </c>
      <c r="B75" s="20" t="str">
        <f>_xll.RssMarket(A75,"銘柄名称")</f>
        <v>表示銘柄数超過</v>
      </c>
      <c r="C75" s="21" t="str">
        <f>_xll.RssMarket(A75,"現在値")</f>
        <v>表示銘柄数超過</v>
      </c>
      <c r="D75" s="20" t="str">
        <f>_xll.RssMarket(A75,"現在値詳細時刻")</f>
        <v>表示銘柄数超過</v>
      </c>
      <c r="E75" s="22" t="str">
        <f>_xll.RssMarket(A75,"前日比")</f>
        <v>表示銘柄数超過</v>
      </c>
      <c r="F75" s="23" t="e">
        <f>_xll.RssMarket(A75,"前日比率")/100</f>
        <v>#VALUE!</v>
      </c>
      <c r="G75" s="24" t="str">
        <f>IFERROR(VLOOKUP(A75,取得元!$A$2:$F$501,2,FALSE),"-")</f>
        <v>-</v>
      </c>
      <c r="H75" s="24" t="str">
        <f>IFERROR(VLOOKUP(A75,取得元!$A$2:$F$501,3,FALSE),"-")</f>
        <v>-</v>
      </c>
      <c r="I75" s="24" t="str">
        <f>IFERROR(VLOOKUP(A75,取得元!$A$2:$F$501,4,FALSE),"-")</f>
        <v>-</v>
      </c>
      <c r="J75" s="5" t="str">
        <f>IFERROR(VLOOKUP(A75,取得元!$A$2:$F$501,5,FALSE),"-")</f>
        <v>-</v>
      </c>
      <c r="K75" s="25" t="str">
        <f>IFERROR(VLOOKUP(A75,取得元!$A$2:$F$501,6,FALSE)/100,"-")</f>
        <v>-</v>
      </c>
      <c r="L75" s="21" t="str">
        <f>_xll.RssMarket(A75,"始値")</f>
        <v>表示銘柄数超過</v>
      </c>
      <c r="M75" s="4" t="e">
        <f t="shared" si="5"/>
        <v>#VALUE!</v>
      </c>
      <c r="N75" s="21" t="str">
        <f>_xll.RssMarket(A75,"高値")</f>
        <v>表示銘柄数超過</v>
      </c>
      <c r="O75" s="4" t="e">
        <f t="shared" si="6"/>
        <v>#VALUE!</v>
      </c>
      <c r="P75" s="21" t="str">
        <f>_xll.RssMarket(A75,"安値")</f>
        <v>表示銘柄数超過</v>
      </c>
      <c r="Q75" s="4" t="e">
        <f t="shared" si="7"/>
        <v>#VALUE!</v>
      </c>
      <c r="R75" s="21" t="str">
        <f>_xll.RssMarket(A75,"後場始値")</f>
        <v>表示銘柄数超過</v>
      </c>
      <c r="S75" s="25" t="str">
        <f t="shared" si="8"/>
        <v>-</v>
      </c>
      <c r="T75" s="7" t="str">
        <f>_xll.RssMarket(A75,"出来高加重平均")</f>
        <v>表示銘柄数超過</v>
      </c>
      <c r="U75" s="4" t="e">
        <f t="shared" si="9"/>
        <v>#VALUE!</v>
      </c>
      <c r="V75" s="21" t="str">
        <f>_xll.RssMarket(A75,"出来高")</f>
        <v>表示銘柄数超過</v>
      </c>
      <c r="W75" s="21" t="str">
        <f>_xll.RssMarket(A75,"売買代金")</f>
        <v>表示銘柄数超過</v>
      </c>
      <c r="X75" s="20" t="str">
        <f>_xll.RssMarket(A75,"決算発表日")</f>
        <v>表示銘柄数超過</v>
      </c>
      <c r="Y75" s="26" t="str">
        <f>IF(C75&gt;_xll.RssMarket(A75,"年初来高値"),"○","×")</f>
        <v>×</v>
      </c>
      <c r="Z75" s="27" t="str">
        <f>IF(C75&lt;=_xll.RssMarket(A75,"年初来安値"),"○","×")</f>
        <v>○</v>
      </c>
    </row>
    <row r="76" spans="1:26" x14ac:dyDescent="0.25">
      <c r="A76" s="47">
        <v>1930</v>
      </c>
      <c r="B76" s="20" t="str">
        <f>_xll.RssMarket(A76,"銘柄名称")</f>
        <v>表示銘柄数超過</v>
      </c>
      <c r="C76" s="21" t="str">
        <f>_xll.RssMarket(A76,"現在値")</f>
        <v>表示銘柄数超過</v>
      </c>
      <c r="D76" s="20" t="str">
        <f>_xll.RssMarket(A76,"現在値詳細時刻")</f>
        <v>表示銘柄数超過</v>
      </c>
      <c r="E76" s="22" t="str">
        <f>_xll.RssMarket(A76,"前日比")</f>
        <v>表示銘柄数超過</v>
      </c>
      <c r="F76" s="23" t="e">
        <f>_xll.RssMarket(A76,"前日比率")/100</f>
        <v>#VALUE!</v>
      </c>
      <c r="G76" s="24" t="str">
        <f>IFERROR(VLOOKUP(A76,取得元!$A$2:$F$501,2,FALSE),"-")</f>
        <v>-</v>
      </c>
      <c r="H76" s="24" t="str">
        <f>IFERROR(VLOOKUP(A76,取得元!$A$2:$F$501,3,FALSE),"-")</f>
        <v>-</v>
      </c>
      <c r="I76" s="24" t="str">
        <f>IFERROR(VLOOKUP(A76,取得元!$A$2:$F$501,4,FALSE),"-")</f>
        <v>-</v>
      </c>
      <c r="J76" s="5" t="str">
        <f>IFERROR(VLOOKUP(A76,取得元!$A$2:$F$501,5,FALSE),"-")</f>
        <v>-</v>
      </c>
      <c r="K76" s="25" t="str">
        <f>IFERROR(VLOOKUP(A76,取得元!$A$2:$F$501,6,FALSE)/100,"-")</f>
        <v>-</v>
      </c>
      <c r="L76" s="21" t="str">
        <f>_xll.RssMarket(A76,"始値")</f>
        <v>表示銘柄数超過</v>
      </c>
      <c r="M76" s="4" t="e">
        <f t="shared" si="5"/>
        <v>#VALUE!</v>
      </c>
      <c r="N76" s="21" t="str">
        <f>_xll.RssMarket(A76,"高値")</f>
        <v>表示銘柄数超過</v>
      </c>
      <c r="O76" s="4" t="e">
        <f t="shared" si="6"/>
        <v>#VALUE!</v>
      </c>
      <c r="P76" s="21" t="str">
        <f>_xll.RssMarket(A76,"安値")</f>
        <v>表示銘柄数超過</v>
      </c>
      <c r="Q76" s="4" t="e">
        <f t="shared" si="7"/>
        <v>#VALUE!</v>
      </c>
      <c r="R76" s="21" t="str">
        <f>_xll.RssMarket(A76,"後場始値")</f>
        <v>表示銘柄数超過</v>
      </c>
      <c r="S76" s="25" t="str">
        <f t="shared" si="8"/>
        <v>-</v>
      </c>
      <c r="T76" s="7" t="str">
        <f>_xll.RssMarket(A76,"出来高加重平均")</f>
        <v>表示銘柄数超過</v>
      </c>
      <c r="U76" s="4" t="e">
        <f t="shared" si="9"/>
        <v>#VALUE!</v>
      </c>
      <c r="V76" s="21" t="str">
        <f>_xll.RssMarket(A76,"出来高")</f>
        <v>表示銘柄数超過</v>
      </c>
      <c r="W76" s="21" t="str">
        <f>_xll.RssMarket(A76,"売買代金")</f>
        <v>表示銘柄数超過</v>
      </c>
      <c r="X76" s="20" t="str">
        <f>_xll.RssMarket(A76,"決算発表日")</f>
        <v>表示銘柄数超過</v>
      </c>
      <c r="Y76" s="26" t="str">
        <f>IF(C76&gt;_xll.RssMarket(A76,"年初来高値"),"○","×")</f>
        <v>×</v>
      </c>
      <c r="Z76" s="27" t="str">
        <f>IF(C76&lt;=_xll.RssMarket(A76,"年初来安値"),"○","×")</f>
        <v>○</v>
      </c>
    </row>
    <row r="77" spans="1:26" x14ac:dyDescent="0.25">
      <c r="A77" s="49">
        <v>1938</v>
      </c>
      <c r="B77" s="20" t="str">
        <f>_xll.RssMarket(A77,"銘柄名称")</f>
        <v>表示銘柄数超過</v>
      </c>
      <c r="C77" s="21" t="str">
        <f>_xll.RssMarket(A77,"現在値")</f>
        <v>表示銘柄数超過</v>
      </c>
      <c r="D77" s="20" t="str">
        <f>_xll.RssMarket(A77,"現在値詳細時刻")</f>
        <v>表示銘柄数超過</v>
      </c>
      <c r="E77" s="22" t="str">
        <f>_xll.RssMarket(A77,"前日比")</f>
        <v>表示銘柄数超過</v>
      </c>
      <c r="F77" s="23" t="e">
        <f>_xll.RssMarket(A77,"前日比率")/100</f>
        <v>#VALUE!</v>
      </c>
      <c r="G77" s="24" t="str">
        <f>IFERROR(VLOOKUP(A77,取得元!$A$2:$F$501,2,FALSE),"-")</f>
        <v>-</v>
      </c>
      <c r="H77" s="24" t="str">
        <f>IFERROR(VLOOKUP(A77,取得元!$A$2:$F$501,3,FALSE),"-")</f>
        <v>-</v>
      </c>
      <c r="I77" s="24" t="str">
        <f>IFERROR(VLOOKUP(A77,取得元!$A$2:$F$501,4,FALSE),"-")</f>
        <v>-</v>
      </c>
      <c r="J77" s="5" t="str">
        <f>IFERROR(VLOOKUP(A77,取得元!$A$2:$F$501,5,FALSE),"-")</f>
        <v>-</v>
      </c>
      <c r="K77" s="25" t="str">
        <f>IFERROR(VLOOKUP(A77,取得元!$A$2:$F$501,6,FALSE)/100,"-")</f>
        <v>-</v>
      </c>
      <c r="L77" s="21" t="str">
        <f>_xll.RssMarket(A77,"始値")</f>
        <v>表示銘柄数超過</v>
      </c>
      <c r="M77" s="4" t="e">
        <f t="shared" si="5"/>
        <v>#VALUE!</v>
      </c>
      <c r="N77" s="21" t="str">
        <f>_xll.RssMarket(A77,"高値")</f>
        <v>表示銘柄数超過</v>
      </c>
      <c r="O77" s="4" t="e">
        <f t="shared" si="6"/>
        <v>#VALUE!</v>
      </c>
      <c r="P77" s="21" t="str">
        <f>_xll.RssMarket(A77,"安値")</f>
        <v>表示銘柄数超過</v>
      </c>
      <c r="Q77" s="4" t="e">
        <f t="shared" si="7"/>
        <v>#VALUE!</v>
      </c>
      <c r="R77" s="21" t="str">
        <f>_xll.RssMarket(A77,"後場始値")</f>
        <v>表示銘柄数超過</v>
      </c>
      <c r="S77" s="25" t="str">
        <f t="shared" si="8"/>
        <v>-</v>
      </c>
      <c r="T77" s="7" t="str">
        <f>_xll.RssMarket(A77,"出来高加重平均")</f>
        <v>表示銘柄数超過</v>
      </c>
      <c r="U77" s="4" t="e">
        <f t="shared" si="9"/>
        <v>#VALUE!</v>
      </c>
      <c r="V77" s="21" t="str">
        <f>_xll.RssMarket(A77,"出来高")</f>
        <v>表示銘柄数超過</v>
      </c>
      <c r="W77" s="21" t="str">
        <f>_xll.RssMarket(A77,"売買代金")</f>
        <v>表示銘柄数超過</v>
      </c>
      <c r="X77" s="20" t="str">
        <f>_xll.RssMarket(A77,"決算発表日")</f>
        <v>表示銘柄数超過</v>
      </c>
      <c r="Y77" s="26" t="str">
        <f>IF(C77&gt;_xll.RssMarket(A77,"年初来高値"),"○","×")</f>
        <v>×</v>
      </c>
      <c r="Z77" s="27" t="str">
        <f>IF(C77&lt;=_xll.RssMarket(A77,"年初来安値"),"○","×")</f>
        <v>○</v>
      </c>
    </row>
    <row r="78" spans="1:26" x14ac:dyDescent="0.25">
      <c r="A78" s="47">
        <v>1939</v>
      </c>
      <c r="B78" s="20" t="str">
        <f>_xll.RssMarket(A78,"銘柄名称")</f>
        <v>表示銘柄数超過</v>
      </c>
      <c r="C78" s="21" t="str">
        <f>_xll.RssMarket(A78,"現在値")</f>
        <v>表示銘柄数超過</v>
      </c>
      <c r="D78" s="20" t="str">
        <f>_xll.RssMarket(A78,"現在値詳細時刻")</f>
        <v>表示銘柄数超過</v>
      </c>
      <c r="E78" s="22" t="str">
        <f>_xll.RssMarket(A78,"前日比")</f>
        <v>表示銘柄数超過</v>
      </c>
      <c r="F78" s="23" t="e">
        <f>_xll.RssMarket(A78,"前日比率")/100</f>
        <v>#VALUE!</v>
      </c>
      <c r="G78" s="24" t="str">
        <f>IFERROR(VLOOKUP(A78,取得元!$A$2:$F$501,2,FALSE),"-")</f>
        <v>-</v>
      </c>
      <c r="H78" s="24" t="str">
        <f>IFERROR(VLOOKUP(A78,取得元!$A$2:$F$501,3,FALSE),"-")</f>
        <v>-</v>
      </c>
      <c r="I78" s="24" t="str">
        <f>IFERROR(VLOOKUP(A78,取得元!$A$2:$F$501,4,FALSE),"-")</f>
        <v>-</v>
      </c>
      <c r="J78" s="5" t="str">
        <f>IFERROR(VLOOKUP(A78,取得元!$A$2:$F$501,5,FALSE),"-")</f>
        <v>-</v>
      </c>
      <c r="K78" s="25" t="str">
        <f>IFERROR(VLOOKUP(A78,取得元!$A$2:$F$501,6,FALSE)/100,"-")</f>
        <v>-</v>
      </c>
      <c r="L78" s="21" t="str">
        <f>_xll.RssMarket(A78,"始値")</f>
        <v>表示銘柄数超過</v>
      </c>
      <c r="M78" s="4" t="e">
        <f t="shared" si="5"/>
        <v>#VALUE!</v>
      </c>
      <c r="N78" s="21" t="str">
        <f>_xll.RssMarket(A78,"高値")</f>
        <v>表示銘柄数超過</v>
      </c>
      <c r="O78" s="4" t="e">
        <f t="shared" si="6"/>
        <v>#VALUE!</v>
      </c>
      <c r="P78" s="21" t="str">
        <f>_xll.RssMarket(A78,"安値")</f>
        <v>表示銘柄数超過</v>
      </c>
      <c r="Q78" s="4" t="e">
        <f t="shared" si="7"/>
        <v>#VALUE!</v>
      </c>
      <c r="R78" s="21" t="str">
        <f>_xll.RssMarket(A78,"後場始値")</f>
        <v>表示銘柄数超過</v>
      </c>
      <c r="S78" s="25" t="str">
        <f t="shared" si="8"/>
        <v>-</v>
      </c>
      <c r="T78" s="7" t="str">
        <f>_xll.RssMarket(A78,"出来高加重平均")</f>
        <v>表示銘柄数超過</v>
      </c>
      <c r="U78" s="4" t="e">
        <f t="shared" si="9"/>
        <v>#VALUE!</v>
      </c>
      <c r="V78" s="21" t="str">
        <f>_xll.RssMarket(A78,"出来高")</f>
        <v>表示銘柄数超過</v>
      </c>
      <c r="W78" s="21" t="str">
        <f>_xll.RssMarket(A78,"売買代金")</f>
        <v>表示銘柄数超過</v>
      </c>
      <c r="X78" s="20" t="str">
        <f>_xll.RssMarket(A78,"決算発表日")</f>
        <v>表示銘柄数超過</v>
      </c>
      <c r="Y78" s="26" t="str">
        <f>IF(C78&gt;_xll.RssMarket(A78,"年初来高値"),"○","×")</f>
        <v>×</v>
      </c>
      <c r="Z78" s="27" t="str">
        <f>IF(C78&lt;=_xll.RssMarket(A78,"年初来安値"),"○","×")</f>
        <v>○</v>
      </c>
    </row>
    <row r="79" spans="1:26" x14ac:dyDescent="0.25">
      <c r="A79" s="49">
        <v>1941</v>
      </c>
      <c r="B79" s="20" t="str">
        <f>_xll.RssMarket(A79,"銘柄名称")</f>
        <v>表示銘柄数超過</v>
      </c>
      <c r="C79" s="21" t="str">
        <f>_xll.RssMarket(A79,"現在値")</f>
        <v>表示銘柄数超過</v>
      </c>
      <c r="D79" s="20" t="str">
        <f>_xll.RssMarket(A79,"現在値詳細時刻")</f>
        <v>表示銘柄数超過</v>
      </c>
      <c r="E79" s="22" t="str">
        <f>_xll.RssMarket(A79,"前日比")</f>
        <v>表示銘柄数超過</v>
      </c>
      <c r="F79" s="23" t="e">
        <f>_xll.RssMarket(A79,"前日比率")/100</f>
        <v>#VALUE!</v>
      </c>
      <c r="G79" s="24" t="str">
        <f>IFERROR(VLOOKUP(A79,取得元!$A$2:$F$501,2,FALSE),"-")</f>
        <v>-</v>
      </c>
      <c r="H79" s="24" t="str">
        <f>IFERROR(VLOOKUP(A79,取得元!$A$2:$F$501,3,FALSE),"-")</f>
        <v>-</v>
      </c>
      <c r="I79" s="24" t="str">
        <f>IFERROR(VLOOKUP(A79,取得元!$A$2:$F$501,4,FALSE),"-")</f>
        <v>-</v>
      </c>
      <c r="J79" s="5" t="str">
        <f>IFERROR(VLOOKUP(A79,取得元!$A$2:$F$501,5,FALSE),"-")</f>
        <v>-</v>
      </c>
      <c r="K79" s="25" t="str">
        <f>IFERROR(VLOOKUP(A79,取得元!$A$2:$F$501,6,FALSE)/100,"-")</f>
        <v>-</v>
      </c>
      <c r="L79" s="21" t="str">
        <f>_xll.RssMarket(A79,"始値")</f>
        <v>表示銘柄数超過</v>
      </c>
      <c r="M79" s="4" t="e">
        <f t="shared" si="5"/>
        <v>#VALUE!</v>
      </c>
      <c r="N79" s="21" t="str">
        <f>_xll.RssMarket(A79,"高値")</f>
        <v>表示銘柄数超過</v>
      </c>
      <c r="O79" s="4" t="e">
        <f t="shared" si="6"/>
        <v>#VALUE!</v>
      </c>
      <c r="P79" s="21" t="str">
        <f>_xll.RssMarket(A79,"安値")</f>
        <v>表示銘柄数超過</v>
      </c>
      <c r="Q79" s="4" t="e">
        <f t="shared" si="7"/>
        <v>#VALUE!</v>
      </c>
      <c r="R79" s="21" t="str">
        <f>_xll.RssMarket(A79,"後場始値")</f>
        <v>表示銘柄数超過</v>
      </c>
      <c r="S79" s="25" t="str">
        <f t="shared" si="8"/>
        <v>-</v>
      </c>
      <c r="T79" s="7" t="str">
        <f>_xll.RssMarket(A79,"出来高加重平均")</f>
        <v>表示銘柄数超過</v>
      </c>
      <c r="U79" s="4" t="e">
        <f t="shared" si="9"/>
        <v>#VALUE!</v>
      </c>
      <c r="V79" s="21" t="str">
        <f>_xll.RssMarket(A79,"出来高")</f>
        <v>表示銘柄数超過</v>
      </c>
      <c r="W79" s="21" t="str">
        <f>_xll.RssMarket(A79,"売買代金")</f>
        <v>表示銘柄数超過</v>
      </c>
      <c r="X79" s="20" t="str">
        <f>_xll.RssMarket(A79,"決算発表日")</f>
        <v>表示銘柄数超過</v>
      </c>
      <c r="Y79" s="26" t="str">
        <f>IF(C79&gt;_xll.RssMarket(A79,"年初来高値"),"○","×")</f>
        <v>×</v>
      </c>
      <c r="Z79" s="27" t="str">
        <f>IF(C79&lt;=_xll.RssMarket(A79,"年初来安値"),"○","×")</f>
        <v>○</v>
      </c>
    </row>
    <row r="80" spans="1:26" x14ac:dyDescent="0.25">
      <c r="A80" s="47">
        <v>1942</v>
      </c>
      <c r="B80" s="20" t="str">
        <f>_xll.RssMarket(A80,"銘柄名称")</f>
        <v>表示銘柄数超過</v>
      </c>
      <c r="C80" s="21" t="str">
        <f>_xll.RssMarket(A80,"現在値")</f>
        <v>表示銘柄数超過</v>
      </c>
      <c r="D80" s="20" t="str">
        <f>_xll.RssMarket(A80,"現在値詳細時刻")</f>
        <v>表示銘柄数超過</v>
      </c>
      <c r="E80" s="22" t="str">
        <f>_xll.RssMarket(A80,"前日比")</f>
        <v>表示銘柄数超過</v>
      </c>
      <c r="F80" s="23" t="e">
        <f>_xll.RssMarket(A80,"前日比率")/100</f>
        <v>#VALUE!</v>
      </c>
      <c r="G80" s="24" t="str">
        <f>IFERROR(VLOOKUP(A80,取得元!$A$2:$F$501,2,FALSE),"-")</f>
        <v>-</v>
      </c>
      <c r="H80" s="24" t="str">
        <f>IFERROR(VLOOKUP(A80,取得元!$A$2:$F$501,3,FALSE),"-")</f>
        <v>-</v>
      </c>
      <c r="I80" s="24" t="str">
        <f>IFERROR(VLOOKUP(A80,取得元!$A$2:$F$501,4,FALSE),"-")</f>
        <v>-</v>
      </c>
      <c r="J80" s="5" t="str">
        <f>IFERROR(VLOOKUP(A80,取得元!$A$2:$F$501,5,FALSE),"-")</f>
        <v>-</v>
      </c>
      <c r="K80" s="25" t="str">
        <f>IFERROR(VLOOKUP(A80,取得元!$A$2:$F$501,6,FALSE)/100,"-")</f>
        <v>-</v>
      </c>
      <c r="L80" s="21" t="str">
        <f>_xll.RssMarket(A80,"始値")</f>
        <v>表示銘柄数超過</v>
      </c>
      <c r="M80" s="4" t="e">
        <f t="shared" si="5"/>
        <v>#VALUE!</v>
      </c>
      <c r="N80" s="21" t="str">
        <f>_xll.RssMarket(A80,"高値")</f>
        <v>表示銘柄数超過</v>
      </c>
      <c r="O80" s="4" t="e">
        <f t="shared" si="6"/>
        <v>#VALUE!</v>
      </c>
      <c r="P80" s="21" t="str">
        <f>_xll.RssMarket(A80,"安値")</f>
        <v>表示銘柄数超過</v>
      </c>
      <c r="Q80" s="4" t="e">
        <f t="shared" si="7"/>
        <v>#VALUE!</v>
      </c>
      <c r="R80" s="21" t="str">
        <f>_xll.RssMarket(A80,"後場始値")</f>
        <v>表示銘柄数超過</v>
      </c>
      <c r="S80" s="25" t="str">
        <f t="shared" si="8"/>
        <v>-</v>
      </c>
      <c r="T80" s="7" t="str">
        <f>_xll.RssMarket(A80,"出来高加重平均")</f>
        <v>表示銘柄数超過</v>
      </c>
      <c r="U80" s="4" t="e">
        <f t="shared" si="9"/>
        <v>#VALUE!</v>
      </c>
      <c r="V80" s="21" t="str">
        <f>_xll.RssMarket(A80,"出来高")</f>
        <v>表示銘柄数超過</v>
      </c>
      <c r="W80" s="21" t="str">
        <f>_xll.RssMarket(A80,"売買代金")</f>
        <v>表示銘柄数超過</v>
      </c>
      <c r="X80" s="20" t="str">
        <f>_xll.RssMarket(A80,"決算発表日")</f>
        <v>表示銘柄数超過</v>
      </c>
      <c r="Y80" s="26" t="str">
        <f>IF(C80&gt;_xll.RssMarket(A80,"年初来高値"),"○","×")</f>
        <v>×</v>
      </c>
      <c r="Z80" s="27" t="str">
        <f>IF(C80&lt;=_xll.RssMarket(A80,"年初来安値"),"○","×")</f>
        <v>○</v>
      </c>
    </row>
    <row r="81" spans="1:26" x14ac:dyDescent="0.25">
      <c r="A81" s="49">
        <v>1950</v>
      </c>
      <c r="B81" s="20" t="str">
        <f>_xll.RssMarket(A81,"銘柄名称")</f>
        <v>表示銘柄数超過</v>
      </c>
      <c r="C81" s="21" t="str">
        <f>_xll.RssMarket(A81,"現在値")</f>
        <v>表示銘柄数超過</v>
      </c>
      <c r="D81" s="20" t="str">
        <f>_xll.RssMarket(A81,"現在値詳細時刻")</f>
        <v>表示銘柄数超過</v>
      </c>
      <c r="E81" s="22" t="str">
        <f>_xll.RssMarket(A81,"前日比")</f>
        <v>表示銘柄数超過</v>
      </c>
      <c r="F81" s="23" t="e">
        <f>_xll.RssMarket(A81,"前日比率")/100</f>
        <v>#VALUE!</v>
      </c>
      <c r="G81" s="24" t="str">
        <f>IFERROR(VLOOKUP(A81,取得元!$A$2:$F$501,2,FALSE),"-")</f>
        <v>-</v>
      </c>
      <c r="H81" s="24" t="str">
        <f>IFERROR(VLOOKUP(A81,取得元!$A$2:$F$501,3,FALSE),"-")</f>
        <v>-</v>
      </c>
      <c r="I81" s="24" t="str">
        <f>IFERROR(VLOOKUP(A81,取得元!$A$2:$F$501,4,FALSE),"-")</f>
        <v>-</v>
      </c>
      <c r="J81" s="5" t="str">
        <f>IFERROR(VLOOKUP(A81,取得元!$A$2:$F$501,5,FALSE),"-")</f>
        <v>-</v>
      </c>
      <c r="K81" s="25" t="str">
        <f>IFERROR(VLOOKUP(A81,取得元!$A$2:$F$501,6,FALSE)/100,"-")</f>
        <v>-</v>
      </c>
      <c r="L81" s="21" t="str">
        <f>_xll.RssMarket(A81,"始値")</f>
        <v>表示銘柄数超過</v>
      </c>
      <c r="M81" s="4" t="e">
        <f t="shared" si="5"/>
        <v>#VALUE!</v>
      </c>
      <c r="N81" s="21" t="str">
        <f>_xll.RssMarket(A81,"高値")</f>
        <v>表示銘柄数超過</v>
      </c>
      <c r="O81" s="4" t="e">
        <f t="shared" si="6"/>
        <v>#VALUE!</v>
      </c>
      <c r="P81" s="21" t="str">
        <f>_xll.RssMarket(A81,"安値")</f>
        <v>表示銘柄数超過</v>
      </c>
      <c r="Q81" s="4" t="e">
        <f t="shared" si="7"/>
        <v>#VALUE!</v>
      </c>
      <c r="R81" s="21" t="str">
        <f>_xll.RssMarket(A81,"後場始値")</f>
        <v>表示銘柄数超過</v>
      </c>
      <c r="S81" s="25" t="str">
        <f t="shared" si="8"/>
        <v>-</v>
      </c>
      <c r="T81" s="7" t="str">
        <f>_xll.RssMarket(A81,"出来高加重平均")</f>
        <v>表示銘柄数超過</v>
      </c>
      <c r="U81" s="4" t="e">
        <f t="shared" si="9"/>
        <v>#VALUE!</v>
      </c>
      <c r="V81" s="21" t="str">
        <f>_xll.RssMarket(A81,"出来高")</f>
        <v>表示銘柄数超過</v>
      </c>
      <c r="W81" s="21" t="str">
        <f>_xll.RssMarket(A81,"売買代金")</f>
        <v>表示銘柄数超過</v>
      </c>
      <c r="X81" s="20" t="str">
        <f>_xll.RssMarket(A81,"決算発表日")</f>
        <v>表示銘柄数超過</v>
      </c>
      <c r="Y81" s="26" t="str">
        <f>IF(C81&gt;_xll.RssMarket(A81,"年初来高値"),"○","×")</f>
        <v>×</v>
      </c>
      <c r="Z81" s="27" t="str">
        <f>IF(C81&lt;=_xll.RssMarket(A81,"年初来安値"),"○","×")</f>
        <v>○</v>
      </c>
    </row>
    <row r="82" spans="1:26" x14ac:dyDescent="0.25">
      <c r="A82" s="47">
        <v>1960</v>
      </c>
      <c r="B82" s="20" t="str">
        <f>_xll.RssMarket(A82,"銘柄名称")</f>
        <v>表示銘柄数超過</v>
      </c>
      <c r="C82" s="21" t="str">
        <f>_xll.RssMarket(A82,"現在値")</f>
        <v>表示銘柄数超過</v>
      </c>
      <c r="D82" s="20" t="str">
        <f>_xll.RssMarket(A82,"現在値詳細時刻")</f>
        <v>表示銘柄数超過</v>
      </c>
      <c r="E82" s="22" t="str">
        <f>_xll.RssMarket(A82,"前日比")</f>
        <v>表示銘柄数超過</v>
      </c>
      <c r="F82" s="23" t="e">
        <f>_xll.RssMarket(A82,"前日比率")/100</f>
        <v>#VALUE!</v>
      </c>
      <c r="G82" s="24" t="str">
        <f>IFERROR(VLOOKUP(A82,取得元!$A$2:$F$501,2,FALSE),"-")</f>
        <v>-</v>
      </c>
      <c r="H82" s="24" t="str">
        <f>IFERROR(VLOOKUP(A82,取得元!$A$2:$F$501,3,FALSE),"-")</f>
        <v>-</v>
      </c>
      <c r="I82" s="24" t="str">
        <f>IFERROR(VLOOKUP(A82,取得元!$A$2:$F$501,4,FALSE),"-")</f>
        <v>-</v>
      </c>
      <c r="J82" s="5" t="str">
        <f>IFERROR(VLOOKUP(A82,取得元!$A$2:$F$501,5,FALSE),"-")</f>
        <v>-</v>
      </c>
      <c r="K82" s="25" t="str">
        <f>IFERROR(VLOOKUP(A82,取得元!$A$2:$F$501,6,FALSE)/100,"-")</f>
        <v>-</v>
      </c>
      <c r="L82" s="21" t="str">
        <f>_xll.RssMarket(A82,"始値")</f>
        <v>表示銘柄数超過</v>
      </c>
      <c r="M82" s="4" t="e">
        <f t="shared" si="5"/>
        <v>#VALUE!</v>
      </c>
      <c r="N82" s="21" t="str">
        <f>_xll.RssMarket(A82,"高値")</f>
        <v>表示銘柄数超過</v>
      </c>
      <c r="O82" s="4" t="e">
        <f t="shared" si="6"/>
        <v>#VALUE!</v>
      </c>
      <c r="P82" s="21" t="str">
        <f>_xll.RssMarket(A82,"安値")</f>
        <v>表示銘柄数超過</v>
      </c>
      <c r="Q82" s="4" t="e">
        <f t="shared" si="7"/>
        <v>#VALUE!</v>
      </c>
      <c r="R82" s="21" t="str">
        <f>_xll.RssMarket(A82,"後場始値")</f>
        <v>表示銘柄数超過</v>
      </c>
      <c r="S82" s="25" t="str">
        <f t="shared" si="8"/>
        <v>-</v>
      </c>
      <c r="T82" s="7" t="str">
        <f>_xll.RssMarket(A82,"出来高加重平均")</f>
        <v>表示銘柄数超過</v>
      </c>
      <c r="U82" s="4" t="e">
        <f t="shared" si="9"/>
        <v>#VALUE!</v>
      </c>
      <c r="V82" s="21" t="str">
        <f>_xll.RssMarket(A82,"出来高")</f>
        <v>表示銘柄数超過</v>
      </c>
      <c r="W82" s="21" t="str">
        <f>_xll.RssMarket(A82,"売買代金")</f>
        <v>表示銘柄数超過</v>
      </c>
      <c r="X82" s="20" t="str">
        <f>_xll.RssMarket(A82,"決算発表日")</f>
        <v>表示銘柄数超過</v>
      </c>
      <c r="Y82" s="26" t="str">
        <f>IF(C82&gt;_xll.RssMarket(A82,"年初来高値"),"○","×")</f>
        <v>×</v>
      </c>
      <c r="Z82" s="27" t="str">
        <f>IF(C82&lt;=_xll.RssMarket(A82,"年初来安値"),"○","×")</f>
        <v>○</v>
      </c>
    </row>
    <row r="83" spans="1:26" x14ac:dyDescent="0.25">
      <c r="A83" s="49">
        <v>1965</v>
      </c>
      <c r="B83" s="20" t="str">
        <f>_xll.RssMarket(A83,"銘柄名称")</f>
        <v>表示銘柄数超過</v>
      </c>
      <c r="C83" s="21" t="str">
        <f>_xll.RssMarket(A83,"現在値")</f>
        <v>表示銘柄数超過</v>
      </c>
      <c r="D83" s="20" t="str">
        <f>_xll.RssMarket(A83,"現在値詳細時刻")</f>
        <v>表示銘柄数超過</v>
      </c>
      <c r="E83" s="22" t="str">
        <f>_xll.RssMarket(A83,"前日比")</f>
        <v>表示銘柄数超過</v>
      </c>
      <c r="F83" s="23" t="e">
        <f>_xll.RssMarket(A83,"前日比率")/100</f>
        <v>#VALUE!</v>
      </c>
      <c r="G83" s="24" t="str">
        <f>IFERROR(VLOOKUP(A83,取得元!$A$2:$F$501,2,FALSE),"-")</f>
        <v>-</v>
      </c>
      <c r="H83" s="24" t="str">
        <f>IFERROR(VLOOKUP(A83,取得元!$A$2:$F$501,3,FALSE),"-")</f>
        <v>-</v>
      </c>
      <c r="I83" s="24" t="str">
        <f>IFERROR(VLOOKUP(A83,取得元!$A$2:$F$501,4,FALSE),"-")</f>
        <v>-</v>
      </c>
      <c r="J83" s="5" t="str">
        <f>IFERROR(VLOOKUP(A83,取得元!$A$2:$F$501,5,FALSE),"-")</f>
        <v>-</v>
      </c>
      <c r="K83" s="25" t="str">
        <f>IFERROR(VLOOKUP(A83,取得元!$A$2:$F$501,6,FALSE)/100,"-")</f>
        <v>-</v>
      </c>
      <c r="L83" s="21" t="str">
        <f>_xll.RssMarket(A83,"始値")</f>
        <v>表示銘柄数超過</v>
      </c>
      <c r="M83" s="4" t="e">
        <f t="shared" si="5"/>
        <v>#VALUE!</v>
      </c>
      <c r="N83" s="21" t="str">
        <f>_xll.RssMarket(A83,"高値")</f>
        <v>表示銘柄数超過</v>
      </c>
      <c r="O83" s="4" t="e">
        <f t="shared" si="6"/>
        <v>#VALUE!</v>
      </c>
      <c r="P83" s="21" t="str">
        <f>_xll.RssMarket(A83,"安値")</f>
        <v>表示銘柄数超過</v>
      </c>
      <c r="Q83" s="4" t="e">
        <f t="shared" si="7"/>
        <v>#VALUE!</v>
      </c>
      <c r="R83" s="21" t="str">
        <f>_xll.RssMarket(A83,"後場始値")</f>
        <v>表示銘柄数超過</v>
      </c>
      <c r="S83" s="25" t="str">
        <f t="shared" si="8"/>
        <v>-</v>
      </c>
      <c r="T83" s="7" t="str">
        <f>_xll.RssMarket(A83,"出来高加重平均")</f>
        <v>表示銘柄数超過</v>
      </c>
      <c r="U83" s="4" t="e">
        <f t="shared" si="9"/>
        <v>#VALUE!</v>
      </c>
      <c r="V83" s="21" t="str">
        <f>_xll.RssMarket(A83,"出来高")</f>
        <v>表示銘柄数超過</v>
      </c>
      <c r="W83" s="21" t="str">
        <f>_xll.RssMarket(A83,"売買代金")</f>
        <v>表示銘柄数超過</v>
      </c>
      <c r="X83" s="20" t="str">
        <f>_xll.RssMarket(A83,"決算発表日")</f>
        <v>表示銘柄数超過</v>
      </c>
      <c r="Y83" s="26" t="str">
        <f>IF(C83&gt;_xll.RssMarket(A83,"年初来高値"),"○","×")</f>
        <v>×</v>
      </c>
      <c r="Z83" s="27" t="str">
        <f>IF(C83&lt;=_xll.RssMarket(A83,"年初来安値"),"○","×")</f>
        <v>○</v>
      </c>
    </row>
    <row r="84" spans="1:26" x14ac:dyDescent="0.25">
      <c r="A84" s="47">
        <v>1966</v>
      </c>
      <c r="B84" s="20" t="str">
        <f>_xll.RssMarket(A84,"銘柄名称")</f>
        <v>表示銘柄数超過</v>
      </c>
      <c r="C84" s="21" t="str">
        <f>_xll.RssMarket(A84,"現在値")</f>
        <v>表示銘柄数超過</v>
      </c>
      <c r="D84" s="20" t="str">
        <f>_xll.RssMarket(A84,"現在値詳細時刻")</f>
        <v>表示銘柄数超過</v>
      </c>
      <c r="E84" s="22" t="str">
        <f>_xll.RssMarket(A84,"前日比")</f>
        <v>表示銘柄数超過</v>
      </c>
      <c r="F84" s="23" t="e">
        <f>_xll.RssMarket(A84,"前日比率")/100</f>
        <v>#VALUE!</v>
      </c>
      <c r="G84" s="24" t="str">
        <f>IFERROR(VLOOKUP(A84,取得元!$A$2:$F$501,2,FALSE),"-")</f>
        <v>-</v>
      </c>
      <c r="H84" s="24" t="str">
        <f>IFERROR(VLOOKUP(A84,取得元!$A$2:$F$501,3,FALSE),"-")</f>
        <v>-</v>
      </c>
      <c r="I84" s="24" t="str">
        <f>IFERROR(VLOOKUP(A84,取得元!$A$2:$F$501,4,FALSE),"-")</f>
        <v>-</v>
      </c>
      <c r="J84" s="5" t="str">
        <f>IFERROR(VLOOKUP(A84,取得元!$A$2:$F$501,5,FALSE),"-")</f>
        <v>-</v>
      </c>
      <c r="K84" s="25" t="str">
        <f>IFERROR(VLOOKUP(A84,取得元!$A$2:$F$501,6,FALSE)/100,"-")</f>
        <v>-</v>
      </c>
      <c r="L84" s="21" t="str">
        <f>_xll.RssMarket(A84,"始値")</f>
        <v>表示銘柄数超過</v>
      </c>
      <c r="M84" s="4" t="e">
        <f t="shared" si="5"/>
        <v>#VALUE!</v>
      </c>
      <c r="N84" s="21" t="str">
        <f>_xll.RssMarket(A84,"高値")</f>
        <v>表示銘柄数超過</v>
      </c>
      <c r="O84" s="4" t="e">
        <f t="shared" si="6"/>
        <v>#VALUE!</v>
      </c>
      <c r="P84" s="21" t="str">
        <f>_xll.RssMarket(A84,"安値")</f>
        <v>表示銘柄数超過</v>
      </c>
      <c r="Q84" s="4" t="e">
        <f t="shared" si="7"/>
        <v>#VALUE!</v>
      </c>
      <c r="R84" s="21" t="str">
        <f>_xll.RssMarket(A84,"後場始値")</f>
        <v>表示銘柄数超過</v>
      </c>
      <c r="S84" s="25" t="str">
        <f t="shared" si="8"/>
        <v>-</v>
      </c>
      <c r="T84" s="7" t="str">
        <f>_xll.RssMarket(A84,"出来高加重平均")</f>
        <v>表示銘柄数超過</v>
      </c>
      <c r="U84" s="4" t="e">
        <f t="shared" si="9"/>
        <v>#VALUE!</v>
      </c>
      <c r="V84" s="21" t="str">
        <f>_xll.RssMarket(A84,"出来高")</f>
        <v>表示銘柄数超過</v>
      </c>
      <c r="W84" s="21" t="str">
        <f>_xll.RssMarket(A84,"売買代金")</f>
        <v>表示銘柄数超過</v>
      </c>
      <c r="X84" s="20" t="str">
        <f>_xll.RssMarket(A84,"決算発表日")</f>
        <v>表示銘柄数超過</v>
      </c>
      <c r="Y84" s="26" t="str">
        <f>IF(C84&gt;_xll.RssMarket(A84,"年初来高値"),"○","×")</f>
        <v>×</v>
      </c>
      <c r="Z84" s="27" t="str">
        <f>IF(C84&lt;=_xll.RssMarket(A84,"年初来安値"),"○","×")</f>
        <v>○</v>
      </c>
    </row>
    <row r="85" spans="1:26" x14ac:dyDescent="0.25">
      <c r="A85" s="49">
        <v>1971</v>
      </c>
      <c r="B85" s="20" t="str">
        <f>_xll.RssMarket(A85,"銘柄名称")</f>
        <v>表示銘柄数超過</v>
      </c>
      <c r="C85" s="21" t="str">
        <f>_xll.RssMarket(A85,"現在値")</f>
        <v>表示銘柄数超過</v>
      </c>
      <c r="D85" s="20" t="str">
        <f>_xll.RssMarket(A85,"現在値詳細時刻")</f>
        <v>表示銘柄数超過</v>
      </c>
      <c r="E85" s="22" t="str">
        <f>_xll.RssMarket(A85,"前日比")</f>
        <v>表示銘柄数超過</v>
      </c>
      <c r="F85" s="23" t="e">
        <f>_xll.RssMarket(A85,"前日比率")/100</f>
        <v>#VALUE!</v>
      </c>
      <c r="G85" s="24" t="str">
        <f>IFERROR(VLOOKUP(A85,取得元!$A$2:$F$501,2,FALSE),"-")</f>
        <v>-</v>
      </c>
      <c r="H85" s="24" t="str">
        <f>IFERROR(VLOOKUP(A85,取得元!$A$2:$F$501,3,FALSE),"-")</f>
        <v>-</v>
      </c>
      <c r="I85" s="24" t="str">
        <f>IFERROR(VLOOKUP(A85,取得元!$A$2:$F$501,4,FALSE),"-")</f>
        <v>-</v>
      </c>
      <c r="J85" s="5" t="str">
        <f>IFERROR(VLOOKUP(A85,取得元!$A$2:$F$501,5,FALSE),"-")</f>
        <v>-</v>
      </c>
      <c r="K85" s="25" t="str">
        <f>IFERROR(VLOOKUP(A85,取得元!$A$2:$F$501,6,FALSE)/100,"-")</f>
        <v>-</v>
      </c>
      <c r="L85" s="21" t="str">
        <f>_xll.RssMarket(A85,"始値")</f>
        <v>表示銘柄数超過</v>
      </c>
      <c r="M85" s="4" t="e">
        <f t="shared" si="5"/>
        <v>#VALUE!</v>
      </c>
      <c r="N85" s="21" t="str">
        <f>_xll.RssMarket(A85,"高値")</f>
        <v>表示銘柄数超過</v>
      </c>
      <c r="O85" s="4" t="e">
        <f t="shared" si="6"/>
        <v>#VALUE!</v>
      </c>
      <c r="P85" s="21" t="str">
        <f>_xll.RssMarket(A85,"安値")</f>
        <v>表示銘柄数超過</v>
      </c>
      <c r="Q85" s="4" t="e">
        <f t="shared" si="7"/>
        <v>#VALUE!</v>
      </c>
      <c r="R85" s="21" t="str">
        <f>_xll.RssMarket(A85,"後場始値")</f>
        <v>表示銘柄数超過</v>
      </c>
      <c r="S85" s="25" t="str">
        <f t="shared" si="8"/>
        <v>-</v>
      </c>
      <c r="T85" s="7" t="str">
        <f>_xll.RssMarket(A85,"出来高加重平均")</f>
        <v>表示銘柄数超過</v>
      </c>
      <c r="U85" s="4" t="e">
        <f t="shared" si="9"/>
        <v>#VALUE!</v>
      </c>
      <c r="V85" s="21" t="str">
        <f>_xll.RssMarket(A85,"出来高")</f>
        <v>表示銘柄数超過</v>
      </c>
      <c r="W85" s="21" t="str">
        <f>_xll.RssMarket(A85,"売買代金")</f>
        <v>表示銘柄数超過</v>
      </c>
      <c r="X85" s="20" t="str">
        <f>_xll.RssMarket(A85,"決算発表日")</f>
        <v>表示銘柄数超過</v>
      </c>
      <c r="Y85" s="26" t="str">
        <f>IF(C85&gt;_xll.RssMarket(A85,"年初来高値"),"○","×")</f>
        <v>×</v>
      </c>
      <c r="Z85" s="27" t="str">
        <f>IF(C85&lt;=_xll.RssMarket(A85,"年初来安値"),"○","×")</f>
        <v>○</v>
      </c>
    </row>
    <row r="86" spans="1:26" x14ac:dyDescent="0.25">
      <c r="A86" s="47">
        <v>1994</v>
      </c>
      <c r="B86" s="20" t="str">
        <f>_xll.RssMarket(A86,"銘柄名称")</f>
        <v>表示銘柄数超過</v>
      </c>
      <c r="C86" s="21" t="str">
        <f>_xll.RssMarket(A86,"現在値")</f>
        <v>表示銘柄数超過</v>
      </c>
      <c r="D86" s="20" t="str">
        <f>_xll.RssMarket(A86,"現在値詳細時刻")</f>
        <v>表示銘柄数超過</v>
      </c>
      <c r="E86" s="22" t="str">
        <f>_xll.RssMarket(A86,"前日比")</f>
        <v>表示銘柄数超過</v>
      </c>
      <c r="F86" s="23" t="e">
        <f>_xll.RssMarket(A86,"前日比率")/100</f>
        <v>#VALUE!</v>
      </c>
      <c r="G86" s="24" t="str">
        <f>IFERROR(VLOOKUP(A86,取得元!$A$2:$F$501,2,FALSE),"-")</f>
        <v>-</v>
      </c>
      <c r="H86" s="24" t="str">
        <f>IFERROR(VLOOKUP(A86,取得元!$A$2:$F$501,3,FALSE),"-")</f>
        <v>-</v>
      </c>
      <c r="I86" s="24" t="str">
        <f>IFERROR(VLOOKUP(A86,取得元!$A$2:$F$501,4,FALSE),"-")</f>
        <v>-</v>
      </c>
      <c r="J86" s="5" t="str">
        <f>IFERROR(VLOOKUP(A86,取得元!$A$2:$F$501,5,FALSE),"-")</f>
        <v>-</v>
      </c>
      <c r="K86" s="25" t="str">
        <f>IFERROR(VLOOKUP(A86,取得元!$A$2:$F$501,6,FALSE)/100,"-")</f>
        <v>-</v>
      </c>
      <c r="L86" s="21" t="str">
        <f>_xll.RssMarket(A86,"始値")</f>
        <v>表示銘柄数超過</v>
      </c>
      <c r="M86" s="4" t="e">
        <f t="shared" si="5"/>
        <v>#VALUE!</v>
      </c>
      <c r="N86" s="21" t="str">
        <f>_xll.RssMarket(A86,"高値")</f>
        <v>表示銘柄数超過</v>
      </c>
      <c r="O86" s="4" t="e">
        <f t="shared" si="6"/>
        <v>#VALUE!</v>
      </c>
      <c r="P86" s="21" t="str">
        <f>_xll.RssMarket(A86,"安値")</f>
        <v>表示銘柄数超過</v>
      </c>
      <c r="Q86" s="4" t="e">
        <f t="shared" si="7"/>
        <v>#VALUE!</v>
      </c>
      <c r="R86" s="21" t="str">
        <f>_xll.RssMarket(A86,"後場始値")</f>
        <v>表示銘柄数超過</v>
      </c>
      <c r="S86" s="25" t="str">
        <f t="shared" si="8"/>
        <v>-</v>
      </c>
      <c r="T86" s="7" t="str">
        <f>_xll.RssMarket(A86,"出来高加重平均")</f>
        <v>表示銘柄数超過</v>
      </c>
      <c r="U86" s="4" t="e">
        <f t="shared" si="9"/>
        <v>#VALUE!</v>
      </c>
      <c r="V86" s="21" t="str">
        <f>_xll.RssMarket(A86,"出来高")</f>
        <v>表示銘柄数超過</v>
      </c>
      <c r="W86" s="21" t="str">
        <f>_xll.RssMarket(A86,"売買代金")</f>
        <v>表示銘柄数超過</v>
      </c>
      <c r="X86" s="20" t="str">
        <f>_xll.RssMarket(A86,"決算発表日")</f>
        <v>表示銘柄数超過</v>
      </c>
      <c r="Y86" s="26" t="str">
        <f>IF(C86&gt;_xll.RssMarket(A86,"年初来高値"),"○","×")</f>
        <v>×</v>
      </c>
      <c r="Z86" s="27" t="str">
        <f>IF(C86&lt;=_xll.RssMarket(A86,"年初来安値"),"○","×")</f>
        <v>○</v>
      </c>
    </row>
    <row r="87" spans="1:26" x14ac:dyDescent="0.25">
      <c r="A87" s="49">
        <v>2038</v>
      </c>
      <c r="B87" s="20" t="str">
        <f>_xll.RssMarket(A87,"銘柄名称")</f>
        <v>ＮＮ原油ダブル・ブル</v>
      </c>
      <c r="C87" s="21">
        <f>_xll.RssMarket(A87,"現在値")</f>
        <v>1737</v>
      </c>
      <c r="D87" s="20" t="str">
        <f>_xll.RssMarket(A87,"現在値詳細時刻")</f>
        <v>15:00:00</v>
      </c>
      <c r="E87" s="22">
        <f>_xll.RssMarket(A87,"前日比")</f>
        <v>0</v>
      </c>
      <c r="F87" s="23">
        <f>_xll.RssMarket(A87,"前日比率")/100</f>
        <v>0</v>
      </c>
      <c r="G87" s="24">
        <f>IFERROR(VLOOKUP(A87,取得元!$A$2:$F$501,2,FALSE),"-")</f>
        <v>1</v>
      </c>
      <c r="H87" s="24">
        <f>IFERROR(VLOOKUP(A87,取得元!$A$2:$F$501,3,FALSE),"-")</f>
        <v>1738</v>
      </c>
      <c r="I87" s="24">
        <f>IFERROR(VLOOKUP(A87,取得元!$A$2:$F$501,4,FALSE),"-")</f>
        <v>1737</v>
      </c>
      <c r="J87" s="5">
        <f>IFERROR(VLOOKUP(A87,取得元!$A$2:$F$501,5,FALSE),"-")</f>
        <v>-1</v>
      </c>
      <c r="K87" s="25">
        <f>IFERROR(VLOOKUP(A87,取得元!$A$2:$F$501,6,FALSE)/100,"-")</f>
        <v>-5.7536999999999996E-4</v>
      </c>
      <c r="L87" s="21">
        <f>_xll.RssMarket(A87,"始値")</f>
        <v>1735</v>
      </c>
      <c r="M87" s="4">
        <f t="shared" si="5"/>
        <v>1.1527377521614035E-3</v>
      </c>
      <c r="N87" s="21">
        <f>_xll.RssMarket(A87,"高値")</f>
        <v>1748</v>
      </c>
      <c r="O87" s="4">
        <f t="shared" si="6"/>
        <v>-6.2929061784896545E-3</v>
      </c>
      <c r="P87" s="21">
        <f>_xll.RssMarket(A87,"安値")</f>
        <v>1730</v>
      </c>
      <c r="Q87" s="4">
        <f t="shared" si="7"/>
        <v>4.0462427745664442E-3</v>
      </c>
      <c r="R87" s="21">
        <f>_xll.RssMarket(A87,"後場始値")</f>
        <v>1741</v>
      </c>
      <c r="S87" s="25">
        <f t="shared" si="8"/>
        <v>-2.2975301550832716E-3</v>
      </c>
      <c r="T87" s="7">
        <f>_xll.RssMarket(A87,"出来高加重平均")</f>
        <v>1738.4391000000001</v>
      </c>
      <c r="U87" s="4">
        <f t="shared" si="9"/>
        <v>-8.2781156958566804E-4</v>
      </c>
      <c r="V87" s="21">
        <f>_xll.RssMarket(A87,"出来高")</f>
        <v>214042</v>
      </c>
      <c r="W87" s="21">
        <f>_xll.RssMarket(A87,"売買代金")</f>
        <v>372099</v>
      </c>
      <c r="X87" s="20" t="str">
        <f>_xll.RssMarket(A87,"決算発表日")</f>
        <v>-</v>
      </c>
      <c r="Y87" s="26" t="str">
        <f>IF(C87&gt;_xll.RssMarket(A87,"年初来高値"),"○","×")</f>
        <v>×</v>
      </c>
      <c r="Z87" s="27" t="str">
        <f>IF(C87&lt;=_xll.RssMarket(A87,"年初来安値"),"○","×")</f>
        <v>×</v>
      </c>
    </row>
    <row r="88" spans="1:26" x14ac:dyDescent="0.25">
      <c r="A88" s="47">
        <v>2055</v>
      </c>
      <c r="B88" s="20" t="str">
        <f>_xll.RssMarket(A88,"銘柄名称")</f>
        <v>表示銘柄数超過</v>
      </c>
      <c r="C88" s="21" t="str">
        <f>_xll.RssMarket(A88,"現在値")</f>
        <v>表示銘柄数超過</v>
      </c>
      <c r="D88" s="20" t="str">
        <f>_xll.RssMarket(A88,"現在値詳細時刻")</f>
        <v>表示銘柄数超過</v>
      </c>
      <c r="E88" s="22" t="str">
        <f>_xll.RssMarket(A88,"前日比")</f>
        <v>表示銘柄数超過</v>
      </c>
      <c r="F88" s="23" t="e">
        <f>_xll.RssMarket(A88,"前日比率")/100</f>
        <v>#VALUE!</v>
      </c>
      <c r="G88" s="24" t="str">
        <f>IFERROR(VLOOKUP(A88,取得元!$A$2:$F$501,2,FALSE),"-")</f>
        <v>-</v>
      </c>
      <c r="H88" s="24" t="str">
        <f>IFERROR(VLOOKUP(A88,取得元!$A$2:$F$501,3,FALSE),"-")</f>
        <v>-</v>
      </c>
      <c r="I88" s="24" t="str">
        <f>IFERROR(VLOOKUP(A88,取得元!$A$2:$F$501,4,FALSE),"-")</f>
        <v>-</v>
      </c>
      <c r="J88" s="5" t="str">
        <f>IFERROR(VLOOKUP(A88,取得元!$A$2:$F$501,5,FALSE),"-")</f>
        <v>-</v>
      </c>
      <c r="K88" s="25" t="str">
        <f>IFERROR(VLOOKUP(A88,取得元!$A$2:$F$501,6,FALSE)/100,"-")</f>
        <v>-</v>
      </c>
      <c r="L88" s="21" t="str">
        <f>_xll.RssMarket(A88,"始値")</f>
        <v>表示銘柄数超過</v>
      </c>
      <c r="M88" s="4" t="e">
        <f t="shared" si="5"/>
        <v>#VALUE!</v>
      </c>
      <c r="N88" s="21" t="str">
        <f>_xll.RssMarket(A88,"高値")</f>
        <v>表示銘柄数超過</v>
      </c>
      <c r="O88" s="4" t="e">
        <f t="shared" si="6"/>
        <v>#VALUE!</v>
      </c>
      <c r="P88" s="21" t="str">
        <f>_xll.RssMarket(A88,"安値")</f>
        <v>表示銘柄数超過</v>
      </c>
      <c r="Q88" s="4" t="e">
        <f t="shared" si="7"/>
        <v>#VALUE!</v>
      </c>
      <c r="R88" s="21" t="str">
        <f>_xll.RssMarket(A88,"後場始値")</f>
        <v>表示銘柄数超過</v>
      </c>
      <c r="S88" s="25" t="str">
        <f t="shared" si="8"/>
        <v>-</v>
      </c>
      <c r="T88" s="7" t="str">
        <f>_xll.RssMarket(A88,"出来高加重平均")</f>
        <v>表示銘柄数超過</v>
      </c>
      <c r="U88" s="4" t="e">
        <f t="shared" si="9"/>
        <v>#VALUE!</v>
      </c>
      <c r="V88" s="21" t="str">
        <f>_xll.RssMarket(A88,"出来高")</f>
        <v>表示銘柄数超過</v>
      </c>
      <c r="W88" s="21" t="str">
        <f>_xll.RssMarket(A88,"売買代金")</f>
        <v>表示銘柄数超過</v>
      </c>
      <c r="X88" s="20" t="str">
        <f>_xll.RssMarket(A88,"決算発表日")</f>
        <v>表示銘柄数超過</v>
      </c>
      <c r="Y88" s="26" t="str">
        <f>IF(C88&gt;_xll.RssMarket(A88,"年初来高値"),"○","×")</f>
        <v>×</v>
      </c>
      <c r="Z88" s="27" t="str">
        <f>IF(C88&lt;=_xll.RssMarket(A88,"年初来安値"),"○","×")</f>
        <v>○</v>
      </c>
    </row>
    <row r="89" spans="1:26" x14ac:dyDescent="0.25">
      <c r="A89" s="49">
        <v>2114</v>
      </c>
      <c r="B89" s="20" t="str">
        <f>_xll.RssMarket(A89,"銘柄名称")</f>
        <v>表示銘柄数超過</v>
      </c>
      <c r="C89" s="21" t="str">
        <f>_xll.RssMarket(A89,"現在値")</f>
        <v>表示銘柄数超過</v>
      </c>
      <c r="D89" s="20" t="str">
        <f>_xll.RssMarket(A89,"現在値詳細時刻")</f>
        <v>表示銘柄数超過</v>
      </c>
      <c r="E89" s="22" t="str">
        <f>_xll.RssMarket(A89,"前日比")</f>
        <v>表示銘柄数超過</v>
      </c>
      <c r="F89" s="23" t="e">
        <f>_xll.RssMarket(A89,"前日比率")/100</f>
        <v>#VALUE!</v>
      </c>
      <c r="G89" s="24" t="str">
        <f>IFERROR(VLOOKUP(A89,取得元!$A$2:$F$501,2,FALSE),"-")</f>
        <v>-</v>
      </c>
      <c r="H89" s="24" t="str">
        <f>IFERROR(VLOOKUP(A89,取得元!$A$2:$F$501,3,FALSE),"-")</f>
        <v>-</v>
      </c>
      <c r="I89" s="24" t="str">
        <f>IFERROR(VLOOKUP(A89,取得元!$A$2:$F$501,4,FALSE),"-")</f>
        <v>-</v>
      </c>
      <c r="J89" s="5" t="str">
        <f>IFERROR(VLOOKUP(A89,取得元!$A$2:$F$501,5,FALSE),"-")</f>
        <v>-</v>
      </c>
      <c r="K89" s="25" t="str">
        <f>IFERROR(VLOOKUP(A89,取得元!$A$2:$F$501,6,FALSE)/100,"-")</f>
        <v>-</v>
      </c>
      <c r="L89" s="21" t="str">
        <f>_xll.RssMarket(A89,"始値")</f>
        <v>表示銘柄数超過</v>
      </c>
      <c r="M89" s="4" t="e">
        <f t="shared" si="5"/>
        <v>#VALUE!</v>
      </c>
      <c r="N89" s="21" t="str">
        <f>_xll.RssMarket(A89,"高値")</f>
        <v>表示銘柄数超過</v>
      </c>
      <c r="O89" s="4" t="e">
        <f t="shared" si="6"/>
        <v>#VALUE!</v>
      </c>
      <c r="P89" s="21" t="str">
        <f>_xll.RssMarket(A89,"安値")</f>
        <v>表示銘柄数超過</v>
      </c>
      <c r="Q89" s="4" t="e">
        <f t="shared" si="7"/>
        <v>#VALUE!</v>
      </c>
      <c r="R89" s="21" t="str">
        <f>_xll.RssMarket(A89,"後場始値")</f>
        <v>表示銘柄数超過</v>
      </c>
      <c r="S89" s="25" t="str">
        <f t="shared" si="8"/>
        <v>-</v>
      </c>
      <c r="T89" s="7" t="str">
        <f>_xll.RssMarket(A89,"出来高加重平均")</f>
        <v>表示銘柄数超過</v>
      </c>
      <c r="U89" s="4" t="e">
        <f t="shared" si="9"/>
        <v>#VALUE!</v>
      </c>
      <c r="V89" s="21" t="str">
        <f>_xll.RssMarket(A89,"出来高")</f>
        <v>表示銘柄数超過</v>
      </c>
      <c r="W89" s="21" t="str">
        <f>_xll.RssMarket(A89,"売買代金")</f>
        <v>表示銘柄数超過</v>
      </c>
      <c r="X89" s="20" t="str">
        <f>_xll.RssMarket(A89,"決算発表日")</f>
        <v>表示銘柄数超過</v>
      </c>
      <c r="Y89" s="26" t="str">
        <f>IF(C89&gt;_xll.RssMarket(A89,"年初来高値"),"○","×")</f>
        <v>×</v>
      </c>
      <c r="Z89" s="27" t="str">
        <f>IF(C89&lt;=_xll.RssMarket(A89,"年初来安値"),"○","×")</f>
        <v>○</v>
      </c>
    </row>
    <row r="90" spans="1:26" x14ac:dyDescent="0.25">
      <c r="A90" s="47">
        <v>2120</v>
      </c>
      <c r="B90" s="20" t="str">
        <f>_xll.RssMarket(A90,"銘柄名称")</f>
        <v>表示銘柄数超過</v>
      </c>
      <c r="C90" s="21" t="str">
        <f>_xll.RssMarket(A90,"現在値")</f>
        <v>表示銘柄数超過</v>
      </c>
      <c r="D90" s="20" t="str">
        <f>_xll.RssMarket(A90,"現在値詳細時刻")</f>
        <v>表示銘柄数超過</v>
      </c>
      <c r="E90" s="22" t="str">
        <f>_xll.RssMarket(A90,"前日比")</f>
        <v>表示銘柄数超過</v>
      </c>
      <c r="F90" s="23" t="e">
        <f>_xll.RssMarket(A90,"前日比率")/100</f>
        <v>#VALUE!</v>
      </c>
      <c r="G90" s="24" t="str">
        <f>IFERROR(VLOOKUP(A90,取得元!$A$2:$F$501,2,FALSE),"-")</f>
        <v>-</v>
      </c>
      <c r="H90" s="24" t="str">
        <f>IFERROR(VLOOKUP(A90,取得元!$A$2:$F$501,3,FALSE),"-")</f>
        <v>-</v>
      </c>
      <c r="I90" s="24" t="str">
        <f>IFERROR(VLOOKUP(A90,取得元!$A$2:$F$501,4,FALSE),"-")</f>
        <v>-</v>
      </c>
      <c r="J90" s="5" t="str">
        <f>IFERROR(VLOOKUP(A90,取得元!$A$2:$F$501,5,FALSE),"-")</f>
        <v>-</v>
      </c>
      <c r="K90" s="25" t="str">
        <f>IFERROR(VLOOKUP(A90,取得元!$A$2:$F$501,6,FALSE)/100,"-")</f>
        <v>-</v>
      </c>
      <c r="L90" s="21" t="str">
        <f>_xll.RssMarket(A90,"始値")</f>
        <v>表示銘柄数超過</v>
      </c>
      <c r="M90" s="4" t="e">
        <f t="shared" si="5"/>
        <v>#VALUE!</v>
      </c>
      <c r="N90" s="21" t="str">
        <f>_xll.RssMarket(A90,"高値")</f>
        <v>表示銘柄数超過</v>
      </c>
      <c r="O90" s="4" t="e">
        <f t="shared" si="6"/>
        <v>#VALUE!</v>
      </c>
      <c r="P90" s="21" t="str">
        <f>_xll.RssMarket(A90,"安値")</f>
        <v>表示銘柄数超過</v>
      </c>
      <c r="Q90" s="4" t="e">
        <f t="shared" si="7"/>
        <v>#VALUE!</v>
      </c>
      <c r="R90" s="21" t="str">
        <f>_xll.RssMarket(A90,"後場始値")</f>
        <v>表示銘柄数超過</v>
      </c>
      <c r="S90" s="25" t="str">
        <f t="shared" si="8"/>
        <v>-</v>
      </c>
      <c r="T90" s="7" t="str">
        <f>_xll.RssMarket(A90,"出来高加重平均")</f>
        <v>表示銘柄数超過</v>
      </c>
      <c r="U90" s="4" t="e">
        <f t="shared" si="9"/>
        <v>#VALUE!</v>
      </c>
      <c r="V90" s="21" t="str">
        <f>_xll.RssMarket(A90,"出来高")</f>
        <v>表示銘柄数超過</v>
      </c>
      <c r="W90" s="21" t="str">
        <f>_xll.RssMarket(A90,"売買代金")</f>
        <v>表示銘柄数超過</v>
      </c>
      <c r="X90" s="20" t="str">
        <f>_xll.RssMarket(A90,"決算発表日")</f>
        <v>表示銘柄数超過</v>
      </c>
      <c r="Y90" s="26" t="str">
        <f>IF(C90&gt;_xll.RssMarket(A90,"年初来高値"),"○","×")</f>
        <v>×</v>
      </c>
      <c r="Z90" s="27" t="str">
        <f>IF(C90&lt;=_xll.RssMarket(A90,"年初来安値"),"○","×")</f>
        <v>○</v>
      </c>
    </row>
    <row r="91" spans="1:26" x14ac:dyDescent="0.25">
      <c r="A91" s="49">
        <v>2127</v>
      </c>
      <c r="B91" s="20" t="str">
        <f>_xll.RssMarket(A91,"銘柄名称")</f>
        <v>表示銘柄数超過</v>
      </c>
      <c r="C91" s="21" t="str">
        <f>_xll.RssMarket(A91,"現在値")</f>
        <v>表示銘柄数超過</v>
      </c>
      <c r="D91" s="20" t="str">
        <f>_xll.RssMarket(A91,"現在値詳細時刻")</f>
        <v>表示銘柄数超過</v>
      </c>
      <c r="E91" s="22" t="str">
        <f>_xll.RssMarket(A91,"前日比")</f>
        <v>表示銘柄数超過</v>
      </c>
      <c r="F91" s="23" t="e">
        <f>_xll.RssMarket(A91,"前日比率")/100</f>
        <v>#VALUE!</v>
      </c>
      <c r="G91" s="24" t="str">
        <f>IFERROR(VLOOKUP(A91,取得元!$A$2:$F$501,2,FALSE),"-")</f>
        <v>-</v>
      </c>
      <c r="H91" s="24" t="str">
        <f>IFERROR(VLOOKUP(A91,取得元!$A$2:$F$501,3,FALSE),"-")</f>
        <v>-</v>
      </c>
      <c r="I91" s="24" t="str">
        <f>IFERROR(VLOOKUP(A91,取得元!$A$2:$F$501,4,FALSE),"-")</f>
        <v>-</v>
      </c>
      <c r="J91" s="5" t="str">
        <f>IFERROR(VLOOKUP(A91,取得元!$A$2:$F$501,5,FALSE),"-")</f>
        <v>-</v>
      </c>
      <c r="K91" s="25" t="str">
        <f>IFERROR(VLOOKUP(A91,取得元!$A$2:$F$501,6,FALSE)/100,"-")</f>
        <v>-</v>
      </c>
      <c r="L91" s="21" t="str">
        <f>_xll.RssMarket(A91,"始値")</f>
        <v>表示銘柄数超過</v>
      </c>
      <c r="M91" s="4" t="e">
        <f t="shared" si="5"/>
        <v>#VALUE!</v>
      </c>
      <c r="N91" s="21" t="str">
        <f>_xll.RssMarket(A91,"高値")</f>
        <v>表示銘柄数超過</v>
      </c>
      <c r="O91" s="4" t="e">
        <f t="shared" si="6"/>
        <v>#VALUE!</v>
      </c>
      <c r="P91" s="21" t="str">
        <f>_xll.RssMarket(A91,"安値")</f>
        <v>表示銘柄数超過</v>
      </c>
      <c r="Q91" s="4" t="e">
        <f t="shared" si="7"/>
        <v>#VALUE!</v>
      </c>
      <c r="R91" s="21" t="str">
        <f>_xll.RssMarket(A91,"後場始値")</f>
        <v>表示銘柄数超過</v>
      </c>
      <c r="S91" s="25" t="str">
        <f t="shared" si="8"/>
        <v>-</v>
      </c>
      <c r="T91" s="7" t="str">
        <f>_xll.RssMarket(A91,"出来高加重平均")</f>
        <v>表示銘柄数超過</v>
      </c>
      <c r="U91" s="4" t="e">
        <f t="shared" si="9"/>
        <v>#VALUE!</v>
      </c>
      <c r="V91" s="21" t="str">
        <f>_xll.RssMarket(A91,"出来高")</f>
        <v>表示銘柄数超過</v>
      </c>
      <c r="W91" s="21" t="str">
        <f>_xll.RssMarket(A91,"売買代金")</f>
        <v>表示銘柄数超過</v>
      </c>
      <c r="X91" s="20" t="str">
        <f>_xll.RssMarket(A91,"決算発表日")</f>
        <v>表示銘柄数超過</v>
      </c>
      <c r="Y91" s="26" t="str">
        <f>IF(C91&gt;_xll.RssMarket(A91,"年初来高値"),"○","×")</f>
        <v>×</v>
      </c>
      <c r="Z91" s="27" t="str">
        <f>IF(C91&lt;=_xll.RssMarket(A91,"年初来安値"),"○","×")</f>
        <v>○</v>
      </c>
    </row>
    <row r="92" spans="1:26" x14ac:dyDescent="0.25">
      <c r="A92" s="47">
        <v>2134</v>
      </c>
      <c r="B92" s="20" t="str">
        <f>_xll.RssMarket(A92,"銘柄名称")</f>
        <v>表示銘柄数超過</v>
      </c>
      <c r="C92" s="21" t="str">
        <f>_xll.RssMarket(A92,"現在値")</f>
        <v>表示銘柄数超過</v>
      </c>
      <c r="D92" s="20" t="str">
        <f>_xll.RssMarket(A92,"現在値詳細時刻")</f>
        <v>表示銘柄数超過</v>
      </c>
      <c r="E92" s="22" t="str">
        <f>_xll.RssMarket(A92,"前日比")</f>
        <v>表示銘柄数超過</v>
      </c>
      <c r="F92" s="23" t="e">
        <f>_xll.RssMarket(A92,"前日比率")/100</f>
        <v>#VALUE!</v>
      </c>
      <c r="G92" s="24" t="str">
        <f>IFERROR(VLOOKUP(A92,取得元!$A$2:$F$501,2,FALSE),"-")</f>
        <v>-</v>
      </c>
      <c r="H92" s="24" t="str">
        <f>IFERROR(VLOOKUP(A92,取得元!$A$2:$F$501,3,FALSE),"-")</f>
        <v>-</v>
      </c>
      <c r="I92" s="24" t="str">
        <f>IFERROR(VLOOKUP(A92,取得元!$A$2:$F$501,4,FALSE),"-")</f>
        <v>-</v>
      </c>
      <c r="J92" s="5" t="str">
        <f>IFERROR(VLOOKUP(A92,取得元!$A$2:$F$501,5,FALSE),"-")</f>
        <v>-</v>
      </c>
      <c r="K92" s="25" t="str">
        <f>IFERROR(VLOOKUP(A92,取得元!$A$2:$F$501,6,FALSE)/100,"-")</f>
        <v>-</v>
      </c>
      <c r="L92" s="21" t="str">
        <f>_xll.RssMarket(A92,"始値")</f>
        <v>表示銘柄数超過</v>
      </c>
      <c r="M92" s="4" t="e">
        <f t="shared" si="5"/>
        <v>#VALUE!</v>
      </c>
      <c r="N92" s="21" t="str">
        <f>_xll.RssMarket(A92,"高値")</f>
        <v>表示銘柄数超過</v>
      </c>
      <c r="O92" s="4" t="e">
        <f t="shared" si="6"/>
        <v>#VALUE!</v>
      </c>
      <c r="P92" s="21" t="str">
        <f>_xll.RssMarket(A92,"安値")</f>
        <v>表示銘柄数超過</v>
      </c>
      <c r="Q92" s="4" t="e">
        <f t="shared" si="7"/>
        <v>#VALUE!</v>
      </c>
      <c r="R92" s="21" t="str">
        <f>_xll.RssMarket(A92,"後場始値")</f>
        <v>表示銘柄数超過</v>
      </c>
      <c r="S92" s="25" t="str">
        <f t="shared" si="8"/>
        <v>-</v>
      </c>
      <c r="T92" s="7" t="str">
        <f>_xll.RssMarket(A92,"出来高加重平均")</f>
        <v>表示銘柄数超過</v>
      </c>
      <c r="U92" s="4" t="e">
        <f t="shared" si="9"/>
        <v>#VALUE!</v>
      </c>
      <c r="V92" s="21" t="str">
        <f>_xll.RssMarket(A92,"出来高")</f>
        <v>表示銘柄数超過</v>
      </c>
      <c r="W92" s="21" t="str">
        <f>_xll.RssMarket(A92,"売買代金")</f>
        <v>表示銘柄数超過</v>
      </c>
      <c r="X92" s="20" t="str">
        <f>_xll.RssMarket(A92,"決算発表日")</f>
        <v>表示銘柄数超過</v>
      </c>
      <c r="Y92" s="26" t="str">
        <f>IF(C92&gt;_xll.RssMarket(A92,"年初来高値"),"○","×")</f>
        <v>×</v>
      </c>
      <c r="Z92" s="27" t="str">
        <f>IF(C92&lt;=_xll.RssMarket(A92,"年初来安値"),"○","×")</f>
        <v>○</v>
      </c>
    </row>
    <row r="93" spans="1:26" x14ac:dyDescent="0.25">
      <c r="A93" s="49">
        <v>2138</v>
      </c>
      <c r="B93" s="20" t="str">
        <f>_xll.RssMarket(A93,"銘柄名称")</f>
        <v>表示銘柄数超過</v>
      </c>
      <c r="C93" s="21" t="str">
        <f>_xll.RssMarket(A93,"現在値")</f>
        <v>表示銘柄数超過</v>
      </c>
      <c r="D93" s="20" t="str">
        <f>_xll.RssMarket(A93,"現在値詳細時刻")</f>
        <v>表示銘柄数超過</v>
      </c>
      <c r="E93" s="22" t="str">
        <f>_xll.RssMarket(A93,"前日比")</f>
        <v>表示銘柄数超過</v>
      </c>
      <c r="F93" s="23" t="e">
        <f>_xll.RssMarket(A93,"前日比率")/100</f>
        <v>#VALUE!</v>
      </c>
      <c r="G93" s="24" t="str">
        <f>IFERROR(VLOOKUP(A93,取得元!$A$2:$F$501,2,FALSE),"-")</f>
        <v>-</v>
      </c>
      <c r="H93" s="24" t="str">
        <f>IFERROR(VLOOKUP(A93,取得元!$A$2:$F$501,3,FALSE),"-")</f>
        <v>-</v>
      </c>
      <c r="I93" s="24" t="str">
        <f>IFERROR(VLOOKUP(A93,取得元!$A$2:$F$501,4,FALSE),"-")</f>
        <v>-</v>
      </c>
      <c r="J93" s="5" t="str">
        <f>IFERROR(VLOOKUP(A93,取得元!$A$2:$F$501,5,FALSE),"-")</f>
        <v>-</v>
      </c>
      <c r="K93" s="25" t="str">
        <f>IFERROR(VLOOKUP(A93,取得元!$A$2:$F$501,6,FALSE)/100,"-")</f>
        <v>-</v>
      </c>
      <c r="L93" s="21" t="str">
        <f>_xll.RssMarket(A93,"始値")</f>
        <v>表示銘柄数超過</v>
      </c>
      <c r="M93" s="4" t="e">
        <f t="shared" si="5"/>
        <v>#VALUE!</v>
      </c>
      <c r="N93" s="21" t="str">
        <f>_xll.RssMarket(A93,"高値")</f>
        <v>表示銘柄数超過</v>
      </c>
      <c r="O93" s="4" t="e">
        <f t="shared" si="6"/>
        <v>#VALUE!</v>
      </c>
      <c r="P93" s="21" t="str">
        <f>_xll.RssMarket(A93,"安値")</f>
        <v>表示銘柄数超過</v>
      </c>
      <c r="Q93" s="4" t="e">
        <f t="shared" si="7"/>
        <v>#VALUE!</v>
      </c>
      <c r="R93" s="21" t="str">
        <f>_xll.RssMarket(A93,"後場始値")</f>
        <v>表示銘柄数超過</v>
      </c>
      <c r="S93" s="25" t="str">
        <f t="shared" si="8"/>
        <v>-</v>
      </c>
      <c r="T93" s="7" t="str">
        <f>_xll.RssMarket(A93,"出来高加重平均")</f>
        <v>表示銘柄数超過</v>
      </c>
      <c r="U93" s="4" t="e">
        <f t="shared" si="9"/>
        <v>#VALUE!</v>
      </c>
      <c r="V93" s="21" t="str">
        <f>_xll.RssMarket(A93,"出来高")</f>
        <v>表示銘柄数超過</v>
      </c>
      <c r="W93" s="21" t="str">
        <f>_xll.RssMarket(A93,"売買代金")</f>
        <v>表示銘柄数超過</v>
      </c>
      <c r="X93" s="20" t="str">
        <f>_xll.RssMarket(A93,"決算発表日")</f>
        <v>表示銘柄数超過</v>
      </c>
      <c r="Y93" s="26" t="str">
        <f>IF(C93&gt;_xll.RssMarket(A93,"年初来高値"),"○","×")</f>
        <v>×</v>
      </c>
      <c r="Z93" s="27" t="str">
        <f>IF(C93&lt;=_xll.RssMarket(A93,"年初来安値"),"○","×")</f>
        <v>○</v>
      </c>
    </row>
    <row r="94" spans="1:26" x14ac:dyDescent="0.25">
      <c r="A94" s="47">
        <v>2150</v>
      </c>
      <c r="B94" s="20" t="str">
        <f>_xll.RssMarket(A94,"銘柄名称")</f>
        <v>表示銘柄数超過</v>
      </c>
      <c r="C94" s="21" t="str">
        <f>_xll.RssMarket(A94,"現在値")</f>
        <v>表示銘柄数超過</v>
      </c>
      <c r="D94" s="20" t="str">
        <f>_xll.RssMarket(A94,"現在値詳細時刻")</f>
        <v>表示銘柄数超過</v>
      </c>
      <c r="E94" s="22" t="str">
        <f>_xll.RssMarket(A94,"前日比")</f>
        <v>表示銘柄数超過</v>
      </c>
      <c r="F94" s="23" t="e">
        <f>_xll.RssMarket(A94,"前日比率")/100</f>
        <v>#VALUE!</v>
      </c>
      <c r="G94" s="24" t="str">
        <f>IFERROR(VLOOKUP(A94,取得元!$A$2:$F$501,2,FALSE),"-")</f>
        <v>-</v>
      </c>
      <c r="H94" s="24" t="str">
        <f>IFERROR(VLOOKUP(A94,取得元!$A$2:$F$501,3,FALSE),"-")</f>
        <v>-</v>
      </c>
      <c r="I94" s="24" t="str">
        <f>IFERROR(VLOOKUP(A94,取得元!$A$2:$F$501,4,FALSE),"-")</f>
        <v>-</v>
      </c>
      <c r="J94" s="5" t="str">
        <f>IFERROR(VLOOKUP(A94,取得元!$A$2:$F$501,5,FALSE),"-")</f>
        <v>-</v>
      </c>
      <c r="K94" s="25" t="str">
        <f>IFERROR(VLOOKUP(A94,取得元!$A$2:$F$501,6,FALSE)/100,"-")</f>
        <v>-</v>
      </c>
      <c r="L94" s="21" t="str">
        <f>_xll.RssMarket(A94,"始値")</f>
        <v>表示銘柄数超過</v>
      </c>
      <c r="M94" s="4" t="e">
        <f t="shared" si="5"/>
        <v>#VALUE!</v>
      </c>
      <c r="N94" s="21" t="str">
        <f>_xll.RssMarket(A94,"高値")</f>
        <v>表示銘柄数超過</v>
      </c>
      <c r="O94" s="4" t="e">
        <f t="shared" si="6"/>
        <v>#VALUE!</v>
      </c>
      <c r="P94" s="21" t="str">
        <f>_xll.RssMarket(A94,"安値")</f>
        <v>表示銘柄数超過</v>
      </c>
      <c r="Q94" s="4" t="e">
        <f t="shared" si="7"/>
        <v>#VALUE!</v>
      </c>
      <c r="R94" s="21" t="str">
        <f>_xll.RssMarket(A94,"後場始値")</f>
        <v>表示銘柄数超過</v>
      </c>
      <c r="S94" s="25" t="str">
        <f t="shared" si="8"/>
        <v>-</v>
      </c>
      <c r="T94" s="7" t="str">
        <f>_xll.RssMarket(A94,"出来高加重平均")</f>
        <v>表示銘柄数超過</v>
      </c>
      <c r="U94" s="4" t="e">
        <f t="shared" si="9"/>
        <v>#VALUE!</v>
      </c>
      <c r="V94" s="21" t="str">
        <f>_xll.RssMarket(A94,"出来高")</f>
        <v>表示銘柄数超過</v>
      </c>
      <c r="W94" s="21" t="str">
        <f>_xll.RssMarket(A94,"売買代金")</f>
        <v>表示銘柄数超過</v>
      </c>
      <c r="X94" s="20" t="str">
        <f>_xll.RssMarket(A94,"決算発表日")</f>
        <v>表示銘柄数超過</v>
      </c>
      <c r="Y94" s="26" t="str">
        <f>IF(C94&gt;_xll.RssMarket(A94,"年初来高値"),"○","×")</f>
        <v>×</v>
      </c>
      <c r="Z94" s="27" t="str">
        <f>IF(C94&lt;=_xll.RssMarket(A94,"年初来安値"),"○","×")</f>
        <v>○</v>
      </c>
    </row>
    <row r="95" spans="1:26" x14ac:dyDescent="0.25">
      <c r="A95" s="49">
        <v>2152</v>
      </c>
      <c r="B95" s="20" t="str">
        <f>_xll.RssMarket(A95,"銘柄名称")</f>
        <v>表示銘柄数超過</v>
      </c>
      <c r="C95" s="21" t="str">
        <f>_xll.RssMarket(A95,"現在値")</f>
        <v>表示銘柄数超過</v>
      </c>
      <c r="D95" s="20" t="str">
        <f>_xll.RssMarket(A95,"現在値詳細時刻")</f>
        <v>表示銘柄数超過</v>
      </c>
      <c r="E95" s="22" t="str">
        <f>_xll.RssMarket(A95,"前日比")</f>
        <v>表示銘柄数超過</v>
      </c>
      <c r="F95" s="23" t="e">
        <f>_xll.RssMarket(A95,"前日比率")/100</f>
        <v>#VALUE!</v>
      </c>
      <c r="G95" s="24" t="str">
        <f>IFERROR(VLOOKUP(A95,取得元!$A$2:$F$501,2,FALSE),"-")</f>
        <v>-</v>
      </c>
      <c r="H95" s="24" t="str">
        <f>IFERROR(VLOOKUP(A95,取得元!$A$2:$F$501,3,FALSE),"-")</f>
        <v>-</v>
      </c>
      <c r="I95" s="24" t="str">
        <f>IFERROR(VLOOKUP(A95,取得元!$A$2:$F$501,4,FALSE),"-")</f>
        <v>-</v>
      </c>
      <c r="J95" s="5" t="str">
        <f>IFERROR(VLOOKUP(A95,取得元!$A$2:$F$501,5,FALSE),"-")</f>
        <v>-</v>
      </c>
      <c r="K95" s="25" t="str">
        <f>IFERROR(VLOOKUP(A95,取得元!$A$2:$F$501,6,FALSE)/100,"-")</f>
        <v>-</v>
      </c>
      <c r="L95" s="21" t="str">
        <f>_xll.RssMarket(A95,"始値")</f>
        <v>表示銘柄数超過</v>
      </c>
      <c r="M95" s="4" t="e">
        <f t="shared" si="5"/>
        <v>#VALUE!</v>
      </c>
      <c r="N95" s="21" t="str">
        <f>_xll.RssMarket(A95,"高値")</f>
        <v>表示銘柄数超過</v>
      </c>
      <c r="O95" s="4" t="e">
        <f t="shared" si="6"/>
        <v>#VALUE!</v>
      </c>
      <c r="P95" s="21" t="str">
        <f>_xll.RssMarket(A95,"安値")</f>
        <v>表示銘柄数超過</v>
      </c>
      <c r="Q95" s="4" t="e">
        <f t="shared" si="7"/>
        <v>#VALUE!</v>
      </c>
      <c r="R95" s="21" t="str">
        <f>_xll.RssMarket(A95,"後場始値")</f>
        <v>表示銘柄数超過</v>
      </c>
      <c r="S95" s="25" t="str">
        <f t="shared" si="8"/>
        <v>-</v>
      </c>
      <c r="T95" s="7" t="str">
        <f>_xll.RssMarket(A95,"出来高加重平均")</f>
        <v>表示銘柄数超過</v>
      </c>
      <c r="U95" s="4" t="e">
        <f t="shared" si="9"/>
        <v>#VALUE!</v>
      </c>
      <c r="V95" s="21" t="str">
        <f>_xll.RssMarket(A95,"出来高")</f>
        <v>表示銘柄数超過</v>
      </c>
      <c r="W95" s="21" t="str">
        <f>_xll.RssMarket(A95,"売買代金")</f>
        <v>表示銘柄数超過</v>
      </c>
      <c r="X95" s="20" t="str">
        <f>_xll.RssMarket(A95,"決算発表日")</f>
        <v>表示銘柄数超過</v>
      </c>
      <c r="Y95" s="26" t="str">
        <f>IF(C95&gt;_xll.RssMarket(A95,"年初来高値"),"○","×")</f>
        <v>×</v>
      </c>
      <c r="Z95" s="27" t="str">
        <f>IF(C95&lt;=_xll.RssMarket(A95,"年初来安値"),"○","×")</f>
        <v>○</v>
      </c>
    </row>
    <row r="96" spans="1:26" x14ac:dyDescent="0.25">
      <c r="A96" s="47">
        <v>2154</v>
      </c>
      <c r="B96" s="20" t="str">
        <f>_xll.RssMarket(A96,"銘柄名称")</f>
        <v>表示銘柄数超過</v>
      </c>
      <c r="C96" s="21" t="str">
        <f>_xll.RssMarket(A96,"現在値")</f>
        <v>表示銘柄数超過</v>
      </c>
      <c r="D96" s="20" t="str">
        <f>_xll.RssMarket(A96,"現在値詳細時刻")</f>
        <v>表示銘柄数超過</v>
      </c>
      <c r="E96" s="22" t="str">
        <f>_xll.RssMarket(A96,"前日比")</f>
        <v>表示銘柄数超過</v>
      </c>
      <c r="F96" s="23" t="e">
        <f>_xll.RssMarket(A96,"前日比率")/100</f>
        <v>#VALUE!</v>
      </c>
      <c r="G96" s="24" t="str">
        <f>IFERROR(VLOOKUP(A96,取得元!$A$2:$F$501,2,FALSE),"-")</f>
        <v>-</v>
      </c>
      <c r="H96" s="24" t="str">
        <f>IFERROR(VLOOKUP(A96,取得元!$A$2:$F$501,3,FALSE),"-")</f>
        <v>-</v>
      </c>
      <c r="I96" s="24" t="str">
        <f>IFERROR(VLOOKUP(A96,取得元!$A$2:$F$501,4,FALSE),"-")</f>
        <v>-</v>
      </c>
      <c r="J96" s="5" t="str">
        <f>IFERROR(VLOOKUP(A96,取得元!$A$2:$F$501,5,FALSE),"-")</f>
        <v>-</v>
      </c>
      <c r="K96" s="25" t="str">
        <f>IFERROR(VLOOKUP(A96,取得元!$A$2:$F$501,6,FALSE)/100,"-")</f>
        <v>-</v>
      </c>
      <c r="L96" s="21" t="str">
        <f>_xll.RssMarket(A96,"始値")</f>
        <v>表示銘柄数超過</v>
      </c>
      <c r="M96" s="4" t="e">
        <f t="shared" si="5"/>
        <v>#VALUE!</v>
      </c>
      <c r="N96" s="21" t="str">
        <f>_xll.RssMarket(A96,"高値")</f>
        <v>表示銘柄数超過</v>
      </c>
      <c r="O96" s="4" t="e">
        <f t="shared" si="6"/>
        <v>#VALUE!</v>
      </c>
      <c r="P96" s="21" t="str">
        <f>_xll.RssMarket(A96,"安値")</f>
        <v>表示銘柄数超過</v>
      </c>
      <c r="Q96" s="4" t="e">
        <f t="shared" si="7"/>
        <v>#VALUE!</v>
      </c>
      <c r="R96" s="21" t="str">
        <f>_xll.RssMarket(A96,"後場始値")</f>
        <v>表示銘柄数超過</v>
      </c>
      <c r="S96" s="25" t="str">
        <f t="shared" si="8"/>
        <v>-</v>
      </c>
      <c r="T96" s="7" t="str">
        <f>_xll.RssMarket(A96,"出来高加重平均")</f>
        <v>表示銘柄数超過</v>
      </c>
      <c r="U96" s="4" t="e">
        <f t="shared" si="9"/>
        <v>#VALUE!</v>
      </c>
      <c r="V96" s="21" t="str">
        <f>_xll.RssMarket(A96,"出来高")</f>
        <v>表示銘柄数超過</v>
      </c>
      <c r="W96" s="21" t="str">
        <f>_xll.RssMarket(A96,"売買代金")</f>
        <v>表示銘柄数超過</v>
      </c>
      <c r="X96" s="20" t="str">
        <f>_xll.RssMarket(A96,"決算発表日")</f>
        <v>表示銘柄数超過</v>
      </c>
      <c r="Y96" s="26" t="str">
        <f>IF(C96&gt;_xll.RssMarket(A96,"年初来高値"),"○","×")</f>
        <v>×</v>
      </c>
      <c r="Z96" s="27" t="str">
        <f>IF(C96&lt;=_xll.RssMarket(A96,"年初来安値"),"○","×")</f>
        <v>○</v>
      </c>
    </row>
    <row r="97" spans="1:26" x14ac:dyDescent="0.25">
      <c r="A97" s="49">
        <v>2158</v>
      </c>
      <c r="B97" s="20" t="str">
        <f>_xll.RssMarket(A97,"銘柄名称")</f>
        <v>表示銘柄数超過</v>
      </c>
      <c r="C97" s="21" t="str">
        <f>_xll.RssMarket(A97,"現在値")</f>
        <v>表示銘柄数超過</v>
      </c>
      <c r="D97" s="20" t="str">
        <f>_xll.RssMarket(A97,"現在値詳細時刻")</f>
        <v>表示銘柄数超過</v>
      </c>
      <c r="E97" s="22" t="str">
        <f>_xll.RssMarket(A97,"前日比")</f>
        <v>表示銘柄数超過</v>
      </c>
      <c r="F97" s="23" t="e">
        <f>_xll.RssMarket(A97,"前日比率")/100</f>
        <v>#VALUE!</v>
      </c>
      <c r="G97" s="24" t="str">
        <f>IFERROR(VLOOKUP(A97,取得元!$A$2:$F$501,2,FALSE),"-")</f>
        <v>-</v>
      </c>
      <c r="H97" s="24" t="str">
        <f>IFERROR(VLOOKUP(A97,取得元!$A$2:$F$501,3,FALSE),"-")</f>
        <v>-</v>
      </c>
      <c r="I97" s="24" t="str">
        <f>IFERROR(VLOOKUP(A97,取得元!$A$2:$F$501,4,FALSE),"-")</f>
        <v>-</v>
      </c>
      <c r="J97" s="5" t="str">
        <f>IFERROR(VLOOKUP(A97,取得元!$A$2:$F$501,5,FALSE),"-")</f>
        <v>-</v>
      </c>
      <c r="K97" s="25" t="str">
        <f>IFERROR(VLOOKUP(A97,取得元!$A$2:$F$501,6,FALSE)/100,"-")</f>
        <v>-</v>
      </c>
      <c r="L97" s="21" t="str">
        <f>_xll.RssMarket(A97,"始値")</f>
        <v>表示銘柄数超過</v>
      </c>
      <c r="M97" s="4" t="e">
        <f t="shared" ref="M97:M131" si="10">C97/L97-1</f>
        <v>#VALUE!</v>
      </c>
      <c r="N97" s="21" t="str">
        <f>_xll.RssMarket(A97,"高値")</f>
        <v>表示銘柄数超過</v>
      </c>
      <c r="O97" s="4" t="e">
        <f t="shared" ref="O97:O131" si="11">C97/N97-1</f>
        <v>#VALUE!</v>
      </c>
      <c r="P97" s="21" t="str">
        <f>_xll.RssMarket(A97,"安値")</f>
        <v>表示銘柄数超過</v>
      </c>
      <c r="Q97" s="4" t="e">
        <f t="shared" ref="Q97:Q131" si="12">C97/P97-1</f>
        <v>#VALUE!</v>
      </c>
      <c r="R97" s="21" t="str">
        <f>_xll.RssMarket(A97,"後場始値")</f>
        <v>表示銘柄数超過</v>
      </c>
      <c r="S97" s="25" t="str">
        <f t="shared" ref="S97:S131" si="13">IFERROR(C97/R97-1,"-")</f>
        <v>-</v>
      </c>
      <c r="T97" s="7" t="str">
        <f>_xll.RssMarket(A97,"出来高加重平均")</f>
        <v>表示銘柄数超過</v>
      </c>
      <c r="U97" s="4" t="e">
        <f t="shared" ref="U97:U131" si="14">C97/T97-1</f>
        <v>#VALUE!</v>
      </c>
      <c r="V97" s="21" t="str">
        <f>_xll.RssMarket(A97,"出来高")</f>
        <v>表示銘柄数超過</v>
      </c>
      <c r="W97" s="21" t="str">
        <f>_xll.RssMarket(A97,"売買代金")</f>
        <v>表示銘柄数超過</v>
      </c>
      <c r="X97" s="20" t="str">
        <f>_xll.RssMarket(A97,"決算発表日")</f>
        <v>表示銘柄数超過</v>
      </c>
      <c r="Y97" s="26" t="str">
        <f>IF(C97&gt;_xll.RssMarket(A97,"年初来高値"),"○","×")</f>
        <v>×</v>
      </c>
      <c r="Z97" s="27" t="str">
        <f>IF(C97&lt;=_xll.RssMarket(A97,"年初来安値"),"○","×")</f>
        <v>○</v>
      </c>
    </row>
    <row r="98" spans="1:26" x14ac:dyDescent="0.25">
      <c r="A98" s="47">
        <v>2160</v>
      </c>
      <c r="B98" s="20" t="str">
        <f>_xll.RssMarket(A98,"銘柄名称")</f>
        <v>表示銘柄数超過</v>
      </c>
      <c r="C98" s="21" t="str">
        <f>_xll.RssMarket(A98,"現在値")</f>
        <v>表示銘柄数超過</v>
      </c>
      <c r="D98" s="20" t="str">
        <f>_xll.RssMarket(A98,"現在値詳細時刻")</f>
        <v>表示銘柄数超過</v>
      </c>
      <c r="E98" s="22" t="str">
        <f>_xll.RssMarket(A98,"前日比")</f>
        <v>表示銘柄数超過</v>
      </c>
      <c r="F98" s="23" t="e">
        <f>_xll.RssMarket(A98,"前日比率")/100</f>
        <v>#VALUE!</v>
      </c>
      <c r="G98" s="24" t="str">
        <f>IFERROR(VLOOKUP(A98,取得元!$A$2:$F$501,2,FALSE),"-")</f>
        <v>-</v>
      </c>
      <c r="H98" s="24" t="str">
        <f>IFERROR(VLOOKUP(A98,取得元!$A$2:$F$501,3,FALSE),"-")</f>
        <v>-</v>
      </c>
      <c r="I98" s="24" t="str">
        <f>IFERROR(VLOOKUP(A98,取得元!$A$2:$F$501,4,FALSE),"-")</f>
        <v>-</v>
      </c>
      <c r="J98" s="5" t="str">
        <f>IFERROR(VLOOKUP(A98,取得元!$A$2:$F$501,5,FALSE),"-")</f>
        <v>-</v>
      </c>
      <c r="K98" s="25" t="str">
        <f>IFERROR(VLOOKUP(A98,取得元!$A$2:$F$501,6,FALSE)/100,"-")</f>
        <v>-</v>
      </c>
      <c r="L98" s="21" t="str">
        <f>_xll.RssMarket(A98,"始値")</f>
        <v>表示銘柄数超過</v>
      </c>
      <c r="M98" s="4" t="e">
        <f t="shared" si="10"/>
        <v>#VALUE!</v>
      </c>
      <c r="N98" s="21" t="str">
        <f>_xll.RssMarket(A98,"高値")</f>
        <v>表示銘柄数超過</v>
      </c>
      <c r="O98" s="4" t="e">
        <f t="shared" si="11"/>
        <v>#VALUE!</v>
      </c>
      <c r="P98" s="21" t="str">
        <f>_xll.RssMarket(A98,"安値")</f>
        <v>表示銘柄数超過</v>
      </c>
      <c r="Q98" s="4" t="e">
        <f t="shared" si="12"/>
        <v>#VALUE!</v>
      </c>
      <c r="R98" s="21" t="str">
        <f>_xll.RssMarket(A98,"後場始値")</f>
        <v>表示銘柄数超過</v>
      </c>
      <c r="S98" s="25" t="str">
        <f t="shared" si="13"/>
        <v>-</v>
      </c>
      <c r="T98" s="7" t="str">
        <f>_xll.RssMarket(A98,"出来高加重平均")</f>
        <v>表示銘柄数超過</v>
      </c>
      <c r="U98" s="4" t="e">
        <f t="shared" si="14"/>
        <v>#VALUE!</v>
      </c>
      <c r="V98" s="21" t="str">
        <f>_xll.RssMarket(A98,"出来高")</f>
        <v>表示銘柄数超過</v>
      </c>
      <c r="W98" s="21" t="str">
        <f>_xll.RssMarket(A98,"売買代金")</f>
        <v>表示銘柄数超過</v>
      </c>
      <c r="X98" s="20" t="str">
        <f>_xll.RssMarket(A98,"決算発表日")</f>
        <v>表示銘柄数超過</v>
      </c>
      <c r="Y98" s="26" t="str">
        <f>IF(C98&gt;_xll.RssMarket(A98,"年初来高値"),"○","×")</f>
        <v>×</v>
      </c>
      <c r="Z98" s="27" t="str">
        <f>IF(C98&lt;=_xll.RssMarket(A98,"年初来安値"),"○","×")</f>
        <v>○</v>
      </c>
    </row>
    <row r="99" spans="1:26" x14ac:dyDescent="0.25">
      <c r="A99" s="49">
        <v>2162</v>
      </c>
      <c r="B99" s="20" t="str">
        <f>_xll.RssMarket(A99,"銘柄名称")</f>
        <v>表示銘柄数超過</v>
      </c>
      <c r="C99" s="21" t="str">
        <f>_xll.RssMarket(A99,"現在値")</f>
        <v>表示銘柄数超過</v>
      </c>
      <c r="D99" s="20" t="str">
        <f>_xll.RssMarket(A99,"現在値詳細時刻")</f>
        <v>表示銘柄数超過</v>
      </c>
      <c r="E99" s="22" t="str">
        <f>_xll.RssMarket(A99,"前日比")</f>
        <v>表示銘柄数超過</v>
      </c>
      <c r="F99" s="23" t="e">
        <f>_xll.RssMarket(A99,"前日比率")/100</f>
        <v>#VALUE!</v>
      </c>
      <c r="G99" s="24" t="str">
        <f>IFERROR(VLOOKUP(A99,取得元!$A$2:$F$501,2,FALSE),"-")</f>
        <v>-</v>
      </c>
      <c r="H99" s="24" t="str">
        <f>IFERROR(VLOOKUP(A99,取得元!$A$2:$F$501,3,FALSE),"-")</f>
        <v>-</v>
      </c>
      <c r="I99" s="24" t="str">
        <f>IFERROR(VLOOKUP(A99,取得元!$A$2:$F$501,4,FALSE),"-")</f>
        <v>-</v>
      </c>
      <c r="J99" s="5" t="str">
        <f>IFERROR(VLOOKUP(A99,取得元!$A$2:$F$501,5,FALSE),"-")</f>
        <v>-</v>
      </c>
      <c r="K99" s="25" t="str">
        <f>IFERROR(VLOOKUP(A99,取得元!$A$2:$F$501,6,FALSE)/100,"-")</f>
        <v>-</v>
      </c>
      <c r="L99" s="21" t="str">
        <f>_xll.RssMarket(A99,"始値")</f>
        <v>表示銘柄数超過</v>
      </c>
      <c r="M99" s="4" t="e">
        <f t="shared" si="10"/>
        <v>#VALUE!</v>
      </c>
      <c r="N99" s="21" t="str">
        <f>_xll.RssMarket(A99,"高値")</f>
        <v>表示銘柄数超過</v>
      </c>
      <c r="O99" s="4" t="e">
        <f t="shared" si="11"/>
        <v>#VALUE!</v>
      </c>
      <c r="P99" s="21" t="str">
        <f>_xll.RssMarket(A99,"安値")</f>
        <v>表示銘柄数超過</v>
      </c>
      <c r="Q99" s="4" t="e">
        <f t="shared" si="12"/>
        <v>#VALUE!</v>
      </c>
      <c r="R99" s="21" t="str">
        <f>_xll.RssMarket(A99,"後場始値")</f>
        <v>表示銘柄数超過</v>
      </c>
      <c r="S99" s="25" t="str">
        <f t="shared" si="13"/>
        <v>-</v>
      </c>
      <c r="T99" s="7" t="str">
        <f>_xll.RssMarket(A99,"出来高加重平均")</f>
        <v>表示銘柄数超過</v>
      </c>
      <c r="U99" s="4" t="e">
        <f t="shared" si="14"/>
        <v>#VALUE!</v>
      </c>
      <c r="V99" s="21" t="str">
        <f>_xll.RssMarket(A99,"出来高")</f>
        <v>表示銘柄数超過</v>
      </c>
      <c r="W99" s="21" t="str">
        <f>_xll.RssMarket(A99,"売買代金")</f>
        <v>表示銘柄数超過</v>
      </c>
      <c r="X99" s="20" t="str">
        <f>_xll.RssMarket(A99,"決算発表日")</f>
        <v>表示銘柄数超過</v>
      </c>
      <c r="Y99" s="26" t="str">
        <f>IF(C99&gt;_xll.RssMarket(A99,"年初来高値"),"○","×")</f>
        <v>×</v>
      </c>
      <c r="Z99" s="27" t="str">
        <f>IF(C99&lt;=_xll.RssMarket(A99,"年初来安値"),"○","×")</f>
        <v>○</v>
      </c>
    </row>
    <row r="100" spans="1:26" x14ac:dyDescent="0.25">
      <c r="A100" s="47">
        <v>2164</v>
      </c>
      <c r="B100" s="20" t="str">
        <f>_xll.RssMarket(A100,"銘柄名称")</f>
        <v>表示銘柄数超過</v>
      </c>
      <c r="C100" s="21" t="str">
        <f>_xll.RssMarket(A100,"現在値")</f>
        <v>表示銘柄数超過</v>
      </c>
      <c r="D100" s="20" t="str">
        <f>_xll.RssMarket(A100,"現在値詳細時刻")</f>
        <v>表示銘柄数超過</v>
      </c>
      <c r="E100" s="22" t="str">
        <f>_xll.RssMarket(A100,"前日比")</f>
        <v>表示銘柄数超過</v>
      </c>
      <c r="F100" s="23" t="e">
        <f>_xll.RssMarket(A100,"前日比率")/100</f>
        <v>#VALUE!</v>
      </c>
      <c r="G100" s="24" t="str">
        <f>IFERROR(VLOOKUP(A100,取得元!$A$2:$F$501,2,FALSE),"-")</f>
        <v>-</v>
      </c>
      <c r="H100" s="24" t="str">
        <f>IFERROR(VLOOKUP(A100,取得元!$A$2:$F$501,3,FALSE),"-")</f>
        <v>-</v>
      </c>
      <c r="I100" s="24" t="str">
        <f>IFERROR(VLOOKUP(A100,取得元!$A$2:$F$501,4,FALSE),"-")</f>
        <v>-</v>
      </c>
      <c r="J100" s="5" t="str">
        <f>IFERROR(VLOOKUP(A100,取得元!$A$2:$F$501,5,FALSE),"-")</f>
        <v>-</v>
      </c>
      <c r="K100" s="25" t="str">
        <f>IFERROR(VLOOKUP(A100,取得元!$A$2:$F$501,6,FALSE)/100,"-")</f>
        <v>-</v>
      </c>
      <c r="L100" s="21" t="str">
        <f>_xll.RssMarket(A100,"始値")</f>
        <v>表示銘柄数超過</v>
      </c>
      <c r="M100" s="4" t="e">
        <f t="shared" si="10"/>
        <v>#VALUE!</v>
      </c>
      <c r="N100" s="21" t="str">
        <f>_xll.RssMarket(A100,"高値")</f>
        <v>表示銘柄数超過</v>
      </c>
      <c r="O100" s="4" t="e">
        <f t="shared" si="11"/>
        <v>#VALUE!</v>
      </c>
      <c r="P100" s="21" t="str">
        <f>_xll.RssMarket(A100,"安値")</f>
        <v>表示銘柄数超過</v>
      </c>
      <c r="Q100" s="4" t="e">
        <f t="shared" si="12"/>
        <v>#VALUE!</v>
      </c>
      <c r="R100" s="21" t="str">
        <f>_xll.RssMarket(A100,"後場始値")</f>
        <v>表示銘柄数超過</v>
      </c>
      <c r="S100" s="25" t="str">
        <f t="shared" si="13"/>
        <v>-</v>
      </c>
      <c r="T100" s="7" t="str">
        <f>_xll.RssMarket(A100,"出来高加重平均")</f>
        <v>表示銘柄数超過</v>
      </c>
      <c r="U100" s="4" t="e">
        <f t="shared" si="14"/>
        <v>#VALUE!</v>
      </c>
      <c r="V100" s="21" t="str">
        <f>_xll.RssMarket(A100,"出来高")</f>
        <v>表示銘柄数超過</v>
      </c>
      <c r="W100" s="21" t="str">
        <f>_xll.RssMarket(A100,"売買代金")</f>
        <v>表示銘柄数超過</v>
      </c>
      <c r="X100" s="20" t="str">
        <f>_xll.RssMarket(A100,"決算発表日")</f>
        <v>表示銘柄数超過</v>
      </c>
      <c r="Y100" s="26" t="str">
        <f>IF(C100&gt;_xll.RssMarket(A100,"年初来高値"),"○","×")</f>
        <v>×</v>
      </c>
      <c r="Z100" s="27" t="str">
        <f>IF(C100&lt;=_xll.RssMarket(A100,"年初来安値"),"○","×")</f>
        <v>○</v>
      </c>
    </row>
    <row r="101" spans="1:26" x14ac:dyDescent="0.25">
      <c r="A101" s="49">
        <v>2168</v>
      </c>
      <c r="B101" s="20" t="str">
        <f>_xll.RssMarket(A101,"銘柄名称")</f>
        <v>表示銘柄数超過</v>
      </c>
      <c r="C101" s="21" t="str">
        <f>_xll.RssMarket(A101,"現在値")</f>
        <v>表示銘柄数超過</v>
      </c>
      <c r="D101" s="20" t="str">
        <f>_xll.RssMarket(A101,"現在値詳細時刻")</f>
        <v>表示銘柄数超過</v>
      </c>
      <c r="E101" s="22" t="str">
        <f>_xll.RssMarket(A101,"前日比")</f>
        <v>表示銘柄数超過</v>
      </c>
      <c r="F101" s="23" t="e">
        <f>_xll.RssMarket(A101,"前日比率")/100</f>
        <v>#VALUE!</v>
      </c>
      <c r="G101" s="24" t="str">
        <f>IFERROR(VLOOKUP(A101,取得元!$A$2:$F$501,2,FALSE),"-")</f>
        <v>-</v>
      </c>
      <c r="H101" s="24" t="str">
        <f>IFERROR(VLOOKUP(A101,取得元!$A$2:$F$501,3,FALSE),"-")</f>
        <v>-</v>
      </c>
      <c r="I101" s="24" t="str">
        <f>IFERROR(VLOOKUP(A101,取得元!$A$2:$F$501,4,FALSE),"-")</f>
        <v>-</v>
      </c>
      <c r="J101" s="5" t="str">
        <f>IFERROR(VLOOKUP(A101,取得元!$A$2:$F$501,5,FALSE),"-")</f>
        <v>-</v>
      </c>
      <c r="K101" s="25" t="str">
        <f>IFERROR(VLOOKUP(A101,取得元!$A$2:$F$501,6,FALSE)/100,"-")</f>
        <v>-</v>
      </c>
      <c r="L101" s="21" t="str">
        <f>_xll.RssMarket(A101,"始値")</f>
        <v>表示銘柄数超過</v>
      </c>
      <c r="M101" s="4" t="e">
        <f t="shared" si="10"/>
        <v>#VALUE!</v>
      </c>
      <c r="N101" s="21" t="str">
        <f>_xll.RssMarket(A101,"高値")</f>
        <v>表示銘柄数超過</v>
      </c>
      <c r="O101" s="4" t="e">
        <f t="shared" si="11"/>
        <v>#VALUE!</v>
      </c>
      <c r="P101" s="21" t="str">
        <f>_xll.RssMarket(A101,"安値")</f>
        <v>表示銘柄数超過</v>
      </c>
      <c r="Q101" s="4" t="e">
        <f t="shared" si="12"/>
        <v>#VALUE!</v>
      </c>
      <c r="R101" s="21" t="str">
        <f>_xll.RssMarket(A101,"後場始値")</f>
        <v>表示銘柄数超過</v>
      </c>
      <c r="S101" s="25" t="str">
        <f t="shared" si="13"/>
        <v>-</v>
      </c>
      <c r="T101" s="7" t="str">
        <f>_xll.RssMarket(A101,"出来高加重平均")</f>
        <v>表示銘柄数超過</v>
      </c>
      <c r="U101" s="4" t="e">
        <f t="shared" si="14"/>
        <v>#VALUE!</v>
      </c>
      <c r="V101" s="21" t="str">
        <f>_xll.RssMarket(A101,"出来高")</f>
        <v>表示銘柄数超過</v>
      </c>
      <c r="W101" s="21" t="str">
        <f>_xll.RssMarket(A101,"売買代金")</f>
        <v>表示銘柄数超過</v>
      </c>
      <c r="X101" s="20" t="str">
        <f>_xll.RssMarket(A101,"決算発表日")</f>
        <v>表示銘柄数超過</v>
      </c>
      <c r="Y101" s="26" t="str">
        <f>IF(C101&gt;_xll.RssMarket(A101,"年初来高値"),"○","×")</f>
        <v>×</v>
      </c>
      <c r="Z101" s="27" t="str">
        <f>IF(C101&lt;=_xll.RssMarket(A101,"年初来安値"),"○","×")</f>
        <v>○</v>
      </c>
    </row>
    <row r="102" spans="1:26" x14ac:dyDescent="0.25">
      <c r="A102" s="47">
        <v>2198</v>
      </c>
      <c r="B102" s="20" t="str">
        <f>_xll.RssMarket(A102,"銘柄名称")</f>
        <v>表示銘柄数超過</v>
      </c>
      <c r="C102" s="21" t="str">
        <f>_xll.RssMarket(A102,"現在値")</f>
        <v>表示銘柄数超過</v>
      </c>
      <c r="D102" s="20" t="str">
        <f>_xll.RssMarket(A102,"現在値詳細時刻")</f>
        <v>表示銘柄数超過</v>
      </c>
      <c r="E102" s="22" t="str">
        <f>_xll.RssMarket(A102,"前日比")</f>
        <v>表示銘柄数超過</v>
      </c>
      <c r="F102" s="23" t="e">
        <f>_xll.RssMarket(A102,"前日比率")/100</f>
        <v>#VALUE!</v>
      </c>
      <c r="G102" s="24" t="str">
        <f>IFERROR(VLOOKUP(A102,取得元!$A$2:$F$501,2,FALSE),"-")</f>
        <v>-</v>
      </c>
      <c r="H102" s="24" t="str">
        <f>IFERROR(VLOOKUP(A102,取得元!$A$2:$F$501,3,FALSE),"-")</f>
        <v>-</v>
      </c>
      <c r="I102" s="24" t="str">
        <f>IFERROR(VLOOKUP(A102,取得元!$A$2:$F$501,4,FALSE),"-")</f>
        <v>-</v>
      </c>
      <c r="J102" s="5" t="str">
        <f>IFERROR(VLOOKUP(A102,取得元!$A$2:$F$501,5,FALSE),"-")</f>
        <v>-</v>
      </c>
      <c r="K102" s="25" t="str">
        <f>IFERROR(VLOOKUP(A102,取得元!$A$2:$F$501,6,FALSE)/100,"-")</f>
        <v>-</v>
      </c>
      <c r="L102" s="21" t="str">
        <f>_xll.RssMarket(A102,"始値")</f>
        <v>表示銘柄数超過</v>
      </c>
      <c r="M102" s="4" t="e">
        <f t="shared" si="10"/>
        <v>#VALUE!</v>
      </c>
      <c r="N102" s="21" t="str">
        <f>_xll.RssMarket(A102,"高値")</f>
        <v>表示銘柄数超過</v>
      </c>
      <c r="O102" s="4" t="e">
        <f t="shared" si="11"/>
        <v>#VALUE!</v>
      </c>
      <c r="P102" s="21" t="str">
        <f>_xll.RssMarket(A102,"安値")</f>
        <v>表示銘柄数超過</v>
      </c>
      <c r="Q102" s="4" t="e">
        <f t="shared" si="12"/>
        <v>#VALUE!</v>
      </c>
      <c r="R102" s="21" t="str">
        <f>_xll.RssMarket(A102,"後場始値")</f>
        <v>表示銘柄数超過</v>
      </c>
      <c r="S102" s="25" t="str">
        <f t="shared" si="13"/>
        <v>-</v>
      </c>
      <c r="T102" s="7" t="str">
        <f>_xll.RssMarket(A102,"出来高加重平均")</f>
        <v>表示銘柄数超過</v>
      </c>
      <c r="U102" s="4" t="e">
        <f t="shared" si="14"/>
        <v>#VALUE!</v>
      </c>
      <c r="V102" s="21" t="str">
        <f>_xll.RssMarket(A102,"出来高")</f>
        <v>表示銘柄数超過</v>
      </c>
      <c r="W102" s="21" t="str">
        <f>_xll.RssMarket(A102,"売買代金")</f>
        <v>表示銘柄数超過</v>
      </c>
      <c r="X102" s="20" t="str">
        <f>_xll.RssMarket(A102,"決算発表日")</f>
        <v>表示銘柄数超過</v>
      </c>
      <c r="Y102" s="26" t="str">
        <f>IF(C102&gt;_xll.RssMarket(A102,"年初来高値"),"○","×")</f>
        <v>×</v>
      </c>
      <c r="Z102" s="27" t="str">
        <f>IF(C102&lt;=_xll.RssMarket(A102,"年初来安値"),"○","×")</f>
        <v>○</v>
      </c>
    </row>
    <row r="103" spans="1:26" x14ac:dyDescent="0.25">
      <c r="A103" s="49">
        <v>2206</v>
      </c>
      <c r="B103" s="20" t="str">
        <f>_xll.RssMarket(A103,"銘柄名称")</f>
        <v>表示銘柄数超過</v>
      </c>
      <c r="C103" s="21" t="str">
        <f>_xll.RssMarket(A103,"現在値")</f>
        <v>表示銘柄数超過</v>
      </c>
      <c r="D103" s="20" t="str">
        <f>_xll.RssMarket(A103,"現在値詳細時刻")</f>
        <v>表示銘柄数超過</v>
      </c>
      <c r="E103" s="22" t="str">
        <f>_xll.RssMarket(A103,"前日比")</f>
        <v>表示銘柄数超過</v>
      </c>
      <c r="F103" s="23" t="e">
        <f>_xll.RssMarket(A103,"前日比率")/100</f>
        <v>#VALUE!</v>
      </c>
      <c r="G103" s="24" t="str">
        <f>IFERROR(VLOOKUP(A103,取得元!$A$2:$F$501,2,FALSE),"-")</f>
        <v>-</v>
      </c>
      <c r="H103" s="24" t="str">
        <f>IFERROR(VLOOKUP(A103,取得元!$A$2:$F$501,3,FALSE),"-")</f>
        <v>-</v>
      </c>
      <c r="I103" s="24" t="str">
        <f>IFERROR(VLOOKUP(A103,取得元!$A$2:$F$501,4,FALSE),"-")</f>
        <v>-</v>
      </c>
      <c r="J103" s="5" t="str">
        <f>IFERROR(VLOOKUP(A103,取得元!$A$2:$F$501,5,FALSE),"-")</f>
        <v>-</v>
      </c>
      <c r="K103" s="25" t="str">
        <f>IFERROR(VLOOKUP(A103,取得元!$A$2:$F$501,6,FALSE)/100,"-")</f>
        <v>-</v>
      </c>
      <c r="L103" s="21" t="str">
        <f>_xll.RssMarket(A103,"始値")</f>
        <v>表示銘柄数超過</v>
      </c>
      <c r="M103" s="4" t="e">
        <f t="shared" si="10"/>
        <v>#VALUE!</v>
      </c>
      <c r="N103" s="21" t="str">
        <f>_xll.RssMarket(A103,"高値")</f>
        <v>表示銘柄数超過</v>
      </c>
      <c r="O103" s="4" t="e">
        <f t="shared" si="11"/>
        <v>#VALUE!</v>
      </c>
      <c r="P103" s="21" t="str">
        <f>_xll.RssMarket(A103,"安値")</f>
        <v>表示銘柄数超過</v>
      </c>
      <c r="Q103" s="4" t="e">
        <f t="shared" si="12"/>
        <v>#VALUE!</v>
      </c>
      <c r="R103" s="21" t="str">
        <f>_xll.RssMarket(A103,"後場始値")</f>
        <v>表示銘柄数超過</v>
      </c>
      <c r="S103" s="25" t="str">
        <f t="shared" si="13"/>
        <v>-</v>
      </c>
      <c r="T103" s="7" t="str">
        <f>_xll.RssMarket(A103,"出来高加重平均")</f>
        <v>表示銘柄数超過</v>
      </c>
      <c r="U103" s="4" t="e">
        <f t="shared" si="14"/>
        <v>#VALUE!</v>
      </c>
      <c r="V103" s="21" t="str">
        <f>_xll.RssMarket(A103,"出来高")</f>
        <v>表示銘柄数超過</v>
      </c>
      <c r="W103" s="21" t="str">
        <f>_xll.RssMarket(A103,"売買代金")</f>
        <v>表示銘柄数超過</v>
      </c>
      <c r="X103" s="20" t="str">
        <f>_xll.RssMarket(A103,"決算発表日")</f>
        <v>表示銘柄数超過</v>
      </c>
      <c r="Y103" s="26" t="str">
        <f>IF(C103&gt;_xll.RssMarket(A103,"年初来高値"),"○","×")</f>
        <v>×</v>
      </c>
      <c r="Z103" s="27" t="str">
        <f>IF(C103&lt;=_xll.RssMarket(A103,"年初来安値"),"○","×")</f>
        <v>○</v>
      </c>
    </row>
    <row r="104" spans="1:26" x14ac:dyDescent="0.25">
      <c r="A104" s="47">
        <v>2216</v>
      </c>
      <c r="B104" s="20" t="str">
        <f>_xll.RssMarket(A104,"銘柄名称")</f>
        <v>表示銘柄数超過</v>
      </c>
      <c r="C104" s="21" t="str">
        <f>_xll.RssMarket(A104,"現在値")</f>
        <v>表示銘柄数超過</v>
      </c>
      <c r="D104" s="20" t="str">
        <f>_xll.RssMarket(A104,"現在値詳細時刻")</f>
        <v>表示銘柄数超過</v>
      </c>
      <c r="E104" s="22" t="str">
        <f>_xll.RssMarket(A104,"前日比")</f>
        <v>表示銘柄数超過</v>
      </c>
      <c r="F104" s="23" t="e">
        <f>_xll.RssMarket(A104,"前日比率")/100</f>
        <v>#VALUE!</v>
      </c>
      <c r="G104" s="24" t="str">
        <f>IFERROR(VLOOKUP(A104,取得元!$A$2:$F$501,2,FALSE),"-")</f>
        <v>-</v>
      </c>
      <c r="H104" s="24" t="str">
        <f>IFERROR(VLOOKUP(A104,取得元!$A$2:$F$501,3,FALSE),"-")</f>
        <v>-</v>
      </c>
      <c r="I104" s="24" t="str">
        <f>IFERROR(VLOOKUP(A104,取得元!$A$2:$F$501,4,FALSE),"-")</f>
        <v>-</v>
      </c>
      <c r="J104" s="5" t="str">
        <f>IFERROR(VLOOKUP(A104,取得元!$A$2:$F$501,5,FALSE),"-")</f>
        <v>-</v>
      </c>
      <c r="K104" s="25" t="str">
        <f>IFERROR(VLOOKUP(A104,取得元!$A$2:$F$501,6,FALSE)/100,"-")</f>
        <v>-</v>
      </c>
      <c r="L104" s="21" t="str">
        <f>_xll.RssMarket(A104,"始値")</f>
        <v>表示銘柄数超過</v>
      </c>
      <c r="M104" s="4" t="e">
        <f t="shared" si="10"/>
        <v>#VALUE!</v>
      </c>
      <c r="N104" s="21" t="str">
        <f>_xll.RssMarket(A104,"高値")</f>
        <v>表示銘柄数超過</v>
      </c>
      <c r="O104" s="4" t="e">
        <f t="shared" si="11"/>
        <v>#VALUE!</v>
      </c>
      <c r="P104" s="21" t="str">
        <f>_xll.RssMarket(A104,"安値")</f>
        <v>表示銘柄数超過</v>
      </c>
      <c r="Q104" s="4" t="e">
        <f t="shared" si="12"/>
        <v>#VALUE!</v>
      </c>
      <c r="R104" s="21" t="str">
        <f>_xll.RssMarket(A104,"後場始値")</f>
        <v>表示銘柄数超過</v>
      </c>
      <c r="S104" s="25" t="str">
        <f t="shared" si="13"/>
        <v>-</v>
      </c>
      <c r="T104" s="7" t="str">
        <f>_xll.RssMarket(A104,"出来高加重平均")</f>
        <v>表示銘柄数超過</v>
      </c>
      <c r="U104" s="4" t="e">
        <f t="shared" si="14"/>
        <v>#VALUE!</v>
      </c>
      <c r="V104" s="21" t="str">
        <f>_xll.RssMarket(A104,"出来高")</f>
        <v>表示銘柄数超過</v>
      </c>
      <c r="W104" s="21" t="str">
        <f>_xll.RssMarket(A104,"売買代金")</f>
        <v>表示銘柄数超過</v>
      </c>
      <c r="X104" s="20" t="str">
        <f>_xll.RssMarket(A104,"決算発表日")</f>
        <v>表示銘柄数超過</v>
      </c>
      <c r="Y104" s="26" t="str">
        <f>IF(C104&gt;_xll.RssMarket(A104,"年初来高値"),"○","×")</f>
        <v>×</v>
      </c>
      <c r="Z104" s="27" t="str">
        <f>IF(C104&lt;=_xll.RssMarket(A104,"年初来安値"),"○","×")</f>
        <v>○</v>
      </c>
    </row>
    <row r="105" spans="1:26" x14ac:dyDescent="0.25">
      <c r="A105" s="49">
        <v>2235</v>
      </c>
      <c r="B105" s="20" t="str">
        <f>_xll.RssMarket(A105,"銘柄名称")</f>
        <v>表示銘柄数超過</v>
      </c>
      <c r="C105" s="21" t="str">
        <f>_xll.RssMarket(A105,"現在値")</f>
        <v>表示銘柄数超過</v>
      </c>
      <c r="D105" s="20" t="str">
        <f>_xll.RssMarket(A105,"現在値詳細時刻")</f>
        <v>表示銘柄数超過</v>
      </c>
      <c r="E105" s="22" t="str">
        <f>_xll.RssMarket(A105,"前日比")</f>
        <v>表示銘柄数超過</v>
      </c>
      <c r="F105" s="23" t="e">
        <f>_xll.RssMarket(A105,"前日比率")/100</f>
        <v>#VALUE!</v>
      </c>
      <c r="G105" s="24" t="str">
        <f>IFERROR(VLOOKUP(A105,取得元!$A$2:$F$501,2,FALSE),"-")</f>
        <v>-</v>
      </c>
      <c r="H105" s="24" t="str">
        <f>IFERROR(VLOOKUP(A105,取得元!$A$2:$F$501,3,FALSE),"-")</f>
        <v>-</v>
      </c>
      <c r="I105" s="24" t="str">
        <f>IFERROR(VLOOKUP(A105,取得元!$A$2:$F$501,4,FALSE),"-")</f>
        <v>-</v>
      </c>
      <c r="J105" s="5" t="str">
        <f>IFERROR(VLOOKUP(A105,取得元!$A$2:$F$501,5,FALSE),"-")</f>
        <v>-</v>
      </c>
      <c r="K105" s="25" t="str">
        <f>IFERROR(VLOOKUP(A105,取得元!$A$2:$F$501,6,FALSE)/100,"-")</f>
        <v>-</v>
      </c>
      <c r="L105" s="21" t="str">
        <f>_xll.RssMarket(A105,"始値")</f>
        <v>表示銘柄数超過</v>
      </c>
      <c r="M105" s="4" t="e">
        <f t="shared" si="10"/>
        <v>#VALUE!</v>
      </c>
      <c r="N105" s="21" t="str">
        <f>_xll.RssMarket(A105,"高値")</f>
        <v>表示銘柄数超過</v>
      </c>
      <c r="O105" s="4" t="e">
        <f t="shared" si="11"/>
        <v>#VALUE!</v>
      </c>
      <c r="P105" s="21" t="str">
        <f>_xll.RssMarket(A105,"安値")</f>
        <v>表示銘柄数超過</v>
      </c>
      <c r="Q105" s="4" t="e">
        <f t="shared" si="12"/>
        <v>#VALUE!</v>
      </c>
      <c r="R105" s="21" t="str">
        <f>_xll.RssMarket(A105,"後場始値")</f>
        <v>表示銘柄数超過</v>
      </c>
      <c r="S105" s="25" t="str">
        <f t="shared" si="13"/>
        <v>-</v>
      </c>
      <c r="T105" s="7" t="str">
        <f>_xll.RssMarket(A105,"出来高加重平均")</f>
        <v>表示銘柄数超過</v>
      </c>
      <c r="U105" s="4" t="e">
        <f t="shared" si="14"/>
        <v>#VALUE!</v>
      </c>
      <c r="V105" s="21" t="str">
        <f>_xll.RssMarket(A105,"出来高")</f>
        <v>表示銘柄数超過</v>
      </c>
      <c r="W105" s="21" t="str">
        <f>_xll.RssMarket(A105,"売買代金")</f>
        <v>表示銘柄数超過</v>
      </c>
      <c r="X105" s="20" t="str">
        <f>_xll.RssMarket(A105,"決算発表日")</f>
        <v>表示銘柄数超過</v>
      </c>
      <c r="Y105" s="26" t="str">
        <f>IF(C105&gt;_xll.RssMarket(A105,"年初来高値"),"○","×")</f>
        <v>×</v>
      </c>
      <c r="Z105" s="27" t="str">
        <f>IF(C105&lt;=_xll.RssMarket(A105,"年初来安値"),"○","×")</f>
        <v>○</v>
      </c>
    </row>
    <row r="106" spans="1:26" x14ac:dyDescent="0.25">
      <c r="A106" s="47">
        <v>2236</v>
      </c>
      <c r="B106" s="20" t="str">
        <f>_xll.RssMarket(A106,"銘柄名称")</f>
        <v>表示銘柄数超過</v>
      </c>
      <c r="C106" s="21" t="str">
        <f>_xll.RssMarket(A106,"現在値")</f>
        <v>表示銘柄数超過</v>
      </c>
      <c r="D106" s="20" t="str">
        <f>_xll.RssMarket(A106,"現在値詳細時刻")</f>
        <v>表示銘柄数超過</v>
      </c>
      <c r="E106" s="22" t="str">
        <f>_xll.RssMarket(A106,"前日比")</f>
        <v>表示銘柄数超過</v>
      </c>
      <c r="F106" s="23" t="e">
        <f>_xll.RssMarket(A106,"前日比率")/100</f>
        <v>#VALUE!</v>
      </c>
      <c r="G106" s="24" t="str">
        <f>IFERROR(VLOOKUP(A106,取得元!$A$2:$F$501,2,FALSE),"-")</f>
        <v>-</v>
      </c>
      <c r="H106" s="24" t="str">
        <f>IFERROR(VLOOKUP(A106,取得元!$A$2:$F$501,3,FALSE),"-")</f>
        <v>-</v>
      </c>
      <c r="I106" s="24" t="str">
        <f>IFERROR(VLOOKUP(A106,取得元!$A$2:$F$501,4,FALSE),"-")</f>
        <v>-</v>
      </c>
      <c r="J106" s="5" t="str">
        <f>IFERROR(VLOOKUP(A106,取得元!$A$2:$F$501,5,FALSE),"-")</f>
        <v>-</v>
      </c>
      <c r="K106" s="25" t="str">
        <f>IFERROR(VLOOKUP(A106,取得元!$A$2:$F$501,6,FALSE)/100,"-")</f>
        <v>-</v>
      </c>
      <c r="L106" s="21" t="str">
        <f>_xll.RssMarket(A106,"始値")</f>
        <v>表示銘柄数超過</v>
      </c>
      <c r="M106" s="4" t="e">
        <f t="shared" si="10"/>
        <v>#VALUE!</v>
      </c>
      <c r="N106" s="21" t="str">
        <f>_xll.RssMarket(A106,"高値")</f>
        <v>表示銘柄数超過</v>
      </c>
      <c r="O106" s="4" t="e">
        <f t="shared" si="11"/>
        <v>#VALUE!</v>
      </c>
      <c r="P106" s="21" t="str">
        <f>_xll.RssMarket(A106,"安値")</f>
        <v>表示銘柄数超過</v>
      </c>
      <c r="Q106" s="4" t="e">
        <f t="shared" si="12"/>
        <v>#VALUE!</v>
      </c>
      <c r="R106" s="21" t="str">
        <f>_xll.RssMarket(A106,"後場始値")</f>
        <v>表示銘柄数超過</v>
      </c>
      <c r="S106" s="25" t="str">
        <f t="shared" si="13"/>
        <v>-</v>
      </c>
      <c r="T106" s="7" t="str">
        <f>_xll.RssMarket(A106,"出来高加重平均")</f>
        <v>表示銘柄数超過</v>
      </c>
      <c r="U106" s="4" t="e">
        <f t="shared" si="14"/>
        <v>#VALUE!</v>
      </c>
      <c r="V106" s="21" t="str">
        <f>_xll.RssMarket(A106,"出来高")</f>
        <v>表示銘柄数超過</v>
      </c>
      <c r="W106" s="21" t="str">
        <f>_xll.RssMarket(A106,"売買代金")</f>
        <v>表示銘柄数超過</v>
      </c>
      <c r="X106" s="20" t="str">
        <f>_xll.RssMarket(A106,"決算発表日")</f>
        <v>表示銘柄数超過</v>
      </c>
      <c r="Y106" s="26" t="str">
        <f>IF(C106&gt;_xll.RssMarket(A106,"年初来高値"),"○","×")</f>
        <v>×</v>
      </c>
      <c r="Z106" s="27" t="str">
        <f>IF(C106&lt;=_xll.RssMarket(A106,"年初来安値"),"○","×")</f>
        <v>○</v>
      </c>
    </row>
    <row r="107" spans="1:26" x14ac:dyDescent="0.25">
      <c r="A107" s="49">
        <v>2241</v>
      </c>
      <c r="B107" s="20" t="str">
        <f>_xll.RssMarket(A107,"銘柄名称")</f>
        <v>表示銘柄数超過</v>
      </c>
      <c r="C107" s="21" t="str">
        <f>_xll.RssMarket(A107,"現在値")</f>
        <v>表示銘柄数超過</v>
      </c>
      <c r="D107" s="20" t="str">
        <f>_xll.RssMarket(A107,"現在値詳細時刻")</f>
        <v>表示銘柄数超過</v>
      </c>
      <c r="E107" s="22" t="str">
        <f>_xll.RssMarket(A107,"前日比")</f>
        <v>表示銘柄数超過</v>
      </c>
      <c r="F107" s="23" t="e">
        <f>_xll.RssMarket(A107,"前日比率")/100</f>
        <v>#VALUE!</v>
      </c>
      <c r="G107" s="24" t="str">
        <f>IFERROR(VLOOKUP(A107,取得元!$A$2:$F$501,2,FALSE),"-")</f>
        <v>-</v>
      </c>
      <c r="H107" s="24" t="str">
        <f>IFERROR(VLOOKUP(A107,取得元!$A$2:$F$501,3,FALSE),"-")</f>
        <v>-</v>
      </c>
      <c r="I107" s="24" t="str">
        <f>IFERROR(VLOOKUP(A107,取得元!$A$2:$F$501,4,FALSE),"-")</f>
        <v>-</v>
      </c>
      <c r="J107" s="5" t="str">
        <f>IFERROR(VLOOKUP(A107,取得元!$A$2:$F$501,5,FALSE),"-")</f>
        <v>-</v>
      </c>
      <c r="K107" s="25" t="str">
        <f>IFERROR(VLOOKUP(A107,取得元!$A$2:$F$501,6,FALSE)/100,"-")</f>
        <v>-</v>
      </c>
      <c r="L107" s="21" t="str">
        <f>_xll.RssMarket(A107,"始値")</f>
        <v>表示銘柄数超過</v>
      </c>
      <c r="M107" s="4" t="e">
        <f t="shared" si="10"/>
        <v>#VALUE!</v>
      </c>
      <c r="N107" s="21" t="str">
        <f>_xll.RssMarket(A107,"高値")</f>
        <v>表示銘柄数超過</v>
      </c>
      <c r="O107" s="4" t="e">
        <f t="shared" si="11"/>
        <v>#VALUE!</v>
      </c>
      <c r="P107" s="21" t="str">
        <f>_xll.RssMarket(A107,"安値")</f>
        <v>表示銘柄数超過</v>
      </c>
      <c r="Q107" s="4" t="e">
        <f t="shared" si="12"/>
        <v>#VALUE!</v>
      </c>
      <c r="R107" s="21" t="str">
        <f>_xll.RssMarket(A107,"後場始値")</f>
        <v>表示銘柄数超過</v>
      </c>
      <c r="S107" s="25" t="str">
        <f t="shared" si="13"/>
        <v>-</v>
      </c>
      <c r="T107" s="7" t="str">
        <f>_xll.RssMarket(A107,"出来高加重平均")</f>
        <v>表示銘柄数超過</v>
      </c>
      <c r="U107" s="4" t="e">
        <f t="shared" si="14"/>
        <v>#VALUE!</v>
      </c>
      <c r="V107" s="21" t="str">
        <f>_xll.RssMarket(A107,"出来高")</f>
        <v>表示銘柄数超過</v>
      </c>
      <c r="W107" s="21" t="str">
        <f>_xll.RssMarket(A107,"売買代金")</f>
        <v>表示銘柄数超過</v>
      </c>
      <c r="X107" s="20" t="str">
        <f>_xll.RssMarket(A107,"決算発表日")</f>
        <v>表示銘柄数超過</v>
      </c>
      <c r="Y107" s="26" t="str">
        <f>IF(C107&gt;_xll.RssMarket(A107,"年初来高値"),"○","×")</f>
        <v>×</v>
      </c>
      <c r="Z107" s="27" t="str">
        <f>IF(C107&lt;=_xll.RssMarket(A107,"年初来安値"),"○","×")</f>
        <v>○</v>
      </c>
    </row>
    <row r="108" spans="1:26" x14ac:dyDescent="0.25">
      <c r="A108" s="47">
        <v>2242</v>
      </c>
      <c r="B108" s="20" t="str">
        <f>_xll.RssMarket(A108,"銘柄名称")</f>
        <v>表示銘柄数超過</v>
      </c>
      <c r="C108" s="21" t="str">
        <f>_xll.RssMarket(A108,"現在値")</f>
        <v>表示銘柄数超過</v>
      </c>
      <c r="D108" s="20" t="str">
        <f>_xll.RssMarket(A108,"現在値詳細時刻")</f>
        <v>表示銘柄数超過</v>
      </c>
      <c r="E108" s="22" t="str">
        <f>_xll.RssMarket(A108,"前日比")</f>
        <v>表示銘柄数超過</v>
      </c>
      <c r="F108" s="23" t="e">
        <f>_xll.RssMarket(A108,"前日比率")/100</f>
        <v>#VALUE!</v>
      </c>
      <c r="G108" s="24" t="str">
        <f>IFERROR(VLOOKUP(A108,取得元!$A$2:$F$501,2,FALSE),"-")</f>
        <v>-</v>
      </c>
      <c r="H108" s="24" t="str">
        <f>IFERROR(VLOOKUP(A108,取得元!$A$2:$F$501,3,FALSE),"-")</f>
        <v>-</v>
      </c>
      <c r="I108" s="24" t="str">
        <f>IFERROR(VLOOKUP(A108,取得元!$A$2:$F$501,4,FALSE),"-")</f>
        <v>-</v>
      </c>
      <c r="J108" s="5" t="str">
        <f>IFERROR(VLOOKUP(A108,取得元!$A$2:$F$501,5,FALSE),"-")</f>
        <v>-</v>
      </c>
      <c r="K108" s="25" t="str">
        <f>IFERROR(VLOOKUP(A108,取得元!$A$2:$F$501,6,FALSE)/100,"-")</f>
        <v>-</v>
      </c>
      <c r="L108" s="21" t="str">
        <f>_xll.RssMarket(A108,"始値")</f>
        <v>表示銘柄数超過</v>
      </c>
      <c r="M108" s="4" t="e">
        <f t="shared" si="10"/>
        <v>#VALUE!</v>
      </c>
      <c r="N108" s="21" t="str">
        <f>_xll.RssMarket(A108,"高値")</f>
        <v>表示銘柄数超過</v>
      </c>
      <c r="O108" s="4" t="e">
        <f t="shared" si="11"/>
        <v>#VALUE!</v>
      </c>
      <c r="P108" s="21" t="str">
        <f>_xll.RssMarket(A108,"安値")</f>
        <v>表示銘柄数超過</v>
      </c>
      <c r="Q108" s="4" t="e">
        <f t="shared" si="12"/>
        <v>#VALUE!</v>
      </c>
      <c r="R108" s="21" t="str">
        <f>_xll.RssMarket(A108,"後場始値")</f>
        <v>表示銘柄数超過</v>
      </c>
      <c r="S108" s="25" t="str">
        <f t="shared" si="13"/>
        <v>-</v>
      </c>
      <c r="T108" s="7" t="str">
        <f>_xll.RssMarket(A108,"出来高加重平均")</f>
        <v>表示銘柄数超過</v>
      </c>
      <c r="U108" s="4" t="e">
        <f t="shared" si="14"/>
        <v>#VALUE!</v>
      </c>
      <c r="V108" s="21" t="str">
        <f>_xll.RssMarket(A108,"出来高")</f>
        <v>表示銘柄数超過</v>
      </c>
      <c r="W108" s="21" t="str">
        <f>_xll.RssMarket(A108,"売買代金")</f>
        <v>表示銘柄数超過</v>
      </c>
      <c r="X108" s="20" t="str">
        <f>_xll.RssMarket(A108,"決算発表日")</f>
        <v>表示銘柄数超過</v>
      </c>
      <c r="Y108" s="26" t="str">
        <f>IF(C108&gt;_xll.RssMarket(A108,"年初来高値"),"○","×")</f>
        <v>×</v>
      </c>
      <c r="Z108" s="27" t="str">
        <f>IF(C108&lt;=_xll.RssMarket(A108,"年初来安値"),"○","×")</f>
        <v>○</v>
      </c>
    </row>
    <row r="109" spans="1:26" x14ac:dyDescent="0.25">
      <c r="A109" s="49">
        <v>2250</v>
      </c>
      <c r="B109" s="20" t="str">
        <f>_xll.RssMarket(A109,"銘柄名称")</f>
        <v>表示銘柄数超過</v>
      </c>
      <c r="C109" s="21" t="str">
        <f>_xll.RssMarket(A109,"現在値")</f>
        <v>表示銘柄数超過</v>
      </c>
      <c r="D109" s="20" t="str">
        <f>_xll.RssMarket(A109,"現在値詳細時刻")</f>
        <v>表示銘柄数超過</v>
      </c>
      <c r="E109" s="22" t="str">
        <f>_xll.RssMarket(A109,"前日比")</f>
        <v>表示銘柄数超過</v>
      </c>
      <c r="F109" s="23" t="e">
        <f>_xll.RssMarket(A109,"前日比率")/100</f>
        <v>#VALUE!</v>
      </c>
      <c r="G109" s="24" t="str">
        <f>IFERROR(VLOOKUP(A109,取得元!$A$2:$F$501,2,FALSE),"-")</f>
        <v>-</v>
      </c>
      <c r="H109" s="24" t="str">
        <f>IFERROR(VLOOKUP(A109,取得元!$A$2:$F$501,3,FALSE),"-")</f>
        <v>-</v>
      </c>
      <c r="I109" s="24" t="str">
        <f>IFERROR(VLOOKUP(A109,取得元!$A$2:$F$501,4,FALSE),"-")</f>
        <v>-</v>
      </c>
      <c r="J109" s="5" t="str">
        <f>IFERROR(VLOOKUP(A109,取得元!$A$2:$F$501,5,FALSE),"-")</f>
        <v>-</v>
      </c>
      <c r="K109" s="25" t="str">
        <f>IFERROR(VLOOKUP(A109,取得元!$A$2:$F$501,6,FALSE)/100,"-")</f>
        <v>-</v>
      </c>
      <c r="L109" s="21" t="str">
        <f>_xll.RssMarket(A109,"始値")</f>
        <v>表示銘柄数超過</v>
      </c>
      <c r="M109" s="4" t="e">
        <f t="shared" si="10"/>
        <v>#VALUE!</v>
      </c>
      <c r="N109" s="21" t="str">
        <f>_xll.RssMarket(A109,"高値")</f>
        <v>表示銘柄数超過</v>
      </c>
      <c r="O109" s="4" t="e">
        <f t="shared" si="11"/>
        <v>#VALUE!</v>
      </c>
      <c r="P109" s="21" t="str">
        <f>_xll.RssMarket(A109,"安値")</f>
        <v>表示銘柄数超過</v>
      </c>
      <c r="Q109" s="4" t="e">
        <f t="shared" si="12"/>
        <v>#VALUE!</v>
      </c>
      <c r="R109" s="21" t="str">
        <f>_xll.RssMarket(A109,"後場始値")</f>
        <v>表示銘柄数超過</v>
      </c>
      <c r="S109" s="25" t="str">
        <f t="shared" si="13"/>
        <v>-</v>
      </c>
      <c r="T109" s="7" t="str">
        <f>_xll.RssMarket(A109,"出来高加重平均")</f>
        <v>表示銘柄数超過</v>
      </c>
      <c r="U109" s="4" t="e">
        <f t="shared" si="14"/>
        <v>#VALUE!</v>
      </c>
      <c r="V109" s="21" t="str">
        <f>_xll.RssMarket(A109,"出来高")</f>
        <v>表示銘柄数超過</v>
      </c>
      <c r="W109" s="21" t="str">
        <f>_xll.RssMarket(A109,"売買代金")</f>
        <v>表示銘柄数超過</v>
      </c>
      <c r="X109" s="20" t="str">
        <f>_xll.RssMarket(A109,"決算発表日")</f>
        <v>表示銘柄数超過</v>
      </c>
      <c r="Y109" s="26" t="str">
        <f>IF(C109&gt;_xll.RssMarket(A109,"年初来高値"),"○","×")</f>
        <v>×</v>
      </c>
      <c r="Z109" s="27" t="str">
        <f>IF(C109&lt;=_xll.RssMarket(A109,"年初来安値"),"○","×")</f>
        <v>○</v>
      </c>
    </row>
    <row r="110" spans="1:26" x14ac:dyDescent="0.25">
      <c r="A110" s="47">
        <v>2253</v>
      </c>
      <c r="B110" s="20" t="str">
        <f>_xll.RssMarket(A110,"銘柄名称")</f>
        <v>表示銘柄数超過</v>
      </c>
      <c r="C110" s="21" t="str">
        <f>_xll.RssMarket(A110,"現在値")</f>
        <v>表示銘柄数超過</v>
      </c>
      <c r="D110" s="20" t="str">
        <f>_xll.RssMarket(A110,"現在値詳細時刻")</f>
        <v>表示銘柄数超過</v>
      </c>
      <c r="E110" s="22" t="str">
        <f>_xll.RssMarket(A110,"前日比")</f>
        <v>表示銘柄数超過</v>
      </c>
      <c r="F110" s="23" t="e">
        <f>_xll.RssMarket(A110,"前日比率")/100</f>
        <v>#VALUE!</v>
      </c>
      <c r="G110" s="24" t="str">
        <f>IFERROR(VLOOKUP(A110,取得元!$A$2:$F$501,2,FALSE),"-")</f>
        <v>-</v>
      </c>
      <c r="H110" s="24" t="str">
        <f>IFERROR(VLOOKUP(A110,取得元!$A$2:$F$501,3,FALSE),"-")</f>
        <v>-</v>
      </c>
      <c r="I110" s="24" t="str">
        <f>IFERROR(VLOOKUP(A110,取得元!$A$2:$F$501,4,FALSE),"-")</f>
        <v>-</v>
      </c>
      <c r="J110" s="5" t="str">
        <f>IFERROR(VLOOKUP(A110,取得元!$A$2:$F$501,5,FALSE),"-")</f>
        <v>-</v>
      </c>
      <c r="K110" s="25" t="str">
        <f>IFERROR(VLOOKUP(A110,取得元!$A$2:$F$501,6,FALSE)/100,"-")</f>
        <v>-</v>
      </c>
      <c r="L110" s="21" t="str">
        <f>_xll.RssMarket(A110,"始値")</f>
        <v>表示銘柄数超過</v>
      </c>
      <c r="M110" s="4" t="e">
        <f t="shared" si="10"/>
        <v>#VALUE!</v>
      </c>
      <c r="N110" s="21" t="str">
        <f>_xll.RssMarket(A110,"高値")</f>
        <v>表示銘柄数超過</v>
      </c>
      <c r="O110" s="4" t="e">
        <f t="shared" si="11"/>
        <v>#VALUE!</v>
      </c>
      <c r="P110" s="21" t="str">
        <f>_xll.RssMarket(A110,"安値")</f>
        <v>表示銘柄数超過</v>
      </c>
      <c r="Q110" s="4" t="e">
        <f t="shared" si="12"/>
        <v>#VALUE!</v>
      </c>
      <c r="R110" s="21" t="str">
        <f>_xll.RssMarket(A110,"後場始値")</f>
        <v>表示銘柄数超過</v>
      </c>
      <c r="S110" s="25" t="str">
        <f t="shared" si="13"/>
        <v>-</v>
      </c>
      <c r="T110" s="7" t="str">
        <f>_xll.RssMarket(A110,"出来高加重平均")</f>
        <v>表示銘柄数超過</v>
      </c>
      <c r="U110" s="4" t="e">
        <f t="shared" si="14"/>
        <v>#VALUE!</v>
      </c>
      <c r="V110" s="21" t="str">
        <f>_xll.RssMarket(A110,"出来高")</f>
        <v>表示銘柄数超過</v>
      </c>
      <c r="W110" s="21" t="str">
        <f>_xll.RssMarket(A110,"売買代金")</f>
        <v>表示銘柄数超過</v>
      </c>
      <c r="X110" s="20" t="str">
        <f>_xll.RssMarket(A110,"決算発表日")</f>
        <v>表示銘柄数超過</v>
      </c>
      <c r="Y110" s="26" t="str">
        <f>IF(C110&gt;_xll.RssMarket(A110,"年初来高値"),"○","×")</f>
        <v>×</v>
      </c>
      <c r="Z110" s="27" t="str">
        <f>IF(C110&lt;=_xll.RssMarket(A110,"年初来安値"),"○","×")</f>
        <v>○</v>
      </c>
    </row>
    <row r="111" spans="1:26" x14ac:dyDescent="0.25">
      <c r="A111" s="49">
        <v>2304</v>
      </c>
      <c r="B111" s="20" t="str">
        <f>_xll.RssMarket(A111,"銘柄名称")</f>
        <v>表示銘柄数超過</v>
      </c>
      <c r="C111" s="21" t="str">
        <f>_xll.RssMarket(A111,"現在値")</f>
        <v>表示銘柄数超過</v>
      </c>
      <c r="D111" s="20" t="str">
        <f>_xll.RssMarket(A111,"現在値詳細時刻")</f>
        <v>表示銘柄数超過</v>
      </c>
      <c r="E111" s="22" t="str">
        <f>_xll.RssMarket(A111,"前日比")</f>
        <v>表示銘柄数超過</v>
      </c>
      <c r="F111" s="23" t="e">
        <f>_xll.RssMarket(A111,"前日比率")/100</f>
        <v>#VALUE!</v>
      </c>
      <c r="G111" s="24" t="str">
        <f>IFERROR(VLOOKUP(A111,取得元!$A$2:$F$501,2,FALSE),"-")</f>
        <v>-</v>
      </c>
      <c r="H111" s="24" t="str">
        <f>IFERROR(VLOOKUP(A111,取得元!$A$2:$F$501,3,FALSE),"-")</f>
        <v>-</v>
      </c>
      <c r="I111" s="24" t="str">
        <f>IFERROR(VLOOKUP(A111,取得元!$A$2:$F$501,4,FALSE),"-")</f>
        <v>-</v>
      </c>
      <c r="J111" s="5" t="str">
        <f>IFERROR(VLOOKUP(A111,取得元!$A$2:$F$501,5,FALSE),"-")</f>
        <v>-</v>
      </c>
      <c r="K111" s="25" t="str">
        <f>IFERROR(VLOOKUP(A111,取得元!$A$2:$F$501,6,FALSE)/100,"-")</f>
        <v>-</v>
      </c>
      <c r="L111" s="21" t="str">
        <f>_xll.RssMarket(A111,"始値")</f>
        <v>表示銘柄数超過</v>
      </c>
      <c r="M111" s="4" t="e">
        <f t="shared" si="10"/>
        <v>#VALUE!</v>
      </c>
      <c r="N111" s="21" t="str">
        <f>_xll.RssMarket(A111,"高値")</f>
        <v>表示銘柄数超過</v>
      </c>
      <c r="O111" s="4" t="e">
        <f t="shared" si="11"/>
        <v>#VALUE!</v>
      </c>
      <c r="P111" s="21" t="str">
        <f>_xll.RssMarket(A111,"安値")</f>
        <v>表示銘柄数超過</v>
      </c>
      <c r="Q111" s="4" t="e">
        <f t="shared" si="12"/>
        <v>#VALUE!</v>
      </c>
      <c r="R111" s="21" t="str">
        <f>_xll.RssMarket(A111,"後場始値")</f>
        <v>表示銘柄数超過</v>
      </c>
      <c r="S111" s="25" t="str">
        <f t="shared" si="13"/>
        <v>-</v>
      </c>
      <c r="T111" s="7" t="str">
        <f>_xll.RssMarket(A111,"出来高加重平均")</f>
        <v>表示銘柄数超過</v>
      </c>
      <c r="U111" s="4" t="e">
        <f t="shared" si="14"/>
        <v>#VALUE!</v>
      </c>
      <c r="V111" s="21" t="str">
        <f>_xll.RssMarket(A111,"出来高")</f>
        <v>表示銘柄数超過</v>
      </c>
      <c r="W111" s="21" t="str">
        <f>_xll.RssMarket(A111,"売買代金")</f>
        <v>表示銘柄数超過</v>
      </c>
      <c r="X111" s="20" t="str">
        <f>_xll.RssMarket(A111,"決算発表日")</f>
        <v>表示銘柄数超過</v>
      </c>
      <c r="Y111" s="26" t="str">
        <f>IF(C111&gt;_xll.RssMarket(A111,"年初来高値"),"○","×")</f>
        <v>×</v>
      </c>
      <c r="Z111" s="27" t="str">
        <f>IF(C111&lt;=_xll.RssMarket(A111,"年初来安値"),"○","×")</f>
        <v>○</v>
      </c>
    </row>
    <row r="112" spans="1:26" x14ac:dyDescent="0.25">
      <c r="A112" s="47">
        <v>2305</v>
      </c>
      <c r="B112" s="20" t="str">
        <f>_xll.RssMarket(A112,"銘柄名称")</f>
        <v>表示銘柄数超過</v>
      </c>
      <c r="C112" s="21" t="str">
        <f>_xll.RssMarket(A112,"現在値")</f>
        <v>表示銘柄数超過</v>
      </c>
      <c r="D112" s="20" t="str">
        <f>_xll.RssMarket(A112,"現在値詳細時刻")</f>
        <v>表示銘柄数超過</v>
      </c>
      <c r="E112" s="22" t="str">
        <f>_xll.RssMarket(A112,"前日比")</f>
        <v>表示銘柄数超過</v>
      </c>
      <c r="F112" s="23" t="e">
        <f>_xll.RssMarket(A112,"前日比率")/100</f>
        <v>#VALUE!</v>
      </c>
      <c r="G112" s="24" t="str">
        <f>IFERROR(VLOOKUP(A112,取得元!$A$2:$F$501,2,FALSE),"-")</f>
        <v>-</v>
      </c>
      <c r="H112" s="24" t="str">
        <f>IFERROR(VLOOKUP(A112,取得元!$A$2:$F$501,3,FALSE),"-")</f>
        <v>-</v>
      </c>
      <c r="I112" s="24" t="str">
        <f>IFERROR(VLOOKUP(A112,取得元!$A$2:$F$501,4,FALSE),"-")</f>
        <v>-</v>
      </c>
      <c r="J112" s="5" t="str">
        <f>IFERROR(VLOOKUP(A112,取得元!$A$2:$F$501,5,FALSE),"-")</f>
        <v>-</v>
      </c>
      <c r="K112" s="25" t="str">
        <f>IFERROR(VLOOKUP(A112,取得元!$A$2:$F$501,6,FALSE)/100,"-")</f>
        <v>-</v>
      </c>
      <c r="L112" s="21" t="str">
        <f>_xll.RssMarket(A112,"始値")</f>
        <v>表示銘柄数超過</v>
      </c>
      <c r="M112" s="4" t="e">
        <f t="shared" si="10"/>
        <v>#VALUE!</v>
      </c>
      <c r="N112" s="21" t="str">
        <f>_xll.RssMarket(A112,"高値")</f>
        <v>表示銘柄数超過</v>
      </c>
      <c r="O112" s="4" t="e">
        <f t="shared" si="11"/>
        <v>#VALUE!</v>
      </c>
      <c r="P112" s="21" t="str">
        <f>_xll.RssMarket(A112,"安値")</f>
        <v>表示銘柄数超過</v>
      </c>
      <c r="Q112" s="4" t="e">
        <f t="shared" si="12"/>
        <v>#VALUE!</v>
      </c>
      <c r="R112" s="21" t="str">
        <f>_xll.RssMarket(A112,"後場始値")</f>
        <v>表示銘柄数超過</v>
      </c>
      <c r="S112" s="25" t="str">
        <f t="shared" si="13"/>
        <v>-</v>
      </c>
      <c r="T112" s="7" t="str">
        <f>_xll.RssMarket(A112,"出来高加重平均")</f>
        <v>表示銘柄数超過</v>
      </c>
      <c r="U112" s="4" t="e">
        <f t="shared" si="14"/>
        <v>#VALUE!</v>
      </c>
      <c r="V112" s="21" t="str">
        <f>_xll.RssMarket(A112,"出来高")</f>
        <v>表示銘柄数超過</v>
      </c>
      <c r="W112" s="21" t="str">
        <f>_xll.RssMarket(A112,"売買代金")</f>
        <v>表示銘柄数超過</v>
      </c>
      <c r="X112" s="20" t="str">
        <f>_xll.RssMarket(A112,"決算発表日")</f>
        <v>表示銘柄数超過</v>
      </c>
      <c r="Y112" s="26" t="str">
        <f>IF(C112&gt;_xll.RssMarket(A112,"年初来高値"),"○","×")</f>
        <v>×</v>
      </c>
      <c r="Z112" s="27" t="str">
        <f>IF(C112&lt;=_xll.RssMarket(A112,"年初来安値"),"○","×")</f>
        <v>○</v>
      </c>
    </row>
    <row r="113" spans="1:26" x14ac:dyDescent="0.25">
      <c r="A113" s="49">
        <v>2315</v>
      </c>
      <c r="B113" s="20" t="str">
        <f>_xll.RssMarket(A113,"銘柄名称")</f>
        <v>ＣＡＩＣＡＤＩＧＩＴＡＬ</v>
      </c>
      <c r="C113" s="21">
        <f>_xll.RssMarket(A113,"現在値")</f>
        <v>43</v>
      </c>
      <c r="D113" s="20" t="str">
        <f>_xll.RssMarket(A113,"現在値詳細時刻")</f>
        <v>15:00:00</v>
      </c>
      <c r="E113" s="22">
        <f>_xll.RssMarket(A113,"前日比")</f>
        <v>-1</v>
      </c>
      <c r="F113" s="23">
        <f>_xll.RssMarket(A113,"前日比率")/100</f>
        <v>-2.2700000000000001E-2</v>
      </c>
      <c r="G113" s="24">
        <f>IFERROR(VLOOKUP(A113,取得元!$A$2:$F$501,2,FALSE),"-")</f>
        <v>210</v>
      </c>
      <c r="H113" s="24">
        <f>IFERROR(VLOOKUP(A113,取得元!$A$2:$F$501,3,FALSE),"-")</f>
        <v>87.142799999999994</v>
      </c>
      <c r="I113" s="24">
        <f>IFERROR(VLOOKUP(A113,取得元!$A$2:$F$501,4,FALSE),"-")</f>
        <v>9030</v>
      </c>
      <c r="J113" s="5">
        <f>IFERROR(VLOOKUP(A113,取得元!$A$2:$F$501,5,FALSE),"-")</f>
        <v>-9269.9879999999994</v>
      </c>
      <c r="K113" s="25">
        <f>IFERROR(VLOOKUP(A113,取得元!$A$2:$F$501,6,FALSE)/100,"-")</f>
        <v>-0.50655704999999995</v>
      </c>
      <c r="L113" s="21">
        <f>_xll.RssMarket(A113,"始値")</f>
        <v>44</v>
      </c>
      <c r="M113" s="4">
        <f t="shared" si="10"/>
        <v>-2.2727272727272707E-2</v>
      </c>
      <c r="N113" s="21">
        <f>_xll.RssMarket(A113,"高値")</f>
        <v>44</v>
      </c>
      <c r="O113" s="4">
        <f t="shared" si="11"/>
        <v>-2.2727272727272707E-2</v>
      </c>
      <c r="P113" s="21">
        <f>_xll.RssMarket(A113,"安値")</f>
        <v>43</v>
      </c>
      <c r="Q113" s="4">
        <f t="shared" si="12"/>
        <v>0</v>
      </c>
      <c r="R113" s="21">
        <f>_xll.RssMarket(A113,"後場始値")</f>
        <v>43</v>
      </c>
      <c r="S113" s="25">
        <f t="shared" si="13"/>
        <v>0</v>
      </c>
      <c r="T113" s="7">
        <f>_xll.RssMarket(A113,"出来高加重平均")</f>
        <v>43.598300000000002</v>
      </c>
      <c r="U113" s="4">
        <f t="shared" si="14"/>
        <v>-1.3723012135794299E-2</v>
      </c>
      <c r="V113" s="21">
        <f>_xll.RssMarket(A113,"出来高")</f>
        <v>815100</v>
      </c>
      <c r="W113" s="21">
        <f>_xll.RssMarket(A113,"売買代金")</f>
        <v>35537</v>
      </c>
      <c r="X113" s="20" t="str">
        <f>_xll.RssMarket(A113,"決算発表日")</f>
        <v>2024/03/15</v>
      </c>
      <c r="Y113" s="26" t="str">
        <f>IF(C113&gt;_xll.RssMarket(A113,"年初来高値"),"○","×")</f>
        <v>×</v>
      </c>
      <c r="Z113" s="27" t="str">
        <f>IF(C113&lt;=_xll.RssMarket(A113,"年初来安値"),"○","×")</f>
        <v>×</v>
      </c>
    </row>
    <row r="114" spans="1:26" x14ac:dyDescent="0.25">
      <c r="A114" s="47">
        <v>2317</v>
      </c>
      <c r="B114" s="20" t="str">
        <f>_xll.RssMarket(A114,"銘柄名称")</f>
        <v>表示銘柄数超過</v>
      </c>
      <c r="C114" s="21" t="str">
        <f>_xll.RssMarket(A114,"現在値")</f>
        <v>表示銘柄数超過</v>
      </c>
      <c r="D114" s="20" t="str">
        <f>_xll.RssMarket(A114,"現在値詳細時刻")</f>
        <v>表示銘柄数超過</v>
      </c>
      <c r="E114" s="22" t="str">
        <f>_xll.RssMarket(A114,"前日比")</f>
        <v>表示銘柄数超過</v>
      </c>
      <c r="F114" s="23" t="e">
        <f>_xll.RssMarket(A114,"前日比率")/100</f>
        <v>#VALUE!</v>
      </c>
      <c r="G114" s="24" t="str">
        <f>IFERROR(VLOOKUP(A114,取得元!$A$2:$F$501,2,FALSE),"-")</f>
        <v>-</v>
      </c>
      <c r="H114" s="24" t="str">
        <f>IFERROR(VLOOKUP(A114,取得元!$A$2:$F$501,3,FALSE),"-")</f>
        <v>-</v>
      </c>
      <c r="I114" s="24" t="str">
        <f>IFERROR(VLOOKUP(A114,取得元!$A$2:$F$501,4,FALSE),"-")</f>
        <v>-</v>
      </c>
      <c r="J114" s="5" t="str">
        <f>IFERROR(VLOOKUP(A114,取得元!$A$2:$F$501,5,FALSE),"-")</f>
        <v>-</v>
      </c>
      <c r="K114" s="25" t="str">
        <f>IFERROR(VLOOKUP(A114,取得元!$A$2:$F$501,6,FALSE)/100,"-")</f>
        <v>-</v>
      </c>
      <c r="L114" s="21" t="str">
        <f>_xll.RssMarket(A114,"始値")</f>
        <v>表示銘柄数超過</v>
      </c>
      <c r="M114" s="4" t="e">
        <f t="shared" si="10"/>
        <v>#VALUE!</v>
      </c>
      <c r="N114" s="21" t="str">
        <f>_xll.RssMarket(A114,"高値")</f>
        <v>表示銘柄数超過</v>
      </c>
      <c r="O114" s="4" t="e">
        <f t="shared" si="11"/>
        <v>#VALUE!</v>
      </c>
      <c r="P114" s="21" t="str">
        <f>_xll.RssMarket(A114,"安値")</f>
        <v>表示銘柄数超過</v>
      </c>
      <c r="Q114" s="4" t="e">
        <f t="shared" si="12"/>
        <v>#VALUE!</v>
      </c>
      <c r="R114" s="21" t="str">
        <f>_xll.RssMarket(A114,"後場始値")</f>
        <v>表示銘柄数超過</v>
      </c>
      <c r="S114" s="25" t="str">
        <f t="shared" si="13"/>
        <v>-</v>
      </c>
      <c r="T114" s="7" t="str">
        <f>_xll.RssMarket(A114,"出来高加重平均")</f>
        <v>表示銘柄数超過</v>
      </c>
      <c r="U114" s="4" t="e">
        <f t="shared" si="14"/>
        <v>#VALUE!</v>
      </c>
      <c r="V114" s="21" t="str">
        <f>_xll.RssMarket(A114,"出来高")</f>
        <v>表示銘柄数超過</v>
      </c>
      <c r="W114" s="21" t="str">
        <f>_xll.RssMarket(A114,"売買代金")</f>
        <v>表示銘柄数超過</v>
      </c>
      <c r="X114" s="20" t="str">
        <f>_xll.RssMarket(A114,"決算発表日")</f>
        <v>表示銘柄数超過</v>
      </c>
      <c r="Y114" s="26" t="str">
        <f>IF(C114&gt;_xll.RssMarket(A114,"年初来高値"),"○","×")</f>
        <v>×</v>
      </c>
      <c r="Z114" s="27" t="str">
        <f>IF(C114&lt;=_xll.RssMarket(A114,"年初来安値"),"○","×")</f>
        <v>○</v>
      </c>
    </row>
    <row r="115" spans="1:26" x14ac:dyDescent="0.25">
      <c r="A115" s="49">
        <v>2321</v>
      </c>
      <c r="B115" s="20" t="str">
        <f>_xll.RssMarket(A115,"銘柄名称")</f>
        <v>表示銘柄数超過</v>
      </c>
      <c r="C115" s="21" t="str">
        <f>_xll.RssMarket(A115,"現在値")</f>
        <v>表示銘柄数超過</v>
      </c>
      <c r="D115" s="20" t="str">
        <f>_xll.RssMarket(A115,"現在値詳細時刻")</f>
        <v>表示銘柄数超過</v>
      </c>
      <c r="E115" s="22" t="str">
        <f>_xll.RssMarket(A115,"前日比")</f>
        <v>表示銘柄数超過</v>
      </c>
      <c r="F115" s="23" t="e">
        <f>_xll.RssMarket(A115,"前日比率")/100</f>
        <v>#VALUE!</v>
      </c>
      <c r="G115" s="24" t="str">
        <f>IFERROR(VLOOKUP(A115,取得元!$A$2:$F$501,2,FALSE),"-")</f>
        <v>-</v>
      </c>
      <c r="H115" s="24" t="str">
        <f>IFERROR(VLOOKUP(A115,取得元!$A$2:$F$501,3,FALSE),"-")</f>
        <v>-</v>
      </c>
      <c r="I115" s="24" t="str">
        <f>IFERROR(VLOOKUP(A115,取得元!$A$2:$F$501,4,FALSE),"-")</f>
        <v>-</v>
      </c>
      <c r="J115" s="5" t="str">
        <f>IFERROR(VLOOKUP(A115,取得元!$A$2:$F$501,5,FALSE),"-")</f>
        <v>-</v>
      </c>
      <c r="K115" s="25" t="str">
        <f>IFERROR(VLOOKUP(A115,取得元!$A$2:$F$501,6,FALSE)/100,"-")</f>
        <v>-</v>
      </c>
      <c r="L115" s="21" t="str">
        <f>_xll.RssMarket(A115,"始値")</f>
        <v>表示銘柄数超過</v>
      </c>
      <c r="M115" s="4" t="e">
        <f t="shared" si="10"/>
        <v>#VALUE!</v>
      </c>
      <c r="N115" s="21" t="str">
        <f>_xll.RssMarket(A115,"高値")</f>
        <v>表示銘柄数超過</v>
      </c>
      <c r="O115" s="4" t="e">
        <f t="shared" si="11"/>
        <v>#VALUE!</v>
      </c>
      <c r="P115" s="21" t="str">
        <f>_xll.RssMarket(A115,"安値")</f>
        <v>表示銘柄数超過</v>
      </c>
      <c r="Q115" s="4" t="e">
        <f t="shared" si="12"/>
        <v>#VALUE!</v>
      </c>
      <c r="R115" s="21" t="str">
        <f>_xll.RssMarket(A115,"後場始値")</f>
        <v>表示銘柄数超過</v>
      </c>
      <c r="S115" s="25" t="str">
        <f t="shared" si="13"/>
        <v>-</v>
      </c>
      <c r="T115" s="7" t="str">
        <f>_xll.RssMarket(A115,"出来高加重平均")</f>
        <v>表示銘柄数超過</v>
      </c>
      <c r="U115" s="4" t="e">
        <f t="shared" si="14"/>
        <v>#VALUE!</v>
      </c>
      <c r="V115" s="21" t="str">
        <f>_xll.RssMarket(A115,"出来高")</f>
        <v>表示銘柄数超過</v>
      </c>
      <c r="W115" s="21" t="str">
        <f>_xll.RssMarket(A115,"売買代金")</f>
        <v>表示銘柄数超過</v>
      </c>
      <c r="X115" s="20" t="str">
        <f>_xll.RssMarket(A115,"決算発表日")</f>
        <v>表示銘柄数超過</v>
      </c>
      <c r="Y115" s="26" t="str">
        <f>IF(C115&gt;_xll.RssMarket(A115,"年初来高値"),"○","×")</f>
        <v>×</v>
      </c>
      <c r="Z115" s="27" t="str">
        <f>IF(C115&lt;=_xll.RssMarket(A115,"年初来安値"),"○","×")</f>
        <v>○</v>
      </c>
    </row>
    <row r="116" spans="1:26" x14ac:dyDescent="0.25">
      <c r="A116" s="47">
        <v>2323</v>
      </c>
      <c r="B116" s="20" t="str">
        <f>_xll.RssMarket(A116,"銘柄名称")</f>
        <v>表示銘柄数超過</v>
      </c>
      <c r="C116" s="21" t="str">
        <f>_xll.RssMarket(A116,"現在値")</f>
        <v>表示銘柄数超過</v>
      </c>
      <c r="D116" s="20" t="str">
        <f>_xll.RssMarket(A116,"現在値詳細時刻")</f>
        <v>表示銘柄数超過</v>
      </c>
      <c r="E116" s="22" t="str">
        <f>_xll.RssMarket(A116,"前日比")</f>
        <v>表示銘柄数超過</v>
      </c>
      <c r="F116" s="23" t="e">
        <f>_xll.RssMarket(A116,"前日比率")/100</f>
        <v>#VALUE!</v>
      </c>
      <c r="G116" s="24" t="str">
        <f>IFERROR(VLOOKUP(A116,取得元!$A$2:$F$501,2,FALSE),"-")</f>
        <v>-</v>
      </c>
      <c r="H116" s="24" t="str">
        <f>IFERROR(VLOOKUP(A116,取得元!$A$2:$F$501,3,FALSE),"-")</f>
        <v>-</v>
      </c>
      <c r="I116" s="24" t="str">
        <f>IFERROR(VLOOKUP(A116,取得元!$A$2:$F$501,4,FALSE),"-")</f>
        <v>-</v>
      </c>
      <c r="J116" s="5" t="str">
        <f>IFERROR(VLOOKUP(A116,取得元!$A$2:$F$501,5,FALSE),"-")</f>
        <v>-</v>
      </c>
      <c r="K116" s="25" t="str">
        <f>IFERROR(VLOOKUP(A116,取得元!$A$2:$F$501,6,FALSE)/100,"-")</f>
        <v>-</v>
      </c>
      <c r="L116" s="21" t="str">
        <f>_xll.RssMarket(A116,"始値")</f>
        <v>表示銘柄数超過</v>
      </c>
      <c r="M116" s="4" t="e">
        <f t="shared" si="10"/>
        <v>#VALUE!</v>
      </c>
      <c r="N116" s="21" t="str">
        <f>_xll.RssMarket(A116,"高値")</f>
        <v>表示銘柄数超過</v>
      </c>
      <c r="O116" s="4" t="e">
        <f t="shared" si="11"/>
        <v>#VALUE!</v>
      </c>
      <c r="P116" s="21" t="str">
        <f>_xll.RssMarket(A116,"安値")</f>
        <v>表示銘柄数超過</v>
      </c>
      <c r="Q116" s="4" t="e">
        <f t="shared" si="12"/>
        <v>#VALUE!</v>
      </c>
      <c r="R116" s="21" t="str">
        <f>_xll.RssMarket(A116,"後場始値")</f>
        <v>表示銘柄数超過</v>
      </c>
      <c r="S116" s="25" t="str">
        <f t="shared" si="13"/>
        <v>-</v>
      </c>
      <c r="T116" s="7" t="str">
        <f>_xll.RssMarket(A116,"出来高加重平均")</f>
        <v>表示銘柄数超過</v>
      </c>
      <c r="U116" s="4" t="e">
        <f t="shared" si="14"/>
        <v>#VALUE!</v>
      </c>
      <c r="V116" s="21" t="str">
        <f>_xll.RssMarket(A116,"出来高")</f>
        <v>表示銘柄数超過</v>
      </c>
      <c r="W116" s="21" t="str">
        <f>_xll.RssMarket(A116,"売買代金")</f>
        <v>表示銘柄数超過</v>
      </c>
      <c r="X116" s="20" t="str">
        <f>_xll.RssMarket(A116,"決算発表日")</f>
        <v>表示銘柄数超過</v>
      </c>
      <c r="Y116" s="26" t="str">
        <f>IF(C116&gt;_xll.RssMarket(A116,"年初来高値"),"○","×")</f>
        <v>×</v>
      </c>
      <c r="Z116" s="27" t="str">
        <f>IF(C116&lt;=_xll.RssMarket(A116,"年初来安値"),"○","×")</f>
        <v>○</v>
      </c>
    </row>
    <row r="117" spans="1:26" x14ac:dyDescent="0.25">
      <c r="A117" s="49">
        <v>2330</v>
      </c>
      <c r="B117" s="20" t="str">
        <f>_xll.RssMarket(A117,"銘柄名称")</f>
        <v>表示銘柄数超過</v>
      </c>
      <c r="C117" s="21" t="str">
        <f>_xll.RssMarket(A117,"現在値")</f>
        <v>表示銘柄数超過</v>
      </c>
      <c r="D117" s="20" t="str">
        <f>_xll.RssMarket(A117,"現在値詳細時刻")</f>
        <v>表示銘柄数超過</v>
      </c>
      <c r="E117" s="22" t="str">
        <f>_xll.RssMarket(A117,"前日比")</f>
        <v>表示銘柄数超過</v>
      </c>
      <c r="F117" s="23" t="e">
        <f>_xll.RssMarket(A117,"前日比率")/100</f>
        <v>#VALUE!</v>
      </c>
      <c r="G117" s="24" t="str">
        <f>IFERROR(VLOOKUP(A117,取得元!$A$2:$F$501,2,FALSE),"-")</f>
        <v>-</v>
      </c>
      <c r="H117" s="24" t="str">
        <f>IFERROR(VLOOKUP(A117,取得元!$A$2:$F$501,3,FALSE),"-")</f>
        <v>-</v>
      </c>
      <c r="I117" s="24" t="str">
        <f>IFERROR(VLOOKUP(A117,取得元!$A$2:$F$501,4,FALSE),"-")</f>
        <v>-</v>
      </c>
      <c r="J117" s="5" t="str">
        <f>IFERROR(VLOOKUP(A117,取得元!$A$2:$F$501,5,FALSE),"-")</f>
        <v>-</v>
      </c>
      <c r="K117" s="25" t="str">
        <f>IFERROR(VLOOKUP(A117,取得元!$A$2:$F$501,6,FALSE)/100,"-")</f>
        <v>-</v>
      </c>
      <c r="L117" s="21" t="str">
        <f>_xll.RssMarket(A117,"始値")</f>
        <v>表示銘柄数超過</v>
      </c>
      <c r="M117" s="4" t="e">
        <f t="shared" si="10"/>
        <v>#VALUE!</v>
      </c>
      <c r="N117" s="21" t="str">
        <f>_xll.RssMarket(A117,"高値")</f>
        <v>表示銘柄数超過</v>
      </c>
      <c r="O117" s="4" t="e">
        <f t="shared" si="11"/>
        <v>#VALUE!</v>
      </c>
      <c r="P117" s="21" t="str">
        <f>_xll.RssMarket(A117,"安値")</f>
        <v>表示銘柄数超過</v>
      </c>
      <c r="Q117" s="4" t="e">
        <f t="shared" si="12"/>
        <v>#VALUE!</v>
      </c>
      <c r="R117" s="21" t="str">
        <f>_xll.RssMarket(A117,"後場始値")</f>
        <v>表示銘柄数超過</v>
      </c>
      <c r="S117" s="25" t="str">
        <f t="shared" si="13"/>
        <v>-</v>
      </c>
      <c r="T117" s="7" t="str">
        <f>_xll.RssMarket(A117,"出来高加重平均")</f>
        <v>表示銘柄数超過</v>
      </c>
      <c r="U117" s="4" t="e">
        <f t="shared" si="14"/>
        <v>#VALUE!</v>
      </c>
      <c r="V117" s="21" t="str">
        <f>_xll.RssMarket(A117,"出来高")</f>
        <v>表示銘柄数超過</v>
      </c>
      <c r="W117" s="21" t="str">
        <f>_xll.RssMarket(A117,"売買代金")</f>
        <v>表示銘柄数超過</v>
      </c>
      <c r="X117" s="20" t="str">
        <f>_xll.RssMarket(A117,"決算発表日")</f>
        <v>表示銘柄数超過</v>
      </c>
      <c r="Y117" s="26" t="str">
        <f>IF(C117&gt;_xll.RssMarket(A117,"年初来高値"),"○","×")</f>
        <v>×</v>
      </c>
      <c r="Z117" s="27" t="str">
        <f>IF(C117&lt;=_xll.RssMarket(A117,"年初来安値"),"○","×")</f>
        <v>○</v>
      </c>
    </row>
    <row r="118" spans="1:26" x14ac:dyDescent="0.25">
      <c r="A118" s="47">
        <v>2337</v>
      </c>
      <c r="B118" s="20" t="str">
        <f>_xll.RssMarket(A118,"銘柄名称")</f>
        <v>表示銘柄数超過</v>
      </c>
      <c r="C118" s="21" t="str">
        <f>_xll.RssMarket(A118,"現在値")</f>
        <v>表示銘柄数超過</v>
      </c>
      <c r="D118" s="20" t="str">
        <f>_xll.RssMarket(A118,"現在値詳細時刻")</f>
        <v>表示銘柄数超過</v>
      </c>
      <c r="E118" s="22" t="str">
        <f>_xll.RssMarket(A118,"前日比")</f>
        <v>表示銘柄数超過</v>
      </c>
      <c r="F118" s="23" t="e">
        <f>_xll.RssMarket(A118,"前日比率")/100</f>
        <v>#VALUE!</v>
      </c>
      <c r="G118" s="24" t="str">
        <f>IFERROR(VLOOKUP(A118,取得元!$A$2:$F$501,2,FALSE),"-")</f>
        <v>-</v>
      </c>
      <c r="H118" s="24" t="str">
        <f>IFERROR(VLOOKUP(A118,取得元!$A$2:$F$501,3,FALSE),"-")</f>
        <v>-</v>
      </c>
      <c r="I118" s="24" t="str">
        <f>IFERROR(VLOOKUP(A118,取得元!$A$2:$F$501,4,FALSE),"-")</f>
        <v>-</v>
      </c>
      <c r="J118" s="5" t="str">
        <f>IFERROR(VLOOKUP(A118,取得元!$A$2:$F$501,5,FALSE),"-")</f>
        <v>-</v>
      </c>
      <c r="K118" s="25" t="str">
        <f>IFERROR(VLOOKUP(A118,取得元!$A$2:$F$501,6,FALSE)/100,"-")</f>
        <v>-</v>
      </c>
      <c r="L118" s="21" t="str">
        <f>_xll.RssMarket(A118,"始値")</f>
        <v>表示銘柄数超過</v>
      </c>
      <c r="M118" s="4" t="e">
        <f t="shared" si="10"/>
        <v>#VALUE!</v>
      </c>
      <c r="N118" s="21" t="str">
        <f>_xll.RssMarket(A118,"高値")</f>
        <v>表示銘柄数超過</v>
      </c>
      <c r="O118" s="4" t="e">
        <f t="shared" si="11"/>
        <v>#VALUE!</v>
      </c>
      <c r="P118" s="21" t="str">
        <f>_xll.RssMarket(A118,"安値")</f>
        <v>表示銘柄数超過</v>
      </c>
      <c r="Q118" s="4" t="e">
        <f t="shared" si="12"/>
        <v>#VALUE!</v>
      </c>
      <c r="R118" s="21" t="str">
        <f>_xll.RssMarket(A118,"後場始値")</f>
        <v>表示銘柄数超過</v>
      </c>
      <c r="S118" s="25" t="str">
        <f t="shared" si="13"/>
        <v>-</v>
      </c>
      <c r="T118" s="7" t="str">
        <f>_xll.RssMarket(A118,"出来高加重平均")</f>
        <v>表示銘柄数超過</v>
      </c>
      <c r="U118" s="4" t="e">
        <f t="shared" si="14"/>
        <v>#VALUE!</v>
      </c>
      <c r="V118" s="21" t="str">
        <f>_xll.RssMarket(A118,"出来高")</f>
        <v>表示銘柄数超過</v>
      </c>
      <c r="W118" s="21" t="str">
        <f>_xll.RssMarket(A118,"売買代金")</f>
        <v>表示銘柄数超過</v>
      </c>
      <c r="X118" s="20" t="str">
        <f>_xll.RssMarket(A118,"決算発表日")</f>
        <v>表示銘柄数超過</v>
      </c>
      <c r="Y118" s="26" t="str">
        <f>IF(C118&gt;_xll.RssMarket(A118,"年初来高値"),"○","×")</f>
        <v>×</v>
      </c>
      <c r="Z118" s="27" t="str">
        <f>IF(C118&lt;=_xll.RssMarket(A118,"年初来安値"),"○","×")</f>
        <v>○</v>
      </c>
    </row>
    <row r="119" spans="1:26" x14ac:dyDescent="0.25">
      <c r="A119" s="49">
        <v>2340</v>
      </c>
      <c r="B119" s="20" t="str">
        <f>_xll.RssMarket(A119,"銘柄名称")</f>
        <v>表示銘柄数超過</v>
      </c>
      <c r="C119" s="21" t="str">
        <f>_xll.RssMarket(A119,"現在値")</f>
        <v>表示銘柄数超過</v>
      </c>
      <c r="D119" s="20" t="str">
        <f>_xll.RssMarket(A119,"現在値詳細時刻")</f>
        <v>表示銘柄数超過</v>
      </c>
      <c r="E119" s="22" t="str">
        <f>_xll.RssMarket(A119,"前日比")</f>
        <v>表示銘柄数超過</v>
      </c>
      <c r="F119" s="23" t="e">
        <f>_xll.RssMarket(A119,"前日比率")/100</f>
        <v>#VALUE!</v>
      </c>
      <c r="G119" s="24" t="str">
        <f>IFERROR(VLOOKUP(A119,取得元!$A$2:$F$501,2,FALSE),"-")</f>
        <v>-</v>
      </c>
      <c r="H119" s="24" t="str">
        <f>IFERROR(VLOOKUP(A119,取得元!$A$2:$F$501,3,FALSE),"-")</f>
        <v>-</v>
      </c>
      <c r="I119" s="24" t="str">
        <f>IFERROR(VLOOKUP(A119,取得元!$A$2:$F$501,4,FALSE),"-")</f>
        <v>-</v>
      </c>
      <c r="J119" s="5" t="str">
        <f>IFERROR(VLOOKUP(A119,取得元!$A$2:$F$501,5,FALSE),"-")</f>
        <v>-</v>
      </c>
      <c r="K119" s="25" t="str">
        <f>IFERROR(VLOOKUP(A119,取得元!$A$2:$F$501,6,FALSE)/100,"-")</f>
        <v>-</v>
      </c>
      <c r="L119" s="21" t="str">
        <f>_xll.RssMarket(A119,"始値")</f>
        <v>表示銘柄数超過</v>
      </c>
      <c r="M119" s="4" t="e">
        <f t="shared" si="10"/>
        <v>#VALUE!</v>
      </c>
      <c r="N119" s="21" t="str">
        <f>_xll.RssMarket(A119,"高値")</f>
        <v>表示銘柄数超過</v>
      </c>
      <c r="O119" s="4" t="e">
        <f t="shared" si="11"/>
        <v>#VALUE!</v>
      </c>
      <c r="P119" s="21" t="str">
        <f>_xll.RssMarket(A119,"安値")</f>
        <v>表示銘柄数超過</v>
      </c>
      <c r="Q119" s="4" t="e">
        <f t="shared" si="12"/>
        <v>#VALUE!</v>
      </c>
      <c r="R119" s="21" t="str">
        <f>_xll.RssMarket(A119,"後場始値")</f>
        <v>表示銘柄数超過</v>
      </c>
      <c r="S119" s="25" t="str">
        <f t="shared" si="13"/>
        <v>-</v>
      </c>
      <c r="T119" s="7" t="str">
        <f>_xll.RssMarket(A119,"出来高加重平均")</f>
        <v>表示銘柄数超過</v>
      </c>
      <c r="U119" s="4" t="e">
        <f t="shared" si="14"/>
        <v>#VALUE!</v>
      </c>
      <c r="V119" s="21" t="str">
        <f>_xll.RssMarket(A119,"出来高")</f>
        <v>表示銘柄数超過</v>
      </c>
      <c r="W119" s="21" t="str">
        <f>_xll.RssMarket(A119,"売買代金")</f>
        <v>表示銘柄数超過</v>
      </c>
      <c r="X119" s="20" t="str">
        <f>_xll.RssMarket(A119,"決算発表日")</f>
        <v>表示銘柄数超過</v>
      </c>
      <c r="Y119" s="26" t="str">
        <f>IF(C119&gt;_xll.RssMarket(A119,"年初来高値"),"○","×")</f>
        <v>×</v>
      </c>
      <c r="Z119" s="27" t="str">
        <f>IF(C119&lt;=_xll.RssMarket(A119,"年初来安値"),"○","×")</f>
        <v>○</v>
      </c>
    </row>
    <row r="120" spans="1:26" x14ac:dyDescent="0.25">
      <c r="A120" s="47">
        <v>2341</v>
      </c>
      <c r="B120" s="20" t="str">
        <f>_xll.RssMarket(A120,"銘柄名称")</f>
        <v>表示銘柄数超過</v>
      </c>
      <c r="C120" s="21" t="str">
        <f>_xll.RssMarket(A120,"現在値")</f>
        <v>表示銘柄数超過</v>
      </c>
      <c r="D120" s="20" t="str">
        <f>_xll.RssMarket(A120,"現在値詳細時刻")</f>
        <v>表示銘柄数超過</v>
      </c>
      <c r="E120" s="22" t="str">
        <f>_xll.RssMarket(A120,"前日比")</f>
        <v>表示銘柄数超過</v>
      </c>
      <c r="F120" s="23" t="e">
        <f>_xll.RssMarket(A120,"前日比率")/100</f>
        <v>#VALUE!</v>
      </c>
      <c r="G120" s="24" t="str">
        <f>IFERROR(VLOOKUP(A120,取得元!$A$2:$F$501,2,FALSE),"-")</f>
        <v>-</v>
      </c>
      <c r="H120" s="24" t="str">
        <f>IFERROR(VLOOKUP(A120,取得元!$A$2:$F$501,3,FALSE),"-")</f>
        <v>-</v>
      </c>
      <c r="I120" s="24" t="str">
        <f>IFERROR(VLOOKUP(A120,取得元!$A$2:$F$501,4,FALSE),"-")</f>
        <v>-</v>
      </c>
      <c r="J120" s="5" t="str">
        <f>IFERROR(VLOOKUP(A120,取得元!$A$2:$F$501,5,FALSE),"-")</f>
        <v>-</v>
      </c>
      <c r="K120" s="25" t="str">
        <f>IFERROR(VLOOKUP(A120,取得元!$A$2:$F$501,6,FALSE)/100,"-")</f>
        <v>-</v>
      </c>
      <c r="L120" s="21" t="str">
        <f>_xll.RssMarket(A120,"始値")</f>
        <v>表示銘柄数超過</v>
      </c>
      <c r="M120" s="4" t="e">
        <f t="shared" si="10"/>
        <v>#VALUE!</v>
      </c>
      <c r="N120" s="21" t="str">
        <f>_xll.RssMarket(A120,"高値")</f>
        <v>表示銘柄数超過</v>
      </c>
      <c r="O120" s="4" t="e">
        <f t="shared" si="11"/>
        <v>#VALUE!</v>
      </c>
      <c r="P120" s="21" t="str">
        <f>_xll.RssMarket(A120,"安値")</f>
        <v>表示銘柄数超過</v>
      </c>
      <c r="Q120" s="4" t="e">
        <f t="shared" si="12"/>
        <v>#VALUE!</v>
      </c>
      <c r="R120" s="21" t="str">
        <f>_xll.RssMarket(A120,"後場始値")</f>
        <v>表示銘柄数超過</v>
      </c>
      <c r="S120" s="25" t="str">
        <f t="shared" si="13"/>
        <v>-</v>
      </c>
      <c r="T120" s="7" t="str">
        <f>_xll.RssMarket(A120,"出来高加重平均")</f>
        <v>表示銘柄数超過</v>
      </c>
      <c r="U120" s="4" t="e">
        <f t="shared" si="14"/>
        <v>#VALUE!</v>
      </c>
      <c r="V120" s="21" t="str">
        <f>_xll.RssMarket(A120,"出来高")</f>
        <v>表示銘柄数超過</v>
      </c>
      <c r="W120" s="21" t="str">
        <f>_xll.RssMarket(A120,"売買代金")</f>
        <v>表示銘柄数超過</v>
      </c>
      <c r="X120" s="20" t="str">
        <f>_xll.RssMarket(A120,"決算発表日")</f>
        <v>表示銘柄数超過</v>
      </c>
      <c r="Y120" s="26" t="str">
        <f>IF(C120&gt;_xll.RssMarket(A120,"年初来高値"),"○","×")</f>
        <v>×</v>
      </c>
      <c r="Z120" s="27" t="str">
        <f>IF(C120&lt;=_xll.RssMarket(A120,"年初来安値"),"○","×")</f>
        <v>○</v>
      </c>
    </row>
    <row r="121" spans="1:26" x14ac:dyDescent="0.25">
      <c r="A121" s="49">
        <v>2344</v>
      </c>
      <c r="B121" s="20" t="str">
        <f>_xll.RssMarket(A121,"銘柄名称")</f>
        <v>表示銘柄数超過</v>
      </c>
      <c r="C121" s="21" t="str">
        <f>_xll.RssMarket(A121,"現在値")</f>
        <v>表示銘柄数超過</v>
      </c>
      <c r="D121" s="20" t="str">
        <f>_xll.RssMarket(A121,"現在値詳細時刻")</f>
        <v>表示銘柄数超過</v>
      </c>
      <c r="E121" s="22" t="str">
        <f>_xll.RssMarket(A121,"前日比")</f>
        <v>表示銘柄数超過</v>
      </c>
      <c r="F121" s="23" t="e">
        <f>_xll.RssMarket(A121,"前日比率")/100</f>
        <v>#VALUE!</v>
      </c>
      <c r="G121" s="24" t="str">
        <f>IFERROR(VLOOKUP(A121,取得元!$A$2:$F$501,2,FALSE),"-")</f>
        <v>-</v>
      </c>
      <c r="H121" s="24" t="str">
        <f>IFERROR(VLOOKUP(A121,取得元!$A$2:$F$501,3,FALSE),"-")</f>
        <v>-</v>
      </c>
      <c r="I121" s="24" t="str">
        <f>IFERROR(VLOOKUP(A121,取得元!$A$2:$F$501,4,FALSE),"-")</f>
        <v>-</v>
      </c>
      <c r="J121" s="5" t="str">
        <f>IFERROR(VLOOKUP(A121,取得元!$A$2:$F$501,5,FALSE),"-")</f>
        <v>-</v>
      </c>
      <c r="K121" s="25" t="str">
        <f>IFERROR(VLOOKUP(A121,取得元!$A$2:$F$501,6,FALSE)/100,"-")</f>
        <v>-</v>
      </c>
      <c r="L121" s="21" t="str">
        <f>_xll.RssMarket(A121,"始値")</f>
        <v>表示銘柄数超過</v>
      </c>
      <c r="M121" s="4" t="e">
        <f t="shared" si="10"/>
        <v>#VALUE!</v>
      </c>
      <c r="N121" s="21" t="str">
        <f>_xll.RssMarket(A121,"高値")</f>
        <v>表示銘柄数超過</v>
      </c>
      <c r="O121" s="4" t="e">
        <f t="shared" si="11"/>
        <v>#VALUE!</v>
      </c>
      <c r="P121" s="21" t="str">
        <f>_xll.RssMarket(A121,"安値")</f>
        <v>表示銘柄数超過</v>
      </c>
      <c r="Q121" s="4" t="e">
        <f t="shared" si="12"/>
        <v>#VALUE!</v>
      </c>
      <c r="R121" s="21" t="str">
        <f>_xll.RssMarket(A121,"後場始値")</f>
        <v>表示銘柄数超過</v>
      </c>
      <c r="S121" s="25" t="str">
        <f t="shared" si="13"/>
        <v>-</v>
      </c>
      <c r="T121" s="7" t="str">
        <f>_xll.RssMarket(A121,"出来高加重平均")</f>
        <v>表示銘柄数超過</v>
      </c>
      <c r="U121" s="4" t="e">
        <f t="shared" si="14"/>
        <v>#VALUE!</v>
      </c>
      <c r="V121" s="21" t="str">
        <f>_xll.RssMarket(A121,"出来高")</f>
        <v>表示銘柄数超過</v>
      </c>
      <c r="W121" s="21" t="str">
        <f>_xll.RssMarket(A121,"売買代金")</f>
        <v>表示銘柄数超過</v>
      </c>
      <c r="X121" s="20" t="str">
        <f>_xll.RssMarket(A121,"決算発表日")</f>
        <v>表示銘柄数超過</v>
      </c>
      <c r="Y121" s="26" t="str">
        <f>IF(C121&gt;_xll.RssMarket(A121,"年初来高値"),"○","×")</f>
        <v>×</v>
      </c>
      <c r="Z121" s="27" t="str">
        <f>IF(C121&lt;=_xll.RssMarket(A121,"年初来安値"),"○","×")</f>
        <v>○</v>
      </c>
    </row>
    <row r="122" spans="1:26" x14ac:dyDescent="0.25">
      <c r="A122" s="47">
        <v>2345</v>
      </c>
      <c r="B122" s="20" t="str">
        <f>_xll.RssMarket(A122,"銘柄名称")</f>
        <v>表示銘柄数超過</v>
      </c>
      <c r="C122" s="21" t="str">
        <f>_xll.RssMarket(A122,"現在値")</f>
        <v>表示銘柄数超過</v>
      </c>
      <c r="D122" s="20" t="str">
        <f>_xll.RssMarket(A122,"現在値詳細時刻")</f>
        <v>表示銘柄数超過</v>
      </c>
      <c r="E122" s="22" t="str">
        <f>_xll.RssMarket(A122,"前日比")</f>
        <v>表示銘柄数超過</v>
      </c>
      <c r="F122" s="23" t="e">
        <f>_xll.RssMarket(A122,"前日比率")/100</f>
        <v>#VALUE!</v>
      </c>
      <c r="G122" s="24" t="str">
        <f>IFERROR(VLOOKUP(A122,取得元!$A$2:$F$501,2,FALSE),"-")</f>
        <v>-</v>
      </c>
      <c r="H122" s="24" t="str">
        <f>IFERROR(VLOOKUP(A122,取得元!$A$2:$F$501,3,FALSE),"-")</f>
        <v>-</v>
      </c>
      <c r="I122" s="24" t="str">
        <f>IFERROR(VLOOKUP(A122,取得元!$A$2:$F$501,4,FALSE),"-")</f>
        <v>-</v>
      </c>
      <c r="J122" s="5" t="str">
        <f>IFERROR(VLOOKUP(A122,取得元!$A$2:$F$501,5,FALSE),"-")</f>
        <v>-</v>
      </c>
      <c r="K122" s="25" t="str">
        <f>IFERROR(VLOOKUP(A122,取得元!$A$2:$F$501,6,FALSE)/100,"-")</f>
        <v>-</v>
      </c>
      <c r="L122" s="21" t="str">
        <f>_xll.RssMarket(A122,"始値")</f>
        <v>表示銘柄数超過</v>
      </c>
      <c r="M122" s="4" t="e">
        <f t="shared" si="10"/>
        <v>#VALUE!</v>
      </c>
      <c r="N122" s="21" t="str">
        <f>_xll.RssMarket(A122,"高値")</f>
        <v>表示銘柄数超過</v>
      </c>
      <c r="O122" s="4" t="e">
        <f t="shared" si="11"/>
        <v>#VALUE!</v>
      </c>
      <c r="P122" s="21" t="str">
        <f>_xll.RssMarket(A122,"安値")</f>
        <v>表示銘柄数超過</v>
      </c>
      <c r="Q122" s="4" t="e">
        <f t="shared" si="12"/>
        <v>#VALUE!</v>
      </c>
      <c r="R122" s="21" t="str">
        <f>_xll.RssMarket(A122,"後場始値")</f>
        <v>表示銘柄数超過</v>
      </c>
      <c r="S122" s="25" t="str">
        <f t="shared" si="13"/>
        <v>-</v>
      </c>
      <c r="T122" s="7" t="str">
        <f>_xll.RssMarket(A122,"出来高加重平均")</f>
        <v>表示銘柄数超過</v>
      </c>
      <c r="U122" s="4" t="e">
        <f t="shared" si="14"/>
        <v>#VALUE!</v>
      </c>
      <c r="V122" s="21" t="str">
        <f>_xll.RssMarket(A122,"出来高")</f>
        <v>表示銘柄数超過</v>
      </c>
      <c r="W122" s="21" t="str">
        <f>_xll.RssMarket(A122,"売買代金")</f>
        <v>表示銘柄数超過</v>
      </c>
      <c r="X122" s="20" t="str">
        <f>_xll.RssMarket(A122,"決算発表日")</f>
        <v>表示銘柄数超過</v>
      </c>
      <c r="Y122" s="26" t="str">
        <f>IF(C122&gt;_xll.RssMarket(A122,"年初来高値"),"○","×")</f>
        <v>×</v>
      </c>
      <c r="Z122" s="27" t="str">
        <f>IF(C122&lt;=_xll.RssMarket(A122,"年初来安値"),"○","×")</f>
        <v>○</v>
      </c>
    </row>
    <row r="123" spans="1:26" x14ac:dyDescent="0.25">
      <c r="A123" s="49">
        <v>2351</v>
      </c>
      <c r="B123" s="20" t="str">
        <f>_xll.RssMarket(A123,"銘柄名称")</f>
        <v>表示銘柄数超過</v>
      </c>
      <c r="C123" s="21" t="str">
        <f>_xll.RssMarket(A123,"現在値")</f>
        <v>表示銘柄数超過</v>
      </c>
      <c r="D123" s="20" t="str">
        <f>_xll.RssMarket(A123,"現在値詳細時刻")</f>
        <v>表示銘柄数超過</v>
      </c>
      <c r="E123" s="22" t="str">
        <f>_xll.RssMarket(A123,"前日比")</f>
        <v>表示銘柄数超過</v>
      </c>
      <c r="F123" s="23" t="e">
        <f>_xll.RssMarket(A123,"前日比率")/100</f>
        <v>#VALUE!</v>
      </c>
      <c r="G123" s="24" t="str">
        <f>IFERROR(VLOOKUP(A123,取得元!$A$2:$F$501,2,FALSE),"-")</f>
        <v>-</v>
      </c>
      <c r="H123" s="24" t="str">
        <f>IFERROR(VLOOKUP(A123,取得元!$A$2:$F$501,3,FALSE),"-")</f>
        <v>-</v>
      </c>
      <c r="I123" s="24" t="str">
        <f>IFERROR(VLOOKUP(A123,取得元!$A$2:$F$501,4,FALSE),"-")</f>
        <v>-</v>
      </c>
      <c r="J123" s="5" t="str">
        <f>IFERROR(VLOOKUP(A123,取得元!$A$2:$F$501,5,FALSE),"-")</f>
        <v>-</v>
      </c>
      <c r="K123" s="25" t="str">
        <f>IFERROR(VLOOKUP(A123,取得元!$A$2:$F$501,6,FALSE)/100,"-")</f>
        <v>-</v>
      </c>
      <c r="L123" s="21" t="str">
        <f>_xll.RssMarket(A123,"始値")</f>
        <v>表示銘柄数超過</v>
      </c>
      <c r="M123" s="4" t="e">
        <f t="shared" si="10"/>
        <v>#VALUE!</v>
      </c>
      <c r="N123" s="21" t="str">
        <f>_xll.RssMarket(A123,"高値")</f>
        <v>表示銘柄数超過</v>
      </c>
      <c r="O123" s="4" t="e">
        <f t="shared" si="11"/>
        <v>#VALUE!</v>
      </c>
      <c r="P123" s="21" t="str">
        <f>_xll.RssMarket(A123,"安値")</f>
        <v>表示銘柄数超過</v>
      </c>
      <c r="Q123" s="4" t="e">
        <f t="shared" si="12"/>
        <v>#VALUE!</v>
      </c>
      <c r="R123" s="21" t="str">
        <f>_xll.RssMarket(A123,"後場始値")</f>
        <v>表示銘柄数超過</v>
      </c>
      <c r="S123" s="25" t="str">
        <f t="shared" si="13"/>
        <v>-</v>
      </c>
      <c r="T123" s="7" t="str">
        <f>_xll.RssMarket(A123,"出来高加重平均")</f>
        <v>表示銘柄数超過</v>
      </c>
      <c r="U123" s="4" t="e">
        <f t="shared" si="14"/>
        <v>#VALUE!</v>
      </c>
      <c r="V123" s="21" t="str">
        <f>_xll.RssMarket(A123,"出来高")</f>
        <v>表示銘柄数超過</v>
      </c>
      <c r="W123" s="21" t="str">
        <f>_xll.RssMarket(A123,"売買代金")</f>
        <v>表示銘柄数超過</v>
      </c>
      <c r="X123" s="20" t="str">
        <f>_xll.RssMarket(A123,"決算発表日")</f>
        <v>表示銘柄数超過</v>
      </c>
      <c r="Y123" s="26" t="str">
        <f>IF(C123&gt;_xll.RssMarket(A123,"年初来高値"),"○","×")</f>
        <v>×</v>
      </c>
      <c r="Z123" s="27" t="str">
        <f>IF(C123&lt;=_xll.RssMarket(A123,"年初来安値"),"○","×")</f>
        <v>○</v>
      </c>
    </row>
    <row r="124" spans="1:26" x14ac:dyDescent="0.25">
      <c r="A124" s="47">
        <v>2353</v>
      </c>
      <c r="B124" s="20" t="str">
        <f>_xll.RssMarket(A124,"銘柄名称")</f>
        <v>表示銘柄数超過</v>
      </c>
      <c r="C124" s="21" t="str">
        <f>_xll.RssMarket(A124,"現在値")</f>
        <v>表示銘柄数超過</v>
      </c>
      <c r="D124" s="20" t="str">
        <f>_xll.RssMarket(A124,"現在値詳細時刻")</f>
        <v>表示銘柄数超過</v>
      </c>
      <c r="E124" s="22" t="str">
        <f>_xll.RssMarket(A124,"前日比")</f>
        <v>表示銘柄数超過</v>
      </c>
      <c r="F124" s="23" t="e">
        <f>_xll.RssMarket(A124,"前日比率")/100</f>
        <v>#VALUE!</v>
      </c>
      <c r="G124" s="24" t="str">
        <f>IFERROR(VLOOKUP(A124,取得元!$A$2:$F$501,2,FALSE),"-")</f>
        <v>-</v>
      </c>
      <c r="H124" s="24" t="str">
        <f>IFERROR(VLOOKUP(A124,取得元!$A$2:$F$501,3,FALSE),"-")</f>
        <v>-</v>
      </c>
      <c r="I124" s="24" t="str">
        <f>IFERROR(VLOOKUP(A124,取得元!$A$2:$F$501,4,FALSE),"-")</f>
        <v>-</v>
      </c>
      <c r="J124" s="5" t="str">
        <f>IFERROR(VLOOKUP(A124,取得元!$A$2:$F$501,5,FALSE),"-")</f>
        <v>-</v>
      </c>
      <c r="K124" s="25" t="str">
        <f>IFERROR(VLOOKUP(A124,取得元!$A$2:$F$501,6,FALSE)/100,"-")</f>
        <v>-</v>
      </c>
      <c r="L124" s="21" t="str">
        <f>_xll.RssMarket(A124,"始値")</f>
        <v>表示銘柄数超過</v>
      </c>
      <c r="M124" s="4" t="e">
        <f t="shared" si="10"/>
        <v>#VALUE!</v>
      </c>
      <c r="N124" s="21" t="str">
        <f>_xll.RssMarket(A124,"高値")</f>
        <v>表示銘柄数超過</v>
      </c>
      <c r="O124" s="4" t="e">
        <f t="shared" si="11"/>
        <v>#VALUE!</v>
      </c>
      <c r="P124" s="21" t="str">
        <f>_xll.RssMarket(A124,"安値")</f>
        <v>表示銘柄数超過</v>
      </c>
      <c r="Q124" s="4" t="e">
        <f t="shared" si="12"/>
        <v>#VALUE!</v>
      </c>
      <c r="R124" s="21" t="str">
        <f>_xll.RssMarket(A124,"後場始値")</f>
        <v>表示銘柄数超過</v>
      </c>
      <c r="S124" s="25" t="str">
        <f t="shared" si="13"/>
        <v>-</v>
      </c>
      <c r="T124" s="7" t="str">
        <f>_xll.RssMarket(A124,"出来高加重平均")</f>
        <v>表示銘柄数超過</v>
      </c>
      <c r="U124" s="4" t="e">
        <f t="shared" si="14"/>
        <v>#VALUE!</v>
      </c>
      <c r="V124" s="21" t="str">
        <f>_xll.RssMarket(A124,"出来高")</f>
        <v>表示銘柄数超過</v>
      </c>
      <c r="W124" s="21" t="str">
        <f>_xll.RssMarket(A124,"売買代金")</f>
        <v>表示銘柄数超過</v>
      </c>
      <c r="X124" s="20" t="str">
        <f>_xll.RssMarket(A124,"決算発表日")</f>
        <v>表示銘柄数超過</v>
      </c>
      <c r="Y124" s="26" t="str">
        <f>IF(C124&gt;_xll.RssMarket(A124,"年初来高値"),"○","×")</f>
        <v>×</v>
      </c>
      <c r="Z124" s="27" t="str">
        <f>IF(C124&lt;=_xll.RssMarket(A124,"年初来安値"),"○","×")</f>
        <v>○</v>
      </c>
    </row>
    <row r="125" spans="1:26" x14ac:dyDescent="0.25">
      <c r="A125" s="49">
        <v>2354</v>
      </c>
      <c r="B125" s="20" t="str">
        <f>_xll.RssMarket(A125,"銘柄名称")</f>
        <v>表示銘柄数超過</v>
      </c>
      <c r="C125" s="21" t="str">
        <f>_xll.RssMarket(A125,"現在値")</f>
        <v>表示銘柄数超過</v>
      </c>
      <c r="D125" s="20" t="str">
        <f>_xll.RssMarket(A125,"現在値詳細時刻")</f>
        <v>表示銘柄数超過</v>
      </c>
      <c r="E125" s="22" t="str">
        <f>_xll.RssMarket(A125,"前日比")</f>
        <v>表示銘柄数超過</v>
      </c>
      <c r="F125" s="23" t="e">
        <f>_xll.RssMarket(A125,"前日比率")/100</f>
        <v>#VALUE!</v>
      </c>
      <c r="G125" s="24" t="str">
        <f>IFERROR(VLOOKUP(A125,取得元!$A$2:$F$501,2,FALSE),"-")</f>
        <v>-</v>
      </c>
      <c r="H125" s="24" t="str">
        <f>IFERROR(VLOOKUP(A125,取得元!$A$2:$F$501,3,FALSE),"-")</f>
        <v>-</v>
      </c>
      <c r="I125" s="24" t="str">
        <f>IFERROR(VLOOKUP(A125,取得元!$A$2:$F$501,4,FALSE),"-")</f>
        <v>-</v>
      </c>
      <c r="J125" s="5" t="str">
        <f>IFERROR(VLOOKUP(A125,取得元!$A$2:$F$501,5,FALSE),"-")</f>
        <v>-</v>
      </c>
      <c r="K125" s="25" t="str">
        <f>IFERROR(VLOOKUP(A125,取得元!$A$2:$F$501,6,FALSE)/100,"-")</f>
        <v>-</v>
      </c>
      <c r="L125" s="21" t="str">
        <f>_xll.RssMarket(A125,"始値")</f>
        <v>表示銘柄数超過</v>
      </c>
      <c r="M125" s="4" t="e">
        <f t="shared" si="10"/>
        <v>#VALUE!</v>
      </c>
      <c r="N125" s="21" t="str">
        <f>_xll.RssMarket(A125,"高値")</f>
        <v>表示銘柄数超過</v>
      </c>
      <c r="O125" s="4" t="e">
        <f t="shared" si="11"/>
        <v>#VALUE!</v>
      </c>
      <c r="P125" s="21" t="str">
        <f>_xll.RssMarket(A125,"安値")</f>
        <v>表示銘柄数超過</v>
      </c>
      <c r="Q125" s="4" t="e">
        <f t="shared" si="12"/>
        <v>#VALUE!</v>
      </c>
      <c r="R125" s="21" t="str">
        <f>_xll.RssMarket(A125,"後場始値")</f>
        <v>表示銘柄数超過</v>
      </c>
      <c r="S125" s="25" t="str">
        <f t="shared" si="13"/>
        <v>-</v>
      </c>
      <c r="T125" s="7" t="str">
        <f>_xll.RssMarket(A125,"出来高加重平均")</f>
        <v>表示銘柄数超過</v>
      </c>
      <c r="U125" s="4" t="e">
        <f t="shared" si="14"/>
        <v>#VALUE!</v>
      </c>
      <c r="V125" s="21" t="str">
        <f>_xll.RssMarket(A125,"出来高")</f>
        <v>表示銘柄数超過</v>
      </c>
      <c r="W125" s="21" t="str">
        <f>_xll.RssMarket(A125,"売買代金")</f>
        <v>表示銘柄数超過</v>
      </c>
      <c r="X125" s="20" t="str">
        <f>_xll.RssMarket(A125,"決算発表日")</f>
        <v>表示銘柄数超過</v>
      </c>
      <c r="Y125" s="26" t="str">
        <f>IF(C125&gt;_xll.RssMarket(A125,"年初来高値"),"○","×")</f>
        <v>×</v>
      </c>
      <c r="Z125" s="27" t="str">
        <f>IF(C125&lt;=_xll.RssMarket(A125,"年初来安値"),"○","×")</f>
        <v>○</v>
      </c>
    </row>
    <row r="126" spans="1:26" x14ac:dyDescent="0.25">
      <c r="A126" s="47">
        <v>2370</v>
      </c>
      <c r="B126" s="20" t="str">
        <f>_xll.RssMarket(A126,"銘柄名称")</f>
        <v>表示銘柄数超過</v>
      </c>
      <c r="C126" s="21" t="str">
        <f>_xll.RssMarket(A126,"現在値")</f>
        <v>表示銘柄数超過</v>
      </c>
      <c r="D126" s="20" t="str">
        <f>_xll.RssMarket(A126,"現在値詳細時刻")</f>
        <v>表示銘柄数超過</v>
      </c>
      <c r="E126" s="22" t="str">
        <f>_xll.RssMarket(A126,"前日比")</f>
        <v>表示銘柄数超過</v>
      </c>
      <c r="F126" s="23" t="e">
        <f>_xll.RssMarket(A126,"前日比率")/100</f>
        <v>#VALUE!</v>
      </c>
      <c r="G126" s="24" t="str">
        <f>IFERROR(VLOOKUP(A126,取得元!$A$2:$F$501,2,FALSE),"-")</f>
        <v>-</v>
      </c>
      <c r="H126" s="24" t="str">
        <f>IFERROR(VLOOKUP(A126,取得元!$A$2:$F$501,3,FALSE),"-")</f>
        <v>-</v>
      </c>
      <c r="I126" s="24" t="str">
        <f>IFERROR(VLOOKUP(A126,取得元!$A$2:$F$501,4,FALSE),"-")</f>
        <v>-</v>
      </c>
      <c r="J126" s="5" t="str">
        <f>IFERROR(VLOOKUP(A126,取得元!$A$2:$F$501,5,FALSE),"-")</f>
        <v>-</v>
      </c>
      <c r="K126" s="25" t="str">
        <f>IFERROR(VLOOKUP(A126,取得元!$A$2:$F$501,6,FALSE)/100,"-")</f>
        <v>-</v>
      </c>
      <c r="L126" s="21" t="str">
        <f>_xll.RssMarket(A126,"始値")</f>
        <v>表示銘柄数超過</v>
      </c>
      <c r="M126" s="4" t="e">
        <f t="shared" si="10"/>
        <v>#VALUE!</v>
      </c>
      <c r="N126" s="21" t="str">
        <f>_xll.RssMarket(A126,"高値")</f>
        <v>表示銘柄数超過</v>
      </c>
      <c r="O126" s="4" t="e">
        <f t="shared" si="11"/>
        <v>#VALUE!</v>
      </c>
      <c r="P126" s="21" t="str">
        <f>_xll.RssMarket(A126,"安値")</f>
        <v>表示銘柄数超過</v>
      </c>
      <c r="Q126" s="4" t="e">
        <f t="shared" si="12"/>
        <v>#VALUE!</v>
      </c>
      <c r="R126" s="21" t="str">
        <f>_xll.RssMarket(A126,"後場始値")</f>
        <v>表示銘柄数超過</v>
      </c>
      <c r="S126" s="25" t="str">
        <f t="shared" si="13"/>
        <v>-</v>
      </c>
      <c r="T126" s="7" t="str">
        <f>_xll.RssMarket(A126,"出来高加重平均")</f>
        <v>表示銘柄数超過</v>
      </c>
      <c r="U126" s="4" t="e">
        <f t="shared" si="14"/>
        <v>#VALUE!</v>
      </c>
      <c r="V126" s="21" t="str">
        <f>_xll.RssMarket(A126,"出来高")</f>
        <v>表示銘柄数超過</v>
      </c>
      <c r="W126" s="21" t="str">
        <f>_xll.RssMarket(A126,"売買代金")</f>
        <v>表示銘柄数超過</v>
      </c>
      <c r="X126" s="20" t="str">
        <f>_xll.RssMarket(A126,"決算発表日")</f>
        <v>表示銘柄数超過</v>
      </c>
      <c r="Y126" s="26" t="str">
        <f>IF(C126&gt;_xll.RssMarket(A126,"年初来高値"),"○","×")</f>
        <v>×</v>
      </c>
      <c r="Z126" s="27" t="str">
        <f>IF(C126&lt;=_xll.RssMarket(A126,"年初来安値"),"○","×")</f>
        <v>○</v>
      </c>
    </row>
    <row r="127" spans="1:26" x14ac:dyDescent="0.25">
      <c r="A127" s="49">
        <v>2373</v>
      </c>
      <c r="B127" s="20" t="str">
        <f>_xll.RssMarket(A127,"銘柄名称")</f>
        <v>表示銘柄数超過</v>
      </c>
      <c r="C127" s="21" t="str">
        <f>_xll.RssMarket(A127,"現在値")</f>
        <v>表示銘柄数超過</v>
      </c>
      <c r="D127" s="20" t="str">
        <f>_xll.RssMarket(A127,"現在値詳細時刻")</f>
        <v>表示銘柄数超過</v>
      </c>
      <c r="E127" s="22" t="str">
        <f>_xll.RssMarket(A127,"前日比")</f>
        <v>表示銘柄数超過</v>
      </c>
      <c r="F127" s="23" t="e">
        <f>_xll.RssMarket(A127,"前日比率")/100</f>
        <v>#VALUE!</v>
      </c>
      <c r="G127" s="24" t="str">
        <f>IFERROR(VLOOKUP(A127,取得元!$A$2:$F$501,2,FALSE),"-")</f>
        <v>-</v>
      </c>
      <c r="H127" s="24" t="str">
        <f>IFERROR(VLOOKUP(A127,取得元!$A$2:$F$501,3,FALSE),"-")</f>
        <v>-</v>
      </c>
      <c r="I127" s="24" t="str">
        <f>IFERROR(VLOOKUP(A127,取得元!$A$2:$F$501,4,FALSE),"-")</f>
        <v>-</v>
      </c>
      <c r="J127" s="5" t="str">
        <f>IFERROR(VLOOKUP(A127,取得元!$A$2:$F$501,5,FALSE),"-")</f>
        <v>-</v>
      </c>
      <c r="K127" s="25" t="str">
        <f>IFERROR(VLOOKUP(A127,取得元!$A$2:$F$501,6,FALSE)/100,"-")</f>
        <v>-</v>
      </c>
      <c r="L127" s="21" t="str">
        <f>_xll.RssMarket(A127,"始値")</f>
        <v>表示銘柄数超過</v>
      </c>
      <c r="M127" s="4" t="e">
        <f t="shared" si="10"/>
        <v>#VALUE!</v>
      </c>
      <c r="N127" s="21" t="str">
        <f>_xll.RssMarket(A127,"高値")</f>
        <v>表示銘柄数超過</v>
      </c>
      <c r="O127" s="4" t="e">
        <f t="shared" si="11"/>
        <v>#VALUE!</v>
      </c>
      <c r="P127" s="21" t="str">
        <f>_xll.RssMarket(A127,"安値")</f>
        <v>表示銘柄数超過</v>
      </c>
      <c r="Q127" s="4" t="e">
        <f t="shared" si="12"/>
        <v>#VALUE!</v>
      </c>
      <c r="R127" s="21" t="str">
        <f>_xll.RssMarket(A127,"後場始値")</f>
        <v>表示銘柄数超過</v>
      </c>
      <c r="S127" s="25" t="str">
        <f t="shared" si="13"/>
        <v>-</v>
      </c>
      <c r="T127" s="7" t="str">
        <f>_xll.RssMarket(A127,"出来高加重平均")</f>
        <v>表示銘柄数超過</v>
      </c>
      <c r="U127" s="4" t="e">
        <f t="shared" si="14"/>
        <v>#VALUE!</v>
      </c>
      <c r="V127" s="21" t="str">
        <f>_xll.RssMarket(A127,"出来高")</f>
        <v>表示銘柄数超過</v>
      </c>
      <c r="W127" s="21" t="str">
        <f>_xll.RssMarket(A127,"売買代金")</f>
        <v>表示銘柄数超過</v>
      </c>
      <c r="X127" s="20" t="str">
        <f>_xll.RssMarket(A127,"決算発表日")</f>
        <v>表示銘柄数超過</v>
      </c>
      <c r="Y127" s="26" t="str">
        <f>IF(C127&gt;_xll.RssMarket(A127,"年初来高値"),"○","×")</f>
        <v>×</v>
      </c>
      <c r="Z127" s="27" t="str">
        <f>IF(C127&lt;=_xll.RssMarket(A127,"年初来安値"),"○","×")</f>
        <v>○</v>
      </c>
    </row>
    <row r="128" spans="1:26" x14ac:dyDescent="0.25">
      <c r="A128" s="47">
        <v>2375</v>
      </c>
      <c r="B128" s="20" t="str">
        <f>_xll.RssMarket(A128,"銘柄名称")</f>
        <v>表示銘柄数超過</v>
      </c>
      <c r="C128" s="21" t="str">
        <f>_xll.RssMarket(A128,"現在値")</f>
        <v>表示銘柄数超過</v>
      </c>
      <c r="D128" s="20" t="str">
        <f>_xll.RssMarket(A128,"現在値詳細時刻")</f>
        <v>表示銘柄数超過</v>
      </c>
      <c r="E128" s="22" t="str">
        <f>_xll.RssMarket(A128,"前日比")</f>
        <v>表示銘柄数超過</v>
      </c>
      <c r="F128" s="23" t="e">
        <f>_xll.RssMarket(A128,"前日比率")/100</f>
        <v>#VALUE!</v>
      </c>
      <c r="G128" s="24" t="str">
        <f>IFERROR(VLOOKUP(A128,取得元!$A$2:$F$501,2,FALSE),"-")</f>
        <v>-</v>
      </c>
      <c r="H128" s="24" t="str">
        <f>IFERROR(VLOOKUP(A128,取得元!$A$2:$F$501,3,FALSE),"-")</f>
        <v>-</v>
      </c>
      <c r="I128" s="24" t="str">
        <f>IFERROR(VLOOKUP(A128,取得元!$A$2:$F$501,4,FALSE),"-")</f>
        <v>-</v>
      </c>
      <c r="J128" s="5" t="str">
        <f>IFERROR(VLOOKUP(A128,取得元!$A$2:$F$501,5,FALSE),"-")</f>
        <v>-</v>
      </c>
      <c r="K128" s="25" t="str">
        <f>IFERROR(VLOOKUP(A128,取得元!$A$2:$F$501,6,FALSE)/100,"-")</f>
        <v>-</v>
      </c>
      <c r="L128" s="21" t="str">
        <f>_xll.RssMarket(A128,"始値")</f>
        <v>表示銘柄数超過</v>
      </c>
      <c r="M128" s="4" t="e">
        <f t="shared" si="10"/>
        <v>#VALUE!</v>
      </c>
      <c r="N128" s="21" t="str">
        <f>_xll.RssMarket(A128,"高値")</f>
        <v>表示銘柄数超過</v>
      </c>
      <c r="O128" s="4" t="e">
        <f t="shared" si="11"/>
        <v>#VALUE!</v>
      </c>
      <c r="P128" s="21" t="str">
        <f>_xll.RssMarket(A128,"安値")</f>
        <v>表示銘柄数超過</v>
      </c>
      <c r="Q128" s="4" t="e">
        <f t="shared" si="12"/>
        <v>#VALUE!</v>
      </c>
      <c r="R128" s="21" t="str">
        <f>_xll.RssMarket(A128,"後場始値")</f>
        <v>表示銘柄数超過</v>
      </c>
      <c r="S128" s="25" t="str">
        <f t="shared" si="13"/>
        <v>-</v>
      </c>
      <c r="T128" s="7" t="str">
        <f>_xll.RssMarket(A128,"出来高加重平均")</f>
        <v>表示銘柄数超過</v>
      </c>
      <c r="U128" s="4" t="e">
        <f t="shared" si="14"/>
        <v>#VALUE!</v>
      </c>
      <c r="V128" s="21" t="str">
        <f>_xll.RssMarket(A128,"出来高")</f>
        <v>表示銘柄数超過</v>
      </c>
      <c r="W128" s="21" t="str">
        <f>_xll.RssMarket(A128,"売買代金")</f>
        <v>表示銘柄数超過</v>
      </c>
      <c r="X128" s="20" t="str">
        <f>_xll.RssMarket(A128,"決算発表日")</f>
        <v>表示銘柄数超過</v>
      </c>
      <c r="Y128" s="26" t="str">
        <f>IF(C128&gt;_xll.RssMarket(A128,"年初来高値"),"○","×")</f>
        <v>×</v>
      </c>
      <c r="Z128" s="27" t="str">
        <f>IF(C128&lt;=_xll.RssMarket(A128,"年初来安値"),"○","×")</f>
        <v>○</v>
      </c>
    </row>
    <row r="129" spans="1:26" x14ac:dyDescent="0.25">
      <c r="A129" s="49">
        <v>2376</v>
      </c>
      <c r="B129" s="20" t="str">
        <f>_xll.RssMarket(A129,"銘柄名称")</f>
        <v>表示銘柄数超過</v>
      </c>
      <c r="C129" s="21" t="str">
        <f>_xll.RssMarket(A129,"現在値")</f>
        <v>表示銘柄数超過</v>
      </c>
      <c r="D129" s="20" t="str">
        <f>_xll.RssMarket(A129,"現在値詳細時刻")</f>
        <v>表示銘柄数超過</v>
      </c>
      <c r="E129" s="22" t="str">
        <f>_xll.RssMarket(A129,"前日比")</f>
        <v>表示銘柄数超過</v>
      </c>
      <c r="F129" s="23" t="e">
        <f>_xll.RssMarket(A129,"前日比率")/100</f>
        <v>#VALUE!</v>
      </c>
      <c r="G129" s="24" t="str">
        <f>IFERROR(VLOOKUP(A129,取得元!$A$2:$F$501,2,FALSE),"-")</f>
        <v>-</v>
      </c>
      <c r="H129" s="24" t="str">
        <f>IFERROR(VLOOKUP(A129,取得元!$A$2:$F$501,3,FALSE),"-")</f>
        <v>-</v>
      </c>
      <c r="I129" s="24" t="str">
        <f>IFERROR(VLOOKUP(A129,取得元!$A$2:$F$501,4,FALSE),"-")</f>
        <v>-</v>
      </c>
      <c r="J129" s="5" t="str">
        <f>IFERROR(VLOOKUP(A129,取得元!$A$2:$F$501,5,FALSE),"-")</f>
        <v>-</v>
      </c>
      <c r="K129" s="25" t="str">
        <f>IFERROR(VLOOKUP(A129,取得元!$A$2:$F$501,6,FALSE)/100,"-")</f>
        <v>-</v>
      </c>
      <c r="L129" s="21" t="str">
        <f>_xll.RssMarket(A129,"始値")</f>
        <v>表示銘柄数超過</v>
      </c>
      <c r="M129" s="4" t="e">
        <f t="shared" si="10"/>
        <v>#VALUE!</v>
      </c>
      <c r="N129" s="21" t="str">
        <f>_xll.RssMarket(A129,"高値")</f>
        <v>表示銘柄数超過</v>
      </c>
      <c r="O129" s="4" t="e">
        <f t="shared" si="11"/>
        <v>#VALUE!</v>
      </c>
      <c r="P129" s="21" t="str">
        <f>_xll.RssMarket(A129,"安値")</f>
        <v>表示銘柄数超過</v>
      </c>
      <c r="Q129" s="4" t="e">
        <f t="shared" si="12"/>
        <v>#VALUE!</v>
      </c>
      <c r="R129" s="21" t="str">
        <f>_xll.RssMarket(A129,"後場始値")</f>
        <v>表示銘柄数超過</v>
      </c>
      <c r="S129" s="25" t="str">
        <f t="shared" si="13"/>
        <v>-</v>
      </c>
      <c r="T129" s="7" t="str">
        <f>_xll.RssMarket(A129,"出来高加重平均")</f>
        <v>表示銘柄数超過</v>
      </c>
      <c r="U129" s="4" t="e">
        <f t="shared" si="14"/>
        <v>#VALUE!</v>
      </c>
      <c r="V129" s="21" t="str">
        <f>_xll.RssMarket(A129,"出来高")</f>
        <v>表示銘柄数超過</v>
      </c>
      <c r="W129" s="21" t="str">
        <f>_xll.RssMarket(A129,"売買代金")</f>
        <v>表示銘柄数超過</v>
      </c>
      <c r="X129" s="20" t="str">
        <f>_xll.RssMarket(A129,"決算発表日")</f>
        <v>表示銘柄数超過</v>
      </c>
      <c r="Y129" s="26" t="str">
        <f>IF(C129&gt;_xll.RssMarket(A129,"年初来高値"),"○","×")</f>
        <v>×</v>
      </c>
      <c r="Z129" s="27" t="str">
        <f>IF(C129&lt;=_xll.RssMarket(A129,"年初来安値"),"○","×")</f>
        <v>○</v>
      </c>
    </row>
    <row r="130" spans="1:26" x14ac:dyDescent="0.25">
      <c r="A130" s="47">
        <v>2378</v>
      </c>
      <c r="B130" s="20" t="str">
        <f>_xll.RssMarket(A130,"銘柄名称")</f>
        <v>表示銘柄数超過</v>
      </c>
      <c r="C130" s="21" t="str">
        <f>_xll.RssMarket(A130,"現在値")</f>
        <v>表示銘柄数超過</v>
      </c>
      <c r="D130" s="20" t="str">
        <f>_xll.RssMarket(A130,"現在値詳細時刻")</f>
        <v>表示銘柄数超過</v>
      </c>
      <c r="E130" s="22" t="str">
        <f>_xll.RssMarket(A130,"前日比")</f>
        <v>表示銘柄数超過</v>
      </c>
      <c r="F130" s="23" t="e">
        <f>_xll.RssMarket(A130,"前日比率")/100</f>
        <v>#VALUE!</v>
      </c>
      <c r="G130" s="24" t="str">
        <f>IFERROR(VLOOKUP(A130,取得元!$A$2:$F$501,2,FALSE),"-")</f>
        <v>-</v>
      </c>
      <c r="H130" s="24" t="str">
        <f>IFERROR(VLOOKUP(A130,取得元!$A$2:$F$501,3,FALSE),"-")</f>
        <v>-</v>
      </c>
      <c r="I130" s="24" t="str">
        <f>IFERROR(VLOOKUP(A130,取得元!$A$2:$F$501,4,FALSE),"-")</f>
        <v>-</v>
      </c>
      <c r="J130" s="5" t="str">
        <f>IFERROR(VLOOKUP(A130,取得元!$A$2:$F$501,5,FALSE),"-")</f>
        <v>-</v>
      </c>
      <c r="K130" s="25" t="str">
        <f>IFERROR(VLOOKUP(A130,取得元!$A$2:$F$501,6,FALSE)/100,"-")</f>
        <v>-</v>
      </c>
      <c r="L130" s="21" t="str">
        <f>_xll.RssMarket(A130,"始値")</f>
        <v>表示銘柄数超過</v>
      </c>
      <c r="M130" s="4" t="e">
        <f t="shared" si="10"/>
        <v>#VALUE!</v>
      </c>
      <c r="N130" s="21" t="str">
        <f>_xll.RssMarket(A130,"高値")</f>
        <v>表示銘柄数超過</v>
      </c>
      <c r="O130" s="4" t="e">
        <f t="shared" si="11"/>
        <v>#VALUE!</v>
      </c>
      <c r="P130" s="21" t="str">
        <f>_xll.RssMarket(A130,"安値")</f>
        <v>表示銘柄数超過</v>
      </c>
      <c r="Q130" s="4" t="e">
        <f t="shared" si="12"/>
        <v>#VALUE!</v>
      </c>
      <c r="R130" s="21" t="str">
        <f>_xll.RssMarket(A130,"後場始値")</f>
        <v>表示銘柄数超過</v>
      </c>
      <c r="S130" s="25" t="str">
        <f t="shared" si="13"/>
        <v>-</v>
      </c>
      <c r="T130" s="7" t="str">
        <f>_xll.RssMarket(A130,"出来高加重平均")</f>
        <v>表示銘柄数超過</v>
      </c>
      <c r="U130" s="4" t="e">
        <f t="shared" si="14"/>
        <v>#VALUE!</v>
      </c>
      <c r="V130" s="21" t="str">
        <f>_xll.RssMarket(A130,"出来高")</f>
        <v>表示銘柄数超過</v>
      </c>
      <c r="W130" s="21" t="str">
        <f>_xll.RssMarket(A130,"売買代金")</f>
        <v>表示銘柄数超過</v>
      </c>
      <c r="X130" s="20" t="str">
        <f>_xll.RssMarket(A130,"決算発表日")</f>
        <v>表示銘柄数超過</v>
      </c>
      <c r="Y130" s="26" t="str">
        <f>IF(C130&gt;_xll.RssMarket(A130,"年初来高値"),"○","×")</f>
        <v>×</v>
      </c>
      <c r="Z130" s="27" t="str">
        <f>IF(C130&lt;=_xll.RssMarket(A130,"年初来安値"),"○","×")</f>
        <v>○</v>
      </c>
    </row>
    <row r="131" spans="1:26" x14ac:dyDescent="0.25">
      <c r="A131" s="49">
        <v>2388</v>
      </c>
      <c r="B131" s="20" t="str">
        <f>_xll.RssMarket(A131,"銘柄名称")</f>
        <v>表示銘柄数超過</v>
      </c>
      <c r="C131" s="21" t="str">
        <f>_xll.RssMarket(A131,"現在値")</f>
        <v>表示銘柄数超過</v>
      </c>
      <c r="D131" s="20" t="str">
        <f>_xll.RssMarket(A131,"現在値詳細時刻")</f>
        <v>表示銘柄数超過</v>
      </c>
      <c r="E131" s="22" t="str">
        <f>_xll.RssMarket(A131,"前日比")</f>
        <v>表示銘柄数超過</v>
      </c>
      <c r="F131" s="23" t="e">
        <f>_xll.RssMarket(A131,"前日比率")/100</f>
        <v>#VALUE!</v>
      </c>
      <c r="G131" s="24" t="str">
        <f>IFERROR(VLOOKUP(A131,取得元!$A$2:$F$501,2,FALSE),"-")</f>
        <v>-</v>
      </c>
      <c r="H131" s="24" t="str">
        <f>IFERROR(VLOOKUP(A131,取得元!$A$2:$F$501,3,FALSE),"-")</f>
        <v>-</v>
      </c>
      <c r="I131" s="24" t="str">
        <f>IFERROR(VLOOKUP(A131,取得元!$A$2:$F$501,4,FALSE),"-")</f>
        <v>-</v>
      </c>
      <c r="J131" s="5" t="str">
        <f>IFERROR(VLOOKUP(A131,取得元!$A$2:$F$501,5,FALSE),"-")</f>
        <v>-</v>
      </c>
      <c r="K131" s="25" t="str">
        <f>IFERROR(VLOOKUP(A131,取得元!$A$2:$F$501,6,FALSE)/100,"-")</f>
        <v>-</v>
      </c>
      <c r="L131" s="21" t="str">
        <f>_xll.RssMarket(A131,"始値")</f>
        <v>表示銘柄数超過</v>
      </c>
      <c r="M131" s="4" t="e">
        <f t="shared" si="10"/>
        <v>#VALUE!</v>
      </c>
      <c r="N131" s="21" t="str">
        <f>_xll.RssMarket(A131,"高値")</f>
        <v>表示銘柄数超過</v>
      </c>
      <c r="O131" s="4" t="e">
        <f t="shared" si="11"/>
        <v>#VALUE!</v>
      </c>
      <c r="P131" s="21" t="str">
        <f>_xll.RssMarket(A131,"安値")</f>
        <v>表示銘柄数超過</v>
      </c>
      <c r="Q131" s="4" t="e">
        <f t="shared" si="12"/>
        <v>#VALUE!</v>
      </c>
      <c r="R131" s="21" t="str">
        <f>_xll.RssMarket(A131,"後場始値")</f>
        <v>表示銘柄数超過</v>
      </c>
      <c r="S131" s="25" t="str">
        <f t="shared" si="13"/>
        <v>-</v>
      </c>
      <c r="T131" s="7" t="str">
        <f>_xll.RssMarket(A131,"出来高加重平均")</f>
        <v>表示銘柄数超過</v>
      </c>
      <c r="U131" s="4" t="e">
        <f t="shared" si="14"/>
        <v>#VALUE!</v>
      </c>
      <c r="V131" s="21" t="str">
        <f>_xll.RssMarket(A131,"出来高")</f>
        <v>表示銘柄数超過</v>
      </c>
      <c r="W131" s="21" t="str">
        <f>_xll.RssMarket(A131,"売買代金")</f>
        <v>表示銘柄数超過</v>
      </c>
      <c r="X131" s="20" t="str">
        <f>_xll.RssMarket(A131,"決算発表日")</f>
        <v>表示銘柄数超過</v>
      </c>
      <c r="Y131" s="26" t="str">
        <f>IF(C131&gt;_xll.RssMarket(A131,"年初来高値"),"○","×")</f>
        <v>×</v>
      </c>
      <c r="Z131" s="27" t="str">
        <f>IF(C131&lt;=_xll.RssMarket(A131,"年初来安値"),"○","×")</f>
        <v>○</v>
      </c>
    </row>
    <row r="132" spans="1:26" x14ac:dyDescent="0.25">
      <c r="A132" s="47">
        <v>2402</v>
      </c>
      <c r="B132" s="20" t="str">
        <f>_xll.RssMarket(A132,"銘柄名称")</f>
        <v>表示銘柄数超過</v>
      </c>
      <c r="C132" s="21" t="str">
        <f>_xll.RssMarket(A132,"現在値")</f>
        <v>表示銘柄数超過</v>
      </c>
      <c r="D132" s="20" t="str">
        <f>_xll.RssMarket(A132,"現在値詳細時刻")</f>
        <v>表示銘柄数超過</v>
      </c>
      <c r="E132" s="22" t="str">
        <f>_xll.RssMarket(A132,"前日比")</f>
        <v>表示銘柄数超過</v>
      </c>
      <c r="F132" s="23" t="e">
        <f>_xll.RssMarket(A132,"前日比率")/100</f>
        <v>#VALUE!</v>
      </c>
      <c r="G132" s="24" t="str">
        <f>IFERROR(VLOOKUP(A132,取得元!$A$2:$F$501,2,FALSE),"-")</f>
        <v>-</v>
      </c>
      <c r="H132" s="24" t="str">
        <f>IFERROR(VLOOKUP(A132,取得元!$A$2:$F$501,3,FALSE),"-")</f>
        <v>-</v>
      </c>
      <c r="I132" s="24" t="str">
        <f>IFERROR(VLOOKUP(A132,取得元!$A$2:$F$501,4,FALSE),"-")</f>
        <v>-</v>
      </c>
      <c r="J132" s="5" t="str">
        <f>IFERROR(VLOOKUP(A132,取得元!$A$2:$F$501,5,FALSE),"-")</f>
        <v>-</v>
      </c>
      <c r="K132" s="25" t="str">
        <f>IFERROR(VLOOKUP(A132,取得元!$A$2:$F$501,6,FALSE)/100,"-")</f>
        <v>-</v>
      </c>
      <c r="L132" s="21" t="str">
        <f>_xll.RssMarket(A132,"始値")</f>
        <v>表示銘柄数超過</v>
      </c>
      <c r="M132" s="4" t="e">
        <f>C132/L132-1</f>
        <v>#VALUE!</v>
      </c>
      <c r="N132" s="21" t="str">
        <f>_xll.RssMarket(A132,"高値")</f>
        <v>表示銘柄数超過</v>
      </c>
      <c r="O132" s="4" t="e">
        <f>C132/N132-1</f>
        <v>#VALUE!</v>
      </c>
      <c r="P132" s="21" t="str">
        <f>_xll.RssMarket(A132,"安値")</f>
        <v>表示銘柄数超過</v>
      </c>
      <c r="Q132" s="4" t="e">
        <f>C132/P132-1</f>
        <v>#VALUE!</v>
      </c>
      <c r="R132" s="21" t="str">
        <f>_xll.RssMarket(A132,"後場始値")</f>
        <v>表示銘柄数超過</v>
      </c>
      <c r="S132" s="25" t="str">
        <f>IFERROR(C132/R132-1,"-")</f>
        <v>-</v>
      </c>
      <c r="T132" s="7" t="str">
        <f>_xll.RssMarket(A132,"出来高加重平均")</f>
        <v>表示銘柄数超過</v>
      </c>
      <c r="U132" s="4" t="e">
        <f>C132/T132-1</f>
        <v>#VALUE!</v>
      </c>
      <c r="V132" s="21" t="str">
        <f>_xll.RssMarket(A132,"出来高")</f>
        <v>表示銘柄数超過</v>
      </c>
      <c r="W132" s="21" t="str">
        <f>_xll.RssMarket(A132,"売買代金")</f>
        <v>表示銘柄数超過</v>
      </c>
      <c r="X132" s="20" t="str">
        <f>_xll.RssMarket(A132,"決算発表日")</f>
        <v>表示銘柄数超過</v>
      </c>
      <c r="Y132" s="26" t="str">
        <f>IF(C132&gt;_xll.RssMarket(A132,"年初来高値"),"○","×")</f>
        <v>×</v>
      </c>
      <c r="Z132" s="27" t="str">
        <f>IF(C132&lt;=_xll.RssMarket(A132,"年初来安値"),"○","×")</f>
        <v>○</v>
      </c>
    </row>
    <row r="133" spans="1:26" x14ac:dyDescent="0.25">
      <c r="A133" s="49">
        <v>2404</v>
      </c>
      <c r="B133" s="20" t="str">
        <f>_xll.RssMarket(A133,"銘柄名称")</f>
        <v>表示銘柄数超過</v>
      </c>
      <c r="C133" s="21" t="str">
        <f>_xll.RssMarket(A133,"現在値")</f>
        <v>表示銘柄数超過</v>
      </c>
      <c r="D133" s="20" t="str">
        <f>_xll.RssMarket(A133,"現在値詳細時刻")</f>
        <v>表示銘柄数超過</v>
      </c>
      <c r="E133" s="22" t="str">
        <f>_xll.RssMarket(A133,"前日比")</f>
        <v>表示銘柄数超過</v>
      </c>
      <c r="F133" s="23" t="e">
        <f>_xll.RssMarket(A133,"前日比率")/100</f>
        <v>#VALUE!</v>
      </c>
      <c r="G133" s="24" t="str">
        <f>IFERROR(VLOOKUP(A133,取得元!$A$2:$F$501,2,FALSE),"-")</f>
        <v>-</v>
      </c>
      <c r="H133" s="24" t="str">
        <f>IFERROR(VLOOKUP(A133,取得元!$A$2:$F$501,3,FALSE),"-")</f>
        <v>-</v>
      </c>
      <c r="I133" s="24" t="str">
        <f>IFERROR(VLOOKUP(A133,取得元!$A$2:$F$501,4,FALSE),"-")</f>
        <v>-</v>
      </c>
      <c r="J133" s="5" t="str">
        <f>IFERROR(VLOOKUP(A133,取得元!$A$2:$F$501,5,FALSE),"-")</f>
        <v>-</v>
      </c>
      <c r="K133" s="25" t="str">
        <f>IFERROR(VLOOKUP(A133,取得元!$A$2:$F$501,6,FALSE)/100,"-")</f>
        <v>-</v>
      </c>
      <c r="L133" s="21" t="str">
        <f>_xll.RssMarket(A133,"始値")</f>
        <v>表示銘柄数超過</v>
      </c>
      <c r="M133" s="4" t="e">
        <f t="shared" ref="M133:M195" si="15">C133/L133-1</f>
        <v>#VALUE!</v>
      </c>
      <c r="N133" s="21" t="str">
        <f>_xll.RssMarket(A133,"高値")</f>
        <v>表示銘柄数超過</v>
      </c>
      <c r="O133" s="4" t="e">
        <f t="shared" ref="O133:O195" si="16">C133/N133-1</f>
        <v>#VALUE!</v>
      </c>
      <c r="P133" s="21" t="str">
        <f>_xll.RssMarket(A133,"安値")</f>
        <v>表示銘柄数超過</v>
      </c>
      <c r="Q133" s="4" t="e">
        <f t="shared" ref="Q133:Q195" si="17">C133/P133-1</f>
        <v>#VALUE!</v>
      </c>
      <c r="R133" s="21" t="str">
        <f>_xll.RssMarket(A133,"後場始値")</f>
        <v>表示銘柄数超過</v>
      </c>
      <c r="S133" s="25" t="str">
        <f t="shared" ref="S133:S195" si="18">IFERROR(C133/R133-1,"-")</f>
        <v>-</v>
      </c>
      <c r="T133" s="7" t="str">
        <f>_xll.RssMarket(A133,"出来高加重平均")</f>
        <v>表示銘柄数超過</v>
      </c>
      <c r="U133" s="4" t="e">
        <f t="shared" ref="U133:U195" si="19">C133/T133-1</f>
        <v>#VALUE!</v>
      </c>
      <c r="V133" s="21" t="str">
        <f>_xll.RssMarket(A133,"出来高")</f>
        <v>表示銘柄数超過</v>
      </c>
      <c r="W133" s="21" t="str">
        <f>_xll.RssMarket(A133,"売買代金")</f>
        <v>表示銘柄数超過</v>
      </c>
      <c r="X133" s="20" t="str">
        <f>_xll.RssMarket(A133,"決算発表日")</f>
        <v>表示銘柄数超過</v>
      </c>
      <c r="Y133" s="26" t="str">
        <f>IF(C133&gt;_xll.RssMarket(A133,"年初来高値"),"○","×")</f>
        <v>×</v>
      </c>
      <c r="Z133" s="27" t="str">
        <f>IF(C133&lt;=_xll.RssMarket(A133,"年初来安値"),"○","×")</f>
        <v>○</v>
      </c>
    </row>
    <row r="134" spans="1:26" x14ac:dyDescent="0.25">
      <c r="A134" s="47">
        <v>2408</v>
      </c>
      <c r="B134" s="20" t="str">
        <f>_xll.RssMarket(A134,"銘柄名称")</f>
        <v>表示銘柄数超過</v>
      </c>
      <c r="C134" s="21" t="str">
        <f>_xll.RssMarket(A134,"現在値")</f>
        <v>表示銘柄数超過</v>
      </c>
      <c r="D134" s="20" t="str">
        <f>_xll.RssMarket(A134,"現在値詳細時刻")</f>
        <v>表示銘柄数超過</v>
      </c>
      <c r="E134" s="22" t="str">
        <f>_xll.RssMarket(A134,"前日比")</f>
        <v>表示銘柄数超過</v>
      </c>
      <c r="F134" s="23" t="e">
        <f>_xll.RssMarket(A134,"前日比率")/100</f>
        <v>#VALUE!</v>
      </c>
      <c r="G134" s="24" t="str">
        <f>IFERROR(VLOOKUP(A134,取得元!$A$2:$F$501,2,FALSE),"-")</f>
        <v>-</v>
      </c>
      <c r="H134" s="24" t="str">
        <f>IFERROR(VLOOKUP(A134,取得元!$A$2:$F$501,3,FALSE),"-")</f>
        <v>-</v>
      </c>
      <c r="I134" s="24" t="str">
        <f>IFERROR(VLOOKUP(A134,取得元!$A$2:$F$501,4,FALSE),"-")</f>
        <v>-</v>
      </c>
      <c r="J134" s="5" t="str">
        <f>IFERROR(VLOOKUP(A134,取得元!$A$2:$F$501,5,FALSE),"-")</f>
        <v>-</v>
      </c>
      <c r="K134" s="25" t="str">
        <f>IFERROR(VLOOKUP(A134,取得元!$A$2:$F$501,6,FALSE)/100,"-")</f>
        <v>-</v>
      </c>
      <c r="L134" s="21" t="str">
        <f>_xll.RssMarket(A134,"始値")</f>
        <v>表示銘柄数超過</v>
      </c>
      <c r="M134" s="4" t="e">
        <f t="shared" si="15"/>
        <v>#VALUE!</v>
      </c>
      <c r="N134" s="21" t="str">
        <f>_xll.RssMarket(A134,"高値")</f>
        <v>表示銘柄数超過</v>
      </c>
      <c r="O134" s="4" t="e">
        <f t="shared" si="16"/>
        <v>#VALUE!</v>
      </c>
      <c r="P134" s="21" t="str">
        <f>_xll.RssMarket(A134,"安値")</f>
        <v>表示銘柄数超過</v>
      </c>
      <c r="Q134" s="4" t="e">
        <f t="shared" si="17"/>
        <v>#VALUE!</v>
      </c>
      <c r="R134" s="21" t="str">
        <f>_xll.RssMarket(A134,"後場始値")</f>
        <v>表示銘柄数超過</v>
      </c>
      <c r="S134" s="25" t="str">
        <f t="shared" si="18"/>
        <v>-</v>
      </c>
      <c r="T134" s="7" t="str">
        <f>_xll.RssMarket(A134,"出来高加重平均")</f>
        <v>表示銘柄数超過</v>
      </c>
      <c r="U134" s="4" t="e">
        <f t="shared" si="19"/>
        <v>#VALUE!</v>
      </c>
      <c r="V134" s="21" t="str">
        <f>_xll.RssMarket(A134,"出来高")</f>
        <v>表示銘柄数超過</v>
      </c>
      <c r="W134" s="21" t="str">
        <f>_xll.RssMarket(A134,"売買代金")</f>
        <v>表示銘柄数超過</v>
      </c>
      <c r="X134" s="20" t="str">
        <f>_xll.RssMarket(A134,"決算発表日")</f>
        <v>表示銘柄数超過</v>
      </c>
      <c r="Y134" s="26" t="str">
        <f>IF(C134&gt;_xll.RssMarket(A134,"年初来高値"),"○","×")</f>
        <v>×</v>
      </c>
      <c r="Z134" s="27" t="str">
        <f>IF(C134&lt;=_xll.RssMarket(A134,"年初来安値"),"○","×")</f>
        <v>○</v>
      </c>
    </row>
    <row r="135" spans="1:26" x14ac:dyDescent="0.25">
      <c r="A135" s="49">
        <v>2410</v>
      </c>
      <c r="B135" s="20" t="str">
        <f>_xll.RssMarket(A135,"銘柄名称")</f>
        <v>表示銘柄数超過</v>
      </c>
      <c r="C135" s="21" t="str">
        <f>_xll.RssMarket(A135,"現在値")</f>
        <v>表示銘柄数超過</v>
      </c>
      <c r="D135" s="20" t="str">
        <f>_xll.RssMarket(A135,"現在値詳細時刻")</f>
        <v>表示銘柄数超過</v>
      </c>
      <c r="E135" s="22" t="str">
        <f>_xll.RssMarket(A135,"前日比")</f>
        <v>表示銘柄数超過</v>
      </c>
      <c r="F135" s="23" t="e">
        <f>_xll.RssMarket(A135,"前日比率")/100</f>
        <v>#VALUE!</v>
      </c>
      <c r="G135" s="24" t="str">
        <f>IFERROR(VLOOKUP(A135,取得元!$A$2:$F$501,2,FALSE),"-")</f>
        <v>-</v>
      </c>
      <c r="H135" s="24" t="str">
        <f>IFERROR(VLOOKUP(A135,取得元!$A$2:$F$501,3,FALSE),"-")</f>
        <v>-</v>
      </c>
      <c r="I135" s="24" t="str">
        <f>IFERROR(VLOOKUP(A135,取得元!$A$2:$F$501,4,FALSE),"-")</f>
        <v>-</v>
      </c>
      <c r="J135" s="5" t="str">
        <f>IFERROR(VLOOKUP(A135,取得元!$A$2:$F$501,5,FALSE),"-")</f>
        <v>-</v>
      </c>
      <c r="K135" s="25" t="str">
        <f>IFERROR(VLOOKUP(A135,取得元!$A$2:$F$501,6,FALSE)/100,"-")</f>
        <v>-</v>
      </c>
      <c r="L135" s="21" t="str">
        <f>_xll.RssMarket(A135,"始値")</f>
        <v>表示銘柄数超過</v>
      </c>
      <c r="M135" s="4" t="e">
        <f t="shared" si="15"/>
        <v>#VALUE!</v>
      </c>
      <c r="N135" s="21" t="str">
        <f>_xll.RssMarket(A135,"高値")</f>
        <v>表示銘柄数超過</v>
      </c>
      <c r="O135" s="4" t="e">
        <f t="shared" si="16"/>
        <v>#VALUE!</v>
      </c>
      <c r="P135" s="21" t="str">
        <f>_xll.RssMarket(A135,"安値")</f>
        <v>表示銘柄数超過</v>
      </c>
      <c r="Q135" s="4" t="e">
        <f t="shared" si="17"/>
        <v>#VALUE!</v>
      </c>
      <c r="R135" s="21" t="str">
        <f>_xll.RssMarket(A135,"後場始値")</f>
        <v>表示銘柄数超過</v>
      </c>
      <c r="S135" s="25" t="str">
        <f t="shared" si="18"/>
        <v>-</v>
      </c>
      <c r="T135" s="7" t="str">
        <f>_xll.RssMarket(A135,"出来高加重平均")</f>
        <v>表示銘柄数超過</v>
      </c>
      <c r="U135" s="4" t="e">
        <f t="shared" si="19"/>
        <v>#VALUE!</v>
      </c>
      <c r="V135" s="21" t="str">
        <f>_xll.RssMarket(A135,"出来高")</f>
        <v>表示銘柄数超過</v>
      </c>
      <c r="W135" s="21" t="str">
        <f>_xll.RssMarket(A135,"売買代金")</f>
        <v>表示銘柄数超過</v>
      </c>
      <c r="X135" s="20" t="str">
        <f>_xll.RssMarket(A135,"決算発表日")</f>
        <v>表示銘柄数超過</v>
      </c>
      <c r="Y135" s="26" t="str">
        <f>IF(C135&gt;_xll.RssMarket(A135,"年初来高値"),"○","×")</f>
        <v>×</v>
      </c>
      <c r="Z135" s="27" t="str">
        <f>IF(C135&lt;=_xll.RssMarket(A135,"年初来安値"),"○","×")</f>
        <v>○</v>
      </c>
    </row>
    <row r="136" spans="1:26" x14ac:dyDescent="0.25">
      <c r="A136" s="47">
        <v>2411</v>
      </c>
      <c r="B136" s="20" t="str">
        <f>_xll.RssMarket(A136,"銘柄名称")</f>
        <v>表示銘柄数超過</v>
      </c>
      <c r="C136" s="21" t="str">
        <f>_xll.RssMarket(A136,"現在値")</f>
        <v>表示銘柄数超過</v>
      </c>
      <c r="D136" s="20" t="str">
        <f>_xll.RssMarket(A136,"現在値詳細時刻")</f>
        <v>表示銘柄数超過</v>
      </c>
      <c r="E136" s="22" t="str">
        <f>_xll.RssMarket(A136,"前日比")</f>
        <v>表示銘柄数超過</v>
      </c>
      <c r="F136" s="23" t="e">
        <f>_xll.RssMarket(A136,"前日比率")/100</f>
        <v>#VALUE!</v>
      </c>
      <c r="G136" s="24" t="str">
        <f>IFERROR(VLOOKUP(A136,取得元!$A$2:$F$501,2,FALSE),"-")</f>
        <v>-</v>
      </c>
      <c r="H136" s="24" t="str">
        <f>IFERROR(VLOOKUP(A136,取得元!$A$2:$F$501,3,FALSE),"-")</f>
        <v>-</v>
      </c>
      <c r="I136" s="24" t="str">
        <f>IFERROR(VLOOKUP(A136,取得元!$A$2:$F$501,4,FALSE),"-")</f>
        <v>-</v>
      </c>
      <c r="J136" s="5" t="str">
        <f>IFERROR(VLOOKUP(A136,取得元!$A$2:$F$501,5,FALSE),"-")</f>
        <v>-</v>
      </c>
      <c r="K136" s="25" t="str">
        <f>IFERROR(VLOOKUP(A136,取得元!$A$2:$F$501,6,FALSE)/100,"-")</f>
        <v>-</v>
      </c>
      <c r="L136" s="21" t="str">
        <f>_xll.RssMarket(A136,"始値")</f>
        <v>表示銘柄数超過</v>
      </c>
      <c r="M136" s="4" t="e">
        <f t="shared" si="15"/>
        <v>#VALUE!</v>
      </c>
      <c r="N136" s="21" t="str">
        <f>_xll.RssMarket(A136,"高値")</f>
        <v>表示銘柄数超過</v>
      </c>
      <c r="O136" s="4" t="e">
        <f t="shared" si="16"/>
        <v>#VALUE!</v>
      </c>
      <c r="P136" s="21" t="str">
        <f>_xll.RssMarket(A136,"安値")</f>
        <v>表示銘柄数超過</v>
      </c>
      <c r="Q136" s="4" t="e">
        <f t="shared" si="17"/>
        <v>#VALUE!</v>
      </c>
      <c r="R136" s="21" t="str">
        <f>_xll.RssMarket(A136,"後場始値")</f>
        <v>表示銘柄数超過</v>
      </c>
      <c r="S136" s="25" t="str">
        <f t="shared" si="18"/>
        <v>-</v>
      </c>
      <c r="T136" s="7" t="str">
        <f>_xll.RssMarket(A136,"出来高加重平均")</f>
        <v>表示銘柄数超過</v>
      </c>
      <c r="U136" s="4" t="e">
        <f t="shared" si="19"/>
        <v>#VALUE!</v>
      </c>
      <c r="V136" s="21" t="str">
        <f>_xll.RssMarket(A136,"出来高")</f>
        <v>表示銘柄数超過</v>
      </c>
      <c r="W136" s="21" t="str">
        <f>_xll.RssMarket(A136,"売買代金")</f>
        <v>表示銘柄数超過</v>
      </c>
      <c r="X136" s="20" t="str">
        <f>_xll.RssMarket(A136,"決算発表日")</f>
        <v>表示銘柄数超過</v>
      </c>
      <c r="Y136" s="26" t="str">
        <f>IF(C136&gt;_xll.RssMarket(A136,"年初来高値"),"○","×")</f>
        <v>×</v>
      </c>
      <c r="Z136" s="27" t="str">
        <f>IF(C136&lt;=_xll.RssMarket(A136,"年初来安値"),"○","×")</f>
        <v>○</v>
      </c>
    </row>
    <row r="137" spans="1:26" x14ac:dyDescent="0.25">
      <c r="A137" s="49">
        <v>2412</v>
      </c>
      <c r="B137" s="20" t="str">
        <f>_xll.RssMarket(A137,"銘柄名称")</f>
        <v>表示銘柄数超過</v>
      </c>
      <c r="C137" s="21" t="str">
        <f>_xll.RssMarket(A137,"現在値")</f>
        <v>表示銘柄数超過</v>
      </c>
      <c r="D137" s="20" t="str">
        <f>_xll.RssMarket(A137,"現在値詳細時刻")</f>
        <v>表示銘柄数超過</v>
      </c>
      <c r="E137" s="22" t="str">
        <f>_xll.RssMarket(A137,"前日比")</f>
        <v>表示銘柄数超過</v>
      </c>
      <c r="F137" s="23" t="e">
        <f>_xll.RssMarket(A137,"前日比率")/100</f>
        <v>#VALUE!</v>
      </c>
      <c r="G137" s="24" t="str">
        <f>IFERROR(VLOOKUP(A137,取得元!$A$2:$F$501,2,FALSE),"-")</f>
        <v>-</v>
      </c>
      <c r="H137" s="24" t="str">
        <f>IFERROR(VLOOKUP(A137,取得元!$A$2:$F$501,3,FALSE),"-")</f>
        <v>-</v>
      </c>
      <c r="I137" s="24" t="str">
        <f>IFERROR(VLOOKUP(A137,取得元!$A$2:$F$501,4,FALSE),"-")</f>
        <v>-</v>
      </c>
      <c r="J137" s="5" t="str">
        <f>IFERROR(VLOOKUP(A137,取得元!$A$2:$F$501,5,FALSE),"-")</f>
        <v>-</v>
      </c>
      <c r="K137" s="25" t="str">
        <f>IFERROR(VLOOKUP(A137,取得元!$A$2:$F$501,6,FALSE)/100,"-")</f>
        <v>-</v>
      </c>
      <c r="L137" s="21" t="str">
        <f>_xll.RssMarket(A137,"始値")</f>
        <v>表示銘柄数超過</v>
      </c>
      <c r="M137" s="4" t="e">
        <f t="shared" si="15"/>
        <v>#VALUE!</v>
      </c>
      <c r="N137" s="21" t="str">
        <f>_xll.RssMarket(A137,"高値")</f>
        <v>表示銘柄数超過</v>
      </c>
      <c r="O137" s="4" t="e">
        <f t="shared" si="16"/>
        <v>#VALUE!</v>
      </c>
      <c r="P137" s="21" t="str">
        <f>_xll.RssMarket(A137,"安値")</f>
        <v>表示銘柄数超過</v>
      </c>
      <c r="Q137" s="4" t="e">
        <f t="shared" si="17"/>
        <v>#VALUE!</v>
      </c>
      <c r="R137" s="21" t="str">
        <f>_xll.RssMarket(A137,"後場始値")</f>
        <v>表示銘柄数超過</v>
      </c>
      <c r="S137" s="25" t="str">
        <f t="shared" si="18"/>
        <v>-</v>
      </c>
      <c r="T137" s="7" t="str">
        <f>_xll.RssMarket(A137,"出来高加重平均")</f>
        <v>表示銘柄数超過</v>
      </c>
      <c r="U137" s="4" t="e">
        <f t="shared" si="19"/>
        <v>#VALUE!</v>
      </c>
      <c r="V137" s="21" t="str">
        <f>_xll.RssMarket(A137,"出来高")</f>
        <v>表示銘柄数超過</v>
      </c>
      <c r="W137" s="21" t="str">
        <f>_xll.RssMarket(A137,"売買代金")</f>
        <v>表示銘柄数超過</v>
      </c>
      <c r="X137" s="20" t="str">
        <f>_xll.RssMarket(A137,"決算発表日")</f>
        <v>表示銘柄数超過</v>
      </c>
      <c r="Y137" s="26" t="str">
        <f>IF(C137&gt;_xll.RssMarket(A137,"年初来高値"),"○","×")</f>
        <v>×</v>
      </c>
      <c r="Z137" s="27" t="str">
        <f>IF(C137&lt;=_xll.RssMarket(A137,"年初来安値"),"○","×")</f>
        <v>○</v>
      </c>
    </row>
    <row r="138" spans="1:26" x14ac:dyDescent="0.25">
      <c r="A138" s="47">
        <v>2415</v>
      </c>
      <c r="B138" s="20" t="str">
        <f>_xll.RssMarket(A138,"銘柄名称")</f>
        <v>表示銘柄数超過</v>
      </c>
      <c r="C138" s="21" t="str">
        <f>_xll.RssMarket(A138,"現在値")</f>
        <v>表示銘柄数超過</v>
      </c>
      <c r="D138" s="20" t="str">
        <f>_xll.RssMarket(A138,"現在値詳細時刻")</f>
        <v>表示銘柄数超過</v>
      </c>
      <c r="E138" s="22" t="str">
        <f>_xll.RssMarket(A138,"前日比")</f>
        <v>表示銘柄数超過</v>
      </c>
      <c r="F138" s="23" t="e">
        <f>_xll.RssMarket(A138,"前日比率")/100</f>
        <v>#VALUE!</v>
      </c>
      <c r="G138" s="24" t="str">
        <f>IFERROR(VLOOKUP(A138,取得元!$A$2:$F$501,2,FALSE),"-")</f>
        <v>-</v>
      </c>
      <c r="H138" s="24" t="str">
        <f>IFERROR(VLOOKUP(A138,取得元!$A$2:$F$501,3,FALSE),"-")</f>
        <v>-</v>
      </c>
      <c r="I138" s="24" t="str">
        <f>IFERROR(VLOOKUP(A138,取得元!$A$2:$F$501,4,FALSE),"-")</f>
        <v>-</v>
      </c>
      <c r="J138" s="5" t="str">
        <f>IFERROR(VLOOKUP(A138,取得元!$A$2:$F$501,5,FALSE),"-")</f>
        <v>-</v>
      </c>
      <c r="K138" s="25" t="str">
        <f>IFERROR(VLOOKUP(A138,取得元!$A$2:$F$501,6,FALSE)/100,"-")</f>
        <v>-</v>
      </c>
      <c r="L138" s="21" t="str">
        <f>_xll.RssMarket(A138,"始値")</f>
        <v>表示銘柄数超過</v>
      </c>
      <c r="M138" s="4" t="e">
        <f t="shared" si="15"/>
        <v>#VALUE!</v>
      </c>
      <c r="N138" s="21" t="str">
        <f>_xll.RssMarket(A138,"高値")</f>
        <v>表示銘柄数超過</v>
      </c>
      <c r="O138" s="4" t="e">
        <f t="shared" si="16"/>
        <v>#VALUE!</v>
      </c>
      <c r="P138" s="21" t="str">
        <f>_xll.RssMarket(A138,"安値")</f>
        <v>表示銘柄数超過</v>
      </c>
      <c r="Q138" s="4" t="e">
        <f t="shared" si="17"/>
        <v>#VALUE!</v>
      </c>
      <c r="R138" s="21" t="str">
        <f>_xll.RssMarket(A138,"後場始値")</f>
        <v>表示銘柄数超過</v>
      </c>
      <c r="S138" s="25" t="str">
        <f t="shared" si="18"/>
        <v>-</v>
      </c>
      <c r="T138" s="7" t="str">
        <f>_xll.RssMarket(A138,"出来高加重平均")</f>
        <v>表示銘柄数超過</v>
      </c>
      <c r="U138" s="4" t="e">
        <f t="shared" si="19"/>
        <v>#VALUE!</v>
      </c>
      <c r="V138" s="21" t="str">
        <f>_xll.RssMarket(A138,"出来高")</f>
        <v>表示銘柄数超過</v>
      </c>
      <c r="W138" s="21" t="str">
        <f>_xll.RssMarket(A138,"売買代金")</f>
        <v>表示銘柄数超過</v>
      </c>
      <c r="X138" s="20" t="str">
        <f>_xll.RssMarket(A138,"決算発表日")</f>
        <v>表示銘柄数超過</v>
      </c>
      <c r="Y138" s="26" t="str">
        <f>IF(C138&gt;_xll.RssMarket(A138,"年初来高値"),"○","×")</f>
        <v>×</v>
      </c>
      <c r="Z138" s="27" t="str">
        <f>IF(C138&lt;=_xll.RssMarket(A138,"年初来安値"),"○","×")</f>
        <v>○</v>
      </c>
    </row>
    <row r="139" spans="1:26" x14ac:dyDescent="0.25">
      <c r="A139" s="49">
        <v>2429</v>
      </c>
      <c r="B139" s="20" t="str">
        <f>_xll.RssMarket(A139,"銘柄名称")</f>
        <v>表示銘柄数超過</v>
      </c>
      <c r="C139" s="21" t="str">
        <f>_xll.RssMarket(A139,"現在値")</f>
        <v>表示銘柄数超過</v>
      </c>
      <c r="D139" s="20" t="str">
        <f>_xll.RssMarket(A139,"現在値詳細時刻")</f>
        <v>表示銘柄数超過</v>
      </c>
      <c r="E139" s="22" t="str">
        <f>_xll.RssMarket(A139,"前日比")</f>
        <v>表示銘柄数超過</v>
      </c>
      <c r="F139" s="23" t="e">
        <f>_xll.RssMarket(A139,"前日比率")/100</f>
        <v>#VALUE!</v>
      </c>
      <c r="G139" s="24" t="str">
        <f>IFERROR(VLOOKUP(A139,取得元!$A$2:$F$501,2,FALSE),"-")</f>
        <v>-</v>
      </c>
      <c r="H139" s="24" t="str">
        <f>IFERROR(VLOOKUP(A139,取得元!$A$2:$F$501,3,FALSE),"-")</f>
        <v>-</v>
      </c>
      <c r="I139" s="24" t="str">
        <f>IFERROR(VLOOKUP(A139,取得元!$A$2:$F$501,4,FALSE),"-")</f>
        <v>-</v>
      </c>
      <c r="J139" s="5" t="str">
        <f>IFERROR(VLOOKUP(A139,取得元!$A$2:$F$501,5,FALSE),"-")</f>
        <v>-</v>
      </c>
      <c r="K139" s="25" t="str">
        <f>IFERROR(VLOOKUP(A139,取得元!$A$2:$F$501,6,FALSE)/100,"-")</f>
        <v>-</v>
      </c>
      <c r="L139" s="21" t="str">
        <f>_xll.RssMarket(A139,"始値")</f>
        <v>表示銘柄数超過</v>
      </c>
      <c r="M139" s="4" t="e">
        <f t="shared" si="15"/>
        <v>#VALUE!</v>
      </c>
      <c r="N139" s="21" t="str">
        <f>_xll.RssMarket(A139,"高値")</f>
        <v>表示銘柄数超過</v>
      </c>
      <c r="O139" s="4" t="e">
        <f t="shared" si="16"/>
        <v>#VALUE!</v>
      </c>
      <c r="P139" s="21" t="str">
        <f>_xll.RssMarket(A139,"安値")</f>
        <v>表示銘柄数超過</v>
      </c>
      <c r="Q139" s="4" t="e">
        <f t="shared" si="17"/>
        <v>#VALUE!</v>
      </c>
      <c r="R139" s="21" t="str">
        <f>_xll.RssMarket(A139,"後場始値")</f>
        <v>表示銘柄数超過</v>
      </c>
      <c r="S139" s="25" t="str">
        <f t="shared" si="18"/>
        <v>-</v>
      </c>
      <c r="T139" s="7" t="str">
        <f>_xll.RssMarket(A139,"出来高加重平均")</f>
        <v>表示銘柄数超過</v>
      </c>
      <c r="U139" s="4" t="e">
        <f t="shared" si="19"/>
        <v>#VALUE!</v>
      </c>
      <c r="V139" s="21" t="str">
        <f>_xll.RssMarket(A139,"出来高")</f>
        <v>表示銘柄数超過</v>
      </c>
      <c r="W139" s="21" t="str">
        <f>_xll.RssMarket(A139,"売買代金")</f>
        <v>表示銘柄数超過</v>
      </c>
      <c r="X139" s="20" t="str">
        <f>_xll.RssMarket(A139,"決算発表日")</f>
        <v>表示銘柄数超過</v>
      </c>
      <c r="Y139" s="26" t="str">
        <f>IF(C139&gt;_xll.RssMarket(A139,"年初来高値"),"○","×")</f>
        <v>×</v>
      </c>
      <c r="Z139" s="27" t="str">
        <f>IF(C139&lt;=_xll.RssMarket(A139,"年初来安値"),"○","×")</f>
        <v>○</v>
      </c>
    </row>
    <row r="140" spans="1:26" x14ac:dyDescent="0.25">
      <c r="A140" s="47">
        <v>2432</v>
      </c>
      <c r="B140" s="20" t="str">
        <f>_xll.RssMarket(A140,"銘柄名称")</f>
        <v>表示銘柄数超過</v>
      </c>
      <c r="C140" s="21" t="str">
        <f>_xll.RssMarket(A140,"現在値")</f>
        <v>表示銘柄数超過</v>
      </c>
      <c r="D140" s="20" t="str">
        <f>_xll.RssMarket(A140,"現在値詳細時刻")</f>
        <v>表示銘柄数超過</v>
      </c>
      <c r="E140" s="22" t="str">
        <f>_xll.RssMarket(A140,"前日比")</f>
        <v>表示銘柄数超過</v>
      </c>
      <c r="F140" s="23" t="e">
        <f>_xll.RssMarket(A140,"前日比率")/100</f>
        <v>#VALUE!</v>
      </c>
      <c r="G140" s="24" t="str">
        <f>IFERROR(VLOOKUP(A140,取得元!$A$2:$F$501,2,FALSE),"-")</f>
        <v>-</v>
      </c>
      <c r="H140" s="24" t="str">
        <f>IFERROR(VLOOKUP(A140,取得元!$A$2:$F$501,3,FALSE),"-")</f>
        <v>-</v>
      </c>
      <c r="I140" s="24" t="str">
        <f>IFERROR(VLOOKUP(A140,取得元!$A$2:$F$501,4,FALSE),"-")</f>
        <v>-</v>
      </c>
      <c r="J140" s="5" t="str">
        <f>IFERROR(VLOOKUP(A140,取得元!$A$2:$F$501,5,FALSE),"-")</f>
        <v>-</v>
      </c>
      <c r="K140" s="25" t="str">
        <f>IFERROR(VLOOKUP(A140,取得元!$A$2:$F$501,6,FALSE)/100,"-")</f>
        <v>-</v>
      </c>
      <c r="L140" s="21" t="str">
        <f>_xll.RssMarket(A140,"始値")</f>
        <v>表示銘柄数超過</v>
      </c>
      <c r="M140" s="4" t="e">
        <f t="shared" si="15"/>
        <v>#VALUE!</v>
      </c>
      <c r="N140" s="21" t="str">
        <f>_xll.RssMarket(A140,"高値")</f>
        <v>表示銘柄数超過</v>
      </c>
      <c r="O140" s="4" t="e">
        <f t="shared" si="16"/>
        <v>#VALUE!</v>
      </c>
      <c r="P140" s="21" t="str">
        <f>_xll.RssMarket(A140,"安値")</f>
        <v>表示銘柄数超過</v>
      </c>
      <c r="Q140" s="4" t="e">
        <f t="shared" si="17"/>
        <v>#VALUE!</v>
      </c>
      <c r="R140" s="21" t="str">
        <f>_xll.RssMarket(A140,"後場始値")</f>
        <v>表示銘柄数超過</v>
      </c>
      <c r="S140" s="25" t="str">
        <f t="shared" si="18"/>
        <v>-</v>
      </c>
      <c r="T140" s="7" t="str">
        <f>_xll.RssMarket(A140,"出来高加重平均")</f>
        <v>表示銘柄数超過</v>
      </c>
      <c r="U140" s="4" t="e">
        <f t="shared" si="19"/>
        <v>#VALUE!</v>
      </c>
      <c r="V140" s="21" t="str">
        <f>_xll.RssMarket(A140,"出来高")</f>
        <v>表示銘柄数超過</v>
      </c>
      <c r="W140" s="21" t="str">
        <f>_xll.RssMarket(A140,"売買代金")</f>
        <v>表示銘柄数超過</v>
      </c>
      <c r="X140" s="20" t="str">
        <f>_xll.RssMarket(A140,"決算発表日")</f>
        <v>表示銘柄数超過</v>
      </c>
      <c r="Y140" s="26" t="str">
        <f>IF(C140&gt;_xll.RssMarket(A140,"年初来高値"),"○","×")</f>
        <v>×</v>
      </c>
      <c r="Z140" s="27" t="str">
        <f>IF(C140&lt;=_xll.RssMarket(A140,"年初来安値"),"○","×")</f>
        <v>○</v>
      </c>
    </row>
    <row r="141" spans="1:26" x14ac:dyDescent="0.25">
      <c r="A141" s="49">
        <v>2433</v>
      </c>
      <c r="B141" s="20" t="str">
        <f>_xll.RssMarket(A141,"銘柄名称")</f>
        <v>表示銘柄数超過</v>
      </c>
      <c r="C141" s="21" t="str">
        <f>_xll.RssMarket(A141,"現在値")</f>
        <v>表示銘柄数超過</v>
      </c>
      <c r="D141" s="20" t="str">
        <f>_xll.RssMarket(A141,"現在値詳細時刻")</f>
        <v>表示銘柄数超過</v>
      </c>
      <c r="E141" s="22" t="str">
        <f>_xll.RssMarket(A141,"前日比")</f>
        <v>表示銘柄数超過</v>
      </c>
      <c r="F141" s="23" t="e">
        <f>_xll.RssMarket(A141,"前日比率")/100</f>
        <v>#VALUE!</v>
      </c>
      <c r="G141" s="24" t="str">
        <f>IFERROR(VLOOKUP(A141,取得元!$A$2:$F$501,2,FALSE),"-")</f>
        <v>-</v>
      </c>
      <c r="H141" s="24" t="str">
        <f>IFERROR(VLOOKUP(A141,取得元!$A$2:$F$501,3,FALSE),"-")</f>
        <v>-</v>
      </c>
      <c r="I141" s="24" t="str">
        <f>IFERROR(VLOOKUP(A141,取得元!$A$2:$F$501,4,FALSE),"-")</f>
        <v>-</v>
      </c>
      <c r="J141" s="5" t="str">
        <f>IFERROR(VLOOKUP(A141,取得元!$A$2:$F$501,5,FALSE),"-")</f>
        <v>-</v>
      </c>
      <c r="K141" s="25" t="str">
        <f>IFERROR(VLOOKUP(A141,取得元!$A$2:$F$501,6,FALSE)/100,"-")</f>
        <v>-</v>
      </c>
      <c r="L141" s="21" t="str">
        <f>_xll.RssMarket(A141,"始値")</f>
        <v>表示銘柄数超過</v>
      </c>
      <c r="M141" s="4" t="e">
        <f t="shared" si="15"/>
        <v>#VALUE!</v>
      </c>
      <c r="N141" s="21" t="str">
        <f>_xll.RssMarket(A141,"高値")</f>
        <v>表示銘柄数超過</v>
      </c>
      <c r="O141" s="4" t="e">
        <f t="shared" si="16"/>
        <v>#VALUE!</v>
      </c>
      <c r="P141" s="21" t="str">
        <f>_xll.RssMarket(A141,"安値")</f>
        <v>表示銘柄数超過</v>
      </c>
      <c r="Q141" s="4" t="e">
        <f t="shared" si="17"/>
        <v>#VALUE!</v>
      </c>
      <c r="R141" s="21" t="str">
        <f>_xll.RssMarket(A141,"後場始値")</f>
        <v>表示銘柄数超過</v>
      </c>
      <c r="S141" s="25" t="str">
        <f t="shared" si="18"/>
        <v>-</v>
      </c>
      <c r="T141" s="7" t="str">
        <f>_xll.RssMarket(A141,"出来高加重平均")</f>
        <v>表示銘柄数超過</v>
      </c>
      <c r="U141" s="4" t="e">
        <f t="shared" si="19"/>
        <v>#VALUE!</v>
      </c>
      <c r="V141" s="21" t="str">
        <f>_xll.RssMarket(A141,"出来高")</f>
        <v>表示銘柄数超過</v>
      </c>
      <c r="W141" s="21" t="str">
        <f>_xll.RssMarket(A141,"売買代金")</f>
        <v>表示銘柄数超過</v>
      </c>
      <c r="X141" s="20" t="str">
        <f>_xll.RssMarket(A141,"決算発表日")</f>
        <v>表示銘柄数超過</v>
      </c>
      <c r="Y141" s="26" t="str">
        <f>IF(C141&gt;_xll.RssMarket(A141,"年初来高値"),"○","×")</f>
        <v>×</v>
      </c>
      <c r="Z141" s="27" t="str">
        <f>IF(C141&lt;=_xll.RssMarket(A141,"年初来安値"),"○","×")</f>
        <v>○</v>
      </c>
    </row>
    <row r="142" spans="1:26" x14ac:dyDescent="0.25">
      <c r="A142" s="47">
        <v>2435</v>
      </c>
      <c r="B142" s="20" t="str">
        <f>_xll.RssMarket(A142,"銘柄名称")</f>
        <v>表示銘柄数超過</v>
      </c>
      <c r="C142" s="21" t="str">
        <f>_xll.RssMarket(A142,"現在値")</f>
        <v>表示銘柄数超過</v>
      </c>
      <c r="D142" s="20" t="str">
        <f>_xll.RssMarket(A142,"現在値詳細時刻")</f>
        <v>表示銘柄数超過</v>
      </c>
      <c r="E142" s="22" t="str">
        <f>_xll.RssMarket(A142,"前日比")</f>
        <v>表示銘柄数超過</v>
      </c>
      <c r="F142" s="23" t="e">
        <f>_xll.RssMarket(A142,"前日比率")/100</f>
        <v>#VALUE!</v>
      </c>
      <c r="G142" s="24" t="str">
        <f>IFERROR(VLOOKUP(A142,取得元!$A$2:$F$501,2,FALSE),"-")</f>
        <v>-</v>
      </c>
      <c r="H142" s="24" t="str">
        <f>IFERROR(VLOOKUP(A142,取得元!$A$2:$F$501,3,FALSE),"-")</f>
        <v>-</v>
      </c>
      <c r="I142" s="24" t="str">
        <f>IFERROR(VLOOKUP(A142,取得元!$A$2:$F$501,4,FALSE),"-")</f>
        <v>-</v>
      </c>
      <c r="J142" s="5" t="str">
        <f>IFERROR(VLOOKUP(A142,取得元!$A$2:$F$501,5,FALSE),"-")</f>
        <v>-</v>
      </c>
      <c r="K142" s="25" t="str">
        <f>IFERROR(VLOOKUP(A142,取得元!$A$2:$F$501,6,FALSE)/100,"-")</f>
        <v>-</v>
      </c>
      <c r="L142" s="21" t="str">
        <f>_xll.RssMarket(A142,"始値")</f>
        <v>表示銘柄数超過</v>
      </c>
      <c r="M142" s="4" t="e">
        <f t="shared" si="15"/>
        <v>#VALUE!</v>
      </c>
      <c r="N142" s="21" t="str">
        <f>_xll.RssMarket(A142,"高値")</f>
        <v>表示銘柄数超過</v>
      </c>
      <c r="O142" s="4" t="e">
        <f t="shared" si="16"/>
        <v>#VALUE!</v>
      </c>
      <c r="P142" s="21" t="str">
        <f>_xll.RssMarket(A142,"安値")</f>
        <v>表示銘柄数超過</v>
      </c>
      <c r="Q142" s="4" t="e">
        <f t="shared" si="17"/>
        <v>#VALUE!</v>
      </c>
      <c r="R142" s="21" t="str">
        <f>_xll.RssMarket(A142,"後場始値")</f>
        <v>表示銘柄数超過</v>
      </c>
      <c r="S142" s="25" t="str">
        <f t="shared" si="18"/>
        <v>-</v>
      </c>
      <c r="T142" s="7" t="str">
        <f>_xll.RssMarket(A142,"出来高加重平均")</f>
        <v>表示銘柄数超過</v>
      </c>
      <c r="U142" s="4" t="e">
        <f t="shared" si="19"/>
        <v>#VALUE!</v>
      </c>
      <c r="V142" s="21" t="str">
        <f>_xll.RssMarket(A142,"出来高")</f>
        <v>表示銘柄数超過</v>
      </c>
      <c r="W142" s="21" t="str">
        <f>_xll.RssMarket(A142,"売買代金")</f>
        <v>表示銘柄数超過</v>
      </c>
      <c r="X142" s="20" t="str">
        <f>_xll.RssMarket(A142,"決算発表日")</f>
        <v>表示銘柄数超過</v>
      </c>
      <c r="Y142" s="26" t="str">
        <f>IF(C142&gt;_xll.RssMarket(A142,"年初来高値"),"○","×")</f>
        <v>×</v>
      </c>
      <c r="Z142" s="27" t="str">
        <f>IF(C142&lt;=_xll.RssMarket(A142,"年初来安値"),"○","×")</f>
        <v>○</v>
      </c>
    </row>
    <row r="143" spans="1:26" x14ac:dyDescent="0.25">
      <c r="A143" s="49">
        <v>2437</v>
      </c>
      <c r="B143" s="20" t="str">
        <f>_xll.RssMarket(A143,"銘柄名称")</f>
        <v>表示銘柄数超過</v>
      </c>
      <c r="C143" s="21" t="str">
        <f>_xll.RssMarket(A143,"現在値")</f>
        <v>表示銘柄数超過</v>
      </c>
      <c r="D143" s="20" t="str">
        <f>_xll.RssMarket(A143,"現在値詳細時刻")</f>
        <v>表示銘柄数超過</v>
      </c>
      <c r="E143" s="22" t="str">
        <f>_xll.RssMarket(A143,"前日比")</f>
        <v>表示銘柄数超過</v>
      </c>
      <c r="F143" s="23" t="e">
        <f>_xll.RssMarket(A143,"前日比率")/100</f>
        <v>#VALUE!</v>
      </c>
      <c r="G143" s="24" t="str">
        <f>IFERROR(VLOOKUP(A143,取得元!$A$2:$F$501,2,FALSE),"-")</f>
        <v>-</v>
      </c>
      <c r="H143" s="24" t="str">
        <f>IFERROR(VLOOKUP(A143,取得元!$A$2:$F$501,3,FALSE),"-")</f>
        <v>-</v>
      </c>
      <c r="I143" s="24" t="str">
        <f>IFERROR(VLOOKUP(A143,取得元!$A$2:$F$501,4,FALSE),"-")</f>
        <v>-</v>
      </c>
      <c r="J143" s="5" t="str">
        <f>IFERROR(VLOOKUP(A143,取得元!$A$2:$F$501,5,FALSE),"-")</f>
        <v>-</v>
      </c>
      <c r="K143" s="25" t="str">
        <f>IFERROR(VLOOKUP(A143,取得元!$A$2:$F$501,6,FALSE)/100,"-")</f>
        <v>-</v>
      </c>
      <c r="L143" s="21" t="str">
        <f>_xll.RssMarket(A143,"始値")</f>
        <v>表示銘柄数超過</v>
      </c>
      <c r="M143" s="4" t="e">
        <f t="shared" si="15"/>
        <v>#VALUE!</v>
      </c>
      <c r="N143" s="21" t="str">
        <f>_xll.RssMarket(A143,"高値")</f>
        <v>表示銘柄数超過</v>
      </c>
      <c r="O143" s="4" t="e">
        <f t="shared" si="16"/>
        <v>#VALUE!</v>
      </c>
      <c r="P143" s="21" t="str">
        <f>_xll.RssMarket(A143,"安値")</f>
        <v>表示銘柄数超過</v>
      </c>
      <c r="Q143" s="4" t="e">
        <f t="shared" si="17"/>
        <v>#VALUE!</v>
      </c>
      <c r="R143" s="21" t="str">
        <f>_xll.RssMarket(A143,"後場始値")</f>
        <v>表示銘柄数超過</v>
      </c>
      <c r="S143" s="25" t="str">
        <f t="shared" si="18"/>
        <v>-</v>
      </c>
      <c r="T143" s="7" t="str">
        <f>_xll.RssMarket(A143,"出来高加重平均")</f>
        <v>表示銘柄数超過</v>
      </c>
      <c r="U143" s="4" t="e">
        <f t="shared" si="19"/>
        <v>#VALUE!</v>
      </c>
      <c r="V143" s="21" t="str">
        <f>_xll.RssMarket(A143,"出来高")</f>
        <v>表示銘柄数超過</v>
      </c>
      <c r="W143" s="21" t="str">
        <f>_xll.RssMarket(A143,"売買代金")</f>
        <v>表示銘柄数超過</v>
      </c>
      <c r="X143" s="20" t="str">
        <f>_xll.RssMarket(A143,"決算発表日")</f>
        <v>表示銘柄数超過</v>
      </c>
      <c r="Y143" s="26" t="str">
        <f>IF(C143&gt;_xll.RssMarket(A143,"年初来高値"),"○","×")</f>
        <v>×</v>
      </c>
      <c r="Z143" s="27" t="str">
        <f>IF(C143&lt;=_xll.RssMarket(A143,"年初来安値"),"○","×")</f>
        <v>○</v>
      </c>
    </row>
    <row r="144" spans="1:26" x14ac:dyDescent="0.25">
      <c r="A144" s="47">
        <v>2438</v>
      </c>
      <c r="B144" s="20" t="str">
        <f>_xll.RssMarket(A144,"銘柄名称")</f>
        <v>表示銘柄数超過</v>
      </c>
      <c r="C144" s="21" t="str">
        <f>_xll.RssMarket(A144,"現在値")</f>
        <v>表示銘柄数超過</v>
      </c>
      <c r="D144" s="20" t="str">
        <f>_xll.RssMarket(A144,"現在値詳細時刻")</f>
        <v>表示銘柄数超過</v>
      </c>
      <c r="E144" s="22" t="str">
        <f>_xll.RssMarket(A144,"前日比")</f>
        <v>表示銘柄数超過</v>
      </c>
      <c r="F144" s="23" t="e">
        <f>_xll.RssMarket(A144,"前日比率")/100</f>
        <v>#VALUE!</v>
      </c>
      <c r="G144" s="24" t="str">
        <f>IFERROR(VLOOKUP(A144,取得元!$A$2:$F$501,2,FALSE),"-")</f>
        <v>-</v>
      </c>
      <c r="H144" s="24" t="str">
        <f>IFERROR(VLOOKUP(A144,取得元!$A$2:$F$501,3,FALSE),"-")</f>
        <v>-</v>
      </c>
      <c r="I144" s="24" t="str">
        <f>IFERROR(VLOOKUP(A144,取得元!$A$2:$F$501,4,FALSE),"-")</f>
        <v>-</v>
      </c>
      <c r="J144" s="5" t="str">
        <f>IFERROR(VLOOKUP(A144,取得元!$A$2:$F$501,5,FALSE),"-")</f>
        <v>-</v>
      </c>
      <c r="K144" s="25" t="str">
        <f>IFERROR(VLOOKUP(A144,取得元!$A$2:$F$501,6,FALSE)/100,"-")</f>
        <v>-</v>
      </c>
      <c r="L144" s="21" t="str">
        <f>_xll.RssMarket(A144,"始値")</f>
        <v>表示銘柄数超過</v>
      </c>
      <c r="M144" s="4" t="e">
        <f t="shared" si="15"/>
        <v>#VALUE!</v>
      </c>
      <c r="N144" s="21" t="str">
        <f>_xll.RssMarket(A144,"高値")</f>
        <v>表示銘柄数超過</v>
      </c>
      <c r="O144" s="4" t="e">
        <f t="shared" si="16"/>
        <v>#VALUE!</v>
      </c>
      <c r="P144" s="21" t="str">
        <f>_xll.RssMarket(A144,"安値")</f>
        <v>表示銘柄数超過</v>
      </c>
      <c r="Q144" s="4" t="e">
        <f t="shared" si="17"/>
        <v>#VALUE!</v>
      </c>
      <c r="R144" s="21" t="str">
        <f>_xll.RssMarket(A144,"後場始値")</f>
        <v>表示銘柄数超過</v>
      </c>
      <c r="S144" s="25" t="str">
        <f t="shared" si="18"/>
        <v>-</v>
      </c>
      <c r="T144" s="7" t="str">
        <f>_xll.RssMarket(A144,"出来高加重平均")</f>
        <v>表示銘柄数超過</v>
      </c>
      <c r="U144" s="4" t="e">
        <f t="shared" si="19"/>
        <v>#VALUE!</v>
      </c>
      <c r="V144" s="21" t="str">
        <f>_xll.RssMarket(A144,"出来高")</f>
        <v>表示銘柄数超過</v>
      </c>
      <c r="W144" s="21" t="str">
        <f>_xll.RssMarket(A144,"売買代金")</f>
        <v>表示銘柄数超過</v>
      </c>
      <c r="X144" s="20" t="str">
        <f>_xll.RssMarket(A144,"決算発表日")</f>
        <v>表示銘柄数超過</v>
      </c>
      <c r="Y144" s="26" t="str">
        <f>IF(C144&gt;_xll.RssMarket(A144,"年初来高値"),"○","×")</f>
        <v>×</v>
      </c>
      <c r="Z144" s="27" t="str">
        <f>IF(C144&lt;=_xll.RssMarket(A144,"年初来安値"),"○","×")</f>
        <v>○</v>
      </c>
    </row>
    <row r="145" spans="1:26" x14ac:dyDescent="0.25">
      <c r="A145" s="49">
        <v>2445</v>
      </c>
      <c r="B145" s="20" t="str">
        <f>_xll.RssMarket(A145,"銘柄名称")</f>
        <v>表示銘柄数超過</v>
      </c>
      <c r="C145" s="21" t="str">
        <f>_xll.RssMarket(A145,"現在値")</f>
        <v>表示銘柄数超過</v>
      </c>
      <c r="D145" s="20" t="str">
        <f>_xll.RssMarket(A145,"現在値詳細時刻")</f>
        <v>表示銘柄数超過</v>
      </c>
      <c r="E145" s="22" t="str">
        <f>_xll.RssMarket(A145,"前日比")</f>
        <v>表示銘柄数超過</v>
      </c>
      <c r="F145" s="23" t="e">
        <f>_xll.RssMarket(A145,"前日比率")/100</f>
        <v>#VALUE!</v>
      </c>
      <c r="G145" s="24" t="str">
        <f>IFERROR(VLOOKUP(A145,取得元!$A$2:$F$501,2,FALSE),"-")</f>
        <v>-</v>
      </c>
      <c r="H145" s="24" t="str">
        <f>IFERROR(VLOOKUP(A145,取得元!$A$2:$F$501,3,FALSE),"-")</f>
        <v>-</v>
      </c>
      <c r="I145" s="24" t="str">
        <f>IFERROR(VLOOKUP(A145,取得元!$A$2:$F$501,4,FALSE),"-")</f>
        <v>-</v>
      </c>
      <c r="J145" s="5" t="str">
        <f>IFERROR(VLOOKUP(A145,取得元!$A$2:$F$501,5,FALSE),"-")</f>
        <v>-</v>
      </c>
      <c r="K145" s="25" t="str">
        <f>IFERROR(VLOOKUP(A145,取得元!$A$2:$F$501,6,FALSE)/100,"-")</f>
        <v>-</v>
      </c>
      <c r="L145" s="21" t="str">
        <f>_xll.RssMarket(A145,"始値")</f>
        <v>表示銘柄数超過</v>
      </c>
      <c r="M145" s="4" t="e">
        <f t="shared" si="15"/>
        <v>#VALUE!</v>
      </c>
      <c r="N145" s="21" t="str">
        <f>_xll.RssMarket(A145,"高値")</f>
        <v>表示銘柄数超過</v>
      </c>
      <c r="O145" s="4" t="e">
        <f t="shared" si="16"/>
        <v>#VALUE!</v>
      </c>
      <c r="P145" s="21" t="str">
        <f>_xll.RssMarket(A145,"安値")</f>
        <v>表示銘柄数超過</v>
      </c>
      <c r="Q145" s="4" t="e">
        <f t="shared" si="17"/>
        <v>#VALUE!</v>
      </c>
      <c r="R145" s="21" t="str">
        <f>_xll.RssMarket(A145,"後場始値")</f>
        <v>表示銘柄数超過</v>
      </c>
      <c r="S145" s="25" t="str">
        <f t="shared" si="18"/>
        <v>-</v>
      </c>
      <c r="T145" s="7" t="str">
        <f>_xll.RssMarket(A145,"出来高加重平均")</f>
        <v>表示銘柄数超過</v>
      </c>
      <c r="U145" s="4" t="e">
        <f t="shared" si="19"/>
        <v>#VALUE!</v>
      </c>
      <c r="V145" s="21" t="str">
        <f>_xll.RssMarket(A145,"出来高")</f>
        <v>表示銘柄数超過</v>
      </c>
      <c r="W145" s="21" t="str">
        <f>_xll.RssMarket(A145,"売買代金")</f>
        <v>表示銘柄数超過</v>
      </c>
      <c r="X145" s="20" t="str">
        <f>_xll.RssMarket(A145,"決算発表日")</f>
        <v>表示銘柄数超過</v>
      </c>
      <c r="Y145" s="26" t="str">
        <f>IF(C145&gt;_xll.RssMarket(A145,"年初来高値"),"○","×")</f>
        <v>×</v>
      </c>
      <c r="Z145" s="27" t="str">
        <f>IF(C145&lt;=_xll.RssMarket(A145,"年初来安値"),"○","×")</f>
        <v>○</v>
      </c>
    </row>
    <row r="146" spans="1:26" x14ac:dyDescent="0.25">
      <c r="A146" s="47">
        <v>2453</v>
      </c>
      <c r="B146" s="20" t="str">
        <f>_xll.RssMarket(A146,"銘柄名称")</f>
        <v>表示銘柄数超過</v>
      </c>
      <c r="C146" s="21" t="str">
        <f>_xll.RssMarket(A146,"現在値")</f>
        <v>表示銘柄数超過</v>
      </c>
      <c r="D146" s="20" t="str">
        <f>_xll.RssMarket(A146,"現在値詳細時刻")</f>
        <v>表示銘柄数超過</v>
      </c>
      <c r="E146" s="22" t="str">
        <f>_xll.RssMarket(A146,"前日比")</f>
        <v>表示銘柄数超過</v>
      </c>
      <c r="F146" s="23" t="e">
        <f>_xll.RssMarket(A146,"前日比率")/100</f>
        <v>#VALUE!</v>
      </c>
      <c r="G146" s="24" t="str">
        <f>IFERROR(VLOOKUP(A146,取得元!$A$2:$F$501,2,FALSE),"-")</f>
        <v>-</v>
      </c>
      <c r="H146" s="24" t="str">
        <f>IFERROR(VLOOKUP(A146,取得元!$A$2:$F$501,3,FALSE),"-")</f>
        <v>-</v>
      </c>
      <c r="I146" s="24" t="str">
        <f>IFERROR(VLOOKUP(A146,取得元!$A$2:$F$501,4,FALSE),"-")</f>
        <v>-</v>
      </c>
      <c r="J146" s="5" t="str">
        <f>IFERROR(VLOOKUP(A146,取得元!$A$2:$F$501,5,FALSE),"-")</f>
        <v>-</v>
      </c>
      <c r="K146" s="25" t="str">
        <f>IFERROR(VLOOKUP(A146,取得元!$A$2:$F$501,6,FALSE)/100,"-")</f>
        <v>-</v>
      </c>
      <c r="L146" s="21" t="str">
        <f>_xll.RssMarket(A146,"始値")</f>
        <v>表示銘柄数超過</v>
      </c>
      <c r="M146" s="4" t="e">
        <f t="shared" si="15"/>
        <v>#VALUE!</v>
      </c>
      <c r="N146" s="21" t="str">
        <f>_xll.RssMarket(A146,"高値")</f>
        <v>表示銘柄数超過</v>
      </c>
      <c r="O146" s="4" t="e">
        <f t="shared" si="16"/>
        <v>#VALUE!</v>
      </c>
      <c r="P146" s="21" t="str">
        <f>_xll.RssMarket(A146,"安値")</f>
        <v>表示銘柄数超過</v>
      </c>
      <c r="Q146" s="4" t="e">
        <f t="shared" si="17"/>
        <v>#VALUE!</v>
      </c>
      <c r="R146" s="21" t="str">
        <f>_xll.RssMarket(A146,"後場始値")</f>
        <v>表示銘柄数超過</v>
      </c>
      <c r="S146" s="25" t="str">
        <f t="shared" si="18"/>
        <v>-</v>
      </c>
      <c r="T146" s="7" t="str">
        <f>_xll.RssMarket(A146,"出来高加重平均")</f>
        <v>表示銘柄数超過</v>
      </c>
      <c r="U146" s="4" t="e">
        <f t="shared" si="19"/>
        <v>#VALUE!</v>
      </c>
      <c r="V146" s="21" t="str">
        <f>_xll.RssMarket(A146,"出来高")</f>
        <v>表示銘柄数超過</v>
      </c>
      <c r="W146" s="21" t="str">
        <f>_xll.RssMarket(A146,"売買代金")</f>
        <v>表示銘柄数超過</v>
      </c>
      <c r="X146" s="20" t="str">
        <f>_xll.RssMarket(A146,"決算発表日")</f>
        <v>表示銘柄数超過</v>
      </c>
      <c r="Y146" s="26" t="str">
        <f>IF(C146&gt;_xll.RssMarket(A146,"年初来高値"),"○","×")</f>
        <v>×</v>
      </c>
      <c r="Z146" s="27" t="str">
        <f>IF(C146&lt;=_xll.RssMarket(A146,"年初来安値"),"○","×")</f>
        <v>○</v>
      </c>
    </row>
    <row r="147" spans="1:26" x14ac:dyDescent="0.25">
      <c r="A147" s="49">
        <v>2461</v>
      </c>
      <c r="B147" s="20" t="str">
        <f>_xll.RssMarket(A147,"銘柄名称")</f>
        <v>表示銘柄数超過</v>
      </c>
      <c r="C147" s="21" t="str">
        <f>_xll.RssMarket(A147,"現在値")</f>
        <v>表示銘柄数超過</v>
      </c>
      <c r="D147" s="20" t="str">
        <f>_xll.RssMarket(A147,"現在値詳細時刻")</f>
        <v>表示銘柄数超過</v>
      </c>
      <c r="E147" s="22" t="str">
        <f>_xll.RssMarket(A147,"前日比")</f>
        <v>表示銘柄数超過</v>
      </c>
      <c r="F147" s="23" t="e">
        <f>_xll.RssMarket(A147,"前日比率")/100</f>
        <v>#VALUE!</v>
      </c>
      <c r="G147" s="24" t="str">
        <f>IFERROR(VLOOKUP(A147,取得元!$A$2:$F$501,2,FALSE),"-")</f>
        <v>-</v>
      </c>
      <c r="H147" s="24" t="str">
        <f>IFERROR(VLOOKUP(A147,取得元!$A$2:$F$501,3,FALSE),"-")</f>
        <v>-</v>
      </c>
      <c r="I147" s="24" t="str">
        <f>IFERROR(VLOOKUP(A147,取得元!$A$2:$F$501,4,FALSE),"-")</f>
        <v>-</v>
      </c>
      <c r="J147" s="5" t="str">
        <f>IFERROR(VLOOKUP(A147,取得元!$A$2:$F$501,5,FALSE),"-")</f>
        <v>-</v>
      </c>
      <c r="K147" s="25" t="str">
        <f>IFERROR(VLOOKUP(A147,取得元!$A$2:$F$501,6,FALSE)/100,"-")</f>
        <v>-</v>
      </c>
      <c r="L147" s="21" t="str">
        <f>_xll.RssMarket(A147,"始値")</f>
        <v>表示銘柄数超過</v>
      </c>
      <c r="M147" s="4" t="e">
        <f t="shared" si="15"/>
        <v>#VALUE!</v>
      </c>
      <c r="N147" s="21" t="str">
        <f>_xll.RssMarket(A147,"高値")</f>
        <v>表示銘柄数超過</v>
      </c>
      <c r="O147" s="4" t="e">
        <f t="shared" si="16"/>
        <v>#VALUE!</v>
      </c>
      <c r="P147" s="21" t="str">
        <f>_xll.RssMarket(A147,"安値")</f>
        <v>表示銘柄数超過</v>
      </c>
      <c r="Q147" s="4" t="e">
        <f t="shared" si="17"/>
        <v>#VALUE!</v>
      </c>
      <c r="R147" s="21" t="str">
        <f>_xll.RssMarket(A147,"後場始値")</f>
        <v>表示銘柄数超過</v>
      </c>
      <c r="S147" s="25" t="str">
        <f t="shared" si="18"/>
        <v>-</v>
      </c>
      <c r="T147" s="7" t="str">
        <f>_xll.RssMarket(A147,"出来高加重平均")</f>
        <v>表示銘柄数超過</v>
      </c>
      <c r="U147" s="4" t="e">
        <f t="shared" si="19"/>
        <v>#VALUE!</v>
      </c>
      <c r="V147" s="21" t="str">
        <f>_xll.RssMarket(A147,"出来高")</f>
        <v>表示銘柄数超過</v>
      </c>
      <c r="W147" s="21" t="str">
        <f>_xll.RssMarket(A147,"売買代金")</f>
        <v>表示銘柄数超過</v>
      </c>
      <c r="X147" s="20" t="str">
        <f>_xll.RssMarket(A147,"決算発表日")</f>
        <v>表示銘柄数超過</v>
      </c>
      <c r="Y147" s="26" t="str">
        <f>IF(C147&gt;_xll.RssMarket(A147,"年初来高値"),"○","×")</f>
        <v>×</v>
      </c>
      <c r="Z147" s="27" t="str">
        <f>IF(C147&lt;=_xll.RssMarket(A147,"年初来安値"),"○","×")</f>
        <v>○</v>
      </c>
    </row>
    <row r="148" spans="1:26" x14ac:dyDescent="0.25">
      <c r="A148" s="47">
        <v>2468</v>
      </c>
      <c r="B148" s="20" t="str">
        <f>_xll.RssMarket(A148,"銘柄名称")</f>
        <v>表示銘柄数超過</v>
      </c>
      <c r="C148" s="21" t="str">
        <f>_xll.RssMarket(A148,"現在値")</f>
        <v>表示銘柄数超過</v>
      </c>
      <c r="D148" s="20" t="str">
        <f>_xll.RssMarket(A148,"現在値詳細時刻")</f>
        <v>表示銘柄数超過</v>
      </c>
      <c r="E148" s="22" t="str">
        <f>_xll.RssMarket(A148,"前日比")</f>
        <v>表示銘柄数超過</v>
      </c>
      <c r="F148" s="23" t="e">
        <f>_xll.RssMarket(A148,"前日比率")/100</f>
        <v>#VALUE!</v>
      </c>
      <c r="G148" s="24" t="str">
        <f>IFERROR(VLOOKUP(A148,取得元!$A$2:$F$501,2,FALSE),"-")</f>
        <v>-</v>
      </c>
      <c r="H148" s="24" t="str">
        <f>IFERROR(VLOOKUP(A148,取得元!$A$2:$F$501,3,FALSE),"-")</f>
        <v>-</v>
      </c>
      <c r="I148" s="24" t="str">
        <f>IFERROR(VLOOKUP(A148,取得元!$A$2:$F$501,4,FALSE),"-")</f>
        <v>-</v>
      </c>
      <c r="J148" s="5" t="str">
        <f>IFERROR(VLOOKUP(A148,取得元!$A$2:$F$501,5,FALSE),"-")</f>
        <v>-</v>
      </c>
      <c r="K148" s="25" t="str">
        <f>IFERROR(VLOOKUP(A148,取得元!$A$2:$F$501,6,FALSE)/100,"-")</f>
        <v>-</v>
      </c>
      <c r="L148" s="21" t="str">
        <f>_xll.RssMarket(A148,"始値")</f>
        <v>表示銘柄数超過</v>
      </c>
      <c r="M148" s="4" t="e">
        <f t="shared" si="15"/>
        <v>#VALUE!</v>
      </c>
      <c r="N148" s="21" t="str">
        <f>_xll.RssMarket(A148,"高値")</f>
        <v>表示銘柄数超過</v>
      </c>
      <c r="O148" s="4" t="e">
        <f t="shared" si="16"/>
        <v>#VALUE!</v>
      </c>
      <c r="P148" s="21" t="str">
        <f>_xll.RssMarket(A148,"安値")</f>
        <v>表示銘柄数超過</v>
      </c>
      <c r="Q148" s="4" t="e">
        <f t="shared" si="17"/>
        <v>#VALUE!</v>
      </c>
      <c r="R148" s="21" t="str">
        <f>_xll.RssMarket(A148,"後場始値")</f>
        <v>表示銘柄数超過</v>
      </c>
      <c r="S148" s="25" t="str">
        <f t="shared" si="18"/>
        <v>-</v>
      </c>
      <c r="T148" s="7" t="str">
        <f>_xll.RssMarket(A148,"出来高加重平均")</f>
        <v>表示銘柄数超過</v>
      </c>
      <c r="U148" s="4" t="e">
        <f t="shared" si="19"/>
        <v>#VALUE!</v>
      </c>
      <c r="V148" s="21" t="str">
        <f>_xll.RssMarket(A148,"出来高")</f>
        <v>表示銘柄数超過</v>
      </c>
      <c r="W148" s="21" t="str">
        <f>_xll.RssMarket(A148,"売買代金")</f>
        <v>表示銘柄数超過</v>
      </c>
      <c r="X148" s="20" t="str">
        <f>_xll.RssMarket(A148,"決算発表日")</f>
        <v>表示銘柄数超過</v>
      </c>
      <c r="Y148" s="26" t="str">
        <f>IF(C148&gt;_xll.RssMarket(A148,"年初来高値"),"○","×")</f>
        <v>×</v>
      </c>
      <c r="Z148" s="27" t="str">
        <f>IF(C148&lt;=_xll.RssMarket(A148,"年初来安値"),"○","×")</f>
        <v>○</v>
      </c>
    </row>
    <row r="149" spans="1:26" x14ac:dyDescent="0.25">
      <c r="A149" s="49">
        <v>2471</v>
      </c>
      <c r="B149" s="20" t="str">
        <f>_xll.RssMarket(A149,"銘柄名称")</f>
        <v>表示銘柄数超過</v>
      </c>
      <c r="C149" s="21" t="str">
        <f>_xll.RssMarket(A149,"現在値")</f>
        <v>表示銘柄数超過</v>
      </c>
      <c r="D149" s="20" t="str">
        <f>_xll.RssMarket(A149,"現在値詳細時刻")</f>
        <v>表示銘柄数超過</v>
      </c>
      <c r="E149" s="22" t="str">
        <f>_xll.RssMarket(A149,"前日比")</f>
        <v>表示銘柄数超過</v>
      </c>
      <c r="F149" s="23" t="e">
        <f>_xll.RssMarket(A149,"前日比率")/100</f>
        <v>#VALUE!</v>
      </c>
      <c r="G149" s="24" t="str">
        <f>IFERROR(VLOOKUP(A149,取得元!$A$2:$F$501,2,FALSE),"-")</f>
        <v>-</v>
      </c>
      <c r="H149" s="24" t="str">
        <f>IFERROR(VLOOKUP(A149,取得元!$A$2:$F$501,3,FALSE),"-")</f>
        <v>-</v>
      </c>
      <c r="I149" s="24" t="str">
        <f>IFERROR(VLOOKUP(A149,取得元!$A$2:$F$501,4,FALSE),"-")</f>
        <v>-</v>
      </c>
      <c r="J149" s="5" t="str">
        <f>IFERROR(VLOOKUP(A149,取得元!$A$2:$F$501,5,FALSE),"-")</f>
        <v>-</v>
      </c>
      <c r="K149" s="25" t="str">
        <f>IFERROR(VLOOKUP(A149,取得元!$A$2:$F$501,6,FALSE)/100,"-")</f>
        <v>-</v>
      </c>
      <c r="L149" s="21" t="str">
        <f>_xll.RssMarket(A149,"始値")</f>
        <v>表示銘柄数超過</v>
      </c>
      <c r="M149" s="4" t="e">
        <f t="shared" si="15"/>
        <v>#VALUE!</v>
      </c>
      <c r="N149" s="21" t="str">
        <f>_xll.RssMarket(A149,"高値")</f>
        <v>表示銘柄数超過</v>
      </c>
      <c r="O149" s="4" t="e">
        <f t="shared" si="16"/>
        <v>#VALUE!</v>
      </c>
      <c r="P149" s="21" t="str">
        <f>_xll.RssMarket(A149,"安値")</f>
        <v>表示銘柄数超過</v>
      </c>
      <c r="Q149" s="4" t="e">
        <f t="shared" si="17"/>
        <v>#VALUE!</v>
      </c>
      <c r="R149" s="21" t="str">
        <f>_xll.RssMarket(A149,"後場始値")</f>
        <v>表示銘柄数超過</v>
      </c>
      <c r="S149" s="25" t="str">
        <f t="shared" si="18"/>
        <v>-</v>
      </c>
      <c r="T149" s="7" t="str">
        <f>_xll.RssMarket(A149,"出来高加重平均")</f>
        <v>表示銘柄数超過</v>
      </c>
      <c r="U149" s="4" t="e">
        <f t="shared" si="19"/>
        <v>#VALUE!</v>
      </c>
      <c r="V149" s="21" t="str">
        <f>_xll.RssMarket(A149,"出来高")</f>
        <v>表示銘柄数超過</v>
      </c>
      <c r="W149" s="21" t="str">
        <f>_xll.RssMarket(A149,"売買代金")</f>
        <v>表示銘柄数超過</v>
      </c>
      <c r="X149" s="20" t="str">
        <f>_xll.RssMarket(A149,"決算発表日")</f>
        <v>表示銘柄数超過</v>
      </c>
      <c r="Y149" s="26" t="str">
        <f>IF(C149&gt;_xll.RssMarket(A149,"年初来高値"),"○","×")</f>
        <v>×</v>
      </c>
      <c r="Z149" s="27" t="str">
        <f>IF(C149&lt;=_xll.RssMarket(A149,"年初来安値"),"○","×")</f>
        <v>○</v>
      </c>
    </row>
    <row r="150" spans="1:26" x14ac:dyDescent="0.25">
      <c r="A150" s="47">
        <v>2479</v>
      </c>
      <c r="B150" s="20" t="str">
        <f>_xll.RssMarket(A150,"銘柄名称")</f>
        <v>表示銘柄数超過</v>
      </c>
      <c r="C150" s="21" t="str">
        <f>_xll.RssMarket(A150,"現在値")</f>
        <v>表示銘柄数超過</v>
      </c>
      <c r="D150" s="20" t="str">
        <f>_xll.RssMarket(A150,"現在値詳細時刻")</f>
        <v>表示銘柄数超過</v>
      </c>
      <c r="E150" s="22" t="str">
        <f>_xll.RssMarket(A150,"前日比")</f>
        <v>表示銘柄数超過</v>
      </c>
      <c r="F150" s="23" t="e">
        <f>_xll.RssMarket(A150,"前日比率")/100</f>
        <v>#VALUE!</v>
      </c>
      <c r="G150" s="24" t="str">
        <f>IFERROR(VLOOKUP(A150,取得元!$A$2:$F$501,2,FALSE),"-")</f>
        <v>-</v>
      </c>
      <c r="H150" s="24" t="str">
        <f>IFERROR(VLOOKUP(A150,取得元!$A$2:$F$501,3,FALSE),"-")</f>
        <v>-</v>
      </c>
      <c r="I150" s="24" t="str">
        <f>IFERROR(VLOOKUP(A150,取得元!$A$2:$F$501,4,FALSE),"-")</f>
        <v>-</v>
      </c>
      <c r="J150" s="5" t="str">
        <f>IFERROR(VLOOKUP(A150,取得元!$A$2:$F$501,5,FALSE),"-")</f>
        <v>-</v>
      </c>
      <c r="K150" s="25" t="str">
        <f>IFERROR(VLOOKUP(A150,取得元!$A$2:$F$501,6,FALSE)/100,"-")</f>
        <v>-</v>
      </c>
      <c r="L150" s="21" t="str">
        <f>_xll.RssMarket(A150,"始値")</f>
        <v>表示銘柄数超過</v>
      </c>
      <c r="M150" s="4" t="e">
        <f t="shared" si="15"/>
        <v>#VALUE!</v>
      </c>
      <c r="N150" s="21" t="str">
        <f>_xll.RssMarket(A150,"高値")</f>
        <v>表示銘柄数超過</v>
      </c>
      <c r="O150" s="4" t="e">
        <f t="shared" si="16"/>
        <v>#VALUE!</v>
      </c>
      <c r="P150" s="21" t="str">
        <f>_xll.RssMarket(A150,"安値")</f>
        <v>表示銘柄数超過</v>
      </c>
      <c r="Q150" s="4" t="e">
        <f t="shared" si="17"/>
        <v>#VALUE!</v>
      </c>
      <c r="R150" s="21" t="str">
        <f>_xll.RssMarket(A150,"後場始値")</f>
        <v>表示銘柄数超過</v>
      </c>
      <c r="S150" s="25" t="str">
        <f t="shared" si="18"/>
        <v>-</v>
      </c>
      <c r="T150" s="7" t="str">
        <f>_xll.RssMarket(A150,"出来高加重平均")</f>
        <v>表示銘柄数超過</v>
      </c>
      <c r="U150" s="4" t="e">
        <f t="shared" si="19"/>
        <v>#VALUE!</v>
      </c>
      <c r="V150" s="21" t="str">
        <f>_xll.RssMarket(A150,"出来高")</f>
        <v>表示銘柄数超過</v>
      </c>
      <c r="W150" s="21" t="str">
        <f>_xll.RssMarket(A150,"売買代金")</f>
        <v>表示銘柄数超過</v>
      </c>
      <c r="X150" s="20" t="str">
        <f>_xll.RssMarket(A150,"決算発表日")</f>
        <v>表示銘柄数超過</v>
      </c>
      <c r="Y150" s="26" t="str">
        <f>IF(C150&gt;_xll.RssMarket(A150,"年初来高値"),"○","×")</f>
        <v>×</v>
      </c>
      <c r="Z150" s="27" t="str">
        <f>IF(C150&lt;=_xll.RssMarket(A150,"年初来安値"),"○","×")</f>
        <v>○</v>
      </c>
    </row>
    <row r="151" spans="1:26" x14ac:dyDescent="0.25">
      <c r="A151" s="49">
        <v>2483</v>
      </c>
      <c r="B151" s="20" t="str">
        <f>_xll.RssMarket(A151,"銘柄名称")</f>
        <v>表示銘柄数超過</v>
      </c>
      <c r="C151" s="21" t="str">
        <f>_xll.RssMarket(A151,"現在値")</f>
        <v>表示銘柄数超過</v>
      </c>
      <c r="D151" s="20" t="str">
        <f>_xll.RssMarket(A151,"現在値詳細時刻")</f>
        <v>表示銘柄数超過</v>
      </c>
      <c r="E151" s="22" t="str">
        <f>_xll.RssMarket(A151,"前日比")</f>
        <v>表示銘柄数超過</v>
      </c>
      <c r="F151" s="23" t="e">
        <f>_xll.RssMarket(A151,"前日比率")/100</f>
        <v>#VALUE!</v>
      </c>
      <c r="G151" s="24" t="str">
        <f>IFERROR(VLOOKUP(A151,取得元!$A$2:$F$501,2,FALSE),"-")</f>
        <v>-</v>
      </c>
      <c r="H151" s="24" t="str">
        <f>IFERROR(VLOOKUP(A151,取得元!$A$2:$F$501,3,FALSE),"-")</f>
        <v>-</v>
      </c>
      <c r="I151" s="24" t="str">
        <f>IFERROR(VLOOKUP(A151,取得元!$A$2:$F$501,4,FALSE),"-")</f>
        <v>-</v>
      </c>
      <c r="J151" s="5" t="str">
        <f>IFERROR(VLOOKUP(A151,取得元!$A$2:$F$501,5,FALSE),"-")</f>
        <v>-</v>
      </c>
      <c r="K151" s="25" t="str">
        <f>IFERROR(VLOOKUP(A151,取得元!$A$2:$F$501,6,FALSE)/100,"-")</f>
        <v>-</v>
      </c>
      <c r="L151" s="21" t="str">
        <f>_xll.RssMarket(A151,"始値")</f>
        <v>表示銘柄数超過</v>
      </c>
      <c r="M151" s="4" t="e">
        <f t="shared" si="15"/>
        <v>#VALUE!</v>
      </c>
      <c r="N151" s="21" t="str">
        <f>_xll.RssMarket(A151,"高値")</f>
        <v>表示銘柄数超過</v>
      </c>
      <c r="O151" s="4" t="e">
        <f t="shared" si="16"/>
        <v>#VALUE!</v>
      </c>
      <c r="P151" s="21" t="str">
        <f>_xll.RssMarket(A151,"安値")</f>
        <v>表示銘柄数超過</v>
      </c>
      <c r="Q151" s="4" t="e">
        <f t="shared" si="17"/>
        <v>#VALUE!</v>
      </c>
      <c r="R151" s="21" t="str">
        <f>_xll.RssMarket(A151,"後場始値")</f>
        <v>表示銘柄数超過</v>
      </c>
      <c r="S151" s="25" t="str">
        <f t="shared" si="18"/>
        <v>-</v>
      </c>
      <c r="T151" s="7" t="str">
        <f>_xll.RssMarket(A151,"出来高加重平均")</f>
        <v>表示銘柄数超過</v>
      </c>
      <c r="U151" s="4" t="e">
        <f t="shared" si="19"/>
        <v>#VALUE!</v>
      </c>
      <c r="V151" s="21" t="str">
        <f>_xll.RssMarket(A151,"出来高")</f>
        <v>表示銘柄数超過</v>
      </c>
      <c r="W151" s="21" t="str">
        <f>_xll.RssMarket(A151,"売買代金")</f>
        <v>表示銘柄数超過</v>
      </c>
      <c r="X151" s="20" t="str">
        <f>_xll.RssMarket(A151,"決算発表日")</f>
        <v>表示銘柄数超過</v>
      </c>
      <c r="Y151" s="26" t="str">
        <f>IF(C151&gt;_xll.RssMarket(A151,"年初来高値"),"○","×")</f>
        <v>×</v>
      </c>
      <c r="Z151" s="27" t="str">
        <f>IF(C151&lt;=_xll.RssMarket(A151,"年初来安値"),"○","×")</f>
        <v>○</v>
      </c>
    </row>
    <row r="152" spans="1:26" x14ac:dyDescent="0.25">
      <c r="A152" s="47">
        <v>2484</v>
      </c>
      <c r="B152" s="20" t="str">
        <f>_xll.RssMarket(A152,"銘柄名称")</f>
        <v>表示銘柄数超過</v>
      </c>
      <c r="C152" s="21" t="str">
        <f>_xll.RssMarket(A152,"現在値")</f>
        <v>表示銘柄数超過</v>
      </c>
      <c r="D152" s="20" t="str">
        <f>_xll.RssMarket(A152,"現在値詳細時刻")</f>
        <v>表示銘柄数超過</v>
      </c>
      <c r="E152" s="22" t="str">
        <f>_xll.RssMarket(A152,"前日比")</f>
        <v>表示銘柄数超過</v>
      </c>
      <c r="F152" s="23" t="e">
        <f>_xll.RssMarket(A152,"前日比率")/100</f>
        <v>#VALUE!</v>
      </c>
      <c r="G152" s="24" t="str">
        <f>IFERROR(VLOOKUP(A152,取得元!$A$2:$F$501,2,FALSE),"-")</f>
        <v>-</v>
      </c>
      <c r="H152" s="24" t="str">
        <f>IFERROR(VLOOKUP(A152,取得元!$A$2:$F$501,3,FALSE),"-")</f>
        <v>-</v>
      </c>
      <c r="I152" s="24" t="str">
        <f>IFERROR(VLOOKUP(A152,取得元!$A$2:$F$501,4,FALSE),"-")</f>
        <v>-</v>
      </c>
      <c r="J152" s="5" t="str">
        <f>IFERROR(VLOOKUP(A152,取得元!$A$2:$F$501,5,FALSE),"-")</f>
        <v>-</v>
      </c>
      <c r="K152" s="25" t="str">
        <f>IFERROR(VLOOKUP(A152,取得元!$A$2:$F$501,6,FALSE)/100,"-")</f>
        <v>-</v>
      </c>
      <c r="L152" s="21" t="str">
        <f>_xll.RssMarket(A152,"始値")</f>
        <v>表示銘柄数超過</v>
      </c>
      <c r="M152" s="4" t="e">
        <f t="shared" si="15"/>
        <v>#VALUE!</v>
      </c>
      <c r="N152" s="21" t="str">
        <f>_xll.RssMarket(A152,"高値")</f>
        <v>表示銘柄数超過</v>
      </c>
      <c r="O152" s="4" t="e">
        <f t="shared" si="16"/>
        <v>#VALUE!</v>
      </c>
      <c r="P152" s="21" t="str">
        <f>_xll.RssMarket(A152,"安値")</f>
        <v>表示銘柄数超過</v>
      </c>
      <c r="Q152" s="4" t="e">
        <f t="shared" si="17"/>
        <v>#VALUE!</v>
      </c>
      <c r="R152" s="21" t="str">
        <f>_xll.RssMarket(A152,"後場始値")</f>
        <v>表示銘柄数超過</v>
      </c>
      <c r="S152" s="25" t="str">
        <f t="shared" si="18"/>
        <v>-</v>
      </c>
      <c r="T152" s="7" t="str">
        <f>_xll.RssMarket(A152,"出来高加重平均")</f>
        <v>表示銘柄数超過</v>
      </c>
      <c r="U152" s="4" t="e">
        <f t="shared" si="19"/>
        <v>#VALUE!</v>
      </c>
      <c r="V152" s="21" t="str">
        <f>_xll.RssMarket(A152,"出来高")</f>
        <v>表示銘柄数超過</v>
      </c>
      <c r="W152" s="21" t="str">
        <f>_xll.RssMarket(A152,"売買代金")</f>
        <v>表示銘柄数超過</v>
      </c>
      <c r="X152" s="20" t="str">
        <f>_xll.RssMarket(A152,"決算発表日")</f>
        <v>表示銘柄数超過</v>
      </c>
      <c r="Y152" s="26" t="str">
        <f>IF(C152&gt;_xll.RssMarket(A152,"年初来高値"),"○","×")</f>
        <v>×</v>
      </c>
      <c r="Z152" s="27" t="str">
        <f>IF(C152&lt;=_xll.RssMarket(A152,"年初来安値"),"○","×")</f>
        <v>○</v>
      </c>
    </row>
    <row r="153" spans="1:26" x14ac:dyDescent="0.25">
      <c r="A153" s="49">
        <v>2488</v>
      </c>
      <c r="B153" s="20" t="str">
        <f>_xll.RssMarket(A153,"銘柄名称")</f>
        <v>表示銘柄数超過</v>
      </c>
      <c r="C153" s="21" t="str">
        <f>_xll.RssMarket(A153,"現在値")</f>
        <v>表示銘柄数超過</v>
      </c>
      <c r="D153" s="20" t="str">
        <f>_xll.RssMarket(A153,"現在値詳細時刻")</f>
        <v>表示銘柄数超過</v>
      </c>
      <c r="E153" s="22" t="str">
        <f>_xll.RssMarket(A153,"前日比")</f>
        <v>表示銘柄数超過</v>
      </c>
      <c r="F153" s="23" t="e">
        <f>_xll.RssMarket(A153,"前日比率")/100</f>
        <v>#VALUE!</v>
      </c>
      <c r="G153" s="24" t="str">
        <f>IFERROR(VLOOKUP(A153,取得元!$A$2:$F$501,2,FALSE),"-")</f>
        <v>-</v>
      </c>
      <c r="H153" s="24" t="str">
        <f>IFERROR(VLOOKUP(A153,取得元!$A$2:$F$501,3,FALSE),"-")</f>
        <v>-</v>
      </c>
      <c r="I153" s="24" t="str">
        <f>IFERROR(VLOOKUP(A153,取得元!$A$2:$F$501,4,FALSE),"-")</f>
        <v>-</v>
      </c>
      <c r="J153" s="5" t="str">
        <f>IFERROR(VLOOKUP(A153,取得元!$A$2:$F$501,5,FALSE),"-")</f>
        <v>-</v>
      </c>
      <c r="K153" s="25" t="str">
        <f>IFERROR(VLOOKUP(A153,取得元!$A$2:$F$501,6,FALSE)/100,"-")</f>
        <v>-</v>
      </c>
      <c r="L153" s="21" t="str">
        <f>_xll.RssMarket(A153,"始値")</f>
        <v>表示銘柄数超過</v>
      </c>
      <c r="M153" s="4" t="e">
        <f t="shared" si="15"/>
        <v>#VALUE!</v>
      </c>
      <c r="N153" s="21" t="str">
        <f>_xll.RssMarket(A153,"高値")</f>
        <v>表示銘柄数超過</v>
      </c>
      <c r="O153" s="4" t="e">
        <f t="shared" si="16"/>
        <v>#VALUE!</v>
      </c>
      <c r="P153" s="21" t="str">
        <f>_xll.RssMarket(A153,"安値")</f>
        <v>表示銘柄数超過</v>
      </c>
      <c r="Q153" s="4" t="e">
        <f t="shared" si="17"/>
        <v>#VALUE!</v>
      </c>
      <c r="R153" s="21" t="str">
        <f>_xll.RssMarket(A153,"後場始値")</f>
        <v>表示銘柄数超過</v>
      </c>
      <c r="S153" s="25" t="str">
        <f t="shared" si="18"/>
        <v>-</v>
      </c>
      <c r="T153" s="7" t="str">
        <f>_xll.RssMarket(A153,"出来高加重平均")</f>
        <v>表示銘柄数超過</v>
      </c>
      <c r="U153" s="4" t="e">
        <f t="shared" si="19"/>
        <v>#VALUE!</v>
      </c>
      <c r="V153" s="21" t="str">
        <f>_xll.RssMarket(A153,"出来高")</f>
        <v>表示銘柄数超過</v>
      </c>
      <c r="W153" s="21" t="str">
        <f>_xll.RssMarket(A153,"売買代金")</f>
        <v>表示銘柄数超過</v>
      </c>
      <c r="X153" s="20" t="str">
        <f>_xll.RssMarket(A153,"決算発表日")</f>
        <v>表示銘柄数超過</v>
      </c>
      <c r="Y153" s="26" t="str">
        <f>IF(C153&gt;_xll.RssMarket(A153,"年初来高値"),"○","×")</f>
        <v>×</v>
      </c>
      <c r="Z153" s="27" t="str">
        <f>IF(C153&lt;=_xll.RssMarket(A153,"年初来安値"),"○","×")</f>
        <v>○</v>
      </c>
    </row>
    <row r="154" spans="1:26" x14ac:dyDescent="0.25">
      <c r="A154" s="47">
        <v>2492</v>
      </c>
      <c r="B154" s="20" t="str">
        <f>_xll.RssMarket(A154,"銘柄名称")</f>
        <v>表示銘柄数超過</v>
      </c>
      <c r="C154" s="21" t="str">
        <f>_xll.RssMarket(A154,"現在値")</f>
        <v>表示銘柄数超過</v>
      </c>
      <c r="D154" s="20" t="str">
        <f>_xll.RssMarket(A154,"現在値詳細時刻")</f>
        <v>表示銘柄数超過</v>
      </c>
      <c r="E154" s="22" t="str">
        <f>_xll.RssMarket(A154,"前日比")</f>
        <v>表示銘柄数超過</v>
      </c>
      <c r="F154" s="23" t="e">
        <f>_xll.RssMarket(A154,"前日比率")/100</f>
        <v>#VALUE!</v>
      </c>
      <c r="G154" s="24" t="str">
        <f>IFERROR(VLOOKUP(A154,取得元!$A$2:$F$501,2,FALSE),"-")</f>
        <v>-</v>
      </c>
      <c r="H154" s="24" t="str">
        <f>IFERROR(VLOOKUP(A154,取得元!$A$2:$F$501,3,FALSE),"-")</f>
        <v>-</v>
      </c>
      <c r="I154" s="24" t="str">
        <f>IFERROR(VLOOKUP(A154,取得元!$A$2:$F$501,4,FALSE),"-")</f>
        <v>-</v>
      </c>
      <c r="J154" s="5" t="str">
        <f>IFERROR(VLOOKUP(A154,取得元!$A$2:$F$501,5,FALSE),"-")</f>
        <v>-</v>
      </c>
      <c r="K154" s="25" t="str">
        <f>IFERROR(VLOOKUP(A154,取得元!$A$2:$F$501,6,FALSE)/100,"-")</f>
        <v>-</v>
      </c>
      <c r="L154" s="21" t="str">
        <f>_xll.RssMarket(A154,"始値")</f>
        <v>表示銘柄数超過</v>
      </c>
      <c r="M154" s="4" t="e">
        <f t="shared" si="15"/>
        <v>#VALUE!</v>
      </c>
      <c r="N154" s="21" t="str">
        <f>_xll.RssMarket(A154,"高値")</f>
        <v>表示銘柄数超過</v>
      </c>
      <c r="O154" s="4" t="e">
        <f t="shared" si="16"/>
        <v>#VALUE!</v>
      </c>
      <c r="P154" s="21" t="str">
        <f>_xll.RssMarket(A154,"安値")</f>
        <v>表示銘柄数超過</v>
      </c>
      <c r="Q154" s="4" t="e">
        <f t="shared" si="17"/>
        <v>#VALUE!</v>
      </c>
      <c r="R154" s="21" t="str">
        <f>_xll.RssMarket(A154,"後場始値")</f>
        <v>表示銘柄数超過</v>
      </c>
      <c r="S154" s="25" t="str">
        <f t="shared" si="18"/>
        <v>-</v>
      </c>
      <c r="T154" s="7" t="str">
        <f>_xll.RssMarket(A154,"出来高加重平均")</f>
        <v>表示銘柄数超過</v>
      </c>
      <c r="U154" s="4" t="e">
        <f t="shared" si="19"/>
        <v>#VALUE!</v>
      </c>
      <c r="V154" s="21" t="str">
        <f>_xll.RssMarket(A154,"出来高")</f>
        <v>表示銘柄数超過</v>
      </c>
      <c r="W154" s="21" t="str">
        <f>_xll.RssMarket(A154,"売買代金")</f>
        <v>表示銘柄数超過</v>
      </c>
      <c r="X154" s="20" t="str">
        <f>_xll.RssMarket(A154,"決算発表日")</f>
        <v>表示銘柄数超過</v>
      </c>
      <c r="Y154" s="26" t="str">
        <f>IF(C154&gt;_xll.RssMarket(A154,"年初来高値"),"○","×")</f>
        <v>×</v>
      </c>
      <c r="Z154" s="27" t="str">
        <f>IF(C154&lt;=_xll.RssMarket(A154,"年初来安値"),"○","×")</f>
        <v>○</v>
      </c>
    </row>
    <row r="155" spans="1:26" x14ac:dyDescent="0.25">
      <c r="A155" s="49">
        <v>2497</v>
      </c>
      <c r="B155" s="20" t="str">
        <f>_xll.RssMarket(A155,"銘柄名称")</f>
        <v>表示銘柄数超過</v>
      </c>
      <c r="C155" s="21" t="str">
        <f>_xll.RssMarket(A155,"現在値")</f>
        <v>表示銘柄数超過</v>
      </c>
      <c r="D155" s="20" t="str">
        <f>_xll.RssMarket(A155,"現在値詳細時刻")</f>
        <v>表示銘柄数超過</v>
      </c>
      <c r="E155" s="22" t="str">
        <f>_xll.RssMarket(A155,"前日比")</f>
        <v>表示銘柄数超過</v>
      </c>
      <c r="F155" s="23" t="e">
        <f>_xll.RssMarket(A155,"前日比率")/100</f>
        <v>#VALUE!</v>
      </c>
      <c r="G155" s="24" t="str">
        <f>IFERROR(VLOOKUP(A155,取得元!$A$2:$F$501,2,FALSE),"-")</f>
        <v>-</v>
      </c>
      <c r="H155" s="24" t="str">
        <f>IFERROR(VLOOKUP(A155,取得元!$A$2:$F$501,3,FALSE),"-")</f>
        <v>-</v>
      </c>
      <c r="I155" s="24" t="str">
        <f>IFERROR(VLOOKUP(A155,取得元!$A$2:$F$501,4,FALSE),"-")</f>
        <v>-</v>
      </c>
      <c r="J155" s="5" t="str">
        <f>IFERROR(VLOOKUP(A155,取得元!$A$2:$F$501,5,FALSE),"-")</f>
        <v>-</v>
      </c>
      <c r="K155" s="25" t="str">
        <f>IFERROR(VLOOKUP(A155,取得元!$A$2:$F$501,6,FALSE)/100,"-")</f>
        <v>-</v>
      </c>
      <c r="L155" s="21" t="str">
        <f>_xll.RssMarket(A155,"始値")</f>
        <v>表示銘柄数超過</v>
      </c>
      <c r="M155" s="4" t="e">
        <f t="shared" si="15"/>
        <v>#VALUE!</v>
      </c>
      <c r="N155" s="21" t="str">
        <f>_xll.RssMarket(A155,"高値")</f>
        <v>表示銘柄数超過</v>
      </c>
      <c r="O155" s="4" t="e">
        <f t="shared" si="16"/>
        <v>#VALUE!</v>
      </c>
      <c r="P155" s="21" t="str">
        <f>_xll.RssMarket(A155,"安値")</f>
        <v>表示銘柄数超過</v>
      </c>
      <c r="Q155" s="4" t="e">
        <f t="shared" si="17"/>
        <v>#VALUE!</v>
      </c>
      <c r="R155" s="21" t="str">
        <f>_xll.RssMarket(A155,"後場始値")</f>
        <v>表示銘柄数超過</v>
      </c>
      <c r="S155" s="25" t="str">
        <f t="shared" si="18"/>
        <v>-</v>
      </c>
      <c r="T155" s="7" t="str">
        <f>_xll.RssMarket(A155,"出来高加重平均")</f>
        <v>表示銘柄数超過</v>
      </c>
      <c r="U155" s="4" t="e">
        <f t="shared" si="19"/>
        <v>#VALUE!</v>
      </c>
      <c r="V155" s="21" t="str">
        <f>_xll.RssMarket(A155,"出来高")</f>
        <v>表示銘柄数超過</v>
      </c>
      <c r="W155" s="21" t="str">
        <f>_xll.RssMarket(A155,"売買代金")</f>
        <v>表示銘柄数超過</v>
      </c>
      <c r="X155" s="20" t="str">
        <f>_xll.RssMarket(A155,"決算発表日")</f>
        <v>表示銘柄数超過</v>
      </c>
      <c r="Y155" s="26" t="str">
        <f>IF(C155&gt;_xll.RssMarket(A155,"年初来高値"),"○","×")</f>
        <v>×</v>
      </c>
      <c r="Z155" s="27" t="str">
        <f>IF(C155&lt;=_xll.RssMarket(A155,"年初来安値"),"○","×")</f>
        <v>○</v>
      </c>
    </row>
    <row r="156" spans="1:26" x14ac:dyDescent="0.25">
      <c r="A156" s="47">
        <v>2501</v>
      </c>
      <c r="B156" s="20" t="str">
        <f>_xll.RssMarket(A156,"銘柄名称")</f>
        <v>表示銘柄数超過</v>
      </c>
      <c r="C156" s="21" t="str">
        <f>_xll.RssMarket(A156,"現在値")</f>
        <v>表示銘柄数超過</v>
      </c>
      <c r="D156" s="20" t="str">
        <f>_xll.RssMarket(A156,"現在値詳細時刻")</f>
        <v>表示銘柄数超過</v>
      </c>
      <c r="E156" s="22" t="str">
        <f>_xll.RssMarket(A156,"前日比")</f>
        <v>表示銘柄数超過</v>
      </c>
      <c r="F156" s="23" t="e">
        <f>_xll.RssMarket(A156,"前日比率")/100</f>
        <v>#VALUE!</v>
      </c>
      <c r="G156" s="24" t="str">
        <f>IFERROR(VLOOKUP(A156,取得元!$A$2:$F$501,2,FALSE),"-")</f>
        <v>-</v>
      </c>
      <c r="H156" s="24" t="str">
        <f>IFERROR(VLOOKUP(A156,取得元!$A$2:$F$501,3,FALSE),"-")</f>
        <v>-</v>
      </c>
      <c r="I156" s="24" t="str">
        <f>IFERROR(VLOOKUP(A156,取得元!$A$2:$F$501,4,FALSE),"-")</f>
        <v>-</v>
      </c>
      <c r="J156" s="5" t="str">
        <f>IFERROR(VLOOKUP(A156,取得元!$A$2:$F$501,5,FALSE),"-")</f>
        <v>-</v>
      </c>
      <c r="K156" s="25" t="str">
        <f>IFERROR(VLOOKUP(A156,取得元!$A$2:$F$501,6,FALSE)/100,"-")</f>
        <v>-</v>
      </c>
      <c r="L156" s="21" t="str">
        <f>_xll.RssMarket(A156,"始値")</f>
        <v>表示銘柄数超過</v>
      </c>
      <c r="M156" s="4" t="e">
        <f t="shared" si="15"/>
        <v>#VALUE!</v>
      </c>
      <c r="N156" s="21" t="str">
        <f>_xll.RssMarket(A156,"高値")</f>
        <v>表示銘柄数超過</v>
      </c>
      <c r="O156" s="4" t="e">
        <f t="shared" si="16"/>
        <v>#VALUE!</v>
      </c>
      <c r="P156" s="21" t="str">
        <f>_xll.RssMarket(A156,"安値")</f>
        <v>表示銘柄数超過</v>
      </c>
      <c r="Q156" s="4" t="e">
        <f t="shared" si="17"/>
        <v>#VALUE!</v>
      </c>
      <c r="R156" s="21" t="str">
        <f>_xll.RssMarket(A156,"後場始値")</f>
        <v>表示銘柄数超過</v>
      </c>
      <c r="S156" s="25" t="str">
        <f t="shared" si="18"/>
        <v>-</v>
      </c>
      <c r="T156" s="7" t="str">
        <f>_xll.RssMarket(A156,"出来高加重平均")</f>
        <v>表示銘柄数超過</v>
      </c>
      <c r="U156" s="4" t="e">
        <f t="shared" si="19"/>
        <v>#VALUE!</v>
      </c>
      <c r="V156" s="21" t="str">
        <f>_xll.RssMarket(A156,"出来高")</f>
        <v>表示銘柄数超過</v>
      </c>
      <c r="W156" s="21" t="str">
        <f>_xll.RssMarket(A156,"売買代金")</f>
        <v>表示銘柄数超過</v>
      </c>
      <c r="X156" s="20" t="str">
        <f>_xll.RssMarket(A156,"決算発表日")</f>
        <v>表示銘柄数超過</v>
      </c>
      <c r="Y156" s="26" t="str">
        <f>IF(C156&gt;_xll.RssMarket(A156,"年初来高値"),"○","×")</f>
        <v>×</v>
      </c>
      <c r="Z156" s="27" t="str">
        <f>IF(C156&lt;=_xll.RssMarket(A156,"年初来安値"),"○","×")</f>
        <v>○</v>
      </c>
    </row>
    <row r="157" spans="1:26" x14ac:dyDescent="0.25">
      <c r="A157" s="49">
        <v>2510</v>
      </c>
      <c r="B157" s="20" t="str">
        <f>_xll.RssMarket(A157,"銘柄名称")</f>
        <v>表示銘柄数超過</v>
      </c>
      <c r="C157" s="21" t="str">
        <f>_xll.RssMarket(A157,"現在値")</f>
        <v>表示銘柄数超過</v>
      </c>
      <c r="D157" s="20" t="str">
        <f>_xll.RssMarket(A157,"現在値詳細時刻")</f>
        <v>表示銘柄数超過</v>
      </c>
      <c r="E157" s="22" t="str">
        <f>_xll.RssMarket(A157,"前日比")</f>
        <v>表示銘柄数超過</v>
      </c>
      <c r="F157" s="23" t="e">
        <f>_xll.RssMarket(A157,"前日比率")/100</f>
        <v>#VALUE!</v>
      </c>
      <c r="G157" s="24" t="str">
        <f>IFERROR(VLOOKUP(A157,取得元!$A$2:$F$501,2,FALSE),"-")</f>
        <v>-</v>
      </c>
      <c r="H157" s="24" t="str">
        <f>IFERROR(VLOOKUP(A157,取得元!$A$2:$F$501,3,FALSE),"-")</f>
        <v>-</v>
      </c>
      <c r="I157" s="24" t="str">
        <f>IFERROR(VLOOKUP(A157,取得元!$A$2:$F$501,4,FALSE),"-")</f>
        <v>-</v>
      </c>
      <c r="J157" s="5" t="str">
        <f>IFERROR(VLOOKUP(A157,取得元!$A$2:$F$501,5,FALSE),"-")</f>
        <v>-</v>
      </c>
      <c r="K157" s="25" t="str">
        <f>IFERROR(VLOOKUP(A157,取得元!$A$2:$F$501,6,FALSE)/100,"-")</f>
        <v>-</v>
      </c>
      <c r="L157" s="21" t="str">
        <f>_xll.RssMarket(A157,"始値")</f>
        <v>表示銘柄数超過</v>
      </c>
      <c r="M157" s="4" t="e">
        <f t="shared" si="15"/>
        <v>#VALUE!</v>
      </c>
      <c r="N157" s="21" t="str">
        <f>_xll.RssMarket(A157,"高値")</f>
        <v>表示銘柄数超過</v>
      </c>
      <c r="O157" s="4" t="e">
        <f t="shared" si="16"/>
        <v>#VALUE!</v>
      </c>
      <c r="P157" s="21" t="str">
        <f>_xll.RssMarket(A157,"安値")</f>
        <v>表示銘柄数超過</v>
      </c>
      <c r="Q157" s="4" t="e">
        <f t="shared" si="17"/>
        <v>#VALUE!</v>
      </c>
      <c r="R157" s="21" t="str">
        <f>_xll.RssMarket(A157,"後場始値")</f>
        <v>表示銘柄数超過</v>
      </c>
      <c r="S157" s="25" t="str">
        <f t="shared" si="18"/>
        <v>-</v>
      </c>
      <c r="T157" s="7" t="str">
        <f>_xll.RssMarket(A157,"出来高加重平均")</f>
        <v>表示銘柄数超過</v>
      </c>
      <c r="U157" s="4" t="e">
        <f t="shared" si="19"/>
        <v>#VALUE!</v>
      </c>
      <c r="V157" s="21" t="str">
        <f>_xll.RssMarket(A157,"出来高")</f>
        <v>表示銘柄数超過</v>
      </c>
      <c r="W157" s="21" t="str">
        <f>_xll.RssMarket(A157,"売買代金")</f>
        <v>表示銘柄数超過</v>
      </c>
      <c r="X157" s="20" t="str">
        <f>_xll.RssMarket(A157,"決算発表日")</f>
        <v>表示銘柄数超過</v>
      </c>
      <c r="Y157" s="26" t="str">
        <f>IF(C157&gt;_xll.RssMarket(A157,"年初来高値"),"○","×")</f>
        <v>×</v>
      </c>
      <c r="Z157" s="27" t="str">
        <f>IF(C157&lt;=_xll.RssMarket(A157,"年初来安値"),"○","×")</f>
        <v>○</v>
      </c>
    </row>
    <row r="158" spans="1:26" x14ac:dyDescent="0.25">
      <c r="A158" s="47">
        <v>2516</v>
      </c>
      <c r="B158" s="20" t="str">
        <f>_xll.RssMarket(A158,"銘柄名称")</f>
        <v>表示銘柄数超過</v>
      </c>
      <c r="C158" s="21" t="str">
        <f>_xll.RssMarket(A158,"現在値")</f>
        <v>表示銘柄数超過</v>
      </c>
      <c r="D158" s="20" t="str">
        <f>_xll.RssMarket(A158,"現在値詳細時刻")</f>
        <v>表示銘柄数超過</v>
      </c>
      <c r="E158" s="22" t="str">
        <f>_xll.RssMarket(A158,"前日比")</f>
        <v>表示銘柄数超過</v>
      </c>
      <c r="F158" s="23" t="e">
        <f>_xll.RssMarket(A158,"前日比率")/100</f>
        <v>#VALUE!</v>
      </c>
      <c r="G158" s="24" t="str">
        <f>IFERROR(VLOOKUP(A158,取得元!$A$2:$F$501,2,FALSE),"-")</f>
        <v>-</v>
      </c>
      <c r="H158" s="24" t="str">
        <f>IFERROR(VLOOKUP(A158,取得元!$A$2:$F$501,3,FALSE),"-")</f>
        <v>-</v>
      </c>
      <c r="I158" s="24" t="str">
        <f>IFERROR(VLOOKUP(A158,取得元!$A$2:$F$501,4,FALSE),"-")</f>
        <v>-</v>
      </c>
      <c r="J158" s="5" t="str">
        <f>IFERROR(VLOOKUP(A158,取得元!$A$2:$F$501,5,FALSE),"-")</f>
        <v>-</v>
      </c>
      <c r="K158" s="25" t="str">
        <f>IFERROR(VLOOKUP(A158,取得元!$A$2:$F$501,6,FALSE)/100,"-")</f>
        <v>-</v>
      </c>
      <c r="L158" s="21" t="str">
        <f>_xll.RssMarket(A158,"始値")</f>
        <v>表示銘柄数超過</v>
      </c>
      <c r="M158" s="4" t="e">
        <f t="shared" si="15"/>
        <v>#VALUE!</v>
      </c>
      <c r="N158" s="21" t="str">
        <f>_xll.RssMarket(A158,"高値")</f>
        <v>表示銘柄数超過</v>
      </c>
      <c r="O158" s="4" t="e">
        <f t="shared" si="16"/>
        <v>#VALUE!</v>
      </c>
      <c r="P158" s="21" t="str">
        <f>_xll.RssMarket(A158,"安値")</f>
        <v>表示銘柄数超過</v>
      </c>
      <c r="Q158" s="4" t="e">
        <f t="shared" si="17"/>
        <v>#VALUE!</v>
      </c>
      <c r="R158" s="21" t="str">
        <f>_xll.RssMarket(A158,"後場始値")</f>
        <v>表示銘柄数超過</v>
      </c>
      <c r="S158" s="25" t="str">
        <f t="shared" si="18"/>
        <v>-</v>
      </c>
      <c r="T158" s="7" t="str">
        <f>_xll.RssMarket(A158,"出来高加重平均")</f>
        <v>表示銘柄数超過</v>
      </c>
      <c r="U158" s="4" t="e">
        <f t="shared" si="19"/>
        <v>#VALUE!</v>
      </c>
      <c r="V158" s="21" t="str">
        <f>_xll.RssMarket(A158,"出来高")</f>
        <v>表示銘柄数超過</v>
      </c>
      <c r="W158" s="21" t="str">
        <f>_xll.RssMarket(A158,"売買代金")</f>
        <v>表示銘柄数超過</v>
      </c>
      <c r="X158" s="20" t="str">
        <f>_xll.RssMarket(A158,"決算発表日")</f>
        <v>表示銘柄数超過</v>
      </c>
      <c r="Y158" s="26" t="str">
        <f>IF(C158&gt;_xll.RssMarket(A158,"年初来高値"),"○","×")</f>
        <v>×</v>
      </c>
      <c r="Z158" s="27" t="str">
        <f>IF(C158&lt;=_xll.RssMarket(A158,"年初来安値"),"○","×")</f>
        <v>○</v>
      </c>
    </row>
    <row r="159" spans="1:26" x14ac:dyDescent="0.25">
      <c r="A159" s="49">
        <v>2518</v>
      </c>
      <c r="B159" s="20" t="str">
        <f>_xll.RssMarket(A159,"銘柄名称")</f>
        <v>表示銘柄数超過</v>
      </c>
      <c r="C159" s="21" t="str">
        <f>_xll.RssMarket(A159,"現在値")</f>
        <v>表示銘柄数超過</v>
      </c>
      <c r="D159" s="20" t="str">
        <f>_xll.RssMarket(A159,"現在値詳細時刻")</f>
        <v>表示銘柄数超過</v>
      </c>
      <c r="E159" s="22" t="str">
        <f>_xll.RssMarket(A159,"前日比")</f>
        <v>表示銘柄数超過</v>
      </c>
      <c r="F159" s="23" t="e">
        <f>_xll.RssMarket(A159,"前日比率")/100</f>
        <v>#VALUE!</v>
      </c>
      <c r="G159" s="24" t="str">
        <f>IFERROR(VLOOKUP(A159,取得元!$A$2:$F$501,2,FALSE),"-")</f>
        <v>-</v>
      </c>
      <c r="H159" s="24" t="str">
        <f>IFERROR(VLOOKUP(A159,取得元!$A$2:$F$501,3,FALSE),"-")</f>
        <v>-</v>
      </c>
      <c r="I159" s="24" t="str">
        <f>IFERROR(VLOOKUP(A159,取得元!$A$2:$F$501,4,FALSE),"-")</f>
        <v>-</v>
      </c>
      <c r="J159" s="5" t="str">
        <f>IFERROR(VLOOKUP(A159,取得元!$A$2:$F$501,5,FALSE),"-")</f>
        <v>-</v>
      </c>
      <c r="K159" s="25" t="str">
        <f>IFERROR(VLOOKUP(A159,取得元!$A$2:$F$501,6,FALSE)/100,"-")</f>
        <v>-</v>
      </c>
      <c r="L159" s="21" t="str">
        <f>_xll.RssMarket(A159,"始値")</f>
        <v>表示銘柄数超過</v>
      </c>
      <c r="M159" s="4" t="e">
        <f t="shared" si="15"/>
        <v>#VALUE!</v>
      </c>
      <c r="N159" s="21" t="str">
        <f>_xll.RssMarket(A159,"高値")</f>
        <v>表示銘柄数超過</v>
      </c>
      <c r="O159" s="4" t="e">
        <f t="shared" si="16"/>
        <v>#VALUE!</v>
      </c>
      <c r="P159" s="21" t="str">
        <f>_xll.RssMarket(A159,"安値")</f>
        <v>表示銘柄数超過</v>
      </c>
      <c r="Q159" s="4" t="e">
        <f t="shared" si="17"/>
        <v>#VALUE!</v>
      </c>
      <c r="R159" s="21" t="str">
        <f>_xll.RssMarket(A159,"後場始値")</f>
        <v>表示銘柄数超過</v>
      </c>
      <c r="S159" s="25" t="str">
        <f t="shared" si="18"/>
        <v>-</v>
      </c>
      <c r="T159" s="7" t="str">
        <f>_xll.RssMarket(A159,"出来高加重平均")</f>
        <v>表示銘柄数超過</v>
      </c>
      <c r="U159" s="4" t="e">
        <f t="shared" si="19"/>
        <v>#VALUE!</v>
      </c>
      <c r="V159" s="21" t="str">
        <f>_xll.RssMarket(A159,"出来高")</f>
        <v>表示銘柄数超過</v>
      </c>
      <c r="W159" s="21" t="str">
        <f>_xll.RssMarket(A159,"売買代金")</f>
        <v>表示銘柄数超過</v>
      </c>
      <c r="X159" s="20" t="str">
        <f>_xll.RssMarket(A159,"決算発表日")</f>
        <v>表示銘柄数超過</v>
      </c>
      <c r="Y159" s="26" t="str">
        <f>IF(C159&gt;_xll.RssMarket(A159,"年初来高値"),"○","×")</f>
        <v>×</v>
      </c>
      <c r="Z159" s="27" t="str">
        <f>IF(C159&lt;=_xll.RssMarket(A159,"年初来安値"),"○","×")</f>
        <v>○</v>
      </c>
    </row>
    <row r="160" spans="1:26" x14ac:dyDescent="0.25">
      <c r="A160" s="47">
        <v>2533</v>
      </c>
      <c r="B160" s="20" t="str">
        <f>_xll.RssMarket(A160,"銘柄名称")</f>
        <v>表示銘柄数超過</v>
      </c>
      <c r="C160" s="21" t="str">
        <f>_xll.RssMarket(A160,"現在値")</f>
        <v>表示銘柄数超過</v>
      </c>
      <c r="D160" s="20" t="str">
        <f>_xll.RssMarket(A160,"現在値詳細時刻")</f>
        <v>表示銘柄数超過</v>
      </c>
      <c r="E160" s="22" t="str">
        <f>_xll.RssMarket(A160,"前日比")</f>
        <v>表示銘柄数超過</v>
      </c>
      <c r="F160" s="23" t="e">
        <f>_xll.RssMarket(A160,"前日比率")/100</f>
        <v>#VALUE!</v>
      </c>
      <c r="G160" s="24" t="str">
        <f>IFERROR(VLOOKUP(A160,取得元!$A$2:$F$501,2,FALSE),"-")</f>
        <v>-</v>
      </c>
      <c r="H160" s="24" t="str">
        <f>IFERROR(VLOOKUP(A160,取得元!$A$2:$F$501,3,FALSE),"-")</f>
        <v>-</v>
      </c>
      <c r="I160" s="24" t="str">
        <f>IFERROR(VLOOKUP(A160,取得元!$A$2:$F$501,4,FALSE),"-")</f>
        <v>-</v>
      </c>
      <c r="J160" s="5" t="str">
        <f>IFERROR(VLOOKUP(A160,取得元!$A$2:$F$501,5,FALSE),"-")</f>
        <v>-</v>
      </c>
      <c r="K160" s="25" t="str">
        <f>IFERROR(VLOOKUP(A160,取得元!$A$2:$F$501,6,FALSE)/100,"-")</f>
        <v>-</v>
      </c>
      <c r="L160" s="21" t="str">
        <f>_xll.RssMarket(A160,"始値")</f>
        <v>表示銘柄数超過</v>
      </c>
      <c r="M160" s="4" t="e">
        <f t="shared" si="15"/>
        <v>#VALUE!</v>
      </c>
      <c r="N160" s="21" t="str">
        <f>_xll.RssMarket(A160,"高値")</f>
        <v>表示銘柄数超過</v>
      </c>
      <c r="O160" s="4" t="e">
        <f t="shared" si="16"/>
        <v>#VALUE!</v>
      </c>
      <c r="P160" s="21" t="str">
        <f>_xll.RssMarket(A160,"安値")</f>
        <v>表示銘柄数超過</v>
      </c>
      <c r="Q160" s="4" t="e">
        <f t="shared" si="17"/>
        <v>#VALUE!</v>
      </c>
      <c r="R160" s="21" t="str">
        <f>_xll.RssMarket(A160,"後場始値")</f>
        <v>表示銘柄数超過</v>
      </c>
      <c r="S160" s="25" t="str">
        <f t="shared" si="18"/>
        <v>-</v>
      </c>
      <c r="T160" s="7" t="str">
        <f>_xll.RssMarket(A160,"出来高加重平均")</f>
        <v>表示銘柄数超過</v>
      </c>
      <c r="U160" s="4" t="e">
        <f t="shared" si="19"/>
        <v>#VALUE!</v>
      </c>
      <c r="V160" s="21" t="str">
        <f>_xll.RssMarket(A160,"出来高")</f>
        <v>表示銘柄数超過</v>
      </c>
      <c r="W160" s="21" t="str">
        <f>_xll.RssMarket(A160,"売買代金")</f>
        <v>表示銘柄数超過</v>
      </c>
      <c r="X160" s="20" t="str">
        <f>_xll.RssMarket(A160,"決算発表日")</f>
        <v>表示銘柄数超過</v>
      </c>
      <c r="Y160" s="26" t="str">
        <f>IF(C160&gt;_xll.RssMarket(A160,"年初来高値"),"○","×")</f>
        <v>×</v>
      </c>
      <c r="Z160" s="27" t="str">
        <f>IF(C160&lt;=_xll.RssMarket(A160,"年初来安値"),"○","×")</f>
        <v>○</v>
      </c>
    </row>
    <row r="161" spans="1:26" x14ac:dyDescent="0.25">
      <c r="A161" s="49">
        <v>2563</v>
      </c>
      <c r="B161" s="20" t="str">
        <f>_xll.RssMarket(A161,"銘柄名称")</f>
        <v>表示銘柄数超過</v>
      </c>
      <c r="C161" s="21" t="str">
        <f>_xll.RssMarket(A161,"現在値")</f>
        <v>表示銘柄数超過</v>
      </c>
      <c r="D161" s="20" t="str">
        <f>_xll.RssMarket(A161,"現在値詳細時刻")</f>
        <v>表示銘柄数超過</v>
      </c>
      <c r="E161" s="22" t="str">
        <f>_xll.RssMarket(A161,"前日比")</f>
        <v>表示銘柄数超過</v>
      </c>
      <c r="F161" s="23" t="e">
        <f>_xll.RssMarket(A161,"前日比率")/100</f>
        <v>#VALUE!</v>
      </c>
      <c r="G161" s="24" t="str">
        <f>IFERROR(VLOOKUP(A161,取得元!$A$2:$F$501,2,FALSE),"-")</f>
        <v>-</v>
      </c>
      <c r="H161" s="24" t="str">
        <f>IFERROR(VLOOKUP(A161,取得元!$A$2:$F$501,3,FALSE),"-")</f>
        <v>-</v>
      </c>
      <c r="I161" s="24" t="str">
        <f>IFERROR(VLOOKUP(A161,取得元!$A$2:$F$501,4,FALSE),"-")</f>
        <v>-</v>
      </c>
      <c r="J161" s="5" t="str">
        <f>IFERROR(VLOOKUP(A161,取得元!$A$2:$F$501,5,FALSE),"-")</f>
        <v>-</v>
      </c>
      <c r="K161" s="25" t="str">
        <f>IFERROR(VLOOKUP(A161,取得元!$A$2:$F$501,6,FALSE)/100,"-")</f>
        <v>-</v>
      </c>
      <c r="L161" s="21" t="str">
        <f>_xll.RssMarket(A161,"始値")</f>
        <v>表示銘柄数超過</v>
      </c>
      <c r="M161" s="4" t="e">
        <f t="shared" si="15"/>
        <v>#VALUE!</v>
      </c>
      <c r="N161" s="21" t="str">
        <f>_xll.RssMarket(A161,"高値")</f>
        <v>表示銘柄数超過</v>
      </c>
      <c r="O161" s="4" t="e">
        <f t="shared" si="16"/>
        <v>#VALUE!</v>
      </c>
      <c r="P161" s="21" t="str">
        <f>_xll.RssMarket(A161,"安値")</f>
        <v>表示銘柄数超過</v>
      </c>
      <c r="Q161" s="4" t="e">
        <f t="shared" si="17"/>
        <v>#VALUE!</v>
      </c>
      <c r="R161" s="21" t="str">
        <f>_xll.RssMarket(A161,"後場始値")</f>
        <v>表示銘柄数超過</v>
      </c>
      <c r="S161" s="25" t="str">
        <f t="shared" si="18"/>
        <v>-</v>
      </c>
      <c r="T161" s="7" t="str">
        <f>_xll.RssMarket(A161,"出来高加重平均")</f>
        <v>表示銘柄数超過</v>
      </c>
      <c r="U161" s="4" t="e">
        <f t="shared" si="19"/>
        <v>#VALUE!</v>
      </c>
      <c r="V161" s="21" t="str">
        <f>_xll.RssMarket(A161,"出来高")</f>
        <v>表示銘柄数超過</v>
      </c>
      <c r="W161" s="21" t="str">
        <f>_xll.RssMarket(A161,"売買代金")</f>
        <v>表示銘柄数超過</v>
      </c>
      <c r="X161" s="20" t="str">
        <f>_xll.RssMarket(A161,"決算発表日")</f>
        <v>表示銘柄数超過</v>
      </c>
      <c r="Y161" s="26" t="str">
        <f>IF(C161&gt;_xll.RssMarket(A161,"年初来高値"),"○","×")</f>
        <v>×</v>
      </c>
      <c r="Z161" s="27" t="str">
        <f>IF(C161&lt;=_xll.RssMarket(A161,"年初来安値"),"○","×")</f>
        <v>○</v>
      </c>
    </row>
    <row r="162" spans="1:26" x14ac:dyDescent="0.25">
      <c r="A162" s="47">
        <v>2567</v>
      </c>
      <c r="B162" s="20" t="str">
        <f>_xll.RssMarket(A162,"銘柄名称")</f>
        <v>表示銘柄数超過</v>
      </c>
      <c r="C162" s="21" t="str">
        <f>_xll.RssMarket(A162,"現在値")</f>
        <v>表示銘柄数超過</v>
      </c>
      <c r="D162" s="20" t="str">
        <f>_xll.RssMarket(A162,"現在値詳細時刻")</f>
        <v>表示銘柄数超過</v>
      </c>
      <c r="E162" s="22" t="str">
        <f>_xll.RssMarket(A162,"前日比")</f>
        <v>表示銘柄数超過</v>
      </c>
      <c r="F162" s="23" t="e">
        <f>_xll.RssMarket(A162,"前日比率")/100</f>
        <v>#VALUE!</v>
      </c>
      <c r="G162" s="24" t="str">
        <f>IFERROR(VLOOKUP(A162,取得元!$A$2:$F$501,2,FALSE),"-")</f>
        <v>-</v>
      </c>
      <c r="H162" s="24" t="str">
        <f>IFERROR(VLOOKUP(A162,取得元!$A$2:$F$501,3,FALSE),"-")</f>
        <v>-</v>
      </c>
      <c r="I162" s="24" t="str">
        <f>IFERROR(VLOOKUP(A162,取得元!$A$2:$F$501,4,FALSE),"-")</f>
        <v>-</v>
      </c>
      <c r="J162" s="5" t="str">
        <f>IFERROR(VLOOKUP(A162,取得元!$A$2:$F$501,5,FALSE),"-")</f>
        <v>-</v>
      </c>
      <c r="K162" s="25" t="str">
        <f>IFERROR(VLOOKUP(A162,取得元!$A$2:$F$501,6,FALSE)/100,"-")</f>
        <v>-</v>
      </c>
      <c r="L162" s="21" t="str">
        <f>_xll.RssMarket(A162,"始値")</f>
        <v>表示銘柄数超過</v>
      </c>
      <c r="M162" s="4" t="e">
        <f t="shared" si="15"/>
        <v>#VALUE!</v>
      </c>
      <c r="N162" s="21" t="str">
        <f>_xll.RssMarket(A162,"高値")</f>
        <v>表示銘柄数超過</v>
      </c>
      <c r="O162" s="4" t="e">
        <f t="shared" si="16"/>
        <v>#VALUE!</v>
      </c>
      <c r="P162" s="21" t="str">
        <f>_xll.RssMarket(A162,"安値")</f>
        <v>表示銘柄数超過</v>
      </c>
      <c r="Q162" s="4" t="e">
        <f t="shared" si="17"/>
        <v>#VALUE!</v>
      </c>
      <c r="R162" s="21" t="str">
        <f>_xll.RssMarket(A162,"後場始値")</f>
        <v>表示銘柄数超過</v>
      </c>
      <c r="S162" s="25" t="str">
        <f t="shared" si="18"/>
        <v>-</v>
      </c>
      <c r="T162" s="7" t="str">
        <f>_xll.RssMarket(A162,"出来高加重平均")</f>
        <v>表示銘柄数超過</v>
      </c>
      <c r="U162" s="4" t="e">
        <f t="shared" si="19"/>
        <v>#VALUE!</v>
      </c>
      <c r="V162" s="21" t="str">
        <f>_xll.RssMarket(A162,"出来高")</f>
        <v>表示銘柄数超過</v>
      </c>
      <c r="W162" s="21" t="str">
        <f>_xll.RssMarket(A162,"売買代金")</f>
        <v>表示銘柄数超過</v>
      </c>
      <c r="X162" s="20" t="str">
        <f>_xll.RssMarket(A162,"決算発表日")</f>
        <v>表示銘柄数超過</v>
      </c>
      <c r="Y162" s="26" t="str">
        <f>IF(C162&gt;_xll.RssMarket(A162,"年初来高値"),"○","×")</f>
        <v>×</v>
      </c>
      <c r="Z162" s="27" t="str">
        <f>IF(C162&lt;=_xll.RssMarket(A162,"年初来安値"),"○","×")</f>
        <v>○</v>
      </c>
    </row>
    <row r="163" spans="1:26" x14ac:dyDescent="0.25">
      <c r="A163" s="49">
        <v>2579</v>
      </c>
      <c r="B163" s="20" t="str">
        <f>_xll.RssMarket(A163,"銘柄名称")</f>
        <v>表示銘柄数超過</v>
      </c>
      <c r="C163" s="21" t="str">
        <f>_xll.RssMarket(A163,"現在値")</f>
        <v>表示銘柄数超過</v>
      </c>
      <c r="D163" s="20" t="str">
        <f>_xll.RssMarket(A163,"現在値詳細時刻")</f>
        <v>表示銘柄数超過</v>
      </c>
      <c r="E163" s="22" t="str">
        <f>_xll.RssMarket(A163,"前日比")</f>
        <v>表示銘柄数超過</v>
      </c>
      <c r="F163" s="23" t="e">
        <f>_xll.RssMarket(A163,"前日比率")/100</f>
        <v>#VALUE!</v>
      </c>
      <c r="G163" s="24" t="str">
        <f>IFERROR(VLOOKUP(A163,取得元!$A$2:$F$501,2,FALSE),"-")</f>
        <v>-</v>
      </c>
      <c r="H163" s="24" t="str">
        <f>IFERROR(VLOOKUP(A163,取得元!$A$2:$F$501,3,FALSE),"-")</f>
        <v>-</v>
      </c>
      <c r="I163" s="24" t="str">
        <f>IFERROR(VLOOKUP(A163,取得元!$A$2:$F$501,4,FALSE),"-")</f>
        <v>-</v>
      </c>
      <c r="J163" s="5" t="str">
        <f>IFERROR(VLOOKUP(A163,取得元!$A$2:$F$501,5,FALSE),"-")</f>
        <v>-</v>
      </c>
      <c r="K163" s="25" t="str">
        <f>IFERROR(VLOOKUP(A163,取得元!$A$2:$F$501,6,FALSE)/100,"-")</f>
        <v>-</v>
      </c>
      <c r="L163" s="21" t="str">
        <f>_xll.RssMarket(A163,"始値")</f>
        <v>表示銘柄数超過</v>
      </c>
      <c r="M163" s="4" t="e">
        <f t="shared" si="15"/>
        <v>#VALUE!</v>
      </c>
      <c r="N163" s="21" t="str">
        <f>_xll.RssMarket(A163,"高値")</f>
        <v>表示銘柄数超過</v>
      </c>
      <c r="O163" s="4" t="e">
        <f t="shared" si="16"/>
        <v>#VALUE!</v>
      </c>
      <c r="P163" s="21" t="str">
        <f>_xll.RssMarket(A163,"安値")</f>
        <v>表示銘柄数超過</v>
      </c>
      <c r="Q163" s="4" t="e">
        <f t="shared" si="17"/>
        <v>#VALUE!</v>
      </c>
      <c r="R163" s="21" t="str">
        <f>_xll.RssMarket(A163,"後場始値")</f>
        <v>表示銘柄数超過</v>
      </c>
      <c r="S163" s="25" t="str">
        <f t="shared" si="18"/>
        <v>-</v>
      </c>
      <c r="T163" s="7" t="str">
        <f>_xll.RssMarket(A163,"出来高加重平均")</f>
        <v>表示銘柄数超過</v>
      </c>
      <c r="U163" s="4" t="e">
        <f t="shared" si="19"/>
        <v>#VALUE!</v>
      </c>
      <c r="V163" s="21" t="str">
        <f>_xll.RssMarket(A163,"出来高")</f>
        <v>表示銘柄数超過</v>
      </c>
      <c r="W163" s="21" t="str">
        <f>_xll.RssMarket(A163,"売買代金")</f>
        <v>表示銘柄数超過</v>
      </c>
      <c r="X163" s="20" t="str">
        <f>_xll.RssMarket(A163,"決算発表日")</f>
        <v>表示銘柄数超過</v>
      </c>
      <c r="Y163" s="26" t="str">
        <f>IF(C163&gt;_xll.RssMarket(A163,"年初来高値"),"○","×")</f>
        <v>×</v>
      </c>
      <c r="Z163" s="27" t="str">
        <f>IF(C163&lt;=_xll.RssMarket(A163,"年初来安値"),"○","×")</f>
        <v>○</v>
      </c>
    </row>
    <row r="164" spans="1:26" x14ac:dyDescent="0.25">
      <c r="A164" s="47">
        <v>2585</v>
      </c>
      <c r="B164" s="20" t="str">
        <f>_xll.RssMarket(A164,"銘柄名称")</f>
        <v>表示銘柄数超過</v>
      </c>
      <c r="C164" s="21" t="str">
        <f>_xll.RssMarket(A164,"現在値")</f>
        <v>表示銘柄数超過</v>
      </c>
      <c r="D164" s="20" t="str">
        <f>_xll.RssMarket(A164,"現在値詳細時刻")</f>
        <v>表示銘柄数超過</v>
      </c>
      <c r="E164" s="22" t="str">
        <f>_xll.RssMarket(A164,"前日比")</f>
        <v>表示銘柄数超過</v>
      </c>
      <c r="F164" s="23" t="e">
        <f>_xll.RssMarket(A164,"前日比率")/100</f>
        <v>#VALUE!</v>
      </c>
      <c r="G164" s="24" t="str">
        <f>IFERROR(VLOOKUP(A164,取得元!$A$2:$F$501,2,FALSE),"-")</f>
        <v>-</v>
      </c>
      <c r="H164" s="24" t="str">
        <f>IFERROR(VLOOKUP(A164,取得元!$A$2:$F$501,3,FALSE),"-")</f>
        <v>-</v>
      </c>
      <c r="I164" s="24" t="str">
        <f>IFERROR(VLOOKUP(A164,取得元!$A$2:$F$501,4,FALSE),"-")</f>
        <v>-</v>
      </c>
      <c r="J164" s="5" t="str">
        <f>IFERROR(VLOOKUP(A164,取得元!$A$2:$F$501,5,FALSE),"-")</f>
        <v>-</v>
      </c>
      <c r="K164" s="25" t="str">
        <f>IFERROR(VLOOKUP(A164,取得元!$A$2:$F$501,6,FALSE)/100,"-")</f>
        <v>-</v>
      </c>
      <c r="L164" s="21" t="str">
        <f>_xll.RssMarket(A164,"始値")</f>
        <v>表示銘柄数超過</v>
      </c>
      <c r="M164" s="4" t="e">
        <f t="shared" si="15"/>
        <v>#VALUE!</v>
      </c>
      <c r="N164" s="21" t="str">
        <f>_xll.RssMarket(A164,"高値")</f>
        <v>表示銘柄数超過</v>
      </c>
      <c r="O164" s="4" t="e">
        <f t="shared" si="16"/>
        <v>#VALUE!</v>
      </c>
      <c r="P164" s="21" t="str">
        <f>_xll.RssMarket(A164,"安値")</f>
        <v>表示銘柄数超過</v>
      </c>
      <c r="Q164" s="4" t="e">
        <f t="shared" si="17"/>
        <v>#VALUE!</v>
      </c>
      <c r="R164" s="21" t="str">
        <f>_xll.RssMarket(A164,"後場始値")</f>
        <v>表示銘柄数超過</v>
      </c>
      <c r="S164" s="25" t="str">
        <f t="shared" si="18"/>
        <v>-</v>
      </c>
      <c r="T164" s="7" t="str">
        <f>_xll.RssMarket(A164,"出来高加重平均")</f>
        <v>表示銘柄数超過</v>
      </c>
      <c r="U164" s="4" t="e">
        <f t="shared" si="19"/>
        <v>#VALUE!</v>
      </c>
      <c r="V164" s="21" t="str">
        <f>_xll.RssMarket(A164,"出来高")</f>
        <v>表示銘柄数超過</v>
      </c>
      <c r="W164" s="21" t="str">
        <f>_xll.RssMarket(A164,"売買代金")</f>
        <v>表示銘柄数超過</v>
      </c>
      <c r="X164" s="20" t="str">
        <f>_xll.RssMarket(A164,"決算発表日")</f>
        <v>表示銘柄数超過</v>
      </c>
      <c r="Y164" s="26" t="str">
        <f>IF(C164&gt;_xll.RssMarket(A164,"年初来高値"),"○","×")</f>
        <v>×</v>
      </c>
      <c r="Z164" s="27" t="str">
        <f>IF(C164&lt;=_xll.RssMarket(A164,"年初来安値"),"○","×")</f>
        <v>○</v>
      </c>
    </row>
    <row r="165" spans="1:26" x14ac:dyDescent="0.25">
      <c r="A165" s="49">
        <v>2586</v>
      </c>
      <c r="B165" s="20" t="str">
        <f>_xll.RssMarket(A165,"銘柄名称")</f>
        <v>表示銘柄数超過</v>
      </c>
      <c r="C165" s="21" t="str">
        <f>_xll.RssMarket(A165,"現在値")</f>
        <v>表示銘柄数超過</v>
      </c>
      <c r="D165" s="20" t="str">
        <f>_xll.RssMarket(A165,"現在値詳細時刻")</f>
        <v>表示銘柄数超過</v>
      </c>
      <c r="E165" s="22" t="str">
        <f>_xll.RssMarket(A165,"前日比")</f>
        <v>表示銘柄数超過</v>
      </c>
      <c r="F165" s="23" t="e">
        <f>_xll.RssMarket(A165,"前日比率")/100</f>
        <v>#VALUE!</v>
      </c>
      <c r="G165" s="24" t="str">
        <f>IFERROR(VLOOKUP(A165,取得元!$A$2:$F$501,2,FALSE),"-")</f>
        <v>-</v>
      </c>
      <c r="H165" s="24" t="str">
        <f>IFERROR(VLOOKUP(A165,取得元!$A$2:$F$501,3,FALSE),"-")</f>
        <v>-</v>
      </c>
      <c r="I165" s="24" t="str">
        <f>IFERROR(VLOOKUP(A165,取得元!$A$2:$F$501,4,FALSE),"-")</f>
        <v>-</v>
      </c>
      <c r="J165" s="5" t="str">
        <f>IFERROR(VLOOKUP(A165,取得元!$A$2:$F$501,5,FALSE),"-")</f>
        <v>-</v>
      </c>
      <c r="K165" s="25" t="str">
        <f>IFERROR(VLOOKUP(A165,取得元!$A$2:$F$501,6,FALSE)/100,"-")</f>
        <v>-</v>
      </c>
      <c r="L165" s="21" t="str">
        <f>_xll.RssMarket(A165,"始値")</f>
        <v>表示銘柄数超過</v>
      </c>
      <c r="M165" s="4" t="e">
        <f t="shared" si="15"/>
        <v>#VALUE!</v>
      </c>
      <c r="N165" s="21" t="str">
        <f>_xll.RssMarket(A165,"高値")</f>
        <v>表示銘柄数超過</v>
      </c>
      <c r="O165" s="4" t="e">
        <f t="shared" si="16"/>
        <v>#VALUE!</v>
      </c>
      <c r="P165" s="21" t="str">
        <f>_xll.RssMarket(A165,"安値")</f>
        <v>表示銘柄数超過</v>
      </c>
      <c r="Q165" s="4" t="e">
        <f t="shared" si="17"/>
        <v>#VALUE!</v>
      </c>
      <c r="R165" s="21" t="str">
        <f>_xll.RssMarket(A165,"後場始値")</f>
        <v>表示銘柄数超過</v>
      </c>
      <c r="S165" s="25" t="str">
        <f t="shared" si="18"/>
        <v>-</v>
      </c>
      <c r="T165" s="7" t="str">
        <f>_xll.RssMarket(A165,"出来高加重平均")</f>
        <v>表示銘柄数超過</v>
      </c>
      <c r="U165" s="4" t="e">
        <f t="shared" si="19"/>
        <v>#VALUE!</v>
      </c>
      <c r="V165" s="21" t="str">
        <f>_xll.RssMarket(A165,"出来高")</f>
        <v>表示銘柄数超過</v>
      </c>
      <c r="W165" s="21" t="str">
        <f>_xll.RssMarket(A165,"売買代金")</f>
        <v>表示銘柄数超過</v>
      </c>
      <c r="X165" s="20" t="str">
        <f>_xll.RssMarket(A165,"決算発表日")</f>
        <v>表示銘柄数超過</v>
      </c>
      <c r="Y165" s="26" t="str">
        <f>IF(C165&gt;_xll.RssMarket(A165,"年初来高値"),"○","×")</f>
        <v>×</v>
      </c>
      <c r="Z165" s="27" t="str">
        <f>IF(C165&lt;=_xll.RssMarket(A165,"年初来安値"),"○","×")</f>
        <v>○</v>
      </c>
    </row>
    <row r="166" spans="1:26" x14ac:dyDescent="0.25">
      <c r="A166" s="47">
        <v>2587</v>
      </c>
      <c r="B166" s="20" t="str">
        <f>_xll.RssMarket(A166,"銘柄名称")</f>
        <v>表示銘柄数超過</v>
      </c>
      <c r="C166" s="21" t="str">
        <f>_xll.RssMarket(A166,"現在値")</f>
        <v>表示銘柄数超過</v>
      </c>
      <c r="D166" s="20" t="str">
        <f>_xll.RssMarket(A166,"現在値詳細時刻")</f>
        <v>表示銘柄数超過</v>
      </c>
      <c r="E166" s="22" t="str">
        <f>_xll.RssMarket(A166,"前日比")</f>
        <v>表示銘柄数超過</v>
      </c>
      <c r="F166" s="23" t="e">
        <f>_xll.RssMarket(A166,"前日比率")/100</f>
        <v>#VALUE!</v>
      </c>
      <c r="G166" s="24" t="str">
        <f>IFERROR(VLOOKUP(A166,取得元!$A$2:$F$501,2,FALSE),"-")</f>
        <v>-</v>
      </c>
      <c r="H166" s="24" t="str">
        <f>IFERROR(VLOOKUP(A166,取得元!$A$2:$F$501,3,FALSE),"-")</f>
        <v>-</v>
      </c>
      <c r="I166" s="24" t="str">
        <f>IFERROR(VLOOKUP(A166,取得元!$A$2:$F$501,4,FALSE),"-")</f>
        <v>-</v>
      </c>
      <c r="J166" s="5" t="str">
        <f>IFERROR(VLOOKUP(A166,取得元!$A$2:$F$501,5,FALSE),"-")</f>
        <v>-</v>
      </c>
      <c r="K166" s="25" t="str">
        <f>IFERROR(VLOOKUP(A166,取得元!$A$2:$F$501,6,FALSE)/100,"-")</f>
        <v>-</v>
      </c>
      <c r="L166" s="21" t="str">
        <f>_xll.RssMarket(A166,"始値")</f>
        <v>表示銘柄数超過</v>
      </c>
      <c r="M166" s="4" t="e">
        <f t="shared" si="15"/>
        <v>#VALUE!</v>
      </c>
      <c r="N166" s="21" t="str">
        <f>_xll.RssMarket(A166,"高値")</f>
        <v>表示銘柄数超過</v>
      </c>
      <c r="O166" s="4" t="e">
        <f t="shared" si="16"/>
        <v>#VALUE!</v>
      </c>
      <c r="P166" s="21" t="str">
        <f>_xll.RssMarket(A166,"安値")</f>
        <v>表示銘柄数超過</v>
      </c>
      <c r="Q166" s="4" t="e">
        <f t="shared" si="17"/>
        <v>#VALUE!</v>
      </c>
      <c r="R166" s="21" t="str">
        <f>_xll.RssMarket(A166,"後場始値")</f>
        <v>表示銘柄数超過</v>
      </c>
      <c r="S166" s="25" t="str">
        <f t="shared" si="18"/>
        <v>-</v>
      </c>
      <c r="T166" s="7" t="str">
        <f>_xll.RssMarket(A166,"出来高加重平均")</f>
        <v>表示銘柄数超過</v>
      </c>
      <c r="U166" s="4" t="e">
        <f t="shared" si="19"/>
        <v>#VALUE!</v>
      </c>
      <c r="V166" s="21" t="str">
        <f>_xll.RssMarket(A166,"出来高")</f>
        <v>表示銘柄数超過</v>
      </c>
      <c r="W166" s="21" t="str">
        <f>_xll.RssMarket(A166,"売買代金")</f>
        <v>表示銘柄数超過</v>
      </c>
      <c r="X166" s="20" t="str">
        <f>_xll.RssMarket(A166,"決算発表日")</f>
        <v>表示銘柄数超過</v>
      </c>
      <c r="Y166" s="26" t="str">
        <f>IF(C166&gt;_xll.RssMarket(A166,"年初来高値"),"○","×")</f>
        <v>×</v>
      </c>
      <c r="Z166" s="27" t="str">
        <f>IF(C166&lt;=_xll.RssMarket(A166,"年初来安値"),"○","×")</f>
        <v>○</v>
      </c>
    </row>
    <row r="167" spans="1:26" x14ac:dyDescent="0.25">
      <c r="A167" s="49">
        <v>25935</v>
      </c>
      <c r="B167" s="20" t="str">
        <f>_xll.RssMarket(A167,"銘柄名称")</f>
        <v>表示銘柄数超過</v>
      </c>
      <c r="C167" s="21" t="str">
        <f>_xll.RssMarket(A167,"現在値")</f>
        <v>表示銘柄数超過</v>
      </c>
      <c r="D167" s="20" t="str">
        <f>_xll.RssMarket(A167,"現在値詳細時刻")</f>
        <v>表示銘柄数超過</v>
      </c>
      <c r="E167" s="22" t="str">
        <f>_xll.RssMarket(A167,"前日比")</f>
        <v>表示銘柄数超過</v>
      </c>
      <c r="F167" s="23" t="e">
        <f>_xll.RssMarket(A167,"前日比率")/100</f>
        <v>#VALUE!</v>
      </c>
      <c r="G167" s="24" t="str">
        <f>IFERROR(VLOOKUP(A167,取得元!$A$2:$F$501,2,FALSE),"-")</f>
        <v>-</v>
      </c>
      <c r="H167" s="24" t="str">
        <f>IFERROR(VLOOKUP(A167,取得元!$A$2:$F$501,3,FALSE),"-")</f>
        <v>-</v>
      </c>
      <c r="I167" s="24" t="str">
        <f>IFERROR(VLOOKUP(A167,取得元!$A$2:$F$501,4,FALSE),"-")</f>
        <v>-</v>
      </c>
      <c r="J167" s="5" t="str">
        <f>IFERROR(VLOOKUP(A167,取得元!$A$2:$F$501,5,FALSE),"-")</f>
        <v>-</v>
      </c>
      <c r="K167" s="25" t="str">
        <f>IFERROR(VLOOKUP(A167,取得元!$A$2:$F$501,6,FALSE)/100,"-")</f>
        <v>-</v>
      </c>
      <c r="L167" s="21" t="str">
        <f>_xll.RssMarket(A167,"始値")</f>
        <v>表示銘柄数超過</v>
      </c>
      <c r="M167" s="4" t="e">
        <f t="shared" si="15"/>
        <v>#VALUE!</v>
      </c>
      <c r="N167" s="21" t="str">
        <f>_xll.RssMarket(A167,"高値")</f>
        <v>表示銘柄数超過</v>
      </c>
      <c r="O167" s="4" t="e">
        <f t="shared" si="16"/>
        <v>#VALUE!</v>
      </c>
      <c r="P167" s="21" t="str">
        <f>_xll.RssMarket(A167,"安値")</f>
        <v>表示銘柄数超過</v>
      </c>
      <c r="Q167" s="4" t="e">
        <f t="shared" si="17"/>
        <v>#VALUE!</v>
      </c>
      <c r="R167" s="21" t="str">
        <f>_xll.RssMarket(A167,"後場始値")</f>
        <v>表示銘柄数超過</v>
      </c>
      <c r="S167" s="25" t="str">
        <f t="shared" si="18"/>
        <v>-</v>
      </c>
      <c r="T167" s="7" t="str">
        <f>_xll.RssMarket(A167,"出来高加重平均")</f>
        <v>表示銘柄数超過</v>
      </c>
      <c r="U167" s="4" t="e">
        <f t="shared" si="19"/>
        <v>#VALUE!</v>
      </c>
      <c r="V167" s="21" t="str">
        <f>_xll.RssMarket(A167,"出来高")</f>
        <v>表示銘柄数超過</v>
      </c>
      <c r="W167" s="21" t="str">
        <f>_xll.RssMarket(A167,"売買代金")</f>
        <v>表示銘柄数超過</v>
      </c>
      <c r="X167" s="20" t="str">
        <f>_xll.RssMarket(A167,"決算発表日")</f>
        <v>表示銘柄数超過</v>
      </c>
      <c r="Y167" s="26" t="str">
        <f>IF(C167&gt;_xll.RssMarket(A167,"年初来高値"),"○","×")</f>
        <v>×</v>
      </c>
      <c r="Z167" s="27" t="str">
        <f>IF(C167&lt;=_xll.RssMarket(A167,"年初来安値"),"○","×")</f>
        <v>○</v>
      </c>
    </row>
    <row r="168" spans="1:26" x14ac:dyDescent="0.25">
      <c r="A168" s="47">
        <v>2597</v>
      </c>
      <c r="B168" s="20" t="str">
        <f>_xll.RssMarket(A168,"銘柄名称")</f>
        <v>表示銘柄数超過</v>
      </c>
      <c r="C168" s="21" t="str">
        <f>_xll.RssMarket(A168,"現在値")</f>
        <v>表示銘柄数超過</v>
      </c>
      <c r="D168" s="20" t="str">
        <f>_xll.RssMarket(A168,"現在値詳細時刻")</f>
        <v>表示銘柄数超過</v>
      </c>
      <c r="E168" s="22" t="str">
        <f>_xll.RssMarket(A168,"前日比")</f>
        <v>表示銘柄数超過</v>
      </c>
      <c r="F168" s="23" t="e">
        <f>_xll.RssMarket(A168,"前日比率")/100</f>
        <v>#VALUE!</v>
      </c>
      <c r="G168" s="24" t="str">
        <f>IFERROR(VLOOKUP(A168,取得元!$A$2:$F$501,2,FALSE),"-")</f>
        <v>-</v>
      </c>
      <c r="H168" s="24" t="str">
        <f>IFERROR(VLOOKUP(A168,取得元!$A$2:$F$501,3,FALSE),"-")</f>
        <v>-</v>
      </c>
      <c r="I168" s="24" t="str">
        <f>IFERROR(VLOOKUP(A168,取得元!$A$2:$F$501,4,FALSE),"-")</f>
        <v>-</v>
      </c>
      <c r="J168" s="5" t="str">
        <f>IFERROR(VLOOKUP(A168,取得元!$A$2:$F$501,5,FALSE),"-")</f>
        <v>-</v>
      </c>
      <c r="K168" s="25" t="str">
        <f>IFERROR(VLOOKUP(A168,取得元!$A$2:$F$501,6,FALSE)/100,"-")</f>
        <v>-</v>
      </c>
      <c r="L168" s="21" t="str">
        <f>_xll.RssMarket(A168,"始値")</f>
        <v>表示銘柄数超過</v>
      </c>
      <c r="M168" s="4" t="e">
        <f t="shared" si="15"/>
        <v>#VALUE!</v>
      </c>
      <c r="N168" s="21" t="str">
        <f>_xll.RssMarket(A168,"高値")</f>
        <v>表示銘柄数超過</v>
      </c>
      <c r="O168" s="4" t="e">
        <f t="shared" si="16"/>
        <v>#VALUE!</v>
      </c>
      <c r="P168" s="21" t="str">
        <f>_xll.RssMarket(A168,"安値")</f>
        <v>表示銘柄数超過</v>
      </c>
      <c r="Q168" s="4" t="e">
        <f t="shared" si="17"/>
        <v>#VALUE!</v>
      </c>
      <c r="R168" s="21" t="str">
        <f>_xll.RssMarket(A168,"後場始値")</f>
        <v>表示銘柄数超過</v>
      </c>
      <c r="S168" s="25" t="str">
        <f t="shared" si="18"/>
        <v>-</v>
      </c>
      <c r="T168" s="7" t="str">
        <f>_xll.RssMarket(A168,"出来高加重平均")</f>
        <v>表示銘柄数超過</v>
      </c>
      <c r="U168" s="4" t="e">
        <f t="shared" si="19"/>
        <v>#VALUE!</v>
      </c>
      <c r="V168" s="21" t="str">
        <f>_xll.RssMarket(A168,"出来高")</f>
        <v>表示銘柄数超過</v>
      </c>
      <c r="W168" s="21" t="str">
        <f>_xll.RssMarket(A168,"売買代金")</f>
        <v>表示銘柄数超過</v>
      </c>
      <c r="X168" s="20" t="str">
        <f>_xll.RssMarket(A168,"決算発表日")</f>
        <v>表示銘柄数超過</v>
      </c>
      <c r="Y168" s="26" t="str">
        <f>IF(C168&gt;_xll.RssMarket(A168,"年初来高値"),"○","×")</f>
        <v>×</v>
      </c>
      <c r="Z168" s="27" t="str">
        <f>IF(C168&lt;=_xll.RssMarket(A168,"年初来安値"),"○","×")</f>
        <v>○</v>
      </c>
    </row>
    <row r="169" spans="1:26" x14ac:dyDescent="0.25">
      <c r="A169" s="49">
        <v>2620</v>
      </c>
      <c r="B169" s="20" t="str">
        <f>_xll.RssMarket(A169,"銘柄名称")</f>
        <v>表示銘柄数超過</v>
      </c>
      <c r="C169" s="21" t="str">
        <f>_xll.RssMarket(A169,"現在値")</f>
        <v>表示銘柄数超過</v>
      </c>
      <c r="D169" s="20" t="str">
        <f>_xll.RssMarket(A169,"現在値詳細時刻")</f>
        <v>表示銘柄数超過</v>
      </c>
      <c r="E169" s="22" t="str">
        <f>_xll.RssMarket(A169,"前日比")</f>
        <v>表示銘柄数超過</v>
      </c>
      <c r="F169" s="23" t="e">
        <f>_xll.RssMarket(A169,"前日比率")/100</f>
        <v>#VALUE!</v>
      </c>
      <c r="G169" s="24" t="str">
        <f>IFERROR(VLOOKUP(A169,取得元!$A$2:$F$501,2,FALSE),"-")</f>
        <v>-</v>
      </c>
      <c r="H169" s="24" t="str">
        <f>IFERROR(VLOOKUP(A169,取得元!$A$2:$F$501,3,FALSE),"-")</f>
        <v>-</v>
      </c>
      <c r="I169" s="24" t="str">
        <f>IFERROR(VLOOKUP(A169,取得元!$A$2:$F$501,4,FALSE),"-")</f>
        <v>-</v>
      </c>
      <c r="J169" s="5" t="str">
        <f>IFERROR(VLOOKUP(A169,取得元!$A$2:$F$501,5,FALSE),"-")</f>
        <v>-</v>
      </c>
      <c r="K169" s="25" t="str">
        <f>IFERROR(VLOOKUP(A169,取得元!$A$2:$F$501,6,FALSE)/100,"-")</f>
        <v>-</v>
      </c>
      <c r="L169" s="21" t="str">
        <f>_xll.RssMarket(A169,"始値")</f>
        <v>表示銘柄数超過</v>
      </c>
      <c r="M169" s="4" t="e">
        <f t="shared" si="15"/>
        <v>#VALUE!</v>
      </c>
      <c r="N169" s="21" t="str">
        <f>_xll.RssMarket(A169,"高値")</f>
        <v>表示銘柄数超過</v>
      </c>
      <c r="O169" s="4" t="e">
        <f t="shared" si="16"/>
        <v>#VALUE!</v>
      </c>
      <c r="P169" s="21" t="str">
        <f>_xll.RssMarket(A169,"安値")</f>
        <v>表示銘柄数超過</v>
      </c>
      <c r="Q169" s="4" t="e">
        <f t="shared" si="17"/>
        <v>#VALUE!</v>
      </c>
      <c r="R169" s="21" t="str">
        <f>_xll.RssMarket(A169,"後場始値")</f>
        <v>表示銘柄数超過</v>
      </c>
      <c r="S169" s="25" t="str">
        <f t="shared" si="18"/>
        <v>-</v>
      </c>
      <c r="T169" s="7" t="str">
        <f>_xll.RssMarket(A169,"出来高加重平均")</f>
        <v>表示銘柄数超過</v>
      </c>
      <c r="U169" s="4" t="e">
        <f t="shared" si="19"/>
        <v>#VALUE!</v>
      </c>
      <c r="V169" s="21" t="str">
        <f>_xll.RssMarket(A169,"出来高")</f>
        <v>表示銘柄数超過</v>
      </c>
      <c r="W169" s="21" t="str">
        <f>_xll.RssMarket(A169,"売買代金")</f>
        <v>表示銘柄数超過</v>
      </c>
      <c r="X169" s="20" t="str">
        <f>_xll.RssMarket(A169,"決算発表日")</f>
        <v>表示銘柄数超過</v>
      </c>
      <c r="Y169" s="26" t="str">
        <f>IF(C169&gt;_xll.RssMarket(A169,"年初来高値"),"○","×")</f>
        <v>×</v>
      </c>
      <c r="Z169" s="27" t="str">
        <f>IF(C169&lt;=_xll.RssMarket(A169,"年初来安値"),"○","×")</f>
        <v>○</v>
      </c>
    </row>
    <row r="170" spans="1:26" x14ac:dyDescent="0.25">
      <c r="A170" s="47">
        <v>2621</v>
      </c>
      <c r="B170" s="20" t="str">
        <f>_xll.RssMarket(A170,"銘柄名称")</f>
        <v>表示銘柄数超過</v>
      </c>
      <c r="C170" s="21" t="str">
        <f>_xll.RssMarket(A170,"現在値")</f>
        <v>表示銘柄数超過</v>
      </c>
      <c r="D170" s="20" t="str">
        <f>_xll.RssMarket(A170,"現在値詳細時刻")</f>
        <v>表示銘柄数超過</v>
      </c>
      <c r="E170" s="22" t="str">
        <f>_xll.RssMarket(A170,"前日比")</f>
        <v>表示銘柄数超過</v>
      </c>
      <c r="F170" s="23" t="e">
        <f>_xll.RssMarket(A170,"前日比率")/100</f>
        <v>#VALUE!</v>
      </c>
      <c r="G170" s="24" t="str">
        <f>IFERROR(VLOOKUP(A170,取得元!$A$2:$F$501,2,FALSE),"-")</f>
        <v>-</v>
      </c>
      <c r="H170" s="24" t="str">
        <f>IFERROR(VLOOKUP(A170,取得元!$A$2:$F$501,3,FALSE),"-")</f>
        <v>-</v>
      </c>
      <c r="I170" s="24" t="str">
        <f>IFERROR(VLOOKUP(A170,取得元!$A$2:$F$501,4,FALSE),"-")</f>
        <v>-</v>
      </c>
      <c r="J170" s="5" t="str">
        <f>IFERROR(VLOOKUP(A170,取得元!$A$2:$F$501,5,FALSE),"-")</f>
        <v>-</v>
      </c>
      <c r="K170" s="25" t="str">
        <f>IFERROR(VLOOKUP(A170,取得元!$A$2:$F$501,6,FALSE)/100,"-")</f>
        <v>-</v>
      </c>
      <c r="L170" s="21" t="str">
        <f>_xll.RssMarket(A170,"始値")</f>
        <v>表示銘柄数超過</v>
      </c>
      <c r="M170" s="4" t="e">
        <f t="shared" si="15"/>
        <v>#VALUE!</v>
      </c>
      <c r="N170" s="21" t="str">
        <f>_xll.RssMarket(A170,"高値")</f>
        <v>表示銘柄数超過</v>
      </c>
      <c r="O170" s="4" t="e">
        <f t="shared" si="16"/>
        <v>#VALUE!</v>
      </c>
      <c r="P170" s="21" t="str">
        <f>_xll.RssMarket(A170,"安値")</f>
        <v>表示銘柄数超過</v>
      </c>
      <c r="Q170" s="4" t="e">
        <f t="shared" si="17"/>
        <v>#VALUE!</v>
      </c>
      <c r="R170" s="21" t="str">
        <f>_xll.RssMarket(A170,"後場始値")</f>
        <v>表示銘柄数超過</v>
      </c>
      <c r="S170" s="25" t="str">
        <f t="shared" si="18"/>
        <v>-</v>
      </c>
      <c r="T170" s="7" t="str">
        <f>_xll.RssMarket(A170,"出来高加重平均")</f>
        <v>表示銘柄数超過</v>
      </c>
      <c r="U170" s="4" t="e">
        <f t="shared" si="19"/>
        <v>#VALUE!</v>
      </c>
      <c r="V170" s="21" t="str">
        <f>_xll.RssMarket(A170,"出来高")</f>
        <v>表示銘柄数超過</v>
      </c>
      <c r="W170" s="21" t="str">
        <f>_xll.RssMarket(A170,"売買代金")</f>
        <v>表示銘柄数超過</v>
      </c>
      <c r="X170" s="20" t="str">
        <f>_xll.RssMarket(A170,"決算発表日")</f>
        <v>表示銘柄数超過</v>
      </c>
      <c r="Y170" s="26" t="str">
        <f>IF(C170&gt;_xll.RssMarket(A170,"年初来高値"),"○","×")</f>
        <v>×</v>
      </c>
      <c r="Z170" s="27" t="str">
        <f>IF(C170&lt;=_xll.RssMarket(A170,"年初来安値"),"○","×")</f>
        <v>○</v>
      </c>
    </row>
    <row r="171" spans="1:26" x14ac:dyDescent="0.25">
      <c r="A171" s="49">
        <v>2624</v>
      </c>
      <c r="B171" s="20" t="str">
        <f>_xll.RssMarket(A171,"銘柄名称")</f>
        <v>表示銘柄数超過</v>
      </c>
      <c r="C171" s="21" t="str">
        <f>_xll.RssMarket(A171,"現在値")</f>
        <v>表示銘柄数超過</v>
      </c>
      <c r="D171" s="20" t="str">
        <f>_xll.RssMarket(A171,"現在値詳細時刻")</f>
        <v>表示銘柄数超過</v>
      </c>
      <c r="E171" s="22" t="str">
        <f>_xll.RssMarket(A171,"前日比")</f>
        <v>表示銘柄数超過</v>
      </c>
      <c r="F171" s="23" t="e">
        <f>_xll.RssMarket(A171,"前日比率")/100</f>
        <v>#VALUE!</v>
      </c>
      <c r="G171" s="24" t="str">
        <f>IFERROR(VLOOKUP(A171,取得元!$A$2:$F$501,2,FALSE),"-")</f>
        <v>-</v>
      </c>
      <c r="H171" s="24" t="str">
        <f>IFERROR(VLOOKUP(A171,取得元!$A$2:$F$501,3,FALSE),"-")</f>
        <v>-</v>
      </c>
      <c r="I171" s="24" t="str">
        <f>IFERROR(VLOOKUP(A171,取得元!$A$2:$F$501,4,FALSE),"-")</f>
        <v>-</v>
      </c>
      <c r="J171" s="5" t="str">
        <f>IFERROR(VLOOKUP(A171,取得元!$A$2:$F$501,5,FALSE),"-")</f>
        <v>-</v>
      </c>
      <c r="K171" s="25" t="str">
        <f>IFERROR(VLOOKUP(A171,取得元!$A$2:$F$501,6,FALSE)/100,"-")</f>
        <v>-</v>
      </c>
      <c r="L171" s="21" t="str">
        <f>_xll.RssMarket(A171,"始値")</f>
        <v>表示銘柄数超過</v>
      </c>
      <c r="M171" s="4" t="e">
        <f t="shared" si="15"/>
        <v>#VALUE!</v>
      </c>
      <c r="N171" s="21" t="str">
        <f>_xll.RssMarket(A171,"高値")</f>
        <v>表示銘柄数超過</v>
      </c>
      <c r="O171" s="4" t="e">
        <f t="shared" si="16"/>
        <v>#VALUE!</v>
      </c>
      <c r="P171" s="21" t="str">
        <f>_xll.RssMarket(A171,"安値")</f>
        <v>表示銘柄数超過</v>
      </c>
      <c r="Q171" s="4" t="e">
        <f t="shared" si="17"/>
        <v>#VALUE!</v>
      </c>
      <c r="R171" s="21" t="str">
        <f>_xll.RssMarket(A171,"後場始値")</f>
        <v>表示銘柄数超過</v>
      </c>
      <c r="S171" s="25" t="str">
        <f t="shared" si="18"/>
        <v>-</v>
      </c>
      <c r="T171" s="7" t="str">
        <f>_xll.RssMarket(A171,"出来高加重平均")</f>
        <v>表示銘柄数超過</v>
      </c>
      <c r="U171" s="4" t="e">
        <f t="shared" si="19"/>
        <v>#VALUE!</v>
      </c>
      <c r="V171" s="21" t="str">
        <f>_xll.RssMarket(A171,"出来高")</f>
        <v>表示銘柄数超過</v>
      </c>
      <c r="W171" s="21" t="str">
        <f>_xll.RssMarket(A171,"売買代金")</f>
        <v>表示銘柄数超過</v>
      </c>
      <c r="X171" s="20" t="str">
        <f>_xll.RssMarket(A171,"決算発表日")</f>
        <v>表示銘柄数超過</v>
      </c>
      <c r="Y171" s="26" t="str">
        <f>IF(C171&gt;_xll.RssMarket(A171,"年初来高値"),"○","×")</f>
        <v>×</v>
      </c>
      <c r="Z171" s="27" t="str">
        <f>IF(C171&lt;=_xll.RssMarket(A171,"年初来安値"),"○","×")</f>
        <v>○</v>
      </c>
    </row>
    <row r="172" spans="1:26" x14ac:dyDescent="0.25">
      <c r="A172" s="47">
        <v>2633</v>
      </c>
      <c r="B172" s="20" t="str">
        <f>_xll.RssMarket(A172,"銘柄名称")</f>
        <v>表示銘柄数超過</v>
      </c>
      <c r="C172" s="21" t="str">
        <f>_xll.RssMarket(A172,"現在値")</f>
        <v>表示銘柄数超過</v>
      </c>
      <c r="D172" s="20" t="str">
        <f>_xll.RssMarket(A172,"現在値詳細時刻")</f>
        <v>表示銘柄数超過</v>
      </c>
      <c r="E172" s="22" t="str">
        <f>_xll.RssMarket(A172,"前日比")</f>
        <v>表示銘柄数超過</v>
      </c>
      <c r="F172" s="23" t="e">
        <f>_xll.RssMarket(A172,"前日比率")/100</f>
        <v>#VALUE!</v>
      </c>
      <c r="G172" s="24" t="str">
        <f>IFERROR(VLOOKUP(A172,取得元!$A$2:$F$501,2,FALSE),"-")</f>
        <v>-</v>
      </c>
      <c r="H172" s="24" t="str">
        <f>IFERROR(VLOOKUP(A172,取得元!$A$2:$F$501,3,FALSE),"-")</f>
        <v>-</v>
      </c>
      <c r="I172" s="24" t="str">
        <f>IFERROR(VLOOKUP(A172,取得元!$A$2:$F$501,4,FALSE),"-")</f>
        <v>-</v>
      </c>
      <c r="J172" s="5" t="str">
        <f>IFERROR(VLOOKUP(A172,取得元!$A$2:$F$501,5,FALSE),"-")</f>
        <v>-</v>
      </c>
      <c r="K172" s="25" t="str">
        <f>IFERROR(VLOOKUP(A172,取得元!$A$2:$F$501,6,FALSE)/100,"-")</f>
        <v>-</v>
      </c>
      <c r="L172" s="21" t="str">
        <f>_xll.RssMarket(A172,"始値")</f>
        <v>表示銘柄数超過</v>
      </c>
      <c r="M172" s="4" t="e">
        <f t="shared" si="15"/>
        <v>#VALUE!</v>
      </c>
      <c r="N172" s="21" t="str">
        <f>_xll.RssMarket(A172,"高値")</f>
        <v>表示銘柄数超過</v>
      </c>
      <c r="O172" s="4" t="e">
        <f t="shared" si="16"/>
        <v>#VALUE!</v>
      </c>
      <c r="P172" s="21" t="str">
        <f>_xll.RssMarket(A172,"安値")</f>
        <v>表示銘柄数超過</v>
      </c>
      <c r="Q172" s="4" t="e">
        <f t="shared" si="17"/>
        <v>#VALUE!</v>
      </c>
      <c r="R172" s="21" t="str">
        <f>_xll.RssMarket(A172,"後場始値")</f>
        <v>表示銘柄数超過</v>
      </c>
      <c r="S172" s="25" t="str">
        <f t="shared" si="18"/>
        <v>-</v>
      </c>
      <c r="T172" s="7" t="str">
        <f>_xll.RssMarket(A172,"出来高加重平均")</f>
        <v>表示銘柄数超過</v>
      </c>
      <c r="U172" s="4" t="e">
        <f t="shared" si="19"/>
        <v>#VALUE!</v>
      </c>
      <c r="V172" s="21" t="str">
        <f>_xll.RssMarket(A172,"出来高")</f>
        <v>表示銘柄数超過</v>
      </c>
      <c r="W172" s="21" t="str">
        <f>_xll.RssMarket(A172,"売買代金")</f>
        <v>表示銘柄数超過</v>
      </c>
      <c r="X172" s="20" t="str">
        <f>_xll.RssMarket(A172,"決算発表日")</f>
        <v>表示銘柄数超過</v>
      </c>
      <c r="Y172" s="26" t="str">
        <f>IF(C172&gt;_xll.RssMarket(A172,"年初来高値"),"○","×")</f>
        <v>×</v>
      </c>
      <c r="Z172" s="27" t="str">
        <f>IF(C172&lt;=_xll.RssMarket(A172,"年初来安値"),"○","×")</f>
        <v>○</v>
      </c>
    </row>
    <row r="173" spans="1:26" x14ac:dyDescent="0.25">
      <c r="A173" s="49">
        <v>2634</v>
      </c>
      <c r="B173" s="20" t="str">
        <f>_xll.RssMarket(A173,"銘柄名称")</f>
        <v>表示銘柄数超過</v>
      </c>
      <c r="C173" s="21" t="str">
        <f>_xll.RssMarket(A173,"現在値")</f>
        <v>表示銘柄数超過</v>
      </c>
      <c r="D173" s="20" t="str">
        <f>_xll.RssMarket(A173,"現在値詳細時刻")</f>
        <v>表示銘柄数超過</v>
      </c>
      <c r="E173" s="22" t="str">
        <f>_xll.RssMarket(A173,"前日比")</f>
        <v>表示銘柄数超過</v>
      </c>
      <c r="F173" s="23" t="e">
        <f>_xll.RssMarket(A173,"前日比率")/100</f>
        <v>#VALUE!</v>
      </c>
      <c r="G173" s="24" t="str">
        <f>IFERROR(VLOOKUP(A173,取得元!$A$2:$F$501,2,FALSE),"-")</f>
        <v>-</v>
      </c>
      <c r="H173" s="24" t="str">
        <f>IFERROR(VLOOKUP(A173,取得元!$A$2:$F$501,3,FALSE),"-")</f>
        <v>-</v>
      </c>
      <c r="I173" s="24" t="str">
        <f>IFERROR(VLOOKUP(A173,取得元!$A$2:$F$501,4,FALSE),"-")</f>
        <v>-</v>
      </c>
      <c r="J173" s="5" t="str">
        <f>IFERROR(VLOOKUP(A173,取得元!$A$2:$F$501,5,FALSE),"-")</f>
        <v>-</v>
      </c>
      <c r="K173" s="25" t="str">
        <f>IFERROR(VLOOKUP(A173,取得元!$A$2:$F$501,6,FALSE)/100,"-")</f>
        <v>-</v>
      </c>
      <c r="L173" s="21" t="str">
        <f>_xll.RssMarket(A173,"始値")</f>
        <v>表示銘柄数超過</v>
      </c>
      <c r="M173" s="4" t="e">
        <f t="shared" si="15"/>
        <v>#VALUE!</v>
      </c>
      <c r="N173" s="21" t="str">
        <f>_xll.RssMarket(A173,"高値")</f>
        <v>表示銘柄数超過</v>
      </c>
      <c r="O173" s="4" t="e">
        <f t="shared" si="16"/>
        <v>#VALUE!</v>
      </c>
      <c r="P173" s="21" t="str">
        <f>_xll.RssMarket(A173,"安値")</f>
        <v>表示銘柄数超過</v>
      </c>
      <c r="Q173" s="4" t="e">
        <f t="shared" si="17"/>
        <v>#VALUE!</v>
      </c>
      <c r="R173" s="21" t="str">
        <f>_xll.RssMarket(A173,"後場始値")</f>
        <v>表示銘柄数超過</v>
      </c>
      <c r="S173" s="25" t="str">
        <f t="shared" si="18"/>
        <v>-</v>
      </c>
      <c r="T173" s="7" t="str">
        <f>_xll.RssMarket(A173,"出来高加重平均")</f>
        <v>表示銘柄数超過</v>
      </c>
      <c r="U173" s="4" t="e">
        <f t="shared" si="19"/>
        <v>#VALUE!</v>
      </c>
      <c r="V173" s="21" t="str">
        <f>_xll.RssMarket(A173,"出来高")</f>
        <v>表示銘柄数超過</v>
      </c>
      <c r="W173" s="21" t="str">
        <f>_xll.RssMarket(A173,"売買代金")</f>
        <v>表示銘柄数超過</v>
      </c>
      <c r="X173" s="20" t="str">
        <f>_xll.RssMarket(A173,"決算発表日")</f>
        <v>表示銘柄数超過</v>
      </c>
      <c r="Y173" s="26" t="str">
        <f>IF(C173&gt;_xll.RssMarket(A173,"年初来高値"),"○","×")</f>
        <v>×</v>
      </c>
      <c r="Z173" s="27" t="str">
        <f>IF(C173&lt;=_xll.RssMarket(A173,"年初来安値"),"○","×")</f>
        <v>○</v>
      </c>
    </row>
    <row r="174" spans="1:26" x14ac:dyDescent="0.25">
      <c r="A174" s="47">
        <v>2635</v>
      </c>
      <c r="B174" s="20" t="str">
        <f>_xll.RssMarket(A174,"銘柄名称")</f>
        <v>表示銘柄数超過</v>
      </c>
      <c r="C174" s="21" t="str">
        <f>_xll.RssMarket(A174,"現在値")</f>
        <v>表示銘柄数超過</v>
      </c>
      <c r="D174" s="20" t="str">
        <f>_xll.RssMarket(A174,"現在値詳細時刻")</f>
        <v>表示銘柄数超過</v>
      </c>
      <c r="E174" s="22" t="str">
        <f>_xll.RssMarket(A174,"前日比")</f>
        <v>表示銘柄数超過</v>
      </c>
      <c r="F174" s="23" t="e">
        <f>_xll.RssMarket(A174,"前日比率")/100</f>
        <v>#VALUE!</v>
      </c>
      <c r="G174" s="24" t="str">
        <f>IFERROR(VLOOKUP(A174,取得元!$A$2:$F$501,2,FALSE),"-")</f>
        <v>-</v>
      </c>
      <c r="H174" s="24" t="str">
        <f>IFERROR(VLOOKUP(A174,取得元!$A$2:$F$501,3,FALSE),"-")</f>
        <v>-</v>
      </c>
      <c r="I174" s="24" t="str">
        <f>IFERROR(VLOOKUP(A174,取得元!$A$2:$F$501,4,FALSE),"-")</f>
        <v>-</v>
      </c>
      <c r="J174" s="5" t="str">
        <f>IFERROR(VLOOKUP(A174,取得元!$A$2:$F$501,5,FALSE),"-")</f>
        <v>-</v>
      </c>
      <c r="K174" s="25" t="str">
        <f>IFERROR(VLOOKUP(A174,取得元!$A$2:$F$501,6,FALSE)/100,"-")</f>
        <v>-</v>
      </c>
      <c r="L174" s="21" t="str">
        <f>_xll.RssMarket(A174,"始値")</f>
        <v>表示銘柄数超過</v>
      </c>
      <c r="M174" s="4" t="e">
        <f t="shared" si="15"/>
        <v>#VALUE!</v>
      </c>
      <c r="N174" s="21" t="str">
        <f>_xll.RssMarket(A174,"高値")</f>
        <v>表示銘柄数超過</v>
      </c>
      <c r="O174" s="4" t="e">
        <f t="shared" si="16"/>
        <v>#VALUE!</v>
      </c>
      <c r="P174" s="21" t="str">
        <f>_xll.RssMarket(A174,"安値")</f>
        <v>表示銘柄数超過</v>
      </c>
      <c r="Q174" s="4" t="e">
        <f t="shared" si="17"/>
        <v>#VALUE!</v>
      </c>
      <c r="R174" s="21" t="str">
        <f>_xll.RssMarket(A174,"後場始値")</f>
        <v>表示銘柄数超過</v>
      </c>
      <c r="S174" s="25" t="str">
        <f t="shared" si="18"/>
        <v>-</v>
      </c>
      <c r="T174" s="7" t="str">
        <f>_xll.RssMarket(A174,"出来高加重平均")</f>
        <v>表示銘柄数超過</v>
      </c>
      <c r="U174" s="4" t="e">
        <f t="shared" si="19"/>
        <v>#VALUE!</v>
      </c>
      <c r="V174" s="21" t="str">
        <f>_xll.RssMarket(A174,"出来高")</f>
        <v>表示銘柄数超過</v>
      </c>
      <c r="W174" s="21" t="str">
        <f>_xll.RssMarket(A174,"売買代金")</f>
        <v>表示銘柄数超過</v>
      </c>
      <c r="X174" s="20" t="str">
        <f>_xll.RssMarket(A174,"決算発表日")</f>
        <v>表示銘柄数超過</v>
      </c>
      <c r="Y174" s="26" t="str">
        <f>IF(C174&gt;_xll.RssMarket(A174,"年初来高値"),"○","×")</f>
        <v>×</v>
      </c>
      <c r="Z174" s="27" t="str">
        <f>IF(C174&lt;=_xll.RssMarket(A174,"年初来安値"),"○","×")</f>
        <v>○</v>
      </c>
    </row>
    <row r="175" spans="1:26" x14ac:dyDescent="0.25">
      <c r="A175" s="49">
        <v>2651</v>
      </c>
      <c r="B175" s="20" t="str">
        <f>_xll.RssMarket(A175,"銘柄名称")</f>
        <v>表示銘柄数超過</v>
      </c>
      <c r="C175" s="21" t="str">
        <f>_xll.RssMarket(A175,"現在値")</f>
        <v>表示銘柄数超過</v>
      </c>
      <c r="D175" s="20" t="str">
        <f>_xll.RssMarket(A175,"現在値詳細時刻")</f>
        <v>表示銘柄数超過</v>
      </c>
      <c r="E175" s="22" t="str">
        <f>_xll.RssMarket(A175,"前日比")</f>
        <v>表示銘柄数超過</v>
      </c>
      <c r="F175" s="23" t="e">
        <f>_xll.RssMarket(A175,"前日比率")/100</f>
        <v>#VALUE!</v>
      </c>
      <c r="G175" s="24" t="str">
        <f>IFERROR(VLOOKUP(A175,取得元!$A$2:$F$501,2,FALSE),"-")</f>
        <v>-</v>
      </c>
      <c r="H175" s="24" t="str">
        <f>IFERROR(VLOOKUP(A175,取得元!$A$2:$F$501,3,FALSE),"-")</f>
        <v>-</v>
      </c>
      <c r="I175" s="24" t="str">
        <f>IFERROR(VLOOKUP(A175,取得元!$A$2:$F$501,4,FALSE),"-")</f>
        <v>-</v>
      </c>
      <c r="J175" s="5" t="str">
        <f>IFERROR(VLOOKUP(A175,取得元!$A$2:$F$501,5,FALSE),"-")</f>
        <v>-</v>
      </c>
      <c r="K175" s="25" t="str">
        <f>IFERROR(VLOOKUP(A175,取得元!$A$2:$F$501,6,FALSE)/100,"-")</f>
        <v>-</v>
      </c>
      <c r="L175" s="21" t="str">
        <f>_xll.RssMarket(A175,"始値")</f>
        <v>表示銘柄数超過</v>
      </c>
      <c r="M175" s="4" t="e">
        <f t="shared" si="15"/>
        <v>#VALUE!</v>
      </c>
      <c r="N175" s="21" t="str">
        <f>_xll.RssMarket(A175,"高値")</f>
        <v>表示銘柄数超過</v>
      </c>
      <c r="O175" s="4" t="e">
        <f t="shared" si="16"/>
        <v>#VALUE!</v>
      </c>
      <c r="P175" s="21" t="str">
        <f>_xll.RssMarket(A175,"安値")</f>
        <v>表示銘柄数超過</v>
      </c>
      <c r="Q175" s="4" t="e">
        <f t="shared" si="17"/>
        <v>#VALUE!</v>
      </c>
      <c r="R175" s="21" t="str">
        <f>_xll.RssMarket(A175,"後場始値")</f>
        <v>表示銘柄数超過</v>
      </c>
      <c r="S175" s="25" t="str">
        <f t="shared" si="18"/>
        <v>-</v>
      </c>
      <c r="T175" s="7" t="str">
        <f>_xll.RssMarket(A175,"出来高加重平均")</f>
        <v>表示銘柄数超過</v>
      </c>
      <c r="U175" s="4" t="e">
        <f t="shared" si="19"/>
        <v>#VALUE!</v>
      </c>
      <c r="V175" s="21" t="str">
        <f>_xll.RssMarket(A175,"出来高")</f>
        <v>表示銘柄数超過</v>
      </c>
      <c r="W175" s="21" t="str">
        <f>_xll.RssMarket(A175,"売買代金")</f>
        <v>表示銘柄数超過</v>
      </c>
      <c r="X175" s="20" t="str">
        <f>_xll.RssMarket(A175,"決算発表日")</f>
        <v>表示銘柄数超過</v>
      </c>
      <c r="Y175" s="26" t="str">
        <f>IF(C175&gt;_xll.RssMarket(A175,"年初来高値"),"○","×")</f>
        <v>×</v>
      </c>
      <c r="Z175" s="27" t="str">
        <f>IF(C175&lt;=_xll.RssMarket(A175,"年初来安値"),"○","×")</f>
        <v>○</v>
      </c>
    </row>
    <row r="176" spans="1:26" x14ac:dyDescent="0.25">
      <c r="A176" s="47">
        <v>2656</v>
      </c>
      <c r="B176" s="20" t="str">
        <f>_xll.RssMarket(A176,"銘柄名称")</f>
        <v>表示銘柄数超過</v>
      </c>
      <c r="C176" s="21" t="str">
        <f>_xll.RssMarket(A176,"現在値")</f>
        <v>表示銘柄数超過</v>
      </c>
      <c r="D176" s="20" t="str">
        <f>_xll.RssMarket(A176,"現在値詳細時刻")</f>
        <v>表示銘柄数超過</v>
      </c>
      <c r="E176" s="22" t="str">
        <f>_xll.RssMarket(A176,"前日比")</f>
        <v>表示銘柄数超過</v>
      </c>
      <c r="F176" s="23" t="e">
        <f>_xll.RssMarket(A176,"前日比率")/100</f>
        <v>#VALUE!</v>
      </c>
      <c r="G176" s="24" t="str">
        <f>IFERROR(VLOOKUP(A176,取得元!$A$2:$F$501,2,FALSE),"-")</f>
        <v>-</v>
      </c>
      <c r="H176" s="24" t="str">
        <f>IFERROR(VLOOKUP(A176,取得元!$A$2:$F$501,3,FALSE),"-")</f>
        <v>-</v>
      </c>
      <c r="I176" s="24" t="str">
        <f>IFERROR(VLOOKUP(A176,取得元!$A$2:$F$501,4,FALSE),"-")</f>
        <v>-</v>
      </c>
      <c r="J176" s="5" t="str">
        <f>IFERROR(VLOOKUP(A176,取得元!$A$2:$F$501,5,FALSE),"-")</f>
        <v>-</v>
      </c>
      <c r="K176" s="25" t="str">
        <f>IFERROR(VLOOKUP(A176,取得元!$A$2:$F$501,6,FALSE)/100,"-")</f>
        <v>-</v>
      </c>
      <c r="L176" s="21" t="str">
        <f>_xll.RssMarket(A176,"始値")</f>
        <v>表示銘柄数超過</v>
      </c>
      <c r="M176" s="4" t="e">
        <f t="shared" si="15"/>
        <v>#VALUE!</v>
      </c>
      <c r="N176" s="21" t="str">
        <f>_xll.RssMarket(A176,"高値")</f>
        <v>表示銘柄数超過</v>
      </c>
      <c r="O176" s="4" t="e">
        <f t="shared" si="16"/>
        <v>#VALUE!</v>
      </c>
      <c r="P176" s="21" t="str">
        <f>_xll.RssMarket(A176,"安値")</f>
        <v>表示銘柄数超過</v>
      </c>
      <c r="Q176" s="4" t="e">
        <f t="shared" si="17"/>
        <v>#VALUE!</v>
      </c>
      <c r="R176" s="21" t="str">
        <f>_xll.RssMarket(A176,"後場始値")</f>
        <v>表示銘柄数超過</v>
      </c>
      <c r="S176" s="25" t="str">
        <f t="shared" si="18"/>
        <v>-</v>
      </c>
      <c r="T176" s="7" t="str">
        <f>_xll.RssMarket(A176,"出来高加重平均")</f>
        <v>表示銘柄数超過</v>
      </c>
      <c r="U176" s="4" t="e">
        <f t="shared" si="19"/>
        <v>#VALUE!</v>
      </c>
      <c r="V176" s="21" t="str">
        <f>_xll.RssMarket(A176,"出来高")</f>
        <v>表示銘柄数超過</v>
      </c>
      <c r="W176" s="21" t="str">
        <f>_xll.RssMarket(A176,"売買代金")</f>
        <v>表示銘柄数超過</v>
      </c>
      <c r="X176" s="20" t="str">
        <f>_xll.RssMarket(A176,"決算発表日")</f>
        <v>表示銘柄数超過</v>
      </c>
      <c r="Y176" s="26" t="str">
        <f>IF(C176&gt;_xll.RssMarket(A176,"年初来高値"),"○","×")</f>
        <v>×</v>
      </c>
      <c r="Z176" s="27" t="str">
        <f>IF(C176&lt;=_xll.RssMarket(A176,"年初来安値"),"○","×")</f>
        <v>○</v>
      </c>
    </row>
    <row r="177" spans="1:26" x14ac:dyDescent="0.25">
      <c r="A177" s="49">
        <v>2666</v>
      </c>
      <c r="B177" s="20" t="str">
        <f>_xll.RssMarket(A177,"銘柄名称")</f>
        <v>表示銘柄数超過</v>
      </c>
      <c r="C177" s="21" t="str">
        <f>_xll.RssMarket(A177,"現在値")</f>
        <v>表示銘柄数超過</v>
      </c>
      <c r="D177" s="20" t="str">
        <f>_xll.RssMarket(A177,"現在値詳細時刻")</f>
        <v>表示銘柄数超過</v>
      </c>
      <c r="E177" s="22" t="str">
        <f>_xll.RssMarket(A177,"前日比")</f>
        <v>表示銘柄数超過</v>
      </c>
      <c r="F177" s="23" t="e">
        <f>_xll.RssMarket(A177,"前日比率")/100</f>
        <v>#VALUE!</v>
      </c>
      <c r="G177" s="24" t="str">
        <f>IFERROR(VLOOKUP(A177,取得元!$A$2:$F$501,2,FALSE),"-")</f>
        <v>-</v>
      </c>
      <c r="H177" s="24" t="str">
        <f>IFERROR(VLOOKUP(A177,取得元!$A$2:$F$501,3,FALSE),"-")</f>
        <v>-</v>
      </c>
      <c r="I177" s="24" t="str">
        <f>IFERROR(VLOOKUP(A177,取得元!$A$2:$F$501,4,FALSE),"-")</f>
        <v>-</v>
      </c>
      <c r="J177" s="5" t="str">
        <f>IFERROR(VLOOKUP(A177,取得元!$A$2:$F$501,5,FALSE),"-")</f>
        <v>-</v>
      </c>
      <c r="K177" s="25" t="str">
        <f>IFERROR(VLOOKUP(A177,取得元!$A$2:$F$501,6,FALSE)/100,"-")</f>
        <v>-</v>
      </c>
      <c r="L177" s="21" t="str">
        <f>_xll.RssMarket(A177,"始値")</f>
        <v>表示銘柄数超過</v>
      </c>
      <c r="M177" s="4" t="e">
        <f t="shared" si="15"/>
        <v>#VALUE!</v>
      </c>
      <c r="N177" s="21" t="str">
        <f>_xll.RssMarket(A177,"高値")</f>
        <v>表示銘柄数超過</v>
      </c>
      <c r="O177" s="4" t="e">
        <f t="shared" si="16"/>
        <v>#VALUE!</v>
      </c>
      <c r="P177" s="21" t="str">
        <f>_xll.RssMarket(A177,"安値")</f>
        <v>表示銘柄数超過</v>
      </c>
      <c r="Q177" s="4" t="e">
        <f t="shared" si="17"/>
        <v>#VALUE!</v>
      </c>
      <c r="R177" s="21" t="str">
        <f>_xll.RssMarket(A177,"後場始値")</f>
        <v>表示銘柄数超過</v>
      </c>
      <c r="S177" s="25" t="str">
        <f t="shared" si="18"/>
        <v>-</v>
      </c>
      <c r="T177" s="7" t="str">
        <f>_xll.RssMarket(A177,"出来高加重平均")</f>
        <v>表示銘柄数超過</v>
      </c>
      <c r="U177" s="4" t="e">
        <f t="shared" si="19"/>
        <v>#VALUE!</v>
      </c>
      <c r="V177" s="21" t="str">
        <f>_xll.RssMarket(A177,"出来高")</f>
        <v>表示銘柄数超過</v>
      </c>
      <c r="W177" s="21" t="str">
        <f>_xll.RssMarket(A177,"売買代金")</f>
        <v>表示銘柄数超過</v>
      </c>
      <c r="X177" s="20" t="str">
        <f>_xll.RssMarket(A177,"決算発表日")</f>
        <v>表示銘柄数超過</v>
      </c>
      <c r="Y177" s="26" t="str">
        <f>IF(C177&gt;_xll.RssMarket(A177,"年初来高値"),"○","×")</f>
        <v>×</v>
      </c>
      <c r="Z177" s="27" t="str">
        <f>IF(C177&lt;=_xll.RssMarket(A177,"年初来安値"),"○","×")</f>
        <v>○</v>
      </c>
    </row>
    <row r="178" spans="1:26" x14ac:dyDescent="0.25">
      <c r="A178" s="47">
        <v>2667</v>
      </c>
      <c r="B178" s="20" t="str">
        <f>_xll.RssMarket(A178,"銘柄名称")</f>
        <v>表示銘柄数超過</v>
      </c>
      <c r="C178" s="21" t="str">
        <f>_xll.RssMarket(A178,"現在値")</f>
        <v>表示銘柄数超過</v>
      </c>
      <c r="D178" s="20" t="str">
        <f>_xll.RssMarket(A178,"現在値詳細時刻")</f>
        <v>表示銘柄数超過</v>
      </c>
      <c r="E178" s="22" t="str">
        <f>_xll.RssMarket(A178,"前日比")</f>
        <v>表示銘柄数超過</v>
      </c>
      <c r="F178" s="23" t="e">
        <f>_xll.RssMarket(A178,"前日比率")/100</f>
        <v>#VALUE!</v>
      </c>
      <c r="G178" s="24" t="str">
        <f>IFERROR(VLOOKUP(A178,取得元!$A$2:$F$501,2,FALSE),"-")</f>
        <v>-</v>
      </c>
      <c r="H178" s="24" t="str">
        <f>IFERROR(VLOOKUP(A178,取得元!$A$2:$F$501,3,FALSE),"-")</f>
        <v>-</v>
      </c>
      <c r="I178" s="24" t="str">
        <f>IFERROR(VLOOKUP(A178,取得元!$A$2:$F$501,4,FALSE),"-")</f>
        <v>-</v>
      </c>
      <c r="J178" s="5" t="str">
        <f>IFERROR(VLOOKUP(A178,取得元!$A$2:$F$501,5,FALSE),"-")</f>
        <v>-</v>
      </c>
      <c r="K178" s="25" t="str">
        <f>IFERROR(VLOOKUP(A178,取得元!$A$2:$F$501,6,FALSE)/100,"-")</f>
        <v>-</v>
      </c>
      <c r="L178" s="21" t="str">
        <f>_xll.RssMarket(A178,"始値")</f>
        <v>表示銘柄数超過</v>
      </c>
      <c r="M178" s="4" t="e">
        <f t="shared" si="15"/>
        <v>#VALUE!</v>
      </c>
      <c r="N178" s="21" t="str">
        <f>_xll.RssMarket(A178,"高値")</f>
        <v>表示銘柄数超過</v>
      </c>
      <c r="O178" s="4" t="e">
        <f t="shared" si="16"/>
        <v>#VALUE!</v>
      </c>
      <c r="P178" s="21" t="str">
        <f>_xll.RssMarket(A178,"安値")</f>
        <v>表示銘柄数超過</v>
      </c>
      <c r="Q178" s="4" t="e">
        <f t="shared" si="17"/>
        <v>#VALUE!</v>
      </c>
      <c r="R178" s="21" t="str">
        <f>_xll.RssMarket(A178,"後場始値")</f>
        <v>表示銘柄数超過</v>
      </c>
      <c r="S178" s="25" t="str">
        <f t="shared" si="18"/>
        <v>-</v>
      </c>
      <c r="T178" s="7" t="str">
        <f>_xll.RssMarket(A178,"出来高加重平均")</f>
        <v>表示銘柄数超過</v>
      </c>
      <c r="U178" s="4" t="e">
        <f t="shared" si="19"/>
        <v>#VALUE!</v>
      </c>
      <c r="V178" s="21" t="str">
        <f>_xll.RssMarket(A178,"出来高")</f>
        <v>表示銘柄数超過</v>
      </c>
      <c r="W178" s="21" t="str">
        <f>_xll.RssMarket(A178,"売買代金")</f>
        <v>表示銘柄数超過</v>
      </c>
      <c r="X178" s="20" t="str">
        <f>_xll.RssMarket(A178,"決算発表日")</f>
        <v>表示銘柄数超過</v>
      </c>
      <c r="Y178" s="26" t="str">
        <f>IF(C178&gt;_xll.RssMarket(A178,"年初来高値"),"○","×")</f>
        <v>×</v>
      </c>
      <c r="Z178" s="27" t="str">
        <f>IF(C178&lt;=_xll.RssMarket(A178,"年初来安値"),"○","×")</f>
        <v>○</v>
      </c>
    </row>
    <row r="179" spans="1:26" x14ac:dyDescent="0.25">
      <c r="A179" s="49">
        <v>2674</v>
      </c>
      <c r="B179" s="20" t="str">
        <f>_xll.RssMarket(A179,"銘柄名称")</f>
        <v>表示銘柄数超過</v>
      </c>
      <c r="C179" s="21" t="str">
        <f>_xll.RssMarket(A179,"現在値")</f>
        <v>表示銘柄数超過</v>
      </c>
      <c r="D179" s="20" t="str">
        <f>_xll.RssMarket(A179,"現在値詳細時刻")</f>
        <v>表示銘柄数超過</v>
      </c>
      <c r="E179" s="22" t="str">
        <f>_xll.RssMarket(A179,"前日比")</f>
        <v>表示銘柄数超過</v>
      </c>
      <c r="F179" s="23" t="e">
        <f>_xll.RssMarket(A179,"前日比率")/100</f>
        <v>#VALUE!</v>
      </c>
      <c r="G179" s="24" t="str">
        <f>IFERROR(VLOOKUP(A179,取得元!$A$2:$F$501,2,FALSE),"-")</f>
        <v>-</v>
      </c>
      <c r="H179" s="24" t="str">
        <f>IFERROR(VLOOKUP(A179,取得元!$A$2:$F$501,3,FALSE),"-")</f>
        <v>-</v>
      </c>
      <c r="I179" s="24" t="str">
        <f>IFERROR(VLOOKUP(A179,取得元!$A$2:$F$501,4,FALSE),"-")</f>
        <v>-</v>
      </c>
      <c r="J179" s="5" t="str">
        <f>IFERROR(VLOOKUP(A179,取得元!$A$2:$F$501,5,FALSE),"-")</f>
        <v>-</v>
      </c>
      <c r="K179" s="25" t="str">
        <f>IFERROR(VLOOKUP(A179,取得元!$A$2:$F$501,6,FALSE)/100,"-")</f>
        <v>-</v>
      </c>
      <c r="L179" s="21" t="str">
        <f>_xll.RssMarket(A179,"始値")</f>
        <v>表示銘柄数超過</v>
      </c>
      <c r="M179" s="4" t="e">
        <f t="shared" si="15"/>
        <v>#VALUE!</v>
      </c>
      <c r="N179" s="21" t="str">
        <f>_xll.RssMarket(A179,"高値")</f>
        <v>表示銘柄数超過</v>
      </c>
      <c r="O179" s="4" t="e">
        <f t="shared" si="16"/>
        <v>#VALUE!</v>
      </c>
      <c r="P179" s="21" t="str">
        <f>_xll.RssMarket(A179,"安値")</f>
        <v>表示銘柄数超過</v>
      </c>
      <c r="Q179" s="4" t="e">
        <f t="shared" si="17"/>
        <v>#VALUE!</v>
      </c>
      <c r="R179" s="21" t="str">
        <f>_xll.RssMarket(A179,"後場始値")</f>
        <v>表示銘柄数超過</v>
      </c>
      <c r="S179" s="25" t="str">
        <f t="shared" si="18"/>
        <v>-</v>
      </c>
      <c r="T179" s="7" t="str">
        <f>_xll.RssMarket(A179,"出来高加重平均")</f>
        <v>表示銘柄数超過</v>
      </c>
      <c r="U179" s="4" t="e">
        <f t="shared" si="19"/>
        <v>#VALUE!</v>
      </c>
      <c r="V179" s="21" t="str">
        <f>_xll.RssMarket(A179,"出来高")</f>
        <v>表示銘柄数超過</v>
      </c>
      <c r="W179" s="21" t="str">
        <f>_xll.RssMarket(A179,"売買代金")</f>
        <v>表示銘柄数超過</v>
      </c>
      <c r="X179" s="20" t="str">
        <f>_xll.RssMarket(A179,"決算発表日")</f>
        <v>表示銘柄数超過</v>
      </c>
      <c r="Y179" s="26" t="str">
        <f>IF(C179&gt;_xll.RssMarket(A179,"年初来高値"),"○","×")</f>
        <v>×</v>
      </c>
      <c r="Z179" s="27" t="str">
        <f>IF(C179&lt;=_xll.RssMarket(A179,"年初来安値"),"○","×")</f>
        <v>○</v>
      </c>
    </row>
    <row r="180" spans="1:26" x14ac:dyDescent="0.25">
      <c r="A180" s="47">
        <v>2681</v>
      </c>
      <c r="B180" s="20" t="str">
        <f>_xll.RssMarket(A180,"銘柄名称")</f>
        <v>表示銘柄数超過</v>
      </c>
      <c r="C180" s="21" t="str">
        <f>_xll.RssMarket(A180,"現在値")</f>
        <v>表示銘柄数超過</v>
      </c>
      <c r="D180" s="20" t="str">
        <f>_xll.RssMarket(A180,"現在値詳細時刻")</f>
        <v>表示銘柄数超過</v>
      </c>
      <c r="E180" s="22" t="str">
        <f>_xll.RssMarket(A180,"前日比")</f>
        <v>表示銘柄数超過</v>
      </c>
      <c r="F180" s="23" t="e">
        <f>_xll.RssMarket(A180,"前日比率")/100</f>
        <v>#VALUE!</v>
      </c>
      <c r="G180" s="24" t="str">
        <f>IFERROR(VLOOKUP(A180,取得元!$A$2:$F$501,2,FALSE),"-")</f>
        <v>-</v>
      </c>
      <c r="H180" s="24" t="str">
        <f>IFERROR(VLOOKUP(A180,取得元!$A$2:$F$501,3,FALSE),"-")</f>
        <v>-</v>
      </c>
      <c r="I180" s="24" t="str">
        <f>IFERROR(VLOOKUP(A180,取得元!$A$2:$F$501,4,FALSE),"-")</f>
        <v>-</v>
      </c>
      <c r="J180" s="5" t="str">
        <f>IFERROR(VLOOKUP(A180,取得元!$A$2:$F$501,5,FALSE),"-")</f>
        <v>-</v>
      </c>
      <c r="K180" s="25" t="str">
        <f>IFERROR(VLOOKUP(A180,取得元!$A$2:$F$501,6,FALSE)/100,"-")</f>
        <v>-</v>
      </c>
      <c r="L180" s="21" t="str">
        <f>_xll.RssMarket(A180,"始値")</f>
        <v>表示銘柄数超過</v>
      </c>
      <c r="M180" s="4" t="e">
        <f t="shared" si="15"/>
        <v>#VALUE!</v>
      </c>
      <c r="N180" s="21" t="str">
        <f>_xll.RssMarket(A180,"高値")</f>
        <v>表示銘柄数超過</v>
      </c>
      <c r="O180" s="4" t="e">
        <f t="shared" si="16"/>
        <v>#VALUE!</v>
      </c>
      <c r="P180" s="21" t="str">
        <f>_xll.RssMarket(A180,"安値")</f>
        <v>表示銘柄数超過</v>
      </c>
      <c r="Q180" s="4" t="e">
        <f t="shared" si="17"/>
        <v>#VALUE!</v>
      </c>
      <c r="R180" s="21" t="str">
        <f>_xll.RssMarket(A180,"後場始値")</f>
        <v>表示銘柄数超過</v>
      </c>
      <c r="S180" s="25" t="str">
        <f t="shared" si="18"/>
        <v>-</v>
      </c>
      <c r="T180" s="7" t="str">
        <f>_xll.RssMarket(A180,"出来高加重平均")</f>
        <v>表示銘柄数超過</v>
      </c>
      <c r="U180" s="4" t="e">
        <f t="shared" si="19"/>
        <v>#VALUE!</v>
      </c>
      <c r="V180" s="21" t="str">
        <f>_xll.RssMarket(A180,"出来高")</f>
        <v>表示銘柄数超過</v>
      </c>
      <c r="W180" s="21" t="str">
        <f>_xll.RssMarket(A180,"売買代金")</f>
        <v>表示銘柄数超過</v>
      </c>
      <c r="X180" s="20" t="str">
        <f>_xll.RssMarket(A180,"決算発表日")</f>
        <v>表示銘柄数超過</v>
      </c>
      <c r="Y180" s="26" t="str">
        <f>IF(C180&gt;_xll.RssMarket(A180,"年初来高値"),"○","×")</f>
        <v>×</v>
      </c>
      <c r="Z180" s="27" t="str">
        <f>IF(C180&lt;=_xll.RssMarket(A180,"年初来安値"),"○","×")</f>
        <v>○</v>
      </c>
    </row>
    <row r="181" spans="1:26" x14ac:dyDescent="0.25">
      <c r="A181" s="49">
        <v>2685</v>
      </c>
      <c r="B181" s="20" t="str">
        <f>_xll.RssMarket(A181,"銘柄名称")</f>
        <v>表示銘柄数超過</v>
      </c>
      <c r="C181" s="21" t="str">
        <f>_xll.RssMarket(A181,"現在値")</f>
        <v>表示銘柄数超過</v>
      </c>
      <c r="D181" s="20" t="str">
        <f>_xll.RssMarket(A181,"現在値詳細時刻")</f>
        <v>表示銘柄数超過</v>
      </c>
      <c r="E181" s="22" t="str">
        <f>_xll.RssMarket(A181,"前日比")</f>
        <v>表示銘柄数超過</v>
      </c>
      <c r="F181" s="23" t="e">
        <f>_xll.RssMarket(A181,"前日比率")/100</f>
        <v>#VALUE!</v>
      </c>
      <c r="G181" s="24" t="str">
        <f>IFERROR(VLOOKUP(A181,取得元!$A$2:$F$501,2,FALSE),"-")</f>
        <v>-</v>
      </c>
      <c r="H181" s="24" t="str">
        <f>IFERROR(VLOOKUP(A181,取得元!$A$2:$F$501,3,FALSE),"-")</f>
        <v>-</v>
      </c>
      <c r="I181" s="24" t="str">
        <f>IFERROR(VLOOKUP(A181,取得元!$A$2:$F$501,4,FALSE),"-")</f>
        <v>-</v>
      </c>
      <c r="J181" s="5" t="str">
        <f>IFERROR(VLOOKUP(A181,取得元!$A$2:$F$501,5,FALSE),"-")</f>
        <v>-</v>
      </c>
      <c r="K181" s="25" t="str">
        <f>IFERROR(VLOOKUP(A181,取得元!$A$2:$F$501,6,FALSE)/100,"-")</f>
        <v>-</v>
      </c>
      <c r="L181" s="21" t="str">
        <f>_xll.RssMarket(A181,"始値")</f>
        <v>表示銘柄数超過</v>
      </c>
      <c r="M181" s="4" t="e">
        <f t="shared" si="15"/>
        <v>#VALUE!</v>
      </c>
      <c r="N181" s="21" t="str">
        <f>_xll.RssMarket(A181,"高値")</f>
        <v>表示銘柄数超過</v>
      </c>
      <c r="O181" s="4" t="e">
        <f t="shared" si="16"/>
        <v>#VALUE!</v>
      </c>
      <c r="P181" s="21" t="str">
        <f>_xll.RssMarket(A181,"安値")</f>
        <v>表示銘柄数超過</v>
      </c>
      <c r="Q181" s="4" t="e">
        <f t="shared" si="17"/>
        <v>#VALUE!</v>
      </c>
      <c r="R181" s="21" t="str">
        <f>_xll.RssMarket(A181,"後場始値")</f>
        <v>表示銘柄数超過</v>
      </c>
      <c r="S181" s="25" t="str">
        <f t="shared" si="18"/>
        <v>-</v>
      </c>
      <c r="T181" s="7" t="str">
        <f>_xll.RssMarket(A181,"出来高加重平均")</f>
        <v>表示銘柄数超過</v>
      </c>
      <c r="U181" s="4" t="e">
        <f t="shared" si="19"/>
        <v>#VALUE!</v>
      </c>
      <c r="V181" s="21" t="str">
        <f>_xll.RssMarket(A181,"出来高")</f>
        <v>表示銘柄数超過</v>
      </c>
      <c r="W181" s="21" t="str">
        <f>_xll.RssMarket(A181,"売買代金")</f>
        <v>表示銘柄数超過</v>
      </c>
      <c r="X181" s="20" t="str">
        <f>_xll.RssMarket(A181,"決算発表日")</f>
        <v>表示銘柄数超過</v>
      </c>
      <c r="Y181" s="26" t="str">
        <f>IF(C181&gt;_xll.RssMarket(A181,"年初来高値"),"○","×")</f>
        <v>×</v>
      </c>
      <c r="Z181" s="27" t="str">
        <f>IF(C181&lt;=_xll.RssMarket(A181,"年初来安値"),"○","×")</f>
        <v>○</v>
      </c>
    </row>
    <row r="182" spans="1:26" x14ac:dyDescent="0.25">
      <c r="A182" s="47">
        <v>2686</v>
      </c>
      <c r="B182" s="20" t="str">
        <f>_xll.RssMarket(A182,"銘柄名称")</f>
        <v>表示銘柄数超過</v>
      </c>
      <c r="C182" s="21" t="str">
        <f>_xll.RssMarket(A182,"現在値")</f>
        <v>表示銘柄数超過</v>
      </c>
      <c r="D182" s="20" t="str">
        <f>_xll.RssMarket(A182,"現在値詳細時刻")</f>
        <v>表示銘柄数超過</v>
      </c>
      <c r="E182" s="22" t="str">
        <f>_xll.RssMarket(A182,"前日比")</f>
        <v>表示銘柄数超過</v>
      </c>
      <c r="F182" s="23" t="e">
        <f>_xll.RssMarket(A182,"前日比率")/100</f>
        <v>#VALUE!</v>
      </c>
      <c r="G182" s="24" t="str">
        <f>IFERROR(VLOOKUP(A182,取得元!$A$2:$F$501,2,FALSE),"-")</f>
        <v>-</v>
      </c>
      <c r="H182" s="24" t="str">
        <f>IFERROR(VLOOKUP(A182,取得元!$A$2:$F$501,3,FALSE),"-")</f>
        <v>-</v>
      </c>
      <c r="I182" s="24" t="str">
        <f>IFERROR(VLOOKUP(A182,取得元!$A$2:$F$501,4,FALSE),"-")</f>
        <v>-</v>
      </c>
      <c r="J182" s="5" t="str">
        <f>IFERROR(VLOOKUP(A182,取得元!$A$2:$F$501,5,FALSE),"-")</f>
        <v>-</v>
      </c>
      <c r="K182" s="25" t="str">
        <f>IFERROR(VLOOKUP(A182,取得元!$A$2:$F$501,6,FALSE)/100,"-")</f>
        <v>-</v>
      </c>
      <c r="L182" s="21" t="str">
        <f>_xll.RssMarket(A182,"始値")</f>
        <v>表示銘柄数超過</v>
      </c>
      <c r="M182" s="4" t="e">
        <f t="shared" si="15"/>
        <v>#VALUE!</v>
      </c>
      <c r="N182" s="21" t="str">
        <f>_xll.RssMarket(A182,"高値")</f>
        <v>表示銘柄数超過</v>
      </c>
      <c r="O182" s="4" t="e">
        <f t="shared" si="16"/>
        <v>#VALUE!</v>
      </c>
      <c r="P182" s="21" t="str">
        <f>_xll.RssMarket(A182,"安値")</f>
        <v>表示銘柄数超過</v>
      </c>
      <c r="Q182" s="4" t="e">
        <f t="shared" si="17"/>
        <v>#VALUE!</v>
      </c>
      <c r="R182" s="21" t="str">
        <f>_xll.RssMarket(A182,"後場始値")</f>
        <v>表示銘柄数超過</v>
      </c>
      <c r="S182" s="25" t="str">
        <f t="shared" si="18"/>
        <v>-</v>
      </c>
      <c r="T182" s="7" t="str">
        <f>_xll.RssMarket(A182,"出来高加重平均")</f>
        <v>表示銘柄数超過</v>
      </c>
      <c r="U182" s="4" t="e">
        <f t="shared" si="19"/>
        <v>#VALUE!</v>
      </c>
      <c r="V182" s="21" t="str">
        <f>_xll.RssMarket(A182,"出来高")</f>
        <v>表示銘柄数超過</v>
      </c>
      <c r="W182" s="21" t="str">
        <f>_xll.RssMarket(A182,"売買代金")</f>
        <v>表示銘柄数超過</v>
      </c>
      <c r="X182" s="20" t="str">
        <f>_xll.RssMarket(A182,"決算発表日")</f>
        <v>表示銘柄数超過</v>
      </c>
      <c r="Y182" s="26" t="str">
        <f>IF(C182&gt;_xll.RssMarket(A182,"年初来高値"),"○","×")</f>
        <v>×</v>
      </c>
      <c r="Z182" s="27" t="str">
        <f>IF(C182&lt;=_xll.RssMarket(A182,"年初来安値"),"○","×")</f>
        <v>○</v>
      </c>
    </row>
    <row r="183" spans="1:26" x14ac:dyDescent="0.25">
      <c r="A183" s="49">
        <v>2693</v>
      </c>
      <c r="B183" s="20" t="str">
        <f>_xll.RssMarket(A183,"銘柄名称")</f>
        <v>表示銘柄数超過</v>
      </c>
      <c r="C183" s="21" t="str">
        <f>_xll.RssMarket(A183,"現在値")</f>
        <v>表示銘柄数超過</v>
      </c>
      <c r="D183" s="20" t="str">
        <f>_xll.RssMarket(A183,"現在値詳細時刻")</f>
        <v>表示銘柄数超過</v>
      </c>
      <c r="E183" s="22" t="str">
        <f>_xll.RssMarket(A183,"前日比")</f>
        <v>表示銘柄数超過</v>
      </c>
      <c r="F183" s="23" t="e">
        <f>_xll.RssMarket(A183,"前日比率")/100</f>
        <v>#VALUE!</v>
      </c>
      <c r="G183" s="24" t="str">
        <f>IFERROR(VLOOKUP(A183,取得元!$A$2:$F$501,2,FALSE),"-")</f>
        <v>-</v>
      </c>
      <c r="H183" s="24" t="str">
        <f>IFERROR(VLOOKUP(A183,取得元!$A$2:$F$501,3,FALSE),"-")</f>
        <v>-</v>
      </c>
      <c r="I183" s="24" t="str">
        <f>IFERROR(VLOOKUP(A183,取得元!$A$2:$F$501,4,FALSE),"-")</f>
        <v>-</v>
      </c>
      <c r="J183" s="5" t="str">
        <f>IFERROR(VLOOKUP(A183,取得元!$A$2:$F$501,5,FALSE),"-")</f>
        <v>-</v>
      </c>
      <c r="K183" s="25" t="str">
        <f>IFERROR(VLOOKUP(A183,取得元!$A$2:$F$501,6,FALSE)/100,"-")</f>
        <v>-</v>
      </c>
      <c r="L183" s="21" t="str">
        <f>_xll.RssMarket(A183,"始値")</f>
        <v>表示銘柄数超過</v>
      </c>
      <c r="M183" s="4" t="e">
        <f t="shared" si="15"/>
        <v>#VALUE!</v>
      </c>
      <c r="N183" s="21" t="str">
        <f>_xll.RssMarket(A183,"高値")</f>
        <v>表示銘柄数超過</v>
      </c>
      <c r="O183" s="4" t="e">
        <f t="shared" si="16"/>
        <v>#VALUE!</v>
      </c>
      <c r="P183" s="21" t="str">
        <f>_xll.RssMarket(A183,"安値")</f>
        <v>表示銘柄数超過</v>
      </c>
      <c r="Q183" s="4" t="e">
        <f t="shared" si="17"/>
        <v>#VALUE!</v>
      </c>
      <c r="R183" s="21" t="str">
        <f>_xll.RssMarket(A183,"後場始値")</f>
        <v>表示銘柄数超過</v>
      </c>
      <c r="S183" s="25" t="str">
        <f t="shared" si="18"/>
        <v>-</v>
      </c>
      <c r="T183" s="7" t="str">
        <f>_xll.RssMarket(A183,"出来高加重平均")</f>
        <v>表示銘柄数超過</v>
      </c>
      <c r="U183" s="4" t="e">
        <f t="shared" si="19"/>
        <v>#VALUE!</v>
      </c>
      <c r="V183" s="21" t="str">
        <f>_xll.RssMarket(A183,"出来高")</f>
        <v>表示銘柄数超過</v>
      </c>
      <c r="W183" s="21" t="str">
        <f>_xll.RssMarket(A183,"売買代金")</f>
        <v>表示銘柄数超過</v>
      </c>
      <c r="X183" s="20" t="str">
        <f>_xll.RssMarket(A183,"決算発表日")</f>
        <v>表示銘柄数超過</v>
      </c>
      <c r="Y183" s="26" t="str">
        <f>IF(C183&gt;_xll.RssMarket(A183,"年初来高値"),"○","×")</f>
        <v>×</v>
      </c>
      <c r="Z183" s="27" t="str">
        <f>IF(C183&lt;=_xll.RssMarket(A183,"年初来安値"),"○","×")</f>
        <v>○</v>
      </c>
    </row>
    <row r="184" spans="1:26" x14ac:dyDescent="0.25">
      <c r="A184" s="47">
        <v>2694</v>
      </c>
      <c r="B184" s="20" t="str">
        <f>_xll.RssMarket(A184,"銘柄名称")</f>
        <v>表示銘柄数超過</v>
      </c>
      <c r="C184" s="21" t="str">
        <f>_xll.RssMarket(A184,"現在値")</f>
        <v>表示銘柄数超過</v>
      </c>
      <c r="D184" s="20" t="str">
        <f>_xll.RssMarket(A184,"現在値詳細時刻")</f>
        <v>表示銘柄数超過</v>
      </c>
      <c r="E184" s="22" t="str">
        <f>_xll.RssMarket(A184,"前日比")</f>
        <v>表示銘柄数超過</v>
      </c>
      <c r="F184" s="23" t="e">
        <f>_xll.RssMarket(A184,"前日比率")/100</f>
        <v>#VALUE!</v>
      </c>
      <c r="G184" s="24" t="str">
        <f>IFERROR(VLOOKUP(A184,取得元!$A$2:$F$501,2,FALSE),"-")</f>
        <v>-</v>
      </c>
      <c r="H184" s="24" t="str">
        <f>IFERROR(VLOOKUP(A184,取得元!$A$2:$F$501,3,FALSE),"-")</f>
        <v>-</v>
      </c>
      <c r="I184" s="24" t="str">
        <f>IFERROR(VLOOKUP(A184,取得元!$A$2:$F$501,4,FALSE),"-")</f>
        <v>-</v>
      </c>
      <c r="J184" s="5" t="str">
        <f>IFERROR(VLOOKUP(A184,取得元!$A$2:$F$501,5,FALSE),"-")</f>
        <v>-</v>
      </c>
      <c r="K184" s="25" t="str">
        <f>IFERROR(VLOOKUP(A184,取得元!$A$2:$F$501,6,FALSE)/100,"-")</f>
        <v>-</v>
      </c>
      <c r="L184" s="21" t="str">
        <f>_xll.RssMarket(A184,"始値")</f>
        <v>表示銘柄数超過</v>
      </c>
      <c r="M184" s="4" t="e">
        <f t="shared" si="15"/>
        <v>#VALUE!</v>
      </c>
      <c r="N184" s="21" t="str">
        <f>_xll.RssMarket(A184,"高値")</f>
        <v>表示銘柄数超過</v>
      </c>
      <c r="O184" s="4" t="e">
        <f t="shared" si="16"/>
        <v>#VALUE!</v>
      </c>
      <c r="P184" s="21" t="str">
        <f>_xll.RssMarket(A184,"安値")</f>
        <v>表示銘柄数超過</v>
      </c>
      <c r="Q184" s="4" t="e">
        <f t="shared" si="17"/>
        <v>#VALUE!</v>
      </c>
      <c r="R184" s="21" t="str">
        <f>_xll.RssMarket(A184,"後場始値")</f>
        <v>表示銘柄数超過</v>
      </c>
      <c r="S184" s="25" t="str">
        <f t="shared" si="18"/>
        <v>-</v>
      </c>
      <c r="T184" s="7" t="str">
        <f>_xll.RssMarket(A184,"出来高加重平均")</f>
        <v>表示銘柄数超過</v>
      </c>
      <c r="U184" s="4" t="e">
        <f t="shared" si="19"/>
        <v>#VALUE!</v>
      </c>
      <c r="V184" s="21" t="str">
        <f>_xll.RssMarket(A184,"出来高")</f>
        <v>表示銘柄数超過</v>
      </c>
      <c r="W184" s="21" t="str">
        <f>_xll.RssMarket(A184,"売買代金")</f>
        <v>表示銘柄数超過</v>
      </c>
      <c r="X184" s="20" t="str">
        <f>_xll.RssMarket(A184,"決算発表日")</f>
        <v>表示銘柄数超過</v>
      </c>
      <c r="Y184" s="26" t="str">
        <f>IF(C184&gt;_xll.RssMarket(A184,"年初来高値"),"○","×")</f>
        <v>×</v>
      </c>
      <c r="Z184" s="27" t="str">
        <f>IF(C184&lt;=_xll.RssMarket(A184,"年初来安値"),"○","×")</f>
        <v>○</v>
      </c>
    </row>
    <row r="185" spans="1:26" x14ac:dyDescent="0.25">
      <c r="A185" s="49">
        <v>2698</v>
      </c>
      <c r="B185" s="20" t="str">
        <f>_xll.RssMarket(A185,"銘柄名称")</f>
        <v>表示銘柄数超過</v>
      </c>
      <c r="C185" s="21" t="str">
        <f>_xll.RssMarket(A185,"現在値")</f>
        <v>表示銘柄数超過</v>
      </c>
      <c r="D185" s="20" t="str">
        <f>_xll.RssMarket(A185,"現在値詳細時刻")</f>
        <v>表示銘柄数超過</v>
      </c>
      <c r="E185" s="22" t="str">
        <f>_xll.RssMarket(A185,"前日比")</f>
        <v>表示銘柄数超過</v>
      </c>
      <c r="F185" s="23" t="e">
        <f>_xll.RssMarket(A185,"前日比率")/100</f>
        <v>#VALUE!</v>
      </c>
      <c r="G185" s="24" t="str">
        <f>IFERROR(VLOOKUP(A185,取得元!$A$2:$F$501,2,FALSE),"-")</f>
        <v>-</v>
      </c>
      <c r="H185" s="24" t="str">
        <f>IFERROR(VLOOKUP(A185,取得元!$A$2:$F$501,3,FALSE),"-")</f>
        <v>-</v>
      </c>
      <c r="I185" s="24" t="str">
        <f>IFERROR(VLOOKUP(A185,取得元!$A$2:$F$501,4,FALSE),"-")</f>
        <v>-</v>
      </c>
      <c r="J185" s="5" t="str">
        <f>IFERROR(VLOOKUP(A185,取得元!$A$2:$F$501,5,FALSE),"-")</f>
        <v>-</v>
      </c>
      <c r="K185" s="25" t="str">
        <f>IFERROR(VLOOKUP(A185,取得元!$A$2:$F$501,6,FALSE)/100,"-")</f>
        <v>-</v>
      </c>
      <c r="L185" s="21" t="str">
        <f>_xll.RssMarket(A185,"始値")</f>
        <v>表示銘柄数超過</v>
      </c>
      <c r="M185" s="4" t="e">
        <f t="shared" si="15"/>
        <v>#VALUE!</v>
      </c>
      <c r="N185" s="21" t="str">
        <f>_xll.RssMarket(A185,"高値")</f>
        <v>表示銘柄数超過</v>
      </c>
      <c r="O185" s="4" t="e">
        <f t="shared" si="16"/>
        <v>#VALUE!</v>
      </c>
      <c r="P185" s="21" t="str">
        <f>_xll.RssMarket(A185,"安値")</f>
        <v>表示銘柄数超過</v>
      </c>
      <c r="Q185" s="4" t="e">
        <f t="shared" si="17"/>
        <v>#VALUE!</v>
      </c>
      <c r="R185" s="21" t="str">
        <f>_xll.RssMarket(A185,"後場始値")</f>
        <v>表示銘柄数超過</v>
      </c>
      <c r="S185" s="25" t="str">
        <f t="shared" si="18"/>
        <v>-</v>
      </c>
      <c r="T185" s="7" t="str">
        <f>_xll.RssMarket(A185,"出来高加重平均")</f>
        <v>表示銘柄数超過</v>
      </c>
      <c r="U185" s="4" t="e">
        <f t="shared" si="19"/>
        <v>#VALUE!</v>
      </c>
      <c r="V185" s="21" t="str">
        <f>_xll.RssMarket(A185,"出来高")</f>
        <v>表示銘柄数超過</v>
      </c>
      <c r="W185" s="21" t="str">
        <f>_xll.RssMarket(A185,"売買代金")</f>
        <v>表示銘柄数超過</v>
      </c>
      <c r="X185" s="20" t="str">
        <f>_xll.RssMarket(A185,"決算発表日")</f>
        <v>表示銘柄数超過</v>
      </c>
      <c r="Y185" s="26" t="str">
        <f>IF(C185&gt;_xll.RssMarket(A185,"年初来高値"),"○","×")</f>
        <v>×</v>
      </c>
      <c r="Z185" s="27" t="str">
        <f>IF(C185&lt;=_xll.RssMarket(A185,"年初来安値"),"○","×")</f>
        <v>○</v>
      </c>
    </row>
    <row r="186" spans="1:26" x14ac:dyDescent="0.25">
      <c r="A186" s="47">
        <v>2702</v>
      </c>
      <c r="B186" s="20" t="str">
        <f>_xll.RssMarket(A186,"銘柄名称")</f>
        <v>表示銘柄数超過</v>
      </c>
      <c r="C186" s="21" t="str">
        <f>_xll.RssMarket(A186,"現在値")</f>
        <v>表示銘柄数超過</v>
      </c>
      <c r="D186" s="20" t="str">
        <f>_xll.RssMarket(A186,"現在値詳細時刻")</f>
        <v>表示銘柄数超過</v>
      </c>
      <c r="E186" s="22" t="str">
        <f>_xll.RssMarket(A186,"前日比")</f>
        <v>表示銘柄数超過</v>
      </c>
      <c r="F186" s="23" t="e">
        <f>_xll.RssMarket(A186,"前日比率")/100</f>
        <v>#VALUE!</v>
      </c>
      <c r="G186" s="24" t="str">
        <f>IFERROR(VLOOKUP(A186,取得元!$A$2:$F$501,2,FALSE),"-")</f>
        <v>-</v>
      </c>
      <c r="H186" s="24" t="str">
        <f>IFERROR(VLOOKUP(A186,取得元!$A$2:$F$501,3,FALSE),"-")</f>
        <v>-</v>
      </c>
      <c r="I186" s="24" t="str">
        <f>IFERROR(VLOOKUP(A186,取得元!$A$2:$F$501,4,FALSE),"-")</f>
        <v>-</v>
      </c>
      <c r="J186" s="5" t="str">
        <f>IFERROR(VLOOKUP(A186,取得元!$A$2:$F$501,5,FALSE),"-")</f>
        <v>-</v>
      </c>
      <c r="K186" s="25" t="str">
        <f>IFERROR(VLOOKUP(A186,取得元!$A$2:$F$501,6,FALSE)/100,"-")</f>
        <v>-</v>
      </c>
      <c r="L186" s="21" t="str">
        <f>_xll.RssMarket(A186,"始値")</f>
        <v>表示銘柄数超過</v>
      </c>
      <c r="M186" s="4" t="e">
        <f t="shared" si="15"/>
        <v>#VALUE!</v>
      </c>
      <c r="N186" s="21" t="str">
        <f>_xll.RssMarket(A186,"高値")</f>
        <v>表示銘柄数超過</v>
      </c>
      <c r="O186" s="4" t="e">
        <f t="shared" si="16"/>
        <v>#VALUE!</v>
      </c>
      <c r="P186" s="21" t="str">
        <f>_xll.RssMarket(A186,"安値")</f>
        <v>表示銘柄数超過</v>
      </c>
      <c r="Q186" s="4" t="e">
        <f t="shared" si="17"/>
        <v>#VALUE!</v>
      </c>
      <c r="R186" s="21" t="str">
        <f>_xll.RssMarket(A186,"後場始値")</f>
        <v>表示銘柄数超過</v>
      </c>
      <c r="S186" s="25" t="str">
        <f t="shared" si="18"/>
        <v>-</v>
      </c>
      <c r="T186" s="7" t="str">
        <f>_xll.RssMarket(A186,"出来高加重平均")</f>
        <v>表示銘柄数超過</v>
      </c>
      <c r="U186" s="4" t="e">
        <f t="shared" si="19"/>
        <v>#VALUE!</v>
      </c>
      <c r="V186" s="21" t="str">
        <f>_xll.RssMarket(A186,"出来高")</f>
        <v>表示銘柄数超過</v>
      </c>
      <c r="W186" s="21" t="str">
        <f>_xll.RssMarket(A186,"売買代金")</f>
        <v>表示銘柄数超過</v>
      </c>
      <c r="X186" s="20" t="str">
        <f>_xll.RssMarket(A186,"決算発表日")</f>
        <v>表示銘柄数超過</v>
      </c>
      <c r="Y186" s="26" t="str">
        <f>IF(C186&gt;_xll.RssMarket(A186,"年初来高値"),"○","×")</f>
        <v>×</v>
      </c>
      <c r="Z186" s="27" t="str">
        <f>IF(C186&lt;=_xll.RssMarket(A186,"年初来安値"),"○","×")</f>
        <v>○</v>
      </c>
    </row>
    <row r="187" spans="1:26" x14ac:dyDescent="0.25">
      <c r="A187" s="49">
        <v>2721</v>
      </c>
      <c r="B187" s="20" t="str">
        <f>_xll.RssMarket(A187,"銘柄名称")</f>
        <v>表示銘柄数超過</v>
      </c>
      <c r="C187" s="21" t="str">
        <f>_xll.RssMarket(A187,"現在値")</f>
        <v>表示銘柄数超過</v>
      </c>
      <c r="D187" s="20" t="str">
        <f>_xll.RssMarket(A187,"現在値詳細時刻")</f>
        <v>表示銘柄数超過</v>
      </c>
      <c r="E187" s="22" t="str">
        <f>_xll.RssMarket(A187,"前日比")</f>
        <v>表示銘柄数超過</v>
      </c>
      <c r="F187" s="23" t="e">
        <f>_xll.RssMarket(A187,"前日比率")/100</f>
        <v>#VALUE!</v>
      </c>
      <c r="G187" s="24" t="str">
        <f>IFERROR(VLOOKUP(A187,取得元!$A$2:$F$501,2,FALSE),"-")</f>
        <v>-</v>
      </c>
      <c r="H187" s="24" t="str">
        <f>IFERROR(VLOOKUP(A187,取得元!$A$2:$F$501,3,FALSE),"-")</f>
        <v>-</v>
      </c>
      <c r="I187" s="24" t="str">
        <f>IFERROR(VLOOKUP(A187,取得元!$A$2:$F$501,4,FALSE),"-")</f>
        <v>-</v>
      </c>
      <c r="J187" s="5" t="str">
        <f>IFERROR(VLOOKUP(A187,取得元!$A$2:$F$501,5,FALSE),"-")</f>
        <v>-</v>
      </c>
      <c r="K187" s="25" t="str">
        <f>IFERROR(VLOOKUP(A187,取得元!$A$2:$F$501,6,FALSE)/100,"-")</f>
        <v>-</v>
      </c>
      <c r="L187" s="21" t="str">
        <f>_xll.RssMarket(A187,"始値")</f>
        <v>表示銘柄数超過</v>
      </c>
      <c r="M187" s="4" t="e">
        <f t="shared" si="15"/>
        <v>#VALUE!</v>
      </c>
      <c r="N187" s="21" t="str">
        <f>_xll.RssMarket(A187,"高値")</f>
        <v>表示銘柄数超過</v>
      </c>
      <c r="O187" s="4" t="e">
        <f t="shared" si="16"/>
        <v>#VALUE!</v>
      </c>
      <c r="P187" s="21" t="str">
        <f>_xll.RssMarket(A187,"安値")</f>
        <v>表示銘柄数超過</v>
      </c>
      <c r="Q187" s="4" t="e">
        <f t="shared" si="17"/>
        <v>#VALUE!</v>
      </c>
      <c r="R187" s="21" t="str">
        <f>_xll.RssMarket(A187,"後場始値")</f>
        <v>表示銘柄数超過</v>
      </c>
      <c r="S187" s="25" t="str">
        <f t="shared" si="18"/>
        <v>-</v>
      </c>
      <c r="T187" s="7" t="str">
        <f>_xll.RssMarket(A187,"出来高加重平均")</f>
        <v>表示銘柄数超過</v>
      </c>
      <c r="U187" s="4" t="e">
        <f t="shared" si="19"/>
        <v>#VALUE!</v>
      </c>
      <c r="V187" s="21" t="str">
        <f>_xll.RssMarket(A187,"出来高")</f>
        <v>表示銘柄数超過</v>
      </c>
      <c r="W187" s="21" t="str">
        <f>_xll.RssMarket(A187,"売買代金")</f>
        <v>表示銘柄数超過</v>
      </c>
      <c r="X187" s="20" t="str">
        <f>_xll.RssMarket(A187,"決算発表日")</f>
        <v>表示銘柄数超過</v>
      </c>
      <c r="Y187" s="26" t="str">
        <f>IF(C187&gt;_xll.RssMarket(A187,"年初来高値"),"○","×")</f>
        <v>×</v>
      </c>
      <c r="Z187" s="27" t="str">
        <f>IF(C187&lt;=_xll.RssMarket(A187,"年初来安値"),"○","×")</f>
        <v>○</v>
      </c>
    </row>
    <row r="188" spans="1:26" x14ac:dyDescent="0.25">
      <c r="A188" s="47">
        <v>2722</v>
      </c>
      <c r="B188" s="20" t="str">
        <f>_xll.RssMarket(A188,"銘柄名称")</f>
        <v>表示銘柄数超過</v>
      </c>
      <c r="C188" s="21" t="str">
        <f>_xll.RssMarket(A188,"現在値")</f>
        <v>表示銘柄数超過</v>
      </c>
      <c r="D188" s="20" t="str">
        <f>_xll.RssMarket(A188,"現在値詳細時刻")</f>
        <v>表示銘柄数超過</v>
      </c>
      <c r="E188" s="22" t="str">
        <f>_xll.RssMarket(A188,"前日比")</f>
        <v>表示銘柄数超過</v>
      </c>
      <c r="F188" s="23" t="e">
        <f>_xll.RssMarket(A188,"前日比率")/100</f>
        <v>#VALUE!</v>
      </c>
      <c r="G188" s="24" t="str">
        <f>IFERROR(VLOOKUP(A188,取得元!$A$2:$F$501,2,FALSE),"-")</f>
        <v>-</v>
      </c>
      <c r="H188" s="24" t="str">
        <f>IFERROR(VLOOKUP(A188,取得元!$A$2:$F$501,3,FALSE),"-")</f>
        <v>-</v>
      </c>
      <c r="I188" s="24" t="str">
        <f>IFERROR(VLOOKUP(A188,取得元!$A$2:$F$501,4,FALSE),"-")</f>
        <v>-</v>
      </c>
      <c r="J188" s="5" t="str">
        <f>IFERROR(VLOOKUP(A188,取得元!$A$2:$F$501,5,FALSE),"-")</f>
        <v>-</v>
      </c>
      <c r="K188" s="25" t="str">
        <f>IFERROR(VLOOKUP(A188,取得元!$A$2:$F$501,6,FALSE)/100,"-")</f>
        <v>-</v>
      </c>
      <c r="L188" s="21" t="str">
        <f>_xll.RssMarket(A188,"始値")</f>
        <v>表示銘柄数超過</v>
      </c>
      <c r="M188" s="4" t="e">
        <f t="shared" si="15"/>
        <v>#VALUE!</v>
      </c>
      <c r="N188" s="21" t="str">
        <f>_xll.RssMarket(A188,"高値")</f>
        <v>表示銘柄数超過</v>
      </c>
      <c r="O188" s="4" t="e">
        <f t="shared" si="16"/>
        <v>#VALUE!</v>
      </c>
      <c r="P188" s="21" t="str">
        <f>_xll.RssMarket(A188,"安値")</f>
        <v>表示銘柄数超過</v>
      </c>
      <c r="Q188" s="4" t="e">
        <f t="shared" si="17"/>
        <v>#VALUE!</v>
      </c>
      <c r="R188" s="21" t="str">
        <f>_xll.RssMarket(A188,"後場始値")</f>
        <v>表示銘柄数超過</v>
      </c>
      <c r="S188" s="25" t="str">
        <f t="shared" si="18"/>
        <v>-</v>
      </c>
      <c r="T188" s="7" t="str">
        <f>_xll.RssMarket(A188,"出来高加重平均")</f>
        <v>表示銘柄数超過</v>
      </c>
      <c r="U188" s="4" t="e">
        <f t="shared" si="19"/>
        <v>#VALUE!</v>
      </c>
      <c r="V188" s="21" t="str">
        <f>_xll.RssMarket(A188,"出来高")</f>
        <v>表示銘柄数超過</v>
      </c>
      <c r="W188" s="21" t="str">
        <f>_xll.RssMarket(A188,"売買代金")</f>
        <v>表示銘柄数超過</v>
      </c>
      <c r="X188" s="20" t="str">
        <f>_xll.RssMarket(A188,"決算発表日")</f>
        <v>表示銘柄数超過</v>
      </c>
      <c r="Y188" s="26" t="str">
        <f>IF(C188&gt;_xll.RssMarket(A188,"年初来高値"),"○","×")</f>
        <v>×</v>
      </c>
      <c r="Z188" s="27" t="str">
        <f>IF(C188&lt;=_xll.RssMarket(A188,"年初来安値"),"○","×")</f>
        <v>○</v>
      </c>
    </row>
    <row r="189" spans="1:26" x14ac:dyDescent="0.25">
      <c r="A189" s="49">
        <v>2734</v>
      </c>
      <c r="B189" s="20" t="str">
        <f>_xll.RssMarket(A189,"銘柄名称")</f>
        <v>表示銘柄数超過</v>
      </c>
      <c r="C189" s="21" t="str">
        <f>_xll.RssMarket(A189,"現在値")</f>
        <v>表示銘柄数超過</v>
      </c>
      <c r="D189" s="20" t="str">
        <f>_xll.RssMarket(A189,"現在値詳細時刻")</f>
        <v>表示銘柄数超過</v>
      </c>
      <c r="E189" s="22" t="str">
        <f>_xll.RssMarket(A189,"前日比")</f>
        <v>表示銘柄数超過</v>
      </c>
      <c r="F189" s="23" t="e">
        <f>_xll.RssMarket(A189,"前日比率")/100</f>
        <v>#VALUE!</v>
      </c>
      <c r="G189" s="24" t="str">
        <f>IFERROR(VLOOKUP(A189,取得元!$A$2:$F$501,2,FALSE),"-")</f>
        <v>-</v>
      </c>
      <c r="H189" s="24" t="str">
        <f>IFERROR(VLOOKUP(A189,取得元!$A$2:$F$501,3,FALSE),"-")</f>
        <v>-</v>
      </c>
      <c r="I189" s="24" t="str">
        <f>IFERROR(VLOOKUP(A189,取得元!$A$2:$F$501,4,FALSE),"-")</f>
        <v>-</v>
      </c>
      <c r="J189" s="5" t="str">
        <f>IFERROR(VLOOKUP(A189,取得元!$A$2:$F$501,5,FALSE),"-")</f>
        <v>-</v>
      </c>
      <c r="K189" s="25" t="str">
        <f>IFERROR(VLOOKUP(A189,取得元!$A$2:$F$501,6,FALSE)/100,"-")</f>
        <v>-</v>
      </c>
      <c r="L189" s="21" t="str">
        <f>_xll.RssMarket(A189,"始値")</f>
        <v>表示銘柄数超過</v>
      </c>
      <c r="M189" s="4" t="e">
        <f t="shared" si="15"/>
        <v>#VALUE!</v>
      </c>
      <c r="N189" s="21" t="str">
        <f>_xll.RssMarket(A189,"高値")</f>
        <v>表示銘柄数超過</v>
      </c>
      <c r="O189" s="4" t="e">
        <f t="shared" si="16"/>
        <v>#VALUE!</v>
      </c>
      <c r="P189" s="21" t="str">
        <f>_xll.RssMarket(A189,"安値")</f>
        <v>表示銘柄数超過</v>
      </c>
      <c r="Q189" s="4" t="e">
        <f t="shared" si="17"/>
        <v>#VALUE!</v>
      </c>
      <c r="R189" s="21" t="str">
        <f>_xll.RssMarket(A189,"後場始値")</f>
        <v>表示銘柄数超過</v>
      </c>
      <c r="S189" s="25" t="str">
        <f t="shared" si="18"/>
        <v>-</v>
      </c>
      <c r="T189" s="7" t="str">
        <f>_xll.RssMarket(A189,"出来高加重平均")</f>
        <v>表示銘柄数超過</v>
      </c>
      <c r="U189" s="4" t="e">
        <f t="shared" si="19"/>
        <v>#VALUE!</v>
      </c>
      <c r="V189" s="21" t="str">
        <f>_xll.RssMarket(A189,"出来高")</f>
        <v>表示銘柄数超過</v>
      </c>
      <c r="W189" s="21" t="str">
        <f>_xll.RssMarket(A189,"売買代金")</f>
        <v>表示銘柄数超過</v>
      </c>
      <c r="X189" s="20" t="str">
        <f>_xll.RssMarket(A189,"決算発表日")</f>
        <v>表示銘柄数超過</v>
      </c>
      <c r="Y189" s="26" t="str">
        <f>IF(C189&gt;_xll.RssMarket(A189,"年初来高値"),"○","×")</f>
        <v>×</v>
      </c>
      <c r="Z189" s="27" t="str">
        <f>IF(C189&lt;=_xll.RssMarket(A189,"年初来安値"),"○","×")</f>
        <v>○</v>
      </c>
    </row>
    <row r="190" spans="1:26" x14ac:dyDescent="0.25">
      <c r="A190" s="47">
        <v>2735</v>
      </c>
      <c r="B190" s="20" t="str">
        <f>_xll.RssMarket(A190,"銘柄名称")</f>
        <v>表示銘柄数超過</v>
      </c>
      <c r="C190" s="21" t="str">
        <f>_xll.RssMarket(A190,"現在値")</f>
        <v>表示銘柄数超過</v>
      </c>
      <c r="D190" s="20" t="str">
        <f>_xll.RssMarket(A190,"現在値詳細時刻")</f>
        <v>表示銘柄数超過</v>
      </c>
      <c r="E190" s="22" t="str">
        <f>_xll.RssMarket(A190,"前日比")</f>
        <v>表示銘柄数超過</v>
      </c>
      <c r="F190" s="23" t="e">
        <f>_xll.RssMarket(A190,"前日比率")/100</f>
        <v>#VALUE!</v>
      </c>
      <c r="G190" s="24" t="str">
        <f>IFERROR(VLOOKUP(A190,取得元!$A$2:$F$501,2,FALSE),"-")</f>
        <v>-</v>
      </c>
      <c r="H190" s="24" t="str">
        <f>IFERROR(VLOOKUP(A190,取得元!$A$2:$F$501,3,FALSE),"-")</f>
        <v>-</v>
      </c>
      <c r="I190" s="24" t="str">
        <f>IFERROR(VLOOKUP(A190,取得元!$A$2:$F$501,4,FALSE),"-")</f>
        <v>-</v>
      </c>
      <c r="J190" s="5" t="str">
        <f>IFERROR(VLOOKUP(A190,取得元!$A$2:$F$501,5,FALSE),"-")</f>
        <v>-</v>
      </c>
      <c r="K190" s="25" t="str">
        <f>IFERROR(VLOOKUP(A190,取得元!$A$2:$F$501,6,FALSE)/100,"-")</f>
        <v>-</v>
      </c>
      <c r="L190" s="21" t="str">
        <f>_xll.RssMarket(A190,"始値")</f>
        <v>表示銘柄数超過</v>
      </c>
      <c r="M190" s="4" t="e">
        <f t="shared" si="15"/>
        <v>#VALUE!</v>
      </c>
      <c r="N190" s="21" t="str">
        <f>_xll.RssMarket(A190,"高値")</f>
        <v>表示銘柄数超過</v>
      </c>
      <c r="O190" s="4" t="e">
        <f t="shared" si="16"/>
        <v>#VALUE!</v>
      </c>
      <c r="P190" s="21" t="str">
        <f>_xll.RssMarket(A190,"安値")</f>
        <v>表示銘柄数超過</v>
      </c>
      <c r="Q190" s="4" t="e">
        <f t="shared" si="17"/>
        <v>#VALUE!</v>
      </c>
      <c r="R190" s="21" t="str">
        <f>_xll.RssMarket(A190,"後場始値")</f>
        <v>表示銘柄数超過</v>
      </c>
      <c r="S190" s="25" t="str">
        <f t="shared" si="18"/>
        <v>-</v>
      </c>
      <c r="T190" s="7" t="str">
        <f>_xll.RssMarket(A190,"出来高加重平均")</f>
        <v>表示銘柄数超過</v>
      </c>
      <c r="U190" s="4" t="e">
        <f t="shared" si="19"/>
        <v>#VALUE!</v>
      </c>
      <c r="V190" s="21" t="str">
        <f>_xll.RssMarket(A190,"出来高")</f>
        <v>表示銘柄数超過</v>
      </c>
      <c r="W190" s="21" t="str">
        <f>_xll.RssMarket(A190,"売買代金")</f>
        <v>表示銘柄数超過</v>
      </c>
      <c r="X190" s="20" t="str">
        <f>_xll.RssMarket(A190,"決算発表日")</f>
        <v>表示銘柄数超過</v>
      </c>
      <c r="Y190" s="26" t="str">
        <f>IF(C190&gt;_xll.RssMarket(A190,"年初来高値"),"○","×")</f>
        <v>×</v>
      </c>
      <c r="Z190" s="27" t="str">
        <f>IF(C190&lt;=_xll.RssMarket(A190,"年初来安値"),"○","×")</f>
        <v>○</v>
      </c>
    </row>
    <row r="191" spans="1:26" x14ac:dyDescent="0.25">
      <c r="A191" s="49">
        <v>2743</v>
      </c>
      <c r="B191" s="20" t="str">
        <f>_xll.RssMarket(A191,"銘柄名称")</f>
        <v>表示銘柄数超過</v>
      </c>
      <c r="C191" s="21" t="str">
        <f>_xll.RssMarket(A191,"現在値")</f>
        <v>表示銘柄数超過</v>
      </c>
      <c r="D191" s="20" t="str">
        <f>_xll.RssMarket(A191,"現在値詳細時刻")</f>
        <v>表示銘柄数超過</v>
      </c>
      <c r="E191" s="22" t="str">
        <f>_xll.RssMarket(A191,"前日比")</f>
        <v>表示銘柄数超過</v>
      </c>
      <c r="F191" s="23" t="e">
        <f>_xll.RssMarket(A191,"前日比率")/100</f>
        <v>#VALUE!</v>
      </c>
      <c r="G191" s="24" t="str">
        <f>IFERROR(VLOOKUP(A191,取得元!$A$2:$F$501,2,FALSE),"-")</f>
        <v>-</v>
      </c>
      <c r="H191" s="24" t="str">
        <f>IFERROR(VLOOKUP(A191,取得元!$A$2:$F$501,3,FALSE),"-")</f>
        <v>-</v>
      </c>
      <c r="I191" s="24" t="str">
        <f>IFERROR(VLOOKUP(A191,取得元!$A$2:$F$501,4,FALSE),"-")</f>
        <v>-</v>
      </c>
      <c r="J191" s="5" t="str">
        <f>IFERROR(VLOOKUP(A191,取得元!$A$2:$F$501,5,FALSE),"-")</f>
        <v>-</v>
      </c>
      <c r="K191" s="25" t="str">
        <f>IFERROR(VLOOKUP(A191,取得元!$A$2:$F$501,6,FALSE)/100,"-")</f>
        <v>-</v>
      </c>
      <c r="L191" s="21" t="str">
        <f>_xll.RssMarket(A191,"始値")</f>
        <v>表示銘柄数超過</v>
      </c>
      <c r="M191" s="4" t="e">
        <f t="shared" si="15"/>
        <v>#VALUE!</v>
      </c>
      <c r="N191" s="21" t="str">
        <f>_xll.RssMarket(A191,"高値")</f>
        <v>表示銘柄数超過</v>
      </c>
      <c r="O191" s="4" t="e">
        <f t="shared" si="16"/>
        <v>#VALUE!</v>
      </c>
      <c r="P191" s="21" t="str">
        <f>_xll.RssMarket(A191,"安値")</f>
        <v>表示銘柄数超過</v>
      </c>
      <c r="Q191" s="4" t="e">
        <f t="shared" si="17"/>
        <v>#VALUE!</v>
      </c>
      <c r="R191" s="21" t="str">
        <f>_xll.RssMarket(A191,"後場始値")</f>
        <v>表示銘柄数超過</v>
      </c>
      <c r="S191" s="25" t="str">
        <f t="shared" si="18"/>
        <v>-</v>
      </c>
      <c r="T191" s="7" t="str">
        <f>_xll.RssMarket(A191,"出来高加重平均")</f>
        <v>表示銘柄数超過</v>
      </c>
      <c r="U191" s="4" t="e">
        <f t="shared" si="19"/>
        <v>#VALUE!</v>
      </c>
      <c r="V191" s="21" t="str">
        <f>_xll.RssMarket(A191,"出来高")</f>
        <v>表示銘柄数超過</v>
      </c>
      <c r="W191" s="21" t="str">
        <f>_xll.RssMarket(A191,"売買代金")</f>
        <v>表示銘柄数超過</v>
      </c>
      <c r="X191" s="20" t="str">
        <f>_xll.RssMarket(A191,"決算発表日")</f>
        <v>表示銘柄数超過</v>
      </c>
      <c r="Y191" s="26" t="str">
        <f>IF(C191&gt;_xll.RssMarket(A191,"年初来高値"),"○","×")</f>
        <v>×</v>
      </c>
      <c r="Z191" s="27" t="str">
        <f>IF(C191&lt;=_xll.RssMarket(A191,"年初来安値"),"○","×")</f>
        <v>○</v>
      </c>
    </row>
    <row r="192" spans="1:26" x14ac:dyDescent="0.25">
      <c r="A192" s="47">
        <v>2749</v>
      </c>
      <c r="B192" s="20" t="str">
        <f>_xll.RssMarket(A192,"銘柄名称")</f>
        <v>表示銘柄数超過</v>
      </c>
      <c r="C192" s="21" t="str">
        <f>_xll.RssMarket(A192,"現在値")</f>
        <v>表示銘柄数超過</v>
      </c>
      <c r="D192" s="20" t="str">
        <f>_xll.RssMarket(A192,"現在値詳細時刻")</f>
        <v>表示銘柄数超過</v>
      </c>
      <c r="E192" s="22" t="str">
        <f>_xll.RssMarket(A192,"前日比")</f>
        <v>表示銘柄数超過</v>
      </c>
      <c r="F192" s="23" t="e">
        <f>_xll.RssMarket(A192,"前日比率")/100</f>
        <v>#VALUE!</v>
      </c>
      <c r="G192" s="24" t="str">
        <f>IFERROR(VLOOKUP(A192,取得元!$A$2:$F$501,2,FALSE),"-")</f>
        <v>-</v>
      </c>
      <c r="H192" s="24" t="str">
        <f>IFERROR(VLOOKUP(A192,取得元!$A$2:$F$501,3,FALSE),"-")</f>
        <v>-</v>
      </c>
      <c r="I192" s="24" t="str">
        <f>IFERROR(VLOOKUP(A192,取得元!$A$2:$F$501,4,FALSE),"-")</f>
        <v>-</v>
      </c>
      <c r="J192" s="5" t="str">
        <f>IFERROR(VLOOKUP(A192,取得元!$A$2:$F$501,5,FALSE),"-")</f>
        <v>-</v>
      </c>
      <c r="K192" s="25" t="str">
        <f>IFERROR(VLOOKUP(A192,取得元!$A$2:$F$501,6,FALSE)/100,"-")</f>
        <v>-</v>
      </c>
      <c r="L192" s="21" t="str">
        <f>_xll.RssMarket(A192,"始値")</f>
        <v>表示銘柄数超過</v>
      </c>
      <c r="M192" s="4" t="e">
        <f t="shared" si="15"/>
        <v>#VALUE!</v>
      </c>
      <c r="N192" s="21" t="str">
        <f>_xll.RssMarket(A192,"高値")</f>
        <v>表示銘柄数超過</v>
      </c>
      <c r="O192" s="4" t="e">
        <f t="shared" si="16"/>
        <v>#VALUE!</v>
      </c>
      <c r="P192" s="21" t="str">
        <f>_xll.RssMarket(A192,"安値")</f>
        <v>表示銘柄数超過</v>
      </c>
      <c r="Q192" s="4" t="e">
        <f t="shared" si="17"/>
        <v>#VALUE!</v>
      </c>
      <c r="R192" s="21" t="str">
        <f>_xll.RssMarket(A192,"後場始値")</f>
        <v>表示銘柄数超過</v>
      </c>
      <c r="S192" s="25" t="str">
        <f t="shared" si="18"/>
        <v>-</v>
      </c>
      <c r="T192" s="7" t="str">
        <f>_xll.RssMarket(A192,"出来高加重平均")</f>
        <v>表示銘柄数超過</v>
      </c>
      <c r="U192" s="4" t="e">
        <f t="shared" si="19"/>
        <v>#VALUE!</v>
      </c>
      <c r="V192" s="21" t="str">
        <f>_xll.RssMarket(A192,"出来高")</f>
        <v>表示銘柄数超過</v>
      </c>
      <c r="W192" s="21" t="str">
        <f>_xll.RssMarket(A192,"売買代金")</f>
        <v>表示銘柄数超過</v>
      </c>
      <c r="X192" s="20" t="str">
        <f>_xll.RssMarket(A192,"決算発表日")</f>
        <v>表示銘柄数超過</v>
      </c>
      <c r="Y192" s="26" t="str">
        <f>IF(C192&gt;_xll.RssMarket(A192,"年初来高値"),"○","×")</f>
        <v>×</v>
      </c>
      <c r="Z192" s="27" t="str">
        <f>IF(C192&lt;=_xll.RssMarket(A192,"年初来安値"),"○","×")</f>
        <v>○</v>
      </c>
    </row>
    <row r="193" spans="1:26" x14ac:dyDescent="0.25">
      <c r="A193" s="49">
        <v>2762</v>
      </c>
      <c r="B193" s="20" t="str">
        <f>_xll.RssMarket(A193,"銘柄名称")</f>
        <v>表示銘柄数超過</v>
      </c>
      <c r="C193" s="21" t="str">
        <f>_xll.RssMarket(A193,"現在値")</f>
        <v>表示銘柄数超過</v>
      </c>
      <c r="D193" s="20" t="str">
        <f>_xll.RssMarket(A193,"現在値詳細時刻")</f>
        <v>表示銘柄数超過</v>
      </c>
      <c r="E193" s="22" t="str">
        <f>_xll.RssMarket(A193,"前日比")</f>
        <v>表示銘柄数超過</v>
      </c>
      <c r="F193" s="23" t="e">
        <f>_xll.RssMarket(A193,"前日比率")/100</f>
        <v>#VALUE!</v>
      </c>
      <c r="G193" s="24" t="str">
        <f>IFERROR(VLOOKUP(A193,取得元!$A$2:$F$501,2,FALSE),"-")</f>
        <v>-</v>
      </c>
      <c r="H193" s="24" t="str">
        <f>IFERROR(VLOOKUP(A193,取得元!$A$2:$F$501,3,FALSE),"-")</f>
        <v>-</v>
      </c>
      <c r="I193" s="24" t="str">
        <f>IFERROR(VLOOKUP(A193,取得元!$A$2:$F$501,4,FALSE),"-")</f>
        <v>-</v>
      </c>
      <c r="J193" s="5" t="str">
        <f>IFERROR(VLOOKUP(A193,取得元!$A$2:$F$501,5,FALSE),"-")</f>
        <v>-</v>
      </c>
      <c r="K193" s="25" t="str">
        <f>IFERROR(VLOOKUP(A193,取得元!$A$2:$F$501,6,FALSE)/100,"-")</f>
        <v>-</v>
      </c>
      <c r="L193" s="21" t="str">
        <f>_xll.RssMarket(A193,"始値")</f>
        <v>表示銘柄数超過</v>
      </c>
      <c r="M193" s="4" t="e">
        <f t="shared" si="15"/>
        <v>#VALUE!</v>
      </c>
      <c r="N193" s="21" t="str">
        <f>_xll.RssMarket(A193,"高値")</f>
        <v>表示銘柄数超過</v>
      </c>
      <c r="O193" s="4" t="e">
        <f t="shared" si="16"/>
        <v>#VALUE!</v>
      </c>
      <c r="P193" s="21" t="str">
        <f>_xll.RssMarket(A193,"安値")</f>
        <v>表示銘柄数超過</v>
      </c>
      <c r="Q193" s="4" t="e">
        <f t="shared" si="17"/>
        <v>#VALUE!</v>
      </c>
      <c r="R193" s="21" t="str">
        <f>_xll.RssMarket(A193,"後場始値")</f>
        <v>表示銘柄数超過</v>
      </c>
      <c r="S193" s="25" t="str">
        <f t="shared" si="18"/>
        <v>-</v>
      </c>
      <c r="T193" s="7" t="str">
        <f>_xll.RssMarket(A193,"出来高加重平均")</f>
        <v>表示銘柄数超過</v>
      </c>
      <c r="U193" s="4" t="e">
        <f t="shared" si="19"/>
        <v>#VALUE!</v>
      </c>
      <c r="V193" s="21" t="str">
        <f>_xll.RssMarket(A193,"出来高")</f>
        <v>表示銘柄数超過</v>
      </c>
      <c r="W193" s="21" t="str">
        <f>_xll.RssMarket(A193,"売買代金")</f>
        <v>表示銘柄数超過</v>
      </c>
      <c r="X193" s="20" t="str">
        <f>_xll.RssMarket(A193,"決算発表日")</f>
        <v>表示銘柄数超過</v>
      </c>
      <c r="Y193" s="26" t="str">
        <f>IF(C193&gt;_xll.RssMarket(A193,"年初来高値"),"○","×")</f>
        <v>×</v>
      </c>
      <c r="Z193" s="27" t="str">
        <f>IF(C193&lt;=_xll.RssMarket(A193,"年初来安値"),"○","×")</f>
        <v>○</v>
      </c>
    </row>
    <row r="194" spans="1:26" x14ac:dyDescent="0.25">
      <c r="A194" s="47">
        <v>2764</v>
      </c>
      <c r="B194" s="20" t="str">
        <f>_xll.RssMarket(A194,"銘柄名称")</f>
        <v>表示銘柄数超過</v>
      </c>
      <c r="C194" s="21" t="str">
        <f>_xll.RssMarket(A194,"現在値")</f>
        <v>表示銘柄数超過</v>
      </c>
      <c r="D194" s="20" t="str">
        <f>_xll.RssMarket(A194,"現在値詳細時刻")</f>
        <v>表示銘柄数超過</v>
      </c>
      <c r="E194" s="22" t="str">
        <f>_xll.RssMarket(A194,"前日比")</f>
        <v>表示銘柄数超過</v>
      </c>
      <c r="F194" s="23" t="e">
        <f>_xll.RssMarket(A194,"前日比率")/100</f>
        <v>#VALUE!</v>
      </c>
      <c r="G194" s="24" t="str">
        <f>IFERROR(VLOOKUP(A194,取得元!$A$2:$F$501,2,FALSE),"-")</f>
        <v>-</v>
      </c>
      <c r="H194" s="24" t="str">
        <f>IFERROR(VLOOKUP(A194,取得元!$A$2:$F$501,3,FALSE),"-")</f>
        <v>-</v>
      </c>
      <c r="I194" s="24" t="str">
        <f>IFERROR(VLOOKUP(A194,取得元!$A$2:$F$501,4,FALSE),"-")</f>
        <v>-</v>
      </c>
      <c r="J194" s="5" t="str">
        <f>IFERROR(VLOOKUP(A194,取得元!$A$2:$F$501,5,FALSE),"-")</f>
        <v>-</v>
      </c>
      <c r="K194" s="25" t="str">
        <f>IFERROR(VLOOKUP(A194,取得元!$A$2:$F$501,6,FALSE)/100,"-")</f>
        <v>-</v>
      </c>
      <c r="L194" s="21" t="str">
        <f>_xll.RssMarket(A194,"始値")</f>
        <v>表示銘柄数超過</v>
      </c>
      <c r="M194" s="4" t="e">
        <f t="shared" si="15"/>
        <v>#VALUE!</v>
      </c>
      <c r="N194" s="21" t="str">
        <f>_xll.RssMarket(A194,"高値")</f>
        <v>表示銘柄数超過</v>
      </c>
      <c r="O194" s="4" t="e">
        <f t="shared" si="16"/>
        <v>#VALUE!</v>
      </c>
      <c r="P194" s="21" t="str">
        <f>_xll.RssMarket(A194,"安値")</f>
        <v>表示銘柄数超過</v>
      </c>
      <c r="Q194" s="4" t="e">
        <f t="shared" si="17"/>
        <v>#VALUE!</v>
      </c>
      <c r="R194" s="21" t="str">
        <f>_xll.RssMarket(A194,"後場始値")</f>
        <v>表示銘柄数超過</v>
      </c>
      <c r="S194" s="25" t="str">
        <f t="shared" si="18"/>
        <v>-</v>
      </c>
      <c r="T194" s="7" t="str">
        <f>_xll.RssMarket(A194,"出来高加重平均")</f>
        <v>表示銘柄数超過</v>
      </c>
      <c r="U194" s="4" t="e">
        <f t="shared" si="19"/>
        <v>#VALUE!</v>
      </c>
      <c r="V194" s="21" t="str">
        <f>_xll.RssMarket(A194,"出来高")</f>
        <v>表示銘柄数超過</v>
      </c>
      <c r="W194" s="21" t="str">
        <f>_xll.RssMarket(A194,"売買代金")</f>
        <v>表示銘柄数超過</v>
      </c>
      <c r="X194" s="20" t="str">
        <f>_xll.RssMarket(A194,"決算発表日")</f>
        <v>表示銘柄数超過</v>
      </c>
      <c r="Y194" s="26" t="str">
        <f>IF(C194&gt;_xll.RssMarket(A194,"年初来高値"),"○","×")</f>
        <v>×</v>
      </c>
      <c r="Z194" s="27" t="str">
        <f>IF(C194&lt;=_xll.RssMarket(A194,"年初来安値"),"○","×")</f>
        <v>○</v>
      </c>
    </row>
    <row r="195" spans="1:26" x14ac:dyDescent="0.25">
      <c r="A195" s="49">
        <v>2767</v>
      </c>
      <c r="B195" s="20" t="str">
        <f>_xll.RssMarket(A195,"銘柄名称")</f>
        <v>表示銘柄数超過</v>
      </c>
      <c r="C195" s="21" t="str">
        <f>_xll.RssMarket(A195,"現在値")</f>
        <v>表示銘柄数超過</v>
      </c>
      <c r="D195" s="20" t="str">
        <f>_xll.RssMarket(A195,"現在値詳細時刻")</f>
        <v>表示銘柄数超過</v>
      </c>
      <c r="E195" s="22" t="str">
        <f>_xll.RssMarket(A195,"前日比")</f>
        <v>表示銘柄数超過</v>
      </c>
      <c r="F195" s="23" t="e">
        <f>_xll.RssMarket(A195,"前日比率")/100</f>
        <v>#VALUE!</v>
      </c>
      <c r="G195" s="24" t="str">
        <f>IFERROR(VLOOKUP(A195,取得元!$A$2:$F$501,2,FALSE),"-")</f>
        <v>-</v>
      </c>
      <c r="H195" s="24" t="str">
        <f>IFERROR(VLOOKUP(A195,取得元!$A$2:$F$501,3,FALSE),"-")</f>
        <v>-</v>
      </c>
      <c r="I195" s="24" t="str">
        <f>IFERROR(VLOOKUP(A195,取得元!$A$2:$F$501,4,FALSE),"-")</f>
        <v>-</v>
      </c>
      <c r="J195" s="5" t="str">
        <f>IFERROR(VLOOKUP(A195,取得元!$A$2:$F$501,5,FALSE),"-")</f>
        <v>-</v>
      </c>
      <c r="K195" s="25" t="str">
        <f>IFERROR(VLOOKUP(A195,取得元!$A$2:$F$501,6,FALSE)/100,"-")</f>
        <v>-</v>
      </c>
      <c r="L195" s="21" t="str">
        <f>_xll.RssMarket(A195,"始値")</f>
        <v>表示銘柄数超過</v>
      </c>
      <c r="M195" s="4" t="e">
        <f t="shared" si="15"/>
        <v>#VALUE!</v>
      </c>
      <c r="N195" s="21" t="str">
        <f>_xll.RssMarket(A195,"高値")</f>
        <v>表示銘柄数超過</v>
      </c>
      <c r="O195" s="4" t="e">
        <f t="shared" si="16"/>
        <v>#VALUE!</v>
      </c>
      <c r="P195" s="21" t="str">
        <f>_xll.RssMarket(A195,"安値")</f>
        <v>表示銘柄数超過</v>
      </c>
      <c r="Q195" s="4" t="e">
        <f t="shared" si="17"/>
        <v>#VALUE!</v>
      </c>
      <c r="R195" s="21" t="str">
        <f>_xll.RssMarket(A195,"後場始値")</f>
        <v>表示銘柄数超過</v>
      </c>
      <c r="S195" s="25" t="str">
        <f t="shared" si="18"/>
        <v>-</v>
      </c>
      <c r="T195" s="7" t="str">
        <f>_xll.RssMarket(A195,"出来高加重平均")</f>
        <v>表示銘柄数超過</v>
      </c>
      <c r="U195" s="4" t="e">
        <f t="shared" si="19"/>
        <v>#VALUE!</v>
      </c>
      <c r="V195" s="21" t="str">
        <f>_xll.RssMarket(A195,"出来高")</f>
        <v>表示銘柄数超過</v>
      </c>
      <c r="W195" s="21" t="str">
        <f>_xll.RssMarket(A195,"売買代金")</f>
        <v>表示銘柄数超過</v>
      </c>
      <c r="X195" s="20" t="str">
        <f>_xll.RssMarket(A195,"決算発表日")</f>
        <v>表示銘柄数超過</v>
      </c>
      <c r="Y195" s="26" t="str">
        <f>IF(C195&gt;_xll.RssMarket(A195,"年初来高値"),"○","×")</f>
        <v>×</v>
      </c>
      <c r="Z195" s="27" t="str">
        <f>IF(C195&lt;=_xll.RssMarket(A195,"年初来安値"),"○","×")</f>
        <v>○</v>
      </c>
    </row>
    <row r="196" spans="1:26" x14ac:dyDescent="0.25">
      <c r="A196" s="47">
        <v>2768</v>
      </c>
      <c r="B196" s="20" t="str">
        <f>_xll.RssMarket(A196,"銘柄名称")</f>
        <v>表示銘柄数超過</v>
      </c>
      <c r="C196" s="21" t="str">
        <f>_xll.RssMarket(A196,"現在値")</f>
        <v>表示銘柄数超過</v>
      </c>
      <c r="D196" s="20" t="str">
        <f>_xll.RssMarket(A196,"現在値詳細時刻")</f>
        <v>表示銘柄数超過</v>
      </c>
      <c r="E196" s="22" t="str">
        <f>_xll.RssMarket(A196,"前日比")</f>
        <v>表示銘柄数超過</v>
      </c>
      <c r="F196" s="23" t="e">
        <f>_xll.RssMarket(A196,"前日比率")/100</f>
        <v>#VALUE!</v>
      </c>
      <c r="G196" s="24" t="str">
        <f>IFERROR(VLOOKUP(A196,取得元!$A$2:$F$501,2,FALSE),"-")</f>
        <v>-</v>
      </c>
      <c r="H196" s="24" t="str">
        <f>IFERROR(VLOOKUP(A196,取得元!$A$2:$F$501,3,FALSE),"-")</f>
        <v>-</v>
      </c>
      <c r="I196" s="24" t="str">
        <f>IFERROR(VLOOKUP(A196,取得元!$A$2:$F$501,4,FALSE),"-")</f>
        <v>-</v>
      </c>
      <c r="J196" s="5" t="str">
        <f>IFERROR(VLOOKUP(A196,取得元!$A$2:$F$501,5,FALSE),"-")</f>
        <v>-</v>
      </c>
      <c r="K196" s="25" t="str">
        <f>IFERROR(VLOOKUP(A196,取得元!$A$2:$F$501,6,FALSE)/100,"-")</f>
        <v>-</v>
      </c>
      <c r="L196" s="21" t="str">
        <f>_xll.RssMarket(A196,"始値")</f>
        <v>表示銘柄数超過</v>
      </c>
      <c r="M196" s="4" t="e">
        <f t="shared" ref="M196:M259" si="20">C196/L196-1</f>
        <v>#VALUE!</v>
      </c>
      <c r="N196" s="21" t="str">
        <f>_xll.RssMarket(A196,"高値")</f>
        <v>表示銘柄数超過</v>
      </c>
      <c r="O196" s="4" t="e">
        <f t="shared" ref="O196:O259" si="21">C196/N196-1</f>
        <v>#VALUE!</v>
      </c>
      <c r="P196" s="21" t="str">
        <f>_xll.RssMarket(A196,"安値")</f>
        <v>表示銘柄数超過</v>
      </c>
      <c r="Q196" s="4" t="e">
        <f t="shared" ref="Q196:Q259" si="22">C196/P196-1</f>
        <v>#VALUE!</v>
      </c>
      <c r="R196" s="21" t="str">
        <f>_xll.RssMarket(A196,"後場始値")</f>
        <v>表示銘柄数超過</v>
      </c>
      <c r="S196" s="25" t="str">
        <f t="shared" ref="S196:S259" si="23">IFERROR(C196/R196-1,"-")</f>
        <v>-</v>
      </c>
      <c r="T196" s="7" t="str">
        <f>_xll.RssMarket(A196,"出来高加重平均")</f>
        <v>表示銘柄数超過</v>
      </c>
      <c r="U196" s="4" t="e">
        <f t="shared" ref="U196:U259" si="24">C196/T196-1</f>
        <v>#VALUE!</v>
      </c>
      <c r="V196" s="21" t="str">
        <f>_xll.RssMarket(A196,"出来高")</f>
        <v>表示銘柄数超過</v>
      </c>
      <c r="W196" s="21" t="str">
        <f>_xll.RssMarket(A196,"売買代金")</f>
        <v>表示銘柄数超過</v>
      </c>
      <c r="X196" s="20" t="str">
        <f>_xll.RssMarket(A196,"決算発表日")</f>
        <v>表示銘柄数超過</v>
      </c>
      <c r="Y196" s="26" t="str">
        <f>IF(C196&gt;_xll.RssMarket(A196,"年初来高値"),"○","×")</f>
        <v>×</v>
      </c>
      <c r="Z196" s="27" t="str">
        <f>IF(C196&lt;=_xll.RssMarket(A196,"年初来安値"),"○","×")</f>
        <v>○</v>
      </c>
    </row>
    <row r="197" spans="1:26" x14ac:dyDescent="0.25">
      <c r="A197" s="49">
        <v>2776</v>
      </c>
      <c r="B197" s="20" t="str">
        <f>_xll.RssMarket(A197,"銘柄名称")</f>
        <v>表示銘柄数超過</v>
      </c>
      <c r="C197" s="21" t="str">
        <f>_xll.RssMarket(A197,"現在値")</f>
        <v>表示銘柄数超過</v>
      </c>
      <c r="D197" s="20" t="str">
        <f>_xll.RssMarket(A197,"現在値詳細時刻")</f>
        <v>表示銘柄数超過</v>
      </c>
      <c r="E197" s="22" t="str">
        <f>_xll.RssMarket(A197,"前日比")</f>
        <v>表示銘柄数超過</v>
      </c>
      <c r="F197" s="23" t="e">
        <f>_xll.RssMarket(A197,"前日比率")/100</f>
        <v>#VALUE!</v>
      </c>
      <c r="G197" s="24" t="str">
        <f>IFERROR(VLOOKUP(A197,取得元!$A$2:$F$501,2,FALSE),"-")</f>
        <v>-</v>
      </c>
      <c r="H197" s="24" t="str">
        <f>IFERROR(VLOOKUP(A197,取得元!$A$2:$F$501,3,FALSE),"-")</f>
        <v>-</v>
      </c>
      <c r="I197" s="24" t="str">
        <f>IFERROR(VLOOKUP(A197,取得元!$A$2:$F$501,4,FALSE),"-")</f>
        <v>-</v>
      </c>
      <c r="J197" s="5" t="str">
        <f>IFERROR(VLOOKUP(A197,取得元!$A$2:$F$501,5,FALSE),"-")</f>
        <v>-</v>
      </c>
      <c r="K197" s="25" t="str">
        <f>IFERROR(VLOOKUP(A197,取得元!$A$2:$F$501,6,FALSE)/100,"-")</f>
        <v>-</v>
      </c>
      <c r="L197" s="21" t="str">
        <f>_xll.RssMarket(A197,"始値")</f>
        <v>表示銘柄数超過</v>
      </c>
      <c r="M197" s="4" t="e">
        <f t="shared" si="20"/>
        <v>#VALUE!</v>
      </c>
      <c r="N197" s="21" t="str">
        <f>_xll.RssMarket(A197,"高値")</f>
        <v>表示銘柄数超過</v>
      </c>
      <c r="O197" s="4" t="e">
        <f t="shared" si="21"/>
        <v>#VALUE!</v>
      </c>
      <c r="P197" s="21" t="str">
        <f>_xll.RssMarket(A197,"安値")</f>
        <v>表示銘柄数超過</v>
      </c>
      <c r="Q197" s="4" t="e">
        <f t="shared" si="22"/>
        <v>#VALUE!</v>
      </c>
      <c r="R197" s="21" t="str">
        <f>_xll.RssMarket(A197,"後場始値")</f>
        <v>表示銘柄数超過</v>
      </c>
      <c r="S197" s="25" t="str">
        <f t="shared" si="23"/>
        <v>-</v>
      </c>
      <c r="T197" s="7" t="str">
        <f>_xll.RssMarket(A197,"出来高加重平均")</f>
        <v>表示銘柄数超過</v>
      </c>
      <c r="U197" s="4" t="e">
        <f t="shared" si="24"/>
        <v>#VALUE!</v>
      </c>
      <c r="V197" s="21" t="str">
        <f>_xll.RssMarket(A197,"出来高")</f>
        <v>表示銘柄数超過</v>
      </c>
      <c r="W197" s="21" t="str">
        <f>_xll.RssMarket(A197,"売買代金")</f>
        <v>表示銘柄数超過</v>
      </c>
      <c r="X197" s="20" t="str">
        <f>_xll.RssMarket(A197,"決算発表日")</f>
        <v>表示銘柄数超過</v>
      </c>
      <c r="Y197" s="26" t="str">
        <f>IF(C197&gt;_xll.RssMarket(A197,"年初来高値"),"○","×")</f>
        <v>×</v>
      </c>
      <c r="Z197" s="27" t="str">
        <f>IF(C197&lt;=_xll.RssMarket(A197,"年初来安値"),"○","×")</f>
        <v>○</v>
      </c>
    </row>
    <row r="198" spans="1:26" x14ac:dyDescent="0.25">
      <c r="A198" s="47">
        <v>2778</v>
      </c>
      <c r="B198" s="20" t="str">
        <f>_xll.RssMarket(A198,"銘柄名称")</f>
        <v>表示銘柄数超過</v>
      </c>
      <c r="C198" s="21" t="str">
        <f>_xll.RssMarket(A198,"現在値")</f>
        <v>表示銘柄数超過</v>
      </c>
      <c r="D198" s="20" t="str">
        <f>_xll.RssMarket(A198,"現在値詳細時刻")</f>
        <v>表示銘柄数超過</v>
      </c>
      <c r="E198" s="22" t="str">
        <f>_xll.RssMarket(A198,"前日比")</f>
        <v>表示銘柄数超過</v>
      </c>
      <c r="F198" s="23" t="e">
        <f>_xll.RssMarket(A198,"前日比率")/100</f>
        <v>#VALUE!</v>
      </c>
      <c r="G198" s="24" t="str">
        <f>IFERROR(VLOOKUP(A198,取得元!$A$2:$F$501,2,FALSE),"-")</f>
        <v>-</v>
      </c>
      <c r="H198" s="24" t="str">
        <f>IFERROR(VLOOKUP(A198,取得元!$A$2:$F$501,3,FALSE),"-")</f>
        <v>-</v>
      </c>
      <c r="I198" s="24" t="str">
        <f>IFERROR(VLOOKUP(A198,取得元!$A$2:$F$501,4,FALSE),"-")</f>
        <v>-</v>
      </c>
      <c r="J198" s="5" t="str">
        <f>IFERROR(VLOOKUP(A198,取得元!$A$2:$F$501,5,FALSE),"-")</f>
        <v>-</v>
      </c>
      <c r="K198" s="25" t="str">
        <f>IFERROR(VLOOKUP(A198,取得元!$A$2:$F$501,6,FALSE)/100,"-")</f>
        <v>-</v>
      </c>
      <c r="L198" s="21" t="str">
        <f>_xll.RssMarket(A198,"始値")</f>
        <v>表示銘柄数超過</v>
      </c>
      <c r="M198" s="4" t="e">
        <f t="shared" si="20"/>
        <v>#VALUE!</v>
      </c>
      <c r="N198" s="21" t="str">
        <f>_xll.RssMarket(A198,"高値")</f>
        <v>表示銘柄数超過</v>
      </c>
      <c r="O198" s="4" t="e">
        <f t="shared" si="21"/>
        <v>#VALUE!</v>
      </c>
      <c r="P198" s="21" t="str">
        <f>_xll.RssMarket(A198,"安値")</f>
        <v>表示銘柄数超過</v>
      </c>
      <c r="Q198" s="4" t="e">
        <f t="shared" si="22"/>
        <v>#VALUE!</v>
      </c>
      <c r="R198" s="21" t="str">
        <f>_xll.RssMarket(A198,"後場始値")</f>
        <v>表示銘柄数超過</v>
      </c>
      <c r="S198" s="25" t="str">
        <f t="shared" si="23"/>
        <v>-</v>
      </c>
      <c r="T198" s="7" t="str">
        <f>_xll.RssMarket(A198,"出来高加重平均")</f>
        <v>表示銘柄数超過</v>
      </c>
      <c r="U198" s="4" t="e">
        <f t="shared" si="24"/>
        <v>#VALUE!</v>
      </c>
      <c r="V198" s="21" t="str">
        <f>_xll.RssMarket(A198,"出来高")</f>
        <v>表示銘柄数超過</v>
      </c>
      <c r="W198" s="21" t="str">
        <f>_xll.RssMarket(A198,"売買代金")</f>
        <v>表示銘柄数超過</v>
      </c>
      <c r="X198" s="20" t="str">
        <f>_xll.RssMarket(A198,"決算発表日")</f>
        <v>表示銘柄数超過</v>
      </c>
      <c r="Y198" s="26" t="str">
        <f>IF(C198&gt;_xll.RssMarket(A198,"年初来高値"),"○","×")</f>
        <v>×</v>
      </c>
      <c r="Z198" s="27" t="str">
        <f>IF(C198&lt;=_xll.RssMarket(A198,"年初来安値"),"○","×")</f>
        <v>○</v>
      </c>
    </row>
    <row r="199" spans="1:26" x14ac:dyDescent="0.25">
      <c r="A199" s="49">
        <v>2782</v>
      </c>
      <c r="B199" s="20" t="str">
        <f>_xll.RssMarket(A199,"銘柄名称")</f>
        <v>表示銘柄数超過</v>
      </c>
      <c r="C199" s="21" t="str">
        <f>_xll.RssMarket(A199,"現在値")</f>
        <v>表示銘柄数超過</v>
      </c>
      <c r="D199" s="20" t="str">
        <f>_xll.RssMarket(A199,"現在値詳細時刻")</f>
        <v>表示銘柄数超過</v>
      </c>
      <c r="E199" s="22" t="str">
        <f>_xll.RssMarket(A199,"前日比")</f>
        <v>表示銘柄数超過</v>
      </c>
      <c r="F199" s="23" t="e">
        <f>_xll.RssMarket(A199,"前日比率")/100</f>
        <v>#VALUE!</v>
      </c>
      <c r="G199" s="24" t="str">
        <f>IFERROR(VLOOKUP(A199,取得元!$A$2:$F$501,2,FALSE),"-")</f>
        <v>-</v>
      </c>
      <c r="H199" s="24" t="str">
        <f>IFERROR(VLOOKUP(A199,取得元!$A$2:$F$501,3,FALSE),"-")</f>
        <v>-</v>
      </c>
      <c r="I199" s="24" t="str">
        <f>IFERROR(VLOOKUP(A199,取得元!$A$2:$F$501,4,FALSE),"-")</f>
        <v>-</v>
      </c>
      <c r="J199" s="5" t="str">
        <f>IFERROR(VLOOKUP(A199,取得元!$A$2:$F$501,5,FALSE),"-")</f>
        <v>-</v>
      </c>
      <c r="K199" s="25" t="str">
        <f>IFERROR(VLOOKUP(A199,取得元!$A$2:$F$501,6,FALSE)/100,"-")</f>
        <v>-</v>
      </c>
      <c r="L199" s="21" t="str">
        <f>_xll.RssMarket(A199,"始値")</f>
        <v>表示銘柄数超過</v>
      </c>
      <c r="M199" s="4" t="e">
        <f t="shared" si="20"/>
        <v>#VALUE!</v>
      </c>
      <c r="N199" s="21" t="str">
        <f>_xll.RssMarket(A199,"高値")</f>
        <v>表示銘柄数超過</v>
      </c>
      <c r="O199" s="4" t="e">
        <f t="shared" si="21"/>
        <v>#VALUE!</v>
      </c>
      <c r="P199" s="21" t="str">
        <f>_xll.RssMarket(A199,"安値")</f>
        <v>表示銘柄数超過</v>
      </c>
      <c r="Q199" s="4" t="e">
        <f t="shared" si="22"/>
        <v>#VALUE!</v>
      </c>
      <c r="R199" s="21" t="str">
        <f>_xll.RssMarket(A199,"後場始値")</f>
        <v>表示銘柄数超過</v>
      </c>
      <c r="S199" s="25" t="str">
        <f t="shared" si="23"/>
        <v>-</v>
      </c>
      <c r="T199" s="7" t="str">
        <f>_xll.RssMarket(A199,"出来高加重平均")</f>
        <v>表示銘柄数超過</v>
      </c>
      <c r="U199" s="4" t="e">
        <f t="shared" si="24"/>
        <v>#VALUE!</v>
      </c>
      <c r="V199" s="21" t="str">
        <f>_xll.RssMarket(A199,"出来高")</f>
        <v>表示銘柄数超過</v>
      </c>
      <c r="W199" s="21" t="str">
        <f>_xll.RssMarket(A199,"売買代金")</f>
        <v>表示銘柄数超過</v>
      </c>
      <c r="X199" s="20" t="str">
        <f>_xll.RssMarket(A199,"決算発表日")</f>
        <v>表示銘柄数超過</v>
      </c>
      <c r="Y199" s="26" t="str">
        <f>IF(C199&gt;_xll.RssMarket(A199,"年初来高値"),"○","×")</f>
        <v>×</v>
      </c>
      <c r="Z199" s="27" t="str">
        <f>IF(C199&lt;=_xll.RssMarket(A199,"年初来安値"),"○","×")</f>
        <v>○</v>
      </c>
    </row>
    <row r="200" spans="1:26" x14ac:dyDescent="0.25">
      <c r="A200" s="47">
        <v>2790</v>
      </c>
      <c r="B200" s="20" t="str">
        <f>_xll.RssMarket(A200,"銘柄名称")</f>
        <v>表示銘柄数超過</v>
      </c>
      <c r="C200" s="21" t="str">
        <f>_xll.RssMarket(A200,"現在値")</f>
        <v>表示銘柄数超過</v>
      </c>
      <c r="D200" s="20" t="str">
        <f>_xll.RssMarket(A200,"現在値詳細時刻")</f>
        <v>表示銘柄数超過</v>
      </c>
      <c r="E200" s="22" t="str">
        <f>_xll.RssMarket(A200,"前日比")</f>
        <v>表示銘柄数超過</v>
      </c>
      <c r="F200" s="23" t="e">
        <f>_xll.RssMarket(A200,"前日比率")/100</f>
        <v>#VALUE!</v>
      </c>
      <c r="G200" s="24" t="str">
        <f>IFERROR(VLOOKUP(A200,取得元!$A$2:$F$501,2,FALSE),"-")</f>
        <v>-</v>
      </c>
      <c r="H200" s="24" t="str">
        <f>IFERROR(VLOOKUP(A200,取得元!$A$2:$F$501,3,FALSE),"-")</f>
        <v>-</v>
      </c>
      <c r="I200" s="24" t="str">
        <f>IFERROR(VLOOKUP(A200,取得元!$A$2:$F$501,4,FALSE),"-")</f>
        <v>-</v>
      </c>
      <c r="J200" s="5" t="str">
        <f>IFERROR(VLOOKUP(A200,取得元!$A$2:$F$501,5,FALSE),"-")</f>
        <v>-</v>
      </c>
      <c r="K200" s="25" t="str">
        <f>IFERROR(VLOOKUP(A200,取得元!$A$2:$F$501,6,FALSE)/100,"-")</f>
        <v>-</v>
      </c>
      <c r="L200" s="21" t="str">
        <f>_xll.RssMarket(A200,"始値")</f>
        <v>表示銘柄数超過</v>
      </c>
      <c r="M200" s="4" t="e">
        <f t="shared" si="20"/>
        <v>#VALUE!</v>
      </c>
      <c r="N200" s="21" t="str">
        <f>_xll.RssMarket(A200,"高値")</f>
        <v>表示銘柄数超過</v>
      </c>
      <c r="O200" s="4" t="e">
        <f t="shared" si="21"/>
        <v>#VALUE!</v>
      </c>
      <c r="P200" s="21" t="str">
        <f>_xll.RssMarket(A200,"安値")</f>
        <v>表示銘柄数超過</v>
      </c>
      <c r="Q200" s="4" t="e">
        <f t="shared" si="22"/>
        <v>#VALUE!</v>
      </c>
      <c r="R200" s="21" t="str">
        <f>_xll.RssMarket(A200,"後場始値")</f>
        <v>表示銘柄数超過</v>
      </c>
      <c r="S200" s="25" t="str">
        <f t="shared" si="23"/>
        <v>-</v>
      </c>
      <c r="T200" s="7" t="str">
        <f>_xll.RssMarket(A200,"出来高加重平均")</f>
        <v>表示銘柄数超過</v>
      </c>
      <c r="U200" s="4" t="e">
        <f t="shared" si="24"/>
        <v>#VALUE!</v>
      </c>
      <c r="V200" s="21" t="str">
        <f>_xll.RssMarket(A200,"出来高")</f>
        <v>表示銘柄数超過</v>
      </c>
      <c r="W200" s="21" t="str">
        <f>_xll.RssMarket(A200,"売買代金")</f>
        <v>表示銘柄数超過</v>
      </c>
      <c r="X200" s="20" t="str">
        <f>_xll.RssMarket(A200,"決算発表日")</f>
        <v>表示銘柄数超過</v>
      </c>
      <c r="Y200" s="26" t="str">
        <f>IF(C200&gt;_xll.RssMarket(A200,"年初来高値"),"○","×")</f>
        <v>×</v>
      </c>
      <c r="Z200" s="27" t="str">
        <f>IF(C200&lt;=_xll.RssMarket(A200,"年初来安値"),"○","×")</f>
        <v>○</v>
      </c>
    </row>
    <row r="201" spans="1:26" x14ac:dyDescent="0.25">
      <c r="A201" s="49">
        <v>2810</v>
      </c>
      <c r="B201" s="20" t="str">
        <f>_xll.RssMarket(A201,"銘柄名称")</f>
        <v>表示銘柄数超過</v>
      </c>
      <c r="C201" s="21" t="str">
        <f>_xll.RssMarket(A201,"現在値")</f>
        <v>表示銘柄数超過</v>
      </c>
      <c r="D201" s="20" t="str">
        <f>_xll.RssMarket(A201,"現在値詳細時刻")</f>
        <v>表示銘柄数超過</v>
      </c>
      <c r="E201" s="22" t="str">
        <f>_xll.RssMarket(A201,"前日比")</f>
        <v>表示銘柄数超過</v>
      </c>
      <c r="F201" s="23" t="e">
        <f>_xll.RssMarket(A201,"前日比率")/100</f>
        <v>#VALUE!</v>
      </c>
      <c r="G201" s="24" t="str">
        <f>IFERROR(VLOOKUP(A201,取得元!$A$2:$F$501,2,FALSE),"-")</f>
        <v>-</v>
      </c>
      <c r="H201" s="24" t="str">
        <f>IFERROR(VLOOKUP(A201,取得元!$A$2:$F$501,3,FALSE),"-")</f>
        <v>-</v>
      </c>
      <c r="I201" s="24" t="str">
        <f>IFERROR(VLOOKUP(A201,取得元!$A$2:$F$501,4,FALSE),"-")</f>
        <v>-</v>
      </c>
      <c r="J201" s="5" t="str">
        <f>IFERROR(VLOOKUP(A201,取得元!$A$2:$F$501,5,FALSE),"-")</f>
        <v>-</v>
      </c>
      <c r="K201" s="25" t="str">
        <f>IFERROR(VLOOKUP(A201,取得元!$A$2:$F$501,6,FALSE)/100,"-")</f>
        <v>-</v>
      </c>
      <c r="L201" s="21" t="str">
        <f>_xll.RssMarket(A201,"始値")</f>
        <v>表示銘柄数超過</v>
      </c>
      <c r="M201" s="4" t="e">
        <f t="shared" si="20"/>
        <v>#VALUE!</v>
      </c>
      <c r="N201" s="21" t="str">
        <f>_xll.RssMarket(A201,"高値")</f>
        <v>表示銘柄数超過</v>
      </c>
      <c r="O201" s="4" t="e">
        <f t="shared" si="21"/>
        <v>#VALUE!</v>
      </c>
      <c r="P201" s="21" t="str">
        <f>_xll.RssMarket(A201,"安値")</f>
        <v>表示銘柄数超過</v>
      </c>
      <c r="Q201" s="4" t="e">
        <f t="shared" si="22"/>
        <v>#VALUE!</v>
      </c>
      <c r="R201" s="21" t="str">
        <f>_xll.RssMarket(A201,"後場始値")</f>
        <v>表示銘柄数超過</v>
      </c>
      <c r="S201" s="25" t="str">
        <f t="shared" si="23"/>
        <v>-</v>
      </c>
      <c r="T201" s="7" t="str">
        <f>_xll.RssMarket(A201,"出来高加重平均")</f>
        <v>表示銘柄数超過</v>
      </c>
      <c r="U201" s="4" t="e">
        <f t="shared" si="24"/>
        <v>#VALUE!</v>
      </c>
      <c r="V201" s="21" t="str">
        <f>_xll.RssMarket(A201,"出来高")</f>
        <v>表示銘柄数超過</v>
      </c>
      <c r="W201" s="21" t="str">
        <f>_xll.RssMarket(A201,"売買代金")</f>
        <v>表示銘柄数超過</v>
      </c>
      <c r="X201" s="20" t="str">
        <f>_xll.RssMarket(A201,"決算発表日")</f>
        <v>表示銘柄数超過</v>
      </c>
      <c r="Y201" s="26" t="str">
        <f>IF(C201&gt;_xll.RssMarket(A201,"年初来高値"),"○","×")</f>
        <v>×</v>
      </c>
      <c r="Z201" s="27" t="str">
        <f>IF(C201&lt;=_xll.RssMarket(A201,"年初来安値"),"○","×")</f>
        <v>○</v>
      </c>
    </row>
    <row r="202" spans="1:26" x14ac:dyDescent="0.25">
      <c r="A202" s="47">
        <v>2845</v>
      </c>
      <c r="B202" s="20" t="str">
        <f>_xll.RssMarket(A202,"銘柄名称")</f>
        <v>表示銘柄数超過</v>
      </c>
      <c r="C202" s="21" t="str">
        <f>_xll.RssMarket(A202,"現在値")</f>
        <v>表示銘柄数超過</v>
      </c>
      <c r="D202" s="20" t="str">
        <f>_xll.RssMarket(A202,"現在値詳細時刻")</f>
        <v>表示銘柄数超過</v>
      </c>
      <c r="E202" s="22" t="str">
        <f>_xll.RssMarket(A202,"前日比")</f>
        <v>表示銘柄数超過</v>
      </c>
      <c r="F202" s="23" t="e">
        <f>_xll.RssMarket(A202,"前日比率")/100</f>
        <v>#VALUE!</v>
      </c>
      <c r="G202" s="24" t="str">
        <f>IFERROR(VLOOKUP(A202,取得元!$A$2:$F$501,2,FALSE),"-")</f>
        <v>-</v>
      </c>
      <c r="H202" s="24" t="str">
        <f>IFERROR(VLOOKUP(A202,取得元!$A$2:$F$501,3,FALSE),"-")</f>
        <v>-</v>
      </c>
      <c r="I202" s="24" t="str">
        <f>IFERROR(VLOOKUP(A202,取得元!$A$2:$F$501,4,FALSE),"-")</f>
        <v>-</v>
      </c>
      <c r="J202" s="5" t="str">
        <f>IFERROR(VLOOKUP(A202,取得元!$A$2:$F$501,5,FALSE),"-")</f>
        <v>-</v>
      </c>
      <c r="K202" s="25" t="str">
        <f>IFERROR(VLOOKUP(A202,取得元!$A$2:$F$501,6,FALSE)/100,"-")</f>
        <v>-</v>
      </c>
      <c r="L202" s="21" t="str">
        <f>_xll.RssMarket(A202,"始値")</f>
        <v>表示銘柄数超過</v>
      </c>
      <c r="M202" s="4" t="e">
        <f t="shared" si="20"/>
        <v>#VALUE!</v>
      </c>
      <c r="N202" s="21" t="str">
        <f>_xll.RssMarket(A202,"高値")</f>
        <v>表示銘柄数超過</v>
      </c>
      <c r="O202" s="4" t="e">
        <f t="shared" si="21"/>
        <v>#VALUE!</v>
      </c>
      <c r="P202" s="21" t="str">
        <f>_xll.RssMarket(A202,"安値")</f>
        <v>表示銘柄数超過</v>
      </c>
      <c r="Q202" s="4" t="e">
        <f t="shared" si="22"/>
        <v>#VALUE!</v>
      </c>
      <c r="R202" s="21" t="str">
        <f>_xll.RssMarket(A202,"後場始値")</f>
        <v>表示銘柄数超過</v>
      </c>
      <c r="S202" s="25" t="str">
        <f t="shared" si="23"/>
        <v>-</v>
      </c>
      <c r="T202" s="7" t="str">
        <f>_xll.RssMarket(A202,"出来高加重平均")</f>
        <v>表示銘柄数超過</v>
      </c>
      <c r="U202" s="4" t="e">
        <f t="shared" si="24"/>
        <v>#VALUE!</v>
      </c>
      <c r="V202" s="21" t="str">
        <f>_xll.RssMarket(A202,"出来高")</f>
        <v>表示銘柄数超過</v>
      </c>
      <c r="W202" s="21" t="str">
        <f>_xll.RssMarket(A202,"売買代金")</f>
        <v>表示銘柄数超過</v>
      </c>
      <c r="X202" s="20" t="str">
        <f>_xll.RssMarket(A202,"決算発表日")</f>
        <v>表示銘柄数超過</v>
      </c>
      <c r="Y202" s="26" t="str">
        <f>IF(C202&gt;_xll.RssMarket(A202,"年初来高値"),"○","×")</f>
        <v>×</v>
      </c>
      <c r="Z202" s="27" t="str">
        <f>IF(C202&lt;=_xll.RssMarket(A202,"年初来安値"),"○","×")</f>
        <v>○</v>
      </c>
    </row>
    <row r="203" spans="1:26" x14ac:dyDescent="0.25">
      <c r="A203" s="49">
        <v>2851</v>
      </c>
      <c r="B203" s="20" t="str">
        <f>_xll.RssMarket(A203,"銘柄名称")</f>
        <v>表示銘柄数超過</v>
      </c>
      <c r="C203" s="21" t="str">
        <f>_xll.RssMarket(A203,"現在値")</f>
        <v>表示銘柄数超過</v>
      </c>
      <c r="D203" s="20" t="str">
        <f>_xll.RssMarket(A203,"現在値詳細時刻")</f>
        <v>表示銘柄数超過</v>
      </c>
      <c r="E203" s="22" t="str">
        <f>_xll.RssMarket(A203,"前日比")</f>
        <v>表示銘柄数超過</v>
      </c>
      <c r="F203" s="23" t="e">
        <f>_xll.RssMarket(A203,"前日比率")/100</f>
        <v>#VALUE!</v>
      </c>
      <c r="G203" s="24" t="str">
        <f>IFERROR(VLOOKUP(A203,取得元!$A$2:$F$501,2,FALSE),"-")</f>
        <v>-</v>
      </c>
      <c r="H203" s="24" t="str">
        <f>IFERROR(VLOOKUP(A203,取得元!$A$2:$F$501,3,FALSE),"-")</f>
        <v>-</v>
      </c>
      <c r="I203" s="24" t="str">
        <f>IFERROR(VLOOKUP(A203,取得元!$A$2:$F$501,4,FALSE),"-")</f>
        <v>-</v>
      </c>
      <c r="J203" s="5" t="str">
        <f>IFERROR(VLOOKUP(A203,取得元!$A$2:$F$501,5,FALSE),"-")</f>
        <v>-</v>
      </c>
      <c r="K203" s="25" t="str">
        <f>IFERROR(VLOOKUP(A203,取得元!$A$2:$F$501,6,FALSE)/100,"-")</f>
        <v>-</v>
      </c>
      <c r="L203" s="21" t="str">
        <f>_xll.RssMarket(A203,"始値")</f>
        <v>表示銘柄数超過</v>
      </c>
      <c r="M203" s="4" t="e">
        <f t="shared" si="20"/>
        <v>#VALUE!</v>
      </c>
      <c r="N203" s="21" t="str">
        <f>_xll.RssMarket(A203,"高値")</f>
        <v>表示銘柄数超過</v>
      </c>
      <c r="O203" s="4" t="e">
        <f t="shared" si="21"/>
        <v>#VALUE!</v>
      </c>
      <c r="P203" s="21" t="str">
        <f>_xll.RssMarket(A203,"安値")</f>
        <v>表示銘柄数超過</v>
      </c>
      <c r="Q203" s="4" t="e">
        <f t="shared" si="22"/>
        <v>#VALUE!</v>
      </c>
      <c r="R203" s="21" t="str">
        <f>_xll.RssMarket(A203,"後場始値")</f>
        <v>表示銘柄数超過</v>
      </c>
      <c r="S203" s="25" t="str">
        <f t="shared" si="23"/>
        <v>-</v>
      </c>
      <c r="T203" s="7" t="str">
        <f>_xll.RssMarket(A203,"出来高加重平均")</f>
        <v>表示銘柄数超過</v>
      </c>
      <c r="U203" s="4" t="e">
        <f t="shared" si="24"/>
        <v>#VALUE!</v>
      </c>
      <c r="V203" s="21" t="str">
        <f>_xll.RssMarket(A203,"出来高")</f>
        <v>表示銘柄数超過</v>
      </c>
      <c r="W203" s="21" t="str">
        <f>_xll.RssMarket(A203,"売買代金")</f>
        <v>表示銘柄数超過</v>
      </c>
      <c r="X203" s="20" t="str">
        <f>_xll.RssMarket(A203,"決算発表日")</f>
        <v>表示銘柄数超過</v>
      </c>
      <c r="Y203" s="26" t="str">
        <f>IF(C203&gt;_xll.RssMarket(A203,"年初来高値"),"○","×")</f>
        <v>×</v>
      </c>
      <c r="Z203" s="27" t="str">
        <f>IF(C203&lt;=_xll.RssMarket(A203,"年初来安値"),"○","×")</f>
        <v>○</v>
      </c>
    </row>
    <row r="204" spans="1:26" x14ac:dyDescent="0.25">
      <c r="A204" s="47">
        <v>2852</v>
      </c>
      <c r="B204" s="20" t="str">
        <f>_xll.RssMarket(A204,"銘柄名称")</f>
        <v>表示銘柄数超過</v>
      </c>
      <c r="C204" s="21" t="str">
        <f>_xll.RssMarket(A204,"現在値")</f>
        <v>表示銘柄数超過</v>
      </c>
      <c r="D204" s="20" t="str">
        <f>_xll.RssMarket(A204,"現在値詳細時刻")</f>
        <v>表示銘柄数超過</v>
      </c>
      <c r="E204" s="22" t="str">
        <f>_xll.RssMarket(A204,"前日比")</f>
        <v>表示銘柄数超過</v>
      </c>
      <c r="F204" s="23" t="e">
        <f>_xll.RssMarket(A204,"前日比率")/100</f>
        <v>#VALUE!</v>
      </c>
      <c r="G204" s="24" t="str">
        <f>IFERROR(VLOOKUP(A204,取得元!$A$2:$F$501,2,FALSE),"-")</f>
        <v>-</v>
      </c>
      <c r="H204" s="24" t="str">
        <f>IFERROR(VLOOKUP(A204,取得元!$A$2:$F$501,3,FALSE),"-")</f>
        <v>-</v>
      </c>
      <c r="I204" s="24" t="str">
        <f>IFERROR(VLOOKUP(A204,取得元!$A$2:$F$501,4,FALSE),"-")</f>
        <v>-</v>
      </c>
      <c r="J204" s="5" t="str">
        <f>IFERROR(VLOOKUP(A204,取得元!$A$2:$F$501,5,FALSE),"-")</f>
        <v>-</v>
      </c>
      <c r="K204" s="25" t="str">
        <f>IFERROR(VLOOKUP(A204,取得元!$A$2:$F$501,6,FALSE)/100,"-")</f>
        <v>-</v>
      </c>
      <c r="L204" s="21" t="str">
        <f>_xll.RssMarket(A204,"始値")</f>
        <v>表示銘柄数超過</v>
      </c>
      <c r="M204" s="4" t="e">
        <f t="shared" si="20"/>
        <v>#VALUE!</v>
      </c>
      <c r="N204" s="21" t="str">
        <f>_xll.RssMarket(A204,"高値")</f>
        <v>表示銘柄数超過</v>
      </c>
      <c r="O204" s="4" t="e">
        <f t="shared" si="21"/>
        <v>#VALUE!</v>
      </c>
      <c r="P204" s="21" t="str">
        <f>_xll.RssMarket(A204,"安値")</f>
        <v>表示銘柄数超過</v>
      </c>
      <c r="Q204" s="4" t="e">
        <f t="shared" si="22"/>
        <v>#VALUE!</v>
      </c>
      <c r="R204" s="21" t="str">
        <f>_xll.RssMarket(A204,"後場始値")</f>
        <v>表示銘柄数超過</v>
      </c>
      <c r="S204" s="25" t="str">
        <f t="shared" si="23"/>
        <v>-</v>
      </c>
      <c r="T204" s="7" t="str">
        <f>_xll.RssMarket(A204,"出来高加重平均")</f>
        <v>表示銘柄数超過</v>
      </c>
      <c r="U204" s="4" t="e">
        <f t="shared" si="24"/>
        <v>#VALUE!</v>
      </c>
      <c r="V204" s="21" t="str">
        <f>_xll.RssMarket(A204,"出来高")</f>
        <v>表示銘柄数超過</v>
      </c>
      <c r="W204" s="21" t="str">
        <f>_xll.RssMarket(A204,"売買代金")</f>
        <v>表示銘柄数超過</v>
      </c>
      <c r="X204" s="20" t="str">
        <f>_xll.RssMarket(A204,"決算発表日")</f>
        <v>表示銘柄数超過</v>
      </c>
      <c r="Y204" s="26" t="str">
        <f>IF(C204&gt;_xll.RssMarket(A204,"年初来高値"),"○","×")</f>
        <v>×</v>
      </c>
      <c r="Z204" s="27" t="str">
        <f>IF(C204&lt;=_xll.RssMarket(A204,"年初来安値"),"○","×")</f>
        <v>○</v>
      </c>
    </row>
    <row r="205" spans="1:26" x14ac:dyDescent="0.25">
      <c r="A205" s="49">
        <v>2853</v>
      </c>
      <c r="B205" s="20" t="str">
        <f>_xll.RssMarket(A205,"銘柄名称")</f>
        <v>表示銘柄数超過</v>
      </c>
      <c r="C205" s="21" t="str">
        <f>_xll.RssMarket(A205,"現在値")</f>
        <v>表示銘柄数超過</v>
      </c>
      <c r="D205" s="20" t="str">
        <f>_xll.RssMarket(A205,"現在値詳細時刻")</f>
        <v>表示銘柄数超過</v>
      </c>
      <c r="E205" s="22" t="str">
        <f>_xll.RssMarket(A205,"前日比")</f>
        <v>表示銘柄数超過</v>
      </c>
      <c r="F205" s="23" t="e">
        <f>_xll.RssMarket(A205,"前日比率")/100</f>
        <v>#VALUE!</v>
      </c>
      <c r="G205" s="24" t="str">
        <f>IFERROR(VLOOKUP(A205,取得元!$A$2:$F$501,2,FALSE),"-")</f>
        <v>-</v>
      </c>
      <c r="H205" s="24" t="str">
        <f>IFERROR(VLOOKUP(A205,取得元!$A$2:$F$501,3,FALSE),"-")</f>
        <v>-</v>
      </c>
      <c r="I205" s="24" t="str">
        <f>IFERROR(VLOOKUP(A205,取得元!$A$2:$F$501,4,FALSE),"-")</f>
        <v>-</v>
      </c>
      <c r="J205" s="5" t="str">
        <f>IFERROR(VLOOKUP(A205,取得元!$A$2:$F$501,5,FALSE),"-")</f>
        <v>-</v>
      </c>
      <c r="K205" s="25" t="str">
        <f>IFERROR(VLOOKUP(A205,取得元!$A$2:$F$501,6,FALSE)/100,"-")</f>
        <v>-</v>
      </c>
      <c r="L205" s="21" t="str">
        <f>_xll.RssMarket(A205,"始値")</f>
        <v>表示銘柄数超過</v>
      </c>
      <c r="M205" s="4" t="e">
        <f t="shared" si="20"/>
        <v>#VALUE!</v>
      </c>
      <c r="N205" s="21" t="str">
        <f>_xll.RssMarket(A205,"高値")</f>
        <v>表示銘柄数超過</v>
      </c>
      <c r="O205" s="4" t="e">
        <f t="shared" si="21"/>
        <v>#VALUE!</v>
      </c>
      <c r="P205" s="21" t="str">
        <f>_xll.RssMarket(A205,"安値")</f>
        <v>表示銘柄数超過</v>
      </c>
      <c r="Q205" s="4" t="e">
        <f t="shared" si="22"/>
        <v>#VALUE!</v>
      </c>
      <c r="R205" s="21" t="str">
        <f>_xll.RssMarket(A205,"後場始値")</f>
        <v>表示銘柄数超過</v>
      </c>
      <c r="S205" s="25" t="str">
        <f t="shared" si="23"/>
        <v>-</v>
      </c>
      <c r="T205" s="7" t="str">
        <f>_xll.RssMarket(A205,"出来高加重平均")</f>
        <v>表示銘柄数超過</v>
      </c>
      <c r="U205" s="4" t="e">
        <f t="shared" si="24"/>
        <v>#VALUE!</v>
      </c>
      <c r="V205" s="21" t="str">
        <f>_xll.RssMarket(A205,"出来高")</f>
        <v>表示銘柄数超過</v>
      </c>
      <c r="W205" s="21" t="str">
        <f>_xll.RssMarket(A205,"売買代金")</f>
        <v>表示銘柄数超過</v>
      </c>
      <c r="X205" s="20" t="str">
        <f>_xll.RssMarket(A205,"決算発表日")</f>
        <v>表示銘柄数超過</v>
      </c>
      <c r="Y205" s="26" t="str">
        <f>IF(C205&gt;_xll.RssMarket(A205,"年初来高値"),"○","×")</f>
        <v>×</v>
      </c>
      <c r="Z205" s="27" t="str">
        <f>IF(C205&lt;=_xll.RssMarket(A205,"年初来安値"),"○","×")</f>
        <v>○</v>
      </c>
    </row>
    <row r="206" spans="1:26" x14ac:dyDescent="0.25">
      <c r="A206" s="47">
        <v>2856</v>
      </c>
      <c r="B206" s="20" t="str">
        <f>_xll.RssMarket(A206,"銘柄名称")</f>
        <v>表示銘柄数超過</v>
      </c>
      <c r="C206" s="21" t="str">
        <f>_xll.RssMarket(A206,"現在値")</f>
        <v>表示銘柄数超過</v>
      </c>
      <c r="D206" s="20" t="str">
        <f>_xll.RssMarket(A206,"現在値詳細時刻")</f>
        <v>表示銘柄数超過</v>
      </c>
      <c r="E206" s="22" t="str">
        <f>_xll.RssMarket(A206,"前日比")</f>
        <v>表示銘柄数超過</v>
      </c>
      <c r="F206" s="23" t="e">
        <f>_xll.RssMarket(A206,"前日比率")/100</f>
        <v>#VALUE!</v>
      </c>
      <c r="G206" s="24" t="str">
        <f>IFERROR(VLOOKUP(A206,取得元!$A$2:$F$501,2,FALSE),"-")</f>
        <v>-</v>
      </c>
      <c r="H206" s="24" t="str">
        <f>IFERROR(VLOOKUP(A206,取得元!$A$2:$F$501,3,FALSE),"-")</f>
        <v>-</v>
      </c>
      <c r="I206" s="24" t="str">
        <f>IFERROR(VLOOKUP(A206,取得元!$A$2:$F$501,4,FALSE),"-")</f>
        <v>-</v>
      </c>
      <c r="J206" s="5" t="str">
        <f>IFERROR(VLOOKUP(A206,取得元!$A$2:$F$501,5,FALSE),"-")</f>
        <v>-</v>
      </c>
      <c r="K206" s="25" t="str">
        <f>IFERROR(VLOOKUP(A206,取得元!$A$2:$F$501,6,FALSE)/100,"-")</f>
        <v>-</v>
      </c>
      <c r="L206" s="21" t="str">
        <f>_xll.RssMarket(A206,"始値")</f>
        <v>表示銘柄数超過</v>
      </c>
      <c r="M206" s="4" t="e">
        <f t="shared" si="20"/>
        <v>#VALUE!</v>
      </c>
      <c r="N206" s="21" t="str">
        <f>_xll.RssMarket(A206,"高値")</f>
        <v>表示銘柄数超過</v>
      </c>
      <c r="O206" s="4" t="e">
        <f t="shared" si="21"/>
        <v>#VALUE!</v>
      </c>
      <c r="P206" s="21" t="str">
        <f>_xll.RssMarket(A206,"安値")</f>
        <v>表示銘柄数超過</v>
      </c>
      <c r="Q206" s="4" t="e">
        <f t="shared" si="22"/>
        <v>#VALUE!</v>
      </c>
      <c r="R206" s="21" t="str">
        <f>_xll.RssMarket(A206,"後場始値")</f>
        <v>表示銘柄数超過</v>
      </c>
      <c r="S206" s="25" t="str">
        <f t="shared" si="23"/>
        <v>-</v>
      </c>
      <c r="T206" s="7" t="str">
        <f>_xll.RssMarket(A206,"出来高加重平均")</f>
        <v>表示銘柄数超過</v>
      </c>
      <c r="U206" s="4" t="e">
        <f t="shared" si="24"/>
        <v>#VALUE!</v>
      </c>
      <c r="V206" s="21" t="str">
        <f>_xll.RssMarket(A206,"出来高")</f>
        <v>表示銘柄数超過</v>
      </c>
      <c r="W206" s="21" t="str">
        <f>_xll.RssMarket(A206,"売買代金")</f>
        <v>表示銘柄数超過</v>
      </c>
      <c r="X206" s="20" t="str">
        <f>_xll.RssMarket(A206,"決算発表日")</f>
        <v>表示銘柄数超過</v>
      </c>
      <c r="Y206" s="26" t="str">
        <f>IF(C206&gt;_xll.RssMarket(A206,"年初来高値"),"○","×")</f>
        <v>×</v>
      </c>
      <c r="Z206" s="27" t="str">
        <f>IF(C206&lt;=_xll.RssMarket(A206,"年初来安値"),"○","×")</f>
        <v>○</v>
      </c>
    </row>
    <row r="207" spans="1:26" x14ac:dyDescent="0.25">
      <c r="A207" s="49">
        <v>2857</v>
      </c>
      <c r="B207" s="20" t="str">
        <f>_xll.RssMarket(A207,"銘柄名称")</f>
        <v>表示銘柄数超過</v>
      </c>
      <c r="C207" s="21" t="str">
        <f>_xll.RssMarket(A207,"現在値")</f>
        <v>表示銘柄数超過</v>
      </c>
      <c r="D207" s="20" t="str">
        <f>_xll.RssMarket(A207,"現在値詳細時刻")</f>
        <v>表示銘柄数超過</v>
      </c>
      <c r="E207" s="22" t="str">
        <f>_xll.RssMarket(A207,"前日比")</f>
        <v>表示銘柄数超過</v>
      </c>
      <c r="F207" s="23" t="e">
        <f>_xll.RssMarket(A207,"前日比率")/100</f>
        <v>#VALUE!</v>
      </c>
      <c r="G207" s="24" t="str">
        <f>IFERROR(VLOOKUP(A207,取得元!$A$2:$F$501,2,FALSE),"-")</f>
        <v>-</v>
      </c>
      <c r="H207" s="24" t="str">
        <f>IFERROR(VLOOKUP(A207,取得元!$A$2:$F$501,3,FALSE),"-")</f>
        <v>-</v>
      </c>
      <c r="I207" s="24" t="str">
        <f>IFERROR(VLOOKUP(A207,取得元!$A$2:$F$501,4,FALSE),"-")</f>
        <v>-</v>
      </c>
      <c r="J207" s="5" t="str">
        <f>IFERROR(VLOOKUP(A207,取得元!$A$2:$F$501,5,FALSE),"-")</f>
        <v>-</v>
      </c>
      <c r="K207" s="25" t="str">
        <f>IFERROR(VLOOKUP(A207,取得元!$A$2:$F$501,6,FALSE)/100,"-")</f>
        <v>-</v>
      </c>
      <c r="L207" s="21" t="str">
        <f>_xll.RssMarket(A207,"始値")</f>
        <v>表示銘柄数超過</v>
      </c>
      <c r="M207" s="4" t="e">
        <f t="shared" si="20"/>
        <v>#VALUE!</v>
      </c>
      <c r="N207" s="21" t="str">
        <f>_xll.RssMarket(A207,"高値")</f>
        <v>表示銘柄数超過</v>
      </c>
      <c r="O207" s="4" t="e">
        <f t="shared" si="21"/>
        <v>#VALUE!</v>
      </c>
      <c r="P207" s="21" t="str">
        <f>_xll.RssMarket(A207,"安値")</f>
        <v>表示銘柄数超過</v>
      </c>
      <c r="Q207" s="4" t="e">
        <f t="shared" si="22"/>
        <v>#VALUE!</v>
      </c>
      <c r="R207" s="21" t="str">
        <f>_xll.RssMarket(A207,"後場始値")</f>
        <v>表示銘柄数超過</v>
      </c>
      <c r="S207" s="25" t="str">
        <f t="shared" si="23"/>
        <v>-</v>
      </c>
      <c r="T207" s="7" t="str">
        <f>_xll.RssMarket(A207,"出来高加重平均")</f>
        <v>表示銘柄数超過</v>
      </c>
      <c r="U207" s="4" t="e">
        <f t="shared" si="24"/>
        <v>#VALUE!</v>
      </c>
      <c r="V207" s="21" t="str">
        <f>_xll.RssMarket(A207,"出来高")</f>
        <v>表示銘柄数超過</v>
      </c>
      <c r="W207" s="21" t="str">
        <f>_xll.RssMarket(A207,"売買代金")</f>
        <v>表示銘柄数超過</v>
      </c>
      <c r="X207" s="20" t="str">
        <f>_xll.RssMarket(A207,"決算発表日")</f>
        <v>表示銘柄数超過</v>
      </c>
      <c r="Y207" s="26" t="str">
        <f>IF(C207&gt;_xll.RssMarket(A207,"年初来高値"),"○","×")</f>
        <v>×</v>
      </c>
      <c r="Z207" s="27" t="str">
        <f>IF(C207&lt;=_xll.RssMarket(A207,"年初来安値"),"○","×")</f>
        <v>○</v>
      </c>
    </row>
    <row r="208" spans="1:26" x14ac:dyDescent="0.25">
      <c r="A208" s="47">
        <v>2858</v>
      </c>
      <c r="B208" s="20" t="str">
        <f>_xll.RssMarket(A208,"銘柄名称")</f>
        <v>表示銘柄数超過</v>
      </c>
      <c r="C208" s="21" t="str">
        <f>_xll.RssMarket(A208,"現在値")</f>
        <v>表示銘柄数超過</v>
      </c>
      <c r="D208" s="20" t="str">
        <f>_xll.RssMarket(A208,"現在値詳細時刻")</f>
        <v>表示銘柄数超過</v>
      </c>
      <c r="E208" s="22" t="str">
        <f>_xll.RssMarket(A208,"前日比")</f>
        <v>表示銘柄数超過</v>
      </c>
      <c r="F208" s="23" t="e">
        <f>_xll.RssMarket(A208,"前日比率")/100</f>
        <v>#VALUE!</v>
      </c>
      <c r="G208" s="24" t="str">
        <f>IFERROR(VLOOKUP(A208,取得元!$A$2:$F$501,2,FALSE),"-")</f>
        <v>-</v>
      </c>
      <c r="H208" s="24" t="str">
        <f>IFERROR(VLOOKUP(A208,取得元!$A$2:$F$501,3,FALSE),"-")</f>
        <v>-</v>
      </c>
      <c r="I208" s="24" t="str">
        <f>IFERROR(VLOOKUP(A208,取得元!$A$2:$F$501,4,FALSE),"-")</f>
        <v>-</v>
      </c>
      <c r="J208" s="5" t="str">
        <f>IFERROR(VLOOKUP(A208,取得元!$A$2:$F$501,5,FALSE),"-")</f>
        <v>-</v>
      </c>
      <c r="K208" s="25" t="str">
        <f>IFERROR(VLOOKUP(A208,取得元!$A$2:$F$501,6,FALSE)/100,"-")</f>
        <v>-</v>
      </c>
      <c r="L208" s="21" t="str">
        <f>_xll.RssMarket(A208,"始値")</f>
        <v>表示銘柄数超過</v>
      </c>
      <c r="M208" s="4" t="e">
        <f t="shared" si="20"/>
        <v>#VALUE!</v>
      </c>
      <c r="N208" s="21" t="str">
        <f>_xll.RssMarket(A208,"高値")</f>
        <v>表示銘柄数超過</v>
      </c>
      <c r="O208" s="4" t="e">
        <f t="shared" si="21"/>
        <v>#VALUE!</v>
      </c>
      <c r="P208" s="21" t="str">
        <f>_xll.RssMarket(A208,"安値")</f>
        <v>表示銘柄数超過</v>
      </c>
      <c r="Q208" s="4" t="e">
        <f t="shared" si="22"/>
        <v>#VALUE!</v>
      </c>
      <c r="R208" s="21" t="str">
        <f>_xll.RssMarket(A208,"後場始値")</f>
        <v>表示銘柄数超過</v>
      </c>
      <c r="S208" s="25" t="str">
        <f t="shared" si="23"/>
        <v>-</v>
      </c>
      <c r="T208" s="7" t="str">
        <f>_xll.RssMarket(A208,"出来高加重平均")</f>
        <v>表示銘柄数超過</v>
      </c>
      <c r="U208" s="4" t="e">
        <f t="shared" si="24"/>
        <v>#VALUE!</v>
      </c>
      <c r="V208" s="21" t="str">
        <f>_xll.RssMarket(A208,"出来高")</f>
        <v>表示銘柄数超過</v>
      </c>
      <c r="W208" s="21" t="str">
        <f>_xll.RssMarket(A208,"売買代金")</f>
        <v>表示銘柄数超過</v>
      </c>
      <c r="X208" s="20" t="str">
        <f>_xll.RssMarket(A208,"決算発表日")</f>
        <v>表示銘柄数超過</v>
      </c>
      <c r="Y208" s="26" t="str">
        <f>IF(C208&gt;_xll.RssMarket(A208,"年初来高値"),"○","×")</f>
        <v>×</v>
      </c>
      <c r="Z208" s="27" t="str">
        <f>IF(C208&lt;=_xll.RssMarket(A208,"年初来安値"),"○","×")</f>
        <v>○</v>
      </c>
    </row>
    <row r="209" spans="1:26" x14ac:dyDescent="0.25">
      <c r="A209" s="49">
        <v>2865</v>
      </c>
      <c r="B209" s="20" t="str">
        <f>_xll.RssMarket(A209,"銘柄名称")</f>
        <v>表示銘柄数超過</v>
      </c>
      <c r="C209" s="21" t="str">
        <f>_xll.RssMarket(A209,"現在値")</f>
        <v>表示銘柄数超過</v>
      </c>
      <c r="D209" s="20" t="str">
        <f>_xll.RssMarket(A209,"現在値詳細時刻")</f>
        <v>表示銘柄数超過</v>
      </c>
      <c r="E209" s="22" t="str">
        <f>_xll.RssMarket(A209,"前日比")</f>
        <v>表示銘柄数超過</v>
      </c>
      <c r="F209" s="23" t="e">
        <f>_xll.RssMarket(A209,"前日比率")/100</f>
        <v>#VALUE!</v>
      </c>
      <c r="G209" s="24" t="str">
        <f>IFERROR(VLOOKUP(A209,取得元!$A$2:$F$501,2,FALSE),"-")</f>
        <v>-</v>
      </c>
      <c r="H209" s="24" t="str">
        <f>IFERROR(VLOOKUP(A209,取得元!$A$2:$F$501,3,FALSE),"-")</f>
        <v>-</v>
      </c>
      <c r="I209" s="24" t="str">
        <f>IFERROR(VLOOKUP(A209,取得元!$A$2:$F$501,4,FALSE),"-")</f>
        <v>-</v>
      </c>
      <c r="J209" s="5" t="str">
        <f>IFERROR(VLOOKUP(A209,取得元!$A$2:$F$501,5,FALSE),"-")</f>
        <v>-</v>
      </c>
      <c r="K209" s="25" t="str">
        <f>IFERROR(VLOOKUP(A209,取得元!$A$2:$F$501,6,FALSE)/100,"-")</f>
        <v>-</v>
      </c>
      <c r="L209" s="21" t="str">
        <f>_xll.RssMarket(A209,"始値")</f>
        <v>表示銘柄数超過</v>
      </c>
      <c r="M209" s="4" t="e">
        <f t="shared" si="20"/>
        <v>#VALUE!</v>
      </c>
      <c r="N209" s="21" t="str">
        <f>_xll.RssMarket(A209,"高値")</f>
        <v>表示銘柄数超過</v>
      </c>
      <c r="O209" s="4" t="e">
        <f t="shared" si="21"/>
        <v>#VALUE!</v>
      </c>
      <c r="P209" s="21" t="str">
        <f>_xll.RssMarket(A209,"安値")</f>
        <v>表示銘柄数超過</v>
      </c>
      <c r="Q209" s="4" t="e">
        <f t="shared" si="22"/>
        <v>#VALUE!</v>
      </c>
      <c r="R209" s="21" t="str">
        <f>_xll.RssMarket(A209,"後場始値")</f>
        <v>表示銘柄数超過</v>
      </c>
      <c r="S209" s="25" t="str">
        <f t="shared" si="23"/>
        <v>-</v>
      </c>
      <c r="T209" s="7" t="str">
        <f>_xll.RssMarket(A209,"出来高加重平均")</f>
        <v>表示銘柄数超過</v>
      </c>
      <c r="U209" s="4" t="e">
        <f t="shared" si="24"/>
        <v>#VALUE!</v>
      </c>
      <c r="V209" s="21" t="str">
        <f>_xll.RssMarket(A209,"出来高")</f>
        <v>表示銘柄数超過</v>
      </c>
      <c r="W209" s="21" t="str">
        <f>_xll.RssMarket(A209,"売買代金")</f>
        <v>表示銘柄数超過</v>
      </c>
      <c r="X209" s="20" t="str">
        <f>_xll.RssMarket(A209,"決算発表日")</f>
        <v>表示銘柄数超過</v>
      </c>
      <c r="Y209" s="26" t="str">
        <f>IF(C209&gt;_xll.RssMarket(A209,"年初来高値"),"○","×")</f>
        <v>×</v>
      </c>
      <c r="Z209" s="27" t="str">
        <f>IF(C209&lt;=_xll.RssMarket(A209,"年初来安値"),"○","×")</f>
        <v>○</v>
      </c>
    </row>
    <row r="210" spans="1:26" x14ac:dyDescent="0.25">
      <c r="A210" s="47">
        <v>2868</v>
      </c>
      <c r="B210" s="20" t="str">
        <f>_xll.RssMarket(A210,"銘柄名称")</f>
        <v>表示銘柄数超過</v>
      </c>
      <c r="C210" s="21" t="str">
        <f>_xll.RssMarket(A210,"現在値")</f>
        <v>表示銘柄数超過</v>
      </c>
      <c r="D210" s="20" t="str">
        <f>_xll.RssMarket(A210,"現在値詳細時刻")</f>
        <v>表示銘柄数超過</v>
      </c>
      <c r="E210" s="22" t="str">
        <f>_xll.RssMarket(A210,"前日比")</f>
        <v>表示銘柄数超過</v>
      </c>
      <c r="F210" s="23" t="e">
        <f>_xll.RssMarket(A210,"前日比率")/100</f>
        <v>#VALUE!</v>
      </c>
      <c r="G210" s="24" t="str">
        <f>IFERROR(VLOOKUP(A210,取得元!$A$2:$F$501,2,FALSE),"-")</f>
        <v>-</v>
      </c>
      <c r="H210" s="24" t="str">
        <f>IFERROR(VLOOKUP(A210,取得元!$A$2:$F$501,3,FALSE),"-")</f>
        <v>-</v>
      </c>
      <c r="I210" s="24" t="str">
        <f>IFERROR(VLOOKUP(A210,取得元!$A$2:$F$501,4,FALSE),"-")</f>
        <v>-</v>
      </c>
      <c r="J210" s="5" t="str">
        <f>IFERROR(VLOOKUP(A210,取得元!$A$2:$F$501,5,FALSE),"-")</f>
        <v>-</v>
      </c>
      <c r="K210" s="25" t="str">
        <f>IFERROR(VLOOKUP(A210,取得元!$A$2:$F$501,6,FALSE)/100,"-")</f>
        <v>-</v>
      </c>
      <c r="L210" s="21" t="str">
        <f>_xll.RssMarket(A210,"始値")</f>
        <v>表示銘柄数超過</v>
      </c>
      <c r="M210" s="4" t="e">
        <f t="shared" si="20"/>
        <v>#VALUE!</v>
      </c>
      <c r="N210" s="21" t="str">
        <f>_xll.RssMarket(A210,"高値")</f>
        <v>表示銘柄数超過</v>
      </c>
      <c r="O210" s="4" t="e">
        <f t="shared" si="21"/>
        <v>#VALUE!</v>
      </c>
      <c r="P210" s="21" t="str">
        <f>_xll.RssMarket(A210,"安値")</f>
        <v>表示銘柄数超過</v>
      </c>
      <c r="Q210" s="4" t="e">
        <f t="shared" si="22"/>
        <v>#VALUE!</v>
      </c>
      <c r="R210" s="21" t="str">
        <f>_xll.RssMarket(A210,"後場始値")</f>
        <v>表示銘柄数超過</v>
      </c>
      <c r="S210" s="25" t="str">
        <f t="shared" si="23"/>
        <v>-</v>
      </c>
      <c r="T210" s="7" t="str">
        <f>_xll.RssMarket(A210,"出来高加重平均")</f>
        <v>表示銘柄数超過</v>
      </c>
      <c r="U210" s="4" t="e">
        <f t="shared" si="24"/>
        <v>#VALUE!</v>
      </c>
      <c r="V210" s="21" t="str">
        <f>_xll.RssMarket(A210,"出来高")</f>
        <v>表示銘柄数超過</v>
      </c>
      <c r="W210" s="21" t="str">
        <f>_xll.RssMarket(A210,"売買代金")</f>
        <v>表示銘柄数超過</v>
      </c>
      <c r="X210" s="20" t="str">
        <f>_xll.RssMarket(A210,"決算発表日")</f>
        <v>表示銘柄数超過</v>
      </c>
      <c r="Y210" s="26" t="str">
        <f>IF(C210&gt;_xll.RssMarket(A210,"年初来高値"),"○","×")</f>
        <v>×</v>
      </c>
      <c r="Z210" s="27" t="str">
        <f>IF(C210&lt;=_xll.RssMarket(A210,"年初来安値"),"○","×")</f>
        <v>○</v>
      </c>
    </row>
    <row r="211" spans="1:26" x14ac:dyDescent="0.25">
      <c r="A211" s="49">
        <v>2875</v>
      </c>
      <c r="B211" s="20" t="str">
        <f>_xll.RssMarket(A211,"銘柄名称")</f>
        <v>表示銘柄数超過</v>
      </c>
      <c r="C211" s="21" t="str">
        <f>_xll.RssMarket(A211,"現在値")</f>
        <v>表示銘柄数超過</v>
      </c>
      <c r="D211" s="20" t="str">
        <f>_xll.RssMarket(A211,"現在値詳細時刻")</f>
        <v>表示銘柄数超過</v>
      </c>
      <c r="E211" s="22" t="str">
        <f>_xll.RssMarket(A211,"前日比")</f>
        <v>表示銘柄数超過</v>
      </c>
      <c r="F211" s="23" t="e">
        <f>_xll.RssMarket(A211,"前日比率")/100</f>
        <v>#VALUE!</v>
      </c>
      <c r="G211" s="24" t="str">
        <f>IFERROR(VLOOKUP(A211,取得元!$A$2:$F$501,2,FALSE),"-")</f>
        <v>-</v>
      </c>
      <c r="H211" s="24" t="str">
        <f>IFERROR(VLOOKUP(A211,取得元!$A$2:$F$501,3,FALSE),"-")</f>
        <v>-</v>
      </c>
      <c r="I211" s="24" t="str">
        <f>IFERROR(VLOOKUP(A211,取得元!$A$2:$F$501,4,FALSE),"-")</f>
        <v>-</v>
      </c>
      <c r="J211" s="5" t="str">
        <f>IFERROR(VLOOKUP(A211,取得元!$A$2:$F$501,5,FALSE),"-")</f>
        <v>-</v>
      </c>
      <c r="K211" s="25" t="str">
        <f>IFERROR(VLOOKUP(A211,取得元!$A$2:$F$501,6,FALSE)/100,"-")</f>
        <v>-</v>
      </c>
      <c r="L211" s="21" t="str">
        <f>_xll.RssMarket(A211,"始値")</f>
        <v>表示銘柄数超過</v>
      </c>
      <c r="M211" s="4" t="e">
        <f t="shared" si="20"/>
        <v>#VALUE!</v>
      </c>
      <c r="N211" s="21" t="str">
        <f>_xll.RssMarket(A211,"高値")</f>
        <v>表示銘柄数超過</v>
      </c>
      <c r="O211" s="4" t="e">
        <f t="shared" si="21"/>
        <v>#VALUE!</v>
      </c>
      <c r="P211" s="21" t="str">
        <f>_xll.RssMarket(A211,"安値")</f>
        <v>表示銘柄数超過</v>
      </c>
      <c r="Q211" s="4" t="e">
        <f t="shared" si="22"/>
        <v>#VALUE!</v>
      </c>
      <c r="R211" s="21" t="str">
        <f>_xll.RssMarket(A211,"後場始値")</f>
        <v>表示銘柄数超過</v>
      </c>
      <c r="S211" s="25" t="str">
        <f t="shared" si="23"/>
        <v>-</v>
      </c>
      <c r="T211" s="7" t="str">
        <f>_xll.RssMarket(A211,"出来高加重平均")</f>
        <v>表示銘柄数超過</v>
      </c>
      <c r="U211" s="4" t="e">
        <f t="shared" si="24"/>
        <v>#VALUE!</v>
      </c>
      <c r="V211" s="21" t="str">
        <f>_xll.RssMarket(A211,"出来高")</f>
        <v>表示銘柄数超過</v>
      </c>
      <c r="W211" s="21" t="str">
        <f>_xll.RssMarket(A211,"売買代金")</f>
        <v>表示銘柄数超過</v>
      </c>
      <c r="X211" s="20" t="str">
        <f>_xll.RssMarket(A211,"決算発表日")</f>
        <v>表示銘柄数超過</v>
      </c>
      <c r="Y211" s="26" t="str">
        <f>IF(C211&gt;_xll.RssMarket(A211,"年初来高値"),"○","×")</f>
        <v>×</v>
      </c>
      <c r="Z211" s="27" t="str">
        <f>IF(C211&lt;=_xll.RssMarket(A211,"年初来安値"),"○","×")</f>
        <v>○</v>
      </c>
    </row>
    <row r="212" spans="1:26" x14ac:dyDescent="0.25">
      <c r="A212" s="47">
        <v>2894</v>
      </c>
      <c r="B212" s="20" t="str">
        <f>_xll.RssMarket(A212,"銘柄名称")</f>
        <v>表示銘柄数超過</v>
      </c>
      <c r="C212" s="21" t="str">
        <f>_xll.RssMarket(A212,"現在値")</f>
        <v>表示銘柄数超過</v>
      </c>
      <c r="D212" s="20" t="str">
        <f>_xll.RssMarket(A212,"現在値詳細時刻")</f>
        <v>表示銘柄数超過</v>
      </c>
      <c r="E212" s="22" t="str">
        <f>_xll.RssMarket(A212,"前日比")</f>
        <v>表示銘柄数超過</v>
      </c>
      <c r="F212" s="23" t="e">
        <f>_xll.RssMarket(A212,"前日比率")/100</f>
        <v>#VALUE!</v>
      </c>
      <c r="G212" s="24" t="str">
        <f>IFERROR(VLOOKUP(A212,取得元!$A$2:$F$501,2,FALSE),"-")</f>
        <v>-</v>
      </c>
      <c r="H212" s="24" t="str">
        <f>IFERROR(VLOOKUP(A212,取得元!$A$2:$F$501,3,FALSE),"-")</f>
        <v>-</v>
      </c>
      <c r="I212" s="24" t="str">
        <f>IFERROR(VLOOKUP(A212,取得元!$A$2:$F$501,4,FALSE),"-")</f>
        <v>-</v>
      </c>
      <c r="J212" s="5" t="str">
        <f>IFERROR(VLOOKUP(A212,取得元!$A$2:$F$501,5,FALSE),"-")</f>
        <v>-</v>
      </c>
      <c r="K212" s="25" t="str">
        <f>IFERROR(VLOOKUP(A212,取得元!$A$2:$F$501,6,FALSE)/100,"-")</f>
        <v>-</v>
      </c>
      <c r="L212" s="21" t="str">
        <f>_xll.RssMarket(A212,"始値")</f>
        <v>表示銘柄数超過</v>
      </c>
      <c r="M212" s="4" t="e">
        <f t="shared" si="20"/>
        <v>#VALUE!</v>
      </c>
      <c r="N212" s="21" t="str">
        <f>_xll.RssMarket(A212,"高値")</f>
        <v>表示銘柄数超過</v>
      </c>
      <c r="O212" s="4" t="e">
        <f t="shared" si="21"/>
        <v>#VALUE!</v>
      </c>
      <c r="P212" s="21" t="str">
        <f>_xll.RssMarket(A212,"安値")</f>
        <v>表示銘柄数超過</v>
      </c>
      <c r="Q212" s="4" t="e">
        <f t="shared" si="22"/>
        <v>#VALUE!</v>
      </c>
      <c r="R212" s="21" t="str">
        <f>_xll.RssMarket(A212,"後場始値")</f>
        <v>表示銘柄数超過</v>
      </c>
      <c r="S212" s="25" t="str">
        <f t="shared" si="23"/>
        <v>-</v>
      </c>
      <c r="T212" s="7" t="str">
        <f>_xll.RssMarket(A212,"出来高加重平均")</f>
        <v>表示銘柄数超過</v>
      </c>
      <c r="U212" s="4" t="e">
        <f t="shared" si="24"/>
        <v>#VALUE!</v>
      </c>
      <c r="V212" s="21" t="str">
        <f>_xll.RssMarket(A212,"出来高")</f>
        <v>表示銘柄数超過</v>
      </c>
      <c r="W212" s="21" t="str">
        <f>_xll.RssMarket(A212,"売買代金")</f>
        <v>表示銘柄数超過</v>
      </c>
      <c r="X212" s="20" t="str">
        <f>_xll.RssMarket(A212,"決算発表日")</f>
        <v>表示銘柄数超過</v>
      </c>
      <c r="Y212" s="26" t="str">
        <f>IF(C212&gt;_xll.RssMarket(A212,"年初来高値"),"○","×")</f>
        <v>×</v>
      </c>
      <c r="Z212" s="27" t="str">
        <f>IF(C212&lt;=_xll.RssMarket(A212,"年初来安値"),"○","×")</f>
        <v>○</v>
      </c>
    </row>
    <row r="213" spans="1:26" x14ac:dyDescent="0.25">
      <c r="A213" s="49">
        <v>2901</v>
      </c>
      <c r="B213" s="20" t="str">
        <f>_xll.RssMarket(A213,"銘柄名称")</f>
        <v>表示銘柄数超過</v>
      </c>
      <c r="C213" s="21" t="str">
        <f>_xll.RssMarket(A213,"現在値")</f>
        <v>表示銘柄数超過</v>
      </c>
      <c r="D213" s="20" t="str">
        <f>_xll.RssMarket(A213,"現在値詳細時刻")</f>
        <v>表示銘柄数超過</v>
      </c>
      <c r="E213" s="22" t="str">
        <f>_xll.RssMarket(A213,"前日比")</f>
        <v>表示銘柄数超過</v>
      </c>
      <c r="F213" s="23" t="e">
        <f>_xll.RssMarket(A213,"前日比率")/100</f>
        <v>#VALUE!</v>
      </c>
      <c r="G213" s="24" t="str">
        <f>IFERROR(VLOOKUP(A213,取得元!$A$2:$F$501,2,FALSE),"-")</f>
        <v>-</v>
      </c>
      <c r="H213" s="24" t="str">
        <f>IFERROR(VLOOKUP(A213,取得元!$A$2:$F$501,3,FALSE),"-")</f>
        <v>-</v>
      </c>
      <c r="I213" s="24" t="str">
        <f>IFERROR(VLOOKUP(A213,取得元!$A$2:$F$501,4,FALSE),"-")</f>
        <v>-</v>
      </c>
      <c r="J213" s="5" t="str">
        <f>IFERROR(VLOOKUP(A213,取得元!$A$2:$F$501,5,FALSE),"-")</f>
        <v>-</v>
      </c>
      <c r="K213" s="25" t="str">
        <f>IFERROR(VLOOKUP(A213,取得元!$A$2:$F$501,6,FALSE)/100,"-")</f>
        <v>-</v>
      </c>
      <c r="L213" s="21" t="str">
        <f>_xll.RssMarket(A213,"始値")</f>
        <v>表示銘柄数超過</v>
      </c>
      <c r="M213" s="4" t="e">
        <f t="shared" si="20"/>
        <v>#VALUE!</v>
      </c>
      <c r="N213" s="21" t="str">
        <f>_xll.RssMarket(A213,"高値")</f>
        <v>表示銘柄数超過</v>
      </c>
      <c r="O213" s="4" t="e">
        <f t="shared" si="21"/>
        <v>#VALUE!</v>
      </c>
      <c r="P213" s="21" t="str">
        <f>_xll.RssMarket(A213,"安値")</f>
        <v>表示銘柄数超過</v>
      </c>
      <c r="Q213" s="4" t="e">
        <f t="shared" si="22"/>
        <v>#VALUE!</v>
      </c>
      <c r="R213" s="21" t="str">
        <f>_xll.RssMarket(A213,"後場始値")</f>
        <v>表示銘柄数超過</v>
      </c>
      <c r="S213" s="25" t="str">
        <f t="shared" si="23"/>
        <v>-</v>
      </c>
      <c r="T213" s="7" t="str">
        <f>_xll.RssMarket(A213,"出来高加重平均")</f>
        <v>表示銘柄数超過</v>
      </c>
      <c r="U213" s="4" t="e">
        <f t="shared" si="24"/>
        <v>#VALUE!</v>
      </c>
      <c r="V213" s="21" t="str">
        <f>_xll.RssMarket(A213,"出来高")</f>
        <v>表示銘柄数超過</v>
      </c>
      <c r="W213" s="21" t="str">
        <f>_xll.RssMarket(A213,"売買代金")</f>
        <v>表示銘柄数超過</v>
      </c>
      <c r="X213" s="20" t="str">
        <f>_xll.RssMarket(A213,"決算発表日")</f>
        <v>表示銘柄数超過</v>
      </c>
      <c r="Y213" s="26" t="str">
        <f>IF(C213&gt;_xll.RssMarket(A213,"年初来高値"),"○","×")</f>
        <v>×</v>
      </c>
      <c r="Z213" s="27" t="str">
        <f>IF(C213&lt;=_xll.RssMarket(A213,"年初来安値"),"○","×")</f>
        <v>○</v>
      </c>
    </row>
    <row r="214" spans="1:26" x14ac:dyDescent="0.25">
      <c r="A214" s="47">
        <v>2914</v>
      </c>
      <c r="B214" s="20" t="str">
        <f>_xll.RssMarket(A214,"銘柄名称")</f>
        <v>日本たばこ産業</v>
      </c>
      <c r="C214" s="21">
        <f>_xll.RssMarket(A214,"現在値")</f>
        <v>3939</v>
      </c>
      <c r="D214" s="20" t="str">
        <f>_xll.RssMarket(A214,"現在値詳細時刻")</f>
        <v>15:00:00</v>
      </c>
      <c r="E214" s="22">
        <f>_xll.RssMarket(A214,"前日比")</f>
        <v>5</v>
      </c>
      <c r="F214" s="23">
        <f>_xll.RssMarket(A214,"前日比率")/100</f>
        <v>1.2999999999999999E-3</v>
      </c>
      <c r="G214" s="24">
        <f>IFERROR(VLOOKUP(A214,取得元!$A$2:$F$501,2,FALSE),"-")</f>
        <v>1</v>
      </c>
      <c r="H214" s="24">
        <f>IFERROR(VLOOKUP(A214,取得元!$A$2:$F$501,3,FALSE),"-")</f>
        <v>3072</v>
      </c>
      <c r="I214" s="24">
        <f>IFERROR(VLOOKUP(A214,取得元!$A$2:$F$501,4,FALSE),"-")</f>
        <v>3939</v>
      </c>
      <c r="J214" s="5">
        <f>IFERROR(VLOOKUP(A214,取得元!$A$2:$F$501,5,FALSE),"-")</f>
        <v>867</v>
      </c>
      <c r="K214" s="25">
        <f>IFERROR(VLOOKUP(A214,取得元!$A$2:$F$501,6,FALSE)/100,"-")</f>
        <v>0.28222656000000002</v>
      </c>
      <c r="L214" s="21">
        <f>_xll.RssMarket(A214,"始値")</f>
        <v>3934</v>
      </c>
      <c r="M214" s="4">
        <f t="shared" si="20"/>
        <v>1.2709710218608006E-3</v>
      </c>
      <c r="N214" s="21">
        <f>_xll.RssMarket(A214,"高値")</f>
        <v>3939</v>
      </c>
      <c r="O214" s="4">
        <f t="shared" si="21"/>
        <v>0</v>
      </c>
      <c r="P214" s="21">
        <f>_xll.RssMarket(A214,"安値")</f>
        <v>3904</v>
      </c>
      <c r="Q214" s="4">
        <f t="shared" si="22"/>
        <v>8.9651639344261458E-3</v>
      </c>
      <c r="R214" s="21">
        <f>_xll.RssMarket(A214,"後場始値")</f>
        <v>3920</v>
      </c>
      <c r="S214" s="25">
        <f t="shared" si="23"/>
        <v>4.8469387755101234E-3</v>
      </c>
      <c r="T214" s="7">
        <f>_xll.RssMarket(A214,"出来高加重平均")</f>
        <v>3925.9409999999998</v>
      </c>
      <c r="U214" s="4">
        <f t="shared" si="24"/>
        <v>3.3263362847277822E-3</v>
      </c>
      <c r="V214" s="21">
        <f>_xll.RssMarket(A214,"出来高")</f>
        <v>4399200</v>
      </c>
      <c r="W214" s="21">
        <f>_xll.RssMarket(A214,"売買代金")</f>
        <v>17271000</v>
      </c>
      <c r="X214" s="20" t="str">
        <f>_xll.RssMarket(A214,"決算発表日")</f>
        <v>2024/02/13</v>
      </c>
      <c r="Y214" s="26" t="str">
        <f>IF(C214&gt;_xll.RssMarket(A214,"年初来高値"),"○","×")</f>
        <v>×</v>
      </c>
      <c r="Z214" s="27" t="str">
        <f>IF(C214&lt;=_xll.RssMarket(A214,"年初来安値"),"○","×")</f>
        <v>×</v>
      </c>
    </row>
    <row r="215" spans="1:26" x14ac:dyDescent="0.25">
      <c r="A215" s="49">
        <v>2926</v>
      </c>
      <c r="B215" s="20" t="str">
        <f>_xll.RssMarket(A215,"銘柄名称")</f>
        <v>表示銘柄数超過</v>
      </c>
      <c r="C215" s="21" t="str">
        <f>_xll.RssMarket(A215,"現在値")</f>
        <v>表示銘柄数超過</v>
      </c>
      <c r="D215" s="20" t="str">
        <f>_xll.RssMarket(A215,"現在値詳細時刻")</f>
        <v>表示銘柄数超過</v>
      </c>
      <c r="E215" s="22" t="str">
        <f>_xll.RssMarket(A215,"前日比")</f>
        <v>表示銘柄数超過</v>
      </c>
      <c r="F215" s="23" t="e">
        <f>_xll.RssMarket(A215,"前日比率")/100</f>
        <v>#VALUE!</v>
      </c>
      <c r="G215" s="24" t="str">
        <f>IFERROR(VLOOKUP(A215,取得元!$A$2:$F$501,2,FALSE),"-")</f>
        <v>-</v>
      </c>
      <c r="H215" s="24" t="str">
        <f>IFERROR(VLOOKUP(A215,取得元!$A$2:$F$501,3,FALSE),"-")</f>
        <v>-</v>
      </c>
      <c r="I215" s="24" t="str">
        <f>IFERROR(VLOOKUP(A215,取得元!$A$2:$F$501,4,FALSE),"-")</f>
        <v>-</v>
      </c>
      <c r="J215" s="5" t="str">
        <f>IFERROR(VLOOKUP(A215,取得元!$A$2:$F$501,5,FALSE),"-")</f>
        <v>-</v>
      </c>
      <c r="K215" s="25" t="str">
        <f>IFERROR(VLOOKUP(A215,取得元!$A$2:$F$501,6,FALSE)/100,"-")</f>
        <v>-</v>
      </c>
      <c r="L215" s="21" t="str">
        <f>_xll.RssMarket(A215,"始値")</f>
        <v>表示銘柄数超過</v>
      </c>
      <c r="M215" s="4" t="e">
        <f t="shared" si="20"/>
        <v>#VALUE!</v>
      </c>
      <c r="N215" s="21" t="str">
        <f>_xll.RssMarket(A215,"高値")</f>
        <v>表示銘柄数超過</v>
      </c>
      <c r="O215" s="4" t="e">
        <f t="shared" si="21"/>
        <v>#VALUE!</v>
      </c>
      <c r="P215" s="21" t="str">
        <f>_xll.RssMarket(A215,"安値")</f>
        <v>表示銘柄数超過</v>
      </c>
      <c r="Q215" s="4" t="e">
        <f t="shared" si="22"/>
        <v>#VALUE!</v>
      </c>
      <c r="R215" s="21" t="str">
        <f>_xll.RssMarket(A215,"後場始値")</f>
        <v>表示銘柄数超過</v>
      </c>
      <c r="S215" s="25" t="str">
        <f t="shared" si="23"/>
        <v>-</v>
      </c>
      <c r="T215" s="7" t="str">
        <f>_xll.RssMarket(A215,"出来高加重平均")</f>
        <v>表示銘柄数超過</v>
      </c>
      <c r="U215" s="4" t="e">
        <f t="shared" si="24"/>
        <v>#VALUE!</v>
      </c>
      <c r="V215" s="21" t="str">
        <f>_xll.RssMarket(A215,"出来高")</f>
        <v>表示銘柄数超過</v>
      </c>
      <c r="W215" s="21" t="str">
        <f>_xll.RssMarket(A215,"売買代金")</f>
        <v>表示銘柄数超過</v>
      </c>
      <c r="X215" s="20" t="str">
        <f>_xll.RssMarket(A215,"決算発表日")</f>
        <v>表示銘柄数超過</v>
      </c>
      <c r="Y215" s="26" t="str">
        <f>IF(C215&gt;_xll.RssMarket(A215,"年初来高値"),"○","×")</f>
        <v>×</v>
      </c>
      <c r="Z215" s="27" t="str">
        <f>IF(C215&lt;=_xll.RssMarket(A215,"年初来安値"),"○","×")</f>
        <v>○</v>
      </c>
    </row>
    <row r="216" spans="1:26" x14ac:dyDescent="0.25">
      <c r="A216" s="47">
        <v>2930</v>
      </c>
      <c r="B216" s="20" t="str">
        <f>_xll.RssMarket(A216,"銘柄名称")</f>
        <v>表示銘柄数超過</v>
      </c>
      <c r="C216" s="21" t="str">
        <f>_xll.RssMarket(A216,"現在値")</f>
        <v>表示銘柄数超過</v>
      </c>
      <c r="D216" s="20" t="str">
        <f>_xll.RssMarket(A216,"現在値詳細時刻")</f>
        <v>表示銘柄数超過</v>
      </c>
      <c r="E216" s="22" t="str">
        <f>_xll.RssMarket(A216,"前日比")</f>
        <v>表示銘柄数超過</v>
      </c>
      <c r="F216" s="23" t="e">
        <f>_xll.RssMarket(A216,"前日比率")/100</f>
        <v>#VALUE!</v>
      </c>
      <c r="G216" s="24" t="str">
        <f>IFERROR(VLOOKUP(A216,取得元!$A$2:$F$501,2,FALSE),"-")</f>
        <v>-</v>
      </c>
      <c r="H216" s="24" t="str">
        <f>IFERROR(VLOOKUP(A216,取得元!$A$2:$F$501,3,FALSE),"-")</f>
        <v>-</v>
      </c>
      <c r="I216" s="24" t="str">
        <f>IFERROR(VLOOKUP(A216,取得元!$A$2:$F$501,4,FALSE),"-")</f>
        <v>-</v>
      </c>
      <c r="J216" s="5" t="str">
        <f>IFERROR(VLOOKUP(A216,取得元!$A$2:$F$501,5,FALSE),"-")</f>
        <v>-</v>
      </c>
      <c r="K216" s="25" t="str">
        <f>IFERROR(VLOOKUP(A216,取得元!$A$2:$F$501,6,FALSE)/100,"-")</f>
        <v>-</v>
      </c>
      <c r="L216" s="21" t="str">
        <f>_xll.RssMarket(A216,"始値")</f>
        <v>表示銘柄数超過</v>
      </c>
      <c r="M216" s="4" t="e">
        <f t="shared" si="20"/>
        <v>#VALUE!</v>
      </c>
      <c r="N216" s="21" t="str">
        <f>_xll.RssMarket(A216,"高値")</f>
        <v>表示銘柄数超過</v>
      </c>
      <c r="O216" s="4" t="e">
        <f t="shared" si="21"/>
        <v>#VALUE!</v>
      </c>
      <c r="P216" s="21" t="str">
        <f>_xll.RssMarket(A216,"安値")</f>
        <v>表示銘柄数超過</v>
      </c>
      <c r="Q216" s="4" t="e">
        <f t="shared" si="22"/>
        <v>#VALUE!</v>
      </c>
      <c r="R216" s="21" t="str">
        <f>_xll.RssMarket(A216,"後場始値")</f>
        <v>表示銘柄数超過</v>
      </c>
      <c r="S216" s="25" t="str">
        <f t="shared" si="23"/>
        <v>-</v>
      </c>
      <c r="T216" s="7" t="str">
        <f>_xll.RssMarket(A216,"出来高加重平均")</f>
        <v>表示銘柄数超過</v>
      </c>
      <c r="U216" s="4" t="e">
        <f t="shared" si="24"/>
        <v>#VALUE!</v>
      </c>
      <c r="V216" s="21" t="str">
        <f>_xll.RssMarket(A216,"出来高")</f>
        <v>表示銘柄数超過</v>
      </c>
      <c r="W216" s="21" t="str">
        <f>_xll.RssMarket(A216,"売買代金")</f>
        <v>表示銘柄数超過</v>
      </c>
      <c r="X216" s="20" t="str">
        <f>_xll.RssMarket(A216,"決算発表日")</f>
        <v>表示銘柄数超過</v>
      </c>
      <c r="Y216" s="26" t="str">
        <f>IF(C216&gt;_xll.RssMarket(A216,"年初来高値"),"○","×")</f>
        <v>×</v>
      </c>
      <c r="Z216" s="27" t="str">
        <f>IF(C216&lt;=_xll.RssMarket(A216,"年初来安値"),"○","×")</f>
        <v>○</v>
      </c>
    </row>
    <row r="217" spans="1:26" x14ac:dyDescent="0.25">
      <c r="A217" s="49">
        <v>2982</v>
      </c>
      <c r="B217" s="20" t="str">
        <f>_xll.RssMarket(A217,"銘柄名称")</f>
        <v>表示銘柄数超過</v>
      </c>
      <c r="C217" s="21" t="str">
        <f>_xll.RssMarket(A217,"現在値")</f>
        <v>表示銘柄数超過</v>
      </c>
      <c r="D217" s="20" t="str">
        <f>_xll.RssMarket(A217,"現在値詳細時刻")</f>
        <v>表示銘柄数超過</v>
      </c>
      <c r="E217" s="22" t="str">
        <f>_xll.RssMarket(A217,"前日比")</f>
        <v>表示銘柄数超過</v>
      </c>
      <c r="F217" s="23" t="e">
        <f>_xll.RssMarket(A217,"前日比率")/100</f>
        <v>#VALUE!</v>
      </c>
      <c r="G217" s="24" t="str">
        <f>IFERROR(VLOOKUP(A217,取得元!$A$2:$F$501,2,FALSE),"-")</f>
        <v>-</v>
      </c>
      <c r="H217" s="24" t="str">
        <f>IFERROR(VLOOKUP(A217,取得元!$A$2:$F$501,3,FALSE),"-")</f>
        <v>-</v>
      </c>
      <c r="I217" s="24" t="str">
        <f>IFERROR(VLOOKUP(A217,取得元!$A$2:$F$501,4,FALSE),"-")</f>
        <v>-</v>
      </c>
      <c r="J217" s="5" t="str">
        <f>IFERROR(VLOOKUP(A217,取得元!$A$2:$F$501,5,FALSE),"-")</f>
        <v>-</v>
      </c>
      <c r="K217" s="25" t="str">
        <f>IFERROR(VLOOKUP(A217,取得元!$A$2:$F$501,6,FALSE)/100,"-")</f>
        <v>-</v>
      </c>
      <c r="L217" s="21" t="str">
        <f>_xll.RssMarket(A217,"始値")</f>
        <v>表示銘柄数超過</v>
      </c>
      <c r="M217" s="4" t="e">
        <f t="shared" si="20"/>
        <v>#VALUE!</v>
      </c>
      <c r="N217" s="21" t="str">
        <f>_xll.RssMarket(A217,"高値")</f>
        <v>表示銘柄数超過</v>
      </c>
      <c r="O217" s="4" t="e">
        <f t="shared" si="21"/>
        <v>#VALUE!</v>
      </c>
      <c r="P217" s="21" t="str">
        <f>_xll.RssMarket(A217,"安値")</f>
        <v>表示銘柄数超過</v>
      </c>
      <c r="Q217" s="4" t="e">
        <f t="shared" si="22"/>
        <v>#VALUE!</v>
      </c>
      <c r="R217" s="21" t="str">
        <f>_xll.RssMarket(A217,"後場始値")</f>
        <v>表示銘柄数超過</v>
      </c>
      <c r="S217" s="25" t="str">
        <f t="shared" si="23"/>
        <v>-</v>
      </c>
      <c r="T217" s="7" t="str">
        <f>_xll.RssMarket(A217,"出来高加重平均")</f>
        <v>表示銘柄数超過</v>
      </c>
      <c r="U217" s="4" t="e">
        <f t="shared" si="24"/>
        <v>#VALUE!</v>
      </c>
      <c r="V217" s="21" t="str">
        <f>_xll.RssMarket(A217,"出来高")</f>
        <v>表示銘柄数超過</v>
      </c>
      <c r="W217" s="21" t="str">
        <f>_xll.RssMarket(A217,"売買代金")</f>
        <v>表示銘柄数超過</v>
      </c>
      <c r="X217" s="20" t="str">
        <f>_xll.RssMarket(A217,"決算発表日")</f>
        <v>表示銘柄数超過</v>
      </c>
      <c r="Y217" s="26" t="str">
        <f>IF(C217&gt;_xll.RssMarket(A217,"年初来高値"),"○","×")</f>
        <v>×</v>
      </c>
      <c r="Z217" s="27" t="str">
        <f>IF(C217&lt;=_xll.RssMarket(A217,"年初来安値"),"○","×")</f>
        <v>○</v>
      </c>
    </row>
    <row r="218" spans="1:26" x14ac:dyDescent="0.25">
      <c r="A218" s="47">
        <v>2987</v>
      </c>
      <c r="B218" s="20" t="str">
        <f>_xll.RssMarket(A218,"銘柄名称")</f>
        <v>表示銘柄数超過</v>
      </c>
      <c r="C218" s="21" t="str">
        <f>_xll.RssMarket(A218,"現在値")</f>
        <v>表示銘柄数超過</v>
      </c>
      <c r="D218" s="20" t="str">
        <f>_xll.RssMarket(A218,"現在値詳細時刻")</f>
        <v>表示銘柄数超過</v>
      </c>
      <c r="E218" s="22" t="str">
        <f>_xll.RssMarket(A218,"前日比")</f>
        <v>表示銘柄数超過</v>
      </c>
      <c r="F218" s="23" t="e">
        <f>_xll.RssMarket(A218,"前日比率")/100</f>
        <v>#VALUE!</v>
      </c>
      <c r="G218" s="24" t="str">
        <f>IFERROR(VLOOKUP(A218,取得元!$A$2:$F$501,2,FALSE),"-")</f>
        <v>-</v>
      </c>
      <c r="H218" s="24" t="str">
        <f>IFERROR(VLOOKUP(A218,取得元!$A$2:$F$501,3,FALSE),"-")</f>
        <v>-</v>
      </c>
      <c r="I218" s="24" t="str">
        <f>IFERROR(VLOOKUP(A218,取得元!$A$2:$F$501,4,FALSE),"-")</f>
        <v>-</v>
      </c>
      <c r="J218" s="5" t="str">
        <f>IFERROR(VLOOKUP(A218,取得元!$A$2:$F$501,5,FALSE),"-")</f>
        <v>-</v>
      </c>
      <c r="K218" s="25" t="str">
        <f>IFERROR(VLOOKUP(A218,取得元!$A$2:$F$501,6,FALSE)/100,"-")</f>
        <v>-</v>
      </c>
      <c r="L218" s="21" t="str">
        <f>_xll.RssMarket(A218,"始値")</f>
        <v>表示銘柄数超過</v>
      </c>
      <c r="M218" s="4" t="e">
        <f t="shared" si="20"/>
        <v>#VALUE!</v>
      </c>
      <c r="N218" s="21" t="str">
        <f>_xll.RssMarket(A218,"高値")</f>
        <v>表示銘柄数超過</v>
      </c>
      <c r="O218" s="4" t="e">
        <f t="shared" si="21"/>
        <v>#VALUE!</v>
      </c>
      <c r="P218" s="21" t="str">
        <f>_xll.RssMarket(A218,"安値")</f>
        <v>表示銘柄数超過</v>
      </c>
      <c r="Q218" s="4" t="e">
        <f t="shared" si="22"/>
        <v>#VALUE!</v>
      </c>
      <c r="R218" s="21" t="str">
        <f>_xll.RssMarket(A218,"後場始値")</f>
        <v>表示銘柄数超過</v>
      </c>
      <c r="S218" s="25" t="str">
        <f t="shared" si="23"/>
        <v>-</v>
      </c>
      <c r="T218" s="7" t="str">
        <f>_xll.RssMarket(A218,"出来高加重平均")</f>
        <v>表示銘柄数超過</v>
      </c>
      <c r="U218" s="4" t="e">
        <f t="shared" si="24"/>
        <v>#VALUE!</v>
      </c>
      <c r="V218" s="21" t="str">
        <f>_xll.RssMarket(A218,"出来高")</f>
        <v>表示銘柄数超過</v>
      </c>
      <c r="W218" s="21" t="str">
        <f>_xll.RssMarket(A218,"売買代金")</f>
        <v>表示銘柄数超過</v>
      </c>
      <c r="X218" s="20" t="str">
        <f>_xll.RssMarket(A218,"決算発表日")</f>
        <v>表示銘柄数超過</v>
      </c>
      <c r="Y218" s="26" t="str">
        <f>IF(C218&gt;_xll.RssMarket(A218,"年初来高値"),"○","×")</f>
        <v>×</v>
      </c>
      <c r="Z218" s="27" t="str">
        <f>IF(C218&lt;=_xll.RssMarket(A218,"年初来安値"),"○","×")</f>
        <v>○</v>
      </c>
    </row>
    <row r="219" spans="1:26" x14ac:dyDescent="0.25">
      <c r="A219" s="49">
        <v>2993</v>
      </c>
      <c r="B219" s="20" t="str">
        <f>_xll.RssMarket(A219,"銘柄名称")</f>
        <v>表示銘柄数超過</v>
      </c>
      <c r="C219" s="21" t="str">
        <f>_xll.RssMarket(A219,"現在値")</f>
        <v>表示銘柄数超過</v>
      </c>
      <c r="D219" s="20" t="str">
        <f>_xll.RssMarket(A219,"現在値詳細時刻")</f>
        <v>表示銘柄数超過</v>
      </c>
      <c r="E219" s="22" t="str">
        <f>_xll.RssMarket(A219,"前日比")</f>
        <v>表示銘柄数超過</v>
      </c>
      <c r="F219" s="23" t="e">
        <f>_xll.RssMarket(A219,"前日比率")/100</f>
        <v>#VALUE!</v>
      </c>
      <c r="G219" s="24" t="str">
        <f>IFERROR(VLOOKUP(A219,取得元!$A$2:$F$501,2,FALSE),"-")</f>
        <v>-</v>
      </c>
      <c r="H219" s="24" t="str">
        <f>IFERROR(VLOOKUP(A219,取得元!$A$2:$F$501,3,FALSE),"-")</f>
        <v>-</v>
      </c>
      <c r="I219" s="24" t="str">
        <f>IFERROR(VLOOKUP(A219,取得元!$A$2:$F$501,4,FALSE),"-")</f>
        <v>-</v>
      </c>
      <c r="J219" s="5" t="str">
        <f>IFERROR(VLOOKUP(A219,取得元!$A$2:$F$501,5,FALSE),"-")</f>
        <v>-</v>
      </c>
      <c r="K219" s="25" t="str">
        <f>IFERROR(VLOOKUP(A219,取得元!$A$2:$F$501,6,FALSE)/100,"-")</f>
        <v>-</v>
      </c>
      <c r="L219" s="21" t="str">
        <f>_xll.RssMarket(A219,"始値")</f>
        <v>表示銘柄数超過</v>
      </c>
      <c r="M219" s="4" t="e">
        <f t="shared" si="20"/>
        <v>#VALUE!</v>
      </c>
      <c r="N219" s="21" t="str">
        <f>_xll.RssMarket(A219,"高値")</f>
        <v>表示銘柄数超過</v>
      </c>
      <c r="O219" s="4" t="e">
        <f t="shared" si="21"/>
        <v>#VALUE!</v>
      </c>
      <c r="P219" s="21" t="str">
        <f>_xll.RssMarket(A219,"安値")</f>
        <v>表示銘柄数超過</v>
      </c>
      <c r="Q219" s="4" t="e">
        <f t="shared" si="22"/>
        <v>#VALUE!</v>
      </c>
      <c r="R219" s="21" t="str">
        <f>_xll.RssMarket(A219,"後場始値")</f>
        <v>表示銘柄数超過</v>
      </c>
      <c r="S219" s="25" t="str">
        <f t="shared" si="23"/>
        <v>-</v>
      </c>
      <c r="T219" s="7" t="str">
        <f>_xll.RssMarket(A219,"出来高加重平均")</f>
        <v>表示銘柄数超過</v>
      </c>
      <c r="U219" s="4" t="e">
        <f t="shared" si="24"/>
        <v>#VALUE!</v>
      </c>
      <c r="V219" s="21" t="str">
        <f>_xll.RssMarket(A219,"出来高")</f>
        <v>表示銘柄数超過</v>
      </c>
      <c r="W219" s="21" t="str">
        <f>_xll.RssMarket(A219,"売買代金")</f>
        <v>表示銘柄数超過</v>
      </c>
      <c r="X219" s="20" t="str">
        <f>_xll.RssMarket(A219,"決算発表日")</f>
        <v>表示銘柄数超過</v>
      </c>
      <c r="Y219" s="26" t="str">
        <f>IF(C219&gt;_xll.RssMarket(A219,"年初来高値"),"○","×")</f>
        <v>×</v>
      </c>
      <c r="Z219" s="27" t="str">
        <f>IF(C219&lt;=_xll.RssMarket(A219,"年初来安値"),"○","×")</f>
        <v>○</v>
      </c>
    </row>
    <row r="220" spans="1:26" x14ac:dyDescent="0.25">
      <c r="A220" s="47">
        <v>2997</v>
      </c>
      <c r="B220" s="20" t="str">
        <f>_xll.RssMarket(A220,"銘柄名称")</f>
        <v>表示銘柄数超過</v>
      </c>
      <c r="C220" s="21" t="str">
        <f>_xll.RssMarket(A220,"現在値")</f>
        <v>表示銘柄数超過</v>
      </c>
      <c r="D220" s="20" t="str">
        <f>_xll.RssMarket(A220,"現在値詳細時刻")</f>
        <v>表示銘柄数超過</v>
      </c>
      <c r="E220" s="22" t="str">
        <f>_xll.RssMarket(A220,"前日比")</f>
        <v>表示銘柄数超過</v>
      </c>
      <c r="F220" s="23" t="e">
        <f>_xll.RssMarket(A220,"前日比率")/100</f>
        <v>#VALUE!</v>
      </c>
      <c r="G220" s="24" t="str">
        <f>IFERROR(VLOOKUP(A220,取得元!$A$2:$F$501,2,FALSE),"-")</f>
        <v>-</v>
      </c>
      <c r="H220" s="24" t="str">
        <f>IFERROR(VLOOKUP(A220,取得元!$A$2:$F$501,3,FALSE),"-")</f>
        <v>-</v>
      </c>
      <c r="I220" s="24" t="str">
        <f>IFERROR(VLOOKUP(A220,取得元!$A$2:$F$501,4,FALSE),"-")</f>
        <v>-</v>
      </c>
      <c r="J220" s="5" t="str">
        <f>IFERROR(VLOOKUP(A220,取得元!$A$2:$F$501,5,FALSE),"-")</f>
        <v>-</v>
      </c>
      <c r="K220" s="25" t="str">
        <f>IFERROR(VLOOKUP(A220,取得元!$A$2:$F$501,6,FALSE)/100,"-")</f>
        <v>-</v>
      </c>
      <c r="L220" s="21" t="str">
        <f>_xll.RssMarket(A220,"始値")</f>
        <v>表示銘柄数超過</v>
      </c>
      <c r="M220" s="4" t="e">
        <f t="shared" si="20"/>
        <v>#VALUE!</v>
      </c>
      <c r="N220" s="21" t="str">
        <f>_xll.RssMarket(A220,"高値")</f>
        <v>表示銘柄数超過</v>
      </c>
      <c r="O220" s="4" t="e">
        <f t="shared" si="21"/>
        <v>#VALUE!</v>
      </c>
      <c r="P220" s="21" t="str">
        <f>_xll.RssMarket(A220,"安値")</f>
        <v>表示銘柄数超過</v>
      </c>
      <c r="Q220" s="4" t="e">
        <f t="shared" si="22"/>
        <v>#VALUE!</v>
      </c>
      <c r="R220" s="21" t="str">
        <f>_xll.RssMarket(A220,"後場始値")</f>
        <v>表示銘柄数超過</v>
      </c>
      <c r="S220" s="25" t="str">
        <f t="shared" si="23"/>
        <v>-</v>
      </c>
      <c r="T220" s="7" t="str">
        <f>_xll.RssMarket(A220,"出来高加重平均")</f>
        <v>表示銘柄数超過</v>
      </c>
      <c r="U220" s="4" t="e">
        <f t="shared" si="24"/>
        <v>#VALUE!</v>
      </c>
      <c r="V220" s="21" t="str">
        <f>_xll.RssMarket(A220,"出来高")</f>
        <v>表示銘柄数超過</v>
      </c>
      <c r="W220" s="21" t="str">
        <f>_xll.RssMarket(A220,"売買代金")</f>
        <v>表示銘柄数超過</v>
      </c>
      <c r="X220" s="20" t="str">
        <f>_xll.RssMarket(A220,"決算発表日")</f>
        <v>表示銘柄数超過</v>
      </c>
      <c r="Y220" s="26" t="str">
        <f>IF(C220&gt;_xll.RssMarket(A220,"年初来高値"),"○","×")</f>
        <v>×</v>
      </c>
      <c r="Z220" s="27" t="str">
        <f>IF(C220&lt;=_xll.RssMarket(A220,"年初来安値"),"○","×")</f>
        <v>○</v>
      </c>
    </row>
    <row r="221" spans="1:26" x14ac:dyDescent="0.25">
      <c r="A221" s="49">
        <v>3003</v>
      </c>
      <c r="B221" s="20" t="str">
        <f>_xll.RssMarket(A221,"銘柄名称")</f>
        <v>表示銘柄数超過</v>
      </c>
      <c r="C221" s="21" t="str">
        <f>_xll.RssMarket(A221,"現在値")</f>
        <v>表示銘柄数超過</v>
      </c>
      <c r="D221" s="20" t="str">
        <f>_xll.RssMarket(A221,"現在値詳細時刻")</f>
        <v>表示銘柄数超過</v>
      </c>
      <c r="E221" s="22" t="str">
        <f>_xll.RssMarket(A221,"前日比")</f>
        <v>表示銘柄数超過</v>
      </c>
      <c r="F221" s="23" t="e">
        <f>_xll.RssMarket(A221,"前日比率")/100</f>
        <v>#VALUE!</v>
      </c>
      <c r="G221" s="24" t="str">
        <f>IFERROR(VLOOKUP(A221,取得元!$A$2:$F$501,2,FALSE),"-")</f>
        <v>-</v>
      </c>
      <c r="H221" s="24" t="str">
        <f>IFERROR(VLOOKUP(A221,取得元!$A$2:$F$501,3,FALSE),"-")</f>
        <v>-</v>
      </c>
      <c r="I221" s="24" t="str">
        <f>IFERROR(VLOOKUP(A221,取得元!$A$2:$F$501,4,FALSE),"-")</f>
        <v>-</v>
      </c>
      <c r="J221" s="5" t="str">
        <f>IFERROR(VLOOKUP(A221,取得元!$A$2:$F$501,5,FALSE),"-")</f>
        <v>-</v>
      </c>
      <c r="K221" s="25" t="str">
        <f>IFERROR(VLOOKUP(A221,取得元!$A$2:$F$501,6,FALSE)/100,"-")</f>
        <v>-</v>
      </c>
      <c r="L221" s="21" t="str">
        <f>_xll.RssMarket(A221,"始値")</f>
        <v>表示銘柄数超過</v>
      </c>
      <c r="M221" s="4" t="e">
        <f t="shared" si="20"/>
        <v>#VALUE!</v>
      </c>
      <c r="N221" s="21" t="str">
        <f>_xll.RssMarket(A221,"高値")</f>
        <v>表示銘柄数超過</v>
      </c>
      <c r="O221" s="4" t="e">
        <f t="shared" si="21"/>
        <v>#VALUE!</v>
      </c>
      <c r="P221" s="21" t="str">
        <f>_xll.RssMarket(A221,"安値")</f>
        <v>表示銘柄数超過</v>
      </c>
      <c r="Q221" s="4" t="e">
        <f t="shared" si="22"/>
        <v>#VALUE!</v>
      </c>
      <c r="R221" s="21" t="str">
        <f>_xll.RssMarket(A221,"後場始値")</f>
        <v>表示銘柄数超過</v>
      </c>
      <c r="S221" s="25" t="str">
        <f t="shared" si="23"/>
        <v>-</v>
      </c>
      <c r="T221" s="7" t="str">
        <f>_xll.RssMarket(A221,"出来高加重平均")</f>
        <v>表示銘柄数超過</v>
      </c>
      <c r="U221" s="4" t="e">
        <f t="shared" si="24"/>
        <v>#VALUE!</v>
      </c>
      <c r="V221" s="21" t="str">
        <f>_xll.RssMarket(A221,"出来高")</f>
        <v>表示銘柄数超過</v>
      </c>
      <c r="W221" s="21" t="str">
        <f>_xll.RssMarket(A221,"売買代金")</f>
        <v>表示銘柄数超過</v>
      </c>
      <c r="X221" s="20" t="str">
        <f>_xll.RssMarket(A221,"決算発表日")</f>
        <v>表示銘柄数超過</v>
      </c>
      <c r="Y221" s="26" t="str">
        <f>IF(C221&gt;_xll.RssMarket(A221,"年初来高値"),"○","×")</f>
        <v>×</v>
      </c>
      <c r="Z221" s="27" t="str">
        <f>IF(C221&lt;=_xll.RssMarket(A221,"年初来安値"),"○","×")</f>
        <v>○</v>
      </c>
    </row>
    <row r="222" spans="1:26" x14ac:dyDescent="0.25">
      <c r="A222" s="47">
        <v>3004</v>
      </c>
      <c r="B222" s="20" t="str">
        <f>_xll.RssMarket(A222,"銘柄名称")</f>
        <v>表示銘柄数超過</v>
      </c>
      <c r="C222" s="21" t="str">
        <f>_xll.RssMarket(A222,"現在値")</f>
        <v>表示銘柄数超過</v>
      </c>
      <c r="D222" s="20" t="str">
        <f>_xll.RssMarket(A222,"現在値詳細時刻")</f>
        <v>表示銘柄数超過</v>
      </c>
      <c r="E222" s="22" t="str">
        <f>_xll.RssMarket(A222,"前日比")</f>
        <v>表示銘柄数超過</v>
      </c>
      <c r="F222" s="23" t="e">
        <f>_xll.RssMarket(A222,"前日比率")/100</f>
        <v>#VALUE!</v>
      </c>
      <c r="G222" s="24" t="str">
        <f>IFERROR(VLOOKUP(A222,取得元!$A$2:$F$501,2,FALSE),"-")</f>
        <v>-</v>
      </c>
      <c r="H222" s="24" t="str">
        <f>IFERROR(VLOOKUP(A222,取得元!$A$2:$F$501,3,FALSE),"-")</f>
        <v>-</v>
      </c>
      <c r="I222" s="24" t="str">
        <f>IFERROR(VLOOKUP(A222,取得元!$A$2:$F$501,4,FALSE),"-")</f>
        <v>-</v>
      </c>
      <c r="J222" s="5" t="str">
        <f>IFERROR(VLOOKUP(A222,取得元!$A$2:$F$501,5,FALSE),"-")</f>
        <v>-</v>
      </c>
      <c r="K222" s="25" t="str">
        <f>IFERROR(VLOOKUP(A222,取得元!$A$2:$F$501,6,FALSE)/100,"-")</f>
        <v>-</v>
      </c>
      <c r="L222" s="21" t="str">
        <f>_xll.RssMarket(A222,"始値")</f>
        <v>表示銘柄数超過</v>
      </c>
      <c r="M222" s="4" t="e">
        <f t="shared" si="20"/>
        <v>#VALUE!</v>
      </c>
      <c r="N222" s="21" t="str">
        <f>_xll.RssMarket(A222,"高値")</f>
        <v>表示銘柄数超過</v>
      </c>
      <c r="O222" s="4" t="e">
        <f t="shared" si="21"/>
        <v>#VALUE!</v>
      </c>
      <c r="P222" s="21" t="str">
        <f>_xll.RssMarket(A222,"安値")</f>
        <v>表示銘柄数超過</v>
      </c>
      <c r="Q222" s="4" t="e">
        <f t="shared" si="22"/>
        <v>#VALUE!</v>
      </c>
      <c r="R222" s="21" t="str">
        <f>_xll.RssMarket(A222,"後場始値")</f>
        <v>表示銘柄数超過</v>
      </c>
      <c r="S222" s="25" t="str">
        <f t="shared" si="23"/>
        <v>-</v>
      </c>
      <c r="T222" s="7" t="str">
        <f>_xll.RssMarket(A222,"出来高加重平均")</f>
        <v>表示銘柄数超過</v>
      </c>
      <c r="U222" s="4" t="e">
        <f t="shared" si="24"/>
        <v>#VALUE!</v>
      </c>
      <c r="V222" s="21" t="str">
        <f>_xll.RssMarket(A222,"出来高")</f>
        <v>表示銘柄数超過</v>
      </c>
      <c r="W222" s="21" t="str">
        <f>_xll.RssMarket(A222,"売買代金")</f>
        <v>表示銘柄数超過</v>
      </c>
      <c r="X222" s="20" t="str">
        <f>_xll.RssMarket(A222,"決算発表日")</f>
        <v>表示銘柄数超過</v>
      </c>
      <c r="Y222" s="26" t="str">
        <f>IF(C222&gt;_xll.RssMarket(A222,"年初来高値"),"○","×")</f>
        <v>×</v>
      </c>
      <c r="Z222" s="27" t="str">
        <f>IF(C222&lt;=_xll.RssMarket(A222,"年初来安値"),"○","×")</f>
        <v>○</v>
      </c>
    </row>
    <row r="223" spans="1:26" x14ac:dyDescent="0.25">
      <c r="A223" s="49">
        <v>3010</v>
      </c>
      <c r="B223" s="20" t="str">
        <f>_xll.RssMarket(A223,"銘柄名称")</f>
        <v>表示銘柄数超過</v>
      </c>
      <c r="C223" s="21" t="str">
        <f>_xll.RssMarket(A223,"現在値")</f>
        <v>表示銘柄数超過</v>
      </c>
      <c r="D223" s="20" t="str">
        <f>_xll.RssMarket(A223,"現在値詳細時刻")</f>
        <v>表示銘柄数超過</v>
      </c>
      <c r="E223" s="22" t="str">
        <f>_xll.RssMarket(A223,"前日比")</f>
        <v>表示銘柄数超過</v>
      </c>
      <c r="F223" s="23" t="e">
        <f>_xll.RssMarket(A223,"前日比率")/100</f>
        <v>#VALUE!</v>
      </c>
      <c r="G223" s="24" t="str">
        <f>IFERROR(VLOOKUP(A223,取得元!$A$2:$F$501,2,FALSE),"-")</f>
        <v>-</v>
      </c>
      <c r="H223" s="24" t="str">
        <f>IFERROR(VLOOKUP(A223,取得元!$A$2:$F$501,3,FALSE),"-")</f>
        <v>-</v>
      </c>
      <c r="I223" s="24" t="str">
        <f>IFERROR(VLOOKUP(A223,取得元!$A$2:$F$501,4,FALSE),"-")</f>
        <v>-</v>
      </c>
      <c r="J223" s="5" t="str">
        <f>IFERROR(VLOOKUP(A223,取得元!$A$2:$F$501,5,FALSE),"-")</f>
        <v>-</v>
      </c>
      <c r="K223" s="25" t="str">
        <f>IFERROR(VLOOKUP(A223,取得元!$A$2:$F$501,6,FALSE)/100,"-")</f>
        <v>-</v>
      </c>
      <c r="L223" s="21" t="str">
        <f>_xll.RssMarket(A223,"始値")</f>
        <v>表示銘柄数超過</v>
      </c>
      <c r="M223" s="4" t="e">
        <f t="shared" si="20"/>
        <v>#VALUE!</v>
      </c>
      <c r="N223" s="21" t="str">
        <f>_xll.RssMarket(A223,"高値")</f>
        <v>表示銘柄数超過</v>
      </c>
      <c r="O223" s="4" t="e">
        <f t="shared" si="21"/>
        <v>#VALUE!</v>
      </c>
      <c r="P223" s="21" t="str">
        <f>_xll.RssMarket(A223,"安値")</f>
        <v>表示銘柄数超過</v>
      </c>
      <c r="Q223" s="4" t="e">
        <f t="shared" si="22"/>
        <v>#VALUE!</v>
      </c>
      <c r="R223" s="21" t="str">
        <f>_xll.RssMarket(A223,"後場始値")</f>
        <v>表示銘柄数超過</v>
      </c>
      <c r="S223" s="25" t="str">
        <f t="shared" si="23"/>
        <v>-</v>
      </c>
      <c r="T223" s="7" t="str">
        <f>_xll.RssMarket(A223,"出来高加重平均")</f>
        <v>表示銘柄数超過</v>
      </c>
      <c r="U223" s="4" t="e">
        <f t="shared" si="24"/>
        <v>#VALUE!</v>
      </c>
      <c r="V223" s="21" t="str">
        <f>_xll.RssMarket(A223,"出来高")</f>
        <v>表示銘柄数超過</v>
      </c>
      <c r="W223" s="21" t="str">
        <f>_xll.RssMarket(A223,"売買代金")</f>
        <v>表示銘柄数超過</v>
      </c>
      <c r="X223" s="20" t="str">
        <f>_xll.RssMarket(A223,"決算発表日")</f>
        <v>表示銘柄数超過</v>
      </c>
      <c r="Y223" s="26" t="str">
        <f>IF(C223&gt;_xll.RssMarket(A223,"年初来高値"),"○","×")</f>
        <v>×</v>
      </c>
      <c r="Z223" s="27" t="str">
        <f>IF(C223&lt;=_xll.RssMarket(A223,"年初来安値"),"○","×")</f>
        <v>○</v>
      </c>
    </row>
    <row r="224" spans="1:26" x14ac:dyDescent="0.25">
      <c r="A224" s="47">
        <v>3021</v>
      </c>
      <c r="B224" s="20" t="str">
        <f>_xll.RssMarket(A224,"銘柄名称")</f>
        <v>表示銘柄数超過</v>
      </c>
      <c r="C224" s="21" t="str">
        <f>_xll.RssMarket(A224,"現在値")</f>
        <v>表示銘柄数超過</v>
      </c>
      <c r="D224" s="20" t="str">
        <f>_xll.RssMarket(A224,"現在値詳細時刻")</f>
        <v>表示銘柄数超過</v>
      </c>
      <c r="E224" s="22" t="str">
        <f>_xll.RssMarket(A224,"前日比")</f>
        <v>表示銘柄数超過</v>
      </c>
      <c r="F224" s="23" t="e">
        <f>_xll.RssMarket(A224,"前日比率")/100</f>
        <v>#VALUE!</v>
      </c>
      <c r="G224" s="24" t="str">
        <f>IFERROR(VLOOKUP(A224,取得元!$A$2:$F$501,2,FALSE),"-")</f>
        <v>-</v>
      </c>
      <c r="H224" s="24" t="str">
        <f>IFERROR(VLOOKUP(A224,取得元!$A$2:$F$501,3,FALSE),"-")</f>
        <v>-</v>
      </c>
      <c r="I224" s="24" t="str">
        <f>IFERROR(VLOOKUP(A224,取得元!$A$2:$F$501,4,FALSE),"-")</f>
        <v>-</v>
      </c>
      <c r="J224" s="5" t="str">
        <f>IFERROR(VLOOKUP(A224,取得元!$A$2:$F$501,5,FALSE),"-")</f>
        <v>-</v>
      </c>
      <c r="K224" s="25" t="str">
        <f>IFERROR(VLOOKUP(A224,取得元!$A$2:$F$501,6,FALSE)/100,"-")</f>
        <v>-</v>
      </c>
      <c r="L224" s="21" t="str">
        <f>_xll.RssMarket(A224,"始値")</f>
        <v>表示銘柄数超過</v>
      </c>
      <c r="M224" s="4" t="e">
        <f t="shared" si="20"/>
        <v>#VALUE!</v>
      </c>
      <c r="N224" s="21" t="str">
        <f>_xll.RssMarket(A224,"高値")</f>
        <v>表示銘柄数超過</v>
      </c>
      <c r="O224" s="4" t="e">
        <f t="shared" si="21"/>
        <v>#VALUE!</v>
      </c>
      <c r="P224" s="21" t="str">
        <f>_xll.RssMarket(A224,"安値")</f>
        <v>表示銘柄数超過</v>
      </c>
      <c r="Q224" s="4" t="e">
        <f t="shared" si="22"/>
        <v>#VALUE!</v>
      </c>
      <c r="R224" s="21" t="str">
        <f>_xll.RssMarket(A224,"後場始値")</f>
        <v>表示銘柄数超過</v>
      </c>
      <c r="S224" s="25" t="str">
        <f t="shared" si="23"/>
        <v>-</v>
      </c>
      <c r="T224" s="7" t="str">
        <f>_xll.RssMarket(A224,"出来高加重平均")</f>
        <v>表示銘柄数超過</v>
      </c>
      <c r="U224" s="4" t="e">
        <f t="shared" si="24"/>
        <v>#VALUE!</v>
      </c>
      <c r="V224" s="21" t="str">
        <f>_xll.RssMarket(A224,"出来高")</f>
        <v>表示銘柄数超過</v>
      </c>
      <c r="W224" s="21" t="str">
        <f>_xll.RssMarket(A224,"売買代金")</f>
        <v>表示銘柄数超過</v>
      </c>
      <c r="X224" s="20" t="str">
        <f>_xll.RssMarket(A224,"決算発表日")</f>
        <v>表示銘柄数超過</v>
      </c>
      <c r="Y224" s="26" t="str">
        <f>IF(C224&gt;_xll.RssMarket(A224,"年初来高値"),"○","×")</f>
        <v>×</v>
      </c>
      <c r="Z224" s="27" t="str">
        <f>IF(C224&lt;=_xll.RssMarket(A224,"年初来安値"),"○","×")</f>
        <v>○</v>
      </c>
    </row>
    <row r="225" spans="1:26" x14ac:dyDescent="0.25">
      <c r="A225" s="49">
        <v>3030</v>
      </c>
      <c r="B225" s="20" t="str">
        <f>_xll.RssMarket(A225,"銘柄名称")</f>
        <v>表示銘柄数超過</v>
      </c>
      <c r="C225" s="21" t="str">
        <f>_xll.RssMarket(A225,"現在値")</f>
        <v>表示銘柄数超過</v>
      </c>
      <c r="D225" s="20" t="str">
        <f>_xll.RssMarket(A225,"現在値詳細時刻")</f>
        <v>表示銘柄数超過</v>
      </c>
      <c r="E225" s="22" t="str">
        <f>_xll.RssMarket(A225,"前日比")</f>
        <v>表示銘柄数超過</v>
      </c>
      <c r="F225" s="23" t="e">
        <f>_xll.RssMarket(A225,"前日比率")/100</f>
        <v>#VALUE!</v>
      </c>
      <c r="G225" s="24" t="str">
        <f>IFERROR(VLOOKUP(A225,取得元!$A$2:$F$501,2,FALSE),"-")</f>
        <v>-</v>
      </c>
      <c r="H225" s="24" t="str">
        <f>IFERROR(VLOOKUP(A225,取得元!$A$2:$F$501,3,FALSE),"-")</f>
        <v>-</v>
      </c>
      <c r="I225" s="24" t="str">
        <f>IFERROR(VLOOKUP(A225,取得元!$A$2:$F$501,4,FALSE),"-")</f>
        <v>-</v>
      </c>
      <c r="J225" s="5" t="str">
        <f>IFERROR(VLOOKUP(A225,取得元!$A$2:$F$501,5,FALSE),"-")</f>
        <v>-</v>
      </c>
      <c r="K225" s="25" t="str">
        <f>IFERROR(VLOOKUP(A225,取得元!$A$2:$F$501,6,FALSE)/100,"-")</f>
        <v>-</v>
      </c>
      <c r="L225" s="21" t="str">
        <f>_xll.RssMarket(A225,"始値")</f>
        <v>表示銘柄数超過</v>
      </c>
      <c r="M225" s="4" t="e">
        <f t="shared" si="20"/>
        <v>#VALUE!</v>
      </c>
      <c r="N225" s="21" t="str">
        <f>_xll.RssMarket(A225,"高値")</f>
        <v>表示銘柄数超過</v>
      </c>
      <c r="O225" s="4" t="e">
        <f t="shared" si="21"/>
        <v>#VALUE!</v>
      </c>
      <c r="P225" s="21" t="str">
        <f>_xll.RssMarket(A225,"安値")</f>
        <v>表示銘柄数超過</v>
      </c>
      <c r="Q225" s="4" t="e">
        <f t="shared" si="22"/>
        <v>#VALUE!</v>
      </c>
      <c r="R225" s="21" t="str">
        <f>_xll.RssMarket(A225,"後場始値")</f>
        <v>表示銘柄数超過</v>
      </c>
      <c r="S225" s="25" t="str">
        <f t="shared" si="23"/>
        <v>-</v>
      </c>
      <c r="T225" s="7" t="str">
        <f>_xll.RssMarket(A225,"出来高加重平均")</f>
        <v>表示銘柄数超過</v>
      </c>
      <c r="U225" s="4" t="e">
        <f t="shared" si="24"/>
        <v>#VALUE!</v>
      </c>
      <c r="V225" s="21" t="str">
        <f>_xll.RssMarket(A225,"出来高")</f>
        <v>表示銘柄数超過</v>
      </c>
      <c r="W225" s="21" t="str">
        <f>_xll.RssMarket(A225,"売買代金")</f>
        <v>表示銘柄数超過</v>
      </c>
      <c r="X225" s="20" t="str">
        <f>_xll.RssMarket(A225,"決算発表日")</f>
        <v>表示銘柄数超過</v>
      </c>
      <c r="Y225" s="26" t="str">
        <f>IF(C225&gt;_xll.RssMarket(A225,"年初来高値"),"○","×")</f>
        <v>×</v>
      </c>
      <c r="Z225" s="27" t="str">
        <f>IF(C225&lt;=_xll.RssMarket(A225,"年初来安値"),"○","×")</f>
        <v>○</v>
      </c>
    </row>
    <row r="226" spans="1:26" x14ac:dyDescent="0.25">
      <c r="A226" s="47">
        <v>3031</v>
      </c>
      <c r="B226" s="20" t="str">
        <f>_xll.RssMarket(A226,"銘柄名称")</f>
        <v>表示銘柄数超過</v>
      </c>
      <c r="C226" s="21" t="str">
        <f>_xll.RssMarket(A226,"現在値")</f>
        <v>表示銘柄数超過</v>
      </c>
      <c r="D226" s="20" t="str">
        <f>_xll.RssMarket(A226,"現在値詳細時刻")</f>
        <v>表示銘柄数超過</v>
      </c>
      <c r="E226" s="22" t="str">
        <f>_xll.RssMarket(A226,"前日比")</f>
        <v>表示銘柄数超過</v>
      </c>
      <c r="F226" s="23" t="e">
        <f>_xll.RssMarket(A226,"前日比率")/100</f>
        <v>#VALUE!</v>
      </c>
      <c r="G226" s="24" t="str">
        <f>IFERROR(VLOOKUP(A226,取得元!$A$2:$F$501,2,FALSE),"-")</f>
        <v>-</v>
      </c>
      <c r="H226" s="24" t="str">
        <f>IFERROR(VLOOKUP(A226,取得元!$A$2:$F$501,3,FALSE),"-")</f>
        <v>-</v>
      </c>
      <c r="I226" s="24" t="str">
        <f>IFERROR(VLOOKUP(A226,取得元!$A$2:$F$501,4,FALSE),"-")</f>
        <v>-</v>
      </c>
      <c r="J226" s="5" t="str">
        <f>IFERROR(VLOOKUP(A226,取得元!$A$2:$F$501,5,FALSE),"-")</f>
        <v>-</v>
      </c>
      <c r="K226" s="25" t="str">
        <f>IFERROR(VLOOKUP(A226,取得元!$A$2:$F$501,6,FALSE)/100,"-")</f>
        <v>-</v>
      </c>
      <c r="L226" s="21" t="str">
        <f>_xll.RssMarket(A226,"始値")</f>
        <v>表示銘柄数超過</v>
      </c>
      <c r="M226" s="4" t="e">
        <f t="shared" si="20"/>
        <v>#VALUE!</v>
      </c>
      <c r="N226" s="21" t="str">
        <f>_xll.RssMarket(A226,"高値")</f>
        <v>表示銘柄数超過</v>
      </c>
      <c r="O226" s="4" t="e">
        <f t="shared" si="21"/>
        <v>#VALUE!</v>
      </c>
      <c r="P226" s="21" t="str">
        <f>_xll.RssMarket(A226,"安値")</f>
        <v>表示銘柄数超過</v>
      </c>
      <c r="Q226" s="4" t="e">
        <f t="shared" si="22"/>
        <v>#VALUE!</v>
      </c>
      <c r="R226" s="21" t="str">
        <f>_xll.RssMarket(A226,"後場始値")</f>
        <v>表示銘柄数超過</v>
      </c>
      <c r="S226" s="25" t="str">
        <f t="shared" si="23"/>
        <v>-</v>
      </c>
      <c r="T226" s="7" t="str">
        <f>_xll.RssMarket(A226,"出来高加重平均")</f>
        <v>表示銘柄数超過</v>
      </c>
      <c r="U226" s="4" t="e">
        <f t="shared" si="24"/>
        <v>#VALUE!</v>
      </c>
      <c r="V226" s="21" t="str">
        <f>_xll.RssMarket(A226,"出来高")</f>
        <v>表示銘柄数超過</v>
      </c>
      <c r="W226" s="21" t="str">
        <f>_xll.RssMarket(A226,"売買代金")</f>
        <v>表示銘柄数超過</v>
      </c>
      <c r="X226" s="20" t="str">
        <f>_xll.RssMarket(A226,"決算発表日")</f>
        <v>表示銘柄数超過</v>
      </c>
      <c r="Y226" s="26" t="str">
        <f>IF(C226&gt;_xll.RssMarket(A226,"年初来高値"),"○","×")</f>
        <v>×</v>
      </c>
      <c r="Z226" s="27" t="str">
        <f>IF(C226&lt;=_xll.RssMarket(A226,"年初来安値"),"○","×")</f>
        <v>○</v>
      </c>
    </row>
    <row r="227" spans="1:26" x14ac:dyDescent="0.25">
      <c r="A227" s="49">
        <v>3034</v>
      </c>
      <c r="B227" s="20" t="str">
        <f>_xll.RssMarket(A227,"銘柄名称")</f>
        <v>表示銘柄数超過</v>
      </c>
      <c r="C227" s="21" t="str">
        <f>_xll.RssMarket(A227,"現在値")</f>
        <v>表示銘柄数超過</v>
      </c>
      <c r="D227" s="20" t="str">
        <f>_xll.RssMarket(A227,"現在値詳細時刻")</f>
        <v>表示銘柄数超過</v>
      </c>
      <c r="E227" s="22" t="str">
        <f>_xll.RssMarket(A227,"前日比")</f>
        <v>表示銘柄数超過</v>
      </c>
      <c r="F227" s="23" t="e">
        <f>_xll.RssMarket(A227,"前日比率")/100</f>
        <v>#VALUE!</v>
      </c>
      <c r="G227" s="24" t="str">
        <f>IFERROR(VLOOKUP(A227,取得元!$A$2:$F$501,2,FALSE),"-")</f>
        <v>-</v>
      </c>
      <c r="H227" s="24" t="str">
        <f>IFERROR(VLOOKUP(A227,取得元!$A$2:$F$501,3,FALSE),"-")</f>
        <v>-</v>
      </c>
      <c r="I227" s="24" t="str">
        <f>IFERROR(VLOOKUP(A227,取得元!$A$2:$F$501,4,FALSE),"-")</f>
        <v>-</v>
      </c>
      <c r="J227" s="5" t="str">
        <f>IFERROR(VLOOKUP(A227,取得元!$A$2:$F$501,5,FALSE),"-")</f>
        <v>-</v>
      </c>
      <c r="K227" s="25" t="str">
        <f>IFERROR(VLOOKUP(A227,取得元!$A$2:$F$501,6,FALSE)/100,"-")</f>
        <v>-</v>
      </c>
      <c r="L227" s="21" t="str">
        <f>_xll.RssMarket(A227,"始値")</f>
        <v>表示銘柄数超過</v>
      </c>
      <c r="M227" s="4" t="e">
        <f t="shared" si="20"/>
        <v>#VALUE!</v>
      </c>
      <c r="N227" s="21" t="str">
        <f>_xll.RssMarket(A227,"高値")</f>
        <v>表示銘柄数超過</v>
      </c>
      <c r="O227" s="4" t="e">
        <f t="shared" si="21"/>
        <v>#VALUE!</v>
      </c>
      <c r="P227" s="21" t="str">
        <f>_xll.RssMarket(A227,"安値")</f>
        <v>表示銘柄数超過</v>
      </c>
      <c r="Q227" s="4" t="e">
        <f t="shared" si="22"/>
        <v>#VALUE!</v>
      </c>
      <c r="R227" s="21" t="str">
        <f>_xll.RssMarket(A227,"後場始値")</f>
        <v>表示銘柄数超過</v>
      </c>
      <c r="S227" s="25" t="str">
        <f t="shared" si="23"/>
        <v>-</v>
      </c>
      <c r="T227" s="7" t="str">
        <f>_xll.RssMarket(A227,"出来高加重平均")</f>
        <v>表示銘柄数超過</v>
      </c>
      <c r="U227" s="4" t="e">
        <f t="shared" si="24"/>
        <v>#VALUE!</v>
      </c>
      <c r="V227" s="21" t="str">
        <f>_xll.RssMarket(A227,"出来高")</f>
        <v>表示銘柄数超過</v>
      </c>
      <c r="W227" s="21" t="str">
        <f>_xll.RssMarket(A227,"売買代金")</f>
        <v>表示銘柄数超過</v>
      </c>
      <c r="X227" s="20" t="str">
        <f>_xll.RssMarket(A227,"決算発表日")</f>
        <v>表示銘柄数超過</v>
      </c>
      <c r="Y227" s="26" t="str">
        <f>IF(C227&gt;_xll.RssMarket(A227,"年初来高値"),"○","×")</f>
        <v>×</v>
      </c>
      <c r="Z227" s="27" t="str">
        <f>IF(C227&lt;=_xll.RssMarket(A227,"年初来安値"),"○","×")</f>
        <v>○</v>
      </c>
    </row>
    <row r="228" spans="1:26" x14ac:dyDescent="0.25">
      <c r="A228" s="47">
        <v>3035</v>
      </c>
      <c r="B228" s="20" t="str">
        <f>_xll.RssMarket(A228,"銘柄名称")</f>
        <v>表示銘柄数超過</v>
      </c>
      <c r="C228" s="21" t="str">
        <f>_xll.RssMarket(A228,"現在値")</f>
        <v>表示銘柄数超過</v>
      </c>
      <c r="D228" s="20" t="str">
        <f>_xll.RssMarket(A228,"現在値詳細時刻")</f>
        <v>表示銘柄数超過</v>
      </c>
      <c r="E228" s="22" t="str">
        <f>_xll.RssMarket(A228,"前日比")</f>
        <v>表示銘柄数超過</v>
      </c>
      <c r="F228" s="23" t="e">
        <f>_xll.RssMarket(A228,"前日比率")/100</f>
        <v>#VALUE!</v>
      </c>
      <c r="G228" s="24" t="str">
        <f>IFERROR(VLOOKUP(A228,取得元!$A$2:$F$501,2,FALSE),"-")</f>
        <v>-</v>
      </c>
      <c r="H228" s="24" t="str">
        <f>IFERROR(VLOOKUP(A228,取得元!$A$2:$F$501,3,FALSE),"-")</f>
        <v>-</v>
      </c>
      <c r="I228" s="24" t="str">
        <f>IFERROR(VLOOKUP(A228,取得元!$A$2:$F$501,4,FALSE),"-")</f>
        <v>-</v>
      </c>
      <c r="J228" s="5" t="str">
        <f>IFERROR(VLOOKUP(A228,取得元!$A$2:$F$501,5,FALSE),"-")</f>
        <v>-</v>
      </c>
      <c r="K228" s="25" t="str">
        <f>IFERROR(VLOOKUP(A228,取得元!$A$2:$F$501,6,FALSE)/100,"-")</f>
        <v>-</v>
      </c>
      <c r="L228" s="21" t="str">
        <f>_xll.RssMarket(A228,"始値")</f>
        <v>表示銘柄数超過</v>
      </c>
      <c r="M228" s="4" t="e">
        <f t="shared" si="20"/>
        <v>#VALUE!</v>
      </c>
      <c r="N228" s="21" t="str">
        <f>_xll.RssMarket(A228,"高値")</f>
        <v>表示銘柄数超過</v>
      </c>
      <c r="O228" s="4" t="e">
        <f t="shared" si="21"/>
        <v>#VALUE!</v>
      </c>
      <c r="P228" s="21" t="str">
        <f>_xll.RssMarket(A228,"安値")</f>
        <v>表示銘柄数超過</v>
      </c>
      <c r="Q228" s="4" t="e">
        <f t="shared" si="22"/>
        <v>#VALUE!</v>
      </c>
      <c r="R228" s="21" t="str">
        <f>_xll.RssMarket(A228,"後場始値")</f>
        <v>表示銘柄数超過</v>
      </c>
      <c r="S228" s="25" t="str">
        <f t="shared" si="23"/>
        <v>-</v>
      </c>
      <c r="T228" s="7" t="str">
        <f>_xll.RssMarket(A228,"出来高加重平均")</f>
        <v>表示銘柄数超過</v>
      </c>
      <c r="U228" s="4" t="e">
        <f t="shared" si="24"/>
        <v>#VALUE!</v>
      </c>
      <c r="V228" s="21" t="str">
        <f>_xll.RssMarket(A228,"出来高")</f>
        <v>表示銘柄数超過</v>
      </c>
      <c r="W228" s="21" t="str">
        <f>_xll.RssMarket(A228,"売買代金")</f>
        <v>表示銘柄数超過</v>
      </c>
      <c r="X228" s="20" t="str">
        <f>_xll.RssMarket(A228,"決算発表日")</f>
        <v>表示銘柄数超過</v>
      </c>
      <c r="Y228" s="26" t="str">
        <f>IF(C228&gt;_xll.RssMarket(A228,"年初来高値"),"○","×")</f>
        <v>×</v>
      </c>
      <c r="Z228" s="27" t="str">
        <f>IF(C228&lt;=_xll.RssMarket(A228,"年初来安値"),"○","×")</f>
        <v>○</v>
      </c>
    </row>
    <row r="229" spans="1:26" x14ac:dyDescent="0.25">
      <c r="A229" s="49">
        <v>3036</v>
      </c>
      <c r="B229" s="20" t="str">
        <f>_xll.RssMarket(A229,"銘柄名称")</f>
        <v>表示銘柄数超過</v>
      </c>
      <c r="C229" s="21" t="str">
        <f>_xll.RssMarket(A229,"現在値")</f>
        <v>表示銘柄数超過</v>
      </c>
      <c r="D229" s="20" t="str">
        <f>_xll.RssMarket(A229,"現在値詳細時刻")</f>
        <v>表示銘柄数超過</v>
      </c>
      <c r="E229" s="22" t="str">
        <f>_xll.RssMarket(A229,"前日比")</f>
        <v>表示銘柄数超過</v>
      </c>
      <c r="F229" s="23" t="e">
        <f>_xll.RssMarket(A229,"前日比率")/100</f>
        <v>#VALUE!</v>
      </c>
      <c r="G229" s="24" t="str">
        <f>IFERROR(VLOOKUP(A229,取得元!$A$2:$F$501,2,FALSE),"-")</f>
        <v>-</v>
      </c>
      <c r="H229" s="24" t="str">
        <f>IFERROR(VLOOKUP(A229,取得元!$A$2:$F$501,3,FALSE),"-")</f>
        <v>-</v>
      </c>
      <c r="I229" s="24" t="str">
        <f>IFERROR(VLOOKUP(A229,取得元!$A$2:$F$501,4,FALSE),"-")</f>
        <v>-</v>
      </c>
      <c r="J229" s="5" t="str">
        <f>IFERROR(VLOOKUP(A229,取得元!$A$2:$F$501,5,FALSE),"-")</f>
        <v>-</v>
      </c>
      <c r="K229" s="25" t="str">
        <f>IFERROR(VLOOKUP(A229,取得元!$A$2:$F$501,6,FALSE)/100,"-")</f>
        <v>-</v>
      </c>
      <c r="L229" s="21" t="str">
        <f>_xll.RssMarket(A229,"始値")</f>
        <v>表示銘柄数超過</v>
      </c>
      <c r="M229" s="4" t="e">
        <f t="shared" si="20"/>
        <v>#VALUE!</v>
      </c>
      <c r="N229" s="21" t="str">
        <f>_xll.RssMarket(A229,"高値")</f>
        <v>表示銘柄数超過</v>
      </c>
      <c r="O229" s="4" t="e">
        <f t="shared" si="21"/>
        <v>#VALUE!</v>
      </c>
      <c r="P229" s="21" t="str">
        <f>_xll.RssMarket(A229,"安値")</f>
        <v>表示銘柄数超過</v>
      </c>
      <c r="Q229" s="4" t="e">
        <f t="shared" si="22"/>
        <v>#VALUE!</v>
      </c>
      <c r="R229" s="21" t="str">
        <f>_xll.RssMarket(A229,"後場始値")</f>
        <v>表示銘柄数超過</v>
      </c>
      <c r="S229" s="25" t="str">
        <f t="shared" si="23"/>
        <v>-</v>
      </c>
      <c r="T229" s="7" t="str">
        <f>_xll.RssMarket(A229,"出来高加重平均")</f>
        <v>表示銘柄数超過</v>
      </c>
      <c r="U229" s="4" t="e">
        <f t="shared" si="24"/>
        <v>#VALUE!</v>
      </c>
      <c r="V229" s="21" t="str">
        <f>_xll.RssMarket(A229,"出来高")</f>
        <v>表示銘柄数超過</v>
      </c>
      <c r="W229" s="21" t="str">
        <f>_xll.RssMarket(A229,"売買代金")</f>
        <v>表示銘柄数超過</v>
      </c>
      <c r="X229" s="20" t="str">
        <f>_xll.RssMarket(A229,"決算発表日")</f>
        <v>表示銘柄数超過</v>
      </c>
      <c r="Y229" s="26" t="str">
        <f>IF(C229&gt;_xll.RssMarket(A229,"年初来高値"),"○","×")</f>
        <v>×</v>
      </c>
      <c r="Z229" s="27" t="str">
        <f>IF(C229&lt;=_xll.RssMarket(A229,"年初来安値"),"○","×")</f>
        <v>○</v>
      </c>
    </row>
    <row r="230" spans="1:26" x14ac:dyDescent="0.25">
      <c r="A230" s="47">
        <v>3038</v>
      </c>
      <c r="B230" s="20" t="str">
        <f>_xll.RssMarket(A230,"銘柄名称")</f>
        <v>表示銘柄数超過</v>
      </c>
      <c r="C230" s="21" t="str">
        <f>_xll.RssMarket(A230,"現在値")</f>
        <v>表示銘柄数超過</v>
      </c>
      <c r="D230" s="20" t="str">
        <f>_xll.RssMarket(A230,"現在値詳細時刻")</f>
        <v>表示銘柄数超過</v>
      </c>
      <c r="E230" s="22" t="str">
        <f>_xll.RssMarket(A230,"前日比")</f>
        <v>表示銘柄数超過</v>
      </c>
      <c r="F230" s="23" t="e">
        <f>_xll.RssMarket(A230,"前日比率")/100</f>
        <v>#VALUE!</v>
      </c>
      <c r="G230" s="24" t="str">
        <f>IFERROR(VLOOKUP(A230,取得元!$A$2:$F$501,2,FALSE),"-")</f>
        <v>-</v>
      </c>
      <c r="H230" s="24" t="str">
        <f>IFERROR(VLOOKUP(A230,取得元!$A$2:$F$501,3,FALSE),"-")</f>
        <v>-</v>
      </c>
      <c r="I230" s="24" t="str">
        <f>IFERROR(VLOOKUP(A230,取得元!$A$2:$F$501,4,FALSE),"-")</f>
        <v>-</v>
      </c>
      <c r="J230" s="5" t="str">
        <f>IFERROR(VLOOKUP(A230,取得元!$A$2:$F$501,5,FALSE),"-")</f>
        <v>-</v>
      </c>
      <c r="K230" s="25" t="str">
        <f>IFERROR(VLOOKUP(A230,取得元!$A$2:$F$501,6,FALSE)/100,"-")</f>
        <v>-</v>
      </c>
      <c r="L230" s="21" t="str">
        <f>_xll.RssMarket(A230,"始値")</f>
        <v>表示銘柄数超過</v>
      </c>
      <c r="M230" s="4" t="e">
        <f t="shared" si="20"/>
        <v>#VALUE!</v>
      </c>
      <c r="N230" s="21" t="str">
        <f>_xll.RssMarket(A230,"高値")</f>
        <v>表示銘柄数超過</v>
      </c>
      <c r="O230" s="4" t="e">
        <f t="shared" si="21"/>
        <v>#VALUE!</v>
      </c>
      <c r="P230" s="21" t="str">
        <f>_xll.RssMarket(A230,"安値")</f>
        <v>表示銘柄数超過</v>
      </c>
      <c r="Q230" s="4" t="e">
        <f t="shared" si="22"/>
        <v>#VALUE!</v>
      </c>
      <c r="R230" s="21" t="str">
        <f>_xll.RssMarket(A230,"後場始値")</f>
        <v>表示銘柄数超過</v>
      </c>
      <c r="S230" s="25" t="str">
        <f t="shared" si="23"/>
        <v>-</v>
      </c>
      <c r="T230" s="7" t="str">
        <f>_xll.RssMarket(A230,"出来高加重平均")</f>
        <v>表示銘柄数超過</v>
      </c>
      <c r="U230" s="4" t="e">
        <f t="shared" si="24"/>
        <v>#VALUE!</v>
      </c>
      <c r="V230" s="21" t="str">
        <f>_xll.RssMarket(A230,"出来高")</f>
        <v>表示銘柄数超過</v>
      </c>
      <c r="W230" s="21" t="str">
        <f>_xll.RssMarket(A230,"売買代金")</f>
        <v>表示銘柄数超過</v>
      </c>
      <c r="X230" s="20" t="str">
        <f>_xll.RssMarket(A230,"決算発表日")</f>
        <v>表示銘柄数超過</v>
      </c>
      <c r="Y230" s="26" t="str">
        <f>IF(C230&gt;_xll.RssMarket(A230,"年初来高値"),"○","×")</f>
        <v>×</v>
      </c>
      <c r="Z230" s="27" t="str">
        <f>IF(C230&lt;=_xll.RssMarket(A230,"年初来安値"),"○","×")</f>
        <v>○</v>
      </c>
    </row>
    <row r="231" spans="1:26" x14ac:dyDescent="0.25">
      <c r="A231" s="49">
        <v>3041</v>
      </c>
      <c r="B231" s="20" t="str">
        <f>_xll.RssMarket(A231,"銘柄名称")</f>
        <v>表示銘柄数超過</v>
      </c>
      <c r="C231" s="21" t="str">
        <f>_xll.RssMarket(A231,"現在値")</f>
        <v>表示銘柄数超過</v>
      </c>
      <c r="D231" s="20" t="str">
        <f>_xll.RssMarket(A231,"現在値詳細時刻")</f>
        <v>表示銘柄数超過</v>
      </c>
      <c r="E231" s="22" t="str">
        <f>_xll.RssMarket(A231,"前日比")</f>
        <v>表示銘柄数超過</v>
      </c>
      <c r="F231" s="23" t="e">
        <f>_xll.RssMarket(A231,"前日比率")/100</f>
        <v>#VALUE!</v>
      </c>
      <c r="G231" s="24" t="str">
        <f>IFERROR(VLOOKUP(A231,取得元!$A$2:$F$501,2,FALSE),"-")</f>
        <v>-</v>
      </c>
      <c r="H231" s="24" t="str">
        <f>IFERROR(VLOOKUP(A231,取得元!$A$2:$F$501,3,FALSE),"-")</f>
        <v>-</v>
      </c>
      <c r="I231" s="24" t="str">
        <f>IFERROR(VLOOKUP(A231,取得元!$A$2:$F$501,4,FALSE),"-")</f>
        <v>-</v>
      </c>
      <c r="J231" s="5" t="str">
        <f>IFERROR(VLOOKUP(A231,取得元!$A$2:$F$501,5,FALSE),"-")</f>
        <v>-</v>
      </c>
      <c r="K231" s="25" t="str">
        <f>IFERROR(VLOOKUP(A231,取得元!$A$2:$F$501,6,FALSE)/100,"-")</f>
        <v>-</v>
      </c>
      <c r="L231" s="21" t="str">
        <f>_xll.RssMarket(A231,"始値")</f>
        <v>表示銘柄数超過</v>
      </c>
      <c r="M231" s="4" t="e">
        <f t="shared" si="20"/>
        <v>#VALUE!</v>
      </c>
      <c r="N231" s="21" t="str">
        <f>_xll.RssMarket(A231,"高値")</f>
        <v>表示銘柄数超過</v>
      </c>
      <c r="O231" s="4" t="e">
        <f t="shared" si="21"/>
        <v>#VALUE!</v>
      </c>
      <c r="P231" s="21" t="str">
        <f>_xll.RssMarket(A231,"安値")</f>
        <v>表示銘柄数超過</v>
      </c>
      <c r="Q231" s="4" t="e">
        <f t="shared" si="22"/>
        <v>#VALUE!</v>
      </c>
      <c r="R231" s="21" t="str">
        <f>_xll.RssMarket(A231,"後場始値")</f>
        <v>表示銘柄数超過</v>
      </c>
      <c r="S231" s="25" t="str">
        <f t="shared" si="23"/>
        <v>-</v>
      </c>
      <c r="T231" s="7" t="str">
        <f>_xll.RssMarket(A231,"出来高加重平均")</f>
        <v>表示銘柄数超過</v>
      </c>
      <c r="U231" s="4" t="e">
        <f t="shared" si="24"/>
        <v>#VALUE!</v>
      </c>
      <c r="V231" s="21" t="str">
        <f>_xll.RssMarket(A231,"出来高")</f>
        <v>表示銘柄数超過</v>
      </c>
      <c r="W231" s="21" t="str">
        <f>_xll.RssMarket(A231,"売買代金")</f>
        <v>表示銘柄数超過</v>
      </c>
      <c r="X231" s="20" t="str">
        <f>_xll.RssMarket(A231,"決算発表日")</f>
        <v>表示銘柄数超過</v>
      </c>
      <c r="Y231" s="26" t="str">
        <f>IF(C231&gt;_xll.RssMarket(A231,"年初来高値"),"○","×")</f>
        <v>×</v>
      </c>
      <c r="Z231" s="27" t="str">
        <f>IF(C231&lt;=_xll.RssMarket(A231,"年初来安値"),"○","×")</f>
        <v>○</v>
      </c>
    </row>
    <row r="232" spans="1:26" x14ac:dyDescent="0.25">
      <c r="A232" s="47">
        <v>3050</v>
      </c>
      <c r="B232" s="20" t="str">
        <f>_xll.RssMarket(A232,"銘柄名称")</f>
        <v>表示銘柄数超過</v>
      </c>
      <c r="C232" s="21" t="str">
        <f>_xll.RssMarket(A232,"現在値")</f>
        <v>表示銘柄数超過</v>
      </c>
      <c r="D232" s="20" t="str">
        <f>_xll.RssMarket(A232,"現在値詳細時刻")</f>
        <v>表示銘柄数超過</v>
      </c>
      <c r="E232" s="22" t="str">
        <f>_xll.RssMarket(A232,"前日比")</f>
        <v>表示銘柄数超過</v>
      </c>
      <c r="F232" s="23" t="e">
        <f>_xll.RssMarket(A232,"前日比率")/100</f>
        <v>#VALUE!</v>
      </c>
      <c r="G232" s="24" t="str">
        <f>IFERROR(VLOOKUP(A232,取得元!$A$2:$F$501,2,FALSE),"-")</f>
        <v>-</v>
      </c>
      <c r="H232" s="24" t="str">
        <f>IFERROR(VLOOKUP(A232,取得元!$A$2:$F$501,3,FALSE),"-")</f>
        <v>-</v>
      </c>
      <c r="I232" s="24" t="str">
        <f>IFERROR(VLOOKUP(A232,取得元!$A$2:$F$501,4,FALSE),"-")</f>
        <v>-</v>
      </c>
      <c r="J232" s="5" t="str">
        <f>IFERROR(VLOOKUP(A232,取得元!$A$2:$F$501,5,FALSE),"-")</f>
        <v>-</v>
      </c>
      <c r="K232" s="25" t="str">
        <f>IFERROR(VLOOKUP(A232,取得元!$A$2:$F$501,6,FALSE)/100,"-")</f>
        <v>-</v>
      </c>
      <c r="L232" s="21" t="str">
        <f>_xll.RssMarket(A232,"始値")</f>
        <v>表示銘柄数超過</v>
      </c>
      <c r="M232" s="4" t="e">
        <f t="shared" si="20"/>
        <v>#VALUE!</v>
      </c>
      <c r="N232" s="21" t="str">
        <f>_xll.RssMarket(A232,"高値")</f>
        <v>表示銘柄数超過</v>
      </c>
      <c r="O232" s="4" t="e">
        <f t="shared" si="21"/>
        <v>#VALUE!</v>
      </c>
      <c r="P232" s="21" t="str">
        <f>_xll.RssMarket(A232,"安値")</f>
        <v>表示銘柄数超過</v>
      </c>
      <c r="Q232" s="4" t="e">
        <f t="shared" si="22"/>
        <v>#VALUE!</v>
      </c>
      <c r="R232" s="21" t="str">
        <f>_xll.RssMarket(A232,"後場始値")</f>
        <v>表示銘柄数超過</v>
      </c>
      <c r="S232" s="25" t="str">
        <f t="shared" si="23"/>
        <v>-</v>
      </c>
      <c r="T232" s="7" t="str">
        <f>_xll.RssMarket(A232,"出来高加重平均")</f>
        <v>表示銘柄数超過</v>
      </c>
      <c r="U232" s="4" t="e">
        <f t="shared" si="24"/>
        <v>#VALUE!</v>
      </c>
      <c r="V232" s="21" t="str">
        <f>_xll.RssMarket(A232,"出来高")</f>
        <v>表示銘柄数超過</v>
      </c>
      <c r="W232" s="21" t="str">
        <f>_xll.RssMarket(A232,"売買代金")</f>
        <v>表示銘柄数超過</v>
      </c>
      <c r="X232" s="20" t="str">
        <f>_xll.RssMarket(A232,"決算発表日")</f>
        <v>表示銘柄数超過</v>
      </c>
      <c r="Y232" s="26" t="str">
        <f>IF(C232&gt;_xll.RssMarket(A232,"年初来高値"),"○","×")</f>
        <v>×</v>
      </c>
      <c r="Z232" s="27" t="str">
        <f>IF(C232&lt;=_xll.RssMarket(A232,"年初来安値"),"○","×")</f>
        <v>○</v>
      </c>
    </row>
    <row r="233" spans="1:26" x14ac:dyDescent="0.25">
      <c r="A233" s="49">
        <v>3053</v>
      </c>
      <c r="B233" s="20" t="str">
        <f>_xll.RssMarket(A233,"銘柄名称")</f>
        <v>表示銘柄数超過</v>
      </c>
      <c r="C233" s="21" t="str">
        <f>_xll.RssMarket(A233,"現在値")</f>
        <v>表示銘柄数超過</v>
      </c>
      <c r="D233" s="20" t="str">
        <f>_xll.RssMarket(A233,"現在値詳細時刻")</f>
        <v>表示銘柄数超過</v>
      </c>
      <c r="E233" s="22" t="str">
        <f>_xll.RssMarket(A233,"前日比")</f>
        <v>表示銘柄数超過</v>
      </c>
      <c r="F233" s="23" t="e">
        <f>_xll.RssMarket(A233,"前日比率")/100</f>
        <v>#VALUE!</v>
      </c>
      <c r="G233" s="24" t="str">
        <f>IFERROR(VLOOKUP(A233,取得元!$A$2:$F$501,2,FALSE),"-")</f>
        <v>-</v>
      </c>
      <c r="H233" s="24" t="str">
        <f>IFERROR(VLOOKUP(A233,取得元!$A$2:$F$501,3,FALSE),"-")</f>
        <v>-</v>
      </c>
      <c r="I233" s="24" t="str">
        <f>IFERROR(VLOOKUP(A233,取得元!$A$2:$F$501,4,FALSE),"-")</f>
        <v>-</v>
      </c>
      <c r="J233" s="5" t="str">
        <f>IFERROR(VLOOKUP(A233,取得元!$A$2:$F$501,5,FALSE),"-")</f>
        <v>-</v>
      </c>
      <c r="K233" s="25" t="str">
        <f>IFERROR(VLOOKUP(A233,取得元!$A$2:$F$501,6,FALSE)/100,"-")</f>
        <v>-</v>
      </c>
      <c r="L233" s="21" t="str">
        <f>_xll.RssMarket(A233,"始値")</f>
        <v>表示銘柄数超過</v>
      </c>
      <c r="M233" s="4" t="e">
        <f t="shared" si="20"/>
        <v>#VALUE!</v>
      </c>
      <c r="N233" s="21" t="str">
        <f>_xll.RssMarket(A233,"高値")</f>
        <v>表示銘柄数超過</v>
      </c>
      <c r="O233" s="4" t="e">
        <f t="shared" si="21"/>
        <v>#VALUE!</v>
      </c>
      <c r="P233" s="21" t="str">
        <f>_xll.RssMarket(A233,"安値")</f>
        <v>表示銘柄数超過</v>
      </c>
      <c r="Q233" s="4" t="e">
        <f t="shared" si="22"/>
        <v>#VALUE!</v>
      </c>
      <c r="R233" s="21" t="str">
        <f>_xll.RssMarket(A233,"後場始値")</f>
        <v>表示銘柄数超過</v>
      </c>
      <c r="S233" s="25" t="str">
        <f t="shared" si="23"/>
        <v>-</v>
      </c>
      <c r="T233" s="7" t="str">
        <f>_xll.RssMarket(A233,"出来高加重平均")</f>
        <v>表示銘柄数超過</v>
      </c>
      <c r="U233" s="4" t="e">
        <f t="shared" si="24"/>
        <v>#VALUE!</v>
      </c>
      <c r="V233" s="21" t="str">
        <f>_xll.RssMarket(A233,"出来高")</f>
        <v>表示銘柄数超過</v>
      </c>
      <c r="W233" s="21" t="str">
        <f>_xll.RssMarket(A233,"売買代金")</f>
        <v>表示銘柄数超過</v>
      </c>
      <c r="X233" s="20" t="str">
        <f>_xll.RssMarket(A233,"決算発表日")</f>
        <v>表示銘柄数超過</v>
      </c>
      <c r="Y233" s="26" t="str">
        <f>IF(C233&gt;_xll.RssMarket(A233,"年初来高値"),"○","×")</f>
        <v>×</v>
      </c>
      <c r="Z233" s="27" t="str">
        <f>IF(C233&lt;=_xll.RssMarket(A233,"年初来安値"),"○","×")</f>
        <v>○</v>
      </c>
    </row>
    <row r="234" spans="1:26" x14ac:dyDescent="0.25">
      <c r="A234" s="47">
        <v>3064</v>
      </c>
      <c r="B234" s="20" t="str">
        <f>_xll.RssMarket(A234,"銘柄名称")</f>
        <v>表示銘柄数超過</v>
      </c>
      <c r="C234" s="21" t="str">
        <f>_xll.RssMarket(A234,"現在値")</f>
        <v>表示銘柄数超過</v>
      </c>
      <c r="D234" s="20" t="str">
        <f>_xll.RssMarket(A234,"現在値詳細時刻")</f>
        <v>表示銘柄数超過</v>
      </c>
      <c r="E234" s="22" t="str">
        <f>_xll.RssMarket(A234,"前日比")</f>
        <v>表示銘柄数超過</v>
      </c>
      <c r="F234" s="23" t="e">
        <f>_xll.RssMarket(A234,"前日比率")/100</f>
        <v>#VALUE!</v>
      </c>
      <c r="G234" s="24" t="str">
        <f>IFERROR(VLOOKUP(A234,取得元!$A$2:$F$501,2,FALSE),"-")</f>
        <v>-</v>
      </c>
      <c r="H234" s="24" t="str">
        <f>IFERROR(VLOOKUP(A234,取得元!$A$2:$F$501,3,FALSE),"-")</f>
        <v>-</v>
      </c>
      <c r="I234" s="24" t="str">
        <f>IFERROR(VLOOKUP(A234,取得元!$A$2:$F$501,4,FALSE),"-")</f>
        <v>-</v>
      </c>
      <c r="J234" s="5" t="str">
        <f>IFERROR(VLOOKUP(A234,取得元!$A$2:$F$501,5,FALSE),"-")</f>
        <v>-</v>
      </c>
      <c r="K234" s="25" t="str">
        <f>IFERROR(VLOOKUP(A234,取得元!$A$2:$F$501,6,FALSE)/100,"-")</f>
        <v>-</v>
      </c>
      <c r="L234" s="21" t="str">
        <f>_xll.RssMarket(A234,"始値")</f>
        <v>表示銘柄数超過</v>
      </c>
      <c r="M234" s="4" t="e">
        <f t="shared" si="20"/>
        <v>#VALUE!</v>
      </c>
      <c r="N234" s="21" t="str">
        <f>_xll.RssMarket(A234,"高値")</f>
        <v>表示銘柄数超過</v>
      </c>
      <c r="O234" s="4" t="e">
        <f t="shared" si="21"/>
        <v>#VALUE!</v>
      </c>
      <c r="P234" s="21" t="str">
        <f>_xll.RssMarket(A234,"安値")</f>
        <v>表示銘柄数超過</v>
      </c>
      <c r="Q234" s="4" t="e">
        <f t="shared" si="22"/>
        <v>#VALUE!</v>
      </c>
      <c r="R234" s="21" t="str">
        <f>_xll.RssMarket(A234,"後場始値")</f>
        <v>表示銘柄数超過</v>
      </c>
      <c r="S234" s="25" t="str">
        <f t="shared" si="23"/>
        <v>-</v>
      </c>
      <c r="T234" s="7" t="str">
        <f>_xll.RssMarket(A234,"出来高加重平均")</f>
        <v>表示銘柄数超過</v>
      </c>
      <c r="U234" s="4" t="e">
        <f t="shared" si="24"/>
        <v>#VALUE!</v>
      </c>
      <c r="V234" s="21" t="str">
        <f>_xll.RssMarket(A234,"出来高")</f>
        <v>表示銘柄数超過</v>
      </c>
      <c r="W234" s="21" t="str">
        <f>_xll.RssMarket(A234,"売買代金")</f>
        <v>表示銘柄数超過</v>
      </c>
      <c r="X234" s="20" t="str">
        <f>_xll.RssMarket(A234,"決算発表日")</f>
        <v>表示銘柄数超過</v>
      </c>
      <c r="Y234" s="26" t="str">
        <f>IF(C234&gt;_xll.RssMarket(A234,"年初来高値"),"○","×")</f>
        <v>×</v>
      </c>
      <c r="Z234" s="27" t="str">
        <f>IF(C234&lt;=_xll.RssMarket(A234,"年初来安値"),"○","×")</f>
        <v>○</v>
      </c>
    </row>
    <row r="235" spans="1:26" x14ac:dyDescent="0.25">
      <c r="A235" s="49">
        <v>3069</v>
      </c>
      <c r="B235" s="20" t="str">
        <f>_xll.RssMarket(A235,"銘柄名称")</f>
        <v>表示銘柄数超過</v>
      </c>
      <c r="C235" s="21" t="str">
        <f>_xll.RssMarket(A235,"現在値")</f>
        <v>表示銘柄数超過</v>
      </c>
      <c r="D235" s="20" t="str">
        <f>_xll.RssMarket(A235,"現在値詳細時刻")</f>
        <v>表示銘柄数超過</v>
      </c>
      <c r="E235" s="22" t="str">
        <f>_xll.RssMarket(A235,"前日比")</f>
        <v>表示銘柄数超過</v>
      </c>
      <c r="F235" s="23" t="e">
        <f>_xll.RssMarket(A235,"前日比率")/100</f>
        <v>#VALUE!</v>
      </c>
      <c r="G235" s="24" t="str">
        <f>IFERROR(VLOOKUP(A235,取得元!$A$2:$F$501,2,FALSE),"-")</f>
        <v>-</v>
      </c>
      <c r="H235" s="24" t="str">
        <f>IFERROR(VLOOKUP(A235,取得元!$A$2:$F$501,3,FALSE),"-")</f>
        <v>-</v>
      </c>
      <c r="I235" s="24" t="str">
        <f>IFERROR(VLOOKUP(A235,取得元!$A$2:$F$501,4,FALSE),"-")</f>
        <v>-</v>
      </c>
      <c r="J235" s="5" t="str">
        <f>IFERROR(VLOOKUP(A235,取得元!$A$2:$F$501,5,FALSE),"-")</f>
        <v>-</v>
      </c>
      <c r="K235" s="25" t="str">
        <f>IFERROR(VLOOKUP(A235,取得元!$A$2:$F$501,6,FALSE)/100,"-")</f>
        <v>-</v>
      </c>
      <c r="L235" s="21" t="str">
        <f>_xll.RssMarket(A235,"始値")</f>
        <v>表示銘柄数超過</v>
      </c>
      <c r="M235" s="4" t="e">
        <f t="shared" si="20"/>
        <v>#VALUE!</v>
      </c>
      <c r="N235" s="21" t="str">
        <f>_xll.RssMarket(A235,"高値")</f>
        <v>表示銘柄数超過</v>
      </c>
      <c r="O235" s="4" t="e">
        <f t="shared" si="21"/>
        <v>#VALUE!</v>
      </c>
      <c r="P235" s="21" t="str">
        <f>_xll.RssMarket(A235,"安値")</f>
        <v>表示銘柄数超過</v>
      </c>
      <c r="Q235" s="4" t="e">
        <f t="shared" si="22"/>
        <v>#VALUE!</v>
      </c>
      <c r="R235" s="21" t="str">
        <f>_xll.RssMarket(A235,"後場始値")</f>
        <v>表示銘柄数超過</v>
      </c>
      <c r="S235" s="25" t="str">
        <f t="shared" si="23"/>
        <v>-</v>
      </c>
      <c r="T235" s="7" t="str">
        <f>_xll.RssMarket(A235,"出来高加重平均")</f>
        <v>表示銘柄数超過</v>
      </c>
      <c r="U235" s="4" t="e">
        <f t="shared" si="24"/>
        <v>#VALUE!</v>
      </c>
      <c r="V235" s="21" t="str">
        <f>_xll.RssMarket(A235,"出来高")</f>
        <v>表示銘柄数超過</v>
      </c>
      <c r="W235" s="21" t="str">
        <f>_xll.RssMarket(A235,"売買代金")</f>
        <v>表示銘柄数超過</v>
      </c>
      <c r="X235" s="20" t="str">
        <f>_xll.RssMarket(A235,"決算発表日")</f>
        <v>表示銘柄数超過</v>
      </c>
      <c r="Y235" s="26" t="str">
        <f>IF(C235&gt;_xll.RssMarket(A235,"年初来高値"),"○","×")</f>
        <v>×</v>
      </c>
      <c r="Z235" s="27" t="str">
        <f>IF(C235&lt;=_xll.RssMarket(A235,"年初来安値"),"○","×")</f>
        <v>○</v>
      </c>
    </row>
    <row r="236" spans="1:26" x14ac:dyDescent="0.25">
      <c r="A236" s="47">
        <v>3070</v>
      </c>
      <c r="B236" s="20" t="str">
        <f>_xll.RssMarket(A236,"銘柄名称")</f>
        <v>表示銘柄数超過</v>
      </c>
      <c r="C236" s="21" t="str">
        <f>_xll.RssMarket(A236,"現在値")</f>
        <v>表示銘柄数超過</v>
      </c>
      <c r="D236" s="20" t="str">
        <f>_xll.RssMarket(A236,"現在値詳細時刻")</f>
        <v>表示銘柄数超過</v>
      </c>
      <c r="E236" s="22" t="str">
        <f>_xll.RssMarket(A236,"前日比")</f>
        <v>表示銘柄数超過</v>
      </c>
      <c r="F236" s="23" t="e">
        <f>_xll.RssMarket(A236,"前日比率")/100</f>
        <v>#VALUE!</v>
      </c>
      <c r="G236" s="24" t="str">
        <f>IFERROR(VLOOKUP(A236,取得元!$A$2:$F$501,2,FALSE),"-")</f>
        <v>-</v>
      </c>
      <c r="H236" s="24" t="str">
        <f>IFERROR(VLOOKUP(A236,取得元!$A$2:$F$501,3,FALSE),"-")</f>
        <v>-</v>
      </c>
      <c r="I236" s="24" t="str">
        <f>IFERROR(VLOOKUP(A236,取得元!$A$2:$F$501,4,FALSE),"-")</f>
        <v>-</v>
      </c>
      <c r="J236" s="5" t="str">
        <f>IFERROR(VLOOKUP(A236,取得元!$A$2:$F$501,5,FALSE),"-")</f>
        <v>-</v>
      </c>
      <c r="K236" s="25" t="str">
        <f>IFERROR(VLOOKUP(A236,取得元!$A$2:$F$501,6,FALSE)/100,"-")</f>
        <v>-</v>
      </c>
      <c r="L236" s="21" t="str">
        <f>_xll.RssMarket(A236,"始値")</f>
        <v>表示銘柄数超過</v>
      </c>
      <c r="M236" s="4" t="e">
        <f t="shared" si="20"/>
        <v>#VALUE!</v>
      </c>
      <c r="N236" s="21" t="str">
        <f>_xll.RssMarket(A236,"高値")</f>
        <v>表示銘柄数超過</v>
      </c>
      <c r="O236" s="4" t="e">
        <f t="shared" si="21"/>
        <v>#VALUE!</v>
      </c>
      <c r="P236" s="21" t="str">
        <f>_xll.RssMarket(A236,"安値")</f>
        <v>表示銘柄数超過</v>
      </c>
      <c r="Q236" s="4" t="e">
        <f t="shared" si="22"/>
        <v>#VALUE!</v>
      </c>
      <c r="R236" s="21" t="str">
        <f>_xll.RssMarket(A236,"後場始値")</f>
        <v>表示銘柄数超過</v>
      </c>
      <c r="S236" s="25" t="str">
        <f t="shared" si="23"/>
        <v>-</v>
      </c>
      <c r="T236" s="7" t="str">
        <f>_xll.RssMarket(A236,"出来高加重平均")</f>
        <v>表示銘柄数超過</v>
      </c>
      <c r="U236" s="4" t="e">
        <f t="shared" si="24"/>
        <v>#VALUE!</v>
      </c>
      <c r="V236" s="21" t="str">
        <f>_xll.RssMarket(A236,"出来高")</f>
        <v>表示銘柄数超過</v>
      </c>
      <c r="W236" s="21" t="str">
        <f>_xll.RssMarket(A236,"売買代金")</f>
        <v>表示銘柄数超過</v>
      </c>
      <c r="X236" s="20" t="str">
        <f>_xll.RssMarket(A236,"決算発表日")</f>
        <v>表示銘柄数超過</v>
      </c>
      <c r="Y236" s="26" t="str">
        <f>IF(C236&gt;_xll.RssMarket(A236,"年初来高値"),"○","×")</f>
        <v>×</v>
      </c>
      <c r="Z236" s="27" t="str">
        <f>IF(C236&lt;=_xll.RssMarket(A236,"年初来安値"),"○","×")</f>
        <v>○</v>
      </c>
    </row>
    <row r="237" spans="1:26" x14ac:dyDescent="0.25">
      <c r="A237" s="49">
        <v>3071</v>
      </c>
      <c r="B237" s="20" t="str">
        <f>_xll.RssMarket(A237,"銘柄名称")</f>
        <v>表示銘柄数超過</v>
      </c>
      <c r="C237" s="21" t="str">
        <f>_xll.RssMarket(A237,"現在値")</f>
        <v>表示銘柄数超過</v>
      </c>
      <c r="D237" s="20" t="str">
        <f>_xll.RssMarket(A237,"現在値詳細時刻")</f>
        <v>表示銘柄数超過</v>
      </c>
      <c r="E237" s="22" t="str">
        <f>_xll.RssMarket(A237,"前日比")</f>
        <v>表示銘柄数超過</v>
      </c>
      <c r="F237" s="23" t="e">
        <f>_xll.RssMarket(A237,"前日比率")/100</f>
        <v>#VALUE!</v>
      </c>
      <c r="G237" s="24" t="str">
        <f>IFERROR(VLOOKUP(A237,取得元!$A$2:$F$501,2,FALSE),"-")</f>
        <v>-</v>
      </c>
      <c r="H237" s="24" t="str">
        <f>IFERROR(VLOOKUP(A237,取得元!$A$2:$F$501,3,FALSE),"-")</f>
        <v>-</v>
      </c>
      <c r="I237" s="24" t="str">
        <f>IFERROR(VLOOKUP(A237,取得元!$A$2:$F$501,4,FALSE),"-")</f>
        <v>-</v>
      </c>
      <c r="J237" s="5" t="str">
        <f>IFERROR(VLOOKUP(A237,取得元!$A$2:$F$501,5,FALSE),"-")</f>
        <v>-</v>
      </c>
      <c r="K237" s="25" t="str">
        <f>IFERROR(VLOOKUP(A237,取得元!$A$2:$F$501,6,FALSE)/100,"-")</f>
        <v>-</v>
      </c>
      <c r="L237" s="21" t="str">
        <f>_xll.RssMarket(A237,"始値")</f>
        <v>表示銘柄数超過</v>
      </c>
      <c r="M237" s="4" t="e">
        <f t="shared" si="20"/>
        <v>#VALUE!</v>
      </c>
      <c r="N237" s="21" t="str">
        <f>_xll.RssMarket(A237,"高値")</f>
        <v>表示銘柄数超過</v>
      </c>
      <c r="O237" s="4" t="e">
        <f t="shared" si="21"/>
        <v>#VALUE!</v>
      </c>
      <c r="P237" s="21" t="str">
        <f>_xll.RssMarket(A237,"安値")</f>
        <v>表示銘柄数超過</v>
      </c>
      <c r="Q237" s="4" t="e">
        <f t="shared" si="22"/>
        <v>#VALUE!</v>
      </c>
      <c r="R237" s="21" t="str">
        <f>_xll.RssMarket(A237,"後場始値")</f>
        <v>表示銘柄数超過</v>
      </c>
      <c r="S237" s="25" t="str">
        <f t="shared" si="23"/>
        <v>-</v>
      </c>
      <c r="T237" s="7" t="str">
        <f>_xll.RssMarket(A237,"出来高加重平均")</f>
        <v>表示銘柄数超過</v>
      </c>
      <c r="U237" s="4" t="e">
        <f t="shared" si="24"/>
        <v>#VALUE!</v>
      </c>
      <c r="V237" s="21" t="str">
        <f>_xll.RssMarket(A237,"出来高")</f>
        <v>表示銘柄数超過</v>
      </c>
      <c r="W237" s="21" t="str">
        <f>_xll.RssMarket(A237,"売買代金")</f>
        <v>表示銘柄数超過</v>
      </c>
      <c r="X237" s="20" t="str">
        <f>_xll.RssMarket(A237,"決算発表日")</f>
        <v>表示銘柄数超過</v>
      </c>
      <c r="Y237" s="26" t="str">
        <f>IF(C237&gt;_xll.RssMarket(A237,"年初来高値"),"○","×")</f>
        <v>×</v>
      </c>
      <c r="Z237" s="27" t="str">
        <f>IF(C237&lt;=_xll.RssMarket(A237,"年初来安値"),"○","×")</f>
        <v>○</v>
      </c>
    </row>
    <row r="238" spans="1:26" x14ac:dyDescent="0.25">
      <c r="A238" s="47">
        <v>3083</v>
      </c>
      <c r="B238" s="20" t="str">
        <f>_xll.RssMarket(A238,"銘柄名称")</f>
        <v>表示銘柄数超過</v>
      </c>
      <c r="C238" s="21" t="str">
        <f>_xll.RssMarket(A238,"現在値")</f>
        <v>表示銘柄数超過</v>
      </c>
      <c r="D238" s="20" t="str">
        <f>_xll.RssMarket(A238,"現在値詳細時刻")</f>
        <v>表示銘柄数超過</v>
      </c>
      <c r="E238" s="22" t="str">
        <f>_xll.RssMarket(A238,"前日比")</f>
        <v>表示銘柄数超過</v>
      </c>
      <c r="F238" s="23" t="e">
        <f>_xll.RssMarket(A238,"前日比率")/100</f>
        <v>#VALUE!</v>
      </c>
      <c r="G238" s="24" t="str">
        <f>IFERROR(VLOOKUP(A238,取得元!$A$2:$F$501,2,FALSE),"-")</f>
        <v>-</v>
      </c>
      <c r="H238" s="24" t="str">
        <f>IFERROR(VLOOKUP(A238,取得元!$A$2:$F$501,3,FALSE),"-")</f>
        <v>-</v>
      </c>
      <c r="I238" s="24" t="str">
        <f>IFERROR(VLOOKUP(A238,取得元!$A$2:$F$501,4,FALSE),"-")</f>
        <v>-</v>
      </c>
      <c r="J238" s="5" t="str">
        <f>IFERROR(VLOOKUP(A238,取得元!$A$2:$F$501,5,FALSE),"-")</f>
        <v>-</v>
      </c>
      <c r="K238" s="25" t="str">
        <f>IFERROR(VLOOKUP(A238,取得元!$A$2:$F$501,6,FALSE)/100,"-")</f>
        <v>-</v>
      </c>
      <c r="L238" s="21" t="str">
        <f>_xll.RssMarket(A238,"始値")</f>
        <v>表示銘柄数超過</v>
      </c>
      <c r="M238" s="4" t="e">
        <f t="shared" si="20"/>
        <v>#VALUE!</v>
      </c>
      <c r="N238" s="21" t="str">
        <f>_xll.RssMarket(A238,"高値")</f>
        <v>表示銘柄数超過</v>
      </c>
      <c r="O238" s="4" t="e">
        <f t="shared" si="21"/>
        <v>#VALUE!</v>
      </c>
      <c r="P238" s="21" t="str">
        <f>_xll.RssMarket(A238,"安値")</f>
        <v>表示銘柄数超過</v>
      </c>
      <c r="Q238" s="4" t="e">
        <f t="shared" si="22"/>
        <v>#VALUE!</v>
      </c>
      <c r="R238" s="21" t="str">
        <f>_xll.RssMarket(A238,"後場始値")</f>
        <v>表示銘柄数超過</v>
      </c>
      <c r="S238" s="25" t="str">
        <f t="shared" si="23"/>
        <v>-</v>
      </c>
      <c r="T238" s="7" t="str">
        <f>_xll.RssMarket(A238,"出来高加重平均")</f>
        <v>表示銘柄数超過</v>
      </c>
      <c r="U238" s="4" t="e">
        <f t="shared" si="24"/>
        <v>#VALUE!</v>
      </c>
      <c r="V238" s="21" t="str">
        <f>_xll.RssMarket(A238,"出来高")</f>
        <v>表示銘柄数超過</v>
      </c>
      <c r="W238" s="21" t="str">
        <f>_xll.RssMarket(A238,"売買代金")</f>
        <v>表示銘柄数超過</v>
      </c>
      <c r="X238" s="20" t="str">
        <f>_xll.RssMarket(A238,"決算発表日")</f>
        <v>表示銘柄数超過</v>
      </c>
      <c r="Y238" s="26" t="str">
        <f>IF(C238&gt;_xll.RssMarket(A238,"年初来高値"),"○","×")</f>
        <v>×</v>
      </c>
      <c r="Z238" s="27" t="str">
        <f>IF(C238&lt;=_xll.RssMarket(A238,"年初来安値"),"○","×")</f>
        <v>○</v>
      </c>
    </row>
    <row r="239" spans="1:26" x14ac:dyDescent="0.25">
      <c r="A239" s="49">
        <v>3086</v>
      </c>
      <c r="B239" s="20" t="str">
        <f>_xll.RssMarket(A239,"銘柄名称")</f>
        <v>表示銘柄数超過</v>
      </c>
      <c r="C239" s="21" t="str">
        <f>_xll.RssMarket(A239,"現在値")</f>
        <v>表示銘柄数超過</v>
      </c>
      <c r="D239" s="20" t="str">
        <f>_xll.RssMarket(A239,"現在値詳細時刻")</f>
        <v>表示銘柄数超過</v>
      </c>
      <c r="E239" s="22" t="str">
        <f>_xll.RssMarket(A239,"前日比")</f>
        <v>表示銘柄数超過</v>
      </c>
      <c r="F239" s="23" t="e">
        <f>_xll.RssMarket(A239,"前日比率")/100</f>
        <v>#VALUE!</v>
      </c>
      <c r="G239" s="24" t="str">
        <f>IFERROR(VLOOKUP(A239,取得元!$A$2:$F$501,2,FALSE),"-")</f>
        <v>-</v>
      </c>
      <c r="H239" s="24" t="str">
        <f>IFERROR(VLOOKUP(A239,取得元!$A$2:$F$501,3,FALSE),"-")</f>
        <v>-</v>
      </c>
      <c r="I239" s="24" t="str">
        <f>IFERROR(VLOOKUP(A239,取得元!$A$2:$F$501,4,FALSE),"-")</f>
        <v>-</v>
      </c>
      <c r="J239" s="5" t="str">
        <f>IFERROR(VLOOKUP(A239,取得元!$A$2:$F$501,5,FALSE),"-")</f>
        <v>-</v>
      </c>
      <c r="K239" s="25" t="str">
        <f>IFERROR(VLOOKUP(A239,取得元!$A$2:$F$501,6,FALSE)/100,"-")</f>
        <v>-</v>
      </c>
      <c r="L239" s="21" t="str">
        <f>_xll.RssMarket(A239,"始値")</f>
        <v>表示銘柄数超過</v>
      </c>
      <c r="M239" s="4" t="e">
        <f t="shared" si="20"/>
        <v>#VALUE!</v>
      </c>
      <c r="N239" s="21" t="str">
        <f>_xll.RssMarket(A239,"高値")</f>
        <v>表示銘柄数超過</v>
      </c>
      <c r="O239" s="4" t="e">
        <f t="shared" si="21"/>
        <v>#VALUE!</v>
      </c>
      <c r="P239" s="21" t="str">
        <f>_xll.RssMarket(A239,"安値")</f>
        <v>表示銘柄数超過</v>
      </c>
      <c r="Q239" s="4" t="e">
        <f t="shared" si="22"/>
        <v>#VALUE!</v>
      </c>
      <c r="R239" s="21" t="str">
        <f>_xll.RssMarket(A239,"後場始値")</f>
        <v>表示銘柄数超過</v>
      </c>
      <c r="S239" s="25" t="str">
        <f t="shared" si="23"/>
        <v>-</v>
      </c>
      <c r="T239" s="7" t="str">
        <f>_xll.RssMarket(A239,"出来高加重平均")</f>
        <v>表示銘柄数超過</v>
      </c>
      <c r="U239" s="4" t="e">
        <f t="shared" si="24"/>
        <v>#VALUE!</v>
      </c>
      <c r="V239" s="21" t="str">
        <f>_xll.RssMarket(A239,"出来高")</f>
        <v>表示銘柄数超過</v>
      </c>
      <c r="W239" s="21" t="str">
        <f>_xll.RssMarket(A239,"売買代金")</f>
        <v>表示銘柄数超過</v>
      </c>
      <c r="X239" s="20" t="str">
        <f>_xll.RssMarket(A239,"決算発表日")</f>
        <v>表示銘柄数超過</v>
      </c>
      <c r="Y239" s="26" t="str">
        <f>IF(C239&gt;_xll.RssMarket(A239,"年初来高値"),"○","×")</f>
        <v>×</v>
      </c>
      <c r="Z239" s="27" t="str">
        <f>IF(C239&lt;=_xll.RssMarket(A239,"年初来安値"),"○","×")</f>
        <v>○</v>
      </c>
    </row>
    <row r="240" spans="1:26" x14ac:dyDescent="0.25">
      <c r="A240" s="47">
        <v>3099</v>
      </c>
      <c r="B240" s="20" t="str">
        <f>_xll.RssMarket(A240,"銘柄名称")</f>
        <v>表示銘柄数超過</v>
      </c>
      <c r="C240" s="21" t="str">
        <f>_xll.RssMarket(A240,"現在値")</f>
        <v>表示銘柄数超過</v>
      </c>
      <c r="D240" s="20" t="str">
        <f>_xll.RssMarket(A240,"現在値詳細時刻")</f>
        <v>表示銘柄数超過</v>
      </c>
      <c r="E240" s="22" t="str">
        <f>_xll.RssMarket(A240,"前日比")</f>
        <v>表示銘柄数超過</v>
      </c>
      <c r="F240" s="23" t="e">
        <f>_xll.RssMarket(A240,"前日比率")/100</f>
        <v>#VALUE!</v>
      </c>
      <c r="G240" s="24" t="str">
        <f>IFERROR(VLOOKUP(A240,取得元!$A$2:$F$501,2,FALSE),"-")</f>
        <v>-</v>
      </c>
      <c r="H240" s="24" t="str">
        <f>IFERROR(VLOOKUP(A240,取得元!$A$2:$F$501,3,FALSE),"-")</f>
        <v>-</v>
      </c>
      <c r="I240" s="24" t="str">
        <f>IFERROR(VLOOKUP(A240,取得元!$A$2:$F$501,4,FALSE),"-")</f>
        <v>-</v>
      </c>
      <c r="J240" s="5" t="str">
        <f>IFERROR(VLOOKUP(A240,取得元!$A$2:$F$501,5,FALSE),"-")</f>
        <v>-</v>
      </c>
      <c r="K240" s="25" t="str">
        <f>IFERROR(VLOOKUP(A240,取得元!$A$2:$F$501,6,FALSE)/100,"-")</f>
        <v>-</v>
      </c>
      <c r="L240" s="21" t="str">
        <f>_xll.RssMarket(A240,"始値")</f>
        <v>表示銘柄数超過</v>
      </c>
      <c r="M240" s="4" t="e">
        <f t="shared" si="20"/>
        <v>#VALUE!</v>
      </c>
      <c r="N240" s="21" t="str">
        <f>_xll.RssMarket(A240,"高値")</f>
        <v>表示銘柄数超過</v>
      </c>
      <c r="O240" s="4" t="e">
        <f t="shared" si="21"/>
        <v>#VALUE!</v>
      </c>
      <c r="P240" s="21" t="str">
        <f>_xll.RssMarket(A240,"安値")</f>
        <v>表示銘柄数超過</v>
      </c>
      <c r="Q240" s="4" t="e">
        <f t="shared" si="22"/>
        <v>#VALUE!</v>
      </c>
      <c r="R240" s="21" t="str">
        <f>_xll.RssMarket(A240,"後場始値")</f>
        <v>表示銘柄数超過</v>
      </c>
      <c r="S240" s="25" t="str">
        <f t="shared" si="23"/>
        <v>-</v>
      </c>
      <c r="T240" s="7" t="str">
        <f>_xll.RssMarket(A240,"出来高加重平均")</f>
        <v>表示銘柄数超過</v>
      </c>
      <c r="U240" s="4" t="e">
        <f t="shared" si="24"/>
        <v>#VALUE!</v>
      </c>
      <c r="V240" s="21" t="str">
        <f>_xll.RssMarket(A240,"出来高")</f>
        <v>表示銘柄数超過</v>
      </c>
      <c r="W240" s="21" t="str">
        <f>_xll.RssMarket(A240,"売買代金")</f>
        <v>表示銘柄数超過</v>
      </c>
      <c r="X240" s="20" t="str">
        <f>_xll.RssMarket(A240,"決算発表日")</f>
        <v>表示銘柄数超過</v>
      </c>
      <c r="Y240" s="26" t="str">
        <f>IF(C240&gt;_xll.RssMarket(A240,"年初来高値"),"○","×")</f>
        <v>×</v>
      </c>
      <c r="Z240" s="27" t="str">
        <f>IF(C240&lt;=_xll.RssMarket(A240,"年初来安値"),"○","×")</f>
        <v>○</v>
      </c>
    </row>
    <row r="241" spans="1:26" x14ac:dyDescent="0.25">
      <c r="A241" s="49">
        <v>3101</v>
      </c>
      <c r="B241" s="20" t="str">
        <f>_xll.RssMarket(A241,"銘柄名称")</f>
        <v>表示銘柄数超過</v>
      </c>
      <c r="C241" s="21" t="str">
        <f>_xll.RssMarket(A241,"現在値")</f>
        <v>表示銘柄数超過</v>
      </c>
      <c r="D241" s="20" t="str">
        <f>_xll.RssMarket(A241,"現在値詳細時刻")</f>
        <v>表示銘柄数超過</v>
      </c>
      <c r="E241" s="22" t="str">
        <f>_xll.RssMarket(A241,"前日比")</f>
        <v>表示銘柄数超過</v>
      </c>
      <c r="F241" s="23" t="e">
        <f>_xll.RssMarket(A241,"前日比率")/100</f>
        <v>#VALUE!</v>
      </c>
      <c r="G241" s="24" t="str">
        <f>IFERROR(VLOOKUP(A241,取得元!$A$2:$F$501,2,FALSE),"-")</f>
        <v>-</v>
      </c>
      <c r="H241" s="24" t="str">
        <f>IFERROR(VLOOKUP(A241,取得元!$A$2:$F$501,3,FALSE),"-")</f>
        <v>-</v>
      </c>
      <c r="I241" s="24" t="str">
        <f>IFERROR(VLOOKUP(A241,取得元!$A$2:$F$501,4,FALSE),"-")</f>
        <v>-</v>
      </c>
      <c r="J241" s="5" t="str">
        <f>IFERROR(VLOOKUP(A241,取得元!$A$2:$F$501,5,FALSE),"-")</f>
        <v>-</v>
      </c>
      <c r="K241" s="25" t="str">
        <f>IFERROR(VLOOKUP(A241,取得元!$A$2:$F$501,6,FALSE)/100,"-")</f>
        <v>-</v>
      </c>
      <c r="L241" s="21" t="str">
        <f>_xll.RssMarket(A241,"始値")</f>
        <v>表示銘柄数超過</v>
      </c>
      <c r="M241" s="4" t="e">
        <f t="shared" si="20"/>
        <v>#VALUE!</v>
      </c>
      <c r="N241" s="21" t="str">
        <f>_xll.RssMarket(A241,"高値")</f>
        <v>表示銘柄数超過</v>
      </c>
      <c r="O241" s="4" t="e">
        <f t="shared" si="21"/>
        <v>#VALUE!</v>
      </c>
      <c r="P241" s="21" t="str">
        <f>_xll.RssMarket(A241,"安値")</f>
        <v>表示銘柄数超過</v>
      </c>
      <c r="Q241" s="4" t="e">
        <f t="shared" si="22"/>
        <v>#VALUE!</v>
      </c>
      <c r="R241" s="21" t="str">
        <f>_xll.RssMarket(A241,"後場始値")</f>
        <v>表示銘柄数超過</v>
      </c>
      <c r="S241" s="25" t="str">
        <f t="shared" si="23"/>
        <v>-</v>
      </c>
      <c r="T241" s="7" t="str">
        <f>_xll.RssMarket(A241,"出来高加重平均")</f>
        <v>表示銘柄数超過</v>
      </c>
      <c r="U241" s="4" t="e">
        <f t="shared" si="24"/>
        <v>#VALUE!</v>
      </c>
      <c r="V241" s="21" t="str">
        <f>_xll.RssMarket(A241,"出来高")</f>
        <v>表示銘柄数超過</v>
      </c>
      <c r="W241" s="21" t="str">
        <f>_xll.RssMarket(A241,"売買代金")</f>
        <v>表示銘柄数超過</v>
      </c>
      <c r="X241" s="20" t="str">
        <f>_xll.RssMarket(A241,"決算発表日")</f>
        <v>表示銘柄数超過</v>
      </c>
      <c r="Y241" s="26" t="str">
        <f>IF(C241&gt;_xll.RssMarket(A241,"年初来高値"),"○","×")</f>
        <v>×</v>
      </c>
      <c r="Z241" s="27" t="str">
        <f>IF(C241&lt;=_xll.RssMarket(A241,"年初来安値"),"○","×")</f>
        <v>○</v>
      </c>
    </row>
    <row r="242" spans="1:26" x14ac:dyDescent="0.25">
      <c r="A242" s="47">
        <v>3103</v>
      </c>
      <c r="B242" s="20" t="str">
        <f>_xll.RssMarket(A242,"銘柄名称")</f>
        <v>表示銘柄数超過</v>
      </c>
      <c r="C242" s="21" t="str">
        <f>_xll.RssMarket(A242,"現在値")</f>
        <v>表示銘柄数超過</v>
      </c>
      <c r="D242" s="20" t="str">
        <f>_xll.RssMarket(A242,"現在値詳細時刻")</f>
        <v>表示銘柄数超過</v>
      </c>
      <c r="E242" s="22" t="str">
        <f>_xll.RssMarket(A242,"前日比")</f>
        <v>表示銘柄数超過</v>
      </c>
      <c r="F242" s="23" t="e">
        <f>_xll.RssMarket(A242,"前日比率")/100</f>
        <v>#VALUE!</v>
      </c>
      <c r="G242" s="24" t="str">
        <f>IFERROR(VLOOKUP(A242,取得元!$A$2:$F$501,2,FALSE),"-")</f>
        <v>-</v>
      </c>
      <c r="H242" s="24" t="str">
        <f>IFERROR(VLOOKUP(A242,取得元!$A$2:$F$501,3,FALSE),"-")</f>
        <v>-</v>
      </c>
      <c r="I242" s="24" t="str">
        <f>IFERROR(VLOOKUP(A242,取得元!$A$2:$F$501,4,FALSE),"-")</f>
        <v>-</v>
      </c>
      <c r="J242" s="5" t="str">
        <f>IFERROR(VLOOKUP(A242,取得元!$A$2:$F$501,5,FALSE),"-")</f>
        <v>-</v>
      </c>
      <c r="K242" s="25" t="str">
        <f>IFERROR(VLOOKUP(A242,取得元!$A$2:$F$501,6,FALSE)/100,"-")</f>
        <v>-</v>
      </c>
      <c r="L242" s="21" t="str">
        <f>_xll.RssMarket(A242,"始値")</f>
        <v>表示銘柄数超過</v>
      </c>
      <c r="M242" s="4" t="e">
        <f t="shared" si="20"/>
        <v>#VALUE!</v>
      </c>
      <c r="N242" s="21" t="str">
        <f>_xll.RssMarket(A242,"高値")</f>
        <v>表示銘柄数超過</v>
      </c>
      <c r="O242" s="4" t="e">
        <f t="shared" si="21"/>
        <v>#VALUE!</v>
      </c>
      <c r="P242" s="21" t="str">
        <f>_xll.RssMarket(A242,"安値")</f>
        <v>表示銘柄数超過</v>
      </c>
      <c r="Q242" s="4" t="e">
        <f t="shared" si="22"/>
        <v>#VALUE!</v>
      </c>
      <c r="R242" s="21" t="str">
        <f>_xll.RssMarket(A242,"後場始値")</f>
        <v>表示銘柄数超過</v>
      </c>
      <c r="S242" s="25" t="str">
        <f t="shared" si="23"/>
        <v>-</v>
      </c>
      <c r="T242" s="7" t="str">
        <f>_xll.RssMarket(A242,"出来高加重平均")</f>
        <v>表示銘柄数超過</v>
      </c>
      <c r="U242" s="4" t="e">
        <f t="shared" si="24"/>
        <v>#VALUE!</v>
      </c>
      <c r="V242" s="21" t="str">
        <f>_xll.RssMarket(A242,"出来高")</f>
        <v>表示銘柄数超過</v>
      </c>
      <c r="W242" s="21" t="str">
        <f>_xll.RssMarket(A242,"売買代金")</f>
        <v>表示銘柄数超過</v>
      </c>
      <c r="X242" s="20" t="str">
        <f>_xll.RssMarket(A242,"決算発表日")</f>
        <v>表示銘柄数超過</v>
      </c>
      <c r="Y242" s="26" t="str">
        <f>IF(C242&gt;_xll.RssMarket(A242,"年初来高値"),"○","×")</f>
        <v>×</v>
      </c>
      <c r="Z242" s="27" t="str">
        <f>IF(C242&lt;=_xll.RssMarket(A242,"年初来安値"),"○","×")</f>
        <v>○</v>
      </c>
    </row>
    <row r="243" spans="1:26" x14ac:dyDescent="0.25">
      <c r="A243" s="49">
        <v>3113</v>
      </c>
      <c r="B243" s="20" t="str">
        <f>_xll.RssMarket(A243,"銘柄名称")</f>
        <v>表示銘柄数超過</v>
      </c>
      <c r="C243" s="21" t="str">
        <f>_xll.RssMarket(A243,"現在値")</f>
        <v>表示銘柄数超過</v>
      </c>
      <c r="D243" s="20" t="str">
        <f>_xll.RssMarket(A243,"現在値詳細時刻")</f>
        <v>表示銘柄数超過</v>
      </c>
      <c r="E243" s="22" t="str">
        <f>_xll.RssMarket(A243,"前日比")</f>
        <v>表示銘柄数超過</v>
      </c>
      <c r="F243" s="23" t="e">
        <f>_xll.RssMarket(A243,"前日比率")/100</f>
        <v>#VALUE!</v>
      </c>
      <c r="G243" s="24" t="str">
        <f>IFERROR(VLOOKUP(A243,取得元!$A$2:$F$501,2,FALSE),"-")</f>
        <v>-</v>
      </c>
      <c r="H243" s="24" t="str">
        <f>IFERROR(VLOOKUP(A243,取得元!$A$2:$F$501,3,FALSE),"-")</f>
        <v>-</v>
      </c>
      <c r="I243" s="24" t="str">
        <f>IFERROR(VLOOKUP(A243,取得元!$A$2:$F$501,4,FALSE),"-")</f>
        <v>-</v>
      </c>
      <c r="J243" s="5" t="str">
        <f>IFERROR(VLOOKUP(A243,取得元!$A$2:$F$501,5,FALSE),"-")</f>
        <v>-</v>
      </c>
      <c r="K243" s="25" t="str">
        <f>IFERROR(VLOOKUP(A243,取得元!$A$2:$F$501,6,FALSE)/100,"-")</f>
        <v>-</v>
      </c>
      <c r="L243" s="21" t="str">
        <f>_xll.RssMarket(A243,"始値")</f>
        <v>表示銘柄数超過</v>
      </c>
      <c r="M243" s="4" t="e">
        <f t="shared" si="20"/>
        <v>#VALUE!</v>
      </c>
      <c r="N243" s="21" t="str">
        <f>_xll.RssMarket(A243,"高値")</f>
        <v>表示銘柄数超過</v>
      </c>
      <c r="O243" s="4" t="e">
        <f t="shared" si="21"/>
        <v>#VALUE!</v>
      </c>
      <c r="P243" s="21" t="str">
        <f>_xll.RssMarket(A243,"安値")</f>
        <v>表示銘柄数超過</v>
      </c>
      <c r="Q243" s="4" t="e">
        <f t="shared" si="22"/>
        <v>#VALUE!</v>
      </c>
      <c r="R243" s="21" t="str">
        <f>_xll.RssMarket(A243,"後場始値")</f>
        <v>表示銘柄数超過</v>
      </c>
      <c r="S243" s="25" t="str">
        <f t="shared" si="23"/>
        <v>-</v>
      </c>
      <c r="T243" s="7" t="str">
        <f>_xll.RssMarket(A243,"出来高加重平均")</f>
        <v>表示銘柄数超過</v>
      </c>
      <c r="U243" s="4" t="e">
        <f t="shared" si="24"/>
        <v>#VALUE!</v>
      </c>
      <c r="V243" s="21" t="str">
        <f>_xll.RssMarket(A243,"出来高")</f>
        <v>表示銘柄数超過</v>
      </c>
      <c r="W243" s="21" t="str">
        <f>_xll.RssMarket(A243,"売買代金")</f>
        <v>表示銘柄数超過</v>
      </c>
      <c r="X243" s="20" t="str">
        <f>_xll.RssMarket(A243,"決算発表日")</f>
        <v>表示銘柄数超過</v>
      </c>
      <c r="Y243" s="26" t="str">
        <f>IF(C243&gt;_xll.RssMarket(A243,"年初来高値"),"○","×")</f>
        <v>×</v>
      </c>
      <c r="Z243" s="27" t="str">
        <f>IF(C243&lt;=_xll.RssMarket(A243,"年初来安値"),"○","×")</f>
        <v>○</v>
      </c>
    </row>
    <row r="244" spans="1:26" x14ac:dyDescent="0.25">
      <c r="A244" s="47">
        <v>3121</v>
      </c>
      <c r="B244" s="20" t="str">
        <f>_xll.RssMarket(A244,"銘柄名称")</f>
        <v>表示銘柄数超過</v>
      </c>
      <c r="C244" s="21" t="str">
        <f>_xll.RssMarket(A244,"現在値")</f>
        <v>表示銘柄数超過</v>
      </c>
      <c r="D244" s="20" t="str">
        <f>_xll.RssMarket(A244,"現在値詳細時刻")</f>
        <v>表示銘柄数超過</v>
      </c>
      <c r="E244" s="22" t="str">
        <f>_xll.RssMarket(A244,"前日比")</f>
        <v>表示銘柄数超過</v>
      </c>
      <c r="F244" s="23" t="e">
        <f>_xll.RssMarket(A244,"前日比率")/100</f>
        <v>#VALUE!</v>
      </c>
      <c r="G244" s="24" t="str">
        <f>IFERROR(VLOOKUP(A244,取得元!$A$2:$F$501,2,FALSE),"-")</f>
        <v>-</v>
      </c>
      <c r="H244" s="24" t="str">
        <f>IFERROR(VLOOKUP(A244,取得元!$A$2:$F$501,3,FALSE),"-")</f>
        <v>-</v>
      </c>
      <c r="I244" s="24" t="str">
        <f>IFERROR(VLOOKUP(A244,取得元!$A$2:$F$501,4,FALSE),"-")</f>
        <v>-</v>
      </c>
      <c r="J244" s="5" t="str">
        <f>IFERROR(VLOOKUP(A244,取得元!$A$2:$F$501,5,FALSE),"-")</f>
        <v>-</v>
      </c>
      <c r="K244" s="25" t="str">
        <f>IFERROR(VLOOKUP(A244,取得元!$A$2:$F$501,6,FALSE)/100,"-")</f>
        <v>-</v>
      </c>
      <c r="L244" s="21" t="str">
        <f>_xll.RssMarket(A244,"始値")</f>
        <v>表示銘柄数超過</v>
      </c>
      <c r="M244" s="4" t="e">
        <f t="shared" si="20"/>
        <v>#VALUE!</v>
      </c>
      <c r="N244" s="21" t="str">
        <f>_xll.RssMarket(A244,"高値")</f>
        <v>表示銘柄数超過</v>
      </c>
      <c r="O244" s="4" t="e">
        <f t="shared" si="21"/>
        <v>#VALUE!</v>
      </c>
      <c r="P244" s="21" t="str">
        <f>_xll.RssMarket(A244,"安値")</f>
        <v>表示銘柄数超過</v>
      </c>
      <c r="Q244" s="4" t="e">
        <f t="shared" si="22"/>
        <v>#VALUE!</v>
      </c>
      <c r="R244" s="21" t="str">
        <f>_xll.RssMarket(A244,"後場始値")</f>
        <v>表示銘柄数超過</v>
      </c>
      <c r="S244" s="25" t="str">
        <f t="shared" si="23"/>
        <v>-</v>
      </c>
      <c r="T244" s="7" t="str">
        <f>_xll.RssMarket(A244,"出来高加重平均")</f>
        <v>表示銘柄数超過</v>
      </c>
      <c r="U244" s="4" t="e">
        <f t="shared" si="24"/>
        <v>#VALUE!</v>
      </c>
      <c r="V244" s="21" t="str">
        <f>_xll.RssMarket(A244,"出来高")</f>
        <v>表示銘柄数超過</v>
      </c>
      <c r="W244" s="21" t="str">
        <f>_xll.RssMarket(A244,"売買代金")</f>
        <v>表示銘柄数超過</v>
      </c>
      <c r="X244" s="20" t="str">
        <f>_xll.RssMarket(A244,"決算発表日")</f>
        <v>表示銘柄数超過</v>
      </c>
      <c r="Y244" s="26" t="str">
        <f>IF(C244&gt;_xll.RssMarket(A244,"年初来高値"),"○","×")</f>
        <v>×</v>
      </c>
      <c r="Z244" s="27" t="str">
        <f>IF(C244&lt;=_xll.RssMarket(A244,"年初来安値"),"○","×")</f>
        <v>○</v>
      </c>
    </row>
    <row r="245" spans="1:26" x14ac:dyDescent="0.25">
      <c r="A245" s="49">
        <v>3133</v>
      </c>
      <c r="B245" s="20" t="str">
        <f>_xll.RssMarket(A245,"銘柄名称")</f>
        <v>表示銘柄数超過</v>
      </c>
      <c r="C245" s="21" t="str">
        <f>_xll.RssMarket(A245,"現在値")</f>
        <v>表示銘柄数超過</v>
      </c>
      <c r="D245" s="20" t="str">
        <f>_xll.RssMarket(A245,"現在値詳細時刻")</f>
        <v>表示銘柄数超過</v>
      </c>
      <c r="E245" s="22" t="str">
        <f>_xll.RssMarket(A245,"前日比")</f>
        <v>表示銘柄数超過</v>
      </c>
      <c r="F245" s="23" t="e">
        <f>_xll.RssMarket(A245,"前日比率")/100</f>
        <v>#VALUE!</v>
      </c>
      <c r="G245" s="24" t="str">
        <f>IFERROR(VLOOKUP(A245,取得元!$A$2:$F$501,2,FALSE),"-")</f>
        <v>-</v>
      </c>
      <c r="H245" s="24" t="str">
        <f>IFERROR(VLOOKUP(A245,取得元!$A$2:$F$501,3,FALSE),"-")</f>
        <v>-</v>
      </c>
      <c r="I245" s="24" t="str">
        <f>IFERROR(VLOOKUP(A245,取得元!$A$2:$F$501,4,FALSE),"-")</f>
        <v>-</v>
      </c>
      <c r="J245" s="5" t="str">
        <f>IFERROR(VLOOKUP(A245,取得元!$A$2:$F$501,5,FALSE),"-")</f>
        <v>-</v>
      </c>
      <c r="K245" s="25" t="str">
        <f>IFERROR(VLOOKUP(A245,取得元!$A$2:$F$501,6,FALSE)/100,"-")</f>
        <v>-</v>
      </c>
      <c r="L245" s="21" t="str">
        <f>_xll.RssMarket(A245,"始値")</f>
        <v>表示銘柄数超過</v>
      </c>
      <c r="M245" s="4" t="e">
        <f t="shared" si="20"/>
        <v>#VALUE!</v>
      </c>
      <c r="N245" s="21" t="str">
        <f>_xll.RssMarket(A245,"高値")</f>
        <v>表示銘柄数超過</v>
      </c>
      <c r="O245" s="4" t="e">
        <f t="shared" si="21"/>
        <v>#VALUE!</v>
      </c>
      <c r="P245" s="21" t="str">
        <f>_xll.RssMarket(A245,"安値")</f>
        <v>表示銘柄数超過</v>
      </c>
      <c r="Q245" s="4" t="e">
        <f t="shared" si="22"/>
        <v>#VALUE!</v>
      </c>
      <c r="R245" s="21" t="str">
        <f>_xll.RssMarket(A245,"後場始値")</f>
        <v>表示銘柄数超過</v>
      </c>
      <c r="S245" s="25" t="str">
        <f t="shared" si="23"/>
        <v>-</v>
      </c>
      <c r="T245" s="7" t="str">
        <f>_xll.RssMarket(A245,"出来高加重平均")</f>
        <v>表示銘柄数超過</v>
      </c>
      <c r="U245" s="4" t="e">
        <f t="shared" si="24"/>
        <v>#VALUE!</v>
      </c>
      <c r="V245" s="21" t="str">
        <f>_xll.RssMarket(A245,"出来高")</f>
        <v>表示銘柄数超過</v>
      </c>
      <c r="W245" s="21" t="str">
        <f>_xll.RssMarket(A245,"売買代金")</f>
        <v>表示銘柄数超過</v>
      </c>
      <c r="X245" s="20" t="str">
        <f>_xll.RssMarket(A245,"決算発表日")</f>
        <v>表示銘柄数超過</v>
      </c>
      <c r="Y245" s="26" t="str">
        <f>IF(C245&gt;_xll.RssMarket(A245,"年初来高値"),"○","×")</f>
        <v>×</v>
      </c>
      <c r="Z245" s="27" t="str">
        <f>IF(C245&lt;=_xll.RssMarket(A245,"年初来安値"),"○","×")</f>
        <v>○</v>
      </c>
    </row>
    <row r="246" spans="1:26" x14ac:dyDescent="0.25">
      <c r="A246" s="47">
        <v>3137</v>
      </c>
      <c r="B246" s="20" t="str">
        <f>_xll.RssMarket(A246,"銘柄名称")</f>
        <v>表示銘柄数超過</v>
      </c>
      <c r="C246" s="21" t="str">
        <f>_xll.RssMarket(A246,"現在値")</f>
        <v>表示銘柄数超過</v>
      </c>
      <c r="D246" s="20" t="str">
        <f>_xll.RssMarket(A246,"現在値詳細時刻")</f>
        <v>表示銘柄数超過</v>
      </c>
      <c r="E246" s="22" t="str">
        <f>_xll.RssMarket(A246,"前日比")</f>
        <v>表示銘柄数超過</v>
      </c>
      <c r="F246" s="23" t="e">
        <f>_xll.RssMarket(A246,"前日比率")/100</f>
        <v>#VALUE!</v>
      </c>
      <c r="G246" s="24" t="str">
        <f>IFERROR(VLOOKUP(A246,取得元!$A$2:$F$501,2,FALSE),"-")</f>
        <v>-</v>
      </c>
      <c r="H246" s="24" t="str">
        <f>IFERROR(VLOOKUP(A246,取得元!$A$2:$F$501,3,FALSE),"-")</f>
        <v>-</v>
      </c>
      <c r="I246" s="24" t="str">
        <f>IFERROR(VLOOKUP(A246,取得元!$A$2:$F$501,4,FALSE),"-")</f>
        <v>-</v>
      </c>
      <c r="J246" s="5" t="str">
        <f>IFERROR(VLOOKUP(A246,取得元!$A$2:$F$501,5,FALSE),"-")</f>
        <v>-</v>
      </c>
      <c r="K246" s="25" t="str">
        <f>IFERROR(VLOOKUP(A246,取得元!$A$2:$F$501,6,FALSE)/100,"-")</f>
        <v>-</v>
      </c>
      <c r="L246" s="21" t="str">
        <f>_xll.RssMarket(A246,"始値")</f>
        <v>表示銘柄数超過</v>
      </c>
      <c r="M246" s="4" t="e">
        <f t="shared" si="20"/>
        <v>#VALUE!</v>
      </c>
      <c r="N246" s="21" t="str">
        <f>_xll.RssMarket(A246,"高値")</f>
        <v>表示銘柄数超過</v>
      </c>
      <c r="O246" s="4" t="e">
        <f t="shared" si="21"/>
        <v>#VALUE!</v>
      </c>
      <c r="P246" s="21" t="str">
        <f>_xll.RssMarket(A246,"安値")</f>
        <v>表示銘柄数超過</v>
      </c>
      <c r="Q246" s="4" t="e">
        <f t="shared" si="22"/>
        <v>#VALUE!</v>
      </c>
      <c r="R246" s="21" t="str">
        <f>_xll.RssMarket(A246,"後場始値")</f>
        <v>表示銘柄数超過</v>
      </c>
      <c r="S246" s="25" t="str">
        <f t="shared" si="23"/>
        <v>-</v>
      </c>
      <c r="T246" s="7" t="str">
        <f>_xll.RssMarket(A246,"出来高加重平均")</f>
        <v>表示銘柄数超過</v>
      </c>
      <c r="U246" s="4" t="e">
        <f t="shared" si="24"/>
        <v>#VALUE!</v>
      </c>
      <c r="V246" s="21" t="str">
        <f>_xll.RssMarket(A246,"出来高")</f>
        <v>表示銘柄数超過</v>
      </c>
      <c r="W246" s="21" t="str">
        <f>_xll.RssMarket(A246,"売買代金")</f>
        <v>表示銘柄数超過</v>
      </c>
      <c r="X246" s="20" t="str">
        <f>_xll.RssMarket(A246,"決算発表日")</f>
        <v>表示銘柄数超過</v>
      </c>
      <c r="Y246" s="26" t="str">
        <f>IF(C246&gt;_xll.RssMarket(A246,"年初来高値"),"○","×")</f>
        <v>×</v>
      </c>
      <c r="Z246" s="27" t="str">
        <f>IF(C246&lt;=_xll.RssMarket(A246,"年初来安値"),"○","×")</f>
        <v>○</v>
      </c>
    </row>
    <row r="247" spans="1:26" x14ac:dyDescent="0.25">
      <c r="A247" s="49">
        <v>3141</v>
      </c>
      <c r="B247" s="20" t="str">
        <f>_xll.RssMarket(A247,"銘柄名称")</f>
        <v>表示銘柄数超過</v>
      </c>
      <c r="C247" s="21" t="str">
        <f>_xll.RssMarket(A247,"現在値")</f>
        <v>表示銘柄数超過</v>
      </c>
      <c r="D247" s="20" t="str">
        <f>_xll.RssMarket(A247,"現在値詳細時刻")</f>
        <v>表示銘柄数超過</v>
      </c>
      <c r="E247" s="22" t="str">
        <f>_xll.RssMarket(A247,"前日比")</f>
        <v>表示銘柄数超過</v>
      </c>
      <c r="F247" s="23" t="e">
        <f>_xll.RssMarket(A247,"前日比率")/100</f>
        <v>#VALUE!</v>
      </c>
      <c r="G247" s="24" t="str">
        <f>IFERROR(VLOOKUP(A247,取得元!$A$2:$F$501,2,FALSE),"-")</f>
        <v>-</v>
      </c>
      <c r="H247" s="24" t="str">
        <f>IFERROR(VLOOKUP(A247,取得元!$A$2:$F$501,3,FALSE),"-")</f>
        <v>-</v>
      </c>
      <c r="I247" s="24" t="str">
        <f>IFERROR(VLOOKUP(A247,取得元!$A$2:$F$501,4,FALSE),"-")</f>
        <v>-</v>
      </c>
      <c r="J247" s="5" t="str">
        <f>IFERROR(VLOOKUP(A247,取得元!$A$2:$F$501,5,FALSE),"-")</f>
        <v>-</v>
      </c>
      <c r="K247" s="25" t="str">
        <f>IFERROR(VLOOKUP(A247,取得元!$A$2:$F$501,6,FALSE)/100,"-")</f>
        <v>-</v>
      </c>
      <c r="L247" s="21" t="str">
        <f>_xll.RssMarket(A247,"始値")</f>
        <v>表示銘柄数超過</v>
      </c>
      <c r="M247" s="4" t="e">
        <f t="shared" si="20"/>
        <v>#VALUE!</v>
      </c>
      <c r="N247" s="21" t="str">
        <f>_xll.RssMarket(A247,"高値")</f>
        <v>表示銘柄数超過</v>
      </c>
      <c r="O247" s="4" t="e">
        <f t="shared" si="21"/>
        <v>#VALUE!</v>
      </c>
      <c r="P247" s="21" t="str">
        <f>_xll.RssMarket(A247,"安値")</f>
        <v>表示銘柄数超過</v>
      </c>
      <c r="Q247" s="4" t="e">
        <f t="shared" si="22"/>
        <v>#VALUE!</v>
      </c>
      <c r="R247" s="21" t="str">
        <f>_xll.RssMarket(A247,"後場始値")</f>
        <v>表示銘柄数超過</v>
      </c>
      <c r="S247" s="25" t="str">
        <f t="shared" si="23"/>
        <v>-</v>
      </c>
      <c r="T247" s="7" t="str">
        <f>_xll.RssMarket(A247,"出来高加重平均")</f>
        <v>表示銘柄数超過</v>
      </c>
      <c r="U247" s="4" t="e">
        <f t="shared" si="24"/>
        <v>#VALUE!</v>
      </c>
      <c r="V247" s="21" t="str">
        <f>_xll.RssMarket(A247,"出来高")</f>
        <v>表示銘柄数超過</v>
      </c>
      <c r="W247" s="21" t="str">
        <f>_xll.RssMarket(A247,"売買代金")</f>
        <v>表示銘柄数超過</v>
      </c>
      <c r="X247" s="20" t="str">
        <f>_xll.RssMarket(A247,"決算発表日")</f>
        <v>表示銘柄数超過</v>
      </c>
      <c r="Y247" s="26" t="str">
        <f>IF(C247&gt;_xll.RssMarket(A247,"年初来高値"),"○","×")</f>
        <v>×</v>
      </c>
      <c r="Z247" s="27" t="str">
        <f>IF(C247&lt;=_xll.RssMarket(A247,"年初来安値"),"○","×")</f>
        <v>○</v>
      </c>
    </row>
    <row r="248" spans="1:26" x14ac:dyDescent="0.25">
      <c r="A248" s="47">
        <v>3154</v>
      </c>
      <c r="B248" s="20" t="str">
        <f>_xll.RssMarket(A248,"銘柄名称")</f>
        <v>表示銘柄数超過</v>
      </c>
      <c r="C248" s="21" t="str">
        <f>_xll.RssMarket(A248,"現在値")</f>
        <v>表示銘柄数超過</v>
      </c>
      <c r="D248" s="20" t="str">
        <f>_xll.RssMarket(A248,"現在値詳細時刻")</f>
        <v>表示銘柄数超過</v>
      </c>
      <c r="E248" s="22" t="str">
        <f>_xll.RssMarket(A248,"前日比")</f>
        <v>表示銘柄数超過</v>
      </c>
      <c r="F248" s="23" t="e">
        <f>_xll.RssMarket(A248,"前日比率")/100</f>
        <v>#VALUE!</v>
      </c>
      <c r="G248" s="24" t="str">
        <f>IFERROR(VLOOKUP(A248,取得元!$A$2:$F$501,2,FALSE),"-")</f>
        <v>-</v>
      </c>
      <c r="H248" s="24" t="str">
        <f>IFERROR(VLOOKUP(A248,取得元!$A$2:$F$501,3,FALSE),"-")</f>
        <v>-</v>
      </c>
      <c r="I248" s="24" t="str">
        <f>IFERROR(VLOOKUP(A248,取得元!$A$2:$F$501,4,FALSE),"-")</f>
        <v>-</v>
      </c>
      <c r="J248" s="5" t="str">
        <f>IFERROR(VLOOKUP(A248,取得元!$A$2:$F$501,5,FALSE),"-")</f>
        <v>-</v>
      </c>
      <c r="K248" s="25" t="str">
        <f>IFERROR(VLOOKUP(A248,取得元!$A$2:$F$501,6,FALSE)/100,"-")</f>
        <v>-</v>
      </c>
      <c r="L248" s="21" t="str">
        <f>_xll.RssMarket(A248,"始値")</f>
        <v>表示銘柄数超過</v>
      </c>
      <c r="M248" s="4" t="e">
        <f t="shared" si="20"/>
        <v>#VALUE!</v>
      </c>
      <c r="N248" s="21" t="str">
        <f>_xll.RssMarket(A248,"高値")</f>
        <v>表示銘柄数超過</v>
      </c>
      <c r="O248" s="4" t="e">
        <f t="shared" si="21"/>
        <v>#VALUE!</v>
      </c>
      <c r="P248" s="21" t="str">
        <f>_xll.RssMarket(A248,"安値")</f>
        <v>表示銘柄数超過</v>
      </c>
      <c r="Q248" s="4" t="e">
        <f t="shared" si="22"/>
        <v>#VALUE!</v>
      </c>
      <c r="R248" s="21" t="str">
        <f>_xll.RssMarket(A248,"後場始値")</f>
        <v>表示銘柄数超過</v>
      </c>
      <c r="S248" s="25" t="str">
        <f t="shared" si="23"/>
        <v>-</v>
      </c>
      <c r="T248" s="7" t="str">
        <f>_xll.RssMarket(A248,"出来高加重平均")</f>
        <v>表示銘柄数超過</v>
      </c>
      <c r="U248" s="4" t="e">
        <f t="shared" si="24"/>
        <v>#VALUE!</v>
      </c>
      <c r="V248" s="21" t="str">
        <f>_xll.RssMarket(A248,"出来高")</f>
        <v>表示銘柄数超過</v>
      </c>
      <c r="W248" s="21" t="str">
        <f>_xll.RssMarket(A248,"売買代金")</f>
        <v>表示銘柄数超過</v>
      </c>
      <c r="X248" s="20" t="str">
        <f>_xll.RssMarket(A248,"決算発表日")</f>
        <v>表示銘柄数超過</v>
      </c>
      <c r="Y248" s="26" t="str">
        <f>IF(C248&gt;_xll.RssMarket(A248,"年初来高値"),"○","×")</f>
        <v>×</v>
      </c>
      <c r="Z248" s="27" t="str">
        <f>IF(C248&lt;=_xll.RssMarket(A248,"年初来安値"),"○","×")</f>
        <v>○</v>
      </c>
    </row>
    <row r="249" spans="1:26" x14ac:dyDescent="0.25">
      <c r="A249" s="49">
        <v>3159</v>
      </c>
      <c r="B249" s="20" t="str">
        <f>_xll.RssMarket(A249,"銘柄名称")</f>
        <v>表示銘柄数超過</v>
      </c>
      <c r="C249" s="21" t="str">
        <f>_xll.RssMarket(A249,"現在値")</f>
        <v>表示銘柄数超過</v>
      </c>
      <c r="D249" s="20" t="str">
        <f>_xll.RssMarket(A249,"現在値詳細時刻")</f>
        <v>表示銘柄数超過</v>
      </c>
      <c r="E249" s="22" t="str">
        <f>_xll.RssMarket(A249,"前日比")</f>
        <v>表示銘柄数超過</v>
      </c>
      <c r="F249" s="23" t="e">
        <f>_xll.RssMarket(A249,"前日比率")/100</f>
        <v>#VALUE!</v>
      </c>
      <c r="G249" s="24" t="str">
        <f>IFERROR(VLOOKUP(A249,取得元!$A$2:$F$501,2,FALSE),"-")</f>
        <v>-</v>
      </c>
      <c r="H249" s="24" t="str">
        <f>IFERROR(VLOOKUP(A249,取得元!$A$2:$F$501,3,FALSE),"-")</f>
        <v>-</v>
      </c>
      <c r="I249" s="24" t="str">
        <f>IFERROR(VLOOKUP(A249,取得元!$A$2:$F$501,4,FALSE),"-")</f>
        <v>-</v>
      </c>
      <c r="J249" s="5" t="str">
        <f>IFERROR(VLOOKUP(A249,取得元!$A$2:$F$501,5,FALSE),"-")</f>
        <v>-</v>
      </c>
      <c r="K249" s="25" t="str">
        <f>IFERROR(VLOOKUP(A249,取得元!$A$2:$F$501,6,FALSE)/100,"-")</f>
        <v>-</v>
      </c>
      <c r="L249" s="21" t="str">
        <f>_xll.RssMarket(A249,"始値")</f>
        <v>表示銘柄数超過</v>
      </c>
      <c r="M249" s="4" t="e">
        <f t="shared" si="20"/>
        <v>#VALUE!</v>
      </c>
      <c r="N249" s="21" t="str">
        <f>_xll.RssMarket(A249,"高値")</f>
        <v>表示銘柄数超過</v>
      </c>
      <c r="O249" s="4" t="e">
        <f t="shared" si="21"/>
        <v>#VALUE!</v>
      </c>
      <c r="P249" s="21" t="str">
        <f>_xll.RssMarket(A249,"安値")</f>
        <v>表示銘柄数超過</v>
      </c>
      <c r="Q249" s="4" t="e">
        <f t="shared" si="22"/>
        <v>#VALUE!</v>
      </c>
      <c r="R249" s="21" t="str">
        <f>_xll.RssMarket(A249,"後場始値")</f>
        <v>表示銘柄数超過</v>
      </c>
      <c r="S249" s="25" t="str">
        <f t="shared" si="23"/>
        <v>-</v>
      </c>
      <c r="T249" s="7" t="str">
        <f>_xll.RssMarket(A249,"出来高加重平均")</f>
        <v>表示銘柄数超過</v>
      </c>
      <c r="U249" s="4" t="e">
        <f t="shared" si="24"/>
        <v>#VALUE!</v>
      </c>
      <c r="V249" s="21" t="str">
        <f>_xll.RssMarket(A249,"出来高")</f>
        <v>表示銘柄数超過</v>
      </c>
      <c r="W249" s="21" t="str">
        <f>_xll.RssMarket(A249,"売買代金")</f>
        <v>表示銘柄数超過</v>
      </c>
      <c r="X249" s="20" t="str">
        <f>_xll.RssMarket(A249,"決算発表日")</f>
        <v>表示銘柄数超過</v>
      </c>
      <c r="Y249" s="26" t="str">
        <f>IF(C249&gt;_xll.RssMarket(A249,"年初来高値"),"○","×")</f>
        <v>×</v>
      </c>
      <c r="Z249" s="27" t="str">
        <f>IF(C249&lt;=_xll.RssMarket(A249,"年初来安値"),"○","×")</f>
        <v>○</v>
      </c>
    </row>
    <row r="250" spans="1:26" x14ac:dyDescent="0.25">
      <c r="A250" s="47">
        <v>3176</v>
      </c>
      <c r="B250" s="20" t="str">
        <f>_xll.RssMarket(A250,"銘柄名称")</f>
        <v>表示銘柄数超過</v>
      </c>
      <c r="C250" s="21" t="str">
        <f>_xll.RssMarket(A250,"現在値")</f>
        <v>表示銘柄数超過</v>
      </c>
      <c r="D250" s="20" t="str">
        <f>_xll.RssMarket(A250,"現在値詳細時刻")</f>
        <v>表示銘柄数超過</v>
      </c>
      <c r="E250" s="22" t="str">
        <f>_xll.RssMarket(A250,"前日比")</f>
        <v>表示銘柄数超過</v>
      </c>
      <c r="F250" s="23" t="e">
        <f>_xll.RssMarket(A250,"前日比率")/100</f>
        <v>#VALUE!</v>
      </c>
      <c r="G250" s="24" t="str">
        <f>IFERROR(VLOOKUP(A250,取得元!$A$2:$F$501,2,FALSE),"-")</f>
        <v>-</v>
      </c>
      <c r="H250" s="24" t="str">
        <f>IFERROR(VLOOKUP(A250,取得元!$A$2:$F$501,3,FALSE),"-")</f>
        <v>-</v>
      </c>
      <c r="I250" s="24" t="str">
        <f>IFERROR(VLOOKUP(A250,取得元!$A$2:$F$501,4,FALSE),"-")</f>
        <v>-</v>
      </c>
      <c r="J250" s="5" t="str">
        <f>IFERROR(VLOOKUP(A250,取得元!$A$2:$F$501,5,FALSE),"-")</f>
        <v>-</v>
      </c>
      <c r="K250" s="25" t="str">
        <f>IFERROR(VLOOKUP(A250,取得元!$A$2:$F$501,6,FALSE)/100,"-")</f>
        <v>-</v>
      </c>
      <c r="L250" s="21" t="str">
        <f>_xll.RssMarket(A250,"始値")</f>
        <v>表示銘柄数超過</v>
      </c>
      <c r="M250" s="4" t="e">
        <f t="shared" si="20"/>
        <v>#VALUE!</v>
      </c>
      <c r="N250" s="21" t="str">
        <f>_xll.RssMarket(A250,"高値")</f>
        <v>表示銘柄数超過</v>
      </c>
      <c r="O250" s="4" t="e">
        <f t="shared" si="21"/>
        <v>#VALUE!</v>
      </c>
      <c r="P250" s="21" t="str">
        <f>_xll.RssMarket(A250,"安値")</f>
        <v>表示銘柄数超過</v>
      </c>
      <c r="Q250" s="4" t="e">
        <f t="shared" si="22"/>
        <v>#VALUE!</v>
      </c>
      <c r="R250" s="21" t="str">
        <f>_xll.RssMarket(A250,"後場始値")</f>
        <v>表示銘柄数超過</v>
      </c>
      <c r="S250" s="25" t="str">
        <f t="shared" si="23"/>
        <v>-</v>
      </c>
      <c r="T250" s="7" t="str">
        <f>_xll.RssMarket(A250,"出来高加重平均")</f>
        <v>表示銘柄数超過</v>
      </c>
      <c r="U250" s="4" t="e">
        <f t="shared" si="24"/>
        <v>#VALUE!</v>
      </c>
      <c r="V250" s="21" t="str">
        <f>_xll.RssMarket(A250,"出来高")</f>
        <v>表示銘柄数超過</v>
      </c>
      <c r="W250" s="21" t="str">
        <f>_xll.RssMarket(A250,"売買代金")</f>
        <v>表示銘柄数超過</v>
      </c>
      <c r="X250" s="20" t="str">
        <f>_xll.RssMarket(A250,"決算発表日")</f>
        <v>表示銘柄数超過</v>
      </c>
      <c r="Y250" s="26" t="str">
        <f>IF(C250&gt;_xll.RssMarket(A250,"年初来高値"),"○","×")</f>
        <v>×</v>
      </c>
      <c r="Z250" s="27" t="str">
        <f>IF(C250&lt;=_xll.RssMarket(A250,"年初来安値"),"○","×")</f>
        <v>○</v>
      </c>
    </row>
    <row r="251" spans="1:26" x14ac:dyDescent="0.25">
      <c r="A251" s="49">
        <v>3182</v>
      </c>
      <c r="B251" s="20" t="str">
        <f>_xll.RssMarket(A251,"銘柄名称")</f>
        <v>表示銘柄数超過</v>
      </c>
      <c r="C251" s="21" t="str">
        <f>_xll.RssMarket(A251,"現在値")</f>
        <v>表示銘柄数超過</v>
      </c>
      <c r="D251" s="20" t="str">
        <f>_xll.RssMarket(A251,"現在値詳細時刻")</f>
        <v>表示銘柄数超過</v>
      </c>
      <c r="E251" s="22" t="str">
        <f>_xll.RssMarket(A251,"前日比")</f>
        <v>表示銘柄数超過</v>
      </c>
      <c r="F251" s="23" t="e">
        <f>_xll.RssMarket(A251,"前日比率")/100</f>
        <v>#VALUE!</v>
      </c>
      <c r="G251" s="24" t="str">
        <f>IFERROR(VLOOKUP(A251,取得元!$A$2:$F$501,2,FALSE),"-")</f>
        <v>-</v>
      </c>
      <c r="H251" s="24" t="str">
        <f>IFERROR(VLOOKUP(A251,取得元!$A$2:$F$501,3,FALSE),"-")</f>
        <v>-</v>
      </c>
      <c r="I251" s="24" t="str">
        <f>IFERROR(VLOOKUP(A251,取得元!$A$2:$F$501,4,FALSE),"-")</f>
        <v>-</v>
      </c>
      <c r="J251" s="5" t="str">
        <f>IFERROR(VLOOKUP(A251,取得元!$A$2:$F$501,5,FALSE),"-")</f>
        <v>-</v>
      </c>
      <c r="K251" s="25" t="str">
        <f>IFERROR(VLOOKUP(A251,取得元!$A$2:$F$501,6,FALSE)/100,"-")</f>
        <v>-</v>
      </c>
      <c r="L251" s="21" t="str">
        <f>_xll.RssMarket(A251,"始値")</f>
        <v>表示銘柄数超過</v>
      </c>
      <c r="M251" s="4" t="e">
        <f t="shared" si="20"/>
        <v>#VALUE!</v>
      </c>
      <c r="N251" s="21" t="str">
        <f>_xll.RssMarket(A251,"高値")</f>
        <v>表示銘柄数超過</v>
      </c>
      <c r="O251" s="4" t="e">
        <f t="shared" si="21"/>
        <v>#VALUE!</v>
      </c>
      <c r="P251" s="21" t="str">
        <f>_xll.RssMarket(A251,"安値")</f>
        <v>表示銘柄数超過</v>
      </c>
      <c r="Q251" s="4" t="e">
        <f t="shared" si="22"/>
        <v>#VALUE!</v>
      </c>
      <c r="R251" s="21" t="str">
        <f>_xll.RssMarket(A251,"後場始値")</f>
        <v>表示銘柄数超過</v>
      </c>
      <c r="S251" s="25" t="str">
        <f t="shared" si="23"/>
        <v>-</v>
      </c>
      <c r="T251" s="7" t="str">
        <f>_xll.RssMarket(A251,"出来高加重平均")</f>
        <v>表示銘柄数超過</v>
      </c>
      <c r="U251" s="4" t="e">
        <f t="shared" si="24"/>
        <v>#VALUE!</v>
      </c>
      <c r="V251" s="21" t="str">
        <f>_xll.RssMarket(A251,"出来高")</f>
        <v>表示銘柄数超過</v>
      </c>
      <c r="W251" s="21" t="str">
        <f>_xll.RssMarket(A251,"売買代金")</f>
        <v>表示銘柄数超過</v>
      </c>
      <c r="X251" s="20" t="str">
        <f>_xll.RssMarket(A251,"決算発表日")</f>
        <v>表示銘柄数超過</v>
      </c>
      <c r="Y251" s="26" t="str">
        <f>IF(C251&gt;_xll.RssMarket(A251,"年初来高値"),"○","×")</f>
        <v>×</v>
      </c>
      <c r="Z251" s="27" t="str">
        <f>IF(C251&lt;=_xll.RssMarket(A251,"年初来安値"),"○","×")</f>
        <v>○</v>
      </c>
    </row>
    <row r="252" spans="1:26" x14ac:dyDescent="0.25">
      <c r="A252" s="47">
        <v>3185</v>
      </c>
      <c r="B252" s="20" t="str">
        <f>_xll.RssMarket(A252,"銘柄名称")</f>
        <v>表示銘柄数超過</v>
      </c>
      <c r="C252" s="21" t="str">
        <f>_xll.RssMarket(A252,"現在値")</f>
        <v>表示銘柄数超過</v>
      </c>
      <c r="D252" s="20" t="str">
        <f>_xll.RssMarket(A252,"現在値詳細時刻")</f>
        <v>表示銘柄数超過</v>
      </c>
      <c r="E252" s="22" t="str">
        <f>_xll.RssMarket(A252,"前日比")</f>
        <v>表示銘柄数超過</v>
      </c>
      <c r="F252" s="23" t="e">
        <f>_xll.RssMarket(A252,"前日比率")/100</f>
        <v>#VALUE!</v>
      </c>
      <c r="G252" s="24" t="str">
        <f>IFERROR(VLOOKUP(A252,取得元!$A$2:$F$501,2,FALSE),"-")</f>
        <v>-</v>
      </c>
      <c r="H252" s="24" t="str">
        <f>IFERROR(VLOOKUP(A252,取得元!$A$2:$F$501,3,FALSE),"-")</f>
        <v>-</v>
      </c>
      <c r="I252" s="24" t="str">
        <f>IFERROR(VLOOKUP(A252,取得元!$A$2:$F$501,4,FALSE),"-")</f>
        <v>-</v>
      </c>
      <c r="J252" s="5" t="str">
        <f>IFERROR(VLOOKUP(A252,取得元!$A$2:$F$501,5,FALSE),"-")</f>
        <v>-</v>
      </c>
      <c r="K252" s="25" t="str">
        <f>IFERROR(VLOOKUP(A252,取得元!$A$2:$F$501,6,FALSE)/100,"-")</f>
        <v>-</v>
      </c>
      <c r="L252" s="21" t="str">
        <f>_xll.RssMarket(A252,"始値")</f>
        <v>表示銘柄数超過</v>
      </c>
      <c r="M252" s="4" t="e">
        <f t="shared" si="20"/>
        <v>#VALUE!</v>
      </c>
      <c r="N252" s="21" t="str">
        <f>_xll.RssMarket(A252,"高値")</f>
        <v>表示銘柄数超過</v>
      </c>
      <c r="O252" s="4" t="e">
        <f t="shared" si="21"/>
        <v>#VALUE!</v>
      </c>
      <c r="P252" s="21" t="str">
        <f>_xll.RssMarket(A252,"安値")</f>
        <v>表示銘柄数超過</v>
      </c>
      <c r="Q252" s="4" t="e">
        <f t="shared" si="22"/>
        <v>#VALUE!</v>
      </c>
      <c r="R252" s="21" t="str">
        <f>_xll.RssMarket(A252,"後場始値")</f>
        <v>表示銘柄数超過</v>
      </c>
      <c r="S252" s="25" t="str">
        <f t="shared" si="23"/>
        <v>-</v>
      </c>
      <c r="T252" s="7" t="str">
        <f>_xll.RssMarket(A252,"出来高加重平均")</f>
        <v>表示銘柄数超過</v>
      </c>
      <c r="U252" s="4" t="e">
        <f t="shared" si="24"/>
        <v>#VALUE!</v>
      </c>
      <c r="V252" s="21" t="str">
        <f>_xll.RssMarket(A252,"出来高")</f>
        <v>表示銘柄数超過</v>
      </c>
      <c r="W252" s="21" t="str">
        <f>_xll.RssMarket(A252,"売買代金")</f>
        <v>表示銘柄数超過</v>
      </c>
      <c r="X252" s="20" t="str">
        <f>_xll.RssMarket(A252,"決算発表日")</f>
        <v>表示銘柄数超過</v>
      </c>
      <c r="Y252" s="26" t="str">
        <f>IF(C252&gt;_xll.RssMarket(A252,"年初来高値"),"○","×")</f>
        <v>×</v>
      </c>
      <c r="Z252" s="27" t="str">
        <f>IF(C252&lt;=_xll.RssMarket(A252,"年初来安値"),"○","×")</f>
        <v>○</v>
      </c>
    </row>
    <row r="253" spans="1:26" x14ac:dyDescent="0.25">
      <c r="A253" s="49">
        <v>3186</v>
      </c>
      <c r="B253" s="20" t="str">
        <f>_xll.RssMarket(A253,"銘柄名称")</f>
        <v>表示銘柄数超過</v>
      </c>
      <c r="C253" s="21" t="str">
        <f>_xll.RssMarket(A253,"現在値")</f>
        <v>表示銘柄数超過</v>
      </c>
      <c r="D253" s="20" t="str">
        <f>_xll.RssMarket(A253,"現在値詳細時刻")</f>
        <v>表示銘柄数超過</v>
      </c>
      <c r="E253" s="22" t="str">
        <f>_xll.RssMarket(A253,"前日比")</f>
        <v>表示銘柄数超過</v>
      </c>
      <c r="F253" s="23" t="e">
        <f>_xll.RssMarket(A253,"前日比率")/100</f>
        <v>#VALUE!</v>
      </c>
      <c r="G253" s="24" t="str">
        <f>IFERROR(VLOOKUP(A253,取得元!$A$2:$F$501,2,FALSE),"-")</f>
        <v>-</v>
      </c>
      <c r="H253" s="24" t="str">
        <f>IFERROR(VLOOKUP(A253,取得元!$A$2:$F$501,3,FALSE),"-")</f>
        <v>-</v>
      </c>
      <c r="I253" s="24" t="str">
        <f>IFERROR(VLOOKUP(A253,取得元!$A$2:$F$501,4,FALSE),"-")</f>
        <v>-</v>
      </c>
      <c r="J253" s="5" t="str">
        <f>IFERROR(VLOOKUP(A253,取得元!$A$2:$F$501,5,FALSE),"-")</f>
        <v>-</v>
      </c>
      <c r="K253" s="25" t="str">
        <f>IFERROR(VLOOKUP(A253,取得元!$A$2:$F$501,6,FALSE)/100,"-")</f>
        <v>-</v>
      </c>
      <c r="L253" s="21" t="str">
        <f>_xll.RssMarket(A253,"始値")</f>
        <v>表示銘柄数超過</v>
      </c>
      <c r="M253" s="4" t="e">
        <f t="shared" si="20"/>
        <v>#VALUE!</v>
      </c>
      <c r="N253" s="21" t="str">
        <f>_xll.RssMarket(A253,"高値")</f>
        <v>表示銘柄数超過</v>
      </c>
      <c r="O253" s="4" t="e">
        <f t="shared" si="21"/>
        <v>#VALUE!</v>
      </c>
      <c r="P253" s="21" t="str">
        <f>_xll.RssMarket(A253,"安値")</f>
        <v>表示銘柄数超過</v>
      </c>
      <c r="Q253" s="4" t="e">
        <f t="shared" si="22"/>
        <v>#VALUE!</v>
      </c>
      <c r="R253" s="21" t="str">
        <f>_xll.RssMarket(A253,"後場始値")</f>
        <v>表示銘柄数超過</v>
      </c>
      <c r="S253" s="25" t="str">
        <f t="shared" si="23"/>
        <v>-</v>
      </c>
      <c r="T253" s="7" t="str">
        <f>_xll.RssMarket(A253,"出来高加重平均")</f>
        <v>表示銘柄数超過</v>
      </c>
      <c r="U253" s="4" t="e">
        <f t="shared" si="24"/>
        <v>#VALUE!</v>
      </c>
      <c r="V253" s="21" t="str">
        <f>_xll.RssMarket(A253,"出来高")</f>
        <v>表示銘柄数超過</v>
      </c>
      <c r="W253" s="21" t="str">
        <f>_xll.RssMarket(A253,"売買代金")</f>
        <v>表示銘柄数超過</v>
      </c>
      <c r="X253" s="20" t="str">
        <f>_xll.RssMarket(A253,"決算発表日")</f>
        <v>表示銘柄数超過</v>
      </c>
      <c r="Y253" s="26" t="str">
        <f>IF(C253&gt;_xll.RssMarket(A253,"年初来高値"),"○","×")</f>
        <v>×</v>
      </c>
      <c r="Z253" s="27" t="str">
        <f>IF(C253&lt;=_xll.RssMarket(A253,"年初来安値"),"○","×")</f>
        <v>○</v>
      </c>
    </row>
    <row r="254" spans="1:26" x14ac:dyDescent="0.25">
      <c r="A254" s="47">
        <v>3187</v>
      </c>
      <c r="B254" s="20" t="str">
        <f>_xll.RssMarket(A254,"銘柄名称")</f>
        <v>表示銘柄数超過</v>
      </c>
      <c r="C254" s="21" t="str">
        <f>_xll.RssMarket(A254,"現在値")</f>
        <v>表示銘柄数超過</v>
      </c>
      <c r="D254" s="20" t="str">
        <f>_xll.RssMarket(A254,"現在値詳細時刻")</f>
        <v>表示銘柄数超過</v>
      </c>
      <c r="E254" s="22" t="str">
        <f>_xll.RssMarket(A254,"前日比")</f>
        <v>表示銘柄数超過</v>
      </c>
      <c r="F254" s="23" t="e">
        <f>_xll.RssMarket(A254,"前日比率")/100</f>
        <v>#VALUE!</v>
      </c>
      <c r="G254" s="24" t="str">
        <f>IFERROR(VLOOKUP(A254,取得元!$A$2:$F$501,2,FALSE),"-")</f>
        <v>-</v>
      </c>
      <c r="H254" s="24" t="str">
        <f>IFERROR(VLOOKUP(A254,取得元!$A$2:$F$501,3,FALSE),"-")</f>
        <v>-</v>
      </c>
      <c r="I254" s="24" t="str">
        <f>IFERROR(VLOOKUP(A254,取得元!$A$2:$F$501,4,FALSE),"-")</f>
        <v>-</v>
      </c>
      <c r="J254" s="5" t="str">
        <f>IFERROR(VLOOKUP(A254,取得元!$A$2:$F$501,5,FALSE),"-")</f>
        <v>-</v>
      </c>
      <c r="K254" s="25" t="str">
        <f>IFERROR(VLOOKUP(A254,取得元!$A$2:$F$501,6,FALSE)/100,"-")</f>
        <v>-</v>
      </c>
      <c r="L254" s="21" t="str">
        <f>_xll.RssMarket(A254,"始値")</f>
        <v>表示銘柄数超過</v>
      </c>
      <c r="M254" s="4" t="e">
        <f t="shared" si="20"/>
        <v>#VALUE!</v>
      </c>
      <c r="N254" s="21" t="str">
        <f>_xll.RssMarket(A254,"高値")</f>
        <v>表示銘柄数超過</v>
      </c>
      <c r="O254" s="4" t="e">
        <f t="shared" si="21"/>
        <v>#VALUE!</v>
      </c>
      <c r="P254" s="21" t="str">
        <f>_xll.RssMarket(A254,"安値")</f>
        <v>表示銘柄数超過</v>
      </c>
      <c r="Q254" s="4" t="e">
        <f t="shared" si="22"/>
        <v>#VALUE!</v>
      </c>
      <c r="R254" s="21" t="str">
        <f>_xll.RssMarket(A254,"後場始値")</f>
        <v>表示銘柄数超過</v>
      </c>
      <c r="S254" s="25" t="str">
        <f t="shared" si="23"/>
        <v>-</v>
      </c>
      <c r="T254" s="7" t="str">
        <f>_xll.RssMarket(A254,"出来高加重平均")</f>
        <v>表示銘柄数超過</v>
      </c>
      <c r="U254" s="4" t="e">
        <f t="shared" si="24"/>
        <v>#VALUE!</v>
      </c>
      <c r="V254" s="21" t="str">
        <f>_xll.RssMarket(A254,"出来高")</f>
        <v>表示銘柄数超過</v>
      </c>
      <c r="W254" s="21" t="str">
        <f>_xll.RssMarket(A254,"売買代金")</f>
        <v>表示銘柄数超過</v>
      </c>
      <c r="X254" s="20" t="str">
        <f>_xll.RssMarket(A254,"決算発表日")</f>
        <v>表示銘柄数超過</v>
      </c>
      <c r="Y254" s="26" t="str">
        <f>IF(C254&gt;_xll.RssMarket(A254,"年初来高値"),"○","×")</f>
        <v>×</v>
      </c>
      <c r="Z254" s="27" t="str">
        <f>IF(C254&lt;=_xll.RssMarket(A254,"年初来安値"),"○","×")</f>
        <v>○</v>
      </c>
    </row>
    <row r="255" spans="1:26" x14ac:dyDescent="0.25">
      <c r="A255" s="49">
        <v>3189</v>
      </c>
      <c r="B255" s="20" t="str">
        <f>_xll.RssMarket(A255,"銘柄名称")</f>
        <v>表示銘柄数超過</v>
      </c>
      <c r="C255" s="21" t="str">
        <f>_xll.RssMarket(A255,"現在値")</f>
        <v>表示銘柄数超過</v>
      </c>
      <c r="D255" s="20" t="str">
        <f>_xll.RssMarket(A255,"現在値詳細時刻")</f>
        <v>表示銘柄数超過</v>
      </c>
      <c r="E255" s="22" t="str">
        <f>_xll.RssMarket(A255,"前日比")</f>
        <v>表示銘柄数超過</v>
      </c>
      <c r="F255" s="23" t="e">
        <f>_xll.RssMarket(A255,"前日比率")/100</f>
        <v>#VALUE!</v>
      </c>
      <c r="G255" s="24" t="str">
        <f>IFERROR(VLOOKUP(A255,取得元!$A$2:$F$501,2,FALSE),"-")</f>
        <v>-</v>
      </c>
      <c r="H255" s="24" t="str">
        <f>IFERROR(VLOOKUP(A255,取得元!$A$2:$F$501,3,FALSE),"-")</f>
        <v>-</v>
      </c>
      <c r="I255" s="24" t="str">
        <f>IFERROR(VLOOKUP(A255,取得元!$A$2:$F$501,4,FALSE),"-")</f>
        <v>-</v>
      </c>
      <c r="J255" s="5" t="str">
        <f>IFERROR(VLOOKUP(A255,取得元!$A$2:$F$501,5,FALSE),"-")</f>
        <v>-</v>
      </c>
      <c r="K255" s="25" t="str">
        <f>IFERROR(VLOOKUP(A255,取得元!$A$2:$F$501,6,FALSE)/100,"-")</f>
        <v>-</v>
      </c>
      <c r="L255" s="21" t="str">
        <f>_xll.RssMarket(A255,"始値")</f>
        <v>表示銘柄数超過</v>
      </c>
      <c r="M255" s="4" t="e">
        <f t="shared" si="20"/>
        <v>#VALUE!</v>
      </c>
      <c r="N255" s="21" t="str">
        <f>_xll.RssMarket(A255,"高値")</f>
        <v>表示銘柄数超過</v>
      </c>
      <c r="O255" s="4" t="e">
        <f t="shared" si="21"/>
        <v>#VALUE!</v>
      </c>
      <c r="P255" s="21" t="str">
        <f>_xll.RssMarket(A255,"安値")</f>
        <v>表示銘柄数超過</v>
      </c>
      <c r="Q255" s="4" t="e">
        <f t="shared" si="22"/>
        <v>#VALUE!</v>
      </c>
      <c r="R255" s="21" t="str">
        <f>_xll.RssMarket(A255,"後場始値")</f>
        <v>表示銘柄数超過</v>
      </c>
      <c r="S255" s="25" t="str">
        <f t="shared" si="23"/>
        <v>-</v>
      </c>
      <c r="T255" s="7" t="str">
        <f>_xll.RssMarket(A255,"出来高加重平均")</f>
        <v>表示銘柄数超過</v>
      </c>
      <c r="U255" s="4" t="e">
        <f t="shared" si="24"/>
        <v>#VALUE!</v>
      </c>
      <c r="V255" s="21" t="str">
        <f>_xll.RssMarket(A255,"出来高")</f>
        <v>表示銘柄数超過</v>
      </c>
      <c r="W255" s="21" t="str">
        <f>_xll.RssMarket(A255,"売買代金")</f>
        <v>表示銘柄数超過</v>
      </c>
      <c r="X255" s="20" t="str">
        <f>_xll.RssMarket(A255,"決算発表日")</f>
        <v>表示銘柄数超過</v>
      </c>
      <c r="Y255" s="26" t="str">
        <f>IF(C255&gt;_xll.RssMarket(A255,"年初来高値"),"○","×")</f>
        <v>×</v>
      </c>
      <c r="Z255" s="27" t="str">
        <f>IF(C255&lt;=_xll.RssMarket(A255,"年初来安値"),"○","×")</f>
        <v>○</v>
      </c>
    </row>
    <row r="256" spans="1:26" x14ac:dyDescent="0.25">
      <c r="A256" s="47">
        <v>3192</v>
      </c>
      <c r="B256" s="20" t="str">
        <f>_xll.RssMarket(A256,"銘柄名称")</f>
        <v>表示銘柄数超過</v>
      </c>
      <c r="C256" s="21" t="str">
        <f>_xll.RssMarket(A256,"現在値")</f>
        <v>表示銘柄数超過</v>
      </c>
      <c r="D256" s="20" t="str">
        <f>_xll.RssMarket(A256,"現在値詳細時刻")</f>
        <v>表示銘柄数超過</v>
      </c>
      <c r="E256" s="22" t="str">
        <f>_xll.RssMarket(A256,"前日比")</f>
        <v>表示銘柄数超過</v>
      </c>
      <c r="F256" s="23" t="e">
        <f>_xll.RssMarket(A256,"前日比率")/100</f>
        <v>#VALUE!</v>
      </c>
      <c r="G256" s="24" t="str">
        <f>IFERROR(VLOOKUP(A256,取得元!$A$2:$F$501,2,FALSE),"-")</f>
        <v>-</v>
      </c>
      <c r="H256" s="24" t="str">
        <f>IFERROR(VLOOKUP(A256,取得元!$A$2:$F$501,3,FALSE),"-")</f>
        <v>-</v>
      </c>
      <c r="I256" s="24" t="str">
        <f>IFERROR(VLOOKUP(A256,取得元!$A$2:$F$501,4,FALSE),"-")</f>
        <v>-</v>
      </c>
      <c r="J256" s="5" t="str">
        <f>IFERROR(VLOOKUP(A256,取得元!$A$2:$F$501,5,FALSE),"-")</f>
        <v>-</v>
      </c>
      <c r="K256" s="25" t="str">
        <f>IFERROR(VLOOKUP(A256,取得元!$A$2:$F$501,6,FALSE)/100,"-")</f>
        <v>-</v>
      </c>
      <c r="L256" s="21" t="str">
        <f>_xll.RssMarket(A256,"始値")</f>
        <v>表示銘柄数超過</v>
      </c>
      <c r="M256" s="4" t="e">
        <f t="shared" si="20"/>
        <v>#VALUE!</v>
      </c>
      <c r="N256" s="21" t="str">
        <f>_xll.RssMarket(A256,"高値")</f>
        <v>表示銘柄数超過</v>
      </c>
      <c r="O256" s="4" t="e">
        <f t="shared" si="21"/>
        <v>#VALUE!</v>
      </c>
      <c r="P256" s="21" t="str">
        <f>_xll.RssMarket(A256,"安値")</f>
        <v>表示銘柄数超過</v>
      </c>
      <c r="Q256" s="4" t="e">
        <f t="shared" si="22"/>
        <v>#VALUE!</v>
      </c>
      <c r="R256" s="21" t="str">
        <f>_xll.RssMarket(A256,"後場始値")</f>
        <v>表示銘柄数超過</v>
      </c>
      <c r="S256" s="25" t="str">
        <f t="shared" si="23"/>
        <v>-</v>
      </c>
      <c r="T256" s="7" t="str">
        <f>_xll.RssMarket(A256,"出来高加重平均")</f>
        <v>表示銘柄数超過</v>
      </c>
      <c r="U256" s="4" t="e">
        <f t="shared" si="24"/>
        <v>#VALUE!</v>
      </c>
      <c r="V256" s="21" t="str">
        <f>_xll.RssMarket(A256,"出来高")</f>
        <v>表示銘柄数超過</v>
      </c>
      <c r="W256" s="21" t="str">
        <f>_xll.RssMarket(A256,"売買代金")</f>
        <v>表示銘柄数超過</v>
      </c>
      <c r="X256" s="20" t="str">
        <f>_xll.RssMarket(A256,"決算発表日")</f>
        <v>表示銘柄数超過</v>
      </c>
      <c r="Y256" s="26" t="str">
        <f>IF(C256&gt;_xll.RssMarket(A256,"年初来高値"),"○","×")</f>
        <v>×</v>
      </c>
      <c r="Z256" s="27" t="str">
        <f>IF(C256&lt;=_xll.RssMarket(A256,"年初来安値"),"○","×")</f>
        <v>○</v>
      </c>
    </row>
    <row r="257" spans="1:26" x14ac:dyDescent="0.25">
      <c r="A257" s="49">
        <v>3197</v>
      </c>
      <c r="B257" s="20" t="str">
        <f>_xll.RssMarket(A257,"銘柄名称")</f>
        <v>表示銘柄数超過</v>
      </c>
      <c r="C257" s="21" t="str">
        <f>_xll.RssMarket(A257,"現在値")</f>
        <v>表示銘柄数超過</v>
      </c>
      <c r="D257" s="20" t="str">
        <f>_xll.RssMarket(A257,"現在値詳細時刻")</f>
        <v>表示銘柄数超過</v>
      </c>
      <c r="E257" s="22" t="str">
        <f>_xll.RssMarket(A257,"前日比")</f>
        <v>表示銘柄数超過</v>
      </c>
      <c r="F257" s="23" t="e">
        <f>_xll.RssMarket(A257,"前日比率")/100</f>
        <v>#VALUE!</v>
      </c>
      <c r="G257" s="24" t="str">
        <f>IFERROR(VLOOKUP(A257,取得元!$A$2:$F$501,2,FALSE),"-")</f>
        <v>-</v>
      </c>
      <c r="H257" s="24" t="str">
        <f>IFERROR(VLOOKUP(A257,取得元!$A$2:$F$501,3,FALSE),"-")</f>
        <v>-</v>
      </c>
      <c r="I257" s="24" t="str">
        <f>IFERROR(VLOOKUP(A257,取得元!$A$2:$F$501,4,FALSE),"-")</f>
        <v>-</v>
      </c>
      <c r="J257" s="5" t="str">
        <f>IFERROR(VLOOKUP(A257,取得元!$A$2:$F$501,5,FALSE),"-")</f>
        <v>-</v>
      </c>
      <c r="K257" s="25" t="str">
        <f>IFERROR(VLOOKUP(A257,取得元!$A$2:$F$501,6,FALSE)/100,"-")</f>
        <v>-</v>
      </c>
      <c r="L257" s="21" t="str">
        <f>_xll.RssMarket(A257,"始値")</f>
        <v>表示銘柄数超過</v>
      </c>
      <c r="M257" s="4" t="e">
        <f t="shared" si="20"/>
        <v>#VALUE!</v>
      </c>
      <c r="N257" s="21" t="str">
        <f>_xll.RssMarket(A257,"高値")</f>
        <v>表示銘柄数超過</v>
      </c>
      <c r="O257" s="4" t="e">
        <f t="shared" si="21"/>
        <v>#VALUE!</v>
      </c>
      <c r="P257" s="21" t="str">
        <f>_xll.RssMarket(A257,"安値")</f>
        <v>表示銘柄数超過</v>
      </c>
      <c r="Q257" s="4" t="e">
        <f t="shared" si="22"/>
        <v>#VALUE!</v>
      </c>
      <c r="R257" s="21" t="str">
        <f>_xll.RssMarket(A257,"後場始値")</f>
        <v>表示銘柄数超過</v>
      </c>
      <c r="S257" s="25" t="str">
        <f t="shared" si="23"/>
        <v>-</v>
      </c>
      <c r="T257" s="7" t="str">
        <f>_xll.RssMarket(A257,"出来高加重平均")</f>
        <v>表示銘柄数超過</v>
      </c>
      <c r="U257" s="4" t="e">
        <f t="shared" si="24"/>
        <v>#VALUE!</v>
      </c>
      <c r="V257" s="21" t="str">
        <f>_xll.RssMarket(A257,"出来高")</f>
        <v>表示銘柄数超過</v>
      </c>
      <c r="W257" s="21" t="str">
        <f>_xll.RssMarket(A257,"売買代金")</f>
        <v>表示銘柄数超過</v>
      </c>
      <c r="X257" s="20" t="str">
        <f>_xll.RssMarket(A257,"決算発表日")</f>
        <v>表示銘柄数超過</v>
      </c>
      <c r="Y257" s="26" t="str">
        <f>IF(C257&gt;_xll.RssMarket(A257,"年初来高値"),"○","×")</f>
        <v>×</v>
      </c>
      <c r="Z257" s="27" t="str">
        <f>IF(C257&lt;=_xll.RssMarket(A257,"年初来安値"),"○","×")</f>
        <v>○</v>
      </c>
    </row>
    <row r="258" spans="1:26" x14ac:dyDescent="0.25">
      <c r="A258" s="47">
        <v>3232</v>
      </c>
      <c r="B258" s="20" t="str">
        <f>_xll.RssMarket(A258,"銘柄名称")</f>
        <v>表示銘柄数超過</v>
      </c>
      <c r="C258" s="21" t="str">
        <f>_xll.RssMarket(A258,"現在値")</f>
        <v>表示銘柄数超過</v>
      </c>
      <c r="D258" s="20" t="str">
        <f>_xll.RssMarket(A258,"現在値詳細時刻")</f>
        <v>表示銘柄数超過</v>
      </c>
      <c r="E258" s="22" t="str">
        <f>_xll.RssMarket(A258,"前日比")</f>
        <v>表示銘柄数超過</v>
      </c>
      <c r="F258" s="23" t="e">
        <f>_xll.RssMarket(A258,"前日比率")/100</f>
        <v>#VALUE!</v>
      </c>
      <c r="G258" s="24" t="str">
        <f>IFERROR(VLOOKUP(A258,取得元!$A$2:$F$501,2,FALSE),"-")</f>
        <v>-</v>
      </c>
      <c r="H258" s="24" t="str">
        <f>IFERROR(VLOOKUP(A258,取得元!$A$2:$F$501,3,FALSE),"-")</f>
        <v>-</v>
      </c>
      <c r="I258" s="24" t="str">
        <f>IFERROR(VLOOKUP(A258,取得元!$A$2:$F$501,4,FALSE),"-")</f>
        <v>-</v>
      </c>
      <c r="J258" s="5" t="str">
        <f>IFERROR(VLOOKUP(A258,取得元!$A$2:$F$501,5,FALSE),"-")</f>
        <v>-</v>
      </c>
      <c r="K258" s="25" t="str">
        <f>IFERROR(VLOOKUP(A258,取得元!$A$2:$F$501,6,FALSE)/100,"-")</f>
        <v>-</v>
      </c>
      <c r="L258" s="21" t="str">
        <f>_xll.RssMarket(A258,"始値")</f>
        <v>表示銘柄数超過</v>
      </c>
      <c r="M258" s="4" t="e">
        <f t="shared" si="20"/>
        <v>#VALUE!</v>
      </c>
      <c r="N258" s="21" t="str">
        <f>_xll.RssMarket(A258,"高値")</f>
        <v>表示銘柄数超過</v>
      </c>
      <c r="O258" s="4" t="e">
        <f t="shared" si="21"/>
        <v>#VALUE!</v>
      </c>
      <c r="P258" s="21" t="str">
        <f>_xll.RssMarket(A258,"安値")</f>
        <v>表示銘柄数超過</v>
      </c>
      <c r="Q258" s="4" t="e">
        <f t="shared" si="22"/>
        <v>#VALUE!</v>
      </c>
      <c r="R258" s="21" t="str">
        <f>_xll.RssMarket(A258,"後場始値")</f>
        <v>表示銘柄数超過</v>
      </c>
      <c r="S258" s="25" t="str">
        <f t="shared" si="23"/>
        <v>-</v>
      </c>
      <c r="T258" s="7" t="str">
        <f>_xll.RssMarket(A258,"出来高加重平均")</f>
        <v>表示銘柄数超過</v>
      </c>
      <c r="U258" s="4" t="e">
        <f t="shared" si="24"/>
        <v>#VALUE!</v>
      </c>
      <c r="V258" s="21" t="str">
        <f>_xll.RssMarket(A258,"出来高")</f>
        <v>表示銘柄数超過</v>
      </c>
      <c r="W258" s="21" t="str">
        <f>_xll.RssMarket(A258,"売買代金")</f>
        <v>表示銘柄数超過</v>
      </c>
      <c r="X258" s="20" t="str">
        <f>_xll.RssMarket(A258,"決算発表日")</f>
        <v>表示銘柄数超過</v>
      </c>
      <c r="Y258" s="26" t="str">
        <f>IF(C258&gt;_xll.RssMarket(A258,"年初来高値"),"○","×")</f>
        <v>×</v>
      </c>
      <c r="Z258" s="27" t="str">
        <f>IF(C258&lt;=_xll.RssMarket(A258,"年初来安値"),"○","×")</f>
        <v>○</v>
      </c>
    </row>
    <row r="259" spans="1:26" x14ac:dyDescent="0.25">
      <c r="A259" s="49">
        <v>3236</v>
      </c>
      <c r="B259" s="20" t="str">
        <f>_xll.RssMarket(A259,"銘柄名称")</f>
        <v>表示銘柄数超過</v>
      </c>
      <c r="C259" s="21" t="str">
        <f>_xll.RssMarket(A259,"現在値")</f>
        <v>表示銘柄数超過</v>
      </c>
      <c r="D259" s="20" t="str">
        <f>_xll.RssMarket(A259,"現在値詳細時刻")</f>
        <v>表示銘柄数超過</v>
      </c>
      <c r="E259" s="22" t="str">
        <f>_xll.RssMarket(A259,"前日比")</f>
        <v>表示銘柄数超過</v>
      </c>
      <c r="F259" s="23" t="e">
        <f>_xll.RssMarket(A259,"前日比率")/100</f>
        <v>#VALUE!</v>
      </c>
      <c r="G259" s="24" t="str">
        <f>IFERROR(VLOOKUP(A259,取得元!$A$2:$F$501,2,FALSE),"-")</f>
        <v>-</v>
      </c>
      <c r="H259" s="24" t="str">
        <f>IFERROR(VLOOKUP(A259,取得元!$A$2:$F$501,3,FALSE),"-")</f>
        <v>-</v>
      </c>
      <c r="I259" s="24" t="str">
        <f>IFERROR(VLOOKUP(A259,取得元!$A$2:$F$501,4,FALSE),"-")</f>
        <v>-</v>
      </c>
      <c r="J259" s="5" t="str">
        <f>IFERROR(VLOOKUP(A259,取得元!$A$2:$F$501,5,FALSE),"-")</f>
        <v>-</v>
      </c>
      <c r="K259" s="25" t="str">
        <f>IFERROR(VLOOKUP(A259,取得元!$A$2:$F$501,6,FALSE)/100,"-")</f>
        <v>-</v>
      </c>
      <c r="L259" s="21" t="str">
        <f>_xll.RssMarket(A259,"始値")</f>
        <v>表示銘柄数超過</v>
      </c>
      <c r="M259" s="4" t="e">
        <f t="shared" si="20"/>
        <v>#VALUE!</v>
      </c>
      <c r="N259" s="21" t="str">
        <f>_xll.RssMarket(A259,"高値")</f>
        <v>表示銘柄数超過</v>
      </c>
      <c r="O259" s="4" t="e">
        <f t="shared" si="21"/>
        <v>#VALUE!</v>
      </c>
      <c r="P259" s="21" t="str">
        <f>_xll.RssMarket(A259,"安値")</f>
        <v>表示銘柄数超過</v>
      </c>
      <c r="Q259" s="4" t="e">
        <f t="shared" si="22"/>
        <v>#VALUE!</v>
      </c>
      <c r="R259" s="21" t="str">
        <f>_xll.RssMarket(A259,"後場始値")</f>
        <v>表示銘柄数超過</v>
      </c>
      <c r="S259" s="25" t="str">
        <f t="shared" si="23"/>
        <v>-</v>
      </c>
      <c r="T259" s="7" t="str">
        <f>_xll.RssMarket(A259,"出来高加重平均")</f>
        <v>表示銘柄数超過</v>
      </c>
      <c r="U259" s="4" t="e">
        <f t="shared" si="24"/>
        <v>#VALUE!</v>
      </c>
      <c r="V259" s="21" t="str">
        <f>_xll.RssMarket(A259,"出来高")</f>
        <v>表示銘柄数超過</v>
      </c>
      <c r="W259" s="21" t="str">
        <f>_xll.RssMarket(A259,"売買代金")</f>
        <v>表示銘柄数超過</v>
      </c>
      <c r="X259" s="20" t="str">
        <f>_xll.RssMarket(A259,"決算発表日")</f>
        <v>表示銘柄数超過</v>
      </c>
      <c r="Y259" s="26" t="str">
        <f>IF(C259&gt;_xll.RssMarket(A259,"年初来高値"),"○","×")</f>
        <v>×</v>
      </c>
      <c r="Z259" s="27" t="str">
        <f>IF(C259&lt;=_xll.RssMarket(A259,"年初来安値"),"○","×")</f>
        <v>○</v>
      </c>
    </row>
    <row r="260" spans="1:26" x14ac:dyDescent="0.25">
      <c r="A260" s="47">
        <v>3237</v>
      </c>
      <c r="B260" s="20" t="str">
        <f>_xll.RssMarket(A260,"銘柄名称")</f>
        <v>表示銘柄数超過</v>
      </c>
      <c r="C260" s="21" t="str">
        <f>_xll.RssMarket(A260,"現在値")</f>
        <v>表示銘柄数超過</v>
      </c>
      <c r="D260" s="20" t="str">
        <f>_xll.RssMarket(A260,"現在値詳細時刻")</f>
        <v>表示銘柄数超過</v>
      </c>
      <c r="E260" s="22" t="str">
        <f>_xll.RssMarket(A260,"前日比")</f>
        <v>表示銘柄数超過</v>
      </c>
      <c r="F260" s="23" t="e">
        <f>_xll.RssMarket(A260,"前日比率")/100</f>
        <v>#VALUE!</v>
      </c>
      <c r="G260" s="24" t="str">
        <f>IFERROR(VLOOKUP(A260,取得元!$A$2:$F$501,2,FALSE),"-")</f>
        <v>-</v>
      </c>
      <c r="H260" s="24" t="str">
        <f>IFERROR(VLOOKUP(A260,取得元!$A$2:$F$501,3,FALSE),"-")</f>
        <v>-</v>
      </c>
      <c r="I260" s="24" t="str">
        <f>IFERROR(VLOOKUP(A260,取得元!$A$2:$F$501,4,FALSE),"-")</f>
        <v>-</v>
      </c>
      <c r="J260" s="5" t="str">
        <f>IFERROR(VLOOKUP(A260,取得元!$A$2:$F$501,5,FALSE),"-")</f>
        <v>-</v>
      </c>
      <c r="K260" s="25" t="str">
        <f>IFERROR(VLOOKUP(A260,取得元!$A$2:$F$501,6,FALSE)/100,"-")</f>
        <v>-</v>
      </c>
      <c r="L260" s="21" t="str">
        <f>_xll.RssMarket(A260,"始値")</f>
        <v>表示銘柄数超過</v>
      </c>
      <c r="M260" s="4" t="e">
        <f t="shared" ref="M260:M323" si="25">C260/L260-1</f>
        <v>#VALUE!</v>
      </c>
      <c r="N260" s="21" t="str">
        <f>_xll.RssMarket(A260,"高値")</f>
        <v>表示銘柄数超過</v>
      </c>
      <c r="O260" s="4" t="e">
        <f t="shared" ref="O260:O323" si="26">C260/N260-1</f>
        <v>#VALUE!</v>
      </c>
      <c r="P260" s="21" t="str">
        <f>_xll.RssMarket(A260,"安値")</f>
        <v>表示銘柄数超過</v>
      </c>
      <c r="Q260" s="4" t="e">
        <f t="shared" ref="Q260:Q323" si="27">C260/P260-1</f>
        <v>#VALUE!</v>
      </c>
      <c r="R260" s="21" t="str">
        <f>_xll.RssMarket(A260,"後場始値")</f>
        <v>表示銘柄数超過</v>
      </c>
      <c r="S260" s="25" t="str">
        <f t="shared" ref="S260:S323" si="28">IFERROR(C260/R260-1,"-")</f>
        <v>-</v>
      </c>
      <c r="T260" s="7" t="str">
        <f>_xll.RssMarket(A260,"出来高加重平均")</f>
        <v>表示銘柄数超過</v>
      </c>
      <c r="U260" s="4" t="e">
        <f t="shared" ref="U260:U323" si="29">C260/T260-1</f>
        <v>#VALUE!</v>
      </c>
      <c r="V260" s="21" t="str">
        <f>_xll.RssMarket(A260,"出来高")</f>
        <v>表示銘柄数超過</v>
      </c>
      <c r="W260" s="21" t="str">
        <f>_xll.RssMarket(A260,"売買代金")</f>
        <v>表示銘柄数超過</v>
      </c>
      <c r="X260" s="20" t="str">
        <f>_xll.RssMarket(A260,"決算発表日")</f>
        <v>表示銘柄数超過</v>
      </c>
      <c r="Y260" s="26" t="str">
        <f>IF(C260&gt;_xll.RssMarket(A260,"年初来高値"),"○","×")</f>
        <v>×</v>
      </c>
      <c r="Z260" s="27" t="str">
        <f>IF(C260&lt;=_xll.RssMarket(A260,"年初来安値"),"○","×")</f>
        <v>○</v>
      </c>
    </row>
    <row r="261" spans="1:26" x14ac:dyDescent="0.25">
      <c r="A261" s="49">
        <v>3238</v>
      </c>
      <c r="B261" s="20" t="str">
        <f>_xll.RssMarket(A261,"銘柄名称")</f>
        <v>表示銘柄数超過</v>
      </c>
      <c r="C261" s="21" t="str">
        <f>_xll.RssMarket(A261,"現在値")</f>
        <v>表示銘柄数超過</v>
      </c>
      <c r="D261" s="20" t="str">
        <f>_xll.RssMarket(A261,"現在値詳細時刻")</f>
        <v>表示銘柄数超過</v>
      </c>
      <c r="E261" s="22" t="str">
        <f>_xll.RssMarket(A261,"前日比")</f>
        <v>表示銘柄数超過</v>
      </c>
      <c r="F261" s="23" t="e">
        <f>_xll.RssMarket(A261,"前日比率")/100</f>
        <v>#VALUE!</v>
      </c>
      <c r="G261" s="24" t="str">
        <f>IFERROR(VLOOKUP(A261,取得元!$A$2:$F$501,2,FALSE),"-")</f>
        <v>-</v>
      </c>
      <c r="H261" s="24" t="str">
        <f>IFERROR(VLOOKUP(A261,取得元!$A$2:$F$501,3,FALSE),"-")</f>
        <v>-</v>
      </c>
      <c r="I261" s="24" t="str">
        <f>IFERROR(VLOOKUP(A261,取得元!$A$2:$F$501,4,FALSE),"-")</f>
        <v>-</v>
      </c>
      <c r="J261" s="5" t="str">
        <f>IFERROR(VLOOKUP(A261,取得元!$A$2:$F$501,5,FALSE),"-")</f>
        <v>-</v>
      </c>
      <c r="K261" s="25" t="str">
        <f>IFERROR(VLOOKUP(A261,取得元!$A$2:$F$501,6,FALSE)/100,"-")</f>
        <v>-</v>
      </c>
      <c r="L261" s="21" t="str">
        <f>_xll.RssMarket(A261,"始値")</f>
        <v>表示銘柄数超過</v>
      </c>
      <c r="M261" s="4" t="e">
        <f t="shared" si="25"/>
        <v>#VALUE!</v>
      </c>
      <c r="N261" s="21" t="str">
        <f>_xll.RssMarket(A261,"高値")</f>
        <v>表示銘柄数超過</v>
      </c>
      <c r="O261" s="4" t="e">
        <f t="shared" si="26"/>
        <v>#VALUE!</v>
      </c>
      <c r="P261" s="21" t="str">
        <f>_xll.RssMarket(A261,"安値")</f>
        <v>表示銘柄数超過</v>
      </c>
      <c r="Q261" s="4" t="e">
        <f t="shared" si="27"/>
        <v>#VALUE!</v>
      </c>
      <c r="R261" s="21" t="str">
        <f>_xll.RssMarket(A261,"後場始値")</f>
        <v>表示銘柄数超過</v>
      </c>
      <c r="S261" s="25" t="str">
        <f t="shared" si="28"/>
        <v>-</v>
      </c>
      <c r="T261" s="7" t="str">
        <f>_xll.RssMarket(A261,"出来高加重平均")</f>
        <v>表示銘柄数超過</v>
      </c>
      <c r="U261" s="4" t="e">
        <f t="shared" si="29"/>
        <v>#VALUE!</v>
      </c>
      <c r="V261" s="21" t="str">
        <f>_xll.RssMarket(A261,"出来高")</f>
        <v>表示銘柄数超過</v>
      </c>
      <c r="W261" s="21" t="str">
        <f>_xll.RssMarket(A261,"売買代金")</f>
        <v>表示銘柄数超過</v>
      </c>
      <c r="X261" s="20" t="str">
        <f>_xll.RssMarket(A261,"決算発表日")</f>
        <v>表示銘柄数超過</v>
      </c>
      <c r="Y261" s="26" t="str">
        <f>IF(C261&gt;_xll.RssMarket(A261,"年初来高値"),"○","×")</f>
        <v>×</v>
      </c>
      <c r="Z261" s="27" t="str">
        <f>IF(C261&lt;=_xll.RssMarket(A261,"年初来安値"),"○","×")</f>
        <v>○</v>
      </c>
    </row>
    <row r="262" spans="1:26" x14ac:dyDescent="0.25">
      <c r="A262" s="47">
        <v>3241</v>
      </c>
      <c r="B262" s="20" t="str">
        <f>_xll.RssMarket(A262,"銘柄名称")</f>
        <v>表示銘柄数超過</v>
      </c>
      <c r="C262" s="21" t="str">
        <f>_xll.RssMarket(A262,"現在値")</f>
        <v>表示銘柄数超過</v>
      </c>
      <c r="D262" s="20" t="str">
        <f>_xll.RssMarket(A262,"現在値詳細時刻")</f>
        <v>表示銘柄数超過</v>
      </c>
      <c r="E262" s="22" t="str">
        <f>_xll.RssMarket(A262,"前日比")</f>
        <v>表示銘柄数超過</v>
      </c>
      <c r="F262" s="23" t="e">
        <f>_xll.RssMarket(A262,"前日比率")/100</f>
        <v>#VALUE!</v>
      </c>
      <c r="G262" s="24" t="str">
        <f>IFERROR(VLOOKUP(A262,取得元!$A$2:$F$501,2,FALSE),"-")</f>
        <v>-</v>
      </c>
      <c r="H262" s="24" t="str">
        <f>IFERROR(VLOOKUP(A262,取得元!$A$2:$F$501,3,FALSE),"-")</f>
        <v>-</v>
      </c>
      <c r="I262" s="24" t="str">
        <f>IFERROR(VLOOKUP(A262,取得元!$A$2:$F$501,4,FALSE),"-")</f>
        <v>-</v>
      </c>
      <c r="J262" s="5" t="str">
        <f>IFERROR(VLOOKUP(A262,取得元!$A$2:$F$501,5,FALSE),"-")</f>
        <v>-</v>
      </c>
      <c r="K262" s="25" t="str">
        <f>IFERROR(VLOOKUP(A262,取得元!$A$2:$F$501,6,FALSE)/100,"-")</f>
        <v>-</v>
      </c>
      <c r="L262" s="21" t="str">
        <f>_xll.RssMarket(A262,"始値")</f>
        <v>表示銘柄数超過</v>
      </c>
      <c r="M262" s="4" t="e">
        <f t="shared" si="25"/>
        <v>#VALUE!</v>
      </c>
      <c r="N262" s="21" t="str">
        <f>_xll.RssMarket(A262,"高値")</f>
        <v>表示銘柄数超過</v>
      </c>
      <c r="O262" s="4" t="e">
        <f t="shared" si="26"/>
        <v>#VALUE!</v>
      </c>
      <c r="P262" s="21" t="str">
        <f>_xll.RssMarket(A262,"安値")</f>
        <v>表示銘柄数超過</v>
      </c>
      <c r="Q262" s="4" t="e">
        <f t="shared" si="27"/>
        <v>#VALUE!</v>
      </c>
      <c r="R262" s="21" t="str">
        <f>_xll.RssMarket(A262,"後場始値")</f>
        <v>表示銘柄数超過</v>
      </c>
      <c r="S262" s="25" t="str">
        <f t="shared" si="28"/>
        <v>-</v>
      </c>
      <c r="T262" s="7" t="str">
        <f>_xll.RssMarket(A262,"出来高加重平均")</f>
        <v>表示銘柄数超過</v>
      </c>
      <c r="U262" s="4" t="e">
        <f t="shared" si="29"/>
        <v>#VALUE!</v>
      </c>
      <c r="V262" s="21" t="str">
        <f>_xll.RssMarket(A262,"出来高")</f>
        <v>表示銘柄数超過</v>
      </c>
      <c r="W262" s="21" t="str">
        <f>_xll.RssMarket(A262,"売買代金")</f>
        <v>表示銘柄数超過</v>
      </c>
      <c r="X262" s="20" t="str">
        <f>_xll.RssMarket(A262,"決算発表日")</f>
        <v>表示銘柄数超過</v>
      </c>
      <c r="Y262" s="26" t="str">
        <f>IF(C262&gt;_xll.RssMarket(A262,"年初来高値"),"○","×")</f>
        <v>×</v>
      </c>
      <c r="Z262" s="27" t="str">
        <f>IF(C262&lt;=_xll.RssMarket(A262,"年初来安値"),"○","×")</f>
        <v>○</v>
      </c>
    </row>
    <row r="263" spans="1:26" x14ac:dyDescent="0.25">
      <c r="A263" s="49">
        <v>3242</v>
      </c>
      <c r="B263" s="20" t="str">
        <f>_xll.RssMarket(A263,"銘柄名称")</f>
        <v>表示銘柄数超過</v>
      </c>
      <c r="C263" s="21" t="str">
        <f>_xll.RssMarket(A263,"現在値")</f>
        <v>表示銘柄数超過</v>
      </c>
      <c r="D263" s="20" t="str">
        <f>_xll.RssMarket(A263,"現在値詳細時刻")</f>
        <v>表示銘柄数超過</v>
      </c>
      <c r="E263" s="22" t="str">
        <f>_xll.RssMarket(A263,"前日比")</f>
        <v>表示銘柄数超過</v>
      </c>
      <c r="F263" s="23" t="e">
        <f>_xll.RssMarket(A263,"前日比率")/100</f>
        <v>#VALUE!</v>
      </c>
      <c r="G263" s="24" t="str">
        <f>IFERROR(VLOOKUP(A263,取得元!$A$2:$F$501,2,FALSE),"-")</f>
        <v>-</v>
      </c>
      <c r="H263" s="24" t="str">
        <f>IFERROR(VLOOKUP(A263,取得元!$A$2:$F$501,3,FALSE),"-")</f>
        <v>-</v>
      </c>
      <c r="I263" s="24" t="str">
        <f>IFERROR(VLOOKUP(A263,取得元!$A$2:$F$501,4,FALSE),"-")</f>
        <v>-</v>
      </c>
      <c r="J263" s="5" t="str">
        <f>IFERROR(VLOOKUP(A263,取得元!$A$2:$F$501,5,FALSE),"-")</f>
        <v>-</v>
      </c>
      <c r="K263" s="25" t="str">
        <f>IFERROR(VLOOKUP(A263,取得元!$A$2:$F$501,6,FALSE)/100,"-")</f>
        <v>-</v>
      </c>
      <c r="L263" s="21" t="str">
        <f>_xll.RssMarket(A263,"始値")</f>
        <v>表示銘柄数超過</v>
      </c>
      <c r="M263" s="4" t="e">
        <f t="shared" si="25"/>
        <v>#VALUE!</v>
      </c>
      <c r="N263" s="21" t="str">
        <f>_xll.RssMarket(A263,"高値")</f>
        <v>表示銘柄数超過</v>
      </c>
      <c r="O263" s="4" t="e">
        <f t="shared" si="26"/>
        <v>#VALUE!</v>
      </c>
      <c r="P263" s="21" t="str">
        <f>_xll.RssMarket(A263,"安値")</f>
        <v>表示銘柄数超過</v>
      </c>
      <c r="Q263" s="4" t="e">
        <f t="shared" si="27"/>
        <v>#VALUE!</v>
      </c>
      <c r="R263" s="21" t="str">
        <f>_xll.RssMarket(A263,"後場始値")</f>
        <v>表示銘柄数超過</v>
      </c>
      <c r="S263" s="25" t="str">
        <f t="shared" si="28"/>
        <v>-</v>
      </c>
      <c r="T263" s="7" t="str">
        <f>_xll.RssMarket(A263,"出来高加重平均")</f>
        <v>表示銘柄数超過</v>
      </c>
      <c r="U263" s="4" t="e">
        <f t="shared" si="29"/>
        <v>#VALUE!</v>
      </c>
      <c r="V263" s="21" t="str">
        <f>_xll.RssMarket(A263,"出来高")</f>
        <v>表示銘柄数超過</v>
      </c>
      <c r="W263" s="21" t="str">
        <f>_xll.RssMarket(A263,"売買代金")</f>
        <v>表示銘柄数超過</v>
      </c>
      <c r="X263" s="20" t="str">
        <f>_xll.RssMarket(A263,"決算発表日")</f>
        <v>表示銘柄数超過</v>
      </c>
      <c r="Y263" s="26" t="str">
        <f>IF(C263&gt;_xll.RssMarket(A263,"年初来高値"),"○","×")</f>
        <v>×</v>
      </c>
      <c r="Z263" s="27" t="str">
        <f>IF(C263&lt;=_xll.RssMarket(A263,"年初来安値"),"○","×")</f>
        <v>○</v>
      </c>
    </row>
    <row r="264" spans="1:26" x14ac:dyDescent="0.25">
      <c r="A264" s="47">
        <v>3244</v>
      </c>
      <c r="B264" s="20" t="str">
        <f>_xll.RssMarket(A264,"銘柄名称")</f>
        <v>表示銘柄数超過</v>
      </c>
      <c r="C264" s="21" t="str">
        <f>_xll.RssMarket(A264,"現在値")</f>
        <v>表示銘柄数超過</v>
      </c>
      <c r="D264" s="20" t="str">
        <f>_xll.RssMarket(A264,"現在値詳細時刻")</f>
        <v>表示銘柄数超過</v>
      </c>
      <c r="E264" s="22" t="str">
        <f>_xll.RssMarket(A264,"前日比")</f>
        <v>表示銘柄数超過</v>
      </c>
      <c r="F264" s="23" t="e">
        <f>_xll.RssMarket(A264,"前日比率")/100</f>
        <v>#VALUE!</v>
      </c>
      <c r="G264" s="24" t="str">
        <f>IFERROR(VLOOKUP(A264,取得元!$A$2:$F$501,2,FALSE),"-")</f>
        <v>-</v>
      </c>
      <c r="H264" s="24" t="str">
        <f>IFERROR(VLOOKUP(A264,取得元!$A$2:$F$501,3,FALSE),"-")</f>
        <v>-</v>
      </c>
      <c r="I264" s="24" t="str">
        <f>IFERROR(VLOOKUP(A264,取得元!$A$2:$F$501,4,FALSE),"-")</f>
        <v>-</v>
      </c>
      <c r="J264" s="5" t="str">
        <f>IFERROR(VLOOKUP(A264,取得元!$A$2:$F$501,5,FALSE),"-")</f>
        <v>-</v>
      </c>
      <c r="K264" s="25" t="str">
        <f>IFERROR(VLOOKUP(A264,取得元!$A$2:$F$501,6,FALSE)/100,"-")</f>
        <v>-</v>
      </c>
      <c r="L264" s="21" t="str">
        <f>_xll.RssMarket(A264,"始値")</f>
        <v>表示銘柄数超過</v>
      </c>
      <c r="M264" s="4" t="e">
        <f t="shared" si="25"/>
        <v>#VALUE!</v>
      </c>
      <c r="N264" s="21" t="str">
        <f>_xll.RssMarket(A264,"高値")</f>
        <v>表示銘柄数超過</v>
      </c>
      <c r="O264" s="4" t="e">
        <f t="shared" si="26"/>
        <v>#VALUE!</v>
      </c>
      <c r="P264" s="21" t="str">
        <f>_xll.RssMarket(A264,"安値")</f>
        <v>表示銘柄数超過</v>
      </c>
      <c r="Q264" s="4" t="e">
        <f t="shared" si="27"/>
        <v>#VALUE!</v>
      </c>
      <c r="R264" s="21" t="str">
        <f>_xll.RssMarket(A264,"後場始値")</f>
        <v>表示銘柄数超過</v>
      </c>
      <c r="S264" s="25" t="str">
        <f t="shared" si="28"/>
        <v>-</v>
      </c>
      <c r="T264" s="7" t="str">
        <f>_xll.RssMarket(A264,"出来高加重平均")</f>
        <v>表示銘柄数超過</v>
      </c>
      <c r="U264" s="4" t="e">
        <f t="shared" si="29"/>
        <v>#VALUE!</v>
      </c>
      <c r="V264" s="21" t="str">
        <f>_xll.RssMarket(A264,"出来高")</f>
        <v>表示銘柄数超過</v>
      </c>
      <c r="W264" s="21" t="str">
        <f>_xll.RssMarket(A264,"売買代金")</f>
        <v>表示銘柄数超過</v>
      </c>
      <c r="X264" s="20" t="str">
        <f>_xll.RssMarket(A264,"決算発表日")</f>
        <v>表示銘柄数超過</v>
      </c>
      <c r="Y264" s="26" t="str">
        <f>IF(C264&gt;_xll.RssMarket(A264,"年初来高値"),"○","×")</f>
        <v>×</v>
      </c>
      <c r="Z264" s="27" t="str">
        <f>IF(C264&lt;=_xll.RssMarket(A264,"年初来安値"),"○","×")</f>
        <v>○</v>
      </c>
    </row>
    <row r="265" spans="1:26" x14ac:dyDescent="0.25">
      <c r="A265" s="49">
        <v>3261</v>
      </c>
      <c r="B265" s="20" t="str">
        <f>_xll.RssMarket(A265,"銘柄名称")</f>
        <v>表示銘柄数超過</v>
      </c>
      <c r="C265" s="21" t="str">
        <f>_xll.RssMarket(A265,"現在値")</f>
        <v>表示銘柄数超過</v>
      </c>
      <c r="D265" s="20" t="str">
        <f>_xll.RssMarket(A265,"現在値詳細時刻")</f>
        <v>表示銘柄数超過</v>
      </c>
      <c r="E265" s="22" t="str">
        <f>_xll.RssMarket(A265,"前日比")</f>
        <v>表示銘柄数超過</v>
      </c>
      <c r="F265" s="23" t="e">
        <f>_xll.RssMarket(A265,"前日比率")/100</f>
        <v>#VALUE!</v>
      </c>
      <c r="G265" s="24" t="str">
        <f>IFERROR(VLOOKUP(A265,取得元!$A$2:$F$501,2,FALSE),"-")</f>
        <v>-</v>
      </c>
      <c r="H265" s="24" t="str">
        <f>IFERROR(VLOOKUP(A265,取得元!$A$2:$F$501,3,FALSE),"-")</f>
        <v>-</v>
      </c>
      <c r="I265" s="24" t="str">
        <f>IFERROR(VLOOKUP(A265,取得元!$A$2:$F$501,4,FALSE),"-")</f>
        <v>-</v>
      </c>
      <c r="J265" s="5" t="str">
        <f>IFERROR(VLOOKUP(A265,取得元!$A$2:$F$501,5,FALSE),"-")</f>
        <v>-</v>
      </c>
      <c r="K265" s="25" t="str">
        <f>IFERROR(VLOOKUP(A265,取得元!$A$2:$F$501,6,FALSE)/100,"-")</f>
        <v>-</v>
      </c>
      <c r="L265" s="21" t="str">
        <f>_xll.RssMarket(A265,"始値")</f>
        <v>表示銘柄数超過</v>
      </c>
      <c r="M265" s="4" t="e">
        <f t="shared" si="25"/>
        <v>#VALUE!</v>
      </c>
      <c r="N265" s="21" t="str">
        <f>_xll.RssMarket(A265,"高値")</f>
        <v>表示銘柄数超過</v>
      </c>
      <c r="O265" s="4" t="e">
        <f t="shared" si="26"/>
        <v>#VALUE!</v>
      </c>
      <c r="P265" s="21" t="str">
        <f>_xll.RssMarket(A265,"安値")</f>
        <v>表示銘柄数超過</v>
      </c>
      <c r="Q265" s="4" t="e">
        <f t="shared" si="27"/>
        <v>#VALUE!</v>
      </c>
      <c r="R265" s="21" t="str">
        <f>_xll.RssMarket(A265,"後場始値")</f>
        <v>表示銘柄数超過</v>
      </c>
      <c r="S265" s="25" t="str">
        <f t="shared" si="28"/>
        <v>-</v>
      </c>
      <c r="T265" s="7" t="str">
        <f>_xll.RssMarket(A265,"出来高加重平均")</f>
        <v>表示銘柄数超過</v>
      </c>
      <c r="U265" s="4" t="e">
        <f t="shared" si="29"/>
        <v>#VALUE!</v>
      </c>
      <c r="V265" s="21" t="str">
        <f>_xll.RssMarket(A265,"出来高")</f>
        <v>表示銘柄数超過</v>
      </c>
      <c r="W265" s="21" t="str">
        <f>_xll.RssMarket(A265,"売買代金")</f>
        <v>表示銘柄数超過</v>
      </c>
      <c r="X265" s="20" t="str">
        <f>_xll.RssMarket(A265,"決算発表日")</f>
        <v>表示銘柄数超過</v>
      </c>
      <c r="Y265" s="26" t="str">
        <f>IF(C265&gt;_xll.RssMarket(A265,"年初来高値"),"○","×")</f>
        <v>×</v>
      </c>
      <c r="Z265" s="27" t="str">
        <f>IF(C265&lt;=_xll.RssMarket(A265,"年初来安値"),"○","×")</f>
        <v>○</v>
      </c>
    </row>
    <row r="266" spans="1:26" x14ac:dyDescent="0.25">
      <c r="A266" s="47">
        <v>3264</v>
      </c>
      <c r="B266" s="20" t="str">
        <f>_xll.RssMarket(A266,"銘柄名称")</f>
        <v>表示銘柄数超過</v>
      </c>
      <c r="C266" s="21" t="str">
        <f>_xll.RssMarket(A266,"現在値")</f>
        <v>表示銘柄数超過</v>
      </c>
      <c r="D266" s="20" t="str">
        <f>_xll.RssMarket(A266,"現在値詳細時刻")</f>
        <v>表示銘柄数超過</v>
      </c>
      <c r="E266" s="22" t="str">
        <f>_xll.RssMarket(A266,"前日比")</f>
        <v>表示銘柄数超過</v>
      </c>
      <c r="F266" s="23" t="e">
        <f>_xll.RssMarket(A266,"前日比率")/100</f>
        <v>#VALUE!</v>
      </c>
      <c r="G266" s="24" t="str">
        <f>IFERROR(VLOOKUP(A266,取得元!$A$2:$F$501,2,FALSE),"-")</f>
        <v>-</v>
      </c>
      <c r="H266" s="24" t="str">
        <f>IFERROR(VLOOKUP(A266,取得元!$A$2:$F$501,3,FALSE),"-")</f>
        <v>-</v>
      </c>
      <c r="I266" s="24" t="str">
        <f>IFERROR(VLOOKUP(A266,取得元!$A$2:$F$501,4,FALSE),"-")</f>
        <v>-</v>
      </c>
      <c r="J266" s="5" t="str">
        <f>IFERROR(VLOOKUP(A266,取得元!$A$2:$F$501,5,FALSE),"-")</f>
        <v>-</v>
      </c>
      <c r="K266" s="25" t="str">
        <f>IFERROR(VLOOKUP(A266,取得元!$A$2:$F$501,6,FALSE)/100,"-")</f>
        <v>-</v>
      </c>
      <c r="L266" s="21" t="str">
        <f>_xll.RssMarket(A266,"始値")</f>
        <v>表示銘柄数超過</v>
      </c>
      <c r="M266" s="4" t="e">
        <f t="shared" si="25"/>
        <v>#VALUE!</v>
      </c>
      <c r="N266" s="21" t="str">
        <f>_xll.RssMarket(A266,"高値")</f>
        <v>表示銘柄数超過</v>
      </c>
      <c r="O266" s="4" t="e">
        <f t="shared" si="26"/>
        <v>#VALUE!</v>
      </c>
      <c r="P266" s="21" t="str">
        <f>_xll.RssMarket(A266,"安値")</f>
        <v>表示銘柄数超過</v>
      </c>
      <c r="Q266" s="4" t="e">
        <f t="shared" si="27"/>
        <v>#VALUE!</v>
      </c>
      <c r="R266" s="21" t="str">
        <f>_xll.RssMarket(A266,"後場始値")</f>
        <v>表示銘柄数超過</v>
      </c>
      <c r="S266" s="25" t="str">
        <f t="shared" si="28"/>
        <v>-</v>
      </c>
      <c r="T266" s="7" t="str">
        <f>_xll.RssMarket(A266,"出来高加重平均")</f>
        <v>表示銘柄数超過</v>
      </c>
      <c r="U266" s="4" t="e">
        <f t="shared" si="29"/>
        <v>#VALUE!</v>
      </c>
      <c r="V266" s="21" t="str">
        <f>_xll.RssMarket(A266,"出来高")</f>
        <v>表示銘柄数超過</v>
      </c>
      <c r="W266" s="21" t="str">
        <f>_xll.RssMarket(A266,"売買代金")</f>
        <v>表示銘柄数超過</v>
      </c>
      <c r="X266" s="20" t="str">
        <f>_xll.RssMarket(A266,"決算発表日")</f>
        <v>表示銘柄数超過</v>
      </c>
      <c r="Y266" s="26" t="str">
        <f>IF(C266&gt;_xll.RssMarket(A266,"年初来高値"),"○","×")</f>
        <v>×</v>
      </c>
      <c r="Z266" s="27" t="str">
        <f>IF(C266&lt;=_xll.RssMarket(A266,"年初来安値"),"○","×")</f>
        <v>○</v>
      </c>
    </row>
    <row r="267" spans="1:26" x14ac:dyDescent="0.25">
      <c r="A267" s="49">
        <v>3266</v>
      </c>
      <c r="B267" s="20" t="str">
        <f>_xll.RssMarket(A267,"銘柄名称")</f>
        <v>表示銘柄数超過</v>
      </c>
      <c r="C267" s="21" t="str">
        <f>_xll.RssMarket(A267,"現在値")</f>
        <v>表示銘柄数超過</v>
      </c>
      <c r="D267" s="20" t="str">
        <f>_xll.RssMarket(A267,"現在値詳細時刻")</f>
        <v>表示銘柄数超過</v>
      </c>
      <c r="E267" s="22" t="str">
        <f>_xll.RssMarket(A267,"前日比")</f>
        <v>表示銘柄数超過</v>
      </c>
      <c r="F267" s="23" t="e">
        <f>_xll.RssMarket(A267,"前日比率")/100</f>
        <v>#VALUE!</v>
      </c>
      <c r="G267" s="24" t="str">
        <f>IFERROR(VLOOKUP(A267,取得元!$A$2:$F$501,2,FALSE),"-")</f>
        <v>-</v>
      </c>
      <c r="H267" s="24" t="str">
        <f>IFERROR(VLOOKUP(A267,取得元!$A$2:$F$501,3,FALSE),"-")</f>
        <v>-</v>
      </c>
      <c r="I267" s="24" t="str">
        <f>IFERROR(VLOOKUP(A267,取得元!$A$2:$F$501,4,FALSE),"-")</f>
        <v>-</v>
      </c>
      <c r="J267" s="5" t="str">
        <f>IFERROR(VLOOKUP(A267,取得元!$A$2:$F$501,5,FALSE),"-")</f>
        <v>-</v>
      </c>
      <c r="K267" s="25" t="str">
        <f>IFERROR(VLOOKUP(A267,取得元!$A$2:$F$501,6,FALSE)/100,"-")</f>
        <v>-</v>
      </c>
      <c r="L267" s="21" t="str">
        <f>_xll.RssMarket(A267,"始値")</f>
        <v>表示銘柄数超過</v>
      </c>
      <c r="M267" s="4" t="e">
        <f t="shared" si="25"/>
        <v>#VALUE!</v>
      </c>
      <c r="N267" s="21" t="str">
        <f>_xll.RssMarket(A267,"高値")</f>
        <v>表示銘柄数超過</v>
      </c>
      <c r="O267" s="4" t="e">
        <f t="shared" si="26"/>
        <v>#VALUE!</v>
      </c>
      <c r="P267" s="21" t="str">
        <f>_xll.RssMarket(A267,"安値")</f>
        <v>表示銘柄数超過</v>
      </c>
      <c r="Q267" s="4" t="e">
        <f t="shared" si="27"/>
        <v>#VALUE!</v>
      </c>
      <c r="R267" s="21" t="str">
        <f>_xll.RssMarket(A267,"後場始値")</f>
        <v>表示銘柄数超過</v>
      </c>
      <c r="S267" s="25" t="str">
        <f t="shared" si="28"/>
        <v>-</v>
      </c>
      <c r="T267" s="7" t="str">
        <f>_xll.RssMarket(A267,"出来高加重平均")</f>
        <v>表示銘柄数超過</v>
      </c>
      <c r="U267" s="4" t="e">
        <f t="shared" si="29"/>
        <v>#VALUE!</v>
      </c>
      <c r="V267" s="21" t="str">
        <f>_xll.RssMarket(A267,"出来高")</f>
        <v>表示銘柄数超過</v>
      </c>
      <c r="W267" s="21" t="str">
        <f>_xll.RssMarket(A267,"売買代金")</f>
        <v>表示銘柄数超過</v>
      </c>
      <c r="X267" s="20" t="str">
        <f>_xll.RssMarket(A267,"決算発表日")</f>
        <v>表示銘柄数超過</v>
      </c>
      <c r="Y267" s="26" t="str">
        <f>IF(C267&gt;_xll.RssMarket(A267,"年初来高値"),"○","×")</f>
        <v>×</v>
      </c>
      <c r="Z267" s="27" t="str">
        <f>IF(C267&lt;=_xll.RssMarket(A267,"年初来安値"),"○","×")</f>
        <v>○</v>
      </c>
    </row>
    <row r="268" spans="1:26" x14ac:dyDescent="0.25">
      <c r="A268" s="47">
        <v>3271</v>
      </c>
      <c r="B268" s="20" t="str">
        <f>_xll.RssMarket(A268,"銘柄名称")</f>
        <v>表示銘柄数超過</v>
      </c>
      <c r="C268" s="21" t="str">
        <f>_xll.RssMarket(A268,"現在値")</f>
        <v>表示銘柄数超過</v>
      </c>
      <c r="D268" s="20" t="str">
        <f>_xll.RssMarket(A268,"現在値詳細時刻")</f>
        <v>表示銘柄数超過</v>
      </c>
      <c r="E268" s="22" t="str">
        <f>_xll.RssMarket(A268,"前日比")</f>
        <v>表示銘柄数超過</v>
      </c>
      <c r="F268" s="23" t="e">
        <f>_xll.RssMarket(A268,"前日比率")/100</f>
        <v>#VALUE!</v>
      </c>
      <c r="G268" s="24" t="str">
        <f>IFERROR(VLOOKUP(A268,取得元!$A$2:$F$501,2,FALSE),"-")</f>
        <v>-</v>
      </c>
      <c r="H268" s="24" t="str">
        <f>IFERROR(VLOOKUP(A268,取得元!$A$2:$F$501,3,FALSE),"-")</f>
        <v>-</v>
      </c>
      <c r="I268" s="24" t="str">
        <f>IFERROR(VLOOKUP(A268,取得元!$A$2:$F$501,4,FALSE),"-")</f>
        <v>-</v>
      </c>
      <c r="J268" s="5" t="str">
        <f>IFERROR(VLOOKUP(A268,取得元!$A$2:$F$501,5,FALSE),"-")</f>
        <v>-</v>
      </c>
      <c r="K268" s="25" t="str">
        <f>IFERROR(VLOOKUP(A268,取得元!$A$2:$F$501,6,FALSE)/100,"-")</f>
        <v>-</v>
      </c>
      <c r="L268" s="21" t="str">
        <f>_xll.RssMarket(A268,"始値")</f>
        <v>表示銘柄数超過</v>
      </c>
      <c r="M268" s="4" t="e">
        <f t="shared" si="25"/>
        <v>#VALUE!</v>
      </c>
      <c r="N268" s="21" t="str">
        <f>_xll.RssMarket(A268,"高値")</f>
        <v>表示銘柄数超過</v>
      </c>
      <c r="O268" s="4" t="e">
        <f t="shared" si="26"/>
        <v>#VALUE!</v>
      </c>
      <c r="P268" s="21" t="str">
        <f>_xll.RssMarket(A268,"安値")</f>
        <v>表示銘柄数超過</v>
      </c>
      <c r="Q268" s="4" t="e">
        <f t="shared" si="27"/>
        <v>#VALUE!</v>
      </c>
      <c r="R268" s="21" t="str">
        <f>_xll.RssMarket(A268,"後場始値")</f>
        <v>表示銘柄数超過</v>
      </c>
      <c r="S268" s="25" t="str">
        <f t="shared" si="28"/>
        <v>-</v>
      </c>
      <c r="T268" s="7" t="str">
        <f>_xll.RssMarket(A268,"出来高加重平均")</f>
        <v>表示銘柄数超過</v>
      </c>
      <c r="U268" s="4" t="e">
        <f t="shared" si="29"/>
        <v>#VALUE!</v>
      </c>
      <c r="V268" s="21" t="str">
        <f>_xll.RssMarket(A268,"出来高")</f>
        <v>表示銘柄数超過</v>
      </c>
      <c r="W268" s="21" t="str">
        <f>_xll.RssMarket(A268,"売買代金")</f>
        <v>表示銘柄数超過</v>
      </c>
      <c r="X268" s="20" t="str">
        <f>_xll.RssMarket(A268,"決算発表日")</f>
        <v>表示銘柄数超過</v>
      </c>
      <c r="Y268" s="26" t="str">
        <f>IF(C268&gt;_xll.RssMarket(A268,"年初来高値"),"○","×")</f>
        <v>×</v>
      </c>
      <c r="Z268" s="27" t="str">
        <f>IF(C268&lt;=_xll.RssMarket(A268,"年初来安値"),"○","×")</f>
        <v>○</v>
      </c>
    </row>
    <row r="269" spans="1:26" x14ac:dyDescent="0.25">
      <c r="A269" s="49">
        <v>3284</v>
      </c>
      <c r="B269" s="20" t="str">
        <f>_xll.RssMarket(A269,"銘柄名称")</f>
        <v>表示銘柄数超過</v>
      </c>
      <c r="C269" s="21" t="str">
        <f>_xll.RssMarket(A269,"現在値")</f>
        <v>表示銘柄数超過</v>
      </c>
      <c r="D269" s="20" t="str">
        <f>_xll.RssMarket(A269,"現在値詳細時刻")</f>
        <v>表示銘柄数超過</v>
      </c>
      <c r="E269" s="22" t="str">
        <f>_xll.RssMarket(A269,"前日比")</f>
        <v>表示銘柄数超過</v>
      </c>
      <c r="F269" s="23" t="e">
        <f>_xll.RssMarket(A269,"前日比率")/100</f>
        <v>#VALUE!</v>
      </c>
      <c r="G269" s="24" t="str">
        <f>IFERROR(VLOOKUP(A269,取得元!$A$2:$F$501,2,FALSE),"-")</f>
        <v>-</v>
      </c>
      <c r="H269" s="24" t="str">
        <f>IFERROR(VLOOKUP(A269,取得元!$A$2:$F$501,3,FALSE),"-")</f>
        <v>-</v>
      </c>
      <c r="I269" s="24" t="str">
        <f>IFERROR(VLOOKUP(A269,取得元!$A$2:$F$501,4,FALSE),"-")</f>
        <v>-</v>
      </c>
      <c r="J269" s="5" t="str">
        <f>IFERROR(VLOOKUP(A269,取得元!$A$2:$F$501,5,FALSE),"-")</f>
        <v>-</v>
      </c>
      <c r="K269" s="25" t="str">
        <f>IFERROR(VLOOKUP(A269,取得元!$A$2:$F$501,6,FALSE)/100,"-")</f>
        <v>-</v>
      </c>
      <c r="L269" s="21" t="str">
        <f>_xll.RssMarket(A269,"始値")</f>
        <v>表示銘柄数超過</v>
      </c>
      <c r="M269" s="4" t="e">
        <f t="shared" si="25"/>
        <v>#VALUE!</v>
      </c>
      <c r="N269" s="21" t="str">
        <f>_xll.RssMarket(A269,"高値")</f>
        <v>表示銘柄数超過</v>
      </c>
      <c r="O269" s="4" t="e">
        <f t="shared" si="26"/>
        <v>#VALUE!</v>
      </c>
      <c r="P269" s="21" t="str">
        <f>_xll.RssMarket(A269,"安値")</f>
        <v>表示銘柄数超過</v>
      </c>
      <c r="Q269" s="4" t="e">
        <f t="shared" si="27"/>
        <v>#VALUE!</v>
      </c>
      <c r="R269" s="21" t="str">
        <f>_xll.RssMarket(A269,"後場始値")</f>
        <v>表示銘柄数超過</v>
      </c>
      <c r="S269" s="25" t="str">
        <f t="shared" si="28"/>
        <v>-</v>
      </c>
      <c r="T269" s="7" t="str">
        <f>_xll.RssMarket(A269,"出来高加重平均")</f>
        <v>表示銘柄数超過</v>
      </c>
      <c r="U269" s="4" t="e">
        <f t="shared" si="29"/>
        <v>#VALUE!</v>
      </c>
      <c r="V269" s="21" t="str">
        <f>_xll.RssMarket(A269,"出来高")</f>
        <v>表示銘柄数超過</v>
      </c>
      <c r="W269" s="21" t="str">
        <f>_xll.RssMarket(A269,"売買代金")</f>
        <v>表示銘柄数超過</v>
      </c>
      <c r="X269" s="20" t="str">
        <f>_xll.RssMarket(A269,"決算発表日")</f>
        <v>表示銘柄数超過</v>
      </c>
      <c r="Y269" s="26" t="str">
        <f>IF(C269&gt;_xll.RssMarket(A269,"年初来高値"),"○","×")</f>
        <v>×</v>
      </c>
      <c r="Z269" s="27" t="str">
        <f>IF(C269&lt;=_xll.RssMarket(A269,"年初来安値"),"○","×")</f>
        <v>○</v>
      </c>
    </row>
    <row r="270" spans="1:26" x14ac:dyDescent="0.25">
      <c r="A270" s="47">
        <v>3286</v>
      </c>
      <c r="B270" s="20" t="str">
        <f>_xll.RssMarket(A270,"銘柄名称")</f>
        <v>表示銘柄数超過</v>
      </c>
      <c r="C270" s="21" t="str">
        <f>_xll.RssMarket(A270,"現在値")</f>
        <v>表示銘柄数超過</v>
      </c>
      <c r="D270" s="20" t="str">
        <f>_xll.RssMarket(A270,"現在値詳細時刻")</f>
        <v>表示銘柄数超過</v>
      </c>
      <c r="E270" s="22" t="str">
        <f>_xll.RssMarket(A270,"前日比")</f>
        <v>表示銘柄数超過</v>
      </c>
      <c r="F270" s="23" t="e">
        <f>_xll.RssMarket(A270,"前日比率")/100</f>
        <v>#VALUE!</v>
      </c>
      <c r="G270" s="24" t="str">
        <f>IFERROR(VLOOKUP(A270,取得元!$A$2:$F$501,2,FALSE),"-")</f>
        <v>-</v>
      </c>
      <c r="H270" s="24" t="str">
        <f>IFERROR(VLOOKUP(A270,取得元!$A$2:$F$501,3,FALSE),"-")</f>
        <v>-</v>
      </c>
      <c r="I270" s="24" t="str">
        <f>IFERROR(VLOOKUP(A270,取得元!$A$2:$F$501,4,FALSE),"-")</f>
        <v>-</v>
      </c>
      <c r="J270" s="5" t="str">
        <f>IFERROR(VLOOKUP(A270,取得元!$A$2:$F$501,5,FALSE),"-")</f>
        <v>-</v>
      </c>
      <c r="K270" s="25" t="str">
        <f>IFERROR(VLOOKUP(A270,取得元!$A$2:$F$501,6,FALSE)/100,"-")</f>
        <v>-</v>
      </c>
      <c r="L270" s="21" t="str">
        <f>_xll.RssMarket(A270,"始値")</f>
        <v>表示銘柄数超過</v>
      </c>
      <c r="M270" s="4" t="e">
        <f t="shared" si="25"/>
        <v>#VALUE!</v>
      </c>
      <c r="N270" s="21" t="str">
        <f>_xll.RssMarket(A270,"高値")</f>
        <v>表示銘柄数超過</v>
      </c>
      <c r="O270" s="4" t="e">
        <f t="shared" si="26"/>
        <v>#VALUE!</v>
      </c>
      <c r="P270" s="21" t="str">
        <f>_xll.RssMarket(A270,"安値")</f>
        <v>表示銘柄数超過</v>
      </c>
      <c r="Q270" s="4" t="e">
        <f t="shared" si="27"/>
        <v>#VALUE!</v>
      </c>
      <c r="R270" s="21" t="str">
        <f>_xll.RssMarket(A270,"後場始値")</f>
        <v>表示銘柄数超過</v>
      </c>
      <c r="S270" s="25" t="str">
        <f t="shared" si="28"/>
        <v>-</v>
      </c>
      <c r="T270" s="7" t="str">
        <f>_xll.RssMarket(A270,"出来高加重平均")</f>
        <v>表示銘柄数超過</v>
      </c>
      <c r="U270" s="4" t="e">
        <f t="shared" si="29"/>
        <v>#VALUE!</v>
      </c>
      <c r="V270" s="21" t="str">
        <f>_xll.RssMarket(A270,"出来高")</f>
        <v>表示銘柄数超過</v>
      </c>
      <c r="W270" s="21" t="str">
        <f>_xll.RssMarket(A270,"売買代金")</f>
        <v>表示銘柄数超過</v>
      </c>
      <c r="X270" s="20" t="str">
        <f>_xll.RssMarket(A270,"決算発表日")</f>
        <v>表示銘柄数超過</v>
      </c>
      <c r="Y270" s="26" t="str">
        <f>IF(C270&gt;_xll.RssMarket(A270,"年初来高値"),"○","×")</f>
        <v>×</v>
      </c>
      <c r="Z270" s="27" t="str">
        <f>IF(C270&lt;=_xll.RssMarket(A270,"年初来安値"),"○","×")</f>
        <v>○</v>
      </c>
    </row>
    <row r="271" spans="1:26" x14ac:dyDescent="0.25">
      <c r="A271" s="49">
        <v>3288</v>
      </c>
      <c r="B271" s="20" t="str">
        <f>_xll.RssMarket(A271,"銘柄名称")</f>
        <v>表示銘柄数超過</v>
      </c>
      <c r="C271" s="21" t="str">
        <f>_xll.RssMarket(A271,"現在値")</f>
        <v>表示銘柄数超過</v>
      </c>
      <c r="D271" s="20" t="str">
        <f>_xll.RssMarket(A271,"現在値詳細時刻")</f>
        <v>表示銘柄数超過</v>
      </c>
      <c r="E271" s="22" t="str">
        <f>_xll.RssMarket(A271,"前日比")</f>
        <v>表示銘柄数超過</v>
      </c>
      <c r="F271" s="23" t="e">
        <f>_xll.RssMarket(A271,"前日比率")/100</f>
        <v>#VALUE!</v>
      </c>
      <c r="G271" s="24" t="str">
        <f>IFERROR(VLOOKUP(A271,取得元!$A$2:$F$501,2,FALSE),"-")</f>
        <v>-</v>
      </c>
      <c r="H271" s="24" t="str">
        <f>IFERROR(VLOOKUP(A271,取得元!$A$2:$F$501,3,FALSE),"-")</f>
        <v>-</v>
      </c>
      <c r="I271" s="24" t="str">
        <f>IFERROR(VLOOKUP(A271,取得元!$A$2:$F$501,4,FALSE),"-")</f>
        <v>-</v>
      </c>
      <c r="J271" s="5" t="str">
        <f>IFERROR(VLOOKUP(A271,取得元!$A$2:$F$501,5,FALSE),"-")</f>
        <v>-</v>
      </c>
      <c r="K271" s="25" t="str">
        <f>IFERROR(VLOOKUP(A271,取得元!$A$2:$F$501,6,FALSE)/100,"-")</f>
        <v>-</v>
      </c>
      <c r="L271" s="21" t="str">
        <f>_xll.RssMarket(A271,"始値")</f>
        <v>表示銘柄数超過</v>
      </c>
      <c r="M271" s="4" t="e">
        <f t="shared" si="25"/>
        <v>#VALUE!</v>
      </c>
      <c r="N271" s="21" t="str">
        <f>_xll.RssMarket(A271,"高値")</f>
        <v>表示銘柄数超過</v>
      </c>
      <c r="O271" s="4" t="e">
        <f t="shared" si="26"/>
        <v>#VALUE!</v>
      </c>
      <c r="P271" s="21" t="str">
        <f>_xll.RssMarket(A271,"安値")</f>
        <v>表示銘柄数超過</v>
      </c>
      <c r="Q271" s="4" t="e">
        <f t="shared" si="27"/>
        <v>#VALUE!</v>
      </c>
      <c r="R271" s="21" t="str">
        <f>_xll.RssMarket(A271,"後場始値")</f>
        <v>表示銘柄数超過</v>
      </c>
      <c r="S271" s="25" t="str">
        <f t="shared" si="28"/>
        <v>-</v>
      </c>
      <c r="T271" s="7" t="str">
        <f>_xll.RssMarket(A271,"出来高加重平均")</f>
        <v>表示銘柄数超過</v>
      </c>
      <c r="U271" s="4" t="e">
        <f t="shared" si="29"/>
        <v>#VALUE!</v>
      </c>
      <c r="V271" s="21" t="str">
        <f>_xll.RssMarket(A271,"出来高")</f>
        <v>表示銘柄数超過</v>
      </c>
      <c r="W271" s="21" t="str">
        <f>_xll.RssMarket(A271,"売買代金")</f>
        <v>表示銘柄数超過</v>
      </c>
      <c r="X271" s="20" t="str">
        <f>_xll.RssMarket(A271,"決算発表日")</f>
        <v>表示銘柄数超過</v>
      </c>
      <c r="Y271" s="26" t="str">
        <f>IF(C271&gt;_xll.RssMarket(A271,"年初来高値"),"○","×")</f>
        <v>×</v>
      </c>
      <c r="Z271" s="27" t="str">
        <f>IF(C271&lt;=_xll.RssMarket(A271,"年初来安値"),"○","×")</f>
        <v>○</v>
      </c>
    </row>
    <row r="272" spans="1:26" x14ac:dyDescent="0.25">
      <c r="A272" s="47">
        <v>3289</v>
      </c>
      <c r="B272" s="20" t="str">
        <f>_xll.RssMarket(A272,"銘柄名称")</f>
        <v>表示銘柄数超過</v>
      </c>
      <c r="C272" s="21" t="str">
        <f>_xll.RssMarket(A272,"現在値")</f>
        <v>表示銘柄数超過</v>
      </c>
      <c r="D272" s="20" t="str">
        <f>_xll.RssMarket(A272,"現在値詳細時刻")</f>
        <v>表示銘柄数超過</v>
      </c>
      <c r="E272" s="22" t="str">
        <f>_xll.RssMarket(A272,"前日比")</f>
        <v>表示銘柄数超過</v>
      </c>
      <c r="F272" s="23" t="e">
        <f>_xll.RssMarket(A272,"前日比率")/100</f>
        <v>#VALUE!</v>
      </c>
      <c r="G272" s="24" t="str">
        <f>IFERROR(VLOOKUP(A272,取得元!$A$2:$F$501,2,FALSE),"-")</f>
        <v>-</v>
      </c>
      <c r="H272" s="24" t="str">
        <f>IFERROR(VLOOKUP(A272,取得元!$A$2:$F$501,3,FALSE),"-")</f>
        <v>-</v>
      </c>
      <c r="I272" s="24" t="str">
        <f>IFERROR(VLOOKUP(A272,取得元!$A$2:$F$501,4,FALSE),"-")</f>
        <v>-</v>
      </c>
      <c r="J272" s="5" t="str">
        <f>IFERROR(VLOOKUP(A272,取得元!$A$2:$F$501,5,FALSE),"-")</f>
        <v>-</v>
      </c>
      <c r="K272" s="25" t="str">
        <f>IFERROR(VLOOKUP(A272,取得元!$A$2:$F$501,6,FALSE)/100,"-")</f>
        <v>-</v>
      </c>
      <c r="L272" s="21" t="str">
        <f>_xll.RssMarket(A272,"始値")</f>
        <v>表示銘柄数超過</v>
      </c>
      <c r="M272" s="4" t="e">
        <f t="shared" si="25"/>
        <v>#VALUE!</v>
      </c>
      <c r="N272" s="21" t="str">
        <f>_xll.RssMarket(A272,"高値")</f>
        <v>表示銘柄数超過</v>
      </c>
      <c r="O272" s="4" t="e">
        <f t="shared" si="26"/>
        <v>#VALUE!</v>
      </c>
      <c r="P272" s="21" t="str">
        <f>_xll.RssMarket(A272,"安値")</f>
        <v>表示銘柄数超過</v>
      </c>
      <c r="Q272" s="4" t="e">
        <f t="shared" si="27"/>
        <v>#VALUE!</v>
      </c>
      <c r="R272" s="21" t="str">
        <f>_xll.RssMarket(A272,"後場始値")</f>
        <v>表示銘柄数超過</v>
      </c>
      <c r="S272" s="25" t="str">
        <f t="shared" si="28"/>
        <v>-</v>
      </c>
      <c r="T272" s="7" t="str">
        <f>_xll.RssMarket(A272,"出来高加重平均")</f>
        <v>表示銘柄数超過</v>
      </c>
      <c r="U272" s="4" t="e">
        <f t="shared" si="29"/>
        <v>#VALUE!</v>
      </c>
      <c r="V272" s="21" t="str">
        <f>_xll.RssMarket(A272,"出来高")</f>
        <v>表示銘柄数超過</v>
      </c>
      <c r="W272" s="21" t="str">
        <f>_xll.RssMarket(A272,"売買代金")</f>
        <v>表示銘柄数超過</v>
      </c>
      <c r="X272" s="20" t="str">
        <f>_xll.RssMarket(A272,"決算発表日")</f>
        <v>表示銘柄数超過</v>
      </c>
      <c r="Y272" s="26" t="str">
        <f>IF(C272&gt;_xll.RssMarket(A272,"年初来高値"),"○","×")</f>
        <v>×</v>
      </c>
      <c r="Z272" s="27" t="str">
        <f>IF(C272&lt;=_xll.RssMarket(A272,"年初来安値"),"○","×")</f>
        <v>○</v>
      </c>
    </row>
    <row r="273" spans="1:26" x14ac:dyDescent="0.25">
      <c r="A273" s="49">
        <v>3297</v>
      </c>
      <c r="B273" s="20" t="str">
        <f>_xll.RssMarket(A273,"銘柄名称")</f>
        <v>表示銘柄数超過</v>
      </c>
      <c r="C273" s="21" t="str">
        <f>_xll.RssMarket(A273,"現在値")</f>
        <v>表示銘柄数超過</v>
      </c>
      <c r="D273" s="20" t="str">
        <f>_xll.RssMarket(A273,"現在値詳細時刻")</f>
        <v>表示銘柄数超過</v>
      </c>
      <c r="E273" s="22" t="str">
        <f>_xll.RssMarket(A273,"前日比")</f>
        <v>表示銘柄数超過</v>
      </c>
      <c r="F273" s="23" t="e">
        <f>_xll.RssMarket(A273,"前日比率")/100</f>
        <v>#VALUE!</v>
      </c>
      <c r="G273" s="24" t="str">
        <f>IFERROR(VLOOKUP(A273,取得元!$A$2:$F$501,2,FALSE),"-")</f>
        <v>-</v>
      </c>
      <c r="H273" s="24" t="str">
        <f>IFERROR(VLOOKUP(A273,取得元!$A$2:$F$501,3,FALSE),"-")</f>
        <v>-</v>
      </c>
      <c r="I273" s="24" t="str">
        <f>IFERROR(VLOOKUP(A273,取得元!$A$2:$F$501,4,FALSE),"-")</f>
        <v>-</v>
      </c>
      <c r="J273" s="5" t="str">
        <f>IFERROR(VLOOKUP(A273,取得元!$A$2:$F$501,5,FALSE),"-")</f>
        <v>-</v>
      </c>
      <c r="K273" s="25" t="str">
        <f>IFERROR(VLOOKUP(A273,取得元!$A$2:$F$501,6,FALSE)/100,"-")</f>
        <v>-</v>
      </c>
      <c r="L273" s="21" t="str">
        <f>_xll.RssMarket(A273,"始値")</f>
        <v>表示銘柄数超過</v>
      </c>
      <c r="M273" s="4" t="e">
        <f t="shared" si="25"/>
        <v>#VALUE!</v>
      </c>
      <c r="N273" s="21" t="str">
        <f>_xll.RssMarket(A273,"高値")</f>
        <v>表示銘柄数超過</v>
      </c>
      <c r="O273" s="4" t="e">
        <f t="shared" si="26"/>
        <v>#VALUE!</v>
      </c>
      <c r="P273" s="21" t="str">
        <f>_xll.RssMarket(A273,"安値")</f>
        <v>表示銘柄数超過</v>
      </c>
      <c r="Q273" s="4" t="e">
        <f t="shared" si="27"/>
        <v>#VALUE!</v>
      </c>
      <c r="R273" s="21" t="str">
        <f>_xll.RssMarket(A273,"後場始値")</f>
        <v>表示銘柄数超過</v>
      </c>
      <c r="S273" s="25" t="str">
        <f t="shared" si="28"/>
        <v>-</v>
      </c>
      <c r="T273" s="7" t="str">
        <f>_xll.RssMarket(A273,"出来高加重平均")</f>
        <v>表示銘柄数超過</v>
      </c>
      <c r="U273" s="4" t="e">
        <f t="shared" si="29"/>
        <v>#VALUE!</v>
      </c>
      <c r="V273" s="21" t="str">
        <f>_xll.RssMarket(A273,"出来高")</f>
        <v>表示銘柄数超過</v>
      </c>
      <c r="W273" s="21" t="str">
        <f>_xll.RssMarket(A273,"売買代金")</f>
        <v>表示銘柄数超過</v>
      </c>
      <c r="X273" s="20" t="str">
        <f>_xll.RssMarket(A273,"決算発表日")</f>
        <v>表示銘柄数超過</v>
      </c>
      <c r="Y273" s="26" t="str">
        <f>IF(C273&gt;_xll.RssMarket(A273,"年初来高値"),"○","×")</f>
        <v>×</v>
      </c>
      <c r="Z273" s="27" t="str">
        <f>IF(C273&lt;=_xll.RssMarket(A273,"年初来安値"),"○","×")</f>
        <v>○</v>
      </c>
    </row>
    <row r="274" spans="1:26" x14ac:dyDescent="0.25">
      <c r="A274" s="47">
        <v>3299</v>
      </c>
      <c r="B274" s="20" t="str">
        <f>_xll.RssMarket(A274,"銘柄名称")</f>
        <v>表示銘柄数超過</v>
      </c>
      <c r="C274" s="21" t="str">
        <f>_xll.RssMarket(A274,"現在値")</f>
        <v>表示銘柄数超過</v>
      </c>
      <c r="D274" s="20" t="str">
        <f>_xll.RssMarket(A274,"現在値詳細時刻")</f>
        <v>表示銘柄数超過</v>
      </c>
      <c r="E274" s="22" t="str">
        <f>_xll.RssMarket(A274,"前日比")</f>
        <v>表示銘柄数超過</v>
      </c>
      <c r="F274" s="23" t="e">
        <f>_xll.RssMarket(A274,"前日比率")/100</f>
        <v>#VALUE!</v>
      </c>
      <c r="G274" s="24" t="str">
        <f>IFERROR(VLOOKUP(A274,取得元!$A$2:$F$501,2,FALSE),"-")</f>
        <v>-</v>
      </c>
      <c r="H274" s="24" t="str">
        <f>IFERROR(VLOOKUP(A274,取得元!$A$2:$F$501,3,FALSE),"-")</f>
        <v>-</v>
      </c>
      <c r="I274" s="24" t="str">
        <f>IFERROR(VLOOKUP(A274,取得元!$A$2:$F$501,4,FALSE),"-")</f>
        <v>-</v>
      </c>
      <c r="J274" s="5" t="str">
        <f>IFERROR(VLOOKUP(A274,取得元!$A$2:$F$501,5,FALSE),"-")</f>
        <v>-</v>
      </c>
      <c r="K274" s="25" t="str">
        <f>IFERROR(VLOOKUP(A274,取得元!$A$2:$F$501,6,FALSE)/100,"-")</f>
        <v>-</v>
      </c>
      <c r="L274" s="21" t="str">
        <f>_xll.RssMarket(A274,"始値")</f>
        <v>表示銘柄数超過</v>
      </c>
      <c r="M274" s="4" t="e">
        <f t="shared" si="25"/>
        <v>#VALUE!</v>
      </c>
      <c r="N274" s="21" t="str">
        <f>_xll.RssMarket(A274,"高値")</f>
        <v>表示銘柄数超過</v>
      </c>
      <c r="O274" s="4" t="e">
        <f t="shared" si="26"/>
        <v>#VALUE!</v>
      </c>
      <c r="P274" s="21" t="str">
        <f>_xll.RssMarket(A274,"安値")</f>
        <v>表示銘柄数超過</v>
      </c>
      <c r="Q274" s="4" t="e">
        <f t="shared" si="27"/>
        <v>#VALUE!</v>
      </c>
      <c r="R274" s="21" t="str">
        <f>_xll.RssMarket(A274,"後場始値")</f>
        <v>表示銘柄数超過</v>
      </c>
      <c r="S274" s="25" t="str">
        <f t="shared" si="28"/>
        <v>-</v>
      </c>
      <c r="T274" s="7" t="str">
        <f>_xll.RssMarket(A274,"出来高加重平均")</f>
        <v>表示銘柄数超過</v>
      </c>
      <c r="U274" s="4" t="e">
        <f t="shared" si="29"/>
        <v>#VALUE!</v>
      </c>
      <c r="V274" s="21" t="str">
        <f>_xll.RssMarket(A274,"出来高")</f>
        <v>表示銘柄数超過</v>
      </c>
      <c r="W274" s="21" t="str">
        <f>_xll.RssMarket(A274,"売買代金")</f>
        <v>表示銘柄数超過</v>
      </c>
      <c r="X274" s="20" t="str">
        <f>_xll.RssMarket(A274,"決算発表日")</f>
        <v>表示銘柄数超過</v>
      </c>
      <c r="Y274" s="26" t="str">
        <f>IF(C274&gt;_xll.RssMarket(A274,"年初来高値"),"○","×")</f>
        <v>×</v>
      </c>
      <c r="Z274" s="27" t="str">
        <f>IF(C274&lt;=_xll.RssMarket(A274,"年初来安値"),"○","×")</f>
        <v>○</v>
      </c>
    </row>
    <row r="275" spans="1:26" x14ac:dyDescent="0.25">
      <c r="A275" s="49">
        <v>3300</v>
      </c>
      <c r="B275" s="20" t="str">
        <f>_xll.RssMarket(A275,"銘柄名称")</f>
        <v>表示銘柄数超過</v>
      </c>
      <c r="C275" s="21" t="str">
        <f>_xll.RssMarket(A275,"現在値")</f>
        <v>表示銘柄数超過</v>
      </c>
      <c r="D275" s="20" t="str">
        <f>_xll.RssMarket(A275,"現在値詳細時刻")</f>
        <v>表示銘柄数超過</v>
      </c>
      <c r="E275" s="22" t="str">
        <f>_xll.RssMarket(A275,"前日比")</f>
        <v>表示銘柄数超過</v>
      </c>
      <c r="F275" s="23" t="e">
        <f>_xll.RssMarket(A275,"前日比率")/100</f>
        <v>#VALUE!</v>
      </c>
      <c r="G275" s="24" t="str">
        <f>IFERROR(VLOOKUP(A275,取得元!$A$2:$F$501,2,FALSE),"-")</f>
        <v>-</v>
      </c>
      <c r="H275" s="24" t="str">
        <f>IFERROR(VLOOKUP(A275,取得元!$A$2:$F$501,3,FALSE),"-")</f>
        <v>-</v>
      </c>
      <c r="I275" s="24" t="str">
        <f>IFERROR(VLOOKUP(A275,取得元!$A$2:$F$501,4,FALSE),"-")</f>
        <v>-</v>
      </c>
      <c r="J275" s="5" t="str">
        <f>IFERROR(VLOOKUP(A275,取得元!$A$2:$F$501,5,FALSE),"-")</f>
        <v>-</v>
      </c>
      <c r="K275" s="25" t="str">
        <f>IFERROR(VLOOKUP(A275,取得元!$A$2:$F$501,6,FALSE)/100,"-")</f>
        <v>-</v>
      </c>
      <c r="L275" s="21" t="str">
        <f>_xll.RssMarket(A275,"始値")</f>
        <v>表示銘柄数超過</v>
      </c>
      <c r="M275" s="4" t="e">
        <f t="shared" si="25"/>
        <v>#VALUE!</v>
      </c>
      <c r="N275" s="21" t="str">
        <f>_xll.RssMarket(A275,"高値")</f>
        <v>表示銘柄数超過</v>
      </c>
      <c r="O275" s="4" t="e">
        <f t="shared" si="26"/>
        <v>#VALUE!</v>
      </c>
      <c r="P275" s="21" t="str">
        <f>_xll.RssMarket(A275,"安値")</f>
        <v>表示銘柄数超過</v>
      </c>
      <c r="Q275" s="4" t="e">
        <f t="shared" si="27"/>
        <v>#VALUE!</v>
      </c>
      <c r="R275" s="21" t="str">
        <f>_xll.RssMarket(A275,"後場始値")</f>
        <v>表示銘柄数超過</v>
      </c>
      <c r="S275" s="25" t="str">
        <f t="shared" si="28"/>
        <v>-</v>
      </c>
      <c r="T275" s="7" t="str">
        <f>_xll.RssMarket(A275,"出来高加重平均")</f>
        <v>表示銘柄数超過</v>
      </c>
      <c r="U275" s="4" t="e">
        <f t="shared" si="29"/>
        <v>#VALUE!</v>
      </c>
      <c r="V275" s="21" t="str">
        <f>_xll.RssMarket(A275,"出来高")</f>
        <v>表示銘柄数超過</v>
      </c>
      <c r="W275" s="21" t="str">
        <f>_xll.RssMarket(A275,"売買代金")</f>
        <v>表示銘柄数超過</v>
      </c>
      <c r="X275" s="20" t="str">
        <f>_xll.RssMarket(A275,"決算発表日")</f>
        <v>表示銘柄数超過</v>
      </c>
      <c r="Y275" s="26" t="str">
        <f>IF(C275&gt;_xll.RssMarket(A275,"年初来高値"),"○","×")</f>
        <v>×</v>
      </c>
      <c r="Z275" s="27" t="str">
        <f>IF(C275&lt;=_xll.RssMarket(A275,"年初来安値"),"○","×")</f>
        <v>○</v>
      </c>
    </row>
    <row r="276" spans="1:26" x14ac:dyDescent="0.25">
      <c r="A276" s="47">
        <v>3315</v>
      </c>
      <c r="B276" s="20" t="str">
        <f>_xll.RssMarket(A276,"銘柄名称")</f>
        <v>表示銘柄数超過</v>
      </c>
      <c r="C276" s="21" t="str">
        <f>_xll.RssMarket(A276,"現在値")</f>
        <v>表示銘柄数超過</v>
      </c>
      <c r="D276" s="20" t="str">
        <f>_xll.RssMarket(A276,"現在値詳細時刻")</f>
        <v>表示銘柄数超過</v>
      </c>
      <c r="E276" s="22" t="str">
        <f>_xll.RssMarket(A276,"前日比")</f>
        <v>表示銘柄数超過</v>
      </c>
      <c r="F276" s="23" t="e">
        <f>_xll.RssMarket(A276,"前日比率")/100</f>
        <v>#VALUE!</v>
      </c>
      <c r="G276" s="24" t="str">
        <f>IFERROR(VLOOKUP(A276,取得元!$A$2:$F$501,2,FALSE),"-")</f>
        <v>-</v>
      </c>
      <c r="H276" s="24" t="str">
        <f>IFERROR(VLOOKUP(A276,取得元!$A$2:$F$501,3,FALSE),"-")</f>
        <v>-</v>
      </c>
      <c r="I276" s="24" t="str">
        <f>IFERROR(VLOOKUP(A276,取得元!$A$2:$F$501,4,FALSE),"-")</f>
        <v>-</v>
      </c>
      <c r="J276" s="5" t="str">
        <f>IFERROR(VLOOKUP(A276,取得元!$A$2:$F$501,5,FALSE),"-")</f>
        <v>-</v>
      </c>
      <c r="K276" s="25" t="str">
        <f>IFERROR(VLOOKUP(A276,取得元!$A$2:$F$501,6,FALSE)/100,"-")</f>
        <v>-</v>
      </c>
      <c r="L276" s="21" t="str">
        <f>_xll.RssMarket(A276,"始値")</f>
        <v>表示銘柄数超過</v>
      </c>
      <c r="M276" s="4" t="e">
        <f t="shared" si="25"/>
        <v>#VALUE!</v>
      </c>
      <c r="N276" s="21" t="str">
        <f>_xll.RssMarket(A276,"高値")</f>
        <v>表示銘柄数超過</v>
      </c>
      <c r="O276" s="4" t="e">
        <f t="shared" si="26"/>
        <v>#VALUE!</v>
      </c>
      <c r="P276" s="21" t="str">
        <f>_xll.RssMarket(A276,"安値")</f>
        <v>表示銘柄数超過</v>
      </c>
      <c r="Q276" s="4" t="e">
        <f t="shared" si="27"/>
        <v>#VALUE!</v>
      </c>
      <c r="R276" s="21" t="str">
        <f>_xll.RssMarket(A276,"後場始値")</f>
        <v>表示銘柄数超過</v>
      </c>
      <c r="S276" s="25" t="str">
        <f t="shared" si="28"/>
        <v>-</v>
      </c>
      <c r="T276" s="7" t="str">
        <f>_xll.RssMarket(A276,"出来高加重平均")</f>
        <v>表示銘柄数超過</v>
      </c>
      <c r="U276" s="4" t="e">
        <f t="shared" si="29"/>
        <v>#VALUE!</v>
      </c>
      <c r="V276" s="21" t="str">
        <f>_xll.RssMarket(A276,"出来高")</f>
        <v>表示銘柄数超過</v>
      </c>
      <c r="W276" s="21" t="str">
        <f>_xll.RssMarket(A276,"売買代金")</f>
        <v>表示銘柄数超過</v>
      </c>
      <c r="X276" s="20" t="str">
        <f>_xll.RssMarket(A276,"決算発表日")</f>
        <v>表示銘柄数超過</v>
      </c>
      <c r="Y276" s="26" t="str">
        <f>IF(C276&gt;_xll.RssMarket(A276,"年初来高値"),"○","×")</f>
        <v>×</v>
      </c>
      <c r="Z276" s="27" t="str">
        <f>IF(C276&lt;=_xll.RssMarket(A276,"年初来安値"),"○","×")</f>
        <v>○</v>
      </c>
    </row>
    <row r="277" spans="1:26" x14ac:dyDescent="0.25">
      <c r="A277" s="49">
        <v>3316</v>
      </c>
      <c r="B277" s="20" t="str">
        <f>_xll.RssMarket(A277,"銘柄名称")</f>
        <v>表示銘柄数超過</v>
      </c>
      <c r="C277" s="21" t="str">
        <f>_xll.RssMarket(A277,"現在値")</f>
        <v>表示銘柄数超過</v>
      </c>
      <c r="D277" s="20" t="str">
        <f>_xll.RssMarket(A277,"現在値詳細時刻")</f>
        <v>表示銘柄数超過</v>
      </c>
      <c r="E277" s="22" t="str">
        <f>_xll.RssMarket(A277,"前日比")</f>
        <v>表示銘柄数超過</v>
      </c>
      <c r="F277" s="23" t="e">
        <f>_xll.RssMarket(A277,"前日比率")/100</f>
        <v>#VALUE!</v>
      </c>
      <c r="G277" s="24" t="str">
        <f>IFERROR(VLOOKUP(A277,取得元!$A$2:$F$501,2,FALSE),"-")</f>
        <v>-</v>
      </c>
      <c r="H277" s="24" t="str">
        <f>IFERROR(VLOOKUP(A277,取得元!$A$2:$F$501,3,FALSE),"-")</f>
        <v>-</v>
      </c>
      <c r="I277" s="24" t="str">
        <f>IFERROR(VLOOKUP(A277,取得元!$A$2:$F$501,4,FALSE),"-")</f>
        <v>-</v>
      </c>
      <c r="J277" s="5" t="str">
        <f>IFERROR(VLOOKUP(A277,取得元!$A$2:$F$501,5,FALSE),"-")</f>
        <v>-</v>
      </c>
      <c r="K277" s="25" t="str">
        <f>IFERROR(VLOOKUP(A277,取得元!$A$2:$F$501,6,FALSE)/100,"-")</f>
        <v>-</v>
      </c>
      <c r="L277" s="21" t="str">
        <f>_xll.RssMarket(A277,"始値")</f>
        <v>表示銘柄数超過</v>
      </c>
      <c r="M277" s="4" t="e">
        <f t="shared" si="25"/>
        <v>#VALUE!</v>
      </c>
      <c r="N277" s="21" t="str">
        <f>_xll.RssMarket(A277,"高値")</f>
        <v>表示銘柄数超過</v>
      </c>
      <c r="O277" s="4" t="e">
        <f t="shared" si="26"/>
        <v>#VALUE!</v>
      </c>
      <c r="P277" s="21" t="str">
        <f>_xll.RssMarket(A277,"安値")</f>
        <v>表示銘柄数超過</v>
      </c>
      <c r="Q277" s="4" t="e">
        <f t="shared" si="27"/>
        <v>#VALUE!</v>
      </c>
      <c r="R277" s="21" t="str">
        <f>_xll.RssMarket(A277,"後場始値")</f>
        <v>表示銘柄数超過</v>
      </c>
      <c r="S277" s="25" t="str">
        <f t="shared" si="28"/>
        <v>-</v>
      </c>
      <c r="T277" s="7" t="str">
        <f>_xll.RssMarket(A277,"出来高加重平均")</f>
        <v>表示銘柄数超過</v>
      </c>
      <c r="U277" s="4" t="e">
        <f t="shared" si="29"/>
        <v>#VALUE!</v>
      </c>
      <c r="V277" s="21" t="str">
        <f>_xll.RssMarket(A277,"出来高")</f>
        <v>表示銘柄数超過</v>
      </c>
      <c r="W277" s="21" t="str">
        <f>_xll.RssMarket(A277,"売買代金")</f>
        <v>表示銘柄数超過</v>
      </c>
      <c r="X277" s="20" t="str">
        <f>_xll.RssMarket(A277,"決算発表日")</f>
        <v>表示銘柄数超過</v>
      </c>
      <c r="Y277" s="26" t="str">
        <f>IF(C277&gt;_xll.RssMarket(A277,"年初来高値"),"○","×")</f>
        <v>×</v>
      </c>
      <c r="Z277" s="27" t="str">
        <f>IF(C277&lt;=_xll.RssMarket(A277,"年初来安値"),"○","×")</f>
        <v>○</v>
      </c>
    </row>
    <row r="278" spans="1:26" x14ac:dyDescent="0.25">
      <c r="A278" s="47">
        <v>3323</v>
      </c>
      <c r="B278" s="20" t="str">
        <f>_xll.RssMarket(A278,"銘柄名称")</f>
        <v>表示銘柄数超過</v>
      </c>
      <c r="C278" s="21" t="str">
        <f>_xll.RssMarket(A278,"現在値")</f>
        <v>表示銘柄数超過</v>
      </c>
      <c r="D278" s="20" t="str">
        <f>_xll.RssMarket(A278,"現在値詳細時刻")</f>
        <v>表示銘柄数超過</v>
      </c>
      <c r="E278" s="22" t="str">
        <f>_xll.RssMarket(A278,"前日比")</f>
        <v>表示銘柄数超過</v>
      </c>
      <c r="F278" s="23" t="e">
        <f>_xll.RssMarket(A278,"前日比率")/100</f>
        <v>#VALUE!</v>
      </c>
      <c r="G278" s="24" t="str">
        <f>IFERROR(VLOOKUP(A278,取得元!$A$2:$F$501,2,FALSE),"-")</f>
        <v>-</v>
      </c>
      <c r="H278" s="24" t="str">
        <f>IFERROR(VLOOKUP(A278,取得元!$A$2:$F$501,3,FALSE),"-")</f>
        <v>-</v>
      </c>
      <c r="I278" s="24" t="str">
        <f>IFERROR(VLOOKUP(A278,取得元!$A$2:$F$501,4,FALSE),"-")</f>
        <v>-</v>
      </c>
      <c r="J278" s="5" t="str">
        <f>IFERROR(VLOOKUP(A278,取得元!$A$2:$F$501,5,FALSE),"-")</f>
        <v>-</v>
      </c>
      <c r="K278" s="25" t="str">
        <f>IFERROR(VLOOKUP(A278,取得元!$A$2:$F$501,6,FALSE)/100,"-")</f>
        <v>-</v>
      </c>
      <c r="L278" s="21" t="str">
        <f>_xll.RssMarket(A278,"始値")</f>
        <v>表示銘柄数超過</v>
      </c>
      <c r="M278" s="4" t="e">
        <f t="shared" si="25"/>
        <v>#VALUE!</v>
      </c>
      <c r="N278" s="21" t="str">
        <f>_xll.RssMarket(A278,"高値")</f>
        <v>表示銘柄数超過</v>
      </c>
      <c r="O278" s="4" t="e">
        <f t="shared" si="26"/>
        <v>#VALUE!</v>
      </c>
      <c r="P278" s="21" t="str">
        <f>_xll.RssMarket(A278,"安値")</f>
        <v>表示銘柄数超過</v>
      </c>
      <c r="Q278" s="4" t="e">
        <f t="shared" si="27"/>
        <v>#VALUE!</v>
      </c>
      <c r="R278" s="21" t="str">
        <f>_xll.RssMarket(A278,"後場始値")</f>
        <v>表示銘柄数超過</v>
      </c>
      <c r="S278" s="25" t="str">
        <f t="shared" si="28"/>
        <v>-</v>
      </c>
      <c r="T278" s="7" t="str">
        <f>_xll.RssMarket(A278,"出来高加重平均")</f>
        <v>表示銘柄数超過</v>
      </c>
      <c r="U278" s="4" t="e">
        <f t="shared" si="29"/>
        <v>#VALUE!</v>
      </c>
      <c r="V278" s="21" t="str">
        <f>_xll.RssMarket(A278,"出来高")</f>
        <v>表示銘柄数超過</v>
      </c>
      <c r="W278" s="21" t="str">
        <f>_xll.RssMarket(A278,"売買代金")</f>
        <v>表示銘柄数超過</v>
      </c>
      <c r="X278" s="20" t="str">
        <f>_xll.RssMarket(A278,"決算発表日")</f>
        <v>表示銘柄数超過</v>
      </c>
      <c r="Y278" s="26" t="str">
        <f>IF(C278&gt;_xll.RssMarket(A278,"年初来高値"),"○","×")</f>
        <v>×</v>
      </c>
      <c r="Z278" s="27" t="str">
        <f>IF(C278&lt;=_xll.RssMarket(A278,"年初来安値"),"○","×")</f>
        <v>○</v>
      </c>
    </row>
    <row r="279" spans="1:26" x14ac:dyDescent="0.25">
      <c r="A279" s="49">
        <v>3326</v>
      </c>
      <c r="B279" s="20" t="str">
        <f>_xll.RssMarket(A279,"銘柄名称")</f>
        <v>表示銘柄数超過</v>
      </c>
      <c r="C279" s="21" t="str">
        <f>_xll.RssMarket(A279,"現在値")</f>
        <v>表示銘柄数超過</v>
      </c>
      <c r="D279" s="20" t="str">
        <f>_xll.RssMarket(A279,"現在値詳細時刻")</f>
        <v>表示銘柄数超過</v>
      </c>
      <c r="E279" s="22" t="str">
        <f>_xll.RssMarket(A279,"前日比")</f>
        <v>表示銘柄数超過</v>
      </c>
      <c r="F279" s="23" t="e">
        <f>_xll.RssMarket(A279,"前日比率")/100</f>
        <v>#VALUE!</v>
      </c>
      <c r="G279" s="24" t="str">
        <f>IFERROR(VLOOKUP(A279,取得元!$A$2:$F$501,2,FALSE),"-")</f>
        <v>-</v>
      </c>
      <c r="H279" s="24" t="str">
        <f>IFERROR(VLOOKUP(A279,取得元!$A$2:$F$501,3,FALSE),"-")</f>
        <v>-</v>
      </c>
      <c r="I279" s="24" t="str">
        <f>IFERROR(VLOOKUP(A279,取得元!$A$2:$F$501,4,FALSE),"-")</f>
        <v>-</v>
      </c>
      <c r="J279" s="5" t="str">
        <f>IFERROR(VLOOKUP(A279,取得元!$A$2:$F$501,5,FALSE),"-")</f>
        <v>-</v>
      </c>
      <c r="K279" s="25" t="str">
        <f>IFERROR(VLOOKUP(A279,取得元!$A$2:$F$501,6,FALSE)/100,"-")</f>
        <v>-</v>
      </c>
      <c r="L279" s="21" t="str">
        <f>_xll.RssMarket(A279,"始値")</f>
        <v>表示銘柄数超過</v>
      </c>
      <c r="M279" s="4" t="e">
        <f t="shared" si="25"/>
        <v>#VALUE!</v>
      </c>
      <c r="N279" s="21" t="str">
        <f>_xll.RssMarket(A279,"高値")</f>
        <v>表示銘柄数超過</v>
      </c>
      <c r="O279" s="4" t="e">
        <f t="shared" si="26"/>
        <v>#VALUE!</v>
      </c>
      <c r="P279" s="21" t="str">
        <f>_xll.RssMarket(A279,"安値")</f>
        <v>表示銘柄数超過</v>
      </c>
      <c r="Q279" s="4" t="e">
        <f t="shared" si="27"/>
        <v>#VALUE!</v>
      </c>
      <c r="R279" s="21" t="str">
        <f>_xll.RssMarket(A279,"後場始値")</f>
        <v>表示銘柄数超過</v>
      </c>
      <c r="S279" s="25" t="str">
        <f t="shared" si="28"/>
        <v>-</v>
      </c>
      <c r="T279" s="7" t="str">
        <f>_xll.RssMarket(A279,"出来高加重平均")</f>
        <v>表示銘柄数超過</v>
      </c>
      <c r="U279" s="4" t="e">
        <f t="shared" si="29"/>
        <v>#VALUE!</v>
      </c>
      <c r="V279" s="21" t="str">
        <f>_xll.RssMarket(A279,"出来高")</f>
        <v>表示銘柄数超過</v>
      </c>
      <c r="W279" s="21" t="str">
        <f>_xll.RssMarket(A279,"売買代金")</f>
        <v>表示銘柄数超過</v>
      </c>
      <c r="X279" s="20" t="str">
        <f>_xll.RssMarket(A279,"決算発表日")</f>
        <v>表示銘柄数超過</v>
      </c>
      <c r="Y279" s="26" t="str">
        <f>IF(C279&gt;_xll.RssMarket(A279,"年初来高値"),"○","×")</f>
        <v>×</v>
      </c>
      <c r="Z279" s="27" t="str">
        <f>IF(C279&lt;=_xll.RssMarket(A279,"年初来安値"),"○","×")</f>
        <v>○</v>
      </c>
    </row>
    <row r="280" spans="1:26" x14ac:dyDescent="0.25">
      <c r="A280" s="47">
        <v>3328</v>
      </c>
      <c r="B280" s="20" t="str">
        <f>_xll.RssMarket(A280,"銘柄名称")</f>
        <v>表示銘柄数超過</v>
      </c>
      <c r="C280" s="21" t="str">
        <f>_xll.RssMarket(A280,"現在値")</f>
        <v>表示銘柄数超過</v>
      </c>
      <c r="D280" s="20" t="str">
        <f>_xll.RssMarket(A280,"現在値詳細時刻")</f>
        <v>表示銘柄数超過</v>
      </c>
      <c r="E280" s="22" t="str">
        <f>_xll.RssMarket(A280,"前日比")</f>
        <v>表示銘柄数超過</v>
      </c>
      <c r="F280" s="23" t="e">
        <f>_xll.RssMarket(A280,"前日比率")/100</f>
        <v>#VALUE!</v>
      </c>
      <c r="G280" s="24" t="str">
        <f>IFERROR(VLOOKUP(A280,取得元!$A$2:$F$501,2,FALSE),"-")</f>
        <v>-</v>
      </c>
      <c r="H280" s="24" t="str">
        <f>IFERROR(VLOOKUP(A280,取得元!$A$2:$F$501,3,FALSE),"-")</f>
        <v>-</v>
      </c>
      <c r="I280" s="24" t="str">
        <f>IFERROR(VLOOKUP(A280,取得元!$A$2:$F$501,4,FALSE),"-")</f>
        <v>-</v>
      </c>
      <c r="J280" s="5" t="str">
        <f>IFERROR(VLOOKUP(A280,取得元!$A$2:$F$501,5,FALSE),"-")</f>
        <v>-</v>
      </c>
      <c r="K280" s="25" t="str">
        <f>IFERROR(VLOOKUP(A280,取得元!$A$2:$F$501,6,FALSE)/100,"-")</f>
        <v>-</v>
      </c>
      <c r="L280" s="21" t="str">
        <f>_xll.RssMarket(A280,"始値")</f>
        <v>表示銘柄数超過</v>
      </c>
      <c r="M280" s="4" t="e">
        <f t="shared" si="25"/>
        <v>#VALUE!</v>
      </c>
      <c r="N280" s="21" t="str">
        <f>_xll.RssMarket(A280,"高値")</f>
        <v>表示銘柄数超過</v>
      </c>
      <c r="O280" s="4" t="e">
        <f t="shared" si="26"/>
        <v>#VALUE!</v>
      </c>
      <c r="P280" s="21" t="str">
        <f>_xll.RssMarket(A280,"安値")</f>
        <v>表示銘柄数超過</v>
      </c>
      <c r="Q280" s="4" t="e">
        <f t="shared" si="27"/>
        <v>#VALUE!</v>
      </c>
      <c r="R280" s="21" t="str">
        <f>_xll.RssMarket(A280,"後場始値")</f>
        <v>表示銘柄数超過</v>
      </c>
      <c r="S280" s="25" t="str">
        <f t="shared" si="28"/>
        <v>-</v>
      </c>
      <c r="T280" s="7" t="str">
        <f>_xll.RssMarket(A280,"出来高加重平均")</f>
        <v>表示銘柄数超過</v>
      </c>
      <c r="U280" s="4" t="e">
        <f t="shared" si="29"/>
        <v>#VALUE!</v>
      </c>
      <c r="V280" s="21" t="str">
        <f>_xll.RssMarket(A280,"出来高")</f>
        <v>表示銘柄数超過</v>
      </c>
      <c r="W280" s="21" t="str">
        <f>_xll.RssMarket(A280,"売買代金")</f>
        <v>表示銘柄数超過</v>
      </c>
      <c r="X280" s="20" t="str">
        <f>_xll.RssMarket(A280,"決算発表日")</f>
        <v>表示銘柄数超過</v>
      </c>
      <c r="Y280" s="26" t="str">
        <f>IF(C280&gt;_xll.RssMarket(A280,"年初来高値"),"○","×")</f>
        <v>×</v>
      </c>
      <c r="Z280" s="27" t="str">
        <f>IF(C280&lt;=_xll.RssMarket(A280,"年初来安値"),"○","×")</f>
        <v>○</v>
      </c>
    </row>
    <row r="281" spans="1:26" x14ac:dyDescent="0.25">
      <c r="A281" s="49">
        <v>3333</v>
      </c>
      <c r="B281" s="20" t="str">
        <f>_xll.RssMarket(A281,"銘柄名称")</f>
        <v>表示銘柄数超過</v>
      </c>
      <c r="C281" s="21" t="str">
        <f>_xll.RssMarket(A281,"現在値")</f>
        <v>表示銘柄数超過</v>
      </c>
      <c r="D281" s="20" t="str">
        <f>_xll.RssMarket(A281,"現在値詳細時刻")</f>
        <v>表示銘柄数超過</v>
      </c>
      <c r="E281" s="22" t="str">
        <f>_xll.RssMarket(A281,"前日比")</f>
        <v>表示銘柄数超過</v>
      </c>
      <c r="F281" s="23" t="e">
        <f>_xll.RssMarket(A281,"前日比率")/100</f>
        <v>#VALUE!</v>
      </c>
      <c r="G281" s="24" t="str">
        <f>IFERROR(VLOOKUP(A281,取得元!$A$2:$F$501,2,FALSE),"-")</f>
        <v>-</v>
      </c>
      <c r="H281" s="24" t="str">
        <f>IFERROR(VLOOKUP(A281,取得元!$A$2:$F$501,3,FALSE),"-")</f>
        <v>-</v>
      </c>
      <c r="I281" s="24" t="str">
        <f>IFERROR(VLOOKUP(A281,取得元!$A$2:$F$501,4,FALSE),"-")</f>
        <v>-</v>
      </c>
      <c r="J281" s="5" t="str">
        <f>IFERROR(VLOOKUP(A281,取得元!$A$2:$F$501,5,FALSE),"-")</f>
        <v>-</v>
      </c>
      <c r="K281" s="25" t="str">
        <f>IFERROR(VLOOKUP(A281,取得元!$A$2:$F$501,6,FALSE)/100,"-")</f>
        <v>-</v>
      </c>
      <c r="L281" s="21" t="str">
        <f>_xll.RssMarket(A281,"始値")</f>
        <v>表示銘柄数超過</v>
      </c>
      <c r="M281" s="4" t="e">
        <f t="shared" si="25"/>
        <v>#VALUE!</v>
      </c>
      <c r="N281" s="21" t="str">
        <f>_xll.RssMarket(A281,"高値")</f>
        <v>表示銘柄数超過</v>
      </c>
      <c r="O281" s="4" t="e">
        <f t="shared" si="26"/>
        <v>#VALUE!</v>
      </c>
      <c r="P281" s="21" t="str">
        <f>_xll.RssMarket(A281,"安値")</f>
        <v>表示銘柄数超過</v>
      </c>
      <c r="Q281" s="4" t="e">
        <f t="shared" si="27"/>
        <v>#VALUE!</v>
      </c>
      <c r="R281" s="21" t="str">
        <f>_xll.RssMarket(A281,"後場始値")</f>
        <v>表示銘柄数超過</v>
      </c>
      <c r="S281" s="25" t="str">
        <f t="shared" si="28"/>
        <v>-</v>
      </c>
      <c r="T281" s="7" t="str">
        <f>_xll.RssMarket(A281,"出来高加重平均")</f>
        <v>表示銘柄数超過</v>
      </c>
      <c r="U281" s="4" t="e">
        <f t="shared" si="29"/>
        <v>#VALUE!</v>
      </c>
      <c r="V281" s="21" t="str">
        <f>_xll.RssMarket(A281,"出来高")</f>
        <v>表示銘柄数超過</v>
      </c>
      <c r="W281" s="21" t="str">
        <f>_xll.RssMarket(A281,"売買代金")</f>
        <v>表示銘柄数超過</v>
      </c>
      <c r="X281" s="20" t="str">
        <f>_xll.RssMarket(A281,"決算発表日")</f>
        <v>表示銘柄数超過</v>
      </c>
      <c r="Y281" s="26" t="str">
        <f>IF(C281&gt;_xll.RssMarket(A281,"年初来高値"),"○","×")</f>
        <v>×</v>
      </c>
      <c r="Z281" s="27" t="str">
        <f>IF(C281&lt;=_xll.RssMarket(A281,"年初来安値"),"○","×")</f>
        <v>○</v>
      </c>
    </row>
    <row r="282" spans="1:26" x14ac:dyDescent="0.25">
      <c r="A282" s="47">
        <v>3341</v>
      </c>
      <c r="B282" s="20" t="str">
        <f>_xll.RssMarket(A282,"銘柄名称")</f>
        <v>表示銘柄数超過</v>
      </c>
      <c r="C282" s="21" t="str">
        <f>_xll.RssMarket(A282,"現在値")</f>
        <v>表示銘柄数超過</v>
      </c>
      <c r="D282" s="20" t="str">
        <f>_xll.RssMarket(A282,"現在値詳細時刻")</f>
        <v>表示銘柄数超過</v>
      </c>
      <c r="E282" s="22" t="str">
        <f>_xll.RssMarket(A282,"前日比")</f>
        <v>表示銘柄数超過</v>
      </c>
      <c r="F282" s="23" t="e">
        <f>_xll.RssMarket(A282,"前日比率")/100</f>
        <v>#VALUE!</v>
      </c>
      <c r="G282" s="24" t="str">
        <f>IFERROR(VLOOKUP(A282,取得元!$A$2:$F$501,2,FALSE),"-")</f>
        <v>-</v>
      </c>
      <c r="H282" s="24" t="str">
        <f>IFERROR(VLOOKUP(A282,取得元!$A$2:$F$501,3,FALSE),"-")</f>
        <v>-</v>
      </c>
      <c r="I282" s="24" t="str">
        <f>IFERROR(VLOOKUP(A282,取得元!$A$2:$F$501,4,FALSE),"-")</f>
        <v>-</v>
      </c>
      <c r="J282" s="5" t="str">
        <f>IFERROR(VLOOKUP(A282,取得元!$A$2:$F$501,5,FALSE),"-")</f>
        <v>-</v>
      </c>
      <c r="K282" s="25" t="str">
        <f>IFERROR(VLOOKUP(A282,取得元!$A$2:$F$501,6,FALSE)/100,"-")</f>
        <v>-</v>
      </c>
      <c r="L282" s="21" t="str">
        <f>_xll.RssMarket(A282,"始値")</f>
        <v>表示銘柄数超過</v>
      </c>
      <c r="M282" s="4" t="e">
        <f t="shared" si="25"/>
        <v>#VALUE!</v>
      </c>
      <c r="N282" s="21" t="str">
        <f>_xll.RssMarket(A282,"高値")</f>
        <v>表示銘柄数超過</v>
      </c>
      <c r="O282" s="4" t="e">
        <f t="shared" si="26"/>
        <v>#VALUE!</v>
      </c>
      <c r="P282" s="21" t="str">
        <f>_xll.RssMarket(A282,"安値")</f>
        <v>表示銘柄数超過</v>
      </c>
      <c r="Q282" s="4" t="e">
        <f t="shared" si="27"/>
        <v>#VALUE!</v>
      </c>
      <c r="R282" s="21" t="str">
        <f>_xll.RssMarket(A282,"後場始値")</f>
        <v>表示銘柄数超過</v>
      </c>
      <c r="S282" s="25" t="str">
        <f t="shared" si="28"/>
        <v>-</v>
      </c>
      <c r="T282" s="7" t="str">
        <f>_xll.RssMarket(A282,"出来高加重平均")</f>
        <v>表示銘柄数超過</v>
      </c>
      <c r="U282" s="4" t="e">
        <f t="shared" si="29"/>
        <v>#VALUE!</v>
      </c>
      <c r="V282" s="21" t="str">
        <f>_xll.RssMarket(A282,"出来高")</f>
        <v>表示銘柄数超過</v>
      </c>
      <c r="W282" s="21" t="str">
        <f>_xll.RssMarket(A282,"売買代金")</f>
        <v>表示銘柄数超過</v>
      </c>
      <c r="X282" s="20" t="str">
        <f>_xll.RssMarket(A282,"決算発表日")</f>
        <v>表示銘柄数超過</v>
      </c>
      <c r="Y282" s="26" t="str">
        <f>IF(C282&gt;_xll.RssMarket(A282,"年初来高値"),"○","×")</f>
        <v>×</v>
      </c>
      <c r="Z282" s="27" t="str">
        <f>IF(C282&lt;=_xll.RssMarket(A282,"年初来安値"),"○","×")</f>
        <v>○</v>
      </c>
    </row>
    <row r="283" spans="1:26" x14ac:dyDescent="0.25">
      <c r="A283" s="49">
        <v>3350</v>
      </c>
      <c r="B283" s="20" t="str">
        <f>_xll.RssMarket(A283,"銘柄名称")</f>
        <v>表示銘柄数超過</v>
      </c>
      <c r="C283" s="21" t="str">
        <f>_xll.RssMarket(A283,"現在値")</f>
        <v>表示銘柄数超過</v>
      </c>
      <c r="D283" s="20" t="str">
        <f>_xll.RssMarket(A283,"現在値詳細時刻")</f>
        <v>表示銘柄数超過</v>
      </c>
      <c r="E283" s="22" t="str">
        <f>_xll.RssMarket(A283,"前日比")</f>
        <v>表示銘柄数超過</v>
      </c>
      <c r="F283" s="23" t="e">
        <f>_xll.RssMarket(A283,"前日比率")/100</f>
        <v>#VALUE!</v>
      </c>
      <c r="G283" s="24" t="str">
        <f>IFERROR(VLOOKUP(A283,取得元!$A$2:$F$501,2,FALSE),"-")</f>
        <v>-</v>
      </c>
      <c r="H283" s="24" t="str">
        <f>IFERROR(VLOOKUP(A283,取得元!$A$2:$F$501,3,FALSE),"-")</f>
        <v>-</v>
      </c>
      <c r="I283" s="24" t="str">
        <f>IFERROR(VLOOKUP(A283,取得元!$A$2:$F$501,4,FALSE),"-")</f>
        <v>-</v>
      </c>
      <c r="J283" s="5" t="str">
        <f>IFERROR(VLOOKUP(A283,取得元!$A$2:$F$501,5,FALSE),"-")</f>
        <v>-</v>
      </c>
      <c r="K283" s="25" t="str">
        <f>IFERROR(VLOOKUP(A283,取得元!$A$2:$F$501,6,FALSE)/100,"-")</f>
        <v>-</v>
      </c>
      <c r="L283" s="21" t="str">
        <f>_xll.RssMarket(A283,"始値")</f>
        <v>表示銘柄数超過</v>
      </c>
      <c r="M283" s="4" t="e">
        <f t="shared" si="25"/>
        <v>#VALUE!</v>
      </c>
      <c r="N283" s="21" t="str">
        <f>_xll.RssMarket(A283,"高値")</f>
        <v>表示銘柄数超過</v>
      </c>
      <c r="O283" s="4" t="e">
        <f t="shared" si="26"/>
        <v>#VALUE!</v>
      </c>
      <c r="P283" s="21" t="str">
        <f>_xll.RssMarket(A283,"安値")</f>
        <v>表示銘柄数超過</v>
      </c>
      <c r="Q283" s="4" t="e">
        <f t="shared" si="27"/>
        <v>#VALUE!</v>
      </c>
      <c r="R283" s="21" t="str">
        <f>_xll.RssMarket(A283,"後場始値")</f>
        <v>表示銘柄数超過</v>
      </c>
      <c r="S283" s="25" t="str">
        <f t="shared" si="28"/>
        <v>-</v>
      </c>
      <c r="T283" s="7" t="str">
        <f>_xll.RssMarket(A283,"出来高加重平均")</f>
        <v>表示銘柄数超過</v>
      </c>
      <c r="U283" s="4" t="e">
        <f t="shared" si="29"/>
        <v>#VALUE!</v>
      </c>
      <c r="V283" s="21" t="str">
        <f>_xll.RssMarket(A283,"出来高")</f>
        <v>表示銘柄数超過</v>
      </c>
      <c r="W283" s="21" t="str">
        <f>_xll.RssMarket(A283,"売買代金")</f>
        <v>表示銘柄数超過</v>
      </c>
      <c r="X283" s="20" t="str">
        <f>_xll.RssMarket(A283,"決算発表日")</f>
        <v>表示銘柄数超過</v>
      </c>
      <c r="Y283" s="26" t="str">
        <f>IF(C283&gt;_xll.RssMarket(A283,"年初来高値"),"○","×")</f>
        <v>×</v>
      </c>
      <c r="Z283" s="27" t="str">
        <f>IF(C283&lt;=_xll.RssMarket(A283,"年初来安値"),"○","×")</f>
        <v>○</v>
      </c>
    </row>
    <row r="284" spans="1:26" x14ac:dyDescent="0.25">
      <c r="A284" s="47">
        <v>3355</v>
      </c>
      <c r="B284" s="20" t="str">
        <f>_xll.RssMarket(A284,"銘柄名称")</f>
        <v>表示銘柄数超過</v>
      </c>
      <c r="C284" s="21" t="str">
        <f>_xll.RssMarket(A284,"現在値")</f>
        <v>表示銘柄数超過</v>
      </c>
      <c r="D284" s="20" t="str">
        <f>_xll.RssMarket(A284,"現在値詳細時刻")</f>
        <v>表示銘柄数超過</v>
      </c>
      <c r="E284" s="22" t="str">
        <f>_xll.RssMarket(A284,"前日比")</f>
        <v>表示銘柄数超過</v>
      </c>
      <c r="F284" s="23" t="e">
        <f>_xll.RssMarket(A284,"前日比率")/100</f>
        <v>#VALUE!</v>
      </c>
      <c r="G284" s="24" t="str">
        <f>IFERROR(VLOOKUP(A284,取得元!$A$2:$F$501,2,FALSE),"-")</f>
        <v>-</v>
      </c>
      <c r="H284" s="24" t="str">
        <f>IFERROR(VLOOKUP(A284,取得元!$A$2:$F$501,3,FALSE),"-")</f>
        <v>-</v>
      </c>
      <c r="I284" s="24" t="str">
        <f>IFERROR(VLOOKUP(A284,取得元!$A$2:$F$501,4,FALSE),"-")</f>
        <v>-</v>
      </c>
      <c r="J284" s="5" t="str">
        <f>IFERROR(VLOOKUP(A284,取得元!$A$2:$F$501,5,FALSE),"-")</f>
        <v>-</v>
      </c>
      <c r="K284" s="25" t="str">
        <f>IFERROR(VLOOKUP(A284,取得元!$A$2:$F$501,6,FALSE)/100,"-")</f>
        <v>-</v>
      </c>
      <c r="L284" s="21" t="str">
        <f>_xll.RssMarket(A284,"始値")</f>
        <v>表示銘柄数超過</v>
      </c>
      <c r="M284" s="4" t="e">
        <f t="shared" si="25"/>
        <v>#VALUE!</v>
      </c>
      <c r="N284" s="21" t="str">
        <f>_xll.RssMarket(A284,"高値")</f>
        <v>表示銘柄数超過</v>
      </c>
      <c r="O284" s="4" t="e">
        <f t="shared" si="26"/>
        <v>#VALUE!</v>
      </c>
      <c r="P284" s="21" t="str">
        <f>_xll.RssMarket(A284,"安値")</f>
        <v>表示銘柄数超過</v>
      </c>
      <c r="Q284" s="4" t="e">
        <f t="shared" si="27"/>
        <v>#VALUE!</v>
      </c>
      <c r="R284" s="21" t="str">
        <f>_xll.RssMarket(A284,"後場始値")</f>
        <v>表示銘柄数超過</v>
      </c>
      <c r="S284" s="25" t="str">
        <f t="shared" si="28"/>
        <v>-</v>
      </c>
      <c r="T284" s="7" t="str">
        <f>_xll.RssMarket(A284,"出来高加重平均")</f>
        <v>表示銘柄数超過</v>
      </c>
      <c r="U284" s="4" t="e">
        <f t="shared" si="29"/>
        <v>#VALUE!</v>
      </c>
      <c r="V284" s="21" t="str">
        <f>_xll.RssMarket(A284,"出来高")</f>
        <v>表示銘柄数超過</v>
      </c>
      <c r="W284" s="21" t="str">
        <f>_xll.RssMarket(A284,"売買代金")</f>
        <v>表示銘柄数超過</v>
      </c>
      <c r="X284" s="20" t="str">
        <f>_xll.RssMarket(A284,"決算発表日")</f>
        <v>表示銘柄数超過</v>
      </c>
      <c r="Y284" s="26" t="str">
        <f>IF(C284&gt;_xll.RssMarket(A284,"年初来高値"),"○","×")</f>
        <v>×</v>
      </c>
      <c r="Z284" s="27" t="str">
        <f>IF(C284&lt;=_xll.RssMarket(A284,"年初来安値"),"○","×")</f>
        <v>○</v>
      </c>
    </row>
    <row r="285" spans="1:26" x14ac:dyDescent="0.25">
      <c r="A285" s="49">
        <v>3358</v>
      </c>
      <c r="B285" s="20" t="str">
        <f>_xll.RssMarket(A285,"銘柄名称")</f>
        <v>表示銘柄数超過</v>
      </c>
      <c r="C285" s="21" t="str">
        <f>_xll.RssMarket(A285,"現在値")</f>
        <v>表示銘柄数超過</v>
      </c>
      <c r="D285" s="20" t="str">
        <f>_xll.RssMarket(A285,"現在値詳細時刻")</f>
        <v>表示銘柄数超過</v>
      </c>
      <c r="E285" s="22" t="str">
        <f>_xll.RssMarket(A285,"前日比")</f>
        <v>表示銘柄数超過</v>
      </c>
      <c r="F285" s="23" t="e">
        <f>_xll.RssMarket(A285,"前日比率")/100</f>
        <v>#VALUE!</v>
      </c>
      <c r="G285" s="24" t="str">
        <f>IFERROR(VLOOKUP(A285,取得元!$A$2:$F$501,2,FALSE),"-")</f>
        <v>-</v>
      </c>
      <c r="H285" s="24" t="str">
        <f>IFERROR(VLOOKUP(A285,取得元!$A$2:$F$501,3,FALSE),"-")</f>
        <v>-</v>
      </c>
      <c r="I285" s="24" t="str">
        <f>IFERROR(VLOOKUP(A285,取得元!$A$2:$F$501,4,FALSE),"-")</f>
        <v>-</v>
      </c>
      <c r="J285" s="5" t="str">
        <f>IFERROR(VLOOKUP(A285,取得元!$A$2:$F$501,5,FALSE),"-")</f>
        <v>-</v>
      </c>
      <c r="K285" s="25" t="str">
        <f>IFERROR(VLOOKUP(A285,取得元!$A$2:$F$501,6,FALSE)/100,"-")</f>
        <v>-</v>
      </c>
      <c r="L285" s="21" t="str">
        <f>_xll.RssMarket(A285,"始値")</f>
        <v>表示銘柄数超過</v>
      </c>
      <c r="M285" s="4" t="e">
        <f t="shared" si="25"/>
        <v>#VALUE!</v>
      </c>
      <c r="N285" s="21" t="str">
        <f>_xll.RssMarket(A285,"高値")</f>
        <v>表示銘柄数超過</v>
      </c>
      <c r="O285" s="4" t="e">
        <f t="shared" si="26"/>
        <v>#VALUE!</v>
      </c>
      <c r="P285" s="21" t="str">
        <f>_xll.RssMarket(A285,"安値")</f>
        <v>表示銘柄数超過</v>
      </c>
      <c r="Q285" s="4" t="e">
        <f t="shared" si="27"/>
        <v>#VALUE!</v>
      </c>
      <c r="R285" s="21" t="str">
        <f>_xll.RssMarket(A285,"後場始値")</f>
        <v>表示銘柄数超過</v>
      </c>
      <c r="S285" s="25" t="str">
        <f t="shared" si="28"/>
        <v>-</v>
      </c>
      <c r="T285" s="7" t="str">
        <f>_xll.RssMarket(A285,"出来高加重平均")</f>
        <v>表示銘柄数超過</v>
      </c>
      <c r="U285" s="4" t="e">
        <f t="shared" si="29"/>
        <v>#VALUE!</v>
      </c>
      <c r="V285" s="21" t="str">
        <f>_xll.RssMarket(A285,"出来高")</f>
        <v>表示銘柄数超過</v>
      </c>
      <c r="W285" s="21" t="str">
        <f>_xll.RssMarket(A285,"売買代金")</f>
        <v>表示銘柄数超過</v>
      </c>
      <c r="X285" s="20" t="str">
        <f>_xll.RssMarket(A285,"決算発表日")</f>
        <v>表示銘柄数超過</v>
      </c>
      <c r="Y285" s="26" t="str">
        <f>IF(C285&gt;_xll.RssMarket(A285,"年初来高値"),"○","×")</f>
        <v>×</v>
      </c>
      <c r="Z285" s="27" t="str">
        <f>IF(C285&lt;=_xll.RssMarket(A285,"年初来安値"),"○","×")</f>
        <v>○</v>
      </c>
    </row>
    <row r="286" spans="1:26" x14ac:dyDescent="0.25">
      <c r="A286" s="47">
        <v>3359</v>
      </c>
      <c r="B286" s="20" t="str">
        <f>_xll.RssMarket(A286,"銘柄名称")</f>
        <v>表示銘柄数超過</v>
      </c>
      <c r="C286" s="21" t="str">
        <f>_xll.RssMarket(A286,"現在値")</f>
        <v>表示銘柄数超過</v>
      </c>
      <c r="D286" s="20" t="str">
        <f>_xll.RssMarket(A286,"現在値詳細時刻")</f>
        <v>表示銘柄数超過</v>
      </c>
      <c r="E286" s="22" t="str">
        <f>_xll.RssMarket(A286,"前日比")</f>
        <v>表示銘柄数超過</v>
      </c>
      <c r="F286" s="23" t="e">
        <f>_xll.RssMarket(A286,"前日比率")/100</f>
        <v>#VALUE!</v>
      </c>
      <c r="G286" s="24" t="str">
        <f>IFERROR(VLOOKUP(A286,取得元!$A$2:$F$501,2,FALSE),"-")</f>
        <v>-</v>
      </c>
      <c r="H286" s="24" t="str">
        <f>IFERROR(VLOOKUP(A286,取得元!$A$2:$F$501,3,FALSE),"-")</f>
        <v>-</v>
      </c>
      <c r="I286" s="24" t="str">
        <f>IFERROR(VLOOKUP(A286,取得元!$A$2:$F$501,4,FALSE),"-")</f>
        <v>-</v>
      </c>
      <c r="J286" s="5" t="str">
        <f>IFERROR(VLOOKUP(A286,取得元!$A$2:$F$501,5,FALSE),"-")</f>
        <v>-</v>
      </c>
      <c r="K286" s="25" t="str">
        <f>IFERROR(VLOOKUP(A286,取得元!$A$2:$F$501,6,FALSE)/100,"-")</f>
        <v>-</v>
      </c>
      <c r="L286" s="21" t="str">
        <f>_xll.RssMarket(A286,"始値")</f>
        <v>表示銘柄数超過</v>
      </c>
      <c r="M286" s="4" t="e">
        <f t="shared" si="25"/>
        <v>#VALUE!</v>
      </c>
      <c r="N286" s="21" t="str">
        <f>_xll.RssMarket(A286,"高値")</f>
        <v>表示銘柄数超過</v>
      </c>
      <c r="O286" s="4" t="e">
        <f t="shared" si="26"/>
        <v>#VALUE!</v>
      </c>
      <c r="P286" s="21" t="str">
        <f>_xll.RssMarket(A286,"安値")</f>
        <v>表示銘柄数超過</v>
      </c>
      <c r="Q286" s="4" t="e">
        <f t="shared" si="27"/>
        <v>#VALUE!</v>
      </c>
      <c r="R286" s="21" t="str">
        <f>_xll.RssMarket(A286,"後場始値")</f>
        <v>表示銘柄数超過</v>
      </c>
      <c r="S286" s="25" t="str">
        <f t="shared" si="28"/>
        <v>-</v>
      </c>
      <c r="T286" s="7" t="str">
        <f>_xll.RssMarket(A286,"出来高加重平均")</f>
        <v>表示銘柄数超過</v>
      </c>
      <c r="U286" s="4" t="e">
        <f t="shared" si="29"/>
        <v>#VALUE!</v>
      </c>
      <c r="V286" s="21" t="str">
        <f>_xll.RssMarket(A286,"出来高")</f>
        <v>表示銘柄数超過</v>
      </c>
      <c r="W286" s="21" t="str">
        <f>_xll.RssMarket(A286,"売買代金")</f>
        <v>表示銘柄数超過</v>
      </c>
      <c r="X286" s="20" t="str">
        <f>_xll.RssMarket(A286,"決算発表日")</f>
        <v>表示銘柄数超過</v>
      </c>
      <c r="Y286" s="26" t="str">
        <f>IF(C286&gt;_xll.RssMarket(A286,"年初来高値"),"○","×")</f>
        <v>×</v>
      </c>
      <c r="Z286" s="27" t="str">
        <f>IF(C286&lt;=_xll.RssMarket(A286,"年初来安値"),"○","×")</f>
        <v>○</v>
      </c>
    </row>
    <row r="287" spans="1:26" x14ac:dyDescent="0.25">
      <c r="A287" s="49">
        <v>3370</v>
      </c>
      <c r="B287" s="20" t="str">
        <f>_xll.RssMarket(A287,"銘柄名称")</f>
        <v>表示銘柄数超過</v>
      </c>
      <c r="C287" s="21" t="str">
        <f>_xll.RssMarket(A287,"現在値")</f>
        <v>表示銘柄数超過</v>
      </c>
      <c r="D287" s="20" t="str">
        <f>_xll.RssMarket(A287,"現在値詳細時刻")</f>
        <v>表示銘柄数超過</v>
      </c>
      <c r="E287" s="22" t="str">
        <f>_xll.RssMarket(A287,"前日比")</f>
        <v>表示銘柄数超過</v>
      </c>
      <c r="F287" s="23" t="e">
        <f>_xll.RssMarket(A287,"前日比率")/100</f>
        <v>#VALUE!</v>
      </c>
      <c r="G287" s="24" t="str">
        <f>IFERROR(VLOOKUP(A287,取得元!$A$2:$F$501,2,FALSE),"-")</f>
        <v>-</v>
      </c>
      <c r="H287" s="24" t="str">
        <f>IFERROR(VLOOKUP(A287,取得元!$A$2:$F$501,3,FALSE),"-")</f>
        <v>-</v>
      </c>
      <c r="I287" s="24" t="str">
        <f>IFERROR(VLOOKUP(A287,取得元!$A$2:$F$501,4,FALSE),"-")</f>
        <v>-</v>
      </c>
      <c r="J287" s="5" t="str">
        <f>IFERROR(VLOOKUP(A287,取得元!$A$2:$F$501,5,FALSE),"-")</f>
        <v>-</v>
      </c>
      <c r="K287" s="25" t="str">
        <f>IFERROR(VLOOKUP(A287,取得元!$A$2:$F$501,6,FALSE)/100,"-")</f>
        <v>-</v>
      </c>
      <c r="L287" s="21" t="str">
        <f>_xll.RssMarket(A287,"始値")</f>
        <v>表示銘柄数超過</v>
      </c>
      <c r="M287" s="4" t="e">
        <f t="shared" si="25"/>
        <v>#VALUE!</v>
      </c>
      <c r="N287" s="21" t="str">
        <f>_xll.RssMarket(A287,"高値")</f>
        <v>表示銘柄数超過</v>
      </c>
      <c r="O287" s="4" t="e">
        <f t="shared" si="26"/>
        <v>#VALUE!</v>
      </c>
      <c r="P287" s="21" t="str">
        <f>_xll.RssMarket(A287,"安値")</f>
        <v>表示銘柄数超過</v>
      </c>
      <c r="Q287" s="4" t="e">
        <f t="shared" si="27"/>
        <v>#VALUE!</v>
      </c>
      <c r="R287" s="21" t="str">
        <f>_xll.RssMarket(A287,"後場始値")</f>
        <v>表示銘柄数超過</v>
      </c>
      <c r="S287" s="25" t="str">
        <f t="shared" si="28"/>
        <v>-</v>
      </c>
      <c r="T287" s="7" t="str">
        <f>_xll.RssMarket(A287,"出来高加重平均")</f>
        <v>表示銘柄数超過</v>
      </c>
      <c r="U287" s="4" t="e">
        <f t="shared" si="29"/>
        <v>#VALUE!</v>
      </c>
      <c r="V287" s="21" t="str">
        <f>_xll.RssMarket(A287,"出来高")</f>
        <v>表示銘柄数超過</v>
      </c>
      <c r="W287" s="21" t="str">
        <f>_xll.RssMarket(A287,"売買代金")</f>
        <v>表示銘柄数超過</v>
      </c>
      <c r="X287" s="20" t="str">
        <f>_xll.RssMarket(A287,"決算発表日")</f>
        <v>表示銘柄数超過</v>
      </c>
      <c r="Y287" s="26" t="str">
        <f>IF(C287&gt;_xll.RssMarket(A287,"年初来高値"),"○","×")</f>
        <v>×</v>
      </c>
      <c r="Z287" s="27" t="str">
        <f>IF(C287&lt;=_xll.RssMarket(A287,"年初来安値"),"○","×")</f>
        <v>○</v>
      </c>
    </row>
    <row r="288" spans="1:26" x14ac:dyDescent="0.25">
      <c r="A288" s="47">
        <v>3372</v>
      </c>
      <c r="B288" s="20" t="str">
        <f>_xll.RssMarket(A288,"銘柄名称")</f>
        <v>表示銘柄数超過</v>
      </c>
      <c r="C288" s="21" t="str">
        <f>_xll.RssMarket(A288,"現在値")</f>
        <v>表示銘柄数超過</v>
      </c>
      <c r="D288" s="20" t="str">
        <f>_xll.RssMarket(A288,"現在値詳細時刻")</f>
        <v>表示銘柄数超過</v>
      </c>
      <c r="E288" s="22" t="str">
        <f>_xll.RssMarket(A288,"前日比")</f>
        <v>表示銘柄数超過</v>
      </c>
      <c r="F288" s="23" t="e">
        <f>_xll.RssMarket(A288,"前日比率")/100</f>
        <v>#VALUE!</v>
      </c>
      <c r="G288" s="24" t="str">
        <f>IFERROR(VLOOKUP(A288,取得元!$A$2:$F$501,2,FALSE),"-")</f>
        <v>-</v>
      </c>
      <c r="H288" s="24" t="str">
        <f>IFERROR(VLOOKUP(A288,取得元!$A$2:$F$501,3,FALSE),"-")</f>
        <v>-</v>
      </c>
      <c r="I288" s="24" t="str">
        <f>IFERROR(VLOOKUP(A288,取得元!$A$2:$F$501,4,FALSE),"-")</f>
        <v>-</v>
      </c>
      <c r="J288" s="5" t="str">
        <f>IFERROR(VLOOKUP(A288,取得元!$A$2:$F$501,5,FALSE),"-")</f>
        <v>-</v>
      </c>
      <c r="K288" s="25" t="str">
        <f>IFERROR(VLOOKUP(A288,取得元!$A$2:$F$501,6,FALSE)/100,"-")</f>
        <v>-</v>
      </c>
      <c r="L288" s="21" t="str">
        <f>_xll.RssMarket(A288,"始値")</f>
        <v>表示銘柄数超過</v>
      </c>
      <c r="M288" s="4" t="e">
        <f t="shared" si="25"/>
        <v>#VALUE!</v>
      </c>
      <c r="N288" s="21" t="str">
        <f>_xll.RssMarket(A288,"高値")</f>
        <v>表示銘柄数超過</v>
      </c>
      <c r="O288" s="4" t="e">
        <f t="shared" si="26"/>
        <v>#VALUE!</v>
      </c>
      <c r="P288" s="21" t="str">
        <f>_xll.RssMarket(A288,"安値")</f>
        <v>表示銘柄数超過</v>
      </c>
      <c r="Q288" s="4" t="e">
        <f t="shared" si="27"/>
        <v>#VALUE!</v>
      </c>
      <c r="R288" s="21" t="str">
        <f>_xll.RssMarket(A288,"後場始値")</f>
        <v>表示銘柄数超過</v>
      </c>
      <c r="S288" s="25" t="str">
        <f t="shared" si="28"/>
        <v>-</v>
      </c>
      <c r="T288" s="7" t="str">
        <f>_xll.RssMarket(A288,"出来高加重平均")</f>
        <v>表示銘柄数超過</v>
      </c>
      <c r="U288" s="4" t="e">
        <f t="shared" si="29"/>
        <v>#VALUE!</v>
      </c>
      <c r="V288" s="21" t="str">
        <f>_xll.RssMarket(A288,"出来高")</f>
        <v>表示銘柄数超過</v>
      </c>
      <c r="W288" s="21" t="str">
        <f>_xll.RssMarket(A288,"売買代金")</f>
        <v>表示銘柄数超過</v>
      </c>
      <c r="X288" s="20" t="str">
        <f>_xll.RssMarket(A288,"決算発表日")</f>
        <v>表示銘柄数超過</v>
      </c>
      <c r="Y288" s="26" t="str">
        <f>IF(C288&gt;_xll.RssMarket(A288,"年初来高値"),"○","×")</f>
        <v>×</v>
      </c>
      <c r="Z288" s="27" t="str">
        <f>IF(C288&lt;=_xll.RssMarket(A288,"年初来安値"),"○","×")</f>
        <v>○</v>
      </c>
    </row>
    <row r="289" spans="1:26" x14ac:dyDescent="0.25">
      <c r="A289" s="49">
        <v>3377</v>
      </c>
      <c r="B289" s="20" t="str">
        <f>_xll.RssMarket(A289,"銘柄名称")</f>
        <v>表示銘柄数超過</v>
      </c>
      <c r="C289" s="21" t="str">
        <f>_xll.RssMarket(A289,"現在値")</f>
        <v>表示銘柄数超過</v>
      </c>
      <c r="D289" s="20" t="str">
        <f>_xll.RssMarket(A289,"現在値詳細時刻")</f>
        <v>表示銘柄数超過</v>
      </c>
      <c r="E289" s="22" t="str">
        <f>_xll.RssMarket(A289,"前日比")</f>
        <v>表示銘柄数超過</v>
      </c>
      <c r="F289" s="23" t="e">
        <f>_xll.RssMarket(A289,"前日比率")/100</f>
        <v>#VALUE!</v>
      </c>
      <c r="G289" s="24" t="str">
        <f>IFERROR(VLOOKUP(A289,取得元!$A$2:$F$501,2,FALSE),"-")</f>
        <v>-</v>
      </c>
      <c r="H289" s="24" t="str">
        <f>IFERROR(VLOOKUP(A289,取得元!$A$2:$F$501,3,FALSE),"-")</f>
        <v>-</v>
      </c>
      <c r="I289" s="24" t="str">
        <f>IFERROR(VLOOKUP(A289,取得元!$A$2:$F$501,4,FALSE),"-")</f>
        <v>-</v>
      </c>
      <c r="J289" s="5" t="str">
        <f>IFERROR(VLOOKUP(A289,取得元!$A$2:$F$501,5,FALSE),"-")</f>
        <v>-</v>
      </c>
      <c r="K289" s="25" t="str">
        <f>IFERROR(VLOOKUP(A289,取得元!$A$2:$F$501,6,FALSE)/100,"-")</f>
        <v>-</v>
      </c>
      <c r="L289" s="21" t="str">
        <f>_xll.RssMarket(A289,"始値")</f>
        <v>表示銘柄数超過</v>
      </c>
      <c r="M289" s="4" t="e">
        <f t="shared" si="25"/>
        <v>#VALUE!</v>
      </c>
      <c r="N289" s="21" t="str">
        <f>_xll.RssMarket(A289,"高値")</f>
        <v>表示銘柄数超過</v>
      </c>
      <c r="O289" s="4" t="e">
        <f t="shared" si="26"/>
        <v>#VALUE!</v>
      </c>
      <c r="P289" s="21" t="str">
        <f>_xll.RssMarket(A289,"安値")</f>
        <v>表示銘柄数超過</v>
      </c>
      <c r="Q289" s="4" t="e">
        <f t="shared" si="27"/>
        <v>#VALUE!</v>
      </c>
      <c r="R289" s="21" t="str">
        <f>_xll.RssMarket(A289,"後場始値")</f>
        <v>表示銘柄数超過</v>
      </c>
      <c r="S289" s="25" t="str">
        <f t="shared" si="28"/>
        <v>-</v>
      </c>
      <c r="T289" s="7" t="str">
        <f>_xll.RssMarket(A289,"出来高加重平均")</f>
        <v>表示銘柄数超過</v>
      </c>
      <c r="U289" s="4" t="e">
        <f t="shared" si="29"/>
        <v>#VALUE!</v>
      </c>
      <c r="V289" s="21" t="str">
        <f>_xll.RssMarket(A289,"出来高")</f>
        <v>表示銘柄数超過</v>
      </c>
      <c r="W289" s="21" t="str">
        <f>_xll.RssMarket(A289,"売買代金")</f>
        <v>表示銘柄数超過</v>
      </c>
      <c r="X289" s="20" t="str">
        <f>_xll.RssMarket(A289,"決算発表日")</f>
        <v>表示銘柄数超過</v>
      </c>
      <c r="Y289" s="26" t="str">
        <f>IF(C289&gt;_xll.RssMarket(A289,"年初来高値"),"○","×")</f>
        <v>×</v>
      </c>
      <c r="Z289" s="27" t="str">
        <f>IF(C289&lt;=_xll.RssMarket(A289,"年初来安値"),"○","×")</f>
        <v>○</v>
      </c>
    </row>
    <row r="290" spans="1:26" x14ac:dyDescent="0.25">
      <c r="A290" s="47">
        <v>3382</v>
      </c>
      <c r="B290" s="20" t="str">
        <f>_xll.RssMarket(A290,"銘柄名称")</f>
        <v>表示銘柄数超過</v>
      </c>
      <c r="C290" s="21" t="str">
        <f>_xll.RssMarket(A290,"現在値")</f>
        <v>表示銘柄数超過</v>
      </c>
      <c r="D290" s="20" t="str">
        <f>_xll.RssMarket(A290,"現在値詳細時刻")</f>
        <v>表示銘柄数超過</v>
      </c>
      <c r="E290" s="22" t="str">
        <f>_xll.RssMarket(A290,"前日比")</f>
        <v>表示銘柄数超過</v>
      </c>
      <c r="F290" s="23" t="e">
        <f>_xll.RssMarket(A290,"前日比率")/100</f>
        <v>#VALUE!</v>
      </c>
      <c r="G290" s="24" t="str">
        <f>IFERROR(VLOOKUP(A290,取得元!$A$2:$F$501,2,FALSE),"-")</f>
        <v>-</v>
      </c>
      <c r="H290" s="24" t="str">
        <f>IFERROR(VLOOKUP(A290,取得元!$A$2:$F$501,3,FALSE),"-")</f>
        <v>-</v>
      </c>
      <c r="I290" s="24" t="str">
        <f>IFERROR(VLOOKUP(A290,取得元!$A$2:$F$501,4,FALSE),"-")</f>
        <v>-</v>
      </c>
      <c r="J290" s="5" t="str">
        <f>IFERROR(VLOOKUP(A290,取得元!$A$2:$F$501,5,FALSE),"-")</f>
        <v>-</v>
      </c>
      <c r="K290" s="25" t="str">
        <f>IFERROR(VLOOKUP(A290,取得元!$A$2:$F$501,6,FALSE)/100,"-")</f>
        <v>-</v>
      </c>
      <c r="L290" s="21" t="str">
        <f>_xll.RssMarket(A290,"始値")</f>
        <v>表示銘柄数超過</v>
      </c>
      <c r="M290" s="4" t="e">
        <f t="shared" si="25"/>
        <v>#VALUE!</v>
      </c>
      <c r="N290" s="21" t="str">
        <f>_xll.RssMarket(A290,"高値")</f>
        <v>表示銘柄数超過</v>
      </c>
      <c r="O290" s="4" t="e">
        <f t="shared" si="26"/>
        <v>#VALUE!</v>
      </c>
      <c r="P290" s="21" t="str">
        <f>_xll.RssMarket(A290,"安値")</f>
        <v>表示銘柄数超過</v>
      </c>
      <c r="Q290" s="4" t="e">
        <f t="shared" si="27"/>
        <v>#VALUE!</v>
      </c>
      <c r="R290" s="21" t="str">
        <f>_xll.RssMarket(A290,"後場始値")</f>
        <v>表示銘柄数超過</v>
      </c>
      <c r="S290" s="25" t="str">
        <f t="shared" si="28"/>
        <v>-</v>
      </c>
      <c r="T290" s="7" t="str">
        <f>_xll.RssMarket(A290,"出来高加重平均")</f>
        <v>表示銘柄数超過</v>
      </c>
      <c r="U290" s="4" t="e">
        <f t="shared" si="29"/>
        <v>#VALUE!</v>
      </c>
      <c r="V290" s="21" t="str">
        <f>_xll.RssMarket(A290,"出来高")</f>
        <v>表示銘柄数超過</v>
      </c>
      <c r="W290" s="21" t="str">
        <f>_xll.RssMarket(A290,"売買代金")</f>
        <v>表示銘柄数超過</v>
      </c>
      <c r="X290" s="20" t="str">
        <f>_xll.RssMarket(A290,"決算発表日")</f>
        <v>表示銘柄数超過</v>
      </c>
      <c r="Y290" s="26" t="str">
        <f>IF(C290&gt;_xll.RssMarket(A290,"年初来高値"),"○","×")</f>
        <v>×</v>
      </c>
      <c r="Z290" s="27" t="str">
        <f>IF(C290&lt;=_xll.RssMarket(A290,"年初来安値"),"○","×")</f>
        <v>○</v>
      </c>
    </row>
    <row r="291" spans="1:26" x14ac:dyDescent="0.25">
      <c r="A291" s="49">
        <v>3386</v>
      </c>
      <c r="B291" s="20" t="str">
        <f>_xll.RssMarket(A291,"銘柄名称")</f>
        <v>表示銘柄数超過</v>
      </c>
      <c r="C291" s="21" t="str">
        <f>_xll.RssMarket(A291,"現在値")</f>
        <v>表示銘柄数超過</v>
      </c>
      <c r="D291" s="20" t="str">
        <f>_xll.RssMarket(A291,"現在値詳細時刻")</f>
        <v>表示銘柄数超過</v>
      </c>
      <c r="E291" s="22" t="str">
        <f>_xll.RssMarket(A291,"前日比")</f>
        <v>表示銘柄数超過</v>
      </c>
      <c r="F291" s="23" t="e">
        <f>_xll.RssMarket(A291,"前日比率")/100</f>
        <v>#VALUE!</v>
      </c>
      <c r="G291" s="24" t="str">
        <f>IFERROR(VLOOKUP(A291,取得元!$A$2:$F$501,2,FALSE),"-")</f>
        <v>-</v>
      </c>
      <c r="H291" s="24" t="str">
        <f>IFERROR(VLOOKUP(A291,取得元!$A$2:$F$501,3,FALSE),"-")</f>
        <v>-</v>
      </c>
      <c r="I291" s="24" t="str">
        <f>IFERROR(VLOOKUP(A291,取得元!$A$2:$F$501,4,FALSE),"-")</f>
        <v>-</v>
      </c>
      <c r="J291" s="5" t="str">
        <f>IFERROR(VLOOKUP(A291,取得元!$A$2:$F$501,5,FALSE),"-")</f>
        <v>-</v>
      </c>
      <c r="K291" s="25" t="str">
        <f>IFERROR(VLOOKUP(A291,取得元!$A$2:$F$501,6,FALSE)/100,"-")</f>
        <v>-</v>
      </c>
      <c r="L291" s="21" t="str">
        <f>_xll.RssMarket(A291,"始値")</f>
        <v>表示銘柄数超過</v>
      </c>
      <c r="M291" s="4" t="e">
        <f t="shared" si="25"/>
        <v>#VALUE!</v>
      </c>
      <c r="N291" s="21" t="str">
        <f>_xll.RssMarket(A291,"高値")</f>
        <v>表示銘柄数超過</v>
      </c>
      <c r="O291" s="4" t="e">
        <f t="shared" si="26"/>
        <v>#VALUE!</v>
      </c>
      <c r="P291" s="21" t="str">
        <f>_xll.RssMarket(A291,"安値")</f>
        <v>表示銘柄数超過</v>
      </c>
      <c r="Q291" s="4" t="e">
        <f t="shared" si="27"/>
        <v>#VALUE!</v>
      </c>
      <c r="R291" s="21" t="str">
        <f>_xll.RssMarket(A291,"後場始値")</f>
        <v>表示銘柄数超過</v>
      </c>
      <c r="S291" s="25" t="str">
        <f t="shared" si="28"/>
        <v>-</v>
      </c>
      <c r="T291" s="7" t="str">
        <f>_xll.RssMarket(A291,"出来高加重平均")</f>
        <v>表示銘柄数超過</v>
      </c>
      <c r="U291" s="4" t="e">
        <f t="shared" si="29"/>
        <v>#VALUE!</v>
      </c>
      <c r="V291" s="21" t="str">
        <f>_xll.RssMarket(A291,"出来高")</f>
        <v>表示銘柄数超過</v>
      </c>
      <c r="W291" s="21" t="str">
        <f>_xll.RssMarket(A291,"売買代金")</f>
        <v>表示銘柄数超過</v>
      </c>
      <c r="X291" s="20" t="str">
        <f>_xll.RssMarket(A291,"決算発表日")</f>
        <v>表示銘柄数超過</v>
      </c>
      <c r="Y291" s="26" t="str">
        <f>IF(C291&gt;_xll.RssMarket(A291,"年初来高値"),"○","×")</f>
        <v>×</v>
      </c>
      <c r="Z291" s="27" t="str">
        <f>IF(C291&lt;=_xll.RssMarket(A291,"年初来安値"),"○","×")</f>
        <v>○</v>
      </c>
    </row>
    <row r="292" spans="1:26" x14ac:dyDescent="0.25">
      <c r="A292" s="47">
        <v>3388</v>
      </c>
      <c r="B292" s="20" t="str">
        <f>_xll.RssMarket(A292,"銘柄名称")</f>
        <v>表示銘柄数超過</v>
      </c>
      <c r="C292" s="21" t="str">
        <f>_xll.RssMarket(A292,"現在値")</f>
        <v>表示銘柄数超過</v>
      </c>
      <c r="D292" s="20" t="str">
        <f>_xll.RssMarket(A292,"現在値詳細時刻")</f>
        <v>表示銘柄数超過</v>
      </c>
      <c r="E292" s="22" t="str">
        <f>_xll.RssMarket(A292,"前日比")</f>
        <v>表示銘柄数超過</v>
      </c>
      <c r="F292" s="23" t="e">
        <f>_xll.RssMarket(A292,"前日比率")/100</f>
        <v>#VALUE!</v>
      </c>
      <c r="G292" s="24" t="str">
        <f>IFERROR(VLOOKUP(A292,取得元!$A$2:$F$501,2,FALSE),"-")</f>
        <v>-</v>
      </c>
      <c r="H292" s="24" t="str">
        <f>IFERROR(VLOOKUP(A292,取得元!$A$2:$F$501,3,FALSE),"-")</f>
        <v>-</v>
      </c>
      <c r="I292" s="24" t="str">
        <f>IFERROR(VLOOKUP(A292,取得元!$A$2:$F$501,4,FALSE),"-")</f>
        <v>-</v>
      </c>
      <c r="J292" s="5" t="str">
        <f>IFERROR(VLOOKUP(A292,取得元!$A$2:$F$501,5,FALSE),"-")</f>
        <v>-</v>
      </c>
      <c r="K292" s="25" t="str">
        <f>IFERROR(VLOOKUP(A292,取得元!$A$2:$F$501,6,FALSE)/100,"-")</f>
        <v>-</v>
      </c>
      <c r="L292" s="21" t="str">
        <f>_xll.RssMarket(A292,"始値")</f>
        <v>表示銘柄数超過</v>
      </c>
      <c r="M292" s="4" t="e">
        <f t="shared" si="25"/>
        <v>#VALUE!</v>
      </c>
      <c r="N292" s="21" t="str">
        <f>_xll.RssMarket(A292,"高値")</f>
        <v>表示銘柄数超過</v>
      </c>
      <c r="O292" s="4" t="e">
        <f t="shared" si="26"/>
        <v>#VALUE!</v>
      </c>
      <c r="P292" s="21" t="str">
        <f>_xll.RssMarket(A292,"安値")</f>
        <v>表示銘柄数超過</v>
      </c>
      <c r="Q292" s="4" t="e">
        <f t="shared" si="27"/>
        <v>#VALUE!</v>
      </c>
      <c r="R292" s="21" t="str">
        <f>_xll.RssMarket(A292,"後場始値")</f>
        <v>表示銘柄数超過</v>
      </c>
      <c r="S292" s="25" t="str">
        <f t="shared" si="28"/>
        <v>-</v>
      </c>
      <c r="T292" s="7" t="str">
        <f>_xll.RssMarket(A292,"出来高加重平均")</f>
        <v>表示銘柄数超過</v>
      </c>
      <c r="U292" s="4" t="e">
        <f t="shared" si="29"/>
        <v>#VALUE!</v>
      </c>
      <c r="V292" s="21" t="str">
        <f>_xll.RssMarket(A292,"出来高")</f>
        <v>表示銘柄数超過</v>
      </c>
      <c r="W292" s="21" t="str">
        <f>_xll.RssMarket(A292,"売買代金")</f>
        <v>表示銘柄数超過</v>
      </c>
      <c r="X292" s="20" t="str">
        <f>_xll.RssMarket(A292,"決算発表日")</f>
        <v>表示銘柄数超過</v>
      </c>
      <c r="Y292" s="26" t="str">
        <f>IF(C292&gt;_xll.RssMarket(A292,"年初来高値"),"○","×")</f>
        <v>×</v>
      </c>
      <c r="Z292" s="27" t="str">
        <f>IF(C292&lt;=_xll.RssMarket(A292,"年初来安値"),"○","×")</f>
        <v>○</v>
      </c>
    </row>
    <row r="293" spans="1:26" x14ac:dyDescent="0.25">
      <c r="A293" s="49">
        <v>3392</v>
      </c>
      <c r="B293" s="20" t="str">
        <f>_xll.RssMarket(A293,"銘柄名称")</f>
        <v>表示銘柄数超過</v>
      </c>
      <c r="C293" s="21" t="str">
        <f>_xll.RssMarket(A293,"現在値")</f>
        <v>表示銘柄数超過</v>
      </c>
      <c r="D293" s="20" t="str">
        <f>_xll.RssMarket(A293,"現在値詳細時刻")</f>
        <v>表示銘柄数超過</v>
      </c>
      <c r="E293" s="22" t="str">
        <f>_xll.RssMarket(A293,"前日比")</f>
        <v>表示銘柄数超過</v>
      </c>
      <c r="F293" s="23" t="e">
        <f>_xll.RssMarket(A293,"前日比率")/100</f>
        <v>#VALUE!</v>
      </c>
      <c r="G293" s="24" t="str">
        <f>IFERROR(VLOOKUP(A293,取得元!$A$2:$F$501,2,FALSE),"-")</f>
        <v>-</v>
      </c>
      <c r="H293" s="24" t="str">
        <f>IFERROR(VLOOKUP(A293,取得元!$A$2:$F$501,3,FALSE),"-")</f>
        <v>-</v>
      </c>
      <c r="I293" s="24" t="str">
        <f>IFERROR(VLOOKUP(A293,取得元!$A$2:$F$501,4,FALSE),"-")</f>
        <v>-</v>
      </c>
      <c r="J293" s="5" t="str">
        <f>IFERROR(VLOOKUP(A293,取得元!$A$2:$F$501,5,FALSE),"-")</f>
        <v>-</v>
      </c>
      <c r="K293" s="25" t="str">
        <f>IFERROR(VLOOKUP(A293,取得元!$A$2:$F$501,6,FALSE)/100,"-")</f>
        <v>-</v>
      </c>
      <c r="L293" s="21" t="str">
        <f>_xll.RssMarket(A293,"始値")</f>
        <v>表示銘柄数超過</v>
      </c>
      <c r="M293" s="4" t="e">
        <f t="shared" si="25"/>
        <v>#VALUE!</v>
      </c>
      <c r="N293" s="21" t="str">
        <f>_xll.RssMarket(A293,"高値")</f>
        <v>表示銘柄数超過</v>
      </c>
      <c r="O293" s="4" t="e">
        <f t="shared" si="26"/>
        <v>#VALUE!</v>
      </c>
      <c r="P293" s="21" t="str">
        <f>_xll.RssMarket(A293,"安値")</f>
        <v>表示銘柄数超過</v>
      </c>
      <c r="Q293" s="4" t="e">
        <f t="shared" si="27"/>
        <v>#VALUE!</v>
      </c>
      <c r="R293" s="21" t="str">
        <f>_xll.RssMarket(A293,"後場始値")</f>
        <v>表示銘柄数超過</v>
      </c>
      <c r="S293" s="25" t="str">
        <f t="shared" si="28"/>
        <v>-</v>
      </c>
      <c r="T293" s="7" t="str">
        <f>_xll.RssMarket(A293,"出来高加重平均")</f>
        <v>表示銘柄数超過</v>
      </c>
      <c r="U293" s="4" t="e">
        <f t="shared" si="29"/>
        <v>#VALUE!</v>
      </c>
      <c r="V293" s="21" t="str">
        <f>_xll.RssMarket(A293,"出来高")</f>
        <v>表示銘柄数超過</v>
      </c>
      <c r="W293" s="21" t="str">
        <f>_xll.RssMarket(A293,"売買代金")</f>
        <v>表示銘柄数超過</v>
      </c>
      <c r="X293" s="20" t="str">
        <f>_xll.RssMarket(A293,"決算発表日")</f>
        <v>表示銘柄数超過</v>
      </c>
      <c r="Y293" s="26" t="str">
        <f>IF(C293&gt;_xll.RssMarket(A293,"年初来高値"),"○","×")</f>
        <v>×</v>
      </c>
      <c r="Z293" s="27" t="str">
        <f>IF(C293&lt;=_xll.RssMarket(A293,"年初来安値"),"○","×")</f>
        <v>○</v>
      </c>
    </row>
    <row r="294" spans="1:26" x14ac:dyDescent="0.25">
      <c r="A294" s="47">
        <v>3401</v>
      </c>
      <c r="B294" s="20" t="str">
        <f>_xll.RssMarket(A294,"銘柄名称")</f>
        <v>表示銘柄数超過</v>
      </c>
      <c r="C294" s="21" t="str">
        <f>_xll.RssMarket(A294,"現在値")</f>
        <v>表示銘柄数超過</v>
      </c>
      <c r="D294" s="20" t="str">
        <f>_xll.RssMarket(A294,"現在値詳細時刻")</f>
        <v>表示銘柄数超過</v>
      </c>
      <c r="E294" s="22" t="str">
        <f>_xll.RssMarket(A294,"前日比")</f>
        <v>表示銘柄数超過</v>
      </c>
      <c r="F294" s="23" t="e">
        <f>_xll.RssMarket(A294,"前日比率")/100</f>
        <v>#VALUE!</v>
      </c>
      <c r="G294" s="24" t="str">
        <f>IFERROR(VLOOKUP(A294,取得元!$A$2:$F$501,2,FALSE),"-")</f>
        <v>-</v>
      </c>
      <c r="H294" s="24" t="str">
        <f>IFERROR(VLOOKUP(A294,取得元!$A$2:$F$501,3,FALSE),"-")</f>
        <v>-</v>
      </c>
      <c r="I294" s="24" t="str">
        <f>IFERROR(VLOOKUP(A294,取得元!$A$2:$F$501,4,FALSE),"-")</f>
        <v>-</v>
      </c>
      <c r="J294" s="5" t="str">
        <f>IFERROR(VLOOKUP(A294,取得元!$A$2:$F$501,5,FALSE),"-")</f>
        <v>-</v>
      </c>
      <c r="K294" s="25" t="str">
        <f>IFERROR(VLOOKUP(A294,取得元!$A$2:$F$501,6,FALSE)/100,"-")</f>
        <v>-</v>
      </c>
      <c r="L294" s="21" t="str">
        <f>_xll.RssMarket(A294,"始値")</f>
        <v>表示銘柄数超過</v>
      </c>
      <c r="M294" s="4" t="e">
        <f t="shared" si="25"/>
        <v>#VALUE!</v>
      </c>
      <c r="N294" s="21" t="str">
        <f>_xll.RssMarket(A294,"高値")</f>
        <v>表示銘柄数超過</v>
      </c>
      <c r="O294" s="4" t="e">
        <f t="shared" si="26"/>
        <v>#VALUE!</v>
      </c>
      <c r="P294" s="21" t="str">
        <f>_xll.RssMarket(A294,"安値")</f>
        <v>表示銘柄数超過</v>
      </c>
      <c r="Q294" s="4" t="e">
        <f t="shared" si="27"/>
        <v>#VALUE!</v>
      </c>
      <c r="R294" s="21" t="str">
        <f>_xll.RssMarket(A294,"後場始値")</f>
        <v>表示銘柄数超過</v>
      </c>
      <c r="S294" s="25" t="str">
        <f t="shared" si="28"/>
        <v>-</v>
      </c>
      <c r="T294" s="7" t="str">
        <f>_xll.RssMarket(A294,"出来高加重平均")</f>
        <v>表示銘柄数超過</v>
      </c>
      <c r="U294" s="4" t="e">
        <f t="shared" si="29"/>
        <v>#VALUE!</v>
      </c>
      <c r="V294" s="21" t="str">
        <f>_xll.RssMarket(A294,"出来高")</f>
        <v>表示銘柄数超過</v>
      </c>
      <c r="W294" s="21" t="str">
        <f>_xll.RssMarket(A294,"売買代金")</f>
        <v>表示銘柄数超過</v>
      </c>
      <c r="X294" s="20" t="str">
        <f>_xll.RssMarket(A294,"決算発表日")</f>
        <v>表示銘柄数超過</v>
      </c>
      <c r="Y294" s="26" t="str">
        <f>IF(C294&gt;_xll.RssMarket(A294,"年初来高値"),"○","×")</f>
        <v>×</v>
      </c>
      <c r="Z294" s="27" t="str">
        <f>IF(C294&lt;=_xll.RssMarket(A294,"年初来安値"),"○","×")</f>
        <v>○</v>
      </c>
    </row>
    <row r="295" spans="1:26" x14ac:dyDescent="0.25">
      <c r="A295" s="49">
        <v>3407</v>
      </c>
      <c r="B295" s="20" t="str">
        <f>_xll.RssMarket(A295,"銘柄名称")</f>
        <v>表示銘柄数超過</v>
      </c>
      <c r="C295" s="21" t="str">
        <f>_xll.RssMarket(A295,"現在値")</f>
        <v>表示銘柄数超過</v>
      </c>
      <c r="D295" s="20" t="str">
        <f>_xll.RssMarket(A295,"現在値詳細時刻")</f>
        <v>表示銘柄数超過</v>
      </c>
      <c r="E295" s="22" t="str">
        <f>_xll.RssMarket(A295,"前日比")</f>
        <v>表示銘柄数超過</v>
      </c>
      <c r="F295" s="23" t="e">
        <f>_xll.RssMarket(A295,"前日比率")/100</f>
        <v>#VALUE!</v>
      </c>
      <c r="G295" s="24" t="str">
        <f>IFERROR(VLOOKUP(A295,取得元!$A$2:$F$501,2,FALSE),"-")</f>
        <v>-</v>
      </c>
      <c r="H295" s="24" t="str">
        <f>IFERROR(VLOOKUP(A295,取得元!$A$2:$F$501,3,FALSE),"-")</f>
        <v>-</v>
      </c>
      <c r="I295" s="24" t="str">
        <f>IFERROR(VLOOKUP(A295,取得元!$A$2:$F$501,4,FALSE),"-")</f>
        <v>-</v>
      </c>
      <c r="J295" s="5" t="str">
        <f>IFERROR(VLOOKUP(A295,取得元!$A$2:$F$501,5,FALSE),"-")</f>
        <v>-</v>
      </c>
      <c r="K295" s="25" t="str">
        <f>IFERROR(VLOOKUP(A295,取得元!$A$2:$F$501,6,FALSE)/100,"-")</f>
        <v>-</v>
      </c>
      <c r="L295" s="21" t="str">
        <f>_xll.RssMarket(A295,"始値")</f>
        <v>表示銘柄数超過</v>
      </c>
      <c r="M295" s="4" t="e">
        <f t="shared" si="25"/>
        <v>#VALUE!</v>
      </c>
      <c r="N295" s="21" t="str">
        <f>_xll.RssMarket(A295,"高値")</f>
        <v>表示銘柄数超過</v>
      </c>
      <c r="O295" s="4" t="e">
        <f t="shared" si="26"/>
        <v>#VALUE!</v>
      </c>
      <c r="P295" s="21" t="str">
        <f>_xll.RssMarket(A295,"安値")</f>
        <v>表示銘柄数超過</v>
      </c>
      <c r="Q295" s="4" t="e">
        <f t="shared" si="27"/>
        <v>#VALUE!</v>
      </c>
      <c r="R295" s="21" t="str">
        <f>_xll.RssMarket(A295,"後場始値")</f>
        <v>表示銘柄数超過</v>
      </c>
      <c r="S295" s="25" t="str">
        <f t="shared" si="28"/>
        <v>-</v>
      </c>
      <c r="T295" s="7" t="str">
        <f>_xll.RssMarket(A295,"出来高加重平均")</f>
        <v>表示銘柄数超過</v>
      </c>
      <c r="U295" s="4" t="e">
        <f t="shared" si="29"/>
        <v>#VALUE!</v>
      </c>
      <c r="V295" s="21" t="str">
        <f>_xll.RssMarket(A295,"出来高")</f>
        <v>表示銘柄数超過</v>
      </c>
      <c r="W295" s="21" t="str">
        <f>_xll.RssMarket(A295,"売買代金")</f>
        <v>表示銘柄数超過</v>
      </c>
      <c r="X295" s="20" t="str">
        <f>_xll.RssMarket(A295,"決算発表日")</f>
        <v>表示銘柄数超過</v>
      </c>
      <c r="Y295" s="26" t="str">
        <f>IF(C295&gt;_xll.RssMarket(A295,"年初来高値"),"○","×")</f>
        <v>×</v>
      </c>
      <c r="Z295" s="27" t="str">
        <f>IF(C295&lt;=_xll.RssMarket(A295,"年初来安値"),"○","×")</f>
        <v>○</v>
      </c>
    </row>
    <row r="296" spans="1:26" x14ac:dyDescent="0.25">
      <c r="A296" s="47">
        <v>3409</v>
      </c>
      <c r="B296" s="20" t="str">
        <f>_xll.RssMarket(A296,"銘柄名称")</f>
        <v>表示銘柄数超過</v>
      </c>
      <c r="C296" s="21" t="str">
        <f>_xll.RssMarket(A296,"現在値")</f>
        <v>表示銘柄数超過</v>
      </c>
      <c r="D296" s="20" t="str">
        <f>_xll.RssMarket(A296,"現在値詳細時刻")</f>
        <v>表示銘柄数超過</v>
      </c>
      <c r="E296" s="22" t="str">
        <f>_xll.RssMarket(A296,"前日比")</f>
        <v>表示銘柄数超過</v>
      </c>
      <c r="F296" s="23" t="e">
        <f>_xll.RssMarket(A296,"前日比率")/100</f>
        <v>#VALUE!</v>
      </c>
      <c r="G296" s="24" t="str">
        <f>IFERROR(VLOOKUP(A296,取得元!$A$2:$F$501,2,FALSE),"-")</f>
        <v>-</v>
      </c>
      <c r="H296" s="24" t="str">
        <f>IFERROR(VLOOKUP(A296,取得元!$A$2:$F$501,3,FALSE),"-")</f>
        <v>-</v>
      </c>
      <c r="I296" s="24" t="str">
        <f>IFERROR(VLOOKUP(A296,取得元!$A$2:$F$501,4,FALSE),"-")</f>
        <v>-</v>
      </c>
      <c r="J296" s="5" t="str">
        <f>IFERROR(VLOOKUP(A296,取得元!$A$2:$F$501,5,FALSE),"-")</f>
        <v>-</v>
      </c>
      <c r="K296" s="25" t="str">
        <f>IFERROR(VLOOKUP(A296,取得元!$A$2:$F$501,6,FALSE)/100,"-")</f>
        <v>-</v>
      </c>
      <c r="L296" s="21" t="str">
        <f>_xll.RssMarket(A296,"始値")</f>
        <v>表示銘柄数超過</v>
      </c>
      <c r="M296" s="4" t="e">
        <f t="shared" si="25"/>
        <v>#VALUE!</v>
      </c>
      <c r="N296" s="21" t="str">
        <f>_xll.RssMarket(A296,"高値")</f>
        <v>表示銘柄数超過</v>
      </c>
      <c r="O296" s="4" t="e">
        <f t="shared" si="26"/>
        <v>#VALUE!</v>
      </c>
      <c r="P296" s="21" t="str">
        <f>_xll.RssMarket(A296,"安値")</f>
        <v>表示銘柄数超過</v>
      </c>
      <c r="Q296" s="4" t="e">
        <f t="shared" si="27"/>
        <v>#VALUE!</v>
      </c>
      <c r="R296" s="21" t="str">
        <f>_xll.RssMarket(A296,"後場始値")</f>
        <v>表示銘柄数超過</v>
      </c>
      <c r="S296" s="25" t="str">
        <f t="shared" si="28"/>
        <v>-</v>
      </c>
      <c r="T296" s="7" t="str">
        <f>_xll.RssMarket(A296,"出来高加重平均")</f>
        <v>表示銘柄数超過</v>
      </c>
      <c r="U296" s="4" t="e">
        <f t="shared" si="29"/>
        <v>#VALUE!</v>
      </c>
      <c r="V296" s="21" t="str">
        <f>_xll.RssMarket(A296,"出来高")</f>
        <v>表示銘柄数超過</v>
      </c>
      <c r="W296" s="21" t="str">
        <f>_xll.RssMarket(A296,"売買代金")</f>
        <v>表示銘柄数超過</v>
      </c>
      <c r="X296" s="20" t="str">
        <f>_xll.RssMarket(A296,"決算発表日")</f>
        <v>表示銘柄数超過</v>
      </c>
      <c r="Y296" s="26" t="str">
        <f>IF(C296&gt;_xll.RssMarket(A296,"年初来高値"),"○","×")</f>
        <v>×</v>
      </c>
      <c r="Z296" s="27" t="str">
        <f>IF(C296&lt;=_xll.RssMarket(A296,"年初来安値"),"○","×")</f>
        <v>○</v>
      </c>
    </row>
    <row r="297" spans="1:26" x14ac:dyDescent="0.25">
      <c r="A297" s="49">
        <v>3422</v>
      </c>
      <c r="B297" s="20" t="str">
        <f>_xll.RssMarket(A297,"銘柄名称")</f>
        <v>表示銘柄数超過</v>
      </c>
      <c r="C297" s="21" t="str">
        <f>_xll.RssMarket(A297,"現在値")</f>
        <v>表示銘柄数超過</v>
      </c>
      <c r="D297" s="20" t="str">
        <f>_xll.RssMarket(A297,"現在値詳細時刻")</f>
        <v>表示銘柄数超過</v>
      </c>
      <c r="E297" s="22" t="str">
        <f>_xll.RssMarket(A297,"前日比")</f>
        <v>表示銘柄数超過</v>
      </c>
      <c r="F297" s="23" t="e">
        <f>_xll.RssMarket(A297,"前日比率")/100</f>
        <v>#VALUE!</v>
      </c>
      <c r="G297" s="24" t="str">
        <f>IFERROR(VLOOKUP(A297,取得元!$A$2:$F$501,2,FALSE),"-")</f>
        <v>-</v>
      </c>
      <c r="H297" s="24" t="str">
        <f>IFERROR(VLOOKUP(A297,取得元!$A$2:$F$501,3,FALSE),"-")</f>
        <v>-</v>
      </c>
      <c r="I297" s="24" t="str">
        <f>IFERROR(VLOOKUP(A297,取得元!$A$2:$F$501,4,FALSE),"-")</f>
        <v>-</v>
      </c>
      <c r="J297" s="5" t="str">
        <f>IFERROR(VLOOKUP(A297,取得元!$A$2:$F$501,5,FALSE),"-")</f>
        <v>-</v>
      </c>
      <c r="K297" s="25" t="str">
        <f>IFERROR(VLOOKUP(A297,取得元!$A$2:$F$501,6,FALSE)/100,"-")</f>
        <v>-</v>
      </c>
      <c r="L297" s="21" t="str">
        <f>_xll.RssMarket(A297,"始値")</f>
        <v>表示銘柄数超過</v>
      </c>
      <c r="M297" s="4" t="e">
        <f t="shared" si="25"/>
        <v>#VALUE!</v>
      </c>
      <c r="N297" s="21" t="str">
        <f>_xll.RssMarket(A297,"高値")</f>
        <v>表示銘柄数超過</v>
      </c>
      <c r="O297" s="4" t="e">
        <f t="shared" si="26"/>
        <v>#VALUE!</v>
      </c>
      <c r="P297" s="21" t="str">
        <f>_xll.RssMarket(A297,"安値")</f>
        <v>表示銘柄数超過</v>
      </c>
      <c r="Q297" s="4" t="e">
        <f t="shared" si="27"/>
        <v>#VALUE!</v>
      </c>
      <c r="R297" s="21" t="str">
        <f>_xll.RssMarket(A297,"後場始値")</f>
        <v>表示銘柄数超過</v>
      </c>
      <c r="S297" s="25" t="str">
        <f t="shared" si="28"/>
        <v>-</v>
      </c>
      <c r="T297" s="7" t="str">
        <f>_xll.RssMarket(A297,"出来高加重平均")</f>
        <v>表示銘柄数超過</v>
      </c>
      <c r="U297" s="4" t="e">
        <f t="shared" si="29"/>
        <v>#VALUE!</v>
      </c>
      <c r="V297" s="21" t="str">
        <f>_xll.RssMarket(A297,"出来高")</f>
        <v>表示銘柄数超過</v>
      </c>
      <c r="W297" s="21" t="str">
        <f>_xll.RssMarket(A297,"売買代金")</f>
        <v>表示銘柄数超過</v>
      </c>
      <c r="X297" s="20" t="str">
        <f>_xll.RssMarket(A297,"決算発表日")</f>
        <v>表示銘柄数超過</v>
      </c>
      <c r="Y297" s="26" t="str">
        <f>IF(C297&gt;_xll.RssMarket(A297,"年初来高値"),"○","×")</f>
        <v>×</v>
      </c>
      <c r="Z297" s="27" t="str">
        <f>IF(C297&lt;=_xll.RssMarket(A297,"年初来安値"),"○","×")</f>
        <v>○</v>
      </c>
    </row>
    <row r="298" spans="1:26" x14ac:dyDescent="0.25">
      <c r="A298" s="47">
        <v>3433</v>
      </c>
      <c r="B298" s="20" t="str">
        <f>_xll.RssMarket(A298,"銘柄名称")</f>
        <v>表示銘柄数超過</v>
      </c>
      <c r="C298" s="21" t="str">
        <f>_xll.RssMarket(A298,"現在値")</f>
        <v>表示銘柄数超過</v>
      </c>
      <c r="D298" s="20" t="str">
        <f>_xll.RssMarket(A298,"現在値詳細時刻")</f>
        <v>表示銘柄数超過</v>
      </c>
      <c r="E298" s="22" t="str">
        <f>_xll.RssMarket(A298,"前日比")</f>
        <v>表示銘柄数超過</v>
      </c>
      <c r="F298" s="23" t="e">
        <f>_xll.RssMarket(A298,"前日比率")/100</f>
        <v>#VALUE!</v>
      </c>
      <c r="G298" s="24" t="str">
        <f>IFERROR(VLOOKUP(A298,取得元!$A$2:$F$501,2,FALSE),"-")</f>
        <v>-</v>
      </c>
      <c r="H298" s="24" t="str">
        <f>IFERROR(VLOOKUP(A298,取得元!$A$2:$F$501,3,FALSE),"-")</f>
        <v>-</v>
      </c>
      <c r="I298" s="24" t="str">
        <f>IFERROR(VLOOKUP(A298,取得元!$A$2:$F$501,4,FALSE),"-")</f>
        <v>-</v>
      </c>
      <c r="J298" s="5" t="str">
        <f>IFERROR(VLOOKUP(A298,取得元!$A$2:$F$501,5,FALSE),"-")</f>
        <v>-</v>
      </c>
      <c r="K298" s="25" t="str">
        <f>IFERROR(VLOOKUP(A298,取得元!$A$2:$F$501,6,FALSE)/100,"-")</f>
        <v>-</v>
      </c>
      <c r="L298" s="21" t="str">
        <f>_xll.RssMarket(A298,"始値")</f>
        <v>表示銘柄数超過</v>
      </c>
      <c r="M298" s="4" t="e">
        <f t="shared" si="25"/>
        <v>#VALUE!</v>
      </c>
      <c r="N298" s="21" t="str">
        <f>_xll.RssMarket(A298,"高値")</f>
        <v>表示銘柄数超過</v>
      </c>
      <c r="O298" s="4" t="e">
        <f t="shared" si="26"/>
        <v>#VALUE!</v>
      </c>
      <c r="P298" s="21" t="str">
        <f>_xll.RssMarket(A298,"安値")</f>
        <v>表示銘柄数超過</v>
      </c>
      <c r="Q298" s="4" t="e">
        <f t="shared" si="27"/>
        <v>#VALUE!</v>
      </c>
      <c r="R298" s="21" t="str">
        <f>_xll.RssMarket(A298,"後場始値")</f>
        <v>表示銘柄数超過</v>
      </c>
      <c r="S298" s="25" t="str">
        <f t="shared" si="28"/>
        <v>-</v>
      </c>
      <c r="T298" s="7" t="str">
        <f>_xll.RssMarket(A298,"出来高加重平均")</f>
        <v>表示銘柄数超過</v>
      </c>
      <c r="U298" s="4" t="e">
        <f t="shared" si="29"/>
        <v>#VALUE!</v>
      </c>
      <c r="V298" s="21" t="str">
        <f>_xll.RssMarket(A298,"出来高")</f>
        <v>表示銘柄数超過</v>
      </c>
      <c r="W298" s="21" t="str">
        <f>_xll.RssMarket(A298,"売買代金")</f>
        <v>表示銘柄数超過</v>
      </c>
      <c r="X298" s="20" t="str">
        <f>_xll.RssMarket(A298,"決算発表日")</f>
        <v>表示銘柄数超過</v>
      </c>
      <c r="Y298" s="26" t="str">
        <f>IF(C298&gt;_xll.RssMarket(A298,"年初来高値"),"○","×")</f>
        <v>×</v>
      </c>
      <c r="Z298" s="27" t="str">
        <f>IF(C298&lt;=_xll.RssMarket(A298,"年初来安値"),"○","×")</f>
        <v>○</v>
      </c>
    </row>
    <row r="299" spans="1:26" x14ac:dyDescent="0.25">
      <c r="A299" s="49">
        <v>3436</v>
      </c>
      <c r="B299" s="20" t="str">
        <f>_xll.RssMarket(A299,"銘柄名称")</f>
        <v>表示銘柄数超過</v>
      </c>
      <c r="C299" s="21" t="str">
        <f>_xll.RssMarket(A299,"現在値")</f>
        <v>表示銘柄数超過</v>
      </c>
      <c r="D299" s="20" t="str">
        <f>_xll.RssMarket(A299,"現在値詳細時刻")</f>
        <v>表示銘柄数超過</v>
      </c>
      <c r="E299" s="22" t="str">
        <f>_xll.RssMarket(A299,"前日比")</f>
        <v>表示銘柄数超過</v>
      </c>
      <c r="F299" s="23" t="e">
        <f>_xll.RssMarket(A299,"前日比率")/100</f>
        <v>#VALUE!</v>
      </c>
      <c r="G299" s="24" t="str">
        <f>IFERROR(VLOOKUP(A299,取得元!$A$2:$F$501,2,FALSE),"-")</f>
        <v>-</v>
      </c>
      <c r="H299" s="24" t="str">
        <f>IFERROR(VLOOKUP(A299,取得元!$A$2:$F$501,3,FALSE),"-")</f>
        <v>-</v>
      </c>
      <c r="I299" s="24" t="str">
        <f>IFERROR(VLOOKUP(A299,取得元!$A$2:$F$501,4,FALSE),"-")</f>
        <v>-</v>
      </c>
      <c r="J299" s="5" t="str">
        <f>IFERROR(VLOOKUP(A299,取得元!$A$2:$F$501,5,FALSE),"-")</f>
        <v>-</v>
      </c>
      <c r="K299" s="25" t="str">
        <f>IFERROR(VLOOKUP(A299,取得元!$A$2:$F$501,6,FALSE)/100,"-")</f>
        <v>-</v>
      </c>
      <c r="L299" s="21" t="str">
        <f>_xll.RssMarket(A299,"始値")</f>
        <v>表示銘柄数超過</v>
      </c>
      <c r="M299" s="4" t="e">
        <f t="shared" si="25"/>
        <v>#VALUE!</v>
      </c>
      <c r="N299" s="21" t="str">
        <f>_xll.RssMarket(A299,"高値")</f>
        <v>表示銘柄数超過</v>
      </c>
      <c r="O299" s="4" t="e">
        <f t="shared" si="26"/>
        <v>#VALUE!</v>
      </c>
      <c r="P299" s="21" t="str">
        <f>_xll.RssMarket(A299,"安値")</f>
        <v>表示銘柄数超過</v>
      </c>
      <c r="Q299" s="4" t="e">
        <f t="shared" si="27"/>
        <v>#VALUE!</v>
      </c>
      <c r="R299" s="21" t="str">
        <f>_xll.RssMarket(A299,"後場始値")</f>
        <v>表示銘柄数超過</v>
      </c>
      <c r="S299" s="25" t="str">
        <f t="shared" si="28"/>
        <v>-</v>
      </c>
      <c r="T299" s="7" t="str">
        <f>_xll.RssMarket(A299,"出来高加重平均")</f>
        <v>表示銘柄数超過</v>
      </c>
      <c r="U299" s="4" t="e">
        <f t="shared" si="29"/>
        <v>#VALUE!</v>
      </c>
      <c r="V299" s="21" t="str">
        <f>_xll.RssMarket(A299,"出来高")</f>
        <v>表示銘柄数超過</v>
      </c>
      <c r="W299" s="21" t="str">
        <f>_xll.RssMarket(A299,"売買代金")</f>
        <v>表示銘柄数超過</v>
      </c>
      <c r="X299" s="20" t="str">
        <f>_xll.RssMarket(A299,"決算発表日")</f>
        <v>表示銘柄数超過</v>
      </c>
      <c r="Y299" s="26" t="str">
        <f>IF(C299&gt;_xll.RssMarket(A299,"年初来高値"),"○","×")</f>
        <v>×</v>
      </c>
      <c r="Z299" s="27" t="str">
        <f>IF(C299&lt;=_xll.RssMarket(A299,"年初来安値"),"○","×")</f>
        <v>○</v>
      </c>
    </row>
    <row r="300" spans="1:26" x14ac:dyDescent="0.25">
      <c r="A300" s="47">
        <v>3454</v>
      </c>
      <c r="B300" s="20" t="str">
        <f>_xll.RssMarket(A300,"銘柄名称")</f>
        <v>表示銘柄数超過</v>
      </c>
      <c r="C300" s="21" t="str">
        <f>_xll.RssMarket(A300,"現在値")</f>
        <v>表示銘柄数超過</v>
      </c>
      <c r="D300" s="20" t="str">
        <f>_xll.RssMarket(A300,"現在値詳細時刻")</f>
        <v>表示銘柄数超過</v>
      </c>
      <c r="E300" s="22" t="str">
        <f>_xll.RssMarket(A300,"前日比")</f>
        <v>表示銘柄数超過</v>
      </c>
      <c r="F300" s="23" t="e">
        <f>_xll.RssMarket(A300,"前日比率")/100</f>
        <v>#VALUE!</v>
      </c>
      <c r="G300" s="24" t="str">
        <f>IFERROR(VLOOKUP(A300,取得元!$A$2:$F$501,2,FALSE),"-")</f>
        <v>-</v>
      </c>
      <c r="H300" s="24" t="str">
        <f>IFERROR(VLOOKUP(A300,取得元!$A$2:$F$501,3,FALSE),"-")</f>
        <v>-</v>
      </c>
      <c r="I300" s="24" t="str">
        <f>IFERROR(VLOOKUP(A300,取得元!$A$2:$F$501,4,FALSE),"-")</f>
        <v>-</v>
      </c>
      <c r="J300" s="5" t="str">
        <f>IFERROR(VLOOKUP(A300,取得元!$A$2:$F$501,5,FALSE),"-")</f>
        <v>-</v>
      </c>
      <c r="K300" s="25" t="str">
        <f>IFERROR(VLOOKUP(A300,取得元!$A$2:$F$501,6,FALSE)/100,"-")</f>
        <v>-</v>
      </c>
      <c r="L300" s="21" t="str">
        <f>_xll.RssMarket(A300,"始値")</f>
        <v>表示銘柄数超過</v>
      </c>
      <c r="M300" s="4" t="e">
        <f t="shared" si="25"/>
        <v>#VALUE!</v>
      </c>
      <c r="N300" s="21" t="str">
        <f>_xll.RssMarket(A300,"高値")</f>
        <v>表示銘柄数超過</v>
      </c>
      <c r="O300" s="4" t="e">
        <f t="shared" si="26"/>
        <v>#VALUE!</v>
      </c>
      <c r="P300" s="21" t="str">
        <f>_xll.RssMarket(A300,"安値")</f>
        <v>表示銘柄数超過</v>
      </c>
      <c r="Q300" s="4" t="e">
        <f t="shared" si="27"/>
        <v>#VALUE!</v>
      </c>
      <c r="R300" s="21" t="str">
        <f>_xll.RssMarket(A300,"後場始値")</f>
        <v>表示銘柄数超過</v>
      </c>
      <c r="S300" s="25" t="str">
        <f t="shared" si="28"/>
        <v>-</v>
      </c>
      <c r="T300" s="7" t="str">
        <f>_xll.RssMarket(A300,"出来高加重平均")</f>
        <v>表示銘柄数超過</v>
      </c>
      <c r="U300" s="4" t="e">
        <f t="shared" si="29"/>
        <v>#VALUE!</v>
      </c>
      <c r="V300" s="21" t="str">
        <f>_xll.RssMarket(A300,"出来高")</f>
        <v>表示銘柄数超過</v>
      </c>
      <c r="W300" s="21" t="str">
        <f>_xll.RssMarket(A300,"売買代金")</f>
        <v>表示銘柄数超過</v>
      </c>
      <c r="X300" s="20" t="str">
        <f>_xll.RssMarket(A300,"決算発表日")</f>
        <v>表示銘柄数超過</v>
      </c>
      <c r="Y300" s="26" t="str">
        <f>IF(C300&gt;_xll.RssMarket(A300,"年初来高値"),"○","×")</f>
        <v>×</v>
      </c>
      <c r="Z300" s="27" t="str">
        <f>IF(C300&lt;=_xll.RssMarket(A300,"年初来安値"),"○","×")</f>
        <v>○</v>
      </c>
    </row>
    <row r="301" spans="1:26" x14ac:dyDescent="0.25">
      <c r="A301" s="49">
        <v>3461</v>
      </c>
      <c r="B301" s="20" t="str">
        <f>_xll.RssMarket(A301,"銘柄名称")</f>
        <v>表示銘柄数超過</v>
      </c>
      <c r="C301" s="21" t="str">
        <f>_xll.RssMarket(A301,"現在値")</f>
        <v>表示銘柄数超過</v>
      </c>
      <c r="D301" s="20" t="str">
        <f>_xll.RssMarket(A301,"現在値詳細時刻")</f>
        <v>表示銘柄数超過</v>
      </c>
      <c r="E301" s="22" t="str">
        <f>_xll.RssMarket(A301,"前日比")</f>
        <v>表示銘柄数超過</v>
      </c>
      <c r="F301" s="23" t="e">
        <f>_xll.RssMarket(A301,"前日比率")/100</f>
        <v>#VALUE!</v>
      </c>
      <c r="G301" s="24" t="str">
        <f>IFERROR(VLOOKUP(A301,取得元!$A$2:$F$501,2,FALSE),"-")</f>
        <v>-</v>
      </c>
      <c r="H301" s="24" t="str">
        <f>IFERROR(VLOOKUP(A301,取得元!$A$2:$F$501,3,FALSE),"-")</f>
        <v>-</v>
      </c>
      <c r="I301" s="24" t="str">
        <f>IFERROR(VLOOKUP(A301,取得元!$A$2:$F$501,4,FALSE),"-")</f>
        <v>-</v>
      </c>
      <c r="J301" s="5" t="str">
        <f>IFERROR(VLOOKUP(A301,取得元!$A$2:$F$501,5,FALSE),"-")</f>
        <v>-</v>
      </c>
      <c r="K301" s="25" t="str">
        <f>IFERROR(VLOOKUP(A301,取得元!$A$2:$F$501,6,FALSE)/100,"-")</f>
        <v>-</v>
      </c>
      <c r="L301" s="21" t="str">
        <f>_xll.RssMarket(A301,"始値")</f>
        <v>表示銘柄数超過</v>
      </c>
      <c r="M301" s="4" t="e">
        <f t="shared" si="25"/>
        <v>#VALUE!</v>
      </c>
      <c r="N301" s="21" t="str">
        <f>_xll.RssMarket(A301,"高値")</f>
        <v>表示銘柄数超過</v>
      </c>
      <c r="O301" s="4" t="e">
        <f t="shared" si="26"/>
        <v>#VALUE!</v>
      </c>
      <c r="P301" s="21" t="str">
        <f>_xll.RssMarket(A301,"安値")</f>
        <v>表示銘柄数超過</v>
      </c>
      <c r="Q301" s="4" t="e">
        <f t="shared" si="27"/>
        <v>#VALUE!</v>
      </c>
      <c r="R301" s="21" t="str">
        <f>_xll.RssMarket(A301,"後場始値")</f>
        <v>表示銘柄数超過</v>
      </c>
      <c r="S301" s="25" t="str">
        <f t="shared" si="28"/>
        <v>-</v>
      </c>
      <c r="T301" s="7" t="str">
        <f>_xll.RssMarket(A301,"出来高加重平均")</f>
        <v>表示銘柄数超過</v>
      </c>
      <c r="U301" s="4" t="e">
        <f t="shared" si="29"/>
        <v>#VALUE!</v>
      </c>
      <c r="V301" s="21" t="str">
        <f>_xll.RssMarket(A301,"出来高")</f>
        <v>表示銘柄数超過</v>
      </c>
      <c r="W301" s="21" t="str">
        <f>_xll.RssMarket(A301,"売買代金")</f>
        <v>表示銘柄数超過</v>
      </c>
      <c r="X301" s="20" t="str">
        <f>_xll.RssMarket(A301,"決算発表日")</f>
        <v>表示銘柄数超過</v>
      </c>
      <c r="Y301" s="26" t="str">
        <f>IF(C301&gt;_xll.RssMarket(A301,"年初来高値"),"○","×")</f>
        <v>×</v>
      </c>
      <c r="Z301" s="27" t="str">
        <f>IF(C301&lt;=_xll.RssMarket(A301,"年初来安値"),"○","×")</f>
        <v>○</v>
      </c>
    </row>
    <row r="302" spans="1:26" x14ac:dyDescent="0.25">
      <c r="A302" s="47">
        <v>3464</v>
      </c>
      <c r="B302" s="20" t="str">
        <f>_xll.RssMarket(A302,"銘柄名称")</f>
        <v>表示銘柄数超過</v>
      </c>
      <c r="C302" s="21" t="str">
        <f>_xll.RssMarket(A302,"現在値")</f>
        <v>表示銘柄数超過</v>
      </c>
      <c r="D302" s="20" t="str">
        <f>_xll.RssMarket(A302,"現在値詳細時刻")</f>
        <v>表示銘柄数超過</v>
      </c>
      <c r="E302" s="22" t="str">
        <f>_xll.RssMarket(A302,"前日比")</f>
        <v>表示銘柄数超過</v>
      </c>
      <c r="F302" s="23" t="e">
        <f>_xll.RssMarket(A302,"前日比率")/100</f>
        <v>#VALUE!</v>
      </c>
      <c r="G302" s="24" t="str">
        <f>IFERROR(VLOOKUP(A302,取得元!$A$2:$F$501,2,FALSE),"-")</f>
        <v>-</v>
      </c>
      <c r="H302" s="24" t="str">
        <f>IFERROR(VLOOKUP(A302,取得元!$A$2:$F$501,3,FALSE),"-")</f>
        <v>-</v>
      </c>
      <c r="I302" s="24" t="str">
        <f>IFERROR(VLOOKUP(A302,取得元!$A$2:$F$501,4,FALSE),"-")</f>
        <v>-</v>
      </c>
      <c r="J302" s="5" t="str">
        <f>IFERROR(VLOOKUP(A302,取得元!$A$2:$F$501,5,FALSE),"-")</f>
        <v>-</v>
      </c>
      <c r="K302" s="25" t="str">
        <f>IFERROR(VLOOKUP(A302,取得元!$A$2:$F$501,6,FALSE)/100,"-")</f>
        <v>-</v>
      </c>
      <c r="L302" s="21" t="str">
        <f>_xll.RssMarket(A302,"始値")</f>
        <v>表示銘柄数超過</v>
      </c>
      <c r="M302" s="4" t="e">
        <f t="shared" si="25"/>
        <v>#VALUE!</v>
      </c>
      <c r="N302" s="21" t="str">
        <f>_xll.RssMarket(A302,"高値")</f>
        <v>表示銘柄数超過</v>
      </c>
      <c r="O302" s="4" t="e">
        <f t="shared" si="26"/>
        <v>#VALUE!</v>
      </c>
      <c r="P302" s="21" t="str">
        <f>_xll.RssMarket(A302,"安値")</f>
        <v>表示銘柄数超過</v>
      </c>
      <c r="Q302" s="4" t="e">
        <f t="shared" si="27"/>
        <v>#VALUE!</v>
      </c>
      <c r="R302" s="21" t="str">
        <f>_xll.RssMarket(A302,"後場始値")</f>
        <v>表示銘柄数超過</v>
      </c>
      <c r="S302" s="25" t="str">
        <f t="shared" si="28"/>
        <v>-</v>
      </c>
      <c r="T302" s="7" t="str">
        <f>_xll.RssMarket(A302,"出来高加重平均")</f>
        <v>表示銘柄数超過</v>
      </c>
      <c r="U302" s="4" t="e">
        <f t="shared" si="29"/>
        <v>#VALUE!</v>
      </c>
      <c r="V302" s="21" t="str">
        <f>_xll.RssMarket(A302,"出来高")</f>
        <v>表示銘柄数超過</v>
      </c>
      <c r="W302" s="21" t="str">
        <f>_xll.RssMarket(A302,"売買代金")</f>
        <v>表示銘柄数超過</v>
      </c>
      <c r="X302" s="20" t="str">
        <f>_xll.RssMarket(A302,"決算発表日")</f>
        <v>表示銘柄数超過</v>
      </c>
      <c r="Y302" s="26" t="str">
        <f>IF(C302&gt;_xll.RssMarket(A302,"年初来高値"),"○","×")</f>
        <v>×</v>
      </c>
      <c r="Z302" s="27" t="str">
        <f>IF(C302&lt;=_xll.RssMarket(A302,"年初来安値"),"○","×")</f>
        <v>○</v>
      </c>
    </row>
    <row r="303" spans="1:26" x14ac:dyDescent="0.25">
      <c r="A303" s="49">
        <v>3521</v>
      </c>
      <c r="B303" s="20" t="str">
        <f>_xll.RssMarket(A303,"銘柄名称")</f>
        <v>表示銘柄数超過</v>
      </c>
      <c r="C303" s="21" t="str">
        <f>_xll.RssMarket(A303,"現在値")</f>
        <v>表示銘柄数超過</v>
      </c>
      <c r="D303" s="20" t="str">
        <f>_xll.RssMarket(A303,"現在値詳細時刻")</f>
        <v>表示銘柄数超過</v>
      </c>
      <c r="E303" s="22" t="str">
        <f>_xll.RssMarket(A303,"前日比")</f>
        <v>表示銘柄数超過</v>
      </c>
      <c r="F303" s="23" t="e">
        <f>_xll.RssMarket(A303,"前日比率")/100</f>
        <v>#VALUE!</v>
      </c>
      <c r="G303" s="24" t="str">
        <f>IFERROR(VLOOKUP(A303,取得元!$A$2:$F$501,2,FALSE),"-")</f>
        <v>-</v>
      </c>
      <c r="H303" s="24" t="str">
        <f>IFERROR(VLOOKUP(A303,取得元!$A$2:$F$501,3,FALSE),"-")</f>
        <v>-</v>
      </c>
      <c r="I303" s="24" t="str">
        <f>IFERROR(VLOOKUP(A303,取得元!$A$2:$F$501,4,FALSE),"-")</f>
        <v>-</v>
      </c>
      <c r="J303" s="5" t="str">
        <f>IFERROR(VLOOKUP(A303,取得元!$A$2:$F$501,5,FALSE),"-")</f>
        <v>-</v>
      </c>
      <c r="K303" s="25" t="str">
        <f>IFERROR(VLOOKUP(A303,取得元!$A$2:$F$501,6,FALSE)/100,"-")</f>
        <v>-</v>
      </c>
      <c r="L303" s="21" t="str">
        <f>_xll.RssMarket(A303,"始値")</f>
        <v>表示銘柄数超過</v>
      </c>
      <c r="M303" s="4" t="e">
        <f t="shared" si="25"/>
        <v>#VALUE!</v>
      </c>
      <c r="N303" s="21" t="str">
        <f>_xll.RssMarket(A303,"高値")</f>
        <v>表示銘柄数超過</v>
      </c>
      <c r="O303" s="4" t="e">
        <f t="shared" si="26"/>
        <v>#VALUE!</v>
      </c>
      <c r="P303" s="21" t="str">
        <f>_xll.RssMarket(A303,"安値")</f>
        <v>表示銘柄数超過</v>
      </c>
      <c r="Q303" s="4" t="e">
        <f t="shared" si="27"/>
        <v>#VALUE!</v>
      </c>
      <c r="R303" s="21" t="str">
        <f>_xll.RssMarket(A303,"後場始値")</f>
        <v>表示銘柄数超過</v>
      </c>
      <c r="S303" s="25" t="str">
        <f t="shared" si="28"/>
        <v>-</v>
      </c>
      <c r="T303" s="7" t="str">
        <f>_xll.RssMarket(A303,"出来高加重平均")</f>
        <v>表示銘柄数超過</v>
      </c>
      <c r="U303" s="4" t="e">
        <f t="shared" si="29"/>
        <v>#VALUE!</v>
      </c>
      <c r="V303" s="21" t="str">
        <f>_xll.RssMarket(A303,"出来高")</f>
        <v>表示銘柄数超過</v>
      </c>
      <c r="W303" s="21" t="str">
        <f>_xll.RssMarket(A303,"売買代金")</f>
        <v>表示銘柄数超過</v>
      </c>
      <c r="X303" s="20" t="str">
        <f>_xll.RssMarket(A303,"決算発表日")</f>
        <v>表示銘柄数超過</v>
      </c>
      <c r="Y303" s="26" t="str">
        <f>IF(C303&gt;_xll.RssMarket(A303,"年初来高値"),"○","×")</f>
        <v>×</v>
      </c>
      <c r="Z303" s="27" t="str">
        <f>IF(C303&lt;=_xll.RssMarket(A303,"年初来安値"),"○","×")</f>
        <v>○</v>
      </c>
    </row>
    <row r="304" spans="1:26" x14ac:dyDescent="0.25">
      <c r="A304" s="47">
        <v>3536</v>
      </c>
      <c r="B304" s="20" t="str">
        <f>_xll.RssMarket(A304,"銘柄名称")</f>
        <v>表示銘柄数超過</v>
      </c>
      <c r="C304" s="21" t="str">
        <f>_xll.RssMarket(A304,"現在値")</f>
        <v>表示銘柄数超過</v>
      </c>
      <c r="D304" s="20" t="str">
        <f>_xll.RssMarket(A304,"現在値詳細時刻")</f>
        <v>表示銘柄数超過</v>
      </c>
      <c r="E304" s="22" t="str">
        <f>_xll.RssMarket(A304,"前日比")</f>
        <v>表示銘柄数超過</v>
      </c>
      <c r="F304" s="23" t="e">
        <f>_xll.RssMarket(A304,"前日比率")/100</f>
        <v>#VALUE!</v>
      </c>
      <c r="G304" s="24" t="str">
        <f>IFERROR(VLOOKUP(A304,取得元!$A$2:$F$501,2,FALSE),"-")</f>
        <v>-</v>
      </c>
      <c r="H304" s="24" t="str">
        <f>IFERROR(VLOOKUP(A304,取得元!$A$2:$F$501,3,FALSE),"-")</f>
        <v>-</v>
      </c>
      <c r="I304" s="24" t="str">
        <f>IFERROR(VLOOKUP(A304,取得元!$A$2:$F$501,4,FALSE),"-")</f>
        <v>-</v>
      </c>
      <c r="J304" s="5" t="str">
        <f>IFERROR(VLOOKUP(A304,取得元!$A$2:$F$501,5,FALSE),"-")</f>
        <v>-</v>
      </c>
      <c r="K304" s="25" t="str">
        <f>IFERROR(VLOOKUP(A304,取得元!$A$2:$F$501,6,FALSE)/100,"-")</f>
        <v>-</v>
      </c>
      <c r="L304" s="21" t="str">
        <f>_xll.RssMarket(A304,"始値")</f>
        <v>表示銘柄数超過</v>
      </c>
      <c r="M304" s="4" t="e">
        <f t="shared" si="25"/>
        <v>#VALUE!</v>
      </c>
      <c r="N304" s="21" t="str">
        <f>_xll.RssMarket(A304,"高値")</f>
        <v>表示銘柄数超過</v>
      </c>
      <c r="O304" s="4" t="e">
        <f t="shared" si="26"/>
        <v>#VALUE!</v>
      </c>
      <c r="P304" s="21" t="str">
        <f>_xll.RssMarket(A304,"安値")</f>
        <v>表示銘柄数超過</v>
      </c>
      <c r="Q304" s="4" t="e">
        <f t="shared" si="27"/>
        <v>#VALUE!</v>
      </c>
      <c r="R304" s="21" t="str">
        <f>_xll.RssMarket(A304,"後場始値")</f>
        <v>表示銘柄数超過</v>
      </c>
      <c r="S304" s="25" t="str">
        <f t="shared" si="28"/>
        <v>-</v>
      </c>
      <c r="T304" s="7" t="str">
        <f>_xll.RssMarket(A304,"出来高加重平均")</f>
        <v>表示銘柄数超過</v>
      </c>
      <c r="U304" s="4" t="e">
        <f t="shared" si="29"/>
        <v>#VALUE!</v>
      </c>
      <c r="V304" s="21" t="str">
        <f>_xll.RssMarket(A304,"出来高")</f>
        <v>表示銘柄数超過</v>
      </c>
      <c r="W304" s="21" t="str">
        <f>_xll.RssMarket(A304,"売買代金")</f>
        <v>表示銘柄数超過</v>
      </c>
      <c r="X304" s="20" t="str">
        <f>_xll.RssMarket(A304,"決算発表日")</f>
        <v>表示銘柄数超過</v>
      </c>
      <c r="Y304" s="26" t="str">
        <f>IF(C304&gt;_xll.RssMarket(A304,"年初来高値"),"○","×")</f>
        <v>×</v>
      </c>
      <c r="Z304" s="27" t="str">
        <f>IF(C304&lt;=_xll.RssMarket(A304,"年初来安値"),"○","×")</f>
        <v>○</v>
      </c>
    </row>
    <row r="305" spans="1:26" x14ac:dyDescent="0.25">
      <c r="A305" s="49">
        <v>3541</v>
      </c>
      <c r="B305" s="20" t="str">
        <f>_xll.RssMarket(A305,"銘柄名称")</f>
        <v>表示銘柄数超過</v>
      </c>
      <c r="C305" s="21" t="str">
        <f>_xll.RssMarket(A305,"現在値")</f>
        <v>表示銘柄数超過</v>
      </c>
      <c r="D305" s="20" t="str">
        <f>_xll.RssMarket(A305,"現在値詳細時刻")</f>
        <v>表示銘柄数超過</v>
      </c>
      <c r="E305" s="22" t="str">
        <f>_xll.RssMarket(A305,"前日比")</f>
        <v>表示銘柄数超過</v>
      </c>
      <c r="F305" s="23" t="e">
        <f>_xll.RssMarket(A305,"前日比率")/100</f>
        <v>#VALUE!</v>
      </c>
      <c r="G305" s="24" t="str">
        <f>IFERROR(VLOOKUP(A305,取得元!$A$2:$F$501,2,FALSE),"-")</f>
        <v>-</v>
      </c>
      <c r="H305" s="24" t="str">
        <f>IFERROR(VLOOKUP(A305,取得元!$A$2:$F$501,3,FALSE),"-")</f>
        <v>-</v>
      </c>
      <c r="I305" s="24" t="str">
        <f>IFERROR(VLOOKUP(A305,取得元!$A$2:$F$501,4,FALSE),"-")</f>
        <v>-</v>
      </c>
      <c r="J305" s="5" t="str">
        <f>IFERROR(VLOOKUP(A305,取得元!$A$2:$F$501,5,FALSE),"-")</f>
        <v>-</v>
      </c>
      <c r="K305" s="25" t="str">
        <f>IFERROR(VLOOKUP(A305,取得元!$A$2:$F$501,6,FALSE)/100,"-")</f>
        <v>-</v>
      </c>
      <c r="L305" s="21" t="str">
        <f>_xll.RssMarket(A305,"始値")</f>
        <v>表示銘柄数超過</v>
      </c>
      <c r="M305" s="4" t="e">
        <f t="shared" si="25"/>
        <v>#VALUE!</v>
      </c>
      <c r="N305" s="21" t="str">
        <f>_xll.RssMarket(A305,"高値")</f>
        <v>表示銘柄数超過</v>
      </c>
      <c r="O305" s="4" t="e">
        <f t="shared" si="26"/>
        <v>#VALUE!</v>
      </c>
      <c r="P305" s="21" t="str">
        <f>_xll.RssMarket(A305,"安値")</f>
        <v>表示銘柄数超過</v>
      </c>
      <c r="Q305" s="4" t="e">
        <f t="shared" si="27"/>
        <v>#VALUE!</v>
      </c>
      <c r="R305" s="21" t="str">
        <f>_xll.RssMarket(A305,"後場始値")</f>
        <v>表示銘柄数超過</v>
      </c>
      <c r="S305" s="25" t="str">
        <f t="shared" si="28"/>
        <v>-</v>
      </c>
      <c r="T305" s="7" t="str">
        <f>_xll.RssMarket(A305,"出来高加重平均")</f>
        <v>表示銘柄数超過</v>
      </c>
      <c r="U305" s="4" t="e">
        <f t="shared" si="29"/>
        <v>#VALUE!</v>
      </c>
      <c r="V305" s="21" t="str">
        <f>_xll.RssMarket(A305,"出来高")</f>
        <v>表示銘柄数超過</v>
      </c>
      <c r="W305" s="21" t="str">
        <f>_xll.RssMarket(A305,"売買代金")</f>
        <v>表示銘柄数超過</v>
      </c>
      <c r="X305" s="20" t="str">
        <f>_xll.RssMarket(A305,"決算発表日")</f>
        <v>表示銘柄数超過</v>
      </c>
      <c r="Y305" s="26" t="str">
        <f>IF(C305&gt;_xll.RssMarket(A305,"年初来高値"),"○","×")</f>
        <v>×</v>
      </c>
      <c r="Z305" s="27" t="str">
        <f>IF(C305&lt;=_xll.RssMarket(A305,"年初来安値"),"○","×")</f>
        <v>○</v>
      </c>
    </row>
    <row r="306" spans="1:26" x14ac:dyDescent="0.25">
      <c r="A306" s="47">
        <v>3543</v>
      </c>
      <c r="B306" s="20" t="str">
        <f>_xll.RssMarket(A306,"銘柄名称")</f>
        <v>表示銘柄数超過</v>
      </c>
      <c r="C306" s="21" t="str">
        <f>_xll.RssMarket(A306,"現在値")</f>
        <v>表示銘柄数超過</v>
      </c>
      <c r="D306" s="20" t="str">
        <f>_xll.RssMarket(A306,"現在値詳細時刻")</f>
        <v>表示銘柄数超過</v>
      </c>
      <c r="E306" s="22" t="str">
        <f>_xll.RssMarket(A306,"前日比")</f>
        <v>表示銘柄数超過</v>
      </c>
      <c r="F306" s="23" t="e">
        <f>_xll.RssMarket(A306,"前日比率")/100</f>
        <v>#VALUE!</v>
      </c>
      <c r="G306" s="24" t="str">
        <f>IFERROR(VLOOKUP(A306,取得元!$A$2:$F$501,2,FALSE),"-")</f>
        <v>-</v>
      </c>
      <c r="H306" s="24" t="str">
        <f>IFERROR(VLOOKUP(A306,取得元!$A$2:$F$501,3,FALSE),"-")</f>
        <v>-</v>
      </c>
      <c r="I306" s="24" t="str">
        <f>IFERROR(VLOOKUP(A306,取得元!$A$2:$F$501,4,FALSE),"-")</f>
        <v>-</v>
      </c>
      <c r="J306" s="5" t="str">
        <f>IFERROR(VLOOKUP(A306,取得元!$A$2:$F$501,5,FALSE),"-")</f>
        <v>-</v>
      </c>
      <c r="K306" s="25" t="str">
        <f>IFERROR(VLOOKUP(A306,取得元!$A$2:$F$501,6,FALSE)/100,"-")</f>
        <v>-</v>
      </c>
      <c r="L306" s="21" t="str">
        <f>_xll.RssMarket(A306,"始値")</f>
        <v>表示銘柄数超過</v>
      </c>
      <c r="M306" s="4" t="e">
        <f t="shared" si="25"/>
        <v>#VALUE!</v>
      </c>
      <c r="N306" s="21" t="str">
        <f>_xll.RssMarket(A306,"高値")</f>
        <v>表示銘柄数超過</v>
      </c>
      <c r="O306" s="4" t="e">
        <f t="shared" si="26"/>
        <v>#VALUE!</v>
      </c>
      <c r="P306" s="21" t="str">
        <f>_xll.RssMarket(A306,"安値")</f>
        <v>表示銘柄数超過</v>
      </c>
      <c r="Q306" s="4" t="e">
        <f t="shared" si="27"/>
        <v>#VALUE!</v>
      </c>
      <c r="R306" s="21" t="str">
        <f>_xll.RssMarket(A306,"後場始値")</f>
        <v>表示銘柄数超過</v>
      </c>
      <c r="S306" s="25" t="str">
        <f t="shared" si="28"/>
        <v>-</v>
      </c>
      <c r="T306" s="7" t="str">
        <f>_xll.RssMarket(A306,"出来高加重平均")</f>
        <v>表示銘柄数超過</v>
      </c>
      <c r="U306" s="4" t="e">
        <f t="shared" si="29"/>
        <v>#VALUE!</v>
      </c>
      <c r="V306" s="21" t="str">
        <f>_xll.RssMarket(A306,"出来高")</f>
        <v>表示銘柄数超過</v>
      </c>
      <c r="W306" s="21" t="str">
        <f>_xll.RssMarket(A306,"売買代金")</f>
        <v>表示銘柄数超過</v>
      </c>
      <c r="X306" s="20" t="str">
        <f>_xll.RssMarket(A306,"決算発表日")</f>
        <v>表示銘柄数超過</v>
      </c>
      <c r="Y306" s="26" t="str">
        <f>IF(C306&gt;_xll.RssMarket(A306,"年初来高値"),"○","×")</f>
        <v>×</v>
      </c>
      <c r="Z306" s="27" t="str">
        <f>IF(C306&lt;=_xll.RssMarket(A306,"年初来安値"),"○","×")</f>
        <v>○</v>
      </c>
    </row>
    <row r="307" spans="1:26" x14ac:dyDescent="0.25">
      <c r="A307" s="49">
        <v>3551</v>
      </c>
      <c r="B307" s="20" t="str">
        <f>_xll.RssMarket(A307,"銘柄名称")</f>
        <v>表示銘柄数超過</v>
      </c>
      <c r="C307" s="21" t="str">
        <f>_xll.RssMarket(A307,"現在値")</f>
        <v>表示銘柄数超過</v>
      </c>
      <c r="D307" s="20" t="str">
        <f>_xll.RssMarket(A307,"現在値詳細時刻")</f>
        <v>表示銘柄数超過</v>
      </c>
      <c r="E307" s="22" t="str">
        <f>_xll.RssMarket(A307,"前日比")</f>
        <v>表示銘柄数超過</v>
      </c>
      <c r="F307" s="23" t="e">
        <f>_xll.RssMarket(A307,"前日比率")/100</f>
        <v>#VALUE!</v>
      </c>
      <c r="G307" s="24" t="str">
        <f>IFERROR(VLOOKUP(A307,取得元!$A$2:$F$501,2,FALSE),"-")</f>
        <v>-</v>
      </c>
      <c r="H307" s="24" t="str">
        <f>IFERROR(VLOOKUP(A307,取得元!$A$2:$F$501,3,FALSE),"-")</f>
        <v>-</v>
      </c>
      <c r="I307" s="24" t="str">
        <f>IFERROR(VLOOKUP(A307,取得元!$A$2:$F$501,4,FALSE),"-")</f>
        <v>-</v>
      </c>
      <c r="J307" s="5" t="str">
        <f>IFERROR(VLOOKUP(A307,取得元!$A$2:$F$501,5,FALSE),"-")</f>
        <v>-</v>
      </c>
      <c r="K307" s="25" t="str">
        <f>IFERROR(VLOOKUP(A307,取得元!$A$2:$F$501,6,FALSE)/100,"-")</f>
        <v>-</v>
      </c>
      <c r="L307" s="21" t="str">
        <f>_xll.RssMarket(A307,"始値")</f>
        <v>表示銘柄数超過</v>
      </c>
      <c r="M307" s="4" t="e">
        <f t="shared" si="25"/>
        <v>#VALUE!</v>
      </c>
      <c r="N307" s="21" t="str">
        <f>_xll.RssMarket(A307,"高値")</f>
        <v>表示銘柄数超過</v>
      </c>
      <c r="O307" s="4" t="e">
        <f t="shared" si="26"/>
        <v>#VALUE!</v>
      </c>
      <c r="P307" s="21" t="str">
        <f>_xll.RssMarket(A307,"安値")</f>
        <v>表示銘柄数超過</v>
      </c>
      <c r="Q307" s="4" t="e">
        <f t="shared" si="27"/>
        <v>#VALUE!</v>
      </c>
      <c r="R307" s="21" t="str">
        <f>_xll.RssMarket(A307,"後場始値")</f>
        <v>表示銘柄数超過</v>
      </c>
      <c r="S307" s="25" t="str">
        <f t="shared" si="28"/>
        <v>-</v>
      </c>
      <c r="T307" s="7" t="str">
        <f>_xll.RssMarket(A307,"出来高加重平均")</f>
        <v>表示銘柄数超過</v>
      </c>
      <c r="U307" s="4" t="e">
        <f t="shared" si="29"/>
        <v>#VALUE!</v>
      </c>
      <c r="V307" s="21" t="str">
        <f>_xll.RssMarket(A307,"出来高")</f>
        <v>表示銘柄数超過</v>
      </c>
      <c r="W307" s="21" t="str">
        <f>_xll.RssMarket(A307,"売買代金")</f>
        <v>表示銘柄数超過</v>
      </c>
      <c r="X307" s="20" t="str">
        <f>_xll.RssMarket(A307,"決算発表日")</f>
        <v>表示銘柄数超過</v>
      </c>
      <c r="Y307" s="26" t="str">
        <f>IF(C307&gt;_xll.RssMarket(A307,"年初来高値"),"○","×")</f>
        <v>×</v>
      </c>
      <c r="Z307" s="27" t="str">
        <f>IF(C307&lt;=_xll.RssMarket(A307,"年初来安値"),"○","×")</f>
        <v>○</v>
      </c>
    </row>
    <row r="308" spans="1:26" x14ac:dyDescent="0.25">
      <c r="A308" s="47">
        <v>3553</v>
      </c>
      <c r="B308" s="20" t="str">
        <f>_xll.RssMarket(A308,"銘柄名称")</f>
        <v>表示銘柄数超過</v>
      </c>
      <c r="C308" s="21" t="str">
        <f>_xll.RssMarket(A308,"現在値")</f>
        <v>表示銘柄数超過</v>
      </c>
      <c r="D308" s="20" t="str">
        <f>_xll.RssMarket(A308,"現在値詳細時刻")</f>
        <v>表示銘柄数超過</v>
      </c>
      <c r="E308" s="22" t="str">
        <f>_xll.RssMarket(A308,"前日比")</f>
        <v>表示銘柄数超過</v>
      </c>
      <c r="F308" s="23" t="e">
        <f>_xll.RssMarket(A308,"前日比率")/100</f>
        <v>#VALUE!</v>
      </c>
      <c r="G308" s="24" t="str">
        <f>IFERROR(VLOOKUP(A308,取得元!$A$2:$F$501,2,FALSE),"-")</f>
        <v>-</v>
      </c>
      <c r="H308" s="24" t="str">
        <f>IFERROR(VLOOKUP(A308,取得元!$A$2:$F$501,3,FALSE),"-")</f>
        <v>-</v>
      </c>
      <c r="I308" s="24" t="str">
        <f>IFERROR(VLOOKUP(A308,取得元!$A$2:$F$501,4,FALSE),"-")</f>
        <v>-</v>
      </c>
      <c r="J308" s="5" t="str">
        <f>IFERROR(VLOOKUP(A308,取得元!$A$2:$F$501,5,FALSE),"-")</f>
        <v>-</v>
      </c>
      <c r="K308" s="25" t="str">
        <f>IFERROR(VLOOKUP(A308,取得元!$A$2:$F$501,6,FALSE)/100,"-")</f>
        <v>-</v>
      </c>
      <c r="L308" s="21" t="str">
        <f>_xll.RssMarket(A308,"始値")</f>
        <v>表示銘柄数超過</v>
      </c>
      <c r="M308" s="4" t="e">
        <f t="shared" si="25"/>
        <v>#VALUE!</v>
      </c>
      <c r="N308" s="21" t="str">
        <f>_xll.RssMarket(A308,"高値")</f>
        <v>表示銘柄数超過</v>
      </c>
      <c r="O308" s="4" t="e">
        <f t="shared" si="26"/>
        <v>#VALUE!</v>
      </c>
      <c r="P308" s="21" t="str">
        <f>_xll.RssMarket(A308,"安値")</f>
        <v>表示銘柄数超過</v>
      </c>
      <c r="Q308" s="4" t="e">
        <f t="shared" si="27"/>
        <v>#VALUE!</v>
      </c>
      <c r="R308" s="21" t="str">
        <f>_xll.RssMarket(A308,"後場始値")</f>
        <v>表示銘柄数超過</v>
      </c>
      <c r="S308" s="25" t="str">
        <f t="shared" si="28"/>
        <v>-</v>
      </c>
      <c r="T308" s="7" t="str">
        <f>_xll.RssMarket(A308,"出来高加重平均")</f>
        <v>表示銘柄数超過</v>
      </c>
      <c r="U308" s="4" t="e">
        <f t="shared" si="29"/>
        <v>#VALUE!</v>
      </c>
      <c r="V308" s="21" t="str">
        <f>_xll.RssMarket(A308,"出来高")</f>
        <v>表示銘柄数超過</v>
      </c>
      <c r="W308" s="21" t="str">
        <f>_xll.RssMarket(A308,"売買代金")</f>
        <v>表示銘柄数超過</v>
      </c>
      <c r="X308" s="20" t="str">
        <f>_xll.RssMarket(A308,"決算発表日")</f>
        <v>表示銘柄数超過</v>
      </c>
      <c r="Y308" s="26" t="str">
        <f>IF(C308&gt;_xll.RssMarket(A308,"年初来高値"),"○","×")</f>
        <v>×</v>
      </c>
      <c r="Z308" s="27" t="str">
        <f>IF(C308&lt;=_xll.RssMarket(A308,"年初来安値"),"○","×")</f>
        <v>○</v>
      </c>
    </row>
    <row r="309" spans="1:26" x14ac:dyDescent="0.25">
      <c r="A309" s="49">
        <v>3561</v>
      </c>
      <c r="B309" s="20" t="str">
        <f>_xll.RssMarket(A309,"銘柄名称")</f>
        <v>表示銘柄数超過</v>
      </c>
      <c r="C309" s="21" t="str">
        <f>_xll.RssMarket(A309,"現在値")</f>
        <v>表示銘柄数超過</v>
      </c>
      <c r="D309" s="20" t="str">
        <f>_xll.RssMarket(A309,"現在値詳細時刻")</f>
        <v>表示銘柄数超過</v>
      </c>
      <c r="E309" s="22" t="str">
        <f>_xll.RssMarket(A309,"前日比")</f>
        <v>表示銘柄数超過</v>
      </c>
      <c r="F309" s="23" t="e">
        <f>_xll.RssMarket(A309,"前日比率")/100</f>
        <v>#VALUE!</v>
      </c>
      <c r="G309" s="24" t="str">
        <f>IFERROR(VLOOKUP(A309,取得元!$A$2:$F$501,2,FALSE),"-")</f>
        <v>-</v>
      </c>
      <c r="H309" s="24" t="str">
        <f>IFERROR(VLOOKUP(A309,取得元!$A$2:$F$501,3,FALSE),"-")</f>
        <v>-</v>
      </c>
      <c r="I309" s="24" t="str">
        <f>IFERROR(VLOOKUP(A309,取得元!$A$2:$F$501,4,FALSE),"-")</f>
        <v>-</v>
      </c>
      <c r="J309" s="5" t="str">
        <f>IFERROR(VLOOKUP(A309,取得元!$A$2:$F$501,5,FALSE),"-")</f>
        <v>-</v>
      </c>
      <c r="K309" s="25" t="str">
        <f>IFERROR(VLOOKUP(A309,取得元!$A$2:$F$501,6,FALSE)/100,"-")</f>
        <v>-</v>
      </c>
      <c r="L309" s="21" t="str">
        <f>_xll.RssMarket(A309,"始値")</f>
        <v>表示銘柄数超過</v>
      </c>
      <c r="M309" s="4" t="e">
        <f t="shared" si="25"/>
        <v>#VALUE!</v>
      </c>
      <c r="N309" s="21" t="str">
        <f>_xll.RssMarket(A309,"高値")</f>
        <v>表示銘柄数超過</v>
      </c>
      <c r="O309" s="4" t="e">
        <f t="shared" si="26"/>
        <v>#VALUE!</v>
      </c>
      <c r="P309" s="21" t="str">
        <f>_xll.RssMarket(A309,"安値")</f>
        <v>表示銘柄数超過</v>
      </c>
      <c r="Q309" s="4" t="e">
        <f t="shared" si="27"/>
        <v>#VALUE!</v>
      </c>
      <c r="R309" s="21" t="str">
        <f>_xll.RssMarket(A309,"後場始値")</f>
        <v>表示銘柄数超過</v>
      </c>
      <c r="S309" s="25" t="str">
        <f t="shared" si="28"/>
        <v>-</v>
      </c>
      <c r="T309" s="7" t="str">
        <f>_xll.RssMarket(A309,"出来高加重平均")</f>
        <v>表示銘柄数超過</v>
      </c>
      <c r="U309" s="4" t="e">
        <f t="shared" si="29"/>
        <v>#VALUE!</v>
      </c>
      <c r="V309" s="21" t="str">
        <f>_xll.RssMarket(A309,"出来高")</f>
        <v>表示銘柄数超過</v>
      </c>
      <c r="W309" s="21" t="str">
        <f>_xll.RssMarket(A309,"売買代金")</f>
        <v>表示銘柄数超過</v>
      </c>
      <c r="X309" s="20" t="str">
        <f>_xll.RssMarket(A309,"決算発表日")</f>
        <v>表示銘柄数超過</v>
      </c>
      <c r="Y309" s="26" t="str">
        <f>IF(C309&gt;_xll.RssMarket(A309,"年初来高値"),"○","×")</f>
        <v>×</v>
      </c>
      <c r="Z309" s="27" t="str">
        <f>IF(C309&lt;=_xll.RssMarket(A309,"年初来安値"),"○","×")</f>
        <v>○</v>
      </c>
    </row>
    <row r="310" spans="1:26" x14ac:dyDescent="0.25">
      <c r="A310" s="47">
        <v>3580</v>
      </c>
      <c r="B310" s="20" t="str">
        <f>_xll.RssMarket(A310,"銘柄名称")</f>
        <v>表示銘柄数超過</v>
      </c>
      <c r="C310" s="21" t="str">
        <f>_xll.RssMarket(A310,"現在値")</f>
        <v>表示銘柄数超過</v>
      </c>
      <c r="D310" s="20" t="str">
        <f>_xll.RssMarket(A310,"現在値詳細時刻")</f>
        <v>表示銘柄数超過</v>
      </c>
      <c r="E310" s="22" t="str">
        <f>_xll.RssMarket(A310,"前日比")</f>
        <v>表示銘柄数超過</v>
      </c>
      <c r="F310" s="23" t="e">
        <f>_xll.RssMarket(A310,"前日比率")/100</f>
        <v>#VALUE!</v>
      </c>
      <c r="G310" s="24" t="str">
        <f>IFERROR(VLOOKUP(A310,取得元!$A$2:$F$501,2,FALSE),"-")</f>
        <v>-</v>
      </c>
      <c r="H310" s="24" t="str">
        <f>IFERROR(VLOOKUP(A310,取得元!$A$2:$F$501,3,FALSE),"-")</f>
        <v>-</v>
      </c>
      <c r="I310" s="24" t="str">
        <f>IFERROR(VLOOKUP(A310,取得元!$A$2:$F$501,4,FALSE),"-")</f>
        <v>-</v>
      </c>
      <c r="J310" s="5" t="str">
        <f>IFERROR(VLOOKUP(A310,取得元!$A$2:$F$501,5,FALSE),"-")</f>
        <v>-</v>
      </c>
      <c r="K310" s="25" t="str">
        <f>IFERROR(VLOOKUP(A310,取得元!$A$2:$F$501,6,FALSE)/100,"-")</f>
        <v>-</v>
      </c>
      <c r="L310" s="21" t="str">
        <f>_xll.RssMarket(A310,"始値")</f>
        <v>表示銘柄数超過</v>
      </c>
      <c r="M310" s="4" t="e">
        <f t="shared" si="25"/>
        <v>#VALUE!</v>
      </c>
      <c r="N310" s="21" t="str">
        <f>_xll.RssMarket(A310,"高値")</f>
        <v>表示銘柄数超過</v>
      </c>
      <c r="O310" s="4" t="e">
        <f t="shared" si="26"/>
        <v>#VALUE!</v>
      </c>
      <c r="P310" s="21" t="str">
        <f>_xll.RssMarket(A310,"安値")</f>
        <v>表示銘柄数超過</v>
      </c>
      <c r="Q310" s="4" t="e">
        <f t="shared" si="27"/>
        <v>#VALUE!</v>
      </c>
      <c r="R310" s="21" t="str">
        <f>_xll.RssMarket(A310,"後場始値")</f>
        <v>表示銘柄数超過</v>
      </c>
      <c r="S310" s="25" t="str">
        <f t="shared" si="28"/>
        <v>-</v>
      </c>
      <c r="T310" s="7" t="str">
        <f>_xll.RssMarket(A310,"出来高加重平均")</f>
        <v>表示銘柄数超過</v>
      </c>
      <c r="U310" s="4" t="e">
        <f t="shared" si="29"/>
        <v>#VALUE!</v>
      </c>
      <c r="V310" s="21" t="str">
        <f>_xll.RssMarket(A310,"出来高")</f>
        <v>表示銘柄数超過</v>
      </c>
      <c r="W310" s="21" t="str">
        <f>_xll.RssMarket(A310,"売買代金")</f>
        <v>表示銘柄数超過</v>
      </c>
      <c r="X310" s="20" t="str">
        <f>_xll.RssMarket(A310,"決算発表日")</f>
        <v>表示銘柄数超過</v>
      </c>
      <c r="Y310" s="26" t="str">
        <f>IF(C310&gt;_xll.RssMarket(A310,"年初来高値"),"○","×")</f>
        <v>×</v>
      </c>
      <c r="Z310" s="27" t="str">
        <f>IF(C310&lt;=_xll.RssMarket(A310,"年初来安値"),"○","×")</f>
        <v>○</v>
      </c>
    </row>
    <row r="311" spans="1:26" x14ac:dyDescent="0.25">
      <c r="A311" s="49">
        <v>3607</v>
      </c>
      <c r="B311" s="20" t="str">
        <f>_xll.RssMarket(A311,"銘柄名称")</f>
        <v>表示銘柄数超過</v>
      </c>
      <c r="C311" s="21" t="str">
        <f>_xll.RssMarket(A311,"現在値")</f>
        <v>表示銘柄数超過</v>
      </c>
      <c r="D311" s="20" t="str">
        <f>_xll.RssMarket(A311,"現在値詳細時刻")</f>
        <v>表示銘柄数超過</v>
      </c>
      <c r="E311" s="22" t="str">
        <f>_xll.RssMarket(A311,"前日比")</f>
        <v>表示銘柄数超過</v>
      </c>
      <c r="F311" s="23" t="e">
        <f>_xll.RssMarket(A311,"前日比率")/100</f>
        <v>#VALUE!</v>
      </c>
      <c r="G311" s="24" t="str">
        <f>IFERROR(VLOOKUP(A311,取得元!$A$2:$F$501,2,FALSE),"-")</f>
        <v>-</v>
      </c>
      <c r="H311" s="24" t="str">
        <f>IFERROR(VLOOKUP(A311,取得元!$A$2:$F$501,3,FALSE),"-")</f>
        <v>-</v>
      </c>
      <c r="I311" s="24" t="str">
        <f>IFERROR(VLOOKUP(A311,取得元!$A$2:$F$501,4,FALSE),"-")</f>
        <v>-</v>
      </c>
      <c r="J311" s="5" t="str">
        <f>IFERROR(VLOOKUP(A311,取得元!$A$2:$F$501,5,FALSE),"-")</f>
        <v>-</v>
      </c>
      <c r="K311" s="25" t="str">
        <f>IFERROR(VLOOKUP(A311,取得元!$A$2:$F$501,6,FALSE)/100,"-")</f>
        <v>-</v>
      </c>
      <c r="L311" s="21" t="str">
        <f>_xll.RssMarket(A311,"始値")</f>
        <v>表示銘柄数超過</v>
      </c>
      <c r="M311" s="4" t="e">
        <f t="shared" si="25"/>
        <v>#VALUE!</v>
      </c>
      <c r="N311" s="21" t="str">
        <f>_xll.RssMarket(A311,"高値")</f>
        <v>表示銘柄数超過</v>
      </c>
      <c r="O311" s="4" t="e">
        <f t="shared" si="26"/>
        <v>#VALUE!</v>
      </c>
      <c r="P311" s="21" t="str">
        <f>_xll.RssMarket(A311,"安値")</f>
        <v>表示銘柄数超過</v>
      </c>
      <c r="Q311" s="4" t="e">
        <f t="shared" si="27"/>
        <v>#VALUE!</v>
      </c>
      <c r="R311" s="21" t="str">
        <f>_xll.RssMarket(A311,"後場始値")</f>
        <v>表示銘柄数超過</v>
      </c>
      <c r="S311" s="25" t="str">
        <f t="shared" si="28"/>
        <v>-</v>
      </c>
      <c r="T311" s="7" t="str">
        <f>_xll.RssMarket(A311,"出来高加重平均")</f>
        <v>表示銘柄数超過</v>
      </c>
      <c r="U311" s="4" t="e">
        <f t="shared" si="29"/>
        <v>#VALUE!</v>
      </c>
      <c r="V311" s="21" t="str">
        <f>_xll.RssMarket(A311,"出来高")</f>
        <v>表示銘柄数超過</v>
      </c>
      <c r="W311" s="21" t="str">
        <f>_xll.RssMarket(A311,"売買代金")</f>
        <v>表示銘柄数超過</v>
      </c>
      <c r="X311" s="20" t="str">
        <f>_xll.RssMarket(A311,"決算発表日")</f>
        <v>表示銘柄数超過</v>
      </c>
      <c r="Y311" s="26" t="str">
        <f>IF(C311&gt;_xll.RssMarket(A311,"年初来高値"),"○","×")</f>
        <v>×</v>
      </c>
      <c r="Z311" s="27" t="str">
        <f>IF(C311&lt;=_xll.RssMarket(A311,"年初来安値"),"○","×")</f>
        <v>○</v>
      </c>
    </row>
    <row r="312" spans="1:26" x14ac:dyDescent="0.25">
      <c r="A312" s="47">
        <v>3624</v>
      </c>
      <c r="B312" s="20" t="str">
        <f>_xll.RssMarket(A312,"銘柄名称")</f>
        <v>表示銘柄数超過</v>
      </c>
      <c r="C312" s="21" t="str">
        <f>_xll.RssMarket(A312,"現在値")</f>
        <v>表示銘柄数超過</v>
      </c>
      <c r="D312" s="20" t="str">
        <f>_xll.RssMarket(A312,"現在値詳細時刻")</f>
        <v>表示銘柄数超過</v>
      </c>
      <c r="E312" s="22" t="str">
        <f>_xll.RssMarket(A312,"前日比")</f>
        <v>表示銘柄数超過</v>
      </c>
      <c r="F312" s="23" t="e">
        <f>_xll.RssMarket(A312,"前日比率")/100</f>
        <v>#VALUE!</v>
      </c>
      <c r="G312" s="24" t="str">
        <f>IFERROR(VLOOKUP(A312,取得元!$A$2:$F$501,2,FALSE),"-")</f>
        <v>-</v>
      </c>
      <c r="H312" s="24" t="str">
        <f>IFERROR(VLOOKUP(A312,取得元!$A$2:$F$501,3,FALSE),"-")</f>
        <v>-</v>
      </c>
      <c r="I312" s="24" t="str">
        <f>IFERROR(VLOOKUP(A312,取得元!$A$2:$F$501,4,FALSE),"-")</f>
        <v>-</v>
      </c>
      <c r="J312" s="5" t="str">
        <f>IFERROR(VLOOKUP(A312,取得元!$A$2:$F$501,5,FALSE),"-")</f>
        <v>-</v>
      </c>
      <c r="K312" s="25" t="str">
        <f>IFERROR(VLOOKUP(A312,取得元!$A$2:$F$501,6,FALSE)/100,"-")</f>
        <v>-</v>
      </c>
      <c r="L312" s="21" t="str">
        <f>_xll.RssMarket(A312,"始値")</f>
        <v>表示銘柄数超過</v>
      </c>
      <c r="M312" s="4" t="e">
        <f t="shared" si="25"/>
        <v>#VALUE!</v>
      </c>
      <c r="N312" s="21" t="str">
        <f>_xll.RssMarket(A312,"高値")</f>
        <v>表示銘柄数超過</v>
      </c>
      <c r="O312" s="4" t="e">
        <f t="shared" si="26"/>
        <v>#VALUE!</v>
      </c>
      <c r="P312" s="21" t="str">
        <f>_xll.RssMarket(A312,"安値")</f>
        <v>表示銘柄数超過</v>
      </c>
      <c r="Q312" s="4" t="e">
        <f t="shared" si="27"/>
        <v>#VALUE!</v>
      </c>
      <c r="R312" s="21" t="str">
        <f>_xll.RssMarket(A312,"後場始値")</f>
        <v>表示銘柄数超過</v>
      </c>
      <c r="S312" s="25" t="str">
        <f t="shared" si="28"/>
        <v>-</v>
      </c>
      <c r="T312" s="7" t="str">
        <f>_xll.RssMarket(A312,"出来高加重平均")</f>
        <v>表示銘柄数超過</v>
      </c>
      <c r="U312" s="4" t="e">
        <f t="shared" si="29"/>
        <v>#VALUE!</v>
      </c>
      <c r="V312" s="21" t="str">
        <f>_xll.RssMarket(A312,"出来高")</f>
        <v>表示銘柄数超過</v>
      </c>
      <c r="W312" s="21" t="str">
        <f>_xll.RssMarket(A312,"売買代金")</f>
        <v>表示銘柄数超過</v>
      </c>
      <c r="X312" s="20" t="str">
        <f>_xll.RssMarket(A312,"決算発表日")</f>
        <v>表示銘柄数超過</v>
      </c>
      <c r="Y312" s="26" t="str">
        <f>IF(C312&gt;_xll.RssMarket(A312,"年初来高値"),"○","×")</f>
        <v>×</v>
      </c>
      <c r="Z312" s="27" t="str">
        <f>IF(C312&lt;=_xll.RssMarket(A312,"年初来安値"),"○","×")</f>
        <v>○</v>
      </c>
    </row>
    <row r="313" spans="1:26" x14ac:dyDescent="0.25">
      <c r="A313" s="49">
        <v>3625</v>
      </c>
      <c r="B313" s="20" t="str">
        <f>_xll.RssMarket(A313,"銘柄名称")</f>
        <v>表示銘柄数超過</v>
      </c>
      <c r="C313" s="21" t="str">
        <f>_xll.RssMarket(A313,"現在値")</f>
        <v>表示銘柄数超過</v>
      </c>
      <c r="D313" s="20" t="str">
        <f>_xll.RssMarket(A313,"現在値詳細時刻")</f>
        <v>表示銘柄数超過</v>
      </c>
      <c r="E313" s="22" t="str">
        <f>_xll.RssMarket(A313,"前日比")</f>
        <v>表示銘柄数超過</v>
      </c>
      <c r="F313" s="23" t="e">
        <f>_xll.RssMarket(A313,"前日比率")/100</f>
        <v>#VALUE!</v>
      </c>
      <c r="G313" s="24" t="str">
        <f>IFERROR(VLOOKUP(A313,取得元!$A$2:$F$501,2,FALSE),"-")</f>
        <v>-</v>
      </c>
      <c r="H313" s="24" t="str">
        <f>IFERROR(VLOOKUP(A313,取得元!$A$2:$F$501,3,FALSE),"-")</f>
        <v>-</v>
      </c>
      <c r="I313" s="24" t="str">
        <f>IFERROR(VLOOKUP(A313,取得元!$A$2:$F$501,4,FALSE),"-")</f>
        <v>-</v>
      </c>
      <c r="J313" s="5" t="str">
        <f>IFERROR(VLOOKUP(A313,取得元!$A$2:$F$501,5,FALSE),"-")</f>
        <v>-</v>
      </c>
      <c r="K313" s="25" t="str">
        <f>IFERROR(VLOOKUP(A313,取得元!$A$2:$F$501,6,FALSE)/100,"-")</f>
        <v>-</v>
      </c>
      <c r="L313" s="21" t="str">
        <f>_xll.RssMarket(A313,"始値")</f>
        <v>表示銘柄数超過</v>
      </c>
      <c r="M313" s="4" t="e">
        <f t="shared" si="25"/>
        <v>#VALUE!</v>
      </c>
      <c r="N313" s="21" t="str">
        <f>_xll.RssMarket(A313,"高値")</f>
        <v>表示銘柄数超過</v>
      </c>
      <c r="O313" s="4" t="e">
        <f t="shared" si="26"/>
        <v>#VALUE!</v>
      </c>
      <c r="P313" s="21" t="str">
        <f>_xll.RssMarket(A313,"安値")</f>
        <v>表示銘柄数超過</v>
      </c>
      <c r="Q313" s="4" t="e">
        <f t="shared" si="27"/>
        <v>#VALUE!</v>
      </c>
      <c r="R313" s="21" t="str">
        <f>_xll.RssMarket(A313,"後場始値")</f>
        <v>表示銘柄数超過</v>
      </c>
      <c r="S313" s="25" t="str">
        <f t="shared" si="28"/>
        <v>-</v>
      </c>
      <c r="T313" s="7" t="str">
        <f>_xll.RssMarket(A313,"出来高加重平均")</f>
        <v>表示銘柄数超過</v>
      </c>
      <c r="U313" s="4" t="e">
        <f t="shared" si="29"/>
        <v>#VALUE!</v>
      </c>
      <c r="V313" s="21" t="str">
        <f>_xll.RssMarket(A313,"出来高")</f>
        <v>表示銘柄数超過</v>
      </c>
      <c r="W313" s="21" t="str">
        <f>_xll.RssMarket(A313,"売買代金")</f>
        <v>表示銘柄数超過</v>
      </c>
      <c r="X313" s="20" t="str">
        <f>_xll.RssMarket(A313,"決算発表日")</f>
        <v>表示銘柄数超過</v>
      </c>
      <c r="Y313" s="26" t="str">
        <f>IF(C313&gt;_xll.RssMarket(A313,"年初来高値"),"○","×")</f>
        <v>×</v>
      </c>
      <c r="Z313" s="27" t="str">
        <f>IF(C313&lt;=_xll.RssMarket(A313,"年初来安値"),"○","×")</f>
        <v>○</v>
      </c>
    </row>
    <row r="314" spans="1:26" x14ac:dyDescent="0.25">
      <c r="A314" s="47">
        <v>3626</v>
      </c>
      <c r="B314" s="20" t="str">
        <f>_xll.RssMarket(A314,"銘柄名称")</f>
        <v>表示銘柄数超過</v>
      </c>
      <c r="C314" s="21" t="str">
        <f>_xll.RssMarket(A314,"現在値")</f>
        <v>表示銘柄数超過</v>
      </c>
      <c r="D314" s="20" t="str">
        <f>_xll.RssMarket(A314,"現在値詳細時刻")</f>
        <v>表示銘柄数超過</v>
      </c>
      <c r="E314" s="22" t="str">
        <f>_xll.RssMarket(A314,"前日比")</f>
        <v>表示銘柄数超過</v>
      </c>
      <c r="F314" s="23" t="e">
        <f>_xll.RssMarket(A314,"前日比率")/100</f>
        <v>#VALUE!</v>
      </c>
      <c r="G314" s="24" t="str">
        <f>IFERROR(VLOOKUP(A314,取得元!$A$2:$F$501,2,FALSE),"-")</f>
        <v>-</v>
      </c>
      <c r="H314" s="24" t="str">
        <f>IFERROR(VLOOKUP(A314,取得元!$A$2:$F$501,3,FALSE),"-")</f>
        <v>-</v>
      </c>
      <c r="I314" s="24" t="str">
        <f>IFERROR(VLOOKUP(A314,取得元!$A$2:$F$501,4,FALSE),"-")</f>
        <v>-</v>
      </c>
      <c r="J314" s="5" t="str">
        <f>IFERROR(VLOOKUP(A314,取得元!$A$2:$F$501,5,FALSE),"-")</f>
        <v>-</v>
      </c>
      <c r="K314" s="25" t="str">
        <f>IFERROR(VLOOKUP(A314,取得元!$A$2:$F$501,6,FALSE)/100,"-")</f>
        <v>-</v>
      </c>
      <c r="L314" s="21" t="str">
        <f>_xll.RssMarket(A314,"始値")</f>
        <v>表示銘柄数超過</v>
      </c>
      <c r="M314" s="4" t="e">
        <f t="shared" si="25"/>
        <v>#VALUE!</v>
      </c>
      <c r="N314" s="21" t="str">
        <f>_xll.RssMarket(A314,"高値")</f>
        <v>表示銘柄数超過</v>
      </c>
      <c r="O314" s="4" t="e">
        <f t="shared" si="26"/>
        <v>#VALUE!</v>
      </c>
      <c r="P314" s="21" t="str">
        <f>_xll.RssMarket(A314,"安値")</f>
        <v>表示銘柄数超過</v>
      </c>
      <c r="Q314" s="4" t="e">
        <f t="shared" si="27"/>
        <v>#VALUE!</v>
      </c>
      <c r="R314" s="21" t="str">
        <f>_xll.RssMarket(A314,"後場始値")</f>
        <v>表示銘柄数超過</v>
      </c>
      <c r="S314" s="25" t="str">
        <f t="shared" si="28"/>
        <v>-</v>
      </c>
      <c r="T314" s="7" t="str">
        <f>_xll.RssMarket(A314,"出来高加重平均")</f>
        <v>表示銘柄数超過</v>
      </c>
      <c r="U314" s="4" t="e">
        <f t="shared" si="29"/>
        <v>#VALUE!</v>
      </c>
      <c r="V314" s="21" t="str">
        <f>_xll.RssMarket(A314,"出来高")</f>
        <v>表示銘柄数超過</v>
      </c>
      <c r="W314" s="21" t="str">
        <f>_xll.RssMarket(A314,"売買代金")</f>
        <v>表示銘柄数超過</v>
      </c>
      <c r="X314" s="20" t="str">
        <f>_xll.RssMarket(A314,"決算発表日")</f>
        <v>表示銘柄数超過</v>
      </c>
      <c r="Y314" s="26" t="str">
        <f>IF(C314&gt;_xll.RssMarket(A314,"年初来高値"),"○","×")</f>
        <v>×</v>
      </c>
      <c r="Z314" s="27" t="str">
        <f>IF(C314&lt;=_xll.RssMarket(A314,"年初来安値"),"○","×")</f>
        <v>○</v>
      </c>
    </row>
    <row r="315" spans="1:26" x14ac:dyDescent="0.25">
      <c r="A315" s="49">
        <v>3627</v>
      </c>
      <c r="B315" s="20" t="str">
        <f>_xll.RssMarket(A315,"銘柄名称")</f>
        <v>表示銘柄数超過</v>
      </c>
      <c r="C315" s="21" t="str">
        <f>_xll.RssMarket(A315,"現在値")</f>
        <v>表示銘柄数超過</v>
      </c>
      <c r="D315" s="20" t="str">
        <f>_xll.RssMarket(A315,"現在値詳細時刻")</f>
        <v>表示銘柄数超過</v>
      </c>
      <c r="E315" s="22" t="str">
        <f>_xll.RssMarket(A315,"前日比")</f>
        <v>表示銘柄数超過</v>
      </c>
      <c r="F315" s="23" t="e">
        <f>_xll.RssMarket(A315,"前日比率")/100</f>
        <v>#VALUE!</v>
      </c>
      <c r="G315" s="24" t="str">
        <f>IFERROR(VLOOKUP(A315,取得元!$A$2:$F$501,2,FALSE),"-")</f>
        <v>-</v>
      </c>
      <c r="H315" s="24" t="str">
        <f>IFERROR(VLOOKUP(A315,取得元!$A$2:$F$501,3,FALSE),"-")</f>
        <v>-</v>
      </c>
      <c r="I315" s="24" t="str">
        <f>IFERROR(VLOOKUP(A315,取得元!$A$2:$F$501,4,FALSE),"-")</f>
        <v>-</v>
      </c>
      <c r="J315" s="5" t="str">
        <f>IFERROR(VLOOKUP(A315,取得元!$A$2:$F$501,5,FALSE),"-")</f>
        <v>-</v>
      </c>
      <c r="K315" s="25" t="str">
        <f>IFERROR(VLOOKUP(A315,取得元!$A$2:$F$501,6,FALSE)/100,"-")</f>
        <v>-</v>
      </c>
      <c r="L315" s="21" t="str">
        <f>_xll.RssMarket(A315,"始値")</f>
        <v>表示銘柄数超過</v>
      </c>
      <c r="M315" s="4" t="e">
        <f t="shared" si="25"/>
        <v>#VALUE!</v>
      </c>
      <c r="N315" s="21" t="str">
        <f>_xll.RssMarket(A315,"高値")</f>
        <v>表示銘柄数超過</v>
      </c>
      <c r="O315" s="4" t="e">
        <f t="shared" si="26"/>
        <v>#VALUE!</v>
      </c>
      <c r="P315" s="21" t="str">
        <f>_xll.RssMarket(A315,"安値")</f>
        <v>表示銘柄数超過</v>
      </c>
      <c r="Q315" s="4" t="e">
        <f t="shared" si="27"/>
        <v>#VALUE!</v>
      </c>
      <c r="R315" s="21" t="str">
        <f>_xll.RssMarket(A315,"後場始値")</f>
        <v>表示銘柄数超過</v>
      </c>
      <c r="S315" s="25" t="str">
        <f t="shared" si="28"/>
        <v>-</v>
      </c>
      <c r="T315" s="7" t="str">
        <f>_xll.RssMarket(A315,"出来高加重平均")</f>
        <v>表示銘柄数超過</v>
      </c>
      <c r="U315" s="4" t="e">
        <f t="shared" si="29"/>
        <v>#VALUE!</v>
      </c>
      <c r="V315" s="21" t="str">
        <f>_xll.RssMarket(A315,"出来高")</f>
        <v>表示銘柄数超過</v>
      </c>
      <c r="W315" s="21" t="str">
        <f>_xll.RssMarket(A315,"売買代金")</f>
        <v>表示銘柄数超過</v>
      </c>
      <c r="X315" s="20" t="str">
        <f>_xll.RssMarket(A315,"決算発表日")</f>
        <v>表示銘柄数超過</v>
      </c>
      <c r="Y315" s="26" t="str">
        <f>IF(C315&gt;_xll.RssMarket(A315,"年初来高値"),"○","×")</f>
        <v>×</v>
      </c>
      <c r="Z315" s="27" t="str">
        <f>IF(C315&lt;=_xll.RssMarket(A315,"年初来安値"),"○","×")</f>
        <v>○</v>
      </c>
    </row>
    <row r="316" spans="1:26" x14ac:dyDescent="0.25">
      <c r="A316" s="47">
        <v>3632</v>
      </c>
      <c r="B316" s="20" t="str">
        <f>_xll.RssMarket(A316,"銘柄名称")</f>
        <v>表示銘柄数超過</v>
      </c>
      <c r="C316" s="21" t="str">
        <f>_xll.RssMarket(A316,"現在値")</f>
        <v>表示銘柄数超過</v>
      </c>
      <c r="D316" s="20" t="str">
        <f>_xll.RssMarket(A316,"現在値詳細時刻")</f>
        <v>表示銘柄数超過</v>
      </c>
      <c r="E316" s="22" t="str">
        <f>_xll.RssMarket(A316,"前日比")</f>
        <v>表示銘柄数超過</v>
      </c>
      <c r="F316" s="23" t="e">
        <f>_xll.RssMarket(A316,"前日比率")/100</f>
        <v>#VALUE!</v>
      </c>
      <c r="G316" s="24" t="str">
        <f>IFERROR(VLOOKUP(A316,取得元!$A$2:$F$501,2,FALSE),"-")</f>
        <v>-</v>
      </c>
      <c r="H316" s="24" t="str">
        <f>IFERROR(VLOOKUP(A316,取得元!$A$2:$F$501,3,FALSE),"-")</f>
        <v>-</v>
      </c>
      <c r="I316" s="24" t="str">
        <f>IFERROR(VLOOKUP(A316,取得元!$A$2:$F$501,4,FALSE),"-")</f>
        <v>-</v>
      </c>
      <c r="J316" s="5" t="str">
        <f>IFERROR(VLOOKUP(A316,取得元!$A$2:$F$501,5,FALSE),"-")</f>
        <v>-</v>
      </c>
      <c r="K316" s="25" t="str">
        <f>IFERROR(VLOOKUP(A316,取得元!$A$2:$F$501,6,FALSE)/100,"-")</f>
        <v>-</v>
      </c>
      <c r="L316" s="21" t="str">
        <f>_xll.RssMarket(A316,"始値")</f>
        <v>表示銘柄数超過</v>
      </c>
      <c r="M316" s="4" t="e">
        <f t="shared" si="25"/>
        <v>#VALUE!</v>
      </c>
      <c r="N316" s="21" t="str">
        <f>_xll.RssMarket(A316,"高値")</f>
        <v>表示銘柄数超過</v>
      </c>
      <c r="O316" s="4" t="e">
        <f t="shared" si="26"/>
        <v>#VALUE!</v>
      </c>
      <c r="P316" s="21" t="str">
        <f>_xll.RssMarket(A316,"安値")</f>
        <v>表示銘柄数超過</v>
      </c>
      <c r="Q316" s="4" t="e">
        <f t="shared" si="27"/>
        <v>#VALUE!</v>
      </c>
      <c r="R316" s="21" t="str">
        <f>_xll.RssMarket(A316,"後場始値")</f>
        <v>表示銘柄数超過</v>
      </c>
      <c r="S316" s="25" t="str">
        <f t="shared" si="28"/>
        <v>-</v>
      </c>
      <c r="T316" s="7" t="str">
        <f>_xll.RssMarket(A316,"出来高加重平均")</f>
        <v>表示銘柄数超過</v>
      </c>
      <c r="U316" s="4" t="e">
        <f t="shared" si="29"/>
        <v>#VALUE!</v>
      </c>
      <c r="V316" s="21" t="str">
        <f>_xll.RssMarket(A316,"出来高")</f>
        <v>表示銘柄数超過</v>
      </c>
      <c r="W316" s="21" t="str">
        <f>_xll.RssMarket(A316,"売買代金")</f>
        <v>表示銘柄数超過</v>
      </c>
      <c r="X316" s="20" t="str">
        <f>_xll.RssMarket(A316,"決算発表日")</f>
        <v>表示銘柄数超過</v>
      </c>
      <c r="Y316" s="26" t="str">
        <f>IF(C316&gt;_xll.RssMarket(A316,"年初来高値"),"○","×")</f>
        <v>×</v>
      </c>
      <c r="Z316" s="27" t="str">
        <f>IF(C316&lt;=_xll.RssMarket(A316,"年初来安値"),"○","×")</f>
        <v>○</v>
      </c>
    </row>
    <row r="317" spans="1:26" x14ac:dyDescent="0.25">
      <c r="A317" s="49">
        <v>3635</v>
      </c>
      <c r="B317" s="20" t="str">
        <f>_xll.RssMarket(A317,"銘柄名称")</f>
        <v>表示銘柄数超過</v>
      </c>
      <c r="C317" s="21" t="str">
        <f>_xll.RssMarket(A317,"現在値")</f>
        <v>表示銘柄数超過</v>
      </c>
      <c r="D317" s="20" t="str">
        <f>_xll.RssMarket(A317,"現在値詳細時刻")</f>
        <v>表示銘柄数超過</v>
      </c>
      <c r="E317" s="22" t="str">
        <f>_xll.RssMarket(A317,"前日比")</f>
        <v>表示銘柄数超過</v>
      </c>
      <c r="F317" s="23" t="e">
        <f>_xll.RssMarket(A317,"前日比率")/100</f>
        <v>#VALUE!</v>
      </c>
      <c r="G317" s="24" t="str">
        <f>IFERROR(VLOOKUP(A317,取得元!$A$2:$F$501,2,FALSE),"-")</f>
        <v>-</v>
      </c>
      <c r="H317" s="24" t="str">
        <f>IFERROR(VLOOKUP(A317,取得元!$A$2:$F$501,3,FALSE),"-")</f>
        <v>-</v>
      </c>
      <c r="I317" s="24" t="str">
        <f>IFERROR(VLOOKUP(A317,取得元!$A$2:$F$501,4,FALSE),"-")</f>
        <v>-</v>
      </c>
      <c r="J317" s="5" t="str">
        <f>IFERROR(VLOOKUP(A317,取得元!$A$2:$F$501,5,FALSE),"-")</f>
        <v>-</v>
      </c>
      <c r="K317" s="25" t="str">
        <f>IFERROR(VLOOKUP(A317,取得元!$A$2:$F$501,6,FALSE)/100,"-")</f>
        <v>-</v>
      </c>
      <c r="L317" s="21" t="str">
        <f>_xll.RssMarket(A317,"始値")</f>
        <v>表示銘柄数超過</v>
      </c>
      <c r="M317" s="4" t="e">
        <f t="shared" si="25"/>
        <v>#VALUE!</v>
      </c>
      <c r="N317" s="21" t="str">
        <f>_xll.RssMarket(A317,"高値")</f>
        <v>表示銘柄数超過</v>
      </c>
      <c r="O317" s="4" t="e">
        <f t="shared" si="26"/>
        <v>#VALUE!</v>
      </c>
      <c r="P317" s="21" t="str">
        <f>_xll.RssMarket(A317,"安値")</f>
        <v>表示銘柄数超過</v>
      </c>
      <c r="Q317" s="4" t="e">
        <f t="shared" si="27"/>
        <v>#VALUE!</v>
      </c>
      <c r="R317" s="21" t="str">
        <f>_xll.RssMarket(A317,"後場始値")</f>
        <v>表示銘柄数超過</v>
      </c>
      <c r="S317" s="25" t="str">
        <f t="shared" si="28"/>
        <v>-</v>
      </c>
      <c r="T317" s="7" t="str">
        <f>_xll.RssMarket(A317,"出来高加重平均")</f>
        <v>表示銘柄数超過</v>
      </c>
      <c r="U317" s="4" t="e">
        <f t="shared" si="29"/>
        <v>#VALUE!</v>
      </c>
      <c r="V317" s="21" t="str">
        <f>_xll.RssMarket(A317,"出来高")</f>
        <v>表示銘柄数超過</v>
      </c>
      <c r="W317" s="21" t="str">
        <f>_xll.RssMarket(A317,"売買代金")</f>
        <v>表示銘柄数超過</v>
      </c>
      <c r="X317" s="20" t="str">
        <f>_xll.RssMarket(A317,"決算発表日")</f>
        <v>表示銘柄数超過</v>
      </c>
      <c r="Y317" s="26" t="str">
        <f>IF(C317&gt;_xll.RssMarket(A317,"年初来高値"),"○","×")</f>
        <v>×</v>
      </c>
      <c r="Z317" s="27" t="str">
        <f>IF(C317&lt;=_xll.RssMarket(A317,"年初来安値"),"○","×")</f>
        <v>○</v>
      </c>
    </row>
    <row r="318" spans="1:26" x14ac:dyDescent="0.25">
      <c r="A318" s="47">
        <v>3639</v>
      </c>
      <c r="B318" s="20" t="str">
        <f>_xll.RssMarket(A318,"銘柄名称")</f>
        <v>表示銘柄数超過</v>
      </c>
      <c r="C318" s="21" t="str">
        <f>_xll.RssMarket(A318,"現在値")</f>
        <v>表示銘柄数超過</v>
      </c>
      <c r="D318" s="20" t="str">
        <f>_xll.RssMarket(A318,"現在値詳細時刻")</f>
        <v>表示銘柄数超過</v>
      </c>
      <c r="E318" s="22" t="str">
        <f>_xll.RssMarket(A318,"前日比")</f>
        <v>表示銘柄数超過</v>
      </c>
      <c r="F318" s="23" t="e">
        <f>_xll.RssMarket(A318,"前日比率")/100</f>
        <v>#VALUE!</v>
      </c>
      <c r="G318" s="24" t="str">
        <f>IFERROR(VLOOKUP(A318,取得元!$A$2:$F$501,2,FALSE),"-")</f>
        <v>-</v>
      </c>
      <c r="H318" s="24" t="str">
        <f>IFERROR(VLOOKUP(A318,取得元!$A$2:$F$501,3,FALSE),"-")</f>
        <v>-</v>
      </c>
      <c r="I318" s="24" t="str">
        <f>IFERROR(VLOOKUP(A318,取得元!$A$2:$F$501,4,FALSE),"-")</f>
        <v>-</v>
      </c>
      <c r="J318" s="5" t="str">
        <f>IFERROR(VLOOKUP(A318,取得元!$A$2:$F$501,5,FALSE),"-")</f>
        <v>-</v>
      </c>
      <c r="K318" s="25" t="str">
        <f>IFERROR(VLOOKUP(A318,取得元!$A$2:$F$501,6,FALSE)/100,"-")</f>
        <v>-</v>
      </c>
      <c r="L318" s="21" t="str">
        <f>_xll.RssMarket(A318,"始値")</f>
        <v>表示銘柄数超過</v>
      </c>
      <c r="M318" s="4" t="e">
        <f t="shared" si="25"/>
        <v>#VALUE!</v>
      </c>
      <c r="N318" s="21" t="str">
        <f>_xll.RssMarket(A318,"高値")</f>
        <v>表示銘柄数超過</v>
      </c>
      <c r="O318" s="4" t="e">
        <f t="shared" si="26"/>
        <v>#VALUE!</v>
      </c>
      <c r="P318" s="21" t="str">
        <f>_xll.RssMarket(A318,"安値")</f>
        <v>表示銘柄数超過</v>
      </c>
      <c r="Q318" s="4" t="e">
        <f t="shared" si="27"/>
        <v>#VALUE!</v>
      </c>
      <c r="R318" s="21" t="str">
        <f>_xll.RssMarket(A318,"後場始値")</f>
        <v>表示銘柄数超過</v>
      </c>
      <c r="S318" s="25" t="str">
        <f t="shared" si="28"/>
        <v>-</v>
      </c>
      <c r="T318" s="7" t="str">
        <f>_xll.RssMarket(A318,"出来高加重平均")</f>
        <v>表示銘柄数超過</v>
      </c>
      <c r="U318" s="4" t="e">
        <f t="shared" si="29"/>
        <v>#VALUE!</v>
      </c>
      <c r="V318" s="21" t="str">
        <f>_xll.RssMarket(A318,"出来高")</f>
        <v>表示銘柄数超過</v>
      </c>
      <c r="W318" s="21" t="str">
        <f>_xll.RssMarket(A318,"売買代金")</f>
        <v>表示銘柄数超過</v>
      </c>
      <c r="X318" s="20" t="str">
        <f>_xll.RssMarket(A318,"決算発表日")</f>
        <v>表示銘柄数超過</v>
      </c>
      <c r="Y318" s="26" t="str">
        <f>IF(C318&gt;_xll.RssMarket(A318,"年初来高値"),"○","×")</f>
        <v>×</v>
      </c>
      <c r="Z318" s="27" t="str">
        <f>IF(C318&lt;=_xll.RssMarket(A318,"年初来安値"),"○","×")</f>
        <v>○</v>
      </c>
    </row>
    <row r="319" spans="1:26" x14ac:dyDescent="0.25">
      <c r="A319" s="49">
        <v>3645</v>
      </c>
      <c r="B319" s="20" t="str">
        <f>_xll.RssMarket(A319,"銘柄名称")</f>
        <v>表示銘柄数超過</v>
      </c>
      <c r="C319" s="21" t="str">
        <f>_xll.RssMarket(A319,"現在値")</f>
        <v>表示銘柄数超過</v>
      </c>
      <c r="D319" s="20" t="str">
        <f>_xll.RssMarket(A319,"現在値詳細時刻")</f>
        <v>表示銘柄数超過</v>
      </c>
      <c r="E319" s="22" t="str">
        <f>_xll.RssMarket(A319,"前日比")</f>
        <v>表示銘柄数超過</v>
      </c>
      <c r="F319" s="23" t="e">
        <f>_xll.RssMarket(A319,"前日比率")/100</f>
        <v>#VALUE!</v>
      </c>
      <c r="G319" s="24" t="str">
        <f>IFERROR(VLOOKUP(A319,取得元!$A$2:$F$501,2,FALSE),"-")</f>
        <v>-</v>
      </c>
      <c r="H319" s="24" t="str">
        <f>IFERROR(VLOOKUP(A319,取得元!$A$2:$F$501,3,FALSE),"-")</f>
        <v>-</v>
      </c>
      <c r="I319" s="24" t="str">
        <f>IFERROR(VLOOKUP(A319,取得元!$A$2:$F$501,4,FALSE),"-")</f>
        <v>-</v>
      </c>
      <c r="J319" s="5" t="str">
        <f>IFERROR(VLOOKUP(A319,取得元!$A$2:$F$501,5,FALSE),"-")</f>
        <v>-</v>
      </c>
      <c r="K319" s="25" t="str">
        <f>IFERROR(VLOOKUP(A319,取得元!$A$2:$F$501,6,FALSE)/100,"-")</f>
        <v>-</v>
      </c>
      <c r="L319" s="21" t="str">
        <f>_xll.RssMarket(A319,"始値")</f>
        <v>表示銘柄数超過</v>
      </c>
      <c r="M319" s="4" t="e">
        <f t="shared" si="25"/>
        <v>#VALUE!</v>
      </c>
      <c r="N319" s="21" t="str">
        <f>_xll.RssMarket(A319,"高値")</f>
        <v>表示銘柄数超過</v>
      </c>
      <c r="O319" s="4" t="e">
        <f t="shared" si="26"/>
        <v>#VALUE!</v>
      </c>
      <c r="P319" s="21" t="str">
        <f>_xll.RssMarket(A319,"安値")</f>
        <v>表示銘柄数超過</v>
      </c>
      <c r="Q319" s="4" t="e">
        <f t="shared" si="27"/>
        <v>#VALUE!</v>
      </c>
      <c r="R319" s="21" t="str">
        <f>_xll.RssMarket(A319,"後場始値")</f>
        <v>表示銘柄数超過</v>
      </c>
      <c r="S319" s="25" t="str">
        <f t="shared" si="28"/>
        <v>-</v>
      </c>
      <c r="T319" s="7" t="str">
        <f>_xll.RssMarket(A319,"出来高加重平均")</f>
        <v>表示銘柄数超過</v>
      </c>
      <c r="U319" s="4" t="e">
        <f t="shared" si="29"/>
        <v>#VALUE!</v>
      </c>
      <c r="V319" s="21" t="str">
        <f>_xll.RssMarket(A319,"出来高")</f>
        <v>表示銘柄数超過</v>
      </c>
      <c r="W319" s="21" t="str">
        <f>_xll.RssMarket(A319,"売買代金")</f>
        <v>表示銘柄数超過</v>
      </c>
      <c r="X319" s="20" t="str">
        <f>_xll.RssMarket(A319,"決算発表日")</f>
        <v>表示銘柄数超過</v>
      </c>
      <c r="Y319" s="26" t="str">
        <f>IF(C319&gt;_xll.RssMarket(A319,"年初来高値"),"○","×")</f>
        <v>×</v>
      </c>
      <c r="Z319" s="27" t="str">
        <f>IF(C319&lt;=_xll.RssMarket(A319,"年初来安値"),"○","×")</f>
        <v>○</v>
      </c>
    </row>
    <row r="320" spans="1:26" x14ac:dyDescent="0.25">
      <c r="A320" s="47">
        <v>3647</v>
      </c>
      <c r="B320" s="20" t="str">
        <f>_xll.RssMarket(A320,"銘柄名称")</f>
        <v>表示銘柄数超過</v>
      </c>
      <c r="C320" s="21" t="str">
        <f>_xll.RssMarket(A320,"現在値")</f>
        <v>表示銘柄数超過</v>
      </c>
      <c r="D320" s="20" t="str">
        <f>_xll.RssMarket(A320,"現在値詳細時刻")</f>
        <v>表示銘柄数超過</v>
      </c>
      <c r="E320" s="22" t="str">
        <f>_xll.RssMarket(A320,"前日比")</f>
        <v>表示銘柄数超過</v>
      </c>
      <c r="F320" s="23" t="e">
        <f>_xll.RssMarket(A320,"前日比率")/100</f>
        <v>#VALUE!</v>
      </c>
      <c r="G320" s="24" t="str">
        <f>IFERROR(VLOOKUP(A320,取得元!$A$2:$F$501,2,FALSE),"-")</f>
        <v>-</v>
      </c>
      <c r="H320" s="24" t="str">
        <f>IFERROR(VLOOKUP(A320,取得元!$A$2:$F$501,3,FALSE),"-")</f>
        <v>-</v>
      </c>
      <c r="I320" s="24" t="str">
        <f>IFERROR(VLOOKUP(A320,取得元!$A$2:$F$501,4,FALSE),"-")</f>
        <v>-</v>
      </c>
      <c r="J320" s="5" t="str">
        <f>IFERROR(VLOOKUP(A320,取得元!$A$2:$F$501,5,FALSE),"-")</f>
        <v>-</v>
      </c>
      <c r="K320" s="25" t="str">
        <f>IFERROR(VLOOKUP(A320,取得元!$A$2:$F$501,6,FALSE)/100,"-")</f>
        <v>-</v>
      </c>
      <c r="L320" s="21" t="str">
        <f>_xll.RssMarket(A320,"始値")</f>
        <v>表示銘柄数超過</v>
      </c>
      <c r="M320" s="4" t="e">
        <f t="shared" si="25"/>
        <v>#VALUE!</v>
      </c>
      <c r="N320" s="21" t="str">
        <f>_xll.RssMarket(A320,"高値")</f>
        <v>表示銘柄数超過</v>
      </c>
      <c r="O320" s="4" t="e">
        <f t="shared" si="26"/>
        <v>#VALUE!</v>
      </c>
      <c r="P320" s="21" t="str">
        <f>_xll.RssMarket(A320,"安値")</f>
        <v>表示銘柄数超過</v>
      </c>
      <c r="Q320" s="4" t="e">
        <f t="shared" si="27"/>
        <v>#VALUE!</v>
      </c>
      <c r="R320" s="21" t="str">
        <f>_xll.RssMarket(A320,"後場始値")</f>
        <v>表示銘柄数超過</v>
      </c>
      <c r="S320" s="25" t="str">
        <f t="shared" si="28"/>
        <v>-</v>
      </c>
      <c r="T320" s="7" t="str">
        <f>_xll.RssMarket(A320,"出来高加重平均")</f>
        <v>表示銘柄数超過</v>
      </c>
      <c r="U320" s="4" t="e">
        <f t="shared" si="29"/>
        <v>#VALUE!</v>
      </c>
      <c r="V320" s="21" t="str">
        <f>_xll.RssMarket(A320,"出来高")</f>
        <v>表示銘柄数超過</v>
      </c>
      <c r="W320" s="21" t="str">
        <f>_xll.RssMarket(A320,"売買代金")</f>
        <v>表示銘柄数超過</v>
      </c>
      <c r="X320" s="20" t="str">
        <f>_xll.RssMarket(A320,"決算発表日")</f>
        <v>表示銘柄数超過</v>
      </c>
      <c r="Y320" s="26" t="str">
        <f>IF(C320&gt;_xll.RssMarket(A320,"年初来高値"),"○","×")</f>
        <v>×</v>
      </c>
      <c r="Z320" s="27" t="str">
        <f>IF(C320&lt;=_xll.RssMarket(A320,"年初来安値"),"○","×")</f>
        <v>○</v>
      </c>
    </row>
    <row r="321" spans="1:26" x14ac:dyDescent="0.25">
      <c r="A321" s="49">
        <v>3649</v>
      </c>
      <c r="B321" s="20" t="str">
        <f>_xll.RssMarket(A321,"銘柄名称")</f>
        <v>表示銘柄数超過</v>
      </c>
      <c r="C321" s="21" t="str">
        <f>_xll.RssMarket(A321,"現在値")</f>
        <v>表示銘柄数超過</v>
      </c>
      <c r="D321" s="20" t="str">
        <f>_xll.RssMarket(A321,"現在値詳細時刻")</f>
        <v>表示銘柄数超過</v>
      </c>
      <c r="E321" s="22" t="str">
        <f>_xll.RssMarket(A321,"前日比")</f>
        <v>表示銘柄数超過</v>
      </c>
      <c r="F321" s="23" t="e">
        <f>_xll.RssMarket(A321,"前日比率")/100</f>
        <v>#VALUE!</v>
      </c>
      <c r="G321" s="24" t="str">
        <f>IFERROR(VLOOKUP(A321,取得元!$A$2:$F$501,2,FALSE),"-")</f>
        <v>-</v>
      </c>
      <c r="H321" s="24" t="str">
        <f>IFERROR(VLOOKUP(A321,取得元!$A$2:$F$501,3,FALSE),"-")</f>
        <v>-</v>
      </c>
      <c r="I321" s="24" t="str">
        <f>IFERROR(VLOOKUP(A321,取得元!$A$2:$F$501,4,FALSE),"-")</f>
        <v>-</v>
      </c>
      <c r="J321" s="5" t="str">
        <f>IFERROR(VLOOKUP(A321,取得元!$A$2:$F$501,5,FALSE),"-")</f>
        <v>-</v>
      </c>
      <c r="K321" s="25" t="str">
        <f>IFERROR(VLOOKUP(A321,取得元!$A$2:$F$501,6,FALSE)/100,"-")</f>
        <v>-</v>
      </c>
      <c r="L321" s="21" t="str">
        <f>_xll.RssMarket(A321,"始値")</f>
        <v>表示銘柄数超過</v>
      </c>
      <c r="M321" s="4" t="e">
        <f t="shared" si="25"/>
        <v>#VALUE!</v>
      </c>
      <c r="N321" s="21" t="str">
        <f>_xll.RssMarket(A321,"高値")</f>
        <v>表示銘柄数超過</v>
      </c>
      <c r="O321" s="4" t="e">
        <f t="shared" si="26"/>
        <v>#VALUE!</v>
      </c>
      <c r="P321" s="21" t="str">
        <f>_xll.RssMarket(A321,"安値")</f>
        <v>表示銘柄数超過</v>
      </c>
      <c r="Q321" s="4" t="e">
        <f t="shared" si="27"/>
        <v>#VALUE!</v>
      </c>
      <c r="R321" s="21" t="str">
        <f>_xll.RssMarket(A321,"後場始値")</f>
        <v>表示銘柄数超過</v>
      </c>
      <c r="S321" s="25" t="str">
        <f t="shared" si="28"/>
        <v>-</v>
      </c>
      <c r="T321" s="7" t="str">
        <f>_xll.RssMarket(A321,"出来高加重平均")</f>
        <v>表示銘柄数超過</v>
      </c>
      <c r="U321" s="4" t="e">
        <f t="shared" si="29"/>
        <v>#VALUE!</v>
      </c>
      <c r="V321" s="21" t="str">
        <f>_xll.RssMarket(A321,"出来高")</f>
        <v>表示銘柄数超過</v>
      </c>
      <c r="W321" s="21" t="str">
        <f>_xll.RssMarket(A321,"売買代金")</f>
        <v>表示銘柄数超過</v>
      </c>
      <c r="X321" s="20" t="str">
        <f>_xll.RssMarket(A321,"決算発表日")</f>
        <v>表示銘柄数超過</v>
      </c>
      <c r="Y321" s="26" t="str">
        <f>IF(C321&gt;_xll.RssMarket(A321,"年初来高値"),"○","×")</f>
        <v>×</v>
      </c>
      <c r="Z321" s="27" t="str">
        <f>IF(C321&lt;=_xll.RssMarket(A321,"年初来安値"),"○","×")</f>
        <v>○</v>
      </c>
    </row>
    <row r="322" spans="1:26" x14ac:dyDescent="0.25">
      <c r="A322" s="47">
        <v>3652</v>
      </c>
      <c r="B322" s="20" t="str">
        <f>_xll.RssMarket(A322,"銘柄名称")</f>
        <v>表示銘柄数超過</v>
      </c>
      <c r="C322" s="21" t="str">
        <f>_xll.RssMarket(A322,"現在値")</f>
        <v>表示銘柄数超過</v>
      </c>
      <c r="D322" s="20" t="str">
        <f>_xll.RssMarket(A322,"現在値詳細時刻")</f>
        <v>表示銘柄数超過</v>
      </c>
      <c r="E322" s="22" t="str">
        <f>_xll.RssMarket(A322,"前日比")</f>
        <v>表示銘柄数超過</v>
      </c>
      <c r="F322" s="23" t="e">
        <f>_xll.RssMarket(A322,"前日比率")/100</f>
        <v>#VALUE!</v>
      </c>
      <c r="G322" s="24" t="str">
        <f>IFERROR(VLOOKUP(A322,取得元!$A$2:$F$501,2,FALSE),"-")</f>
        <v>-</v>
      </c>
      <c r="H322" s="24" t="str">
        <f>IFERROR(VLOOKUP(A322,取得元!$A$2:$F$501,3,FALSE),"-")</f>
        <v>-</v>
      </c>
      <c r="I322" s="24" t="str">
        <f>IFERROR(VLOOKUP(A322,取得元!$A$2:$F$501,4,FALSE),"-")</f>
        <v>-</v>
      </c>
      <c r="J322" s="5" t="str">
        <f>IFERROR(VLOOKUP(A322,取得元!$A$2:$F$501,5,FALSE),"-")</f>
        <v>-</v>
      </c>
      <c r="K322" s="25" t="str">
        <f>IFERROR(VLOOKUP(A322,取得元!$A$2:$F$501,6,FALSE)/100,"-")</f>
        <v>-</v>
      </c>
      <c r="L322" s="21" t="str">
        <f>_xll.RssMarket(A322,"始値")</f>
        <v>表示銘柄数超過</v>
      </c>
      <c r="M322" s="4" t="e">
        <f t="shared" si="25"/>
        <v>#VALUE!</v>
      </c>
      <c r="N322" s="21" t="str">
        <f>_xll.RssMarket(A322,"高値")</f>
        <v>表示銘柄数超過</v>
      </c>
      <c r="O322" s="4" t="e">
        <f t="shared" si="26"/>
        <v>#VALUE!</v>
      </c>
      <c r="P322" s="21" t="str">
        <f>_xll.RssMarket(A322,"安値")</f>
        <v>表示銘柄数超過</v>
      </c>
      <c r="Q322" s="4" t="e">
        <f t="shared" si="27"/>
        <v>#VALUE!</v>
      </c>
      <c r="R322" s="21" t="str">
        <f>_xll.RssMarket(A322,"後場始値")</f>
        <v>表示銘柄数超過</v>
      </c>
      <c r="S322" s="25" t="str">
        <f t="shared" si="28"/>
        <v>-</v>
      </c>
      <c r="T322" s="7" t="str">
        <f>_xll.RssMarket(A322,"出来高加重平均")</f>
        <v>表示銘柄数超過</v>
      </c>
      <c r="U322" s="4" t="e">
        <f t="shared" si="29"/>
        <v>#VALUE!</v>
      </c>
      <c r="V322" s="21" t="str">
        <f>_xll.RssMarket(A322,"出来高")</f>
        <v>表示銘柄数超過</v>
      </c>
      <c r="W322" s="21" t="str">
        <f>_xll.RssMarket(A322,"売買代金")</f>
        <v>表示銘柄数超過</v>
      </c>
      <c r="X322" s="20" t="str">
        <f>_xll.RssMarket(A322,"決算発表日")</f>
        <v>表示銘柄数超過</v>
      </c>
      <c r="Y322" s="26" t="str">
        <f>IF(C322&gt;_xll.RssMarket(A322,"年初来高値"),"○","×")</f>
        <v>×</v>
      </c>
      <c r="Z322" s="27" t="str">
        <f>IF(C322&lt;=_xll.RssMarket(A322,"年初来安値"),"○","×")</f>
        <v>○</v>
      </c>
    </row>
    <row r="323" spans="1:26" x14ac:dyDescent="0.25">
      <c r="A323" s="49">
        <v>3655</v>
      </c>
      <c r="B323" s="20" t="str">
        <f>_xll.RssMarket(A323,"銘柄名称")</f>
        <v>表示銘柄数超過</v>
      </c>
      <c r="C323" s="21" t="str">
        <f>_xll.RssMarket(A323,"現在値")</f>
        <v>表示銘柄数超過</v>
      </c>
      <c r="D323" s="20" t="str">
        <f>_xll.RssMarket(A323,"現在値詳細時刻")</f>
        <v>表示銘柄数超過</v>
      </c>
      <c r="E323" s="22" t="str">
        <f>_xll.RssMarket(A323,"前日比")</f>
        <v>表示銘柄数超過</v>
      </c>
      <c r="F323" s="23" t="e">
        <f>_xll.RssMarket(A323,"前日比率")/100</f>
        <v>#VALUE!</v>
      </c>
      <c r="G323" s="24" t="str">
        <f>IFERROR(VLOOKUP(A323,取得元!$A$2:$F$501,2,FALSE),"-")</f>
        <v>-</v>
      </c>
      <c r="H323" s="24" t="str">
        <f>IFERROR(VLOOKUP(A323,取得元!$A$2:$F$501,3,FALSE),"-")</f>
        <v>-</v>
      </c>
      <c r="I323" s="24" t="str">
        <f>IFERROR(VLOOKUP(A323,取得元!$A$2:$F$501,4,FALSE),"-")</f>
        <v>-</v>
      </c>
      <c r="J323" s="5" t="str">
        <f>IFERROR(VLOOKUP(A323,取得元!$A$2:$F$501,5,FALSE),"-")</f>
        <v>-</v>
      </c>
      <c r="K323" s="25" t="str">
        <f>IFERROR(VLOOKUP(A323,取得元!$A$2:$F$501,6,FALSE)/100,"-")</f>
        <v>-</v>
      </c>
      <c r="L323" s="21" t="str">
        <f>_xll.RssMarket(A323,"始値")</f>
        <v>表示銘柄数超過</v>
      </c>
      <c r="M323" s="4" t="e">
        <f t="shared" si="25"/>
        <v>#VALUE!</v>
      </c>
      <c r="N323" s="21" t="str">
        <f>_xll.RssMarket(A323,"高値")</f>
        <v>表示銘柄数超過</v>
      </c>
      <c r="O323" s="4" t="e">
        <f t="shared" si="26"/>
        <v>#VALUE!</v>
      </c>
      <c r="P323" s="21" t="str">
        <f>_xll.RssMarket(A323,"安値")</f>
        <v>表示銘柄数超過</v>
      </c>
      <c r="Q323" s="4" t="e">
        <f t="shared" si="27"/>
        <v>#VALUE!</v>
      </c>
      <c r="R323" s="21" t="str">
        <f>_xll.RssMarket(A323,"後場始値")</f>
        <v>表示銘柄数超過</v>
      </c>
      <c r="S323" s="25" t="str">
        <f t="shared" si="28"/>
        <v>-</v>
      </c>
      <c r="T323" s="7" t="str">
        <f>_xll.RssMarket(A323,"出来高加重平均")</f>
        <v>表示銘柄数超過</v>
      </c>
      <c r="U323" s="4" t="e">
        <f t="shared" si="29"/>
        <v>#VALUE!</v>
      </c>
      <c r="V323" s="21" t="str">
        <f>_xll.RssMarket(A323,"出来高")</f>
        <v>表示銘柄数超過</v>
      </c>
      <c r="W323" s="21" t="str">
        <f>_xll.RssMarket(A323,"売買代金")</f>
        <v>表示銘柄数超過</v>
      </c>
      <c r="X323" s="20" t="str">
        <f>_xll.RssMarket(A323,"決算発表日")</f>
        <v>表示銘柄数超過</v>
      </c>
      <c r="Y323" s="26" t="str">
        <f>IF(C323&gt;_xll.RssMarket(A323,"年初来高値"),"○","×")</f>
        <v>×</v>
      </c>
      <c r="Z323" s="27" t="str">
        <f>IF(C323&lt;=_xll.RssMarket(A323,"年初来安値"),"○","×")</f>
        <v>○</v>
      </c>
    </row>
    <row r="324" spans="1:26" x14ac:dyDescent="0.25">
      <c r="A324" s="47">
        <v>3656</v>
      </c>
      <c r="B324" s="20" t="str">
        <f>_xll.RssMarket(A324,"銘柄名称")</f>
        <v>表示銘柄数超過</v>
      </c>
      <c r="C324" s="21" t="str">
        <f>_xll.RssMarket(A324,"現在値")</f>
        <v>表示銘柄数超過</v>
      </c>
      <c r="D324" s="20" t="str">
        <f>_xll.RssMarket(A324,"現在値詳細時刻")</f>
        <v>表示銘柄数超過</v>
      </c>
      <c r="E324" s="22" t="str">
        <f>_xll.RssMarket(A324,"前日比")</f>
        <v>表示銘柄数超過</v>
      </c>
      <c r="F324" s="23" t="e">
        <f>_xll.RssMarket(A324,"前日比率")/100</f>
        <v>#VALUE!</v>
      </c>
      <c r="G324" s="24" t="str">
        <f>IFERROR(VLOOKUP(A324,取得元!$A$2:$F$501,2,FALSE),"-")</f>
        <v>-</v>
      </c>
      <c r="H324" s="24" t="str">
        <f>IFERROR(VLOOKUP(A324,取得元!$A$2:$F$501,3,FALSE),"-")</f>
        <v>-</v>
      </c>
      <c r="I324" s="24" t="str">
        <f>IFERROR(VLOOKUP(A324,取得元!$A$2:$F$501,4,FALSE),"-")</f>
        <v>-</v>
      </c>
      <c r="J324" s="5" t="str">
        <f>IFERROR(VLOOKUP(A324,取得元!$A$2:$F$501,5,FALSE),"-")</f>
        <v>-</v>
      </c>
      <c r="K324" s="25" t="str">
        <f>IFERROR(VLOOKUP(A324,取得元!$A$2:$F$501,6,FALSE)/100,"-")</f>
        <v>-</v>
      </c>
      <c r="L324" s="21" t="str">
        <f>_xll.RssMarket(A324,"始値")</f>
        <v>表示銘柄数超過</v>
      </c>
      <c r="M324" s="4" t="e">
        <f t="shared" ref="M324:M349" si="30">C324/L324-1</f>
        <v>#VALUE!</v>
      </c>
      <c r="N324" s="21" t="str">
        <f>_xll.RssMarket(A324,"高値")</f>
        <v>表示銘柄数超過</v>
      </c>
      <c r="O324" s="4" t="e">
        <f t="shared" ref="O324:O349" si="31">C324/N324-1</f>
        <v>#VALUE!</v>
      </c>
      <c r="P324" s="21" t="str">
        <f>_xll.RssMarket(A324,"安値")</f>
        <v>表示銘柄数超過</v>
      </c>
      <c r="Q324" s="4" t="e">
        <f t="shared" ref="Q324:Q349" si="32">C324/P324-1</f>
        <v>#VALUE!</v>
      </c>
      <c r="R324" s="21" t="str">
        <f>_xll.RssMarket(A324,"後場始値")</f>
        <v>表示銘柄数超過</v>
      </c>
      <c r="S324" s="25" t="str">
        <f t="shared" ref="S324:S349" si="33">IFERROR(C324/R324-1,"-")</f>
        <v>-</v>
      </c>
      <c r="T324" s="7" t="str">
        <f>_xll.RssMarket(A324,"出来高加重平均")</f>
        <v>表示銘柄数超過</v>
      </c>
      <c r="U324" s="4" t="e">
        <f t="shared" ref="U324:U349" si="34">C324/T324-1</f>
        <v>#VALUE!</v>
      </c>
      <c r="V324" s="21" t="str">
        <f>_xll.RssMarket(A324,"出来高")</f>
        <v>表示銘柄数超過</v>
      </c>
      <c r="W324" s="21" t="str">
        <f>_xll.RssMarket(A324,"売買代金")</f>
        <v>表示銘柄数超過</v>
      </c>
      <c r="X324" s="20" t="str">
        <f>_xll.RssMarket(A324,"決算発表日")</f>
        <v>表示銘柄数超過</v>
      </c>
      <c r="Y324" s="26" t="str">
        <f>IF(C324&gt;_xll.RssMarket(A324,"年初来高値"),"○","×")</f>
        <v>×</v>
      </c>
      <c r="Z324" s="27" t="str">
        <f>IF(C324&lt;=_xll.RssMarket(A324,"年初来安値"),"○","×")</f>
        <v>○</v>
      </c>
    </row>
    <row r="325" spans="1:26" x14ac:dyDescent="0.25">
      <c r="A325" s="49">
        <v>3660</v>
      </c>
      <c r="B325" s="20" t="str">
        <f>_xll.RssMarket(A325,"銘柄名称")</f>
        <v>表示銘柄数超過</v>
      </c>
      <c r="C325" s="21" t="str">
        <f>_xll.RssMarket(A325,"現在値")</f>
        <v>表示銘柄数超過</v>
      </c>
      <c r="D325" s="20" t="str">
        <f>_xll.RssMarket(A325,"現在値詳細時刻")</f>
        <v>表示銘柄数超過</v>
      </c>
      <c r="E325" s="22" t="str">
        <f>_xll.RssMarket(A325,"前日比")</f>
        <v>表示銘柄数超過</v>
      </c>
      <c r="F325" s="23" t="e">
        <f>_xll.RssMarket(A325,"前日比率")/100</f>
        <v>#VALUE!</v>
      </c>
      <c r="G325" s="24" t="str">
        <f>IFERROR(VLOOKUP(A325,取得元!$A$2:$F$501,2,FALSE),"-")</f>
        <v>-</v>
      </c>
      <c r="H325" s="24" t="str">
        <f>IFERROR(VLOOKUP(A325,取得元!$A$2:$F$501,3,FALSE),"-")</f>
        <v>-</v>
      </c>
      <c r="I325" s="24" t="str">
        <f>IFERROR(VLOOKUP(A325,取得元!$A$2:$F$501,4,FALSE),"-")</f>
        <v>-</v>
      </c>
      <c r="J325" s="5" t="str">
        <f>IFERROR(VLOOKUP(A325,取得元!$A$2:$F$501,5,FALSE),"-")</f>
        <v>-</v>
      </c>
      <c r="K325" s="25" t="str">
        <f>IFERROR(VLOOKUP(A325,取得元!$A$2:$F$501,6,FALSE)/100,"-")</f>
        <v>-</v>
      </c>
      <c r="L325" s="21" t="str">
        <f>_xll.RssMarket(A325,"始値")</f>
        <v>表示銘柄数超過</v>
      </c>
      <c r="M325" s="4" t="e">
        <f t="shared" si="30"/>
        <v>#VALUE!</v>
      </c>
      <c r="N325" s="21" t="str">
        <f>_xll.RssMarket(A325,"高値")</f>
        <v>表示銘柄数超過</v>
      </c>
      <c r="O325" s="4" t="e">
        <f t="shared" si="31"/>
        <v>#VALUE!</v>
      </c>
      <c r="P325" s="21" t="str">
        <f>_xll.RssMarket(A325,"安値")</f>
        <v>表示銘柄数超過</v>
      </c>
      <c r="Q325" s="4" t="e">
        <f t="shared" si="32"/>
        <v>#VALUE!</v>
      </c>
      <c r="R325" s="21" t="str">
        <f>_xll.RssMarket(A325,"後場始値")</f>
        <v>表示銘柄数超過</v>
      </c>
      <c r="S325" s="25" t="str">
        <f t="shared" si="33"/>
        <v>-</v>
      </c>
      <c r="T325" s="7" t="str">
        <f>_xll.RssMarket(A325,"出来高加重平均")</f>
        <v>表示銘柄数超過</v>
      </c>
      <c r="U325" s="4" t="e">
        <f t="shared" si="34"/>
        <v>#VALUE!</v>
      </c>
      <c r="V325" s="21" t="str">
        <f>_xll.RssMarket(A325,"出来高")</f>
        <v>表示銘柄数超過</v>
      </c>
      <c r="W325" s="21" t="str">
        <f>_xll.RssMarket(A325,"売買代金")</f>
        <v>表示銘柄数超過</v>
      </c>
      <c r="X325" s="20" t="str">
        <f>_xll.RssMarket(A325,"決算発表日")</f>
        <v>表示銘柄数超過</v>
      </c>
      <c r="Y325" s="26" t="str">
        <f>IF(C325&gt;_xll.RssMarket(A325,"年初来高値"),"○","×")</f>
        <v>×</v>
      </c>
      <c r="Z325" s="27" t="str">
        <f>IF(C325&lt;=_xll.RssMarket(A325,"年初来安値"),"○","×")</f>
        <v>○</v>
      </c>
    </row>
    <row r="326" spans="1:26" x14ac:dyDescent="0.25">
      <c r="A326" s="47">
        <v>3663</v>
      </c>
      <c r="B326" s="20" t="str">
        <f>_xll.RssMarket(A326,"銘柄名称")</f>
        <v>表示銘柄数超過</v>
      </c>
      <c r="C326" s="21" t="str">
        <f>_xll.RssMarket(A326,"現在値")</f>
        <v>表示銘柄数超過</v>
      </c>
      <c r="D326" s="20" t="str">
        <f>_xll.RssMarket(A326,"現在値詳細時刻")</f>
        <v>表示銘柄数超過</v>
      </c>
      <c r="E326" s="22" t="str">
        <f>_xll.RssMarket(A326,"前日比")</f>
        <v>表示銘柄数超過</v>
      </c>
      <c r="F326" s="23" t="e">
        <f>_xll.RssMarket(A326,"前日比率")/100</f>
        <v>#VALUE!</v>
      </c>
      <c r="G326" s="24" t="str">
        <f>IFERROR(VLOOKUP(A326,取得元!$A$2:$F$501,2,FALSE),"-")</f>
        <v>-</v>
      </c>
      <c r="H326" s="24" t="str">
        <f>IFERROR(VLOOKUP(A326,取得元!$A$2:$F$501,3,FALSE),"-")</f>
        <v>-</v>
      </c>
      <c r="I326" s="24" t="str">
        <f>IFERROR(VLOOKUP(A326,取得元!$A$2:$F$501,4,FALSE),"-")</f>
        <v>-</v>
      </c>
      <c r="J326" s="5" t="str">
        <f>IFERROR(VLOOKUP(A326,取得元!$A$2:$F$501,5,FALSE),"-")</f>
        <v>-</v>
      </c>
      <c r="K326" s="25" t="str">
        <f>IFERROR(VLOOKUP(A326,取得元!$A$2:$F$501,6,FALSE)/100,"-")</f>
        <v>-</v>
      </c>
      <c r="L326" s="21" t="str">
        <f>_xll.RssMarket(A326,"始値")</f>
        <v>表示銘柄数超過</v>
      </c>
      <c r="M326" s="4" t="e">
        <f t="shared" si="30"/>
        <v>#VALUE!</v>
      </c>
      <c r="N326" s="21" t="str">
        <f>_xll.RssMarket(A326,"高値")</f>
        <v>表示銘柄数超過</v>
      </c>
      <c r="O326" s="4" t="e">
        <f t="shared" si="31"/>
        <v>#VALUE!</v>
      </c>
      <c r="P326" s="21" t="str">
        <f>_xll.RssMarket(A326,"安値")</f>
        <v>表示銘柄数超過</v>
      </c>
      <c r="Q326" s="4" t="e">
        <f t="shared" si="32"/>
        <v>#VALUE!</v>
      </c>
      <c r="R326" s="21" t="str">
        <f>_xll.RssMarket(A326,"後場始値")</f>
        <v>表示銘柄数超過</v>
      </c>
      <c r="S326" s="25" t="str">
        <f t="shared" si="33"/>
        <v>-</v>
      </c>
      <c r="T326" s="7" t="str">
        <f>_xll.RssMarket(A326,"出来高加重平均")</f>
        <v>表示銘柄数超過</v>
      </c>
      <c r="U326" s="4" t="e">
        <f t="shared" si="34"/>
        <v>#VALUE!</v>
      </c>
      <c r="V326" s="21" t="str">
        <f>_xll.RssMarket(A326,"出来高")</f>
        <v>表示銘柄数超過</v>
      </c>
      <c r="W326" s="21" t="str">
        <f>_xll.RssMarket(A326,"売買代金")</f>
        <v>表示銘柄数超過</v>
      </c>
      <c r="X326" s="20" t="str">
        <f>_xll.RssMarket(A326,"決算発表日")</f>
        <v>表示銘柄数超過</v>
      </c>
      <c r="Y326" s="26" t="str">
        <f>IF(C326&gt;_xll.RssMarket(A326,"年初来高値"),"○","×")</f>
        <v>×</v>
      </c>
      <c r="Z326" s="27" t="str">
        <f>IF(C326&lt;=_xll.RssMarket(A326,"年初来安値"),"○","×")</f>
        <v>○</v>
      </c>
    </row>
    <row r="327" spans="1:26" x14ac:dyDescent="0.25">
      <c r="A327" s="49">
        <v>3664</v>
      </c>
      <c r="B327" s="20" t="str">
        <f>_xll.RssMarket(A327,"銘柄名称")</f>
        <v>表示銘柄数超過</v>
      </c>
      <c r="C327" s="21" t="str">
        <f>_xll.RssMarket(A327,"現在値")</f>
        <v>表示銘柄数超過</v>
      </c>
      <c r="D327" s="20" t="str">
        <f>_xll.RssMarket(A327,"現在値詳細時刻")</f>
        <v>表示銘柄数超過</v>
      </c>
      <c r="E327" s="22" t="str">
        <f>_xll.RssMarket(A327,"前日比")</f>
        <v>表示銘柄数超過</v>
      </c>
      <c r="F327" s="23" t="e">
        <f>_xll.RssMarket(A327,"前日比率")/100</f>
        <v>#VALUE!</v>
      </c>
      <c r="G327" s="24" t="str">
        <f>IFERROR(VLOOKUP(A327,取得元!$A$2:$F$501,2,FALSE),"-")</f>
        <v>-</v>
      </c>
      <c r="H327" s="24" t="str">
        <f>IFERROR(VLOOKUP(A327,取得元!$A$2:$F$501,3,FALSE),"-")</f>
        <v>-</v>
      </c>
      <c r="I327" s="24" t="str">
        <f>IFERROR(VLOOKUP(A327,取得元!$A$2:$F$501,4,FALSE),"-")</f>
        <v>-</v>
      </c>
      <c r="J327" s="5" t="str">
        <f>IFERROR(VLOOKUP(A327,取得元!$A$2:$F$501,5,FALSE),"-")</f>
        <v>-</v>
      </c>
      <c r="K327" s="25" t="str">
        <f>IFERROR(VLOOKUP(A327,取得元!$A$2:$F$501,6,FALSE)/100,"-")</f>
        <v>-</v>
      </c>
      <c r="L327" s="21" t="str">
        <f>_xll.RssMarket(A327,"始値")</f>
        <v>表示銘柄数超過</v>
      </c>
      <c r="M327" s="4" t="e">
        <f t="shared" si="30"/>
        <v>#VALUE!</v>
      </c>
      <c r="N327" s="21" t="str">
        <f>_xll.RssMarket(A327,"高値")</f>
        <v>表示銘柄数超過</v>
      </c>
      <c r="O327" s="4" t="e">
        <f t="shared" si="31"/>
        <v>#VALUE!</v>
      </c>
      <c r="P327" s="21" t="str">
        <f>_xll.RssMarket(A327,"安値")</f>
        <v>表示銘柄数超過</v>
      </c>
      <c r="Q327" s="4" t="e">
        <f t="shared" si="32"/>
        <v>#VALUE!</v>
      </c>
      <c r="R327" s="21" t="str">
        <f>_xll.RssMarket(A327,"後場始値")</f>
        <v>表示銘柄数超過</v>
      </c>
      <c r="S327" s="25" t="str">
        <f t="shared" si="33"/>
        <v>-</v>
      </c>
      <c r="T327" s="7" t="str">
        <f>_xll.RssMarket(A327,"出来高加重平均")</f>
        <v>表示銘柄数超過</v>
      </c>
      <c r="U327" s="4" t="e">
        <f t="shared" si="34"/>
        <v>#VALUE!</v>
      </c>
      <c r="V327" s="21" t="str">
        <f>_xll.RssMarket(A327,"出来高")</f>
        <v>表示銘柄数超過</v>
      </c>
      <c r="W327" s="21" t="str">
        <f>_xll.RssMarket(A327,"売買代金")</f>
        <v>表示銘柄数超過</v>
      </c>
      <c r="X327" s="20" t="str">
        <f>_xll.RssMarket(A327,"決算発表日")</f>
        <v>表示銘柄数超過</v>
      </c>
      <c r="Y327" s="26" t="str">
        <f>IF(C327&gt;_xll.RssMarket(A327,"年初来高値"),"○","×")</f>
        <v>×</v>
      </c>
      <c r="Z327" s="27" t="str">
        <f>IF(C327&lt;=_xll.RssMarket(A327,"年初来安値"),"○","×")</f>
        <v>○</v>
      </c>
    </row>
    <row r="328" spans="1:26" x14ac:dyDescent="0.25">
      <c r="A328" s="47">
        <v>3665</v>
      </c>
      <c r="B328" s="20" t="str">
        <f>_xll.RssMarket(A328,"銘柄名称")</f>
        <v>表示銘柄数超過</v>
      </c>
      <c r="C328" s="21" t="str">
        <f>_xll.RssMarket(A328,"現在値")</f>
        <v>表示銘柄数超過</v>
      </c>
      <c r="D328" s="20" t="str">
        <f>_xll.RssMarket(A328,"現在値詳細時刻")</f>
        <v>表示銘柄数超過</v>
      </c>
      <c r="E328" s="22" t="str">
        <f>_xll.RssMarket(A328,"前日比")</f>
        <v>表示銘柄数超過</v>
      </c>
      <c r="F328" s="23" t="e">
        <f>_xll.RssMarket(A328,"前日比率")/100</f>
        <v>#VALUE!</v>
      </c>
      <c r="G328" s="24" t="str">
        <f>IFERROR(VLOOKUP(A328,取得元!$A$2:$F$501,2,FALSE),"-")</f>
        <v>-</v>
      </c>
      <c r="H328" s="24" t="str">
        <f>IFERROR(VLOOKUP(A328,取得元!$A$2:$F$501,3,FALSE),"-")</f>
        <v>-</v>
      </c>
      <c r="I328" s="24" t="str">
        <f>IFERROR(VLOOKUP(A328,取得元!$A$2:$F$501,4,FALSE),"-")</f>
        <v>-</v>
      </c>
      <c r="J328" s="5" t="str">
        <f>IFERROR(VLOOKUP(A328,取得元!$A$2:$F$501,5,FALSE),"-")</f>
        <v>-</v>
      </c>
      <c r="K328" s="25" t="str">
        <f>IFERROR(VLOOKUP(A328,取得元!$A$2:$F$501,6,FALSE)/100,"-")</f>
        <v>-</v>
      </c>
      <c r="L328" s="21" t="str">
        <f>_xll.RssMarket(A328,"始値")</f>
        <v>表示銘柄数超過</v>
      </c>
      <c r="M328" s="4" t="e">
        <f t="shared" si="30"/>
        <v>#VALUE!</v>
      </c>
      <c r="N328" s="21" t="str">
        <f>_xll.RssMarket(A328,"高値")</f>
        <v>表示銘柄数超過</v>
      </c>
      <c r="O328" s="4" t="e">
        <f t="shared" si="31"/>
        <v>#VALUE!</v>
      </c>
      <c r="P328" s="21" t="str">
        <f>_xll.RssMarket(A328,"安値")</f>
        <v>表示銘柄数超過</v>
      </c>
      <c r="Q328" s="4" t="e">
        <f t="shared" si="32"/>
        <v>#VALUE!</v>
      </c>
      <c r="R328" s="21" t="str">
        <f>_xll.RssMarket(A328,"後場始値")</f>
        <v>表示銘柄数超過</v>
      </c>
      <c r="S328" s="25" t="str">
        <f t="shared" si="33"/>
        <v>-</v>
      </c>
      <c r="T328" s="7" t="str">
        <f>_xll.RssMarket(A328,"出来高加重平均")</f>
        <v>表示銘柄数超過</v>
      </c>
      <c r="U328" s="4" t="e">
        <f t="shared" si="34"/>
        <v>#VALUE!</v>
      </c>
      <c r="V328" s="21" t="str">
        <f>_xll.RssMarket(A328,"出来高")</f>
        <v>表示銘柄数超過</v>
      </c>
      <c r="W328" s="21" t="str">
        <f>_xll.RssMarket(A328,"売買代金")</f>
        <v>表示銘柄数超過</v>
      </c>
      <c r="X328" s="20" t="str">
        <f>_xll.RssMarket(A328,"決算発表日")</f>
        <v>表示銘柄数超過</v>
      </c>
      <c r="Y328" s="26" t="str">
        <f>IF(C328&gt;_xll.RssMarket(A328,"年初来高値"),"○","×")</f>
        <v>×</v>
      </c>
      <c r="Z328" s="27" t="str">
        <f>IF(C328&lt;=_xll.RssMarket(A328,"年初来安値"),"○","×")</f>
        <v>○</v>
      </c>
    </row>
    <row r="329" spans="1:26" x14ac:dyDescent="0.25">
      <c r="A329" s="49">
        <v>3666</v>
      </c>
      <c r="B329" s="20" t="str">
        <f>_xll.RssMarket(A329,"銘柄名称")</f>
        <v>表示銘柄数超過</v>
      </c>
      <c r="C329" s="21" t="str">
        <f>_xll.RssMarket(A329,"現在値")</f>
        <v>表示銘柄数超過</v>
      </c>
      <c r="D329" s="20" t="str">
        <f>_xll.RssMarket(A329,"現在値詳細時刻")</f>
        <v>表示銘柄数超過</v>
      </c>
      <c r="E329" s="22" t="str">
        <f>_xll.RssMarket(A329,"前日比")</f>
        <v>表示銘柄数超過</v>
      </c>
      <c r="F329" s="23" t="e">
        <f>_xll.RssMarket(A329,"前日比率")/100</f>
        <v>#VALUE!</v>
      </c>
      <c r="G329" s="24" t="str">
        <f>IFERROR(VLOOKUP(A329,取得元!$A$2:$F$501,2,FALSE),"-")</f>
        <v>-</v>
      </c>
      <c r="H329" s="24" t="str">
        <f>IFERROR(VLOOKUP(A329,取得元!$A$2:$F$501,3,FALSE),"-")</f>
        <v>-</v>
      </c>
      <c r="I329" s="24" t="str">
        <f>IFERROR(VLOOKUP(A329,取得元!$A$2:$F$501,4,FALSE),"-")</f>
        <v>-</v>
      </c>
      <c r="J329" s="5" t="str">
        <f>IFERROR(VLOOKUP(A329,取得元!$A$2:$F$501,5,FALSE),"-")</f>
        <v>-</v>
      </c>
      <c r="K329" s="25" t="str">
        <f>IFERROR(VLOOKUP(A329,取得元!$A$2:$F$501,6,FALSE)/100,"-")</f>
        <v>-</v>
      </c>
      <c r="L329" s="21" t="str">
        <f>_xll.RssMarket(A329,"始値")</f>
        <v>表示銘柄数超過</v>
      </c>
      <c r="M329" s="4" t="e">
        <f t="shared" si="30"/>
        <v>#VALUE!</v>
      </c>
      <c r="N329" s="21" t="str">
        <f>_xll.RssMarket(A329,"高値")</f>
        <v>表示銘柄数超過</v>
      </c>
      <c r="O329" s="4" t="e">
        <f t="shared" si="31"/>
        <v>#VALUE!</v>
      </c>
      <c r="P329" s="21" t="str">
        <f>_xll.RssMarket(A329,"安値")</f>
        <v>表示銘柄数超過</v>
      </c>
      <c r="Q329" s="4" t="e">
        <f t="shared" si="32"/>
        <v>#VALUE!</v>
      </c>
      <c r="R329" s="21" t="str">
        <f>_xll.RssMarket(A329,"後場始値")</f>
        <v>表示銘柄数超過</v>
      </c>
      <c r="S329" s="25" t="str">
        <f t="shared" si="33"/>
        <v>-</v>
      </c>
      <c r="T329" s="7" t="str">
        <f>_xll.RssMarket(A329,"出来高加重平均")</f>
        <v>表示銘柄数超過</v>
      </c>
      <c r="U329" s="4" t="e">
        <f t="shared" si="34"/>
        <v>#VALUE!</v>
      </c>
      <c r="V329" s="21" t="str">
        <f>_xll.RssMarket(A329,"出来高")</f>
        <v>表示銘柄数超過</v>
      </c>
      <c r="W329" s="21" t="str">
        <f>_xll.RssMarket(A329,"売買代金")</f>
        <v>表示銘柄数超過</v>
      </c>
      <c r="X329" s="20" t="str">
        <f>_xll.RssMarket(A329,"決算発表日")</f>
        <v>表示銘柄数超過</v>
      </c>
      <c r="Y329" s="26" t="str">
        <f>IF(C329&gt;_xll.RssMarket(A329,"年初来高値"),"○","×")</f>
        <v>×</v>
      </c>
      <c r="Z329" s="27" t="str">
        <f>IF(C329&lt;=_xll.RssMarket(A329,"年初来安値"),"○","×")</f>
        <v>○</v>
      </c>
    </row>
    <row r="330" spans="1:26" x14ac:dyDescent="0.25">
      <c r="A330" s="47">
        <v>3667</v>
      </c>
      <c r="B330" s="20" t="str">
        <f>_xll.RssMarket(A330,"銘柄名称")</f>
        <v>表示銘柄数超過</v>
      </c>
      <c r="C330" s="21" t="str">
        <f>_xll.RssMarket(A330,"現在値")</f>
        <v>表示銘柄数超過</v>
      </c>
      <c r="D330" s="20" t="str">
        <f>_xll.RssMarket(A330,"現在値詳細時刻")</f>
        <v>表示銘柄数超過</v>
      </c>
      <c r="E330" s="22" t="str">
        <f>_xll.RssMarket(A330,"前日比")</f>
        <v>表示銘柄数超過</v>
      </c>
      <c r="F330" s="23" t="e">
        <f>_xll.RssMarket(A330,"前日比率")/100</f>
        <v>#VALUE!</v>
      </c>
      <c r="G330" s="24" t="str">
        <f>IFERROR(VLOOKUP(A330,取得元!$A$2:$F$501,2,FALSE),"-")</f>
        <v>-</v>
      </c>
      <c r="H330" s="24" t="str">
        <f>IFERROR(VLOOKUP(A330,取得元!$A$2:$F$501,3,FALSE),"-")</f>
        <v>-</v>
      </c>
      <c r="I330" s="24" t="str">
        <f>IFERROR(VLOOKUP(A330,取得元!$A$2:$F$501,4,FALSE),"-")</f>
        <v>-</v>
      </c>
      <c r="J330" s="5" t="str">
        <f>IFERROR(VLOOKUP(A330,取得元!$A$2:$F$501,5,FALSE),"-")</f>
        <v>-</v>
      </c>
      <c r="K330" s="25" t="str">
        <f>IFERROR(VLOOKUP(A330,取得元!$A$2:$F$501,6,FALSE)/100,"-")</f>
        <v>-</v>
      </c>
      <c r="L330" s="21" t="str">
        <f>_xll.RssMarket(A330,"始値")</f>
        <v>表示銘柄数超過</v>
      </c>
      <c r="M330" s="4" t="e">
        <f t="shared" si="30"/>
        <v>#VALUE!</v>
      </c>
      <c r="N330" s="21" t="str">
        <f>_xll.RssMarket(A330,"高値")</f>
        <v>表示銘柄数超過</v>
      </c>
      <c r="O330" s="4" t="e">
        <f t="shared" si="31"/>
        <v>#VALUE!</v>
      </c>
      <c r="P330" s="21" t="str">
        <f>_xll.RssMarket(A330,"安値")</f>
        <v>表示銘柄数超過</v>
      </c>
      <c r="Q330" s="4" t="e">
        <f t="shared" si="32"/>
        <v>#VALUE!</v>
      </c>
      <c r="R330" s="21" t="str">
        <f>_xll.RssMarket(A330,"後場始値")</f>
        <v>表示銘柄数超過</v>
      </c>
      <c r="S330" s="25" t="str">
        <f t="shared" si="33"/>
        <v>-</v>
      </c>
      <c r="T330" s="7" t="str">
        <f>_xll.RssMarket(A330,"出来高加重平均")</f>
        <v>表示銘柄数超過</v>
      </c>
      <c r="U330" s="4" t="e">
        <f t="shared" si="34"/>
        <v>#VALUE!</v>
      </c>
      <c r="V330" s="21" t="str">
        <f>_xll.RssMarket(A330,"出来高")</f>
        <v>表示銘柄数超過</v>
      </c>
      <c r="W330" s="21" t="str">
        <f>_xll.RssMarket(A330,"売買代金")</f>
        <v>表示銘柄数超過</v>
      </c>
      <c r="X330" s="20" t="str">
        <f>_xll.RssMarket(A330,"決算発表日")</f>
        <v>表示銘柄数超過</v>
      </c>
      <c r="Y330" s="26" t="str">
        <f>IF(C330&gt;_xll.RssMarket(A330,"年初来高値"),"○","×")</f>
        <v>×</v>
      </c>
      <c r="Z330" s="27" t="str">
        <f>IF(C330&lt;=_xll.RssMarket(A330,"年初来安値"),"○","×")</f>
        <v>○</v>
      </c>
    </row>
    <row r="331" spans="1:26" x14ac:dyDescent="0.25">
      <c r="A331" s="49">
        <v>3668</v>
      </c>
      <c r="B331" s="20" t="str">
        <f>_xll.RssMarket(A331,"銘柄名称")</f>
        <v>表示銘柄数超過</v>
      </c>
      <c r="C331" s="21" t="str">
        <f>_xll.RssMarket(A331,"現在値")</f>
        <v>表示銘柄数超過</v>
      </c>
      <c r="D331" s="20" t="str">
        <f>_xll.RssMarket(A331,"現在値詳細時刻")</f>
        <v>表示銘柄数超過</v>
      </c>
      <c r="E331" s="22" t="str">
        <f>_xll.RssMarket(A331,"前日比")</f>
        <v>表示銘柄数超過</v>
      </c>
      <c r="F331" s="23" t="e">
        <f>_xll.RssMarket(A331,"前日比率")/100</f>
        <v>#VALUE!</v>
      </c>
      <c r="G331" s="24" t="str">
        <f>IFERROR(VLOOKUP(A331,取得元!$A$2:$F$501,2,FALSE),"-")</f>
        <v>-</v>
      </c>
      <c r="H331" s="24" t="str">
        <f>IFERROR(VLOOKUP(A331,取得元!$A$2:$F$501,3,FALSE),"-")</f>
        <v>-</v>
      </c>
      <c r="I331" s="24" t="str">
        <f>IFERROR(VLOOKUP(A331,取得元!$A$2:$F$501,4,FALSE),"-")</f>
        <v>-</v>
      </c>
      <c r="J331" s="5" t="str">
        <f>IFERROR(VLOOKUP(A331,取得元!$A$2:$F$501,5,FALSE),"-")</f>
        <v>-</v>
      </c>
      <c r="K331" s="25" t="str">
        <f>IFERROR(VLOOKUP(A331,取得元!$A$2:$F$501,6,FALSE)/100,"-")</f>
        <v>-</v>
      </c>
      <c r="L331" s="21" t="str">
        <f>_xll.RssMarket(A331,"始値")</f>
        <v>表示銘柄数超過</v>
      </c>
      <c r="M331" s="4" t="e">
        <f t="shared" si="30"/>
        <v>#VALUE!</v>
      </c>
      <c r="N331" s="21" t="str">
        <f>_xll.RssMarket(A331,"高値")</f>
        <v>表示銘柄数超過</v>
      </c>
      <c r="O331" s="4" t="e">
        <f t="shared" si="31"/>
        <v>#VALUE!</v>
      </c>
      <c r="P331" s="21" t="str">
        <f>_xll.RssMarket(A331,"安値")</f>
        <v>表示銘柄数超過</v>
      </c>
      <c r="Q331" s="4" t="e">
        <f t="shared" si="32"/>
        <v>#VALUE!</v>
      </c>
      <c r="R331" s="21" t="str">
        <f>_xll.RssMarket(A331,"後場始値")</f>
        <v>表示銘柄数超過</v>
      </c>
      <c r="S331" s="25" t="str">
        <f t="shared" si="33"/>
        <v>-</v>
      </c>
      <c r="T331" s="7" t="str">
        <f>_xll.RssMarket(A331,"出来高加重平均")</f>
        <v>表示銘柄数超過</v>
      </c>
      <c r="U331" s="4" t="e">
        <f t="shared" si="34"/>
        <v>#VALUE!</v>
      </c>
      <c r="V331" s="21" t="str">
        <f>_xll.RssMarket(A331,"出来高")</f>
        <v>表示銘柄数超過</v>
      </c>
      <c r="W331" s="21" t="str">
        <f>_xll.RssMarket(A331,"売買代金")</f>
        <v>表示銘柄数超過</v>
      </c>
      <c r="X331" s="20" t="str">
        <f>_xll.RssMarket(A331,"決算発表日")</f>
        <v>表示銘柄数超過</v>
      </c>
      <c r="Y331" s="26" t="str">
        <f>IF(C331&gt;_xll.RssMarket(A331,"年初来高値"),"○","×")</f>
        <v>×</v>
      </c>
      <c r="Z331" s="27" t="str">
        <f>IF(C331&lt;=_xll.RssMarket(A331,"年初来安値"),"○","×")</f>
        <v>○</v>
      </c>
    </row>
    <row r="332" spans="1:26" x14ac:dyDescent="0.25">
      <c r="A332" s="47">
        <v>3672</v>
      </c>
      <c r="B332" s="20" t="str">
        <f>_xll.RssMarket(A332,"銘柄名称")</f>
        <v>表示銘柄数超過</v>
      </c>
      <c r="C332" s="21" t="str">
        <f>_xll.RssMarket(A332,"現在値")</f>
        <v>表示銘柄数超過</v>
      </c>
      <c r="D332" s="20" t="str">
        <f>_xll.RssMarket(A332,"現在値詳細時刻")</f>
        <v>表示銘柄数超過</v>
      </c>
      <c r="E332" s="22" t="str">
        <f>_xll.RssMarket(A332,"前日比")</f>
        <v>表示銘柄数超過</v>
      </c>
      <c r="F332" s="23" t="e">
        <f>_xll.RssMarket(A332,"前日比率")/100</f>
        <v>#VALUE!</v>
      </c>
      <c r="G332" s="24" t="str">
        <f>IFERROR(VLOOKUP(A332,取得元!$A$2:$F$501,2,FALSE),"-")</f>
        <v>-</v>
      </c>
      <c r="H332" s="24" t="str">
        <f>IFERROR(VLOOKUP(A332,取得元!$A$2:$F$501,3,FALSE),"-")</f>
        <v>-</v>
      </c>
      <c r="I332" s="24" t="str">
        <f>IFERROR(VLOOKUP(A332,取得元!$A$2:$F$501,4,FALSE),"-")</f>
        <v>-</v>
      </c>
      <c r="J332" s="5" t="str">
        <f>IFERROR(VLOOKUP(A332,取得元!$A$2:$F$501,5,FALSE),"-")</f>
        <v>-</v>
      </c>
      <c r="K332" s="25" t="str">
        <f>IFERROR(VLOOKUP(A332,取得元!$A$2:$F$501,6,FALSE)/100,"-")</f>
        <v>-</v>
      </c>
      <c r="L332" s="21" t="str">
        <f>_xll.RssMarket(A332,"始値")</f>
        <v>表示銘柄数超過</v>
      </c>
      <c r="M332" s="4" t="e">
        <f t="shared" si="30"/>
        <v>#VALUE!</v>
      </c>
      <c r="N332" s="21" t="str">
        <f>_xll.RssMarket(A332,"高値")</f>
        <v>表示銘柄数超過</v>
      </c>
      <c r="O332" s="4" t="e">
        <f t="shared" si="31"/>
        <v>#VALUE!</v>
      </c>
      <c r="P332" s="21" t="str">
        <f>_xll.RssMarket(A332,"安値")</f>
        <v>表示銘柄数超過</v>
      </c>
      <c r="Q332" s="4" t="e">
        <f t="shared" si="32"/>
        <v>#VALUE!</v>
      </c>
      <c r="R332" s="21" t="str">
        <f>_xll.RssMarket(A332,"後場始値")</f>
        <v>表示銘柄数超過</v>
      </c>
      <c r="S332" s="25" t="str">
        <f t="shared" si="33"/>
        <v>-</v>
      </c>
      <c r="T332" s="7" t="str">
        <f>_xll.RssMarket(A332,"出来高加重平均")</f>
        <v>表示銘柄数超過</v>
      </c>
      <c r="U332" s="4" t="e">
        <f t="shared" si="34"/>
        <v>#VALUE!</v>
      </c>
      <c r="V332" s="21" t="str">
        <f>_xll.RssMarket(A332,"出来高")</f>
        <v>表示銘柄数超過</v>
      </c>
      <c r="W332" s="21" t="str">
        <f>_xll.RssMarket(A332,"売買代金")</f>
        <v>表示銘柄数超過</v>
      </c>
      <c r="X332" s="20" t="str">
        <f>_xll.RssMarket(A332,"決算発表日")</f>
        <v>表示銘柄数超過</v>
      </c>
      <c r="Y332" s="26" t="str">
        <f>IF(C332&gt;_xll.RssMarket(A332,"年初来高値"),"○","×")</f>
        <v>×</v>
      </c>
      <c r="Z332" s="27" t="str">
        <f>IF(C332&lt;=_xll.RssMarket(A332,"年初来安値"),"○","×")</f>
        <v>○</v>
      </c>
    </row>
    <row r="333" spans="1:26" x14ac:dyDescent="0.25">
      <c r="A333" s="49">
        <v>3674</v>
      </c>
      <c r="B333" s="20" t="str">
        <f>_xll.RssMarket(A333,"銘柄名称")</f>
        <v>表示銘柄数超過</v>
      </c>
      <c r="C333" s="21" t="str">
        <f>_xll.RssMarket(A333,"現在値")</f>
        <v>表示銘柄数超過</v>
      </c>
      <c r="D333" s="20" t="str">
        <f>_xll.RssMarket(A333,"現在値詳細時刻")</f>
        <v>表示銘柄数超過</v>
      </c>
      <c r="E333" s="22" t="str">
        <f>_xll.RssMarket(A333,"前日比")</f>
        <v>表示銘柄数超過</v>
      </c>
      <c r="F333" s="23" t="e">
        <f>_xll.RssMarket(A333,"前日比率")/100</f>
        <v>#VALUE!</v>
      </c>
      <c r="G333" s="24" t="str">
        <f>IFERROR(VLOOKUP(A333,取得元!$A$2:$F$501,2,FALSE),"-")</f>
        <v>-</v>
      </c>
      <c r="H333" s="24" t="str">
        <f>IFERROR(VLOOKUP(A333,取得元!$A$2:$F$501,3,FALSE),"-")</f>
        <v>-</v>
      </c>
      <c r="I333" s="24" t="str">
        <f>IFERROR(VLOOKUP(A333,取得元!$A$2:$F$501,4,FALSE),"-")</f>
        <v>-</v>
      </c>
      <c r="J333" s="5" t="str">
        <f>IFERROR(VLOOKUP(A333,取得元!$A$2:$F$501,5,FALSE),"-")</f>
        <v>-</v>
      </c>
      <c r="K333" s="25" t="str">
        <f>IFERROR(VLOOKUP(A333,取得元!$A$2:$F$501,6,FALSE)/100,"-")</f>
        <v>-</v>
      </c>
      <c r="L333" s="21" t="str">
        <f>_xll.RssMarket(A333,"始値")</f>
        <v>表示銘柄数超過</v>
      </c>
      <c r="M333" s="4" t="e">
        <f t="shared" si="30"/>
        <v>#VALUE!</v>
      </c>
      <c r="N333" s="21" t="str">
        <f>_xll.RssMarket(A333,"高値")</f>
        <v>表示銘柄数超過</v>
      </c>
      <c r="O333" s="4" t="e">
        <f t="shared" si="31"/>
        <v>#VALUE!</v>
      </c>
      <c r="P333" s="21" t="str">
        <f>_xll.RssMarket(A333,"安値")</f>
        <v>表示銘柄数超過</v>
      </c>
      <c r="Q333" s="4" t="e">
        <f t="shared" si="32"/>
        <v>#VALUE!</v>
      </c>
      <c r="R333" s="21" t="str">
        <f>_xll.RssMarket(A333,"後場始値")</f>
        <v>表示銘柄数超過</v>
      </c>
      <c r="S333" s="25" t="str">
        <f t="shared" si="33"/>
        <v>-</v>
      </c>
      <c r="T333" s="7" t="str">
        <f>_xll.RssMarket(A333,"出来高加重平均")</f>
        <v>表示銘柄数超過</v>
      </c>
      <c r="U333" s="4" t="e">
        <f t="shared" si="34"/>
        <v>#VALUE!</v>
      </c>
      <c r="V333" s="21" t="str">
        <f>_xll.RssMarket(A333,"出来高")</f>
        <v>表示銘柄数超過</v>
      </c>
      <c r="W333" s="21" t="str">
        <f>_xll.RssMarket(A333,"売買代金")</f>
        <v>表示銘柄数超過</v>
      </c>
      <c r="X333" s="20" t="str">
        <f>_xll.RssMarket(A333,"決算発表日")</f>
        <v>表示銘柄数超過</v>
      </c>
      <c r="Y333" s="26" t="str">
        <f>IF(C333&gt;_xll.RssMarket(A333,"年初来高値"),"○","×")</f>
        <v>×</v>
      </c>
      <c r="Z333" s="27" t="str">
        <f>IF(C333&lt;=_xll.RssMarket(A333,"年初来安値"),"○","×")</f>
        <v>○</v>
      </c>
    </row>
    <row r="334" spans="1:26" x14ac:dyDescent="0.25">
      <c r="A334" s="47">
        <v>3676</v>
      </c>
      <c r="B334" s="20" t="str">
        <f>_xll.RssMarket(A334,"銘柄名称")</f>
        <v>表示銘柄数超過</v>
      </c>
      <c r="C334" s="21" t="str">
        <f>_xll.RssMarket(A334,"現在値")</f>
        <v>表示銘柄数超過</v>
      </c>
      <c r="D334" s="20" t="str">
        <f>_xll.RssMarket(A334,"現在値詳細時刻")</f>
        <v>表示銘柄数超過</v>
      </c>
      <c r="E334" s="22" t="str">
        <f>_xll.RssMarket(A334,"前日比")</f>
        <v>表示銘柄数超過</v>
      </c>
      <c r="F334" s="23" t="e">
        <f>_xll.RssMarket(A334,"前日比率")/100</f>
        <v>#VALUE!</v>
      </c>
      <c r="G334" s="24" t="str">
        <f>IFERROR(VLOOKUP(A334,取得元!$A$2:$F$501,2,FALSE),"-")</f>
        <v>-</v>
      </c>
      <c r="H334" s="24" t="str">
        <f>IFERROR(VLOOKUP(A334,取得元!$A$2:$F$501,3,FALSE),"-")</f>
        <v>-</v>
      </c>
      <c r="I334" s="24" t="str">
        <f>IFERROR(VLOOKUP(A334,取得元!$A$2:$F$501,4,FALSE),"-")</f>
        <v>-</v>
      </c>
      <c r="J334" s="5" t="str">
        <f>IFERROR(VLOOKUP(A334,取得元!$A$2:$F$501,5,FALSE),"-")</f>
        <v>-</v>
      </c>
      <c r="K334" s="25" t="str">
        <f>IFERROR(VLOOKUP(A334,取得元!$A$2:$F$501,6,FALSE)/100,"-")</f>
        <v>-</v>
      </c>
      <c r="L334" s="21" t="str">
        <f>_xll.RssMarket(A334,"始値")</f>
        <v>表示銘柄数超過</v>
      </c>
      <c r="M334" s="4" t="e">
        <f t="shared" si="30"/>
        <v>#VALUE!</v>
      </c>
      <c r="N334" s="21" t="str">
        <f>_xll.RssMarket(A334,"高値")</f>
        <v>表示銘柄数超過</v>
      </c>
      <c r="O334" s="4" t="e">
        <f t="shared" si="31"/>
        <v>#VALUE!</v>
      </c>
      <c r="P334" s="21" t="str">
        <f>_xll.RssMarket(A334,"安値")</f>
        <v>表示銘柄数超過</v>
      </c>
      <c r="Q334" s="4" t="e">
        <f t="shared" si="32"/>
        <v>#VALUE!</v>
      </c>
      <c r="R334" s="21" t="str">
        <f>_xll.RssMarket(A334,"後場始値")</f>
        <v>表示銘柄数超過</v>
      </c>
      <c r="S334" s="25" t="str">
        <f t="shared" si="33"/>
        <v>-</v>
      </c>
      <c r="T334" s="7" t="str">
        <f>_xll.RssMarket(A334,"出来高加重平均")</f>
        <v>表示銘柄数超過</v>
      </c>
      <c r="U334" s="4" t="e">
        <f t="shared" si="34"/>
        <v>#VALUE!</v>
      </c>
      <c r="V334" s="21" t="str">
        <f>_xll.RssMarket(A334,"出来高")</f>
        <v>表示銘柄数超過</v>
      </c>
      <c r="W334" s="21" t="str">
        <f>_xll.RssMarket(A334,"売買代金")</f>
        <v>表示銘柄数超過</v>
      </c>
      <c r="X334" s="20" t="str">
        <f>_xll.RssMarket(A334,"決算発表日")</f>
        <v>表示銘柄数超過</v>
      </c>
      <c r="Y334" s="26" t="str">
        <f>IF(C334&gt;_xll.RssMarket(A334,"年初来高値"),"○","×")</f>
        <v>×</v>
      </c>
      <c r="Z334" s="27" t="str">
        <f>IF(C334&lt;=_xll.RssMarket(A334,"年初来安値"),"○","×")</f>
        <v>○</v>
      </c>
    </row>
    <row r="335" spans="1:26" x14ac:dyDescent="0.25">
      <c r="A335" s="49">
        <v>3677</v>
      </c>
      <c r="B335" s="20" t="str">
        <f>_xll.RssMarket(A335,"銘柄名称")</f>
        <v>表示銘柄数超過</v>
      </c>
      <c r="C335" s="21" t="str">
        <f>_xll.RssMarket(A335,"現在値")</f>
        <v>表示銘柄数超過</v>
      </c>
      <c r="D335" s="20" t="str">
        <f>_xll.RssMarket(A335,"現在値詳細時刻")</f>
        <v>表示銘柄数超過</v>
      </c>
      <c r="E335" s="22" t="str">
        <f>_xll.RssMarket(A335,"前日比")</f>
        <v>表示銘柄数超過</v>
      </c>
      <c r="F335" s="23" t="e">
        <f>_xll.RssMarket(A335,"前日比率")/100</f>
        <v>#VALUE!</v>
      </c>
      <c r="G335" s="24" t="str">
        <f>IFERROR(VLOOKUP(A335,取得元!$A$2:$F$501,2,FALSE),"-")</f>
        <v>-</v>
      </c>
      <c r="H335" s="24" t="str">
        <f>IFERROR(VLOOKUP(A335,取得元!$A$2:$F$501,3,FALSE),"-")</f>
        <v>-</v>
      </c>
      <c r="I335" s="24" t="str">
        <f>IFERROR(VLOOKUP(A335,取得元!$A$2:$F$501,4,FALSE),"-")</f>
        <v>-</v>
      </c>
      <c r="J335" s="5" t="str">
        <f>IFERROR(VLOOKUP(A335,取得元!$A$2:$F$501,5,FALSE),"-")</f>
        <v>-</v>
      </c>
      <c r="K335" s="25" t="str">
        <f>IFERROR(VLOOKUP(A335,取得元!$A$2:$F$501,6,FALSE)/100,"-")</f>
        <v>-</v>
      </c>
      <c r="L335" s="21" t="str">
        <f>_xll.RssMarket(A335,"始値")</f>
        <v>表示銘柄数超過</v>
      </c>
      <c r="M335" s="4" t="e">
        <f t="shared" si="30"/>
        <v>#VALUE!</v>
      </c>
      <c r="N335" s="21" t="str">
        <f>_xll.RssMarket(A335,"高値")</f>
        <v>表示銘柄数超過</v>
      </c>
      <c r="O335" s="4" t="e">
        <f t="shared" si="31"/>
        <v>#VALUE!</v>
      </c>
      <c r="P335" s="21" t="str">
        <f>_xll.RssMarket(A335,"安値")</f>
        <v>表示銘柄数超過</v>
      </c>
      <c r="Q335" s="4" t="e">
        <f t="shared" si="32"/>
        <v>#VALUE!</v>
      </c>
      <c r="R335" s="21" t="str">
        <f>_xll.RssMarket(A335,"後場始値")</f>
        <v>表示銘柄数超過</v>
      </c>
      <c r="S335" s="25" t="str">
        <f t="shared" si="33"/>
        <v>-</v>
      </c>
      <c r="T335" s="7" t="str">
        <f>_xll.RssMarket(A335,"出来高加重平均")</f>
        <v>表示銘柄数超過</v>
      </c>
      <c r="U335" s="4" t="e">
        <f t="shared" si="34"/>
        <v>#VALUE!</v>
      </c>
      <c r="V335" s="21" t="str">
        <f>_xll.RssMarket(A335,"出来高")</f>
        <v>表示銘柄数超過</v>
      </c>
      <c r="W335" s="21" t="str">
        <f>_xll.RssMarket(A335,"売買代金")</f>
        <v>表示銘柄数超過</v>
      </c>
      <c r="X335" s="20" t="str">
        <f>_xll.RssMarket(A335,"決算発表日")</f>
        <v>表示銘柄数超過</v>
      </c>
      <c r="Y335" s="26" t="str">
        <f>IF(C335&gt;_xll.RssMarket(A335,"年初来高値"),"○","×")</f>
        <v>×</v>
      </c>
      <c r="Z335" s="27" t="str">
        <f>IF(C335&lt;=_xll.RssMarket(A335,"年初来安値"),"○","×")</f>
        <v>○</v>
      </c>
    </row>
    <row r="336" spans="1:26" x14ac:dyDescent="0.25">
      <c r="A336" s="47">
        <v>3680</v>
      </c>
      <c r="B336" s="20" t="str">
        <f>_xll.RssMarket(A336,"銘柄名称")</f>
        <v>表示銘柄数超過</v>
      </c>
      <c r="C336" s="21" t="str">
        <f>_xll.RssMarket(A336,"現在値")</f>
        <v>表示銘柄数超過</v>
      </c>
      <c r="D336" s="20" t="str">
        <f>_xll.RssMarket(A336,"現在値詳細時刻")</f>
        <v>表示銘柄数超過</v>
      </c>
      <c r="E336" s="22" t="str">
        <f>_xll.RssMarket(A336,"前日比")</f>
        <v>表示銘柄数超過</v>
      </c>
      <c r="F336" s="23" t="e">
        <f>_xll.RssMarket(A336,"前日比率")/100</f>
        <v>#VALUE!</v>
      </c>
      <c r="G336" s="24" t="str">
        <f>IFERROR(VLOOKUP(A336,取得元!$A$2:$F$501,2,FALSE),"-")</f>
        <v>-</v>
      </c>
      <c r="H336" s="24" t="str">
        <f>IFERROR(VLOOKUP(A336,取得元!$A$2:$F$501,3,FALSE),"-")</f>
        <v>-</v>
      </c>
      <c r="I336" s="24" t="str">
        <f>IFERROR(VLOOKUP(A336,取得元!$A$2:$F$501,4,FALSE),"-")</f>
        <v>-</v>
      </c>
      <c r="J336" s="5" t="str">
        <f>IFERROR(VLOOKUP(A336,取得元!$A$2:$F$501,5,FALSE),"-")</f>
        <v>-</v>
      </c>
      <c r="K336" s="25" t="str">
        <f>IFERROR(VLOOKUP(A336,取得元!$A$2:$F$501,6,FALSE)/100,"-")</f>
        <v>-</v>
      </c>
      <c r="L336" s="21" t="str">
        <f>_xll.RssMarket(A336,"始値")</f>
        <v>表示銘柄数超過</v>
      </c>
      <c r="M336" s="4" t="e">
        <f t="shared" si="30"/>
        <v>#VALUE!</v>
      </c>
      <c r="N336" s="21" t="str">
        <f>_xll.RssMarket(A336,"高値")</f>
        <v>表示銘柄数超過</v>
      </c>
      <c r="O336" s="4" t="e">
        <f t="shared" si="31"/>
        <v>#VALUE!</v>
      </c>
      <c r="P336" s="21" t="str">
        <f>_xll.RssMarket(A336,"安値")</f>
        <v>表示銘柄数超過</v>
      </c>
      <c r="Q336" s="4" t="e">
        <f t="shared" si="32"/>
        <v>#VALUE!</v>
      </c>
      <c r="R336" s="21" t="str">
        <f>_xll.RssMarket(A336,"後場始値")</f>
        <v>表示銘柄数超過</v>
      </c>
      <c r="S336" s="25" t="str">
        <f t="shared" si="33"/>
        <v>-</v>
      </c>
      <c r="T336" s="7" t="str">
        <f>_xll.RssMarket(A336,"出来高加重平均")</f>
        <v>表示銘柄数超過</v>
      </c>
      <c r="U336" s="4" t="e">
        <f t="shared" si="34"/>
        <v>#VALUE!</v>
      </c>
      <c r="V336" s="21" t="str">
        <f>_xll.RssMarket(A336,"出来高")</f>
        <v>表示銘柄数超過</v>
      </c>
      <c r="W336" s="21" t="str">
        <f>_xll.RssMarket(A336,"売買代金")</f>
        <v>表示銘柄数超過</v>
      </c>
      <c r="X336" s="20" t="str">
        <f>_xll.RssMarket(A336,"決算発表日")</f>
        <v>表示銘柄数超過</v>
      </c>
      <c r="Y336" s="26" t="str">
        <f>IF(C336&gt;_xll.RssMarket(A336,"年初来高値"),"○","×")</f>
        <v>×</v>
      </c>
      <c r="Z336" s="27" t="str">
        <f>IF(C336&lt;=_xll.RssMarket(A336,"年初来安値"),"○","×")</f>
        <v>○</v>
      </c>
    </row>
    <row r="337" spans="1:26" x14ac:dyDescent="0.25">
      <c r="A337" s="49">
        <v>3681</v>
      </c>
      <c r="B337" s="20" t="str">
        <f>_xll.RssMarket(A337,"銘柄名称")</f>
        <v>表示銘柄数超過</v>
      </c>
      <c r="C337" s="21" t="str">
        <f>_xll.RssMarket(A337,"現在値")</f>
        <v>表示銘柄数超過</v>
      </c>
      <c r="D337" s="20" t="str">
        <f>_xll.RssMarket(A337,"現在値詳細時刻")</f>
        <v>表示銘柄数超過</v>
      </c>
      <c r="E337" s="22" t="str">
        <f>_xll.RssMarket(A337,"前日比")</f>
        <v>表示銘柄数超過</v>
      </c>
      <c r="F337" s="23" t="e">
        <f>_xll.RssMarket(A337,"前日比率")/100</f>
        <v>#VALUE!</v>
      </c>
      <c r="G337" s="24" t="str">
        <f>IFERROR(VLOOKUP(A337,取得元!$A$2:$F$501,2,FALSE),"-")</f>
        <v>-</v>
      </c>
      <c r="H337" s="24" t="str">
        <f>IFERROR(VLOOKUP(A337,取得元!$A$2:$F$501,3,FALSE),"-")</f>
        <v>-</v>
      </c>
      <c r="I337" s="24" t="str">
        <f>IFERROR(VLOOKUP(A337,取得元!$A$2:$F$501,4,FALSE),"-")</f>
        <v>-</v>
      </c>
      <c r="J337" s="5" t="str">
        <f>IFERROR(VLOOKUP(A337,取得元!$A$2:$F$501,5,FALSE),"-")</f>
        <v>-</v>
      </c>
      <c r="K337" s="25" t="str">
        <f>IFERROR(VLOOKUP(A337,取得元!$A$2:$F$501,6,FALSE)/100,"-")</f>
        <v>-</v>
      </c>
      <c r="L337" s="21" t="str">
        <f>_xll.RssMarket(A337,"始値")</f>
        <v>表示銘柄数超過</v>
      </c>
      <c r="M337" s="4" t="e">
        <f t="shared" si="30"/>
        <v>#VALUE!</v>
      </c>
      <c r="N337" s="21" t="str">
        <f>_xll.RssMarket(A337,"高値")</f>
        <v>表示銘柄数超過</v>
      </c>
      <c r="O337" s="4" t="e">
        <f t="shared" si="31"/>
        <v>#VALUE!</v>
      </c>
      <c r="P337" s="21" t="str">
        <f>_xll.RssMarket(A337,"安値")</f>
        <v>表示銘柄数超過</v>
      </c>
      <c r="Q337" s="4" t="e">
        <f t="shared" si="32"/>
        <v>#VALUE!</v>
      </c>
      <c r="R337" s="21" t="str">
        <f>_xll.RssMarket(A337,"後場始値")</f>
        <v>表示銘柄数超過</v>
      </c>
      <c r="S337" s="25" t="str">
        <f t="shared" si="33"/>
        <v>-</v>
      </c>
      <c r="T337" s="7" t="str">
        <f>_xll.RssMarket(A337,"出来高加重平均")</f>
        <v>表示銘柄数超過</v>
      </c>
      <c r="U337" s="4" t="e">
        <f t="shared" si="34"/>
        <v>#VALUE!</v>
      </c>
      <c r="V337" s="21" t="str">
        <f>_xll.RssMarket(A337,"出来高")</f>
        <v>表示銘柄数超過</v>
      </c>
      <c r="W337" s="21" t="str">
        <f>_xll.RssMarket(A337,"売買代金")</f>
        <v>表示銘柄数超過</v>
      </c>
      <c r="X337" s="20" t="str">
        <f>_xll.RssMarket(A337,"決算発表日")</f>
        <v>表示銘柄数超過</v>
      </c>
      <c r="Y337" s="26" t="str">
        <f>IF(C337&gt;_xll.RssMarket(A337,"年初来高値"),"○","×")</f>
        <v>×</v>
      </c>
      <c r="Z337" s="27" t="str">
        <f>IF(C337&lt;=_xll.RssMarket(A337,"年初来安値"),"○","×")</f>
        <v>○</v>
      </c>
    </row>
    <row r="338" spans="1:26" x14ac:dyDescent="0.25">
      <c r="A338" s="47">
        <v>3682</v>
      </c>
      <c r="B338" s="20" t="str">
        <f>_xll.RssMarket(A338,"銘柄名称")</f>
        <v>表示銘柄数超過</v>
      </c>
      <c r="C338" s="21" t="str">
        <f>_xll.RssMarket(A338,"現在値")</f>
        <v>表示銘柄数超過</v>
      </c>
      <c r="D338" s="20" t="str">
        <f>_xll.RssMarket(A338,"現在値詳細時刻")</f>
        <v>表示銘柄数超過</v>
      </c>
      <c r="E338" s="22" t="str">
        <f>_xll.RssMarket(A338,"前日比")</f>
        <v>表示銘柄数超過</v>
      </c>
      <c r="F338" s="23" t="e">
        <f>_xll.RssMarket(A338,"前日比率")/100</f>
        <v>#VALUE!</v>
      </c>
      <c r="G338" s="24" t="str">
        <f>IFERROR(VLOOKUP(A338,取得元!$A$2:$F$501,2,FALSE),"-")</f>
        <v>-</v>
      </c>
      <c r="H338" s="24" t="str">
        <f>IFERROR(VLOOKUP(A338,取得元!$A$2:$F$501,3,FALSE),"-")</f>
        <v>-</v>
      </c>
      <c r="I338" s="24" t="str">
        <f>IFERROR(VLOOKUP(A338,取得元!$A$2:$F$501,4,FALSE),"-")</f>
        <v>-</v>
      </c>
      <c r="J338" s="5" t="str">
        <f>IFERROR(VLOOKUP(A338,取得元!$A$2:$F$501,5,FALSE),"-")</f>
        <v>-</v>
      </c>
      <c r="K338" s="25" t="str">
        <f>IFERROR(VLOOKUP(A338,取得元!$A$2:$F$501,6,FALSE)/100,"-")</f>
        <v>-</v>
      </c>
      <c r="L338" s="21" t="str">
        <f>_xll.RssMarket(A338,"始値")</f>
        <v>表示銘柄数超過</v>
      </c>
      <c r="M338" s="4" t="e">
        <f t="shared" si="30"/>
        <v>#VALUE!</v>
      </c>
      <c r="N338" s="21" t="str">
        <f>_xll.RssMarket(A338,"高値")</f>
        <v>表示銘柄数超過</v>
      </c>
      <c r="O338" s="4" t="e">
        <f t="shared" si="31"/>
        <v>#VALUE!</v>
      </c>
      <c r="P338" s="21" t="str">
        <f>_xll.RssMarket(A338,"安値")</f>
        <v>表示銘柄数超過</v>
      </c>
      <c r="Q338" s="4" t="e">
        <f t="shared" si="32"/>
        <v>#VALUE!</v>
      </c>
      <c r="R338" s="21" t="str">
        <f>_xll.RssMarket(A338,"後場始値")</f>
        <v>表示銘柄数超過</v>
      </c>
      <c r="S338" s="25" t="str">
        <f t="shared" si="33"/>
        <v>-</v>
      </c>
      <c r="T338" s="7" t="str">
        <f>_xll.RssMarket(A338,"出来高加重平均")</f>
        <v>表示銘柄数超過</v>
      </c>
      <c r="U338" s="4" t="e">
        <f t="shared" si="34"/>
        <v>#VALUE!</v>
      </c>
      <c r="V338" s="21" t="str">
        <f>_xll.RssMarket(A338,"出来高")</f>
        <v>表示銘柄数超過</v>
      </c>
      <c r="W338" s="21" t="str">
        <f>_xll.RssMarket(A338,"売買代金")</f>
        <v>表示銘柄数超過</v>
      </c>
      <c r="X338" s="20" t="str">
        <f>_xll.RssMarket(A338,"決算発表日")</f>
        <v>表示銘柄数超過</v>
      </c>
      <c r="Y338" s="26" t="str">
        <f>IF(C338&gt;_xll.RssMarket(A338,"年初来高値"),"○","×")</f>
        <v>×</v>
      </c>
      <c r="Z338" s="27" t="str">
        <f>IF(C338&lt;=_xll.RssMarket(A338,"年初来安値"),"○","×")</f>
        <v>○</v>
      </c>
    </row>
    <row r="339" spans="1:26" x14ac:dyDescent="0.25">
      <c r="A339" s="49">
        <v>3683</v>
      </c>
      <c r="B339" s="20" t="str">
        <f>_xll.RssMarket(A339,"銘柄名称")</f>
        <v>表示銘柄数超過</v>
      </c>
      <c r="C339" s="21" t="str">
        <f>_xll.RssMarket(A339,"現在値")</f>
        <v>表示銘柄数超過</v>
      </c>
      <c r="D339" s="20" t="str">
        <f>_xll.RssMarket(A339,"現在値詳細時刻")</f>
        <v>表示銘柄数超過</v>
      </c>
      <c r="E339" s="22" t="str">
        <f>_xll.RssMarket(A339,"前日比")</f>
        <v>表示銘柄数超過</v>
      </c>
      <c r="F339" s="23" t="e">
        <f>_xll.RssMarket(A339,"前日比率")/100</f>
        <v>#VALUE!</v>
      </c>
      <c r="G339" s="24" t="str">
        <f>IFERROR(VLOOKUP(A339,取得元!$A$2:$F$501,2,FALSE),"-")</f>
        <v>-</v>
      </c>
      <c r="H339" s="24" t="str">
        <f>IFERROR(VLOOKUP(A339,取得元!$A$2:$F$501,3,FALSE),"-")</f>
        <v>-</v>
      </c>
      <c r="I339" s="24" t="str">
        <f>IFERROR(VLOOKUP(A339,取得元!$A$2:$F$501,4,FALSE),"-")</f>
        <v>-</v>
      </c>
      <c r="J339" s="5" t="str">
        <f>IFERROR(VLOOKUP(A339,取得元!$A$2:$F$501,5,FALSE),"-")</f>
        <v>-</v>
      </c>
      <c r="K339" s="25" t="str">
        <f>IFERROR(VLOOKUP(A339,取得元!$A$2:$F$501,6,FALSE)/100,"-")</f>
        <v>-</v>
      </c>
      <c r="L339" s="21" t="str">
        <f>_xll.RssMarket(A339,"始値")</f>
        <v>表示銘柄数超過</v>
      </c>
      <c r="M339" s="4" t="e">
        <f t="shared" si="30"/>
        <v>#VALUE!</v>
      </c>
      <c r="N339" s="21" t="str">
        <f>_xll.RssMarket(A339,"高値")</f>
        <v>表示銘柄数超過</v>
      </c>
      <c r="O339" s="4" t="e">
        <f t="shared" si="31"/>
        <v>#VALUE!</v>
      </c>
      <c r="P339" s="21" t="str">
        <f>_xll.RssMarket(A339,"安値")</f>
        <v>表示銘柄数超過</v>
      </c>
      <c r="Q339" s="4" t="e">
        <f t="shared" si="32"/>
        <v>#VALUE!</v>
      </c>
      <c r="R339" s="21" t="str">
        <f>_xll.RssMarket(A339,"後場始値")</f>
        <v>表示銘柄数超過</v>
      </c>
      <c r="S339" s="25" t="str">
        <f t="shared" si="33"/>
        <v>-</v>
      </c>
      <c r="T339" s="7" t="str">
        <f>_xll.RssMarket(A339,"出来高加重平均")</f>
        <v>表示銘柄数超過</v>
      </c>
      <c r="U339" s="4" t="e">
        <f t="shared" si="34"/>
        <v>#VALUE!</v>
      </c>
      <c r="V339" s="21" t="str">
        <f>_xll.RssMarket(A339,"出来高")</f>
        <v>表示銘柄数超過</v>
      </c>
      <c r="W339" s="21" t="str">
        <f>_xll.RssMarket(A339,"売買代金")</f>
        <v>表示銘柄数超過</v>
      </c>
      <c r="X339" s="20" t="str">
        <f>_xll.RssMarket(A339,"決算発表日")</f>
        <v>表示銘柄数超過</v>
      </c>
      <c r="Y339" s="26" t="str">
        <f>IF(C339&gt;_xll.RssMarket(A339,"年初来高値"),"○","×")</f>
        <v>×</v>
      </c>
      <c r="Z339" s="27" t="str">
        <f>IF(C339&lt;=_xll.RssMarket(A339,"年初来安値"),"○","×")</f>
        <v>○</v>
      </c>
    </row>
    <row r="340" spans="1:26" x14ac:dyDescent="0.25">
      <c r="A340" s="47">
        <v>3686</v>
      </c>
      <c r="B340" s="20" t="str">
        <f>_xll.RssMarket(A340,"銘柄名称")</f>
        <v>表示銘柄数超過</v>
      </c>
      <c r="C340" s="21" t="str">
        <f>_xll.RssMarket(A340,"現在値")</f>
        <v>表示銘柄数超過</v>
      </c>
      <c r="D340" s="20" t="str">
        <f>_xll.RssMarket(A340,"現在値詳細時刻")</f>
        <v>表示銘柄数超過</v>
      </c>
      <c r="E340" s="22" t="str">
        <f>_xll.RssMarket(A340,"前日比")</f>
        <v>表示銘柄数超過</v>
      </c>
      <c r="F340" s="23" t="e">
        <f>_xll.RssMarket(A340,"前日比率")/100</f>
        <v>#VALUE!</v>
      </c>
      <c r="G340" s="24" t="str">
        <f>IFERROR(VLOOKUP(A340,取得元!$A$2:$F$501,2,FALSE),"-")</f>
        <v>-</v>
      </c>
      <c r="H340" s="24" t="str">
        <f>IFERROR(VLOOKUP(A340,取得元!$A$2:$F$501,3,FALSE),"-")</f>
        <v>-</v>
      </c>
      <c r="I340" s="24" t="str">
        <f>IFERROR(VLOOKUP(A340,取得元!$A$2:$F$501,4,FALSE),"-")</f>
        <v>-</v>
      </c>
      <c r="J340" s="5" t="str">
        <f>IFERROR(VLOOKUP(A340,取得元!$A$2:$F$501,5,FALSE),"-")</f>
        <v>-</v>
      </c>
      <c r="K340" s="25" t="str">
        <f>IFERROR(VLOOKUP(A340,取得元!$A$2:$F$501,6,FALSE)/100,"-")</f>
        <v>-</v>
      </c>
      <c r="L340" s="21" t="str">
        <f>_xll.RssMarket(A340,"始値")</f>
        <v>表示銘柄数超過</v>
      </c>
      <c r="M340" s="4" t="e">
        <f t="shared" si="30"/>
        <v>#VALUE!</v>
      </c>
      <c r="N340" s="21" t="str">
        <f>_xll.RssMarket(A340,"高値")</f>
        <v>表示銘柄数超過</v>
      </c>
      <c r="O340" s="4" t="e">
        <f t="shared" si="31"/>
        <v>#VALUE!</v>
      </c>
      <c r="P340" s="21" t="str">
        <f>_xll.RssMarket(A340,"安値")</f>
        <v>表示銘柄数超過</v>
      </c>
      <c r="Q340" s="4" t="e">
        <f t="shared" si="32"/>
        <v>#VALUE!</v>
      </c>
      <c r="R340" s="21" t="str">
        <f>_xll.RssMarket(A340,"後場始値")</f>
        <v>表示銘柄数超過</v>
      </c>
      <c r="S340" s="25" t="str">
        <f t="shared" si="33"/>
        <v>-</v>
      </c>
      <c r="T340" s="7" t="str">
        <f>_xll.RssMarket(A340,"出来高加重平均")</f>
        <v>表示銘柄数超過</v>
      </c>
      <c r="U340" s="4" t="e">
        <f t="shared" si="34"/>
        <v>#VALUE!</v>
      </c>
      <c r="V340" s="21" t="str">
        <f>_xll.RssMarket(A340,"出来高")</f>
        <v>表示銘柄数超過</v>
      </c>
      <c r="W340" s="21" t="str">
        <f>_xll.RssMarket(A340,"売買代金")</f>
        <v>表示銘柄数超過</v>
      </c>
      <c r="X340" s="20" t="str">
        <f>_xll.RssMarket(A340,"決算発表日")</f>
        <v>表示銘柄数超過</v>
      </c>
      <c r="Y340" s="26" t="str">
        <f>IF(C340&gt;_xll.RssMarket(A340,"年初来高値"),"○","×")</f>
        <v>×</v>
      </c>
      <c r="Z340" s="27" t="str">
        <f>IF(C340&lt;=_xll.RssMarket(A340,"年初来安値"),"○","×")</f>
        <v>○</v>
      </c>
    </row>
    <row r="341" spans="1:26" x14ac:dyDescent="0.25">
      <c r="A341" s="49">
        <v>3691</v>
      </c>
      <c r="B341" s="20" t="str">
        <f>_xll.RssMarket(A341,"銘柄名称")</f>
        <v>表示銘柄数超過</v>
      </c>
      <c r="C341" s="21" t="str">
        <f>_xll.RssMarket(A341,"現在値")</f>
        <v>表示銘柄数超過</v>
      </c>
      <c r="D341" s="20" t="str">
        <f>_xll.RssMarket(A341,"現在値詳細時刻")</f>
        <v>表示銘柄数超過</v>
      </c>
      <c r="E341" s="22" t="str">
        <f>_xll.RssMarket(A341,"前日比")</f>
        <v>表示銘柄数超過</v>
      </c>
      <c r="F341" s="23" t="e">
        <f>_xll.RssMarket(A341,"前日比率")/100</f>
        <v>#VALUE!</v>
      </c>
      <c r="G341" s="24" t="str">
        <f>IFERROR(VLOOKUP(A341,取得元!$A$2:$F$501,2,FALSE),"-")</f>
        <v>-</v>
      </c>
      <c r="H341" s="24" t="str">
        <f>IFERROR(VLOOKUP(A341,取得元!$A$2:$F$501,3,FALSE),"-")</f>
        <v>-</v>
      </c>
      <c r="I341" s="24" t="str">
        <f>IFERROR(VLOOKUP(A341,取得元!$A$2:$F$501,4,FALSE),"-")</f>
        <v>-</v>
      </c>
      <c r="J341" s="5" t="str">
        <f>IFERROR(VLOOKUP(A341,取得元!$A$2:$F$501,5,FALSE),"-")</f>
        <v>-</v>
      </c>
      <c r="K341" s="25" t="str">
        <f>IFERROR(VLOOKUP(A341,取得元!$A$2:$F$501,6,FALSE)/100,"-")</f>
        <v>-</v>
      </c>
      <c r="L341" s="21" t="str">
        <f>_xll.RssMarket(A341,"始値")</f>
        <v>表示銘柄数超過</v>
      </c>
      <c r="M341" s="4" t="e">
        <f t="shared" si="30"/>
        <v>#VALUE!</v>
      </c>
      <c r="N341" s="21" t="str">
        <f>_xll.RssMarket(A341,"高値")</f>
        <v>表示銘柄数超過</v>
      </c>
      <c r="O341" s="4" t="e">
        <f t="shared" si="31"/>
        <v>#VALUE!</v>
      </c>
      <c r="P341" s="21" t="str">
        <f>_xll.RssMarket(A341,"安値")</f>
        <v>表示銘柄数超過</v>
      </c>
      <c r="Q341" s="4" t="e">
        <f t="shared" si="32"/>
        <v>#VALUE!</v>
      </c>
      <c r="R341" s="21" t="str">
        <f>_xll.RssMarket(A341,"後場始値")</f>
        <v>表示銘柄数超過</v>
      </c>
      <c r="S341" s="25" t="str">
        <f t="shared" si="33"/>
        <v>-</v>
      </c>
      <c r="T341" s="7" t="str">
        <f>_xll.RssMarket(A341,"出来高加重平均")</f>
        <v>表示銘柄数超過</v>
      </c>
      <c r="U341" s="4" t="e">
        <f t="shared" si="34"/>
        <v>#VALUE!</v>
      </c>
      <c r="V341" s="21" t="str">
        <f>_xll.RssMarket(A341,"出来高")</f>
        <v>表示銘柄数超過</v>
      </c>
      <c r="W341" s="21" t="str">
        <f>_xll.RssMarket(A341,"売買代金")</f>
        <v>表示銘柄数超過</v>
      </c>
      <c r="X341" s="20" t="str">
        <f>_xll.RssMarket(A341,"決算発表日")</f>
        <v>表示銘柄数超過</v>
      </c>
      <c r="Y341" s="26" t="str">
        <f>IF(C341&gt;_xll.RssMarket(A341,"年初来高値"),"○","×")</f>
        <v>×</v>
      </c>
      <c r="Z341" s="27" t="str">
        <f>IF(C341&lt;=_xll.RssMarket(A341,"年初来安値"),"○","×")</f>
        <v>○</v>
      </c>
    </row>
    <row r="342" spans="1:26" x14ac:dyDescent="0.25">
      <c r="A342" s="47">
        <v>3696</v>
      </c>
      <c r="B342" s="20" t="str">
        <f>_xll.RssMarket(A342,"銘柄名称")</f>
        <v>表示銘柄数超過</v>
      </c>
      <c r="C342" s="21" t="str">
        <f>_xll.RssMarket(A342,"現在値")</f>
        <v>表示銘柄数超過</v>
      </c>
      <c r="D342" s="20" t="str">
        <f>_xll.RssMarket(A342,"現在値詳細時刻")</f>
        <v>表示銘柄数超過</v>
      </c>
      <c r="E342" s="22" t="str">
        <f>_xll.RssMarket(A342,"前日比")</f>
        <v>表示銘柄数超過</v>
      </c>
      <c r="F342" s="23" t="e">
        <f>_xll.RssMarket(A342,"前日比率")/100</f>
        <v>#VALUE!</v>
      </c>
      <c r="G342" s="24" t="str">
        <f>IFERROR(VLOOKUP(A342,取得元!$A$2:$F$501,2,FALSE),"-")</f>
        <v>-</v>
      </c>
      <c r="H342" s="24" t="str">
        <f>IFERROR(VLOOKUP(A342,取得元!$A$2:$F$501,3,FALSE),"-")</f>
        <v>-</v>
      </c>
      <c r="I342" s="24" t="str">
        <f>IFERROR(VLOOKUP(A342,取得元!$A$2:$F$501,4,FALSE),"-")</f>
        <v>-</v>
      </c>
      <c r="J342" s="5" t="str">
        <f>IFERROR(VLOOKUP(A342,取得元!$A$2:$F$501,5,FALSE),"-")</f>
        <v>-</v>
      </c>
      <c r="K342" s="25" t="str">
        <f>IFERROR(VLOOKUP(A342,取得元!$A$2:$F$501,6,FALSE)/100,"-")</f>
        <v>-</v>
      </c>
      <c r="L342" s="21" t="str">
        <f>_xll.RssMarket(A342,"始値")</f>
        <v>表示銘柄数超過</v>
      </c>
      <c r="M342" s="4" t="e">
        <f t="shared" si="30"/>
        <v>#VALUE!</v>
      </c>
      <c r="N342" s="21" t="str">
        <f>_xll.RssMarket(A342,"高値")</f>
        <v>表示銘柄数超過</v>
      </c>
      <c r="O342" s="4" t="e">
        <f t="shared" si="31"/>
        <v>#VALUE!</v>
      </c>
      <c r="P342" s="21" t="str">
        <f>_xll.RssMarket(A342,"安値")</f>
        <v>表示銘柄数超過</v>
      </c>
      <c r="Q342" s="4" t="e">
        <f t="shared" si="32"/>
        <v>#VALUE!</v>
      </c>
      <c r="R342" s="21" t="str">
        <f>_xll.RssMarket(A342,"後場始値")</f>
        <v>表示銘柄数超過</v>
      </c>
      <c r="S342" s="25" t="str">
        <f t="shared" si="33"/>
        <v>-</v>
      </c>
      <c r="T342" s="7" t="str">
        <f>_xll.RssMarket(A342,"出来高加重平均")</f>
        <v>表示銘柄数超過</v>
      </c>
      <c r="U342" s="4" t="e">
        <f t="shared" si="34"/>
        <v>#VALUE!</v>
      </c>
      <c r="V342" s="21" t="str">
        <f>_xll.RssMarket(A342,"出来高")</f>
        <v>表示銘柄数超過</v>
      </c>
      <c r="W342" s="21" t="str">
        <f>_xll.RssMarket(A342,"売買代金")</f>
        <v>表示銘柄数超過</v>
      </c>
      <c r="X342" s="20" t="str">
        <f>_xll.RssMarket(A342,"決算発表日")</f>
        <v>表示銘柄数超過</v>
      </c>
      <c r="Y342" s="26" t="str">
        <f>IF(C342&gt;_xll.RssMarket(A342,"年初来高値"),"○","×")</f>
        <v>×</v>
      </c>
      <c r="Z342" s="27" t="str">
        <f>IF(C342&lt;=_xll.RssMarket(A342,"年初来安値"),"○","×")</f>
        <v>○</v>
      </c>
    </row>
    <row r="343" spans="1:26" x14ac:dyDescent="0.25">
      <c r="A343" s="49">
        <v>3698</v>
      </c>
      <c r="B343" s="20" t="str">
        <f>_xll.RssMarket(A343,"銘柄名称")</f>
        <v>表示銘柄数超過</v>
      </c>
      <c r="C343" s="21" t="str">
        <f>_xll.RssMarket(A343,"現在値")</f>
        <v>表示銘柄数超過</v>
      </c>
      <c r="D343" s="20" t="str">
        <f>_xll.RssMarket(A343,"現在値詳細時刻")</f>
        <v>表示銘柄数超過</v>
      </c>
      <c r="E343" s="22" t="str">
        <f>_xll.RssMarket(A343,"前日比")</f>
        <v>表示銘柄数超過</v>
      </c>
      <c r="F343" s="23" t="e">
        <f>_xll.RssMarket(A343,"前日比率")/100</f>
        <v>#VALUE!</v>
      </c>
      <c r="G343" s="24" t="str">
        <f>IFERROR(VLOOKUP(A343,取得元!$A$2:$F$501,2,FALSE),"-")</f>
        <v>-</v>
      </c>
      <c r="H343" s="24" t="str">
        <f>IFERROR(VLOOKUP(A343,取得元!$A$2:$F$501,3,FALSE),"-")</f>
        <v>-</v>
      </c>
      <c r="I343" s="24" t="str">
        <f>IFERROR(VLOOKUP(A343,取得元!$A$2:$F$501,4,FALSE),"-")</f>
        <v>-</v>
      </c>
      <c r="J343" s="5" t="str">
        <f>IFERROR(VLOOKUP(A343,取得元!$A$2:$F$501,5,FALSE),"-")</f>
        <v>-</v>
      </c>
      <c r="K343" s="25" t="str">
        <f>IFERROR(VLOOKUP(A343,取得元!$A$2:$F$501,6,FALSE)/100,"-")</f>
        <v>-</v>
      </c>
      <c r="L343" s="21" t="str">
        <f>_xll.RssMarket(A343,"始値")</f>
        <v>表示銘柄数超過</v>
      </c>
      <c r="M343" s="4" t="e">
        <f t="shared" si="30"/>
        <v>#VALUE!</v>
      </c>
      <c r="N343" s="21" t="str">
        <f>_xll.RssMarket(A343,"高値")</f>
        <v>表示銘柄数超過</v>
      </c>
      <c r="O343" s="4" t="e">
        <f t="shared" si="31"/>
        <v>#VALUE!</v>
      </c>
      <c r="P343" s="21" t="str">
        <f>_xll.RssMarket(A343,"安値")</f>
        <v>表示銘柄数超過</v>
      </c>
      <c r="Q343" s="4" t="e">
        <f t="shared" si="32"/>
        <v>#VALUE!</v>
      </c>
      <c r="R343" s="21" t="str">
        <f>_xll.RssMarket(A343,"後場始値")</f>
        <v>表示銘柄数超過</v>
      </c>
      <c r="S343" s="25" t="str">
        <f t="shared" si="33"/>
        <v>-</v>
      </c>
      <c r="T343" s="7" t="str">
        <f>_xll.RssMarket(A343,"出来高加重平均")</f>
        <v>表示銘柄数超過</v>
      </c>
      <c r="U343" s="4" t="e">
        <f t="shared" si="34"/>
        <v>#VALUE!</v>
      </c>
      <c r="V343" s="21" t="str">
        <f>_xll.RssMarket(A343,"出来高")</f>
        <v>表示銘柄数超過</v>
      </c>
      <c r="W343" s="21" t="str">
        <f>_xll.RssMarket(A343,"売買代金")</f>
        <v>表示銘柄数超過</v>
      </c>
      <c r="X343" s="20" t="str">
        <f>_xll.RssMarket(A343,"決算発表日")</f>
        <v>表示銘柄数超過</v>
      </c>
      <c r="Y343" s="26" t="str">
        <f>IF(C343&gt;_xll.RssMarket(A343,"年初来高値"),"○","×")</f>
        <v>×</v>
      </c>
      <c r="Z343" s="27" t="str">
        <f>IF(C343&lt;=_xll.RssMarket(A343,"年初来安値"),"○","×")</f>
        <v>○</v>
      </c>
    </row>
    <row r="344" spans="1:26" x14ac:dyDescent="0.25">
      <c r="A344" s="47">
        <v>3710</v>
      </c>
      <c r="B344" s="20" t="str">
        <f>_xll.RssMarket(A344,"銘柄名称")</f>
        <v>表示銘柄数超過</v>
      </c>
      <c r="C344" s="21" t="str">
        <f>_xll.RssMarket(A344,"現在値")</f>
        <v>表示銘柄数超過</v>
      </c>
      <c r="D344" s="20" t="str">
        <f>_xll.RssMarket(A344,"現在値詳細時刻")</f>
        <v>表示銘柄数超過</v>
      </c>
      <c r="E344" s="22" t="str">
        <f>_xll.RssMarket(A344,"前日比")</f>
        <v>表示銘柄数超過</v>
      </c>
      <c r="F344" s="23" t="e">
        <f>_xll.RssMarket(A344,"前日比率")/100</f>
        <v>#VALUE!</v>
      </c>
      <c r="G344" s="24" t="str">
        <f>IFERROR(VLOOKUP(A344,取得元!$A$2:$F$501,2,FALSE),"-")</f>
        <v>-</v>
      </c>
      <c r="H344" s="24" t="str">
        <f>IFERROR(VLOOKUP(A344,取得元!$A$2:$F$501,3,FALSE),"-")</f>
        <v>-</v>
      </c>
      <c r="I344" s="24" t="str">
        <f>IFERROR(VLOOKUP(A344,取得元!$A$2:$F$501,4,FALSE),"-")</f>
        <v>-</v>
      </c>
      <c r="J344" s="5" t="str">
        <f>IFERROR(VLOOKUP(A344,取得元!$A$2:$F$501,5,FALSE),"-")</f>
        <v>-</v>
      </c>
      <c r="K344" s="25" t="str">
        <f>IFERROR(VLOOKUP(A344,取得元!$A$2:$F$501,6,FALSE)/100,"-")</f>
        <v>-</v>
      </c>
      <c r="L344" s="21" t="str">
        <f>_xll.RssMarket(A344,"始値")</f>
        <v>表示銘柄数超過</v>
      </c>
      <c r="M344" s="4" t="e">
        <f t="shared" si="30"/>
        <v>#VALUE!</v>
      </c>
      <c r="N344" s="21" t="str">
        <f>_xll.RssMarket(A344,"高値")</f>
        <v>表示銘柄数超過</v>
      </c>
      <c r="O344" s="4" t="e">
        <f t="shared" si="31"/>
        <v>#VALUE!</v>
      </c>
      <c r="P344" s="21" t="str">
        <f>_xll.RssMarket(A344,"安値")</f>
        <v>表示銘柄数超過</v>
      </c>
      <c r="Q344" s="4" t="e">
        <f t="shared" si="32"/>
        <v>#VALUE!</v>
      </c>
      <c r="R344" s="21" t="str">
        <f>_xll.RssMarket(A344,"後場始値")</f>
        <v>表示銘柄数超過</v>
      </c>
      <c r="S344" s="25" t="str">
        <f t="shared" si="33"/>
        <v>-</v>
      </c>
      <c r="T344" s="7" t="str">
        <f>_xll.RssMarket(A344,"出来高加重平均")</f>
        <v>表示銘柄数超過</v>
      </c>
      <c r="U344" s="4" t="e">
        <f t="shared" si="34"/>
        <v>#VALUE!</v>
      </c>
      <c r="V344" s="21" t="str">
        <f>_xll.RssMarket(A344,"出来高")</f>
        <v>表示銘柄数超過</v>
      </c>
      <c r="W344" s="21" t="str">
        <f>_xll.RssMarket(A344,"売買代金")</f>
        <v>表示銘柄数超過</v>
      </c>
      <c r="X344" s="20" t="str">
        <f>_xll.RssMarket(A344,"決算発表日")</f>
        <v>表示銘柄数超過</v>
      </c>
      <c r="Y344" s="26" t="str">
        <f>IF(C344&gt;_xll.RssMarket(A344,"年初来高値"),"○","×")</f>
        <v>×</v>
      </c>
      <c r="Z344" s="27" t="str">
        <f>IF(C344&lt;=_xll.RssMarket(A344,"年初来安値"),"○","×")</f>
        <v>○</v>
      </c>
    </row>
    <row r="345" spans="1:26" x14ac:dyDescent="0.25">
      <c r="A345" s="49">
        <v>3719</v>
      </c>
      <c r="B345" s="20" t="str">
        <f>_xll.RssMarket(A345,"銘柄名称")</f>
        <v>表示銘柄数超過</v>
      </c>
      <c r="C345" s="21" t="str">
        <f>_xll.RssMarket(A345,"現在値")</f>
        <v>表示銘柄数超過</v>
      </c>
      <c r="D345" s="20" t="str">
        <f>_xll.RssMarket(A345,"現在値詳細時刻")</f>
        <v>表示銘柄数超過</v>
      </c>
      <c r="E345" s="22" t="str">
        <f>_xll.RssMarket(A345,"前日比")</f>
        <v>表示銘柄数超過</v>
      </c>
      <c r="F345" s="23" t="e">
        <f>_xll.RssMarket(A345,"前日比率")/100</f>
        <v>#VALUE!</v>
      </c>
      <c r="G345" s="24" t="str">
        <f>IFERROR(VLOOKUP(A345,取得元!$A$2:$F$501,2,FALSE),"-")</f>
        <v>-</v>
      </c>
      <c r="H345" s="24" t="str">
        <f>IFERROR(VLOOKUP(A345,取得元!$A$2:$F$501,3,FALSE),"-")</f>
        <v>-</v>
      </c>
      <c r="I345" s="24" t="str">
        <f>IFERROR(VLOOKUP(A345,取得元!$A$2:$F$501,4,FALSE),"-")</f>
        <v>-</v>
      </c>
      <c r="J345" s="5" t="str">
        <f>IFERROR(VLOOKUP(A345,取得元!$A$2:$F$501,5,FALSE),"-")</f>
        <v>-</v>
      </c>
      <c r="K345" s="25" t="str">
        <f>IFERROR(VLOOKUP(A345,取得元!$A$2:$F$501,6,FALSE)/100,"-")</f>
        <v>-</v>
      </c>
      <c r="L345" s="21" t="str">
        <f>_xll.RssMarket(A345,"始値")</f>
        <v>表示銘柄数超過</v>
      </c>
      <c r="M345" s="4" t="e">
        <f t="shared" si="30"/>
        <v>#VALUE!</v>
      </c>
      <c r="N345" s="21" t="str">
        <f>_xll.RssMarket(A345,"高値")</f>
        <v>表示銘柄数超過</v>
      </c>
      <c r="O345" s="4" t="e">
        <f t="shared" si="31"/>
        <v>#VALUE!</v>
      </c>
      <c r="P345" s="21" t="str">
        <f>_xll.RssMarket(A345,"安値")</f>
        <v>表示銘柄数超過</v>
      </c>
      <c r="Q345" s="4" t="e">
        <f t="shared" si="32"/>
        <v>#VALUE!</v>
      </c>
      <c r="R345" s="21" t="str">
        <f>_xll.RssMarket(A345,"後場始値")</f>
        <v>表示銘柄数超過</v>
      </c>
      <c r="S345" s="25" t="str">
        <f t="shared" si="33"/>
        <v>-</v>
      </c>
      <c r="T345" s="7" t="str">
        <f>_xll.RssMarket(A345,"出来高加重平均")</f>
        <v>表示銘柄数超過</v>
      </c>
      <c r="U345" s="4" t="e">
        <f t="shared" si="34"/>
        <v>#VALUE!</v>
      </c>
      <c r="V345" s="21" t="str">
        <f>_xll.RssMarket(A345,"出来高")</f>
        <v>表示銘柄数超過</v>
      </c>
      <c r="W345" s="21" t="str">
        <f>_xll.RssMarket(A345,"売買代金")</f>
        <v>表示銘柄数超過</v>
      </c>
      <c r="X345" s="20" t="str">
        <f>_xll.RssMarket(A345,"決算発表日")</f>
        <v>表示銘柄数超過</v>
      </c>
      <c r="Y345" s="26" t="str">
        <f>IF(C345&gt;_xll.RssMarket(A345,"年初来高値"),"○","×")</f>
        <v>×</v>
      </c>
      <c r="Z345" s="27" t="str">
        <f>IF(C345&lt;=_xll.RssMarket(A345,"年初来安値"),"○","×")</f>
        <v>○</v>
      </c>
    </row>
    <row r="346" spans="1:26" x14ac:dyDescent="0.25">
      <c r="A346" s="47">
        <v>3723</v>
      </c>
      <c r="B346" s="20" t="str">
        <f>_xll.RssMarket(A346,"銘柄名称")</f>
        <v>表示銘柄数超過</v>
      </c>
      <c r="C346" s="21" t="str">
        <f>_xll.RssMarket(A346,"現在値")</f>
        <v>表示銘柄数超過</v>
      </c>
      <c r="D346" s="20" t="str">
        <f>_xll.RssMarket(A346,"現在値詳細時刻")</f>
        <v>表示銘柄数超過</v>
      </c>
      <c r="E346" s="22" t="str">
        <f>_xll.RssMarket(A346,"前日比")</f>
        <v>表示銘柄数超過</v>
      </c>
      <c r="F346" s="23" t="e">
        <f>_xll.RssMarket(A346,"前日比率")/100</f>
        <v>#VALUE!</v>
      </c>
      <c r="G346" s="24" t="str">
        <f>IFERROR(VLOOKUP(A346,取得元!$A$2:$F$501,2,FALSE),"-")</f>
        <v>-</v>
      </c>
      <c r="H346" s="24" t="str">
        <f>IFERROR(VLOOKUP(A346,取得元!$A$2:$F$501,3,FALSE),"-")</f>
        <v>-</v>
      </c>
      <c r="I346" s="24" t="str">
        <f>IFERROR(VLOOKUP(A346,取得元!$A$2:$F$501,4,FALSE),"-")</f>
        <v>-</v>
      </c>
      <c r="J346" s="5" t="str">
        <f>IFERROR(VLOOKUP(A346,取得元!$A$2:$F$501,5,FALSE),"-")</f>
        <v>-</v>
      </c>
      <c r="K346" s="25" t="str">
        <f>IFERROR(VLOOKUP(A346,取得元!$A$2:$F$501,6,FALSE)/100,"-")</f>
        <v>-</v>
      </c>
      <c r="L346" s="21" t="str">
        <f>_xll.RssMarket(A346,"始値")</f>
        <v>表示銘柄数超過</v>
      </c>
      <c r="M346" s="4" t="e">
        <f t="shared" si="30"/>
        <v>#VALUE!</v>
      </c>
      <c r="N346" s="21" t="str">
        <f>_xll.RssMarket(A346,"高値")</f>
        <v>表示銘柄数超過</v>
      </c>
      <c r="O346" s="4" t="e">
        <f t="shared" si="31"/>
        <v>#VALUE!</v>
      </c>
      <c r="P346" s="21" t="str">
        <f>_xll.RssMarket(A346,"安値")</f>
        <v>表示銘柄数超過</v>
      </c>
      <c r="Q346" s="4" t="e">
        <f t="shared" si="32"/>
        <v>#VALUE!</v>
      </c>
      <c r="R346" s="21" t="str">
        <f>_xll.RssMarket(A346,"後場始値")</f>
        <v>表示銘柄数超過</v>
      </c>
      <c r="S346" s="25" t="str">
        <f t="shared" si="33"/>
        <v>-</v>
      </c>
      <c r="T346" s="7" t="str">
        <f>_xll.RssMarket(A346,"出来高加重平均")</f>
        <v>表示銘柄数超過</v>
      </c>
      <c r="U346" s="4" t="e">
        <f t="shared" si="34"/>
        <v>#VALUE!</v>
      </c>
      <c r="V346" s="21" t="str">
        <f>_xll.RssMarket(A346,"出来高")</f>
        <v>表示銘柄数超過</v>
      </c>
      <c r="W346" s="21" t="str">
        <f>_xll.RssMarket(A346,"売買代金")</f>
        <v>表示銘柄数超過</v>
      </c>
      <c r="X346" s="20" t="str">
        <f>_xll.RssMarket(A346,"決算発表日")</f>
        <v>表示銘柄数超過</v>
      </c>
      <c r="Y346" s="26" t="str">
        <f>IF(C346&gt;_xll.RssMarket(A346,"年初来高値"),"○","×")</f>
        <v>×</v>
      </c>
      <c r="Z346" s="27" t="str">
        <f>IF(C346&lt;=_xll.RssMarket(A346,"年初来安値"),"○","×")</f>
        <v>○</v>
      </c>
    </row>
    <row r="347" spans="1:26" x14ac:dyDescent="0.25">
      <c r="A347" s="49">
        <v>3727</v>
      </c>
      <c r="B347" s="20" t="str">
        <f>_xll.RssMarket(A347,"銘柄名称")</f>
        <v>表示銘柄数超過</v>
      </c>
      <c r="C347" s="21" t="str">
        <f>_xll.RssMarket(A347,"現在値")</f>
        <v>表示銘柄数超過</v>
      </c>
      <c r="D347" s="20" t="str">
        <f>_xll.RssMarket(A347,"現在値詳細時刻")</f>
        <v>表示銘柄数超過</v>
      </c>
      <c r="E347" s="22" t="str">
        <f>_xll.RssMarket(A347,"前日比")</f>
        <v>表示銘柄数超過</v>
      </c>
      <c r="F347" s="23" t="e">
        <f>_xll.RssMarket(A347,"前日比率")/100</f>
        <v>#VALUE!</v>
      </c>
      <c r="G347" s="24" t="str">
        <f>IFERROR(VLOOKUP(A347,取得元!$A$2:$F$501,2,FALSE),"-")</f>
        <v>-</v>
      </c>
      <c r="H347" s="24" t="str">
        <f>IFERROR(VLOOKUP(A347,取得元!$A$2:$F$501,3,FALSE),"-")</f>
        <v>-</v>
      </c>
      <c r="I347" s="24" t="str">
        <f>IFERROR(VLOOKUP(A347,取得元!$A$2:$F$501,4,FALSE),"-")</f>
        <v>-</v>
      </c>
      <c r="J347" s="5" t="str">
        <f>IFERROR(VLOOKUP(A347,取得元!$A$2:$F$501,5,FALSE),"-")</f>
        <v>-</v>
      </c>
      <c r="K347" s="25" t="str">
        <f>IFERROR(VLOOKUP(A347,取得元!$A$2:$F$501,6,FALSE)/100,"-")</f>
        <v>-</v>
      </c>
      <c r="L347" s="21" t="str">
        <f>_xll.RssMarket(A347,"始値")</f>
        <v>表示銘柄数超過</v>
      </c>
      <c r="M347" s="4" t="e">
        <f t="shared" si="30"/>
        <v>#VALUE!</v>
      </c>
      <c r="N347" s="21" t="str">
        <f>_xll.RssMarket(A347,"高値")</f>
        <v>表示銘柄数超過</v>
      </c>
      <c r="O347" s="4" t="e">
        <f t="shared" si="31"/>
        <v>#VALUE!</v>
      </c>
      <c r="P347" s="21" t="str">
        <f>_xll.RssMarket(A347,"安値")</f>
        <v>表示銘柄数超過</v>
      </c>
      <c r="Q347" s="4" t="e">
        <f t="shared" si="32"/>
        <v>#VALUE!</v>
      </c>
      <c r="R347" s="21" t="str">
        <f>_xll.RssMarket(A347,"後場始値")</f>
        <v>表示銘柄数超過</v>
      </c>
      <c r="S347" s="25" t="str">
        <f t="shared" si="33"/>
        <v>-</v>
      </c>
      <c r="T347" s="7" t="str">
        <f>_xll.RssMarket(A347,"出来高加重平均")</f>
        <v>表示銘柄数超過</v>
      </c>
      <c r="U347" s="4" t="e">
        <f t="shared" si="34"/>
        <v>#VALUE!</v>
      </c>
      <c r="V347" s="21" t="str">
        <f>_xll.RssMarket(A347,"出来高")</f>
        <v>表示銘柄数超過</v>
      </c>
      <c r="W347" s="21" t="str">
        <f>_xll.RssMarket(A347,"売買代金")</f>
        <v>表示銘柄数超過</v>
      </c>
      <c r="X347" s="20" t="str">
        <f>_xll.RssMarket(A347,"決算発表日")</f>
        <v>表示銘柄数超過</v>
      </c>
      <c r="Y347" s="26" t="str">
        <f>IF(C347&gt;_xll.RssMarket(A347,"年初来高値"),"○","×")</f>
        <v>×</v>
      </c>
      <c r="Z347" s="27" t="str">
        <f>IF(C347&lt;=_xll.RssMarket(A347,"年初来安値"),"○","×")</f>
        <v>○</v>
      </c>
    </row>
    <row r="348" spans="1:26" x14ac:dyDescent="0.25">
      <c r="A348" s="47">
        <v>3738</v>
      </c>
      <c r="B348" s="20" t="str">
        <f>_xll.RssMarket(A348,"銘柄名称")</f>
        <v>表示銘柄数超過</v>
      </c>
      <c r="C348" s="21" t="str">
        <f>_xll.RssMarket(A348,"現在値")</f>
        <v>表示銘柄数超過</v>
      </c>
      <c r="D348" s="20" t="str">
        <f>_xll.RssMarket(A348,"現在値詳細時刻")</f>
        <v>表示銘柄数超過</v>
      </c>
      <c r="E348" s="22" t="str">
        <f>_xll.RssMarket(A348,"前日比")</f>
        <v>表示銘柄数超過</v>
      </c>
      <c r="F348" s="23" t="e">
        <f>_xll.RssMarket(A348,"前日比率")/100</f>
        <v>#VALUE!</v>
      </c>
      <c r="G348" s="24" t="str">
        <f>IFERROR(VLOOKUP(A348,取得元!$A$2:$F$501,2,FALSE),"-")</f>
        <v>-</v>
      </c>
      <c r="H348" s="24" t="str">
        <f>IFERROR(VLOOKUP(A348,取得元!$A$2:$F$501,3,FALSE),"-")</f>
        <v>-</v>
      </c>
      <c r="I348" s="24" t="str">
        <f>IFERROR(VLOOKUP(A348,取得元!$A$2:$F$501,4,FALSE),"-")</f>
        <v>-</v>
      </c>
      <c r="J348" s="5" t="str">
        <f>IFERROR(VLOOKUP(A348,取得元!$A$2:$F$501,5,FALSE),"-")</f>
        <v>-</v>
      </c>
      <c r="K348" s="25" t="str">
        <f>IFERROR(VLOOKUP(A348,取得元!$A$2:$F$501,6,FALSE)/100,"-")</f>
        <v>-</v>
      </c>
      <c r="L348" s="21" t="str">
        <f>_xll.RssMarket(A348,"始値")</f>
        <v>表示銘柄数超過</v>
      </c>
      <c r="M348" s="4" t="e">
        <f t="shared" si="30"/>
        <v>#VALUE!</v>
      </c>
      <c r="N348" s="21" t="str">
        <f>_xll.RssMarket(A348,"高値")</f>
        <v>表示銘柄数超過</v>
      </c>
      <c r="O348" s="4" t="e">
        <f t="shared" si="31"/>
        <v>#VALUE!</v>
      </c>
      <c r="P348" s="21" t="str">
        <f>_xll.RssMarket(A348,"安値")</f>
        <v>表示銘柄数超過</v>
      </c>
      <c r="Q348" s="4" t="e">
        <f t="shared" si="32"/>
        <v>#VALUE!</v>
      </c>
      <c r="R348" s="21" t="str">
        <f>_xll.RssMarket(A348,"後場始値")</f>
        <v>表示銘柄数超過</v>
      </c>
      <c r="S348" s="25" t="str">
        <f t="shared" si="33"/>
        <v>-</v>
      </c>
      <c r="T348" s="7" t="str">
        <f>_xll.RssMarket(A348,"出来高加重平均")</f>
        <v>表示銘柄数超過</v>
      </c>
      <c r="U348" s="4" t="e">
        <f t="shared" si="34"/>
        <v>#VALUE!</v>
      </c>
      <c r="V348" s="21" t="str">
        <f>_xll.RssMarket(A348,"出来高")</f>
        <v>表示銘柄数超過</v>
      </c>
      <c r="W348" s="21" t="str">
        <f>_xll.RssMarket(A348,"売買代金")</f>
        <v>表示銘柄数超過</v>
      </c>
      <c r="X348" s="20" t="str">
        <f>_xll.RssMarket(A348,"決算発表日")</f>
        <v>表示銘柄数超過</v>
      </c>
      <c r="Y348" s="26" t="str">
        <f>IF(C348&gt;_xll.RssMarket(A348,"年初来高値"),"○","×")</f>
        <v>×</v>
      </c>
      <c r="Z348" s="27" t="str">
        <f>IF(C348&lt;=_xll.RssMarket(A348,"年初来安値"),"○","×")</f>
        <v>○</v>
      </c>
    </row>
    <row r="349" spans="1:26" x14ac:dyDescent="0.25">
      <c r="A349" s="49">
        <v>3741</v>
      </c>
      <c r="B349" s="20" t="str">
        <f>_xll.RssMarket(A349,"銘柄名称")</f>
        <v>表示銘柄数超過</v>
      </c>
      <c r="C349" s="21" t="str">
        <f>_xll.RssMarket(A349,"現在値")</f>
        <v>表示銘柄数超過</v>
      </c>
      <c r="D349" s="20" t="str">
        <f>_xll.RssMarket(A349,"現在値詳細時刻")</f>
        <v>表示銘柄数超過</v>
      </c>
      <c r="E349" s="22" t="str">
        <f>_xll.RssMarket(A349,"前日比")</f>
        <v>表示銘柄数超過</v>
      </c>
      <c r="F349" s="23" t="e">
        <f>_xll.RssMarket(A349,"前日比率")/100</f>
        <v>#VALUE!</v>
      </c>
      <c r="G349" s="24" t="str">
        <f>IFERROR(VLOOKUP(A349,取得元!$A$2:$F$501,2,FALSE),"-")</f>
        <v>-</v>
      </c>
      <c r="H349" s="24" t="str">
        <f>IFERROR(VLOOKUP(A349,取得元!$A$2:$F$501,3,FALSE),"-")</f>
        <v>-</v>
      </c>
      <c r="I349" s="24" t="str">
        <f>IFERROR(VLOOKUP(A349,取得元!$A$2:$F$501,4,FALSE),"-")</f>
        <v>-</v>
      </c>
      <c r="J349" s="5" t="str">
        <f>IFERROR(VLOOKUP(A349,取得元!$A$2:$F$501,5,FALSE),"-")</f>
        <v>-</v>
      </c>
      <c r="K349" s="25" t="str">
        <f>IFERROR(VLOOKUP(A349,取得元!$A$2:$F$501,6,FALSE)/100,"-")</f>
        <v>-</v>
      </c>
      <c r="L349" s="21" t="str">
        <f>_xll.RssMarket(A349,"始値")</f>
        <v>表示銘柄数超過</v>
      </c>
      <c r="M349" s="4" t="e">
        <f t="shared" si="30"/>
        <v>#VALUE!</v>
      </c>
      <c r="N349" s="21" t="str">
        <f>_xll.RssMarket(A349,"高値")</f>
        <v>表示銘柄数超過</v>
      </c>
      <c r="O349" s="4" t="e">
        <f t="shared" si="31"/>
        <v>#VALUE!</v>
      </c>
      <c r="P349" s="21" t="str">
        <f>_xll.RssMarket(A349,"安値")</f>
        <v>表示銘柄数超過</v>
      </c>
      <c r="Q349" s="4" t="e">
        <f t="shared" si="32"/>
        <v>#VALUE!</v>
      </c>
      <c r="R349" s="21" t="str">
        <f>_xll.RssMarket(A349,"後場始値")</f>
        <v>表示銘柄数超過</v>
      </c>
      <c r="S349" s="25" t="str">
        <f t="shared" si="33"/>
        <v>-</v>
      </c>
      <c r="T349" s="7" t="str">
        <f>_xll.RssMarket(A349,"出来高加重平均")</f>
        <v>表示銘柄数超過</v>
      </c>
      <c r="U349" s="4" t="e">
        <f t="shared" si="34"/>
        <v>#VALUE!</v>
      </c>
      <c r="V349" s="21" t="str">
        <f>_xll.RssMarket(A349,"出来高")</f>
        <v>表示銘柄数超過</v>
      </c>
      <c r="W349" s="21" t="str">
        <f>_xll.RssMarket(A349,"売買代金")</f>
        <v>表示銘柄数超過</v>
      </c>
      <c r="X349" s="20" t="str">
        <f>_xll.RssMarket(A349,"決算発表日")</f>
        <v>表示銘柄数超過</v>
      </c>
      <c r="Y349" s="26" t="str">
        <f>IF(C349&gt;_xll.RssMarket(A349,"年初来高値"),"○","×")</f>
        <v>×</v>
      </c>
      <c r="Z349" s="27" t="str">
        <f>IF(C349&lt;=_xll.RssMarket(A349,"年初来安値"),"○","×")</f>
        <v>○</v>
      </c>
    </row>
    <row r="350" spans="1:26" x14ac:dyDescent="0.25">
      <c r="A350" s="47">
        <v>3747</v>
      </c>
      <c r="B350" s="20" t="str">
        <f>_xll.RssMarket(A350,"銘柄名称")</f>
        <v>表示銘柄数超過</v>
      </c>
      <c r="C350" s="21" t="str">
        <f>_xll.RssMarket(A350,"現在値")</f>
        <v>表示銘柄数超過</v>
      </c>
      <c r="D350" s="20" t="str">
        <f>_xll.RssMarket(A350,"現在値詳細時刻")</f>
        <v>表示銘柄数超過</v>
      </c>
      <c r="E350" s="22" t="str">
        <f>_xll.RssMarket(A350,"前日比")</f>
        <v>表示銘柄数超過</v>
      </c>
      <c r="F350" s="23" t="e">
        <f>_xll.RssMarket(A350,"前日比率")/100</f>
        <v>#VALUE!</v>
      </c>
      <c r="G350" s="24" t="str">
        <f>IFERROR(VLOOKUP(A350,取得元!$A$2:$F$501,2,FALSE),"-")</f>
        <v>-</v>
      </c>
      <c r="H350" s="24" t="str">
        <f>IFERROR(VLOOKUP(A350,取得元!$A$2:$F$501,3,FALSE),"-")</f>
        <v>-</v>
      </c>
      <c r="I350" s="24" t="str">
        <f>IFERROR(VLOOKUP(A350,取得元!$A$2:$F$501,4,FALSE),"-")</f>
        <v>-</v>
      </c>
      <c r="J350" s="5" t="str">
        <f>IFERROR(VLOOKUP(A350,取得元!$A$2:$F$501,5,FALSE),"-")</f>
        <v>-</v>
      </c>
      <c r="K350" s="25" t="str">
        <f>IFERROR(VLOOKUP(A350,取得元!$A$2:$F$501,6,FALSE)/100,"-")</f>
        <v>-</v>
      </c>
      <c r="L350" s="21" t="str">
        <f>_xll.RssMarket(A350,"始値")</f>
        <v>表示銘柄数超過</v>
      </c>
      <c r="M350" s="4" t="e">
        <f t="shared" ref="M350:M413" si="35">C350/L350-1</f>
        <v>#VALUE!</v>
      </c>
      <c r="N350" s="21" t="str">
        <f>_xll.RssMarket(A350,"高値")</f>
        <v>表示銘柄数超過</v>
      </c>
      <c r="O350" s="4" t="e">
        <f t="shared" ref="O350:O413" si="36">C350/N350-1</f>
        <v>#VALUE!</v>
      </c>
      <c r="P350" s="21" t="str">
        <f>_xll.RssMarket(A350,"安値")</f>
        <v>表示銘柄数超過</v>
      </c>
      <c r="Q350" s="4" t="e">
        <f t="shared" ref="Q350:Q413" si="37">C350/P350-1</f>
        <v>#VALUE!</v>
      </c>
      <c r="R350" s="21" t="str">
        <f>_xll.RssMarket(A350,"後場始値")</f>
        <v>表示銘柄数超過</v>
      </c>
      <c r="S350" s="25" t="str">
        <f t="shared" ref="S350:S413" si="38">IFERROR(C350/R350-1,"-")</f>
        <v>-</v>
      </c>
      <c r="T350" s="7" t="str">
        <f>_xll.RssMarket(A350,"出来高加重平均")</f>
        <v>表示銘柄数超過</v>
      </c>
      <c r="U350" s="4" t="e">
        <f t="shared" ref="U350:U413" si="39">C350/T350-1</f>
        <v>#VALUE!</v>
      </c>
      <c r="V350" s="21" t="str">
        <f>_xll.RssMarket(A350,"出来高")</f>
        <v>表示銘柄数超過</v>
      </c>
      <c r="W350" s="21" t="str">
        <f>_xll.RssMarket(A350,"売買代金")</f>
        <v>表示銘柄数超過</v>
      </c>
      <c r="X350" s="20" t="str">
        <f>_xll.RssMarket(A350,"決算発表日")</f>
        <v>表示銘柄数超過</v>
      </c>
      <c r="Y350" s="26" t="str">
        <f>IF(C350&gt;_xll.RssMarket(A350,"年初来高値"),"○","×")</f>
        <v>×</v>
      </c>
      <c r="Z350" s="27" t="str">
        <f>IF(C350&lt;=_xll.RssMarket(A350,"年初来安値"),"○","×")</f>
        <v>○</v>
      </c>
    </row>
    <row r="351" spans="1:26" x14ac:dyDescent="0.25">
      <c r="A351" s="49">
        <v>3758</v>
      </c>
      <c r="B351" s="20" t="str">
        <f>_xll.RssMarket(A351,"銘柄名称")</f>
        <v>表示銘柄数超過</v>
      </c>
      <c r="C351" s="21" t="str">
        <f>_xll.RssMarket(A351,"現在値")</f>
        <v>表示銘柄数超過</v>
      </c>
      <c r="D351" s="20" t="str">
        <f>_xll.RssMarket(A351,"現在値詳細時刻")</f>
        <v>表示銘柄数超過</v>
      </c>
      <c r="E351" s="22" t="str">
        <f>_xll.RssMarket(A351,"前日比")</f>
        <v>表示銘柄数超過</v>
      </c>
      <c r="F351" s="23" t="e">
        <f>_xll.RssMarket(A351,"前日比率")/100</f>
        <v>#VALUE!</v>
      </c>
      <c r="G351" s="24" t="str">
        <f>IFERROR(VLOOKUP(A351,取得元!$A$2:$F$501,2,FALSE),"-")</f>
        <v>-</v>
      </c>
      <c r="H351" s="24" t="str">
        <f>IFERROR(VLOOKUP(A351,取得元!$A$2:$F$501,3,FALSE),"-")</f>
        <v>-</v>
      </c>
      <c r="I351" s="24" t="str">
        <f>IFERROR(VLOOKUP(A351,取得元!$A$2:$F$501,4,FALSE),"-")</f>
        <v>-</v>
      </c>
      <c r="J351" s="5" t="str">
        <f>IFERROR(VLOOKUP(A351,取得元!$A$2:$F$501,5,FALSE),"-")</f>
        <v>-</v>
      </c>
      <c r="K351" s="25" t="str">
        <f>IFERROR(VLOOKUP(A351,取得元!$A$2:$F$501,6,FALSE)/100,"-")</f>
        <v>-</v>
      </c>
      <c r="L351" s="21" t="str">
        <f>_xll.RssMarket(A351,"始値")</f>
        <v>表示銘柄数超過</v>
      </c>
      <c r="M351" s="4" t="e">
        <f t="shared" si="35"/>
        <v>#VALUE!</v>
      </c>
      <c r="N351" s="21" t="str">
        <f>_xll.RssMarket(A351,"高値")</f>
        <v>表示銘柄数超過</v>
      </c>
      <c r="O351" s="4" t="e">
        <f t="shared" si="36"/>
        <v>#VALUE!</v>
      </c>
      <c r="P351" s="21" t="str">
        <f>_xll.RssMarket(A351,"安値")</f>
        <v>表示銘柄数超過</v>
      </c>
      <c r="Q351" s="4" t="e">
        <f t="shared" si="37"/>
        <v>#VALUE!</v>
      </c>
      <c r="R351" s="21" t="str">
        <f>_xll.RssMarket(A351,"後場始値")</f>
        <v>表示銘柄数超過</v>
      </c>
      <c r="S351" s="25" t="str">
        <f t="shared" si="38"/>
        <v>-</v>
      </c>
      <c r="T351" s="7" t="str">
        <f>_xll.RssMarket(A351,"出来高加重平均")</f>
        <v>表示銘柄数超過</v>
      </c>
      <c r="U351" s="4" t="e">
        <f t="shared" si="39"/>
        <v>#VALUE!</v>
      </c>
      <c r="V351" s="21" t="str">
        <f>_xll.RssMarket(A351,"出来高")</f>
        <v>表示銘柄数超過</v>
      </c>
      <c r="W351" s="21" t="str">
        <f>_xll.RssMarket(A351,"売買代金")</f>
        <v>表示銘柄数超過</v>
      </c>
      <c r="X351" s="20" t="str">
        <f>_xll.RssMarket(A351,"決算発表日")</f>
        <v>表示銘柄数超過</v>
      </c>
      <c r="Y351" s="26" t="str">
        <f>IF(C351&gt;_xll.RssMarket(A351,"年初来高値"),"○","×")</f>
        <v>×</v>
      </c>
      <c r="Z351" s="27" t="str">
        <f>IF(C351&lt;=_xll.RssMarket(A351,"年初来安値"),"○","×")</f>
        <v>○</v>
      </c>
    </row>
    <row r="352" spans="1:26" x14ac:dyDescent="0.25">
      <c r="A352" s="47">
        <v>3760</v>
      </c>
      <c r="B352" s="20" t="str">
        <f>_xll.RssMarket(A352,"銘柄名称")</f>
        <v>表示銘柄数超過</v>
      </c>
      <c r="C352" s="21" t="str">
        <f>_xll.RssMarket(A352,"現在値")</f>
        <v>表示銘柄数超過</v>
      </c>
      <c r="D352" s="20" t="str">
        <f>_xll.RssMarket(A352,"現在値詳細時刻")</f>
        <v>表示銘柄数超過</v>
      </c>
      <c r="E352" s="22" t="str">
        <f>_xll.RssMarket(A352,"前日比")</f>
        <v>表示銘柄数超過</v>
      </c>
      <c r="F352" s="23" t="e">
        <f>_xll.RssMarket(A352,"前日比率")/100</f>
        <v>#VALUE!</v>
      </c>
      <c r="G352" s="24" t="str">
        <f>IFERROR(VLOOKUP(A352,取得元!$A$2:$F$501,2,FALSE),"-")</f>
        <v>-</v>
      </c>
      <c r="H352" s="24" t="str">
        <f>IFERROR(VLOOKUP(A352,取得元!$A$2:$F$501,3,FALSE),"-")</f>
        <v>-</v>
      </c>
      <c r="I352" s="24" t="str">
        <f>IFERROR(VLOOKUP(A352,取得元!$A$2:$F$501,4,FALSE),"-")</f>
        <v>-</v>
      </c>
      <c r="J352" s="5" t="str">
        <f>IFERROR(VLOOKUP(A352,取得元!$A$2:$F$501,5,FALSE),"-")</f>
        <v>-</v>
      </c>
      <c r="K352" s="25" t="str">
        <f>IFERROR(VLOOKUP(A352,取得元!$A$2:$F$501,6,FALSE)/100,"-")</f>
        <v>-</v>
      </c>
      <c r="L352" s="21" t="str">
        <f>_xll.RssMarket(A352,"始値")</f>
        <v>表示銘柄数超過</v>
      </c>
      <c r="M352" s="4" t="e">
        <f t="shared" si="35"/>
        <v>#VALUE!</v>
      </c>
      <c r="N352" s="21" t="str">
        <f>_xll.RssMarket(A352,"高値")</f>
        <v>表示銘柄数超過</v>
      </c>
      <c r="O352" s="4" t="e">
        <f t="shared" si="36"/>
        <v>#VALUE!</v>
      </c>
      <c r="P352" s="21" t="str">
        <f>_xll.RssMarket(A352,"安値")</f>
        <v>表示銘柄数超過</v>
      </c>
      <c r="Q352" s="4" t="e">
        <f t="shared" si="37"/>
        <v>#VALUE!</v>
      </c>
      <c r="R352" s="21" t="str">
        <f>_xll.RssMarket(A352,"後場始値")</f>
        <v>表示銘柄数超過</v>
      </c>
      <c r="S352" s="25" t="str">
        <f t="shared" si="38"/>
        <v>-</v>
      </c>
      <c r="T352" s="7" t="str">
        <f>_xll.RssMarket(A352,"出来高加重平均")</f>
        <v>表示銘柄数超過</v>
      </c>
      <c r="U352" s="4" t="e">
        <f t="shared" si="39"/>
        <v>#VALUE!</v>
      </c>
      <c r="V352" s="21" t="str">
        <f>_xll.RssMarket(A352,"出来高")</f>
        <v>表示銘柄数超過</v>
      </c>
      <c r="W352" s="21" t="str">
        <f>_xll.RssMarket(A352,"売買代金")</f>
        <v>表示銘柄数超過</v>
      </c>
      <c r="X352" s="20" t="str">
        <f>_xll.RssMarket(A352,"決算発表日")</f>
        <v>表示銘柄数超過</v>
      </c>
      <c r="Y352" s="26" t="str">
        <f>IF(C352&gt;_xll.RssMarket(A352,"年初来高値"),"○","×")</f>
        <v>×</v>
      </c>
      <c r="Z352" s="27" t="str">
        <f>IF(C352&lt;=_xll.RssMarket(A352,"年初来安値"),"○","×")</f>
        <v>○</v>
      </c>
    </row>
    <row r="353" spans="1:26" x14ac:dyDescent="0.25">
      <c r="A353" s="49">
        <v>3770</v>
      </c>
      <c r="B353" s="20" t="str">
        <f>_xll.RssMarket(A353,"銘柄名称")</f>
        <v>表示銘柄数超過</v>
      </c>
      <c r="C353" s="21" t="str">
        <f>_xll.RssMarket(A353,"現在値")</f>
        <v>表示銘柄数超過</v>
      </c>
      <c r="D353" s="20" t="str">
        <f>_xll.RssMarket(A353,"現在値詳細時刻")</f>
        <v>表示銘柄数超過</v>
      </c>
      <c r="E353" s="22" t="str">
        <f>_xll.RssMarket(A353,"前日比")</f>
        <v>表示銘柄数超過</v>
      </c>
      <c r="F353" s="23" t="e">
        <f>_xll.RssMarket(A353,"前日比率")/100</f>
        <v>#VALUE!</v>
      </c>
      <c r="G353" s="24" t="str">
        <f>IFERROR(VLOOKUP(A353,取得元!$A$2:$F$501,2,FALSE),"-")</f>
        <v>-</v>
      </c>
      <c r="H353" s="24" t="str">
        <f>IFERROR(VLOOKUP(A353,取得元!$A$2:$F$501,3,FALSE),"-")</f>
        <v>-</v>
      </c>
      <c r="I353" s="24" t="str">
        <f>IFERROR(VLOOKUP(A353,取得元!$A$2:$F$501,4,FALSE),"-")</f>
        <v>-</v>
      </c>
      <c r="J353" s="5" t="str">
        <f>IFERROR(VLOOKUP(A353,取得元!$A$2:$F$501,5,FALSE),"-")</f>
        <v>-</v>
      </c>
      <c r="K353" s="25" t="str">
        <f>IFERROR(VLOOKUP(A353,取得元!$A$2:$F$501,6,FALSE)/100,"-")</f>
        <v>-</v>
      </c>
      <c r="L353" s="21" t="str">
        <f>_xll.RssMarket(A353,"始値")</f>
        <v>表示銘柄数超過</v>
      </c>
      <c r="M353" s="4" t="e">
        <f t="shared" si="35"/>
        <v>#VALUE!</v>
      </c>
      <c r="N353" s="21" t="str">
        <f>_xll.RssMarket(A353,"高値")</f>
        <v>表示銘柄数超過</v>
      </c>
      <c r="O353" s="4" t="e">
        <f t="shared" si="36"/>
        <v>#VALUE!</v>
      </c>
      <c r="P353" s="21" t="str">
        <f>_xll.RssMarket(A353,"安値")</f>
        <v>表示銘柄数超過</v>
      </c>
      <c r="Q353" s="4" t="e">
        <f t="shared" si="37"/>
        <v>#VALUE!</v>
      </c>
      <c r="R353" s="21" t="str">
        <f>_xll.RssMarket(A353,"後場始値")</f>
        <v>表示銘柄数超過</v>
      </c>
      <c r="S353" s="25" t="str">
        <f t="shared" si="38"/>
        <v>-</v>
      </c>
      <c r="T353" s="7" t="str">
        <f>_xll.RssMarket(A353,"出来高加重平均")</f>
        <v>表示銘柄数超過</v>
      </c>
      <c r="U353" s="4" t="e">
        <f t="shared" si="39"/>
        <v>#VALUE!</v>
      </c>
      <c r="V353" s="21" t="str">
        <f>_xll.RssMarket(A353,"出来高")</f>
        <v>表示銘柄数超過</v>
      </c>
      <c r="W353" s="21" t="str">
        <f>_xll.RssMarket(A353,"売買代金")</f>
        <v>表示銘柄数超過</v>
      </c>
      <c r="X353" s="20" t="str">
        <f>_xll.RssMarket(A353,"決算発表日")</f>
        <v>表示銘柄数超過</v>
      </c>
      <c r="Y353" s="26" t="str">
        <f>IF(C353&gt;_xll.RssMarket(A353,"年初来高値"),"○","×")</f>
        <v>×</v>
      </c>
      <c r="Z353" s="27" t="str">
        <f>IF(C353&lt;=_xll.RssMarket(A353,"年初来安値"),"○","×")</f>
        <v>○</v>
      </c>
    </row>
    <row r="354" spans="1:26" x14ac:dyDescent="0.25">
      <c r="A354" s="47">
        <v>3773</v>
      </c>
      <c r="B354" s="20" t="str">
        <f>_xll.RssMarket(A354,"銘柄名称")</f>
        <v>表示銘柄数超過</v>
      </c>
      <c r="C354" s="21" t="str">
        <f>_xll.RssMarket(A354,"現在値")</f>
        <v>表示銘柄数超過</v>
      </c>
      <c r="D354" s="20" t="str">
        <f>_xll.RssMarket(A354,"現在値詳細時刻")</f>
        <v>表示銘柄数超過</v>
      </c>
      <c r="E354" s="22" t="str">
        <f>_xll.RssMarket(A354,"前日比")</f>
        <v>表示銘柄数超過</v>
      </c>
      <c r="F354" s="23" t="e">
        <f>_xll.RssMarket(A354,"前日比率")/100</f>
        <v>#VALUE!</v>
      </c>
      <c r="G354" s="24" t="str">
        <f>IFERROR(VLOOKUP(A354,取得元!$A$2:$F$501,2,FALSE),"-")</f>
        <v>-</v>
      </c>
      <c r="H354" s="24" t="str">
        <f>IFERROR(VLOOKUP(A354,取得元!$A$2:$F$501,3,FALSE),"-")</f>
        <v>-</v>
      </c>
      <c r="I354" s="24" t="str">
        <f>IFERROR(VLOOKUP(A354,取得元!$A$2:$F$501,4,FALSE),"-")</f>
        <v>-</v>
      </c>
      <c r="J354" s="5" t="str">
        <f>IFERROR(VLOOKUP(A354,取得元!$A$2:$F$501,5,FALSE),"-")</f>
        <v>-</v>
      </c>
      <c r="K354" s="25" t="str">
        <f>IFERROR(VLOOKUP(A354,取得元!$A$2:$F$501,6,FALSE)/100,"-")</f>
        <v>-</v>
      </c>
      <c r="L354" s="21" t="str">
        <f>_xll.RssMarket(A354,"始値")</f>
        <v>表示銘柄数超過</v>
      </c>
      <c r="M354" s="4" t="e">
        <f t="shared" si="35"/>
        <v>#VALUE!</v>
      </c>
      <c r="N354" s="21" t="str">
        <f>_xll.RssMarket(A354,"高値")</f>
        <v>表示銘柄数超過</v>
      </c>
      <c r="O354" s="4" t="e">
        <f t="shared" si="36"/>
        <v>#VALUE!</v>
      </c>
      <c r="P354" s="21" t="str">
        <f>_xll.RssMarket(A354,"安値")</f>
        <v>表示銘柄数超過</v>
      </c>
      <c r="Q354" s="4" t="e">
        <f t="shared" si="37"/>
        <v>#VALUE!</v>
      </c>
      <c r="R354" s="21" t="str">
        <f>_xll.RssMarket(A354,"後場始値")</f>
        <v>表示銘柄数超過</v>
      </c>
      <c r="S354" s="25" t="str">
        <f t="shared" si="38"/>
        <v>-</v>
      </c>
      <c r="T354" s="7" t="str">
        <f>_xll.RssMarket(A354,"出来高加重平均")</f>
        <v>表示銘柄数超過</v>
      </c>
      <c r="U354" s="4" t="e">
        <f t="shared" si="39"/>
        <v>#VALUE!</v>
      </c>
      <c r="V354" s="21" t="str">
        <f>_xll.RssMarket(A354,"出来高")</f>
        <v>表示銘柄数超過</v>
      </c>
      <c r="W354" s="21" t="str">
        <f>_xll.RssMarket(A354,"売買代金")</f>
        <v>表示銘柄数超過</v>
      </c>
      <c r="X354" s="20" t="str">
        <f>_xll.RssMarket(A354,"決算発表日")</f>
        <v>表示銘柄数超過</v>
      </c>
      <c r="Y354" s="26" t="str">
        <f>IF(C354&gt;_xll.RssMarket(A354,"年初来高値"),"○","×")</f>
        <v>×</v>
      </c>
      <c r="Z354" s="27" t="str">
        <f>IF(C354&lt;=_xll.RssMarket(A354,"年初来安値"),"○","×")</f>
        <v>○</v>
      </c>
    </row>
    <row r="355" spans="1:26" x14ac:dyDescent="0.25">
      <c r="A355" s="49">
        <v>3776</v>
      </c>
      <c r="B355" s="20" t="str">
        <f>_xll.RssMarket(A355,"銘柄名称")</f>
        <v>表示銘柄数超過</v>
      </c>
      <c r="C355" s="21" t="str">
        <f>_xll.RssMarket(A355,"現在値")</f>
        <v>表示銘柄数超過</v>
      </c>
      <c r="D355" s="20" t="str">
        <f>_xll.RssMarket(A355,"現在値詳細時刻")</f>
        <v>表示銘柄数超過</v>
      </c>
      <c r="E355" s="22" t="str">
        <f>_xll.RssMarket(A355,"前日比")</f>
        <v>表示銘柄数超過</v>
      </c>
      <c r="F355" s="23" t="e">
        <f>_xll.RssMarket(A355,"前日比率")/100</f>
        <v>#VALUE!</v>
      </c>
      <c r="G355" s="24" t="str">
        <f>IFERROR(VLOOKUP(A355,取得元!$A$2:$F$501,2,FALSE),"-")</f>
        <v>-</v>
      </c>
      <c r="H355" s="24" t="str">
        <f>IFERROR(VLOOKUP(A355,取得元!$A$2:$F$501,3,FALSE),"-")</f>
        <v>-</v>
      </c>
      <c r="I355" s="24" t="str">
        <f>IFERROR(VLOOKUP(A355,取得元!$A$2:$F$501,4,FALSE),"-")</f>
        <v>-</v>
      </c>
      <c r="J355" s="5" t="str">
        <f>IFERROR(VLOOKUP(A355,取得元!$A$2:$F$501,5,FALSE),"-")</f>
        <v>-</v>
      </c>
      <c r="K355" s="25" t="str">
        <f>IFERROR(VLOOKUP(A355,取得元!$A$2:$F$501,6,FALSE)/100,"-")</f>
        <v>-</v>
      </c>
      <c r="L355" s="21" t="str">
        <f>_xll.RssMarket(A355,"始値")</f>
        <v>表示銘柄数超過</v>
      </c>
      <c r="M355" s="4" t="e">
        <f t="shared" si="35"/>
        <v>#VALUE!</v>
      </c>
      <c r="N355" s="21" t="str">
        <f>_xll.RssMarket(A355,"高値")</f>
        <v>表示銘柄数超過</v>
      </c>
      <c r="O355" s="4" t="e">
        <f t="shared" si="36"/>
        <v>#VALUE!</v>
      </c>
      <c r="P355" s="21" t="str">
        <f>_xll.RssMarket(A355,"安値")</f>
        <v>表示銘柄数超過</v>
      </c>
      <c r="Q355" s="4" t="e">
        <f t="shared" si="37"/>
        <v>#VALUE!</v>
      </c>
      <c r="R355" s="21" t="str">
        <f>_xll.RssMarket(A355,"後場始値")</f>
        <v>表示銘柄数超過</v>
      </c>
      <c r="S355" s="25" t="str">
        <f t="shared" si="38"/>
        <v>-</v>
      </c>
      <c r="T355" s="7" t="str">
        <f>_xll.RssMarket(A355,"出来高加重平均")</f>
        <v>表示銘柄数超過</v>
      </c>
      <c r="U355" s="4" t="e">
        <f t="shared" si="39"/>
        <v>#VALUE!</v>
      </c>
      <c r="V355" s="21" t="str">
        <f>_xll.RssMarket(A355,"出来高")</f>
        <v>表示銘柄数超過</v>
      </c>
      <c r="W355" s="21" t="str">
        <f>_xll.RssMarket(A355,"売買代金")</f>
        <v>表示銘柄数超過</v>
      </c>
      <c r="X355" s="20" t="str">
        <f>_xll.RssMarket(A355,"決算発表日")</f>
        <v>表示銘柄数超過</v>
      </c>
      <c r="Y355" s="26" t="str">
        <f>IF(C355&gt;_xll.RssMarket(A355,"年初来高値"),"○","×")</f>
        <v>×</v>
      </c>
      <c r="Z355" s="27" t="str">
        <f>IF(C355&lt;=_xll.RssMarket(A355,"年初来安値"),"○","×")</f>
        <v>○</v>
      </c>
    </row>
    <row r="356" spans="1:26" x14ac:dyDescent="0.25">
      <c r="A356" s="47">
        <v>3777</v>
      </c>
      <c r="B356" s="20" t="str">
        <f>_xll.RssMarket(A356,"銘柄名称")</f>
        <v>表示銘柄数超過</v>
      </c>
      <c r="C356" s="21" t="str">
        <f>_xll.RssMarket(A356,"現在値")</f>
        <v>表示銘柄数超過</v>
      </c>
      <c r="D356" s="20" t="str">
        <f>_xll.RssMarket(A356,"現在値詳細時刻")</f>
        <v>表示銘柄数超過</v>
      </c>
      <c r="E356" s="22" t="str">
        <f>_xll.RssMarket(A356,"前日比")</f>
        <v>表示銘柄数超過</v>
      </c>
      <c r="F356" s="23" t="e">
        <f>_xll.RssMarket(A356,"前日比率")/100</f>
        <v>#VALUE!</v>
      </c>
      <c r="G356" s="24" t="str">
        <f>IFERROR(VLOOKUP(A356,取得元!$A$2:$F$501,2,FALSE),"-")</f>
        <v>-</v>
      </c>
      <c r="H356" s="24" t="str">
        <f>IFERROR(VLOOKUP(A356,取得元!$A$2:$F$501,3,FALSE),"-")</f>
        <v>-</v>
      </c>
      <c r="I356" s="24" t="str">
        <f>IFERROR(VLOOKUP(A356,取得元!$A$2:$F$501,4,FALSE),"-")</f>
        <v>-</v>
      </c>
      <c r="J356" s="5" t="str">
        <f>IFERROR(VLOOKUP(A356,取得元!$A$2:$F$501,5,FALSE),"-")</f>
        <v>-</v>
      </c>
      <c r="K356" s="25" t="str">
        <f>IFERROR(VLOOKUP(A356,取得元!$A$2:$F$501,6,FALSE)/100,"-")</f>
        <v>-</v>
      </c>
      <c r="L356" s="21" t="str">
        <f>_xll.RssMarket(A356,"始値")</f>
        <v>表示銘柄数超過</v>
      </c>
      <c r="M356" s="4" t="e">
        <f t="shared" si="35"/>
        <v>#VALUE!</v>
      </c>
      <c r="N356" s="21" t="str">
        <f>_xll.RssMarket(A356,"高値")</f>
        <v>表示銘柄数超過</v>
      </c>
      <c r="O356" s="4" t="e">
        <f t="shared" si="36"/>
        <v>#VALUE!</v>
      </c>
      <c r="P356" s="21" t="str">
        <f>_xll.RssMarket(A356,"安値")</f>
        <v>表示銘柄数超過</v>
      </c>
      <c r="Q356" s="4" t="e">
        <f t="shared" si="37"/>
        <v>#VALUE!</v>
      </c>
      <c r="R356" s="21" t="str">
        <f>_xll.RssMarket(A356,"後場始値")</f>
        <v>表示銘柄数超過</v>
      </c>
      <c r="S356" s="25" t="str">
        <f t="shared" si="38"/>
        <v>-</v>
      </c>
      <c r="T356" s="7" t="str">
        <f>_xll.RssMarket(A356,"出来高加重平均")</f>
        <v>表示銘柄数超過</v>
      </c>
      <c r="U356" s="4" t="e">
        <f t="shared" si="39"/>
        <v>#VALUE!</v>
      </c>
      <c r="V356" s="21" t="str">
        <f>_xll.RssMarket(A356,"出来高")</f>
        <v>表示銘柄数超過</v>
      </c>
      <c r="W356" s="21" t="str">
        <f>_xll.RssMarket(A356,"売買代金")</f>
        <v>表示銘柄数超過</v>
      </c>
      <c r="X356" s="20" t="str">
        <f>_xll.RssMarket(A356,"決算発表日")</f>
        <v>表示銘柄数超過</v>
      </c>
      <c r="Y356" s="26" t="str">
        <f>IF(C356&gt;_xll.RssMarket(A356,"年初来高値"),"○","×")</f>
        <v>×</v>
      </c>
      <c r="Z356" s="27" t="str">
        <f>IF(C356&lt;=_xll.RssMarket(A356,"年初来安値"),"○","×")</f>
        <v>○</v>
      </c>
    </row>
    <row r="357" spans="1:26" x14ac:dyDescent="0.25">
      <c r="A357" s="49">
        <v>3778</v>
      </c>
      <c r="B357" s="20" t="str">
        <f>_xll.RssMarket(A357,"銘柄名称")</f>
        <v>表示銘柄数超過</v>
      </c>
      <c r="C357" s="21" t="str">
        <f>_xll.RssMarket(A357,"現在値")</f>
        <v>表示銘柄数超過</v>
      </c>
      <c r="D357" s="20" t="str">
        <f>_xll.RssMarket(A357,"現在値詳細時刻")</f>
        <v>表示銘柄数超過</v>
      </c>
      <c r="E357" s="22" t="str">
        <f>_xll.RssMarket(A357,"前日比")</f>
        <v>表示銘柄数超過</v>
      </c>
      <c r="F357" s="23" t="e">
        <f>_xll.RssMarket(A357,"前日比率")/100</f>
        <v>#VALUE!</v>
      </c>
      <c r="G357" s="24" t="str">
        <f>IFERROR(VLOOKUP(A357,取得元!$A$2:$F$501,2,FALSE),"-")</f>
        <v>-</v>
      </c>
      <c r="H357" s="24" t="str">
        <f>IFERROR(VLOOKUP(A357,取得元!$A$2:$F$501,3,FALSE),"-")</f>
        <v>-</v>
      </c>
      <c r="I357" s="24" t="str">
        <f>IFERROR(VLOOKUP(A357,取得元!$A$2:$F$501,4,FALSE),"-")</f>
        <v>-</v>
      </c>
      <c r="J357" s="5" t="str">
        <f>IFERROR(VLOOKUP(A357,取得元!$A$2:$F$501,5,FALSE),"-")</f>
        <v>-</v>
      </c>
      <c r="K357" s="25" t="str">
        <f>IFERROR(VLOOKUP(A357,取得元!$A$2:$F$501,6,FALSE)/100,"-")</f>
        <v>-</v>
      </c>
      <c r="L357" s="21" t="str">
        <f>_xll.RssMarket(A357,"始値")</f>
        <v>表示銘柄数超過</v>
      </c>
      <c r="M357" s="4" t="e">
        <f t="shared" si="35"/>
        <v>#VALUE!</v>
      </c>
      <c r="N357" s="21" t="str">
        <f>_xll.RssMarket(A357,"高値")</f>
        <v>表示銘柄数超過</v>
      </c>
      <c r="O357" s="4" t="e">
        <f t="shared" si="36"/>
        <v>#VALUE!</v>
      </c>
      <c r="P357" s="21" t="str">
        <f>_xll.RssMarket(A357,"安値")</f>
        <v>表示銘柄数超過</v>
      </c>
      <c r="Q357" s="4" t="e">
        <f t="shared" si="37"/>
        <v>#VALUE!</v>
      </c>
      <c r="R357" s="21" t="str">
        <f>_xll.RssMarket(A357,"後場始値")</f>
        <v>表示銘柄数超過</v>
      </c>
      <c r="S357" s="25" t="str">
        <f t="shared" si="38"/>
        <v>-</v>
      </c>
      <c r="T357" s="7" t="str">
        <f>_xll.RssMarket(A357,"出来高加重平均")</f>
        <v>表示銘柄数超過</v>
      </c>
      <c r="U357" s="4" t="e">
        <f t="shared" si="39"/>
        <v>#VALUE!</v>
      </c>
      <c r="V357" s="21" t="str">
        <f>_xll.RssMarket(A357,"出来高")</f>
        <v>表示銘柄数超過</v>
      </c>
      <c r="W357" s="21" t="str">
        <f>_xll.RssMarket(A357,"売買代金")</f>
        <v>表示銘柄数超過</v>
      </c>
      <c r="X357" s="20" t="str">
        <f>_xll.RssMarket(A357,"決算発表日")</f>
        <v>表示銘柄数超過</v>
      </c>
      <c r="Y357" s="26" t="str">
        <f>IF(C357&gt;_xll.RssMarket(A357,"年初来高値"),"○","×")</f>
        <v>×</v>
      </c>
      <c r="Z357" s="27" t="str">
        <f>IF(C357&lt;=_xll.RssMarket(A357,"年初来安値"),"○","×")</f>
        <v>○</v>
      </c>
    </row>
    <row r="358" spans="1:26" x14ac:dyDescent="0.25">
      <c r="A358" s="47">
        <v>3779</v>
      </c>
      <c r="B358" s="20" t="str">
        <f>_xll.RssMarket(A358,"銘柄名称")</f>
        <v>表示銘柄数超過</v>
      </c>
      <c r="C358" s="21" t="str">
        <f>_xll.RssMarket(A358,"現在値")</f>
        <v>表示銘柄数超過</v>
      </c>
      <c r="D358" s="20" t="str">
        <f>_xll.RssMarket(A358,"現在値詳細時刻")</f>
        <v>表示銘柄数超過</v>
      </c>
      <c r="E358" s="22" t="str">
        <f>_xll.RssMarket(A358,"前日比")</f>
        <v>表示銘柄数超過</v>
      </c>
      <c r="F358" s="23" t="e">
        <f>_xll.RssMarket(A358,"前日比率")/100</f>
        <v>#VALUE!</v>
      </c>
      <c r="G358" s="24" t="str">
        <f>IFERROR(VLOOKUP(A358,取得元!$A$2:$F$501,2,FALSE),"-")</f>
        <v>-</v>
      </c>
      <c r="H358" s="24" t="str">
        <f>IFERROR(VLOOKUP(A358,取得元!$A$2:$F$501,3,FALSE),"-")</f>
        <v>-</v>
      </c>
      <c r="I358" s="24" t="str">
        <f>IFERROR(VLOOKUP(A358,取得元!$A$2:$F$501,4,FALSE),"-")</f>
        <v>-</v>
      </c>
      <c r="J358" s="5" t="str">
        <f>IFERROR(VLOOKUP(A358,取得元!$A$2:$F$501,5,FALSE),"-")</f>
        <v>-</v>
      </c>
      <c r="K358" s="25" t="str">
        <f>IFERROR(VLOOKUP(A358,取得元!$A$2:$F$501,6,FALSE)/100,"-")</f>
        <v>-</v>
      </c>
      <c r="L358" s="21" t="str">
        <f>_xll.RssMarket(A358,"始値")</f>
        <v>表示銘柄数超過</v>
      </c>
      <c r="M358" s="4" t="e">
        <f t="shared" si="35"/>
        <v>#VALUE!</v>
      </c>
      <c r="N358" s="21" t="str">
        <f>_xll.RssMarket(A358,"高値")</f>
        <v>表示銘柄数超過</v>
      </c>
      <c r="O358" s="4" t="e">
        <f t="shared" si="36"/>
        <v>#VALUE!</v>
      </c>
      <c r="P358" s="21" t="str">
        <f>_xll.RssMarket(A358,"安値")</f>
        <v>表示銘柄数超過</v>
      </c>
      <c r="Q358" s="4" t="e">
        <f t="shared" si="37"/>
        <v>#VALUE!</v>
      </c>
      <c r="R358" s="21" t="str">
        <f>_xll.RssMarket(A358,"後場始値")</f>
        <v>表示銘柄数超過</v>
      </c>
      <c r="S358" s="25" t="str">
        <f t="shared" si="38"/>
        <v>-</v>
      </c>
      <c r="T358" s="7" t="str">
        <f>_xll.RssMarket(A358,"出来高加重平均")</f>
        <v>表示銘柄数超過</v>
      </c>
      <c r="U358" s="4" t="e">
        <f t="shared" si="39"/>
        <v>#VALUE!</v>
      </c>
      <c r="V358" s="21" t="str">
        <f>_xll.RssMarket(A358,"出来高")</f>
        <v>表示銘柄数超過</v>
      </c>
      <c r="W358" s="21" t="str">
        <f>_xll.RssMarket(A358,"売買代金")</f>
        <v>表示銘柄数超過</v>
      </c>
      <c r="X358" s="20" t="str">
        <f>_xll.RssMarket(A358,"決算発表日")</f>
        <v>表示銘柄数超過</v>
      </c>
      <c r="Y358" s="26" t="str">
        <f>IF(C358&gt;_xll.RssMarket(A358,"年初来高値"),"○","×")</f>
        <v>×</v>
      </c>
      <c r="Z358" s="27" t="str">
        <f>IF(C358&lt;=_xll.RssMarket(A358,"年初来安値"),"○","×")</f>
        <v>○</v>
      </c>
    </row>
    <row r="359" spans="1:26" x14ac:dyDescent="0.25">
      <c r="A359" s="49">
        <v>3784</v>
      </c>
      <c r="B359" s="20" t="str">
        <f>_xll.RssMarket(A359,"銘柄名称")</f>
        <v>表示銘柄数超過</v>
      </c>
      <c r="C359" s="21" t="str">
        <f>_xll.RssMarket(A359,"現在値")</f>
        <v>表示銘柄数超過</v>
      </c>
      <c r="D359" s="20" t="str">
        <f>_xll.RssMarket(A359,"現在値詳細時刻")</f>
        <v>表示銘柄数超過</v>
      </c>
      <c r="E359" s="22" t="str">
        <f>_xll.RssMarket(A359,"前日比")</f>
        <v>表示銘柄数超過</v>
      </c>
      <c r="F359" s="23" t="e">
        <f>_xll.RssMarket(A359,"前日比率")/100</f>
        <v>#VALUE!</v>
      </c>
      <c r="G359" s="24" t="str">
        <f>IFERROR(VLOOKUP(A359,取得元!$A$2:$F$501,2,FALSE),"-")</f>
        <v>-</v>
      </c>
      <c r="H359" s="24" t="str">
        <f>IFERROR(VLOOKUP(A359,取得元!$A$2:$F$501,3,FALSE),"-")</f>
        <v>-</v>
      </c>
      <c r="I359" s="24" t="str">
        <f>IFERROR(VLOOKUP(A359,取得元!$A$2:$F$501,4,FALSE),"-")</f>
        <v>-</v>
      </c>
      <c r="J359" s="5" t="str">
        <f>IFERROR(VLOOKUP(A359,取得元!$A$2:$F$501,5,FALSE),"-")</f>
        <v>-</v>
      </c>
      <c r="K359" s="25" t="str">
        <f>IFERROR(VLOOKUP(A359,取得元!$A$2:$F$501,6,FALSE)/100,"-")</f>
        <v>-</v>
      </c>
      <c r="L359" s="21" t="str">
        <f>_xll.RssMarket(A359,"始値")</f>
        <v>表示銘柄数超過</v>
      </c>
      <c r="M359" s="4" t="e">
        <f t="shared" si="35"/>
        <v>#VALUE!</v>
      </c>
      <c r="N359" s="21" t="str">
        <f>_xll.RssMarket(A359,"高値")</f>
        <v>表示銘柄数超過</v>
      </c>
      <c r="O359" s="4" t="e">
        <f t="shared" si="36"/>
        <v>#VALUE!</v>
      </c>
      <c r="P359" s="21" t="str">
        <f>_xll.RssMarket(A359,"安値")</f>
        <v>表示銘柄数超過</v>
      </c>
      <c r="Q359" s="4" t="e">
        <f t="shared" si="37"/>
        <v>#VALUE!</v>
      </c>
      <c r="R359" s="21" t="str">
        <f>_xll.RssMarket(A359,"後場始値")</f>
        <v>表示銘柄数超過</v>
      </c>
      <c r="S359" s="25" t="str">
        <f t="shared" si="38"/>
        <v>-</v>
      </c>
      <c r="T359" s="7" t="str">
        <f>_xll.RssMarket(A359,"出来高加重平均")</f>
        <v>表示銘柄数超過</v>
      </c>
      <c r="U359" s="4" t="e">
        <f t="shared" si="39"/>
        <v>#VALUE!</v>
      </c>
      <c r="V359" s="21" t="str">
        <f>_xll.RssMarket(A359,"出来高")</f>
        <v>表示銘柄数超過</v>
      </c>
      <c r="W359" s="21" t="str">
        <f>_xll.RssMarket(A359,"売買代金")</f>
        <v>表示銘柄数超過</v>
      </c>
      <c r="X359" s="20" t="str">
        <f>_xll.RssMarket(A359,"決算発表日")</f>
        <v>表示銘柄数超過</v>
      </c>
      <c r="Y359" s="26" t="str">
        <f>IF(C359&gt;_xll.RssMarket(A359,"年初来高値"),"○","×")</f>
        <v>×</v>
      </c>
      <c r="Z359" s="27" t="str">
        <f>IF(C359&lt;=_xll.RssMarket(A359,"年初来安値"),"○","×")</f>
        <v>○</v>
      </c>
    </row>
    <row r="360" spans="1:26" x14ac:dyDescent="0.25">
      <c r="A360" s="47">
        <v>3793</v>
      </c>
      <c r="B360" s="20" t="str">
        <f>_xll.RssMarket(A360,"銘柄名称")</f>
        <v>表示銘柄数超過</v>
      </c>
      <c r="C360" s="21" t="str">
        <f>_xll.RssMarket(A360,"現在値")</f>
        <v>表示銘柄数超過</v>
      </c>
      <c r="D360" s="20" t="str">
        <f>_xll.RssMarket(A360,"現在値詳細時刻")</f>
        <v>表示銘柄数超過</v>
      </c>
      <c r="E360" s="22" t="str">
        <f>_xll.RssMarket(A360,"前日比")</f>
        <v>表示銘柄数超過</v>
      </c>
      <c r="F360" s="23" t="e">
        <f>_xll.RssMarket(A360,"前日比率")/100</f>
        <v>#VALUE!</v>
      </c>
      <c r="G360" s="24" t="str">
        <f>IFERROR(VLOOKUP(A360,取得元!$A$2:$F$501,2,FALSE),"-")</f>
        <v>-</v>
      </c>
      <c r="H360" s="24" t="str">
        <f>IFERROR(VLOOKUP(A360,取得元!$A$2:$F$501,3,FALSE),"-")</f>
        <v>-</v>
      </c>
      <c r="I360" s="24" t="str">
        <f>IFERROR(VLOOKUP(A360,取得元!$A$2:$F$501,4,FALSE),"-")</f>
        <v>-</v>
      </c>
      <c r="J360" s="5" t="str">
        <f>IFERROR(VLOOKUP(A360,取得元!$A$2:$F$501,5,FALSE),"-")</f>
        <v>-</v>
      </c>
      <c r="K360" s="25" t="str">
        <f>IFERROR(VLOOKUP(A360,取得元!$A$2:$F$501,6,FALSE)/100,"-")</f>
        <v>-</v>
      </c>
      <c r="L360" s="21" t="str">
        <f>_xll.RssMarket(A360,"始値")</f>
        <v>表示銘柄数超過</v>
      </c>
      <c r="M360" s="4" t="e">
        <f t="shared" si="35"/>
        <v>#VALUE!</v>
      </c>
      <c r="N360" s="21" t="str">
        <f>_xll.RssMarket(A360,"高値")</f>
        <v>表示銘柄数超過</v>
      </c>
      <c r="O360" s="4" t="e">
        <f t="shared" si="36"/>
        <v>#VALUE!</v>
      </c>
      <c r="P360" s="21" t="str">
        <f>_xll.RssMarket(A360,"安値")</f>
        <v>表示銘柄数超過</v>
      </c>
      <c r="Q360" s="4" t="e">
        <f t="shared" si="37"/>
        <v>#VALUE!</v>
      </c>
      <c r="R360" s="21" t="str">
        <f>_xll.RssMarket(A360,"後場始値")</f>
        <v>表示銘柄数超過</v>
      </c>
      <c r="S360" s="25" t="str">
        <f t="shared" si="38"/>
        <v>-</v>
      </c>
      <c r="T360" s="7" t="str">
        <f>_xll.RssMarket(A360,"出来高加重平均")</f>
        <v>表示銘柄数超過</v>
      </c>
      <c r="U360" s="4" t="e">
        <f t="shared" si="39"/>
        <v>#VALUE!</v>
      </c>
      <c r="V360" s="21" t="str">
        <f>_xll.RssMarket(A360,"出来高")</f>
        <v>表示銘柄数超過</v>
      </c>
      <c r="W360" s="21" t="str">
        <f>_xll.RssMarket(A360,"売買代金")</f>
        <v>表示銘柄数超過</v>
      </c>
      <c r="X360" s="20" t="str">
        <f>_xll.RssMarket(A360,"決算発表日")</f>
        <v>表示銘柄数超過</v>
      </c>
      <c r="Y360" s="26" t="str">
        <f>IF(C360&gt;_xll.RssMarket(A360,"年初来高値"),"○","×")</f>
        <v>×</v>
      </c>
      <c r="Z360" s="27" t="str">
        <f>IF(C360&lt;=_xll.RssMarket(A360,"年初来安値"),"○","×")</f>
        <v>○</v>
      </c>
    </row>
    <row r="361" spans="1:26" x14ac:dyDescent="0.25">
      <c r="A361" s="49">
        <v>3807</v>
      </c>
      <c r="B361" s="20" t="str">
        <f>_xll.RssMarket(A361,"銘柄名称")</f>
        <v>表示銘柄数超過</v>
      </c>
      <c r="C361" s="21" t="str">
        <f>_xll.RssMarket(A361,"現在値")</f>
        <v>表示銘柄数超過</v>
      </c>
      <c r="D361" s="20" t="str">
        <f>_xll.RssMarket(A361,"現在値詳細時刻")</f>
        <v>表示銘柄数超過</v>
      </c>
      <c r="E361" s="22" t="str">
        <f>_xll.RssMarket(A361,"前日比")</f>
        <v>表示銘柄数超過</v>
      </c>
      <c r="F361" s="23" t="e">
        <f>_xll.RssMarket(A361,"前日比率")/100</f>
        <v>#VALUE!</v>
      </c>
      <c r="G361" s="24" t="str">
        <f>IFERROR(VLOOKUP(A361,取得元!$A$2:$F$501,2,FALSE),"-")</f>
        <v>-</v>
      </c>
      <c r="H361" s="24" t="str">
        <f>IFERROR(VLOOKUP(A361,取得元!$A$2:$F$501,3,FALSE),"-")</f>
        <v>-</v>
      </c>
      <c r="I361" s="24" t="str">
        <f>IFERROR(VLOOKUP(A361,取得元!$A$2:$F$501,4,FALSE),"-")</f>
        <v>-</v>
      </c>
      <c r="J361" s="5" t="str">
        <f>IFERROR(VLOOKUP(A361,取得元!$A$2:$F$501,5,FALSE),"-")</f>
        <v>-</v>
      </c>
      <c r="K361" s="25" t="str">
        <f>IFERROR(VLOOKUP(A361,取得元!$A$2:$F$501,6,FALSE)/100,"-")</f>
        <v>-</v>
      </c>
      <c r="L361" s="21" t="str">
        <f>_xll.RssMarket(A361,"始値")</f>
        <v>表示銘柄数超過</v>
      </c>
      <c r="M361" s="4" t="e">
        <f t="shared" si="35"/>
        <v>#VALUE!</v>
      </c>
      <c r="N361" s="21" t="str">
        <f>_xll.RssMarket(A361,"高値")</f>
        <v>表示銘柄数超過</v>
      </c>
      <c r="O361" s="4" t="e">
        <f t="shared" si="36"/>
        <v>#VALUE!</v>
      </c>
      <c r="P361" s="21" t="str">
        <f>_xll.RssMarket(A361,"安値")</f>
        <v>表示銘柄数超過</v>
      </c>
      <c r="Q361" s="4" t="e">
        <f t="shared" si="37"/>
        <v>#VALUE!</v>
      </c>
      <c r="R361" s="21" t="str">
        <f>_xll.RssMarket(A361,"後場始値")</f>
        <v>表示銘柄数超過</v>
      </c>
      <c r="S361" s="25" t="str">
        <f t="shared" si="38"/>
        <v>-</v>
      </c>
      <c r="T361" s="7" t="str">
        <f>_xll.RssMarket(A361,"出来高加重平均")</f>
        <v>表示銘柄数超過</v>
      </c>
      <c r="U361" s="4" t="e">
        <f t="shared" si="39"/>
        <v>#VALUE!</v>
      </c>
      <c r="V361" s="21" t="str">
        <f>_xll.RssMarket(A361,"出来高")</f>
        <v>表示銘柄数超過</v>
      </c>
      <c r="W361" s="21" t="str">
        <f>_xll.RssMarket(A361,"売買代金")</f>
        <v>表示銘柄数超過</v>
      </c>
      <c r="X361" s="20" t="str">
        <f>_xll.RssMarket(A361,"決算発表日")</f>
        <v>表示銘柄数超過</v>
      </c>
      <c r="Y361" s="26" t="str">
        <f>IF(C361&gt;_xll.RssMarket(A361,"年初来高値"),"○","×")</f>
        <v>×</v>
      </c>
      <c r="Z361" s="27" t="str">
        <f>IF(C361&lt;=_xll.RssMarket(A361,"年初来安値"),"○","×")</f>
        <v>○</v>
      </c>
    </row>
    <row r="362" spans="1:26" x14ac:dyDescent="0.25">
      <c r="A362" s="47">
        <v>3810</v>
      </c>
      <c r="B362" s="20" t="str">
        <f>_xll.RssMarket(A362,"銘柄名称")</f>
        <v>表示銘柄数超過</v>
      </c>
      <c r="C362" s="21" t="str">
        <f>_xll.RssMarket(A362,"現在値")</f>
        <v>表示銘柄数超過</v>
      </c>
      <c r="D362" s="20" t="str">
        <f>_xll.RssMarket(A362,"現在値詳細時刻")</f>
        <v>表示銘柄数超過</v>
      </c>
      <c r="E362" s="22" t="str">
        <f>_xll.RssMarket(A362,"前日比")</f>
        <v>表示銘柄数超過</v>
      </c>
      <c r="F362" s="23" t="e">
        <f>_xll.RssMarket(A362,"前日比率")/100</f>
        <v>#VALUE!</v>
      </c>
      <c r="G362" s="24" t="str">
        <f>IFERROR(VLOOKUP(A362,取得元!$A$2:$F$501,2,FALSE),"-")</f>
        <v>-</v>
      </c>
      <c r="H362" s="24" t="str">
        <f>IFERROR(VLOOKUP(A362,取得元!$A$2:$F$501,3,FALSE),"-")</f>
        <v>-</v>
      </c>
      <c r="I362" s="24" t="str">
        <f>IFERROR(VLOOKUP(A362,取得元!$A$2:$F$501,4,FALSE),"-")</f>
        <v>-</v>
      </c>
      <c r="J362" s="5" t="str">
        <f>IFERROR(VLOOKUP(A362,取得元!$A$2:$F$501,5,FALSE),"-")</f>
        <v>-</v>
      </c>
      <c r="K362" s="25" t="str">
        <f>IFERROR(VLOOKUP(A362,取得元!$A$2:$F$501,6,FALSE)/100,"-")</f>
        <v>-</v>
      </c>
      <c r="L362" s="21" t="str">
        <f>_xll.RssMarket(A362,"始値")</f>
        <v>表示銘柄数超過</v>
      </c>
      <c r="M362" s="4" t="e">
        <f t="shared" si="35"/>
        <v>#VALUE!</v>
      </c>
      <c r="N362" s="21" t="str">
        <f>_xll.RssMarket(A362,"高値")</f>
        <v>表示銘柄数超過</v>
      </c>
      <c r="O362" s="4" t="e">
        <f t="shared" si="36"/>
        <v>#VALUE!</v>
      </c>
      <c r="P362" s="21" t="str">
        <f>_xll.RssMarket(A362,"安値")</f>
        <v>表示銘柄数超過</v>
      </c>
      <c r="Q362" s="4" t="e">
        <f t="shared" si="37"/>
        <v>#VALUE!</v>
      </c>
      <c r="R362" s="21" t="str">
        <f>_xll.RssMarket(A362,"後場始値")</f>
        <v>表示銘柄数超過</v>
      </c>
      <c r="S362" s="25" t="str">
        <f t="shared" si="38"/>
        <v>-</v>
      </c>
      <c r="T362" s="7" t="str">
        <f>_xll.RssMarket(A362,"出来高加重平均")</f>
        <v>表示銘柄数超過</v>
      </c>
      <c r="U362" s="4" t="e">
        <f t="shared" si="39"/>
        <v>#VALUE!</v>
      </c>
      <c r="V362" s="21" t="str">
        <f>_xll.RssMarket(A362,"出来高")</f>
        <v>表示銘柄数超過</v>
      </c>
      <c r="W362" s="21" t="str">
        <f>_xll.RssMarket(A362,"売買代金")</f>
        <v>表示銘柄数超過</v>
      </c>
      <c r="X362" s="20" t="str">
        <f>_xll.RssMarket(A362,"決算発表日")</f>
        <v>表示銘柄数超過</v>
      </c>
      <c r="Y362" s="26" t="str">
        <f>IF(C362&gt;_xll.RssMarket(A362,"年初来高値"),"○","×")</f>
        <v>×</v>
      </c>
      <c r="Z362" s="27" t="str">
        <f>IF(C362&lt;=_xll.RssMarket(A362,"年初来安値"),"○","×")</f>
        <v>○</v>
      </c>
    </row>
    <row r="363" spans="1:26" x14ac:dyDescent="0.25">
      <c r="A363" s="49">
        <v>3814</v>
      </c>
      <c r="B363" s="20" t="str">
        <f>_xll.RssMarket(A363,"銘柄名称")</f>
        <v>表示銘柄数超過</v>
      </c>
      <c r="C363" s="21" t="str">
        <f>_xll.RssMarket(A363,"現在値")</f>
        <v>表示銘柄数超過</v>
      </c>
      <c r="D363" s="20" t="str">
        <f>_xll.RssMarket(A363,"現在値詳細時刻")</f>
        <v>表示銘柄数超過</v>
      </c>
      <c r="E363" s="22" t="str">
        <f>_xll.RssMarket(A363,"前日比")</f>
        <v>表示銘柄数超過</v>
      </c>
      <c r="F363" s="23" t="e">
        <f>_xll.RssMarket(A363,"前日比率")/100</f>
        <v>#VALUE!</v>
      </c>
      <c r="G363" s="24" t="str">
        <f>IFERROR(VLOOKUP(A363,取得元!$A$2:$F$501,2,FALSE),"-")</f>
        <v>-</v>
      </c>
      <c r="H363" s="24" t="str">
        <f>IFERROR(VLOOKUP(A363,取得元!$A$2:$F$501,3,FALSE),"-")</f>
        <v>-</v>
      </c>
      <c r="I363" s="24" t="str">
        <f>IFERROR(VLOOKUP(A363,取得元!$A$2:$F$501,4,FALSE),"-")</f>
        <v>-</v>
      </c>
      <c r="J363" s="5" t="str">
        <f>IFERROR(VLOOKUP(A363,取得元!$A$2:$F$501,5,FALSE),"-")</f>
        <v>-</v>
      </c>
      <c r="K363" s="25" t="str">
        <f>IFERROR(VLOOKUP(A363,取得元!$A$2:$F$501,6,FALSE)/100,"-")</f>
        <v>-</v>
      </c>
      <c r="L363" s="21" t="str">
        <f>_xll.RssMarket(A363,"始値")</f>
        <v>表示銘柄数超過</v>
      </c>
      <c r="M363" s="4" t="e">
        <f t="shared" si="35"/>
        <v>#VALUE!</v>
      </c>
      <c r="N363" s="21" t="str">
        <f>_xll.RssMarket(A363,"高値")</f>
        <v>表示銘柄数超過</v>
      </c>
      <c r="O363" s="4" t="e">
        <f t="shared" si="36"/>
        <v>#VALUE!</v>
      </c>
      <c r="P363" s="21" t="str">
        <f>_xll.RssMarket(A363,"安値")</f>
        <v>表示銘柄数超過</v>
      </c>
      <c r="Q363" s="4" t="e">
        <f t="shared" si="37"/>
        <v>#VALUE!</v>
      </c>
      <c r="R363" s="21" t="str">
        <f>_xll.RssMarket(A363,"後場始値")</f>
        <v>表示銘柄数超過</v>
      </c>
      <c r="S363" s="25" t="str">
        <f t="shared" si="38"/>
        <v>-</v>
      </c>
      <c r="T363" s="7" t="str">
        <f>_xll.RssMarket(A363,"出来高加重平均")</f>
        <v>表示銘柄数超過</v>
      </c>
      <c r="U363" s="4" t="e">
        <f t="shared" si="39"/>
        <v>#VALUE!</v>
      </c>
      <c r="V363" s="21" t="str">
        <f>_xll.RssMarket(A363,"出来高")</f>
        <v>表示銘柄数超過</v>
      </c>
      <c r="W363" s="21" t="str">
        <f>_xll.RssMarket(A363,"売買代金")</f>
        <v>表示銘柄数超過</v>
      </c>
      <c r="X363" s="20" t="str">
        <f>_xll.RssMarket(A363,"決算発表日")</f>
        <v>表示銘柄数超過</v>
      </c>
      <c r="Y363" s="26" t="str">
        <f>IF(C363&gt;_xll.RssMarket(A363,"年初来高値"),"○","×")</f>
        <v>×</v>
      </c>
      <c r="Z363" s="27" t="str">
        <f>IF(C363&lt;=_xll.RssMarket(A363,"年初来安値"),"○","×")</f>
        <v>○</v>
      </c>
    </row>
    <row r="364" spans="1:26" x14ac:dyDescent="0.25">
      <c r="A364" s="47">
        <v>3815</v>
      </c>
      <c r="B364" s="20" t="str">
        <f>_xll.RssMarket(A364,"銘柄名称")</f>
        <v>表示銘柄数超過</v>
      </c>
      <c r="C364" s="21" t="str">
        <f>_xll.RssMarket(A364,"現在値")</f>
        <v>表示銘柄数超過</v>
      </c>
      <c r="D364" s="20" t="str">
        <f>_xll.RssMarket(A364,"現在値詳細時刻")</f>
        <v>表示銘柄数超過</v>
      </c>
      <c r="E364" s="22" t="str">
        <f>_xll.RssMarket(A364,"前日比")</f>
        <v>表示銘柄数超過</v>
      </c>
      <c r="F364" s="23" t="e">
        <f>_xll.RssMarket(A364,"前日比率")/100</f>
        <v>#VALUE!</v>
      </c>
      <c r="G364" s="24" t="str">
        <f>IFERROR(VLOOKUP(A364,取得元!$A$2:$F$501,2,FALSE),"-")</f>
        <v>-</v>
      </c>
      <c r="H364" s="24" t="str">
        <f>IFERROR(VLOOKUP(A364,取得元!$A$2:$F$501,3,FALSE),"-")</f>
        <v>-</v>
      </c>
      <c r="I364" s="24" t="str">
        <f>IFERROR(VLOOKUP(A364,取得元!$A$2:$F$501,4,FALSE),"-")</f>
        <v>-</v>
      </c>
      <c r="J364" s="5" t="str">
        <f>IFERROR(VLOOKUP(A364,取得元!$A$2:$F$501,5,FALSE),"-")</f>
        <v>-</v>
      </c>
      <c r="K364" s="25" t="str">
        <f>IFERROR(VLOOKUP(A364,取得元!$A$2:$F$501,6,FALSE)/100,"-")</f>
        <v>-</v>
      </c>
      <c r="L364" s="21" t="str">
        <f>_xll.RssMarket(A364,"始値")</f>
        <v>表示銘柄数超過</v>
      </c>
      <c r="M364" s="4" t="e">
        <f t="shared" si="35"/>
        <v>#VALUE!</v>
      </c>
      <c r="N364" s="21" t="str">
        <f>_xll.RssMarket(A364,"高値")</f>
        <v>表示銘柄数超過</v>
      </c>
      <c r="O364" s="4" t="e">
        <f t="shared" si="36"/>
        <v>#VALUE!</v>
      </c>
      <c r="P364" s="21" t="str">
        <f>_xll.RssMarket(A364,"安値")</f>
        <v>表示銘柄数超過</v>
      </c>
      <c r="Q364" s="4" t="e">
        <f t="shared" si="37"/>
        <v>#VALUE!</v>
      </c>
      <c r="R364" s="21" t="str">
        <f>_xll.RssMarket(A364,"後場始値")</f>
        <v>表示銘柄数超過</v>
      </c>
      <c r="S364" s="25" t="str">
        <f t="shared" si="38"/>
        <v>-</v>
      </c>
      <c r="T364" s="7" t="str">
        <f>_xll.RssMarket(A364,"出来高加重平均")</f>
        <v>表示銘柄数超過</v>
      </c>
      <c r="U364" s="4" t="e">
        <f t="shared" si="39"/>
        <v>#VALUE!</v>
      </c>
      <c r="V364" s="21" t="str">
        <f>_xll.RssMarket(A364,"出来高")</f>
        <v>表示銘柄数超過</v>
      </c>
      <c r="W364" s="21" t="str">
        <f>_xll.RssMarket(A364,"売買代金")</f>
        <v>表示銘柄数超過</v>
      </c>
      <c r="X364" s="20" t="str">
        <f>_xll.RssMarket(A364,"決算発表日")</f>
        <v>表示銘柄数超過</v>
      </c>
      <c r="Y364" s="26" t="str">
        <f>IF(C364&gt;_xll.RssMarket(A364,"年初来高値"),"○","×")</f>
        <v>×</v>
      </c>
      <c r="Z364" s="27" t="str">
        <f>IF(C364&lt;=_xll.RssMarket(A364,"年初来安値"),"○","×")</f>
        <v>○</v>
      </c>
    </row>
    <row r="365" spans="1:26" x14ac:dyDescent="0.25">
      <c r="A365" s="49">
        <v>3816</v>
      </c>
      <c r="B365" s="20" t="str">
        <f>_xll.RssMarket(A365,"銘柄名称")</f>
        <v>表示銘柄数超過</v>
      </c>
      <c r="C365" s="21" t="str">
        <f>_xll.RssMarket(A365,"現在値")</f>
        <v>表示銘柄数超過</v>
      </c>
      <c r="D365" s="20" t="str">
        <f>_xll.RssMarket(A365,"現在値詳細時刻")</f>
        <v>表示銘柄数超過</v>
      </c>
      <c r="E365" s="22" t="str">
        <f>_xll.RssMarket(A365,"前日比")</f>
        <v>表示銘柄数超過</v>
      </c>
      <c r="F365" s="23" t="e">
        <f>_xll.RssMarket(A365,"前日比率")/100</f>
        <v>#VALUE!</v>
      </c>
      <c r="G365" s="24" t="str">
        <f>IFERROR(VLOOKUP(A365,取得元!$A$2:$F$501,2,FALSE),"-")</f>
        <v>-</v>
      </c>
      <c r="H365" s="24" t="str">
        <f>IFERROR(VLOOKUP(A365,取得元!$A$2:$F$501,3,FALSE),"-")</f>
        <v>-</v>
      </c>
      <c r="I365" s="24" t="str">
        <f>IFERROR(VLOOKUP(A365,取得元!$A$2:$F$501,4,FALSE),"-")</f>
        <v>-</v>
      </c>
      <c r="J365" s="5" t="str">
        <f>IFERROR(VLOOKUP(A365,取得元!$A$2:$F$501,5,FALSE),"-")</f>
        <v>-</v>
      </c>
      <c r="K365" s="25" t="str">
        <f>IFERROR(VLOOKUP(A365,取得元!$A$2:$F$501,6,FALSE)/100,"-")</f>
        <v>-</v>
      </c>
      <c r="L365" s="21" t="str">
        <f>_xll.RssMarket(A365,"始値")</f>
        <v>表示銘柄数超過</v>
      </c>
      <c r="M365" s="4" t="e">
        <f t="shared" si="35"/>
        <v>#VALUE!</v>
      </c>
      <c r="N365" s="21" t="str">
        <f>_xll.RssMarket(A365,"高値")</f>
        <v>表示銘柄数超過</v>
      </c>
      <c r="O365" s="4" t="e">
        <f t="shared" si="36"/>
        <v>#VALUE!</v>
      </c>
      <c r="P365" s="21" t="str">
        <f>_xll.RssMarket(A365,"安値")</f>
        <v>表示銘柄数超過</v>
      </c>
      <c r="Q365" s="4" t="e">
        <f t="shared" si="37"/>
        <v>#VALUE!</v>
      </c>
      <c r="R365" s="21" t="str">
        <f>_xll.RssMarket(A365,"後場始値")</f>
        <v>表示銘柄数超過</v>
      </c>
      <c r="S365" s="25" t="str">
        <f t="shared" si="38"/>
        <v>-</v>
      </c>
      <c r="T365" s="7" t="str">
        <f>_xll.RssMarket(A365,"出来高加重平均")</f>
        <v>表示銘柄数超過</v>
      </c>
      <c r="U365" s="4" t="e">
        <f t="shared" si="39"/>
        <v>#VALUE!</v>
      </c>
      <c r="V365" s="21" t="str">
        <f>_xll.RssMarket(A365,"出来高")</f>
        <v>表示銘柄数超過</v>
      </c>
      <c r="W365" s="21" t="str">
        <f>_xll.RssMarket(A365,"売買代金")</f>
        <v>表示銘柄数超過</v>
      </c>
      <c r="X365" s="20" t="str">
        <f>_xll.RssMarket(A365,"決算発表日")</f>
        <v>表示銘柄数超過</v>
      </c>
      <c r="Y365" s="26" t="str">
        <f>IF(C365&gt;_xll.RssMarket(A365,"年初来高値"),"○","×")</f>
        <v>×</v>
      </c>
      <c r="Z365" s="27" t="str">
        <f>IF(C365&lt;=_xll.RssMarket(A365,"年初来安値"),"○","×")</f>
        <v>○</v>
      </c>
    </row>
    <row r="366" spans="1:26" x14ac:dyDescent="0.25">
      <c r="A366" s="47">
        <v>3823</v>
      </c>
      <c r="B366" s="20" t="str">
        <f>_xll.RssMarket(A366,"銘柄名称")</f>
        <v>表示銘柄数超過</v>
      </c>
      <c r="C366" s="21" t="str">
        <f>_xll.RssMarket(A366,"現在値")</f>
        <v>表示銘柄数超過</v>
      </c>
      <c r="D366" s="20" t="str">
        <f>_xll.RssMarket(A366,"現在値詳細時刻")</f>
        <v>表示銘柄数超過</v>
      </c>
      <c r="E366" s="22" t="str">
        <f>_xll.RssMarket(A366,"前日比")</f>
        <v>表示銘柄数超過</v>
      </c>
      <c r="F366" s="23" t="e">
        <f>_xll.RssMarket(A366,"前日比率")/100</f>
        <v>#VALUE!</v>
      </c>
      <c r="G366" s="24" t="str">
        <f>IFERROR(VLOOKUP(A366,取得元!$A$2:$F$501,2,FALSE),"-")</f>
        <v>-</v>
      </c>
      <c r="H366" s="24" t="str">
        <f>IFERROR(VLOOKUP(A366,取得元!$A$2:$F$501,3,FALSE),"-")</f>
        <v>-</v>
      </c>
      <c r="I366" s="24" t="str">
        <f>IFERROR(VLOOKUP(A366,取得元!$A$2:$F$501,4,FALSE),"-")</f>
        <v>-</v>
      </c>
      <c r="J366" s="5" t="str">
        <f>IFERROR(VLOOKUP(A366,取得元!$A$2:$F$501,5,FALSE),"-")</f>
        <v>-</v>
      </c>
      <c r="K366" s="25" t="str">
        <f>IFERROR(VLOOKUP(A366,取得元!$A$2:$F$501,6,FALSE)/100,"-")</f>
        <v>-</v>
      </c>
      <c r="L366" s="21" t="str">
        <f>_xll.RssMarket(A366,"始値")</f>
        <v>表示銘柄数超過</v>
      </c>
      <c r="M366" s="4" t="e">
        <f t="shared" si="35"/>
        <v>#VALUE!</v>
      </c>
      <c r="N366" s="21" t="str">
        <f>_xll.RssMarket(A366,"高値")</f>
        <v>表示銘柄数超過</v>
      </c>
      <c r="O366" s="4" t="e">
        <f t="shared" si="36"/>
        <v>#VALUE!</v>
      </c>
      <c r="P366" s="21" t="str">
        <f>_xll.RssMarket(A366,"安値")</f>
        <v>表示銘柄数超過</v>
      </c>
      <c r="Q366" s="4" t="e">
        <f t="shared" si="37"/>
        <v>#VALUE!</v>
      </c>
      <c r="R366" s="21" t="str">
        <f>_xll.RssMarket(A366,"後場始値")</f>
        <v>表示銘柄数超過</v>
      </c>
      <c r="S366" s="25" t="str">
        <f t="shared" si="38"/>
        <v>-</v>
      </c>
      <c r="T366" s="7" t="str">
        <f>_xll.RssMarket(A366,"出来高加重平均")</f>
        <v>表示銘柄数超過</v>
      </c>
      <c r="U366" s="4" t="e">
        <f t="shared" si="39"/>
        <v>#VALUE!</v>
      </c>
      <c r="V366" s="21" t="str">
        <f>_xll.RssMarket(A366,"出来高")</f>
        <v>表示銘柄数超過</v>
      </c>
      <c r="W366" s="21" t="str">
        <f>_xll.RssMarket(A366,"売買代金")</f>
        <v>表示銘柄数超過</v>
      </c>
      <c r="X366" s="20" t="str">
        <f>_xll.RssMarket(A366,"決算発表日")</f>
        <v>表示銘柄数超過</v>
      </c>
      <c r="Y366" s="26" t="str">
        <f>IF(C366&gt;_xll.RssMarket(A366,"年初来高値"),"○","×")</f>
        <v>×</v>
      </c>
      <c r="Z366" s="27" t="str">
        <f>IF(C366&lt;=_xll.RssMarket(A366,"年初来安値"),"○","×")</f>
        <v>○</v>
      </c>
    </row>
    <row r="367" spans="1:26" x14ac:dyDescent="0.25">
      <c r="A367" s="49">
        <v>3825</v>
      </c>
      <c r="B367" s="20" t="str">
        <f>_xll.RssMarket(A367,"銘柄名称")</f>
        <v>表示銘柄数超過</v>
      </c>
      <c r="C367" s="21" t="str">
        <f>_xll.RssMarket(A367,"現在値")</f>
        <v>表示銘柄数超過</v>
      </c>
      <c r="D367" s="20" t="str">
        <f>_xll.RssMarket(A367,"現在値詳細時刻")</f>
        <v>表示銘柄数超過</v>
      </c>
      <c r="E367" s="22" t="str">
        <f>_xll.RssMarket(A367,"前日比")</f>
        <v>表示銘柄数超過</v>
      </c>
      <c r="F367" s="23" t="e">
        <f>_xll.RssMarket(A367,"前日比率")/100</f>
        <v>#VALUE!</v>
      </c>
      <c r="G367" s="24" t="str">
        <f>IFERROR(VLOOKUP(A367,取得元!$A$2:$F$501,2,FALSE),"-")</f>
        <v>-</v>
      </c>
      <c r="H367" s="24" t="str">
        <f>IFERROR(VLOOKUP(A367,取得元!$A$2:$F$501,3,FALSE),"-")</f>
        <v>-</v>
      </c>
      <c r="I367" s="24" t="str">
        <f>IFERROR(VLOOKUP(A367,取得元!$A$2:$F$501,4,FALSE),"-")</f>
        <v>-</v>
      </c>
      <c r="J367" s="5" t="str">
        <f>IFERROR(VLOOKUP(A367,取得元!$A$2:$F$501,5,FALSE),"-")</f>
        <v>-</v>
      </c>
      <c r="K367" s="25" t="str">
        <f>IFERROR(VLOOKUP(A367,取得元!$A$2:$F$501,6,FALSE)/100,"-")</f>
        <v>-</v>
      </c>
      <c r="L367" s="21" t="str">
        <f>_xll.RssMarket(A367,"始値")</f>
        <v>表示銘柄数超過</v>
      </c>
      <c r="M367" s="4" t="e">
        <f t="shared" si="35"/>
        <v>#VALUE!</v>
      </c>
      <c r="N367" s="21" t="str">
        <f>_xll.RssMarket(A367,"高値")</f>
        <v>表示銘柄数超過</v>
      </c>
      <c r="O367" s="4" t="e">
        <f t="shared" si="36"/>
        <v>#VALUE!</v>
      </c>
      <c r="P367" s="21" t="str">
        <f>_xll.RssMarket(A367,"安値")</f>
        <v>表示銘柄数超過</v>
      </c>
      <c r="Q367" s="4" t="e">
        <f t="shared" si="37"/>
        <v>#VALUE!</v>
      </c>
      <c r="R367" s="21" t="str">
        <f>_xll.RssMarket(A367,"後場始値")</f>
        <v>表示銘柄数超過</v>
      </c>
      <c r="S367" s="25" t="str">
        <f t="shared" si="38"/>
        <v>-</v>
      </c>
      <c r="T367" s="7" t="str">
        <f>_xll.RssMarket(A367,"出来高加重平均")</f>
        <v>表示銘柄数超過</v>
      </c>
      <c r="U367" s="4" t="e">
        <f t="shared" si="39"/>
        <v>#VALUE!</v>
      </c>
      <c r="V367" s="21" t="str">
        <f>_xll.RssMarket(A367,"出来高")</f>
        <v>表示銘柄数超過</v>
      </c>
      <c r="W367" s="21" t="str">
        <f>_xll.RssMarket(A367,"売買代金")</f>
        <v>表示銘柄数超過</v>
      </c>
      <c r="X367" s="20" t="str">
        <f>_xll.RssMarket(A367,"決算発表日")</f>
        <v>表示銘柄数超過</v>
      </c>
      <c r="Y367" s="26" t="str">
        <f>IF(C367&gt;_xll.RssMarket(A367,"年初来高値"),"○","×")</f>
        <v>×</v>
      </c>
      <c r="Z367" s="27" t="str">
        <f>IF(C367&lt;=_xll.RssMarket(A367,"年初来安値"),"○","×")</f>
        <v>○</v>
      </c>
    </row>
    <row r="368" spans="1:26" x14ac:dyDescent="0.25">
      <c r="A368" s="47">
        <v>3826</v>
      </c>
      <c r="B368" s="20" t="str">
        <f>_xll.RssMarket(A368,"銘柄名称")</f>
        <v>表示銘柄数超過</v>
      </c>
      <c r="C368" s="21" t="str">
        <f>_xll.RssMarket(A368,"現在値")</f>
        <v>表示銘柄数超過</v>
      </c>
      <c r="D368" s="20" t="str">
        <f>_xll.RssMarket(A368,"現在値詳細時刻")</f>
        <v>表示銘柄数超過</v>
      </c>
      <c r="E368" s="22" t="str">
        <f>_xll.RssMarket(A368,"前日比")</f>
        <v>表示銘柄数超過</v>
      </c>
      <c r="F368" s="23" t="e">
        <f>_xll.RssMarket(A368,"前日比率")/100</f>
        <v>#VALUE!</v>
      </c>
      <c r="G368" s="24" t="str">
        <f>IFERROR(VLOOKUP(A368,取得元!$A$2:$F$501,2,FALSE),"-")</f>
        <v>-</v>
      </c>
      <c r="H368" s="24" t="str">
        <f>IFERROR(VLOOKUP(A368,取得元!$A$2:$F$501,3,FALSE),"-")</f>
        <v>-</v>
      </c>
      <c r="I368" s="24" t="str">
        <f>IFERROR(VLOOKUP(A368,取得元!$A$2:$F$501,4,FALSE),"-")</f>
        <v>-</v>
      </c>
      <c r="J368" s="5" t="str">
        <f>IFERROR(VLOOKUP(A368,取得元!$A$2:$F$501,5,FALSE),"-")</f>
        <v>-</v>
      </c>
      <c r="K368" s="25" t="str">
        <f>IFERROR(VLOOKUP(A368,取得元!$A$2:$F$501,6,FALSE)/100,"-")</f>
        <v>-</v>
      </c>
      <c r="L368" s="21" t="str">
        <f>_xll.RssMarket(A368,"始値")</f>
        <v>表示銘柄数超過</v>
      </c>
      <c r="M368" s="4" t="e">
        <f t="shared" si="35"/>
        <v>#VALUE!</v>
      </c>
      <c r="N368" s="21" t="str">
        <f>_xll.RssMarket(A368,"高値")</f>
        <v>表示銘柄数超過</v>
      </c>
      <c r="O368" s="4" t="e">
        <f t="shared" si="36"/>
        <v>#VALUE!</v>
      </c>
      <c r="P368" s="21" t="str">
        <f>_xll.RssMarket(A368,"安値")</f>
        <v>表示銘柄数超過</v>
      </c>
      <c r="Q368" s="4" t="e">
        <f t="shared" si="37"/>
        <v>#VALUE!</v>
      </c>
      <c r="R368" s="21" t="str">
        <f>_xll.RssMarket(A368,"後場始値")</f>
        <v>表示銘柄数超過</v>
      </c>
      <c r="S368" s="25" t="str">
        <f t="shared" si="38"/>
        <v>-</v>
      </c>
      <c r="T368" s="7" t="str">
        <f>_xll.RssMarket(A368,"出来高加重平均")</f>
        <v>表示銘柄数超過</v>
      </c>
      <c r="U368" s="4" t="e">
        <f t="shared" si="39"/>
        <v>#VALUE!</v>
      </c>
      <c r="V368" s="21" t="str">
        <f>_xll.RssMarket(A368,"出来高")</f>
        <v>表示銘柄数超過</v>
      </c>
      <c r="W368" s="21" t="str">
        <f>_xll.RssMarket(A368,"売買代金")</f>
        <v>表示銘柄数超過</v>
      </c>
      <c r="X368" s="20" t="str">
        <f>_xll.RssMarket(A368,"決算発表日")</f>
        <v>表示銘柄数超過</v>
      </c>
      <c r="Y368" s="26" t="str">
        <f>IF(C368&gt;_xll.RssMarket(A368,"年初来高値"),"○","×")</f>
        <v>×</v>
      </c>
      <c r="Z368" s="27" t="str">
        <f>IF(C368&lt;=_xll.RssMarket(A368,"年初来安値"),"○","×")</f>
        <v>○</v>
      </c>
    </row>
    <row r="369" spans="1:26" x14ac:dyDescent="0.25">
      <c r="A369" s="49">
        <v>3835</v>
      </c>
      <c r="B369" s="20" t="str">
        <f>_xll.RssMarket(A369,"銘柄名称")</f>
        <v>表示銘柄数超過</v>
      </c>
      <c r="C369" s="21" t="str">
        <f>_xll.RssMarket(A369,"現在値")</f>
        <v>表示銘柄数超過</v>
      </c>
      <c r="D369" s="20" t="str">
        <f>_xll.RssMarket(A369,"現在値詳細時刻")</f>
        <v>表示銘柄数超過</v>
      </c>
      <c r="E369" s="22" t="str">
        <f>_xll.RssMarket(A369,"前日比")</f>
        <v>表示銘柄数超過</v>
      </c>
      <c r="F369" s="23" t="e">
        <f>_xll.RssMarket(A369,"前日比率")/100</f>
        <v>#VALUE!</v>
      </c>
      <c r="G369" s="24" t="str">
        <f>IFERROR(VLOOKUP(A369,取得元!$A$2:$F$501,2,FALSE),"-")</f>
        <v>-</v>
      </c>
      <c r="H369" s="24" t="str">
        <f>IFERROR(VLOOKUP(A369,取得元!$A$2:$F$501,3,FALSE),"-")</f>
        <v>-</v>
      </c>
      <c r="I369" s="24" t="str">
        <f>IFERROR(VLOOKUP(A369,取得元!$A$2:$F$501,4,FALSE),"-")</f>
        <v>-</v>
      </c>
      <c r="J369" s="5" t="str">
        <f>IFERROR(VLOOKUP(A369,取得元!$A$2:$F$501,5,FALSE),"-")</f>
        <v>-</v>
      </c>
      <c r="K369" s="25" t="str">
        <f>IFERROR(VLOOKUP(A369,取得元!$A$2:$F$501,6,FALSE)/100,"-")</f>
        <v>-</v>
      </c>
      <c r="L369" s="21" t="str">
        <f>_xll.RssMarket(A369,"始値")</f>
        <v>表示銘柄数超過</v>
      </c>
      <c r="M369" s="4" t="e">
        <f t="shared" si="35"/>
        <v>#VALUE!</v>
      </c>
      <c r="N369" s="21" t="str">
        <f>_xll.RssMarket(A369,"高値")</f>
        <v>表示銘柄数超過</v>
      </c>
      <c r="O369" s="4" t="e">
        <f t="shared" si="36"/>
        <v>#VALUE!</v>
      </c>
      <c r="P369" s="21" t="str">
        <f>_xll.RssMarket(A369,"安値")</f>
        <v>表示銘柄数超過</v>
      </c>
      <c r="Q369" s="4" t="e">
        <f t="shared" si="37"/>
        <v>#VALUE!</v>
      </c>
      <c r="R369" s="21" t="str">
        <f>_xll.RssMarket(A369,"後場始値")</f>
        <v>表示銘柄数超過</v>
      </c>
      <c r="S369" s="25" t="str">
        <f t="shared" si="38"/>
        <v>-</v>
      </c>
      <c r="T369" s="7" t="str">
        <f>_xll.RssMarket(A369,"出来高加重平均")</f>
        <v>表示銘柄数超過</v>
      </c>
      <c r="U369" s="4" t="e">
        <f t="shared" si="39"/>
        <v>#VALUE!</v>
      </c>
      <c r="V369" s="21" t="str">
        <f>_xll.RssMarket(A369,"出来高")</f>
        <v>表示銘柄数超過</v>
      </c>
      <c r="W369" s="21" t="str">
        <f>_xll.RssMarket(A369,"売買代金")</f>
        <v>表示銘柄数超過</v>
      </c>
      <c r="X369" s="20" t="str">
        <f>_xll.RssMarket(A369,"決算発表日")</f>
        <v>表示銘柄数超過</v>
      </c>
      <c r="Y369" s="26" t="str">
        <f>IF(C369&gt;_xll.RssMarket(A369,"年初来高値"),"○","×")</f>
        <v>×</v>
      </c>
      <c r="Z369" s="27" t="str">
        <f>IF(C369&lt;=_xll.RssMarket(A369,"年初来安値"),"○","×")</f>
        <v>○</v>
      </c>
    </row>
    <row r="370" spans="1:26" x14ac:dyDescent="0.25">
      <c r="A370" s="47">
        <v>3840</v>
      </c>
      <c r="B370" s="20" t="str">
        <f>_xll.RssMarket(A370,"銘柄名称")</f>
        <v>表示銘柄数超過</v>
      </c>
      <c r="C370" s="21" t="str">
        <f>_xll.RssMarket(A370,"現在値")</f>
        <v>表示銘柄数超過</v>
      </c>
      <c r="D370" s="20" t="str">
        <f>_xll.RssMarket(A370,"現在値詳細時刻")</f>
        <v>表示銘柄数超過</v>
      </c>
      <c r="E370" s="22" t="str">
        <f>_xll.RssMarket(A370,"前日比")</f>
        <v>表示銘柄数超過</v>
      </c>
      <c r="F370" s="23" t="e">
        <f>_xll.RssMarket(A370,"前日比率")/100</f>
        <v>#VALUE!</v>
      </c>
      <c r="G370" s="24" t="str">
        <f>IFERROR(VLOOKUP(A370,取得元!$A$2:$F$501,2,FALSE),"-")</f>
        <v>-</v>
      </c>
      <c r="H370" s="24" t="str">
        <f>IFERROR(VLOOKUP(A370,取得元!$A$2:$F$501,3,FALSE),"-")</f>
        <v>-</v>
      </c>
      <c r="I370" s="24" t="str">
        <f>IFERROR(VLOOKUP(A370,取得元!$A$2:$F$501,4,FALSE),"-")</f>
        <v>-</v>
      </c>
      <c r="J370" s="5" t="str">
        <f>IFERROR(VLOOKUP(A370,取得元!$A$2:$F$501,5,FALSE),"-")</f>
        <v>-</v>
      </c>
      <c r="K370" s="25" t="str">
        <f>IFERROR(VLOOKUP(A370,取得元!$A$2:$F$501,6,FALSE)/100,"-")</f>
        <v>-</v>
      </c>
      <c r="L370" s="21" t="str">
        <f>_xll.RssMarket(A370,"始値")</f>
        <v>表示銘柄数超過</v>
      </c>
      <c r="M370" s="4" t="e">
        <f t="shared" si="35"/>
        <v>#VALUE!</v>
      </c>
      <c r="N370" s="21" t="str">
        <f>_xll.RssMarket(A370,"高値")</f>
        <v>表示銘柄数超過</v>
      </c>
      <c r="O370" s="4" t="e">
        <f t="shared" si="36"/>
        <v>#VALUE!</v>
      </c>
      <c r="P370" s="21" t="str">
        <f>_xll.RssMarket(A370,"安値")</f>
        <v>表示銘柄数超過</v>
      </c>
      <c r="Q370" s="4" t="e">
        <f t="shared" si="37"/>
        <v>#VALUE!</v>
      </c>
      <c r="R370" s="21" t="str">
        <f>_xll.RssMarket(A370,"後場始値")</f>
        <v>表示銘柄数超過</v>
      </c>
      <c r="S370" s="25" t="str">
        <f t="shared" si="38"/>
        <v>-</v>
      </c>
      <c r="T370" s="7" t="str">
        <f>_xll.RssMarket(A370,"出来高加重平均")</f>
        <v>表示銘柄数超過</v>
      </c>
      <c r="U370" s="4" t="e">
        <f t="shared" si="39"/>
        <v>#VALUE!</v>
      </c>
      <c r="V370" s="21" t="str">
        <f>_xll.RssMarket(A370,"出来高")</f>
        <v>表示銘柄数超過</v>
      </c>
      <c r="W370" s="21" t="str">
        <f>_xll.RssMarket(A370,"売買代金")</f>
        <v>表示銘柄数超過</v>
      </c>
      <c r="X370" s="20" t="str">
        <f>_xll.RssMarket(A370,"決算発表日")</f>
        <v>表示銘柄数超過</v>
      </c>
      <c r="Y370" s="26" t="str">
        <f>IF(C370&gt;_xll.RssMarket(A370,"年初来高値"),"○","×")</f>
        <v>×</v>
      </c>
      <c r="Z370" s="27" t="str">
        <f>IF(C370&lt;=_xll.RssMarket(A370,"年初来安値"),"○","×")</f>
        <v>○</v>
      </c>
    </row>
    <row r="371" spans="1:26" x14ac:dyDescent="0.25">
      <c r="A371" s="49">
        <v>3842</v>
      </c>
      <c r="B371" s="20" t="str">
        <f>_xll.RssMarket(A371,"銘柄名称")</f>
        <v>表示銘柄数超過</v>
      </c>
      <c r="C371" s="21" t="str">
        <f>_xll.RssMarket(A371,"現在値")</f>
        <v>表示銘柄数超過</v>
      </c>
      <c r="D371" s="20" t="str">
        <f>_xll.RssMarket(A371,"現在値詳細時刻")</f>
        <v>表示銘柄数超過</v>
      </c>
      <c r="E371" s="22" t="str">
        <f>_xll.RssMarket(A371,"前日比")</f>
        <v>表示銘柄数超過</v>
      </c>
      <c r="F371" s="23" t="e">
        <f>_xll.RssMarket(A371,"前日比率")/100</f>
        <v>#VALUE!</v>
      </c>
      <c r="G371" s="24" t="str">
        <f>IFERROR(VLOOKUP(A371,取得元!$A$2:$F$501,2,FALSE),"-")</f>
        <v>-</v>
      </c>
      <c r="H371" s="24" t="str">
        <f>IFERROR(VLOOKUP(A371,取得元!$A$2:$F$501,3,FALSE),"-")</f>
        <v>-</v>
      </c>
      <c r="I371" s="24" t="str">
        <f>IFERROR(VLOOKUP(A371,取得元!$A$2:$F$501,4,FALSE),"-")</f>
        <v>-</v>
      </c>
      <c r="J371" s="5" t="str">
        <f>IFERROR(VLOOKUP(A371,取得元!$A$2:$F$501,5,FALSE),"-")</f>
        <v>-</v>
      </c>
      <c r="K371" s="25" t="str">
        <f>IFERROR(VLOOKUP(A371,取得元!$A$2:$F$501,6,FALSE)/100,"-")</f>
        <v>-</v>
      </c>
      <c r="L371" s="21" t="str">
        <f>_xll.RssMarket(A371,"始値")</f>
        <v>表示銘柄数超過</v>
      </c>
      <c r="M371" s="4" t="e">
        <f t="shared" si="35"/>
        <v>#VALUE!</v>
      </c>
      <c r="N371" s="21" t="str">
        <f>_xll.RssMarket(A371,"高値")</f>
        <v>表示銘柄数超過</v>
      </c>
      <c r="O371" s="4" t="e">
        <f t="shared" si="36"/>
        <v>#VALUE!</v>
      </c>
      <c r="P371" s="21" t="str">
        <f>_xll.RssMarket(A371,"安値")</f>
        <v>表示銘柄数超過</v>
      </c>
      <c r="Q371" s="4" t="e">
        <f t="shared" si="37"/>
        <v>#VALUE!</v>
      </c>
      <c r="R371" s="21" t="str">
        <f>_xll.RssMarket(A371,"後場始値")</f>
        <v>表示銘柄数超過</v>
      </c>
      <c r="S371" s="25" t="str">
        <f t="shared" si="38"/>
        <v>-</v>
      </c>
      <c r="T371" s="7" t="str">
        <f>_xll.RssMarket(A371,"出来高加重平均")</f>
        <v>表示銘柄数超過</v>
      </c>
      <c r="U371" s="4" t="e">
        <f t="shared" si="39"/>
        <v>#VALUE!</v>
      </c>
      <c r="V371" s="21" t="str">
        <f>_xll.RssMarket(A371,"出来高")</f>
        <v>表示銘柄数超過</v>
      </c>
      <c r="W371" s="21" t="str">
        <f>_xll.RssMarket(A371,"売買代金")</f>
        <v>表示銘柄数超過</v>
      </c>
      <c r="X371" s="20" t="str">
        <f>_xll.RssMarket(A371,"決算発表日")</f>
        <v>表示銘柄数超過</v>
      </c>
      <c r="Y371" s="26" t="str">
        <f>IF(C371&gt;_xll.RssMarket(A371,"年初来高値"),"○","×")</f>
        <v>×</v>
      </c>
      <c r="Z371" s="27" t="str">
        <f>IF(C371&lt;=_xll.RssMarket(A371,"年初来安値"),"○","×")</f>
        <v>○</v>
      </c>
    </row>
    <row r="372" spans="1:26" x14ac:dyDescent="0.25">
      <c r="A372" s="47">
        <v>3845</v>
      </c>
      <c r="B372" s="20" t="str">
        <f>_xll.RssMarket(A372,"銘柄名称")</f>
        <v>表示銘柄数超過</v>
      </c>
      <c r="C372" s="21" t="str">
        <f>_xll.RssMarket(A372,"現在値")</f>
        <v>表示銘柄数超過</v>
      </c>
      <c r="D372" s="20" t="str">
        <f>_xll.RssMarket(A372,"現在値詳細時刻")</f>
        <v>表示銘柄数超過</v>
      </c>
      <c r="E372" s="22" t="str">
        <f>_xll.RssMarket(A372,"前日比")</f>
        <v>表示銘柄数超過</v>
      </c>
      <c r="F372" s="23" t="e">
        <f>_xll.RssMarket(A372,"前日比率")/100</f>
        <v>#VALUE!</v>
      </c>
      <c r="G372" s="24" t="str">
        <f>IFERROR(VLOOKUP(A372,取得元!$A$2:$F$501,2,FALSE),"-")</f>
        <v>-</v>
      </c>
      <c r="H372" s="24" t="str">
        <f>IFERROR(VLOOKUP(A372,取得元!$A$2:$F$501,3,FALSE),"-")</f>
        <v>-</v>
      </c>
      <c r="I372" s="24" t="str">
        <f>IFERROR(VLOOKUP(A372,取得元!$A$2:$F$501,4,FALSE),"-")</f>
        <v>-</v>
      </c>
      <c r="J372" s="5" t="str">
        <f>IFERROR(VLOOKUP(A372,取得元!$A$2:$F$501,5,FALSE),"-")</f>
        <v>-</v>
      </c>
      <c r="K372" s="25" t="str">
        <f>IFERROR(VLOOKUP(A372,取得元!$A$2:$F$501,6,FALSE)/100,"-")</f>
        <v>-</v>
      </c>
      <c r="L372" s="21" t="str">
        <f>_xll.RssMarket(A372,"始値")</f>
        <v>表示銘柄数超過</v>
      </c>
      <c r="M372" s="4" t="e">
        <f t="shared" si="35"/>
        <v>#VALUE!</v>
      </c>
      <c r="N372" s="21" t="str">
        <f>_xll.RssMarket(A372,"高値")</f>
        <v>表示銘柄数超過</v>
      </c>
      <c r="O372" s="4" t="e">
        <f t="shared" si="36"/>
        <v>#VALUE!</v>
      </c>
      <c r="P372" s="21" t="str">
        <f>_xll.RssMarket(A372,"安値")</f>
        <v>表示銘柄数超過</v>
      </c>
      <c r="Q372" s="4" t="e">
        <f t="shared" si="37"/>
        <v>#VALUE!</v>
      </c>
      <c r="R372" s="21" t="str">
        <f>_xll.RssMarket(A372,"後場始値")</f>
        <v>表示銘柄数超過</v>
      </c>
      <c r="S372" s="25" t="str">
        <f t="shared" si="38"/>
        <v>-</v>
      </c>
      <c r="T372" s="7" t="str">
        <f>_xll.RssMarket(A372,"出来高加重平均")</f>
        <v>表示銘柄数超過</v>
      </c>
      <c r="U372" s="4" t="e">
        <f t="shared" si="39"/>
        <v>#VALUE!</v>
      </c>
      <c r="V372" s="21" t="str">
        <f>_xll.RssMarket(A372,"出来高")</f>
        <v>表示銘柄数超過</v>
      </c>
      <c r="W372" s="21" t="str">
        <f>_xll.RssMarket(A372,"売買代金")</f>
        <v>表示銘柄数超過</v>
      </c>
      <c r="X372" s="20" t="str">
        <f>_xll.RssMarket(A372,"決算発表日")</f>
        <v>表示銘柄数超過</v>
      </c>
      <c r="Y372" s="26" t="str">
        <f>IF(C372&gt;_xll.RssMarket(A372,"年初来高値"),"○","×")</f>
        <v>×</v>
      </c>
      <c r="Z372" s="27" t="str">
        <f>IF(C372&lt;=_xll.RssMarket(A372,"年初来安値"),"○","×")</f>
        <v>○</v>
      </c>
    </row>
    <row r="373" spans="1:26" x14ac:dyDescent="0.25">
      <c r="A373" s="49">
        <v>3850</v>
      </c>
      <c r="B373" s="20" t="str">
        <f>_xll.RssMarket(A373,"銘柄名称")</f>
        <v>表示銘柄数超過</v>
      </c>
      <c r="C373" s="21" t="str">
        <f>_xll.RssMarket(A373,"現在値")</f>
        <v>表示銘柄数超過</v>
      </c>
      <c r="D373" s="20" t="str">
        <f>_xll.RssMarket(A373,"現在値詳細時刻")</f>
        <v>表示銘柄数超過</v>
      </c>
      <c r="E373" s="22" t="str">
        <f>_xll.RssMarket(A373,"前日比")</f>
        <v>表示銘柄数超過</v>
      </c>
      <c r="F373" s="23" t="e">
        <f>_xll.RssMarket(A373,"前日比率")/100</f>
        <v>#VALUE!</v>
      </c>
      <c r="G373" s="24" t="str">
        <f>IFERROR(VLOOKUP(A373,取得元!$A$2:$F$501,2,FALSE),"-")</f>
        <v>-</v>
      </c>
      <c r="H373" s="24" t="str">
        <f>IFERROR(VLOOKUP(A373,取得元!$A$2:$F$501,3,FALSE),"-")</f>
        <v>-</v>
      </c>
      <c r="I373" s="24" t="str">
        <f>IFERROR(VLOOKUP(A373,取得元!$A$2:$F$501,4,FALSE),"-")</f>
        <v>-</v>
      </c>
      <c r="J373" s="5" t="str">
        <f>IFERROR(VLOOKUP(A373,取得元!$A$2:$F$501,5,FALSE),"-")</f>
        <v>-</v>
      </c>
      <c r="K373" s="25" t="str">
        <f>IFERROR(VLOOKUP(A373,取得元!$A$2:$F$501,6,FALSE)/100,"-")</f>
        <v>-</v>
      </c>
      <c r="L373" s="21" t="str">
        <f>_xll.RssMarket(A373,"始値")</f>
        <v>表示銘柄数超過</v>
      </c>
      <c r="M373" s="4" t="e">
        <f t="shared" si="35"/>
        <v>#VALUE!</v>
      </c>
      <c r="N373" s="21" t="str">
        <f>_xll.RssMarket(A373,"高値")</f>
        <v>表示銘柄数超過</v>
      </c>
      <c r="O373" s="4" t="e">
        <f t="shared" si="36"/>
        <v>#VALUE!</v>
      </c>
      <c r="P373" s="21" t="str">
        <f>_xll.RssMarket(A373,"安値")</f>
        <v>表示銘柄数超過</v>
      </c>
      <c r="Q373" s="4" t="e">
        <f t="shared" si="37"/>
        <v>#VALUE!</v>
      </c>
      <c r="R373" s="21" t="str">
        <f>_xll.RssMarket(A373,"後場始値")</f>
        <v>表示銘柄数超過</v>
      </c>
      <c r="S373" s="25" t="str">
        <f t="shared" si="38"/>
        <v>-</v>
      </c>
      <c r="T373" s="7" t="str">
        <f>_xll.RssMarket(A373,"出来高加重平均")</f>
        <v>表示銘柄数超過</v>
      </c>
      <c r="U373" s="4" t="e">
        <f t="shared" si="39"/>
        <v>#VALUE!</v>
      </c>
      <c r="V373" s="21" t="str">
        <f>_xll.RssMarket(A373,"出来高")</f>
        <v>表示銘柄数超過</v>
      </c>
      <c r="W373" s="21" t="str">
        <f>_xll.RssMarket(A373,"売買代金")</f>
        <v>表示銘柄数超過</v>
      </c>
      <c r="X373" s="20" t="str">
        <f>_xll.RssMarket(A373,"決算発表日")</f>
        <v>表示銘柄数超過</v>
      </c>
      <c r="Y373" s="26" t="str">
        <f>IF(C373&gt;_xll.RssMarket(A373,"年初来高値"),"○","×")</f>
        <v>×</v>
      </c>
      <c r="Z373" s="27" t="str">
        <f>IF(C373&lt;=_xll.RssMarket(A373,"年初来安値"),"○","×")</f>
        <v>○</v>
      </c>
    </row>
    <row r="374" spans="1:26" x14ac:dyDescent="0.25">
      <c r="A374" s="47">
        <v>3851</v>
      </c>
      <c r="B374" s="20" t="str">
        <f>_xll.RssMarket(A374,"銘柄名称")</f>
        <v>表示銘柄数超過</v>
      </c>
      <c r="C374" s="21" t="str">
        <f>_xll.RssMarket(A374,"現在値")</f>
        <v>表示銘柄数超過</v>
      </c>
      <c r="D374" s="20" t="str">
        <f>_xll.RssMarket(A374,"現在値詳細時刻")</f>
        <v>表示銘柄数超過</v>
      </c>
      <c r="E374" s="22" t="str">
        <f>_xll.RssMarket(A374,"前日比")</f>
        <v>表示銘柄数超過</v>
      </c>
      <c r="F374" s="23" t="e">
        <f>_xll.RssMarket(A374,"前日比率")/100</f>
        <v>#VALUE!</v>
      </c>
      <c r="G374" s="24" t="str">
        <f>IFERROR(VLOOKUP(A374,取得元!$A$2:$F$501,2,FALSE),"-")</f>
        <v>-</v>
      </c>
      <c r="H374" s="24" t="str">
        <f>IFERROR(VLOOKUP(A374,取得元!$A$2:$F$501,3,FALSE),"-")</f>
        <v>-</v>
      </c>
      <c r="I374" s="24" t="str">
        <f>IFERROR(VLOOKUP(A374,取得元!$A$2:$F$501,4,FALSE),"-")</f>
        <v>-</v>
      </c>
      <c r="J374" s="5" t="str">
        <f>IFERROR(VLOOKUP(A374,取得元!$A$2:$F$501,5,FALSE),"-")</f>
        <v>-</v>
      </c>
      <c r="K374" s="25" t="str">
        <f>IFERROR(VLOOKUP(A374,取得元!$A$2:$F$501,6,FALSE)/100,"-")</f>
        <v>-</v>
      </c>
      <c r="L374" s="21" t="str">
        <f>_xll.RssMarket(A374,"始値")</f>
        <v>表示銘柄数超過</v>
      </c>
      <c r="M374" s="4" t="e">
        <f t="shared" si="35"/>
        <v>#VALUE!</v>
      </c>
      <c r="N374" s="21" t="str">
        <f>_xll.RssMarket(A374,"高値")</f>
        <v>表示銘柄数超過</v>
      </c>
      <c r="O374" s="4" t="e">
        <f t="shared" si="36"/>
        <v>#VALUE!</v>
      </c>
      <c r="P374" s="21" t="str">
        <f>_xll.RssMarket(A374,"安値")</f>
        <v>表示銘柄数超過</v>
      </c>
      <c r="Q374" s="4" t="e">
        <f t="shared" si="37"/>
        <v>#VALUE!</v>
      </c>
      <c r="R374" s="21" t="str">
        <f>_xll.RssMarket(A374,"後場始値")</f>
        <v>表示銘柄数超過</v>
      </c>
      <c r="S374" s="25" t="str">
        <f t="shared" si="38"/>
        <v>-</v>
      </c>
      <c r="T374" s="7" t="str">
        <f>_xll.RssMarket(A374,"出来高加重平均")</f>
        <v>表示銘柄数超過</v>
      </c>
      <c r="U374" s="4" t="e">
        <f t="shared" si="39"/>
        <v>#VALUE!</v>
      </c>
      <c r="V374" s="21" t="str">
        <f>_xll.RssMarket(A374,"出来高")</f>
        <v>表示銘柄数超過</v>
      </c>
      <c r="W374" s="21" t="str">
        <f>_xll.RssMarket(A374,"売買代金")</f>
        <v>表示銘柄数超過</v>
      </c>
      <c r="X374" s="20" t="str">
        <f>_xll.RssMarket(A374,"決算発表日")</f>
        <v>表示銘柄数超過</v>
      </c>
      <c r="Y374" s="26" t="str">
        <f>IF(C374&gt;_xll.RssMarket(A374,"年初来高値"),"○","×")</f>
        <v>×</v>
      </c>
      <c r="Z374" s="27" t="str">
        <f>IF(C374&lt;=_xll.RssMarket(A374,"年初来安値"),"○","×")</f>
        <v>○</v>
      </c>
    </row>
    <row r="375" spans="1:26" x14ac:dyDescent="0.25">
      <c r="A375" s="49">
        <v>3852</v>
      </c>
      <c r="B375" s="20" t="str">
        <f>_xll.RssMarket(A375,"銘柄名称")</f>
        <v>表示銘柄数超過</v>
      </c>
      <c r="C375" s="21" t="str">
        <f>_xll.RssMarket(A375,"現在値")</f>
        <v>表示銘柄数超過</v>
      </c>
      <c r="D375" s="20" t="str">
        <f>_xll.RssMarket(A375,"現在値詳細時刻")</f>
        <v>表示銘柄数超過</v>
      </c>
      <c r="E375" s="22" t="str">
        <f>_xll.RssMarket(A375,"前日比")</f>
        <v>表示銘柄数超過</v>
      </c>
      <c r="F375" s="23" t="e">
        <f>_xll.RssMarket(A375,"前日比率")/100</f>
        <v>#VALUE!</v>
      </c>
      <c r="G375" s="24" t="str">
        <f>IFERROR(VLOOKUP(A375,取得元!$A$2:$F$501,2,FALSE),"-")</f>
        <v>-</v>
      </c>
      <c r="H375" s="24" t="str">
        <f>IFERROR(VLOOKUP(A375,取得元!$A$2:$F$501,3,FALSE),"-")</f>
        <v>-</v>
      </c>
      <c r="I375" s="24" t="str">
        <f>IFERROR(VLOOKUP(A375,取得元!$A$2:$F$501,4,FALSE),"-")</f>
        <v>-</v>
      </c>
      <c r="J375" s="5" t="str">
        <f>IFERROR(VLOOKUP(A375,取得元!$A$2:$F$501,5,FALSE),"-")</f>
        <v>-</v>
      </c>
      <c r="K375" s="25" t="str">
        <f>IFERROR(VLOOKUP(A375,取得元!$A$2:$F$501,6,FALSE)/100,"-")</f>
        <v>-</v>
      </c>
      <c r="L375" s="21" t="str">
        <f>_xll.RssMarket(A375,"始値")</f>
        <v>表示銘柄数超過</v>
      </c>
      <c r="M375" s="4" t="e">
        <f t="shared" si="35"/>
        <v>#VALUE!</v>
      </c>
      <c r="N375" s="21" t="str">
        <f>_xll.RssMarket(A375,"高値")</f>
        <v>表示銘柄数超過</v>
      </c>
      <c r="O375" s="4" t="e">
        <f t="shared" si="36"/>
        <v>#VALUE!</v>
      </c>
      <c r="P375" s="21" t="str">
        <f>_xll.RssMarket(A375,"安値")</f>
        <v>表示銘柄数超過</v>
      </c>
      <c r="Q375" s="4" t="e">
        <f t="shared" si="37"/>
        <v>#VALUE!</v>
      </c>
      <c r="R375" s="21" t="str">
        <f>_xll.RssMarket(A375,"後場始値")</f>
        <v>表示銘柄数超過</v>
      </c>
      <c r="S375" s="25" t="str">
        <f t="shared" si="38"/>
        <v>-</v>
      </c>
      <c r="T375" s="7" t="str">
        <f>_xll.RssMarket(A375,"出来高加重平均")</f>
        <v>表示銘柄数超過</v>
      </c>
      <c r="U375" s="4" t="e">
        <f t="shared" si="39"/>
        <v>#VALUE!</v>
      </c>
      <c r="V375" s="21" t="str">
        <f>_xll.RssMarket(A375,"出来高")</f>
        <v>表示銘柄数超過</v>
      </c>
      <c r="W375" s="21" t="str">
        <f>_xll.RssMarket(A375,"売買代金")</f>
        <v>表示銘柄数超過</v>
      </c>
      <c r="X375" s="20" t="str">
        <f>_xll.RssMarket(A375,"決算発表日")</f>
        <v>表示銘柄数超過</v>
      </c>
      <c r="Y375" s="26" t="str">
        <f>IF(C375&gt;_xll.RssMarket(A375,"年初来高値"),"○","×")</f>
        <v>×</v>
      </c>
      <c r="Z375" s="27" t="str">
        <f>IF(C375&lt;=_xll.RssMarket(A375,"年初来安値"),"○","×")</f>
        <v>○</v>
      </c>
    </row>
    <row r="376" spans="1:26" x14ac:dyDescent="0.25">
      <c r="A376" s="47">
        <v>3853</v>
      </c>
      <c r="B376" s="20" t="str">
        <f>_xll.RssMarket(A376,"銘柄名称")</f>
        <v>表示銘柄数超過</v>
      </c>
      <c r="C376" s="21" t="str">
        <f>_xll.RssMarket(A376,"現在値")</f>
        <v>表示銘柄数超過</v>
      </c>
      <c r="D376" s="20" t="str">
        <f>_xll.RssMarket(A376,"現在値詳細時刻")</f>
        <v>表示銘柄数超過</v>
      </c>
      <c r="E376" s="22" t="str">
        <f>_xll.RssMarket(A376,"前日比")</f>
        <v>表示銘柄数超過</v>
      </c>
      <c r="F376" s="23" t="e">
        <f>_xll.RssMarket(A376,"前日比率")/100</f>
        <v>#VALUE!</v>
      </c>
      <c r="G376" s="24" t="str">
        <f>IFERROR(VLOOKUP(A376,取得元!$A$2:$F$501,2,FALSE),"-")</f>
        <v>-</v>
      </c>
      <c r="H376" s="24" t="str">
        <f>IFERROR(VLOOKUP(A376,取得元!$A$2:$F$501,3,FALSE),"-")</f>
        <v>-</v>
      </c>
      <c r="I376" s="24" t="str">
        <f>IFERROR(VLOOKUP(A376,取得元!$A$2:$F$501,4,FALSE),"-")</f>
        <v>-</v>
      </c>
      <c r="J376" s="5" t="str">
        <f>IFERROR(VLOOKUP(A376,取得元!$A$2:$F$501,5,FALSE),"-")</f>
        <v>-</v>
      </c>
      <c r="K376" s="25" t="str">
        <f>IFERROR(VLOOKUP(A376,取得元!$A$2:$F$501,6,FALSE)/100,"-")</f>
        <v>-</v>
      </c>
      <c r="L376" s="21" t="str">
        <f>_xll.RssMarket(A376,"始値")</f>
        <v>表示銘柄数超過</v>
      </c>
      <c r="M376" s="4" t="e">
        <f t="shared" si="35"/>
        <v>#VALUE!</v>
      </c>
      <c r="N376" s="21" t="str">
        <f>_xll.RssMarket(A376,"高値")</f>
        <v>表示銘柄数超過</v>
      </c>
      <c r="O376" s="4" t="e">
        <f t="shared" si="36"/>
        <v>#VALUE!</v>
      </c>
      <c r="P376" s="21" t="str">
        <f>_xll.RssMarket(A376,"安値")</f>
        <v>表示銘柄数超過</v>
      </c>
      <c r="Q376" s="4" t="e">
        <f t="shared" si="37"/>
        <v>#VALUE!</v>
      </c>
      <c r="R376" s="21" t="str">
        <f>_xll.RssMarket(A376,"後場始値")</f>
        <v>表示銘柄数超過</v>
      </c>
      <c r="S376" s="25" t="str">
        <f t="shared" si="38"/>
        <v>-</v>
      </c>
      <c r="T376" s="7" t="str">
        <f>_xll.RssMarket(A376,"出来高加重平均")</f>
        <v>表示銘柄数超過</v>
      </c>
      <c r="U376" s="4" t="e">
        <f t="shared" si="39"/>
        <v>#VALUE!</v>
      </c>
      <c r="V376" s="21" t="str">
        <f>_xll.RssMarket(A376,"出来高")</f>
        <v>表示銘柄数超過</v>
      </c>
      <c r="W376" s="21" t="str">
        <f>_xll.RssMarket(A376,"売買代金")</f>
        <v>表示銘柄数超過</v>
      </c>
      <c r="X376" s="20" t="str">
        <f>_xll.RssMarket(A376,"決算発表日")</f>
        <v>表示銘柄数超過</v>
      </c>
      <c r="Y376" s="26" t="str">
        <f>IF(C376&gt;_xll.RssMarket(A376,"年初来高値"),"○","×")</f>
        <v>×</v>
      </c>
      <c r="Z376" s="27" t="str">
        <f>IF(C376&lt;=_xll.RssMarket(A376,"年初来安値"),"○","×")</f>
        <v>○</v>
      </c>
    </row>
    <row r="377" spans="1:26" x14ac:dyDescent="0.25">
      <c r="A377" s="49">
        <v>3856</v>
      </c>
      <c r="B377" s="20" t="str">
        <f>_xll.RssMarket(A377,"銘柄名称")</f>
        <v>表示銘柄数超過</v>
      </c>
      <c r="C377" s="21" t="str">
        <f>_xll.RssMarket(A377,"現在値")</f>
        <v>表示銘柄数超過</v>
      </c>
      <c r="D377" s="20" t="str">
        <f>_xll.RssMarket(A377,"現在値詳細時刻")</f>
        <v>表示銘柄数超過</v>
      </c>
      <c r="E377" s="22" t="str">
        <f>_xll.RssMarket(A377,"前日比")</f>
        <v>表示銘柄数超過</v>
      </c>
      <c r="F377" s="23" t="e">
        <f>_xll.RssMarket(A377,"前日比率")/100</f>
        <v>#VALUE!</v>
      </c>
      <c r="G377" s="24" t="str">
        <f>IFERROR(VLOOKUP(A377,取得元!$A$2:$F$501,2,FALSE),"-")</f>
        <v>-</v>
      </c>
      <c r="H377" s="24" t="str">
        <f>IFERROR(VLOOKUP(A377,取得元!$A$2:$F$501,3,FALSE),"-")</f>
        <v>-</v>
      </c>
      <c r="I377" s="24" t="str">
        <f>IFERROR(VLOOKUP(A377,取得元!$A$2:$F$501,4,FALSE),"-")</f>
        <v>-</v>
      </c>
      <c r="J377" s="5" t="str">
        <f>IFERROR(VLOOKUP(A377,取得元!$A$2:$F$501,5,FALSE),"-")</f>
        <v>-</v>
      </c>
      <c r="K377" s="25" t="str">
        <f>IFERROR(VLOOKUP(A377,取得元!$A$2:$F$501,6,FALSE)/100,"-")</f>
        <v>-</v>
      </c>
      <c r="L377" s="21" t="str">
        <f>_xll.RssMarket(A377,"始値")</f>
        <v>表示銘柄数超過</v>
      </c>
      <c r="M377" s="4" t="e">
        <f t="shared" si="35"/>
        <v>#VALUE!</v>
      </c>
      <c r="N377" s="21" t="str">
        <f>_xll.RssMarket(A377,"高値")</f>
        <v>表示銘柄数超過</v>
      </c>
      <c r="O377" s="4" t="e">
        <f t="shared" si="36"/>
        <v>#VALUE!</v>
      </c>
      <c r="P377" s="21" t="str">
        <f>_xll.RssMarket(A377,"安値")</f>
        <v>表示銘柄数超過</v>
      </c>
      <c r="Q377" s="4" t="e">
        <f t="shared" si="37"/>
        <v>#VALUE!</v>
      </c>
      <c r="R377" s="21" t="str">
        <f>_xll.RssMarket(A377,"後場始値")</f>
        <v>表示銘柄数超過</v>
      </c>
      <c r="S377" s="25" t="str">
        <f t="shared" si="38"/>
        <v>-</v>
      </c>
      <c r="T377" s="7" t="str">
        <f>_xll.RssMarket(A377,"出来高加重平均")</f>
        <v>表示銘柄数超過</v>
      </c>
      <c r="U377" s="4" t="e">
        <f t="shared" si="39"/>
        <v>#VALUE!</v>
      </c>
      <c r="V377" s="21" t="str">
        <f>_xll.RssMarket(A377,"出来高")</f>
        <v>表示銘柄数超過</v>
      </c>
      <c r="W377" s="21" t="str">
        <f>_xll.RssMarket(A377,"売買代金")</f>
        <v>表示銘柄数超過</v>
      </c>
      <c r="X377" s="20" t="str">
        <f>_xll.RssMarket(A377,"決算発表日")</f>
        <v>表示銘柄数超過</v>
      </c>
      <c r="Y377" s="26" t="str">
        <f>IF(C377&gt;_xll.RssMarket(A377,"年初来高値"),"○","×")</f>
        <v>×</v>
      </c>
      <c r="Z377" s="27" t="str">
        <f>IF(C377&lt;=_xll.RssMarket(A377,"年初来安値"),"○","×")</f>
        <v>○</v>
      </c>
    </row>
    <row r="378" spans="1:26" x14ac:dyDescent="0.25">
      <c r="A378" s="47">
        <v>3858</v>
      </c>
      <c r="B378" s="20" t="str">
        <f>_xll.RssMarket(A378,"銘柄名称")</f>
        <v>表示銘柄数超過</v>
      </c>
      <c r="C378" s="21" t="str">
        <f>_xll.RssMarket(A378,"現在値")</f>
        <v>表示銘柄数超過</v>
      </c>
      <c r="D378" s="20" t="str">
        <f>_xll.RssMarket(A378,"現在値詳細時刻")</f>
        <v>表示銘柄数超過</v>
      </c>
      <c r="E378" s="22" t="str">
        <f>_xll.RssMarket(A378,"前日比")</f>
        <v>表示銘柄数超過</v>
      </c>
      <c r="F378" s="23" t="e">
        <f>_xll.RssMarket(A378,"前日比率")/100</f>
        <v>#VALUE!</v>
      </c>
      <c r="G378" s="24" t="str">
        <f>IFERROR(VLOOKUP(A378,取得元!$A$2:$F$501,2,FALSE),"-")</f>
        <v>-</v>
      </c>
      <c r="H378" s="24" t="str">
        <f>IFERROR(VLOOKUP(A378,取得元!$A$2:$F$501,3,FALSE),"-")</f>
        <v>-</v>
      </c>
      <c r="I378" s="24" t="str">
        <f>IFERROR(VLOOKUP(A378,取得元!$A$2:$F$501,4,FALSE),"-")</f>
        <v>-</v>
      </c>
      <c r="J378" s="5" t="str">
        <f>IFERROR(VLOOKUP(A378,取得元!$A$2:$F$501,5,FALSE),"-")</f>
        <v>-</v>
      </c>
      <c r="K378" s="25" t="str">
        <f>IFERROR(VLOOKUP(A378,取得元!$A$2:$F$501,6,FALSE)/100,"-")</f>
        <v>-</v>
      </c>
      <c r="L378" s="21" t="str">
        <f>_xll.RssMarket(A378,"始値")</f>
        <v>表示銘柄数超過</v>
      </c>
      <c r="M378" s="4" t="e">
        <f t="shared" si="35"/>
        <v>#VALUE!</v>
      </c>
      <c r="N378" s="21" t="str">
        <f>_xll.RssMarket(A378,"高値")</f>
        <v>表示銘柄数超過</v>
      </c>
      <c r="O378" s="4" t="e">
        <f t="shared" si="36"/>
        <v>#VALUE!</v>
      </c>
      <c r="P378" s="21" t="str">
        <f>_xll.RssMarket(A378,"安値")</f>
        <v>表示銘柄数超過</v>
      </c>
      <c r="Q378" s="4" t="e">
        <f t="shared" si="37"/>
        <v>#VALUE!</v>
      </c>
      <c r="R378" s="21" t="str">
        <f>_xll.RssMarket(A378,"後場始値")</f>
        <v>表示銘柄数超過</v>
      </c>
      <c r="S378" s="25" t="str">
        <f t="shared" si="38"/>
        <v>-</v>
      </c>
      <c r="T378" s="7" t="str">
        <f>_xll.RssMarket(A378,"出来高加重平均")</f>
        <v>表示銘柄数超過</v>
      </c>
      <c r="U378" s="4" t="e">
        <f t="shared" si="39"/>
        <v>#VALUE!</v>
      </c>
      <c r="V378" s="21" t="str">
        <f>_xll.RssMarket(A378,"出来高")</f>
        <v>表示銘柄数超過</v>
      </c>
      <c r="W378" s="21" t="str">
        <f>_xll.RssMarket(A378,"売買代金")</f>
        <v>表示銘柄数超過</v>
      </c>
      <c r="X378" s="20" t="str">
        <f>_xll.RssMarket(A378,"決算発表日")</f>
        <v>表示銘柄数超過</v>
      </c>
      <c r="Y378" s="26" t="str">
        <f>IF(C378&gt;_xll.RssMarket(A378,"年初来高値"),"○","×")</f>
        <v>×</v>
      </c>
      <c r="Z378" s="27" t="str">
        <f>IF(C378&lt;=_xll.RssMarket(A378,"年初来安値"),"○","×")</f>
        <v>○</v>
      </c>
    </row>
    <row r="379" spans="1:26" x14ac:dyDescent="0.25">
      <c r="A379" s="49">
        <v>3861</v>
      </c>
      <c r="B379" s="20" t="str">
        <f>_xll.RssMarket(A379,"銘柄名称")</f>
        <v>表示銘柄数超過</v>
      </c>
      <c r="C379" s="21" t="str">
        <f>_xll.RssMarket(A379,"現在値")</f>
        <v>表示銘柄数超過</v>
      </c>
      <c r="D379" s="20" t="str">
        <f>_xll.RssMarket(A379,"現在値詳細時刻")</f>
        <v>表示銘柄数超過</v>
      </c>
      <c r="E379" s="22" t="str">
        <f>_xll.RssMarket(A379,"前日比")</f>
        <v>表示銘柄数超過</v>
      </c>
      <c r="F379" s="23" t="e">
        <f>_xll.RssMarket(A379,"前日比率")/100</f>
        <v>#VALUE!</v>
      </c>
      <c r="G379" s="24" t="str">
        <f>IFERROR(VLOOKUP(A379,取得元!$A$2:$F$501,2,FALSE),"-")</f>
        <v>-</v>
      </c>
      <c r="H379" s="24" t="str">
        <f>IFERROR(VLOOKUP(A379,取得元!$A$2:$F$501,3,FALSE),"-")</f>
        <v>-</v>
      </c>
      <c r="I379" s="24" t="str">
        <f>IFERROR(VLOOKUP(A379,取得元!$A$2:$F$501,4,FALSE),"-")</f>
        <v>-</v>
      </c>
      <c r="J379" s="5" t="str">
        <f>IFERROR(VLOOKUP(A379,取得元!$A$2:$F$501,5,FALSE),"-")</f>
        <v>-</v>
      </c>
      <c r="K379" s="25" t="str">
        <f>IFERROR(VLOOKUP(A379,取得元!$A$2:$F$501,6,FALSE)/100,"-")</f>
        <v>-</v>
      </c>
      <c r="L379" s="21" t="str">
        <f>_xll.RssMarket(A379,"始値")</f>
        <v>表示銘柄数超過</v>
      </c>
      <c r="M379" s="4" t="e">
        <f t="shared" si="35"/>
        <v>#VALUE!</v>
      </c>
      <c r="N379" s="21" t="str">
        <f>_xll.RssMarket(A379,"高値")</f>
        <v>表示銘柄数超過</v>
      </c>
      <c r="O379" s="4" t="e">
        <f t="shared" si="36"/>
        <v>#VALUE!</v>
      </c>
      <c r="P379" s="21" t="str">
        <f>_xll.RssMarket(A379,"安値")</f>
        <v>表示銘柄数超過</v>
      </c>
      <c r="Q379" s="4" t="e">
        <f t="shared" si="37"/>
        <v>#VALUE!</v>
      </c>
      <c r="R379" s="21" t="str">
        <f>_xll.RssMarket(A379,"後場始値")</f>
        <v>表示銘柄数超過</v>
      </c>
      <c r="S379" s="25" t="str">
        <f t="shared" si="38"/>
        <v>-</v>
      </c>
      <c r="T379" s="7" t="str">
        <f>_xll.RssMarket(A379,"出来高加重平均")</f>
        <v>表示銘柄数超過</v>
      </c>
      <c r="U379" s="4" t="e">
        <f t="shared" si="39"/>
        <v>#VALUE!</v>
      </c>
      <c r="V379" s="21" t="str">
        <f>_xll.RssMarket(A379,"出来高")</f>
        <v>表示銘柄数超過</v>
      </c>
      <c r="W379" s="21" t="str">
        <f>_xll.RssMarket(A379,"売買代金")</f>
        <v>表示銘柄数超過</v>
      </c>
      <c r="X379" s="20" t="str">
        <f>_xll.RssMarket(A379,"決算発表日")</f>
        <v>表示銘柄数超過</v>
      </c>
      <c r="Y379" s="26" t="str">
        <f>IF(C379&gt;_xll.RssMarket(A379,"年初来高値"),"○","×")</f>
        <v>×</v>
      </c>
      <c r="Z379" s="27" t="str">
        <f>IF(C379&lt;=_xll.RssMarket(A379,"年初来安値"),"○","×")</f>
        <v>○</v>
      </c>
    </row>
    <row r="380" spans="1:26" x14ac:dyDescent="0.25">
      <c r="A380" s="47">
        <v>3863</v>
      </c>
      <c r="B380" s="20" t="str">
        <f>_xll.RssMarket(A380,"銘柄名称")</f>
        <v>表示銘柄数超過</v>
      </c>
      <c r="C380" s="21" t="str">
        <f>_xll.RssMarket(A380,"現在値")</f>
        <v>表示銘柄数超過</v>
      </c>
      <c r="D380" s="20" t="str">
        <f>_xll.RssMarket(A380,"現在値詳細時刻")</f>
        <v>表示銘柄数超過</v>
      </c>
      <c r="E380" s="22" t="str">
        <f>_xll.RssMarket(A380,"前日比")</f>
        <v>表示銘柄数超過</v>
      </c>
      <c r="F380" s="23" t="e">
        <f>_xll.RssMarket(A380,"前日比率")/100</f>
        <v>#VALUE!</v>
      </c>
      <c r="G380" s="24" t="str">
        <f>IFERROR(VLOOKUP(A380,取得元!$A$2:$F$501,2,FALSE),"-")</f>
        <v>-</v>
      </c>
      <c r="H380" s="24" t="str">
        <f>IFERROR(VLOOKUP(A380,取得元!$A$2:$F$501,3,FALSE),"-")</f>
        <v>-</v>
      </c>
      <c r="I380" s="24" t="str">
        <f>IFERROR(VLOOKUP(A380,取得元!$A$2:$F$501,4,FALSE),"-")</f>
        <v>-</v>
      </c>
      <c r="J380" s="5" t="str">
        <f>IFERROR(VLOOKUP(A380,取得元!$A$2:$F$501,5,FALSE),"-")</f>
        <v>-</v>
      </c>
      <c r="K380" s="25" t="str">
        <f>IFERROR(VLOOKUP(A380,取得元!$A$2:$F$501,6,FALSE)/100,"-")</f>
        <v>-</v>
      </c>
      <c r="L380" s="21" t="str">
        <f>_xll.RssMarket(A380,"始値")</f>
        <v>表示銘柄数超過</v>
      </c>
      <c r="M380" s="4" t="e">
        <f t="shared" si="35"/>
        <v>#VALUE!</v>
      </c>
      <c r="N380" s="21" t="str">
        <f>_xll.RssMarket(A380,"高値")</f>
        <v>表示銘柄数超過</v>
      </c>
      <c r="O380" s="4" t="e">
        <f t="shared" si="36"/>
        <v>#VALUE!</v>
      </c>
      <c r="P380" s="21" t="str">
        <f>_xll.RssMarket(A380,"安値")</f>
        <v>表示銘柄数超過</v>
      </c>
      <c r="Q380" s="4" t="e">
        <f t="shared" si="37"/>
        <v>#VALUE!</v>
      </c>
      <c r="R380" s="21" t="str">
        <f>_xll.RssMarket(A380,"後場始値")</f>
        <v>表示銘柄数超過</v>
      </c>
      <c r="S380" s="25" t="str">
        <f t="shared" si="38"/>
        <v>-</v>
      </c>
      <c r="T380" s="7" t="str">
        <f>_xll.RssMarket(A380,"出来高加重平均")</f>
        <v>表示銘柄数超過</v>
      </c>
      <c r="U380" s="4" t="e">
        <f t="shared" si="39"/>
        <v>#VALUE!</v>
      </c>
      <c r="V380" s="21" t="str">
        <f>_xll.RssMarket(A380,"出来高")</f>
        <v>表示銘柄数超過</v>
      </c>
      <c r="W380" s="21" t="str">
        <f>_xll.RssMarket(A380,"売買代金")</f>
        <v>表示銘柄数超過</v>
      </c>
      <c r="X380" s="20" t="str">
        <f>_xll.RssMarket(A380,"決算発表日")</f>
        <v>表示銘柄数超過</v>
      </c>
      <c r="Y380" s="26" t="str">
        <f>IF(C380&gt;_xll.RssMarket(A380,"年初来高値"),"○","×")</f>
        <v>×</v>
      </c>
      <c r="Z380" s="27" t="str">
        <f>IF(C380&lt;=_xll.RssMarket(A380,"年初来安値"),"○","×")</f>
        <v>○</v>
      </c>
    </row>
    <row r="381" spans="1:26" x14ac:dyDescent="0.25">
      <c r="A381" s="49">
        <v>3864</v>
      </c>
      <c r="B381" s="20" t="str">
        <f>_xll.RssMarket(A381,"銘柄名称")</f>
        <v>表示銘柄数超過</v>
      </c>
      <c r="C381" s="21" t="str">
        <f>_xll.RssMarket(A381,"現在値")</f>
        <v>表示銘柄数超過</v>
      </c>
      <c r="D381" s="20" t="str">
        <f>_xll.RssMarket(A381,"現在値詳細時刻")</f>
        <v>表示銘柄数超過</v>
      </c>
      <c r="E381" s="22" t="str">
        <f>_xll.RssMarket(A381,"前日比")</f>
        <v>表示銘柄数超過</v>
      </c>
      <c r="F381" s="23" t="e">
        <f>_xll.RssMarket(A381,"前日比率")/100</f>
        <v>#VALUE!</v>
      </c>
      <c r="G381" s="24" t="str">
        <f>IFERROR(VLOOKUP(A381,取得元!$A$2:$F$501,2,FALSE),"-")</f>
        <v>-</v>
      </c>
      <c r="H381" s="24" t="str">
        <f>IFERROR(VLOOKUP(A381,取得元!$A$2:$F$501,3,FALSE),"-")</f>
        <v>-</v>
      </c>
      <c r="I381" s="24" t="str">
        <f>IFERROR(VLOOKUP(A381,取得元!$A$2:$F$501,4,FALSE),"-")</f>
        <v>-</v>
      </c>
      <c r="J381" s="5" t="str">
        <f>IFERROR(VLOOKUP(A381,取得元!$A$2:$F$501,5,FALSE),"-")</f>
        <v>-</v>
      </c>
      <c r="K381" s="25" t="str">
        <f>IFERROR(VLOOKUP(A381,取得元!$A$2:$F$501,6,FALSE)/100,"-")</f>
        <v>-</v>
      </c>
      <c r="L381" s="21" t="str">
        <f>_xll.RssMarket(A381,"始値")</f>
        <v>表示銘柄数超過</v>
      </c>
      <c r="M381" s="4" t="e">
        <f t="shared" si="35"/>
        <v>#VALUE!</v>
      </c>
      <c r="N381" s="21" t="str">
        <f>_xll.RssMarket(A381,"高値")</f>
        <v>表示銘柄数超過</v>
      </c>
      <c r="O381" s="4" t="e">
        <f t="shared" si="36"/>
        <v>#VALUE!</v>
      </c>
      <c r="P381" s="21" t="str">
        <f>_xll.RssMarket(A381,"安値")</f>
        <v>表示銘柄数超過</v>
      </c>
      <c r="Q381" s="4" t="e">
        <f t="shared" si="37"/>
        <v>#VALUE!</v>
      </c>
      <c r="R381" s="21" t="str">
        <f>_xll.RssMarket(A381,"後場始値")</f>
        <v>表示銘柄数超過</v>
      </c>
      <c r="S381" s="25" t="str">
        <f t="shared" si="38"/>
        <v>-</v>
      </c>
      <c r="T381" s="7" t="str">
        <f>_xll.RssMarket(A381,"出来高加重平均")</f>
        <v>表示銘柄数超過</v>
      </c>
      <c r="U381" s="4" t="e">
        <f t="shared" si="39"/>
        <v>#VALUE!</v>
      </c>
      <c r="V381" s="21" t="str">
        <f>_xll.RssMarket(A381,"出来高")</f>
        <v>表示銘柄数超過</v>
      </c>
      <c r="W381" s="21" t="str">
        <f>_xll.RssMarket(A381,"売買代金")</f>
        <v>表示銘柄数超過</v>
      </c>
      <c r="X381" s="20" t="str">
        <f>_xll.RssMarket(A381,"決算発表日")</f>
        <v>表示銘柄数超過</v>
      </c>
      <c r="Y381" s="26" t="str">
        <f>IF(C381&gt;_xll.RssMarket(A381,"年初来高値"),"○","×")</f>
        <v>×</v>
      </c>
      <c r="Z381" s="27" t="str">
        <f>IF(C381&lt;=_xll.RssMarket(A381,"年初来安値"),"○","×")</f>
        <v>○</v>
      </c>
    </row>
    <row r="382" spans="1:26" x14ac:dyDescent="0.25">
      <c r="A382" s="47">
        <v>3865</v>
      </c>
      <c r="B382" s="20" t="str">
        <f>_xll.RssMarket(A382,"銘柄名称")</f>
        <v>表示銘柄数超過</v>
      </c>
      <c r="C382" s="21" t="str">
        <f>_xll.RssMarket(A382,"現在値")</f>
        <v>表示銘柄数超過</v>
      </c>
      <c r="D382" s="20" t="str">
        <f>_xll.RssMarket(A382,"現在値詳細時刻")</f>
        <v>表示銘柄数超過</v>
      </c>
      <c r="E382" s="22" t="str">
        <f>_xll.RssMarket(A382,"前日比")</f>
        <v>表示銘柄数超過</v>
      </c>
      <c r="F382" s="23" t="e">
        <f>_xll.RssMarket(A382,"前日比率")/100</f>
        <v>#VALUE!</v>
      </c>
      <c r="G382" s="24" t="str">
        <f>IFERROR(VLOOKUP(A382,取得元!$A$2:$F$501,2,FALSE),"-")</f>
        <v>-</v>
      </c>
      <c r="H382" s="24" t="str">
        <f>IFERROR(VLOOKUP(A382,取得元!$A$2:$F$501,3,FALSE),"-")</f>
        <v>-</v>
      </c>
      <c r="I382" s="24" t="str">
        <f>IFERROR(VLOOKUP(A382,取得元!$A$2:$F$501,4,FALSE),"-")</f>
        <v>-</v>
      </c>
      <c r="J382" s="5" t="str">
        <f>IFERROR(VLOOKUP(A382,取得元!$A$2:$F$501,5,FALSE),"-")</f>
        <v>-</v>
      </c>
      <c r="K382" s="25" t="str">
        <f>IFERROR(VLOOKUP(A382,取得元!$A$2:$F$501,6,FALSE)/100,"-")</f>
        <v>-</v>
      </c>
      <c r="L382" s="21" t="str">
        <f>_xll.RssMarket(A382,"始値")</f>
        <v>表示銘柄数超過</v>
      </c>
      <c r="M382" s="4" t="e">
        <f t="shared" si="35"/>
        <v>#VALUE!</v>
      </c>
      <c r="N382" s="21" t="str">
        <f>_xll.RssMarket(A382,"高値")</f>
        <v>表示銘柄数超過</v>
      </c>
      <c r="O382" s="4" t="e">
        <f t="shared" si="36"/>
        <v>#VALUE!</v>
      </c>
      <c r="P382" s="21" t="str">
        <f>_xll.RssMarket(A382,"安値")</f>
        <v>表示銘柄数超過</v>
      </c>
      <c r="Q382" s="4" t="e">
        <f t="shared" si="37"/>
        <v>#VALUE!</v>
      </c>
      <c r="R382" s="21" t="str">
        <f>_xll.RssMarket(A382,"後場始値")</f>
        <v>表示銘柄数超過</v>
      </c>
      <c r="S382" s="25" t="str">
        <f t="shared" si="38"/>
        <v>-</v>
      </c>
      <c r="T382" s="7" t="str">
        <f>_xll.RssMarket(A382,"出来高加重平均")</f>
        <v>表示銘柄数超過</v>
      </c>
      <c r="U382" s="4" t="e">
        <f t="shared" si="39"/>
        <v>#VALUE!</v>
      </c>
      <c r="V382" s="21" t="str">
        <f>_xll.RssMarket(A382,"出来高")</f>
        <v>表示銘柄数超過</v>
      </c>
      <c r="W382" s="21" t="str">
        <f>_xll.RssMarket(A382,"売買代金")</f>
        <v>表示銘柄数超過</v>
      </c>
      <c r="X382" s="20" t="str">
        <f>_xll.RssMarket(A382,"決算発表日")</f>
        <v>表示銘柄数超過</v>
      </c>
      <c r="Y382" s="26" t="str">
        <f>IF(C382&gt;_xll.RssMarket(A382,"年初来高値"),"○","×")</f>
        <v>×</v>
      </c>
      <c r="Z382" s="27" t="str">
        <f>IF(C382&lt;=_xll.RssMarket(A382,"年初来安値"),"○","×")</f>
        <v>○</v>
      </c>
    </row>
    <row r="383" spans="1:26" x14ac:dyDescent="0.25">
      <c r="A383" s="49">
        <v>3880</v>
      </c>
      <c r="B383" s="20" t="str">
        <f>_xll.RssMarket(A383,"銘柄名称")</f>
        <v>表示銘柄数超過</v>
      </c>
      <c r="C383" s="21" t="str">
        <f>_xll.RssMarket(A383,"現在値")</f>
        <v>表示銘柄数超過</v>
      </c>
      <c r="D383" s="20" t="str">
        <f>_xll.RssMarket(A383,"現在値詳細時刻")</f>
        <v>表示銘柄数超過</v>
      </c>
      <c r="E383" s="22" t="str">
        <f>_xll.RssMarket(A383,"前日比")</f>
        <v>表示銘柄数超過</v>
      </c>
      <c r="F383" s="23" t="e">
        <f>_xll.RssMarket(A383,"前日比率")/100</f>
        <v>#VALUE!</v>
      </c>
      <c r="G383" s="24" t="str">
        <f>IFERROR(VLOOKUP(A383,取得元!$A$2:$F$501,2,FALSE),"-")</f>
        <v>-</v>
      </c>
      <c r="H383" s="24" t="str">
        <f>IFERROR(VLOOKUP(A383,取得元!$A$2:$F$501,3,FALSE),"-")</f>
        <v>-</v>
      </c>
      <c r="I383" s="24" t="str">
        <f>IFERROR(VLOOKUP(A383,取得元!$A$2:$F$501,4,FALSE),"-")</f>
        <v>-</v>
      </c>
      <c r="J383" s="5" t="str">
        <f>IFERROR(VLOOKUP(A383,取得元!$A$2:$F$501,5,FALSE),"-")</f>
        <v>-</v>
      </c>
      <c r="K383" s="25" t="str">
        <f>IFERROR(VLOOKUP(A383,取得元!$A$2:$F$501,6,FALSE)/100,"-")</f>
        <v>-</v>
      </c>
      <c r="L383" s="21" t="str">
        <f>_xll.RssMarket(A383,"始値")</f>
        <v>表示銘柄数超過</v>
      </c>
      <c r="M383" s="4" t="e">
        <f t="shared" si="35"/>
        <v>#VALUE!</v>
      </c>
      <c r="N383" s="21" t="str">
        <f>_xll.RssMarket(A383,"高値")</f>
        <v>表示銘柄数超過</v>
      </c>
      <c r="O383" s="4" t="e">
        <f t="shared" si="36"/>
        <v>#VALUE!</v>
      </c>
      <c r="P383" s="21" t="str">
        <f>_xll.RssMarket(A383,"安値")</f>
        <v>表示銘柄数超過</v>
      </c>
      <c r="Q383" s="4" t="e">
        <f t="shared" si="37"/>
        <v>#VALUE!</v>
      </c>
      <c r="R383" s="21" t="str">
        <f>_xll.RssMarket(A383,"後場始値")</f>
        <v>表示銘柄数超過</v>
      </c>
      <c r="S383" s="25" t="str">
        <f t="shared" si="38"/>
        <v>-</v>
      </c>
      <c r="T383" s="7" t="str">
        <f>_xll.RssMarket(A383,"出来高加重平均")</f>
        <v>表示銘柄数超過</v>
      </c>
      <c r="U383" s="4" t="e">
        <f t="shared" si="39"/>
        <v>#VALUE!</v>
      </c>
      <c r="V383" s="21" t="str">
        <f>_xll.RssMarket(A383,"出来高")</f>
        <v>表示銘柄数超過</v>
      </c>
      <c r="W383" s="21" t="str">
        <f>_xll.RssMarket(A383,"売買代金")</f>
        <v>表示銘柄数超過</v>
      </c>
      <c r="X383" s="20" t="str">
        <f>_xll.RssMarket(A383,"決算発表日")</f>
        <v>表示銘柄数超過</v>
      </c>
      <c r="Y383" s="26" t="str">
        <f>IF(C383&gt;_xll.RssMarket(A383,"年初来高値"),"○","×")</f>
        <v>×</v>
      </c>
      <c r="Z383" s="27" t="str">
        <f>IF(C383&lt;=_xll.RssMarket(A383,"年初来安値"),"○","×")</f>
        <v>○</v>
      </c>
    </row>
    <row r="384" spans="1:26" x14ac:dyDescent="0.25">
      <c r="A384" s="47">
        <v>3900</v>
      </c>
      <c r="B384" s="20" t="str">
        <f>_xll.RssMarket(A384,"銘柄名称")</f>
        <v>表示銘柄数超過</v>
      </c>
      <c r="C384" s="21" t="str">
        <f>_xll.RssMarket(A384,"現在値")</f>
        <v>表示銘柄数超過</v>
      </c>
      <c r="D384" s="20" t="str">
        <f>_xll.RssMarket(A384,"現在値詳細時刻")</f>
        <v>表示銘柄数超過</v>
      </c>
      <c r="E384" s="22" t="str">
        <f>_xll.RssMarket(A384,"前日比")</f>
        <v>表示銘柄数超過</v>
      </c>
      <c r="F384" s="23" t="e">
        <f>_xll.RssMarket(A384,"前日比率")/100</f>
        <v>#VALUE!</v>
      </c>
      <c r="G384" s="24" t="str">
        <f>IFERROR(VLOOKUP(A384,取得元!$A$2:$F$501,2,FALSE),"-")</f>
        <v>-</v>
      </c>
      <c r="H384" s="24" t="str">
        <f>IFERROR(VLOOKUP(A384,取得元!$A$2:$F$501,3,FALSE),"-")</f>
        <v>-</v>
      </c>
      <c r="I384" s="24" t="str">
        <f>IFERROR(VLOOKUP(A384,取得元!$A$2:$F$501,4,FALSE),"-")</f>
        <v>-</v>
      </c>
      <c r="J384" s="5" t="str">
        <f>IFERROR(VLOOKUP(A384,取得元!$A$2:$F$501,5,FALSE),"-")</f>
        <v>-</v>
      </c>
      <c r="K384" s="25" t="str">
        <f>IFERROR(VLOOKUP(A384,取得元!$A$2:$F$501,6,FALSE)/100,"-")</f>
        <v>-</v>
      </c>
      <c r="L384" s="21" t="str">
        <f>_xll.RssMarket(A384,"始値")</f>
        <v>表示銘柄数超過</v>
      </c>
      <c r="M384" s="4" t="e">
        <f t="shared" si="35"/>
        <v>#VALUE!</v>
      </c>
      <c r="N384" s="21" t="str">
        <f>_xll.RssMarket(A384,"高値")</f>
        <v>表示銘柄数超過</v>
      </c>
      <c r="O384" s="4" t="e">
        <f t="shared" si="36"/>
        <v>#VALUE!</v>
      </c>
      <c r="P384" s="21" t="str">
        <f>_xll.RssMarket(A384,"安値")</f>
        <v>表示銘柄数超過</v>
      </c>
      <c r="Q384" s="4" t="e">
        <f t="shared" si="37"/>
        <v>#VALUE!</v>
      </c>
      <c r="R384" s="21" t="str">
        <f>_xll.RssMarket(A384,"後場始値")</f>
        <v>表示銘柄数超過</v>
      </c>
      <c r="S384" s="25" t="str">
        <f t="shared" si="38"/>
        <v>-</v>
      </c>
      <c r="T384" s="7" t="str">
        <f>_xll.RssMarket(A384,"出来高加重平均")</f>
        <v>表示銘柄数超過</v>
      </c>
      <c r="U384" s="4" t="e">
        <f t="shared" si="39"/>
        <v>#VALUE!</v>
      </c>
      <c r="V384" s="21" t="str">
        <f>_xll.RssMarket(A384,"出来高")</f>
        <v>表示銘柄数超過</v>
      </c>
      <c r="W384" s="21" t="str">
        <f>_xll.RssMarket(A384,"売買代金")</f>
        <v>表示銘柄数超過</v>
      </c>
      <c r="X384" s="20" t="str">
        <f>_xll.RssMarket(A384,"決算発表日")</f>
        <v>表示銘柄数超過</v>
      </c>
      <c r="Y384" s="26" t="str">
        <f>IF(C384&gt;_xll.RssMarket(A384,"年初来高値"),"○","×")</f>
        <v>×</v>
      </c>
      <c r="Z384" s="27" t="str">
        <f>IF(C384&lt;=_xll.RssMarket(A384,"年初来安値"),"○","×")</f>
        <v>○</v>
      </c>
    </row>
    <row r="385" spans="1:26" x14ac:dyDescent="0.25">
      <c r="A385" s="49">
        <v>3902</v>
      </c>
      <c r="B385" s="20" t="str">
        <f>_xll.RssMarket(A385,"銘柄名称")</f>
        <v>表示銘柄数超過</v>
      </c>
      <c r="C385" s="21" t="str">
        <f>_xll.RssMarket(A385,"現在値")</f>
        <v>表示銘柄数超過</v>
      </c>
      <c r="D385" s="20" t="str">
        <f>_xll.RssMarket(A385,"現在値詳細時刻")</f>
        <v>表示銘柄数超過</v>
      </c>
      <c r="E385" s="22" t="str">
        <f>_xll.RssMarket(A385,"前日比")</f>
        <v>表示銘柄数超過</v>
      </c>
      <c r="F385" s="23" t="e">
        <f>_xll.RssMarket(A385,"前日比率")/100</f>
        <v>#VALUE!</v>
      </c>
      <c r="G385" s="24" t="str">
        <f>IFERROR(VLOOKUP(A385,取得元!$A$2:$F$501,2,FALSE),"-")</f>
        <v>-</v>
      </c>
      <c r="H385" s="24" t="str">
        <f>IFERROR(VLOOKUP(A385,取得元!$A$2:$F$501,3,FALSE),"-")</f>
        <v>-</v>
      </c>
      <c r="I385" s="24" t="str">
        <f>IFERROR(VLOOKUP(A385,取得元!$A$2:$F$501,4,FALSE),"-")</f>
        <v>-</v>
      </c>
      <c r="J385" s="5" t="str">
        <f>IFERROR(VLOOKUP(A385,取得元!$A$2:$F$501,5,FALSE),"-")</f>
        <v>-</v>
      </c>
      <c r="K385" s="25" t="str">
        <f>IFERROR(VLOOKUP(A385,取得元!$A$2:$F$501,6,FALSE)/100,"-")</f>
        <v>-</v>
      </c>
      <c r="L385" s="21" t="str">
        <f>_xll.RssMarket(A385,"始値")</f>
        <v>表示銘柄数超過</v>
      </c>
      <c r="M385" s="4" t="e">
        <f t="shared" si="35"/>
        <v>#VALUE!</v>
      </c>
      <c r="N385" s="21" t="str">
        <f>_xll.RssMarket(A385,"高値")</f>
        <v>表示銘柄数超過</v>
      </c>
      <c r="O385" s="4" t="e">
        <f t="shared" si="36"/>
        <v>#VALUE!</v>
      </c>
      <c r="P385" s="21" t="str">
        <f>_xll.RssMarket(A385,"安値")</f>
        <v>表示銘柄数超過</v>
      </c>
      <c r="Q385" s="4" t="e">
        <f t="shared" si="37"/>
        <v>#VALUE!</v>
      </c>
      <c r="R385" s="21" t="str">
        <f>_xll.RssMarket(A385,"後場始値")</f>
        <v>表示銘柄数超過</v>
      </c>
      <c r="S385" s="25" t="str">
        <f t="shared" si="38"/>
        <v>-</v>
      </c>
      <c r="T385" s="7" t="str">
        <f>_xll.RssMarket(A385,"出来高加重平均")</f>
        <v>表示銘柄数超過</v>
      </c>
      <c r="U385" s="4" t="e">
        <f t="shared" si="39"/>
        <v>#VALUE!</v>
      </c>
      <c r="V385" s="21" t="str">
        <f>_xll.RssMarket(A385,"出来高")</f>
        <v>表示銘柄数超過</v>
      </c>
      <c r="W385" s="21" t="str">
        <f>_xll.RssMarket(A385,"売買代金")</f>
        <v>表示銘柄数超過</v>
      </c>
      <c r="X385" s="20" t="str">
        <f>_xll.RssMarket(A385,"決算発表日")</f>
        <v>表示銘柄数超過</v>
      </c>
      <c r="Y385" s="26" t="str">
        <f>IF(C385&gt;_xll.RssMarket(A385,"年初来高値"),"○","×")</f>
        <v>×</v>
      </c>
      <c r="Z385" s="27" t="str">
        <f>IF(C385&lt;=_xll.RssMarket(A385,"年初来安値"),"○","×")</f>
        <v>○</v>
      </c>
    </row>
    <row r="386" spans="1:26" x14ac:dyDescent="0.25">
      <c r="A386" s="47">
        <v>3903</v>
      </c>
      <c r="B386" s="20" t="str">
        <f>_xll.RssMarket(A386,"銘柄名称")</f>
        <v>表示銘柄数超過</v>
      </c>
      <c r="C386" s="21" t="str">
        <f>_xll.RssMarket(A386,"現在値")</f>
        <v>表示銘柄数超過</v>
      </c>
      <c r="D386" s="20" t="str">
        <f>_xll.RssMarket(A386,"現在値詳細時刻")</f>
        <v>表示銘柄数超過</v>
      </c>
      <c r="E386" s="22" t="str">
        <f>_xll.RssMarket(A386,"前日比")</f>
        <v>表示銘柄数超過</v>
      </c>
      <c r="F386" s="23" t="e">
        <f>_xll.RssMarket(A386,"前日比率")/100</f>
        <v>#VALUE!</v>
      </c>
      <c r="G386" s="24" t="str">
        <f>IFERROR(VLOOKUP(A386,取得元!$A$2:$F$501,2,FALSE),"-")</f>
        <v>-</v>
      </c>
      <c r="H386" s="24" t="str">
        <f>IFERROR(VLOOKUP(A386,取得元!$A$2:$F$501,3,FALSE),"-")</f>
        <v>-</v>
      </c>
      <c r="I386" s="24" t="str">
        <f>IFERROR(VLOOKUP(A386,取得元!$A$2:$F$501,4,FALSE),"-")</f>
        <v>-</v>
      </c>
      <c r="J386" s="5" t="str">
        <f>IFERROR(VLOOKUP(A386,取得元!$A$2:$F$501,5,FALSE),"-")</f>
        <v>-</v>
      </c>
      <c r="K386" s="25" t="str">
        <f>IFERROR(VLOOKUP(A386,取得元!$A$2:$F$501,6,FALSE)/100,"-")</f>
        <v>-</v>
      </c>
      <c r="L386" s="21" t="str">
        <f>_xll.RssMarket(A386,"始値")</f>
        <v>表示銘柄数超過</v>
      </c>
      <c r="M386" s="4" t="e">
        <f t="shared" si="35"/>
        <v>#VALUE!</v>
      </c>
      <c r="N386" s="21" t="str">
        <f>_xll.RssMarket(A386,"高値")</f>
        <v>表示銘柄数超過</v>
      </c>
      <c r="O386" s="4" t="e">
        <f t="shared" si="36"/>
        <v>#VALUE!</v>
      </c>
      <c r="P386" s="21" t="str">
        <f>_xll.RssMarket(A386,"安値")</f>
        <v>表示銘柄数超過</v>
      </c>
      <c r="Q386" s="4" t="e">
        <f t="shared" si="37"/>
        <v>#VALUE!</v>
      </c>
      <c r="R386" s="21" t="str">
        <f>_xll.RssMarket(A386,"後場始値")</f>
        <v>表示銘柄数超過</v>
      </c>
      <c r="S386" s="25" t="str">
        <f t="shared" si="38"/>
        <v>-</v>
      </c>
      <c r="T386" s="7" t="str">
        <f>_xll.RssMarket(A386,"出来高加重平均")</f>
        <v>表示銘柄数超過</v>
      </c>
      <c r="U386" s="4" t="e">
        <f t="shared" si="39"/>
        <v>#VALUE!</v>
      </c>
      <c r="V386" s="21" t="str">
        <f>_xll.RssMarket(A386,"出来高")</f>
        <v>表示銘柄数超過</v>
      </c>
      <c r="W386" s="21" t="str">
        <f>_xll.RssMarket(A386,"売買代金")</f>
        <v>表示銘柄数超過</v>
      </c>
      <c r="X386" s="20" t="str">
        <f>_xll.RssMarket(A386,"決算発表日")</f>
        <v>表示銘柄数超過</v>
      </c>
      <c r="Y386" s="26" t="str">
        <f>IF(C386&gt;_xll.RssMarket(A386,"年初来高値"),"○","×")</f>
        <v>×</v>
      </c>
      <c r="Z386" s="27" t="str">
        <f>IF(C386&lt;=_xll.RssMarket(A386,"年初来安値"),"○","×")</f>
        <v>○</v>
      </c>
    </row>
    <row r="387" spans="1:26" x14ac:dyDescent="0.25">
      <c r="A387" s="49">
        <v>3907</v>
      </c>
      <c r="B387" s="20" t="str">
        <f>_xll.RssMarket(A387,"銘柄名称")</f>
        <v>表示銘柄数超過</v>
      </c>
      <c r="C387" s="21" t="str">
        <f>_xll.RssMarket(A387,"現在値")</f>
        <v>表示銘柄数超過</v>
      </c>
      <c r="D387" s="20" t="str">
        <f>_xll.RssMarket(A387,"現在値詳細時刻")</f>
        <v>表示銘柄数超過</v>
      </c>
      <c r="E387" s="22" t="str">
        <f>_xll.RssMarket(A387,"前日比")</f>
        <v>表示銘柄数超過</v>
      </c>
      <c r="F387" s="23" t="e">
        <f>_xll.RssMarket(A387,"前日比率")/100</f>
        <v>#VALUE!</v>
      </c>
      <c r="G387" s="24" t="str">
        <f>IFERROR(VLOOKUP(A387,取得元!$A$2:$F$501,2,FALSE),"-")</f>
        <v>-</v>
      </c>
      <c r="H387" s="24" t="str">
        <f>IFERROR(VLOOKUP(A387,取得元!$A$2:$F$501,3,FALSE),"-")</f>
        <v>-</v>
      </c>
      <c r="I387" s="24" t="str">
        <f>IFERROR(VLOOKUP(A387,取得元!$A$2:$F$501,4,FALSE),"-")</f>
        <v>-</v>
      </c>
      <c r="J387" s="5" t="str">
        <f>IFERROR(VLOOKUP(A387,取得元!$A$2:$F$501,5,FALSE),"-")</f>
        <v>-</v>
      </c>
      <c r="K387" s="25" t="str">
        <f>IFERROR(VLOOKUP(A387,取得元!$A$2:$F$501,6,FALSE)/100,"-")</f>
        <v>-</v>
      </c>
      <c r="L387" s="21" t="str">
        <f>_xll.RssMarket(A387,"始値")</f>
        <v>表示銘柄数超過</v>
      </c>
      <c r="M387" s="4" t="e">
        <f t="shared" si="35"/>
        <v>#VALUE!</v>
      </c>
      <c r="N387" s="21" t="str">
        <f>_xll.RssMarket(A387,"高値")</f>
        <v>表示銘柄数超過</v>
      </c>
      <c r="O387" s="4" t="e">
        <f t="shared" si="36"/>
        <v>#VALUE!</v>
      </c>
      <c r="P387" s="21" t="str">
        <f>_xll.RssMarket(A387,"安値")</f>
        <v>表示銘柄数超過</v>
      </c>
      <c r="Q387" s="4" t="e">
        <f t="shared" si="37"/>
        <v>#VALUE!</v>
      </c>
      <c r="R387" s="21" t="str">
        <f>_xll.RssMarket(A387,"後場始値")</f>
        <v>表示銘柄数超過</v>
      </c>
      <c r="S387" s="25" t="str">
        <f t="shared" si="38"/>
        <v>-</v>
      </c>
      <c r="T387" s="7" t="str">
        <f>_xll.RssMarket(A387,"出来高加重平均")</f>
        <v>表示銘柄数超過</v>
      </c>
      <c r="U387" s="4" t="e">
        <f t="shared" si="39"/>
        <v>#VALUE!</v>
      </c>
      <c r="V387" s="21" t="str">
        <f>_xll.RssMarket(A387,"出来高")</f>
        <v>表示銘柄数超過</v>
      </c>
      <c r="W387" s="21" t="str">
        <f>_xll.RssMarket(A387,"売買代金")</f>
        <v>表示銘柄数超過</v>
      </c>
      <c r="X387" s="20" t="str">
        <f>_xll.RssMarket(A387,"決算発表日")</f>
        <v>表示銘柄数超過</v>
      </c>
      <c r="Y387" s="26" t="str">
        <f>IF(C387&gt;_xll.RssMarket(A387,"年初来高値"),"○","×")</f>
        <v>×</v>
      </c>
      <c r="Z387" s="27" t="str">
        <f>IF(C387&lt;=_xll.RssMarket(A387,"年初来安値"),"○","×")</f>
        <v>○</v>
      </c>
    </row>
    <row r="388" spans="1:26" x14ac:dyDescent="0.25">
      <c r="A388" s="47">
        <v>3909</v>
      </c>
      <c r="B388" s="20" t="str">
        <f>_xll.RssMarket(A388,"銘柄名称")</f>
        <v>表示銘柄数超過</v>
      </c>
      <c r="C388" s="21" t="str">
        <f>_xll.RssMarket(A388,"現在値")</f>
        <v>表示銘柄数超過</v>
      </c>
      <c r="D388" s="20" t="str">
        <f>_xll.RssMarket(A388,"現在値詳細時刻")</f>
        <v>表示銘柄数超過</v>
      </c>
      <c r="E388" s="22" t="str">
        <f>_xll.RssMarket(A388,"前日比")</f>
        <v>表示銘柄数超過</v>
      </c>
      <c r="F388" s="23" t="e">
        <f>_xll.RssMarket(A388,"前日比率")/100</f>
        <v>#VALUE!</v>
      </c>
      <c r="G388" s="24" t="str">
        <f>IFERROR(VLOOKUP(A388,取得元!$A$2:$F$501,2,FALSE),"-")</f>
        <v>-</v>
      </c>
      <c r="H388" s="24" t="str">
        <f>IFERROR(VLOOKUP(A388,取得元!$A$2:$F$501,3,FALSE),"-")</f>
        <v>-</v>
      </c>
      <c r="I388" s="24" t="str">
        <f>IFERROR(VLOOKUP(A388,取得元!$A$2:$F$501,4,FALSE),"-")</f>
        <v>-</v>
      </c>
      <c r="J388" s="5" t="str">
        <f>IFERROR(VLOOKUP(A388,取得元!$A$2:$F$501,5,FALSE),"-")</f>
        <v>-</v>
      </c>
      <c r="K388" s="25" t="str">
        <f>IFERROR(VLOOKUP(A388,取得元!$A$2:$F$501,6,FALSE)/100,"-")</f>
        <v>-</v>
      </c>
      <c r="L388" s="21" t="str">
        <f>_xll.RssMarket(A388,"始値")</f>
        <v>表示銘柄数超過</v>
      </c>
      <c r="M388" s="4" t="e">
        <f t="shared" si="35"/>
        <v>#VALUE!</v>
      </c>
      <c r="N388" s="21" t="str">
        <f>_xll.RssMarket(A388,"高値")</f>
        <v>表示銘柄数超過</v>
      </c>
      <c r="O388" s="4" t="e">
        <f t="shared" si="36"/>
        <v>#VALUE!</v>
      </c>
      <c r="P388" s="21" t="str">
        <f>_xll.RssMarket(A388,"安値")</f>
        <v>表示銘柄数超過</v>
      </c>
      <c r="Q388" s="4" t="e">
        <f t="shared" si="37"/>
        <v>#VALUE!</v>
      </c>
      <c r="R388" s="21" t="str">
        <f>_xll.RssMarket(A388,"後場始値")</f>
        <v>表示銘柄数超過</v>
      </c>
      <c r="S388" s="25" t="str">
        <f t="shared" si="38"/>
        <v>-</v>
      </c>
      <c r="T388" s="7" t="str">
        <f>_xll.RssMarket(A388,"出来高加重平均")</f>
        <v>表示銘柄数超過</v>
      </c>
      <c r="U388" s="4" t="e">
        <f t="shared" si="39"/>
        <v>#VALUE!</v>
      </c>
      <c r="V388" s="21" t="str">
        <f>_xll.RssMarket(A388,"出来高")</f>
        <v>表示銘柄数超過</v>
      </c>
      <c r="W388" s="21" t="str">
        <f>_xll.RssMarket(A388,"売買代金")</f>
        <v>表示銘柄数超過</v>
      </c>
      <c r="X388" s="20" t="str">
        <f>_xll.RssMarket(A388,"決算発表日")</f>
        <v>表示銘柄数超過</v>
      </c>
      <c r="Y388" s="26" t="str">
        <f>IF(C388&gt;_xll.RssMarket(A388,"年初来高値"),"○","×")</f>
        <v>×</v>
      </c>
      <c r="Z388" s="27" t="str">
        <f>IF(C388&lt;=_xll.RssMarket(A388,"年初来安値"),"○","×")</f>
        <v>○</v>
      </c>
    </row>
    <row r="389" spans="1:26" x14ac:dyDescent="0.25">
      <c r="A389" s="49">
        <v>3910</v>
      </c>
      <c r="B389" s="20" t="str">
        <f>_xll.RssMarket(A389,"銘柄名称")</f>
        <v>表示銘柄数超過</v>
      </c>
      <c r="C389" s="21" t="str">
        <f>_xll.RssMarket(A389,"現在値")</f>
        <v>表示銘柄数超過</v>
      </c>
      <c r="D389" s="20" t="str">
        <f>_xll.RssMarket(A389,"現在値詳細時刻")</f>
        <v>表示銘柄数超過</v>
      </c>
      <c r="E389" s="22" t="str">
        <f>_xll.RssMarket(A389,"前日比")</f>
        <v>表示銘柄数超過</v>
      </c>
      <c r="F389" s="23" t="e">
        <f>_xll.RssMarket(A389,"前日比率")/100</f>
        <v>#VALUE!</v>
      </c>
      <c r="G389" s="24" t="str">
        <f>IFERROR(VLOOKUP(A389,取得元!$A$2:$F$501,2,FALSE),"-")</f>
        <v>-</v>
      </c>
      <c r="H389" s="24" t="str">
        <f>IFERROR(VLOOKUP(A389,取得元!$A$2:$F$501,3,FALSE),"-")</f>
        <v>-</v>
      </c>
      <c r="I389" s="24" t="str">
        <f>IFERROR(VLOOKUP(A389,取得元!$A$2:$F$501,4,FALSE),"-")</f>
        <v>-</v>
      </c>
      <c r="J389" s="5" t="str">
        <f>IFERROR(VLOOKUP(A389,取得元!$A$2:$F$501,5,FALSE),"-")</f>
        <v>-</v>
      </c>
      <c r="K389" s="25" t="str">
        <f>IFERROR(VLOOKUP(A389,取得元!$A$2:$F$501,6,FALSE)/100,"-")</f>
        <v>-</v>
      </c>
      <c r="L389" s="21" t="str">
        <f>_xll.RssMarket(A389,"始値")</f>
        <v>表示銘柄数超過</v>
      </c>
      <c r="M389" s="4" t="e">
        <f t="shared" si="35"/>
        <v>#VALUE!</v>
      </c>
      <c r="N389" s="21" t="str">
        <f>_xll.RssMarket(A389,"高値")</f>
        <v>表示銘柄数超過</v>
      </c>
      <c r="O389" s="4" t="e">
        <f t="shared" si="36"/>
        <v>#VALUE!</v>
      </c>
      <c r="P389" s="21" t="str">
        <f>_xll.RssMarket(A389,"安値")</f>
        <v>表示銘柄数超過</v>
      </c>
      <c r="Q389" s="4" t="e">
        <f t="shared" si="37"/>
        <v>#VALUE!</v>
      </c>
      <c r="R389" s="21" t="str">
        <f>_xll.RssMarket(A389,"後場始値")</f>
        <v>表示銘柄数超過</v>
      </c>
      <c r="S389" s="25" t="str">
        <f t="shared" si="38"/>
        <v>-</v>
      </c>
      <c r="T389" s="7" t="str">
        <f>_xll.RssMarket(A389,"出来高加重平均")</f>
        <v>表示銘柄数超過</v>
      </c>
      <c r="U389" s="4" t="e">
        <f t="shared" si="39"/>
        <v>#VALUE!</v>
      </c>
      <c r="V389" s="21" t="str">
        <f>_xll.RssMarket(A389,"出来高")</f>
        <v>表示銘柄数超過</v>
      </c>
      <c r="W389" s="21" t="str">
        <f>_xll.RssMarket(A389,"売買代金")</f>
        <v>表示銘柄数超過</v>
      </c>
      <c r="X389" s="20" t="str">
        <f>_xll.RssMarket(A389,"決算発表日")</f>
        <v>表示銘柄数超過</v>
      </c>
      <c r="Y389" s="26" t="str">
        <f>IF(C389&gt;_xll.RssMarket(A389,"年初来高値"),"○","×")</f>
        <v>×</v>
      </c>
      <c r="Z389" s="27" t="str">
        <f>IF(C389&lt;=_xll.RssMarket(A389,"年初来安値"),"○","×")</f>
        <v>○</v>
      </c>
    </row>
    <row r="390" spans="1:26" x14ac:dyDescent="0.25">
      <c r="A390" s="47">
        <v>3911</v>
      </c>
      <c r="B390" s="20" t="str">
        <f>_xll.RssMarket(A390,"銘柄名称")</f>
        <v>表示銘柄数超過</v>
      </c>
      <c r="C390" s="21" t="str">
        <f>_xll.RssMarket(A390,"現在値")</f>
        <v>表示銘柄数超過</v>
      </c>
      <c r="D390" s="20" t="str">
        <f>_xll.RssMarket(A390,"現在値詳細時刻")</f>
        <v>表示銘柄数超過</v>
      </c>
      <c r="E390" s="22" t="str">
        <f>_xll.RssMarket(A390,"前日比")</f>
        <v>表示銘柄数超過</v>
      </c>
      <c r="F390" s="23" t="e">
        <f>_xll.RssMarket(A390,"前日比率")/100</f>
        <v>#VALUE!</v>
      </c>
      <c r="G390" s="24" t="str">
        <f>IFERROR(VLOOKUP(A390,取得元!$A$2:$F$501,2,FALSE),"-")</f>
        <v>-</v>
      </c>
      <c r="H390" s="24" t="str">
        <f>IFERROR(VLOOKUP(A390,取得元!$A$2:$F$501,3,FALSE),"-")</f>
        <v>-</v>
      </c>
      <c r="I390" s="24" t="str">
        <f>IFERROR(VLOOKUP(A390,取得元!$A$2:$F$501,4,FALSE),"-")</f>
        <v>-</v>
      </c>
      <c r="J390" s="5" t="str">
        <f>IFERROR(VLOOKUP(A390,取得元!$A$2:$F$501,5,FALSE),"-")</f>
        <v>-</v>
      </c>
      <c r="K390" s="25" t="str">
        <f>IFERROR(VLOOKUP(A390,取得元!$A$2:$F$501,6,FALSE)/100,"-")</f>
        <v>-</v>
      </c>
      <c r="L390" s="21" t="str">
        <f>_xll.RssMarket(A390,"始値")</f>
        <v>表示銘柄数超過</v>
      </c>
      <c r="M390" s="4" t="e">
        <f t="shared" si="35"/>
        <v>#VALUE!</v>
      </c>
      <c r="N390" s="21" t="str">
        <f>_xll.RssMarket(A390,"高値")</f>
        <v>表示銘柄数超過</v>
      </c>
      <c r="O390" s="4" t="e">
        <f t="shared" si="36"/>
        <v>#VALUE!</v>
      </c>
      <c r="P390" s="21" t="str">
        <f>_xll.RssMarket(A390,"安値")</f>
        <v>表示銘柄数超過</v>
      </c>
      <c r="Q390" s="4" t="e">
        <f t="shared" si="37"/>
        <v>#VALUE!</v>
      </c>
      <c r="R390" s="21" t="str">
        <f>_xll.RssMarket(A390,"後場始値")</f>
        <v>表示銘柄数超過</v>
      </c>
      <c r="S390" s="25" t="str">
        <f t="shared" si="38"/>
        <v>-</v>
      </c>
      <c r="T390" s="7" t="str">
        <f>_xll.RssMarket(A390,"出来高加重平均")</f>
        <v>表示銘柄数超過</v>
      </c>
      <c r="U390" s="4" t="e">
        <f t="shared" si="39"/>
        <v>#VALUE!</v>
      </c>
      <c r="V390" s="21" t="str">
        <f>_xll.RssMarket(A390,"出来高")</f>
        <v>表示銘柄数超過</v>
      </c>
      <c r="W390" s="21" t="str">
        <f>_xll.RssMarket(A390,"売買代金")</f>
        <v>表示銘柄数超過</v>
      </c>
      <c r="X390" s="20" t="str">
        <f>_xll.RssMarket(A390,"決算発表日")</f>
        <v>表示銘柄数超過</v>
      </c>
      <c r="Y390" s="26" t="str">
        <f>IF(C390&gt;_xll.RssMarket(A390,"年初来高値"),"○","×")</f>
        <v>×</v>
      </c>
      <c r="Z390" s="27" t="str">
        <f>IF(C390&lt;=_xll.RssMarket(A390,"年初来安値"),"○","×")</f>
        <v>○</v>
      </c>
    </row>
    <row r="391" spans="1:26" x14ac:dyDescent="0.25">
      <c r="A391" s="49">
        <v>3917</v>
      </c>
      <c r="B391" s="20" t="str">
        <f>_xll.RssMarket(A391,"銘柄名称")</f>
        <v>表示銘柄数超過</v>
      </c>
      <c r="C391" s="21" t="str">
        <f>_xll.RssMarket(A391,"現在値")</f>
        <v>表示銘柄数超過</v>
      </c>
      <c r="D391" s="20" t="str">
        <f>_xll.RssMarket(A391,"現在値詳細時刻")</f>
        <v>表示銘柄数超過</v>
      </c>
      <c r="E391" s="22" t="str">
        <f>_xll.RssMarket(A391,"前日比")</f>
        <v>表示銘柄数超過</v>
      </c>
      <c r="F391" s="23" t="e">
        <f>_xll.RssMarket(A391,"前日比率")/100</f>
        <v>#VALUE!</v>
      </c>
      <c r="G391" s="24" t="str">
        <f>IFERROR(VLOOKUP(A391,取得元!$A$2:$F$501,2,FALSE),"-")</f>
        <v>-</v>
      </c>
      <c r="H391" s="24" t="str">
        <f>IFERROR(VLOOKUP(A391,取得元!$A$2:$F$501,3,FALSE),"-")</f>
        <v>-</v>
      </c>
      <c r="I391" s="24" t="str">
        <f>IFERROR(VLOOKUP(A391,取得元!$A$2:$F$501,4,FALSE),"-")</f>
        <v>-</v>
      </c>
      <c r="J391" s="5" t="str">
        <f>IFERROR(VLOOKUP(A391,取得元!$A$2:$F$501,5,FALSE),"-")</f>
        <v>-</v>
      </c>
      <c r="K391" s="25" t="str">
        <f>IFERROR(VLOOKUP(A391,取得元!$A$2:$F$501,6,FALSE)/100,"-")</f>
        <v>-</v>
      </c>
      <c r="L391" s="21" t="str">
        <f>_xll.RssMarket(A391,"始値")</f>
        <v>表示銘柄数超過</v>
      </c>
      <c r="M391" s="4" t="e">
        <f t="shared" si="35"/>
        <v>#VALUE!</v>
      </c>
      <c r="N391" s="21" t="str">
        <f>_xll.RssMarket(A391,"高値")</f>
        <v>表示銘柄数超過</v>
      </c>
      <c r="O391" s="4" t="e">
        <f t="shared" si="36"/>
        <v>#VALUE!</v>
      </c>
      <c r="P391" s="21" t="str">
        <f>_xll.RssMarket(A391,"安値")</f>
        <v>表示銘柄数超過</v>
      </c>
      <c r="Q391" s="4" t="e">
        <f t="shared" si="37"/>
        <v>#VALUE!</v>
      </c>
      <c r="R391" s="21" t="str">
        <f>_xll.RssMarket(A391,"後場始値")</f>
        <v>表示銘柄数超過</v>
      </c>
      <c r="S391" s="25" t="str">
        <f t="shared" si="38"/>
        <v>-</v>
      </c>
      <c r="T391" s="7" t="str">
        <f>_xll.RssMarket(A391,"出来高加重平均")</f>
        <v>表示銘柄数超過</v>
      </c>
      <c r="U391" s="4" t="e">
        <f t="shared" si="39"/>
        <v>#VALUE!</v>
      </c>
      <c r="V391" s="21" t="str">
        <f>_xll.RssMarket(A391,"出来高")</f>
        <v>表示銘柄数超過</v>
      </c>
      <c r="W391" s="21" t="str">
        <f>_xll.RssMarket(A391,"売買代金")</f>
        <v>表示銘柄数超過</v>
      </c>
      <c r="X391" s="20" t="str">
        <f>_xll.RssMarket(A391,"決算発表日")</f>
        <v>表示銘柄数超過</v>
      </c>
      <c r="Y391" s="26" t="str">
        <f>IF(C391&gt;_xll.RssMarket(A391,"年初来高値"),"○","×")</f>
        <v>×</v>
      </c>
      <c r="Z391" s="27" t="str">
        <f>IF(C391&lt;=_xll.RssMarket(A391,"年初来安値"),"○","×")</f>
        <v>○</v>
      </c>
    </row>
    <row r="392" spans="1:26" x14ac:dyDescent="0.25">
      <c r="A392" s="47">
        <v>3920</v>
      </c>
      <c r="B392" s="20" t="str">
        <f>_xll.RssMarket(A392,"銘柄名称")</f>
        <v>表示銘柄数超過</v>
      </c>
      <c r="C392" s="21" t="str">
        <f>_xll.RssMarket(A392,"現在値")</f>
        <v>表示銘柄数超過</v>
      </c>
      <c r="D392" s="20" t="str">
        <f>_xll.RssMarket(A392,"現在値詳細時刻")</f>
        <v>表示銘柄数超過</v>
      </c>
      <c r="E392" s="22" t="str">
        <f>_xll.RssMarket(A392,"前日比")</f>
        <v>表示銘柄数超過</v>
      </c>
      <c r="F392" s="23" t="e">
        <f>_xll.RssMarket(A392,"前日比率")/100</f>
        <v>#VALUE!</v>
      </c>
      <c r="G392" s="24" t="str">
        <f>IFERROR(VLOOKUP(A392,取得元!$A$2:$F$501,2,FALSE),"-")</f>
        <v>-</v>
      </c>
      <c r="H392" s="24" t="str">
        <f>IFERROR(VLOOKUP(A392,取得元!$A$2:$F$501,3,FALSE),"-")</f>
        <v>-</v>
      </c>
      <c r="I392" s="24" t="str">
        <f>IFERROR(VLOOKUP(A392,取得元!$A$2:$F$501,4,FALSE),"-")</f>
        <v>-</v>
      </c>
      <c r="J392" s="5" t="str">
        <f>IFERROR(VLOOKUP(A392,取得元!$A$2:$F$501,5,FALSE),"-")</f>
        <v>-</v>
      </c>
      <c r="K392" s="25" t="str">
        <f>IFERROR(VLOOKUP(A392,取得元!$A$2:$F$501,6,FALSE)/100,"-")</f>
        <v>-</v>
      </c>
      <c r="L392" s="21" t="str">
        <f>_xll.RssMarket(A392,"始値")</f>
        <v>表示銘柄数超過</v>
      </c>
      <c r="M392" s="4" t="e">
        <f t="shared" si="35"/>
        <v>#VALUE!</v>
      </c>
      <c r="N392" s="21" t="str">
        <f>_xll.RssMarket(A392,"高値")</f>
        <v>表示銘柄数超過</v>
      </c>
      <c r="O392" s="4" t="e">
        <f t="shared" si="36"/>
        <v>#VALUE!</v>
      </c>
      <c r="P392" s="21" t="str">
        <f>_xll.RssMarket(A392,"安値")</f>
        <v>表示銘柄数超過</v>
      </c>
      <c r="Q392" s="4" t="e">
        <f t="shared" si="37"/>
        <v>#VALUE!</v>
      </c>
      <c r="R392" s="21" t="str">
        <f>_xll.RssMarket(A392,"後場始値")</f>
        <v>表示銘柄数超過</v>
      </c>
      <c r="S392" s="25" t="str">
        <f t="shared" si="38"/>
        <v>-</v>
      </c>
      <c r="T392" s="7" t="str">
        <f>_xll.RssMarket(A392,"出来高加重平均")</f>
        <v>表示銘柄数超過</v>
      </c>
      <c r="U392" s="4" t="e">
        <f t="shared" si="39"/>
        <v>#VALUE!</v>
      </c>
      <c r="V392" s="21" t="str">
        <f>_xll.RssMarket(A392,"出来高")</f>
        <v>表示銘柄数超過</v>
      </c>
      <c r="W392" s="21" t="str">
        <f>_xll.RssMarket(A392,"売買代金")</f>
        <v>表示銘柄数超過</v>
      </c>
      <c r="X392" s="20" t="str">
        <f>_xll.RssMarket(A392,"決算発表日")</f>
        <v>表示銘柄数超過</v>
      </c>
      <c r="Y392" s="26" t="str">
        <f>IF(C392&gt;_xll.RssMarket(A392,"年初来高値"),"○","×")</f>
        <v>×</v>
      </c>
      <c r="Z392" s="27" t="str">
        <f>IF(C392&lt;=_xll.RssMarket(A392,"年初来安値"),"○","×")</f>
        <v>○</v>
      </c>
    </row>
    <row r="393" spans="1:26" x14ac:dyDescent="0.25">
      <c r="A393" s="49">
        <v>3927</v>
      </c>
      <c r="B393" s="20" t="str">
        <f>_xll.RssMarket(A393,"銘柄名称")</f>
        <v>表示銘柄数超過</v>
      </c>
      <c r="C393" s="21" t="str">
        <f>_xll.RssMarket(A393,"現在値")</f>
        <v>表示銘柄数超過</v>
      </c>
      <c r="D393" s="20" t="str">
        <f>_xll.RssMarket(A393,"現在値詳細時刻")</f>
        <v>表示銘柄数超過</v>
      </c>
      <c r="E393" s="22" t="str">
        <f>_xll.RssMarket(A393,"前日比")</f>
        <v>表示銘柄数超過</v>
      </c>
      <c r="F393" s="23" t="e">
        <f>_xll.RssMarket(A393,"前日比率")/100</f>
        <v>#VALUE!</v>
      </c>
      <c r="G393" s="24" t="str">
        <f>IFERROR(VLOOKUP(A393,取得元!$A$2:$F$501,2,FALSE),"-")</f>
        <v>-</v>
      </c>
      <c r="H393" s="24" t="str">
        <f>IFERROR(VLOOKUP(A393,取得元!$A$2:$F$501,3,FALSE),"-")</f>
        <v>-</v>
      </c>
      <c r="I393" s="24" t="str">
        <f>IFERROR(VLOOKUP(A393,取得元!$A$2:$F$501,4,FALSE),"-")</f>
        <v>-</v>
      </c>
      <c r="J393" s="5" t="str">
        <f>IFERROR(VLOOKUP(A393,取得元!$A$2:$F$501,5,FALSE),"-")</f>
        <v>-</v>
      </c>
      <c r="K393" s="25" t="str">
        <f>IFERROR(VLOOKUP(A393,取得元!$A$2:$F$501,6,FALSE)/100,"-")</f>
        <v>-</v>
      </c>
      <c r="L393" s="21" t="str">
        <f>_xll.RssMarket(A393,"始値")</f>
        <v>表示銘柄数超過</v>
      </c>
      <c r="M393" s="4" t="e">
        <f t="shared" si="35"/>
        <v>#VALUE!</v>
      </c>
      <c r="N393" s="21" t="str">
        <f>_xll.RssMarket(A393,"高値")</f>
        <v>表示銘柄数超過</v>
      </c>
      <c r="O393" s="4" t="e">
        <f t="shared" si="36"/>
        <v>#VALUE!</v>
      </c>
      <c r="P393" s="21" t="str">
        <f>_xll.RssMarket(A393,"安値")</f>
        <v>表示銘柄数超過</v>
      </c>
      <c r="Q393" s="4" t="e">
        <f t="shared" si="37"/>
        <v>#VALUE!</v>
      </c>
      <c r="R393" s="21" t="str">
        <f>_xll.RssMarket(A393,"後場始値")</f>
        <v>表示銘柄数超過</v>
      </c>
      <c r="S393" s="25" t="str">
        <f t="shared" si="38"/>
        <v>-</v>
      </c>
      <c r="T393" s="7" t="str">
        <f>_xll.RssMarket(A393,"出来高加重平均")</f>
        <v>表示銘柄数超過</v>
      </c>
      <c r="U393" s="4" t="e">
        <f t="shared" si="39"/>
        <v>#VALUE!</v>
      </c>
      <c r="V393" s="21" t="str">
        <f>_xll.RssMarket(A393,"出来高")</f>
        <v>表示銘柄数超過</v>
      </c>
      <c r="W393" s="21" t="str">
        <f>_xll.RssMarket(A393,"売買代金")</f>
        <v>表示銘柄数超過</v>
      </c>
      <c r="X393" s="20" t="str">
        <f>_xll.RssMarket(A393,"決算発表日")</f>
        <v>表示銘柄数超過</v>
      </c>
      <c r="Y393" s="26" t="str">
        <f>IF(C393&gt;_xll.RssMarket(A393,"年初来高値"),"○","×")</f>
        <v>×</v>
      </c>
      <c r="Z393" s="27" t="str">
        <f>IF(C393&lt;=_xll.RssMarket(A393,"年初来安値"),"○","×")</f>
        <v>○</v>
      </c>
    </row>
    <row r="394" spans="1:26" x14ac:dyDescent="0.25">
      <c r="A394" s="47">
        <v>3928</v>
      </c>
      <c r="B394" s="20" t="str">
        <f>_xll.RssMarket(A394,"銘柄名称")</f>
        <v>表示銘柄数超過</v>
      </c>
      <c r="C394" s="21" t="str">
        <f>_xll.RssMarket(A394,"現在値")</f>
        <v>表示銘柄数超過</v>
      </c>
      <c r="D394" s="20" t="str">
        <f>_xll.RssMarket(A394,"現在値詳細時刻")</f>
        <v>表示銘柄数超過</v>
      </c>
      <c r="E394" s="22" t="str">
        <f>_xll.RssMarket(A394,"前日比")</f>
        <v>表示銘柄数超過</v>
      </c>
      <c r="F394" s="23" t="e">
        <f>_xll.RssMarket(A394,"前日比率")/100</f>
        <v>#VALUE!</v>
      </c>
      <c r="G394" s="24" t="str">
        <f>IFERROR(VLOOKUP(A394,取得元!$A$2:$F$501,2,FALSE),"-")</f>
        <v>-</v>
      </c>
      <c r="H394" s="24" t="str">
        <f>IFERROR(VLOOKUP(A394,取得元!$A$2:$F$501,3,FALSE),"-")</f>
        <v>-</v>
      </c>
      <c r="I394" s="24" t="str">
        <f>IFERROR(VLOOKUP(A394,取得元!$A$2:$F$501,4,FALSE),"-")</f>
        <v>-</v>
      </c>
      <c r="J394" s="5" t="str">
        <f>IFERROR(VLOOKUP(A394,取得元!$A$2:$F$501,5,FALSE),"-")</f>
        <v>-</v>
      </c>
      <c r="K394" s="25" t="str">
        <f>IFERROR(VLOOKUP(A394,取得元!$A$2:$F$501,6,FALSE)/100,"-")</f>
        <v>-</v>
      </c>
      <c r="L394" s="21" t="str">
        <f>_xll.RssMarket(A394,"始値")</f>
        <v>表示銘柄数超過</v>
      </c>
      <c r="M394" s="4" t="e">
        <f t="shared" si="35"/>
        <v>#VALUE!</v>
      </c>
      <c r="N394" s="21" t="str">
        <f>_xll.RssMarket(A394,"高値")</f>
        <v>表示銘柄数超過</v>
      </c>
      <c r="O394" s="4" t="e">
        <f t="shared" si="36"/>
        <v>#VALUE!</v>
      </c>
      <c r="P394" s="21" t="str">
        <f>_xll.RssMarket(A394,"安値")</f>
        <v>表示銘柄数超過</v>
      </c>
      <c r="Q394" s="4" t="e">
        <f t="shared" si="37"/>
        <v>#VALUE!</v>
      </c>
      <c r="R394" s="21" t="str">
        <f>_xll.RssMarket(A394,"後場始値")</f>
        <v>表示銘柄数超過</v>
      </c>
      <c r="S394" s="25" t="str">
        <f t="shared" si="38"/>
        <v>-</v>
      </c>
      <c r="T394" s="7" t="str">
        <f>_xll.RssMarket(A394,"出来高加重平均")</f>
        <v>表示銘柄数超過</v>
      </c>
      <c r="U394" s="4" t="e">
        <f t="shared" si="39"/>
        <v>#VALUE!</v>
      </c>
      <c r="V394" s="21" t="str">
        <f>_xll.RssMarket(A394,"出来高")</f>
        <v>表示銘柄数超過</v>
      </c>
      <c r="W394" s="21" t="str">
        <f>_xll.RssMarket(A394,"売買代金")</f>
        <v>表示銘柄数超過</v>
      </c>
      <c r="X394" s="20" t="str">
        <f>_xll.RssMarket(A394,"決算発表日")</f>
        <v>表示銘柄数超過</v>
      </c>
      <c r="Y394" s="26" t="str">
        <f>IF(C394&gt;_xll.RssMarket(A394,"年初来高値"),"○","×")</f>
        <v>×</v>
      </c>
      <c r="Z394" s="27" t="str">
        <f>IF(C394&lt;=_xll.RssMarket(A394,"年初来安値"),"○","×")</f>
        <v>○</v>
      </c>
    </row>
    <row r="395" spans="1:26" x14ac:dyDescent="0.25">
      <c r="A395" s="49">
        <v>3929</v>
      </c>
      <c r="B395" s="20" t="str">
        <f>_xll.RssMarket(A395,"銘柄名称")</f>
        <v>表示銘柄数超過</v>
      </c>
      <c r="C395" s="21" t="str">
        <f>_xll.RssMarket(A395,"現在値")</f>
        <v>表示銘柄数超過</v>
      </c>
      <c r="D395" s="20" t="str">
        <f>_xll.RssMarket(A395,"現在値詳細時刻")</f>
        <v>表示銘柄数超過</v>
      </c>
      <c r="E395" s="22" t="str">
        <f>_xll.RssMarket(A395,"前日比")</f>
        <v>表示銘柄数超過</v>
      </c>
      <c r="F395" s="23" t="e">
        <f>_xll.RssMarket(A395,"前日比率")/100</f>
        <v>#VALUE!</v>
      </c>
      <c r="G395" s="24" t="str">
        <f>IFERROR(VLOOKUP(A395,取得元!$A$2:$F$501,2,FALSE),"-")</f>
        <v>-</v>
      </c>
      <c r="H395" s="24" t="str">
        <f>IFERROR(VLOOKUP(A395,取得元!$A$2:$F$501,3,FALSE),"-")</f>
        <v>-</v>
      </c>
      <c r="I395" s="24" t="str">
        <f>IFERROR(VLOOKUP(A395,取得元!$A$2:$F$501,4,FALSE),"-")</f>
        <v>-</v>
      </c>
      <c r="J395" s="5" t="str">
        <f>IFERROR(VLOOKUP(A395,取得元!$A$2:$F$501,5,FALSE),"-")</f>
        <v>-</v>
      </c>
      <c r="K395" s="25" t="str">
        <f>IFERROR(VLOOKUP(A395,取得元!$A$2:$F$501,6,FALSE)/100,"-")</f>
        <v>-</v>
      </c>
      <c r="L395" s="21" t="str">
        <f>_xll.RssMarket(A395,"始値")</f>
        <v>表示銘柄数超過</v>
      </c>
      <c r="M395" s="4" t="e">
        <f t="shared" si="35"/>
        <v>#VALUE!</v>
      </c>
      <c r="N395" s="21" t="str">
        <f>_xll.RssMarket(A395,"高値")</f>
        <v>表示銘柄数超過</v>
      </c>
      <c r="O395" s="4" t="e">
        <f t="shared" si="36"/>
        <v>#VALUE!</v>
      </c>
      <c r="P395" s="21" t="str">
        <f>_xll.RssMarket(A395,"安値")</f>
        <v>表示銘柄数超過</v>
      </c>
      <c r="Q395" s="4" t="e">
        <f t="shared" si="37"/>
        <v>#VALUE!</v>
      </c>
      <c r="R395" s="21" t="str">
        <f>_xll.RssMarket(A395,"後場始値")</f>
        <v>表示銘柄数超過</v>
      </c>
      <c r="S395" s="25" t="str">
        <f t="shared" si="38"/>
        <v>-</v>
      </c>
      <c r="T395" s="7" t="str">
        <f>_xll.RssMarket(A395,"出来高加重平均")</f>
        <v>表示銘柄数超過</v>
      </c>
      <c r="U395" s="4" t="e">
        <f t="shared" si="39"/>
        <v>#VALUE!</v>
      </c>
      <c r="V395" s="21" t="str">
        <f>_xll.RssMarket(A395,"出来高")</f>
        <v>表示銘柄数超過</v>
      </c>
      <c r="W395" s="21" t="str">
        <f>_xll.RssMarket(A395,"売買代金")</f>
        <v>表示銘柄数超過</v>
      </c>
      <c r="X395" s="20" t="str">
        <f>_xll.RssMarket(A395,"決算発表日")</f>
        <v>表示銘柄数超過</v>
      </c>
      <c r="Y395" s="26" t="str">
        <f>IF(C395&gt;_xll.RssMarket(A395,"年初来高値"),"○","×")</f>
        <v>×</v>
      </c>
      <c r="Z395" s="27" t="str">
        <f>IF(C395&lt;=_xll.RssMarket(A395,"年初来安値"),"○","×")</f>
        <v>○</v>
      </c>
    </row>
    <row r="396" spans="1:26" x14ac:dyDescent="0.25">
      <c r="A396" s="47">
        <v>3934</v>
      </c>
      <c r="B396" s="20" t="str">
        <f>_xll.RssMarket(A396,"銘柄名称")</f>
        <v>表示銘柄数超過</v>
      </c>
      <c r="C396" s="21" t="str">
        <f>_xll.RssMarket(A396,"現在値")</f>
        <v>表示銘柄数超過</v>
      </c>
      <c r="D396" s="20" t="str">
        <f>_xll.RssMarket(A396,"現在値詳細時刻")</f>
        <v>表示銘柄数超過</v>
      </c>
      <c r="E396" s="22" t="str">
        <f>_xll.RssMarket(A396,"前日比")</f>
        <v>表示銘柄数超過</v>
      </c>
      <c r="F396" s="23" t="e">
        <f>_xll.RssMarket(A396,"前日比率")/100</f>
        <v>#VALUE!</v>
      </c>
      <c r="G396" s="24" t="str">
        <f>IFERROR(VLOOKUP(A396,取得元!$A$2:$F$501,2,FALSE),"-")</f>
        <v>-</v>
      </c>
      <c r="H396" s="24" t="str">
        <f>IFERROR(VLOOKUP(A396,取得元!$A$2:$F$501,3,FALSE),"-")</f>
        <v>-</v>
      </c>
      <c r="I396" s="24" t="str">
        <f>IFERROR(VLOOKUP(A396,取得元!$A$2:$F$501,4,FALSE),"-")</f>
        <v>-</v>
      </c>
      <c r="J396" s="5" t="str">
        <f>IFERROR(VLOOKUP(A396,取得元!$A$2:$F$501,5,FALSE),"-")</f>
        <v>-</v>
      </c>
      <c r="K396" s="25" t="str">
        <f>IFERROR(VLOOKUP(A396,取得元!$A$2:$F$501,6,FALSE)/100,"-")</f>
        <v>-</v>
      </c>
      <c r="L396" s="21" t="str">
        <f>_xll.RssMarket(A396,"始値")</f>
        <v>表示銘柄数超過</v>
      </c>
      <c r="M396" s="4" t="e">
        <f t="shared" si="35"/>
        <v>#VALUE!</v>
      </c>
      <c r="N396" s="21" t="str">
        <f>_xll.RssMarket(A396,"高値")</f>
        <v>表示銘柄数超過</v>
      </c>
      <c r="O396" s="4" t="e">
        <f t="shared" si="36"/>
        <v>#VALUE!</v>
      </c>
      <c r="P396" s="21" t="str">
        <f>_xll.RssMarket(A396,"安値")</f>
        <v>表示銘柄数超過</v>
      </c>
      <c r="Q396" s="4" t="e">
        <f t="shared" si="37"/>
        <v>#VALUE!</v>
      </c>
      <c r="R396" s="21" t="str">
        <f>_xll.RssMarket(A396,"後場始値")</f>
        <v>表示銘柄数超過</v>
      </c>
      <c r="S396" s="25" t="str">
        <f t="shared" si="38"/>
        <v>-</v>
      </c>
      <c r="T396" s="7" t="str">
        <f>_xll.RssMarket(A396,"出来高加重平均")</f>
        <v>表示銘柄数超過</v>
      </c>
      <c r="U396" s="4" t="e">
        <f t="shared" si="39"/>
        <v>#VALUE!</v>
      </c>
      <c r="V396" s="21" t="str">
        <f>_xll.RssMarket(A396,"出来高")</f>
        <v>表示銘柄数超過</v>
      </c>
      <c r="W396" s="21" t="str">
        <f>_xll.RssMarket(A396,"売買代金")</f>
        <v>表示銘柄数超過</v>
      </c>
      <c r="X396" s="20" t="str">
        <f>_xll.RssMarket(A396,"決算発表日")</f>
        <v>表示銘柄数超過</v>
      </c>
      <c r="Y396" s="26" t="str">
        <f>IF(C396&gt;_xll.RssMarket(A396,"年初来高値"),"○","×")</f>
        <v>×</v>
      </c>
      <c r="Z396" s="27" t="str">
        <f>IF(C396&lt;=_xll.RssMarket(A396,"年初来安値"),"○","×")</f>
        <v>○</v>
      </c>
    </row>
    <row r="397" spans="1:26" x14ac:dyDescent="0.25">
      <c r="A397" s="49">
        <v>3935</v>
      </c>
      <c r="B397" s="20" t="str">
        <f>_xll.RssMarket(A397,"銘柄名称")</f>
        <v>表示銘柄数超過</v>
      </c>
      <c r="C397" s="21" t="str">
        <f>_xll.RssMarket(A397,"現在値")</f>
        <v>表示銘柄数超過</v>
      </c>
      <c r="D397" s="20" t="str">
        <f>_xll.RssMarket(A397,"現在値詳細時刻")</f>
        <v>表示銘柄数超過</v>
      </c>
      <c r="E397" s="22" t="str">
        <f>_xll.RssMarket(A397,"前日比")</f>
        <v>表示銘柄数超過</v>
      </c>
      <c r="F397" s="23" t="e">
        <f>_xll.RssMarket(A397,"前日比率")/100</f>
        <v>#VALUE!</v>
      </c>
      <c r="G397" s="24" t="str">
        <f>IFERROR(VLOOKUP(A397,取得元!$A$2:$F$501,2,FALSE),"-")</f>
        <v>-</v>
      </c>
      <c r="H397" s="24" t="str">
        <f>IFERROR(VLOOKUP(A397,取得元!$A$2:$F$501,3,FALSE),"-")</f>
        <v>-</v>
      </c>
      <c r="I397" s="24" t="str">
        <f>IFERROR(VLOOKUP(A397,取得元!$A$2:$F$501,4,FALSE),"-")</f>
        <v>-</v>
      </c>
      <c r="J397" s="5" t="str">
        <f>IFERROR(VLOOKUP(A397,取得元!$A$2:$F$501,5,FALSE),"-")</f>
        <v>-</v>
      </c>
      <c r="K397" s="25" t="str">
        <f>IFERROR(VLOOKUP(A397,取得元!$A$2:$F$501,6,FALSE)/100,"-")</f>
        <v>-</v>
      </c>
      <c r="L397" s="21" t="str">
        <f>_xll.RssMarket(A397,"始値")</f>
        <v>表示銘柄数超過</v>
      </c>
      <c r="M397" s="4" t="e">
        <f t="shared" si="35"/>
        <v>#VALUE!</v>
      </c>
      <c r="N397" s="21" t="str">
        <f>_xll.RssMarket(A397,"高値")</f>
        <v>表示銘柄数超過</v>
      </c>
      <c r="O397" s="4" t="e">
        <f t="shared" si="36"/>
        <v>#VALUE!</v>
      </c>
      <c r="P397" s="21" t="str">
        <f>_xll.RssMarket(A397,"安値")</f>
        <v>表示銘柄数超過</v>
      </c>
      <c r="Q397" s="4" t="e">
        <f t="shared" si="37"/>
        <v>#VALUE!</v>
      </c>
      <c r="R397" s="21" t="str">
        <f>_xll.RssMarket(A397,"後場始値")</f>
        <v>表示銘柄数超過</v>
      </c>
      <c r="S397" s="25" t="str">
        <f t="shared" si="38"/>
        <v>-</v>
      </c>
      <c r="T397" s="7" t="str">
        <f>_xll.RssMarket(A397,"出来高加重平均")</f>
        <v>表示銘柄数超過</v>
      </c>
      <c r="U397" s="4" t="e">
        <f t="shared" si="39"/>
        <v>#VALUE!</v>
      </c>
      <c r="V397" s="21" t="str">
        <f>_xll.RssMarket(A397,"出来高")</f>
        <v>表示銘柄数超過</v>
      </c>
      <c r="W397" s="21" t="str">
        <f>_xll.RssMarket(A397,"売買代金")</f>
        <v>表示銘柄数超過</v>
      </c>
      <c r="X397" s="20" t="str">
        <f>_xll.RssMarket(A397,"決算発表日")</f>
        <v>表示銘柄数超過</v>
      </c>
      <c r="Y397" s="26" t="str">
        <f>IF(C397&gt;_xll.RssMarket(A397,"年初来高値"),"○","×")</f>
        <v>×</v>
      </c>
      <c r="Z397" s="27" t="str">
        <f>IF(C397&lt;=_xll.RssMarket(A397,"年初来安値"),"○","×")</f>
        <v>○</v>
      </c>
    </row>
    <row r="398" spans="1:26" x14ac:dyDescent="0.25">
      <c r="A398" s="47">
        <v>3939</v>
      </c>
      <c r="B398" s="20" t="str">
        <f>_xll.RssMarket(A398,"銘柄名称")</f>
        <v>表示銘柄数超過</v>
      </c>
      <c r="C398" s="21" t="str">
        <f>_xll.RssMarket(A398,"現在値")</f>
        <v>表示銘柄数超過</v>
      </c>
      <c r="D398" s="20" t="str">
        <f>_xll.RssMarket(A398,"現在値詳細時刻")</f>
        <v>表示銘柄数超過</v>
      </c>
      <c r="E398" s="22" t="str">
        <f>_xll.RssMarket(A398,"前日比")</f>
        <v>表示銘柄数超過</v>
      </c>
      <c r="F398" s="23" t="e">
        <f>_xll.RssMarket(A398,"前日比率")/100</f>
        <v>#VALUE!</v>
      </c>
      <c r="G398" s="24" t="str">
        <f>IFERROR(VLOOKUP(A398,取得元!$A$2:$F$501,2,FALSE),"-")</f>
        <v>-</v>
      </c>
      <c r="H398" s="24" t="str">
        <f>IFERROR(VLOOKUP(A398,取得元!$A$2:$F$501,3,FALSE),"-")</f>
        <v>-</v>
      </c>
      <c r="I398" s="24" t="str">
        <f>IFERROR(VLOOKUP(A398,取得元!$A$2:$F$501,4,FALSE),"-")</f>
        <v>-</v>
      </c>
      <c r="J398" s="5" t="str">
        <f>IFERROR(VLOOKUP(A398,取得元!$A$2:$F$501,5,FALSE),"-")</f>
        <v>-</v>
      </c>
      <c r="K398" s="25" t="str">
        <f>IFERROR(VLOOKUP(A398,取得元!$A$2:$F$501,6,FALSE)/100,"-")</f>
        <v>-</v>
      </c>
      <c r="L398" s="21" t="str">
        <f>_xll.RssMarket(A398,"始値")</f>
        <v>表示銘柄数超過</v>
      </c>
      <c r="M398" s="4" t="e">
        <f t="shared" si="35"/>
        <v>#VALUE!</v>
      </c>
      <c r="N398" s="21" t="str">
        <f>_xll.RssMarket(A398,"高値")</f>
        <v>表示銘柄数超過</v>
      </c>
      <c r="O398" s="4" t="e">
        <f t="shared" si="36"/>
        <v>#VALUE!</v>
      </c>
      <c r="P398" s="21" t="str">
        <f>_xll.RssMarket(A398,"安値")</f>
        <v>表示銘柄数超過</v>
      </c>
      <c r="Q398" s="4" t="e">
        <f t="shared" si="37"/>
        <v>#VALUE!</v>
      </c>
      <c r="R398" s="21" t="str">
        <f>_xll.RssMarket(A398,"後場始値")</f>
        <v>表示銘柄数超過</v>
      </c>
      <c r="S398" s="25" t="str">
        <f t="shared" si="38"/>
        <v>-</v>
      </c>
      <c r="T398" s="7" t="str">
        <f>_xll.RssMarket(A398,"出来高加重平均")</f>
        <v>表示銘柄数超過</v>
      </c>
      <c r="U398" s="4" t="e">
        <f t="shared" si="39"/>
        <v>#VALUE!</v>
      </c>
      <c r="V398" s="21" t="str">
        <f>_xll.RssMarket(A398,"出来高")</f>
        <v>表示銘柄数超過</v>
      </c>
      <c r="W398" s="21" t="str">
        <f>_xll.RssMarket(A398,"売買代金")</f>
        <v>表示銘柄数超過</v>
      </c>
      <c r="X398" s="20" t="str">
        <f>_xll.RssMarket(A398,"決算発表日")</f>
        <v>表示銘柄数超過</v>
      </c>
      <c r="Y398" s="26" t="str">
        <f>IF(C398&gt;_xll.RssMarket(A398,"年初来高値"),"○","×")</f>
        <v>×</v>
      </c>
      <c r="Z398" s="27" t="str">
        <f>IF(C398&lt;=_xll.RssMarket(A398,"年初来安値"),"○","×")</f>
        <v>○</v>
      </c>
    </row>
    <row r="399" spans="1:26" x14ac:dyDescent="0.25">
      <c r="A399" s="49">
        <v>3940</v>
      </c>
      <c r="B399" s="20" t="str">
        <f>_xll.RssMarket(A399,"銘柄名称")</f>
        <v>表示銘柄数超過</v>
      </c>
      <c r="C399" s="21" t="str">
        <f>_xll.RssMarket(A399,"現在値")</f>
        <v>表示銘柄数超過</v>
      </c>
      <c r="D399" s="20" t="str">
        <f>_xll.RssMarket(A399,"現在値詳細時刻")</f>
        <v>表示銘柄数超過</v>
      </c>
      <c r="E399" s="22" t="str">
        <f>_xll.RssMarket(A399,"前日比")</f>
        <v>表示銘柄数超過</v>
      </c>
      <c r="F399" s="23" t="e">
        <f>_xll.RssMarket(A399,"前日比率")/100</f>
        <v>#VALUE!</v>
      </c>
      <c r="G399" s="24" t="str">
        <f>IFERROR(VLOOKUP(A399,取得元!$A$2:$F$501,2,FALSE),"-")</f>
        <v>-</v>
      </c>
      <c r="H399" s="24" t="str">
        <f>IFERROR(VLOOKUP(A399,取得元!$A$2:$F$501,3,FALSE),"-")</f>
        <v>-</v>
      </c>
      <c r="I399" s="24" t="str">
        <f>IFERROR(VLOOKUP(A399,取得元!$A$2:$F$501,4,FALSE),"-")</f>
        <v>-</v>
      </c>
      <c r="J399" s="5" t="str">
        <f>IFERROR(VLOOKUP(A399,取得元!$A$2:$F$501,5,FALSE),"-")</f>
        <v>-</v>
      </c>
      <c r="K399" s="25" t="str">
        <f>IFERROR(VLOOKUP(A399,取得元!$A$2:$F$501,6,FALSE)/100,"-")</f>
        <v>-</v>
      </c>
      <c r="L399" s="21" t="str">
        <f>_xll.RssMarket(A399,"始値")</f>
        <v>表示銘柄数超過</v>
      </c>
      <c r="M399" s="4" t="e">
        <f t="shared" si="35"/>
        <v>#VALUE!</v>
      </c>
      <c r="N399" s="21" t="str">
        <f>_xll.RssMarket(A399,"高値")</f>
        <v>表示銘柄数超過</v>
      </c>
      <c r="O399" s="4" t="e">
        <f t="shared" si="36"/>
        <v>#VALUE!</v>
      </c>
      <c r="P399" s="21" t="str">
        <f>_xll.RssMarket(A399,"安値")</f>
        <v>表示銘柄数超過</v>
      </c>
      <c r="Q399" s="4" t="e">
        <f t="shared" si="37"/>
        <v>#VALUE!</v>
      </c>
      <c r="R399" s="21" t="str">
        <f>_xll.RssMarket(A399,"後場始値")</f>
        <v>表示銘柄数超過</v>
      </c>
      <c r="S399" s="25" t="str">
        <f t="shared" si="38"/>
        <v>-</v>
      </c>
      <c r="T399" s="7" t="str">
        <f>_xll.RssMarket(A399,"出来高加重平均")</f>
        <v>表示銘柄数超過</v>
      </c>
      <c r="U399" s="4" t="e">
        <f t="shared" si="39"/>
        <v>#VALUE!</v>
      </c>
      <c r="V399" s="21" t="str">
        <f>_xll.RssMarket(A399,"出来高")</f>
        <v>表示銘柄数超過</v>
      </c>
      <c r="W399" s="21" t="str">
        <f>_xll.RssMarket(A399,"売買代金")</f>
        <v>表示銘柄数超過</v>
      </c>
      <c r="X399" s="20" t="str">
        <f>_xll.RssMarket(A399,"決算発表日")</f>
        <v>表示銘柄数超過</v>
      </c>
      <c r="Y399" s="26" t="str">
        <f>IF(C399&gt;_xll.RssMarket(A399,"年初来高値"),"○","×")</f>
        <v>×</v>
      </c>
      <c r="Z399" s="27" t="str">
        <f>IF(C399&lt;=_xll.RssMarket(A399,"年初来安値"),"○","×")</f>
        <v>○</v>
      </c>
    </row>
    <row r="400" spans="1:26" x14ac:dyDescent="0.25">
      <c r="A400" s="47">
        <v>3963</v>
      </c>
      <c r="B400" s="20" t="str">
        <f>_xll.RssMarket(A400,"銘柄名称")</f>
        <v>表示銘柄数超過</v>
      </c>
      <c r="C400" s="21" t="str">
        <f>_xll.RssMarket(A400,"現在値")</f>
        <v>表示銘柄数超過</v>
      </c>
      <c r="D400" s="20" t="str">
        <f>_xll.RssMarket(A400,"現在値詳細時刻")</f>
        <v>表示銘柄数超過</v>
      </c>
      <c r="E400" s="22" t="str">
        <f>_xll.RssMarket(A400,"前日比")</f>
        <v>表示銘柄数超過</v>
      </c>
      <c r="F400" s="23" t="e">
        <f>_xll.RssMarket(A400,"前日比率")/100</f>
        <v>#VALUE!</v>
      </c>
      <c r="G400" s="24" t="str">
        <f>IFERROR(VLOOKUP(A400,取得元!$A$2:$F$501,2,FALSE),"-")</f>
        <v>-</v>
      </c>
      <c r="H400" s="24" t="str">
        <f>IFERROR(VLOOKUP(A400,取得元!$A$2:$F$501,3,FALSE),"-")</f>
        <v>-</v>
      </c>
      <c r="I400" s="24" t="str">
        <f>IFERROR(VLOOKUP(A400,取得元!$A$2:$F$501,4,FALSE),"-")</f>
        <v>-</v>
      </c>
      <c r="J400" s="5" t="str">
        <f>IFERROR(VLOOKUP(A400,取得元!$A$2:$F$501,5,FALSE),"-")</f>
        <v>-</v>
      </c>
      <c r="K400" s="25" t="str">
        <f>IFERROR(VLOOKUP(A400,取得元!$A$2:$F$501,6,FALSE)/100,"-")</f>
        <v>-</v>
      </c>
      <c r="L400" s="21" t="str">
        <f>_xll.RssMarket(A400,"始値")</f>
        <v>表示銘柄数超過</v>
      </c>
      <c r="M400" s="4" t="e">
        <f t="shared" si="35"/>
        <v>#VALUE!</v>
      </c>
      <c r="N400" s="21" t="str">
        <f>_xll.RssMarket(A400,"高値")</f>
        <v>表示銘柄数超過</v>
      </c>
      <c r="O400" s="4" t="e">
        <f t="shared" si="36"/>
        <v>#VALUE!</v>
      </c>
      <c r="P400" s="21" t="str">
        <f>_xll.RssMarket(A400,"安値")</f>
        <v>表示銘柄数超過</v>
      </c>
      <c r="Q400" s="4" t="e">
        <f t="shared" si="37"/>
        <v>#VALUE!</v>
      </c>
      <c r="R400" s="21" t="str">
        <f>_xll.RssMarket(A400,"後場始値")</f>
        <v>表示銘柄数超過</v>
      </c>
      <c r="S400" s="25" t="str">
        <f t="shared" si="38"/>
        <v>-</v>
      </c>
      <c r="T400" s="7" t="str">
        <f>_xll.RssMarket(A400,"出来高加重平均")</f>
        <v>表示銘柄数超過</v>
      </c>
      <c r="U400" s="4" t="e">
        <f t="shared" si="39"/>
        <v>#VALUE!</v>
      </c>
      <c r="V400" s="21" t="str">
        <f>_xll.RssMarket(A400,"出来高")</f>
        <v>表示銘柄数超過</v>
      </c>
      <c r="W400" s="21" t="str">
        <f>_xll.RssMarket(A400,"売買代金")</f>
        <v>表示銘柄数超過</v>
      </c>
      <c r="X400" s="20" t="str">
        <f>_xll.RssMarket(A400,"決算発表日")</f>
        <v>表示銘柄数超過</v>
      </c>
      <c r="Y400" s="26" t="str">
        <f>IF(C400&gt;_xll.RssMarket(A400,"年初来高値"),"○","×")</f>
        <v>×</v>
      </c>
      <c r="Z400" s="27" t="str">
        <f>IF(C400&lt;=_xll.RssMarket(A400,"年初来安値"),"○","×")</f>
        <v>○</v>
      </c>
    </row>
    <row r="401" spans="1:26" x14ac:dyDescent="0.25">
      <c r="A401" s="49">
        <v>3965</v>
      </c>
      <c r="B401" s="20" t="str">
        <f>_xll.RssMarket(A401,"銘柄名称")</f>
        <v>表示銘柄数超過</v>
      </c>
      <c r="C401" s="21" t="str">
        <f>_xll.RssMarket(A401,"現在値")</f>
        <v>表示銘柄数超過</v>
      </c>
      <c r="D401" s="20" t="str">
        <f>_xll.RssMarket(A401,"現在値詳細時刻")</f>
        <v>表示銘柄数超過</v>
      </c>
      <c r="E401" s="22" t="str">
        <f>_xll.RssMarket(A401,"前日比")</f>
        <v>表示銘柄数超過</v>
      </c>
      <c r="F401" s="23" t="e">
        <f>_xll.RssMarket(A401,"前日比率")/100</f>
        <v>#VALUE!</v>
      </c>
      <c r="G401" s="24" t="str">
        <f>IFERROR(VLOOKUP(A401,取得元!$A$2:$F$501,2,FALSE),"-")</f>
        <v>-</v>
      </c>
      <c r="H401" s="24" t="str">
        <f>IFERROR(VLOOKUP(A401,取得元!$A$2:$F$501,3,FALSE),"-")</f>
        <v>-</v>
      </c>
      <c r="I401" s="24" t="str">
        <f>IFERROR(VLOOKUP(A401,取得元!$A$2:$F$501,4,FALSE),"-")</f>
        <v>-</v>
      </c>
      <c r="J401" s="5" t="str">
        <f>IFERROR(VLOOKUP(A401,取得元!$A$2:$F$501,5,FALSE),"-")</f>
        <v>-</v>
      </c>
      <c r="K401" s="25" t="str">
        <f>IFERROR(VLOOKUP(A401,取得元!$A$2:$F$501,6,FALSE)/100,"-")</f>
        <v>-</v>
      </c>
      <c r="L401" s="21" t="str">
        <f>_xll.RssMarket(A401,"始値")</f>
        <v>表示銘柄数超過</v>
      </c>
      <c r="M401" s="4" t="e">
        <f t="shared" si="35"/>
        <v>#VALUE!</v>
      </c>
      <c r="N401" s="21" t="str">
        <f>_xll.RssMarket(A401,"高値")</f>
        <v>表示銘柄数超過</v>
      </c>
      <c r="O401" s="4" t="e">
        <f t="shared" si="36"/>
        <v>#VALUE!</v>
      </c>
      <c r="P401" s="21" t="str">
        <f>_xll.RssMarket(A401,"安値")</f>
        <v>表示銘柄数超過</v>
      </c>
      <c r="Q401" s="4" t="e">
        <f t="shared" si="37"/>
        <v>#VALUE!</v>
      </c>
      <c r="R401" s="21" t="str">
        <f>_xll.RssMarket(A401,"後場始値")</f>
        <v>表示銘柄数超過</v>
      </c>
      <c r="S401" s="25" t="str">
        <f t="shared" si="38"/>
        <v>-</v>
      </c>
      <c r="T401" s="7" t="str">
        <f>_xll.RssMarket(A401,"出来高加重平均")</f>
        <v>表示銘柄数超過</v>
      </c>
      <c r="U401" s="4" t="e">
        <f t="shared" si="39"/>
        <v>#VALUE!</v>
      </c>
      <c r="V401" s="21" t="str">
        <f>_xll.RssMarket(A401,"出来高")</f>
        <v>表示銘柄数超過</v>
      </c>
      <c r="W401" s="21" t="str">
        <f>_xll.RssMarket(A401,"売買代金")</f>
        <v>表示銘柄数超過</v>
      </c>
      <c r="X401" s="20" t="str">
        <f>_xll.RssMarket(A401,"決算発表日")</f>
        <v>表示銘柄数超過</v>
      </c>
      <c r="Y401" s="26" t="str">
        <f>IF(C401&gt;_xll.RssMarket(A401,"年初来高値"),"○","×")</f>
        <v>×</v>
      </c>
      <c r="Z401" s="27" t="str">
        <f>IF(C401&lt;=_xll.RssMarket(A401,"年初来安値"),"○","×")</f>
        <v>○</v>
      </c>
    </row>
    <row r="402" spans="1:26" x14ac:dyDescent="0.25">
      <c r="A402" s="47">
        <v>3976</v>
      </c>
      <c r="B402" s="20" t="str">
        <f>_xll.RssMarket(A402,"銘柄名称")</f>
        <v>表示銘柄数超過</v>
      </c>
      <c r="C402" s="21" t="str">
        <f>_xll.RssMarket(A402,"現在値")</f>
        <v>表示銘柄数超過</v>
      </c>
      <c r="D402" s="20" t="str">
        <f>_xll.RssMarket(A402,"現在値詳細時刻")</f>
        <v>表示銘柄数超過</v>
      </c>
      <c r="E402" s="22" t="str">
        <f>_xll.RssMarket(A402,"前日比")</f>
        <v>表示銘柄数超過</v>
      </c>
      <c r="F402" s="23" t="e">
        <f>_xll.RssMarket(A402,"前日比率")/100</f>
        <v>#VALUE!</v>
      </c>
      <c r="G402" s="24" t="str">
        <f>IFERROR(VLOOKUP(A402,取得元!$A$2:$F$501,2,FALSE),"-")</f>
        <v>-</v>
      </c>
      <c r="H402" s="24" t="str">
        <f>IFERROR(VLOOKUP(A402,取得元!$A$2:$F$501,3,FALSE),"-")</f>
        <v>-</v>
      </c>
      <c r="I402" s="24" t="str">
        <f>IFERROR(VLOOKUP(A402,取得元!$A$2:$F$501,4,FALSE),"-")</f>
        <v>-</v>
      </c>
      <c r="J402" s="5" t="str">
        <f>IFERROR(VLOOKUP(A402,取得元!$A$2:$F$501,5,FALSE),"-")</f>
        <v>-</v>
      </c>
      <c r="K402" s="25" t="str">
        <f>IFERROR(VLOOKUP(A402,取得元!$A$2:$F$501,6,FALSE)/100,"-")</f>
        <v>-</v>
      </c>
      <c r="L402" s="21" t="str">
        <f>_xll.RssMarket(A402,"始値")</f>
        <v>表示銘柄数超過</v>
      </c>
      <c r="M402" s="4" t="e">
        <f t="shared" si="35"/>
        <v>#VALUE!</v>
      </c>
      <c r="N402" s="21" t="str">
        <f>_xll.RssMarket(A402,"高値")</f>
        <v>表示銘柄数超過</v>
      </c>
      <c r="O402" s="4" t="e">
        <f t="shared" si="36"/>
        <v>#VALUE!</v>
      </c>
      <c r="P402" s="21" t="str">
        <f>_xll.RssMarket(A402,"安値")</f>
        <v>表示銘柄数超過</v>
      </c>
      <c r="Q402" s="4" t="e">
        <f t="shared" si="37"/>
        <v>#VALUE!</v>
      </c>
      <c r="R402" s="21" t="str">
        <f>_xll.RssMarket(A402,"後場始値")</f>
        <v>表示銘柄数超過</v>
      </c>
      <c r="S402" s="25" t="str">
        <f t="shared" si="38"/>
        <v>-</v>
      </c>
      <c r="T402" s="7" t="str">
        <f>_xll.RssMarket(A402,"出来高加重平均")</f>
        <v>表示銘柄数超過</v>
      </c>
      <c r="U402" s="4" t="e">
        <f t="shared" si="39"/>
        <v>#VALUE!</v>
      </c>
      <c r="V402" s="21" t="str">
        <f>_xll.RssMarket(A402,"出来高")</f>
        <v>表示銘柄数超過</v>
      </c>
      <c r="W402" s="21" t="str">
        <f>_xll.RssMarket(A402,"売買代金")</f>
        <v>表示銘柄数超過</v>
      </c>
      <c r="X402" s="20" t="str">
        <f>_xll.RssMarket(A402,"決算発表日")</f>
        <v>表示銘柄数超過</v>
      </c>
      <c r="Y402" s="26" t="str">
        <f>IF(C402&gt;_xll.RssMarket(A402,"年初来高値"),"○","×")</f>
        <v>×</v>
      </c>
      <c r="Z402" s="27" t="str">
        <f>IF(C402&lt;=_xll.RssMarket(A402,"年初来安値"),"○","×")</f>
        <v>○</v>
      </c>
    </row>
    <row r="403" spans="1:26" x14ac:dyDescent="0.25">
      <c r="A403" s="49">
        <v>3987</v>
      </c>
      <c r="B403" s="20" t="str">
        <f>_xll.RssMarket(A403,"銘柄名称")</f>
        <v>表示銘柄数超過</v>
      </c>
      <c r="C403" s="21" t="str">
        <f>_xll.RssMarket(A403,"現在値")</f>
        <v>表示銘柄数超過</v>
      </c>
      <c r="D403" s="20" t="str">
        <f>_xll.RssMarket(A403,"現在値詳細時刻")</f>
        <v>表示銘柄数超過</v>
      </c>
      <c r="E403" s="22" t="str">
        <f>_xll.RssMarket(A403,"前日比")</f>
        <v>表示銘柄数超過</v>
      </c>
      <c r="F403" s="23" t="e">
        <f>_xll.RssMarket(A403,"前日比率")/100</f>
        <v>#VALUE!</v>
      </c>
      <c r="G403" s="24" t="str">
        <f>IFERROR(VLOOKUP(A403,取得元!$A$2:$F$501,2,FALSE),"-")</f>
        <v>-</v>
      </c>
      <c r="H403" s="24" t="str">
        <f>IFERROR(VLOOKUP(A403,取得元!$A$2:$F$501,3,FALSE),"-")</f>
        <v>-</v>
      </c>
      <c r="I403" s="24" t="str">
        <f>IFERROR(VLOOKUP(A403,取得元!$A$2:$F$501,4,FALSE),"-")</f>
        <v>-</v>
      </c>
      <c r="J403" s="5" t="str">
        <f>IFERROR(VLOOKUP(A403,取得元!$A$2:$F$501,5,FALSE),"-")</f>
        <v>-</v>
      </c>
      <c r="K403" s="25" t="str">
        <f>IFERROR(VLOOKUP(A403,取得元!$A$2:$F$501,6,FALSE)/100,"-")</f>
        <v>-</v>
      </c>
      <c r="L403" s="21" t="str">
        <f>_xll.RssMarket(A403,"始値")</f>
        <v>表示銘柄数超過</v>
      </c>
      <c r="M403" s="4" t="e">
        <f t="shared" si="35"/>
        <v>#VALUE!</v>
      </c>
      <c r="N403" s="21" t="str">
        <f>_xll.RssMarket(A403,"高値")</f>
        <v>表示銘柄数超過</v>
      </c>
      <c r="O403" s="4" t="e">
        <f t="shared" si="36"/>
        <v>#VALUE!</v>
      </c>
      <c r="P403" s="21" t="str">
        <f>_xll.RssMarket(A403,"安値")</f>
        <v>表示銘柄数超過</v>
      </c>
      <c r="Q403" s="4" t="e">
        <f t="shared" si="37"/>
        <v>#VALUE!</v>
      </c>
      <c r="R403" s="21" t="str">
        <f>_xll.RssMarket(A403,"後場始値")</f>
        <v>表示銘柄数超過</v>
      </c>
      <c r="S403" s="25" t="str">
        <f t="shared" si="38"/>
        <v>-</v>
      </c>
      <c r="T403" s="7" t="str">
        <f>_xll.RssMarket(A403,"出来高加重平均")</f>
        <v>表示銘柄数超過</v>
      </c>
      <c r="U403" s="4" t="e">
        <f t="shared" si="39"/>
        <v>#VALUE!</v>
      </c>
      <c r="V403" s="21" t="str">
        <f>_xll.RssMarket(A403,"出来高")</f>
        <v>表示銘柄数超過</v>
      </c>
      <c r="W403" s="21" t="str">
        <f>_xll.RssMarket(A403,"売買代金")</f>
        <v>表示銘柄数超過</v>
      </c>
      <c r="X403" s="20" t="str">
        <f>_xll.RssMarket(A403,"決算発表日")</f>
        <v>表示銘柄数超過</v>
      </c>
      <c r="Y403" s="26" t="str">
        <f>IF(C403&gt;_xll.RssMarket(A403,"年初来高値"),"○","×")</f>
        <v>×</v>
      </c>
      <c r="Z403" s="27" t="str">
        <f>IF(C403&lt;=_xll.RssMarket(A403,"年初来安値"),"○","×")</f>
        <v>○</v>
      </c>
    </row>
    <row r="404" spans="1:26" x14ac:dyDescent="0.25">
      <c r="A404" s="47">
        <v>3989</v>
      </c>
      <c r="B404" s="20" t="str">
        <f>_xll.RssMarket(A404,"銘柄名称")</f>
        <v>表示銘柄数超過</v>
      </c>
      <c r="C404" s="21" t="str">
        <f>_xll.RssMarket(A404,"現在値")</f>
        <v>表示銘柄数超過</v>
      </c>
      <c r="D404" s="20" t="str">
        <f>_xll.RssMarket(A404,"現在値詳細時刻")</f>
        <v>表示銘柄数超過</v>
      </c>
      <c r="E404" s="22" t="str">
        <f>_xll.RssMarket(A404,"前日比")</f>
        <v>表示銘柄数超過</v>
      </c>
      <c r="F404" s="23" t="e">
        <f>_xll.RssMarket(A404,"前日比率")/100</f>
        <v>#VALUE!</v>
      </c>
      <c r="G404" s="24" t="str">
        <f>IFERROR(VLOOKUP(A404,取得元!$A$2:$F$501,2,FALSE),"-")</f>
        <v>-</v>
      </c>
      <c r="H404" s="24" t="str">
        <f>IFERROR(VLOOKUP(A404,取得元!$A$2:$F$501,3,FALSE),"-")</f>
        <v>-</v>
      </c>
      <c r="I404" s="24" t="str">
        <f>IFERROR(VLOOKUP(A404,取得元!$A$2:$F$501,4,FALSE),"-")</f>
        <v>-</v>
      </c>
      <c r="J404" s="5" t="str">
        <f>IFERROR(VLOOKUP(A404,取得元!$A$2:$F$501,5,FALSE),"-")</f>
        <v>-</v>
      </c>
      <c r="K404" s="25" t="str">
        <f>IFERROR(VLOOKUP(A404,取得元!$A$2:$F$501,6,FALSE)/100,"-")</f>
        <v>-</v>
      </c>
      <c r="L404" s="21" t="str">
        <f>_xll.RssMarket(A404,"始値")</f>
        <v>表示銘柄数超過</v>
      </c>
      <c r="M404" s="4" t="e">
        <f t="shared" si="35"/>
        <v>#VALUE!</v>
      </c>
      <c r="N404" s="21" t="str">
        <f>_xll.RssMarket(A404,"高値")</f>
        <v>表示銘柄数超過</v>
      </c>
      <c r="O404" s="4" t="e">
        <f t="shared" si="36"/>
        <v>#VALUE!</v>
      </c>
      <c r="P404" s="21" t="str">
        <f>_xll.RssMarket(A404,"安値")</f>
        <v>表示銘柄数超過</v>
      </c>
      <c r="Q404" s="4" t="e">
        <f t="shared" si="37"/>
        <v>#VALUE!</v>
      </c>
      <c r="R404" s="21" t="str">
        <f>_xll.RssMarket(A404,"後場始値")</f>
        <v>表示銘柄数超過</v>
      </c>
      <c r="S404" s="25" t="str">
        <f t="shared" si="38"/>
        <v>-</v>
      </c>
      <c r="T404" s="7" t="str">
        <f>_xll.RssMarket(A404,"出来高加重平均")</f>
        <v>表示銘柄数超過</v>
      </c>
      <c r="U404" s="4" t="e">
        <f t="shared" si="39"/>
        <v>#VALUE!</v>
      </c>
      <c r="V404" s="21" t="str">
        <f>_xll.RssMarket(A404,"出来高")</f>
        <v>表示銘柄数超過</v>
      </c>
      <c r="W404" s="21" t="str">
        <f>_xll.RssMarket(A404,"売買代金")</f>
        <v>表示銘柄数超過</v>
      </c>
      <c r="X404" s="20" t="str">
        <f>_xll.RssMarket(A404,"決算発表日")</f>
        <v>表示銘柄数超過</v>
      </c>
      <c r="Y404" s="26" t="str">
        <f>IF(C404&gt;_xll.RssMarket(A404,"年初来高値"),"○","×")</f>
        <v>×</v>
      </c>
      <c r="Z404" s="27" t="str">
        <f>IF(C404&lt;=_xll.RssMarket(A404,"年初来安値"),"○","×")</f>
        <v>○</v>
      </c>
    </row>
    <row r="405" spans="1:26" x14ac:dyDescent="0.25">
      <c r="A405" s="49">
        <v>3990</v>
      </c>
      <c r="B405" s="20" t="str">
        <f>_xll.RssMarket(A405,"銘柄名称")</f>
        <v>表示銘柄数超過</v>
      </c>
      <c r="C405" s="21" t="str">
        <f>_xll.RssMarket(A405,"現在値")</f>
        <v>表示銘柄数超過</v>
      </c>
      <c r="D405" s="20" t="str">
        <f>_xll.RssMarket(A405,"現在値詳細時刻")</f>
        <v>表示銘柄数超過</v>
      </c>
      <c r="E405" s="22" t="str">
        <f>_xll.RssMarket(A405,"前日比")</f>
        <v>表示銘柄数超過</v>
      </c>
      <c r="F405" s="23" t="e">
        <f>_xll.RssMarket(A405,"前日比率")/100</f>
        <v>#VALUE!</v>
      </c>
      <c r="G405" s="24" t="str">
        <f>IFERROR(VLOOKUP(A405,取得元!$A$2:$F$501,2,FALSE),"-")</f>
        <v>-</v>
      </c>
      <c r="H405" s="24" t="str">
        <f>IFERROR(VLOOKUP(A405,取得元!$A$2:$F$501,3,FALSE),"-")</f>
        <v>-</v>
      </c>
      <c r="I405" s="24" t="str">
        <f>IFERROR(VLOOKUP(A405,取得元!$A$2:$F$501,4,FALSE),"-")</f>
        <v>-</v>
      </c>
      <c r="J405" s="5" t="str">
        <f>IFERROR(VLOOKUP(A405,取得元!$A$2:$F$501,5,FALSE),"-")</f>
        <v>-</v>
      </c>
      <c r="K405" s="25" t="str">
        <f>IFERROR(VLOOKUP(A405,取得元!$A$2:$F$501,6,FALSE)/100,"-")</f>
        <v>-</v>
      </c>
      <c r="L405" s="21" t="str">
        <f>_xll.RssMarket(A405,"始値")</f>
        <v>表示銘柄数超過</v>
      </c>
      <c r="M405" s="4" t="e">
        <f t="shared" si="35"/>
        <v>#VALUE!</v>
      </c>
      <c r="N405" s="21" t="str">
        <f>_xll.RssMarket(A405,"高値")</f>
        <v>表示銘柄数超過</v>
      </c>
      <c r="O405" s="4" t="e">
        <f t="shared" si="36"/>
        <v>#VALUE!</v>
      </c>
      <c r="P405" s="21" t="str">
        <f>_xll.RssMarket(A405,"安値")</f>
        <v>表示銘柄数超過</v>
      </c>
      <c r="Q405" s="4" t="e">
        <f t="shared" si="37"/>
        <v>#VALUE!</v>
      </c>
      <c r="R405" s="21" t="str">
        <f>_xll.RssMarket(A405,"後場始値")</f>
        <v>表示銘柄数超過</v>
      </c>
      <c r="S405" s="25" t="str">
        <f t="shared" si="38"/>
        <v>-</v>
      </c>
      <c r="T405" s="7" t="str">
        <f>_xll.RssMarket(A405,"出来高加重平均")</f>
        <v>表示銘柄数超過</v>
      </c>
      <c r="U405" s="4" t="e">
        <f t="shared" si="39"/>
        <v>#VALUE!</v>
      </c>
      <c r="V405" s="21" t="str">
        <f>_xll.RssMarket(A405,"出来高")</f>
        <v>表示銘柄数超過</v>
      </c>
      <c r="W405" s="21" t="str">
        <f>_xll.RssMarket(A405,"売買代金")</f>
        <v>表示銘柄数超過</v>
      </c>
      <c r="X405" s="20" t="str">
        <f>_xll.RssMarket(A405,"決算発表日")</f>
        <v>表示銘柄数超過</v>
      </c>
      <c r="Y405" s="26" t="str">
        <f>IF(C405&gt;_xll.RssMarket(A405,"年初来高値"),"○","×")</f>
        <v>×</v>
      </c>
      <c r="Z405" s="27" t="str">
        <f>IF(C405&lt;=_xll.RssMarket(A405,"年初来安値"),"○","×")</f>
        <v>○</v>
      </c>
    </row>
    <row r="406" spans="1:26" x14ac:dyDescent="0.25">
      <c r="A406" s="47">
        <v>3992</v>
      </c>
      <c r="B406" s="20" t="str">
        <f>_xll.RssMarket(A406,"銘柄名称")</f>
        <v>表示銘柄数超過</v>
      </c>
      <c r="C406" s="21" t="str">
        <f>_xll.RssMarket(A406,"現在値")</f>
        <v>表示銘柄数超過</v>
      </c>
      <c r="D406" s="20" t="str">
        <f>_xll.RssMarket(A406,"現在値詳細時刻")</f>
        <v>表示銘柄数超過</v>
      </c>
      <c r="E406" s="22" t="str">
        <f>_xll.RssMarket(A406,"前日比")</f>
        <v>表示銘柄数超過</v>
      </c>
      <c r="F406" s="23" t="e">
        <f>_xll.RssMarket(A406,"前日比率")/100</f>
        <v>#VALUE!</v>
      </c>
      <c r="G406" s="24" t="str">
        <f>IFERROR(VLOOKUP(A406,取得元!$A$2:$F$501,2,FALSE),"-")</f>
        <v>-</v>
      </c>
      <c r="H406" s="24" t="str">
        <f>IFERROR(VLOOKUP(A406,取得元!$A$2:$F$501,3,FALSE),"-")</f>
        <v>-</v>
      </c>
      <c r="I406" s="24" t="str">
        <f>IFERROR(VLOOKUP(A406,取得元!$A$2:$F$501,4,FALSE),"-")</f>
        <v>-</v>
      </c>
      <c r="J406" s="5" t="str">
        <f>IFERROR(VLOOKUP(A406,取得元!$A$2:$F$501,5,FALSE),"-")</f>
        <v>-</v>
      </c>
      <c r="K406" s="25" t="str">
        <f>IFERROR(VLOOKUP(A406,取得元!$A$2:$F$501,6,FALSE)/100,"-")</f>
        <v>-</v>
      </c>
      <c r="L406" s="21" t="str">
        <f>_xll.RssMarket(A406,"始値")</f>
        <v>表示銘柄数超過</v>
      </c>
      <c r="M406" s="4" t="e">
        <f t="shared" si="35"/>
        <v>#VALUE!</v>
      </c>
      <c r="N406" s="21" t="str">
        <f>_xll.RssMarket(A406,"高値")</f>
        <v>表示銘柄数超過</v>
      </c>
      <c r="O406" s="4" t="e">
        <f t="shared" si="36"/>
        <v>#VALUE!</v>
      </c>
      <c r="P406" s="21" t="str">
        <f>_xll.RssMarket(A406,"安値")</f>
        <v>表示銘柄数超過</v>
      </c>
      <c r="Q406" s="4" t="e">
        <f t="shared" si="37"/>
        <v>#VALUE!</v>
      </c>
      <c r="R406" s="21" t="str">
        <f>_xll.RssMarket(A406,"後場始値")</f>
        <v>表示銘柄数超過</v>
      </c>
      <c r="S406" s="25" t="str">
        <f t="shared" si="38"/>
        <v>-</v>
      </c>
      <c r="T406" s="7" t="str">
        <f>_xll.RssMarket(A406,"出来高加重平均")</f>
        <v>表示銘柄数超過</v>
      </c>
      <c r="U406" s="4" t="e">
        <f t="shared" si="39"/>
        <v>#VALUE!</v>
      </c>
      <c r="V406" s="21" t="str">
        <f>_xll.RssMarket(A406,"出来高")</f>
        <v>表示銘柄数超過</v>
      </c>
      <c r="W406" s="21" t="str">
        <f>_xll.RssMarket(A406,"売買代金")</f>
        <v>表示銘柄数超過</v>
      </c>
      <c r="X406" s="20" t="str">
        <f>_xll.RssMarket(A406,"決算発表日")</f>
        <v>表示銘柄数超過</v>
      </c>
      <c r="Y406" s="26" t="str">
        <f>IF(C406&gt;_xll.RssMarket(A406,"年初来高値"),"○","×")</f>
        <v>×</v>
      </c>
      <c r="Z406" s="27" t="str">
        <f>IF(C406&lt;=_xll.RssMarket(A406,"年初来安値"),"○","×")</f>
        <v>○</v>
      </c>
    </row>
    <row r="407" spans="1:26" x14ac:dyDescent="0.25">
      <c r="A407" s="49">
        <v>3995</v>
      </c>
      <c r="B407" s="20" t="str">
        <f>_xll.RssMarket(A407,"銘柄名称")</f>
        <v>表示銘柄数超過</v>
      </c>
      <c r="C407" s="21" t="str">
        <f>_xll.RssMarket(A407,"現在値")</f>
        <v>表示銘柄数超過</v>
      </c>
      <c r="D407" s="20" t="str">
        <f>_xll.RssMarket(A407,"現在値詳細時刻")</f>
        <v>表示銘柄数超過</v>
      </c>
      <c r="E407" s="22" t="str">
        <f>_xll.RssMarket(A407,"前日比")</f>
        <v>表示銘柄数超過</v>
      </c>
      <c r="F407" s="23" t="e">
        <f>_xll.RssMarket(A407,"前日比率")/100</f>
        <v>#VALUE!</v>
      </c>
      <c r="G407" s="24" t="str">
        <f>IFERROR(VLOOKUP(A407,取得元!$A$2:$F$501,2,FALSE),"-")</f>
        <v>-</v>
      </c>
      <c r="H407" s="24" t="str">
        <f>IFERROR(VLOOKUP(A407,取得元!$A$2:$F$501,3,FALSE),"-")</f>
        <v>-</v>
      </c>
      <c r="I407" s="24" t="str">
        <f>IFERROR(VLOOKUP(A407,取得元!$A$2:$F$501,4,FALSE),"-")</f>
        <v>-</v>
      </c>
      <c r="J407" s="5" t="str">
        <f>IFERROR(VLOOKUP(A407,取得元!$A$2:$F$501,5,FALSE),"-")</f>
        <v>-</v>
      </c>
      <c r="K407" s="25" t="str">
        <f>IFERROR(VLOOKUP(A407,取得元!$A$2:$F$501,6,FALSE)/100,"-")</f>
        <v>-</v>
      </c>
      <c r="L407" s="21" t="str">
        <f>_xll.RssMarket(A407,"始値")</f>
        <v>表示銘柄数超過</v>
      </c>
      <c r="M407" s="4" t="e">
        <f t="shared" si="35"/>
        <v>#VALUE!</v>
      </c>
      <c r="N407" s="21" t="str">
        <f>_xll.RssMarket(A407,"高値")</f>
        <v>表示銘柄数超過</v>
      </c>
      <c r="O407" s="4" t="e">
        <f t="shared" si="36"/>
        <v>#VALUE!</v>
      </c>
      <c r="P407" s="21" t="str">
        <f>_xll.RssMarket(A407,"安値")</f>
        <v>表示銘柄数超過</v>
      </c>
      <c r="Q407" s="4" t="e">
        <f t="shared" si="37"/>
        <v>#VALUE!</v>
      </c>
      <c r="R407" s="21" t="str">
        <f>_xll.RssMarket(A407,"後場始値")</f>
        <v>表示銘柄数超過</v>
      </c>
      <c r="S407" s="25" t="str">
        <f t="shared" si="38"/>
        <v>-</v>
      </c>
      <c r="T407" s="7" t="str">
        <f>_xll.RssMarket(A407,"出来高加重平均")</f>
        <v>表示銘柄数超過</v>
      </c>
      <c r="U407" s="4" t="e">
        <f t="shared" si="39"/>
        <v>#VALUE!</v>
      </c>
      <c r="V407" s="21" t="str">
        <f>_xll.RssMarket(A407,"出来高")</f>
        <v>表示銘柄数超過</v>
      </c>
      <c r="W407" s="21" t="str">
        <f>_xll.RssMarket(A407,"売買代金")</f>
        <v>表示銘柄数超過</v>
      </c>
      <c r="X407" s="20" t="str">
        <f>_xll.RssMarket(A407,"決算発表日")</f>
        <v>表示銘柄数超過</v>
      </c>
      <c r="Y407" s="26" t="str">
        <f>IF(C407&gt;_xll.RssMarket(A407,"年初来高値"),"○","×")</f>
        <v>×</v>
      </c>
      <c r="Z407" s="27" t="str">
        <f>IF(C407&lt;=_xll.RssMarket(A407,"年初来安値"),"○","×")</f>
        <v>○</v>
      </c>
    </row>
    <row r="408" spans="1:26" x14ac:dyDescent="0.25">
      <c r="A408" s="47">
        <v>3997</v>
      </c>
      <c r="B408" s="20" t="str">
        <f>_xll.RssMarket(A408,"銘柄名称")</f>
        <v>表示銘柄数超過</v>
      </c>
      <c r="C408" s="21" t="str">
        <f>_xll.RssMarket(A408,"現在値")</f>
        <v>表示銘柄数超過</v>
      </c>
      <c r="D408" s="20" t="str">
        <f>_xll.RssMarket(A408,"現在値詳細時刻")</f>
        <v>表示銘柄数超過</v>
      </c>
      <c r="E408" s="22" t="str">
        <f>_xll.RssMarket(A408,"前日比")</f>
        <v>表示銘柄数超過</v>
      </c>
      <c r="F408" s="23" t="e">
        <f>_xll.RssMarket(A408,"前日比率")/100</f>
        <v>#VALUE!</v>
      </c>
      <c r="G408" s="24" t="str">
        <f>IFERROR(VLOOKUP(A408,取得元!$A$2:$F$501,2,FALSE),"-")</f>
        <v>-</v>
      </c>
      <c r="H408" s="24" t="str">
        <f>IFERROR(VLOOKUP(A408,取得元!$A$2:$F$501,3,FALSE),"-")</f>
        <v>-</v>
      </c>
      <c r="I408" s="24" t="str">
        <f>IFERROR(VLOOKUP(A408,取得元!$A$2:$F$501,4,FALSE),"-")</f>
        <v>-</v>
      </c>
      <c r="J408" s="5" t="str">
        <f>IFERROR(VLOOKUP(A408,取得元!$A$2:$F$501,5,FALSE),"-")</f>
        <v>-</v>
      </c>
      <c r="K408" s="25" t="str">
        <f>IFERROR(VLOOKUP(A408,取得元!$A$2:$F$501,6,FALSE)/100,"-")</f>
        <v>-</v>
      </c>
      <c r="L408" s="21" t="str">
        <f>_xll.RssMarket(A408,"始値")</f>
        <v>表示銘柄数超過</v>
      </c>
      <c r="M408" s="4" t="e">
        <f t="shared" si="35"/>
        <v>#VALUE!</v>
      </c>
      <c r="N408" s="21" t="str">
        <f>_xll.RssMarket(A408,"高値")</f>
        <v>表示銘柄数超過</v>
      </c>
      <c r="O408" s="4" t="e">
        <f t="shared" si="36"/>
        <v>#VALUE!</v>
      </c>
      <c r="P408" s="21" t="str">
        <f>_xll.RssMarket(A408,"安値")</f>
        <v>表示銘柄数超過</v>
      </c>
      <c r="Q408" s="4" t="e">
        <f t="shared" si="37"/>
        <v>#VALUE!</v>
      </c>
      <c r="R408" s="21" t="str">
        <f>_xll.RssMarket(A408,"後場始値")</f>
        <v>表示銘柄数超過</v>
      </c>
      <c r="S408" s="25" t="str">
        <f t="shared" si="38"/>
        <v>-</v>
      </c>
      <c r="T408" s="7" t="str">
        <f>_xll.RssMarket(A408,"出来高加重平均")</f>
        <v>表示銘柄数超過</v>
      </c>
      <c r="U408" s="4" t="e">
        <f t="shared" si="39"/>
        <v>#VALUE!</v>
      </c>
      <c r="V408" s="21" t="str">
        <f>_xll.RssMarket(A408,"出来高")</f>
        <v>表示銘柄数超過</v>
      </c>
      <c r="W408" s="21" t="str">
        <f>_xll.RssMarket(A408,"売買代金")</f>
        <v>表示銘柄数超過</v>
      </c>
      <c r="X408" s="20" t="str">
        <f>_xll.RssMarket(A408,"決算発表日")</f>
        <v>表示銘柄数超過</v>
      </c>
      <c r="Y408" s="26" t="str">
        <f>IF(C408&gt;_xll.RssMarket(A408,"年初来高値"),"○","×")</f>
        <v>×</v>
      </c>
      <c r="Z408" s="27" t="str">
        <f>IF(C408&lt;=_xll.RssMarket(A408,"年初来安値"),"○","×")</f>
        <v>○</v>
      </c>
    </row>
    <row r="409" spans="1:26" x14ac:dyDescent="0.25">
      <c r="A409" s="49">
        <v>3998</v>
      </c>
      <c r="B409" s="20" t="str">
        <f>_xll.RssMarket(A409,"銘柄名称")</f>
        <v>表示銘柄数超過</v>
      </c>
      <c r="C409" s="21" t="str">
        <f>_xll.RssMarket(A409,"現在値")</f>
        <v>表示銘柄数超過</v>
      </c>
      <c r="D409" s="20" t="str">
        <f>_xll.RssMarket(A409,"現在値詳細時刻")</f>
        <v>表示銘柄数超過</v>
      </c>
      <c r="E409" s="22" t="str">
        <f>_xll.RssMarket(A409,"前日比")</f>
        <v>表示銘柄数超過</v>
      </c>
      <c r="F409" s="23" t="e">
        <f>_xll.RssMarket(A409,"前日比率")/100</f>
        <v>#VALUE!</v>
      </c>
      <c r="G409" s="24" t="str">
        <f>IFERROR(VLOOKUP(A409,取得元!$A$2:$F$501,2,FALSE),"-")</f>
        <v>-</v>
      </c>
      <c r="H409" s="24" t="str">
        <f>IFERROR(VLOOKUP(A409,取得元!$A$2:$F$501,3,FALSE),"-")</f>
        <v>-</v>
      </c>
      <c r="I409" s="24" t="str">
        <f>IFERROR(VLOOKUP(A409,取得元!$A$2:$F$501,4,FALSE),"-")</f>
        <v>-</v>
      </c>
      <c r="J409" s="5" t="str">
        <f>IFERROR(VLOOKUP(A409,取得元!$A$2:$F$501,5,FALSE),"-")</f>
        <v>-</v>
      </c>
      <c r="K409" s="25" t="str">
        <f>IFERROR(VLOOKUP(A409,取得元!$A$2:$F$501,6,FALSE)/100,"-")</f>
        <v>-</v>
      </c>
      <c r="L409" s="21" t="str">
        <f>_xll.RssMarket(A409,"始値")</f>
        <v>表示銘柄数超過</v>
      </c>
      <c r="M409" s="4" t="e">
        <f t="shared" si="35"/>
        <v>#VALUE!</v>
      </c>
      <c r="N409" s="21" t="str">
        <f>_xll.RssMarket(A409,"高値")</f>
        <v>表示銘柄数超過</v>
      </c>
      <c r="O409" s="4" t="e">
        <f t="shared" si="36"/>
        <v>#VALUE!</v>
      </c>
      <c r="P409" s="21" t="str">
        <f>_xll.RssMarket(A409,"安値")</f>
        <v>表示銘柄数超過</v>
      </c>
      <c r="Q409" s="4" t="e">
        <f t="shared" si="37"/>
        <v>#VALUE!</v>
      </c>
      <c r="R409" s="21" t="str">
        <f>_xll.RssMarket(A409,"後場始値")</f>
        <v>表示銘柄数超過</v>
      </c>
      <c r="S409" s="25" t="str">
        <f t="shared" si="38"/>
        <v>-</v>
      </c>
      <c r="T409" s="7" t="str">
        <f>_xll.RssMarket(A409,"出来高加重平均")</f>
        <v>表示銘柄数超過</v>
      </c>
      <c r="U409" s="4" t="e">
        <f t="shared" si="39"/>
        <v>#VALUE!</v>
      </c>
      <c r="V409" s="21" t="str">
        <f>_xll.RssMarket(A409,"出来高")</f>
        <v>表示銘柄数超過</v>
      </c>
      <c r="W409" s="21" t="str">
        <f>_xll.RssMarket(A409,"売買代金")</f>
        <v>表示銘柄数超過</v>
      </c>
      <c r="X409" s="20" t="str">
        <f>_xll.RssMarket(A409,"決算発表日")</f>
        <v>表示銘柄数超過</v>
      </c>
      <c r="Y409" s="26" t="str">
        <f>IF(C409&gt;_xll.RssMarket(A409,"年初来高値"),"○","×")</f>
        <v>×</v>
      </c>
      <c r="Z409" s="27" t="str">
        <f>IF(C409&lt;=_xll.RssMarket(A409,"年初来安値"),"○","×")</f>
        <v>○</v>
      </c>
    </row>
    <row r="410" spans="1:26" x14ac:dyDescent="0.25">
      <c r="A410" s="47">
        <v>4004</v>
      </c>
      <c r="B410" s="20" t="str">
        <f>_xll.RssMarket(A410,"銘柄名称")</f>
        <v>表示銘柄数超過</v>
      </c>
      <c r="C410" s="21" t="str">
        <f>_xll.RssMarket(A410,"現在値")</f>
        <v>表示銘柄数超過</v>
      </c>
      <c r="D410" s="20" t="str">
        <f>_xll.RssMarket(A410,"現在値詳細時刻")</f>
        <v>表示銘柄数超過</v>
      </c>
      <c r="E410" s="22" t="str">
        <f>_xll.RssMarket(A410,"前日比")</f>
        <v>表示銘柄数超過</v>
      </c>
      <c r="F410" s="23" t="e">
        <f>_xll.RssMarket(A410,"前日比率")/100</f>
        <v>#VALUE!</v>
      </c>
      <c r="G410" s="24" t="str">
        <f>IFERROR(VLOOKUP(A410,取得元!$A$2:$F$501,2,FALSE),"-")</f>
        <v>-</v>
      </c>
      <c r="H410" s="24" t="str">
        <f>IFERROR(VLOOKUP(A410,取得元!$A$2:$F$501,3,FALSE),"-")</f>
        <v>-</v>
      </c>
      <c r="I410" s="24" t="str">
        <f>IFERROR(VLOOKUP(A410,取得元!$A$2:$F$501,4,FALSE),"-")</f>
        <v>-</v>
      </c>
      <c r="J410" s="5" t="str">
        <f>IFERROR(VLOOKUP(A410,取得元!$A$2:$F$501,5,FALSE),"-")</f>
        <v>-</v>
      </c>
      <c r="K410" s="25" t="str">
        <f>IFERROR(VLOOKUP(A410,取得元!$A$2:$F$501,6,FALSE)/100,"-")</f>
        <v>-</v>
      </c>
      <c r="L410" s="21" t="str">
        <f>_xll.RssMarket(A410,"始値")</f>
        <v>表示銘柄数超過</v>
      </c>
      <c r="M410" s="4" t="e">
        <f t="shared" si="35"/>
        <v>#VALUE!</v>
      </c>
      <c r="N410" s="21" t="str">
        <f>_xll.RssMarket(A410,"高値")</f>
        <v>表示銘柄数超過</v>
      </c>
      <c r="O410" s="4" t="e">
        <f t="shared" si="36"/>
        <v>#VALUE!</v>
      </c>
      <c r="P410" s="21" t="str">
        <f>_xll.RssMarket(A410,"安値")</f>
        <v>表示銘柄数超過</v>
      </c>
      <c r="Q410" s="4" t="e">
        <f t="shared" si="37"/>
        <v>#VALUE!</v>
      </c>
      <c r="R410" s="21" t="str">
        <f>_xll.RssMarket(A410,"後場始値")</f>
        <v>表示銘柄数超過</v>
      </c>
      <c r="S410" s="25" t="str">
        <f t="shared" si="38"/>
        <v>-</v>
      </c>
      <c r="T410" s="7" t="str">
        <f>_xll.RssMarket(A410,"出来高加重平均")</f>
        <v>表示銘柄数超過</v>
      </c>
      <c r="U410" s="4" t="e">
        <f t="shared" si="39"/>
        <v>#VALUE!</v>
      </c>
      <c r="V410" s="21" t="str">
        <f>_xll.RssMarket(A410,"出来高")</f>
        <v>表示銘柄数超過</v>
      </c>
      <c r="W410" s="21" t="str">
        <f>_xll.RssMarket(A410,"売買代金")</f>
        <v>表示銘柄数超過</v>
      </c>
      <c r="X410" s="20" t="str">
        <f>_xll.RssMarket(A410,"決算発表日")</f>
        <v>表示銘柄数超過</v>
      </c>
      <c r="Y410" s="26" t="str">
        <f>IF(C410&gt;_xll.RssMarket(A410,"年初来高値"),"○","×")</f>
        <v>×</v>
      </c>
      <c r="Z410" s="27" t="str">
        <f>IF(C410&lt;=_xll.RssMarket(A410,"年初来安値"),"○","×")</f>
        <v>○</v>
      </c>
    </row>
    <row r="411" spans="1:26" x14ac:dyDescent="0.25">
      <c r="A411" s="49">
        <v>4011</v>
      </c>
      <c r="B411" s="20" t="str">
        <f>_xll.RssMarket(A411,"銘柄名称")</f>
        <v>表示銘柄数超過</v>
      </c>
      <c r="C411" s="21" t="str">
        <f>_xll.RssMarket(A411,"現在値")</f>
        <v>表示銘柄数超過</v>
      </c>
      <c r="D411" s="20" t="str">
        <f>_xll.RssMarket(A411,"現在値詳細時刻")</f>
        <v>表示銘柄数超過</v>
      </c>
      <c r="E411" s="22" t="str">
        <f>_xll.RssMarket(A411,"前日比")</f>
        <v>表示銘柄数超過</v>
      </c>
      <c r="F411" s="23" t="e">
        <f>_xll.RssMarket(A411,"前日比率")/100</f>
        <v>#VALUE!</v>
      </c>
      <c r="G411" s="24" t="str">
        <f>IFERROR(VLOOKUP(A411,取得元!$A$2:$F$501,2,FALSE),"-")</f>
        <v>-</v>
      </c>
      <c r="H411" s="24" t="str">
        <f>IFERROR(VLOOKUP(A411,取得元!$A$2:$F$501,3,FALSE),"-")</f>
        <v>-</v>
      </c>
      <c r="I411" s="24" t="str">
        <f>IFERROR(VLOOKUP(A411,取得元!$A$2:$F$501,4,FALSE),"-")</f>
        <v>-</v>
      </c>
      <c r="J411" s="5" t="str">
        <f>IFERROR(VLOOKUP(A411,取得元!$A$2:$F$501,5,FALSE),"-")</f>
        <v>-</v>
      </c>
      <c r="K411" s="25" t="str">
        <f>IFERROR(VLOOKUP(A411,取得元!$A$2:$F$501,6,FALSE)/100,"-")</f>
        <v>-</v>
      </c>
      <c r="L411" s="21" t="str">
        <f>_xll.RssMarket(A411,"始値")</f>
        <v>表示銘柄数超過</v>
      </c>
      <c r="M411" s="4" t="e">
        <f t="shared" si="35"/>
        <v>#VALUE!</v>
      </c>
      <c r="N411" s="21" t="str">
        <f>_xll.RssMarket(A411,"高値")</f>
        <v>表示銘柄数超過</v>
      </c>
      <c r="O411" s="4" t="e">
        <f t="shared" si="36"/>
        <v>#VALUE!</v>
      </c>
      <c r="P411" s="21" t="str">
        <f>_xll.RssMarket(A411,"安値")</f>
        <v>表示銘柄数超過</v>
      </c>
      <c r="Q411" s="4" t="e">
        <f t="shared" si="37"/>
        <v>#VALUE!</v>
      </c>
      <c r="R411" s="21" t="str">
        <f>_xll.RssMarket(A411,"後場始値")</f>
        <v>表示銘柄数超過</v>
      </c>
      <c r="S411" s="25" t="str">
        <f t="shared" si="38"/>
        <v>-</v>
      </c>
      <c r="T411" s="7" t="str">
        <f>_xll.RssMarket(A411,"出来高加重平均")</f>
        <v>表示銘柄数超過</v>
      </c>
      <c r="U411" s="4" t="e">
        <f t="shared" si="39"/>
        <v>#VALUE!</v>
      </c>
      <c r="V411" s="21" t="str">
        <f>_xll.RssMarket(A411,"出来高")</f>
        <v>表示銘柄数超過</v>
      </c>
      <c r="W411" s="21" t="str">
        <f>_xll.RssMarket(A411,"売買代金")</f>
        <v>表示銘柄数超過</v>
      </c>
      <c r="X411" s="20" t="str">
        <f>_xll.RssMarket(A411,"決算発表日")</f>
        <v>表示銘柄数超過</v>
      </c>
      <c r="Y411" s="26" t="str">
        <f>IF(C411&gt;_xll.RssMarket(A411,"年初来高値"),"○","×")</f>
        <v>×</v>
      </c>
      <c r="Z411" s="27" t="str">
        <f>IF(C411&lt;=_xll.RssMarket(A411,"年初来安値"),"○","×")</f>
        <v>○</v>
      </c>
    </row>
    <row r="412" spans="1:26" x14ac:dyDescent="0.25">
      <c r="A412" s="47">
        <v>4016</v>
      </c>
      <c r="B412" s="20" t="str">
        <f>_xll.RssMarket(A412,"銘柄名称")</f>
        <v>表示銘柄数超過</v>
      </c>
      <c r="C412" s="21" t="str">
        <f>_xll.RssMarket(A412,"現在値")</f>
        <v>表示銘柄数超過</v>
      </c>
      <c r="D412" s="20" t="str">
        <f>_xll.RssMarket(A412,"現在値詳細時刻")</f>
        <v>表示銘柄数超過</v>
      </c>
      <c r="E412" s="22" t="str">
        <f>_xll.RssMarket(A412,"前日比")</f>
        <v>表示銘柄数超過</v>
      </c>
      <c r="F412" s="23" t="e">
        <f>_xll.RssMarket(A412,"前日比率")/100</f>
        <v>#VALUE!</v>
      </c>
      <c r="G412" s="24" t="str">
        <f>IFERROR(VLOOKUP(A412,取得元!$A$2:$F$501,2,FALSE),"-")</f>
        <v>-</v>
      </c>
      <c r="H412" s="24" t="str">
        <f>IFERROR(VLOOKUP(A412,取得元!$A$2:$F$501,3,FALSE),"-")</f>
        <v>-</v>
      </c>
      <c r="I412" s="24" t="str">
        <f>IFERROR(VLOOKUP(A412,取得元!$A$2:$F$501,4,FALSE),"-")</f>
        <v>-</v>
      </c>
      <c r="J412" s="5" t="str">
        <f>IFERROR(VLOOKUP(A412,取得元!$A$2:$F$501,5,FALSE),"-")</f>
        <v>-</v>
      </c>
      <c r="K412" s="25" t="str">
        <f>IFERROR(VLOOKUP(A412,取得元!$A$2:$F$501,6,FALSE)/100,"-")</f>
        <v>-</v>
      </c>
      <c r="L412" s="21" t="str">
        <f>_xll.RssMarket(A412,"始値")</f>
        <v>表示銘柄数超過</v>
      </c>
      <c r="M412" s="4" t="e">
        <f t="shared" si="35"/>
        <v>#VALUE!</v>
      </c>
      <c r="N412" s="21" t="str">
        <f>_xll.RssMarket(A412,"高値")</f>
        <v>表示銘柄数超過</v>
      </c>
      <c r="O412" s="4" t="e">
        <f t="shared" si="36"/>
        <v>#VALUE!</v>
      </c>
      <c r="P412" s="21" t="str">
        <f>_xll.RssMarket(A412,"安値")</f>
        <v>表示銘柄数超過</v>
      </c>
      <c r="Q412" s="4" t="e">
        <f t="shared" si="37"/>
        <v>#VALUE!</v>
      </c>
      <c r="R412" s="21" t="str">
        <f>_xll.RssMarket(A412,"後場始値")</f>
        <v>表示銘柄数超過</v>
      </c>
      <c r="S412" s="25" t="str">
        <f t="shared" si="38"/>
        <v>-</v>
      </c>
      <c r="T412" s="7" t="str">
        <f>_xll.RssMarket(A412,"出来高加重平均")</f>
        <v>表示銘柄数超過</v>
      </c>
      <c r="U412" s="4" t="e">
        <f t="shared" si="39"/>
        <v>#VALUE!</v>
      </c>
      <c r="V412" s="21" t="str">
        <f>_xll.RssMarket(A412,"出来高")</f>
        <v>表示銘柄数超過</v>
      </c>
      <c r="W412" s="21" t="str">
        <f>_xll.RssMarket(A412,"売買代金")</f>
        <v>表示銘柄数超過</v>
      </c>
      <c r="X412" s="20" t="str">
        <f>_xll.RssMarket(A412,"決算発表日")</f>
        <v>表示銘柄数超過</v>
      </c>
      <c r="Y412" s="26" t="str">
        <f>IF(C412&gt;_xll.RssMarket(A412,"年初来高値"),"○","×")</f>
        <v>×</v>
      </c>
      <c r="Z412" s="27" t="str">
        <f>IF(C412&lt;=_xll.RssMarket(A412,"年初来安値"),"○","×")</f>
        <v>○</v>
      </c>
    </row>
    <row r="413" spans="1:26" x14ac:dyDescent="0.25">
      <c r="A413" s="49">
        <v>4027</v>
      </c>
      <c r="B413" s="20" t="str">
        <f>_xll.RssMarket(A413,"銘柄名称")</f>
        <v>表示銘柄数超過</v>
      </c>
      <c r="C413" s="21" t="str">
        <f>_xll.RssMarket(A413,"現在値")</f>
        <v>表示銘柄数超過</v>
      </c>
      <c r="D413" s="20" t="str">
        <f>_xll.RssMarket(A413,"現在値詳細時刻")</f>
        <v>表示銘柄数超過</v>
      </c>
      <c r="E413" s="22" t="str">
        <f>_xll.RssMarket(A413,"前日比")</f>
        <v>表示銘柄数超過</v>
      </c>
      <c r="F413" s="23" t="e">
        <f>_xll.RssMarket(A413,"前日比率")/100</f>
        <v>#VALUE!</v>
      </c>
      <c r="G413" s="24" t="str">
        <f>IFERROR(VLOOKUP(A413,取得元!$A$2:$F$501,2,FALSE),"-")</f>
        <v>-</v>
      </c>
      <c r="H413" s="24" t="str">
        <f>IFERROR(VLOOKUP(A413,取得元!$A$2:$F$501,3,FALSE),"-")</f>
        <v>-</v>
      </c>
      <c r="I413" s="24" t="str">
        <f>IFERROR(VLOOKUP(A413,取得元!$A$2:$F$501,4,FALSE),"-")</f>
        <v>-</v>
      </c>
      <c r="J413" s="5" t="str">
        <f>IFERROR(VLOOKUP(A413,取得元!$A$2:$F$501,5,FALSE),"-")</f>
        <v>-</v>
      </c>
      <c r="K413" s="25" t="str">
        <f>IFERROR(VLOOKUP(A413,取得元!$A$2:$F$501,6,FALSE)/100,"-")</f>
        <v>-</v>
      </c>
      <c r="L413" s="21" t="str">
        <f>_xll.RssMarket(A413,"始値")</f>
        <v>表示銘柄数超過</v>
      </c>
      <c r="M413" s="4" t="e">
        <f t="shared" si="35"/>
        <v>#VALUE!</v>
      </c>
      <c r="N413" s="21" t="str">
        <f>_xll.RssMarket(A413,"高値")</f>
        <v>表示銘柄数超過</v>
      </c>
      <c r="O413" s="4" t="e">
        <f t="shared" si="36"/>
        <v>#VALUE!</v>
      </c>
      <c r="P413" s="21" t="str">
        <f>_xll.RssMarket(A413,"安値")</f>
        <v>表示銘柄数超過</v>
      </c>
      <c r="Q413" s="4" t="e">
        <f t="shared" si="37"/>
        <v>#VALUE!</v>
      </c>
      <c r="R413" s="21" t="str">
        <f>_xll.RssMarket(A413,"後場始値")</f>
        <v>表示銘柄数超過</v>
      </c>
      <c r="S413" s="25" t="str">
        <f t="shared" si="38"/>
        <v>-</v>
      </c>
      <c r="T413" s="7" t="str">
        <f>_xll.RssMarket(A413,"出来高加重平均")</f>
        <v>表示銘柄数超過</v>
      </c>
      <c r="U413" s="4" t="e">
        <f t="shared" si="39"/>
        <v>#VALUE!</v>
      </c>
      <c r="V413" s="21" t="str">
        <f>_xll.RssMarket(A413,"出来高")</f>
        <v>表示銘柄数超過</v>
      </c>
      <c r="W413" s="21" t="str">
        <f>_xll.RssMarket(A413,"売買代金")</f>
        <v>表示銘柄数超過</v>
      </c>
      <c r="X413" s="20" t="str">
        <f>_xll.RssMarket(A413,"決算発表日")</f>
        <v>表示銘柄数超過</v>
      </c>
      <c r="Y413" s="26" t="str">
        <f>IF(C413&gt;_xll.RssMarket(A413,"年初来高値"),"○","×")</f>
        <v>×</v>
      </c>
      <c r="Z413" s="27" t="str">
        <f>IF(C413&lt;=_xll.RssMarket(A413,"年初来安値"),"○","×")</f>
        <v>○</v>
      </c>
    </row>
    <row r="414" spans="1:26" x14ac:dyDescent="0.25">
      <c r="A414" s="47">
        <v>4059</v>
      </c>
      <c r="B414" s="20" t="str">
        <f>_xll.RssMarket(A414,"銘柄名称")</f>
        <v>表示銘柄数超過</v>
      </c>
      <c r="C414" s="21" t="str">
        <f>_xll.RssMarket(A414,"現在値")</f>
        <v>表示銘柄数超過</v>
      </c>
      <c r="D414" s="20" t="str">
        <f>_xll.RssMarket(A414,"現在値詳細時刻")</f>
        <v>表示銘柄数超過</v>
      </c>
      <c r="E414" s="22" t="str">
        <f>_xll.RssMarket(A414,"前日比")</f>
        <v>表示銘柄数超過</v>
      </c>
      <c r="F414" s="23" t="e">
        <f>_xll.RssMarket(A414,"前日比率")/100</f>
        <v>#VALUE!</v>
      </c>
      <c r="G414" s="24" t="str">
        <f>IFERROR(VLOOKUP(A414,取得元!$A$2:$F$501,2,FALSE),"-")</f>
        <v>-</v>
      </c>
      <c r="H414" s="24" t="str">
        <f>IFERROR(VLOOKUP(A414,取得元!$A$2:$F$501,3,FALSE),"-")</f>
        <v>-</v>
      </c>
      <c r="I414" s="24" t="str">
        <f>IFERROR(VLOOKUP(A414,取得元!$A$2:$F$501,4,FALSE),"-")</f>
        <v>-</v>
      </c>
      <c r="J414" s="5" t="str">
        <f>IFERROR(VLOOKUP(A414,取得元!$A$2:$F$501,5,FALSE),"-")</f>
        <v>-</v>
      </c>
      <c r="K414" s="25" t="str">
        <f>IFERROR(VLOOKUP(A414,取得元!$A$2:$F$501,6,FALSE)/100,"-")</f>
        <v>-</v>
      </c>
      <c r="L414" s="21" t="str">
        <f>_xll.RssMarket(A414,"始値")</f>
        <v>表示銘柄数超過</v>
      </c>
      <c r="M414" s="4" t="e">
        <f t="shared" ref="M414:M477" si="40">C414/L414-1</f>
        <v>#VALUE!</v>
      </c>
      <c r="N414" s="21" t="str">
        <f>_xll.RssMarket(A414,"高値")</f>
        <v>表示銘柄数超過</v>
      </c>
      <c r="O414" s="4" t="e">
        <f t="shared" ref="O414:O477" si="41">C414/N414-1</f>
        <v>#VALUE!</v>
      </c>
      <c r="P414" s="21" t="str">
        <f>_xll.RssMarket(A414,"安値")</f>
        <v>表示銘柄数超過</v>
      </c>
      <c r="Q414" s="4" t="e">
        <f t="shared" ref="Q414:Q477" si="42">C414/P414-1</f>
        <v>#VALUE!</v>
      </c>
      <c r="R414" s="21" t="str">
        <f>_xll.RssMarket(A414,"後場始値")</f>
        <v>表示銘柄数超過</v>
      </c>
      <c r="S414" s="25" t="str">
        <f t="shared" ref="S414:S477" si="43">IFERROR(C414/R414-1,"-")</f>
        <v>-</v>
      </c>
      <c r="T414" s="7" t="str">
        <f>_xll.RssMarket(A414,"出来高加重平均")</f>
        <v>表示銘柄数超過</v>
      </c>
      <c r="U414" s="4" t="e">
        <f t="shared" ref="U414:U477" si="44">C414/T414-1</f>
        <v>#VALUE!</v>
      </c>
      <c r="V414" s="21" t="str">
        <f>_xll.RssMarket(A414,"出来高")</f>
        <v>表示銘柄数超過</v>
      </c>
      <c r="W414" s="21" t="str">
        <f>_xll.RssMarket(A414,"売買代金")</f>
        <v>表示銘柄数超過</v>
      </c>
      <c r="X414" s="20" t="str">
        <f>_xll.RssMarket(A414,"決算発表日")</f>
        <v>表示銘柄数超過</v>
      </c>
      <c r="Y414" s="26" t="str">
        <f>IF(C414&gt;_xll.RssMarket(A414,"年初来高値"),"○","×")</f>
        <v>×</v>
      </c>
      <c r="Z414" s="27" t="str">
        <f>IF(C414&lt;=_xll.RssMarket(A414,"年初来安値"),"○","×")</f>
        <v>○</v>
      </c>
    </row>
    <row r="415" spans="1:26" x14ac:dyDescent="0.25">
      <c r="A415" s="49">
        <v>4063</v>
      </c>
      <c r="B415" s="20" t="str">
        <f>_xll.RssMarket(A415,"銘柄名称")</f>
        <v>表示銘柄数超過</v>
      </c>
      <c r="C415" s="21" t="str">
        <f>_xll.RssMarket(A415,"現在値")</f>
        <v>表示銘柄数超過</v>
      </c>
      <c r="D415" s="20" t="str">
        <f>_xll.RssMarket(A415,"現在値詳細時刻")</f>
        <v>表示銘柄数超過</v>
      </c>
      <c r="E415" s="22" t="str">
        <f>_xll.RssMarket(A415,"前日比")</f>
        <v>表示銘柄数超過</v>
      </c>
      <c r="F415" s="23" t="e">
        <f>_xll.RssMarket(A415,"前日比率")/100</f>
        <v>#VALUE!</v>
      </c>
      <c r="G415" s="24" t="str">
        <f>IFERROR(VLOOKUP(A415,取得元!$A$2:$F$501,2,FALSE),"-")</f>
        <v>-</v>
      </c>
      <c r="H415" s="24" t="str">
        <f>IFERROR(VLOOKUP(A415,取得元!$A$2:$F$501,3,FALSE),"-")</f>
        <v>-</v>
      </c>
      <c r="I415" s="24" t="str">
        <f>IFERROR(VLOOKUP(A415,取得元!$A$2:$F$501,4,FALSE),"-")</f>
        <v>-</v>
      </c>
      <c r="J415" s="5" t="str">
        <f>IFERROR(VLOOKUP(A415,取得元!$A$2:$F$501,5,FALSE),"-")</f>
        <v>-</v>
      </c>
      <c r="K415" s="25" t="str">
        <f>IFERROR(VLOOKUP(A415,取得元!$A$2:$F$501,6,FALSE)/100,"-")</f>
        <v>-</v>
      </c>
      <c r="L415" s="21" t="str">
        <f>_xll.RssMarket(A415,"始値")</f>
        <v>表示銘柄数超過</v>
      </c>
      <c r="M415" s="4" t="e">
        <f t="shared" si="40"/>
        <v>#VALUE!</v>
      </c>
      <c r="N415" s="21" t="str">
        <f>_xll.RssMarket(A415,"高値")</f>
        <v>表示銘柄数超過</v>
      </c>
      <c r="O415" s="4" t="e">
        <f t="shared" si="41"/>
        <v>#VALUE!</v>
      </c>
      <c r="P415" s="21" t="str">
        <f>_xll.RssMarket(A415,"安値")</f>
        <v>表示銘柄数超過</v>
      </c>
      <c r="Q415" s="4" t="e">
        <f t="shared" si="42"/>
        <v>#VALUE!</v>
      </c>
      <c r="R415" s="21" t="str">
        <f>_xll.RssMarket(A415,"後場始値")</f>
        <v>表示銘柄数超過</v>
      </c>
      <c r="S415" s="25" t="str">
        <f t="shared" si="43"/>
        <v>-</v>
      </c>
      <c r="T415" s="7" t="str">
        <f>_xll.RssMarket(A415,"出来高加重平均")</f>
        <v>表示銘柄数超過</v>
      </c>
      <c r="U415" s="4" t="e">
        <f t="shared" si="44"/>
        <v>#VALUE!</v>
      </c>
      <c r="V415" s="21" t="str">
        <f>_xll.RssMarket(A415,"出来高")</f>
        <v>表示銘柄数超過</v>
      </c>
      <c r="W415" s="21" t="str">
        <f>_xll.RssMarket(A415,"売買代金")</f>
        <v>表示銘柄数超過</v>
      </c>
      <c r="X415" s="20" t="str">
        <f>_xll.RssMarket(A415,"決算発表日")</f>
        <v>表示銘柄数超過</v>
      </c>
      <c r="Y415" s="26" t="str">
        <f>IF(C415&gt;_xll.RssMarket(A415,"年初来高値"),"○","×")</f>
        <v>×</v>
      </c>
      <c r="Z415" s="27" t="str">
        <f>IF(C415&lt;=_xll.RssMarket(A415,"年初来安値"),"○","×")</f>
        <v>○</v>
      </c>
    </row>
    <row r="416" spans="1:26" x14ac:dyDescent="0.25">
      <c r="A416" s="47">
        <v>4075</v>
      </c>
      <c r="B416" s="20" t="str">
        <f>_xll.RssMarket(A416,"銘柄名称")</f>
        <v>表示銘柄数超過</v>
      </c>
      <c r="C416" s="21" t="str">
        <f>_xll.RssMarket(A416,"現在値")</f>
        <v>表示銘柄数超過</v>
      </c>
      <c r="D416" s="20" t="str">
        <f>_xll.RssMarket(A416,"現在値詳細時刻")</f>
        <v>表示銘柄数超過</v>
      </c>
      <c r="E416" s="22" t="str">
        <f>_xll.RssMarket(A416,"前日比")</f>
        <v>表示銘柄数超過</v>
      </c>
      <c r="F416" s="23" t="e">
        <f>_xll.RssMarket(A416,"前日比率")/100</f>
        <v>#VALUE!</v>
      </c>
      <c r="G416" s="24" t="str">
        <f>IFERROR(VLOOKUP(A416,取得元!$A$2:$F$501,2,FALSE),"-")</f>
        <v>-</v>
      </c>
      <c r="H416" s="24" t="str">
        <f>IFERROR(VLOOKUP(A416,取得元!$A$2:$F$501,3,FALSE),"-")</f>
        <v>-</v>
      </c>
      <c r="I416" s="24" t="str">
        <f>IFERROR(VLOOKUP(A416,取得元!$A$2:$F$501,4,FALSE),"-")</f>
        <v>-</v>
      </c>
      <c r="J416" s="5" t="str">
        <f>IFERROR(VLOOKUP(A416,取得元!$A$2:$F$501,5,FALSE),"-")</f>
        <v>-</v>
      </c>
      <c r="K416" s="25" t="str">
        <f>IFERROR(VLOOKUP(A416,取得元!$A$2:$F$501,6,FALSE)/100,"-")</f>
        <v>-</v>
      </c>
      <c r="L416" s="21" t="str">
        <f>_xll.RssMarket(A416,"始値")</f>
        <v>表示銘柄数超過</v>
      </c>
      <c r="M416" s="4" t="e">
        <f t="shared" si="40"/>
        <v>#VALUE!</v>
      </c>
      <c r="N416" s="21" t="str">
        <f>_xll.RssMarket(A416,"高値")</f>
        <v>表示銘柄数超過</v>
      </c>
      <c r="O416" s="4" t="e">
        <f t="shared" si="41"/>
        <v>#VALUE!</v>
      </c>
      <c r="P416" s="21" t="str">
        <f>_xll.RssMarket(A416,"安値")</f>
        <v>表示銘柄数超過</v>
      </c>
      <c r="Q416" s="4" t="e">
        <f t="shared" si="42"/>
        <v>#VALUE!</v>
      </c>
      <c r="R416" s="21" t="str">
        <f>_xll.RssMarket(A416,"後場始値")</f>
        <v>表示銘柄数超過</v>
      </c>
      <c r="S416" s="25" t="str">
        <f t="shared" si="43"/>
        <v>-</v>
      </c>
      <c r="T416" s="7" t="str">
        <f>_xll.RssMarket(A416,"出来高加重平均")</f>
        <v>表示銘柄数超過</v>
      </c>
      <c r="U416" s="4" t="e">
        <f t="shared" si="44"/>
        <v>#VALUE!</v>
      </c>
      <c r="V416" s="21" t="str">
        <f>_xll.RssMarket(A416,"出来高")</f>
        <v>表示銘柄数超過</v>
      </c>
      <c r="W416" s="21" t="str">
        <f>_xll.RssMarket(A416,"売買代金")</f>
        <v>表示銘柄数超過</v>
      </c>
      <c r="X416" s="20" t="str">
        <f>_xll.RssMarket(A416,"決算発表日")</f>
        <v>表示銘柄数超過</v>
      </c>
      <c r="Y416" s="26" t="str">
        <f>IF(C416&gt;_xll.RssMarket(A416,"年初来高値"),"○","×")</f>
        <v>×</v>
      </c>
      <c r="Z416" s="27" t="str">
        <f>IF(C416&lt;=_xll.RssMarket(A416,"年初来安値"),"○","×")</f>
        <v>○</v>
      </c>
    </row>
    <row r="417" spans="1:26" x14ac:dyDescent="0.25">
      <c r="A417" s="49">
        <v>4165</v>
      </c>
      <c r="B417" s="20" t="str">
        <f>_xll.RssMarket(A417,"銘柄名称")</f>
        <v>表示銘柄数超過</v>
      </c>
      <c r="C417" s="21" t="str">
        <f>_xll.RssMarket(A417,"現在値")</f>
        <v>表示銘柄数超過</v>
      </c>
      <c r="D417" s="20" t="str">
        <f>_xll.RssMarket(A417,"現在値詳細時刻")</f>
        <v>表示銘柄数超過</v>
      </c>
      <c r="E417" s="22" t="str">
        <f>_xll.RssMarket(A417,"前日比")</f>
        <v>表示銘柄数超過</v>
      </c>
      <c r="F417" s="23" t="e">
        <f>_xll.RssMarket(A417,"前日比率")/100</f>
        <v>#VALUE!</v>
      </c>
      <c r="G417" s="24" t="str">
        <f>IFERROR(VLOOKUP(A417,取得元!$A$2:$F$501,2,FALSE),"-")</f>
        <v>-</v>
      </c>
      <c r="H417" s="24" t="str">
        <f>IFERROR(VLOOKUP(A417,取得元!$A$2:$F$501,3,FALSE),"-")</f>
        <v>-</v>
      </c>
      <c r="I417" s="24" t="str">
        <f>IFERROR(VLOOKUP(A417,取得元!$A$2:$F$501,4,FALSE),"-")</f>
        <v>-</v>
      </c>
      <c r="J417" s="5" t="str">
        <f>IFERROR(VLOOKUP(A417,取得元!$A$2:$F$501,5,FALSE),"-")</f>
        <v>-</v>
      </c>
      <c r="K417" s="25" t="str">
        <f>IFERROR(VLOOKUP(A417,取得元!$A$2:$F$501,6,FALSE)/100,"-")</f>
        <v>-</v>
      </c>
      <c r="L417" s="21" t="str">
        <f>_xll.RssMarket(A417,"始値")</f>
        <v>表示銘柄数超過</v>
      </c>
      <c r="M417" s="4" t="e">
        <f t="shared" si="40"/>
        <v>#VALUE!</v>
      </c>
      <c r="N417" s="21" t="str">
        <f>_xll.RssMarket(A417,"高値")</f>
        <v>表示銘柄数超過</v>
      </c>
      <c r="O417" s="4" t="e">
        <f t="shared" si="41"/>
        <v>#VALUE!</v>
      </c>
      <c r="P417" s="21" t="str">
        <f>_xll.RssMarket(A417,"安値")</f>
        <v>表示銘柄数超過</v>
      </c>
      <c r="Q417" s="4" t="e">
        <f t="shared" si="42"/>
        <v>#VALUE!</v>
      </c>
      <c r="R417" s="21" t="str">
        <f>_xll.RssMarket(A417,"後場始値")</f>
        <v>表示銘柄数超過</v>
      </c>
      <c r="S417" s="25" t="str">
        <f t="shared" si="43"/>
        <v>-</v>
      </c>
      <c r="T417" s="7" t="str">
        <f>_xll.RssMarket(A417,"出来高加重平均")</f>
        <v>表示銘柄数超過</v>
      </c>
      <c r="U417" s="4" t="e">
        <f t="shared" si="44"/>
        <v>#VALUE!</v>
      </c>
      <c r="V417" s="21" t="str">
        <f>_xll.RssMarket(A417,"出来高")</f>
        <v>表示銘柄数超過</v>
      </c>
      <c r="W417" s="21" t="str">
        <f>_xll.RssMarket(A417,"売買代金")</f>
        <v>表示銘柄数超過</v>
      </c>
      <c r="X417" s="20" t="str">
        <f>_xll.RssMarket(A417,"決算発表日")</f>
        <v>表示銘柄数超過</v>
      </c>
      <c r="Y417" s="26" t="str">
        <f>IF(C417&gt;_xll.RssMarket(A417,"年初来高値"),"○","×")</f>
        <v>×</v>
      </c>
      <c r="Z417" s="27" t="str">
        <f>IF(C417&lt;=_xll.RssMarket(A417,"年初来安値"),"○","×")</f>
        <v>○</v>
      </c>
    </row>
    <row r="418" spans="1:26" x14ac:dyDescent="0.25">
      <c r="A418" s="47">
        <v>4167</v>
      </c>
      <c r="B418" s="20" t="str">
        <f>_xll.RssMarket(A418,"銘柄名称")</f>
        <v>表示銘柄数超過</v>
      </c>
      <c r="C418" s="21" t="str">
        <f>_xll.RssMarket(A418,"現在値")</f>
        <v>表示銘柄数超過</v>
      </c>
      <c r="D418" s="20" t="str">
        <f>_xll.RssMarket(A418,"現在値詳細時刻")</f>
        <v>表示銘柄数超過</v>
      </c>
      <c r="E418" s="22" t="str">
        <f>_xll.RssMarket(A418,"前日比")</f>
        <v>表示銘柄数超過</v>
      </c>
      <c r="F418" s="23" t="e">
        <f>_xll.RssMarket(A418,"前日比率")/100</f>
        <v>#VALUE!</v>
      </c>
      <c r="G418" s="24" t="str">
        <f>IFERROR(VLOOKUP(A418,取得元!$A$2:$F$501,2,FALSE),"-")</f>
        <v>-</v>
      </c>
      <c r="H418" s="24" t="str">
        <f>IFERROR(VLOOKUP(A418,取得元!$A$2:$F$501,3,FALSE),"-")</f>
        <v>-</v>
      </c>
      <c r="I418" s="24" t="str">
        <f>IFERROR(VLOOKUP(A418,取得元!$A$2:$F$501,4,FALSE),"-")</f>
        <v>-</v>
      </c>
      <c r="J418" s="5" t="str">
        <f>IFERROR(VLOOKUP(A418,取得元!$A$2:$F$501,5,FALSE),"-")</f>
        <v>-</v>
      </c>
      <c r="K418" s="25" t="str">
        <f>IFERROR(VLOOKUP(A418,取得元!$A$2:$F$501,6,FALSE)/100,"-")</f>
        <v>-</v>
      </c>
      <c r="L418" s="21" t="str">
        <f>_xll.RssMarket(A418,"始値")</f>
        <v>表示銘柄数超過</v>
      </c>
      <c r="M418" s="4" t="e">
        <f t="shared" si="40"/>
        <v>#VALUE!</v>
      </c>
      <c r="N418" s="21" t="str">
        <f>_xll.RssMarket(A418,"高値")</f>
        <v>表示銘柄数超過</v>
      </c>
      <c r="O418" s="4" t="e">
        <f t="shared" si="41"/>
        <v>#VALUE!</v>
      </c>
      <c r="P418" s="21" t="str">
        <f>_xll.RssMarket(A418,"安値")</f>
        <v>表示銘柄数超過</v>
      </c>
      <c r="Q418" s="4" t="e">
        <f t="shared" si="42"/>
        <v>#VALUE!</v>
      </c>
      <c r="R418" s="21" t="str">
        <f>_xll.RssMarket(A418,"後場始値")</f>
        <v>表示銘柄数超過</v>
      </c>
      <c r="S418" s="25" t="str">
        <f t="shared" si="43"/>
        <v>-</v>
      </c>
      <c r="T418" s="7" t="str">
        <f>_xll.RssMarket(A418,"出来高加重平均")</f>
        <v>表示銘柄数超過</v>
      </c>
      <c r="U418" s="4" t="e">
        <f t="shared" si="44"/>
        <v>#VALUE!</v>
      </c>
      <c r="V418" s="21" t="str">
        <f>_xll.RssMarket(A418,"出来高")</f>
        <v>表示銘柄数超過</v>
      </c>
      <c r="W418" s="21" t="str">
        <f>_xll.RssMarket(A418,"売買代金")</f>
        <v>表示銘柄数超過</v>
      </c>
      <c r="X418" s="20" t="str">
        <f>_xll.RssMarket(A418,"決算発表日")</f>
        <v>表示銘柄数超過</v>
      </c>
      <c r="Y418" s="26" t="str">
        <f>IF(C418&gt;_xll.RssMarket(A418,"年初来高値"),"○","×")</f>
        <v>×</v>
      </c>
      <c r="Z418" s="27" t="str">
        <f>IF(C418&lt;=_xll.RssMarket(A418,"年初来安値"),"○","×")</f>
        <v>○</v>
      </c>
    </row>
    <row r="419" spans="1:26" x14ac:dyDescent="0.25">
      <c r="A419" s="49">
        <v>4169</v>
      </c>
      <c r="B419" s="20" t="str">
        <f>_xll.RssMarket(A419,"銘柄名称")</f>
        <v>表示銘柄数超過</v>
      </c>
      <c r="C419" s="21" t="str">
        <f>_xll.RssMarket(A419,"現在値")</f>
        <v>表示銘柄数超過</v>
      </c>
      <c r="D419" s="20" t="str">
        <f>_xll.RssMarket(A419,"現在値詳細時刻")</f>
        <v>表示銘柄数超過</v>
      </c>
      <c r="E419" s="22" t="str">
        <f>_xll.RssMarket(A419,"前日比")</f>
        <v>表示銘柄数超過</v>
      </c>
      <c r="F419" s="23" t="e">
        <f>_xll.RssMarket(A419,"前日比率")/100</f>
        <v>#VALUE!</v>
      </c>
      <c r="G419" s="24" t="str">
        <f>IFERROR(VLOOKUP(A419,取得元!$A$2:$F$501,2,FALSE),"-")</f>
        <v>-</v>
      </c>
      <c r="H419" s="24" t="str">
        <f>IFERROR(VLOOKUP(A419,取得元!$A$2:$F$501,3,FALSE),"-")</f>
        <v>-</v>
      </c>
      <c r="I419" s="24" t="str">
        <f>IFERROR(VLOOKUP(A419,取得元!$A$2:$F$501,4,FALSE),"-")</f>
        <v>-</v>
      </c>
      <c r="J419" s="5" t="str">
        <f>IFERROR(VLOOKUP(A419,取得元!$A$2:$F$501,5,FALSE),"-")</f>
        <v>-</v>
      </c>
      <c r="K419" s="25" t="str">
        <f>IFERROR(VLOOKUP(A419,取得元!$A$2:$F$501,6,FALSE)/100,"-")</f>
        <v>-</v>
      </c>
      <c r="L419" s="21" t="str">
        <f>_xll.RssMarket(A419,"始値")</f>
        <v>表示銘柄数超過</v>
      </c>
      <c r="M419" s="4" t="e">
        <f t="shared" si="40"/>
        <v>#VALUE!</v>
      </c>
      <c r="N419" s="21" t="str">
        <f>_xll.RssMarket(A419,"高値")</f>
        <v>表示銘柄数超過</v>
      </c>
      <c r="O419" s="4" t="e">
        <f t="shared" si="41"/>
        <v>#VALUE!</v>
      </c>
      <c r="P419" s="21" t="str">
        <f>_xll.RssMarket(A419,"安値")</f>
        <v>表示銘柄数超過</v>
      </c>
      <c r="Q419" s="4" t="e">
        <f t="shared" si="42"/>
        <v>#VALUE!</v>
      </c>
      <c r="R419" s="21" t="str">
        <f>_xll.RssMarket(A419,"後場始値")</f>
        <v>表示銘柄数超過</v>
      </c>
      <c r="S419" s="25" t="str">
        <f t="shared" si="43"/>
        <v>-</v>
      </c>
      <c r="T419" s="7" t="str">
        <f>_xll.RssMarket(A419,"出来高加重平均")</f>
        <v>表示銘柄数超過</v>
      </c>
      <c r="U419" s="4" t="e">
        <f t="shared" si="44"/>
        <v>#VALUE!</v>
      </c>
      <c r="V419" s="21" t="str">
        <f>_xll.RssMarket(A419,"出来高")</f>
        <v>表示銘柄数超過</v>
      </c>
      <c r="W419" s="21" t="str">
        <f>_xll.RssMarket(A419,"売買代金")</f>
        <v>表示銘柄数超過</v>
      </c>
      <c r="X419" s="20" t="str">
        <f>_xll.RssMarket(A419,"決算発表日")</f>
        <v>表示銘柄数超過</v>
      </c>
      <c r="Y419" s="26" t="str">
        <f>IF(C419&gt;_xll.RssMarket(A419,"年初来高値"),"○","×")</f>
        <v>×</v>
      </c>
      <c r="Z419" s="27" t="str">
        <f>IF(C419&lt;=_xll.RssMarket(A419,"年初来安値"),"○","×")</f>
        <v>○</v>
      </c>
    </row>
    <row r="420" spans="1:26" x14ac:dyDescent="0.25">
      <c r="A420" s="47">
        <v>4170</v>
      </c>
      <c r="B420" s="20" t="str">
        <f>_xll.RssMarket(A420,"銘柄名称")</f>
        <v>表示銘柄数超過</v>
      </c>
      <c r="C420" s="21" t="str">
        <f>_xll.RssMarket(A420,"現在値")</f>
        <v>表示銘柄数超過</v>
      </c>
      <c r="D420" s="20" t="str">
        <f>_xll.RssMarket(A420,"現在値詳細時刻")</f>
        <v>表示銘柄数超過</v>
      </c>
      <c r="E420" s="22" t="str">
        <f>_xll.RssMarket(A420,"前日比")</f>
        <v>表示銘柄数超過</v>
      </c>
      <c r="F420" s="23" t="e">
        <f>_xll.RssMarket(A420,"前日比率")/100</f>
        <v>#VALUE!</v>
      </c>
      <c r="G420" s="24" t="str">
        <f>IFERROR(VLOOKUP(A420,取得元!$A$2:$F$501,2,FALSE),"-")</f>
        <v>-</v>
      </c>
      <c r="H420" s="24" t="str">
        <f>IFERROR(VLOOKUP(A420,取得元!$A$2:$F$501,3,FALSE),"-")</f>
        <v>-</v>
      </c>
      <c r="I420" s="24" t="str">
        <f>IFERROR(VLOOKUP(A420,取得元!$A$2:$F$501,4,FALSE),"-")</f>
        <v>-</v>
      </c>
      <c r="J420" s="5" t="str">
        <f>IFERROR(VLOOKUP(A420,取得元!$A$2:$F$501,5,FALSE),"-")</f>
        <v>-</v>
      </c>
      <c r="K420" s="25" t="str">
        <f>IFERROR(VLOOKUP(A420,取得元!$A$2:$F$501,6,FALSE)/100,"-")</f>
        <v>-</v>
      </c>
      <c r="L420" s="21" t="str">
        <f>_xll.RssMarket(A420,"始値")</f>
        <v>表示銘柄数超過</v>
      </c>
      <c r="M420" s="4" t="e">
        <f t="shared" si="40"/>
        <v>#VALUE!</v>
      </c>
      <c r="N420" s="21" t="str">
        <f>_xll.RssMarket(A420,"高値")</f>
        <v>表示銘柄数超過</v>
      </c>
      <c r="O420" s="4" t="e">
        <f t="shared" si="41"/>
        <v>#VALUE!</v>
      </c>
      <c r="P420" s="21" t="str">
        <f>_xll.RssMarket(A420,"安値")</f>
        <v>表示銘柄数超過</v>
      </c>
      <c r="Q420" s="4" t="e">
        <f t="shared" si="42"/>
        <v>#VALUE!</v>
      </c>
      <c r="R420" s="21" t="str">
        <f>_xll.RssMarket(A420,"後場始値")</f>
        <v>表示銘柄数超過</v>
      </c>
      <c r="S420" s="25" t="str">
        <f t="shared" si="43"/>
        <v>-</v>
      </c>
      <c r="T420" s="7" t="str">
        <f>_xll.RssMarket(A420,"出来高加重平均")</f>
        <v>表示銘柄数超過</v>
      </c>
      <c r="U420" s="4" t="e">
        <f t="shared" si="44"/>
        <v>#VALUE!</v>
      </c>
      <c r="V420" s="21" t="str">
        <f>_xll.RssMarket(A420,"出来高")</f>
        <v>表示銘柄数超過</v>
      </c>
      <c r="W420" s="21" t="str">
        <f>_xll.RssMarket(A420,"売買代金")</f>
        <v>表示銘柄数超過</v>
      </c>
      <c r="X420" s="20" t="str">
        <f>_xll.RssMarket(A420,"決算発表日")</f>
        <v>表示銘柄数超過</v>
      </c>
      <c r="Y420" s="26" t="str">
        <f>IF(C420&gt;_xll.RssMarket(A420,"年初来高値"),"○","×")</f>
        <v>×</v>
      </c>
      <c r="Z420" s="27" t="str">
        <f>IF(C420&lt;=_xll.RssMarket(A420,"年初来安値"),"○","×")</f>
        <v>○</v>
      </c>
    </row>
    <row r="421" spans="1:26" x14ac:dyDescent="0.25">
      <c r="A421" s="49">
        <v>4176</v>
      </c>
      <c r="B421" s="20" t="str">
        <f>_xll.RssMarket(A421,"銘柄名称")</f>
        <v>表示銘柄数超過</v>
      </c>
      <c r="C421" s="21" t="str">
        <f>_xll.RssMarket(A421,"現在値")</f>
        <v>表示銘柄数超過</v>
      </c>
      <c r="D421" s="20" t="str">
        <f>_xll.RssMarket(A421,"現在値詳細時刻")</f>
        <v>表示銘柄数超過</v>
      </c>
      <c r="E421" s="22" t="str">
        <f>_xll.RssMarket(A421,"前日比")</f>
        <v>表示銘柄数超過</v>
      </c>
      <c r="F421" s="23" t="e">
        <f>_xll.RssMarket(A421,"前日比率")/100</f>
        <v>#VALUE!</v>
      </c>
      <c r="G421" s="24" t="str">
        <f>IFERROR(VLOOKUP(A421,取得元!$A$2:$F$501,2,FALSE),"-")</f>
        <v>-</v>
      </c>
      <c r="H421" s="24" t="str">
        <f>IFERROR(VLOOKUP(A421,取得元!$A$2:$F$501,3,FALSE),"-")</f>
        <v>-</v>
      </c>
      <c r="I421" s="24" t="str">
        <f>IFERROR(VLOOKUP(A421,取得元!$A$2:$F$501,4,FALSE),"-")</f>
        <v>-</v>
      </c>
      <c r="J421" s="5" t="str">
        <f>IFERROR(VLOOKUP(A421,取得元!$A$2:$F$501,5,FALSE),"-")</f>
        <v>-</v>
      </c>
      <c r="K421" s="25" t="str">
        <f>IFERROR(VLOOKUP(A421,取得元!$A$2:$F$501,6,FALSE)/100,"-")</f>
        <v>-</v>
      </c>
      <c r="L421" s="21" t="str">
        <f>_xll.RssMarket(A421,"始値")</f>
        <v>表示銘柄数超過</v>
      </c>
      <c r="M421" s="4" t="e">
        <f t="shared" si="40"/>
        <v>#VALUE!</v>
      </c>
      <c r="N421" s="21" t="str">
        <f>_xll.RssMarket(A421,"高値")</f>
        <v>表示銘柄数超過</v>
      </c>
      <c r="O421" s="4" t="e">
        <f t="shared" si="41"/>
        <v>#VALUE!</v>
      </c>
      <c r="P421" s="21" t="str">
        <f>_xll.RssMarket(A421,"安値")</f>
        <v>表示銘柄数超過</v>
      </c>
      <c r="Q421" s="4" t="e">
        <f t="shared" si="42"/>
        <v>#VALUE!</v>
      </c>
      <c r="R421" s="21" t="str">
        <f>_xll.RssMarket(A421,"後場始値")</f>
        <v>表示銘柄数超過</v>
      </c>
      <c r="S421" s="25" t="str">
        <f t="shared" si="43"/>
        <v>-</v>
      </c>
      <c r="T421" s="7" t="str">
        <f>_xll.RssMarket(A421,"出来高加重平均")</f>
        <v>表示銘柄数超過</v>
      </c>
      <c r="U421" s="4" t="e">
        <f t="shared" si="44"/>
        <v>#VALUE!</v>
      </c>
      <c r="V421" s="21" t="str">
        <f>_xll.RssMarket(A421,"出来高")</f>
        <v>表示銘柄数超過</v>
      </c>
      <c r="W421" s="21" t="str">
        <f>_xll.RssMarket(A421,"売買代金")</f>
        <v>表示銘柄数超過</v>
      </c>
      <c r="X421" s="20" t="str">
        <f>_xll.RssMarket(A421,"決算発表日")</f>
        <v>表示銘柄数超過</v>
      </c>
      <c r="Y421" s="26" t="str">
        <f>IF(C421&gt;_xll.RssMarket(A421,"年初来高値"),"○","×")</f>
        <v>×</v>
      </c>
      <c r="Z421" s="27" t="str">
        <f>IF(C421&lt;=_xll.RssMarket(A421,"年初来安値"),"○","×")</f>
        <v>○</v>
      </c>
    </row>
    <row r="422" spans="1:26" x14ac:dyDescent="0.25">
      <c r="A422" s="47">
        <v>4185</v>
      </c>
      <c r="B422" s="20" t="str">
        <f>_xll.RssMarket(A422,"銘柄名称")</f>
        <v>表示銘柄数超過</v>
      </c>
      <c r="C422" s="21" t="str">
        <f>_xll.RssMarket(A422,"現在値")</f>
        <v>表示銘柄数超過</v>
      </c>
      <c r="D422" s="20" t="str">
        <f>_xll.RssMarket(A422,"現在値詳細時刻")</f>
        <v>表示銘柄数超過</v>
      </c>
      <c r="E422" s="22" t="str">
        <f>_xll.RssMarket(A422,"前日比")</f>
        <v>表示銘柄数超過</v>
      </c>
      <c r="F422" s="23" t="e">
        <f>_xll.RssMarket(A422,"前日比率")/100</f>
        <v>#VALUE!</v>
      </c>
      <c r="G422" s="24" t="str">
        <f>IFERROR(VLOOKUP(A422,取得元!$A$2:$F$501,2,FALSE),"-")</f>
        <v>-</v>
      </c>
      <c r="H422" s="24" t="str">
        <f>IFERROR(VLOOKUP(A422,取得元!$A$2:$F$501,3,FALSE),"-")</f>
        <v>-</v>
      </c>
      <c r="I422" s="24" t="str">
        <f>IFERROR(VLOOKUP(A422,取得元!$A$2:$F$501,4,FALSE),"-")</f>
        <v>-</v>
      </c>
      <c r="J422" s="5" t="str">
        <f>IFERROR(VLOOKUP(A422,取得元!$A$2:$F$501,5,FALSE),"-")</f>
        <v>-</v>
      </c>
      <c r="K422" s="25" t="str">
        <f>IFERROR(VLOOKUP(A422,取得元!$A$2:$F$501,6,FALSE)/100,"-")</f>
        <v>-</v>
      </c>
      <c r="L422" s="21" t="str">
        <f>_xll.RssMarket(A422,"始値")</f>
        <v>表示銘柄数超過</v>
      </c>
      <c r="M422" s="4" t="e">
        <f t="shared" si="40"/>
        <v>#VALUE!</v>
      </c>
      <c r="N422" s="21" t="str">
        <f>_xll.RssMarket(A422,"高値")</f>
        <v>表示銘柄数超過</v>
      </c>
      <c r="O422" s="4" t="e">
        <f t="shared" si="41"/>
        <v>#VALUE!</v>
      </c>
      <c r="P422" s="21" t="str">
        <f>_xll.RssMarket(A422,"安値")</f>
        <v>表示銘柄数超過</v>
      </c>
      <c r="Q422" s="4" t="e">
        <f t="shared" si="42"/>
        <v>#VALUE!</v>
      </c>
      <c r="R422" s="21" t="str">
        <f>_xll.RssMarket(A422,"後場始値")</f>
        <v>表示銘柄数超過</v>
      </c>
      <c r="S422" s="25" t="str">
        <f t="shared" si="43"/>
        <v>-</v>
      </c>
      <c r="T422" s="7" t="str">
        <f>_xll.RssMarket(A422,"出来高加重平均")</f>
        <v>表示銘柄数超過</v>
      </c>
      <c r="U422" s="4" t="e">
        <f t="shared" si="44"/>
        <v>#VALUE!</v>
      </c>
      <c r="V422" s="21" t="str">
        <f>_xll.RssMarket(A422,"出来高")</f>
        <v>表示銘柄数超過</v>
      </c>
      <c r="W422" s="21" t="str">
        <f>_xll.RssMarket(A422,"売買代金")</f>
        <v>表示銘柄数超過</v>
      </c>
      <c r="X422" s="20" t="str">
        <f>_xll.RssMarket(A422,"決算発表日")</f>
        <v>表示銘柄数超過</v>
      </c>
      <c r="Y422" s="26" t="str">
        <f>IF(C422&gt;_xll.RssMarket(A422,"年初来高値"),"○","×")</f>
        <v>×</v>
      </c>
      <c r="Z422" s="27" t="str">
        <f>IF(C422&lt;=_xll.RssMarket(A422,"年初来安値"),"○","×")</f>
        <v>○</v>
      </c>
    </row>
    <row r="423" spans="1:26" x14ac:dyDescent="0.25">
      <c r="A423" s="49">
        <v>4188</v>
      </c>
      <c r="B423" s="20" t="str">
        <f>_xll.RssMarket(A423,"銘柄名称")</f>
        <v>表示銘柄数超過</v>
      </c>
      <c r="C423" s="21" t="str">
        <f>_xll.RssMarket(A423,"現在値")</f>
        <v>表示銘柄数超過</v>
      </c>
      <c r="D423" s="20" t="str">
        <f>_xll.RssMarket(A423,"現在値詳細時刻")</f>
        <v>表示銘柄数超過</v>
      </c>
      <c r="E423" s="22" t="str">
        <f>_xll.RssMarket(A423,"前日比")</f>
        <v>表示銘柄数超過</v>
      </c>
      <c r="F423" s="23" t="e">
        <f>_xll.RssMarket(A423,"前日比率")/100</f>
        <v>#VALUE!</v>
      </c>
      <c r="G423" s="24" t="str">
        <f>IFERROR(VLOOKUP(A423,取得元!$A$2:$F$501,2,FALSE),"-")</f>
        <v>-</v>
      </c>
      <c r="H423" s="24" t="str">
        <f>IFERROR(VLOOKUP(A423,取得元!$A$2:$F$501,3,FALSE),"-")</f>
        <v>-</v>
      </c>
      <c r="I423" s="24" t="str">
        <f>IFERROR(VLOOKUP(A423,取得元!$A$2:$F$501,4,FALSE),"-")</f>
        <v>-</v>
      </c>
      <c r="J423" s="5" t="str">
        <f>IFERROR(VLOOKUP(A423,取得元!$A$2:$F$501,5,FALSE),"-")</f>
        <v>-</v>
      </c>
      <c r="K423" s="25" t="str">
        <f>IFERROR(VLOOKUP(A423,取得元!$A$2:$F$501,6,FALSE)/100,"-")</f>
        <v>-</v>
      </c>
      <c r="L423" s="21" t="str">
        <f>_xll.RssMarket(A423,"始値")</f>
        <v>表示銘柄数超過</v>
      </c>
      <c r="M423" s="4" t="e">
        <f t="shared" si="40"/>
        <v>#VALUE!</v>
      </c>
      <c r="N423" s="21" t="str">
        <f>_xll.RssMarket(A423,"高値")</f>
        <v>表示銘柄数超過</v>
      </c>
      <c r="O423" s="4" t="e">
        <f t="shared" si="41"/>
        <v>#VALUE!</v>
      </c>
      <c r="P423" s="21" t="str">
        <f>_xll.RssMarket(A423,"安値")</f>
        <v>表示銘柄数超過</v>
      </c>
      <c r="Q423" s="4" t="e">
        <f t="shared" si="42"/>
        <v>#VALUE!</v>
      </c>
      <c r="R423" s="21" t="str">
        <f>_xll.RssMarket(A423,"後場始値")</f>
        <v>表示銘柄数超過</v>
      </c>
      <c r="S423" s="25" t="str">
        <f t="shared" si="43"/>
        <v>-</v>
      </c>
      <c r="T423" s="7" t="str">
        <f>_xll.RssMarket(A423,"出来高加重平均")</f>
        <v>表示銘柄数超過</v>
      </c>
      <c r="U423" s="4" t="e">
        <f t="shared" si="44"/>
        <v>#VALUE!</v>
      </c>
      <c r="V423" s="21" t="str">
        <f>_xll.RssMarket(A423,"出来高")</f>
        <v>表示銘柄数超過</v>
      </c>
      <c r="W423" s="21" t="str">
        <f>_xll.RssMarket(A423,"売買代金")</f>
        <v>表示銘柄数超過</v>
      </c>
      <c r="X423" s="20" t="str">
        <f>_xll.RssMarket(A423,"決算発表日")</f>
        <v>表示銘柄数超過</v>
      </c>
      <c r="Y423" s="26" t="str">
        <f>IF(C423&gt;_xll.RssMarket(A423,"年初来高値"),"○","×")</f>
        <v>×</v>
      </c>
      <c r="Z423" s="27" t="str">
        <f>IF(C423&lt;=_xll.RssMarket(A423,"年初来安値"),"○","×")</f>
        <v>○</v>
      </c>
    </row>
    <row r="424" spans="1:26" x14ac:dyDescent="0.25">
      <c r="A424" s="47">
        <v>4192</v>
      </c>
      <c r="B424" s="20" t="str">
        <f>_xll.RssMarket(A424,"銘柄名称")</f>
        <v>表示銘柄数超過</v>
      </c>
      <c r="C424" s="21" t="str">
        <f>_xll.RssMarket(A424,"現在値")</f>
        <v>表示銘柄数超過</v>
      </c>
      <c r="D424" s="20" t="str">
        <f>_xll.RssMarket(A424,"現在値詳細時刻")</f>
        <v>表示銘柄数超過</v>
      </c>
      <c r="E424" s="22" t="str">
        <f>_xll.RssMarket(A424,"前日比")</f>
        <v>表示銘柄数超過</v>
      </c>
      <c r="F424" s="23" t="e">
        <f>_xll.RssMarket(A424,"前日比率")/100</f>
        <v>#VALUE!</v>
      </c>
      <c r="G424" s="24" t="str">
        <f>IFERROR(VLOOKUP(A424,取得元!$A$2:$F$501,2,FALSE),"-")</f>
        <v>-</v>
      </c>
      <c r="H424" s="24" t="str">
        <f>IFERROR(VLOOKUP(A424,取得元!$A$2:$F$501,3,FALSE),"-")</f>
        <v>-</v>
      </c>
      <c r="I424" s="24" t="str">
        <f>IFERROR(VLOOKUP(A424,取得元!$A$2:$F$501,4,FALSE),"-")</f>
        <v>-</v>
      </c>
      <c r="J424" s="5" t="str">
        <f>IFERROR(VLOOKUP(A424,取得元!$A$2:$F$501,5,FALSE),"-")</f>
        <v>-</v>
      </c>
      <c r="K424" s="25" t="str">
        <f>IFERROR(VLOOKUP(A424,取得元!$A$2:$F$501,6,FALSE)/100,"-")</f>
        <v>-</v>
      </c>
      <c r="L424" s="21" t="str">
        <f>_xll.RssMarket(A424,"始値")</f>
        <v>表示銘柄数超過</v>
      </c>
      <c r="M424" s="4" t="e">
        <f t="shared" si="40"/>
        <v>#VALUE!</v>
      </c>
      <c r="N424" s="21" t="str">
        <f>_xll.RssMarket(A424,"高値")</f>
        <v>表示銘柄数超過</v>
      </c>
      <c r="O424" s="4" t="e">
        <f t="shared" si="41"/>
        <v>#VALUE!</v>
      </c>
      <c r="P424" s="21" t="str">
        <f>_xll.RssMarket(A424,"安値")</f>
        <v>表示銘柄数超過</v>
      </c>
      <c r="Q424" s="4" t="e">
        <f t="shared" si="42"/>
        <v>#VALUE!</v>
      </c>
      <c r="R424" s="21" t="str">
        <f>_xll.RssMarket(A424,"後場始値")</f>
        <v>表示銘柄数超過</v>
      </c>
      <c r="S424" s="25" t="str">
        <f t="shared" si="43"/>
        <v>-</v>
      </c>
      <c r="T424" s="7" t="str">
        <f>_xll.RssMarket(A424,"出来高加重平均")</f>
        <v>表示銘柄数超過</v>
      </c>
      <c r="U424" s="4" t="e">
        <f t="shared" si="44"/>
        <v>#VALUE!</v>
      </c>
      <c r="V424" s="21" t="str">
        <f>_xll.RssMarket(A424,"出来高")</f>
        <v>表示銘柄数超過</v>
      </c>
      <c r="W424" s="21" t="str">
        <f>_xll.RssMarket(A424,"売買代金")</f>
        <v>表示銘柄数超過</v>
      </c>
      <c r="X424" s="20" t="str">
        <f>_xll.RssMarket(A424,"決算発表日")</f>
        <v>表示銘柄数超過</v>
      </c>
      <c r="Y424" s="26" t="str">
        <f>IF(C424&gt;_xll.RssMarket(A424,"年初来高値"),"○","×")</f>
        <v>×</v>
      </c>
      <c r="Z424" s="27" t="str">
        <f>IF(C424&lt;=_xll.RssMarket(A424,"年初来安値"),"○","×")</f>
        <v>○</v>
      </c>
    </row>
    <row r="425" spans="1:26" x14ac:dyDescent="0.25">
      <c r="A425" s="49">
        <v>4200</v>
      </c>
      <c r="B425" s="20" t="str">
        <f>_xll.RssMarket(A425,"銘柄名称")</f>
        <v>表示銘柄数超過</v>
      </c>
      <c r="C425" s="21" t="str">
        <f>_xll.RssMarket(A425,"現在値")</f>
        <v>表示銘柄数超過</v>
      </c>
      <c r="D425" s="20" t="str">
        <f>_xll.RssMarket(A425,"現在値詳細時刻")</f>
        <v>表示銘柄数超過</v>
      </c>
      <c r="E425" s="22" t="str">
        <f>_xll.RssMarket(A425,"前日比")</f>
        <v>表示銘柄数超過</v>
      </c>
      <c r="F425" s="23" t="e">
        <f>_xll.RssMarket(A425,"前日比率")/100</f>
        <v>#VALUE!</v>
      </c>
      <c r="G425" s="24" t="str">
        <f>IFERROR(VLOOKUP(A425,取得元!$A$2:$F$501,2,FALSE),"-")</f>
        <v>-</v>
      </c>
      <c r="H425" s="24" t="str">
        <f>IFERROR(VLOOKUP(A425,取得元!$A$2:$F$501,3,FALSE),"-")</f>
        <v>-</v>
      </c>
      <c r="I425" s="24" t="str">
        <f>IFERROR(VLOOKUP(A425,取得元!$A$2:$F$501,4,FALSE),"-")</f>
        <v>-</v>
      </c>
      <c r="J425" s="5" t="str">
        <f>IFERROR(VLOOKUP(A425,取得元!$A$2:$F$501,5,FALSE),"-")</f>
        <v>-</v>
      </c>
      <c r="K425" s="25" t="str">
        <f>IFERROR(VLOOKUP(A425,取得元!$A$2:$F$501,6,FALSE)/100,"-")</f>
        <v>-</v>
      </c>
      <c r="L425" s="21" t="str">
        <f>_xll.RssMarket(A425,"始値")</f>
        <v>表示銘柄数超過</v>
      </c>
      <c r="M425" s="4" t="e">
        <f t="shared" si="40"/>
        <v>#VALUE!</v>
      </c>
      <c r="N425" s="21" t="str">
        <f>_xll.RssMarket(A425,"高値")</f>
        <v>表示銘柄数超過</v>
      </c>
      <c r="O425" s="4" t="e">
        <f t="shared" si="41"/>
        <v>#VALUE!</v>
      </c>
      <c r="P425" s="21" t="str">
        <f>_xll.RssMarket(A425,"安値")</f>
        <v>表示銘柄数超過</v>
      </c>
      <c r="Q425" s="4" t="e">
        <f t="shared" si="42"/>
        <v>#VALUE!</v>
      </c>
      <c r="R425" s="21" t="str">
        <f>_xll.RssMarket(A425,"後場始値")</f>
        <v>表示銘柄数超過</v>
      </c>
      <c r="S425" s="25" t="str">
        <f t="shared" si="43"/>
        <v>-</v>
      </c>
      <c r="T425" s="7" t="str">
        <f>_xll.RssMarket(A425,"出来高加重平均")</f>
        <v>表示銘柄数超過</v>
      </c>
      <c r="U425" s="4" t="e">
        <f t="shared" si="44"/>
        <v>#VALUE!</v>
      </c>
      <c r="V425" s="21" t="str">
        <f>_xll.RssMarket(A425,"出来高")</f>
        <v>表示銘柄数超過</v>
      </c>
      <c r="W425" s="21" t="str">
        <f>_xll.RssMarket(A425,"売買代金")</f>
        <v>表示銘柄数超過</v>
      </c>
      <c r="X425" s="20" t="str">
        <f>_xll.RssMarket(A425,"決算発表日")</f>
        <v>表示銘柄数超過</v>
      </c>
      <c r="Y425" s="26" t="str">
        <f>IF(C425&gt;_xll.RssMarket(A425,"年初来高値"),"○","×")</f>
        <v>×</v>
      </c>
      <c r="Z425" s="27" t="str">
        <f>IF(C425&lt;=_xll.RssMarket(A425,"年初来安値"),"○","×")</f>
        <v>○</v>
      </c>
    </row>
    <row r="426" spans="1:26" x14ac:dyDescent="0.25">
      <c r="A426" s="47">
        <v>4202</v>
      </c>
      <c r="B426" s="20" t="str">
        <f>_xll.RssMarket(A426,"銘柄名称")</f>
        <v>表示銘柄数超過</v>
      </c>
      <c r="C426" s="21" t="str">
        <f>_xll.RssMarket(A426,"現在値")</f>
        <v>表示銘柄数超過</v>
      </c>
      <c r="D426" s="20" t="str">
        <f>_xll.RssMarket(A426,"現在値詳細時刻")</f>
        <v>表示銘柄数超過</v>
      </c>
      <c r="E426" s="22" t="str">
        <f>_xll.RssMarket(A426,"前日比")</f>
        <v>表示銘柄数超過</v>
      </c>
      <c r="F426" s="23" t="e">
        <f>_xll.RssMarket(A426,"前日比率")/100</f>
        <v>#VALUE!</v>
      </c>
      <c r="G426" s="24" t="str">
        <f>IFERROR(VLOOKUP(A426,取得元!$A$2:$F$501,2,FALSE),"-")</f>
        <v>-</v>
      </c>
      <c r="H426" s="24" t="str">
        <f>IFERROR(VLOOKUP(A426,取得元!$A$2:$F$501,3,FALSE),"-")</f>
        <v>-</v>
      </c>
      <c r="I426" s="24" t="str">
        <f>IFERROR(VLOOKUP(A426,取得元!$A$2:$F$501,4,FALSE),"-")</f>
        <v>-</v>
      </c>
      <c r="J426" s="5" t="str">
        <f>IFERROR(VLOOKUP(A426,取得元!$A$2:$F$501,5,FALSE),"-")</f>
        <v>-</v>
      </c>
      <c r="K426" s="25" t="str">
        <f>IFERROR(VLOOKUP(A426,取得元!$A$2:$F$501,6,FALSE)/100,"-")</f>
        <v>-</v>
      </c>
      <c r="L426" s="21" t="str">
        <f>_xll.RssMarket(A426,"始値")</f>
        <v>表示銘柄数超過</v>
      </c>
      <c r="M426" s="4" t="e">
        <f t="shared" si="40"/>
        <v>#VALUE!</v>
      </c>
      <c r="N426" s="21" t="str">
        <f>_xll.RssMarket(A426,"高値")</f>
        <v>表示銘柄数超過</v>
      </c>
      <c r="O426" s="4" t="e">
        <f t="shared" si="41"/>
        <v>#VALUE!</v>
      </c>
      <c r="P426" s="21" t="str">
        <f>_xll.RssMarket(A426,"安値")</f>
        <v>表示銘柄数超過</v>
      </c>
      <c r="Q426" s="4" t="e">
        <f t="shared" si="42"/>
        <v>#VALUE!</v>
      </c>
      <c r="R426" s="21" t="str">
        <f>_xll.RssMarket(A426,"後場始値")</f>
        <v>表示銘柄数超過</v>
      </c>
      <c r="S426" s="25" t="str">
        <f t="shared" si="43"/>
        <v>-</v>
      </c>
      <c r="T426" s="7" t="str">
        <f>_xll.RssMarket(A426,"出来高加重平均")</f>
        <v>表示銘柄数超過</v>
      </c>
      <c r="U426" s="4" t="e">
        <f t="shared" si="44"/>
        <v>#VALUE!</v>
      </c>
      <c r="V426" s="21" t="str">
        <f>_xll.RssMarket(A426,"出来高")</f>
        <v>表示銘柄数超過</v>
      </c>
      <c r="W426" s="21" t="str">
        <f>_xll.RssMarket(A426,"売買代金")</f>
        <v>表示銘柄数超過</v>
      </c>
      <c r="X426" s="20" t="str">
        <f>_xll.RssMarket(A426,"決算発表日")</f>
        <v>表示銘柄数超過</v>
      </c>
      <c r="Y426" s="26" t="str">
        <f>IF(C426&gt;_xll.RssMarket(A426,"年初来高値"),"○","×")</f>
        <v>×</v>
      </c>
      <c r="Z426" s="27" t="str">
        <f>IF(C426&lt;=_xll.RssMarket(A426,"年初来安値"),"○","×")</f>
        <v>○</v>
      </c>
    </row>
    <row r="427" spans="1:26" x14ac:dyDescent="0.25">
      <c r="A427" s="49">
        <v>4237</v>
      </c>
      <c r="B427" s="20" t="str">
        <f>_xll.RssMarket(A427,"銘柄名称")</f>
        <v>表示銘柄数超過</v>
      </c>
      <c r="C427" s="21" t="str">
        <f>_xll.RssMarket(A427,"現在値")</f>
        <v>表示銘柄数超過</v>
      </c>
      <c r="D427" s="20" t="str">
        <f>_xll.RssMarket(A427,"現在値詳細時刻")</f>
        <v>表示銘柄数超過</v>
      </c>
      <c r="E427" s="22" t="str">
        <f>_xll.RssMarket(A427,"前日比")</f>
        <v>表示銘柄数超過</v>
      </c>
      <c r="F427" s="23" t="e">
        <f>_xll.RssMarket(A427,"前日比率")/100</f>
        <v>#VALUE!</v>
      </c>
      <c r="G427" s="24" t="str">
        <f>IFERROR(VLOOKUP(A427,取得元!$A$2:$F$501,2,FALSE),"-")</f>
        <v>-</v>
      </c>
      <c r="H427" s="24" t="str">
        <f>IFERROR(VLOOKUP(A427,取得元!$A$2:$F$501,3,FALSE),"-")</f>
        <v>-</v>
      </c>
      <c r="I427" s="24" t="str">
        <f>IFERROR(VLOOKUP(A427,取得元!$A$2:$F$501,4,FALSE),"-")</f>
        <v>-</v>
      </c>
      <c r="J427" s="5" t="str">
        <f>IFERROR(VLOOKUP(A427,取得元!$A$2:$F$501,5,FALSE),"-")</f>
        <v>-</v>
      </c>
      <c r="K427" s="25" t="str">
        <f>IFERROR(VLOOKUP(A427,取得元!$A$2:$F$501,6,FALSE)/100,"-")</f>
        <v>-</v>
      </c>
      <c r="L427" s="21" t="str">
        <f>_xll.RssMarket(A427,"始値")</f>
        <v>表示銘柄数超過</v>
      </c>
      <c r="M427" s="4" t="e">
        <f t="shared" si="40"/>
        <v>#VALUE!</v>
      </c>
      <c r="N427" s="21" t="str">
        <f>_xll.RssMarket(A427,"高値")</f>
        <v>表示銘柄数超過</v>
      </c>
      <c r="O427" s="4" t="e">
        <f t="shared" si="41"/>
        <v>#VALUE!</v>
      </c>
      <c r="P427" s="21" t="str">
        <f>_xll.RssMarket(A427,"安値")</f>
        <v>表示銘柄数超過</v>
      </c>
      <c r="Q427" s="4" t="e">
        <f t="shared" si="42"/>
        <v>#VALUE!</v>
      </c>
      <c r="R427" s="21" t="str">
        <f>_xll.RssMarket(A427,"後場始値")</f>
        <v>表示銘柄数超過</v>
      </c>
      <c r="S427" s="25" t="str">
        <f t="shared" si="43"/>
        <v>-</v>
      </c>
      <c r="T427" s="7" t="str">
        <f>_xll.RssMarket(A427,"出来高加重平均")</f>
        <v>表示銘柄数超過</v>
      </c>
      <c r="U427" s="4" t="e">
        <f t="shared" si="44"/>
        <v>#VALUE!</v>
      </c>
      <c r="V427" s="21" t="str">
        <f>_xll.RssMarket(A427,"出来高")</f>
        <v>表示銘柄数超過</v>
      </c>
      <c r="W427" s="21" t="str">
        <f>_xll.RssMarket(A427,"売買代金")</f>
        <v>表示銘柄数超過</v>
      </c>
      <c r="X427" s="20" t="str">
        <f>_xll.RssMarket(A427,"決算発表日")</f>
        <v>表示銘柄数超過</v>
      </c>
      <c r="Y427" s="26" t="str">
        <f>IF(C427&gt;_xll.RssMarket(A427,"年初来高値"),"○","×")</f>
        <v>×</v>
      </c>
      <c r="Z427" s="27" t="str">
        <f>IF(C427&lt;=_xll.RssMarket(A427,"年初来安値"),"○","×")</f>
        <v>○</v>
      </c>
    </row>
    <row r="428" spans="1:26" x14ac:dyDescent="0.25">
      <c r="A428" s="47">
        <v>4238</v>
      </c>
      <c r="B428" s="20" t="str">
        <f>_xll.RssMarket(A428,"銘柄名称")</f>
        <v>表示銘柄数超過</v>
      </c>
      <c r="C428" s="21" t="str">
        <f>_xll.RssMarket(A428,"現在値")</f>
        <v>表示銘柄数超過</v>
      </c>
      <c r="D428" s="20" t="str">
        <f>_xll.RssMarket(A428,"現在値詳細時刻")</f>
        <v>表示銘柄数超過</v>
      </c>
      <c r="E428" s="22" t="str">
        <f>_xll.RssMarket(A428,"前日比")</f>
        <v>表示銘柄数超過</v>
      </c>
      <c r="F428" s="23" t="e">
        <f>_xll.RssMarket(A428,"前日比率")/100</f>
        <v>#VALUE!</v>
      </c>
      <c r="G428" s="24" t="str">
        <f>IFERROR(VLOOKUP(A428,取得元!$A$2:$F$501,2,FALSE),"-")</f>
        <v>-</v>
      </c>
      <c r="H428" s="24" t="str">
        <f>IFERROR(VLOOKUP(A428,取得元!$A$2:$F$501,3,FALSE),"-")</f>
        <v>-</v>
      </c>
      <c r="I428" s="24" t="str">
        <f>IFERROR(VLOOKUP(A428,取得元!$A$2:$F$501,4,FALSE),"-")</f>
        <v>-</v>
      </c>
      <c r="J428" s="5" t="str">
        <f>IFERROR(VLOOKUP(A428,取得元!$A$2:$F$501,5,FALSE),"-")</f>
        <v>-</v>
      </c>
      <c r="K428" s="25" t="str">
        <f>IFERROR(VLOOKUP(A428,取得元!$A$2:$F$501,6,FALSE)/100,"-")</f>
        <v>-</v>
      </c>
      <c r="L428" s="21" t="str">
        <f>_xll.RssMarket(A428,"始値")</f>
        <v>表示銘柄数超過</v>
      </c>
      <c r="M428" s="4" t="e">
        <f t="shared" si="40"/>
        <v>#VALUE!</v>
      </c>
      <c r="N428" s="21" t="str">
        <f>_xll.RssMarket(A428,"高値")</f>
        <v>表示銘柄数超過</v>
      </c>
      <c r="O428" s="4" t="e">
        <f t="shared" si="41"/>
        <v>#VALUE!</v>
      </c>
      <c r="P428" s="21" t="str">
        <f>_xll.RssMarket(A428,"安値")</f>
        <v>表示銘柄数超過</v>
      </c>
      <c r="Q428" s="4" t="e">
        <f t="shared" si="42"/>
        <v>#VALUE!</v>
      </c>
      <c r="R428" s="21" t="str">
        <f>_xll.RssMarket(A428,"後場始値")</f>
        <v>表示銘柄数超過</v>
      </c>
      <c r="S428" s="25" t="str">
        <f t="shared" si="43"/>
        <v>-</v>
      </c>
      <c r="T428" s="7" t="str">
        <f>_xll.RssMarket(A428,"出来高加重平均")</f>
        <v>表示銘柄数超過</v>
      </c>
      <c r="U428" s="4" t="e">
        <f t="shared" si="44"/>
        <v>#VALUE!</v>
      </c>
      <c r="V428" s="21" t="str">
        <f>_xll.RssMarket(A428,"出来高")</f>
        <v>表示銘柄数超過</v>
      </c>
      <c r="W428" s="21" t="str">
        <f>_xll.RssMarket(A428,"売買代金")</f>
        <v>表示銘柄数超過</v>
      </c>
      <c r="X428" s="20" t="str">
        <f>_xll.RssMarket(A428,"決算発表日")</f>
        <v>表示銘柄数超過</v>
      </c>
      <c r="Y428" s="26" t="str">
        <f>IF(C428&gt;_xll.RssMarket(A428,"年初来高値"),"○","×")</f>
        <v>×</v>
      </c>
      <c r="Z428" s="27" t="str">
        <f>IF(C428&lt;=_xll.RssMarket(A428,"年初来安値"),"○","×")</f>
        <v>○</v>
      </c>
    </row>
    <row r="429" spans="1:26" x14ac:dyDescent="0.25">
      <c r="A429" s="49">
        <v>4241</v>
      </c>
      <c r="B429" s="20" t="str">
        <f>_xll.RssMarket(A429,"銘柄名称")</f>
        <v>表示銘柄数超過</v>
      </c>
      <c r="C429" s="21" t="str">
        <f>_xll.RssMarket(A429,"現在値")</f>
        <v>表示銘柄数超過</v>
      </c>
      <c r="D429" s="20" t="str">
        <f>_xll.RssMarket(A429,"現在値詳細時刻")</f>
        <v>表示銘柄数超過</v>
      </c>
      <c r="E429" s="22" t="str">
        <f>_xll.RssMarket(A429,"前日比")</f>
        <v>表示銘柄数超過</v>
      </c>
      <c r="F429" s="23" t="e">
        <f>_xll.RssMarket(A429,"前日比率")/100</f>
        <v>#VALUE!</v>
      </c>
      <c r="G429" s="24" t="str">
        <f>IFERROR(VLOOKUP(A429,取得元!$A$2:$F$501,2,FALSE),"-")</f>
        <v>-</v>
      </c>
      <c r="H429" s="24" t="str">
        <f>IFERROR(VLOOKUP(A429,取得元!$A$2:$F$501,3,FALSE),"-")</f>
        <v>-</v>
      </c>
      <c r="I429" s="24" t="str">
        <f>IFERROR(VLOOKUP(A429,取得元!$A$2:$F$501,4,FALSE),"-")</f>
        <v>-</v>
      </c>
      <c r="J429" s="5" t="str">
        <f>IFERROR(VLOOKUP(A429,取得元!$A$2:$F$501,5,FALSE),"-")</f>
        <v>-</v>
      </c>
      <c r="K429" s="25" t="str">
        <f>IFERROR(VLOOKUP(A429,取得元!$A$2:$F$501,6,FALSE)/100,"-")</f>
        <v>-</v>
      </c>
      <c r="L429" s="21" t="str">
        <f>_xll.RssMarket(A429,"始値")</f>
        <v>表示銘柄数超過</v>
      </c>
      <c r="M429" s="4" t="e">
        <f t="shared" si="40"/>
        <v>#VALUE!</v>
      </c>
      <c r="N429" s="21" t="str">
        <f>_xll.RssMarket(A429,"高値")</f>
        <v>表示銘柄数超過</v>
      </c>
      <c r="O429" s="4" t="e">
        <f t="shared" si="41"/>
        <v>#VALUE!</v>
      </c>
      <c r="P429" s="21" t="str">
        <f>_xll.RssMarket(A429,"安値")</f>
        <v>表示銘柄数超過</v>
      </c>
      <c r="Q429" s="4" t="e">
        <f t="shared" si="42"/>
        <v>#VALUE!</v>
      </c>
      <c r="R429" s="21" t="str">
        <f>_xll.RssMarket(A429,"後場始値")</f>
        <v>表示銘柄数超過</v>
      </c>
      <c r="S429" s="25" t="str">
        <f t="shared" si="43"/>
        <v>-</v>
      </c>
      <c r="T429" s="7" t="str">
        <f>_xll.RssMarket(A429,"出来高加重平均")</f>
        <v>表示銘柄数超過</v>
      </c>
      <c r="U429" s="4" t="e">
        <f t="shared" si="44"/>
        <v>#VALUE!</v>
      </c>
      <c r="V429" s="21" t="str">
        <f>_xll.RssMarket(A429,"出来高")</f>
        <v>表示銘柄数超過</v>
      </c>
      <c r="W429" s="21" t="str">
        <f>_xll.RssMarket(A429,"売買代金")</f>
        <v>表示銘柄数超過</v>
      </c>
      <c r="X429" s="20" t="str">
        <f>_xll.RssMarket(A429,"決算発表日")</f>
        <v>表示銘柄数超過</v>
      </c>
      <c r="Y429" s="26" t="str">
        <f>IF(C429&gt;_xll.RssMarket(A429,"年初来高値"),"○","×")</f>
        <v>×</v>
      </c>
      <c r="Z429" s="27" t="str">
        <f>IF(C429&lt;=_xll.RssMarket(A429,"年初来安値"),"○","×")</f>
        <v>○</v>
      </c>
    </row>
    <row r="430" spans="1:26" x14ac:dyDescent="0.25">
      <c r="A430" s="47">
        <v>4243</v>
      </c>
      <c r="B430" s="20" t="str">
        <f>_xll.RssMarket(A430,"銘柄名称")</f>
        <v>表示銘柄数超過</v>
      </c>
      <c r="C430" s="21" t="str">
        <f>_xll.RssMarket(A430,"現在値")</f>
        <v>表示銘柄数超過</v>
      </c>
      <c r="D430" s="20" t="str">
        <f>_xll.RssMarket(A430,"現在値詳細時刻")</f>
        <v>表示銘柄数超過</v>
      </c>
      <c r="E430" s="22" t="str">
        <f>_xll.RssMarket(A430,"前日比")</f>
        <v>表示銘柄数超過</v>
      </c>
      <c r="F430" s="23" t="e">
        <f>_xll.RssMarket(A430,"前日比率")/100</f>
        <v>#VALUE!</v>
      </c>
      <c r="G430" s="24" t="str">
        <f>IFERROR(VLOOKUP(A430,取得元!$A$2:$F$501,2,FALSE),"-")</f>
        <v>-</v>
      </c>
      <c r="H430" s="24" t="str">
        <f>IFERROR(VLOOKUP(A430,取得元!$A$2:$F$501,3,FALSE),"-")</f>
        <v>-</v>
      </c>
      <c r="I430" s="24" t="str">
        <f>IFERROR(VLOOKUP(A430,取得元!$A$2:$F$501,4,FALSE),"-")</f>
        <v>-</v>
      </c>
      <c r="J430" s="5" t="str">
        <f>IFERROR(VLOOKUP(A430,取得元!$A$2:$F$501,5,FALSE),"-")</f>
        <v>-</v>
      </c>
      <c r="K430" s="25" t="str">
        <f>IFERROR(VLOOKUP(A430,取得元!$A$2:$F$501,6,FALSE)/100,"-")</f>
        <v>-</v>
      </c>
      <c r="L430" s="21" t="str">
        <f>_xll.RssMarket(A430,"始値")</f>
        <v>表示銘柄数超過</v>
      </c>
      <c r="M430" s="4" t="e">
        <f t="shared" si="40"/>
        <v>#VALUE!</v>
      </c>
      <c r="N430" s="21" t="str">
        <f>_xll.RssMarket(A430,"高値")</f>
        <v>表示銘柄数超過</v>
      </c>
      <c r="O430" s="4" t="e">
        <f t="shared" si="41"/>
        <v>#VALUE!</v>
      </c>
      <c r="P430" s="21" t="str">
        <f>_xll.RssMarket(A430,"安値")</f>
        <v>表示銘柄数超過</v>
      </c>
      <c r="Q430" s="4" t="e">
        <f t="shared" si="42"/>
        <v>#VALUE!</v>
      </c>
      <c r="R430" s="21" t="str">
        <f>_xll.RssMarket(A430,"後場始値")</f>
        <v>表示銘柄数超過</v>
      </c>
      <c r="S430" s="25" t="str">
        <f t="shared" si="43"/>
        <v>-</v>
      </c>
      <c r="T430" s="7" t="str">
        <f>_xll.RssMarket(A430,"出来高加重平均")</f>
        <v>表示銘柄数超過</v>
      </c>
      <c r="U430" s="4" t="e">
        <f t="shared" si="44"/>
        <v>#VALUE!</v>
      </c>
      <c r="V430" s="21" t="str">
        <f>_xll.RssMarket(A430,"出来高")</f>
        <v>表示銘柄数超過</v>
      </c>
      <c r="W430" s="21" t="str">
        <f>_xll.RssMarket(A430,"売買代金")</f>
        <v>表示銘柄数超過</v>
      </c>
      <c r="X430" s="20" t="str">
        <f>_xll.RssMarket(A430,"決算発表日")</f>
        <v>表示銘柄数超過</v>
      </c>
      <c r="Y430" s="26" t="str">
        <f>IF(C430&gt;_xll.RssMarket(A430,"年初来高値"),"○","×")</f>
        <v>×</v>
      </c>
      <c r="Z430" s="27" t="str">
        <f>IF(C430&lt;=_xll.RssMarket(A430,"年初来安値"),"○","×")</f>
        <v>○</v>
      </c>
    </row>
    <row r="431" spans="1:26" x14ac:dyDescent="0.25">
      <c r="A431" s="49">
        <v>4258</v>
      </c>
      <c r="B431" s="20" t="str">
        <f>_xll.RssMarket(A431,"銘柄名称")</f>
        <v>表示銘柄数超過</v>
      </c>
      <c r="C431" s="21" t="str">
        <f>_xll.RssMarket(A431,"現在値")</f>
        <v>表示銘柄数超過</v>
      </c>
      <c r="D431" s="20" t="str">
        <f>_xll.RssMarket(A431,"現在値詳細時刻")</f>
        <v>表示銘柄数超過</v>
      </c>
      <c r="E431" s="22" t="str">
        <f>_xll.RssMarket(A431,"前日比")</f>
        <v>表示銘柄数超過</v>
      </c>
      <c r="F431" s="23" t="e">
        <f>_xll.RssMarket(A431,"前日比率")/100</f>
        <v>#VALUE!</v>
      </c>
      <c r="G431" s="24" t="str">
        <f>IFERROR(VLOOKUP(A431,取得元!$A$2:$F$501,2,FALSE),"-")</f>
        <v>-</v>
      </c>
      <c r="H431" s="24" t="str">
        <f>IFERROR(VLOOKUP(A431,取得元!$A$2:$F$501,3,FALSE),"-")</f>
        <v>-</v>
      </c>
      <c r="I431" s="24" t="str">
        <f>IFERROR(VLOOKUP(A431,取得元!$A$2:$F$501,4,FALSE),"-")</f>
        <v>-</v>
      </c>
      <c r="J431" s="5" t="str">
        <f>IFERROR(VLOOKUP(A431,取得元!$A$2:$F$501,5,FALSE),"-")</f>
        <v>-</v>
      </c>
      <c r="K431" s="25" t="str">
        <f>IFERROR(VLOOKUP(A431,取得元!$A$2:$F$501,6,FALSE)/100,"-")</f>
        <v>-</v>
      </c>
      <c r="L431" s="21" t="str">
        <f>_xll.RssMarket(A431,"始値")</f>
        <v>表示銘柄数超過</v>
      </c>
      <c r="M431" s="4" t="e">
        <f t="shared" si="40"/>
        <v>#VALUE!</v>
      </c>
      <c r="N431" s="21" t="str">
        <f>_xll.RssMarket(A431,"高値")</f>
        <v>表示銘柄数超過</v>
      </c>
      <c r="O431" s="4" t="e">
        <f t="shared" si="41"/>
        <v>#VALUE!</v>
      </c>
      <c r="P431" s="21" t="str">
        <f>_xll.RssMarket(A431,"安値")</f>
        <v>表示銘柄数超過</v>
      </c>
      <c r="Q431" s="4" t="e">
        <f t="shared" si="42"/>
        <v>#VALUE!</v>
      </c>
      <c r="R431" s="21" t="str">
        <f>_xll.RssMarket(A431,"後場始値")</f>
        <v>表示銘柄数超過</v>
      </c>
      <c r="S431" s="25" t="str">
        <f t="shared" si="43"/>
        <v>-</v>
      </c>
      <c r="T431" s="7" t="str">
        <f>_xll.RssMarket(A431,"出来高加重平均")</f>
        <v>表示銘柄数超過</v>
      </c>
      <c r="U431" s="4" t="e">
        <f t="shared" si="44"/>
        <v>#VALUE!</v>
      </c>
      <c r="V431" s="21" t="str">
        <f>_xll.RssMarket(A431,"出来高")</f>
        <v>表示銘柄数超過</v>
      </c>
      <c r="W431" s="21" t="str">
        <f>_xll.RssMarket(A431,"売買代金")</f>
        <v>表示銘柄数超過</v>
      </c>
      <c r="X431" s="20" t="str">
        <f>_xll.RssMarket(A431,"決算発表日")</f>
        <v>表示銘柄数超過</v>
      </c>
      <c r="Y431" s="26" t="str">
        <f>IF(C431&gt;_xll.RssMarket(A431,"年初来高値"),"○","×")</f>
        <v>×</v>
      </c>
      <c r="Z431" s="27" t="str">
        <f>IF(C431&lt;=_xll.RssMarket(A431,"年初来安値"),"○","×")</f>
        <v>○</v>
      </c>
    </row>
    <row r="432" spans="1:26" x14ac:dyDescent="0.25">
      <c r="A432" s="47">
        <v>4259</v>
      </c>
      <c r="B432" s="20" t="str">
        <f>_xll.RssMarket(A432,"銘柄名称")</f>
        <v>表示銘柄数超過</v>
      </c>
      <c r="C432" s="21" t="str">
        <f>_xll.RssMarket(A432,"現在値")</f>
        <v>表示銘柄数超過</v>
      </c>
      <c r="D432" s="20" t="str">
        <f>_xll.RssMarket(A432,"現在値詳細時刻")</f>
        <v>表示銘柄数超過</v>
      </c>
      <c r="E432" s="22" t="str">
        <f>_xll.RssMarket(A432,"前日比")</f>
        <v>表示銘柄数超過</v>
      </c>
      <c r="F432" s="23" t="e">
        <f>_xll.RssMarket(A432,"前日比率")/100</f>
        <v>#VALUE!</v>
      </c>
      <c r="G432" s="24" t="str">
        <f>IFERROR(VLOOKUP(A432,取得元!$A$2:$F$501,2,FALSE),"-")</f>
        <v>-</v>
      </c>
      <c r="H432" s="24" t="str">
        <f>IFERROR(VLOOKUP(A432,取得元!$A$2:$F$501,3,FALSE),"-")</f>
        <v>-</v>
      </c>
      <c r="I432" s="24" t="str">
        <f>IFERROR(VLOOKUP(A432,取得元!$A$2:$F$501,4,FALSE),"-")</f>
        <v>-</v>
      </c>
      <c r="J432" s="5" t="str">
        <f>IFERROR(VLOOKUP(A432,取得元!$A$2:$F$501,5,FALSE),"-")</f>
        <v>-</v>
      </c>
      <c r="K432" s="25" t="str">
        <f>IFERROR(VLOOKUP(A432,取得元!$A$2:$F$501,6,FALSE)/100,"-")</f>
        <v>-</v>
      </c>
      <c r="L432" s="21" t="str">
        <f>_xll.RssMarket(A432,"始値")</f>
        <v>表示銘柄数超過</v>
      </c>
      <c r="M432" s="4" t="e">
        <f t="shared" si="40"/>
        <v>#VALUE!</v>
      </c>
      <c r="N432" s="21" t="str">
        <f>_xll.RssMarket(A432,"高値")</f>
        <v>表示銘柄数超過</v>
      </c>
      <c r="O432" s="4" t="e">
        <f t="shared" si="41"/>
        <v>#VALUE!</v>
      </c>
      <c r="P432" s="21" t="str">
        <f>_xll.RssMarket(A432,"安値")</f>
        <v>表示銘柄数超過</v>
      </c>
      <c r="Q432" s="4" t="e">
        <f t="shared" si="42"/>
        <v>#VALUE!</v>
      </c>
      <c r="R432" s="21" t="str">
        <f>_xll.RssMarket(A432,"後場始値")</f>
        <v>表示銘柄数超過</v>
      </c>
      <c r="S432" s="25" t="str">
        <f t="shared" si="43"/>
        <v>-</v>
      </c>
      <c r="T432" s="7" t="str">
        <f>_xll.RssMarket(A432,"出来高加重平均")</f>
        <v>表示銘柄数超過</v>
      </c>
      <c r="U432" s="4" t="e">
        <f t="shared" si="44"/>
        <v>#VALUE!</v>
      </c>
      <c r="V432" s="21" t="str">
        <f>_xll.RssMarket(A432,"出来高")</f>
        <v>表示銘柄数超過</v>
      </c>
      <c r="W432" s="21" t="str">
        <f>_xll.RssMarket(A432,"売買代金")</f>
        <v>表示銘柄数超過</v>
      </c>
      <c r="X432" s="20" t="str">
        <f>_xll.RssMarket(A432,"決算発表日")</f>
        <v>表示銘柄数超過</v>
      </c>
      <c r="Y432" s="26" t="str">
        <f>IF(C432&gt;_xll.RssMarket(A432,"年初来高値"),"○","×")</f>
        <v>×</v>
      </c>
      <c r="Z432" s="27" t="str">
        <f>IF(C432&lt;=_xll.RssMarket(A432,"年初来安値"),"○","×")</f>
        <v>○</v>
      </c>
    </row>
    <row r="433" spans="1:26" x14ac:dyDescent="0.25">
      <c r="A433" s="49">
        <v>4264</v>
      </c>
      <c r="B433" s="20" t="str">
        <f>_xll.RssMarket(A433,"銘柄名称")</f>
        <v>表示銘柄数超過</v>
      </c>
      <c r="C433" s="21" t="str">
        <f>_xll.RssMarket(A433,"現在値")</f>
        <v>表示銘柄数超過</v>
      </c>
      <c r="D433" s="20" t="str">
        <f>_xll.RssMarket(A433,"現在値詳細時刻")</f>
        <v>表示銘柄数超過</v>
      </c>
      <c r="E433" s="22" t="str">
        <f>_xll.RssMarket(A433,"前日比")</f>
        <v>表示銘柄数超過</v>
      </c>
      <c r="F433" s="23" t="e">
        <f>_xll.RssMarket(A433,"前日比率")/100</f>
        <v>#VALUE!</v>
      </c>
      <c r="G433" s="24" t="str">
        <f>IFERROR(VLOOKUP(A433,取得元!$A$2:$F$501,2,FALSE),"-")</f>
        <v>-</v>
      </c>
      <c r="H433" s="24" t="str">
        <f>IFERROR(VLOOKUP(A433,取得元!$A$2:$F$501,3,FALSE),"-")</f>
        <v>-</v>
      </c>
      <c r="I433" s="24" t="str">
        <f>IFERROR(VLOOKUP(A433,取得元!$A$2:$F$501,4,FALSE),"-")</f>
        <v>-</v>
      </c>
      <c r="J433" s="5" t="str">
        <f>IFERROR(VLOOKUP(A433,取得元!$A$2:$F$501,5,FALSE),"-")</f>
        <v>-</v>
      </c>
      <c r="K433" s="25" t="str">
        <f>IFERROR(VLOOKUP(A433,取得元!$A$2:$F$501,6,FALSE)/100,"-")</f>
        <v>-</v>
      </c>
      <c r="L433" s="21" t="str">
        <f>_xll.RssMarket(A433,"始値")</f>
        <v>表示銘柄数超過</v>
      </c>
      <c r="M433" s="4" t="e">
        <f t="shared" si="40"/>
        <v>#VALUE!</v>
      </c>
      <c r="N433" s="21" t="str">
        <f>_xll.RssMarket(A433,"高値")</f>
        <v>表示銘柄数超過</v>
      </c>
      <c r="O433" s="4" t="e">
        <f t="shared" si="41"/>
        <v>#VALUE!</v>
      </c>
      <c r="P433" s="21" t="str">
        <f>_xll.RssMarket(A433,"安値")</f>
        <v>表示銘柄数超過</v>
      </c>
      <c r="Q433" s="4" t="e">
        <f t="shared" si="42"/>
        <v>#VALUE!</v>
      </c>
      <c r="R433" s="21" t="str">
        <f>_xll.RssMarket(A433,"後場始値")</f>
        <v>表示銘柄数超過</v>
      </c>
      <c r="S433" s="25" t="str">
        <f t="shared" si="43"/>
        <v>-</v>
      </c>
      <c r="T433" s="7" t="str">
        <f>_xll.RssMarket(A433,"出来高加重平均")</f>
        <v>表示銘柄数超過</v>
      </c>
      <c r="U433" s="4" t="e">
        <f t="shared" si="44"/>
        <v>#VALUE!</v>
      </c>
      <c r="V433" s="21" t="str">
        <f>_xll.RssMarket(A433,"出来高")</f>
        <v>表示銘柄数超過</v>
      </c>
      <c r="W433" s="21" t="str">
        <f>_xll.RssMarket(A433,"売買代金")</f>
        <v>表示銘柄数超過</v>
      </c>
      <c r="X433" s="20" t="str">
        <f>_xll.RssMarket(A433,"決算発表日")</f>
        <v>表示銘柄数超過</v>
      </c>
      <c r="Y433" s="26" t="str">
        <f>IF(C433&gt;_xll.RssMarket(A433,"年初来高値"),"○","×")</f>
        <v>×</v>
      </c>
      <c r="Z433" s="27" t="str">
        <f>IF(C433&lt;=_xll.RssMarket(A433,"年初来安値"),"○","×")</f>
        <v>○</v>
      </c>
    </row>
    <row r="434" spans="1:26" x14ac:dyDescent="0.25">
      <c r="A434" s="47">
        <v>4268</v>
      </c>
      <c r="B434" s="20" t="str">
        <f>_xll.RssMarket(A434,"銘柄名称")</f>
        <v>表示銘柄数超過</v>
      </c>
      <c r="C434" s="21" t="str">
        <f>_xll.RssMarket(A434,"現在値")</f>
        <v>表示銘柄数超過</v>
      </c>
      <c r="D434" s="20" t="str">
        <f>_xll.RssMarket(A434,"現在値詳細時刻")</f>
        <v>表示銘柄数超過</v>
      </c>
      <c r="E434" s="22" t="str">
        <f>_xll.RssMarket(A434,"前日比")</f>
        <v>表示銘柄数超過</v>
      </c>
      <c r="F434" s="23" t="e">
        <f>_xll.RssMarket(A434,"前日比率")/100</f>
        <v>#VALUE!</v>
      </c>
      <c r="G434" s="24" t="str">
        <f>IFERROR(VLOOKUP(A434,取得元!$A$2:$F$501,2,FALSE),"-")</f>
        <v>-</v>
      </c>
      <c r="H434" s="24" t="str">
        <f>IFERROR(VLOOKUP(A434,取得元!$A$2:$F$501,3,FALSE),"-")</f>
        <v>-</v>
      </c>
      <c r="I434" s="24" t="str">
        <f>IFERROR(VLOOKUP(A434,取得元!$A$2:$F$501,4,FALSE),"-")</f>
        <v>-</v>
      </c>
      <c r="J434" s="5" t="str">
        <f>IFERROR(VLOOKUP(A434,取得元!$A$2:$F$501,5,FALSE),"-")</f>
        <v>-</v>
      </c>
      <c r="K434" s="25" t="str">
        <f>IFERROR(VLOOKUP(A434,取得元!$A$2:$F$501,6,FALSE)/100,"-")</f>
        <v>-</v>
      </c>
      <c r="L434" s="21" t="str">
        <f>_xll.RssMarket(A434,"始値")</f>
        <v>表示銘柄数超過</v>
      </c>
      <c r="M434" s="4" t="e">
        <f t="shared" si="40"/>
        <v>#VALUE!</v>
      </c>
      <c r="N434" s="21" t="str">
        <f>_xll.RssMarket(A434,"高値")</f>
        <v>表示銘柄数超過</v>
      </c>
      <c r="O434" s="4" t="e">
        <f t="shared" si="41"/>
        <v>#VALUE!</v>
      </c>
      <c r="P434" s="21" t="str">
        <f>_xll.RssMarket(A434,"安値")</f>
        <v>表示銘柄数超過</v>
      </c>
      <c r="Q434" s="4" t="e">
        <f t="shared" si="42"/>
        <v>#VALUE!</v>
      </c>
      <c r="R434" s="21" t="str">
        <f>_xll.RssMarket(A434,"後場始値")</f>
        <v>表示銘柄数超過</v>
      </c>
      <c r="S434" s="25" t="str">
        <f t="shared" si="43"/>
        <v>-</v>
      </c>
      <c r="T434" s="7" t="str">
        <f>_xll.RssMarket(A434,"出来高加重平均")</f>
        <v>表示銘柄数超過</v>
      </c>
      <c r="U434" s="4" t="e">
        <f t="shared" si="44"/>
        <v>#VALUE!</v>
      </c>
      <c r="V434" s="21" t="str">
        <f>_xll.RssMarket(A434,"出来高")</f>
        <v>表示銘柄数超過</v>
      </c>
      <c r="W434" s="21" t="str">
        <f>_xll.RssMarket(A434,"売買代金")</f>
        <v>表示銘柄数超過</v>
      </c>
      <c r="X434" s="20" t="str">
        <f>_xll.RssMarket(A434,"決算発表日")</f>
        <v>表示銘柄数超過</v>
      </c>
      <c r="Y434" s="26" t="str">
        <f>IF(C434&gt;_xll.RssMarket(A434,"年初来高値"),"○","×")</f>
        <v>×</v>
      </c>
      <c r="Z434" s="27" t="str">
        <f>IF(C434&lt;=_xll.RssMarket(A434,"年初来安値"),"○","×")</f>
        <v>○</v>
      </c>
    </row>
    <row r="435" spans="1:26" x14ac:dyDescent="0.25">
      <c r="A435" s="49">
        <v>4274</v>
      </c>
      <c r="B435" s="20" t="str">
        <f>_xll.RssMarket(A435,"銘柄名称")</f>
        <v>表示銘柄数超過</v>
      </c>
      <c r="C435" s="21" t="str">
        <f>_xll.RssMarket(A435,"現在値")</f>
        <v>表示銘柄数超過</v>
      </c>
      <c r="D435" s="20" t="str">
        <f>_xll.RssMarket(A435,"現在値詳細時刻")</f>
        <v>表示銘柄数超過</v>
      </c>
      <c r="E435" s="22" t="str">
        <f>_xll.RssMarket(A435,"前日比")</f>
        <v>表示銘柄数超過</v>
      </c>
      <c r="F435" s="23" t="e">
        <f>_xll.RssMarket(A435,"前日比率")/100</f>
        <v>#VALUE!</v>
      </c>
      <c r="G435" s="24" t="str">
        <f>IFERROR(VLOOKUP(A435,取得元!$A$2:$F$501,2,FALSE),"-")</f>
        <v>-</v>
      </c>
      <c r="H435" s="24" t="str">
        <f>IFERROR(VLOOKUP(A435,取得元!$A$2:$F$501,3,FALSE),"-")</f>
        <v>-</v>
      </c>
      <c r="I435" s="24" t="str">
        <f>IFERROR(VLOOKUP(A435,取得元!$A$2:$F$501,4,FALSE),"-")</f>
        <v>-</v>
      </c>
      <c r="J435" s="5" t="str">
        <f>IFERROR(VLOOKUP(A435,取得元!$A$2:$F$501,5,FALSE),"-")</f>
        <v>-</v>
      </c>
      <c r="K435" s="25" t="str">
        <f>IFERROR(VLOOKUP(A435,取得元!$A$2:$F$501,6,FALSE)/100,"-")</f>
        <v>-</v>
      </c>
      <c r="L435" s="21" t="str">
        <f>_xll.RssMarket(A435,"始値")</f>
        <v>表示銘柄数超過</v>
      </c>
      <c r="M435" s="4" t="e">
        <f t="shared" si="40"/>
        <v>#VALUE!</v>
      </c>
      <c r="N435" s="21" t="str">
        <f>_xll.RssMarket(A435,"高値")</f>
        <v>表示銘柄数超過</v>
      </c>
      <c r="O435" s="4" t="e">
        <f t="shared" si="41"/>
        <v>#VALUE!</v>
      </c>
      <c r="P435" s="21" t="str">
        <f>_xll.RssMarket(A435,"安値")</f>
        <v>表示銘柄数超過</v>
      </c>
      <c r="Q435" s="4" t="e">
        <f t="shared" si="42"/>
        <v>#VALUE!</v>
      </c>
      <c r="R435" s="21" t="str">
        <f>_xll.RssMarket(A435,"後場始値")</f>
        <v>表示銘柄数超過</v>
      </c>
      <c r="S435" s="25" t="str">
        <f t="shared" si="43"/>
        <v>-</v>
      </c>
      <c r="T435" s="7" t="str">
        <f>_xll.RssMarket(A435,"出来高加重平均")</f>
        <v>表示銘柄数超過</v>
      </c>
      <c r="U435" s="4" t="e">
        <f t="shared" si="44"/>
        <v>#VALUE!</v>
      </c>
      <c r="V435" s="21" t="str">
        <f>_xll.RssMarket(A435,"出来高")</f>
        <v>表示銘柄数超過</v>
      </c>
      <c r="W435" s="21" t="str">
        <f>_xll.RssMarket(A435,"売買代金")</f>
        <v>表示銘柄数超過</v>
      </c>
      <c r="X435" s="20" t="str">
        <f>_xll.RssMarket(A435,"決算発表日")</f>
        <v>表示銘柄数超過</v>
      </c>
      <c r="Y435" s="26" t="str">
        <f>IF(C435&gt;_xll.RssMarket(A435,"年初来高値"),"○","×")</f>
        <v>×</v>
      </c>
      <c r="Z435" s="27" t="str">
        <f>IF(C435&lt;=_xll.RssMarket(A435,"年初来安値"),"○","×")</f>
        <v>○</v>
      </c>
    </row>
    <row r="436" spans="1:26" x14ac:dyDescent="0.25">
      <c r="A436" s="47">
        <v>4275</v>
      </c>
      <c r="B436" s="20" t="str">
        <f>_xll.RssMarket(A436,"銘柄名称")</f>
        <v>表示銘柄数超過</v>
      </c>
      <c r="C436" s="21" t="str">
        <f>_xll.RssMarket(A436,"現在値")</f>
        <v>表示銘柄数超過</v>
      </c>
      <c r="D436" s="20" t="str">
        <f>_xll.RssMarket(A436,"現在値詳細時刻")</f>
        <v>表示銘柄数超過</v>
      </c>
      <c r="E436" s="22" t="str">
        <f>_xll.RssMarket(A436,"前日比")</f>
        <v>表示銘柄数超過</v>
      </c>
      <c r="F436" s="23" t="e">
        <f>_xll.RssMarket(A436,"前日比率")/100</f>
        <v>#VALUE!</v>
      </c>
      <c r="G436" s="24" t="str">
        <f>IFERROR(VLOOKUP(A436,取得元!$A$2:$F$501,2,FALSE),"-")</f>
        <v>-</v>
      </c>
      <c r="H436" s="24" t="str">
        <f>IFERROR(VLOOKUP(A436,取得元!$A$2:$F$501,3,FALSE),"-")</f>
        <v>-</v>
      </c>
      <c r="I436" s="24" t="str">
        <f>IFERROR(VLOOKUP(A436,取得元!$A$2:$F$501,4,FALSE),"-")</f>
        <v>-</v>
      </c>
      <c r="J436" s="5" t="str">
        <f>IFERROR(VLOOKUP(A436,取得元!$A$2:$F$501,5,FALSE),"-")</f>
        <v>-</v>
      </c>
      <c r="K436" s="25" t="str">
        <f>IFERROR(VLOOKUP(A436,取得元!$A$2:$F$501,6,FALSE)/100,"-")</f>
        <v>-</v>
      </c>
      <c r="L436" s="21" t="str">
        <f>_xll.RssMarket(A436,"始値")</f>
        <v>表示銘柄数超過</v>
      </c>
      <c r="M436" s="4" t="e">
        <f t="shared" si="40"/>
        <v>#VALUE!</v>
      </c>
      <c r="N436" s="21" t="str">
        <f>_xll.RssMarket(A436,"高値")</f>
        <v>表示銘柄数超過</v>
      </c>
      <c r="O436" s="4" t="e">
        <f t="shared" si="41"/>
        <v>#VALUE!</v>
      </c>
      <c r="P436" s="21" t="str">
        <f>_xll.RssMarket(A436,"安値")</f>
        <v>表示銘柄数超過</v>
      </c>
      <c r="Q436" s="4" t="e">
        <f t="shared" si="42"/>
        <v>#VALUE!</v>
      </c>
      <c r="R436" s="21" t="str">
        <f>_xll.RssMarket(A436,"後場始値")</f>
        <v>表示銘柄数超過</v>
      </c>
      <c r="S436" s="25" t="str">
        <f t="shared" si="43"/>
        <v>-</v>
      </c>
      <c r="T436" s="7" t="str">
        <f>_xll.RssMarket(A436,"出来高加重平均")</f>
        <v>表示銘柄数超過</v>
      </c>
      <c r="U436" s="4" t="e">
        <f t="shared" si="44"/>
        <v>#VALUE!</v>
      </c>
      <c r="V436" s="21" t="str">
        <f>_xll.RssMarket(A436,"出来高")</f>
        <v>表示銘柄数超過</v>
      </c>
      <c r="W436" s="21" t="str">
        <f>_xll.RssMarket(A436,"売買代金")</f>
        <v>表示銘柄数超過</v>
      </c>
      <c r="X436" s="20" t="str">
        <f>_xll.RssMarket(A436,"決算発表日")</f>
        <v>表示銘柄数超過</v>
      </c>
      <c r="Y436" s="26" t="str">
        <f>IF(C436&gt;_xll.RssMarket(A436,"年初来高値"),"○","×")</f>
        <v>×</v>
      </c>
      <c r="Z436" s="27" t="str">
        <f>IF(C436&lt;=_xll.RssMarket(A436,"年初来安値"),"○","×")</f>
        <v>○</v>
      </c>
    </row>
    <row r="437" spans="1:26" x14ac:dyDescent="0.25">
      <c r="A437" s="49">
        <v>4286</v>
      </c>
      <c r="B437" s="20" t="str">
        <f>_xll.RssMarket(A437,"銘柄名称")</f>
        <v>表示銘柄数超過</v>
      </c>
      <c r="C437" s="21" t="str">
        <f>_xll.RssMarket(A437,"現在値")</f>
        <v>表示銘柄数超過</v>
      </c>
      <c r="D437" s="20" t="str">
        <f>_xll.RssMarket(A437,"現在値詳細時刻")</f>
        <v>表示銘柄数超過</v>
      </c>
      <c r="E437" s="22" t="str">
        <f>_xll.RssMarket(A437,"前日比")</f>
        <v>表示銘柄数超過</v>
      </c>
      <c r="F437" s="23" t="e">
        <f>_xll.RssMarket(A437,"前日比率")/100</f>
        <v>#VALUE!</v>
      </c>
      <c r="G437" s="24" t="str">
        <f>IFERROR(VLOOKUP(A437,取得元!$A$2:$F$501,2,FALSE),"-")</f>
        <v>-</v>
      </c>
      <c r="H437" s="24" t="str">
        <f>IFERROR(VLOOKUP(A437,取得元!$A$2:$F$501,3,FALSE),"-")</f>
        <v>-</v>
      </c>
      <c r="I437" s="24" t="str">
        <f>IFERROR(VLOOKUP(A437,取得元!$A$2:$F$501,4,FALSE),"-")</f>
        <v>-</v>
      </c>
      <c r="J437" s="5" t="str">
        <f>IFERROR(VLOOKUP(A437,取得元!$A$2:$F$501,5,FALSE),"-")</f>
        <v>-</v>
      </c>
      <c r="K437" s="25" t="str">
        <f>IFERROR(VLOOKUP(A437,取得元!$A$2:$F$501,6,FALSE)/100,"-")</f>
        <v>-</v>
      </c>
      <c r="L437" s="21" t="str">
        <f>_xll.RssMarket(A437,"始値")</f>
        <v>表示銘柄数超過</v>
      </c>
      <c r="M437" s="4" t="e">
        <f t="shared" si="40"/>
        <v>#VALUE!</v>
      </c>
      <c r="N437" s="21" t="str">
        <f>_xll.RssMarket(A437,"高値")</f>
        <v>表示銘柄数超過</v>
      </c>
      <c r="O437" s="4" t="e">
        <f t="shared" si="41"/>
        <v>#VALUE!</v>
      </c>
      <c r="P437" s="21" t="str">
        <f>_xll.RssMarket(A437,"安値")</f>
        <v>表示銘柄数超過</v>
      </c>
      <c r="Q437" s="4" t="e">
        <f t="shared" si="42"/>
        <v>#VALUE!</v>
      </c>
      <c r="R437" s="21" t="str">
        <f>_xll.RssMarket(A437,"後場始値")</f>
        <v>表示銘柄数超過</v>
      </c>
      <c r="S437" s="25" t="str">
        <f t="shared" si="43"/>
        <v>-</v>
      </c>
      <c r="T437" s="7" t="str">
        <f>_xll.RssMarket(A437,"出来高加重平均")</f>
        <v>表示銘柄数超過</v>
      </c>
      <c r="U437" s="4" t="e">
        <f t="shared" si="44"/>
        <v>#VALUE!</v>
      </c>
      <c r="V437" s="21" t="str">
        <f>_xll.RssMarket(A437,"出来高")</f>
        <v>表示銘柄数超過</v>
      </c>
      <c r="W437" s="21" t="str">
        <f>_xll.RssMarket(A437,"売買代金")</f>
        <v>表示銘柄数超過</v>
      </c>
      <c r="X437" s="20" t="str">
        <f>_xll.RssMarket(A437,"決算発表日")</f>
        <v>表示銘柄数超過</v>
      </c>
      <c r="Y437" s="26" t="str">
        <f>IF(C437&gt;_xll.RssMarket(A437,"年初来高値"),"○","×")</f>
        <v>×</v>
      </c>
      <c r="Z437" s="27" t="str">
        <f>IF(C437&lt;=_xll.RssMarket(A437,"年初来安値"),"○","×")</f>
        <v>○</v>
      </c>
    </row>
    <row r="438" spans="1:26" x14ac:dyDescent="0.25">
      <c r="A438" s="47">
        <v>4287</v>
      </c>
      <c r="B438" s="20" t="str">
        <f>_xll.RssMarket(A438,"銘柄名称")</f>
        <v>表示銘柄数超過</v>
      </c>
      <c r="C438" s="21" t="str">
        <f>_xll.RssMarket(A438,"現在値")</f>
        <v>表示銘柄数超過</v>
      </c>
      <c r="D438" s="20" t="str">
        <f>_xll.RssMarket(A438,"現在値詳細時刻")</f>
        <v>表示銘柄数超過</v>
      </c>
      <c r="E438" s="22" t="str">
        <f>_xll.RssMarket(A438,"前日比")</f>
        <v>表示銘柄数超過</v>
      </c>
      <c r="F438" s="23" t="e">
        <f>_xll.RssMarket(A438,"前日比率")/100</f>
        <v>#VALUE!</v>
      </c>
      <c r="G438" s="24" t="str">
        <f>IFERROR(VLOOKUP(A438,取得元!$A$2:$F$501,2,FALSE),"-")</f>
        <v>-</v>
      </c>
      <c r="H438" s="24" t="str">
        <f>IFERROR(VLOOKUP(A438,取得元!$A$2:$F$501,3,FALSE),"-")</f>
        <v>-</v>
      </c>
      <c r="I438" s="24" t="str">
        <f>IFERROR(VLOOKUP(A438,取得元!$A$2:$F$501,4,FALSE),"-")</f>
        <v>-</v>
      </c>
      <c r="J438" s="5" t="str">
        <f>IFERROR(VLOOKUP(A438,取得元!$A$2:$F$501,5,FALSE),"-")</f>
        <v>-</v>
      </c>
      <c r="K438" s="25" t="str">
        <f>IFERROR(VLOOKUP(A438,取得元!$A$2:$F$501,6,FALSE)/100,"-")</f>
        <v>-</v>
      </c>
      <c r="L438" s="21" t="str">
        <f>_xll.RssMarket(A438,"始値")</f>
        <v>表示銘柄数超過</v>
      </c>
      <c r="M438" s="4" t="e">
        <f t="shared" si="40"/>
        <v>#VALUE!</v>
      </c>
      <c r="N438" s="21" t="str">
        <f>_xll.RssMarket(A438,"高値")</f>
        <v>表示銘柄数超過</v>
      </c>
      <c r="O438" s="4" t="e">
        <f t="shared" si="41"/>
        <v>#VALUE!</v>
      </c>
      <c r="P438" s="21" t="str">
        <f>_xll.RssMarket(A438,"安値")</f>
        <v>表示銘柄数超過</v>
      </c>
      <c r="Q438" s="4" t="e">
        <f t="shared" si="42"/>
        <v>#VALUE!</v>
      </c>
      <c r="R438" s="21" t="str">
        <f>_xll.RssMarket(A438,"後場始値")</f>
        <v>表示銘柄数超過</v>
      </c>
      <c r="S438" s="25" t="str">
        <f t="shared" si="43"/>
        <v>-</v>
      </c>
      <c r="T438" s="7" t="str">
        <f>_xll.RssMarket(A438,"出来高加重平均")</f>
        <v>表示銘柄数超過</v>
      </c>
      <c r="U438" s="4" t="e">
        <f t="shared" si="44"/>
        <v>#VALUE!</v>
      </c>
      <c r="V438" s="21" t="str">
        <f>_xll.RssMarket(A438,"出来高")</f>
        <v>表示銘柄数超過</v>
      </c>
      <c r="W438" s="21" t="str">
        <f>_xll.RssMarket(A438,"売買代金")</f>
        <v>表示銘柄数超過</v>
      </c>
      <c r="X438" s="20" t="str">
        <f>_xll.RssMarket(A438,"決算発表日")</f>
        <v>表示銘柄数超過</v>
      </c>
      <c r="Y438" s="26" t="str">
        <f>IF(C438&gt;_xll.RssMarket(A438,"年初来高値"),"○","×")</f>
        <v>×</v>
      </c>
      <c r="Z438" s="27" t="str">
        <f>IF(C438&lt;=_xll.RssMarket(A438,"年初来安値"),"○","×")</f>
        <v>○</v>
      </c>
    </row>
    <row r="439" spans="1:26" x14ac:dyDescent="0.25">
      <c r="A439" s="49">
        <v>4293</v>
      </c>
      <c r="B439" s="20" t="str">
        <f>_xll.RssMarket(A439,"銘柄名称")</f>
        <v>表示銘柄数超過</v>
      </c>
      <c r="C439" s="21" t="str">
        <f>_xll.RssMarket(A439,"現在値")</f>
        <v>表示銘柄数超過</v>
      </c>
      <c r="D439" s="20" t="str">
        <f>_xll.RssMarket(A439,"現在値詳細時刻")</f>
        <v>表示銘柄数超過</v>
      </c>
      <c r="E439" s="22" t="str">
        <f>_xll.RssMarket(A439,"前日比")</f>
        <v>表示銘柄数超過</v>
      </c>
      <c r="F439" s="23" t="e">
        <f>_xll.RssMarket(A439,"前日比率")/100</f>
        <v>#VALUE!</v>
      </c>
      <c r="G439" s="24" t="str">
        <f>IFERROR(VLOOKUP(A439,取得元!$A$2:$F$501,2,FALSE),"-")</f>
        <v>-</v>
      </c>
      <c r="H439" s="24" t="str">
        <f>IFERROR(VLOOKUP(A439,取得元!$A$2:$F$501,3,FALSE),"-")</f>
        <v>-</v>
      </c>
      <c r="I439" s="24" t="str">
        <f>IFERROR(VLOOKUP(A439,取得元!$A$2:$F$501,4,FALSE),"-")</f>
        <v>-</v>
      </c>
      <c r="J439" s="5" t="str">
        <f>IFERROR(VLOOKUP(A439,取得元!$A$2:$F$501,5,FALSE),"-")</f>
        <v>-</v>
      </c>
      <c r="K439" s="25" t="str">
        <f>IFERROR(VLOOKUP(A439,取得元!$A$2:$F$501,6,FALSE)/100,"-")</f>
        <v>-</v>
      </c>
      <c r="L439" s="21" t="str">
        <f>_xll.RssMarket(A439,"始値")</f>
        <v>表示銘柄数超過</v>
      </c>
      <c r="M439" s="4" t="e">
        <f t="shared" si="40"/>
        <v>#VALUE!</v>
      </c>
      <c r="N439" s="21" t="str">
        <f>_xll.RssMarket(A439,"高値")</f>
        <v>表示銘柄数超過</v>
      </c>
      <c r="O439" s="4" t="e">
        <f t="shared" si="41"/>
        <v>#VALUE!</v>
      </c>
      <c r="P439" s="21" t="str">
        <f>_xll.RssMarket(A439,"安値")</f>
        <v>表示銘柄数超過</v>
      </c>
      <c r="Q439" s="4" t="e">
        <f t="shared" si="42"/>
        <v>#VALUE!</v>
      </c>
      <c r="R439" s="21" t="str">
        <f>_xll.RssMarket(A439,"後場始値")</f>
        <v>表示銘柄数超過</v>
      </c>
      <c r="S439" s="25" t="str">
        <f t="shared" si="43"/>
        <v>-</v>
      </c>
      <c r="T439" s="7" t="str">
        <f>_xll.RssMarket(A439,"出来高加重平均")</f>
        <v>表示銘柄数超過</v>
      </c>
      <c r="U439" s="4" t="e">
        <f t="shared" si="44"/>
        <v>#VALUE!</v>
      </c>
      <c r="V439" s="21" t="str">
        <f>_xll.RssMarket(A439,"出来高")</f>
        <v>表示銘柄数超過</v>
      </c>
      <c r="W439" s="21" t="str">
        <f>_xll.RssMarket(A439,"売買代金")</f>
        <v>表示銘柄数超過</v>
      </c>
      <c r="X439" s="20" t="str">
        <f>_xll.RssMarket(A439,"決算発表日")</f>
        <v>表示銘柄数超過</v>
      </c>
      <c r="Y439" s="26" t="str">
        <f>IF(C439&gt;_xll.RssMarket(A439,"年初来高値"),"○","×")</f>
        <v>×</v>
      </c>
      <c r="Z439" s="27" t="str">
        <f>IF(C439&lt;=_xll.RssMarket(A439,"年初来安値"),"○","×")</f>
        <v>○</v>
      </c>
    </row>
    <row r="440" spans="1:26" x14ac:dyDescent="0.25">
      <c r="A440" s="47">
        <v>4304</v>
      </c>
      <c r="B440" s="20" t="str">
        <f>_xll.RssMarket(A440,"銘柄名称")</f>
        <v>表示銘柄数超過</v>
      </c>
      <c r="C440" s="21" t="str">
        <f>_xll.RssMarket(A440,"現在値")</f>
        <v>表示銘柄数超過</v>
      </c>
      <c r="D440" s="20" t="str">
        <f>_xll.RssMarket(A440,"現在値詳細時刻")</f>
        <v>表示銘柄数超過</v>
      </c>
      <c r="E440" s="22" t="str">
        <f>_xll.RssMarket(A440,"前日比")</f>
        <v>表示銘柄数超過</v>
      </c>
      <c r="F440" s="23" t="e">
        <f>_xll.RssMarket(A440,"前日比率")/100</f>
        <v>#VALUE!</v>
      </c>
      <c r="G440" s="24" t="str">
        <f>IFERROR(VLOOKUP(A440,取得元!$A$2:$F$501,2,FALSE),"-")</f>
        <v>-</v>
      </c>
      <c r="H440" s="24" t="str">
        <f>IFERROR(VLOOKUP(A440,取得元!$A$2:$F$501,3,FALSE),"-")</f>
        <v>-</v>
      </c>
      <c r="I440" s="24" t="str">
        <f>IFERROR(VLOOKUP(A440,取得元!$A$2:$F$501,4,FALSE),"-")</f>
        <v>-</v>
      </c>
      <c r="J440" s="5" t="str">
        <f>IFERROR(VLOOKUP(A440,取得元!$A$2:$F$501,5,FALSE),"-")</f>
        <v>-</v>
      </c>
      <c r="K440" s="25" t="str">
        <f>IFERROR(VLOOKUP(A440,取得元!$A$2:$F$501,6,FALSE)/100,"-")</f>
        <v>-</v>
      </c>
      <c r="L440" s="21" t="str">
        <f>_xll.RssMarket(A440,"始値")</f>
        <v>表示銘柄数超過</v>
      </c>
      <c r="M440" s="4" t="e">
        <f t="shared" si="40"/>
        <v>#VALUE!</v>
      </c>
      <c r="N440" s="21" t="str">
        <f>_xll.RssMarket(A440,"高値")</f>
        <v>表示銘柄数超過</v>
      </c>
      <c r="O440" s="4" t="e">
        <f t="shared" si="41"/>
        <v>#VALUE!</v>
      </c>
      <c r="P440" s="21" t="str">
        <f>_xll.RssMarket(A440,"安値")</f>
        <v>表示銘柄数超過</v>
      </c>
      <c r="Q440" s="4" t="e">
        <f t="shared" si="42"/>
        <v>#VALUE!</v>
      </c>
      <c r="R440" s="21" t="str">
        <f>_xll.RssMarket(A440,"後場始値")</f>
        <v>表示銘柄数超過</v>
      </c>
      <c r="S440" s="25" t="str">
        <f t="shared" si="43"/>
        <v>-</v>
      </c>
      <c r="T440" s="7" t="str">
        <f>_xll.RssMarket(A440,"出来高加重平均")</f>
        <v>表示銘柄数超過</v>
      </c>
      <c r="U440" s="4" t="e">
        <f t="shared" si="44"/>
        <v>#VALUE!</v>
      </c>
      <c r="V440" s="21" t="str">
        <f>_xll.RssMarket(A440,"出来高")</f>
        <v>表示銘柄数超過</v>
      </c>
      <c r="W440" s="21" t="str">
        <f>_xll.RssMarket(A440,"売買代金")</f>
        <v>表示銘柄数超過</v>
      </c>
      <c r="X440" s="20" t="str">
        <f>_xll.RssMarket(A440,"決算発表日")</f>
        <v>表示銘柄数超過</v>
      </c>
      <c r="Y440" s="26" t="str">
        <f>IF(C440&gt;_xll.RssMarket(A440,"年初来高値"),"○","×")</f>
        <v>×</v>
      </c>
      <c r="Z440" s="27" t="str">
        <f>IF(C440&lt;=_xll.RssMarket(A440,"年初来安値"),"○","×")</f>
        <v>○</v>
      </c>
    </row>
    <row r="441" spans="1:26" x14ac:dyDescent="0.25">
      <c r="A441" s="49">
        <v>4308</v>
      </c>
      <c r="B441" s="20" t="str">
        <f>_xll.RssMarket(A441,"銘柄名称")</f>
        <v>表示銘柄数超過</v>
      </c>
      <c r="C441" s="21" t="str">
        <f>_xll.RssMarket(A441,"現在値")</f>
        <v>表示銘柄数超過</v>
      </c>
      <c r="D441" s="20" t="str">
        <f>_xll.RssMarket(A441,"現在値詳細時刻")</f>
        <v>表示銘柄数超過</v>
      </c>
      <c r="E441" s="22" t="str">
        <f>_xll.RssMarket(A441,"前日比")</f>
        <v>表示銘柄数超過</v>
      </c>
      <c r="F441" s="23" t="e">
        <f>_xll.RssMarket(A441,"前日比率")/100</f>
        <v>#VALUE!</v>
      </c>
      <c r="G441" s="24" t="str">
        <f>IFERROR(VLOOKUP(A441,取得元!$A$2:$F$501,2,FALSE),"-")</f>
        <v>-</v>
      </c>
      <c r="H441" s="24" t="str">
        <f>IFERROR(VLOOKUP(A441,取得元!$A$2:$F$501,3,FALSE),"-")</f>
        <v>-</v>
      </c>
      <c r="I441" s="24" t="str">
        <f>IFERROR(VLOOKUP(A441,取得元!$A$2:$F$501,4,FALSE),"-")</f>
        <v>-</v>
      </c>
      <c r="J441" s="5" t="str">
        <f>IFERROR(VLOOKUP(A441,取得元!$A$2:$F$501,5,FALSE),"-")</f>
        <v>-</v>
      </c>
      <c r="K441" s="25" t="str">
        <f>IFERROR(VLOOKUP(A441,取得元!$A$2:$F$501,6,FALSE)/100,"-")</f>
        <v>-</v>
      </c>
      <c r="L441" s="21" t="str">
        <f>_xll.RssMarket(A441,"始値")</f>
        <v>表示銘柄数超過</v>
      </c>
      <c r="M441" s="4" t="e">
        <f t="shared" si="40"/>
        <v>#VALUE!</v>
      </c>
      <c r="N441" s="21" t="str">
        <f>_xll.RssMarket(A441,"高値")</f>
        <v>表示銘柄数超過</v>
      </c>
      <c r="O441" s="4" t="e">
        <f t="shared" si="41"/>
        <v>#VALUE!</v>
      </c>
      <c r="P441" s="21" t="str">
        <f>_xll.RssMarket(A441,"安値")</f>
        <v>表示銘柄数超過</v>
      </c>
      <c r="Q441" s="4" t="e">
        <f t="shared" si="42"/>
        <v>#VALUE!</v>
      </c>
      <c r="R441" s="21" t="str">
        <f>_xll.RssMarket(A441,"後場始値")</f>
        <v>表示銘柄数超過</v>
      </c>
      <c r="S441" s="25" t="str">
        <f t="shared" si="43"/>
        <v>-</v>
      </c>
      <c r="T441" s="7" t="str">
        <f>_xll.RssMarket(A441,"出来高加重平均")</f>
        <v>表示銘柄数超過</v>
      </c>
      <c r="U441" s="4" t="e">
        <f t="shared" si="44"/>
        <v>#VALUE!</v>
      </c>
      <c r="V441" s="21" t="str">
        <f>_xll.RssMarket(A441,"出来高")</f>
        <v>表示銘柄数超過</v>
      </c>
      <c r="W441" s="21" t="str">
        <f>_xll.RssMarket(A441,"売買代金")</f>
        <v>表示銘柄数超過</v>
      </c>
      <c r="X441" s="20" t="str">
        <f>_xll.RssMarket(A441,"決算発表日")</f>
        <v>表示銘柄数超過</v>
      </c>
      <c r="Y441" s="26" t="str">
        <f>IF(C441&gt;_xll.RssMarket(A441,"年初来高値"),"○","×")</f>
        <v>×</v>
      </c>
      <c r="Z441" s="27" t="str">
        <f>IF(C441&lt;=_xll.RssMarket(A441,"年初来安値"),"○","×")</f>
        <v>○</v>
      </c>
    </row>
    <row r="442" spans="1:26" x14ac:dyDescent="0.25">
      <c r="A442" s="47">
        <v>4316</v>
      </c>
      <c r="B442" s="20" t="str">
        <f>_xll.RssMarket(A442,"銘柄名称")</f>
        <v>表示銘柄数超過</v>
      </c>
      <c r="C442" s="21" t="str">
        <f>_xll.RssMarket(A442,"現在値")</f>
        <v>表示銘柄数超過</v>
      </c>
      <c r="D442" s="20" t="str">
        <f>_xll.RssMarket(A442,"現在値詳細時刻")</f>
        <v>表示銘柄数超過</v>
      </c>
      <c r="E442" s="22" t="str">
        <f>_xll.RssMarket(A442,"前日比")</f>
        <v>表示銘柄数超過</v>
      </c>
      <c r="F442" s="23" t="e">
        <f>_xll.RssMarket(A442,"前日比率")/100</f>
        <v>#VALUE!</v>
      </c>
      <c r="G442" s="24" t="str">
        <f>IFERROR(VLOOKUP(A442,取得元!$A$2:$F$501,2,FALSE),"-")</f>
        <v>-</v>
      </c>
      <c r="H442" s="24" t="str">
        <f>IFERROR(VLOOKUP(A442,取得元!$A$2:$F$501,3,FALSE),"-")</f>
        <v>-</v>
      </c>
      <c r="I442" s="24" t="str">
        <f>IFERROR(VLOOKUP(A442,取得元!$A$2:$F$501,4,FALSE),"-")</f>
        <v>-</v>
      </c>
      <c r="J442" s="5" t="str">
        <f>IFERROR(VLOOKUP(A442,取得元!$A$2:$F$501,5,FALSE),"-")</f>
        <v>-</v>
      </c>
      <c r="K442" s="25" t="str">
        <f>IFERROR(VLOOKUP(A442,取得元!$A$2:$F$501,6,FALSE)/100,"-")</f>
        <v>-</v>
      </c>
      <c r="L442" s="21" t="str">
        <f>_xll.RssMarket(A442,"始値")</f>
        <v>表示銘柄数超過</v>
      </c>
      <c r="M442" s="4" t="e">
        <f t="shared" si="40"/>
        <v>#VALUE!</v>
      </c>
      <c r="N442" s="21" t="str">
        <f>_xll.RssMarket(A442,"高値")</f>
        <v>表示銘柄数超過</v>
      </c>
      <c r="O442" s="4" t="e">
        <f t="shared" si="41"/>
        <v>#VALUE!</v>
      </c>
      <c r="P442" s="21" t="str">
        <f>_xll.RssMarket(A442,"安値")</f>
        <v>表示銘柄数超過</v>
      </c>
      <c r="Q442" s="4" t="e">
        <f t="shared" si="42"/>
        <v>#VALUE!</v>
      </c>
      <c r="R442" s="21" t="str">
        <f>_xll.RssMarket(A442,"後場始値")</f>
        <v>表示銘柄数超過</v>
      </c>
      <c r="S442" s="25" t="str">
        <f t="shared" si="43"/>
        <v>-</v>
      </c>
      <c r="T442" s="7" t="str">
        <f>_xll.RssMarket(A442,"出来高加重平均")</f>
        <v>表示銘柄数超過</v>
      </c>
      <c r="U442" s="4" t="e">
        <f t="shared" si="44"/>
        <v>#VALUE!</v>
      </c>
      <c r="V442" s="21" t="str">
        <f>_xll.RssMarket(A442,"出来高")</f>
        <v>表示銘柄数超過</v>
      </c>
      <c r="W442" s="21" t="str">
        <f>_xll.RssMarket(A442,"売買代金")</f>
        <v>表示銘柄数超過</v>
      </c>
      <c r="X442" s="20" t="str">
        <f>_xll.RssMarket(A442,"決算発表日")</f>
        <v>表示銘柄数超過</v>
      </c>
      <c r="Y442" s="26" t="str">
        <f>IF(C442&gt;_xll.RssMarket(A442,"年初来高値"),"○","×")</f>
        <v>×</v>
      </c>
      <c r="Z442" s="27" t="str">
        <f>IF(C442&lt;=_xll.RssMarket(A442,"年初来安値"),"○","×")</f>
        <v>○</v>
      </c>
    </row>
    <row r="443" spans="1:26" x14ac:dyDescent="0.25">
      <c r="A443" s="49">
        <v>4324</v>
      </c>
      <c r="B443" s="20" t="str">
        <f>_xll.RssMarket(A443,"銘柄名称")</f>
        <v>表示銘柄数超過</v>
      </c>
      <c r="C443" s="21" t="str">
        <f>_xll.RssMarket(A443,"現在値")</f>
        <v>表示銘柄数超過</v>
      </c>
      <c r="D443" s="20" t="str">
        <f>_xll.RssMarket(A443,"現在値詳細時刻")</f>
        <v>表示銘柄数超過</v>
      </c>
      <c r="E443" s="22" t="str">
        <f>_xll.RssMarket(A443,"前日比")</f>
        <v>表示銘柄数超過</v>
      </c>
      <c r="F443" s="23" t="e">
        <f>_xll.RssMarket(A443,"前日比率")/100</f>
        <v>#VALUE!</v>
      </c>
      <c r="G443" s="24" t="str">
        <f>IFERROR(VLOOKUP(A443,取得元!$A$2:$F$501,2,FALSE),"-")</f>
        <v>-</v>
      </c>
      <c r="H443" s="24" t="str">
        <f>IFERROR(VLOOKUP(A443,取得元!$A$2:$F$501,3,FALSE),"-")</f>
        <v>-</v>
      </c>
      <c r="I443" s="24" t="str">
        <f>IFERROR(VLOOKUP(A443,取得元!$A$2:$F$501,4,FALSE),"-")</f>
        <v>-</v>
      </c>
      <c r="J443" s="5" t="str">
        <f>IFERROR(VLOOKUP(A443,取得元!$A$2:$F$501,5,FALSE),"-")</f>
        <v>-</v>
      </c>
      <c r="K443" s="25" t="str">
        <f>IFERROR(VLOOKUP(A443,取得元!$A$2:$F$501,6,FALSE)/100,"-")</f>
        <v>-</v>
      </c>
      <c r="L443" s="21" t="str">
        <f>_xll.RssMarket(A443,"始値")</f>
        <v>表示銘柄数超過</v>
      </c>
      <c r="M443" s="4" t="e">
        <f t="shared" si="40"/>
        <v>#VALUE!</v>
      </c>
      <c r="N443" s="21" t="str">
        <f>_xll.RssMarket(A443,"高値")</f>
        <v>表示銘柄数超過</v>
      </c>
      <c r="O443" s="4" t="e">
        <f t="shared" si="41"/>
        <v>#VALUE!</v>
      </c>
      <c r="P443" s="21" t="str">
        <f>_xll.RssMarket(A443,"安値")</f>
        <v>表示銘柄数超過</v>
      </c>
      <c r="Q443" s="4" t="e">
        <f t="shared" si="42"/>
        <v>#VALUE!</v>
      </c>
      <c r="R443" s="21" t="str">
        <f>_xll.RssMarket(A443,"後場始値")</f>
        <v>表示銘柄数超過</v>
      </c>
      <c r="S443" s="25" t="str">
        <f t="shared" si="43"/>
        <v>-</v>
      </c>
      <c r="T443" s="7" t="str">
        <f>_xll.RssMarket(A443,"出来高加重平均")</f>
        <v>表示銘柄数超過</v>
      </c>
      <c r="U443" s="4" t="e">
        <f t="shared" si="44"/>
        <v>#VALUE!</v>
      </c>
      <c r="V443" s="21" t="str">
        <f>_xll.RssMarket(A443,"出来高")</f>
        <v>表示銘柄数超過</v>
      </c>
      <c r="W443" s="21" t="str">
        <f>_xll.RssMarket(A443,"売買代金")</f>
        <v>表示銘柄数超過</v>
      </c>
      <c r="X443" s="20" t="str">
        <f>_xll.RssMarket(A443,"決算発表日")</f>
        <v>表示銘柄数超過</v>
      </c>
      <c r="Y443" s="26" t="str">
        <f>IF(C443&gt;_xll.RssMarket(A443,"年初来高値"),"○","×")</f>
        <v>×</v>
      </c>
      <c r="Z443" s="27" t="str">
        <f>IF(C443&lt;=_xll.RssMarket(A443,"年初来安値"),"○","×")</f>
        <v>○</v>
      </c>
    </row>
    <row r="444" spans="1:26" x14ac:dyDescent="0.25">
      <c r="A444" s="47">
        <v>4337</v>
      </c>
      <c r="B444" s="20" t="str">
        <f>_xll.RssMarket(A444,"銘柄名称")</f>
        <v>表示銘柄数超過</v>
      </c>
      <c r="C444" s="21" t="str">
        <f>_xll.RssMarket(A444,"現在値")</f>
        <v>表示銘柄数超過</v>
      </c>
      <c r="D444" s="20" t="str">
        <f>_xll.RssMarket(A444,"現在値詳細時刻")</f>
        <v>表示銘柄数超過</v>
      </c>
      <c r="E444" s="22" t="str">
        <f>_xll.RssMarket(A444,"前日比")</f>
        <v>表示銘柄数超過</v>
      </c>
      <c r="F444" s="23" t="e">
        <f>_xll.RssMarket(A444,"前日比率")/100</f>
        <v>#VALUE!</v>
      </c>
      <c r="G444" s="24" t="str">
        <f>IFERROR(VLOOKUP(A444,取得元!$A$2:$F$501,2,FALSE),"-")</f>
        <v>-</v>
      </c>
      <c r="H444" s="24" t="str">
        <f>IFERROR(VLOOKUP(A444,取得元!$A$2:$F$501,3,FALSE),"-")</f>
        <v>-</v>
      </c>
      <c r="I444" s="24" t="str">
        <f>IFERROR(VLOOKUP(A444,取得元!$A$2:$F$501,4,FALSE),"-")</f>
        <v>-</v>
      </c>
      <c r="J444" s="5" t="str">
        <f>IFERROR(VLOOKUP(A444,取得元!$A$2:$F$501,5,FALSE),"-")</f>
        <v>-</v>
      </c>
      <c r="K444" s="25" t="str">
        <f>IFERROR(VLOOKUP(A444,取得元!$A$2:$F$501,6,FALSE)/100,"-")</f>
        <v>-</v>
      </c>
      <c r="L444" s="21" t="str">
        <f>_xll.RssMarket(A444,"始値")</f>
        <v>表示銘柄数超過</v>
      </c>
      <c r="M444" s="4" t="e">
        <f t="shared" si="40"/>
        <v>#VALUE!</v>
      </c>
      <c r="N444" s="21" t="str">
        <f>_xll.RssMarket(A444,"高値")</f>
        <v>表示銘柄数超過</v>
      </c>
      <c r="O444" s="4" t="e">
        <f t="shared" si="41"/>
        <v>#VALUE!</v>
      </c>
      <c r="P444" s="21" t="str">
        <f>_xll.RssMarket(A444,"安値")</f>
        <v>表示銘柄数超過</v>
      </c>
      <c r="Q444" s="4" t="e">
        <f t="shared" si="42"/>
        <v>#VALUE!</v>
      </c>
      <c r="R444" s="21" t="str">
        <f>_xll.RssMarket(A444,"後場始値")</f>
        <v>表示銘柄数超過</v>
      </c>
      <c r="S444" s="25" t="str">
        <f t="shared" si="43"/>
        <v>-</v>
      </c>
      <c r="T444" s="7" t="str">
        <f>_xll.RssMarket(A444,"出来高加重平均")</f>
        <v>表示銘柄数超過</v>
      </c>
      <c r="U444" s="4" t="e">
        <f t="shared" si="44"/>
        <v>#VALUE!</v>
      </c>
      <c r="V444" s="21" t="str">
        <f>_xll.RssMarket(A444,"出来高")</f>
        <v>表示銘柄数超過</v>
      </c>
      <c r="W444" s="21" t="str">
        <f>_xll.RssMarket(A444,"売買代金")</f>
        <v>表示銘柄数超過</v>
      </c>
      <c r="X444" s="20" t="str">
        <f>_xll.RssMarket(A444,"決算発表日")</f>
        <v>表示銘柄数超過</v>
      </c>
      <c r="Y444" s="26" t="str">
        <f>IF(C444&gt;_xll.RssMarket(A444,"年初来高値"),"○","×")</f>
        <v>×</v>
      </c>
      <c r="Z444" s="27" t="str">
        <f>IF(C444&lt;=_xll.RssMarket(A444,"年初来安値"),"○","×")</f>
        <v>○</v>
      </c>
    </row>
    <row r="445" spans="1:26" x14ac:dyDescent="0.25">
      <c r="A445" s="49">
        <v>4343</v>
      </c>
      <c r="B445" s="20" t="str">
        <f>_xll.RssMarket(A445,"銘柄名称")</f>
        <v>表示銘柄数超過</v>
      </c>
      <c r="C445" s="21" t="str">
        <f>_xll.RssMarket(A445,"現在値")</f>
        <v>表示銘柄数超過</v>
      </c>
      <c r="D445" s="20" t="str">
        <f>_xll.RssMarket(A445,"現在値詳細時刻")</f>
        <v>表示銘柄数超過</v>
      </c>
      <c r="E445" s="22" t="str">
        <f>_xll.RssMarket(A445,"前日比")</f>
        <v>表示銘柄数超過</v>
      </c>
      <c r="F445" s="23" t="e">
        <f>_xll.RssMarket(A445,"前日比率")/100</f>
        <v>#VALUE!</v>
      </c>
      <c r="G445" s="24" t="str">
        <f>IFERROR(VLOOKUP(A445,取得元!$A$2:$F$501,2,FALSE),"-")</f>
        <v>-</v>
      </c>
      <c r="H445" s="24" t="str">
        <f>IFERROR(VLOOKUP(A445,取得元!$A$2:$F$501,3,FALSE),"-")</f>
        <v>-</v>
      </c>
      <c r="I445" s="24" t="str">
        <f>IFERROR(VLOOKUP(A445,取得元!$A$2:$F$501,4,FALSE),"-")</f>
        <v>-</v>
      </c>
      <c r="J445" s="5" t="str">
        <f>IFERROR(VLOOKUP(A445,取得元!$A$2:$F$501,5,FALSE),"-")</f>
        <v>-</v>
      </c>
      <c r="K445" s="25" t="str">
        <f>IFERROR(VLOOKUP(A445,取得元!$A$2:$F$501,6,FALSE)/100,"-")</f>
        <v>-</v>
      </c>
      <c r="L445" s="21" t="str">
        <f>_xll.RssMarket(A445,"始値")</f>
        <v>表示銘柄数超過</v>
      </c>
      <c r="M445" s="4" t="e">
        <f t="shared" si="40"/>
        <v>#VALUE!</v>
      </c>
      <c r="N445" s="21" t="str">
        <f>_xll.RssMarket(A445,"高値")</f>
        <v>表示銘柄数超過</v>
      </c>
      <c r="O445" s="4" t="e">
        <f t="shared" si="41"/>
        <v>#VALUE!</v>
      </c>
      <c r="P445" s="21" t="str">
        <f>_xll.RssMarket(A445,"安値")</f>
        <v>表示銘柄数超過</v>
      </c>
      <c r="Q445" s="4" t="e">
        <f t="shared" si="42"/>
        <v>#VALUE!</v>
      </c>
      <c r="R445" s="21" t="str">
        <f>_xll.RssMarket(A445,"後場始値")</f>
        <v>表示銘柄数超過</v>
      </c>
      <c r="S445" s="25" t="str">
        <f t="shared" si="43"/>
        <v>-</v>
      </c>
      <c r="T445" s="7" t="str">
        <f>_xll.RssMarket(A445,"出来高加重平均")</f>
        <v>表示銘柄数超過</v>
      </c>
      <c r="U445" s="4" t="e">
        <f t="shared" si="44"/>
        <v>#VALUE!</v>
      </c>
      <c r="V445" s="21" t="str">
        <f>_xll.RssMarket(A445,"出来高")</f>
        <v>表示銘柄数超過</v>
      </c>
      <c r="W445" s="21" t="str">
        <f>_xll.RssMarket(A445,"売買代金")</f>
        <v>表示銘柄数超過</v>
      </c>
      <c r="X445" s="20" t="str">
        <f>_xll.RssMarket(A445,"決算発表日")</f>
        <v>表示銘柄数超過</v>
      </c>
      <c r="Y445" s="26" t="str">
        <f>IF(C445&gt;_xll.RssMarket(A445,"年初来高値"),"○","×")</f>
        <v>×</v>
      </c>
      <c r="Z445" s="27" t="str">
        <f>IF(C445&lt;=_xll.RssMarket(A445,"年初来安値"),"○","×")</f>
        <v>○</v>
      </c>
    </row>
    <row r="446" spans="1:26" x14ac:dyDescent="0.25">
      <c r="A446" s="47">
        <v>4346</v>
      </c>
      <c r="B446" s="20" t="str">
        <f>_xll.RssMarket(A446,"銘柄名称")</f>
        <v>表示銘柄数超過</v>
      </c>
      <c r="C446" s="21" t="str">
        <f>_xll.RssMarket(A446,"現在値")</f>
        <v>表示銘柄数超過</v>
      </c>
      <c r="D446" s="20" t="str">
        <f>_xll.RssMarket(A446,"現在値詳細時刻")</f>
        <v>表示銘柄数超過</v>
      </c>
      <c r="E446" s="22" t="str">
        <f>_xll.RssMarket(A446,"前日比")</f>
        <v>表示銘柄数超過</v>
      </c>
      <c r="F446" s="23" t="e">
        <f>_xll.RssMarket(A446,"前日比率")/100</f>
        <v>#VALUE!</v>
      </c>
      <c r="G446" s="24" t="str">
        <f>IFERROR(VLOOKUP(A446,取得元!$A$2:$F$501,2,FALSE),"-")</f>
        <v>-</v>
      </c>
      <c r="H446" s="24" t="str">
        <f>IFERROR(VLOOKUP(A446,取得元!$A$2:$F$501,3,FALSE),"-")</f>
        <v>-</v>
      </c>
      <c r="I446" s="24" t="str">
        <f>IFERROR(VLOOKUP(A446,取得元!$A$2:$F$501,4,FALSE),"-")</f>
        <v>-</v>
      </c>
      <c r="J446" s="5" t="str">
        <f>IFERROR(VLOOKUP(A446,取得元!$A$2:$F$501,5,FALSE),"-")</f>
        <v>-</v>
      </c>
      <c r="K446" s="25" t="str">
        <f>IFERROR(VLOOKUP(A446,取得元!$A$2:$F$501,6,FALSE)/100,"-")</f>
        <v>-</v>
      </c>
      <c r="L446" s="21" t="str">
        <f>_xll.RssMarket(A446,"始値")</f>
        <v>表示銘柄数超過</v>
      </c>
      <c r="M446" s="4" t="e">
        <f t="shared" si="40"/>
        <v>#VALUE!</v>
      </c>
      <c r="N446" s="21" t="str">
        <f>_xll.RssMarket(A446,"高値")</f>
        <v>表示銘柄数超過</v>
      </c>
      <c r="O446" s="4" t="e">
        <f t="shared" si="41"/>
        <v>#VALUE!</v>
      </c>
      <c r="P446" s="21" t="str">
        <f>_xll.RssMarket(A446,"安値")</f>
        <v>表示銘柄数超過</v>
      </c>
      <c r="Q446" s="4" t="e">
        <f t="shared" si="42"/>
        <v>#VALUE!</v>
      </c>
      <c r="R446" s="21" t="str">
        <f>_xll.RssMarket(A446,"後場始値")</f>
        <v>表示銘柄数超過</v>
      </c>
      <c r="S446" s="25" t="str">
        <f t="shared" si="43"/>
        <v>-</v>
      </c>
      <c r="T446" s="7" t="str">
        <f>_xll.RssMarket(A446,"出来高加重平均")</f>
        <v>表示銘柄数超過</v>
      </c>
      <c r="U446" s="4" t="e">
        <f t="shared" si="44"/>
        <v>#VALUE!</v>
      </c>
      <c r="V446" s="21" t="str">
        <f>_xll.RssMarket(A446,"出来高")</f>
        <v>表示銘柄数超過</v>
      </c>
      <c r="W446" s="21" t="str">
        <f>_xll.RssMarket(A446,"売買代金")</f>
        <v>表示銘柄数超過</v>
      </c>
      <c r="X446" s="20" t="str">
        <f>_xll.RssMarket(A446,"決算発表日")</f>
        <v>表示銘柄数超過</v>
      </c>
      <c r="Y446" s="26" t="str">
        <f>IF(C446&gt;_xll.RssMarket(A446,"年初来高値"),"○","×")</f>
        <v>×</v>
      </c>
      <c r="Z446" s="27" t="str">
        <f>IF(C446&lt;=_xll.RssMarket(A446,"年初来安値"),"○","×")</f>
        <v>○</v>
      </c>
    </row>
    <row r="447" spans="1:26" x14ac:dyDescent="0.25">
      <c r="A447" s="49">
        <v>4350</v>
      </c>
      <c r="B447" s="20" t="str">
        <f>_xll.RssMarket(A447,"銘柄名称")</f>
        <v>表示銘柄数超過</v>
      </c>
      <c r="C447" s="21" t="str">
        <f>_xll.RssMarket(A447,"現在値")</f>
        <v>表示銘柄数超過</v>
      </c>
      <c r="D447" s="20" t="str">
        <f>_xll.RssMarket(A447,"現在値詳細時刻")</f>
        <v>表示銘柄数超過</v>
      </c>
      <c r="E447" s="22" t="str">
        <f>_xll.RssMarket(A447,"前日比")</f>
        <v>表示銘柄数超過</v>
      </c>
      <c r="F447" s="23" t="e">
        <f>_xll.RssMarket(A447,"前日比率")/100</f>
        <v>#VALUE!</v>
      </c>
      <c r="G447" s="24" t="str">
        <f>IFERROR(VLOOKUP(A447,取得元!$A$2:$F$501,2,FALSE),"-")</f>
        <v>-</v>
      </c>
      <c r="H447" s="24" t="str">
        <f>IFERROR(VLOOKUP(A447,取得元!$A$2:$F$501,3,FALSE),"-")</f>
        <v>-</v>
      </c>
      <c r="I447" s="24" t="str">
        <f>IFERROR(VLOOKUP(A447,取得元!$A$2:$F$501,4,FALSE),"-")</f>
        <v>-</v>
      </c>
      <c r="J447" s="5" t="str">
        <f>IFERROR(VLOOKUP(A447,取得元!$A$2:$F$501,5,FALSE),"-")</f>
        <v>-</v>
      </c>
      <c r="K447" s="25" t="str">
        <f>IFERROR(VLOOKUP(A447,取得元!$A$2:$F$501,6,FALSE)/100,"-")</f>
        <v>-</v>
      </c>
      <c r="L447" s="21" t="str">
        <f>_xll.RssMarket(A447,"始値")</f>
        <v>表示銘柄数超過</v>
      </c>
      <c r="M447" s="4" t="e">
        <f t="shared" si="40"/>
        <v>#VALUE!</v>
      </c>
      <c r="N447" s="21" t="str">
        <f>_xll.RssMarket(A447,"高値")</f>
        <v>表示銘柄数超過</v>
      </c>
      <c r="O447" s="4" t="e">
        <f t="shared" si="41"/>
        <v>#VALUE!</v>
      </c>
      <c r="P447" s="21" t="str">
        <f>_xll.RssMarket(A447,"安値")</f>
        <v>表示銘柄数超過</v>
      </c>
      <c r="Q447" s="4" t="e">
        <f t="shared" si="42"/>
        <v>#VALUE!</v>
      </c>
      <c r="R447" s="21" t="str">
        <f>_xll.RssMarket(A447,"後場始値")</f>
        <v>表示銘柄数超過</v>
      </c>
      <c r="S447" s="25" t="str">
        <f t="shared" si="43"/>
        <v>-</v>
      </c>
      <c r="T447" s="7" t="str">
        <f>_xll.RssMarket(A447,"出来高加重平均")</f>
        <v>表示銘柄数超過</v>
      </c>
      <c r="U447" s="4" t="e">
        <f t="shared" si="44"/>
        <v>#VALUE!</v>
      </c>
      <c r="V447" s="21" t="str">
        <f>_xll.RssMarket(A447,"出来高")</f>
        <v>表示銘柄数超過</v>
      </c>
      <c r="W447" s="21" t="str">
        <f>_xll.RssMarket(A447,"売買代金")</f>
        <v>表示銘柄数超過</v>
      </c>
      <c r="X447" s="20" t="str">
        <f>_xll.RssMarket(A447,"決算発表日")</f>
        <v>表示銘柄数超過</v>
      </c>
      <c r="Y447" s="26" t="str">
        <f>IF(C447&gt;_xll.RssMarket(A447,"年初来高値"),"○","×")</f>
        <v>×</v>
      </c>
      <c r="Z447" s="27" t="str">
        <f>IF(C447&lt;=_xll.RssMarket(A447,"年初来安値"),"○","×")</f>
        <v>○</v>
      </c>
    </row>
    <row r="448" spans="1:26" x14ac:dyDescent="0.25">
      <c r="A448" s="47">
        <v>4355</v>
      </c>
      <c r="B448" s="20" t="str">
        <f>_xll.RssMarket(A448,"銘柄名称")</f>
        <v>表示銘柄数超過</v>
      </c>
      <c r="C448" s="21" t="str">
        <f>_xll.RssMarket(A448,"現在値")</f>
        <v>表示銘柄数超過</v>
      </c>
      <c r="D448" s="20" t="str">
        <f>_xll.RssMarket(A448,"現在値詳細時刻")</f>
        <v>表示銘柄数超過</v>
      </c>
      <c r="E448" s="22" t="str">
        <f>_xll.RssMarket(A448,"前日比")</f>
        <v>表示銘柄数超過</v>
      </c>
      <c r="F448" s="23" t="e">
        <f>_xll.RssMarket(A448,"前日比率")/100</f>
        <v>#VALUE!</v>
      </c>
      <c r="G448" s="24" t="str">
        <f>IFERROR(VLOOKUP(A448,取得元!$A$2:$F$501,2,FALSE),"-")</f>
        <v>-</v>
      </c>
      <c r="H448" s="24" t="str">
        <f>IFERROR(VLOOKUP(A448,取得元!$A$2:$F$501,3,FALSE),"-")</f>
        <v>-</v>
      </c>
      <c r="I448" s="24" t="str">
        <f>IFERROR(VLOOKUP(A448,取得元!$A$2:$F$501,4,FALSE),"-")</f>
        <v>-</v>
      </c>
      <c r="J448" s="5" t="str">
        <f>IFERROR(VLOOKUP(A448,取得元!$A$2:$F$501,5,FALSE),"-")</f>
        <v>-</v>
      </c>
      <c r="K448" s="25" t="str">
        <f>IFERROR(VLOOKUP(A448,取得元!$A$2:$F$501,6,FALSE)/100,"-")</f>
        <v>-</v>
      </c>
      <c r="L448" s="21" t="str">
        <f>_xll.RssMarket(A448,"始値")</f>
        <v>表示銘柄数超過</v>
      </c>
      <c r="M448" s="4" t="e">
        <f t="shared" si="40"/>
        <v>#VALUE!</v>
      </c>
      <c r="N448" s="21" t="str">
        <f>_xll.RssMarket(A448,"高値")</f>
        <v>表示銘柄数超過</v>
      </c>
      <c r="O448" s="4" t="e">
        <f t="shared" si="41"/>
        <v>#VALUE!</v>
      </c>
      <c r="P448" s="21" t="str">
        <f>_xll.RssMarket(A448,"安値")</f>
        <v>表示銘柄数超過</v>
      </c>
      <c r="Q448" s="4" t="e">
        <f t="shared" si="42"/>
        <v>#VALUE!</v>
      </c>
      <c r="R448" s="21" t="str">
        <f>_xll.RssMarket(A448,"後場始値")</f>
        <v>表示銘柄数超過</v>
      </c>
      <c r="S448" s="25" t="str">
        <f t="shared" si="43"/>
        <v>-</v>
      </c>
      <c r="T448" s="7" t="str">
        <f>_xll.RssMarket(A448,"出来高加重平均")</f>
        <v>表示銘柄数超過</v>
      </c>
      <c r="U448" s="4" t="e">
        <f t="shared" si="44"/>
        <v>#VALUE!</v>
      </c>
      <c r="V448" s="21" t="str">
        <f>_xll.RssMarket(A448,"出来高")</f>
        <v>表示銘柄数超過</v>
      </c>
      <c r="W448" s="21" t="str">
        <f>_xll.RssMarket(A448,"売買代金")</f>
        <v>表示銘柄数超過</v>
      </c>
      <c r="X448" s="20" t="str">
        <f>_xll.RssMarket(A448,"決算発表日")</f>
        <v>表示銘柄数超過</v>
      </c>
      <c r="Y448" s="26" t="str">
        <f>IF(C448&gt;_xll.RssMarket(A448,"年初来高値"),"○","×")</f>
        <v>×</v>
      </c>
      <c r="Z448" s="27" t="str">
        <f>IF(C448&lt;=_xll.RssMarket(A448,"年初来安値"),"○","×")</f>
        <v>○</v>
      </c>
    </row>
    <row r="449" spans="1:26" x14ac:dyDescent="0.25">
      <c r="A449" s="49">
        <v>4370</v>
      </c>
      <c r="B449" s="20" t="str">
        <f>_xll.RssMarket(A449,"銘柄名称")</f>
        <v>表示銘柄数超過</v>
      </c>
      <c r="C449" s="21" t="str">
        <f>_xll.RssMarket(A449,"現在値")</f>
        <v>表示銘柄数超過</v>
      </c>
      <c r="D449" s="20" t="str">
        <f>_xll.RssMarket(A449,"現在値詳細時刻")</f>
        <v>表示銘柄数超過</v>
      </c>
      <c r="E449" s="22" t="str">
        <f>_xll.RssMarket(A449,"前日比")</f>
        <v>表示銘柄数超過</v>
      </c>
      <c r="F449" s="23" t="e">
        <f>_xll.RssMarket(A449,"前日比率")/100</f>
        <v>#VALUE!</v>
      </c>
      <c r="G449" s="24" t="str">
        <f>IFERROR(VLOOKUP(A449,取得元!$A$2:$F$501,2,FALSE),"-")</f>
        <v>-</v>
      </c>
      <c r="H449" s="24" t="str">
        <f>IFERROR(VLOOKUP(A449,取得元!$A$2:$F$501,3,FALSE),"-")</f>
        <v>-</v>
      </c>
      <c r="I449" s="24" t="str">
        <f>IFERROR(VLOOKUP(A449,取得元!$A$2:$F$501,4,FALSE),"-")</f>
        <v>-</v>
      </c>
      <c r="J449" s="5" t="str">
        <f>IFERROR(VLOOKUP(A449,取得元!$A$2:$F$501,5,FALSE),"-")</f>
        <v>-</v>
      </c>
      <c r="K449" s="25" t="str">
        <f>IFERROR(VLOOKUP(A449,取得元!$A$2:$F$501,6,FALSE)/100,"-")</f>
        <v>-</v>
      </c>
      <c r="L449" s="21" t="str">
        <f>_xll.RssMarket(A449,"始値")</f>
        <v>表示銘柄数超過</v>
      </c>
      <c r="M449" s="4" t="e">
        <f t="shared" si="40"/>
        <v>#VALUE!</v>
      </c>
      <c r="N449" s="21" t="str">
        <f>_xll.RssMarket(A449,"高値")</f>
        <v>表示銘柄数超過</v>
      </c>
      <c r="O449" s="4" t="e">
        <f t="shared" si="41"/>
        <v>#VALUE!</v>
      </c>
      <c r="P449" s="21" t="str">
        <f>_xll.RssMarket(A449,"安値")</f>
        <v>表示銘柄数超過</v>
      </c>
      <c r="Q449" s="4" t="e">
        <f t="shared" si="42"/>
        <v>#VALUE!</v>
      </c>
      <c r="R449" s="21" t="str">
        <f>_xll.RssMarket(A449,"後場始値")</f>
        <v>表示銘柄数超過</v>
      </c>
      <c r="S449" s="25" t="str">
        <f t="shared" si="43"/>
        <v>-</v>
      </c>
      <c r="T449" s="7" t="str">
        <f>_xll.RssMarket(A449,"出来高加重平均")</f>
        <v>表示銘柄数超過</v>
      </c>
      <c r="U449" s="4" t="e">
        <f t="shared" si="44"/>
        <v>#VALUE!</v>
      </c>
      <c r="V449" s="21" t="str">
        <f>_xll.RssMarket(A449,"出来高")</f>
        <v>表示銘柄数超過</v>
      </c>
      <c r="W449" s="21" t="str">
        <f>_xll.RssMarket(A449,"売買代金")</f>
        <v>表示銘柄数超過</v>
      </c>
      <c r="X449" s="20" t="str">
        <f>_xll.RssMarket(A449,"決算発表日")</f>
        <v>表示銘柄数超過</v>
      </c>
      <c r="Y449" s="26" t="str">
        <f>IF(C449&gt;_xll.RssMarket(A449,"年初来高値"),"○","×")</f>
        <v>×</v>
      </c>
      <c r="Z449" s="27" t="str">
        <f>IF(C449&lt;=_xll.RssMarket(A449,"年初来安値"),"○","×")</f>
        <v>○</v>
      </c>
    </row>
    <row r="450" spans="1:26" x14ac:dyDescent="0.25">
      <c r="A450" s="47">
        <v>4373</v>
      </c>
      <c r="B450" s="20" t="str">
        <f>_xll.RssMarket(A450,"銘柄名称")</f>
        <v>表示銘柄数超過</v>
      </c>
      <c r="C450" s="21" t="str">
        <f>_xll.RssMarket(A450,"現在値")</f>
        <v>表示銘柄数超過</v>
      </c>
      <c r="D450" s="20" t="str">
        <f>_xll.RssMarket(A450,"現在値詳細時刻")</f>
        <v>表示銘柄数超過</v>
      </c>
      <c r="E450" s="22" t="str">
        <f>_xll.RssMarket(A450,"前日比")</f>
        <v>表示銘柄数超過</v>
      </c>
      <c r="F450" s="23" t="e">
        <f>_xll.RssMarket(A450,"前日比率")/100</f>
        <v>#VALUE!</v>
      </c>
      <c r="G450" s="24" t="str">
        <f>IFERROR(VLOOKUP(A450,取得元!$A$2:$F$501,2,FALSE),"-")</f>
        <v>-</v>
      </c>
      <c r="H450" s="24" t="str">
        <f>IFERROR(VLOOKUP(A450,取得元!$A$2:$F$501,3,FALSE),"-")</f>
        <v>-</v>
      </c>
      <c r="I450" s="24" t="str">
        <f>IFERROR(VLOOKUP(A450,取得元!$A$2:$F$501,4,FALSE),"-")</f>
        <v>-</v>
      </c>
      <c r="J450" s="5" t="str">
        <f>IFERROR(VLOOKUP(A450,取得元!$A$2:$F$501,5,FALSE),"-")</f>
        <v>-</v>
      </c>
      <c r="K450" s="25" t="str">
        <f>IFERROR(VLOOKUP(A450,取得元!$A$2:$F$501,6,FALSE)/100,"-")</f>
        <v>-</v>
      </c>
      <c r="L450" s="21" t="str">
        <f>_xll.RssMarket(A450,"始値")</f>
        <v>表示銘柄数超過</v>
      </c>
      <c r="M450" s="4" t="e">
        <f t="shared" si="40"/>
        <v>#VALUE!</v>
      </c>
      <c r="N450" s="21" t="str">
        <f>_xll.RssMarket(A450,"高値")</f>
        <v>表示銘柄数超過</v>
      </c>
      <c r="O450" s="4" t="e">
        <f t="shared" si="41"/>
        <v>#VALUE!</v>
      </c>
      <c r="P450" s="21" t="str">
        <f>_xll.RssMarket(A450,"安値")</f>
        <v>表示銘柄数超過</v>
      </c>
      <c r="Q450" s="4" t="e">
        <f t="shared" si="42"/>
        <v>#VALUE!</v>
      </c>
      <c r="R450" s="21" t="str">
        <f>_xll.RssMarket(A450,"後場始値")</f>
        <v>表示銘柄数超過</v>
      </c>
      <c r="S450" s="25" t="str">
        <f t="shared" si="43"/>
        <v>-</v>
      </c>
      <c r="T450" s="7" t="str">
        <f>_xll.RssMarket(A450,"出来高加重平均")</f>
        <v>表示銘柄数超過</v>
      </c>
      <c r="U450" s="4" t="e">
        <f t="shared" si="44"/>
        <v>#VALUE!</v>
      </c>
      <c r="V450" s="21" t="str">
        <f>_xll.RssMarket(A450,"出来高")</f>
        <v>表示銘柄数超過</v>
      </c>
      <c r="W450" s="21" t="str">
        <f>_xll.RssMarket(A450,"売買代金")</f>
        <v>表示銘柄数超過</v>
      </c>
      <c r="X450" s="20" t="str">
        <f>_xll.RssMarket(A450,"決算発表日")</f>
        <v>表示銘柄数超過</v>
      </c>
      <c r="Y450" s="26" t="str">
        <f>IF(C450&gt;_xll.RssMarket(A450,"年初来高値"),"○","×")</f>
        <v>×</v>
      </c>
      <c r="Z450" s="27" t="str">
        <f>IF(C450&lt;=_xll.RssMarket(A450,"年初来安値"),"○","×")</f>
        <v>○</v>
      </c>
    </row>
    <row r="451" spans="1:26" x14ac:dyDescent="0.25">
      <c r="A451" s="49">
        <v>4374</v>
      </c>
      <c r="B451" s="20" t="str">
        <f>_xll.RssMarket(A451,"銘柄名称")</f>
        <v>表示銘柄数超過</v>
      </c>
      <c r="C451" s="21" t="str">
        <f>_xll.RssMarket(A451,"現在値")</f>
        <v>表示銘柄数超過</v>
      </c>
      <c r="D451" s="20" t="str">
        <f>_xll.RssMarket(A451,"現在値詳細時刻")</f>
        <v>表示銘柄数超過</v>
      </c>
      <c r="E451" s="22" t="str">
        <f>_xll.RssMarket(A451,"前日比")</f>
        <v>表示銘柄数超過</v>
      </c>
      <c r="F451" s="23" t="e">
        <f>_xll.RssMarket(A451,"前日比率")/100</f>
        <v>#VALUE!</v>
      </c>
      <c r="G451" s="24" t="str">
        <f>IFERROR(VLOOKUP(A451,取得元!$A$2:$F$501,2,FALSE),"-")</f>
        <v>-</v>
      </c>
      <c r="H451" s="24" t="str">
        <f>IFERROR(VLOOKUP(A451,取得元!$A$2:$F$501,3,FALSE),"-")</f>
        <v>-</v>
      </c>
      <c r="I451" s="24" t="str">
        <f>IFERROR(VLOOKUP(A451,取得元!$A$2:$F$501,4,FALSE),"-")</f>
        <v>-</v>
      </c>
      <c r="J451" s="5" t="str">
        <f>IFERROR(VLOOKUP(A451,取得元!$A$2:$F$501,5,FALSE),"-")</f>
        <v>-</v>
      </c>
      <c r="K451" s="25" t="str">
        <f>IFERROR(VLOOKUP(A451,取得元!$A$2:$F$501,6,FALSE)/100,"-")</f>
        <v>-</v>
      </c>
      <c r="L451" s="21" t="str">
        <f>_xll.RssMarket(A451,"始値")</f>
        <v>表示銘柄数超過</v>
      </c>
      <c r="M451" s="4" t="e">
        <f t="shared" si="40"/>
        <v>#VALUE!</v>
      </c>
      <c r="N451" s="21" t="str">
        <f>_xll.RssMarket(A451,"高値")</f>
        <v>表示銘柄数超過</v>
      </c>
      <c r="O451" s="4" t="e">
        <f t="shared" si="41"/>
        <v>#VALUE!</v>
      </c>
      <c r="P451" s="21" t="str">
        <f>_xll.RssMarket(A451,"安値")</f>
        <v>表示銘柄数超過</v>
      </c>
      <c r="Q451" s="4" t="e">
        <f t="shared" si="42"/>
        <v>#VALUE!</v>
      </c>
      <c r="R451" s="21" t="str">
        <f>_xll.RssMarket(A451,"後場始値")</f>
        <v>表示銘柄数超過</v>
      </c>
      <c r="S451" s="25" t="str">
        <f t="shared" si="43"/>
        <v>-</v>
      </c>
      <c r="T451" s="7" t="str">
        <f>_xll.RssMarket(A451,"出来高加重平均")</f>
        <v>表示銘柄数超過</v>
      </c>
      <c r="U451" s="4" t="e">
        <f t="shared" si="44"/>
        <v>#VALUE!</v>
      </c>
      <c r="V451" s="21" t="str">
        <f>_xll.RssMarket(A451,"出来高")</f>
        <v>表示銘柄数超過</v>
      </c>
      <c r="W451" s="21" t="str">
        <f>_xll.RssMarket(A451,"売買代金")</f>
        <v>表示銘柄数超過</v>
      </c>
      <c r="X451" s="20" t="str">
        <f>_xll.RssMarket(A451,"決算発表日")</f>
        <v>表示銘柄数超過</v>
      </c>
      <c r="Y451" s="26" t="str">
        <f>IF(C451&gt;_xll.RssMarket(A451,"年初来高値"),"○","×")</f>
        <v>×</v>
      </c>
      <c r="Z451" s="27" t="str">
        <f>IF(C451&lt;=_xll.RssMarket(A451,"年初来安値"),"○","×")</f>
        <v>○</v>
      </c>
    </row>
    <row r="452" spans="1:26" x14ac:dyDescent="0.25">
      <c r="A452" s="47">
        <v>4376</v>
      </c>
      <c r="B452" s="20" t="str">
        <f>_xll.RssMarket(A452,"銘柄名称")</f>
        <v>表示銘柄数超過</v>
      </c>
      <c r="C452" s="21" t="str">
        <f>_xll.RssMarket(A452,"現在値")</f>
        <v>表示銘柄数超過</v>
      </c>
      <c r="D452" s="20" t="str">
        <f>_xll.RssMarket(A452,"現在値詳細時刻")</f>
        <v>表示銘柄数超過</v>
      </c>
      <c r="E452" s="22" t="str">
        <f>_xll.RssMarket(A452,"前日比")</f>
        <v>表示銘柄数超過</v>
      </c>
      <c r="F452" s="23" t="e">
        <f>_xll.RssMarket(A452,"前日比率")/100</f>
        <v>#VALUE!</v>
      </c>
      <c r="G452" s="24" t="str">
        <f>IFERROR(VLOOKUP(A452,取得元!$A$2:$F$501,2,FALSE),"-")</f>
        <v>-</v>
      </c>
      <c r="H452" s="24" t="str">
        <f>IFERROR(VLOOKUP(A452,取得元!$A$2:$F$501,3,FALSE),"-")</f>
        <v>-</v>
      </c>
      <c r="I452" s="24" t="str">
        <f>IFERROR(VLOOKUP(A452,取得元!$A$2:$F$501,4,FALSE),"-")</f>
        <v>-</v>
      </c>
      <c r="J452" s="5" t="str">
        <f>IFERROR(VLOOKUP(A452,取得元!$A$2:$F$501,5,FALSE),"-")</f>
        <v>-</v>
      </c>
      <c r="K452" s="25" t="str">
        <f>IFERROR(VLOOKUP(A452,取得元!$A$2:$F$501,6,FALSE)/100,"-")</f>
        <v>-</v>
      </c>
      <c r="L452" s="21" t="str">
        <f>_xll.RssMarket(A452,"始値")</f>
        <v>表示銘柄数超過</v>
      </c>
      <c r="M452" s="4" t="e">
        <f t="shared" si="40"/>
        <v>#VALUE!</v>
      </c>
      <c r="N452" s="21" t="str">
        <f>_xll.RssMarket(A452,"高値")</f>
        <v>表示銘柄数超過</v>
      </c>
      <c r="O452" s="4" t="e">
        <f t="shared" si="41"/>
        <v>#VALUE!</v>
      </c>
      <c r="P452" s="21" t="str">
        <f>_xll.RssMarket(A452,"安値")</f>
        <v>表示銘柄数超過</v>
      </c>
      <c r="Q452" s="4" t="e">
        <f t="shared" si="42"/>
        <v>#VALUE!</v>
      </c>
      <c r="R452" s="21" t="str">
        <f>_xll.RssMarket(A452,"後場始値")</f>
        <v>表示銘柄数超過</v>
      </c>
      <c r="S452" s="25" t="str">
        <f t="shared" si="43"/>
        <v>-</v>
      </c>
      <c r="T452" s="7" t="str">
        <f>_xll.RssMarket(A452,"出来高加重平均")</f>
        <v>表示銘柄数超過</v>
      </c>
      <c r="U452" s="4" t="e">
        <f t="shared" si="44"/>
        <v>#VALUE!</v>
      </c>
      <c r="V452" s="21" t="str">
        <f>_xll.RssMarket(A452,"出来高")</f>
        <v>表示銘柄数超過</v>
      </c>
      <c r="W452" s="21" t="str">
        <f>_xll.RssMarket(A452,"売買代金")</f>
        <v>表示銘柄数超過</v>
      </c>
      <c r="X452" s="20" t="str">
        <f>_xll.RssMarket(A452,"決算発表日")</f>
        <v>表示銘柄数超過</v>
      </c>
      <c r="Y452" s="26" t="str">
        <f>IF(C452&gt;_xll.RssMarket(A452,"年初来高値"),"○","×")</f>
        <v>×</v>
      </c>
      <c r="Z452" s="27" t="str">
        <f>IF(C452&lt;=_xll.RssMarket(A452,"年初来安値"),"○","×")</f>
        <v>○</v>
      </c>
    </row>
    <row r="453" spans="1:26" x14ac:dyDescent="0.25">
      <c r="A453" s="49">
        <v>4378</v>
      </c>
      <c r="B453" s="20" t="str">
        <f>_xll.RssMarket(A453,"銘柄名称")</f>
        <v>表示銘柄数超過</v>
      </c>
      <c r="C453" s="21" t="str">
        <f>_xll.RssMarket(A453,"現在値")</f>
        <v>表示銘柄数超過</v>
      </c>
      <c r="D453" s="20" t="str">
        <f>_xll.RssMarket(A453,"現在値詳細時刻")</f>
        <v>表示銘柄数超過</v>
      </c>
      <c r="E453" s="22" t="str">
        <f>_xll.RssMarket(A453,"前日比")</f>
        <v>表示銘柄数超過</v>
      </c>
      <c r="F453" s="23" t="e">
        <f>_xll.RssMarket(A453,"前日比率")/100</f>
        <v>#VALUE!</v>
      </c>
      <c r="G453" s="24" t="str">
        <f>IFERROR(VLOOKUP(A453,取得元!$A$2:$F$501,2,FALSE),"-")</f>
        <v>-</v>
      </c>
      <c r="H453" s="24" t="str">
        <f>IFERROR(VLOOKUP(A453,取得元!$A$2:$F$501,3,FALSE),"-")</f>
        <v>-</v>
      </c>
      <c r="I453" s="24" t="str">
        <f>IFERROR(VLOOKUP(A453,取得元!$A$2:$F$501,4,FALSE),"-")</f>
        <v>-</v>
      </c>
      <c r="J453" s="5" t="str">
        <f>IFERROR(VLOOKUP(A453,取得元!$A$2:$F$501,5,FALSE),"-")</f>
        <v>-</v>
      </c>
      <c r="K453" s="25" t="str">
        <f>IFERROR(VLOOKUP(A453,取得元!$A$2:$F$501,6,FALSE)/100,"-")</f>
        <v>-</v>
      </c>
      <c r="L453" s="21" t="str">
        <f>_xll.RssMarket(A453,"始値")</f>
        <v>表示銘柄数超過</v>
      </c>
      <c r="M453" s="4" t="e">
        <f t="shared" si="40"/>
        <v>#VALUE!</v>
      </c>
      <c r="N453" s="21" t="str">
        <f>_xll.RssMarket(A453,"高値")</f>
        <v>表示銘柄数超過</v>
      </c>
      <c r="O453" s="4" t="e">
        <f t="shared" si="41"/>
        <v>#VALUE!</v>
      </c>
      <c r="P453" s="21" t="str">
        <f>_xll.RssMarket(A453,"安値")</f>
        <v>表示銘柄数超過</v>
      </c>
      <c r="Q453" s="4" t="e">
        <f t="shared" si="42"/>
        <v>#VALUE!</v>
      </c>
      <c r="R453" s="21" t="str">
        <f>_xll.RssMarket(A453,"後場始値")</f>
        <v>表示銘柄数超過</v>
      </c>
      <c r="S453" s="25" t="str">
        <f t="shared" si="43"/>
        <v>-</v>
      </c>
      <c r="T453" s="7" t="str">
        <f>_xll.RssMarket(A453,"出来高加重平均")</f>
        <v>表示銘柄数超過</v>
      </c>
      <c r="U453" s="4" t="e">
        <f t="shared" si="44"/>
        <v>#VALUE!</v>
      </c>
      <c r="V453" s="21" t="str">
        <f>_xll.RssMarket(A453,"出来高")</f>
        <v>表示銘柄数超過</v>
      </c>
      <c r="W453" s="21" t="str">
        <f>_xll.RssMarket(A453,"売買代金")</f>
        <v>表示銘柄数超過</v>
      </c>
      <c r="X453" s="20" t="str">
        <f>_xll.RssMarket(A453,"決算発表日")</f>
        <v>表示銘柄数超過</v>
      </c>
      <c r="Y453" s="26" t="str">
        <f>IF(C453&gt;_xll.RssMarket(A453,"年初来高値"),"○","×")</f>
        <v>×</v>
      </c>
      <c r="Z453" s="27" t="str">
        <f>IF(C453&lt;=_xll.RssMarket(A453,"年初来安値"),"○","×")</f>
        <v>○</v>
      </c>
    </row>
    <row r="454" spans="1:26" x14ac:dyDescent="0.25">
      <c r="A454" s="47">
        <v>4379</v>
      </c>
      <c r="B454" s="20" t="str">
        <f>_xll.RssMarket(A454,"銘柄名称")</f>
        <v>表示銘柄数超過</v>
      </c>
      <c r="C454" s="21" t="str">
        <f>_xll.RssMarket(A454,"現在値")</f>
        <v>表示銘柄数超過</v>
      </c>
      <c r="D454" s="20" t="str">
        <f>_xll.RssMarket(A454,"現在値詳細時刻")</f>
        <v>表示銘柄数超過</v>
      </c>
      <c r="E454" s="22" t="str">
        <f>_xll.RssMarket(A454,"前日比")</f>
        <v>表示銘柄数超過</v>
      </c>
      <c r="F454" s="23" t="e">
        <f>_xll.RssMarket(A454,"前日比率")/100</f>
        <v>#VALUE!</v>
      </c>
      <c r="G454" s="24" t="str">
        <f>IFERROR(VLOOKUP(A454,取得元!$A$2:$F$501,2,FALSE),"-")</f>
        <v>-</v>
      </c>
      <c r="H454" s="24" t="str">
        <f>IFERROR(VLOOKUP(A454,取得元!$A$2:$F$501,3,FALSE),"-")</f>
        <v>-</v>
      </c>
      <c r="I454" s="24" t="str">
        <f>IFERROR(VLOOKUP(A454,取得元!$A$2:$F$501,4,FALSE),"-")</f>
        <v>-</v>
      </c>
      <c r="J454" s="5" t="str">
        <f>IFERROR(VLOOKUP(A454,取得元!$A$2:$F$501,5,FALSE),"-")</f>
        <v>-</v>
      </c>
      <c r="K454" s="25" t="str">
        <f>IFERROR(VLOOKUP(A454,取得元!$A$2:$F$501,6,FALSE)/100,"-")</f>
        <v>-</v>
      </c>
      <c r="L454" s="21" t="str">
        <f>_xll.RssMarket(A454,"始値")</f>
        <v>表示銘柄数超過</v>
      </c>
      <c r="M454" s="4" t="e">
        <f t="shared" si="40"/>
        <v>#VALUE!</v>
      </c>
      <c r="N454" s="21" t="str">
        <f>_xll.RssMarket(A454,"高値")</f>
        <v>表示銘柄数超過</v>
      </c>
      <c r="O454" s="4" t="e">
        <f t="shared" si="41"/>
        <v>#VALUE!</v>
      </c>
      <c r="P454" s="21" t="str">
        <f>_xll.RssMarket(A454,"安値")</f>
        <v>表示銘柄数超過</v>
      </c>
      <c r="Q454" s="4" t="e">
        <f t="shared" si="42"/>
        <v>#VALUE!</v>
      </c>
      <c r="R454" s="21" t="str">
        <f>_xll.RssMarket(A454,"後場始値")</f>
        <v>表示銘柄数超過</v>
      </c>
      <c r="S454" s="25" t="str">
        <f t="shared" si="43"/>
        <v>-</v>
      </c>
      <c r="T454" s="7" t="str">
        <f>_xll.RssMarket(A454,"出来高加重平均")</f>
        <v>表示銘柄数超過</v>
      </c>
      <c r="U454" s="4" t="e">
        <f t="shared" si="44"/>
        <v>#VALUE!</v>
      </c>
      <c r="V454" s="21" t="str">
        <f>_xll.RssMarket(A454,"出来高")</f>
        <v>表示銘柄数超過</v>
      </c>
      <c r="W454" s="21" t="str">
        <f>_xll.RssMarket(A454,"売買代金")</f>
        <v>表示銘柄数超過</v>
      </c>
      <c r="X454" s="20" t="str">
        <f>_xll.RssMarket(A454,"決算発表日")</f>
        <v>表示銘柄数超過</v>
      </c>
      <c r="Y454" s="26" t="str">
        <f>IF(C454&gt;_xll.RssMarket(A454,"年初来高値"),"○","×")</f>
        <v>×</v>
      </c>
      <c r="Z454" s="27" t="str">
        <f>IF(C454&lt;=_xll.RssMarket(A454,"年初来安値"),"○","×")</f>
        <v>○</v>
      </c>
    </row>
    <row r="455" spans="1:26" x14ac:dyDescent="0.25">
      <c r="A455" s="49">
        <v>4382</v>
      </c>
      <c r="B455" s="20" t="str">
        <f>_xll.RssMarket(A455,"銘柄名称")</f>
        <v>表示銘柄数超過</v>
      </c>
      <c r="C455" s="21" t="str">
        <f>_xll.RssMarket(A455,"現在値")</f>
        <v>表示銘柄数超過</v>
      </c>
      <c r="D455" s="20" t="str">
        <f>_xll.RssMarket(A455,"現在値詳細時刻")</f>
        <v>表示銘柄数超過</v>
      </c>
      <c r="E455" s="22" t="str">
        <f>_xll.RssMarket(A455,"前日比")</f>
        <v>表示銘柄数超過</v>
      </c>
      <c r="F455" s="23" t="e">
        <f>_xll.RssMarket(A455,"前日比率")/100</f>
        <v>#VALUE!</v>
      </c>
      <c r="G455" s="24" t="str">
        <f>IFERROR(VLOOKUP(A455,取得元!$A$2:$F$501,2,FALSE),"-")</f>
        <v>-</v>
      </c>
      <c r="H455" s="24" t="str">
        <f>IFERROR(VLOOKUP(A455,取得元!$A$2:$F$501,3,FALSE),"-")</f>
        <v>-</v>
      </c>
      <c r="I455" s="24" t="str">
        <f>IFERROR(VLOOKUP(A455,取得元!$A$2:$F$501,4,FALSE),"-")</f>
        <v>-</v>
      </c>
      <c r="J455" s="5" t="str">
        <f>IFERROR(VLOOKUP(A455,取得元!$A$2:$F$501,5,FALSE),"-")</f>
        <v>-</v>
      </c>
      <c r="K455" s="25" t="str">
        <f>IFERROR(VLOOKUP(A455,取得元!$A$2:$F$501,6,FALSE)/100,"-")</f>
        <v>-</v>
      </c>
      <c r="L455" s="21" t="str">
        <f>_xll.RssMarket(A455,"始値")</f>
        <v>表示銘柄数超過</v>
      </c>
      <c r="M455" s="4" t="e">
        <f t="shared" si="40"/>
        <v>#VALUE!</v>
      </c>
      <c r="N455" s="21" t="str">
        <f>_xll.RssMarket(A455,"高値")</f>
        <v>表示銘柄数超過</v>
      </c>
      <c r="O455" s="4" t="e">
        <f t="shared" si="41"/>
        <v>#VALUE!</v>
      </c>
      <c r="P455" s="21" t="str">
        <f>_xll.RssMarket(A455,"安値")</f>
        <v>表示銘柄数超過</v>
      </c>
      <c r="Q455" s="4" t="e">
        <f t="shared" si="42"/>
        <v>#VALUE!</v>
      </c>
      <c r="R455" s="21" t="str">
        <f>_xll.RssMarket(A455,"後場始値")</f>
        <v>表示銘柄数超過</v>
      </c>
      <c r="S455" s="25" t="str">
        <f t="shared" si="43"/>
        <v>-</v>
      </c>
      <c r="T455" s="7" t="str">
        <f>_xll.RssMarket(A455,"出来高加重平均")</f>
        <v>表示銘柄数超過</v>
      </c>
      <c r="U455" s="4" t="e">
        <f t="shared" si="44"/>
        <v>#VALUE!</v>
      </c>
      <c r="V455" s="21" t="str">
        <f>_xll.RssMarket(A455,"出来高")</f>
        <v>表示銘柄数超過</v>
      </c>
      <c r="W455" s="21" t="str">
        <f>_xll.RssMarket(A455,"売買代金")</f>
        <v>表示銘柄数超過</v>
      </c>
      <c r="X455" s="20" t="str">
        <f>_xll.RssMarket(A455,"決算発表日")</f>
        <v>表示銘柄数超過</v>
      </c>
      <c r="Y455" s="26" t="str">
        <f>IF(C455&gt;_xll.RssMarket(A455,"年初来高値"),"○","×")</f>
        <v>×</v>
      </c>
      <c r="Z455" s="27" t="str">
        <f>IF(C455&lt;=_xll.RssMarket(A455,"年初来安値"),"○","×")</f>
        <v>○</v>
      </c>
    </row>
    <row r="456" spans="1:26" x14ac:dyDescent="0.25">
      <c r="A456" s="47">
        <v>4385</v>
      </c>
      <c r="B456" s="20" t="str">
        <f>_xll.RssMarket(A456,"銘柄名称")</f>
        <v>表示銘柄数超過</v>
      </c>
      <c r="C456" s="21" t="str">
        <f>_xll.RssMarket(A456,"現在値")</f>
        <v>表示銘柄数超過</v>
      </c>
      <c r="D456" s="20" t="str">
        <f>_xll.RssMarket(A456,"現在値詳細時刻")</f>
        <v>表示銘柄数超過</v>
      </c>
      <c r="E456" s="22" t="str">
        <f>_xll.RssMarket(A456,"前日比")</f>
        <v>表示銘柄数超過</v>
      </c>
      <c r="F456" s="23" t="e">
        <f>_xll.RssMarket(A456,"前日比率")/100</f>
        <v>#VALUE!</v>
      </c>
      <c r="G456" s="24" t="str">
        <f>IFERROR(VLOOKUP(A456,取得元!$A$2:$F$501,2,FALSE),"-")</f>
        <v>-</v>
      </c>
      <c r="H456" s="24" t="str">
        <f>IFERROR(VLOOKUP(A456,取得元!$A$2:$F$501,3,FALSE),"-")</f>
        <v>-</v>
      </c>
      <c r="I456" s="24" t="str">
        <f>IFERROR(VLOOKUP(A456,取得元!$A$2:$F$501,4,FALSE),"-")</f>
        <v>-</v>
      </c>
      <c r="J456" s="5" t="str">
        <f>IFERROR(VLOOKUP(A456,取得元!$A$2:$F$501,5,FALSE),"-")</f>
        <v>-</v>
      </c>
      <c r="K456" s="25" t="str">
        <f>IFERROR(VLOOKUP(A456,取得元!$A$2:$F$501,6,FALSE)/100,"-")</f>
        <v>-</v>
      </c>
      <c r="L456" s="21" t="str">
        <f>_xll.RssMarket(A456,"始値")</f>
        <v>表示銘柄数超過</v>
      </c>
      <c r="M456" s="4" t="e">
        <f t="shared" si="40"/>
        <v>#VALUE!</v>
      </c>
      <c r="N456" s="21" t="str">
        <f>_xll.RssMarket(A456,"高値")</f>
        <v>表示銘柄数超過</v>
      </c>
      <c r="O456" s="4" t="e">
        <f t="shared" si="41"/>
        <v>#VALUE!</v>
      </c>
      <c r="P456" s="21" t="str">
        <f>_xll.RssMarket(A456,"安値")</f>
        <v>表示銘柄数超過</v>
      </c>
      <c r="Q456" s="4" t="e">
        <f t="shared" si="42"/>
        <v>#VALUE!</v>
      </c>
      <c r="R456" s="21" t="str">
        <f>_xll.RssMarket(A456,"後場始値")</f>
        <v>表示銘柄数超過</v>
      </c>
      <c r="S456" s="25" t="str">
        <f t="shared" si="43"/>
        <v>-</v>
      </c>
      <c r="T456" s="7" t="str">
        <f>_xll.RssMarket(A456,"出来高加重平均")</f>
        <v>表示銘柄数超過</v>
      </c>
      <c r="U456" s="4" t="e">
        <f t="shared" si="44"/>
        <v>#VALUE!</v>
      </c>
      <c r="V456" s="21" t="str">
        <f>_xll.RssMarket(A456,"出来高")</f>
        <v>表示銘柄数超過</v>
      </c>
      <c r="W456" s="21" t="str">
        <f>_xll.RssMarket(A456,"売買代金")</f>
        <v>表示銘柄数超過</v>
      </c>
      <c r="X456" s="20" t="str">
        <f>_xll.RssMarket(A456,"決算発表日")</f>
        <v>表示銘柄数超過</v>
      </c>
      <c r="Y456" s="26" t="str">
        <f>IF(C456&gt;_xll.RssMarket(A456,"年初来高値"),"○","×")</f>
        <v>×</v>
      </c>
      <c r="Z456" s="27" t="str">
        <f>IF(C456&lt;=_xll.RssMarket(A456,"年初来安値"),"○","×")</f>
        <v>○</v>
      </c>
    </row>
    <row r="457" spans="1:26" x14ac:dyDescent="0.25">
      <c r="A457" s="49">
        <v>4388</v>
      </c>
      <c r="B457" s="20" t="str">
        <f>_xll.RssMarket(A457,"銘柄名称")</f>
        <v>表示銘柄数超過</v>
      </c>
      <c r="C457" s="21" t="str">
        <f>_xll.RssMarket(A457,"現在値")</f>
        <v>表示銘柄数超過</v>
      </c>
      <c r="D457" s="20" t="str">
        <f>_xll.RssMarket(A457,"現在値詳細時刻")</f>
        <v>表示銘柄数超過</v>
      </c>
      <c r="E457" s="22" t="str">
        <f>_xll.RssMarket(A457,"前日比")</f>
        <v>表示銘柄数超過</v>
      </c>
      <c r="F457" s="23" t="e">
        <f>_xll.RssMarket(A457,"前日比率")/100</f>
        <v>#VALUE!</v>
      </c>
      <c r="G457" s="24" t="str">
        <f>IFERROR(VLOOKUP(A457,取得元!$A$2:$F$501,2,FALSE),"-")</f>
        <v>-</v>
      </c>
      <c r="H457" s="24" t="str">
        <f>IFERROR(VLOOKUP(A457,取得元!$A$2:$F$501,3,FALSE),"-")</f>
        <v>-</v>
      </c>
      <c r="I457" s="24" t="str">
        <f>IFERROR(VLOOKUP(A457,取得元!$A$2:$F$501,4,FALSE),"-")</f>
        <v>-</v>
      </c>
      <c r="J457" s="5" t="str">
        <f>IFERROR(VLOOKUP(A457,取得元!$A$2:$F$501,5,FALSE),"-")</f>
        <v>-</v>
      </c>
      <c r="K457" s="25" t="str">
        <f>IFERROR(VLOOKUP(A457,取得元!$A$2:$F$501,6,FALSE)/100,"-")</f>
        <v>-</v>
      </c>
      <c r="L457" s="21" t="str">
        <f>_xll.RssMarket(A457,"始値")</f>
        <v>表示銘柄数超過</v>
      </c>
      <c r="M457" s="4" t="e">
        <f t="shared" si="40"/>
        <v>#VALUE!</v>
      </c>
      <c r="N457" s="21" t="str">
        <f>_xll.RssMarket(A457,"高値")</f>
        <v>表示銘柄数超過</v>
      </c>
      <c r="O457" s="4" t="e">
        <f t="shared" si="41"/>
        <v>#VALUE!</v>
      </c>
      <c r="P457" s="21" t="str">
        <f>_xll.RssMarket(A457,"安値")</f>
        <v>表示銘柄数超過</v>
      </c>
      <c r="Q457" s="4" t="e">
        <f t="shared" si="42"/>
        <v>#VALUE!</v>
      </c>
      <c r="R457" s="21" t="str">
        <f>_xll.RssMarket(A457,"後場始値")</f>
        <v>表示銘柄数超過</v>
      </c>
      <c r="S457" s="25" t="str">
        <f t="shared" si="43"/>
        <v>-</v>
      </c>
      <c r="T457" s="7" t="str">
        <f>_xll.RssMarket(A457,"出来高加重平均")</f>
        <v>表示銘柄数超過</v>
      </c>
      <c r="U457" s="4" t="e">
        <f t="shared" si="44"/>
        <v>#VALUE!</v>
      </c>
      <c r="V457" s="21" t="str">
        <f>_xll.RssMarket(A457,"出来高")</f>
        <v>表示銘柄数超過</v>
      </c>
      <c r="W457" s="21" t="str">
        <f>_xll.RssMarket(A457,"売買代金")</f>
        <v>表示銘柄数超過</v>
      </c>
      <c r="X457" s="20" t="str">
        <f>_xll.RssMarket(A457,"決算発表日")</f>
        <v>表示銘柄数超過</v>
      </c>
      <c r="Y457" s="26" t="str">
        <f>IF(C457&gt;_xll.RssMarket(A457,"年初来高値"),"○","×")</f>
        <v>×</v>
      </c>
      <c r="Z457" s="27" t="str">
        <f>IF(C457&lt;=_xll.RssMarket(A457,"年初来安値"),"○","×")</f>
        <v>○</v>
      </c>
    </row>
    <row r="458" spans="1:26" x14ac:dyDescent="0.25">
      <c r="A458" s="47">
        <v>4395</v>
      </c>
      <c r="B458" s="20" t="str">
        <f>_xll.RssMarket(A458,"銘柄名称")</f>
        <v>表示銘柄数超過</v>
      </c>
      <c r="C458" s="21" t="str">
        <f>_xll.RssMarket(A458,"現在値")</f>
        <v>表示銘柄数超過</v>
      </c>
      <c r="D458" s="20" t="str">
        <f>_xll.RssMarket(A458,"現在値詳細時刻")</f>
        <v>表示銘柄数超過</v>
      </c>
      <c r="E458" s="22" t="str">
        <f>_xll.RssMarket(A458,"前日比")</f>
        <v>表示銘柄数超過</v>
      </c>
      <c r="F458" s="23" t="e">
        <f>_xll.RssMarket(A458,"前日比率")/100</f>
        <v>#VALUE!</v>
      </c>
      <c r="G458" s="24" t="str">
        <f>IFERROR(VLOOKUP(A458,取得元!$A$2:$F$501,2,FALSE),"-")</f>
        <v>-</v>
      </c>
      <c r="H458" s="24" t="str">
        <f>IFERROR(VLOOKUP(A458,取得元!$A$2:$F$501,3,FALSE),"-")</f>
        <v>-</v>
      </c>
      <c r="I458" s="24" t="str">
        <f>IFERROR(VLOOKUP(A458,取得元!$A$2:$F$501,4,FALSE),"-")</f>
        <v>-</v>
      </c>
      <c r="J458" s="5" t="str">
        <f>IFERROR(VLOOKUP(A458,取得元!$A$2:$F$501,5,FALSE),"-")</f>
        <v>-</v>
      </c>
      <c r="K458" s="25" t="str">
        <f>IFERROR(VLOOKUP(A458,取得元!$A$2:$F$501,6,FALSE)/100,"-")</f>
        <v>-</v>
      </c>
      <c r="L458" s="21" t="str">
        <f>_xll.RssMarket(A458,"始値")</f>
        <v>表示銘柄数超過</v>
      </c>
      <c r="M458" s="4" t="e">
        <f t="shared" si="40"/>
        <v>#VALUE!</v>
      </c>
      <c r="N458" s="21" t="str">
        <f>_xll.RssMarket(A458,"高値")</f>
        <v>表示銘柄数超過</v>
      </c>
      <c r="O458" s="4" t="e">
        <f t="shared" si="41"/>
        <v>#VALUE!</v>
      </c>
      <c r="P458" s="21" t="str">
        <f>_xll.RssMarket(A458,"安値")</f>
        <v>表示銘柄数超過</v>
      </c>
      <c r="Q458" s="4" t="e">
        <f t="shared" si="42"/>
        <v>#VALUE!</v>
      </c>
      <c r="R458" s="21" t="str">
        <f>_xll.RssMarket(A458,"後場始値")</f>
        <v>表示銘柄数超過</v>
      </c>
      <c r="S458" s="25" t="str">
        <f t="shared" si="43"/>
        <v>-</v>
      </c>
      <c r="T458" s="7" t="str">
        <f>_xll.RssMarket(A458,"出来高加重平均")</f>
        <v>表示銘柄数超過</v>
      </c>
      <c r="U458" s="4" t="e">
        <f t="shared" si="44"/>
        <v>#VALUE!</v>
      </c>
      <c r="V458" s="21" t="str">
        <f>_xll.RssMarket(A458,"出来高")</f>
        <v>表示銘柄数超過</v>
      </c>
      <c r="W458" s="21" t="str">
        <f>_xll.RssMarket(A458,"売買代金")</f>
        <v>表示銘柄数超過</v>
      </c>
      <c r="X458" s="20" t="str">
        <f>_xll.RssMarket(A458,"決算発表日")</f>
        <v>表示銘柄数超過</v>
      </c>
      <c r="Y458" s="26" t="str">
        <f>IF(C458&gt;_xll.RssMarket(A458,"年初来高値"),"○","×")</f>
        <v>×</v>
      </c>
      <c r="Z458" s="27" t="str">
        <f>IF(C458&lt;=_xll.RssMarket(A458,"年初来安値"),"○","×")</f>
        <v>○</v>
      </c>
    </row>
    <row r="459" spans="1:26" x14ac:dyDescent="0.25">
      <c r="A459" s="49">
        <v>4406</v>
      </c>
      <c r="B459" s="20" t="str">
        <f>_xll.RssMarket(A459,"銘柄名称")</f>
        <v>表示銘柄数超過</v>
      </c>
      <c r="C459" s="21" t="str">
        <f>_xll.RssMarket(A459,"現在値")</f>
        <v>表示銘柄数超過</v>
      </c>
      <c r="D459" s="20" t="str">
        <f>_xll.RssMarket(A459,"現在値詳細時刻")</f>
        <v>表示銘柄数超過</v>
      </c>
      <c r="E459" s="22" t="str">
        <f>_xll.RssMarket(A459,"前日比")</f>
        <v>表示銘柄数超過</v>
      </c>
      <c r="F459" s="23" t="e">
        <f>_xll.RssMarket(A459,"前日比率")/100</f>
        <v>#VALUE!</v>
      </c>
      <c r="G459" s="24" t="str">
        <f>IFERROR(VLOOKUP(A459,取得元!$A$2:$F$501,2,FALSE),"-")</f>
        <v>-</v>
      </c>
      <c r="H459" s="24" t="str">
        <f>IFERROR(VLOOKUP(A459,取得元!$A$2:$F$501,3,FALSE),"-")</f>
        <v>-</v>
      </c>
      <c r="I459" s="24" t="str">
        <f>IFERROR(VLOOKUP(A459,取得元!$A$2:$F$501,4,FALSE),"-")</f>
        <v>-</v>
      </c>
      <c r="J459" s="5" t="str">
        <f>IFERROR(VLOOKUP(A459,取得元!$A$2:$F$501,5,FALSE),"-")</f>
        <v>-</v>
      </c>
      <c r="K459" s="25" t="str">
        <f>IFERROR(VLOOKUP(A459,取得元!$A$2:$F$501,6,FALSE)/100,"-")</f>
        <v>-</v>
      </c>
      <c r="L459" s="21" t="str">
        <f>_xll.RssMarket(A459,"始値")</f>
        <v>表示銘柄数超過</v>
      </c>
      <c r="M459" s="4" t="e">
        <f t="shared" si="40"/>
        <v>#VALUE!</v>
      </c>
      <c r="N459" s="21" t="str">
        <f>_xll.RssMarket(A459,"高値")</f>
        <v>表示銘柄数超過</v>
      </c>
      <c r="O459" s="4" t="e">
        <f t="shared" si="41"/>
        <v>#VALUE!</v>
      </c>
      <c r="P459" s="21" t="str">
        <f>_xll.RssMarket(A459,"安値")</f>
        <v>表示銘柄数超過</v>
      </c>
      <c r="Q459" s="4" t="e">
        <f t="shared" si="42"/>
        <v>#VALUE!</v>
      </c>
      <c r="R459" s="21" t="str">
        <f>_xll.RssMarket(A459,"後場始値")</f>
        <v>表示銘柄数超過</v>
      </c>
      <c r="S459" s="25" t="str">
        <f t="shared" si="43"/>
        <v>-</v>
      </c>
      <c r="T459" s="7" t="str">
        <f>_xll.RssMarket(A459,"出来高加重平均")</f>
        <v>表示銘柄数超過</v>
      </c>
      <c r="U459" s="4" t="e">
        <f t="shared" si="44"/>
        <v>#VALUE!</v>
      </c>
      <c r="V459" s="21" t="str">
        <f>_xll.RssMarket(A459,"出来高")</f>
        <v>表示銘柄数超過</v>
      </c>
      <c r="W459" s="21" t="str">
        <f>_xll.RssMarket(A459,"売買代金")</f>
        <v>表示銘柄数超過</v>
      </c>
      <c r="X459" s="20" t="str">
        <f>_xll.RssMarket(A459,"決算発表日")</f>
        <v>表示銘柄数超過</v>
      </c>
      <c r="Y459" s="26" t="str">
        <f>IF(C459&gt;_xll.RssMarket(A459,"年初来高値"),"○","×")</f>
        <v>×</v>
      </c>
      <c r="Z459" s="27" t="str">
        <f>IF(C459&lt;=_xll.RssMarket(A459,"年初来安値"),"○","×")</f>
        <v>○</v>
      </c>
    </row>
    <row r="460" spans="1:26" x14ac:dyDescent="0.25">
      <c r="A460" s="47">
        <v>4414</v>
      </c>
      <c r="B460" s="20" t="str">
        <f>_xll.RssMarket(A460,"銘柄名称")</f>
        <v>表示銘柄数超過</v>
      </c>
      <c r="C460" s="21" t="str">
        <f>_xll.RssMarket(A460,"現在値")</f>
        <v>表示銘柄数超過</v>
      </c>
      <c r="D460" s="20" t="str">
        <f>_xll.RssMarket(A460,"現在値詳細時刻")</f>
        <v>表示銘柄数超過</v>
      </c>
      <c r="E460" s="22" t="str">
        <f>_xll.RssMarket(A460,"前日比")</f>
        <v>表示銘柄数超過</v>
      </c>
      <c r="F460" s="23" t="e">
        <f>_xll.RssMarket(A460,"前日比率")/100</f>
        <v>#VALUE!</v>
      </c>
      <c r="G460" s="24" t="str">
        <f>IFERROR(VLOOKUP(A460,取得元!$A$2:$F$501,2,FALSE),"-")</f>
        <v>-</v>
      </c>
      <c r="H460" s="24" t="str">
        <f>IFERROR(VLOOKUP(A460,取得元!$A$2:$F$501,3,FALSE),"-")</f>
        <v>-</v>
      </c>
      <c r="I460" s="24" t="str">
        <f>IFERROR(VLOOKUP(A460,取得元!$A$2:$F$501,4,FALSE),"-")</f>
        <v>-</v>
      </c>
      <c r="J460" s="5" t="str">
        <f>IFERROR(VLOOKUP(A460,取得元!$A$2:$F$501,5,FALSE),"-")</f>
        <v>-</v>
      </c>
      <c r="K460" s="25" t="str">
        <f>IFERROR(VLOOKUP(A460,取得元!$A$2:$F$501,6,FALSE)/100,"-")</f>
        <v>-</v>
      </c>
      <c r="L460" s="21" t="str">
        <f>_xll.RssMarket(A460,"始値")</f>
        <v>表示銘柄数超過</v>
      </c>
      <c r="M460" s="4" t="e">
        <f t="shared" si="40"/>
        <v>#VALUE!</v>
      </c>
      <c r="N460" s="21" t="str">
        <f>_xll.RssMarket(A460,"高値")</f>
        <v>表示銘柄数超過</v>
      </c>
      <c r="O460" s="4" t="e">
        <f t="shared" si="41"/>
        <v>#VALUE!</v>
      </c>
      <c r="P460" s="21" t="str">
        <f>_xll.RssMarket(A460,"安値")</f>
        <v>表示銘柄数超過</v>
      </c>
      <c r="Q460" s="4" t="e">
        <f t="shared" si="42"/>
        <v>#VALUE!</v>
      </c>
      <c r="R460" s="21" t="str">
        <f>_xll.RssMarket(A460,"後場始値")</f>
        <v>表示銘柄数超過</v>
      </c>
      <c r="S460" s="25" t="str">
        <f t="shared" si="43"/>
        <v>-</v>
      </c>
      <c r="T460" s="7" t="str">
        <f>_xll.RssMarket(A460,"出来高加重平均")</f>
        <v>表示銘柄数超過</v>
      </c>
      <c r="U460" s="4" t="e">
        <f t="shared" si="44"/>
        <v>#VALUE!</v>
      </c>
      <c r="V460" s="21" t="str">
        <f>_xll.RssMarket(A460,"出来高")</f>
        <v>表示銘柄数超過</v>
      </c>
      <c r="W460" s="21" t="str">
        <f>_xll.RssMarket(A460,"売買代金")</f>
        <v>表示銘柄数超過</v>
      </c>
      <c r="X460" s="20" t="str">
        <f>_xll.RssMarket(A460,"決算発表日")</f>
        <v>表示銘柄数超過</v>
      </c>
      <c r="Y460" s="26" t="str">
        <f>IF(C460&gt;_xll.RssMarket(A460,"年初来高値"),"○","×")</f>
        <v>×</v>
      </c>
      <c r="Z460" s="27" t="str">
        <f>IF(C460&lt;=_xll.RssMarket(A460,"年初来安値"),"○","×")</f>
        <v>○</v>
      </c>
    </row>
    <row r="461" spans="1:26" x14ac:dyDescent="0.25">
      <c r="A461" s="49">
        <v>4416</v>
      </c>
      <c r="B461" s="20" t="str">
        <f>_xll.RssMarket(A461,"銘柄名称")</f>
        <v>表示銘柄数超過</v>
      </c>
      <c r="C461" s="21" t="str">
        <f>_xll.RssMarket(A461,"現在値")</f>
        <v>表示銘柄数超過</v>
      </c>
      <c r="D461" s="20" t="str">
        <f>_xll.RssMarket(A461,"現在値詳細時刻")</f>
        <v>表示銘柄数超過</v>
      </c>
      <c r="E461" s="22" t="str">
        <f>_xll.RssMarket(A461,"前日比")</f>
        <v>表示銘柄数超過</v>
      </c>
      <c r="F461" s="23" t="e">
        <f>_xll.RssMarket(A461,"前日比率")/100</f>
        <v>#VALUE!</v>
      </c>
      <c r="G461" s="24" t="str">
        <f>IFERROR(VLOOKUP(A461,取得元!$A$2:$F$501,2,FALSE),"-")</f>
        <v>-</v>
      </c>
      <c r="H461" s="24" t="str">
        <f>IFERROR(VLOOKUP(A461,取得元!$A$2:$F$501,3,FALSE),"-")</f>
        <v>-</v>
      </c>
      <c r="I461" s="24" t="str">
        <f>IFERROR(VLOOKUP(A461,取得元!$A$2:$F$501,4,FALSE),"-")</f>
        <v>-</v>
      </c>
      <c r="J461" s="5" t="str">
        <f>IFERROR(VLOOKUP(A461,取得元!$A$2:$F$501,5,FALSE),"-")</f>
        <v>-</v>
      </c>
      <c r="K461" s="25" t="str">
        <f>IFERROR(VLOOKUP(A461,取得元!$A$2:$F$501,6,FALSE)/100,"-")</f>
        <v>-</v>
      </c>
      <c r="L461" s="21" t="str">
        <f>_xll.RssMarket(A461,"始値")</f>
        <v>表示銘柄数超過</v>
      </c>
      <c r="M461" s="4" t="e">
        <f t="shared" si="40"/>
        <v>#VALUE!</v>
      </c>
      <c r="N461" s="21" t="str">
        <f>_xll.RssMarket(A461,"高値")</f>
        <v>表示銘柄数超過</v>
      </c>
      <c r="O461" s="4" t="e">
        <f t="shared" si="41"/>
        <v>#VALUE!</v>
      </c>
      <c r="P461" s="21" t="str">
        <f>_xll.RssMarket(A461,"安値")</f>
        <v>表示銘柄数超過</v>
      </c>
      <c r="Q461" s="4" t="e">
        <f t="shared" si="42"/>
        <v>#VALUE!</v>
      </c>
      <c r="R461" s="21" t="str">
        <f>_xll.RssMarket(A461,"後場始値")</f>
        <v>表示銘柄数超過</v>
      </c>
      <c r="S461" s="25" t="str">
        <f t="shared" si="43"/>
        <v>-</v>
      </c>
      <c r="T461" s="7" t="str">
        <f>_xll.RssMarket(A461,"出来高加重平均")</f>
        <v>表示銘柄数超過</v>
      </c>
      <c r="U461" s="4" t="e">
        <f t="shared" si="44"/>
        <v>#VALUE!</v>
      </c>
      <c r="V461" s="21" t="str">
        <f>_xll.RssMarket(A461,"出来高")</f>
        <v>表示銘柄数超過</v>
      </c>
      <c r="W461" s="21" t="str">
        <f>_xll.RssMarket(A461,"売買代金")</f>
        <v>表示銘柄数超過</v>
      </c>
      <c r="X461" s="20" t="str">
        <f>_xll.RssMarket(A461,"決算発表日")</f>
        <v>表示銘柄数超過</v>
      </c>
      <c r="Y461" s="26" t="str">
        <f>IF(C461&gt;_xll.RssMarket(A461,"年初来高値"),"○","×")</f>
        <v>×</v>
      </c>
      <c r="Z461" s="27" t="str">
        <f>IF(C461&lt;=_xll.RssMarket(A461,"年初来安値"),"○","×")</f>
        <v>○</v>
      </c>
    </row>
    <row r="462" spans="1:26" x14ac:dyDescent="0.25">
      <c r="A462" s="47">
        <v>4419</v>
      </c>
      <c r="B462" s="20" t="str">
        <f>_xll.RssMarket(A462,"銘柄名称")</f>
        <v>表示銘柄数超過</v>
      </c>
      <c r="C462" s="21" t="str">
        <f>_xll.RssMarket(A462,"現在値")</f>
        <v>表示銘柄数超過</v>
      </c>
      <c r="D462" s="20" t="str">
        <f>_xll.RssMarket(A462,"現在値詳細時刻")</f>
        <v>表示銘柄数超過</v>
      </c>
      <c r="E462" s="22" t="str">
        <f>_xll.RssMarket(A462,"前日比")</f>
        <v>表示銘柄数超過</v>
      </c>
      <c r="F462" s="23" t="e">
        <f>_xll.RssMarket(A462,"前日比率")/100</f>
        <v>#VALUE!</v>
      </c>
      <c r="G462" s="24" t="str">
        <f>IFERROR(VLOOKUP(A462,取得元!$A$2:$F$501,2,FALSE),"-")</f>
        <v>-</v>
      </c>
      <c r="H462" s="24" t="str">
        <f>IFERROR(VLOOKUP(A462,取得元!$A$2:$F$501,3,FALSE),"-")</f>
        <v>-</v>
      </c>
      <c r="I462" s="24" t="str">
        <f>IFERROR(VLOOKUP(A462,取得元!$A$2:$F$501,4,FALSE),"-")</f>
        <v>-</v>
      </c>
      <c r="J462" s="5" t="str">
        <f>IFERROR(VLOOKUP(A462,取得元!$A$2:$F$501,5,FALSE),"-")</f>
        <v>-</v>
      </c>
      <c r="K462" s="25" t="str">
        <f>IFERROR(VLOOKUP(A462,取得元!$A$2:$F$501,6,FALSE)/100,"-")</f>
        <v>-</v>
      </c>
      <c r="L462" s="21" t="str">
        <f>_xll.RssMarket(A462,"始値")</f>
        <v>表示銘柄数超過</v>
      </c>
      <c r="M462" s="4" t="e">
        <f t="shared" si="40"/>
        <v>#VALUE!</v>
      </c>
      <c r="N462" s="21" t="str">
        <f>_xll.RssMarket(A462,"高値")</f>
        <v>表示銘柄数超過</v>
      </c>
      <c r="O462" s="4" t="e">
        <f t="shared" si="41"/>
        <v>#VALUE!</v>
      </c>
      <c r="P462" s="21" t="str">
        <f>_xll.RssMarket(A462,"安値")</f>
        <v>表示銘柄数超過</v>
      </c>
      <c r="Q462" s="4" t="e">
        <f t="shared" si="42"/>
        <v>#VALUE!</v>
      </c>
      <c r="R462" s="21" t="str">
        <f>_xll.RssMarket(A462,"後場始値")</f>
        <v>表示銘柄数超過</v>
      </c>
      <c r="S462" s="25" t="str">
        <f t="shared" si="43"/>
        <v>-</v>
      </c>
      <c r="T462" s="7" t="str">
        <f>_xll.RssMarket(A462,"出来高加重平均")</f>
        <v>表示銘柄数超過</v>
      </c>
      <c r="U462" s="4" t="e">
        <f t="shared" si="44"/>
        <v>#VALUE!</v>
      </c>
      <c r="V462" s="21" t="str">
        <f>_xll.RssMarket(A462,"出来高")</f>
        <v>表示銘柄数超過</v>
      </c>
      <c r="W462" s="21" t="str">
        <f>_xll.RssMarket(A462,"売買代金")</f>
        <v>表示銘柄数超過</v>
      </c>
      <c r="X462" s="20" t="str">
        <f>_xll.RssMarket(A462,"決算発表日")</f>
        <v>表示銘柄数超過</v>
      </c>
      <c r="Y462" s="26" t="str">
        <f>IF(C462&gt;_xll.RssMarket(A462,"年初来高値"),"○","×")</f>
        <v>×</v>
      </c>
      <c r="Z462" s="27" t="str">
        <f>IF(C462&lt;=_xll.RssMarket(A462,"年初来安値"),"○","×")</f>
        <v>○</v>
      </c>
    </row>
    <row r="463" spans="1:26" x14ac:dyDescent="0.25">
      <c r="A463" s="49">
        <v>4427</v>
      </c>
      <c r="B463" s="20" t="str">
        <f>_xll.RssMarket(A463,"銘柄名称")</f>
        <v>表示銘柄数超過</v>
      </c>
      <c r="C463" s="21" t="str">
        <f>_xll.RssMarket(A463,"現在値")</f>
        <v>表示銘柄数超過</v>
      </c>
      <c r="D463" s="20" t="str">
        <f>_xll.RssMarket(A463,"現在値詳細時刻")</f>
        <v>表示銘柄数超過</v>
      </c>
      <c r="E463" s="22" t="str">
        <f>_xll.RssMarket(A463,"前日比")</f>
        <v>表示銘柄数超過</v>
      </c>
      <c r="F463" s="23" t="e">
        <f>_xll.RssMarket(A463,"前日比率")/100</f>
        <v>#VALUE!</v>
      </c>
      <c r="G463" s="24" t="str">
        <f>IFERROR(VLOOKUP(A463,取得元!$A$2:$F$501,2,FALSE),"-")</f>
        <v>-</v>
      </c>
      <c r="H463" s="24" t="str">
        <f>IFERROR(VLOOKUP(A463,取得元!$A$2:$F$501,3,FALSE),"-")</f>
        <v>-</v>
      </c>
      <c r="I463" s="24" t="str">
        <f>IFERROR(VLOOKUP(A463,取得元!$A$2:$F$501,4,FALSE),"-")</f>
        <v>-</v>
      </c>
      <c r="J463" s="5" t="str">
        <f>IFERROR(VLOOKUP(A463,取得元!$A$2:$F$501,5,FALSE),"-")</f>
        <v>-</v>
      </c>
      <c r="K463" s="25" t="str">
        <f>IFERROR(VLOOKUP(A463,取得元!$A$2:$F$501,6,FALSE)/100,"-")</f>
        <v>-</v>
      </c>
      <c r="L463" s="21" t="str">
        <f>_xll.RssMarket(A463,"始値")</f>
        <v>表示銘柄数超過</v>
      </c>
      <c r="M463" s="4" t="e">
        <f t="shared" si="40"/>
        <v>#VALUE!</v>
      </c>
      <c r="N463" s="21" t="str">
        <f>_xll.RssMarket(A463,"高値")</f>
        <v>表示銘柄数超過</v>
      </c>
      <c r="O463" s="4" t="e">
        <f t="shared" si="41"/>
        <v>#VALUE!</v>
      </c>
      <c r="P463" s="21" t="str">
        <f>_xll.RssMarket(A463,"安値")</f>
        <v>表示銘柄数超過</v>
      </c>
      <c r="Q463" s="4" t="e">
        <f t="shared" si="42"/>
        <v>#VALUE!</v>
      </c>
      <c r="R463" s="21" t="str">
        <f>_xll.RssMarket(A463,"後場始値")</f>
        <v>表示銘柄数超過</v>
      </c>
      <c r="S463" s="25" t="str">
        <f t="shared" si="43"/>
        <v>-</v>
      </c>
      <c r="T463" s="7" t="str">
        <f>_xll.RssMarket(A463,"出来高加重平均")</f>
        <v>表示銘柄数超過</v>
      </c>
      <c r="U463" s="4" t="e">
        <f t="shared" si="44"/>
        <v>#VALUE!</v>
      </c>
      <c r="V463" s="21" t="str">
        <f>_xll.RssMarket(A463,"出来高")</f>
        <v>表示銘柄数超過</v>
      </c>
      <c r="W463" s="21" t="str">
        <f>_xll.RssMarket(A463,"売買代金")</f>
        <v>表示銘柄数超過</v>
      </c>
      <c r="X463" s="20" t="str">
        <f>_xll.RssMarket(A463,"決算発表日")</f>
        <v>表示銘柄数超過</v>
      </c>
      <c r="Y463" s="26" t="str">
        <f>IF(C463&gt;_xll.RssMarket(A463,"年初来高値"),"○","×")</f>
        <v>×</v>
      </c>
      <c r="Z463" s="27" t="str">
        <f>IF(C463&lt;=_xll.RssMarket(A463,"年初来安値"),"○","×")</f>
        <v>○</v>
      </c>
    </row>
    <row r="464" spans="1:26" x14ac:dyDescent="0.25">
      <c r="A464" s="47">
        <v>4436</v>
      </c>
      <c r="B464" s="20" t="str">
        <f>_xll.RssMarket(A464,"銘柄名称")</f>
        <v>表示銘柄数超過</v>
      </c>
      <c r="C464" s="21" t="str">
        <f>_xll.RssMarket(A464,"現在値")</f>
        <v>表示銘柄数超過</v>
      </c>
      <c r="D464" s="20" t="str">
        <f>_xll.RssMarket(A464,"現在値詳細時刻")</f>
        <v>表示銘柄数超過</v>
      </c>
      <c r="E464" s="22" t="str">
        <f>_xll.RssMarket(A464,"前日比")</f>
        <v>表示銘柄数超過</v>
      </c>
      <c r="F464" s="23" t="e">
        <f>_xll.RssMarket(A464,"前日比率")/100</f>
        <v>#VALUE!</v>
      </c>
      <c r="G464" s="24" t="str">
        <f>IFERROR(VLOOKUP(A464,取得元!$A$2:$F$501,2,FALSE),"-")</f>
        <v>-</v>
      </c>
      <c r="H464" s="24" t="str">
        <f>IFERROR(VLOOKUP(A464,取得元!$A$2:$F$501,3,FALSE),"-")</f>
        <v>-</v>
      </c>
      <c r="I464" s="24" t="str">
        <f>IFERROR(VLOOKUP(A464,取得元!$A$2:$F$501,4,FALSE),"-")</f>
        <v>-</v>
      </c>
      <c r="J464" s="5" t="str">
        <f>IFERROR(VLOOKUP(A464,取得元!$A$2:$F$501,5,FALSE),"-")</f>
        <v>-</v>
      </c>
      <c r="K464" s="25" t="str">
        <f>IFERROR(VLOOKUP(A464,取得元!$A$2:$F$501,6,FALSE)/100,"-")</f>
        <v>-</v>
      </c>
      <c r="L464" s="21" t="str">
        <f>_xll.RssMarket(A464,"始値")</f>
        <v>表示銘柄数超過</v>
      </c>
      <c r="M464" s="4" t="e">
        <f t="shared" si="40"/>
        <v>#VALUE!</v>
      </c>
      <c r="N464" s="21" t="str">
        <f>_xll.RssMarket(A464,"高値")</f>
        <v>表示銘柄数超過</v>
      </c>
      <c r="O464" s="4" t="e">
        <f t="shared" si="41"/>
        <v>#VALUE!</v>
      </c>
      <c r="P464" s="21" t="str">
        <f>_xll.RssMarket(A464,"安値")</f>
        <v>表示銘柄数超過</v>
      </c>
      <c r="Q464" s="4" t="e">
        <f t="shared" si="42"/>
        <v>#VALUE!</v>
      </c>
      <c r="R464" s="21" t="str">
        <f>_xll.RssMarket(A464,"後場始値")</f>
        <v>表示銘柄数超過</v>
      </c>
      <c r="S464" s="25" t="str">
        <f t="shared" si="43"/>
        <v>-</v>
      </c>
      <c r="T464" s="7" t="str">
        <f>_xll.RssMarket(A464,"出来高加重平均")</f>
        <v>表示銘柄数超過</v>
      </c>
      <c r="U464" s="4" t="e">
        <f t="shared" si="44"/>
        <v>#VALUE!</v>
      </c>
      <c r="V464" s="21" t="str">
        <f>_xll.RssMarket(A464,"出来高")</f>
        <v>表示銘柄数超過</v>
      </c>
      <c r="W464" s="21" t="str">
        <f>_xll.RssMarket(A464,"売買代金")</f>
        <v>表示銘柄数超過</v>
      </c>
      <c r="X464" s="20" t="str">
        <f>_xll.RssMarket(A464,"決算発表日")</f>
        <v>表示銘柄数超過</v>
      </c>
      <c r="Y464" s="26" t="str">
        <f>IF(C464&gt;_xll.RssMarket(A464,"年初来高値"),"○","×")</f>
        <v>×</v>
      </c>
      <c r="Z464" s="27" t="str">
        <f>IF(C464&lt;=_xll.RssMarket(A464,"年初来安値"),"○","×")</f>
        <v>○</v>
      </c>
    </row>
    <row r="465" spans="1:26" x14ac:dyDescent="0.25">
      <c r="A465" s="49">
        <v>4438</v>
      </c>
      <c r="B465" s="20" t="str">
        <f>_xll.RssMarket(A465,"銘柄名称")</f>
        <v>表示銘柄数超過</v>
      </c>
      <c r="C465" s="21" t="str">
        <f>_xll.RssMarket(A465,"現在値")</f>
        <v>表示銘柄数超過</v>
      </c>
      <c r="D465" s="20" t="str">
        <f>_xll.RssMarket(A465,"現在値詳細時刻")</f>
        <v>表示銘柄数超過</v>
      </c>
      <c r="E465" s="22" t="str">
        <f>_xll.RssMarket(A465,"前日比")</f>
        <v>表示銘柄数超過</v>
      </c>
      <c r="F465" s="23" t="e">
        <f>_xll.RssMarket(A465,"前日比率")/100</f>
        <v>#VALUE!</v>
      </c>
      <c r="G465" s="24" t="str">
        <f>IFERROR(VLOOKUP(A465,取得元!$A$2:$F$501,2,FALSE),"-")</f>
        <v>-</v>
      </c>
      <c r="H465" s="24" t="str">
        <f>IFERROR(VLOOKUP(A465,取得元!$A$2:$F$501,3,FALSE),"-")</f>
        <v>-</v>
      </c>
      <c r="I465" s="24" t="str">
        <f>IFERROR(VLOOKUP(A465,取得元!$A$2:$F$501,4,FALSE),"-")</f>
        <v>-</v>
      </c>
      <c r="J465" s="5" t="str">
        <f>IFERROR(VLOOKUP(A465,取得元!$A$2:$F$501,5,FALSE),"-")</f>
        <v>-</v>
      </c>
      <c r="K465" s="25" t="str">
        <f>IFERROR(VLOOKUP(A465,取得元!$A$2:$F$501,6,FALSE)/100,"-")</f>
        <v>-</v>
      </c>
      <c r="L465" s="21" t="str">
        <f>_xll.RssMarket(A465,"始値")</f>
        <v>表示銘柄数超過</v>
      </c>
      <c r="M465" s="4" t="e">
        <f t="shared" si="40"/>
        <v>#VALUE!</v>
      </c>
      <c r="N465" s="21" t="str">
        <f>_xll.RssMarket(A465,"高値")</f>
        <v>表示銘柄数超過</v>
      </c>
      <c r="O465" s="4" t="e">
        <f t="shared" si="41"/>
        <v>#VALUE!</v>
      </c>
      <c r="P465" s="21" t="str">
        <f>_xll.RssMarket(A465,"安値")</f>
        <v>表示銘柄数超過</v>
      </c>
      <c r="Q465" s="4" t="e">
        <f t="shared" si="42"/>
        <v>#VALUE!</v>
      </c>
      <c r="R465" s="21" t="str">
        <f>_xll.RssMarket(A465,"後場始値")</f>
        <v>表示銘柄数超過</v>
      </c>
      <c r="S465" s="25" t="str">
        <f t="shared" si="43"/>
        <v>-</v>
      </c>
      <c r="T465" s="7" t="str">
        <f>_xll.RssMarket(A465,"出来高加重平均")</f>
        <v>表示銘柄数超過</v>
      </c>
      <c r="U465" s="4" t="e">
        <f t="shared" si="44"/>
        <v>#VALUE!</v>
      </c>
      <c r="V465" s="21" t="str">
        <f>_xll.RssMarket(A465,"出来高")</f>
        <v>表示銘柄数超過</v>
      </c>
      <c r="W465" s="21" t="str">
        <f>_xll.RssMarket(A465,"売買代金")</f>
        <v>表示銘柄数超過</v>
      </c>
      <c r="X465" s="20" t="str">
        <f>_xll.RssMarket(A465,"決算発表日")</f>
        <v>表示銘柄数超過</v>
      </c>
      <c r="Y465" s="26" t="str">
        <f>IF(C465&gt;_xll.RssMarket(A465,"年初来高値"),"○","×")</f>
        <v>×</v>
      </c>
      <c r="Z465" s="27" t="str">
        <f>IF(C465&lt;=_xll.RssMarket(A465,"年初来安値"),"○","×")</f>
        <v>○</v>
      </c>
    </row>
    <row r="466" spans="1:26" x14ac:dyDescent="0.25">
      <c r="A466" s="47">
        <v>4441</v>
      </c>
      <c r="B466" s="20" t="str">
        <f>_xll.RssMarket(A466,"銘柄名称")</f>
        <v>表示銘柄数超過</v>
      </c>
      <c r="C466" s="21" t="str">
        <f>_xll.RssMarket(A466,"現在値")</f>
        <v>表示銘柄数超過</v>
      </c>
      <c r="D466" s="20" t="str">
        <f>_xll.RssMarket(A466,"現在値詳細時刻")</f>
        <v>表示銘柄数超過</v>
      </c>
      <c r="E466" s="22" t="str">
        <f>_xll.RssMarket(A466,"前日比")</f>
        <v>表示銘柄数超過</v>
      </c>
      <c r="F466" s="23" t="e">
        <f>_xll.RssMarket(A466,"前日比率")/100</f>
        <v>#VALUE!</v>
      </c>
      <c r="G466" s="24" t="str">
        <f>IFERROR(VLOOKUP(A466,取得元!$A$2:$F$501,2,FALSE),"-")</f>
        <v>-</v>
      </c>
      <c r="H466" s="24" t="str">
        <f>IFERROR(VLOOKUP(A466,取得元!$A$2:$F$501,3,FALSE),"-")</f>
        <v>-</v>
      </c>
      <c r="I466" s="24" t="str">
        <f>IFERROR(VLOOKUP(A466,取得元!$A$2:$F$501,4,FALSE),"-")</f>
        <v>-</v>
      </c>
      <c r="J466" s="5" t="str">
        <f>IFERROR(VLOOKUP(A466,取得元!$A$2:$F$501,5,FALSE),"-")</f>
        <v>-</v>
      </c>
      <c r="K466" s="25" t="str">
        <f>IFERROR(VLOOKUP(A466,取得元!$A$2:$F$501,6,FALSE)/100,"-")</f>
        <v>-</v>
      </c>
      <c r="L466" s="21" t="str">
        <f>_xll.RssMarket(A466,"始値")</f>
        <v>表示銘柄数超過</v>
      </c>
      <c r="M466" s="4" t="e">
        <f t="shared" si="40"/>
        <v>#VALUE!</v>
      </c>
      <c r="N466" s="21" t="str">
        <f>_xll.RssMarket(A466,"高値")</f>
        <v>表示銘柄数超過</v>
      </c>
      <c r="O466" s="4" t="e">
        <f t="shared" si="41"/>
        <v>#VALUE!</v>
      </c>
      <c r="P466" s="21" t="str">
        <f>_xll.RssMarket(A466,"安値")</f>
        <v>表示銘柄数超過</v>
      </c>
      <c r="Q466" s="4" t="e">
        <f t="shared" si="42"/>
        <v>#VALUE!</v>
      </c>
      <c r="R466" s="21" t="str">
        <f>_xll.RssMarket(A466,"後場始値")</f>
        <v>表示銘柄数超過</v>
      </c>
      <c r="S466" s="25" t="str">
        <f t="shared" si="43"/>
        <v>-</v>
      </c>
      <c r="T466" s="7" t="str">
        <f>_xll.RssMarket(A466,"出来高加重平均")</f>
        <v>表示銘柄数超過</v>
      </c>
      <c r="U466" s="4" t="e">
        <f t="shared" si="44"/>
        <v>#VALUE!</v>
      </c>
      <c r="V466" s="21" t="str">
        <f>_xll.RssMarket(A466,"出来高")</f>
        <v>表示銘柄数超過</v>
      </c>
      <c r="W466" s="21" t="str">
        <f>_xll.RssMarket(A466,"売買代金")</f>
        <v>表示銘柄数超過</v>
      </c>
      <c r="X466" s="20" t="str">
        <f>_xll.RssMarket(A466,"決算発表日")</f>
        <v>表示銘柄数超過</v>
      </c>
      <c r="Y466" s="26" t="str">
        <f>IF(C466&gt;_xll.RssMarket(A466,"年初来高値"),"○","×")</f>
        <v>×</v>
      </c>
      <c r="Z466" s="27" t="str">
        <f>IF(C466&lt;=_xll.RssMarket(A466,"年初来安値"),"○","×")</f>
        <v>○</v>
      </c>
    </row>
    <row r="467" spans="1:26" x14ac:dyDescent="0.25">
      <c r="A467" s="49">
        <v>4444</v>
      </c>
      <c r="B467" s="20" t="str">
        <f>_xll.RssMarket(A467,"銘柄名称")</f>
        <v>表示銘柄数超過</v>
      </c>
      <c r="C467" s="21" t="str">
        <f>_xll.RssMarket(A467,"現在値")</f>
        <v>表示銘柄数超過</v>
      </c>
      <c r="D467" s="20" t="str">
        <f>_xll.RssMarket(A467,"現在値詳細時刻")</f>
        <v>表示銘柄数超過</v>
      </c>
      <c r="E467" s="22" t="str">
        <f>_xll.RssMarket(A467,"前日比")</f>
        <v>表示銘柄数超過</v>
      </c>
      <c r="F467" s="23" t="e">
        <f>_xll.RssMarket(A467,"前日比率")/100</f>
        <v>#VALUE!</v>
      </c>
      <c r="G467" s="24" t="str">
        <f>IFERROR(VLOOKUP(A467,取得元!$A$2:$F$501,2,FALSE),"-")</f>
        <v>-</v>
      </c>
      <c r="H467" s="24" t="str">
        <f>IFERROR(VLOOKUP(A467,取得元!$A$2:$F$501,3,FALSE),"-")</f>
        <v>-</v>
      </c>
      <c r="I467" s="24" t="str">
        <f>IFERROR(VLOOKUP(A467,取得元!$A$2:$F$501,4,FALSE),"-")</f>
        <v>-</v>
      </c>
      <c r="J467" s="5" t="str">
        <f>IFERROR(VLOOKUP(A467,取得元!$A$2:$F$501,5,FALSE),"-")</f>
        <v>-</v>
      </c>
      <c r="K467" s="25" t="str">
        <f>IFERROR(VLOOKUP(A467,取得元!$A$2:$F$501,6,FALSE)/100,"-")</f>
        <v>-</v>
      </c>
      <c r="L467" s="21" t="str">
        <f>_xll.RssMarket(A467,"始値")</f>
        <v>表示銘柄数超過</v>
      </c>
      <c r="M467" s="4" t="e">
        <f t="shared" si="40"/>
        <v>#VALUE!</v>
      </c>
      <c r="N467" s="21" t="str">
        <f>_xll.RssMarket(A467,"高値")</f>
        <v>表示銘柄数超過</v>
      </c>
      <c r="O467" s="4" t="e">
        <f t="shared" si="41"/>
        <v>#VALUE!</v>
      </c>
      <c r="P467" s="21" t="str">
        <f>_xll.RssMarket(A467,"安値")</f>
        <v>表示銘柄数超過</v>
      </c>
      <c r="Q467" s="4" t="e">
        <f t="shared" si="42"/>
        <v>#VALUE!</v>
      </c>
      <c r="R467" s="21" t="str">
        <f>_xll.RssMarket(A467,"後場始値")</f>
        <v>表示銘柄数超過</v>
      </c>
      <c r="S467" s="25" t="str">
        <f t="shared" si="43"/>
        <v>-</v>
      </c>
      <c r="T467" s="7" t="str">
        <f>_xll.RssMarket(A467,"出来高加重平均")</f>
        <v>表示銘柄数超過</v>
      </c>
      <c r="U467" s="4" t="e">
        <f t="shared" si="44"/>
        <v>#VALUE!</v>
      </c>
      <c r="V467" s="21" t="str">
        <f>_xll.RssMarket(A467,"出来高")</f>
        <v>表示銘柄数超過</v>
      </c>
      <c r="W467" s="21" t="str">
        <f>_xll.RssMarket(A467,"売買代金")</f>
        <v>表示銘柄数超過</v>
      </c>
      <c r="X467" s="20" t="str">
        <f>_xll.RssMarket(A467,"決算発表日")</f>
        <v>表示銘柄数超過</v>
      </c>
      <c r="Y467" s="26" t="str">
        <f>IF(C467&gt;_xll.RssMarket(A467,"年初来高値"),"○","×")</f>
        <v>×</v>
      </c>
      <c r="Z467" s="27" t="str">
        <f>IF(C467&lt;=_xll.RssMarket(A467,"年初来安値"),"○","×")</f>
        <v>○</v>
      </c>
    </row>
    <row r="468" spans="1:26" x14ac:dyDescent="0.25">
      <c r="A468" s="47">
        <v>4448</v>
      </c>
      <c r="B468" s="20" t="str">
        <f>_xll.RssMarket(A468,"銘柄名称")</f>
        <v>表示銘柄数超過</v>
      </c>
      <c r="C468" s="21" t="str">
        <f>_xll.RssMarket(A468,"現在値")</f>
        <v>表示銘柄数超過</v>
      </c>
      <c r="D468" s="20" t="str">
        <f>_xll.RssMarket(A468,"現在値詳細時刻")</f>
        <v>表示銘柄数超過</v>
      </c>
      <c r="E468" s="22" t="str">
        <f>_xll.RssMarket(A468,"前日比")</f>
        <v>表示銘柄数超過</v>
      </c>
      <c r="F468" s="23" t="e">
        <f>_xll.RssMarket(A468,"前日比率")/100</f>
        <v>#VALUE!</v>
      </c>
      <c r="G468" s="24" t="str">
        <f>IFERROR(VLOOKUP(A468,取得元!$A$2:$F$501,2,FALSE),"-")</f>
        <v>-</v>
      </c>
      <c r="H468" s="24" t="str">
        <f>IFERROR(VLOOKUP(A468,取得元!$A$2:$F$501,3,FALSE),"-")</f>
        <v>-</v>
      </c>
      <c r="I468" s="24" t="str">
        <f>IFERROR(VLOOKUP(A468,取得元!$A$2:$F$501,4,FALSE),"-")</f>
        <v>-</v>
      </c>
      <c r="J468" s="5" t="str">
        <f>IFERROR(VLOOKUP(A468,取得元!$A$2:$F$501,5,FALSE),"-")</f>
        <v>-</v>
      </c>
      <c r="K468" s="25" t="str">
        <f>IFERROR(VLOOKUP(A468,取得元!$A$2:$F$501,6,FALSE)/100,"-")</f>
        <v>-</v>
      </c>
      <c r="L468" s="21" t="str">
        <f>_xll.RssMarket(A468,"始値")</f>
        <v>表示銘柄数超過</v>
      </c>
      <c r="M468" s="4" t="e">
        <f t="shared" si="40"/>
        <v>#VALUE!</v>
      </c>
      <c r="N468" s="21" t="str">
        <f>_xll.RssMarket(A468,"高値")</f>
        <v>表示銘柄数超過</v>
      </c>
      <c r="O468" s="4" t="e">
        <f t="shared" si="41"/>
        <v>#VALUE!</v>
      </c>
      <c r="P468" s="21" t="str">
        <f>_xll.RssMarket(A468,"安値")</f>
        <v>表示銘柄数超過</v>
      </c>
      <c r="Q468" s="4" t="e">
        <f t="shared" si="42"/>
        <v>#VALUE!</v>
      </c>
      <c r="R468" s="21" t="str">
        <f>_xll.RssMarket(A468,"後場始値")</f>
        <v>表示銘柄数超過</v>
      </c>
      <c r="S468" s="25" t="str">
        <f t="shared" si="43"/>
        <v>-</v>
      </c>
      <c r="T468" s="7" t="str">
        <f>_xll.RssMarket(A468,"出来高加重平均")</f>
        <v>表示銘柄数超過</v>
      </c>
      <c r="U468" s="4" t="e">
        <f t="shared" si="44"/>
        <v>#VALUE!</v>
      </c>
      <c r="V468" s="21" t="str">
        <f>_xll.RssMarket(A468,"出来高")</f>
        <v>表示銘柄数超過</v>
      </c>
      <c r="W468" s="21" t="str">
        <f>_xll.RssMarket(A468,"売買代金")</f>
        <v>表示銘柄数超過</v>
      </c>
      <c r="X468" s="20" t="str">
        <f>_xll.RssMarket(A468,"決算発表日")</f>
        <v>表示銘柄数超過</v>
      </c>
      <c r="Y468" s="26" t="str">
        <f>IF(C468&gt;_xll.RssMarket(A468,"年初来高値"),"○","×")</f>
        <v>×</v>
      </c>
      <c r="Z468" s="27" t="str">
        <f>IF(C468&lt;=_xll.RssMarket(A468,"年初来安値"),"○","×")</f>
        <v>○</v>
      </c>
    </row>
    <row r="469" spans="1:26" x14ac:dyDescent="0.25">
      <c r="A469" s="49">
        <v>4452</v>
      </c>
      <c r="B469" s="20" t="str">
        <f>_xll.RssMarket(A469,"銘柄名称")</f>
        <v>表示銘柄数超過</v>
      </c>
      <c r="C469" s="21" t="str">
        <f>_xll.RssMarket(A469,"現在値")</f>
        <v>表示銘柄数超過</v>
      </c>
      <c r="D469" s="20" t="str">
        <f>_xll.RssMarket(A469,"現在値詳細時刻")</f>
        <v>表示銘柄数超過</v>
      </c>
      <c r="E469" s="22" t="str">
        <f>_xll.RssMarket(A469,"前日比")</f>
        <v>表示銘柄数超過</v>
      </c>
      <c r="F469" s="23" t="e">
        <f>_xll.RssMarket(A469,"前日比率")/100</f>
        <v>#VALUE!</v>
      </c>
      <c r="G469" s="24" t="str">
        <f>IFERROR(VLOOKUP(A469,取得元!$A$2:$F$501,2,FALSE),"-")</f>
        <v>-</v>
      </c>
      <c r="H469" s="24" t="str">
        <f>IFERROR(VLOOKUP(A469,取得元!$A$2:$F$501,3,FALSE),"-")</f>
        <v>-</v>
      </c>
      <c r="I469" s="24" t="str">
        <f>IFERROR(VLOOKUP(A469,取得元!$A$2:$F$501,4,FALSE),"-")</f>
        <v>-</v>
      </c>
      <c r="J469" s="5" t="str">
        <f>IFERROR(VLOOKUP(A469,取得元!$A$2:$F$501,5,FALSE),"-")</f>
        <v>-</v>
      </c>
      <c r="K469" s="25" t="str">
        <f>IFERROR(VLOOKUP(A469,取得元!$A$2:$F$501,6,FALSE)/100,"-")</f>
        <v>-</v>
      </c>
      <c r="L469" s="21" t="str">
        <f>_xll.RssMarket(A469,"始値")</f>
        <v>表示銘柄数超過</v>
      </c>
      <c r="M469" s="4" t="e">
        <f t="shared" si="40"/>
        <v>#VALUE!</v>
      </c>
      <c r="N469" s="21" t="str">
        <f>_xll.RssMarket(A469,"高値")</f>
        <v>表示銘柄数超過</v>
      </c>
      <c r="O469" s="4" t="e">
        <f t="shared" si="41"/>
        <v>#VALUE!</v>
      </c>
      <c r="P469" s="21" t="str">
        <f>_xll.RssMarket(A469,"安値")</f>
        <v>表示銘柄数超過</v>
      </c>
      <c r="Q469" s="4" t="e">
        <f t="shared" si="42"/>
        <v>#VALUE!</v>
      </c>
      <c r="R469" s="21" t="str">
        <f>_xll.RssMarket(A469,"後場始値")</f>
        <v>表示銘柄数超過</v>
      </c>
      <c r="S469" s="25" t="str">
        <f t="shared" si="43"/>
        <v>-</v>
      </c>
      <c r="T469" s="7" t="str">
        <f>_xll.RssMarket(A469,"出来高加重平均")</f>
        <v>表示銘柄数超過</v>
      </c>
      <c r="U469" s="4" t="e">
        <f t="shared" si="44"/>
        <v>#VALUE!</v>
      </c>
      <c r="V469" s="21" t="str">
        <f>_xll.RssMarket(A469,"出来高")</f>
        <v>表示銘柄数超過</v>
      </c>
      <c r="W469" s="21" t="str">
        <f>_xll.RssMarket(A469,"売買代金")</f>
        <v>表示銘柄数超過</v>
      </c>
      <c r="X469" s="20" t="str">
        <f>_xll.RssMarket(A469,"決算発表日")</f>
        <v>表示銘柄数超過</v>
      </c>
      <c r="Y469" s="26" t="str">
        <f>IF(C469&gt;_xll.RssMarket(A469,"年初来高値"),"○","×")</f>
        <v>×</v>
      </c>
      <c r="Z469" s="27" t="str">
        <f>IF(C469&lt;=_xll.RssMarket(A469,"年初来安値"),"○","×")</f>
        <v>○</v>
      </c>
    </row>
    <row r="470" spans="1:26" x14ac:dyDescent="0.25">
      <c r="A470" s="47">
        <v>4631</v>
      </c>
      <c r="B470" s="20" t="str">
        <f>_xll.RssMarket(A470,"銘柄名称")</f>
        <v>表示銘柄数超過</v>
      </c>
      <c r="C470" s="21" t="str">
        <f>_xll.RssMarket(A470,"現在値")</f>
        <v>表示銘柄数超過</v>
      </c>
      <c r="D470" s="20" t="str">
        <f>_xll.RssMarket(A470,"現在値詳細時刻")</f>
        <v>表示銘柄数超過</v>
      </c>
      <c r="E470" s="22" t="str">
        <f>_xll.RssMarket(A470,"前日比")</f>
        <v>表示銘柄数超過</v>
      </c>
      <c r="F470" s="23" t="e">
        <f>_xll.RssMarket(A470,"前日比率")/100</f>
        <v>#VALUE!</v>
      </c>
      <c r="G470" s="24" t="str">
        <f>IFERROR(VLOOKUP(A470,取得元!$A$2:$F$501,2,FALSE),"-")</f>
        <v>-</v>
      </c>
      <c r="H470" s="24" t="str">
        <f>IFERROR(VLOOKUP(A470,取得元!$A$2:$F$501,3,FALSE),"-")</f>
        <v>-</v>
      </c>
      <c r="I470" s="24" t="str">
        <f>IFERROR(VLOOKUP(A470,取得元!$A$2:$F$501,4,FALSE),"-")</f>
        <v>-</v>
      </c>
      <c r="J470" s="5" t="str">
        <f>IFERROR(VLOOKUP(A470,取得元!$A$2:$F$501,5,FALSE),"-")</f>
        <v>-</v>
      </c>
      <c r="K470" s="25" t="str">
        <f>IFERROR(VLOOKUP(A470,取得元!$A$2:$F$501,6,FALSE)/100,"-")</f>
        <v>-</v>
      </c>
      <c r="L470" s="21" t="str">
        <f>_xll.RssMarket(A470,"始値")</f>
        <v>表示銘柄数超過</v>
      </c>
      <c r="M470" s="4" t="e">
        <f t="shared" si="40"/>
        <v>#VALUE!</v>
      </c>
      <c r="N470" s="21" t="str">
        <f>_xll.RssMarket(A470,"高値")</f>
        <v>表示銘柄数超過</v>
      </c>
      <c r="O470" s="4" t="e">
        <f t="shared" si="41"/>
        <v>#VALUE!</v>
      </c>
      <c r="P470" s="21" t="str">
        <f>_xll.RssMarket(A470,"安値")</f>
        <v>表示銘柄数超過</v>
      </c>
      <c r="Q470" s="4" t="e">
        <f t="shared" si="42"/>
        <v>#VALUE!</v>
      </c>
      <c r="R470" s="21" t="str">
        <f>_xll.RssMarket(A470,"後場始値")</f>
        <v>表示銘柄数超過</v>
      </c>
      <c r="S470" s="25" t="str">
        <f t="shared" si="43"/>
        <v>-</v>
      </c>
      <c r="T470" s="7" t="str">
        <f>_xll.RssMarket(A470,"出来高加重平均")</f>
        <v>表示銘柄数超過</v>
      </c>
      <c r="U470" s="4" t="e">
        <f t="shared" si="44"/>
        <v>#VALUE!</v>
      </c>
      <c r="V470" s="21" t="str">
        <f>_xll.RssMarket(A470,"出来高")</f>
        <v>表示銘柄数超過</v>
      </c>
      <c r="W470" s="21" t="str">
        <f>_xll.RssMarket(A470,"売買代金")</f>
        <v>表示銘柄数超過</v>
      </c>
      <c r="X470" s="20" t="str">
        <f>_xll.RssMarket(A470,"決算発表日")</f>
        <v>表示銘柄数超過</v>
      </c>
      <c r="Y470" s="26" t="str">
        <f>IF(C470&gt;_xll.RssMarket(A470,"年初来高値"),"○","×")</f>
        <v>×</v>
      </c>
      <c r="Z470" s="27" t="str">
        <f>IF(C470&lt;=_xll.RssMarket(A470,"年初来安値"),"○","×")</f>
        <v>○</v>
      </c>
    </row>
    <row r="471" spans="1:26" x14ac:dyDescent="0.25">
      <c r="A471" s="49">
        <v>4475</v>
      </c>
      <c r="B471" s="20" t="str">
        <f>_xll.RssMarket(A471,"銘柄名称")</f>
        <v>表示銘柄数超過</v>
      </c>
      <c r="C471" s="21" t="str">
        <f>_xll.RssMarket(A471,"現在値")</f>
        <v>表示銘柄数超過</v>
      </c>
      <c r="D471" s="20" t="str">
        <f>_xll.RssMarket(A471,"現在値詳細時刻")</f>
        <v>表示銘柄数超過</v>
      </c>
      <c r="E471" s="22" t="str">
        <f>_xll.RssMarket(A471,"前日比")</f>
        <v>表示銘柄数超過</v>
      </c>
      <c r="F471" s="23" t="e">
        <f>_xll.RssMarket(A471,"前日比率")/100</f>
        <v>#VALUE!</v>
      </c>
      <c r="G471" s="24" t="str">
        <f>IFERROR(VLOOKUP(A471,取得元!$A$2:$F$501,2,FALSE),"-")</f>
        <v>-</v>
      </c>
      <c r="H471" s="24" t="str">
        <f>IFERROR(VLOOKUP(A471,取得元!$A$2:$F$501,3,FALSE),"-")</f>
        <v>-</v>
      </c>
      <c r="I471" s="24" t="str">
        <f>IFERROR(VLOOKUP(A471,取得元!$A$2:$F$501,4,FALSE),"-")</f>
        <v>-</v>
      </c>
      <c r="J471" s="5" t="str">
        <f>IFERROR(VLOOKUP(A471,取得元!$A$2:$F$501,5,FALSE),"-")</f>
        <v>-</v>
      </c>
      <c r="K471" s="25" t="str">
        <f>IFERROR(VLOOKUP(A471,取得元!$A$2:$F$501,6,FALSE)/100,"-")</f>
        <v>-</v>
      </c>
      <c r="L471" s="21" t="str">
        <f>_xll.RssMarket(A471,"始値")</f>
        <v>表示銘柄数超過</v>
      </c>
      <c r="M471" s="4" t="e">
        <f t="shared" si="40"/>
        <v>#VALUE!</v>
      </c>
      <c r="N471" s="21" t="str">
        <f>_xll.RssMarket(A471,"高値")</f>
        <v>表示銘柄数超過</v>
      </c>
      <c r="O471" s="4" t="e">
        <f t="shared" si="41"/>
        <v>#VALUE!</v>
      </c>
      <c r="P471" s="21" t="str">
        <f>_xll.RssMarket(A471,"安値")</f>
        <v>表示銘柄数超過</v>
      </c>
      <c r="Q471" s="4" t="e">
        <f t="shared" si="42"/>
        <v>#VALUE!</v>
      </c>
      <c r="R471" s="21" t="str">
        <f>_xll.RssMarket(A471,"後場始値")</f>
        <v>表示銘柄数超過</v>
      </c>
      <c r="S471" s="25" t="str">
        <f t="shared" si="43"/>
        <v>-</v>
      </c>
      <c r="T471" s="7" t="str">
        <f>_xll.RssMarket(A471,"出来高加重平均")</f>
        <v>表示銘柄数超過</v>
      </c>
      <c r="U471" s="4" t="e">
        <f t="shared" si="44"/>
        <v>#VALUE!</v>
      </c>
      <c r="V471" s="21" t="str">
        <f>_xll.RssMarket(A471,"出来高")</f>
        <v>表示銘柄数超過</v>
      </c>
      <c r="W471" s="21" t="str">
        <f>_xll.RssMarket(A471,"売買代金")</f>
        <v>表示銘柄数超過</v>
      </c>
      <c r="X471" s="20" t="str">
        <f>_xll.RssMarket(A471,"決算発表日")</f>
        <v>表示銘柄数超過</v>
      </c>
      <c r="Y471" s="26" t="str">
        <f>IF(C471&gt;_xll.RssMarket(A471,"年初来高値"),"○","×")</f>
        <v>×</v>
      </c>
      <c r="Z471" s="27" t="str">
        <f>IF(C471&lt;=_xll.RssMarket(A471,"年初来安値"),"○","×")</f>
        <v>○</v>
      </c>
    </row>
    <row r="472" spans="1:26" x14ac:dyDescent="0.25">
      <c r="A472" s="47">
        <v>4476</v>
      </c>
      <c r="B472" s="20" t="str">
        <f>_xll.RssMarket(A472,"銘柄名称")</f>
        <v>表示銘柄数超過</v>
      </c>
      <c r="C472" s="21" t="str">
        <f>_xll.RssMarket(A472,"現在値")</f>
        <v>表示銘柄数超過</v>
      </c>
      <c r="D472" s="20" t="str">
        <f>_xll.RssMarket(A472,"現在値詳細時刻")</f>
        <v>表示銘柄数超過</v>
      </c>
      <c r="E472" s="22" t="str">
        <f>_xll.RssMarket(A472,"前日比")</f>
        <v>表示銘柄数超過</v>
      </c>
      <c r="F472" s="23" t="e">
        <f>_xll.RssMarket(A472,"前日比率")/100</f>
        <v>#VALUE!</v>
      </c>
      <c r="G472" s="24" t="str">
        <f>IFERROR(VLOOKUP(A472,取得元!$A$2:$F$501,2,FALSE),"-")</f>
        <v>-</v>
      </c>
      <c r="H472" s="24" t="str">
        <f>IFERROR(VLOOKUP(A472,取得元!$A$2:$F$501,3,FALSE),"-")</f>
        <v>-</v>
      </c>
      <c r="I472" s="24" t="str">
        <f>IFERROR(VLOOKUP(A472,取得元!$A$2:$F$501,4,FALSE),"-")</f>
        <v>-</v>
      </c>
      <c r="J472" s="5" t="str">
        <f>IFERROR(VLOOKUP(A472,取得元!$A$2:$F$501,5,FALSE),"-")</f>
        <v>-</v>
      </c>
      <c r="K472" s="25" t="str">
        <f>IFERROR(VLOOKUP(A472,取得元!$A$2:$F$501,6,FALSE)/100,"-")</f>
        <v>-</v>
      </c>
      <c r="L472" s="21" t="str">
        <f>_xll.RssMarket(A472,"始値")</f>
        <v>表示銘柄数超過</v>
      </c>
      <c r="M472" s="4" t="e">
        <f t="shared" si="40"/>
        <v>#VALUE!</v>
      </c>
      <c r="N472" s="21" t="str">
        <f>_xll.RssMarket(A472,"高値")</f>
        <v>表示銘柄数超過</v>
      </c>
      <c r="O472" s="4" t="e">
        <f t="shared" si="41"/>
        <v>#VALUE!</v>
      </c>
      <c r="P472" s="21" t="str">
        <f>_xll.RssMarket(A472,"安値")</f>
        <v>表示銘柄数超過</v>
      </c>
      <c r="Q472" s="4" t="e">
        <f t="shared" si="42"/>
        <v>#VALUE!</v>
      </c>
      <c r="R472" s="21" t="str">
        <f>_xll.RssMarket(A472,"後場始値")</f>
        <v>表示銘柄数超過</v>
      </c>
      <c r="S472" s="25" t="str">
        <f t="shared" si="43"/>
        <v>-</v>
      </c>
      <c r="T472" s="7" t="str">
        <f>_xll.RssMarket(A472,"出来高加重平均")</f>
        <v>表示銘柄数超過</v>
      </c>
      <c r="U472" s="4" t="e">
        <f t="shared" si="44"/>
        <v>#VALUE!</v>
      </c>
      <c r="V472" s="21" t="str">
        <f>_xll.RssMarket(A472,"出来高")</f>
        <v>表示銘柄数超過</v>
      </c>
      <c r="W472" s="21" t="str">
        <f>_xll.RssMarket(A472,"売買代金")</f>
        <v>表示銘柄数超過</v>
      </c>
      <c r="X472" s="20" t="str">
        <f>_xll.RssMarket(A472,"決算発表日")</f>
        <v>表示銘柄数超過</v>
      </c>
      <c r="Y472" s="26" t="str">
        <f>IF(C472&gt;_xll.RssMarket(A472,"年初来高値"),"○","×")</f>
        <v>×</v>
      </c>
      <c r="Z472" s="27" t="str">
        <f>IF(C472&lt;=_xll.RssMarket(A472,"年初来安値"),"○","×")</f>
        <v>○</v>
      </c>
    </row>
    <row r="473" spans="1:26" x14ac:dyDescent="0.25">
      <c r="A473" s="49">
        <v>4477</v>
      </c>
      <c r="B473" s="20" t="str">
        <f>_xll.RssMarket(A473,"銘柄名称")</f>
        <v>表示銘柄数超過</v>
      </c>
      <c r="C473" s="21" t="str">
        <f>_xll.RssMarket(A473,"現在値")</f>
        <v>表示銘柄数超過</v>
      </c>
      <c r="D473" s="20" t="str">
        <f>_xll.RssMarket(A473,"現在値詳細時刻")</f>
        <v>表示銘柄数超過</v>
      </c>
      <c r="E473" s="22" t="str">
        <f>_xll.RssMarket(A473,"前日比")</f>
        <v>表示銘柄数超過</v>
      </c>
      <c r="F473" s="23" t="e">
        <f>_xll.RssMarket(A473,"前日比率")/100</f>
        <v>#VALUE!</v>
      </c>
      <c r="G473" s="24" t="str">
        <f>IFERROR(VLOOKUP(A473,取得元!$A$2:$F$501,2,FALSE),"-")</f>
        <v>-</v>
      </c>
      <c r="H473" s="24" t="str">
        <f>IFERROR(VLOOKUP(A473,取得元!$A$2:$F$501,3,FALSE),"-")</f>
        <v>-</v>
      </c>
      <c r="I473" s="24" t="str">
        <f>IFERROR(VLOOKUP(A473,取得元!$A$2:$F$501,4,FALSE),"-")</f>
        <v>-</v>
      </c>
      <c r="J473" s="5" t="str">
        <f>IFERROR(VLOOKUP(A473,取得元!$A$2:$F$501,5,FALSE),"-")</f>
        <v>-</v>
      </c>
      <c r="K473" s="25" t="str">
        <f>IFERROR(VLOOKUP(A473,取得元!$A$2:$F$501,6,FALSE)/100,"-")</f>
        <v>-</v>
      </c>
      <c r="L473" s="21" t="str">
        <f>_xll.RssMarket(A473,"始値")</f>
        <v>表示銘柄数超過</v>
      </c>
      <c r="M473" s="4" t="e">
        <f t="shared" si="40"/>
        <v>#VALUE!</v>
      </c>
      <c r="N473" s="21" t="str">
        <f>_xll.RssMarket(A473,"高値")</f>
        <v>表示銘柄数超過</v>
      </c>
      <c r="O473" s="4" t="e">
        <f t="shared" si="41"/>
        <v>#VALUE!</v>
      </c>
      <c r="P473" s="21" t="str">
        <f>_xll.RssMarket(A473,"安値")</f>
        <v>表示銘柄数超過</v>
      </c>
      <c r="Q473" s="4" t="e">
        <f t="shared" si="42"/>
        <v>#VALUE!</v>
      </c>
      <c r="R473" s="21" t="str">
        <f>_xll.RssMarket(A473,"後場始値")</f>
        <v>表示銘柄数超過</v>
      </c>
      <c r="S473" s="25" t="str">
        <f t="shared" si="43"/>
        <v>-</v>
      </c>
      <c r="T473" s="7" t="str">
        <f>_xll.RssMarket(A473,"出来高加重平均")</f>
        <v>表示銘柄数超過</v>
      </c>
      <c r="U473" s="4" t="e">
        <f t="shared" si="44"/>
        <v>#VALUE!</v>
      </c>
      <c r="V473" s="21" t="str">
        <f>_xll.RssMarket(A473,"出来高")</f>
        <v>表示銘柄数超過</v>
      </c>
      <c r="W473" s="21" t="str">
        <f>_xll.RssMarket(A473,"売買代金")</f>
        <v>表示銘柄数超過</v>
      </c>
      <c r="X473" s="20" t="str">
        <f>_xll.RssMarket(A473,"決算発表日")</f>
        <v>表示銘柄数超過</v>
      </c>
      <c r="Y473" s="26" t="str">
        <f>IF(C473&gt;_xll.RssMarket(A473,"年初来高値"),"○","×")</f>
        <v>×</v>
      </c>
      <c r="Z473" s="27" t="str">
        <f>IF(C473&lt;=_xll.RssMarket(A473,"年初来安値"),"○","×")</f>
        <v>○</v>
      </c>
    </row>
    <row r="474" spans="1:26" x14ac:dyDescent="0.25">
      <c r="A474" s="47">
        <v>4479</v>
      </c>
      <c r="B474" s="20" t="str">
        <f>_xll.RssMarket(A474,"銘柄名称")</f>
        <v>表示銘柄数超過</v>
      </c>
      <c r="C474" s="21" t="str">
        <f>_xll.RssMarket(A474,"現在値")</f>
        <v>表示銘柄数超過</v>
      </c>
      <c r="D474" s="20" t="str">
        <f>_xll.RssMarket(A474,"現在値詳細時刻")</f>
        <v>表示銘柄数超過</v>
      </c>
      <c r="E474" s="22" t="str">
        <f>_xll.RssMarket(A474,"前日比")</f>
        <v>表示銘柄数超過</v>
      </c>
      <c r="F474" s="23" t="e">
        <f>_xll.RssMarket(A474,"前日比率")/100</f>
        <v>#VALUE!</v>
      </c>
      <c r="G474" s="24" t="str">
        <f>IFERROR(VLOOKUP(A474,取得元!$A$2:$F$501,2,FALSE),"-")</f>
        <v>-</v>
      </c>
      <c r="H474" s="24" t="str">
        <f>IFERROR(VLOOKUP(A474,取得元!$A$2:$F$501,3,FALSE),"-")</f>
        <v>-</v>
      </c>
      <c r="I474" s="24" t="str">
        <f>IFERROR(VLOOKUP(A474,取得元!$A$2:$F$501,4,FALSE),"-")</f>
        <v>-</v>
      </c>
      <c r="J474" s="5" t="str">
        <f>IFERROR(VLOOKUP(A474,取得元!$A$2:$F$501,5,FALSE),"-")</f>
        <v>-</v>
      </c>
      <c r="K474" s="25" t="str">
        <f>IFERROR(VLOOKUP(A474,取得元!$A$2:$F$501,6,FALSE)/100,"-")</f>
        <v>-</v>
      </c>
      <c r="L474" s="21" t="str">
        <f>_xll.RssMarket(A474,"始値")</f>
        <v>表示銘柄数超過</v>
      </c>
      <c r="M474" s="4" t="e">
        <f t="shared" si="40"/>
        <v>#VALUE!</v>
      </c>
      <c r="N474" s="21" t="str">
        <f>_xll.RssMarket(A474,"高値")</f>
        <v>表示銘柄数超過</v>
      </c>
      <c r="O474" s="4" t="e">
        <f t="shared" si="41"/>
        <v>#VALUE!</v>
      </c>
      <c r="P474" s="21" t="str">
        <f>_xll.RssMarket(A474,"安値")</f>
        <v>表示銘柄数超過</v>
      </c>
      <c r="Q474" s="4" t="e">
        <f t="shared" si="42"/>
        <v>#VALUE!</v>
      </c>
      <c r="R474" s="21" t="str">
        <f>_xll.RssMarket(A474,"後場始値")</f>
        <v>表示銘柄数超過</v>
      </c>
      <c r="S474" s="25" t="str">
        <f t="shared" si="43"/>
        <v>-</v>
      </c>
      <c r="T474" s="7" t="str">
        <f>_xll.RssMarket(A474,"出来高加重平均")</f>
        <v>表示銘柄数超過</v>
      </c>
      <c r="U474" s="4" t="e">
        <f t="shared" si="44"/>
        <v>#VALUE!</v>
      </c>
      <c r="V474" s="21" t="str">
        <f>_xll.RssMarket(A474,"出来高")</f>
        <v>表示銘柄数超過</v>
      </c>
      <c r="W474" s="21" t="str">
        <f>_xll.RssMarket(A474,"売買代金")</f>
        <v>表示銘柄数超過</v>
      </c>
      <c r="X474" s="20" t="str">
        <f>_xll.RssMarket(A474,"決算発表日")</f>
        <v>表示銘柄数超過</v>
      </c>
      <c r="Y474" s="26" t="str">
        <f>IF(C474&gt;_xll.RssMarket(A474,"年初来高値"),"○","×")</f>
        <v>×</v>
      </c>
      <c r="Z474" s="27" t="str">
        <f>IF(C474&lt;=_xll.RssMarket(A474,"年初来安値"),"○","×")</f>
        <v>○</v>
      </c>
    </row>
    <row r="475" spans="1:26" x14ac:dyDescent="0.25">
      <c r="A475" s="49">
        <v>4484</v>
      </c>
      <c r="B475" s="20" t="str">
        <f>_xll.RssMarket(A475,"銘柄名称")</f>
        <v>表示銘柄数超過</v>
      </c>
      <c r="C475" s="21" t="str">
        <f>_xll.RssMarket(A475,"現在値")</f>
        <v>表示銘柄数超過</v>
      </c>
      <c r="D475" s="20" t="str">
        <f>_xll.RssMarket(A475,"現在値詳細時刻")</f>
        <v>表示銘柄数超過</v>
      </c>
      <c r="E475" s="22" t="str">
        <f>_xll.RssMarket(A475,"前日比")</f>
        <v>表示銘柄数超過</v>
      </c>
      <c r="F475" s="23" t="e">
        <f>_xll.RssMarket(A475,"前日比率")/100</f>
        <v>#VALUE!</v>
      </c>
      <c r="G475" s="24" t="str">
        <f>IFERROR(VLOOKUP(A475,取得元!$A$2:$F$501,2,FALSE),"-")</f>
        <v>-</v>
      </c>
      <c r="H475" s="24" t="str">
        <f>IFERROR(VLOOKUP(A475,取得元!$A$2:$F$501,3,FALSE),"-")</f>
        <v>-</v>
      </c>
      <c r="I475" s="24" t="str">
        <f>IFERROR(VLOOKUP(A475,取得元!$A$2:$F$501,4,FALSE),"-")</f>
        <v>-</v>
      </c>
      <c r="J475" s="5" t="str">
        <f>IFERROR(VLOOKUP(A475,取得元!$A$2:$F$501,5,FALSE),"-")</f>
        <v>-</v>
      </c>
      <c r="K475" s="25" t="str">
        <f>IFERROR(VLOOKUP(A475,取得元!$A$2:$F$501,6,FALSE)/100,"-")</f>
        <v>-</v>
      </c>
      <c r="L475" s="21" t="str">
        <f>_xll.RssMarket(A475,"始値")</f>
        <v>表示銘柄数超過</v>
      </c>
      <c r="M475" s="4" t="e">
        <f t="shared" si="40"/>
        <v>#VALUE!</v>
      </c>
      <c r="N475" s="21" t="str">
        <f>_xll.RssMarket(A475,"高値")</f>
        <v>表示銘柄数超過</v>
      </c>
      <c r="O475" s="4" t="e">
        <f t="shared" si="41"/>
        <v>#VALUE!</v>
      </c>
      <c r="P475" s="21" t="str">
        <f>_xll.RssMarket(A475,"安値")</f>
        <v>表示銘柄数超過</v>
      </c>
      <c r="Q475" s="4" t="e">
        <f t="shared" si="42"/>
        <v>#VALUE!</v>
      </c>
      <c r="R475" s="21" t="str">
        <f>_xll.RssMarket(A475,"後場始値")</f>
        <v>表示銘柄数超過</v>
      </c>
      <c r="S475" s="25" t="str">
        <f t="shared" si="43"/>
        <v>-</v>
      </c>
      <c r="T475" s="7" t="str">
        <f>_xll.RssMarket(A475,"出来高加重平均")</f>
        <v>表示銘柄数超過</v>
      </c>
      <c r="U475" s="4" t="e">
        <f t="shared" si="44"/>
        <v>#VALUE!</v>
      </c>
      <c r="V475" s="21" t="str">
        <f>_xll.RssMarket(A475,"出来高")</f>
        <v>表示銘柄数超過</v>
      </c>
      <c r="W475" s="21" t="str">
        <f>_xll.RssMarket(A475,"売買代金")</f>
        <v>表示銘柄数超過</v>
      </c>
      <c r="X475" s="20" t="str">
        <f>_xll.RssMarket(A475,"決算発表日")</f>
        <v>表示銘柄数超過</v>
      </c>
      <c r="Y475" s="26" t="str">
        <f>IF(C475&gt;_xll.RssMarket(A475,"年初来高値"),"○","×")</f>
        <v>×</v>
      </c>
      <c r="Z475" s="27" t="str">
        <f>IF(C475&lt;=_xll.RssMarket(A475,"年初来安値"),"○","×")</f>
        <v>○</v>
      </c>
    </row>
    <row r="476" spans="1:26" x14ac:dyDescent="0.25">
      <c r="A476" s="47">
        <v>4487</v>
      </c>
      <c r="B476" s="20" t="str">
        <f>_xll.RssMarket(A476,"銘柄名称")</f>
        <v>表示銘柄数超過</v>
      </c>
      <c r="C476" s="21" t="str">
        <f>_xll.RssMarket(A476,"現在値")</f>
        <v>表示銘柄数超過</v>
      </c>
      <c r="D476" s="20" t="str">
        <f>_xll.RssMarket(A476,"現在値詳細時刻")</f>
        <v>表示銘柄数超過</v>
      </c>
      <c r="E476" s="22" t="str">
        <f>_xll.RssMarket(A476,"前日比")</f>
        <v>表示銘柄数超過</v>
      </c>
      <c r="F476" s="23" t="e">
        <f>_xll.RssMarket(A476,"前日比率")/100</f>
        <v>#VALUE!</v>
      </c>
      <c r="G476" s="24" t="str">
        <f>IFERROR(VLOOKUP(A476,取得元!$A$2:$F$501,2,FALSE),"-")</f>
        <v>-</v>
      </c>
      <c r="H476" s="24" t="str">
        <f>IFERROR(VLOOKUP(A476,取得元!$A$2:$F$501,3,FALSE),"-")</f>
        <v>-</v>
      </c>
      <c r="I476" s="24" t="str">
        <f>IFERROR(VLOOKUP(A476,取得元!$A$2:$F$501,4,FALSE),"-")</f>
        <v>-</v>
      </c>
      <c r="J476" s="5" t="str">
        <f>IFERROR(VLOOKUP(A476,取得元!$A$2:$F$501,5,FALSE),"-")</f>
        <v>-</v>
      </c>
      <c r="K476" s="25" t="str">
        <f>IFERROR(VLOOKUP(A476,取得元!$A$2:$F$501,6,FALSE)/100,"-")</f>
        <v>-</v>
      </c>
      <c r="L476" s="21" t="str">
        <f>_xll.RssMarket(A476,"始値")</f>
        <v>表示銘柄数超過</v>
      </c>
      <c r="M476" s="4" t="e">
        <f t="shared" si="40"/>
        <v>#VALUE!</v>
      </c>
      <c r="N476" s="21" t="str">
        <f>_xll.RssMarket(A476,"高値")</f>
        <v>表示銘柄数超過</v>
      </c>
      <c r="O476" s="4" t="e">
        <f t="shared" si="41"/>
        <v>#VALUE!</v>
      </c>
      <c r="P476" s="21" t="str">
        <f>_xll.RssMarket(A476,"安値")</f>
        <v>表示銘柄数超過</v>
      </c>
      <c r="Q476" s="4" t="e">
        <f t="shared" si="42"/>
        <v>#VALUE!</v>
      </c>
      <c r="R476" s="21" t="str">
        <f>_xll.RssMarket(A476,"後場始値")</f>
        <v>表示銘柄数超過</v>
      </c>
      <c r="S476" s="25" t="str">
        <f t="shared" si="43"/>
        <v>-</v>
      </c>
      <c r="T476" s="7" t="str">
        <f>_xll.RssMarket(A476,"出来高加重平均")</f>
        <v>表示銘柄数超過</v>
      </c>
      <c r="U476" s="4" t="e">
        <f t="shared" si="44"/>
        <v>#VALUE!</v>
      </c>
      <c r="V476" s="21" t="str">
        <f>_xll.RssMarket(A476,"出来高")</f>
        <v>表示銘柄数超過</v>
      </c>
      <c r="W476" s="21" t="str">
        <f>_xll.RssMarket(A476,"売買代金")</f>
        <v>表示銘柄数超過</v>
      </c>
      <c r="X476" s="20" t="str">
        <f>_xll.RssMarket(A476,"決算発表日")</f>
        <v>表示銘柄数超過</v>
      </c>
      <c r="Y476" s="26" t="str">
        <f>IF(C476&gt;_xll.RssMarket(A476,"年初来高値"),"○","×")</f>
        <v>×</v>
      </c>
      <c r="Z476" s="27" t="str">
        <f>IF(C476&lt;=_xll.RssMarket(A476,"年初来安値"),"○","×")</f>
        <v>○</v>
      </c>
    </row>
    <row r="477" spans="1:26" x14ac:dyDescent="0.25">
      <c r="A477" s="49">
        <v>4492</v>
      </c>
      <c r="B477" s="20" t="str">
        <f>_xll.RssMarket(A477,"銘柄名称")</f>
        <v>表示銘柄数超過</v>
      </c>
      <c r="C477" s="21" t="str">
        <f>_xll.RssMarket(A477,"現在値")</f>
        <v>表示銘柄数超過</v>
      </c>
      <c r="D477" s="20" t="str">
        <f>_xll.RssMarket(A477,"現在値詳細時刻")</f>
        <v>表示銘柄数超過</v>
      </c>
      <c r="E477" s="22" t="str">
        <f>_xll.RssMarket(A477,"前日比")</f>
        <v>表示銘柄数超過</v>
      </c>
      <c r="F477" s="23" t="e">
        <f>_xll.RssMarket(A477,"前日比率")/100</f>
        <v>#VALUE!</v>
      </c>
      <c r="G477" s="24" t="str">
        <f>IFERROR(VLOOKUP(A477,取得元!$A$2:$F$501,2,FALSE),"-")</f>
        <v>-</v>
      </c>
      <c r="H477" s="24" t="str">
        <f>IFERROR(VLOOKUP(A477,取得元!$A$2:$F$501,3,FALSE),"-")</f>
        <v>-</v>
      </c>
      <c r="I477" s="24" t="str">
        <f>IFERROR(VLOOKUP(A477,取得元!$A$2:$F$501,4,FALSE),"-")</f>
        <v>-</v>
      </c>
      <c r="J477" s="5" t="str">
        <f>IFERROR(VLOOKUP(A477,取得元!$A$2:$F$501,5,FALSE),"-")</f>
        <v>-</v>
      </c>
      <c r="K477" s="25" t="str">
        <f>IFERROR(VLOOKUP(A477,取得元!$A$2:$F$501,6,FALSE)/100,"-")</f>
        <v>-</v>
      </c>
      <c r="L477" s="21" t="str">
        <f>_xll.RssMarket(A477,"始値")</f>
        <v>表示銘柄数超過</v>
      </c>
      <c r="M477" s="4" t="e">
        <f t="shared" si="40"/>
        <v>#VALUE!</v>
      </c>
      <c r="N477" s="21" t="str">
        <f>_xll.RssMarket(A477,"高値")</f>
        <v>表示銘柄数超過</v>
      </c>
      <c r="O477" s="4" t="e">
        <f t="shared" si="41"/>
        <v>#VALUE!</v>
      </c>
      <c r="P477" s="21" t="str">
        <f>_xll.RssMarket(A477,"安値")</f>
        <v>表示銘柄数超過</v>
      </c>
      <c r="Q477" s="4" t="e">
        <f t="shared" si="42"/>
        <v>#VALUE!</v>
      </c>
      <c r="R477" s="21" t="str">
        <f>_xll.RssMarket(A477,"後場始値")</f>
        <v>表示銘柄数超過</v>
      </c>
      <c r="S477" s="25" t="str">
        <f t="shared" si="43"/>
        <v>-</v>
      </c>
      <c r="T477" s="7" t="str">
        <f>_xll.RssMarket(A477,"出来高加重平均")</f>
        <v>表示銘柄数超過</v>
      </c>
      <c r="U477" s="4" t="e">
        <f t="shared" si="44"/>
        <v>#VALUE!</v>
      </c>
      <c r="V477" s="21" t="str">
        <f>_xll.RssMarket(A477,"出来高")</f>
        <v>表示銘柄数超過</v>
      </c>
      <c r="W477" s="21" t="str">
        <f>_xll.RssMarket(A477,"売買代金")</f>
        <v>表示銘柄数超過</v>
      </c>
      <c r="X477" s="20" t="str">
        <f>_xll.RssMarket(A477,"決算発表日")</f>
        <v>表示銘柄数超過</v>
      </c>
      <c r="Y477" s="26" t="str">
        <f>IF(C477&gt;_xll.RssMarket(A477,"年初来高値"),"○","×")</f>
        <v>×</v>
      </c>
      <c r="Z477" s="27" t="str">
        <f>IF(C477&lt;=_xll.RssMarket(A477,"年初来安値"),"○","×")</f>
        <v>○</v>
      </c>
    </row>
    <row r="478" spans="1:26" x14ac:dyDescent="0.25">
      <c r="A478" s="47">
        <v>4495</v>
      </c>
      <c r="B478" s="20" t="str">
        <f>_xll.RssMarket(A478,"銘柄名称")</f>
        <v>表示銘柄数超過</v>
      </c>
      <c r="C478" s="21" t="str">
        <f>_xll.RssMarket(A478,"現在値")</f>
        <v>表示銘柄数超過</v>
      </c>
      <c r="D478" s="20" t="str">
        <f>_xll.RssMarket(A478,"現在値詳細時刻")</f>
        <v>表示銘柄数超過</v>
      </c>
      <c r="E478" s="22" t="str">
        <f>_xll.RssMarket(A478,"前日比")</f>
        <v>表示銘柄数超過</v>
      </c>
      <c r="F478" s="23" t="e">
        <f>_xll.RssMarket(A478,"前日比率")/100</f>
        <v>#VALUE!</v>
      </c>
      <c r="G478" s="24" t="str">
        <f>IFERROR(VLOOKUP(A478,取得元!$A$2:$F$501,2,FALSE),"-")</f>
        <v>-</v>
      </c>
      <c r="H478" s="24" t="str">
        <f>IFERROR(VLOOKUP(A478,取得元!$A$2:$F$501,3,FALSE),"-")</f>
        <v>-</v>
      </c>
      <c r="I478" s="24" t="str">
        <f>IFERROR(VLOOKUP(A478,取得元!$A$2:$F$501,4,FALSE),"-")</f>
        <v>-</v>
      </c>
      <c r="J478" s="5" t="str">
        <f>IFERROR(VLOOKUP(A478,取得元!$A$2:$F$501,5,FALSE),"-")</f>
        <v>-</v>
      </c>
      <c r="K478" s="25" t="str">
        <f>IFERROR(VLOOKUP(A478,取得元!$A$2:$F$501,6,FALSE)/100,"-")</f>
        <v>-</v>
      </c>
      <c r="L478" s="21" t="str">
        <f>_xll.RssMarket(A478,"始値")</f>
        <v>表示銘柄数超過</v>
      </c>
      <c r="M478" s="4" t="e">
        <f t="shared" ref="M478:M505" si="45">C478/L478-1</f>
        <v>#VALUE!</v>
      </c>
      <c r="N478" s="21" t="str">
        <f>_xll.RssMarket(A478,"高値")</f>
        <v>表示銘柄数超過</v>
      </c>
      <c r="O478" s="4" t="e">
        <f t="shared" ref="O478:O505" si="46">C478/N478-1</f>
        <v>#VALUE!</v>
      </c>
      <c r="P478" s="21" t="str">
        <f>_xll.RssMarket(A478,"安値")</f>
        <v>表示銘柄数超過</v>
      </c>
      <c r="Q478" s="4" t="e">
        <f t="shared" ref="Q478:Q505" si="47">C478/P478-1</f>
        <v>#VALUE!</v>
      </c>
      <c r="R478" s="21" t="str">
        <f>_xll.RssMarket(A478,"後場始値")</f>
        <v>表示銘柄数超過</v>
      </c>
      <c r="S478" s="25" t="str">
        <f t="shared" ref="S478:S505" si="48">IFERROR(C478/R478-1,"-")</f>
        <v>-</v>
      </c>
      <c r="T478" s="7" t="str">
        <f>_xll.RssMarket(A478,"出来高加重平均")</f>
        <v>表示銘柄数超過</v>
      </c>
      <c r="U478" s="4" t="e">
        <f t="shared" ref="U478:U505" si="49">C478/T478-1</f>
        <v>#VALUE!</v>
      </c>
      <c r="V478" s="21" t="str">
        <f>_xll.RssMarket(A478,"出来高")</f>
        <v>表示銘柄数超過</v>
      </c>
      <c r="W478" s="21" t="str">
        <f>_xll.RssMarket(A478,"売買代金")</f>
        <v>表示銘柄数超過</v>
      </c>
      <c r="X478" s="20" t="str">
        <f>_xll.RssMarket(A478,"決算発表日")</f>
        <v>表示銘柄数超過</v>
      </c>
      <c r="Y478" s="26" t="str">
        <f>IF(C478&gt;_xll.RssMarket(A478,"年初来高値"),"○","×")</f>
        <v>×</v>
      </c>
      <c r="Z478" s="27" t="str">
        <f>IF(C478&lt;=_xll.RssMarket(A478,"年初来安値"),"○","×")</f>
        <v>○</v>
      </c>
    </row>
    <row r="479" spans="1:26" x14ac:dyDescent="0.25">
      <c r="A479" s="49">
        <v>4503</v>
      </c>
      <c r="B479" s="20" t="str">
        <f>_xll.RssMarket(A479,"銘柄名称")</f>
        <v>表示銘柄数超過</v>
      </c>
      <c r="C479" s="21" t="str">
        <f>_xll.RssMarket(A479,"現在値")</f>
        <v>表示銘柄数超過</v>
      </c>
      <c r="D479" s="20" t="str">
        <f>_xll.RssMarket(A479,"現在値詳細時刻")</f>
        <v>表示銘柄数超過</v>
      </c>
      <c r="E479" s="22" t="str">
        <f>_xll.RssMarket(A479,"前日比")</f>
        <v>表示銘柄数超過</v>
      </c>
      <c r="F479" s="23" t="e">
        <f>_xll.RssMarket(A479,"前日比率")/100</f>
        <v>#VALUE!</v>
      </c>
      <c r="G479" s="24" t="str">
        <f>IFERROR(VLOOKUP(A479,取得元!$A$2:$F$501,2,FALSE),"-")</f>
        <v>-</v>
      </c>
      <c r="H479" s="24" t="str">
        <f>IFERROR(VLOOKUP(A479,取得元!$A$2:$F$501,3,FALSE),"-")</f>
        <v>-</v>
      </c>
      <c r="I479" s="24" t="str">
        <f>IFERROR(VLOOKUP(A479,取得元!$A$2:$F$501,4,FALSE),"-")</f>
        <v>-</v>
      </c>
      <c r="J479" s="5" t="str">
        <f>IFERROR(VLOOKUP(A479,取得元!$A$2:$F$501,5,FALSE),"-")</f>
        <v>-</v>
      </c>
      <c r="K479" s="25" t="str">
        <f>IFERROR(VLOOKUP(A479,取得元!$A$2:$F$501,6,FALSE)/100,"-")</f>
        <v>-</v>
      </c>
      <c r="L479" s="21" t="str">
        <f>_xll.RssMarket(A479,"始値")</f>
        <v>表示銘柄数超過</v>
      </c>
      <c r="M479" s="4" t="e">
        <f t="shared" si="45"/>
        <v>#VALUE!</v>
      </c>
      <c r="N479" s="21" t="str">
        <f>_xll.RssMarket(A479,"高値")</f>
        <v>表示銘柄数超過</v>
      </c>
      <c r="O479" s="4" t="e">
        <f t="shared" si="46"/>
        <v>#VALUE!</v>
      </c>
      <c r="P479" s="21" t="str">
        <f>_xll.RssMarket(A479,"安値")</f>
        <v>表示銘柄数超過</v>
      </c>
      <c r="Q479" s="4" t="e">
        <f t="shared" si="47"/>
        <v>#VALUE!</v>
      </c>
      <c r="R479" s="21" t="str">
        <f>_xll.RssMarket(A479,"後場始値")</f>
        <v>表示銘柄数超過</v>
      </c>
      <c r="S479" s="25" t="str">
        <f t="shared" si="48"/>
        <v>-</v>
      </c>
      <c r="T479" s="7" t="str">
        <f>_xll.RssMarket(A479,"出来高加重平均")</f>
        <v>表示銘柄数超過</v>
      </c>
      <c r="U479" s="4" t="e">
        <f t="shared" si="49"/>
        <v>#VALUE!</v>
      </c>
      <c r="V479" s="21" t="str">
        <f>_xll.RssMarket(A479,"出来高")</f>
        <v>表示銘柄数超過</v>
      </c>
      <c r="W479" s="21" t="str">
        <f>_xll.RssMarket(A479,"売買代金")</f>
        <v>表示銘柄数超過</v>
      </c>
      <c r="X479" s="20" t="str">
        <f>_xll.RssMarket(A479,"決算発表日")</f>
        <v>表示銘柄数超過</v>
      </c>
      <c r="Y479" s="26" t="str">
        <f>IF(C479&gt;_xll.RssMarket(A479,"年初来高値"),"○","×")</f>
        <v>×</v>
      </c>
      <c r="Z479" s="27" t="str">
        <f>IF(C479&lt;=_xll.RssMarket(A479,"年初来安値"),"○","×")</f>
        <v>○</v>
      </c>
    </row>
    <row r="480" spans="1:26" x14ac:dyDescent="0.25">
      <c r="A480" s="47">
        <v>4506</v>
      </c>
      <c r="B480" s="20" t="str">
        <f>_xll.RssMarket(A480,"銘柄名称")</f>
        <v>住友ファーマ</v>
      </c>
      <c r="C480" s="21">
        <f>_xll.RssMarket(A480,"現在値")</f>
        <v>345</v>
      </c>
      <c r="D480" s="20" t="str">
        <f>_xll.RssMarket(A480,"現在値詳細時刻")</f>
        <v>15:00:00</v>
      </c>
      <c r="E480" s="22">
        <f>_xll.RssMarket(A480,"前日比")</f>
        <v>13</v>
      </c>
      <c r="F480" s="23">
        <f>_xll.RssMarket(A480,"前日比率")/100</f>
        <v>3.9199999999999999E-2</v>
      </c>
      <c r="G480" s="24">
        <f>IFERROR(VLOOKUP(A480,取得元!$A$2:$F$501,2,FALSE),"-")</f>
        <v>1</v>
      </c>
      <c r="H480" s="24">
        <f>IFERROR(VLOOKUP(A480,取得元!$A$2:$F$501,3,FALSE),"-")</f>
        <v>542</v>
      </c>
      <c r="I480" s="24">
        <f>IFERROR(VLOOKUP(A480,取得元!$A$2:$F$501,4,FALSE),"-")</f>
        <v>345</v>
      </c>
      <c r="J480" s="5">
        <f>IFERROR(VLOOKUP(A480,取得元!$A$2:$F$501,5,FALSE),"-")</f>
        <v>-197</v>
      </c>
      <c r="K480" s="25">
        <f>IFERROR(VLOOKUP(A480,取得元!$A$2:$F$501,6,FALSE)/100,"-")</f>
        <v>-0.36346863000000001</v>
      </c>
      <c r="L480" s="21">
        <f>_xll.RssMarket(A480,"始値")</f>
        <v>332</v>
      </c>
      <c r="M480" s="4">
        <f t="shared" si="45"/>
        <v>3.9156626506024139E-2</v>
      </c>
      <c r="N480" s="21">
        <f>_xll.RssMarket(A480,"高値")</f>
        <v>349</v>
      </c>
      <c r="O480" s="4">
        <f t="shared" si="46"/>
        <v>-1.1461318051575908E-2</v>
      </c>
      <c r="P480" s="21">
        <f>_xll.RssMarket(A480,"安値")</f>
        <v>332</v>
      </c>
      <c r="Q480" s="4">
        <f t="shared" si="47"/>
        <v>3.9156626506024139E-2</v>
      </c>
      <c r="R480" s="21">
        <f>_xll.RssMarket(A480,"後場始値")</f>
        <v>341</v>
      </c>
      <c r="S480" s="25">
        <f t="shared" si="48"/>
        <v>1.1730205278592365E-2</v>
      </c>
      <c r="T480" s="7">
        <f>_xll.RssMarket(A480,"出来高加重平均")</f>
        <v>340.94130000000001</v>
      </c>
      <c r="U480" s="4">
        <f t="shared" si="49"/>
        <v>1.190439527273468E-2</v>
      </c>
      <c r="V480" s="21">
        <f>_xll.RssMarket(A480,"出来高")</f>
        <v>5676800</v>
      </c>
      <c r="W480" s="21">
        <f>_xll.RssMarket(A480,"売買代金")</f>
        <v>1935456</v>
      </c>
      <c r="X480" s="20" t="str">
        <f>_xll.RssMarket(A480,"決算発表日")</f>
        <v>2024/01/31</v>
      </c>
      <c r="Y480" s="26" t="str">
        <f>IF(C480&gt;_xll.RssMarket(A480,"年初来高値"),"○","×")</f>
        <v>×</v>
      </c>
      <c r="Z480" s="27" t="str">
        <f>IF(C480&lt;=_xll.RssMarket(A480,"年初来安値"),"○","×")</f>
        <v>×</v>
      </c>
    </row>
    <row r="481" spans="1:26" x14ac:dyDescent="0.25">
      <c r="A481" s="49">
        <v>4507</v>
      </c>
      <c r="B481" s="20" t="str">
        <f>_xll.RssMarket(A481,"銘柄名称")</f>
        <v>表示銘柄数超過</v>
      </c>
      <c r="C481" s="21" t="str">
        <f>_xll.RssMarket(A481,"現在値")</f>
        <v>表示銘柄数超過</v>
      </c>
      <c r="D481" s="20" t="str">
        <f>_xll.RssMarket(A481,"現在値詳細時刻")</f>
        <v>表示銘柄数超過</v>
      </c>
      <c r="E481" s="22" t="str">
        <f>_xll.RssMarket(A481,"前日比")</f>
        <v>表示銘柄数超過</v>
      </c>
      <c r="F481" s="23" t="e">
        <f>_xll.RssMarket(A481,"前日比率")/100</f>
        <v>#VALUE!</v>
      </c>
      <c r="G481" s="24" t="str">
        <f>IFERROR(VLOOKUP(A481,取得元!$A$2:$F$501,2,FALSE),"-")</f>
        <v>-</v>
      </c>
      <c r="H481" s="24" t="str">
        <f>IFERROR(VLOOKUP(A481,取得元!$A$2:$F$501,3,FALSE),"-")</f>
        <v>-</v>
      </c>
      <c r="I481" s="24" t="str">
        <f>IFERROR(VLOOKUP(A481,取得元!$A$2:$F$501,4,FALSE),"-")</f>
        <v>-</v>
      </c>
      <c r="J481" s="5" t="str">
        <f>IFERROR(VLOOKUP(A481,取得元!$A$2:$F$501,5,FALSE),"-")</f>
        <v>-</v>
      </c>
      <c r="K481" s="25" t="str">
        <f>IFERROR(VLOOKUP(A481,取得元!$A$2:$F$501,6,FALSE)/100,"-")</f>
        <v>-</v>
      </c>
      <c r="L481" s="21" t="str">
        <f>_xll.RssMarket(A481,"始値")</f>
        <v>表示銘柄数超過</v>
      </c>
      <c r="M481" s="4" t="e">
        <f t="shared" si="45"/>
        <v>#VALUE!</v>
      </c>
      <c r="N481" s="21" t="str">
        <f>_xll.RssMarket(A481,"高値")</f>
        <v>表示銘柄数超過</v>
      </c>
      <c r="O481" s="4" t="e">
        <f t="shared" si="46"/>
        <v>#VALUE!</v>
      </c>
      <c r="P481" s="21" t="str">
        <f>_xll.RssMarket(A481,"安値")</f>
        <v>表示銘柄数超過</v>
      </c>
      <c r="Q481" s="4" t="e">
        <f t="shared" si="47"/>
        <v>#VALUE!</v>
      </c>
      <c r="R481" s="21" t="str">
        <f>_xll.RssMarket(A481,"後場始値")</f>
        <v>表示銘柄数超過</v>
      </c>
      <c r="S481" s="25" t="str">
        <f t="shared" si="48"/>
        <v>-</v>
      </c>
      <c r="T481" s="7" t="str">
        <f>_xll.RssMarket(A481,"出来高加重平均")</f>
        <v>表示銘柄数超過</v>
      </c>
      <c r="U481" s="4" t="e">
        <f t="shared" si="49"/>
        <v>#VALUE!</v>
      </c>
      <c r="V481" s="21" t="str">
        <f>_xll.RssMarket(A481,"出来高")</f>
        <v>表示銘柄数超過</v>
      </c>
      <c r="W481" s="21" t="str">
        <f>_xll.RssMarket(A481,"売買代金")</f>
        <v>表示銘柄数超過</v>
      </c>
      <c r="X481" s="20" t="str">
        <f>_xll.RssMarket(A481,"決算発表日")</f>
        <v>表示銘柄数超過</v>
      </c>
      <c r="Y481" s="26" t="str">
        <f>IF(C481&gt;_xll.RssMarket(A481,"年初来高値"),"○","×")</f>
        <v>×</v>
      </c>
      <c r="Z481" s="27" t="str">
        <f>IF(C481&lt;=_xll.RssMarket(A481,"年初来安値"),"○","×")</f>
        <v>○</v>
      </c>
    </row>
    <row r="482" spans="1:26" x14ac:dyDescent="0.25">
      <c r="A482" s="47">
        <v>4523</v>
      </c>
      <c r="B482" s="20" t="str">
        <f>_xll.RssMarket(A482,"銘柄名称")</f>
        <v>表示銘柄数超過</v>
      </c>
      <c r="C482" s="21" t="str">
        <f>_xll.RssMarket(A482,"現在値")</f>
        <v>表示銘柄数超過</v>
      </c>
      <c r="D482" s="20" t="str">
        <f>_xll.RssMarket(A482,"現在値詳細時刻")</f>
        <v>表示銘柄数超過</v>
      </c>
      <c r="E482" s="22" t="str">
        <f>_xll.RssMarket(A482,"前日比")</f>
        <v>表示銘柄数超過</v>
      </c>
      <c r="F482" s="23" t="e">
        <f>_xll.RssMarket(A482,"前日比率")/100</f>
        <v>#VALUE!</v>
      </c>
      <c r="G482" s="24" t="str">
        <f>IFERROR(VLOOKUP(A482,取得元!$A$2:$F$501,2,FALSE),"-")</f>
        <v>-</v>
      </c>
      <c r="H482" s="24" t="str">
        <f>IFERROR(VLOOKUP(A482,取得元!$A$2:$F$501,3,FALSE),"-")</f>
        <v>-</v>
      </c>
      <c r="I482" s="24" t="str">
        <f>IFERROR(VLOOKUP(A482,取得元!$A$2:$F$501,4,FALSE),"-")</f>
        <v>-</v>
      </c>
      <c r="J482" s="5" t="str">
        <f>IFERROR(VLOOKUP(A482,取得元!$A$2:$F$501,5,FALSE),"-")</f>
        <v>-</v>
      </c>
      <c r="K482" s="25" t="str">
        <f>IFERROR(VLOOKUP(A482,取得元!$A$2:$F$501,6,FALSE)/100,"-")</f>
        <v>-</v>
      </c>
      <c r="L482" s="21" t="str">
        <f>_xll.RssMarket(A482,"始値")</f>
        <v>表示銘柄数超過</v>
      </c>
      <c r="M482" s="4" t="e">
        <f t="shared" si="45"/>
        <v>#VALUE!</v>
      </c>
      <c r="N482" s="21" t="str">
        <f>_xll.RssMarket(A482,"高値")</f>
        <v>表示銘柄数超過</v>
      </c>
      <c r="O482" s="4" t="e">
        <f t="shared" si="46"/>
        <v>#VALUE!</v>
      </c>
      <c r="P482" s="21" t="str">
        <f>_xll.RssMarket(A482,"安値")</f>
        <v>表示銘柄数超過</v>
      </c>
      <c r="Q482" s="4" t="e">
        <f t="shared" si="47"/>
        <v>#VALUE!</v>
      </c>
      <c r="R482" s="21" t="str">
        <f>_xll.RssMarket(A482,"後場始値")</f>
        <v>表示銘柄数超過</v>
      </c>
      <c r="S482" s="25" t="str">
        <f t="shared" si="48"/>
        <v>-</v>
      </c>
      <c r="T482" s="7" t="str">
        <f>_xll.RssMarket(A482,"出来高加重平均")</f>
        <v>表示銘柄数超過</v>
      </c>
      <c r="U482" s="4" t="e">
        <f t="shared" si="49"/>
        <v>#VALUE!</v>
      </c>
      <c r="V482" s="21" t="str">
        <f>_xll.RssMarket(A482,"出来高")</f>
        <v>表示銘柄数超過</v>
      </c>
      <c r="W482" s="21" t="str">
        <f>_xll.RssMarket(A482,"売買代金")</f>
        <v>表示銘柄数超過</v>
      </c>
      <c r="X482" s="20" t="str">
        <f>_xll.RssMarket(A482,"決算発表日")</f>
        <v>表示銘柄数超過</v>
      </c>
      <c r="Y482" s="26" t="str">
        <f>IF(C482&gt;_xll.RssMarket(A482,"年初来高値"),"○","×")</f>
        <v>×</v>
      </c>
      <c r="Z482" s="27" t="str">
        <f>IF(C482&lt;=_xll.RssMarket(A482,"年初来安値"),"○","×")</f>
        <v>○</v>
      </c>
    </row>
    <row r="483" spans="1:26" x14ac:dyDescent="0.25">
      <c r="A483" s="49">
        <v>4531</v>
      </c>
      <c r="B483" s="20" t="str">
        <f>_xll.RssMarket(A483,"銘柄名称")</f>
        <v>表示銘柄数超過</v>
      </c>
      <c r="C483" s="21" t="str">
        <f>_xll.RssMarket(A483,"現在値")</f>
        <v>表示銘柄数超過</v>
      </c>
      <c r="D483" s="20" t="str">
        <f>_xll.RssMarket(A483,"現在値詳細時刻")</f>
        <v>表示銘柄数超過</v>
      </c>
      <c r="E483" s="22" t="str">
        <f>_xll.RssMarket(A483,"前日比")</f>
        <v>表示銘柄数超過</v>
      </c>
      <c r="F483" s="23" t="e">
        <f>_xll.RssMarket(A483,"前日比率")/100</f>
        <v>#VALUE!</v>
      </c>
      <c r="G483" s="24" t="str">
        <f>IFERROR(VLOOKUP(A483,取得元!$A$2:$F$501,2,FALSE),"-")</f>
        <v>-</v>
      </c>
      <c r="H483" s="24" t="str">
        <f>IFERROR(VLOOKUP(A483,取得元!$A$2:$F$501,3,FALSE),"-")</f>
        <v>-</v>
      </c>
      <c r="I483" s="24" t="str">
        <f>IFERROR(VLOOKUP(A483,取得元!$A$2:$F$501,4,FALSE),"-")</f>
        <v>-</v>
      </c>
      <c r="J483" s="5" t="str">
        <f>IFERROR(VLOOKUP(A483,取得元!$A$2:$F$501,5,FALSE),"-")</f>
        <v>-</v>
      </c>
      <c r="K483" s="25" t="str">
        <f>IFERROR(VLOOKUP(A483,取得元!$A$2:$F$501,6,FALSE)/100,"-")</f>
        <v>-</v>
      </c>
      <c r="L483" s="21" t="str">
        <f>_xll.RssMarket(A483,"始値")</f>
        <v>表示銘柄数超過</v>
      </c>
      <c r="M483" s="4" t="e">
        <f t="shared" si="45"/>
        <v>#VALUE!</v>
      </c>
      <c r="N483" s="21" t="str">
        <f>_xll.RssMarket(A483,"高値")</f>
        <v>表示銘柄数超過</v>
      </c>
      <c r="O483" s="4" t="e">
        <f t="shared" si="46"/>
        <v>#VALUE!</v>
      </c>
      <c r="P483" s="21" t="str">
        <f>_xll.RssMarket(A483,"安値")</f>
        <v>表示銘柄数超過</v>
      </c>
      <c r="Q483" s="4" t="e">
        <f t="shared" si="47"/>
        <v>#VALUE!</v>
      </c>
      <c r="R483" s="21" t="str">
        <f>_xll.RssMarket(A483,"後場始値")</f>
        <v>表示銘柄数超過</v>
      </c>
      <c r="S483" s="25" t="str">
        <f t="shared" si="48"/>
        <v>-</v>
      </c>
      <c r="T483" s="7" t="str">
        <f>_xll.RssMarket(A483,"出来高加重平均")</f>
        <v>表示銘柄数超過</v>
      </c>
      <c r="U483" s="4" t="e">
        <f t="shared" si="49"/>
        <v>#VALUE!</v>
      </c>
      <c r="V483" s="21" t="str">
        <f>_xll.RssMarket(A483,"出来高")</f>
        <v>表示銘柄数超過</v>
      </c>
      <c r="W483" s="21" t="str">
        <f>_xll.RssMarket(A483,"売買代金")</f>
        <v>表示銘柄数超過</v>
      </c>
      <c r="X483" s="20" t="str">
        <f>_xll.RssMarket(A483,"決算発表日")</f>
        <v>表示銘柄数超過</v>
      </c>
      <c r="Y483" s="26" t="str">
        <f>IF(C483&gt;_xll.RssMarket(A483,"年初来高値"),"○","×")</f>
        <v>×</v>
      </c>
      <c r="Z483" s="27" t="str">
        <f>IF(C483&lt;=_xll.RssMarket(A483,"年初来安値"),"○","×")</f>
        <v>○</v>
      </c>
    </row>
    <row r="484" spans="1:26" x14ac:dyDescent="0.25">
      <c r="A484" s="47">
        <v>4554</v>
      </c>
      <c r="B484" s="20" t="str">
        <f>_xll.RssMarket(A484,"銘柄名称")</f>
        <v>表示銘柄数超過</v>
      </c>
      <c r="C484" s="21" t="str">
        <f>_xll.RssMarket(A484,"現在値")</f>
        <v>表示銘柄数超過</v>
      </c>
      <c r="D484" s="20" t="str">
        <f>_xll.RssMarket(A484,"現在値詳細時刻")</f>
        <v>表示銘柄数超過</v>
      </c>
      <c r="E484" s="22" t="str">
        <f>_xll.RssMarket(A484,"前日比")</f>
        <v>表示銘柄数超過</v>
      </c>
      <c r="F484" s="23" t="e">
        <f>_xll.RssMarket(A484,"前日比率")/100</f>
        <v>#VALUE!</v>
      </c>
      <c r="G484" s="24" t="str">
        <f>IFERROR(VLOOKUP(A484,取得元!$A$2:$F$501,2,FALSE),"-")</f>
        <v>-</v>
      </c>
      <c r="H484" s="24" t="str">
        <f>IFERROR(VLOOKUP(A484,取得元!$A$2:$F$501,3,FALSE),"-")</f>
        <v>-</v>
      </c>
      <c r="I484" s="24" t="str">
        <f>IFERROR(VLOOKUP(A484,取得元!$A$2:$F$501,4,FALSE),"-")</f>
        <v>-</v>
      </c>
      <c r="J484" s="5" t="str">
        <f>IFERROR(VLOOKUP(A484,取得元!$A$2:$F$501,5,FALSE),"-")</f>
        <v>-</v>
      </c>
      <c r="K484" s="25" t="str">
        <f>IFERROR(VLOOKUP(A484,取得元!$A$2:$F$501,6,FALSE)/100,"-")</f>
        <v>-</v>
      </c>
      <c r="L484" s="21" t="str">
        <f>_xll.RssMarket(A484,"始値")</f>
        <v>表示銘柄数超過</v>
      </c>
      <c r="M484" s="4" t="e">
        <f t="shared" si="45"/>
        <v>#VALUE!</v>
      </c>
      <c r="N484" s="21" t="str">
        <f>_xll.RssMarket(A484,"高値")</f>
        <v>表示銘柄数超過</v>
      </c>
      <c r="O484" s="4" t="e">
        <f t="shared" si="46"/>
        <v>#VALUE!</v>
      </c>
      <c r="P484" s="21" t="str">
        <f>_xll.RssMarket(A484,"安値")</f>
        <v>表示銘柄数超過</v>
      </c>
      <c r="Q484" s="4" t="e">
        <f t="shared" si="47"/>
        <v>#VALUE!</v>
      </c>
      <c r="R484" s="21" t="str">
        <f>_xll.RssMarket(A484,"後場始値")</f>
        <v>表示銘柄数超過</v>
      </c>
      <c r="S484" s="25" t="str">
        <f t="shared" si="48"/>
        <v>-</v>
      </c>
      <c r="T484" s="7" t="str">
        <f>_xll.RssMarket(A484,"出来高加重平均")</f>
        <v>表示銘柄数超過</v>
      </c>
      <c r="U484" s="4" t="e">
        <f t="shared" si="49"/>
        <v>#VALUE!</v>
      </c>
      <c r="V484" s="21" t="str">
        <f>_xll.RssMarket(A484,"出来高")</f>
        <v>表示銘柄数超過</v>
      </c>
      <c r="W484" s="21" t="str">
        <f>_xll.RssMarket(A484,"売買代金")</f>
        <v>表示銘柄数超過</v>
      </c>
      <c r="X484" s="20" t="str">
        <f>_xll.RssMarket(A484,"決算発表日")</f>
        <v>表示銘柄数超過</v>
      </c>
      <c r="Y484" s="26" t="str">
        <f>IF(C484&gt;_xll.RssMarket(A484,"年初来高値"),"○","×")</f>
        <v>×</v>
      </c>
      <c r="Z484" s="27" t="str">
        <f>IF(C484&lt;=_xll.RssMarket(A484,"年初来安値"),"○","×")</f>
        <v>○</v>
      </c>
    </row>
    <row r="485" spans="1:26" x14ac:dyDescent="0.25">
      <c r="A485" s="49">
        <v>4558</v>
      </c>
      <c r="B485" s="20" t="str">
        <f>_xll.RssMarket(A485,"銘柄名称")</f>
        <v>表示銘柄数超過</v>
      </c>
      <c r="C485" s="21" t="str">
        <f>_xll.RssMarket(A485,"現在値")</f>
        <v>表示銘柄数超過</v>
      </c>
      <c r="D485" s="20" t="str">
        <f>_xll.RssMarket(A485,"現在値詳細時刻")</f>
        <v>表示銘柄数超過</v>
      </c>
      <c r="E485" s="22" t="str">
        <f>_xll.RssMarket(A485,"前日比")</f>
        <v>表示銘柄数超過</v>
      </c>
      <c r="F485" s="23" t="e">
        <f>_xll.RssMarket(A485,"前日比率")/100</f>
        <v>#VALUE!</v>
      </c>
      <c r="G485" s="24" t="str">
        <f>IFERROR(VLOOKUP(A485,取得元!$A$2:$F$501,2,FALSE),"-")</f>
        <v>-</v>
      </c>
      <c r="H485" s="24" t="str">
        <f>IFERROR(VLOOKUP(A485,取得元!$A$2:$F$501,3,FALSE),"-")</f>
        <v>-</v>
      </c>
      <c r="I485" s="24" t="str">
        <f>IFERROR(VLOOKUP(A485,取得元!$A$2:$F$501,4,FALSE),"-")</f>
        <v>-</v>
      </c>
      <c r="J485" s="5" t="str">
        <f>IFERROR(VLOOKUP(A485,取得元!$A$2:$F$501,5,FALSE),"-")</f>
        <v>-</v>
      </c>
      <c r="K485" s="25" t="str">
        <f>IFERROR(VLOOKUP(A485,取得元!$A$2:$F$501,6,FALSE)/100,"-")</f>
        <v>-</v>
      </c>
      <c r="L485" s="21" t="str">
        <f>_xll.RssMarket(A485,"始値")</f>
        <v>表示銘柄数超過</v>
      </c>
      <c r="M485" s="4" t="e">
        <f t="shared" si="45"/>
        <v>#VALUE!</v>
      </c>
      <c r="N485" s="21" t="str">
        <f>_xll.RssMarket(A485,"高値")</f>
        <v>表示銘柄数超過</v>
      </c>
      <c r="O485" s="4" t="e">
        <f t="shared" si="46"/>
        <v>#VALUE!</v>
      </c>
      <c r="P485" s="21" t="str">
        <f>_xll.RssMarket(A485,"安値")</f>
        <v>表示銘柄数超過</v>
      </c>
      <c r="Q485" s="4" t="e">
        <f t="shared" si="47"/>
        <v>#VALUE!</v>
      </c>
      <c r="R485" s="21" t="str">
        <f>_xll.RssMarket(A485,"後場始値")</f>
        <v>表示銘柄数超過</v>
      </c>
      <c r="S485" s="25" t="str">
        <f t="shared" si="48"/>
        <v>-</v>
      </c>
      <c r="T485" s="7" t="str">
        <f>_xll.RssMarket(A485,"出来高加重平均")</f>
        <v>表示銘柄数超過</v>
      </c>
      <c r="U485" s="4" t="e">
        <f t="shared" si="49"/>
        <v>#VALUE!</v>
      </c>
      <c r="V485" s="21" t="str">
        <f>_xll.RssMarket(A485,"出来高")</f>
        <v>表示銘柄数超過</v>
      </c>
      <c r="W485" s="21" t="str">
        <f>_xll.RssMarket(A485,"売買代金")</f>
        <v>表示銘柄数超過</v>
      </c>
      <c r="X485" s="20" t="str">
        <f>_xll.RssMarket(A485,"決算発表日")</f>
        <v>表示銘柄数超過</v>
      </c>
      <c r="Y485" s="26" t="str">
        <f>IF(C485&gt;_xll.RssMarket(A485,"年初来高値"),"○","×")</f>
        <v>×</v>
      </c>
      <c r="Z485" s="27" t="str">
        <f>IF(C485&lt;=_xll.RssMarket(A485,"年初来安値"),"○","×")</f>
        <v>○</v>
      </c>
    </row>
    <row r="486" spans="1:26" x14ac:dyDescent="0.25">
      <c r="A486" s="47">
        <v>4563</v>
      </c>
      <c r="B486" s="20" t="str">
        <f>_xll.RssMarket(A486,"銘柄名称")</f>
        <v>表示銘柄数超過</v>
      </c>
      <c r="C486" s="21" t="str">
        <f>_xll.RssMarket(A486,"現在値")</f>
        <v>表示銘柄数超過</v>
      </c>
      <c r="D486" s="20" t="str">
        <f>_xll.RssMarket(A486,"現在値詳細時刻")</f>
        <v>表示銘柄数超過</v>
      </c>
      <c r="E486" s="22" t="str">
        <f>_xll.RssMarket(A486,"前日比")</f>
        <v>表示銘柄数超過</v>
      </c>
      <c r="F486" s="23" t="e">
        <f>_xll.RssMarket(A486,"前日比率")/100</f>
        <v>#VALUE!</v>
      </c>
      <c r="G486" s="24" t="str">
        <f>IFERROR(VLOOKUP(A486,取得元!$A$2:$F$501,2,FALSE),"-")</f>
        <v>-</v>
      </c>
      <c r="H486" s="24" t="str">
        <f>IFERROR(VLOOKUP(A486,取得元!$A$2:$F$501,3,FALSE),"-")</f>
        <v>-</v>
      </c>
      <c r="I486" s="24" t="str">
        <f>IFERROR(VLOOKUP(A486,取得元!$A$2:$F$501,4,FALSE),"-")</f>
        <v>-</v>
      </c>
      <c r="J486" s="5" t="str">
        <f>IFERROR(VLOOKUP(A486,取得元!$A$2:$F$501,5,FALSE),"-")</f>
        <v>-</v>
      </c>
      <c r="K486" s="25" t="str">
        <f>IFERROR(VLOOKUP(A486,取得元!$A$2:$F$501,6,FALSE)/100,"-")</f>
        <v>-</v>
      </c>
      <c r="L486" s="21" t="str">
        <f>_xll.RssMarket(A486,"始値")</f>
        <v>表示銘柄数超過</v>
      </c>
      <c r="M486" s="4" t="e">
        <f t="shared" si="45"/>
        <v>#VALUE!</v>
      </c>
      <c r="N486" s="21" t="str">
        <f>_xll.RssMarket(A486,"高値")</f>
        <v>表示銘柄数超過</v>
      </c>
      <c r="O486" s="4" t="e">
        <f t="shared" si="46"/>
        <v>#VALUE!</v>
      </c>
      <c r="P486" s="21" t="str">
        <f>_xll.RssMarket(A486,"安値")</f>
        <v>表示銘柄数超過</v>
      </c>
      <c r="Q486" s="4" t="e">
        <f t="shared" si="47"/>
        <v>#VALUE!</v>
      </c>
      <c r="R486" s="21" t="str">
        <f>_xll.RssMarket(A486,"後場始値")</f>
        <v>表示銘柄数超過</v>
      </c>
      <c r="S486" s="25" t="str">
        <f t="shared" si="48"/>
        <v>-</v>
      </c>
      <c r="T486" s="7" t="str">
        <f>_xll.RssMarket(A486,"出来高加重平均")</f>
        <v>表示銘柄数超過</v>
      </c>
      <c r="U486" s="4" t="e">
        <f t="shared" si="49"/>
        <v>#VALUE!</v>
      </c>
      <c r="V486" s="21" t="str">
        <f>_xll.RssMarket(A486,"出来高")</f>
        <v>表示銘柄数超過</v>
      </c>
      <c r="W486" s="21" t="str">
        <f>_xll.RssMarket(A486,"売買代金")</f>
        <v>表示銘柄数超過</v>
      </c>
      <c r="X486" s="20" t="str">
        <f>_xll.RssMarket(A486,"決算発表日")</f>
        <v>表示銘柄数超過</v>
      </c>
      <c r="Y486" s="26" t="str">
        <f>IF(C486&gt;_xll.RssMarket(A486,"年初来高値"),"○","×")</f>
        <v>×</v>
      </c>
      <c r="Z486" s="27" t="str">
        <f>IF(C486&lt;=_xll.RssMarket(A486,"年初来安値"),"○","×")</f>
        <v>○</v>
      </c>
    </row>
    <row r="487" spans="1:26" x14ac:dyDescent="0.25">
      <c r="A487" s="49">
        <v>4564</v>
      </c>
      <c r="B487" s="20" t="str">
        <f>_xll.RssMarket(A487,"銘柄名称")</f>
        <v>表示銘柄数超過</v>
      </c>
      <c r="C487" s="21" t="str">
        <f>_xll.RssMarket(A487,"現在値")</f>
        <v>表示銘柄数超過</v>
      </c>
      <c r="D487" s="20" t="str">
        <f>_xll.RssMarket(A487,"現在値詳細時刻")</f>
        <v>表示銘柄数超過</v>
      </c>
      <c r="E487" s="22" t="str">
        <f>_xll.RssMarket(A487,"前日比")</f>
        <v>表示銘柄数超過</v>
      </c>
      <c r="F487" s="23" t="e">
        <f>_xll.RssMarket(A487,"前日比率")/100</f>
        <v>#VALUE!</v>
      </c>
      <c r="G487" s="24" t="str">
        <f>IFERROR(VLOOKUP(A487,取得元!$A$2:$F$501,2,FALSE),"-")</f>
        <v>-</v>
      </c>
      <c r="H487" s="24" t="str">
        <f>IFERROR(VLOOKUP(A487,取得元!$A$2:$F$501,3,FALSE),"-")</f>
        <v>-</v>
      </c>
      <c r="I487" s="24" t="str">
        <f>IFERROR(VLOOKUP(A487,取得元!$A$2:$F$501,4,FALSE),"-")</f>
        <v>-</v>
      </c>
      <c r="J487" s="5" t="str">
        <f>IFERROR(VLOOKUP(A487,取得元!$A$2:$F$501,5,FALSE),"-")</f>
        <v>-</v>
      </c>
      <c r="K487" s="25" t="str">
        <f>IFERROR(VLOOKUP(A487,取得元!$A$2:$F$501,6,FALSE)/100,"-")</f>
        <v>-</v>
      </c>
      <c r="L487" s="21" t="str">
        <f>_xll.RssMarket(A487,"始値")</f>
        <v>表示銘柄数超過</v>
      </c>
      <c r="M487" s="4" t="e">
        <f t="shared" si="45"/>
        <v>#VALUE!</v>
      </c>
      <c r="N487" s="21" t="str">
        <f>_xll.RssMarket(A487,"高値")</f>
        <v>表示銘柄数超過</v>
      </c>
      <c r="O487" s="4" t="e">
        <f t="shared" si="46"/>
        <v>#VALUE!</v>
      </c>
      <c r="P487" s="21" t="str">
        <f>_xll.RssMarket(A487,"安値")</f>
        <v>表示銘柄数超過</v>
      </c>
      <c r="Q487" s="4" t="e">
        <f t="shared" si="47"/>
        <v>#VALUE!</v>
      </c>
      <c r="R487" s="21" t="str">
        <f>_xll.RssMarket(A487,"後場始値")</f>
        <v>表示銘柄数超過</v>
      </c>
      <c r="S487" s="25" t="str">
        <f t="shared" si="48"/>
        <v>-</v>
      </c>
      <c r="T487" s="7" t="str">
        <f>_xll.RssMarket(A487,"出来高加重平均")</f>
        <v>表示銘柄数超過</v>
      </c>
      <c r="U487" s="4" t="e">
        <f t="shared" si="49"/>
        <v>#VALUE!</v>
      </c>
      <c r="V487" s="21" t="str">
        <f>_xll.RssMarket(A487,"出来高")</f>
        <v>表示銘柄数超過</v>
      </c>
      <c r="W487" s="21" t="str">
        <f>_xll.RssMarket(A487,"売買代金")</f>
        <v>表示銘柄数超過</v>
      </c>
      <c r="X487" s="20" t="str">
        <f>_xll.RssMarket(A487,"決算発表日")</f>
        <v>表示銘柄数超過</v>
      </c>
      <c r="Y487" s="26" t="str">
        <f>IF(C487&gt;_xll.RssMarket(A487,"年初来高値"),"○","×")</f>
        <v>×</v>
      </c>
      <c r="Z487" s="27" t="str">
        <f>IF(C487&lt;=_xll.RssMarket(A487,"年初来安値"),"○","×")</f>
        <v>○</v>
      </c>
    </row>
    <row r="488" spans="1:26" x14ac:dyDescent="0.25">
      <c r="A488" s="47">
        <v>4565</v>
      </c>
      <c r="B488" s="20" t="str">
        <f>_xll.RssMarket(A488,"銘柄名称")</f>
        <v>表示銘柄数超過</v>
      </c>
      <c r="C488" s="21" t="str">
        <f>_xll.RssMarket(A488,"現在値")</f>
        <v>表示銘柄数超過</v>
      </c>
      <c r="D488" s="20" t="str">
        <f>_xll.RssMarket(A488,"現在値詳細時刻")</f>
        <v>表示銘柄数超過</v>
      </c>
      <c r="E488" s="22" t="str">
        <f>_xll.RssMarket(A488,"前日比")</f>
        <v>表示銘柄数超過</v>
      </c>
      <c r="F488" s="23" t="e">
        <f>_xll.RssMarket(A488,"前日比率")/100</f>
        <v>#VALUE!</v>
      </c>
      <c r="G488" s="24" t="str">
        <f>IFERROR(VLOOKUP(A488,取得元!$A$2:$F$501,2,FALSE),"-")</f>
        <v>-</v>
      </c>
      <c r="H488" s="24" t="str">
        <f>IFERROR(VLOOKUP(A488,取得元!$A$2:$F$501,3,FALSE),"-")</f>
        <v>-</v>
      </c>
      <c r="I488" s="24" t="str">
        <f>IFERROR(VLOOKUP(A488,取得元!$A$2:$F$501,4,FALSE),"-")</f>
        <v>-</v>
      </c>
      <c r="J488" s="5" t="str">
        <f>IFERROR(VLOOKUP(A488,取得元!$A$2:$F$501,5,FALSE),"-")</f>
        <v>-</v>
      </c>
      <c r="K488" s="25" t="str">
        <f>IFERROR(VLOOKUP(A488,取得元!$A$2:$F$501,6,FALSE)/100,"-")</f>
        <v>-</v>
      </c>
      <c r="L488" s="21" t="str">
        <f>_xll.RssMarket(A488,"始値")</f>
        <v>表示銘柄数超過</v>
      </c>
      <c r="M488" s="4" t="e">
        <f t="shared" si="45"/>
        <v>#VALUE!</v>
      </c>
      <c r="N488" s="21" t="str">
        <f>_xll.RssMarket(A488,"高値")</f>
        <v>表示銘柄数超過</v>
      </c>
      <c r="O488" s="4" t="e">
        <f t="shared" si="46"/>
        <v>#VALUE!</v>
      </c>
      <c r="P488" s="21" t="str">
        <f>_xll.RssMarket(A488,"安値")</f>
        <v>表示銘柄数超過</v>
      </c>
      <c r="Q488" s="4" t="e">
        <f t="shared" si="47"/>
        <v>#VALUE!</v>
      </c>
      <c r="R488" s="21" t="str">
        <f>_xll.RssMarket(A488,"後場始値")</f>
        <v>表示銘柄数超過</v>
      </c>
      <c r="S488" s="25" t="str">
        <f t="shared" si="48"/>
        <v>-</v>
      </c>
      <c r="T488" s="7" t="str">
        <f>_xll.RssMarket(A488,"出来高加重平均")</f>
        <v>表示銘柄数超過</v>
      </c>
      <c r="U488" s="4" t="e">
        <f t="shared" si="49"/>
        <v>#VALUE!</v>
      </c>
      <c r="V488" s="21" t="str">
        <f>_xll.RssMarket(A488,"出来高")</f>
        <v>表示銘柄数超過</v>
      </c>
      <c r="W488" s="21" t="str">
        <f>_xll.RssMarket(A488,"売買代金")</f>
        <v>表示銘柄数超過</v>
      </c>
      <c r="X488" s="20" t="str">
        <f>_xll.RssMarket(A488,"決算発表日")</f>
        <v>表示銘柄数超過</v>
      </c>
      <c r="Y488" s="26" t="str">
        <f>IF(C488&gt;_xll.RssMarket(A488,"年初来高値"),"○","×")</f>
        <v>×</v>
      </c>
      <c r="Z488" s="27" t="str">
        <f>IF(C488&lt;=_xll.RssMarket(A488,"年初来安値"),"○","×")</f>
        <v>○</v>
      </c>
    </row>
    <row r="489" spans="1:26" x14ac:dyDescent="0.25">
      <c r="A489" s="49">
        <v>4568</v>
      </c>
      <c r="B489" s="20" t="str">
        <f>_xll.RssMarket(A489,"銘柄名称")</f>
        <v>表示銘柄数超過</v>
      </c>
      <c r="C489" s="21" t="str">
        <f>_xll.RssMarket(A489,"現在値")</f>
        <v>表示銘柄数超過</v>
      </c>
      <c r="D489" s="20" t="str">
        <f>_xll.RssMarket(A489,"現在値詳細時刻")</f>
        <v>表示銘柄数超過</v>
      </c>
      <c r="E489" s="22" t="str">
        <f>_xll.RssMarket(A489,"前日比")</f>
        <v>表示銘柄数超過</v>
      </c>
      <c r="F489" s="23" t="e">
        <f>_xll.RssMarket(A489,"前日比率")/100</f>
        <v>#VALUE!</v>
      </c>
      <c r="G489" s="24" t="str">
        <f>IFERROR(VLOOKUP(A489,取得元!$A$2:$F$501,2,FALSE),"-")</f>
        <v>-</v>
      </c>
      <c r="H489" s="24" t="str">
        <f>IFERROR(VLOOKUP(A489,取得元!$A$2:$F$501,3,FALSE),"-")</f>
        <v>-</v>
      </c>
      <c r="I489" s="24" t="str">
        <f>IFERROR(VLOOKUP(A489,取得元!$A$2:$F$501,4,FALSE),"-")</f>
        <v>-</v>
      </c>
      <c r="J489" s="5" t="str">
        <f>IFERROR(VLOOKUP(A489,取得元!$A$2:$F$501,5,FALSE),"-")</f>
        <v>-</v>
      </c>
      <c r="K489" s="25" t="str">
        <f>IFERROR(VLOOKUP(A489,取得元!$A$2:$F$501,6,FALSE)/100,"-")</f>
        <v>-</v>
      </c>
      <c r="L489" s="21" t="str">
        <f>_xll.RssMarket(A489,"始値")</f>
        <v>表示銘柄数超過</v>
      </c>
      <c r="M489" s="4" t="e">
        <f t="shared" si="45"/>
        <v>#VALUE!</v>
      </c>
      <c r="N489" s="21" t="str">
        <f>_xll.RssMarket(A489,"高値")</f>
        <v>表示銘柄数超過</v>
      </c>
      <c r="O489" s="4" t="e">
        <f t="shared" si="46"/>
        <v>#VALUE!</v>
      </c>
      <c r="P489" s="21" t="str">
        <f>_xll.RssMarket(A489,"安値")</f>
        <v>表示銘柄数超過</v>
      </c>
      <c r="Q489" s="4" t="e">
        <f t="shared" si="47"/>
        <v>#VALUE!</v>
      </c>
      <c r="R489" s="21" t="str">
        <f>_xll.RssMarket(A489,"後場始値")</f>
        <v>表示銘柄数超過</v>
      </c>
      <c r="S489" s="25" t="str">
        <f t="shared" si="48"/>
        <v>-</v>
      </c>
      <c r="T489" s="7" t="str">
        <f>_xll.RssMarket(A489,"出来高加重平均")</f>
        <v>表示銘柄数超過</v>
      </c>
      <c r="U489" s="4" t="e">
        <f t="shared" si="49"/>
        <v>#VALUE!</v>
      </c>
      <c r="V489" s="21" t="str">
        <f>_xll.RssMarket(A489,"出来高")</f>
        <v>表示銘柄数超過</v>
      </c>
      <c r="W489" s="21" t="str">
        <f>_xll.RssMarket(A489,"売買代金")</f>
        <v>表示銘柄数超過</v>
      </c>
      <c r="X489" s="20" t="str">
        <f>_xll.RssMarket(A489,"決算発表日")</f>
        <v>表示銘柄数超過</v>
      </c>
      <c r="Y489" s="26" t="str">
        <f>IF(C489&gt;_xll.RssMarket(A489,"年初来高値"),"○","×")</f>
        <v>×</v>
      </c>
      <c r="Z489" s="27" t="str">
        <f>IF(C489&lt;=_xll.RssMarket(A489,"年初来安値"),"○","×")</f>
        <v>○</v>
      </c>
    </row>
    <row r="490" spans="1:26" x14ac:dyDescent="0.25">
      <c r="A490" s="47">
        <v>4570</v>
      </c>
      <c r="B490" s="20" t="str">
        <f>_xll.RssMarket(A490,"銘柄名称")</f>
        <v>表示銘柄数超過</v>
      </c>
      <c r="C490" s="21" t="str">
        <f>_xll.RssMarket(A490,"現在値")</f>
        <v>表示銘柄数超過</v>
      </c>
      <c r="D490" s="20" t="str">
        <f>_xll.RssMarket(A490,"現在値詳細時刻")</f>
        <v>表示銘柄数超過</v>
      </c>
      <c r="E490" s="22" t="str">
        <f>_xll.RssMarket(A490,"前日比")</f>
        <v>表示銘柄数超過</v>
      </c>
      <c r="F490" s="23" t="e">
        <f>_xll.RssMarket(A490,"前日比率")/100</f>
        <v>#VALUE!</v>
      </c>
      <c r="G490" s="24" t="str">
        <f>IFERROR(VLOOKUP(A490,取得元!$A$2:$F$501,2,FALSE),"-")</f>
        <v>-</v>
      </c>
      <c r="H490" s="24" t="str">
        <f>IFERROR(VLOOKUP(A490,取得元!$A$2:$F$501,3,FALSE),"-")</f>
        <v>-</v>
      </c>
      <c r="I490" s="24" t="str">
        <f>IFERROR(VLOOKUP(A490,取得元!$A$2:$F$501,4,FALSE),"-")</f>
        <v>-</v>
      </c>
      <c r="J490" s="5" t="str">
        <f>IFERROR(VLOOKUP(A490,取得元!$A$2:$F$501,5,FALSE),"-")</f>
        <v>-</v>
      </c>
      <c r="K490" s="25" t="str">
        <f>IFERROR(VLOOKUP(A490,取得元!$A$2:$F$501,6,FALSE)/100,"-")</f>
        <v>-</v>
      </c>
      <c r="L490" s="21" t="str">
        <f>_xll.RssMarket(A490,"始値")</f>
        <v>表示銘柄数超過</v>
      </c>
      <c r="M490" s="4" t="e">
        <f t="shared" si="45"/>
        <v>#VALUE!</v>
      </c>
      <c r="N490" s="21" t="str">
        <f>_xll.RssMarket(A490,"高値")</f>
        <v>表示銘柄数超過</v>
      </c>
      <c r="O490" s="4" t="e">
        <f t="shared" si="46"/>
        <v>#VALUE!</v>
      </c>
      <c r="P490" s="21" t="str">
        <f>_xll.RssMarket(A490,"安値")</f>
        <v>表示銘柄数超過</v>
      </c>
      <c r="Q490" s="4" t="e">
        <f t="shared" si="47"/>
        <v>#VALUE!</v>
      </c>
      <c r="R490" s="21" t="str">
        <f>_xll.RssMarket(A490,"後場始値")</f>
        <v>表示銘柄数超過</v>
      </c>
      <c r="S490" s="25" t="str">
        <f t="shared" si="48"/>
        <v>-</v>
      </c>
      <c r="T490" s="7" t="str">
        <f>_xll.RssMarket(A490,"出来高加重平均")</f>
        <v>表示銘柄数超過</v>
      </c>
      <c r="U490" s="4" t="e">
        <f t="shared" si="49"/>
        <v>#VALUE!</v>
      </c>
      <c r="V490" s="21" t="str">
        <f>_xll.RssMarket(A490,"出来高")</f>
        <v>表示銘柄数超過</v>
      </c>
      <c r="W490" s="21" t="str">
        <f>_xll.RssMarket(A490,"売買代金")</f>
        <v>表示銘柄数超過</v>
      </c>
      <c r="X490" s="20" t="str">
        <f>_xll.RssMarket(A490,"決算発表日")</f>
        <v>表示銘柄数超過</v>
      </c>
      <c r="Y490" s="26" t="str">
        <f>IF(C490&gt;_xll.RssMarket(A490,"年初来高値"),"○","×")</f>
        <v>×</v>
      </c>
      <c r="Z490" s="27" t="str">
        <f>IF(C490&lt;=_xll.RssMarket(A490,"年初来安値"),"○","×")</f>
        <v>○</v>
      </c>
    </row>
    <row r="491" spans="1:26" x14ac:dyDescent="0.25">
      <c r="A491" s="49">
        <v>4571</v>
      </c>
      <c r="B491" s="20" t="str">
        <f>_xll.RssMarket(A491,"銘柄名称")</f>
        <v>表示銘柄数超過</v>
      </c>
      <c r="C491" s="21" t="str">
        <f>_xll.RssMarket(A491,"現在値")</f>
        <v>表示銘柄数超過</v>
      </c>
      <c r="D491" s="20" t="str">
        <f>_xll.RssMarket(A491,"現在値詳細時刻")</f>
        <v>表示銘柄数超過</v>
      </c>
      <c r="E491" s="22" t="str">
        <f>_xll.RssMarket(A491,"前日比")</f>
        <v>表示銘柄数超過</v>
      </c>
      <c r="F491" s="23" t="e">
        <f>_xll.RssMarket(A491,"前日比率")/100</f>
        <v>#VALUE!</v>
      </c>
      <c r="G491" s="24" t="str">
        <f>IFERROR(VLOOKUP(A491,取得元!$A$2:$F$501,2,FALSE),"-")</f>
        <v>-</v>
      </c>
      <c r="H491" s="24" t="str">
        <f>IFERROR(VLOOKUP(A491,取得元!$A$2:$F$501,3,FALSE),"-")</f>
        <v>-</v>
      </c>
      <c r="I491" s="24" t="str">
        <f>IFERROR(VLOOKUP(A491,取得元!$A$2:$F$501,4,FALSE),"-")</f>
        <v>-</v>
      </c>
      <c r="J491" s="5" t="str">
        <f>IFERROR(VLOOKUP(A491,取得元!$A$2:$F$501,5,FALSE),"-")</f>
        <v>-</v>
      </c>
      <c r="K491" s="25" t="str">
        <f>IFERROR(VLOOKUP(A491,取得元!$A$2:$F$501,6,FALSE)/100,"-")</f>
        <v>-</v>
      </c>
      <c r="L491" s="21" t="str">
        <f>_xll.RssMarket(A491,"始値")</f>
        <v>表示銘柄数超過</v>
      </c>
      <c r="M491" s="4" t="e">
        <f t="shared" si="45"/>
        <v>#VALUE!</v>
      </c>
      <c r="N491" s="21" t="str">
        <f>_xll.RssMarket(A491,"高値")</f>
        <v>表示銘柄数超過</v>
      </c>
      <c r="O491" s="4" t="e">
        <f t="shared" si="46"/>
        <v>#VALUE!</v>
      </c>
      <c r="P491" s="21" t="str">
        <f>_xll.RssMarket(A491,"安値")</f>
        <v>表示銘柄数超過</v>
      </c>
      <c r="Q491" s="4" t="e">
        <f t="shared" si="47"/>
        <v>#VALUE!</v>
      </c>
      <c r="R491" s="21" t="str">
        <f>_xll.RssMarket(A491,"後場始値")</f>
        <v>表示銘柄数超過</v>
      </c>
      <c r="S491" s="25" t="str">
        <f t="shared" si="48"/>
        <v>-</v>
      </c>
      <c r="T491" s="7" t="str">
        <f>_xll.RssMarket(A491,"出来高加重平均")</f>
        <v>表示銘柄数超過</v>
      </c>
      <c r="U491" s="4" t="e">
        <f t="shared" si="49"/>
        <v>#VALUE!</v>
      </c>
      <c r="V491" s="21" t="str">
        <f>_xll.RssMarket(A491,"出来高")</f>
        <v>表示銘柄数超過</v>
      </c>
      <c r="W491" s="21" t="str">
        <f>_xll.RssMarket(A491,"売買代金")</f>
        <v>表示銘柄数超過</v>
      </c>
      <c r="X491" s="20" t="str">
        <f>_xll.RssMarket(A491,"決算発表日")</f>
        <v>表示銘柄数超過</v>
      </c>
      <c r="Y491" s="26" t="str">
        <f>IF(C491&gt;_xll.RssMarket(A491,"年初来高値"),"○","×")</f>
        <v>×</v>
      </c>
      <c r="Z491" s="27" t="str">
        <f>IF(C491&lt;=_xll.RssMarket(A491,"年初来安値"),"○","×")</f>
        <v>○</v>
      </c>
    </row>
    <row r="492" spans="1:26" x14ac:dyDescent="0.25">
      <c r="A492" s="47">
        <v>4572</v>
      </c>
      <c r="B492" s="20" t="str">
        <f>_xll.RssMarket(A492,"銘柄名称")</f>
        <v>表示銘柄数超過</v>
      </c>
      <c r="C492" s="21" t="str">
        <f>_xll.RssMarket(A492,"現在値")</f>
        <v>表示銘柄数超過</v>
      </c>
      <c r="D492" s="20" t="str">
        <f>_xll.RssMarket(A492,"現在値詳細時刻")</f>
        <v>表示銘柄数超過</v>
      </c>
      <c r="E492" s="22" t="str">
        <f>_xll.RssMarket(A492,"前日比")</f>
        <v>表示銘柄数超過</v>
      </c>
      <c r="F492" s="23" t="e">
        <f>_xll.RssMarket(A492,"前日比率")/100</f>
        <v>#VALUE!</v>
      </c>
      <c r="G492" s="24" t="str">
        <f>IFERROR(VLOOKUP(A492,取得元!$A$2:$F$501,2,FALSE),"-")</f>
        <v>-</v>
      </c>
      <c r="H492" s="24" t="str">
        <f>IFERROR(VLOOKUP(A492,取得元!$A$2:$F$501,3,FALSE),"-")</f>
        <v>-</v>
      </c>
      <c r="I492" s="24" t="str">
        <f>IFERROR(VLOOKUP(A492,取得元!$A$2:$F$501,4,FALSE),"-")</f>
        <v>-</v>
      </c>
      <c r="J492" s="5" t="str">
        <f>IFERROR(VLOOKUP(A492,取得元!$A$2:$F$501,5,FALSE),"-")</f>
        <v>-</v>
      </c>
      <c r="K492" s="25" t="str">
        <f>IFERROR(VLOOKUP(A492,取得元!$A$2:$F$501,6,FALSE)/100,"-")</f>
        <v>-</v>
      </c>
      <c r="L492" s="21" t="str">
        <f>_xll.RssMarket(A492,"始値")</f>
        <v>表示銘柄数超過</v>
      </c>
      <c r="M492" s="4" t="e">
        <f t="shared" si="45"/>
        <v>#VALUE!</v>
      </c>
      <c r="N492" s="21" t="str">
        <f>_xll.RssMarket(A492,"高値")</f>
        <v>表示銘柄数超過</v>
      </c>
      <c r="O492" s="4" t="e">
        <f t="shared" si="46"/>
        <v>#VALUE!</v>
      </c>
      <c r="P492" s="21" t="str">
        <f>_xll.RssMarket(A492,"安値")</f>
        <v>表示銘柄数超過</v>
      </c>
      <c r="Q492" s="4" t="e">
        <f t="shared" si="47"/>
        <v>#VALUE!</v>
      </c>
      <c r="R492" s="21" t="str">
        <f>_xll.RssMarket(A492,"後場始値")</f>
        <v>表示銘柄数超過</v>
      </c>
      <c r="S492" s="25" t="str">
        <f t="shared" si="48"/>
        <v>-</v>
      </c>
      <c r="T492" s="7" t="str">
        <f>_xll.RssMarket(A492,"出来高加重平均")</f>
        <v>表示銘柄数超過</v>
      </c>
      <c r="U492" s="4" t="e">
        <f t="shared" si="49"/>
        <v>#VALUE!</v>
      </c>
      <c r="V492" s="21" t="str">
        <f>_xll.RssMarket(A492,"出来高")</f>
        <v>表示銘柄数超過</v>
      </c>
      <c r="W492" s="21" t="str">
        <f>_xll.RssMarket(A492,"売買代金")</f>
        <v>表示銘柄数超過</v>
      </c>
      <c r="X492" s="20" t="str">
        <f>_xll.RssMarket(A492,"決算発表日")</f>
        <v>表示銘柄数超過</v>
      </c>
      <c r="Y492" s="26" t="str">
        <f>IF(C492&gt;_xll.RssMarket(A492,"年初来高値"),"○","×")</f>
        <v>×</v>
      </c>
      <c r="Z492" s="27" t="str">
        <f>IF(C492&lt;=_xll.RssMarket(A492,"年初来安値"),"○","×")</f>
        <v>○</v>
      </c>
    </row>
    <row r="493" spans="1:26" x14ac:dyDescent="0.25">
      <c r="A493" s="49">
        <v>4574</v>
      </c>
      <c r="B493" s="20" t="str">
        <f>_xll.RssMarket(A493,"銘柄名称")</f>
        <v>表示銘柄数超過</v>
      </c>
      <c r="C493" s="21" t="str">
        <f>_xll.RssMarket(A493,"現在値")</f>
        <v>表示銘柄数超過</v>
      </c>
      <c r="D493" s="20" t="str">
        <f>_xll.RssMarket(A493,"現在値詳細時刻")</f>
        <v>表示銘柄数超過</v>
      </c>
      <c r="E493" s="22" t="str">
        <f>_xll.RssMarket(A493,"前日比")</f>
        <v>表示銘柄数超過</v>
      </c>
      <c r="F493" s="23" t="e">
        <f>_xll.RssMarket(A493,"前日比率")/100</f>
        <v>#VALUE!</v>
      </c>
      <c r="G493" s="24" t="str">
        <f>IFERROR(VLOOKUP(A493,取得元!$A$2:$F$501,2,FALSE),"-")</f>
        <v>-</v>
      </c>
      <c r="H493" s="24" t="str">
        <f>IFERROR(VLOOKUP(A493,取得元!$A$2:$F$501,3,FALSE),"-")</f>
        <v>-</v>
      </c>
      <c r="I493" s="24" t="str">
        <f>IFERROR(VLOOKUP(A493,取得元!$A$2:$F$501,4,FALSE),"-")</f>
        <v>-</v>
      </c>
      <c r="J493" s="5" t="str">
        <f>IFERROR(VLOOKUP(A493,取得元!$A$2:$F$501,5,FALSE),"-")</f>
        <v>-</v>
      </c>
      <c r="K493" s="25" t="str">
        <f>IFERROR(VLOOKUP(A493,取得元!$A$2:$F$501,6,FALSE)/100,"-")</f>
        <v>-</v>
      </c>
      <c r="L493" s="21" t="str">
        <f>_xll.RssMarket(A493,"始値")</f>
        <v>表示銘柄数超過</v>
      </c>
      <c r="M493" s="4" t="e">
        <f t="shared" si="45"/>
        <v>#VALUE!</v>
      </c>
      <c r="N493" s="21" t="str">
        <f>_xll.RssMarket(A493,"高値")</f>
        <v>表示銘柄数超過</v>
      </c>
      <c r="O493" s="4" t="e">
        <f t="shared" si="46"/>
        <v>#VALUE!</v>
      </c>
      <c r="P493" s="21" t="str">
        <f>_xll.RssMarket(A493,"安値")</f>
        <v>表示銘柄数超過</v>
      </c>
      <c r="Q493" s="4" t="e">
        <f t="shared" si="47"/>
        <v>#VALUE!</v>
      </c>
      <c r="R493" s="21" t="str">
        <f>_xll.RssMarket(A493,"後場始値")</f>
        <v>表示銘柄数超過</v>
      </c>
      <c r="S493" s="25" t="str">
        <f t="shared" si="48"/>
        <v>-</v>
      </c>
      <c r="T493" s="7" t="str">
        <f>_xll.RssMarket(A493,"出来高加重平均")</f>
        <v>表示銘柄数超過</v>
      </c>
      <c r="U493" s="4" t="e">
        <f t="shared" si="49"/>
        <v>#VALUE!</v>
      </c>
      <c r="V493" s="21" t="str">
        <f>_xll.RssMarket(A493,"出来高")</f>
        <v>表示銘柄数超過</v>
      </c>
      <c r="W493" s="21" t="str">
        <f>_xll.RssMarket(A493,"売買代金")</f>
        <v>表示銘柄数超過</v>
      </c>
      <c r="X493" s="20" t="str">
        <f>_xll.RssMarket(A493,"決算発表日")</f>
        <v>表示銘柄数超過</v>
      </c>
      <c r="Y493" s="26" t="str">
        <f>IF(C493&gt;_xll.RssMarket(A493,"年初来高値"),"○","×")</f>
        <v>×</v>
      </c>
      <c r="Z493" s="27" t="str">
        <f>IF(C493&lt;=_xll.RssMarket(A493,"年初来安値"),"○","×")</f>
        <v>○</v>
      </c>
    </row>
    <row r="494" spans="1:26" x14ac:dyDescent="0.25">
      <c r="A494" s="47">
        <v>4575</v>
      </c>
      <c r="B494" s="20" t="str">
        <f>_xll.RssMarket(A494,"銘柄名称")</f>
        <v>表示銘柄数超過</v>
      </c>
      <c r="C494" s="21" t="str">
        <f>_xll.RssMarket(A494,"現在値")</f>
        <v>表示銘柄数超過</v>
      </c>
      <c r="D494" s="20" t="str">
        <f>_xll.RssMarket(A494,"現在値詳細時刻")</f>
        <v>表示銘柄数超過</v>
      </c>
      <c r="E494" s="22" t="str">
        <f>_xll.RssMarket(A494,"前日比")</f>
        <v>表示銘柄数超過</v>
      </c>
      <c r="F494" s="23" t="e">
        <f>_xll.RssMarket(A494,"前日比率")/100</f>
        <v>#VALUE!</v>
      </c>
      <c r="G494" s="24" t="str">
        <f>IFERROR(VLOOKUP(A494,取得元!$A$2:$F$501,2,FALSE),"-")</f>
        <v>-</v>
      </c>
      <c r="H494" s="24" t="str">
        <f>IFERROR(VLOOKUP(A494,取得元!$A$2:$F$501,3,FALSE),"-")</f>
        <v>-</v>
      </c>
      <c r="I494" s="24" t="str">
        <f>IFERROR(VLOOKUP(A494,取得元!$A$2:$F$501,4,FALSE),"-")</f>
        <v>-</v>
      </c>
      <c r="J494" s="5" t="str">
        <f>IFERROR(VLOOKUP(A494,取得元!$A$2:$F$501,5,FALSE),"-")</f>
        <v>-</v>
      </c>
      <c r="K494" s="25" t="str">
        <f>IFERROR(VLOOKUP(A494,取得元!$A$2:$F$501,6,FALSE)/100,"-")</f>
        <v>-</v>
      </c>
      <c r="L494" s="21" t="str">
        <f>_xll.RssMarket(A494,"始値")</f>
        <v>表示銘柄数超過</v>
      </c>
      <c r="M494" s="4" t="e">
        <f t="shared" si="45"/>
        <v>#VALUE!</v>
      </c>
      <c r="N494" s="21" t="str">
        <f>_xll.RssMarket(A494,"高値")</f>
        <v>表示銘柄数超過</v>
      </c>
      <c r="O494" s="4" t="e">
        <f t="shared" si="46"/>
        <v>#VALUE!</v>
      </c>
      <c r="P494" s="21" t="str">
        <f>_xll.RssMarket(A494,"安値")</f>
        <v>表示銘柄数超過</v>
      </c>
      <c r="Q494" s="4" t="e">
        <f t="shared" si="47"/>
        <v>#VALUE!</v>
      </c>
      <c r="R494" s="21" t="str">
        <f>_xll.RssMarket(A494,"後場始値")</f>
        <v>表示銘柄数超過</v>
      </c>
      <c r="S494" s="25" t="str">
        <f t="shared" si="48"/>
        <v>-</v>
      </c>
      <c r="T494" s="7" t="str">
        <f>_xll.RssMarket(A494,"出来高加重平均")</f>
        <v>表示銘柄数超過</v>
      </c>
      <c r="U494" s="4" t="e">
        <f t="shared" si="49"/>
        <v>#VALUE!</v>
      </c>
      <c r="V494" s="21" t="str">
        <f>_xll.RssMarket(A494,"出来高")</f>
        <v>表示銘柄数超過</v>
      </c>
      <c r="W494" s="21" t="str">
        <f>_xll.RssMarket(A494,"売買代金")</f>
        <v>表示銘柄数超過</v>
      </c>
      <c r="X494" s="20" t="str">
        <f>_xll.RssMarket(A494,"決算発表日")</f>
        <v>表示銘柄数超過</v>
      </c>
      <c r="Y494" s="26" t="str">
        <f>IF(C494&gt;_xll.RssMarket(A494,"年初来高値"),"○","×")</f>
        <v>×</v>
      </c>
      <c r="Z494" s="27" t="str">
        <f>IF(C494&lt;=_xll.RssMarket(A494,"年初来安値"),"○","×")</f>
        <v>○</v>
      </c>
    </row>
    <row r="495" spans="1:26" x14ac:dyDescent="0.25">
      <c r="A495" s="49">
        <v>4576</v>
      </c>
      <c r="B495" s="20" t="str">
        <f>_xll.RssMarket(A495,"銘柄名称")</f>
        <v>表示銘柄数超過</v>
      </c>
      <c r="C495" s="21" t="str">
        <f>_xll.RssMarket(A495,"現在値")</f>
        <v>表示銘柄数超過</v>
      </c>
      <c r="D495" s="20" t="str">
        <f>_xll.RssMarket(A495,"現在値詳細時刻")</f>
        <v>表示銘柄数超過</v>
      </c>
      <c r="E495" s="22" t="str">
        <f>_xll.RssMarket(A495,"前日比")</f>
        <v>表示銘柄数超過</v>
      </c>
      <c r="F495" s="23" t="e">
        <f>_xll.RssMarket(A495,"前日比率")/100</f>
        <v>#VALUE!</v>
      </c>
      <c r="G495" s="24" t="str">
        <f>IFERROR(VLOOKUP(A495,取得元!$A$2:$F$501,2,FALSE),"-")</f>
        <v>-</v>
      </c>
      <c r="H495" s="24" t="str">
        <f>IFERROR(VLOOKUP(A495,取得元!$A$2:$F$501,3,FALSE),"-")</f>
        <v>-</v>
      </c>
      <c r="I495" s="24" t="str">
        <f>IFERROR(VLOOKUP(A495,取得元!$A$2:$F$501,4,FALSE),"-")</f>
        <v>-</v>
      </c>
      <c r="J495" s="5" t="str">
        <f>IFERROR(VLOOKUP(A495,取得元!$A$2:$F$501,5,FALSE),"-")</f>
        <v>-</v>
      </c>
      <c r="K495" s="25" t="str">
        <f>IFERROR(VLOOKUP(A495,取得元!$A$2:$F$501,6,FALSE)/100,"-")</f>
        <v>-</v>
      </c>
      <c r="L495" s="21" t="str">
        <f>_xll.RssMarket(A495,"始値")</f>
        <v>表示銘柄数超過</v>
      </c>
      <c r="M495" s="4" t="e">
        <f t="shared" si="45"/>
        <v>#VALUE!</v>
      </c>
      <c r="N495" s="21" t="str">
        <f>_xll.RssMarket(A495,"高値")</f>
        <v>表示銘柄数超過</v>
      </c>
      <c r="O495" s="4" t="e">
        <f t="shared" si="46"/>
        <v>#VALUE!</v>
      </c>
      <c r="P495" s="21" t="str">
        <f>_xll.RssMarket(A495,"安値")</f>
        <v>表示銘柄数超過</v>
      </c>
      <c r="Q495" s="4" t="e">
        <f t="shared" si="47"/>
        <v>#VALUE!</v>
      </c>
      <c r="R495" s="21" t="str">
        <f>_xll.RssMarket(A495,"後場始値")</f>
        <v>表示銘柄数超過</v>
      </c>
      <c r="S495" s="25" t="str">
        <f t="shared" si="48"/>
        <v>-</v>
      </c>
      <c r="T495" s="7" t="str">
        <f>_xll.RssMarket(A495,"出来高加重平均")</f>
        <v>表示銘柄数超過</v>
      </c>
      <c r="U495" s="4" t="e">
        <f t="shared" si="49"/>
        <v>#VALUE!</v>
      </c>
      <c r="V495" s="21" t="str">
        <f>_xll.RssMarket(A495,"出来高")</f>
        <v>表示銘柄数超過</v>
      </c>
      <c r="W495" s="21" t="str">
        <f>_xll.RssMarket(A495,"売買代金")</f>
        <v>表示銘柄数超過</v>
      </c>
      <c r="X495" s="20" t="str">
        <f>_xll.RssMarket(A495,"決算発表日")</f>
        <v>表示銘柄数超過</v>
      </c>
      <c r="Y495" s="26" t="str">
        <f>IF(C495&gt;_xll.RssMarket(A495,"年初来高値"),"○","×")</f>
        <v>×</v>
      </c>
      <c r="Z495" s="27" t="str">
        <f>IF(C495&lt;=_xll.RssMarket(A495,"年初来安値"),"○","×")</f>
        <v>○</v>
      </c>
    </row>
    <row r="496" spans="1:26" x14ac:dyDescent="0.25">
      <c r="A496" s="47">
        <v>4578</v>
      </c>
      <c r="B496" s="20" t="str">
        <f>_xll.RssMarket(A496,"銘柄名称")</f>
        <v>表示銘柄数超過</v>
      </c>
      <c r="C496" s="21" t="str">
        <f>_xll.RssMarket(A496,"現在値")</f>
        <v>表示銘柄数超過</v>
      </c>
      <c r="D496" s="20" t="str">
        <f>_xll.RssMarket(A496,"現在値詳細時刻")</f>
        <v>表示銘柄数超過</v>
      </c>
      <c r="E496" s="22" t="str">
        <f>_xll.RssMarket(A496,"前日比")</f>
        <v>表示銘柄数超過</v>
      </c>
      <c r="F496" s="23" t="e">
        <f>_xll.RssMarket(A496,"前日比率")/100</f>
        <v>#VALUE!</v>
      </c>
      <c r="G496" s="24" t="str">
        <f>IFERROR(VLOOKUP(A496,取得元!$A$2:$F$501,2,FALSE),"-")</f>
        <v>-</v>
      </c>
      <c r="H496" s="24" t="str">
        <f>IFERROR(VLOOKUP(A496,取得元!$A$2:$F$501,3,FALSE),"-")</f>
        <v>-</v>
      </c>
      <c r="I496" s="24" t="str">
        <f>IFERROR(VLOOKUP(A496,取得元!$A$2:$F$501,4,FALSE),"-")</f>
        <v>-</v>
      </c>
      <c r="J496" s="5" t="str">
        <f>IFERROR(VLOOKUP(A496,取得元!$A$2:$F$501,5,FALSE),"-")</f>
        <v>-</v>
      </c>
      <c r="K496" s="25" t="str">
        <f>IFERROR(VLOOKUP(A496,取得元!$A$2:$F$501,6,FALSE)/100,"-")</f>
        <v>-</v>
      </c>
      <c r="L496" s="21" t="str">
        <f>_xll.RssMarket(A496,"始値")</f>
        <v>表示銘柄数超過</v>
      </c>
      <c r="M496" s="4" t="e">
        <f t="shared" si="45"/>
        <v>#VALUE!</v>
      </c>
      <c r="N496" s="21" t="str">
        <f>_xll.RssMarket(A496,"高値")</f>
        <v>表示銘柄数超過</v>
      </c>
      <c r="O496" s="4" t="e">
        <f t="shared" si="46"/>
        <v>#VALUE!</v>
      </c>
      <c r="P496" s="21" t="str">
        <f>_xll.RssMarket(A496,"安値")</f>
        <v>表示銘柄数超過</v>
      </c>
      <c r="Q496" s="4" t="e">
        <f t="shared" si="47"/>
        <v>#VALUE!</v>
      </c>
      <c r="R496" s="21" t="str">
        <f>_xll.RssMarket(A496,"後場始値")</f>
        <v>表示銘柄数超過</v>
      </c>
      <c r="S496" s="25" t="str">
        <f t="shared" si="48"/>
        <v>-</v>
      </c>
      <c r="T496" s="7" t="str">
        <f>_xll.RssMarket(A496,"出来高加重平均")</f>
        <v>表示銘柄数超過</v>
      </c>
      <c r="U496" s="4" t="e">
        <f t="shared" si="49"/>
        <v>#VALUE!</v>
      </c>
      <c r="V496" s="21" t="str">
        <f>_xll.RssMarket(A496,"出来高")</f>
        <v>表示銘柄数超過</v>
      </c>
      <c r="W496" s="21" t="str">
        <f>_xll.RssMarket(A496,"売買代金")</f>
        <v>表示銘柄数超過</v>
      </c>
      <c r="X496" s="20" t="str">
        <f>_xll.RssMarket(A496,"決算発表日")</f>
        <v>表示銘柄数超過</v>
      </c>
      <c r="Y496" s="26" t="str">
        <f>IF(C496&gt;_xll.RssMarket(A496,"年初来高値"),"○","×")</f>
        <v>×</v>
      </c>
      <c r="Z496" s="27" t="str">
        <f>IF(C496&lt;=_xll.RssMarket(A496,"年初来安値"),"○","×")</f>
        <v>○</v>
      </c>
    </row>
    <row r="497" spans="1:26" x14ac:dyDescent="0.25">
      <c r="A497" s="49">
        <v>4582</v>
      </c>
      <c r="B497" s="20" t="str">
        <f>_xll.RssMarket(A497,"銘柄名称")</f>
        <v>表示銘柄数超過</v>
      </c>
      <c r="C497" s="21" t="str">
        <f>_xll.RssMarket(A497,"現在値")</f>
        <v>表示銘柄数超過</v>
      </c>
      <c r="D497" s="20" t="str">
        <f>_xll.RssMarket(A497,"現在値詳細時刻")</f>
        <v>表示銘柄数超過</v>
      </c>
      <c r="E497" s="22" t="str">
        <f>_xll.RssMarket(A497,"前日比")</f>
        <v>表示銘柄数超過</v>
      </c>
      <c r="F497" s="23" t="e">
        <f>_xll.RssMarket(A497,"前日比率")/100</f>
        <v>#VALUE!</v>
      </c>
      <c r="G497" s="24" t="str">
        <f>IFERROR(VLOOKUP(A497,取得元!$A$2:$F$501,2,FALSE),"-")</f>
        <v>-</v>
      </c>
      <c r="H497" s="24" t="str">
        <f>IFERROR(VLOOKUP(A497,取得元!$A$2:$F$501,3,FALSE),"-")</f>
        <v>-</v>
      </c>
      <c r="I497" s="24" t="str">
        <f>IFERROR(VLOOKUP(A497,取得元!$A$2:$F$501,4,FALSE),"-")</f>
        <v>-</v>
      </c>
      <c r="J497" s="5" t="str">
        <f>IFERROR(VLOOKUP(A497,取得元!$A$2:$F$501,5,FALSE),"-")</f>
        <v>-</v>
      </c>
      <c r="K497" s="25" t="str">
        <f>IFERROR(VLOOKUP(A497,取得元!$A$2:$F$501,6,FALSE)/100,"-")</f>
        <v>-</v>
      </c>
      <c r="L497" s="21" t="str">
        <f>_xll.RssMarket(A497,"始値")</f>
        <v>表示銘柄数超過</v>
      </c>
      <c r="M497" s="4" t="e">
        <f t="shared" si="45"/>
        <v>#VALUE!</v>
      </c>
      <c r="N497" s="21" t="str">
        <f>_xll.RssMarket(A497,"高値")</f>
        <v>表示銘柄数超過</v>
      </c>
      <c r="O497" s="4" t="e">
        <f t="shared" si="46"/>
        <v>#VALUE!</v>
      </c>
      <c r="P497" s="21" t="str">
        <f>_xll.RssMarket(A497,"安値")</f>
        <v>表示銘柄数超過</v>
      </c>
      <c r="Q497" s="4" t="e">
        <f t="shared" si="47"/>
        <v>#VALUE!</v>
      </c>
      <c r="R497" s="21" t="str">
        <f>_xll.RssMarket(A497,"後場始値")</f>
        <v>表示銘柄数超過</v>
      </c>
      <c r="S497" s="25" t="str">
        <f t="shared" si="48"/>
        <v>-</v>
      </c>
      <c r="T497" s="7" t="str">
        <f>_xll.RssMarket(A497,"出来高加重平均")</f>
        <v>表示銘柄数超過</v>
      </c>
      <c r="U497" s="4" t="e">
        <f t="shared" si="49"/>
        <v>#VALUE!</v>
      </c>
      <c r="V497" s="21" t="str">
        <f>_xll.RssMarket(A497,"出来高")</f>
        <v>表示銘柄数超過</v>
      </c>
      <c r="W497" s="21" t="str">
        <f>_xll.RssMarket(A497,"売買代金")</f>
        <v>表示銘柄数超過</v>
      </c>
      <c r="X497" s="20" t="str">
        <f>_xll.RssMarket(A497,"決算発表日")</f>
        <v>表示銘柄数超過</v>
      </c>
      <c r="Y497" s="26" t="str">
        <f>IF(C497&gt;_xll.RssMarket(A497,"年初来高値"),"○","×")</f>
        <v>×</v>
      </c>
      <c r="Z497" s="27" t="str">
        <f>IF(C497&lt;=_xll.RssMarket(A497,"年初来安値"),"○","×")</f>
        <v>○</v>
      </c>
    </row>
    <row r="498" spans="1:26" x14ac:dyDescent="0.25">
      <c r="A498" s="47">
        <v>4583</v>
      </c>
      <c r="B498" s="20" t="str">
        <f>_xll.RssMarket(A498,"銘柄名称")</f>
        <v>表示銘柄数超過</v>
      </c>
      <c r="C498" s="21" t="str">
        <f>_xll.RssMarket(A498,"現在値")</f>
        <v>表示銘柄数超過</v>
      </c>
      <c r="D498" s="20" t="str">
        <f>_xll.RssMarket(A498,"現在値詳細時刻")</f>
        <v>表示銘柄数超過</v>
      </c>
      <c r="E498" s="22" t="str">
        <f>_xll.RssMarket(A498,"前日比")</f>
        <v>表示銘柄数超過</v>
      </c>
      <c r="F498" s="23" t="e">
        <f>_xll.RssMarket(A498,"前日比率")/100</f>
        <v>#VALUE!</v>
      </c>
      <c r="G498" s="24" t="str">
        <f>IFERROR(VLOOKUP(A498,取得元!$A$2:$F$501,2,FALSE),"-")</f>
        <v>-</v>
      </c>
      <c r="H498" s="24" t="str">
        <f>IFERROR(VLOOKUP(A498,取得元!$A$2:$F$501,3,FALSE),"-")</f>
        <v>-</v>
      </c>
      <c r="I498" s="24" t="str">
        <f>IFERROR(VLOOKUP(A498,取得元!$A$2:$F$501,4,FALSE),"-")</f>
        <v>-</v>
      </c>
      <c r="J498" s="5" t="str">
        <f>IFERROR(VLOOKUP(A498,取得元!$A$2:$F$501,5,FALSE),"-")</f>
        <v>-</v>
      </c>
      <c r="K498" s="25" t="str">
        <f>IFERROR(VLOOKUP(A498,取得元!$A$2:$F$501,6,FALSE)/100,"-")</f>
        <v>-</v>
      </c>
      <c r="L498" s="21" t="str">
        <f>_xll.RssMarket(A498,"始値")</f>
        <v>表示銘柄数超過</v>
      </c>
      <c r="M498" s="4" t="e">
        <f t="shared" si="45"/>
        <v>#VALUE!</v>
      </c>
      <c r="N498" s="21" t="str">
        <f>_xll.RssMarket(A498,"高値")</f>
        <v>表示銘柄数超過</v>
      </c>
      <c r="O498" s="4" t="e">
        <f t="shared" si="46"/>
        <v>#VALUE!</v>
      </c>
      <c r="P498" s="21" t="str">
        <f>_xll.RssMarket(A498,"安値")</f>
        <v>表示銘柄数超過</v>
      </c>
      <c r="Q498" s="4" t="e">
        <f t="shared" si="47"/>
        <v>#VALUE!</v>
      </c>
      <c r="R498" s="21" t="str">
        <f>_xll.RssMarket(A498,"後場始値")</f>
        <v>表示銘柄数超過</v>
      </c>
      <c r="S498" s="25" t="str">
        <f t="shared" si="48"/>
        <v>-</v>
      </c>
      <c r="T498" s="7" t="str">
        <f>_xll.RssMarket(A498,"出来高加重平均")</f>
        <v>表示銘柄数超過</v>
      </c>
      <c r="U498" s="4" t="e">
        <f t="shared" si="49"/>
        <v>#VALUE!</v>
      </c>
      <c r="V498" s="21" t="str">
        <f>_xll.RssMarket(A498,"出来高")</f>
        <v>表示銘柄数超過</v>
      </c>
      <c r="W498" s="21" t="str">
        <f>_xll.RssMarket(A498,"売買代金")</f>
        <v>表示銘柄数超過</v>
      </c>
      <c r="X498" s="20" t="str">
        <f>_xll.RssMarket(A498,"決算発表日")</f>
        <v>表示銘柄数超過</v>
      </c>
      <c r="Y498" s="26" t="str">
        <f>IF(C498&gt;_xll.RssMarket(A498,"年初来高値"),"○","×")</f>
        <v>×</v>
      </c>
      <c r="Z498" s="27" t="str">
        <f>IF(C498&lt;=_xll.RssMarket(A498,"年初来安値"),"○","×")</f>
        <v>○</v>
      </c>
    </row>
    <row r="499" spans="1:26" x14ac:dyDescent="0.25">
      <c r="A499" s="49">
        <v>4584</v>
      </c>
      <c r="B499" s="20" t="str">
        <f>_xll.RssMarket(A499,"銘柄名称")</f>
        <v>表示銘柄数超過</v>
      </c>
      <c r="C499" s="21" t="str">
        <f>_xll.RssMarket(A499,"現在値")</f>
        <v>表示銘柄数超過</v>
      </c>
      <c r="D499" s="20" t="str">
        <f>_xll.RssMarket(A499,"現在値詳細時刻")</f>
        <v>表示銘柄数超過</v>
      </c>
      <c r="E499" s="22" t="str">
        <f>_xll.RssMarket(A499,"前日比")</f>
        <v>表示銘柄数超過</v>
      </c>
      <c r="F499" s="23" t="e">
        <f>_xll.RssMarket(A499,"前日比率")/100</f>
        <v>#VALUE!</v>
      </c>
      <c r="G499" s="24" t="str">
        <f>IFERROR(VLOOKUP(A499,取得元!$A$2:$F$501,2,FALSE),"-")</f>
        <v>-</v>
      </c>
      <c r="H499" s="24" t="str">
        <f>IFERROR(VLOOKUP(A499,取得元!$A$2:$F$501,3,FALSE),"-")</f>
        <v>-</v>
      </c>
      <c r="I499" s="24" t="str">
        <f>IFERROR(VLOOKUP(A499,取得元!$A$2:$F$501,4,FALSE),"-")</f>
        <v>-</v>
      </c>
      <c r="J499" s="5" t="str">
        <f>IFERROR(VLOOKUP(A499,取得元!$A$2:$F$501,5,FALSE),"-")</f>
        <v>-</v>
      </c>
      <c r="K499" s="25" t="str">
        <f>IFERROR(VLOOKUP(A499,取得元!$A$2:$F$501,6,FALSE)/100,"-")</f>
        <v>-</v>
      </c>
      <c r="L499" s="21" t="str">
        <f>_xll.RssMarket(A499,"始値")</f>
        <v>表示銘柄数超過</v>
      </c>
      <c r="M499" s="4" t="e">
        <f t="shared" si="45"/>
        <v>#VALUE!</v>
      </c>
      <c r="N499" s="21" t="str">
        <f>_xll.RssMarket(A499,"高値")</f>
        <v>表示銘柄数超過</v>
      </c>
      <c r="O499" s="4" t="e">
        <f t="shared" si="46"/>
        <v>#VALUE!</v>
      </c>
      <c r="P499" s="21" t="str">
        <f>_xll.RssMarket(A499,"安値")</f>
        <v>表示銘柄数超過</v>
      </c>
      <c r="Q499" s="4" t="e">
        <f t="shared" si="47"/>
        <v>#VALUE!</v>
      </c>
      <c r="R499" s="21" t="str">
        <f>_xll.RssMarket(A499,"後場始値")</f>
        <v>表示銘柄数超過</v>
      </c>
      <c r="S499" s="25" t="str">
        <f t="shared" si="48"/>
        <v>-</v>
      </c>
      <c r="T499" s="7" t="str">
        <f>_xll.RssMarket(A499,"出来高加重平均")</f>
        <v>表示銘柄数超過</v>
      </c>
      <c r="U499" s="4" t="e">
        <f t="shared" si="49"/>
        <v>#VALUE!</v>
      </c>
      <c r="V499" s="21" t="str">
        <f>_xll.RssMarket(A499,"出来高")</f>
        <v>表示銘柄数超過</v>
      </c>
      <c r="W499" s="21" t="str">
        <f>_xll.RssMarket(A499,"売買代金")</f>
        <v>表示銘柄数超過</v>
      </c>
      <c r="X499" s="20" t="str">
        <f>_xll.RssMarket(A499,"決算発表日")</f>
        <v>表示銘柄数超過</v>
      </c>
      <c r="Y499" s="26" t="str">
        <f>IF(C499&gt;_xll.RssMarket(A499,"年初来高値"),"○","×")</f>
        <v>×</v>
      </c>
      <c r="Z499" s="27" t="str">
        <f>IF(C499&lt;=_xll.RssMarket(A499,"年初来安値"),"○","×")</f>
        <v>○</v>
      </c>
    </row>
    <row r="500" spans="1:26" x14ac:dyDescent="0.25">
      <c r="A500" s="47">
        <v>4586</v>
      </c>
      <c r="B500" s="20" t="str">
        <f>_xll.RssMarket(A500,"銘柄名称")</f>
        <v>表示銘柄数超過</v>
      </c>
      <c r="C500" s="21" t="str">
        <f>_xll.RssMarket(A500,"現在値")</f>
        <v>表示銘柄数超過</v>
      </c>
      <c r="D500" s="20" t="str">
        <f>_xll.RssMarket(A500,"現在値詳細時刻")</f>
        <v>表示銘柄数超過</v>
      </c>
      <c r="E500" s="22" t="str">
        <f>_xll.RssMarket(A500,"前日比")</f>
        <v>表示銘柄数超過</v>
      </c>
      <c r="F500" s="23" t="e">
        <f>_xll.RssMarket(A500,"前日比率")/100</f>
        <v>#VALUE!</v>
      </c>
      <c r="G500" s="24" t="str">
        <f>IFERROR(VLOOKUP(A500,取得元!$A$2:$F$501,2,FALSE),"-")</f>
        <v>-</v>
      </c>
      <c r="H500" s="24" t="str">
        <f>IFERROR(VLOOKUP(A500,取得元!$A$2:$F$501,3,FALSE),"-")</f>
        <v>-</v>
      </c>
      <c r="I500" s="24" t="str">
        <f>IFERROR(VLOOKUP(A500,取得元!$A$2:$F$501,4,FALSE),"-")</f>
        <v>-</v>
      </c>
      <c r="J500" s="5" t="str">
        <f>IFERROR(VLOOKUP(A500,取得元!$A$2:$F$501,5,FALSE),"-")</f>
        <v>-</v>
      </c>
      <c r="K500" s="25" t="str">
        <f>IFERROR(VLOOKUP(A500,取得元!$A$2:$F$501,6,FALSE)/100,"-")</f>
        <v>-</v>
      </c>
      <c r="L500" s="21" t="str">
        <f>_xll.RssMarket(A500,"始値")</f>
        <v>表示銘柄数超過</v>
      </c>
      <c r="M500" s="4" t="e">
        <f t="shared" si="45"/>
        <v>#VALUE!</v>
      </c>
      <c r="N500" s="21" t="str">
        <f>_xll.RssMarket(A500,"高値")</f>
        <v>表示銘柄数超過</v>
      </c>
      <c r="O500" s="4" t="e">
        <f t="shared" si="46"/>
        <v>#VALUE!</v>
      </c>
      <c r="P500" s="21" t="str">
        <f>_xll.RssMarket(A500,"安値")</f>
        <v>表示銘柄数超過</v>
      </c>
      <c r="Q500" s="4" t="e">
        <f t="shared" si="47"/>
        <v>#VALUE!</v>
      </c>
      <c r="R500" s="21" t="str">
        <f>_xll.RssMarket(A500,"後場始値")</f>
        <v>表示銘柄数超過</v>
      </c>
      <c r="S500" s="25" t="str">
        <f t="shared" si="48"/>
        <v>-</v>
      </c>
      <c r="T500" s="7" t="str">
        <f>_xll.RssMarket(A500,"出来高加重平均")</f>
        <v>表示銘柄数超過</v>
      </c>
      <c r="U500" s="4" t="e">
        <f t="shared" si="49"/>
        <v>#VALUE!</v>
      </c>
      <c r="V500" s="21" t="str">
        <f>_xll.RssMarket(A500,"出来高")</f>
        <v>表示銘柄数超過</v>
      </c>
      <c r="W500" s="21" t="str">
        <f>_xll.RssMarket(A500,"売買代金")</f>
        <v>表示銘柄数超過</v>
      </c>
      <c r="X500" s="20" t="str">
        <f>_xll.RssMarket(A500,"決算発表日")</f>
        <v>表示銘柄数超過</v>
      </c>
      <c r="Y500" s="26" t="str">
        <f>IF(C500&gt;_xll.RssMarket(A500,"年初来高値"),"○","×")</f>
        <v>×</v>
      </c>
      <c r="Z500" s="27" t="str">
        <f>IF(C500&lt;=_xll.RssMarket(A500,"年初来安値"),"○","×")</f>
        <v>○</v>
      </c>
    </row>
    <row r="501" spans="1:26" x14ac:dyDescent="0.25">
      <c r="A501" s="49">
        <v>4588</v>
      </c>
      <c r="B501" s="20" t="str">
        <f>_xll.RssMarket(A501,"銘柄名称")</f>
        <v>表示銘柄数超過</v>
      </c>
      <c r="C501" s="21" t="str">
        <f>_xll.RssMarket(A501,"現在値")</f>
        <v>表示銘柄数超過</v>
      </c>
      <c r="D501" s="20" t="str">
        <f>_xll.RssMarket(A501,"現在値詳細時刻")</f>
        <v>表示銘柄数超過</v>
      </c>
      <c r="E501" s="22" t="str">
        <f>_xll.RssMarket(A501,"前日比")</f>
        <v>表示銘柄数超過</v>
      </c>
      <c r="F501" s="23" t="e">
        <f>_xll.RssMarket(A501,"前日比率")/100</f>
        <v>#VALUE!</v>
      </c>
      <c r="G501" s="24" t="str">
        <f>IFERROR(VLOOKUP(A501,取得元!$A$2:$F$501,2,FALSE),"-")</f>
        <v>-</v>
      </c>
      <c r="H501" s="24" t="str">
        <f>IFERROR(VLOOKUP(A501,取得元!$A$2:$F$501,3,FALSE),"-")</f>
        <v>-</v>
      </c>
      <c r="I501" s="24" t="str">
        <f>IFERROR(VLOOKUP(A501,取得元!$A$2:$F$501,4,FALSE),"-")</f>
        <v>-</v>
      </c>
      <c r="J501" s="5" t="str">
        <f>IFERROR(VLOOKUP(A501,取得元!$A$2:$F$501,5,FALSE),"-")</f>
        <v>-</v>
      </c>
      <c r="K501" s="25" t="str">
        <f>IFERROR(VLOOKUP(A501,取得元!$A$2:$F$501,6,FALSE)/100,"-")</f>
        <v>-</v>
      </c>
      <c r="L501" s="21" t="str">
        <f>_xll.RssMarket(A501,"始値")</f>
        <v>表示銘柄数超過</v>
      </c>
      <c r="M501" s="4" t="e">
        <f t="shared" si="45"/>
        <v>#VALUE!</v>
      </c>
      <c r="N501" s="21" t="str">
        <f>_xll.RssMarket(A501,"高値")</f>
        <v>表示銘柄数超過</v>
      </c>
      <c r="O501" s="4" t="e">
        <f t="shared" si="46"/>
        <v>#VALUE!</v>
      </c>
      <c r="P501" s="21" t="str">
        <f>_xll.RssMarket(A501,"安値")</f>
        <v>表示銘柄数超過</v>
      </c>
      <c r="Q501" s="4" t="e">
        <f t="shared" si="47"/>
        <v>#VALUE!</v>
      </c>
      <c r="R501" s="21" t="str">
        <f>_xll.RssMarket(A501,"後場始値")</f>
        <v>表示銘柄数超過</v>
      </c>
      <c r="S501" s="25" t="str">
        <f t="shared" si="48"/>
        <v>-</v>
      </c>
      <c r="T501" s="7" t="str">
        <f>_xll.RssMarket(A501,"出来高加重平均")</f>
        <v>表示銘柄数超過</v>
      </c>
      <c r="U501" s="4" t="e">
        <f t="shared" si="49"/>
        <v>#VALUE!</v>
      </c>
      <c r="V501" s="21" t="str">
        <f>_xll.RssMarket(A501,"出来高")</f>
        <v>表示銘柄数超過</v>
      </c>
      <c r="W501" s="21" t="str">
        <f>_xll.RssMarket(A501,"売買代金")</f>
        <v>表示銘柄数超過</v>
      </c>
      <c r="X501" s="20" t="str">
        <f>_xll.RssMarket(A501,"決算発表日")</f>
        <v>表示銘柄数超過</v>
      </c>
      <c r="Y501" s="26" t="str">
        <f>IF(C501&gt;_xll.RssMarket(A501,"年初来高値"),"○","×")</f>
        <v>×</v>
      </c>
      <c r="Z501" s="27" t="str">
        <f>IF(C501&lt;=_xll.RssMarket(A501,"年初来安値"),"○","×")</f>
        <v>○</v>
      </c>
    </row>
    <row r="502" spans="1:26" x14ac:dyDescent="0.25">
      <c r="A502" s="47">
        <v>4591</v>
      </c>
      <c r="B502" s="20" t="str">
        <f>_xll.RssMarket(A502,"銘柄名称")</f>
        <v>表示銘柄数超過</v>
      </c>
      <c r="C502" s="21" t="str">
        <f>_xll.RssMarket(A502,"現在値")</f>
        <v>表示銘柄数超過</v>
      </c>
      <c r="D502" s="20" t="str">
        <f>_xll.RssMarket(A502,"現在値詳細時刻")</f>
        <v>表示銘柄数超過</v>
      </c>
      <c r="E502" s="22" t="str">
        <f>_xll.RssMarket(A502,"前日比")</f>
        <v>表示銘柄数超過</v>
      </c>
      <c r="F502" s="23" t="e">
        <f>_xll.RssMarket(A502,"前日比率")/100</f>
        <v>#VALUE!</v>
      </c>
      <c r="G502" s="24" t="str">
        <f>IFERROR(VLOOKUP(A502,取得元!$A$2:$F$501,2,FALSE),"-")</f>
        <v>-</v>
      </c>
      <c r="H502" s="24" t="str">
        <f>IFERROR(VLOOKUP(A502,取得元!$A$2:$F$501,3,FALSE),"-")</f>
        <v>-</v>
      </c>
      <c r="I502" s="24" t="str">
        <f>IFERROR(VLOOKUP(A502,取得元!$A$2:$F$501,4,FALSE),"-")</f>
        <v>-</v>
      </c>
      <c r="J502" s="5" t="str">
        <f>IFERROR(VLOOKUP(A502,取得元!$A$2:$F$501,5,FALSE),"-")</f>
        <v>-</v>
      </c>
      <c r="K502" s="25" t="str">
        <f>IFERROR(VLOOKUP(A502,取得元!$A$2:$F$501,6,FALSE)/100,"-")</f>
        <v>-</v>
      </c>
      <c r="L502" s="21" t="str">
        <f>_xll.RssMarket(A502,"始値")</f>
        <v>表示銘柄数超過</v>
      </c>
      <c r="M502" s="4" t="e">
        <f t="shared" si="45"/>
        <v>#VALUE!</v>
      </c>
      <c r="N502" s="21" t="str">
        <f>_xll.RssMarket(A502,"高値")</f>
        <v>表示銘柄数超過</v>
      </c>
      <c r="O502" s="4" t="e">
        <f t="shared" si="46"/>
        <v>#VALUE!</v>
      </c>
      <c r="P502" s="21" t="str">
        <f>_xll.RssMarket(A502,"安値")</f>
        <v>表示銘柄数超過</v>
      </c>
      <c r="Q502" s="4" t="e">
        <f t="shared" si="47"/>
        <v>#VALUE!</v>
      </c>
      <c r="R502" s="21" t="str">
        <f>_xll.RssMarket(A502,"後場始値")</f>
        <v>表示銘柄数超過</v>
      </c>
      <c r="S502" s="25" t="str">
        <f t="shared" si="48"/>
        <v>-</v>
      </c>
      <c r="T502" s="7" t="str">
        <f>_xll.RssMarket(A502,"出来高加重平均")</f>
        <v>表示銘柄数超過</v>
      </c>
      <c r="U502" s="4" t="e">
        <f t="shared" si="49"/>
        <v>#VALUE!</v>
      </c>
      <c r="V502" s="21" t="str">
        <f>_xll.RssMarket(A502,"出来高")</f>
        <v>表示銘柄数超過</v>
      </c>
      <c r="W502" s="21" t="str">
        <f>_xll.RssMarket(A502,"売買代金")</f>
        <v>表示銘柄数超過</v>
      </c>
      <c r="X502" s="20" t="str">
        <f>_xll.RssMarket(A502,"決算発表日")</f>
        <v>表示銘柄数超過</v>
      </c>
      <c r="Y502" s="26" t="str">
        <f>IF(C502&gt;_xll.RssMarket(A502,"年初来高値"),"○","×")</f>
        <v>×</v>
      </c>
      <c r="Z502" s="27" t="str">
        <f>IF(C502&lt;=_xll.RssMarket(A502,"年初来安値"),"○","×")</f>
        <v>○</v>
      </c>
    </row>
    <row r="503" spans="1:26" x14ac:dyDescent="0.25">
      <c r="A503" s="49">
        <v>4592</v>
      </c>
      <c r="B503" s="20" t="str">
        <f>_xll.RssMarket(A503,"銘柄名称")</f>
        <v>表示銘柄数超過</v>
      </c>
      <c r="C503" s="21" t="str">
        <f>_xll.RssMarket(A503,"現在値")</f>
        <v>表示銘柄数超過</v>
      </c>
      <c r="D503" s="20" t="str">
        <f>_xll.RssMarket(A503,"現在値詳細時刻")</f>
        <v>表示銘柄数超過</v>
      </c>
      <c r="E503" s="22" t="str">
        <f>_xll.RssMarket(A503,"前日比")</f>
        <v>表示銘柄数超過</v>
      </c>
      <c r="F503" s="23" t="e">
        <f>_xll.RssMarket(A503,"前日比率")/100</f>
        <v>#VALUE!</v>
      </c>
      <c r="G503" s="24" t="str">
        <f>IFERROR(VLOOKUP(A503,取得元!$A$2:$F$501,2,FALSE),"-")</f>
        <v>-</v>
      </c>
      <c r="H503" s="24" t="str">
        <f>IFERROR(VLOOKUP(A503,取得元!$A$2:$F$501,3,FALSE),"-")</f>
        <v>-</v>
      </c>
      <c r="I503" s="24" t="str">
        <f>IFERROR(VLOOKUP(A503,取得元!$A$2:$F$501,4,FALSE),"-")</f>
        <v>-</v>
      </c>
      <c r="J503" s="5" t="str">
        <f>IFERROR(VLOOKUP(A503,取得元!$A$2:$F$501,5,FALSE),"-")</f>
        <v>-</v>
      </c>
      <c r="K503" s="25" t="str">
        <f>IFERROR(VLOOKUP(A503,取得元!$A$2:$F$501,6,FALSE)/100,"-")</f>
        <v>-</v>
      </c>
      <c r="L503" s="21" t="str">
        <f>_xll.RssMarket(A503,"始値")</f>
        <v>表示銘柄数超過</v>
      </c>
      <c r="M503" s="4" t="e">
        <f t="shared" si="45"/>
        <v>#VALUE!</v>
      </c>
      <c r="N503" s="21" t="str">
        <f>_xll.RssMarket(A503,"高値")</f>
        <v>表示銘柄数超過</v>
      </c>
      <c r="O503" s="4" t="e">
        <f t="shared" si="46"/>
        <v>#VALUE!</v>
      </c>
      <c r="P503" s="21" t="str">
        <f>_xll.RssMarket(A503,"安値")</f>
        <v>表示銘柄数超過</v>
      </c>
      <c r="Q503" s="4" t="e">
        <f t="shared" si="47"/>
        <v>#VALUE!</v>
      </c>
      <c r="R503" s="21" t="str">
        <f>_xll.RssMarket(A503,"後場始値")</f>
        <v>表示銘柄数超過</v>
      </c>
      <c r="S503" s="25" t="str">
        <f t="shared" si="48"/>
        <v>-</v>
      </c>
      <c r="T503" s="7" t="str">
        <f>_xll.RssMarket(A503,"出来高加重平均")</f>
        <v>表示銘柄数超過</v>
      </c>
      <c r="U503" s="4" t="e">
        <f t="shared" si="49"/>
        <v>#VALUE!</v>
      </c>
      <c r="V503" s="21" t="str">
        <f>_xll.RssMarket(A503,"出来高")</f>
        <v>表示銘柄数超過</v>
      </c>
      <c r="W503" s="21" t="str">
        <f>_xll.RssMarket(A503,"売買代金")</f>
        <v>表示銘柄数超過</v>
      </c>
      <c r="X503" s="20" t="str">
        <f>_xll.RssMarket(A503,"決算発表日")</f>
        <v>表示銘柄数超過</v>
      </c>
      <c r="Y503" s="26" t="str">
        <f>IF(C503&gt;_xll.RssMarket(A503,"年初来高値"),"○","×")</f>
        <v>×</v>
      </c>
      <c r="Z503" s="27" t="str">
        <f>IF(C503&lt;=_xll.RssMarket(A503,"年初来安値"),"○","×")</f>
        <v>○</v>
      </c>
    </row>
    <row r="504" spans="1:26" x14ac:dyDescent="0.25">
      <c r="A504" s="47">
        <v>4593</v>
      </c>
      <c r="B504" s="20" t="str">
        <f>_xll.RssMarket(A504,"銘柄名称")</f>
        <v>表示銘柄数超過</v>
      </c>
      <c r="C504" s="21" t="str">
        <f>_xll.RssMarket(A504,"現在値")</f>
        <v>表示銘柄数超過</v>
      </c>
      <c r="D504" s="20" t="str">
        <f>_xll.RssMarket(A504,"現在値詳細時刻")</f>
        <v>表示銘柄数超過</v>
      </c>
      <c r="E504" s="22" t="str">
        <f>_xll.RssMarket(A504,"前日比")</f>
        <v>表示銘柄数超過</v>
      </c>
      <c r="F504" s="23" t="e">
        <f>_xll.RssMarket(A504,"前日比率")/100</f>
        <v>#VALUE!</v>
      </c>
      <c r="G504" s="24" t="str">
        <f>IFERROR(VLOOKUP(A504,取得元!$A$2:$F$501,2,FALSE),"-")</f>
        <v>-</v>
      </c>
      <c r="H504" s="24" t="str">
        <f>IFERROR(VLOOKUP(A504,取得元!$A$2:$F$501,3,FALSE),"-")</f>
        <v>-</v>
      </c>
      <c r="I504" s="24" t="str">
        <f>IFERROR(VLOOKUP(A504,取得元!$A$2:$F$501,4,FALSE),"-")</f>
        <v>-</v>
      </c>
      <c r="J504" s="5" t="str">
        <f>IFERROR(VLOOKUP(A504,取得元!$A$2:$F$501,5,FALSE),"-")</f>
        <v>-</v>
      </c>
      <c r="K504" s="25" t="str">
        <f>IFERROR(VLOOKUP(A504,取得元!$A$2:$F$501,6,FALSE)/100,"-")</f>
        <v>-</v>
      </c>
      <c r="L504" s="21" t="str">
        <f>_xll.RssMarket(A504,"始値")</f>
        <v>表示銘柄数超過</v>
      </c>
      <c r="M504" s="4" t="e">
        <f t="shared" si="45"/>
        <v>#VALUE!</v>
      </c>
      <c r="N504" s="21" t="str">
        <f>_xll.RssMarket(A504,"高値")</f>
        <v>表示銘柄数超過</v>
      </c>
      <c r="O504" s="4" t="e">
        <f t="shared" si="46"/>
        <v>#VALUE!</v>
      </c>
      <c r="P504" s="21" t="str">
        <f>_xll.RssMarket(A504,"安値")</f>
        <v>表示銘柄数超過</v>
      </c>
      <c r="Q504" s="4" t="e">
        <f t="shared" si="47"/>
        <v>#VALUE!</v>
      </c>
      <c r="R504" s="21" t="str">
        <f>_xll.RssMarket(A504,"後場始値")</f>
        <v>表示銘柄数超過</v>
      </c>
      <c r="S504" s="25" t="str">
        <f t="shared" si="48"/>
        <v>-</v>
      </c>
      <c r="T504" s="7" t="str">
        <f>_xll.RssMarket(A504,"出来高加重平均")</f>
        <v>表示銘柄数超過</v>
      </c>
      <c r="U504" s="4" t="e">
        <f t="shared" si="49"/>
        <v>#VALUE!</v>
      </c>
      <c r="V504" s="21" t="str">
        <f>_xll.RssMarket(A504,"出来高")</f>
        <v>表示銘柄数超過</v>
      </c>
      <c r="W504" s="21" t="str">
        <f>_xll.RssMarket(A504,"売買代金")</f>
        <v>表示銘柄数超過</v>
      </c>
      <c r="X504" s="20" t="str">
        <f>_xll.RssMarket(A504,"決算発表日")</f>
        <v>表示銘柄数超過</v>
      </c>
      <c r="Y504" s="26" t="str">
        <f>IF(C504&gt;_xll.RssMarket(A504,"年初来高値"),"○","×")</f>
        <v>×</v>
      </c>
      <c r="Z504" s="27" t="str">
        <f>IF(C504&lt;=_xll.RssMarket(A504,"年初来安値"),"○","×")</f>
        <v>○</v>
      </c>
    </row>
    <row r="505" spans="1:26" x14ac:dyDescent="0.25">
      <c r="A505" s="49">
        <v>4594</v>
      </c>
      <c r="B505" s="20" t="str">
        <f>_xll.RssMarket(A505,"銘柄名称")</f>
        <v>表示銘柄数超過</v>
      </c>
      <c r="C505" s="21" t="str">
        <f>_xll.RssMarket(A505,"現在値")</f>
        <v>表示銘柄数超過</v>
      </c>
      <c r="D505" s="20" t="str">
        <f>_xll.RssMarket(A505,"現在値詳細時刻")</f>
        <v>表示銘柄数超過</v>
      </c>
      <c r="E505" s="22" t="str">
        <f>_xll.RssMarket(A505,"前日比")</f>
        <v>表示銘柄数超過</v>
      </c>
      <c r="F505" s="23" t="e">
        <f>_xll.RssMarket(A505,"前日比率")/100</f>
        <v>#VALUE!</v>
      </c>
      <c r="G505" s="24" t="str">
        <f>IFERROR(VLOOKUP(A505,取得元!$A$2:$F$501,2,FALSE),"-")</f>
        <v>-</v>
      </c>
      <c r="H505" s="24" t="str">
        <f>IFERROR(VLOOKUP(A505,取得元!$A$2:$F$501,3,FALSE),"-")</f>
        <v>-</v>
      </c>
      <c r="I505" s="24" t="str">
        <f>IFERROR(VLOOKUP(A505,取得元!$A$2:$F$501,4,FALSE),"-")</f>
        <v>-</v>
      </c>
      <c r="J505" s="5" t="str">
        <f>IFERROR(VLOOKUP(A505,取得元!$A$2:$F$501,5,FALSE),"-")</f>
        <v>-</v>
      </c>
      <c r="K505" s="25" t="str">
        <f>IFERROR(VLOOKUP(A505,取得元!$A$2:$F$501,6,FALSE)/100,"-")</f>
        <v>-</v>
      </c>
      <c r="L505" s="21" t="str">
        <f>_xll.RssMarket(A505,"始値")</f>
        <v>表示銘柄数超過</v>
      </c>
      <c r="M505" s="4" t="e">
        <f t="shared" si="45"/>
        <v>#VALUE!</v>
      </c>
      <c r="N505" s="21" t="str">
        <f>_xll.RssMarket(A505,"高値")</f>
        <v>表示銘柄数超過</v>
      </c>
      <c r="O505" s="4" t="e">
        <f t="shared" si="46"/>
        <v>#VALUE!</v>
      </c>
      <c r="P505" s="21" t="str">
        <f>_xll.RssMarket(A505,"安値")</f>
        <v>表示銘柄数超過</v>
      </c>
      <c r="Q505" s="4" t="e">
        <f t="shared" si="47"/>
        <v>#VALUE!</v>
      </c>
      <c r="R505" s="21" t="str">
        <f>_xll.RssMarket(A505,"後場始値")</f>
        <v>表示銘柄数超過</v>
      </c>
      <c r="S505" s="25" t="str">
        <f t="shared" si="48"/>
        <v>-</v>
      </c>
      <c r="T505" s="7" t="str">
        <f>_xll.RssMarket(A505,"出来高加重平均")</f>
        <v>表示銘柄数超過</v>
      </c>
      <c r="U505" s="4" t="e">
        <f t="shared" si="49"/>
        <v>#VALUE!</v>
      </c>
      <c r="V505" s="21" t="str">
        <f>_xll.RssMarket(A505,"出来高")</f>
        <v>表示銘柄数超過</v>
      </c>
      <c r="W505" s="21" t="str">
        <f>_xll.RssMarket(A505,"売買代金")</f>
        <v>表示銘柄数超過</v>
      </c>
      <c r="X505" s="20" t="str">
        <f>_xll.RssMarket(A505,"決算発表日")</f>
        <v>表示銘柄数超過</v>
      </c>
      <c r="Y505" s="26" t="str">
        <f>IF(C505&gt;_xll.RssMarket(A505,"年初来高値"),"○","×")</f>
        <v>×</v>
      </c>
      <c r="Z505" s="27" t="str">
        <f>IF(C505&lt;=_xll.RssMarket(A505,"年初来安値"),"○","×")</f>
        <v>○</v>
      </c>
    </row>
    <row r="506" spans="1:26" x14ac:dyDescent="0.25">
      <c r="A506" s="47">
        <v>4596</v>
      </c>
      <c r="B506" s="20" t="str">
        <f>_xll.RssMarket(A506,"銘柄名称")</f>
        <v>表示銘柄数超過</v>
      </c>
      <c r="C506" s="21" t="str">
        <f>_xll.RssMarket(A506,"現在値")</f>
        <v>表示銘柄数超過</v>
      </c>
      <c r="D506" s="20" t="str">
        <f>_xll.RssMarket(A506,"現在値詳細時刻")</f>
        <v>表示銘柄数超過</v>
      </c>
      <c r="E506" s="22" t="str">
        <f>_xll.RssMarket(A506,"前日比")</f>
        <v>表示銘柄数超過</v>
      </c>
      <c r="F506" s="23" t="e">
        <f>_xll.RssMarket(A506,"前日比率")/100</f>
        <v>#VALUE!</v>
      </c>
      <c r="G506" s="24" t="str">
        <f>IFERROR(VLOOKUP(A506,取得元!$A$2:$F$501,2,FALSE),"-")</f>
        <v>-</v>
      </c>
      <c r="H506" s="24" t="str">
        <f>IFERROR(VLOOKUP(A506,取得元!$A$2:$F$501,3,FALSE),"-")</f>
        <v>-</v>
      </c>
      <c r="I506" s="24" t="str">
        <f>IFERROR(VLOOKUP(A506,取得元!$A$2:$F$501,4,FALSE),"-")</f>
        <v>-</v>
      </c>
      <c r="J506" s="5" t="str">
        <f>IFERROR(VLOOKUP(A506,取得元!$A$2:$F$501,5,FALSE),"-")</f>
        <v>-</v>
      </c>
      <c r="K506" s="25" t="str">
        <f>IFERROR(VLOOKUP(A506,取得元!$A$2:$F$501,6,FALSE)/100,"-")</f>
        <v>-</v>
      </c>
      <c r="L506" s="21" t="str">
        <f>_xll.RssMarket(A506,"始値")</f>
        <v>表示銘柄数超過</v>
      </c>
      <c r="M506" s="4" t="e">
        <f t="shared" ref="M506:M533" si="50">C506/L506-1</f>
        <v>#VALUE!</v>
      </c>
      <c r="N506" s="21" t="str">
        <f>_xll.RssMarket(A506,"高値")</f>
        <v>表示銘柄数超過</v>
      </c>
      <c r="O506" s="4" t="e">
        <f t="shared" ref="O506:O533" si="51">C506/N506-1</f>
        <v>#VALUE!</v>
      </c>
      <c r="P506" s="21" t="str">
        <f>_xll.RssMarket(A506,"安値")</f>
        <v>表示銘柄数超過</v>
      </c>
      <c r="Q506" s="4" t="e">
        <f t="shared" ref="Q506:Q533" si="52">C506/P506-1</f>
        <v>#VALUE!</v>
      </c>
      <c r="R506" s="21" t="str">
        <f>_xll.RssMarket(A506,"後場始値")</f>
        <v>表示銘柄数超過</v>
      </c>
      <c r="S506" s="25" t="str">
        <f t="shared" ref="S506:S533" si="53">IFERROR(C506/R506-1,"-")</f>
        <v>-</v>
      </c>
      <c r="T506" s="7" t="str">
        <f>_xll.RssMarket(A506,"出来高加重平均")</f>
        <v>表示銘柄数超過</v>
      </c>
      <c r="U506" s="4" t="e">
        <f t="shared" ref="U506:U533" si="54">C506/T506-1</f>
        <v>#VALUE!</v>
      </c>
      <c r="V506" s="21" t="str">
        <f>_xll.RssMarket(A506,"出来高")</f>
        <v>表示銘柄数超過</v>
      </c>
      <c r="W506" s="21" t="str">
        <f>_xll.RssMarket(A506,"売買代金")</f>
        <v>表示銘柄数超過</v>
      </c>
      <c r="X506" s="20" t="str">
        <f>_xll.RssMarket(A506,"決算発表日")</f>
        <v>表示銘柄数超過</v>
      </c>
      <c r="Y506" s="26" t="str">
        <f>IF(C506&gt;_xll.RssMarket(A506,"年初来高値"),"○","×")</f>
        <v>×</v>
      </c>
      <c r="Z506" s="27" t="str">
        <f>IF(C506&lt;=_xll.RssMarket(A506,"年初来安値"),"○","×")</f>
        <v>○</v>
      </c>
    </row>
    <row r="507" spans="1:26" x14ac:dyDescent="0.25">
      <c r="A507" s="49">
        <v>4597</v>
      </c>
      <c r="B507" s="20" t="str">
        <f>_xll.RssMarket(A507,"銘柄名称")</f>
        <v>表示銘柄数超過</v>
      </c>
      <c r="C507" s="21" t="str">
        <f>_xll.RssMarket(A507,"現在値")</f>
        <v>表示銘柄数超過</v>
      </c>
      <c r="D507" s="20" t="str">
        <f>_xll.RssMarket(A507,"現在値詳細時刻")</f>
        <v>表示銘柄数超過</v>
      </c>
      <c r="E507" s="22" t="str">
        <f>_xll.RssMarket(A507,"前日比")</f>
        <v>表示銘柄数超過</v>
      </c>
      <c r="F507" s="23" t="e">
        <f>_xll.RssMarket(A507,"前日比率")/100</f>
        <v>#VALUE!</v>
      </c>
      <c r="G507" s="24" t="str">
        <f>IFERROR(VLOOKUP(A507,取得元!$A$2:$F$501,2,FALSE),"-")</f>
        <v>-</v>
      </c>
      <c r="H507" s="24" t="str">
        <f>IFERROR(VLOOKUP(A507,取得元!$A$2:$F$501,3,FALSE),"-")</f>
        <v>-</v>
      </c>
      <c r="I507" s="24" t="str">
        <f>IFERROR(VLOOKUP(A507,取得元!$A$2:$F$501,4,FALSE),"-")</f>
        <v>-</v>
      </c>
      <c r="J507" s="5" t="str">
        <f>IFERROR(VLOOKUP(A507,取得元!$A$2:$F$501,5,FALSE),"-")</f>
        <v>-</v>
      </c>
      <c r="K507" s="25" t="str">
        <f>IFERROR(VLOOKUP(A507,取得元!$A$2:$F$501,6,FALSE)/100,"-")</f>
        <v>-</v>
      </c>
      <c r="L507" s="21" t="str">
        <f>_xll.RssMarket(A507,"始値")</f>
        <v>表示銘柄数超過</v>
      </c>
      <c r="M507" s="4" t="e">
        <f t="shared" si="50"/>
        <v>#VALUE!</v>
      </c>
      <c r="N507" s="21" t="str">
        <f>_xll.RssMarket(A507,"高値")</f>
        <v>表示銘柄数超過</v>
      </c>
      <c r="O507" s="4" t="e">
        <f t="shared" si="51"/>
        <v>#VALUE!</v>
      </c>
      <c r="P507" s="21" t="str">
        <f>_xll.RssMarket(A507,"安値")</f>
        <v>表示銘柄数超過</v>
      </c>
      <c r="Q507" s="4" t="e">
        <f t="shared" si="52"/>
        <v>#VALUE!</v>
      </c>
      <c r="R507" s="21" t="str">
        <f>_xll.RssMarket(A507,"後場始値")</f>
        <v>表示銘柄数超過</v>
      </c>
      <c r="S507" s="25" t="str">
        <f t="shared" si="53"/>
        <v>-</v>
      </c>
      <c r="T507" s="7" t="str">
        <f>_xll.RssMarket(A507,"出来高加重平均")</f>
        <v>表示銘柄数超過</v>
      </c>
      <c r="U507" s="4" t="e">
        <f t="shared" si="54"/>
        <v>#VALUE!</v>
      </c>
      <c r="V507" s="21" t="str">
        <f>_xll.RssMarket(A507,"出来高")</f>
        <v>表示銘柄数超過</v>
      </c>
      <c r="W507" s="21" t="str">
        <f>_xll.RssMarket(A507,"売買代金")</f>
        <v>表示銘柄数超過</v>
      </c>
      <c r="X507" s="20" t="str">
        <f>_xll.RssMarket(A507,"決算発表日")</f>
        <v>表示銘柄数超過</v>
      </c>
      <c r="Y507" s="26" t="str">
        <f>IF(C507&gt;_xll.RssMarket(A507,"年初来高値"),"○","×")</f>
        <v>×</v>
      </c>
      <c r="Z507" s="27" t="str">
        <f>IF(C507&lt;=_xll.RssMarket(A507,"年初来安値"),"○","×")</f>
        <v>○</v>
      </c>
    </row>
    <row r="508" spans="1:26" x14ac:dyDescent="0.25">
      <c r="A508" s="47">
        <v>4611</v>
      </c>
      <c r="B508" s="20" t="str">
        <f>_xll.RssMarket(A508,"銘柄名称")</f>
        <v>表示銘柄数超過</v>
      </c>
      <c r="C508" s="21" t="str">
        <f>_xll.RssMarket(A508,"現在値")</f>
        <v>表示銘柄数超過</v>
      </c>
      <c r="D508" s="20" t="str">
        <f>_xll.RssMarket(A508,"現在値詳細時刻")</f>
        <v>表示銘柄数超過</v>
      </c>
      <c r="E508" s="22" t="str">
        <f>_xll.RssMarket(A508,"前日比")</f>
        <v>表示銘柄数超過</v>
      </c>
      <c r="F508" s="23" t="e">
        <f>_xll.RssMarket(A508,"前日比率")/100</f>
        <v>#VALUE!</v>
      </c>
      <c r="G508" s="24" t="str">
        <f>IFERROR(VLOOKUP(A508,取得元!$A$2:$F$501,2,FALSE),"-")</f>
        <v>-</v>
      </c>
      <c r="H508" s="24" t="str">
        <f>IFERROR(VLOOKUP(A508,取得元!$A$2:$F$501,3,FALSE),"-")</f>
        <v>-</v>
      </c>
      <c r="I508" s="24" t="str">
        <f>IFERROR(VLOOKUP(A508,取得元!$A$2:$F$501,4,FALSE),"-")</f>
        <v>-</v>
      </c>
      <c r="J508" s="5" t="str">
        <f>IFERROR(VLOOKUP(A508,取得元!$A$2:$F$501,5,FALSE),"-")</f>
        <v>-</v>
      </c>
      <c r="K508" s="25" t="str">
        <f>IFERROR(VLOOKUP(A508,取得元!$A$2:$F$501,6,FALSE)/100,"-")</f>
        <v>-</v>
      </c>
      <c r="L508" s="21" t="str">
        <f>_xll.RssMarket(A508,"始値")</f>
        <v>表示銘柄数超過</v>
      </c>
      <c r="M508" s="4" t="e">
        <f t="shared" si="50"/>
        <v>#VALUE!</v>
      </c>
      <c r="N508" s="21" t="str">
        <f>_xll.RssMarket(A508,"高値")</f>
        <v>表示銘柄数超過</v>
      </c>
      <c r="O508" s="4" t="e">
        <f t="shared" si="51"/>
        <v>#VALUE!</v>
      </c>
      <c r="P508" s="21" t="str">
        <f>_xll.RssMarket(A508,"安値")</f>
        <v>表示銘柄数超過</v>
      </c>
      <c r="Q508" s="4" t="e">
        <f t="shared" si="52"/>
        <v>#VALUE!</v>
      </c>
      <c r="R508" s="21" t="str">
        <f>_xll.RssMarket(A508,"後場始値")</f>
        <v>表示銘柄数超過</v>
      </c>
      <c r="S508" s="25" t="str">
        <f t="shared" si="53"/>
        <v>-</v>
      </c>
      <c r="T508" s="7" t="str">
        <f>_xll.RssMarket(A508,"出来高加重平均")</f>
        <v>表示銘柄数超過</v>
      </c>
      <c r="U508" s="4" t="e">
        <f t="shared" si="54"/>
        <v>#VALUE!</v>
      </c>
      <c r="V508" s="21" t="str">
        <f>_xll.RssMarket(A508,"出来高")</f>
        <v>表示銘柄数超過</v>
      </c>
      <c r="W508" s="21" t="str">
        <f>_xll.RssMarket(A508,"売買代金")</f>
        <v>表示銘柄数超過</v>
      </c>
      <c r="X508" s="20" t="str">
        <f>_xll.RssMarket(A508,"決算発表日")</f>
        <v>表示銘柄数超過</v>
      </c>
      <c r="Y508" s="26" t="str">
        <f>IF(C508&gt;_xll.RssMarket(A508,"年初来高値"),"○","×")</f>
        <v>×</v>
      </c>
      <c r="Z508" s="27" t="str">
        <f>IF(C508&lt;=_xll.RssMarket(A508,"年初来安値"),"○","×")</f>
        <v>○</v>
      </c>
    </row>
    <row r="509" spans="1:26" x14ac:dyDescent="0.25">
      <c r="A509" s="49">
        <v>4612</v>
      </c>
      <c r="B509" s="20" t="str">
        <f>_xll.RssMarket(A509,"銘柄名称")</f>
        <v>表示銘柄数超過</v>
      </c>
      <c r="C509" s="21" t="str">
        <f>_xll.RssMarket(A509,"現在値")</f>
        <v>表示銘柄数超過</v>
      </c>
      <c r="D509" s="20" t="str">
        <f>_xll.RssMarket(A509,"現在値詳細時刻")</f>
        <v>表示銘柄数超過</v>
      </c>
      <c r="E509" s="22" t="str">
        <f>_xll.RssMarket(A509,"前日比")</f>
        <v>表示銘柄数超過</v>
      </c>
      <c r="F509" s="23" t="e">
        <f>_xll.RssMarket(A509,"前日比率")/100</f>
        <v>#VALUE!</v>
      </c>
      <c r="G509" s="24" t="str">
        <f>IFERROR(VLOOKUP(A509,取得元!$A$2:$F$501,2,FALSE),"-")</f>
        <v>-</v>
      </c>
      <c r="H509" s="24" t="str">
        <f>IFERROR(VLOOKUP(A509,取得元!$A$2:$F$501,3,FALSE),"-")</f>
        <v>-</v>
      </c>
      <c r="I509" s="24" t="str">
        <f>IFERROR(VLOOKUP(A509,取得元!$A$2:$F$501,4,FALSE),"-")</f>
        <v>-</v>
      </c>
      <c r="J509" s="5" t="str">
        <f>IFERROR(VLOOKUP(A509,取得元!$A$2:$F$501,5,FALSE),"-")</f>
        <v>-</v>
      </c>
      <c r="K509" s="25" t="str">
        <f>IFERROR(VLOOKUP(A509,取得元!$A$2:$F$501,6,FALSE)/100,"-")</f>
        <v>-</v>
      </c>
      <c r="L509" s="21" t="str">
        <f>_xll.RssMarket(A509,"始値")</f>
        <v>表示銘柄数超過</v>
      </c>
      <c r="M509" s="4" t="e">
        <f t="shared" si="50"/>
        <v>#VALUE!</v>
      </c>
      <c r="N509" s="21" t="str">
        <f>_xll.RssMarket(A509,"高値")</f>
        <v>表示銘柄数超過</v>
      </c>
      <c r="O509" s="4" t="e">
        <f t="shared" si="51"/>
        <v>#VALUE!</v>
      </c>
      <c r="P509" s="21" t="str">
        <f>_xll.RssMarket(A509,"安値")</f>
        <v>表示銘柄数超過</v>
      </c>
      <c r="Q509" s="4" t="e">
        <f t="shared" si="52"/>
        <v>#VALUE!</v>
      </c>
      <c r="R509" s="21" t="str">
        <f>_xll.RssMarket(A509,"後場始値")</f>
        <v>表示銘柄数超過</v>
      </c>
      <c r="S509" s="25" t="str">
        <f t="shared" si="53"/>
        <v>-</v>
      </c>
      <c r="T509" s="7" t="str">
        <f>_xll.RssMarket(A509,"出来高加重平均")</f>
        <v>表示銘柄数超過</v>
      </c>
      <c r="U509" s="4" t="e">
        <f t="shared" si="54"/>
        <v>#VALUE!</v>
      </c>
      <c r="V509" s="21" t="str">
        <f>_xll.RssMarket(A509,"出来高")</f>
        <v>表示銘柄数超過</v>
      </c>
      <c r="W509" s="21" t="str">
        <f>_xll.RssMarket(A509,"売買代金")</f>
        <v>表示銘柄数超過</v>
      </c>
      <c r="X509" s="20" t="str">
        <f>_xll.RssMarket(A509,"決算発表日")</f>
        <v>表示銘柄数超過</v>
      </c>
      <c r="Y509" s="26" t="str">
        <f>IF(C509&gt;_xll.RssMarket(A509,"年初来高値"),"○","×")</f>
        <v>×</v>
      </c>
      <c r="Z509" s="27" t="str">
        <f>IF(C509&lt;=_xll.RssMarket(A509,"年初来安値"),"○","×")</f>
        <v>○</v>
      </c>
    </row>
    <row r="510" spans="1:26" x14ac:dyDescent="0.25">
      <c r="A510" s="47">
        <v>4613</v>
      </c>
      <c r="B510" s="20" t="str">
        <f>_xll.RssMarket(A510,"銘柄名称")</f>
        <v>表示銘柄数超過</v>
      </c>
      <c r="C510" s="21" t="str">
        <f>_xll.RssMarket(A510,"現在値")</f>
        <v>表示銘柄数超過</v>
      </c>
      <c r="D510" s="20" t="str">
        <f>_xll.RssMarket(A510,"現在値詳細時刻")</f>
        <v>表示銘柄数超過</v>
      </c>
      <c r="E510" s="22" t="str">
        <f>_xll.RssMarket(A510,"前日比")</f>
        <v>表示銘柄数超過</v>
      </c>
      <c r="F510" s="23" t="e">
        <f>_xll.RssMarket(A510,"前日比率")/100</f>
        <v>#VALUE!</v>
      </c>
      <c r="G510" s="24" t="str">
        <f>IFERROR(VLOOKUP(A510,取得元!$A$2:$F$501,2,FALSE),"-")</f>
        <v>-</v>
      </c>
      <c r="H510" s="24" t="str">
        <f>IFERROR(VLOOKUP(A510,取得元!$A$2:$F$501,3,FALSE),"-")</f>
        <v>-</v>
      </c>
      <c r="I510" s="24" t="str">
        <f>IFERROR(VLOOKUP(A510,取得元!$A$2:$F$501,4,FALSE),"-")</f>
        <v>-</v>
      </c>
      <c r="J510" s="5" t="str">
        <f>IFERROR(VLOOKUP(A510,取得元!$A$2:$F$501,5,FALSE),"-")</f>
        <v>-</v>
      </c>
      <c r="K510" s="25" t="str">
        <f>IFERROR(VLOOKUP(A510,取得元!$A$2:$F$501,6,FALSE)/100,"-")</f>
        <v>-</v>
      </c>
      <c r="L510" s="21" t="str">
        <f>_xll.RssMarket(A510,"始値")</f>
        <v>表示銘柄数超過</v>
      </c>
      <c r="M510" s="4" t="e">
        <f t="shared" si="50"/>
        <v>#VALUE!</v>
      </c>
      <c r="N510" s="21" t="str">
        <f>_xll.RssMarket(A510,"高値")</f>
        <v>表示銘柄数超過</v>
      </c>
      <c r="O510" s="4" t="e">
        <f t="shared" si="51"/>
        <v>#VALUE!</v>
      </c>
      <c r="P510" s="21" t="str">
        <f>_xll.RssMarket(A510,"安値")</f>
        <v>表示銘柄数超過</v>
      </c>
      <c r="Q510" s="4" t="e">
        <f t="shared" si="52"/>
        <v>#VALUE!</v>
      </c>
      <c r="R510" s="21" t="str">
        <f>_xll.RssMarket(A510,"後場始値")</f>
        <v>表示銘柄数超過</v>
      </c>
      <c r="S510" s="25" t="str">
        <f t="shared" si="53"/>
        <v>-</v>
      </c>
      <c r="T510" s="7" t="str">
        <f>_xll.RssMarket(A510,"出来高加重平均")</f>
        <v>表示銘柄数超過</v>
      </c>
      <c r="U510" s="4" t="e">
        <f t="shared" si="54"/>
        <v>#VALUE!</v>
      </c>
      <c r="V510" s="21" t="str">
        <f>_xll.RssMarket(A510,"出来高")</f>
        <v>表示銘柄数超過</v>
      </c>
      <c r="W510" s="21" t="str">
        <f>_xll.RssMarket(A510,"売買代金")</f>
        <v>表示銘柄数超過</v>
      </c>
      <c r="X510" s="20" t="str">
        <f>_xll.RssMarket(A510,"決算発表日")</f>
        <v>表示銘柄数超過</v>
      </c>
      <c r="Y510" s="26" t="str">
        <f>IF(C510&gt;_xll.RssMarket(A510,"年初来高値"),"○","×")</f>
        <v>×</v>
      </c>
      <c r="Z510" s="27" t="str">
        <f>IF(C510&lt;=_xll.RssMarket(A510,"年初来安値"),"○","×")</f>
        <v>○</v>
      </c>
    </row>
    <row r="511" spans="1:26" x14ac:dyDescent="0.25">
      <c r="A511" s="49">
        <v>4619</v>
      </c>
      <c r="B511" s="20" t="str">
        <f>_xll.RssMarket(A511,"銘柄名称")</f>
        <v>表示銘柄数超過</v>
      </c>
      <c r="C511" s="21" t="str">
        <f>_xll.RssMarket(A511,"現在値")</f>
        <v>表示銘柄数超過</v>
      </c>
      <c r="D511" s="20" t="str">
        <f>_xll.RssMarket(A511,"現在値詳細時刻")</f>
        <v>表示銘柄数超過</v>
      </c>
      <c r="E511" s="22" t="str">
        <f>_xll.RssMarket(A511,"前日比")</f>
        <v>表示銘柄数超過</v>
      </c>
      <c r="F511" s="23" t="e">
        <f>_xll.RssMarket(A511,"前日比率")/100</f>
        <v>#VALUE!</v>
      </c>
      <c r="G511" s="24" t="str">
        <f>IFERROR(VLOOKUP(A511,取得元!$A$2:$F$501,2,FALSE),"-")</f>
        <v>-</v>
      </c>
      <c r="H511" s="24" t="str">
        <f>IFERROR(VLOOKUP(A511,取得元!$A$2:$F$501,3,FALSE),"-")</f>
        <v>-</v>
      </c>
      <c r="I511" s="24" t="str">
        <f>IFERROR(VLOOKUP(A511,取得元!$A$2:$F$501,4,FALSE),"-")</f>
        <v>-</v>
      </c>
      <c r="J511" s="5" t="str">
        <f>IFERROR(VLOOKUP(A511,取得元!$A$2:$F$501,5,FALSE),"-")</f>
        <v>-</v>
      </c>
      <c r="K511" s="25" t="str">
        <f>IFERROR(VLOOKUP(A511,取得元!$A$2:$F$501,6,FALSE)/100,"-")</f>
        <v>-</v>
      </c>
      <c r="L511" s="21" t="str">
        <f>_xll.RssMarket(A511,"始値")</f>
        <v>表示銘柄数超過</v>
      </c>
      <c r="M511" s="4" t="e">
        <f t="shared" si="50"/>
        <v>#VALUE!</v>
      </c>
      <c r="N511" s="21" t="str">
        <f>_xll.RssMarket(A511,"高値")</f>
        <v>表示銘柄数超過</v>
      </c>
      <c r="O511" s="4" t="e">
        <f t="shared" si="51"/>
        <v>#VALUE!</v>
      </c>
      <c r="P511" s="21" t="str">
        <f>_xll.RssMarket(A511,"安値")</f>
        <v>表示銘柄数超過</v>
      </c>
      <c r="Q511" s="4" t="e">
        <f t="shared" si="52"/>
        <v>#VALUE!</v>
      </c>
      <c r="R511" s="21" t="str">
        <f>_xll.RssMarket(A511,"後場始値")</f>
        <v>表示銘柄数超過</v>
      </c>
      <c r="S511" s="25" t="str">
        <f t="shared" si="53"/>
        <v>-</v>
      </c>
      <c r="T511" s="7" t="str">
        <f>_xll.RssMarket(A511,"出来高加重平均")</f>
        <v>表示銘柄数超過</v>
      </c>
      <c r="U511" s="4" t="e">
        <f t="shared" si="54"/>
        <v>#VALUE!</v>
      </c>
      <c r="V511" s="21" t="str">
        <f>_xll.RssMarket(A511,"出来高")</f>
        <v>表示銘柄数超過</v>
      </c>
      <c r="W511" s="21" t="str">
        <f>_xll.RssMarket(A511,"売買代金")</f>
        <v>表示銘柄数超過</v>
      </c>
      <c r="X511" s="20" t="str">
        <f>_xll.RssMarket(A511,"決算発表日")</f>
        <v>表示銘柄数超過</v>
      </c>
      <c r="Y511" s="26" t="str">
        <f>IF(C511&gt;_xll.RssMarket(A511,"年初来高値"),"○","×")</f>
        <v>×</v>
      </c>
      <c r="Z511" s="27" t="str">
        <f>IF(C511&lt;=_xll.RssMarket(A511,"年初来安値"),"○","×")</f>
        <v>○</v>
      </c>
    </row>
    <row r="512" spans="1:26" x14ac:dyDescent="0.25">
      <c r="A512" s="47">
        <v>4620</v>
      </c>
      <c r="B512" s="20" t="str">
        <f>_xll.RssMarket(A512,"銘柄名称")</f>
        <v>表示銘柄数超過</v>
      </c>
      <c r="C512" s="21" t="str">
        <f>_xll.RssMarket(A512,"現在値")</f>
        <v>表示銘柄数超過</v>
      </c>
      <c r="D512" s="20" t="str">
        <f>_xll.RssMarket(A512,"現在値詳細時刻")</f>
        <v>表示銘柄数超過</v>
      </c>
      <c r="E512" s="22" t="str">
        <f>_xll.RssMarket(A512,"前日比")</f>
        <v>表示銘柄数超過</v>
      </c>
      <c r="F512" s="23" t="e">
        <f>_xll.RssMarket(A512,"前日比率")/100</f>
        <v>#VALUE!</v>
      </c>
      <c r="G512" s="24" t="str">
        <f>IFERROR(VLOOKUP(A512,取得元!$A$2:$F$501,2,FALSE),"-")</f>
        <v>-</v>
      </c>
      <c r="H512" s="24" t="str">
        <f>IFERROR(VLOOKUP(A512,取得元!$A$2:$F$501,3,FALSE),"-")</f>
        <v>-</v>
      </c>
      <c r="I512" s="24" t="str">
        <f>IFERROR(VLOOKUP(A512,取得元!$A$2:$F$501,4,FALSE),"-")</f>
        <v>-</v>
      </c>
      <c r="J512" s="5" t="str">
        <f>IFERROR(VLOOKUP(A512,取得元!$A$2:$F$501,5,FALSE),"-")</f>
        <v>-</v>
      </c>
      <c r="K512" s="25" t="str">
        <f>IFERROR(VLOOKUP(A512,取得元!$A$2:$F$501,6,FALSE)/100,"-")</f>
        <v>-</v>
      </c>
      <c r="L512" s="21" t="str">
        <f>_xll.RssMarket(A512,"始値")</f>
        <v>表示銘柄数超過</v>
      </c>
      <c r="M512" s="4" t="e">
        <f t="shared" si="50"/>
        <v>#VALUE!</v>
      </c>
      <c r="N512" s="21" t="str">
        <f>_xll.RssMarket(A512,"高値")</f>
        <v>表示銘柄数超過</v>
      </c>
      <c r="O512" s="4" t="e">
        <f t="shared" si="51"/>
        <v>#VALUE!</v>
      </c>
      <c r="P512" s="21" t="str">
        <f>_xll.RssMarket(A512,"安値")</f>
        <v>表示銘柄数超過</v>
      </c>
      <c r="Q512" s="4" t="e">
        <f t="shared" si="52"/>
        <v>#VALUE!</v>
      </c>
      <c r="R512" s="21" t="str">
        <f>_xll.RssMarket(A512,"後場始値")</f>
        <v>表示銘柄数超過</v>
      </c>
      <c r="S512" s="25" t="str">
        <f t="shared" si="53"/>
        <v>-</v>
      </c>
      <c r="T512" s="7" t="str">
        <f>_xll.RssMarket(A512,"出来高加重平均")</f>
        <v>表示銘柄数超過</v>
      </c>
      <c r="U512" s="4" t="e">
        <f t="shared" si="54"/>
        <v>#VALUE!</v>
      </c>
      <c r="V512" s="21" t="str">
        <f>_xll.RssMarket(A512,"出来高")</f>
        <v>表示銘柄数超過</v>
      </c>
      <c r="W512" s="21" t="str">
        <f>_xll.RssMarket(A512,"売買代金")</f>
        <v>表示銘柄数超過</v>
      </c>
      <c r="X512" s="20" t="str">
        <f>_xll.RssMarket(A512,"決算発表日")</f>
        <v>表示銘柄数超過</v>
      </c>
      <c r="Y512" s="26" t="str">
        <f>IF(C512&gt;_xll.RssMarket(A512,"年初来高値"),"○","×")</f>
        <v>×</v>
      </c>
      <c r="Z512" s="27" t="str">
        <f>IF(C512&lt;=_xll.RssMarket(A512,"年初来安値"),"○","×")</f>
        <v>○</v>
      </c>
    </row>
    <row r="513" spans="1:26" x14ac:dyDescent="0.25">
      <c r="A513" s="49">
        <v>4651</v>
      </c>
      <c r="B513" s="20" t="str">
        <f>_xll.RssMarket(A513,"銘柄名称")</f>
        <v>表示銘柄数超過</v>
      </c>
      <c r="C513" s="21" t="str">
        <f>_xll.RssMarket(A513,"現在値")</f>
        <v>表示銘柄数超過</v>
      </c>
      <c r="D513" s="20" t="str">
        <f>_xll.RssMarket(A513,"現在値詳細時刻")</f>
        <v>表示銘柄数超過</v>
      </c>
      <c r="E513" s="22" t="str">
        <f>_xll.RssMarket(A513,"前日比")</f>
        <v>表示銘柄数超過</v>
      </c>
      <c r="F513" s="23" t="e">
        <f>_xll.RssMarket(A513,"前日比率")/100</f>
        <v>#VALUE!</v>
      </c>
      <c r="G513" s="24" t="str">
        <f>IFERROR(VLOOKUP(A513,取得元!$A$2:$F$501,2,FALSE),"-")</f>
        <v>-</v>
      </c>
      <c r="H513" s="24" t="str">
        <f>IFERROR(VLOOKUP(A513,取得元!$A$2:$F$501,3,FALSE),"-")</f>
        <v>-</v>
      </c>
      <c r="I513" s="24" t="str">
        <f>IFERROR(VLOOKUP(A513,取得元!$A$2:$F$501,4,FALSE),"-")</f>
        <v>-</v>
      </c>
      <c r="J513" s="5" t="str">
        <f>IFERROR(VLOOKUP(A513,取得元!$A$2:$F$501,5,FALSE),"-")</f>
        <v>-</v>
      </c>
      <c r="K513" s="25" t="str">
        <f>IFERROR(VLOOKUP(A513,取得元!$A$2:$F$501,6,FALSE)/100,"-")</f>
        <v>-</v>
      </c>
      <c r="L513" s="21" t="str">
        <f>_xll.RssMarket(A513,"始値")</f>
        <v>表示銘柄数超過</v>
      </c>
      <c r="M513" s="4" t="e">
        <f t="shared" si="50"/>
        <v>#VALUE!</v>
      </c>
      <c r="N513" s="21" t="str">
        <f>_xll.RssMarket(A513,"高値")</f>
        <v>表示銘柄数超過</v>
      </c>
      <c r="O513" s="4" t="e">
        <f t="shared" si="51"/>
        <v>#VALUE!</v>
      </c>
      <c r="P513" s="21" t="str">
        <f>_xll.RssMarket(A513,"安値")</f>
        <v>表示銘柄数超過</v>
      </c>
      <c r="Q513" s="4" t="e">
        <f t="shared" si="52"/>
        <v>#VALUE!</v>
      </c>
      <c r="R513" s="21" t="str">
        <f>_xll.RssMarket(A513,"後場始値")</f>
        <v>表示銘柄数超過</v>
      </c>
      <c r="S513" s="25" t="str">
        <f t="shared" si="53"/>
        <v>-</v>
      </c>
      <c r="T513" s="7" t="str">
        <f>_xll.RssMarket(A513,"出来高加重平均")</f>
        <v>表示銘柄数超過</v>
      </c>
      <c r="U513" s="4" t="e">
        <f t="shared" si="54"/>
        <v>#VALUE!</v>
      </c>
      <c r="V513" s="21" t="str">
        <f>_xll.RssMarket(A513,"出来高")</f>
        <v>表示銘柄数超過</v>
      </c>
      <c r="W513" s="21" t="str">
        <f>_xll.RssMarket(A513,"売買代金")</f>
        <v>表示銘柄数超過</v>
      </c>
      <c r="X513" s="20" t="str">
        <f>_xll.RssMarket(A513,"決算発表日")</f>
        <v>表示銘柄数超過</v>
      </c>
      <c r="Y513" s="26" t="str">
        <f>IF(C513&gt;_xll.RssMarket(A513,"年初来高値"),"○","×")</f>
        <v>×</v>
      </c>
      <c r="Z513" s="27" t="str">
        <f>IF(C513&lt;=_xll.RssMarket(A513,"年初来安値"),"○","×")</f>
        <v>○</v>
      </c>
    </row>
    <row r="514" spans="1:26" x14ac:dyDescent="0.25">
      <c r="A514" s="47">
        <v>4657</v>
      </c>
      <c r="B514" s="20" t="str">
        <f>_xll.RssMarket(A514,"銘柄名称")</f>
        <v>表示銘柄数超過</v>
      </c>
      <c r="C514" s="21" t="str">
        <f>_xll.RssMarket(A514,"現在値")</f>
        <v>表示銘柄数超過</v>
      </c>
      <c r="D514" s="20" t="str">
        <f>_xll.RssMarket(A514,"現在値詳細時刻")</f>
        <v>表示銘柄数超過</v>
      </c>
      <c r="E514" s="22" t="str">
        <f>_xll.RssMarket(A514,"前日比")</f>
        <v>表示銘柄数超過</v>
      </c>
      <c r="F514" s="23" t="e">
        <f>_xll.RssMarket(A514,"前日比率")/100</f>
        <v>#VALUE!</v>
      </c>
      <c r="G514" s="24" t="str">
        <f>IFERROR(VLOOKUP(A514,取得元!$A$2:$F$501,2,FALSE),"-")</f>
        <v>-</v>
      </c>
      <c r="H514" s="24" t="str">
        <f>IFERROR(VLOOKUP(A514,取得元!$A$2:$F$501,3,FALSE),"-")</f>
        <v>-</v>
      </c>
      <c r="I514" s="24" t="str">
        <f>IFERROR(VLOOKUP(A514,取得元!$A$2:$F$501,4,FALSE),"-")</f>
        <v>-</v>
      </c>
      <c r="J514" s="5" t="str">
        <f>IFERROR(VLOOKUP(A514,取得元!$A$2:$F$501,5,FALSE),"-")</f>
        <v>-</v>
      </c>
      <c r="K514" s="25" t="str">
        <f>IFERROR(VLOOKUP(A514,取得元!$A$2:$F$501,6,FALSE)/100,"-")</f>
        <v>-</v>
      </c>
      <c r="L514" s="21" t="str">
        <f>_xll.RssMarket(A514,"始値")</f>
        <v>表示銘柄数超過</v>
      </c>
      <c r="M514" s="4" t="e">
        <f t="shared" si="50"/>
        <v>#VALUE!</v>
      </c>
      <c r="N514" s="21" t="str">
        <f>_xll.RssMarket(A514,"高値")</f>
        <v>表示銘柄数超過</v>
      </c>
      <c r="O514" s="4" t="e">
        <f t="shared" si="51"/>
        <v>#VALUE!</v>
      </c>
      <c r="P514" s="21" t="str">
        <f>_xll.RssMarket(A514,"安値")</f>
        <v>表示銘柄数超過</v>
      </c>
      <c r="Q514" s="4" t="e">
        <f t="shared" si="52"/>
        <v>#VALUE!</v>
      </c>
      <c r="R514" s="21" t="str">
        <f>_xll.RssMarket(A514,"後場始値")</f>
        <v>表示銘柄数超過</v>
      </c>
      <c r="S514" s="25" t="str">
        <f t="shared" si="53"/>
        <v>-</v>
      </c>
      <c r="T514" s="7" t="str">
        <f>_xll.RssMarket(A514,"出来高加重平均")</f>
        <v>表示銘柄数超過</v>
      </c>
      <c r="U514" s="4" t="e">
        <f t="shared" si="54"/>
        <v>#VALUE!</v>
      </c>
      <c r="V514" s="21" t="str">
        <f>_xll.RssMarket(A514,"出来高")</f>
        <v>表示銘柄数超過</v>
      </c>
      <c r="W514" s="21" t="str">
        <f>_xll.RssMarket(A514,"売買代金")</f>
        <v>表示銘柄数超過</v>
      </c>
      <c r="X514" s="20" t="str">
        <f>_xll.RssMarket(A514,"決算発表日")</f>
        <v>表示銘柄数超過</v>
      </c>
      <c r="Y514" s="26" t="str">
        <f>IF(C514&gt;_xll.RssMarket(A514,"年初来高値"),"○","×")</f>
        <v>×</v>
      </c>
      <c r="Z514" s="27" t="str">
        <f>IF(C514&lt;=_xll.RssMarket(A514,"年初来安値"),"○","×")</f>
        <v>○</v>
      </c>
    </row>
    <row r="515" spans="1:26" x14ac:dyDescent="0.25">
      <c r="A515" s="49">
        <v>4664</v>
      </c>
      <c r="B515" s="20" t="str">
        <f>_xll.RssMarket(A515,"銘柄名称")</f>
        <v>表示銘柄数超過</v>
      </c>
      <c r="C515" s="21" t="str">
        <f>_xll.RssMarket(A515,"現在値")</f>
        <v>表示銘柄数超過</v>
      </c>
      <c r="D515" s="20" t="str">
        <f>_xll.RssMarket(A515,"現在値詳細時刻")</f>
        <v>表示銘柄数超過</v>
      </c>
      <c r="E515" s="22" t="str">
        <f>_xll.RssMarket(A515,"前日比")</f>
        <v>表示銘柄数超過</v>
      </c>
      <c r="F515" s="23" t="e">
        <f>_xll.RssMarket(A515,"前日比率")/100</f>
        <v>#VALUE!</v>
      </c>
      <c r="G515" s="24" t="str">
        <f>IFERROR(VLOOKUP(A515,取得元!$A$2:$F$501,2,FALSE),"-")</f>
        <v>-</v>
      </c>
      <c r="H515" s="24" t="str">
        <f>IFERROR(VLOOKUP(A515,取得元!$A$2:$F$501,3,FALSE),"-")</f>
        <v>-</v>
      </c>
      <c r="I515" s="24" t="str">
        <f>IFERROR(VLOOKUP(A515,取得元!$A$2:$F$501,4,FALSE),"-")</f>
        <v>-</v>
      </c>
      <c r="J515" s="5" t="str">
        <f>IFERROR(VLOOKUP(A515,取得元!$A$2:$F$501,5,FALSE),"-")</f>
        <v>-</v>
      </c>
      <c r="K515" s="25" t="str">
        <f>IFERROR(VLOOKUP(A515,取得元!$A$2:$F$501,6,FALSE)/100,"-")</f>
        <v>-</v>
      </c>
      <c r="L515" s="21" t="str">
        <f>_xll.RssMarket(A515,"始値")</f>
        <v>表示銘柄数超過</v>
      </c>
      <c r="M515" s="4" t="e">
        <f t="shared" si="50"/>
        <v>#VALUE!</v>
      </c>
      <c r="N515" s="21" t="str">
        <f>_xll.RssMarket(A515,"高値")</f>
        <v>表示銘柄数超過</v>
      </c>
      <c r="O515" s="4" t="e">
        <f t="shared" si="51"/>
        <v>#VALUE!</v>
      </c>
      <c r="P515" s="21" t="str">
        <f>_xll.RssMarket(A515,"安値")</f>
        <v>表示銘柄数超過</v>
      </c>
      <c r="Q515" s="4" t="e">
        <f t="shared" si="52"/>
        <v>#VALUE!</v>
      </c>
      <c r="R515" s="21" t="str">
        <f>_xll.RssMarket(A515,"後場始値")</f>
        <v>表示銘柄数超過</v>
      </c>
      <c r="S515" s="25" t="str">
        <f t="shared" si="53"/>
        <v>-</v>
      </c>
      <c r="T515" s="7" t="str">
        <f>_xll.RssMarket(A515,"出来高加重平均")</f>
        <v>表示銘柄数超過</v>
      </c>
      <c r="U515" s="4" t="e">
        <f t="shared" si="54"/>
        <v>#VALUE!</v>
      </c>
      <c r="V515" s="21" t="str">
        <f>_xll.RssMarket(A515,"出来高")</f>
        <v>表示銘柄数超過</v>
      </c>
      <c r="W515" s="21" t="str">
        <f>_xll.RssMarket(A515,"売買代金")</f>
        <v>表示銘柄数超過</v>
      </c>
      <c r="X515" s="20" t="str">
        <f>_xll.RssMarket(A515,"決算発表日")</f>
        <v>表示銘柄数超過</v>
      </c>
      <c r="Y515" s="26" t="str">
        <f>IF(C515&gt;_xll.RssMarket(A515,"年初来高値"),"○","×")</f>
        <v>×</v>
      </c>
      <c r="Z515" s="27" t="str">
        <f>IF(C515&lt;=_xll.RssMarket(A515,"年初来安値"),"○","×")</f>
        <v>○</v>
      </c>
    </row>
    <row r="516" spans="1:26" x14ac:dyDescent="0.25">
      <c r="A516" s="47">
        <v>4667</v>
      </c>
      <c r="B516" s="20" t="str">
        <f>_xll.RssMarket(A516,"銘柄名称")</f>
        <v>表示銘柄数超過</v>
      </c>
      <c r="C516" s="21" t="str">
        <f>_xll.RssMarket(A516,"現在値")</f>
        <v>表示銘柄数超過</v>
      </c>
      <c r="D516" s="20" t="str">
        <f>_xll.RssMarket(A516,"現在値詳細時刻")</f>
        <v>表示銘柄数超過</v>
      </c>
      <c r="E516" s="22" t="str">
        <f>_xll.RssMarket(A516,"前日比")</f>
        <v>表示銘柄数超過</v>
      </c>
      <c r="F516" s="23" t="e">
        <f>_xll.RssMarket(A516,"前日比率")/100</f>
        <v>#VALUE!</v>
      </c>
      <c r="G516" s="24" t="str">
        <f>IFERROR(VLOOKUP(A516,取得元!$A$2:$F$501,2,FALSE),"-")</f>
        <v>-</v>
      </c>
      <c r="H516" s="24" t="str">
        <f>IFERROR(VLOOKUP(A516,取得元!$A$2:$F$501,3,FALSE),"-")</f>
        <v>-</v>
      </c>
      <c r="I516" s="24" t="str">
        <f>IFERROR(VLOOKUP(A516,取得元!$A$2:$F$501,4,FALSE),"-")</f>
        <v>-</v>
      </c>
      <c r="J516" s="5" t="str">
        <f>IFERROR(VLOOKUP(A516,取得元!$A$2:$F$501,5,FALSE),"-")</f>
        <v>-</v>
      </c>
      <c r="K516" s="25" t="str">
        <f>IFERROR(VLOOKUP(A516,取得元!$A$2:$F$501,6,FALSE)/100,"-")</f>
        <v>-</v>
      </c>
      <c r="L516" s="21" t="str">
        <f>_xll.RssMarket(A516,"始値")</f>
        <v>表示銘柄数超過</v>
      </c>
      <c r="M516" s="4" t="e">
        <f t="shared" si="50"/>
        <v>#VALUE!</v>
      </c>
      <c r="N516" s="21" t="str">
        <f>_xll.RssMarket(A516,"高値")</f>
        <v>表示銘柄数超過</v>
      </c>
      <c r="O516" s="4" t="e">
        <f t="shared" si="51"/>
        <v>#VALUE!</v>
      </c>
      <c r="P516" s="21" t="str">
        <f>_xll.RssMarket(A516,"安値")</f>
        <v>表示銘柄数超過</v>
      </c>
      <c r="Q516" s="4" t="e">
        <f t="shared" si="52"/>
        <v>#VALUE!</v>
      </c>
      <c r="R516" s="21" t="str">
        <f>_xll.RssMarket(A516,"後場始値")</f>
        <v>表示銘柄数超過</v>
      </c>
      <c r="S516" s="25" t="str">
        <f t="shared" si="53"/>
        <v>-</v>
      </c>
      <c r="T516" s="7" t="str">
        <f>_xll.RssMarket(A516,"出来高加重平均")</f>
        <v>表示銘柄数超過</v>
      </c>
      <c r="U516" s="4" t="e">
        <f t="shared" si="54"/>
        <v>#VALUE!</v>
      </c>
      <c r="V516" s="21" t="str">
        <f>_xll.RssMarket(A516,"出来高")</f>
        <v>表示銘柄数超過</v>
      </c>
      <c r="W516" s="21" t="str">
        <f>_xll.RssMarket(A516,"売買代金")</f>
        <v>表示銘柄数超過</v>
      </c>
      <c r="X516" s="20" t="str">
        <f>_xll.RssMarket(A516,"決算発表日")</f>
        <v>表示銘柄数超過</v>
      </c>
      <c r="Y516" s="26" t="str">
        <f>IF(C516&gt;_xll.RssMarket(A516,"年初来高値"),"○","×")</f>
        <v>×</v>
      </c>
      <c r="Z516" s="27" t="str">
        <f>IF(C516&lt;=_xll.RssMarket(A516,"年初来安値"),"○","×")</f>
        <v>○</v>
      </c>
    </row>
    <row r="517" spans="1:26" x14ac:dyDescent="0.25">
      <c r="A517" s="49">
        <v>4667</v>
      </c>
      <c r="B517" s="20" t="str">
        <f>_xll.RssMarket(A517,"銘柄名称")</f>
        <v>表示銘柄数超過</v>
      </c>
      <c r="C517" s="21" t="str">
        <f>_xll.RssMarket(A517,"現在値")</f>
        <v>表示銘柄数超過</v>
      </c>
      <c r="D517" s="20" t="str">
        <f>_xll.RssMarket(A517,"現在値詳細時刻")</f>
        <v>表示銘柄数超過</v>
      </c>
      <c r="E517" s="22" t="str">
        <f>_xll.RssMarket(A517,"前日比")</f>
        <v>表示銘柄数超過</v>
      </c>
      <c r="F517" s="23" t="e">
        <f>_xll.RssMarket(A517,"前日比率")/100</f>
        <v>#VALUE!</v>
      </c>
      <c r="G517" s="24" t="str">
        <f>IFERROR(VLOOKUP(A517,取得元!$A$2:$F$501,2,FALSE),"-")</f>
        <v>-</v>
      </c>
      <c r="H517" s="24" t="str">
        <f>IFERROR(VLOOKUP(A517,取得元!$A$2:$F$501,3,FALSE),"-")</f>
        <v>-</v>
      </c>
      <c r="I517" s="24" t="str">
        <f>IFERROR(VLOOKUP(A517,取得元!$A$2:$F$501,4,FALSE),"-")</f>
        <v>-</v>
      </c>
      <c r="J517" s="5" t="str">
        <f>IFERROR(VLOOKUP(A517,取得元!$A$2:$F$501,5,FALSE),"-")</f>
        <v>-</v>
      </c>
      <c r="K517" s="25" t="str">
        <f>IFERROR(VLOOKUP(A517,取得元!$A$2:$F$501,6,FALSE)/100,"-")</f>
        <v>-</v>
      </c>
      <c r="L517" s="21" t="str">
        <f>_xll.RssMarket(A517,"始値")</f>
        <v>表示銘柄数超過</v>
      </c>
      <c r="M517" s="4" t="e">
        <f t="shared" si="50"/>
        <v>#VALUE!</v>
      </c>
      <c r="N517" s="21" t="str">
        <f>_xll.RssMarket(A517,"高値")</f>
        <v>表示銘柄数超過</v>
      </c>
      <c r="O517" s="4" t="e">
        <f t="shared" si="51"/>
        <v>#VALUE!</v>
      </c>
      <c r="P517" s="21" t="str">
        <f>_xll.RssMarket(A517,"安値")</f>
        <v>表示銘柄数超過</v>
      </c>
      <c r="Q517" s="4" t="e">
        <f t="shared" si="52"/>
        <v>#VALUE!</v>
      </c>
      <c r="R517" s="21" t="str">
        <f>_xll.RssMarket(A517,"後場始値")</f>
        <v>表示銘柄数超過</v>
      </c>
      <c r="S517" s="25" t="str">
        <f t="shared" si="53"/>
        <v>-</v>
      </c>
      <c r="T517" s="7" t="str">
        <f>_xll.RssMarket(A517,"出来高加重平均")</f>
        <v>表示銘柄数超過</v>
      </c>
      <c r="U517" s="4" t="e">
        <f t="shared" si="54"/>
        <v>#VALUE!</v>
      </c>
      <c r="V517" s="21" t="str">
        <f>_xll.RssMarket(A517,"出来高")</f>
        <v>表示銘柄数超過</v>
      </c>
      <c r="W517" s="21" t="str">
        <f>_xll.RssMarket(A517,"売買代金")</f>
        <v>表示銘柄数超過</v>
      </c>
      <c r="X517" s="20" t="str">
        <f>_xll.RssMarket(A517,"決算発表日")</f>
        <v>表示銘柄数超過</v>
      </c>
      <c r="Y517" s="26" t="str">
        <f>IF(C517&gt;_xll.RssMarket(A517,"年初来高値"),"○","×")</f>
        <v>×</v>
      </c>
      <c r="Z517" s="27" t="str">
        <f>IF(C517&lt;=_xll.RssMarket(A517,"年初来安値"),"○","×")</f>
        <v>○</v>
      </c>
    </row>
    <row r="518" spans="1:26" x14ac:dyDescent="0.25">
      <c r="A518" s="47">
        <v>4676</v>
      </c>
      <c r="B518" s="20" t="str">
        <f>_xll.RssMarket(A518,"銘柄名称")</f>
        <v>表示銘柄数超過</v>
      </c>
      <c r="C518" s="21" t="str">
        <f>_xll.RssMarket(A518,"現在値")</f>
        <v>表示銘柄数超過</v>
      </c>
      <c r="D518" s="20" t="str">
        <f>_xll.RssMarket(A518,"現在値詳細時刻")</f>
        <v>表示銘柄数超過</v>
      </c>
      <c r="E518" s="22" t="str">
        <f>_xll.RssMarket(A518,"前日比")</f>
        <v>表示銘柄数超過</v>
      </c>
      <c r="F518" s="23" t="e">
        <f>_xll.RssMarket(A518,"前日比率")/100</f>
        <v>#VALUE!</v>
      </c>
      <c r="G518" s="24" t="str">
        <f>IFERROR(VLOOKUP(A518,取得元!$A$2:$F$501,2,FALSE),"-")</f>
        <v>-</v>
      </c>
      <c r="H518" s="24" t="str">
        <f>IFERROR(VLOOKUP(A518,取得元!$A$2:$F$501,3,FALSE),"-")</f>
        <v>-</v>
      </c>
      <c r="I518" s="24" t="str">
        <f>IFERROR(VLOOKUP(A518,取得元!$A$2:$F$501,4,FALSE),"-")</f>
        <v>-</v>
      </c>
      <c r="J518" s="5" t="str">
        <f>IFERROR(VLOOKUP(A518,取得元!$A$2:$F$501,5,FALSE),"-")</f>
        <v>-</v>
      </c>
      <c r="K518" s="25" t="str">
        <f>IFERROR(VLOOKUP(A518,取得元!$A$2:$F$501,6,FALSE)/100,"-")</f>
        <v>-</v>
      </c>
      <c r="L518" s="21" t="str">
        <f>_xll.RssMarket(A518,"始値")</f>
        <v>表示銘柄数超過</v>
      </c>
      <c r="M518" s="4" t="e">
        <f t="shared" si="50"/>
        <v>#VALUE!</v>
      </c>
      <c r="N518" s="21" t="str">
        <f>_xll.RssMarket(A518,"高値")</f>
        <v>表示銘柄数超過</v>
      </c>
      <c r="O518" s="4" t="e">
        <f t="shared" si="51"/>
        <v>#VALUE!</v>
      </c>
      <c r="P518" s="21" t="str">
        <f>_xll.RssMarket(A518,"安値")</f>
        <v>表示銘柄数超過</v>
      </c>
      <c r="Q518" s="4" t="e">
        <f t="shared" si="52"/>
        <v>#VALUE!</v>
      </c>
      <c r="R518" s="21" t="str">
        <f>_xll.RssMarket(A518,"後場始値")</f>
        <v>表示銘柄数超過</v>
      </c>
      <c r="S518" s="25" t="str">
        <f t="shared" si="53"/>
        <v>-</v>
      </c>
      <c r="T518" s="7" t="str">
        <f>_xll.RssMarket(A518,"出来高加重平均")</f>
        <v>表示銘柄数超過</v>
      </c>
      <c r="U518" s="4" t="e">
        <f t="shared" si="54"/>
        <v>#VALUE!</v>
      </c>
      <c r="V518" s="21" t="str">
        <f>_xll.RssMarket(A518,"出来高")</f>
        <v>表示銘柄数超過</v>
      </c>
      <c r="W518" s="21" t="str">
        <f>_xll.RssMarket(A518,"売買代金")</f>
        <v>表示銘柄数超過</v>
      </c>
      <c r="X518" s="20" t="str">
        <f>_xll.RssMarket(A518,"決算発表日")</f>
        <v>表示銘柄数超過</v>
      </c>
      <c r="Y518" s="26" t="str">
        <f>IF(C518&gt;_xll.RssMarket(A518,"年初来高値"),"○","×")</f>
        <v>×</v>
      </c>
      <c r="Z518" s="27" t="str">
        <f>IF(C518&lt;=_xll.RssMarket(A518,"年初来安値"),"○","×")</f>
        <v>○</v>
      </c>
    </row>
    <row r="519" spans="1:26" x14ac:dyDescent="0.25">
      <c r="A519" s="49">
        <v>4680</v>
      </c>
      <c r="B519" s="20" t="str">
        <f>_xll.RssMarket(A519,"銘柄名称")</f>
        <v>表示銘柄数超過</v>
      </c>
      <c r="C519" s="21" t="str">
        <f>_xll.RssMarket(A519,"現在値")</f>
        <v>表示銘柄数超過</v>
      </c>
      <c r="D519" s="20" t="str">
        <f>_xll.RssMarket(A519,"現在値詳細時刻")</f>
        <v>表示銘柄数超過</v>
      </c>
      <c r="E519" s="22" t="str">
        <f>_xll.RssMarket(A519,"前日比")</f>
        <v>表示銘柄数超過</v>
      </c>
      <c r="F519" s="23" t="e">
        <f>_xll.RssMarket(A519,"前日比率")/100</f>
        <v>#VALUE!</v>
      </c>
      <c r="G519" s="24" t="str">
        <f>IFERROR(VLOOKUP(A519,取得元!$A$2:$F$501,2,FALSE),"-")</f>
        <v>-</v>
      </c>
      <c r="H519" s="24" t="str">
        <f>IFERROR(VLOOKUP(A519,取得元!$A$2:$F$501,3,FALSE),"-")</f>
        <v>-</v>
      </c>
      <c r="I519" s="24" t="str">
        <f>IFERROR(VLOOKUP(A519,取得元!$A$2:$F$501,4,FALSE),"-")</f>
        <v>-</v>
      </c>
      <c r="J519" s="5" t="str">
        <f>IFERROR(VLOOKUP(A519,取得元!$A$2:$F$501,5,FALSE),"-")</f>
        <v>-</v>
      </c>
      <c r="K519" s="25" t="str">
        <f>IFERROR(VLOOKUP(A519,取得元!$A$2:$F$501,6,FALSE)/100,"-")</f>
        <v>-</v>
      </c>
      <c r="L519" s="21" t="str">
        <f>_xll.RssMarket(A519,"始値")</f>
        <v>表示銘柄数超過</v>
      </c>
      <c r="M519" s="4" t="e">
        <f t="shared" si="50"/>
        <v>#VALUE!</v>
      </c>
      <c r="N519" s="21" t="str">
        <f>_xll.RssMarket(A519,"高値")</f>
        <v>表示銘柄数超過</v>
      </c>
      <c r="O519" s="4" t="e">
        <f t="shared" si="51"/>
        <v>#VALUE!</v>
      </c>
      <c r="P519" s="21" t="str">
        <f>_xll.RssMarket(A519,"安値")</f>
        <v>表示銘柄数超過</v>
      </c>
      <c r="Q519" s="4" t="e">
        <f t="shared" si="52"/>
        <v>#VALUE!</v>
      </c>
      <c r="R519" s="21" t="str">
        <f>_xll.RssMarket(A519,"後場始値")</f>
        <v>表示銘柄数超過</v>
      </c>
      <c r="S519" s="25" t="str">
        <f t="shared" si="53"/>
        <v>-</v>
      </c>
      <c r="T519" s="7" t="str">
        <f>_xll.RssMarket(A519,"出来高加重平均")</f>
        <v>表示銘柄数超過</v>
      </c>
      <c r="U519" s="4" t="e">
        <f t="shared" si="54"/>
        <v>#VALUE!</v>
      </c>
      <c r="V519" s="21" t="str">
        <f>_xll.RssMarket(A519,"出来高")</f>
        <v>表示銘柄数超過</v>
      </c>
      <c r="W519" s="21" t="str">
        <f>_xll.RssMarket(A519,"売買代金")</f>
        <v>表示銘柄数超過</v>
      </c>
      <c r="X519" s="20" t="str">
        <f>_xll.RssMarket(A519,"決算発表日")</f>
        <v>表示銘柄数超過</v>
      </c>
      <c r="Y519" s="26" t="str">
        <f>IF(C519&gt;_xll.RssMarket(A519,"年初来高値"),"○","×")</f>
        <v>×</v>
      </c>
      <c r="Z519" s="27" t="str">
        <f>IF(C519&lt;=_xll.RssMarket(A519,"年初来安値"),"○","×")</f>
        <v>○</v>
      </c>
    </row>
    <row r="520" spans="1:26" x14ac:dyDescent="0.25">
      <c r="A520" s="47">
        <v>4689</v>
      </c>
      <c r="B520" s="20" t="str">
        <f>_xll.RssMarket(A520,"銘柄名称")</f>
        <v>ＬＩＮＥヤフー</v>
      </c>
      <c r="C520" s="21">
        <f>_xll.RssMarket(A520,"現在値")</f>
        <v>433.3</v>
      </c>
      <c r="D520" s="20" t="str">
        <f>_xll.RssMarket(A520,"現在値詳細時刻")</f>
        <v>15:00:00</v>
      </c>
      <c r="E520" s="22">
        <f>_xll.RssMarket(A520,"前日比")</f>
        <v>-33.700000000000003</v>
      </c>
      <c r="F520" s="23">
        <f>_xll.RssMarket(A520,"前日比率")/100</f>
        <v>-7.22E-2</v>
      </c>
      <c r="G520" s="24">
        <f>IFERROR(VLOOKUP(A520,取得元!$A$2:$F$501,2,FALSE),"-")</f>
        <v>1</v>
      </c>
      <c r="H520" s="24">
        <f>IFERROR(VLOOKUP(A520,取得元!$A$2:$F$501,3,FALSE),"-")</f>
        <v>394</v>
      </c>
      <c r="I520" s="24">
        <f>IFERROR(VLOOKUP(A520,取得元!$A$2:$F$501,4,FALSE),"-")</f>
        <v>433.3</v>
      </c>
      <c r="J520" s="5">
        <f>IFERROR(VLOOKUP(A520,取得元!$A$2:$F$501,5,FALSE),"-")</f>
        <v>39.299999999999997</v>
      </c>
      <c r="K520" s="25">
        <f>IFERROR(VLOOKUP(A520,取得元!$A$2:$F$501,6,FALSE)/100,"-")</f>
        <v>9.9746190000000012E-2</v>
      </c>
      <c r="L520" s="21">
        <f>_xll.RssMarket(A520,"始値")</f>
        <v>459</v>
      </c>
      <c r="M520" s="4">
        <f t="shared" si="50"/>
        <v>-5.5991285403050095E-2</v>
      </c>
      <c r="N520" s="21">
        <f>_xll.RssMarket(A520,"高値")</f>
        <v>459</v>
      </c>
      <c r="O520" s="4">
        <f t="shared" si="51"/>
        <v>-5.5991285403050095E-2</v>
      </c>
      <c r="P520" s="21">
        <f>_xll.RssMarket(A520,"安値")</f>
        <v>425.4</v>
      </c>
      <c r="Q520" s="4">
        <f t="shared" si="52"/>
        <v>1.8570756934649824E-2</v>
      </c>
      <c r="R520" s="21">
        <f>_xll.RssMarket(A520,"後場始値")</f>
        <v>431.5</v>
      </c>
      <c r="S520" s="25">
        <f t="shared" si="53"/>
        <v>4.1714947856315021E-3</v>
      </c>
      <c r="T520" s="7">
        <f>_xll.RssMarket(A520,"出来高加重平均")</f>
        <v>437.9846</v>
      </c>
      <c r="U520" s="4">
        <f t="shared" si="54"/>
        <v>-1.0695809852675153E-2</v>
      </c>
      <c r="V520" s="21">
        <f>_xll.RssMarket(A520,"出来高")</f>
        <v>53086700</v>
      </c>
      <c r="W520" s="21">
        <f>_xll.RssMarket(A520,"売買代金")</f>
        <v>23251159</v>
      </c>
      <c r="X520" s="20" t="str">
        <f>_xll.RssMarket(A520,"決算発表日")</f>
        <v>2024/02/06</v>
      </c>
      <c r="Y520" s="26" t="str">
        <f>IF(C520&gt;_xll.RssMarket(A520,"年初来高値"),"○","×")</f>
        <v>×</v>
      </c>
      <c r="Z520" s="27" t="str">
        <f>IF(C520&lt;=_xll.RssMarket(A520,"年初来安値"),"○","×")</f>
        <v>×</v>
      </c>
    </row>
    <row r="521" spans="1:26" x14ac:dyDescent="0.25">
      <c r="A521" s="49">
        <v>4690</v>
      </c>
      <c r="B521" s="20" t="str">
        <f>_xll.RssMarket(A521,"銘柄名称")</f>
        <v>表示銘柄数超過</v>
      </c>
      <c r="C521" s="21" t="str">
        <f>_xll.RssMarket(A521,"現在値")</f>
        <v>表示銘柄数超過</v>
      </c>
      <c r="D521" s="20" t="str">
        <f>_xll.RssMarket(A521,"現在値詳細時刻")</f>
        <v>表示銘柄数超過</v>
      </c>
      <c r="E521" s="22" t="str">
        <f>_xll.RssMarket(A521,"前日比")</f>
        <v>表示銘柄数超過</v>
      </c>
      <c r="F521" s="23" t="e">
        <f>_xll.RssMarket(A521,"前日比率")/100</f>
        <v>#VALUE!</v>
      </c>
      <c r="G521" s="24" t="str">
        <f>IFERROR(VLOOKUP(A521,取得元!$A$2:$F$501,2,FALSE),"-")</f>
        <v>-</v>
      </c>
      <c r="H521" s="24" t="str">
        <f>IFERROR(VLOOKUP(A521,取得元!$A$2:$F$501,3,FALSE),"-")</f>
        <v>-</v>
      </c>
      <c r="I521" s="24" t="str">
        <f>IFERROR(VLOOKUP(A521,取得元!$A$2:$F$501,4,FALSE),"-")</f>
        <v>-</v>
      </c>
      <c r="J521" s="5" t="str">
        <f>IFERROR(VLOOKUP(A521,取得元!$A$2:$F$501,5,FALSE),"-")</f>
        <v>-</v>
      </c>
      <c r="K521" s="25" t="str">
        <f>IFERROR(VLOOKUP(A521,取得元!$A$2:$F$501,6,FALSE)/100,"-")</f>
        <v>-</v>
      </c>
      <c r="L521" s="21" t="str">
        <f>_xll.RssMarket(A521,"始値")</f>
        <v>表示銘柄数超過</v>
      </c>
      <c r="M521" s="4" t="e">
        <f t="shared" si="50"/>
        <v>#VALUE!</v>
      </c>
      <c r="N521" s="21" t="str">
        <f>_xll.RssMarket(A521,"高値")</f>
        <v>表示銘柄数超過</v>
      </c>
      <c r="O521" s="4" t="e">
        <f t="shared" si="51"/>
        <v>#VALUE!</v>
      </c>
      <c r="P521" s="21" t="str">
        <f>_xll.RssMarket(A521,"安値")</f>
        <v>表示銘柄数超過</v>
      </c>
      <c r="Q521" s="4" t="e">
        <f t="shared" si="52"/>
        <v>#VALUE!</v>
      </c>
      <c r="R521" s="21" t="str">
        <f>_xll.RssMarket(A521,"後場始値")</f>
        <v>表示銘柄数超過</v>
      </c>
      <c r="S521" s="25" t="str">
        <f t="shared" si="53"/>
        <v>-</v>
      </c>
      <c r="T521" s="7" t="str">
        <f>_xll.RssMarket(A521,"出来高加重平均")</f>
        <v>表示銘柄数超過</v>
      </c>
      <c r="U521" s="4" t="e">
        <f t="shared" si="54"/>
        <v>#VALUE!</v>
      </c>
      <c r="V521" s="21" t="str">
        <f>_xll.RssMarket(A521,"出来高")</f>
        <v>表示銘柄数超過</v>
      </c>
      <c r="W521" s="21" t="str">
        <f>_xll.RssMarket(A521,"売買代金")</f>
        <v>表示銘柄数超過</v>
      </c>
      <c r="X521" s="20" t="str">
        <f>_xll.RssMarket(A521,"決算発表日")</f>
        <v>表示銘柄数超過</v>
      </c>
      <c r="Y521" s="26" t="str">
        <f>IF(C521&gt;_xll.RssMarket(A521,"年初来高値"),"○","×")</f>
        <v>×</v>
      </c>
      <c r="Z521" s="27" t="str">
        <f>IF(C521&lt;=_xll.RssMarket(A521,"年初来安値"),"○","×")</f>
        <v>○</v>
      </c>
    </row>
    <row r="522" spans="1:26" x14ac:dyDescent="0.25">
      <c r="A522" s="47">
        <v>4705</v>
      </c>
      <c r="B522" s="20" t="str">
        <f>_xll.RssMarket(A522,"銘柄名称")</f>
        <v>表示銘柄数超過</v>
      </c>
      <c r="C522" s="21" t="str">
        <f>_xll.RssMarket(A522,"現在値")</f>
        <v>表示銘柄数超過</v>
      </c>
      <c r="D522" s="20" t="str">
        <f>_xll.RssMarket(A522,"現在値詳細時刻")</f>
        <v>表示銘柄数超過</v>
      </c>
      <c r="E522" s="22" t="str">
        <f>_xll.RssMarket(A522,"前日比")</f>
        <v>表示銘柄数超過</v>
      </c>
      <c r="F522" s="23" t="e">
        <f>_xll.RssMarket(A522,"前日比率")/100</f>
        <v>#VALUE!</v>
      </c>
      <c r="G522" s="24" t="str">
        <f>IFERROR(VLOOKUP(A522,取得元!$A$2:$F$501,2,FALSE),"-")</f>
        <v>-</v>
      </c>
      <c r="H522" s="24" t="str">
        <f>IFERROR(VLOOKUP(A522,取得元!$A$2:$F$501,3,FALSE),"-")</f>
        <v>-</v>
      </c>
      <c r="I522" s="24" t="str">
        <f>IFERROR(VLOOKUP(A522,取得元!$A$2:$F$501,4,FALSE),"-")</f>
        <v>-</v>
      </c>
      <c r="J522" s="5" t="str">
        <f>IFERROR(VLOOKUP(A522,取得元!$A$2:$F$501,5,FALSE),"-")</f>
        <v>-</v>
      </c>
      <c r="K522" s="25" t="str">
        <f>IFERROR(VLOOKUP(A522,取得元!$A$2:$F$501,6,FALSE)/100,"-")</f>
        <v>-</v>
      </c>
      <c r="L522" s="21" t="str">
        <f>_xll.RssMarket(A522,"始値")</f>
        <v>表示銘柄数超過</v>
      </c>
      <c r="M522" s="4" t="e">
        <f t="shared" si="50"/>
        <v>#VALUE!</v>
      </c>
      <c r="N522" s="21" t="str">
        <f>_xll.RssMarket(A522,"高値")</f>
        <v>表示銘柄数超過</v>
      </c>
      <c r="O522" s="4" t="e">
        <f t="shared" si="51"/>
        <v>#VALUE!</v>
      </c>
      <c r="P522" s="21" t="str">
        <f>_xll.RssMarket(A522,"安値")</f>
        <v>表示銘柄数超過</v>
      </c>
      <c r="Q522" s="4" t="e">
        <f t="shared" si="52"/>
        <v>#VALUE!</v>
      </c>
      <c r="R522" s="21" t="str">
        <f>_xll.RssMarket(A522,"後場始値")</f>
        <v>表示銘柄数超過</v>
      </c>
      <c r="S522" s="25" t="str">
        <f t="shared" si="53"/>
        <v>-</v>
      </c>
      <c r="T522" s="7" t="str">
        <f>_xll.RssMarket(A522,"出来高加重平均")</f>
        <v>表示銘柄数超過</v>
      </c>
      <c r="U522" s="4" t="e">
        <f t="shared" si="54"/>
        <v>#VALUE!</v>
      </c>
      <c r="V522" s="21" t="str">
        <f>_xll.RssMarket(A522,"出来高")</f>
        <v>表示銘柄数超過</v>
      </c>
      <c r="W522" s="21" t="str">
        <f>_xll.RssMarket(A522,"売買代金")</f>
        <v>表示銘柄数超過</v>
      </c>
      <c r="X522" s="20" t="str">
        <f>_xll.RssMarket(A522,"決算発表日")</f>
        <v>表示銘柄数超過</v>
      </c>
      <c r="Y522" s="26" t="str">
        <f>IF(C522&gt;_xll.RssMarket(A522,"年初来高値"),"○","×")</f>
        <v>×</v>
      </c>
      <c r="Z522" s="27" t="str">
        <f>IF(C522&lt;=_xll.RssMarket(A522,"年初来安値"),"○","×")</f>
        <v>○</v>
      </c>
    </row>
    <row r="523" spans="1:26" x14ac:dyDescent="0.25">
      <c r="A523" s="49">
        <v>4707</v>
      </c>
      <c r="B523" s="20" t="str">
        <f>_xll.RssMarket(A523,"銘柄名称")</f>
        <v>表示銘柄数超過</v>
      </c>
      <c r="C523" s="21" t="str">
        <f>_xll.RssMarket(A523,"現在値")</f>
        <v>表示銘柄数超過</v>
      </c>
      <c r="D523" s="20" t="str">
        <f>_xll.RssMarket(A523,"現在値詳細時刻")</f>
        <v>表示銘柄数超過</v>
      </c>
      <c r="E523" s="22" t="str">
        <f>_xll.RssMarket(A523,"前日比")</f>
        <v>表示銘柄数超過</v>
      </c>
      <c r="F523" s="23" t="e">
        <f>_xll.RssMarket(A523,"前日比率")/100</f>
        <v>#VALUE!</v>
      </c>
      <c r="G523" s="24" t="str">
        <f>IFERROR(VLOOKUP(A523,取得元!$A$2:$F$501,2,FALSE),"-")</f>
        <v>-</v>
      </c>
      <c r="H523" s="24" t="str">
        <f>IFERROR(VLOOKUP(A523,取得元!$A$2:$F$501,3,FALSE),"-")</f>
        <v>-</v>
      </c>
      <c r="I523" s="24" t="str">
        <f>IFERROR(VLOOKUP(A523,取得元!$A$2:$F$501,4,FALSE),"-")</f>
        <v>-</v>
      </c>
      <c r="J523" s="5" t="str">
        <f>IFERROR(VLOOKUP(A523,取得元!$A$2:$F$501,5,FALSE),"-")</f>
        <v>-</v>
      </c>
      <c r="K523" s="25" t="str">
        <f>IFERROR(VLOOKUP(A523,取得元!$A$2:$F$501,6,FALSE)/100,"-")</f>
        <v>-</v>
      </c>
      <c r="L523" s="21" t="str">
        <f>_xll.RssMarket(A523,"始値")</f>
        <v>表示銘柄数超過</v>
      </c>
      <c r="M523" s="4" t="e">
        <f t="shared" si="50"/>
        <v>#VALUE!</v>
      </c>
      <c r="N523" s="21" t="str">
        <f>_xll.RssMarket(A523,"高値")</f>
        <v>表示銘柄数超過</v>
      </c>
      <c r="O523" s="4" t="e">
        <f t="shared" si="51"/>
        <v>#VALUE!</v>
      </c>
      <c r="P523" s="21" t="str">
        <f>_xll.RssMarket(A523,"安値")</f>
        <v>表示銘柄数超過</v>
      </c>
      <c r="Q523" s="4" t="e">
        <f t="shared" si="52"/>
        <v>#VALUE!</v>
      </c>
      <c r="R523" s="21" t="str">
        <f>_xll.RssMarket(A523,"後場始値")</f>
        <v>表示銘柄数超過</v>
      </c>
      <c r="S523" s="25" t="str">
        <f t="shared" si="53"/>
        <v>-</v>
      </c>
      <c r="T523" s="7" t="str">
        <f>_xll.RssMarket(A523,"出来高加重平均")</f>
        <v>表示銘柄数超過</v>
      </c>
      <c r="U523" s="4" t="e">
        <f t="shared" si="54"/>
        <v>#VALUE!</v>
      </c>
      <c r="V523" s="21" t="str">
        <f>_xll.RssMarket(A523,"出来高")</f>
        <v>表示銘柄数超過</v>
      </c>
      <c r="W523" s="21" t="str">
        <f>_xll.RssMarket(A523,"売買代金")</f>
        <v>表示銘柄数超過</v>
      </c>
      <c r="X523" s="20" t="str">
        <f>_xll.RssMarket(A523,"決算発表日")</f>
        <v>表示銘柄数超過</v>
      </c>
      <c r="Y523" s="26" t="str">
        <f>IF(C523&gt;_xll.RssMarket(A523,"年初来高値"),"○","×")</f>
        <v>×</v>
      </c>
      <c r="Z523" s="27" t="str">
        <f>IF(C523&lt;=_xll.RssMarket(A523,"年初来安値"),"○","×")</f>
        <v>○</v>
      </c>
    </row>
    <row r="524" spans="1:26" x14ac:dyDescent="0.25">
      <c r="A524" s="47">
        <v>4714</v>
      </c>
      <c r="B524" s="20" t="str">
        <f>_xll.RssMarket(A524,"銘柄名称")</f>
        <v>表示銘柄数超過</v>
      </c>
      <c r="C524" s="21" t="str">
        <f>_xll.RssMarket(A524,"現在値")</f>
        <v>表示銘柄数超過</v>
      </c>
      <c r="D524" s="20" t="str">
        <f>_xll.RssMarket(A524,"現在値詳細時刻")</f>
        <v>表示銘柄数超過</v>
      </c>
      <c r="E524" s="22" t="str">
        <f>_xll.RssMarket(A524,"前日比")</f>
        <v>表示銘柄数超過</v>
      </c>
      <c r="F524" s="23" t="e">
        <f>_xll.RssMarket(A524,"前日比率")/100</f>
        <v>#VALUE!</v>
      </c>
      <c r="G524" s="24" t="str">
        <f>IFERROR(VLOOKUP(A524,取得元!$A$2:$F$501,2,FALSE),"-")</f>
        <v>-</v>
      </c>
      <c r="H524" s="24" t="str">
        <f>IFERROR(VLOOKUP(A524,取得元!$A$2:$F$501,3,FALSE),"-")</f>
        <v>-</v>
      </c>
      <c r="I524" s="24" t="str">
        <f>IFERROR(VLOOKUP(A524,取得元!$A$2:$F$501,4,FALSE),"-")</f>
        <v>-</v>
      </c>
      <c r="J524" s="5" t="str">
        <f>IFERROR(VLOOKUP(A524,取得元!$A$2:$F$501,5,FALSE),"-")</f>
        <v>-</v>
      </c>
      <c r="K524" s="25" t="str">
        <f>IFERROR(VLOOKUP(A524,取得元!$A$2:$F$501,6,FALSE)/100,"-")</f>
        <v>-</v>
      </c>
      <c r="L524" s="21" t="str">
        <f>_xll.RssMarket(A524,"始値")</f>
        <v>表示銘柄数超過</v>
      </c>
      <c r="M524" s="4" t="e">
        <f t="shared" si="50"/>
        <v>#VALUE!</v>
      </c>
      <c r="N524" s="21" t="str">
        <f>_xll.RssMarket(A524,"高値")</f>
        <v>表示銘柄数超過</v>
      </c>
      <c r="O524" s="4" t="e">
        <f t="shared" si="51"/>
        <v>#VALUE!</v>
      </c>
      <c r="P524" s="21" t="str">
        <f>_xll.RssMarket(A524,"安値")</f>
        <v>表示銘柄数超過</v>
      </c>
      <c r="Q524" s="4" t="e">
        <f t="shared" si="52"/>
        <v>#VALUE!</v>
      </c>
      <c r="R524" s="21" t="str">
        <f>_xll.RssMarket(A524,"後場始値")</f>
        <v>表示銘柄数超過</v>
      </c>
      <c r="S524" s="25" t="str">
        <f t="shared" si="53"/>
        <v>-</v>
      </c>
      <c r="T524" s="7" t="str">
        <f>_xll.RssMarket(A524,"出来高加重平均")</f>
        <v>表示銘柄数超過</v>
      </c>
      <c r="U524" s="4" t="e">
        <f t="shared" si="54"/>
        <v>#VALUE!</v>
      </c>
      <c r="V524" s="21" t="str">
        <f>_xll.RssMarket(A524,"出来高")</f>
        <v>表示銘柄数超過</v>
      </c>
      <c r="W524" s="21" t="str">
        <f>_xll.RssMarket(A524,"売買代金")</f>
        <v>表示銘柄数超過</v>
      </c>
      <c r="X524" s="20" t="str">
        <f>_xll.RssMarket(A524,"決算発表日")</f>
        <v>表示銘柄数超過</v>
      </c>
      <c r="Y524" s="26" t="str">
        <f>IF(C524&gt;_xll.RssMarket(A524,"年初来高値"),"○","×")</f>
        <v>×</v>
      </c>
      <c r="Z524" s="27" t="str">
        <f>IF(C524&lt;=_xll.RssMarket(A524,"年初来安値"),"○","×")</f>
        <v>○</v>
      </c>
    </row>
    <row r="525" spans="1:26" x14ac:dyDescent="0.25">
      <c r="A525" s="49">
        <v>4716</v>
      </c>
      <c r="B525" s="20" t="str">
        <f>_xll.RssMarket(A525,"銘柄名称")</f>
        <v>表示銘柄数超過</v>
      </c>
      <c r="C525" s="21" t="str">
        <f>_xll.RssMarket(A525,"現在値")</f>
        <v>表示銘柄数超過</v>
      </c>
      <c r="D525" s="20" t="str">
        <f>_xll.RssMarket(A525,"現在値詳細時刻")</f>
        <v>表示銘柄数超過</v>
      </c>
      <c r="E525" s="22" t="str">
        <f>_xll.RssMarket(A525,"前日比")</f>
        <v>表示銘柄数超過</v>
      </c>
      <c r="F525" s="23" t="e">
        <f>_xll.RssMarket(A525,"前日比率")/100</f>
        <v>#VALUE!</v>
      </c>
      <c r="G525" s="24" t="str">
        <f>IFERROR(VLOOKUP(A525,取得元!$A$2:$F$501,2,FALSE),"-")</f>
        <v>-</v>
      </c>
      <c r="H525" s="24" t="str">
        <f>IFERROR(VLOOKUP(A525,取得元!$A$2:$F$501,3,FALSE),"-")</f>
        <v>-</v>
      </c>
      <c r="I525" s="24" t="str">
        <f>IFERROR(VLOOKUP(A525,取得元!$A$2:$F$501,4,FALSE),"-")</f>
        <v>-</v>
      </c>
      <c r="J525" s="5" t="str">
        <f>IFERROR(VLOOKUP(A525,取得元!$A$2:$F$501,5,FALSE),"-")</f>
        <v>-</v>
      </c>
      <c r="K525" s="25" t="str">
        <f>IFERROR(VLOOKUP(A525,取得元!$A$2:$F$501,6,FALSE)/100,"-")</f>
        <v>-</v>
      </c>
      <c r="L525" s="21" t="str">
        <f>_xll.RssMarket(A525,"始値")</f>
        <v>表示銘柄数超過</v>
      </c>
      <c r="M525" s="4" t="e">
        <f t="shared" si="50"/>
        <v>#VALUE!</v>
      </c>
      <c r="N525" s="21" t="str">
        <f>_xll.RssMarket(A525,"高値")</f>
        <v>表示銘柄数超過</v>
      </c>
      <c r="O525" s="4" t="e">
        <f t="shared" si="51"/>
        <v>#VALUE!</v>
      </c>
      <c r="P525" s="21" t="str">
        <f>_xll.RssMarket(A525,"安値")</f>
        <v>表示銘柄数超過</v>
      </c>
      <c r="Q525" s="4" t="e">
        <f t="shared" si="52"/>
        <v>#VALUE!</v>
      </c>
      <c r="R525" s="21" t="str">
        <f>_xll.RssMarket(A525,"後場始値")</f>
        <v>表示銘柄数超過</v>
      </c>
      <c r="S525" s="25" t="str">
        <f t="shared" si="53"/>
        <v>-</v>
      </c>
      <c r="T525" s="7" t="str">
        <f>_xll.RssMarket(A525,"出来高加重平均")</f>
        <v>表示銘柄数超過</v>
      </c>
      <c r="U525" s="4" t="e">
        <f t="shared" si="54"/>
        <v>#VALUE!</v>
      </c>
      <c r="V525" s="21" t="str">
        <f>_xll.RssMarket(A525,"出来高")</f>
        <v>表示銘柄数超過</v>
      </c>
      <c r="W525" s="21" t="str">
        <f>_xll.RssMarket(A525,"売買代金")</f>
        <v>表示銘柄数超過</v>
      </c>
      <c r="X525" s="20" t="str">
        <f>_xll.RssMarket(A525,"決算発表日")</f>
        <v>表示銘柄数超過</v>
      </c>
      <c r="Y525" s="26" t="str">
        <f>IF(C525&gt;_xll.RssMarket(A525,"年初来高値"),"○","×")</f>
        <v>×</v>
      </c>
      <c r="Z525" s="27" t="str">
        <f>IF(C525&lt;=_xll.RssMarket(A525,"年初来安値"),"○","×")</f>
        <v>○</v>
      </c>
    </row>
    <row r="526" spans="1:26" x14ac:dyDescent="0.25">
      <c r="A526" s="47">
        <v>4720</v>
      </c>
      <c r="B526" s="20" t="str">
        <f>_xll.RssMarket(A526,"銘柄名称")</f>
        <v>表示銘柄数超過</v>
      </c>
      <c r="C526" s="21" t="str">
        <f>_xll.RssMarket(A526,"現在値")</f>
        <v>表示銘柄数超過</v>
      </c>
      <c r="D526" s="20" t="str">
        <f>_xll.RssMarket(A526,"現在値詳細時刻")</f>
        <v>表示銘柄数超過</v>
      </c>
      <c r="E526" s="22" t="str">
        <f>_xll.RssMarket(A526,"前日比")</f>
        <v>表示銘柄数超過</v>
      </c>
      <c r="F526" s="23" t="e">
        <f>_xll.RssMarket(A526,"前日比率")/100</f>
        <v>#VALUE!</v>
      </c>
      <c r="G526" s="24" t="str">
        <f>IFERROR(VLOOKUP(A526,取得元!$A$2:$F$501,2,FALSE),"-")</f>
        <v>-</v>
      </c>
      <c r="H526" s="24" t="str">
        <f>IFERROR(VLOOKUP(A526,取得元!$A$2:$F$501,3,FALSE),"-")</f>
        <v>-</v>
      </c>
      <c r="I526" s="24" t="str">
        <f>IFERROR(VLOOKUP(A526,取得元!$A$2:$F$501,4,FALSE),"-")</f>
        <v>-</v>
      </c>
      <c r="J526" s="5" t="str">
        <f>IFERROR(VLOOKUP(A526,取得元!$A$2:$F$501,5,FALSE),"-")</f>
        <v>-</v>
      </c>
      <c r="K526" s="25" t="str">
        <f>IFERROR(VLOOKUP(A526,取得元!$A$2:$F$501,6,FALSE)/100,"-")</f>
        <v>-</v>
      </c>
      <c r="L526" s="21" t="str">
        <f>_xll.RssMarket(A526,"始値")</f>
        <v>表示銘柄数超過</v>
      </c>
      <c r="M526" s="4" t="e">
        <f t="shared" si="50"/>
        <v>#VALUE!</v>
      </c>
      <c r="N526" s="21" t="str">
        <f>_xll.RssMarket(A526,"高値")</f>
        <v>表示銘柄数超過</v>
      </c>
      <c r="O526" s="4" t="e">
        <f t="shared" si="51"/>
        <v>#VALUE!</v>
      </c>
      <c r="P526" s="21" t="str">
        <f>_xll.RssMarket(A526,"安値")</f>
        <v>表示銘柄数超過</v>
      </c>
      <c r="Q526" s="4" t="e">
        <f t="shared" si="52"/>
        <v>#VALUE!</v>
      </c>
      <c r="R526" s="21" t="str">
        <f>_xll.RssMarket(A526,"後場始値")</f>
        <v>表示銘柄数超過</v>
      </c>
      <c r="S526" s="25" t="str">
        <f t="shared" si="53"/>
        <v>-</v>
      </c>
      <c r="T526" s="7" t="str">
        <f>_xll.RssMarket(A526,"出来高加重平均")</f>
        <v>表示銘柄数超過</v>
      </c>
      <c r="U526" s="4" t="e">
        <f t="shared" si="54"/>
        <v>#VALUE!</v>
      </c>
      <c r="V526" s="21" t="str">
        <f>_xll.RssMarket(A526,"出来高")</f>
        <v>表示銘柄数超過</v>
      </c>
      <c r="W526" s="21" t="str">
        <f>_xll.RssMarket(A526,"売買代金")</f>
        <v>表示銘柄数超過</v>
      </c>
      <c r="X526" s="20" t="str">
        <f>_xll.RssMarket(A526,"決算発表日")</f>
        <v>表示銘柄数超過</v>
      </c>
      <c r="Y526" s="26" t="str">
        <f>IF(C526&gt;_xll.RssMarket(A526,"年初来高値"),"○","×")</f>
        <v>×</v>
      </c>
      <c r="Z526" s="27" t="str">
        <f>IF(C526&lt;=_xll.RssMarket(A526,"年初来安値"),"○","×")</f>
        <v>○</v>
      </c>
    </row>
    <row r="527" spans="1:26" x14ac:dyDescent="0.25">
      <c r="A527" s="49">
        <v>4726</v>
      </c>
      <c r="B527" s="20" t="str">
        <f>_xll.RssMarket(A527,"銘柄名称")</f>
        <v>表示銘柄数超過</v>
      </c>
      <c r="C527" s="21" t="str">
        <f>_xll.RssMarket(A527,"現在値")</f>
        <v>表示銘柄数超過</v>
      </c>
      <c r="D527" s="20" t="str">
        <f>_xll.RssMarket(A527,"現在値詳細時刻")</f>
        <v>表示銘柄数超過</v>
      </c>
      <c r="E527" s="22" t="str">
        <f>_xll.RssMarket(A527,"前日比")</f>
        <v>表示銘柄数超過</v>
      </c>
      <c r="F527" s="23" t="e">
        <f>_xll.RssMarket(A527,"前日比率")/100</f>
        <v>#VALUE!</v>
      </c>
      <c r="G527" s="24" t="str">
        <f>IFERROR(VLOOKUP(A527,取得元!$A$2:$F$501,2,FALSE),"-")</f>
        <v>-</v>
      </c>
      <c r="H527" s="24" t="str">
        <f>IFERROR(VLOOKUP(A527,取得元!$A$2:$F$501,3,FALSE),"-")</f>
        <v>-</v>
      </c>
      <c r="I527" s="24" t="str">
        <f>IFERROR(VLOOKUP(A527,取得元!$A$2:$F$501,4,FALSE),"-")</f>
        <v>-</v>
      </c>
      <c r="J527" s="5" t="str">
        <f>IFERROR(VLOOKUP(A527,取得元!$A$2:$F$501,5,FALSE),"-")</f>
        <v>-</v>
      </c>
      <c r="K527" s="25" t="str">
        <f>IFERROR(VLOOKUP(A527,取得元!$A$2:$F$501,6,FALSE)/100,"-")</f>
        <v>-</v>
      </c>
      <c r="L527" s="21" t="str">
        <f>_xll.RssMarket(A527,"始値")</f>
        <v>表示銘柄数超過</v>
      </c>
      <c r="M527" s="4" t="e">
        <f t="shared" si="50"/>
        <v>#VALUE!</v>
      </c>
      <c r="N527" s="21" t="str">
        <f>_xll.RssMarket(A527,"高値")</f>
        <v>表示銘柄数超過</v>
      </c>
      <c r="O527" s="4" t="e">
        <f t="shared" si="51"/>
        <v>#VALUE!</v>
      </c>
      <c r="P527" s="21" t="str">
        <f>_xll.RssMarket(A527,"安値")</f>
        <v>表示銘柄数超過</v>
      </c>
      <c r="Q527" s="4" t="e">
        <f t="shared" si="52"/>
        <v>#VALUE!</v>
      </c>
      <c r="R527" s="21" t="str">
        <f>_xll.RssMarket(A527,"後場始値")</f>
        <v>表示銘柄数超過</v>
      </c>
      <c r="S527" s="25" t="str">
        <f t="shared" si="53"/>
        <v>-</v>
      </c>
      <c r="T527" s="7" t="str">
        <f>_xll.RssMarket(A527,"出来高加重平均")</f>
        <v>表示銘柄数超過</v>
      </c>
      <c r="U527" s="4" t="e">
        <f t="shared" si="54"/>
        <v>#VALUE!</v>
      </c>
      <c r="V527" s="21" t="str">
        <f>_xll.RssMarket(A527,"出来高")</f>
        <v>表示銘柄数超過</v>
      </c>
      <c r="W527" s="21" t="str">
        <f>_xll.RssMarket(A527,"売買代金")</f>
        <v>表示銘柄数超過</v>
      </c>
      <c r="X527" s="20" t="str">
        <f>_xll.RssMarket(A527,"決算発表日")</f>
        <v>表示銘柄数超過</v>
      </c>
      <c r="Y527" s="26" t="str">
        <f>IF(C527&gt;_xll.RssMarket(A527,"年初来高値"),"○","×")</f>
        <v>×</v>
      </c>
      <c r="Z527" s="27" t="str">
        <f>IF(C527&lt;=_xll.RssMarket(A527,"年初来安値"),"○","×")</f>
        <v>○</v>
      </c>
    </row>
    <row r="528" spans="1:26" x14ac:dyDescent="0.25">
      <c r="A528" s="47">
        <v>4751</v>
      </c>
      <c r="B528" s="20" t="str">
        <f>_xll.RssMarket(A528,"銘柄名称")</f>
        <v>表示銘柄数超過</v>
      </c>
      <c r="C528" s="21" t="str">
        <f>_xll.RssMarket(A528,"現在値")</f>
        <v>表示銘柄数超過</v>
      </c>
      <c r="D528" s="20" t="str">
        <f>_xll.RssMarket(A528,"現在値詳細時刻")</f>
        <v>表示銘柄数超過</v>
      </c>
      <c r="E528" s="22" t="str">
        <f>_xll.RssMarket(A528,"前日比")</f>
        <v>表示銘柄数超過</v>
      </c>
      <c r="F528" s="23" t="e">
        <f>_xll.RssMarket(A528,"前日比率")/100</f>
        <v>#VALUE!</v>
      </c>
      <c r="G528" s="24" t="str">
        <f>IFERROR(VLOOKUP(A528,取得元!$A$2:$F$501,2,FALSE),"-")</f>
        <v>-</v>
      </c>
      <c r="H528" s="24" t="str">
        <f>IFERROR(VLOOKUP(A528,取得元!$A$2:$F$501,3,FALSE),"-")</f>
        <v>-</v>
      </c>
      <c r="I528" s="24" t="str">
        <f>IFERROR(VLOOKUP(A528,取得元!$A$2:$F$501,4,FALSE),"-")</f>
        <v>-</v>
      </c>
      <c r="J528" s="5" t="str">
        <f>IFERROR(VLOOKUP(A528,取得元!$A$2:$F$501,5,FALSE),"-")</f>
        <v>-</v>
      </c>
      <c r="K528" s="25" t="str">
        <f>IFERROR(VLOOKUP(A528,取得元!$A$2:$F$501,6,FALSE)/100,"-")</f>
        <v>-</v>
      </c>
      <c r="L528" s="21" t="str">
        <f>_xll.RssMarket(A528,"始値")</f>
        <v>表示銘柄数超過</v>
      </c>
      <c r="M528" s="4" t="e">
        <f t="shared" si="50"/>
        <v>#VALUE!</v>
      </c>
      <c r="N528" s="21" t="str">
        <f>_xll.RssMarket(A528,"高値")</f>
        <v>表示銘柄数超過</v>
      </c>
      <c r="O528" s="4" t="e">
        <f t="shared" si="51"/>
        <v>#VALUE!</v>
      </c>
      <c r="P528" s="21" t="str">
        <f>_xll.RssMarket(A528,"安値")</f>
        <v>表示銘柄数超過</v>
      </c>
      <c r="Q528" s="4" t="e">
        <f t="shared" si="52"/>
        <v>#VALUE!</v>
      </c>
      <c r="R528" s="21" t="str">
        <f>_xll.RssMarket(A528,"後場始値")</f>
        <v>表示銘柄数超過</v>
      </c>
      <c r="S528" s="25" t="str">
        <f t="shared" si="53"/>
        <v>-</v>
      </c>
      <c r="T528" s="7" t="str">
        <f>_xll.RssMarket(A528,"出来高加重平均")</f>
        <v>表示銘柄数超過</v>
      </c>
      <c r="U528" s="4" t="e">
        <f t="shared" si="54"/>
        <v>#VALUE!</v>
      </c>
      <c r="V528" s="21" t="str">
        <f>_xll.RssMarket(A528,"出来高")</f>
        <v>表示銘柄数超過</v>
      </c>
      <c r="W528" s="21" t="str">
        <f>_xll.RssMarket(A528,"売買代金")</f>
        <v>表示銘柄数超過</v>
      </c>
      <c r="X528" s="20" t="str">
        <f>_xll.RssMarket(A528,"決算発表日")</f>
        <v>表示銘柄数超過</v>
      </c>
      <c r="Y528" s="26" t="str">
        <f>IF(C528&gt;_xll.RssMarket(A528,"年初来高値"),"○","×")</f>
        <v>×</v>
      </c>
      <c r="Z528" s="27" t="str">
        <f>IF(C528&lt;=_xll.RssMarket(A528,"年初来安値"),"○","×")</f>
        <v>○</v>
      </c>
    </row>
    <row r="529" spans="1:26" x14ac:dyDescent="0.25">
      <c r="A529" s="49">
        <v>4755</v>
      </c>
      <c r="B529" s="20" t="str">
        <f>_xll.RssMarket(A529,"銘柄名称")</f>
        <v>表示銘柄数超過</v>
      </c>
      <c r="C529" s="21" t="str">
        <f>_xll.RssMarket(A529,"現在値")</f>
        <v>表示銘柄数超過</v>
      </c>
      <c r="D529" s="20" t="str">
        <f>_xll.RssMarket(A529,"現在値詳細時刻")</f>
        <v>表示銘柄数超過</v>
      </c>
      <c r="E529" s="22" t="str">
        <f>_xll.RssMarket(A529,"前日比")</f>
        <v>表示銘柄数超過</v>
      </c>
      <c r="F529" s="23" t="e">
        <f>_xll.RssMarket(A529,"前日比率")/100</f>
        <v>#VALUE!</v>
      </c>
      <c r="G529" s="24" t="str">
        <f>IFERROR(VLOOKUP(A529,取得元!$A$2:$F$501,2,FALSE),"-")</f>
        <v>-</v>
      </c>
      <c r="H529" s="24" t="str">
        <f>IFERROR(VLOOKUP(A529,取得元!$A$2:$F$501,3,FALSE),"-")</f>
        <v>-</v>
      </c>
      <c r="I529" s="24" t="str">
        <f>IFERROR(VLOOKUP(A529,取得元!$A$2:$F$501,4,FALSE),"-")</f>
        <v>-</v>
      </c>
      <c r="J529" s="5" t="str">
        <f>IFERROR(VLOOKUP(A529,取得元!$A$2:$F$501,5,FALSE),"-")</f>
        <v>-</v>
      </c>
      <c r="K529" s="25" t="str">
        <f>IFERROR(VLOOKUP(A529,取得元!$A$2:$F$501,6,FALSE)/100,"-")</f>
        <v>-</v>
      </c>
      <c r="L529" s="21" t="str">
        <f>_xll.RssMarket(A529,"始値")</f>
        <v>表示銘柄数超過</v>
      </c>
      <c r="M529" s="4" t="e">
        <f t="shared" si="50"/>
        <v>#VALUE!</v>
      </c>
      <c r="N529" s="21" t="str">
        <f>_xll.RssMarket(A529,"高値")</f>
        <v>表示銘柄数超過</v>
      </c>
      <c r="O529" s="4" t="e">
        <f t="shared" si="51"/>
        <v>#VALUE!</v>
      </c>
      <c r="P529" s="21" t="str">
        <f>_xll.RssMarket(A529,"安値")</f>
        <v>表示銘柄数超過</v>
      </c>
      <c r="Q529" s="4" t="e">
        <f t="shared" si="52"/>
        <v>#VALUE!</v>
      </c>
      <c r="R529" s="21" t="str">
        <f>_xll.RssMarket(A529,"後場始値")</f>
        <v>表示銘柄数超過</v>
      </c>
      <c r="S529" s="25" t="str">
        <f t="shared" si="53"/>
        <v>-</v>
      </c>
      <c r="T529" s="7" t="str">
        <f>_xll.RssMarket(A529,"出来高加重平均")</f>
        <v>表示銘柄数超過</v>
      </c>
      <c r="U529" s="4" t="e">
        <f t="shared" si="54"/>
        <v>#VALUE!</v>
      </c>
      <c r="V529" s="21" t="str">
        <f>_xll.RssMarket(A529,"出来高")</f>
        <v>表示銘柄数超過</v>
      </c>
      <c r="W529" s="21" t="str">
        <f>_xll.RssMarket(A529,"売買代金")</f>
        <v>表示銘柄数超過</v>
      </c>
      <c r="X529" s="20" t="str">
        <f>_xll.RssMarket(A529,"決算発表日")</f>
        <v>表示銘柄数超過</v>
      </c>
      <c r="Y529" s="26" t="str">
        <f>IF(C529&gt;_xll.RssMarket(A529,"年初来高値"),"○","×")</f>
        <v>×</v>
      </c>
      <c r="Z529" s="27" t="str">
        <f>IF(C529&lt;=_xll.RssMarket(A529,"年初来安値"),"○","×")</f>
        <v>○</v>
      </c>
    </row>
    <row r="530" spans="1:26" x14ac:dyDescent="0.25">
      <c r="A530" s="47">
        <v>4766</v>
      </c>
      <c r="B530" s="20" t="str">
        <f>_xll.RssMarket(A530,"銘柄名称")</f>
        <v>表示銘柄数超過</v>
      </c>
      <c r="C530" s="21" t="str">
        <f>_xll.RssMarket(A530,"現在値")</f>
        <v>表示銘柄数超過</v>
      </c>
      <c r="D530" s="20" t="str">
        <f>_xll.RssMarket(A530,"現在値詳細時刻")</f>
        <v>表示銘柄数超過</v>
      </c>
      <c r="E530" s="22" t="str">
        <f>_xll.RssMarket(A530,"前日比")</f>
        <v>表示銘柄数超過</v>
      </c>
      <c r="F530" s="23" t="e">
        <f>_xll.RssMarket(A530,"前日比率")/100</f>
        <v>#VALUE!</v>
      </c>
      <c r="G530" s="24" t="str">
        <f>IFERROR(VLOOKUP(A530,取得元!$A$2:$F$501,2,FALSE),"-")</f>
        <v>-</v>
      </c>
      <c r="H530" s="24" t="str">
        <f>IFERROR(VLOOKUP(A530,取得元!$A$2:$F$501,3,FALSE),"-")</f>
        <v>-</v>
      </c>
      <c r="I530" s="24" t="str">
        <f>IFERROR(VLOOKUP(A530,取得元!$A$2:$F$501,4,FALSE),"-")</f>
        <v>-</v>
      </c>
      <c r="J530" s="5" t="str">
        <f>IFERROR(VLOOKUP(A530,取得元!$A$2:$F$501,5,FALSE),"-")</f>
        <v>-</v>
      </c>
      <c r="K530" s="25" t="str">
        <f>IFERROR(VLOOKUP(A530,取得元!$A$2:$F$501,6,FALSE)/100,"-")</f>
        <v>-</v>
      </c>
      <c r="L530" s="21" t="str">
        <f>_xll.RssMarket(A530,"始値")</f>
        <v>表示銘柄数超過</v>
      </c>
      <c r="M530" s="4" t="e">
        <f t="shared" si="50"/>
        <v>#VALUE!</v>
      </c>
      <c r="N530" s="21" t="str">
        <f>_xll.RssMarket(A530,"高値")</f>
        <v>表示銘柄数超過</v>
      </c>
      <c r="O530" s="4" t="e">
        <f t="shared" si="51"/>
        <v>#VALUE!</v>
      </c>
      <c r="P530" s="21" t="str">
        <f>_xll.RssMarket(A530,"安値")</f>
        <v>表示銘柄数超過</v>
      </c>
      <c r="Q530" s="4" t="e">
        <f t="shared" si="52"/>
        <v>#VALUE!</v>
      </c>
      <c r="R530" s="21" t="str">
        <f>_xll.RssMarket(A530,"後場始値")</f>
        <v>表示銘柄数超過</v>
      </c>
      <c r="S530" s="25" t="str">
        <f t="shared" si="53"/>
        <v>-</v>
      </c>
      <c r="T530" s="7" t="str">
        <f>_xll.RssMarket(A530,"出来高加重平均")</f>
        <v>表示銘柄数超過</v>
      </c>
      <c r="U530" s="4" t="e">
        <f t="shared" si="54"/>
        <v>#VALUE!</v>
      </c>
      <c r="V530" s="21" t="str">
        <f>_xll.RssMarket(A530,"出来高")</f>
        <v>表示銘柄数超過</v>
      </c>
      <c r="W530" s="21" t="str">
        <f>_xll.RssMarket(A530,"売買代金")</f>
        <v>表示銘柄数超過</v>
      </c>
      <c r="X530" s="20" t="str">
        <f>_xll.RssMarket(A530,"決算発表日")</f>
        <v>表示銘柄数超過</v>
      </c>
      <c r="Y530" s="26" t="str">
        <f>IF(C530&gt;_xll.RssMarket(A530,"年初来高値"),"○","×")</f>
        <v>×</v>
      </c>
      <c r="Z530" s="27" t="str">
        <f>IF(C530&lt;=_xll.RssMarket(A530,"年初来安値"),"○","×")</f>
        <v>○</v>
      </c>
    </row>
    <row r="531" spans="1:26" x14ac:dyDescent="0.25">
      <c r="A531" s="49">
        <v>4767</v>
      </c>
      <c r="B531" s="20" t="str">
        <f>_xll.RssMarket(A531,"銘柄名称")</f>
        <v>表示銘柄数超過</v>
      </c>
      <c r="C531" s="21" t="str">
        <f>_xll.RssMarket(A531,"現在値")</f>
        <v>表示銘柄数超過</v>
      </c>
      <c r="D531" s="20" t="str">
        <f>_xll.RssMarket(A531,"現在値詳細時刻")</f>
        <v>表示銘柄数超過</v>
      </c>
      <c r="E531" s="22" t="str">
        <f>_xll.RssMarket(A531,"前日比")</f>
        <v>表示銘柄数超過</v>
      </c>
      <c r="F531" s="23" t="e">
        <f>_xll.RssMarket(A531,"前日比率")/100</f>
        <v>#VALUE!</v>
      </c>
      <c r="G531" s="24" t="str">
        <f>IFERROR(VLOOKUP(A531,取得元!$A$2:$F$501,2,FALSE),"-")</f>
        <v>-</v>
      </c>
      <c r="H531" s="24" t="str">
        <f>IFERROR(VLOOKUP(A531,取得元!$A$2:$F$501,3,FALSE),"-")</f>
        <v>-</v>
      </c>
      <c r="I531" s="24" t="str">
        <f>IFERROR(VLOOKUP(A531,取得元!$A$2:$F$501,4,FALSE),"-")</f>
        <v>-</v>
      </c>
      <c r="J531" s="5" t="str">
        <f>IFERROR(VLOOKUP(A531,取得元!$A$2:$F$501,5,FALSE),"-")</f>
        <v>-</v>
      </c>
      <c r="K531" s="25" t="str">
        <f>IFERROR(VLOOKUP(A531,取得元!$A$2:$F$501,6,FALSE)/100,"-")</f>
        <v>-</v>
      </c>
      <c r="L531" s="21" t="str">
        <f>_xll.RssMarket(A531,"始値")</f>
        <v>表示銘柄数超過</v>
      </c>
      <c r="M531" s="4" t="e">
        <f t="shared" si="50"/>
        <v>#VALUE!</v>
      </c>
      <c r="N531" s="21" t="str">
        <f>_xll.RssMarket(A531,"高値")</f>
        <v>表示銘柄数超過</v>
      </c>
      <c r="O531" s="4" t="e">
        <f t="shared" si="51"/>
        <v>#VALUE!</v>
      </c>
      <c r="P531" s="21" t="str">
        <f>_xll.RssMarket(A531,"安値")</f>
        <v>表示銘柄数超過</v>
      </c>
      <c r="Q531" s="4" t="e">
        <f t="shared" si="52"/>
        <v>#VALUE!</v>
      </c>
      <c r="R531" s="21" t="str">
        <f>_xll.RssMarket(A531,"後場始値")</f>
        <v>表示銘柄数超過</v>
      </c>
      <c r="S531" s="25" t="str">
        <f t="shared" si="53"/>
        <v>-</v>
      </c>
      <c r="T531" s="7" t="str">
        <f>_xll.RssMarket(A531,"出来高加重平均")</f>
        <v>表示銘柄数超過</v>
      </c>
      <c r="U531" s="4" t="e">
        <f t="shared" si="54"/>
        <v>#VALUE!</v>
      </c>
      <c r="V531" s="21" t="str">
        <f>_xll.RssMarket(A531,"出来高")</f>
        <v>表示銘柄数超過</v>
      </c>
      <c r="W531" s="21" t="str">
        <f>_xll.RssMarket(A531,"売買代金")</f>
        <v>表示銘柄数超過</v>
      </c>
      <c r="X531" s="20" t="str">
        <f>_xll.RssMarket(A531,"決算発表日")</f>
        <v>表示銘柄数超過</v>
      </c>
      <c r="Y531" s="26" t="str">
        <f>IF(C531&gt;_xll.RssMarket(A531,"年初来高値"),"○","×")</f>
        <v>×</v>
      </c>
      <c r="Z531" s="27" t="str">
        <f>IF(C531&lt;=_xll.RssMarket(A531,"年初来安値"),"○","×")</f>
        <v>○</v>
      </c>
    </row>
    <row r="532" spans="1:26" x14ac:dyDescent="0.25">
      <c r="A532" s="47">
        <v>4770</v>
      </c>
      <c r="B532" s="20" t="str">
        <f>_xll.RssMarket(A532,"銘柄名称")</f>
        <v>表示銘柄数超過</v>
      </c>
      <c r="C532" s="21" t="str">
        <f>_xll.RssMarket(A532,"現在値")</f>
        <v>表示銘柄数超過</v>
      </c>
      <c r="D532" s="20" t="str">
        <f>_xll.RssMarket(A532,"現在値詳細時刻")</f>
        <v>表示銘柄数超過</v>
      </c>
      <c r="E532" s="22" t="str">
        <f>_xll.RssMarket(A532,"前日比")</f>
        <v>表示銘柄数超過</v>
      </c>
      <c r="F532" s="23" t="e">
        <f>_xll.RssMarket(A532,"前日比率")/100</f>
        <v>#VALUE!</v>
      </c>
      <c r="G532" s="24" t="str">
        <f>IFERROR(VLOOKUP(A532,取得元!$A$2:$F$501,2,FALSE),"-")</f>
        <v>-</v>
      </c>
      <c r="H532" s="24" t="str">
        <f>IFERROR(VLOOKUP(A532,取得元!$A$2:$F$501,3,FALSE),"-")</f>
        <v>-</v>
      </c>
      <c r="I532" s="24" t="str">
        <f>IFERROR(VLOOKUP(A532,取得元!$A$2:$F$501,4,FALSE),"-")</f>
        <v>-</v>
      </c>
      <c r="J532" s="5" t="str">
        <f>IFERROR(VLOOKUP(A532,取得元!$A$2:$F$501,5,FALSE),"-")</f>
        <v>-</v>
      </c>
      <c r="K532" s="25" t="str">
        <f>IFERROR(VLOOKUP(A532,取得元!$A$2:$F$501,6,FALSE)/100,"-")</f>
        <v>-</v>
      </c>
      <c r="L532" s="21" t="str">
        <f>_xll.RssMarket(A532,"始値")</f>
        <v>表示銘柄数超過</v>
      </c>
      <c r="M532" s="4" t="e">
        <f t="shared" si="50"/>
        <v>#VALUE!</v>
      </c>
      <c r="N532" s="21" t="str">
        <f>_xll.RssMarket(A532,"高値")</f>
        <v>表示銘柄数超過</v>
      </c>
      <c r="O532" s="4" t="e">
        <f t="shared" si="51"/>
        <v>#VALUE!</v>
      </c>
      <c r="P532" s="21" t="str">
        <f>_xll.RssMarket(A532,"安値")</f>
        <v>表示銘柄数超過</v>
      </c>
      <c r="Q532" s="4" t="e">
        <f t="shared" si="52"/>
        <v>#VALUE!</v>
      </c>
      <c r="R532" s="21" t="str">
        <f>_xll.RssMarket(A532,"後場始値")</f>
        <v>表示銘柄数超過</v>
      </c>
      <c r="S532" s="25" t="str">
        <f t="shared" si="53"/>
        <v>-</v>
      </c>
      <c r="T532" s="7" t="str">
        <f>_xll.RssMarket(A532,"出来高加重平均")</f>
        <v>表示銘柄数超過</v>
      </c>
      <c r="U532" s="4" t="e">
        <f t="shared" si="54"/>
        <v>#VALUE!</v>
      </c>
      <c r="V532" s="21" t="str">
        <f>_xll.RssMarket(A532,"出来高")</f>
        <v>表示銘柄数超過</v>
      </c>
      <c r="W532" s="21" t="str">
        <f>_xll.RssMarket(A532,"売買代金")</f>
        <v>表示銘柄数超過</v>
      </c>
      <c r="X532" s="20" t="str">
        <f>_xll.RssMarket(A532,"決算発表日")</f>
        <v>表示銘柄数超過</v>
      </c>
      <c r="Y532" s="26" t="str">
        <f>IF(C532&gt;_xll.RssMarket(A532,"年初来高値"),"○","×")</f>
        <v>×</v>
      </c>
      <c r="Z532" s="27" t="str">
        <f>IF(C532&lt;=_xll.RssMarket(A532,"年初来安値"),"○","×")</f>
        <v>○</v>
      </c>
    </row>
    <row r="533" spans="1:26" x14ac:dyDescent="0.25">
      <c r="A533" s="49">
        <v>4776</v>
      </c>
      <c r="B533" s="20" t="str">
        <f>_xll.RssMarket(A533,"銘柄名称")</f>
        <v>表示銘柄数超過</v>
      </c>
      <c r="C533" s="21" t="str">
        <f>_xll.RssMarket(A533,"現在値")</f>
        <v>表示銘柄数超過</v>
      </c>
      <c r="D533" s="20" t="str">
        <f>_xll.RssMarket(A533,"現在値詳細時刻")</f>
        <v>表示銘柄数超過</v>
      </c>
      <c r="E533" s="22" t="str">
        <f>_xll.RssMarket(A533,"前日比")</f>
        <v>表示銘柄数超過</v>
      </c>
      <c r="F533" s="23" t="e">
        <f>_xll.RssMarket(A533,"前日比率")/100</f>
        <v>#VALUE!</v>
      </c>
      <c r="G533" s="24" t="str">
        <f>IFERROR(VLOOKUP(A533,取得元!$A$2:$F$501,2,FALSE),"-")</f>
        <v>-</v>
      </c>
      <c r="H533" s="24" t="str">
        <f>IFERROR(VLOOKUP(A533,取得元!$A$2:$F$501,3,FALSE),"-")</f>
        <v>-</v>
      </c>
      <c r="I533" s="24" t="str">
        <f>IFERROR(VLOOKUP(A533,取得元!$A$2:$F$501,4,FALSE),"-")</f>
        <v>-</v>
      </c>
      <c r="J533" s="5" t="str">
        <f>IFERROR(VLOOKUP(A533,取得元!$A$2:$F$501,5,FALSE),"-")</f>
        <v>-</v>
      </c>
      <c r="K533" s="25" t="str">
        <f>IFERROR(VLOOKUP(A533,取得元!$A$2:$F$501,6,FALSE)/100,"-")</f>
        <v>-</v>
      </c>
      <c r="L533" s="21" t="str">
        <f>_xll.RssMarket(A533,"始値")</f>
        <v>表示銘柄数超過</v>
      </c>
      <c r="M533" s="4" t="e">
        <f t="shared" si="50"/>
        <v>#VALUE!</v>
      </c>
      <c r="N533" s="21" t="str">
        <f>_xll.RssMarket(A533,"高値")</f>
        <v>表示銘柄数超過</v>
      </c>
      <c r="O533" s="4" t="e">
        <f t="shared" si="51"/>
        <v>#VALUE!</v>
      </c>
      <c r="P533" s="21" t="str">
        <f>_xll.RssMarket(A533,"安値")</f>
        <v>表示銘柄数超過</v>
      </c>
      <c r="Q533" s="4" t="e">
        <f t="shared" si="52"/>
        <v>#VALUE!</v>
      </c>
      <c r="R533" s="21" t="str">
        <f>_xll.RssMarket(A533,"後場始値")</f>
        <v>表示銘柄数超過</v>
      </c>
      <c r="S533" s="25" t="str">
        <f t="shared" si="53"/>
        <v>-</v>
      </c>
      <c r="T533" s="7" t="str">
        <f>_xll.RssMarket(A533,"出来高加重平均")</f>
        <v>表示銘柄数超過</v>
      </c>
      <c r="U533" s="4" t="e">
        <f t="shared" si="54"/>
        <v>#VALUE!</v>
      </c>
      <c r="V533" s="21" t="str">
        <f>_xll.RssMarket(A533,"出来高")</f>
        <v>表示銘柄数超過</v>
      </c>
      <c r="W533" s="21" t="str">
        <f>_xll.RssMarket(A533,"売買代金")</f>
        <v>表示銘柄数超過</v>
      </c>
      <c r="X533" s="20" t="str">
        <f>_xll.RssMarket(A533,"決算発表日")</f>
        <v>表示銘柄数超過</v>
      </c>
      <c r="Y533" s="26" t="str">
        <f>IF(C533&gt;_xll.RssMarket(A533,"年初来高値"),"○","×")</f>
        <v>×</v>
      </c>
      <c r="Z533" s="27" t="str">
        <f>IF(C533&lt;=_xll.RssMarket(A533,"年初来安値"),"○","×")</f>
        <v>○</v>
      </c>
    </row>
    <row r="534" spans="1:26" x14ac:dyDescent="0.25">
      <c r="A534" s="47">
        <v>4777</v>
      </c>
      <c r="B534" s="20" t="str">
        <f>_xll.RssMarket(A534,"銘柄名称")</f>
        <v>表示銘柄数超過</v>
      </c>
      <c r="C534" s="21" t="str">
        <f>_xll.RssMarket(A534,"現在値")</f>
        <v>表示銘柄数超過</v>
      </c>
      <c r="D534" s="20" t="str">
        <f>_xll.RssMarket(A534,"現在値詳細時刻")</f>
        <v>表示銘柄数超過</v>
      </c>
      <c r="E534" s="22" t="str">
        <f>_xll.RssMarket(A534,"前日比")</f>
        <v>表示銘柄数超過</v>
      </c>
      <c r="F534" s="23" t="e">
        <f>_xll.RssMarket(A534,"前日比率")/100</f>
        <v>#VALUE!</v>
      </c>
      <c r="G534" s="24" t="str">
        <f>IFERROR(VLOOKUP(A534,取得元!$A$2:$F$501,2,FALSE),"-")</f>
        <v>-</v>
      </c>
      <c r="H534" s="24" t="str">
        <f>IFERROR(VLOOKUP(A534,取得元!$A$2:$F$501,3,FALSE),"-")</f>
        <v>-</v>
      </c>
      <c r="I534" s="24" t="str">
        <f>IFERROR(VLOOKUP(A534,取得元!$A$2:$F$501,4,FALSE),"-")</f>
        <v>-</v>
      </c>
      <c r="J534" s="5" t="str">
        <f>IFERROR(VLOOKUP(A534,取得元!$A$2:$F$501,5,FALSE),"-")</f>
        <v>-</v>
      </c>
      <c r="K534" s="25" t="str">
        <f>IFERROR(VLOOKUP(A534,取得元!$A$2:$F$501,6,FALSE)/100,"-")</f>
        <v>-</v>
      </c>
      <c r="L534" s="21" t="str">
        <f>_xll.RssMarket(A534,"始値")</f>
        <v>表示銘柄数超過</v>
      </c>
      <c r="M534" s="4" t="e">
        <f t="shared" ref="M534:M597" si="55">C534/L534-1</f>
        <v>#VALUE!</v>
      </c>
      <c r="N534" s="21" t="str">
        <f>_xll.RssMarket(A534,"高値")</f>
        <v>表示銘柄数超過</v>
      </c>
      <c r="O534" s="4" t="e">
        <f t="shared" ref="O534:O597" si="56">C534/N534-1</f>
        <v>#VALUE!</v>
      </c>
      <c r="P534" s="21" t="str">
        <f>_xll.RssMarket(A534,"安値")</f>
        <v>表示銘柄数超過</v>
      </c>
      <c r="Q534" s="4" t="e">
        <f t="shared" ref="Q534:Q597" si="57">C534/P534-1</f>
        <v>#VALUE!</v>
      </c>
      <c r="R534" s="21" t="str">
        <f>_xll.RssMarket(A534,"後場始値")</f>
        <v>表示銘柄数超過</v>
      </c>
      <c r="S534" s="25" t="str">
        <f t="shared" ref="S534:S597" si="58">IFERROR(C534/R534-1,"-")</f>
        <v>-</v>
      </c>
      <c r="T534" s="7" t="str">
        <f>_xll.RssMarket(A534,"出来高加重平均")</f>
        <v>表示銘柄数超過</v>
      </c>
      <c r="U534" s="4" t="e">
        <f t="shared" ref="U534:U597" si="59">C534/T534-1</f>
        <v>#VALUE!</v>
      </c>
      <c r="V534" s="21" t="str">
        <f>_xll.RssMarket(A534,"出来高")</f>
        <v>表示銘柄数超過</v>
      </c>
      <c r="W534" s="21" t="str">
        <f>_xll.RssMarket(A534,"売買代金")</f>
        <v>表示銘柄数超過</v>
      </c>
      <c r="X534" s="20" t="str">
        <f>_xll.RssMarket(A534,"決算発表日")</f>
        <v>表示銘柄数超過</v>
      </c>
      <c r="Y534" s="26" t="str">
        <f>IF(C534&gt;_xll.RssMarket(A534,"年初来高値"),"○","×")</f>
        <v>×</v>
      </c>
      <c r="Z534" s="27" t="str">
        <f>IF(C534&lt;=_xll.RssMarket(A534,"年初来安値"),"○","×")</f>
        <v>○</v>
      </c>
    </row>
    <row r="535" spans="1:26" x14ac:dyDescent="0.25">
      <c r="A535" s="49">
        <v>4784</v>
      </c>
      <c r="B535" s="20" t="str">
        <f>_xll.RssMarket(A535,"銘柄名称")</f>
        <v>表示銘柄数超過</v>
      </c>
      <c r="C535" s="21" t="str">
        <f>_xll.RssMarket(A535,"現在値")</f>
        <v>表示銘柄数超過</v>
      </c>
      <c r="D535" s="20" t="str">
        <f>_xll.RssMarket(A535,"現在値詳細時刻")</f>
        <v>表示銘柄数超過</v>
      </c>
      <c r="E535" s="22" t="str">
        <f>_xll.RssMarket(A535,"前日比")</f>
        <v>表示銘柄数超過</v>
      </c>
      <c r="F535" s="23" t="e">
        <f>_xll.RssMarket(A535,"前日比率")/100</f>
        <v>#VALUE!</v>
      </c>
      <c r="G535" s="24" t="str">
        <f>IFERROR(VLOOKUP(A535,取得元!$A$2:$F$501,2,FALSE),"-")</f>
        <v>-</v>
      </c>
      <c r="H535" s="24" t="str">
        <f>IFERROR(VLOOKUP(A535,取得元!$A$2:$F$501,3,FALSE),"-")</f>
        <v>-</v>
      </c>
      <c r="I535" s="24" t="str">
        <f>IFERROR(VLOOKUP(A535,取得元!$A$2:$F$501,4,FALSE),"-")</f>
        <v>-</v>
      </c>
      <c r="J535" s="5" t="str">
        <f>IFERROR(VLOOKUP(A535,取得元!$A$2:$F$501,5,FALSE),"-")</f>
        <v>-</v>
      </c>
      <c r="K535" s="25" t="str">
        <f>IFERROR(VLOOKUP(A535,取得元!$A$2:$F$501,6,FALSE)/100,"-")</f>
        <v>-</v>
      </c>
      <c r="L535" s="21" t="str">
        <f>_xll.RssMarket(A535,"始値")</f>
        <v>表示銘柄数超過</v>
      </c>
      <c r="M535" s="4" t="e">
        <f t="shared" si="55"/>
        <v>#VALUE!</v>
      </c>
      <c r="N535" s="21" t="str">
        <f>_xll.RssMarket(A535,"高値")</f>
        <v>表示銘柄数超過</v>
      </c>
      <c r="O535" s="4" t="e">
        <f t="shared" si="56"/>
        <v>#VALUE!</v>
      </c>
      <c r="P535" s="21" t="str">
        <f>_xll.RssMarket(A535,"安値")</f>
        <v>表示銘柄数超過</v>
      </c>
      <c r="Q535" s="4" t="e">
        <f t="shared" si="57"/>
        <v>#VALUE!</v>
      </c>
      <c r="R535" s="21" t="str">
        <f>_xll.RssMarket(A535,"後場始値")</f>
        <v>表示銘柄数超過</v>
      </c>
      <c r="S535" s="25" t="str">
        <f t="shared" si="58"/>
        <v>-</v>
      </c>
      <c r="T535" s="7" t="str">
        <f>_xll.RssMarket(A535,"出来高加重平均")</f>
        <v>表示銘柄数超過</v>
      </c>
      <c r="U535" s="4" t="e">
        <f t="shared" si="59"/>
        <v>#VALUE!</v>
      </c>
      <c r="V535" s="21" t="str">
        <f>_xll.RssMarket(A535,"出来高")</f>
        <v>表示銘柄数超過</v>
      </c>
      <c r="W535" s="21" t="str">
        <f>_xll.RssMarket(A535,"売買代金")</f>
        <v>表示銘柄数超過</v>
      </c>
      <c r="X535" s="20" t="str">
        <f>_xll.RssMarket(A535,"決算発表日")</f>
        <v>表示銘柄数超過</v>
      </c>
      <c r="Y535" s="26" t="str">
        <f>IF(C535&gt;_xll.RssMarket(A535,"年初来高値"),"○","×")</f>
        <v>×</v>
      </c>
      <c r="Z535" s="27" t="str">
        <f>IF(C535&lt;=_xll.RssMarket(A535,"年初来安値"),"○","×")</f>
        <v>○</v>
      </c>
    </row>
    <row r="536" spans="1:26" x14ac:dyDescent="0.25">
      <c r="A536" s="47">
        <v>4800</v>
      </c>
      <c r="B536" s="20" t="str">
        <f>_xll.RssMarket(A536,"銘柄名称")</f>
        <v>表示銘柄数超過</v>
      </c>
      <c r="C536" s="21" t="str">
        <f>_xll.RssMarket(A536,"現在値")</f>
        <v>表示銘柄数超過</v>
      </c>
      <c r="D536" s="20" t="str">
        <f>_xll.RssMarket(A536,"現在値詳細時刻")</f>
        <v>表示銘柄数超過</v>
      </c>
      <c r="E536" s="22" t="str">
        <f>_xll.RssMarket(A536,"前日比")</f>
        <v>表示銘柄数超過</v>
      </c>
      <c r="F536" s="23" t="e">
        <f>_xll.RssMarket(A536,"前日比率")/100</f>
        <v>#VALUE!</v>
      </c>
      <c r="G536" s="24" t="str">
        <f>IFERROR(VLOOKUP(A536,取得元!$A$2:$F$501,2,FALSE),"-")</f>
        <v>-</v>
      </c>
      <c r="H536" s="24" t="str">
        <f>IFERROR(VLOOKUP(A536,取得元!$A$2:$F$501,3,FALSE),"-")</f>
        <v>-</v>
      </c>
      <c r="I536" s="24" t="str">
        <f>IFERROR(VLOOKUP(A536,取得元!$A$2:$F$501,4,FALSE),"-")</f>
        <v>-</v>
      </c>
      <c r="J536" s="5" t="str">
        <f>IFERROR(VLOOKUP(A536,取得元!$A$2:$F$501,5,FALSE),"-")</f>
        <v>-</v>
      </c>
      <c r="K536" s="25" t="str">
        <f>IFERROR(VLOOKUP(A536,取得元!$A$2:$F$501,6,FALSE)/100,"-")</f>
        <v>-</v>
      </c>
      <c r="L536" s="21" t="str">
        <f>_xll.RssMarket(A536,"始値")</f>
        <v>表示銘柄数超過</v>
      </c>
      <c r="M536" s="4" t="e">
        <f t="shared" si="55"/>
        <v>#VALUE!</v>
      </c>
      <c r="N536" s="21" t="str">
        <f>_xll.RssMarket(A536,"高値")</f>
        <v>表示銘柄数超過</v>
      </c>
      <c r="O536" s="4" t="e">
        <f t="shared" si="56"/>
        <v>#VALUE!</v>
      </c>
      <c r="P536" s="21" t="str">
        <f>_xll.RssMarket(A536,"安値")</f>
        <v>表示銘柄数超過</v>
      </c>
      <c r="Q536" s="4" t="e">
        <f t="shared" si="57"/>
        <v>#VALUE!</v>
      </c>
      <c r="R536" s="21" t="str">
        <f>_xll.RssMarket(A536,"後場始値")</f>
        <v>表示銘柄数超過</v>
      </c>
      <c r="S536" s="25" t="str">
        <f t="shared" si="58"/>
        <v>-</v>
      </c>
      <c r="T536" s="7" t="str">
        <f>_xll.RssMarket(A536,"出来高加重平均")</f>
        <v>表示銘柄数超過</v>
      </c>
      <c r="U536" s="4" t="e">
        <f t="shared" si="59"/>
        <v>#VALUE!</v>
      </c>
      <c r="V536" s="21" t="str">
        <f>_xll.RssMarket(A536,"出来高")</f>
        <v>表示銘柄数超過</v>
      </c>
      <c r="W536" s="21" t="str">
        <f>_xll.RssMarket(A536,"売買代金")</f>
        <v>表示銘柄数超過</v>
      </c>
      <c r="X536" s="20" t="str">
        <f>_xll.RssMarket(A536,"決算発表日")</f>
        <v>表示銘柄数超過</v>
      </c>
      <c r="Y536" s="26" t="str">
        <f>IF(C536&gt;_xll.RssMarket(A536,"年初来高値"),"○","×")</f>
        <v>×</v>
      </c>
      <c r="Z536" s="27" t="str">
        <f>IF(C536&lt;=_xll.RssMarket(A536,"年初来安値"),"○","×")</f>
        <v>○</v>
      </c>
    </row>
    <row r="537" spans="1:26" x14ac:dyDescent="0.25">
      <c r="A537" s="49">
        <v>4814</v>
      </c>
      <c r="B537" s="20" t="str">
        <f>_xll.RssMarket(A537,"銘柄名称")</f>
        <v>表示銘柄数超過</v>
      </c>
      <c r="C537" s="21" t="str">
        <f>_xll.RssMarket(A537,"現在値")</f>
        <v>表示銘柄数超過</v>
      </c>
      <c r="D537" s="20" t="str">
        <f>_xll.RssMarket(A537,"現在値詳細時刻")</f>
        <v>表示銘柄数超過</v>
      </c>
      <c r="E537" s="22" t="str">
        <f>_xll.RssMarket(A537,"前日比")</f>
        <v>表示銘柄数超過</v>
      </c>
      <c r="F537" s="23" t="e">
        <f>_xll.RssMarket(A537,"前日比率")/100</f>
        <v>#VALUE!</v>
      </c>
      <c r="G537" s="24" t="str">
        <f>IFERROR(VLOOKUP(A537,取得元!$A$2:$F$501,2,FALSE),"-")</f>
        <v>-</v>
      </c>
      <c r="H537" s="24" t="str">
        <f>IFERROR(VLOOKUP(A537,取得元!$A$2:$F$501,3,FALSE),"-")</f>
        <v>-</v>
      </c>
      <c r="I537" s="24" t="str">
        <f>IFERROR(VLOOKUP(A537,取得元!$A$2:$F$501,4,FALSE),"-")</f>
        <v>-</v>
      </c>
      <c r="J537" s="5" t="str">
        <f>IFERROR(VLOOKUP(A537,取得元!$A$2:$F$501,5,FALSE),"-")</f>
        <v>-</v>
      </c>
      <c r="K537" s="25" t="str">
        <f>IFERROR(VLOOKUP(A537,取得元!$A$2:$F$501,6,FALSE)/100,"-")</f>
        <v>-</v>
      </c>
      <c r="L537" s="21" t="str">
        <f>_xll.RssMarket(A537,"始値")</f>
        <v>表示銘柄数超過</v>
      </c>
      <c r="M537" s="4" t="e">
        <f t="shared" si="55"/>
        <v>#VALUE!</v>
      </c>
      <c r="N537" s="21" t="str">
        <f>_xll.RssMarket(A537,"高値")</f>
        <v>表示銘柄数超過</v>
      </c>
      <c r="O537" s="4" t="e">
        <f t="shared" si="56"/>
        <v>#VALUE!</v>
      </c>
      <c r="P537" s="21" t="str">
        <f>_xll.RssMarket(A537,"安値")</f>
        <v>表示銘柄数超過</v>
      </c>
      <c r="Q537" s="4" t="e">
        <f t="shared" si="57"/>
        <v>#VALUE!</v>
      </c>
      <c r="R537" s="21" t="str">
        <f>_xll.RssMarket(A537,"後場始値")</f>
        <v>表示銘柄数超過</v>
      </c>
      <c r="S537" s="25" t="str">
        <f t="shared" si="58"/>
        <v>-</v>
      </c>
      <c r="T537" s="7" t="str">
        <f>_xll.RssMarket(A537,"出来高加重平均")</f>
        <v>表示銘柄数超過</v>
      </c>
      <c r="U537" s="4" t="e">
        <f t="shared" si="59"/>
        <v>#VALUE!</v>
      </c>
      <c r="V537" s="21" t="str">
        <f>_xll.RssMarket(A537,"出来高")</f>
        <v>表示銘柄数超過</v>
      </c>
      <c r="W537" s="21" t="str">
        <f>_xll.RssMarket(A537,"売買代金")</f>
        <v>表示銘柄数超過</v>
      </c>
      <c r="X537" s="20" t="str">
        <f>_xll.RssMarket(A537,"決算発表日")</f>
        <v>表示銘柄数超過</v>
      </c>
      <c r="Y537" s="26" t="str">
        <f>IF(C537&gt;_xll.RssMarket(A537,"年初来高値"),"○","×")</f>
        <v>×</v>
      </c>
      <c r="Z537" s="27" t="str">
        <f>IF(C537&lt;=_xll.RssMarket(A537,"年初来安値"),"○","×")</f>
        <v>○</v>
      </c>
    </row>
    <row r="538" spans="1:26" x14ac:dyDescent="0.25">
      <c r="A538" s="47">
        <v>4820</v>
      </c>
      <c r="B538" s="20" t="str">
        <f>_xll.RssMarket(A538,"銘柄名称")</f>
        <v>表示銘柄数超過</v>
      </c>
      <c r="C538" s="21" t="str">
        <f>_xll.RssMarket(A538,"現在値")</f>
        <v>表示銘柄数超過</v>
      </c>
      <c r="D538" s="20" t="str">
        <f>_xll.RssMarket(A538,"現在値詳細時刻")</f>
        <v>表示銘柄数超過</v>
      </c>
      <c r="E538" s="22" t="str">
        <f>_xll.RssMarket(A538,"前日比")</f>
        <v>表示銘柄数超過</v>
      </c>
      <c r="F538" s="23" t="e">
        <f>_xll.RssMarket(A538,"前日比率")/100</f>
        <v>#VALUE!</v>
      </c>
      <c r="G538" s="24" t="str">
        <f>IFERROR(VLOOKUP(A538,取得元!$A$2:$F$501,2,FALSE),"-")</f>
        <v>-</v>
      </c>
      <c r="H538" s="24" t="str">
        <f>IFERROR(VLOOKUP(A538,取得元!$A$2:$F$501,3,FALSE),"-")</f>
        <v>-</v>
      </c>
      <c r="I538" s="24" t="str">
        <f>IFERROR(VLOOKUP(A538,取得元!$A$2:$F$501,4,FALSE),"-")</f>
        <v>-</v>
      </c>
      <c r="J538" s="5" t="str">
        <f>IFERROR(VLOOKUP(A538,取得元!$A$2:$F$501,5,FALSE),"-")</f>
        <v>-</v>
      </c>
      <c r="K538" s="25" t="str">
        <f>IFERROR(VLOOKUP(A538,取得元!$A$2:$F$501,6,FALSE)/100,"-")</f>
        <v>-</v>
      </c>
      <c r="L538" s="21" t="str">
        <f>_xll.RssMarket(A538,"始値")</f>
        <v>表示銘柄数超過</v>
      </c>
      <c r="M538" s="4" t="e">
        <f t="shared" si="55"/>
        <v>#VALUE!</v>
      </c>
      <c r="N538" s="21" t="str">
        <f>_xll.RssMarket(A538,"高値")</f>
        <v>表示銘柄数超過</v>
      </c>
      <c r="O538" s="4" t="e">
        <f t="shared" si="56"/>
        <v>#VALUE!</v>
      </c>
      <c r="P538" s="21" t="str">
        <f>_xll.RssMarket(A538,"安値")</f>
        <v>表示銘柄数超過</v>
      </c>
      <c r="Q538" s="4" t="e">
        <f t="shared" si="57"/>
        <v>#VALUE!</v>
      </c>
      <c r="R538" s="21" t="str">
        <f>_xll.RssMarket(A538,"後場始値")</f>
        <v>表示銘柄数超過</v>
      </c>
      <c r="S538" s="25" t="str">
        <f t="shared" si="58"/>
        <v>-</v>
      </c>
      <c r="T538" s="7" t="str">
        <f>_xll.RssMarket(A538,"出来高加重平均")</f>
        <v>表示銘柄数超過</v>
      </c>
      <c r="U538" s="4" t="e">
        <f t="shared" si="59"/>
        <v>#VALUE!</v>
      </c>
      <c r="V538" s="21" t="str">
        <f>_xll.RssMarket(A538,"出来高")</f>
        <v>表示銘柄数超過</v>
      </c>
      <c r="W538" s="21" t="str">
        <f>_xll.RssMarket(A538,"売買代金")</f>
        <v>表示銘柄数超過</v>
      </c>
      <c r="X538" s="20" t="str">
        <f>_xll.RssMarket(A538,"決算発表日")</f>
        <v>表示銘柄数超過</v>
      </c>
      <c r="Y538" s="26" t="str">
        <f>IF(C538&gt;_xll.RssMarket(A538,"年初来高値"),"○","×")</f>
        <v>×</v>
      </c>
      <c r="Z538" s="27" t="str">
        <f>IF(C538&lt;=_xll.RssMarket(A538,"年初来安値"),"○","×")</f>
        <v>○</v>
      </c>
    </row>
    <row r="539" spans="1:26" x14ac:dyDescent="0.25">
      <c r="A539" s="49">
        <v>4824</v>
      </c>
      <c r="B539" s="20" t="str">
        <f>_xll.RssMarket(A539,"銘柄名称")</f>
        <v>表示銘柄数超過</v>
      </c>
      <c r="C539" s="21" t="str">
        <f>_xll.RssMarket(A539,"現在値")</f>
        <v>表示銘柄数超過</v>
      </c>
      <c r="D539" s="20" t="str">
        <f>_xll.RssMarket(A539,"現在値詳細時刻")</f>
        <v>表示銘柄数超過</v>
      </c>
      <c r="E539" s="22" t="str">
        <f>_xll.RssMarket(A539,"前日比")</f>
        <v>表示銘柄数超過</v>
      </c>
      <c r="F539" s="23" t="e">
        <f>_xll.RssMarket(A539,"前日比率")/100</f>
        <v>#VALUE!</v>
      </c>
      <c r="G539" s="24" t="str">
        <f>IFERROR(VLOOKUP(A539,取得元!$A$2:$F$501,2,FALSE),"-")</f>
        <v>-</v>
      </c>
      <c r="H539" s="24" t="str">
        <f>IFERROR(VLOOKUP(A539,取得元!$A$2:$F$501,3,FALSE),"-")</f>
        <v>-</v>
      </c>
      <c r="I539" s="24" t="str">
        <f>IFERROR(VLOOKUP(A539,取得元!$A$2:$F$501,4,FALSE),"-")</f>
        <v>-</v>
      </c>
      <c r="J539" s="5" t="str">
        <f>IFERROR(VLOOKUP(A539,取得元!$A$2:$F$501,5,FALSE),"-")</f>
        <v>-</v>
      </c>
      <c r="K539" s="25" t="str">
        <f>IFERROR(VLOOKUP(A539,取得元!$A$2:$F$501,6,FALSE)/100,"-")</f>
        <v>-</v>
      </c>
      <c r="L539" s="21" t="str">
        <f>_xll.RssMarket(A539,"始値")</f>
        <v>表示銘柄数超過</v>
      </c>
      <c r="M539" s="4" t="e">
        <f t="shared" si="55"/>
        <v>#VALUE!</v>
      </c>
      <c r="N539" s="21" t="str">
        <f>_xll.RssMarket(A539,"高値")</f>
        <v>表示銘柄数超過</v>
      </c>
      <c r="O539" s="4" t="e">
        <f t="shared" si="56"/>
        <v>#VALUE!</v>
      </c>
      <c r="P539" s="21" t="str">
        <f>_xll.RssMarket(A539,"安値")</f>
        <v>表示銘柄数超過</v>
      </c>
      <c r="Q539" s="4" t="e">
        <f t="shared" si="57"/>
        <v>#VALUE!</v>
      </c>
      <c r="R539" s="21" t="str">
        <f>_xll.RssMarket(A539,"後場始値")</f>
        <v>表示銘柄数超過</v>
      </c>
      <c r="S539" s="25" t="str">
        <f t="shared" si="58"/>
        <v>-</v>
      </c>
      <c r="T539" s="7" t="str">
        <f>_xll.RssMarket(A539,"出来高加重平均")</f>
        <v>表示銘柄数超過</v>
      </c>
      <c r="U539" s="4" t="e">
        <f t="shared" si="59"/>
        <v>#VALUE!</v>
      </c>
      <c r="V539" s="21" t="str">
        <f>_xll.RssMarket(A539,"出来高")</f>
        <v>表示銘柄数超過</v>
      </c>
      <c r="W539" s="21" t="str">
        <f>_xll.RssMarket(A539,"売買代金")</f>
        <v>表示銘柄数超過</v>
      </c>
      <c r="X539" s="20" t="str">
        <f>_xll.RssMarket(A539,"決算発表日")</f>
        <v>表示銘柄数超過</v>
      </c>
      <c r="Y539" s="26" t="str">
        <f>IF(C539&gt;_xll.RssMarket(A539,"年初来高値"),"○","×")</f>
        <v>×</v>
      </c>
      <c r="Z539" s="27" t="str">
        <f>IF(C539&lt;=_xll.RssMarket(A539,"年初来安値"),"○","×")</f>
        <v>○</v>
      </c>
    </row>
    <row r="540" spans="1:26" x14ac:dyDescent="0.25">
      <c r="A540" s="47">
        <v>4829</v>
      </c>
      <c r="B540" s="20" t="str">
        <f>_xll.RssMarket(A540,"銘柄名称")</f>
        <v>表示銘柄数超過</v>
      </c>
      <c r="C540" s="21" t="str">
        <f>_xll.RssMarket(A540,"現在値")</f>
        <v>表示銘柄数超過</v>
      </c>
      <c r="D540" s="20" t="str">
        <f>_xll.RssMarket(A540,"現在値詳細時刻")</f>
        <v>表示銘柄数超過</v>
      </c>
      <c r="E540" s="22" t="str">
        <f>_xll.RssMarket(A540,"前日比")</f>
        <v>表示銘柄数超過</v>
      </c>
      <c r="F540" s="23" t="e">
        <f>_xll.RssMarket(A540,"前日比率")/100</f>
        <v>#VALUE!</v>
      </c>
      <c r="G540" s="24" t="str">
        <f>IFERROR(VLOOKUP(A540,取得元!$A$2:$F$501,2,FALSE),"-")</f>
        <v>-</v>
      </c>
      <c r="H540" s="24" t="str">
        <f>IFERROR(VLOOKUP(A540,取得元!$A$2:$F$501,3,FALSE),"-")</f>
        <v>-</v>
      </c>
      <c r="I540" s="24" t="str">
        <f>IFERROR(VLOOKUP(A540,取得元!$A$2:$F$501,4,FALSE),"-")</f>
        <v>-</v>
      </c>
      <c r="J540" s="5" t="str">
        <f>IFERROR(VLOOKUP(A540,取得元!$A$2:$F$501,5,FALSE),"-")</f>
        <v>-</v>
      </c>
      <c r="K540" s="25" t="str">
        <f>IFERROR(VLOOKUP(A540,取得元!$A$2:$F$501,6,FALSE)/100,"-")</f>
        <v>-</v>
      </c>
      <c r="L540" s="21" t="str">
        <f>_xll.RssMarket(A540,"始値")</f>
        <v>表示銘柄数超過</v>
      </c>
      <c r="M540" s="4" t="e">
        <f t="shared" si="55"/>
        <v>#VALUE!</v>
      </c>
      <c r="N540" s="21" t="str">
        <f>_xll.RssMarket(A540,"高値")</f>
        <v>表示銘柄数超過</v>
      </c>
      <c r="O540" s="4" t="e">
        <f t="shared" si="56"/>
        <v>#VALUE!</v>
      </c>
      <c r="P540" s="21" t="str">
        <f>_xll.RssMarket(A540,"安値")</f>
        <v>表示銘柄数超過</v>
      </c>
      <c r="Q540" s="4" t="e">
        <f t="shared" si="57"/>
        <v>#VALUE!</v>
      </c>
      <c r="R540" s="21" t="str">
        <f>_xll.RssMarket(A540,"後場始値")</f>
        <v>表示銘柄数超過</v>
      </c>
      <c r="S540" s="25" t="str">
        <f t="shared" si="58"/>
        <v>-</v>
      </c>
      <c r="T540" s="7" t="str">
        <f>_xll.RssMarket(A540,"出来高加重平均")</f>
        <v>表示銘柄数超過</v>
      </c>
      <c r="U540" s="4" t="e">
        <f t="shared" si="59"/>
        <v>#VALUE!</v>
      </c>
      <c r="V540" s="21" t="str">
        <f>_xll.RssMarket(A540,"出来高")</f>
        <v>表示銘柄数超過</v>
      </c>
      <c r="W540" s="21" t="str">
        <f>_xll.RssMarket(A540,"売買代金")</f>
        <v>表示銘柄数超過</v>
      </c>
      <c r="X540" s="20" t="str">
        <f>_xll.RssMarket(A540,"決算発表日")</f>
        <v>表示銘柄数超過</v>
      </c>
      <c r="Y540" s="26" t="str">
        <f>IF(C540&gt;_xll.RssMarket(A540,"年初来高値"),"○","×")</f>
        <v>×</v>
      </c>
      <c r="Z540" s="27" t="str">
        <f>IF(C540&lt;=_xll.RssMarket(A540,"年初来安値"),"○","×")</f>
        <v>○</v>
      </c>
    </row>
    <row r="541" spans="1:26" x14ac:dyDescent="0.25">
      <c r="A541" s="49">
        <v>4833</v>
      </c>
      <c r="B541" s="20" t="str">
        <f>_xll.RssMarket(A541,"銘柄名称")</f>
        <v>表示銘柄数超過</v>
      </c>
      <c r="C541" s="21" t="str">
        <f>_xll.RssMarket(A541,"現在値")</f>
        <v>表示銘柄数超過</v>
      </c>
      <c r="D541" s="20" t="str">
        <f>_xll.RssMarket(A541,"現在値詳細時刻")</f>
        <v>表示銘柄数超過</v>
      </c>
      <c r="E541" s="22" t="str">
        <f>_xll.RssMarket(A541,"前日比")</f>
        <v>表示銘柄数超過</v>
      </c>
      <c r="F541" s="23" t="e">
        <f>_xll.RssMarket(A541,"前日比率")/100</f>
        <v>#VALUE!</v>
      </c>
      <c r="G541" s="24" t="str">
        <f>IFERROR(VLOOKUP(A541,取得元!$A$2:$F$501,2,FALSE),"-")</f>
        <v>-</v>
      </c>
      <c r="H541" s="24" t="str">
        <f>IFERROR(VLOOKUP(A541,取得元!$A$2:$F$501,3,FALSE),"-")</f>
        <v>-</v>
      </c>
      <c r="I541" s="24" t="str">
        <f>IFERROR(VLOOKUP(A541,取得元!$A$2:$F$501,4,FALSE),"-")</f>
        <v>-</v>
      </c>
      <c r="J541" s="5" t="str">
        <f>IFERROR(VLOOKUP(A541,取得元!$A$2:$F$501,5,FALSE),"-")</f>
        <v>-</v>
      </c>
      <c r="K541" s="25" t="str">
        <f>IFERROR(VLOOKUP(A541,取得元!$A$2:$F$501,6,FALSE)/100,"-")</f>
        <v>-</v>
      </c>
      <c r="L541" s="21" t="str">
        <f>_xll.RssMarket(A541,"始値")</f>
        <v>表示銘柄数超過</v>
      </c>
      <c r="M541" s="4" t="e">
        <f t="shared" si="55"/>
        <v>#VALUE!</v>
      </c>
      <c r="N541" s="21" t="str">
        <f>_xll.RssMarket(A541,"高値")</f>
        <v>表示銘柄数超過</v>
      </c>
      <c r="O541" s="4" t="e">
        <f t="shared" si="56"/>
        <v>#VALUE!</v>
      </c>
      <c r="P541" s="21" t="str">
        <f>_xll.RssMarket(A541,"安値")</f>
        <v>表示銘柄数超過</v>
      </c>
      <c r="Q541" s="4" t="e">
        <f t="shared" si="57"/>
        <v>#VALUE!</v>
      </c>
      <c r="R541" s="21" t="str">
        <f>_xll.RssMarket(A541,"後場始値")</f>
        <v>表示銘柄数超過</v>
      </c>
      <c r="S541" s="25" t="str">
        <f t="shared" si="58"/>
        <v>-</v>
      </c>
      <c r="T541" s="7" t="str">
        <f>_xll.RssMarket(A541,"出来高加重平均")</f>
        <v>表示銘柄数超過</v>
      </c>
      <c r="U541" s="4" t="e">
        <f t="shared" si="59"/>
        <v>#VALUE!</v>
      </c>
      <c r="V541" s="21" t="str">
        <f>_xll.RssMarket(A541,"出来高")</f>
        <v>表示銘柄数超過</v>
      </c>
      <c r="W541" s="21" t="str">
        <f>_xll.RssMarket(A541,"売買代金")</f>
        <v>表示銘柄数超過</v>
      </c>
      <c r="X541" s="20" t="str">
        <f>_xll.RssMarket(A541,"決算発表日")</f>
        <v>表示銘柄数超過</v>
      </c>
      <c r="Y541" s="26" t="str">
        <f>IF(C541&gt;_xll.RssMarket(A541,"年初来高値"),"○","×")</f>
        <v>×</v>
      </c>
      <c r="Z541" s="27" t="str">
        <f>IF(C541&lt;=_xll.RssMarket(A541,"年初来安値"),"○","×")</f>
        <v>○</v>
      </c>
    </row>
    <row r="542" spans="1:26" x14ac:dyDescent="0.25">
      <c r="A542" s="47">
        <v>4837</v>
      </c>
      <c r="B542" s="20" t="str">
        <f>_xll.RssMarket(A542,"銘柄名称")</f>
        <v>表示銘柄数超過</v>
      </c>
      <c r="C542" s="21" t="str">
        <f>_xll.RssMarket(A542,"現在値")</f>
        <v>表示銘柄数超過</v>
      </c>
      <c r="D542" s="20" t="str">
        <f>_xll.RssMarket(A542,"現在値詳細時刻")</f>
        <v>表示銘柄数超過</v>
      </c>
      <c r="E542" s="22" t="str">
        <f>_xll.RssMarket(A542,"前日比")</f>
        <v>表示銘柄数超過</v>
      </c>
      <c r="F542" s="23" t="e">
        <f>_xll.RssMarket(A542,"前日比率")/100</f>
        <v>#VALUE!</v>
      </c>
      <c r="G542" s="24" t="str">
        <f>IFERROR(VLOOKUP(A542,取得元!$A$2:$F$501,2,FALSE),"-")</f>
        <v>-</v>
      </c>
      <c r="H542" s="24" t="str">
        <f>IFERROR(VLOOKUP(A542,取得元!$A$2:$F$501,3,FALSE),"-")</f>
        <v>-</v>
      </c>
      <c r="I542" s="24" t="str">
        <f>IFERROR(VLOOKUP(A542,取得元!$A$2:$F$501,4,FALSE),"-")</f>
        <v>-</v>
      </c>
      <c r="J542" s="5" t="str">
        <f>IFERROR(VLOOKUP(A542,取得元!$A$2:$F$501,5,FALSE),"-")</f>
        <v>-</v>
      </c>
      <c r="K542" s="25" t="str">
        <f>IFERROR(VLOOKUP(A542,取得元!$A$2:$F$501,6,FALSE)/100,"-")</f>
        <v>-</v>
      </c>
      <c r="L542" s="21" t="str">
        <f>_xll.RssMarket(A542,"始値")</f>
        <v>表示銘柄数超過</v>
      </c>
      <c r="M542" s="4" t="e">
        <f t="shared" si="55"/>
        <v>#VALUE!</v>
      </c>
      <c r="N542" s="21" t="str">
        <f>_xll.RssMarket(A542,"高値")</f>
        <v>表示銘柄数超過</v>
      </c>
      <c r="O542" s="4" t="e">
        <f t="shared" si="56"/>
        <v>#VALUE!</v>
      </c>
      <c r="P542" s="21" t="str">
        <f>_xll.RssMarket(A542,"安値")</f>
        <v>表示銘柄数超過</v>
      </c>
      <c r="Q542" s="4" t="e">
        <f t="shared" si="57"/>
        <v>#VALUE!</v>
      </c>
      <c r="R542" s="21" t="str">
        <f>_xll.RssMarket(A542,"後場始値")</f>
        <v>表示銘柄数超過</v>
      </c>
      <c r="S542" s="25" t="str">
        <f t="shared" si="58"/>
        <v>-</v>
      </c>
      <c r="T542" s="7" t="str">
        <f>_xll.RssMarket(A542,"出来高加重平均")</f>
        <v>表示銘柄数超過</v>
      </c>
      <c r="U542" s="4" t="e">
        <f t="shared" si="59"/>
        <v>#VALUE!</v>
      </c>
      <c r="V542" s="21" t="str">
        <f>_xll.RssMarket(A542,"出来高")</f>
        <v>表示銘柄数超過</v>
      </c>
      <c r="W542" s="21" t="str">
        <f>_xll.RssMarket(A542,"売買代金")</f>
        <v>表示銘柄数超過</v>
      </c>
      <c r="X542" s="20" t="str">
        <f>_xll.RssMarket(A542,"決算発表日")</f>
        <v>表示銘柄数超過</v>
      </c>
      <c r="Y542" s="26" t="str">
        <f>IF(C542&gt;_xll.RssMarket(A542,"年初来高値"),"○","×")</f>
        <v>×</v>
      </c>
      <c r="Z542" s="27" t="str">
        <f>IF(C542&lt;=_xll.RssMarket(A542,"年初来安値"),"○","×")</f>
        <v>○</v>
      </c>
    </row>
    <row r="543" spans="1:26" x14ac:dyDescent="0.25">
      <c r="A543" s="49">
        <v>4838</v>
      </c>
      <c r="B543" s="20" t="str">
        <f>_xll.RssMarket(A543,"銘柄名称")</f>
        <v>表示銘柄数超過</v>
      </c>
      <c r="C543" s="21" t="str">
        <f>_xll.RssMarket(A543,"現在値")</f>
        <v>表示銘柄数超過</v>
      </c>
      <c r="D543" s="20" t="str">
        <f>_xll.RssMarket(A543,"現在値詳細時刻")</f>
        <v>表示銘柄数超過</v>
      </c>
      <c r="E543" s="22" t="str">
        <f>_xll.RssMarket(A543,"前日比")</f>
        <v>表示銘柄数超過</v>
      </c>
      <c r="F543" s="23" t="e">
        <f>_xll.RssMarket(A543,"前日比率")/100</f>
        <v>#VALUE!</v>
      </c>
      <c r="G543" s="24" t="str">
        <f>IFERROR(VLOOKUP(A543,取得元!$A$2:$F$501,2,FALSE),"-")</f>
        <v>-</v>
      </c>
      <c r="H543" s="24" t="str">
        <f>IFERROR(VLOOKUP(A543,取得元!$A$2:$F$501,3,FALSE),"-")</f>
        <v>-</v>
      </c>
      <c r="I543" s="24" t="str">
        <f>IFERROR(VLOOKUP(A543,取得元!$A$2:$F$501,4,FALSE),"-")</f>
        <v>-</v>
      </c>
      <c r="J543" s="5" t="str">
        <f>IFERROR(VLOOKUP(A543,取得元!$A$2:$F$501,5,FALSE),"-")</f>
        <v>-</v>
      </c>
      <c r="K543" s="25" t="str">
        <f>IFERROR(VLOOKUP(A543,取得元!$A$2:$F$501,6,FALSE)/100,"-")</f>
        <v>-</v>
      </c>
      <c r="L543" s="21" t="str">
        <f>_xll.RssMarket(A543,"始値")</f>
        <v>表示銘柄数超過</v>
      </c>
      <c r="M543" s="4" t="e">
        <f t="shared" si="55"/>
        <v>#VALUE!</v>
      </c>
      <c r="N543" s="21" t="str">
        <f>_xll.RssMarket(A543,"高値")</f>
        <v>表示銘柄数超過</v>
      </c>
      <c r="O543" s="4" t="e">
        <f t="shared" si="56"/>
        <v>#VALUE!</v>
      </c>
      <c r="P543" s="21" t="str">
        <f>_xll.RssMarket(A543,"安値")</f>
        <v>表示銘柄数超過</v>
      </c>
      <c r="Q543" s="4" t="e">
        <f t="shared" si="57"/>
        <v>#VALUE!</v>
      </c>
      <c r="R543" s="21" t="str">
        <f>_xll.RssMarket(A543,"後場始値")</f>
        <v>表示銘柄数超過</v>
      </c>
      <c r="S543" s="25" t="str">
        <f t="shared" si="58"/>
        <v>-</v>
      </c>
      <c r="T543" s="7" t="str">
        <f>_xll.RssMarket(A543,"出来高加重平均")</f>
        <v>表示銘柄数超過</v>
      </c>
      <c r="U543" s="4" t="e">
        <f t="shared" si="59"/>
        <v>#VALUE!</v>
      </c>
      <c r="V543" s="21" t="str">
        <f>_xll.RssMarket(A543,"出来高")</f>
        <v>表示銘柄数超過</v>
      </c>
      <c r="W543" s="21" t="str">
        <f>_xll.RssMarket(A543,"売買代金")</f>
        <v>表示銘柄数超過</v>
      </c>
      <c r="X543" s="20" t="str">
        <f>_xll.RssMarket(A543,"決算発表日")</f>
        <v>表示銘柄数超過</v>
      </c>
      <c r="Y543" s="26" t="str">
        <f>IF(C543&gt;_xll.RssMarket(A543,"年初来高値"),"○","×")</f>
        <v>×</v>
      </c>
      <c r="Z543" s="27" t="str">
        <f>IF(C543&lt;=_xll.RssMarket(A543,"年初来安値"),"○","×")</f>
        <v>○</v>
      </c>
    </row>
    <row r="544" spans="1:26" x14ac:dyDescent="0.25">
      <c r="A544" s="47">
        <v>4847</v>
      </c>
      <c r="B544" s="20" t="str">
        <f>_xll.RssMarket(A544,"銘柄名称")</f>
        <v>表示銘柄数超過</v>
      </c>
      <c r="C544" s="21" t="str">
        <f>_xll.RssMarket(A544,"現在値")</f>
        <v>表示銘柄数超過</v>
      </c>
      <c r="D544" s="20" t="str">
        <f>_xll.RssMarket(A544,"現在値詳細時刻")</f>
        <v>表示銘柄数超過</v>
      </c>
      <c r="E544" s="22" t="str">
        <f>_xll.RssMarket(A544,"前日比")</f>
        <v>表示銘柄数超過</v>
      </c>
      <c r="F544" s="23" t="e">
        <f>_xll.RssMarket(A544,"前日比率")/100</f>
        <v>#VALUE!</v>
      </c>
      <c r="G544" s="24" t="str">
        <f>IFERROR(VLOOKUP(A544,取得元!$A$2:$F$501,2,FALSE),"-")</f>
        <v>-</v>
      </c>
      <c r="H544" s="24" t="str">
        <f>IFERROR(VLOOKUP(A544,取得元!$A$2:$F$501,3,FALSE),"-")</f>
        <v>-</v>
      </c>
      <c r="I544" s="24" t="str">
        <f>IFERROR(VLOOKUP(A544,取得元!$A$2:$F$501,4,FALSE),"-")</f>
        <v>-</v>
      </c>
      <c r="J544" s="5" t="str">
        <f>IFERROR(VLOOKUP(A544,取得元!$A$2:$F$501,5,FALSE),"-")</f>
        <v>-</v>
      </c>
      <c r="K544" s="25" t="str">
        <f>IFERROR(VLOOKUP(A544,取得元!$A$2:$F$501,6,FALSE)/100,"-")</f>
        <v>-</v>
      </c>
      <c r="L544" s="21" t="str">
        <f>_xll.RssMarket(A544,"始値")</f>
        <v>表示銘柄数超過</v>
      </c>
      <c r="M544" s="4" t="e">
        <f t="shared" si="55"/>
        <v>#VALUE!</v>
      </c>
      <c r="N544" s="21" t="str">
        <f>_xll.RssMarket(A544,"高値")</f>
        <v>表示銘柄数超過</v>
      </c>
      <c r="O544" s="4" t="e">
        <f t="shared" si="56"/>
        <v>#VALUE!</v>
      </c>
      <c r="P544" s="21" t="str">
        <f>_xll.RssMarket(A544,"安値")</f>
        <v>表示銘柄数超過</v>
      </c>
      <c r="Q544" s="4" t="e">
        <f t="shared" si="57"/>
        <v>#VALUE!</v>
      </c>
      <c r="R544" s="21" t="str">
        <f>_xll.RssMarket(A544,"後場始値")</f>
        <v>表示銘柄数超過</v>
      </c>
      <c r="S544" s="25" t="str">
        <f t="shared" si="58"/>
        <v>-</v>
      </c>
      <c r="T544" s="7" t="str">
        <f>_xll.RssMarket(A544,"出来高加重平均")</f>
        <v>表示銘柄数超過</v>
      </c>
      <c r="U544" s="4" t="e">
        <f t="shared" si="59"/>
        <v>#VALUE!</v>
      </c>
      <c r="V544" s="21" t="str">
        <f>_xll.RssMarket(A544,"出来高")</f>
        <v>表示銘柄数超過</v>
      </c>
      <c r="W544" s="21" t="str">
        <f>_xll.RssMarket(A544,"売買代金")</f>
        <v>表示銘柄数超過</v>
      </c>
      <c r="X544" s="20" t="str">
        <f>_xll.RssMarket(A544,"決算発表日")</f>
        <v>表示銘柄数超過</v>
      </c>
      <c r="Y544" s="26" t="str">
        <f>IF(C544&gt;_xll.RssMarket(A544,"年初来高値"),"○","×")</f>
        <v>×</v>
      </c>
      <c r="Z544" s="27" t="str">
        <f>IF(C544&lt;=_xll.RssMarket(A544,"年初来安値"),"○","×")</f>
        <v>○</v>
      </c>
    </row>
    <row r="545" spans="1:26" x14ac:dyDescent="0.25">
      <c r="A545" s="49">
        <v>4881</v>
      </c>
      <c r="B545" s="20" t="str">
        <f>_xll.RssMarket(A545,"銘柄名称")</f>
        <v>表示銘柄数超過</v>
      </c>
      <c r="C545" s="21" t="str">
        <f>_xll.RssMarket(A545,"現在値")</f>
        <v>表示銘柄数超過</v>
      </c>
      <c r="D545" s="20" t="str">
        <f>_xll.RssMarket(A545,"現在値詳細時刻")</f>
        <v>表示銘柄数超過</v>
      </c>
      <c r="E545" s="22" t="str">
        <f>_xll.RssMarket(A545,"前日比")</f>
        <v>表示銘柄数超過</v>
      </c>
      <c r="F545" s="23" t="e">
        <f>_xll.RssMarket(A545,"前日比率")/100</f>
        <v>#VALUE!</v>
      </c>
      <c r="G545" s="24" t="str">
        <f>IFERROR(VLOOKUP(A545,取得元!$A$2:$F$501,2,FALSE),"-")</f>
        <v>-</v>
      </c>
      <c r="H545" s="24" t="str">
        <f>IFERROR(VLOOKUP(A545,取得元!$A$2:$F$501,3,FALSE),"-")</f>
        <v>-</v>
      </c>
      <c r="I545" s="24" t="str">
        <f>IFERROR(VLOOKUP(A545,取得元!$A$2:$F$501,4,FALSE),"-")</f>
        <v>-</v>
      </c>
      <c r="J545" s="5" t="str">
        <f>IFERROR(VLOOKUP(A545,取得元!$A$2:$F$501,5,FALSE),"-")</f>
        <v>-</v>
      </c>
      <c r="K545" s="25" t="str">
        <f>IFERROR(VLOOKUP(A545,取得元!$A$2:$F$501,6,FALSE)/100,"-")</f>
        <v>-</v>
      </c>
      <c r="L545" s="21" t="str">
        <f>_xll.RssMarket(A545,"始値")</f>
        <v>表示銘柄数超過</v>
      </c>
      <c r="M545" s="4" t="e">
        <f t="shared" si="55"/>
        <v>#VALUE!</v>
      </c>
      <c r="N545" s="21" t="str">
        <f>_xll.RssMarket(A545,"高値")</f>
        <v>表示銘柄数超過</v>
      </c>
      <c r="O545" s="4" t="e">
        <f t="shared" si="56"/>
        <v>#VALUE!</v>
      </c>
      <c r="P545" s="21" t="str">
        <f>_xll.RssMarket(A545,"安値")</f>
        <v>表示銘柄数超過</v>
      </c>
      <c r="Q545" s="4" t="e">
        <f t="shared" si="57"/>
        <v>#VALUE!</v>
      </c>
      <c r="R545" s="21" t="str">
        <f>_xll.RssMarket(A545,"後場始値")</f>
        <v>表示銘柄数超過</v>
      </c>
      <c r="S545" s="25" t="str">
        <f t="shared" si="58"/>
        <v>-</v>
      </c>
      <c r="T545" s="7" t="str">
        <f>_xll.RssMarket(A545,"出来高加重平均")</f>
        <v>表示銘柄数超過</v>
      </c>
      <c r="U545" s="4" t="e">
        <f t="shared" si="59"/>
        <v>#VALUE!</v>
      </c>
      <c r="V545" s="21" t="str">
        <f>_xll.RssMarket(A545,"出来高")</f>
        <v>表示銘柄数超過</v>
      </c>
      <c r="W545" s="21" t="str">
        <f>_xll.RssMarket(A545,"売買代金")</f>
        <v>表示銘柄数超過</v>
      </c>
      <c r="X545" s="20" t="str">
        <f>_xll.RssMarket(A545,"決算発表日")</f>
        <v>表示銘柄数超過</v>
      </c>
      <c r="Y545" s="26" t="str">
        <f>IF(C545&gt;_xll.RssMarket(A545,"年初来高値"),"○","×")</f>
        <v>×</v>
      </c>
      <c r="Z545" s="27" t="str">
        <f>IF(C545&lt;=_xll.RssMarket(A545,"年初来安値"),"○","×")</f>
        <v>○</v>
      </c>
    </row>
    <row r="546" spans="1:26" x14ac:dyDescent="0.25">
      <c r="A546" s="47">
        <v>4883</v>
      </c>
      <c r="B546" s="20" t="str">
        <f>_xll.RssMarket(A546,"銘柄名称")</f>
        <v>表示銘柄数超過</v>
      </c>
      <c r="C546" s="21" t="str">
        <f>_xll.RssMarket(A546,"現在値")</f>
        <v>表示銘柄数超過</v>
      </c>
      <c r="D546" s="20" t="str">
        <f>_xll.RssMarket(A546,"現在値詳細時刻")</f>
        <v>表示銘柄数超過</v>
      </c>
      <c r="E546" s="22" t="str">
        <f>_xll.RssMarket(A546,"前日比")</f>
        <v>表示銘柄数超過</v>
      </c>
      <c r="F546" s="23" t="e">
        <f>_xll.RssMarket(A546,"前日比率")/100</f>
        <v>#VALUE!</v>
      </c>
      <c r="G546" s="24" t="str">
        <f>IFERROR(VLOOKUP(A546,取得元!$A$2:$F$501,2,FALSE),"-")</f>
        <v>-</v>
      </c>
      <c r="H546" s="24" t="str">
        <f>IFERROR(VLOOKUP(A546,取得元!$A$2:$F$501,3,FALSE),"-")</f>
        <v>-</v>
      </c>
      <c r="I546" s="24" t="str">
        <f>IFERROR(VLOOKUP(A546,取得元!$A$2:$F$501,4,FALSE),"-")</f>
        <v>-</v>
      </c>
      <c r="J546" s="5" t="str">
        <f>IFERROR(VLOOKUP(A546,取得元!$A$2:$F$501,5,FALSE),"-")</f>
        <v>-</v>
      </c>
      <c r="K546" s="25" t="str">
        <f>IFERROR(VLOOKUP(A546,取得元!$A$2:$F$501,6,FALSE)/100,"-")</f>
        <v>-</v>
      </c>
      <c r="L546" s="21" t="str">
        <f>_xll.RssMarket(A546,"始値")</f>
        <v>表示銘柄数超過</v>
      </c>
      <c r="M546" s="4" t="e">
        <f t="shared" si="55"/>
        <v>#VALUE!</v>
      </c>
      <c r="N546" s="21" t="str">
        <f>_xll.RssMarket(A546,"高値")</f>
        <v>表示銘柄数超過</v>
      </c>
      <c r="O546" s="4" t="e">
        <f t="shared" si="56"/>
        <v>#VALUE!</v>
      </c>
      <c r="P546" s="21" t="str">
        <f>_xll.RssMarket(A546,"安値")</f>
        <v>表示銘柄数超過</v>
      </c>
      <c r="Q546" s="4" t="e">
        <f t="shared" si="57"/>
        <v>#VALUE!</v>
      </c>
      <c r="R546" s="21" t="str">
        <f>_xll.RssMarket(A546,"後場始値")</f>
        <v>表示銘柄数超過</v>
      </c>
      <c r="S546" s="25" t="str">
        <f t="shared" si="58"/>
        <v>-</v>
      </c>
      <c r="T546" s="7" t="str">
        <f>_xll.RssMarket(A546,"出来高加重平均")</f>
        <v>表示銘柄数超過</v>
      </c>
      <c r="U546" s="4" t="e">
        <f t="shared" si="59"/>
        <v>#VALUE!</v>
      </c>
      <c r="V546" s="21" t="str">
        <f>_xll.RssMarket(A546,"出来高")</f>
        <v>表示銘柄数超過</v>
      </c>
      <c r="W546" s="21" t="str">
        <f>_xll.RssMarket(A546,"売買代金")</f>
        <v>表示銘柄数超過</v>
      </c>
      <c r="X546" s="20" t="str">
        <f>_xll.RssMarket(A546,"決算発表日")</f>
        <v>表示銘柄数超過</v>
      </c>
      <c r="Y546" s="26" t="str">
        <f>IF(C546&gt;_xll.RssMarket(A546,"年初来高値"),"○","×")</f>
        <v>×</v>
      </c>
      <c r="Z546" s="27" t="str">
        <f>IF(C546&lt;=_xll.RssMarket(A546,"年初来安値"),"○","×")</f>
        <v>○</v>
      </c>
    </row>
    <row r="547" spans="1:26" x14ac:dyDescent="0.25">
      <c r="A547" s="49">
        <v>4889</v>
      </c>
      <c r="B547" s="20" t="str">
        <f>_xll.RssMarket(A547,"銘柄名称")</f>
        <v>表示銘柄数超過</v>
      </c>
      <c r="C547" s="21" t="str">
        <f>_xll.RssMarket(A547,"現在値")</f>
        <v>表示銘柄数超過</v>
      </c>
      <c r="D547" s="20" t="str">
        <f>_xll.RssMarket(A547,"現在値詳細時刻")</f>
        <v>表示銘柄数超過</v>
      </c>
      <c r="E547" s="22" t="str">
        <f>_xll.RssMarket(A547,"前日比")</f>
        <v>表示銘柄数超過</v>
      </c>
      <c r="F547" s="23" t="e">
        <f>_xll.RssMarket(A547,"前日比率")/100</f>
        <v>#VALUE!</v>
      </c>
      <c r="G547" s="24" t="str">
        <f>IFERROR(VLOOKUP(A547,取得元!$A$2:$F$501,2,FALSE),"-")</f>
        <v>-</v>
      </c>
      <c r="H547" s="24" t="str">
        <f>IFERROR(VLOOKUP(A547,取得元!$A$2:$F$501,3,FALSE),"-")</f>
        <v>-</v>
      </c>
      <c r="I547" s="24" t="str">
        <f>IFERROR(VLOOKUP(A547,取得元!$A$2:$F$501,4,FALSE),"-")</f>
        <v>-</v>
      </c>
      <c r="J547" s="5" t="str">
        <f>IFERROR(VLOOKUP(A547,取得元!$A$2:$F$501,5,FALSE),"-")</f>
        <v>-</v>
      </c>
      <c r="K547" s="25" t="str">
        <f>IFERROR(VLOOKUP(A547,取得元!$A$2:$F$501,6,FALSE)/100,"-")</f>
        <v>-</v>
      </c>
      <c r="L547" s="21" t="str">
        <f>_xll.RssMarket(A547,"始値")</f>
        <v>表示銘柄数超過</v>
      </c>
      <c r="M547" s="4" t="e">
        <f t="shared" si="55"/>
        <v>#VALUE!</v>
      </c>
      <c r="N547" s="21" t="str">
        <f>_xll.RssMarket(A547,"高値")</f>
        <v>表示銘柄数超過</v>
      </c>
      <c r="O547" s="4" t="e">
        <f t="shared" si="56"/>
        <v>#VALUE!</v>
      </c>
      <c r="P547" s="21" t="str">
        <f>_xll.RssMarket(A547,"安値")</f>
        <v>表示銘柄数超過</v>
      </c>
      <c r="Q547" s="4" t="e">
        <f t="shared" si="57"/>
        <v>#VALUE!</v>
      </c>
      <c r="R547" s="21" t="str">
        <f>_xll.RssMarket(A547,"後場始値")</f>
        <v>表示銘柄数超過</v>
      </c>
      <c r="S547" s="25" t="str">
        <f t="shared" si="58"/>
        <v>-</v>
      </c>
      <c r="T547" s="7" t="str">
        <f>_xll.RssMarket(A547,"出来高加重平均")</f>
        <v>表示銘柄数超過</v>
      </c>
      <c r="U547" s="4" t="e">
        <f t="shared" si="59"/>
        <v>#VALUE!</v>
      </c>
      <c r="V547" s="21" t="str">
        <f>_xll.RssMarket(A547,"出来高")</f>
        <v>表示銘柄数超過</v>
      </c>
      <c r="W547" s="21" t="str">
        <f>_xll.RssMarket(A547,"売買代金")</f>
        <v>表示銘柄数超過</v>
      </c>
      <c r="X547" s="20" t="str">
        <f>_xll.RssMarket(A547,"決算発表日")</f>
        <v>表示銘柄数超過</v>
      </c>
      <c r="Y547" s="26" t="str">
        <f>IF(C547&gt;_xll.RssMarket(A547,"年初来高値"),"○","×")</f>
        <v>×</v>
      </c>
      <c r="Z547" s="27" t="str">
        <f>IF(C547&lt;=_xll.RssMarket(A547,"年初来安値"),"○","×")</f>
        <v>○</v>
      </c>
    </row>
    <row r="548" spans="1:26" x14ac:dyDescent="0.25">
      <c r="A548" s="47">
        <v>4890</v>
      </c>
      <c r="B548" s="20" t="str">
        <f>_xll.RssMarket(A548,"銘柄名称")</f>
        <v>表示銘柄数超過</v>
      </c>
      <c r="C548" s="21" t="str">
        <f>_xll.RssMarket(A548,"現在値")</f>
        <v>表示銘柄数超過</v>
      </c>
      <c r="D548" s="20" t="str">
        <f>_xll.RssMarket(A548,"現在値詳細時刻")</f>
        <v>表示銘柄数超過</v>
      </c>
      <c r="E548" s="22" t="str">
        <f>_xll.RssMarket(A548,"前日比")</f>
        <v>表示銘柄数超過</v>
      </c>
      <c r="F548" s="23" t="e">
        <f>_xll.RssMarket(A548,"前日比率")/100</f>
        <v>#VALUE!</v>
      </c>
      <c r="G548" s="24" t="str">
        <f>IFERROR(VLOOKUP(A548,取得元!$A$2:$F$501,2,FALSE),"-")</f>
        <v>-</v>
      </c>
      <c r="H548" s="24" t="str">
        <f>IFERROR(VLOOKUP(A548,取得元!$A$2:$F$501,3,FALSE),"-")</f>
        <v>-</v>
      </c>
      <c r="I548" s="24" t="str">
        <f>IFERROR(VLOOKUP(A548,取得元!$A$2:$F$501,4,FALSE),"-")</f>
        <v>-</v>
      </c>
      <c r="J548" s="5" t="str">
        <f>IFERROR(VLOOKUP(A548,取得元!$A$2:$F$501,5,FALSE),"-")</f>
        <v>-</v>
      </c>
      <c r="K548" s="25" t="str">
        <f>IFERROR(VLOOKUP(A548,取得元!$A$2:$F$501,6,FALSE)/100,"-")</f>
        <v>-</v>
      </c>
      <c r="L548" s="21" t="str">
        <f>_xll.RssMarket(A548,"始値")</f>
        <v>表示銘柄数超過</v>
      </c>
      <c r="M548" s="4" t="e">
        <f t="shared" si="55"/>
        <v>#VALUE!</v>
      </c>
      <c r="N548" s="21" t="str">
        <f>_xll.RssMarket(A548,"高値")</f>
        <v>表示銘柄数超過</v>
      </c>
      <c r="O548" s="4" t="e">
        <f t="shared" si="56"/>
        <v>#VALUE!</v>
      </c>
      <c r="P548" s="21" t="str">
        <f>_xll.RssMarket(A548,"安値")</f>
        <v>表示銘柄数超過</v>
      </c>
      <c r="Q548" s="4" t="e">
        <f t="shared" si="57"/>
        <v>#VALUE!</v>
      </c>
      <c r="R548" s="21" t="str">
        <f>_xll.RssMarket(A548,"後場始値")</f>
        <v>表示銘柄数超過</v>
      </c>
      <c r="S548" s="25" t="str">
        <f t="shared" si="58"/>
        <v>-</v>
      </c>
      <c r="T548" s="7" t="str">
        <f>_xll.RssMarket(A548,"出来高加重平均")</f>
        <v>表示銘柄数超過</v>
      </c>
      <c r="U548" s="4" t="e">
        <f t="shared" si="59"/>
        <v>#VALUE!</v>
      </c>
      <c r="V548" s="21" t="str">
        <f>_xll.RssMarket(A548,"出来高")</f>
        <v>表示銘柄数超過</v>
      </c>
      <c r="W548" s="21" t="str">
        <f>_xll.RssMarket(A548,"売買代金")</f>
        <v>表示銘柄数超過</v>
      </c>
      <c r="X548" s="20" t="str">
        <f>_xll.RssMarket(A548,"決算発表日")</f>
        <v>表示銘柄数超過</v>
      </c>
      <c r="Y548" s="26" t="str">
        <f>IF(C548&gt;_xll.RssMarket(A548,"年初来高値"),"○","×")</f>
        <v>×</v>
      </c>
      <c r="Z548" s="27" t="str">
        <f>IF(C548&lt;=_xll.RssMarket(A548,"年初来安値"),"○","×")</f>
        <v>○</v>
      </c>
    </row>
    <row r="549" spans="1:26" x14ac:dyDescent="0.25">
      <c r="A549" s="49">
        <v>4891</v>
      </c>
      <c r="B549" s="20" t="str">
        <f>_xll.RssMarket(A549,"銘柄名称")</f>
        <v>表示銘柄数超過</v>
      </c>
      <c r="C549" s="21" t="str">
        <f>_xll.RssMarket(A549,"現在値")</f>
        <v>表示銘柄数超過</v>
      </c>
      <c r="D549" s="20" t="str">
        <f>_xll.RssMarket(A549,"現在値詳細時刻")</f>
        <v>表示銘柄数超過</v>
      </c>
      <c r="E549" s="22" t="str">
        <f>_xll.RssMarket(A549,"前日比")</f>
        <v>表示銘柄数超過</v>
      </c>
      <c r="F549" s="23" t="e">
        <f>_xll.RssMarket(A549,"前日比率")/100</f>
        <v>#VALUE!</v>
      </c>
      <c r="G549" s="24" t="str">
        <f>IFERROR(VLOOKUP(A549,取得元!$A$2:$F$501,2,FALSE),"-")</f>
        <v>-</v>
      </c>
      <c r="H549" s="24" t="str">
        <f>IFERROR(VLOOKUP(A549,取得元!$A$2:$F$501,3,FALSE),"-")</f>
        <v>-</v>
      </c>
      <c r="I549" s="24" t="str">
        <f>IFERROR(VLOOKUP(A549,取得元!$A$2:$F$501,4,FALSE),"-")</f>
        <v>-</v>
      </c>
      <c r="J549" s="5" t="str">
        <f>IFERROR(VLOOKUP(A549,取得元!$A$2:$F$501,5,FALSE),"-")</f>
        <v>-</v>
      </c>
      <c r="K549" s="25" t="str">
        <f>IFERROR(VLOOKUP(A549,取得元!$A$2:$F$501,6,FALSE)/100,"-")</f>
        <v>-</v>
      </c>
      <c r="L549" s="21" t="str">
        <f>_xll.RssMarket(A549,"始値")</f>
        <v>表示銘柄数超過</v>
      </c>
      <c r="M549" s="4" t="e">
        <f t="shared" si="55"/>
        <v>#VALUE!</v>
      </c>
      <c r="N549" s="21" t="str">
        <f>_xll.RssMarket(A549,"高値")</f>
        <v>表示銘柄数超過</v>
      </c>
      <c r="O549" s="4" t="e">
        <f t="shared" si="56"/>
        <v>#VALUE!</v>
      </c>
      <c r="P549" s="21" t="str">
        <f>_xll.RssMarket(A549,"安値")</f>
        <v>表示銘柄数超過</v>
      </c>
      <c r="Q549" s="4" t="e">
        <f t="shared" si="57"/>
        <v>#VALUE!</v>
      </c>
      <c r="R549" s="21" t="str">
        <f>_xll.RssMarket(A549,"後場始値")</f>
        <v>表示銘柄数超過</v>
      </c>
      <c r="S549" s="25" t="str">
        <f t="shared" si="58"/>
        <v>-</v>
      </c>
      <c r="T549" s="7" t="str">
        <f>_xll.RssMarket(A549,"出来高加重平均")</f>
        <v>表示銘柄数超過</v>
      </c>
      <c r="U549" s="4" t="e">
        <f t="shared" si="59"/>
        <v>#VALUE!</v>
      </c>
      <c r="V549" s="21" t="str">
        <f>_xll.RssMarket(A549,"出来高")</f>
        <v>表示銘柄数超過</v>
      </c>
      <c r="W549" s="21" t="str">
        <f>_xll.RssMarket(A549,"売買代金")</f>
        <v>表示銘柄数超過</v>
      </c>
      <c r="X549" s="20" t="str">
        <f>_xll.RssMarket(A549,"決算発表日")</f>
        <v>表示銘柄数超過</v>
      </c>
      <c r="Y549" s="26" t="str">
        <f>IF(C549&gt;_xll.RssMarket(A549,"年初来高値"),"○","×")</f>
        <v>×</v>
      </c>
      <c r="Z549" s="27" t="str">
        <f>IF(C549&lt;=_xll.RssMarket(A549,"年初来安値"),"○","×")</f>
        <v>○</v>
      </c>
    </row>
    <row r="550" spans="1:26" x14ac:dyDescent="0.25">
      <c r="A550" s="47">
        <v>4892</v>
      </c>
      <c r="B550" s="20" t="str">
        <f>_xll.RssMarket(A550,"銘柄名称")</f>
        <v>表示銘柄数超過</v>
      </c>
      <c r="C550" s="21" t="str">
        <f>_xll.RssMarket(A550,"現在値")</f>
        <v>表示銘柄数超過</v>
      </c>
      <c r="D550" s="20" t="str">
        <f>_xll.RssMarket(A550,"現在値詳細時刻")</f>
        <v>表示銘柄数超過</v>
      </c>
      <c r="E550" s="22" t="str">
        <f>_xll.RssMarket(A550,"前日比")</f>
        <v>表示銘柄数超過</v>
      </c>
      <c r="F550" s="23" t="e">
        <f>_xll.RssMarket(A550,"前日比率")/100</f>
        <v>#VALUE!</v>
      </c>
      <c r="G550" s="24" t="str">
        <f>IFERROR(VLOOKUP(A550,取得元!$A$2:$F$501,2,FALSE),"-")</f>
        <v>-</v>
      </c>
      <c r="H550" s="24" t="str">
        <f>IFERROR(VLOOKUP(A550,取得元!$A$2:$F$501,3,FALSE),"-")</f>
        <v>-</v>
      </c>
      <c r="I550" s="24" t="str">
        <f>IFERROR(VLOOKUP(A550,取得元!$A$2:$F$501,4,FALSE),"-")</f>
        <v>-</v>
      </c>
      <c r="J550" s="5" t="str">
        <f>IFERROR(VLOOKUP(A550,取得元!$A$2:$F$501,5,FALSE),"-")</f>
        <v>-</v>
      </c>
      <c r="K550" s="25" t="str">
        <f>IFERROR(VLOOKUP(A550,取得元!$A$2:$F$501,6,FALSE)/100,"-")</f>
        <v>-</v>
      </c>
      <c r="L550" s="21" t="str">
        <f>_xll.RssMarket(A550,"始値")</f>
        <v>表示銘柄数超過</v>
      </c>
      <c r="M550" s="4" t="e">
        <f t="shared" si="55"/>
        <v>#VALUE!</v>
      </c>
      <c r="N550" s="21" t="str">
        <f>_xll.RssMarket(A550,"高値")</f>
        <v>表示銘柄数超過</v>
      </c>
      <c r="O550" s="4" t="e">
        <f t="shared" si="56"/>
        <v>#VALUE!</v>
      </c>
      <c r="P550" s="21" t="str">
        <f>_xll.RssMarket(A550,"安値")</f>
        <v>表示銘柄数超過</v>
      </c>
      <c r="Q550" s="4" t="e">
        <f t="shared" si="57"/>
        <v>#VALUE!</v>
      </c>
      <c r="R550" s="21" t="str">
        <f>_xll.RssMarket(A550,"後場始値")</f>
        <v>表示銘柄数超過</v>
      </c>
      <c r="S550" s="25" t="str">
        <f t="shared" si="58"/>
        <v>-</v>
      </c>
      <c r="T550" s="7" t="str">
        <f>_xll.RssMarket(A550,"出来高加重平均")</f>
        <v>表示銘柄数超過</v>
      </c>
      <c r="U550" s="4" t="e">
        <f t="shared" si="59"/>
        <v>#VALUE!</v>
      </c>
      <c r="V550" s="21" t="str">
        <f>_xll.RssMarket(A550,"出来高")</f>
        <v>表示銘柄数超過</v>
      </c>
      <c r="W550" s="21" t="str">
        <f>_xll.RssMarket(A550,"売買代金")</f>
        <v>表示銘柄数超過</v>
      </c>
      <c r="X550" s="20" t="str">
        <f>_xll.RssMarket(A550,"決算発表日")</f>
        <v>表示銘柄数超過</v>
      </c>
      <c r="Y550" s="26" t="str">
        <f>IF(C550&gt;_xll.RssMarket(A550,"年初来高値"),"○","×")</f>
        <v>×</v>
      </c>
      <c r="Z550" s="27" t="str">
        <f>IF(C550&lt;=_xll.RssMarket(A550,"年初来安値"),"○","×")</f>
        <v>○</v>
      </c>
    </row>
    <row r="551" spans="1:26" x14ac:dyDescent="0.25">
      <c r="A551" s="49">
        <v>4902</v>
      </c>
      <c r="B551" s="20" t="str">
        <f>_xll.RssMarket(A551,"銘柄名称")</f>
        <v>表示銘柄数超過</v>
      </c>
      <c r="C551" s="21" t="str">
        <f>_xll.RssMarket(A551,"現在値")</f>
        <v>表示銘柄数超過</v>
      </c>
      <c r="D551" s="20" t="str">
        <f>_xll.RssMarket(A551,"現在値詳細時刻")</f>
        <v>表示銘柄数超過</v>
      </c>
      <c r="E551" s="22" t="str">
        <f>_xll.RssMarket(A551,"前日比")</f>
        <v>表示銘柄数超過</v>
      </c>
      <c r="F551" s="23" t="e">
        <f>_xll.RssMarket(A551,"前日比率")/100</f>
        <v>#VALUE!</v>
      </c>
      <c r="G551" s="24" t="str">
        <f>IFERROR(VLOOKUP(A551,取得元!$A$2:$F$501,2,FALSE),"-")</f>
        <v>-</v>
      </c>
      <c r="H551" s="24" t="str">
        <f>IFERROR(VLOOKUP(A551,取得元!$A$2:$F$501,3,FALSE),"-")</f>
        <v>-</v>
      </c>
      <c r="I551" s="24" t="str">
        <f>IFERROR(VLOOKUP(A551,取得元!$A$2:$F$501,4,FALSE),"-")</f>
        <v>-</v>
      </c>
      <c r="J551" s="5" t="str">
        <f>IFERROR(VLOOKUP(A551,取得元!$A$2:$F$501,5,FALSE),"-")</f>
        <v>-</v>
      </c>
      <c r="K551" s="25" t="str">
        <f>IFERROR(VLOOKUP(A551,取得元!$A$2:$F$501,6,FALSE)/100,"-")</f>
        <v>-</v>
      </c>
      <c r="L551" s="21" t="str">
        <f>_xll.RssMarket(A551,"始値")</f>
        <v>表示銘柄数超過</v>
      </c>
      <c r="M551" s="4" t="e">
        <f t="shared" si="55"/>
        <v>#VALUE!</v>
      </c>
      <c r="N551" s="21" t="str">
        <f>_xll.RssMarket(A551,"高値")</f>
        <v>表示銘柄数超過</v>
      </c>
      <c r="O551" s="4" t="e">
        <f t="shared" si="56"/>
        <v>#VALUE!</v>
      </c>
      <c r="P551" s="21" t="str">
        <f>_xll.RssMarket(A551,"安値")</f>
        <v>表示銘柄数超過</v>
      </c>
      <c r="Q551" s="4" t="e">
        <f t="shared" si="57"/>
        <v>#VALUE!</v>
      </c>
      <c r="R551" s="21" t="str">
        <f>_xll.RssMarket(A551,"後場始値")</f>
        <v>表示銘柄数超過</v>
      </c>
      <c r="S551" s="25" t="str">
        <f t="shared" si="58"/>
        <v>-</v>
      </c>
      <c r="T551" s="7" t="str">
        <f>_xll.RssMarket(A551,"出来高加重平均")</f>
        <v>表示銘柄数超過</v>
      </c>
      <c r="U551" s="4" t="e">
        <f t="shared" si="59"/>
        <v>#VALUE!</v>
      </c>
      <c r="V551" s="21" t="str">
        <f>_xll.RssMarket(A551,"出来高")</f>
        <v>表示銘柄数超過</v>
      </c>
      <c r="W551" s="21" t="str">
        <f>_xll.RssMarket(A551,"売買代金")</f>
        <v>表示銘柄数超過</v>
      </c>
      <c r="X551" s="20" t="str">
        <f>_xll.RssMarket(A551,"決算発表日")</f>
        <v>表示銘柄数超過</v>
      </c>
      <c r="Y551" s="26" t="str">
        <f>IF(C551&gt;_xll.RssMarket(A551,"年初来高値"),"○","×")</f>
        <v>×</v>
      </c>
      <c r="Z551" s="27" t="str">
        <f>IF(C551&lt;=_xll.RssMarket(A551,"年初来安値"),"○","×")</f>
        <v>○</v>
      </c>
    </row>
    <row r="552" spans="1:26" x14ac:dyDescent="0.25">
      <c r="A552" s="47">
        <v>4912</v>
      </c>
      <c r="B552" s="20" t="str">
        <f>_xll.RssMarket(A552,"銘柄名称")</f>
        <v>表示銘柄数超過</v>
      </c>
      <c r="C552" s="21" t="str">
        <f>_xll.RssMarket(A552,"現在値")</f>
        <v>表示銘柄数超過</v>
      </c>
      <c r="D552" s="20" t="str">
        <f>_xll.RssMarket(A552,"現在値詳細時刻")</f>
        <v>表示銘柄数超過</v>
      </c>
      <c r="E552" s="22" t="str">
        <f>_xll.RssMarket(A552,"前日比")</f>
        <v>表示銘柄数超過</v>
      </c>
      <c r="F552" s="23" t="e">
        <f>_xll.RssMarket(A552,"前日比率")/100</f>
        <v>#VALUE!</v>
      </c>
      <c r="G552" s="24" t="str">
        <f>IFERROR(VLOOKUP(A552,取得元!$A$2:$F$501,2,FALSE),"-")</f>
        <v>-</v>
      </c>
      <c r="H552" s="24" t="str">
        <f>IFERROR(VLOOKUP(A552,取得元!$A$2:$F$501,3,FALSE),"-")</f>
        <v>-</v>
      </c>
      <c r="I552" s="24" t="str">
        <f>IFERROR(VLOOKUP(A552,取得元!$A$2:$F$501,4,FALSE),"-")</f>
        <v>-</v>
      </c>
      <c r="J552" s="5" t="str">
        <f>IFERROR(VLOOKUP(A552,取得元!$A$2:$F$501,5,FALSE),"-")</f>
        <v>-</v>
      </c>
      <c r="K552" s="25" t="str">
        <f>IFERROR(VLOOKUP(A552,取得元!$A$2:$F$501,6,FALSE)/100,"-")</f>
        <v>-</v>
      </c>
      <c r="L552" s="21" t="str">
        <f>_xll.RssMarket(A552,"始値")</f>
        <v>表示銘柄数超過</v>
      </c>
      <c r="M552" s="4" t="e">
        <f t="shared" si="55"/>
        <v>#VALUE!</v>
      </c>
      <c r="N552" s="21" t="str">
        <f>_xll.RssMarket(A552,"高値")</f>
        <v>表示銘柄数超過</v>
      </c>
      <c r="O552" s="4" t="e">
        <f t="shared" si="56"/>
        <v>#VALUE!</v>
      </c>
      <c r="P552" s="21" t="str">
        <f>_xll.RssMarket(A552,"安値")</f>
        <v>表示銘柄数超過</v>
      </c>
      <c r="Q552" s="4" t="e">
        <f t="shared" si="57"/>
        <v>#VALUE!</v>
      </c>
      <c r="R552" s="21" t="str">
        <f>_xll.RssMarket(A552,"後場始値")</f>
        <v>表示銘柄数超過</v>
      </c>
      <c r="S552" s="25" t="str">
        <f t="shared" si="58"/>
        <v>-</v>
      </c>
      <c r="T552" s="7" t="str">
        <f>_xll.RssMarket(A552,"出来高加重平均")</f>
        <v>表示銘柄数超過</v>
      </c>
      <c r="U552" s="4" t="e">
        <f t="shared" si="59"/>
        <v>#VALUE!</v>
      </c>
      <c r="V552" s="21" t="str">
        <f>_xll.RssMarket(A552,"出来高")</f>
        <v>表示銘柄数超過</v>
      </c>
      <c r="W552" s="21" t="str">
        <f>_xll.RssMarket(A552,"売買代金")</f>
        <v>表示銘柄数超過</v>
      </c>
      <c r="X552" s="20" t="str">
        <f>_xll.RssMarket(A552,"決算発表日")</f>
        <v>表示銘柄数超過</v>
      </c>
      <c r="Y552" s="26" t="str">
        <f>IF(C552&gt;_xll.RssMarket(A552,"年初来高値"),"○","×")</f>
        <v>×</v>
      </c>
      <c r="Z552" s="27" t="str">
        <f>IF(C552&lt;=_xll.RssMarket(A552,"年初来安値"),"○","×")</f>
        <v>○</v>
      </c>
    </row>
    <row r="553" spans="1:26" x14ac:dyDescent="0.25">
      <c r="A553" s="49">
        <v>4920</v>
      </c>
      <c r="B553" s="20" t="str">
        <f>_xll.RssMarket(A553,"銘柄名称")</f>
        <v>表示銘柄数超過</v>
      </c>
      <c r="C553" s="21" t="str">
        <f>_xll.RssMarket(A553,"現在値")</f>
        <v>表示銘柄数超過</v>
      </c>
      <c r="D553" s="20" t="str">
        <f>_xll.RssMarket(A553,"現在値詳細時刻")</f>
        <v>表示銘柄数超過</v>
      </c>
      <c r="E553" s="22" t="str">
        <f>_xll.RssMarket(A553,"前日比")</f>
        <v>表示銘柄数超過</v>
      </c>
      <c r="F553" s="23" t="e">
        <f>_xll.RssMarket(A553,"前日比率")/100</f>
        <v>#VALUE!</v>
      </c>
      <c r="G553" s="24" t="str">
        <f>IFERROR(VLOOKUP(A553,取得元!$A$2:$F$501,2,FALSE),"-")</f>
        <v>-</v>
      </c>
      <c r="H553" s="24" t="str">
        <f>IFERROR(VLOOKUP(A553,取得元!$A$2:$F$501,3,FALSE),"-")</f>
        <v>-</v>
      </c>
      <c r="I553" s="24" t="str">
        <f>IFERROR(VLOOKUP(A553,取得元!$A$2:$F$501,4,FALSE),"-")</f>
        <v>-</v>
      </c>
      <c r="J553" s="5" t="str">
        <f>IFERROR(VLOOKUP(A553,取得元!$A$2:$F$501,5,FALSE),"-")</f>
        <v>-</v>
      </c>
      <c r="K553" s="25" t="str">
        <f>IFERROR(VLOOKUP(A553,取得元!$A$2:$F$501,6,FALSE)/100,"-")</f>
        <v>-</v>
      </c>
      <c r="L553" s="21" t="str">
        <f>_xll.RssMarket(A553,"始値")</f>
        <v>表示銘柄数超過</v>
      </c>
      <c r="M553" s="4" t="e">
        <f t="shared" si="55"/>
        <v>#VALUE!</v>
      </c>
      <c r="N553" s="21" t="str">
        <f>_xll.RssMarket(A553,"高値")</f>
        <v>表示銘柄数超過</v>
      </c>
      <c r="O553" s="4" t="e">
        <f t="shared" si="56"/>
        <v>#VALUE!</v>
      </c>
      <c r="P553" s="21" t="str">
        <f>_xll.RssMarket(A553,"安値")</f>
        <v>表示銘柄数超過</v>
      </c>
      <c r="Q553" s="4" t="e">
        <f t="shared" si="57"/>
        <v>#VALUE!</v>
      </c>
      <c r="R553" s="21" t="str">
        <f>_xll.RssMarket(A553,"後場始値")</f>
        <v>表示銘柄数超過</v>
      </c>
      <c r="S553" s="25" t="str">
        <f t="shared" si="58"/>
        <v>-</v>
      </c>
      <c r="T553" s="7" t="str">
        <f>_xll.RssMarket(A553,"出来高加重平均")</f>
        <v>表示銘柄数超過</v>
      </c>
      <c r="U553" s="4" t="e">
        <f t="shared" si="59"/>
        <v>#VALUE!</v>
      </c>
      <c r="V553" s="21" t="str">
        <f>_xll.RssMarket(A553,"出来高")</f>
        <v>表示銘柄数超過</v>
      </c>
      <c r="W553" s="21" t="str">
        <f>_xll.RssMarket(A553,"売買代金")</f>
        <v>表示銘柄数超過</v>
      </c>
      <c r="X553" s="20" t="str">
        <f>_xll.RssMarket(A553,"決算発表日")</f>
        <v>表示銘柄数超過</v>
      </c>
      <c r="Y553" s="26" t="str">
        <f>IF(C553&gt;_xll.RssMarket(A553,"年初来高値"),"○","×")</f>
        <v>×</v>
      </c>
      <c r="Z553" s="27" t="str">
        <f>IF(C553&lt;=_xll.RssMarket(A553,"年初来安値"),"○","×")</f>
        <v>○</v>
      </c>
    </row>
    <row r="554" spans="1:26" x14ac:dyDescent="0.25">
      <c r="A554" s="47">
        <v>4960</v>
      </c>
      <c r="B554" s="20" t="str">
        <f>_xll.RssMarket(A554,"銘柄名称")</f>
        <v>表示銘柄数超過</v>
      </c>
      <c r="C554" s="21" t="str">
        <f>_xll.RssMarket(A554,"現在値")</f>
        <v>表示銘柄数超過</v>
      </c>
      <c r="D554" s="20" t="str">
        <f>_xll.RssMarket(A554,"現在値詳細時刻")</f>
        <v>表示銘柄数超過</v>
      </c>
      <c r="E554" s="22" t="str">
        <f>_xll.RssMarket(A554,"前日比")</f>
        <v>表示銘柄数超過</v>
      </c>
      <c r="F554" s="23" t="e">
        <f>_xll.RssMarket(A554,"前日比率")/100</f>
        <v>#VALUE!</v>
      </c>
      <c r="G554" s="24" t="str">
        <f>IFERROR(VLOOKUP(A554,取得元!$A$2:$F$501,2,FALSE),"-")</f>
        <v>-</v>
      </c>
      <c r="H554" s="24" t="str">
        <f>IFERROR(VLOOKUP(A554,取得元!$A$2:$F$501,3,FALSE),"-")</f>
        <v>-</v>
      </c>
      <c r="I554" s="24" t="str">
        <f>IFERROR(VLOOKUP(A554,取得元!$A$2:$F$501,4,FALSE),"-")</f>
        <v>-</v>
      </c>
      <c r="J554" s="5" t="str">
        <f>IFERROR(VLOOKUP(A554,取得元!$A$2:$F$501,5,FALSE),"-")</f>
        <v>-</v>
      </c>
      <c r="K554" s="25" t="str">
        <f>IFERROR(VLOOKUP(A554,取得元!$A$2:$F$501,6,FALSE)/100,"-")</f>
        <v>-</v>
      </c>
      <c r="L554" s="21" t="str">
        <f>_xll.RssMarket(A554,"始値")</f>
        <v>表示銘柄数超過</v>
      </c>
      <c r="M554" s="4" t="e">
        <f t="shared" si="55"/>
        <v>#VALUE!</v>
      </c>
      <c r="N554" s="21" t="str">
        <f>_xll.RssMarket(A554,"高値")</f>
        <v>表示銘柄数超過</v>
      </c>
      <c r="O554" s="4" t="e">
        <f t="shared" si="56"/>
        <v>#VALUE!</v>
      </c>
      <c r="P554" s="21" t="str">
        <f>_xll.RssMarket(A554,"安値")</f>
        <v>表示銘柄数超過</v>
      </c>
      <c r="Q554" s="4" t="e">
        <f t="shared" si="57"/>
        <v>#VALUE!</v>
      </c>
      <c r="R554" s="21" t="str">
        <f>_xll.RssMarket(A554,"後場始値")</f>
        <v>表示銘柄数超過</v>
      </c>
      <c r="S554" s="25" t="str">
        <f t="shared" si="58"/>
        <v>-</v>
      </c>
      <c r="T554" s="7" t="str">
        <f>_xll.RssMarket(A554,"出来高加重平均")</f>
        <v>表示銘柄数超過</v>
      </c>
      <c r="U554" s="4" t="e">
        <f t="shared" si="59"/>
        <v>#VALUE!</v>
      </c>
      <c r="V554" s="21" t="str">
        <f>_xll.RssMarket(A554,"出来高")</f>
        <v>表示銘柄数超過</v>
      </c>
      <c r="W554" s="21" t="str">
        <f>_xll.RssMarket(A554,"売買代金")</f>
        <v>表示銘柄数超過</v>
      </c>
      <c r="X554" s="20" t="str">
        <f>_xll.RssMarket(A554,"決算発表日")</f>
        <v>表示銘柄数超過</v>
      </c>
      <c r="Y554" s="26" t="str">
        <f>IF(C554&gt;_xll.RssMarket(A554,"年初来高値"),"○","×")</f>
        <v>×</v>
      </c>
      <c r="Z554" s="27" t="str">
        <f>IF(C554&lt;=_xll.RssMarket(A554,"年初来安値"),"○","×")</f>
        <v>○</v>
      </c>
    </row>
    <row r="555" spans="1:26" x14ac:dyDescent="0.25">
      <c r="A555" s="49">
        <v>4963</v>
      </c>
      <c r="B555" s="20" t="str">
        <f>_xll.RssMarket(A555,"銘柄名称")</f>
        <v>表示銘柄数超過</v>
      </c>
      <c r="C555" s="21" t="str">
        <f>_xll.RssMarket(A555,"現在値")</f>
        <v>表示銘柄数超過</v>
      </c>
      <c r="D555" s="20" t="str">
        <f>_xll.RssMarket(A555,"現在値詳細時刻")</f>
        <v>表示銘柄数超過</v>
      </c>
      <c r="E555" s="22" t="str">
        <f>_xll.RssMarket(A555,"前日比")</f>
        <v>表示銘柄数超過</v>
      </c>
      <c r="F555" s="23" t="e">
        <f>_xll.RssMarket(A555,"前日比率")/100</f>
        <v>#VALUE!</v>
      </c>
      <c r="G555" s="24" t="str">
        <f>IFERROR(VLOOKUP(A555,取得元!$A$2:$F$501,2,FALSE),"-")</f>
        <v>-</v>
      </c>
      <c r="H555" s="24" t="str">
        <f>IFERROR(VLOOKUP(A555,取得元!$A$2:$F$501,3,FALSE),"-")</f>
        <v>-</v>
      </c>
      <c r="I555" s="24" t="str">
        <f>IFERROR(VLOOKUP(A555,取得元!$A$2:$F$501,4,FALSE),"-")</f>
        <v>-</v>
      </c>
      <c r="J555" s="5" t="str">
        <f>IFERROR(VLOOKUP(A555,取得元!$A$2:$F$501,5,FALSE),"-")</f>
        <v>-</v>
      </c>
      <c r="K555" s="25" t="str">
        <f>IFERROR(VLOOKUP(A555,取得元!$A$2:$F$501,6,FALSE)/100,"-")</f>
        <v>-</v>
      </c>
      <c r="L555" s="21" t="str">
        <f>_xll.RssMarket(A555,"始値")</f>
        <v>表示銘柄数超過</v>
      </c>
      <c r="M555" s="4" t="e">
        <f t="shared" si="55"/>
        <v>#VALUE!</v>
      </c>
      <c r="N555" s="21" t="str">
        <f>_xll.RssMarket(A555,"高値")</f>
        <v>表示銘柄数超過</v>
      </c>
      <c r="O555" s="4" t="e">
        <f t="shared" si="56"/>
        <v>#VALUE!</v>
      </c>
      <c r="P555" s="21" t="str">
        <f>_xll.RssMarket(A555,"安値")</f>
        <v>表示銘柄数超過</v>
      </c>
      <c r="Q555" s="4" t="e">
        <f t="shared" si="57"/>
        <v>#VALUE!</v>
      </c>
      <c r="R555" s="21" t="str">
        <f>_xll.RssMarket(A555,"後場始値")</f>
        <v>表示銘柄数超過</v>
      </c>
      <c r="S555" s="25" t="str">
        <f t="shared" si="58"/>
        <v>-</v>
      </c>
      <c r="T555" s="7" t="str">
        <f>_xll.RssMarket(A555,"出来高加重平均")</f>
        <v>表示銘柄数超過</v>
      </c>
      <c r="U555" s="4" t="e">
        <f t="shared" si="59"/>
        <v>#VALUE!</v>
      </c>
      <c r="V555" s="21" t="str">
        <f>_xll.RssMarket(A555,"出来高")</f>
        <v>表示銘柄数超過</v>
      </c>
      <c r="W555" s="21" t="str">
        <f>_xll.RssMarket(A555,"売買代金")</f>
        <v>表示銘柄数超過</v>
      </c>
      <c r="X555" s="20" t="str">
        <f>_xll.RssMarket(A555,"決算発表日")</f>
        <v>表示銘柄数超過</v>
      </c>
      <c r="Y555" s="26" t="str">
        <f>IF(C555&gt;_xll.RssMarket(A555,"年初来高値"),"○","×")</f>
        <v>×</v>
      </c>
      <c r="Z555" s="27" t="str">
        <f>IF(C555&lt;=_xll.RssMarket(A555,"年初来安値"),"○","×")</f>
        <v>○</v>
      </c>
    </row>
    <row r="556" spans="1:26" x14ac:dyDescent="0.25">
      <c r="A556" s="47">
        <v>4978</v>
      </c>
      <c r="B556" s="20" t="str">
        <f>_xll.RssMarket(A556,"銘柄名称")</f>
        <v>表示銘柄数超過</v>
      </c>
      <c r="C556" s="21" t="str">
        <f>_xll.RssMarket(A556,"現在値")</f>
        <v>表示銘柄数超過</v>
      </c>
      <c r="D556" s="20" t="str">
        <f>_xll.RssMarket(A556,"現在値詳細時刻")</f>
        <v>表示銘柄数超過</v>
      </c>
      <c r="E556" s="22" t="str">
        <f>_xll.RssMarket(A556,"前日比")</f>
        <v>表示銘柄数超過</v>
      </c>
      <c r="F556" s="23" t="e">
        <f>_xll.RssMarket(A556,"前日比率")/100</f>
        <v>#VALUE!</v>
      </c>
      <c r="G556" s="24" t="str">
        <f>IFERROR(VLOOKUP(A556,取得元!$A$2:$F$501,2,FALSE),"-")</f>
        <v>-</v>
      </c>
      <c r="H556" s="24" t="str">
        <f>IFERROR(VLOOKUP(A556,取得元!$A$2:$F$501,3,FALSE),"-")</f>
        <v>-</v>
      </c>
      <c r="I556" s="24" t="str">
        <f>IFERROR(VLOOKUP(A556,取得元!$A$2:$F$501,4,FALSE),"-")</f>
        <v>-</v>
      </c>
      <c r="J556" s="5" t="str">
        <f>IFERROR(VLOOKUP(A556,取得元!$A$2:$F$501,5,FALSE),"-")</f>
        <v>-</v>
      </c>
      <c r="K556" s="25" t="str">
        <f>IFERROR(VLOOKUP(A556,取得元!$A$2:$F$501,6,FALSE)/100,"-")</f>
        <v>-</v>
      </c>
      <c r="L556" s="21" t="str">
        <f>_xll.RssMarket(A556,"始値")</f>
        <v>表示銘柄数超過</v>
      </c>
      <c r="M556" s="4" t="e">
        <f t="shared" si="55"/>
        <v>#VALUE!</v>
      </c>
      <c r="N556" s="21" t="str">
        <f>_xll.RssMarket(A556,"高値")</f>
        <v>表示銘柄数超過</v>
      </c>
      <c r="O556" s="4" t="e">
        <f t="shared" si="56"/>
        <v>#VALUE!</v>
      </c>
      <c r="P556" s="21" t="str">
        <f>_xll.RssMarket(A556,"安値")</f>
        <v>表示銘柄数超過</v>
      </c>
      <c r="Q556" s="4" t="e">
        <f t="shared" si="57"/>
        <v>#VALUE!</v>
      </c>
      <c r="R556" s="21" t="str">
        <f>_xll.RssMarket(A556,"後場始値")</f>
        <v>表示銘柄数超過</v>
      </c>
      <c r="S556" s="25" t="str">
        <f t="shared" si="58"/>
        <v>-</v>
      </c>
      <c r="T556" s="7" t="str">
        <f>_xll.RssMarket(A556,"出来高加重平均")</f>
        <v>表示銘柄数超過</v>
      </c>
      <c r="U556" s="4" t="e">
        <f t="shared" si="59"/>
        <v>#VALUE!</v>
      </c>
      <c r="V556" s="21" t="str">
        <f>_xll.RssMarket(A556,"出来高")</f>
        <v>表示銘柄数超過</v>
      </c>
      <c r="W556" s="21" t="str">
        <f>_xll.RssMarket(A556,"売買代金")</f>
        <v>表示銘柄数超過</v>
      </c>
      <c r="X556" s="20" t="str">
        <f>_xll.RssMarket(A556,"決算発表日")</f>
        <v>表示銘柄数超過</v>
      </c>
      <c r="Y556" s="26" t="str">
        <f>IF(C556&gt;_xll.RssMarket(A556,"年初来高値"),"○","×")</f>
        <v>×</v>
      </c>
      <c r="Z556" s="27" t="str">
        <f>IF(C556&lt;=_xll.RssMarket(A556,"年初来安値"),"○","×")</f>
        <v>○</v>
      </c>
    </row>
    <row r="557" spans="1:26" x14ac:dyDescent="0.25">
      <c r="A557" s="49">
        <v>4997</v>
      </c>
      <c r="B557" s="20" t="str">
        <f>_xll.RssMarket(A557,"銘柄名称")</f>
        <v>日本農薬</v>
      </c>
      <c r="C557" s="21">
        <f>_xll.RssMarket(A557,"現在値")</f>
        <v>683</v>
      </c>
      <c r="D557" s="20" t="str">
        <f>_xll.RssMarket(A557,"現在値詳細時刻")</f>
        <v>15:00:00</v>
      </c>
      <c r="E557" s="22">
        <f>_xll.RssMarket(A557,"前日比")</f>
        <v>2</v>
      </c>
      <c r="F557" s="23">
        <f>_xll.RssMarket(A557,"前日比率")/100</f>
        <v>2.8999999999999998E-3</v>
      </c>
      <c r="G557" s="24">
        <f>IFERROR(VLOOKUP(A557,取得元!$A$2:$F$501,2,FALSE),"-")</f>
        <v>1</v>
      </c>
      <c r="H557" s="24">
        <f>IFERROR(VLOOKUP(A557,取得元!$A$2:$F$501,3,FALSE),"-")</f>
        <v>684</v>
      </c>
      <c r="I557" s="24">
        <f>IFERROR(VLOOKUP(A557,取得元!$A$2:$F$501,4,FALSE),"-")</f>
        <v>683</v>
      </c>
      <c r="J557" s="5">
        <f>IFERROR(VLOOKUP(A557,取得元!$A$2:$F$501,5,FALSE),"-")</f>
        <v>-1</v>
      </c>
      <c r="K557" s="25">
        <f>IFERROR(VLOOKUP(A557,取得元!$A$2:$F$501,6,FALSE)/100,"-")</f>
        <v>-1.46199E-3</v>
      </c>
      <c r="L557" s="21">
        <f>_xll.RssMarket(A557,"始値")</f>
        <v>676</v>
      </c>
      <c r="M557" s="4">
        <f t="shared" si="55"/>
        <v>1.0355029585798814E-2</v>
      </c>
      <c r="N557" s="21">
        <f>_xll.RssMarket(A557,"高値")</f>
        <v>691</v>
      </c>
      <c r="O557" s="4">
        <f t="shared" si="56"/>
        <v>-1.157742402315487E-2</v>
      </c>
      <c r="P557" s="21">
        <f>_xll.RssMarket(A557,"安値")</f>
        <v>676</v>
      </c>
      <c r="Q557" s="4">
        <f t="shared" si="57"/>
        <v>1.0355029585798814E-2</v>
      </c>
      <c r="R557" s="21">
        <f>_xll.RssMarket(A557,"後場始値")</f>
        <v>689</v>
      </c>
      <c r="S557" s="25">
        <f t="shared" si="58"/>
        <v>-8.7082728592162706E-3</v>
      </c>
      <c r="T557" s="7">
        <f>_xll.RssMarket(A557,"出来高加重平均")</f>
        <v>684.69849999999997</v>
      </c>
      <c r="U557" s="4">
        <f t="shared" si="59"/>
        <v>-2.4806538936480438E-3</v>
      </c>
      <c r="V557" s="21">
        <f>_xll.RssMarket(A557,"出来高")</f>
        <v>127700</v>
      </c>
      <c r="W557" s="21">
        <f>_xll.RssMarket(A557,"売買代金")</f>
        <v>87436</v>
      </c>
      <c r="X557" s="20" t="str">
        <f>_xll.RssMarket(A557,"決算発表日")</f>
        <v>2024/02/08</v>
      </c>
      <c r="Y557" s="26" t="str">
        <f>IF(C557&gt;_xll.RssMarket(A557,"年初来高値"),"○","×")</f>
        <v>×</v>
      </c>
      <c r="Z557" s="27" t="str">
        <f>IF(C557&lt;=_xll.RssMarket(A557,"年初来安値"),"○","×")</f>
        <v>×</v>
      </c>
    </row>
    <row r="558" spans="1:26" x14ac:dyDescent="0.25">
      <c r="A558" s="47">
        <v>5010</v>
      </c>
      <c r="B558" s="20" t="str">
        <f>_xll.RssMarket(A558,"銘柄名称")</f>
        <v>表示銘柄数超過</v>
      </c>
      <c r="C558" s="21" t="str">
        <f>_xll.RssMarket(A558,"現在値")</f>
        <v>表示銘柄数超過</v>
      </c>
      <c r="D558" s="20" t="str">
        <f>_xll.RssMarket(A558,"現在値詳細時刻")</f>
        <v>表示銘柄数超過</v>
      </c>
      <c r="E558" s="22" t="str">
        <f>_xll.RssMarket(A558,"前日比")</f>
        <v>表示銘柄数超過</v>
      </c>
      <c r="F558" s="23" t="e">
        <f>_xll.RssMarket(A558,"前日比率")/100</f>
        <v>#VALUE!</v>
      </c>
      <c r="G558" s="24" t="str">
        <f>IFERROR(VLOOKUP(A558,取得元!$A$2:$F$501,2,FALSE),"-")</f>
        <v>-</v>
      </c>
      <c r="H558" s="24" t="str">
        <f>IFERROR(VLOOKUP(A558,取得元!$A$2:$F$501,3,FALSE),"-")</f>
        <v>-</v>
      </c>
      <c r="I558" s="24" t="str">
        <f>IFERROR(VLOOKUP(A558,取得元!$A$2:$F$501,4,FALSE),"-")</f>
        <v>-</v>
      </c>
      <c r="J558" s="5" t="str">
        <f>IFERROR(VLOOKUP(A558,取得元!$A$2:$F$501,5,FALSE),"-")</f>
        <v>-</v>
      </c>
      <c r="K558" s="25" t="str">
        <f>IFERROR(VLOOKUP(A558,取得元!$A$2:$F$501,6,FALSE)/100,"-")</f>
        <v>-</v>
      </c>
      <c r="L558" s="21" t="str">
        <f>_xll.RssMarket(A558,"始値")</f>
        <v>表示銘柄数超過</v>
      </c>
      <c r="M558" s="4" t="e">
        <f t="shared" si="55"/>
        <v>#VALUE!</v>
      </c>
      <c r="N558" s="21" t="str">
        <f>_xll.RssMarket(A558,"高値")</f>
        <v>表示銘柄数超過</v>
      </c>
      <c r="O558" s="4" t="e">
        <f t="shared" si="56"/>
        <v>#VALUE!</v>
      </c>
      <c r="P558" s="21" t="str">
        <f>_xll.RssMarket(A558,"安値")</f>
        <v>表示銘柄数超過</v>
      </c>
      <c r="Q558" s="4" t="e">
        <f t="shared" si="57"/>
        <v>#VALUE!</v>
      </c>
      <c r="R558" s="21" t="str">
        <f>_xll.RssMarket(A558,"後場始値")</f>
        <v>表示銘柄数超過</v>
      </c>
      <c r="S558" s="25" t="str">
        <f t="shared" si="58"/>
        <v>-</v>
      </c>
      <c r="T558" s="7" t="str">
        <f>_xll.RssMarket(A558,"出来高加重平均")</f>
        <v>表示銘柄数超過</v>
      </c>
      <c r="U558" s="4" t="e">
        <f t="shared" si="59"/>
        <v>#VALUE!</v>
      </c>
      <c r="V558" s="21" t="str">
        <f>_xll.RssMarket(A558,"出来高")</f>
        <v>表示銘柄数超過</v>
      </c>
      <c r="W558" s="21" t="str">
        <f>_xll.RssMarket(A558,"売買代金")</f>
        <v>表示銘柄数超過</v>
      </c>
      <c r="X558" s="20" t="str">
        <f>_xll.RssMarket(A558,"決算発表日")</f>
        <v>表示銘柄数超過</v>
      </c>
      <c r="Y558" s="26" t="str">
        <f>IF(C558&gt;_xll.RssMarket(A558,"年初来高値"),"○","×")</f>
        <v>×</v>
      </c>
      <c r="Z558" s="27" t="str">
        <f>IF(C558&lt;=_xll.RssMarket(A558,"年初来安値"),"○","×")</f>
        <v>○</v>
      </c>
    </row>
    <row r="559" spans="1:26" x14ac:dyDescent="0.25">
      <c r="A559" s="49">
        <v>5015</v>
      </c>
      <c r="B559" s="20" t="str">
        <f>_xll.RssMarket(A559,"銘柄名称")</f>
        <v>表示銘柄数超過</v>
      </c>
      <c r="C559" s="21" t="str">
        <f>_xll.RssMarket(A559,"現在値")</f>
        <v>表示銘柄数超過</v>
      </c>
      <c r="D559" s="20" t="str">
        <f>_xll.RssMarket(A559,"現在値詳細時刻")</f>
        <v>表示銘柄数超過</v>
      </c>
      <c r="E559" s="22" t="str">
        <f>_xll.RssMarket(A559,"前日比")</f>
        <v>表示銘柄数超過</v>
      </c>
      <c r="F559" s="23" t="e">
        <f>_xll.RssMarket(A559,"前日比率")/100</f>
        <v>#VALUE!</v>
      </c>
      <c r="G559" s="24" t="str">
        <f>IFERROR(VLOOKUP(A559,取得元!$A$2:$F$501,2,FALSE),"-")</f>
        <v>-</v>
      </c>
      <c r="H559" s="24" t="str">
        <f>IFERROR(VLOOKUP(A559,取得元!$A$2:$F$501,3,FALSE),"-")</f>
        <v>-</v>
      </c>
      <c r="I559" s="24" t="str">
        <f>IFERROR(VLOOKUP(A559,取得元!$A$2:$F$501,4,FALSE),"-")</f>
        <v>-</v>
      </c>
      <c r="J559" s="5" t="str">
        <f>IFERROR(VLOOKUP(A559,取得元!$A$2:$F$501,5,FALSE),"-")</f>
        <v>-</v>
      </c>
      <c r="K559" s="25" t="str">
        <f>IFERROR(VLOOKUP(A559,取得元!$A$2:$F$501,6,FALSE)/100,"-")</f>
        <v>-</v>
      </c>
      <c r="L559" s="21" t="str">
        <f>_xll.RssMarket(A559,"始値")</f>
        <v>表示銘柄数超過</v>
      </c>
      <c r="M559" s="4" t="e">
        <f t="shared" si="55"/>
        <v>#VALUE!</v>
      </c>
      <c r="N559" s="21" t="str">
        <f>_xll.RssMarket(A559,"高値")</f>
        <v>表示銘柄数超過</v>
      </c>
      <c r="O559" s="4" t="e">
        <f t="shared" si="56"/>
        <v>#VALUE!</v>
      </c>
      <c r="P559" s="21" t="str">
        <f>_xll.RssMarket(A559,"安値")</f>
        <v>表示銘柄数超過</v>
      </c>
      <c r="Q559" s="4" t="e">
        <f t="shared" si="57"/>
        <v>#VALUE!</v>
      </c>
      <c r="R559" s="21" t="str">
        <f>_xll.RssMarket(A559,"後場始値")</f>
        <v>表示銘柄数超過</v>
      </c>
      <c r="S559" s="25" t="str">
        <f t="shared" si="58"/>
        <v>-</v>
      </c>
      <c r="T559" s="7" t="str">
        <f>_xll.RssMarket(A559,"出来高加重平均")</f>
        <v>表示銘柄数超過</v>
      </c>
      <c r="U559" s="4" t="e">
        <f t="shared" si="59"/>
        <v>#VALUE!</v>
      </c>
      <c r="V559" s="21" t="str">
        <f>_xll.RssMarket(A559,"出来高")</f>
        <v>表示銘柄数超過</v>
      </c>
      <c r="W559" s="21" t="str">
        <f>_xll.RssMarket(A559,"売買代金")</f>
        <v>表示銘柄数超過</v>
      </c>
      <c r="X559" s="20" t="str">
        <f>_xll.RssMarket(A559,"決算発表日")</f>
        <v>表示銘柄数超過</v>
      </c>
      <c r="Y559" s="26" t="str">
        <f>IF(C559&gt;_xll.RssMarket(A559,"年初来高値"),"○","×")</f>
        <v>×</v>
      </c>
      <c r="Z559" s="27" t="str">
        <f>IF(C559&lt;=_xll.RssMarket(A559,"年初来安値"),"○","×")</f>
        <v>○</v>
      </c>
    </row>
    <row r="560" spans="1:26" x14ac:dyDescent="0.25">
      <c r="A560" s="47">
        <v>5017</v>
      </c>
      <c r="B560" s="20" t="str">
        <f>_xll.RssMarket(A560,"銘柄名称")</f>
        <v>表示銘柄数超過</v>
      </c>
      <c r="C560" s="21" t="str">
        <f>_xll.RssMarket(A560,"現在値")</f>
        <v>表示銘柄数超過</v>
      </c>
      <c r="D560" s="20" t="str">
        <f>_xll.RssMarket(A560,"現在値詳細時刻")</f>
        <v>表示銘柄数超過</v>
      </c>
      <c r="E560" s="22" t="str">
        <f>_xll.RssMarket(A560,"前日比")</f>
        <v>表示銘柄数超過</v>
      </c>
      <c r="F560" s="23" t="e">
        <f>_xll.RssMarket(A560,"前日比率")/100</f>
        <v>#VALUE!</v>
      </c>
      <c r="G560" s="24" t="str">
        <f>IFERROR(VLOOKUP(A560,取得元!$A$2:$F$501,2,FALSE),"-")</f>
        <v>-</v>
      </c>
      <c r="H560" s="24" t="str">
        <f>IFERROR(VLOOKUP(A560,取得元!$A$2:$F$501,3,FALSE),"-")</f>
        <v>-</v>
      </c>
      <c r="I560" s="24" t="str">
        <f>IFERROR(VLOOKUP(A560,取得元!$A$2:$F$501,4,FALSE),"-")</f>
        <v>-</v>
      </c>
      <c r="J560" s="5" t="str">
        <f>IFERROR(VLOOKUP(A560,取得元!$A$2:$F$501,5,FALSE),"-")</f>
        <v>-</v>
      </c>
      <c r="K560" s="25" t="str">
        <f>IFERROR(VLOOKUP(A560,取得元!$A$2:$F$501,6,FALSE)/100,"-")</f>
        <v>-</v>
      </c>
      <c r="L560" s="21" t="str">
        <f>_xll.RssMarket(A560,"始値")</f>
        <v>表示銘柄数超過</v>
      </c>
      <c r="M560" s="4" t="e">
        <f t="shared" si="55"/>
        <v>#VALUE!</v>
      </c>
      <c r="N560" s="21" t="str">
        <f>_xll.RssMarket(A560,"高値")</f>
        <v>表示銘柄数超過</v>
      </c>
      <c r="O560" s="4" t="e">
        <f t="shared" si="56"/>
        <v>#VALUE!</v>
      </c>
      <c r="P560" s="21" t="str">
        <f>_xll.RssMarket(A560,"安値")</f>
        <v>表示銘柄数超過</v>
      </c>
      <c r="Q560" s="4" t="e">
        <f t="shared" si="57"/>
        <v>#VALUE!</v>
      </c>
      <c r="R560" s="21" t="str">
        <f>_xll.RssMarket(A560,"後場始値")</f>
        <v>表示銘柄数超過</v>
      </c>
      <c r="S560" s="25" t="str">
        <f t="shared" si="58"/>
        <v>-</v>
      </c>
      <c r="T560" s="7" t="str">
        <f>_xll.RssMarket(A560,"出来高加重平均")</f>
        <v>表示銘柄数超過</v>
      </c>
      <c r="U560" s="4" t="e">
        <f t="shared" si="59"/>
        <v>#VALUE!</v>
      </c>
      <c r="V560" s="21" t="str">
        <f>_xll.RssMarket(A560,"出来高")</f>
        <v>表示銘柄数超過</v>
      </c>
      <c r="W560" s="21" t="str">
        <f>_xll.RssMarket(A560,"売買代金")</f>
        <v>表示銘柄数超過</v>
      </c>
      <c r="X560" s="20" t="str">
        <f>_xll.RssMarket(A560,"決算発表日")</f>
        <v>表示銘柄数超過</v>
      </c>
      <c r="Y560" s="26" t="str">
        <f>IF(C560&gt;_xll.RssMarket(A560,"年初来高値"),"○","×")</f>
        <v>×</v>
      </c>
      <c r="Z560" s="27" t="str">
        <f>IF(C560&lt;=_xll.RssMarket(A560,"年初来安値"),"○","×")</f>
        <v>○</v>
      </c>
    </row>
    <row r="561" spans="1:26" x14ac:dyDescent="0.25">
      <c r="A561" s="49">
        <v>5019</v>
      </c>
      <c r="B561" s="20" t="str">
        <f>_xll.RssMarket(A561,"銘柄名称")</f>
        <v>表示銘柄数超過</v>
      </c>
      <c r="C561" s="21" t="str">
        <f>_xll.RssMarket(A561,"現在値")</f>
        <v>表示銘柄数超過</v>
      </c>
      <c r="D561" s="20" t="str">
        <f>_xll.RssMarket(A561,"現在値詳細時刻")</f>
        <v>表示銘柄数超過</v>
      </c>
      <c r="E561" s="22" t="str">
        <f>_xll.RssMarket(A561,"前日比")</f>
        <v>表示銘柄数超過</v>
      </c>
      <c r="F561" s="23" t="e">
        <f>_xll.RssMarket(A561,"前日比率")/100</f>
        <v>#VALUE!</v>
      </c>
      <c r="G561" s="24" t="str">
        <f>IFERROR(VLOOKUP(A561,取得元!$A$2:$F$501,2,FALSE),"-")</f>
        <v>-</v>
      </c>
      <c r="H561" s="24" t="str">
        <f>IFERROR(VLOOKUP(A561,取得元!$A$2:$F$501,3,FALSE),"-")</f>
        <v>-</v>
      </c>
      <c r="I561" s="24" t="str">
        <f>IFERROR(VLOOKUP(A561,取得元!$A$2:$F$501,4,FALSE),"-")</f>
        <v>-</v>
      </c>
      <c r="J561" s="5" t="str">
        <f>IFERROR(VLOOKUP(A561,取得元!$A$2:$F$501,5,FALSE),"-")</f>
        <v>-</v>
      </c>
      <c r="K561" s="25" t="str">
        <f>IFERROR(VLOOKUP(A561,取得元!$A$2:$F$501,6,FALSE)/100,"-")</f>
        <v>-</v>
      </c>
      <c r="L561" s="21" t="str">
        <f>_xll.RssMarket(A561,"始値")</f>
        <v>表示銘柄数超過</v>
      </c>
      <c r="M561" s="4" t="e">
        <f t="shared" si="55"/>
        <v>#VALUE!</v>
      </c>
      <c r="N561" s="21" t="str">
        <f>_xll.RssMarket(A561,"高値")</f>
        <v>表示銘柄数超過</v>
      </c>
      <c r="O561" s="4" t="e">
        <f t="shared" si="56"/>
        <v>#VALUE!</v>
      </c>
      <c r="P561" s="21" t="str">
        <f>_xll.RssMarket(A561,"安値")</f>
        <v>表示銘柄数超過</v>
      </c>
      <c r="Q561" s="4" t="e">
        <f t="shared" si="57"/>
        <v>#VALUE!</v>
      </c>
      <c r="R561" s="21" t="str">
        <f>_xll.RssMarket(A561,"後場始値")</f>
        <v>表示銘柄数超過</v>
      </c>
      <c r="S561" s="25" t="str">
        <f t="shared" si="58"/>
        <v>-</v>
      </c>
      <c r="T561" s="7" t="str">
        <f>_xll.RssMarket(A561,"出来高加重平均")</f>
        <v>表示銘柄数超過</v>
      </c>
      <c r="U561" s="4" t="e">
        <f t="shared" si="59"/>
        <v>#VALUE!</v>
      </c>
      <c r="V561" s="21" t="str">
        <f>_xll.RssMarket(A561,"出来高")</f>
        <v>表示銘柄数超過</v>
      </c>
      <c r="W561" s="21" t="str">
        <f>_xll.RssMarket(A561,"売買代金")</f>
        <v>表示銘柄数超過</v>
      </c>
      <c r="X561" s="20" t="str">
        <f>_xll.RssMarket(A561,"決算発表日")</f>
        <v>表示銘柄数超過</v>
      </c>
      <c r="Y561" s="26" t="str">
        <f>IF(C561&gt;_xll.RssMarket(A561,"年初来高値"),"○","×")</f>
        <v>×</v>
      </c>
      <c r="Z561" s="27" t="str">
        <f>IF(C561&lt;=_xll.RssMarket(A561,"年初来安値"),"○","×")</f>
        <v>○</v>
      </c>
    </row>
    <row r="562" spans="1:26" x14ac:dyDescent="0.25">
      <c r="A562" s="47">
        <v>5020</v>
      </c>
      <c r="B562" s="20" t="str">
        <f>_xll.RssMarket(A562,"銘柄名称")</f>
        <v>表示銘柄数超過</v>
      </c>
      <c r="C562" s="21" t="str">
        <f>_xll.RssMarket(A562,"現在値")</f>
        <v>表示銘柄数超過</v>
      </c>
      <c r="D562" s="20" t="str">
        <f>_xll.RssMarket(A562,"現在値詳細時刻")</f>
        <v>表示銘柄数超過</v>
      </c>
      <c r="E562" s="22" t="str">
        <f>_xll.RssMarket(A562,"前日比")</f>
        <v>表示銘柄数超過</v>
      </c>
      <c r="F562" s="23" t="e">
        <f>_xll.RssMarket(A562,"前日比率")/100</f>
        <v>#VALUE!</v>
      </c>
      <c r="G562" s="24" t="str">
        <f>IFERROR(VLOOKUP(A562,取得元!$A$2:$F$501,2,FALSE),"-")</f>
        <v>-</v>
      </c>
      <c r="H562" s="24" t="str">
        <f>IFERROR(VLOOKUP(A562,取得元!$A$2:$F$501,3,FALSE),"-")</f>
        <v>-</v>
      </c>
      <c r="I562" s="24" t="str">
        <f>IFERROR(VLOOKUP(A562,取得元!$A$2:$F$501,4,FALSE),"-")</f>
        <v>-</v>
      </c>
      <c r="J562" s="5" t="str">
        <f>IFERROR(VLOOKUP(A562,取得元!$A$2:$F$501,5,FALSE),"-")</f>
        <v>-</v>
      </c>
      <c r="K562" s="25" t="str">
        <f>IFERROR(VLOOKUP(A562,取得元!$A$2:$F$501,6,FALSE)/100,"-")</f>
        <v>-</v>
      </c>
      <c r="L562" s="21" t="str">
        <f>_xll.RssMarket(A562,"始値")</f>
        <v>表示銘柄数超過</v>
      </c>
      <c r="M562" s="4" t="e">
        <f t="shared" si="55"/>
        <v>#VALUE!</v>
      </c>
      <c r="N562" s="21" t="str">
        <f>_xll.RssMarket(A562,"高値")</f>
        <v>表示銘柄数超過</v>
      </c>
      <c r="O562" s="4" t="e">
        <f t="shared" si="56"/>
        <v>#VALUE!</v>
      </c>
      <c r="P562" s="21" t="str">
        <f>_xll.RssMarket(A562,"安値")</f>
        <v>表示銘柄数超過</v>
      </c>
      <c r="Q562" s="4" t="e">
        <f t="shared" si="57"/>
        <v>#VALUE!</v>
      </c>
      <c r="R562" s="21" t="str">
        <f>_xll.RssMarket(A562,"後場始値")</f>
        <v>表示銘柄数超過</v>
      </c>
      <c r="S562" s="25" t="str">
        <f t="shared" si="58"/>
        <v>-</v>
      </c>
      <c r="T562" s="7" t="str">
        <f>_xll.RssMarket(A562,"出来高加重平均")</f>
        <v>表示銘柄数超過</v>
      </c>
      <c r="U562" s="4" t="e">
        <f t="shared" si="59"/>
        <v>#VALUE!</v>
      </c>
      <c r="V562" s="21" t="str">
        <f>_xll.RssMarket(A562,"出来高")</f>
        <v>表示銘柄数超過</v>
      </c>
      <c r="W562" s="21" t="str">
        <f>_xll.RssMarket(A562,"売買代金")</f>
        <v>表示銘柄数超過</v>
      </c>
      <c r="X562" s="20" t="str">
        <f>_xll.RssMarket(A562,"決算発表日")</f>
        <v>表示銘柄数超過</v>
      </c>
      <c r="Y562" s="26" t="str">
        <f>IF(C562&gt;_xll.RssMarket(A562,"年初来高値"),"○","×")</f>
        <v>×</v>
      </c>
      <c r="Z562" s="27" t="str">
        <f>IF(C562&lt;=_xll.RssMarket(A562,"年初来安値"),"○","×")</f>
        <v>○</v>
      </c>
    </row>
    <row r="563" spans="1:26" x14ac:dyDescent="0.25">
      <c r="A563" s="49">
        <v>5021</v>
      </c>
      <c r="B563" s="20" t="str">
        <f>_xll.RssMarket(A563,"銘柄名称")</f>
        <v>表示銘柄数超過</v>
      </c>
      <c r="C563" s="21" t="str">
        <f>_xll.RssMarket(A563,"現在値")</f>
        <v>表示銘柄数超過</v>
      </c>
      <c r="D563" s="20" t="str">
        <f>_xll.RssMarket(A563,"現在値詳細時刻")</f>
        <v>表示銘柄数超過</v>
      </c>
      <c r="E563" s="22" t="str">
        <f>_xll.RssMarket(A563,"前日比")</f>
        <v>表示銘柄数超過</v>
      </c>
      <c r="F563" s="23" t="e">
        <f>_xll.RssMarket(A563,"前日比率")/100</f>
        <v>#VALUE!</v>
      </c>
      <c r="G563" s="24" t="str">
        <f>IFERROR(VLOOKUP(A563,取得元!$A$2:$F$501,2,FALSE),"-")</f>
        <v>-</v>
      </c>
      <c r="H563" s="24" t="str">
        <f>IFERROR(VLOOKUP(A563,取得元!$A$2:$F$501,3,FALSE),"-")</f>
        <v>-</v>
      </c>
      <c r="I563" s="24" t="str">
        <f>IFERROR(VLOOKUP(A563,取得元!$A$2:$F$501,4,FALSE),"-")</f>
        <v>-</v>
      </c>
      <c r="J563" s="5" t="str">
        <f>IFERROR(VLOOKUP(A563,取得元!$A$2:$F$501,5,FALSE),"-")</f>
        <v>-</v>
      </c>
      <c r="K563" s="25" t="str">
        <f>IFERROR(VLOOKUP(A563,取得元!$A$2:$F$501,6,FALSE)/100,"-")</f>
        <v>-</v>
      </c>
      <c r="L563" s="21" t="str">
        <f>_xll.RssMarket(A563,"始値")</f>
        <v>表示銘柄数超過</v>
      </c>
      <c r="M563" s="4" t="e">
        <f t="shared" si="55"/>
        <v>#VALUE!</v>
      </c>
      <c r="N563" s="21" t="str">
        <f>_xll.RssMarket(A563,"高値")</f>
        <v>表示銘柄数超過</v>
      </c>
      <c r="O563" s="4" t="e">
        <f t="shared" si="56"/>
        <v>#VALUE!</v>
      </c>
      <c r="P563" s="21" t="str">
        <f>_xll.RssMarket(A563,"安値")</f>
        <v>表示銘柄数超過</v>
      </c>
      <c r="Q563" s="4" t="e">
        <f t="shared" si="57"/>
        <v>#VALUE!</v>
      </c>
      <c r="R563" s="21" t="str">
        <f>_xll.RssMarket(A563,"後場始値")</f>
        <v>表示銘柄数超過</v>
      </c>
      <c r="S563" s="25" t="str">
        <f t="shared" si="58"/>
        <v>-</v>
      </c>
      <c r="T563" s="7" t="str">
        <f>_xll.RssMarket(A563,"出来高加重平均")</f>
        <v>表示銘柄数超過</v>
      </c>
      <c r="U563" s="4" t="e">
        <f t="shared" si="59"/>
        <v>#VALUE!</v>
      </c>
      <c r="V563" s="21" t="str">
        <f>_xll.RssMarket(A563,"出来高")</f>
        <v>表示銘柄数超過</v>
      </c>
      <c r="W563" s="21" t="str">
        <f>_xll.RssMarket(A563,"売買代金")</f>
        <v>表示銘柄数超過</v>
      </c>
      <c r="X563" s="20" t="str">
        <f>_xll.RssMarket(A563,"決算発表日")</f>
        <v>表示銘柄数超過</v>
      </c>
      <c r="Y563" s="26" t="str">
        <f>IF(C563&gt;_xll.RssMarket(A563,"年初来高値"),"○","×")</f>
        <v>×</v>
      </c>
      <c r="Z563" s="27" t="str">
        <f>IF(C563&lt;=_xll.RssMarket(A563,"年初来安値"),"○","×")</f>
        <v>○</v>
      </c>
    </row>
    <row r="564" spans="1:26" x14ac:dyDescent="0.25">
      <c r="A564" s="47">
        <v>5028</v>
      </c>
      <c r="B564" s="20" t="str">
        <f>_xll.RssMarket(A564,"銘柄名称")</f>
        <v>表示銘柄数超過</v>
      </c>
      <c r="C564" s="21" t="str">
        <f>_xll.RssMarket(A564,"現在値")</f>
        <v>表示銘柄数超過</v>
      </c>
      <c r="D564" s="20" t="str">
        <f>_xll.RssMarket(A564,"現在値詳細時刻")</f>
        <v>表示銘柄数超過</v>
      </c>
      <c r="E564" s="22" t="str">
        <f>_xll.RssMarket(A564,"前日比")</f>
        <v>表示銘柄数超過</v>
      </c>
      <c r="F564" s="23" t="e">
        <f>_xll.RssMarket(A564,"前日比率")/100</f>
        <v>#VALUE!</v>
      </c>
      <c r="G564" s="24" t="str">
        <f>IFERROR(VLOOKUP(A564,取得元!$A$2:$F$501,2,FALSE),"-")</f>
        <v>-</v>
      </c>
      <c r="H564" s="24" t="str">
        <f>IFERROR(VLOOKUP(A564,取得元!$A$2:$F$501,3,FALSE),"-")</f>
        <v>-</v>
      </c>
      <c r="I564" s="24" t="str">
        <f>IFERROR(VLOOKUP(A564,取得元!$A$2:$F$501,4,FALSE),"-")</f>
        <v>-</v>
      </c>
      <c r="J564" s="5" t="str">
        <f>IFERROR(VLOOKUP(A564,取得元!$A$2:$F$501,5,FALSE),"-")</f>
        <v>-</v>
      </c>
      <c r="K564" s="25" t="str">
        <f>IFERROR(VLOOKUP(A564,取得元!$A$2:$F$501,6,FALSE)/100,"-")</f>
        <v>-</v>
      </c>
      <c r="L564" s="21" t="str">
        <f>_xll.RssMarket(A564,"始値")</f>
        <v>表示銘柄数超過</v>
      </c>
      <c r="M564" s="4" t="e">
        <f t="shared" si="55"/>
        <v>#VALUE!</v>
      </c>
      <c r="N564" s="21" t="str">
        <f>_xll.RssMarket(A564,"高値")</f>
        <v>表示銘柄数超過</v>
      </c>
      <c r="O564" s="4" t="e">
        <f t="shared" si="56"/>
        <v>#VALUE!</v>
      </c>
      <c r="P564" s="21" t="str">
        <f>_xll.RssMarket(A564,"安値")</f>
        <v>表示銘柄数超過</v>
      </c>
      <c r="Q564" s="4" t="e">
        <f t="shared" si="57"/>
        <v>#VALUE!</v>
      </c>
      <c r="R564" s="21" t="str">
        <f>_xll.RssMarket(A564,"後場始値")</f>
        <v>表示銘柄数超過</v>
      </c>
      <c r="S564" s="25" t="str">
        <f t="shared" si="58"/>
        <v>-</v>
      </c>
      <c r="T564" s="7" t="str">
        <f>_xll.RssMarket(A564,"出来高加重平均")</f>
        <v>表示銘柄数超過</v>
      </c>
      <c r="U564" s="4" t="e">
        <f t="shared" si="59"/>
        <v>#VALUE!</v>
      </c>
      <c r="V564" s="21" t="str">
        <f>_xll.RssMarket(A564,"出来高")</f>
        <v>表示銘柄数超過</v>
      </c>
      <c r="W564" s="21" t="str">
        <f>_xll.RssMarket(A564,"売買代金")</f>
        <v>表示銘柄数超過</v>
      </c>
      <c r="X564" s="20" t="str">
        <f>_xll.RssMarket(A564,"決算発表日")</f>
        <v>表示銘柄数超過</v>
      </c>
      <c r="Y564" s="26" t="str">
        <f>IF(C564&gt;_xll.RssMarket(A564,"年初来高値"),"○","×")</f>
        <v>×</v>
      </c>
      <c r="Z564" s="27" t="str">
        <f>IF(C564&lt;=_xll.RssMarket(A564,"年初来安値"),"○","×")</f>
        <v>○</v>
      </c>
    </row>
    <row r="565" spans="1:26" x14ac:dyDescent="0.25">
      <c r="A565" s="49">
        <v>5032</v>
      </c>
      <c r="B565" s="20" t="str">
        <f>_xll.RssMarket(A565,"銘柄名称")</f>
        <v>表示銘柄数超過</v>
      </c>
      <c r="C565" s="21" t="str">
        <f>_xll.RssMarket(A565,"現在値")</f>
        <v>表示銘柄数超過</v>
      </c>
      <c r="D565" s="20" t="str">
        <f>_xll.RssMarket(A565,"現在値詳細時刻")</f>
        <v>表示銘柄数超過</v>
      </c>
      <c r="E565" s="22" t="str">
        <f>_xll.RssMarket(A565,"前日比")</f>
        <v>表示銘柄数超過</v>
      </c>
      <c r="F565" s="23" t="e">
        <f>_xll.RssMarket(A565,"前日比率")/100</f>
        <v>#VALUE!</v>
      </c>
      <c r="G565" s="24" t="str">
        <f>IFERROR(VLOOKUP(A565,取得元!$A$2:$F$501,2,FALSE),"-")</f>
        <v>-</v>
      </c>
      <c r="H565" s="24" t="str">
        <f>IFERROR(VLOOKUP(A565,取得元!$A$2:$F$501,3,FALSE),"-")</f>
        <v>-</v>
      </c>
      <c r="I565" s="24" t="str">
        <f>IFERROR(VLOOKUP(A565,取得元!$A$2:$F$501,4,FALSE),"-")</f>
        <v>-</v>
      </c>
      <c r="J565" s="5" t="str">
        <f>IFERROR(VLOOKUP(A565,取得元!$A$2:$F$501,5,FALSE),"-")</f>
        <v>-</v>
      </c>
      <c r="K565" s="25" t="str">
        <f>IFERROR(VLOOKUP(A565,取得元!$A$2:$F$501,6,FALSE)/100,"-")</f>
        <v>-</v>
      </c>
      <c r="L565" s="21" t="str">
        <f>_xll.RssMarket(A565,"始値")</f>
        <v>表示銘柄数超過</v>
      </c>
      <c r="M565" s="4" t="e">
        <f t="shared" si="55"/>
        <v>#VALUE!</v>
      </c>
      <c r="N565" s="21" t="str">
        <f>_xll.RssMarket(A565,"高値")</f>
        <v>表示銘柄数超過</v>
      </c>
      <c r="O565" s="4" t="e">
        <f t="shared" si="56"/>
        <v>#VALUE!</v>
      </c>
      <c r="P565" s="21" t="str">
        <f>_xll.RssMarket(A565,"安値")</f>
        <v>表示銘柄数超過</v>
      </c>
      <c r="Q565" s="4" t="e">
        <f t="shared" si="57"/>
        <v>#VALUE!</v>
      </c>
      <c r="R565" s="21" t="str">
        <f>_xll.RssMarket(A565,"後場始値")</f>
        <v>表示銘柄数超過</v>
      </c>
      <c r="S565" s="25" t="str">
        <f t="shared" si="58"/>
        <v>-</v>
      </c>
      <c r="T565" s="7" t="str">
        <f>_xll.RssMarket(A565,"出来高加重平均")</f>
        <v>表示銘柄数超過</v>
      </c>
      <c r="U565" s="4" t="e">
        <f t="shared" si="59"/>
        <v>#VALUE!</v>
      </c>
      <c r="V565" s="21" t="str">
        <f>_xll.RssMarket(A565,"出来高")</f>
        <v>表示銘柄数超過</v>
      </c>
      <c r="W565" s="21" t="str">
        <f>_xll.RssMarket(A565,"売買代金")</f>
        <v>表示銘柄数超過</v>
      </c>
      <c r="X565" s="20" t="str">
        <f>_xll.RssMarket(A565,"決算発表日")</f>
        <v>表示銘柄数超過</v>
      </c>
      <c r="Y565" s="26" t="str">
        <f>IF(C565&gt;_xll.RssMarket(A565,"年初来高値"),"○","×")</f>
        <v>×</v>
      </c>
      <c r="Z565" s="27" t="str">
        <f>IF(C565&lt;=_xll.RssMarket(A565,"年初来安値"),"○","×")</f>
        <v>○</v>
      </c>
    </row>
    <row r="566" spans="1:26" x14ac:dyDescent="0.25">
      <c r="A566" s="47">
        <v>5074</v>
      </c>
      <c r="B566" s="20" t="str">
        <f>_xll.RssMarket(A566,"銘柄名称")</f>
        <v>表示銘柄数超過</v>
      </c>
      <c r="C566" s="21" t="str">
        <f>_xll.RssMarket(A566,"現在値")</f>
        <v>表示銘柄数超過</v>
      </c>
      <c r="D566" s="20" t="str">
        <f>_xll.RssMarket(A566,"現在値詳細時刻")</f>
        <v>表示銘柄数超過</v>
      </c>
      <c r="E566" s="22" t="str">
        <f>_xll.RssMarket(A566,"前日比")</f>
        <v>表示銘柄数超過</v>
      </c>
      <c r="F566" s="23" t="e">
        <f>_xll.RssMarket(A566,"前日比率")/100</f>
        <v>#VALUE!</v>
      </c>
      <c r="G566" s="24" t="str">
        <f>IFERROR(VLOOKUP(A566,取得元!$A$2:$F$501,2,FALSE),"-")</f>
        <v>-</v>
      </c>
      <c r="H566" s="24" t="str">
        <f>IFERROR(VLOOKUP(A566,取得元!$A$2:$F$501,3,FALSE),"-")</f>
        <v>-</v>
      </c>
      <c r="I566" s="24" t="str">
        <f>IFERROR(VLOOKUP(A566,取得元!$A$2:$F$501,4,FALSE),"-")</f>
        <v>-</v>
      </c>
      <c r="J566" s="5" t="str">
        <f>IFERROR(VLOOKUP(A566,取得元!$A$2:$F$501,5,FALSE),"-")</f>
        <v>-</v>
      </c>
      <c r="K566" s="25" t="str">
        <f>IFERROR(VLOOKUP(A566,取得元!$A$2:$F$501,6,FALSE)/100,"-")</f>
        <v>-</v>
      </c>
      <c r="L566" s="21" t="str">
        <f>_xll.RssMarket(A566,"始値")</f>
        <v>表示銘柄数超過</v>
      </c>
      <c r="M566" s="4" t="e">
        <f t="shared" si="55"/>
        <v>#VALUE!</v>
      </c>
      <c r="N566" s="21" t="str">
        <f>_xll.RssMarket(A566,"高値")</f>
        <v>表示銘柄数超過</v>
      </c>
      <c r="O566" s="4" t="e">
        <f t="shared" si="56"/>
        <v>#VALUE!</v>
      </c>
      <c r="P566" s="21" t="str">
        <f>_xll.RssMarket(A566,"安値")</f>
        <v>表示銘柄数超過</v>
      </c>
      <c r="Q566" s="4" t="e">
        <f t="shared" si="57"/>
        <v>#VALUE!</v>
      </c>
      <c r="R566" s="21" t="str">
        <f>_xll.RssMarket(A566,"後場始値")</f>
        <v>表示銘柄数超過</v>
      </c>
      <c r="S566" s="25" t="str">
        <f t="shared" si="58"/>
        <v>-</v>
      </c>
      <c r="T566" s="7" t="str">
        <f>_xll.RssMarket(A566,"出来高加重平均")</f>
        <v>表示銘柄数超過</v>
      </c>
      <c r="U566" s="4" t="e">
        <f t="shared" si="59"/>
        <v>#VALUE!</v>
      </c>
      <c r="V566" s="21" t="str">
        <f>_xll.RssMarket(A566,"出来高")</f>
        <v>表示銘柄数超過</v>
      </c>
      <c r="W566" s="21" t="str">
        <f>_xll.RssMarket(A566,"売買代金")</f>
        <v>表示銘柄数超過</v>
      </c>
      <c r="X566" s="20" t="str">
        <f>_xll.RssMarket(A566,"決算発表日")</f>
        <v>表示銘柄数超過</v>
      </c>
      <c r="Y566" s="26" t="str">
        <f>IF(C566&gt;_xll.RssMarket(A566,"年初来高値"),"○","×")</f>
        <v>×</v>
      </c>
      <c r="Z566" s="27" t="str">
        <f>IF(C566&lt;=_xll.RssMarket(A566,"年初来安値"),"○","×")</f>
        <v>○</v>
      </c>
    </row>
    <row r="567" spans="1:26" x14ac:dyDescent="0.25">
      <c r="A567" s="49">
        <v>5103</v>
      </c>
      <c r="B567" s="20" t="str">
        <f>_xll.RssMarket(A567,"銘柄名称")</f>
        <v>昭和ホールディングス</v>
      </c>
      <c r="C567" s="21">
        <f>_xll.RssMarket(A567,"現在値")</f>
        <v>43</v>
      </c>
      <c r="D567" s="20" t="str">
        <f>_xll.RssMarket(A567,"現在値詳細時刻")</f>
        <v>15:00:00</v>
      </c>
      <c r="E567" s="22">
        <f>_xll.RssMarket(A567,"前日比")</f>
        <v>0</v>
      </c>
      <c r="F567" s="23">
        <f>_xll.RssMarket(A567,"前日比率")/100</f>
        <v>0</v>
      </c>
      <c r="G567" s="24" t="str">
        <f>IFERROR(VLOOKUP(A567,取得元!$A$2:$F$501,2,FALSE),"-")</f>
        <v>-</v>
      </c>
      <c r="H567" s="24" t="str">
        <f>IFERROR(VLOOKUP(A567,取得元!$A$2:$F$501,3,FALSE),"-")</f>
        <v>-</v>
      </c>
      <c r="I567" s="24" t="str">
        <f>IFERROR(VLOOKUP(A567,取得元!$A$2:$F$501,4,FALSE),"-")</f>
        <v>-</v>
      </c>
      <c r="J567" s="5" t="str">
        <f>IFERROR(VLOOKUP(A567,取得元!$A$2:$F$501,5,FALSE),"-")</f>
        <v>-</v>
      </c>
      <c r="K567" s="25" t="str">
        <f>IFERROR(VLOOKUP(A567,取得元!$A$2:$F$501,6,FALSE)/100,"-")</f>
        <v>-</v>
      </c>
      <c r="L567" s="21">
        <f>_xll.RssMarket(A567,"始値")</f>
        <v>44</v>
      </c>
      <c r="M567" s="4">
        <f t="shared" si="55"/>
        <v>-2.2727272727272707E-2</v>
      </c>
      <c r="N567" s="21">
        <f>_xll.RssMarket(A567,"高値")</f>
        <v>44</v>
      </c>
      <c r="O567" s="4">
        <f t="shared" si="56"/>
        <v>-2.2727272727272707E-2</v>
      </c>
      <c r="P567" s="21">
        <f>_xll.RssMarket(A567,"安値")</f>
        <v>43</v>
      </c>
      <c r="Q567" s="4">
        <f t="shared" si="57"/>
        <v>0</v>
      </c>
      <c r="R567" s="21">
        <f>_xll.RssMarket(A567,"後場始値")</f>
        <v>43</v>
      </c>
      <c r="S567" s="25">
        <f t="shared" si="58"/>
        <v>0</v>
      </c>
      <c r="T567" s="7">
        <f>_xll.RssMarket(A567,"出来高加重平均")</f>
        <v>43.8</v>
      </c>
      <c r="U567" s="4">
        <f t="shared" si="59"/>
        <v>-1.826484018264829E-2</v>
      </c>
      <c r="V567" s="21">
        <f>_xll.RssMarket(A567,"出来高")</f>
        <v>80000</v>
      </c>
      <c r="W567" s="21">
        <f>_xll.RssMarket(A567,"売買代金")</f>
        <v>3504</v>
      </c>
      <c r="X567" s="20" t="str">
        <f>_xll.RssMarket(A567,"決算発表日")</f>
        <v>-</v>
      </c>
      <c r="Y567" s="26" t="str">
        <f>IF(C567&gt;_xll.RssMarket(A567,"年初来高値"),"○","×")</f>
        <v>×</v>
      </c>
      <c r="Z567" s="27" t="str">
        <f>IF(C567&lt;=_xll.RssMarket(A567,"年初来安値"),"○","×")</f>
        <v>×</v>
      </c>
    </row>
    <row r="568" spans="1:26" x14ac:dyDescent="0.25">
      <c r="A568" s="47">
        <v>5108</v>
      </c>
      <c r="B568" s="20" t="str">
        <f>_xll.RssMarket(A568,"銘柄名称")</f>
        <v>ブリヂストン</v>
      </c>
      <c r="C568" s="21">
        <f>_xll.RssMarket(A568,"現在値")</f>
        <v>6341</v>
      </c>
      <c r="D568" s="20" t="str">
        <f>_xll.RssMarket(A568,"現在値詳細時刻")</f>
        <v>15:00:00</v>
      </c>
      <c r="E568" s="22">
        <f>_xll.RssMarket(A568,"前日比")</f>
        <v>93</v>
      </c>
      <c r="F568" s="23">
        <f>_xll.RssMarket(A568,"前日比率")/100</f>
        <v>1.49E-2</v>
      </c>
      <c r="G568" s="24" t="str">
        <f>IFERROR(VLOOKUP(A568,取得元!$A$2:$F$501,2,FALSE),"-")</f>
        <v>-</v>
      </c>
      <c r="H568" s="24" t="str">
        <f>IFERROR(VLOOKUP(A568,取得元!$A$2:$F$501,3,FALSE),"-")</f>
        <v>-</v>
      </c>
      <c r="I568" s="24" t="str">
        <f>IFERROR(VLOOKUP(A568,取得元!$A$2:$F$501,4,FALSE),"-")</f>
        <v>-</v>
      </c>
      <c r="J568" s="5" t="str">
        <f>IFERROR(VLOOKUP(A568,取得元!$A$2:$F$501,5,FALSE),"-")</f>
        <v>-</v>
      </c>
      <c r="K568" s="25" t="str">
        <f>IFERROR(VLOOKUP(A568,取得元!$A$2:$F$501,6,FALSE)/100,"-")</f>
        <v>-</v>
      </c>
      <c r="L568" s="21">
        <f>_xll.RssMarket(A568,"始値")</f>
        <v>6285</v>
      </c>
      <c r="M568" s="4">
        <f t="shared" si="55"/>
        <v>8.9101034208431962E-3</v>
      </c>
      <c r="N568" s="21">
        <f>_xll.RssMarket(A568,"高値")</f>
        <v>6361</v>
      </c>
      <c r="O568" s="4">
        <f t="shared" si="56"/>
        <v>-3.144159723313944E-3</v>
      </c>
      <c r="P568" s="21">
        <f>_xll.RssMarket(A568,"安値")</f>
        <v>6268</v>
      </c>
      <c r="Q568" s="4">
        <f t="shared" si="57"/>
        <v>1.1646458200382792E-2</v>
      </c>
      <c r="R568" s="21">
        <f>_xll.RssMarket(A568,"後場始値")</f>
        <v>6310</v>
      </c>
      <c r="S568" s="25">
        <f t="shared" si="58"/>
        <v>4.9128367670363549E-3</v>
      </c>
      <c r="T568" s="7">
        <f>_xll.RssMarket(A568,"出来高加重平均")</f>
        <v>6326.7735000000002</v>
      </c>
      <c r="U568" s="4">
        <f t="shared" si="59"/>
        <v>2.2486185098928857E-3</v>
      </c>
      <c r="V568" s="21">
        <f>_xll.RssMarket(A568,"出来高")</f>
        <v>1780600</v>
      </c>
      <c r="W568" s="21">
        <f>_xll.RssMarket(A568,"売買代金")</f>
        <v>11265453</v>
      </c>
      <c r="X568" s="20" t="str">
        <f>_xll.RssMarket(A568,"決算発表日")</f>
        <v>2024/02/16</v>
      </c>
      <c r="Y568" s="26" t="str">
        <f>IF(C568&gt;_xll.RssMarket(A568,"年初来高値"),"○","×")</f>
        <v>×</v>
      </c>
      <c r="Z568" s="27" t="str">
        <f>IF(C568&lt;=_xll.RssMarket(A568,"年初来安値"),"○","×")</f>
        <v>×</v>
      </c>
    </row>
    <row r="569" spans="1:26" x14ac:dyDescent="0.25">
      <c r="A569" s="49">
        <v>5110</v>
      </c>
      <c r="B569" s="20" t="str">
        <f>_xll.RssMarket(A569,"銘柄名称")</f>
        <v>住友ゴム</v>
      </c>
      <c r="C569" s="21">
        <f>_xll.RssMarket(A569,"現在値")</f>
        <v>1740</v>
      </c>
      <c r="D569" s="20" t="str">
        <f>_xll.RssMarket(A569,"現在値詳細時刻")</f>
        <v>15:00:00</v>
      </c>
      <c r="E569" s="22">
        <f>_xll.RssMarket(A569,"前日比")</f>
        <v>21</v>
      </c>
      <c r="F569" s="23">
        <f>_xll.RssMarket(A569,"前日比率")/100</f>
        <v>1.2199999999999999E-2</v>
      </c>
      <c r="G569" s="24" t="str">
        <f>IFERROR(VLOOKUP(A569,取得元!$A$2:$F$501,2,FALSE),"-")</f>
        <v>-</v>
      </c>
      <c r="H569" s="24" t="str">
        <f>IFERROR(VLOOKUP(A569,取得元!$A$2:$F$501,3,FALSE),"-")</f>
        <v>-</v>
      </c>
      <c r="I569" s="24" t="str">
        <f>IFERROR(VLOOKUP(A569,取得元!$A$2:$F$501,4,FALSE),"-")</f>
        <v>-</v>
      </c>
      <c r="J569" s="5" t="str">
        <f>IFERROR(VLOOKUP(A569,取得元!$A$2:$F$501,5,FALSE),"-")</f>
        <v>-</v>
      </c>
      <c r="K569" s="25" t="str">
        <f>IFERROR(VLOOKUP(A569,取得元!$A$2:$F$501,6,FALSE)/100,"-")</f>
        <v>-</v>
      </c>
      <c r="L569" s="21">
        <f>_xll.RssMarket(A569,"始値")</f>
        <v>1718.5</v>
      </c>
      <c r="M569" s="4">
        <f t="shared" si="55"/>
        <v>1.2510910677916875E-2</v>
      </c>
      <c r="N569" s="21">
        <f>_xll.RssMarket(A569,"高値")</f>
        <v>1748</v>
      </c>
      <c r="O569" s="4">
        <f t="shared" si="56"/>
        <v>-4.5766590389015871E-3</v>
      </c>
      <c r="P569" s="21">
        <f>_xll.RssMarket(A569,"安値")</f>
        <v>1716</v>
      </c>
      <c r="Q569" s="4">
        <f t="shared" si="57"/>
        <v>1.3986013986013957E-2</v>
      </c>
      <c r="R569" s="21">
        <f>_xll.RssMarket(A569,"後場始値")</f>
        <v>1733</v>
      </c>
      <c r="S569" s="25">
        <f t="shared" si="58"/>
        <v>4.0392383150604783E-3</v>
      </c>
      <c r="T569" s="7">
        <f>_xll.RssMarket(A569,"出来高加重平均")</f>
        <v>1736.4692</v>
      </c>
      <c r="U569" s="4">
        <f t="shared" si="59"/>
        <v>2.0333214087528972E-3</v>
      </c>
      <c r="V569" s="21">
        <f>_xll.RssMarket(A569,"出来高")</f>
        <v>725900</v>
      </c>
      <c r="W569" s="21">
        <f>_xll.RssMarket(A569,"売買代金")</f>
        <v>1260503</v>
      </c>
      <c r="X569" s="20" t="str">
        <f>_xll.RssMarket(A569,"決算発表日")</f>
        <v>2024/02/14</v>
      </c>
      <c r="Y569" s="26" t="str">
        <f>IF(C569&gt;_xll.RssMarket(A569,"年初来高値"),"○","×")</f>
        <v>×</v>
      </c>
      <c r="Z569" s="27" t="str">
        <f>IF(C569&lt;=_xll.RssMarket(A569,"年初来安値"),"○","×")</f>
        <v>×</v>
      </c>
    </row>
    <row r="570" spans="1:26" x14ac:dyDescent="0.25">
      <c r="A570" s="47">
        <v>5121</v>
      </c>
      <c r="B570" s="20" t="str">
        <f>_xll.RssMarket(A570,"銘柄名称")</f>
        <v>藤倉コンポジット</v>
      </c>
      <c r="C570" s="21">
        <f>_xll.RssMarket(A570,"現在値")</f>
        <v>1441</v>
      </c>
      <c r="D570" s="20" t="str">
        <f>_xll.RssMarket(A570,"現在値詳細時刻")</f>
        <v>15:00:00</v>
      </c>
      <c r="E570" s="22">
        <f>_xll.RssMarket(A570,"前日比")</f>
        <v>12</v>
      </c>
      <c r="F570" s="23">
        <f>_xll.RssMarket(A570,"前日比率")/100</f>
        <v>8.3999999999999995E-3</v>
      </c>
      <c r="G570" s="24" t="str">
        <f>IFERROR(VLOOKUP(A570,取得元!$A$2:$F$501,2,FALSE),"-")</f>
        <v>-</v>
      </c>
      <c r="H570" s="24" t="str">
        <f>IFERROR(VLOOKUP(A570,取得元!$A$2:$F$501,3,FALSE),"-")</f>
        <v>-</v>
      </c>
      <c r="I570" s="24" t="str">
        <f>IFERROR(VLOOKUP(A570,取得元!$A$2:$F$501,4,FALSE),"-")</f>
        <v>-</v>
      </c>
      <c r="J570" s="5" t="str">
        <f>IFERROR(VLOOKUP(A570,取得元!$A$2:$F$501,5,FALSE),"-")</f>
        <v>-</v>
      </c>
      <c r="K570" s="25" t="str">
        <f>IFERROR(VLOOKUP(A570,取得元!$A$2:$F$501,6,FALSE)/100,"-")</f>
        <v>-</v>
      </c>
      <c r="L570" s="21">
        <f>_xll.RssMarket(A570,"始値")</f>
        <v>1426</v>
      </c>
      <c r="M570" s="4">
        <f t="shared" si="55"/>
        <v>1.051893408134652E-2</v>
      </c>
      <c r="N570" s="21">
        <f>_xll.RssMarket(A570,"高値")</f>
        <v>1453</v>
      </c>
      <c r="O570" s="4">
        <f t="shared" si="56"/>
        <v>-8.2587749483826745E-3</v>
      </c>
      <c r="P570" s="21">
        <f>_xll.RssMarket(A570,"安値")</f>
        <v>1426</v>
      </c>
      <c r="Q570" s="4">
        <f t="shared" si="57"/>
        <v>1.051893408134652E-2</v>
      </c>
      <c r="R570" s="21">
        <f>_xll.RssMarket(A570,"後場始値")</f>
        <v>1446</v>
      </c>
      <c r="S570" s="25">
        <f t="shared" si="58"/>
        <v>-3.4578146611341509E-3</v>
      </c>
      <c r="T570" s="7">
        <f>_xll.RssMarket(A570,"出来高加重平均")</f>
        <v>1441.5172</v>
      </c>
      <c r="U570" s="4">
        <f t="shared" si="59"/>
        <v>-3.5878864296590152E-4</v>
      </c>
      <c r="V570" s="21">
        <f>_xll.RssMarket(A570,"出来高")</f>
        <v>145000</v>
      </c>
      <c r="W570" s="21">
        <f>_xll.RssMarket(A570,"売買代金")</f>
        <v>209020</v>
      </c>
      <c r="X570" s="20" t="str">
        <f>_xll.RssMarket(A570,"決算発表日")</f>
        <v>2024/02/09</v>
      </c>
      <c r="Y570" s="26" t="str">
        <f>IF(C570&gt;_xll.RssMarket(A570,"年初来高値"),"○","×")</f>
        <v>×</v>
      </c>
      <c r="Z570" s="27" t="str">
        <f>IF(C570&lt;=_xll.RssMarket(A570,"年初来安値"),"○","×")</f>
        <v>×</v>
      </c>
    </row>
    <row r="571" spans="1:26" x14ac:dyDescent="0.25">
      <c r="A571" s="49">
        <v>5129</v>
      </c>
      <c r="B571" s="20" t="str">
        <f>_xll.RssMarket(A571,"銘柄名称")</f>
        <v>ＦＩＸＥＲ</v>
      </c>
      <c r="C571" s="21">
        <f>_xll.RssMarket(A571,"現在値")</f>
        <v>1320</v>
      </c>
      <c r="D571" s="20" t="str">
        <f>_xll.RssMarket(A571,"現在値詳細時刻")</f>
        <v>15:00:00</v>
      </c>
      <c r="E571" s="22">
        <f>_xll.RssMarket(A571,"前日比")</f>
        <v>19</v>
      </c>
      <c r="F571" s="23">
        <f>_xll.RssMarket(A571,"前日比率")/100</f>
        <v>1.46E-2</v>
      </c>
      <c r="G571" s="24" t="str">
        <f>IFERROR(VLOOKUP(A571,取得元!$A$2:$F$501,2,FALSE),"-")</f>
        <v>-</v>
      </c>
      <c r="H571" s="24" t="str">
        <f>IFERROR(VLOOKUP(A571,取得元!$A$2:$F$501,3,FALSE),"-")</f>
        <v>-</v>
      </c>
      <c r="I571" s="24" t="str">
        <f>IFERROR(VLOOKUP(A571,取得元!$A$2:$F$501,4,FALSE),"-")</f>
        <v>-</v>
      </c>
      <c r="J571" s="5" t="str">
        <f>IFERROR(VLOOKUP(A571,取得元!$A$2:$F$501,5,FALSE),"-")</f>
        <v>-</v>
      </c>
      <c r="K571" s="25" t="str">
        <f>IFERROR(VLOOKUP(A571,取得元!$A$2:$F$501,6,FALSE)/100,"-")</f>
        <v>-</v>
      </c>
      <c r="L571" s="21">
        <f>_xll.RssMarket(A571,"始値")</f>
        <v>1310</v>
      </c>
      <c r="M571" s="4">
        <f t="shared" si="55"/>
        <v>7.6335877862594437E-3</v>
      </c>
      <c r="N571" s="21">
        <f>_xll.RssMarket(A571,"高値")</f>
        <v>1359</v>
      </c>
      <c r="O571" s="4">
        <f t="shared" si="56"/>
        <v>-2.8697571743929395E-2</v>
      </c>
      <c r="P571" s="21">
        <f>_xll.RssMarket(A571,"安値")</f>
        <v>1274</v>
      </c>
      <c r="Q571" s="4">
        <f t="shared" si="57"/>
        <v>3.6106750392464582E-2</v>
      </c>
      <c r="R571" s="21">
        <f>_xll.RssMarket(A571,"後場始値")</f>
        <v>1347</v>
      </c>
      <c r="S571" s="25">
        <f t="shared" si="58"/>
        <v>-2.0044543429844075E-2</v>
      </c>
      <c r="T571" s="7">
        <f>_xll.RssMarket(A571,"出来高加重平均")</f>
        <v>1318.8616999999999</v>
      </c>
      <c r="U571" s="4">
        <f t="shared" si="59"/>
        <v>8.6309277159246633E-4</v>
      </c>
      <c r="V571" s="21">
        <f>_xll.RssMarket(A571,"出来高")</f>
        <v>94000</v>
      </c>
      <c r="W571" s="21">
        <f>_xll.RssMarket(A571,"売買代金")</f>
        <v>123973</v>
      </c>
      <c r="X571" s="20" t="str">
        <f>_xll.RssMarket(A571,"決算発表日")</f>
        <v>2024/01/11</v>
      </c>
      <c r="Y571" s="26" t="str">
        <f>IF(C571&gt;_xll.RssMarket(A571,"年初来高値"),"○","×")</f>
        <v>×</v>
      </c>
      <c r="Z571" s="27" t="str">
        <f>IF(C571&lt;=_xll.RssMarket(A571,"年初来安値"),"○","×")</f>
        <v>×</v>
      </c>
    </row>
    <row r="572" spans="1:26" x14ac:dyDescent="0.25">
      <c r="A572" s="47">
        <v>5131</v>
      </c>
      <c r="B572" s="20" t="str">
        <f>_xll.RssMarket(A572,"銘柄名称")</f>
        <v>リンカーズ</v>
      </c>
      <c r="C572" s="21">
        <f>_xll.RssMarket(A572,"現在値")</f>
        <v>186</v>
      </c>
      <c r="D572" s="20" t="str">
        <f>_xll.RssMarket(A572,"現在値詳細時刻")</f>
        <v>15:00:00</v>
      </c>
      <c r="E572" s="22">
        <f>_xll.RssMarket(A572,"前日比")</f>
        <v>-9</v>
      </c>
      <c r="F572" s="23">
        <f>_xll.RssMarket(A572,"前日比率")/100</f>
        <v>-4.6199999999999998E-2</v>
      </c>
      <c r="G572" s="24" t="str">
        <f>IFERROR(VLOOKUP(A572,取得元!$A$2:$F$501,2,FALSE),"-")</f>
        <v>-</v>
      </c>
      <c r="H572" s="24" t="str">
        <f>IFERROR(VLOOKUP(A572,取得元!$A$2:$F$501,3,FALSE),"-")</f>
        <v>-</v>
      </c>
      <c r="I572" s="24" t="str">
        <f>IFERROR(VLOOKUP(A572,取得元!$A$2:$F$501,4,FALSE),"-")</f>
        <v>-</v>
      </c>
      <c r="J572" s="5" t="str">
        <f>IFERROR(VLOOKUP(A572,取得元!$A$2:$F$501,5,FALSE),"-")</f>
        <v>-</v>
      </c>
      <c r="K572" s="25" t="str">
        <f>IFERROR(VLOOKUP(A572,取得元!$A$2:$F$501,6,FALSE)/100,"-")</f>
        <v>-</v>
      </c>
      <c r="L572" s="21">
        <f>_xll.RssMarket(A572,"始値")</f>
        <v>194</v>
      </c>
      <c r="M572" s="4">
        <f t="shared" si="55"/>
        <v>-4.123711340206182E-2</v>
      </c>
      <c r="N572" s="21">
        <f>_xll.RssMarket(A572,"高値")</f>
        <v>196</v>
      </c>
      <c r="O572" s="4">
        <f t="shared" si="56"/>
        <v>-5.1020408163265252E-2</v>
      </c>
      <c r="P572" s="21">
        <f>_xll.RssMarket(A572,"安値")</f>
        <v>185</v>
      </c>
      <c r="Q572" s="4">
        <f t="shared" si="57"/>
        <v>5.4054054054053502E-3</v>
      </c>
      <c r="R572" s="21">
        <f>_xll.RssMarket(A572,"後場始値")</f>
        <v>186</v>
      </c>
      <c r="S572" s="25">
        <f t="shared" si="58"/>
        <v>0</v>
      </c>
      <c r="T572" s="7">
        <f>_xll.RssMarket(A572,"出来高加重平均")</f>
        <v>188.17060000000001</v>
      </c>
      <c r="U572" s="4">
        <f t="shared" si="59"/>
        <v>-1.1535277030524482E-2</v>
      </c>
      <c r="V572" s="21">
        <f>_xll.RssMarket(A572,"出来高")</f>
        <v>291900</v>
      </c>
      <c r="W572" s="21">
        <f>_xll.RssMarket(A572,"売買代金")</f>
        <v>54927</v>
      </c>
      <c r="X572" s="20" t="str">
        <f>_xll.RssMarket(A572,"決算発表日")</f>
        <v>2024/03/14</v>
      </c>
      <c r="Y572" s="26" t="str">
        <f>IF(C572&gt;_xll.RssMarket(A572,"年初来高値"),"○","×")</f>
        <v>×</v>
      </c>
      <c r="Z572" s="27" t="str">
        <f>IF(C572&lt;=_xll.RssMarket(A572,"年初来安値"),"○","×")</f>
        <v>○</v>
      </c>
    </row>
    <row r="573" spans="1:26" x14ac:dyDescent="0.25">
      <c r="A573" s="49">
        <v>5133</v>
      </c>
      <c r="B573" s="20" t="str">
        <f>_xll.RssMarket(A573,"銘柄名称")</f>
        <v>テリロジーホールディングス</v>
      </c>
      <c r="C573" s="21">
        <f>_xll.RssMarket(A573,"現在値")</f>
        <v>289</v>
      </c>
      <c r="D573" s="20" t="str">
        <f>_xll.RssMarket(A573,"現在値詳細時刻")</f>
        <v>15:00:00</v>
      </c>
      <c r="E573" s="22">
        <f>_xll.RssMarket(A573,"前日比")</f>
        <v>-4</v>
      </c>
      <c r="F573" s="23">
        <f>_xll.RssMarket(A573,"前日比率")/100</f>
        <v>-1.37E-2</v>
      </c>
      <c r="G573" s="24" t="str">
        <f>IFERROR(VLOOKUP(A573,取得元!$A$2:$F$501,2,FALSE),"-")</f>
        <v>-</v>
      </c>
      <c r="H573" s="24" t="str">
        <f>IFERROR(VLOOKUP(A573,取得元!$A$2:$F$501,3,FALSE),"-")</f>
        <v>-</v>
      </c>
      <c r="I573" s="24" t="str">
        <f>IFERROR(VLOOKUP(A573,取得元!$A$2:$F$501,4,FALSE),"-")</f>
        <v>-</v>
      </c>
      <c r="J573" s="5" t="str">
        <f>IFERROR(VLOOKUP(A573,取得元!$A$2:$F$501,5,FALSE),"-")</f>
        <v>-</v>
      </c>
      <c r="K573" s="25" t="str">
        <f>IFERROR(VLOOKUP(A573,取得元!$A$2:$F$501,6,FALSE)/100,"-")</f>
        <v>-</v>
      </c>
      <c r="L573" s="21">
        <f>_xll.RssMarket(A573,"始値")</f>
        <v>291</v>
      </c>
      <c r="M573" s="4">
        <f t="shared" si="55"/>
        <v>-6.8728522336769515E-3</v>
      </c>
      <c r="N573" s="21">
        <f>_xll.RssMarket(A573,"高値")</f>
        <v>293</v>
      </c>
      <c r="O573" s="4">
        <f t="shared" si="56"/>
        <v>-1.3651877133105783E-2</v>
      </c>
      <c r="P573" s="21">
        <f>_xll.RssMarket(A573,"安値")</f>
        <v>289</v>
      </c>
      <c r="Q573" s="4">
        <f t="shared" si="57"/>
        <v>0</v>
      </c>
      <c r="R573" s="21">
        <f>_xll.RssMarket(A573,"後場始値")</f>
        <v>290</v>
      </c>
      <c r="S573" s="25">
        <f t="shared" si="58"/>
        <v>-3.4482758620689724E-3</v>
      </c>
      <c r="T573" s="7">
        <f>_xll.RssMarket(A573,"出来高加重平均")</f>
        <v>290.42649999999998</v>
      </c>
      <c r="U573" s="4">
        <f t="shared" si="59"/>
        <v>-4.9117418692852244E-3</v>
      </c>
      <c r="V573" s="21">
        <f>_xll.RssMarket(A573,"出来高")</f>
        <v>21100</v>
      </c>
      <c r="W573" s="21">
        <f>_xll.RssMarket(A573,"売買代金")</f>
        <v>6128</v>
      </c>
      <c r="X573" s="20" t="str">
        <f>_xll.RssMarket(A573,"決算発表日")</f>
        <v>2024/02/14</v>
      </c>
      <c r="Y573" s="26" t="str">
        <f>IF(C573&gt;_xll.RssMarket(A573,"年初来高値"),"○","×")</f>
        <v>×</v>
      </c>
      <c r="Z573" s="27" t="str">
        <f>IF(C573&lt;=_xll.RssMarket(A573,"年初来安値"),"○","×")</f>
        <v>×</v>
      </c>
    </row>
    <row r="574" spans="1:26" x14ac:dyDescent="0.25">
      <c r="A574" s="47">
        <v>5192</v>
      </c>
      <c r="B574" s="20" t="str">
        <f>_xll.RssMarket(A574,"銘柄名称")</f>
        <v>三ツ星ベルト</v>
      </c>
      <c r="C574" s="21">
        <f>_xll.RssMarket(A574,"現在値")</f>
        <v>4775</v>
      </c>
      <c r="D574" s="20" t="str">
        <f>_xll.RssMarket(A574,"現在値詳細時刻")</f>
        <v>15:00:00</v>
      </c>
      <c r="E574" s="22">
        <f>_xll.RssMarket(A574,"前日比")</f>
        <v>-70</v>
      </c>
      <c r="F574" s="23">
        <f>_xll.RssMarket(A574,"前日比率")/100</f>
        <v>-1.44E-2</v>
      </c>
      <c r="G574" s="24" t="str">
        <f>IFERROR(VLOOKUP(A574,取得元!$A$2:$F$501,2,FALSE),"-")</f>
        <v>-</v>
      </c>
      <c r="H574" s="24" t="str">
        <f>IFERROR(VLOOKUP(A574,取得元!$A$2:$F$501,3,FALSE),"-")</f>
        <v>-</v>
      </c>
      <c r="I574" s="24" t="str">
        <f>IFERROR(VLOOKUP(A574,取得元!$A$2:$F$501,4,FALSE),"-")</f>
        <v>-</v>
      </c>
      <c r="J574" s="5" t="str">
        <f>IFERROR(VLOOKUP(A574,取得元!$A$2:$F$501,5,FALSE),"-")</f>
        <v>-</v>
      </c>
      <c r="K574" s="25" t="str">
        <f>IFERROR(VLOOKUP(A574,取得元!$A$2:$F$501,6,FALSE)/100,"-")</f>
        <v>-</v>
      </c>
      <c r="L574" s="21">
        <f>_xll.RssMarket(A574,"始値")</f>
        <v>4840</v>
      </c>
      <c r="M574" s="4">
        <f t="shared" si="55"/>
        <v>-1.3429752066115741E-2</v>
      </c>
      <c r="N574" s="21">
        <f>_xll.RssMarket(A574,"高値")</f>
        <v>4910</v>
      </c>
      <c r="O574" s="4">
        <f t="shared" si="56"/>
        <v>-2.7494908350305547E-2</v>
      </c>
      <c r="P574" s="21">
        <f>_xll.RssMarket(A574,"安値")</f>
        <v>4710</v>
      </c>
      <c r="Q574" s="4">
        <f t="shared" si="57"/>
        <v>1.3800424628450214E-2</v>
      </c>
      <c r="R574" s="21">
        <f>_xll.RssMarket(A574,"後場始値")</f>
        <v>4880</v>
      </c>
      <c r="S574" s="25">
        <f t="shared" si="58"/>
        <v>-2.1516393442622905E-2</v>
      </c>
      <c r="T574" s="7">
        <f>_xll.RssMarket(A574,"出来高加重平均")</f>
        <v>4827.5497999999998</v>
      </c>
      <c r="U574" s="4">
        <f t="shared" si="59"/>
        <v>-1.0885397805735719E-2</v>
      </c>
      <c r="V574" s="21">
        <f>_xll.RssMarket(A574,"出来高")</f>
        <v>637100</v>
      </c>
      <c r="W574" s="21">
        <f>_xll.RssMarket(A574,"売買代金")</f>
        <v>3075632</v>
      </c>
      <c r="X574" s="20" t="str">
        <f>_xll.RssMarket(A574,"決算発表日")</f>
        <v>2024/02/07</v>
      </c>
      <c r="Y574" s="26" t="str">
        <f>IF(C574&gt;_xll.RssMarket(A574,"年初来高値"),"○","×")</f>
        <v>×</v>
      </c>
      <c r="Z574" s="27" t="str">
        <f>IF(C574&lt;=_xll.RssMarket(A574,"年初来安値"),"○","×")</f>
        <v>×</v>
      </c>
    </row>
    <row r="575" spans="1:26" x14ac:dyDescent="0.25">
      <c r="A575" s="49">
        <v>5204</v>
      </c>
      <c r="B575" s="20" t="str">
        <f>_xll.RssMarket(A575,"銘柄名称")</f>
        <v>石塚硝子</v>
      </c>
      <c r="C575" s="21">
        <f>_xll.RssMarket(A575,"現在値")</f>
        <v>3510</v>
      </c>
      <c r="D575" s="20" t="str">
        <f>_xll.RssMarket(A575,"現在値詳細時刻")</f>
        <v>15:00:00</v>
      </c>
      <c r="E575" s="22">
        <f>_xll.RssMarket(A575,"前日比")</f>
        <v>-25</v>
      </c>
      <c r="F575" s="23">
        <f>_xll.RssMarket(A575,"前日比率")/100</f>
        <v>-7.0999999999999995E-3</v>
      </c>
      <c r="G575" s="24" t="str">
        <f>IFERROR(VLOOKUP(A575,取得元!$A$2:$F$501,2,FALSE),"-")</f>
        <v>-</v>
      </c>
      <c r="H575" s="24" t="str">
        <f>IFERROR(VLOOKUP(A575,取得元!$A$2:$F$501,3,FALSE),"-")</f>
        <v>-</v>
      </c>
      <c r="I575" s="24" t="str">
        <f>IFERROR(VLOOKUP(A575,取得元!$A$2:$F$501,4,FALSE),"-")</f>
        <v>-</v>
      </c>
      <c r="J575" s="5" t="str">
        <f>IFERROR(VLOOKUP(A575,取得元!$A$2:$F$501,5,FALSE),"-")</f>
        <v>-</v>
      </c>
      <c r="K575" s="25" t="str">
        <f>IFERROR(VLOOKUP(A575,取得元!$A$2:$F$501,6,FALSE)/100,"-")</f>
        <v>-</v>
      </c>
      <c r="L575" s="21">
        <f>_xll.RssMarket(A575,"始値")</f>
        <v>3510</v>
      </c>
      <c r="M575" s="4">
        <f t="shared" si="55"/>
        <v>0</v>
      </c>
      <c r="N575" s="21">
        <f>_xll.RssMarket(A575,"高値")</f>
        <v>3595</v>
      </c>
      <c r="O575" s="4">
        <f t="shared" si="56"/>
        <v>-2.364394993045893E-2</v>
      </c>
      <c r="P575" s="21">
        <f>_xll.RssMarket(A575,"安値")</f>
        <v>3475</v>
      </c>
      <c r="Q575" s="4">
        <f t="shared" si="57"/>
        <v>1.0071942446043147E-2</v>
      </c>
      <c r="R575" s="21">
        <f>_xll.RssMarket(A575,"後場始値")</f>
        <v>3510</v>
      </c>
      <c r="S575" s="25">
        <f t="shared" si="58"/>
        <v>0</v>
      </c>
      <c r="T575" s="7">
        <f>_xll.RssMarket(A575,"出来高加重平均")</f>
        <v>3526.5853000000002</v>
      </c>
      <c r="U575" s="4">
        <f t="shared" si="59"/>
        <v>-4.702934592281105E-3</v>
      </c>
      <c r="V575" s="21">
        <f>_xll.RssMarket(A575,"出来高")</f>
        <v>36900</v>
      </c>
      <c r="W575" s="21">
        <f>_xll.RssMarket(A575,"売買代金")</f>
        <v>130131</v>
      </c>
      <c r="X575" s="20" t="str">
        <f>_xll.RssMarket(A575,"決算発表日")</f>
        <v>2024/01/31</v>
      </c>
      <c r="Y575" s="26" t="str">
        <f>IF(C575&gt;_xll.RssMarket(A575,"年初来高値"),"○","×")</f>
        <v>×</v>
      </c>
      <c r="Z575" s="27" t="str">
        <f>IF(C575&lt;=_xll.RssMarket(A575,"年初来安値"),"○","×")</f>
        <v>×</v>
      </c>
    </row>
    <row r="576" spans="1:26" x14ac:dyDescent="0.25">
      <c r="A576" s="47">
        <v>5216</v>
      </c>
      <c r="B576" s="20" t="str">
        <f>_xll.RssMarket(A576,"銘柄名称")</f>
        <v>倉元製作所</v>
      </c>
      <c r="C576" s="21">
        <f>_xll.RssMarket(A576,"現在値")</f>
        <v>86</v>
      </c>
      <c r="D576" s="20" t="str">
        <f>_xll.RssMarket(A576,"現在値詳細時刻")</f>
        <v>15:00:00</v>
      </c>
      <c r="E576" s="22">
        <f>_xll.RssMarket(A576,"前日比")</f>
        <v>-1</v>
      </c>
      <c r="F576" s="23">
        <f>_xll.RssMarket(A576,"前日比率")/100</f>
        <v>-1.15E-2</v>
      </c>
      <c r="G576" s="24" t="str">
        <f>IFERROR(VLOOKUP(A576,取得元!$A$2:$F$501,2,FALSE),"-")</f>
        <v>-</v>
      </c>
      <c r="H576" s="24" t="str">
        <f>IFERROR(VLOOKUP(A576,取得元!$A$2:$F$501,3,FALSE),"-")</f>
        <v>-</v>
      </c>
      <c r="I576" s="24" t="str">
        <f>IFERROR(VLOOKUP(A576,取得元!$A$2:$F$501,4,FALSE),"-")</f>
        <v>-</v>
      </c>
      <c r="J576" s="5" t="str">
        <f>IFERROR(VLOOKUP(A576,取得元!$A$2:$F$501,5,FALSE),"-")</f>
        <v>-</v>
      </c>
      <c r="K576" s="25" t="str">
        <f>IFERROR(VLOOKUP(A576,取得元!$A$2:$F$501,6,FALSE)/100,"-")</f>
        <v>-</v>
      </c>
      <c r="L576" s="21">
        <f>_xll.RssMarket(A576,"始値")</f>
        <v>87</v>
      </c>
      <c r="M576" s="4">
        <f t="shared" si="55"/>
        <v>-1.1494252873563204E-2</v>
      </c>
      <c r="N576" s="21">
        <f>_xll.RssMarket(A576,"高値")</f>
        <v>87</v>
      </c>
      <c r="O576" s="4">
        <f t="shared" si="56"/>
        <v>-1.1494252873563204E-2</v>
      </c>
      <c r="P576" s="21">
        <f>_xll.RssMarket(A576,"安値")</f>
        <v>86</v>
      </c>
      <c r="Q576" s="4">
        <f t="shared" si="57"/>
        <v>0</v>
      </c>
      <c r="R576" s="21">
        <f>_xll.RssMarket(A576,"後場始値")</f>
        <v>86</v>
      </c>
      <c r="S576" s="25">
        <f t="shared" si="58"/>
        <v>0</v>
      </c>
      <c r="T576" s="7">
        <f>_xll.RssMarket(A576,"出来高加重平均")</f>
        <v>86.896500000000003</v>
      </c>
      <c r="U576" s="4">
        <f t="shared" si="59"/>
        <v>-1.0316871220359847E-2</v>
      </c>
      <c r="V576" s="21">
        <f>_xll.RssMarket(A576,"出来高")</f>
        <v>2900</v>
      </c>
      <c r="W576" s="21">
        <f>_xll.RssMarket(A576,"売買代金")</f>
        <v>252</v>
      </c>
      <c r="X576" s="20" t="str">
        <f>_xll.RssMarket(A576,"決算発表日")</f>
        <v>2024/02/14</v>
      </c>
      <c r="Y576" s="26" t="str">
        <f>IF(C576&gt;_xll.RssMarket(A576,"年初来高値"),"○","×")</f>
        <v>×</v>
      </c>
      <c r="Z576" s="27" t="str">
        <f>IF(C576&lt;=_xll.RssMarket(A576,"年初来安値"),"○","×")</f>
        <v>×</v>
      </c>
    </row>
    <row r="577" spans="1:26" x14ac:dyDescent="0.25">
      <c r="A577" s="49">
        <v>5243</v>
      </c>
      <c r="B577" s="20" t="str">
        <f>_xll.RssMarket(A577,"銘柄名称")</f>
        <v>ＮＯＴＥ</v>
      </c>
      <c r="C577" s="21">
        <f>_xll.RssMarket(A577,"現在値")</f>
        <v>571</v>
      </c>
      <c r="D577" s="20" t="str">
        <f>_xll.RssMarket(A577,"現在値詳細時刻")</f>
        <v>15:00:00</v>
      </c>
      <c r="E577" s="22">
        <f>_xll.RssMarket(A577,"前日比")</f>
        <v>-12</v>
      </c>
      <c r="F577" s="23">
        <f>_xll.RssMarket(A577,"前日比率")/100</f>
        <v>-2.06E-2</v>
      </c>
      <c r="G577" s="24" t="str">
        <f>IFERROR(VLOOKUP(A577,取得元!$A$2:$F$501,2,FALSE),"-")</f>
        <v>-</v>
      </c>
      <c r="H577" s="24" t="str">
        <f>IFERROR(VLOOKUP(A577,取得元!$A$2:$F$501,3,FALSE),"-")</f>
        <v>-</v>
      </c>
      <c r="I577" s="24" t="str">
        <f>IFERROR(VLOOKUP(A577,取得元!$A$2:$F$501,4,FALSE),"-")</f>
        <v>-</v>
      </c>
      <c r="J577" s="5" t="str">
        <f>IFERROR(VLOOKUP(A577,取得元!$A$2:$F$501,5,FALSE),"-")</f>
        <v>-</v>
      </c>
      <c r="K577" s="25" t="str">
        <f>IFERROR(VLOOKUP(A577,取得元!$A$2:$F$501,6,FALSE)/100,"-")</f>
        <v>-</v>
      </c>
      <c r="L577" s="21">
        <f>_xll.RssMarket(A577,"始値")</f>
        <v>577</v>
      </c>
      <c r="M577" s="4">
        <f t="shared" si="55"/>
        <v>-1.0398613518197597E-2</v>
      </c>
      <c r="N577" s="21">
        <f>_xll.RssMarket(A577,"高値")</f>
        <v>578</v>
      </c>
      <c r="O577" s="4">
        <f t="shared" si="56"/>
        <v>-1.2110726643598579E-2</v>
      </c>
      <c r="P577" s="21">
        <f>_xll.RssMarket(A577,"安値")</f>
        <v>566</v>
      </c>
      <c r="Q577" s="4">
        <f t="shared" si="57"/>
        <v>8.8339222614841617E-3</v>
      </c>
      <c r="R577" s="21">
        <f>_xll.RssMarket(A577,"後場始値")</f>
        <v>570</v>
      </c>
      <c r="S577" s="25">
        <f t="shared" si="58"/>
        <v>1.7543859649122862E-3</v>
      </c>
      <c r="T577" s="7">
        <f>_xll.RssMarket(A577,"出来高加重平均")</f>
        <v>570.53859999999997</v>
      </c>
      <c r="U577" s="4">
        <f t="shared" si="59"/>
        <v>8.08709524649176E-4</v>
      </c>
      <c r="V577" s="21">
        <f>_xll.RssMarket(A577,"出来高")</f>
        <v>98400</v>
      </c>
      <c r="W577" s="21">
        <f>_xll.RssMarket(A577,"売買代金")</f>
        <v>56141</v>
      </c>
      <c r="X577" s="20" t="str">
        <f>_xll.RssMarket(A577,"決算発表日")</f>
        <v>2024/01/11</v>
      </c>
      <c r="Y577" s="26" t="str">
        <f>IF(C577&gt;_xll.RssMarket(A577,"年初来高値"),"○","×")</f>
        <v>×</v>
      </c>
      <c r="Z577" s="27" t="str">
        <f>IF(C577&lt;=_xll.RssMarket(A577,"年初来安値"),"○","×")</f>
        <v>×</v>
      </c>
    </row>
    <row r="578" spans="1:26" x14ac:dyDescent="0.25">
      <c r="A578" s="47">
        <v>5244</v>
      </c>
      <c r="B578" s="20" t="str">
        <f>_xll.RssMarket(A578,"銘柄名称")</f>
        <v>ＪＩＧ．ＪＰ</v>
      </c>
      <c r="C578" s="21">
        <f>_xll.RssMarket(A578,"現在値")</f>
        <v>342</v>
      </c>
      <c r="D578" s="20" t="str">
        <f>_xll.RssMarket(A578,"現在値詳細時刻")</f>
        <v>15:00:00</v>
      </c>
      <c r="E578" s="22">
        <f>_xll.RssMarket(A578,"前日比")</f>
        <v>-4</v>
      </c>
      <c r="F578" s="23">
        <f>_xll.RssMarket(A578,"前日比率")/100</f>
        <v>-1.1599999999999999E-2</v>
      </c>
      <c r="G578" s="24" t="str">
        <f>IFERROR(VLOOKUP(A578,取得元!$A$2:$F$501,2,FALSE),"-")</f>
        <v>-</v>
      </c>
      <c r="H578" s="24" t="str">
        <f>IFERROR(VLOOKUP(A578,取得元!$A$2:$F$501,3,FALSE),"-")</f>
        <v>-</v>
      </c>
      <c r="I578" s="24" t="str">
        <f>IFERROR(VLOOKUP(A578,取得元!$A$2:$F$501,4,FALSE),"-")</f>
        <v>-</v>
      </c>
      <c r="J578" s="5" t="str">
        <f>IFERROR(VLOOKUP(A578,取得元!$A$2:$F$501,5,FALSE),"-")</f>
        <v>-</v>
      </c>
      <c r="K578" s="25" t="str">
        <f>IFERROR(VLOOKUP(A578,取得元!$A$2:$F$501,6,FALSE)/100,"-")</f>
        <v>-</v>
      </c>
      <c r="L578" s="21">
        <f>_xll.RssMarket(A578,"始値")</f>
        <v>352</v>
      </c>
      <c r="M578" s="4">
        <f t="shared" si="55"/>
        <v>-2.8409090909090939E-2</v>
      </c>
      <c r="N578" s="21">
        <f>_xll.RssMarket(A578,"高値")</f>
        <v>352</v>
      </c>
      <c r="O578" s="4">
        <f t="shared" si="56"/>
        <v>-2.8409090909090939E-2</v>
      </c>
      <c r="P578" s="21">
        <f>_xll.RssMarket(A578,"安値")</f>
        <v>340</v>
      </c>
      <c r="Q578" s="4">
        <f t="shared" si="57"/>
        <v>5.8823529411764497E-3</v>
      </c>
      <c r="R578" s="21">
        <f>_xll.RssMarket(A578,"後場始値")</f>
        <v>349</v>
      </c>
      <c r="S578" s="25">
        <f t="shared" si="58"/>
        <v>-2.005730659025784E-2</v>
      </c>
      <c r="T578" s="7">
        <f>_xll.RssMarket(A578,"出来高加重平均")</f>
        <v>344.58019999999999</v>
      </c>
      <c r="U578" s="4">
        <f t="shared" si="59"/>
        <v>-7.4879520065285199E-3</v>
      </c>
      <c r="V578" s="21">
        <f>_xll.RssMarket(A578,"出来高")</f>
        <v>269200</v>
      </c>
      <c r="W578" s="21">
        <f>_xll.RssMarket(A578,"売買代金")</f>
        <v>92761</v>
      </c>
      <c r="X578" s="20" t="str">
        <f>_xll.RssMarket(A578,"決算発表日")</f>
        <v>2024/02/14</v>
      </c>
      <c r="Y578" s="26" t="str">
        <f>IF(C578&gt;_xll.RssMarket(A578,"年初来高値"),"○","×")</f>
        <v>×</v>
      </c>
      <c r="Z578" s="27" t="str">
        <f>IF(C578&lt;=_xll.RssMarket(A578,"年初来安値"),"○","×")</f>
        <v>×</v>
      </c>
    </row>
    <row r="579" spans="1:26" x14ac:dyDescent="0.25">
      <c r="A579" s="49">
        <v>5246</v>
      </c>
      <c r="B579" s="20" t="str">
        <f>_xll.RssMarket(A579,"銘柄名称")</f>
        <v>ＥＬＥＭＥＮＴＳ</v>
      </c>
      <c r="C579" s="21">
        <f>_xll.RssMarket(A579,"現在値")</f>
        <v>649</v>
      </c>
      <c r="D579" s="20" t="str">
        <f>_xll.RssMarket(A579,"現在値詳細時刻")</f>
        <v>15:00:00</v>
      </c>
      <c r="E579" s="22">
        <f>_xll.RssMarket(A579,"前日比")</f>
        <v>100</v>
      </c>
      <c r="F579" s="23">
        <f>_xll.RssMarket(A579,"前日比率")/100</f>
        <v>0.18210000000000001</v>
      </c>
      <c r="G579" s="24" t="str">
        <f>IFERROR(VLOOKUP(A579,取得元!$A$2:$F$501,2,FALSE),"-")</f>
        <v>-</v>
      </c>
      <c r="H579" s="24" t="str">
        <f>IFERROR(VLOOKUP(A579,取得元!$A$2:$F$501,3,FALSE),"-")</f>
        <v>-</v>
      </c>
      <c r="I579" s="24" t="str">
        <f>IFERROR(VLOOKUP(A579,取得元!$A$2:$F$501,4,FALSE),"-")</f>
        <v>-</v>
      </c>
      <c r="J579" s="5" t="str">
        <f>IFERROR(VLOOKUP(A579,取得元!$A$2:$F$501,5,FALSE),"-")</f>
        <v>-</v>
      </c>
      <c r="K579" s="25" t="str">
        <f>IFERROR(VLOOKUP(A579,取得元!$A$2:$F$501,6,FALSE)/100,"-")</f>
        <v>-</v>
      </c>
      <c r="L579" s="21">
        <f>_xll.RssMarket(A579,"始値")</f>
        <v>584</v>
      </c>
      <c r="M579" s="4">
        <f t="shared" si="55"/>
        <v>0.11130136986301364</v>
      </c>
      <c r="N579" s="21">
        <f>_xll.RssMarket(A579,"高値")</f>
        <v>649</v>
      </c>
      <c r="O579" s="4">
        <f t="shared" si="56"/>
        <v>0</v>
      </c>
      <c r="P579" s="21">
        <f>_xll.RssMarket(A579,"安値")</f>
        <v>582</v>
      </c>
      <c r="Q579" s="4">
        <f t="shared" si="57"/>
        <v>0.11512027491408938</v>
      </c>
      <c r="R579" s="21">
        <f>_xll.RssMarket(A579,"後場始値")</f>
        <v>649</v>
      </c>
      <c r="S579" s="25">
        <f t="shared" si="58"/>
        <v>0</v>
      </c>
      <c r="T579" s="7">
        <f>_xll.RssMarket(A579,"出来高加重平均")</f>
        <v>624.25639999999999</v>
      </c>
      <c r="U579" s="4">
        <f t="shared" si="59"/>
        <v>3.9636918420059564E-2</v>
      </c>
      <c r="V579" s="21">
        <f>_xll.RssMarket(A579,"出来高")</f>
        <v>4690100</v>
      </c>
      <c r="W579" s="21">
        <f>_xll.RssMarket(A579,"売買代金")</f>
        <v>2927825</v>
      </c>
      <c r="X579" s="20" t="str">
        <f>_xll.RssMarket(A579,"決算発表日")</f>
        <v>2024/01/15</v>
      </c>
      <c r="Y579" s="26" t="str">
        <f>IF(C579&gt;_xll.RssMarket(A579,"年初来高値"),"○","×")</f>
        <v>×</v>
      </c>
      <c r="Z579" s="27" t="str">
        <f>IF(C579&lt;=_xll.RssMarket(A579,"年初来安値"),"○","×")</f>
        <v>×</v>
      </c>
    </row>
    <row r="580" spans="1:26" x14ac:dyDescent="0.25">
      <c r="A580" s="47">
        <v>5253</v>
      </c>
      <c r="B580" s="20" t="str">
        <f>_xll.RssMarket(A580,"銘柄名称")</f>
        <v>カバー</v>
      </c>
      <c r="C580" s="21">
        <f>_xll.RssMarket(A580,"現在値")</f>
        <v>2806</v>
      </c>
      <c r="D580" s="20" t="str">
        <f>_xll.RssMarket(A580,"現在値詳細時刻")</f>
        <v>15:00:00</v>
      </c>
      <c r="E580" s="22">
        <f>_xll.RssMarket(A580,"前日比")</f>
        <v>-88</v>
      </c>
      <c r="F580" s="23">
        <f>_xll.RssMarket(A580,"前日比率")/100</f>
        <v>-3.04E-2</v>
      </c>
      <c r="G580" s="24" t="str">
        <f>IFERROR(VLOOKUP(A580,取得元!$A$2:$F$501,2,FALSE),"-")</f>
        <v>-</v>
      </c>
      <c r="H580" s="24" t="str">
        <f>IFERROR(VLOOKUP(A580,取得元!$A$2:$F$501,3,FALSE),"-")</f>
        <v>-</v>
      </c>
      <c r="I580" s="24" t="str">
        <f>IFERROR(VLOOKUP(A580,取得元!$A$2:$F$501,4,FALSE),"-")</f>
        <v>-</v>
      </c>
      <c r="J580" s="5" t="str">
        <f>IFERROR(VLOOKUP(A580,取得元!$A$2:$F$501,5,FALSE),"-")</f>
        <v>-</v>
      </c>
      <c r="K580" s="25" t="str">
        <f>IFERROR(VLOOKUP(A580,取得元!$A$2:$F$501,6,FALSE)/100,"-")</f>
        <v>-</v>
      </c>
      <c r="L580" s="21">
        <f>_xll.RssMarket(A580,"始値")</f>
        <v>2894</v>
      </c>
      <c r="M580" s="4">
        <f t="shared" si="55"/>
        <v>-3.0407740152038731E-2</v>
      </c>
      <c r="N580" s="21">
        <f>_xll.RssMarket(A580,"高値")</f>
        <v>2904</v>
      </c>
      <c r="O580" s="4">
        <f t="shared" si="56"/>
        <v>-3.3746556473829181E-2</v>
      </c>
      <c r="P580" s="21">
        <f>_xll.RssMarket(A580,"安値")</f>
        <v>2781</v>
      </c>
      <c r="Q580" s="4">
        <f t="shared" si="57"/>
        <v>8.9895720963681924E-3</v>
      </c>
      <c r="R580" s="21">
        <f>_xll.RssMarket(A580,"後場始値")</f>
        <v>2818</v>
      </c>
      <c r="S580" s="25">
        <f t="shared" si="58"/>
        <v>-4.2583392476933657E-3</v>
      </c>
      <c r="T580" s="7">
        <f>_xll.RssMarket(A580,"出来高加重平均")</f>
        <v>2822.6550000000002</v>
      </c>
      <c r="U580" s="4">
        <f t="shared" si="59"/>
        <v>-5.9004731361077534E-3</v>
      </c>
      <c r="V580" s="21">
        <f>_xll.RssMarket(A580,"出来高")</f>
        <v>3887300</v>
      </c>
      <c r="W580" s="21">
        <f>_xll.RssMarket(A580,"売買代金")</f>
        <v>10972507</v>
      </c>
      <c r="X580" s="20" t="str">
        <f>_xll.RssMarket(A580,"決算発表日")</f>
        <v>2024/02/08</v>
      </c>
      <c r="Y580" s="26" t="str">
        <f>IF(C580&gt;_xll.RssMarket(A580,"年初来高値"),"○","×")</f>
        <v>×</v>
      </c>
      <c r="Z580" s="27" t="str">
        <f>IF(C580&lt;=_xll.RssMarket(A580,"年初来安値"),"○","×")</f>
        <v>×</v>
      </c>
    </row>
    <row r="581" spans="1:26" x14ac:dyDescent="0.25">
      <c r="A581" s="49">
        <v>5262</v>
      </c>
      <c r="B581" s="20" t="str">
        <f>_xll.RssMarket(A581,"銘柄名称")</f>
        <v>日本ヒユ－ム</v>
      </c>
      <c r="C581" s="21">
        <f>_xll.RssMarket(A581,"現在値")</f>
        <v>904</v>
      </c>
      <c r="D581" s="20" t="str">
        <f>_xll.RssMarket(A581,"現在値詳細時刻")</f>
        <v>15:00:00</v>
      </c>
      <c r="E581" s="22">
        <f>_xll.RssMarket(A581,"前日比")</f>
        <v>2</v>
      </c>
      <c r="F581" s="23">
        <f>_xll.RssMarket(A581,"前日比率")/100</f>
        <v>2.2000000000000001E-3</v>
      </c>
      <c r="G581" s="24" t="str">
        <f>IFERROR(VLOOKUP(A581,取得元!$A$2:$F$501,2,FALSE),"-")</f>
        <v>-</v>
      </c>
      <c r="H581" s="24" t="str">
        <f>IFERROR(VLOOKUP(A581,取得元!$A$2:$F$501,3,FALSE),"-")</f>
        <v>-</v>
      </c>
      <c r="I581" s="24" t="str">
        <f>IFERROR(VLOOKUP(A581,取得元!$A$2:$F$501,4,FALSE),"-")</f>
        <v>-</v>
      </c>
      <c r="J581" s="5" t="str">
        <f>IFERROR(VLOOKUP(A581,取得元!$A$2:$F$501,5,FALSE),"-")</f>
        <v>-</v>
      </c>
      <c r="K581" s="25" t="str">
        <f>IFERROR(VLOOKUP(A581,取得元!$A$2:$F$501,6,FALSE)/100,"-")</f>
        <v>-</v>
      </c>
      <c r="L581" s="21">
        <f>_xll.RssMarket(A581,"始値")</f>
        <v>901</v>
      </c>
      <c r="M581" s="4">
        <f t="shared" si="55"/>
        <v>3.3296337402886067E-3</v>
      </c>
      <c r="N581" s="21">
        <f>_xll.RssMarket(A581,"高値")</f>
        <v>909</v>
      </c>
      <c r="O581" s="4">
        <f t="shared" si="56"/>
        <v>-5.5005500550054931E-3</v>
      </c>
      <c r="P581" s="21">
        <f>_xll.RssMarket(A581,"安値")</f>
        <v>899</v>
      </c>
      <c r="Q581" s="4">
        <f t="shared" si="57"/>
        <v>5.5617352614014681E-3</v>
      </c>
      <c r="R581" s="21">
        <f>_xll.RssMarket(A581,"後場始値")</f>
        <v>900</v>
      </c>
      <c r="S581" s="25">
        <f t="shared" si="58"/>
        <v>4.4444444444444731E-3</v>
      </c>
      <c r="T581" s="7">
        <f>_xll.RssMarket(A581,"出来高加重平均")</f>
        <v>904.85820000000001</v>
      </c>
      <c r="U581" s="4">
        <f t="shared" si="59"/>
        <v>-9.4843589857507293E-4</v>
      </c>
      <c r="V581" s="21">
        <f>_xll.RssMarket(A581,"出来高")</f>
        <v>24700</v>
      </c>
      <c r="W581" s="21">
        <f>_xll.RssMarket(A581,"売買代金")</f>
        <v>22350</v>
      </c>
      <c r="X581" s="20" t="str">
        <f>_xll.RssMarket(A581,"決算発表日")</f>
        <v>2024/02/09</v>
      </c>
      <c r="Y581" s="26" t="str">
        <f>IF(C581&gt;_xll.RssMarket(A581,"年初来高値"),"○","×")</f>
        <v>×</v>
      </c>
      <c r="Z581" s="27" t="str">
        <f>IF(C581&lt;=_xll.RssMarket(A581,"年初来安値"),"○","×")</f>
        <v>×</v>
      </c>
    </row>
    <row r="582" spans="1:26" x14ac:dyDescent="0.25">
      <c r="A582" s="47">
        <v>5269</v>
      </c>
      <c r="B582" s="20" t="str">
        <f>_xll.RssMarket(A582,"銘柄名称")</f>
        <v>日本コンクリ－ト</v>
      </c>
      <c r="C582" s="21">
        <f>_xll.RssMarket(A582,"現在値")</f>
        <v>473</v>
      </c>
      <c r="D582" s="20" t="str">
        <f>_xll.RssMarket(A582,"現在値詳細時刻")</f>
        <v>15:00:00</v>
      </c>
      <c r="E582" s="22">
        <f>_xll.RssMarket(A582,"前日比")</f>
        <v>-14</v>
      </c>
      <c r="F582" s="23">
        <f>_xll.RssMarket(A582,"前日比率")/100</f>
        <v>-2.87E-2</v>
      </c>
      <c r="G582" s="24" t="str">
        <f>IFERROR(VLOOKUP(A582,取得元!$A$2:$F$501,2,FALSE),"-")</f>
        <v>-</v>
      </c>
      <c r="H582" s="24" t="str">
        <f>IFERROR(VLOOKUP(A582,取得元!$A$2:$F$501,3,FALSE),"-")</f>
        <v>-</v>
      </c>
      <c r="I582" s="24" t="str">
        <f>IFERROR(VLOOKUP(A582,取得元!$A$2:$F$501,4,FALSE),"-")</f>
        <v>-</v>
      </c>
      <c r="J582" s="5" t="str">
        <f>IFERROR(VLOOKUP(A582,取得元!$A$2:$F$501,5,FALSE),"-")</f>
        <v>-</v>
      </c>
      <c r="K582" s="25" t="str">
        <f>IFERROR(VLOOKUP(A582,取得元!$A$2:$F$501,6,FALSE)/100,"-")</f>
        <v>-</v>
      </c>
      <c r="L582" s="21">
        <f>_xll.RssMarket(A582,"始値")</f>
        <v>483</v>
      </c>
      <c r="M582" s="4">
        <f t="shared" si="55"/>
        <v>-2.0703933747411973E-2</v>
      </c>
      <c r="N582" s="21">
        <f>_xll.RssMarket(A582,"高値")</f>
        <v>483</v>
      </c>
      <c r="O582" s="4">
        <f t="shared" si="56"/>
        <v>-2.0703933747411973E-2</v>
      </c>
      <c r="P582" s="21">
        <f>_xll.RssMarket(A582,"安値")</f>
        <v>466</v>
      </c>
      <c r="Q582" s="4">
        <f t="shared" si="57"/>
        <v>1.5021459227467782E-2</v>
      </c>
      <c r="R582" s="21">
        <f>_xll.RssMarket(A582,"後場始値")</f>
        <v>468</v>
      </c>
      <c r="S582" s="25">
        <f t="shared" si="58"/>
        <v>1.0683760683760646E-2</v>
      </c>
      <c r="T582" s="7">
        <f>_xll.RssMarket(A582,"出来高加重平均")</f>
        <v>473.76170000000002</v>
      </c>
      <c r="U582" s="4">
        <f t="shared" si="59"/>
        <v>-1.6077703199731674E-3</v>
      </c>
      <c r="V582" s="21">
        <f>_xll.RssMarket(A582,"出来高")</f>
        <v>809200</v>
      </c>
      <c r="W582" s="21">
        <f>_xll.RssMarket(A582,"売買代金")</f>
        <v>383368</v>
      </c>
      <c r="X582" s="20" t="str">
        <f>_xll.RssMarket(A582,"決算発表日")</f>
        <v>-</v>
      </c>
      <c r="Y582" s="26" t="str">
        <f>IF(C582&gt;_xll.RssMarket(A582,"年初来高値"),"○","×")</f>
        <v>×</v>
      </c>
      <c r="Z582" s="27" t="str">
        <f>IF(C582&lt;=_xll.RssMarket(A582,"年初来安値"),"○","×")</f>
        <v>×</v>
      </c>
    </row>
    <row r="583" spans="1:26" x14ac:dyDescent="0.25">
      <c r="A583" s="49">
        <v>5277</v>
      </c>
      <c r="B583" s="20" t="str">
        <f>_xll.RssMarket(A583,"銘柄名称")</f>
        <v>スパンクリート</v>
      </c>
      <c r="C583" s="21">
        <f>_xll.RssMarket(A583,"現在値")</f>
        <v>266</v>
      </c>
      <c r="D583" s="20" t="str">
        <f>_xll.RssMarket(A583,"現在値詳細時刻")</f>
        <v>15:00:00</v>
      </c>
      <c r="E583" s="22">
        <f>_xll.RssMarket(A583,"前日比")</f>
        <v>0</v>
      </c>
      <c r="F583" s="23">
        <f>_xll.RssMarket(A583,"前日比率")/100</f>
        <v>0</v>
      </c>
      <c r="G583" s="24" t="str">
        <f>IFERROR(VLOOKUP(A583,取得元!$A$2:$F$501,2,FALSE),"-")</f>
        <v>-</v>
      </c>
      <c r="H583" s="24" t="str">
        <f>IFERROR(VLOOKUP(A583,取得元!$A$2:$F$501,3,FALSE),"-")</f>
        <v>-</v>
      </c>
      <c r="I583" s="24" t="str">
        <f>IFERROR(VLOOKUP(A583,取得元!$A$2:$F$501,4,FALSE),"-")</f>
        <v>-</v>
      </c>
      <c r="J583" s="5" t="str">
        <f>IFERROR(VLOOKUP(A583,取得元!$A$2:$F$501,5,FALSE),"-")</f>
        <v>-</v>
      </c>
      <c r="K583" s="25" t="str">
        <f>IFERROR(VLOOKUP(A583,取得元!$A$2:$F$501,6,FALSE)/100,"-")</f>
        <v>-</v>
      </c>
      <c r="L583" s="21">
        <f>_xll.RssMarket(A583,"始値")</f>
        <v>266</v>
      </c>
      <c r="M583" s="4">
        <f t="shared" si="55"/>
        <v>0</v>
      </c>
      <c r="N583" s="21">
        <f>_xll.RssMarket(A583,"高値")</f>
        <v>266</v>
      </c>
      <c r="O583" s="4">
        <f t="shared" si="56"/>
        <v>0</v>
      </c>
      <c r="P583" s="21">
        <f>_xll.RssMarket(A583,"安値")</f>
        <v>262</v>
      </c>
      <c r="Q583" s="4">
        <f t="shared" si="57"/>
        <v>1.5267175572519109E-2</v>
      </c>
      <c r="R583" s="21">
        <f>_xll.RssMarket(A583,"後場始値")</f>
        <v>265</v>
      </c>
      <c r="S583" s="25">
        <f t="shared" si="58"/>
        <v>3.7735849056603765E-3</v>
      </c>
      <c r="T583" s="7">
        <f>_xll.RssMarket(A583,"出来高加重平均")</f>
        <v>263.92849999999999</v>
      </c>
      <c r="U583" s="4">
        <f t="shared" si="59"/>
        <v>7.8487166031708799E-3</v>
      </c>
      <c r="V583" s="21">
        <f>_xll.RssMarket(A583,"出来高")</f>
        <v>8400</v>
      </c>
      <c r="W583" s="21">
        <f>_xll.RssMarket(A583,"売買代金")</f>
        <v>2217</v>
      </c>
      <c r="X583" s="20" t="str">
        <f>_xll.RssMarket(A583,"決算発表日")</f>
        <v>2024/02/13</v>
      </c>
      <c r="Y583" s="26" t="str">
        <f>IF(C583&gt;_xll.RssMarket(A583,"年初来高値"),"○","×")</f>
        <v>×</v>
      </c>
      <c r="Z583" s="27" t="str">
        <f>IF(C583&lt;=_xll.RssMarket(A583,"年初来安値"),"○","×")</f>
        <v>×</v>
      </c>
    </row>
    <row r="584" spans="1:26" x14ac:dyDescent="0.25">
      <c r="A584" s="47">
        <v>5285</v>
      </c>
      <c r="B584" s="20" t="str">
        <f>_xll.RssMarket(A584,"銘柄名称")</f>
        <v>ヤマックス</v>
      </c>
      <c r="C584" s="21">
        <f>_xll.RssMarket(A584,"現在値")</f>
        <v>1379</v>
      </c>
      <c r="D584" s="20" t="str">
        <f>_xll.RssMarket(A584,"現在値詳細時刻")</f>
        <v>15:00:00</v>
      </c>
      <c r="E584" s="22">
        <f>_xll.RssMarket(A584,"前日比")</f>
        <v>116</v>
      </c>
      <c r="F584" s="23">
        <f>_xll.RssMarket(A584,"前日比率")/100</f>
        <v>9.1799999999999993E-2</v>
      </c>
      <c r="G584" s="24" t="str">
        <f>IFERROR(VLOOKUP(A584,取得元!$A$2:$F$501,2,FALSE),"-")</f>
        <v>-</v>
      </c>
      <c r="H584" s="24" t="str">
        <f>IFERROR(VLOOKUP(A584,取得元!$A$2:$F$501,3,FALSE),"-")</f>
        <v>-</v>
      </c>
      <c r="I584" s="24" t="str">
        <f>IFERROR(VLOOKUP(A584,取得元!$A$2:$F$501,4,FALSE),"-")</f>
        <v>-</v>
      </c>
      <c r="J584" s="5" t="str">
        <f>IFERROR(VLOOKUP(A584,取得元!$A$2:$F$501,5,FALSE),"-")</f>
        <v>-</v>
      </c>
      <c r="K584" s="25" t="str">
        <f>IFERROR(VLOOKUP(A584,取得元!$A$2:$F$501,6,FALSE)/100,"-")</f>
        <v>-</v>
      </c>
      <c r="L584" s="21">
        <f>_xll.RssMarket(A584,"始値")</f>
        <v>1323</v>
      </c>
      <c r="M584" s="4">
        <f t="shared" si="55"/>
        <v>4.2328042328042326E-2</v>
      </c>
      <c r="N584" s="21">
        <f>_xll.RssMarket(A584,"高値")</f>
        <v>1379</v>
      </c>
      <c r="O584" s="4">
        <f t="shared" si="56"/>
        <v>0</v>
      </c>
      <c r="P584" s="21">
        <f>_xll.RssMarket(A584,"安値")</f>
        <v>1299</v>
      </c>
      <c r="Q584" s="4">
        <f t="shared" si="57"/>
        <v>6.1585835257890631E-2</v>
      </c>
      <c r="R584" s="21">
        <f>_xll.RssMarket(A584,"後場始値")</f>
        <v>1341</v>
      </c>
      <c r="S584" s="25">
        <f t="shared" si="58"/>
        <v>2.8337061894108784E-2</v>
      </c>
      <c r="T584" s="7">
        <f>_xll.RssMarket(A584,"出来高加重平均")</f>
        <v>1342.5569</v>
      </c>
      <c r="U584" s="4">
        <f t="shared" si="59"/>
        <v>2.7144547840020739E-2</v>
      </c>
      <c r="V584" s="21">
        <f>_xll.RssMarket(A584,"出来高")</f>
        <v>346500</v>
      </c>
      <c r="W584" s="21">
        <f>_xll.RssMarket(A584,"売買代金")</f>
        <v>465196</v>
      </c>
      <c r="X584" s="20" t="str">
        <f>_xll.RssMarket(A584,"決算発表日")</f>
        <v>2024/02/08</v>
      </c>
      <c r="Y584" s="26" t="str">
        <f>IF(C584&gt;_xll.RssMarket(A584,"年初来高値"),"○","×")</f>
        <v>○</v>
      </c>
      <c r="Z584" s="27" t="str">
        <f>IF(C584&lt;=_xll.RssMarket(A584,"年初来安値"),"○","×")</f>
        <v>×</v>
      </c>
    </row>
    <row r="585" spans="1:26" x14ac:dyDescent="0.25">
      <c r="A585" s="49">
        <v>5287</v>
      </c>
      <c r="B585" s="20" t="str">
        <f>_xll.RssMarket(A585,"銘柄名称")</f>
        <v>イトーヨーギョー</v>
      </c>
      <c r="C585" s="21">
        <f>_xll.RssMarket(A585,"現在値")</f>
        <v>591</v>
      </c>
      <c r="D585" s="20" t="str">
        <f>_xll.RssMarket(A585,"現在値詳細時刻")</f>
        <v>13:28:30</v>
      </c>
      <c r="E585" s="22">
        <f>_xll.RssMarket(A585,"前日比")</f>
        <v>3</v>
      </c>
      <c r="F585" s="23">
        <f>_xll.RssMarket(A585,"前日比率")/100</f>
        <v>5.1000000000000004E-3</v>
      </c>
      <c r="G585" s="24" t="str">
        <f>IFERROR(VLOOKUP(A585,取得元!$A$2:$F$501,2,FALSE),"-")</f>
        <v>-</v>
      </c>
      <c r="H585" s="24" t="str">
        <f>IFERROR(VLOOKUP(A585,取得元!$A$2:$F$501,3,FALSE),"-")</f>
        <v>-</v>
      </c>
      <c r="I585" s="24" t="str">
        <f>IFERROR(VLOOKUP(A585,取得元!$A$2:$F$501,4,FALSE),"-")</f>
        <v>-</v>
      </c>
      <c r="J585" s="5" t="str">
        <f>IFERROR(VLOOKUP(A585,取得元!$A$2:$F$501,5,FALSE),"-")</f>
        <v>-</v>
      </c>
      <c r="K585" s="25" t="str">
        <f>IFERROR(VLOOKUP(A585,取得元!$A$2:$F$501,6,FALSE)/100,"-")</f>
        <v>-</v>
      </c>
      <c r="L585" s="21">
        <f>_xll.RssMarket(A585,"始値")</f>
        <v>590</v>
      </c>
      <c r="M585" s="4">
        <f t="shared" si="55"/>
        <v>1.6949152542373724E-3</v>
      </c>
      <c r="N585" s="21">
        <f>_xll.RssMarket(A585,"高値")</f>
        <v>591</v>
      </c>
      <c r="O585" s="4">
        <f t="shared" si="56"/>
        <v>0</v>
      </c>
      <c r="P585" s="21">
        <f>_xll.RssMarket(A585,"安値")</f>
        <v>586</v>
      </c>
      <c r="Q585" s="4">
        <f t="shared" si="57"/>
        <v>8.5324232081911422E-3</v>
      </c>
      <c r="R585" s="21">
        <f>_xll.RssMarket(A585,"後場始値")</f>
        <v>590</v>
      </c>
      <c r="S585" s="25">
        <f t="shared" si="58"/>
        <v>1.6949152542373724E-3</v>
      </c>
      <c r="T585" s="7">
        <f>_xll.RssMarket(A585,"出来高加重平均")</f>
        <v>588.57140000000004</v>
      </c>
      <c r="U585" s="4">
        <f t="shared" si="59"/>
        <v>4.1262623362261497E-3</v>
      </c>
      <c r="V585" s="21">
        <f>_xll.RssMarket(A585,"出来高")</f>
        <v>700</v>
      </c>
      <c r="W585" s="21">
        <f>_xll.RssMarket(A585,"売買代金")</f>
        <v>412</v>
      </c>
      <c r="X585" s="20" t="str">
        <f>_xll.RssMarket(A585,"決算発表日")</f>
        <v>2024/02/09</v>
      </c>
      <c r="Y585" s="26" t="str">
        <f>IF(C585&gt;_xll.RssMarket(A585,"年初来高値"),"○","×")</f>
        <v>×</v>
      </c>
      <c r="Z585" s="27" t="str">
        <f>IF(C585&lt;=_xll.RssMarket(A585,"年初来安値"),"○","×")</f>
        <v>×</v>
      </c>
    </row>
    <row r="586" spans="1:26" x14ac:dyDescent="0.25">
      <c r="A586" s="47">
        <v>5334</v>
      </c>
      <c r="B586" s="20" t="str">
        <f>_xll.RssMarket(A586,"銘柄名称")</f>
        <v>日本特殊陶業</v>
      </c>
      <c r="C586" s="21">
        <f>_xll.RssMarket(A586,"現在値")</f>
        <v>4229</v>
      </c>
      <c r="D586" s="20" t="str">
        <f>_xll.RssMarket(A586,"現在値詳細時刻")</f>
        <v>15:00:00</v>
      </c>
      <c r="E586" s="22">
        <f>_xll.RssMarket(A586,"前日比")</f>
        <v>157</v>
      </c>
      <c r="F586" s="23">
        <f>_xll.RssMarket(A586,"前日比率")/100</f>
        <v>3.8599999999999995E-2</v>
      </c>
      <c r="G586" s="24" t="str">
        <f>IFERROR(VLOOKUP(A586,取得元!$A$2:$F$501,2,FALSE),"-")</f>
        <v>-</v>
      </c>
      <c r="H586" s="24" t="str">
        <f>IFERROR(VLOOKUP(A586,取得元!$A$2:$F$501,3,FALSE),"-")</f>
        <v>-</v>
      </c>
      <c r="I586" s="24" t="str">
        <f>IFERROR(VLOOKUP(A586,取得元!$A$2:$F$501,4,FALSE),"-")</f>
        <v>-</v>
      </c>
      <c r="J586" s="5" t="str">
        <f>IFERROR(VLOOKUP(A586,取得元!$A$2:$F$501,5,FALSE),"-")</f>
        <v>-</v>
      </c>
      <c r="K586" s="25" t="str">
        <f>IFERROR(VLOOKUP(A586,取得元!$A$2:$F$501,6,FALSE)/100,"-")</f>
        <v>-</v>
      </c>
      <c r="L586" s="21">
        <f>_xll.RssMarket(A586,"始値")</f>
        <v>4062</v>
      </c>
      <c r="M586" s="4">
        <f t="shared" si="55"/>
        <v>4.1112752338749337E-2</v>
      </c>
      <c r="N586" s="21">
        <f>_xll.RssMarket(A586,"高値")</f>
        <v>4288</v>
      </c>
      <c r="O586" s="4">
        <f t="shared" si="56"/>
        <v>-1.3759328358208922E-2</v>
      </c>
      <c r="P586" s="21">
        <f>_xll.RssMarket(A586,"安値")</f>
        <v>4054</v>
      </c>
      <c r="Q586" s="4">
        <f t="shared" si="57"/>
        <v>4.3167242229896319E-2</v>
      </c>
      <c r="R586" s="21">
        <f>_xll.RssMarket(A586,"後場始値")</f>
        <v>4242</v>
      </c>
      <c r="S586" s="25">
        <f t="shared" si="58"/>
        <v>-3.0645921735030779E-3</v>
      </c>
      <c r="T586" s="7">
        <f>_xll.RssMarket(A586,"出来高加重平均")</f>
        <v>4214.3055000000004</v>
      </c>
      <c r="U586" s="4">
        <f t="shared" si="59"/>
        <v>3.4868141381776407E-3</v>
      </c>
      <c r="V586" s="21">
        <f>_xll.RssMarket(A586,"出来高")</f>
        <v>2393200</v>
      </c>
      <c r="W586" s="21">
        <f>_xll.RssMarket(A586,"売買代金")</f>
        <v>10085676</v>
      </c>
      <c r="X586" s="20" t="str">
        <f>_xll.RssMarket(A586,"決算発表日")</f>
        <v>2024/01/31</v>
      </c>
      <c r="Y586" s="26" t="str">
        <f>IF(C586&gt;_xll.RssMarket(A586,"年初来高値"),"○","×")</f>
        <v>○</v>
      </c>
      <c r="Z586" s="27" t="str">
        <f>IF(C586&lt;=_xll.RssMarket(A586,"年初来安値"),"○","×")</f>
        <v>×</v>
      </c>
    </row>
    <row r="587" spans="1:26" x14ac:dyDescent="0.25">
      <c r="A587" s="49">
        <v>5341</v>
      </c>
      <c r="B587" s="20" t="str">
        <f>_xll.RssMarket(A587,"銘柄名称")</f>
        <v>ＡＳＡＨＩＥＩＴＯＨＬＤＧＳ</v>
      </c>
      <c r="C587" s="21">
        <f>_xll.RssMarket(A587,"現在値")</f>
        <v>429</v>
      </c>
      <c r="D587" s="20" t="str">
        <f>_xll.RssMarket(A587,"現在値詳細時刻")</f>
        <v>15:00:00</v>
      </c>
      <c r="E587" s="22">
        <f>_xll.RssMarket(A587,"前日比")</f>
        <v>-9</v>
      </c>
      <c r="F587" s="23">
        <f>_xll.RssMarket(A587,"前日比率")/100</f>
        <v>-2.0499999999999997E-2</v>
      </c>
      <c r="G587" s="24" t="str">
        <f>IFERROR(VLOOKUP(A587,取得元!$A$2:$F$501,2,FALSE),"-")</f>
        <v>-</v>
      </c>
      <c r="H587" s="24" t="str">
        <f>IFERROR(VLOOKUP(A587,取得元!$A$2:$F$501,3,FALSE),"-")</f>
        <v>-</v>
      </c>
      <c r="I587" s="24" t="str">
        <f>IFERROR(VLOOKUP(A587,取得元!$A$2:$F$501,4,FALSE),"-")</f>
        <v>-</v>
      </c>
      <c r="J587" s="5" t="str">
        <f>IFERROR(VLOOKUP(A587,取得元!$A$2:$F$501,5,FALSE),"-")</f>
        <v>-</v>
      </c>
      <c r="K587" s="25" t="str">
        <f>IFERROR(VLOOKUP(A587,取得元!$A$2:$F$501,6,FALSE)/100,"-")</f>
        <v>-</v>
      </c>
      <c r="L587" s="21">
        <f>_xll.RssMarket(A587,"始値")</f>
        <v>431</v>
      </c>
      <c r="M587" s="4">
        <f t="shared" si="55"/>
        <v>-4.6403712296984034E-3</v>
      </c>
      <c r="N587" s="21">
        <f>_xll.RssMarket(A587,"高値")</f>
        <v>435</v>
      </c>
      <c r="O587" s="4">
        <f t="shared" si="56"/>
        <v>-1.379310344827589E-2</v>
      </c>
      <c r="P587" s="21">
        <f>_xll.RssMarket(A587,"安値")</f>
        <v>426</v>
      </c>
      <c r="Q587" s="4">
        <f t="shared" si="57"/>
        <v>7.0422535211267512E-3</v>
      </c>
      <c r="R587" s="21">
        <f>_xll.RssMarket(A587,"後場始値")</f>
        <v>429</v>
      </c>
      <c r="S587" s="25">
        <f t="shared" si="58"/>
        <v>0</v>
      </c>
      <c r="T587" s="7">
        <f>_xll.RssMarket(A587,"出来高加重平均")</f>
        <v>430.13569999999999</v>
      </c>
      <c r="U587" s="4">
        <f t="shared" si="59"/>
        <v>-2.6403295518134806E-3</v>
      </c>
      <c r="V587" s="21">
        <f>_xll.RssMarket(A587,"出来高")</f>
        <v>22100</v>
      </c>
      <c r="W587" s="21">
        <f>_xll.RssMarket(A587,"売買代金")</f>
        <v>9506</v>
      </c>
      <c r="X587" s="20" t="str">
        <f>_xll.RssMarket(A587,"決算発表日")</f>
        <v>2024/01/19</v>
      </c>
      <c r="Y587" s="26" t="str">
        <f>IF(C587&gt;_xll.RssMarket(A587,"年初来高値"),"○","×")</f>
        <v>×</v>
      </c>
      <c r="Z587" s="27" t="str">
        <f>IF(C587&lt;=_xll.RssMarket(A587,"年初来安値"),"○","×")</f>
        <v>×</v>
      </c>
    </row>
    <row r="588" spans="1:26" x14ac:dyDescent="0.25">
      <c r="A588" s="47">
        <v>5357</v>
      </c>
      <c r="B588" s="20" t="str">
        <f>_xll.RssMarket(A588,"銘柄名称")</f>
        <v>ヨータイ</v>
      </c>
      <c r="C588" s="21">
        <f>_xll.RssMarket(A588,"現在値")</f>
        <v>1459</v>
      </c>
      <c r="D588" s="20" t="str">
        <f>_xll.RssMarket(A588,"現在値詳細時刻")</f>
        <v>15:00:00</v>
      </c>
      <c r="E588" s="22">
        <f>_xll.RssMarket(A588,"前日比")</f>
        <v>9</v>
      </c>
      <c r="F588" s="23">
        <f>_xll.RssMarket(A588,"前日比率")/100</f>
        <v>6.1999999999999998E-3</v>
      </c>
      <c r="G588" s="24" t="str">
        <f>IFERROR(VLOOKUP(A588,取得元!$A$2:$F$501,2,FALSE),"-")</f>
        <v>-</v>
      </c>
      <c r="H588" s="24" t="str">
        <f>IFERROR(VLOOKUP(A588,取得元!$A$2:$F$501,3,FALSE),"-")</f>
        <v>-</v>
      </c>
      <c r="I588" s="24" t="str">
        <f>IFERROR(VLOOKUP(A588,取得元!$A$2:$F$501,4,FALSE),"-")</f>
        <v>-</v>
      </c>
      <c r="J588" s="5" t="str">
        <f>IFERROR(VLOOKUP(A588,取得元!$A$2:$F$501,5,FALSE),"-")</f>
        <v>-</v>
      </c>
      <c r="K588" s="25" t="str">
        <f>IFERROR(VLOOKUP(A588,取得元!$A$2:$F$501,6,FALSE)/100,"-")</f>
        <v>-</v>
      </c>
      <c r="L588" s="21">
        <f>_xll.RssMarket(A588,"始値")</f>
        <v>1458</v>
      </c>
      <c r="M588" s="4">
        <f t="shared" si="55"/>
        <v>6.8587105624140499E-4</v>
      </c>
      <c r="N588" s="21">
        <f>_xll.RssMarket(A588,"高値")</f>
        <v>1468</v>
      </c>
      <c r="O588" s="4">
        <f t="shared" si="56"/>
        <v>-6.1307901907357021E-3</v>
      </c>
      <c r="P588" s="21">
        <f>_xll.RssMarket(A588,"安値")</f>
        <v>1452</v>
      </c>
      <c r="Q588" s="4">
        <f t="shared" si="57"/>
        <v>4.8209366391185338E-3</v>
      </c>
      <c r="R588" s="21">
        <f>_xll.RssMarket(A588,"後場始値")</f>
        <v>1455</v>
      </c>
      <c r="S588" s="25">
        <f t="shared" si="58"/>
        <v>2.7491408934707806E-3</v>
      </c>
      <c r="T588" s="7">
        <f>_xll.RssMarket(A588,"出来高加重平均")</f>
        <v>1459.04</v>
      </c>
      <c r="U588" s="4">
        <f t="shared" si="59"/>
        <v>-2.741528676386551E-5</v>
      </c>
      <c r="V588" s="21">
        <f>_xll.RssMarket(A588,"出来高")</f>
        <v>12500</v>
      </c>
      <c r="W588" s="21">
        <f>_xll.RssMarket(A588,"売買代金")</f>
        <v>18238</v>
      </c>
      <c r="X588" s="20" t="str">
        <f>_xll.RssMarket(A588,"決算発表日")</f>
        <v>2024/02/09</v>
      </c>
      <c r="Y588" s="26" t="str">
        <f>IF(C588&gt;_xll.RssMarket(A588,"年初来高値"),"○","×")</f>
        <v>×</v>
      </c>
      <c r="Z588" s="27" t="str">
        <f>IF(C588&lt;=_xll.RssMarket(A588,"年初来安値"),"○","×")</f>
        <v>×</v>
      </c>
    </row>
    <row r="589" spans="1:26" x14ac:dyDescent="0.25">
      <c r="A589" s="49">
        <v>5381</v>
      </c>
      <c r="B589" s="20" t="str">
        <f>_xll.RssMarket(A589,"銘柄名称")</f>
        <v>ＭＩＰＯＸ</v>
      </c>
      <c r="C589" s="21">
        <f>_xll.RssMarket(A589,"現在値")</f>
        <v>477</v>
      </c>
      <c r="D589" s="20" t="str">
        <f>_xll.RssMarket(A589,"現在値詳細時刻")</f>
        <v>15:00:00</v>
      </c>
      <c r="E589" s="22">
        <f>_xll.RssMarket(A589,"前日比")</f>
        <v>11</v>
      </c>
      <c r="F589" s="23">
        <f>_xll.RssMarket(A589,"前日比率")/100</f>
        <v>2.3599999999999999E-2</v>
      </c>
      <c r="G589" s="24" t="str">
        <f>IFERROR(VLOOKUP(A589,取得元!$A$2:$F$501,2,FALSE),"-")</f>
        <v>-</v>
      </c>
      <c r="H589" s="24" t="str">
        <f>IFERROR(VLOOKUP(A589,取得元!$A$2:$F$501,3,FALSE),"-")</f>
        <v>-</v>
      </c>
      <c r="I589" s="24" t="str">
        <f>IFERROR(VLOOKUP(A589,取得元!$A$2:$F$501,4,FALSE),"-")</f>
        <v>-</v>
      </c>
      <c r="J589" s="5" t="str">
        <f>IFERROR(VLOOKUP(A589,取得元!$A$2:$F$501,5,FALSE),"-")</f>
        <v>-</v>
      </c>
      <c r="K589" s="25" t="str">
        <f>IFERROR(VLOOKUP(A589,取得元!$A$2:$F$501,6,FALSE)/100,"-")</f>
        <v>-</v>
      </c>
      <c r="L589" s="21">
        <f>_xll.RssMarket(A589,"始値")</f>
        <v>466</v>
      </c>
      <c r="M589" s="4">
        <f t="shared" si="55"/>
        <v>2.3605150214592197E-2</v>
      </c>
      <c r="N589" s="21">
        <f>_xll.RssMarket(A589,"高値")</f>
        <v>477</v>
      </c>
      <c r="O589" s="4">
        <f t="shared" si="56"/>
        <v>0</v>
      </c>
      <c r="P589" s="21">
        <f>_xll.RssMarket(A589,"安値")</f>
        <v>466</v>
      </c>
      <c r="Q589" s="4">
        <f t="shared" si="57"/>
        <v>2.3605150214592197E-2</v>
      </c>
      <c r="R589" s="21">
        <f>_xll.RssMarket(A589,"後場始値")</f>
        <v>477</v>
      </c>
      <c r="S589" s="25">
        <f t="shared" si="58"/>
        <v>0</v>
      </c>
      <c r="T589" s="7">
        <f>_xll.RssMarket(A589,"出来高加重平均")</f>
        <v>473.2192</v>
      </c>
      <c r="U589" s="4">
        <f t="shared" si="59"/>
        <v>7.9895321238021566E-3</v>
      </c>
      <c r="V589" s="21">
        <f>_xll.RssMarket(A589,"出来高")</f>
        <v>93500</v>
      </c>
      <c r="W589" s="21">
        <f>_xll.RssMarket(A589,"売買代金")</f>
        <v>44246</v>
      </c>
      <c r="X589" s="20" t="str">
        <f>_xll.RssMarket(A589,"決算発表日")</f>
        <v>-</v>
      </c>
      <c r="Y589" s="26" t="str">
        <f>IF(C589&gt;_xll.RssMarket(A589,"年初来高値"),"○","×")</f>
        <v>×</v>
      </c>
      <c r="Z589" s="27" t="str">
        <f>IF(C589&lt;=_xll.RssMarket(A589,"年初来安値"),"○","×")</f>
        <v>×</v>
      </c>
    </row>
    <row r="590" spans="1:26" x14ac:dyDescent="0.25">
      <c r="A590" s="47">
        <v>5401</v>
      </c>
      <c r="B590" s="20" t="str">
        <f>_xll.RssMarket(A590,"銘柄名称")</f>
        <v>日本製鉄</v>
      </c>
      <c r="C590" s="21">
        <f>_xll.RssMarket(A590,"現在値")</f>
        <v>3565</v>
      </c>
      <c r="D590" s="20" t="str">
        <f>_xll.RssMarket(A590,"現在値詳細時刻")</f>
        <v>15:00:00</v>
      </c>
      <c r="E590" s="22">
        <f>_xll.RssMarket(A590,"前日比")</f>
        <v>50</v>
      </c>
      <c r="F590" s="23">
        <f>_xll.RssMarket(A590,"前日比率")/100</f>
        <v>1.4199999999999999E-2</v>
      </c>
      <c r="G590" s="24" t="str">
        <f>IFERROR(VLOOKUP(A590,取得元!$A$2:$F$501,2,FALSE),"-")</f>
        <v>-</v>
      </c>
      <c r="H590" s="24" t="str">
        <f>IFERROR(VLOOKUP(A590,取得元!$A$2:$F$501,3,FALSE),"-")</f>
        <v>-</v>
      </c>
      <c r="I590" s="24" t="str">
        <f>IFERROR(VLOOKUP(A590,取得元!$A$2:$F$501,4,FALSE),"-")</f>
        <v>-</v>
      </c>
      <c r="J590" s="5" t="str">
        <f>IFERROR(VLOOKUP(A590,取得元!$A$2:$F$501,5,FALSE),"-")</f>
        <v>-</v>
      </c>
      <c r="K590" s="25" t="str">
        <f>IFERROR(VLOOKUP(A590,取得元!$A$2:$F$501,6,FALSE)/100,"-")</f>
        <v>-</v>
      </c>
      <c r="L590" s="21">
        <f>_xll.RssMarket(A590,"始値")</f>
        <v>3515</v>
      </c>
      <c r="M590" s="4">
        <f t="shared" si="55"/>
        <v>1.4224751066856278E-2</v>
      </c>
      <c r="N590" s="21">
        <f>_xll.RssMarket(A590,"高値")</f>
        <v>3566</v>
      </c>
      <c r="O590" s="4">
        <f t="shared" si="56"/>
        <v>-2.8042624789681447E-4</v>
      </c>
      <c r="P590" s="21">
        <f>_xll.RssMarket(A590,"安値")</f>
        <v>3486</v>
      </c>
      <c r="Q590" s="4">
        <f t="shared" si="57"/>
        <v>2.2662076878944282E-2</v>
      </c>
      <c r="R590" s="21">
        <f>_xll.RssMarket(A590,"後場始値")</f>
        <v>3560</v>
      </c>
      <c r="S590" s="25">
        <f t="shared" si="58"/>
        <v>1.4044943820223921E-3</v>
      </c>
      <c r="T590" s="7">
        <f>_xll.RssMarket(A590,"出来高加重平均")</f>
        <v>3536.1412</v>
      </c>
      <c r="U590" s="4">
        <f t="shared" si="59"/>
        <v>8.161099449309317E-3</v>
      </c>
      <c r="V590" s="21">
        <f>_xll.RssMarket(A590,"出来高")</f>
        <v>9754000</v>
      </c>
      <c r="W590" s="21">
        <f>_xll.RssMarket(A590,"売買代金")</f>
        <v>34491522</v>
      </c>
      <c r="X590" s="20" t="str">
        <f>_xll.RssMarket(A590,"決算発表日")</f>
        <v>2024/02/07</v>
      </c>
      <c r="Y590" s="26" t="str">
        <f>IF(C590&gt;_xll.RssMarket(A590,"年初来高値"),"○","×")</f>
        <v>×</v>
      </c>
      <c r="Z590" s="27" t="str">
        <f>IF(C590&lt;=_xll.RssMarket(A590,"年初来安値"),"○","×")</f>
        <v>×</v>
      </c>
    </row>
    <row r="591" spans="1:26" x14ac:dyDescent="0.25">
      <c r="A591" s="49">
        <v>5406</v>
      </c>
      <c r="B591" s="20" t="str">
        <f>_xll.RssMarket(A591,"銘柄名称")</f>
        <v>神戸製鋼所</v>
      </c>
      <c r="C591" s="21">
        <f>_xll.RssMarket(A591,"現在値")</f>
        <v>2068</v>
      </c>
      <c r="D591" s="20" t="str">
        <f>_xll.RssMarket(A591,"現在値詳細時刻")</f>
        <v>15:00:00</v>
      </c>
      <c r="E591" s="22">
        <f>_xll.RssMarket(A591,"前日比")</f>
        <v>55</v>
      </c>
      <c r="F591" s="23">
        <f>_xll.RssMarket(A591,"前日比率")/100</f>
        <v>2.7300000000000001E-2</v>
      </c>
      <c r="G591" s="24" t="str">
        <f>IFERROR(VLOOKUP(A591,取得元!$A$2:$F$501,2,FALSE),"-")</f>
        <v>-</v>
      </c>
      <c r="H591" s="24" t="str">
        <f>IFERROR(VLOOKUP(A591,取得元!$A$2:$F$501,3,FALSE),"-")</f>
        <v>-</v>
      </c>
      <c r="I591" s="24" t="str">
        <f>IFERROR(VLOOKUP(A591,取得元!$A$2:$F$501,4,FALSE),"-")</f>
        <v>-</v>
      </c>
      <c r="J591" s="5" t="str">
        <f>IFERROR(VLOOKUP(A591,取得元!$A$2:$F$501,5,FALSE),"-")</f>
        <v>-</v>
      </c>
      <c r="K591" s="25" t="str">
        <f>IFERROR(VLOOKUP(A591,取得元!$A$2:$F$501,6,FALSE)/100,"-")</f>
        <v>-</v>
      </c>
      <c r="L591" s="21">
        <f>_xll.RssMarket(A591,"始値")</f>
        <v>2020.5</v>
      </c>
      <c r="M591" s="4">
        <f t="shared" si="55"/>
        <v>2.350903241771829E-2</v>
      </c>
      <c r="N591" s="21">
        <f>_xll.RssMarket(A591,"高値")</f>
        <v>2069</v>
      </c>
      <c r="O591" s="4">
        <f t="shared" si="56"/>
        <v>-4.8332527791206115E-4</v>
      </c>
      <c r="P591" s="21">
        <f>_xll.RssMarket(A591,"安値")</f>
        <v>2010</v>
      </c>
      <c r="Q591" s="4">
        <f t="shared" si="57"/>
        <v>2.8855721393034717E-2</v>
      </c>
      <c r="R591" s="21">
        <f>_xll.RssMarket(A591,"後場始値")</f>
        <v>2062</v>
      </c>
      <c r="S591" s="25">
        <f t="shared" si="58"/>
        <v>2.9097963142579175E-3</v>
      </c>
      <c r="T591" s="7">
        <f>_xll.RssMarket(A591,"出来高加重平均")</f>
        <v>2051.3530000000001</v>
      </c>
      <c r="U591" s="4">
        <f t="shared" si="59"/>
        <v>8.1151318178782628E-3</v>
      </c>
      <c r="V591" s="21">
        <f>_xll.RssMarket(A591,"出来高")</f>
        <v>8289300</v>
      </c>
      <c r="W591" s="21">
        <f>_xll.RssMarket(A591,"売買代金")</f>
        <v>17004281</v>
      </c>
      <c r="X591" s="20" t="str">
        <f>_xll.RssMarket(A591,"決算発表日")</f>
        <v>2024/02/09</v>
      </c>
      <c r="Y591" s="26" t="str">
        <f>IF(C591&gt;_xll.RssMarket(A591,"年初来高値"),"○","×")</f>
        <v>×</v>
      </c>
      <c r="Z591" s="27" t="str">
        <f>IF(C591&lt;=_xll.RssMarket(A591,"年初来安値"),"○","×")</f>
        <v>×</v>
      </c>
    </row>
    <row r="592" spans="1:26" x14ac:dyDescent="0.25">
      <c r="A592" s="47">
        <v>5408</v>
      </c>
      <c r="B592" s="20" t="str">
        <f>_xll.RssMarket(A592,"銘柄名称")</f>
        <v>中山製鋼所</v>
      </c>
      <c r="C592" s="21">
        <f>_xll.RssMarket(A592,"現在値")</f>
        <v>943</v>
      </c>
      <c r="D592" s="20" t="str">
        <f>_xll.RssMarket(A592,"現在値詳細時刻")</f>
        <v>15:00:00</v>
      </c>
      <c r="E592" s="22">
        <f>_xll.RssMarket(A592,"前日比")</f>
        <v>61</v>
      </c>
      <c r="F592" s="23">
        <f>_xll.RssMarket(A592,"前日比率")/100</f>
        <v>6.9199999999999998E-2</v>
      </c>
      <c r="G592" s="24" t="str">
        <f>IFERROR(VLOOKUP(A592,取得元!$A$2:$F$501,2,FALSE),"-")</f>
        <v>-</v>
      </c>
      <c r="H592" s="24" t="str">
        <f>IFERROR(VLOOKUP(A592,取得元!$A$2:$F$501,3,FALSE),"-")</f>
        <v>-</v>
      </c>
      <c r="I592" s="24" t="str">
        <f>IFERROR(VLOOKUP(A592,取得元!$A$2:$F$501,4,FALSE),"-")</f>
        <v>-</v>
      </c>
      <c r="J592" s="5" t="str">
        <f>IFERROR(VLOOKUP(A592,取得元!$A$2:$F$501,5,FALSE),"-")</f>
        <v>-</v>
      </c>
      <c r="K592" s="25" t="str">
        <f>IFERROR(VLOOKUP(A592,取得元!$A$2:$F$501,6,FALSE)/100,"-")</f>
        <v>-</v>
      </c>
      <c r="L592" s="21">
        <f>_xll.RssMarket(A592,"始値")</f>
        <v>902</v>
      </c>
      <c r="M592" s="4">
        <f t="shared" si="55"/>
        <v>4.5454545454545414E-2</v>
      </c>
      <c r="N592" s="21">
        <f>_xll.RssMarket(A592,"高値")</f>
        <v>943</v>
      </c>
      <c r="O592" s="4">
        <f t="shared" si="56"/>
        <v>0</v>
      </c>
      <c r="P592" s="21">
        <f>_xll.RssMarket(A592,"安値")</f>
        <v>887</v>
      </c>
      <c r="Q592" s="4">
        <f t="shared" si="57"/>
        <v>6.3134160090191571E-2</v>
      </c>
      <c r="R592" s="21">
        <f>_xll.RssMarket(A592,"後場始値")</f>
        <v>921</v>
      </c>
      <c r="S592" s="25">
        <f t="shared" si="58"/>
        <v>2.3887079261672106E-2</v>
      </c>
      <c r="T592" s="7">
        <f>_xll.RssMarket(A592,"出来高加重平均")</f>
        <v>916.6499</v>
      </c>
      <c r="U592" s="4">
        <f t="shared" si="59"/>
        <v>2.8746089428472121E-2</v>
      </c>
      <c r="V592" s="21">
        <f>_xll.RssMarket(A592,"出来高")</f>
        <v>2734600</v>
      </c>
      <c r="W592" s="21">
        <f>_xll.RssMarket(A592,"売買代金")</f>
        <v>2506671</v>
      </c>
      <c r="X592" s="20" t="str">
        <f>_xll.RssMarket(A592,"決算発表日")</f>
        <v>2024/02/06</v>
      </c>
      <c r="Y592" s="26" t="str">
        <f>IF(C592&gt;_xll.RssMarket(A592,"年初来高値"),"○","×")</f>
        <v>×</v>
      </c>
      <c r="Z592" s="27" t="str">
        <f>IF(C592&lt;=_xll.RssMarket(A592,"年初来安値"),"○","×")</f>
        <v>×</v>
      </c>
    </row>
    <row r="593" spans="1:26" x14ac:dyDescent="0.25">
      <c r="A593" s="49">
        <v>5410</v>
      </c>
      <c r="B593" s="20" t="str">
        <f>_xll.RssMarket(A593,"銘柄名称")</f>
        <v>合同製鐵</v>
      </c>
      <c r="C593" s="21">
        <f>_xll.RssMarket(A593,"現在値")</f>
        <v>5860</v>
      </c>
      <c r="D593" s="20" t="str">
        <f>_xll.RssMarket(A593,"現在値詳細時刻")</f>
        <v>15:00:00</v>
      </c>
      <c r="E593" s="22">
        <f>_xll.RssMarket(A593,"前日比")</f>
        <v>70</v>
      </c>
      <c r="F593" s="23">
        <f>_xll.RssMarket(A593,"前日比率")/100</f>
        <v>1.21E-2</v>
      </c>
      <c r="G593" s="24" t="str">
        <f>IFERROR(VLOOKUP(A593,取得元!$A$2:$F$501,2,FALSE),"-")</f>
        <v>-</v>
      </c>
      <c r="H593" s="24" t="str">
        <f>IFERROR(VLOOKUP(A593,取得元!$A$2:$F$501,3,FALSE),"-")</f>
        <v>-</v>
      </c>
      <c r="I593" s="24" t="str">
        <f>IFERROR(VLOOKUP(A593,取得元!$A$2:$F$501,4,FALSE),"-")</f>
        <v>-</v>
      </c>
      <c r="J593" s="5" t="str">
        <f>IFERROR(VLOOKUP(A593,取得元!$A$2:$F$501,5,FALSE),"-")</f>
        <v>-</v>
      </c>
      <c r="K593" s="25" t="str">
        <f>IFERROR(VLOOKUP(A593,取得元!$A$2:$F$501,6,FALSE)/100,"-")</f>
        <v>-</v>
      </c>
      <c r="L593" s="21">
        <f>_xll.RssMarket(A593,"始値")</f>
        <v>5820</v>
      </c>
      <c r="M593" s="4">
        <f t="shared" si="55"/>
        <v>6.8728522336769515E-3</v>
      </c>
      <c r="N593" s="21">
        <f>_xll.RssMarket(A593,"高値")</f>
        <v>5880</v>
      </c>
      <c r="O593" s="4">
        <f t="shared" si="56"/>
        <v>-3.4013605442176909E-3</v>
      </c>
      <c r="P593" s="21">
        <f>_xll.RssMarket(A593,"安値")</f>
        <v>5730</v>
      </c>
      <c r="Q593" s="4">
        <f t="shared" si="57"/>
        <v>2.2687609075043635E-2</v>
      </c>
      <c r="R593" s="21">
        <f>_xll.RssMarket(A593,"後場始値")</f>
        <v>5820</v>
      </c>
      <c r="S593" s="25">
        <f t="shared" si="58"/>
        <v>6.8728522336769515E-3</v>
      </c>
      <c r="T593" s="7">
        <f>_xll.RssMarket(A593,"出来高加重平均")</f>
        <v>5818.4178000000002</v>
      </c>
      <c r="U593" s="4">
        <f t="shared" si="59"/>
        <v>7.1466507613118235E-3</v>
      </c>
      <c r="V593" s="21">
        <f>_xll.RssMarket(A593,"出来高")</f>
        <v>214900</v>
      </c>
      <c r="W593" s="21">
        <f>_xll.RssMarket(A593,"売買代金")</f>
        <v>1250378</v>
      </c>
      <c r="X593" s="20" t="str">
        <f>_xll.RssMarket(A593,"決算発表日")</f>
        <v>2024/02/02</v>
      </c>
      <c r="Y593" s="26" t="str">
        <f>IF(C593&gt;_xll.RssMarket(A593,"年初来高値"),"○","×")</f>
        <v>×</v>
      </c>
      <c r="Z593" s="27" t="str">
        <f>IF(C593&lt;=_xll.RssMarket(A593,"年初来安値"),"○","×")</f>
        <v>×</v>
      </c>
    </row>
    <row r="594" spans="1:26" x14ac:dyDescent="0.25">
      <c r="A594" s="47">
        <v>5411</v>
      </c>
      <c r="B594" s="20" t="str">
        <f>_xll.RssMarket(A594,"銘柄名称")</f>
        <v>ＪＦＥホールディングス</v>
      </c>
      <c r="C594" s="21">
        <f>_xll.RssMarket(A594,"現在値")</f>
        <v>2320.5</v>
      </c>
      <c r="D594" s="20" t="str">
        <f>_xll.RssMarket(A594,"現在値詳細時刻")</f>
        <v>15:00:00</v>
      </c>
      <c r="E594" s="22">
        <f>_xll.RssMarket(A594,"前日比")</f>
        <v>12</v>
      </c>
      <c r="F594" s="23">
        <f>_xll.RssMarket(A594,"前日比率")/100</f>
        <v>5.1999999999999998E-3</v>
      </c>
      <c r="G594" s="24" t="str">
        <f>IFERROR(VLOOKUP(A594,取得元!$A$2:$F$501,2,FALSE),"-")</f>
        <v>-</v>
      </c>
      <c r="H594" s="24" t="str">
        <f>IFERROR(VLOOKUP(A594,取得元!$A$2:$F$501,3,FALSE),"-")</f>
        <v>-</v>
      </c>
      <c r="I594" s="24" t="str">
        <f>IFERROR(VLOOKUP(A594,取得元!$A$2:$F$501,4,FALSE),"-")</f>
        <v>-</v>
      </c>
      <c r="J594" s="5" t="str">
        <f>IFERROR(VLOOKUP(A594,取得元!$A$2:$F$501,5,FALSE),"-")</f>
        <v>-</v>
      </c>
      <c r="K594" s="25" t="str">
        <f>IFERROR(VLOOKUP(A594,取得元!$A$2:$F$501,6,FALSE)/100,"-")</f>
        <v>-</v>
      </c>
      <c r="L594" s="21">
        <f>_xll.RssMarket(A594,"始値")</f>
        <v>2313</v>
      </c>
      <c r="M594" s="4">
        <f t="shared" si="55"/>
        <v>3.2425421530479781E-3</v>
      </c>
      <c r="N594" s="21">
        <f>_xll.RssMarket(A594,"高値")</f>
        <v>2334.5</v>
      </c>
      <c r="O594" s="4">
        <f t="shared" si="56"/>
        <v>-5.9970014992504206E-3</v>
      </c>
      <c r="P594" s="21">
        <f>_xll.RssMarket(A594,"安値")</f>
        <v>2268</v>
      </c>
      <c r="Q594" s="4">
        <f t="shared" si="57"/>
        <v>2.314814814814814E-2</v>
      </c>
      <c r="R594" s="21">
        <f>_xll.RssMarket(A594,"後場始値")</f>
        <v>2325.5</v>
      </c>
      <c r="S594" s="25">
        <f t="shared" si="58"/>
        <v>-2.1500752526338873E-3</v>
      </c>
      <c r="T594" s="7">
        <f>_xll.RssMarket(A594,"出来高加重平均")</f>
        <v>2308.2826</v>
      </c>
      <c r="U594" s="4">
        <f t="shared" si="59"/>
        <v>5.2928527902085243E-3</v>
      </c>
      <c r="V594" s="21">
        <f>_xll.RssMarket(A594,"出来高")</f>
        <v>7333500</v>
      </c>
      <c r="W594" s="21">
        <f>_xll.RssMarket(A594,"売買代金")</f>
        <v>16927791</v>
      </c>
      <c r="X594" s="20" t="str">
        <f>_xll.RssMarket(A594,"決算発表日")</f>
        <v>2024/02/06</v>
      </c>
      <c r="Y594" s="26" t="str">
        <f>IF(C594&gt;_xll.RssMarket(A594,"年初来高値"),"○","×")</f>
        <v>×</v>
      </c>
      <c r="Z594" s="27" t="str">
        <f>IF(C594&lt;=_xll.RssMarket(A594,"年初来安値"),"○","×")</f>
        <v>×</v>
      </c>
    </row>
    <row r="595" spans="1:26" x14ac:dyDescent="0.25">
      <c r="A595" s="49">
        <v>5423</v>
      </c>
      <c r="B595" s="20" t="str">
        <f>_xll.RssMarket(A595,"銘柄名称")</f>
        <v>東京製鐵</v>
      </c>
      <c r="C595" s="21">
        <f>_xll.RssMarket(A595,"現在値")</f>
        <v>1741</v>
      </c>
      <c r="D595" s="20" t="str">
        <f>_xll.RssMarket(A595,"現在値詳細時刻")</f>
        <v>15:00:00</v>
      </c>
      <c r="E595" s="22">
        <f>_xll.RssMarket(A595,"前日比")</f>
        <v>12</v>
      </c>
      <c r="F595" s="23">
        <f>_xll.RssMarket(A595,"前日比率")/100</f>
        <v>6.8999999999999999E-3</v>
      </c>
      <c r="G595" s="24" t="str">
        <f>IFERROR(VLOOKUP(A595,取得元!$A$2:$F$501,2,FALSE),"-")</f>
        <v>-</v>
      </c>
      <c r="H595" s="24" t="str">
        <f>IFERROR(VLOOKUP(A595,取得元!$A$2:$F$501,3,FALSE),"-")</f>
        <v>-</v>
      </c>
      <c r="I595" s="24" t="str">
        <f>IFERROR(VLOOKUP(A595,取得元!$A$2:$F$501,4,FALSE),"-")</f>
        <v>-</v>
      </c>
      <c r="J595" s="5" t="str">
        <f>IFERROR(VLOOKUP(A595,取得元!$A$2:$F$501,5,FALSE),"-")</f>
        <v>-</v>
      </c>
      <c r="K595" s="25" t="str">
        <f>IFERROR(VLOOKUP(A595,取得元!$A$2:$F$501,6,FALSE)/100,"-")</f>
        <v>-</v>
      </c>
      <c r="L595" s="21">
        <f>_xll.RssMarket(A595,"始値")</f>
        <v>1725</v>
      </c>
      <c r="M595" s="4">
        <f t="shared" si="55"/>
        <v>9.2753623188406298E-3</v>
      </c>
      <c r="N595" s="21">
        <f>_xll.RssMarket(A595,"高値")</f>
        <v>1744</v>
      </c>
      <c r="O595" s="4">
        <f t="shared" si="56"/>
        <v>-1.7201834862384802E-3</v>
      </c>
      <c r="P595" s="21">
        <f>_xll.RssMarket(A595,"安値")</f>
        <v>1717</v>
      </c>
      <c r="Q595" s="4">
        <f t="shared" si="57"/>
        <v>1.3977868375072866E-2</v>
      </c>
      <c r="R595" s="21">
        <f>_xll.RssMarket(A595,"後場始値")</f>
        <v>1731</v>
      </c>
      <c r="S595" s="25">
        <f t="shared" si="58"/>
        <v>5.7770075101097884E-3</v>
      </c>
      <c r="T595" s="7">
        <f>_xll.RssMarket(A595,"出来高加重平均")</f>
        <v>1733.5876000000001</v>
      </c>
      <c r="U595" s="4">
        <f t="shared" si="59"/>
        <v>4.2757573946652361E-3</v>
      </c>
      <c r="V595" s="21">
        <f>_xll.RssMarket(A595,"出来高")</f>
        <v>263400</v>
      </c>
      <c r="W595" s="21">
        <f>_xll.RssMarket(A595,"売買代金")</f>
        <v>456627</v>
      </c>
      <c r="X595" s="20" t="str">
        <f>_xll.RssMarket(A595,"決算発表日")</f>
        <v>2024/01/19</v>
      </c>
      <c r="Y595" s="26" t="str">
        <f>IF(C595&gt;_xll.RssMarket(A595,"年初来高値"),"○","×")</f>
        <v>×</v>
      </c>
      <c r="Z595" s="27" t="str">
        <f>IF(C595&lt;=_xll.RssMarket(A595,"年初来安値"),"○","×")</f>
        <v>×</v>
      </c>
    </row>
    <row r="596" spans="1:26" x14ac:dyDescent="0.25">
      <c r="A596" s="47">
        <v>5449</v>
      </c>
      <c r="B596" s="20" t="str">
        <f>_xll.RssMarket(A596,"銘柄名称")</f>
        <v>大阪製鐵</v>
      </c>
      <c r="C596" s="21">
        <f>_xll.RssMarket(A596,"現在値")</f>
        <v>2208</v>
      </c>
      <c r="D596" s="20" t="str">
        <f>_xll.RssMarket(A596,"現在値詳細時刻")</f>
        <v>15:00:00</v>
      </c>
      <c r="E596" s="22">
        <f>_xll.RssMarket(A596,"前日比")</f>
        <v>4</v>
      </c>
      <c r="F596" s="23">
        <f>_xll.RssMarket(A596,"前日比率")/100</f>
        <v>1.8E-3</v>
      </c>
      <c r="G596" s="24" t="str">
        <f>IFERROR(VLOOKUP(A596,取得元!$A$2:$F$501,2,FALSE),"-")</f>
        <v>-</v>
      </c>
      <c r="H596" s="24" t="str">
        <f>IFERROR(VLOOKUP(A596,取得元!$A$2:$F$501,3,FALSE),"-")</f>
        <v>-</v>
      </c>
      <c r="I596" s="24" t="str">
        <f>IFERROR(VLOOKUP(A596,取得元!$A$2:$F$501,4,FALSE),"-")</f>
        <v>-</v>
      </c>
      <c r="J596" s="5" t="str">
        <f>IFERROR(VLOOKUP(A596,取得元!$A$2:$F$501,5,FALSE),"-")</f>
        <v>-</v>
      </c>
      <c r="K596" s="25" t="str">
        <f>IFERROR(VLOOKUP(A596,取得元!$A$2:$F$501,6,FALSE)/100,"-")</f>
        <v>-</v>
      </c>
      <c r="L596" s="21">
        <f>_xll.RssMarket(A596,"始値")</f>
        <v>2215</v>
      </c>
      <c r="M596" s="4">
        <f t="shared" si="55"/>
        <v>-3.1602708803611934E-3</v>
      </c>
      <c r="N596" s="21">
        <f>_xll.RssMarket(A596,"高値")</f>
        <v>2223</v>
      </c>
      <c r="O596" s="4">
        <f t="shared" si="56"/>
        <v>-6.7476383265856477E-3</v>
      </c>
      <c r="P596" s="21">
        <f>_xll.RssMarket(A596,"安値")</f>
        <v>2197</v>
      </c>
      <c r="Q596" s="4">
        <f t="shared" si="57"/>
        <v>5.0068274920345157E-3</v>
      </c>
      <c r="R596" s="21">
        <f>_xll.RssMarket(A596,"後場始値")</f>
        <v>2204</v>
      </c>
      <c r="S596" s="25">
        <f t="shared" si="58"/>
        <v>1.814882032667775E-3</v>
      </c>
      <c r="T596" s="7">
        <f>_xll.RssMarket(A596,"出来高加重平均")</f>
        <v>2208.1911</v>
      </c>
      <c r="U596" s="4">
        <f t="shared" si="59"/>
        <v>-8.6541422977370885E-5</v>
      </c>
      <c r="V596" s="21">
        <f>_xll.RssMarket(A596,"出来高")</f>
        <v>29300</v>
      </c>
      <c r="W596" s="21">
        <f>_xll.RssMarket(A596,"売買代金")</f>
        <v>64700</v>
      </c>
      <c r="X596" s="20" t="str">
        <f>_xll.RssMarket(A596,"決算発表日")</f>
        <v>2024/01/30</v>
      </c>
      <c r="Y596" s="26" t="str">
        <f>IF(C596&gt;_xll.RssMarket(A596,"年初来高値"),"○","×")</f>
        <v>×</v>
      </c>
      <c r="Z596" s="27" t="str">
        <f>IF(C596&lt;=_xll.RssMarket(A596,"年初来安値"),"○","×")</f>
        <v>×</v>
      </c>
    </row>
    <row r="597" spans="1:26" x14ac:dyDescent="0.25">
      <c r="A597" s="49">
        <v>5476</v>
      </c>
      <c r="B597" s="20" t="str">
        <f>_xll.RssMarket(A597,"銘柄名称")</f>
        <v>日本高周波</v>
      </c>
      <c r="C597" s="21">
        <f>_xll.RssMarket(A597,"現在値")</f>
        <v>554</v>
      </c>
      <c r="D597" s="20" t="str">
        <f>_xll.RssMarket(A597,"現在値詳細時刻")</f>
        <v>15:00:00</v>
      </c>
      <c r="E597" s="22">
        <f>_xll.RssMarket(A597,"前日比")</f>
        <v>5</v>
      </c>
      <c r="F597" s="23">
        <f>_xll.RssMarket(A597,"前日比率")/100</f>
        <v>9.1000000000000004E-3</v>
      </c>
      <c r="G597" s="24" t="str">
        <f>IFERROR(VLOOKUP(A597,取得元!$A$2:$F$501,2,FALSE),"-")</f>
        <v>-</v>
      </c>
      <c r="H597" s="24" t="str">
        <f>IFERROR(VLOOKUP(A597,取得元!$A$2:$F$501,3,FALSE),"-")</f>
        <v>-</v>
      </c>
      <c r="I597" s="24" t="str">
        <f>IFERROR(VLOOKUP(A597,取得元!$A$2:$F$501,4,FALSE),"-")</f>
        <v>-</v>
      </c>
      <c r="J597" s="5" t="str">
        <f>IFERROR(VLOOKUP(A597,取得元!$A$2:$F$501,5,FALSE),"-")</f>
        <v>-</v>
      </c>
      <c r="K597" s="25" t="str">
        <f>IFERROR(VLOOKUP(A597,取得元!$A$2:$F$501,6,FALSE)/100,"-")</f>
        <v>-</v>
      </c>
      <c r="L597" s="21">
        <f>_xll.RssMarket(A597,"始値")</f>
        <v>560</v>
      </c>
      <c r="M597" s="4">
        <f t="shared" si="55"/>
        <v>-1.0714285714285676E-2</v>
      </c>
      <c r="N597" s="21">
        <f>_xll.RssMarket(A597,"高値")</f>
        <v>560</v>
      </c>
      <c r="O597" s="4">
        <f t="shared" si="56"/>
        <v>-1.0714285714285676E-2</v>
      </c>
      <c r="P597" s="21">
        <f>_xll.RssMarket(A597,"安値")</f>
        <v>551</v>
      </c>
      <c r="Q597" s="4">
        <f t="shared" si="57"/>
        <v>5.4446460980035472E-3</v>
      </c>
      <c r="R597" s="21">
        <f>_xll.RssMarket(A597,"後場始値")</f>
        <v>555</v>
      </c>
      <c r="S597" s="25">
        <f t="shared" si="58"/>
        <v>-1.8018018018017834E-3</v>
      </c>
      <c r="T597" s="7">
        <f>_xll.RssMarket(A597,"出来高加重平均")</f>
        <v>556.29480000000001</v>
      </c>
      <c r="U597" s="4">
        <f t="shared" si="59"/>
        <v>-4.1251509091941863E-3</v>
      </c>
      <c r="V597" s="21">
        <f>_xll.RssMarket(A597,"出来高")</f>
        <v>52900</v>
      </c>
      <c r="W597" s="21">
        <f>_xll.RssMarket(A597,"売買代金")</f>
        <v>29428</v>
      </c>
      <c r="X597" s="20" t="str">
        <f>_xll.RssMarket(A597,"決算発表日")</f>
        <v>2024/02/02</v>
      </c>
      <c r="Y597" s="26" t="str">
        <f>IF(C597&gt;_xll.RssMarket(A597,"年初来高値"),"○","×")</f>
        <v>×</v>
      </c>
      <c r="Z597" s="27" t="str">
        <f>IF(C597&lt;=_xll.RssMarket(A597,"年初来安値"),"○","×")</f>
        <v>×</v>
      </c>
    </row>
    <row r="598" spans="1:26" x14ac:dyDescent="0.25">
      <c r="A598" s="47">
        <v>5491</v>
      </c>
      <c r="B598" s="20" t="str">
        <f>_xll.RssMarket(A598,"銘柄名称")</f>
        <v>日本金属</v>
      </c>
      <c r="C598" s="21">
        <f>_xll.RssMarket(A598,"現在値")</f>
        <v>882</v>
      </c>
      <c r="D598" s="20" t="str">
        <f>_xll.RssMarket(A598,"現在値詳細時刻")</f>
        <v>15:00:00</v>
      </c>
      <c r="E598" s="22">
        <f>_xll.RssMarket(A598,"前日比")</f>
        <v>2</v>
      </c>
      <c r="F598" s="23">
        <f>_xll.RssMarket(A598,"前日比率")/100</f>
        <v>2.3E-3</v>
      </c>
      <c r="G598" s="24" t="str">
        <f>IFERROR(VLOOKUP(A598,取得元!$A$2:$F$501,2,FALSE),"-")</f>
        <v>-</v>
      </c>
      <c r="H598" s="24" t="str">
        <f>IFERROR(VLOOKUP(A598,取得元!$A$2:$F$501,3,FALSE),"-")</f>
        <v>-</v>
      </c>
      <c r="I598" s="24" t="str">
        <f>IFERROR(VLOOKUP(A598,取得元!$A$2:$F$501,4,FALSE),"-")</f>
        <v>-</v>
      </c>
      <c r="J598" s="5" t="str">
        <f>IFERROR(VLOOKUP(A598,取得元!$A$2:$F$501,5,FALSE),"-")</f>
        <v>-</v>
      </c>
      <c r="K598" s="25" t="str">
        <f>IFERROR(VLOOKUP(A598,取得元!$A$2:$F$501,6,FALSE)/100,"-")</f>
        <v>-</v>
      </c>
      <c r="L598" s="21">
        <f>_xll.RssMarket(A598,"始値")</f>
        <v>881</v>
      </c>
      <c r="M598" s="4">
        <f t="shared" ref="M598:M661" si="60">C598/L598-1</f>
        <v>1.1350737797957144E-3</v>
      </c>
      <c r="N598" s="21">
        <f>_xll.RssMarket(A598,"高値")</f>
        <v>885</v>
      </c>
      <c r="O598" s="4">
        <f t="shared" ref="O598:O661" si="61">C598/N598-1</f>
        <v>-3.3898305084745228E-3</v>
      </c>
      <c r="P598" s="21">
        <f>_xll.RssMarket(A598,"安値")</f>
        <v>876</v>
      </c>
      <c r="Q598" s="4">
        <f t="shared" ref="Q598:Q661" si="62">C598/P598-1</f>
        <v>6.8493150684931781E-3</v>
      </c>
      <c r="R598" s="21">
        <f>_xll.RssMarket(A598,"後場始値")</f>
        <v>878</v>
      </c>
      <c r="S598" s="25">
        <f t="shared" ref="S598:S661" si="63">IFERROR(C598/R598-1,"-")</f>
        <v>4.5558086560364419E-3</v>
      </c>
      <c r="T598" s="7">
        <f>_xll.RssMarket(A598,"出来高加重平均")</f>
        <v>878.93610000000001</v>
      </c>
      <c r="U598" s="4">
        <f t="shared" ref="U598:U661" si="64">C598/T598-1</f>
        <v>3.4859189422302705E-3</v>
      </c>
      <c r="V598" s="21">
        <f>_xll.RssMarket(A598,"出来高")</f>
        <v>18800</v>
      </c>
      <c r="W598" s="21">
        <f>_xll.RssMarket(A598,"売買代金")</f>
        <v>16524</v>
      </c>
      <c r="X598" s="20" t="str">
        <f>_xll.RssMarket(A598,"決算発表日")</f>
        <v>2024/01/31</v>
      </c>
      <c r="Y598" s="26" t="str">
        <f>IF(C598&gt;_xll.RssMarket(A598,"年初来高値"),"○","×")</f>
        <v>×</v>
      </c>
      <c r="Z598" s="27" t="str">
        <f>IF(C598&lt;=_xll.RssMarket(A598,"年初来安値"),"○","×")</f>
        <v>×</v>
      </c>
    </row>
    <row r="599" spans="1:26" x14ac:dyDescent="0.25">
      <c r="A599" s="49">
        <v>5563</v>
      </c>
      <c r="B599" s="20" t="str">
        <f>_xll.RssMarket(A599,"銘柄名称")</f>
        <v>新日本電工</v>
      </c>
      <c r="C599" s="21">
        <f>_xll.RssMarket(A599,"現在値")</f>
        <v>283</v>
      </c>
      <c r="D599" s="20" t="str">
        <f>_xll.RssMarket(A599,"現在値詳細時刻")</f>
        <v>15:00:00</v>
      </c>
      <c r="E599" s="22">
        <f>_xll.RssMarket(A599,"前日比")</f>
        <v>2</v>
      </c>
      <c r="F599" s="23">
        <f>_xll.RssMarket(A599,"前日比率")/100</f>
        <v>7.0999999999999995E-3</v>
      </c>
      <c r="G599" s="24" t="str">
        <f>IFERROR(VLOOKUP(A599,取得元!$A$2:$F$501,2,FALSE),"-")</f>
        <v>-</v>
      </c>
      <c r="H599" s="24" t="str">
        <f>IFERROR(VLOOKUP(A599,取得元!$A$2:$F$501,3,FALSE),"-")</f>
        <v>-</v>
      </c>
      <c r="I599" s="24" t="str">
        <f>IFERROR(VLOOKUP(A599,取得元!$A$2:$F$501,4,FALSE),"-")</f>
        <v>-</v>
      </c>
      <c r="J599" s="5" t="str">
        <f>IFERROR(VLOOKUP(A599,取得元!$A$2:$F$501,5,FALSE),"-")</f>
        <v>-</v>
      </c>
      <c r="K599" s="25" t="str">
        <f>IFERROR(VLOOKUP(A599,取得元!$A$2:$F$501,6,FALSE)/100,"-")</f>
        <v>-</v>
      </c>
      <c r="L599" s="21">
        <f>_xll.RssMarket(A599,"始値")</f>
        <v>281</v>
      </c>
      <c r="M599" s="4">
        <f t="shared" si="60"/>
        <v>7.1174377224199059E-3</v>
      </c>
      <c r="N599" s="21">
        <f>_xll.RssMarket(A599,"高値")</f>
        <v>284</v>
      </c>
      <c r="O599" s="4">
        <f t="shared" si="61"/>
        <v>-3.5211267605633756E-3</v>
      </c>
      <c r="P599" s="21">
        <f>_xll.RssMarket(A599,"安値")</f>
        <v>280</v>
      </c>
      <c r="Q599" s="4">
        <f t="shared" si="62"/>
        <v>1.0714285714285676E-2</v>
      </c>
      <c r="R599" s="21">
        <f>_xll.RssMarket(A599,"後場始値")</f>
        <v>283</v>
      </c>
      <c r="S599" s="25">
        <f t="shared" si="63"/>
        <v>0</v>
      </c>
      <c r="T599" s="7">
        <f>_xll.RssMarket(A599,"出来高加重平均")</f>
        <v>282.00209999999998</v>
      </c>
      <c r="U599" s="4">
        <f t="shared" si="64"/>
        <v>3.5386261307983613E-3</v>
      </c>
      <c r="V599" s="21">
        <f>_xll.RssMarket(A599,"出来高")</f>
        <v>469500</v>
      </c>
      <c r="W599" s="21">
        <f>_xll.RssMarket(A599,"売買代金")</f>
        <v>132400</v>
      </c>
      <c r="X599" s="20" t="str">
        <f>_xll.RssMarket(A599,"決算発表日")</f>
        <v>2024/02/08</v>
      </c>
      <c r="Y599" s="26" t="str">
        <f>IF(C599&gt;_xll.RssMarket(A599,"年初来高値"),"○","×")</f>
        <v>×</v>
      </c>
      <c r="Z599" s="27" t="str">
        <f>IF(C599&lt;=_xll.RssMarket(A599,"年初来安値"),"○","×")</f>
        <v>×</v>
      </c>
    </row>
    <row r="600" spans="1:26" x14ac:dyDescent="0.25">
      <c r="A600" s="47">
        <v>5586</v>
      </c>
      <c r="B600" s="20" t="str">
        <f>_xll.RssMarket(A600,"銘柄名称")</f>
        <v>ＬＡＢＯＲＯ．ＡＩ</v>
      </c>
      <c r="C600" s="21">
        <f>_xll.RssMarket(A600,"現在値")</f>
        <v>702</v>
      </c>
      <c r="D600" s="20" t="str">
        <f>_xll.RssMarket(A600,"現在値詳細時刻")</f>
        <v>15:00:00</v>
      </c>
      <c r="E600" s="22">
        <f>_xll.RssMarket(A600,"前日比")</f>
        <v>-15</v>
      </c>
      <c r="F600" s="23">
        <f>_xll.RssMarket(A600,"前日比率")/100</f>
        <v>-2.0899999999999998E-2</v>
      </c>
      <c r="G600" s="24" t="str">
        <f>IFERROR(VLOOKUP(A600,取得元!$A$2:$F$501,2,FALSE),"-")</f>
        <v>-</v>
      </c>
      <c r="H600" s="24" t="str">
        <f>IFERROR(VLOOKUP(A600,取得元!$A$2:$F$501,3,FALSE),"-")</f>
        <v>-</v>
      </c>
      <c r="I600" s="24" t="str">
        <f>IFERROR(VLOOKUP(A600,取得元!$A$2:$F$501,4,FALSE),"-")</f>
        <v>-</v>
      </c>
      <c r="J600" s="5" t="str">
        <f>IFERROR(VLOOKUP(A600,取得元!$A$2:$F$501,5,FALSE),"-")</f>
        <v>-</v>
      </c>
      <c r="K600" s="25" t="str">
        <f>IFERROR(VLOOKUP(A600,取得元!$A$2:$F$501,6,FALSE)/100,"-")</f>
        <v>-</v>
      </c>
      <c r="L600" s="21">
        <f>_xll.RssMarket(A600,"始値")</f>
        <v>715</v>
      </c>
      <c r="M600" s="4">
        <f t="shared" si="60"/>
        <v>-1.8181818181818188E-2</v>
      </c>
      <c r="N600" s="21">
        <f>_xll.RssMarket(A600,"高値")</f>
        <v>721</v>
      </c>
      <c r="O600" s="4">
        <f t="shared" si="61"/>
        <v>-2.6352288488210807E-2</v>
      </c>
      <c r="P600" s="21">
        <f>_xll.RssMarket(A600,"安値")</f>
        <v>701</v>
      </c>
      <c r="Q600" s="4">
        <f t="shared" si="62"/>
        <v>1.4265335235377208E-3</v>
      </c>
      <c r="R600" s="21">
        <f>_xll.RssMarket(A600,"後場始値")</f>
        <v>712</v>
      </c>
      <c r="S600" s="25">
        <f t="shared" si="63"/>
        <v>-1.4044943820224698E-2</v>
      </c>
      <c r="T600" s="7">
        <f>_xll.RssMarket(A600,"出来高加重平均")</f>
        <v>708.976</v>
      </c>
      <c r="U600" s="4">
        <f t="shared" si="64"/>
        <v>-9.8395432285437456E-3</v>
      </c>
      <c r="V600" s="21">
        <f>_xll.RssMarket(A600,"出来高")</f>
        <v>325200</v>
      </c>
      <c r="W600" s="21">
        <f>_xll.RssMarket(A600,"売買代金")</f>
        <v>230559</v>
      </c>
      <c r="X600" s="20" t="str">
        <f>_xll.RssMarket(A600,"決算発表日")</f>
        <v>2024/02/09</v>
      </c>
      <c r="Y600" s="26" t="str">
        <f>IF(C600&gt;_xll.RssMarket(A600,"年初来高値"),"○","×")</f>
        <v>×</v>
      </c>
      <c r="Z600" s="27" t="str">
        <f>IF(C600&lt;=_xll.RssMarket(A600,"年初来安値"),"○","×")</f>
        <v>×</v>
      </c>
    </row>
    <row r="601" spans="1:26" x14ac:dyDescent="0.25">
      <c r="A601" s="49">
        <v>5612</v>
      </c>
      <c r="B601" s="20" t="str">
        <f>_xll.RssMarket(A601,"銘柄名称")</f>
        <v>日本鋳鉄管</v>
      </c>
      <c r="C601" s="21">
        <f>_xll.RssMarket(A601,"現在値")</f>
        <v>1178</v>
      </c>
      <c r="D601" s="20" t="str">
        <f>_xll.RssMarket(A601,"現在値詳細時刻")</f>
        <v>15:00:00</v>
      </c>
      <c r="E601" s="22">
        <f>_xll.RssMarket(A601,"前日比")</f>
        <v>0</v>
      </c>
      <c r="F601" s="23">
        <f>_xll.RssMarket(A601,"前日比率")/100</f>
        <v>0</v>
      </c>
      <c r="G601" s="24" t="str">
        <f>IFERROR(VLOOKUP(A601,取得元!$A$2:$F$501,2,FALSE),"-")</f>
        <v>-</v>
      </c>
      <c r="H601" s="24" t="str">
        <f>IFERROR(VLOOKUP(A601,取得元!$A$2:$F$501,3,FALSE),"-")</f>
        <v>-</v>
      </c>
      <c r="I601" s="24" t="str">
        <f>IFERROR(VLOOKUP(A601,取得元!$A$2:$F$501,4,FALSE),"-")</f>
        <v>-</v>
      </c>
      <c r="J601" s="5" t="str">
        <f>IFERROR(VLOOKUP(A601,取得元!$A$2:$F$501,5,FALSE),"-")</f>
        <v>-</v>
      </c>
      <c r="K601" s="25" t="str">
        <f>IFERROR(VLOOKUP(A601,取得元!$A$2:$F$501,6,FALSE)/100,"-")</f>
        <v>-</v>
      </c>
      <c r="L601" s="21">
        <f>_xll.RssMarket(A601,"始値")</f>
        <v>1178</v>
      </c>
      <c r="M601" s="4">
        <f t="shared" si="60"/>
        <v>0</v>
      </c>
      <c r="N601" s="21">
        <f>_xll.RssMarket(A601,"高値")</f>
        <v>1179</v>
      </c>
      <c r="O601" s="4">
        <f t="shared" si="61"/>
        <v>-8.4817642069545673E-4</v>
      </c>
      <c r="P601" s="21">
        <f>_xll.RssMarket(A601,"安値")</f>
        <v>1172</v>
      </c>
      <c r="Q601" s="4">
        <f t="shared" si="62"/>
        <v>5.1194539249146409E-3</v>
      </c>
      <c r="R601" s="21">
        <f>_xll.RssMarket(A601,"後場始値")</f>
        <v>1178</v>
      </c>
      <c r="S601" s="25">
        <f t="shared" si="63"/>
        <v>0</v>
      </c>
      <c r="T601" s="7">
        <f>_xll.RssMarket(A601,"出来高加重平均")</f>
        <v>1176.8181</v>
      </c>
      <c r="U601" s="4">
        <f t="shared" si="64"/>
        <v>1.0043183394272681E-3</v>
      </c>
      <c r="V601" s="21">
        <f>_xll.RssMarket(A601,"出来高")</f>
        <v>4400</v>
      </c>
      <c r="W601" s="21">
        <f>_xll.RssMarket(A601,"売買代金")</f>
        <v>5178</v>
      </c>
      <c r="X601" s="20" t="str">
        <f>_xll.RssMarket(A601,"決算発表日")</f>
        <v>2024/01/31</v>
      </c>
      <c r="Y601" s="26" t="str">
        <f>IF(C601&gt;_xll.RssMarket(A601,"年初来高値"),"○","×")</f>
        <v>×</v>
      </c>
      <c r="Z601" s="27" t="str">
        <f>IF(C601&lt;=_xll.RssMarket(A601,"年初来安値"),"○","×")</f>
        <v>×</v>
      </c>
    </row>
    <row r="602" spans="1:26" x14ac:dyDescent="0.25">
      <c r="A602" s="47">
        <v>5632</v>
      </c>
      <c r="B602" s="20" t="str">
        <f>_xll.RssMarket(A602,"銘柄名称")</f>
        <v>三菱製鋼</v>
      </c>
      <c r="C602" s="21">
        <f>_xll.RssMarket(A602,"現在値")</f>
        <v>1671</v>
      </c>
      <c r="D602" s="20" t="str">
        <f>_xll.RssMarket(A602,"現在値詳細時刻")</f>
        <v>15:00:00</v>
      </c>
      <c r="E602" s="22">
        <f>_xll.RssMarket(A602,"前日比")</f>
        <v>39</v>
      </c>
      <c r="F602" s="23">
        <f>_xll.RssMarket(A602,"前日比率")/100</f>
        <v>2.3900000000000001E-2</v>
      </c>
      <c r="G602" s="24" t="str">
        <f>IFERROR(VLOOKUP(A602,取得元!$A$2:$F$501,2,FALSE),"-")</f>
        <v>-</v>
      </c>
      <c r="H602" s="24" t="str">
        <f>IFERROR(VLOOKUP(A602,取得元!$A$2:$F$501,3,FALSE),"-")</f>
        <v>-</v>
      </c>
      <c r="I602" s="24" t="str">
        <f>IFERROR(VLOOKUP(A602,取得元!$A$2:$F$501,4,FALSE),"-")</f>
        <v>-</v>
      </c>
      <c r="J602" s="5" t="str">
        <f>IFERROR(VLOOKUP(A602,取得元!$A$2:$F$501,5,FALSE),"-")</f>
        <v>-</v>
      </c>
      <c r="K602" s="25" t="str">
        <f>IFERROR(VLOOKUP(A602,取得元!$A$2:$F$501,6,FALSE)/100,"-")</f>
        <v>-</v>
      </c>
      <c r="L602" s="21">
        <f>_xll.RssMarket(A602,"始値")</f>
        <v>1640</v>
      </c>
      <c r="M602" s="4">
        <f t="shared" si="60"/>
        <v>1.890243902439015E-2</v>
      </c>
      <c r="N602" s="21">
        <f>_xll.RssMarket(A602,"高値")</f>
        <v>1671</v>
      </c>
      <c r="O602" s="4">
        <f t="shared" si="61"/>
        <v>0</v>
      </c>
      <c r="P602" s="21">
        <f>_xll.RssMarket(A602,"安値")</f>
        <v>1627</v>
      </c>
      <c r="Q602" s="4">
        <f t="shared" si="62"/>
        <v>2.704363859864789E-2</v>
      </c>
      <c r="R602" s="21">
        <f>_xll.RssMarket(A602,"後場始値")</f>
        <v>1665</v>
      </c>
      <c r="S602" s="25">
        <f t="shared" si="63"/>
        <v>3.6036036036035668E-3</v>
      </c>
      <c r="T602" s="7">
        <f>_xll.RssMarket(A602,"出来高加重平均")</f>
        <v>1655.8323</v>
      </c>
      <c r="U602" s="4">
        <f t="shared" si="64"/>
        <v>9.1601667632645878E-3</v>
      </c>
      <c r="V602" s="21">
        <f>_xll.RssMarket(A602,"出来高")</f>
        <v>171800</v>
      </c>
      <c r="W602" s="21">
        <f>_xll.RssMarket(A602,"売買代金")</f>
        <v>284472</v>
      </c>
      <c r="X602" s="20" t="str">
        <f>_xll.RssMarket(A602,"決算発表日")</f>
        <v>2024/02/07</v>
      </c>
      <c r="Y602" s="26" t="str">
        <f>IF(C602&gt;_xll.RssMarket(A602,"年初来高値"),"○","×")</f>
        <v>×</v>
      </c>
      <c r="Z602" s="27" t="str">
        <f>IF(C602&lt;=_xll.RssMarket(A602,"年初来安値"),"○","×")</f>
        <v>×</v>
      </c>
    </row>
    <row r="603" spans="1:26" x14ac:dyDescent="0.25">
      <c r="A603" s="49">
        <v>5658</v>
      </c>
      <c r="B603" s="20" t="str">
        <f>_xll.RssMarket(A603,"銘柄名称")</f>
        <v>日亜鋼業</v>
      </c>
      <c r="C603" s="21">
        <f>_xll.RssMarket(A603,"現在値")</f>
        <v>333</v>
      </c>
      <c r="D603" s="20" t="str">
        <f>_xll.RssMarket(A603,"現在値詳細時刻")</f>
        <v>15:00:00</v>
      </c>
      <c r="E603" s="22">
        <f>_xll.RssMarket(A603,"前日比")</f>
        <v>4</v>
      </c>
      <c r="F603" s="23">
        <f>_xll.RssMarket(A603,"前日比率")/100</f>
        <v>1.2199999999999999E-2</v>
      </c>
      <c r="G603" s="24" t="str">
        <f>IFERROR(VLOOKUP(A603,取得元!$A$2:$F$501,2,FALSE),"-")</f>
        <v>-</v>
      </c>
      <c r="H603" s="24" t="str">
        <f>IFERROR(VLOOKUP(A603,取得元!$A$2:$F$501,3,FALSE),"-")</f>
        <v>-</v>
      </c>
      <c r="I603" s="24" t="str">
        <f>IFERROR(VLOOKUP(A603,取得元!$A$2:$F$501,4,FALSE),"-")</f>
        <v>-</v>
      </c>
      <c r="J603" s="5" t="str">
        <f>IFERROR(VLOOKUP(A603,取得元!$A$2:$F$501,5,FALSE),"-")</f>
        <v>-</v>
      </c>
      <c r="K603" s="25" t="str">
        <f>IFERROR(VLOOKUP(A603,取得元!$A$2:$F$501,6,FALSE)/100,"-")</f>
        <v>-</v>
      </c>
      <c r="L603" s="21">
        <f>_xll.RssMarket(A603,"始値")</f>
        <v>330</v>
      </c>
      <c r="M603" s="4">
        <f t="shared" si="60"/>
        <v>9.0909090909090384E-3</v>
      </c>
      <c r="N603" s="21">
        <f>_xll.RssMarket(A603,"高値")</f>
        <v>335</v>
      </c>
      <c r="O603" s="4">
        <f t="shared" si="61"/>
        <v>-5.9701492537312939E-3</v>
      </c>
      <c r="P603" s="21">
        <f>_xll.RssMarket(A603,"安値")</f>
        <v>329</v>
      </c>
      <c r="Q603" s="4">
        <f t="shared" si="62"/>
        <v>1.2158054711246091E-2</v>
      </c>
      <c r="R603" s="21">
        <f>_xll.RssMarket(A603,"後場始値")</f>
        <v>332</v>
      </c>
      <c r="S603" s="25">
        <f t="shared" si="63"/>
        <v>3.0120481927711218E-3</v>
      </c>
      <c r="T603" s="7">
        <f>_xll.RssMarket(A603,"出来高加重平均")</f>
        <v>332.15350000000001</v>
      </c>
      <c r="U603" s="4">
        <f t="shared" si="64"/>
        <v>2.5485204882682577E-3</v>
      </c>
      <c r="V603" s="21">
        <f>_xll.RssMarket(A603,"出来高")</f>
        <v>46900</v>
      </c>
      <c r="W603" s="21">
        <f>_xll.RssMarket(A603,"売買代金")</f>
        <v>15578</v>
      </c>
      <c r="X603" s="20" t="str">
        <f>_xll.RssMarket(A603,"決算発表日")</f>
        <v>2024/01/31</v>
      </c>
      <c r="Y603" s="26" t="str">
        <f>IF(C603&gt;_xll.RssMarket(A603,"年初来高値"),"○","×")</f>
        <v>×</v>
      </c>
      <c r="Z603" s="27" t="str">
        <f>IF(C603&lt;=_xll.RssMarket(A603,"年初来安値"),"○","×")</f>
        <v>×</v>
      </c>
    </row>
    <row r="604" spans="1:26" x14ac:dyDescent="0.25">
      <c r="A604" s="47">
        <v>5698</v>
      </c>
      <c r="B604" s="20" t="str">
        <f>_xll.RssMarket(A604,"銘柄名称")</f>
        <v>エンビプロＨＤ</v>
      </c>
      <c r="C604" s="21">
        <f>_xll.RssMarket(A604,"現在値")</f>
        <v>591</v>
      </c>
      <c r="D604" s="20" t="str">
        <f>_xll.RssMarket(A604,"現在値詳細時刻")</f>
        <v>15:00:00</v>
      </c>
      <c r="E604" s="22">
        <f>_xll.RssMarket(A604,"前日比")</f>
        <v>-2</v>
      </c>
      <c r="F604" s="23">
        <f>_xll.RssMarket(A604,"前日比率")/100</f>
        <v>-3.4000000000000002E-3</v>
      </c>
      <c r="G604" s="24" t="str">
        <f>IFERROR(VLOOKUP(A604,取得元!$A$2:$F$501,2,FALSE),"-")</f>
        <v>-</v>
      </c>
      <c r="H604" s="24" t="str">
        <f>IFERROR(VLOOKUP(A604,取得元!$A$2:$F$501,3,FALSE),"-")</f>
        <v>-</v>
      </c>
      <c r="I604" s="24" t="str">
        <f>IFERROR(VLOOKUP(A604,取得元!$A$2:$F$501,4,FALSE),"-")</f>
        <v>-</v>
      </c>
      <c r="J604" s="5" t="str">
        <f>IFERROR(VLOOKUP(A604,取得元!$A$2:$F$501,5,FALSE),"-")</f>
        <v>-</v>
      </c>
      <c r="K604" s="25" t="str">
        <f>IFERROR(VLOOKUP(A604,取得元!$A$2:$F$501,6,FALSE)/100,"-")</f>
        <v>-</v>
      </c>
      <c r="L604" s="21">
        <f>_xll.RssMarket(A604,"始値")</f>
        <v>591</v>
      </c>
      <c r="M604" s="4">
        <f t="shared" si="60"/>
        <v>0</v>
      </c>
      <c r="N604" s="21">
        <f>_xll.RssMarket(A604,"高値")</f>
        <v>596</v>
      </c>
      <c r="O604" s="4">
        <f t="shared" si="61"/>
        <v>-8.3892617449664586E-3</v>
      </c>
      <c r="P604" s="21">
        <f>_xll.RssMarket(A604,"安値")</f>
        <v>588</v>
      </c>
      <c r="Q604" s="4">
        <f t="shared" si="62"/>
        <v>5.1020408163264808E-3</v>
      </c>
      <c r="R604" s="21">
        <f>_xll.RssMarket(A604,"後場始値")</f>
        <v>593</v>
      </c>
      <c r="S604" s="25">
        <f t="shared" si="63"/>
        <v>-3.3726812816189389E-3</v>
      </c>
      <c r="T604" s="7">
        <f>_xll.RssMarket(A604,"出来高加重平均")</f>
        <v>591.52639999999997</v>
      </c>
      <c r="U604" s="4">
        <f t="shared" si="64"/>
        <v>-8.8990111007714034E-4</v>
      </c>
      <c r="V604" s="21">
        <f>_xll.RssMarket(A604,"出来高")</f>
        <v>51100</v>
      </c>
      <c r="W604" s="21">
        <f>_xll.RssMarket(A604,"売買代金")</f>
        <v>30227</v>
      </c>
      <c r="X604" s="20" t="str">
        <f>_xll.RssMarket(A604,"決算発表日")</f>
        <v>2024/02/09</v>
      </c>
      <c r="Y604" s="26" t="str">
        <f>IF(C604&gt;_xll.RssMarket(A604,"年初来高値"),"○","×")</f>
        <v>×</v>
      </c>
      <c r="Z604" s="27" t="str">
        <f>IF(C604&lt;=_xll.RssMarket(A604,"年初来安値"),"○","×")</f>
        <v>×</v>
      </c>
    </row>
    <row r="605" spans="1:26" x14ac:dyDescent="0.25">
      <c r="A605" s="49">
        <v>5703</v>
      </c>
      <c r="B605" s="20" t="str">
        <f>_xll.RssMarket(A605,"銘柄名称")</f>
        <v>日本軽金属ＨＤ</v>
      </c>
      <c r="C605" s="21">
        <f>_xll.RssMarket(A605,"現在値")</f>
        <v>1722</v>
      </c>
      <c r="D605" s="20" t="str">
        <f>_xll.RssMarket(A605,"現在値詳細時刻")</f>
        <v>15:00:00</v>
      </c>
      <c r="E605" s="22">
        <f>_xll.RssMarket(A605,"前日比")</f>
        <v>4</v>
      </c>
      <c r="F605" s="23">
        <f>_xll.RssMarket(A605,"前日比率")/100</f>
        <v>2.3E-3</v>
      </c>
      <c r="G605" s="24" t="str">
        <f>IFERROR(VLOOKUP(A605,取得元!$A$2:$F$501,2,FALSE),"-")</f>
        <v>-</v>
      </c>
      <c r="H605" s="24" t="str">
        <f>IFERROR(VLOOKUP(A605,取得元!$A$2:$F$501,3,FALSE),"-")</f>
        <v>-</v>
      </c>
      <c r="I605" s="24" t="str">
        <f>IFERROR(VLOOKUP(A605,取得元!$A$2:$F$501,4,FALSE),"-")</f>
        <v>-</v>
      </c>
      <c r="J605" s="5" t="str">
        <f>IFERROR(VLOOKUP(A605,取得元!$A$2:$F$501,5,FALSE),"-")</f>
        <v>-</v>
      </c>
      <c r="K605" s="25" t="str">
        <f>IFERROR(VLOOKUP(A605,取得元!$A$2:$F$501,6,FALSE)/100,"-")</f>
        <v>-</v>
      </c>
      <c r="L605" s="21">
        <f>_xll.RssMarket(A605,"始値")</f>
        <v>1717</v>
      </c>
      <c r="M605" s="4">
        <f t="shared" si="60"/>
        <v>2.9120559114734768E-3</v>
      </c>
      <c r="N605" s="21">
        <f>_xll.RssMarket(A605,"高値")</f>
        <v>1726</v>
      </c>
      <c r="O605" s="4">
        <f t="shared" si="61"/>
        <v>-2.317497103128674E-3</v>
      </c>
      <c r="P605" s="21">
        <f>_xll.RssMarket(A605,"安値")</f>
        <v>1711</v>
      </c>
      <c r="Q605" s="4">
        <f t="shared" si="62"/>
        <v>6.4289888953827923E-3</v>
      </c>
      <c r="R605" s="21">
        <f>_xll.RssMarket(A605,"後場始値")</f>
        <v>1718</v>
      </c>
      <c r="S605" s="25">
        <f t="shared" si="63"/>
        <v>2.3282887077997749E-3</v>
      </c>
      <c r="T605" s="7">
        <f>_xll.RssMarket(A605,"出来高加重平均")</f>
        <v>1718.3661999999999</v>
      </c>
      <c r="U605" s="4">
        <f t="shared" si="64"/>
        <v>2.1146831216769524E-3</v>
      </c>
      <c r="V605" s="21">
        <f>_xll.RssMarket(A605,"出来高")</f>
        <v>182400</v>
      </c>
      <c r="W605" s="21">
        <f>_xll.RssMarket(A605,"売買代金")</f>
        <v>313430</v>
      </c>
      <c r="X605" s="20" t="str">
        <f>_xll.RssMarket(A605,"決算発表日")</f>
        <v>2024/01/31</v>
      </c>
      <c r="Y605" s="26" t="str">
        <f>IF(C605&gt;_xll.RssMarket(A605,"年初来高値"),"○","×")</f>
        <v>×</v>
      </c>
      <c r="Z605" s="27" t="str">
        <f>IF(C605&lt;=_xll.RssMarket(A605,"年初来安値"),"○","×")</f>
        <v>×</v>
      </c>
    </row>
    <row r="606" spans="1:26" x14ac:dyDescent="0.25">
      <c r="A606" s="47">
        <v>5704</v>
      </c>
      <c r="B606" s="20" t="str">
        <f>_xll.RssMarket(A606,"銘柄名称")</f>
        <v>ＪＭＣ</v>
      </c>
      <c r="C606" s="21">
        <f>_xll.RssMarket(A606,"現在値")</f>
        <v>1314</v>
      </c>
      <c r="D606" s="20" t="str">
        <f>_xll.RssMarket(A606,"現在値詳細時刻")</f>
        <v>15:00:00</v>
      </c>
      <c r="E606" s="22">
        <f>_xll.RssMarket(A606,"前日比")</f>
        <v>-24</v>
      </c>
      <c r="F606" s="23">
        <f>_xll.RssMarket(A606,"前日比率")/100</f>
        <v>-1.7899999999999999E-2</v>
      </c>
      <c r="G606" s="24" t="str">
        <f>IFERROR(VLOOKUP(A606,取得元!$A$2:$F$501,2,FALSE),"-")</f>
        <v>-</v>
      </c>
      <c r="H606" s="24" t="str">
        <f>IFERROR(VLOOKUP(A606,取得元!$A$2:$F$501,3,FALSE),"-")</f>
        <v>-</v>
      </c>
      <c r="I606" s="24" t="str">
        <f>IFERROR(VLOOKUP(A606,取得元!$A$2:$F$501,4,FALSE),"-")</f>
        <v>-</v>
      </c>
      <c r="J606" s="5" t="str">
        <f>IFERROR(VLOOKUP(A606,取得元!$A$2:$F$501,5,FALSE),"-")</f>
        <v>-</v>
      </c>
      <c r="K606" s="25" t="str">
        <f>IFERROR(VLOOKUP(A606,取得元!$A$2:$F$501,6,FALSE)/100,"-")</f>
        <v>-</v>
      </c>
      <c r="L606" s="21">
        <f>_xll.RssMarket(A606,"始値")</f>
        <v>1341</v>
      </c>
      <c r="M606" s="4">
        <f t="shared" si="60"/>
        <v>-2.0134228187919434E-2</v>
      </c>
      <c r="N606" s="21">
        <f>_xll.RssMarket(A606,"高値")</f>
        <v>1343</v>
      </c>
      <c r="O606" s="4">
        <f t="shared" si="61"/>
        <v>-2.1593447505584562E-2</v>
      </c>
      <c r="P606" s="21">
        <f>_xll.RssMarket(A606,"安値")</f>
        <v>1298</v>
      </c>
      <c r="Q606" s="4">
        <f t="shared" si="62"/>
        <v>1.2326656394453073E-2</v>
      </c>
      <c r="R606" s="21">
        <f>_xll.RssMarket(A606,"後場始値")</f>
        <v>1320</v>
      </c>
      <c r="S606" s="25">
        <f t="shared" si="63"/>
        <v>-4.5454545454545192E-3</v>
      </c>
      <c r="T606" s="7">
        <f>_xll.RssMarket(A606,"出来高加重平均")</f>
        <v>1319.0291</v>
      </c>
      <c r="U606" s="4">
        <f t="shared" si="64"/>
        <v>-3.8127286198613719E-3</v>
      </c>
      <c r="V606" s="21">
        <f>_xll.RssMarket(A606,"出来高")</f>
        <v>103000</v>
      </c>
      <c r="W606" s="21">
        <f>_xll.RssMarket(A606,"売買代金")</f>
        <v>135860</v>
      </c>
      <c r="X606" s="20" t="str">
        <f>_xll.RssMarket(A606,"決算発表日")</f>
        <v>2024/02/14</v>
      </c>
      <c r="Y606" s="26" t="str">
        <f>IF(C606&gt;_xll.RssMarket(A606,"年初来高値"),"○","×")</f>
        <v>×</v>
      </c>
      <c r="Z606" s="27" t="str">
        <f>IF(C606&lt;=_xll.RssMarket(A606,"年初来安値"),"○","×")</f>
        <v>×</v>
      </c>
    </row>
    <row r="607" spans="1:26" x14ac:dyDescent="0.25">
      <c r="A607" s="49">
        <v>5711</v>
      </c>
      <c r="B607" s="20" t="str">
        <f>_xll.RssMarket(A607,"銘柄名称")</f>
        <v>三菱マテリアル</v>
      </c>
      <c r="C607" s="21">
        <f>_xll.RssMarket(A607,"現在値")</f>
        <v>2771</v>
      </c>
      <c r="D607" s="20" t="str">
        <f>_xll.RssMarket(A607,"現在値詳細時刻")</f>
        <v>15:00:00</v>
      </c>
      <c r="E607" s="22">
        <f>_xll.RssMarket(A607,"前日比")</f>
        <v>61</v>
      </c>
      <c r="F607" s="23">
        <f>_xll.RssMarket(A607,"前日比率")/100</f>
        <v>2.2499999999999999E-2</v>
      </c>
      <c r="G607" s="24" t="str">
        <f>IFERROR(VLOOKUP(A607,取得元!$A$2:$F$501,2,FALSE),"-")</f>
        <v>-</v>
      </c>
      <c r="H607" s="24" t="str">
        <f>IFERROR(VLOOKUP(A607,取得元!$A$2:$F$501,3,FALSE),"-")</f>
        <v>-</v>
      </c>
      <c r="I607" s="24" t="str">
        <f>IFERROR(VLOOKUP(A607,取得元!$A$2:$F$501,4,FALSE),"-")</f>
        <v>-</v>
      </c>
      <c r="J607" s="5" t="str">
        <f>IFERROR(VLOOKUP(A607,取得元!$A$2:$F$501,5,FALSE),"-")</f>
        <v>-</v>
      </c>
      <c r="K607" s="25" t="str">
        <f>IFERROR(VLOOKUP(A607,取得元!$A$2:$F$501,6,FALSE)/100,"-")</f>
        <v>-</v>
      </c>
      <c r="L607" s="21">
        <f>_xll.RssMarket(A607,"始値")</f>
        <v>2721</v>
      </c>
      <c r="M607" s="4">
        <f t="shared" si="60"/>
        <v>1.8375597206909289E-2</v>
      </c>
      <c r="N607" s="21">
        <f>_xll.RssMarket(A607,"高値")</f>
        <v>2776</v>
      </c>
      <c r="O607" s="4">
        <f t="shared" si="61"/>
        <v>-1.8011527377521652E-3</v>
      </c>
      <c r="P607" s="21">
        <f>_xll.RssMarket(A607,"安値")</f>
        <v>2713</v>
      </c>
      <c r="Q607" s="4">
        <f t="shared" si="62"/>
        <v>2.1378547733136744E-2</v>
      </c>
      <c r="R607" s="21">
        <f>_xll.RssMarket(A607,"後場始値")</f>
        <v>2771</v>
      </c>
      <c r="S607" s="25">
        <f t="shared" si="63"/>
        <v>0</v>
      </c>
      <c r="T607" s="7">
        <f>_xll.RssMarket(A607,"出来高加重平均")</f>
        <v>2760.7426999999998</v>
      </c>
      <c r="U607" s="4">
        <f t="shared" si="64"/>
        <v>3.7154132473120605E-3</v>
      </c>
      <c r="V607" s="21">
        <f>_xll.RssMarket(A607,"出来高")</f>
        <v>782200</v>
      </c>
      <c r="W607" s="21">
        <f>_xll.RssMarket(A607,"売買代金")</f>
        <v>2159453</v>
      </c>
      <c r="X607" s="20" t="str">
        <f>_xll.RssMarket(A607,"決算発表日")</f>
        <v>2024/02/09</v>
      </c>
      <c r="Y607" s="26" t="str">
        <f>IF(C607&gt;_xll.RssMarket(A607,"年初来高値"),"○","×")</f>
        <v>○</v>
      </c>
      <c r="Z607" s="27" t="str">
        <f>IF(C607&lt;=_xll.RssMarket(A607,"年初来安値"),"○","×")</f>
        <v>×</v>
      </c>
    </row>
    <row r="608" spans="1:26" x14ac:dyDescent="0.25">
      <c r="A608" s="47">
        <v>5726</v>
      </c>
      <c r="B608" s="20" t="str">
        <f>_xll.RssMarket(A608,"銘柄名称")</f>
        <v>大阪チタニウム</v>
      </c>
      <c r="C608" s="21">
        <f>_xll.RssMarket(A608,"現在値")</f>
        <v>2791</v>
      </c>
      <c r="D608" s="20" t="str">
        <f>_xll.RssMarket(A608,"現在値詳細時刻")</f>
        <v>15:00:00</v>
      </c>
      <c r="E608" s="22">
        <f>_xll.RssMarket(A608,"前日比")</f>
        <v>35</v>
      </c>
      <c r="F608" s="23">
        <f>_xll.RssMarket(A608,"前日比率")/100</f>
        <v>1.2699999999999999E-2</v>
      </c>
      <c r="G608" s="24" t="str">
        <f>IFERROR(VLOOKUP(A608,取得元!$A$2:$F$501,2,FALSE),"-")</f>
        <v>-</v>
      </c>
      <c r="H608" s="24" t="str">
        <f>IFERROR(VLOOKUP(A608,取得元!$A$2:$F$501,3,FALSE),"-")</f>
        <v>-</v>
      </c>
      <c r="I608" s="24" t="str">
        <f>IFERROR(VLOOKUP(A608,取得元!$A$2:$F$501,4,FALSE),"-")</f>
        <v>-</v>
      </c>
      <c r="J608" s="5" t="str">
        <f>IFERROR(VLOOKUP(A608,取得元!$A$2:$F$501,5,FALSE),"-")</f>
        <v>-</v>
      </c>
      <c r="K608" s="25" t="str">
        <f>IFERROR(VLOOKUP(A608,取得元!$A$2:$F$501,6,FALSE)/100,"-")</f>
        <v>-</v>
      </c>
      <c r="L608" s="21">
        <f>_xll.RssMarket(A608,"始値")</f>
        <v>2860</v>
      </c>
      <c r="M608" s="4">
        <f t="shared" si="60"/>
        <v>-2.4125874125874081E-2</v>
      </c>
      <c r="N608" s="21">
        <f>_xll.RssMarket(A608,"高値")</f>
        <v>2940</v>
      </c>
      <c r="O608" s="4">
        <f t="shared" si="61"/>
        <v>-5.0680272108843516E-2</v>
      </c>
      <c r="P608" s="21">
        <f>_xll.RssMarket(A608,"安値")</f>
        <v>2763</v>
      </c>
      <c r="Q608" s="4">
        <f t="shared" si="62"/>
        <v>1.0133912414042712E-2</v>
      </c>
      <c r="R608" s="21">
        <f>_xll.RssMarket(A608,"後場始値")</f>
        <v>2812</v>
      </c>
      <c r="S608" s="25">
        <f t="shared" si="63"/>
        <v>-7.4679943100995905E-3</v>
      </c>
      <c r="T608" s="7">
        <f>_xll.RssMarket(A608,"出来高加重平均")</f>
        <v>2854.3483999999999</v>
      </c>
      <c r="U608" s="4">
        <f t="shared" si="64"/>
        <v>-2.2193646718109084E-2</v>
      </c>
      <c r="V608" s="21">
        <f>_xll.RssMarket(A608,"出来高")</f>
        <v>4402000</v>
      </c>
      <c r="W608" s="21">
        <f>_xll.RssMarket(A608,"売買代金")</f>
        <v>12564842</v>
      </c>
      <c r="X608" s="20" t="str">
        <f>_xll.RssMarket(A608,"決算発表日")</f>
        <v>2024/02/06</v>
      </c>
      <c r="Y608" s="26" t="str">
        <f>IF(C608&gt;_xll.RssMarket(A608,"年初来高値"),"○","×")</f>
        <v>×</v>
      </c>
      <c r="Z608" s="27" t="str">
        <f>IF(C608&lt;=_xll.RssMarket(A608,"年初来安値"),"○","×")</f>
        <v>×</v>
      </c>
    </row>
    <row r="609" spans="1:26" x14ac:dyDescent="0.25">
      <c r="A609" s="49">
        <v>5727</v>
      </c>
      <c r="B609" s="20" t="str">
        <f>_xll.RssMarket(A609,"銘柄名称")</f>
        <v>東邦チタニウム</v>
      </c>
      <c r="C609" s="21">
        <f>_xll.RssMarket(A609,"現在値")</f>
        <v>1860</v>
      </c>
      <c r="D609" s="20" t="str">
        <f>_xll.RssMarket(A609,"現在値詳細時刻")</f>
        <v>15:00:00</v>
      </c>
      <c r="E609" s="22">
        <f>_xll.RssMarket(A609,"前日比")</f>
        <v>17</v>
      </c>
      <c r="F609" s="23">
        <f>_xll.RssMarket(A609,"前日比率")/100</f>
        <v>9.1999999999999998E-3</v>
      </c>
      <c r="G609" s="24" t="str">
        <f>IFERROR(VLOOKUP(A609,取得元!$A$2:$F$501,2,FALSE),"-")</f>
        <v>-</v>
      </c>
      <c r="H609" s="24" t="str">
        <f>IFERROR(VLOOKUP(A609,取得元!$A$2:$F$501,3,FALSE),"-")</f>
        <v>-</v>
      </c>
      <c r="I609" s="24" t="str">
        <f>IFERROR(VLOOKUP(A609,取得元!$A$2:$F$501,4,FALSE),"-")</f>
        <v>-</v>
      </c>
      <c r="J609" s="5" t="str">
        <f>IFERROR(VLOOKUP(A609,取得元!$A$2:$F$501,5,FALSE),"-")</f>
        <v>-</v>
      </c>
      <c r="K609" s="25" t="str">
        <f>IFERROR(VLOOKUP(A609,取得元!$A$2:$F$501,6,FALSE)/100,"-")</f>
        <v>-</v>
      </c>
      <c r="L609" s="21">
        <f>_xll.RssMarket(A609,"始値")</f>
        <v>1840</v>
      </c>
      <c r="M609" s="4">
        <f t="shared" si="60"/>
        <v>1.0869565217391353E-2</v>
      </c>
      <c r="N609" s="21">
        <f>_xll.RssMarket(A609,"高値")</f>
        <v>1911</v>
      </c>
      <c r="O609" s="4">
        <f t="shared" si="61"/>
        <v>-2.6687598116169498E-2</v>
      </c>
      <c r="P609" s="21">
        <f>_xll.RssMarket(A609,"安値")</f>
        <v>1831</v>
      </c>
      <c r="Q609" s="4">
        <f t="shared" si="62"/>
        <v>1.5838339705079196E-2</v>
      </c>
      <c r="R609" s="21">
        <f>_xll.RssMarket(A609,"後場始値")</f>
        <v>1888</v>
      </c>
      <c r="S609" s="25">
        <f t="shared" si="63"/>
        <v>-1.4830508474576232E-2</v>
      </c>
      <c r="T609" s="7">
        <f>_xll.RssMarket(A609,"出来高加重平均")</f>
        <v>1878.3426999999999</v>
      </c>
      <c r="U609" s="4">
        <f t="shared" si="64"/>
        <v>-9.7653639029767758E-3</v>
      </c>
      <c r="V609" s="21">
        <f>_xll.RssMarket(A609,"出来高")</f>
        <v>725900</v>
      </c>
      <c r="W609" s="21">
        <f>_xll.RssMarket(A609,"売買代金")</f>
        <v>1363489</v>
      </c>
      <c r="X609" s="20" t="str">
        <f>_xll.RssMarket(A609,"決算発表日")</f>
        <v>2024/01/25</v>
      </c>
      <c r="Y609" s="26" t="str">
        <f>IF(C609&gt;_xll.RssMarket(A609,"年初来高値"),"○","×")</f>
        <v>×</v>
      </c>
      <c r="Z609" s="27" t="str">
        <f>IF(C609&lt;=_xll.RssMarket(A609,"年初来安値"),"○","×")</f>
        <v>×</v>
      </c>
    </row>
    <row r="610" spans="1:26" x14ac:dyDescent="0.25">
      <c r="A610" s="47">
        <v>5759</v>
      </c>
      <c r="B610" s="20" t="str">
        <f>_xll.RssMarket(A610,"銘柄名称")</f>
        <v>日本電解</v>
      </c>
      <c r="C610" s="21">
        <f>_xll.RssMarket(A610,"現在値")</f>
        <v>1114</v>
      </c>
      <c r="D610" s="20" t="str">
        <f>_xll.RssMarket(A610,"現在値詳細時刻")</f>
        <v>15:00:00</v>
      </c>
      <c r="E610" s="22">
        <f>_xll.RssMarket(A610,"前日比")</f>
        <v>-36</v>
      </c>
      <c r="F610" s="23">
        <f>_xll.RssMarket(A610,"前日比率")/100</f>
        <v>-3.1300000000000001E-2</v>
      </c>
      <c r="G610" s="24" t="str">
        <f>IFERROR(VLOOKUP(A610,取得元!$A$2:$F$501,2,FALSE),"-")</f>
        <v>-</v>
      </c>
      <c r="H610" s="24" t="str">
        <f>IFERROR(VLOOKUP(A610,取得元!$A$2:$F$501,3,FALSE),"-")</f>
        <v>-</v>
      </c>
      <c r="I610" s="24" t="str">
        <f>IFERROR(VLOOKUP(A610,取得元!$A$2:$F$501,4,FALSE),"-")</f>
        <v>-</v>
      </c>
      <c r="J610" s="5" t="str">
        <f>IFERROR(VLOOKUP(A610,取得元!$A$2:$F$501,5,FALSE),"-")</f>
        <v>-</v>
      </c>
      <c r="K610" s="25" t="str">
        <f>IFERROR(VLOOKUP(A610,取得元!$A$2:$F$501,6,FALSE)/100,"-")</f>
        <v>-</v>
      </c>
      <c r="L610" s="21">
        <f>_xll.RssMarket(A610,"始値")</f>
        <v>1148</v>
      </c>
      <c r="M610" s="4">
        <f t="shared" si="60"/>
        <v>-2.9616724738675937E-2</v>
      </c>
      <c r="N610" s="21">
        <f>_xll.RssMarket(A610,"高値")</f>
        <v>1149</v>
      </c>
      <c r="O610" s="4">
        <f t="shared" si="61"/>
        <v>-3.0461270670147922E-2</v>
      </c>
      <c r="P610" s="21">
        <f>_xll.RssMarket(A610,"安値")</f>
        <v>1108</v>
      </c>
      <c r="Q610" s="4">
        <f t="shared" si="62"/>
        <v>5.4151624548737232E-3</v>
      </c>
      <c r="R610" s="21">
        <f>_xll.RssMarket(A610,"後場始値")</f>
        <v>1118</v>
      </c>
      <c r="S610" s="25">
        <f t="shared" si="63"/>
        <v>-3.5778175313059268E-3</v>
      </c>
      <c r="T610" s="7">
        <f>_xll.RssMarket(A610,"出来高加重平均")</f>
        <v>1123.0867000000001</v>
      </c>
      <c r="U610" s="4">
        <f t="shared" si="64"/>
        <v>-8.0908268257473548E-3</v>
      </c>
      <c r="V610" s="21">
        <f>_xll.RssMarket(A610,"出来高")</f>
        <v>70300</v>
      </c>
      <c r="W610" s="21">
        <f>_xll.RssMarket(A610,"売買代金")</f>
        <v>78953</v>
      </c>
      <c r="X610" s="20" t="str">
        <f>_xll.RssMarket(A610,"決算発表日")</f>
        <v>2024/02/09</v>
      </c>
      <c r="Y610" s="26" t="str">
        <f>IF(C610&gt;_xll.RssMarket(A610,"年初来高値"),"○","×")</f>
        <v>×</v>
      </c>
      <c r="Z610" s="27" t="str">
        <f>IF(C610&lt;=_xll.RssMarket(A610,"年初来安値"),"○","×")</f>
        <v>×</v>
      </c>
    </row>
    <row r="611" spans="1:26" x14ac:dyDescent="0.25">
      <c r="A611" s="49">
        <v>5801</v>
      </c>
      <c r="B611" s="20" t="str">
        <f>_xll.RssMarket(A611,"銘柄名称")</f>
        <v>古河電工</v>
      </c>
      <c r="C611" s="21">
        <f>_xll.RssMarket(A611,"現在値")</f>
        <v>2759.5</v>
      </c>
      <c r="D611" s="20" t="str">
        <f>_xll.RssMarket(A611,"現在値詳細時刻")</f>
        <v>15:00:00</v>
      </c>
      <c r="E611" s="22">
        <f>_xll.RssMarket(A611,"前日比")</f>
        <v>13.5</v>
      </c>
      <c r="F611" s="23">
        <f>_xll.RssMarket(A611,"前日比率")/100</f>
        <v>4.8999999999999998E-3</v>
      </c>
      <c r="G611" s="24" t="str">
        <f>IFERROR(VLOOKUP(A611,取得元!$A$2:$F$501,2,FALSE),"-")</f>
        <v>-</v>
      </c>
      <c r="H611" s="24" t="str">
        <f>IFERROR(VLOOKUP(A611,取得元!$A$2:$F$501,3,FALSE),"-")</f>
        <v>-</v>
      </c>
      <c r="I611" s="24" t="str">
        <f>IFERROR(VLOOKUP(A611,取得元!$A$2:$F$501,4,FALSE),"-")</f>
        <v>-</v>
      </c>
      <c r="J611" s="5" t="str">
        <f>IFERROR(VLOOKUP(A611,取得元!$A$2:$F$501,5,FALSE),"-")</f>
        <v>-</v>
      </c>
      <c r="K611" s="25" t="str">
        <f>IFERROR(VLOOKUP(A611,取得元!$A$2:$F$501,6,FALSE)/100,"-")</f>
        <v>-</v>
      </c>
      <c r="L611" s="21">
        <f>_xll.RssMarket(A611,"始値")</f>
        <v>2737</v>
      </c>
      <c r="M611" s="4">
        <f t="shared" si="60"/>
        <v>8.2206795761783358E-3</v>
      </c>
      <c r="N611" s="21">
        <f>_xll.RssMarket(A611,"高値")</f>
        <v>2773</v>
      </c>
      <c r="O611" s="4">
        <f t="shared" si="61"/>
        <v>-4.8683736025965096E-3</v>
      </c>
      <c r="P611" s="21">
        <f>_xll.RssMarket(A611,"安値")</f>
        <v>2733</v>
      </c>
      <c r="Q611" s="4">
        <f t="shared" si="62"/>
        <v>9.69630442736924E-3</v>
      </c>
      <c r="R611" s="21">
        <f>_xll.RssMarket(A611,"後場始値")</f>
        <v>2760</v>
      </c>
      <c r="S611" s="25">
        <f t="shared" si="63"/>
        <v>-1.8115942028984477E-4</v>
      </c>
      <c r="T611" s="7">
        <f>_xll.RssMarket(A611,"出来高加重平均")</f>
        <v>2755.5156999999999</v>
      </c>
      <c r="U611" s="4">
        <f t="shared" si="64"/>
        <v>1.445936236182499E-3</v>
      </c>
      <c r="V611" s="21">
        <f>_xll.RssMarket(A611,"出来高")</f>
        <v>600100</v>
      </c>
      <c r="W611" s="21">
        <f>_xll.RssMarket(A611,"売買代金")</f>
        <v>1653585</v>
      </c>
      <c r="X611" s="20" t="str">
        <f>_xll.RssMarket(A611,"決算発表日")</f>
        <v>2024/02/08</v>
      </c>
      <c r="Y611" s="26" t="str">
        <f>IF(C611&gt;_xll.RssMarket(A611,"年初来高値"),"○","×")</f>
        <v>×</v>
      </c>
      <c r="Z611" s="27" t="str">
        <f>IF(C611&lt;=_xll.RssMarket(A611,"年初来安値"),"○","×")</f>
        <v>×</v>
      </c>
    </row>
    <row r="612" spans="1:26" x14ac:dyDescent="0.25">
      <c r="A612" s="47">
        <v>5802</v>
      </c>
      <c r="B612" s="20" t="str">
        <f>_xll.RssMarket(A612,"銘柄名称")</f>
        <v>住友電工</v>
      </c>
      <c r="C612" s="21">
        <f>_xll.RssMarket(A612,"現在値")</f>
        <v>2073.5</v>
      </c>
      <c r="D612" s="20" t="str">
        <f>_xll.RssMarket(A612,"現在値詳細時刻")</f>
        <v>15:00:00</v>
      </c>
      <c r="E612" s="22">
        <f>_xll.RssMarket(A612,"前日比")</f>
        <v>15</v>
      </c>
      <c r="F612" s="23">
        <f>_xll.RssMarket(A612,"前日比率")/100</f>
        <v>7.3000000000000001E-3</v>
      </c>
      <c r="G612" s="24" t="str">
        <f>IFERROR(VLOOKUP(A612,取得元!$A$2:$F$501,2,FALSE),"-")</f>
        <v>-</v>
      </c>
      <c r="H612" s="24" t="str">
        <f>IFERROR(VLOOKUP(A612,取得元!$A$2:$F$501,3,FALSE),"-")</f>
        <v>-</v>
      </c>
      <c r="I612" s="24" t="str">
        <f>IFERROR(VLOOKUP(A612,取得元!$A$2:$F$501,4,FALSE),"-")</f>
        <v>-</v>
      </c>
      <c r="J612" s="5" t="str">
        <f>IFERROR(VLOOKUP(A612,取得元!$A$2:$F$501,5,FALSE),"-")</f>
        <v>-</v>
      </c>
      <c r="K612" s="25" t="str">
        <f>IFERROR(VLOOKUP(A612,取得元!$A$2:$F$501,6,FALSE)/100,"-")</f>
        <v>-</v>
      </c>
      <c r="L612" s="21">
        <f>_xll.RssMarket(A612,"始値")</f>
        <v>2050</v>
      </c>
      <c r="M612" s="4">
        <f t="shared" si="60"/>
        <v>1.1463414634146352E-2</v>
      </c>
      <c r="N612" s="21">
        <f>_xll.RssMarket(A612,"高値")</f>
        <v>2100.5</v>
      </c>
      <c r="O612" s="4">
        <f t="shared" si="61"/>
        <v>-1.2854082361342556E-2</v>
      </c>
      <c r="P612" s="21">
        <f>_xll.RssMarket(A612,"安値")</f>
        <v>2040.5</v>
      </c>
      <c r="Q612" s="4">
        <f t="shared" si="62"/>
        <v>1.6172506738544534E-2</v>
      </c>
      <c r="R612" s="21">
        <f>_xll.RssMarket(A612,"後場始値")</f>
        <v>2094</v>
      </c>
      <c r="S612" s="25">
        <f t="shared" si="63"/>
        <v>-9.7898758357211069E-3</v>
      </c>
      <c r="T612" s="7">
        <f>_xll.RssMarket(A612,"出来高加重平均")</f>
        <v>2075.3494999999998</v>
      </c>
      <c r="U612" s="4">
        <f t="shared" si="64"/>
        <v>-8.9117519723780347E-4</v>
      </c>
      <c r="V612" s="21">
        <f>_xll.RssMarket(A612,"出来高")</f>
        <v>3058000</v>
      </c>
      <c r="W612" s="21">
        <f>_xll.RssMarket(A612,"売買代金")</f>
        <v>6346419</v>
      </c>
      <c r="X612" s="20" t="str">
        <f>_xll.RssMarket(A612,"決算発表日")</f>
        <v>2024/02/05</v>
      </c>
      <c r="Y612" s="26" t="str">
        <f>IF(C612&gt;_xll.RssMarket(A612,"年初来高値"),"○","×")</f>
        <v>×</v>
      </c>
      <c r="Z612" s="27" t="str">
        <f>IF(C612&lt;=_xll.RssMarket(A612,"年初来安値"),"○","×")</f>
        <v>×</v>
      </c>
    </row>
    <row r="613" spans="1:26" x14ac:dyDescent="0.25">
      <c r="A613" s="49">
        <v>5803</v>
      </c>
      <c r="B613" s="20" t="str">
        <f>_xll.RssMarket(A613,"銘柄名称")</f>
        <v>フジクラ</v>
      </c>
      <c r="C613" s="21">
        <f>_xll.RssMarket(A613,"現在値")</f>
        <v>1242</v>
      </c>
      <c r="D613" s="20" t="str">
        <f>_xll.RssMarket(A613,"現在値詳細時刻")</f>
        <v>15:00:00</v>
      </c>
      <c r="E613" s="22">
        <f>_xll.RssMarket(A613,"前日比")</f>
        <v>10</v>
      </c>
      <c r="F613" s="23">
        <f>_xll.RssMarket(A613,"前日比率")/100</f>
        <v>8.1000000000000013E-3</v>
      </c>
      <c r="G613" s="24">
        <f>IFERROR(VLOOKUP(A613,取得元!$A$2:$F$501,2,FALSE),"-")</f>
        <v>1</v>
      </c>
      <c r="H613" s="24">
        <f>IFERROR(VLOOKUP(A613,取得元!$A$2:$F$501,3,FALSE),"-")</f>
        <v>1187</v>
      </c>
      <c r="I613" s="24">
        <f>IFERROR(VLOOKUP(A613,取得元!$A$2:$F$501,4,FALSE),"-")</f>
        <v>1242</v>
      </c>
      <c r="J613" s="5">
        <f>IFERROR(VLOOKUP(A613,取得元!$A$2:$F$501,5,FALSE),"-")</f>
        <v>55</v>
      </c>
      <c r="K613" s="25">
        <f>IFERROR(VLOOKUP(A613,取得元!$A$2:$F$501,6,FALSE)/100,"-")</f>
        <v>4.6335300000000003E-2</v>
      </c>
      <c r="L613" s="21">
        <f>_xll.RssMarket(A613,"始値")</f>
        <v>1225.5</v>
      </c>
      <c r="M613" s="4">
        <f t="shared" si="60"/>
        <v>1.346389228886169E-2</v>
      </c>
      <c r="N613" s="21">
        <f>_xll.RssMarket(A613,"高値")</f>
        <v>1256</v>
      </c>
      <c r="O613" s="4">
        <f t="shared" si="61"/>
        <v>-1.1146496815286677E-2</v>
      </c>
      <c r="P613" s="21">
        <f>_xll.RssMarket(A613,"安値")</f>
        <v>1218</v>
      </c>
      <c r="Q613" s="4">
        <f t="shared" si="62"/>
        <v>1.9704433497536922E-2</v>
      </c>
      <c r="R613" s="21">
        <f>_xll.RssMarket(A613,"後場始値")</f>
        <v>1252</v>
      </c>
      <c r="S613" s="25">
        <f t="shared" si="63"/>
        <v>-7.9872204472843933E-3</v>
      </c>
      <c r="T613" s="7">
        <f>_xll.RssMarket(A613,"出来高加重平均")</f>
        <v>1244.8098</v>
      </c>
      <c r="U613" s="4">
        <f t="shared" si="64"/>
        <v>-2.2572123066512129E-3</v>
      </c>
      <c r="V613" s="21">
        <f>_xll.RssMarket(A613,"出来高")</f>
        <v>2001100</v>
      </c>
      <c r="W613" s="21">
        <f>_xll.RssMarket(A613,"売買代金")</f>
        <v>2490989</v>
      </c>
      <c r="X613" s="20" t="str">
        <f>_xll.RssMarket(A613,"決算発表日")</f>
        <v>2024/02/08</v>
      </c>
      <c r="Y613" s="26" t="str">
        <f>IF(C613&gt;_xll.RssMarket(A613,"年初来高値"),"○","×")</f>
        <v>×</v>
      </c>
      <c r="Z613" s="27" t="str">
        <f>IF(C613&lt;=_xll.RssMarket(A613,"年初来安値"),"○","×")</f>
        <v>×</v>
      </c>
    </row>
    <row r="614" spans="1:26" x14ac:dyDescent="0.25">
      <c r="A614" s="47">
        <v>5832</v>
      </c>
      <c r="B614" s="20" t="str">
        <f>_xll.RssMarket(A614,"銘柄名称")</f>
        <v>ちゅうぎんフィナンシャ</v>
      </c>
      <c r="C614" s="21">
        <f>_xll.RssMarket(A614,"現在値")</f>
        <v>1077.5</v>
      </c>
      <c r="D614" s="20" t="str">
        <f>_xll.RssMarket(A614,"現在値詳細時刻")</f>
        <v>15:00:00</v>
      </c>
      <c r="E614" s="22">
        <f>_xll.RssMarket(A614,"前日比")</f>
        <v>2</v>
      </c>
      <c r="F614" s="23">
        <f>_xll.RssMarket(A614,"前日比率")/100</f>
        <v>1.9E-3</v>
      </c>
      <c r="G614" s="24" t="str">
        <f>IFERROR(VLOOKUP(A614,取得元!$A$2:$F$501,2,FALSE),"-")</f>
        <v>-</v>
      </c>
      <c r="H614" s="24" t="str">
        <f>IFERROR(VLOOKUP(A614,取得元!$A$2:$F$501,3,FALSE),"-")</f>
        <v>-</v>
      </c>
      <c r="I614" s="24" t="str">
        <f>IFERROR(VLOOKUP(A614,取得元!$A$2:$F$501,4,FALSE),"-")</f>
        <v>-</v>
      </c>
      <c r="J614" s="5" t="str">
        <f>IFERROR(VLOOKUP(A614,取得元!$A$2:$F$501,5,FALSE),"-")</f>
        <v>-</v>
      </c>
      <c r="K614" s="25" t="str">
        <f>IFERROR(VLOOKUP(A614,取得元!$A$2:$F$501,6,FALSE)/100,"-")</f>
        <v>-</v>
      </c>
      <c r="L614" s="21">
        <f>_xll.RssMarket(A614,"始値")</f>
        <v>1069</v>
      </c>
      <c r="M614" s="4">
        <f t="shared" si="60"/>
        <v>7.9513564078577126E-3</v>
      </c>
      <c r="N614" s="21">
        <f>_xll.RssMarket(A614,"高値")</f>
        <v>1082</v>
      </c>
      <c r="O614" s="4">
        <f t="shared" si="61"/>
        <v>-4.1589648798521228E-3</v>
      </c>
      <c r="P614" s="21">
        <f>_xll.RssMarket(A614,"安値")</f>
        <v>1052.5</v>
      </c>
      <c r="Q614" s="4">
        <f t="shared" si="62"/>
        <v>2.3752969121140222E-2</v>
      </c>
      <c r="R614" s="21">
        <f>_xll.RssMarket(A614,"後場始値")</f>
        <v>1063.5</v>
      </c>
      <c r="S614" s="25">
        <f t="shared" si="63"/>
        <v>1.3164080865068151E-2</v>
      </c>
      <c r="T614" s="7">
        <f>_xll.RssMarket(A614,"出来高加重平均")</f>
        <v>1070.9278999999999</v>
      </c>
      <c r="U614" s="4">
        <f t="shared" si="64"/>
        <v>6.1368276986715209E-3</v>
      </c>
      <c r="V614" s="21">
        <f>_xll.RssMarket(A614,"出来高")</f>
        <v>472000</v>
      </c>
      <c r="W614" s="21">
        <f>_xll.RssMarket(A614,"売買代金")</f>
        <v>505478</v>
      </c>
      <c r="X614" s="20" t="str">
        <f>_xll.RssMarket(A614,"決算発表日")</f>
        <v>2024/02/02</v>
      </c>
      <c r="Y614" s="26" t="str">
        <f>IF(C614&gt;_xll.RssMarket(A614,"年初来高値"),"○","×")</f>
        <v>×</v>
      </c>
      <c r="Z614" s="27" t="str">
        <f>IF(C614&lt;=_xll.RssMarket(A614,"年初来安値"),"○","×")</f>
        <v>×</v>
      </c>
    </row>
    <row r="615" spans="1:26" x14ac:dyDescent="0.25">
      <c r="A615" s="49">
        <v>5838</v>
      </c>
      <c r="B615" s="20" t="str">
        <f>_xll.RssMarket(A615,"銘柄名称")</f>
        <v>楽天銀行</v>
      </c>
      <c r="C615" s="21">
        <f>_xll.RssMarket(A615,"現在値")</f>
        <v>2333</v>
      </c>
      <c r="D615" s="20" t="str">
        <f>_xll.RssMarket(A615,"現在値詳細時刻")</f>
        <v>15:00:00</v>
      </c>
      <c r="E615" s="22">
        <f>_xll.RssMarket(A615,"前日比")</f>
        <v>-34</v>
      </c>
      <c r="F615" s="23">
        <f>_xll.RssMarket(A615,"前日比率")/100</f>
        <v>-1.44E-2</v>
      </c>
      <c r="G615" s="24" t="str">
        <f>IFERROR(VLOOKUP(A615,取得元!$A$2:$F$501,2,FALSE),"-")</f>
        <v>-</v>
      </c>
      <c r="H615" s="24" t="str">
        <f>IFERROR(VLOOKUP(A615,取得元!$A$2:$F$501,3,FALSE),"-")</f>
        <v>-</v>
      </c>
      <c r="I615" s="24" t="str">
        <f>IFERROR(VLOOKUP(A615,取得元!$A$2:$F$501,4,FALSE),"-")</f>
        <v>-</v>
      </c>
      <c r="J615" s="5" t="str">
        <f>IFERROR(VLOOKUP(A615,取得元!$A$2:$F$501,5,FALSE),"-")</f>
        <v>-</v>
      </c>
      <c r="K615" s="25" t="str">
        <f>IFERROR(VLOOKUP(A615,取得元!$A$2:$F$501,6,FALSE)/100,"-")</f>
        <v>-</v>
      </c>
      <c r="L615" s="21">
        <f>_xll.RssMarket(A615,"始値")</f>
        <v>2335</v>
      </c>
      <c r="M615" s="4">
        <f t="shared" si="60"/>
        <v>-8.565310492505418E-4</v>
      </c>
      <c r="N615" s="21">
        <f>_xll.RssMarket(A615,"高値")</f>
        <v>2351</v>
      </c>
      <c r="O615" s="4">
        <f t="shared" si="61"/>
        <v>-7.6563164610803369E-3</v>
      </c>
      <c r="P615" s="21">
        <f>_xll.RssMarket(A615,"安値")</f>
        <v>2295</v>
      </c>
      <c r="Q615" s="4">
        <f t="shared" si="62"/>
        <v>1.6557734204793118E-2</v>
      </c>
      <c r="R615" s="21">
        <f>_xll.RssMarket(A615,"後場始値")</f>
        <v>2345</v>
      </c>
      <c r="S615" s="25">
        <f t="shared" si="63"/>
        <v>-5.1172707889125535E-3</v>
      </c>
      <c r="T615" s="7">
        <f>_xll.RssMarket(A615,"出来高加重平均")</f>
        <v>2333.6875</v>
      </c>
      <c r="U615" s="4">
        <f t="shared" si="64"/>
        <v>-2.9459814135357476E-4</v>
      </c>
      <c r="V615" s="21">
        <f>_xll.RssMarket(A615,"出来高")</f>
        <v>941000</v>
      </c>
      <c r="W615" s="21">
        <f>_xll.RssMarket(A615,"売買代金")</f>
        <v>2196000</v>
      </c>
      <c r="X615" s="20" t="str">
        <f>_xll.RssMarket(A615,"決算発表日")</f>
        <v>2024/02/13</v>
      </c>
      <c r="Y615" s="26" t="str">
        <f>IF(C615&gt;_xll.RssMarket(A615,"年初来高値"),"○","×")</f>
        <v>×</v>
      </c>
      <c r="Z615" s="27" t="str">
        <f>IF(C615&lt;=_xll.RssMarket(A615,"年初来安値"),"○","×")</f>
        <v>×</v>
      </c>
    </row>
    <row r="616" spans="1:26" x14ac:dyDescent="0.25">
      <c r="A616" s="47">
        <v>5852</v>
      </c>
      <c r="B616" s="20" t="str">
        <f>_xll.RssMarket(A616,"銘柄名称")</f>
        <v>アーレステイ</v>
      </c>
      <c r="C616" s="21">
        <f>_xll.RssMarket(A616,"現在値")</f>
        <v>768</v>
      </c>
      <c r="D616" s="20" t="str">
        <f>_xll.RssMarket(A616,"現在値詳細時刻")</f>
        <v>15:00:00</v>
      </c>
      <c r="E616" s="22">
        <f>_xll.RssMarket(A616,"前日比")</f>
        <v>30</v>
      </c>
      <c r="F616" s="23">
        <f>_xll.RssMarket(A616,"前日比率")/100</f>
        <v>4.07E-2</v>
      </c>
      <c r="G616" s="24" t="str">
        <f>IFERROR(VLOOKUP(A616,取得元!$A$2:$F$501,2,FALSE),"-")</f>
        <v>-</v>
      </c>
      <c r="H616" s="24" t="str">
        <f>IFERROR(VLOOKUP(A616,取得元!$A$2:$F$501,3,FALSE),"-")</f>
        <v>-</v>
      </c>
      <c r="I616" s="24" t="str">
        <f>IFERROR(VLOOKUP(A616,取得元!$A$2:$F$501,4,FALSE),"-")</f>
        <v>-</v>
      </c>
      <c r="J616" s="5" t="str">
        <f>IFERROR(VLOOKUP(A616,取得元!$A$2:$F$501,5,FALSE),"-")</f>
        <v>-</v>
      </c>
      <c r="K616" s="25" t="str">
        <f>IFERROR(VLOOKUP(A616,取得元!$A$2:$F$501,6,FALSE)/100,"-")</f>
        <v>-</v>
      </c>
      <c r="L616" s="21">
        <f>_xll.RssMarket(A616,"始値")</f>
        <v>743</v>
      </c>
      <c r="M616" s="4">
        <f t="shared" si="60"/>
        <v>3.3647375504710642E-2</v>
      </c>
      <c r="N616" s="21">
        <f>_xll.RssMarket(A616,"高値")</f>
        <v>772</v>
      </c>
      <c r="O616" s="4">
        <f t="shared" si="61"/>
        <v>-5.1813471502590858E-3</v>
      </c>
      <c r="P616" s="21">
        <f>_xll.RssMarket(A616,"安値")</f>
        <v>743</v>
      </c>
      <c r="Q616" s="4">
        <f t="shared" si="62"/>
        <v>3.3647375504710642E-2</v>
      </c>
      <c r="R616" s="21">
        <f>_xll.RssMarket(A616,"後場始値")</f>
        <v>768</v>
      </c>
      <c r="S616" s="25">
        <f t="shared" si="63"/>
        <v>0</v>
      </c>
      <c r="T616" s="7">
        <f>_xll.RssMarket(A616,"出来高加重平均")</f>
        <v>765.43020000000001</v>
      </c>
      <c r="U616" s="4">
        <f t="shared" si="64"/>
        <v>3.3573276831773136E-3</v>
      </c>
      <c r="V616" s="21">
        <f>_xll.RssMarket(A616,"出来高")</f>
        <v>642700</v>
      </c>
      <c r="W616" s="21">
        <f>_xll.RssMarket(A616,"売買代金")</f>
        <v>491942</v>
      </c>
      <c r="X616" s="20" t="str">
        <f>_xll.RssMarket(A616,"決算発表日")</f>
        <v>2024/02/08</v>
      </c>
      <c r="Y616" s="26" t="str">
        <f>IF(C616&gt;_xll.RssMarket(A616,"年初来高値"),"○","×")</f>
        <v>×</v>
      </c>
      <c r="Z616" s="27" t="str">
        <f>IF(C616&lt;=_xll.RssMarket(A616,"年初来安値"),"○","×")</f>
        <v>×</v>
      </c>
    </row>
    <row r="617" spans="1:26" x14ac:dyDescent="0.25">
      <c r="A617" s="49">
        <v>5856</v>
      </c>
      <c r="B617" s="20" t="str">
        <f>_xll.RssMarket(A617,"銘柄名称")</f>
        <v>エルアイイーエイチ</v>
      </c>
      <c r="C617" s="21">
        <f>_xll.RssMarket(A617,"現在値")</f>
        <v>43</v>
      </c>
      <c r="D617" s="20" t="str">
        <f>_xll.RssMarket(A617,"現在値詳細時刻")</f>
        <v>15:00:00</v>
      </c>
      <c r="E617" s="22">
        <f>_xll.RssMarket(A617,"前日比")</f>
        <v>-1</v>
      </c>
      <c r="F617" s="23">
        <f>_xll.RssMarket(A617,"前日比率")/100</f>
        <v>-2.2700000000000001E-2</v>
      </c>
      <c r="G617" s="24" t="str">
        <f>IFERROR(VLOOKUP(A617,取得元!$A$2:$F$501,2,FALSE),"-")</f>
        <v>-</v>
      </c>
      <c r="H617" s="24" t="str">
        <f>IFERROR(VLOOKUP(A617,取得元!$A$2:$F$501,3,FALSE),"-")</f>
        <v>-</v>
      </c>
      <c r="I617" s="24" t="str">
        <f>IFERROR(VLOOKUP(A617,取得元!$A$2:$F$501,4,FALSE),"-")</f>
        <v>-</v>
      </c>
      <c r="J617" s="5" t="str">
        <f>IFERROR(VLOOKUP(A617,取得元!$A$2:$F$501,5,FALSE),"-")</f>
        <v>-</v>
      </c>
      <c r="K617" s="25" t="str">
        <f>IFERROR(VLOOKUP(A617,取得元!$A$2:$F$501,6,FALSE)/100,"-")</f>
        <v>-</v>
      </c>
      <c r="L617" s="21">
        <f>_xll.RssMarket(A617,"始値")</f>
        <v>44</v>
      </c>
      <c r="M617" s="4">
        <f t="shared" si="60"/>
        <v>-2.2727272727272707E-2</v>
      </c>
      <c r="N617" s="21">
        <f>_xll.RssMarket(A617,"高値")</f>
        <v>44</v>
      </c>
      <c r="O617" s="4">
        <f t="shared" si="61"/>
        <v>-2.2727272727272707E-2</v>
      </c>
      <c r="P617" s="21">
        <f>_xll.RssMarket(A617,"安値")</f>
        <v>43</v>
      </c>
      <c r="Q617" s="4">
        <f t="shared" si="62"/>
        <v>0</v>
      </c>
      <c r="R617" s="21">
        <f>_xll.RssMarket(A617,"後場始値")</f>
        <v>44</v>
      </c>
      <c r="S617" s="25">
        <f t="shared" si="63"/>
        <v>-2.2727272727272707E-2</v>
      </c>
      <c r="T617" s="7">
        <f>_xll.RssMarket(A617,"出来高加重平均")</f>
        <v>43.525700000000001</v>
      </c>
      <c r="U617" s="4">
        <f t="shared" si="64"/>
        <v>-1.2077921779546363E-2</v>
      </c>
      <c r="V617" s="21">
        <f>_xll.RssMarket(A617,"出来高")</f>
        <v>48500</v>
      </c>
      <c r="W617" s="21">
        <f>_xll.RssMarket(A617,"売買代金")</f>
        <v>2111</v>
      </c>
      <c r="X617" s="20" t="str">
        <f>_xll.RssMarket(A617,"決算発表日")</f>
        <v>2024/02/14</v>
      </c>
      <c r="Y617" s="26" t="str">
        <f>IF(C617&gt;_xll.RssMarket(A617,"年初来高値"),"○","×")</f>
        <v>×</v>
      </c>
      <c r="Z617" s="27" t="str">
        <f>IF(C617&lt;=_xll.RssMarket(A617,"年初来安値"),"○","×")</f>
        <v>×</v>
      </c>
    </row>
    <row r="618" spans="1:26" x14ac:dyDescent="0.25">
      <c r="A618" s="47">
        <v>5909</v>
      </c>
      <c r="B618" s="20" t="str">
        <f>_xll.RssMarket(A618,"銘柄名称")</f>
        <v>コロナ</v>
      </c>
      <c r="C618" s="21">
        <f>_xll.RssMarket(A618,"現在値")</f>
        <v>953</v>
      </c>
      <c r="D618" s="20" t="str">
        <f>_xll.RssMarket(A618,"現在値詳細時刻")</f>
        <v>15:00:00</v>
      </c>
      <c r="E618" s="22">
        <f>_xll.RssMarket(A618,"前日比")</f>
        <v>-3</v>
      </c>
      <c r="F618" s="23">
        <f>_xll.RssMarket(A618,"前日比率")/100</f>
        <v>-3.0999999999999999E-3</v>
      </c>
      <c r="G618" s="24" t="str">
        <f>IFERROR(VLOOKUP(A618,取得元!$A$2:$F$501,2,FALSE),"-")</f>
        <v>-</v>
      </c>
      <c r="H618" s="24" t="str">
        <f>IFERROR(VLOOKUP(A618,取得元!$A$2:$F$501,3,FALSE),"-")</f>
        <v>-</v>
      </c>
      <c r="I618" s="24" t="str">
        <f>IFERROR(VLOOKUP(A618,取得元!$A$2:$F$501,4,FALSE),"-")</f>
        <v>-</v>
      </c>
      <c r="J618" s="5" t="str">
        <f>IFERROR(VLOOKUP(A618,取得元!$A$2:$F$501,5,FALSE),"-")</f>
        <v>-</v>
      </c>
      <c r="K618" s="25" t="str">
        <f>IFERROR(VLOOKUP(A618,取得元!$A$2:$F$501,6,FALSE)/100,"-")</f>
        <v>-</v>
      </c>
      <c r="L618" s="21">
        <f>_xll.RssMarket(A618,"始値")</f>
        <v>955</v>
      </c>
      <c r="M618" s="4">
        <f t="shared" si="60"/>
        <v>-2.0942408376963817E-3</v>
      </c>
      <c r="N618" s="21">
        <f>_xll.RssMarket(A618,"高値")</f>
        <v>956</v>
      </c>
      <c r="O618" s="4">
        <f t="shared" si="61"/>
        <v>-3.1380753138074979E-3</v>
      </c>
      <c r="P618" s="21">
        <f>_xll.RssMarket(A618,"安値")</f>
        <v>952</v>
      </c>
      <c r="Q618" s="4">
        <f t="shared" si="62"/>
        <v>1.0504201680672232E-3</v>
      </c>
      <c r="R618" s="21">
        <f>_xll.RssMarket(A618,"後場始値")</f>
        <v>956</v>
      </c>
      <c r="S618" s="25">
        <f t="shared" si="63"/>
        <v>-3.1380753138074979E-3</v>
      </c>
      <c r="T618" s="7">
        <f>_xll.RssMarket(A618,"出来高加重平均")</f>
        <v>954.14279999999997</v>
      </c>
      <c r="U618" s="4">
        <f t="shared" si="64"/>
        <v>-1.1977242819418699E-3</v>
      </c>
      <c r="V618" s="21">
        <f>_xll.RssMarket(A618,"出来高")</f>
        <v>7000</v>
      </c>
      <c r="W618" s="21">
        <f>_xll.RssMarket(A618,"売買代金")</f>
        <v>6679</v>
      </c>
      <c r="X618" s="20" t="str">
        <f>_xll.RssMarket(A618,"決算発表日")</f>
        <v>2024/02/02</v>
      </c>
      <c r="Y618" s="26" t="str">
        <f>IF(C618&gt;_xll.RssMarket(A618,"年初来高値"),"○","×")</f>
        <v>×</v>
      </c>
      <c r="Z618" s="27" t="str">
        <f>IF(C618&lt;=_xll.RssMarket(A618,"年初来安値"),"○","×")</f>
        <v>×</v>
      </c>
    </row>
    <row r="619" spans="1:26" x14ac:dyDescent="0.25">
      <c r="A619" s="49">
        <v>5928</v>
      </c>
      <c r="B619" s="20" t="str">
        <f>_xll.RssMarket(A619,"銘柄名称")</f>
        <v>アルメタックス</v>
      </c>
      <c r="C619" s="21">
        <f>_xll.RssMarket(A619,"現在値")</f>
        <v>310</v>
      </c>
      <c r="D619" s="20" t="str">
        <f>_xll.RssMarket(A619,"現在値詳細時刻")</f>
        <v>15:00:00</v>
      </c>
      <c r="E619" s="22">
        <f>_xll.RssMarket(A619,"前日比")</f>
        <v>-5</v>
      </c>
      <c r="F619" s="23">
        <f>_xll.RssMarket(A619,"前日比率")/100</f>
        <v>-1.5900000000000001E-2</v>
      </c>
      <c r="G619" s="24" t="str">
        <f>IFERROR(VLOOKUP(A619,取得元!$A$2:$F$501,2,FALSE),"-")</f>
        <v>-</v>
      </c>
      <c r="H619" s="24" t="str">
        <f>IFERROR(VLOOKUP(A619,取得元!$A$2:$F$501,3,FALSE),"-")</f>
        <v>-</v>
      </c>
      <c r="I619" s="24" t="str">
        <f>IFERROR(VLOOKUP(A619,取得元!$A$2:$F$501,4,FALSE),"-")</f>
        <v>-</v>
      </c>
      <c r="J619" s="5" t="str">
        <f>IFERROR(VLOOKUP(A619,取得元!$A$2:$F$501,5,FALSE),"-")</f>
        <v>-</v>
      </c>
      <c r="K619" s="25" t="str">
        <f>IFERROR(VLOOKUP(A619,取得元!$A$2:$F$501,6,FALSE)/100,"-")</f>
        <v>-</v>
      </c>
      <c r="L619" s="21">
        <f>_xll.RssMarket(A619,"始値")</f>
        <v>315</v>
      </c>
      <c r="M619" s="4">
        <f t="shared" si="60"/>
        <v>-1.5873015873015928E-2</v>
      </c>
      <c r="N619" s="21">
        <f>_xll.RssMarket(A619,"高値")</f>
        <v>315</v>
      </c>
      <c r="O619" s="4">
        <f t="shared" si="61"/>
        <v>-1.5873015873015928E-2</v>
      </c>
      <c r="P619" s="21">
        <f>_xll.RssMarket(A619,"安値")</f>
        <v>307</v>
      </c>
      <c r="Q619" s="4">
        <f t="shared" si="62"/>
        <v>9.7719869706840434E-3</v>
      </c>
      <c r="R619" s="21">
        <f>_xll.RssMarket(A619,"後場始値")</f>
        <v>311</v>
      </c>
      <c r="S619" s="25">
        <f t="shared" si="63"/>
        <v>-3.215434083601254E-3</v>
      </c>
      <c r="T619" s="7">
        <f>_xll.RssMarket(A619,"出来高加重平均")</f>
        <v>311.53109999999998</v>
      </c>
      <c r="U619" s="4">
        <f t="shared" si="64"/>
        <v>-4.9147581092223724E-3</v>
      </c>
      <c r="V619" s="21">
        <f>_xll.RssMarket(A619,"出来高")</f>
        <v>41800</v>
      </c>
      <c r="W619" s="21">
        <f>_xll.RssMarket(A619,"売買代金")</f>
        <v>13022</v>
      </c>
      <c r="X619" s="20" t="str">
        <f>_xll.RssMarket(A619,"決算発表日")</f>
        <v>2024/01/31</v>
      </c>
      <c r="Y619" s="26" t="str">
        <f>IF(C619&gt;_xll.RssMarket(A619,"年初来高値"),"○","×")</f>
        <v>×</v>
      </c>
      <c r="Z619" s="27" t="str">
        <f>IF(C619&lt;=_xll.RssMarket(A619,"年初来安値"),"○","×")</f>
        <v>×</v>
      </c>
    </row>
    <row r="620" spans="1:26" x14ac:dyDescent="0.25">
      <c r="A620" s="47">
        <v>5936</v>
      </c>
      <c r="B620" s="20" t="str">
        <f>_xll.RssMarket(A620,"銘柄名称")</f>
        <v>東洋シヤツタ－</v>
      </c>
      <c r="C620" s="21">
        <f>_xll.RssMarket(A620,"現在値")</f>
        <v>731</v>
      </c>
      <c r="D620" s="20" t="str">
        <f>_xll.RssMarket(A620,"現在値詳細時刻")</f>
        <v>15:00:00</v>
      </c>
      <c r="E620" s="22">
        <f>_xll.RssMarket(A620,"前日比")</f>
        <v>-1</v>
      </c>
      <c r="F620" s="23">
        <f>_xll.RssMarket(A620,"前日比率")/100</f>
        <v>-1.4000000000000002E-3</v>
      </c>
      <c r="G620" s="24" t="str">
        <f>IFERROR(VLOOKUP(A620,取得元!$A$2:$F$501,2,FALSE),"-")</f>
        <v>-</v>
      </c>
      <c r="H620" s="24" t="str">
        <f>IFERROR(VLOOKUP(A620,取得元!$A$2:$F$501,3,FALSE),"-")</f>
        <v>-</v>
      </c>
      <c r="I620" s="24" t="str">
        <f>IFERROR(VLOOKUP(A620,取得元!$A$2:$F$501,4,FALSE),"-")</f>
        <v>-</v>
      </c>
      <c r="J620" s="5" t="str">
        <f>IFERROR(VLOOKUP(A620,取得元!$A$2:$F$501,5,FALSE),"-")</f>
        <v>-</v>
      </c>
      <c r="K620" s="25" t="str">
        <f>IFERROR(VLOOKUP(A620,取得元!$A$2:$F$501,6,FALSE)/100,"-")</f>
        <v>-</v>
      </c>
      <c r="L620" s="21">
        <f>_xll.RssMarket(A620,"始値")</f>
        <v>737</v>
      </c>
      <c r="M620" s="4">
        <f t="shared" si="60"/>
        <v>-8.141112618724522E-3</v>
      </c>
      <c r="N620" s="21">
        <f>_xll.RssMarket(A620,"高値")</f>
        <v>737</v>
      </c>
      <c r="O620" s="4">
        <f t="shared" si="61"/>
        <v>-8.141112618724522E-3</v>
      </c>
      <c r="P620" s="21">
        <f>_xll.RssMarket(A620,"安値")</f>
        <v>730</v>
      </c>
      <c r="Q620" s="4">
        <f t="shared" si="62"/>
        <v>1.36986301369868E-3</v>
      </c>
      <c r="R620" s="21">
        <f>_xll.RssMarket(A620,"後場始値")</f>
        <v>734</v>
      </c>
      <c r="S620" s="25">
        <f t="shared" si="63"/>
        <v>-4.0871934604904681E-3</v>
      </c>
      <c r="T620" s="7">
        <f>_xll.RssMarket(A620,"出来高加重平均")</f>
        <v>731.68140000000005</v>
      </c>
      <c r="U620" s="4">
        <f t="shared" si="64"/>
        <v>-9.3127965259198753E-4</v>
      </c>
      <c r="V620" s="21">
        <f>_xll.RssMarket(A620,"出来高")</f>
        <v>11300</v>
      </c>
      <c r="W620" s="21">
        <f>_xll.RssMarket(A620,"売買代金")</f>
        <v>8268</v>
      </c>
      <c r="X620" s="20" t="str">
        <f>_xll.RssMarket(A620,"決算発表日")</f>
        <v>2024/01/30</v>
      </c>
      <c r="Y620" s="26" t="str">
        <f>IF(C620&gt;_xll.RssMarket(A620,"年初来高値"),"○","×")</f>
        <v>×</v>
      </c>
      <c r="Z620" s="27" t="str">
        <f>IF(C620&lt;=_xll.RssMarket(A620,"年初来安値"),"○","×")</f>
        <v>×</v>
      </c>
    </row>
    <row r="621" spans="1:26" x14ac:dyDescent="0.25">
      <c r="A621" s="49">
        <v>5938</v>
      </c>
      <c r="B621" s="20" t="str">
        <f>_xll.RssMarket(A621,"銘柄名称")</f>
        <v>ＬＩＸＩＬ</v>
      </c>
      <c r="C621" s="21">
        <f>_xll.RssMarket(A621,"現在値")</f>
        <v>1960</v>
      </c>
      <c r="D621" s="20" t="str">
        <f>_xll.RssMarket(A621,"現在値詳細時刻")</f>
        <v>15:00:00</v>
      </c>
      <c r="E621" s="22">
        <f>_xll.RssMarket(A621,"前日比")</f>
        <v>-15</v>
      </c>
      <c r="F621" s="23">
        <f>_xll.RssMarket(A621,"前日比率")/100</f>
        <v>-7.6E-3</v>
      </c>
      <c r="G621" s="24" t="str">
        <f>IFERROR(VLOOKUP(A621,取得元!$A$2:$F$501,2,FALSE),"-")</f>
        <v>-</v>
      </c>
      <c r="H621" s="24" t="str">
        <f>IFERROR(VLOOKUP(A621,取得元!$A$2:$F$501,3,FALSE),"-")</f>
        <v>-</v>
      </c>
      <c r="I621" s="24" t="str">
        <f>IFERROR(VLOOKUP(A621,取得元!$A$2:$F$501,4,FALSE),"-")</f>
        <v>-</v>
      </c>
      <c r="J621" s="5" t="str">
        <f>IFERROR(VLOOKUP(A621,取得元!$A$2:$F$501,5,FALSE),"-")</f>
        <v>-</v>
      </c>
      <c r="K621" s="25" t="str">
        <f>IFERROR(VLOOKUP(A621,取得元!$A$2:$F$501,6,FALSE)/100,"-")</f>
        <v>-</v>
      </c>
      <c r="L621" s="21">
        <f>_xll.RssMarket(A621,"始値")</f>
        <v>1980</v>
      </c>
      <c r="M621" s="4">
        <f t="shared" si="60"/>
        <v>-1.0101010101010055E-2</v>
      </c>
      <c r="N621" s="21">
        <f>_xll.RssMarket(A621,"高値")</f>
        <v>1980.5</v>
      </c>
      <c r="O621" s="4">
        <f t="shared" si="61"/>
        <v>-1.0350921484473585E-2</v>
      </c>
      <c r="P621" s="21">
        <f>_xll.RssMarket(A621,"安値")</f>
        <v>1951</v>
      </c>
      <c r="Q621" s="4">
        <f t="shared" si="62"/>
        <v>4.6130189646336195E-3</v>
      </c>
      <c r="R621" s="21">
        <f>_xll.RssMarket(A621,"後場始値")</f>
        <v>1960</v>
      </c>
      <c r="S621" s="25">
        <f t="shared" si="63"/>
        <v>0</v>
      </c>
      <c r="T621" s="7">
        <f>_xll.RssMarket(A621,"出来高加重平均")</f>
        <v>1961.2446</v>
      </c>
      <c r="U621" s="4">
        <f t="shared" si="64"/>
        <v>-6.3459703088541985E-4</v>
      </c>
      <c r="V621" s="21">
        <f>_xll.RssMarket(A621,"出来高")</f>
        <v>1570700</v>
      </c>
      <c r="W621" s="21">
        <f>_xll.RssMarket(A621,"売買代金")</f>
        <v>3080527</v>
      </c>
      <c r="X621" s="20" t="str">
        <f>_xll.RssMarket(A621,"決算発表日")</f>
        <v>2024/01/31</v>
      </c>
      <c r="Y621" s="26" t="str">
        <f>IF(C621&gt;_xll.RssMarket(A621,"年初来高値"),"○","×")</f>
        <v>×</v>
      </c>
      <c r="Z621" s="27" t="str">
        <f>IF(C621&lt;=_xll.RssMarket(A621,"年初来安値"),"○","×")</f>
        <v>×</v>
      </c>
    </row>
    <row r="622" spans="1:26" x14ac:dyDescent="0.25">
      <c r="A622" s="47">
        <v>5940</v>
      </c>
      <c r="B622" s="20" t="str">
        <f>_xll.RssMarket(A622,"銘柄名称")</f>
        <v>不二サッシ</v>
      </c>
      <c r="C622" s="21">
        <f>_xll.RssMarket(A622,"現在値")</f>
        <v>79</v>
      </c>
      <c r="D622" s="20" t="str">
        <f>_xll.RssMarket(A622,"現在値詳細時刻")</f>
        <v>15:00:00</v>
      </c>
      <c r="E622" s="22">
        <f>_xll.RssMarket(A622,"前日比")</f>
        <v>-1</v>
      </c>
      <c r="F622" s="23">
        <f>_xll.RssMarket(A622,"前日比率")/100</f>
        <v>-1.2500000000000001E-2</v>
      </c>
      <c r="G622" s="24" t="str">
        <f>IFERROR(VLOOKUP(A622,取得元!$A$2:$F$501,2,FALSE),"-")</f>
        <v>-</v>
      </c>
      <c r="H622" s="24" t="str">
        <f>IFERROR(VLOOKUP(A622,取得元!$A$2:$F$501,3,FALSE),"-")</f>
        <v>-</v>
      </c>
      <c r="I622" s="24" t="str">
        <f>IFERROR(VLOOKUP(A622,取得元!$A$2:$F$501,4,FALSE),"-")</f>
        <v>-</v>
      </c>
      <c r="J622" s="5" t="str">
        <f>IFERROR(VLOOKUP(A622,取得元!$A$2:$F$501,5,FALSE),"-")</f>
        <v>-</v>
      </c>
      <c r="K622" s="25" t="str">
        <f>IFERROR(VLOOKUP(A622,取得元!$A$2:$F$501,6,FALSE)/100,"-")</f>
        <v>-</v>
      </c>
      <c r="L622" s="21">
        <f>_xll.RssMarket(A622,"始値")</f>
        <v>80</v>
      </c>
      <c r="M622" s="4">
        <f t="shared" si="60"/>
        <v>-1.2499999999999956E-2</v>
      </c>
      <c r="N622" s="21">
        <f>_xll.RssMarket(A622,"高値")</f>
        <v>80</v>
      </c>
      <c r="O622" s="4">
        <f t="shared" si="61"/>
        <v>-1.2499999999999956E-2</v>
      </c>
      <c r="P622" s="21">
        <f>_xll.RssMarket(A622,"安値")</f>
        <v>77</v>
      </c>
      <c r="Q622" s="4">
        <f t="shared" si="62"/>
        <v>2.5974025974025983E-2</v>
      </c>
      <c r="R622" s="21">
        <f>_xll.RssMarket(A622,"後場始値")</f>
        <v>78</v>
      </c>
      <c r="S622" s="25">
        <f t="shared" si="63"/>
        <v>1.2820512820512775E-2</v>
      </c>
      <c r="T622" s="7">
        <f>_xll.RssMarket(A622,"出来高加重平均")</f>
        <v>78.768900000000002</v>
      </c>
      <c r="U622" s="4">
        <f t="shared" si="64"/>
        <v>2.9338990388338981E-3</v>
      </c>
      <c r="V622" s="21">
        <f>_xll.RssMarket(A622,"出来高")</f>
        <v>540200</v>
      </c>
      <c r="W622" s="21">
        <f>_xll.RssMarket(A622,"売買代金")</f>
        <v>42551</v>
      </c>
      <c r="X622" s="20" t="str">
        <f>_xll.RssMarket(A622,"決算発表日")</f>
        <v>2024/02/06</v>
      </c>
      <c r="Y622" s="26" t="str">
        <f>IF(C622&gt;_xll.RssMarket(A622,"年初来高値"),"○","×")</f>
        <v>×</v>
      </c>
      <c r="Z622" s="27" t="str">
        <f>IF(C622&lt;=_xll.RssMarket(A622,"年初来安値"),"○","×")</f>
        <v>×</v>
      </c>
    </row>
    <row r="623" spans="1:26" x14ac:dyDescent="0.25">
      <c r="A623" s="49">
        <v>5947</v>
      </c>
      <c r="B623" s="20" t="str">
        <f>_xll.RssMarket(A623,"銘柄名称")</f>
        <v>リンナイ</v>
      </c>
      <c r="C623" s="21">
        <f>_xll.RssMarket(A623,"現在値")</f>
        <v>3249</v>
      </c>
      <c r="D623" s="20" t="str">
        <f>_xll.RssMarket(A623,"現在値詳細時刻")</f>
        <v>15:00:00</v>
      </c>
      <c r="E623" s="22">
        <f>_xll.RssMarket(A623,"前日比")</f>
        <v>-12</v>
      </c>
      <c r="F623" s="23">
        <f>_xll.RssMarket(A623,"前日比率")/100</f>
        <v>-3.7000000000000002E-3</v>
      </c>
      <c r="G623" s="24" t="str">
        <f>IFERROR(VLOOKUP(A623,取得元!$A$2:$F$501,2,FALSE),"-")</f>
        <v>-</v>
      </c>
      <c r="H623" s="24" t="str">
        <f>IFERROR(VLOOKUP(A623,取得元!$A$2:$F$501,3,FALSE),"-")</f>
        <v>-</v>
      </c>
      <c r="I623" s="24" t="str">
        <f>IFERROR(VLOOKUP(A623,取得元!$A$2:$F$501,4,FALSE),"-")</f>
        <v>-</v>
      </c>
      <c r="J623" s="5" t="str">
        <f>IFERROR(VLOOKUP(A623,取得元!$A$2:$F$501,5,FALSE),"-")</f>
        <v>-</v>
      </c>
      <c r="K623" s="25" t="str">
        <f>IFERROR(VLOOKUP(A623,取得元!$A$2:$F$501,6,FALSE)/100,"-")</f>
        <v>-</v>
      </c>
      <c r="L623" s="21">
        <f>_xll.RssMarket(A623,"始値")</f>
        <v>3249</v>
      </c>
      <c r="M623" s="4">
        <f t="shared" si="60"/>
        <v>0</v>
      </c>
      <c r="N623" s="21">
        <f>_xll.RssMarket(A623,"高値")</f>
        <v>3256</v>
      </c>
      <c r="O623" s="4">
        <f t="shared" si="61"/>
        <v>-2.149877149877133E-3</v>
      </c>
      <c r="P623" s="21">
        <f>_xll.RssMarket(A623,"安値")</f>
        <v>3225</v>
      </c>
      <c r="Q623" s="4">
        <f t="shared" si="62"/>
        <v>7.4418604651163012E-3</v>
      </c>
      <c r="R623" s="21">
        <f>_xll.RssMarket(A623,"後場始値")</f>
        <v>3241</v>
      </c>
      <c r="S623" s="25">
        <f t="shared" si="63"/>
        <v>2.4683739586548459E-3</v>
      </c>
      <c r="T623" s="7">
        <f>_xll.RssMarket(A623,"出来高加重平均")</f>
        <v>3242.2665999999999</v>
      </c>
      <c r="U623" s="4">
        <f t="shared" si="64"/>
        <v>2.0767570439765848E-3</v>
      </c>
      <c r="V623" s="21">
        <f>_xll.RssMarket(A623,"出来高")</f>
        <v>330000</v>
      </c>
      <c r="W623" s="21">
        <f>_xll.RssMarket(A623,"売買代金")</f>
        <v>1069948</v>
      </c>
      <c r="X623" s="20" t="str">
        <f>_xll.RssMarket(A623,"決算発表日")</f>
        <v>2024/02/08</v>
      </c>
      <c r="Y623" s="26" t="str">
        <f>IF(C623&gt;_xll.RssMarket(A623,"年初来高値"),"○","×")</f>
        <v>×</v>
      </c>
      <c r="Z623" s="27" t="str">
        <f>IF(C623&lt;=_xll.RssMarket(A623,"年初来安値"),"○","×")</f>
        <v>×</v>
      </c>
    </row>
    <row r="624" spans="1:26" x14ac:dyDescent="0.25">
      <c r="A624" s="47">
        <v>5949</v>
      </c>
      <c r="B624" s="20" t="str">
        <f>_xll.RssMarket(A624,"銘柄名称")</f>
        <v>ユニプレス</v>
      </c>
      <c r="C624" s="21">
        <f>_xll.RssMarket(A624,"現在値")</f>
        <v>1109</v>
      </c>
      <c r="D624" s="20" t="str">
        <f>_xll.RssMarket(A624,"現在値詳細時刻")</f>
        <v>15:00:00</v>
      </c>
      <c r="E624" s="22">
        <f>_xll.RssMarket(A624,"前日比")</f>
        <v>32</v>
      </c>
      <c r="F624" s="23">
        <f>_xll.RssMarket(A624,"前日比率")/100</f>
        <v>2.9700000000000001E-2</v>
      </c>
      <c r="G624" s="24" t="str">
        <f>IFERROR(VLOOKUP(A624,取得元!$A$2:$F$501,2,FALSE),"-")</f>
        <v>-</v>
      </c>
      <c r="H624" s="24" t="str">
        <f>IFERROR(VLOOKUP(A624,取得元!$A$2:$F$501,3,FALSE),"-")</f>
        <v>-</v>
      </c>
      <c r="I624" s="24" t="str">
        <f>IFERROR(VLOOKUP(A624,取得元!$A$2:$F$501,4,FALSE),"-")</f>
        <v>-</v>
      </c>
      <c r="J624" s="5" t="str">
        <f>IFERROR(VLOOKUP(A624,取得元!$A$2:$F$501,5,FALSE),"-")</f>
        <v>-</v>
      </c>
      <c r="K624" s="25" t="str">
        <f>IFERROR(VLOOKUP(A624,取得元!$A$2:$F$501,6,FALSE)/100,"-")</f>
        <v>-</v>
      </c>
      <c r="L624" s="21">
        <f>_xll.RssMarket(A624,"始値")</f>
        <v>1077</v>
      </c>
      <c r="M624" s="4">
        <f t="shared" si="60"/>
        <v>2.9712163416898862E-2</v>
      </c>
      <c r="N624" s="21">
        <f>_xll.RssMarket(A624,"高値")</f>
        <v>1118</v>
      </c>
      <c r="O624" s="4">
        <f t="shared" si="61"/>
        <v>-8.0500894454382799E-3</v>
      </c>
      <c r="P624" s="21">
        <f>_xll.RssMarket(A624,"安値")</f>
        <v>1077</v>
      </c>
      <c r="Q624" s="4">
        <f t="shared" si="62"/>
        <v>2.9712163416898862E-2</v>
      </c>
      <c r="R624" s="21">
        <f>_xll.RssMarket(A624,"後場始値")</f>
        <v>1110</v>
      </c>
      <c r="S624" s="25">
        <f t="shared" si="63"/>
        <v>-9.009009009008917E-4</v>
      </c>
      <c r="T624" s="7">
        <f>_xll.RssMarket(A624,"出来高加重平均")</f>
        <v>1106.5101</v>
      </c>
      <c r="U624" s="4">
        <f t="shared" si="64"/>
        <v>2.2502279915928014E-3</v>
      </c>
      <c r="V624" s="21">
        <f>_xll.RssMarket(A624,"出来高")</f>
        <v>210900</v>
      </c>
      <c r="W624" s="21">
        <f>_xll.RssMarket(A624,"売買代金")</f>
        <v>233363</v>
      </c>
      <c r="X624" s="20" t="str">
        <f>_xll.RssMarket(A624,"決算発表日")</f>
        <v>2024/02/13</v>
      </c>
      <c r="Y624" s="26" t="str">
        <f>IF(C624&gt;_xll.RssMarket(A624,"年初来高値"),"○","×")</f>
        <v>×</v>
      </c>
      <c r="Z624" s="27" t="str">
        <f>IF(C624&lt;=_xll.RssMarket(A624,"年初来安値"),"○","×")</f>
        <v>×</v>
      </c>
    </row>
    <row r="625" spans="1:26" x14ac:dyDescent="0.25">
      <c r="A625" s="49">
        <v>5950</v>
      </c>
      <c r="B625" s="20" t="str">
        <f>_xll.RssMarket(A625,"銘柄名称")</f>
        <v>日本パワーファスニング</v>
      </c>
      <c r="C625" s="21">
        <f>_xll.RssMarket(A625,"現在値")</f>
        <v>109</v>
      </c>
      <c r="D625" s="20" t="str">
        <f>_xll.RssMarket(A625,"現在値詳細時刻")</f>
        <v>15:00:00</v>
      </c>
      <c r="E625" s="22">
        <f>_xll.RssMarket(A625,"前日比")</f>
        <v>0</v>
      </c>
      <c r="F625" s="23">
        <f>_xll.RssMarket(A625,"前日比率")/100</f>
        <v>0</v>
      </c>
      <c r="G625" s="24" t="str">
        <f>IFERROR(VLOOKUP(A625,取得元!$A$2:$F$501,2,FALSE),"-")</f>
        <v>-</v>
      </c>
      <c r="H625" s="24" t="str">
        <f>IFERROR(VLOOKUP(A625,取得元!$A$2:$F$501,3,FALSE),"-")</f>
        <v>-</v>
      </c>
      <c r="I625" s="24" t="str">
        <f>IFERROR(VLOOKUP(A625,取得元!$A$2:$F$501,4,FALSE),"-")</f>
        <v>-</v>
      </c>
      <c r="J625" s="5" t="str">
        <f>IFERROR(VLOOKUP(A625,取得元!$A$2:$F$501,5,FALSE),"-")</f>
        <v>-</v>
      </c>
      <c r="K625" s="25" t="str">
        <f>IFERROR(VLOOKUP(A625,取得元!$A$2:$F$501,6,FALSE)/100,"-")</f>
        <v>-</v>
      </c>
      <c r="L625" s="21">
        <f>_xll.RssMarket(A625,"始値")</f>
        <v>109</v>
      </c>
      <c r="M625" s="4">
        <f t="shared" si="60"/>
        <v>0</v>
      </c>
      <c r="N625" s="21">
        <f>_xll.RssMarket(A625,"高値")</f>
        <v>109</v>
      </c>
      <c r="O625" s="4">
        <f t="shared" si="61"/>
        <v>0</v>
      </c>
      <c r="P625" s="21">
        <f>_xll.RssMarket(A625,"安値")</f>
        <v>108</v>
      </c>
      <c r="Q625" s="4">
        <f t="shared" si="62"/>
        <v>9.2592592592593004E-3</v>
      </c>
      <c r="R625" s="21">
        <f>_xll.RssMarket(A625,"後場始値")</f>
        <v>109</v>
      </c>
      <c r="S625" s="25">
        <f t="shared" si="63"/>
        <v>0</v>
      </c>
      <c r="T625" s="7">
        <f>_xll.RssMarket(A625,"出来高加重平均")</f>
        <v>108.41459999999999</v>
      </c>
      <c r="U625" s="4">
        <f t="shared" si="64"/>
        <v>5.3996417456689816E-3</v>
      </c>
      <c r="V625" s="21">
        <f>_xll.RssMarket(A625,"出来高")</f>
        <v>8200</v>
      </c>
      <c r="W625" s="21">
        <f>_xll.RssMarket(A625,"売買代金")</f>
        <v>889</v>
      </c>
      <c r="X625" s="20" t="str">
        <f>_xll.RssMarket(A625,"決算発表日")</f>
        <v>2024/02/14</v>
      </c>
      <c r="Y625" s="26" t="str">
        <f>IF(C625&gt;_xll.RssMarket(A625,"年初来高値"),"○","×")</f>
        <v>×</v>
      </c>
      <c r="Z625" s="27" t="str">
        <f>IF(C625&lt;=_xll.RssMarket(A625,"年初来安値"),"○","×")</f>
        <v>×</v>
      </c>
    </row>
    <row r="626" spans="1:26" x14ac:dyDescent="0.25">
      <c r="A626" s="47">
        <v>5952</v>
      </c>
      <c r="B626" s="20" t="str">
        <f>_xll.RssMarket(A626,"銘柄名称")</f>
        <v>アマテイ</v>
      </c>
      <c r="C626" s="21">
        <f>_xll.RssMarket(A626,"現在値")</f>
        <v>141</v>
      </c>
      <c r="D626" s="20" t="str">
        <f>_xll.RssMarket(A626,"現在値詳細時刻")</f>
        <v>15:00:00</v>
      </c>
      <c r="E626" s="22">
        <f>_xll.RssMarket(A626,"前日比")</f>
        <v>0</v>
      </c>
      <c r="F626" s="23">
        <f>_xll.RssMarket(A626,"前日比率")/100</f>
        <v>0</v>
      </c>
      <c r="G626" s="24" t="str">
        <f>IFERROR(VLOOKUP(A626,取得元!$A$2:$F$501,2,FALSE),"-")</f>
        <v>-</v>
      </c>
      <c r="H626" s="24" t="str">
        <f>IFERROR(VLOOKUP(A626,取得元!$A$2:$F$501,3,FALSE),"-")</f>
        <v>-</v>
      </c>
      <c r="I626" s="24" t="str">
        <f>IFERROR(VLOOKUP(A626,取得元!$A$2:$F$501,4,FALSE),"-")</f>
        <v>-</v>
      </c>
      <c r="J626" s="5" t="str">
        <f>IFERROR(VLOOKUP(A626,取得元!$A$2:$F$501,5,FALSE),"-")</f>
        <v>-</v>
      </c>
      <c r="K626" s="25" t="str">
        <f>IFERROR(VLOOKUP(A626,取得元!$A$2:$F$501,6,FALSE)/100,"-")</f>
        <v>-</v>
      </c>
      <c r="L626" s="21">
        <f>_xll.RssMarket(A626,"始値")</f>
        <v>142</v>
      </c>
      <c r="M626" s="4">
        <f t="shared" si="60"/>
        <v>-7.0422535211267512E-3</v>
      </c>
      <c r="N626" s="21">
        <f>_xll.RssMarket(A626,"高値")</f>
        <v>143</v>
      </c>
      <c r="O626" s="4">
        <f t="shared" si="61"/>
        <v>-1.3986013986013957E-2</v>
      </c>
      <c r="P626" s="21">
        <f>_xll.RssMarket(A626,"安値")</f>
        <v>141</v>
      </c>
      <c r="Q626" s="4">
        <f t="shared" si="62"/>
        <v>0</v>
      </c>
      <c r="R626" s="21">
        <f>_xll.RssMarket(A626,"後場始値")</f>
        <v>141</v>
      </c>
      <c r="S626" s="25">
        <f t="shared" si="63"/>
        <v>0</v>
      </c>
      <c r="T626" s="7">
        <f>_xll.RssMarket(A626,"出来高加重平均")</f>
        <v>141.60769999999999</v>
      </c>
      <c r="U626" s="4">
        <f t="shared" si="64"/>
        <v>-4.2914333048272857E-3</v>
      </c>
      <c r="V626" s="21">
        <f>_xll.RssMarket(A626,"出来高")</f>
        <v>31100</v>
      </c>
      <c r="W626" s="21">
        <f>_xll.RssMarket(A626,"売買代金")</f>
        <v>4404</v>
      </c>
      <c r="X626" s="20" t="str">
        <f>_xll.RssMarket(A626,"決算発表日")</f>
        <v>2024/02/13</v>
      </c>
      <c r="Y626" s="26" t="str">
        <f>IF(C626&gt;_xll.RssMarket(A626,"年初来高値"),"○","×")</f>
        <v>×</v>
      </c>
      <c r="Z626" s="27" t="str">
        <f>IF(C626&lt;=_xll.RssMarket(A626,"年初来安値"),"○","×")</f>
        <v>×</v>
      </c>
    </row>
    <row r="627" spans="1:26" x14ac:dyDescent="0.25">
      <c r="A627" s="49">
        <v>5955</v>
      </c>
      <c r="B627" s="20" t="str">
        <f>_xll.RssMarket(A627,"銘柄名称")</f>
        <v>ヤマシナ</v>
      </c>
      <c r="C627" s="21">
        <f>_xll.RssMarket(A627,"現在値")</f>
        <v>81</v>
      </c>
      <c r="D627" s="20" t="str">
        <f>_xll.RssMarket(A627,"現在値詳細時刻")</f>
        <v>15:00:00</v>
      </c>
      <c r="E627" s="22">
        <f>_xll.RssMarket(A627,"前日比")</f>
        <v>2</v>
      </c>
      <c r="F627" s="23">
        <f>_xll.RssMarket(A627,"前日比率")/100</f>
        <v>2.53E-2</v>
      </c>
      <c r="G627" s="24" t="str">
        <f>IFERROR(VLOOKUP(A627,取得元!$A$2:$F$501,2,FALSE),"-")</f>
        <v>-</v>
      </c>
      <c r="H627" s="24" t="str">
        <f>IFERROR(VLOOKUP(A627,取得元!$A$2:$F$501,3,FALSE),"-")</f>
        <v>-</v>
      </c>
      <c r="I627" s="24" t="str">
        <f>IFERROR(VLOOKUP(A627,取得元!$A$2:$F$501,4,FALSE),"-")</f>
        <v>-</v>
      </c>
      <c r="J627" s="5" t="str">
        <f>IFERROR(VLOOKUP(A627,取得元!$A$2:$F$501,5,FALSE),"-")</f>
        <v>-</v>
      </c>
      <c r="K627" s="25" t="str">
        <f>IFERROR(VLOOKUP(A627,取得元!$A$2:$F$501,6,FALSE)/100,"-")</f>
        <v>-</v>
      </c>
      <c r="L627" s="21">
        <f>_xll.RssMarket(A627,"始値")</f>
        <v>80</v>
      </c>
      <c r="M627" s="4">
        <f t="shared" si="60"/>
        <v>1.2499999999999956E-2</v>
      </c>
      <c r="N627" s="21">
        <f>_xll.RssMarket(A627,"高値")</f>
        <v>81</v>
      </c>
      <c r="O627" s="4">
        <f t="shared" si="61"/>
        <v>0</v>
      </c>
      <c r="P627" s="21">
        <f>_xll.RssMarket(A627,"安値")</f>
        <v>79</v>
      </c>
      <c r="Q627" s="4">
        <f t="shared" si="62"/>
        <v>2.5316455696202445E-2</v>
      </c>
      <c r="R627" s="21">
        <f>_xll.RssMarket(A627,"後場始値")</f>
        <v>80</v>
      </c>
      <c r="S627" s="25">
        <f t="shared" si="63"/>
        <v>1.2499999999999956E-2</v>
      </c>
      <c r="T627" s="7">
        <f>_xll.RssMarket(A627,"出来高加重平均")</f>
        <v>80.046199999999999</v>
      </c>
      <c r="U627" s="4">
        <f t="shared" si="64"/>
        <v>1.191561873018343E-2</v>
      </c>
      <c r="V627" s="21">
        <f>_xll.RssMarket(A627,"出来高")</f>
        <v>432300</v>
      </c>
      <c r="W627" s="21">
        <f>_xll.RssMarket(A627,"売買代金")</f>
        <v>34604</v>
      </c>
      <c r="X627" s="20" t="str">
        <f>_xll.RssMarket(A627,"決算発表日")</f>
        <v>2024/01/31</v>
      </c>
      <c r="Y627" s="26" t="str">
        <f>IF(C627&gt;_xll.RssMarket(A627,"年初来高値"),"○","×")</f>
        <v>×</v>
      </c>
      <c r="Z627" s="27" t="str">
        <f>IF(C627&lt;=_xll.RssMarket(A627,"年初来安値"),"○","×")</f>
        <v>×</v>
      </c>
    </row>
    <row r="628" spans="1:26" x14ac:dyDescent="0.25">
      <c r="A628" s="47">
        <v>5966</v>
      </c>
      <c r="B628" s="20" t="str">
        <f>_xll.RssMarket(A628,"銘柄名称")</f>
        <v>京都機械工具</v>
      </c>
      <c r="C628" s="21">
        <f>_xll.RssMarket(A628,"現在値")</f>
        <v>2273</v>
      </c>
      <c r="D628" s="20" t="str">
        <f>_xll.RssMarket(A628,"現在値詳細時刻")</f>
        <v>15:00:00</v>
      </c>
      <c r="E628" s="22">
        <f>_xll.RssMarket(A628,"前日比")</f>
        <v>-156</v>
      </c>
      <c r="F628" s="23">
        <f>_xll.RssMarket(A628,"前日比率")/100</f>
        <v>-6.4199999999999993E-2</v>
      </c>
      <c r="G628" s="24" t="str">
        <f>IFERROR(VLOOKUP(A628,取得元!$A$2:$F$501,2,FALSE),"-")</f>
        <v>-</v>
      </c>
      <c r="H628" s="24" t="str">
        <f>IFERROR(VLOOKUP(A628,取得元!$A$2:$F$501,3,FALSE),"-")</f>
        <v>-</v>
      </c>
      <c r="I628" s="24" t="str">
        <f>IFERROR(VLOOKUP(A628,取得元!$A$2:$F$501,4,FALSE),"-")</f>
        <v>-</v>
      </c>
      <c r="J628" s="5" t="str">
        <f>IFERROR(VLOOKUP(A628,取得元!$A$2:$F$501,5,FALSE),"-")</f>
        <v>-</v>
      </c>
      <c r="K628" s="25" t="str">
        <f>IFERROR(VLOOKUP(A628,取得元!$A$2:$F$501,6,FALSE)/100,"-")</f>
        <v>-</v>
      </c>
      <c r="L628" s="21">
        <f>_xll.RssMarket(A628,"始値")</f>
        <v>2415</v>
      </c>
      <c r="M628" s="4">
        <f t="shared" si="60"/>
        <v>-5.8799171842650155E-2</v>
      </c>
      <c r="N628" s="21">
        <f>_xll.RssMarket(A628,"高値")</f>
        <v>2498</v>
      </c>
      <c r="O628" s="4">
        <f t="shared" si="61"/>
        <v>-9.0072057646116921E-2</v>
      </c>
      <c r="P628" s="21">
        <f>_xll.RssMarket(A628,"安値")</f>
        <v>2273</v>
      </c>
      <c r="Q628" s="4">
        <f t="shared" si="62"/>
        <v>0</v>
      </c>
      <c r="R628" s="21">
        <f>_xll.RssMarket(A628,"後場始値")</f>
        <v>2429</v>
      </c>
      <c r="S628" s="25">
        <f t="shared" si="63"/>
        <v>-6.4223960477562736E-2</v>
      </c>
      <c r="T628" s="7">
        <f>_xll.RssMarket(A628,"出来高加重平均")</f>
        <v>2378.8679000000002</v>
      </c>
      <c r="U628" s="4">
        <f t="shared" si="64"/>
        <v>-4.4503479995673612E-2</v>
      </c>
      <c r="V628" s="21">
        <f>_xll.RssMarket(A628,"出来高")</f>
        <v>5300</v>
      </c>
      <c r="W628" s="21">
        <f>_xll.RssMarket(A628,"売買代金")</f>
        <v>12608</v>
      </c>
      <c r="X628" s="20" t="str">
        <f>_xll.RssMarket(A628,"決算発表日")</f>
        <v>2024/02/07</v>
      </c>
      <c r="Y628" s="26" t="str">
        <f>IF(C628&gt;_xll.RssMarket(A628,"年初来高値"),"○","×")</f>
        <v>×</v>
      </c>
      <c r="Z628" s="27" t="str">
        <f>IF(C628&lt;=_xll.RssMarket(A628,"年初来安値"),"○","×")</f>
        <v>×</v>
      </c>
    </row>
    <row r="629" spans="1:26" x14ac:dyDescent="0.25">
      <c r="A629" s="49">
        <v>5970</v>
      </c>
      <c r="B629" s="20" t="str">
        <f>_xll.RssMarket(A629,"銘柄名称")</f>
        <v>ジーテクト</v>
      </c>
      <c r="C629" s="21">
        <f>_xll.RssMarket(A629,"現在値")</f>
        <v>2113</v>
      </c>
      <c r="D629" s="20" t="str">
        <f>_xll.RssMarket(A629,"現在値詳細時刻")</f>
        <v>15:00:00</v>
      </c>
      <c r="E629" s="22">
        <f>_xll.RssMarket(A629,"前日比")</f>
        <v>78</v>
      </c>
      <c r="F629" s="23">
        <f>_xll.RssMarket(A629,"前日比率")/100</f>
        <v>3.8300000000000001E-2</v>
      </c>
      <c r="G629" s="24" t="str">
        <f>IFERROR(VLOOKUP(A629,取得元!$A$2:$F$501,2,FALSE),"-")</f>
        <v>-</v>
      </c>
      <c r="H629" s="24" t="str">
        <f>IFERROR(VLOOKUP(A629,取得元!$A$2:$F$501,3,FALSE),"-")</f>
        <v>-</v>
      </c>
      <c r="I629" s="24" t="str">
        <f>IFERROR(VLOOKUP(A629,取得元!$A$2:$F$501,4,FALSE),"-")</f>
        <v>-</v>
      </c>
      <c r="J629" s="5" t="str">
        <f>IFERROR(VLOOKUP(A629,取得元!$A$2:$F$501,5,FALSE),"-")</f>
        <v>-</v>
      </c>
      <c r="K629" s="25" t="str">
        <f>IFERROR(VLOOKUP(A629,取得元!$A$2:$F$501,6,FALSE)/100,"-")</f>
        <v>-</v>
      </c>
      <c r="L629" s="21">
        <f>_xll.RssMarket(A629,"始値")</f>
        <v>2035</v>
      </c>
      <c r="M629" s="4">
        <f t="shared" si="60"/>
        <v>3.8329238329238402E-2</v>
      </c>
      <c r="N629" s="21">
        <f>_xll.RssMarket(A629,"高値")</f>
        <v>2113</v>
      </c>
      <c r="O629" s="4">
        <f t="shared" si="61"/>
        <v>0</v>
      </c>
      <c r="P629" s="21">
        <f>_xll.RssMarket(A629,"安値")</f>
        <v>2035</v>
      </c>
      <c r="Q629" s="4">
        <f t="shared" si="62"/>
        <v>3.8329238329238402E-2</v>
      </c>
      <c r="R629" s="21">
        <f>_xll.RssMarket(A629,"後場始値")</f>
        <v>2092</v>
      </c>
      <c r="S629" s="25">
        <f t="shared" si="63"/>
        <v>1.0038240917781938E-2</v>
      </c>
      <c r="T629" s="7">
        <f>_xll.RssMarket(A629,"出来高加重平均")</f>
        <v>2087.0596</v>
      </c>
      <c r="U629" s="4">
        <f t="shared" si="64"/>
        <v>1.2429161103017838E-2</v>
      </c>
      <c r="V629" s="21">
        <f>_xll.RssMarket(A629,"出来高")</f>
        <v>147600</v>
      </c>
      <c r="W629" s="21">
        <f>_xll.RssMarket(A629,"売買代金")</f>
        <v>308050</v>
      </c>
      <c r="X629" s="20" t="str">
        <f>_xll.RssMarket(A629,"決算発表日")</f>
        <v>2024/02/02</v>
      </c>
      <c r="Y629" s="26" t="str">
        <f>IF(C629&gt;_xll.RssMarket(A629,"年初来高値"),"○","×")</f>
        <v>○</v>
      </c>
      <c r="Z629" s="27" t="str">
        <f>IF(C629&lt;=_xll.RssMarket(A629,"年初来安値"),"○","×")</f>
        <v>×</v>
      </c>
    </row>
    <row r="630" spans="1:26" x14ac:dyDescent="0.25">
      <c r="A630" s="47">
        <v>5976</v>
      </c>
      <c r="B630" s="20" t="str">
        <f>_xll.RssMarket(A630,"銘柄名称")</f>
        <v>高周波熱錬</v>
      </c>
      <c r="C630" s="21">
        <f>_xll.RssMarket(A630,"現在値")</f>
        <v>1058</v>
      </c>
      <c r="D630" s="20" t="str">
        <f>_xll.RssMarket(A630,"現在値詳細時刻")</f>
        <v>15:00:00</v>
      </c>
      <c r="E630" s="22">
        <f>_xll.RssMarket(A630,"前日比")</f>
        <v>2</v>
      </c>
      <c r="F630" s="23">
        <f>_xll.RssMarket(A630,"前日比率")/100</f>
        <v>1.9E-3</v>
      </c>
      <c r="G630" s="24" t="str">
        <f>IFERROR(VLOOKUP(A630,取得元!$A$2:$F$501,2,FALSE),"-")</f>
        <v>-</v>
      </c>
      <c r="H630" s="24" t="str">
        <f>IFERROR(VLOOKUP(A630,取得元!$A$2:$F$501,3,FALSE),"-")</f>
        <v>-</v>
      </c>
      <c r="I630" s="24" t="str">
        <f>IFERROR(VLOOKUP(A630,取得元!$A$2:$F$501,4,FALSE),"-")</f>
        <v>-</v>
      </c>
      <c r="J630" s="5" t="str">
        <f>IFERROR(VLOOKUP(A630,取得元!$A$2:$F$501,5,FALSE),"-")</f>
        <v>-</v>
      </c>
      <c r="K630" s="25" t="str">
        <f>IFERROR(VLOOKUP(A630,取得元!$A$2:$F$501,6,FALSE)/100,"-")</f>
        <v>-</v>
      </c>
      <c r="L630" s="21">
        <f>_xll.RssMarket(A630,"始値")</f>
        <v>1056</v>
      </c>
      <c r="M630" s="4">
        <f t="shared" si="60"/>
        <v>1.8939393939394478E-3</v>
      </c>
      <c r="N630" s="21">
        <f>_xll.RssMarket(A630,"高値")</f>
        <v>1062</v>
      </c>
      <c r="O630" s="4">
        <f t="shared" si="61"/>
        <v>-3.7664783427495685E-3</v>
      </c>
      <c r="P630" s="21">
        <f>_xll.RssMarket(A630,"安値")</f>
        <v>1049</v>
      </c>
      <c r="Q630" s="4">
        <f t="shared" si="62"/>
        <v>8.5795996186843748E-3</v>
      </c>
      <c r="R630" s="21">
        <f>_xll.RssMarket(A630,"後場始値")</f>
        <v>1056</v>
      </c>
      <c r="S630" s="25">
        <f t="shared" si="63"/>
        <v>1.8939393939394478E-3</v>
      </c>
      <c r="T630" s="7">
        <f>_xll.RssMarket(A630,"出来高加重平均")</f>
        <v>1055.8453999999999</v>
      </c>
      <c r="U630" s="4">
        <f t="shared" si="64"/>
        <v>2.0406396618293243E-3</v>
      </c>
      <c r="V630" s="21">
        <f>_xll.RssMarket(A630,"出来高")</f>
        <v>130700</v>
      </c>
      <c r="W630" s="21">
        <f>_xll.RssMarket(A630,"売買代金")</f>
        <v>137999</v>
      </c>
      <c r="X630" s="20" t="str">
        <f>_xll.RssMarket(A630,"決算発表日")</f>
        <v>2024/02/07</v>
      </c>
      <c r="Y630" s="26" t="str">
        <f>IF(C630&gt;_xll.RssMarket(A630,"年初来高値"),"○","×")</f>
        <v>×</v>
      </c>
      <c r="Z630" s="27" t="str">
        <f>IF(C630&lt;=_xll.RssMarket(A630,"年初来安値"),"○","×")</f>
        <v>×</v>
      </c>
    </row>
    <row r="631" spans="1:26" x14ac:dyDescent="0.25">
      <c r="A631" s="49">
        <v>5981</v>
      </c>
      <c r="B631" s="20" t="str">
        <f>_xll.RssMarket(A631,"銘柄名称")</f>
        <v>東京製綱</v>
      </c>
      <c r="C631" s="21">
        <f>_xll.RssMarket(A631,"現在値")</f>
        <v>1358</v>
      </c>
      <c r="D631" s="20" t="str">
        <f>_xll.RssMarket(A631,"現在値詳細時刻")</f>
        <v>15:00:00</v>
      </c>
      <c r="E631" s="22">
        <f>_xll.RssMarket(A631,"前日比")</f>
        <v>11</v>
      </c>
      <c r="F631" s="23">
        <f>_xll.RssMarket(A631,"前日比率")/100</f>
        <v>8.199999999999999E-3</v>
      </c>
      <c r="G631" s="24" t="str">
        <f>IFERROR(VLOOKUP(A631,取得元!$A$2:$F$501,2,FALSE),"-")</f>
        <v>-</v>
      </c>
      <c r="H631" s="24" t="str">
        <f>IFERROR(VLOOKUP(A631,取得元!$A$2:$F$501,3,FALSE),"-")</f>
        <v>-</v>
      </c>
      <c r="I631" s="24" t="str">
        <f>IFERROR(VLOOKUP(A631,取得元!$A$2:$F$501,4,FALSE),"-")</f>
        <v>-</v>
      </c>
      <c r="J631" s="5" t="str">
        <f>IFERROR(VLOOKUP(A631,取得元!$A$2:$F$501,5,FALSE),"-")</f>
        <v>-</v>
      </c>
      <c r="K631" s="25" t="str">
        <f>IFERROR(VLOOKUP(A631,取得元!$A$2:$F$501,6,FALSE)/100,"-")</f>
        <v>-</v>
      </c>
      <c r="L631" s="21">
        <f>_xll.RssMarket(A631,"始値")</f>
        <v>1347</v>
      </c>
      <c r="M631" s="4">
        <f t="shared" si="60"/>
        <v>8.1662954714178948E-3</v>
      </c>
      <c r="N631" s="21">
        <f>_xll.RssMarket(A631,"高値")</f>
        <v>1365</v>
      </c>
      <c r="O631" s="4">
        <f t="shared" si="61"/>
        <v>-5.12820512820511E-3</v>
      </c>
      <c r="P631" s="21">
        <f>_xll.RssMarket(A631,"安値")</f>
        <v>1347</v>
      </c>
      <c r="Q631" s="4">
        <f t="shared" si="62"/>
        <v>8.1662954714178948E-3</v>
      </c>
      <c r="R631" s="21">
        <f>_xll.RssMarket(A631,"後場始値")</f>
        <v>1362</v>
      </c>
      <c r="S631" s="25">
        <f t="shared" si="63"/>
        <v>-2.936857562408246E-3</v>
      </c>
      <c r="T631" s="7">
        <f>_xll.RssMarket(A631,"出来高加重平均")</f>
        <v>1358.4813999999999</v>
      </c>
      <c r="U631" s="4">
        <f t="shared" si="64"/>
        <v>-3.5436627987683877E-4</v>
      </c>
      <c r="V631" s="21">
        <f>_xll.RssMarket(A631,"出来高")</f>
        <v>27000</v>
      </c>
      <c r="W631" s="21">
        <f>_xll.RssMarket(A631,"売買代金")</f>
        <v>36679</v>
      </c>
      <c r="X631" s="20" t="str">
        <f>_xll.RssMarket(A631,"決算発表日")</f>
        <v>2024/02/09</v>
      </c>
      <c r="Y631" s="26" t="str">
        <f>IF(C631&gt;_xll.RssMarket(A631,"年初来高値"),"○","×")</f>
        <v>×</v>
      </c>
      <c r="Z631" s="27" t="str">
        <f>IF(C631&lt;=_xll.RssMarket(A631,"年初来安値"),"○","×")</f>
        <v>×</v>
      </c>
    </row>
    <row r="632" spans="1:26" x14ac:dyDescent="0.25">
      <c r="A632" s="47">
        <v>5986</v>
      </c>
      <c r="B632" s="20" t="str">
        <f>_xll.RssMarket(A632,"銘柄名称")</f>
        <v>モリテックスチル</v>
      </c>
      <c r="C632" s="21">
        <f>_xll.RssMarket(A632,"現在値")</f>
        <v>288</v>
      </c>
      <c r="D632" s="20" t="str">
        <f>_xll.RssMarket(A632,"現在値詳細時刻")</f>
        <v>15:00:00</v>
      </c>
      <c r="E632" s="22">
        <f>_xll.RssMarket(A632,"前日比")</f>
        <v>2</v>
      </c>
      <c r="F632" s="23">
        <f>_xll.RssMarket(A632,"前日比率")/100</f>
        <v>6.9999999999999993E-3</v>
      </c>
      <c r="G632" s="24" t="str">
        <f>IFERROR(VLOOKUP(A632,取得元!$A$2:$F$501,2,FALSE),"-")</f>
        <v>-</v>
      </c>
      <c r="H632" s="24" t="str">
        <f>IFERROR(VLOOKUP(A632,取得元!$A$2:$F$501,3,FALSE),"-")</f>
        <v>-</v>
      </c>
      <c r="I632" s="24" t="str">
        <f>IFERROR(VLOOKUP(A632,取得元!$A$2:$F$501,4,FALSE),"-")</f>
        <v>-</v>
      </c>
      <c r="J632" s="5" t="str">
        <f>IFERROR(VLOOKUP(A632,取得元!$A$2:$F$501,5,FALSE),"-")</f>
        <v>-</v>
      </c>
      <c r="K632" s="25" t="str">
        <f>IFERROR(VLOOKUP(A632,取得元!$A$2:$F$501,6,FALSE)/100,"-")</f>
        <v>-</v>
      </c>
      <c r="L632" s="21">
        <f>_xll.RssMarket(A632,"始値")</f>
        <v>287</v>
      </c>
      <c r="M632" s="4">
        <f t="shared" si="60"/>
        <v>3.4843205574912606E-3</v>
      </c>
      <c r="N632" s="21">
        <f>_xll.RssMarket(A632,"高値")</f>
        <v>290</v>
      </c>
      <c r="O632" s="4">
        <f t="shared" si="61"/>
        <v>-6.8965517241379448E-3</v>
      </c>
      <c r="P632" s="21">
        <f>_xll.RssMarket(A632,"安値")</f>
        <v>286</v>
      </c>
      <c r="Q632" s="4">
        <f t="shared" si="62"/>
        <v>6.9930069930070893E-3</v>
      </c>
      <c r="R632" s="21">
        <f>_xll.RssMarket(A632,"後場始値")</f>
        <v>290</v>
      </c>
      <c r="S632" s="25">
        <f t="shared" si="63"/>
        <v>-6.8965517241379448E-3</v>
      </c>
      <c r="T632" s="7">
        <f>_xll.RssMarket(A632,"出来高加重平均")</f>
        <v>288.4375</v>
      </c>
      <c r="U632" s="4">
        <f t="shared" si="64"/>
        <v>-1.5167930660888729E-3</v>
      </c>
      <c r="V632" s="21">
        <f>_xll.RssMarket(A632,"出来高")</f>
        <v>28800</v>
      </c>
      <c r="W632" s="21">
        <f>_xll.RssMarket(A632,"売買代金")</f>
        <v>8307</v>
      </c>
      <c r="X632" s="20" t="str">
        <f>_xll.RssMarket(A632,"決算発表日")</f>
        <v>2024/02/09</v>
      </c>
      <c r="Y632" s="26" t="str">
        <f>IF(C632&gt;_xll.RssMarket(A632,"年初来高値"),"○","×")</f>
        <v>×</v>
      </c>
      <c r="Z632" s="27" t="str">
        <f>IF(C632&lt;=_xll.RssMarket(A632,"年初来安値"),"○","×")</f>
        <v>×</v>
      </c>
    </row>
    <row r="633" spans="1:26" x14ac:dyDescent="0.25">
      <c r="A633" s="49">
        <v>5991</v>
      </c>
      <c r="B633" s="20" t="str">
        <f>_xll.RssMarket(A633,"銘柄名称")</f>
        <v>日本発条</v>
      </c>
      <c r="C633" s="21">
        <f>_xll.RssMarket(A633,"現在値")</f>
        <v>1240</v>
      </c>
      <c r="D633" s="20" t="str">
        <f>_xll.RssMarket(A633,"現在値詳細時刻")</f>
        <v>15:00:00</v>
      </c>
      <c r="E633" s="22">
        <f>_xll.RssMarket(A633,"前日比")</f>
        <v>7.5</v>
      </c>
      <c r="F633" s="23">
        <f>_xll.RssMarket(A633,"前日比率")/100</f>
        <v>6.0999999999999995E-3</v>
      </c>
      <c r="G633" s="24" t="str">
        <f>IFERROR(VLOOKUP(A633,取得元!$A$2:$F$501,2,FALSE),"-")</f>
        <v>-</v>
      </c>
      <c r="H633" s="24" t="str">
        <f>IFERROR(VLOOKUP(A633,取得元!$A$2:$F$501,3,FALSE),"-")</f>
        <v>-</v>
      </c>
      <c r="I633" s="24" t="str">
        <f>IFERROR(VLOOKUP(A633,取得元!$A$2:$F$501,4,FALSE),"-")</f>
        <v>-</v>
      </c>
      <c r="J633" s="5" t="str">
        <f>IFERROR(VLOOKUP(A633,取得元!$A$2:$F$501,5,FALSE),"-")</f>
        <v>-</v>
      </c>
      <c r="K633" s="25" t="str">
        <f>IFERROR(VLOOKUP(A633,取得元!$A$2:$F$501,6,FALSE)/100,"-")</f>
        <v>-</v>
      </c>
      <c r="L633" s="21">
        <f>_xll.RssMarket(A633,"始値")</f>
        <v>1222.5</v>
      </c>
      <c r="M633" s="4">
        <f t="shared" si="60"/>
        <v>1.4314928425357865E-2</v>
      </c>
      <c r="N633" s="21">
        <f>_xll.RssMarket(A633,"高値")</f>
        <v>1242.5</v>
      </c>
      <c r="O633" s="4">
        <f t="shared" si="61"/>
        <v>-2.0120724346076591E-3</v>
      </c>
      <c r="P633" s="21">
        <f>_xll.RssMarket(A633,"安値")</f>
        <v>1222.5</v>
      </c>
      <c r="Q633" s="4">
        <f t="shared" si="62"/>
        <v>1.4314928425357865E-2</v>
      </c>
      <c r="R633" s="21">
        <f>_xll.RssMarket(A633,"後場始値")</f>
        <v>1235</v>
      </c>
      <c r="S633" s="25">
        <f t="shared" si="63"/>
        <v>4.0485829959513442E-3</v>
      </c>
      <c r="T633" s="7">
        <f>_xll.RssMarket(A633,"出来高加重平均")</f>
        <v>1237.8217</v>
      </c>
      <c r="U633" s="4">
        <f t="shared" si="64"/>
        <v>1.7597849512576147E-3</v>
      </c>
      <c r="V633" s="21">
        <f>_xll.RssMarket(A633,"出来高")</f>
        <v>209800</v>
      </c>
      <c r="W633" s="21">
        <f>_xll.RssMarket(A633,"売買代金")</f>
        <v>259695</v>
      </c>
      <c r="X633" s="20" t="str">
        <f>_xll.RssMarket(A633,"決算発表日")</f>
        <v>2024/02/13</v>
      </c>
      <c r="Y633" s="26" t="str">
        <f>IF(C633&gt;_xll.RssMarket(A633,"年初来高値"),"○","×")</f>
        <v>×</v>
      </c>
      <c r="Z633" s="27" t="str">
        <f>IF(C633&lt;=_xll.RssMarket(A633,"年初来安値"),"○","×")</f>
        <v>×</v>
      </c>
    </row>
    <row r="634" spans="1:26" x14ac:dyDescent="0.25">
      <c r="A634" s="47">
        <v>5994</v>
      </c>
      <c r="B634" s="20" t="str">
        <f>_xll.RssMarket(A634,"銘柄名称")</f>
        <v>ファインシンター</v>
      </c>
      <c r="C634" s="21">
        <f>_xll.RssMarket(A634,"現在値")</f>
        <v>1124</v>
      </c>
      <c r="D634" s="20" t="str">
        <f>_xll.RssMarket(A634,"現在値詳細時刻")</f>
        <v>14:26:38</v>
      </c>
      <c r="E634" s="22">
        <f>_xll.RssMarket(A634,"前日比")</f>
        <v>-1</v>
      </c>
      <c r="F634" s="23">
        <f>_xll.RssMarket(A634,"前日比率")/100</f>
        <v>-8.9999999999999998E-4</v>
      </c>
      <c r="G634" s="24" t="str">
        <f>IFERROR(VLOOKUP(A634,取得元!$A$2:$F$501,2,FALSE),"-")</f>
        <v>-</v>
      </c>
      <c r="H634" s="24" t="str">
        <f>IFERROR(VLOOKUP(A634,取得元!$A$2:$F$501,3,FALSE),"-")</f>
        <v>-</v>
      </c>
      <c r="I634" s="24" t="str">
        <f>IFERROR(VLOOKUP(A634,取得元!$A$2:$F$501,4,FALSE),"-")</f>
        <v>-</v>
      </c>
      <c r="J634" s="5" t="str">
        <f>IFERROR(VLOOKUP(A634,取得元!$A$2:$F$501,5,FALSE),"-")</f>
        <v>-</v>
      </c>
      <c r="K634" s="25" t="str">
        <f>IFERROR(VLOOKUP(A634,取得元!$A$2:$F$501,6,FALSE)/100,"-")</f>
        <v>-</v>
      </c>
      <c r="L634" s="21">
        <f>_xll.RssMarket(A634,"始値")</f>
        <v>1114</v>
      </c>
      <c r="M634" s="4">
        <f t="shared" si="60"/>
        <v>8.9766606822261341E-3</v>
      </c>
      <c r="N634" s="21">
        <f>_xll.RssMarket(A634,"高値")</f>
        <v>1130</v>
      </c>
      <c r="O634" s="4">
        <f t="shared" si="61"/>
        <v>-5.3097345132743223E-3</v>
      </c>
      <c r="P634" s="21">
        <f>_xll.RssMarket(A634,"安値")</f>
        <v>1106</v>
      </c>
      <c r="Q634" s="4">
        <f t="shared" si="62"/>
        <v>1.6274864376130127E-2</v>
      </c>
      <c r="R634" s="21">
        <f>_xll.RssMarket(A634,"後場始値")</f>
        <v>1123</v>
      </c>
      <c r="S634" s="25">
        <f t="shared" si="63"/>
        <v>8.9047195013347569E-4</v>
      </c>
      <c r="T634" s="7">
        <f>_xll.RssMarket(A634,"出来高加重平均")</f>
        <v>1119.2856999999999</v>
      </c>
      <c r="U634" s="4">
        <f t="shared" si="64"/>
        <v>4.2118826319321734E-3</v>
      </c>
      <c r="V634" s="21">
        <f>_xll.RssMarket(A634,"出来高")</f>
        <v>11200</v>
      </c>
      <c r="W634" s="21">
        <f>_xll.RssMarket(A634,"売買代金")</f>
        <v>12536</v>
      </c>
      <c r="X634" s="20" t="str">
        <f>_xll.RssMarket(A634,"決算発表日")</f>
        <v>2024/02/01</v>
      </c>
      <c r="Y634" s="26" t="str">
        <f>IF(C634&gt;_xll.RssMarket(A634,"年初来高値"),"○","×")</f>
        <v>×</v>
      </c>
      <c r="Z634" s="27" t="str">
        <f>IF(C634&lt;=_xll.RssMarket(A634,"年初来安値"),"○","×")</f>
        <v>×</v>
      </c>
    </row>
    <row r="635" spans="1:26" x14ac:dyDescent="0.25">
      <c r="A635" s="49">
        <v>5997</v>
      </c>
      <c r="B635" s="20" t="str">
        <f>_xll.RssMarket(A635,"銘柄名称")</f>
        <v>協立エアテック</v>
      </c>
      <c r="C635" s="21">
        <f>_xll.RssMarket(A635,"現在値")</f>
        <v>672</v>
      </c>
      <c r="D635" s="20" t="str">
        <f>_xll.RssMarket(A635,"現在値詳細時刻")</f>
        <v>15:00:00</v>
      </c>
      <c r="E635" s="22">
        <f>_xll.RssMarket(A635,"前日比")</f>
        <v>0</v>
      </c>
      <c r="F635" s="23">
        <f>_xll.RssMarket(A635,"前日比率")/100</f>
        <v>0</v>
      </c>
      <c r="G635" s="24" t="str">
        <f>IFERROR(VLOOKUP(A635,取得元!$A$2:$F$501,2,FALSE),"-")</f>
        <v>-</v>
      </c>
      <c r="H635" s="24" t="str">
        <f>IFERROR(VLOOKUP(A635,取得元!$A$2:$F$501,3,FALSE),"-")</f>
        <v>-</v>
      </c>
      <c r="I635" s="24" t="str">
        <f>IFERROR(VLOOKUP(A635,取得元!$A$2:$F$501,4,FALSE),"-")</f>
        <v>-</v>
      </c>
      <c r="J635" s="5" t="str">
        <f>IFERROR(VLOOKUP(A635,取得元!$A$2:$F$501,5,FALSE),"-")</f>
        <v>-</v>
      </c>
      <c r="K635" s="25" t="str">
        <f>IFERROR(VLOOKUP(A635,取得元!$A$2:$F$501,6,FALSE)/100,"-")</f>
        <v>-</v>
      </c>
      <c r="L635" s="21">
        <f>_xll.RssMarket(A635,"始値")</f>
        <v>672</v>
      </c>
      <c r="M635" s="4">
        <f t="shared" si="60"/>
        <v>0</v>
      </c>
      <c r="N635" s="21">
        <f>_xll.RssMarket(A635,"高値")</f>
        <v>677</v>
      </c>
      <c r="O635" s="4">
        <f t="shared" si="61"/>
        <v>-7.3855243722303898E-3</v>
      </c>
      <c r="P635" s="21">
        <f>_xll.RssMarket(A635,"安値")</f>
        <v>672</v>
      </c>
      <c r="Q635" s="4">
        <f t="shared" si="62"/>
        <v>0</v>
      </c>
      <c r="R635" s="21">
        <f>_xll.RssMarket(A635,"後場始値")</f>
        <v>673</v>
      </c>
      <c r="S635" s="25">
        <f t="shared" si="63"/>
        <v>-1.4858841010401136E-3</v>
      </c>
      <c r="T635" s="7">
        <f>_xll.RssMarket(A635,"出来高加重平均")</f>
        <v>674.60310000000004</v>
      </c>
      <c r="U635" s="4">
        <f t="shared" si="64"/>
        <v>-3.8587133679048868E-3</v>
      </c>
      <c r="V635" s="21">
        <f>_xll.RssMarket(A635,"出来高")</f>
        <v>6300</v>
      </c>
      <c r="W635" s="21">
        <f>_xll.RssMarket(A635,"売買代金")</f>
        <v>4250</v>
      </c>
      <c r="X635" s="20" t="str">
        <f>_xll.RssMarket(A635,"決算発表日")</f>
        <v>2024/02/14</v>
      </c>
      <c r="Y635" s="26" t="str">
        <f>IF(C635&gt;_xll.RssMarket(A635,"年初来高値"),"○","×")</f>
        <v>×</v>
      </c>
      <c r="Z635" s="27" t="str">
        <f>IF(C635&lt;=_xll.RssMarket(A635,"年初来安値"),"○","×")</f>
        <v>×</v>
      </c>
    </row>
    <row r="636" spans="1:26" x14ac:dyDescent="0.25">
      <c r="A636" s="47">
        <v>6023</v>
      </c>
      <c r="B636" s="20" t="str">
        <f>_xll.RssMarket(A636,"銘柄名称")</f>
        <v>ダイハツデイ－ゼル</v>
      </c>
      <c r="C636" s="21">
        <f>_xll.RssMarket(A636,"現在値")</f>
        <v>1225</v>
      </c>
      <c r="D636" s="20" t="str">
        <f>_xll.RssMarket(A636,"現在値詳細時刻")</f>
        <v>15:00:00</v>
      </c>
      <c r="E636" s="22">
        <f>_xll.RssMarket(A636,"前日比")</f>
        <v>9</v>
      </c>
      <c r="F636" s="23">
        <f>_xll.RssMarket(A636,"前日比率")/100</f>
        <v>7.4000000000000003E-3</v>
      </c>
      <c r="G636" s="24" t="str">
        <f>IFERROR(VLOOKUP(A636,取得元!$A$2:$F$501,2,FALSE),"-")</f>
        <v>-</v>
      </c>
      <c r="H636" s="24" t="str">
        <f>IFERROR(VLOOKUP(A636,取得元!$A$2:$F$501,3,FALSE),"-")</f>
        <v>-</v>
      </c>
      <c r="I636" s="24" t="str">
        <f>IFERROR(VLOOKUP(A636,取得元!$A$2:$F$501,4,FALSE),"-")</f>
        <v>-</v>
      </c>
      <c r="J636" s="5" t="str">
        <f>IFERROR(VLOOKUP(A636,取得元!$A$2:$F$501,5,FALSE),"-")</f>
        <v>-</v>
      </c>
      <c r="K636" s="25" t="str">
        <f>IFERROR(VLOOKUP(A636,取得元!$A$2:$F$501,6,FALSE)/100,"-")</f>
        <v>-</v>
      </c>
      <c r="L636" s="21">
        <f>_xll.RssMarket(A636,"始値")</f>
        <v>1215</v>
      </c>
      <c r="M636" s="4">
        <f t="shared" si="60"/>
        <v>8.2304526748970819E-3</v>
      </c>
      <c r="N636" s="21">
        <f>_xll.RssMarket(A636,"高値")</f>
        <v>1246</v>
      </c>
      <c r="O636" s="4">
        <f t="shared" si="61"/>
        <v>-1.6853932584269704E-2</v>
      </c>
      <c r="P636" s="21">
        <f>_xll.RssMarket(A636,"安値")</f>
        <v>1203</v>
      </c>
      <c r="Q636" s="4">
        <f t="shared" si="62"/>
        <v>1.8287614297589405E-2</v>
      </c>
      <c r="R636" s="21">
        <f>_xll.RssMarket(A636,"後場始値")</f>
        <v>1220</v>
      </c>
      <c r="S636" s="25">
        <f t="shared" si="63"/>
        <v>4.098360655737654E-3</v>
      </c>
      <c r="T636" s="7">
        <f>_xll.RssMarket(A636,"出来高加重平均")</f>
        <v>1224.6096</v>
      </c>
      <c r="U636" s="4">
        <f t="shared" si="64"/>
        <v>3.1879547571733724E-4</v>
      </c>
      <c r="V636" s="21">
        <f>_xll.RssMarket(A636,"出来高")</f>
        <v>239500</v>
      </c>
      <c r="W636" s="21">
        <f>_xll.RssMarket(A636,"売買代金")</f>
        <v>293294</v>
      </c>
      <c r="X636" s="20" t="str">
        <f>_xll.RssMarket(A636,"決算発表日")</f>
        <v>2024/01/30</v>
      </c>
      <c r="Y636" s="26" t="str">
        <f>IF(C636&gt;_xll.RssMarket(A636,"年初来高値"),"○","×")</f>
        <v>×</v>
      </c>
      <c r="Z636" s="27" t="str">
        <f>IF(C636&lt;=_xll.RssMarket(A636,"年初来安値"),"○","×")</f>
        <v>×</v>
      </c>
    </row>
    <row r="637" spans="1:26" x14ac:dyDescent="0.25">
      <c r="A637" s="49">
        <v>6028</v>
      </c>
      <c r="B637" s="20" t="str">
        <f>_xll.RssMarket(A637,"銘柄名称")</f>
        <v>テクノプロ・ホールディング</v>
      </c>
      <c r="C637" s="21">
        <f>_xll.RssMarket(A637,"現在値")</f>
        <v>3365</v>
      </c>
      <c r="D637" s="20" t="str">
        <f>_xll.RssMarket(A637,"現在値詳細時刻")</f>
        <v>15:00:00</v>
      </c>
      <c r="E637" s="22">
        <f>_xll.RssMarket(A637,"前日比")</f>
        <v>-225</v>
      </c>
      <c r="F637" s="23">
        <f>_xll.RssMarket(A637,"前日比率")/100</f>
        <v>-6.2699999999999992E-2</v>
      </c>
      <c r="G637" s="24" t="str">
        <f>IFERROR(VLOOKUP(A637,取得元!$A$2:$F$501,2,FALSE),"-")</f>
        <v>-</v>
      </c>
      <c r="H637" s="24" t="str">
        <f>IFERROR(VLOOKUP(A637,取得元!$A$2:$F$501,3,FALSE),"-")</f>
        <v>-</v>
      </c>
      <c r="I637" s="24" t="str">
        <f>IFERROR(VLOOKUP(A637,取得元!$A$2:$F$501,4,FALSE),"-")</f>
        <v>-</v>
      </c>
      <c r="J637" s="5" t="str">
        <f>IFERROR(VLOOKUP(A637,取得元!$A$2:$F$501,5,FALSE),"-")</f>
        <v>-</v>
      </c>
      <c r="K637" s="25" t="str">
        <f>IFERROR(VLOOKUP(A637,取得元!$A$2:$F$501,6,FALSE)/100,"-")</f>
        <v>-</v>
      </c>
      <c r="L637" s="21">
        <f>_xll.RssMarket(A637,"始値")</f>
        <v>3310</v>
      </c>
      <c r="M637" s="4">
        <f t="shared" si="60"/>
        <v>1.6616314199395799E-2</v>
      </c>
      <c r="N637" s="21">
        <f>_xll.RssMarket(A637,"高値")</f>
        <v>3426</v>
      </c>
      <c r="O637" s="4">
        <f t="shared" si="61"/>
        <v>-1.7805020431990615E-2</v>
      </c>
      <c r="P637" s="21">
        <f>_xll.RssMarket(A637,"安値")</f>
        <v>3266</v>
      </c>
      <c r="Q637" s="4">
        <f t="shared" si="62"/>
        <v>3.0312308634415253E-2</v>
      </c>
      <c r="R637" s="21">
        <f>_xll.RssMarket(A637,"後場始値")</f>
        <v>3370</v>
      </c>
      <c r="S637" s="25">
        <f t="shared" si="63"/>
        <v>-1.4836795252225476E-3</v>
      </c>
      <c r="T637" s="7">
        <f>_xll.RssMarket(A637,"出来高加重平均")</f>
        <v>3357.0785000000001</v>
      </c>
      <c r="U637" s="4">
        <f t="shared" si="64"/>
        <v>2.3596409795003659E-3</v>
      </c>
      <c r="V637" s="21">
        <f>_xll.RssMarket(A637,"出来高")</f>
        <v>1122400</v>
      </c>
      <c r="W637" s="21">
        <f>_xll.RssMarket(A637,"売買代金")</f>
        <v>3767985</v>
      </c>
      <c r="X637" s="20" t="str">
        <f>_xll.RssMarket(A637,"決算発表日")</f>
        <v>2024/02/06</v>
      </c>
      <c r="Y637" s="26" t="str">
        <f>IF(C637&gt;_xll.RssMarket(A637,"年初来高値"),"○","×")</f>
        <v>×</v>
      </c>
      <c r="Z637" s="27" t="str">
        <f>IF(C637&lt;=_xll.RssMarket(A637,"年初来安値"),"○","×")</f>
        <v>×</v>
      </c>
    </row>
    <row r="638" spans="1:26" x14ac:dyDescent="0.25">
      <c r="A638" s="47">
        <v>6029</v>
      </c>
      <c r="B638" s="20" t="str">
        <f>_xll.RssMarket(A638,"銘柄名称")</f>
        <v>アトラグループ</v>
      </c>
      <c r="C638" s="21">
        <f>_xll.RssMarket(A638,"現在値")</f>
        <v>181</v>
      </c>
      <c r="D638" s="20" t="str">
        <f>_xll.RssMarket(A638,"現在値詳細時刻")</f>
        <v>15:00:00</v>
      </c>
      <c r="E638" s="22">
        <f>_xll.RssMarket(A638,"前日比")</f>
        <v>-1</v>
      </c>
      <c r="F638" s="23">
        <f>_xll.RssMarket(A638,"前日比率")/100</f>
        <v>-5.5000000000000005E-3</v>
      </c>
      <c r="G638" s="24" t="str">
        <f>IFERROR(VLOOKUP(A638,取得元!$A$2:$F$501,2,FALSE),"-")</f>
        <v>-</v>
      </c>
      <c r="H638" s="24" t="str">
        <f>IFERROR(VLOOKUP(A638,取得元!$A$2:$F$501,3,FALSE),"-")</f>
        <v>-</v>
      </c>
      <c r="I638" s="24" t="str">
        <f>IFERROR(VLOOKUP(A638,取得元!$A$2:$F$501,4,FALSE),"-")</f>
        <v>-</v>
      </c>
      <c r="J638" s="5" t="str">
        <f>IFERROR(VLOOKUP(A638,取得元!$A$2:$F$501,5,FALSE),"-")</f>
        <v>-</v>
      </c>
      <c r="K638" s="25" t="str">
        <f>IFERROR(VLOOKUP(A638,取得元!$A$2:$F$501,6,FALSE)/100,"-")</f>
        <v>-</v>
      </c>
      <c r="L638" s="21">
        <f>_xll.RssMarket(A638,"始値")</f>
        <v>182</v>
      </c>
      <c r="M638" s="4">
        <f t="shared" si="60"/>
        <v>-5.494505494505475E-3</v>
      </c>
      <c r="N638" s="21">
        <f>_xll.RssMarket(A638,"高値")</f>
        <v>183</v>
      </c>
      <c r="O638" s="4">
        <f t="shared" si="61"/>
        <v>-1.0928961748633892E-2</v>
      </c>
      <c r="P638" s="21">
        <f>_xll.RssMarket(A638,"安値")</f>
        <v>181</v>
      </c>
      <c r="Q638" s="4">
        <f t="shared" si="62"/>
        <v>0</v>
      </c>
      <c r="R638" s="21">
        <f>_xll.RssMarket(A638,"後場始値")</f>
        <v>183</v>
      </c>
      <c r="S638" s="25">
        <f t="shared" si="63"/>
        <v>-1.0928961748633892E-2</v>
      </c>
      <c r="T638" s="7">
        <f>_xll.RssMarket(A638,"出来高加重平均")</f>
        <v>182.0779</v>
      </c>
      <c r="U638" s="4">
        <f t="shared" si="64"/>
        <v>-5.9199935851632635E-3</v>
      </c>
      <c r="V638" s="21">
        <f>_xll.RssMarket(A638,"出来高")</f>
        <v>7700</v>
      </c>
      <c r="W638" s="21">
        <f>_xll.RssMarket(A638,"売買代金")</f>
        <v>1402</v>
      </c>
      <c r="X638" s="20" t="str">
        <f>_xll.RssMarket(A638,"決算発表日")</f>
        <v>2024/02/14</v>
      </c>
      <c r="Y638" s="26" t="str">
        <f>IF(C638&gt;_xll.RssMarket(A638,"年初来高値"),"○","×")</f>
        <v>×</v>
      </c>
      <c r="Z638" s="27" t="str">
        <f>IF(C638&lt;=_xll.RssMarket(A638,"年初来安値"),"○","×")</f>
        <v>×</v>
      </c>
    </row>
    <row r="639" spans="1:26" x14ac:dyDescent="0.25">
      <c r="A639" s="49">
        <v>6031</v>
      </c>
      <c r="B639" s="20" t="str">
        <f>_xll.RssMarket(A639,"銘柄名称")</f>
        <v>サイジニア</v>
      </c>
      <c r="C639" s="21">
        <f>_xll.RssMarket(A639,"現在値")</f>
        <v>731</v>
      </c>
      <c r="D639" s="20" t="str">
        <f>_xll.RssMarket(A639,"現在値詳細時刻")</f>
        <v>15:00:00</v>
      </c>
      <c r="E639" s="22">
        <f>_xll.RssMarket(A639,"前日比")</f>
        <v>-59</v>
      </c>
      <c r="F639" s="23">
        <f>_xll.RssMarket(A639,"前日比率")/100</f>
        <v>-7.4700000000000003E-2</v>
      </c>
      <c r="G639" s="24" t="str">
        <f>IFERROR(VLOOKUP(A639,取得元!$A$2:$F$501,2,FALSE),"-")</f>
        <v>-</v>
      </c>
      <c r="H639" s="24" t="str">
        <f>IFERROR(VLOOKUP(A639,取得元!$A$2:$F$501,3,FALSE),"-")</f>
        <v>-</v>
      </c>
      <c r="I639" s="24" t="str">
        <f>IFERROR(VLOOKUP(A639,取得元!$A$2:$F$501,4,FALSE),"-")</f>
        <v>-</v>
      </c>
      <c r="J639" s="5" t="str">
        <f>IFERROR(VLOOKUP(A639,取得元!$A$2:$F$501,5,FALSE),"-")</f>
        <v>-</v>
      </c>
      <c r="K639" s="25" t="str">
        <f>IFERROR(VLOOKUP(A639,取得元!$A$2:$F$501,6,FALSE)/100,"-")</f>
        <v>-</v>
      </c>
      <c r="L639" s="21">
        <f>_xll.RssMarket(A639,"始値")</f>
        <v>789</v>
      </c>
      <c r="M639" s="4">
        <f t="shared" si="60"/>
        <v>-7.3510773130544993E-2</v>
      </c>
      <c r="N639" s="21">
        <f>_xll.RssMarket(A639,"高値")</f>
        <v>789</v>
      </c>
      <c r="O639" s="4">
        <f t="shared" si="61"/>
        <v>-7.3510773130544993E-2</v>
      </c>
      <c r="P639" s="21">
        <f>_xll.RssMarket(A639,"安値")</f>
        <v>718</v>
      </c>
      <c r="Q639" s="4">
        <f t="shared" si="62"/>
        <v>1.8105849582172651E-2</v>
      </c>
      <c r="R639" s="21">
        <f>_xll.RssMarket(A639,"後場始値")</f>
        <v>737</v>
      </c>
      <c r="S639" s="25">
        <f t="shared" si="63"/>
        <v>-8.141112618724522E-3</v>
      </c>
      <c r="T639" s="7">
        <f>_xll.RssMarket(A639,"出来高加重平均")</f>
        <v>739.18880000000001</v>
      </c>
      <c r="U639" s="4">
        <f t="shared" si="64"/>
        <v>-1.1078089927769486E-2</v>
      </c>
      <c r="V639" s="21">
        <f>_xll.RssMarket(A639,"出来高")</f>
        <v>176300</v>
      </c>
      <c r="W639" s="21">
        <f>_xll.RssMarket(A639,"売買代金")</f>
        <v>130319</v>
      </c>
      <c r="X639" s="20" t="str">
        <f>_xll.RssMarket(A639,"決算発表日")</f>
        <v>2024/02/13</v>
      </c>
      <c r="Y639" s="26" t="str">
        <f>IF(C639&gt;_xll.RssMarket(A639,"年初来高値"),"○","×")</f>
        <v>×</v>
      </c>
      <c r="Z639" s="27" t="str">
        <f>IF(C639&lt;=_xll.RssMarket(A639,"年初来安値"),"○","×")</f>
        <v>×</v>
      </c>
    </row>
    <row r="640" spans="1:26" x14ac:dyDescent="0.25">
      <c r="A640" s="47">
        <v>6035</v>
      </c>
      <c r="B640" s="20" t="str">
        <f>_xll.RssMarket(A640,"銘柄名称")</f>
        <v>アイ・アールジャパンＨＤ</v>
      </c>
      <c r="C640" s="21">
        <f>_xll.RssMarket(A640,"現在値")</f>
        <v>1321</v>
      </c>
      <c r="D640" s="20" t="str">
        <f>_xll.RssMarket(A640,"現在値詳細時刻")</f>
        <v>15:00:00</v>
      </c>
      <c r="E640" s="22">
        <f>_xll.RssMarket(A640,"前日比")</f>
        <v>43</v>
      </c>
      <c r="F640" s="23">
        <f>_xll.RssMarket(A640,"前日比率")/100</f>
        <v>3.3599999999999998E-2</v>
      </c>
      <c r="G640" s="24" t="str">
        <f>IFERROR(VLOOKUP(A640,取得元!$A$2:$F$501,2,FALSE),"-")</f>
        <v>-</v>
      </c>
      <c r="H640" s="24" t="str">
        <f>IFERROR(VLOOKUP(A640,取得元!$A$2:$F$501,3,FALSE),"-")</f>
        <v>-</v>
      </c>
      <c r="I640" s="24" t="str">
        <f>IFERROR(VLOOKUP(A640,取得元!$A$2:$F$501,4,FALSE),"-")</f>
        <v>-</v>
      </c>
      <c r="J640" s="5" t="str">
        <f>IFERROR(VLOOKUP(A640,取得元!$A$2:$F$501,5,FALSE),"-")</f>
        <v>-</v>
      </c>
      <c r="K640" s="25" t="str">
        <f>IFERROR(VLOOKUP(A640,取得元!$A$2:$F$501,6,FALSE)/100,"-")</f>
        <v>-</v>
      </c>
      <c r="L640" s="21">
        <f>_xll.RssMarket(A640,"始値")</f>
        <v>1271</v>
      </c>
      <c r="M640" s="4">
        <f t="shared" si="60"/>
        <v>3.933910306845001E-2</v>
      </c>
      <c r="N640" s="21">
        <f>_xll.RssMarket(A640,"高値")</f>
        <v>1330</v>
      </c>
      <c r="O640" s="4">
        <f t="shared" si="61"/>
        <v>-6.7669172932330879E-3</v>
      </c>
      <c r="P640" s="21">
        <f>_xll.RssMarket(A640,"安値")</f>
        <v>1252</v>
      </c>
      <c r="Q640" s="4">
        <f t="shared" si="62"/>
        <v>5.5111821086262003E-2</v>
      </c>
      <c r="R640" s="21">
        <f>_xll.RssMarket(A640,"後場始値")</f>
        <v>1290</v>
      </c>
      <c r="S640" s="25">
        <f t="shared" si="63"/>
        <v>2.4031007751937894E-2</v>
      </c>
      <c r="T640" s="7">
        <f>_xll.RssMarket(A640,"出来高加重平均")</f>
        <v>1291.8508999999999</v>
      </c>
      <c r="U640" s="4">
        <f t="shared" si="64"/>
        <v>2.2563826831718758E-2</v>
      </c>
      <c r="V640" s="21">
        <f>_xll.RssMarket(A640,"出来高")</f>
        <v>468400</v>
      </c>
      <c r="W640" s="21">
        <f>_xll.RssMarket(A640,"売買代金")</f>
        <v>605103</v>
      </c>
      <c r="X640" s="20" t="str">
        <f>_xll.RssMarket(A640,"決算発表日")</f>
        <v>2024/02/02</v>
      </c>
      <c r="Y640" s="26" t="str">
        <f>IF(C640&gt;_xll.RssMarket(A640,"年初来高値"),"○","×")</f>
        <v>×</v>
      </c>
      <c r="Z640" s="27" t="str">
        <f>IF(C640&lt;=_xll.RssMarket(A640,"年初来安値"),"○","×")</f>
        <v>×</v>
      </c>
    </row>
    <row r="641" spans="1:26" x14ac:dyDescent="0.25">
      <c r="A641" s="49">
        <v>6044</v>
      </c>
      <c r="B641" s="20" t="str">
        <f>_xll.RssMarket(A641,"銘柄名称")</f>
        <v>三機サービス</v>
      </c>
      <c r="C641" s="21">
        <f>_xll.RssMarket(A641,"現在値")</f>
        <v>1346</v>
      </c>
      <c r="D641" s="20" t="str">
        <f>_xll.RssMarket(A641,"現在値詳細時刻")</f>
        <v>15:00:00</v>
      </c>
      <c r="E641" s="22">
        <f>_xll.RssMarket(A641,"前日比")</f>
        <v>-18</v>
      </c>
      <c r="F641" s="23">
        <f>_xll.RssMarket(A641,"前日比率")/100</f>
        <v>-1.32E-2</v>
      </c>
      <c r="G641" s="24" t="str">
        <f>IFERROR(VLOOKUP(A641,取得元!$A$2:$F$501,2,FALSE),"-")</f>
        <v>-</v>
      </c>
      <c r="H641" s="24" t="str">
        <f>IFERROR(VLOOKUP(A641,取得元!$A$2:$F$501,3,FALSE),"-")</f>
        <v>-</v>
      </c>
      <c r="I641" s="24" t="str">
        <f>IFERROR(VLOOKUP(A641,取得元!$A$2:$F$501,4,FALSE),"-")</f>
        <v>-</v>
      </c>
      <c r="J641" s="5" t="str">
        <f>IFERROR(VLOOKUP(A641,取得元!$A$2:$F$501,5,FALSE),"-")</f>
        <v>-</v>
      </c>
      <c r="K641" s="25" t="str">
        <f>IFERROR(VLOOKUP(A641,取得元!$A$2:$F$501,6,FALSE)/100,"-")</f>
        <v>-</v>
      </c>
      <c r="L641" s="21">
        <f>_xll.RssMarket(A641,"始値")</f>
        <v>1365</v>
      </c>
      <c r="M641" s="4">
        <f t="shared" si="60"/>
        <v>-1.391941391941387E-2</v>
      </c>
      <c r="N641" s="21">
        <f>_xll.RssMarket(A641,"高値")</f>
        <v>1376</v>
      </c>
      <c r="O641" s="4">
        <f t="shared" si="61"/>
        <v>-2.1802325581395388E-2</v>
      </c>
      <c r="P641" s="21">
        <f>_xll.RssMarket(A641,"安値")</f>
        <v>1346</v>
      </c>
      <c r="Q641" s="4">
        <f t="shared" si="62"/>
        <v>0</v>
      </c>
      <c r="R641" s="21">
        <f>_xll.RssMarket(A641,"後場始値")</f>
        <v>1362</v>
      </c>
      <c r="S641" s="25">
        <f t="shared" si="63"/>
        <v>-1.1747430249632873E-2</v>
      </c>
      <c r="T641" s="7">
        <f>_xll.RssMarket(A641,"出来高加重平均")</f>
        <v>1359.2782999999999</v>
      </c>
      <c r="U641" s="4">
        <f t="shared" si="64"/>
        <v>-9.7686397259486579E-3</v>
      </c>
      <c r="V641" s="21">
        <f>_xll.RssMarket(A641,"出来高")</f>
        <v>9700</v>
      </c>
      <c r="W641" s="21">
        <f>_xll.RssMarket(A641,"売買代金")</f>
        <v>13185</v>
      </c>
      <c r="X641" s="20" t="str">
        <f>_xll.RssMarket(A641,"決算発表日")</f>
        <v>2024/01/12</v>
      </c>
      <c r="Y641" s="26" t="str">
        <f>IF(C641&gt;_xll.RssMarket(A641,"年初来高値"),"○","×")</f>
        <v>×</v>
      </c>
      <c r="Z641" s="27" t="str">
        <f>IF(C641&lt;=_xll.RssMarket(A641,"年初来安値"),"○","×")</f>
        <v>×</v>
      </c>
    </row>
    <row r="642" spans="1:26" x14ac:dyDescent="0.25">
      <c r="A642" s="47">
        <v>6046</v>
      </c>
      <c r="B642" s="20" t="str">
        <f>_xll.RssMarket(A642,"銘柄名称")</f>
        <v>リンクバル</v>
      </c>
      <c r="C642" s="21">
        <f>_xll.RssMarket(A642,"現在値")</f>
        <v>174</v>
      </c>
      <c r="D642" s="20" t="str">
        <f>_xll.RssMarket(A642,"現在値詳細時刻")</f>
        <v>15:00:00</v>
      </c>
      <c r="E642" s="22">
        <f>_xll.RssMarket(A642,"前日比")</f>
        <v>1</v>
      </c>
      <c r="F642" s="23">
        <f>_xll.RssMarket(A642,"前日比率")/100</f>
        <v>5.7999999999999996E-3</v>
      </c>
      <c r="G642" s="24" t="str">
        <f>IFERROR(VLOOKUP(A642,取得元!$A$2:$F$501,2,FALSE),"-")</f>
        <v>-</v>
      </c>
      <c r="H642" s="24" t="str">
        <f>IFERROR(VLOOKUP(A642,取得元!$A$2:$F$501,3,FALSE),"-")</f>
        <v>-</v>
      </c>
      <c r="I642" s="24" t="str">
        <f>IFERROR(VLOOKUP(A642,取得元!$A$2:$F$501,4,FALSE),"-")</f>
        <v>-</v>
      </c>
      <c r="J642" s="5" t="str">
        <f>IFERROR(VLOOKUP(A642,取得元!$A$2:$F$501,5,FALSE),"-")</f>
        <v>-</v>
      </c>
      <c r="K642" s="25" t="str">
        <f>IFERROR(VLOOKUP(A642,取得元!$A$2:$F$501,6,FALSE)/100,"-")</f>
        <v>-</v>
      </c>
      <c r="L642" s="21">
        <f>_xll.RssMarket(A642,"始値")</f>
        <v>173</v>
      </c>
      <c r="M642" s="4">
        <f t="shared" si="60"/>
        <v>5.7803468208093012E-3</v>
      </c>
      <c r="N642" s="21">
        <f>_xll.RssMarket(A642,"高値")</f>
        <v>176</v>
      </c>
      <c r="O642" s="4">
        <f t="shared" si="61"/>
        <v>-1.1363636363636354E-2</v>
      </c>
      <c r="P642" s="21">
        <f>_xll.RssMarket(A642,"安値")</f>
        <v>173</v>
      </c>
      <c r="Q642" s="4">
        <f t="shared" si="62"/>
        <v>5.7803468208093012E-3</v>
      </c>
      <c r="R642" s="21">
        <f>_xll.RssMarket(A642,"後場始値")</f>
        <v>175</v>
      </c>
      <c r="S642" s="25">
        <f t="shared" si="63"/>
        <v>-5.7142857142856718E-3</v>
      </c>
      <c r="T642" s="7">
        <f>_xll.RssMarket(A642,"出来高加重平均")</f>
        <v>174.65110000000001</v>
      </c>
      <c r="U642" s="4">
        <f t="shared" si="64"/>
        <v>-3.7280040034103346E-3</v>
      </c>
      <c r="V642" s="21">
        <f>_xll.RssMarket(A642,"出来高")</f>
        <v>12900</v>
      </c>
      <c r="W642" s="21">
        <f>_xll.RssMarket(A642,"売買代金")</f>
        <v>2253</v>
      </c>
      <c r="X642" s="20" t="str">
        <f>_xll.RssMarket(A642,"決算発表日")</f>
        <v>2024/02/08</v>
      </c>
      <c r="Y642" s="26" t="str">
        <f>IF(C642&gt;_xll.RssMarket(A642,"年初来高値"),"○","×")</f>
        <v>×</v>
      </c>
      <c r="Z642" s="27" t="str">
        <f>IF(C642&lt;=_xll.RssMarket(A642,"年初来安値"),"○","×")</f>
        <v>×</v>
      </c>
    </row>
    <row r="643" spans="1:26" x14ac:dyDescent="0.25">
      <c r="A643" s="49">
        <v>6047</v>
      </c>
      <c r="B643" s="20" t="str">
        <f>_xll.RssMarket(A643,"銘柄名称")</f>
        <v>Ｇｕｎｏｓｙ</v>
      </c>
      <c r="C643" s="21">
        <f>_xll.RssMarket(A643,"現在値")</f>
        <v>730</v>
      </c>
      <c r="D643" s="20" t="str">
        <f>_xll.RssMarket(A643,"現在値詳細時刻")</f>
        <v>15:00:00</v>
      </c>
      <c r="E643" s="22">
        <f>_xll.RssMarket(A643,"前日比")</f>
        <v>-56</v>
      </c>
      <c r="F643" s="23">
        <f>_xll.RssMarket(A643,"前日比率")/100</f>
        <v>-7.1199999999999999E-2</v>
      </c>
      <c r="G643" s="24" t="str">
        <f>IFERROR(VLOOKUP(A643,取得元!$A$2:$F$501,2,FALSE),"-")</f>
        <v>-</v>
      </c>
      <c r="H643" s="24" t="str">
        <f>IFERROR(VLOOKUP(A643,取得元!$A$2:$F$501,3,FALSE),"-")</f>
        <v>-</v>
      </c>
      <c r="I643" s="24" t="str">
        <f>IFERROR(VLOOKUP(A643,取得元!$A$2:$F$501,4,FALSE),"-")</f>
        <v>-</v>
      </c>
      <c r="J643" s="5" t="str">
        <f>IFERROR(VLOOKUP(A643,取得元!$A$2:$F$501,5,FALSE),"-")</f>
        <v>-</v>
      </c>
      <c r="K643" s="25" t="str">
        <f>IFERROR(VLOOKUP(A643,取得元!$A$2:$F$501,6,FALSE)/100,"-")</f>
        <v>-</v>
      </c>
      <c r="L643" s="21">
        <f>_xll.RssMarket(A643,"始値")</f>
        <v>763</v>
      </c>
      <c r="M643" s="4">
        <f t="shared" si="60"/>
        <v>-4.3250327653997389E-2</v>
      </c>
      <c r="N643" s="21">
        <f>_xll.RssMarket(A643,"高値")</f>
        <v>770</v>
      </c>
      <c r="O643" s="4">
        <f t="shared" si="61"/>
        <v>-5.1948051948051965E-2</v>
      </c>
      <c r="P643" s="21">
        <f>_xll.RssMarket(A643,"安値")</f>
        <v>728</v>
      </c>
      <c r="Q643" s="4">
        <f t="shared" si="62"/>
        <v>2.7472527472527375E-3</v>
      </c>
      <c r="R643" s="21">
        <f>_xll.RssMarket(A643,"後場始値")</f>
        <v>735</v>
      </c>
      <c r="S643" s="25">
        <f t="shared" si="63"/>
        <v>-6.8027210884353817E-3</v>
      </c>
      <c r="T643" s="7">
        <f>_xll.RssMarket(A643,"出来高加重平均")</f>
        <v>737.54499999999996</v>
      </c>
      <c r="U643" s="4">
        <f t="shared" si="64"/>
        <v>-1.0229884278247336E-2</v>
      </c>
      <c r="V643" s="21">
        <f>_xll.RssMarket(A643,"出来高")</f>
        <v>760900</v>
      </c>
      <c r="W643" s="21">
        <f>_xll.RssMarket(A643,"売買代金")</f>
        <v>561198</v>
      </c>
      <c r="X643" s="20" t="str">
        <f>_xll.RssMarket(A643,"決算発表日")</f>
        <v>2024/01/15</v>
      </c>
      <c r="Y643" s="26" t="str">
        <f>IF(C643&gt;_xll.RssMarket(A643,"年初来高値"),"○","×")</f>
        <v>×</v>
      </c>
      <c r="Z643" s="27" t="str">
        <f>IF(C643&lt;=_xll.RssMarket(A643,"年初来安値"),"○","×")</f>
        <v>×</v>
      </c>
    </row>
    <row r="644" spans="1:26" x14ac:dyDescent="0.25">
      <c r="A644" s="47">
        <v>6048</v>
      </c>
      <c r="B644" s="20" t="str">
        <f>_xll.RssMarket(A644,"銘柄名称")</f>
        <v>デザインワン・ジャパン</v>
      </c>
      <c r="C644" s="21">
        <f>_xll.RssMarket(A644,"現在値")</f>
        <v>133</v>
      </c>
      <c r="D644" s="20" t="str">
        <f>_xll.RssMarket(A644,"現在値詳細時刻")</f>
        <v>15:00:00</v>
      </c>
      <c r="E644" s="22">
        <f>_xll.RssMarket(A644,"前日比")</f>
        <v>-3</v>
      </c>
      <c r="F644" s="23">
        <f>_xll.RssMarket(A644,"前日比率")/100</f>
        <v>-2.2099999999999998E-2</v>
      </c>
      <c r="G644" s="24" t="str">
        <f>IFERROR(VLOOKUP(A644,取得元!$A$2:$F$501,2,FALSE),"-")</f>
        <v>-</v>
      </c>
      <c r="H644" s="24" t="str">
        <f>IFERROR(VLOOKUP(A644,取得元!$A$2:$F$501,3,FALSE),"-")</f>
        <v>-</v>
      </c>
      <c r="I644" s="24" t="str">
        <f>IFERROR(VLOOKUP(A644,取得元!$A$2:$F$501,4,FALSE),"-")</f>
        <v>-</v>
      </c>
      <c r="J644" s="5" t="str">
        <f>IFERROR(VLOOKUP(A644,取得元!$A$2:$F$501,5,FALSE),"-")</f>
        <v>-</v>
      </c>
      <c r="K644" s="25" t="str">
        <f>IFERROR(VLOOKUP(A644,取得元!$A$2:$F$501,6,FALSE)/100,"-")</f>
        <v>-</v>
      </c>
      <c r="L644" s="21">
        <f>_xll.RssMarket(A644,"始値")</f>
        <v>136</v>
      </c>
      <c r="M644" s="4">
        <f t="shared" si="60"/>
        <v>-2.2058823529411797E-2</v>
      </c>
      <c r="N644" s="21">
        <f>_xll.RssMarket(A644,"高値")</f>
        <v>137</v>
      </c>
      <c r="O644" s="4">
        <f t="shared" si="61"/>
        <v>-2.9197080291970767E-2</v>
      </c>
      <c r="P644" s="21">
        <f>_xll.RssMarket(A644,"安値")</f>
        <v>133</v>
      </c>
      <c r="Q644" s="4">
        <f t="shared" si="62"/>
        <v>0</v>
      </c>
      <c r="R644" s="21">
        <f>_xll.RssMarket(A644,"後場始値")</f>
        <v>135</v>
      </c>
      <c r="S644" s="25">
        <f t="shared" si="63"/>
        <v>-1.4814814814814836E-2</v>
      </c>
      <c r="T644" s="7">
        <f>_xll.RssMarket(A644,"出来高加重平均")</f>
        <v>134.5087</v>
      </c>
      <c r="U644" s="4">
        <f t="shared" si="64"/>
        <v>-1.121637485158955E-2</v>
      </c>
      <c r="V644" s="21">
        <f>_xll.RssMarket(A644,"出来高")</f>
        <v>126200</v>
      </c>
      <c r="W644" s="21">
        <f>_xll.RssMarket(A644,"売買代金")</f>
        <v>16975</v>
      </c>
      <c r="X644" s="20" t="str">
        <f>_xll.RssMarket(A644,"決算発表日")</f>
        <v>2024/01/12</v>
      </c>
      <c r="Y644" s="26" t="str">
        <f>IF(C644&gt;_xll.RssMarket(A644,"年初来高値"),"○","×")</f>
        <v>×</v>
      </c>
      <c r="Z644" s="27" t="str">
        <f>IF(C644&lt;=_xll.RssMarket(A644,"年初来安値"),"○","×")</f>
        <v>×</v>
      </c>
    </row>
    <row r="645" spans="1:26" x14ac:dyDescent="0.25">
      <c r="A645" s="49">
        <v>6049</v>
      </c>
      <c r="B645" s="20" t="str">
        <f>_xll.RssMarket(A645,"銘柄名称")</f>
        <v>イトクロ</v>
      </c>
      <c r="C645" s="21">
        <f>_xll.RssMarket(A645,"現在値")</f>
        <v>302</v>
      </c>
      <c r="D645" s="20" t="str">
        <f>_xll.RssMarket(A645,"現在値詳細時刻")</f>
        <v>15:00:00</v>
      </c>
      <c r="E645" s="22">
        <f>_xll.RssMarket(A645,"前日比")</f>
        <v>-4</v>
      </c>
      <c r="F645" s="23">
        <f>_xll.RssMarket(A645,"前日比率")/100</f>
        <v>-1.3100000000000001E-2</v>
      </c>
      <c r="G645" s="24" t="str">
        <f>IFERROR(VLOOKUP(A645,取得元!$A$2:$F$501,2,FALSE),"-")</f>
        <v>-</v>
      </c>
      <c r="H645" s="24" t="str">
        <f>IFERROR(VLOOKUP(A645,取得元!$A$2:$F$501,3,FALSE),"-")</f>
        <v>-</v>
      </c>
      <c r="I645" s="24" t="str">
        <f>IFERROR(VLOOKUP(A645,取得元!$A$2:$F$501,4,FALSE),"-")</f>
        <v>-</v>
      </c>
      <c r="J645" s="5" t="str">
        <f>IFERROR(VLOOKUP(A645,取得元!$A$2:$F$501,5,FALSE),"-")</f>
        <v>-</v>
      </c>
      <c r="K645" s="25" t="str">
        <f>IFERROR(VLOOKUP(A645,取得元!$A$2:$F$501,6,FALSE)/100,"-")</f>
        <v>-</v>
      </c>
      <c r="L645" s="21">
        <f>_xll.RssMarket(A645,"始値")</f>
        <v>305</v>
      </c>
      <c r="M645" s="4">
        <f t="shared" si="60"/>
        <v>-9.8360655737704805E-3</v>
      </c>
      <c r="N645" s="21">
        <f>_xll.RssMarket(A645,"高値")</f>
        <v>307</v>
      </c>
      <c r="O645" s="4">
        <f t="shared" si="61"/>
        <v>-1.6286644951140072E-2</v>
      </c>
      <c r="P645" s="21">
        <f>_xll.RssMarket(A645,"安値")</f>
        <v>300</v>
      </c>
      <c r="Q645" s="4">
        <f t="shared" si="62"/>
        <v>6.6666666666665986E-3</v>
      </c>
      <c r="R645" s="21">
        <f>_xll.RssMarket(A645,"後場始値")</f>
        <v>303</v>
      </c>
      <c r="S645" s="25">
        <f t="shared" si="63"/>
        <v>-3.3003300330033403E-3</v>
      </c>
      <c r="T645" s="7">
        <f>_xll.RssMarket(A645,"出来高加重平均")</f>
        <v>302.21300000000002</v>
      </c>
      <c r="U645" s="4">
        <f t="shared" si="64"/>
        <v>-7.0480091855751326E-4</v>
      </c>
      <c r="V645" s="21">
        <f>_xll.RssMarket(A645,"出来高")</f>
        <v>108900</v>
      </c>
      <c r="W645" s="21">
        <f>_xll.RssMarket(A645,"売買代金")</f>
        <v>32911</v>
      </c>
      <c r="X645" s="20" t="str">
        <f>_xll.RssMarket(A645,"決算発表日")</f>
        <v>2024/03/08</v>
      </c>
      <c r="Y645" s="26" t="str">
        <f>IF(C645&gt;_xll.RssMarket(A645,"年初来高値"),"○","×")</f>
        <v>×</v>
      </c>
      <c r="Z645" s="27" t="str">
        <f>IF(C645&lt;=_xll.RssMarket(A645,"年初来安値"),"○","×")</f>
        <v>×</v>
      </c>
    </row>
    <row r="646" spans="1:26" x14ac:dyDescent="0.25">
      <c r="A646" s="47">
        <v>6054</v>
      </c>
      <c r="B646" s="20" t="str">
        <f>_xll.RssMarket(A646,"銘柄名称")</f>
        <v>リブセンス</v>
      </c>
      <c r="C646" s="21">
        <f>_xll.RssMarket(A646,"現在値")</f>
        <v>243</v>
      </c>
      <c r="D646" s="20" t="str">
        <f>_xll.RssMarket(A646,"現在値詳細時刻")</f>
        <v>15:00:00</v>
      </c>
      <c r="E646" s="22">
        <f>_xll.RssMarket(A646,"前日比")</f>
        <v>0</v>
      </c>
      <c r="F646" s="23">
        <f>_xll.RssMarket(A646,"前日比率")/100</f>
        <v>0</v>
      </c>
      <c r="G646" s="24" t="str">
        <f>IFERROR(VLOOKUP(A646,取得元!$A$2:$F$501,2,FALSE),"-")</f>
        <v>-</v>
      </c>
      <c r="H646" s="24" t="str">
        <f>IFERROR(VLOOKUP(A646,取得元!$A$2:$F$501,3,FALSE),"-")</f>
        <v>-</v>
      </c>
      <c r="I646" s="24" t="str">
        <f>IFERROR(VLOOKUP(A646,取得元!$A$2:$F$501,4,FALSE),"-")</f>
        <v>-</v>
      </c>
      <c r="J646" s="5" t="str">
        <f>IFERROR(VLOOKUP(A646,取得元!$A$2:$F$501,5,FALSE),"-")</f>
        <v>-</v>
      </c>
      <c r="K646" s="25" t="str">
        <f>IFERROR(VLOOKUP(A646,取得元!$A$2:$F$501,6,FALSE)/100,"-")</f>
        <v>-</v>
      </c>
      <c r="L646" s="21">
        <f>_xll.RssMarket(A646,"始値")</f>
        <v>250</v>
      </c>
      <c r="M646" s="4">
        <f t="shared" si="60"/>
        <v>-2.8000000000000025E-2</v>
      </c>
      <c r="N646" s="21">
        <f>_xll.RssMarket(A646,"高値")</f>
        <v>250</v>
      </c>
      <c r="O646" s="4">
        <f t="shared" si="61"/>
        <v>-2.8000000000000025E-2</v>
      </c>
      <c r="P646" s="21">
        <f>_xll.RssMarket(A646,"安値")</f>
        <v>243</v>
      </c>
      <c r="Q646" s="4">
        <f t="shared" si="62"/>
        <v>0</v>
      </c>
      <c r="R646" s="21">
        <f>_xll.RssMarket(A646,"後場始値")</f>
        <v>243</v>
      </c>
      <c r="S646" s="25">
        <f t="shared" si="63"/>
        <v>0</v>
      </c>
      <c r="T646" s="7">
        <f>_xll.RssMarket(A646,"出来高加重平均")</f>
        <v>246.57650000000001</v>
      </c>
      <c r="U646" s="4">
        <f t="shared" si="64"/>
        <v>-1.4504626353281869E-2</v>
      </c>
      <c r="V646" s="21">
        <f>_xll.RssMarket(A646,"出来高")</f>
        <v>33300</v>
      </c>
      <c r="W646" s="21">
        <f>_xll.RssMarket(A646,"売買代金")</f>
        <v>8211</v>
      </c>
      <c r="X646" s="20" t="str">
        <f>_xll.RssMarket(A646,"決算発表日")</f>
        <v>2024/02/14</v>
      </c>
      <c r="Y646" s="26" t="str">
        <f>IF(C646&gt;_xll.RssMarket(A646,"年初来高値"),"○","×")</f>
        <v>×</v>
      </c>
      <c r="Z646" s="27" t="str">
        <f>IF(C646&lt;=_xll.RssMarket(A646,"年初来安値"),"○","×")</f>
        <v>×</v>
      </c>
    </row>
    <row r="647" spans="1:26" x14ac:dyDescent="0.25">
      <c r="A647" s="49">
        <v>6059</v>
      </c>
      <c r="B647" s="20" t="str">
        <f>_xll.RssMarket(A647,"銘柄名称")</f>
        <v>ウチヤマホールディングス</v>
      </c>
      <c r="C647" s="21">
        <f>_xll.RssMarket(A647,"現在値")</f>
        <v>383</v>
      </c>
      <c r="D647" s="20" t="str">
        <f>_xll.RssMarket(A647,"現在値詳細時刻")</f>
        <v>15:00:00</v>
      </c>
      <c r="E647" s="22">
        <f>_xll.RssMarket(A647,"前日比")</f>
        <v>-5</v>
      </c>
      <c r="F647" s="23">
        <f>_xll.RssMarket(A647,"前日比率")/100</f>
        <v>-1.29E-2</v>
      </c>
      <c r="G647" s="24" t="str">
        <f>IFERROR(VLOOKUP(A647,取得元!$A$2:$F$501,2,FALSE),"-")</f>
        <v>-</v>
      </c>
      <c r="H647" s="24" t="str">
        <f>IFERROR(VLOOKUP(A647,取得元!$A$2:$F$501,3,FALSE),"-")</f>
        <v>-</v>
      </c>
      <c r="I647" s="24" t="str">
        <f>IFERROR(VLOOKUP(A647,取得元!$A$2:$F$501,4,FALSE),"-")</f>
        <v>-</v>
      </c>
      <c r="J647" s="5" t="str">
        <f>IFERROR(VLOOKUP(A647,取得元!$A$2:$F$501,5,FALSE),"-")</f>
        <v>-</v>
      </c>
      <c r="K647" s="25" t="str">
        <f>IFERROR(VLOOKUP(A647,取得元!$A$2:$F$501,6,FALSE)/100,"-")</f>
        <v>-</v>
      </c>
      <c r="L647" s="21">
        <f>_xll.RssMarket(A647,"始値")</f>
        <v>387</v>
      </c>
      <c r="M647" s="4">
        <f t="shared" si="60"/>
        <v>-1.033591731266148E-2</v>
      </c>
      <c r="N647" s="21">
        <f>_xll.RssMarket(A647,"高値")</f>
        <v>388</v>
      </c>
      <c r="O647" s="4">
        <f t="shared" si="61"/>
        <v>-1.2886597938144284E-2</v>
      </c>
      <c r="P647" s="21">
        <f>_xll.RssMarket(A647,"安値")</f>
        <v>383</v>
      </c>
      <c r="Q647" s="4">
        <f t="shared" si="62"/>
        <v>0</v>
      </c>
      <c r="R647" s="21">
        <f>_xll.RssMarket(A647,"後場始値")</f>
        <v>385</v>
      </c>
      <c r="S647" s="25">
        <f t="shared" si="63"/>
        <v>-5.1948051948051965E-3</v>
      </c>
      <c r="T647" s="7">
        <f>_xll.RssMarket(A647,"出来高加重平均")</f>
        <v>385.18610000000001</v>
      </c>
      <c r="U647" s="4">
        <f t="shared" si="64"/>
        <v>-5.6754384439106076E-3</v>
      </c>
      <c r="V647" s="21">
        <f>_xll.RssMarket(A647,"出来高")</f>
        <v>40300</v>
      </c>
      <c r="W647" s="21">
        <f>_xll.RssMarket(A647,"売買代金")</f>
        <v>15523</v>
      </c>
      <c r="X647" s="20" t="str">
        <f>_xll.RssMarket(A647,"決算発表日")</f>
        <v>2024/02/09</v>
      </c>
      <c r="Y647" s="26" t="str">
        <f>IF(C647&gt;_xll.RssMarket(A647,"年初来高値"),"○","×")</f>
        <v>×</v>
      </c>
      <c r="Z647" s="27" t="str">
        <f>IF(C647&lt;=_xll.RssMarket(A647,"年初来安値"),"○","×")</f>
        <v>×</v>
      </c>
    </row>
    <row r="648" spans="1:26" x14ac:dyDescent="0.25">
      <c r="A648" s="47">
        <v>6073</v>
      </c>
      <c r="B648" s="20" t="str">
        <f>_xll.RssMarket(A648,"銘柄名称")</f>
        <v>アサンテ</v>
      </c>
      <c r="C648" s="21">
        <f>_xll.RssMarket(A648,"現在値")</f>
        <v>1665</v>
      </c>
      <c r="D648" s="20" t="str">
        <f>_xll.RssMarket(A648,"現在値詳細時刻")</f>
        <v>15:00:00</v>
      </c>
      <c r="E648" s="22">
        <f>_xll.RssMarket(A648,"前日比")</f>
        <v>-25</v>
      </c>
      <c r="F648" s="23">
        <f>_xll.RssMarket(A648,"前日比率")/100</f>
        <v>-1.4800000000000001E-2</v>
      </c>
      <c r="G648" s="24" t="str">
        <f>IFERROR(VLOOKUP(A648,取得元!$A$2:$F$501,2,FALSE),"-")</f>
        <v>-</v>
      </c>
      <c r="H648" s="24" t="str">
        <f>IFERROR(VLOOKUP(A648,取得元!$A$2:$F$501,3,FALSE),"-")</f>
        <v>-</v>
      </c>
      <c r="I648" s="24" t="str">
        <f>IFERROR(VLOOKUP(A648,取得元!$A$2:$F$501,4,FALSE),"-")</f>
        <v>-</v>
      </c>
      <c r="J648" s="5" t="str">
        <f>IFERROR(VLOOKUP(A648,取得元!$A$2:$F$501,5,FALSE),"-")</f>
        <v>-</v>
      </c>
      <c r="K648" s="25" t="str">
        <f>IFERROR(VLOOKUP(A648,取得元!$A$2:$F$501,6,FALSE)/100,"-")</f>
        <v>-</v>
      </c>
      <c r="L648" s="21">
        <f>_xll.RssMarket(A648,"始値")</f>
        <v>1676</v>
      </c>
      <c r="M648" s="4">
        <f t="shared" si="60"/>
        <v>-6.5632458233890745E-3</v>
      </c>
      <c r="N648" s="21">
        <f>_xll.RssMarket(A648,"高値")</f>
        <v>1680</v>
      </c>
      <c r="O648" s="4">
        <f t="shared" si="61"/>
        <v>-8.9285714285713969E-3</v>
      </c>
      <c r="P648" s="21">
        <f>_xll.RssMarket(A648,"安値")</f>
        <v>1662</v>
      </c>
      <c r="Q648" s="4">
        <f t="shared" si="62"/>
        <v>1.8050541516245744E-3</v>
      </c>
      <c r="R648" s="21">
        <f>_xll.RssMarket(A648,"後場始値")</f>
        <v>1669</v>
      </c>
      <c r="S648" s="25">
        <f t="shared" si="63"/>
        <v>-2.3966446974236222E-3</v>
      </c>
      <c r="T648" s="7">
        <f>_xll.RssMarket(A648,"出来高加重平均")</f>
        <v>1668.7945999999999</v>
      </c>
      <c r="U648" s="4">
        <f t="shared" si="64"/>
        <v>-2.2738568305530338E-3</v>
      </c>
      <c r="V648" s="21">
        <f>_xll.RssMarket(A648,"出来高")</f>
        <v>44800</v>
      </c>
      <c r="W648" s="21">
        <f>_xll.RssMarket(A648,"売買代金")</f>
        <v>74762</v>
      </c>
      <c r="X648" s="20" t="str">
        <f>_xll.RssMarket(A648,"決算発表日")</f>
        <v>2024/02/06</v>
      </c>
      <c r="Y648" s="26" t="str">
        <f>IF(C648&gt;_xll.RssMarket(A648,"年初来高値"),"○","×")</f>
        <v>×</v>
      </c>
      <c r="Z648" s="27" t="str">
        <f>IF(C648&lt;=_xll.RssMarket(A648,"年初来安値"),"○","×")</f>
        <v>×</v>
      </c>
    </row>
    <row r="649" spans="1:26" x14ac:dyDescent="0.25">
      <c r="A649" s="49">
        <v>6081</v>
      </c>
      <c r="B649" s="20" t="str">
        <f>_xll.RssMarket(A649,"銘柄名称")</f>
        <v>アライドアーキテクツ</v>
      </c>
      <c r="C649" s="21">
        <f>_xll.RssMarket(A649,"現在値")</f>
        <v>285</v>
      </c>
      <c r="D649" s="20" t="str">
        <f>_xll.RssMarket(A649,"現在値詳細時刻")</f>
        <v>15:00:00</v>
      </c>
      <c r="E649" s="22">
        <f>_xll.RssMarket(A649,"前日比")</f>
        <v>-1</v>
      </c>
      <c r="F649" s="23">
        <f>_xll.RssMarket(A649,"前日比率")/100</f>
        <v>-3.4999999999999996E-3</v>
      </c>
      <c r="G649" s="24" t="str">
        <f>IFERROR(VLOOKUP(A649,取得元!$A$2:$F$501,2,FALSE),"-")</f>
        <v>-</v>
      </c>
      <c r="H649" s="24" t="str">
        <f>IFERROR(VLOOKUP(A649,取得元!$A$2:$F$501,3,FALSE),"-")</f>
        <v>-</v>
      </c>
      <c r="I649" s="24" t="str">
        <f>IFERROR(VLOOKUP(A649,取得元!$A$2:$F$501,4,FALSE),"-")</f>
        <v>-</v>
      </c>
      <c r="J649" s="5" t="str">
        <f>IFERROR(VLOOKUP(A649,取得元!$A$2:$F$501,5,FALSE),"-")</f>
        <v>-</v>
      </c>
      <c r="K649" s="25" t="str">
        <f>IFERROR(VLOOKUP(A649,取得元!$A$2:$F$501,6,FALSE)/100,"-")</f>
        <v>-</v>
      </c>
      <c r="L649" s="21">
        <f>_xll.RssMarket(A649,"始値")</f>
        <v>290</v>
      </c>
      <c r="M649" s="4">
        <f t="shared" si="60"/>
        <v>-1.7241379310344862E-2</v>
      </c>
      <c r="N649" s="21">
        <f>_xll.RssMarket(A649,"高値")</f>
        <v>295</v>
      </c>
      <c r="O649" s="4">
        <f t="shared" si="61"/>
        <v>-3.3898305084745783E-2</v>
      </c>
      <c r="P649" s="21">
        <f>_xll.RssMarket(A649,"安値")</f>
        <v>281</v>
      </c>
      <c r="Q649" s="4">
        <f t="shared" si="62"/>
        <v>1.4234875444839812E-2</v>
      </c>
      <c r="R649" s="21">
        <f>_xll.RssMarket(A649,"後場始値")</f>
        <v>286</v>
      </c>
      <c r="S649" s="25">
        <f t="shared" si="63"/>
        <v>-3.4965034965035446E-3</v>
      </c>
      <c r="T649" s="7">
        <f>_xll.RssMarket(A649,"出来高加重平均")</f>
        <v>285.72980000000001</v>
      </c>
      <c r="U649" s="4">
        <f t="shared" si="64"/>
        <v>-2.5541613090409587E-3</v>
      </c>
      <c r="V649" s="21">
        <f>_xll.RssMarket(A649,"出来高")</f>
        <v>477500</v>
      </c>
      <c r="W649" s="21">
        <f>_xll.RssMarket(A649,"売買代金")</f>
        <v>136436</v>
      </c>
      <c r="X649" s="20" t="str">
        <f>_xll.RssMarket(A649,"決算発表日")</f>
        <v>2024/02/14</v>
      </c>
      <c r="Y649" s="26" t="str">
        <f>IF(C649&gt;_xll.RssMarket(A649,"年初来高値"),"○","×")</f>
        <v>×</v>
      </c>
      <c r="Z649" s="27" t="str">
        <f>IF(C649&lt;=_xll.RssMarket(A649,"年初来安値"),"○","×")</f>
        <v>×</v>
      </c>
    </row>
    <row r="650" spans="1:26" x14ac:dyDescent="0.25">
      <c r="A650" s="47">
        <v>6091</v>
      </c>
      <c r="B650" s="20" t="str">
        <f>_xll.RssMarket(A650,"銘柄名称")</f>
        <v>ウエスコホールディングス</v>
      </c>
      <c r="C650" s="21">
        <f>_xll.RssMarket(A650,"現在値")</f>
        <v>535</v>
      </c>
      <c r="D650" s="20" t="str">
        <f>_xll.RssMarket(A650,"現在値詳細時刻")</f>
        <v>15:00:00</v>
      </c>
      <c r="E650" s="22">
        <f>_xll.RssMarket(A650,"前日比")</f>
        <v>1</v>
      </c>
      <c r="F650" s="23">
        <f>_xll.RssMarket(A650,"前日比率")/100</f>
        <v>1.9E-3</v>
      </c>
      <c r="G650" s="24" t="str">
        <f>IFERROR(VLOOKUP(A650,取得元!$A$2:$F$501,2,FALSE),"-")</f>
        <v>-</v>
      </c>
      <c r="H650" s="24" t="str">
        <f>IFERROR(VLOOKUP(A650,取得元!$A$2:$F$501,3,FALSE),"-")</f>
        <v>-</v>
      </c>
      <c r="I650" s="24" t="str">
        <f>IFERROR(VLOOKUP(A650,取得元!$A$2:$F$501,4,FALSE),"-")</f>
        <v>-</v>
      </c>
      <c r="J650" s="5" t="str">
        <f>IFERROR(VLOOKUP(A650,取得元!$A$2:$F$501,5,FALSE),"-")</f>
        <v>-</v>
      </c>
      <c r="K650" s="25" t="str">
        <f>IFERROR(VLOOKUP(A650,取得元!$A$2:$F$501,6,FALSE)/100,"-")</f>
        <v>-</v>
      </c>
      <c r="L650" s="21">
        <f>_xll.RssMarket(A650,"始値")</f>
        <v>535</v>
      </c>
      <c r="M650" s="4">
        <f t="shared" si="60"/>
        <v>0</v>
      </c>
      <c r="N650" s="21">
        <f>_xll.RssMarket(A650,"高値")</f>
        <v>536</v>
      </c>
      <c r="O650" s="4">
        <f t="shared" si="61"/>
        <v>-1.8656716417910779E-3</v>
      </c>
      <c r="P650" s="21">
        <f>_xll.RssMarket(A650,"安値")</f>
        <v>533</v>
      </c>
      <c r="Q650" s="4">
        <f t="shared" si="62"/>
        <v>3.7523452157599557E-3</v>
      </c>
      <c r="R650" s="21">
        <f>_xll.RssMarket(A650,"後場始値")</f>
        <v>535</v>
      </c>
      <c r="S650" s="25">
        <f t="shared" si="63"/>
        <v>0</v>
      </c>
      <c r="T650" s="7">
        <f>_xll.RssMarket(A650,"出来高加重平均")</f>
        <v>534.53599999999994</v>
      </c>
      <c r="U650" s="4">
        <f t="shared" si="64"/>
        <v>8.6804256401817881E-4</v>
      </c>
      <c r="V650" s="21">
        <f>_xll.RssMarket(A650,"出来高")</f>
        <v>9700</v>
      </c>
      <c r="W650" s="21">
        <f>_xll.RssMarket(A650,"売買代金")</f>
        <v>5185</v>
      </c>
      <c r="X650" s="20" t="str">
        <f>_xll.RssMarket(A650,"決算発表日")</f>
        <v>2024/03/13</v>
      </c>
      <c r="Y650" s="26" t="str">
        <f>IF(C650&gt;_xll.RssMarket(A650,"年初来高値"),"○","×")</f>
        <v>×</v>
      </c>
      <c r="Z650" s="27" t="str">
        <f>IF(C650&lt;=_xll.RssMarket(A650,"年初来安値"),"○","×")</f>
        <v>×</v>
      </c>
    </row>
    <row r="651" spans="1:26" x14ac:dyDescent="0.25">
      <c r="A651" s="49">
        <v>6092</v>
      </c>
      <c r="B651" s="20" t="str">
        <f>_xll.RssMarket(A651,"銘柄名称")</f>
        <v>エンバイオ・ホールディング</v>
      </c>
      <c r="C651" s="21">
        <f>_xll.RssMarket(A651,"現在値")</f>
        <v>590</v>
      </c>
      <c r="D651" s="20" t="str">
        <f>_xll.RssMarket(A651,"現在値詳細時刻")</f>
        <v>14:45:01</v>
      </c>
      <c r="E651" s="22">
        <f>_xll.RssMarket(A651,"前日比")</f>
        <v>0</v>
      </c>
      <c r="F651" s="23">
        <f>_xll.RssMarket(A651,"前日比率")/100</f>
        <v>0</v>
      </c>
      <c r="G651" s="24" t="str">
        <f>IFERROR(VLOOKUP(A651,取得元!$A$2:$F$501,2,FALSE),"-")</f>
        <v>-</v>
      </c>
      <c r="H651" s="24" t="str">
        <f>IFERROR(VLOOKUP(A651,取得元!$A$2:$F$501,3,FALSE),"-")</f>
        <v>-</v>
      </c>
      <c r="I651" s="24" t="str">
        <f>IFERROR(VLOOKUP(A651,取得元!$A$2:$F$501,4,FALSE),"-")</f>
        <v>-</v>
      </c>
      <c r="J651" s="5" t="str">
        <f>IFERROR(VLOOKUP(A651,取得元!$A$2:$F$501,5,FALSE),"-")</f>
        <v>-</v>
      </c>
      <c r="K651" s="25" t="str">
        <f>IFERROR(VLOOKUP(A651,取得元!$A$2:$F$501,6,FALSE)/100,"-")</f>
        <v>-</v>
      </c>
      <c r="L651" s="21">
        <f>_xll.RssMarket(A651,"始値")</f>
        <v>593</v>
      </c>
      <c r="M651" s="4">
        <f t="shared" si="60"/>
        <v>-5.0590219224283528E-3</v>
      </c>
      <c r="N651" s="21">
        <f>_xll.RssMarket(A651,"高値")</f>
        <v>593</v>
      </c>
      <c r="O651" s="4">
        <f t="shared" si="61"/>
        <v>-5.0590219224283528E-3</v>
      </c>
      <c r="P651" s="21">
        <f>_xll.RssMarket(A651,"安値")</f>
        <v>589</v>
      </c>
      <c r="Q651" s="4">
        <f t="shared" si="62"/>
        <v>1.6977928692698541E-3</v>
      </c>
      <c r="R651" s="21">
        <f>_xll.RssMarket(A651,"後場始値")</f>
        <v>592</v>
      </c>
      <c r="S651" s="25">
        <f t="shared" si="63"/>
        <v>-3.3783783783783994E-3</v>
      </c>
      <c r="T651" s="7">
        <f>_xll.RssMarket(A651,"出来高加重平均")</f>
        <v>592.14279999999997</v>
      </c>
      <c r="U651" s="4">
        <f t="shared" si="64"/>
        <v>-3.6187217002384697E-3</v>
      </c>
      <c r="V651" s="21">
        <f>_xll.RssMarket(A651,"出来高")</f>
        <v>2800</v>
      </c>
      <c r="W651" s="21">
        <f>_xll.RssMarket(A651,"売買代金")</f>
        <v>1658</v>
      </c>
      <c r="X651" s="20" t="str">
        <f>_xll.RssMarket(A651,"決算発表日")</f>
        <v>2024/02/14</v>
      </c>
      <c r="Y651" s="26" t="str">
        <f>IF(C651&gt;_xll.RssMarket(A651,"年初来高値"),"○","×")</f>
        <v>×</v>
      </c>
      <c r="Z651" s="27" t="str">
        <f>IF(C651&lt;=_xll.RssMarket(A651,"年初来安値"),"○","×")</f>
        <v>×</v>
      </c>
    </row>
    <row r="652" spans="1:26" x14ac:dyDescent="0.25">
      <c r="A652" s="47">
        <v>6093</v>
      </c>
      <c r="B652" s="20" t="str">
        <f>_xll.RssMarket(A652,"銘柄名称")</f>
        <v>エスクローＡＪ</v>
      </c>
      <c r="C652" s="21">
        <f>_xll.RssMarket(A652,"現在値")</f>
        <v>140</v>
      </c>
      <c r="D652" s="20" t="str">
        <f>_xll.RssMarket(A652,"現在値詳細時刻")</f>
        <v>15:00:00</v>
      </c>
      <c r="E652" s="22">
        <f>_xll.RssMarket(A652,"前日比")</f>
        <v>0</v>
      </c>
      <c r="F652" s="23">
        <f>_xll.RssMarket(A652,"前日比率")/100</f>
        <v>0</v>
      </c>
      <c r="G652" s="24" t="str">
        <f>IFERROR(VLOOKUP(A652,取得元!$A$2:$F$501,2,FALSE),"-")</f>
        <v>-</v>
      </c>
      <c r="H652" s="24" t="str">
        <f>IFERROR(VLOOKUP(A652,取得元!$A$2:$F$501,3,FALSE),"-")</f>
        <v>-</v>
      </c>
      <c r="I652" s="24" t="str">
        <f>IFERROR(VLOOKUP(A652,取得元!$A$2:$F$501,4,FALSE),"-")</f>
        <v>-</v>
      </c>
      <c r="J652" s="5" t="str">
        <f>IFERROR(VLOOKUP(A652,取得元!$A$2:$F$501,5,FALSE),"-")</f>
        <v>-</v>
      </c>
      <c r="K652" s="25" t="str">
        <f>IFERROR(VLOOKUP(A652,取得元!$A$2:$F$501,6,FALSE)/100,"-")</f>
        <v>-</v>
      </c>
      <c r="L652" s="21">
        <f>_xll.RssMarket(A652,"始値")</f>
        <v>142</v>
      </c>
      <c r="M652" s="4">
        <f t="shared" si="60"/>
        <v>-1.4084507042253502E-2</v>
      </c>
      <c r="N652" s="21">
        <f>_xll.RssMarket(A652,"高値")</f>
        <v>142</v>
      </c>
      <c r="O652" s="4">
        <f t="shared" si="61"/>
        <v>-1.4084507042253502E-2</v>
      </c>
      <c r="P652" s="21">
        <f>_xll.RssMarket(A652,"安値")</f>
        <v>140</v>
      </c>
      <c r="Q652" s="4">
        <f t="shared" si="62"/>
        <v>0</v>
      </c>
      <c r="R652" s="21">
        <f>_xll.RssMarket(A652,"後場始値")</f>
        <v>141</v>
      </c>
      <c r="S652" s="25">
        <f t="shared" si="63"/>
        <v>-7.0921985815602939E-3</v>
      </c>
      <c r="T652" s="7">
        <f>_xll.RssMarket(A652,"出来高加重平均")</f>
        <v>141.51570000000001</v>
      </c>
      <c r="U652" s="4">
        <f t="shared" si="64"/>
        <v>-1.0710472406948557E-2</v>
      </c>
      <c r="V652" s="21">
        <f>_xll.RssMarket(A652,"出来高")</f>
        <v>95000</v>
      </c>
      <c r="W652" s="21">
        <f>_xll.RssMarket(A652,"売買代金")</f>
        <v>13444</v>
      </c>
      <c r="X652" s="20" t="str">
        <f>_xll.RssMarket(A652,"決算発表日")</f>
        <v>2024/01/09</v>
      </c>
      <c r="Y652" s="26" t="str">
        <f>IF(C652&gt;_xll.RssMarket(A652,"年初来高値"),"○","×")</f>
        <v>×</v>
      </c>
      <c r="Z652" s="27" t="str">
        <f>IF(C652&lt;=_xll.RssMarket(A652,"年初来安値"),"○","×")</f>
        <v>×</v>
      </c>
    </row>
    <row r="653" spans="1:26" x14ac:dyDescent="0.25">
      <c r="A653" s="49">
        <v>6096</v>
      </c>
      <c r="B653" s="20" t="str">
        <f>_xll.RssMarket(A653,"銘柄名称")</f>
        <v>レアジョブ</v>
      </c>
      <c r="C653" s="21">
        <f>_xll.RssMarket(A653,"現在値")</f>
        <v>913</v>
      </c>
      <c r="D653" s="20" t="str">
        <f>_xll.RssMarket(A653,"現在値詳細時刻")</f>
        <v>15:00:00</v>
      </c>
      <c r="E653" s="22">
        <f>_xll.RssMarket(A653,"前日比")</f>
        <v>-13</v>
      </c>
      <c r="F653" s="23">
        <f>_xll.RssMarket(A653,"前日比率")/100</f>
        <v>-1.3999999999999999E-2</v>
      </c>
      <c r="G653" s="24" t="str">
        <f>IFERROR(VLOOKUP(A653,取得元!$A$2:$F$501,2,FALSE),"-")</f>
        <v>-</v>
      </c>
      <c r="H653" s="24" t="str">
        <f>IFERROR(VLOOKUP(A653,取得元!$A$2:$F$501,3,FALSE),"-")</f>
        <v>-</v>
      </c>
      <c r="I653" s="24" t="str">
        <f>IFERROR(VLOOKUP(A653,取得元!$A$2:$F$501,4,FALSE),"-")</f>
        <v>-</v>
      </c>
      <c r="J653" s="5" t="str">
        <f>IFERROR(VLOOKUP(A653,取得元!$A$2:$F$501,5,FALSE),"-")</f>
        <v>-</v>
      </c>
      <c r="K653" s="25" t="str">
        <f>IFERROR(VLOOKUP(A653,取得元!$A$2:$F$501,6,FALSE)/100,"-")</f>
        <v>-</v>
      </c>
      <c r="L653" s="21">
        <f>_xll.RssMarket(A653,"始値")</f>
        <v>920</v>
      </c>
      <c r="M653" s="4">
        <f t="shared" si="60"/>
        <v>-7.6086956521739246E-3</v>
      </c>
      <c r="N653" s="21">
        <f>_xll.RssMarket(A653,"高値")</f>
        <v>926</v>
      </c>
      <c r="O653" s="4">
        <f t="shared" si="61"/>
        <v>-1.4038876889848839E-2</v>
      </c>
      <c r="P653" s="21">
        <f>_xll.RssMarket(A653,"安値")</f>
        <v>908</v>
      </c>
      <c r="Q653" s="4">
        <f t="shared" si="62"/>
        <v>5.5066079295154058E-3</v>
      </c>
      <c r="R653" s="21">
        <f>_xll.RssMarket(A653,"後場始値")</f>
        <v>920</v>
      </c>
      <c r="S653" s="25">
        <f t="shared" si="63"/>
        <v>-7.6086956521739246E-3</v>
      </c>
      <c r="T653" s="7">
        <f>_xll.RssMarket(A653,"出来高加重平均")</f>
        <v>916.45159999999998</v>
      </c>
      <c r="U653" s="4">
        <f t="shared" si="64"/>
        <v>-3.7662654525345562E-3</v>
      </c>
      <c r="V653" s="21">
        <f>_xll.RssMarket(A653,"出来高")</f>
        <v>27900</v>
      </c>
      <c r="W653" s="21">
        <f>_xll.RssMarket(A653,"売買代金")</f>
        <v>25569</v>
      </c>
      <c r="X653" s="20" t="str">
        <f>_xll.RssMarket(A653,"決算発表日")</f>
        <v>2024/02/14</v>
      </c>
      <c r="Y653" s="26" t="str">
        <f>IF(C653&gt;_xll.RssMarket(A653,"年初来高値"),"○","×")</f>
        <v>×</v>
      </c>
      <c r="Z653" s="27" t="str">
        <f>IF(C653&lt;=_xll.RssMarket(A653,"年初来安値"),"○","×")</f>
        <v>×</v>
      </c>
    </row>
    <row r="654" spans="1:26" x14ac:dyDescent="0.25">
      <c r="A654" s="47">
        <v>6098</v>
      </c>
      <c r="B654" s="20" t="str">
        <f>_xll.RssMarket(A654,"銘柄名称")</f>
        <v>リクルートホールディングス</v>
      </c>
      <c r="C654" s="21">
        <f>_xll.RssMarket(A654,"現在値")</f>
        <v>5783</v>
      </c>
      <c r="D654" s="20" t="str">
        <f>_xll.RssMarket(A654,"現在値詳細時刻")</f>
        <v>15:00:00</v>
      </c>
      <c r="E654" s="22">
        <f>_xll.RssMarket(A654,"前日比")</f>
        <v>77</v>
      </c>
      <c r="F654" s="23">
        <f>_xll.RssMarket(A654,"前日比率")/100</f>
        <v>1.3500000000000002E-2</v>
      </c>
      <c r="G654" s="24" t="str">
        <f>IFERROR(VLOOKUP(A654,取得元!$A$2:$F$501,2,FALSE),"-")</f>
        <v>-</v>
      </c>
      <c r="H654" s="24" t="str">
        <f>IFERROR(VLOOKUP(A654,取得元!$A$2:$F$501,3,FALSE),"-")</f>
        <v>-</v>
      </c>
      <c r="I654" s="24" t="str">
        <f>IFERROR(VLOOKUP(A654,取得元!$A$2:$F$501,4,FALSE),"-")</f>
        <v>-</v>
      </c>
      <c r="J654" s="5" t="str">
        <f>IFERROR(VLOOKUP(A654,取得元!$A$2:$F$501,5,FALSE),"-")</f>
        <v>-</v>
      </c>
      <c r="K654" s="25" t="str">
        <f>IFERROR(VLOOKUP(A654,取得元!$A$2:$F$501,6,FALSE)/100,"-")</f>
        <v>-</v>
      </c>
      <c r="L654" s="21">
        <f>_xll.RssMarket(A654,"始値")</f>
        <v>5690</v>
      </c>
      <c r="M654" s="4">
        <f t="shared" si="60"/>
        <v>1.6344463971880385E-2</v>
      </c>
      <c r="N654" s="21">
        <f>_xll.RssMarket(A654,"高値")</f>
        <v>5806</v>
      </c>
      <c r="O654" s="4">
        <f t="shared" si="61"/>
        <v>-3.9614192214949551E-3</v>
      </c>
      <c r="P654" s="21">
        <f>_xll.RssMarket(A654,"安値")</f>
        <v>5622</v>
      </c>
      <c r="Q654" s="4">
        <f t="shared" si="62"/>
        <v>2.8637495553183845E-2</v>
      </c>
      <c r="R654" s="21">
        <f>_xll.RssMarket(A654,"後場始値")</f>
        <v>5754</v>
      </c>
      <c r="S654" s="25">
        <f t="shared" si="63"/>
        <v>5.0399721932568031E-3</v>
      </c>
      <c r="T654" s="7">
        <f>_xll.RssMarket(A654,"出来高加重平均")</f>
        <v>5742.2968000000001</v>
      </c>
      <c r="U654" s="4">
        <f t="shared" si="64"/>
        <v>7.0883135124606422E-3</v>
      </c>
      <c r="V654" s="21">
        <f>_xll.RssMarket(A654,"出来高")</f>
        <v>3483400</v>
      </c>
      <c r="W654" s="21">
        <f>_xll.RssMarket(A654,"売買代金")</f>
        <v>20002717</v>
      </c>
      <c r="X654" s="20" t="str">
        <f>_xll.RssMarket(A654,"決算発表日")</f>
        <v>2024/02/09</v>
      </c>
      <c r="Y654" s="26" t="str">
        <f>IF(C654&gt;_xll.RssMarket(A654,"年初来高値"),"○","×")</f>
        <v>×</v>
      </c>
      <c r="Z654" s="27" t="str">
        <f>IF(C654&lt;=_xll.RssMarket(A654,"年初来安値"),"○","×")</f>
        <v>×</v>
      </c>
    </row>
    <row r="655" spans="1:26" x14ac:dyDescent="0.25">
      <c r="A655" s="49">
        <v>6104</v>
      </c>
      <c r="B655" s="20" t="str">
        <f>_xll.RssMarket(A655,"銘柄名称")</f>
        <v>芝浦機械</v>
      </c>
      <c r="C655" s="21">
        <f>_xll.RssMarket(A655,"現在値")</f>
        <v>3375</v>
      </c>
      <c r="D655" s="20" t="str">
        <f>_xll.RssMarket(A655,"現在値詳細時刻")</f>
        <v>15:00:00</v>
      </c>
      <c r="E655" s="22">
        <f>_xll.RssMarket(A655,"前日比")</f>
        <v>40</v>
      </c>
      <c r="F655" s="23">
        <f>_xll.RssMarket(A655,"前日比率")/100</f>
        <v>1.2E-2</v>
      </c>
      <c r="G655" s="24" t="str">
        <f>IFERROR(VLOOKUP(A655,取得元!$A$2:$F$501,2,FALSE),"-")</f>
        <v>-</v>
      </c>
      <c r="H655" s="24" t="str">
        <f>IFERROR(VLOOKUP(A655,取得元!$A$2:$F$501,3,FALSE),"-")</f>
        <v>-</v>
      </c>
      <c r="I655" s="24" t="str">
        <f>IFERROR(VLOOKUP(A655,取得元!$A$2:$F$501,4,FALSE),"-")</f>
        <v>-</v>
      </c>
      <c r="J655" s="5" t="str">
        <f>IFERROR(VLOOKUP(A655,取得元!$A$2:$F$501,5,FALSE),"-")</f>
        <v>-</v>
      </c>
      <c r="K655" s="25" t="str">
        <f>IFERROR(VLOOKUP(A655,取得元!$A$2:$F$501,6,FALSE)/100,"-")</f>
        <v>-</v>
      </c>
      <c r="L655" s="21">
        <f>_xll.RssMarket(A655,"始値")</f>
        <v>3350</v>
      </c>
      <c r="M655" s="4">
        <f t="shared" si="60"/>
        <v>7.4626865671640896E-3</v>
      </c>
      <c r="N655" s="21">
        <f>_xll.RssMarket(A655,"高値")</f>
        <v>3410</v>
      </c>
      <c r="O655" s="4">
        <f t="shared" si="61"/>
        <v>-1.0263929618768319E-2</v>
      </c>
      <c r="P655" s="21">
        <f>_xll.RssMarket(A655,"安値")</f>
        <v>3340</v>
      </c>
      <c r="Q655" s="4">
        <f t="shared" si="62"/>
        <v>1.0479041916167775E-2</v>
      </c>
      <c r="R655" s="21">
        <f>_xll.RssMarket(A655,"後場始値")</f>
        <v>3385</v>
      </c>
      <c r="S655" s="25">
        <f t="shared" si="63"/>
        <v>-2.9542097488921559E-3</v>
      </c>
      <c r="T655" s="7">
        <f>_xll.RssMarket(A655,"出来高加重平均")</f>
        <v>3373.3411000000001</v>
      </c>
      <c r="U655" s="4">
        <f t="shared" si="64"/>
        <v>4.9176764247160776E-4</v>
      </c>
      <c r="V655" s="21">
        <f>_xll.RssMarket(A655,"出来高")</f>
        <v>426500</v>
      </c>
      <c r="W655" s="21">
        <f>_xll.RssMarket(A655,"売買代金")</f>
        <v>1438730</v>
      </c>
      <c r="X655" s="20" t="str">
        <f>_xll.RssMarket(A655,"決算発表日")</f>
        <v>2024/01/31</v>
      </c>
      <c r="Y655" s="26" t="str">
        <f>IF(C655&gt;_xll.RssMarket(A655,"年初来高値"),"○","×")</f>
        <v>×</v>
      </c>
      <c r="Z655" s="27" t="str">
        <f>IF(C655&lt;=_xll.RssMarket(A655,"年初来安値"),"○","×")</f>
        <v>×</v>
      </c>
    </row>
    <row r="656" spans="1:26" x14ac:dyDescent="0.25">
      <c r="A656" s="47">
        <v>6113</v>
      </c>
      <c r="B656" s="20" t="str">
        <f>_xll.RssMarket(A656,"銘柄名称")</f>
        <v>アマダ</v>
      </c>
      <c r="C656" s="21">
        <f>_xll.RssMarket(A656,"現在値")</f>
        <v>1589</v>
      </c>
      <c r="D656" s="20" t="str">
        <f>_xll.RssMarket(A656,"現在値詳細時刻")</f>
        <v>15:00:00</v>
      </c>
      <c r="E656" s="22">
        <f>_xll.RssMarket(A656,"前日比")</f>
        <v>22</v>
      </c>
      <c r="F656" s="23">
        <f>_xll.RssMarket(A656,"前日比率")/100</f>
        <v>1.3999999999999999E-2</v>
      </c>
      <c r="G656" s="24" t="str">
        <f>IFERROR(VLOOKUP(A656,取得元!$A$2:$F$501,2,FALSE),"-")</f>
        <v>-</v>
      </c>
      <c r="H656" s="24" t="str">
        <f>IFERROR(VLOOKUP(A656,取得元!$A$2:$F$501,3,FALSE),"-")</f>
        <v>-</v>
      </c>
      <c r="I656" s="24" t="str">
        <f>IFERROR(VLOOKUP(A656,取得元!$A$2:$F$501,4,FALSE),"-")</f>
        <v>-</v>
      </c>
      <c r="J656" s="5" t="str">
        <f>IFERROR(VLOOKUP(A656,取得元!$A$2:$F$501,5,FALSE),"-")</f>
        <v>-</v>
      </c>
      <c r="K656" s="25" t="str">
        <f>IFERROR(VLOOKUP(A656,取得元!$A$2:$F$501,6,FALSE)/100,"-")</f>
        <v>-</v>
      </c>
      <c r="L656" s="21">
        <f>_xll.RssMarket(A656,"始値")</f>
        <v>1560</v>
      </c>
      <c r="M656" s="4">
        <f t="shared" si="60"/>
        <v>1.8589743589743524E-2</v>
      </c>
      <c r="N656" s="21">
        <f>_xll.RssMarket(A656,"高値")</f>
        <v>1596</v>
      </c>
      <c r="O656" s="4">
        <f t="shared" si="61"/>
        <v>-4.3859649122807154E-3</v>
      </c>
      <c r="P656" s="21">
        <f>_xll.RssMarket(A656,"安値")</f>
        <v>1558</v>
      </c>
      <c r="Q656" s="4">
        <f t="shared" si="62"/>
        <v>1.9897304236200286E-2</v>
      </c>
      <c r="R656" s="21">
        <f>_xll.RssMarket(A656,"後場始値")</f>
        <v>1582</v>
      </c>
      <c r="S656" s="25">
        <f t="shared" si="63"/>
        <v>4.4247787610618428E-3</v>
      </c>
      <c r="T656" s="7">
        <f>_xll.RssMarket(A656,"出来高加重平均")</f>
        <v>1584.8172999999999</v>
      </c>
      <c r="U656" s="4">
        <f t="shared" si="64"/>
        <v>2.6392316641168367E-3</v>
      </c>
      <c r="V656" s="21">
        <f>_xll.RssMarket(A656,"出来高")</f>
        <v>1155000</v>
      </c>
      <c r="W656" s="21">
        <f>_xll.RssMarket(A656,"売買代金")</f>
        <v>1830464</v>
      </c>
      <c r="X656" s="20" t="str">
        <f>_xll.RssMarket(A656,"決算発表日")</f>
        <v>2024/02/08</v>
      </c>
      <c r="Y656" s="26" t="str">
        <f>IF(C656&gt;_xll.RssMarket(A656,"年初来高値"),"○","×")</f>
        <v>×</v>
      </c>
      <c r="Z656" s="27" t="str">
        <f>IF(C656&lt;=_xll.RssMarket(A656,"年初来安値"),"○","×")</f>
        <v>×</v>
      </c>
    </row>
    <row r="657" spans="1:26" x14ac:dyDescent="0.25">
      <c r="A657" s="49">
        <v>6134</v>
      </c>
      <c r="B657" s="20" t="str">
        <f>_xll.RssMarket(A657,"銘柄名称")</f>
        <v>ＦＵＪＩ</v>
      </c>
      <c r="C657" s="21">
        <f>_xll.RssMarket(A657,"現在値")</f>
        <v>2474</v>
      </c>
      <c r="D657" s="20" t="str">
        <f>_xll.RssMarket(A657,"現在値詳細時刻")</f>
        <v>15:00:00</v>
      </c>
      <c r="E657" s="22">
        <f>_xll.RssMarket(A657,"前日比")</f>
        <v>1</v>
      </c>
      <c r="F657" s="23">
        <f>_xll.RssMarket(A657,"前日比率")/100</f>
        <v>4.0000000000000002E-4</v>
      </c>
      <c r="G657" s="24" t="str">
        <f>IFERROR(VLOOKUP(A657,取得元!$A$2:$F$501,2,FALSE),"-")</f>
        <v>-</v>
      </c>
      <c r="H657" s="24" t="str">
        <f>IFERROR(VLOOKUP(A657,取得元!$A$2:$F$501,3,FALSE),"-")</f>
        <v>-</v>
      </c>
      <c r="I657" s="24" t="str">
        <f>IFERROR(VLOOKUP(A657,取得元!$A$2:$F$501,4,FALSE),"-")</f>
        <v>-</v>
      </c>
      <c r="J657" s="5" t="str">
        <f>IFERROR(VLOOKUP(A657,取得元!$A$2:$F$501,5,FALSE),"-")</f>
        <v>-</v>
      </c>
      <c r="K657" s="25" t="str">
        <f>IFERROR(VLOOKUP(A657,取得元!$A$2:$F$501,6,FALSE)/100,"-")</f>
        <v>-</v>
      </c>
      <c r="L657" s="21">
        <f>_xll.RssMarket(A657,"始値")</f>
        <v>2471</v>
      </c>
      <c r="M657" s="4">
        <f t="shared" si="60"/>
        <v>1.214083367057972E-3</v>
      </c>
      <c r="N657" s="21">
        <f>_xll.RssMarket(A657,"高値")</f>
        <v>2488.5</v>
      </c>
      <c r="O657" s="4">
        <f t="shared" si="61"/>
        <v>-5.8268032951577231E-3</v>
      </c>
      <c r="P657" s="21">
        <f>_xll.RssMarket(A657,"安値")</f>
        <v>2452</v>
      </c>
      <c r="Q657" s="4">
        <f t="shared" si="62"/>
        <v>8.97226753670477E-3</v>
      </c>
      <c r="R657" s="21">
        <f>_xll.RssMarket(A657,"後場始値")</f>
        <v>2472</v>
      </c>
      <c r="S657" s="25">
        <f t="shared" si="63"/>
        <v>8.0906148867310179E-4</v>
      </c>
      <c r="T657" s="7">
        <f>_xll.RssMarket(A657,"出来高加重平均")</f>
        <v>2476.4863999999998</v>
      </c>
      <c r="U657" s="4">
        <f t="shared" si="64"/>
        <v>-1.0040030908304853E-3</v>
      </c>
      <c r="V657" s="21">
        <f>_xll.RssMarket(A657,"出来高")</f>
        <v>281200</v>
      </c>
      <c r="W657" s="21">
        <f>_xll.RssMarket(A657,"売買代金")</f>
        <v>696388</v>
      </c>
      <c r="X657" s="20" t="str">
        <f>_xll.RssMarket(A657,"決算発表日")</f>
        <v>2024/02/07</v>
      </c>
      <c r="Y657" s="26" t="str">
        <f>IF(C657&gt;_xll.RssMarket(A657,"年初来高値"),"○","×")</f>
        <v>×</v>
      </c>
      <c r="Z657" s="27" t="str">
        <f>IF(C657&lt;=_xll.RssMarket(A657,"年初来安値"),"○","×")</f>
        <v>×</v>
      </c>
    </row>
    <row r="658" spans="1:26" x14ac:dyDescent="0.25">
      <c r="A658" s="47">
        <v>6140</v>
      </c>
      <c r="B658" s="20" t="str">
        <f>_xll.RssMarket(A658,"銘柄名称")</f>
        <v>旭ダイヤモンド</v>
      </c>
      <c r="C658" s="21">
        <f>_xll.RssMarket(A658,"現在値")</f>
        <v>866</v>
      </c>
      <c r="D658" s="20" t="str">
        <f>_xll.RssMarket(A658,"現在値詳細時刻")</f>
        <v>15:00:00</v>
      </c>
      <c r="E658" s="22">
        <f>_xll.RssMarket(A658,"前日比")</f>
        <v>1</v>
      </c>
      <c r="F658" s="23">
        <f>_xll.RssMarket(A658,"前日比率")/100</f>
        <v>1.1999999999999999E-3</v>
      </c>
      <c r="G658" s="24" t="str">
        <f>IFERROR(VLOOKUP(A658,取得元!$A$2:$F$501,2,FALSE),"-")</f>
        <v>-</v>
      </c>
      <c r="H658" s="24" t="str">
        <f>IFERROR(VLOOKUP(A658,取得元!$A$2:$F$501,3,FALSE),"-")</f>
        <v>-</v>
      </c>
      <c r="I658" s="24" t="str">
        <f>IFERROR(VLOOKUP(A658,取得元!$A$2:$F$501,4,FALSE),"-")</f>
        <v>-</v>
      </c>
      <c r="J658" s="5" t="str">
        <f>IFERROR(VLOOKUP(A658,取得元!$A$2:$F$501,5,FALSE),"-")</f>
        <v>-</v>
      </c>
      <c r="K658" s="25" t="str">
        <f>IFERROR(VLOOKUP(A658,取得元!$A$2:$F$501,6,FALSE)/100,"-")</f>
        <v>-</v>
      </c>
      <c r="L658" s="21">
        <f>_xll.RssMarket(A658,"始値")</f>
        <v>870</v>
      </c>
      <c r="M658" s="4">
        <f t="shared" si="60"/>
        <v>-4.5977011494252595E-3</v>
      </c>
      <c r="N658" s="21">
        <f>_xll.RssMarket(A658,"高値")</f>
        <v>871</v>
      </c>
      <c r="O658" s="4">
        <f t="shared" si="61"/>
        <v>-5.7405281285878296E-3</v>
      </c>
      <c r="P658" s="21">
        <f>_xll.RssMarket(A658,"安値")</f>
        <v>861</v>
      </c>
      <c r="Q658" s="4">
        <f t="shared" si="62"/>
        <v>5.807200929152101E-3</v>
      </c>
      <c r="R658" s="21">
        <f>_xll.RssMarket(A658,"後場始値")</f>
        <v>866</v>
      </c>
      <c r="S658" s="25">
        <f t="shared" si="63"/>
        <v>0</v>
      </c>
      <c r="T658" s="7">
        <f>_xll.RssMarket(A658,"出来高加重平均")</f>
        <v>866.71820000000002</v>
      </c>
      <c r="U658" s="4">
        <f t="shared" si="64"/>
        <v>-8.2864303530261196E-4</v>
      </c>
      <c r="V658" s="21">
        <f>_xll.RssMarket(A658,"出来高")</f>
        <v>148700</v>
      </c>
      <c r="W658" s="21">
        <f>_xll.RssMarket(A658,"売買代金")</f>
        <v>128881</v>
      </c>
      <c r="X658" s="20" t="str">
        <f>_xll.RssMarket(A658,"決算発表日")</f>
        <v>2024/02/07</v>
      </c>
      <c r="Y658" s="26" t="str">
        <f>IF(C658&gt;_xll.RssMarket(A658,"年初来高値"),"○","×")</f>
        <v>×</v>
      </c>
      <c r="Z658" s="27" t="str">
        <f>IF(C658&lt;=_xll.RssMarket(A658,"年初来安値"),"○","×")</f>
        <v>×</v>
      </c>
    </row>
    <row r="659" spans="1:26" x14ac:dyDescent="0.25">
      <c r="A659" s="49">
        <v>6146</v>
      </c>
      <c r="B659" s="20" t="str">
        <f>_xll.RssMarket(A659,"銘柄名称")</f>
        <v>ディスコ</v>
      </c>
      <c r="C659" s="21">
        <f>_xll.RssMarket(A659,"現在値")</f>
        <v>42850</v>
      </c>
      <c r="D659" s="20" t="str">
        <f>_xll.RssMarket(A659,"現在値詳細時刻")</f>
        <v>15:00:00</v>
      </c>
      <c r="E659" s="22">
        <f>_xll.RssMarket(A659,"前日比")</f>
        <v>-540</v>
      </c>
      <c r="F659" s="23">
        <f>_xll.RssMarket(A659,"前日比率")/100</f>
        <v>-1.24E-2</v>
      </c>
      <c r="G659" s="24" t="str">
        <f>IFERROR(VLOOKUP(A659,取得元!$A$2:$F$501,2,FALSE),"-")</f>
        <v>-</v>
      </c>
      <c r="H659" s="24" t="str">
        <f>IFERROR(VLOOKUP(A659,取得元!$A$2:$F$501,3,FALSE),"-")</f>
        <v>-</v>
      </c>
      <c r="I659" s="24" t="str">
        <f>IFERROR(VLOOKUP(A659,取得元!$A$2:$F$501,4,FALSE),"-")</f>
        <v>-</v>
      </c>
      <c r="J659" s="5" t="str">
        <f>IFERROR(VLOOKUP(A659,取得元!$A$2:$F$501,5,FALSE),"-")</f>
        <v>-</v>
      </c>
      <c r="K659" s="25" t="str">
        <f>IFERROR(VLOOKUP(A659,取得元!$A$2:$F$501,6,FALSE)/100,"-")</f>
        <v>-</v>
      </c>
      <c r="L659" s="21">
        <f>_xll.RssMarket(A659,"始値")</f>
        <v>42840</v>
      </c>
      <c r="M659" s="4">
        <f t="shared" si="60"/>
        <v>2.3342670401493848E-4</v>
      </c>
      <c r="N659" s="21">
        <f>_xll.RssMarket(A659,"高値")</f>
        <v>43120</v>
      </c>
      <c r="O659" s="4">
        <f t="shared" si="61"/>
        <v>-6.2615955473098728E-3</v>
      </c>
      <c r="P659" s="21">
        <f>_xll.RssMarket(A659,"安値")</f>
        <v>42390</v>
      </c>
      <c r="Q659" s="4">
        <f t="shared" si="62"/>
        <v>1.0851615947157445E-2</v>
      </c>
      <c r="R659" s="21">
        <f>_xll.RssMarket(A659,"後場始値")</f>
        <v>43080</v>
      </c>
      <c r="S659" s="25">
        <f t="shared" si="63"/>
        <v>-5.3389043639739953E-3</v>
      </c>
      <c r="T659" s="7">
        <f>_xll.RssMarket(A659,"出来高加重平均")</f>
        <v>42805.400699999998</v>
      </c>
      <c r="U659" s="4">
        <f t="shared" si="64"/>
        <v>1.0419082468722252E-3</v>
      </c>
      <c r="V659" s="21">
        <f>_xll.RssMarket(A659,"出来高")</f>
        <v>1570900</v>
      </c>
      <c r="W659" s="21">
        <f>_xll.RssMarket(A659,"売買代金")</f>
        <v>67243004</v>
      </c>
      <c r="X659" s="20" t="str">
        <f>_xll.RssMarket(A659,"決算発表日")</f>
        <v>2024/01/24</v>
      </c>
      <c r="Y659" s="26" t="str">
        <f>IF(C659&gt;_xll.RssMarket(A659,"年初来高値"),"○","×")</f>
        <v>×</v>
      </c>
      <c r="Z659" s="27" t="str">
        <f>IF(C659&lt;=_xll.RssMarket(A659,"年初来安値"),"○","×")</f>
        <v>×</v>
      </c>
    </row>
    <row r="660" spans="1:26" x14ac:dyDescent="0.25">
      <c r="A660" s="47">
        <v>6165</v>
      </c>
      <c r="B660" s="20" t="str">
        <f>_xll.RssMarket(A660,"銘柄名称")</f>
        <v>パンチ工業</v>
      </c>
      <c r="C660" s="21">
        <f>_xll.RssMarket(A660,"現在値")</f>
        <v>433</v>
      </c>
      <c r="D660" s="20" t="str">
        <f>_xll.RssMarket(A660,"現在値詳細時刻")</f>
        <v>15:00:00</v>
      </c>
      <c r="E660" s="22">
        <f>_xll.RssMarket(A660,"前日比")</f>
        <v>3</v>
      </c>
      <c r="F660" s="23">
        <f>_xll.RssMarket(A660,"前日比率")/100</f>
        <v>6.9999999999999993E-3</v>
      </c>
      <c r="G660" s="24" t="str">
        <f>IFERROR(VLOOKUP(A660,取得元!$A$2:$F$501,2,FALSE),"-")</f>
        <v>-</v>
      </c>
      <c r="H660" s="24" t="str">
        <f>IFERROR(VLOOKUP(A660,取得元!$A$2:$F$501,3,FALSE),"-")</f>
        <v>-</v>
      </c>
      <c r="I660" s="24" t="str">
        <f>IFERROR(VLOOKUP(A660,取得元!$A$2:$F$501,4,FALSE),"-")</f>
        <v>-</v>
      </c>
      <c r="J660" s="5" t="str">
        <f>IFERROR(VLOOKUP(A660,取得元!$A$2:$F$501,5,FALSE),"-")</f>
        <v>-</v>
      </c>
      <c r="K660" s="25" t="str">
        <f>IFERROR(VLOOKUP(A660,取得元!$A$2:$F$501,6,FALSE)/100,"-")</f>
        <v>-</v>
      </c>
      <c r="L660" s="21">
        <f>_xll.RssMarket(A660,"始値")</f>
        <v>429</v>
      </c>
      <c r="M660" s="4">
        <f t="shared" si="60"/>
        <v>9.3240093240092303E-3</v>
      </c>
      <c r="N660" s="21">
        <f>_xll.RssMarket(A660,"高値")</f>
        <v>434</v>
      </c>
      <c r="O660" s="4">
        <f t="shared" si="61"/>
        <v>-2.3041474654378336E-3</v>
      </c>
      <c r="P660" s="21">
        <f>_xll.RssMarket(A660,"安値")</f>
        <v>428</v>
      </c>
      <c r="Q660" s="4">
        <f t="shared" si="62"/>
        <v>1.1682242990654235E-2</v>
      </c>
      <c r="R660" s="21">
        <f>_xll.RssMarket(A660,"後場始値")</f>
        <v>431</v>
      </c>
      <c r="S660" s="25">
        <f t="shared" si="63"/>
        <v>4.6403712296982924E-3</v>
      </c>
      <c r="T660" s="7">
        <f>_xll.RssMarket(A660,"出来高加重平均")</f>
        <v>431.358</v>
      </c>
      <c r="U660" s="4">
        <f t="shared" si="64"/>
        <v>3.8065829311151322E-3</v>
      </c>
      <c r="V660" s="21">
        <f>_xll.RssMarket(A660,"出来高")</f>
        <v>40500</v>
      </c>
      <c r="W660" s="21">
        <f>_xll.RssMarket(A660,"売買代金")</f>
        <v>17470</v>
      </c>
      <c r="X660" s="20" t="str">
        <f>_xll.RssMarket(A660,"決算発表日")</f>
        <v>2024/02/09</v>
      </c>
      <c r="Y660" s="26" t="str">
        <f>IF(C660&gt;_xll.RssMarket(A660,"年初来高値"),"○","×")</f>
        <v>×</v>
      </c>
      <c r="Z660" s="27" t="str">
        <f>IF(C660&lt;=_xll.RssMarket(A660,"年初来安値"),"○","×")</f>
        <v>×</v>
      </c>
    </row>
    <row r="661" spans="1:26" x14ac:dyDescent="0.25">
      <c r="A661" s="49">
        <v>6166</v>
      </c>
      <c r="B661" s="20" t="str">
        <f>_xll.RssMarket(A661,"銘柄名称")</f>
        <v>中村超硬</v>
      </c>
      <c r="C661" s="21">
        <f>_xll.RssMarket(A661,"現在値")</f>
        <v>382</v>
      </c>
      <c r="D661" s="20" t="str">
        <f>_xll.RssMarket(A661,"現在値詳細時刻")</f>
        <v>15:00:00</v>
      </c>
      <c r="E661" s="22">
        <f>_xll.RssMarket(A661,"前日比")</f>
        <v>-4</v>
      </c>
      <c r="F661" s="23">
        <f>_xll.RssMarket(A661,"前日比率")/100</f>
        <v>-1.04E-2</v>
      </c>
      <c r="G661" s="24" t="str">
        <f>IFERROR(VLOOKUP(A661,取得元!$A$2:$F$501,2,FALSE),"-")</f>
        <v>-</v>
      </c>
      <c r="H661" s="24" t="str">
        <f>IFERROR(VLOOKUP(A661,取得元!$A$2:$F$501,3,FALSE),"-")</f>
        <v>-</v>
      </c>
      <c r="I661" s="24" t="str">
        <f>IFERROR(VLOOKUP(A661,取得元!$A$2:$F$501,4,FALSE),"-")</f>
        <v>-</v>
      </c>
      <c r="J661" s="5" t="str">
        <f>IFERROR(VLOOKUP(A661,取得元!$A$2:$F$501,5,FALSE),"-")</f>
        <v>-</v>
      </c>
      <c r="K661" s="25" t="str">
        <f>IFERROR(VLOOKUP(A661,取得元!$A$2:$F$501,6,FALSE)/100,"-")</f>
        <v>-</v>
      </c>
      <c r="L661" s="21">
        <f>_xll.RssMarket(A661,"始値")</f>
        <v>382</v>
      </c>
      <c r="M661" s="4">
        <f t="shared" si="60"/>
        <v>0</v>
      </c>
      <c r="N661" s="21">
        <f>_xll.RssMarket(A661,"高値")</f>
        <v>386</v>
      </c>
      <c r="O661" s="4">
        <f t="shared" si="61"/>
        <v>-1.0362694300518172E-2</v>
      </c>
      <c r="P661" s="21">
        <f>_xll.RssMarket(A661,"安値")</f>
        <v>380</v>
      </c>
      <c r="Q661" s="4">
        <f t="shared" si="62"/>
        <v>5.2631578947368585E-3</v>
      </c>
      <c r="R661" s="21">
        <f>_xll.RssMarket(A661,"後場始値")</f>
        <v>383</v>
      </c>
      <c r="S661" s="25">
        <f t="shared" si="63"/>
        <v>-2.6109660574412663E-3</v>
      </c>
      <c r="T661" s="7">
        <f>_xll.RssMarket(A661,"出来高加重平均")</f>
        <v>381.7878</v>
      </c>
      <c r="U661" s="4">
        <f t="shared" si="64"/>
        <v>5.5580613104977417E-4</v>
      </c>
      <c r="V661" s="21">
        <f>_xll.RssMarket(A661,"出来高")</f>
        <v>33000</v>
      </c>
      <c r="W661" s="21">
        <f>_xll.RssMarket(A661,"売買代金")</f>
        <v>12599</v>
      </c>
      <c r="X661" s="20" t="str">
        <f>_xll.RssMarket(A661,"決算発表日")</f>
        <v>2024/02/09</v>
      </c>
      <c r="Y661" s="26" t="str">
        <f>IF(C661&gt;_xll.RssMarket(A661,"年初来高値"),"○","×")</f>
        <v>×</v>
      </c>
      <c r="Z661" s="27" t="str">
        <f>IF(C661&lt;=_xll.RssMarket(A661,"年初来安値"),"○","×")</f>
        <v>×</v>
      </c>
    </row>
    <row r="662" spans="1:26" x14ac:dyDescent="0.25">
      <c r="A662" s="47">
        <v>6167</v>
      </c>
      <c r="B662" s="20" t="str">
        <f>_xll.RssMarket(A662,"銘柄名称")</f>
        <v>冨士ダイス</v>
      </c>
      <c r="C662" s="21">
        <f>_xll.RssMarket(A662,"現在値")</f>
        <v>712</v>
      </c>
      <c r="D662" s="20" t="str">
        <f>_xll.RssMarket(A662,"現在値詳細時刻")</f>
        <v>15:00:00</v>
      </c>
      <c r="E662" s="22">
        <f>_xll.RssMarket(A662,"前日比")</f>
        <v>12</v>
      </c>
      <c r="F662" s="23">
        <f>_xll.RssMarket(A662,"前日比率")/100</f>
        <v>1.7100000000000001E-2</v>
      </c>
      <c r="G662" s="24" t="str">
        <f>IFERROR(VLOOKUP(A662,取得元!$A$2:$F$501,2,FALSE),"-")</f>
        <v>-</v>
      </c>
      <c r="H662" s="24" t="str">
        <f>IFERROR(VLOOKUP(A662,取得元!$A$2:$F$501,3,FALSE),"-")</f>
        <v>-</v>
      </c>
      <c r="I662" s="24" t="str">
        <f>IFERROR(VLOOKUP(A662,取得元!$A$2:$F$501,4,FALSE),"-")</f>
        <v>-</v>
      </c>
      <c r="J662" s="5" t="str">
        <f>IFERROR(VLOOKUP(A662,取得元!$A$2:$F$501,5,FALSE),"-")</f>
        <v>-</v>
      </c>
      <c r="K662" s="25" t="str">
        <f>IFERROR(VLOOKUP(A662,取得元!$A$2:$F$501,6,FALSE)/100,"-")</f>
        <v>-</v>
      </c>
      <c r="L662" s="21">
        <f>_xll.RssMarket(A662,"始値")</f>
        <v>707</v>
      </c>
      <c r="M662" s="4">
        <f t="shared" ref="M662:M725" si="65">C662/L662-1</f>
        <v>7.0721357850069833E-3</v>
      </c>
      <c r="N662" s="21">
        <f>_xll.RssMarket(A662,"高値")</f>
        <v>714</v>
      </c>
      <c r="O662" s="4">
        <f t="shared" ref="O662:O725" si="66">C662/N662-1</f>
        <v>-2.8011204481792618E-3</v>
      </c>
      <c r="P662" s="21">
        <f>_xll.RssMarket(A662,"安値")</f>
        <v>704</v>
      </c>
      <c r="Q662" s="4">
        <f t="shared" ref="Q662:Q725" si="67">C662/P662-1</f>
        <v>1.1363636363636465E-2</v>
      </c>
      <c r="R662" s="21">
        <f>_xll.RssMarket(A662,"後場始値")</f>
        <v>710</v>
      </c>
      <c r="S662" s="25">
        <f t="shared" ref="S662:S725" si="68">IFERROR(C662/R662-1,"-")</f>
        <v>2.8169014084507005E-3</v>
      </c>
      <c r="T662" s="7">
        <f>_xll.RssMarket(A662,"出来高加重平均")</f>
        <v>710.8578</v>
      </c>
      <c r="U662" s="4">
        <f t="shared" ref="U662:U725" si="69">C662/T662-1</f>
        <v>1.6067911191239848E-3</v>
      </c>
      <c r="V662" s="21">
        <f>_xll.RssMarket(A662,"出来高")</f>
        <v>40800</v>
      </c>
      <c r="W662" s="21">
        <f>_xll.RssMarket(A662,"売買代金")</f>
        <v>29003</v>
      </c>
      <c r="X662" s="20" t="str">
        <f>_xll.RssMarket(A662,"決算発表日")</f>
        <v>2024/02/14</v>
      </c>
      <c r="Y662" s="26" t="str">
        <f>IF(C662&gt;_xll.RssMarket(A662,"年初来高値"),"○","×")</f>
        <v>×</v>
      </c>
      <c r="Z662" s="27" t="str">
        <f>IF(C662&lt;=_xll.RssMarket(A662,"年初来安値"),"○","×")</f>
        <v>×</v>
      </c>
    </row>
    <row r="663" spans="1:26" x14ac:dyDescent="0.25">
      <c r="A663" s="49">
        <v>6173</v>
      </c>
      <c r="B663" s="20" t="str">
        <f>_xll.RssMarket(A663,"銘柄名称")</f>
        <v>アクアライン</v>
      </c>
      <c r="C663" s="21">
        <f>_xll.RssMarket(A663,"現在値")</f>
        <v>540</v>
      </c>
      <c r="D663" s="20" t="str">
        <f>_xll.RssMarket(A663,"現在値詳細時刻")</f>
        <v>14:59:21</v>
      </c>
      <c r="E663" s="22">
        <f>_xll.RssMarket(A663,"前日比")</f>
        <v>1</v>
      </c>
      <c r="F663" s="23">
        <f>_xll.RssMarket(A663,"前日比率")/100</f>
        <v>1.9E-3</v>
      </c>
      <c r="G663" s="24" t="str">
        <f>IFERROR(VLOOKUP(A663,取得元!$A$2:$F$501,2,FALSE),"-")</f>
        <v>-</v>
      </c>
      <c r="H663" s="24" t="str">
        <f>IFERROR(VLOOKUP(A663,取得元!$A$2:$F$501,3,FALSE),"-")</f>
        <v>-</v>
      </c>
      <c r="I663" s="24" t="str">
        <f>IFERROR(VLOOKUP(A663,取得元!$A$2:$F$501,4,FALSE),"-")</f>
        <v>-</v>
      </c>
      <c r="J663" s="5" t="str">
        <f>IFERROR(VLOOKUP(A663,取得元!$A$2:$F$501,5,FALSE),"-")</f>
        <v>-</v>
      </c>
      <c r="K663" s="25" t="str">
        <f>IFERROR(VLOOKUP(A663,取得元!$A$2:$F$501,6,FALSE)/100,"-")</f>
        <v>-</v>
      </c>
      <c r="L663" s="21">
        <f>_xll.RssMarket(A663,"始値")</f>
        <v>540</v>
      </c>
      <c r="M663" s="4">
        <f t="shared" si="65"/>
        <v>0</v>
      </c>
      <c r="N663" s="21">
        <f>_xll.RssMarket(A663,"高値")</f>
        <v>540</v>
      </c>
      <c r="O663" s="4">
        <f t="shared" si="66"/>
        <v>0</v>
      </c>
      <c r="P663" s="21">
        <f>_xll.RssMarket(A663,"安値")</f>
        <v>531</v>
      </c>
      <c r="Q663" s="4">
        <f t="shared" si="67"/>
        <v>1.6949152542372836E-2</v>
      </c>
      <c r="R663" s="21">
        <f>_xll.RssMarket(A663,"後場始値")</f>
        <v>539</v>
      </c>
      <c r="S663" s="25">
        <f t="shared" si="68"/>
        <v>1.8552875695732052E-3</v>
      </c>
      <c r="T663" s="7">
        <f>_xll.RssMarket(A663,"出来高加重平均")</f>
        <v>535.56700000000001</v>
      </c>
      <c r="U663" s="4">
        <f t="shared" si="69"/>
        <v>8.2772090139981991E-3</v>
      </c>
      <c r="V663" s="21">
        <f>_xll.RssMarket(A663,"出来高")</f>
        <v>9700</v>
      </c>
      <c r="W663" s="21">
        <f>_xll.RssMarket(A663,"売買代金")</f>
        <v>5195</v>
      </c>
      <c r="X663" s="20" t="str">
        <f>_xll.RssMarket(A663,"決算発表日")</f>
        <v>2024/01/15</v>
      </c>
      <c r="Y663" s="26" t="str">
        <f>IF(C663&gt;_xll.RssMarket(A663,"年初来高値"),"○","×")</f>
        <v>×</v>
      </c>
      <c r="Z663" s="27" t="str">
        <f>IF(C663&lt;=_xll.RssMarket(A663,"年初来安値"),"○","×")</f>
        <v>×</v>
      </c>
    </row>
    <row r="664" spans="1:26" x14ac:dyDescent="0.25">
      <c r="A664" s="47">
        <v>6176</v>
      </c>
      <c r="B664" s="20" t="str">
        <f>_xll.RssMarket(A664,"銘柄名称")</f>
        <v>ブランジスタ</v>
      </c>
      <c r="C664" s="21">
        <f>_xll.RssMarket(A664,"現在値")</f>
        <v>685</v>
      </c>
      <c r="D664" s="20" t="str">
        <f>_xll.RssMarket(A664,"現在値詳細時刻")</f>
        <v>15:00:00</v>
      </c>
      <c r="E664" s="22">
        <f>_xll.RssMarket(A664,"前日比")</f>
        <v>4</v>
      </c>
      <c r="F664" s="23">
        <f>_xll.RssMarket(A664,"前日比率")/100</f>
        <v>5.8999999999999999E-3</v>
      </c>
      <c r="G664" s="24" t="str">
        <f>IFERROR(VLOOKUP(A664,取得元!$A$2:$F$501,2,FALSE),"-")</f>
        <v>-</v>
      </c>
      <c r="H664" s="24" t="str">
        <f>IFERROR(VLOOKUP(A664,取得元!$A$2:$F$501,3,FALSE),"-")</f>
        <v>-</v>
      </c>
      <c r="I664" s="24" t="str">
        <f>IFERROR(VLOOKUP(A664,取得元!$A$2:$F$501,4,FALSE),"-")</f>
        <v>-</v>
      </c>
      <c r="J664" s="5" t="str">
        <f>IFERROR(VLOOKUP(A664,取得元!$A$2:$F$501,5,FALSE),"-")</f>
        <v>-</v>
      </c>
      <c r="K664" s="25" t="str">
        <f>IFERROR(VLOOKUP(A664,取得元!$A$2:$F$501,6,FALSE)/100,"-")</f>
        <v>-</v>
      </c>
      <c r="L664" s="21">
        <f>_xll.RssMarket(A664,"始値")</f>
        <v>680</v>
      </c>
      <c r="M664" s="4">
        <f t="shared" si="65"/>
        <v>7.3529411764705621E-3</v>
      </c>
      <c r="N664" s="21">
        <f>_xll.RssMarket(A664,"高値")</f>
        <v>688</v>
      </c>
      <c r="O664" s="4">
        <f t="shared" si="66"/>
        <v>-4.3604651162790775E-3</v>
      </c>
      <c r="P664" s="21">
        <f>_xll.RssMarket(A664,"安値")</f>
        <v>666</v>
      </c>
      <c r="Q664" s="4">
        <f t="shared" si="67"/>
        <v>2.8528528528528607E-2</v>
      </c>
      <c r="R664" s="21">
        <f>_xll.RssMarket(A664,"後場始値")</f>
        <v>678</v>
      </c>
      <c r="S664" s="25">
        <f t="shared" si="68"/>
        <v>1.0324483775811188E-2</v>
      </c>
      <c r="T664" s="7">
        <f>_xll.RssMarket(A664,"出来高加重平均")</f>
        <v>677.64610000000005</v>
      </c>
      <c r="U664" s="4">
        <f t="shared" si="69"/>
        <v>1.0852124730002854E-2</v>
      </c>
      <c r="V664" s="21">
        <f>_xll.RssMarket(A664,"出来高")</f>
        <v>66700</v>
      </c>
      <c r="W664" s="21">
        <f>_xll.RssMarket(A664,"売買代金")</f>
        <v>45199</v>
      </c>
      <c r="X664" s="20" t="str">
        <f>_xll.RssMarket(A664,"決算発表日")</f>
        <v>2024/02/14</v>
      </c>
      <c r="Y664" s="26" t="str">
        <f>IF(C664&gt;_xll.RssMarket(A664,"年初来高値"),"○","×")</f>
        <v>×</v>
      </c>
      <c r="Z664" s="27" t="str">
        <f>IF(C664&lt;=_xll.RssMarket(A664,"年初来安値"),"○","×")</f>
        <v>×</v>
      </c>
    </row>
    <row r="665" spans="1:26" x14ac:dyDescent="0.25">
      <c r="A665" s="49">
        <v>6177</v>
      </c>
      <c r="B665" s="20" t="str">
        <f>_xll.RssMarket(A665,"銘柄名称")</f>
        <v>ＡｐｐＢａｎｋ</v>
      </c>
      <c r="C665" s="21">
        <f>_xll.RssMarket(A665,"現在値")</f>
        <v>98</v>
      </c>
      <c r="D665" s="20" t="str">
        <f>_xll.RssMarket(A665,"現在値詳細時刻")</f>
        <v>15:00:00</v>
      </c>
      <c r="E665" s="22">
        <f>_xll.RssMarket(A665,"前日比")</f>
        <v>-3</v>
      </c>
      <c r="F665" s="23">
        <f>_xll.RssMarket(A665,"前日比率")/100</f>
        <v>-2.9700000000000001E-2</v>
      </c>
      <c r="G665" s="24" t="str">
        <f>IFERROR(VLOOKUP(A665,取得元!$A$2:$F$501,2,FALSE),"-")</f>
        <v>-</v>
      </c>
      <c r="H665" s="24" t="str">
        <f>IFERROR(VLOOKUP(A665,取得元!$A$2:$F$501,3,FALSE),"-")</f>
        <v>-</v>
      </c>
      <c r="I665" s="24" t="str">
        <f>IFERROR(VLOOKUP(A665,取得元!$A$2:$F$501,4,FALSE),"-")</f>
        <v>-</v>
      </c>
      <c r="J665" s="5" t="str">
        <f>IFERROR(VLOOKUP(A665,取得元!$A$2:$F$501,5,FALSE),"-")</f>
        <v>-</v>
      </c>
      <c r="K665" s="25" t="str">
        <f>IFERROR(VLOOKUP(A665,取得元!$A$2:$F$501,6,FALSE)/100,"-")</f>
        <v>-</v>
      </c>
      <c r="L665" s="21">
        <f>_xll.RssMarket(A665,"始値")</f>
        <v>99</v>
      </c>
      <c r="M665" s="4">
        <f t="shared" si="65"/>
        <v>-1.0101010101010055E-2</v>
      </c>
      <c r="N665" s="21">
        <f>_xll.RssMarket(A665,"高値")</f>
        <v>100</v>
      </c>
      <c r="O665" s="4">
        <f t="shared" si="66"/>
        <v>-2.0000000000000018E-2</v>
      </c>
      <c r="P665" s="21">
        <f>_xll.RssMarket(A665,"安値")</f>
        <v>98</v>
      </c>
      <c r="Q665" s="4">
        <f t="shared" si="67"/>
        <v>0</v>
      </c>
      <c r="R665" s="21">
        <f>_xll.RssMarket(A665,"後場始値")</f>
        <v>99</v>
      </c>
      <c r="S665" s="25">
        <f t="shared" si="68"/>
        <v>-1.0101010101010055E-2</v>
      </c>
      <c r="T665" s="7">
        <f>_xll.RssMarket(A665,"出来高加重平均")</f>
        <v>98.934899999999999</v>
      </c>
      <c r="U665" s="4">
        <f t="shared" si="69"/>
        <v>-9.4496482030101969E-3</v>
      </c>
      <c r="V665" s="21">
        <f>_xll.RssMarket(A665,"出来高")</f>
        <v>16900</v>
      </c>
      <c r="W665" s="21">
        <f>_xll.RssMarket(A665,"売買代金")</f>
        <v>1672</v>
      </c>
      <c r="X665" s="20" t="str">
        <f>_xll.RssMarket(A665,"決算発表日")</f>
        <v>2024/02/13</v>
      </c>
      <c r="Y665" s="26" t="str">
        <f>IF(C665&gt;_xll.RssMarket(A665,"年初来高値"),"○","×")</f>
        <v>×</v>
      </c>
      <c r="Z665" s="27" t="str">
        <f>IF(C665&lt;=_xll.RssMarket(A665,"年初来安値"),"○","×")</f>
        <v>×</v>
      </c>
    </row>
    <row r="666" spans="1:26" x14ac:dyDescent="0.25">
      <c r="A666" s="47">
        <v>6178</v>
      </c>
      <c r="B666" s="20" t="str">
        <f>_xll.RssMarket(A666,"銘柄名称")</f>
        <v>日本郵政</v>
      </c>
      <c r="C666" s="21">
        <f>_xll.RssMarket(A666,"現在値")</f>
        <v>1416</v>
      </c>
      <c r="D666" s="20" t="str">
        <f>_xll.RssMarket(A666,"現在値詳細時刻")</f>
        <v>15:00:00</v>
      </c>
      <c r="E666" s="22">
        <f>_xll.RssMarket(A666,"前日比")</f>
        <v>25</v>
      </c>
      <c r="F666" s="23">
        <f>_xll.RssMarket(A666,"前日比率")/100</f>
        <v>1.8000000000000002E-2</v>
      </c>
      <c r="G666" s="24" t="str">
        <f>IFERROR(VLOOKUP(A666,取得元!$A$2:$F$501,2,FALSE),"-")</f>
        <v>-</v>
      </c>
      <c r="H666" s="24" t="str">
        <f>IFERROR(VLOOKUP(A666,取得元!$A$2:$F$501,3,FALSE),"-")</f>
        <v>-</v>
      </c>
      <c r="I666" s="24" t="str">
        <f>IFERROR(VLOOKUP(A666,取得元!$A$2:$F$501,4,FALSE),"-")</f>
        <v>-</v>
      </c>
      <c r="J666" s="5" t="str">
        <f>IFERROR(VLOOKUP(A666,取得元!$A$2:$F$501,5,FALSE),"-")</f>
        <v>-</v>
      </c>
      <c r="K666" s="25" t="str">
        <f>IFERROR(VLOOKUP(A666,取得元!$A$2:$F$501,6,FALSE)/100,"-")</f>
        <v>-</v>
      </c>
      <c r="L666" s="21">
        <f>_xll.RssMarket(A666,"始値")</f>
        <v>1394</v>
      </c>
      <c r="M666" s="4">
        <f t="shared" si="65"/>
        <v>1.5781922525107683E-2</v>
      </c>
      <c r="N666" s="21">
        <f>_xll.RssMarket(A666,"高値")</f>
        <v>1416</v>
      </c>
      <c r="O666" s="4">
        <f t="shared" si="66"/>
        <v>0</v>
      </c>
      <c r="P666" s="21">
        <f>_xll.RssMarket(A666,"安値")</f>
        <v>1392.5</v>
      </c>
      <c r="Q666" s="4">
        <f t="shared" si="67"/>
        <v>1.6876122082585265E-2</v>
      </c>
      <c r="R666" s="21">
        <f>_xll.RssMarket(A666,"後場始値")</f>
        <v>1405</v>
      </c>
      <c r="S666" s="25">
        <f t="shared" si="68"/>
        <v>7.8291814946618299E-3</v>
      </c>
      <c r="T666" s="7">
        <f>_xll.RssMarket(A666,"出来高加重平均")</f>
        <v>1408.4546</v>
      </c>
      <c r="U666" s="4">
        <f t="shared" si="69"/>
        <v>5.3572191819317716E-3</v>
      </c>
      <c r="V666" s="21">
        <f>_xll.RssMarket(A666,"出来高")</f>
        <v>6977700</v>
      </c>
      <c r="W666" s="21">
        <f>_xll.RssMarket(A666,"売買代金")</f>
        <v>9827774</v>
      </c>
      <c r="X666" s="20" t="str">
        <f>_xll.RssMarket(A666,"決算発表日")</f>
        <v>2024/02/14</v>
      </c>
      <c r="Y666" s="26" t="str">
        <f>IF(C666&gt;_xll.RssMarket(A666,"年初来高値"),"○","×")</f>
        <v>×</v>
      </c>
      <c r="Z666" s="27" t="str">
        <f>IF(C666&lt;=_xll.RssMarket(A666,"年初来安値"),"○","×")</f>
        <v>×</v>
      </c>
    </row>
    <row r="667" spans="1:26" x14ac:dyDescent="0.25">
      <c r="A667" s="49">
        <v>6181</v>
      </c>
      <c r="B667" s="20" t="str">
        <f>_xll.RssMarket(A667,"銘柄名称")</f>
        <v>タメニー</v>
      </c>
      <c r="C667" s="21">
        <f>_xll.RssMarket(A667,"現在値")</f>
        <v>112</v>
      </c>
      <c r="D667" s="20" t="str">
        <f>_xll.RssMarket(A667,"現在値詳細時刻")</f>
        <v>15:00:00</v>
      </c>
      <c r="E667" s="22">
        <f>_xll.RssMarket(A667,"前日比")</f>
        <v>-2</v>
      </c>
      <c r="F667" s="23">
        <f>_xll.RssMarket(A667,"前日比率")/100</f>
        <v>-1.7500000000000002E-2</v>
      </c>
      <c r="G667" s="24" t="str">
        <f>IFERROR(VLOOKUP(A667,取得元!$A$2:$F$501,2,FALSE),"-")</f>
        <v>-</v>
      </c>
      <c r="H667" s="24" t="str">
        <f>IFERROR(VLOOKUP(A667,取得元!$A$2:$F$501,3,FALSE),"-")</f>
        <v>-</v>
      </c>
      <c r="I667" s="24" t="str">
        <f>IFERROR(VLOOKUP(A667,取得元!$A$2:$F$501,4,FALSE),"-")</f>
        <v>-</v>
      </c>
      <c r="J667" s="5" t="str">
        <f>IFERROR(VLOOKUP(A667,取得元!$A$2:$F$501,5,FALSE),"-")</f>
        <v>-</v>
      </c>
      <c r="K667" s="25" t="str">
        <f>IFERROR(VLOOKUP(A667,取得元!$A$2:$F$501,6,FALSE)/100,"-")</f>
        <v>-</v>
      </c>
      <c r="L667" s="21">
        <f>_xll.RssMarket(A667,"始値")</f>
        <v>113</v>
      </c>
      <c r="M667" s="4">
        <f t="shared" si="65"/>
        <v>-8.8495575221239076E-3</v>
      </c>
      <c r="N667" s="21">
        <f>_xll.RssMarket(A667,"高値")</f>
        <v>115</v>
      </c>
      <c r="O667" s="4">
        <f t="shared" si="66"/>
        <v>-2.6086956521739091E-2</v>
      </c>
      <c r="P667" s="21">
        <f>_xll.RssMarket(A667,"安値")</f>
        <v>112</v>
      </c>
      <c r="Q667" s="4">
        <f t="shared" si="67"/>
        <v>0</v>
      </c>
      <c r="R667" s="21">
        <f>_xll.RssMarket(A667,"後場始値")</f>
        <v>113</v>
      </c>
      <c r="S667" s="25">
        <f t="shared" si="68"/>
        <v>-8.8495575221239076E-3</v>
      </c>
      <c r="T667" s="7">
        <f>_xll.RssMarket(A667,"出来高加重平均")</f>
        <v>113.49</v>
      </c>
      <c r="U667" s="4">
        <f t="shared" si="69"/>
        <v>-1.3128910036126484E-2</v>
      </c>
      <c r="V667" s="21">
        <f>_xll.RssMarket(A667,"出来高")</f>
        <v>80800</v>
      </c>
      <c r="W667" s="21">
        <f>_xll.RssMarket(A667,"売買代金")</f>
        <v>9170</v>
      </c>
      <c r="X667" s="20" t="str">
        <f>_xll.RssMarket(A667,"決算発表日")</f>
        <v>2024/02/09</v>
      </c>
      <c r="Y667" s="26" t="str">
        <f>IF(C667&gt;_xll.RssMarket(A667,"年初来高値"),"○","×")</f>
        <v>×</v>
      </c>
      <c r="Z667" s="27" t="str">
        <f>IF(C667&lt;=_xll.RssMarket(A667,"年初来安値"),"○","×")</f>
        <v>×</v>
      </c>
    </row>
    <row r="668" spans="1:26" x14ac:dyDescent="0.25">
      <c r="A668" s="47">
        <v>6182</v>
      </c>
      <c r="B668" s="20" t="str">
        <f>_xll.RssMarket(A668,"銘柄名称")</f>
        <v>メタリアル</v>
      </c>
      <c r="C668" s="21">
        <f>_xll.RssMarket(A668,"現在値")</f>
        <v>1249</v>
      </c>
      <c r="D668" s="20" t="str">
        <f>_xll.RssMarket(A668,"現在値詳細時刻")</f>
        <v>15:00:00</v>
      </c>
      <c r="E668" s="22">
        <f>_xll.RssMarket(A668,"前日比")</f>
        <v>-27</v>
      </c>
      <c r="F668" s="23">
        <f>_xll.RssMarket(A668,"前日比率")/100</f>
        <v>-2.12E-2</v>
      </c>
      <c r="G668" s="24" t="str">
        <f>IFERROR(VLOOKUP(A668,取得元!$A$2:$F$501,2,FALSE),"-")</f>
        <v>-</v>
      </c>
      <c r="H668" s="24" t="str">
        <f>IFERROR(VLOOKUP(A668,取得元!$A$2:$F$501,3,FALSE),"-")</f>
        <v>-</v>
      </c>
      <c r="I668" s="24" t="str">
        <f>IFERROR(VLOOKUP(A668,取得元!$A$2:$F$501,4,FALSE),"-")</f>
        <v>-</v>
      </c>
      <c r="J668" s="5" t="str">
        <f>IFERROR(VLOOKUP(A668,取得元!$A$2:$F$501,5,FALSE),"-")</f>
        <v>-</v>
      </c>
      <c r="K668" s="25" t="str">
        <f>IFERROR(VLOOKUP(A668,取得元!$A$2:$F$501,6,FALSE)/100,"-")</f>
        <v>-</v>
      </c>
      <c r="L668" s="21">
        <f>_xll.RssMarket(A668,"始値")</f>
        <v>1262</v>
      </c>
      <c r="M668" s="4">
        <f t="shared" si="65"/>
        <v>-1.0301109350237758E-2</v>
      </c>
      <c r="N668" s="21">
        <f>_xll.RssMarket(A668,"高値")</f>
        <v>1278</v>
      </c>
      <c r="O668" s="4">
        <f t="shared" si="66"/>
        <v>-2.2691705790297334E-2</v>
      </c>
      <c r="P668" s="21">
        <f>_xll.RssMarket(A668,"安値")</f>
        <v>1239</v>
      </c>
      <c r="Q668" s="4">
        <f t="shared" si="67"/>
        <v>8.0710250201776468E-3</v>
      </c>
      <c r="R668" s="21">
        <f>_xll.RssMarket(A668,"後場始値")</f>
        <v>1258</v>
      </c>
      <c r="S668" s="25">
        <f t="shared" si="68"/>
        <v>-7.1542130365659373E-3</v>
      </c>
      <c r="T668" s="7">
        <f>_xll.RssMarket(A668,"出来高加重平均")</f>
        <v>1253.2972</v>
      </c>
      <c r="U668" s="4">
        <f t="shared" si="69"/>
        <v>-3.4287158704255916E-3</v>
      </c>
      <c r="V668" s="21">
        <f>_xll.RssMarket(A668,"出来高")</f>
        <v>120100</v>
      </c>
      <c r="W668" s="21">
        <f>_xll.RssMarket(A668,"売買代金")</f>
        <v>150521</v>
      </c>
      <c r="X668" s="20" t="str">
        <f>_xll.RssMarket(A668,"決算発表日")</f>
        <v>2024/01/12</v>
      </c>
      <c r="Y668" s="26" t="str">
        <f>IF(C668&gt;_xll.RssMarket(A668,"年初来高値"),"○","×")</f>
        <v>×</v>
      </c>
      <c r="Z668" s="27" t="str">
        <f>IF(C668&lt;=_xll.RssMarket(A668,"年初来安値"),"○","×")</f>
        <v>×</v>
      </c>
    </row>
    <row r="669" spans="1:26" x14ac:dyDescent="0.25">
      <c r="A669" s="49">
        <v>6184</v>
      </c>
      <c r="B669" s="20" t="str">
        <f>_xll.RssMarket(A669,"銘柄名称")</f>
        <v>鎌倉新書</v>
      </c>
      <c r="C669" s="21">
        <f>_xll.RssMarket(A669,"現在値")</f>
        <v>620</v>
      </c>
      <c r="D669" s="20" t="str">
        <f>_xll.RssMarket(A669,"現在値詳細時刻")</f>
        <v>15:00:00</v>
      </c>
      <c r="E669" s="22">
        <f>_xll.RssMarket(A669,"前日比")</f>
        <v>-2</v>
      </c>
      <c r="F669" s="23">
        <f>_xll.RssMarket(A669,"前日比率")/100</f>
        <v>-3.2000000000000002E-3</v>
      </c>
      <c r="G669" s="24" t="str">
        <f>IFERROR(VLOOKUP(A669,取得元!$A$2:$F$501,2,FALSE),"-")</f>
        <v>-</v>
      </c>
      <c r="H669" s="24" t="str">
        <f>IFERROR(VLOOKUP(A669,取得元!$A$2:$F$501,3,FALSE),"-")</f>
        <v>-</v>
      </c>
      <c r="I669" s="24" t="str">
        <f>IFERROR(VLOOKUP(A669,取得元!$A$2:$F$501,4,FALSE),"-")</f>
        <v>-</v>
      </c>
      <c r="J669" s="5" t="str">
        <f>IFERROR(VLOOKUP(A669,取得元!$A$2:$F$501,5,FALSE),"-")</f>
        <v>-</v>
      </c>
      <c r="K669" s="25" t="str">
        <f>IFERROR(VLOOKUP(A669,取得元!$A$2:$F$501,6,FALSE)/100,"-")</f>
        <v>-</v>
      </c>
      <c r="L669" s="21">
        <f>_xll.RssMarket(A669,"始値")</f>
        <v>617</v>
      </c>
      <c r="M669" s="4">
        <f t="shared" si="65"/>
        <v>4.8622366288493257E-3</v>
      </c>
      <c r="N669" s="21">
        <f>_xll.RssMarket(A669,"高値")</f>
        <v>620</v>
      </c>
      <c r="O669" s="4">
        <f t="shared" si="66"/>
        <v>0</v>
      </c>
      <c r="P669" s="21">
        <f>_xll.RssMarket(A669,"安値")</f>
        <v>607</v>
      </c>
      <c r="Q669" s="4">
        <f t="shared" si="67"/>
        <v>2.1416803953871577E-2</v>
      </c>
      <c r="R669" s="21">
        <f>_xll.RssMarket(A669,"後場始値")</f>
        <v>618</v>
      </c>
      <c r="S669" s="25">
        <f t="shared" si="68"/>
        <v>3.2362459546926292E-3</v>
      </c>
      <c r="T669" s="7">
        <f>_xll.RssMarket(A669,"出来高加重平均")</f>
        <v>614.43820000000005</v>
      </c>
      <c r="U669" s="4">
        <f t="shared" si="69"/>
        <v>9.0518460603523643E-3</v>
      </c>
      <c r="V669" s="21">
        <f>_xll.RssMarket(A669,"出来高")</f>
        <v>125500</v>
      </c>
      <c r="W669" s="21">
        <f>_xll.RssMarket(A669,"売買代金")</f>
        <v>77112</v>
      </c>
      <c r="X669" s="20" t="str">
        <f>_xll.RssMarket(A669,"決算発表日")</f>
        <v>2024/03/14</v>
      </c>
      <c r="Y669" s="26" t="str">
        <f>IF(C669&gt;_xll.RssMarket(A669,"年初来高値"),"○","×")</f>
        <v>×</v>
      </c>
      <c r="Z669" s="27" t="str">
        <f>IF(C669&lt;=_xll.RssMarket(A669,"年初来安値"),"○","×")</f>
        <v>×</v>
      </c>
    </row>
    <row r="670" spans="1:26" x14ac:dyDescent="0.25">
      <c r="A670" s="47">
        <v>6185</v>
      </c>
      <c r="B670" s="20" t="str">
        <f>_xll.RssMarket(A670,"銘柄名称")</f>
        <v>ＳＭＮ</v>
      </c>
      <c r="C670" s="21">
        <f>_xll.RssMarket(A670,"現在値")</f>
        <v>324</v>
      </c>
      <c r="D670" s="20" t="str">
        <f>_xll.RssMarket(A670,"現在値詳細時刻")</f>
        <v>15:00:00</v>
      </c>
      <c r="E670" s="22">
        <f>_xll.RssMarket(A670,"前日比")</f>
        <v>-6</v>
      </c>
      <c r="F670" s="23">
        <f>_xll.RssMarket(A670,"前日比率")/100</f>
        <v>-1.8200000000000001E-2</v>
      </c>
      <c r="G670" s="24" t="str">
        <f>IFERROR(VLOOKUP(A670,取得元!$A$2:$F$501,2,FALSE),"-")</f>
        <v>-</v>
      </c>
      <c r="H670" s="24" t="str">
        <f>IFERROR(VLOOKUP(A670,取得元!$A$2:$F$501,3,FALSE),"-")</f>
        <v>-</v>
      </c>
      <c r="I670" s="24" t="str">
        <f>IFERROR(VLOOKUP(A670,取得元!$A$2:$F$501,4,FALSE),"-")</f>
        <v>-</v>
      </c>
      <c r="J670" s="5" t="str">
        <f>IFERROR(VLOOKUP(A670,取得元!$A$2:$F$501,5,FALSE),"-")</f>
        <v>-</v>
      </c>
      <c r="K670" s="25" t="str">
        <f>IFERROR(VLOOKUP(A670,取得元!$A$2:$F$501,6,FALSE)/100,"-")</f>
        <v>-</v>
      </c>
      <c r="L670" s="21">
        <f>_xll.RssMarket(A670,"始値")</f>
        <v>330</v>
      </c>
      <c r="M670" s="4">
        <f t="shared" si="65"/>
        <v>-1.8181818181818188E-2</v>
      </c>
      <c r="N670" s="21">
        <f>_xll.RssMarket(A670,"高値")</f>
        <v>330</v>
      </c>
      <c r="O670" s="4">
        <f t="shared" si="66"/>
        <v>-1.8181818181818188E-2</v>
      </c>
      <c r="P670" s="21">
        <f>_xll.RssMarket(A670,"安値")</f>
        <v>318</v>
      </c>
      <c r="Q670" s="4">
        <f t="shared" si="67"/>
        <v>1.8867924528301883E-2</v>
      </c>
      <c r="R670" s="21">
        <f>_xll.RssMarket(A670,"後場始値")</f>
        <v>322</v>
      </c>
      <c r="S670" s="25">
        <f t="shared" si="68"/>
        <v>6.2111801242235032E-3</v>
      </c>
      <c r="T670" s="7">
        <f>_xll.RssMarket(A670,"出来高加重平均")</f>
        <v>323.53809999999999</v>
      </c>
      <c r="U670" s="4">
        <f t="shared" si="69"/>
        <v>1.4276525701302223E-3</v>
      </c>
      <c r="V670" s="21">
        <f>_xll.RssMarket(A670,"出来高")</f>
        <v>47200</v>
      </c>
      <c r="W670" s="21">
        <f>_xll.RssMarket(A670,"売買代金")</f>
        <v>15271</v>
      </c>
      <c r="X670" s="20" t="str">
        <f>_xll.RssMarket(A670,"決算発表日")</f>
        <v>2024/01/31</v>
      </c>
      <c r="Y670" s="26" t="str">
        <f>IF(C670&gt;_xll.RssMarket(A670,"年初来高値"),"○","×")</f>
        <v>×</v>
      </c>
      <c r="Z670" s="27" t="str">
        <f>IF(C670&lt;=_xll.RssMarket(A670,"年初来安値"),"○","×")</f>
        <v>×</v>
      </c>
    </row>
    <row r="671" spans="1:26" x14ac:dyDescent="0.25">
      <c r="A671" s="49">
        <v>6186</v>
      </c>
      <c r="B671" s="20" t="str">
        <f>_xll.RssMarket(A671,"銘柄名称")</f>
        <v>一蔵</v>
      </c>
      <c r="C671" s="21">
        <f>_xll.RssMarket(A671,"現在値")</f>
        <v>618</v>
      </c>
      <c r="D671" s="20" t="str">
        <f>_xll.RssMarket(A671,"現在値詳細時刻")</f>
        <v>15:00:00</v>
      </c>
      <c r="E671" s="22">
        <f>_xll.RssMarket(A671,"前日比")</f>
        <v>-6</v>
      </c>
      <c r="F671" s="23">
        <f>_xll.RssMarket(A671,"前日比率")/100</f>
        <v>-9.5999999999999992E-3</v>
      </c>
      <c r="G671" s="24" t="str">
        <f>IFERROR(VLOOKUP(A671,取得元!$A$2:$F$501,2,FALSE),"-")</f>
        <v>-</v>
      </c>
      <c r="H671" s="24" t="str">
        <f>IFERROR(VLOOKUP(A671,取得元!$A$2:$F$501,3,FALSE),"-")</f>
        <v>-</v>
      </c>
      <c r="I671" s="24" t="str">
        <f>IFERROR(VLOOKUP(A671,取得元!$A$2:$F$501,4,FALSE),"-")</f>
        <v>-</v>
      </c>
      <c r="J671" s="5" t="str">
        <f>IFERROR(VLOOKUP(A671,取得元!$A$2:$F$501,5,FALSE),"-")</f>
        <v>-</v>
      </c>
      <c r="K671" s="25" t="str">
        <f>IFERROR(VLOOKUP(A671,取得元!$A$2:$F$501,6,FALSE)/100,"-")</f>
        <v>-</v>
      </c>
      <c r="L671" s="21">
        <f>_xll.RssMarket(A671,"始値")</f>
        <v>626</v>
      </c>
      <c r="M671" s="4">
        <f t="shared" si="65"/>
        <v>-1.2779552715655007E-2</v>
      </c>
      <c r="N671" s="21">
        <f>_xll.RssMarket(A671,"高値")</f>
        <v>626</v>
      </c>
      <c r="O671" s="4">
        <f t="shared" si="66"/>
        <v>-1.2779552715655007E-2</v>
      </c>
      <c r="P671" s="21">
        <f>_xll.RssMarket(A671,"安値")</f>
        <v>618</v>
      </c>
      <c r="Q671" s="4">
        <f t="shared" si="67"/>
        <v>0</v>
      </c>
      <c r="R671" s="21">
        <f>_xll.RssMarket(A671,"後場始値")</f>
        <v>624</v>
      </c>
      <c r="S671" s="25">
        <f t="shared" si="68"/>
        <v>-9.6153846153845812E-3</v>
      </c>
      <c r="T671" s="7">
        <f>_xll.RssMarket(A671,"出来高加重平均")</f>
        <v>621.62159999999994</v>
      </c>
      <c r="U671" s="4">
        <f t="shared" si="69"/>
        <v>-5.8260523765581995E-3</v>
      </c>
      <c r="V671" s="21">
        <f>_xll.RssMarket(A671,"出来高")</f>
        <v>7400</v>
      </c>
      <c r="W671" s="21">
        <f>_xll.RssMarket(A671,"売買代金")</f>
        <v>4600</v>
      </c>
      <c r="X671" s="20" t="str">
        <f>_xll.RssMarket(A671,"決算発表日")</f>
        <v>2024/02/09</v>
      </c>
      <c r="Y671" s="26" t="str">
        <f>IF(C671&gt;_xll.RssMarket(A671,"年初来高値"),"○","×")</f>
        <v>×</v>
      </c>
      <c r="Z671" s="27" t="str">
        <f>IF(C671&lt;=_xll.RssMarket(A671,"年初来安値"),"○","×")</f>
        <v>×</v>
      </c>
    </row>
    <row r="672" spans="1:26" x14ac:dyDescent="0.25">
      <c r="A672" s="47">
        <v>6188</v>
      </c>
      <c r="B672" s="20" t="str">
        <f>_xll.RssMarket(A672,"銘柄名称")</f>
        <v>富士ソフトサービスビュー</v>
      </c>
      <c r="C672" s="21">
        <f>_xll.RssMarket(A672,"現在値")</f>
        <v>614</v>
      </c>
      <c r="D672" s="20" t="str">
        <f>_xll.RssMarket(A672,"現在値詳細時刻")</f>
        <v>15:00:00</v>
      </c>
      <c r="E672" s="22">
        <f>_xll.RssMarket(A672,"前日比")</f>
        <v>0</v>
      </c>
      <c r="F672" s="23">
        <f>_xll.RssMarket(A672,"前日比率")/100</f>
        <v>0</v>
      </c>
      <c r="G672" s="24" t="str">
        <f>IFERROR(VLOOKUP(A672,取得元!$A$2:$F$501,2,FALSE),"-")</f>
        <v>-</v>
      </c>
      <c r="H672" s="24" t="str">
        <f>IFERROR(VLOOKUP(A672,取得元!$A$2:$F$501,3,FALSE),"-")</f>
        <v>-</v>
      </c>
      <c r="I672" s="24" t="str">
        <f>IFERROR(VLOOKUP(A672,取得元!$A$2:$F$501,4,FALSE),"-")</f>
        <v>-</v>
      </c>
      <c r="J672" s="5" t="str">
        <f>IFERROR(VLOOKUP(A672,取得元!$A$2:$F$501,5,FALSE),"-")</f>
        <v>-</v>
      </c>
      <c r="K672" s="25" t="str">
        <f>IFERROR(VLOOKUP(A672,取得元!$A$2:$F$501,6,FALSE)/100,"-")</f>
        <v>-</v>
      </c>
      <c r="L672" s="21">
        <f>_xll.RssMarket(A672,"始値")</f>
        <v>614</v>
      </c>
      <c r="M672" s="4">
        <f t="shared" si="65"/>
        <v>0</v>
      </c>
      <c r="N672" s="21">
        <f>_xll.RssMarket(A672,"高値")</f>
        <v>614</v>
      </c>
      <c r="O672" s="4">
        <f t="shared" si="66"/>
        <v>0</v>
      </c>
      <c r="P672" s="21">
        <f>_xll.RssMarket(A672,"安値")</f>
        <v>614</v>
      </c>
      <c r="Q672" s="4">
        <f t="shared" si="67"/>
        <v>0</v>
      </c>
      <c r="R672" s="21">
        <f>_xll.RssMarket(A672,"後場始値")</f>
        <v>614</v>
      </c>
      <c r="S672" s="25">
        <f t="shared" si="68"/>
        <v>0</v>
      </c>
      <c r="T672" s="7">
        <f>_xll.RssMarket(A672,"出来高加重平均")</f>
        <v>614</v>
      </c>
      <c r="U672" s="4">
        <f t="shared" si="69"/>
        <v>0</v>
      </c>
      <c r="V672" s="21">
        <f>_xll.RssMarket(A672,"出来高")</f>
        <v>1500</v>
      </c>
      <c r="W672" s="21">
        <f>_xll.RssMarket(A672,"売買代金")</f>
        <v>921</v>
      </c>
      <c r="X672" s="20" t="str">
        <f>_xll.RssMarket(A672,"決算発表日")</f>
        <v>-</v>
      </c>
      <c r="Y672" s="26" t="str">
        <f>IF(C672&gt;_xll.RssMarket(A672,"年初来高値"),"○","×")</f>
        <v>×</v>
      </c>
      <c r="Z672" s="27" t="str">
        <f>IF(C672&lt;=_xll.RssMarket(A672,"年初来安値"),"○","×")</f>
        <v>×</v>
      </c>
    </row>
    <row r="673" spans="1:26" x14ac:dyDescent="0.25">
      <c r="A673" s="49">
        <v>6190</v>
      </c>
      <c r="B673" s="20" t="str">
        <f>_xll.RssMarket(A673,"銘柄名称")</f>
        <v>フェニックスバイオ</v>
      </c>
      <c r="C673" s="21">
        <f>_xll.RssMarket(A673,"現在値")</f>
        <v>531</v>
      </c>
      <c r="D673" s="20" t="str">
        <f>_xll.RssMarket(A673,"現在値詳細時刻")</f>
        <v>15:00:00</v>
      </c>
      <c r="E673" s="22">
        <f>_xll.RssMarket(A673,"前日比")</f>
        <v>0</v>
      </c>
      <c r="F673" s="23">
        <f>_xll.RssMarket(A673,"前日比率")/100</f>
        <v>0</v>
      </c>
      <c r="G673" s="24" t="str">
        <f>IFERROR(VLOOKUP(A673,取得元!$A$2:$F$501,2,FALSE),"-")</f>
        <v>-</v>
      </c>
      <c r="H673" s="24" t="str">
        <f>IFERROR(VLOOKUP(A673,取得元!$A$2:$F$501,3,FALSE),"-")</f>
        <v>-</v>
      </c>
      <c r="I673" s="24" t="str">
        <f>IFERROR(VLOOKUP(A673,取得元!$A$2:$F$501,4,FALSE),"-")</f>
        <v>-</v>
      </c>
      <c r="J673" s="5" t="str">
        <f>IFERROR(VLOOKUP(A673,取得元!$A$2:$F$501,5,FALSE),"-")</f>
        <v>-</v>
      </c>
      <c r="K673" s="25" t="str">
        <f>IFERROR(VLOOKUP(A673,取得元!$A$2:$F$501,6,FALSE)/100,"-")</f>
        <v>-</v>
      </c>
      <c r="L673" s="21">
        <f>_xll.RssMarket(A673,"始値")</f>
        <v>531</v>
      </c>
      <c r="M673" s="4">
        <f t="shared" si="65"/>
        <v>0</v>
      </c>
      <c r="N673" s="21">
        <f>_xll.RssMarket(A673,"高値")</f>
        <v>531</v>
      </c>
      <c r="O673" s="4">
        <f t="shared" si="66"/>
        <v>0</v>
      </c>
      <c r="P673" s="21">
        <f>_xll.RssMarket(A673,"安値")</f>
        <v>525</v>
      </c>
      <c r="Q673" s="4">
        <f t="shared" si="67"/>
        <v>1.1428571428571344E-2</v>
      </c>
      <c r="R673" s="21">
        <f>_xll.RssMarket(A673,"後場始値")</f>
        <v>530</v>
      </c>
      <c r="S673" s="25">
        <f t="shared" si="68"/>
        <v>1.8867924528302993E-3</v>
      </c>
      <c r="T673" s="7">
        <f>_xll.RssMarket(A673,"出来高加重平均")</f>
        <v>528.57140000000004</v>
      </c>
      <c r="U673" s="4">
        <f t="shared" si="69"/>
        <v>4.5946488970078914E-3</v>
      </c>
      <c r="V673" s="21">
        <f>_xll.RssMarket(A673,"出来高")</f>
        <v>2100</v>
      </c>
      <c r="W673" s="21">
        <f>_xll.RssMarket(A673,"売買代金")</f>
        <v>1110</v>
      </c>
      <c r="X673" s="20" t="str">
        <f>_xll.RssMarket(A673,"決算発表日")</f>
        <v>2024/02/14</v>
      </c>
      <c r="Y673" s="26" t="str">
        <f>IF(C673&gt;_xll.RssMarket(A673,"年初来高値"),"○","×")</f>
        <v>×</v>
      </c>
      <c r="Z673" s="27" t="str">
        <f>IF(C673&lt;=_xll.RssMarket(A673,"年初来安値"),"○","×")</f>
        <v>×</v>
      </c>
    </row>
    <row r="674" spans="1:26" x14ac:dyDescent="0.25">
      <c r="A674" s="47">
        <v>6192</v>
      </c>
      <c r="B674" s="20" t="str">
        <f>_xll.RssMarket(A674,"銘柄名称")</f>
        <v/>
      </c>
      <c r="C674" s="21" t="str">
        <f>_xll.RssMarket(A674,"現在値")</f>
        <v/>
      </c>
      <c r="D674" s="20" t="str">
        <f>_xll.RssMarket(A674,"現在値詳細時刻")</f>
        <v/>
      </c>
      <c r="E674" s="22" t="str">
        <f>_xll.RssMarket(A674,"前日比")</f>
        <v/>
      </c>
      <c r="F674" s="23" t="e">
        <f>_xll.RssMarket(A674,"前日比率")/100</f>
        <v>#VALUE!</v>
      </c>
      <c r="G674" s="24" t="str">
        <f>IFERROR(VLOOKUP(A674,取得元!$A$2:$F$501,2,FALSE),"-")</f>
        <v>-</v>
      </c>
      <c r="H674" s="24" t="str">
        <f>IFERROR(VLOOKUP(A674,取得元!$A$2:$F$501,3,FALSE),"-")</f>
        <v>-</v>
      </c>
      <c r="I674" s="24" t="str">
        <f>IFERROR(VLOOKUP(A674,取得元!$A$2:$F$501,4,FALSE),"-")</f>
        <v>-</v>
      </c>
      <c r="J674" s="5" t="str">
        <f>IFERROR(VLOOKUP(A674,取得元!$A$2:$F$501,5,FALSE),"-")</f>
        <v>-</v>
      </c>
      <c r="K674" s="25" t="str">
        <f>IFERROR(VLOOKUP(A674,取得元!$A$2:$F$501,6,FALSE)/100,"-")</f>
        <v>-</v>
      </c>
      <c r="L674" s="21" t="str">
        <f>_xll.RssMarket(A674,"始値")</f>
        <v/>
      </c>
      <c r="M674" s="4" t="e">
        <f t="shared" si="65"/>
        <v>#VALUE!</v>
      </c>
      <c r="N674" s="21" t="str">
        <f>_xll.RssMarket(A674,"高値")</f>
        <v/>
      </c>
      <c r="O674" s="4" t="e">
        <f t="shared" si="66"/>
        <v>#VALUE!</v>
      </c>
      <c r="P674" s="21" t="str">
        <f>_xll.RssMarket(A674,"安値")</f>
        <v/>
      </c>
      <c r="Q674" s="4" t="e">
        <f t="shared" si="67"/>
        <v>#VALUE!</v>
      </c>
      <c r="R674" s="21" t="str">
        <f>_xll.RssMarket(A674,"後場始値")</f>
        <v/>
      </c>
      <c r="S674" s="25" t="str">
        <f t="shared" si="68"/>
        <v>-</v>
      </c>
      <c r="T674" s="7" t="str">
        <f>_xll.RssMarket(A674,"出来高加重平均")</f>
        <v/>
      </c>
      <c r="U674" s="4" t="e">
        <f t="shared" si="69"/>
        <v>#VALUE!</v>
      </c>
      <c r="V674" s="21" t="str">
        <f>_xll.RssMarket(A674,"出来高")</f>
        <v/>
      </c>
      <c r="W674" s="21" t="str">
        <f>_xll.RssMarket(A674,"売買代金")</f>
        <v/>
      </c>
      <c r="X674" s="20" t="str">
        <f>_xll.RssMarket(A674,"決算発表日")</f>
        <v/>
      </c>
      <c r="Y674" s="26" t="str">
        <f>IF(C674&gt;_xll.RssMarket(A674,"年初来高値"),"○","×")</f>
        <v>×</v>
      </c>
      <c r="Z674" s="27" t="str">
        <f>IF(C674&lt;=_xll.RssMarket(A674,"年初来安値"),"○","×")</f>
        <v>○</v>
      </c>
    </row>
    <row r="675" spans="1:26" x14ac:dyDescent="0.25">
      <c r="A675" s="49">
        <v>6194</v>
      </c>
      <c r="B675" s="20" t="str">
        <f>_xll.RssMarket(A675,"銘柄名称")</f>
        <v>アトラエ</v>
      </c>
      <c r="C675" s="21">
        <f>_xll.RssMarket(A675,"現在値")</f>
        <v>665</v>
      </c>
      <c r="D675" s="20" t="str">
        <f>_xll.RssMarket(A675,"現在値詳細時刻")</f>
        <v>15:00:00</v>
      </c>
      <c r="E675" s="22">
        <f>_xll.RssMarket(A675,"前日比")</f>
        <v>-22</v>
      </c>
      <c r="F675" s="23">
        <f>_xll.RssMarket(A675,"前日比率")/100</f>
        <v>-3.2000000000000001E-2</v>
      </c>
      <c r="G675" s="24" t="str">
        <f>IFERROR(VLOOKUP(A675,取得元!$A$2:$F$501,2,FALSE),"-")</f>
        <v>-</v>
      </c>
      <c r="H675" s="24" t="str">
        <f>IFERROR(VLOOKUP(A675,取得元!$A$2:$F$501,3,FALSE),"-")</f>
        <v>-</v>
      </c>
      <c r="I675" s="24" t="str">
        <f>IFERROR(VLOOKUP(A675,取得元!$A$2:$F$501,4,FALSE),"-")</f>
        <v>-</v>
      </c>
      <c r="J675" s="5" t="str">
        <f>IFERROR(VLOOKUP(A675,取得元!$A$2:$F$501,5,FALSE),"-")</f>
        <v>-</v>
      </c>
      <c r="K675" s="25" t="str">
        <f>IFERROR(VLOOKUP(A675,取得元!$A$2:$F$501,6,FALSE)/100,"-")</f>
        <v>-</v>
      </c>
      <c r="L675" s="21">
        <f>_xll.RssMarket(A675,"始値")</f>
        <v>687</v>
      </c>
      <c r="M675" s="4">
        <f t="shared" si="65"/>
        <v>-3.2023289665211063E-2</v>
      </c>
      <c r="N675" s="21">
        <f>_xll.RssMarket(A675,"高値")</f>
        <v>687</v>
      </c>
      <c r="O675" s="4">
        <f t="shared" si="66"/>
        <v>-3.2023289665211063E-2</v>
      </c>
      <c r="P675" s="21">
        <f>_xll.RssMarket(A675,"安値")</f>
        <v>657</v>
      </c>
      <c r="Q675" s="4">
        <f t="shared" si="67"/>
        <v>1.2176560121765601E-2</v>
      </c>
      <c r="R675" s="21">
        <f>_xll.RssMarket(A675,"後場始値")</f>
        <v>668</v>
      </c>
      <c r="S675" s="25">
        <f t="shared" si="68"/>
        <v>-4.4910179640718084E-3</v>
      </c>
      <c r="T675" s="7">
        <f>_xll.RssMarket(A675,"出来高加重平均")</f>
        <v>666.6694</v>
      </c>
      <c r="U675" s="4">
        <f t="shared" si="69"/>
        <v>-2.5040897332321288E-3</v>
      </c>
      <c r="V675" s="21">
        <f>_xll.RssMarket(A675,"出来高")</f>
        <v>357900</v>
      </c>
      <c r="W675" s="21">
        <f>_xll.RssMarket(A675,"売買代金")</f>
        <v>238601</v>
      </c>
      <c r="X675" s="20" t="str">
        <f>_xll.RssMarket(A675,"決算発表日")</f>
        <v>2024/02/09</v>
      </c>
      <c r="Y675" s="26" t="str">
        <f>IF(C675&gt;_xll.RssMarket(A675,"年初来高値"),"○","×")</f>
        <v>×</v>
      </c>
      <c r="Z675" s="27" t="str">
        <f>IF(C675&lt;=_xll.RssMarket(A675,"年初来安値"),"○","×")</f>
        <v>×</v>
      </c>
    </row>
    <row r="676" spans="1:26" x14ac:dyDescent="0.25">
      <c r="A676" s="47">
        <v>6195</v>
      </c>
      <c r="B676" s="20" t="str">
        <f>_xll.RssMarket(A676,"銘柄名称")</f>
        <v>ホープ</v>
      </c>
      <c r="C676" s="21">
        <f>_xll.RssMarket(A676,"現在値")</f>
        <v>259</v>
      </c>
      <c r="D676" s="20" t="str">
        <f>_xll.RssMarket(A676,"現在値詳細時刻")</f>
        <v>15:00:00</v>
      </c>
      <c r="E676" s="22">
        <f>_xll.RssMarket(A676,"前日比")</f>
        <v>-1</v>
      </c>
      <c r="F676" s="23">
        <f>_xll.RssMarket(A676,"前日比率")/100</f>
        <v>-3.8E-3</v>
      </c>
      <c r="G676" s="24" t="str">
        <f>IFERROR(VLOOKUP(A676,取得元!$A$2:$F$501,2,FALSE),"-")</f>
        <v>-</v>
      </c>
      <c r="H676" s="24" t="str">
        <f>IFERROR(VLOOKUP(A676,取得元!$A$2:$F$501,3,FALSE),"-")</f>
        <v>-</v>
      </c>
      <c r="I676" s="24" t="str">
        <f>IFERROR(VLOOKUP(A676,取得元!$A$2:$F$501,4,FALSE),"-")</f>
        <v>-</v>
      </c>
      <c r="J676" s="5" t="str">
        <f>IFERROR(VLOOKUP(A676,取得元!$A$2:$F$501,5,FALSE),"-")</f>
        <v>-</v>
      </c>
      <c r="K676" s="25" t="str">
        <f>IFERROR(VLOOKUP(A676,取得元!$A$2:$F$501,6,FALSE)/100,"-")</f>
        <v>-</v>
      </c>
      <c r="L676" s="21">
        <f>_xll.RssMarket(A676,"始値")</f>
        <v>260</v>
      </c>
      <c r="M676" s="4">
        <f t="shared" si="65"/>
        <v>-3.8461538461538325E-3</v>
      </c>
      <c r="N676" s="21">
        <f>_xll.RssMarket(A676,"高値")</f>
        <v>260</v>
      </c>
      <c r="O676" s="4">
        <f t="shared" si="66"/>
        <v>-3.8461538461538325E-3</v>
      </c>
      <c r="P676" s="21">
        <f>_xll.RssMarket(A676,"安値")</f>
        <v>253</v>
      </c>
      <c r="Q676" s="4">
        <f t="shared" si="67"/>
        <v>2.3715415019762931E-2</v>
      </c>
      <c r="R676" s="21">
        <f>_xll.RssMarket(A676,"後場始値")</f>
        <v>255</v>
      </c>
      <c r="S676" s="25">
        <f t="shared" si="68"/>
        <v>1.5686274509803866E-2</v>
      </c>
      <c r="T676" s="7">
        <f>_xll.RssMarket(A676,"出来高加重平均")</f>
        <v>256.18419999999998</v>
      </c>
      <c r="U676" s="4">
        <f t="shared" si="69"/>
        <v>1.0991310158862344E-2</v>
      </c>
      <c r="V676" s="21">
        <f>_xll.RssMarket(A676,"出来高")</f>
        <v>76000</v>
      </c>
      <c r="W676" s="21">
        <f>_xll.RssMarket(A676,"売買代金")</f>
        <v>19470</v>
      </c>
      <c r="X676" s="20" t="str">
        <f>_xll.RssMarket(A676,"決算発表日")</f>
        <v>2024/02/13</v>
      </c>
      <c r="Y676" s="26" t="str">
        <f>IF(C676&gt;_xll.RssMarket(A676,"年初来高値"),"○","×")</f>
        <v>×</v>
      </c>
      <c r="Z676" s="27" t="str">
        <f>IF(C676&lt;=_xll.RssMarket(A676,"年初来安値"),"○","×")</f>
        <v>×</v>
      </c>
    </row>
    <row r="677" spans="1:26" x14ac:dyDescent="0.25">
      <c r="A677" s="49">
        <v>6203</v>
      </c>
      <c r="B677" s="20" t="str">
        <f>_xll.RssMarket(A677,"銘柄名称")</f>
        <v>豊和工業</v>
      </c>
      <c r="C677" s="21">
        <f>_xll.RssMarket(A677,"現在値")</f>
        <v>773</v>
      </c>
      <c r="D677" s="20" t="str">
        <f>_xll.RssMarket(A677,"現在値詳細時刻")</f>
        <v>15:00:00</v>
      </c>
      <c r="E677" s="22">
        <f>_xll.RssMarket(A677,"前日比")</f>
        <v>-1</v>
      </c>
      <c r="F677" s="23">
        <f>_xll.RssMarket(A677,"前日比率")/100</f>
        <v>-1.2999999999999999E-3</v>
      </c>
      <c r="G677" s="24" t="str">
        <f>IFERROR(VLOOKUP(A677,取得元!$A$2:$F$501,2,FALSE),"-")</f>
        <v>-</v>
      </c>
      <c r="H677" s="24" t="str">
        <f>IFERROR(VLOOKUP(A677,取得元!$A$2:$F$501,3,FALSE),"-")</f>
        <v>-</v>
      </c>
      <c r="I677" s="24" t="str">
        <f>IFERROR(VLOOKUP(A677,取得元!$A$2:$F$501,4,FALSE),"-")</f>
        <v>-</v>
      </c>
      <c r="J677" s="5" t="str">
        <f>IFERROR(VLOOKUP(A677,取得元!$A$2:$F$501,5,FALSE),"-")</f>
        <v>-</v>
      </c>
      <c r="K677" s="25" t="str">
        <f>IFERROR(VLOOKUP(A677,取得元!$A$2:$F$501,6,FALSE)/100,"-")</f>
        <v>-</v>
      </c>
      <c r="L677" s="21">
        <f>_xll.RssMarket(A677,"始値")</f>
        <v>771</v>
      </c>
      <c r="M677" s="4">
        <f t="shared" si="65"/>
        <v>2.5940337224383825E-3</v>
      </c>
      <c r="N677" s="21">
        <f>_xll.RssMarket(A677,"高値")</f>
        <v>775</v>
      </c>
      <c r="O677" s="4">
        <f t="shared" si="66"/>
        <v>-2.580645161290307E-3</v>
      </c>
      <c r="P677" s="21">
        <f>_xll.RssMarket(A677,"安値")</f>
        <v>767</v>
      </c>
      <c r="Q677" s="4">
        <f t="shared" si="67"/>
        <v>7.8226857887875312E-3</v>
      </c>
      <c r="R677" s="21">
        <f>_xll.RssMarket(A677,"後場始値")</f>
        <v>771</v>
      </c>
      <c r="S677" s="25">
        <f t="shared" si="68"/>
        <v>2.5940337224383825E-3</v>
      </c>
      <c r="T677" s="7">
        <f>_xll.RssMarket(A677,"出来高加重平均")</f>
        <v>770.72130000000004</v>
      </c>
      <c r="U677" s="4">
        <f t="shared" si="69"/>
        <v>2.9565810624410105E-3</v>
      </c>
      <c r="V677" s="21">
        <f>_xll.RssMarket(A677,"出来高")</f>
        <v>30500</v>
      </c>
      <c r="W677" s="21">
        <f>_xll.RssMarket(A677,"売買代金")</f>
        <v>23507</v>
      </c>
      <c r="X677" s="20" t="str">
        <f>_xll.RssMarket(A677,"決算発表日")</f>
        <v>2024/02/14</v>
      </c>
      <c r="Y677" s="26" t="str">
        <f>IF(C677&gt;_xll.RssMarket(A677,"年初来高値"),"○","×")</f>
        <v>×</v>
      </c>
      <c r="Z677" s="27" t="str">
        <f>IF(C677&lt;=_xll.RssMarket(A677,"年初来安値"),"○","×")</f>
        <v>×</v>
      </c>
    </row>
    <row r="678" spans="1:26" x14ac:dyDescent="0.25">
      <c r="A678" s="47">
        <v>6218</v>
      </c>
      <c r="B678" s="20" t="str">
        <f>_xll.RssMarket(A678,"銘柄名称")</f>
        <v>エンシュウ</v>
      </c>
      <c r="C678" s="21">
        <f>_xll.RssMarket(A678,"現在値")</f>
        <v>706</v>
      </c>
      <c r="D678" s="20" t="str">
        <f>_xll.RssMarket(A678,"現在値詳細時刻")</f>
        <v>15:00:00</v>
      </c>
      <c r="E678" s="22">
        <f>_xll.RssMarket(A678,"前日比")</f>
        <v>3</v>
      </c>
      <c r="F678" s="23">
        <f>_xll.RssMarket(A678,"前日比率")/100</f>
        <v>4.3E-3</v>
      </c>
      <c r="G678" s="24" t="str">
        <f>IFERROR(VLOOKUP(A678,取得元!$A$2:$F$501,2,FALSE),"-")</f>
        <v>-</v>
      </c>
      <c r="H678" s="24" t="str">
        <f>IFERROR(VLOOKUP(A678,取得元!$A$2:$F$501,3,FALSE),"-")</f>
        <v>-</v>
      </c>
      <c r="I678" s="24" t="str">
        <f>IFERROR(VLOOKUP(A678,取得元!$A$2:$F$501,4,FALSE),"-")</f>
        <v>-</v>
      </c>
      <c r="J678" s="5" t="str">
        <f>IFERROR(VLOOKUP(A678,取得元!$A$2:$F$501,5,FALSE),"-")</f>
        <v>-</v>
      </c>
      <c r="K678" s="25" t="str">
        <f>IFERROR(VLOOKUP(A678,取得元!$A$2:$F$501,6,FALSE)/100,"-")</f>
        <v>-</v>
      </c>
      <c r="L678" s="21">
        <f>_xll.RssMarket(A678,"始値")</f>
        <v>706</v>
      </c>
      <c r="M678" s="4">
        <f t="shared" si="65"/>
        <v>0</v>
      </c>
      <c r="N678" s="21">
        <f>_xll.RssMarket(A678,"高値")</f>
        <v>713</v>
      </c>
      <c r="O678" s="4">
        <f t="shared" si="66"/>
        <v>-9.817671809256634E-3</v>
      </c>
      <c r="P678" s="21">
        <f>_xll.RssMarket(A678,"安値")</f>
        <v>698</v>
      </c>
      <c r="Q678" s="4">
        <f t="shared" si="67"/>
        <v>1.1461318051575908E-2</v>
      </c>
      <c r="R678" s="21">
        <f>_xll.RssMarket(A678,"後場始値")</f>
        <v>711</v>
      </c>
      <c r="S678" s="25">
        <f t="shared" si="68"/>
        <v>-7.0323488045006544E-3</v>
      </c>
      <c r="T678" s="7">
        <f>_xll.RssMarket(A678,"出来高加重平均")</f>
        <v>707.02120000000002</v>
      </c>
      <c r="U678" s="4">
        <f t="shared" si="69"/>
        <v>-1.4443697020684043E-3</v>
      </c>
      <c r="V678" s="21">
        <f>_xll.RssMarket(A678,"出来高")</f>
        <v>23500</v>
      </c>
      <c r="W678" s="21">
        <f>_xll.RssMarket(A678,"売買代金")</f>
        <v>16615</v>
      </c>
      <c r="X678" s="20" t="str">
        <f>_xll.RssMarket(A678,"決算発表日")</f>
        <v>2024/02/13</v>
      </c>
      <c r="Y678" s="26" t="str">
        <f>IF(C678&gt;_xll.RssMarket(A678,"年初来高値"),"○","×")</f>
        <v>×</v>
      </c>
      <c r="Z678" s="27" t="str">
        <f>IF(C678&lt;=_xll.RssMarket(A678,"年初来安値"),"○","×")</f>
        <v>×</v>
      </c>
    </row>
    <row r="679" spans="1:26" x14ac:dyDescent="0.25">
      <c r="A679" s="49">
        <v>6226</v>
      </c>
      <c r="B679" s="20" t="str">
        <f>_xll.RssMarket(A679,"銘柄名称")</f>
        <v>守谷輸送機工業</v>
      </c>
      <c r="C679" s="21">
        <f>_xll.RssMarket(A679,"現在値")</f>
        <v>1166</v>
      </c>
      <c r="D679" s="20" t="str">
        <f>_xll.RssMarket(A679,"現在値詳細時刻")</f>
        <v>15:00:00</v>
      </c>
      <c r="E679" s="22">
        <f>_xll.RssMarket(A679,"前日比")</f>
        <v>-7</v>
      </c>
      <c r="F679" s="23">
        <f>_xll.RssMarket(A679,"前日比率")/100</f>
        <v>-6.0000000000000001E-3</v>
      </c>
      <c r="G679" s="24" t="str">
        <f>IFERROR(VLOOKUP(A679,取得元!$A$2:$F$501,2,FALSE),"-")</f>
        <v>-</v>
      </c>
      <c r="H679" s="24" t="str">
        <f>IFERROR(VLOOKUP(A679,取得元!$A$2:$F$501,3,FALSE),"-")</f>
        <v>-</v>
      </c>
      <c r="I679" s="24" t="str">
        <f>IFERROR(VLOOKUP(A679,取得元!$A$2:$F$501,4,FALSE),"-")</f>
        <v>-</v>
      </c>
      <c r="J679" s="5" t="str">
        <f>IFERROR(VLOOKUP(A679,取得元!$A$2:$F$501,5,FALSE),"-")</f>
        <v>-</v>
      </c>
      <c r="K679" s="25" t="str">
        <f>IFERROR(VLOOKUP(A679,取得元!$A$2:$F$501,6,FALSE)/100,"-")</f>
        <v>-</v>
      </c>
      <c r="L679" s="21">
        <f>_xll.RssMarket(A679,"始値")</f>
        <v>1170</v>
      </c>
      <c r="M679" s="4">
        <f t="shared" si="65"/>
        <v>-3.4188034188034067E-3</v>
      </c>
      <c r="N679" s="21">
        <f>_xll.RssMarket(A679,"高値")</f>
        <v>1175</v>
      </c>
      <c r="O679" s="4">
        <f t="shared" si="66"/>
        <v>-7.659574468085073E-3</v>
      </c>
      <c r="P679" s="21">
        <f>_xll.RssMarket(A679,"安値")</f>
        <v>1151</v>
      </c>
      <c r="Q679" s="4">
        <f t="shared" si="67"/>
        <v>1.3032145960034658E-2</v>
      </c>
      <c r="R679" s="21">
        <f>_xll.RssMarket(A679,"後場始値")</f>
        <v>1163</v>
      </c>
      <c r="S679" s="25">
        <f t="shared" si="68"/>
        <v>2.579535683576939E-3</v>
      </c>
      <c r="T679" s="7">
        <f>_xll.RssMarket(A679,"出来高加重平均")</f>
        <v>1162.4725000000001</v>
      </c>
      <c r="U679" s="4">
        <f t="shared" si="69"/>
        <v>3.0344803855575364E-3</v>
      </c>
      <c r="V679" s="21">
        <f>_xll.RssMarket(A679,"出来高")</f>
        <v>36400</v>
      </c>
      <c r="W679" s="21">
        <f>_xll.RssMarket(A679,"売買代金")</f>
        <v>42314</v>
      </c>
      <c r="X679" s="20" t="str">
        <f>_xll.RssMarket(A679,"決算発表日")</f>
        <v>2024/02/13</v>
      </c>
      <c r="Y679" s="26" t="str">
        <f>IF(C679&gt;_xll.RssMarket(A679,"年初来高値"),"○","×")</f>
        <v>×</v>
      </c>
      <c r="Z679" s="27" t="str">
        <f>IF(C679&lt;=_xll.RssMarket(A679,"年初来安値"),"○","×")</f>
        <v>×</v>
      </c>
    </row>
    <row r="680" spans="1:26" x14ac:dyDescent="0.25">
      <c r="A680" s="48">
        <v>6233</v>
      </c>
      <c r="B680" s="20" t="str">
        <f>_xll.RssMarket(A680,"銘柄名称")</f>
        <v>ＫＬＡＳＳ</v>
      </c>
      <c r="C680" s="21">
        <f>_xll.RssMarket(A680,"現在値")</f>
        <v>541</v>
      </c>
      <c r="D680" s="20" t="str">
        <f>_xll.RssMarket(A680,"現在値詳細時刻")</f>
        <v>15:00:00</v>
      </c>
      <c r="E680" s="22">
        <f>_xll.RssMarket(A680,"前日比")</f>
        <v>1</v>
      </c>
      <c r="F680" s="23">
        <f>_xll.RssMarket(A680,"前日比率")/100</f>
        <v>1.9E-3</v>
      </c>
      <c r="G680" s="24" t="str">
        <f>IFERROR(VLOOKUP(A680,取得元!$A$2:$F$501,2,FALSE),"-")</f>
        <v>-</v>
      </c>
      <c r="H680" s="24" t="str">
        <f>IFERROR(VLOOKUP(A680,取得元!$A$2:$F$501,3,FALSE),"-")</f>
        <v>-</v>
      </c>
      <c r="I680" s="24" t="str">
        <f>IFERROR(VLOOKUP(A680,取得元!$A$2:$F$501,4,FALSE),"-")</f>
        <v>-</v>
      </c>
      <c r="J680" s="5" t="str">
        <f>IFERROR(VLOOKUP(A680,取得元!$A$2:$F$501,5,FALSE),"-")</f>
        <v>-</v>
      </c>
      <c r="K680" s="25" t="str">
        <f>IFERROR(VLOOKUP(A680,取得元!$A$2:$F$501,6,FALSE)/100,"-")</f>
        <v>-</v>
      </c>
      <c r="L680" s="21">
        <f>_xll.RssMarket(A680,"始値")</f>
        <v>540</v>
      </c>
      <c r="M680" s="4">
        <f t="shared" si="65"/>
        <v>1.8518518518517713E-3</v>
      </c>
      <c r="N680" s="21">
        <f>_xll.RssMarket(A680,"高値")</f>
        <v>542</v>
      </c>
      <c r="O680" s="4">
        <f t="shared" si="66"/>
        <v>-1.8450184501844769E-3</v>
      </c>
      <c r="P680" s="21">
        <f>_xll.RssMarket(A680,"安値")</f>
        <v>540</v>
      </c>
      <c r="Q680" s="4">
        <f t="shared" si="67"/>
        <v>1.8518518518517713E-3</v>
      </c>
      <c r="R680" s="21">
        <f>_xll.RssMarket(A680,"後場始値")</f>
        <v>542</v>
      </c>
      <c r="S680" s="25">
        <f t="shared" si="68"/>
        <v>-1.8450184501844769E-3</v>
      </c>
      <c r="T680" s="7">
        <f>_xll.RssMarket(A680,"出来高加重平均")</f>
        <v>540.83330000000001</v>
      </c>
      <c r="U680" s="4">
        <f t="shared" si="69"/>
        <v>3.0822806214048093E-4</v>
      </c>
      <c r="V680" s="21">
        <f>_xll.RssMarket(A680,"出来高")</f>
        <v>2400</v>
      </c>
      <c r="W680" s="21">
        <f>_xll.RssMarket(A680,"売買代金")</f>
        <v>1298</v>
      </c>
      <c r="X680" s="20" t="str">
        <f>_xll.RssMarket(A680,"決算発表日")</f>
        <v>2024/02/14</v>
      </c>
      <c r="Y680" s="26" t="str">
        <f>IF(C680&gt;_xll.RssMarket(A680,"年初来高値"),"○","×")</f>
        <v>×</v>
      </c>
      <c r="Z680" s="27" t="str">
        <f>IF(C680&lt;=_xll.RssMarket(A680,"年初来安値"),"○","×")</f>
        <v>×</v>
      </c>
    </row>
    <row r="681" spans="1:26" x14ac:dyDescent="0.25">
      <c r="A681" s="49">
        <v>6240</v>
      </c>
      <c r="B681" s="20" t="str">
        <f>_xll.RssMarket(A681,"銘柄名称")</f>
        <v>ヤマシンフィルタ</v>
      </c>
      <c r="C681" s="21">
        <f>_xll.RssMarket(A681,"現在値")</f>
        <v>361</v>
      </c>
      <c r="D681" s="20" t="str">
        <f>_xll.RssMarket(A681,"現在値詳細時刻")</f>
        <v>15:00:00</v>
      </c>
      <c r="E681" s="22">
        <f>_xll.RssMarket(A681,"前日比")</f>
        <v>-2</v>
      </c>
      <c r="F681" s="23">
        <f>_xll.RssMarket(A681,"前日比率")/100</f>
        <v>-5.5000000000000005E-3</v>
      </c>
      <c r="G681" s="24" t="str">
        <f>IFERROR(VLOOKUP(A681,取得元!$A$2:$F$501,2,FALSE),"-")</f>
        <v>-</v>
      </c>
      <c r="H681" s="24" t="str">
        <f>IFERROR(VLOOKUP(A681,取得元!$A$2:$F$501,3,FALSE),"-")</f>
        <v>-</v>
      </c>
      <c r="I681" s="24" t="str">
        <f>IFERROR(VLOOKUP(A681,取得元!$A$2:$F$501,4,FALSE),"-")</f>
        <v>-</v>
      </c>
      <c r="J681" s="5" t="str">
        <f>IFERROR(VLOOKUP(A681,取得元!$A$2:$F$501,5,FALSE),"-")</f>
        <v>-</v>
      </c>
      <c r="K681" s="25" t="str">
        <f>IFERROR(VLOOKUP(A681,取得元!$A$2:$F$501,6,FALSE)/100,"-")</f>
        <v>-</v>
      </c>
      <c r="L681" s="21">
        <f>_xll.RssMarket(A681,"始値")</f>
        <v>357</v>
      </c>
      <c r="M681" s="4">
        <f t="shared" si="65"/>
        <v>1.1204481792717047E-2</v>
      </c>
      <c r="N681" s="21">
        <f>_xll.RssMarket(A681,"高値")</f>
        <v>364</v>
      </c>
      <c r="O681" s="4">
        <f t="shared" si="66"/>
        <v>-8.2417582417582125E-3</v>
      </c>
      <c r="P681" s="21">
        <f>_xll.RssMarket(A681,"安値")</f>
        <v>349</v>
      </c>
      <c r="Q681" s="4">
        <f t="shared" si="67"/>
        <v>3.4383954154727725E-2</v>
      </c>
      <c r="R681" s="21">
        <f>_xll.RssMarket(A681,"後場始値")</f>
        <v>360</v>
      </c>
      <c r="S681" s="25">
        <f t="shared" si="68"/>
        <v>2.7777777777777679E-3</v>
      </c>
      <c r="T681" s="7">
        <f>_xll.RssMarket(A681,"出来高加重平均")</f>
        <v>357.35469999999998</v>
      </c>
      <c r="U681" s="4">
        <f t="shared" si="69"/>
        <v>1.0200789299819046E-2</v>
      </c>
      <c r="V681" s="21">
        <f>_xll.RssMarket(A681,"出来高")</f>
        <v>776500</v>
      </c>
      <c r="W681" s="21">
        <f>_xll.RssMarket(A681,"売買代金")</f>
        <v>277486</v>
      </c>
      <c r="X681" s="20" t="str">
        <f>_xll.RssMarket(A681,"決算発表日")</f>
        <v>2024/02/05</v>
      </c>
      <c r="Y681" s="26" t="str">
        <f>IF(C681&gt;_xll.RssMarket(A681,"年初来高値"),"○","×")</f>
        <v>×</v>
      </c>
      <c r="Z681" s="27" t="str">
        <f>IF(C681&lt;=_xll.RssMarket(A681,"年初来安値"),"○","×")</f>
        <v>×</v>
      </c>
    </row>
    <row r="682" spans="1:26" x14ac:dyDescent="0.25">
      <c r="A682" s="47">
        <v>6255</v>
      </c>
      <c r="B682" s="20" t="str">
        <f>_xll.RssMarket(A682,"銘柄名称")</f>
        <v>エヌ・ピー・シー</v>
      </c>
      <c r="C682" s="21">
        <f>_xll.RssMarket(A682,"現在値")</f>
        <v>633</v>
      </c>
      <c r="D682" s="20" t="str">
        <f>_xll.RssMarket(A682,"現在値詳細時刻")</f>
        <v>15:00:00</v>
      </c>
      <c r="E682" s="22">
        <f>_xll.RssMarket(A682,"前日比")</f>
        <v>-3</v>
      </c>
      <c r="F682" s="23">
        <f>_xll.RssMarket(A682,"前日比率")/100</f>
        <v>-4.6999999999999993E-3</v>
      </c>
      <c r="G682" s="24" t="str">
        <f>IFERROR(VLOOKUP(A682,取得元!$A$2:$F$501,2,FALSE),"-")</f>
        <v>-</v>
      </c>
      <c r="H682" s="24" t="str">
        <f>IFERROR(VLOOKUP(A682,取得元!$A$2:$F$501,3,FALSE),"-")</f>
        <v>-</v>
      </c>
      <c r="I682" s="24" t="str">
        <f>IFERROR(VLOOKUP(A682,取得元!$A$2:$F$501,4,FALSE),"-")</f>
        <v>-</v>
      </c>
      <c r="J682" s="5" t="str">
        <f>IFERROR(VLOOKUP(A682,取得元!$A$2:$F$501,5,FALSE),"-")</f>
        <v>-</v>
      </c>
      <c r="K682" s="25" t="str">
        <f>IFERROR(VLOOKUP(A682,取得元!$A$2:$F$501,6,FALSE)/100,"-")</f>
        <v>-</v>
      </c>
      <c r="L682" s="21">
        <f>_xll.RssMarket(A682,"始値")</f>
        <v>632</v>
      </c>
      <c r="M682" s="4">
        <f t="shared" si="65"/>
        <v>1.5822784810126667E-3</v>
      </c>
      <c r="N682" s="21">
        <f>_xll.RssMarket(A682,"高値")</f>
        <v>639</v>
      </c>
      <c r="O682" s="4">
        <f t="shared" si="66"/>
        <v>-9.3896713615023719E-3</v>
      </c>
      <c r="P682" s="21">
        <f>_xll.RssMarket(A682,"安値")</f>
        <v>630</v>
      </c>
      <c r="Q682" s="4">
        <f t="shared" si="67"/>
        <v>4.761904761904745E-3</v>
      </c>
      <c r="R682" s="21">
        <f>_xll.RssMarket(A682,"後場始値")</f>
        <v>637</v>
      </c>
      <c r="S682" s="25">
        <f t="shared" si="68"/>
        <v>-6.2794348508634634E-3</v>
      </c>
      <c r="T682" s="7">
        <f>_xll.RssMarket(A682,"出来高加重平均")</f>
        <v>632.846</v>
      </c>
      <c r="U682" s="4">
        <f t="shared" si="69"/>
        <v>2.4334514242019267E-4</v>
      </c>
      <c r="V682" s="21">
        <f>_xll.RssMarket(A682,"出来高")</f>
        <v>205900</v>
      </c>
      <c r="W682" s="21">
        <f>_xll.RssMarket(A682,"売買代金")</f>
        <v>130303</v>
      </c>
      <c r="X682" s="20" t="str">
        <f>_xll.RssMarket(A682,"決算発表日")</f>
        <v>2024/01/11</v>
      </c>
      <c r="Y682" s="26" t="str">
        <f>IF(C682&gt;_xll.RssMarket(A682,"年初来高値"),"○","×")</f>
        <v>×</v>
      </c>
      <c r="Z682" s="27" t="str">
        <f>IF(C682&lt;=_xll.RssMarket(A682,"年初来安値"),"○","×")</f>
        <v>×</v>
      </c>
    </row>
    <row r="683" spans="1:26" x14ac:dyDescent="0.25">
      <c r="A683" s="49">
        <v>6286</v>
      </c>
      <c r="B683" s="20" t="str">
        <f>_xll.RssMarket(A683,"銘柄名称")</f>
        <v>静甲</v>
      </c>
      <c r="C683" s="21">
        <f>_xll.RssMarket(A683,"現在値")</f>
        <v>795</v>
      </c>
      <c r="D683" s="20" t="str">
        <f>_xll.RssMarket(A683,"現在値詳細時刻")</f>
        <v>15:00:00</v>
      </c>
      <c r="E683" s="22">
        <f>_xll.RssMarket(A683,"前日比")</f>
        <v>68</v>
      </c>
      <c r="F683" s="23">
        <f>_xll.RssMarket(A683,"前日比率")/100</f>
        <v>9.35E-2</v>
      </c>
      <c r="G683" s="24" t="str">
        <f>IFERROR(VLOOKUP(A683,取得元!$A$2:$F$501,2,FALSE),"-")</f>
        <v>-</v>
      </c>
      <c r="H683" s="24" t="str">
        <f>IFERROR(VLOOKUP(A683,取得元!$A$2:$F$501,3,FALSE),"-")</f>
        <v>-</v>
      </c>
      <c r="I683" s="24" t="str">
        <f>IFERROR(VLOOKUP(A683,取得元!$A$2:$F$501,4,FALSE),"-")</f>
        <v>-</v>
      </c>
      <c r="J683" s="5" t="str">
        <f>IFERROR(VLOOKUP(A683,取得元!$A$2:$F$501,5,FALSE),"-")</f>
        <v>-</v>
      </c>
      <c r="K683" s="25" t="str">
        <f>IFERROR(VLOOKUP(A683,取得元!$A$2:$F$501,6,FALSE)/100,"-")</f>
        <v>-</v>
      </c>
      <c r="L683" s="21">
        <f>_xll.RssMarket(A683,"始値")</f>
        <v>727</v>
      </c>
      <c r="M683" s="4">
        <f t="shared" si="65"/>
        <v>9.3535075653369937E-2</v>
      </c>
      <c r="N683" s="21">
        <f>_xll.RssMarket(A683,"高値")</f>
        <v>795</v>
      </c>
      <c r="O683" s="4">
        <f t="shared" si="66"/>
        <v>0</v>
      </c>
      <c r="P683" s="21">
        <f>_xll.RssMarket(A683,"安値")</f>
        <v>727</v>
      </c>
      <c r="Q683" s="4">
        <f t="shared" si="67"/>
        <v>9.3535075653369937E-2</v>
      </c>
      <c r="R683" s="21">
        <f>_xll.RssMarket(A683,"後場始値")</f>
        <v>733</v>
      </c>
      <c r="S683" s="25">
        <f t="shared" si="68"/>
        <v>8.4583901773533476E-2</v>
      </c>
      <c r="T683" s="7">
        <f>_xll.RssMarket(A683,"出来高加重平均")</f>
        <v>755.48019999999997</v>
      </c>
      <c r="U683" s="4">
        <f t="shared" si="69"/>
        <v>5.2310834883561474E-2</v>
      </c>
      <c r="V683" s="21">
        <f>_xll.RssMarket(A683,"出来高")</f>
        <v>17700</v>
      </c>
      <c r="W683" s="21">
        <f>_xll.RssMarket(A683,"売買代金")</f>
        <v>13372</v>
      </c>
      <c r="X683" s="20" t="str">
        <f>_xll.RssMarket(A683,"決算発表日")</f>
        <v>2024/02/07</v>
      </c>
      <c r="Y683" s="26" t="str">
        <f>IF(C683&gt;_xll.RssMarket(A683,"年初来高値"),"○","×")</f>
        <v>×</v>
      </c>
      <c r="Z683" s="27" t="str">
        <f>IF(C683&lt;=_xll.RssMarket(A683,"年初来安値"),"○","×")</f>
        <v>×</v>
      </c>
    </row>
    <row r="684" spans="1:26" x14ac:dyDescent="0.25">
      <c r="A684" s="47">
        <v>6297</v>
      </c>
      <c r="B684" s="20" t="str">
        <f>_xll.RssMarket(A684,"銘柄名称")</f>
        <v>鉱研工業</v>
      </c>
      <c r="C684" s="21">
        <f>_xll.RssMarket(A684,"現在値")</f>
        <v>483</v>
      </c>
      <c r="D684" s="20" t="str">
        <f>_xll.RssMarket(A684,"現在値詳細時刻")</f>
        <v>15:00:00</v>
      </c>
      <c r="E684" s="22">
        <f>_xll.RssMarket(A684,"前日比")</f>
        <v>0</v>
      </c>
      <c r="F684" s="23">
        <f>_xll.RssMarket(A684,"前日比率")/100</f>
        <v>0</v>
      </c>
      <c r="G684" s="24" t="str">
        <f>IFERROR(VLOOKUP(A684,取得元!$A$2:$F$501,2,FALSE),"-")</f>
        <v>-</v>
      </c>
      <c r="H684" s="24" t="str">
        <f>IFERROR(VLOOKUP(A684,取得元!$A$2:$F$501,3,FALSE),"-")</f>
        <v>-</v>
      </c>
      <c r="I684" s="24" t="str">
        <f>IFERROR(VLOOKUP(A684,取得元!$A$2:$F$501,4,FALSE),"-")</f>
        <v>-</v>
      </c>
      <c r="J684" s="5" t="str">
        <f>IFERROR(VLOOKUP(A684,取得元!$A$2:$F$501,5,FALSE),"-")</f>
        <v>-</v>
      </c>
      <c r="K684" s="25" t="str">
        <f>IFERROR(VLOOKUP(A684,取得元!$A$2:$F$501,6,FALSE)/100,"-")</f>
        <v>-</v>
      </c>
      <c r="L684" s="21">
        <f>_xll.RssMarket(A684,"始値")</f>
        <v>482</v>
      </c>
      <c r="M684" s="4">
        <f t="shared" si="65"/>
        <v>2.0746887966804906E-3</v>
      </c>
      <c r="N684" s="21">
        <f>_xll.RssMarket(A684,"高値")</f>
        <v>487</v>
      </c>
      <c r="O684" s="4">
        <f t="shared" si="66"/>
        <v>-8.2135523613963146E-3</v>
      </c>
      <c r="P684" s="21">
        <f>_xll.RssMarket(A684,"安値")</f>
        <v>480</v>
      </c>
      <c r="Q684" s="4">
        <f t="shared" si="67"/>
        <v>6.2500000000000888E-3</v>
      </c>
      <c r="R684" s="21">
        <f>_xll.RssMarket(A684,"後場始値")</f>
        <v>483</v>
      </c>
      <c r="S684" s="25">
        <f t="shared" si="68"/>
        <v>0</v>
      </c>
      <c r="T684" s="7">
        <f>_xll.RssMarket(A684,"出来高加重平均")</f>
        <v>482.95330000000001</v>
      </c>
      <c r="U684" s="4">
        <f t="shared" si="69"/>
        <v>9.6696719952049648E-5</v>
      </c>
      <c r="V684" s="21">
        <f>_xll.RssMarket(A684,"出来高")</f>
        <v>19300</v>
      </c>
      <c r="W684" s="21">
        <f>_xll.RssMarket(A684,"売買代金")</f>
        <v>9321</v>
      </c>
      <c r="X684" s="20" t="str">
        <f>_xll.RssMarket(A684,"決算発表日")</f>
        <v>2024/02/13</v>
      </c>
      <c r="Y684" s="26" t="str">
        <f>IF(C684&gt;_xll.RssMarket(A684,"年初来高値"),"○","×")</f>
        <v>×</v>
      </c>
      <c r="Z684" s="27" t="str">
        <f>IF(C684&lt;=_xll.RssMarket(A684,"年初来安値"),"○","×")</f>
        <v>×</v>
      </c>
    </row>
    <row r="685" spans="1:26" x14ac:dyDescent="0.25">
      <c r="A685" s="49">
        <v>6298</v>
      </c>
      <c r="B685" s="20" t="str">
        <f>_xll.RssMarket(A685,"銘柄名称")</f>
        <v>ワイエイシイホールディングス</v>
      </c>
      <c r="C685" s="21">
        <f>_xll.RssMarket(A685,"現在値")</f>
        <v>2325</v>
      </c>
      <c r="D685" s="20" t="str">
        <f>_xll.RssMarket(A685,"現在値詳細時刻")</f>
        <v>15:00:00</v>
      </c>
      <c r="E685" s="22">
        <f>_xll.RssMarket(A685,"前日比")</f>
        <v>-73</v>
      </c>
      <c r="F685" s="23">
        <f>_xll.RssMarket(A685,"前日比率")/100</f>
        <v>-3.04E-2</v>
      </c>
      <c r="G685" s="24" t="str">
        <f>IFERROR(VLOOKUP(A685,取得元!$A$2:$F$501,2,FALSE),"-")</f>
        <v>-</v>
      </c>
      <c r="H685" s="24" t="str">
        <f>IFERROR(VLOOKUP(A685,取得元!$A$2:$F$501,3,FALSE),"-")</f>
        <v>-</v>
      </c>
      <c r="I685" s="24" t="str">
        <f>IFERROR(VLOOKUP(A685,取得元!$A$2:$F$501,4,FALSE),"-")</f>
        <v>-</v>
      </c>
      <c r="J685" s="5" t="str">
        <f>IFERROR(VLOOKUP(A685,取得元!$A$2:$F$501,5,FALSE),"-")</f>
        <v>-</v>
      </c>
      <c r="K685" s="25" t="str">
        <f>IFERROR(VLOOKUP(A685,取得元!$A$2:$F$501,6,FALSE)/100,"-")</f>
        <v>-</v>
      </c>
      <c r="L685" s="21">
        <f>_xll.RssMarket(A685,"始値")</f>
        <v>2398</v>
      </c>
      <c r="M685" s="4">
        <f t="shared" si="65"/>
        <v>-3.0442035029190961E-2</v>
      </c>
      <c r="N685" s="21">
        <f>_xll.RssMarket(A685,"高値")</f>
        <v>2407</v>
      </c>
      <c r="O685" s="4">
        <f t="shared" si="66"/>
        <v>-3.4067303697548845E-2</v>
      </c>
      <c r="P685" s="21">
        <f>_xll.RssMarket(A685,"安値")</f>
        <v>2320</v>
      </c>
      <c r="Q685" s="4">
        <f t="shared" si="67"/>
        <v>2.1551724137931494E-3</v>
      </c>
      <c r="R685" s="21">
        <f>_xll.RssMarket(A685,"後場始値")</f>
        <v>2345</v>
      </c>
      <c r="S685" s="25">
        <f t="shared" si="68"/>
        <v>-8.5287846481876262E-3</v>
      </c>
      <c r="T685" s="7">
        <f>_xll.RssMarket(A685,"出来高加重平均")</f>
        <v>2347.3780000000002</v>
      </c>
      <c r="U685" s="4">
        <f t="shared" si="69"/>
        <v>-9.5331897972973367E-3</v>
      </c>
      <c r="V685" s="21">
        <f>_xll.RssMarket(A685,"出来高")</f>
        <v>207100</v>
      </c>
      <c r="W685" s="21">
        <f>_xll.RssMarket(A685,"売買代金")</f>
        <v>486142</v>
      </c>
      <c r="X685" s="20" t="str">
        <f>_xll.RssMarket(A685,"決算発表日")</f>
        <v>2024/02/13</v>
      </c>
      <c r="Y685" s="26" t="str">
        <f>IF(C685&gt;_xll.RssMarket(A685,"年初来高値"),"○","×")</f>
        <v>×</v>
      </c>
      <c r="Z685" s="27" t="str">
        <f>IF(C685&lt;=_xll.RssMarket(A685,"年初来安値"),"○","×")</f>
        <v>×</v>
      </c>
    </row>
    <row r="686" spans="1:26" x14ac:dyDescent="0.25">
      <c r="A686" s="47">
        <v>6301</v>
      </c>
      <c r="B686" s="20" t="str">
        <f>_xll.RssMarket(A686,"銘柄名称")</f>
        <v>小松製作所</v>
      </c>
      <c r="C686" s="21">
        <f>_xll.RssMarket(A686,"現在値")</f>
        <v>4299</v>
      </c>
      <c r="D686" s="20" t="str">
        <f>_xll.RssMarket(A686,"現在値詳細時刻")</f>
        <v>15:00:00</v>
      </c>
      <c r="E686" s="22">
        <f>_xll.RssMarket(A686,"前日比")</f>
        <v>-4</v>
      </c>
      <c r="F686" s="23">
        <f>_xll.RssMarket(A686,"前日比率")/100</f>
        <v>-8.9999999999999998E-4</v>
      </c>
      <c r="G686" s="24" t="str">
        <f>IFERROR(VLOOKUP(A686,取得元!$A$2:$F$501,2,FALSE),"-")</f>
        <v>-</v>
      </c>
      <c r="H686" s="24" t="str">
        <f>IFERROR(VLOOKUP(A686,取得元!$A$2:$F$501,3,FALSE),"-")</f>
        <v>-</v>
      </c>
      <c r="I686" s="24" t="str">
        <f>IFERROR(VLOOKUP(A686,取得元!$A$2:$F$501,4,FALSE),"-")</f>
        <v>-</v>
      </c>
      <c r="J686" s="5" t="str">
        <f>IFERROR(VLOOKUP(A686,取得元!$A$2:$F$501,5,FALSE),"-")</f>
        <v>-</v>
      </c>
      <c r="K686" s="25" t="str">
        <f>IFERROR(VLOOKUP(A686,取得元!$A$2:$F$501,6,FALSE)/100,"-")</f>
        <v>-</v>
      </c>
      <c r="L686" s="21">
        <f>_xll.RssMarket(A686,"始値")</f>
        <v>4270</v>
      </c>
      <c r="M686" s="4">
        <f t="shared" si="65"/>
        <v>6.791569086651128E-3</v>
      </c>
      <c r="N686" s="21">
        <f>_xll.RssMarket(A686,"高値")</f>
        <v>4352</v>
      </c>
      <c r="O686" s="4">
        <f t="shared" si="66"/>
        <v>-1.2178308823529438E-2</v>
      </c>
      <c r="P686" s="21">
        <f>_xll.RssMarket(A686,"安値")</f>
        <v>4268</v>
      </c>
      <c r="Q686" s="4">
        <f t="shared" si="67"/>
        <v>7.2633552014995661E-3</v>
      </c>
      <c r="R686" s="21">
        <f>_xll.RssMarket(A686,"後場始値")</f>
        <v>4300</v>
      </c>
      <c r="S686" s="25">
        <f t="shared" si="68"/>
        <v>-2.3255813953493298E-4</v>
      </c>
      <c r="T686" s="7">
        <f>_xll.RssMarket(A686,"出来高加重平均")</f>
        <v>4306.1680999999999</v>
      </c>
      <c r="U686" s="4">
        <f t="shared" si="69"/>
        <v>-1.6646122105636874E-3</v>
      </c>
      <c r="V686" s="21">
        <f>_xll.RssMarket(A686,"出来高")</f>
        <v>3692500</v>
      </c>
      <c r="W686" s="21">
        <f>_xll.RssMarket(A686,"売買代金")</f>
        <v>15900526</v>
      </c>
      <c r="X686" s="20" t="str">
        <f>_xll.RssMarket(A686,"決算発表日")</f>
        <v>2024/01/30</v>
      </c>
      <c r="Y686" s="26" t="str">
        <f>IF(C686&gt;_xll.RssMarket(A686,"年初来高値"),"○","×")</f>
        <v>×</v>
      </c>
      <c r="Z686" s="27" t="str">
        <f>IF(C686&lt;=_xll.RssMarket(A686,"年初来安値"),"○","×")</f>
        <v>×</v>
      </c>
    </row>
    <row r="687" spans="1:26" x14ac:dyDescent="0.25">
      <c r="A687" s="49">
        <v>6305</v>
      </c>
      <c r="B687" s="20" t="str">
        <f>_xll.RssMarket(A687,"銘柄名称")</f>
        <v>日立建機</v>
      </c>
      <c r="C687" s="21">
        <f>_xll.RssMarket(A687,"現在値")</f>
        <v>4227</v>
      </c>
      <c r="D687" s="20" t="str">
        <f>_xll.RssMarket(A687,"現在値詳細時刻")</f>
        <v>15:00:00</v>
      </c>
      <c r="E687" s="22">
        <f>_xll.RssMarket(A687,"前日比")</f>
        <v>16</v>
      </c>
      <c r="F687" s="23">
        <f>_xll.RssMarket(A687,"前日比率")/100</f>
        <v>3.8E-3</v>
      </c>
      <c r="G687" s="24" t="str">
        <f>IFERROR(VLOOKUP(A687,取得元!$A$2:$F$501,2,FALSE),"-")</f>
        <v>-</v>
      </c>
      <c r="H687" s="24" t="str">
        <f>IFERROR(VLOOKUP(A687,取得元!$A$2:$F$501,3,FALSE),"-")</f>
        <v>-</v>
      </c>
      <c r="I687" s="24" t="str">
        <f>IFERROR(VLOOKUP(A687,取得元!$A$2:$F$501,4,FALSE),"-")</f>
        <v>-</v>
      </c>
      <c r="J687" s="5" t="str">
        <f>IFERROR(VLOOKUP(A687,取得元!$A$2:$F$501,5,FALSE),"-")</f>
        <v>-</v>
      </c>
      <c r="K687" s="25" t="str">
        <f>IFERROR(VLOOKUP(A687,取得元!$A$2:$F$501,6,FALSE)/100,"-")</f>
        <v>-</v>
      </c>
      <c r="L687" s="21">
        <f>_xll.RssMarket(A687,"始値")</f>
        <v>4187</v>
      </c>
      <c r="M687" s="4">
        <f t="shared" si="65"/>
        <v>9.5533795080009476E-3</v>
      </c>
      <c r="N687" s="21">
        <f>_xll.RssMarket(A687,"高値")</f>
        <v>4286</v>
      </c>
      <c r="O687" s="4">
        <f t="shared" si="66"/>
        <v>-1.3765748950069989E-2</v>
      </c>
      <c r="P687" s="21">
        <f>_xll.RssMarket(A687,"安値")</f>
        <v>4173</v>
      </c>
      <c r="Q687" s="4">
        <f t="shared" si="67"/>
        <v>1.294033069734013E-2</v>
      </c>
      <c r="R687" s="21">
        <f>_xll.RssMarket(A687,"後場始値")</f>
        <v>4265</v>
      </c>
      <c r="S687" s="25">
        <f t="shared" si="68"/>
        <v>-8.9097303634232405E-3</v>
      </c>
      <c r="T687" s="7">
        <f>_xll.RssMarket(A687,"出来高加重平均")</f>
        <v>4239.4879000000001</v>
      </c>
      <c r="U687" s="4">
        <f t="shared" si="69"/>
        <v>-2.9456152003641822E-3</v>
      </c>
      <c r="V687" s="21">
        <f>_xll.RssMarket(A687,"出来高")</f>
        <v>970700</v>
      </c>
      <c r="W687" s="21">
        <f>_xll.RssMarket(A687,"売買代金")</f>
        <v>4115271</v>
      </c>
      <c r="X687" s="20" t="str">
        <f>_xll.RssMarket(A687,"決算発表日")</f>
        <v>2024/01/26</v>
      </c>
      <c r="Y687" s="26" t="str">
        <f>IF(C687&gt;_xll.RssMarket(A687,"年初来高値"),"○","×")</f>
        <v>×</v>
      </c>
      <c r="Z687" s="27" t="str">
        <f>IF(C687&lt;=_xll.RssMarket(A687,"年初来安値"),"○","×")</f>
        <v>×</v>
      </c>
    </row>
    <row r="688" spans="1:26" x14ac:dyDescent="0.25">
      <c r="A688" s="47">
        <v>6330</v>
      </c>
      <c r="B688" s="20" t="str">
        <f>_xll.RssMarket(A688,"銘柄名称")</f>
        <v>東洋エンジニア</v>
      </c>
      <c r="C688" s="21">
        <f>_xll.RssMarket(A688,"現在値")</f>
        <v>809</v>
      </c>
      <c r="D688" s="20" t="str">
        <f>_xll.RssMarket(A688,"現在値詳細時刻")</f>
        <v>15:00:00</v>
      </c>
      <c r="E688" s="22">
        <f>_xll.RssMarket(A688,"前日比")</f>
        <v>14</v>
      </c>
      <c r="F688" s="23">
        <f>_xll.RssMarket(A688,"前日比率")/100</f>
        <v>1.7600000000000001E-2</v>
      </c>
      <c r="G688" s="24" t="str">
        <f>IFERROR(VLOOKUP(A688,取得元!$A$2:$F$501,2,FALSE),"-")</f>
        <v>-</v>
      </c>
      <c r="H688" s="24" t="str">
        <f>IFERROR(VLOOKUP(A688,取得元!$A$2:$F$501,3,FALSE),"-")</f>
        <v>-</v>
      </c>
      <c r="I688" s="24" t="str">
        <f>IFERROR(VLOOKUP(A688,取得元!$A$2:$F$501,4,FALSE),"-")</f>
        <v>-</v>
      </c>
      <c r="J688" s="5" t="str">
        <f>IFERROR(VLOOKUP(A688,取得元!$A$2:$F$501,5,FALSE),"-")</f>
        <v>-</v>
      </c>
      <c r="K688" s="25" t="str">
        <f>IFERROR(VLOOKUP(A688,取得元!$A$2:$F$501,6,FALSE)/100,"-")</f>
        <v>-</v>
      </c>
      <c r="L688" s="21">
        <f>_xll.RssMarket(A688,"始値")</f>
        <v>794</v>
      </c>
      <c r="M688" s="4">
        <f t="shared" si="65"/>
        <v>1.8891687657430767E-2</v>
      </c>
      <c r="N688" s="21">
        <f>_xll.RssMarket(A688,"高値")</f>
        <v>810</v>
      </c>
      <c r="O688" s="4">
        <f t="shared" si="66"/>
        <v>-1.2345679012345512E-3</v>
      </c>
      <c r="P688" s="21">
        <f>_xll.RssMarket(A688,"安値")</f>
        <v>788</v>
      </c>
      <c r="Q688" s="4">
        <f t="shared" si="67"/>
        <v>2.6649746192893398E-2</v>
      </c>
      <c r="R688" s="21">
        <f>_xll.RssMarket(A688,"後場始値")</f>
        <v>809</v>
      </c>
      <c r="S688" s="25">
        <f t="shared" si="68"/>
        <v>0</v>
      </c>
      <c r="T688" s="7">
        <f>_xll.RssMarket(A688,"出来高加重平均")</f>
        <v>804.04300000000001</v>
      </c>
      <c r="U688" s="4">
        <f t="shared" si="69"/>
        <v>6.1650931604404491E-3</v>
      </c>
      <c r="V688" s="21">
        <f>_xll.RssMarket(A688,"出来高")</f>
        <v>232500</v>
      </c>
      <c r="W688" s="21">
        <f>_xll.RssMarket(A688,"売買代金")</f>
        <v>186940</v>
      </c>
      <c r="X688" s="20" t="str">
        <f>_xll.RssMarket(A688,"決算発表日")</f>
        <v>2024/02/08</v>
      </c>
      <c r="Y688" s="26" t="str">
        <f>IF(C688&gt;_xll.RssMarket(A688,"年初来高値"),"○","×")</f>
        <v>×</v>
      </c>
      <c r="Z688" s="27" t="str">
        <f>IF(C688&lt;=_xll.RssMarket(A688,"年初来安値"),"○","×")</f>
        <v>×</v>
      </c>
    </row>
    <row r="689" spans="1:26" x14ac:dyDescent="0.25">
      <c r="A689" s="49">
        <v>6334</v>
      </c>
      <c r="B689" s="20" t="str">
        <f>_xll.RssMarket(A689,"銘柄名称")</f>
        <v>明治機械</v>
      </c>
      <c r="C689" s="21">
        <f>_xll.RssMarket(A689,"現在値")</f>
        <v>360</v>
      </c>
      <c r="D689" s="20" t="str">
        <f>_xll.RssMarket(A689,"現在値詳細時刻")</f>
        <v>15:00:00</v>
      </c>
      <c r="E689" s="22">
        <f>_xll.RssMarket(A689,"前日比")</f>
        <v>-9</v>
      </c>
      <c r="F689" s="23">
        <f>_xll.RssMarket(A689,"前日比率")/100</f>
        <v>-2.4399999999999998E-2</v>
      </c>
      <c r="G689" s="24" t="str">
        <f>IFERROR(VLOOKUP(A689,取得元!$A$2:$F$501,2,FALSE),"-")</f>
        <v>-</v>
      </c>
      <c r="H689" s="24" t="str">
        <f>IFERROR(VLOOKUP(A689,取得元!$A$2:$F$501,3,FALSE),"-")</f>
        <v>-</v>
      </c>
      <c r="I689" s="24" t="str">
        <f>IFERROR(VLOOKUP(A689,取得元!$A$2:$F$501,4,FALSE),"-")</f>
        <v>-</v>
      </c>
      <c r="J689" s="5" t="str">
        <f>IFERROR(VLOOKUP(A689,取得元!$A$2:$F$501,5,FALSE),"-")</f>
        <v>-</v>
      </c>
      <c r="K689" s="25" t="str">
        <f>IFERROR(VLOOKUP(A689,取得元!$A$2:$F$501,6,FALSE)/100,"-")</f>
        <v>-</v>
      </c>
      <c r="L689" s="21">
        <f>_xll.RssMarket(A689,"始値")</f>
        <v>370</v>
      </c>
      <c r="M689" s="4">
        <f t="shared" si="65"/>
        <v>-2.7027027027026973E-2</v>
      </c>
      <c r="N689" s="21">
        <f>_xll.RssMarket(A689,"高値")</f>
        <v>370</v>
      </c>
      <c r="O689" s="4">
        <f t="shared" si="66"/>
        <v>-2.7027027027026973E-2</v>
      </c>
      <c r="P689" s="21">
        <f>_xll.RssMarket(A689,"安値")</f>
        <v>360</v>
      </c>
      <c r="Q689" s="4">
        <f t="shared" si="67"/>
        <v>0</v>
      </c>
      <c r="R689" s="21">
        <f>_xll.RssMarket(A689,"後場始値")</f>
        <v>364</v>
      </c>
      <c r="S689" s="25">
        <f t="shared" si="68"/>
        <v>-1.098901098901095E-2</v>
      </c>
      <c r="T689" s="7">
        <f>_xll.RssMarket(A689,"出来高加重平均")</f>
        <v>363.8</v>
      </c>
      <c r="U689" s="4">
        <f t="shared" si="69"/>
        <v>-1.0445299615173154E-2</v>
      </c>
      <c r="V689" s="21">
        <f>_xll.RssMarket(A689,"出来高")</f>
        <v>20000</v>
      </c>
      <c r="W689" s="21">
        <f>_xll.RssMarket(A689,"売買代金")</f>
        <v>7276</v>
      </c>
      <c r="X689" s="20" t="str">
        <f>_xll.RssMarket(A689,"決算発表日")</f>
        <v>2024/02/13</v>
      </c>
      <c r="Y689" s="26" t="str">
        <f>IF(C689&gt;_xll.RssMarket(A689,"年初来高値"),"○","×")</f>
        <v>×</v>
      </c>
      <c r="Z689" s="27" t="str">
        <f>IF(C689&lt;=_xll.RssMarket(A689,"年初来安値"),"○","×")</f>
        <v>×</v>
      </c>
    </row>
    <row r="690" spans="1:26" x14ac:dyDescent="0.25">
      <c r="A690" s="47">
        <v>6336</v>
      </c>
      <c r="B690" s="20" t="str">
        <f>_xll.RssMarket(A690,"銘柄名称")</f>
        <v>石井表記</v>
      </c>
      <c r="C690" s="21">
        <f>_xll.RssMarket(A690,"現在値")</f>
        <v>699</v>
      </c>
      <c r="D690" s="20" t="str">
        <f>_xll.RssMarket(A690,"現在値詳細時刻")</f>
        <v>13:22:11</v>
      </c>
      <c r="E690" s="22">
        <f>_xll.RssMarket(A690,"前日比")</f>
        <v>-2</v>
      </c>
      <c r="F690" s="23">
        <f>_xll.RssMarket(A690,"前日比率")/100</f>
        <v>-2.8999999999999998E-3</v>
      </c>
      <c r="G690" s="24" t="str">
        <f>IFERROR(VLOOKUP(A690,取得元!$A$2:$F$501,2,FALSE),"-")</f>
        <v>-</v>
      </c>
      <c r="H690" s="24" t="str">
        <f>IFERROR(VLOOKUP(A690,取得元!$A$2:$F$501,3,FALSE),"-")</f>
        <v>-</v>
      </c>
      <c r="I690" s="24" t="str">
        <f>IFERROR(VLOOKUP(A690,取得元!$A$2:$F$501,4,FALSE),"-")</f>
        <v>-</v>
      </c>
      <c r="J690" s="5" t="str">
        <f>IFERROR(VLOOKUP(A690,取得元!$A$2:$F$501,5,FALSE),"-")</f>
        <v>-</v>
      </c>
      <c r="K690" s="25" t="str">
        <f>IFERROR(VLOOKUP(A690,取得元!$A$2:$F$501,6,FALSE)/100,"-")</f>
        <v>-</v>
      </c>
      <c r="L690" s="21">
        <f>_xll.RssMarket(A690,"始値")</f>
        <v>701</v>
      </c>
      <c r="M690" s="4">
        <f t="shared" si="65"/>
        <v>-2.8530670470755526E-3</v>
      </c>
      <c r="N690" s="21">
        <f>_xll.RssMarket(A690,"高値")</f>
        <v>705</v>
      </c>
      <c r="O690" s="4">
        <f t="shared" si="66"/>
        <v>-8.5106382978723527E-3</v>
      </c>
      <c r="P690" s="21">
        <f>_xll.RssMarket(A690,"安値")</f>
        <v>699</v>
      </c>
      <c r="Q690" s="4">
        <f t="shared" si="67"/>
        <v>0</v>
      </c>
      <c r="R690" s="21">
        <f>_xll.RssMarket(A690,"後場始値")</f>
        <v>705</v>
      </c>
      <c r="S690" s="25">
        <f t="shared" si="68"/>
        <v>-8.5106382978723527E-3</v>
      </c>
      <c r="T690" s="7">
        <f>_xll.RssMarket(A690,"出来高加重平均")</f>
        <v>702.66660000000002</v>
      </c>
      <c r="U690" s="4">
        <f t="shared" si="69"/>
        <v>-5.2181219372032794E-3</v>
      </c>
      <c r="V690" s="21">
        <f>_xll.RssMarket(A690,"出来高")</f>
        <v>1500</v>
      </c>
      <c r="W690" s="21">
        <f>_xll.RssMarket(A690,"売買代金")</f>
        <v>1054</v>
      </c>
      <c r="X690" s="20" t="str">
        <f>_xll.RssMarket(A690,"決算発表日")</f>
        <v>2024/03/15</v>
      </c>
      <c r="Y690" s="26" t="str">
        <f>IF(C690&gt;_xll.RssMarket(A690,"年初来高値"),"○","×")</f>
        <v>×</v>
      </c>
      <c r="Z690" s="27" t="str">
        <f>IF(C690&lt;=_xll.RssMarket(A690,"年初来安値"),"○","×")</f>
        <v>×</v>
      </c>
    </row>
    <row r="691" spans="1:26" x14ac:dyDescent="0.25">
      <c r="A691" s="49">
        <v>6343</v>
      </c>
      <c r="B691" s="20" t="str">
        <f>_xll.RssMarket(A691,"銘柄名称")</f>
        <v>フリージアマクロス</v>
      </c>
      <c r="C691" s="21">
        <f>_xll.RssMarket(A691,"現在値")</f>
        <v>105</v>
      </c>
      <c r="D691" s="20" t="str">
        <f>_xll.RssMarket(A691,"現在値詳細時刻")</f>
        <v>15:00:00</v>
      </c>
      <c r="E691" s="22">
        <f>_xll.RssMarket(A691,"前日比")</f>
        <v>1</v>
      </c>
      <c r="F691" s="23">
        <f>_xll.RssMarket(A691,"前日比率")/100</f>
        <v>9.5999999999999992E-3</v>
      </c>
      <c r="G691" s="24" t="str">
        <f>IFERROR(VLOOKUP(A691,取得元!$A$2:$F$501,2,FALSE),"-")</f>
        <v>-</v>
      </c>
      <c r="H691" s="24" t="str">
        <f>IFERROR(VLOOKUP(A691,取得元!$A$2:$F$501,3,FALSE),"-")</f>
        <v>-</v>
      </c>
      <c r="I691" s="24" t="str">
        <f>IFERROR(VLOOKUP(A691,取得元!$A$2:$F$501,4,FALSE),"-")</f>
        <v>-</v>
      </c>
      <c r="J691" s="5" t="str">
        <f>IFERROR(VLOOKUP(A691,取得元!$A$2:$F$501,5,FALSE),"-")</f>
        <v>-</v>
      </c>
      <c r="K691" s="25" t="str">
        <f>IFERROR(VLOOKUP(A691,取得元!$A$2:$F$501,6,FALSE)/100,"-")</f>
        <v>-</v>
      </c>
      <c r="L691" s="21">
        <f>_xll.RssMarket(A691,"始値")</f>
        <v>105</v>
      </c>
      <c r="M691" s="4">
        <f t="shared" si="65"/>
        <v>0</v>
      </c>
      <c r="N691" s="21">
        <f>_xll.RssMarket(A691,"高値")</f>
        <v>105</v>
      </c>
      <c r="O691" s="4">
        <f t="shared" si="66"/>
        <v>0</v>
      </c>
      <c r="P691" s="21">
        <f>_xll.RssMarket(A691,"安値")</f>
        <v>104</v>
      </c>
      <c r="Q691" s="4">
        <f t="shared" si="67"/>
        <v>9.6153846153845812E-3</v>
      </c>
      <c r="R691" s="21">
        <f>_xll.RssMarket(A691,"後場始値")</f>
        <v>105</v>
      </c>
      <c r="S691" s="25">
        <f t="shared" si="68"/>
        <v>0</v>
      </c>
      <c r="T691" s="7">
        <f>_xll.RssMarket(A691,"出来高加重平均")</f>
        <v>104.6666</v>
      </c>
      <c r="U691" s="4">
        <f t="shared" si="69"/>
        <v>3.1853523473581724E-3</v>
      </c>
      <c r="V691" s="21">
        <f>_xll.RssMarket(A691,"出来高")</f>
        <v>19500</v>
      </c>
      <c r="W691" s="21">
        <f>_xll.RssMarket(A691,"売買代金")</f>
        <v>2041</v>
      </c>
      <c r="X691" s="20" t="str">
        <f>_xll.RssMarket(A691,"決算発表日")</f>
        <v>2024/02/14</v>
      </c>
      <c r="Y691" s="26" t="str">
        <f>IF(C691&gt;_xll.RssMarket(A691,"年初来高値"),"○","×")</f>
        <v>×</v>
      </c>
      <c r="Z691" s="27" t="str">
        <f>IF(C691&lt;=_xll.RssMarket(A691,"年初来安値"),"○","×")</f>
        <v>×</v>
      </c>
    </row>
    <row r="692" spans="1:26" x14ac:dyDescent="0.25">
      <c r="A692" s="47">
        <v>6347</v>
      </c>
      <c r="B692" s="20" t="str">
        <f>_xll.RssMarket(A692,"銘柄名称")</f>
        <v>プラコー</v>
      </c>
      <c r="C692" s="21">
        <f>_xll.RssMarket(A692,"現在値")</f>
        <v>224</v>
      </c>
      <c r="D692" s="20" t="str">
        <f>_xll.RssMarket(A692,"現在値詳細時刻")</f>
        <v>15:00:00</v>
      </c>
      <c r="E692" s="22">
        <f>_xll.RssMarket(A692,"前日比")</f>
        <v>0</v>
      </c>
      <c r="F692" s="23">
        <f>_xll.RssMarket(A692,"前日比率")/100</f>
        <v>0</v>
      </c>
      <c r="G692" s="24" t="str">
        <f>IFERROR(VLOOKUP(A692,取得元!$A$2:$F$501,2,FALSE),"-")</f>
        <v>-</v>
      </c>
      <c r="H692" s="24" t="str">
        <f>IFERROR(VLOOKUP(A692,取得元!$A$2:$F$501,3,FALSE),"-")</f>
        <v>-</v>
      </c>
      <c r="I692" s="24" t="str">
        <f>IFERROR(VLOOKUP(A692,取得元!$A$2:$F$501,4,FALSE),"-")</f>
        <v>-</v>
      </c>
      <c r="J692" s="5" t="str">
        <f>IFERROR(VLOOKUP(A692,取得元!$A$2:$F$501,5,FALSE),"-")</f>
        <v>-</v>
      </c>
      <c r="K692" s="25" t="str">
        <f>IFERROR(VLOOKUP(A692,取得元!$A$2:$F$501,6,FALSE)/100,"-")</f>
        <v>-</v>
      </c>
      <c r="L692" s="21">
        <f>_xll.RssMarket(A692,"始値")</f>
        <v>222</v>
      </c>
      <c r="M692" s="4">
        <f t="shared" si="65"/>
        <v>9.009009009008917E-3</v>
      </c>
      <c r="N692" s="21">
        <f>_xll.RssMarket(A692,"高値")</f>
        <v>224</v>
      </c>
      <c r="O692" s="4">
        <f t="shared" si="66"/>
        <v>0</v>
      </c>
      <c r="P692" s="21">
        <f>_xll.RssMarket(A692,"安値")</f>
        <v>220</v>
      </c>
      <c r="Q692" s="4">
        <f t="shared" si="67"/>
        <v>1.8181818181818077E-2</v>
      </c>
      <c r="R692" s="21">
        <f>_xll.RssMarket(A692,"後場始値")</f>
        <v>223</v>
      </c>
      <c r="S692" s="25">
        <f t="shared" si="68"/>
        <v>4.484304932735439E-3</v>
      </c>
      <c r="T692" s="7">
        <f>_xll.RssMarket(A692,"出来高加重平均")</f>
        <v>221.42850000000001</v>
      </c>
      <c r="U692" s="4">
        <f t="shared" si="69"/>
        <v>1.1613229552654536E-2</v>
      </c>
      <c r="V692" s="21">
        <f>_xll.RssMarket(A692,"出来高")</f>
        <v>4900</v>
      </c>
      <c r="W692" s="21">
        <f>_xll.RssMarket(A692,"売買代金")</f>
        <v>1085</v>
      </c>
      <c r="X692" s="20" t="str">
        <f>_xll.RssMarket(A692,"決算発表日")</f>
        <v>2024/02/09</v>
      </c>
      <c r="Y692" s="26" t="str">
        <f>IF(C692&gt;_xll.RssMarket(A692,"年初来高値"),"○","×")</f>
        <v>×</v>
      </c>
      <c r="Z692" s="27" t="str">
        <f>IF(C692&lt;=_xll.RssMarket(A692,"年初来安値"),"○","×")</f>
        <v>×</v>
      </c>
    </row>
    <row r="693" spans="1:26" x14ac:dyDescent="0.25">
      <c r="A693" s="49">
        <v>6356</v>
      </c>
      <c r="B693" s="20" t="str">
        <f>_xll.RssMarket(A693,"銘柄名称")</f>
        <v>日本ギア工業</v>
      </c>
      <c r="C693" s="21">
        <f>_xll.RssMarket(A693,"現在値")</f>
        <v>667</v>
      </c>
      <c r="D693" s="20" t="str">
        <f>_xll.RssMarket(A693,"現在値詳細時刻")</f>
        <v>15:00:00</v>
      </c>
      <c r="E693" s="22">
        <f>_xll.RssMarket(A693,"前日比")</f>
        <v>0</v>
      </c>
      <c r="F693" s="23">
        <f>_xll.RssMarket(A693,"前日比率")/100</f>
        <v>0</v>
      </c>
      <c r="G693" s="24" t="str">
        <f>IFERROR(VLOOKUP(A693,取得元!$A$2:$F$501,2,FALSE),"-")</f>
        <v>-</v>
      </c>
      <c r="H693" s="24" t="str">
        <f>IFERROR(VLOOKUP(A693,取得元!$A$2:$F$501,3,FALSE),"-")</f>
        <v>-</v>
      </c>
      <c r="I693" s="24" t="str">
        <f>IFERROR(VLOOKUP(A693,取得元!$A$2:$F$501,4,FALSE),"-")</f>
        <v>-</v>
      </c>
      <c r="J693" s="5" t="str">
        <f>IFERROR(VLOOKUP(A693,取得元!$A$2:$F$501,5,FALSE),"-")</f>
        <v>-</v>
      </c>
      <c r="K693" s="25" t="str">
        <f>IFERROR(VLOOKUP(A693,取得元!$A$2:$F$501,6,FALSE)/100,"-")</f>
        <v>-</v>
      </c>
      <c r="L693" s="21">
        <f>_xll.RssMarket(A693,"始値")</f>
        <v>667</v>
      </c>
      <c r="M693" s="4">
        <f t="shared" si="65"/>
        <v>0</v>
      </c>
      <c r="N693" s="21">
        <f>_xll.RssMarket(A693,"高値")</f>
        <v>681</v>
      </c>
      <c r="O693" s="4">
        <f t="shared" si="66"/>
        <v>-2.0558002936857611E-2</v>
      </c>
      <c r="P693" s="21">
        <f>_xll.RssMarket(A693,"安値")</f>
        <v>661</v>
      </c>
      <c r="Q693" s="4">
        <f t="shared" si="67"/>
        <v>9.0771558245084094E-3</v>
      </c>
      <c r="R693" s="21">
        <f>_xll.RssMarket(A693,"後場始値")</f>
        <v>665</v>
      </c>
      <c r="S693" s="25">
        <f t="shared" si="68"/>
        <v>3.0075187969924588E-3</v>
      </c>
      <c r="T693" s="7">
        <f>_xll.RssMarket(A693,"出来高加重平均")</f>
        <v>668.63969999999995</v>
      </c>
      <c r="U693" s="4">
        <f t="shared" si="69"/>
        <v>-2.4522923182693779E-3</v>
      </c>
      <c r="V693" s="21">
        <f>_xll.RssMarket(A693,"出来高")</f>
        <v>202900</v>
      </c>
      <c r="W693" s="21">
        <f>_xll.RssMarket(A693,"売買代金")</f>
        <v>135667</v>
      </c>
      <c r="X693" s="20" t="str">
        <f>_xll.RssMarket(A693,"決算発表日")</f>
        <v>2024/01/30</v>
      </c>
      <c r="Y693" s="26" t="str">
        <f>IF(C693&gt;_xll.RssMarket(A693,"年初来高値"),"○","×")</f>
        <v>×</v>
      </c>
      <c r="Z693" s="27" t="str">
        <f>IF(C693&lt;=_xll.RssMarket(A693,"年初来安値"),"○","×")</f>
        <v>×</v>
      </c>
    </row>
    <row r="694" spans="1:26" x14ac:dyDescent="0.25">
      <c r="A694" s="47">
        <v>6364</v>
      </c>
      <c r="B694" s="20" t="str">
        <f>_xll.RssMarket(A694,"銘柄名称")</f>
        <v>北越工業</v>
      </c>
      <c r="C694" s="21">
        <f>_xll.RssMarket(A694,"現在値")</f>
        <v>2453</v>
      </c>
      <c r="D694" s="20" t="str">
        <f>_xll.RssMarket(A694,"現在値詳細時刻")</f>
        <v>15:00:00</v>
      </c>
      <c r="E694" s="22">
        <f>_xll.RssMarket(A694,"前日比")</f>
        <v>-68</v>
      </c>
      <c r="F694" s="23">
        <f>_xll.RssMarket(A694,"前日比率")/100</f>
        <v>-2.7000000000000003E-2</v>
      </c>
      <c r="G694" s="24" t="str">
        <f>IFERROR(VLOOKUP(A694,取得元!$A$2:$F$501,2,FALSE),"-")</f>
        <v>-</v>
      </c>
      <c r="H694" s="24" t="str">
        <f>IFERROR(VLOOKUP(A694,取得元!$A$2:$F$501,3,FALSE),"-")</f>
        <v>-</v>
      </c>
      <c r="I694" s="24" t="str">
        <f>IFERROR(VLOOKUP(A694,取得元!$A$2:$F$501,4,FALSE),"-")</f>
        <v>-</v>
      </c>
      <c r="J694" s="5" t="str">
        <f>IFERROR(VLOOKUP(A694,取得元!$A$2:$F$501,5,FALSE),"-")</f>
        <v>-</v>
      </c>
      <c r="K694" s="25" t="str">
        <f>IFERROR(VLOOKUP(A694,取得元!$A$2:$F$501,6,FALSE)/100,"-")</f>
        <v>-</v>
      </c>
      <c r="L694" s="21">
        <f>_xll.RssMarket(A694,"始値")</f>
        <v>2493</v>
      </c>
      <c r="M694" s="4">
        <f t="shared" si="65"/>
        <v>-1.6044925792218168E-2</v>
      </c>
      <c r="N694" s="21">
        <f>_xll.RssMarket(A694,"高値")</f>
        <v>2504</v>
      </c>
      <c r="O694" s="4">
        <f t="shared" si="66"/>
        <v>-2.0367412140575025E-2</v>
      </c>
      <c r="P694" s="21">
        <f>_xll.RssMarket(A694,"安値")</f>
        <v>2419</v>
      </c>
      <c r="Q694" s="4">
        <f t="shared" si="67"/>
        <v>1.4055394791236075E-2</v>
      </c>
      <c r="R694" s="21">
        <f>_xll.RssMarket(A694,"後場始値")</f>
        <v>2429</v>
      </c>
      <c r="S694" s="25">
        <f t="shared" si="68"/>
        <v>9.8806093042405063E-3</v>
      </c>
      <c r="T694" s="7">
        <f>_xll.RssMarket(A694,"出来高加重平均")</f>
        <v>2454.7842999999998</v>
      </c>
      <c r="U694" s="4">
        <f t="shared" si="69"/>
        <v>-7.2686630756102488E-4</v>
      </c>
      <c r="V694" s="21">
        <f>_xll.RssMarket(A694,"出来高")</f>
        <v>48700</v>
      </c>
      <c r="W694" s="21">
        <f>_xll.RssMarket(A694,"売買代金")</f>
        <v>119548</v>
      </c>
      <c r="X694" s="20" t="str">
        <f>_xll.RssMarket(A694,"決算発表日")</f>
        <v>2024/01/31</v>
      </c>
      <c r="Y694" s="26" t="str">
        <f>IF(C694&gt;_xll.RssMarket(A694,"年初来高値"),"○","×")</f>
        <v>×</v>
      </c>
      <c r="Z694" s="27" t="str">
        <f>IF(C694&lt;=_xll.RssMarket(A694,"年初来安値"),"○","×")</f>
        <v>×</v>
      </c>
    </row>
    <row r="695" spans="1:26" x14ac:dyDescent="0.25">
      <c r="A695" s="49">
        <v>6366</v>
      </c>
      <c r="B695" s="20" t="str">
        <f>_xll.RssMarket(A695,"銘柄名称")</f>
        <v>千代田化工建</v>
      </c>
      <c r="C695" s="21">
        <f>_xll.RssMarket(A695,"現在値")</f>
        <v>355</v>
      </c>
      <c r="D695" s="20" t="str">
        <f>_xll.RssMarket(A695,"現在値詳細時刻")</f>
        <v>15:00:00</v>
      </c>
      <c r="E695" s="22">
        <f>_xll.RssMarket(A695,"前日比")</f>
        <v>-6</v>
      </c>
      <c r="F695" s="23">
        <f>_xll.RssMarket(A695,"前日比率")/100</f>
        <v>-1.66E-2</v>
      </c>
      <c r="G695" s="24" t="str">
        <f>IFERROR(VLOOKUP(A695,取得元!$A$2:$F$501,2,FALSE),"-")</f>
        <v>-</v>
      </c>
      <c r="H695" s="24" t="str">
        <f>IFERROR(VLOOKUP(A695,取得元!$A$2:$F$501,3,FALSE),"-")</f>
        <v>-</v>
      </c>
      <c r="I695" s="24" t="str">
        <f>IFERROR(VLOOKUP(A695,取得元!$A$2:$F$501,4,FALSE),"-")</f>
        <v>-</v>
      </c>
      <c r="J695" s="5" t="str">
        <f>IFERROR(VLOOKUP(A695,取得元!$A$2:$F$501,5,FALSE),"-")</f>
        <v>-</v>
      </c>
      <c r="K695" s="25" t="str">
        <f>IFERROR(VLOOKUP(A695,取得元!$A$2:$F$501,6,FALSE)/100,"-")</f>
        <v>-</v>
      </c>
      <c r="L695" s="21">
        <f>_xll.RssMarket(A695,"始値")</f>
        <v>362</v>
      </c>
      <c r="M695" s="4">
        <f t="shared" si="65"/>
        <v>-1.9337016574585641E-2</v>
      </c>
      <c r="N695" s="21">
        <f>_xll.RssMarket(A695,"高値")</f>
        <v>366</v>
      </c>
      <c r="O695" s="4">
        <f t="shared" si="66"/>
        <v>-3.0054644808743203E-2</v>
      </c>
      <c r="P695" s="21">
        <f>_xll.RssMarket(A695,"安値")</f>
        <v>353</v>
      </c>
      <c r="Q695" s="4">
        <f t="shared" si="67"/>
        <v>5.6657223796034994E-3</v>
      </c>
      <c r="R695" s="21">
        <f>_xll.RssMarket(A695,"後場始値")</f>
        <v>363</v>
      </c>
      <c r="S695" s="25">
        <f t="shared" si="68"/>
        <v>-2.2038567493112948E-2</v>
      </c>
      <c r="T695" s="7">
        <f>_xll.RssMarket(A695,"出来高加重平均")</f>
        <v>359.72370000000001</v>
      </c>
      <c r="U695" s="4">
        <f t="shared" si="69"/>
        <v>-1.3131467290034005E-2</v>
      </c>
      <c r="V695" s="21">
        <f>_xll.RssMarket(A695,"出来高")</f>
        <v>2657300</v>
      </c>
      <c r="W695" s="21">
        <f>_xll.RssMarket(A695,"売買代金")</f>
        <v>955894</v>
      </c>
      <c r="X695" s="20" t="str">
        <f>_xll.RssMarket(A695,"決算発表日")</f>
        <v>2024/02/05</v>
      </c>
      <c r="Y695" s="26" t="str">
        <f>IF(C695&gt;_xll.RssMarket(A695,"年初来高値"),"○","×")</f>
        <v>×</v>
      </c>
      <c r="Z695" s="27" t="str">
        <f>IF(C695&lt;=_xll.RssMarket(A695,"年初来安値"),"○","×")</f>
        <v>×</v>
      </c>
    </row>
    <row r="696" spans="1:26" x14ac:dyDescent="0.25">
      <c r="A696" s="47">
        <v>6381</v>
      </c>
      <c r="B696" s="20" t="str">
        <f>_xll.RssMarket(A696,"銘柄名称")</f>
        <v>アネスト岩田</v>
      </c>
      <c r="C696" s="21">
        <f>_xll.RssMarket(A696,"現在値")</f>
        <v>1299</v>
      </c>
      <c r="D696" s="20" t="str">
        <f>_xll.RssMarket(A696,"現在値詳細時刻")</f>
        <v>15:00:00</v>
      </c>
      <c r="E696" s="22">
        <f>_xll.RssMarket(A696,"前日比")</f>
        <v>-10</v>
      </c>
      <c r="F696" s="23">
        <f>_xll.RssMarket(A696,"前日比率")/100</f>
        <v>-7.6E-3</v>
      </c>
      <c r="G696" s="24" t="str">
        <f>IFERROR(VLOOKUP(A696,取得元!$A$2:$F$501,2,FALSE),"-")</f>
        <v>-</v>
      </c>
      <c r="H696" s="24" t="str">
        <f>IFERROR(VLOOKUP(A696,取得元!$A$2:$F$501,3,FALSE),"-")</f>
        <v>-</v>
      </c>
      <c r="I696" s="24" t="str">
        <f>IFERROR(VLOOKUP(A696,取得元!$A$2:$F$501,4,FALSE),"-")</f>
        <v>-</v>
      </c>
      <c r="J696" s="5" t="str">
        <f>IFERROR(VLOOKUP(A696,取得元!$A$2:$F$501,5,FALSE),"-")</f>
        <v>-</v>
      </c>
      <c r="K696" s="25" t="str">
        <f>IFERROR(VLOOKUP(A696,取得元!$A$2:$F$501,6,FALSE)/100,"-")</f>
        <v>-</v>
      </c>
      <c r="L696" s="21">
        <f>_xll.RssMarket(A696,"始値")</f>
        <v>1308</v>
      </c>
      <c r="M696" s="4">
        <f t="shared" si="65"/>
        <v>-6.8807339449541427E-3</v>
      </c>
      <c r="N696" s="21">
        <f>_xll.RssMarket(A696,"高値")</f>
        <v>1309</v>
      </c>
      <c r="O696" s="4">
        <f t="shared" si="66"/>
        <v>-7.6394194041252694E-3</v>
      </c>
      <c r="P696" s="21">
        <f>_xll.RssMarket(A696,"安値")</f>
        <v>1291</v>
      </c>
      <c r="Q696" s="4">
        <f t="shared" si="67"/>
        <v>6.1967467079782068E-3</v>
      </c>
      <c r="R696" s="21">
        <f>_xll.RssMarket(A696,"後場始値")</f>
        <v>1295</v>
      </c>
      <c r="S696" s="25">
        <f t="shared" si="68"/>
        <v>3.0888030888029938E-3</v>
      </c>
      <c r="T696" s="7">
        <f>_xll.RssMarket(A696,"出来高加重平均")</f>
        <v>1299.27</v>
      </c>
      <c r="U696" s="4">
        <f t="shared" si="69"/>
        <v>-2.0780900043870787E-4</v>
      </c>
      <c r="V696" s="21">
        <f>_xll.RssMarket(A696,"出来高")</f>
        <v>82200</v>
      </c>
      <c r="W696" s="21">
        <f>_xll.RssMarket(A696,"売買代金")</f>
        <v>106800</v>
      </c>
      <c r="X696" s="20" t="str">
        <f>_xll.RssMarket(A696,"決算発表日")</f>
        <v>2024/02/09</v>
      </c>
      <c r="Y696" s="26" t="str">
        <f>IF(C696&gt;_xll.RssMarket(A696,"年初来高値"),"○","×")</f>
        <v>×</v>
      </c>
      <c r="Z696" s="27" t="str">
        <f>IF(C696&lt;=_xll.RssMarket(A696,"年初来安値"),"○","×")</f>
        <v>×</v>
      </c>
    </row>
    <row r="697" spans="1:26" x14ac:dyDescent="0.25">
      <c r="A697" s="49">
        <v>6383</v>
      </c>
      <c r="B697" s="20" t="str">
        <f>_xll.RssMarket(A697,"銘柄名称")</f>
        <v>ダイフク</v>
      </c>
      <c r="C697" s="21">
        <f>_xll.RssMarket(A697,"現在値")</f>
        <v>2867.5</v>
      </c>
      <c r="D697" s="20" t="str">
        <f>_xll.RssMarket(A697,"現在値詳細時刻")</f>
        <v>15:00:00</v>
      </c>
      <c r="E697" s="22">
        <f>_xll.RssMarket(A697,"前日比")</f>
        <v>19.5</v>
      </c>
      <c r="F697" s="23">
        <f>_xll.RssMarket(A697,"前日比率")/100</f>
        <v>6.8000000000000005E-3</v>
      </c>
      <c r="G697" s="24" t="str">
        <f>IFERROR(VLOOKUP(A697,取得元!$A$2:$F$501,2,FALSE),"-")</f>
        <v>-</v>
      </c>
      <c r="H697" s="24" t="str">
        <f>IFERROR(VLOOKUP(A697,取得元!$A$2:$F$501,3,FALSE),"-")</f>
        <v>-</v>
      </c>
      <c r="I697" s="24" t="str">
        <f>IFERROR(VLOOKUP(A697,取得元!$A$2:$F$501,4,FALSE),"-")</f>
        <v>-</v>
      </c>
      <c r="J697" s="5" t="str">
        <f>IFERROR(VLOOKUP(A697,取得元!$A$2:$F$501,5,FALSE),"-")</f>
        <v>-</v>
      </c>
      <c r="K697" s="25" t="str">
        <f>IFERROR(VLOOKUP(A697,取得元!$A$2:$F$501,6,FALSE)/100,"-")</f>
        <v>-</v>
      </c>
      <c r="L697" s="21">
        <f>_xll.RssMarket(A697,"始値")</f>
        <v>2846</v>
      </c>
      <c r="M697" s="4">
        <f t="shared" si="65"/>
        <v>7.5544624033732077E-3</v>
      </c>
      <c r="N697" s="21">
        <f>_xll.RssMarket(A697,"高値")</f>
        <v>2867.5</v>
      </c>
      <c r="O697" s="4">
        <f t="shared" si="66"/>
        <v>0</v>
      </c>
      <c r="P697" s="21">
        <f>_xll.RssMarket(A697,"安値")</f>
        <v>2807.5</v>
      </c>
      <c r="Q697" s="4">
        <f t="shared" si="67"/>
        <v>2.1371326803205637E-2</v>
      </c>
      <c r="R697" s="21">
        <f>_xll.RssMarket(A697,"後場始値")</f>
        <v>2825</v>
      </c>
      <c r="S697" s="25">
        <f t="shared" si="68"/>
        <v>1.5044247787610709E-2</v>
      </c>
      <c r="T697" s="7">
        <f>_xll.RssMarket(A697,"出来高加重平均")</f>
        <v>2845.0511999999999</v>
      </c>
      <c r="U697" s="4">
        <f t="shared" si="69"/>
        <v>7.8904731134539219E-3</v>
      </c>
      <c r="V697" s="21">
        <f>_xll.RssMarket(A697,"出来高")</f>
        <v>1209200</v>
      </c>
      <c r="W697" s="21">
        <f>_xll.RssMarket(A697,"売買代金")</f>
        <v>3440236</v>
      </c>
      <c r="X697" s="20" t="str">
        <f>_xll.RssMarket(A697,"決算発表日")</f>
        <v>2024/02/08</v>
      </c>
      <c r="Y697" s="26" t="str">
        <f>IF(C697&gt;_xll.RssMarket(A697,"年初来高値"),"○","×")</f>
        <v>×</v>
      </c>
      <c r="Z697" s="27" t="str">
        <f>IF(C697&lt;=_xll.RssMarket(A697,"年初来安値"),"○","×")</f>
        <v>×</v>
      </c>
    </row>
    <row r="698" spans="1:26" x14ac:dyDescent="0.25">
      <c r="A698" s="47">
        <v>6390</v>
      </c>
      <c r="B698" s="20" t="str">
        <f>_xll.RssMarket(A698,"銘柄名称")</f>
        <v>加藤製作所</v>
      </c>
      <c r="C698" s="21">
        <f>_xll.RssMarket(A698,"現在値")</f>
        <v>1520</v>
      </c>
      <c r="D698" s="20" t="str">
        <f>_xll.RssMarket(A698,"現在値詳細時刻")</f>
        <v>15:00:00</v>
      </c>
      <c r="E698" s="22">
        <f>_xll.RssMarket(A698,"前日比")</f>
        <v>1</v>
      </c>
      <c r="F698" s="23">
        <f>_xll.RssMarket(A698,"前日比率")/100</f>
        <v>7.000000000000001E-4</v>
      </c>
      <c r="G698" s="24" t="str">
        <f>IFERROR(VLOOKUP(A698,取得元!$A$2:$F$501,2,FALSE),"-")</f>
        <v>-</v>
      </c>
      <c r="H698" s="24" t="str">
        <f>IFERROR(VLOOKUP(A698,取得元!$A$2:$F$501,3,FALSE),"-")</f>
        <v>-</v>
      </c>
      <c r="I698" s="24" t="str">
        <f>IFERROR(VLOOKUP(A698,取得元!$A$2:$F$501,4,FALSE),"-")</f>
        <v>-</v>
      </c>
      <c r="J698" s="5" t="str">
        <f>IFERROR(VLOOKUP(A698,取得元!$A$2:$F$501,5,FALSE),"-")</f>
        <v>-</v>
      </c>
      <c r="K698" s="25" t="str">
        <f>IFERROR(VLOOKUP(A698,取得元!$A$2:$F$501,6,FALSE)/100,"-")</f>
        <v>-</v>
      </c>
      <c r="L698" s="21">
        <f>_xll.RssMarket(A698,"始値")</f>
        <v>1518</v>
      </c>
      <c r="M698" s="4">
        <f t="shared" si="65"/>
        <v>1.3175230566535578E-3</v>
      </c>
      <c r="N698" s="21">
        <f>_xll.RssMarket(A698,"高値")</f>
        <v>1527</v>
      </c>
      <c r="O698" s="4">
        <f t="shared" si="66"/>
        <v>-4.5841519318926549E-3</v>
      </c>
      <c r="P698" s="21">
        <f>_xll.RssMarket(A698,"安値")</f>
        <v>1503</v>
      </c>
      <c r="Q698" s="4">
        <f t="shared" si="67"/>
        <v>1.1310711909514382E-2</v>
      </c>
      <c r="R698" s="21">
        <f>_xll.RssMarket(A698,"後場始値")</f>
        <v>1510</v>
      </c>
      <c r="S698" s="25">
        <f t="shared" si="68"/>
        <v>6.6225165562914245E-3</v>
      </c>
      <c r="T698" s="7">
        <f>_xll.RssMarket(A698,"出来高加重平均")</f>
        <v>1513.5089</v>
      </c>
      <c r="U698" s="4">
        <f t="shared" si="69"/>
        <v>4.2887755731069177E-3</v>
      </c>
      <c r="V698" s="21">
        <f>_xll.RssMarket(A698,"出来高")</f>
        <v>89200</v>
      </c>
      <c r="W698" s="21">
        <f>_xll.RssMarket(A698,"売買代金")</f>
        <v>135005</v>
      </c>
      <c r="X698" s="20" t="str">
        <f>_xll.RssMarket(A698,"決算発表日")</f>
        <v>2024/02/13</v>
      </c>
      <c r="Y698" s="26" t="str">
        <f>IF(C698&gt;_xll.RssMarket(A698,"年初来高値"),"○","×")</f>
        <v>×</v>
      </c>
      <c r="Z698" s="27" t="str">
        <f>IF(C698&lt;=_xll.RssMarket(A698,"年初来安値"),"○","×")</f>
        <v>×</v>
      </c>
    </row>
    <row r="699" spans="1:26" x14ac:dyDescent="0.25">
      <c r="A699" s="49">
        <v>6395</v>
      </c>
      <c r="B699" s="20" t="str">
        <f>_xll.RssMarket(A699,"銘柄名称")</f>
        <v>タダノ</v>
      </c>
      <c r="C699" s="21">
        <f>_xll.RssMarket(A699,"現在値")</f>
        <v>1175.5</v>
      </c>
      <c r="D699" s="20" t="str">
        <f>_xll.RssMarket(A699,"現在値詳細時刻")</f>
        <v>15:00:00</v>
      </c>
      <c r="E699" s="22">
        <f>_xll.RssMarket(A699,"前日比")</f>
        <v>-2</v>
      </c>
      <c r="F699" s="23">
        <f>_xll.RssMarket(A699,"前日比率")/100</f>
        <v>-1.7000000000000001E-3</v>
      </c>
      <c r="G699" s="24" t="str">
        <f>IFERROR(VLOOKUP(A699,取得元!$A$2:$F$501,2,FALSE),"-")</f>
        <v>-</v>
      </c>
      <c r="H699" s="24" t="str">
        <f>IFERROR(VLOOKUP(A699,取得元!$A$2:$F$501,3,FALSE),"-")</f>
        <v>-</v>
      </c>
      <c r="I699" s="24" t="str">
        <f>IFERROR(VLOOKUP(A699,取得元!$A$2:$F$501,4,FALSE),"-")</f>
        <v>-</v>
      </c>
      <c r="J699" s="5" t="str">
        <f>IFERROR(VLOOKUP(A699,取得元!$A$2:$F$501,5,FALSE),"-")</f>
        <v>-</v>
      </c>
      <c r="K699" s="25" t="str">
        <f>IFERROR(VLOOKUP(A699,取得元!$A$2:$F$501,6,FALSE)/100,"-")</f>
        <v>-</v>
      </c>
      <c r="L699" s="21">
        <f>_xll.RssMarket(A699,"始値")</f>
        <v>1176</v>
      </c>
      <c r="M699" s="4">
        <f t="shared" si="65"/>
        <v>-4.2517006802722523E-4</v>
      </c>
      <c r="N699" s="21">
        <f>_xll.RssMarket(A699,"高値")</f>
        <v>1186</v>
      </c>
      <c r="O699" s="4">
        <f t="shared" si="66"/>
        <v>-8.8532883642495896E-3</v>
      </c>
      <c r="P699" s="21">
        <f>_xll.RssMarket(A699,"安値")</f>
        <v>1168</v>
      </c>
      <c r="Q699" s="4">
        <f t="shared" si="67"/>
        <v>6.4212328767123683E-3</v>
      </c>
      <c r="R699" s="21">
        <f>_xll.RssMarket(A699,"後場始値")</f>
        <v>1173</v>
      </c>
      <c r="S699" s="25">
        <f t="shared" si="68"/>
        <v>2.1312872975276509E-3</v>
      </c>
      <c r="T699" s="7">
        <f>_xll.RssMarket(A699,"出来高加重平均")</f>
        <v>1176.25</v>
      </c>
      <c r="U699" s="4">
        <f t="shared" si="69"/>
        <v>-6.3761955366625767E-4</v>
      </c>
      <c r="V699" s="21">
        <f>_xll.RssMarket(A699,"出来高")</f>
        <v>208000</v>
      </c>
      <c r="W699" s="21">
        <f>_xll.RssMarket(A699,"売買代金")</f>
        <v>244660</v>
      </c>
      <c r="X699" s="20" t="str">
        <f>_xll.RssMarket(A699,"決算発表日")</f>
        <v>2024/02/14</v>
      </c>
      <c r="Y699" s="26" t="str">
        <f>IF(C699&gt;_xll.RssMarket(A699,"年初来高値"),"○","×")</f>
        <v>×</v>
      </c>
      <c r="Z699" s="27" t="str">
        <f>IF(C699&lt;=_xll.RssMarket(A699,"年初来安値"),"○","×")</f>
        <v>×</v>
      </c>
    </row>
    <row r="700" spans="1:26" x14ac:dyDescent="0.25">
      <c r="A700" s="47">
        <v>6418</v>
      </c>
      <c r="B700" s="20" t="str">
        <f>_xll.RssMarket(A700,"銘柄名称")</f>
        <v>日本金銭機械</v>
      </c>
      <c r="C700" s="21">
        <f>_xll.RssMarket(A700,"現在値")</f>
        <v>1444</v>
      </c>
      <c r="D700" s="20" t="str">
        <f>_xll.RssMarket(A700,"現在値詳細時刻")</f>
        <v>15:00:00</v>
      </c>
      <c r="E700" s="22">
        <f>_xll.RssMarket(A700,"前日比")</f>
        <v>33</v>
      </c>
      <c r="F700" s="23">
        <f>_xll.RssMarket(A700,"前日比率")/100</f>
        <v>2.3399999999999997E-2</v>
      </c>
      <c r="G700" s="24" t="str">
        <f>IFERROR(VLOOKUP(A700,取得元!$A$2:$F$501,2,FALSE),"-")</f>
        <v>-</v>
      </c>
      <c r="H700" s="24" t="str">
        <f>IFERROR(VLOOKUP(A700,取得元!$A$2:$F$501,3,FALSE),"-")</f>
        <v>-</v>
      </c>
      <c r="I700" s="24" t="str">
        <f>IFERROR(VLOOKUP(A700,取得元!$A$2:$F$501,4,FALSE),"-")</f>
        <v>-</v>
      </c>
      <c r="J700" s="5" t="str">
        <f>IFERROR(VLOOKUP(A700,取得元!$A$2:$F$501,5,FALSE),"-")</f>
        <v>-</v>
      </c>
      <c r="K700" s="25" t="str">
        <f>IFERROR(VLOOKUP(A700,取得元!$A$2:$F$501,6,FALSE)/100,"-")</f>
        <v>-</v>
      </c>
      <c r="L700" s="21">
        <f>_xll.RssMarket(A700,"始値")</f>
        <v>1415</v>
      </c>
      <c r="M700" s="4">
        <f t="shared" si="65"/>
        <v>2.0494699646643078E-2</v>
      </c>
      <c r="N700" s="21">
        <f>_xll.RssMarket(A700,"高値")</f>
        <v>1446</v>
      </c>
      <c r="O700" s="4">
        <f t="shared" si="66"/>
        <v>-1.3831258644536604E-3</v>
      </c>
      <c r="P700" s="21">
        <f>_xll.RssMarket(A700,"安値")</f>
        <v>1414</v>
      </c>
      <c r="Q700" s="4">
        <f t="shared" si="67"/>
        <v>2.1216407355021172E-2</v>
      </c>
      <c r="R700" s="21">
        <f>_xll.RssMarket(A700,"後場始値")</f>
        <v>1430</v>
      </c>
      <c r="S700" s="25">
        <f t="shared" si="68"/>
        <v>9.7902097902098362E-3</v>
      </c>
      <c r="T700" s="7">
        <f>_xll.RssMarket(A700,"出来高加重平均")</f>
        <v>1432.5700999999999</v>
      </c>
      <c r="U700" s="4">
        <f t="shared" si="69"/>
        <v>7.978597347522598E-3</v>
      </c>
      <c r="V700" s="21">
        <f>_xll.RssMarket(A700,"出来高")</f>
        <v>263800</v>
      </c>
      <c r="W700" s="21">
        <f>_xll.RssMarket(A700,"売買代金")</f>
        <v>377912</v>
      </c>
      <c r="X700" s="20" t="str">
        <f>_xll.RssMarket(A700,"決算発表日")</f>
        <v>2024/02/08</v>
      </c>
      <c r="Y700" s="26" t="str">
        <f>IF(C700&gt;_xll.RssMarket(A700,"年初来高値"),"○","×")</f>
        <v>×</v>
      </c>
      <c r="Z700" s="27" t="str">
        <f>IF(C700&lt;=_xll.RssMarket(A700,"年初来安値"),"○","×")</f>
        <v>×</v>
      </c>
    </row>
    <row r="701" spans="1:26" x14ac:dyDescent="0.25">
      <c r="A701" s="49">
        <v>6433</v>
      </c>
      <c r="B701" s="20" t="str">
        <f>_xll.RssMarket(A701,"銘柄名称")</f>
        <v>ヒーハイスト</v>
      </c>
      <c r="C701" s="21">
        <f>_xll.RssMarket(A701,"現在値")</f>
        <v>272</v>
      </c>
      <c r="D701" s="20" t="str">
        <f>_xll.RssMarket(A701,"現在値詳細時刻")</f>
        <v>15:00:00</v>
      </c>
      <c r="E701" s="22">
        <f>_xll.RssMarket(A701,"前日比")</f>
        <v>12</v>
      </c>
      <c r="F701" s="23">
        <f>_xll.RssMarket(A701,"前日比率")/100</f>
        <v>4.6199999999999998E-2</v>
      </c>
      <c r="G701" s="24" t="str">
        <f>IFERROR(VLOOKUP(A701,取得元!$A$2:$F$501,2,FALSE),"-")</f>
        <v>-</v>
      </c>
      <c r="H701" s="24" t="str">
        <f>IFERROR(VLOOKUP(A701,取得元!$A$2:$F$501,3,FALSE),"-")</f>
        <v>-</v>
      </c>
      <c r="I701" s="24" t="str">
        <f>IFERROR(VLOOKUP(A701,取得元!$A$2:$F$501,4,FALSE),"-")</f>
        <v>-</v>
      </c>
      <c r="J701" s="5" t="str">
        <f>IFERROR(VLOOKUP(A701,取得元!$A$2:$F$501,5,FALSE),"-")</f>
        <v>-</v>
      </c>
      <c r="K701" s="25" t="str">
        <f>IFERROR(VLOOKUP(A701,取得元!$A$2:$F$501,6,FALSE)/100,"-")</f>
        <v>-</v>
      </c>
      <c r="L701" s="21">
        <f>_xll.RssMarket(A701,"始値")</f>
        <v>261</v>
      </c>
      <c r="M701" s="4">
        <f t="shared" si="65"/>
        <v>4.2145593869731712E-2</v>
      </c>
      <c r="N701" s="21">
        <f>_xll.RssMarket(A701,"高値")</f>
        <v>274</v>
      </c>
      <c r="O701" s="4">
        <f t="shared" si="66"/>
        <v>-7.2992700729926918E-3</v>
      </c>
      <c r="P701" s="21">
        <f>_xll.RssMarket(A701,"安値")</f>
        <v>260</v>
      </c>
      <c r="Q701" s="4">
        <f t="shared" si="67"/>
        <v>4.6153846153846212E-2</v>
      </c>
      <c r="R701" s="21">
        <f>_xll.RssMarket(A701,"後場始値")</f>
        <v>263</v>
      </c>
      <c r="S701" s="25">
        <f t="shared" si="68"/>
        <v>3.4220532319391594E-2</v>
      </c>
      <c r="T701" s="7">
        <f>_xll.RssMarket(A701,"出来高加重平均")</f>
        <v>267.31659999999999</v>
      </c>
      <c r="U701" s="4">
        <f t="shared" si="69"/>
        <v>1.7520049259941217E-2</v>
      </c>
      <c r="V701" s="21">
        <f>_xll.RssMarket(A701,"出来高")</f>
        <v>60000</v>
      </c>
      <c r="W701" s="21">
        <f>_xll.RssMarket(A701,"売買代金")</f>
        <v>16039</v>
      </c>
      <c r="X701" s="20" t="str">
        <f>_xll.RssMarket(A701,"決算発表日")</f>
        <v>2024/02/09</v>
      </c>
      <c r="Y701" s="26" t="str">
        <f>IF(C701&gt;_xll.RssMarket(A701,"年初来高値"),"○","×")</f>
        <v>×</v>
      </c>
      <c r="Z701" s="27" t="str">
        <f>IF(C701&lt;=_xll.RssMarket(A701,"年初来安値"),"○","×")</f>
        <v>×</v>
      </c>
    </row>
    <row r="702" spans="1:26" x14ac:dyDescent="0.25">
      <c r="A702" s="47">
        <v>6440</v>
      </c>
      <c r="B702" s="20" t="str">
        <f>_xll.RssMarket(A702,"銘柄名称")</f>
        <v>ＪＵＫＩ</v>
      </c>
      <c r="C702" s="21">
        <f>_xll.RssMarket(A702,"現在値")</f>
        <v>461</v>
      </c>
      <c r="D702" s="20" t="str">
        <f>_xll.RssMarket(A702,"現在値詳細時刻")</f>
        <v>15:00:00</v>
      </c>
      <c r="E702" s="22">
        <f>_xll.RssMarket(A702,"前日比")</f>
        <v>3</v>
      </c>
      <c r="F702" s="23">
        <f>_xll.RssMarket(A702,"前日比率")/100</f>
        <v>6.6E-3</v>
      </c>
      <c r="G702" s="24" t="str">
        <f>IFERROR(VLOOKUP(A702,取得元!$A$2:$F$501,2,FALSE),"-")</f>
        <v>-</v>
      </c>
      <c r="H702" s="24" t="str">
        <f>IFERROR(VLOOKUP(A702,取得元!$A$2:$F$501,3,FALSE),"-")</f>
        <v>-</v>
      </c>
      <c r="I702" s="24" t="str">
        <f>IFERROR(VLOOKUP(A702,取得元!$A$2:$F$501,4,FALSE),"-")</f>
        <v>-</v>
      </c>
      <c r="J702" s="5" t="str">
        <f>IFERROR(VLOOKUP(A702,取得元!$A$2:$F$501,5,FALSE),"-")</f>
        <v>-</v>
      </c>
      <c r="K702" s="25" t="str">
        <f>IFERROR(VLOOKUP(A702,取得元!$A$2:$F$501,6,FALSE)/100,"-")</f>
        <v>-</v>
      </c>
      <c r="L702" s="21">
        <f>_xll.RssMarket(A702,"始値")</f>
        <v>459</v>
      </c>
      <c r="M702" s="4">
        <f t="shared" si="65"/>
        <v>4.3572984749455923E-3</v>
      </c>
      <c r="N702" s="21">
        <f>_xll.RssMarket(A702,"高値")</f>
        <v>464</v>
      </c>
      <c r="O702" s="4">
        <f t="shared" si="66"/>
        <v>-6.4655172413793371E-3</v>
      </c>
      <c r="P702" s="21">
        <f>_xll.RssMarket(A702,"安値")</f>
        <v>457</v>
      </c>
      <c r="Q702" s="4">
        <f t="shared" si="67"/>
        <v>8.7527352297593897E-3</v>
      </c>
      <c r="R702" s="21">
        <f>_xll.RssMarket(A702,"後場始値")</f>
        <v>462</v>
      </c>
      <c r="S702" s="25">
        <f t="shared" si="68"/>
        <v>-2.1645021645021467E-3</v>
      </c>
      <c r="T702" s="7">
        <f>_xll.RssMarket(A702,"出来高加重平均")</f>
        <v>460.9126</v>
      </c>
      <c r="U702" s="4">
        <f t="shared" si="69"/>
        <v>1.8962380286424718E-4</v>
      </c>
      <c r="V702" s="21">
        <f>_xll.RssMarket(A702,"出来高")</f>
        <v>204900</v>
      </c>
      <c r="W702" s="21">
        <f>_xll.RssMarket(A702,"売買代金")</f>
        <v>94441</v>
      </c>
      <c r="X702" s="20" t="str">
        <f>_xll.RssMarket(A702,"決算発表日")</f>
        <v>-</v>
      </c>
      <c r="Y702" s="26" t="str">
        <f>IF(C702&gt;_xll.RssMarket(A702,"年初来高値"),"○","×")</f>
        <v>×</v>
      </c>
      <c r="Z702" s="27" t="str">
        <f>IF(C702&lt;=_xll.RssMarket(A702,"年初来安値"),"○","×")</f>
        <v>×</v>
      </c>
    </row>
    <row r="703" spans="1:26" x14ac:dyDescent="0.25">
      <c r="A703" s="49">
        <v>6444</v>
      </c>
      <c r="B703" s="20" t="str">
        <f>_xll.RssMarket(A703,"銘柄名称")</f>
        <v>サンデン</v>
      </c>
      <c r="C703" s="21">
        <f>_xll.RssMarket(A703,"現在値")</f>
        <v>191</v>
      </c>
      <c r="D703" s="20" t="str">
        <f>_xll.RssMarket(A703,"現在値詳細時刻")</f>
        <v>15:00:00</v>
      </c>
      <c r="E703" s="22">
        <f>_xll.RssMarket(A703,"前日比")</f>
        <v>6</v>
      </c>
      <c r="F703" s="23">
        <f>_xll.RssMarket(A703,"前日比率")/100</f>
        <v>3.2400000000000005E-2</v>
      </c>
      <c r="G703" s="24" t="str">
        <f>IFERROR(VLOOKUP(A703,取得元!$A$2:$F$501,2,FALSE),"-")</f>
        <v>-</v>
      </c>
      <c r="H703" s="24" t="str">
        <f>IFERROR(VLOOKUP(A703,取得元!$A$2:$F$501,3,FALSE),"-")</f>
        <v>-</v>
      </c>
      <c r="I703" s="24" t="str">
        <f>IFERROR(VLOOKUP(A703,取得元!$A$2:$F$501,4,FALSE),"-")</f>
        <v>-</v>
      </c>
      <c r="J703" s="5" t="str">
        <f>IFERROR(VLOOKUP(A703,取得元!$A$2:$F$501,5,FALSE),"-")</f>
        <v>-</v>
      </c>
      <c r="K703" s="25" t="str">
        <f>IFERROR(VLOOKUP(A703,取得元!$A$2:$F$501,6,FALSE)/100,"-")</f>
        <v>-</v>
      </c>
      <c r="L703" s="21">
        <f>_xll.RssMarket(A703,"始値")</f>
        <v>186</v>
      </c>
      <c r="M703" s="4">
        <f t="shared" si="65"/>
        <v>2.6881720430107503E-2</v>
      </c>
      <c r="N703" s="21">
        <f>_xll.RssMarket(A703,"高値")</f>
        <v>193</v>
      </c>
      <c r="O703" s="4">
        <f t="shared" si="66"/>
        <v>-1.0362694300518172E-2</v>
      </c>
      <c r="P703" s="21">
        <f>_xll.RssMarket(A703,"安値")</f>
        <v>184</v>
      </c>
      <c r="Q703" s="4">
        <f t="shared" si="67"/>
        <v>3.8043478260869623E-2</v>
      </c>
      <c r="R703" s="21">
        <f>_xll.RssMarket(A703,"後場始値")</f>
        <v>191</v>
      </c>
      <c r="S703" s="25">
        <f t="shared" si="68"/>
        <v>0</v>
      </c>
      <c r="T703" s="7">
        <f>_xll.RssMarket(A703,"出来高加重平均")</f>
        <v>189.11680000000001</v>
      </c>
      <c r="U703" s="4">
        <f t="shared" si="69"/>
        <v>9.9578673073994484E-3</v>
      </c>
      <c r="V703" s="21">
        <f>_xll.RssMarket(A703,"出来高")</f>
        <v>567300</v>
      </c>
      <c r="W703" s="21">
        <f>_xll.RssMarket(A703,"売買代金")</f>
        <v>107286</v>
      </c>
      <c r="X703" s="20" t="str">
        <f>_xll.RssMarket(A703,"決算発表日")</f>
        <v>2024/02/14</v>
      </c>
      <c r="Y703" s="26" t="str">
        <f>IF(C703&gt;_xll.RssMarket(A703,"年初来高値"),"○","×")</f>
        <v>×</v>
      </c>
      <c r="Z703" s="27" t="str">
        <f>IF(C703&lt;=_xll.RssMarket(A703,"年初来安値"),"○","×")</f>
        <v>×</v>
      </c>
    </row>
    <row r="704" spans="1:26" x14ac:dyDescent="0.25">
      <c r="A704" s="47">
        <v>6467</v>
      </c>
      <c r="B704" s="20" t="str">
        <f>_xll.RssMarket(A704,"銘柄名称")</f>
        <v>ニチダイ</v>
      </c>
      <c r="C704" s="21">
        <f>_xll.RssMarket(A704,"現在値")</f>
        <v>365</v>
      </c>
      <c r="D704" s="20" t="str">
        <f>_xll.RssMarket(A704,"現在値詳細時刻")</f>
        <v>15:00:00</v>
      </c>
      <c r="E704" s="22">
        <f>_xll.RssMarket(A704,"前日比")</f>
        <v>0</v>
      </c>
      <c r="F704" s="23">
        <f>_xll.RssMarket(A704,"前日比率")/100</f>
        <v>0</v>
      </c>
      <c r="G704" s="24" t="str">
        <f>IFERROR(VLOOKUP(A704,取得元!$A$2:$F$501,2,FALSE),"-")</f>
        <v>-</v>
      </c>
      <c r="H704" s="24" t="str">
        <f>IFERROR(VLOOKUP(A704,取得元!$A$2:$F$501,3,FALSE),"-")</f>
        <v>-</v>
      </c>
      <c r="I704" s="24" t="str">
        <f>IFERROR(VLOOKUP(A704,取得元!$A$2:$F$501,4,FALSE),"-")</f>
        <v>-</v>
      </c>
      <c r="J704" s="5" t="str">
        <f>IFERROR(VLOOKUP(A704,取得元!$A$2:$F$501,5,FALSE),"-")</f>
        <v>-</v>
      </c>
      <c r="K704" s="25" t="str">
        <f>IFERROR(VLOOKUP(A704,取得元!$A$2:$F$501,6,FALSE)/100,"-")</f>
        <v>-</v>
      </c>
      <c r="L704" s="21">
        <f>_xll.RssMarket(A704,"始値")</f>
        <v>361</v>
      </c>
      <c r="M704" s="4">
        <f t="shared" si="65"/>
        <v>1.1080332409972193E-2</v>
      </c>
      <c r="N704" s="21">
        <f>_xll.RssMarket(A704,"高値")</f>
        <v>365</v>
      </c>
      <c r="O704" s="4">
        <f t="shared" si="66"/>
        <v>0</v>
      </c>
      <c r="P704" s="21">
        <f>_xll.RssMarket(A704,"安値")</f>
        <v>361</v>
      </c>
      <c r="Q704" s="4">
        <f t="shared" si="67"/>
        <v>1.1080332409972193E-2</v>
      </c>
      <c r="R704" s="21">
        <f>_xll.RssMarket(A704,"後場始値")</f>
        <v>362</v>
      </c>
      <c r="S704" s="25">
        <f t="shared" si="68"/>
        <v>8.2872928176795924E-3</v>
      </c>
      <c r="T704" s="7">
        <f>_xll.RssMarket(A704,"出来高加重平均")</f>
        <v>364.34780000000001</v>
      </c>
      <c r="U704" s="4">
        <f t="shared" si="69"/>
        <v>1.7900478608625647E-3</v>
      </c>
      <c r="V704" s="21">
        <f>_xll.RssMarket(A704,"出来高")</f>
        <v>4600</v>
      </c>
      <c r="W704" s="21">
        <f>_xll.RssMarket(A704,"売買代金")</f>
        <v>1676</v>
      </c>
      <c r="X704" s="20" t="str">
        <f>_xll.RssMarket(A704,"決算発表日")</f>
        <v>2024/02/01</v>
      </c>
      <c r="Y704" s="26" t="str">
        <f>IF(C704&gt;_xll.RssMarket(A704,"年初来高値"),"○","×")</f>
        <v>×</v>
      </c>
      <c r="Z704" s="27" t="str">
        <f>IF(C704&lt;=_xll.RssMarket(A704,"年初来安値"),"○","×")</f>
        <v>×</v>
      </c>
    </row>
    <row r="705" spans="1:26" x14ac:dyDescent="0.25">
      <c r="A705" s="49">
        <v>6470</v>
      </c>
      <c r="B705" s="20" t="str">
        <f>_xll.RssMarket(A705,"銘柄名称")</f>
        <v>大豊工業</v>
      </c>
      <c r="C705" s="21">
        <f>_xll.RssMarket(A705,"現在値")</f>
        <v>831</v>
      </c>
      <c r="D705" s="20" t="str">
        <f>_xll.RssMarket(A705,"現在値詳細時刻")</f>
        <v>15:00:00</v>
      </c>
      <c r="E705" s="22">
        <f>_xll.RssMarket(A705,"前日比")</f>
        <v>5</v>
      </c>
      <c r="F705" s="23">
        <f>_xll.RssMarket(A705,"前日比率")/100</f>
        <v>6.0999999999999995E-3</v>
      </c>
      <c r="G705" s="24" t="str">
        <f>IFERROR(VLOOKUP(A705,取得元!$A$2:$F$501,2,FALSE),"-")</f>
        <v>-</v>
      </c>
      <c r="H705" s="24" t="str">
        <f>IFERROR(VLOOKUP(A705,取得元!$A$2:$F$501,3,FALSE),"-")</f>
        <v>-</v>
      </c>
      <c r="I705" s="24" t="str">
        <f>IFERROR(VLOOKUP(A705,取得元!$A$2:$F$501,4,FALSE),"-")</f>
        <v>-</v>
      </c>
      <c r="J705" s="5" t="str">
        <f>IFERROR(VLOOKUP(A705,取得元!$A$2:$F$501,5,FALSE),"-")</f>
        <v>-</v>
      </c>
      <c r="K705" s="25" t="str">
        <f>IFERROR(VLOOKUP(A705,取得元!$A$2:$F$501,6,FALSE)/100,"-")</f>
        <v>-</v>
      </c>
      <c r="L705" s="21">
        <f>_xll.RssMarket(A705,"始値")</f>
        <v>821</v>
      </c>
      <c r="M705" s="4">
        <f t="shared" si="65"/>
        <v>1.2180267965895331E-2</v>
      </c>
      <c r="N705" s="21">
        <f>_xll.RssMarket(A705,"高値")</f>
        <v>837</v>
      </c>
      <c r="O705" s="4">
        <f t="shared" si="66"/>
        <v>-7.1684587813619638E-3</v>
      </c>
      <c r="P705" s="21">
        <f>_xll.RssMarket(A705,"安値")</f>
        <v>821</v>
      </c>
      <c r="Q705" s="4">
        <f t="shared" si="67"/>
        <v>1.2180267965895331E-2</v>
      </c>
      <c r="R705" s="21">
        <f>_xll.RssMarket(A705,"後場始値")</f>
        <v>833</v>
      </c>
      <c r="S705" s="25">
        <f t="shared" si="68"/>
        <v>-2.4009603841537164E-3</v>
      </c>
      <c r="T705" s="7">
        <f>_xll.RssMarket(A705,"出来高加重平均")</f>
        <v>830.83519999999999</v>
      </c>
      <c r="U705" s="4">
        <f t="shared" si="69"/>
        <v>1.9835461954431644E-4</v>
      </c>
      <c r="V705" s="21">
        <f>_xll.RssMarket(A705,"出来高")</f>
        <v>130500</v>
      </c>
      <c r="W705" s="21">
        <f>_xll.RssMarket(A705,"売買代金")</f>
        <v>108424</v>
      </c>
      <c r="X705" s="20" t="str">
        <f>_xll.RssMarket(A705,"決算発表日")</f>
        <v>2024/02/01</v>
      </c>
      <c r="Y705" s="26" t="str">
        <f>IF(C705&gt;_xll.RssMarket(A705,"年初来高値"),"○","×")</f>
        <v>×</v>
      </c>
      <c r="Z705" s="27" t="str">
        <f>IF(C705&lt;=_xll.RssMarket(A705,"年初来安値"),"○","×")</f>
        <v>×</v>
      </c>
    </row>
    <row r="706" spans="1:26" x14ac:dyDescent="0.25">
      <c r="A706" s="47">
        <v>6471</v>
      </c>
      <c r="B706" s="20" t="str">
        <f>_xll.RssMarket(A706,"銘柄名称")</f>
        <v>日本精工</v>
      </c>
      <c r="C706" s="21">
        <f>_xll.RssMarket(A706,"現在値")</f>
        <v>797.3</v>
      </c>
      <c r="D706" s="20" t="str">
        <f>_xll.RssMarket(A706,"現在値詳細時刻")</f>
        <v>15:00:00</v>
      </c>
      <c r="E706" s="22">
        <f>_xll.RssMarket(A706,"前日比")</f>
        <v>-12.8</v>
      </c>
      <c r="F706" s="23">
        <f>_xll.RssMarket(A706,"前日比率")/100</f>
        <v>-1.5800000000000002E-2</v>
      </c>
      <c r="G706" s="24" t="str">
        <f>IFERROR(VLOOKUP(A706,取得元!$A$2:$F$501,2,FALSE),"-")</f>
        <v>-</v>
      </c>
      <c r="H706" s="24" t="str">
        <f>IFERROR(VLOOKUP(A706,取得元!$A$2:$F$501,3,FALSE),"-")</f>
        <v>-</v>
      </c>
      <c r="I706" s="24" t="str">
        <f>IFERROR(VLOOKUP(A706,取得元!$A$2:$F$501,4,FALSE),"-")</f>
        <v>-</v>
      </c>
      <c r="J706" s="5" t="str">
        <f>IFERROR(VLOOKUP(A706,取得元!$A$2:$F$501,5,FALSE),"-")</f>
        <v>-</v>
      </c>
      <c r="K706" s="25" t="str">
        <f>IFERROR(VLOOKUP(A706,取得元!$A$2:$F$501,6,FALSE)/100,"-")</f>
        <v>-</v>
      </c>
      <c r="L706" s="21">
        <f>_xll.RssMarket(A706,"始値")</f>
        <v>808.4</v>
      </c>
      <c r="M706" s="4">
        <f t="shared" si="65"/>
        <v>-1.373082632360223E-2</v>
      </c>
      <c r="N706" s="21">
        <f>_xll.RssMarket(A706,"高値")</f>
        <v>815.6</v>
      </c>
      <c r="O706" s="4">
        <f t="shared" si="66"/>
        <v>-2.2437469347719508E-2</v>
      </c>
      <c r="P706" s="21">
        <f>_xll.RssMarket(A706,"安値")</f>
        <v>796.2</v>
      </c>
      <c r="Q706" s="4">
        <f t="shared" si="67"/>
        <v>1.3815624215021138E-3</v>
      </c>
      <c r="R706" s="21">
        <f>_xll.RssMarket(A706,"後場始値")</f>
        <v>808</v>
      </c>
      <c r="S706" s="25">
        <f t="shared" si="68"/>
        <v>-1.324257425742581E-2</v>
      </c>
      <c r="T706" s="7">
        <f>_xll.RssMarket(A706,"出来高加重平均")</f>
        <v>803.22249999999997</v>
      </c>
      <c r="U706" s="4">
        <f t="shared" si="69"/>
        <v>-7.3734239267451152E-3</v>
      </c>
      <c r="V706" s="21">
        <f>_xll.RssMarket(A706,"出来高")</f>
        <v>2269600</v>
      </c>
      <c r="W706" s="21">
        <f>_xll.RssMarket(A706,"売買代金")</f>
        <v>1822994</v>
      </c>
      <c r="X706" s="20" t="str">
        <f>_xll.RssMarket(A706,"決算発表日")</f>
        <v>2024/02/02</v>
      </c>
      <c r="Y706" s="26" t="str">
        <f>IF(C706&gt;_xll.RssMarket(A706,"年初来高値"),"○","×")</f>
        <v>×</v>
      </c>
      <c r="Z706" s="27" t="str">
        <f>IF(C706&lt;=_xll.RssMarket(A706,"年初来安値"),"○","×")</f>
        <v>×</v>
      </c>
    </row>
    <row r="707" spans="1:26" x14ac:dyDescent="0.25">
      <c r="A707" s="49">
        <v>6480</v>
      </c>
      <c r="B707" s="20" t="str">
        <f>_xll.RssMarket(A707,"銘柄名称")</f>
        <v>日本トムソン</v>
      </c>
      <c r="C707" s="21">
        <f>_xll.RssMarket(A707,"現在値")</f>
        <v>594</v>
      </c>
      <c r="D707" s="20" t="str">
        <f>_xll.RssMarket(A707,"現在値詳細時刻")</f>
        <v>15:00:00</v>
      </c>
      <c r="E707" s="22">
        <f>_xll.RssMarket(A707,"前日比")</f>
        <v>3</v>
      </c>
      <c r="F707" s="23">
        <f>_xll.RssMarket(A707,"前日比率")/100</f>
        <v>5.1000000000000004E-3</v>
      </c>
      <c r="G707" s="24" t="str">
        <f>IFERROR(VLOOKUP(A707,取得元!$A$2:$F$501,2,FALSE),"-")</f>
        <v>-</v>
      </c>
      <c r="H707" s="24" t="str">
        <f>IFERROR(VLOOKUP(A707,取得元!$A$2:$F$501,3,FALSE),"-")</f>
        <v>-</v>
      </c>
      <c r="I707" s="24" t="str">
        <f>IFERROR(VLOOKUP(A707,取得元!$A$2:$F$501,4,FALSE),"-")</f>
        <v>-</v>
      </c>
      <c r="J707" s="5" t="str">
        <f>IFERROR(VLOOKUP(A707,取得元!$A$2:$F$501,5,FALSE),"-")</f>
        <v>-</v>
      </c>
      <c r="K707" s="25" t="str">
        <f>IFERROR(VLOOKUP(A707,取得元!$A$2:$F$501,6,FALSE)/100,"-")</f>
        <v>-</v>
      </c>
      <c r="L707" s="21">
        <f>_xll.RssMarket(A707,"始値")</f>
        <v>590</v>
      </c>
      <c r="M707" s="4">
        <f t="shared" si="65"/>
        <v>6.7796610169490457E-3</v>
      </c>
      <c r="N707" s="21">
        <f>_xll.RssMarket(A707,"高値")</f>
        <v>598</v>
      </c>
      <c r="O707" s="4">
        <f t="shared" si="66"/>
        <v>-6.6889632107023367E-3</v>
      </c>
      <c r="P707" s="21">
        <f>_xll.RssMarket(A707,"安値")</f>
        <v>589</v>
      </c>
      <c r="Q707" s="4">
        <f t="shared" si="67"/>
        <v>8.4889643463497144E-3</v>
      </c>
      <c r="R707" s="21">
        <f>_xll.RssMarket(A707,"後場始値")</f>
        <v>597</v>
      </c>
      <c r="S707" s="25">
        <f t="shared" si="68"/>
        <v>-5.0251256281407253E-3</v>
      </c>
      <c r="T707" s="7">
        <f>_xll.RssMarket(A707,"出来高加重平均")</f>
        <v>594.15639999999996</v>
      </c>
      <c r="U707" s="4">
        <f t="shared" si="69"/>
        <v>-2.6323035483577506E-4</v>
      </c>
      <c r="V707" s="21">
        <f>_xll.RssMarket(A707,"出来高")</f>
        <v>195600</v>
      </c>
      <c r="W707" s="21">
        <f>_xll.RssMarket(A707,"売買代金")</f>
        <v>116217</v>
      </c>
      <c r="X707" s="20" t="str">
        <f>_xll.RssMarket(A707,"決算発表日")</f>
        <v>2024/02/13</v>
      </c>
      <c r="Y707" s="26" t="str">
        <f>IF(C707&gt;_xll.RssMarket(A707,"年初来高値"),"○","×")</f>
        <v>×</v>
      </c>
      <c r="Z707" s="27" t="str">
        <f>IF(C707&lt;=_xll.RssMarket(A707,"年初来安値"),"○","×")</f>
        <v>×</v>
      </c>
    </row>
    <row r="708" spans="1:26" x14ac:dyDescent="0.25">
      <c r="A708" s="47">
        <v>6489</v>
      </c>
      <c r="B708" s="20" t="str">
        <f>_xll.RssMarket(A708,"銘柄名称")</f>
        <v>前澤工業</v>
      </c>
      <c r="C708" s="21">
        <f>_xll.RssMarket(A708,"現在値")</f>
        <v>1082</v>
      </c>
      <c r="D708" s="20" t="str">
        <f>_xll.RssMarket(A708,"現在値詳細時刻")</f>
        <v>15:00:00</v>
      </c>
      <c r="E708" s="22">
        <f>_xll.RssMarket(A708,"前日比")</f>
        <v>1</v>
      </c>
      <c r="F708" s="23">
        <f>_xll.RssMarket(A708,"前日比率")/100</f>
        <v>8.9999999999999998E-4</v>
      </c>
      <c r="G708" s="24" t="str">
        <f>IFERROR(VLOOKUP(A708,取得元!$A$2:$F$501,2,FALSE),"-")</f>
        <v>-</v>
      </c>
      <c r="H708" s="24" t="str">
        <f>IFERROR(VLOOKUP(A708,取得元!$A$2:$F$501,3,FALSE),"-")</f>
        <v>-</v>
      </c>
      <c r="I708" s="24" t="str">
        <f>IFERROR(VLOOKUP(A708,取得元!$A$2:$F$501,4,FALSE),"-")</f>
        <v>-</v>
      </c>
      <c r="J708" s="5" t="str">
        <f>IFERROR(VLOOKUP(A708,取得元!$A$2:$F$501,5,FALSE),"-")</f>
        <v>-</v>
      </c>
      <c r="K708" s="25" t="str">
        <f>IFERROR(VLOOKUP(A708,取得元!$A$2:$F$501,6,FALSE)/100,"-")</f>
        <v>-</v>
      </c>
      <c r="L708" s="21">
        <f>_xll.RssMarket(A708,"始値")</f>
        <v>1080</v>
      </c>
      <c r="M708" s="4">
        <f t="shared" si="65"/>
        <v>1.8518518518517713E-3</v>
      </c>
      <c r="N708" s="21">
        <f>_xll.RssMarket(A708,"高値")</f>
        <v>1095</v>
      </c>
      <c r="O708" s="4">
        <f t="shared" si="66"/>
        <v>-1.1872146118721449E-2</v>
      </c>
      <c r="P708" s="21">
        <f>_xll.RssMarket(A708,"安値")</f>
        <v>1078</v>
      </c>
      <c r="Q708" s="4">
        <f t="shared" si="67"/>
        <v>3.7105751391466324E-3</v>
      </c>
      <c r="R708" s="21">
        <f>_xll.RssMarket(A708,"後場始値")</f>
        <v>1088</v>
      </c>
      <c r="S708" s="25">
        <f t="shared" si="68"/>
        <v>-5.5147058823529216E-3</v>
      </c>
      <c r="T708" s="7">
        <f>_xll.RssMarket(A708,"出来高加重平均")</f>
        <v>1086.7944</v>
      </c>
      <c r="U708" s="4">
        <f t="shared" si="69"/>
        <v>-4.4115059849406668E-3</v>
      </c>
      <c r="V708" s="21">
        <f>_xll.RssMarket(A708,"出来高")</f>
        <v>28700</v>
      </c>
      <c r="W708" s="21">
        <f>_xll.RssMarket(A708,"売買代金")</f>
        <v>31191</v>
      </c>
      <c r="X708" s="20" t="str">
        <f>_xll.RssMarket(A708,"決算発表日")</f>
        <v>2024/01/12</v>
      </c>
      <c r="Y708" s="26" t="str">
        <f>IF(C708&gt;_xll.RssMarket(A708,"年初来高値"),"○","×")</f>
        <v>×</v>
      </c>
      <c r="Z708" s="27" t="str">
        <f>IF(C708&lt;=_xll.RssMarket(A708,"年初来安値"),"○","×")</f>
        <v>×</v>
      </c>
    </row>
    <row r="709" spans="1:26" x14ac:dyDescent="0.25">
      <c r="A709" s="49">
        <v>6493</v>
      </c>
      <c r="B709" s="20" t="str">
        <f>_xll.RssMarket(A709,"銘柄名称")</f>
        <v>ＮＩＴＴＡＮ</v>
      </c>
      <c r="C709" s="21">
        <f>_xll.RssMarket(A709,"現在値")</f>
        <v>376</v>
      </c>
      <c r="D709" s="20" t="str">
        <f>_xll.RssMarket(A709,"現在値詳細時刻")</f>
        <v>15:00:00</v>
      </c>
      <c r="E709" s="22">
        <f>_xll.RssMarket(A709,"前日比")</f>
        <v>6</v>
      </c>
      <c r="F709" s="23">
        <f>_xll.RssMarket(A709,"前日比率")/100</f>
        <v>1.6200000000000003E-2</v>
      </c>
      <c r="G709" s="24" t="str">
        <f>IFERROR(VLOOKUP(A709,取得元!$A$2:$F$501,2,FALSE),"-")</f>
        <v>-</v>
      </c>
      <c r="H709" s="24" t="str">
        <f>IFERROR(VLOOKUP(A709,取得元!$A$2:$F$501,3,FALSE),"-")</f>
        <v>-</v>
      </c>
      <c r="I709" s="24" t="str">
        <f>IFERROR(VLOOKUP(A709,取得元!$A$2:$F$501,4,FALSE),"-")</f>
        <v>-</v>
      </c>
      <c r="J709" s="5" t="str">
        <f>IFERROR(VLOOKUP(A709,取得元!$A$2:$F$501,5,FALSE),"-")</f>
        <v>-</v>
      </c>
      <c r="K709" s="25" t="str">
        <f>IFERROR(VLOOKUP(A709,取得元!$A$2:$F$501,6,FALSE)/100,"-")</f>
        <v>-</v>
      </c>
      <c r="L709" s="21">
        <f>_xll.RssMarket(A709,"始値")</f>
        <v>371</v>
      </c>
      <c r="M709" s="4">
        <f t="shared" si="65"/>
        <v>1.3477088948786964E-2</v>
      </c>
      <c r="N709" s="21">
        <f>_xll.RssMarket(A709,"高値")</f>
        <v>379</v>
      </c>
      <c r="O709" s="4">
        <f t="shared" si="66"/>
        <v>-7.9155672823219003E-3</v>
      </c>
      <c r="P709" s="21">
        <f>_xll.RssMarket(A709,"安値")</f>
        <v>371</v>
      </c>
      <c r="Q709" s="4">
        <f t="shared" si="67"/>
        <v>1.3477088948786964E-2</v>
      </c>
      <c r="R709" s="21">
        <f>_xll.RssMarket(A709,"後場始値")</f>
        <v>375</v>
      </c>
      <c r="S709" s="25">
        <f t="shared" si="68"/>
        <v>2.666666666666595E-3</v>
      </c>
      <c r="T709" s="7">
        <f>_xll.RssMarket(A709,"出来高加重平均")</f>
        <v>376.0179</v>
      </c>
      <c r="U709" s="4">
        <f t="shared" si="69"/>
        <v>-4.7604116718891198E-5</v>
      </c>
      <c r="V709" s="21">
        <f>_xll.RssMarket(A709,"出来高")</f>
        <v>100200</v>
      </c>
      <c r="W709" s="21">
        <f>_xll.RssMarket(A709,"売買代金")</f>
        <v>37677</v>
      </c>
      <c r="X709" s="20" t="str">
        <f>_xll.RssMarket(A709,"決算発表日")</f>
        <v>2024/01/31</v>
      </c>
      <c r="Y709" s="26" t="str">
        <f>IF(C709&gt;_xll.RssMarket(A709,"年初来高値"),"○","×")</f>
        <v>×</v>
      </c>
      <c r="Z709" s="27" t="str">
        <f>IF(C709&lt;=_xll.RssMarket(A709,"年初来安値"),"○","×")</f>
        <v>×</v>
      </c>
    </row>
    <row r="710" spans="1:26" x14ac:dyDescent="0.25">
      <c r="A710" s="47">
        <v>6494</v>
      </c>
      <c r="B710" s="20" t="str">
        <f>_xll.RssMarket(A710,"銘柄名称")</f>
        <v>ＮＦＫホールディングス</v>
      </c>
      <c r="C710" s="21">
        <f>_xll.RssMarket(A710,"現在値")</f>
        <v>95</v>
      </c>
      <c r="D710" s="20" t="str">
        <f>_xll.RssMarket(A710,"現在値詳細時刻")</f>
        <v>15:00:00</v>
      </c>
      <c r="E710" s="22">
        <f>_xll.RssMarket(A710,"前日比")</f>
        <v>-1</v>
      </c>
      <c r="F710" s="23">
        <f>_xll.RssMarket(A710,"前日比率")/100</f>
        <v>-1.04E-2</v>
      </c>
      <c r="G710" s="24" t="str">
        <f>IFERROR(VLOOKUP(A710,取得元!$A$2:$F$501,2,FALSE),"-")</f>
        <v>-</v>
      </c>
      <c r="H710" s="24" t="str">
        <f>IFERROR(VLOOKUP(A710,取得元!$A$2:$F$501,3,FALSE),"-")</f>
        <v>-</v>
      </c>
      <c r="I710" s="24" t="str">
        <f>IFERROR(VLOOKUP(A710,取得元!$A$2:$F$501,4,FALSE),"-")</f>
        <v>-</v>
      </c>
      <c r="J710" s="5" t="str">
        <f>IFERROR(VLOOKUP(A710,取得元!$A$2:$F$501,5,FALSE),"-")</f>
        <v>-</v>
      </c>
      <c r="K710" s="25" t="str">
        <f>IFERROR(VLOOKUP(A710,取得元!$A$2:$F$501,6,FALSE)/100,"-")</f>
        <v>-</v>
      </c>
      <c r="L710" s="21">
        <f>_xll.RssMarket(A710,"始値")</f>
        <v>95</v>
      </c>
      <c r="M710" s="4">
        <f t="shared" si="65"/>
        <v>0</v>
      </c>
      <c r="N710" s="21">
        <f>_xll.RssMarket(A710,"高値")</f>
        <v>95</v>
      </c>
      <c r="O710" s="4">
        <f t="shared" si="66"/>
        <v>0</v>
      </c>
      <c r="P710" s="21">
        <f>_xll.RssMarket(A710,"安値")</f>
        <v>93</v>
      </c>
      <c r="Q710" s="4">
        <f t="shared" si="67"/>
        <v>2.1505376344086002E-2</v>
      </c>
      <c r="R710" s="21">
        <f>_xll.RssMarket(A710,"後場始値")</f>
        <v>95</v>
      </c>
      <c r="S710" s="25">
        <f t="shared" si="68"/>
        <v>0</v>
      </c>
      <c r="T710" s="7">
        <f>_xll.RssMarket(A710,"出来高加重平均")</f>
        <v>94.445899999999995</v>
      </c>
      <c r="U710" s="4">
        <f t="shared" si="69"/>
        <v>5.8668507579471285E-3</v>
      </c>
      <c r="V710" s="21">
        <f>_xll.RssMarket(A710,"出来高")</f>
        <v>72200</v>
      </c>
      <c r="W710" s="21">
        <f>_xll.RssMarket(A710,"売買代金")</f>
        <v>6819</v>
      </c>
      <c r="X710" s="20" t="str">
        <f>_xll.RssMarket(A710,"決算発表日")</f>
        <v>2024/02/09</v>
      </c>
      <c r="Y710" s="26" t="str">
        <f>IF(C710&gt;_xll.RssMarket(A710,"年初来高値"),"○","×")</f>
        <v>×</v>
      </c>
      <c r="Z710" s="27" t="str">
        <f>IF(C710&lt;=_xll.RssMarket(A710,"年初来安値"),"○","×")</f>
        <v>×</v>
      </c>
    </row>
    <row r="711" spans="1:26" x14ac:dyDescent="0.25">
      <c r="A711" s="49">
        <v>6495</v>
      </c>
      <c r="B711" s="20" t="str">
        <f>_xll.RssMarket(A711,"銘柄名称")</f>
        <v>宮入バルブ</v>
      </c>
      <c r="C711" s="21">
        <f>_xll.RssMarket(A711,"現在値")</f>
        <v>119</v>
      </c>
      <c r="D711" s="20" t="str">
        <f>_xll.RssMarket(A711,"現在値詳細時刻")</f>
        <v>15:00:00</v>
      </c>
      <c r="E711" s="22">
        <f>_xll.RssMarket(A711,"前日比")</f>
        <v>0</v>
      </c>
      <c r="F711" s="23">
        <f>_xll.RssMarket(A711,"前日比率")/100</f>
        <v>0</v>
      </c>
      <c r="G711" s="24" t="str">
        <f>IFERROR(VLOOKUP(A711,取得元!$A$2:$F$501,2,FALSE),"-")</f>
        <v>-</v>
      </c>
      <c r="H711" s="24" t="str">
        <f>IFERROR(VLOOKUP(A711,取得元!$A$2:$F$501,3,FALSE),"-")</f>
        <v>-</v>
      </c>
      <c r="I711" s="24" t="str">
        <f>IFERROR(VLOOKUP(A711,取得元!$A$2:$F$501,4,FALSE),"-")</f>
        <v>-</v>
      </c>
      <c r="J711" s="5" t="str">
        <f>IFERROR(VLOOKUP(A711,取得元!$A$2:$F$501,5,FALSE),"-")</f>
        <v>-</v>
      </c>
      <c r="K711" s="25" t="str">
        <f>IFERROR(VLOOKUP(A711,取得元!$A$2:$F$501,6,FALSE)/100,"-")</f>
        <v>-</v>
      </c>
      <c r="L711" s="21">
        <f>_xll.RssMarket(A711,"始値")</f>
        <v>120</v>
      </c>
      <c r="M711" s="4">
        <f t="shared" si="65"/>
        <v>-8.3333333333333037E-3</v>
      </c>
      <c r="N711" s="21">
        <f>_xll.RssMarket(A711,"高値")</f>
        <v>120</v>
      </c>
      <c r="O711" s="4">
        <f t="shared" si="66"/>
        <v>-8.3333333333333037E-3</v>
      </c>
      <c r="P711" s="21">
        <f>_xll.RssMarket(A711,"安値")</f>
        <v>119</v>
      </c>
      <c r="Q711" s="4">
        <f t="shared" si="67"/>
        <v>0</v>
      </c>
      <c r="R711" s="21">
        <f>_xll.RssMarket(A711,"後場始値")</f>
        <v>119</v>
      </c>
      <c r="S711" s="25">
        <f t="shared" si="68"/>
        <v>0</v>
      </c>
      <c r="T711" s="7">
        <f>_xll.RssMarket(A711,"出来高加重平均")</f>
        <v>119.10890000000001</v>
      </c>
      <c r="U711" s="4">
        <f t="shared" si="69"/>
        <v>-9.1428936040893749E-4</v>
      </c>
      <c r="V711" s="21">
        <f>_xll.RssMarket(A711,"出来高")</f>
        <v>10100</v>
      </c>
      <c r="W711" s="21">
        <f>_xll.RssMarket(A711,"売買代金")</f>
        <v>1203</v>
      </c>
      <c r="X711" s="20" t="str">
        <f>_xll.RssMarket(A711,"決算発表日")</f>
        <v>2024/02/13</v>
      </c>
      <c r="Y711" s="26" t="str">
        <f>IF(C711&gt;_xll.RssMarket(A711,"年初来高値"),"○","×")</f>
        <v>×</v>
      </c>
      <c r="Z711" s="27" t="str">
        <f>IF(C711&lt;=_xll.RssMarket(A711,"年初来安値"),"○","×")</f>
        <v>×</v>
      </c>
    </row>
    <row r="712" spans="1:26" x14ac:dyDescent="0.25">
      <c r="A712" s="47">
        <v>6498</v>
      </c>
      <c r="B712" s="20" t="str">
        <f>_xll.RssMarket(A712,"銘柄名称")</f>
        <v>キッツ</v>
      </c>
      <c r="C712" s="21">
        <f>_xll.RssMarket(A712,"現在値")</f>
        <v>1221</v>
      </c>
      <c r="D712" s="20" t="str">
        <f>_xll.RssMarket(A712,"現在値詳細時刻")</f>
        <v>15:00:00</v>
      </c>
      <c r="E712" s="22">
        <f>_xll.RssMarket(A712,"前日比")</f>
        <v>2</v>
      </c>
      <c r="F712" s="23">
        <f>_xll.RssMarket(A712,"前日比率")/100</f>
        <v>1.6000000000000001E-3</v>
      </c>
      <c r="G712" s="24" t="str">
        <f>IFERROR(VLOOKUP(A712,取得元!$A$2:$F$501,2,FALSE),"-")</f>
        <v>-</v>
      </c>
      <c r="H712" s="24" t="str">
        <f>IFERROR(VLOOKUP(A712,取得元!$A$2:$F$501,3,FALSE),"-")</f>
        <v>-</v>
      </c>
      <c r="I712" s="24" t="str">
        <f>IFERROR(VLOOKUP(A712,取得元!$A$2:$F$501,4,FALSE),"-")</f>
        <v>-</v>
      </c>
      <c r="J712" s="5" t="str">
        <f>IFERROR(VLOOKUP(A712,取得元!$A$2:$F$501,5,FALSE),"-")</f>
        <v>-</v>
      </c>
      <c r="K712" s="25" t="str">
        <f>IFERROR(VLOOKUP(A712,取得元!$A$2:$F$501,6,FALSE)/100,"-")</f>
        <v>-</v>
      </c>
      <c r="L712" s="21">
        <f>_xll.RssMarket(A712,"始値")</f>
        <v>1213</v>
      </c>
      <c r="M712" s="4">
        <f t="shared" si="65"/>
        <v>6.5952184666115965E-3</v>
      </c>
      <c r="N712" s="21">
        <f>_xll.RssMarket(A712,"高値")</f>
        <v>1227</v>
      </c>
      <c r="O712" s="4">
        <f t="shared" si="66"/>
        <v>-4.8899755501222719E-3</v>
      </c>
      <c r="P712" s="21">
        <f>_xll.RssMarket(A712,"安値")</f>
        <v>1212</v>
      </c>
      <c r="Q712" s="4">
        <f t="shared" si="67"/>
        <v>7.4257425742574323E-3</v>
      </c>
      <c r="R712" s="21">
        <f>_xll.RssMarket(A712,"後場始値")</f>
        <v>1220</v>
      </c>
      <c r="S712" s="25">
        <f t="shared" si="68"/>
        <v>8.1967213114753079E-4</v>
      </c>
      <c r="T712" s="7">
        <f>_xll.RssMarket(A712,"出来高加重平均")</f>
        <v>1219.5281</v>
      </c>
      <c r="U712" s="4">
        <f t="shared" si="69"/>
        <v>1.2069422590590406E-3</v>
      </c>
      <c r="V712" s="21">
        <f>_xll.RssMarket(A712,"出来高")</f>
        <v>152600</v>
      </c>
      <c r="W712" s="21">
        <f>_xll.RssMarket(A712,"売買代金")</f>
        <v>186100</v>
      </c>
      <c r="X712" s="20" t="str">
        <f>_xll.RssMarket(A712,"決算発表日")</f>
        <v>2024/02/13</v>
      </c>
      <c r="Y712" s="26" t="str">
        <f>IF(C712&gt;_xll.RssMarket(A712,"年初来高値"),"○","×")</f>
        <v>×</v>
      </c>
      <c r="Z712" s="27" t="str">
        <f>IF(C712&lt;=_xll.RssMarket(A712,"年初来安値"),"○","×")</f>
        <v>×</v>
      </c>
    </row>
    <row r="713" spans="1:26" x14ac:dyDescent="0.25">
      <c r="A713" s="49">
        <v>6501</v>
      </c>
      <c r="B713" s="20" t="str">
        <f>_xll.RssMarket(A713,"銘柄名称")</f>
        <v>日立</v>
      </c>
      <c r="C713" s="21">
        <f>_xll.RssMarket(A713,"現在値")</f>
        <v>11720</v>
      </c>
      <c r="D713" s="20" t="str">
        <f>_xll.RssMarket(A713,"現在値詳細時刻")</f>
        <v>15:00:00</v>
      </c>
      <c r="E713" s="22">
        <f>_xll.RssMarket(A713,"前日比")</f>
        <v>-110</v>
      </c>
      <c r="F713" s="23">
        <f>_xll.RssMarket(A713,"前日比率")/100</f>
        <v>-9.300000000000001E-3</v>
      </c>
      <c r="G713" s="24" t="str">
        <f>IFERROR(VLOOKUP(A713,取得元!$A$2:$F$501,2,FALSE),"-")</f>
        <v>-</v>
      </c>
      <c r="H713" s="24" t="str">
        <f>IFERROR(VLOOKUP(A713,取得元!$A$2:$F$501,3,FALSE),"-")</f>
        <v>-</v>
      </c>
      <c r="I713" s="24" t="str">
        <f>IFERROR(VLOOKUP(A713,取得元!$A$2:$F$501,4,FALSE),"-")</f>
        <v>-</v>
      </c>
      <c r="J713" s="5" t="str">
        <f>IFERROR(VLOOKUP(A713,取得元!$A$2:$F$501,5,FALSE),"-")</f>
        <v>-</v>
      </c>
      <c r="K713" s="25" t="str">
        <f>IFERROR(VLOOKUP(A713,取得元!$A$2:$F$501,6,FALSE)/100,"-")</f>
        <v>-</v>
      </c>
      <c r="L713" s="21">
        <f>_xll.RssMarket(A713,"始値")</f>
        <v>11750</v>
      </c>
      <c r="M713" s="4">
        <f t="shared" si="65"/>
        <v>-2.553191489361728E-3</v>
      </c>
      <c r="N713" s="21">
        <f>_xll.RssMarket(A713,"高値")</f>
        <v>11910</v>
      </c>
      <c r="O713" s="4">
        <f t="shared" si="66"/>
        <v>-1.5952980688497043E-2</v>
      </c>
      <c r="P713" s="21">
        <f>_xll.RssMarket(A713,"安値")</f>
        <v>11695</v>
      </c>
      <c r="Q713" s="4">
        <f t="shared" si="67"/>
        <v>2.1376656690894613E-3</v>
      </c>
      <c r="R713" s="21">
        <f>_xll.RssMarket(A713,"後場始値")</f>
        <v>11750</v>
      </c>
      <c r="S713" s="25">
        <f t="shared" si="68"/>
        <v>-2.553191489361728E-3</v>
      </c>
      <c r="T713" s="7">
        <f>_xll.RssMarket(A713,"出来高加重平均")</f>
        <v>11752.190399999999</v>
      </c>
      <c r="U713" s="4">
        <f t="shared" si="69"/>
        <v>-2.7390978961674417E-3</v>
      </c>
      <c r="V713" s="21">
        <f>_xll.RssMarket(A713,"出来高")</f>
        <v>2053900</v>
      </c>
      <c r="W713" s="21">
        <f>_xll.RssMarket(A713,"売買代金")</f>
        <v>24137824</v>
      </c>
      <c r="X713" s="20" t="str">
        <f>_xll.RssMarket(A713,"決算発表日")</f>
        <v>2024/01/31</v>
      </c>
      <c r="Y713" s="26" t="str">
        <f>IF(C713&gt;_xll.RssMarket(A713,"年初来高値"),"○","×")</f>
        <v>×</v>
      </c>
      <c r="Z713" s="27" t="str">
        <f>IF(C713&lt;=_xll.RssMarket(A713,"年初来安値"),"○","×")</f>
        <v>×</v>
      </c>
    </row>
    <row r="714" spans="1:26" x14ac:dyDescent="0.25">
      <c r="A714" s="47">
        <v>6502</v>
      </c>
      <c r="B714" s="20" t="str">
        <f>_xll.RssMarket(A714,"銘柄名称")</f>
        <v/>
      </c>
      <c r="C714" s="21" t="str">
        <f>_xll.RssMarket(A714,"現在値")</f>
        <v/>
      </c>
      <c r="D714" s="20" t="str">
        <f>_xll.RssMarket(A714,"現在値詳細時刻")</f>
        <v/>
      </c>
      <c r="E714" s="22" t="str">
        <f>_xll.RssMarket(A714,"前日比")</f>
        <v/>
      </c>
      <c r="F714" s="23" t="e">
        <f>_xll.RssMarket(A714,"前日比率")/100</f>
        <v>#VALUE!</v>
      </c>
      <c r="G714" s="24" t="str">
        <f>IFERROR(VLOOKUP(A714,取得元!$A$2:$F$501,2,FALSE),"-")</f>
        <v>-</v>
      </c>
      <c r="H714" s="24" t="str">
        <f>IFERROR(VLOOKUP(A714,取得元!$A$2:$F$501,3,FALSE),"-")</f>
        <v>-</v>
      </c>
      <c r="I714" s="24" t="str">
        <f>IFERROR(VLOOKUP(A714,取得元!$A$2:$F$501,4,FALSE),"-")</f>
        <v>-</v>
      </c>
      <c r="J714" s="5" t="str">
        <f>IFERROR(VLOOKUP(A714,取得元!$A$2:$F$501,5,FALSE),"-")</f>
        <v>-</v>
      </c>
      <c r="K714" s="25" t="str">
        <f>IFERROR(VLOOKUP(A714,取得元!$A$2:$F$501,6,FALSE)/100,"-")</f>
        <v>-</v>
      </c>
      <c r="L714" s="21" t="str">
        <f>_xll.RssMarket(A714,"始値")</f>
        <v/>
      </c>
      <c r="M714" s="4" t="e">
        <f t="shared" si="65"/>
        <v>#VALUE!</v>
      </c>
      <c r="N714" s="21" t="str">
        <f>_xll.RssMarket(A714,"高値")</f>
        <v/>
      </c>
      <c r="O714" s="4" t="e">
        <f t="shared" si="66"/>
        <v>#VALUE!</v>
      </c>
      <c r="P714" s="21" t="str">
        <f>_xll.RssMarket(A714,"安値")</f>
        <v/>
      </c>
      <c r="Q714" s="4" t="e">
        <f t="shared" si="67"/>
        <v>#VALUE!</v>
      </c>
      <c r="R714" s="21" t="str">
        <f>_xll.RssMarket(A714,"後場始値")</f>
        <v/>
      </c>
      <c r="S714" s="25" t="str">
        <f t="shared" si="68"/>
        <v>-</v>
      </c>
      <c r="T714" s="7" t="str">
        <f>_xll.RssMarket(A714,"出来高加重平均")</f>
        <v/>
      </c>
      <c r="U714" s="4" t="e">
        <f t="shared" si="69"/>
        <v>#VALUE!</v>
      </c>
      <c r="V714" s="21" t="str">
        <f>_xll.RssMarket(A714,"出来高")</f>
        <v/>
      </c>
      <c r="W714" s="21" t="str">
        <f>_xll.RssMarket(A714,"売買代金")</f>
        <v/>
      </c>
      <c r="X714" s="20" t="str">
        <f>_xll.RssMarket(A714,"決算発表日")</f>
        <v/>
      </c>
      <c r="Y714" s="26" t="str">
        <f>IF(C714&gt;_xll.RssMarket(A714,"年初来高値"),"○","×")</f>
        <v>×</v>
      </c>
      <c r="Z714" s="27" t="str">
        <f>IF(C714&lt;=_xll.RssMarket(A714,"年初来安値"),"○","×")</f>
        <v>○</v>
      </c>
    </row>
    <row r="715" spans="1:26" x14ac:dyDescent="0.25">
      <c r="A715" s="49">
        <v>6503</v>
      </c>
      <c r="B715" s="20" t="str">
        <f>_xll.RssMarket(A715,"銘柄名称")</f>
        <v>三菱電機</v>
      </c>
      <c r="C715" s="21">
        <f>_xll.RssMarket(A715,"現在値")</f>
        <v>2015</v>
      </c>
      <c r="D715" s="20" t="str">
        <f>_xll.RssMarket(A715,"現在値詳細時刻")</f>
        <v>15:00:00</v>
      </c>
      <c r="E715" s="22">
        <f>_xll.RssMarket(A715,"前日比")</f>
        <v>-60</v>
      </c>
      <c r="F715" s="23">
        <f>_xll.RssMarket(A715,"前日比率")/100</f>
        <v>-2.8900000000000002E-2</v>
      </c>
      <c r="G715" s="24" t="str">
        <f>IFERROR(VLOOKUP(A715,取得元!$A$2:$F$501,2,FALSE),"-")</f>
        <v>-</v>
      </c>
      <c r="H715" s="24" t="str">
        <f>IFERROR(VLOOKUP(A715,取得元!$A$2:$F$501,3,FALSE),"-")</f>
        <v>-</v>
      </c>
      <c r="I715" s="24" t="str">
        <f>IFERROR(VLOOKUP(A715,取得元!$A$2:$F$501,4,FALSE),"-")</f>
        <v>-</v>
      </c>
      <c r="J715" s="5" t="str">
        <f>IFERROR(VLOOKUP(A715,取得元!$A$2:$F$501,5,FALSE),"-")</f>
        <v>-</v>
      </c>
      <c r="K715" s="25" t="str">
        <f>IFERROR(VLOOKUP(A715,取得元!$A$2:$F$501,6,FALSE)/100,"-")</f>
        <v>-</v>
      </c>
      <c r="L715" s="21">
        <f>_xll.RssMarket(A715,"始値")</f>
        <v>2068.5</v>
      </c>
      <c r="M715" s="4">
        <f t="shared" si="65"/>
        <v>-2.5864152767706039E-2</v>
      </c>
      <c r="N715" s="21">
        <f>_xll.RssMarket(A715,"高値")</f>
        <v>2068.5</v>
      </c>
      <c r="O715" s="4">
        <f t="shared" si="66"/>
        <v>-2.5864152767706039E-2</v>
      </c>
      <c r="P715" s="21">
        <f>_xll.RssMarket(A715,"安値")</f>
        <v>2010</v>
      </c>
      <c r="Q715" s="4">
        <f t="shared" si="67"/>
        <v>2.4875621890547706E-3</v>
      </c>
      <c r="R715" s="21">
        <f>_xll.RssMarket(A715,"後場始値")</f>
        <v>2030</v>
      </c>
      <c r="S715" s="25">
        <f t="shared" si="68"/>
        <v>-7.3891625615764012E-3</v>
      </c>
      <c r="T715" s="7">
        <f>_xll.RssMarket(A715,"出来高加重平均")</f>
        <v>2030.3516</v>
      </c>
      <c r="U715" s="4">
        <f t="shared" si="69"/>
        <v>-7.5610549424049989E-3</v>
      </c>
      <c r="V715" s="21">
        <f>_xll.RssMarket(A715,"出来高")</f>
        <v>10077700</v>
      </c>
      <c r="W715" s="21">
        <f>_xll.RssMarket(A715,"売買代金")</f>
        <v>20461275</v>
      </c>
      <c r="X715" s="20" t="str">
        <f>_xll.RssMarket(A715,"決算発表日")</f>
        <v>2024/02/05</v>
      </c>
      <c r="Y715" s="26" t="str">
        <f>IF(C715&gt;_xll.RssMarket(A715,"年初来高値"),"○","×")</f>
        <v>×</v>
      </c>
      <c r="Z715" s="27" t="str">
        <f>IF(C715&lt;=_xll.RssMarket(A715,"年初来安値"),"○","×")</f>
        <v>×</v>
      </c>
    </row>
    <row r="716" spans="1:26" x14ac:dyDescent="0.25">
      <c r="A716" s="47">
        <v>6504</v>
      </c>
      <c r="B716" s="20" t="str">
        <f>_xll.RssMarket(A716,"銘柄名称")</f>
        <v>富士電機</v>
      </c>
      <c r="C716" s="21">
        <f>_xll.RssMarket(A716,"現在値")</f>
        <v>8090</v>
      </c>
      <c r="D716" s="20" t="str">
        <f>_xll.RssMarket(A716,"現在値詳細時刻")</f>
        <v>15:00:00</v>
      </c>
      <c r="E716" s="22">
        <f>_xll.RssMarket(A716,"前日比")</f>
        <v>80</v>
      </c>
      <c r="F716" s="23">
        <f>_xll.RssMarket(A716,"前日比率")/100</f>
        <v>0.01</v>
      </c>
      <c r="G716" s="24" t="str">
        <f>IFERROR(VLOOKUP(A716,取得元!$A$2:$F$501,2,FALSE),"-")</f>
        <v>-</v>
      </c>
      <c r="H716" s="24" t="str">
        <f>IFERROR(VLOOKUP(A716,取得元!$A$2:$F$501,3,FALSE),"-")</f>
        <v>-</v>
      </c>
      <c r="I716" s="24" t="str">
        <f>IFERROR(VLOOKUP(A716,取得元!$A$2:$F$501,4,FALSE),"-")</f>
        <v>-</v>
      </c>
      <c r="J716" s="5" t="str">
        <f>IFERROR(VLOOKUP(A716,取得元!$A$2:$F$501,5,FALSE),"-")</f>
        <v>-</v>
      </c>
      <c r="K716" s="25" t="str">
        <f>IFERROR(VLOOKUP(A716,取得元!$A$2:$F$501,6,FALSE)/100,"-")</f>
        <v>-</v>
      </c>
      <c r="L716" s="21">
        <f>_xll.RssMarket(A716,"始値")</f>
        <v>7984</v>
      </c>
      <c r="M716" s="4">
        <f t="shared" si="65"/>
        <v>1.3276553106212452E-2</v>
      </c>
      <c r="N716" s="21">
        <f>_xll.RssMarket(A716,"高値")</f>
        <v>8112</v>
      </c>
      <c r="O716" s="4">
        <f t="shared" si="66"/>
        <v>-2.7120315581854459E-3</v>
      </c>
      <c r="P716" s="21">
        <f>_xll.RssMarket(A716,"安値")</f>
        <v>7954</v>
      </c>
      <c r="Q716" s="4">
        <f t="shared" si="67"/>
        <v>1.709831531304995E-2</v>
      </c>
      <c r="R716" s="21">
        <f>_xll.RssMarket(A716,"後場始値")</f>
        <v>8046</v>
      </c>
      <c r="S716" s="25">
        <f t="shared" si="68"/>
        <v>5.4685558041263072E-3</v>
      </c>
      <c r="T716" s="7">
        <f>_xll.RssMarket(A716,"出来高加重平均")</f>
        <v>8053.3108000000002</v>
      </c>
      <c r="U716" s="4">
        <f t="shared" si="69"/>
        <v>4.5557908928586244E-3</v>
      </c>
      <c r="V716" s="21">
        <f>_xll.RssMarket(A716,"出来高")</f>
        <v>726400</v>
      </c>
      <c r="W716" s="21">
        <f>_xll.RssMarket(A716,"売買代金")</f>
        <v>5849925</v>
      </c>
      <c r="X716" s="20" t="str">
        <f>_xll.RssMarket(A716,"決算発表日")</f>
        <v>2024/01/31</v>
      </c>
      <c r="Y716" s="26" t="str">
        <f>IF(C716&gt;_xll.RssMarket(A716,"年初来高値"),"○","×")</f>
        <v>×</v>
      </c>
      <c r="Z716" s="27" t="str">
        <f>IF(C716&lt;=_xll.RssMarket(A716,"年初来安値"),"○","×")</f>
        <v>×</v>
      </c>
    </row>
    <row r="717" spans="1:26" x14ac:dyDescent="0.25">
      <c r="A717" s="49">
        <v>6507</v>
      </c>
      <c r="B717" s="20" t="str">
        <f>_xll.RssMarket(A717,"銘柄名称")</f>
        <v>シンフォニアテクノロジー</v>
      </c>
      <c r="C717" s="21">
        <f>_xll.RssMarket(A717,"現在値")</f>
        <v>2204</v>
      </c>
      <c r="D717" s="20" t="str">
        <f>_xll.RssMarket(A717,"現在値詳細時刻")</f>
        <v>15:00:00</v>
      </c>
      <c r="E717" s="22">
        <f>_xll.RssMarket(A717,"前日比")</f>
        <v>-69</v>
      </c>
      <c r="F717" s="23">
        <f>_xll.RssMarket(A717,"前日比率")/100</f>
        <v>-3.04E-2</v>
      </c>
      <c r="G717" s="24" t="str">
        <f>IFERROR(VLOOKUP(A717,取得元!$A$2:$F$501,2,FALSE),"-")</f>
        <v>-</v>
      </c>
      <c r="H717" s="24" t="str">
        <f>IFERROR(VLOOKUP(A717,取得元!$A$2:$F$501,3,FALSE),"-")</f>
        <v>-</v>
      </c>
      <c r="I717" s="24" t="str">
        <f>IFERROR(VLOOKUP(A717,取得元!$A$2:$F$501,4,FALSE),"-")</f>
        <v>-</v>
      </c>
      <c r="J717" s="5" t="str">
        <f>IFERROR(VLOOKUP(A717,取得元!$A$2:$F$501,5,FALSE),"-")</f>
        <v>-</v>
      </c>
      <c r="K717" s="25" t="str">
        <f>IFERROR(VLOOKUP(A717,取得元!$A$2:$F$501,6,FALSE)/100,"-")</f>
        <v>-</v>
      </c>
      <c r="L717" s="21">
        <f>_xll.RssMarket(A717,"始値")</f>
        <v>2265</v>
      </c>
      <c r="M717" s="4">
        <f t="shared" si="65"/>
        <v>-2.6931567328918327E-2</v>
      </c>
      <c r="N717" s="21">
        <f>_xll.RssMarket(A717,"高値")</f>
        <v>2301</v>
      </c>
      <c r="O717" s="4">
        <f t="shared" si="66"/>
        <v>-4.2155584528465906E-2</v>
      </c>
      <c r="P717" s="21">
        <f>_xll.RssMarket(A717,"安値")</f>
        <v>2141</v>
      </c>
      <c r="Q717" s="4">
        <f t="shared" si="67"/>
        <v>2.9425502101821488E-2</v>
      </c>
      <c r="R717" s="21">
        <f>_xll.RssMarket(A717,"後場始値")</f>
        <v>2255</v>
      </c>
      <c r="S717" s="25">
        <f t="shared" si="68"/>
        <v>-2.261640798226161E-2</v>
      </c>
      <c r="T717" s="7">
        <f>_xll.RssMarket(A717,"出来高加重平均")</f>
        <v>2218.1842000000001</v>
      </c>
      <c r="U717" s="4">
        <f t="shared" si="69"/>
        <v>-6.394509527207104E-3</v>
      </c>
      <c r="V717" s="21">
        <f>_xll.RssMarket(A717,"出来高")</f>
        <v>380000</v>
      </c>
      <c r="W717" s="21">
        <f>_xll.RssMarket(A717,"売買代金")</f>
        <v>842910</v>
      </c>
      <c r="X717" s="20" t="str">
        <f>_xll.RssMarket(A717,"決算発表日")</f>
        <v>2024/02/07</v>
      </c>
      <c r="Y717" s="26" t="str">
        <f>IF(C717&gt;_xll.RssMarket(A717,"年初来高値"),"○","×")</f>
        <v>×</v>
      </c>
      <c r="Z717" s="27" t="str">
        <f>IF(C717&lt;=_xll.RssMarket(A717,"年初来安値"),"○","×")</f>
        <v>×</v>
      </c>
    </row>
    <row r="718" spans="1:26" x14ac:dyDescent="0.25">
      <c r="A718" s="47">
        <v>6513</v>
      </c>
      <c r="B718" s="20" t="str">
        <f>_xll.RssMarket(A718,"銘柄名称")</f>
        <v>オリジン</v>
      </c>
      <c r="C718" s="21">
        <f>_xll.RssMarket(A718,"現在値")</f>
        <v>1220</v>
      </c>
      <c r="D718" s="20" t="str">
        <f>_xll.RssMarket(A718,"現在値詳細時刻")</f>
        <v>15:00:00</v>
      </c>
      <c r="E718" s="22">
        <f>_xll.RssMarket(A718,"前日比")</f>
        <v>7</v>
      </c>
      <c r="F718" s="23">
        <f>_xll.RssMarket(A718,"前日比率")/100</f>
        <v>5.7999999999999996E-3</v>
      </c>
      <c r="G718" s="24" t="str">
        <f>IFERROR(VLOOKUP(A718,取得元!$A$2:$F$501,2,FALSE),"-")</f>
        <v>-</v>
      </c>
      <c r="H718" s="24" t="str">
        <f>IFERROR(VLOOKUP(A718,取得元!$A$2:$F$501,3,FALSE),"-")</f>
        <v>-</v>
      </c>
      <c r="I718" s="24" t="str">
        <f>IFERROR(VLOOKUP(A718,取得元!$A$2:$F$501,4,FALSE),"-")</f>
        <v>-</v>
      </c>
      <c r="J718" s="5" t="str">
        <f>IFERROR(VLOOKUP(A718,取得元!$A$2:$F$501,5,FALSE),"-")</f>
        <v>-</v>
      </c>
      <c r="K718" s="25" t="str">
        <f>IFERROR(VLOOKUP(A718,取得元!$A$2:$F$501,6,FALSE)/100,"-")</f>
        <v>-</v>
      </c>
      <c r="L718" s="21">
        <f>_xll.RssMarket(A718,"始値")</f>
        <v>1214</v>
      </c>
      <c r="M718" s="4">
        <f t="shared" si="65"/>
        <v>4.9423393739702615E-3</v>
      </c>
      <c r="N718" s="21">
        <f>_xll.RssMarket(A718,"高値")</f>
        <v>1234</v>
      </c>
      <c r="O718" s="4">
        <f t="shared" si="66"/>
        <v>-1.1345218800648316E-2</v>
      </c>
      <c r="P718" s="21">
        <f>_xll.RssMarket(A718,"安値")</f>
        <v>1209</v>
      </c>
      <c r="Q718" s="4">
        <f t="shared" si="67"/>
        <v>9.0984284532671378E-3</v>
      </c>
      <c r="R718" s="21">
        <f>_xll.RssMarket(A718,"後場始値")</f>
        <v>1220</v>
      </c>
      <c r="S718" s="25">
        <f t="shared" si="68"/>
        <v>0</v>
      </c>
      <c r="T718" s="7">
        <f>_xll.RssMarket(A718,"出来高加重平均")</f>
        <v>1221.6463000000001</v>
      </c>
      <c r="U718" s="4">
        <f t="shared" si="69"/>
        <v>-1.3476077322872593E-3</v>
      </c>
      <c r="V718" s="21">
        <f>_xll.RssMarket(A718,"出来高")</f>
        <v>16400</v>
      </c>
      <c r="W718" s="21">
        <f>_xll.RssMarket(A718,"売買代金")</f>
        <v>20035</v>
      </c>
      <c r="X718" s="20" t="str">
        <f>_xll.RssMarket(A718,"決算発表日")</f>
        <v>2024/02/09</v>
      </c>
      <c r="Y718" s="26" t="str">
        <f>IF(C718&gt;_xll.RssMarket(A718,"年初来高値"),"○","×")</f>
        <v>×</v>
      </c>
      <c r="Z718" s="27" t="str">
        <f>IF(C718&lt;=_xll.RssMarket(A718,"年初来安値"),"○","×")</f>
        <v>×</v>
      </c>
    </row>
    <row r="719" spans="1:26" x14ac:dyDescent="0.25">
      <c r="A719" s="49">
        <v>6522</v>
      </c>
      <c r="B719" s="20" t="str">
        <f>_xll.RssMarket(A719,"銘柄名称")</f>
        <v>アスタリスク</v>
      </c>
      <c r="C719" s="21">
        <f>_xll.RssMarket(A719,"現在値")</f>
        <v>633</v>
      </c>
      <c r="D719" s="20" t="str">
        <f>_xll.RssMarket(A719,"現在値詳細時刻")</f>
        <v>14:59:27</v>
      </c>
      <c r="E719" s="22">
        <f>_xll.RssMarket(A719,"前日比")</f>
        <v>-4</v>
      </c>
      <c r="F719" s="23">
        <f>_xll.RssMarket(A719,"前日比率")/100</f>
        <v>-6.3E-3</v>
      </c>
      <c r="G719" s="24" t="str">
        <f>IFERROR(VLOOKUP(A719,取得元!$A$2:$F$501,2,FALSE),"-")</f>
        <v>-</v>
      </c>
      <c r="H719" s="24" t="str">
        <f>IFERROR(VLOOKUP(A719,取得元!$A$2:$F$501,3,FALSE),"-")</f>
        <v>-</v>
      </c>
      <c r="I719" s="24" t="str">
        <f>IFERROR(VLOOKUP(A719,取得元!$A$2:$F$501,4,FALSE),"-")</f>
        <v>-</v>
      </c>
      <c r="J719" s="5" t="str">
        <f>IFERROR(VLOOKUP(A719,取得元!$A$2:$F$501,5,FALSE),"-")</f>
        <v>-</v>
      </c>
      <c r="K719" s="25" t="str">
        <f>IFERROR(VLOOKUP(A719,取得元!$A$2:$F$501,6,FALSE)/100,"-")</f>
        <v>-</v>
      </c>
      <c r="L719" s="21">
        <f>_xll.RssMarket(A719,"始値")</f>
        <v>632</v>
      </c>
      <c r="M719" s="4">
        <f t="shared" si="65"/>
        <v>1.5822784810126667E-3</v>
      </c>
      <c r="N719" s="21">
        <f>_xll.RssMarket(A719,"高値")</f>
        <v>638</v>
      </c>
      <c r="O719" s="4">
        <f t="shared" si="66"/>
        <v>-7.8369905956112706E-3</v>
      </c>
      <c r="P719" s="21">
        <f>_xll.RssMarket(A719,"安値")</f>
        <v>625</v>
      </c>
      <c r="Q719" s="4">
        <f t="shared" si="67"/>
        <v>1.2799999999999923E-2</v>
      </c>
      <c r="R719" s="21">
        <f>_xll.RssMarket(A719,"後場始値")</f>
        <v>629</v>
      </c>
      <c r="S719" s="25">
        <f t="shared" si="68"/>
        <v>6.3593004769475492E-3</v>
      </c>
      <c r="T719" s="7">
        <f>_xll.RssMarket(A719,"出来高加重平均")</f>
        <v>629.32069999999999</v>
      </c>
      <c r="U719" s="4">
        <f t="shared" si="69"/>
        <v>5.8464627017671411E-3</v>
      </c>
      <c r="V719" s="21">
        <f>_xll.RssMarket(A719,"出来高")</f>
        <v>26500</v>
      </c>
      <c r="W719" s="21">
        <f>_xll.RssMarket(A719,"売買代金")</f>
        <v>16677</v>
      </c>
      <c r="X719" s="20" t="str">
        <f>_xll.RssMarket(A719,"決算発表日")</f>
        <v>2024/01/12</v>
      </c>
      <c r="Y719" s="26" t="str">
        <f>IF(C719&gt;_xll.RssMarket(A719,"年初来高値"),"○","×")</f>
        <v>×</v>
      </c>
      <c r="Z719" s="27" t="str">
        <f>IF(C719&lt;=_xll.RssMarket(A719,"年初来安値"),"○","×")</f>
        <v>×</v>
      </c>
    </row>
    <row r="720" spans="1:26" x14ac:dyDescent="0.25">
      <c r="A720" s="47">
        <v>6537</v>
      </c>
      <c r="B720" s="20" t="str">
        <f>_xll.RssMarket(A720,"銘柄名称")</f>
        <v>ＷＡＳＨハウス</v>
      </c>
      <c r="C720" s="21">
        <f>_xll.RssMarket(A720,"現在値")</f>
        <v>324</v>
      </c>
      <c r="D720" s="20" t="str">
        <f>_xll.RssMarket(A720,"現在値詳細時刻")</f>
        <v>15:00:00</v>
      </c>
      <c r="E720" s="22">
        <f>_xll.RssMarket(A720,"前日比")</f>
        <v>-1</v>
      </c>
      <c r="F720" s="23">
        <f>_xll.RssMarket(A720,"前日比率")/100</f>
        <v>-3.0999999999999999E-3</v>
      </c>
      <c r="G720" s="24" t="str">
        <f>IFERROR(VLOOKUP(A720,取得元!$A$2:$F$501,2,FALSE),"-")</f>
        <v>-</v>
      </c>
      <c r="H720" s="24" t="str">
        <f>IFERROR(VLOOKUP(A720,取得元!$A$2:$F$501,3,FALSE),"-")</f>
        <v>-</v>
      </c>
      <c r="I720" s="24" t="str">
        <f>IFERROR(VLOOKUP(A720,取得元!$A$2:$F$501,4,FALSE),"-")</f>
        <v>-</v>
      </c>
      <c r="J720" s="5" t="str">
        <f>IFERROR(VLOOKUP(A720,取得元!$A$2:$F$501,5,FALSE),"-")</f>
        <v>-</v>
      </c>
      <c r="K720" s="25" t="str">
        <f>IFERROR(VLOOKUP(A720,取得元!$A$2:$F$501,6,FALSE)/100,"-")</f>
        <v>-</v>
      </c>
      <c r="L720" s="21">
        <f>_xll.RssMarket(A720,"始値")</f>
        <v>325</v>
      </c>
      <c r="M720" s="4">
        <f t="shared" si="65"/>
        <v>-3.0769230769230882E-3</v>
      </c>
      <c r="N720" s="21">
        <f>_xll.RssMarket(A720,"高値")</f>
        <v>327</v>
      </c>
      <c r="O720" s="4">
        <f t="shared" si="66"/>
        <v>-9.1743119266054496E-3</v>
      </c>
      <c r="P720" s="21">
        <f>_xll.RssMarket(A720,"安値")</f>
        <v>321</v>
      </c>
      <c r="Q720" s="4">
        <f t="shared" si="67"/>
        <v>9.3457943925232545E-3</v>
      </c>
      <c r="R720" s="21">
        <f>_xll.RssMarket(A720,"後場始値")</f>
        <v>324</v>
      </c>
      <c r="S720" s="25">
        <f t="shared" si="68"/>
        <v>0</v>
      </c>
      <c r="T720" s="7">
        <f>_xll.RssMarket(A720,"出来高加重平均")</f>
        <v>324.18689999999998</v>
      </c>
      <c r="U720" s="4">
        <f t="shared" si="69"/>
        <v>-5.7651928563429156E-4</v>
      </c>
      <c r="V720" s="21">
        <f>_xll.RssMarket(A720,"出来高")</f>
        <v>24600</v>
      </c>
      <c r="W720" s="21">
        <f>_xll.RssMarket(A720,"売買代金")</f>
        <v>7975</v>
      </c>
      <c r="X720" s="20" t="str">
        <f>_xll.RssMarket(A720,"決算発表日")</f>
        <v>2024/02/09</v>
      </c>
      <c r="Y720" s="26" t="str">
        <f>IF(C720&gt;_xll.RssMarket(A720,"年初来高値"),"○","×")</f>
        <v>×</v>
      </c>
      <c r="Z720" s="27" t="str">
        <f>IF(C720&lt;=_xll.RssMarket(A720,"年初来安値"),"○","×")</f>
        <v>×</v>
      </c>
    </row>
    <row r="721" spans="1:26" x14ac:dyDescent="0.25">
      <c r="A721" s="49">
        <v>6543</v>
      </c>
      <c r="B721" s="20" t="str">
        <f>_xll.RssMarket(A721,"銘柄名称")</f>
        <v>日宣</v>
      </c>
      <c r="C721" s="21">
        <f>_xll.RssMarket(A721,"現在値")</f>
        <v>621</v>
      </c>
      <c r="D721" s="20" t="str">
        <f>_xll.RssMarket(A721,"現在値詳細時刻")</f>
        <v>15:00:00</v>
      </c>
      <c r="E721" s="22">
        <f>_xll.RssMarket(A721,"前日比")</f>
        <v>-5</v>
      </c>
      <c r="F721" s="23">
        <f>_xll.RssMarket(A721,"前日比率")/100</f>
        <v>-8.0000000000000002E-3</v>
      </c>
      <c r="G721" s="24" t="str">
        <f>IFERROR(VLOOKUP(A721,取得元!$A$2:$F$501,2,FALSE),"-")</f>
        <v>-</v>
      </c>
      <c r="H721" s="24" t="str">
        <f>IFERROR(VLOOKUP(A721,取得元!$A$2:$F$501,3,FALSE),"-")</f>
        <v>-</v>
      </c>
      <c r="I721" s="24" t="str">
        <f>IFERROR(VLOOKUP(A721,取得元!$A$2:$F$501,4,FALSE),"-")</f>
        <v>-</v>
      </c>
      <c r="J721" s="5" t="str">
        <f>IFERROR(VLOOKUP(A721,取得元!$A$2:$F$501,5,FALSE),"-")</f>
        <v>-</v>
      </c>
      <c r="K721" s="25" t="str">
        <f>IFERROR(VLOOKUP(A721,取得元!$A$2:$F$501,6,FALSE)/100,"-")</f>
        <v>-</v>
      </c>
      <c r="L721" s="21">
        <f>_xll.RssMarket(A721,"始値")</f>
        <v>626</v>
      </c>
      <c r="M721" s="4">
        <f t="shared" si="65"/>
        <v>-7.9872204472843933E-3</v>
      </c>
      <c r="N721" s="21">
        <f>_xll.RssMarket(A721,"高値")</f>
        <v>626</v>
      </c>
      <c r="O721" s="4">
        <f t="shared" si="66"/>
        <v>-7.9872204472843933E-3</v>
      </c>
      <c r="P721" s="21">
        <f>_xll.RssMarket(A721,"安値")</f>
        <v>621</v>
      </c>
      <c r="Q721" s="4">
        <f t="shared" si="67"/>
        <v>0</v>
      </c>
      <c r="R721" s="21">
        <f>_xll.RssMarket(A721,"後場始値")</f>
        <v>622</v>
      </c>
      <c r="S721" s="25">
        <f t="shared" si="68"/>
        <v>-1.607717041800627E-3</v>
      </c>
      <c r="T721" s="7">
        <f>_xll.RssMarket(A721,"出来高加重平均")</f>
        <v>623</v>
      </c>
      <c r="U721" s="4">
        <f t="shared" si="69"/>
        <v>-3.2102728731941976E-3</v>
      </c>
      <c r="V721" s="21">
        <f>_xll.RssMarket(A721,"出来高")</f>
        <v>1000</v>
      </c>
      <c r="W721" s="21">
        <f>_xll.RssMarket(A721,"売買代金")</f>
        <v>623</v>
      </c>
      <c r="X721" s="20" t="str">
        <f>_xll.RssMarket(A721,"決算発表日")</f>
        <v>2024/01/12</v>
      </c>
      <c r="Y721" s="26" t="str">
        <f>IF(C721&gt;_xll.RssMarket(A721,"年初来高値"),"○","×")</f>
        <v>×</v>
      </c>
      <c r="Z721" s="27" t="str">
        <f>IF(C721&lt;=_xll.RssMarket(A721,"年初来安値"),"○","×")</f>
        <v>×</v>
      </c>
    </row>
    <row r="722" spans="1:26" x14ac:dyDescent="0.25">
      <c r="A722" s="47">
        <v>6545</v>
      </c>
      <c r="B722" s="20" t="str">
        <f>_xll.RssMarket(A722,"銘柄名称")</f>
        <v>インターネットインフィニティー</v>
      </c>
      <c r="C722" s="21">
        <f>_xll.RssMarket(A722,"現在値")</f>
        <v>387</v>
      </c>
      <c r="D722" s="20" t="str">
        <f>_xll.RssMarket(A722,"現在値詳細時刻")</f>
        <v>14:59:56</v>
      </c>
      <c r="E722" s="22">
        <f>_xll.RssMarket(A722,"前日比")</f>
        <v>1</v>
      </c>
      <c r="F722" s="23">
        <f>_xll.RssMarket(A722,"前日比率")/100</f>
        <v>2.5999999999999999E-3</v>
      </c>
      <c r="G722" s="24" t="str">
        <f>IFERROR(VLOOKUP(A722,取得元!$A$2:$F$501,2,FALSE),"-")</f>
        <v>-</v>
      </c>
      <c r="H722" s="24" t="str">
        <f>IFERROR(VLOOKUP(A722,取得元!$A$2:$F$501,3,FALSE),"-")</f>
        <v>-</v>
      </c>
      <c r="I722" s="24" t="str">
        <f>IFERROR(VLOOKUP(A722,取得元!$A$2:$F$501,4,FALSE),"-")</f>
        <v>-</v>
      </c>
      <c r="J722" s="5" t="str">
        <f>IFERROR(VLOOKUP(A722,取得元!$A$2:$F$501,5,FALSE),"-")</f>
        <v>-</v>
      </c>
      <c r="K722" s="25" t="str">
        <f>IFERROR(VLOOKUP(A722,取得元!$A$2:$F$501,6,FALSE)/100,"-")</f>
        <v>-</v>
      </c>
      <c r="L722" s="21">
        <f>_xll.RssMarket(A722,"始値")</f>
        <v>386</v>
      </c>
      <c r="M722" s="4">
        <f t="shared" si="65"/>
        <v>2.5906735751295429E-3</v>
      </c>
      <c r="N722" s="21">
        <f>_xll.RssMarket(A722,"高値")</f>
        <v>387</v>
      </c>
      <c r="O722" s="4">
        <f t="shared" si="66"/>
        <v>0</v>
      </c>
      <c r="P722" s="21">
        <f>_xll.RssMarket(A722,"安値")</f>
        <v>386</v>
      </c>
      <c r="Q722" s="4">
        <f t="shared" si="67"/>
        <v>2.5906735751295429E-3</v>
      </c>
      <c r="R722" s="21">
        <f>_xll.RssMarket(A722,"後場始値")</f>
        <v>387</v>
      </c>
      <c r="S722" s="25">
        <f t="shared" si="68"/>
        <v>0</v>
      </c>
      <c r="T722" s="7">
        <f>_xll.RssMarket(A722,"出来高加重平均")</f>
        <v>386.25</v>
      </c>
      <c r="U722" s="4">
        <f t="shared" si="69"/>
        <v>1.9417475728156219E-3</v>
      </c>
      <c r="V722" s="21">
        <f>_xll.RssMarket(A722,"出来高")</f>
        <v>800</v>
      </c>
      <c r="W722" s="21">
        <f>_xll.RssMarket(A722,"売買代金")</f>
        <v>309</v>
      </c>
      <c r="X722" s="20" t="str">
        <f>_xll.RssMarket(A722,"決算発表日")</f>
        <v>2024/02/14</v>
      </c>
      <c r="Y722" s="26" t="str">
        <f>IF(C722&gt;_xll.RssMarket(A722,"年初来高値"),"○","×")</f>
        <v>×</v>
      </c>
      <c r="Z722" s="27" t="str">
        <f>IF(C722&lt;=_xll.RssMarket(A722,"年初来安値"),"○","×")</f>
        <v>×</v>
      </c>
    </row>
    <row r="723" spans="1:26" x14ac:dyDescent="0.25">
      <c r="A723" s="49">
        <v>6550</v>
      </c>
      <c r="B723" s="20" t="str">
        <f>_xll.RssMarket(A723,"銘柄名称")</f>
        <v>Ｕｎｉｐｏｓ</v>
      </c>
      <c r="C723" s="21">
        <f>_xll.RssMarket(A723,"現在値")</f>
        <v>159</v>
      </c>
      <c r="D723" s="20" t="str">
        <f>_xll.RssMarket(A723,"現在値詳細時刻")</f>
        <v>15:00:00</v>
      </c>
      <c r="E723" s="22">
        <f>_xll.RssMarket(A723,"前日比")</f>
        <v>-2</v>
      </c>
      <c r="F723" s="23">
        <f>_xll.RssMarket(A723,"前日比率")/100</f>
        <v>-1.24E-2</v>
      </c>
      <c r="G723" s="24" t="str">
        <f>IFERROR(VLOOKUP(A723,取得元!$A$2:$F$501,2,FALSE),"-")</f>
        <v>-</v>
      </c>
      <c r="H723" s="24" t="str">
        <f>IFERROR(VLOOKUP(A723,取得元!$A$2:$F$501,3,FALSE),"-")</f>
        <v>-</v>
      </c>
      <c r="I723" s="24" t="str">
        <f>IFERROR(VLOOKUP(A723,取得元!$A$2:$F$501,4,FALSE),"-")</f>
        <v>-</v>
      </c>
      <c r="J723" s="5" t="str">
        <f>IFERROR(VLOOKUP(A723,取得元!$A$2:$F$501,5,FALSE),"-")</f>
        <v>-</v>
      </c>
      <c r="K723" s="25" t="str">
        <f>IFERROR(VLOOKUP(A723,取得元!$A$2:$F$501,6,FALSE)/100,"-")</f>
        <v>-</v>
      </c>
      <c r="L723" s="21">
        <f>_xll.RssMarket(A723,"始値")</f>
        <v>158</v>
      </c>
      <c r="M723" s="4">
        <f t="shared" si="65"/>
        <v>6.3291139240506666E-3</v>
      </c>
      <c r="N723" s="21">
        <f>_xll.RssMarket(A723,"高値")</f>
        <v>160</v>
      </c>
      <c r="O723" s="4">
        <f t="shared" si="66"/>
        <v>-6.2499999999999778E-3</v>
      </c>
      <c r="P723" s="21">
        <f>_xll.RssMarket(A723,"安値")</f>
        <v>158</v>
      </c>
      <c r="Q723" s="4">
        <f t="shared" si="67"/>
        <v>6.3291139240506666E-3</v>
      </c>
      <c r="R723" s="21">
        <f>_xll.RssMarket(A723,"後場始値")</f>
        <v>159</v>
      </c>
      <c r="S723" s="25">
        <f t="shared" si="68"/>
        <v>0</v>
      </c>
      <c r="T723" s="7">
        <f>_xll.RssMarket(A723,"出来高加重平均")</f>
        <v>158.64259999999999</v>
      </c>
      <c r="U723" s="4">
        <f t="shared" si="69"/>
        <v>2.252862724136051E-3</v>
      </c>
      <c r="V723" s="21">
        <f>_xll.RssMarket(A723,"出来高")</f>
        <v>58200</v>
      </c>
      <c r="W723" s="21">
        <f>_xll.RssMarket(A723,"売買代金")</f>
        <v>9233</v>
      </c>
      <c r="X723" s="20" t="str">
        <f>_xll.RssMarket(A723,"決算発表日")</f>
        <v>-</v>
      </c>
      <c r="Y723" s="26" t="str">
        <f>IF(C723&gt;_xll.RssMarket(A723,"年初来高値"),"○","×")</f>
        <v>×</v>
      </c>
      <c r="Z723" s="27" t="str">
        <f>IF(C723&lt;=_xll.RssMarket(A723,"年初来安値"),"○","×")</f>
        <v>×</v>
      </c>
    </row>
    <row r="724" spans="1:26" x14ac:dyDescent="0.25">
      <c r="A724" s="47">
        <v>6552</v>
      </c>
      <c r="B724" s="20" t="str">
        <f>_xll.RssMarket(A724,"銘柄名称")</f>
        <v>ＧＡＭＥＷＩＴＨ</v>
      </c>
      <c r="C724" s="21">
        <f>_xll.RssMarket(A724,"現在値")</f>
        <v>312</v>
      </c>
      <c r="D724" s="20" t="str">
        <f>_xll.RssMarket(A724,"現在値詳細時刻")</f>
        <v>15:00:00</v>
      </c>
      <c r="E724" s="22">
        <f>_xll.RssMarket(A724,"前日比")</f>
        <v>0</v>
      </c>
      <c r="F724" s="23">
        <f>_xll.RssMarket(A724,"前日比率")/100</f>
        <v>0</v>
      </c>
      <c r="G724" s="24" t="str">
        <f>IFERROR(VLOOKUP(A724,取得元!$A$2:$F$501,2,FALSE),"-")</f>
        <v>-</v>
      </c>
      <c r="H724" s="24" t="str">
        <f>IFERROR(VLOOKUP(A724,取得元!$A$2:$F$501,3,FALSE),"-")</f>
        <v>-</v>
      </c>
      <c r="I724" s="24" t="str">
        <f>IFERROR(VLOOKUP(A724,取得元!$A$2:$F$501,4,FALSE),"-")</f>
        <v>-</v>
      </c>
      <c r="J724" s="5" t="str">
        <f>IFERROR(VLOOKUP(A724,取得元!$A$2:$F$501,5,FALSE),"-")</f>
        <v>-</v>
      </c>
      <c r="K724" s="25" t="str">
        <f>IFERROR(VLOOKUP(A724,取得元!$A$2:$F$501,6,FALSE)/100,"-")</f>
        <v>-</v>
      </c>
      <c r="L724" s="21">
        <f>_xll.RssMarket(A724,"始値")</f>
        <v>309</v>
      </c>
      <c r="M724" s="4">
        <f t="shared" si="65"/>
        <v>9.7087378640776656E-3</v>
      </c>
      <c r="N724" s="21">
        <f>_xll.RssMarket(A724,"高値")</f>
        <v>312</v>
      </c>
      <c r="O724" s="4">
        <f t="shared" si="66"/>
        <v>0</v>
      </c>
      <c r="P724" s="21">
        <f>_xll.RssMarket(A724,"安値")</f>
        <v>308</v>
      </c>
      <c r="Q724" s="4">
        <f t="shared" si="67"/>
        <v>1.298701298701288E-2</v>
      </c>
      <c r="R724" s="21">
        <f>_xll.RssMarket(A724,"後場始値")</f>
        <v>311</v>
      </c>
      <c r="S724" s="25">
        <f t="shared" si="68"/>
        <v>3.215434083601254E-3</v>
      </c>
      <c r="T724" s="7">
        <f>_xll.RssMarket(A724,"出来高加重平均")</f>
        <v>310.03309999999999</v>
      </c>
      <c r="U724" s="4">
        <f t="shared" si="69"/>
        <v>6.3441613169690214E-3</v>
      </c>
      <c r="V724" s="21">
        <f>_xll.RssMarket(A724,"出来高")</f>
        <v>90600</v>
      </c>
      <c r="W724" s="21">
        <f>_xll.RssMarket(A724,"売買代金")</f>
        <v>28089</v>
      </c>
      <c r="X724" s="20" t="str">
        <f>_xll.RssMarket(A724,"決算発表日")</f>
        <v>2024/01/10</v>
      </c>
      <c r="Y724" s="26" t="str">
        <f>IF(C724&gt;_xll.RssMarket(A724,"年初来高値"),"○","×")</f>
        <v>×</v>
      </c>
      <c r="Z724" s="27" t="str">
        <f>IF(C724&lt;=_xll.RssMarket(A724,"年初来安値"),"○","×")</f>
        <v>×</v>
      </c>
    </row>
    <row r="725" spans="1:26" x14ac:dyDescent="0.25">
      <c r="A725" s="49">
        <v>6554</v>
      </c>
      <c r="B725" s="20" t="str">
        <f>_xll.RssMarket(A725,"銘柄名称")</f>
        <v>エスユーエス</v>
      </c>
      <c r="C725" s="21">
        <f>_xll.RssMarket(A725,"現在値")</f>
        <v>810</v>
      </c>
      <c r="D725" s="20" t="str">
        <f>_xll.RssMarket(A725,"現在値詳細時刻")</f>
        <v>15:00:00</v>
      </c>
      <c r="E725" s="22">
        <f>_xll.RssMarket(A725,"前日比")</f>
        <v>-19</v>
      </c>
      <c r="F725" s="23">
        <f>_xll.RssMarket(A725,"前日比率")/100</f>
        <v>-2.29E-2</v>
      </c>
      <c r="G725" s="24" t="str">
        <f>IFERROR(VLOOKUP(A725,取得元!$A$2:$F$501,2,FALSE),"-")</f>
        <v>-</v>
      </c>
      <c r="H725" s="24" t="str">
        <f>IFERROR(VLOOKUP(A725,取得元!$A$2:$F$501,3,FALSE),"-")</f>
        <v>-</v>
      </c>
      <c r="I725" s="24" t="str">
        <f>IFERROR(VLOOKUP(A725,取得元!$A$2:$F$501,4,FALSE),"-")</f>
        <v>-</v>
      </c>
      <c r="J725" s="5" t="str">
        <f>IFERROR(VLOOKUP(A725,取得元!$A$2:$F$501,5,FALSE),"-")</f>
        <v>-</v>
      </c>
      <c r="K725" s="25" t="str">
        <f>IFERROR(VLOOKUP(A725,取得元!$A$2:$F$501,6,FALSE)/100,"-")</f>
        <v>-</v>
      </c>
      <c r="L725" s="21">
        <f>_xll.RssMarket(A725,"始値")</f>
        <v>822</v>
      </c>
      <c r="M725" s="4">
        <f t="shared" si="65"/>
        <v>-1.4598540145985384E-2</v>
      </c>
      <c r="N725" s="21">
        <f>_xll.RssMarket(A725,"高値")</f>
        <v>822</v>
      </c>
      <c r="O725" s="4">
        <f t="shared" si="66"/>
        <v>-1.4598540145985384E-2</v>
      </c>
      <c r="P725" s="21">
        <f>_xll.RssMarket(A725,"安値")</f>
        <v>800</v>
      </c>
      <c r="Q725" s="4">
        <f t="shared" si="67"/>
        <v>1.2499999999999956E-2</v>
      </c>
      <c r="R725" s="21">
        <f>_xll.RssMarket(A725,"後場始値")</f>
        <v>807</v>
      </c>
      <c r="S725" s="25">
        <f t="shared" si="68"/>
        <v>3.7174721189590088E-3</v>
      </c>
      <c r="T725" s="7">
        <f>_xll.RssMarket(A725,"出来高加重平均")</f>
        <v>808.93610000000001</v>
      </c>
      <c r="U725" s="4">
        <f t="shared" si="69"/>
        <v>1.3151842277776549E-3</v>
      </c>
      <c r="V725" s="21">
        <f>_xll.RssMarket(A725,"出来高")</f>
        <v>37600</v>
      </c>
      <c r="W725" s="21">
        <f>_xll.RssMarket(A725,"売買代金")</f>
        <v>30416</v>
      </c>
      <c r="X725" s="20" t="str">
        <f>_xll.RssMarket(A725,"決算発表日")</f>
        <v>2024/02/14</v>
      </c>
      <c r="Y725" s="26" t="str">
        <f>IF(C725&gt;_xll.RssMarket(A725,"年初来高値"),"○","×")</f>
        <v>×</v>
      </c>
      <c r="Z725" s="27" t="str">
        <f>IF(C725&lt;=_xll.RssMarket(A725,"年初来安値"),"○","×")</f>
        <v>×</v>
      </c>
    </row>
    <row r="726" spans="1:26" x14ac:dyDescent="0.25">
      <c r="A726" s="47">
        <v>6555</v>
      </c>
      <c r="B726" s="20" t="str">
        <f>_xll.RssMarket(A726,"銘柄名称")</f>
        <v>ＭＳ＆ＣＯＮＳＵＬＴＩＮＧ</v>
      </c>
      <c r="C726" s="21">
        <f>_xll.RssMarket(A726,"現在値")</f>
        <v>590</v>
      </c>
      <c r="D726" s="20" t="str">
        <f>_xll.RssMarket(A726,"現在値詳細時刻")</f>
        <v>15:00:00</v>
      </c>
      <c r="E726" s="22">
        <f>_xll.RssMarket(A726,"前日比")</f>
        <v>-8</v>
      </c>
      <c r="F726" s="23">
        <f>_xll.RssMarket(A726,"前日比率")/100</f>
        <v>-1.34E-2</v>
      </c>
      <c r="G726" s="24" t="str">
        <f>IFERROR(VLOOKUP(A726,取得元!$A$2:$F$501,2,FALSE),"-")</f>
        <v>-</v>
      </c>
      <c r="H726" s="24" t="str">
        <f>IFERROR(VLOOKUP(A726,取得元!$A$2:$F$501,3,FALSE),"-")</f>
        <v>-</v>
      </c>
      <c r="I726" s="24" t="str">
        <f>IFERROR(VLOOKUP(A726,取得元!$A$2:$F$501,4,FALSE),"-")</f>
        <v>-</v>
      </c>
      <c r="J726" s="5" t="str">
        <f>IFERROR(VLOOKUP(A726,取得元!$A$2:$F$501,5,FALSE),"-")</f>
        <v>-</v>
      </c>
      <c r="K726" s="25" t="str">
        <f>IFERROR(VLOOKUP(A726,取得元!$A$2:$F$501,6,FALSE)/100,"-")</f>
        <v>-</v>
      </c>
      <c r="L726" s="21">
        <f>_xll.RssMarket(A726,"始値")</f>
        <v>591</v>
      </c>
      <c r="M726" s="4">
        <f t="shared" ref="M726:M789" si="70">C726/L726-1</f>
        <v>-1.6920473773265332E-3</v>
      </c>
      <c r="N726" s="21">
        <f>_xll.RssMarket(A726,"高値")</f>
        <v>595</v>
      </c>
      <c r="O726" s="4">
        <f t="shared" ref="O726:O789" si="71">C726/N726-1</f>
        <v>-8.4033613445377853E-3</v>
      </c>
      <c r="P726" s="21">
        <f>_xll.RssMarket(A726,"安値")</f>
        <v>588</v>
      </c>
      <c r="Q726" s="4">
        <f t="shared" ref="Q726:Q789" si="72">C726/P726-1</f>
        <v>3.4013605442175798E-3</v>
      </c>
      <c r="R726" s="21">
        <f>_xll.RssMarket(A726,"後場始値")</f>
        <v>593</v>
      </c>
      <c r="S726" s="25">
        <f t="shared" ref="S726:S789" si="73">IFERROR(C726/R726-1,"-")</f>
        <v>-5.0590219224283528E-3</v>
      </c>
      <c r="T726" s="7">
        <f>_xll.RssMarket(A726,"出来高加重平均")</f>
        <v>590.93020000000001</v>
      </c>
      <c r="U726" s="4">
        <f t="shared" ref="U726:U789" si="74">C726/T726-1</f>
        <v>-1.5741283826753438E-3</v>
      </c>
      <c r="V726" s="21">
        <f>_xll.RssMarket(A726,"出来高")</f>
        <v>8600</v>
      </c>
      <c r="W726" s="21">
        <f>_xll.RssMarket(A726,"売買代金")</f>
        <v>5082</v>
      </c>
      <c r="X726" s="20" t="str">
        <f>_xll.RssMarket(A726,"決算発表日")</f>
        <v>2024/01/12</v>
      </c>
      <c r="Y726" s="26" t="str">
        <f>IF(C726&gt;_xll.RssMarket(A726,"年初来高値"),"○","×")</f>
        <v>×</v>
      </c>
      <c r="Z726" s="27" t="str">
        <f>IF(C726&lt;=_xll.RssMarket(A726,"年初来安値"),"○","×")</f>
        <v>×</v>
      </c>
    </row>
    <row r="727" spans="1:26" x14ac:dyDescent="0.25">
      <c r="A727" s="49">
        <v>6556</v>
      </c>
      <c r="B727" s="20" t="str">
        <f>_xll.RssMarket(A727,"銘柄名称")</f>
        <v>ウェルビー</v>
      </c>
      <c r="C727" s="21">
        <f>_xll.RssMarket(A727,"現在値")</f>
        <v>851</v>
      </c>
      <c r="D727" s="20" t="str">
        <f>_xll.RssMarket(A727,"現在値詳細時刻")</f>
        <v>15:00:00</v>
      </c>
      <c r="E727" s="22">
        <f>_xll.RssMarket(A727,"前日比")</f>
        <v>-3</v>
      </c>
      <c r="F727" s="23">
        <f>_xll.RssMarket(A727,"前日比率")/100</f>
        <v>-3.4999999999999996E-3</v>
      </c>
      <c r="G727" s="24" t="str">
        <f>IFERROR(VLOOKUP(A727,取得元!$A$2:$F$501,2,FALSE),"-")</f>
        <v>-</v>
      </c>
      <c r="H727" s="24" t="str">
        <f>IFERROR(VLOOKUP(A727,取得元!$A$2:$F$501,3,FALSE),"-")</f>
        <v>-</v>
      </c>
      <c r="I727" s="24" t="str">
        <f>IFERROR(VLOOKUP(A727,取得元!$A$2:$F$501,4,FALSE),"-")</f>
        <v>-</v>
      </c>
      <c r="J727" s="5" t="str">
        <f>IFERROR(VLOOKUP(A727,取得元!$A$2:$F$501,5,FALSE),"-")</f>
        <v>-</v>
      </c>
      <c r="K727" s="25" t="str">
        <f>IFERROR(VLOOKUP(A727,取得元!$A$2:$F$501,6,FALSE)/100,"-")</f>
        <v>-</v>
      </c>
      <c r="L727" s="21">
        <f>_xll.RssMarket(A727,"始値")</f>
        <v>851</v>
      </c>
      <c r="M727" s="4">
        <f t="shared" si="70"/>
        <v>0</v>
      </c>
      <c r="N727" s="21">
        <f>_xll.RssMarket(A727,"高値")</f>
        <v>854</v>
      </c>
      <c r="O727" s="4">
        <f t="shared" si="71"/>
        <v>-3.5128805620608938E-3</v>
      </c>
      <c r="P727" s="21">
        <f>_xll.RssMarket(A727,"安値")</f>
        <v>833</v>
      </c>
      <c r="Q727" s="4">
        <f t="shared" si="72"/>
        <v>2.1608643457383003E-2</v>
      </c>
      <c r="R727" s="21">
        <f>_xll.RssMarket(A727,"後場始値")</f>
        <v>841</v>
      </c>
      <c r="S727" s="25">
        <f t="shared" si="73"/>
        <v>1.189060642092743E-2</v>
      </c>
      <c r="T727" s="7">
        <f>_xll.RssMarket(A727,"出来高加重平均")</f>
        <v>842.88130000000001</v>
      </c>
      <c r="U727" s="4">
        <f t="shared" si="74"/>
        <v>9.6320798669990992E-3</v>
      </c>
      <c r="V727" s="21">
        <f>_xll.RssMarket(A727,"出来高")</f>
        <v>118000</v>
      </c>
      <c r="W727" s="21">
        <f>_xll.RssMarket(A727,"売買代金")</f>
        <v>99460</v>
      </c>
      <c r="X727" s="20" t="str">
        <f>_xll.RssMarket(A727,"決算発表日")</f>
        <v>2024/02/13</v>
      </c>
      <c r="Y727" s="26" t="str">
        <f>IF(C727&gt;_xll.RssMarket(A727,"年初来高値"),"○","×")</f>
        <v>×</v>
      </c>
      <c r="Z727" s="27" t="str">
        <f>IF(C727&lt;=_xll.RssMarket(A727,"年初来安値"),"○","×")</f>
        <v>×</v>
      </c>
    </row>
    <row r="728" spans="1:26" x14ac:dyDescent="0.25">
      <c r="A728" s="47">
        <v>6557</v>
      </c>
      <c r="B728" s="20" t="str">
        <f>_xll.RssMarket(A728,"銘柄名称")</f>
        <v>ＡＩＡＩグループ</v>
      </c>
      <c r="C728" s="21">
        <f>_xll.RssMarket(A728,"現在値")</f>
        <v>1470</v>
      </c>
      <c r="D728" s="20" t="str">
        <f>_xll.RssMarket(A728,"現在値詳細時刻")</f>
        <v>15:00:00</v>
      </c>
      <c r="E728" s="22">
        <f>_xll.RssMarket(A728,"前日比")</f>
        <v>16</v>
      </c>
      <c r="F728" s="23">
        <f>_xll.RssMarket(A728,"前日比率")/100</f>
        <v>1.1000000000000001E-2</v>
      </c>
      <c r="G728" s="24" t="str">
        <f>IFERROR(VLOOKUP(A728,取得元!$A$2:$F$501,2,FALSE),"-")</f>
        <v>-</v>
      </c>
      <c r="H728" s="24" t="str">
        <f>IFERROR(VLOOKUP(A728,取得元!$A$2:$F$501,3,FALSE),"-")</f>
        <v>-</v>
      </c>
      <c r="I728" s="24" t="str">
        <f>IFERROR(VLOOKUP(A728,取得元!$A$2:$F$501,4,FALSE),"-")</f>
        <v>-</v>
      </c>
      <c r="J728" s="5" t="str">
        <f>IFERROR(VLOOKUP(A728,取得元!$A$2:$F$501,5,FALSE),"-")</f>
        <v>-</v>
      </c>
      <c r="K728" s="25" t="str">
        <f>IFERROR(VLOOKUP(A728,取得元!$A$2:$F$501,6,FALSE)/100,"-")</f>
        <v>-</v>
      </c>
      <c r="L728" s="21">
        <f>_xll.RssMarket(A728,"始値")</f>
        <v>1411</v>
      </c>
      <c r="M728" s="4">
        <f t="shared" si="70"/>
        <v>4.1814316087880998E-2</v>
      </c>
      <c r="N728" s="21">
        <f>_xll.RssMarket(A728,"高値")</f>
        <v>1527</v>
      </c>
      <c r="O728" s="4">
        <f t="shared" si="71"/>
        <v>-3.7328094302554016E-2</v>
      </c>
      <c r="P728" s="21">
        <f>_xll.RssMarket(A728,"安値")</f>
        <v>1400</v>
      </c>
      <c r="Q728" s="4">
        <f t="shared" si="72"/>
        <v>5.0000000000000044E-2</v>
      </c>
      <c r="R728" s="21">
        <f>_xll.RssMarket(A728,"後場始値")</f>
        <v>1484</v>
      </c>
      <c r="S728" s="25">
        <f t="shared" si="73"/>
        <v>-9.4339622641509413E-3</v>
      </c>
      <c r="T728" s="7">
        <f>_xll.RssMarket(A728,"出来高加重平均")</f>
        <v>1461.4197999999999</v>
      </c>
      <c r="U728" s="4">
        <f t="shared" si="74"/>
        <v>5.8711398326476427E-3</v>
      </c>
      <c r="V728" s="21">
        <f>_xll.RssMarket(A728,"出来高")</f>
        <v>213400</v>
      </c>
      <c r="W728" s="21">
        <f>_xll.RssMarket(A728,"売買代金")</f>
        <v>311867</v>
      </c>
      <c r="X728" s="20" t="str">
        <f>_xll.RssMarket(A728,"決算発表日")</f>
        <v>2024/02/01</v>
      </c>
      <c r="Y728" s="26" t="str">
        <f>IF(C728&gt;_xll.RssMarket(A728,"年初来高値"),"○","×")</f>
        <v>×</v>
      </c>
      <c r="Z728" s="27" t="str">
        <f>IF(C728&lt;=_xll.RssMarket(A728,"年初来安値"),"○","×")</f>
        <v>×</v>
      </c>
    </row>
    <row r="729" spans="1:26" x14ac:dyDescent="0.25">
      <c r="A729" s="49">
        <v>6573</v>
      </c>
      <c r="B729" s="20" t="str">
        <f>_xll.RssMarket(A729,"銘柄名称")</f>
        <v>アジャイルメディア・ネット</v>
      </c>
      <c r="C729" s="21">
        <f>_xll.RssMarket(A729,"現在値")</f>
        <v>349</v>
      </c>
      <c r="D729" s="20" t="str">
        <f>_xll.RssMarket(A729,"現在値詳細時刻")</f>
        <v>15:00:00</v>
      </c>
      <c r="E729" s="22">
        <f>_xll.RssMarket(A729,"前日比")</f>
        <v>-10</v>
      </c>
      <c r="F729" s="23">
        <f>_xll.RssMarket(A729,"前日比率")/100</f>
        <v>-2.7900000000000001E-2</v>
      </c>
      <c r="G729" s="24" t="str">
        <f>IFERROR(VLOOKUP(A729,取得元!$A$2:$F$501,2,FALSE),"-")</f>
        <v>-</v>
      </c>
      <c r="H729" s="24" t="str">
        <f>IFERROR(VLOOKUP(A729,取得元!$A$2:$F$501,3,FALSE),"-")</f>
        <v>-</v>
      </c>
      <c r="I729" s="24" t="str">
        <f>IFERROR(VLOOKUP(A729,取得元!$A$2:$F$501,4,FALSE),"-")</f>
        <v>-</v>
      </c>
      <c r="J729" s="5" t="str">
        <f>IFERROR(VLOOKUP(A729,取得元!$A$2:$F$501,5,FALSE),"-")</f>
        <v>-</v>
      </c>
      <c r="K729" s="25" t="str">
        <f>IFERROR(VLOOKUP(A729,取得元!$A$2:$F$501,6,FALSE)/100,"-")</f>
        <v>-</v>
      </c>
      <c r="L729" s="21">
        <f>_xll.RssMarket(A729,"始値")</f>
        <v>351</v>
      </c>
      <c r="M729" s="4">
        <f t="shared" si="70"/>
        <v>-5.6980056980057148E-3</v>
      </c>
      <c r="N729" s="21">
        <f>_xll.RssMarket(A729,"高値")</f>
        <v>359</v>
      </c>
      <c r="O729" s="4">
        <f t="shared" si="71"/>
        <v>-2.7855153203342642E-2</v>
      </c>
      <c r="P729" s="21">
        <f>_xll.RssMarket(A729,"安値")</f>
        <v>339</v>
      </c>
      <c r="Q729" s="4">
        <f t="shared" si="72"/>
        <v>2.9498525073746285E-2</v>
      </c>
      <c r="R729" s="21">
        <f>_xll.RssMarket(A729,"後場始値")</f>
        <v>343</v>
      </c>
      <c r="S729" s="25">
        <f t="shared" si="73"/>
        <v>1.7492711370262315E-2</v>
      </c>
      <c r="T729" s="7">
        <f>_xll.RssMarket(A729,"出来高加重平均")</f>
        <v>347.28980000000001</v>
      </c>
      <c r="U729" s="4">
        <f t="shared" si="74"/>
        <v>4.9244175901508314E-3</v>
      </c>
      <c r="V729" s="21">
        <f>_xll.RssMarket(A729,"出来高")</f>
        <v>599600</v>
      </c>
      <c r="W729" s="21">
        <f>_xll.RssMarket(A729,"売買代金")</f>
        <v>208235</v>
      </c>
      <c r="X729" s="20" t="str">
        <f>_xll.RssMarket(A729,"決算発表日")</f>
        <v>-</v>
      </c>
      <c r="Y729" s="26" t="str">
        <f>IF(C729&gt;_xll.RssMarket(A729,"年初来高値"),"○","×")</f>
        <v>×</v>
      </c>
      <c r="Z729" s="27" t="str">
        <f>IF(C729&lt;=_xll.RssMarket(A729,"年初来安値"),"○","×")</f>
        <v>×</v>
      </c>
    </row>
    <row r="730" spans="1:26" x14ac:dyDescent="0.25">
      <c r="A730" s="47">
        <v>6574</v>
      </c>
      <c r="B730" s="20" t="str">
        <f>_xll.RssMarket(A730,"銘柄名称")</f>
        <v>コンヴァノ</v>
      </c>
      <c r="C730" s="21">
        <f>_xll.RssMarket(A730,"現在値")</f>
        <v>808</v>
      </c>
      <c r="D730" s="20" t="str">
        <f>_xll.RssMarket(A730,"現在値詳細時刻")</f>
        <v>15:00:00</v>
      </c>
      <c r="E730" s="22">
        <f>_xll.RssMarket(A730,"前日比")</f>
        <v>21</v>
      </c>
      <c r="F730" s="23">
        <f>_xll.RssMarket(A730,"前日比率")/100</f>
        <v>2.6699999999999998E-2</v>
      </c>
      <c r="G730" s="24" t="str">
        <f>IFERROR(VLOOKUP(A730,取得元!$A$2:$F$501,2,FALSE),"-")</f>
        <v>-</v>
      </c>
      <c r="H730" s="24" t="str">
        <f>IFERROR(VLOOKUP(A730,取得元!$A$2:$F$501,3,FALSE),"-")</f>
        <v>-</v>
      </c>
      <c r="I730" s="24" t="str">
        <f>IFERROR(VLOOKUP(A730,取得元!$A$2:$F$501,4,FALSE),"-")</f>
        <v>-</v>
      </c>
      <c r="J730" s="5" t="str">
        <f>IFERROR(VLOOKUP(A730,取得元!$A$2:$F$501,5,FALSE),"-")</f>
        <v>-</v>
      </c>
      <c r="K730" s="25" t="str">
        <f>IFERROR(VLOOKUP(A730,取得元!$A$2:$F$501,6,FALSE)/100,"-")</f>
        <v>-</v>
      </c>
      <c r="L730" s="21">
        <f>_xll.RssMarket(A730,"始値")</f>
        <v>800</v>
      </c>
      <c r="M730" s="4">
        <f t="shared" si="70"/>
        <v>1.0000000000000009E-2</v>
      </c>
      <c r="N730" s="21">
        <f>_xll.RssMarket(A730,"高値")</f>
        <v>808</v>
      </c>
      <c r="O730" s="4">
        <f t="shared" si="71"/>
        <v>0</v>
      </c>
      <c r="P730" s="21">
        <f>_xll.RssMarket(A730,"安値")</f>
        <v>789</v>
      </c>
      <c r="Q730" s="4">
        <f t="shared" si="72"/>
        <v>2.4081115335868208E-2</v>
      </c>
      <c r="R730" s="21">
        <f>_xll.RssMarket(A730,"後場始値")</f>
        <v>793</v>
      </c>
      <c r="S730" s="25">
        <f t="shared" si="73"/>
        <v>1.8915510718789497E-2</v>
      </c>
      <c r="T730" s="7">
        <f>_xll.RssMarket(A730,"出来高加重平均")</f>
        <v>798.33330000000001</v>
      </c>
      <c r="U730" s="4">
        <f t="shared" si="74"/>
        <v>1.2108601758187953E-2</v>
      </c>
      <c r="V730" s="21">
        <f>_xll.RssMarket(A730,"出来高")</f>
        <v>1800</v>
      </c>
      <c r="W730" s="21">
        <f>_xll.RssMarket(A730,"売買代金")</f>
        <v>1437</v>
      </c>
      <c r="X730" s="20" t="str">
        <f>_xll.RssMarket(A730,"決算発表日")</f>
        <v>2024/02/14</v>
      </c>
      <c r="Y730" s="26" t="str">
        <f>IF(C730&gt;_xll.RssMarket(A730,"年初来高値"),"○","×")</f>
        <v>×</v>
      </c>
      <c r="Z730" s="27" t="str">
        <f>IF(C730&lt;=_xll.RssMarket(A730,"年初来安値"),"○","×")</f>
        <v>×</v>
      </c>
    </row>
    <row r="731" spans="1:26" x14ac:dyDescent="0.25">
      <c r="A731" s="49">
        <v>6578</v>
      </c>
      <c r="B731" s="20" t="str">
        <f>_xll.RssMarket(A731,"銘柄名称")</f>
        <v>エヌリンクス</v>
      </c>
      <c r="C731" s="21">
        <f>_xll.RssMarket(A731,"現在値")</f>
        <v>270</v>
      </c>
      <c r="D731" s="20" t="str">
        <f>_xll.RssMarket(A731,"現在値詳細時刻")</f>
        <v>15:00:00</v>
      </c>
      <c r="E731" s="22">
        <f>_xll.RssMarket(A731,"前日比")</f>
        <v>2</v>
      </c>
      <c r="F731" s="23">
        <f>_xll.RssMarket(A731,"前日比率")/100</f>
        <v>7.4999999999999997E-3</v>
      </c>
      <c r="G731" s="24" t="str">
        <f>IFERROR(VLOOKUP(A731,取得元!$A$2:$F$501,2,FALSE),"-")</f>
        <v>-</v>
      </c>
      <c r="H731" s="24" t="str">
        <f>IFERROR(VLOOKUP(A731,取得元!$A$2:$F$501,3,FALSE),"-")</f>
        <v>-</v>
      </c>
      <c r="I731" s="24" t="str">
        <f>IFERROR(VLOOKUP(A731,取得元!$A$2:$F$501,4,FALSE),"-")</f>
        <v>-</v>
      </c>
      <c r="J731" s="5" t="str">
        <f>IFERROR(VLOOKUP(A731,取得元!$A$2:$F$501,5,FALSE),"-")</f>
        <v>-</v>
      </c>
      <c r="K731" s="25" t="str">
        <f>IFERROR(VLOOKUP(A731,取得元!$A$2:$F$501,6,FALSE)/100,"-")</f>
        <v>-</v>
      </c>
      <c r="L731" s="21">
        <f>_xll.RssMarket(A731,"始値")</f>
        <v>267</v>
      </c>
      <c r="M731" s="4">
        <f t="shared" si="70"/>
        <v>1.1235955056179803E-2</v>
      </c>
      <c r="N731" s="21">
        <f>_xll.RssMarket(A731,"高値")</f>
        <v>270</v>
      </c>
      <c r="O731" s="4">
        <f t="shared" si="71"/>
        <v>0</v>
      </c>
      <c r="P731" s="21">
        <f>_xll.RssMarket(A731,"安値")</f>
        <v>265</v>
      </c>
      <c r="Q731" s="4">
        <f t="shared" si="72"/>
        <v>1.8867924528301883E-2</v>
      </c>
      <c r="R731" s="21">
        <f>_xll.RssMarket(A731,"後場始値")</f>
        <v>266</v>
      </c>
      <c r="S731" s="25">
        <f t="shared" si="73"/>
        <v>1.5037593984962516E-2</v>
      </c>
      <c r="T731" s="7">
        <f>_xll.RssMarket(A731,"出来高加重平均")</f>
        <v>268.04340000000002</v>
      </c>
      <c r="U731" s="4">
        <f t="shared" si="74"/>
        <v>7.2995641750550622E-3</v>
      </c>
      <c r="V731" s="21">
        <f>_xll.RssMarket(A731,"出来高")</f>
        <v>13800</v>
      </c>
      <c r="W731" s="21">
        <f>_xll.RssMarket(A731,"売買代金")</f>
        <v>3699</v>
      </c>
      <c r="X731" s="20" t="str">
        <f>_xll.RssMarket(A731,"決算発表日")</f>
        <v>2024/01/12</v>
      </c>
      <c r="Y731" s="26" t="str">
        <f>IF(C731&gt;_xll.RssMarket(A731,"年初来高値"),"○","×")</f>
        <v>×</v>
      </c>
      <c r="Z731" s="27" t="str">
        <f>IF(C731&lt;=_xll.RssMarket(A731,"年初来安値"),"○","×")</f>
        <v>×</v>
      </c>
    </row>
    <row r="732" spans="1:26" x14ac:dyDescent="0.25">
      <c r="A732" s="47">
        <v>6580</v>
      </c>
      <c r="B732" s="20" t="str">
        <f>_xll.RssMarket(A732,"銘柄名称")</f>
        <v>ライトアップ</v>
      </c>
      <c r="C732" s="21">
        <f>_xll.RssMarket(A732,"現在値")</f>
        <v>712</v>
      </c>
      <c r="D732" s="20" t="str">
        <f>_xll.RssMarket(A732,"現在値詳細時刻")</f>
        <v>15:00:00</v>
      </c>
      <c r="E732" s="22">
        <f>_xll.RssMarket(A732,"前日比")</f>
        <v>-3</v>
      </c>
      <c r="F732" s="23">
        <f>_xll.RssMarket(A732,"前日比率")/100</f>
        <v>-4.1999999999999997E-3</v>
      </c>
      <c r="G732" s="24" t="str">
        <f>IFERROR(VLOOKUP(A732,取得元!$A$2:$F$501,2,FALSE),"-")</f>
        <v>-</v>
      </c>
      <c r="H732" s="24" t="str">
        <f>IFERROR(VLOOKUP(A732,取得元!$A$2:$F$501,3,FALSE),"-")</f>
        <v>-</v>
      </c>
      <c r="I732" s="24" t="str">
        <f>IFERROR(VLOOKUP(A732,取得元!$A$2:$F$501,4,FALSE),"-")</f>
        <v>-</v>
      </c>
      <c r="J732" s="5" t="str">
        <f>IFERROR(VLOOKUP(A732,取得元!$A$2:$F$501,5,FALSE),"-")</f>
        <v>-</v>
      </c>
      <c r="K732" s="25" t="str">
        <f>IFERROR(VLOOKUP(A732,取得元!$A$2:$F$501,6,FALSE)/100,"-")</f>
        <v>-</v>
      </c>
      <c r="L732" s="21">
        <f>_xll.RssMarket(A732,"始値")</f>
        <v>715</v>
      </c>
      <c r="M732" s="4">
        <f t="shared" si="70"/>
        <v>-4.1958041958042314E-3</v>
      </c>
      <c r="N732" s="21">
        <f>_xll.RssMarket(A732,"高値")</f>
        <v>715</v>
      </c>
      <c r="O732" s="4">
        <f t="shared" si="71"/>
        <v>-4.1958041958042314E-3</v>
      </c>
      <c r="P732" s="21">
        <f>_xll.RssMarket(A732,"安値")</f>
        <v>702</v>
      </c>
      <c r="Q732" s="4">
        <f t="shared" si="72"/>
        <v>1.4245014245014342E-2</v>
      </c>
      <c r="R732" s="21">
        <f>_xll.RssMarket(A732,"後場始値")</f>
        <v>710</v>
      </c>
      <c r="S732" s="25">
        <f t="shared" si="73"/>
        <v>2.8169014084507005E-3</v>
      </c>
      <c r="T732" s="7">
        <f>_xll.RssMarket(A732,"出来高加重平均")</f>
        <v>706.76919999999996</v>
      </c>
      <c r="U732" s="4">
        <f t="shared" si="74"/>
        <v>7.4010016282544111E-3</v>
      </c>
      <c r="V732" s="21">
        <f>_xll.RssMarket(A732,"出来高")</f>
        <v>6500</v>
      </c>
      <c r="W732" s="21">
        <f>_xll.RssMarket(A732,"売買代金")</f>
        <v>4594</v>
      </c>
      <c r="X732" s="20" t="str">
        <f>_xll.RssMarket(A732,"決算発表日")</f>
        <v>2024/02/14</v>
      </c>
      <c r="Y732" s="26" t="str">
        <f>IF(C732&gt;_xll.RssMarket(A732,"年初来高値"),"○","×")</f>
        <v>×</v>
      </c>
      <c r="Z732" s="27" t="str">
        <f>IF(C732&lt;=_xll.RssMarket(A732,"年初来安値"),"○","×")</f>
        <v>×</v>
      </c>
    </row>
    <row r="733" spans="1:26" x14ac:dyDescent="0.25">
      <c r="A733" s="49">
        <v>6584</v>
      </c>
      <c r="B733" s="20" t="str">
        <f>_xll.RssMarket(A733,"銘柄名称")</f>
        <v>三桜工業</v>
      </c>
      <c r="C733" s="21">
        <f>_xll.RssMarket(A733,"現在値")</f>
        <v>889</v>
      </c>
      <c r="D733" s="20" t="str">
        <f>_xll.RssMarket(A733,"現在値詳細時刻")</f>
        <v>15:00:00</v>
      </c>
      <c r="E733" s="22">
        <f>_xll.RssMarket(A733,"前日比")</f>
        <v>10</v>
      </c>
      <c r="F733" s="23">
        <f>_xll.RssMarket(A733,"前日比率")/100</f>
        <v>1.1399999999999999E-2</v>
      </c>
      <c r="G733" s="24" t="str">
        <f>IFERROR(VLOOKUP(A733,取得元!$A$2:$F$501,2,FALSE),"-")</f>
        <v>-</v>
      </c>
      <c r="H733" s="24" t="str">
        <f>IFERROR(VLOOKUP(A733,取得元!$A$2:$F$501,3,FALSE),"-")</f>
        <v>-</v>
      </c>
      <c r="I733" s="24" t="str">
        <f>IFERROR(VLOOKUP(A733,取得元!$A$2:$F$501,4,FALSE),"-")</f>
        <v>-</v>
      </c>
      <c r="J733" s="5" t="str">
        <f>IFERROR(VLOOKUP(A733,取得元!$A$2:$F$501,5,FALSE),"-")</f>
        <v>-</v>
      </c>
      <c r="K733" s="25" t="str">
        <f>IFERROR(VLOOKUP(A733,取得元!$A$2:$F$501,6,FALSE)/100,"-")</f>
        <v>-</v>
      </c>
      <c r="L733" s="21">
        <f>_xll.RssMarket(A733,"始値")</f>
        <v>879</v>
      </c>
      <c r="M733" s="4">
        <f t="shared" si="70"/>
        <v>1.1376564277588264E-2</v>
      </c>
      <c r="N733" s="21">
        <f>_xll.RssMarket(A733,"高値")</f>
        <v>900</v>
      </c>
      <c r="O733" s="4">
        <f t="shared" si="71"/>
        <v>-1.2222222222222245E-2</v>
      </c>
      <c r="P733" s="21">
        <f>_xll.RssMarket(A733,"安値")</f>
        <v>879</v>
      </c>
      <c r="Q733" s="4">
        <f t="shared" si="72"/>
        <v>1.1376564277588264E-2</v>
      </c>
      <c r="R733" s="21">
        <f>_xll.RssMarket(A733,"後場始値")</f>
        <v>895</v>
      </c>
      <c r="S733" s="25">
        <f t="shared" si="73"/>
        <v>-6.7039106145251326E-3</v>
      </c>
      <c r="T733" s="7">
        <f>_xll.RssMarket(A733,"出来高加重平均")</f>
        <v>891.19039999999995</v>
      </c>
      <c r="U733" s="4">
        <f t="shared" si="74"/>
        <v>-2.4578361705870355E-3</v>
      </c>
      <c r="V733" s="21">
        <f>_xll.RssMarket(A733,"出来高")</f>
        <v>264600</v>
      </c>
      <c r="W733" s="21">
        <f>_xll.RssMarket(A733,"売買代金")</f>
        <v>235809</v>
      </c>
      <c r="X733" s="20" t="str">
        <f>_xll.RssMarket(A733,"決算発表日")</f>
        <v>2024/02/09</v>
      </c>
      <c r="Y733" s="26" t="str">
        <f>IF(C733&gt;_xll.RssMarket(A733,"年初来高値"),"○","×")</f>
        <v>×</v>
      </c>
      <c r="Z733" s="27" t="str">
        <f>IF(C733&lt;=_xll.RssMarket(A733,"年初来安値"),"○","×")</f>
        <v>×</v>
      </c>
    </row>
    <row r="734" spans="1:26" x14ac:dyDescent="0.25">
      <c r="A734" s="47">
        <v>6588</v>
      </c>
      <c r="B734" s="20" t="str">
        <f>_xll.RssMarket(A734,"銘柄名称")</f>
        <v>東芝テック</v>
      </c>
      <c r="C734" s="21">
        <f>_xll.RssMarket(A734,"現在値")</f>
        <v>3210</v>
      </c>
      <c r="D734" s="20" t="str">
        <f>_xll.RssMarket(A734,"現在値詳細時刻")</f>
        <v>15:00:00</v>
      </c>
      <c r="E734" s="22">
        <f>_xll.RssMarket(A734,"前日比")</f>
        <v>40</v>
      </c>
      <c r="F734" s="23">
        <f>_xll.RssMarket(A734,"前日比率")/100</f>
        <v>1.26E-2</v>
      </c>
      <c r="G734" s="24" t="str">
        <f>IFERROR(VLOOKUP(A734,取得元!$A$2:$F$501,2,FALSE),"-")</f>
        <v>-</v>
      </c>
      <c r="H734" s="24" t="str">
        <f>IFERROR(VLOOKUP(A734,取得元!$A$2:$F$501,3,FALSE),"-")</f>
        <v>-</v>
      </c>
      <c r="I734" s="24" t="str">
        <f>IFERROR(VLOOKUP(A734,取得元!$A$2:$F$501,4,FALSE),"-")</f>
        <v>-</v>
      </c>
      <c r="J734" s="5" t="str">
        <f>IFERROR(VLOOKUP(A734,取得元!$A$2:$F$501,5,FALSE),"-")</f>
        <v>-</v>
      </c>
      <c r="K734" s="25" t="str">
        <f>IFERROR(VLOOKUP(A734,取得元!$A$2:$F$501,6,FALSE)/100,"-")</f>
        <v>-</v>
      </c>
      <c r="L734" s="21">
        <f>_xll.RssMarket(A734,"始値")</f>
        <v>3150</v>
      </c>
      <c r="M734" s="4">
        <f t="shared" si="70"/>
        <v>1.904761904761898E-2</v>
      </c>
      <c r="N734" s="21">
        <f>_xll.RssMarket(A734,"高値")</f>
        <v>3215</v>
      </c>
      <c r="O734" s="4">
        <f t="shared" si="71"/>
        <v>-1.5552099533436836E-3</v>
      </c>
      <c r="P734" s="21">
        <f>_xll.RssMarket(A734,"安値")</f>
        <v>3140</v>
      </c>
      <c r="Q734" s="4">
        <f t="shared" si="72"/>
        <v>2.2292993630573354E-2</v>
      </c>
      <c r="R734" s="21">
        <f>_xll.RssMarket(A734,"後場始値")</f>
        <v>3160</v>
      </c>
      <c r="S734" s="25">
        <f t="shared" si="73"/>
        <v>1.5822784810126667E-2</v>
      </c>
      <c r="T734" s="7">
        <f>_xll.RssMarket(A734,"出来高加重平均")</f>
        <v>3191.0895</v>
      </c>
      <c r="U734" s="4">
        <f t="shared" si="74"/>
        <v>5.9260324726084779E-3</v>
      </c>
      <c r="V734" s="21">
        <f>_xll.RssMarket(A734,"出来高")</f>
        <v>118400</v>
      </c>
      <c r="W734" s="21">
        <f>_xll.RssMarket(A734,"売買代金")</f>
        <v>377825</v>
      </c>
      <c r="X734" s="20" t="str">
        <f>_xll.RssMarket(A734,"決算発表日")</f>
        <v>2024/02/07</v>
      </c>
      <c r="Y734" s="26" t="str">
        <f>IF(C734&gt;_xll.RssMarket(A734,"年初来高値"),"○","×")</f>
        <v>×</v>
      </c>
      <c r="Z734" s="27" t="str">
        <f>IF(C734&lt;=_xll.RssMarket(A734,"年初来安値"),"○","×")</f>
        <v>×</v>
      </c>
    </row>
    <row r="735" spans="1:26" x14ac:dyDescent="0.25">
      <c r="A735" s="49">
        <v>6594</v>
      </c>
      <c r="B735" s="20" t="str">
        <f>_xll.RssMarket(A735,"銘柄名称")</f>
        <v>ニデック</v>
      </c>
      <c r="C735" s="21">
        <f>_xll.RssMarket(A735,"現在値")</f>
        <v>5469</v>
      </c>
      <c r="D735" s="20" t="str">
        <f>_xll.RssMarket(A735,"現在値詳細時刻")</f>
        <v>15:00:00</v>
      </c>
      <c r="E735" s="22">
        <f>_xll.RssMarket(A735,"前日比")</f>
        <v>48</v>
      </c>
      <c r="F735" s="23">
        <f>_xll.RssMarket(A735,"前日比率")/100</f>
        <v>8.8999999999999999E-3</v>
      </c>
      <c r="G735" s="24" t="str">
        <f>IFERROR(VLOOKUP(A735,取得元!$A$2:$F$501,2,FALSE),"-")</f>
        <v>-</v>
      </c>
      <c r="H735" s="24" t="str">
        <f>IFERROR(VLOOKUP(A735,取得元!$A$2:$F$501,3,FALSE),"-")</f>
        <v>-</v>
      </c>
      <c r="I735" s="24" t="str">
        <f>IFERROR(VLOOKUP(A735,取得元!$A$2:$F$501,4,FALSE),"-")</f>
        <v>-</v>
      </c>
      <c r="J735" s="5" t="str">
        <f>IFERROR(VLOOKUP(A735,取得元!$A$2:$F$501,5,FALSE),"-")</f>
        <v>-</v>
      </c>
      <c r="K735" s="25" t="str">
        <f>IFERROR(VLOOKUP(A735,取得元!$A$2:$F$501,6,FALSE)/100,"-")</f>
        <v>-</v>
      </c>
      <c r="L735" s="21">
        <f>_xll.RssMarket(A735,"始値")</f>
        <v>5411</v>
      </c>
      <c r="M735" s="4">
        <f t="shared" si="70"/>
        <v>1.0718905932360023E-2</v>
      </c>
      <c r="N735" s="21">
        <f>_xll.RssMarket(A735,"高値")</f>
        <v>5497</v>
      </c>
      <c r="O735" s="4">
        <f t="shared" si="71"/>
        <v>-5.0936874658904507E-3</v>
      </c>
      <c r="P735" s="21">
        <f>_xll.RssMarket(A735,"安値")</f>
        <v>5405</v>
      </c>
      <c r="Q735" s="4">
        <f t="shared" si="72"/>
        <v>1.1840888066604993E-2</v>
      </c>
      <c r="R735" s="21">
        <f>_xll.RssMarket(A735,"後場始値")</f>
        <v>5464</v>
      </c>
      <c r="S735" s="25">
        <f t="shared" si="73"/>
        <v>9.1508052708633159E-4</v>
      </c>
      <c r="T735" s="7">
        <f>_xll.RssMarket(A735,"出来高加重平均")</f>
        <v>5463.1062000000002</v>
      </c>
      <c r="U735" s="4">
        <f t="shared" si="74"/>
        <v>1.078836798010574E-3</v>
      </c>
      <c r="V735" s="21">
        <f>_xll.RssMarket(A735,"出来高")</f>
        <v>2652700</v>
      </c>
      <c r="W735" s="21">
        <f>_xll.RssMarket(A735,"売買代金")</f>
        <v>14491982</v>
      </c>
      <c r="X735" s="20" t="str">
        <f>_xll.RssMarket(A735,"決算発表日")</f>
        <v>2024/01/24</v>
      </c>
      <c r="Y735" s="26" t="str">
        <f>IF(C735&gt;_xll.RssMarket(A735,"年初来高値"),"○","×")</f>
        <v>×</v>
      </c>
      <c r="Z735" s="27" t="str">
        <f>IF(C735&lt;=_xll.RssMarket(A735,"年初来安値"),"○","×")</f>
        <v>×</v>
      </c>
    </row>
    <row r="736" spans="1:26" x14ac:dyDescent="0.25">
      <c r="A736" s="47">
        <v>6613</v>
      </c>
      <c r="B736" s="20" t="str">
        <f>_xll.RssMarket(A736,"銘柄名称")</f>
        <v>ＱＤレーザ</v>
      </c>
      <c r="C736" s="21">
        <f>_xll.RssMarket(A736,"現在値")</f>
        <v>567</v>
      </c>
      <c r="D736" s="20" t="str">
        <f>_xll.RssMarket(A736,"現在値詳細時刻")</f>
        <v>15:00:00</v>
      </c>
      <c r="E736" s="22">
        <f>_xll.RssMarket(A736,"前日比")</f>
        <v>16</v>
      </c>
      <c r="F736" s="23">
        <f>_xll.RssMarket(A736,"前日比率")/100</f>
        <v>2.8999999999999998E-2</v>
      </c>
      <c r="G736" s="24" t="str">
        <f>IFERROR(VLOOKUP(A736,取得元!$A$2:$F$501,2,FALSE),"-")</f>
        <v>-</v>
      </c>
      <c r="H736" s="24" t="str">
        <f>IFERROR(VLOOKUP(A736,取得元!$A$2:$F$501,3,FALSE),"-")</f>
        <v>-</v>
      </c>
      <c r="I736" s="24" t="str">
        <f>IFERROR(VLOOKUP(A736,取得元!$A$2:$F$501,4,FALSE),"-")</f>
        <v>-</v>
      </c>
      <c r="J736" s="5" t="str">
        <f>IFERROR(VLOOKUP(A736,取得元!$A$2:$F$501,5,FALSE),"-")</f>
        <v>-</v>
      </c>
      <c r="K736" s="25" t="str">
        <f>IFERROR(VLOOKUP(A736,取得元!$A$2:$F$501,6,FALSE)/100,"-")</f>
        <v>-</v>
      </c>
      <c r="L736" s="21">
        <f>_xll.RssMarket(A736,"始値")</f>
        <v>547</v>
      </c>
      <c r="M736" s="4">
        <f t="shared" si="70"/>
        <v>3.6563071297988969E-2</v>
      </c>
      <c r="N736" s="21">
        <f>_xll.RssMarket(A736,"高値")</f>
        <v>573</v>
      </c>
      <c r="O736" s="4">
        <f t="shared" si="71"/>
        <v>-1.0471204188481686E-2</v>
      </c>
      <c r="P736" s="21">
        <f>_xll.RssMarket(A736,"安値")</f>
        <v>540</v>
      </c>
      <c r="Q736" s="4">
        <f t="shared" si="72"/>
        <v>5.0000000000000044E-2</v>
      </c>
      <c r="R736" s="21">
        <f>_xll.RssMarket(A736,"後場始値")</f>
        <v>554</v>
      </c>
      <c r="S736" s="25">
        <f t="shared" si="73"/>
        <v>2.3465703971119023E-2</v>
      </c>
      <c r="T736" s="7">
        <f>_xll.RssMarket(A736,"出来高加重平均")</f>
        <v>556.81910000000005</v>
      </c>
      <c r="U736" s="4">
        <f t="shared" si="74"/>
        <v>1.8284035156121536E-2</v>
      </c>
      <c r="V736" s="21">
        <f>_xll.RssMarket(A736,"出来高")</f>
        <v>1637600</v>
      </c>
      <c r="W736" s="21">
        <f>_xll.RssMarket(A736,"売買代金")</f>
        <v>911847</v>
      </c>
      <c r="X736" s="20" t="str">
        <f>_xll.RssMarket(A736,"決算発表日")</f>
        <v>2024/02/14</v>
      </c>
      <c r="Y736" s="26" t="str">
        <f>IF(C736&gt;_xll.RssMarket(A736,"年初来高値"),"○","×")</f>
        <v>×</v>
      </c>
      <c r="Z736" s="27" t="str">
        <f>IF(C736&lt;=_xll.RssMarket(A736,"年初来安値"),"○","×")</f>
        <v>×</v>
      </c>
    </row>
    <row r="737" spans="1:26" x14ac:dyDescent="0.25">
      <c r="A737" s="49">
        <v>6617</v>
      </c>
      <c r="B737" s="20" t="str">
        <f>_xll.RssMarket(A737,"銘柄名称")</f>
        <v>東光高岳</v>
      </c>
      <c r="C737" s="21">
        <f>_xll.RssMarket(A737,"現在値")</f>
        <v>2373</v>
      </c>
      <c r="D737" s="20" t="str">
        <f>_xll.RssMarket(A737,"現在値詳細時刻")</f>
        <v>15:00:00</v>
      </c>
      <c r="E737" s="22">
        <f>_xll.RssMarket(A737,"前日比")</f>
        <v>19</v>
      </c>
      <c r="F737" s="23">
        <f>_xll.RssMarket(A737,"前日比率")/100</f>
        <v>8.1000000000000013E-3</v>
      </c>
      <c r="G737" s="24" t="str">
        <f>IFERROR(VLOOKUP(A737,取得元!$A$2:$F$501,2,FALSE),"-")</f>
        <v>-</v>
      </c>
      <c r="H737" s="24" t="str">
        <f>IFERROR(VLOOKUP(A737,取得元!$A$2:$F$501,3,FALSE),"-")</f>
        <v>-</v>
      </c>
      <c r="I737" s="24" t="str">
        <f>IFERROR(VLOOKUP(A737,取得元!$A$2:$F$501,4,FALSE),"-")</f>
        <v>-</v>
      </c>
      <c r="J737" s="5" t="str">
        <f>IFERROR(VLOOKUP(A737,取得元!$A$2:$F$501,5,FALSE),"-")</f>
        <v>-</v>
      </c>
      <c r="K737" s="25" t="str">
        <f>IFERROR(VLOOKUP(A737,取得元!$A$2:$F$501,6,FALSE)/100,"-")</f>
        <v>-</v>
      </c>
      <c r="L737" s="21">
        <f>_xll.RssMarket(A737,"始値")</f>
        <v>2360</v>
      </c>
      <c r="M737" s="4">
        <f t="shared" si="70"/>
        <v>5.5084745762712384E-3</v>
      </c>
      <c r="N737" s="21">
        <f>_xll.RssMarket(A737,"高値")</f>
        <v>2379</v>
      </c>
      <c r="O737" s="4">
        <f t="shared" si="71"/>
        <v>-2.5220680958385477E-3</v>
      </c>
      <c r="P737" s="21">
        <f>_xll.RssMarket(A737,"安値")</f>
        <v>2338</v>
      </c>
      <c r="Q737" s="4">
        <f t="shared" si="72"/>
        <v>1.4970059880239583E-2</v>
      </c>
      <c r="R737" s="21">
        <f>_xll.RssMarket(A737,"後場始値")</f>
        <v>2368</v>
      </c>
      <c r="S737" s="25">
        <f t="shared" si="73"/>
        <v>2.1114864864864025E-3</v>
      </c>
      <c r="T737" s="7">
        <f>_xll.RssMarket(A737,"出来高加重平均")</f>
        <v>2362.5109000000002</v>
      </c>
      <c r="U737" s="4">
        <f t="shared" si="74"/>
        <v>4.4398102036269371E-3</v>
      </c>
      <c r="V737" s="21">
        <f>_xll.RssMarket(A737,"出来高")</f>
        <v>68500</v>
      </c>
      <c r="W737" s="21">
        <f>_xll.RssMarket(A737,"売買代金")</f>
        <v>161832</v>
      </c>
      <c r="X737" s="20" t="str">
        <f>_xll.RssMarket(A737,"決算発表日")</f>
        <v>2024/01/29</v>
      </c>
      <c r="Y737" s="26" t="str">
        <f>IF(C737&gt;_xll.RssMarket(A737,"年初来高値"),"○","×")</f>
        <v>×</v>
      </c>
      <c r="Z737" s="27" t="str">
        <f>IF(C737&lt;=_xll.RssMarket(A737,"年初来安値"),"○","×")</f>
        <v>×</v>
      </c>
    </row>
    <row r="738" spans="1:26" x14ac:dyDescent="0.25">
      <c r="A738" s="47">
        <v>6619</v>
      </c>
      <c r="B738" s="20" t="str">
        <f>_xll.RssMarket(A738,"銘柄名称")</f>
        <v>ダブル・スコープ</v>
      </c>
      <c r="C738" s="21">
        <f>_xll.RssMarket(A738,"現在値")</f>
        <v>726</v>
      </c>
      <c r="D738" s="20" t="str">
        <f>_xll.RssMarket(A738,"現在値詳細時刻")</f>
        <v>15:00:00</v>
      </c>
      <c r="E738" s="22">
        <f>_xll.RssMarket(A738,"前日比")</f>
        <v>-9</v>
      </c>
      <c r="F738" s="23">
        <f>_xll.RssMarket(A738,"前日比率")/100</f>
        <v>-1.2199999999999999E-2</v>
      </c>
      <c r="G738" s="24" t="str">
        <f>IFERROR(VLOOKUP(A738,取得元!$A$2:$F$501,2,FALSE),"-")</f>
        <v>-</v>
      </c>
      <c r="H738" s="24" t="str">
        <f>IFERROR(VLOOKUP(A738,取得元!$A$2:$F$501,3,FALSE),"-")</f>
        <v>-</v>
      </c>
      <c r="I738" s="24" t="str">
        <f>IFERROR(VLOOKUP(A738,取得元!$A$2:$F$501,4,FALSE),"-")</f>
        <v>-</v>
      </c>
      <c r="J738" s="5" t="str">
        <f>IFERROR(VLOOKUP(A738,取得元!$A$2:$F$501,5,FALSE),"-")</f>
        <v>-</v>
      </c>
      <c r="K738" s="25" t="str">
        <f>IFERROR(VLOOKUP(A738,取得元!$A$2:$F$501,6,FALSE)/100,"-")</f>
        <v>-</v>
      </c>
      <c r="L738" s="21">
        <f>_xll.RssMarket(A738,"始値")</f>
        <v>731</v>
      </c>
      <c r="M738" s="4">
        <f t="shared" si="70"/>
        <v>-6.8399452804377425E-3</v>
      </c>
      <c r="N738" s="21">
        <f>_xll.RssMarket(A738,"高値")</f>
        <v>743</v>
      </c>
      <c r="O738" s="4">
        <f t="shared" si="71"/>
        <v>-2.2880215343203281E-2</v>
      </c>
      <c r="P738" s="21">
        <f>_xll.RssMarket(A738,"安値")</f>
        <v>724</v>
      </c>
      <c r="Q738" s="4">
        <f t="shared" si="72"/>
        <v>2.7624309392264568E-3</v>
      </c>
      <c r="R738" s="21">
        <f>_xll.RssMarket(A738,"後場始値")</f>
        <v>735</v>
      </c>
      <c r="S738" s="25">
        <f t="shared" si="73"/>
        <v>-1.2244897959183709E-2</v>
      </c>
      <c r="T738" s="7">
        <f>_xll.RssMarket(A738,"出来高加重平均")</f>
        <v>730.86890000000005</v>
      </c>
      <c r="U738" s="4">
        <f t="shared" si="74"/>
        <v>-6.6617966642171789E-3</v>
      </c>
      <c r="V738" s="21">
        <f>_xll.RssMarket(A738,"出来高")</f>
        <v>1512100</v>
      </c>
      <c r="W738" s="21">
        <f>_xll.RssMarket(A738,"売買代金")</f>
        <v>1105147</v>
      </c>
      <c r="X738" s="20" t="str">
        <f>_xll.RssMarket(A738,"決算発表日")</f>
        <v>2024/03/14</v>
      </c>
      <c r="Y738" s="26" t="str">
        <f>IF(C738&gt;_xll.RssMarket(A738,"年初来高値"),"○","×")</f>
        <v>×</v>
      </c>
      <c r="Z738" s="27" t="str">
        <f>IF(C738&lt;=_xll.RssMarket(A738,"年初来安値"),"○","×")</f>
        <v>○</v>
      </c>
    </row>
    <row r="739" spans="1:26" x14ac:dyDescent="0.25">
      <c r="A739" s="49">
        <v>6625</v>
      </c>
      <c r="B739" s="20" t="str">
        <f>_xll.RssMarket(A739,"銘柄名称")</f>
        <v>ＪＡＬＣＯホールディングス</v>
      </c>
      <c r="C739" s="21">
        <f>_xll.RssMarket(A739,"現在値")</f>
        <v>326</v>
      </c>
      <c r="D739" s="20" t="str">
        <f>_xll.RssMarket(A739,"現在値詳細時刻")</f>
        <v>15:00:00</v>
      </c>
      <c r="E739" s="22">
        <f>_xll.RssMarket(A739,"前日比")</f>
        <v>0</v>
      </c>
      <c r="F739" s="23">
        <f>_xll.RssMarket(A739,"前日比率")/100</f>
        <v>0</v>
      </c>
      <c r="G739" s="24" t="str">
        <f>IFERROR(VLOOKUP(A739,取得元!$A$2:$F$501,2,FALSE),"-")</f>
        <v>-</v>
      </c>
      <c r="H739" s="24" t="str">
        <f>IFERROR(VLOOKUP(A739,取得元!$A$2:$F$501,3,FALSE),"-")</f>
        <v>-</v>
      </c>
      <c r="I739" s="24" t="str">
        <f>IFERROR(VLOOKUP(A739,取得元!$A$2:$F$501,4,FALSE),"-")</f>
        <v>-</v>
      </c>
      <c r="J739" s="5" t="str">
        <f>IFERROR(VLOOKUP(A739,取得元!$A$2:$F$501,5,FALSE),"-")</f>
        <v>-</v>
      </c>
      <c r="K739" s="25" t="str">
        <f>IFERROR(VLOOKUP(A739,取得元!$A$2:$F$501,6,FALSE)/100,"-")</f>
        <v>-</v>
      </c>
      <c r="L739" s="21">
        <f>_xll.RssMarket(A739,"始値")</f>
        <v>328</v>
      </c>
      <c r="M739" s="4">
        <f t="shared" si="70"/>
        <v>-6.0975609756097615E-3</v>
      </c>
      <c r="N739" s="21">
        <f>_xll.RssMarket(A739,"高値")</f>
        <v>333</v>
      </c>
      <c r="O739" s="4">
        <f t="shared" si="71"/>
        <v>-2.1021021021020991E-2</v>
      </c>
      <c r="P739" s="21">
        <f>_xll.RssMarket(A739,"安値")</f>
        <v>324</v>
      </c>
      <c r="Q739" s="4">
        <f t="shared" si="72"/>
        <v>6.1728395061728669E-3</v>
      </c>
      <c r="R739" s="21">
        <f>_xll.RssMarket(A739,"後場始値")</f>
        <v>330</v>
      </c>
      <c r="S739" s="25">
        <f t="shared" si="73"/>
        <v>-1.2121212121212088E-2</v>
      </c>
      <c r="T739" s="7">
        <f>_xll.RssMarket(A739,"出来高加重平均")</f>
        <v>327.6481</v>
      </c>
      <c r="U739" s="4">
        <f t="shared" si="74"/>
        <v>-5.0300917356150832E-3</v>
      </c>
      <c r="V739" s="21">
        <f>_xll.RssMarket(A739,"出来高")</f>
        <v>583800</v>
      </c>
      <c r="W739" s="21">
        <f>_xll.RssMarket(A739,"売買代金")</f>
        <v>191281</v>
      </c>
      <c r="X739" s="20" t="str">
        <f>_xll.RssMarket(A739,"決算発表日")</f>
        <v>2024/02/09</v>
      </c>
      <c r="Y739" s="26" t="str">
        <f>IF(C739&gt;_xll.RssMarket(A739,"年初来高値"),"○","×")</f>
        <v>×</v>
      </c>
      <c r="Z739" s="27" t="str">
        <f>IF(C739&lt;=_xll.RssMarket(A739,"年初来安値"),"○","×")</f>
        <v>×</v>
      </c>
    </row>
    <row r="740" spans="1:26" x14ac:dyDescent="0.25">
      <c r="A740" s="47">
        <v>6630</v>
      </c>
      <c r="B740" s="20" t="str">
        <f>_xll.RssMarket(A740,"銘柄名称")</f>
        <v>ヤーマン</v>
      </c>
      <c r="C740" s="21">
        <f>_xll.RssMarket(A740,"現在値")</f>
        <v>1004</v>
      </c>
      <c r="D740" s="20" t="str">
        <f>_xll.RssMarket(A740,"現在値詳細時刻")</f>
        <v>15:00:00</v>
      </c>
      <c r="E740" s="22">
        <f>_xll.RssMarket(A740,"前日比")</f>
        <v>-5</v>
      </c>
      <c r="F740" s="23">
        <f>_xll.RssMarket(A740,"前日比率")/100</f>
        <v>-5.0000000000000001E-3</v>
      </c>
      <c r="G740" s="24" t="str">
        <f>IFERROR(VLOOKUP(A740,取得元!$A$2:$F$501,2,FALSE),"-")</f>
        <v>-</v>
      </c>
      <c r="H740" s="24" t="str">
        <f>IFERROR(VLOOKUP(A740,取得元!$A$2:$F$501,3,FALSE),"-")</f>
        <v>-</v>
      </c>
      <c r="I740" s="24" t="str">
        <f>IFERROR(VLOOKUP(A740,取得元!$A$2:$F$501,4,FALSE),"-")</f>
        <v>-</v>
      </c>
      <c r="J740" s="5" t="str">
        <f>IFERROR(VLOOKUP(A740,取得元!$A$2:$F$501,5,FALSE),"-")</f>
        <v>-</v>
      </c>
      <c r="K740" s="25" t="str">
        <f>IFERROR(VLOOKUP(A740,取得元!$A$2:$F$501,6,FALSE)/100,"-")</f>
        <v>-</v>
      </c>
      <c r="L740" s="21">
        <f>_xll.RssMarket(A740,"始値")</f>
        <v>1010</v>
      </c>
      <c r="M740" s="4">
        <f t="shared" si="70"/>
        <v>-5.9405940594059459E-3</v>
      </c>
      <c r="N740" s="21">
        <f>_xll.RssMarket(A740,"高値")</f>
        <v>1011</v>
      </c>
      <c r="O740" s="4">
        <f t="shared" si="71"/>
        <v>-6.923837784371889E-3</v>
      </c>
      <c r="P740" s="21">
        <f>_xll.RssMarket(A740,"安値")</f>
        <v>1002</v>
      </c>
      <c r="Q740" s="4">
        <f t="shared" si="72"/>
        <v>1.9960079840319889E-3</v>
      </c>
      <c r="R740" s="21">
        <f>_xll.RssMarket(A740,"後場始値")</f>
        <v>1005</v>
      </c>
      <c r="S740" s="25">
        <f t="shared" si="73"/>
        <v>-9.9502487562186381E-4</v>
      </c>
      <c r="T740" s="7">
        <f>_xll.RssMarket(A740,"出来高加重平均")</f>
        <v>1005.1897</v>
      </c>
      <c r="U740" s="4">
        <f t="shared" si="74"/>
        <v>-1.1835576906528145E-3</v>
      </c>
      <c r="V740" s="21">
        <f>_xll.RssMarket(A740,"出来高")</f>
        <v>89600</v>
      </c>
      <c r="W740" s="21">
        <f>_xll.RssMarket(A740,"売買代金")</f>
        <v>90065</v>
      </c>
      <c r="X740" s="20" t="str">
        <f>_xll.RssMarket(A740,"決算発表日")</f>
        <v>2024/03/14</v>
      </c>
      <c r="Y740" s="26" t="str">
        <f>IF(C740&gt;_xll.RssMarket(A740,"年初来高値"),"○","×")</f>
        <v>×</v>
      </c>
      <c r="Z740" s="27" t="str">
        <f>IF(C740&lt;=_xll.RssMarket(A740,"年初来安値"),"○","×")</f>
        <v>×</v>
      </c>
    </row>
    <row r="741" spans="1:26" x14ac:dyDescent="0.25">
      <c r="A741" s="49">
        <v>6632</v>
      </c>
      <c r="B741" s="20" t="str">
        <f>_xll.RssMarket(A741,"銘柄名称")</f>
        <v>ＪＶＣケンウッド</v>
      </c>
      <c r="C741" s="21">
        <f>_xll.RssMarket(A741,"現在値")</f>
        <v>657</v>
      </c>
      <c r="D741" s="20" t="str">
        <f>_xll.RssMarket(A741,"現在値詳細時刻")</f>
        <v>15:00:00</v>
      </c>
      <c r="E741" s="22">
        <f>_xll.RssMarket(A741,"前日比")</f>
        <v>14</v>
      </c>
      <c r="F741" s="23">
        <f>_xll.RssMarket(A741,"前日比率")/100</f>
        <v>2.18E-2</v>
      </c>
      <c r="G741" s="24" t="str">
        <f>IFERROR(VLOOKUP(A741,取得元!$A$2:$F$501,2,FALSE),"-")</f>
        <v>-</v>
      </c>
      <c r="H741" s="24" t="str">
        <f>IFERROR(VLOOKUP(A741,取得元!$A$2:$F$501,3,FALSE),"-")</f>
        <v>-</v>
      </c>
      <c r="I741" s="24" t="str">
        <f>IFERROR(VLOOKUP(A741,取得元!$A$2:$F$501,4,FALSE),"-")</f>
        <v>-</v>
      </c>
      <c r="J741" s="5" t="str">
        <f>IFERROR(VLOOKUP(A741,取得元!$A$2:$F$501,5,FALSE),"-")</f>
        <v>-</v>
      </c>
      <c r="K741" s="25" t="str">
        <f>IFERROR(VLOOKUP(A741,取得元!$A$2:$F$501,6,FALSE)/100,"-")</f>
        <v>-</v>
      </c>
      <c r="L741" s="21">
        <f>_xll.RssMarket(A741,"始値")</f>
        <v>635</v>
      </c>
      <c r="M741" s="4">
        <f t="shared" si="70"/>
        <v>3.464566929133861E-2</v>
      </c>
      <c r="N741" s="21">
        <f>_xll.RssMarket(A741,"高値")</f>
        <v>659</v>
      </c>
      <c r="O741" s="4">
        <f t="shared" si="71"/>
        <v>-3.0349013657056112E-3</v>
      </c>
      <c r="P741" s="21">
        <f>_xll.RssMarket(A741,"安値")</f>
        <v>631</v>
      </c>
      <c r="Q741" s="4">
        <f t="shared" si="72"/>
        <v>4.1204437400950811E-2</v>
      </c>
      <c r="R741" s="21">
        <f>_xll.RssMarket(A741,"後場始値")</f>
        <v>639</v>
      </c>
      <c r="S741" s="25">
        <f t="shared" si="73"/>
        <v>2.8169014084507005E-2</v>
      </c>
      <c r="T741" s="7">
        <f>_xll.RssMarket(A741,"出来高加重平均")</f>
        <v>646.44079999999997</v>
      </c>
      <c r="U741" s="4">
        <f t="shared" si="74"/>
        <v>1.6334365033890297E-2</v>
      </c>
      <c r="V741" s="21">
        <f>_xll.RssMarket(A741,"出来高")</f>
        <v>1928000</v>
      </c>
      <c r="W741" s="21">
        <f>_xll.RssMarket(A741,"売買代金")</f>
        <v>1246338</v>
      </c>
      <c r="X741" s="20" t="str">
        <f>_xll.RssMarket(A741,"決算発表日")</f>
        <v>2024/02/01</v>
      </c>
      <c r="Y741" s="26" t="str">
        <f>IF(C741&gt;_xll.RssMarket(A741,"年初来高値"),"○","×")</f>
        <v>×</v>
      </c>
      <c r="Z741" s="27" t="str">
        <f>IF(C741&lt;=_xll.RssMarket(A741,"年初来安値"),"○","×")</f>
        <v>×</v>
      </c>
    </row>
    <row r="742" spans="1:26" x14ac:dyDescent="0.25">
      <c r="A742" s="47">
        <v>6633</v>
      </c>
      <c r="B742" s="20" t="str">
        <f>_xll.RssMarket(A742,"銘柄名称")</f>
        <v>Ｃ＆Ｇシステムズ</v>
      </c>
      <c r="C742" s="21">
        <f>_xll.RssMarket(A742,"現在値")</f>
        <v>318</v>
      </c>
      <c r="D742" s="20" t="str">
        <f>_xll.RssMarket(A742,"現在値詳細時刻")</f>
        <v>15:00:00</v>
      </c>
      <c r="E742" s="22">
        <f>_xll.RssMarket(A742,"前日比")</f>
        <v>-1</v>
      </c>
      <c r="F742" s="23">
        <f>_xll.RssMarket(A742,"前日比率")/100</f>
        <v>-3.0999999999999999E-3</v>
      </c>
      <c r="G742" s="24" t="str">
        <f>IFERROR(VLOOKUP(A742,取得元!$A$2:$F$501,2,FALSE),"-")</f>
        <v>-</v>
      </c>
      <c r="H742" s="24" t="str">
        <f>IFERROR(VLOOKUP(A742,取得元!$A$2:$F$501,3,FALSE),"-")</f>
        <v>-</v>
      </c>
      <c r="I742" s="24" t="str">
        <f>IFERROR(VLOOKUP(A742,取得元!$A$2:$F$501,4,FALSE),"-")</f>
        <v>-</v>
      </c>
      <c r="J742" s="5" t="str">
        <f>IFERROR(VLOOKUP(A742,取得元!$A$2:$F$501,5,FALSE),"-")</f>
        <v>-</v>
      </c>
      <c r="K742" s="25" t="str">
        <f>IFERROR(VLOOKUP(A742,取得元!$A$2:$F$501,6,FALSE)/100,"-")</f>
        <v>-</v>
      </c>
      <c r="L742" s="21">
        <f>_xll.RssMarket(A742,"始値")</f>
        <v>318</v>
      </c>
      <c r="M742" s="4">
        <f t="shared" si="70"/>
        <v>0</v>
      </c>
      <c r="N742" s="21">
        <f>_xll.RssMarket(A742,"高値")</f>
        <v>318</v>
      </c>
      <c r="O742" s="4">
        <f t="shared" si="71"/>
        <v>0</v>
      </c>
      <c r="P742" s="21">
        <f>_xll.RssMarket(A742,"安値")</f>
        <v>316</v>
      </c>
      <c r="Q742" s="4">
        <f t="shared" si="72"/>
        <v>6.3291139240506666E-3</v>
      </c>
      <c r="R742" s="21">
        <f>_xll.RssMarket(A742,"後場始値")</f>
        <v>317</v>
      </c>
      <c r="S742" s="25">
        <f t="shared" si="73"/>
        <v>3.154574132492094E-3</v>
      </c>
      <c r="T742" s="7">
        <f>_xll.RssMarket(A742,"出来高加重平均")</f>
        <v>317.57569999999998</v>
      </c>
      <c r="U742" s="4">
        <f t="shared" si="74"/>
        <v>1.3360594025300099E-3</v>
      </c>
      <c r="V742" s="21">
        <f>_xll.RssMarket(A742,"出来高")</f>
        <v>3300</v>
      </c>
      <c r="W742" s="21">
        <f>_xll.RssMarket(A742,"売買代金")</f>
        <v>1048</v>
      </c>
      <c r="X742" s="20" t="str">
        <f>_xll.RssMarket(A742,"決算発表日")</f>
        <v>2024/02/14</v>
      </c>
      <c r="Y742" s="26" t="str">
        <f>IF(C742&gt;_xll.RssMarket(A742,"年初来高値"),"○","×")</f>
        <v>×</v>
      </c>
      <c r="Z742" s="27" t="str">
        <f>IF(C742&lt;=_xll.RssMarket(A742,"年初来安値"),"○","×")</f>
        <v>×</v>
      </c>
    </row>
    <row r="743" spans="1:26" x14ac:dyDescent="0.25">
      <c r="A743" s="49">
        <v>6634</v>
      </c>
      <c r="B743" s="20" t="str">
        <f>_xll.RssMarket(A743,"銘柄名称")</f>
        <v>ネクスグループ</v>
      </c>
      <c r="C743" s="21">
        <f>_xll.RssMarket(A743,"現在値")</f>
        <v>136</v>
      </c>
      <c r="D743" s="20" t="str">
        <f>_xll.RssMarket(A743,"現在値詳細時刻")</f>
        <v>14:59:02</v>
      </c>
      <c r="E743" s="22">
        <f>_xll.RssMarket(A743,"前日比")</f>
        <v>1</v>
      </c>
      <c r="F743" s="23">
        <f>_xll.RssMarket(A743,"前日比率")/100</f>
        <v>7.4000000000000003E-3</v>
      </c>
      <c r="G743" s="24" t="str">
        <f>IFERROR(VLOOKUP(A743,取得元!$A$2:$F$501,2,FALSE),"-")</f>
        <v>-</v>
      </c>
      <c r="H743" s="24" t="str">
        <f>IFERROR(VLOOKUP(A743,取得元!$A$2:$F$501,3,FALSE),"-")</f>
        <v>-</v>
      </c>
      <c r="I743" s="24" t="str">
        <f>IFERROR(VLOOKUP(A743,取得元!$A$2:$F$501,4,FALSE),"-")</f>
        <v>-</v>
      </c>
      <c r="J743" s="5" t="str">
        <f>IFERROR(VLOOKUP(A743,取得元!$A$2:$F$501,5,FALSE),"-")</f>
        <v>-</v>
      </c>
      <c r="K743" s="25" t="str">
        <f>IFERROR(VLOOKUP(A743,取得元!$A$2:$F$501,6,FALSE)/100,"-")</f>
        <v>-</v>
      </c>
      <c r="L743" s="21">
        <f>_xll.RssMarket(A743,"始値")</f>
        <v>135</v>
      </c>
      <c r="M743" s="4">
        <f t="shared" si="70"/>
        <v>7.4074074074073071E-3</v>
      </c>
      <c r="N743" s="21">
        <f>_xll.RssMarket(A743,"高値")</f>
        <v>137</v>
      </c>
      <c r="O743" s="4">
        <f t="shared" si="71"/>
        <v>-7.2992700729926918E-3</v>
      </c>
      <c r="P743" s="21">
        <f>_xll.RssMarket(A743,"安値")</f>
        <v>134</v>
      </c>
      <c r="Q743" s="4">
        <f t="shared" si="72"/>
        <v>1.4925373134328401E-2</v>
      </c>
      <c r="R743" s="21">
        <f>_xll.RssMarket(A743,"後場始値")</f>
        <v>136</v>
      </c>
      <c r="S743" s="25">
        <f t="shared" si="73"/>
        <v>0</v>
      </c>
      <c r="T743" s="7">
        <f>_xll.RssMarket(A743,"出来高加重平均")</f>
        <v>135.59399999999999</v>
      </c>
      <c r="U743" s="4">
        <f t="shared" si="74"/>
        <v>2.9942327831615767E-3</v>
      </c>
      <c r="V743" s="21">
        <f>_xll.RssMarket(A743,"出来高")</f>
        <v>20200</v>
      </c>
      <c r="W743" s="21">
        <f>_xll.RssMarket(A743,"売買代金")</f>
        <v>2739</v>
      </c>
      <c r="X743" s="20" t="str">
        <f>_xll.RssMarket(A743,"決算発表日")</f>
        <v>2024/01/18</v>
      </c>
      <c r="Y743" s="26" t="str">
        <f>IF(C743&gt;_xll.RssMarket(A743,"年初来高値"),"○","×")</f>
        <v>×</v>
      </c>
      <c r="Z743" s="27" t="str">
        <f>IF(C743&lt;=_xll.RssMarket(A743,"年初来安値"),"○","×")</f>
        <v>×</v>
      </c>
    </row>
    <row r="744" spans="1:26" x14ac:dyDescent="0.25">
      <c r="A744" s="47">
        <v>6635</v>
      </c>
      <c r="B744" s="20" t="str">
        <f>_xll.RssMarket(A744,"銘柄名称")</f>
        <v>大日光エンジニアリング</v>
      </c>
      <c r="C744" s="21">
        <f>_xll.RssMarket(A744,"現在値")</f>
        <v>507</v>
      </c>
      <c r="D744" s="20" t="str">
        <f>_xll.RssMarket(A744,"現在値詳細時刻")</f>
        <v>15:00:00</v>
      </c>
      <c r="E744" s="22">
        <f>_xll.RssMarket(A744,"前日比")</f>
        <v>-8</v>
      </c>
      <c r="F744" s="23">
        <f>_xll.RssMarket(A744,"前日比率")/100</f>
        <v>-1.55E-2</v>
      </c>
      <c r="G744" s="24" t="str">
        <f>IFERROR(VLOOKUP(A744,取得元!$A$2:$F$501,2,FALSE),"-")</f>
        <v>-</v>
      </c>
      <c r="H744" s="24" t="str">
        <f>IFERROR(VLOOKUP(A744,取得元!$A$2:$F$501,3,FALSE),"-")</f>
        <v>-</v>
      </c>
      <c r="I744" s="24" t="str">
        <f>IFERROR(VLOOKUP(A744,取得元!$A$2:$F$501,4,FALSE),"-")</f>
        <v>-</v>
      </c>
      <c r="J744" s="5" t="str">
        <f>IFERROR(VLOOKUP(A744,取得元!$A$2:$F$501,5,FALSE),"-")</f>
        <v>-</v>
      </c>
      <c r="K744" s="25" t="str">
        <f>IFERROR(VLOOKUP(A744,取得元!$A$2:$F$501,6,FALSE)/100,"-")</f>
        <v>-</v>
      </c>
      <c r="L744" s="21">
        <f>_xll.RssMarket(A744,"始値")</f>
        <v>509</v>
      </c>
      <c r="M744" s="4">
        <f t="shared" si="70"/>
        <v>-3.9292730844793233E-3</v>
      </c>
      <c r="N744" s="21">
        <f>_xll.RssMarket(A744,"高値")</f>
        <v>511</v>
      </c>
      <c r="O744" s="4">
        <f t="shared" si="71"/>
        <v>-7.8277886497064575E-3</v>
      </c>
      <c r="P744" s="21">
        <f>_xll.RssMarket(A744,"安値")</f>
        <v>500</v>
      </c>
      <c r="Q744" s="4">
        <f t="shared" si="72"/>
        <v>1.4000000000000012E-2</v>
      </c>
      <c r="R744" s="21">
        <f>_xll.RssMarket(A744,"後場始値")</f>
        <v>506</v>
      </c>
      <c r="S744" s="25">
        <f t="shared" si="73"/>
        <v>1.9762845849802257E-3</v>
      </c>
      <c r="T744" s="7">
        <f>_xll.RssMarket(A744,"出来高加重平均")</f>
        <v>505.53390000000002</v>
      </c>
      <c r="U744" s="4">
        <f t="shared" si="74"/>
        <v>2.9001022483359229E-3</v>
      </c>
      <c r="V744" s="21">
        <f>_xll.RssMarket(A744,"出来高")</f>
        <v>30900</v>
      </c>
      <c r="W744" s="21">
        <f>_xll.RssMarket(A744,"売買代金")</f>
        <v>15621</v>
      </c>
      <c r="X744" s="20" t="str">
        <f>_xll.RssMarket(A744,"決算発表日")</f>
        <v>2024/02/14</v>
      </c>
      <c r="Y744" s="26" t="str">
        <f>IF(C744&gt;_xll.RssMarket(A744,"年初来高値"),"○","×")</f>
        <v>×</v>
      </c>
      <c r="Z744" s="27" t="str">
        <f>IF(C744&lt;=_xll.RssMarket(A744,"年初来安値"),"○","×")</f>
        <v>×</v>
      </c>
    </row>
    <row r="745" spans="1:26" x14ac:dyDescent="0.25">
      <c r="A745" s="49">
        <v>6640</v>
      </c>
      <c r="B745" s="20" t="str">
        <f>_xll.RssMarket(A745,"銘柄名称")</f>
        <v>Ｉ－ＰＥＸ</v>
      </c>
      <c r="C745" s="21">
        <f>_xll.RssMarket(A745,"現在値")</f>
        <v>1756</v>
      </c>
      <c r="D745" s="20" t="str">
        <f>_xll.RssMarket(A745,"現在値詳細時刻")</f>
        <v>15:00:00</v>
      </c>
      <c r="E745" s="22">
        <f>_xll.RssMarket(A745,"前日比")</f>
        <v>20</v>
      </c>
      <c r="F745" s="23">
        <f>_xll.RssMarket(A745,"前日比率")/100</f>
        <v>1.15E-2</v>
      </c>
      <c r="G745" s="24" t="str">
        <f>IFERROR(VLOOKUP(A745,取得元!$A$2:$F$501,2,FALSE),"-")</f>
        <v>-</v>
      </c>
      <c r="H745" s="24" t="str">
        <f>IFERROR(VLOOKUP(A745,取得元!$A$2:$F$501,3,FALSE),"-")</f>
        <v>-</v>
      </c>
      <c r="I745" s="24" t="str">
        <f>IFERROR(VLOOKUP(A745,取得元!$A$2:$F$501,4,FALSE),"-")</f>
        <v>-</v>
      </c>
      <c r="J745" s="5" t="str">
        <f>IFERROR(VLOOKUP(A745,取得元!$A$2:$F$501,5,FALSE),"-")</f>
        <v>-</v>
      </c>
      <c r="K745" s="25" t="str">
        <f>IFERROR(VLOOKUP(A745,取得元!$A$2:$F$501,6,FALSE)/100,"-")</f>
        <v>-</v>
      </c>
      <c r="L745" s="21">
        <f>_xll.RssMarket(A745,"始値")</f>
        <v>1736</v>
      </c>
      <c r="M745" s="4">
        <f t="shared" si="70"/>
        <v>1.1520737327188835E-2</v>
      </c>
      <c r="N745" s="21">
        <f>_xll.RssMarket(A745,"高値")</f>
        <v>1788</v>
      </c>
      <c r="O745" s="4">
        <f t="shared" si="71"/>
        <v>-1.7897091722595126E-2</v>
      </c>
      <c r="P745" s="21">
        <f>_xll.RssMarket(A745,"安値")</f>
        <v>1711</v>
      </c>
      <c r="Q745" s="4">
        <f t="shared" si="72"/>
        <v>2.6300409117475221E-2</v>
      </c>
      <c r="R745" s="21">
        <f>_xll.RssMarket(A745,"後場始値")</f>
        <v>1754</v>
      </c>
      <c r="S745" s="25">
        <f t="shared" si="73"/>
        <v>1.1402508551880963E-3</v>
      </c>
      <c r="T745" s="7">
        <f>_xll.RssMarket(A745,"出来高加重平均")</f>
        <v>1753.5106000000001</v>
      </c>
      <c r="U745" s="4">
        <f t="shared" si="74"/>
        <v>1.4196663538845744E-3</v>
      </c>
      <c r="V745" s="21">
        <f>_xll.RssMarket(A745,"出来高")</f>
        <v>75200</v>
      </c>
      <c r="W745" s="21">
        <f>_xll.RssMarket(A745,"売買代金")</f>
        <v>131864</v>
      </c>
      <c r="X745" s="20" t="str">
        <f>_xll.RssMarket(A745,"決算発表日")</f>
        <v>2024/02/09</v>
      </c>
      <c r="Y745" s="26" t="str">
        <f>IF(C745&gt;_xll.RssMarket(A745,"年初来高値"),"○","×")</f>
        <v>×</v>
      </c>
      <c r="Z745" s="27" t="str">
        <f>IF(C745&lt;=_xll.RssMarket(A745,"年初来安値"),"○","×")</f>
        <v>×</v>
      </c>
    </row>
    <row r="746" spans="1:26" x14ac:dyDescent="0.25">
      <c r="A746" s="47">
        <v>6644</v>
      </c>
      <c r="B746" s="20" t="str">
        <f>_xll.RssMarket(A746,"銘柄名称")</f>
        <v>大崎電気</v>
      </c>
      <c r="C746" s="21">
        <f>_xll.RssMarket(A746,"現在値")</f>
        <v>678</v>
      </c>
      <c r="D746" s="20" t="str">
        <f>_xll.RssMarket(A746,"現在値詳細時刻")</f>
        <v>15:00:00</v>
      </c>
      <c r="E746" s="22">
        <f>_xll.RssMarket(A746,"前日比")</f>
        <v>-33</v>
      </c>
      <c r="F746" s="23">
        <f>_xll.RssMarket(A746,"前日比率")/100</f>
        <v>-4.6399999999999997E-2</v>
      </c>
      <c r="G746" s="24" t="str">
        <f>IFERROR(VLOOKUP(A746,取得元!$A$2:$F$501,2,FALSE),"-")</f>
        <v>-</v>
      </c>
      <c r="H746" s="24" t="str">
        <f>IFERROR(VLOOKUP(A746,取得元!$A$2:$F$501,3,FALSE),"-")</f>
        <v>-</v>
      </c>
      <c r="I746" s="24" t="str">
        <f>IFERROR(VLOOKUP(A746,取得元!$A$2:$F$501,4,FALSE),"-")</f>
        <v>-</v>
      </c>
      <c r="J746" s="5" t="str">
        <f>IFERROR(VLOOKUP(A746,取得元!$A$2:$F$501,5,FALSE),"-")</f>
        <v>-</v>
      </c>
      <c r="K746" s="25" t="str">
        <f>IFERROR(VLOOKUP(A746,取得元!$A$2:$F$501,6,FALSE)/100,"-")</f>
        <v>-</v>
      </c>
      <c r="L746" s="21">
        <f>_xll.RssMarket(A746,"始値")</f>
        <v>701</v>
      </c>
      <c r="M746" s="4">
        <f t="shared" si="70"/>
        <v>-3.2810271041369465E-2</v>
      </c>
      <c r="N746" s="21">
        <f>_xll.RssMarket(A746,"高値")</f>
        <v>704</v>
      </c>
      <c r="O746" s="4">
        <f t="shared" si="71"/>
        <v>-3.6931818181818232E-2</v>
      </c>
      <c r="P746" s="21">
        <f>_xll.RssMarket(A746,"安値")</f>
        <v>674</v>
      </c>
      <c r="Q746" s="4">
        <f t="shared" si="72"/>
        <v>5.9347181008901906E-3</v>
      </c>
      <c r="R746" s="21">
        <f>_xll.RssMarket(A746,"後場始値")</f>
        <v>682</v>
      </c>
      <c r="S746" s="25">
        <f t="shared" si="73"/>
        <v>-5.8651026392961825E-3</v>
      </c>
      <c r="T746" s="7">
        <f>_xll.RssMarket(A746,"出来高加重平均")</f>
        <v>684.69939999999997</v>
      </c>
      <c r="U746" s="4">
        <f t="shared" si="74"/>
        <v>-9.7844397117917703E-3</v>
      </c>
      <c r="V746" s="21">
        <f>_xll.RssMarket(A746,"出来高")</f>
        <v>718600</v>
      </c>
      <c r="W746" s="21">
        <f>_xll.RssMarket(A746,"売買代金")</f>
        <v>492025</v>
      </c>
      <c r="X746" s="20" t="str">
        <f>_xll.RssMarket(A746,"決算発表日")</f>
        <v>2024/02/06</v>
      </c>
      <c r="Y746" s="26" t="str">
        <f>IF(C746&gt;_xll.RssMarket(A746,"年初来高値"),"○","×")</f>
        <v>×</v>
      </c>
      <c r="Z746" s="27" t="str">
        <f>IF(C746&lt;=_xll.RssMarket(A746,"年初来安値"),"○","×")</f>
        <v>×</v>
      </c>
    </row>
    <row r="747" spans="1:26" x14ac:dyDescent="0.25">
      <c r="A747" s="49">
        <v>6654</v>
      </c>
      <c r="B747" s="20" t="str">
        <f>_xll.RssMarket(A747,"銘柄名称")</f>
        <v>不二電機工業</v>
      </c>
      <c r="C747" s="21">
        <f>_xll.RssMarket(A747,"現在値")</f>
        <v>1148</v>
      </c>
      <c r="D747" s="20" t="str">
        <f>_xll.RssMarket(A747,"現在値詳細時刻")</f>
        <v>15:00:00</v>
      </c>
      <c r="E747" s="22">
        <f>_xll.RssMarket(A747,"前日比")</f>
        <v>-12</v>
      </c>
      <c r="F747" s="23">
        <f>_xll.RssMarket(A747,"前日比率")/100</f>
        <v>-1.03E-2</v>
      </c>
      <c r="G747" s="24" t="str">
        <f>IFERROR(VLOOKUP(A747,取得元!$A$2:$F$501,2,FALSE),"-")</f>
        <v>-</v>
      </c>
      <c r="H747" s="24" t="str">
        <f>IFERROR(VLOOKUP(A747,取得元!$A$2:$F$501,3,FALSE),"-")</f>
        <v>-</v>
      </c>
      <c r="I747" s="24" t="str">
        <f>IFERROR(VLOOKUP(A747,取得元!$A$2:$F$501,4,FALSE),"-")</f>
        <v>-</v>
      </c>
      <c r="J747" s="5" t="str">
        <f>IFERROR(VLOOKUP(A747,取得元!$A$2:$F$501,5,FALSE),"-")</f>
        <v>-</v>
      </c>
      <c r="K747" s="25" t="str">
        <f>IFERROR(VLOOKUP(A747,取得元!$A$2:$F$501,6,FALSE)/100,"-")</f>
        <v>-</v>
      </c>
      <c r="L747" s="21">
        <f>_xll.RssMarket(A747,"始値")</f>
        <v>1156</v>
      </c>
      <c r="M747" s="4">
        <f t="shared" si="70"/>
        <v>-6.9204152249134898E-3</v>
      </c>
      <c r="N747" s="21">
        <f>_xll.RssMarket(A747,"高値")</f>
        <v>1156</v>
      </c>
      <c r="O747" s="4">
        <f t="shared" si="71"/>
        <v>-6.9204152249134898E-3</v>
      </c>
      <c r="P747" s="21">
        <f>_xll.RssMarket(A747,"安値")</f>
        <v>1145</v>
      </c>
      <c r="Q747" s="4">
        <f t="shared" si="72"/>
        <v>2.6200873362445254E-3</v>
      </c>
      <c r="R747" s="21">
        <f>_xll.RssMarket(A747,"後場始値")</f>
        <v>1146</v>
      </c>
      <c r="S747" s="25">
        <f t="shared" si="73"/>
        <v>1.7452006980802626E-3</v>
      </c>
      <c r="T747" s="7">
        <f>_xll.RssMarket(A747,"出来高加重平均")</f>
        <v>1150.6171999999999</v>
      </c>
      <c r="U747" s="4">
        <f t="shared" si="74"/>
        <v>-2.2746053161728508E-3</v>
      </c>
      <c r="V747" s="21">
        <f>_xll.RssMarket(A747,"出来高")</f>
        <v>8100</v>
      </c>
      <c r="W747" s="21">
        <f>_xll.RssMarket(A747,"売買代金")</f>
        <v>9320</v>
      </c>
      <c r="X747" s="20" t="str">
        <f>_xll.RssMarket(A747,"決算発表日")</f>
        <v>2024/03/12</v>
      </c>
      <c r="Y747" s="26" t="str">
        <f>IF(C747&gt;_xll.RssMarket(A747,"年初来高値"),"○","×")</f>
        <v>×</v>
      </c>
      <c r="Z747" s="27" t="str">
        <f>IF(C747&lt;=_xll.RssMarket(A747,"年初来安値"),"○","×")</f>
        <v>×</v>
      </c>
    </row>
    <row r="748" spans="1:26" x14ac:dyDescent="0.25">
      <c r="A748" s="47">
        <v>6658</v>
      </c>
      <c r="B748" s="20" t="str">
        <f>_xll.RssMarket(A748,"銘柄名称")</f>
        <v>シライ電子工業</v>
      </c>
      <c r="C748" s="21">
        <f>_xll.RssMarket(A748,"現在値")</f>
        <v>526</v>
      </c>
      <c r="D748" s="20" t="str">
        <f>_xll.RssMarket(A748,"現在値詳細時刻")</f>
        <v>15:00:00</v>
      </c>
      <c r="E748" s="22">
        <f>_xll.RssMarket(A748,"前日比")</f>
        <v>-13</v>
      </c>
      <c r="F748" s="23">
        <f>_xll.RssMarket(A748,"前日比率")/100</f>
        <v>-2.41E-2</v>
      </c>
      <c r="G748" s="24" t="str">
        <f>IFERROR(VLOOKUP(A748,取得元!$A$2:$F$501,2,FALSE),"-")</f>
        <v>-</v>
      </c>
      <c r="H748" s="24" t="str">
        <f>IFERROR(VLOOKUP(A748,取得元!$A$2:$F$501,3,FALSE),"-")</f>
        <v>-</v>
      </c>
      <c r="I748" s="24" t="str">
        <f>IFERROR(VLOOKUP(A748,取得元!$A$2:$F$501,4,FALSE),"-")</f>
        <v>-</v>
      </c>
      <c r="J748" s="5" t="str">
        <f>IFERROR(VLOOKUP(A748,取得元!$A$2:$F$501,5,FALSE),"-")</f>
        <v>-</v>
      </c>
      <c r="K748" s="25" t="str">
        <f>IFERROR(VLOOKUP(A748,取得元!$A$2:$F$501,6,FALSE)/100,"-")</f>
        <v>-</v>
      </c>
      <c r="L748" s="21">
        <f>_xll.RssMarket(A748,"始値")</f>
        <v>535</v>
      </c>
      <c r="M748" s="4">
        <f t="shared" si="70"/>
        <v>-1.6822429906542036E-2</v>
      </c>
      <c r="N748" s="21">
        <f>_xll.RssMarket(A748,"高値")</f>
        <v>536</v>
      </c>
      <c r="O748" s="4">
        <f t="shared" si="71"/>
        <v>-1.8656716417910446E-2</v>
      </c>
      <c r="P748" s="21">
        <f>_xll.RssMarket(A748,"安値")</f>
        <v>526</v>
      </c>
      <c r="Q748" s="4">
        <f t="shared" si="72"/>
        <v>0</v>
      </c>
      <c r="R748" s="21">
        <f>_xll.RssMarket(A748,"後場始値")</f>
        <v>533</v>
      </c>
      <c r="S748" s="25">
        <f t="shared" si="73"/>
        <v>-1.3133208255159512E-2</v>
      </c>
      <c r="T748" s="7">
        <f>_xll.RssMarket(A748,"出来高加重平均")</f>
        <v>530.92340000000002</v>
      </c>
      <c r="U748" s="4">
        <f t="shared" si="74"/>
        <v>-9.2732774633780268E-3</v>
      </c>
      <c r="V748" s="21">
        <f>_xll.RssMarket(A748,"出来高")</f>
        <v>215500</v>
      </c>
      <c r="W748" s="21">
        <f>_xll.RssMarket(A748,"売買代金")</f>
        <v>114414</v>
      </c>
      <c r="X748" s="20" t="str">
        <f>_xll.RssMarket(A748,"決算発表日")</f>
        <v>2024/02/13</v>
      </c>
      <c r="Y748" s="26" t="str">
        <f>IF(C748&gt;_xll.RssMarket(A748,"年初来高値"),"○","×")</f>
        <v>×</v>
      </c>
      <c r="Z748" s="27" t="str">
        <f>IF(C748&lt;=_xll.RssMarket(A748,"年初来安値"),"○","×")</f>
        <v>×</v>
      </c>
    </row>
    <row r="749" spans="1:26" x14ac:dyDescent="0.25">
      <c r="A749" s="49">
        <v>6659</v>
      </c>
      <c r="B749" s="20" t="str">
        <f>_xll.RssMarket(A749,"銘柄名称")</f>
        <v>メディアリンクス</v>
      </c>
      <c r="C749" s="21">
        <f>_xll.RssMarket(A749,"現在値")</f>
        <v>36</v>
      </c>
      <c r="D749" s="20" t="str">
        <f>_xll.RssMarket(A749,"現在値詳細時刻")</f>
        <v>15:00:00</v>
      </c>
      <c r="E749" s="22">
        <f>_xll.RssMarket(A749,"前日比")</f>
        <v>1</v>
      </c>
      <c r="F749" s="23">
        <f>_xll.RssMarket(A749,"前日比率")/100</f>
        <v>2.86E-2</v>
      </c>
      <c r="G749" s="24" t="str">
        <f>IFERROR(VLOOKUP(A749,取得元!$A$2:$F$501,2,FALSE),"-")</f>
        <v>-</v>
      </c>
      <c r="H749" s="24" t="str">
        <f>IFERROR(VLOOKUP(A749,取得元!$A$2:$F$501,3,FALSE),"-")</f>
        <v>-</v>
      </c>
      <c r="I749" s="24" t="str">
        <f>IFERROR(VLOOKUP(A749,取得元!$A$2:$F$501,4,FALSE),"-")</f>
        <v>-</v>
      </c>
      <c r="J749" s="5" t="str">
        <f>IFERROR(VLOOKUP(A749,取得元!$A$2:$F$501,5,FALSE),"-")</f>
        <v>-</v>
      </c>
      <c r="K749" s="25" t="str">
        <f>IFERROR(VLOOKUP(A749,取得元!$A$2:$F$501,6,FALSE)/100,"-")</f>
        <v>-</v>
      </c>
      <c r="L749" s="21">
        <f>_xll.RssMarket(A749,"始値")</f>
        <v>36</v>
      </c>
      <c r="M749" s="4">
        <f t="shared" si="70"/>
        <v>0</v>
      </c>
      <c r="N749" s="21">
        <f>_xll.RssMarket(A749,"高値")</f>
        <v>37</v>
      </c>
      <c r="O749" s="4">
        <f t="shared" si="71"/>
        <v>-2.7027027027026973E-2</v>
      </c>
      <c r="P749" s="21">
        <f>_xll.RssMarket(A749,"安値")</f>
        <v>35</v>
      </c>
      <c r="Q749" s="4">
        <f t="shared" si="72"/>
        <v>2.857142857142847E-2</v>
      </c>
      <c r="R749" s="21">
        <f>_xll.RssMarket(A749,"後場始値")</f>
        <v>36</v>
      </c>
      <c r="S749" s="25">
        <f t="shared" si="73"/>
        <v>0</v>
      </c>
      <c r="T749" s="7">
        <f>_xll.RssMarket(A749,"出来高加重平均")</f>
        <v>36.017800000000001</v>
      </c>
      <c r="U749" s="4">
        <f t="shared" si="74"/>
        <v>-4.9420008995559872E-4</v>
      </c>
      <c r="V749" s="21">
        <f>_xll.RssMarket(A749,"出来高")</f>
        <v>212700</v>
      </c>
      <c r="W749" s="21">
        <f>_xll.RssMarket(A749,"売買代金")</f>
        <v>7661</v>
      </c>
      <c r="X749" s="20" t="str">
        <f>_xll.RssMarket(A749,"決算発表日")</f>
        <v>2024/01/25</v>
      </c>
      <c r="Y749" s="26" t="str">
        <f>IF(C749&gt;_xll.RssMarket(A749,"年初来高値"),"○","×")</f>
        <v>×</v>
      </c>
      <c r="Z749" s="27" t="str">
        <f>IF(C749&lt;=_xll.RssMarket(A749,"年初来安値"),"○","×")</f>
        <v>×</v>
      </c>
    </row>
    <row r="750" spans="1:26" x14ac:dyDescent="0.25">
      <c r="A750" s="47">
        <v>6666</v>
      </c>
      <c r="B750" s="20" t="str">
        <f>_xll.RssMarket(A750,"銘柄名称")</f>
        <v>リバーエレテック</v>
      </c>
      <c r="C750" s="21">
        <f>_xll.RssMarket(A750,"現在値")</f>
        <v>602</v>
      </c>
      <c r="D750" s="20" t="str">
        <f>_xll.RssMarket(A750,"現在値詳細時刻")</f>
        <v>15:00:00</v>
      </c>
      <c r="E750" s="22">
        <f>_xll.RssMarket(A750,"前日比")</f>
        <v>-11</v>
      </c>
      <c r="F750" s="23">
        <f>_xll.RssMarket(A750,"前日比率")/100</f>
        <v>-1.7899999999999999E-2</v>
      </c>
      <c r="G750" s="24" t="str">
        <f>IFERROR(VLOOKUP(A750,取得元!$A$2:$F$501,2,FALSE),"-")</f>
        <v>-</v>
      </c>
      <c r="H750" s="24" t="str">
        <f>IFERROR(VLOOKUP(A750,取得元!$A$2:$F$501,3,FALSE),"-")</f>
        <v>-</v>
      </c>
      <c r="I750" s="24" t="str">
        <f>IFERROR(VLOOKUP(A750,取得元!$A$2:$F$501,4,FALSE),"-")</f>
        <v>-</v>
      </c>
      <c r="J750" s="5" t="str">
        <f>IFERROR(VLOOKUP(A750,取得元!$A$2:$F$501,5,FALSE),"-")</f>
        <v>-</v>
      </c>
      <c r="K750" s="25" t="str">
        <f>IFERROR(VLOOKUP(A750,取得元!$A$2:$F$501,6,FALSE)/100,"-")</f>
        <v>-</v>
      </c>
      <c r="L750" s="21">
        <f>_xll.RssMarket(A750,"始値")</f>
        <v>610</v>
      </c>
      <c r="M750" s="4">
        <f t="shared" si="70"/>
        <v>-1.3114754098360604E-2</v>
      </c>
      <c r="N750" s="21">
        <f>_xll.RssMarket(A750,"高値")</f>
        <v>613</v>
      </c>
      <c r="O750" s="4">
        <f t="shared" si="71"/>
        <v>-1.7944535073409429E-2</v>
      </c>
      <c r="P750" s="21">
        <f>_xll.RssMarket(A750,"安値")</f>
        <v>594</v>
      </c>
      <c r="Q750" s="4">
        <f t="shared" si="72"/>
        <v>1.3468013468013407E-2</v>
      </c>
      <c r="R750" s="21">
        <f>_xll.RssMarket(A750,"後場始値")</f>
        <v>605</v>
      </c>
      <c r="S750" s="25">
        <f t="shared" si="73"/>
        <v>-4.9586776859503745E-3</v>
      </c>
      <c r="T750" s="7">
        <f>_xll.RssMarket(A750,"出来高加重平均")</f>
        <v>603.47569999999996</v>
      </c>
      <c r="U750" s="4">
        <f t="shared" si="74"/>
        <v>-2.4453345843088448E-3</v>
      </c>
      <c r="V750" s="21">
        <f>_xll.RssMarket(A750,"出来高")</f>
        <v>70200</v>
      </c>
      <c r="W750" s="21">
        <f>_xll.RssMarket(A750,"売買代金")</f>
        <v>42364</v>
      </c>
      <c r="X750" s="20" t="str">
        <f>_xll.RssMarket(A750,"決算発表日")</f>
        <v>2024/02/09</v>
      </c>
      <c r="Y750" s="26" t="str">
        <f>IF(C750&gt;_xll.RssMarket(A750,"年初来高値"),"○","×")</f>
        <v>×</v>
      </c>
      <c r="Z750" s="27" t="str">
        <f>IF(C750&lt;=_xll.RssMarket(A750,"年初来安値"),"○","×")</f>
        <v>×</v>
      </c>
    </row>
    <row r="751" spans="1:26" x14ac:dyDescent="0.25">
      <c r="A751" s="49">
        <v>6676</v>
      </c>
      <c r="B751" s="20" t="str">
        <f>_xll.RssMarket(A751,"銘柄名称")</f>
        <v>メルコホールディングス</v>
      </c>
      <c r="C751" s="21">
        <f>_xll.RssMarket(A751,"現在値")</f>
        <v>3250</v>
      </c>
      <c r="D751" s="20" t="str">
        <f>_xll.RssMarket(A751,"現在値詳細時刻")</f>
        <v>15:00:00</v>
      </c>
      <c r="E751" s="22">
        <f>_xll.RssMarket(A751,"前日比")</f>
        <v>-5</v>
      </c>
      <c r="F751" s="23">
        <f>_xll.RssMarket(A751,"前日比率")/100</f>
        <v>-1.5E-3</v>
      </c>
      <c r="G751" s="24" t="str">
        <f>IFERROR(VLOOKUP(A751,取得元!$A$2:$F$501,2,FALSE),"-")</f>
        <v>-</v>
      </c>
      <c r="H751" s="24" t="str">
        <f>IFERROR(VLOOKUP(A751,取得元!$A$2:$F$501,3,FALSE),"-")</f>
        <v>-</v>
      </c>
      <c r="I751" s="24" t="str">
        <f>IFERROR(VLOOKUP(A751,取得元!$A$2:$F$501,4,FALSE),"-")</f>
        <v>-</v>
      </c>
      <c r="J751" s="5" t="str">
        <f>IFERROR(VLOOKUP(A751,取得元!$A$2:$F$501,5,FALSE),"-")</f>
        <v>-</v>
      </c>
      <c r="K751" s="25" t="str">
        <f>IFERROR(VLOOKUP(A751,取得元!$A$2:$F$501,6,FALSE)/100,"-")</f>
        <v>-</v>
      </c>
      <c r="L751" s="21">
        <f>_xll.RssMarket(A751,"始値")</f>
        <v>3260</v>
      </c>
      <c r="M751" s="4">
        <f t="shared" si="70"/>
        <v>-3.0674846625766694E-3</v>
      </c>
      <c r="N751" s="21">
        <f>_xll.RssMarket(A751,"高値")</f>
        <v>3260</v>
      </c>
      <c r="O751" s="4">
        <f t="shared" si="71"/>
        <v>-3.0674846625766694E-3</v>
      </c>
      <c r="P751" s="21">
        <f>_xll.RssMarket(A751,"安値")</f>
        <v>3235</v>
      </c>
      <c r="Q751" s="4">
        <f t="shared" si="72"/>
        <v>4.6367851622874934E-3</v>
      </c>
      <c r="R751" s="21">
        <f>_xll.RssMarket(A751,"後場始値")</f>
        <v>3240</v>
      </c>
      <c r="S751" s="25">
        <f t="shared" si="73"/>
        <v>3.0864197530864335E-3</v>
      </c>
      <c r="T751" s="7">
        <f>_xll.RssMarket(A751,"出来高加重平均")</f>
        <v>3251.4285</v>
      </c>
      <c r="U751" s="4">
        <f t="shared" si="74"/>
        <v>-4.3934535235823358E-4</v>
      </c>
      <c r="V751" s="21">
        <f>_xll.RssMarket(A751,"出来高")</f>
        <v>4900</v>
      </c>
      <c r="W751" s="21">
        <f>_xll.RssMarket(A751,"売買代金")</f>
        <v>15932</v>
      </c>
      <c r="X751" s="20" t="str">
        <f>_xll.RssMarket(A751,"決算発表日")</f>
        <v>2024/02/13</v>
      </c>
      <c r="Y751" s="26" t="str">
        <f>IF(C751&gt;_xll.RssMarket(A751,"年初来高値"),"○","×")</f>
        <v>×</v>
      </c>
      <c r="Z751" s="27" t="str">
        <f>IF(C751&lt;=_xll.RssMarket(A751,"年初来安値"),"○","×")</f>
        <v>×</v>
      </c>
    </row>
    <row r="752" spans="1:26" x14ac:dyDescent="0.25">
      <c r="A752" s="47">
        <v>6677</v>
      </c>
      <c r="B752" s="20" t="str">
        <f>_xll.RssMarket(A752,"銘柄名称")</f>
        <v>エスケーエレクトロニクス</v>
      </c>
      <c r="C752" s="21">
        <f>_xll.RssMarket(A752,"現在値")</f>
        <v>4020</v>
      </c>
      <c r="D752" s="20" t="str">
        <f>_xll.RssMarket(A752,"現在値詳細時刻")</f>
        <v>15:00:00</v>
      </c>
      <c r="E752" s="22">
        <f>_xll.RssMarket(A752,"前日比")</f>
        <v>50</v>
      </c>
      <c r="F752" s="23">
        <f>_xll.RssMarket(A752,"前日比率")/100</f>
        <v>1.26E-2</v>
      </c>
      <c r="G752" s="24" t="str">
        <f>IFERROR(VLOOKUP(A752,取得元!$A$2:$F$501,2,FALSE),"-")</f>
        <v>-</v>
      </c>
      <c r="H752" s="24" t="str">
        <f>IFERROR(VLOOKUP(A752,取得元!$A$2:$F$501,3,FALSE),"-")</f>
        <v>-</v>
      </c>
      <c r="I752" s="24" t="str">
        <f>IFERROR(VLOOKUP(A752,取得元!$A$2:$F$501,4,FALSE),"-")</f>
        <v>-</v>
      </c>
      <c r="J752" s="5" t="str">
        <f>IFERROR(VLOOKUP(A752,取得元!$A$2:$F$501,5,FALSE),"-")</f>
        <v>-</v>
      </c>
      <c r="K752" s="25" t="str">
        <f>IFERROR(VLOOKUP(A752,取得元!$A$2:$F$501,6,FALSE)/100,"-")</f>
        <v>-</v>
      </c>
      <c r="L752" s="21">
        <f>_xll.RssMarket(A752,"始値")</f>
        <v>3970</v>
      </c>
      <c r="M752" s="4">
        <f t="shared" si="70"/>
        <v>1.2594458438287104E-2</v>
      </c>
      <c r="N752" s="21">
        <f>_xll.RssMarket(A752,"高値")</f>
        <v>4020</v>
      </c>
      <c r="O752" s="4">
        <f t="shared" si="71"/>
        <v>0</v>
      </c>
      <c r="P752" s="21">
        <f>_xll.RssMarket(A752,"安値")</f>
        <v>3940</v>
      </c>
      <c r="Q752" s="4">
        <f t="shared" si="72"/>
        <v>2.0304568527918843E-2</v>
      </c>
      <c r="R752" s="21">
        <f>_xll.RssMarket(A752,"後場始値")</f>
        <v>3990</v>
      </c>
      <c r="S752" s="25">
        <f t="shared" si="73"/>
        <v>7.5187969924812581E-3</v>
      </c>
      <c r="T752" s="7">
        <f>_xll.RssMarket(A752,"出来高加重平均")</f>
        <v>3984.7773000000002</v>
      </c>
      <c r="U752" s="4">
        <f t="shared" si="74"/>
        <v>8.8393145584320099E-3</v>
      </c>
      <c r="V752" s="21">
        <f>_xll.RssMarket(A752,"出来高")</f>
        <v>49400</v>
      </c>
      <c r="W752" s="21">
        <f>_xll.RssMarket(A752,"売買代金")</f>
        <v>196848</v>
      </c>
      <c r="X752" s="20" t="str">
        <f>_xll.RssMarket(A752,"決算発表日")</f>
        <v>2024/02/13</v>
      </c>
      <c r="Y752" s="26" t="str">
        <f>IF(C752&gt;_xll.RssMarket(A752,"年初来高値"),"○","×")</f>
        <v>×</v>
      </c>
      <c r="Z752" s="27" t="str">
        <f>IF(C752&lt;=_xll.RssMarket(A752,"年初来安値"),"○","×")</f>
        <v>×</v>
      </c>
    </row>
    <row r="753" spans="1:26" x14ac:dyDescent="0.25">
      <c r="A753" s="49">
        <v>6696</v>
      </c>
      <c r="B753" s="20" t="str">
        <f>_xll.RssMarket(A753,"銘柄名称")</f>
        <v>トラース・オン・プロダクト</v>
      </c>
      <c r="C753" s="21">
        <f>_xll.RssMarket(A753,"現在値")</f>
        <v>258</v>
      </c>
      <c r="D753" s="20" t="str">
        <f>_xll.RssMarket(A753,"現在値詳細時刻")</f>
        <v>15:00:00</v>
      </c>
      <c r="E753" s="22">
        <f>_xll.RssMarket(A753,"前日比")</f>
        <v>-3</v>
      </c>
      <c r="F753" s="23">
        <f>_xll.RssMarket(A753,"前日比率")/100</f>
        <v>-1.15E-2</v>
      </c>
      <c r="G753" s="24" t="str">
        <f>IFERROR(VLOOKUP(A753,取得元!$A$2:$F$501,2,FALSE),"-")</f>
        <v>-</v>
      </c>
      <c r="H753" s="24" t="str">
        <f>IFERROR(VLOOKUP(A753,取得元!$A$2:$F$501,3,FALSE),"-")</f>
        <v>-</v>
      </c>
      <c r="I753" s="24" t="str">
        <f>IFERROR(VLOOKUP(A753,取得元!$A$2:$F$501,4,FALSE),"-")</f>
        <v>-</v>
      </c>
      <c r="J753" s="5" t="str">
        <f>IFERROR(VLOOKUP(A753,取得元!$A$2:$F$501,5,FALSE),"-")</f>
        <v>-</v>
      </c>
      <c r="K753" s="25" t="str">
        <f>IFERROR(VLOOKUP(A753,取得元!$A$2:$F$501,6,FALSE)/100,"-")</f>
        <v>-</v>
      </c>
      <c r="L753" s="21">
        <f>_xll.RssMarket(A753,"始値")</f>
        <v>259</v>
      </c>
      <c r="M753" s="4">
        <f t="shared" si="70"/>
        <v>-3.8610038610038533E-3</v>
      </c>
      <c r="N753" s="21">
        <f>_xll.RssMarket(A753,"高値")</f>
        <v>265</v>
      </c>
      <c r="O753" s="4">
        <f t="shared" si="71"/>
        <v>-2.6415094339622636E-2</v>
      </c>
      <c r="P753" s="21">
        <f>_xll.RssMarket(A753,"安値")</f>
        <v>254</v>
      </c>
      <c r="Q753" s="4">
        <f t="shared" si="72"/>
        <v>1.5748031496062964E-2</v>
      </c>
      <c r="R753" s="21">
        <f>_xll.RssMarket(A753,"後場始値")</f>
        <v>258</v>
      </c>
      <c r="S753" s="25">
        <f t="shared" si="73"/>
        <v>0</v>
      </c>
      <c r="T753" s="7">
        <f>_xll.RssMarket(A753,"出来高加重平均")</f>
        <v>257.50479999999999</v>
      </c>
      <c r="U753" s="4">
        <f t="shared" si="74"/>
        <v>1.9230709485804631E-3</v>
      </c>
      <c r="V753" s="21">
        <f>_xll.RssMarket(A753,"出来高")</f>
        <v>51700</v>
      </c>
      <c r="W753" s="21">
        <f>_xll.RssMarket(A753,"売買代金")</f>
        <v>13313</v>
      </c>
      <c r="X753" s="20" t="str">
        <f>_xll.RssMarket(A753,"決算発表日")</f>
        <v>2024/03/13</v>
      </c>
      <c r="Y753" s="26" t="str">
        <f>IF(C753&gt;_xll.RssMarket(A753,"年初来高値"),"○","×")</f>
        <v>×</v>
      </c>
      <c r="Z753" s="27" t="str">
        <f>IF(C753&lt;=_xll.RssMarket(A753,"年初来安値"),"○","×")</f>
        <v>×</v>
      </c>
    </row>
    <row r="754" spans="1:26" x14ac:dyDescent="0.25">
      <c r="A754" s="47">
        <v>6701</v>
      </c>
      <c r="B754" s="20" t="str">
        <f>_xll.RssMarket(A754,"銘柄名称")</f>
        <v>日本電気</v>
      </c>
      <c r="C754" s="21">
        <f>_xll.RssMarket(A754,"現在値")</f>
        <v>9464</v>
      </c>
      <c r="D754" s="20" t="str">
        <f>_xll.RssMarket(A754,"現在値詳細時刻")</f>
        <v>15:00:00</v>
      </c>
      <c r="E754" s="22">
        <f>_xll.RssMarket(A754,"前日比")</f>
        <v>95</v>
      </c>
      <c r="F754" s="23">
        <f>_xll.RssMarket(A754,"前日比率")/100</f>
        <v>1.01E-2</v>
      </c>
      <c r="G754" s="24" t="str">
        <f>IFERROR(VLOOKUP(A754,取得元!$A$2:$F$501,2,FALSE),"-")</f>
        <v>-</v>
      </c>
      <c r="H754" s="24" t="str">
        <f>IFERROR(VLOOKUP(A754,取得元!$A$2:$F$501,3,FALSE),"-")</f>
        <v>-</v>
      </c>
      <c r="I754" s="24" t="str">
        <f>IFERROR(VLOOKUP(A754,取得元!$A$2:$F$501,4,FALSE),"-")</f>
        <v>-</v>
      </c>
      <c r="J754" s="5" t="str">
        <f>IFERROR(VLOOKUP(A754,取得元!$A$2:$F$501,5,FALSE),"-")</f>
        <v>-</v>
      </c>
      <c r="K754" s="25" t="str">
        <f>IFERROR(VLOOKUP(A754,取得元!$A$2:$F$501,6,FALSE)/100,"-")</f>
        <v>-</v>
      </c>
      <c r="L754" s="21">
        <f>_xll.RssMarket(A754,"始値")</f>
        <v>9472</v>
      </c>
      <c r="M754" s="4">
        <f t="shared" si="70"/>
        <v>-8.445945945946276E-4</v>
      </c>
      <c r="N754" s="21">
        <f>_xll.RssMarket(A754,"高値")</f>
        <v>9540</v>
      </c>
      <c r="O754" s="4">
        <f t="shared" si="71"/>
        <v>-7.9664570230607579E-3</v>
      </c>
      <c r="P754" s="21">
        <f>_xll.RssMarket(A754,"安値")</f>
        <v>9375</v>
      </c>
      <c r="Q754" s="4">
        <f t="shared" si="72"/>
        <v>9.4933333333333536E-3</v>
      </c>
      <c r="R754" s="21">
        <f>_xll.RssMarket(A754,"後場始値")</f>
        <v>9415</v>
      </c>
      <c r="S754" s="25">
        <f t="shared" si="73"/>
        <v>5.2044609665427011E-3</v>
      </c>
      <c r="T754" s="7">
        <f>_xll.RssMarket(A754,"出来高加重平均")</f>
        <v>9460.8529999999992</v>
      </c>
      <c r="U754" s="4">
        <f t="shared" si="74"/>
        <v>3.3263385447379612E-4</v>
      </c>
      <c r="V754" s="21">
        <f>_xll.RssMarket(A754,"出来高")</f>
        <v>873300</v>
      </c>
      <c r="W754" s="21">
        <f>_xll.RssMarket(A754,"売買代金")</f>
        <v>8262163</v>
      </c>
      <c r="X754" s="20" t="str">
        <f>_xll.RssMarket(A754,"決算発表日")</f>
        <v>2024/01/30</v>
      </c>
      <c r="Y754" s="26" t="str">
        <f>IF(C754&gt;_xll.RssMarket(A754,"年初来高値"),"○","×")</f>
        <v>×</v>
      </c>
      <c r="Z754" s="27" t="str">
        <f>IF(C754&lt;=_xll.RssMarket(A754,"年初来安値"),"○","×")</f>
        <v>×</v>
      </c>
    </row>
    <row r="755" spans="1:26" x14ac:dyDescent="0.25">
      <c r="A755" s="49">
        <v>6702</v>
      </c>
      <c r="B755" s="20" t="str">
        <f>_xll.RssMarket(A755,"銘柄名称")</f>
        <v>富士通</v>
      </c>
      <c r="C755" s="21">
        <f>_xll.RssMarket(A755,"現在値")</f>
        <v>22995</v>
      </c>
      <c r="D755" s="20" t="str">
        <f>_xll.RssMarket(A755,"現在値詳細時刻")</f>
        <v>15:00:00</v>
      </c>
      <c r="E755" s="22">
        <f>_xll.RssMarket(A755,"前日比")</f>
        <v>-155</v>
      </c>
      <c r="F755" s="23">
        <f>_xll.RssMarket(A755,"前日比率")/100</f>
        <v>-6.7000000000000002E-3</v>
      </c>
      <c r="G755" s="24" t="str">
        <f>IFERROR(VLOOKUP(A755,取得元!$A$2:$F$501,2,FALSE),"-")</f>
        <v>-</v>
      </c>
      <c r="H755" s="24" t="str">
        <f>IFERROR(VLOOKUP(A755,取得元!$A$2:$F$501,3,FALSE),"-")</f>
        <v>-</v>
      </c>
      <c r="I755" s="24" t="str">
        <f>IFERROR(VLOOKUP(A755,取得元!$A$2:$F$501,4,FALSE),"-")</f>
        <v>-</v>
      </c>
      <c r="J755" s="5" t="str">
        <f>IFERROR(VLOOKUP(A755,取得元!$A$2:$F$501,5,FALSE),"-")</f>
        <v>-</v>
      </c>
      <c r="K755" s="25" t="str">
        <f>IFERROR(VLOOKUP(A755,取得元!$A$2:$F$501,6,FALSE)/100,"-")</f>
        <v>-</v>
      </c>
      <c r="L755" s="21">
        <f>_xll.RssMarket(A755,"始値")</f>
        <v>23460</v>
      </c>
      <c r="M755" s="4">
        <f t="shared" si="70"/>
        <v>-1.9820971867007708E-2</v>
      </c>
      <c r="N755" s="21">
        <f>_xll.RssMarket(A755,"高値")</f>
        <v>23475</v>
      </c>
      <c r="O755" s="4">
        <f t="shared" si="71"/>
        <v>-2.0447284345047945E-2</v>
      </c>
      <c r="P755" s="21">
        <f>_xll.RssMarket(A755,"安値")</f>
        <v>22965</v>
      </c>
      <c r="Q755" s="4">
        <f t="shared" si="72"/>
        <v>1.3063357282820931E-3</v>
      </c>
      <c r="R755" s="21">
        <f>_xll.RssMarket(A755,"後場始値")</f>
        <v>23215</v>
      </c>
      <c r="S755" s="25">
        <f t="shared" si="73"/>
        <v>-9.476631488261944E-3</v>
      </c>
      <c r="T755" s="7">
        <f>_xll.RssMarket(A755,"出来高加重平均")</f>
        <v>23171.166799999999</v>
      </c>
      <c r="U755" s="4">
        <f t="shared" si="74"/>
        <v>-7.6028454466954276E-3</v>
      </c>
      <c r="V755" s="21">
        <f>_xll.RssMarket(A755,"出来高")</f>
        <v>689900</v>
      </c>
      <c r="W755" s="21">
        <f>_xll.RssMarket(A755,"売買代金")</f>
        <v>15985788</v>
      </c>
      <c r="X755" s="20" t="str">
        <f>_xll.RssMarket(A755,"決算発表日")</f>
        <v>2024/01/31</v>
      </c>
      <c r="Y755" s="26" t="str">
        <f>IF(C755&gt;_xll.RssMarket(A755,"年初来高値"),"○","×")</f>
        <v>×</v>
      </c>
      <c r="Z755" s="27" t="str">
        <f>IF(C755&lt;=_xll.RssMarket(A755,"年初来安値"),"○","×")</f>
        <v>×</v>
      </c>
    </row>
    <row r="756" spans="1:26" x14ac:dyDescent="0.25">
      <c r="A756" s="47">
        <v>6721</v>
      </c>
      <c r="B756" s="20" t="str">
        <f>_xll.RssMarket(A756,"銘柄名称")</f>
        <v>ウインテスト</v>
      </c>
      <c r="C756" s="21">
        <f>_xll.RssMarket(A756,"現在値")</f>
        <v>92</v>
      </c>
      <c r="D756" s="20" t="str">
        <f>_xll.RssMarket(A756,"現在値詳細時刻")</f>
        <v>15:00:00</v>
      </c>
      <c r="E756" s="22">
        <f>_xll.RssMarket(A756,"前日比")</f>
        <v>0</v>
      </c>
      <c r="F756" s="23">
        <f>_xll.RssMarket(A756,"前日比率")/100</f>
        <v>0</v>
      </c>
      <c r="G756" s="24" t="str">
        <f>IFERROR(VLOOKUP(A756,取得元!$A$2:$F$501,2,FALSE),"-")</f>
        <v>-</v>
      </c>
      <c r="H756" s="24" t="str">
        <f>IFERROR(VLOOKUP(A756,取得元!$A$2:$F$501,3,FALSE),"-")</f>
        <v>-</v>
      </c>
      <c r="I756" s="24" t="str">
        <f>IFERROR(VLOOKUP(A756,取得元!$A$2:$F$501,4,FALSE),"-")</f>
        <v>-</v>
      </c>
      <c r="J756" s="5" t="str">
        <f>IFERROR(VLOOKUP(A756,取得元!$A$2:$F$501,5,FALSE),"-")</f>
        <v>-</v>
      </c>
      <c r="K756" s="25" t="str">
        <f>IFERROR(VLOOKUP(A756,取得元!$A$2:$F$501,6,FALSE)/100,"-")</f>
        <v>-</v>
      </c>
      <c r="L756" s="21">
        <f>_xll.RssMarket(A756,"始値")</f>
        <v>92</v>
      </c>
      <c r="M756" s="4">
        <f t="shared" si="70"/>
        <v>0</v>
      </c>
      <c r="N756" s="21">
        <f>_xll.RssMarket(A756,"高値")</f>
        <v>94</v>
      </c>
      <c r="O756" s="4">
        <f t="shared" si="71"/>
        <v>-2.1276595744680882E-2</v>
      </c>
      <c r="P756" s="21">
        <f>_xll.RssMarket(A756,"安値")</f>
        <v>92</v>
      </c>
      <c r="Q756" s="4">
        <f t="shared" si="72"/>
        <v>0</v>
      </c>
      <c r="R756" s="21">
        <f>_xll.RssMarket(A756,"後場始値")</f>
        <v>92</v>
      </c>
      <c r="S756" s="25">
        <f t="shared" si="73"/>
        <v>0</v>
      </c>
      <c r="T756" s="7">
        <f>_xll.RssMarket(A756,"出来高加重平均")</f>
        <v>92.313299999999998</v>
      </c>
      <c r="U756" s="4">
        <f t="shared" si="74"/>
        <v>-3.3938771552961544E-3</v>
      </c>
      <c r="V756" s="21">
        <f>_xll.RssMarket(A756,"出来高")</f>
        <v>68300</v>
      </c>
      <c r="W756" s="21">
        <f>_xll.RssMarket(A756,"売買代金")</f>
        <v>6305</v>
      </c>
      <c r="X756" s="20" t="str">
        <f>_xll.RssMarket(A756,"決算発表日")</f>
        <v>2024/02/14</v>
      </c>
      <c r="Y756" s="26" t="str">
        <f>IF(C756&gt;_xll.RssMarket(A756,"年初来高値"),"○","×")</f>
        <v>×</v>
      </c>
      <c r="Z756" s="27" t="str">
        <f>IF(C756&lt;=_xll.RssMarket(A756,"年初来安値"),"○","×")</f>
        <v>×</v>
      </c>
    </row>
    <row r="757" spans="1:26" x14ac:dyDescent="0.25">
      <c r="A757" s="49">
        <v>6723</v>
      </c>
      <c r="B757" s="20" t="str">
        <f>_xll.RssMarket(A757,"銘柄名称")</f>
        <v>ルネサスエレクトロニクス</v>
      </c>
      <c r="C757" s="21">
        <f>_xll.RssMarket(A757,"現在値")</f>
        <v>2374</v>
      </c>
      <c r="D757" s="20" t="str">
        <f>_xll.RssMarket(A757,"現在値詳細時刻")</f>
        <v>15:00:00</v>
      </c>
      <c r="E757" s="22">
        <f>_xll.RssMarket(A757,"前日比")</f>
        <v>-59</v>
      </c>
      <c r="F757" s="23">
        <f>_xll.RssMarket(A757,"前日比率")/100</f>
        <v>-2.4199999999999999E-2</v>
      </c>
      <c r="G757" s="24" t="str">
        <f>IFERROR(VLOOKUP(A757,取得元!$A$2:$F$501,2,FALSE),"-")</f>
        <v>-</v>
      </c>
      <c r="H757" s="24" t="str">
        <f>IFERROR(VLOOKUP(A757,取得元!$A$2:$F$501,3,FALSE),"-")</f>
        <v>-</v>
      </c>
      <c r="I757" s="24" t="str">
        <f>IFERROR(VLOOKUP(A757,取得元!$A$2:$F$501,4,FALSE),"-")</f>
        <v>-</v>
      </c>
      <c r="J757" s="5" t="str">
        <f>IFERROR(VLOOKUP(A757,取得元!$A$2:$F$501,5,FALSE),"-")</f>
        <v>-</v>
      </c>
      <c r="K757" s="25" t="str">
        <f>IFERROR(VLOOKUP(A757,取得元!$A$2:$F$501,6,FALSE)/100,"-")</f>
        <v>-</v>
      </c>
      <c r="L757" s="21">
        <f>_xll.RssMarket(A757,"始値")</f>
        <v>2415.5</v>
      </c>
      <c r="M757" s="4">
        <f t="shared" si="70"/>
        <v>-1.7180707927965222E-2</v>
      </c>
      <c r="N757" s="21">
        <f>_xll.RssMarket(A757,"高値")</f>
        <v>2422</v>
      </c>
      <c r="O757" s="4">
        <f t="shared" si="71"/>
        <v>-1.9818331957060287E-2</v>
      </c>
      <c r="P757" s="21">
        <f>_xll.RssMarket(A757,"安値")</f>
        <v>2374</v>
      </c>
      <c r="Q757" s="4">
        <f t="shared" si="72"/>
        <v>0</v>
      </c>
      <c r="R757" s="21">
        <f>_xll.RssMarket(A757,"後場始値")</f>
        <v>2419.5</v>
      </c>
      <c r="S757" s="25">
        <f t="shared" si="73"/>
        <v>-1.88055383343666E-2</v>
      </c>
      <c r="T757" s="7">
        <f>_xll.RssMarket(A757,"出来高加重平均")</f>
        <v>2396.2368000000001</v>
      </c>
      <c r="U757" s="4">
        <f t="shared" si="74"/>
        <v>-9.2798841917460795E-3</v>
      </c>
      <c r="V757" s="21">
        <f>_xll.RssMarket(A757,"出来高")</f>
        <v>17068300</v>
      </c>
      <c r="W757" s="21">
        <f>_xll.RssMarket(A757,"売買代金")</f>
        <v>40899689</v>
      </c>
      <c r="X757" s="20" t="str">
        <f>_xll.RssMarket(A757,"決算発表日")</f>
        <v>2024/02/08</v>
      </c>
      <c r="Y757" s="26" t="str">
        <f>IF(C757&gt;_xll.RssMarket(A757,"年初来高値"),"○","×")</f>
        <v>×</v>
      </c>
      <c r="Z757" s="27" t="str">
        <f>IF(C757&lt;=_xll.RssMarket(A757,"年初来安値"),"○","×")</f>
        <v>×</v>
      </c>
    </row>
    <row r="758" spans="1:26" x14ac:dyDescent="0.25">
      <c r="A758" s="47">
        <v>6731</v>
      </c>
      <c r="B758" s="20" t="str">
        <f>_xll.RssMarket(A758,"銘柄名称")</f>
        <v>ピクセラ</v>
      </c>
      <c r="C758" s="21">
        <f>_xll.RssMarket(A758,"現在値")</f>
        <v>154</v>
      </c>
      <c r="D758" s="20" t="str">
        <f>_xll.RssMarket(A758,"現在値詳細時刻")</f>
        <v>15:00:00</v>
      </c>
      <c r="E758" s="22">
        <f>_xll.RssMarket(A758,"前日比")</f>
        <v>-2</v>
      </c>
      <c r="F758" s="23">
        <f>_xll.RssMarket(A758,"前日比率")/100</f>
        <v>-1.2800000000000001E-2</v>
      </c>
      <c r="G758" s="24" t="str">
        <f>IFERROR(VLOOKUP(A758,取得元!$A$2:$F$501,2,FALSE),"-")</f>
        <v>-</v>
      </c>
      <c r="H758" s="24" t="str">
        <f>IFERROR(VLOOKUP(A758,取得元!$A$2:$F$501,3,FALSE),"-")</f>
        <v>-</v>
      </c>
      <c r="I758" s="24" t="str">
        <f>IFERROR(VLOOKUP(A758,取得元!$A$2:$F$501,4,FALSE),"-")</f>
        <v>-</v>
      </c>
      <c r="J758" s="5" t="str">
        <f>IFERROR(VLOOKUP(A758,取得元!$A$2:$F$501,5,FALSE),"-")</f>
        <v>-</v>
      </c>
      <c r="K758" s="25" t="str">
        <f>IFERROR(VLOOKUP(A758,取得元!$A$2:$F$501,6,FALSE)/100,"-")</f>
        <v>-</v>
      </c>
      <c r="L758" s="21">
        <f>_xll.RssMarket(A758,"始値")</f>
        <v>156</v>
      </c>
      <c r="M758" s="4">
        <f t="shared" si="70"/>
        <v>-1.2820512820512775E-2</v>
      </c>
      <c r="N758" s="21">
        <f>_xll.RssMarket(A758,"高値")</f>
        <v>159</v>
      </c>
      <c r="O758" s="4">
        <f t="shared" si="71"/>
        <v>-3.1446540880503138E-2</v>
      </c>
      <c r="P758" s="21">
        <f>_xll.RssMarket(A758,"安値")</f>
        <v>152</v>
      </c>
      <c r="Q758" s="4">
        <f t="shared" si="72"/>
        <v>1.3157894736842035E-2</v>
      </c>
      <c r="R758" s="21">
        <f>_xll.RssMarket(A758,"後場始値")</f>
        <v>157</v>
      </c>
      <c r="S758" s="25">
        <f t="shared" si="73"/>
        <v>-1.9108280254777066E-2</v>
      </c>
      <c r="T758" s="7">
        <f>_xll.RssMarket(A758,"出来高加重平均")</f>
        <v>155.315</v>
      </c>
      <c r="U758" s="4">
        <f t="shared" si="74"/>
        <v>-8.4666645204906077E-3</v>
      </c>
      <c r="V758" s="21">
        <f>_xll.RssMarket(A758,"出来高")</f>
        <v>826900</v>
      </c>
      <c r="W758" s="21">
        <f>_xll.RssMarket(A758,"売買代金")</f>
        <v>128430</v>
      </c>
      <c r="X758" s="20" t="str">
        <f>_xll.RssMarket(A758,"決算発表日")</f>
        <v>2024/02/14</v>
      </c>
      <c r="Y758" s="26" t="str">
        <f>IF(C758&gt;_xll.RssMarket(A758,"年初来高値"),"○","×")</f>
        <v>×</v>
      </c>
      <c r="Z758" s="27" t="str">
        <f>IF(C758&lt;=_xll.RssMarket(A758,"年初来安値"),"○","×")</f>
        <v>×</v>
      </c>
    </row>
    <row r="759" spans="1:26" x14ac:dyDescent="0.25">
      <c r="A759" s="49">
        <v>6740</v>
      </c>
      <c r="B759" s="20" t="str">
        <f>_xll.RssMarket(A759,"銘柄名称")</f>
        <v>ジャパンディスプレイ</v>
      </c>
      <c r="C759" s="21">
        <f>_xll.RssMarket(A759,"現在値")</f>
        <v>20</v>
      </c>
      <c r="D759" s="20" t="str">
        <f>_xll.RssMarket(A759,"現在値詳細時刻")</f>
        <v>15:00:00</v>
      </c>
      <c r="E759" s="22">
        <f>_xll.RssMarket(A759,"前日比")</f>
        <v>0</v>
      </c>
      <c r="F759" s="23">
        <f>_xll.RssMarket(A759,"前日比率")/100</f>
        <v>0</v>
      </c>
      <c r="G759" s="24" t="str">
        <f>IFERROR(VLOOKUP(A759,取得元!$A$2:$F$501,2,FALSE),"-")</f>
        <v>-</v>
      </c>
      <c r="H759" s="24" t="str">
        <f>IFERROR(VLOOKUP(A759,取得元!$A$2:$F$501,3,FALSE),"-")</f>
        <v>-</v>
      </c>
      <c r="I759" s="24" t="str">
        <f>IFERROR(VLOOKUP(A759,取得元!$A$2:$F$501,4,FALSE),"-")</f>
        <v>-</v>
      </c>
      <c r="J759" s="5" t="str">
        <f>IFERROR(VLOOKUP(A759,取得元!$A$2:$F$501,5,FALSE),"-")</f>
        <v>-</v>
      </c>
      <c r="K759" s="25" t="str">
        <f>IFERROR(VLOOKUP(A759,取得元!$A$2:$F$501,6,FALSE)/100,"-")</f>
        <v>-</v>
      </c>
      <c r="L759" s="21">
        <f>_xll.RssMarket(A759,"始値")</f>
        <v>21</v>
      </c>
      <c r="M759" s="4">
        <f t="shared" si="70"/>
        <v>-4.7619047619047672E-2</v>
      </c>
      <c r="N759" s="21">
        <f>_xll.RssMarket(A759,"高値")</f>
        <v>21</v>
      </c>
      <c r="O759" s="4">
        <f t="shared" si="71"/>
        <v>-4.7619047619047672E-2</v>
      </c>
      <c r="P759" s="21">
        <f>_xll.RssMarket(A759,"安値")</f>
        <v>20</v>
      </c>
      <c r="Q759" s="4">
        <f t="shared" si="72"/>
        <v>0</v>
      </c>
      <c r="R759" s="21">
        <f>_xll.RssMarket(A759,"後場始値")</f>
        <v>20</v>
      </c>
      <c r="S759" s="25">
        <f t="shared" si="73"/>
        <v>0</v>
      </c>
      <c r="T759" s="7">
        <f>_xll.RssMarket(A759,"出来高加重平均")</f>
        <v>20.442</v>
      </c>
      <c r="U759" s="4">
        <f t="shared" si="74"/>
        <v>-2.1622150474513213E-2</v>
      </c>
      <c r="V759" s="21">
        <f>_xll.RssMarket(A759,"出来高")</f>
        <v>28082400</v>
      </c>
      <c r="W759" s="21">
        <f>_xll.RssMarket(A759,"売買代金")</f>
        <v>574062</v>
      </c>
      <c r="X759" s="20" t="str">
        <f>_xll.RssMarket(A759,"決算発表日")</f>
        <v>2024/02/09</v>
      </c>
      <c r="Y759" s="26" t="str">
        <f>IF(C759&gt;_xll.RssMarket(A759,"年初来高値"),"○","×")</f>
        <v>×</v>
      </c>
      <c r="Z759" s="27" t="str">
        <f>IF(C759&lt;=_xll.RssMarket(A759,"年初来安値"),"○","×")</f>
        <v>×</v>
      </c>
    </row>
    <row r="760" spans="1:26" x14ac:dyDescent="0.25">
      <c r="A760" s="47">
        <v>6741</v>
      </c>
      <c r="B760" s="20" t="str">
        <f>_xll.RssMarket(A760,"銘柄名称")</f>
        <v>日本信号</v>
      </c>
      <c r="C760" s="21">
        <f>_xll.RssMarket(A760,"現在値")</f>
        <v>955</v>
      </c>
      <c r="D760" s="20" t="str">
        <f>_xll.RssMarket(A760,"現在値詳細時刻")</f>
        <v>15:00:00</v>
      </c>
      <c r="E760" s="22">
        <f>_xll.RssMarket(A760,"前日比")</f>
        <v>-7</v>
      </c>
      <c r="F760" s="23">
        <f>_xll.RssMarket(A760,"前日比率")/100</f>
        <v>-7.3000000000000001E-3</v>
      </c>
      <c r="G760" s="24" t="str">
        <f>IFERROR(VLOOKUP(A760,取得元!$A$2:$F$501,2,FALSE),"-")</f>
        <v>-</v>
      </c>
      <c r="H760" s="24" t="str">
        <f>IFERROR(VLOOKUP(A760,取得元!$A$2:$F$501,3,FALSE),"-")</f>
        <v>-</v>
      </c>
      <c r="I760" s="24" t="str">
        <f>IFERROR(VLOOKUP(A760,取得元!$A$2:$F$501,4,FALSE),"-")</f>
        <v>-</v>
      </c>
      <c r="J760" s="5" t="str">
        <f>IFERROR(VLOOKUP(A760,取得元!$A$2:$F$501,5,FALSE),"-")</f>
        <v>-</v>
      </c>
      <c r="K760" s="25" t="str">
        <f>IFERROR(VLOOKUP(A760,取得元!$A$2:$F$501,6,FALSE)/100,"-")</f>
        <v>-</v>
      </c>
      <c r="L760" s="21">
        <f>_xll.RssMarket(A760,"始値")</f>
        <v>951</v>
      </c>
      <c r="M760" s="4">
        <f t="shared" si="70"/>
        <v>4.2060988433227919E-3</v>
      </c>
      <c r="N760" s="21">
        <f>_xll.RssMarket(A760,"高値")</f>
        <v>959</v>
      </c>
      <c r="O760" s="4">
        <f t="shared" si="71"/>
        <v>-4.1710114702815382E-3</v>
      </c>
      <c r="P760" s="21">
        <f>_xll.RssMarket(A760,"安値")</f>
        <v>938</v>
      </c>
      <c r="Q760" s="4">
        <f t="shared" si="72"/>
        <v>1.8123667377398789E-2</v>
      </c>
      <c r="R760" s="21">
        <f>_xll.RssMarket(A760,"後場始値")</f>
        <v>953</v>
      </c>
      <c r="S760" s="25">
        <f t="shared" si="73"/>
        <v>2.0986358866736943E-3</v>
      </c>
      <c r="T760" s="7">
        <f>_xll.RssMarket(A760,"出来高加重平均")</f>
        <v>950.17</v>
      </c>
      <c r="U760" s="4">
        <f t="shared" si="74"/>
        <v>5.0833008830000193E-3</v>
      </c>
      <c r="V760" s="21">
        <f>_xll.RssMarket(A760,"出来高")</f>
        <v>276400</v>
      </c>
      <c r="W760" s="21">
        <f>_xll.RssMarket(A760,"売買代金")</f>
        <v>262627</v>
      </c>
      <c r="X760" s="20" t="str">
        <f>_xll.RssMarket(A760,"決算発表日")</f>
        <v>2024/02/06</v>
      </c>
      <c r="Y760" s="26" t="str">
        <f>IF(C760&gt;_xll.RssMarket(A760,"年初来高値"),"○","×")</f>
        <v>×</v>
      </c>
      <c r="Z760" s="27" t="str">
        <f>IF(C760&lt;=_xll.RssMarket(A760,"年初来安値"),"○","×")</f>
        <v>×</v>
      </c>
    </row>
    <row r="761" spans="1:26" x14ac:dyDescent="0.25">
      <c r="A761" s="49">
        <v>6742</v>
      </c>
      <c r="B761" s="20" t="str">
        <f>_xll.RssMarket(A761,"銘柄名称")</f>
        <v>京三製作所</v>
      </c>
      <c r="C761" s="21">
        <f>_xll.RssMarket(A761,"現在値")</f>
        <v>465</v>
      </c>
      <c r="D761" s="20" t="str">
        <f>_xll.RssMarket(A761,"現在値詳細時刻")</f>
        <v>15:00:00</v>
      </c>
      <c r="E761" s="22">
        <f>_xll.RssMarket(A761,"前日比")</f>
        <v>-3</v>
      </c>
      <c r="F761" s="23">
        <f>_xll.RssMarket(A761,"前日比率")/100</f>
        <v>-6.4000000000000003E-3</v>
      </c>
      <c r="G761" s="24" t="str">
        <f>IFERROR(VLOOKUP(A761,取得元!$A$2:$F$501,2,FALSE),"-")</f>
        <v>-</v>
      </c>
      <c r="H761" s="24" t="str">
        <f>IFERROR(VLOOKUP(A761,取得元!$A$2:$F$501,3,FALSE),"-")</f>
        <v>-</v>
      </c>
      <c r="I761" s="24" t="str">
        <f>IFERROR(VLOOKUP(A761,取得元!$A$2:$F$501,4,FALSE),"-")</f>
        <v>-</v>
      </c>
      <c r="J761" s="5" t="str">
        <f>IFERROR(VLOOKUP(A761,取得元!$A$2:$F$501,5,FALSE),"-")</f>
        <v>-</v>
      </c>
      <c r="K761" s="25" t="str">
        <f>IFERROR(VLOOKUP(A761,取得元!$A$2:$F$501,6,FALSE)/100,"-")</f>
        <v>-</v>
      </c>
      <c r="L761" s="21">
        <f>_xll.RssMarket(A761,"始値")</f>
        <v>467</v>
      </c>
      <c r="M761" s="4">
        <f t="shared" si="70"/>
        <v>-4.282655246252709E-3</v>
      </c>
      <c r="N761" s="21">
        <f>_xll.RssMarket(A761,"高値")</f>
        <v>469</v>
      </c>
      <c r="O761" s="4">
        <f t="shared" si="71"/>
        <v>-8.5287846481876262E-3</v>
      </c>
      <c r="P761" s="21">
        <f>_xll.RssMarket(A761,"安値")</f>
        <v>465</v>
      </c>
      <c r="Q761" s="4">
        <f t="shared" si="72"/>
        <v>0</v>
      </c>
      <c r="R761" s="21">
        <f>_xll.RssMarket(A761,"後場始値")</f>
        <v>467</v>
      </c>
      <c r="S761" s="25">
        <f t="shared" si="73"/>
        <v>-4.282655246252709E-3</v>
      </c>
      <c r="T761" s="7">
        <f>_xll.RssMarket(A761,"出来高加重平均")</f>
        <v>466.89179999999999</v>
      </c>
      <c r="U761" s="4">
        <f t="shared" si="74"/>
        <v>-4.0519023893758055E-3</v>
      </c>
      <c r="V761" s="21">
        <f>_xll.RssMarket(A761,"出来高")</f>
        <v>59200</v>
      </c>
      <c r="W761" s="21">
        <f>_xll.RssMarket(A761,"売買代金")</f>
        <v>27640</v>
      </c>
      <c r="X761" s="20" t="str">
        <f>_xll.RssMarket(A761,"決算発表日")</f>
        <v>2024/02/09</v>
      </c>
      <c r="Y761" s="26" t="str">
        <f>IF(C761&gt;_xll.RssMarket(A761,"年初来高値"),"○","×")</f>
        <v>×</v>
      </c>
      <c r="Z761" s="27" t="str">
        <f>IF(C761&lt;=_xll.RssMarket(A761,"年初来安値"),"○","×")</f>
        <v>×</v>
      </c>
    </row>
    <row r="762" spans="1:26" x14ac:dyDescent="0.25">
      <c r="A762" s="47">
        <v>6748</v>
      </c>
      <c r="B762" s="20" t="str">
        <f>_xll.RssMarket(A762,"銘柄名称")</f>
        <v>星和電機</v>
      </c>
      <c r="C762" s="21">
        <f>_xll.RssMarket(A762,"現在値")</f>
        <v>480</v>
      </c>
      <c r="D762" s="20" t="str">
        <f>_xll.RssMarket(A762,"現在値詳細時刻")</f>
        <v>15:00:00</v>
      </c>
      <c r="E762" s="22">
        <f>_xll.RssMarket(A762,"前日比")</f>
        <v>-1</v>
      </c>
      <c r="F762" s="23">
        <f>_xll.RssMarket(A762,"前日比率")/100</f>
        <v>-2.0999999999999999E-3</v>
      </c>
      <c r="G762" s="24" t="str">
        <f>IFERROR(VLOOKUP(A762,取得元!$A$2:$F$501,2,FALSE),"-")</f>
        <v>-</v>
      </c>
      <c r="H762" s="24" t="str">
        <f>IFERROR(VLOOKUP(A762,取得元!$A$2:$F$501,3,FALSE),"-")</f>
        <v>-</v>
      </c>
      <c r="I762" s="24" t="str">
        <f>IFERROR(VLOOKUP(A762,取得元!$A$2:$F$501,4,FALSE),"-")</f>
        <v>-</v>
      </c>
      <c r="J762" s="5" t="str">
        <f>IFERROR(VLOOKUP(A762,取得元!$A$2:$F$501,5,FALSE),"-")</f>
        <v>-</v>
      </c>
      <c r="K762" s="25" t="str">
        <f>IFERROR(VLOOKUP(A762,取得元!$A$2:$F$501,6,FALSE)/100,"-")</f>
        <v>-</v>
      </c>
      <c r="L762" s="21">
        <f>_xll.RssMarket(A762,"始値")</f>
        <v>480</v>
      </c>
      <c r="M762" s="4">
        <f t="shared" si="70"/>
        <v>0</v>
      </c>
      <c r="N762" s="21">
        <f>_xll.RssMarket(A762,"高値")</f>
        <v>483</v>
      </c>
      <c r="O762" s="4">
        <f t="shared" si="71"/>
        <v>-6.2111801242236142E-3</v>
      </c>
      <c r="P762" s="21">
        <f>_xll.RssMarket(A762,"安値")</f>
        <v>480</v>
      </c>
      <c r="Q762" s="4">
        <f t="shared" si="72"/>
        <v>0</v>
      </c>
      <c r="R762" s="21">
        <f>_xll.RssMarket(A762,"後場始値")</f>
        <v>481</v>
      </c>
      <c r="S762" s="25">
        <f t="shared" si="73"/>
        <v>-2.0790020790020236E-3</v>
      </c>
      <c r="T762" s="7">
        <f>_xll.RssMarket(A762,"出来高加重平均")</f>
        <v>480.93329999999997</v>
      </c>
      <c r="U762" s="4">
        <f t="shared" si="74"/>
        <v>-1.9406017424868915E-3</v>
      </c>
      <c r="V762" s="21">
        <f>_xll.RssMarket(A762,"出来高")</f>
        <v>7500</v>
      </c>
      <c r="W762" s="21">
        <f>_xll.RssMarket(A762,"売買代金")</f>
        <v>3607</v>
      </c>
      <c r="X762" s="20" t="str">
        <f>_xll.RssMarket(A762,"決算発表日")</f>
        <v>2024/02/13</v>
      </c>
      <c r="Y762" s="26" t="str">
        <f>IF(C762&gt;_xll.RssMarket(A762,"年初来高値"),"○","×")</f>
        <v>×</v>
      </c>
      <c r="Z762" s="27" t="str">
        <f>IF(C762&lt;=_xll.RssMarket(A762,"年初来安値"),"○","×")</f>
        <v>×</v>
      </c>
    </row>
    <row r="763" spans="1:26" x14ac:dyDescent="0.25">
      <c r="A763" s="49">
        <v>6750</v>
      </c>
      <c r="B763" s="20" t="str">
        <f>_xll.RssMarket(A763,"銘柄名称")</f>
        <v>エレコム</v>
      </c>
      <c r="C763" s="21">
        <f>_xll.RssMarket(A763,"現在値")</f>
        <v>1687</v>
      </c>
      <c r="D763" s="20" t="str">
        <f>_xll.RssMarket(A763,"現在値詳細時刻")</f>
        <v>15:00:00</v>
      </c>
      <c r="E763" s="22">
        <f>_xll.RssMarket(A763,"前日比")</f>
        <v>-3</v>
      </c>
      <c r="F763" s="23">
        <f>_xll.RssMarket(A763,"前日比率")/100</f>
        <v>-1.8E-3</v>
      </c>
      <c r="G763" s="24" t="str">
        <f>IFERROR(VLOOKUP(A763,取得元!$A$2:$F$501,2,FALSE),"-")</f>
        <v>-</v>
      </c>
      <c r="H763" s="24" t="str">
        <f>IFERROR(VLOOKUP(A763,取得元!$A$2:$F$501,3,FALSE),"-")</f>
        <v>-</v>
      </c>
      <c r="I763" s="24" t="str">
        <f>IFERROR(VLOOKUP(A763,取得元!$A$2:$F$501,4,FALSE),"-")</f>
        <v>-</v>
      </c>
      <c r="J763" s="5" t="str">
        <f>IFERROR(VLOOKUP(A763,取得元!$A$2:$F$501,5,FALSE),"-")</f>
        <v>-</v>
      </c>
      <c r="K763" s="25" t="str">
        <f>IFERROR(VLOOKUP(A763,取得元!$A$2:$F$501,6,FALSE)/100,"-")</f>
        <v>-</v>
      </c>
      <c r="L763" s="21">
        <f>_xll.RssMarket(A763,"始値")</f>
        <v>1690</v>
      </c>
      <c r="M763" s="4">
        <f t="shared" si="70"/>
        <v>-1.7751479289941363E-3</v>
      </c>
      <c r="N763" s="21">
        <f>_xll.RssMarket(A763,"高値")</f>
        <v>1702</v>
      </c>
      <c r="O763" s="4">
        <f t="shared" si="71"/>
        <v>-8.8131609870740757E-3</v>
      </c>
      <c r="P763" s="21">
        <f>_xll.RssMarket(A763,"安値")</f>
        <v>1684</v>
      </c>
      <c r="Q763" s="4">
        <f t="shared" si="72"/>
        <v>1.7814726840854611E-3</v>
      </c>
      <c r="R763" s="21">
        <f>_xll.RssMarket(A763,"後場始値")</f>
        <v>1690</v>
      </c>
      <c r="S763" s="25">
        <f t="shared" si="73"/>
        <v>-1.7751479289941363E-3</v>
      </c>
      <c r="T763" s="7">
        <f>_xll.RssMarket(A763,"出来高加重平均")</f>
        <v>1689.076</v>
      </c>
      <c r="U763" s="4">
        <f t="shared" si="74"/>
        <v>-1.2290743578146079E-3</v>
      </c>
      <c r="V763" s="21">
        <f>_xll.RssMarket(A763,"出来高")</f>
        <v>147200</v>
      </c>
      <c r="W763" s="21">
        <f>_xll.RssMarket(A763,"売買代金")</f>
        <v>248632</v>
      </c>
      <c r="X763" s="20" t="str">
        <f>_xll.RssMarket(A763,"決算発表日")</f>
        <v>2024/02/14</v>
      </c>
      <c r="Y763" s="26" t="str">
        <f>IF(C763&gt;_xll.RssMarket(A763,"年初来高値"),"○","×")</f>
        <v>×</v>
      </c>
      <c r="Z763" s="27" t="str">
        <f>IF(C763&lt;=_xll.RssMarket(A763,"年初来安値"),"○","×")</f>
        <v>×</v>
      </c>
    </row>
    <row r="764" spans="1:26" x14ac:dyDescent="0.25">
      <c r="A764" s="47">
        <v>6752</v>
      </c>
      <c r="B764" s="20" t="str">
        <f>_xll.RssMarket(A764,"銘柄名称")</f>
        <v>パナソニックホールディンク</v>
      </c>
      <c r="C764" s="21">
        <f>_xll.RssMarket(A764,"現在値")</f>
        <v>1430.5</v>
      </c>
      <c r="D764" s="20" t="str">
        <f>_xll.RssMarket(A764,"現在値詳細時刻")</f>
        <v>15:00:00</v>
      </c>
      <c r="E764" s="22">
        <f>_xll.RssMarket(A764,"前日比")</f>
        <v>16.5</v>
      </c>
      <c r="F764" s="23">
        <f>_xll.RssMarket(A764,"前日比率")/100</f>
        <v>1.1699999999999999E-2</v>
      </c>
      <c r="G764" s="24" t="str">
        <f>IFERROR(VLOOKUP(A764,取得元!$A$2:$F$501,2,FALSE),"-")</f>
        <v>-</v>
      </c>
      <c r="H764" s="24" t="str">
        <f>IFERROR(VLOOKUP(A764,取得元!$A$2:$F$501,3,FALSE),"-")</f>
        <v>-</v>
      </c>
      <c r="I764" s="24" t="str">
        <f>IFERROR(VLOOKUP(A764,取得元!$A$2:$F$501,4,FALSE),"-")</f>
        <v>-</v>
      </c>
      <c r="J764" s="5" t="str">
        <f>IFERROR(VLOOKUP(A764,取得元!$A$2:$F$501,5,FALSE),"-")</f>
        <v>-</v>
      </c>
      <c r="K764" s="25" t="str">
        <f>IFERROR(VLOOKUP(A764,取得元!$A$2:$F$501,6,FALSE)/100,"-")</f>
        <v>-</v>
      </c>
      <c r="L764" s="21">
        <f>_xll.RssMarket(A764,"始値")</f>
        <v>1409</v>
      </c>
      <c r="M764" s="4">
        <f t="shared" si="70"/>
        <v>1.5259048970901246E-2</v>
      </c>
      <c r="N764" s="21">
        <f>_xll.RssMarket(A764,"高値")</f>
        <v>1433</v>
      </c>
      <c r="O764" s="4">
        <f t="shared" si="71"/>
        <v>-1.7445917655268817E-3</v>
      </c>
      <c r="P764" s="21">
        <f>_xll.RssMarket(A764,"安値")</f>
        <v>1396.5</v>
      </c>
      <c r="Q764" s="4">
        <f t="shared" si="72"/>
        <v>2.4346580737558243E-2</v>
      </c>
      <c r="R764" s="21">
        <f>_xll.RssMarket(A764,"後場始値")</f>
        <v>1427</v>
      </c>
      <c r="S764" s="25">
        <f t="shared" si="73"/>
        <v>2.4526979677645944E-3</v>
      </c>
      <c r="T764" s="7">
        <f>_xll.RssMarket(A764,"出来高加重平均")</f>
        <v>1419.5959</v>
      </c>
      <c r="U764" s="4">
        <f t="shared" si="74"/>
        <v>7.681129538342546E-3</v>
      </c>
      <c r="V764" s="21">
        <f>_xll.RssMarket(A764,"出来高")</f>
        <v>10765600</v>
      </c>
      <c r="W764" s="21">
        <f>_xll.RssMarket(A764,"売買代金")</f>
        <v>15282802</v>
      </c>
      <c r="X764" s="20" t="str">
        <f>_xll.RssMarket(A764,"決算発表日")</f>
        <v>2024/02/02</v>
      </c>
      <c r="Y764" s="26" t="str">
        <f>IF(C764&gt;_xll.RssMarket(A764,"年初来高値"),"○","×")</f>
        <v>×</v>
      </c>
      <c r="Z764" s="27" t="str">
        <f>IF(C764&lt;=_xll.RssMarket(A764,"年初来安値"),"○","×")</f>
        <v>×</v>
      </c>
    </row>
    <row r="765" spans="1:26" x14ac:dyDescent="0.25">
      <c r="A765" s="49">
        <v>6753</v>
      </c>
      <c r="B765" s="20" t="str">
        <f>_xll.RssMarket(A765,"銘柄名称")</f>
        <v>シャープ</v>
      </c>
      <c r="C765" s="21">
        <f>_xll.RssMarket(A765,"現在値")</f>
        <v>862.1</v>
      </c>
      <c r="D765" s="20" t="str">
        <f>_xll.RssMarket(A765,"現在値詳細時刻")</f>
        <v>15:00:00</v>
      </c>
      <c r="E765" s="22">
        <f>_xll.RssMarket(A765,"前日比")</f>
        <v>-83.6</v>
      </c>
      <c r="F765" s="23">
        <f>_xll.RssMarket(A765,"前日比率")/100</f>
        <v>-8.8399999999999992E-2</v>
      </c>
      <c r="G765" s="24" t="str">
        <f>IFERROR(VLOOKUP(A765,取得元!$A$2:$F$501,2,FALSE),"-")</f>
        <v>-</v>
      </c>
      <c r="H765" s="24" t="str">
        <f>IFERROR(VLOOKUP(A765,取得元!$A$2:$F$501,3,FALSE),"-")</f>
        <v>-</v>
      </c>
      <c r="I765" s="24" t="str">
        <f>IFERROR(VLOOKUP(A765,取得元!$A$2:$F$501,4,FALSE),"-")</f>
        <v>-</v>
      </c>
      <c r="J765" s="5" t="str">
        <f>IFERROR(VLOOKUP(A765,取得元!$A$2:$F$501,5,FALSE),"-")</f>
        <v>-</v>
      </c>
      <c r="K765" s="25" t="str">
        <f>IFERROR(VLOOKUP(A765,取得元!$A$2:$F$501,6,FALSE)/100,"-")</f>
        <v>-</v>
      </c>
      <c r="L765" s="21">
        <f>_xll.RssMarket(A765,"始値")</f>
        <v>915.7</v>
      </c>
      <c r="M765" s="4">
        <f t="shared" si="70"/>
        <v>-5.8534454515671075E-2</v>
      </c>
      <c r="N765" s="21">
        <f>_xll.RssMarket(A765,"高値")</f>
        <v>921</v>
      </c>
      <c r="O765" s="4">
        <f t="shared" si="71"/>
        <v>-6.395222584147664E-2</v>
      </c>
      <c r="P765" s="21">
        <f>_xll.RssMarket(A765,"安値")</f>
        <v>850.1</v>
      </c>
      <c r="Q765" s="4">
        <f t="shared" si="72"/>
        <v>1.4115986354546584E-2</v>
      </c>
      <c r="R765" s="21">
        <f>_xll.RssMarket(A765,"後場始値")</f>
        <v>867</v>
      </c>
      <c r="S765" s="25">
        <f t="shared" si="73"/>
        <v>-5.6516724336793667E-3</v>
      </c>
      <c r="T765" s="7">
        <f>_xll.RssMarket(A765,"出来高加重平均")</f>
        <v>876.22190000000001</v>
      </c>
      <c r="U765" s="4">
        <f t="shared" si="74"/>
        <v>-1.6116807854266169E-2</v>
      </c>
      <c r="V765" s="21">
        <f>_xll.RssMarket(A765,"出来高")</f>
        <v>14582500</v>
      </c>
      <c r="W765" s="21">
        <f>_xll.RssMarket(A765,"売買代金")</f>
        <v>12777506</v>
      </c>
      <c r="X765" s="20" t="str">
        <f>_xll.RssMarket(A765,"決算発表日")</f>
        <v>2024/02/06</v>
      </c>
      <c r="Y765" s="26" t="str">
        <f>IF(C765&gt;_xll.RssMarket(A765,"年初来高値"),"○","×")</f>
        <v>×</v>
      </c>
      <c r="Z765" s="27" t="str">
        <f>IF(C765&lt;=_xll.RssMarket(A765,"年初来安値"),"○","×")</f>
        <v>×</v>
      </c>
    </row>
    <row r="766" spans="1:26" x14ac:dyDescent="0.25">
      <c r="A766" s="47">
        <v>6754</v>
      </c>
      <c r="B766" s="20" t="str">
        <f>_xll.RssMarket(A766,"銘柄名称")</f>
        <v>アンリツ</v>
      </c>
      <c r="C766" s="21">
        <f>_xll.RssMarket(A766,"現在値")</f>
        <v>1164.5</v>
      </c>
      <c r="D766" s="20" t="str">
        <f>_xll.RssMarket(A766,"現在値詳細時刻")</f>
        <v>15:00:00</v>
      </c>
      <c r="E766" s="22">
        <f>_xll.RssMarket(A766,"前日比")</f>
        <v>-25.5</v>
      </c>
      <c r="F766" s="23">
        <f>_xll.RssMarket(A766,"前日比率")/100</f>
        <v>-2.1400000000000002E-2</v>
      </c>
      <c r="G766" s="24" t="str">
        <f>IFERROR(VLOOKUP(A766,取得元!$A$2:$F$501,2,FALSE),"-")</f>
        <v>-</v>
      </c>
      <c r="H766" s="24" t="str">
        <f>IFERROR(VLOOKUP(A766,取得元!$A$2:$F$501,3,FALSE),"-")</f>
        <v>-</v>
      </c>
      <c r="I766" s="24" t="str">
        <f>IFERROR(VLOOKUP(A766,取得元!$A$2:$F$501,4,FALSE),"-")</f>
        <v>-</v>
      </c>
      <c r="J766" s="5" t="str">
        <f>IFERROR(VLOOKUP(A766,取得元!$A$2:$F$501,5,FALSE),"-")</f>
        <v>-</v>
      </c>
      <c r="K766" s="25" t="str">
        <f>IFERROR(VLOOKUP(A766,取得元!$A$2:$F$501,6,FALSE)/100,"-")</f>
        <v>-</v>
      </c>
      <c r="L766" s="21">
        <f>_xll.RssMarket(A766,"始値")</f>
        <v>1185</v>
      </c>
      <c r="M766" s="4">
        <f t="shared" si="70"/>
        <v>-1.7299578059071785E-2</v>
      </c>
      <c r="N766" s="21">
        <f>_xll.RssMarket(A766,"高値")</f>
        <v>1194</v>
      </c>
      <c r="O766" s="4">
        <f t="shared" si="71"/>
        <v>-2.4706867671691835E-2</v>
      </c>
      <c r="P766" s="21">
        <f>_xll.RssMarket(A766,"安値")</f>
        <v>1161.5</v>
      </c>
      <c r="Q766" s="4">
        <f t="shared" si="72"/>
        <v>2.5828669823504402E-3</v>
      </c>
      <c r="R766" s="21">
        <f>_xll.RssMarket(A766,"後場始値")</f>
        <v>1172.5</v>
      </c>
      <c r="S766" s="25">
        <f t="shared" si="73"/>
        <v>-6.8230277185501453E-3</v>
      </c>
      <c r="T766" s="7">
        <f>_xll.RssMarket(A766,"出来高加重平均")</f>
        <v>1171.1731</v>
      </c>
      <c r="U766" s="4">
        <f t="shared" si="74"/>
        <v>-5.6977913854066031E-3</v>
      </c>
      <c r="V766" s="21">
        <f>_xll.RssMarket(A766,"出来高")</f>
        <v>1303300</v>
      </c>
      <c r="W766" s="21">
        <f>_xll.RssMarket(A766,"売買代金")</f>
        <v>1526390</v>
      </c>
      <c r="X766" s="20" t="str">
        <f>_xll.RssMarket(A766,"決算発表日")</f>
        <v>2024/01/30</v>
      </c>
      <c r="Y766" s="26" t="str">
        <f>IF(C766&gt;_xll.RssMarket(A766,"年初来高値"),"○","×")</f>
        <v>×</v>
      </c>
      <c r="Z766" s="27" t="str">
        <f>IF(C766&lt;=_xll.RssMarket(A766,"年初来安値"),"○","×")</f>
        <v>×</v>
      </c>
    </row>
    <row r="767" spans="1:26" x14ac:dyDescent="0.25">
      <c r="A767" s="49">
        <v>6758</v>
      </c>
      <c r="B767" s="20" t="str">
        <f>_xll.RssMarket(A767,"銘柄名称")</f>
        <v>ソニーグループ</v>
      </c>
      <c r="C767" s="21">
        <f>_xll.RssMarket(A767,"現在値")</f>
        <v>14300</v>
      </c>
      <c r="D767" s="20" t="str">
        <f>_xll.RssMarket(A767,"現在値詳細時刻")</f>
        <v>15:00:00</v>
      </c>
      <c r="E767" s="22">
        <f>_xll.RssMarket(A767,"前日比")</f>
        <v>45</v>
      </c>
      <c r="F767" s="23">
        <f>_xll.RssMarket(A767,"前日比率")/100</f>
        <v>3.2000000000000002E-3</v>
      </c>
      <c r="G767" s="24" t="str">
        <f>IFERROR(VLOOKUP(A767,取得元!$A$2:$F$501,2,FALSE),"-")</f>
        <v>-</v>
      </c>
      <c r="H767" s="24" t="str">
        <f>IFERROR(VLOOKUP(A767,取得元!$A$2:$F$501,3,FALSE),"-")</f>
        <v>-</v>
      </c>
      <c r="I767" s="24" t="str">
        <f>IFERROR(VLOOKUP(A767,取得元!$A$2:$F$501,4,FALSE),"-")</f>
        <v>-</v>
      </c>
      <c r="J767" s="5" t="str">
        <f>IFERROR(VLOOKUP(A767,取得元!$A$2:$F$501,5,FALSE),"-")</f>
        <v>-</v>
      </c>
      <c r="K767" s="25" t="str">
        <f>IFERROR(VLOOKUP(A767,取得元!$A$2:$F$501,6,FALSE)/100,"-")</f>
        <v>-</v>
      </c>
      <c r="L767" s="21">
        <f>_xll.RssMarket(A767,"始値")</f>
        <v>14380</v>
      </c>
      <c r="M767" s="4">
        <f t="shared" si="70"/>
        <v>-5.5632823365785455E-3</v>
      </c>
      <c r="N767" s="21">
        <f>_xll.RssMarket(A767,"高値")</f>
        <v>14380</v>
      </c>
      <c r="O767" s="4">
        <f t="shared" si="71"/>
        <v>-5.5632823365785455E-3</v>
      </c>
      <c r="P767" s="21">
        <f>_xll.RssMarket(A767,"安値")</f>
        <v>14175</v>
      </c>
      <c r="Q767" s="4">
        <f t="shared" si="72"/>
        <v>8.818342151675429E-3</v>
      </c>
      <c r="R767" s="21">
        <f>_xll.RssMarket(A767,"後場始値")</f>
        <v>14250</v>
      </c>
      <c r="S767" s="25">
        <f t="shared" si="73"/>
        <v>3.5087719298245723E-3</v>
      </c>
      <c r="T767" s="7">
        <f>_xll.RssMarket(A767,"出来高加重平均")</f>
        <v>14276.2819</v>
      </c>
      <c r="U767" s="4">
        <f t="shared" si="74"/>
        <v>1.6613639437870198E-3</v>
      </c>
      <c r="V767" s="21">
        <f>_xll.RssMarket(A767,"出来高")</f>
        <v>2905300</v>
      </c>
      <c r="W767" s="21">
        <f>_xll.RssMarket(A767,"売買代金")</f>
        <v>41476882</v>
      </c>
      <c r="X767" s="20" t="str">
        <f>_xll.RssMarket(A767,"決算発表日")</f>
        <v>2024/02/14</v>
      </c>
      <c r="Y767" s="26" t="str">
        <f>IF(C767&gt;_xll.RssMarket(A767,"年初来高値"),"○","×")</f>
        <v>×</v>
      </c>
      <c r="Z767" s="27" t="str">
        <f>IF(C767&lt;=_xll.RssMarket(A767,"年初来安値"),"○","×")</f>
        <v>×</v>
      </c>
    </row>
    <row r="768" spans="1:26" x14ac:dyDescent="0.25">
      <c r="A768" s="47">
        <v>6762</v>
      </c>
      <c r="B768" s="20" t="str">
        <f>_xll.RssMarket(A768,"銘柄名称")</f>
        <v>ＴＤＫ</v>
      </c>
      <c r="C768" s="21">
        <f>_xll.RssMarket(A768,"現在値")</f>
        <v>7599</v>
      </c>
      <c r="D768" s="20" t="str">
        <f>_xll.RssMarket(A768,"現在値詳細時刻")</f>
        <v>15:00:00</v>
      </c>
      <c r="E768" s="22">
        <f>_xll.RssMarket(A768,"前日比")</f>
        <v>-126</v>
      </c>
      <c r="F768" s="23">
        <f>_xll.RssMarket(A768,"前日比率")/100</f>
        <v>-1.6299999999999999E-2</v>
      </c>
      <c r="G768" s="24" t="str">
        <f>IFERROR(VLOOKUP(A768,取得元!$A$2:$F$501,2,FALSE),"-")</f>
        <v>-</v>
      </c>
      <c r="H768" s="24" t="str">
        <f>IFERROR(VLOOKUP(A768,取得元!$A$2:$F$501,3,FALSE),"-")</f>
        <v>-</v>
      </c>
      <c r="I768" s="24" t="str">
        <f>IFERROR(VLOOKUP(A768,取得元!$A$2:$F$501,4,FALSE),"-")</f>
        <v>-</v>
      </c>
      <c r="J768" s="5" t="str">
        <f>IFERROR(VLOOKUP(A768,取得元!$A$2:$F$501,5,FALSE),"-")</f>
        <v>-</v>
      </c>
      <c r="K768" s="25" t="str">
        <f>IFERROR(VLOOKUP(A768,取得元!$A$2:$F$501,6,FALSE)/100,"-")</f>
        <v>-</v>
      </c>
      <c r="L768" s="21">
        <f>_xll.RssMarket(A768,"始値")</f>
        <v>7668</v>
      </c>
      <c r="M768" s="4">
        <f t="shared" si="70"/>
        <v>-8.9984350547730463E-3</v>
      </c>
      <c r="N768" s="21">
        <f>_xll.RssMarket(A768,"高値")</f>
        <v>7700</v>
      </c>
      <c r="O768" s="4">
        <f t="shared" si="71"/>
        <v>-1.3116883116883082E-2</v>
      </c>
      <c r="P768" s="21">
        <f>_xll.RssMarket(A768,"安値")</f>
        <v>7547</v>
      </c>
      <c r="Q768" s="4">
        <f t="shared" si="72"/>
        <v>6.8901550284881097E-3</v>
      </c>
      <c r="R768" s="21">
        <f>_xll.RssMarket(A768,"後場始値")</f>
        <v>7649</v>
      </c>
      <c r="S768" s="25">
        <f t="shared" si="73"/>
        <v>-6.5368021963655432E-3</v>
      </c>
      <c r="T768" s="7">
        <f>_xll.RssMarket(A768,"出来高加重平均")</f>
        <v>7615.5816999999997</v>
      </c>
      <c r="U768" s="4">
        <f t="shared" si="74"/>
        <v>-2.1773386004118045E-3</v>
      </c>
      <c r="V768" s="21">
        <f>_xll.RssMarket(A768,"出来高")</f>
        <v>1494500</v>
      </c>
      <c r="W768" s="21">
        <f>_xll.RssMarket(A768,"売買代金")</f>
        <v>11381487</v>
      </c>
      <c r="X768" s="20" t="str">
        <f>_xll.RssMarket(A768,"決算発表日")</f>
        <v>2024/01/31</v>
      </c>
      <c r="Y768" s="26" t="str">
        <f>IF(C768&gt;_xll.RssMarket(A768,"年初来高値"),"○","×")</f>
        <v>×</v>
      </c>
      <c r="Z768" s="27" t="str">
        <f>IF(C768&lt;=_xll.RssMarket(A768,"年初来安値"),"○","×")</f>
        <v>×</v>
      </c>
    </row>
    <row r="769" spans="1:26" x14ac:dyDescent="0.25">
      <c r="A769" s="49">
        <v>6768</v>
      </c>
      <c r="B769" s="20" t="str">
        <f>_xll.RssMarket(A769,"銘柄名称")</f>
        <v>タムラ製作所</v>
      </c>
      <c r="C769" s="21">
        <f>_xll.RssMarket(A769,"現在値")</f>
        <v>541</v>
      </c>
      <c r="D769" s="20" t="str">
        <f>_xll.RssMarket(A769,"現在値詳細時刻")</f>
        <v>15:00:00</v>
      </c>
      <c r="E769" s="22">
        <f>_xll.RssMarket(A769,"前日比")</f>
        <v>7</v>
      </c>
      <c r="F769" s="23">
        <f>_xll.RssMarket(A769,"前日比率")/100</f>
        <v>1.3100000000000001E-2</v>
      </c>
      <c r="G769" s="24" t="str">
        <f>IFERROR(VLOOKUP(A769,取得元!$A$2:$F$501,2,FALSE),"-")</f>
        <v>-</v>
      </c>
      <c r="H769" s="24" t="str">
        <f>IFERROR(VLOOKUP(A769,取得元!$A$2:$F$501,3,FALSE),"-")</f>
        <v>-</v>
      </c>
      <c r="I769" s="24" t="str">
        <f>IFERROR(VLOOKUP(A769,取得元!$A$2:$F$501,4,FALSE),"-")</f>
        <v>-</v>
      </c>
      <c r="J769" s="5" t="str">
        <f>IFERROR(VLOOKUP(A769,取得元!$A$2:$F$501,5,FALSE),"-")</f>
        <v>-</v>
      </c>
      <c r="K769" s="25" t="str">
        <f>IFERROR(VLOOKUP(A769,取得元!$A$2:$F$501,6,FALSE)/100,"-")</f>
        <v>-</v>
      </c>
      <c r="L769" s="21">
        <f>_xll.RssMarket(A769,"始値")</f>
        <v>533</v>
      </c>
      <c r="M769" s="4">
        <f t="shared" si="70"/>
        <v>1.5009380863039379E-2</v>
      </c>
      <c r="N769" s="21">
        <f>_xll.RssMarket(A769,"高値")</f>
        <v>546</v>
      </c>
      <c r="O769" s="4">
        <f t="shared" si="71"/>
        <v>-9.157509157509125E-3</v>
      </c>
      <c r="P769" s="21">
        <f>_xll.RssMarket(A769,"安値")</f>
        <v>529</v>
      </c>
      <c r="Q769" s="4">
        <f t="shared" si="72"/>
        <v>2.2684310018903586E-2</v>
      </c>
      <c r="R769" s="21">
        <f>_xll.RssMarket(A769,"後場始値")</f>
        <v>544</v>
      </c>
      <c r="S769" s="25">
        <f t="shared" si="73"/>
        <v>-5.5147058823529216E-3</v>
      </c>
      <c r="T769" s="7">
        <f>_xll.RssMarket(A769,"出来高加重平均")</f>
        <v>538.78949999999998</v>
      </c>
      <c r="U769" s="4">
        <f t="shared" si="74"/>
        <v>4.1027154389607912E-3</v>
      </c>
      <c r="V769" s="21">
        <f>_xll.RssMarket(A769,"出来高")</f>
        <v>413900</v>
      </c>
      <c r="W769" s="21">
        <f>_xll.RssMarket(A769,"売買代金")</f>
        <v>223005</v>
      </c>
      <c r="X769" s="20" t="str">
        <f>_xll.RssMarket(A769,"決算発表日")</f>
        <v>2024/02/05</v>
      </c>
      <c r="Y769" s="26" t="str">
        <f>IF(C769&gt;_xll.RssMarket(A769,"年初来高値"),"○","×")</f>
        <v>×</v>
      </c>
      <c r="Z769" s="27" t="str">
        <f>IF(C769&lt;=_xll.RssMarket(A769,"年初来安値"),"○","×")</f>
        <v>×</v>
      </c>
    </row>
    <row r="770" spans="1:26" x14ac:dyDescent="0.25">
      <c r="A770" s="47">
        <v>6775</v>
      </c>
      <c r="B770" s="20" t="str">
        <f>_xll.RssMarket(A770,"銘柄名称")</f>
        <v>ＴＢグループ</v>
      </c>
      <c r="C770" s="21">
        <f>_xll.RssMarket(A770,"現在値")</f>
        <v>190</v>
      </c>
      <c r="D770" s="20" t="str">
        <f>_xll.RssMarket(A770,"現在値詳細時刻")</f>
        <v>15:00:00</v>
      </c>
      <c r="E770" s="22">
        <f>_xll.RssMarket(A770,"前日比")</f>
        <v>-8</v>
      </c>
      <c r="F770" s="23">
        <f>_xll.RssMarket(A770,"前日比率")/100</f>
        <v>-4.0399999999999998E-2</v>
      </c>
      <c r="G770" s="24" t="str">
        <f>IFERROR(VLOOKUP(A770,取得元!$A$2:$F$501,2,FALSE),"-")</f>
        <v>-</v>
      </c>
      <c r="H770" s="24" t="str">
        <f>IFERROR(VLOOKUP(A770,取得元!$A$2:$F$501,3,FALSE),"-")</f>
        <v>-</v>
      </c>
      <c r="I770" s="24" t="str">
        <f>IFERROR(VLOOKUP(A770,取得元!$A$2:$F$501,4,FALSE),"-")</f>
        <v>-</v>
      </c>
      <c r="J770" s="5" t="str">
        <f>IFERROR(VLOOKUP(A770,取得元!$A$2:$F$501,5,FALSE),"-")</f>
        <v>-</v>
      </c>
      <c r="K770" s="25" t="str">
        <f>IFERROR(VLOOKUP(A770,取得元!$A$2:$F$501,6,FALSE)/100,"-")</f>
        <v>-</v>
      </c>
      <c r="L770" s="21">
        <f>_xll.RssMarket(A770,"始値")</f>
        <v>194</v>
      </c>
      <c r="M770" s="4">
        <f t="shared" si="70"/>
        <v>-2.0618556701030966E-2</v>
      </c>
      <c r="N770" s="21">
        <f>_xll.RssMarket(A770,"高値")</f>
        <v>199</v>
      </c>
      <c r="O770" s="4">
        <f t="shared" si="71"/>
        <v>-4.5226130653266305E-2</v>
      </c>
      <c r="P770" s="21">
        <f>_xll.RssMarket(A770,"安値")</f>
        <v>190</v>
      </c>
      <c r="Q770" s="4">
        <f t="shared" si="72"/>
        <v>0</v>
      </c>
      <c r="R770" s="21">
        <f>_xll.RssMarket(A770,"後場始値")</f>
        <v>194</v>
      </c>
      <c r="S770" s="25">
        <f t="shared" si="73"/>
        <v>-2.0618556701030966E-2</v>
      </c>
      <c r="T770" s="7">
        <f>_xll.RssMarket(A770,"出来高加重平均")</f>
        <v>193.38069999999999</v>
      </c>
      <c r="U770" s="4">
        <f t="shared" si="74"/>
        <v>-1.7482096196776542E-2</v>
      </c>
      <c r="V770" s="21">
        <f>_xll.RssMarket(A770,"出来高")</f>
        <v>175700</v>
      </c>
      <c r="W770" s="21">
        <f>_xll.RssMarket(A770,"売買代金")</f>
        <v>33977</v>
      </c>
      <c r="X770" s="20" t="str">
        <f>_xll.RssMarket(A770,"決算発表日")</f>
        <v>2024/02/09</v>
      </c>
      <c r="Y770" s="26" t="str">
        <f>IF(C770&gt;_xll.RssMarket(A770,"年初来高値"),"○","×")</f>
        <v>×</v>
      </c>
      <c r="Z770" s="27" t="str">
        <f>IF(C770&lt;=_xll.RssMarket(A770,"年初来安値"),"○","×")</f>
        <v>×</v>
      </c>
    </row>
    <row r="771" spans="1:26" x14ac:dyDescent="0.25">
      <c r="A771" s="49">
        <v>6776</v>
      </c>
      <c r="B771" s="20" t="str">
        <f>_xll.RssMarket(A771,"銘柄名称")</f>
        <v>天昇電気</v>
      </c>
      <c r="C771" s="21">
        <f>_xll.RssMarket(A771,"現在値")</f>
        <v>448</v>
      </c>
      <c r="D771" s="20" t="str">
        <f>_xll.RssMarket(A771,"現在値詳細時刻")</f>
        <v>15:00:00</v>
      </c>
      <c r="E771" s="22">
        <f>_xll.RssMarket(A771,"前日比")</f>
        <v>-1</v>
      </c>
      <c r="F771" s="23">
        <f>_xll.RssMarket(A771,"前日比率")/100</f>
        <v>-2.2000000000000001E-3</v>
      </c>
      <c r="G771" s="24" t="str">
        <f>IFERROR(VLOOKUP(A771,取得元!$A$2:$F$501,2,FALSE),"-")</f>
        <v>-</v>
      </c>
      <c r="H771" s="24" t="str">
        <f>IFERROR(VLOOKUP(A771,取得元!$A$2:$F$501,3,FALSE),"-")</f>
        <v>-</v>
      </c>
      <c r="I771" s="24" t="str">
        <f>IFERROR(VLOOKUP(A771,取得元!$A$2:$F$501,4,FALSE),"-")</f>
        <v>-</v>
      </c>
      <c r="J771" s="5" t="str">
        <f>IFERROR(VLOOKUP(A771,取得元!$A$2:$F$501,5,FALSE),"-")</f>
        <v>-</v>
      </c>
      <c r="K771" s="25" t="str">
        <f>IFERROR(VLOOKUP(A771,取得元!$A$2:$F$501,6,FALSE)/100,"-")</f>
        <v>-</v>
      </c>
      <c r="L771" s="21">
        <f>_xll.RssMarket(A771,"始値")</f>
        <v>450</v>
      </c>
      <c r="M771" s="4">
        <f t="shared" si="70"/>
        <v>-4.4444444444444731E-3</v>
      </c>
      <c r="N771" s="21">
        <f>_xll.RssMarket(A771,"高値")</f>
        <v>450</v>
      </c>
      <c r="O771" s="4">
        <f t="shared" si="71"/>
        <v>-4.4444444444444731E-3</v>
      </c>
      <c r="P771" s="21">
        <f>_xll.RssMarket(A771,"安値")</f>
        <v>444</v>
      </c>
      <c r="Q771" s="4">
        <f t="shared" si="72"/>
        <v>9.009009009008917E-3</v>
      </c>
      <c r="R771" s="21">
        <f>_xll.RssMarket(A771,"後場始値")</f>
        <v>446</v>
      </c>
      <c r="S771" s="25">
        <f t="shared" si="73"/>
        <v>4.484304932735439E-3</v>
      </c>
      <c r="T771" s="7">
        <f>_xll.RssMarket(A771,"出来高加重平均")</f>
        <v>446.4</v>
      </c>
      <c r="U771" s="4">
        <f t="shared" si="74"/>
        <v>3.5842293906811484E-3</v>
      </c>
      <c r="V771" s="21">
        <f>_xll.RssMarket(A771,"出来高")</f>
        <v>12500</v>
      </c>
      <c r="W771" s="21">
        <f>_xll.RssMarket(A771,"売買代金")</f>
        <v>5580</v>
      </c>
      <c r="X771" s="20" t="str">
        <f>_xll.RssMarket(A771,"決算発表日")</f>
        <v>2024/02/13</v>
      </c>
      <c r="Y771" s="26" t="str">
        <f>IF(C771&gt;_xll.RssMarket(A771,"年初来高値"),"○","×")</f>
        <v>×</v>
      </c>
      <c r="Z771" s="27" t="str">
        <f>IF(C771&lt;=_xll.RssMarket(A771,"年初来安値"),"○","×")</f>
        <v>×</v>
      </c>
    </row>
    <row r="772" spans="1:26" x14ac:dyDescent="0.25">
      <c r="A772" s="47">
        <v>6777</v>
      </c>
      <c r="B772" s="20" t="str">
        <f>_xll.RssMarket(A772,"銘柄名称")</f>
        <v>ＳＡＮＴＥＣＨＯＬＤＩＮＧＳ</v>
      </c>
      <c r="C772" s="21">
        <f>_xll.RssMarket(A772,"現在値")</f>
        <v>3775</v>
      </c>
      <c r="D772" s="20" t="str">
        <f>_xll.RssMarket(A772,"現在値詳細時刻")</f>
        <v>15:00:00</v>
      </c>
      <c r="E772" s="22">
        <f>_xll.RssMarket(A772,"前日比")</f>
        <v>-40</v>
      </c>
      <c r="F772" s="23">
        <f>_xll.RssMarket(A772,"前日比率")/100</f>
        <v>-1.0500000000000001E-2</v>
      </c>
      <c r="G772" s="24" t="str">
        <f>IFERROR(VLOOKUP(A772,取得元!$A$2:$F$501,2,FALSE),"-")</f>
        <v>-</v>
      </c>
      <c r="H772" s="24" t="str">
        <f>IFERROR(VLOOKUP(A772,取得元!$A$2:$F$501,3,FALSE),"-")</f>
        <v>-</v>
      </c>
      <c r="I772" s="24" t="str">
        <f>IFERROR(VLOOKUP(A772,取得元!$A$2:$F$501,4,FALSE),"-")</f>
        <v>-</v>
      </c>
      <c r="J772" s="5" t="str">
        <f>IFERROR(VLOOKUP(A772,取得元!$A$2:$F$501,5,FALSE),"-")</f>
        <v>-</v>
      </c>
      <c r="K772" s="25" t="str">
        <f>IFERROR(VLOOKUP(A772,取得元!$A$2:$F$501,6,FALSE)/100,"-")</f>
        <v>-</v>
      </c>
      <c r="L772" s="21">
        <f>_xll.RssMarket(A772,"始値")</f>
        <v>3815</v>
      </c>
      <c r="M772" s="4">
        <f t="shared" si="70"/>
        <v>-1.0484927916120546E-2</v>
      </c>
      <c r="N772" s="21">
        <f>_xll.RssMarket(A772,"高値")</f>
        <v>3870</v>
      </c>
      <c r="O772" s="4">
        <f t="shared" si="71"/>
        <v>-2.4547803617571029E-2</v>
      </c>
      <c r="P772" s="21">
        <f>_xll.RssMarket(A772,"安値")</f>
        <v>3760</v>
      </c>
      <c r="Q772" s="4">
        <f t="shared" si="72"/>
        <v>3.9893617021276029E-3</v>
      </c>
      <c r="R772" s="21">
        <f>_xll.RssMarket(A772,"後場始値")</f>
        <v>3840</v>
      </c>
      <c r="S772" s="25">
        <f t="shared" si="73"/>
        <v>-1.692708333333337E-2</v>
      </c>
      <c r="T772" s="7">
        <f>_xll.RssMarket(A772,"出来高加重平均")</f>
        <v>3810.9285</v>
      </c>
      <c r="U772" s="4">
        <f t="shared" si="74"/>
        <v>-9.4277549421354356E-3</v>
      </c>
      <c r="V772" s="21">
        <f>_xll.RssMarket(A772,"出来高")</f>
        <v>56000</v>
      </c>
      <c r="W772" s="21">
        <f>_xll.RssMarket(A772,"売買代金")</f>
        <v>213412</v>
      </c>
      <c r="X772" s="20" t="str">
        <f>_xll.RssMarket(A772,"決算発表日")</f>
        <v>2024/02/09</v>
      </c>
      <c r="Y772" s="26" t="str">
        <f>IF(C772&gt;_xll.RssMarket(A772,"年初来高値"),"○","×")</f>
        <v>×</v>
      </c>
      <c r="Z772" s="27" t="str">
        <f>IF(C772&lt;=_xll.RssMarket(A772,"年初来安値"),"○","×")</f>
        <v>×</v>
      </c>
    </row>
    <row r="773" spans="1:26" x14ac:dyDescent="0.25">
      <c r="A773" s="49">
        <v>6803</v>
      </c>
      <c r="B773" s="20" t="str">
        <f>_xll.RssMarket(A773,"銘柄名称")</f>
        <v>ティアック</v>
      </c>
      <c r="C773" s="21">
        <f>_xll.RssMarket(A773,"現在値")</f>
        <v>99</v>
      </c>
      <c r="D773" s="20" t="str">
        <f>_xll.RssMarket(A773,"現在値詳細時刻")</f>
        <v>15:00:00</v>
      </c>
      <c r="E773" s="22">
        <f>_xll.RssMarket(A773,"前日比")</f>
        <v>0</v>
      </c>
      <c r="F773" s="23">
        <f>_xll.RssMarket(A773,"前日比率")/100</f>
        <v>0</v>
      </c>
      <c r="G773" s="24" t="str">
        <f>IFERROR(VLOOKUP(A773,取得元!$A$2:$F$501,2,FALSE),"-")</f>
        <v>-</v>
      </c>
      <c r="H773" s="24" t="str">
        <f>IFERROR(VLOOKUP(A773,取得元!$A$2:$F$501,3,FALSE),"-")</f>
        <v>-</v>
      </c>
      <c r="I773" s="24" t="str">
        <f>IFERROR(VLOOKUP(A773,取得元!$A$2:$F$501,4,FALSE),"-")</f>
        <v>-</v>
      </c>
      <c r="J773" s="5" t="str">
        <f>IFERROR(VLOOKUP(A773,取得元!$A$2:$F$501,5,FALSE),"-")</f>
        <v>-</v>
      </c>
      <c r="K773" s="25" t="str">
        <f>IFERROR(VLOOKUP(A773,取得元!$A$2:$F$501,6,FALSE)/100,"-")</f>
        <v>-</v>
      </c>
      <c r="L773" s="21">
        <f>_xll.RssMarket(A773,"始値")</f>
        <v>99</v>
      </c>
      <c r="M773" s="4">
        <f t="shared" si="70"/>
        <v>0</v>
      </c>
      <c r="N773" s="21">
        <f>_xll.RssMarket(A773,"高値")</f>
        <v>100</v>
      </c>
      <c r="O773" s="4">
        <f t="shared" si="71"/>
        <v>-1.0000000000000009E-2</v>
      </c>
      <c r="P773" s="21">
        <f>_xll.RssMarket(A773,"安値")</f>
        <v>98</v>
      </c>
      <c r="Q773" s="4">
        <f t="shared" si="72"/>
        <v>1.0204081632652962E-2</v>
      </c>
      <c r="R773" s="21">
        <f>_xll.RssMarket(A773,"後場始値")</f>
        <v>99</v>
      </c>
      <c r="S773" s="25">
        <f t="shared" si="73"/>
        <v>0</v>
      </c>
      <c r="T773" s="7">
        <f>_xll.RssMarket(A773,"出来高加重平均")</f>
        <v>99.009799999999998</v>
      </c>
      <c r="U773" s="4">
        <f t="shared" si="74"/>
        <v>-9.8980100959655815E-5</v>
      </c>
      <c r="V773" s="21">
        <f>_xll.RssMarket(A773,"出来高")</f>
        <v>172700</v>
      </c>
      <c r="W773" s="21">
        <f>_xll.RssMarket(A773,"売買代金")</f>
        <v>17099</v>
      </c>
      <c r="X773" s="20" t="str">
        <f>_xll.RssMarket(A773,"決算発表日")</f>
        <v>-</v>
      </c>
      <c r="Y773" s="26" t="str">
        <f>IF(C773&gt;_xll.RssMarket(A773,"年初来高値"),"○","×")</f>
        <v>×</v>
      </c>
      <c r="Z773" s="27" t="str">
        <f>IF(C773&lt;=_xll.RssMarket(A773,"年初来安値"),"○","×")</f>
        <v>×</v>
      </c>
    </row>
    <row r="774" spans="1:26" x14ac:dyDescent="0.25">
      <c r="A774" s="47">
        <v>6810</v>
      </c>
      <c r="B774" s="20" t="str">
        <f>_xll.RssMarket(A774,"銘柄名称")</f>
        <v>マクセル</v>
      </c>
      <c r="C774" s="21">
        <f>_xll.RssMarket(A774,"現在値")</f>
        <v>1570</v>
      </c>
      <c r="D774" s="20" t="str">
        <f>_xll.RssMarket(A774,"現在値詳細時刻")</f>
        <v>15:00:00</v>
      </c>
      <c r="E774" s="22">
        <f>_xll.RssMarket(A774,"前日比")</f>
        <v>49</v>
      </c>
      <c r="F774" s="23">
        <f>_xll.RssMarket(A774,"前日比率")/100</f>
        <v>3.2199999999999999E-2</v>
      </c>
      <c r="G774" s="24" t="str">
        <f>IFERROR(VLOOKUP(A774,取得元!$A$2:$F$501,2,FALSE),"-")</f>
        <v>-</v>
      </c>
      <c r="H774" s="24" t="str">
        <f>IFERROR(VLOOKUP(A774,取得元!$A$2:$F$501,3,FALSE),"-")</f>
        <v>-</v>
      </c>
      <c r="I774" s="24" t="str">
        <f>IFERROR(VLOOKUP(A774,取得元!$A$2:$F$501,4,FALSE),"-")</f>
        <v>-</v>
      </c>
      <c r="J774" s="5" t="str">
        <f>IFERROR(VLOOKUP(A774,取得元!$A$2:$F$501,5,FALSE),"-")</f>
        <v>-</v>
      </c>
      <c r="K774" s="25" t="str">
        <f>IFERROR(VLOOKUP(A774,取得元!$A$2:$F$501,6,FALSE)/100,"-")</f>
        <v>-</v>
      </c>
      <c r="L774" s="21">
        <f>_xll.RssMarket(A774,"始値")</f>
        <v>1557</v>
      </c>
      <c r="M774" s="4">
        <f t="shared" si="70"/>
        <v>8.3493898522799537E-3</v>
      </c>
      <c r="N774" s="21">
        <f>_xll.RssMarket(A774,"高値")</f>
        <v>1573</v>
      </c>
      <c r="O774" s="4">
        <f t="shared" si="71"/>
        <v>-1.9071837253655799E-3</v>
      </c>
      <c r="P774" s="21">
        <f>_xll.RssMarket(A774,"安値")</f>
        <v>1543</v>
      </c>
      <c r="Q774" s="4">
        <f t="shared" si="72"/>
        <v>1.7498379779649964E-2</v>
      </c>
      <c r="R774" s="21">
        <f>_xll.RssMarket(A774,"後場始値")</f>
        <v>1560</v>
      </c>
      <c r="S774" s="25">
        <f t="shared" si="73"/>
        <v>6.4102564102563875E-3</v>
      </c>
      <c r="T774" s="7">
        <f>_xll.RssMarket(A774,"出来高加重平均")</f>
        <v>1561.0867000000001</v>
      </c>
      <c r="U774" s="4">
        <f t="shared" si="74"/>
        <v>5.7096764708839398E-3</v>
      </c>
      <c r="V774" s="21">
        <f>_xll.RssMarket(A774,"出来高")</f>
        <v>277900</v>
      </c>
      <c r="W774" s="21">
        <f>_xll.RssMarket(A774,"売買代金")</f>
        <v>433826</v>
      </c>
      <c r="X774" s="20" t="str">
        <f>_xll.RssMarket(A774,"決算発表日")</f>
        <v>2024/01/31</v>
      </c>
      <c r="Y774" s="26" t="str">
        <f>IF(C774&gt;_xll.RssMarket(A774,"年初来高値"),"○","×")</f>
        <v>×</v>
      </c>
      <c r="Z774" s="27" t="str">
        <f>IF(C774&lt;=_xll.RssMarket(A774,"年初来安値"),"○","×")</f>
        <v>×</v>
      </c>
    </row>
    <row r="775" spans="1:26" x14ac:dyDescent="0.25">
      <c r="A775" s="49">
        <v>6814</v>
      </c>
      <c r="B775" s="20" t="str">
        <f>_xll.RssMarket(A775,"銘柄名称")</f>
        <v>古野電気</v>
      </c>
      <c r="C775" s="21">
        <f>_xll.RssMarket(A775,"現在値")</f>
        <v>2034</v>
      </c>
      <c r="D775" s="20" t="str">
        <f>_xll.RssMarket(A775,"現在値詳細時刻")</f>
        <v>15:00:00</v>
      </c>
      <c r="E775" s="22">
        <f>_xll.RssMarket(A775,"前日比")</f>
        <v>3</v>
      </c>
      <c r="F775" s="23">
        <f>_xll.RssMarket(A775,"前日比率")/100</f>
        <v>1.5E-3</v>
      </c>
      <c r="G775" s="24" t="str">
        <f>IFERROR(VLOOKUP(A775,取得元!$A$2:$F$501,2,FALSE),"-")</f>
        <v>-</v>
      </c>
      <c r="H775" s="24" t="str">
        <f>IFERROR(VLOOKUP(A775,取得元!$A$2:$F$501,3,FALSE),"-")</f>
        <v>-</v>
      </c>
      <c r="I775" s="24" t="str">
        <f>IFERROR(VLOOKUP(A775,取得元!$A$2:$F$501,4,FALSE),"-")</f>
        <v>-</v>
      </c>
      <c r="J775" s="5" t="str">
        <f>IFERROR(VLOOKUP(A775,取得元!$A$2:$F$501,5,FALSE),"-")</f>
        <v>-</v>
      </c>
      <c r="K775" s="25" t="str">
        <f>IFERROR(VLOOKUP(A775,取得元!$A$2:$F$501,6,FALSE)/100,"-")</f>
        <v>-</v>
      </c>
      <c r="L775" s="21">
        <f>_xll.RssMarket(A775,"始値")</f>
        <v>2018</v>
      </c>
      <c r="M775" s="4">
        <f t="shared" si="70"/>
        <v>7.9286422200197659E-3</v>
      </c>
      <c r="N775" s="21">
        <f>_xll.RssMarket(A775,"高値")</f>
        <v>2035</v>
      </c>
      <c r="O775" s="4">
        <f t="shared" si="71"/>
        <v>-4.9140049140050657E-4</v>
      </c>
      <c r="P775" s="21">
        <f>_xll.RssMarket(A775,"安値")</f>
        <v>1995</v>
      </c>
      <c r="Q775" s="4">
        <f t="shared" si="72"/>
        <v>1.9548872180451093E-2</v>
      </c>
      <c r="R775" s="21">
        <f>_xll.RssMarket(A775,"後場始値")</f>
        <v>2031</v>
      </c>
      <c r="S775" s="25">
        <f t="shared" si="73"/>
        <v>1.477104874446189E-3</v>
      </c>
      <c r="T775" s="7">
        <f>_xll.RssMarket(A775,"出来高加重平均")</f>
        <v>2016.5804000000001</v>
      </c>
      <c r="U775" s="4">
        <f t="shared" si="74"/>
        <v>8.6381876963597115E-3</v>
      </c>
      <c r="V775" s="21">
        <f>_xll.RssMarket(A775,"出来高")</f>
        <v>205000</v>
      </c>
      <c r="W775" s="21">
        <f>_xll.RssMarket(A775,"売買代金")</f>
        <v>413399</v>
      </c>
      <c r="X775" s="20" t="str">
        <f>_xll.RssMarket(A775,"決算発表日")</f>
        <v>2024/01/15</v>
      </c>
      <c r="Y775" s="26" t="str">
        <f>IF(C775&gt;_xll.RssMarket(A775,"年初来高値"),"○","×")</f>
        <v>×</v>
      </c>
      <c r="Z775" s="27" t="str">
        <f>IF(C775&lt;=_xll.RssMarket(A775,"年初来安値"),"○","×")</f>
        <v>×</v>
      </c>
    </row>
    <row r="776" spans="1:26" x14ac:dyDescent="0.25">
      <c r="A776" s="47">
        <v>6835</v>
      </c>
      <c r="B776" s="20" t="str">
        <f>_xll.RssMarket(A776,"銘柄名称")</f>
        <v>アライドテレシスＨＬＤＧＳ</v>
      </c>
      <c r="C776" s="21">
        <f>_xll.RssMarket(A776,"現在値")</f>
        <v>114</v>
      </c>
      <c r="D776" s="20" t="str">
        <f>_xll.RssMarket(A776,"現在値詳細時刻")</f>
        <v>15:00:00</v>
      </c>
      <c r="E776" s="22">
        <f>_xll.RssMarket(A776,"前日比")</f>
        <v>0</v>
      </c>
      <c r="F776" s="23">
        <f>_xll.RssMarket(A776,"前日比率")/100</f>
        <v>0</v>
      </c>
      <c r="G776" s="24" t="str">
        <f>IFERROR(VLOOKUP(A776,取得元!$A$2:$F$501,2,FALSE),"-")</f>
        <v>-</v>
      </c>
      <c r="H776" s="24" t="str">
        <f>IFERROR(VLOOKUP(A776,取得元!$A$2:$F$501,3,FALSE),"-")</f>
        <v>-</v>
      </c>
      <c r="I776" s="24" t="str">
        <f>IFERROR(VLOOKUP(A776,取得元!$A$2:$F$501,4,FALSE),"-")</f>
        <v>-</v>
      </c>
      <c r="J776" s="5" t="str">
        <f>IFERROR(VLOOKUP(A776,取得元!$A$2:$F$501,5,FALSE),"-")</f>
        <v>-</v>
      </c>
      <c r="K776" s="25" t="str">
        <f>IFERROR(VLOOKUP(A776,取得元!$A$2:$F$501,6,FALSE)/100,"-")</f>
        <v>-</v>
      </c>
      <c r="L776" s="21">
        <f>_xll.RssMarket(A776,"始値")</f>
        <v>113</v>
      </c>
      <c r="M776" s="4">
        <f t="shared" si="70"/>
        <v>8.8495575221239076E-3</v>
      </c>
      <c r="N776" s="21">
        <f>_xll.RssMarket(A776,"高値")</f>
        <v>114</v>
      </c>
      <c r="O776" s="4">
        <f t="shared" si="71"/>
        <v>0</v>
      </c>
      <c r="P776" s="21">
        <f>_xll.RssMarket(A776,"安値")</f>
        <v>112</v>
      </c>
      <c r="Q776" s="4">
        <f t="shared" si="72"/>
        <v>1.7857142857142794E-2</v>
      </c>
      <c r="R776" s="21">
        <f>_xll.RssMarket(A776,"後場始値")</f>
        <v>112</v>
      </c>
      <c r="S776" s="25">
        <f t="shared" si="73"/>
        <v>1.7857142857142794E-2</v>
      </c>
      <c r="T776" s="7">
        <f>_xll.RssMarket(A776,"出来高加重平均")</f>
        <v>112.58369999999999</v>
      </c>
      <c r="U776" s="4">
        <f t="shared" si="74"/>
        <v>1.257997383280185E-2</v>
      </c>
      <c r="V776" s="21">
        <f>_xll.RssMarket(A776,"出来高")</f>
        <v>209000</v>
      </c>
      <c r="W776" s="21">
        <f>_xll.RssMarket(A776,"売買代金")</f>
        <v>23530</v>
      </c>
      <c r="X776" s="20" t="str">
        <f>_xll.RssMarket(A776,"決算発表日")</f>
        <v>2024/02/14</v>
      </c>
      <c r="Y776" s="26" t="str">
        <f>IF(C776&gt;_xll.RssMarket(A776,"年初来高値"),"○","×")</f>
        <v>×</v>
      </c>
      <c r="Z776" s="27" t="str">
        <f>IF(C776&lt;=_xll.RssMarket(A776,"年初来安値"),"○","×")</f>
        <v>×</v>
      </c>
    </row>
    <row r="777" spans="1:26" x14ac:dyDescent="0.25">
      <c r="A777" s="49">
        <v>6840</v>
      </c>
      <c r="B777" s="20" t="str">
        <f>_xll.RssMarket(A777,"銘柄名称")</f>
        <v>ＡＫＩＢＡホールディングス</v>
      </c>
      <c r="C777" s="21">
        <f>_xll.RssMarket(A777,"現在値")</f>
        <v>486</v>
      </c>
      <c r="D777" s="20" t="str">
        <f>_xll.RssMarket(A777,"現在値詳細時刻")</f>
        <v>15:00:00</v>
      </c>
      <c r="E777" s="22">
        <f>_xll.RssMarket(A777,"前日比")</f>
        <v>6</v>
      </c>
      <c r="F777" s="23">
        <f>_xll.RssMarket(A777,"前日比率")/100</f>
        <v>1.2500000000000001E-2</v>
      </c>
      <c r="G777" s="24" t="str">
        <f>IFERROR(VLOOKUP(A777,取得元!$A$2:$F$501,2,FALSE),"-")</f>
        <v>-</v>
      </c>
      <c r="H777" s="24" t="str">
        <f>IFERROR(VLOOKUP(A777,取得元!$A$2:$F$501,3,FALSE),"-")</f>
        <v>-</v>
      </c>
      <c r="I777" s="24" t="str">
        <f>IFERROR(VLOOKUP(A777,取得元!$A$2:$F$501,4,FALSE),"-")</f>
        <v>-</v>
      </c>
      <c r="J777" s="5" t="str">
        <f>IFERROR(VLOOKUP(A777,取得元!$A$2:$F$501,5,FALSE),"-")</f>
        <v>-</v>
      </c>
      <c r="K777" s="25" t="str">
        <f>IFERROR(VLOOKUP(A777,取得元!$A$2:$F$501,6,FALSE)/100,"-")</f>
        <v>-</v>
      </c>
      <c r="L777" s="21">
        <f>_xll.RssMarket(A777,"始値")</f>
        <v>472</v>
      </c>
      <c r="M777" s="4">
        <f t="shared" si="70"/>
        <v>2.9661016949152463E-2</v>
      </c>
      <c r="N777" s="21">
        <f>_xll.RssMarket(A777,"高値")</f>
        <v>486</v>
      </c>
      <c r="O777" s="4">
        <f t="shared" si="71"/>
        <v>0</v>
      </c>
      <c r="P777" s="21">
        <f>_xll.RssMarket(A777,"安値")</f>
        <v>472</v>
      </c>
      <c r="Q777" s="4">
        <f t="shared" si="72"/>
        <v>2.9661016949152463E-2</v>
      </c>
      <c r="R777" s="21">
        <f>_xll.RssMarket(A777,"後場始値")</f>
        <v>478</v>
      </c>
      <c r="S777" s="25">
        <f t="shared" si="73"/>
        <v>1.6736401673640211E-2</v>
      </c>
      <c r="T777" s="7">
        <f>_xll.RssMarket(A777,"出来高加重平均")</f>
        <v>479.23320000000001</v>
      </c>
      <c r="U777" s="4">
        <f t="shared" si="74"/>
        <v>1.4120056790723146E-2</v>
      </c>
      <c r="V777" s="21">
        <f>_xll.RssMarket(A777,"出来高")</f>
        <v>92600</v>
      </c>
      <c r="W777" s="21">
        <f>_xll.RssMarket(A777,"売買代金")</f>
        <v>44377</v>
      </c>
      <c r="X777" s="20" t="str">
        <f>_xll.RssMarket(A777,"決算発表日")</f>
        <v>2024/02/13</v>
      </c>
      <c r="Y777" s="26" t="str">
        <f>IF(C777&gt;_xll.RssMarket(A777,"年初来高値"),"○","×")</f>
        <v>×</v>
      </c>
      <c r="Z777" s="27" t="str">
        <f>IF(C777&lt;=_xll.RssMarket(A777,"年初来安値"),"○","×")</f>
        <v>×</v>
      </c>
    </row>
    <row r="778" spans="1:26" x14ac:dyDescent="0.25">
      <c r="A778" s="47">
        <v>6857</v>
      </c>
      <c r="B778" s="20" t="str">
        <f>_xll.RssMarket(A778,"銘柄名称")</f>
        <v>アドバンテスト</v>
      </c>
      <c r="C778" s="21">
        <f>_xll.RssMarket(A778,"現在値")</f>
        <v>6115</v>
      </c>
      <c r="D778" s="20" t="str">
        <f>_xll.RssMarket(A778,"現在値詳細時刻")</f>
        <v>15:00:00</v>
      </c>
      <c r="E778" s="22">
        <f>_xll.RssMarket(A778,"前日比")</f>
        <v>-52</v>
      </c>
      <c r="F778" s="23">
        <f>_xll.RssMarket(A778,"前日比率")/100</f>
        <v>-8.3999999999999995E-3</v>
      </c>
      <c r="G778" s="24" t="str">
        <f>IFERROR(VLOOKUP(A778,取得元!$A$2:$F$501,2,FALSE),"-")</f>
        <v>-</v>
      </c>
      <c r="H778" s="24" t="str">
        <f>IFERROR(VLOOKUP(A778,取得元!$A$2:$F$501,3,FALSE),"-")</f>
        <v>-</v>
      </c>
      <c r="I778" s="24" t="str">
        <f>IFERROR(VLOOKUP(A778,取得元!$A$2:$F$501,4,FALSE),"-")</f>
        <v>-</v>
      </c>
      <c r="J778" s="5" t="str">
        <f>IFERROR(VLOOKUP(A778,取得元!$A$2:$F$501,5,FALSE),"-")</f>
        <v>-</v>
      </c>
      <c r="K778" s="25" t="str">
        <f>IFERROR(VLOOKUP(A778,取得元!$A$2:$F$501,6,FALSE)/100,"-")</f>
        <v>-</v>
      </c>
      <c r="L778" s="21">
        <f>_xll.RssMarket(A778,"始値")</f>
        <v>6090</v>
      </c>
      <c r="M778" s="4">
        <f t="shared" si="70"/>
        <v>4.1050903119868032E-3</v>
      </c>
      <c r="N778" s="21">
        <f>_xll.RssMarket(A778,"高値")</f>
        <v>6195</v>
      </c>
      <c r="O778" s="4">
        <f t="shared" si="71"/>
        <v>-1.2913640032284124E-2</v>
      </c>
      <c r="P778" s="21">
        <f>_xll.RssMarket(A778,"安値")</f>
        <v>6048</v>
      </c>
      <c r="Q778" s="4">
        <f t="shared" si="72"/>
        <v>1.1078042328042326E-2</v>
      </c>
      <c r="R778" s="21">
        <f>_xll.RssMarket(A778,"後場始値")</f>
        <v>6167</v>
      </c>
      <c r="S778" s="25">
        <f t="shared" si="73"/>
        <v>-8.4319766499107995E-3</v>
      </c>
      <c r="T778" s="7">
        <f>_xll.RssMarket(A778,"出来高加重平均")</f>
        <v>6128.2168000000001</v>
      </c>
      <c r="U778" s="4">
        <f t="shared" si="74"/>
        <v>-2.1567122103122172E-3</v>
      </c>
      <c r="V778" s="21">
        <f>_xll.RssMarket(A778,"出来高")</f>
        <v>10847700</v>
      </c>
      <c r="W778" s="21">
        <f>_xll.RssMarket(A778,"売買代金")</f>
        <v>66477058</v>
      </c>
      <c r="X778" s="20" t="str">
        <f>_xll.RssMarket(A778,"決算発表日")</f>
        <v>2024/01/31</v>
      </c>
      <c r="Y778" s="26" t="str">
        <f>IF(C778&gt;_xll.RssMarket(A778,"年初来高値"),"○","×")</f>
        <v>×</v>
      </c>
      <c r="Z778" s="27" t="str">
        <f>IF(C778&lt;=_xll.RssMarket(A778,"年初来安値"),"○","×")</f>
        <v>×</v>
      </c>
    </row>
    <row r="779" spans="1:26" x14ac:dyDescent="0.25">
      <c r="A779" s="49">
        <v>6862</v>
      </c>
      <c r="B779" s="20" t="str">
        <f>_xll.RssMarket(A779,"銘柄名称")</f>
        <v>ミナトホールディングス</v>
      </c>
      <c r="C779" s="21">
        <f>_xll.RssMarket(A779,"現在値")</f>
        <v>1375</v>
      </c>
      <c r="D779" s="20" t="str">
        <f>_xll.RssMarket(A779,"現在値詳細時刻")</f>
        <v>15:00:00</v>
      </c>
      <c r="E779" s="22">
        <f>_xll.RssMarket(A779,"前日比")</f>
        <v>-22</v>
      </c>
      <c r="F779" s="23">
        <f>_xll.RssMarket(A779,"前日比率")/100</f>
        <v>-1.5700000000000002E-2</v>
      </c>
      <c r="G779" s="24" t="str">
        <f>IFERROR(VLOOKUP(A779,取得元!$A$2:$F$501,2,FALSE),"-")</f>
        <v>-</v>
      </c>
      <c r="H779" s="24" t="str">
        <f>IFERROR(VLOOKUP(A779,取得元!$A$2:$F$501,3,FALSE),"-")</f>
        <v>-</v>
      </c>
      <c r="I779" s="24" t="str">
        <f>IFERROR(VLOOKUP(A779,取得元!$A$2:$F$501,4,FALSE),"-")</f>
        <v>-</v>
      </c>
      <c r="J779" s="5" t="str">
        <f>IFERROR(VLOOKUP(A779,取得元!$A$2:$F$501,5,FALSE),"-")</f>
        <v>-</v>
      </c>
      <c r="K779" s="25" t="str">
        <f>IFERROR(VLOOKUP(A779,取得元!$A$2:$F$501,6,FALSE)/100,"-")</f>
        <v>-</v>
      </c>
      <c r="L779" s="21">
        <f>_xll.RssMarket(A779,"始値")</f>
        <v>1383</v>
      </c>
      <c r="M779" s="4">
        <f t="shared" si="70"/>
        <v>-5.7845263919016343E-3</v>
      </c>
      <c r="N779" s="21">
        <f>_xll.RssMarket(A779,"高値")</f>
        <v>1397</v>
      </c>
      <c r="O779" s="4">
        <f t="shared" si="71"/>
        <v>-1.5748031496062964E-2</v>
      </c>
      <c r="P779" s="21">
        <f>_xll.RssMarket(A779,"安値")</f>
        <v>1359</v>
      </c>
      <c r="Q779" s="4">
        <f t="shared" si="72"/>
        <v>1.1773362766740236E-2</v>
      </c>
      <c r="R779" s="21">
        <f>_xll.RssMarket(A779,"後場始値")</f>
        <v>1397</v>
      </c>
      <c r="S779" s="25">
        <f t="shared" si="73"/>
        <v>-1.5748031496062964E-2</v>
      </c>
      <c r="T779" s="7">
        <f>_xll.RssMarket(A779,"出来高加重平均")</f>
        <v>1377.1356000000001</v>
      </c>
      <c r="U779" s="4">
        <f t="shared" si="74"/>
        <v>-1.5507550599955788E-3</v>
      </c>
      <c r="V779" s="21">
        <f>_xll.RssMarket(A779,"出来高")</f>
        <v>159200</v>
      </c>
      <c r="W779" s="21">
        <f>_xll.RssMarket(A779,"売買代金")</f>
        <v>219240</v>
      </c>
      <c r="X779" s="20" t="str">
        <f>_xll.RssMarket(A779,"決算発表日")</f>
        <v>2024/02/09</v>
      </c>
      <c r="Y779" s="26" t="str">
        <f>IF(C779&gt;_xll.RssMarket(A779,"年初来高値"),"○","×")</f>
        <v>×</v>
      </c>
      <c r="Z779" s="27" t="str">
        <f>IF(C779&lt;=_xll.RssMarket(A779,"年初来安値"),"○","×")</f>
        <v>×</v>
      </c>
    </row>
    <row r="780" spans="1:26" x14ac:dyDescent="0.25">
      <c r="A780" s="47">
        <v>6863</v>
      </c>
      <c r="B780" s="20" t="str">
        <f>_xll.RssMarket(A780,"銘柄名称")</f>
        <v>ニレコ</v>
      </c>
      <c r="C780" s="21">
        <f>_xll.RssMarket(A780,"現在値")</f>
        <v>1367</v>
      </c>
      <c r="D780" s="20" t="str">
        <f>_xll.RssMarket(A780,"現在値詳細時刻")</f>
        <v>15:00:00</v>
      </c>
      <c r="E780" s="22">
        <f>_xll.RssMarket(A780,"前日比")</f>
        <v>11</v>
      </c>
      <c r="F780" s="23">
        <f>_xll.RssMarket(A780,"前日比率")/100</f>
        <v>8.1000000000000013E-3</v>
      </c>
      <c r="G780" s="24" t="str">
        <f>IFERROR(VLOOKUP(A780,取得元!$A$2:$F$501,2,FALSE),"-")</f>
        <v>-</v>
      </c>
      <c r="H780" s="24" t="str">
        <f>IFERROR(VLOOKUP(A780,取得元!$A$2:$F$501,3,FALSE),"-")</f>
        <v>-</v>
      </c>
      <c r="I780" s="24" t="str">
        <f>IFERROR(VLOOKUP(A780,取得元!$A$2:$F$501,4,FALSE),"-")</f>
        <v>-</v>
      </c>
      <c r="J780" s="5" t="str">
        <f>IFERROR(VLOOKUP(A780,取得元!$A$2:$F$501,5,FALSE),"-")</f>
        <v>-</v>
      </c>
      <c r="K780" s="25" t="str">
        <f>IFERROR(VLOOKUP(A780,取得元!$A$2:$F$501,6,FALSE)/100,"-")</f>
        <v>-</v>
      </c>
      <c r="L780" s="21">
        <f>_xll.RssMarket(A780,"始値")</f>
        <v>1356</v>
      </c>
      <c r="M780" s="4">
        <f t="shared" si="70"/>
        <v>8.1120943952801561E-3</v>
      </c>
      <c r="N780" s="21">
        <f>_xll.RssMarket(A780,"高値")</f>
        <v>1370</v>
      </c>
      <c r="O780" s="4">
        <f t="shared" si="71"/>
        <v>-2.1897810218978186E-3</v>
      </c>
      <c r="P780" s="21">
        <f>_xll.RssMarket(A780,"安値")</f>
        <v>1347</v>
      </c>
      <c r="Q780" s="4">
        <f t="shared" si="72"/>
        <v>1.4847809948032697E-2</v>
      </c>
      <c r="R780" s="21">
        <f>_xll.RssMarket(A780,"後場始値")</f>
        <v>1360</v>
      </c>
      <c r="S780" s="25">
        <f t="shared" si="73"/>
        <v>5.1470588235293935E-3</v>
      </c>
      <c r="T780" s="7">
        <f>_xll.RssMarket(A780,"出来高加重平均")</f>
        <v>1357.7965999999999</v>
      </c>
      <c r="U780" s="4">
        <f t="shared" si="74"/>
        <v>6.7781875429648863E-3</v>
      </c>
      <c r="V780" s="21">
        <f>_xll.RssMarket(A780,"出来高")</f>
        <v>17700</v>
      </c>
      <c r="W780" s="21">
        <f>_xll.RssMarket(A780,"売買代金")</f>
        <v>24033</v>
      </c>
      <c r="X780" s="20" t="str">
        <f>_xll.RssMarket(A780,"決算発表日")</f>
        <v>2024/02/13</v>
      </c>
      <c r="Y780" s="26" t="str">
        <f>IF(C780&gt;_xll.RssMarket(A780,"年初来高値"),"○","×")</f>
        <v>×</v>
      </c>
      <c r="Z780" s="27" t="str">
        <f>IF(C780&lt;=_xll.RssMarket(A780,"年初来安値"),"○","×")</f>
        <v>×</v>
      </c>
    </row>
    <row r="781" spans="1:26" x14ac:dyDescent="0.25">
      <c r="A781" s="49">
        <v>6867</v>
      </c>
      <c r="B781" s="20" t="str">
        <f>_xll.RssMarket(A781,"銘柄名称")</f>
        <v>リーダー電子</v>
      </c>
      <c r="C781" s="21">
        <f>_xll.RssMarket(A781,"現在値")</f>
        <v>707</v>
      </c>
      <c r="D781" s="20" t="str">
        <f>_xll.RssMarket(A781,"現在値詳細時刻")</f>
        <v>15:00:00</v>
      </c>
      <c r="E781" s="22">
        <f>_xll.RssMarket(A781,"前日比")</f>
        <v>-28</v>
      </c>
      <c r="F781" s="23">
        <f>_xll.RssMarket(A781,"前日比率")/100</f>
        <v>-3.8100000000000002E-2</v>
      </c>
      <c r="G781" s="24" t="str">
        <f>IFERROR(VLOOKUP(A781,取得元!$A$2:$F$501,2,FALSE),"-")</f>
        <v>-</v>
      </c>
      <c r="H781" s="24" t="str">
        <f>IFERROR(VLOOKUP(A781,取得元!$A$2:$F$501,3,FALSE),"-")</f>
        <v>-</v>
      </c>
      <c r="I781" s="24" t="str">
        <f>IFERROR(VLOOKUP(A781,取得元!$A$2:$F$501,4,FALSE),"-")</f>
        <v>-</v>
      </c>
      <c r="J781" s="5" t="str">
        <f>IFERROR(VLOOKUP(A781,取得元!$A$2:$F$501,5,FALSE),"-")</f>
        <v>-</v>
      </c>
      <c r="K781" s="25" t="str">
        <f>IFERROR(VLOOKUP(A781,取得元!$A$2:$F$501,6,FALSE)/100,"-")</f>
        <v>-</v>
      </c>
      <c r="L781" s="21">
        <f>_xll.RssMarket(A781,"始値")</f>
        <v>736</v>
      </c>
      <c r="M781" s="4">
        <f t="shared" si="70"/>
        <v>-3.9402173913043459E-2</v>
      </c>
      <c r="N781" s="21">
        <f>_xll.RssMarket(A781,"高値")</f>
        <v>736</v>
      </c>
      <c r="O781" s="4">
        <f t="shared" si="71"/>
        <v>-3.9402173913043459E-2</v>
      </c>
      <c r="P781" s="21">
        <f>_xll.RssMarket(A781,"安値")</f>
        <v>707</v>
      </c>
      <c r="Q781" s="4">
        <f t="shared" si="72"/>
        <v>0</v>
      </c>
      <c r="R781" s="21">
        <f>_xll.RssMarket(A781,"後場始値")</f>
        <v>713</v>
      </c>
      <c r="S781" s="25">
        <f t="shared" si="73"/>
        <v>-8.4151472650771941E-3</v>
      </c>
      <c r="T781" s="7">
        <f>_xll.RssMarket(A781,"出来高加重平均")</f>
        <v>716.18939999999998</v>
      </c>
      <c r="U781" s="4">
        <f t="shared" si="74"/>
        <v>-1.2830963429506181E-2</v>
      </c>
      <c r="V781" s="21">
        <f>_xll.RssMarket(A781,"出来高")</f>
        <v>45400</v>
      </c>
      <c r="W781" s="21">
        <f>_xll.RssMarket(A781,"売買代金")</f>
        <v>32515</v>
      </c>
      <c r="X781" s="20" t="str">
        <f>_xll.RssMarket(A781,"決算発表日")</f>
        <v>2024/02/08</v>
      </c>
      <c r="Y781" s="26" t="str">
        <f>IF(C781&gt;_xll.RssMarket(A781,"年初来高値"),"○","×")</f>
        <v>×</v>
      </c>
      <c r="Z781" s="27" t="str">
        <f>IF(C781&lt;=_xll.RssMarket(A781,"年初来安値"),"○","×")</f>
        <v>×</v>
      </c>
    </row>
    <row r="782" spans="1:26" x14ac:dyDescent="0.25">
      <c r="A782" s="47">
        <v>6871</v>
      </c>
      <c r="B782" s="20" t="str">
        <f>_xll.RssMarket(A782,"銘柄名称")</f>
        <v>日本マイクロニクス</v>
      </c>
      <c r="C782" s="21">
        <f>_xll.RssMarket(A782,"現在値")</f>
        <v>4180</v>
      </c>
      <c r="D782" s="20" t="str">
        <f>_xll.RssMarket(A782,"現在値詳細時刻")</f>
        <v>15:00:00</v>
      </c>
      <c r="E782" s="22">
        <f>_xll.RssMarket(A782,"前日比")</f>
        <v>-130</v>
      </c>
      <c r="F782" s="23">
        <f>_xll.RssMarket(A782,"前日比率")/100</f>
        <v>-3.0200000000000001E-2</v>
      </c>
      <c r="G782" s="24" t="str">
        <f>IFERROR(VLOOKUP(A782,取得元!$A$2:$F$501,2,FALSE),"-")</f>
        <v>-</v>
      </c>
      <c r="H782" s="24" t="str">
        <f>IFERROR(VLOOKUP(A782,取得元!$A$2:$F$501,3,FALSE),"-")</f>
        <v>-</v>
      </c>
      <c r="I782" s="24" t="str">
        <f>IFERROR(VLOOKUP(A782,取得元!$A$2:$F$501,4,FALSE),"-")</f>
        <v>-</v>
      </c>
      <c r="J782" s="5" t="str">
        <f>IFERROR(VLOOKUP(A782,取得元!$A$2:$F$501,5,FALSE),"-")</f>
        <v>-</v>
      </c>
      <c r="K782" s="25" t="str">
        <f>IFERROR(VLOOKUP(A782,取得元!$A$2:$F$501,6,FALSE)/100,"-")</f>
        <v>-</v>
      </c>
      <c r="L782" s="21">
        <f>_xll.RssMarket(A782,"始値")</f>
        <v>4240</v>
      </c>
      <c r="M782" s="4">
        <f t="shared" si="70"/>
        <v>-1.4150943396226467E-2</v>
      </c>
      <c r="N782" s="21">
        <f>_xll.RssMarket(A782,"高値")</f>
        <v>4285</v>
      </c>
      <c r="O782" s="4">
        <f t="shared" si="71"/>
        <v>-2.4504084014002281E-2</v>
      </c>
      <c r="P782" s="21">
        <f>_xll.RssMarket(A782,"安値")</f>
        <v>4075</v>
      </c>
      <c r="Q782" s="4">
        <f t="shared" si="72"/>
        <v>2.5766871165644245E-2</v>
      </c>
      <c r="R782" s="21">
        <f>_xll.RssMarket(A782,"後場始値")</f>
        <v>4095</v>
      </c>
      <c r="S782" s="25">
        <f t="shared" si="73"/>
        <v>2.0757020757020683E-2</v>
      </c>
      <c r="T782" s="7">
        <f>_xll.RssMarket(A782,"出来高加重平均")</f>
        <v>4162.6210000000001</v>
      </c>
      <c r="U782" s="4">
        <f t="shared" si="74"/>
        <v>4.1750137713714164E-3</v>
      </c>
      <c r="V782" s="21">
        <f>_xll.RssMarket(A782,"出来高")</f>
        <v>1166700</v>
      </c>
      <c r="W782" s="21">
        <f>_xll.RssMarket(A782,"売買代金")</f>
        <v>4856530</v>
      </c>
      <c r="X782" s="20" t="str">
        <f>_xll.RssMarket(A782,"決算発表日")</f>
        <v>2024/02/14</v>
      </c>
      <c r="Y782" s="26" t="str">
        <f>IF(C782&gt;_xll.RssMarket(A782,"年初来高値"),"○","×")</f>
        <v>×</v>
      </c>
      <c r="Z782" s="27" t="str">
        <f>IF(C782&lt;=_xll.RssMarket(A782,"年初来安値"),"○","×")</f>
        <v>×</v>
      </c>
    </row>
    <row r="783" spans="1:26" x14ac:dyDescent="0.25">
      <c r="A783" s="49">
        <v>6897</v>
      </c>
      <c r="B783" s="20" t="str">
        <f>_xll.RssMarket(A783,"銘柄名称")</f>
        <v>ツインバード</v>
      </c>
      <c r="C783" s="21">
        <f>_xll.RssMarket(A783,"現在値")</f>
        <v>510</v>
      </c>
      <c r="D783" s="20" t="str">
        <f>_xll.RssMarket(A783,"現在値詳細時刻")</f>
        <v>15:00:00</v>
      </c>
      <c r="E783" s="22">
        <f>_xll.RssMarket(A783,"前日比")</f>
        <v>0</v>
      </c>
      <c r="F783" s="23">
        <f>_xll.RssMarket(A783,"前日比率")/100</f>
        <v>0</v>
      </c>
      <c r="G783" s="24" t="str">
        <f>IFERROR(VLOOKUP(A783,取得元!$A$2:$F$501,2,FALSE),"-")</f>
        <v>-</v>
      </c>
      <c r="H783" s="24" t="str">
        <f>IFERROR(VLOOKUP(A783,取得元!$A$2:$F$501,3,FALSE),"-")</f>
        <v>-</v>
      </c>
      <c r="I783" s="24" t="str">
        <f>IFERROR(VLOOKUP(A783,取得元!$A$2:$F$501,4,FALSE),"-")</f>
        <v>-</v>
      </c>
      <c r="J783" s="5" t="str">
        <f>IFERROR(VLOOKUP(A783,取得元!$A$2:$F$501,5,FALSE),"-")</f>
        <v>-</v>
      </c>
      <c r="K783" s="25" t="str">
        <f>IFERROR(VLOOKUP(A783,取得元!$A$2:$F$501,6,FALSE)/100,"-")</f>
        <v>-</v>
      </c>
      <c r="L783" s="21">
        <f>_xll.RssMarket(A783,"始値")</f>
        <v>510</v>
      </c>
      <c r="M783" s="4">
        <f t="shared" si="70"/>
        <v>0</v>
      </c>
      <c r="N783" s="21">
        <f>_xll.RssMarket(A783,"高値")</f>
        <v>513</v>
      </c>
      <c r="O783" s="4">
        <f t="shared" si="71"/>
        <v>-5.8479532163743242E-3</v>
      </c>
      <c r="P783" s="21">
        <f>_xll.RssMarket(A783,"安値")</f>
        <v>510</v>
      </c>
      <c r="Q783" s="4">
        <f t="shared" si="72"/>
        <v>0</v>
      </c>
      <c r="R783" s="21">
        <f>_xll.RssMarket(A783,"後場始値")</f>
        <v>511</v>
      </c>
      <c r="S783" s="25">
        <f t="shared" si="73"/>
        <v>-1.9569471624266699E-3</v>
      </c>
      <c r="T783" s="7">
        <f>_xll.RssMarket(A783,"出来高加重平均")</f>
        <v>511.03440000000001</v>
      </c>
      <c r="U783" s="4">
        <f t="shared" si="74"/>
        <v>-2.0241298824501541E-3</v>
      </c>
      <c r="V783" s="21">
        <f>_xll.RssMarket(A783,"出来高")</f>
        <v>5800</v>
      </c>
      <c r="W783" s="21">
        <f>_xll.RssMarket(A783,"売買代金")</f>
        <v>2964</v>
      </c>
      <c r="X783" s="20" t="str">
        <f>_xll.RssMarket(A783,"決算発表日")</f>
        <v>2024/01/11</v>
      </c>
      <c r="Y783" s="26" t="str">
        <f>IF(C783&gt;_xll.RssMarket(A783,"年初来高値"),"○","×")</f>
        <v>×</v>
      </c>
      <c r="Z783" s="27" t="str">
        <f>IF(C783&lt;=_xll.RssMarket(A783,"年初来安値"),"○","×")</f>
        <v>×</v>
      </c>
    </row>
    <row r="784" spans="1:26" x14ac:dyDescent="0.25">
      <c r="A784" s="47">
        <v>6902</v>
      </c>
      <c r="B784" s="20" t="str">
        <f>_xll.RssMarket(A784,"銘柄名称")</f>
        <v>デンソー</v>
      </c>
      <c r="C784" s="21">
        <f>_xll.RssMarket(A784,"現在値")</f>
        <v>2522.5</v>
      </c>
      <c r="D784" s="20" t="str">
        <f>_xll.RssMarket(A784,"現在値詳細時刻")</f>
        <v>15:00:00</v>
      </c>
      <c r="E784" s="22">
        <f>_xll.RssMarket(A784,"前日比")</f>
        <v>80.5</v>
      </c>
      <c r="F784" s="23">
        <f>_xll.RssMarket(A784,"前日比率")/100</f>
        <v>3.3000000000000002E-2</v>
      </c>
      <c r="G784" s="24" t="str">
        <f>IFERROR(VLOOKUP(A784,取得元!$A$2:$F$501,2,FALSE),"-")</f>
        <v>-</v>
      </c>
      <c r="H784" s="24" t="str">
        <f>IFERROR(VLOOKUP(A784,取得元!$A$2:$F$501,3,FALSE),"-")</f>
        <v>-</v>
      </c>
      <c r="I784" s="24" t="str">
        <f>IFERROR(VLOOKUP(A784,取得元!$A$2:$F$501,4,FALSE),"-")</f>
        <v>-</v>
      </c>
      <c r="J784" s="5" t="str">
        <f>IFERROR(VLOOKUP(A784,取得元!$A$2:$F$501,5,FALSE),"-")</f>
        <v>-</v>
      </c>
      <c r="K784" s="25" t="str">
        <f>IFERROR(VLOOKUP(A784,取得元!$A$2:$F$501,6,FALSE)/100,"-")</f>
        <v>-</v>
      </c>
      <c r="L784" s="21">
        <f>_xll.RssMarket(A784,"始値")</f>
        <v>2449</v>
      </c>
      <c r="M784" s="4">
        <f t="shared" si="70"/>
        <v>3.001224989791762E-2</v>
      </c>
      <c r="N784" s="21">
        <f>_xll.RssMarket(A784,"高値")</f>
        <v>2582</v>
      </c>
      <c r="O784" s="4">
        <f t="shared" si="71"/>
        <v>-2.3044151820294401E-2</v>
      </c>
      <c r="P784" s="21">
        <f>_xll.RssMarket(A784,"安値")</f>
        <v>2426</v>
      </c>
      <c r="Q784" s="4">
        <f t="shared" si="72"/>
        <v>3.9777411376751948E-2</v>
      </c>
      <c r="R784" s="21">
        <f>_xll.RssMarket(A784,"後場始値")</f>
        <v>2530</v>
      </c>
      <c r="S784" s="25">
        <f t="shared" si="73"/>
        <v>-2.9644268774703386E-3</v>
      </c>
      <c r="T784" s="7">
        <f>_xll.RssMarket(A784,"出来高加重平均")</f>
        <v>2522.9731999999999</v>
      </c>
      <c r="U784" s="4">
        <f t="shared" si="74"/>
        <v>-1.8755649088941784E-4</v>
      </c>
      <c r="V784" s="21">
        <f>_xll.RssMarket(A784,"出来高")</f>
        <v>20222500</v>
      </c>
      <c r="W784" s="21">
        <f>_xll.RssMarket(A784,"売買代金")</f>
        <v>51020827</v>
      </c>
      <c r="X784" s="20" t="str">
        <f>_xll.RssMarket(A784,"決算発表日")</f>
        <v>2024/02/02</v>
      </c>
      <c r="Y784" s="26" t="str">
        <f>IF(C784&gt;_xll.RssMarket(A784,"年初来高値"),"○","×")</f>
        <v>×</v>
      </c>
      <c r="Z784" s="27" t="str">
        <f>IF(C784&lt;=_xll.RssMarket(A784,"年初来安値"),"○","×")</f>
        <v>×</v>
      </c>
    </row>
    <row r="785" spans="1:26" x14ac:dyDescent="0.25">
      <c r="A785" s="49">
        <v>6905</v>
      </c>
      <c r="B785" s="20" t="str">
        <f>_xll.RssMarket(A785,"銘柄名称")</f>
        <v>コーセル</v>
      </c>
      <c r="C785" s="21">
        <f>_xll.RssMarket(A785,"現在値")</f>
        <v>1462</v>
      </c>
      <c r="D785" s="20" t="str">
        <f>_xll.RssMarket(A785,"現在値詳細時刻")</f>
        <v>15:00:00</v>
      </c>
      <c r="E785" s="22">
        <f>_xll.RssMarket(A785,"前日比")</f>
        <v>-13</v>
      </c>
      <c r="F785" s="23">
        <f>_xll.RssMarket(A785,"前日比率")/100</f>
        <v>-8.8000000000000005E-3</v>
      </c>
      <c r="G785" s="24" t="str">
        <f>IFERROR(VLOOKUP(A785,取得元!$A$2:$F$501,2,FALSE),"-")</f>
        <v>-</v>
      </c>
      <c r="H785" s="24" t="str">
        <f>IFERROR(VLOOKUP(A785,取得元!$A$2:$F$501,3,FALSE),"-")</f>
        <v>-</v>
      </c>
      <c r="I785" s="24" t="str">
        <f>IFERROR(VLOOKUP(A785,取得元!$A$2:$F$501,4,FALSE),"-")</f>
        <v>-</v>
      </c>
      <c r="J785" s="5" t="str">
        <f>IFERROR(VLOOKUP(A785,取得元!$A$2:$F$501,5,FALSE),"-")</f>
        <v>-</v>
      </c>
      <c r="K785" s="25" t="str">
        <f>IFERROR(VLOOKUP(A785,取得元!$A$2:$F$501,6,FALSE)/100,"-")</f>
        <v>-</v>
      </c>
      <c r="L785" s="21">
        <f>_xll.RssMarket(A785,"始値")</f>
        <v>1460</v>
      </c>
      <c r="M785" s="4">
        <f t="shared" si="70"/>
        <v>1.36986301369868E-3</v>
      </c>
      <c r="N785" s="21">
        <f>_xll.RssMarket(A785,"高値")</f>
        <v>1475</v>
      </c>
      <c r="O785" s="4">
        <f t="shared" si="71"/>
        <v>-8.8135593220338704E-3</v>
      </c>
      <c r="P785" s="21">
        <f>_xll.RssMarket(A785,"安値")</f>
        <v>1449</v>
      </c>
      <c r="Q785" s="4">
        <f t="shared" si="72"/>
        <v>8.9717046238786402E-3</v>
      </c>
      <c r="R785" s="21">
        <f>_xll.RssMarket(A785,"後場始値")</f>
        <v>1462</v>
      </c>
      <c r="S785" s="25">
        <f t="shared" si="73"/>
        <v>0</v>
      </c>
      <c r="T785" s="7">
        <f>_xll.RssMarket(A785,"出来高加重平均")</f>
        <v>1460.5026</v>
      </c>
      <c r="U785" s="4">
        <f t="shared" si="74"/>
        <v>1.0252634949092787E-3</v>
      </c>
      <c r="V785" s="21">
        <f>_xll.RssMarket(A785,"出来高")</f>
        <v>95500</v>
      </c>
      <c r="W785" s="21">
        <f>_xll.RssMarket(A785,"売買代金")</f>
        <v>139478</v>
      </c>
      <c r="X785" s="20" t="str">
        <f>_xll.RssMarket(A785,"決算発表日")</f>
        <v>-</v>
      </c>
      <c r="Y785" s="26" t="str">
        <f>IF(C785&gt;_xll.RssMarket(A785,"年初来高値"),"○","×")</f>
        <v>×</v>
      </c>
      <c r="Z785" s="27" t="str">
        <f>IF(C785&lt;=_xll.RssMarket(A785,"年初来安値"),"○","×")</f>
        <v>×</v>
      </c>
    </row>
    <row r="786" spans="1:26" x14ac:dyDescent="0.25">
      <c r="A786" s="47">
        <v>6907</v>
      </c>
      <c r="B786" s="20" t="str">
        <f>_xll.RssMarket(A786,"銘柄名称")</f>
        <v>ジオマテック</v>
      </c>
      <c r="C786" s="21">
        <f>_xll.RssMarket(A786,"現在値")</f>
        <v>498</v>
      </c>
      <c r="D786" s="20" t="str">
        <f>_xll.RssMarket(A786,"現在値詳細時刻")</f>
        <v>15:00:00</v>
      </c>
      <c r="E786" s="22">
        <f>_xll.RssMarket(A786,"前日比")</f>
        <v>-4</v>
      </c>
      <c r="F786" s="23">
        <f>_xll.RssMarket(A786,"前日比率")/100</f>
        <v>-8.0000000000000002E-3</v>
      </c>
      <c r="G786" s="24" t="str">
        <f>IFERROR(VLOOKUP(A786,取得元!$A$2:$F$501,2,FALSE),"-")</f>
        <v>-</v>
      </c>
      <c r="H786" s="24" t="str">
        <f>IFERROR(VLOOKUP(A786,取得元!$A$2:$F$501,3,FALSE),"-")</f>
        <v>-</v>
      </c>
      <c r="I786" s="24" t="str">
        <f>IFERROR(VLOOKUP(A786,取得元!$A$2:$F$501,4,FALSE),"-")</f>
        <v>-</v>
      </c>
      <c r="J786" s="5" t="str">
        <f>IFERROR(VLOOKUP(A786,取得元!$A$2:$F$501,5,FALSE),"-")</f>
        <v>-</v>
      </c>
      <c r="K786" s="25" t="str">
        <f>IFERROR(VLOOKUP(A786,取得元!$A$2:$F$501,6,FALSE)/100,"-")</f>
        <v>-</v>
      </c>
      <c r="L786" s="21">
        <f>_xll.RssMarket(A786,"始値")</f>
        <v>500</v>
      </c>
      <c r="M786" s="4">
        <f t="shared" si="70"/>
        <v>-4.0000000000000036E-3</v>
      </c>
      <c r="N786" s="21">
        <f>_xll.RssMarket(A786,"高値")</f>
        <v>501</v>
      </c>
      <c r="O786" s="4">
        <f t="shared" si="71"/>
        <v>-5.9880239520958556E-3</v>
      </c>
      <c r="P786" s="21">
        <f>_xll.RssMarket(A786,"安値")</f>
        <v>498</v>
      </c>
      <c r="Q786" s="4">
        <f t="shared" si="72"/>
        <v>0</v>
      </c>
      <c r="R786" s="21">
        <f>_xll.RssMarket(A786,"後場始値")</f>
        <v>501</v>
      </c>
      <c r="S786" s="25">
        <f t="shared" si="73"/>
        <v>-5.9880239520958556E-3</v>
      </c>
      <c r="T786" s="7">
        <f>_xll.RssMarket(A786,"出来高加重平均")</f>
        <v>499.76190000000003</v>
      </c>
      <c r="U786" s="4">
        <f t="shared" si="74"/>
        <v>-3.5254788330203457E-3</v>
      </c>
      <c r="V786" s="21">
        <f>_xll.RssMarket(A786,"出来高")</f>
        <v>8400</v>
      </c>
      <c r="W786" s="21">
        <f>_xll.RssMarket(A786,"売買代金")</f>
        <v>4198</v>
      </c>
      <c r="X786" s="20" t="str">
        <f>_xll.RssMarket(A786,"決算発表日")</f>
        <v>2024/02/08</v>
      </c>
      <c r="Y786" s="26" t="str">
        <f>IF(C786&gt;_xll.RssMarket(A786,"年初来高値"),"○","×")</f>
        <v>×</v>
      </c>
      <c r="Z786" s="27" t="str">
        <f>IF(C786&lt;=_xll.RssMarket(A786,"年初来安値"),"○","×")</f>
        <v>×</v>
      </c>
    </row>
    <row r="787" spans="1:26" x14ac:dyDescent="0.25">
      <c r="A787" s="49">
        <v>6920</v>
      </c>
      <c r="B787" s="20" t="str">
        <f>_xll.RssMarket(A787,"銘柄名称")</f>
        <v>レーザーテック</v>
      </c>
      <c r="C787" s="21">
        <f>_xll.RssMarket(A787,"現在値")</f>
        <v>39920</v>
      </c>
      <c r="D787" s="20" t="str">
        <f>_xll.RssMarket(A787,"現在値詳細時刻")</f>
        <v>15:00:00</v>
      </c>
      <c r="E787" s="22">
        <f>_xll.RssMarket(A787,"前日比")</f>
        <v>200</v>
      </c>
      <c r="F787" s="23">
        <f>_xll.RssMarket(A787,"前日比率")/100</f>
        <v>5.0000000000000001E-3</v>
      </c>
      <c r="G787" s="24" t="str">
        <f>IFERROR(VLOOKUP(A787,取得元!$A$2:$F$501,2,FALSE),"-")</f>
        <v>-</v>
      </c>
      <c r="H787" s="24" t="str">
        <f>IFERROR(VLOOKUP(A787,取得元!$A$2:$F$501,3,FALSE),"-")</f>
        <v>-</v>
      </c>
      <c r="I787" s="24" t="str">
        <f>IFERROR(VLOOKUP(A787,取得元!$A$2:$F$501,4,FALSE),"-")</f>
        <v>-</v>
      </c>
      <c r="J787" s="5" t="str">
        <f>IFERROR(VLOOKUP(A787,取得元!$A$2:$F$501,5,FALSE),"-")</f>
        <v>-</v>
      </c>
      <c r="K787" s="25" t="str">
        <f>IFERROR(VLOOKUP(A787,取得元!$A$2:$F$501,6,FALSE)/100,"-")</f>
        <v>-</v>
      </c>
      <c r="L787" s="21">
        <f>_xll.RssMarket(A787,"始値")</f>
        <v>39310</v>
      </c>
      <c r="M787" s="4">
        <f t="shared" si="70"/>
        <v>1.5517679979649035E-2</v>
      </c>
      <c r="N787" s="21">
        <f>_xll.RssMarket(A787,"高値")</f>
        <v>39920</v>
      </c>
      <c r="O787" s="4">
        <f t="shared" si="71"/>
        <v>0</v>
      </c>
      <c r="P787" s="21">
        <f>_xll.RssMarket(A787,"安値")</f>
        <v>38940</v>
      </c>
      <c r="Q787" s="4">
        <f t="shared" si="72"/>
        <v>2.5166923472008218E-2</v>
      </c>
      <c r="R787" s="21">
        <f>_xll.RssMarket(A787,"後場始値")</f>
        <v>39780</v>
      </c>
      <c r="S787" s="25">
        <f t="shared" si="73"/>
        <v>3.5193564605329186E-3</v>
      </c>
      <c r="T787" s="7">
        <f>_xll.RssMarket(A787,"出来高加重平均")</f>
        <v>39553.808799999999</v>
      </c>
      <c r="U787" s="4">
        <f t="shared" si="74"/>
        <v>9.2580515280238362E-3</v>
      </c>
      <c r="V787" s="21">
        <f>_xll.RssMarket(A787,"出来高")</f>
        <v>8557500</v>
      </c>
      <c r="W787" s="21">
        <f>_xll.RssMarket(A787,"売買代金")</f>
        <v>338481719</v>
      </c>
      <c r="X787" s="20" t="str">
        <f>_xll.RssMarket(A787,"決算発表日")</f>
        <v>2024/01/31</v>
      </c>
      <c r="Y787" s="26" t="str">
        <f>IF(C787&gt;_xll.RssMarket(A787,"年初来高値"),"○","×")</f>
        <v>×</v>
      </c>
      <c r="Z787" s="27" t="str">
        <f>IF(C787&lt;=_xll.RssMarket(A787,"年初来安値"),"○","×")</f>
        <v>×</v>
      </c>
    </row>
    <row r="788" spans="1:26" x14ac:dyDescent="0.25">
      <c r="A788" s="47">
        <v>6923</v>
      </c>
      <c r="B788" s="20" t="str">
        <f>_xll.RssMarket(A788,"銘柄名称")</f>
        <v>スタンレー電気</v>
      </c>
      <c r="C788" s="21">
        <f>_xll.RssMarket(A788,"現在値")</f>
        <v>2659.5</v>
      </c>
      <c r="D788" s="20" t="str">
        <f>_xll.RssMarket(A788,"現在値詳細時刻")</f>
        <v>15:00:00</v>
      </c>
      <c r="E788" s="22">
        <f>_xll.RssMarket(A788,"前日比")</f>
        <v>-78</v>
      </c>
      <c r="F788" s="23">
        <f>_xll.RssMarket(A788,"前日比率")/100</f>
        <v>-2.8500000000000001E-2</v>
      </c>
      <c r="G788" s="24" t="str">
        <f>IFERROR(VLOOKUP(A788,取得元!$A$2:$F$501,2,FALSE),"-")</f>
        <v>-</v>
      </c>
      <c r="H788" s="24" t="str">
        <f>IFERROR(VLOOKUP(A788,取得元!$A$2:$F$501,3,FALSE),"-")</f>
        <v>-</v>
      </c>
      <c r="I788" s="24" t="str">
        <f>IFERROR(VLOOKUP(A788,取得元!$A$2:$F$501,4,FALSE),"-")</f>
        <v>-</v>
      </c>
      <c r="J788" s="5" t="str">
        <f>IFERROR(VLOOKUP(A788,取得元!$A$2:$F$501,5,FALSE),"-")</f>
        <v>-</v>
      </c>
      <c r="K788" s="25" t="str">
        <f>IFERROR(VLOOKUP(A788,取得元!$A$2:$F$501,6,FALSE)/100,"-")</f>
        <v>-</v>
      </c>
      <c r="L788" s="21">
        <f>_xll.RssMarket(A788,"始値")</f>
        <v>2687.5</v>
      </c>
      <c r="M788" s="4">
        <f t="shared" si="70"/>
        <v>-1.0418604651162844E-2</v>
      </c>
      <c r="N788" s="21">
        <f>_xll.RssMarket(A788,"高値")</f>
        <v>2719</v>
      </c>
      <c r="O788" s="4">
        <f t="shared" si="71"/>
        <v>-2.1883045237219512E-2</v>
      </c>
      <c r="P788" s="21">
        <f>_xll.RssMarket(A788,"安値")</f>
        <v>2623.5</v>
      </c>
      <c r="Q788" s="4">
        <f t="shared" si="72"/>
        <v>1.3722126929674117E-2</v>
      </c>
      <c r="R788" s="21">
        <f>_xll.RssMarket(A788,"後場始値")</f>
        <v>2642</v>
      </c>
      <c r="S788" s="25">
        <f t="shared" si="73"/>
        <v>6.6237698713096371E-3</v>
      </c>
      <c r="T788" s="7">
        <f>_xll.RssMarket(A788,"出来高加重平均")</f>
        <v>2661.1435999999999</v>
      </c>
      <c r="U788" s="4">
        <f t="shared" si="74"/>
        <v>-6.1762920272312449E-4</v>
      </c>
      <c r="V788" s="21">
        <f>_xll.RssMarket(A788,"出来高")</f>
        <v>1161200</v>
      </c>
      <c r="W788" s="21">
        <f>_xll.RssMarket(A788,"売買代金")</f>
        <v>3090120</v>
      </c>
      <c r="X788" s="20" t="str">
        <f>_xll.RssMarket(A788,"決算発表日")</f>
        <v>2024/01/31</v>
      </c>
      <c r="Y788" s="26" t="str">
        <f>IF(C788&gt;_xll.RssMarket(A788,"年初来高値"),"○","×")</f>
        <v>×</v>
      </c>
      <c r="Z788" s="27" t="str">
        <f>IF(C788&lt;=_xll.RssMarket(A788,"年初来安値"),"○","×")</f>
        <v>×</v>
      </c>
    </row>
    <row r="789" spans="1:26" x14ac:dyDescent="0.25">
      <c r="A789" s="49">
        <v>6927</v>
      </c>
      <c r="B789" s="20" t="str">
        <f>_xll.RssMarket(A789,"銘柄名称")</f>
        <v>ヘリオステクノＨ</v>
      </c>
      <c r="C789" s="21">
        <f>_xll.RssMarket(A789,"現在値")</f>
        <v>532</v>
      </c>
      <c r="D789" s="20" t="str">
        <f>_xll.RssMarket(A789,"現在値詳細時刻")</f>
        <v>15:00:00</v>
      </c>
      <c r="E789" s="22">
        <f>_xll.RssMarket(A789,"前日比")</f>
        <v>16</v>
      </c>
      <c r="F789" s="23">
        <f>_xll.RssMarket(A789,"前日比率")/100</f>
        <v>3.1E-2</v>
      </c>
      <c r="G789" s="24" t="str">
        <f>IFERROR(VLOOKUP(A789,取得元!$A$2:$F$501,2,FALSE),"-")</f>
        <v>-</v>
      </c>
      <c r="H789" s="24" t="str">
        <f>IFERROR(VLOOKUP(A789,取得元!$A$2:$F$501,3,FALSE),"-")</f>
        <v>-</v>
      </c>
      <c r="I789" s="24" t="str">
        <f>IFERROR(VLOOKUP(A789,取得元!$A$2:$F$501,4,FALSE),"-")</f>
        <v>-</v>
      </c>
      <c r="J789" s="5" t="str">
        <f>IFERROR(VLOOKUP(A789,取得元!$A$2:$F$501,5,FALSE),"-")</f>
        <v>-</v>
      </c>
      <c r="K789" s="25" t="str">
        <f>IFERROR(VLOOKUP(A789,取得元!$A$2:$F$501,6,FALSE)/100,"-")</f>
        <v>-</v>
      </c>
      <c r="L789" s="21">
        <f>_xll.RssMarket(A789,"始値")</f>
        <v>513</v>
      </c>
      <c r="M789" s="4">
        <f t="shared" si="70"/>
        <v>3.7037037037036979E-2</v>
      </c>
      <c r="N789" s="21">
        <f>_xll.RssMarket(A789,"高値")</f>
        <v>534</v>
      </c>
      <c r="O789" s="4">
        <f t="shared" si="71"/>
        <v>-3.7453183520599342E-3</v>
      </c>
      <c r="P789" s="21">
        <f>_xll.RssMarket(A789,"安値")</f>
        <v>512</v>
      </c>
      <c r="Q789" s="4">
        <f t="shared" si="72"/>
        <v>3.90625E-2</v>
      </c>
      <c r="R789" s="21">
        <f>_xll.RssMarket(A789,"後場始値")</f>
        <v>532</v>
      </c>
      <c r="S789" s="25">
        <f t="shared" si="73"/>
        <v>0</v>
      </c>
      <c r="T789" s="7">
        <f>_xll.RssMarket(A789,"出来高加重平均")</f>
        <v>525.36990000000003</v>
      </c>
      <c r="U789" s="4">
        <f t="shared" si="74"/>
        <v>1.2619870304712899E-2</v>
      </c>
      <c r="V789" s="21">
        <f>_xll.RssMarket(A789,"出来高")</f>
        <v>536500</v>
      </c>
      <c r="W789" s="21">
        <f>_xll.RssMarket(A789,"売買代金")</f>
        <v>281861</v>
      </c>
      <c r="X789" s="20" t="str">
        <f>_xll.RssMarket(A789,"決算発表日")</f>
        <v>2024/02/05</v>
      </c>
      <c r="Y789" s="26" t="str">
        <f>IF(C789&gt;_xll.RssMarket(A789,"年初来高値"),"○","×")</f>
        <v>×</v>
      </c>
      <c r="Z789" s="27" t="str">
        <f>IF(C789&lt;=_xll.RssMarket(A789,"年初来安値"),"○","×")</f>
        <v>×</v>
      </c>
    </row>
    <row r="790" spans="1:26" x14ac:dyDescent="0.25">
      <c r="A790" s="47">
        <v>6938</v>
      </c>
      <c r="B790" s="20" t="str">
        <f>_xll.RssMarket(A790,"銘柄名称")</f>
        <v>双信電機</v>
      </c>
      <c r="C790" s="21">
        <f>_xll.RssMarket(A790,"現在値")</f>
        <v>295</v>
      </c>
      <c r="D790" s="20" t="str">
        <f>_xll.RssMarket(A790,"現在値詳細時刻")</f>
        <v>15:00:00</v>
      </c>
      <c r="E790" s="22">
        <f>_xll.RssMarket(A790,"前日比")</f>
        <v>-3</v>
      </c>
      <c r="F790" s="23">
        <f>_xll.RssMarket(A790,"前日比率")/100</f>
        <v>-1.01E-2</v>
      </c>
      <c r="G790" s="24" t="str">
        <f>IFERROR(VLOOKUP(A790,取得元!$A$2:$F$501,2,FALSE),"-")</f>
        <v>-</v>
      </c>
      <c r="H790" s="24" t="str">
        <f>IFERROR(VLOOKUP(A790,取得元!$A$2:$F$501,3,FALSE),"-")</f>
        <v>-</v>
      </c>
      <c r="I790" s="24" t="str">
        <f>IFERROR(VLOOKUP(A790,取得元!$A$2:$F$501,4,FALSE),"-")</f>
        <v>-</v>
      </c>
      <c r="J790" s="5" t="str">
        <f>IFERROR(VLOOKUP(A790,取得元!$A$2:$F$501,5,FALSE),"-")</f>
        <v>-</v>
      </c>
      <c r="K790" s="25" t="str">
        <f>IFERROR(VLOOKUP(A790,取得元!$A$2:$F$501,6,FALSE)/100,"-")</f>
        <v>-</v>
      </c>
      <c r="L790" s="21">
        <f>_xll.RssMarket(A790,"始値")</f>
        <v>298</v>
      </c>
      <c r="M790" s="4">
        <f t="shared" ref="M790:M853" si="75">C790/L790-1</f>
        <v>-1.0067114093959773E-2</v>
      </c>
      <c r="N790" s="21">
        <f>_xll.RssMarket(A790,"高値")</f>
        <v>298</v>
      </c>
      <c r="O790" s="4">
        <f t="shared" ref="O790:O853" si="76">C790/N790-1</f>
        <v>-1.0067114093959773E-2</v>
      </c>
      <c r="P790" s="21">
        <f>_xll.RssMarket(A790,"安値")</f>
        <v>295</v>
      </c>
      <c r="Q790" s="4">
        <f t="shared" ref="Q790:Q853" si="77">C790/P790-1</f>
        <v>0</v>
      </c>
      <c r="R790" s="21">
        <f>_xll.RssMarket(A790,"後場始値")</f>
        <v>298</v>
      </c>
      <c r="S790" s="25">
        <f t="shared" ref="S790:S853" si="78">IFERROR(C790/R790-1,"-")</f>
        <v>-1.0067114093959773E-2</v>
      </c>
      <c r="T790" s="7">
        <f>_xll.RssMarket(A790,"出来高加重平均")</f>
        <v>296.45979999999997</v>
      </c>
      <c r="U790" s="4">
        <f t="shared" ref="U790:U853" si="79">C790/T790-1</f>
        <v>-4.9241077542384604E-3</v>
      </c>
      <c r="V790" s="21">
        <f>_xll.RssMarket(A790,"出来高")</f>
        <v>27400</v>
      </c>
      <c r="W790" s="21">
        <f>_xll.RssMarket(A790,"売買代金")</f>
        <v>8123</v>
      </c>
      <c r="X790" s="20" t="str">
        <f>_xll.RssMarket(A790,"決算発表日")</f>
        <v>2024/01/31</v>
      </c>
      <c r="Y790" s="26" t="str">
        <f>IF(C790&gt;_xll.RssMarket(A790,"年初来高値"),"○","×")</f>
        <v>×</v>
      </c>
      <c r="Z790" s="27" t="str">
        <f>IF(C790&lt;=_xll.RssMarket(A790,"年初来安値"),"○","×")</f>
        <v>×</v>
      </c>
    </row>
    <row r="791" spans="1:26" x14ac:dyDescent="0.25">
      <c r="A791" s="49">
        <v>6941</v>
      </c>
      <c r="B791" s="20" t="str">
        <f>_xll.RssMarket(A791,"銘柄名称")</f>
        <v>山一電機</v>
      </c>
      <c r="C791" s="21">
        <f>_xll.RssMarket(A791,"現在値")</f>
        <v>2196</v>
      </c>
      <c r="D791" s="20" t="str">
        <f>_xll.RssMarket(A791,"現在値詳細時刻")</f>
        <v>15:00:00</v>
      </c>
      <c r="E791" s="22">
        <f>_xll.RssMarket(A791,"前日比")</f>
        <v>160</v>
      </c>
      <c r="F791" s="23">
        <f>_xll.RssMarket(A791,"前日比率")/100</f>
        <v>7.8600000000000003E-2</v>
      </c>
      <c r="G791" s="24" t="str">
        <f>IFERROR(VLOOKUP(A791,取得元!$A$2:$F$501,2,FALSE),"-")</f>
        <v>-</v>
      </c>
      <c r="H791" s="24" t="str">
        <f>IFERROR(VLOOKUP(A791,取得元!$A$2:$F$501,3,FALSE),"-")</f>
        <v>-</v>
      </c>
      <c r="I791" s="24" t="str">
        <f>IFERROR(VLOOKUP(A791,取得元!$A$2:$F$501,4,FALSE),"-")</f>
        <v>-</v>
      </c>
      <c r="J791" s="5" t="str">
        <f>IFERROR(VLOOKUP(A791,取得元!$A$2:$F$501,5,FALSE),"-")</f>
        <v>-</v>
      </c>
      <c r="K791" s="25" t="str">
        <f>IFERROR(VLOOKUP(A791,取得元!$A$2:$F$501,6,FALSE)/100,"-")</f>
        <v>-</v>
      </c>
      <c r="L791" s="21">
        <f>_xll.RssMarket(A791,"始値")</f>
        <v>2286</v>
      </c>
      <c r="M791" s="4">
        <f t="shared" si="75"/>
        <v>-3.9370078740157521E-2</v>
      </c>
      <c r="N791" s="21">
        <f>_xll.RssMarket(A791,"高値")</f>
        <v>2376</v>
      </c>
      <c r="O791" s="4">
        <f t="shared" si="76"/>
        <v>-7.5757575757575801E-2</v>
      </c>
      <c r="P791" s="21">
        <f>_xll.RssMarket(A791,"安値")</f>
        <v>2167</v>
      </c>
      <c r="Q791" s="4">
        <f t="shared" si="77"/>
        <v>1.3382556529764722E-2</v>
      </c>
      <c r="R791" s="21">
        <f>_xll.RssMarket(A791,"後場始値")</f>
        <v>2213</v>
      </c>
      <c r="S791" s="25">
        <f t="shared" si="78"/>
        <v>-7.6818798011748513E-3</v>
      </c>
      <c r="T791" s="7">
        <f>_xll.RssMarket(A791,"出来高加重平均")</f>
        <v>2236.7573000000002</v>
      </c>
      <c r="U791" s="4">
        <f t="shared" si="79"/>
        <v>-1.8221601422738321E-2</v>
      </c>
      <c r="V791" s="21">
        <f>_xll.RssMarket(A791,"出来高")</f>
        <v>1132700</v>
      </c>
      <c r="W791" s="21">
        <f>_xll.RssMarket(A791,"売買代金")</f>
        <v>2533575</v>
      </c>
      <c r="X791" s="20" t="str">
        <f>_xll.RssMarket(A791,"決算発表日")</f>
        <v>2024/02/06</v>
      </c>
      <c r="Y791" s="26" t="str">
        <f>IF(C791&gt;_xll.RssMarket(A791,"年初来高値"),"○","×")</f>
        <v>×</v>
      </c>
      <c r="Z791" s="27" t="str">
        <f>IF(C791&lt;=_xll.RssMarket(A791,"年初来安値"),"○","×")</f>
        <v>×</v>
      </c>
    </row>
    <row r="792" spans="1:26" x14ac:dyDescent="0.25">
      <c r="A792" s="47">
        <v>6942</v>
      </c>
      <c r="B792" s="20" t="str">
        <f>_xll.RssMarket(A792,"銘柄名称")</f>
        <v>ソフィアホールディングス</v>
      </c>
      <c r="C792" s="21">
        <f>_xll.RssMarket(A792,"現在値")</f>
        <v>1774</v>
      </c>
      <c r="D792" s="20" t="str">
        <f>_xll.RssMarket(A792,"現在値詳細時刻")</f>
        <v>15:00:00</v>
      </c>
      <c r="E792" s="22">
        <f>_xll.RssMarket(A792,"前日比")</f>
        <v>300</v>
      </c>
      <c r="F792" s="23">
        <f>_xll.RssMarket(A792,"前日比率")/100</f>
        <v>0.20350000000000001</v>
      </c>
      <c r="G792" s="24" t="str">
        <f>IFERROR(VLOOKUP(A792,取得元!$A$2:$F$501,2,FALSE),"-")</f>
        <v>-</v>
      </c>
      <c r="H792" s="24" t="str">
        <f>IFERROR(VLOOKUP(A792,取得元!$A$2:$F$501,3,FALSE),"-")</f>
        <v>-</v>
      </c>
      <c r="I792" s="24" t="str">
        <f>IFERROR(VLOOKUP(A792,取得元!$A$2:$F$501,4,FALSE),"-")</f>
        <v>-</v>
      </c>
      <c r="J792" s="5" t="str">
        <f>IFERROR(VLOOKUP(A792,取得元!$A$2:$F$501,5,FALSE),"-")</f>
        <v>-</v>
      </c>
      <c r="K792" s="25" t="str">
        <f>IFERROR(VLOOKUP(A792,取得元!$A$2:$F$501,6,FALSE)/100,"-")</f>
        <v>-</v>
      </c>
      <c r="L792" s="21">
        <f>_xll.RssMarket(A792,"始値")</f>
        <v>1623</v>
      </c>
      <c r="M792" s="4">
        <f t="shared" si="75"/>
        <v>9.3037584719654953E-2</v>
      </c>
      <c r="N792" s="21">
        <f>_xll.RssMarket(A792,"高値")</f>
        <v>1774</v>
      </c>
      <c r="O792" s="4">
        <f t="shared" si="76"/>
        <v>0</v>
      </c>
      <c r="P792" s="21">
        <f>_xll.RssMarket(A792,"安値")</f>
        <v>1566</v>
      </c>
      <c r="Q792" s="4">
        <f t="shared" si="77"/>
        <v>0.13282247765006394</v>
      </c>
      <c r="R792" s="21">
        <f>_xll.RssMarket(A792,"後場始値")</f>
        <v>1774</v>
      </c>
      <c r="S792" s="25">
        <f t="shared" si="78"/>
        <v>0</v>
      </c>
      <c r="T792" s="7">
        <f>_xll.RssMarket(A792,"出来高加重平均")</f>
        <v>1716.9884999999999</v>
      </c>
      <c r="U792" s="4">
        <f t="shared" si="79"/>
        <v>3.320435751316908E-2</v>
      </c>
      <c r="V792" s="21">
        <f>_xll.RssMarket(A792,"出来高")</f>
        <v>551900</v>
      </c>
      <c r="W792" s="21">
        <f>_xll.RssMarket(A792,"売買代金")</f>
        <v>947606</v>
      </c>
      <c r="X792" s="20" t="str">
        <f>_xll.RssMarket(A792,"決算発表日")</f>
        <v>2024/02/14</v>
      </c>
      <c r="Y792" s="26" t="str">
        <f>IF(C792&gt;_xll.RssMarket(A792,"年初来高値"),"○","×")</f>
        <v>○</v>
      </c>
      <c r="Z792" s="27" t="str">
        <f>IF(C792&lt;=_xll.RssMarket(A792,"年初来安値"),"○","×")</f>
        <v>×</v>
      </c>
    </row>
    <row r="793" spans="1:26" x14ac:dyDescent="0.25">
      <c r="A793" s="49">
        <v>6952</v>
      </c>
      <c r="B793" s="20" t="str">
        <f>_xll.RssMarket(A793,"銘柄名称")</f>
        <v>カシオ</v>
      </c>
      <c r="C793" s="21">
        <f>_xll.RssMarket(A793,"現在値")</f>
        <v>1260.5</v>
      </c>
      <c r="D793" s="20" t="str">
        <f>_xll.RssMarket(A793,"現在値詳細時刻")</f>
        <v>15:00:00</v>
      </c>
      <c r="E793" s="22">
        <f>_xll.RssMarket(A793,"前日比")</f>
        <v>-14.5</v>
      </c>
      <c r="F793" s="23">
        <f>_xll.RssMarket(A793,"前日比率")/100</f>
        <v>-1.1399999999999999E-2</v>
      </c>
      <c r="G793" s="24" t="str">
        <f>IFERROR(VLOOKUP(A793,取得元!$A$2:$F$501,2,FALSE),"-")</f>
        <v>-</v>
      </c>
      <c r="H793" s="24" t="str">
        <f>IFERROR(VLOOKUP(A793,取得元!$A$2:$F$501,3,FALSE),"-")</f>
        <v>-</v>
      </c>
      <c r="I793" s="24" t="str">
        <f>IFERROR(VLOOKUP(A793,取得元!$A$2:$F$501,4,FALSE),"-")</f>
        <v>-</v>
      </c>
      <c r="J793" s="5" t="str">
        <f>IFERROR(VLOOKUP(A793,取得元!$A$2:$F$501,5,FALSE),"-")</f>
        <v>-</v>
      </c>
      <c r="K793" s="25" t="str">
        <f>IFERROR(VLOOKUP(A793,取得元!$A$2:$F$501,6,FALSE)/100,"-")</f>
        <v>-</v>
      </c>
      <c r="L793" s="21">
        <f>_xll.RssMarket(A793,"始値")</f>
        <v>1267</v>
      </c>
      <c r="M793" s="4">
        <f t="shared" si="75"/>
        <v>-5.130228887134991E-3</v>
      </c>
      <c r="N793" s="21">
        <f>_xll.RssMarket(A793,"高値")</f>
        <v>1283</v>
      </c>
      <c r="O793" s="4">
        <f t="shared" si="76"/>
        <v>-1.7537022603273611E-2</v>
      </c>
      <c r="P793" s="21">
        <f>_xll.RssMarket(A793,"安値")</f>
        <v>1260.5</v>
      </c>
      <c r="Q793" s="4">
        <f t="shared" si="77"/>
        <v>0</v>
      </c>
      <c r="R793" s="21">
        <f>_xll.RssMarket(A793,"後場始値")</f>
        <v>1281</v>
      </c>
      <c r="S793" s="25">
        <f t="shared" si="78"/>
        <v>-1.6003122560499627E-2</v>
      </c>
      <c r="T793" s="7">
        <f>_xll.RssMarket(A793,"出来高加重平均")</f>
        <v>1269.7744</v>
      </c>
      <c r="U793" s="4">
        <f t="shared" si="79"/>
        <v>-7.3039746273039219E-3</v>
      </c>
      <c r="V793" s="21">
        <f>_xll.RssMarket(A793,"出来高")</f>
        <v>1338900</v>
      </c>
      <c r="W793" s="21">
        <f>_xll.RssMarket(A793,"売買代金")</f>
        <v>1700101</v>
      </c>
      <c r="X793" s="20" t="str">
        <f>_xll.RssMarket(A793,"決算発表日")</f>
        <v>2024/02/07</v>
      </c>
      <c r="Y793" s="26" t="str">
        <f>IF(C793&gt;_xll.RssMarket(A793,"年初来高値"),"○","×")</f>
        <v>×</v>
      </c>
      <c r="Z793" s="27" t="str">
        <f>IF(C793&lt;=_xll.RssMarket(A793,"年初来安値"),"○","×")</f>
        <v>×</v>
      </c>
    </row>
    <row r="794" spans="1:26" x14ac:dyDescent="0.25">
      <c r="A794" s="47">
        <v>6954</v>
      </c>
      <c r="B794" s="20" t="str">
        <f>_xll.RssMarket(A794,"銘柄名称")</f>
        <v>ファナック</v>
      </c>
      <c r="C794" s="21">
        <f>_xll.RssMarket(A794,"現在値")</f>
        <v>3945</v>
      </c>
      <c r="D794" s="20" t="str">
        <f>_xll.RssMarket(A794,"現在値詳細時刻")</f>
        <v>15:00:00</v>
      </c>
      <c r="E794" s="22">
        <f>_xll.RssMarket(A794,"前日比")</f>
        <v>-19</v>
      </c>
      <c r="F794" s="23">
        <f>_xll.RssMarket(A794,"前日比率")/100</f>
        <v>-4.7999999999999996E-3</v>
      </c>
      <c r="G794" s="24" t="str">
        <f>IFERROR(VLOOKUP(A794,取得元!$A$2:$F$501,2,FALSE),"-")</f>
        <v>-</v>
      </c>
      <c r="H794" s="24" t="str">
        <f>IFERROR(VLOOKUP(A794,取得元!$A$2:$F$501,3,FALSE),"-")</f>
        <v>-</v>
      </c>
      <c r="I794" s="24" t="str">
        <f>IFERROR(VLOOKUP(A794,取得元!$A$2:$F$501,4,FALSE),"-")</f>
        <v>-</v>
      </c>
      <c r="J794" s="5" t="str">
        <f>IFERROR(VLOOKUP(A794,取得元!$A$2:$F$501,5,FALSE),"-")</f>
        <v>-</v>
      </c>
      <c r="K794" s="25" t="str">
        <f>IFERROR(VLOOKUP(A794,取得元!$A$2:$F$501,6,FALSE)/100,"-")</f>
        <v>-</v>
      </c>
      <c r="L794" s="21">
        <f>_xll.RssMarket(A794,"始値")</f>
        <v>3960</v>
      </c>
      <c r="M794" s="4">
        <f t="shared" si="75"/>
        <v>-3.7878787878787845E-3</v>
      </c>
      <c r="N794" s="21">
        <f>_xll.RssMarket(A794,"高値")</f>
        <v>3987</v>
      </c>
      <c r="O794" s="4">
        <f t="shared" si="76"/>
        <v>-1.0534236267870534E-2</v>
      </c>
      <c r="P794" s="21">
        <f>_xll.RssMarket(A794,"安値")</f>
        <v>3925</v>
      </c>
      <c r="Q794" s="4">
        <f t="shared" si="77"/>
        <v>5.0955414012738842E-3</v>
      </c>
      <c r="R794" s="21">
        <f>_xll.RssMarket(A794,"後場始値")</f>
        <v>3964</v>
      </c>
      <c r="S794" s="25">
        <f t="shared" si="78"/>
        <v>-4.7931382441978032E-3</v>
      </c>
      <c r="T794" s="7">
        <f>_xll.RssMarket(A794,"出来高加重平均")</f>
        <v>3956.4929000000002</v>
      </c>
      <c r="U794" s="4">
        <f t="shared" si="79"/>
        <v>-2.9048200743644337E-3</v>
      </c>
      <c r="V794" s="21">
        <f>_xll.RssMarket(A794,"出来高")</f>
        <v>3367200</v>
      </c>
      <c r="W794" s="21">
        <f>_xll.RssMarket(A794,"売買代金")</f>
        <v>13322303</v>
      </c>
      <c r="X794" s="20" t="str">
        <f>_xll.RssMarket(A794,"決算発表日")</f>
        <v>2024/01/26</v>
      </c>
      <c r="Y794" s="26" t="str">
        <f>IF(C794&gt;_xll.RssMarket(A794,"年初来高値"),"○","×")</f>
        <v>×</v>
      </c>
      <c r="Z794" s="27" t="str">
        <f>IF(C794&lt;=_xll.RssMarket(A794,"年初来安値"),"○","×")</f>
        <v>×</v>
      </c>
    </row>
    <row r="795" spans="1:26" x14ac:dyDescent="0.25">
      <c r="A795" s="49">
        <v>6955</v>
      </c>
      <c r="B795" s="20" t="str">
        <f>_xll.RssMarket(A795,"銘柄名称")</f>
        <v>ＦＤＫ</v>
      </c>
      <c r="C795" s="21">
        <f>_xll.RssMarket(A795,"現在値")</f>
        <v>674</v>
      </c>
      <c r="D795" s="20" t="str">
        <f>_xll.RssMarket(A795,"現在値詳細時刻")</f>
        <v>15:00:00</v>
      </c>
      <c r="E795" s="22">
        <f>_xll.RssMarket(A795,"前日比")</f>
        <v>6</v>
      </c>
      <c r="F795" s="23">
        <f>_xll.RssMarket(A795,"前日比率")/100</f>
        <v>9.0000000000000011E-3</v>
      </c>
      <c r="G795" s="24" t="str">
        <f>IFERROR(VLOOKUP(A795,取得元!$A$2:$F$501,2,FALSE),"-")</f>
        <v>-</v>
      </c>
      <c r="H795" s="24" t="str">
        <f>IFERROR(VLOOKUP(A795,取得元!$A$2:$F$501,3,FALSE),"-")</f>
        <v>-</v>
      </c>
      <c r="I795" s="24" t="str">
        <f>IFERROR(VLOOKUP(A795,取得元!$A$2:$F$501,4,FALSE),"-")</f>
        <v>-</v>
      </c>
      <c r="J795" s="5" t="str">
        <f>IFERROR(VLOOKUP(A795,取得元!$A$2:$F$501,5,FALSE),"-")</f>
        <v>-</v>
      </c>
      <c r="K795" s="25" t="str">
        <f>IFERROR(VLOOKUP(A795,取得元!$A$2:$F$501,6,FALSE)/100,"-")</f>
        <v>-</v>
      </c>
      <c r="L795" s="21">
        <f>_xll.RssMarket(A795,"始値")</f>
        <v>666</v>
      </c>
      <c r="M795" s="4">
        <f t="shared" si="75"/>
        <v>1.2012012012011963E-2</v>
      </c>
      <c r="N795" s="21">
        <f>_xll.RssMarket(A795,"高値")</f>
        <v>680</v>
      </c>
      <c r="O795" s="4">
        <f t="shared" si="76"/>
        <v>-8.8235294117646745E-3</v>
      </c>
      <c r="P795" s="21">
        <f>_xll.RssMarket(A795,"安値")</f>
        <v>666</v>
      </c>
      <c r="Q795" s="4">
        <f t="shared" si="77"/>
        <v>1.2012012012011963E-2</v>
      </c>
      <c r="R795" s="21">
        <f>_xll.RssMarket(A795,"後場始値")</f>
        <v>671</v>
      </c>
      <c r="S795" s="25">
        <f t="shared" si="78"/>
        <v>4.4709388971684305E-3</v>
      </c>
      <c r="T795" s="7">
        <f>_xll.RssMarket(A795,"出来高加重平均")</f>
        <v>673.35260000000005</v>
      </c>
      <c r="U795" s="4">
        <f t="shared" si="79"/>
        <v>9.6145763749921898E-4</v>
      </c>
      <c r="V795" s="21">
        <f>_xll.RssMarket(A795,"出来高")</f>
        <v>34600</v>
      </c>
      <c r="W795" s="21">
        <f>_xll.RssMarket(A795,"売買代金")</f>
        <v>23298</v>
      </c>
      <c r="X795" s="20" t="str">
        <f>_xll.RssMarket(A795,"決算発表日")</f>
        <v>2024/01/30</v>
      </c>
      <c r="Y795" s="26" t="str">
        <f>IF(C795&gt;_xll.RssMarket(A795,"年初来高値"),"○","×")</f>
        <v>×</v>
      </c>
      <c r="Z795" s="27" t="str">
        <f>IF(C795&lt;=_xll.RssMarket(A795,"年初来安値"),"○","×")</f>
        <v>×</v>
      </c>
    </row>
    <row r="796" spans="1:26" x14ac:dyDescent="0.25">
      <c r="A796" s="47">
        <v>6958</v>
      </c>
      <c r="B796" s="20" t="str">
        <f>_xll.RssMarket(A796,"銘柄名称")</f>
        <v>日本シイエムケイ</v>
      </c>
      <c r="C796" s="21">
        <f>_xll.RssMarket(A796,"現在値")</f>
        <v>752</v>
      </c>
      <c r="D796" s="20" t="str">
        <f>_xll.RssMarket(A796,"現在値詳細時刻")</f>
        <v>15:00:00</v>
      </c>
      <c r="E796" s="22">
        <f>_xll.RssMarket(A796,"前日比")</f>
        <v>10</v>
      </c>
      <c r="F796" s="23">
        <f>_xll.RssMarket(A796,"前日比率")/100</f>
        <v>1.3500000000000002E-2</v>
      </c>
      <c r="G796" s="24" t="str">
        <f>IFERROR(VLOOKUP(A796,取得元!$A$2:$F$501,2,FALSE),"-")</f>
        <v>-</v>
      </c>
      <c r="H796" s="24" t="str">
        <f>IFERROR(VLOOKUP(A796,取得元!$A$2:$F$501,3,FALSE),"-")</f>
        <v>-</v>
      </c>
      <c r="I796" s="24" t="str">
        <f>IFERROR(VLOOKUP(A796,取得元!$A$2:$F$501,4,FALSE),"-")</f>
        <v>-</v>
      </c>
      <c r="J796" s="5" t="str">
        <f>IFERROR(VLOOKUP(A796,取得元!$A$2:$F$501,5,FALSE),"-")</f>
        <v>-</v>
      </c>
      <c r="K796" s="25" t="str">
        <f>IFERROR(VLOOKUP(A796,取得元!$A$2:$F$501,6,FALSE)/100,"-")</f>
        <v>-</v>
      </c>
      <c r="L796" s="21">
        <f>_xll.RssMarket(A796,"始値")</f>
        <v>745</v>
      </c>
      <c r="M796" s="4">
        <f t="shared" si="75"/>
        <v>9.3959731543624692E-3</v>
      </c>
      <c r="N796" s="21">
        <f>_xll.RssMarket(A796,"高値")</f>
        <v>753</v>
      </c>
      <c r="O796" s="4">
        <f t="shared" si="76"/>
        <v>-1.3280212483399723E-3</v>
      </c>
      <c r="P796" s="21">
        <f>_xll.RssMarket(A796,"安値")</f>
        <v>739</v>
      </c>
      <c r="Q796" s="4">
        <f t="shared" si="77"/>
        <v>1.7591339648173276E-2</v>
      </c>
      <c r="R796" s="21">
        <f>_xll.RssMarket(A796,"後場始値")</f>
        <v>748</v>
      </c>
      <c r="S796" s="25">
        <f t="shared" si="78"/>
        <v>5.3475935828877219E-3</v>
      </c>
      <c r="T796" s="7">
        <f>_xll.RssMarket(A796,"出来高加重平均")</f>
        <v>747.18830000000003</v>
      </c>
      <c r="U796" s="4">
        <f t="shared" si="79"/>
        <v>6.4397421640569608E-3</v>
      </c>
      <c r="V796" s="21">
        <f>_xll.RssMarket(A796,"出来高")</f>
        <v>659400</v>
      </c>
      <c r="W796" s="21">
        <f>_xll.RssMarket(A796,"売買代金")</f>
        <v>492696</v>
      </c>
      <c r="X796" s="20" t="str">
        <f>_xll.RssMarket(A796,"決算発表日")</f>
        <v>2024/02/07</v>
      </c>
      <c r="Y796" s="26" t="str">
        <f>IF(C796&gt;_xll.RssMarket(A796,"年初来高値"),"○","×")</f>
        <v>×</v>
      </c>
      <c r="Z796" s="27" t="str">
        <f>IF(C796&lt;=_xll.RssMarket(A796,"年初来安値"),"○","×")</f>
        <v>×</v>
      </c>
    </row>
    <row r="797" spans="1:26" x14ac:dyDescent="0.25">
      <c r="A797" s="49">
        <v>6976</v>
      </c>
      <c r="B797" s="20" t="str">
        <f>_xll.RssMarket(A797,"銘柄名称")</f>
        <v>太陽誘電</v>
      </c>
      <c r="C797" s="21">
        <f>_xll.RssMarket(A797,"現在値")</f>
        <v>3431</v>
      </c>
      <c r="D797" s="20" t="str">
        <f>_xll.RssMarket(A797,"現在値詳細時刻")</f>
        <v>15:00:00</v>
      </c>
      <c r="E797" s="22">
        <f>_xll.RssMarket(A797,"前日比")</f>
        <v>-118</v>
      </c>
      <c r="F797" s="23">
        <f>_xll.RssMarket(A797,"前日比率")/100</f>
        <v>-3.32E-2</v>
      </c>
      <c r="G797" s="24" t="str">
        <f>IFERROR(VLOOKUP(A797,取得元!$A$2:$F$501,2,FALSE),"-")</f>
        <v>-</v>
      </c>
      <c r="H797" s="24" t="str">
        <f>IFERROR(VLOOKUP(A797,取得元!$A$2:$F$501,3,FALSE),"-")</f>
        <v>-</v>
      </c>
      <c r="I797" s="24" t="str">
        <f>IFERROR(VLOOKUP(A797,取得元!$A$2:$F$501,4,FALSE),"-")</f>
        <v>-</v>
      </c>
      <c r="J797" s="5" t="str">
        <f>IFERROR(VLOOKUP(A797,取得元!$A$2:$F$501,5,FALSE),"-")</f>
        <v>-</v>
      </c>
      <c r="K797" s="25" t="str">
        <f>IFERROR(VLOOKUP(A797,取得元!$A$2:$F$501,6,FALSE)/100,"-")</f>
        <v>-</v>
      </c>
      <c r="L797" s="21">
        <f>_xll.RssMarket(A797,"始値")</f>
        <v>3541</v>
      </c>
      <c r="M797" s="4">
        <f t="shared" si="75"/>
        <v>-3.1064670996893584E-2</v>
      </c>
      <c r="N797" s="21">
        <f>_xll.RssMarket(A797,"高値")</f>
        <v>3565</v>
      </c>
      <c r="O797" s="4">
        <f t="shared" si="76"/>
        <v>-3.7587657784011186E-2</v>
      </c>
      <c r="P797" s="21">
        <f>_xll.RssMarket(A797,"安値")</f>
        <v>3431</v>
      </c>
      <c r="Q797" s="4">
        <f t="shared" si="77"/>
        <v>0</v>
      </c>
      <c r="R797" s="21">
        <f>_xll.RssMarket(A797,"後場始値")</f>
        <v>3495</v>
      </c>
      <c r="S797" s="25">
        <f t="shared" si="78"/>
        <v>-1.8311874105865544E-2</v>
      </c>
      <c r="T797" s="7">
        <f>_xll.RssMarket(A797,"出来高加重平均")</f>
        <v>3473.0592000000001</v>
      </c>
      <c r="U797" s="4">
        <f t="shared" si="79"/>
        <v>-1.2110130457897217E-2</v>
      </c>
      <c r="V797" s="21">
        <f>_xll.RssMarket(A797,"出来高")</f>
        <v>2382900</v>
      </c>
      <c r="W797" s="21">
        <f>_xll.RssMarket(A797,"売買代金")</f>
        <v>8275953</v>
      </c>
      <c r="X797" s="20" t="str">
        <f>_xll.RssMarket(A797,"決算発表日")</f>
        <v>2024/02/07</v>
      </c>
      <c r="Y797" s="26" t="str">
        <f>IF(C797&gt;_xll.RssMarket(A797,"年初来高値"),"○","×")</f>
        <v>×</v>
      </c>
      <c r="Z797" s="27" t="str">
        <f>IF(C797&lt;=_xll.RssMarket(A797,"年初来安値"),"○","×")</f>
        <v>×</v>
      </c>
    </row>
    <row r="798" spans="1:26" x14ac:dyDescent="0.25">
      <c r="A798" s="47">
        <v>6981</v>
      </c>
      <c r="B798" s="20" t="str">
        <f>_xll.RssMarket(A798,"銘柄名称")</f>
        <v>村田製作所</v>
      </c>
      <c r="C798" s="21">
        <f>_xll.RssMarket(A798,"現在値")</f>
        <v>2989.5</v>
      </c>
      <c r="D798" s="20" t="str">
        <f>_xll.RssMarket(A798,"現在値詳細時刻")</f>
        <v>15:00:00</v>
      </c>
      <c r="E798" s="22">
        <f>_xll.RssMarket(A798,"前日比")</f>
        <v>-50.5</v>
      </c>
      <c r="F798" s="23">
        <f>_xll.RssMarket(A798,"前日比率")/100</f>
        <v>-1.66E-2</v>
      </c>
      <c r="G798" s="24" t="str">
        <f>IFERROR(VLOOKUP(A798,取得元!$A$2:$F$501,2,FALSE),"-")</f>
        <v>-</v>
      </c>
      <c r="H798" s="24" t="str">
        <f>IFERROR(VLOOKUP(A798,取得元!$A$2:$F$501,3,FALSE),"-")</f>
        <v>-</v>
      </c>
      <c r="I798" s="24" t="str">
        <f>IFERROR(VLOOKUP(A798,取得元!$A$2:$F$501,4,FALSE),"-")</f>
        <v>-</v>
      </c>
      <c r="J798" s="5" t="str">
        <f>IFERROR(VLOOKUP(A798,取得元!$A$2:$F$501,5,FALSE),"-")</f>
        <v>-</v>
      </c>
      <c r="K798" s="25" t="str">
        <f>IFERROR(VLOOKUP(A798,取得元!$A$2:$F$501,6,FALSE)/100,"-")</f>
        <v>-</v>
      </c>
      <c r="L798" s="21">
        <f>_xll.RssMarket(A798,"始値")</f>
        <v>3047</v>
      </c>
      <c r="M798" s="4">
        <f t="shared" si="75"/>
        <v>-1.8871020676074823E-2</v>
      </c>
      <c r="N798" s="21">
        <f>_xll.RssMarket(A798,"高値")</f>
        <v>3051</v>
      </c>
      <c r="O798" s="4">
        <f t="shared" si="76"/>
        <v>-2.015732546705995E-2</v>
      </c>
      <c r="P798" s="21">
        <f>_xll.RssMarket(A798,"安値")</f>
        <v>2981</v>
      </c>
      <c r="Q798" s="4">
        <f t="shared" si="77"/>
        <v>2.8513921502850703E-3</v>
      </c>
      <c r="R798" s="21">
        <f>_xll.RssMarket(A798,"後場始値")</f>
        <v>3004</v>
      </c>
      <c r="S798" s="25">
        <f t="shared" si="78"/>
        <v>-4.8268974700399481E-3</v>
      </c>
      <c r="T798" s="7">
        <f>_xll.RssMarket(A798,"出来高加重平均")</f>
        <v>3000.2514999999999</v>
      </c>
      <c r="U798" s="4">
        <f t="shared" si="79"/>
        <v>-3.5835329138239613E-3</v>
      </c>
      <c r="V798" s="21">
        <f>_xll.RssMarket(A798,"出来高")</f>
        <v>5978000</v>
      </c>
      <c r="W798" s="21">
        <f>_xll.RssMarket(A798,"売買代金")</f>
        <v>17935504</v>
      </c>
      <c r="X798" s="20" t="str">
        <f>_xll.RssMarket(A798,"決算発表日")</f>
        <v>2024/02/02</v>
      </c>
      <c r="Y798" s="26" t="str">
        <f>IF(C798&gt;_xll.RssMarket(A798,"年初来高値"),"○","×")</f>
        <v>×</v>
      </c>
      <c r="Z798" s="27" t="str">
        <f>IF(C798&lt;=_xll.RssMarket(A798,"年初来安値"),"○","×")</f>
        <v>×</v>
      </c>
    </row>
    <row r="799" spans="1:26" x14ac:dyDescent="0.25">
      <c r="A799" s="49">
        <v>6982</v>
      </c>
      <c r="B799" s="20" t="str">
        <f>_xll.RssMarket(A799,"銘柄名称")</f>
        <v>リード</v>
      </c>
      <c r="C799" s="21">
        <f>_xll.RssMarket(A799,"現在値")</f>
        <v>682</v>
      </c>
      <c r="D799" s="20" t="str">
        <f>_xll.RssMarket(A799,"現在値詳細時刻")</f>
        <v>15:00:00</v>
      </c>
      <c r="E799" s="22">
        <f>_xll.RssMarket(A799,"前日比")</f>
        <v>2</v>
      </c>
      <c r="F799" s="23">
        <f>_xll.RssMarket(A799,"前日比率")/100</f>
        <v>2.8999999999999998E-3</v>
      </c>
      <c r="G799" s="24" t="str">
        <f>IFERROR(VLOOKUP(A799,取得元!$A$2:$F$501,2,FALSE),"-")</f>
        <v>-</v>
      </c>
      <c r="H799" s="24" t="str">
        <f>IFERROR(VLOOKUP(A799,取得元!$A$2:$F$501,3,FALSE),"-")</f>
        <v>-</v>
      </c>
      <c r="I799" s="24" t="str">
        <f>IFERROR(VLOOKUP(A799,取得元!$A$2:$F$501,4,FALSE),"-")</f>
        <v>-</v>
      </c>
      <c r="J799" s="5" t="str">
        <f>IFERROR(VLOOKUP(A799,取得元!$A$2:$F$501,5,FALSE),"-")</f>
        <v>-</v>
      </c>
      <c r="K799" s="25" t="str">
        <f>IFERROR(VLOOKUP(A799,取得元!$A$2:$F$501,6,FALSE)/100,"-")</f>
        <v>-</v>
      </c>
      <c r="L799" s="21">
        <f>_xll.RssMarket(A799,"始値")</f>
        <v>684</v>
      </c>
      <c r="M799" s="4">
        <f t="shared" si="75"/>
        <v>-2.9239766081871066E-3</v>
      </c>
      <c r="N799" s="21">
        <f>_xll.RssMarket(A799,"高値")</f>
        <v>691</v>
      </c>
      <c r="O799" s="4">
        <f t="shared" si="76"/>
        <v>-1.3024602026049159E-2</v>
      </c>
      <c r="P799" s="21">
        <f>_xll.RssMarket(A799,"安値")</f>
        <v>679</v>
      </c>
      <c r="Q799" s="4">
        <f t="shared" si="77"/>
        <v>4.4182621502208974E-3</v>
      </c>
      <c r="R799" s="21">
        <f>_xll.RssMarket(A799,"後場始値")</f>
        <v>685</v>
      </c>
      <c r="S799" s="25">
        <f t="shared" si="78"/>
        <v>-4.3795620437956373E-3</v>
      </c>
      <c r="T799" s="7">
        <f>_xll.RssMarket(A799,"出来高加重平均")</f>
        <v>686.37729999999999</v>
      </c>
      <c r="U799" s="4">
        <f t="shared" si="79"/>
        <v>-6.3773962221652658E-3</v>
      </c>
      <c r="V799" s="21">
        <f>_xll.RssMarket(A799,"出来高")</f>
        <v>26500</v>
      </c>
      <c r="W799" s="21">
        <f>_xll.RssMarket(A799,"売買代金")</f>
        <v>18189</v>
      </c>
      <c r="X799" s="20" t="str">
        <f>_xll.RssMarket(A799,"決算発表日")</f>
        <v>2024/02/07</v>
      </c>
      <c r="Y799" s="26" t="str">
        <f>IF(C799&gt;_xll.RssMarket(A799,"年初来高値"),"○","×")</f>
        <v>×</v>
      </c>
      <c r="Z799" s="27" t="str">
        <f>IF(C799&lt;=_xll.RssMarket(A799,"年初来安値"),"○","×")</f>
        <v>×</v>
      </c>
    </row>
    <row r="800" spans="1:26" x14ac:dyDescent="0.25">
      <c r="A800" s="47">
        <v>6986</v>
      </c>
      <c r="B800" s="20" t="str">
        <f>_xll.RssMarket(A800,"銘柄名称")</f>
        <v>双葉電子工業</v>
      </c>
      <c r="C800" s="21">
        <f>_xll.RssMarket(A800,"現在値")</f>
        <v>506</v>
      </c>
      <c r="D800" s="20" t="str">
        <f>_xll.RssMarket(A800,"現在値詳細時刻")</f>
        <v>15:00:00</v>
      </c>
      <c r="E800" s="22">
        <f>_xll.RssMarket(A800,"前日比")</f>
        <v>-2</v>
      </c>
      <c r="F800" s="23">
        <f>_xll.RssMarket(A800,"前日比率")/100</f>
        <v>-3.9000000000000003E-3</v>
      </c>
      <c r="G800" s="24" t="str">
        <f>IFERROR(VLOOKUP(A800,取得元!$A$2:$F$501,2,FALSE),"-")</f>
        <v>-</v>
      </c>
      <c r="H800" s="24" t="str">
        <f>IFERROR(VLOOKUP(A800,取得元!$A$2:$F$501,3,FALSE),"-")</f>
        <v>-</v>
      </c>
      <c r="I800" s="24" t="str">
        <f>IFERROR(VLOOKUP(A800,取得元!$A$2:$F$501,4,FALSE),"-")</f>
        <v>-</v>
      </c>
      <c r="J800" s="5" t="str">
        <f>IFERROR(VLOOKUP(A800,取得元!$A$2:$F$501,5,FALSE),"-")</f>
        <v>-</v>
      </c>
      <c r="K800" s="25" t="str">
        <f>IFERROR(VLOOKUP(A800,取得元!$A$2:$F$501,6,FALSE)/100,"-")</f>
        <v>-</v>
      </c>
      <c r="L800" s="21">
        <f>_xll.RssMarket(A800,"始値")</f>
        <v>507</v>
      </c>
      <c r="M800" s="4">
        <f t="shared" si="75"/>
        <v>-1.9723865877712132E-3</v>
      </c>
      <c r="N800" s="21">
        <f>_xll.RssMarket(A800,"高値")</f>
        <v>509</v>
      </c>
      <c r="O800" s="4">
        <f t="shared" si="76"/>
        <v>-5.893909626719096E-3</v>
      </c>
      <c r="P800" s="21">
        <f>_xll.RssMarket(A800,"安値")</f>
        <v>504</v>
      </c>
      <c r="Q800" s="4">
        <f t="shared" si="77"/>
        <v>3.9682539682539542E-3</v>
      </c>
      <c r="R800" s="21">
        <f>_xll.RssMarket(A800,"後場始値")</f>
        <v>507</v>
      </c>
      <c r="S800" s="25">
        <f t="shared" si="78"/>
        <v>-1.9723865877712132E-3</v>
      </c>
      <c r="T800" s="7">
        <f>_xll.RssMarket(A800,"出来高加重平均")</f>
        <v>506.26229999999998</v>
      </c>
      <c r="U800" s="4">
        <f t="shared" si="79"/>
        <v>-5.1811086861486277E-4</v>
      </c>
      <c r="V800" s="21">
        <f>_xll.RssMarket(A800,"出来高")</f>
        <v>70900</v>
      </c>
      <c r="W800" s="21">
        <f>_xll.RssMarket(A800,"売買代金")</f>
        <v>35894</v>
      </c>
      <c r="X800" s="20" t="str">
        <f>_xll.RssMarket(A800,"決算発表日")</f>
        <v>2024/02/09</v>
      </c>
      <c r="Y800" s="26" t="str">
        <f>IF(C800&gt;_xll.RssMarket(A800,"年初来高値"),"○","×")</f>
        <v>×</v>
      </c>
      <c r="Z800" s="27" t="str">
        <f>IF(C800&lt;=_xll.RssMarket(A800,"年初来安値"),"○","×")</f>
        <v>×</v>
      </c>
    </row>
    <row r="801" spans="1:26" x14ac:dyDescent="0.25">
      <c r="A801" s="49">
        <v>6993</v>
      </c>
      <c r="B801" s="20" t="str">
        <f>_xll.RssMarket(A801,"銘柄名称")</f>
        <v>大黒屋ホールディングス</v>
      </c>
      <c r="C801" s="21">
        <f>_xll.RssMarket(A801,"現在値")</f>
        <v>40</v>
      </c>
      <c r="D801" s="20" t="str">
        <f>_xll.RssMarket(A801,"現在値詳細時刻")</f>
        <v>15:00:00</v>
      </c>
      <c r="E801" s="22">
        <f>_xll.RssMarket(A801,"前日比")</f>
        <v>0</v>
      </c>
      <c r="F801" s="23">
        <f>_xll.RssMarket(A801,"前日比率")/100</f>
        <v>0</v>
      </c>
      <c r="G801" s="24">
        <f>IFERROR(VLOOKUP(A801,取得元!$A$2:$F$501,2,FALSE),"-")</f>
        <v>100</v>
      </c>
      <c r="H801" s="24">
        <f>IFERROR(VLOOKUP(A801,取得元!$A$2:$F$501,3,FALSE),"-")</f>
        <v>55.5</v>
      </c>
      <c r="I801" s="24">
        <f>IFERROR(VLOOKUP(A801,取得元!$A$2:$F$501,4,FALSE),"-")</f>
        <v>4000</v>
      </c>
      <c r="J801" s="5">
        <f>IFERROR(VLOOKUP(A801,取得元!$A$2:$F$501,5,FALSE),"-")</f>
        <v>-1550</v>
      </c>
      <c r="K801" s="25">
        <f>IFERROR(VLOOKUP(A801,取得元!$A$2:$F$501,6,FALSE)/100,"-")</f>
        <v>-0.27927928000000002</v>
      </c>
      <c r="L801" s="21">
        <f>_xll.RssMarket(A801,"始値")</f>
        <v>40</v>
      </c>
      <c r="M801" s="4">
        <f t="shared" si="75"/>
        <v>0</v>
      </c>
      <c r="N801" s="21">
        <f>_xll.RssMarket(A801,"高値")</f>
        <v>41</v>
      </c>
      <c r="O801" s="4">
        <f t="shared" si="76"/>
        <v>-2.4390243902439046E-2</v>
      </c>
      <c r="P801" s="21">
        <f>_xll.RssMarket(A801,"安値")</f>
        <v>39</v>
      </c>
      <c r="Q801" s="4">
        <f t="shared" si="77"/>
        <v>2.564102564102555E-2</v>
      </c>
      <c r="R801" s="21">
        <f>_xll.RssMarket(A801,"後場始値")</f>
        <v>41</v>
      </c>
      <c r="S801" s="25">
        <f t="shared" si="78"/>
        <v>-2.4390243902439046E-2</v>
      </c>
      <c r="T801" s="7">
        <f>_xll.RssMarket(A801,"出来高加重平均")</f>
        <v>40.127000000000002</v>
      </c>
      <c r="U801" s="4">
        <f t="shared" si="79"/>
        <v>-3.1649512796870782E-3</v>
      </c>
      <c r="V801" s="21">
        <f>_xll.RssMarket(A801,"出来高")</f>
        <v>1031300</v>
      </c>
      <c r="W801" s="21">
        <f>_xll.RssMarket(A801,"売買代金")</f>
        <v>41383</v>
      </c>
      <c r="X801" s="20" t="str">
        <f>_xll.RssMarket(A801,"決算発表日")</f>
        <v>2024/02/09</v>
      </c>
      <c r="Y801" s="26" t="str">
        <f>IF(C801&gt;_xll.RssMarket(A801,"年初来高値"),"○","×")</f>
        <v>×</v>
      </c>
      <c r="Z801" s="27" t="str">
        <f>IF(C801&lt;=_xll.RssMarket(A801,"年初来安値"),"○","×")</f>
        <v>×</v>
      </c>
    </row>
    <row r="802" spans="1:26" x14ac:dyDescent="0.25">
      <c r="A802" s="47">
        <v>6994</v>
      </c>
      <c r="B802" s="20" t="str">
        <f>_xll.RssMarket(A802,"銘柄名称")</f>
        <v>指月電機</v>
      </c>
      <c r="C802" s="21">
        <f>_xll.RssMarket(A802,"現在値")</f>
        <v>440</v>
      </c>
      <c r="D802" s="20" t="str">
        <f>_xll.RssMarket(A802,"現在値詳細時刻")</f>
        <v>15:00:00</v>
      </c>
      <c r="E802" s="22">
        <f>_xll.RssMarket(A802,"前日比")</f>
        <v>7</v>
      </c>
      <c r="F802" s="23">
        <f>_xll.RssMarket(A802,"前日比率")/100</f>
        <v>1.6200000000000003E-2</v>
      </c>
      <c r="G802" s="24" t="str">
        <f>IFERROR(VLOOKUP(A802,取得元!$A$2:$F$501,2,FALSE),"-")</f>
        <v>-</v>
      </c>
      <c r="H802" s="24" t="str">
        <f>IFERROR(VLOOKUP(A802,取得元!$A$2:$F$501,3,FALSE),"-")</f>
        <v>-</v>
      </c>
      <c r="I802" s="24" t="str">
        <f>IFERROR(VLOOKUP(A802,取得元!$A$2:$F$501,4,FALSE),"-")</f>
        <v>-</v>
      </c>
      <c r="J802" s="5" t="str">
        <f>IFERROR(VLOOKUP(A802,取得元!$A$2:$F$501,5,FALSE),"-")</f>
        <v>-</v>
      </c>
      <c r="K802" s="25" t="str">
        <f>IFERROR(VLOOKUP(A802,取得元!$A$2:$F$501,6,FALSE)/100,"-")</f>
        <v>-</v>
      </c>
      <c r="L802" s="21">
        <f>_xll.RssMarket(A802,"始値")</f>
        <v>433</v>
      </c>
      <c r="M802" s="4">
        <f t="shared" si="75"/>
        <v>1.616628175519641E-2</v>
      </c>
      <c r="N802" s="21">
        <f>_xll.RssMarket(A802,"高値")</f>
        <v>444</v>
      </c>
      <c r="O802" s="4">
        <f t="shared" si="76"/>
        <v>-9.009009009009028E-3</v>
      </c>
      <c r="P802" s="21">
        <f>_xll.RssMarket(A802,"安値")</f>
        <v>433</v>
      </c>
      <c r="Q802" s="4">
        <f t="shared" si="77"/>
        <v>1.616628175519641E-2</v>
      </c>
      <c r="R802" s="21">
        <f>_xll.RssMarket(A802,"後場始値")</f>
        <v>441</v>
      </c>
      <c r="S802" s="25">
        <f t="shared" si="78"/>
        <v>-2.2675736961451642E-3</v>
      </c>
      <c r="T802" s="7">
        <f>_xll.RssMarket(A802,"出来高加重平均")</f>
        <v>437.8879</v>
      </c>
      <c r="U802" s="4">
        <f t="shared" si="79"/>
        <v>4.8233805958100007E-3</v>
      </c>
      <c r="V802" s="21">
        <f>_xll.RssMarket(A802,"出来高")</f>
        <v>23200</v>
      </c>
      <c r="W802" s="21">
        <f>_xll.RssMarket(A802,"売買代金")</f>
        <v>10159</v>
      </c>
      <c r="X802" s="20" t="str">
        <f>_xll.RssMarket(A802,"決算発表日")</f>
        <v>2024/02/06</v>
      </c>
      <c r="Y802" s="26" t="str">
        <f>IF(C802&gt;_xll.RssMarket(A802,"年初来高値"),"○","×")</f>
        <v>×</v>
      </c>
      <c r="Z802" s="27" t="str">
        <f>IF(C802&lt;=_xll.RssMarket(A802,"年初来安値"),"○","×")</f>
        <v>×</v>
      </c>
    </row>
    <row r="803" spans="1:26" x14ac:dyDescent="0.25">
      <c r="A803" s="49">
        <v>6997</v>
      </c>
      <c r="B803" s="20" t="str">
        <f>_xll.RssMarket(A803,"銘柄名称")</f>
        <v>日本ケミコン</v>
      </c>
      <c r="C803" s="21">
        <f>_xll.RssMarket(A803,"現在値")</f>
        <v>1402</v>
      </c>
      <c r="D803" s="20" t="str">
        <f>_xll.RssMarket(A803,"現在値詳細時刻")</f>
        <v>15:00:00</v>
      </c>
      <c r="E803" s="22">
        <f>_xll.RssMarket(A803,"前日比")</f>
        <v>10</v>
      </c>
      <c r="F803" s="23">
        <f>_xll.RssMarket(A803,"前日比率")/100</f>
        <v>7.1999999999999998E-3</v>
      </c>
      <c r="G803" s="24" t="str">
        <f>IFERROR(VLOOKUP(A803,取得元!$A$2:$F$501,2,FALSE),"-")</f>
        <v>-</v>
      </c>
      <c r="H803" s="24" t="str">
        <f>IFERROR(VLOOKUP(A803,取得元!$A$2:$F$501,3,FALSE),"-")</f>
        <v>-</v>
      </c>
      <c r="I803" s="24" t="str">
        <f>IFERROR(VLOOKUP(A803,取得元!$A$2:$F$501,4,FALSE),"-")</f>
        <v>-</v>
      </c>
      <c r="J803" s="5" t="str">
        <f>IFERROR(VLOOKUP(A803,取得元!$A$2:$F$501,5,FALSE),"-")</f>
        <v>-</v>
      </c>
      <c r="K803" s="25" t="str">
        <f>IFERROR(VLOOKUP(A803,取得元!$A$2:$F$501,6,FALSE)/100,"-")</f>
        <v>-</v>
      </c>
      <c r="L803" s="21">
        <f>_xll.RssMarket(A803,"始値")</f>
        <v>1387</v>
      </c>
      <c r="M803" s="4">
        <f t="shared" si="75"/>
        <v>1.0814708002883977E-2</v>
      </c>
      <c r="N803" s="21">
        <f>_xll.RssMarket(A803,"高値")</f>
        <v>1403</v>
      </c>
      <c r="O803" s="4">
        <f t="shared" si="76"/>
        <v>-7.1275837491091565E-4</v>
      </c>
      <c r="P803" s="21">
        <f>_xll.RssMarket(A803,"安値")</f>
        <v>1379</v>
      </c>
      <c r="Q803" s="4">
        <f t="shared" si="77"/>
        <v>1.6678752719361922E-2</v>
      </c>
      <c r="R803" s="21">
        <f>_xll.RssMarket(A803,"後場始値")</f>
        <v>1393</v>
      </c>
      <c r="S803" s="25">
        <f t="shared" si="78"/>
        <v>6.4608758076094563E-3</v>
      </c>
      <c r="T803" s="7">
        <f>_xll.RssMarket(A803,"出来高加重平均")</f>
        <v>1393.7581</v>
      </c>
      <c r="U803" s="4">
        <f t="shared" si="79"/>
        <v>5.9134364851403109E-3</v>
      </c>
      <c r="V803" s="21">
        <f>_xll.RssMarket(A803,"出来高")</f>
        <v>244800</v>
      </c>
      <c r="W803" s="21">
        <f>_xll.RssMarket(A803,"売買代金")</f>
        <v>341192</v>
      </c>
      <c r="X803" s="20" t="str">
        <f>_xll.RssMarket(A803,"決算発表日")</f>
        <v>2024/02/07</v>
      </c>
      <c r="Y803" s="26" t="str">
        <f>IF(C803&gt;_xll.RssMarket(A803,"年初来高値"),"○","×")</f>
        <v>×</v>
      </c>
      <c r="Z803" s="27" t="str">
        <f>IF(C803&lt;=_xll.RssMarket(A803,"年初来安値"),"○","×")</f>
        <v>×</v>
      </c>
    </row>
    <row r="804" spans="1:26" x14ac:dyDescent="0.25">
      <c r="A804" s="47">
        <v>7003</v>
      </c>
      <c r="B804" s="20" t="str">
        <f>_xll.RssMarket(A804,"銘柄名称")</f>
        <v>三井Ｅ＆Ｓ</v>
      </c>
      <c r="C804" s="21">
        <f>_xll.RssMarket(A804,"現在値")</f>
        <v>753</v>
      </c>
      <c r="D804" s="20" t="str">
        <f>_xll.RssMarket(A804,"現在値詳細時刻")</f>
        <v>15:00:00</v>
      </c>
      <c r="E804" s="22">
        <f>_xll.RssMarket(A804,"前日比")</f>
        <v>4</v>
      </c>
      <c r="F804" s="23">
        <f>_xll.RssMarket(A804,"前日比率")/100</f>
        <v>5.3E-3</v>
      </c>
      <c r="G804" s="24" t="str">
        <f>IFERROR(VLOOKUP(A804,取得元!$A$2:$F$501,2,FALSE),"-")</f>
        <v>-</v>
      </c>
      <c r="H804" s="24" t="str">
        <f>IFERROR(VLOOKUP(A804,取得元!$A$2:$F$501,3,FALSE),"-")</f>
        <v>-</v>
      </c>
      <c r="I804" s="24" t="str">
        <f>IFERROR(VLOOKUP(A804,取得元!$A$2:$F$501,4,FALSE),"-")</f>
        <v>-</v>
      </c>
      <c r="J804" s="5" t="str">
        <f>IFERROR(VLOOKUP(A804,取得元!$A$2:$F$501,5,FALSE),"-")</f>
        <v>-</v>
      </c>
      <c r="K804" s="25" t="str">
        <f>IFERROR(VLOOKUP(A804,取得元!$A$2:$F$501,6,FALSE)/100,"-")</f>
        <v>-</v>
      </c>
      <c r="L804" s="21">
        <f>_xll.RssMarket(A804,"始値")</f>
        <v>751</v>
      </c>
      <c r="M804" s="4">
        <f t="shared" si="75"/>
        <v>2.6631158455392434E-3</v>
      </c>
      <c r="N804" s="21">
        <f>_xll.RssMarket(A804,"高値")</f>
        <v>761</v>
      </c>
      <c r="O804" s="4">
        <f t="shared" si="76"/>
        <v>-1.0512483574244391E-2</v>
      </c>
      <c r="P804" s="21">
        <f>_xll.RssMarket(A804,"安値")</f>
        <v>734</v>
      </c>
      <c r="Q804" s="4">
        <f t="shared" si="77"/>
        <v>2.5885558583106372E-2</v>
      </c>
      <c r="R804" s="21">
        <f>_xll.RssMarket(A804,"後場始値")</f>
        <v>747</v>
      </c>
      <c r="S804" s="25">
        <f t="shared" si="78"/>
        <v>8.0321285140563248E-3</v>
      </c>
      <c r="T804" s="7">
        <f>_xll.RssMarket(A804,"出来高加重平均")</f>
        <v>750.74069999999995</v>
      </c>
      <c r="U804" s="4">
        <f t="shared" si="79"/>
        <v>3.0094278890169246E-3</v>
      </c>
      <c r="V804" s="21">
        <f>_xll.RssMarket(A804,"出来高")</f>
        <v>9323600</v>
      </c>
      <c r="W804" s="21">
        <f>_xll.RssMarket(A804,"売買代金")</f>
        <v>6999606</v>
      </c>
      <c r="X804" s="20" t="str">
        <f>_xll.RssMarket(A804,"決算発表日")</f>
        <v>2024/02/14</v>
      </c>
      <c r="Y804" s="26" t="str">
        <f>IF(C804&gt;_xll.RssMarket(A804,"年初来高値"),"○","×")</f>
        <v>×</v>
      </c>
      <c r="Z804" s="27" t="str">
        <f>IF(C804&lt;=_xll.RssMarket(A804,"年初来安値"),"○","×")</f>
        <v>×</v>
      </c>
    </row>
    <row r="805" spans="1:26" x14ac:dyDescent="0.25">
      <c r="A805" s="49">
        <v>7004</v>
      </c>
      <c r="B805" s="20" t="str">
        <f>_xll.RssMarket(A805,"銘柄名称")</f>
        <v>日立造船</v>
      </c>
      <c r="C805" s="21">
        <f>_xll.RssMarket(A805,"現在値")</f>
        <v>1007</v>
      </c>
      <c r="D805" s="20" t="str">
        <f>_xll.RssMarket(A805,"現在値詳細時刻")</f>
        <v>15:00:00</v>
      </c>
      <c r="E805" s="22">
        <f>_xll.RssMarket(A805,"前日比")</f>
        <v>21</v>
      </c>
      <c r="F805" s="23">
        <f>_xll.RssMarket(A805,"前日比率")/100</f>
        <v>2.1299999999999999E-2</v>
      </c>
      <c r="G805" s="24" t="str">
        <f>IFERROR(VLOOKUP(A805,取得元!$A$2:$F$501,2,FALSE),"-")</f>
        <v>-</v>
      </c>
      <c r="H805" s="24" t="str">
        <f>IFERROR(VLOOKUP(A805,取得元!$A$2:$F$501,3,FALSE),"-")</f>
        <v>-</v>
      </c>
      <c r="I805" s="24" t="str">
        <f>IFERROR(VLOOKUP(A805,取得元!$A$2:$F$501,4,FALSE),"-")</f>
        <v>-</v>
      </c>
      <c r="J805" s="5" t="str">
        <f>IFERROR(VLOOKUP(A805,取得元!$A$2:$F$501,5,FALSE),"-")</f>
        <v>-</v>
      </c>
      <c r="K805" s="25" t="str">
        <f>IFERROR(VLOOKUP(A805,取得元!$A$2:$F$501,6,FALSE)/100,"-")</f>
        <v>-</v>
      </c>
      <c r="L805" s="21">
        <f>_xll.RssMarket(A805,"始値")</f>
        <v>990</v>
      </c>
      <c r="M805" s="4">
        <f t="shared" si="75"/>
        <v>1.7171717171717171E-2</v>
      </c>
      <c r="N805" s="21">
        <f>_xll.RssMarket(A805,"高値")</f>
        <v>1015</v>
      </c>
      <c r="O805" s="4">
        <f t="shared" si="76"/>
        <v>-7.8817733990147465E-3</v>
      </c>
      <c r="P805" s="21">
        <f>_xll.RssMarket(A805,"安値")</f>
        <v>980</v>
      </c>
      <c r="Q805" s="4">
        <f t="shared" si="77"/>
        <v>2.7551020408163263E-2</v>
      </c>
      <c r="R805" s="21">
        <f>_xll.RssMarket(A805,"後場始値")</f>
        <v>1012</v>
      </c>
      <c r="S805" s="25">
        <f t="shared" si="78"/>
        <v>-4.9407114624505644E-3</v>
      </c>
      <c r="T805" s="7">
        <f>_xll.RssMarket(A805,"出来高加重平均")</f>
        <v>1003.4246000000001</v>
      </c>
      <c r="U805" s="4">
        <f t="shared" si="79"/>
        <v>3.5631974739307459E-3</v>
      </c>
      <c r="V805" s="21">
        <f>_xll.RssMarket(A805,"出来高")</f>
        <v>2205500</v>
      </c>
      <c r="W805" s="21">
        <f>_xll.RssMarket(A805,"売買代金")</f>
        <v>2213053</v>
      </c>
      <c r="X805" s="20" t="str">
        <f>_xll.RssMarket(A805,"決算発表日")</f>
        <v>2024/02/05</v>
      </c>
      <c r="Y805" s="26" t="str">
        <f>IF(C805&gt;_xll.RssMarket(A805,"年初来高値"),"○","×")</f>
        <v>○</v>
      </c>
      <c r="Z805" s="27" t="str">
        <f>IF(C805&lt;=_xll.RssMarket(A805,"年初来安値"),"○","×")</f>
        <v>×</v>
      </c>
    </row>
    <row r="806" spans="1:26" x14ac:dyDescent="0.25">
      <c r="A806" s="47">
        <v>7011</v>
      </c>
      <c r="B806" s="20" t="str">
        <f>_xll.RssMarket(A806,"銘柄名称")</f>
        <v>三菱重工業</v>
      </c>
      <c r="C806" s="21">
        <f>_xll.RssMarket(A806,"現在値")</f>
        <v>10360</v>
      </c>
      <c r="D806" s="20" t="str">
        <f>_xll.RssMarket(A806,"現在値詳細時刻")</f>
        <v>15:00:00</v>
      </c>
      <c r="E806" s="22">
        <f>_xll.RssMarket(A806,"前日比")</f>
        <v>-395</v>
      </c>
      <c r="F806" s="23">
        <f>_xll.RssMarket(A806,"前日比率")/100</f>
        <v>-3.6699999999999997E-2</v>
      </c>
      <c r="G806" s="24" t="str">
        <f>IFERROR(VLOOKUP(A806,取得元!$A$2:$F$501,2,FALSE),"-")</f>
        <v>-</v>
      </c>
      <c r="H806" s="24" t="str">
        <f>IFERROR(VLOOKUP(A806,取得元!$A$2:$F$501,3,FALSE),"-")</f>
        <v>-</v>
      </c>
      <c r="I806" s="24" t="str">
        <f>IFERROR(VLOOKUP(A806,取得元!$A$2:$F$501,4,FALSE),"-")</f>
        <v>-</v>
      </c>
      <c r="J806" s="5" t="str">
        <f>IFERROR(VLOOKUP(A806,取得元!$A$2:$F$501,5,FALSE),"-")</f>
        <v>-</v>
      </c>
      <c r="K806" s="25" t="str">
        <f>IFERROR(VLOOKUP(A806,取得元!$A$2:$F$501,6,FALSE)/100,"-")</f>
        <v>-</v>
      </c>
      <c r="L806" s="21">
        <f>_xll.RssMarket(A806,"始値")</f>
        <v>10800</v>
      </c>
      <c r="M806" s="4">
        <f t="shared" si="75"/>
        <v>-4.0740740740740744E-2</v>
      </c>
      <c r="N806" s="21">
        <f>_xll.RssMarket(A806,"高値")</f>
        <v>10800</v>
      </c>
      <c r="O806" s="4">
        <f t="shared" si="76"/>
        <v>-4.0740740740740744E-2</v>
      </c>
      <c r="P806" s="21">
        <f>_xll.RssMarket(A806,"安値")</f>
        <v>10145</v>
      </c>
      <c r="Q806" s="4">
        <f t="shared" si="77"/>
        <v>2.1192705766387432E-2</v>
      </c>
      <c r="R806" s="21">
        <f>_xll.RssMarket(A806,"後場始値")</f>
        <v>10280</v>
      </c>
      <c r="S806" s="25">
        <f t="shared" si="78"/>
        <v>7.7821011673151474E-3</v>
      </c>
      <c r="T806" s="7">
        <f>_xll.RssMarket(A806,"出来高加重平均")</f>
        <v>10339.242</v>
      </c>
      <c r="U806" s="4">
        <f t="shared" si="79"/>
        <v>2.0076906991828292E-3</v>
      </c>
      <c r="V806" s="21">
        <f>_xll.RssMarket(A806,"出来高")</f>
        <v>8547900</v>
      </c>
      <c r="W806" s="21">
        <f>_xll.RssMarket(A806,"売買代金")</f>
        <v>88378807</v>
      </c>
      <c r="X806" s="20" t="str">
        <f>_xll.RssMarket(A806,"決算発表日")</f>
        <v>2024/02/06</v>
      </c>
      <c r="Y806" s="26" t="str">
        <f>IF(C806&gt;_xll.RssMarket(A806,"年初来高値"),"○","×")</f>
        <v>×</v>
      </c>
      <c r="Z806" s="27" t="str">
        <f>IF(C806&lt;=_xll.RssMarket(A806,"年初来安値"),"○","×")</f>
        <v>×</v>
      </c>
    </row>
    <row r="807" spans="1:26" x14ac:dyDescent="0.25">
      <c r="A807" s="49">
        <v>7012</v>
      </c>
      <c r="B807" s="20" t="str">
        <f>_xll.RssMarket(A807,"銘柄名称")</f>
        <v>川崎重工業</v>
      </c>
      <c r="C807" s="21">
        <f>_xll.RssMarket(A807,"現在値")</f>
        <v>3507</v>
      </c>
      <c r="D807" s="20" t="str">
        <f>_xll.RssMarket(A807,"現在値詳細時刻")</f>
        <v>15:00:00</v>
      </c>
      <c r="E807" s="22">
        <f>_xll.RssMarket(A807,"前日比")</f>
        <v>81</v>
      </c>
      <c r="F807" s="23">
        <f>_xll.RssMarket(A807,"前日比率")/100</f>
        <v>2.3599999999999999E-2</v>
      </c>
      <c r="G807" s="24" t="str">
        <f>IFERROR(VLOOKUP(A807,取得元!$A$2:$F$501,2,FALSE),"-")</f>
        <v>-</v>
      </c>
      <c r="H807" s="24" t="str">
        <f>IFERROR(VLOOKUP(A807,取得元!$A$2:$F$501,3,FALSE),"-")</f>
        <v>-</v>
      </c>
      <c r="I807" s="24" t="str">
        <f>IFERROR(VLOOKUP(A807,取得元!$A$2:$F$501,4,FALSE),"-")</f>
        <v>-</v>
      </c>
      <c r="J807" s="5" t="str">
        <f>IFERROR(VLOOKUP(A807,取得元!$A$2:$F$501,5,FALSE),"-")</f>
        <v>-</v>
      </c>
      <c r="K807" s="25" t="str">
        <f>IFERROR(VLOOKUP(A807,取得元!$A$2:$F$501,6,FALSE)/100,"-")</f>
        <v>-</v>
      </c>
      <c r="L807" s="21">
        <f>_xll.RssMarket(A807,"始値")</f>
        <v>3401</v>
      </c>
      <c r="M807" s="4">
        <f t="shared" si="75"/>
        <v>3.1167303734195739E-2</v>
      </c>
      <c r="N807" s="21">
        <f>_xll.RssMarket(A807,"高値")</f>
        <v>3519</v>
      </c>
      <c r="O807" s="4">
        <f t="shared" si="76"/>
        <v>-3.4100596760443525E-3</v>
      </c>
      <c r="P807" s="21">
        <f>_xll.RssMarket(A807,"安値")</f>
        <v>3401</v>
      </c>
      <c r="Q807" s="4">
        <f t="shared" si="77"/>
        <v>3.1167303734195739E-2</v>
      </c>
      <c r="R807" s="21">
        <f>_xll.RssMarket(A807,"後場始値")</f>
        <v>3506</v>
      </c>
      <c r="S807" s="25">
        <f t="shared" si="78"/>
        <v>2.8522532800923095E-4</v>
      </c>
      <c r="T807" s="7">
        <f>_xll.RssMarket(A807,"出来高加重平均")</f>
        <v>3485.2184999999999</v>
      </c>
      <c r="U807" s="4">
        <f t="shared" si="79"/>
        <v>6.249679898118421E-3</v>
      </c>
      <c r="V807" s="21">
        <f>_xll.RssMarket(A807,"出来高")</f>
        <v>2001900</v>
      </c>
      <c r="W807" s="21">
        <f>_xll.RssMarket(A807,"売買代金")</f>
        <v>6977059</v>
      </c>
      <c r="X807" s="20" t="str">
        <f>_xll.RssMarket(A807,"決算発表日")</f>
        <v>2024/02/09</v>
      </c>
      <c r="Y807" s="26" t="str">
        <f>IF(C807&gt;_xll.RssMarket(A807,"年初来高値"),"○","×")</f>
        <v>×</v>
      </c>
      <c r="Z807" s="27" t="str">
        <f>IF(C807&lt;=_xll.RssMarket(A807,"年初来安値"),"○","×")</f>
        <v>×</v>
      </c>
    </row>
    <row r="808" spans="1:26" x14ac:dyDescent="0.25">
      <c r="A808" s="47">
        <v>7013</v>
      </c>
      <c r="B808" s="20" t="str">
        <f>_xll.RssMarket(A808,"銘柄名称")</f>
        <v>ＩＨＩ</v>
      </c>
      <c r="C808" s="21">
        <f>_xll.RssMarket(A808,"現在値")</f>
        <v>2754.5</v>
      </c>
      <c r="D808" s="20" t="str">
        <f>_xll.RssMarket(A808,"現在値詳細時刻")</f>
        <v>15:00:00</v>
      </c>
      <c r="E808" s="22">
        <f>_xll.RssMarket(A808,"前日比")</f>
        <v>-4.5</v>
      </c>
      <c r="F808" s="23">
        <f>_xll.RssMarket(A808,"前日比率")/100</f>
        <v>-1.6000000000000001E-3</v>
      </c>
      <c r="G808" s="24" t="str">
        <f>IFERROR(VLOOKUP(A808,取得元!$A$2:$F$501,2,FALSE),"-")</f>
        <v>-</v>
      </c>
      <c r="H808" s="24" t="str">
        <f>IFERROR(VLOOKUP(A808,取得元!$A$2:$F$501,3,FALSE),"-")</f>
        <v>-</v>
      </c>
      <c r="I808" s="24" t="str">
        <f>IFERROR(VLOOKUP(A808,取得元!$A$2:$F$501,4,FALSE),"-")</f>
        <v>-</v>
      </c>
      <c r="J808" s="5" t="str">
        <f>IFERROR(VLOOKUP(A808,取得元!$A$2:$F$501,5,FALSE),"-")</f>
        <v>-</v>
      </c>
      <c r="K808" s="25" t="str">
        <f>IFERROR(VLOOKUP(A808,取得元!$A$2:$F$501,6,FALSE)/100,"-")</f>
        <v>-</v>
      </c>
      <c r="L808" s="21">
        <f>_xll.RssMarket(A808,"始値")</f>
        <v>2761</v>
      </c>
      <c r="M808" s="4">
        <f t="shared" si="75"/>
        <v>-2.3542194856935872E-3</v>
      </c>
      <c r="N808" s="21">
        <f>_xll.RssMarket(A808,"高値")</f>
        <v>2794.5</v>
      </c>
      <c r="O808" s="4">
        <f t="shared" si="76"/>
        <v>-1.4313830738951538E-2</v>
      </c>
      <c r="P808" s="21">
        <f>_xll.RssMarket(A808,"安値")</f>
        <v>2732</v>
      </c>
      <c r="Q808" s="4">
        <f t="shared" si="77"/>
        <v>8.2357247437774284E-3</v>
      </c>
      <c r="R808" s="21">
        <f>_xll.RssMarket(A808,"後場始値")</f>
        <v>2764</v>
      </c>
      <c r="S808" s="25">
        <f t="shared" si="78"/>
        <v>-3.4370477568741453E-3</v>
      </c>
      <c r="T808" s="7">
        <f>_xll.RssMarket(A808,"出来高加重平均")</f>
        <v>2763.0916999999999</v>
      </c>
      <c r="U808" s="4">
        <f t="shared" si="79"/>
        <v>-3.1094516334727595E-3</v>
      </c>
      <c r="V808" s="21">
        <f>_xll.RssMarket(A808,"出来高")</f>
        <v>2050000</v>
      </c>
      <c r="W808" s="21">
        <f>_xll.RssMarket(A808,"売買代金")</f>
        <v>5664338</v>
      </c>
      <c r="X808" s="20" t="str">
        <f>_xll.RssMarket(A808,"決算発表日")</f>
        <v>2024/02/09</v>
      </c>
      <c r="Y808" s="26" t="str">
        <f>IF(C808&gt;_xll.RssMarket(A808,"年初来高値"),"○","×")</f>
        <v>×</v>
      </c>
      <c r="Z808" s="27" t="str">
        <f>IF(C808&lt;=_xll.RssMarket(A808,"年初来安値"),"○","×")</f>
        <v>×</v>
      </c>
    </row>
    <row r="809" spans="1:26" x14ac:dyDescent="0.25">
      <c r="A809" s="49">
        <v>7014</v>
      </c>
      <c r="B809" s="20" t="str">
        <f>_xll.RssMarket(A809,"銘柄名称")</f>
        <v>名村造船所</v>
      </c>
      <c r="C809" s="21">
        <f>_xll.RssMarket(A809,"現在値")</f>
        <v>1350</v>
      </c>
      <c r="D809" s="20" t="str">
        <f>_xll.RssMarket(A809,"現在値詳細時刻")</f>
        <v>15:00:00</v>
      </c>
      <c r="E809" s="22">
        <f>_xll.RssMarket(A809,"前日比")</f>
        <v>36</v>
      </c>
      <c r="F809" s="23">
        <f>_xll.RssMarket(A809,"前日比率")/100</f>
        <v>2.7400000000000001E-2</v>
      </c>
      <c r="G809" s="24" t="str">
        <f>IFERROR(VLOOKUP(A809,取得元!$A$2:$F$501,2,FALSE),"-")</f>
        <v>-</v>
      </c>
      <c r="H809" s="24" t="str">
        <f>IFERROR(VLOOKUP(A809,取得元!$A$2:$F$501,3,FALSE),"-")</f>
        <v>-</v>
      </c>
      <c r="I809" s="24" t="str">
        <f>IFERROR(VLOOKUP(A809,取得元!$A$2:$F$501,4,FALSE),"-")</f>
        <v>-</v>
      </c>
      <c r="J809" s="5" t="str">
        <f>IFERROR(VLOOKUP(A809,取得元!$A$2:$F$501,5,FALSE),"-")</f>
        <v>-</v>
      </c>
      <c r="K809" s="25" t="str">
        <f>IFERROR(VLOOKUP(A809,取得元!$A$2:$F$501,6,FALSE)/100,"-")</f>
        <v>-</v>
      </c>
      <c r="L809" s="21">
        <f>_xll.RssMarket(A809,"始値")</f>
        <v>1312</v>
      </c>
      <c r="M809" s="4">
        <f t="shared" si="75"/>
        <v>2.8963414634146423E-2</v>
      </c>
      <c r="N809" s="21">
        <f>_xll.RssMarket(A809,"高値")</f>
        <v>1355</v>
      </c>
      <c r="O809" s="4">
        <f t="shared" si="76"/>
        <v>-3.6900369003689537E-3</v>
      </c>
      <c r="P809" s="21">
        <f>_xll.RssMarket(A809,"安値")</f>
        <v>1293</v>
      </c>
      <c r="Q809" s="4">
        <f t="shared" si="77"/>
        <v>4.4083526682134666E-2</v>
      </c>
      <c r="R809" s="21">
        <f>_xll.RssMarket(A809,"後場始値")</f>
        <v>1321</v>
      </c>
      <c r="S809" s="25">
        <f t="shared" si="78"/>
        <v>2.195306585919754E-2</v>
      </c>
      <c r="T809" s="7">
        <f>_xll.RssMarket(A809,"出来高加重平均")</f>
        <v>1326.8405</v>
      </c>
      <c r="U809" s="4">
        <f t="shared" si="79"/>
        <v>1.7454622465925551E-2</v>
      </c>
      <c r="V809" s="21">
        <f>_xll.RssMarket(A809,"出来高")</f>
        <v>7026800</v>
      </c>
      <c r="W809" s="21">
        <f>_xll.RssMarket(A809,"売買代金")</f>
        <v>9323443</v>
      </c>
      <c r="X809" s="20" t="str">
        <f>_xll.RssMarket(A809,"決算発表日")</f>
        <v>2024/02/14</v>
      </c>
      <c r="Y809" s="26" t="str">
        <f>IF(C809&gt;_xll.RssMarket(A809,"年初来高値"),"○","×")</f>
        <v>×</v>
      </c>
      <c r="Z809" s="27" t="str">
        <f>IF(C809&lt;=_xll.RssMarket(A809,"年初来安値"),"○","×")</f>
        <v>×</v>
      </c>
    </row>
    <row r="810" spans="1:26" x14ac:dyDescent="0.25">
      <c r="A810" s="47">
        <v>7031</v>
      </c>
      <c r="B810" s="20" t="str">
        <f>_xll.RssMarket(A810,"銘柄名称")</f>
        <v>インバウンドテック</v>
      </c>
      <c r="C810" s="21">
        <f>_xll.RssMarket(A810,"現在値")</f>
        <v>1223</v>
      </c>
      <c r="D810" s="20" t="str">
        <f>_xll.RssMarket(A810,"現在値詳細時刻")</f>
        <v>15:00:00</v>
      </c>
      <c r="E810" s="22">
        <f>_xll.RssMarket(A810,"前日比")</f>
        <v>-10</v>
      </c>
      <c r="F810" s="23">
        <f>_xll.RssMarket(A810,"前日比率")/100</f>
        <v>-8.1000000000000013E-3</v>
      </c>
      <c r="G810" s="24" t="str">
        <f>IFERROR(VLOOKUP(A810,取得元!$A$2:$F$501,2,FALSE),"-")</f>
        <v>-</v>
      </c>
      <c r="H810" s="24" t="str">
        <f>IFERROR(VLOOKUP(A810,取得元!$A$2:$F$501,3,FALSE),"-")</f>
        <v>-</v>
      </c>
      <c r="I810" s="24" t="str">
        <f>IFERROR(VLOOKUP(A810,取得元!$A$2:$F$501,4,FALSE),"-")</f>
        <v>-</v>
      </c>
      <c r="J810" s="5" t="str">
        <f>IFERROR(VLOOKUP(A810,取得元!$A$2:$F$501,5,FALSE),"-")</f>
        <v>-</v>
      </c>
      <c r="K810" s="25" t="str">
        <f>IFERROR(VLOOKUP(A810,取得元!$A$2:$F$501,6,FALSE)/100,"-")</f>
        <v>-</v>
      </c>
      <c r="L810" s="21">
        <f>_xll.RssMarket(A810,"始値")</f>
        <v>1215</v>
      </c>
      <c r="M810" s="4">
        <f t="shared" si="75"/>
        <v>6.5843621399177543E-3</v>
      </c>
      <c r="N810" s="21">
        <f>_xll.RssMarket(A810,"高値")</f>
        <v>1233</v>
      </c>
      <c r="O810" s="4">
        <f t="shared" si="76"/>
        <v>-8.1103000811030279E-3</v>
      </c>
      <c r="P810" s="21">
        <f>_xll.RssMarket(A810,"安値")</f>
        <v>1207</v>
      </c>
      <c r="Q810" s="4">
        <f t="shared" si="77"/>
        <v>1.3256006628003414E-2</v>
      </c>
      <c r="R810" s="21">
        <f>_xll.RssMarket(A810,"後場始値")</f>
        <v>1221</v>
      </c>
      <c r="S810" s="25">
        <f t="shared" si="78"/>
        <v>1.6380016380015405E-3</v>
      </c>
      <c r="T810" s="7">
        <f>_xll.RssMarket(A810,"出来高加重平均")</f>
        <v>1218.3783000000001</v>
      </c>
      <c r="U810" s="4">
        <f t="shared" si="79"/>
        <v>3.7933210071123824E-3</v>
      </c>
      <c r="V810" s="21">
        <f>_xll.RssMarket(A810,"出来高")</f>
        <v>3700</v>
      </c>
      <c r="W810" s="21">
        <f>_xll.RssMarket(A810,"売買代金")</f>
        <v>4508</v>
      </c>
      <c r="X810" s="20" t="str">
        <f>_xll.RssMarket(A810,"決算発表日")</f>
        <v>2024/02/14</v>
      </c>
      <c r="Y810" s="26" t="str">
        <f>IF(C810&gt;_xll.RssMarket(A810,"年初来高値"),"○","×")</f>
        <v>×</v>
      </c>
      <c r="Z810" s="27" t="str">
        <f>IF(C810&lt;=_xll.RssMarket(A810,"年初来安値"),"○","×")</f>
        <v>×</v>
      </c>
    </row>
    <row r="811" spans="1:26" x14ac:dyDescent="0.25">
      <c r="A811" s="49">
        <v>7037</v>
      </c>
      <c r="B811" s="20" t="str">
        <f>_xll.RssMarket(A811,"銘柄名称")</f>
        <v>テノ．ホールディングス</v>
      </c>
      <c r="C811" s="21">
        <f>_xll.RssMarket(A811,"現在値")</f>
        <v>518</v>
      </c>
      <c r="D811" s="20" t="str">
        <f>_xll.RssMarket(A811,"現在値詳細時刻")</f>
        <v>15:00:00</v>
      </c>
      <c r="E811" s="22">
        <f>_xll.RssMarket(A811,"前日比")</f>
        <v>-3</v>
      </c>
      <c r="F811" s="23">
        <f>_xll.RssMarket(A811,"前日比率")/100</f>
        <v>-5.7999999999999996E-3</v>
      </c>
      <c r="G811" s="24" t="str">
        <f>IFERROR(VLOOKUP(A811,取得元!$A$2:$F$501,2,FALSE),"-")</f>
        <v>-</v>
      </c>
      <c r="H811" s="24" t="str">
        <f>IFERROR(VLOOKUP(A811,取得元!$A$2:$F$501,3,FALSE),"-")</f>
        <v>-</v>
      </c>
      <c r="I811" s="24" t="str">
        <f>IFERROR(VLOOKUP(A811,取得元!$A$2:$F$501,4,FALSE),"-")</f>
        <v>-</v>
      </c>
      <c r="J811" s="5" t="str">
        <f>IFERROR(VLOOKUP(A811,取得元!$A$2:$F$501,5,FALSE),"-")</f>
        <v>-</v>
      </c>
      <c r="K811" s="25" t="str">
        <f>IFERROR(VLOOKUP(A811,取得元!$A$2:$F$501,6,FALSE)/100,"-")</f>
        <v>-</v>
      </c>
      <c r="L811" s="21">
        <f>_xll.RssMarket(A811,"始値")</f>
        <v>521</v>
      </c>
      <c r="M811" s="4">
        <f t="shared" si="75"/>
        <v>-5.7581573896353655E-3</v>
      </c>
      <c r="N811" s="21">
        <f>_xll.RssMarket(A811,"高値")</f>
        <v>529</v>
      </c>
      <c r="O811" s="4">
        <f t="shared" si="76"/>
        <v>-2.0793950850661602E-2</v>
      </c>
      <c r="P811" s="21">
        <f>_xll.RssMarket(A811,"安値")</f>
        <v>514</v>
      </c>
      <c r="Q811" s="4">
        <f t="shared" si="77"/>
        <v>7.7821011673151474E-3</v>
      </c>
      <c r="R811" s="21">
        <f>_xll.RssMarket(A811,"後場始値")</f>
        <v>516</v>
      </c>
      <c r="S811" s="25">
        <f t="shared" si="78"/>
        <v>3.8759689922480689E-3</v>
      </c>
      <c r="T811" s="7">
        <f>_xll.RssMarket(A811,"出来高加重平均")</f>
        <v>520</v>
      </c>
      <c r="U811" s="4">
        <f t="shared" si="79"/>
        <v>-3.8461538461538325E-3</v>
      </c>
      <c r="V811" s="21">
        <f>_xll.RssMarket(A811,"出来高")</f>
        <v>7200</v>
      </c>
      <c r="W811" s="21">
        <f>_xll.RssMarket(A811,"売買代金")</f>
        <v>3744</v>
      </c>
      <c r="X811" s="20" t="str">
        <f>_xll.RssMarket(A811,"決算発表日")</f>
        <v>2024/02/14</v>
      </c>
      <c r="Y811" s="26" t="str">
        <f>IF(C811&gt;_xll.RssMarket(A811,"年初来高値"),"○","×")</f>
        <v>×</v>
      </c>
      <c r="Z811" s="27" t="str">
        <f>IF(C811&lt;=_xll.RssMarket(A811,"年初来安値"),"○","×")</f>
        <v>×</v>
      </c>
    </row>
    <row r="812" spans="1:26" x14ac:dyDescent="0.25">
      <c r="A812" s="47">
        <v>7041</v>
      </c>
      <c r="B812" s="20" t="str">
        <f>_xll.RssMarket(A812,"銘柄名称")</f>
        <v>ＣＲＧホールディングス</v>
      </c>
      <c r="C812" s="21">
        <f>_xll.RssMarket(A812,"現在値")</f>
        <v>524</v>
      </c>
      <c r="D812" s="20" t="str">
        <f>_xll.RssMarket(A812,"現在値詳細時刻")</f>
        <v>15:00:00</v>
      </c>
      <c r="E812" s="22">
        <f>_xll.RssMarket(A812,"前日比")</f>
        <v>4</v>
      </c>
      <c r="F812" s="23">
        <f>_xll.RssMarket(A812,"前日比率")/100</f>
        <v>7.7000000000000002E-3</v>
      </c>
      <c r="G812" s="24" t="str">
        <f>IFERROR(VLOOKUP(A812,取得元!$A$2:$F$501,2,FALSE),"-")</f>
        <v>-</v>
      </c>
      <c r="H812" s="24" t="str">
        <f>IFERROR(VLOOKUP(A812,取得元!$A$2:$F$501,3,FALSE),"-")</f>
        <v>-</v>
      </c>
      <c r="I812" s="24" t="str">
        <f>IFERROR(VLOOKUP(A812,取得元!$A$2:$F$501,4,FALSE),"-")</f>
        <v>-</v>
      </c>
      <c r="J812" s="5" t="str">
        <f>IFERROR(VLOOKUP(A812,取得元!$A$2:$F$501,5,FALSE),"-")</f>
        <v>-</v>
      </c>
      <c r="K812" s="25" t="str">
        <f>IFERROR(VLOOKUP(A812,取得元!$A$2:$F$501,6,FALSE)/100,"-")</f>
        <v>-</v>
      </c>
      <c r="L812" s="21">
        <f>_xll.RssMarket(A812,"始値")</f>
        <v>520</v>
      </c>
      <c r="M812" s="4">
        <f t="shared" si="75"/>
        <v>7.692307692307665E-3</v>
      </c>
      <c r="N812" s="21">
        <f>_xll.RssMarket(A812,"高値")</f>
        <v>530</v>
      </c>
      <c r="O812" s="4">
        <f t="shared" si="76"/>
        <v>-1.132075471698113E-2</v>
      </c>
      <c r="P812" s="21">
        <f>_xll.RssMarket(A812,"安値")</f>
        <v>512</v>
      </c>
      <c r="Q812" s="4">
        <f t="shared" si="77"/>
        <v>2.34375E-2</v>
      </c>
      <c r="R812" s="21">
        <f>_xll.RssMarket(A812,"後場始値")</f>
        <v>518</v>
      </c>
      <c r="S812" s="25">
        <f t="shared" si="78"/>
        <v>1.158301158301156E-2</v>
      </c>
      <c r="T812" s="7">
        <f>_xll.RssMarket(A812,"出来高加重平均")</f>
        <v>519.928</v>
      </c>
      <c r="U812" s="4">
        <f t="shared" si="79"/>
        <v>7.8318536412733675E-3</v>
      </c>
      <c r="V812" s="21">
        <f>_xll.RssMarket(A812,"出来高")</f>
        <v>13900</v>
      </c>
      <c r="W812" s="21">
        <f>_xll.RssMarket(A812,"売買代金")</f>
        <v>7227</v>
      </c>
      <c r="X812" s="20" t="str">
        <f>_xll.RssMarket(A812,"決算発表日")</f>
        <v>2024/02/14</v>
      </c>
      <c r="Y812" s="26" t="str">
        <f>IF(C812&gt;_xll.RssMarket(A812,"年初来高値"),"○","×")</f>
        <v>×</v>
      </c>
      <c r="Z812" s="27" t="str">
        <f>IF(C812&lt;=_xll.RssMarket(A812,"年初来安値"),"○","×")</f>
        <v>×</v>
      </c>
    </row>
    <row r="813" spans="1:26" x14ac:dyDescent="0.25">
      <c r="A813" s="49">
        <v>7043</v>
      </c>
      <c r="B813" s="20" t="str">
        <f>_xll.RssMarket(A813,"銘柄名称")</f>
        <v>アルー</v>
      </c>
      <c r="C813" s="21">
        <f>_xll.RssMarket(A813,"現在値")</f>
        <v>907</v>
      </c>
      <c r="D813" s="20" t="str">
        <f>_xll.RssMarket(A813,"現在値詳細時刻")</f>
        <v>15:00:00</v>
      </c>
      <c r="E813" s="22">
        <f>_xll.RssMarket(A813,"前日比")</f>
        <v>-44</v>
      </c>
      <c r="F813" s="23">
        <f>_xll.RssMarket(A813,"前日比率")/100</f>
        <v>-4.6300000000000001E-2</v>
      </c>
      <c r="G813" s="24" t="str">
        <f>IFERROR(VLOOKUP(A813,取得元!$A$2:$F$501,2,FALSE),"-")</f>
        <v>-</v>
      </c>
      <c r="H813" s="24" t="str">
        <f>IFERROR(VLOOKUP(A813,取得元!$A$2:$F$501,3,FALSE),"-")</f>
        <v>-</v>
      </c>
      <c r="I813" s="24" t="str">
        <f>IFERROR(VLOOKUP(A813,取得元!$A$2:$F$501,4,FALSE),"-")</f>
        <v>-</v>
      </c>
      <c r="J813" s="5" t="str">
        <f>IFERROR(VLOOKUP(A813,取得元!$A$2:$F$501,5,FALSE),"-")</f>
        <v>-</v>
      </c>
      <c r="K813" s="25" t="str">
        <f>IFERROR(VLOOKUP(A813,取得元!$A$2:$F$501,6,FALSE)/100,"-")</f>
        <v>-</v>
      </c>
      <c r="L813" s="21">
        <f>_xll.RssMarket(A813,"始値")</f>
        <v>950</v>
      </c>
      <c r="M813" s="4">
        <f t="shared" si="75"/>
        <v>-4.5263157894736894E-2</v>
      </c>
      <c r="N813" s="21">
        <f>_xll.RssMarket(A813,"高値")</f>
        <v>962</v>
      </c>
      <c r="O813" s="4">
        <f t="shared" si="76"/>
        <v>-5.7172557172557203E-2</v>
      </c>
      <c r="P813" s="21">
        <f>_xll.RssMarket(A813,"安値")</f>
        <v>887</v>
      </c>
      <c r="Q813" s="4">
        <f t="shared" si="77"/>
        <v>2.2547914317925688E-2</v>
      </c>
      <c r="R813" s="21">
        <f>_xll.RssMarket(A813,"後場始値")</f>
        <v>897</v>
      </c>
      <c r="S813" s="25">
        <f t="shared" si="78"/>
        <v>1.1148272017837302E-2</v>
      </c>
      <c r="T813" s="7">
        <f>_xll.RssMarket(A813,"出来高加重平均")</f>
        <v>919.12289999999996</v>
      </c>
      <c r="U813" s="4">
        <f t="shared" si="79"/>
        <v>-1.3189639818570464E-2</v>
      </c>
      <c r="V813" s="21">
        <f>_xll.RssMarket(A813,"出来高")</f>
        <v>110600</v>
      </c>
      <c r="W813" s="21">
        <f>_xll.RssMarket(A813,"売買代金")</f>
        <v>101655</v>
      </c>
      <c r="X813" s="20" t="str">
        <f>_xll.RssMarket(A813,"決算発表日")</f>
        <v>2024/02/09</v>
      </c>
      <c r="Y813" s="26" t="str">
        <f>IF(C813&gt;_xll.RssMarket(A813,"年初来高値"),"○","×")</f>
        <v>×</v>
      </c>
      <c r="Z813" s="27" t="str">
        <f>IF(C813&lt;=_xll.RssMarket(A813,"年初来安値"),"○","×")</f>
        <v>×</v>
      </c>
    </row>
    <row r="814" spans="1:26" x14ac:dyDescent="0.25">
      <c r="A814" s="47">
        <v>7044</v>
      </c>
      <c r="B814" s="20" t="str">
        <f>_xll.RssMarket(A814,"銘柄名称")</f>
        <v>ピアラ</v>
      </c>
      <c r="C814" s="21">
        <f>_xll.RssMarket(A814,"現在値")</f>
        <v>314</v>
      </c>
      <c r="D814" s="20" t="str">
        <f>_xll.RssMarket(A814,"現在値詳細時刻")</f>
        <v>15:00:00</v>
      </c>
      <c r="E814" s="22">
        <f>_xll.RssMarket(A814,"前日比")</f>
        <v>-8</v>
      </c>
      <c r="F814" s="23">
        <f>_xll.RssMarket(A814,"前日比率")/100</f>
        <v>-2.4799999999999999E-2</v>
      </c>
      <c r="G814" s="24" t="str">
        <f>IFERROR(VLOOKUP(A814,取得元!$A$2:$F$501,2,FALSE),"-")</f>
        <v>-</v>
      </c>
      <c r="H814" s="24" t="str">
        <f>IFERROR(VLOOKUP(A814,取得元!$A$2:$F$501,3,FALSE),"-")</f>
        <v>-</v>
      </c>
      <c r="I814" s="24" t="str">
        <f>IFERROR(VLOOKUP(A814,取得元!$A$2:$F$501,4,FALSE),"-")</f>
        <v>-</v>
      </c>
      <c r="J814" s="5" t="str">
        <f>IFERROR(VLOOKUP(A814,取得元!$A$2:$F$501,5,FALSE),"-")</f>
        <v>-</v>
      </c>
      <c r="K814" s="25" t="str">
        <f>IFERROR(VLOOKUP(A814,取得元!$A$2:$F$501,6,FALSE)/100,"-")</f>
        <v>-</v>
      </c>
      <c r="L814" s="21">
        <f>_xll.RssMarket(A814,"始値")</f>
        <v>318</v>
      </c>
      <c r="M814" s="4">
        <f t="shared" si="75"/>
        <v>-1.2578616352201255E-2</v>
      </c>
      <c r="N814" s="21">
        <f>_xll.RssMarket(A814,"高値")</f>
        <v>328</v>
      </c>
      <c r="O814" s="4">
        <f t="shared" si="76"/>
        <v>-4.2682926829268331E-2</v>
      </c>
      <c r="P814" s="21">
        <f>_xll.RssMarket(A814,"安値")</f>
        <v>311</v>
      </c>
      <c r="Q814" s="4">
        <f t="shared" si="77"/>
        <v>9.6463022508037621E-3</v>
      </c>
      <c r="R814" s="21">
        <f>_xll.RssMarket(A814,"後場始値")</f>
        <v>315</v>
      </c>
      <c r="S814" s="25">
        <f t="shared" si="78"/>
        <v>-3.1746031746031633E-3</v>
      </c>
      <c r="T814" s="7">
        <f>_xll.RssMarket(A814,"出来高加重平均")</f>
        <v>316.10500000000002</v>
      </c>
      <c r="U814" s="4">
        <f t="shared" si="79"/>
        <v>-6.6591797029468269E-3</v>
      </c>
      <c r="V814" s="21">
        <f>_xll.RssMarket(A814,"出来高")</f>
        <v>209500</v>
      </c>
      <c r="W814" s="21">
        <f>_xll.RssMarket(A814,"売買代金")</f>
        <v>66224</v>
      </c>
      <c r="X814" s="20" t="str">
        <f>_xll.RssMarket(A814,"決算発表日")</f>
        <v>2024/02/13</v>
      </c>
      <c r="Y814" s="26" t="str">
        <f>IF(C814&gt;_xll.RssMarket(A814,"年初来高値"),"○","×")</f>
        <v>×</v>
      </c>
      <c r="Z814" s="27" t="str">
        <f>IF(C814&lt;=_xll.RssMarket(A814,"年初来安値"),"○","×")</f>
        <v>×</v>
      </c>
    </row>
    <row r="815" spans="1:26" x14ac:dyDescent="0.25">
      <c r="A815" s="49">
        <v>7047</v>
      </c>
      <c r="B815" s="20" t="str">
        <f>_xll.RssMarket(A815,"銘柄名称")</f>
        <v>ポート</v>
      </c>
      <c r="C815" s="21">
        <f>_xll.RssMarket(A815,"現在値")</f>
        <v>2490</v>
      </c>
      <c r="D815" s="20" t="str">
        <f>_xll.RssMarket(A815,"現在値詳細時刻")</f>
        <v>15:00:00</v>
      </c>
      <c r="E815" s="22">
        <f>_xll.RssMarket(A815,"前日比")</f>
        <v>-29</v>
      </c>
      <c r="F815" s="23">
        <f>_xll.RssMarket(A815,"前日比率")/100</f>
        <v>-1.15E-2</v>
      </c>
      <c r="G815" s="24" t="str">
        <f>IFERROR(VLOOKUP(A815,取得元!$A$2:$F$501,2,FALSE),"-")</f>
        <v>-</v>
      </c>
      <c r="H815" s="24" t="str">
        <f>IFERROR(VLOOKUP(A815,取得元!$A$2:$F$501,3,FALSE),"-")</f>
        <v>-</v>
      </c>
      <c r="I815" s="24" t="str">
        <f>IFERROR(VLOOKUP(A815,取得元!$A$2:$F$501,4,FALSE),"-")</f>
        <v>-</v>
      </c>
      <c r="J815" s="5" t="str">
        <f>IFERROR(VLOOKUP(A815,取得元!$A$2:$F$501,5,FALSE),"-")</f>
        <v>-</v>
      </c>
      <c r="K815" s="25" t="str">
        <f>IFERROR(VLOOKUP(A815,取得元!$A$2:$F$501,6,FALSE)/100,"-")</f>
        <v>-</v>
      </c>
      <c r="L815" s="21">
        <f>_xll.RssMarket(A815,"始値")</f>
        <v>2493</v>
      </c>
      <c r="M815" s="4">
        <f t="shared" si="75"/>
        <v>-1.2033694344163459E-3</v>
      </c>
      <c r="N815" s="21">
        <f>_xll.RssMarket(A815,"高値")</f>
        <v>2506</v>
      </c>
      <c r="O815" s="4">
        <f t="shared" si="76"/>
        <v>-6.3846767757381739E-3</v>
      </c>
      <c r="P815" s="21">
        <f>_xll.RssMarket(A815,"安値")</f>
        <v>2433</v>
      </c>
      <c r="Q815" s="4">
        <f t="shared" si="77"/>
        <v>2.3427866831072786E-2</v>
      </c>
      <c r="R815" s="21">
        <f>_xll.RssMarket(A815,"後場始値")</f>
        <v>2485</v>
      </c>
      <c r="S815" s="25">
        <f t="shared" si="78"/>
        <v>2.012072434607548E-3</v>
      </c>
      <c r="T815" s="7">
        <f>_xll.RssMarket(A815,"出来高加重平均")</f>
        <v>2471.6873999999998</v>
      </c>
      <c r="U815" s="4">
        <f t="shared" si="79"/>
        <v>7.4089466167930329E-3</v>
      </c>
      <c r="V815" s="21">
        <f>_xll.RssMarket(A815,"出来高")</f>
        <v>128600</v>
      </c>
      <c r="W815" s="21">
        <f>_xll.RssMarket(A815,"売買代金")</f>
        <v>317859</v>
      </c>
      <c r="X815" s="20" t="str">
        <f>_xll.RssMarket(A815,"決算発表日")</f>
        <v>2024/02/13</v>
      </c>
      <c r="Y815" s="26" t="str">
        <f>IF(C815&gt;_xll.RssMarket(A815,"年初来高値"),"○","×")</f>
        <v>×</v>
      </c>
      <c r="Z815" s="27" t="str">
        <f>IF(C815&lt;=_xll.RssMarket(A815,"年初来安値"),"○","×")</f>
        <v>×</v>
      </c>
    </row>
    <row r="816" spans="1:26" x14ac:dyDescent="0.25">
      <c r="A816" s="47">
        <v>7048</v>
      </c>
      <c r="B816" s="20" t="str">
        <f>_xll.RssMarket(A816,"銘柄名称")</f>
        <v>ベルトラ</v>
      </c>
      <c r="C816" s="21">
        <f>_xll.RssMarket(A816,"現在値")</f>
        <v>591</v>
      </c>
      <c r="D816" s="20" t="str">
        <f>_xll.RssMarket(A816,"現在値詳細時刻")</f>
        <v>15:00:00</v>
      </c>
      <c r="E816" s="22">
        <f>_xll.RssMarket(A816,"前日比")</f>
        <v>2</v>
      </c>
      <c r="F816" s="23">
        <f>_xll.RssMarket(A816,"前日比率")/100</f>
        <v>3.4000000000000002E-3</v>
      </c>
      <c r="G816" s="24" t="str">
        <f>IFERROR(VLOOKUP(A816,取得元!$A$2:$F$501,2,FALSE),"-")</f>
        <v>-</v>
      </c>
      <c r="H816" s="24" t="str">
        <f>IFERROR(VLOOKUP(A816,取得元!$A$2:$F$501,3,FALSE),"-")</f>
        <v>-</v>
      </c>
      <c r="I816" s="24" t="str">
        <f>IFERROR(VLOOKUP(A816,取得元!$A$2:$F$501,4,FALSE),"-")</f>
        <v>-</v>
      </c>
      <c r="J816" s="5" t="str">
        <f>IFERROR(VLOOKUP(A816,取得元!$A$2:$F$501,5,FALSE),"-")</f>
        <v>-</v>
      </c>
      <c r="K816" s="25" t="str">
        <f>IFERROR(VLOOKUP(A816,取得元!$A$2:$F$501,6,FALSE)/100,"-")</f>
        <v>-</v>
      </c>
      <c r="L816" s="21">
        <f>_xll.RssMarket(A816,"始値")</f>
        <v>596</v>
      </c>
      <c r="M816" s="4">
        <f t="shared" si="75"/>
        <v>-8.3892617449664586E-3</v>
      </c>
      <c r="N816" s="21">
        <f>_xll.RssMarket(A816,"高値")</f>
        <v>596</v>
      </c>
      <c r="O816" s="4">
        <f t="shared" si="76"/>
        <v>-8.3892617449664586E-3</v>
      </c>
      <c r="P816" s="21">
        <f>_xll.RssMarket(A816,"安値")</f>
        <v>583</v>
      </c>
      <c r="Q816" s="4">
        <f t="shared" si="77"/>
        <v>1.3722126929674117E-2</v>
      </c>
      <c r="R816" s="21">
        <f>_xll.RssMarket(A816,"後場始値")</f>
        <v>592</v>
      </c>
      <c r="S816" s="25">
        <f t="shared" si="78"/>
        <v>-1.6891891891891442E-3</v>
      </c>
      <c r="T816" s="7">
        <f>_xll.RssMarket(A816,"出来高加重平均")</f>
        <v>590.55719999999997</v>
      </c>
      <c r="U816" s="4">
        <f t="shared" si="79"/>
        <v>7.4980035803484668E-4</v>
      </c>
      <c r="V816" s="21">
        <f>_xll.RssMarket(A816,"出来高")</f>
        <v>256600</v>
      </c>
      <c r="W816" s="21">
        <f>_xll.RssMarket(A816,"売買代金")</f>
        <v>151537</v>
      </c>
      <c r="X816" s="20" t="str">
        <f>_xll.RssMarket(A816,"決算発表日")</f>
        <v>2024/02/14</v>
      </c>
      <c r="Y816" s="26" t="str">
        <f>IF(C816&gt;_xll.RssMarket(A816,"年初来高値"),"○","×")</f>
        <v>×</v>
      </c>
      <c r="Z816" s="27" t="str">
        <f>IF(C816&lt;=_xll.RssMarket(A816,"年初来安値"),"○","×")</f>
        <v>×</v>
      </c>
    </row>
    <row r="817" spans="1:26" x14ac:dyDescent="0.25">
      <c r="A817" s="49">
        <v>7049</v>
      </c>
      <c r="B817" s="20" t="str">
        <f>_xll.RssMarket(A817,"銘柄名称")</f>
        <v>識学</v>
      </c>
      <c r="C817" s="21">
        <f>_xll.RssMarket(A817,"現在値")</f>
        <v>535</v>
      </c>
      <c r="D817" s="20" t="str">
        <f>_xll.RssMarket(A817,"現在値詳細時刻")</f>
        <v>15:00:00</v>
      </c>
      <c r="E817" s="22">
        <f>_xll.RssMarket(A817,"前日比")</f>
        <v>0</v>
      </c>
      <c r="F817" s="23">
        <f>_xll.RssMarket(A817,"前日比率")/100</f>
        <v>0</v>
      </c>
      <c r="G817" s="24" t="str">
        <f>IFERROR(VLOOKUP(A817,取得元!$A$2:$F$501,2,FALSE),"-")</f>
        <v>-</v>
      </c>
      <c r="H817" s="24" t="str">
        <f>IFERROR(VLOOKUP(A817,取得元!$A$2:$F$501,3,FALSE),"-")</f>
        <v>-</v>
      </c>
      <c r="I817" s="24" t="str">
        <f>IFERROR(VLOOKUP(A817,取得元!$A$2:$F$501,4,FALSE),"-")</f>
        <v>-</v>
      </c>
      <c r="J817" s="5" t="str">
        <f>IFERROR(VLOOKUP(A817,取得元!$A$2:$F$501,5,FALSE),"-")</f>
        <v>-</v>
      </c>
      <c r="K817" s="25" t="str">
        <f>IFERROR(VLOOKUP(A817,取得元!$A$2:$F$501,6,FALSE)/100,"-")</f>
        <v>-</v>
      </c>
      <c r="L817" s="21">
        <f>_xll.RssMarket(A817,"始値")</f>
        <v>530</v>
      </c>
      <c r="M817" s="4">
        <f t="shared" si="75"/>
        <v>9.4339622641510523E-3</v>
      </c>
      <c r="N817" s="21">
        <f>_xll.RssMarket(A817,"高値")</f>
        <v>541</v>
      </c>
      <c r="O817" s="4">
        <f t="shared" si="76"/>
        <v>-1.1090573012939031E-2</v>
      </c>
      <c r="P817" s="21">
        <f>_xll.RssMarket(A817,"安値")</f>
        <v>530</v>
      </c>
      <c r="Q817" s="4">
        <f t="shared" si="77"/>
        <v>9.4339622641510523E-3</v>
      </c>
      <c r="R817" s="21">
        <f>_xll.RssMarket(A817,"後場始値")</f>
        <v>535</v>
      </c>
      <c r="S817" s="25">
        <f t="shared" si="78"/>
        <v>0</v>
      </c>
      <c r="T817" s="7">
        <f>_xll.RssMarket(A817,"出来高加重平均")</f>
        <v>536.82529999999997</v>
      </c>
      <c r="U817" s="4">
        <f t="shared" si="79"/>
        <v>-3.4001750662645547E-3</v>
      </c>
      <c r="V817" s="21">
        <f>_xll.RssMarket(A817,"出来高")</f>
        <v>6300</v>
      </c>
      <c r="W817" s="21">
        <f>_xll.RssMarket(A817,"売買代金")</f>
        <v>3382</v>
      </c>
      <c r="X817" s="20" t="str">
        <f>_xll.RssMarket(A817,"決算発表日")</f>
        <v>2024/01/11</v>
      </c>
      <c r="Y817" s="26" t="str">
        <f>IF(C817&gt;_xll.RssMarket(A817,"年初来高値"),"○","×")</f>
        <v>×</v>
      </c>
      <c r="Z817" s="27" t="str">
        <f>IF(C817&lt;=_xll.RssMarket(A817,"年初来安値"),"○","×")</f>
        <v>×</v>
      </c>
    </row>
    <row r="818" spans="1:26" x14ac:dyDescent="0.25">
      <c r="A818" s="47">
        <v>7059</v>
      </c>
      <c r="B818" s="20" t="str">
        <f>_xll.RssMarket(A818,"銘柄名称")</f>
        <v>コプロ・ホールディングス</v>
      </c>
      <c r="C818" s="21">
        <f>_xll.RssMarket(A818,"現在値")</f>
        <v>1626</v>
      </c>
      <c r="D818" s="20" t="str">
        <f>_xll.RssMarket(A818,"現在値詳細時刻")</f>
        <v>15:00:00</v>
      </c>
      <c r="E818" s="22">
        <f>_xll.RssMarket(A818,"前日比")</f>
        <v>-11</v>
      </c>
      <c r="F818" s="23">
        <f>_xll.RssMarket(A818,"前日比率")/100</f>
        <v>-6.7000000000000002E-3</v>
      </c>
      <c r="G818" s="24" t="str">
        <f>IFERROR(VLOOKUP(A818,取得元!$A$2:$F$501,2,FALSE),"-")</f>
        <v>-</v>
      </c>
      <c r="H818" s="24" t="str">
        <f>IFERROR(VLOOKUP(A818,取得元!$A$2:$F$501,3,FALSE),"-")</f>
        <v>-</v>
      </c>
      <c r="I818" s="24" t="str">
        <f>IFERROR(VLOOKUP(A818,取得元!$A$2:$F$501,4,FALSE),"-")</f>
        <v>-</v>
      </c>
      <c r="J818" s="5" t="str">
        <f>IFERROR(VLOOKUP(A818,取得元!$A$2:$F$501,5,FALSE),"-")</f>
        <v>-</v>
      </c>
      <c r="K818" s="25" t="str">
        <f>IFERROR(VLOOKUP(A818,取得元!$A$2:$F$501,6,FALSE)/100,"-")</f>
        <v>-</v>
      </c>
      <c r="L818" s="21">
        <f>_xll.RssMarket(A818,"始値")</f>
        <v>1624</v>
      </c>
      <c r="M818" s="4">
        <f t="shared" si="75"/>
        <v>1.2315270935960854E-3</v>
      </c>
      <c r="N818" s="21">
        <f>_xll.RssMarket(A818,"高値")</f>
        <v>1630</v>
      </c>
      <c r="O818" s="4">
        <f t="shared" si="76"/>
        <v>-2.4539877300613355E-3</v>
      </c>
      <c r="P818" s="21">
        <f>_xll.RssMarket(A818,"安値")</f>
        <v>1601</v>
      </c>
      <c r="Q818" s="4">
        <f t="shared" si="77"/>
        <v>1.5615240474703418E-2</v>
      </c>
      <c r="R818" s="21">
        <f>_xll.RssMarket(A818,"後場始値")</f>
        <v>1616</v>
      </c>
      <c r="S818" s="25">
        <f t="shared" si="78"/>
        <v>6.1881188118810826E-3</v>
      </c>
      <c r="T818" s="7">
        <f>_xll.RssMarket(A818,"出来高加重平均")</f>
        <v>1615.3088</v>
      </c>
      <c r="U818" s="4">
        <f t="shared" si="79"/>
        <v>6.6186725411265801E-3</v>
      </c>
      <c r="V818" s="21">
        <f>_xll.RssMarket(A818,"出来高")</f>
        <v>59900</v>
      </c>
      <c r="W818" s="21">
        <f>_xll.RssMarket(A818,"売買代金")</f>
        <v>96757</v>
      </c>
      <c r="X818" s="20" t="str">
        <f>_xll.RssMarket(A818,"決算発表日")</f>
        <v>2024/02/14</v>
      </c>
      <c r="Y818" s="26" t="str">
        <f>IF(C818&gt;_xll.RssMarket(A818,"年初来高値"),"○","×")</f>
        <v>×</v>
      </c>
      <c r="Z818" s="27" t="str">
        <f>IF(C818&lt;=_xll.RssMarket(A818,"年初来安値"),"○","×")</f>
        <v>×</v>
      </c>
    </row>
    <row r="819" spans="1:26" x14ac:dyDescent="0.25">
      <c r="A819" s="49">
        <v>7060</v>
      </c>
      <c r="B819" s="20" t="str">
        <f>_xll.RssMarket(A819,"銘柄名称")</f>
        <v>ギークス</v>
      </c>
      <c r="C819" s="21">
        <f>_xll.RssMarket(A819,"現在値")</f>
        <v>503</v>
      </c>
      <c r="D819" s="20" t="str">
        <f>_xll.RssMarket(A819,"現在値詳細時刻")</f>
        <v>15:00:00</v>
      </c>
      <c r="E819" s="22">
        <f>_xll.RssMarket(A819,"前日比")</f>
        <v>-9</v>
      </c>
      <c r="F819" s="23">
        <f>_xll.RssMarket(A819,"前日比率")/100</f>
        <v>-1.7600000000000001E-2</v>
      </c>
      <c r="G819" s="24" t="str">
        <f>IFERROR(VLOOKUP(A819,取得元!$A$2:$F$501,2,FALSE),"-")</f>
        <v>-</v>
      </c>
      <c r="H819" s="24" t="str">
        <f>IFERROR(VLOOKUP(A819,取得元!$A$2:$F$501,3,FALSE),"-")</f>
        <v>-</v>
      </c>
      <c r="I819" s="24" t="str">
        <f>IFERROR(VLOOKUP(A819,取得元!$A$2:$F$501,4,FALSE),"-")</f>
        <v>-</v>
      </c>
      <c r="J819" s="5" t="str">
        <f>IFERROR(VLOOKUP(A819,取得元!$A$2:$F$501,5,FALSE),"-")</f>
        <v>-</v>
      </c>
      <c r="K819" s="25" t="str">
        <f>IFERROR(VLOOKUP(A819,取得元!$A$2:$F$501,6,FALSE)/100,"-")</f>
        <v>-</v>
      </c>
      <c r="L819" s="21">
        <f>_xll.RssMarket(A819,"始値")</f>
        <v>511</v>
      </c>
      <c r="M819" s="4">
        <f t="shared" si="75"/>
        <v>-1.5655577299412915E-2</v>
      </c>
      <c r="N819" s="21">
        <f>_xll.RssMarket(A819,"高値")</f>
        <v>514</v>
      </c>
      <c r="O819" s="4">
        <f t="shared" si="76"/>
        <v>-2.1400778210116767E-2</v>
      </c>
      <c r="P819" s="21">
        <f>_xll.RssMarket(A819,"安値")</f>
        <v>503</v>
      </c>
      <c r="Q819" s="4">
        <f t="shared" si="77"/>
        <v>0</v>
      </c>
      <c r="R819" s="21">
        <f>_xll.RssMarket(A819,"後場始値")</f>
        <v>505</v>
      </c>
      <c r="S819" s="25">
        <f t="shared" si="78"/>
        <v>-3.9603960396039639E-3</v>
      </c>
      <c r="T819" s="7">
        <f>_xll.RssMarket(A819,"出来高加重平均")</f>
        <v>507.30369999999999</v>
      </c>
      <c r="U819" s="4">
        <f t="shared" si="79"/>
        <v>-8.4834784370781957E-3</v>
      </c>
      <c r="V819" s="21">
        <f>_xll.RssMarket(A819,"出来高")</f>
        <v>29300</v>
      </c>
      <c r="W819" s="21">
        <f>_xll.RssMarket(A819,"売買代金")</f>
        <v>14864</v>
      </c>
      <c r="X819" s="20" t="str">
        <f>_xll.RssMarket(A819,"決算発表日")</f>
        <v>2024/02/09</v>
      </c>
      <c r="Y819" s="26" t="str">
        <f>IF(C819&gt;_xll.RssMarket(A819,"年初来高値"),"○","×")</f>
        <v>×</v>
      </c>
      <c r="Z819" s="27" t="str">
        <f>IF(C819&lt;=_xll.RssMarket(A819,"年初来安値"),"○","×")</f>
        <v>×</v>
      </c>
    </row>
    <row r="820" spans="1:26" x14ac:dyDescent="0.25">
      <c r="A820" s="47">
        <v>7062</v>
      </c>
      <c r="B820" s="20" t="str">
        <f>_xll.RssMarket(A820,"銘柄名称")</f>
        <v>フレアス</v>
      </c>
      <c r="C820" s="21">
        <f>_xll.RssMarket(A820,"現在値")</f>
        <v>1010</v>
      </c>
      <c r="D820" s="20" t="str">
        <f>_xll.RssMarket(A820,"現在値詳細時刻")</f>
        <v>14:57:11</v>
      </c>
      <c r="E820" s="22">
        <f>_xll.RssMarket(A820,"前日比")</f>
        <v>5</v>
      </c>
      <c r="F820" s="23">
        <f>_xll.RssMarket(A820,"前日比率")/100</f>
        <v>5.0000000000000001E-3</v>
      </c>
      <c r="G820" s="24" t="str">
        <f>IFERROR(VLOOKUP(A820,取得元!$A$2:$F$501,2,FALSE),"-")</f>
        <v>-</v>
      </c>
      <c r="H820" s="24" t="str">
        <f>IFERROR(VLOOKUP(A820,取得元!$A$2:$F$501,3,FALSE),"-")</f>
        <v>-</v>
      </c>
      <c r="I820" s="24" t="str">
        <f>IFERROR(VLOOKUP(A820,取得元!$A$2:$F$501,4,FALSE),"-")</f>
        <v>-</v>
      </c>
      <c r="J820" s="5" t="str">
        <f>IFERROR(VLOOKUP(A820,取得元!$A$2:$F$501,5,FALSE),"-")</f>
        <v>-</v>
      </c>
      <c r="K820" s="25" t="str">
        <f>IFERROR(VLOOKUP(A820,取得元!$A$2:$F$501,6,FALSE)/100,"-")</f>
        <v>-</v>
      </c>
      <c r="L820" s="21">
        <f>_xll.RssMarket(A820,"始値")</f>
        <v>975</v>
      </c>
      <c r="M820" s="4">
        <f t="shared" si="75"/>
        <v>3.5897435897435992E-2</v>
      </c>
      <c r="N820" s="21">
        <f>_xll.RssMarket(A820,"高値")</f>
        <v>1018</v>
      </c>
      <c r="O820" s="4">
        <f t="shared" si="76"/>
        <v>-7.8585461689587577E-3</v>
      </c>
      <c r="P820" s="21">
        <f>_xll.RssMarket(A820,"安値")</f>
        <v>975</v>
      </c>
      <c r="Q820" s="4">
        <f t="shared" si="77"/>
        <v>3.5897435897435992E-2</v>
      </c>
      <c r="R820" s="21">
        <f>_xll.RssMarket(A820,"後場始値")</f>
        <v>1005</v>
      </c>
      <c r="S820" s="25">
        <f t="shared" si="78"/>
        <v>4.9751243781095411E-3</v>
      </c>
      <c r="T820" s="7">
        <f>_xll.RssMarket(A820,"出来高加重平均")</f>
        <v>1003.8181</v>
      </c>
      <c r="U820" s="4">
        <f t="shared" si="79"/>
        <v>6.1583866638785789E-3</v>
      </c>
      <c r="V820" s="21">
        <f>_xll.RssMarket(A820,"出来高")</f>
        <v>5500</v>
      </c>
      <c r="W820" s="21">
        <f>_xll.RssMarket(A820,"売買代金")</f>
        <v>5521</v>
      </c>
      <c r="X820" s="20" t="str">
        <f>_xll.RssMarket(A820,"決算発表日")</f>
        <v>2024/02/14</v>
      </c>
      <c r="Y820" s="26" t="str">
        <f>IF(C820&gt;_xll.RssMarket(A820,"年初来高値"),"○","×")</f>
        <v>×</v>
      </c>
      <c r="Z820" s="27" t="str">
        <f>IF(C820&lt;=_xll.RssMarket(A820,"年初来安値"),"○","×")</f>
        <v>×</v>
      </c>
    </row>
    <row r="821" spans="1:26" x14ac:dyDescent="0.25">
      <c r="A821" s="49">
        <v>7063</v>
      </c>
      <c r="B821" s="20" t="str">
        <f>_xll.RssMarket(A821,"銘柄名称")</f>
        <v>Ｂｉｒｄｍａｎ</v>
      </c>
      <c r="C821" s="21">
        <f>_xll.RssMarket(A821,"現在値")</f>
        <v>1213</v>
      </c>
      <c r="D821" s="20" t="str">
        <f>_xll.RssMarket(A821,"現在値詳細時刻")</f>
        <v>15:00:00</v>
      </c>
      <c r="E821" s="22">
        <f>_xll.RssMarket(A821,"前日比")</f>
        <v>-3</v>
      </c>
      <c r="F821" s="23">
        <f>_xll.RssMarket(A821,"前日比率")/100</f>
        <v>-2.5000000000000001E-3</v>
      </c>
      <c r="G821" s="24" t="str">
        <f>IFERROR(VLOOKUP(A821,取得元!$A$2:$F$501,2,FALSE),"-")</f>
        <v>-</v>
      </c>
      <c r="H821" s="24" t="str">
        <f>IFERROR(VLOOKUP(A821,取得元!$A$2:$F$501,3,FALSE),"-")</f>
        <v>-</v>
      </c>
      <c r="I821" s="24" t="str">
        <f>IFERROR(VLOOKUP(A821,取得元!$A$2:$F$501,4,FALSE),"-")</f>
        <v>-</v>
      </c>
      <c r="J821" s="5" t="str">
        <f>IFERROR(VLOOKUP(A821,取得元!$A$2:$F$501,5,FALSE),"-")</f>
        <v>-</v>
      </c>
      <c r="K821" s="25" t="str">
        <f>IFERROR(VLOOKUP(A821,取得元!$A$2:$F$501,6,FALSE)/100,"-")</f>
        <v>-</v>
      </c>
      <c r="L821" s="21">
        <f>_xll.RssMarket(A821,"始値")</f>
        <v>1216</v>
      </c>
      <c r="M821" s="4">
        <f t="shared" si="75"/>
        <v>-2.4671052631578538E-3</v>
      </c>
      <c r="N821" s="21">
        <f>_xll.RssMarket(A821,"高値")</f>
        <v>1238</v>
      </c>
      <c r="O821" s="4">
        <f t="shared" si="76"/>
        <v>-2.0193861066235885E-2</v>
      </c>
      <c r="P821" s="21">
        <f>_xll.RssMarket(A821,"安値")</f>
        <v>1201</v>
      </c>
      <c r="Q821" s="4">
        <f t="shared" si="77"/>
        <v>9.9916736053289323E-3</v>
      </c>
      <c r="R821" s="21">
        <f>_xll.RssMarket(A821,"後場始値")</f>
        <v>1224</v>
      </c>
      <c r="S821" s="25">
        <f t="shared" si="78"/>
        <v>-8.9869281045751315E-3</v>
      </c>
      <c r="T821" s="7">
        <f>_xll.RssMarket(A821,"出来高加重平均")</f>
        <v>1218.6940999999999</v>
      </c>
      <c r="U821" s="4">
        <f t="shared" si="79"/>
        <v>-4.6722963539413964E-3</v>
      </c>
      <c r="V821" s="21">
        <f>_xll.RssMarket(A821,"出来高")</f>
        <v>29100</v>
      </c>
      <c r="W821" s="21">
        <f>_xll.RssMarket(A821,"売買代金")</f>
        <v>35464</v>
      </c>
      <c r="X821" s="20" t="str">
        <f>_xll.RssMarket(A821,"決算発表日")</f>
        <v>2024/02/14</v>
      </c>
      <c r="Y821" s="26" t="str">
        <f>IF(C821&gt;_xll.RssMarket(A821,"年初来高値"),"○","×")</f>
        <v>×</v>
      </c>
      <c r="Z821" s="27" t="str">
        <f>IF(C821&lt;=_xll.RssMarket(A821,"年初来安値"),"○","×")</f>
        <v>×</v>
      </c>
    </row>
    <row r="822" spans="1:26" x14ac:dyDescent="0.25">
      <c r="A822" s="47">
        <v>7068</v>
      </c>
      <c r="B822" s="20" t="str">
        <f>_xll.RssMarket(A822,"銘柄名称")</f>
        <v>フィードフォースグループ</v>
      </c>
      <c r="C822" s="21">
        <f>_xll.RssMarket(A822,"現在値")</f>
        <v>539</v>
      </c>
      <c r="D822" s="20" t="str">
        <f>_xll.RssMarket(A822,"現在値詳細時刻")</f>
        <v>15:00:00</v>
      </c>
      <c r="E822" s="22">
        <f>_xll.RssMarket(A822,"前日比")</f>
        <v>41</v>
      </c>
      <c r="F822" s="23">
        <f>_xll.RssMarket(A822,"前日比率")/100</f>
        <v>8.2299999999999998E-2</v>
      </c>
      <c r="G822" s="24" t="str">
        <f>IFERROR(VLOOKUP(A822,取得元!$A$2:$F$501,2,FALSE),"-")</f>
        <v>-</v>
      </c>
      <c r="H822" s="24" t="str">
        <f>IFERROR(VLOOKUP(A822,取得元!$A$2:$F$501,3,FALSE),"-")</f>
        <v>-</v>
      </c>
      <c r="I822" s="24" t="str">
        <f>IFERROR(VLOOKUP(A822,取得元!$A$2:$F$501,4,FALSE),"-")</f>
        <v>-</v>
      </c>
      <c r="J822" s="5" t="str">
        <f>IFERROR(VLOOKUP(A822,取得元!$A$2:$F$501,5,FALSE),"-")</f>
        <v>-</v>
      </c>
      <c r="K822" s="25" t="str">
        <f>IFERROR(VLOOKUP(A822,取得元!$A$2:$F$501,6,FALSE)/100,"-")</f>
        <v>-</v>
      </c>
      <c r="L822" s="21">
        <f>_xll.RssMarket(A822,"始値")</f>
        <v>506</v>
      </c>
      <c r="M822" s="4">
        <f t="shared" si="75"/>
        <v>6.5217391304347894E-2</v>
      </c>
      <c r="N822" s="21">
        <f>_xll.RssMarket(A822,"高値")</f>
        <v>546</v>
      </c>
      <c r="O822" s="4">
        <f t="shared" si="76"/>
        <v>-1.2820512820512775E-2</v>
      </c>
      <c r="P822" s="21">
        <f>_xll.RssMarket(A822,"安値")</f>
        <v>506</v>
      </c>
      <c r="Q822" s="4">
        <f t="shared" si="77"/>
        <v>6.5217391304347894E-2</v>
      </c>
      <c r="R822" s="21">
        <f>_xll.RssMarket(A822,"後場始値")</f>
        <v>532</v>
      </c>
      <c r="S822" s="25">
        <f t="shared" si="78"/>
        <v>1.3157894736842035E-2</v>
      </c>
      <c r="T822" s="7">
        <f>_xll.RssMarket(A822,"出来高加重平均")</f>
        <v>528.64679999999998</v>
      </c>
      <c r="U822" s="4">
        <f t="shared" si="79"/>
        <v>1.9584342513754072E-2</v>
      </c>
      <c r="V822" s="21">
        <f>_xll.RssMarket(A822,"出来高")</f>
        <v>215800</v>
      </c>
      <c r="W822" s="21">
        <f>_xll.RssMarket(A822,"売買代金")</f>
        <v>114082</v>
      </c>
      <c r="X822" s="20" t="str">
        <f>_xll.RssMarket(A822,"決算発表日")</f>
        <v>-</v>
      </c>
      <c r="Y822" s="26" t="str">
        <f>IF(C822&gt;_xll.RssMarket(A822,"年初来高値"),"○","×")</f>
        <v>×</v>
      </c>
      <c r="Z822" s="27" t="str">
        <f>IF(C822&lt;=_xll.RssMarket(A822,"年初来安値"),"○","×")</f>
        <v>×</v>
      </c>
    </row>
    <row r="823" spans="1:26" x14ac:dyDescent="0.25">
      <c r="A823" s="49">
        <v>7074</v>
      </c>
      <c r="B823" s="20" t="str">
        <f>_xll.RssMarket(A823,"銘柄名称")</f>
        <v>トゥエンティーフォーセブン</v>
      </c>
      <c r="C823" s="21">
        <f>_xll.RssMarket(A823,"現在値")</f>
        <v>256</v>
      </c>
      <c r="D823" s="20" t="str">
        <f>_xll.RssMarket(A823,"現在値詳細時刻")</f>
        <v>15:00:00</v>
      </c>
      <c r="E823" s="22">
        <f>_xll.RssMarket(A823,"前日比")</f>
        <v>0</v>
      </c>
      <c r="F823" s="23">
        <f>_xll.RssMarket(A823,"前日比率")/100</f>
        <v>0</v>
      </c>
      <c r="G823" s="24" t="str">
        <f>IFERROR(VLOOKUP(A823,取得元!$A$2:$F$501,2,FALSE),"-")</f>
        <v>-</v>
      </c>
      <c r="H823" s="24" t="str">
        <f>IFERROR(VLOOKUP(A823,取得元!$A$2:$F$501,3,FALSE),"-")</f>
        <v>-</v>
      </c>
      <c r="I823" s="24" t="str">
        <f>IFERROR(VLOOKUP(A823,取得元!$A$2:$F$501,4,FALSE),"-")</f>
        <v>-</v>
      </c>
      <c r="J823" s="5" t="str">
        <f>IFERROR(VLOOKUP(A823,取得元!$A$2:$F$501,5,FALSE),"-")</f>
        <v>-</v>
      </c>
      <c r="K823" s="25" t="str">
        <f>IFERROR(VLOOKUP(A823,取得元!$A$2:$F$501,6,FALSE)/100,"-")</f>
        <v>-</v>
      </c>
      <c r="L823" s="21">
        <f>_xll.RssMarket(A823,"始値")</f>
        <v>255</v>
      </c>
      <c r="M823" s="4">
        <f t="shared" si="75"/>
        <v>3.9215686274509665E-3</v>
      </c>
      <c r="N823" s="21">
        <f>_xll.RssMarket(A823,"高値")</f>
        <v>260</v>
      </c>
      <c r="O823" s="4">
        <f t="shared" si="76"/>
        <v>-1.538461538461533E-2</v>
      </c>
      <c r="P823" s="21">
        <f>_xll.RssMarket(A823,"安値")</f>
        <v>253</v>
      </c>
      <c r="Q823" s="4">
        <f t="shared" si="77"/>
        <v>1.1857707509881354E-2</v>
      </c>
      <c r="R823" s="21">
        <f>_xll.RssMarket(A823,"後場始値")</f>
        <v>255</v>
      </c>
      <c r="S823" s="25">
        <f t="shared" si="78"/>
        <v>3.9215686274509665E-3</v>
      </c>
      <c r="T823" s="7">
        <f>_xll.RssMarket(A823,"出来高加重平均")</f>
        <v>256.23649999999998</v>
      </c>
      <c r="U823" s="4">
        <f t="shared" si="79"/>
        <v>-9.2297545431652139E-4</v>
      </c>
      <c r="V823" s="21">
        <f>_xll.RssMarket(A823,"出来高")</f>
        <v>37200</v>
      </c>
      <c r="W823" s="21">
        <f>_xll.RssMarket(A823,"売買代金")</f>
        <v>9532</v>
      </c>
      <c r="X823" s="20" t="str">
        <f>_xll.RssMarket(A823,"決算発表日")</f>
        <v>2024/01/15</v>
      </c>
      <c r="Y823" s="26" t="str">
        <f>IF(C823&gt;_xll.RssMarket(A823,"年初来高値"),"○","×")</f>
        <v>×</v>
      </c>
      <c r="Z823" s="27" t="str">
        <f>IF(C823&lt;=_xll.RssMarket(A823,"年初来安値"),"○","×")</f>
        <v>×</v>
      </c>
    </row>
    <row r="824" spans="1:26" x14ac:dyDescent="0.25">
      <c r="A824" s="47">
        <v>7088</v>
      </c>
      <c r="B824" s="20" t="str">
        <f>_xll.RssMarket(A824,"銘柄名称")</f>
        <v>フォーラムエンジニアリング</v>
      </c>
      <c r="C824" s="21">
        <f>_xll.RssMarket(A824,"現在値")</f>
        <v>797</v>
      </c>
      <c r="D824" s="20" t="str">
        <f>_xll.RssMarket(A824,"現在値詳細時刻")</f>
        <v>15:00:00</v>
      </c>
      <c r="E824" s="22">
        <f>_xll.RssMarket(A824,"前日比")</f>
        <v>1</v>
      </c>
      <c r="F824" s="23">
        <f>_xll.RssMarket(A824,"前日比率")/100</f>
        <v>1.2999999999999999E-3</v>
      </c>
      <c r="G824" s="24" t="str">
        <f>IFERROR(VLOOKUP(A824,取得元!$A$2:$F$501,2,FALSE),"-")</f>
        <v>-</v>
      </c>
      <c r="H824" s="24" t="str">
        <f>IFERROR(VLOOKUP(A824,取得元!$A$2:$F$501,3,FALSE),"-")</f>
        <v>-</v>
      </c>
      <c r="I824" s="24" t="str">
        <f>IFERROR(VLOOKUP(A824,取得元!$A$2:$F$501,4,FALSE),"-")</f>
        <v>-</v>
      </c>
      <c r="J824" s="5" t="str">
        <f>IFERROR(VLOOKUP(A824,取得元!$A$2:$F$501,5,FALSE),"-")</f>
        <v>-</v>
      </c>
      <c r="K824" s="25" t="str">
        <f>IFERROR(VLOOKUP(A824,取得元!$A$2:$F$501,6,FALSE)/100,"-")</f>
        <v>-</v>
      </c>
      <c r="L824" s="21">
        <f>_xll.RssMarket(A824,"始値")</f>
        <v>790</v>
      </c>
      <c r="M824" s="4">
        <f t="shared" si="75"/>
        <v>8.8607594936709333E-3</v>
      </c>
      <c r="N824" s="21">
        <f>_xll.RssMarket(A824,"高値")</f>
        <v>803</v>
      </c>
      <c r="O824" s="4">
        <f t="shared" si="76"/>
        <v>-7.4719800747198306E-3</v>
      </c>
      <c r="P824" s="21">
        <f>_xll.RssMarket(A824,"安値")</f>
        <v>788</v>
      </c>
      <c r="Q824" s="4">
        <f t="shared" si="77"/>
        <v>1.1421319796954377E-2</v>
      </c>
      <c r="R824" s="21">
        <f>_xll.RssMarket(A824,"後場始値")</f>
        <v>802</v>
      </c>
      <c r="S824" s="25">
        <f t="shared" si="78"/>
        <v>-6.2344139650872821E-3</v>
      </c>
      <c r="T824" s="7">
        <f>_xll.RssMarket(A824,"出来高加重平均")</f>
        <v>795.03499999999997</v>
      </c>
      <c r="U824" s="4">
        <f t="shared" si="79"/>
        <v>2.4715893011000301E-3</v>
      </c>
      <c r="V824" s="21">
        <f>_xll.RssMarket(A824,"出来高")</f>
        <v>199600</v>
      </c>
      <c r="W824" s="21">
        <f>_xll.RssMarket(A824,"売買代金")</f>
        <v>158689</v>
      </c>
      <c r="X824" s="20" t="str">
        <f>_xll.RssMarket(A824,"決算発表日")</f>
        <v>2024/02/09</v>
      </c>
      <c r="Y824" s="26" t="str">
        <f>IF(C824&gt;_xll.RssMarket(A824,"年初来高値"),"○","×")</f>
        <v>×</v>
      </c>
      <c r="Z824" s="27" t="str">
        <f>IF(C824&lt;=_xll.RssMarket(A824,"年初来安値"),"○","×")</f>
        <v>×</v>
      </c>
    </row>
    <row r="825" spans="1:26" x14ac:dyDescent="0.25">
      <c r="A825" s="49">
        <v>7102</v>
      </c>
      <c r="B825" s="20" t="str">
        <f>_xll.RssMarket(A825,"銘柄名称")</f>
        <v>日本車輌</v>
      </c>
      <c r="C825" s="21">
        <f>_xll.RssMarket(A825,"現在値")</f>
        <v>2286</v>
      </c>
      <c r="D825" s="20" t="str">
        <f>_xll.RssMarket(A825,"現在値詳細時刻")</f>
        <v>15:00:00</v>
      </c>
      <c r="E825" s="22">
        <f>_xll.RssMarket(A825,"前日比")</f>
        <v>31</v>
      </c>
      <c r="F825" s="23">
        <f>_xll.RssMarket(A825,"前日比率")/100</f>
        <v>1.37E-2</v>
      </c>
      <c r="G825" s="24" t="str">
        <f>IFERROR(VLOOKUP(A825,取得元!$A$2:$F$501,2,FALSE),"-")</f>
        <v>-</v>
      </c>
      <c r="H825" s="24" t="str">
        <f>IFERROR(VLOOKUP(A825,取得元!$A$2:$F$501,3,FALSE),"-")</f>
        <v>-</v>
      </c>
      <c r="I825" s="24" t="str">
        <f>IFERROR(VLOOKUP(A825,取得元!$A$2:$F$501,4,FALSE),"-")</f>
        <v>-</v>
      </c>
      <c r="J825" s="5" t="str">
        <f>IFERROR(VLOOKUP(A825,取得元!$A$2:$F$501,5,FALSE),"-")</f>
        <v>-</v>
      </c>
      <c r="K825" s="25" t="str">
        <f>IFERROR(VLOOKUP(A825,取得元!$A$2:$F$501,6,FALSE)/100,"-")</f>
        <v>-</v>
      </c>
      <c r="L825" s="21">
        <f>_xll.RssMarket(A825,"始値")</f>
        <v>2268</v>
      </c>
      <c r="M825" s="4">
        <f t="shared" si="75"/>
        <v>7.9365079365079083E-3</v>
      </c>
      <c r="N825" s="21">
        <f>_xll.RssMarket(A825,"高値")</f>
        <v>2291</v>
      </c>
      <c r="O825" s="4">
        <f t="shared" si="76"/>
        <v>-2.1824530772588391E-3</v>
      </c>
      <c r="P825" s="21">
        <f>_xll.RssMarket(A825,"安値")</f>
        <v>2256</v>
      </c>
      <c r="Q825" s="4">
        <f t="shared" si="77"/>
        <v>1.3297872340425565E-2</v>
      </c>
      <c r="R825" s="21">
        <f>_xll.RssMarket(A825,"後場始値")</f>
        <v>2265</v>
      </c>
      <c r="S825" s="25">
        <f t="shared" si="78"/>
        <v>9.2715231788078611E-3</v>
      </c>
      <c r="T825" s="7">
        <f>_xll.RssMarket(A825,"出来高加重平均")</f>
        <v>2272.3125</v>
      </c>
      <c r="U825" s="4">
        <f t="shared" si="79"/>
        <v>6.0235993068735727E-3</v>
      </c>
      <c r="V825" s="21">
        <f>_xll.RssMarket(A825,"出来高")</f>
        <v>16000</v>
      </c>
      <c r="W825" s="21">
        <f>_xll.RssMarket(A825,"売買代金")</f>
        <v>36357</v>
      </c>
      <c r="X825" s="20" t="str">
        <f>_xll.RssMarket(A825,"決算発表日")</f>
        <v>2024/01/29</v>
      </c>
      <c r="Y825" s="26" t="str">
        <f>IF(C825&gt;_xll.RssMarket(A825,"年初来高値"),"○","×")</f>
        <v>×</v>
      </c>
      <c r="Z825" s="27" t="str">
        <f>IF(C825&lt;=_xll.RssMarket(A825,"年初来安値"),"○","×")</f>
        <v>×</v>
      </c>
    </row>
    <row r="826" spans="1:26" x14ac:dyDescent="0.25">
      <c r="A826" s="47">
        <v>7111</v>
      </c>
      <c r="B826" s="20" t="str">
        <f>_xll.RssMarket(A826,"銘柄名称")</f>
        <v>ＩＮＥＳＴ</v>
      </c>
      <c r="C826" s="21">
        <f>_xll.RssMarket(A826,"現在値")</f>
        <v>81</v>
      </c>
      <c r="D826" s="20" t="str">
        <f>_xll.RssMarket(A826,"現在値詳細時刻")</f>
        <v>15:00:00</v>
      </c>
      <c r="E826" s="22">
        <f>_xll.RssMarket(A826,"前日比")</f>
        <v>-3</v>
      </c>
      <c r="F826" s="23">
        <f>_xll.RssMarket(A826,"前日比率")/100</f>
        <v>-3.5699999999999996E-2</v>
      </c>
      <c r="G826" s="24" t="str">
        <f>IFERROR(VLOOKUP(A826,取得元!$A$2:$F$501,2,FALSE),"-")</f>
        <v>-</v>
      </c>
      <c r="H826" s="24" t="str">
        <f>IFERROR(VLOOKUP(A826,取得元!$A$2:$F$501,3,FALSE),"-")</f>
        <v>-</v>
      </c>
      <c r="I826" s="24" t="str">
        <f>IFERROR(VLOOKUP(A826,取得元!$A$2:$F$501,4,FALSE),"-")</f>
        <v>-</v>
      </c>
      <c r="J826" s="5" t="str">
        <f>IFERROR(VLOOKUP(A826,取得元!$A$2:$F$501,5,FALSE),"-")</f>
        <v>-</v>
      </c>
      <c r="K826" s="25" t="str">
        <f>IFERROR(VLOOKUP(A826,取得元!$A$2:$F$501,6,FALSE)/100,"-")</f>
        <v>-</v>
      </c>
      <c r="L826" s="21">
        <f>_xll.RssMarket(A826,"始値")</f>
        <v>84</v>
      </c>
      <c r="M826" s="4">
        <f t="shared" si="75"/>
        <v>-3.5714285714285698E-2</v>
      </c>
      <c r="N826" s="21">
        <f>_xll.RssMarket(A826,"高値")</f>
        <v>84</v>
      </c>
      <c r="O826" s="4">
        <f t="shared" si="76"/>
        <v>-3.5714285714285698E-2</v>
      </c>
      <c r="P826" s="21">
        <f>_xll.RssMarket(A826,"安値")</f>
        <v>80</v>
      </c>
      <c r="Q826" s="4">
        <f t="shared" si="77"/>
        <v>1.2499999999999956E-2</v>
      </c>
      <c r="R826" s="21">
        <f>_xll.RssMarket(A826,"後場始値")</f>
        <v>81</v>
      </c>
      <c r="S826" s="25">
        <f t="shared" si="78"/>
        <v>0</v>
      </c>
      <c r="T826" s="7">
        <f>_xll.RssMarket(A826,"出来高加重平均")</f>
        <v>81.727400000000003</v>
      </c>
      <c r="U826" s="4">
        <f t="shared" si="79"/>
        <v>-8.9003198437733744E-3</v>
      </c>
      <c r="V826" s="21">
        <f>_xll.RssMarket(A826,"出来高")</f>
        <v>981800</v>
      </c>
      <c r="W826" s="21">
        <f>_xll.RssMarket(A826,"売買代金")</f>
        <v>80240</v>
      </c>
      <c r="X826" s="20" t="str">
        <f>_xll.RssMarket(A826,"決算発表日")</f>
        <v>2024/02/14</v>
      </c>
      <c r="Y826" s="26" t="str">
        <f>IF(C826&gt;_xll.RssMarket(A826,"年初来高値"),"○","×")</f>
        <v>×</v>
      </c>
      <c r="Z826" s="27" t="str">
        <f>IF(C826&lt;=_xll.RssMarket(A826,"年初来安値"),"○","×")</f>
        <v>×</v>
      </c>
    </row>
    <row r="827" spans="1:26" x14ac:dyDescent="0.25">
      <c r="A827" s="49">
        <v>7116</v>
      </c>
      <c r="B827" s="20" t="str">
        <f>_xll.RssMarket(A827,"銘柄名称")</f>
        <v>ダイワ通信</v>
      </c>
      <c r="C827" s="21">
        <f>_xll.RssMarket(A827,"現在値")</f>
        <v>1401</v>
      </c>
      <c r="D827" s="20" t="str">
        <f>_xll.RssMarket(A827,"現在値詳細時刻")</f>
        <v>15:00:00</v>
      </c>
      <c r="E827" s="22">
        <f>_xll.RssMarket(A827,"前日比")</f>
        <v>-38</v>
      </c>
      <c r="F827" s="23">
        <f>_xll.RssMarket(A827,"前日比率")/100</f>
        <v>-2.64E-2</v>
      </c>
      <c r="G827" s="24" t="str">
        <f>IFERROR(VLOOKUP(A827,取得元!$A$2:$F$501,2,FALSE),"-")</f>
        <v>-</v>
      </c>
      <c r="H827" s="24" t="str">
        <f>IFERROR(VLOOKUP(A827,取得元!$A$2:$F$501,3,FALSE),"-")</f>
        <v>-</v>
      </c>
      <c r="I827" s="24" t="str">
        <f>IFERROR(VLOOKUP(A827,取得元!$A$2:$F$501,4,FALSE),"-")</f>
        <v>-</v>
      </c>
      <c r="J827" s="5" t="str">
        <f>IFERROR(VLOOKUP(A827,取得元!$A$2:$F$501,5,FALSE),"-")</f>
        <v>-</v>
      </c>
      <c r="K827" s="25" t="str">
        <f>IFERROR(VLOOKUP(A827,取得元!$A$2:$F$501,6,FALSE)/100,"-")</f>
        <v>-</v>
      </c>
      <c r="L827" s="21">
        <f>_xll.RssMarket(A827,"始値")</f>
        <v>1409</v>
      </c>
      <c r="M827" s="4">
        <f t="shared" si="75"/>
        <v>-5.6777856635912283E-3</v>
      </c>
      <c r="N827" s="21">
        <f>_xll.RssMarket(A827,"高値")</f>
        <v>1419</v>
      </c>
      <c r="O827" s="4">
        <f t="shared" si="76"/>
        <v>-1.2684989429175508E-2</v>
      </c>
      <c r="P827" s="21">
        <f>_xll.RssMarket(A827,"安値")</f>
        <v>1390</v>
      </c>
      <c r="Q827" s="4">
        <f t="shared" si="77"/>
        <v>7.9136690647481078E-3</v>
      </c>
      <c r="R827" s="21">
        <f>_xll.RssMarket(A827,"後場始値")</f>
        <v>1400</v>
      </c>
      <c r="S827" s="25">
        <f t="shared" si="78"/>
        <v>7.1428571428566734E-4</v>
      </c>
      <c r="T827" s="7">
        <f>_xll.RssMarket(A827,"出来高加重平均")</f>
        <v>1403.04</v>
      </c>
      <c r="U827" s="4">
        <f t="shared" si="79"/>
        <v>-1.4539856312008048E-3</v>
      </c>
      <c r="V827" s="21">
        <f>_xll.RssMarket(A827,"出来高")</f>
        <v>37500</v>
      </c>
      <c r="W827" s="21">
        <f>_xll.RssMarket(A827,"売買代金")</f>
        <v>52614</v>
      </c>
      <c r="X827" s="20" t="str">
        <f>_xll.RssMarket(A827,"決算発表日")</f>
        <v>2024/02/14</v>
      </c>
      <c r="Y827" s="26" t="str">
        <f>IF(C827&gt;_xll.RssMarket(A827,"年初来高値"),"○","×")</f>
        <v>×</v>
      </c>
      <c r="Z827" s="27" t="str">
        <f>IF(C827&lt;=_xll.RssMarket(A827,"年初来安値"),"○","×")</f>
        <v>×</v>
      </c>
    </row>
    <row r="828" spans="1:26" x14ac:dyDescent="0.25">
      <c r="A828" s="47">
        <v>7122</v>
      </c>
      <c r="B828" s="20" t="str">
        <f>_xll.RssMarket(A828,"銘柄名称")</f>
        <v>近畿車輌</v>
      </c>
      <c r="C828" s="21">
        <f>_xll.RssMarket(A828,"現在値")</f>
        <v>2007</v>
      </c>
      <c r="D828" s="20" t="str">
        <f>_xll.RssMarket(A828,"現在値詳細時刻")</f>
        <v>15:00:00</v>
      </c>
      <c r="E828" s="22">
        <f>_xll.RssMarket(A828,"前日比")</f>
        <v>-14</v>
      </c>
      <c r="F828" s="23">
        <f>_xll.RssMarket(A828,"前日比率")/100</f>
        <v>-6.8999999999999999E-3</v>
      </c>
      <c r="G828" s="24" t="str">
        <f>IFERROR(VLOOKUP(A828,取得元!$A$2:$F$501,2,FALSE),"-")</f>
        <v>-</v>
      </c>
      <c r="H828" s="24" t="str">
        <f>IFERROR(VLOOKUP(A828,取得元!$A$2:$F$501,3,FALSE),"-")</f>
        <v>-</v>
      </c>
      <c r="I828" s="24" t="str">
        <f>IFERROR(VLOOKUP(A828,取得元!$A$2:$F$501,4,FALSE),"-")</f>
        <v>-</v>
      </c>
      <c r="J828" s="5" t="str">
        <f>IFERROR(VLOOKUP(A828,取得元!$A$2:$F$501,5,FALSE),"-")</f>
        <v>-</v>
      </c>
      <c r="K828" s="25" t="str">
        <f>IFERROR(VLOOKUP(A828,取得元!$A$2:$F$501,6,FALSE)/100,"-")</f>
        <v>-</v>
      </c>
      <c r="L828" s="21">
        <f>_xll.RssMarket(A828,"始値")</f>
        <v>2030</v>
      </c>
      <c r="M828" s="4">
        <f t="shared" si="75"/>
        <v>-1.1330049261083719E-2</v>
      </c>
      <c r="N828" s="21">
        <f>_xll.RssMarket(A828,"高値")</f>
        <v>2045</v>
      </c>
      <c r="O828" s="4">
        <f t="shared" si="76"/>
        <v>-1.8581907090464589E-2</v>
      </c>
      <c r="P828" s="21">
        <f>_xll.RssMarket(A828,"安値")</f>
        <v>2007</v>
      </c>
      <c r="Q828" s="4">
        <f t="shared" si="77"/>
        <v>0</v>
      </c>
      <c r="R828" s="21">
        <f>_xll.RssMarket(A828,"後場始値")</f>
        <v>2027</v>
      </c>
      <c r="S828" s="25">
        <f t="shared" si="78"/>
        <v>-9.8667982239762919E-3</v>
      </c>
      <c r="T828" s="7">
        <f>_xll.RssMarket(A828,"出来高加重平均")</f>
        <v>2024.8181</v>
      </c>
      <c r="U828" s="4">
        <f t="shared" si="79"/>
        <v>-8.7998521941303753E-3</v>
      </c>
      <c r="V828" s="21">
        <f>_xll.RssMarket(A828,"出来高")</f>
        <v>11000</v>
      </c>
      <c r="W828" s="21">
        <f>_xll.RssMarket(A828,"売買代金")</f>
        <v>22273</v>
      </c>
      <c r="X828" s="20" t="str">
        <f>_xll.RssMarket(A828,"決算発表日")</f>
        <v>2024/02/13</v>
      </c>
      <c r="Y828" s="26" t="str">
        <f>IF(C828&gt;_xll.RssMarket(A828,"年初来高値"),"○","×")</f>
        <v>×</v>
      </c>
      <c r="Z828" s="27" t="str">
        <f>IF(C828&lt;=_xll.RssMarket(A828,"年初来安値"),"○","×")</f>
        <v>×</v>
      </c>
    </row>
    <row r="829" spans="1:26" x14ac:dyDescent="0.25">
      <c r="A829" s="49">
        <v>7135</v>
      </c>
      <c r="B829" s="20" t="str">
        <f>_xll.RssMarket(A829,"銘柄名称")</f>
        <v>ジャパンクラフトホールディ</v>
      </c>
      <c r="C829" s="21">
        <f>_xll.RssMarket(A829,"現在値")</f>
        <v>168</v>
      </c>
      <c r="D829" s="20" t="str">
        <f>_xll.RssMarket(A829,"現在値詳細時刻")</f>
        <v>15:00:00</v>
      </c>
      <c r="E829" s="22">
        <f>_xll.RssMarket(A829,"前日比")</f>
        <v>0</v>
      </c>
      <c r="F829" s="23">
        <f>_xll.RssMarket(A829,"前日比率")/100</f>
        <v>0</v>
      </c>
      <c r="G829" s="24" t="str">
        <f>IFERROR(VLOOKUP(A829,取得元!$A$2:$F$501,2,FALSE),"-")</f>
        <v>-</v>
      </c>
      <c r="H829" s="24" t="str">
        <f>IFERROR(VLOOKUP(A829,取得元!$A$2:$F$501,3,FALSE),"-")</f>
        <v>-</v>
      </c>
      <c r="I829" s="24" t="str">
        <f>IFERROR(VLOOKUP(A829,取得元!$A$2:$F$501,4,FALSE),"-")</f>
        <v>-</v>
      </c>
      <c r="J829" s="5" t="str">
        <f>IFERROR(VLOOKUP(A829,取得元!$A$2:$F$501,5,FALSE),"-")</f>
        <v>-</v>
      </c>
      <c r="K829" s="25" t="str">
        <f>IFERROR(VLOOKUP(A829,取得元!$A$2:$F$501,6,FALSE)/100,"-")</f>
        <v>-</v>
      </c>
      <c r="L829" s="21">
        <f>_xll.RssMarket(A829,"始値")</f>
        <v>168</v>
      </c>
      <c r="M829" s="4">
        <f t="shared" si="75"/>
        <v>0</v>
      </c>
      <c r="N829" s="21">
        <f>_xll.RssMarket(A829,"高値")</f>
        <v>170</v>
      </c>
      <c r="O829" s="4">
        <f t="shared" si="76"/>
        <v>-1.1764705882352899E-2</v>
      </c>
      <c r="P829" s="21">
        <f>_xll.RssMarket(A829,"安値")</f>
        <v>168</v>
      </c>
      <c r="Q829" s="4">
        <f t="shared" si="77"/>
        <v>0</v>
      </c>
      <c r="R829" s="21">
        <f>_xll.RssMarket(A829,"後場始値")</f>
        <v>169</v>
      </c>
      <c r="S829" s="25">
        <f t="shared" si="78"/>
        <v>-5.9171597633136397E-3</v>
      </c>
      <c r="T829" s="7">
        <f>_xll.RssMarket(A829,"出来高加重平均")</f>
        <v>168.38579999999999</v>
      </c>
      <c r="U829" s="4">
        <f t="shared" si="79"/>
        <v>-2.291167069907285E-3</v>
      </c>
      <c r="V829" s="21">
        <f>_xll.RssMarket(A829,"出来高")</f>
        <v>25400</v>
      </c>
      <c r="W829" s="21">
        <f>_xll.RssMarket(A829,"売買代金")</f>
        <v>4277</v>
      </c>
      <c r="X829" s="20" t="str">
        <f>_xll.RssMarket(A829,"決算発表日")</f>
        <v>2024/02/14</v>
      </c>
      <c r="Y829" s="26" t="str">
        <f>IF(C829&gt;_xll.RssMarket(A829,"年初来高値"),"○","×")</f>
        <v>×</v>
      </c>
      <c r="Z829" s="27" t="str">
        <f>IF(C829&lt;=_xll.RssMarket(A829,"年初来安値"),"○","×")</f>
        <v>×</v>
      </c>
    </row>
    <row r="830" spans="1:26" x14ac:dyDescent="0.25">
      <c r="A830" s="47">
        <v>7148</v>
      </c>
      <c r="B830" s="20" t="str">
        <f>_xll.RssMarket(A830,"銘柄名称")</f>
        <v>ＦＰＧ</v>
      </c>
      <c r="C830" s="21">
        <f>_xll.RssMarket(A830,"現在値")</f>
        <v>1776</v>
      </c>
      <c r="D830" s="20" t="str">
        <f>_xll.RssMarket(A830,"現在値詳細時刻")</f>
        <v>15:00:00</v>
      </c>
      <c r="E830" s="22">
        <f>_xll.RssMarket(A830,"前日比")</f>
        <v>20</v>
      </c>
      <c r="F830" s="23">
        <f>_xll.RssMarket(A830,"前日比率")/100</f>
        <v>1.1399999999999999E-2</v>
      </c>
      <c r="G830" s="24" t="str">
        <f>IFERROR(VLOOKUP(A830,取得元!$A$2:$F$501,2,FALSE),"-")</f>
        <v>-</v>
      </c>
      <c r="H830" s="24" t="str">
        <f>IFERROR(VLOOKUP(A830,取得元!$A$2:$F$501,3,FALSE),"-")</f>
        <v>-</v>
      </c>
      <c r="I830" s="24" t="str">
        <f>IFERROR(VLOOKUP(A830,取得元!$A$2:$F$501,4,FALSE),"-")</f>
        <v>-</v>
      </c>
      <c r="J830" s="5" t="str">
        <f>IFERROR(VLOOKUP(A830,取得元!$A$2:$F$501,5,FALSE),"-")</f>
        <v>-</v>
      </c>
      <c r="K830" s="25" t="str">
        <f>IFERROR(VLOOKUP(A830,取得元!$A$2:$F$501,6,FALSE)/100,"-")</f>
        <v>-</v>
      </c>
      <c r="L830" s="21">
        <f>_xll.RssMarket(A830,"始値")</f>
        <v>1759</v>
      </c>
      <c r="M830" s="4">
        <f t="shared" si="75"/>
        <v>9.6645821489482753E-3</v>
      </c>
      <c r="N830" s="21">
        <f>_xll.RssMarket(A830,"高値")</f>
        <v>1791</v>
      </c>
      <c r="O830" s="4">
        <f t="shared" si="76"/>
        <v>-8.3752093802345051E-3</v>
      </c>
      <c r="P830" s="21">
        <f>_xll.RssMarket(A830,"安値")</f>
        <v>1751</v>
      </c>
      <c r="Q830" s="4">
        <f t="shared" si="77"/>
        <v>1.4277555682467247E-2</v>
      </c>
      <c r="R830" s="21">
        <f>_xll.RssMarket(A830,"後場始値")</f>
        <v>1775</v>
      </c>
      <c r="S830" s="25">
        <f t="shared" si="78"/>
        <v>5.6338028169022891E-4</v>
      </c>
      <c r="T830" s="7">
        <f>_xll.RssMarket(A830,"出来高加重平均")</f>
        <v>1769.1143</v>
      </c>
      <c r="U830" s="4">
        <f t="shared" si="79"/>
        <v>3.8921736147856656E-3</v>
      </c>
      <c r="V830" s="21">
        <f>_xll.RssMarket(A830,"出来高")</f>
        <v>353400</v>
      </c>
      <c r="W830" s="21">
        <f>_xll.RssMarket(A830,"売買代金")</f>
        <v>625205</v>
      </c>
      <c r="X830" s="20" t="str">
        <f>_xll.RssMarket(A830,"決算発表日")</f>
        <v>2024/01/31</v>
      </c>
      <c r="Y830" s="26" t="str">
        <f>IF(C830&gt;_xll.RssMarket(A830,"年初来高値"),"○","×")</f>
        <v>×</v>
      </c>
      <c r="Z830" s="27" t="str">
        <f>IF(C830&lt;=_xll.RssMarket(A830,"年初来安値"),"○","×")</f>
        <v>×</v>
      </c>
    </row>
    <row r="831" spans="1:26" x14ac:dyDescent="0.25">
      <c r="A831" s="49">
        <v>7150</v>
      </c>
      <c r="B831" s="20" t="str">
        <f>_xll.RssMarket(A831,"銘柄名称")</f>
        <v>島根銀行</v>
      </c>
      <c r="C831" s="21">
        <f>_xll.RssMarket(A831,"現在値")</f>
        <v>518</v>
      </c>
      <c r="D831" s="20" t="str">
        <f>_xll.RssMarket(A831,"現在値詳細時刻")</f>
        <v>15:00:00</v>
      </c>
      <c r="E831" s="22">
        <f>_xll.RssMarket(A831,"前日比")</f>
        <v>-2</v>
      </c>
      <c r="F831" s="23">
        <f>_xll.RssMarket(A831,"前日比率")/100</f>
        <v>-3.8E-3</v>
      </c>
      <c r="G831" s="24" t="str">
        <f>IFERROR(VLOOKUP(A831,取得元!$A$2:$F$501,2,FALSE),"-")</f>
        <v>-</v>
      </c>
      <c r="H831" s="24" t="str">
        <f>IFERROR(VLOOKUP(A831,取得元!$A$2:$F$501,3,FALSE),"-")</f>
        <v>-</v>
      </c>
      <c r="I831" s="24" t="str">
        <f>IFERROR(VLOOKUP(A831,取得元!$A$2:$F$501,4,FALSE),"-")</f>
        <v>-</v>
      </c>
      <c r="J831" s="5" t="str">
        <f>IFERROR(VLOOKUP(A831,取得元!$A$2:$F$501,5,FALSE),"-")</f>
        <v>-</v>
      </c>
      <c r="K831" s="25" t="str">
        <f>IFERROR(VLOOKUP(A831,取得元!$A$2:$F$501,6,FALSE)/100,"-")</f>
        <v>-</v>
      </c>
      <c r="L831" s="21">
        <f>_xll.RssMarket(A831,"始値")</f>
        <v>516</v>
      </c>
      <c r="M831" s="4">
        <f t="shared" si="75"/>
        <v>3.8759689922480689E-3</v>
      </c>
      <c r="N831" s="21">
        <f>_xll.RssMarket(A831,"高値")</f>
        <v>522</v>
      </c>
      <c r="O831" s="4">
        <f t="shared" si="76"/>
        <v>-7.6628352490420992E-3</v>
      </c>
      <c r="P831" s="21">
        <f>_xll.RssMarket(A831,"安値")</f>
        <v>514</v>
      </c>
      <c r="Q831" s="4">
        <f t="shared" si="77"/>
        <v>7.7821011673151474E-3</v>
      </c>
      <c r="R831" s="21">
        <f>_xll.RssMarket(A831,"後場始値")</f>
        <v>517</v>
      </c>
      <c r="S831" s="25">
        <f t="shared" si="78"/>
        <v>1.9342359767891004E-3</v>
      </c>
      <c r="T831" s="7">
        <f>_xll.RssMarket(A831,"出来高加重平均")</f>
        <v>517.5</v>
      </c>
      <c r="U831" s="4">
        <f t="shared" si="79"/>
        <v>9.6618357487932016E-4</v>
      </c>
      <c r="V831" s="21">
        <f>_xll.RssMarket(A831,"出来高")</f>
        <v>12400</v>
      </c>
      <c r="W831" s="21">
        <f>_xll.RssMarket(A831,"売買代金")</f>
        <v>6417</v>
      </c>
      <c r="X831" s="20" t="str">
        <f>_xll.RssMarket(A831,"決算発表日")</f>
        <v>2024/01/31</v>
      </c>
      <c r="Y831" s="26" t="str">
        <f>IF(C831&gt;_xll.RssMarket(A831,"年初来高値"),"○","×")</f>
        <v>×</v>
      </c>
      <c r="Z831" s="27" t="str">
        <f>IF(C831&lt;=_xll.RssMarket(A831,"年初来安値"),"○","×")</f>
        <v>×</v>
      </c>
    </row>
    <row r="832" spans="1:26" x14ac:dyDescent="0.25">
      <c r="A832" s="47">
        <v>7161</v>
      </c>
      <c r="B832" s="20" t="str">
        <f>_xll.RssMarket(A832,"銘柄名称")</f>
        <v>じもとホールディングス</v>
      </c>
      <c r="C832" s="21">
        <f>_xll.RssMarket(A832,"現在値")</f>
        <v>563</v>
      </c>
      <c r="D832" s="20" t="str">
        <f>_xll.RssMarket(A832,"現在値詳細時刻")</f>
        <v>15:00:00</v>
      </c>
      <c r="E832" s="22">
        <f>_xll.RssMarket(A832,"前日比")</f>
        <v>24</v>
      </c>
      <c r="F832" s="23">
        <f>_xll.RssMarket(A832,"前日比率")/100</f>
        <v>4.4500000000000005E-2</v>
      </c>
      <c r="G832" s="24" t="str">
        <f>IFERROR(VLOOKUP(A832,取得元!$A$2:$F$501,2,FALSE),"-")</f>
        <v>-</v>
      </c>
      <c r="H832" s="24" t="str">
        <f>IFERROR(VLOOKUP(A832,取得元!$A$2:$F$501,3,FALSE),"-")</f>
        <v>-</v>
      </c>
      <c r="I832" s="24" t="str">
        <f>IFERROR(VLOOKUP(A832,取得元!$A$2:$F$501,4,FALSE),"-")</f>
        <v>-</v>
      </c>
      <c r="J832" s="5" t="str">
        <f>IFERROR(VLOOKUP(A832,取得元!$A$2:$F$501,5,FALSE),"-")</f>
        <v>-</v>
      </c>
      <c r="K832" s="25" t="str">
        <f>IFERROR(VLOOKUP(A832,取得元!$A$2:$F$501,6,FALSE)/100,"-")</f>
        <v>-</v>
      </c>
      <c r="L832" s="21">
        <f>_xll.RssMarket(A832,"始値")</f>
        <v>555</v>
      </c>
      <c r="M832" s="4">
        <f t="shared" si="75"/>
        <v>1.4414414414414489E-2</v>
      </c>
      <c r="N832" s="21">
        <f>_xll.RssMarket(A832,"高値")</f>
        <v>564</v>
      </c>
      <c r="O832" s="4">
        <f t="shared" si="76"/>
        <v>-1.7730496453900457E-3</v>
      </c>
      <c r="P832" s="21">
        <f>_xll.RssMarket(A832,"安値")</f>
        <v>548</v>
      </c>
      <c r="Q832" s="4">
        <f t="shared" si="77"/>
        <v>2.7372262773722733E-2</v>
      </c>
      <c r="R832" s="21">
        <f>_xll.RssMarket(A832,"後場始値")</f>
        <v>556</v>
      </c>
      <c r="S832" s="25">
        <f t="shared" si="78"/>
        <v>1.2589928057553879E-2</v>
      </c>
      <c r="T832" s="7">
        <f>_xll.RssMarket(A832,"出来高加重平均")</f>
        <v>557.6413</v>
      </c>
      <c r="U832" s="4">
        <f t="shared" si="79"/>
        <v>9.6095823605604203E-3</v>
      </c>
      <c r="V832" s="21">
        <f>_xll.RssMarket(A832,"出来高")</f>
        <v>228100</v>
      </c>
      <c r="W832" s="21">
        <f>_xll.RssMarket(A832,"売買代金")</f>
        <v>127198</v>
      </c>
      <c r="X832" s="20" t="str">
        <f>_xll.RssMarket(A832,"決算発表日")</f>
        <v>2024/02/06</v>
      </c>
      <c r="Y832" s="26" t="str">
        <f>IF(C832&gt;_xll.RssMarket(A832,"年初来高値"),"○","×")</f>
        <v>×</v>
      </c>
      <c r="Z832" s="27" t="str">
        <f>IF(C832&lt;=_xll.RssMarket(A832,"年初来安値"),"○","×")</f>
        <v>×</v>
      </c>
    </row>
    <row r="833" spans="1:26" x14ac:dyDescent="0.25">
      <c r="A833" s="49">
        <v>7163</v>
      </c>
      <c r="B833" s="20" t="str">
        <f>_xll.RssMarket(A833,"銘柄名称")</f>
        <v>住信ＳＢＩネット銀行</v>
      </c>
      <c r="C833" s="21">
        <f>_xll.RssMarket(A833,"現在値")</f>
        <v>1720</v>
      </c>
      <c r="D833" s="20" t="str">
        <f>_xll.RssMarket(A833,"現在値詳細時刻")</f>
        <v>15:00:00</v>
      </c>
      <c r="E833" s="22">
        <f>_xll.RssMarket(A833,"前日比")</f>
        <v>5</v>
      </c>
      <c r="F833" s="23">
        <f>_xll.RssMarket(A833,"前日比率")/100</f>
        <v>2.8999999999999998E-3</v>
      </c>
      <c r="G833" s="24" t="str">
        <f>IFERROR(VLOOKUP(A833,取得元!$A$2:$F$501,2,FALSE),"-")</f>
        <v>-</v>
      </c>
      <c r="H833" s="24" t="str">
        <f>IFERROR(VLOOKUP(A833,取得元!$A$2:$F$501,3,FALSE),"-")</f>
        <v>-</v>
      </c>
      <c r="I833" s="24" t="str">
        <f>IFERROR(VLOOKUP(A833,取得元!$A$2:$F$501,4,FALSE),"-")</f>
        <v>-</v>
      </c>
      <c r="J833" s="5" t="str">
        <f>IFERROR(VLOOKUP(A833,取得元!$A$2:$F$501,5,FALSE),"-")</f>
        <v>-</v>
      </c>
      <c r="K833" s="25" t="str">
        <f>IFERROR(VLOOKUP(A833,取得元!$A$2:$F$501,6,FALSE)/100,"-")</f>
        <v>-</v>
      </c>
      <c r="L833" s="21">
        <f>_xll.RssMarket(A833,"始値")</f>
        <v>1717</v>
      </c>
      <c r="M833" s="4">
        <f t="shared" si="75"/>
        <v>1.7472335468839972E-3</v>
      </c>
      <c r="N833" s="21">
        <f>_xll.RssMarket(A833,"高値")</f>
        <v>1733</v>
      </c>
      <c r="O833" s="4">
        <f t="shared" si="76"/>
        <v>-7.5014425851125388E-3</v>
      </c>
      <c r="P833" s="21">
        <f>_xll.RssMarket(A833,"安値")</f>
        <v>1709</v>
      </c>
      <c r="Q833" s="4">
        <f t="shared" si="77"/>
        <v>6.4365125804564105E-3</v>
      </c>
      <c r="R833" s="21">
        <f>_xll.RssMarket(A833,"後場始値")</f>
        <v>1727</v>
      </c>
      <c r="S833" s="25">
        <f t="shared" si="78"/>
        <v>-4.0532715691951049E-3</v>
      </c>
      <c r="T833" s="7">
        <f>_xll.RssMarket(A833,"出来高加重平均")</f>
        <v>1722.4641999999999</v>
      </c>
      <c r="U833" s="4">
        <f t="shared" si="79"/>
        <v>-1.4306247990523158E-3</v>
      </c>
      <c r="V833" s="21">
        <f>_xll.RssMarket(A833,"出来高")</f>
        <v>664700</v>
      </c>
      <c r="W833" s="21">
        <f>_xll.RssMarket(A833,"売買代金")</f>
        <v>1144922</v>
      </c>
      <c r="X833" s="20" t="str">
        <f>_xll.RssMarket(A833,"決算発表日")</f>
        <v>2024/01/29</v>
      </c>
      <c r="Y833" s="26" t="str">
        <f>IF(C833&gt;_xll.RssMarket(A833,"年初来高値"),"○","×")</f>
        <v>×</v>
      </c>
      <c r="Z833" s="27" t="str">
        <f>IF(C833&lt;=_xll.RssMarket(A833,"年初来安値"),"○","×")</f>
        <v>×</v>
      </c>
    </row>
    <row r="834" spans="1:26" x14ac:dyDescent="0.25">
      <c r="A834" s="47">
        <v>7167</v>
      </c>
      <c r="B834" s="20" t="str">
        <f>_xll.RssMarket(A834,"銘柄名称")</f>
        <v>めぶきフィナンシャルＧ</v>
      </c>
      <c r="C834" s="21">
        <f>_xll.RssMarket(A834,"現在値")</f>
        <v>433.1</v>
      </c>
      <c r="D834" s="20" t="str">
        <f>_xll.RssMarket(A834,"現在値詳細時刻")</f>
        <v>15:00:00</v>
      </c>
      <c r="E834" s="22">
        <f>_xll.RssMarket(A834,"前日比")</f>
        <v>-0.6</v>
      </c>
      <c r="F834" s="23">
        <f>_xll.RssMarket(A834,"前日比率")/100</f>
        <v>-1.4000000000000002E-3</v>
      </c>
      <c r="G834" s="24" t="str">
        <f>IFERROR(VLOOKUP(A834,取得元!$A$2:$F$501,2,FALSE),"-")</f>
        <v>-</v>
      </c>
      <c r="H834" s="24" t="str">
        <f>IFERROR(VLOOKUP(A834,取得元!$A$2:$F$501,3,FALSE),"-")</f>
        <v>-</v>
      </c>
      <c r="I834" s="24" t="str">
        <f>IFERROR(VLOOKUP(A834,取得元!$A$2:$F$501,4,FALSE),"-")</f>
        <v>-</v>
      </c>
      <c r="J834" s="5" t="str">
        <f>IFERROR(VLOOKUP(A834,取得元!$A$2:$F$501,5,FALSE),"-")</f>
        <v>-</v>
      </c>
      <c r="K834" s="25" t="str">
        <f>IFERROR(VLOOKUP(A834,取得元!$A$2:$F$501,6,FALSE)/100,"-")</f>
        <v>-</v>
      </c>
      <c r="L834" s="21">
        <f>_xll.RssMarket(A834,"始値")</f>
        <v>431.1</v>
      </c>
      <c r="M834" s="4">
        <f t="shared" si="75"/>
        <v>4.6392948271862799E-3</v>
      </c>
      <c r="N834" s="21">
        <f>_xll.RssMarket(A834,"高値")</f>
        <v>435.2</v>
      </c>
      <c r="O834" s="4">
        <f t="shared" si="76"/>
        <v>-4.8253676470587648E-3</v>
      </c>
      <c r="P834" s="21">
        <f>_xll.RssMarket(A834,"安値")</f>
        <v>428.5</v>
      </c>
      <c r="Q834" s="4">
        <f t="shared" si="77"/>
        <v>1.0735122520420193E-2</v>
      </c>
      <c r="R834" s="21">
        <f>_xll.RssMarket(A834,"後場始値")</f>
        <v>430</v>
      </c>
      <c r="S834" s="25">
        <f t="shared" si="78"/>
        <v>7.2093023255814792E-3</v>
      </c>
      <c r="T834" s="7">
        <f>_xll.RssMarket(A834,"出来高加重平均")</f>
        <v>431.9323</v>
      </c>
      <c r="U834" s="4">
        <f t="shared" si="79"/>
        <v>2.7034329222428433E-3</v>
      </c>
      <c r="V834" s="21">
        <f>_xll.RssMarket(A834,"出来高")</f>
        <v>2703400</v>
      </c>
      <c r="W834" s="21">
        <f>_xll.RssMarket(A834,"売買代金")</f>
        <v>1167686</v>
      </c>
      <c r="X834" s="20" t="str">
        <f>_xll.RssMarket(A834,"決算発表日")</f>
        <v>2024/02/07</v>
      </c>
      <c r="Y834" s="26" t="str">
        <f>IF(C834&gt;_xll.RssMarket(A834,"年初来高値"),"○","×")</f>
        <v>×</v>
      </c>
      <c r="Z834" s="27" t="str">
        <f>IF(C834&lt;=_xll.RssMarket(A834,"年初来安値"),"○","×")</f>
        <v>×</v>
      </c>
    </row>
    <row r="835" spans="1:26" x14ac:dyDescent="0.25">
      <c r="A835" s="49">
        <v>7172</v>
      </c>
      <c r="B835" s="20" t="str">
        <f>_xll.RssMarket(A835,"銘柄名称")</f>
        <v>ジャパンインベストメントＡ</v>
      </c>
      <c r="C835" s="21">
        <f>_xll.RssMarket(A835,"現在値")</f>
        <v>945</v>
      </c>
      <c r="D835" s="20" t="str">
        <f>_xll.RssMarket(A835,"現在値詳細時刻")</f>
        <v>15:00:00</v>
      </c>
      <c r="E835" s="22">
        <f>_xll.RssMarket(A835,"前日比")</f>
        <v>15</v>
      </c>
      <c r="F835" s="23">
        <f>_xll.RssMarket(A835,"前日比率")/100</f>
        <v>1.61E-2</v>
      </c>
      <c r="G835" s="24" t="str">
        <f>IFERROR(VLOOKUP(A835,取得元!$A$2:$F$501,2,FALSE),"-")</f>
        <v>-</v>
      </c>
      <c r="H835" s="24" t="str">
        <f>IFERROR(VLOOKUP(A835,取得元!$A$2:$F$501,3,FALSE),"-")</f>
        <v>-</v>
      </c>
      <c r="I835" s="24" t="str">
        <f>IFERROR(VLOOKUP(A835,取得元!$A$2:$F$501,4,FALSE),"-")</f>
        <v>-</v>
      </c>
      <c r="J835" s="5" t="str">
        <f>IFERROR(VLOOKUP(A835,取得元!$A$2:$F$501,5,FALSE),"-")</f>
        <v>-</v>
      </c>
      <c r="K835" s="25" t="str">
        <f>IFERROR(VLOOKUP(A835,取得元!$A$2:$F$501,6,FALSE)/100,"-")</f>
        <v>-</v>
      </c>
      <c r="L835" s="21">
        <f>_xll.RssMarket(A835,"始値")</f>
        <v>933</v>
      </c>
      <c r="M835" s="4">
        <f t="shared" si="75"/>
        <v>1.2861736334405238E-2</v>
      </c>
      <c r="N835" s="21">
        <f>_xll.RssMarket(A835,"高値")</f>
        <v>945</v>
      </c>
      <c r="O835" s="4">
        <f t="shared" si="76"/>
        <v>0</v>
      </c>
      <c r="P835" s="21">
        <f>_xll.RssMarket(A835,"安値")</f>
        <v>919</v>
      </c>
      <c r="Q835" s="4">
        <f t="shared" si="77"/>
        <v>2.8291621327529937E-2</v>
      </c>
      <c r="R835" s="21">
        <f>_xll.RssMarket(A835,"後場始値")</f>
        <v>925</v>
      </c>
      <c r="S835" s="25">
        <f t="shared" si="78"/>
        <v>2.1621621621621623E-2</v>
      </c>
      <c r="T835" s="7">
        <f>_xll.RssMarket(A835,"出来高加重平均")</f>
        <v>934.351</v>
      </c>
      <c r="U835" s="4">
        <f t="shared" si="79"/>
        <v>1.1397215821463247E-2</v>
      </c>
      <c r="V835" s="21">
        <f>_xll.RssMarket(A835,"出来高")</f>
        <v>266600</v>
      </c>
      <c r="W835" s="21">
        <f>_xll.RssMarket(A835,"売買代金")</f>
        <v>249098</v>
      </c>
      <c r="X835" s="20" t="str">
        <f>_xll.RssMarket(A835,"決算発表日")</f>
        <v>2024/02/09</v>
      </c>
      <c r="Y835" s="26" t="str">
        <f>IF(C835&gt;_xll.RssMarket(A835,"年初来高値"),"○","×")</f>
        <v>×</v>
      </c>
      <c r="Z835" s="27" t="str">
        <f>IF(C835&lt;=_xll.RssMarket(A835,"年初来安値"),"○","×")</f>
        <v>×</v>
      </c>
    </row>
    <row r="836" spans="1:26" x14ac:dyDescent="0.25">
      <c r="A836" s="47">
        <v>7175</v>
      </c>
      <c r="B836" s="20" t="str">
        <f>_xll.RssMarket(A836,"銘柄名称")</f>
        <v>今村証券</v>
      </c>
      <c r="C836" s="21">
        <f>_xll.RssMarket(A836,"現在値")</f>
        <v>1114</v>
      </c>
      <c r="D836" s="20" t="str">
        <f>_xll.RssMarket(A836,"現在値詳細時刻")</f>
        <v>12:44:52</v>
      </c>
      <c r="E836" s="22">
        <f>_xll.RssMarket(A836,"前日比")</f>
        <v>-6</v>
      </c>
      <c r="F836" s="23">
        <f>_xll.RssMarket(A836,"前日比率")/100</f>
        <v>-5.4000000000000003E-3</v>
      </c>
      <c r="G836" s="24" t="str">
        <f>IFERROR(VLOOKUP(A836,取得元!$A$2:$F$501,2,FALSE),"-")</f>
        <v>-</v>
      </c>
      <c r="H836" s="24" t="str">
        <f>IFERROR(VLOOKUP(A836,取得元!$A$2:$F$501,3,FALSE),"-")</f>
        <v>-</v>
      </c>
      <c r="I836" s="24" t="str">
        <f>IFERROR(VLOOKUP(A836,取得元!$A$2:$F$501,4,FALSE),"-")</f>
        <v>-</v>
      </c>
      <c r="J836" s="5" t="str">
        <f>IFERROR(VLOOKUP(A836,取得元!$A$2:$F$501,5,FALSE),"-")</f>
        <v>-</v>
      </c>
      <c r="K836" s="25" t="str">
        <f>IFERROR(VLOOKUP(A836,取得元!$A$2:$F$501,6,FALSE)/100,"-")</f>
        <v>-</v>
      </c>
      <c r="L836" s="21">
        <f>_xll.RssMarket(A836,"始値")</f>
        <v>1127</v>
      </c>
      <c r="M836" s="4">
        <f t="shared" si="75"/>
        <v>-1.1535048802129522E-2</v>
      </c>
      <c r="N836" s="21">
        <f>_xll.RssMarket(A836,"高値")</f>
        <v>1127</v>
      </c>
      <c r="O836" s="4">
        <f t="shared" si="76"/>
        <v>-1.1535048802129522E-2</v>
      </c>
      <c r="P836" s="21">
        <f>_xll.RssMarket(A836,"安値")</f>
        <v>1114</v>
      </c>
      <c r="Q836" s="4">
        <f t="shared" si="77"/>
        <v>0</v>
      </c>
      <c r="R836" s="21">
        <f>_xll.RssMarket(A836,"後場始値")</f>
        <v>1115</v>
      </c>
      <c r="S836" s="25">
        <f t="shared" si="78"/>
        <v>-8.9686098654706559E-4</v>
      </c>
      <c r="T836" s="7">
        <f>_xll.RssMarket(A836,"出来高加重平均")</f>
        <v>1120</v>
      </c>
      <c r="U836" s="4">
        <f t="shared" si="79"/>
        <v>-5.3571428571428381E-3</v>
      </c>
      <c r="V836" s="21">
        <f>_xll.RssMarket(A836,"出来高")</f>
        <v>900</v>
      </c>
      <c r="W836" s="21">
        <f>_xll.RssMarket(A836,"売買代金")</f>
        <v>1008</v>
      </c>
      <c r="X836" s="20" t="str">
        <f>_xll.RssMarket(A836,"決算発表日")</f>
        <v>2024/01/30</v>
      </c>
      <c r="Y836" s="26" t="str">
        <f>IF(C836&gt;_xll.RssMarket(A836,"年初来高値"),"○","×")</f>
        <v>×</v>
      </c>
      <c r="Z836" s="27" t="str">
        <f>IF(C836&lt;=_xll.RssMarket(A836,"年初来安値"),"○","×")</f>
        <v>×</v>
      </c>
    </row>
    <row r="837" spans="1:26" x14ac:dyDescent="0.25">
      <c r="A837" s="49">
        <v>7177</v>
      </c>
      <c r="B837" s="20" t="str">
        <f>_xll.RssMarket(A837,"銘柄名称")</f>
        <v>ＧＭＯフィナンシャルＨＬＤＧＳ</v>
      </c>
      <c r="C837" s="21">
        <f>_xll.RssMarket(A837,"現在値")</f>
        <v>671</v>
      </c>
      <c r="D837" s="20" t="str">
        <f>_xll.RssMarket(A837,"現在値詳細時刻")</f>
        <v>15:00:00</v>
      </c>
      <c r="E837" s="22">
        <f>_xll.RssMarket(A837,"前日比")</f>
        <v>-19</v>
      </c>
      <c r="F837" s="23">
        <f>_xll.RssMarket(A837,"前日比率")/100</f>
        <v>-2.75E-2</v>
      </c>
      <c r="G837" s="24" t="str">
        <f>IFERROR(VLOOKUP(A837,取得元!$A$2:$F$501,2,FALSE),"-")</f>
        <v>-</v>
      </c>
      <c r="H837" s="24" t="str">
        <f>IFERROR(VLOOKUP(A837,取得元!$A$2:$F$501,3,FALSE),"-")</f>
        <v>-</v>
      </c>
      <c r="I837" s="24" t="str">
        <f>IFERROR(VLOOKUP(A837,取得元!$A$2:$F$501,4,FALSE),"-")</f>
        <v>-</v>
      </c>
      <c r="J837" s="5" t="str">
        <f>IFERROR(VLOOKUP(A837,取得元!$A$2:$F$501,5,FALSE),"-")</f>
        <v>-</v>
      </c>
      <c r="K837" s="25" t="str">
        <f>IFERROR(VLOOKUP(A837,取得元!$A$2:$F$501,6,FALSE)/100,"-")</f>
        <v>-</v>
      </c>
      <c r="L837" s="21">
        <f>_xll.RssMarket(A837,"始値")</f>
        <v>687</v>
      </c>
      <c r="M837" s="4">
        <f t="shared" si="75"/>
        <v>-2.3289665211062571E-2</v>
      </c>
      <c r="N837" s="21">
        <f>_xll.RssMarket(A837,"高値")</f>
        <v>689</v>
      </c>
      <c r="O837" s="4">
        <f t="shared" si="76"/>
        <v>-2.6124818577648812E-2</v>
      </c>
      <c r="P837" s="21">
        <f>_xll.RssMarket(A837,"安値")</f>
        <v>669</v>
      </c>
      <c r="Q837" s="4">
        <f t="shared" si="77"/>
        <v>2.989536621823552E-3</v>
      </c>
      <c r="R837" s="21">
        <f>_xll.RssMarket(A837,"後場始値")</f>
        <v>677</v>
      </c>
      <c r="S837" s="25">
        <f t="shared" si="78"/>
        <v>-8.8626292466764678E-3</v>
      </c>
      <c r="T837" s="7">
        <f>_xll.RssMarket(A837,"出来高加重平均")</f>
        <v>676.41020000000003</v>
      </c>
      <c r="U837" s="4">
        <f t="shared" si="79"/>
        <v>-7.9984009702988024E-3</v>
      </c>
      <c r="V837" s="21">
        <f>_xll.RssMarket(A837,"出来高")</f>
        <v>988100</v>
      </c>
      <c r="W837" s="21">
        <f>_xll.RssMarket(A837,"売買代金")</f>
        <v>668361</v>
      </c>
      <c r="X837" s="20" t="str">
        <f>_xll.RssMarket(A837,"決算発表日")</f>
        <v>2024/02/05</v>
      </c>
      <c r="Y837" s="26" t="str">
        <f>IF(C837&gt;_xll.RssMarket(A837,"年初来高値"),"○","×")</f>
        <v>×</v>
      </c>
      <c r="Z837" s="27" t="str">
        <f>IF(C837&lt;=_xll.RssMarket(A837,"年初来安値"),"○","×")</f>
        <v>×</v>
      </c>
    </row>
    <row r="838" spans="1:26" x14ac:dyDescent="0.25">
      <c r="A838" s="47">
        <v>7180</v>
      </c>
      <c r="B838" s="20" t="str">
        <f>_xll.RssMarket(A838,"銘柄名称")</f>
        <v>九州フィナンシャルＧ</v>
      </c>
      <c r="C838" s="21">
        <f>_xll.RssMarket(A838,"現在値")</f>
        <v>958.5</v>
      </c>
      <c r="D838" s="20" t="str">
        <f>_xll.RssMarket(A838,"現在値詳細時刻")</f>
        <v>15:00:00</v>
      </c>
      <c r="E838" s="22">
        <f>_xll.RssMarket(A838,"前日比")</f>
        <v>-0.4</v>
      </c>
      <c r="F838" s="23">
        <f>_xll.RssMarket(A838,"前日比率")/100</f>
        <v>-4.0000000000000002E-4</v>
      </c>
      <c r="G838" s="24" t="str">
        <f>IFERROR(VLOOKUP(A838,取得元!$A$2:$F$501,2,FALSE),"-")</f>
        <v>-</v>
      </c>
      <c r="H838" s="24" t="str">
        <f>IFERROR(VLOOKUP(A838,取得元!$A$2:$F$501,3,FALSE),"-")</f>
        <v>-</v>
      </c>
      <c r="I838" s="24" t="str">
        <f>IFERROR(VLOOKUP(A838,取得元!$A$2:$F$501,4,FALSE),"-")</f>
        <v>-</v>
      </c>
      <c r="J838" s="5" t="str">
        <f>IFERROR(VLOOKUP(A838,取得元!$A$2:$F$501,5,FALSE),"-")</f>
        <v>-</v>
      </c>
      <c r="K838" s="25" t="str">
        <f>IFERROR(VLOOKUP(A838,取得元!$A$2:$F$501,6,FALSE)/100,"-")</f>
        <v>-</v>
      </c>
      <c r="L838" s="21">
        <f>_xll.RssMarket(A838,"始値")</f>
        <v>960</v>
      </c>
      <c r="M838" s="4">
        <f t="shared" si="75"/>
        <v>-1.5625000000000222E-3</v>
      </c>
      <c r="N838" s="21">
        <f>_xll.RssMarket(A838,"高値")</f>
        <v>966.7</v>
      </c>
      <c r="O838" s="4">
        <f t="shared" si="76"/>
        <v>-8.482466121857879E-3</v>
      </c>
      <c r="P838" s="21">
        <f>_xll.RssMarket(A838,"安値")</f>
        <v>941.7</v>
      </c>
      <c r="Q838" s="4">
        <f t="shared" si="77"/>
        <v>1.7840076457470433E-2</v>
      </c>
      <c r="R838" s="21">
        <f>_xll.RssMarket(A838,"後場始値")</f>
        <v>950</v>
      </c>
      <c r="S838" s="25">
        <f t="shared" si="78"/>
        <v>8.9473684210525928E-3</v>
      </c>
      <c r="T838" s="7">
        <f>_xll.RssMarket(A838,"出来高加重平均")</f>
        <v>954.04960000000005</v>
      </c>
      <c r="U838" s="4">
        <f t="shared" si="79"/>
        <v>4.6647469900935601E-3</v>
      </c>
      <c r="V838" s="21">
        <f>_xll.RssMarket(A838,"出来高")</f>
        <v>2753800</v>
      </c>
      <c r="W838" s="21">
        <f>_xll.RssMarket(A838,"売買代金")</f>
        <v>2627262</v>
      </c>
      <c r="X838" s="20" t="str">
        <f>_xll.RssMarket(A838,"決算発表日")</f>
        <v>2024/02/08</v>
      </c>
      <c r="Y838" s="26" t="str">
        <f>IF(C838&gt;_xll.RssMarket(A838,"年初来高値"),"○","×")</f>
        <v>×</v>
      </c>
      <c r="Z838" s="27" t="str">
        <f>IF(C838&lt;=_xll.RssMarket(A838,"年初来安値"),"○","×")</f>
        <v>×</v>
      </c>
    </row>
    <row r="839" spans="1:26" x14ac:dyDescent="0.25">
      <c r="A839" s="49">
        <v>7182</v>
      </c>
      <c r="B839" s="20" t="str">
        <f>_xll.RssMarket(A839,"銘柄名称")</f>
        <v>ゆうちょ銀行</v>
      </c>
      <c r="C839" s="21">
        <f>_xll.RssMarket(A839,"現在値")</f>
        <v>1503.5</v>
      </c>
      <c r="D839" s="20" t="str">
        <f>_xll.RssMarket(A839,"現在値詳細時刻")</f>
        <v>15:00:00</v>
      </c>
      <c r="E839" s="22">
        <f>_xll.RssMarket(A839,"前日比")</f>
        <v>-2.5</v>
      </c>
      <c r="F839" s="23">
        <f>_xll.RssMarket(A839,"前日比率")/100</f>
        <v>-1.7000000000000001E-3</v>
      </c>
      <c r="G839" s="24" t="str">
        <f>IFERROR(VLOOKUP(A839,取得元!$A$2:$F$501,2,FALSE),"-")</f>
        <v>-</v>
      </c>
      <c r="H839" s="24" t="str">
        <f>IFERROR(VLOOKUP(A839,取得元!$A$2:$F$501,3,FALSE),"-")</f>
        <v>-</v>
      </c>
      <c r="I839" s="24" t="str">
        <f>IFERROR(VLOOKUP(A839,取得元!$A$2:$F$501,4,FALSE),"-")</f>
        <v>-</v>
      </c>
      <c r="J839" s="5" t="str">
        <f>IFERROR(VLOOKUP(A839,取得元!$A$2:$F$501,5,FALSE),"-")</f>
        <v>-</v>
      </c>
      <c r="K839" s="25" t="str">
        <f>IFERROR(VLOOKUP(A839,取得元!$A$2:$F$501,6,FALSE)/100,"-")</f>
        <v>-</v>
      </c>
      <c r="L839" s="21">
        <f>_xll.RssMarket(A839,"始値")</f>
        <v>1500</v>
      </c>
      <c r="M839" s="4">
        <f t="shared" si="75"/>
        <v>2.3333333333332984E-3</v>
      </c>
      <c r="N839" s="21">
        <f>_xll.RssMarket(A839,"高値")</f>
        <v>1505</v>
      </c>
      <c r="O839" s="4">
        <f t="shared" si="76"/>
        <v>-9.966777408637606E-4</v>
      </c>
      <c r="P839" s="21">
        <f>_xll.RssMarket(A839,"安値")</f>
        <v>1488</v>
      </c>
      <c r="Q839" s="4">
        <f t="shared" si="77"/>
        <v>1.0416666666666741E-2</v>
      </c>
      <c r="R839" s="21">
        <f>_xll.RssMarket(A839,"後場始値")</f>
        <v>1493</v>
      </c>
      <c r="S839" s="25">
        <f t="shared" si="78"/>
        <v>7.0328198258540198E-3</v>
      </c>
      <c r="T839" s="7">
        <f>_xll.RssMarket(A839,"出来高加重平均")</f>
        <v>1497.7833000000001</v>
      </c>
      <c r="U839" s="4">
        <f t="shared" si="79"/>
        <v>3.8167737615981689E-3</v>
      </c>
      <c r="V839" s="21">
        <f>_xll.RssMarket(A839,"出来高")</f>
        <v>5931600</v>
      </c>
      <c r="W839" s="21">
        <f>_xll.RssMarket(A839,"売買代金")</f>
        <v>8884252</v>
      </c>
      <c r="X839" s="20" t="str">
        <f>_xll.RssMarket(A839,"決算発表日")</f>
        <v>2024/02/14</v>
      </c>
      <c r="Y839" s="26" t="str">
        <f>IF(C839&gt;_xll.RssMarket(A839,"年初来高値"),"○","×")</f>
        <v>×</v>
      </c>
      <c r="Z839" s="27" t="str">
        <f>IF(C839&lt;=_xll.RssMarket(A839,"年初来安値"),"○","×")</f>
        <v>×</v>
      </c>
    </row>
    <row r="840" spans="1:26" x14ac:dyDescent="0.25">
      <c r="A840" s="47">
        <v>7183</v>
      </c>
      <c r="B840" s="20" t="str">
        <f>_xll.RssMarket(A840,"銘柄名称")</f>
        <v>あんしん保証</v>
      </c>
      <c r="C840" s="21">
        <f>_xll.RssMarket(A840,"現在値")</f>
        <v>250</v>
      </c>
      <c r="D840" s="20" t="str">
        <f>_xll.RssMarket(A840,"現在値詳細時刻")</f>
        <v>15:00:00</v>
      </c>
      <c r="E840" s="22">
        <f>_xll.RssMarket(A840,"前日比")</f>
        <v>0</v>
      </c>
      <c r="F840" s="23">
        <f>_xll.RssMarket(A840,"前日比率")/100</f>
        <v>0</v>
      </c>
      <c r="G840" s="24" t="str">
        <f>IFERROR(VLOOKUP(A840,取得元!$A$2:$F$501,2,FALSE),"-")</f>
        <v>-</v>
      </c>
      <c r="H840" s="24" t="str">
        <f>IFERROR(VLOOKUP(A840,取得元!$A$2:$F$501,3,FALSE),"-")</f>
        <v>-</v>
      </c>
      <c r="I840" s="24" t="str">
        <f>IFERROR(VLOOKUP(A840,取得元!$A$2:$F$501,4,FALSE),"-")</f>
        <v>-</v>
      </c>
      <c r="J840" s="5" t="str">
        <f>IFERROR(VLOOKUP(A840,取得元!$A$2:$F$501,5,FALSE),"-")</f>
        <v>-</v>
      </c>
      <c r="K840" s="25" t="str">
        <f>IFERROR(VLOOKUP(A840,取得元!$A$2:$F$501,6,FALSE)/100,"-")</f>
        <v>-</v>
      </c>
      <c r="L840" s="21">
        <f>_xll.RssMarket(A840,"始値")</f>
        <v>258</v>
      </c>
      <c r="M840" s="4">
        <f t="shared" si="75"/>
        <v>-3.1007751937984551E-2</v>
      </c>
      <c r="N840" s="21">
        <f>_xll.RssMarket(A840,"高値")</f>
        <v>275</v>
      </c>
      <c r="O840" s="4">
        <f t="shared" si="76"/>
        <v>-9.0909090909090939E-2</v>
      </c>
      <c r="P840" s="21">
        <f>_xll.RssMarket(A840,"安値")</f>
        <v>250</v>
      </c>
      <c r="Q840" s="4">
        <f t="shared" si="77"/>
        <v>0</v>
      </c>
      <c r="R840" s="21">
        <f>_xll.RssMarket(A840,"後場始値")</f>
        <v>253</v>
      </c>
      <c r="S840" s="25">
        <f t="shared" si="78"/>
        <v>-1.1857707509881465E-2</v>
      </c>
      <c r="T840" s="7">
        <f>_xll.RssMarket(A840,"出来高加重平均")</f>
        <v>259.89100000000002</v>
      </c>
      <c r="U840" s="4">
        <f t="shared" si="79"/>
        <v>-3.8058262887133543E-2</v>
      </c>
      <c r="V840" s="21">
        <f>_xll.RssMarket(A840,"出来高")</f>
        <v>101000</v>
      </c>
      <c r="W840" s="21">
        <f>_xll.RssMarket(A840,"売買代金")</f>
        <v>26249</v>
      </c>
      <c r="X840" s="20" t="str">
        <f>_xll.RssMarket(A840,"決算発表日")</f>
        <v>2024/02/09</v>
      </c>
      <c r="Y840" s="26" t="str">
        <f>IF(C840&gt;_xll.RssMarket(A840,"年初来高値"),"○","×")</f>
        <v>×</v>
      </c>
      <c r="Z840" s="27" t="str">
        <f>IF(C840&lt;=_xll.RssMarket(A840,"年初来安値"),"○","×")</f>
        <v>×</v>
      </c>
    </row>
    <row r="841" spans="1:26" x14ac:dyDescent="0.25">
      <c r="A841" s="49">
        <v>7184</v>
      </c>
      <c r="B841" s="20" t="str">
        <f>_xll.RssMarket(A841,"銘柄名称")</f>
        <v>富山第一銀行</v>
      </c>
      <c r="C841" s="21">
        <f>_xll.RssMarket(A841,"現在値")</f>
        <v>849</v>
      </c>
      <c r="D841" s="20" t="str">
        <f>_xll.RssMarket(A841,"現在値詳細時刻")</f>
        <v>15:00:00</v>
      </c>
      <c r="E841" s="22">
        <f>_xll.RssMarket(A841,"前日比")</f>
        <v>-10</v>
      </c>
      <c r="F841" s="23">
        <f>_xll.RssMarket(A841,"前日比率")/100</f>
        <v>-1.1599999999999999E-2</v>
      </c>
      <c r="G841" s="24" t="str">
        <f>IFERROR(VLOOKUP(A841,取得元!$A$2:$F$501,2,FALSE),"-")</f>
        <v>-</v>
      </c>
      <c r="H841" s="24" t="str">
        <f>IFERROR(VLOOKUP(A841,取得元!$A$2:$F$501,3,FALSE),"-")</f>
        <v>-</v>
      </c>
      <c r="I841" s="24" t="str">
        <f>IFERROR(VLOOKUP(A841,取得元!$A$2:$F$501,4,FALSE),"-")</f>
        <v>-</v>
      </c>
      <c r="J841" s="5" t="str">
        <f>IFERROR(VLOOKUP(A841,取得元!$A$2:$F$501,5,FALSE),"-")</f>
        <v>-</v>
      </c>
      <c r="K841" s="25" t="str">
        <f>IFERROR(VLOOKUP(A841,取得元!$A$2:$F$501,6,FALSE)/100,"-")</f>
        <v>-</v>
      </c>
      <c r="L841" s="21">
        <f>_xll.RssMarket(A841,"始値")</f>
        <v>851</v>
      </c>
      <c r="M841" s="4">
        <f t="shared" si="75"/>
        <v>-2.3501762632197609E-3</v>
      </c>
      <c r="N841" s="21">
        <f>_xll.RssMarket(A841,"高値")</f>
        <v>857</v>
      </c>
      <c r="O841" s="4">
        <f t="shared" si="76"/>
        <v>-9.334889148191361E-3</v>
      </c>
      <c r="P841" s="21">
        <f>_xll.RssMarket(A841,"安値")</f>
        <v>842</v>
      </c>
      <c r="Q841" s="4">
        <f t="shared" si="77"/>
        <v>8.3135391923989665E-3</v>
      </c>
      <c r="R841" s="21">
        <f>_xll.RssMarket(A841,"後場始値")</f>
        <v>845</v>
      </c>
      <c r="S841" s="25">
        <f t="shared" si="78"/>
        <v>4.7337278106509562E-3</v>
      </c>
      <c r="T841" s="7">
        <f>_xll.RssMarket(A841,"出来高加重平均")</f>
        <v>848.96119999999996</v>
      </c>
      <c r="U841" s="4">
        <f t="shared" si="79"/>
        <v>4.5702913160194925E-5</v>
      </c>
      <c r="V841" s="21">
        <f>_xll.RssMarket(A841,"出来高")</f>
        <v>319600</v>
      </c>
      <c r="W841" s="21">
        <f>_xll.RssMarket(A841,"売買代金")</f>
        <v>271328</v>
      </c>
      <c r="X841" s="20" t="str">
        <f>_xll.RssMarket(A841,"決算発表日")</f>
        <v>2024/02/02</v>
      </c>
      <c r="Y841" s="26" t="str">
        <f>IF(C841&gt;_xll.RssMarket(A841,"年初来高値"),"○","×")</f>
        <v>×</v>
      </c>
      <c r="Z841" s="27" t="str">
        <f>IF(C841&lt;=_xll.RssMarket(A841,"年初来安値"),"○","×")</f>
        <v>×</v>
      </c>
    </row>
    <row r="842" spans="1:26" x14ac:dyDescent="0.25">
      <c r="A842" s="47">
        <v>7186</v>
      </c>
      <c r="B842" s="20" t="str">
        <f>_xll.RssMarket(A842,"銘柄名称")</f>
        <v>コンコルディア・フィナンシャル</v>
      </c>
      <c r="C842" s="21">
        <f>_xll.RssMarket(A842,"現在値")</f>
        <v>699.7</v>
      </c>
      <c r="D842" s="20" t="str">
        <f>_xll.RssMarket(A842,"現在値詳細時刻")</f>
        <v>15:00:00</v>
      </c>
      <c r="E842" s="22">
        <f>_xll.RssMarket(A842,"前日比")</f>
        <v>9.1</v>
      </c>
      <c r="F842" s="23">
        <f>_xll.RssMarket(A842,"前日比率")/100</f>
        <v>1.32E-2</v>
      </c>
      <c r="G842" s="24" t="str">
        <f>IFERROR(VLOOKUP(A842,取得元!$A$2:$F$501,2,FALSE),"-")</f>
        <v>-</v>
      </c>
      <c r="H842" s="24" t="str">
        <f>IFERROR(VLOOKUP(A842,取得元!$A$2:$F$501,3,FALSE),"-")</f>
        <v>-</v>
      </c>
      <c r="I842" s="24" t="str">
        <f>IFERROR(VLOOKUP(A842,取得元!$A$2:$F$501,4,FALSE),"-")</f>
        <v>-</v>
      </c>
      <c r="J842" s="5" t="str">
        <f>IFERROR(VLOOKUP(A842,取得元!$A$2:$F$501,5,FALSE),"-")</f>
        <v>-</v>
      </c>
      <c r="K842" s="25" t="str">
        <f>IFERROR(VLOOKUP(A842,取得元!$A$2:$F$501,6,FALSE)/100,"-")</f>
        <v>-</v>
      </c>
      <c r="L842" s="21">
        <f>_xll.RssMarket(A842,"始値")</f>
        <v>695.7</v>
      </c>
      <c r="M842" s="4">
        <f t="shared" si="75"/>
        <v>5.7496047146758933E-3</v>
      </c>
      <c r="N842" s="21">
        <f>_xll.RssMarket(A842,"高値")</f>
        <v>702</v>
      </c>
      <c r="O842" s="4">
        <f t="shared" si="76"/>
        <v>-3.2763532763532277E-3</v>
      </c>
      <c r="P842" s="21">
        <f>_xll.RssMarket(A842,"安値")</f>
        <v>691.2</v>
      </c>
      <c r="Q842" s="4">
        <f t="shared" si="77"/>
        <v>1.229745370370372E-2</v>
      </c>
      <c r="R842" s="21">
        <f>_xll.RssMarket(A842,"後場始値")</f>
        <v>693</v>
      </c>
      <c r="S842" s="25">
        <f t="shared" si="78"/>
        <v>9.6681096681097145E-3</v>
      </c>
      <c r="T842" s="7">
        <f>_xll.RssMarket(A842,"出来高加重平均")</f>
        <v>698.36329999999998</v>
      </c>
      <c r="U842" s="4">
        <f t="shared" si="79"/>
        <v>1.9140467432925412E-3</v>
      </c>
      <c r="V842" s="21">
        <f>_xll.RssMarket(A842,"出来高")</f>
        <v>3323300</v>
      </c>
      <c r="W842" s="21">
        <f>_xll.RssMarket(A842,"売買代金")</f>
        <v>2320871</v>
      </c>
      <c r="X842" s="20" t="str">
        <f>_xll.RssMarket(A842,"決算発表日")</f>
        <v>2024/02/05</v>
      </c>
      <c r="Y842" s="26" t="str">
        <f>IF(C842&gt;_xll.RssMarket(A842,"年初来高値"),"○","×")</f>
        <v>×</v>
      </c>
      <c r="Z842" s="27" t="str">
        <f>IF(C842&lt;=_xll.RssMarket(A842,"年初来安値"),"○","×")</f>
        <v>×</v>
      </c>
    </row>
    <row r="843" spans="1:26" x14ac:dyDescent="0.25">
      <c r="A843" s="49">
        <v>7196</v>
      </c>
      <c r="B843" s="20" t="str">
        <f>_xll.RssMarket(A843,"銘柄名称")</f>
        <v>Ｃａｓａ</v>
      </c>
      <c r="C843" s="21">
        <f>_xll.RssMarket(A843,"現在値")</f>
        <v>831</v>
      </c>
      <c r="D843" s="20" t="str">
        <f>_xll.RssMarket(A843,"現在値詳細時刻")</f>
        <v>15:00:00</v>
      </c>
      <c r="E843" s="22">
        <f>_xll.RssMarket(A843,"前日比")</f>
        <v>-9</v>
      </c>
      <c r="F843" s="23">
        <f>_xll.RssMarket(A843,"前日比率")/100</f>
        <v>-1.0700000000000001E-2</v>
      </c>
      <c r="G843" s="24" t="str">
        <f>IFERROR(VLOOKUP(A843,取得元!$A$2:$F$501,2,FALSE),"-")</f>
        <v>-</v>
      </c>
      <c r="H843" s="24" t="str">
        <f>IFERROR(VLOOKUP(A843,取得元!$A$2:$F$501,3,FALSE),"-")</f>
        <v>-</v>
      </c>
      <c r="I843" s="24" t="str">
        <f>IFERROR(VLOOKUP(A843,取得元!$A$2:$F$501,4,FALSE),"-")</f>
        <v>-</v>
      </c>
      <c r="J843" s="5" t="str">
        <f>IFERROR(VLOOKUP(A843,取得元!$A$2:$F$501,5,FALSE),"-")</f>
        <v>-</v>
      </c>
      <c r="K843" s="25" t="str">
        <f>IFERROR(VLOOKUP(A843,取得元!$A$2:$F$501,6,FALSE)/100,"-")</f>
        <v>-</v>
      </c>
      <c r="L843" s="21">
        <f>_xll.RssMarket(A843,"始値")</f>
        <v>840</v>
      </c>
      <c r="M843" s="4">
        <f t="shared" si="75"/>
        <v>-1.0714285714285676E-2</v>
      </c>
      <c r="N843" s="21">
        <f>_xll.RssMarket(A843,"高値")</f>
        <v>843</v>
      </c>
      <c r="O843" s="4">
        <f t="shared" si="76"/>
        <v>-1.4234875444839812E-2</v>
      </c>
      <c r="P843" s="21">
        <f>_xll.RssMarket(A843,"安値")</f>
        <v>831</v>
      </c>
      <c r="Q843" s="4">
        <f t="shared" si="77"/>
        <v>0</v>
      </c>
      <c r="R843" s="21">
        <f>_xll.RssMarket(A843,"後場始値")</f>
        <v>833</v>
      </c>
      <c r="S843" s="25">
        <f t="shared" si="78"/>
        <v>-2.4009603841537164E-3</v>
      </c>
      <c r="T843" s="7">
        <f>_xll.RssMarket(A843,"出来高加重平均")</f>
        <v>834.46759999999995</v>
      </c>
      <c r="U843" s="4">
        <f t="shared" si="79"/>
        <v>-4.1554639149560257E-3</v>
      </c>
      <c r="V843" s="21">
        <f>_xll.RssMarket(A843,"出来高")</f>
        <v>47900</v>
      </c>
      <c r="W843" s="21">
        <f>_xll.RssMarket(A843,"売買代金")</f>
        <v>39971</v>
      </c>
      <c r="X843" s="20" t="str">
        <f>_xll.RssMarket(A843,"決算発表日")</f>
        <v>2024/03/06</v>
      </c>
      <c r="Y843" s="26" t="str">
        <f>IF(C843&gt;_xll.RssMarket(A843,"年初来高値"),"○","×")</f>
        <v>×</v>
      </c>
      <c r="Z843" s="27" t="str">
        <f>IF(C843&lt;=_xll.RssMarket(A843,"年初来安値"),"○","×")</f>
        <v>×</v>
      </c>
    </row>
    <row r="844" spans="1:26" x14ac:dyDescent="0.25">
      <c r="A844" s="47">
        <v>7201</v>
      </c>
      <c r="B844" s="20" t="str">
        <f>_xll.RssMarket(A844,"銘柄名称")</f>
        <v>日産自動車</v>
      </c>
      <c r="C844" s="21">
        <f>_xll.RssMarket(A844,"現在値")</f>
        <v>614.1</v>
      </c>
      <c r="D844" s="20" t="str">
        <f>_xll.RssMarket(A844,"現在値詳細時刻")</f>
        <v>15:00:00</v>
      </c>
      <c r="E844" s="22">
        <f>_xll.RssMarket(A844,"前日比")</f>
        <v>16.899999999999999</v>
      </c>
      <c r="F844" s="23">
        <f>_xll.RssMarket(A844,"前日比率")/100</f>
        <v>2.8300000000000002E-2</v>
      </c>
      <c r="G844" s="24">
        <f>IFERROR(VLOOKUP(A844,取得元!$A$2:$F$501,2,FALSE),"-")</f>
        <v>1</v>
      </c>
      <c r="H844" s="24">
        <f>IFERROR(VLOOKUP(A844,取得元!$A$2:$F$501,3,FALSE),"-")</f>
        <v>623</v>
      </c>
      <c r="I844" s="24">
        <f>IFERROR(VLOOKUP(A844,取得元!$A$2:$F$501,4,FALSE),"-")</f>
        <v>614.1</v>
      </c>
      <c r="J844" s="5">
        <f>IFERROR(VLOOKUP(A844,取得元!$A$2:$F$501,5,FALSE),"-")</f>
        <v>-8.9</v>
      </c>
      <c r="K844" s="25">
        <f>IFERROR(VLOOKUP(A844,取得元!$A$2:$F$501,6,FALSE)/100,"-")</f>
        <v>-1.428571E-2</v>
      </c>
      <c r="L844" s="21">
        <f>_xll.RssMarket(A844,"始値")</f>
        <v>600.20000000000005</v>
      </c>
      <c r="M844" s="4">
        <f t="shared" si="75"/>
        <v>2.3158947017660747E-2</v>
      </c>
      <c r="N844" s="21">
        <f>_xll.RssMarket(A844,"高値")</f>
        <v>623</v>
      </c>
      <c r="O844" s="4">
        <f t="shared" si="76"/>
        <v>-1.4285714285714235E-2</v>
      </c>
      <c r="P844" s="21">
        <f>_xll.RssMarket(A844,"安値")</f>
        <v>599.6</v>
      </c>
      <c r="Q844" s="4">
        <f t="shared" si="77"/>
        <v>2.4182788525683785E-2</v>
      </c>
      <c r="R844" s="21">
        <f>_xll.RssMarket(A844,"後場始値")</f>
        <v>619.29999999999995</v>
      </c>
      <c r="S844" s="25">
        <f t="shared" si="78"/>
        <v>-8.3965767802356428E-3</v>
      </c>
      <c r="T844" s="7">
        <f>_xll.RssMarket(A844,"出来高加重平均")</f>
        <v>615.38940000000002</v>
      </c>
      <c r="U844" s="4">
        <f t="shared" si="79"/>
        <v>-2.0952587093635566E-3</v>
      </c>
      <c r="V844" s="21">
        <f>_xll.RssMarket(A844,"出来高")</f>
        <v>43828700</v>
      </c>
      <c r="W844" s="21">
        <f>_xll.RssMarket(A844,"売買代金")</f>
        <v>26971720</v>
      </c>
      <c r="X844" s="20" t="str">
        <f>_xll.RssMarket(A844,"決算発表日")</f>
        <v>2024/02/08</v>
      </c>
      <c r="Y844" s="26" t="str">
        <f>IF(C844&gt;_xll.RssMarket(A844,"年初来高値"),"○","×")</f>
        <v>×</v>
      </c>
      <c r="Z844" s="27" t="str">
        <f>IF(C844&lt;=_xll.RssMarket(A844,"年初来安値"),"○","×")</f>
        <v>×</v>
      </c>
    </row>
    <row r="845" spans="1:26" x14ac:dyDescent="0.25">
      <c r="A845" s="49">
        <v>7202</v>
      </c>
      <c r="B845" s="20" t="str">
        <f>_xll.RssMarket(A845,"銘柄名称")</f>
        <v>いすゞ自動車</v>
      </c>
      <c r="C845" s="21">
        <f>_xll.RssMarket(A845,"現在値")</f>
        <v>2044</v>
      </c>
      <c r="D845" s="20" t="str">
        <f>_xll.RssMarket(A845,"現在値詳細時刻")</f>
        <v>15:00:00</v>
      </c>
      <c r="E845" s="22">
        <f>_xll.RssMarket(A845,"前日比")</f>
        <v>29</v>
      </c>
      <c r="F845" s="23">
        <f>_xll.RssMarket(A845,"前日比率")/100</f>
        <v>1.44E-2</v>
      </c>
      <c r="G845" s="24" t="str">
        <f>IFERROR(VLOOKUP(A845,取得元!$A$2:$F$501,2,FALSE),"-")</f>
        <v>-</v>
      </c>
      <c r="H845" s="24" t="str">
        <f>IFERROR(VLOOKUP(A845,取得元!$A$2:$F$501,3,FALSE),"-")</f>
        <v>-</v>
      </c>
      <c r="I845" s="24" t="str">
        <f>IFERROR(VLOOKUP(A845,取得元!$A$2:$F$501,4,FALSE),"-")</f>
        <v>-</v>
      </c>
      <c r="J845" s="5" t="str">
        <f>IFERROR(VLOOKUP(A845,取得元!$A$2:$F$501,5,FALSE),"-")</f>
        <v>-</v>
      </c>
      <c r="K845" s="25" t="str">
        <f>IFERROR(VLOOKUP(A845,取得元!$A$2:$F$501,6,FALSE)/100,"-")</f>
        <v>-</v>
      </c>
      <c r="L845" s="21">
        <f>_xll.RssMarket(A845,"始値")</f>
        <v>2016</v>
      </c>
      <c r="M845" s="4">
        <f t="shared" si="75"/>
        <v>1.388888888888884E-2</v>
      </c>
      <c r="N845" s="21">
        <f>_xll.RssMarket(A845,"高値")</f>
        <v>2068.5</v>
      </c>
      <c r="O845" s="4">
        <f t="shared" si="76"/>
        <v>-1.1844331641285955E-2</v>
      </c>
      <c r="P845" s="21">
        <f>_xll.RssMarket(A845,"安値")</f>
        <v>2016</v>
      </c>
      <c r="Q845" s="4">
        <f t="shared" si="77"/>
        <v>1.388888888888884E-2</v>
      </c>
      <c r="R845" s="21">
        <f>_xll.RssMarket(A845,"後場始値")</f>
        <v>2044</v>
      </c>
      <c r="S845" s="25">
        <f t="shared" si="78"/>
        <v>0</v>
      </c>
      <c r="T845" s="7">
        <f>_xll.RssMarket(A845,"出来高加重平均")</f>
        <v>2045.9441999999999</v>
      </c>
      <c r="U845" s="4">
        <f t="shared" si="79"/>
        <v>-9.5027029573924171E-4</v>
      </c>
      <c r="V845" s="21">
        <f>_xll.RssMarket(A845,"出来高")</f>
        <v>2816500</v>
      </c>
      <c r="W845" s="21">
        <f>_xll.RssMarket(A845,"売買代金")</f>
        <v>5762402</v>
      </c>
      <c r="X845" s="20" t="str">
        <f>_xll.RssMarket(A845,"決算発表日")</f>
        <v>2024/02/09</v>
      </c>
      <c r="Y845" s="26" t="str">
        <f>IF(C845&gt;_xll.RssMarket(A845,"年初来高値"),"○","×")</f>
        <v>×</v>
      </c>
      <c r="Z845" s="27" t="str">
        <f>IF(C845&lt;=_xll.RssMarket(A845,"年初来安値"),"○","×")</f>
        <v>×</v>
      </c>
    </row>
    <row r="846" spans="1:26" x14ac:dyDescent="0.25">
      <c r="A846" s="47">
        <v>7203</v>
      </c>
      <c r="B846" s="20" t="str">
        <f>_xll.RssMarket(A846,"銘柄名称")</f>
        <v>トヨタ自動車</v>
      </c>
      <c r="C846" s="21">
        <f>_xll.RssMarket(A846,"現在値")</f>
        <v>3260</v>
      </c>
      <c r="D846" s="20" t="str">
        <f>_xll.RssMarket(A846,"現在値詳細時刻")</f>
        <v>15:00:00</v>
      </c>
      <c r="E846" s="22">
        <f>_xll.RssMarket(A846,"前日比")</f>
        <v>125</v>
      </c>
      <c r="F846" s="23">
        <f>_xll.RssMarket(A846,"前日比率")/100</f>
        <v>3.9900000000000005E-2</v>
      </c>
      <c r="G846" s="24" t="str">
        <f>IFERROR(VLOOKUP(A846,取得元!$A$2:$F$501,2,FALSE),"-")</f>
        <v>-</v>
      </c>
      <c r="H846" s="24" t="str">
        <f>IFERROR(VLOOKUP(A846,取得元!$A$2:$F$501,3,FALSE),"-")</f>
        <v>-</v>
      </c>
      <c r="I846" s="24" t="str">
        <f>IFERROR(VLOOKUP(A846,取得元!$A$2:$F$501,4,FALSE),"-")</f>
        <v>-</v>
      </c>
      <c r="J846" s="5" t="str">
        <f>IFERROR(VLOOKUP(A846,取得元!$A$2:$F$501,5,FALSE),"-")</f>
        <v>-</v>
      </c>
      <c r="K846" s="25" t="str">
        <f>IFERROR(VLOOKUP(A846,取得元!$A$2:$F$501,6,FALSE)/100,"-")</f>
        <v>-</v>
      </c>
      <c r="L846" s="21">
        <f>_xll.RssMarket(A846,"始値")</f>
        <v>3195</v>
      </c>
      <c r="M846" s="4">
        <f t="shared" si="75"/>
        <v>2.0344287949921824E-2</v>
      </c>
      <c r="N846" s="21">
        <f>_xll.RssMarket(A846,"高値")</f>
        <v>3364</v>
      </c>
      <c r="O846" s="4">
        <f t="shared" si="76"/>
        <v>-3.0915576694411362E-2</v>
      </c>
      <c r="P846" s="21">
        <f>_xll.RssMarket(A846,"安値")</f>
        <v>3190</v>
      </c>
      <c r="Q846" s="4">
        <f t="shared" si="77"/>
        <v>2.1943573667711602E-2</v>
      </c>
      <c r="R846" s="21">
        <f>_xll.RssMarket(A846,"後場始値")</f>
        <v>3279</v>
      </c>
      <c r="S846" s="25">
        <f t="shared" si="78"/>
        <v>-5.7944495272949093E-3</v>
      </c>
      <c r="T846" s="7">
        <f>_xll.RssMarket(A846,"出来高加重平均")</f>
        <v>3280.0695000000001</v>
      </c>
      <c r="U846" s="4">
        <f t="shared" si="79"/>
        <v>-6.1186203524041805E-3</v>
      </c>
      <c r="V846" s="21">
        <f>_xll.RssMarket(A846,"出来高")</f>
        <v>90841000</v>
      </c>
      <c r="W846" s="21">
        <f>_xll.RssMarket(A846,"売買代金")</f>
        <v>297964798</v>
      </c>
      <c r="X846" s="20" t="str">
        <f>_xll.RssMarket(A846,"決算発表日")</f>
        <v>2024/02/06</v>
      </c>
      <c r="Y846" s="26" t="str">
        <f>IF(C846&gt;_xll.RssMarket(A846,"年初来高値"),"○","×")</f>
        <v>○</v>
      </c>
      <c r="Z846" s="27" t="str">
        <f>IF(C846&lt;=_xll.RssMarket(A846,"年初来安値"),"○","×")</f>
        <v>×</v>
      </c>
    </row>
    <row r="847" spans="1:26" x14ac:dyDescent="0.25">
      <c r="A847" s="49">
        <v>7205</v>
      </c>
      <c r="B847" s="20" t="str">
        <f>_xll.RssMarket(A847,"銘柄名称")</f>
        <v>日野自動車</v>
      </c>
      <c r="C847" s="21">
        <f>_xll.RssMarket(A847,"現在値")</f>
        <v>466</v>
      </c>
      <c r="D847" s="20" t="str">
        <f>_xll.RssMarket(A847,"現在値詳細時刻")</f>
        <v>15:00:00</v>
      </c>
      <c r="E847" s="22">
        <f>_xll.RssMarket(A847,"前日比")</f>
        <v>1.5</v>
      </c>
      <c r="F847" s="23">
        <f>_xll.RssMarket(A847,"前日比率")/100</f>
        <v>3.2000000000000002E-3</v>
      </c>
      <c r="G847" s="24">
        <f>IFERROR(VLOOKUP(A847,取得元!$A$2:$F$501,2,FALSE),"-")</f>
        <v>1</v>
      </c>
      <c r="H847" s="24">
        <f>IFERROR(VLOOKUP(A847,取得元!$A$2:$F$501,3,FALSE),"-")</f>
        <v>568</v>
      </c>
      <c r="I847" s="24">
        <f>IFERROR(VLOOKUP(A847,取得元!$A$2:$F$501,4,FALSE),"-")</f>
        <v>466</v>
      </c>
      <c r="J847" s="5">
        <f>IFERROR(VLOOKUP(A847,取得元!$A$2:$F$501,5,FALSE),"-")</f>
        <v>-102</v>
      </c>
      <c r="K847" s="25">
        <f>IFERROR(VLOOKUP(A847,取得元!$A$2:$F$501,6,FALSE)/100,"-")</f>
        <v>-0.17957745999999999</v>
      </c>
      <c r="L847" s="21">
        <f>_xll.RssMarket(A847,"始値")</f>
        <v>462</v>
      </c>
      <c r="M847" s="4">
        <f t="shared" si="75"/>
        <v>8.6580086580085869E-3</v>
      </c>
      <c r="N847" s="21">
        <f>_xll.RssMarket(A847,"高値")</f>
        <v>469.4</v>
      </c>
      <c r="O847" s="4">
        <f t="shared" si="76"/>
        <v>-7.2432893054963365E-3</v>
      </c>
      <c r="P847" s="21">
        <f>_xll.RssMarket(A847,"安値")</f>
        <v>461</v>
      </c>
      <c r="Q847" s="4">
        <f t="shared" si="77"/>
        <v>1.0845986984815648E-2</v>
      </c>
      <c r="R847" s="21">
        <f>_xll.RssMarket(A847,"後場始値")</f>
        <v>465</v>
      </c>
      <c r="S847" s="25">
        <f t="shared" si="78"/>
        <v>2.1505376344086446E-3</v>
      </c>
      <c r="T847" s="7">
        <f>_xll.RssMarket(A847,"出来高加重平均")</f>
        <v>464.68090000000001</v>
      </c>
      <c r="U847" s="4">
        <f t="shared" si="79"/>
        <v>2.838722228522883E-3</v>
      </c>
      <c r="V847" s="21">
        <f>_xll.RssMarket(A847,"出来高")</f>
        <v>1973300</v>
      </c>
      <c r="W847" s="21">
        <f>_xll.RssMarket(A847,"売買代金")</f>
        <v>916955</v>
      </c>
      <c r="X847" s="20" t="str">
        <f>_xll.RssMarket(A847,"決算発表日")</f>
        <v>2024/02/01</v>
      </c>
      <c r="Y847" s="26" t="str">
        <f>IF(C847&gt;_xll.RssMarket(A847,"年初来高値"),"○","×")</f>
        <v>×</v>
      </c>
      <c r="Z847" s="27" t="str">
        <f>IF(C847&lt;=_xll.RssMarket(A847,"年初来安値"),"○","×")</f>
        <v>×</v>
      </c>
    </row>
    <row r="848" spans="1:26" x14ac:dyDescent="0.25">
      <c r="A848" s="47">
        <v>7211</v>
      </c>
      <c r="B848" s="20" t="str">
        <f>_xll.RssMarket(A848,"銘柄名称")</f>
        <v>三菱自動車工業</v>
      </c>
      <c r="C848" s="21">
        <f>_xll.RssMarket(A848,"現在値")</f>
        <v>455.7</v>
      </c>
      <c r="D848" s="20" t="str">
        <f>_xll.RssMarket(A848,"現在値詳細時刻")</f>
        <v>15:00:00</v>
      </c>
      <c r="E848" s="22">
        <f>_xll.RssMarket(A848,"前日比")</f>
        <v>7.7</v>
      </c>
      <c r="F848" s="23">
        <f>_xll.RssMarket(A848,"前日比率")/100</f>
        <v>1.72E-2</v>
      </c>
      <c r="G848" s="24" t="str">
        <f>IFERROR(VLOOKUP(A848,取得元!$A$2:$F$501,2,FALSE),"-")</f>
        <v>-</v>
      </c>
      <c r="H848" s="24" t="str">
        <f>IFERROR(VLOOKUP(A848,取得元!$A$2:$F$501,3,FALSE),"-")</f>
        <v>-</v>
      </c>
      <c r="I848" s="24" t="str">
        <f>IFERROR(VLOOKUP(A848,取得元!$A$2:$F$501,4,FALSE),"-")</f>
        <v>-</v>
      </c>
      <c r="J848" s="5" t="str">
        <f>IFERROR(VLOOKUP(A848,取得元!$A$2:$F$501,5,FALSE),"-")</f>
        <v>-</v>
      </c>
      <c r="K848" s="25" t="str">
        <f>IFERROR(VLOOKUP(A848,取得元!$A$2:$F$501,6,FALSE)/100,"-")</f>
        <v>-</v>
      </c>
      <c r="L848" s="21">
        <f>_xll.RssMarket(A848,"始値")</f>
        <v>447.3</v>
      </c>
      <c r="M848" s="4">
        <f t="shared" si="75"/>
        <v>1.8779342723004744E-2</v>
      </c>
      <c r="N848" s="21">
        <f>_xll.RssMarket(A848,"高値")</f>
        <v>458.7</v>
      </c>
      <c r="O848" s="4">
        <f t="shared" si="76"/>
        <v>-6.5402223675604665E-3</v>
      </c>
      <c r="P848" s="21">
        <f>_xll.RssMarket(A848,"安値")</f>
        <v>447.1</v>
      </c>
      <c r="Q848" s="4">
        <f t="shared" si="77"/>
        <v>1.923507045403694E-2</v>
      </c>
      <c r="R848" s="21">
        <f>_xll.RssMarket(A848,"後場始値")</f>
        <v>454.4</v>
      </c>
      <c r="S848" s="25">
        <f t="shared" si="78"/>
        <v>2.8609154929577496E-3</v>
      </c>
      <c r="T848" s="7">
        <f>_xll.RssMarket(A848,"出来高加重平均")</f>
        <v>454.79579999999999</v>
      </c>
      <c r="U848" s="4">
        <f t="shared" si="79"/>
        <v>1.9881450092547048E-3</v>
      </c>
      <c r="V848" s="21">
        <f>_xll.RssMarket(A848,"出来高")</f>
        <v>16067500</v>
      </c>
      <c r="W848" s="21">
        <f>_xll.RssMarket(A848,"売買代金")</f>
        <v>7307432</v>
      </c>
      <c r="X848" s="20" t="str">
        <f>_xll.RssMarket(A848,"決算発表日")</f>
        <v>2024/02/01</v>
      </c>
      <c r="Y848" s="26" t="str">
        <f>IF(C848&gt;_xll.RssMarket(A848,"年初来高値"),"○","×")</f>
        <v>×</v>
      </c>
      <c r="Z848" s="27" t="str">
        <f>IF(C848&lt;=_xll.RssMarket(A848,"年初来安値"),"○","×")</f>
        <v>×</v>
      </c>
    </row>
    <row r="849" spans="1:26" x14ac:dyDescent="0.25">
      <c r="A849" s="49">
        <v>7212</v>
      </c>
      <c r="B849" s="20" t="str">
        <f>_xll.RssMarket(A849,"銘柄名称")</f>
        <v>エフテック</v>
      </c>
      <c r="C849" s="21">
        <f>_xll.RssMarket(A849,"現在値")</f>
        <v>687</v>
      </c>
      <c r="D849" s="20" t="str">
        <f>_xll.RssMarket(A849,"現在値詳細時刻")</f>
        <v>15:00:00</v>
      </c>
      <c r="E849" s="22">
        <f>_xll.RssMarket(A849,"前日比")</f>
        <v>20</v>
      </c>
      <c r="F849" s="23">
        <f>_xll.RssMarket(A849,"前日比率")/100</f>
        <v>0.03</v>
      </c>
      <c r="G849" s="24" t="str">
        <f>IFERROR(VLOOKUP(A849,取得元!$A$2:$F$501,2,FALSE),"-")</f>
        <v>-</v>
      </c>
      <c r="H849" s="24" t="str">
        <f>IFERROR(VLOOKUP(A849,取得元!$A$2:$F$501,3,FALSE),"-")</f>
        <v>-</v>
      </c>
      <c r="I849" s="24" t="str">
        <f>IFERROR(VLOOKUP(A849,取得元!$A$2:$F$501,4,FALSE),"-")</f>
        <v>-</v>
      </c>
      <c r="J849" s="5" t="str">
        <f>IFERROR(VLOOKUP(A849,取得元!$A$2:$F$501,5,FALSE),"-")</f>
        <v>-</v>
      </c>
      <c r="K849" s="25" t="str">
        <f>IFERROR(VLOOKUP(A849,取得元!$A$2:$F$501,6,FALSE)/100,"-")</f>
        <v>-</v>
      </c>
      <c r="L849" s="21">
        <f>_xll.RssMarket(A849,"始値")</f>
        <v>668</v>
      </c>
      <c r="M849" s="4">
        <f t="shared" si="75"/>
        <v>2.8443113772455009E-2</v>
      </c>
      <c r="N849" s="21">
        <f>_xll.RssMarket(A849,"高値")</f>
        <v>696</v>
      </c>
      <c r="O849" s="4">
        <f t="shared" si="76"/>
        <v>-1.2931034482758674E-2</v>
      </c>
      <c r="P849" s="21">
        <f>_xll.RssMarket(A849,"安値")</f>
        <v>668</v>
      </c>
      <c r="Q849" s="4">
        <f t="shared" si="77"/>
        <v>2.8443113772455009E-2</v>
      </c>
      <c r="R849" s="21">
        <f>_xll.RssMarket(A849,"後場始値")</f>
        <v>690</v>
      </c>
      <c r="S849" s="25">
        <f t="shared" si="78"/>
        <v>-4.3478260869564966E-3</v>
      </c>
      <c r="T849" s="7">
        <f>_xll.RssMarket(A849,"出来高加重平均")</f>
        <v>686.82420000000002</v>
      </c>
      <c r="U849" s="4">
        <f t="shared" si="79"/>
        <v>2.5596069561895085E-4</v>
      </c>
      <c r="V849" s="21">
        <f>_xll.RssMarket(A849,"出来高")</f>
        <v>179800</v>
      </c>
      <c r="W849" s="21">
        <f>_xll.RssMarket(A849,"売買代金")</f>
        <v>123491</v>
      </c>
      <c r="X849" s="20" t="str">
        <f>_xll.RssMarket(A849,"決算発表日")</f>
        <v>-</v>
      </c>
      <c r="Y849" s="26" t="str">
        <f>IF(C849&gt;_xll.RssMarket(A849,"年初来高値"),"○","×")</f>
        <v>×</v>
      </c>
      <c r="Z849" s="27" t="str">
        <f>IF(C849&lt;=_xll.RssMarket(A849,"年初来安値"),"○","×")</f>
        <v>×</v>
      </c>
    </row>
    <row r="850" spans="1:26" x14ac:dyDescent="0.25">
      <c r="A850" s="47">
        <v>7213</v>
      </c>
      <c r="B850" s="20" t="str">
        <f>_xll.RssMarket(A850,"銘柄名称")</f>
        <v>レシップホールディングス</v>
      </c>
      <c r="C850" s="21">
        <f>_xll.RssMarket(A850,"現在値")</f>
        <v>671</v>
      </c>
      <c r="D850" s="20" t="str">
        <f>_xll.RssMarket(A850,"現在値詳細時刻")</f>
        <v>15:00:00</v>
      </c>
      <c r="E850" s="22">
        <f>_xll.RssMarket(A850,"前日比")</f>
        <v>-15</v>
      </c>
      <c r="F850" s="23">
        <f>_xll.RssMarket(A850,"前日比率")/100</f>
        <v>-2.1899999999999999E-2</v>
      </c>
      <c r="G850" s="24" t="str">
        <f>IFERROR(VLOOKUP(A850,取得元!$A$2:$F$501,2,FALSE),"-")</f>
        <v>-</v>
      </c>
      <c r="H850" s="24" t="str">
        <f>IFERROR(VLOOKUP(A850,取得元!$A$2:$F$501,3,FALSE),"-")</f>
        <v>-</v>
      </c>
      <c r="I850" s="24" t="str">
        <f>IFERROR(VLOOKUP(A850,取得元!$A$2:$F$501,4,FALSE),"-")</f>
        <v>-</v>
      </c>
      <c r="J850" s="5" t="str">
        <f>IFERROR(VLOOKUP(A850,取得元!$A$2:$F$501,5,FALSE),"-")</f>
        <v>-</v>
      </c>
      <c r="K850" s="25" t="str">
        <f>IFERROR(VLOOKUP(A850,取得元!$A$2:$F$501,6,FALSE)/100,"-")</f>
        <v>-</v>
      </c>
      <c r="L850" s="21">
        <f>_xll.RssMarket(A850,"始値")</f>
        <v>685</v>
      </c>
      <c r="M850" s="4">
        <f t="shared" si="75"/>
        <v>-2.0437956204379604E-2</v>
      </c>
      <c r="N850" s="21">
        <f>_xll.RssMarket(A850,"高値")</f>
        <v>692</v>
      </c>
      <c r="O850" s="4">
        <f t="shared" si="76"/>
        <v>-3.0346820809248554E-2</v>
      </c>
      <c r="P850" s="21">
        <f>_xll.RssMarket(A850,"安値")</f>
        <v>671</v>
      </c>
      <c r="Q850" s="4">
        <f t="shared" si="77"/>
        <v>0</v>
      </c>
      <c r="R850" s="21">
        <f>_xll.RssMarket(A850,"後場始値")</f>
        <v>674</v>
      </c>
      <c r="S850" s="25">
        <f t="shared" si="78"/>
        <v>-4.4510385756676429E-3</v>
      </c>
      <c r="T850" s="7">
        <f>_xll.RssMarket(A850,"出来高加重平均")</f>
        <v>678.125</v>
      </c>
      <c r="U850" s="4">
        <f t="shared" si="79"/>
        <v>-1.0506912442396321E-2</v>
      </c>
      <c r="V850" s="21">
        <f>_xll.RssMarket(A850,"出来高")</f>
        <v>20800</v>
      </c>
      <c r="W850" s="21">
        <f>_xll.RssMarket(A850,"売買代金")</f>
        <v>14105</v>
      </c>
      <c r="X850" s="20" t="str">
        <f>_xll.RssMarket(A850,"決算発表日")</f>
        <v>2024/02/09</v>
      </c>
      <c r="Y850" s="26" t="str">
        <f>IF(C850&gt;_xll.RssMarket(A850,"年初来高値"),"○","×")</f>
        <v>×</v>
      </c>
      <c r="Z850" s="27" t="str">
        <f>IF(C850&lt;=_xll.RssMarket(A850,"年初来安値"),"○","×")</f>
        <v>×</v>
      </c>
    </row>
    <row r="851" spans="1:26" x14ac:dyDescent="0.25">
      <c r="A851" s="49">
        <v>7214</v>
      </c>
      <c r="B851" s="20" t="str">
        <f>_xll.RssMarket(A851,"銘柄名称")</f>
        <v>ＧＭＢ</v>
      </c>
      <c r="C851" s="21">
        <f>_xll.RssMarket(A851,"現在値")</f>
        <v>1258</v>
      </c>
      <c r="D851" s="20" t="str">
        <f>_xll.RssMarket(A851,"現在値詳細時刻")</f>
        <v>15:00:00</v>
      </c>
      <c r="E851" s="22">
        <f>_xll.RssMarket(A851,"前日比")</f>
        <v>3</v>
      </c>
      <c r="F851" s="23">
        <f>_xll.RssMarket(A851,"前日比率")/100</f>
        <v>2.3999999999999998E-3</v>
      </c>
      <c r="G851" s="24" t="str">
        <f>IFERROR(VLOOKUP(A851,取得元!$A$2:$F$501,2,FALSE),"-")</f>
        <v>-</v>
      </c>
      <c r="H851" s="24" t="str">
        <f>IFERROR(VLOOKUP(A851,取得元!$A$2:$F$501,3,FALSE),"-")</f>
        <v>-</v>
      </c>
      <c r="I851" s="24" t="str">
        <f>IFERROR(VLOOKUP(A851,取得元!$A$2:$F$501,4,FALSE),"-")</f>
        <v>-</v>
      </c>
      <c r="J851" s="5" t="str">
        <f>IFERROR(VLOOKUP(A851,取得元!$A$2:$F$501,5,FALSE),"-")</f>
        <v>-</v>
      </c>
      <c r="K851" s="25" t="str">
        <f>IFERROR(VLOOKUP(A851,取得元!$A$2:$F$501,6,FALSE)/100,"-")</f>
        <v>-</v>
      </c>
      <c r="L851" s="21">
        <f>_xll.RssMarket(A851,"始値")</f>
        <v>1259</v>
      </c>
      <c r="M851" s="4">
        <f t="shared" si="75"/>
        <v>-7.9428117553614896E-4</v>
      </c>
      <c r="N851" s="21">
        <f>_xll.RssMarket(A851,"高値")</f>
        <v>1301</v>
      </c>
      <c r="O851" s="4">
        <f t="shared" si="76"/>
        <v>-3.3051498847040728E-2</v>
      </c>
      <c r="P851" s="21">
        <f>_xll.RssMarket(A851,"安値")</f>
        <v>1257</v>
      </c>
      <c r="Q851" s="4">
        <f t="shared" si="77"/>
        <v>7.9554494828948386E-4</v>
      </c>
      <c r="R851" s="21">
        <f>_xll.RssMarket(A851,"後場始値")</f>
        <v>1280</v>
      </c>
      <c r="S851" s="25">
        <f t="shared" si="78"/>
        <v>-1.7187500000000022E-2</v>
      </c>
      <c r="T851" s="7">
        <f>_xll.RssMarket(A851,"出来高加重平均")</f>
        <v>1279.8994</v>
      </c>
      <c r="U851" s="4">
        <f t="shared" si="79"/>
        <v>-1.7110251008790267E-2</v>
      </c>
      <c r="V851" s="21">
        <f>_xll.RssMarket(A851,"出来高")</f>
        <v>89500</v>
      </c>
      <c r="W851" s="21">
        <f>_xll.RssMarket(A851,"売買代金")</f>
        <v>114551</v>
      </c>
      <c r="X851" s="20" t="str">
        <f>_xll.RssMarket(A851,"決算発表日")</f>
        <v>2024/02/14</v>
      </c>
      <c r="Y851" s="26" t="str">
        <f>IF(C851&gt;_xll.RssMarket(A851,"年初来高値"),"○","×")</f>
        <v>×</v>
      </c>
      <c r="Z851" s="27" t="str">
        <f>IF(C851&lt;=_xll.RssMarket(A851,"年初来安値"),"○","×")</f>
        <v>×</v>
      </c>
    </row>
    <row r="852" spans="1:26" x14ac:dyDescent="0.25">
      <c r="A852" s="47">
        <v>7222</v>
      </c>
      <c r="B852" s="20" t="str">
        <f>_xll.RssMarket(A852,"銘柄名称")</f>
        <v>日産車体</v>
      </c>
      <c r="C852" s="21">
        <f>_xll.RssMarket(A852,"現在値")</f>
        <v>981</v>
      </c>
      <c r="D852" s="20" t="str">
        <f>_xll.RssMarket(A852,"現在値詳細時刻")</f>
        <v>15:00:00</v>
      </c>
      <c r="E852" s="22">
        <f>_xll.RssMarket(A852,"前日比")</f>
        <v>-17</v>
      </c>
      <c r="F852" s="23">
        <f>_xll.RssMarket(A852,"前日比率")/100</f>
        <v>-1.7000000000000001E-2</v>
      </c>
      <c r="G852" s="24">
        <f>IFERROR(VLOOKUP(A852,取得元!$A$2:$F$501,2,FALSE),"-")</f>
        <v>1</v>
      </c>
      <c r="H852" s="24">
        <f>IFERROR(VLOOKUP(A852,取得元!$A$2:$F$501,3,FALSE),"-")</f>
        <v>900</v>
      </c>
      <c r="I852" s="24">
        <f>IFERROR(VLOOKUP(A852,取得元!$A$2:$F$501,4,FALSE),"-")</f>
        <v>981</v>
      </c>
      <c r="J852" s="5">
        <f>IFERROR(VLOOKUP(A852,取得元!$A$2:$F$501,5,FALSE),"-")</f>
        <v>81</v>
      </c>
      <c r="K852" s="25">
        <f>IFERROR(VLOOKUP(A852,取得元!$A$2:$F$501,6,FALSE)/100,"-")</f>
        <v>0.09</v>
      </c>
      <c r="L852" s="21">
        <f>_xll.RssMarket(A852,"始値")</f>
        <v>983</v>
      </c>
      <c r="M852" s="4">
        <f t="shared" si="75"/>
        <v>-2.0345879959308144E-3</v>
      </c>
      <c r="N852" s="21">
        <f>_xll.RssMarket(A852,"高値")</f>
        <v>992</v>
      </c>
      <c r="O852" s="4">
        <f t="shared" si="76"/>
        <v>-1.1088709677419373E-2</v>
      </c>
      <c r="P852" s="21">
        <f>_xll.RssMarket(A852,"安値")</f>
        <v>971</v>
      </c>
      <c r="Q852" s="4">
        <f t="shared" si="77"/>
        <v>1.029866117404743E-2</v>
      </c>
      <c r="R852" s="21">
        <f>_xll.RssMarket(A852,"後場始値")</f>
        <v>979</v>
      </c>
      <c r="S852" s="25">
        <f t="shared" si="78"/>
        <v>2.0429009193054792E-3</v>
      </c>
      <c r="T852" s="7">
        <f>_xll.RssMarket(A852,"出来高加重平均")</f>
        <v>982.21230000000003</v>
      </c>
      <c r="U852" s="4">
        <f t="shared" si="79"/>
        <v>-1.234254549652869E-3</v>
      </c>
      <c r="V852" s="21">
        <f>_xll.RssMarket(A852,"出来高")</f>
        <v>124300</v>
      </c>
      <c r="W852" s="21">
        <f>_xll.RssMarket(A852,"売買代金")</f>
        <v>122089</v>
      </c>
      <c r="X852" s="20" t="str">
        <f>_xll.RssMarket(A852,"決算発表日")</f>
        <v>2024/02/08</v>
      </c>
      <c r="Y852" s="26" t="str">
        <f>IF(C852&gt;_xll.RssMarket(A852,"年初来高値"),"○","×")</f>
        <v>×</v>
      </c>
      <c r="Z852" s="27" t="str">
        <f>IF(C852&lt;=_xll.RssMarket(A852,"年初来安値"),"○","×")</f>
        <v>×</v>
      </c>
    </row>
    <row r="853" spans="1:26" x14ac:dyDescent="0.25">
      <c r="A853" s="49">
        <v>7229</v>
      </c>
      <c r="B853" s="20" t="str">
        <f>_xll.RssMarket(A853,"銘柄名称")</f>
        <v>ユタカ技研</v>
      </c>
      <c r="C853" s="21">
        <f>_xll.RssMarket(A853,"現在値")</f>
        <v>2744</v>
      </c>
      <c r="D853" s="20" t="str">
        <f>_xll.RssMarket(A853,"現在値詳細時刻")</f>
        <v>15:00:00</v>
      </c>
      <c r="E853" s="22">
        <f>_xll.RssMarket(A853,"前日比")</f>
        <v>21</v>
      </c>
      <c r="F853" s="23">
        <f>_xll.RssMarket(A853,"前日比率")/100</f>
        <v>7.7000000000000002E-3</v>
      </c>
      <c r="G853" s="24" t="str">
        <f>IFERROR(VLOOKUP(A853,取得元!$A$2:$F$501,2,FALSE),"-")</f>
        <v>-</v>
      </c>
      <c r="H853" s="24" t="str">
        <f>IFERROR(VLOOKUP(A853,取得元!$A$2:$F$501,3,FALSE),"-")</f>
        <v>-</v>
      </c>
      <c r="I853" s="24" t="str">
        <f>IFERROR(VLOOKUP(A853,取得元!$A$2:$F$501,4,FALSE),"-")</f>
        <v>-</v>
      </c>
      <c r="J853" s="5" t="str">
        <f>IFERROR(VLOOKUP(A853,取得元!$A$2:$F$501,5,FALSE),"-")</f>
        <v>-</v>
      </c>
      <c r="K853" s="25" t="str">
        <f>IFERROR(VLOOKUP(A853,取得元!$A$2:$F$501,6,FALSE)/100,"-")</f>
        <v>-</v>
      </c>
      <c r="L853" s="21">
        <f>_xll.RssMarket(A853,"始値")</f>
        <v>2710</v>
      </c>
      <c r="M853" s="4">
        <f t="shared" si="75"/>
        <v>1.2546125461254665E-2</v>
      </c>
      <c r="N853" s="21">
        <f>_xll.RssMarket(A853,"高値")</f>
        <v>2791</v>
      </c>
      <c r="O853" s="4">
        <f t="shared" si="76"/>
        <v>-1.6839842350412026E-2</v>
      </c>
      <c r="P853" s="21">
        <f>_xll.RssMarket(A853,"安値")</f>
        <v>2690</v>
      </c>
      <c r="Q853" s="4">
        <f t="shared" si="77"/>
        <v>2.007434944237918E-2</v>
      </c>
      <c r="R853" s="21">
        <f>_xll.RssMarket(A853,"後場始値")</f>
        <v>2779</v>
      </c>
      <c r="S853" s="25">
        <f t="shared" si="78"/>
        <v>-1.2594458438287104E-2</v>
      </c>
      <c r="T853" s="7">
        <f>_xll.RssMarket(A853,"出来高加重平均")</f>
        <v>2752.1223</v>
      </c>
      <c r="U853" s="4">
        <f t="shared" si="79"/>
        <v>-2.9512859948120918E-3</v>
      </c>
      <c r="V853" s="21">
        <f>_xll.RssMarket(A853,"出来高")</f>
        <v>52300</v>
      </c>
      <c r="W853" s="21">
        <f>_xll.RssMarket(A853,"売買代金")</f>
        <v>143936</v>
      </c>
      <c r="X853" s="20" t="str">
        <f>_xll.RssMarket(A853,"決算発表日")</f>
        <v>2024/01/31</v>
      </c>
      <c r="Y853" s="26" t="str">
        <f>IF(C853&gt;_xll.RssMarket(A853,"年初来高値"),"○","×")</f>
        <v>×</v>
      </c>
      <c r="Z853" s="27" t="str">
        <f>IF(C853&lt;=_xll.RssMarket(A853,"年初来安値"),"○","×")</f>
        <v>×</v>
      </c>
    </row>
    <row r="854" spans="1:26" x14ac:dyDescent="0.25">
      <c r="A854" s="47">
        <v>7235</v>
      </c>
      <c r="B854" s="20" t="str">
        <f>_xll.RssMarket(A854,"銘柄名称")</f>
        <v>東京ラヂエ－タ－</v>
      </c>
      <c r="C854" s="21">
        <f>_xll.RssMarket(A854,"現在値")</f>
        <v>762</v>
      </c>
      <c r="D854" s="20" t="str">
        <f>_xll.RssMarket(A854,"現在値詳細時刻")</f>
        <v>15:00:00</v>
      </c>
      <c r="E854" s="22">
        <f>_xll.RssMarket(A854,"前日比")</f>
        <v>16</v>
      </c>
      <c r="F854" s="23">
        <f>_xll.RssMarket(A854,"前日比率")/100</f>
        <v>2.1400000000000002E-2</v>
      </c>
      <c r="G854" s="24" t="str">
        <f>IFERROR(VLOOKUP(A854,取得元!$A$2:$F$501,2,FALSE),"-")</f>
        <v>-</v>
      </c>
      <c r="H854" s="24" t="str">
        <f>IFERROR(VLOOKUP(A854,取得元!$A$2:$F$501,3,FALSE),"-")</f>
        <v>-</v>
      </c>
      <c r="I854" s="24" t="str">
        <f>IFERROR(VLOOKUP(A854,取得元!$A$2:$F$501,4,FALSE),"-")</f>
        <v>-</v>
      </c>
      <c r="J854" s="5" t="str">
        <f>IFERROR(VLOOKUP(A854,取得元!$A$2:$F$501,5,FALSE),"-")</f>
        <v>-</v>
      </c>
      <c r="K854" s="25" t="str">
        <f>IFERROR(VLOOKUP(A854,取得元!$A$2:$F$501,6,FALSE)/100,"-")</f>
        <v>-</v>
      </c>
      <c r="L854" s="21">
        <f>_xll.RssMarket(A854,"始値")</f>
        <v>754</v>
      </c>
      <c r="M854" s="4">
        <f t="shared" ref="M854:M917" si="80">C854/L854-1</f>
        <v>1.0610079575596787E-2</v>
      </c>
      <c r="N854" s="21">
        <f>_xll.RssMarket(A854,"高値")</f>
        <v>774</v>
      </c>
      <c r="O854" s="4">
        <f t="shared" ref="O854:O917" si="81">C854/N854-1</f>
        <v>-1.5503875968992276E-2</v>
      </c>
      <c r="P854" s="21">
        <f>_xll.RssMarket(A854,"安値")</f>
        <v>753</v>
      </c>
      <c r="Q854" s="4">
        <f t="shared" ref="Q854:Q917" si="82">C854/P854-1</f>
        <v>1.195219123505975E-2</v>
      </c>
      <c r="R854" s="21">
        <f>_xll.RssMarket(A854,"後場始値")</f>
        <v>768</v>
      </c>
      <c r="S854" s="25">
        <f t="shared" ref="S854:S917" si="83">IFERROR(C854/R854-1,"-")</f>
        <v>-7.8125E-3</v>
      </c>
      <c r="T854" s="7">
        <f>_xll.RssMarket(A854,"出来高加重平均")</f>
        <v>765.90160000000003</v>
      </c>
      <c r="U854" s="4">
        <f t="shared" ref="U854:U917" si="84">C854/T854-1</f>
        <v>-5.0941269740134576E-3</v>
      </c>
      <c r="V854" s="21">
        <f>_xll.RssMarket(A854,"出来高")</f>
        <v>48800</v>
      </c>
      <c r="W854" s="21">
        <f>_xll.RssMarket(A854,"売買代金")</f>
        <v>37376</v>
      </c>
      <c r="X854" s="20" t="str">
        <f>_xll.RssMarket(A854,"決算発表日")</f>
        <v>2024/02/09</v>
      </c>
      <c r="Y854" s="26" t="str">
        <f>IF(C854&gt;_xll.RssMarket(A854,"年初来高値"),"○","×")</f>
        <v>×</v>
      </c>
      <c r="Z854" s="27" t="str">
        <f>IF(C854&lt;=_xll.RssMarket(A854,"年初来安値"),"○","×")</f>
        <v>×</v>
      </c>
    </row>
    <row r="855" spans="1:26" x14ac:dyDescent="0.25">
      <c r="A855" s="49">
        <v>7236</v>
      </c>
      <c r="B855" s="20" t="str">
        <f>_xll.RssMarket(A855,"銘柄名称")</f>
        <v>ティラド</v>
      </c>
      <c r="C855" s="21">
        <f>_xll.RssMarket(A855,"現在値")</f>
        <v>3775</v>
      </c>
      <c r="D855" s="20" t="str">
        <f>_xll.RssMarket(A855,"現在値詳細時刻")</f>
        <v>15:00:00</v>
      </c>
      <c r="E855" s="22">
        <f>_xll.RssMarket(A855,"前日比")</f>
        <v>80</v>
      </c>
      <c r="F855" s="23">
        <f>_xll.RssMarket(A855,"前日比率")/100</f>
        <v>2.1700000000000001E-2</v>
      </c>
      <c r="G855" s="24" t="str">
        <f>IFERROR(VLOOKUP(A855,取得元!$A$2:$F$501,2,FALSE),"-")</f>
        <v>-</v>
      </c>
      <c r="H855" s="24" t="str">
        <f>IFERROR(VLOOKUP(A855,取得元!$A$2:$F$501,3,FALSE),"-")</f>
        <v>-</v>
      </c>
      <c r="I855" s="24" t="str">
        <f>IFERROR(VLOOKUP(A855,取得元!$A$2:$F$501,4,FALSE),"-")</f>
        <v>-</v>
      </c>
      <c r="J855" s="5" t="str">
        <f>IFERROR(VLOOKUP(A855,取得元!$A$2:$F$501,5,FALSE),"-")</f>
        <v>-</v>
      </c>
      <c r="K855" s="25" t="str">
        <f>IFERROR(VLOOKUP(A855,取得元!$A$2:$F$501,6,FALSE)/100,"-")</f>
        <v>-</v>
      </c>
      <c r="L855" s="21">
        <f>_xll.RssMarket(A855,"始値")</f>
        <v>3675</v>
      </c>
      <c r="M855" s="4">
        <f t="shared" si="80"/>
        <v>2.7210884353741527E-2</v>
      </c>
      <c r="N855" s="21">
        <f>_xll.RssMarket(A855,"高値")</f>
        <v>3795</v>
      </c>
      <c r="O855" s="4">
        <f t="shared" si="81"/>
        <v>-5.2700922266140093E-3</v>
      </c>
      <c r="P855" s="21">
        <f>_xll.RssMarket(A855,"安値")</f>
        <v>3630</v>
      </c>
      <c r="Q855" s="4">
        <f t="shared" si="82"/>
        <v>3.9944903581267122E-2</v>
      </c>
      <c r="R855" s="21">
        <f>_xll.RssMarket(A855,"後場始値")</f>
        <v>3770</v>
      </c>
      <c r="S855" s="25">
        <f t="shared" si="83"/>
        <v>1.3262599469496816E-3</v>
      </c>
      <c r="T855" s="7">
        <f>_xll.RssMarket(A855,"出来高加重平均")</f>
        <v>3714.0173</v>
      </c>
      <c r="U855" s="4">
        <f t="shared" si="84"/>
        <v>1.6419605799897541E-2</v>
      </c>
      <c r="V855" s="21">
        <f>_xll.RssMarket(A855,"出来高")</f>
        <v>80900</v>
      </c>
      <c r="W855" s="21">
        <f>_xll.RssMarket(A855,"売買代金")</f>
        <v>300464</v>
      </c>
      <c r="X855" s="20" t="str">
        <f>_xll.RssMarket(A855,"決算発表日")</f>
        <v>2024/02/05</v>
      </c>
      <c r="Y855" s="26" t="str">
        <f>IF(C855&gt;_xll.RssMarket(A855,"年初来高値"),"○","×")</f>
        <v>×</v>
      </c>
      <c r="Z855" s="27" t="str">
        <f>IF(C855&lt;=_xll.RssMarket(A855,"年初来安値"),"○","×")</f>
        <v>×</v>
      </c>
    </row>
    <row r="856" spans="1:26" x14ac:dyDescent="0.25">
      <c r="A856" s="47">
        <v>7238</v>
      </c>
      <c r="B856" s="20" t="str">
        <f>_xll.RssMarket(A856,"銘柄名称")</f>
        <v>曙ブレーキ</v>
      </c>
      <c r="C856" s="21">
        <f>_xll.RssMarket(A856,"現在値")</f>
        <v>114</v>
      </c>
      <c r="D856" s="20" t="str">
        <f>_xll.RssMarket(A856,"現在値詳細時刻")</f>
        <v>15:00:00</v>
      </c>
      <c r="E856" s="22">
        <f>_xll.RssMarket(A856,"前日比")</f>
        <v>1</v>
      </c>
      <c r="F856" s="23">
        <f>_xll.RssMarket(A856,"前日比率")/100</f>
        <v>8.8000000000000005E-3</v>
      </c>
      <c r="G856" s="24" t="str">
        <f>IFERROR(VLOOKUP(A856,取得元!$A$2:$F$501,2,FALSE),"-")</f>
        <v>-</v>
      </c>
      <c r="H856" s="24" t="str">
        <f>IFERROR(VLOOKUP(A856,取得元!$A$2:$F$501,3,FALSE),"-")</f>
        <v>-</v>
      </c>
      <c r="I856" s="24" t="str">
        <f>IFERROR(VLOOKUP(A856,取得元!$A$2:$F$501,4,FALSE),"-")</f>
        <v>-</v>
      </c>
      <c r="J856" s="5" t="str">
        <f>IFERROR(VLOOKUP(A856,取得元!$A$2:$F$501,5,FALSE),"-")</f>
        <v>-</v>
      </c>
      <c r="K856" s="25" t="str">
        <f>IFERROR(VLOOKUP(A856,取得元!$A$2:$F$501,6,FALSE)/100,"-")</f>
        <v>-</v>
      </c>
      <c r="L856" s="21">
        <f>_xll.RssMarket(A856,"始値")</f>
        <v>113</v>
      </c>
      <c r="M856" s="4">
        <f t="shared" si="80"/>
        <v>8.8495575221239076E-3</v>
      </c>
      <c r="N856" s="21">
        <f>_xll.RssMarket(A856,"高値")</f>
        <v>116</v>
      </c>
      <c r="O856" s="4">
        <f t="shared" si="81"/>
        <v>-1.7241379310344862E-2</v>
      </c>
      <c r="P856" s="21">
        <f>_xll.RssMarket(A856,"安値")</f>
        <v>113</v>
      </c>
      <c r="Q856" s="4">
        <f t="shared" si="82"/>
        <v>8.8495575221239076E-3</v>
      </c>
      <c r="R856" s="21">
        <f>_xll.RssMarket(A856,"後場始値")</f>
        <v>115</v>
      </c>
      <c r="S856" s="25">
        <f t="shared" si="83"/>
        <v>-8.6956521739129933E-3</v>
      </c>
      <c r="T856" s="7">
        <f>_xll.RssMarket(A856,"出来高加重平均")</f>
        <v>114.5365</v>
      </c>
      <c r="U856" s="4">
        <f t="shared" si="84"/>
        <v>-4.6840963361024501E-3</v>
      </c>
      <c r="V856" s="21">
        <f>_xll.RssMarket(A856,"出来高")</f>
        <v>564300</v>
      </c>
      <c r="W856" s="21">
        <f>_xll.RssMarket(A856,"売買代金")</f>
        <v>64633</v>
      </c>
      <c r="X856" s="20" t="str">
        <f>_xll.RssMarket(A856,"決算発表日")</f>
        <v>2024/02/09</v>
      </c>
      <c r="Y856" s="26" t="str">
        <f>IF(C856&gt;_xll.RssMarket(A856,"年初来高値"),"○","×")</f>
        <v>×</v>
      </c>
      <c r="Z856" s="27" t="str">
        <f>IF(C856&lt;=_xll.RssMarket(A856,"年初来安値"),"○","×")</f>
        <v>×</v>
      </c>
    </row>
    <row r="857" spans="1:26" x14ac:dyDescent="0.25">
      <c r="A857" s="49">
        <v>7240</v>
      </c>
      <c r="B857" s="20" t="str">
        <f>_xll.RssMarket(A857,"銘柄名称")</f>
        <v>ＮＯＫ</v>
      </c>
      <c r="C857" s="21">
        <f>_xll.RssMarket(A857,"現在値")</f>
        <v>2052</v>
      </c>
      <c r="D857" s="20" t="str">
        <f>_xll.RssMarket(A857,"現在値詳細時刻")</f>
        <v>15:00:00</v>
      </c>
      <c r="E857" s="22">
        <f>_xll.RssMarket(A857,"前日比")</f>
        <v>-22</v>
      </c>
      <c r="F857" s="23">
        <f>_xll.RssMarket(A857,"前日比率")/100</f>
        <v>-1.06E-2</v>
      </c>
      <c r="G857" s="24" t="str">
        <f>IFERROR(VLOOKUP(A857,取得元!$A$2:$F$501,2,FALSE),"-")</f>
        <v>-</v>
      </c>
      <c r="H857" s="24" t="str">
        <f>IFERROR(VLOOKUP(A857,取得元!$A$2:$F$501,3,FALSE),"-")</f>
        <v>-</v>
      </c>
      <c r="I857" s="24" t="str">
        <f>IFERROR(VLOOKUP(A857,取得元!$A$2:$F$501,4,FALSE),"-")</f>
        <v>-</v>
      </c>
      <c r="J857" s="5" t="str">
        <f>IFERROR(VLOOKUP(A857,取得元!$A$2:$F$501,5,FALSE),"-")</f>
        <v>-</v>
      </c>
      <c r="K857" s="25" t="str">
        <f>IFERROR(VLOOKUP(A857,取得元!$A$2:$F$501,6,FALSE)/100,"-")</f>
        <v>-</v>
      </c>
      <c r="L857" s="21">
        <f>_xll.RssMarket(A857,"始値")</f>
        <v>2075</v>
      </c>
      <c r="M857" s="4">
        <f t="shared" si="80"/>
        <v>-1.1084337349397622E-2</v>
      </c>
      <c r="N857" s="21">
        <f>_xll.RssMarket(A857,"高値")</f>
        <v>2105</v>
      </c>
      <c r="O857" s="4">
        <f t="shared" si="81"/>
        <v>-2.5178147268408502E-2</v>
      </c>
      <c r="P857" s="21">
        <f>_xll.RssMarket(A857,"安値")</f>
        <v>2047</v>
      </c>
      <c r="Q857" s="4">
        <f t="shared" si="82"/>
        <v>2.4425989252565561E-3</v>
      </c>
      <c r="R857" s="21">
        <f>_xll.RssMarket(A857,"後場始値")</f>
        <v>2070.5</v>
      </c>
      <c r="S857" s="25">
        <f t="shared" si="83"/>
        <v>-8.9350398454479674E-3</v>
      </c>
      <c r="T857" s="7">
        <f>_xll.RssMarket(A857,"出来高加重平均")</f>
        <v>2068.2935000000002</v>
      </c>
      <c r="U857" s="4">
        <f t="shared" si="84"/>
        <v>-7.877750425652974E-3</v>
      </c>
      <c r="V857" s="21">
        <f>_xll.RssMarket(A857,"出来高")</f>
        <v>548500</v>
      </c>
      <c r="W857" s="21">
        <f>_xll.RssMarket(A857,"売買代金")</f>
        <v>1134459</v>
      </c>
      <c r="X857" s="20" t="str">
        <f>_xll.RssMarket(A857,"決算発表日")</f>
        <v>2024/02/02</v>
      </c>
      <c r="Y857" s="26" t="str">
        <f>IF(C857&gt;_xll.RssMarket(A857,"年初来高値"),"○","×")</f>
        <v>×</v>
      </c>
      <c r="Z857" s="27" t="str">
        <f>IF(C857&lt;=_xll.RssMarket(A857,"年初来安値"),"○","×")</f>
        <v>×</v>
      </c>
    </row>
    <row r="858" spans="1:26" x14ac:dyDescent="0.25">
      <c r="A858" s="47">
        <v>7245</v>
      </c>
      <c r="B858" s="20" t="str">
        <f>_xll.RssMarket(A858,"銘柄名称")</f>
        <v>大同メタル工業</v>
      </c>
      <c r="C858" s="21">
        <f>_xll.RssMarket(A858,"現在値")</f>
        <v>571</v>
      </c>
      <c r="D858" s="20" t="str">
        <f>_xll.RssMarket(A858,"現在値詳細時刻")</f>
        <v>15:00:00</v>
      </c>
      <c r="E858" s="22">
        <f>_xll.RssMarket(A858,"前日比")</f>
        <v>14</v>
      </c>
      <c r="F858" s="23">
        <f>_xll.RssMarket(A858,"前日比率")/100</f>
        <v>2.5099999999999997E-2</v>
      </c>
      <c r="G858" s="24" t="str">
        <f>IFERROR(VLOOKUP(A858,取得元!$A$2:$F$501,2,FALSE),"-")</f>
        <v>-</v>
      </c>
      <c r="H858" s="24" t="str">
        <f>IFERROR(VLOOKUP(A858,取得元!$A$2:$F$501,3,FALSE),"-")</f>
        <v>-</v>
      </c>
      <c r="I858" s="24" t="str">
        <f>IFERROR(VLOOKUP(A858,取得元!$A$2:$F$501,4,FALSE),"-")</f>
        <v>-</v>
      </c>
      <c r="J858" s="5" t="str">
        <f>IFERROR(VLOOKUP(A858,取得元!$A$2:$F$501,5,FALSE),"-")</f>
        <v>-</v>
      </c>
      <c r="K858" s="25" t="str">
        <f>IFERROR(VLOOKUP(A858,取得元!$A$2:$F$501,6,FALSE)/100,"-")</f>
        <v>-</v>
      </c>
      <c r="L858" s="21">
        <f>_xll.RssMarket(A858,"始値")</f>
        <v>561</v>
      </c>
      <c r="M858" s="4">
        <f t="shared" si="80"/>
        <v>1.7825311942958999E-2</v>
      </c>
      <c r="N858" s="21">
        <f>_xll.RssMarket(A858,"高値")</f>
        <v>573</v>
      </c>
      <c r="O858" s="4">
        <f t="shared" si="81"/>
        <v>-3.4904013961605251E-3</v>
      </c>
      <c r="P858" s="21">
        <f>_xll.RssMarket(A858,"安値")</f>
        <v>560</v>
      </c>
      <c r="Q858" s="4">
        <f t="shared" si="82"/>
        <v>1.9642857142857073E-2</v>
      </c>
      <c r="R858" s="21">
        <f>_xll.RssMarket(A858,"後場始値")</f>
        <v>568</v>
      </c>
      <c r="S858" s="25">
        <f t="shared" si="83"/>
        <v>5.2816901408450079E-3</v>
      </c>
      <c r="T858" s="7">
        <f>_xll.RssMarket(A858,"出来高加重平均")</f>
        <v>569.04200000000003</v>
      </c>
      <c r="U858" s="4">
        <f t="shared" si="84"/>
        <v>3.4408707968831553E-3</v>
      </c>
      <c r="V858" s="21">
        <f>_xll.RssMarket(A858,"出来高")</f>
        <v>135700</v>
      </c>
      <c r="W858" s="21">
        <f>_xll.RssMarket(A858,"売買代金")</f>
        <v>77219</v>
      </c>
      <c r="X858" s="20" t="str">
        <f>_xll.RssMarket(A858,"決算発表日")</f>
        <v>2024/02/09</v>
      </c>
      <c r="Y858" s="26" t="str">
        <f>IF(C858&gt;_xll.RssMarket(A858,"年初来高値"),"○","×")</f>
        <v>×</v>
      </c>
      <c r="Z858" s="27" t="str">
        <f>IF(C858&lt;=_xll.RssMarket(A858,"年初来安値"),"○","×")</f>
        <v>×</v>
      </c>
    </row>
    <row r="859" spans="1:26" x14ac:dyDescent="0.25">
      <c r="A859" s="49">
        <v>7246</v>
      </c>
      <c r="B859" s="20" t="str">
        <f>_xll.RssMarket(A859,"銘柄名称")</f>
        <v>プレス工業</v>
      </c>
      <c r="C859" s="21">
        <f>_xll.RssMarket(A859,"現在値")</f>
        <v>673</v>
      </c>
      <c r="D859" s="20" t="str">
        <f>_xll.RssMarket(A859,"現在値詳細時刻")</f>
        <v>15:00:00</v>
      </c>
      <c r="E859" s="22">
        <f>_xll.RssMarket(A859,"前日比")</f>
        <v>13</v>
      </c>
      <c r="F859" s="23">
        <f>_xll.RssMarket(A859,"前日比率")/100</f>
        <v>1.9699999999999999E-2</v>
      </c>
      <c r="G859" s="24" t="str">
        <f>IFERROR(VLOOKUP(A859,取得元!$A$2:$F$501,2,FALSE),"-")</f>
        <v>-</v>
      </c>
      <c r="H859" s="24" t="str">
        <f>IFERROR(VLOOKUP(A859,取得元!$A$2:$F$501,3,FALSE),"-")</f>
        <v>-</v>
      </c>
      <c r="I859" s="24" t="str">
        <f>IFERROR(VLOOKUP(A859,取得元!$A$2:$F$501,4,FALSE),"-")</f>
        <v>-</v>
      </c>
      <c r="J859" s="5" t="str">
        <f>IFERROR(VLOOKUP(A859,取得元!$A$2:$F$501,5,FALSE),"-")</f>
        <v>-</v>
      </c>
      <c r="K859" s="25" t="str">
        <f>IFERROR(VLOOKUP(A859,取得元!$A$2:$F$501,6,FALSE)/100,"-")</f>
        <v>-</v>
      </c>
      <c r="L859" s="21">
        <f>_xll.RssMarket(A859,"始値")</f>
        <v>659</v>
      </c>
      <c r="M859" s="4">
        <f t="shared" si="80"/>
        <v>2.1244309559939278E-2</v>
      </c>
      <c r="N859" s="21">
        <f>_xll.RssMarket(A859,"高値")</f>
        <v>676</v>
      </c>
      <c r="O859" s="4">
        <f t="shared" si="81"/>
        <v>-4.4378698224851743E-3</v>
      </c>
      <c r="P859" s="21">
        <f>_xll.RssMarket(A859,"安値")</f>
        <v>659</v>
      </c>
      <c r="Q859" s="4">
        <f t="shared" si="82"/>
        <v>2.1244309559939278E-2</v>
      </c>
      <c r="R859" s="21">
        <f>_xll.RssMarket(A859,"後場始値")</f>
        <v>670</v>
      </c>
      <c r="S859" s="25">
        <f t="shared" si="83"/>
        <v>4.4776119402984982E-3</v>
      </c>
      <c r="T859" s="7">
        <f>_xll.RssMarket(A859,"出来高加重平均")</f>
        <v>670.44820000000004</v>
      </c>
      <c r="U859" s="4">
        <f t="shared" si="84"/>
        <v>3.8061105988500543E-3</v>
      </c>
      <c r="V859" s="21">
        <f>_xll.RssMarket(A859,"出来高")</f>
        <v>484100</v>
      </c>
      <c r="W859" s="21">
        <f>_xll.RssMarket(A859,"売買代金")</f>
        <v>324564</v>
      </c>
      <c r="X859" s="20" t="str">
        <f>_xll.RssMarket(A859,"決算発表日")</f>
        <v>2024/02/09</v>
      </c>
      <c r="Y859" s="26" t="str">
        <f>IF(C859&gt;_xll.RssMarket(A859,"年初来高値"),"○","×")</f>
        <v>×</v>
      </c>
      <c r="Z859" s="27" t="str">
        <f>IF(C859&lt;=_xll.RssMarket(A859,"年初来安値"),"○","×")</f>
        <v>×</v>
      </c>
    </row>
    <row r="860" spans="1:26" x14ac:dyDescent="0.25">
      <c r="A860" s="47">
        <v>7247</v>
      </c>
      <c r="B860" s="20" t="str">
        <f>_xll.RssMarket(A860,"銘柄名称")</f>
        <v>ミクニ</v>
      </c>
      <c r="C860" s="21">
        <f>_xll.RssMarket(A860,"現在値")</f>
        <v>501</v>
      </c>
      <c r="D860" s="20" t="str">
        <f>_xll.RssMarket(A860,"現在値詳細時刻")</f>
        <v>15:00:00</v>
      </c>
      <c r="E860" s="22">
        <f>_xll.RssMarket(A860,"前日比")</f>
        <v>10</v>
      </c>
      <c r="F860" s="23">
        <f>_xll.RssMarket(A860,"前日比率")/100</f>
        <v>2.0400000000000001E-2</v>
      </c>
      <c r="G860" s="24" t="str">
        <f>IFERROR(VLOOKUP(A860,取得元!$A$2:$F$501,2,FALSE),"-")</f>
        <v>-</v>
      </c>
      <c r="H860" s="24" t="str">
        <f>IFERROR(VLOOKUP(A860,取得元!$A$2:$F$501,3,FALSE),"-")</f>
        <v>-</v>
      </c>
      <c r="I860" s="24" t="str">
        <f>IFERROR(VLOOKUP(A860,取得元!$A$2:$F$501,4,FALSE),"-")</f>
        <v>-</v>
      </c>
      <c r="J860" s="5" t="str">
        <f>IFERROR(VLOOKUP(A860,取得元!$A$2:$F$501,5,FALSE),"-")</f>
        <v>-</v>
      </c>
      <c r="K860" s="25" t="str">
        <f>IFERROR(VLOOKUP(A860,取得元!$A$2:$F$501,6,FALSE)/100,"-")</f>
        <v>-</v>
      </c>
      <c r="L860" s="21">
        <f>_xll.RssMarket(A860,"始値")</f>
        <v>494</v>
      </c>
      <c r="M860" s="4">
        <f t="shared" si="80"/>
        <v>1.4170040485830038E-2</v>
      </c>
      <c r="N860" s="21">
        <f>_xll.RssMarket(A860,"高値")</f>
        <v>504</v>
      </c>
      <c r="O860" s="4">
        <f t="shared" si="81"/>
        <v>-5.9523809523809312E-3</v>
      </c>
      <c r="P860" s="21">
        <f>_xll.RssMarket(A860,"安値")</f>
        <v>494</v>
      </c>
      <c r="Q860" s="4">
        <f t="shared" si="82"/>
        <v>1.4170040485830038E-2</v>
      </c>
      <c r="R860" s="21">
        <f>_xll.RssMarket(A860,"後場始値")</f>
        <v>500</v>
      </c>
      <c r="S860" s="25">
        <f t="shared" si="83"/>
        <v>2.0000000000000018E-3</v>
      </c>
      <c r="T860" s="7">
        <f>_xll.RssMarket(A860,"出来高加重平均")</f>
        <v>500.01769999999999</v>
      </c>
      <c r="U860" s="4">
        <f t="shared" si="84"/>
        <v>1.9645304556219489E-3</v>
      </c>
      <c r="V860" s="21">
        <f>_xll.RssMarket(A860,"出来高")</f>
        <v>169100</v>
      </c>
      <c r="W860" s="21">
        <f>_xll.RssMarket(A860,"売買代金")</f>
        <v>84553</v>
      </c>
      <c r="X860" s="20" t="str">
        <f>_xll.RssMarket(A860,"決算発表日")</f>
        <v>2024/02/09</v>
      </c>
      <c r="Y860" s="26" t="str">
        <f>IF(C860&gt;_xll.RssMarket(A860,"年初来高値"),"○","×")</f>
        <v>×</v>
      </c>
      <c r="Z860" s="27" t="str">
        <f>IF(C860&lt;=_xll.RssMarket(A860,"年初来安値"),"○","×")</f>
        <v>×</v>
      </c>
    </row>
    <row r="861" spans="1:26" x14ac:dyDescent="0.25">
      <c r="A861" s="49">
        <v>7254</v>
      </c>
      <c r="B861" s="20" t="str">
        <f>_xll.RssMarket(A861,"銘柄名称")</f>
        <v>ユニバンス</v>
      </c>
      <c r="C861" s="21">
        <f>_xll.RssMarket(A861,"現在値")</f>
        <v>615</v>
      </c>
      <c r="D861" s="20" t="str">
        <f>_xll.RssMarket(A861,"現在値詳細時刻")</f>
        <v>15:00:00</v>
      </c>
      <c r="E861" s="22">
        <f>_xll.RssMarket(A861,"前日比")</f>
        <v>6</v>
      </c>
      <c r="F861" s="23">
        <f>_xll.RssMarket(A861,"前日比率")/100</f>
        <v>9.8999999999999991E-3</v>
      </c>
      <c r="G861" s="24" t="str">
        <f>IFERROR(VLOOKUP(A861,取得元!$A$2:$F$501,2,FALSE),"-")</f>
        <v>-</v>
      </c>
      <c r="H861" s="24" t="str">
        <f>IFERROR(VLOOKUP(A861,取得元!$A$2:$F$501,3,FALSE),"-")</f>
        <v>-</v>
      </c>
      <c r="I861" s="24" t="str">
        <f>IFERROR(VLOOKUP(A861,取得元!$A$2:$F$501,4,FALSE),"-")</f>
        <v>-</v>
      </c>
      <c r="J861" s="5" t="str">
        <f>IFERROR(VLOOKUP(A861,取得元!$A$2:$F$501,5,FALSE),"-")</f>
        <v>-</v>
      </c>
      <c r="K861" s="25" t="str">
        <f>IFERROR(VLOOKUP(A861,取得元!$A$2:$F$501,6,FALSE)/100,"-")</f>
        <v>-</v>
      </c>
      <c r="L861" s="21">
        <f>_xll.RssMarket(A861,"始値")</f>
        <v>605</v>
      </c>
      <c r="M861" s="4">
        <f t="shared" si="80"/>
        <v>1.6528925619834656E-2</v>
      </c>
      <c r="N861" s="21">
        <f>_xll.RssMarket(A861,"高値")</f>
        <v>615</v>
      </c>
      <c r="O861" s="4">
        <f t="shared" si="81"/>
        <v>0</v>
      </c>
      <c r="P861" s="21">
        <f>_xll.RssMarket(A861,"安値")</f>
        <v>603</v>
      </c>
      <c r="Q861" s="4">
        <f t="shared" si="82"/>
        <v>1.990049751243772E-2</v>
      </c>
      <c r="R861" s="21">
        <f>_xll.RssMarket(A861,"後場始値")</f>
        <v>612</v>
      </c>
      <c r="S861" s="25">
        <f t="shared" si="83"/>
        <v>4.9019607843137081E-3</v>
      </c>
      <c r="T861" s="7">
        <f>_xll.RssMarket(A861,"出来高加重平均")</f>
        <v>609.14380000000006</v>
      </c>
      <c r="U861" s="4">
        <f t="shared" si="84"/>
        <v>9.6138218923018659E-3</v>
      </c>
      <c r="V861" s="21">
        <f>_xll.RssMarket(A861,"出来高")</f>
        <v>54900</v>
      </c>
      <c r="W861" s="21">
        <f>_xll.RssMarket(A861,"売買代金")</f>
        <v>33442</v>
      </c>
      <c r="X861" s="20" t="str">
        <f>_xll.RssMarket(A861,"決算発表日")</f>
        <v>2024/02/13</v>
      </c>
      <c r="Y861" s="26" t="str">
        <f>IF(C861&gt;_xll.RssMarket(A861,"年初来高値"),"○","×")</f>
        <v>×</v>
      </c>
      <c r="Z861" s="27" t="str">
        <f>IF(C861&lt;=_xll.RssMarket(A861,"年初来安値"),"○","×")</f>
        <v>×</v>
      </c>
    </row>
    <row r="862" spans="1:26" x14ac:dyDescent="0.25">
      <c r="A862" s="47">
        <v>7256</v>
      </c>
      <c r="B862" s="20" t="str">
        <f>_xll.RssMarket(A862,"銘柄名称")</f>
        <v>河西工業</v>
      </c>
      <c r="C862" s="21">
        <f>_xll.RssMarket(A862,"現在値")</f>
        <v>188</v>
      </c>
      <c r="D862" s="20" t="str">
        <f>_xll.RssMarket(A862,"現在値詳細時刻")</f>
        <v>15:00:00</v>
      </c>
      <c r="E862" s="22">
        <f>_xll.RssMarket(A862,"前日比")</f>
        <v>3</v>
      </c>
      <c r="F862" s="23">
        <f>_xll.RssMarket(A862,"前日比率")/100</f>
        <v>1.6200000000000003E-2</v>
      </c>
      <c r="G862" s="24" t="str">
        <f>IFERROR(VLOOKUP(A862,取得元!$A$2:$F$501,2,FALSE),"-")</f>
        <v>-</v>
      </c>
      <c r="H862" s="24" t="str">
        <f>IFERROR(VLOOKUP(A862,取得元!$A$2:$F$501,3,FALSE),"-")</f>
        <v>-</v>
      </c>
      <c r="I862" s="24" t="str">
        <f>IFERROR(VLOOKUP(A862,取得元!$A$2:$F$501,4,FALSE),"-")</f>
        <v>-</v>
      </c>
      <c r="J862" s="5" t="str">
        <f>IFERROR(VLOOKUP(A862,取得元!$A$2:$F$501,5,FALSE),"-")</f>
        <v>-</v>
      </c>
      <c r="K862" s="25" t="str">
        <f>IFERROR(VLOOKUP(A862,取得元!$A$2:$F$501,6,FALSE)/100,"-")</f>
        <v>-</v>
      </c>
      <c r="L862" s="21">
        <f>_xll.RssMarket(A862,"始値")</f>
        <v>183</v>
      </c>
      <c r="M862" s="4">
        <f t="shared" si="80"/>
        <v>2.732240437158473E-2</v>
      </c>
      <c r="N862" s="21">
        <f>_xll.RssMarket(A862,"高値")</f>
        <v>189</v>
      </c>
      <c r="O862" s="4">
        <f t="shared" si="81"/>
        <v>-5.2910052910053462E-3</v>
      </c>
      <c r="P862" s="21">
        <f>_xll.RssMarket(A862,"安値")</f>
        <v>182</v>
      </c>
      <c r="Q862" s="4">
        <f t="shared" si="82"/>
        <v>3.2967032967033072E-2</v>
      </c>
      <c r="R862" s="21">
        <f>_xll.RssMarket(A862,"後場始値")</f>
        <v>183</v>
      </c>
      <c r="S862" s="25">
        <f t="shared" si="83"/>
        <v>2.732240437158473E-2</v>
      </c>
      <c r="T862" s="7">
        <f>_xll.RssMarket(A862,"出来高加重平均")</f>
        <v>184.79650000000001</v>
      </c>
      <c r="U862" s="4">
        <f t="shared" si="84"/>
        <v>1.7335285029748793E-2</v>
      </c>
      <c r="V862" s="21">
        <f>_xll.RssMarket(A862,"出来高")</f>
        <v>258100</v>
      </c>
      <c r="W862" s="21">
        <f>_xll.RssMarket(A862,"売買代金")</f>
        <v>47696</v>
      </c>
      <c r="X862" s="20" t="str">
        <f>_xll.RssMarket(A862,"決算発表日")</f>
        <v>2024/02/14</v>
      </c>
      <c r="Y862" s="26" t="str">
        <f>IF(C862&gt;_xll.RssMarket(A862,"年初来高値"),"○","×")</f>
        <v>×</v>
      </c>
      <c r="Z862" s="27" t="str">
        <f>IF(C862&lt;=_xll.RssMarket(A862,"年初来安値"),"○","×")</f>
        <v>×</v>
      </c>
    </row>
    <row r="863" spans="1:26" x14ac:dyDescent="0.25">
      <c r="A863" s="49">
        <v>7261</v>
      </c>
      <c r="B863" s="20" t="str">
        <f>_xll.RssMarket(A863,"銘柄名称")</f>
        <v>マツダ</v>
      </c>
      <c r="C863" s="21">
        <f>_xll.RssMarket(A863,"現在値")</f>
        <v>1902</v>
      </c>
      <c r="D863" s="20" t="str">
        <f>_xll.RssMarket(A863,"現在値詳細時刻")</f>
        <v>15:00:00</v>
      </c>
      <c r="E863" s="22">
        <f>_xll.RssMarket(A863,"前日比")</f>
        <v>40.5</v>
      </c>
      <c r="F863" s="23">
        <f>_xll.RssMarket(A863,"前日比率")/100</f>
        <v>2.18E-2</v>
      </c>
      <c r="G863" s="24" t="str">
        <f>IFERROR(VLOOKUP(A863,取得元!$A$2:$F$501,2,FALSE),"-")</f>
        <v>-</v>
      </c>
      <c r="H863" s="24" t="str">
        <f>IFERROR(VLOOKUP(A863,取得元!$A$2:$F$501,3,FALSE),"-")</f>
        <v>-</v>
      </c>
      <c r="I863" s="24" t="str">
        <f>IFERROR(VLOOKUP(A863,取得元!$A$2:$F$501,4,FALSE),"-")</f>
        <v>-</v>
      </c>
      <c r="J863" s="5" t="str">
        <f>IFERROR(VLOOKUP(A863,取得元!$A$2:$F$501,5,FALSE),"-")</f>
        <v>-</v>
      </c>
      <c r="K863" s="25" t="str">
        <f>IFERROR(VLOOKUP(A863,取得元!$A$2:$F$501,6,FALSE)/100,"-")</f>
        <v>-</v>
      </c>
      <c r="L863" s="21">
        <f>_xll.RssMarket(A863,"始値")</f>
        <v>1843</v>
      </c>
      <c r="M863" s="4">
        <f t="shared" si="80"/>
        <v>3.2013022246337508E-2</v>
      </c>
      <c r="N863" s="21">
        <f>_xll.RssMarket(A863,"高値")</f>
        <v>1935</v>
      </c>
      <c r="O863" s="4">
        <f t="shared" si="81"/>
        <v>-1.7054263565891459E-2</v>
      </c>
      <c r="P863" s="21">
        <f>_xll.RssMarket(A863,"安値")</f>
        <v>1840</v>
      </c>
      <c r="Q863" s="4">
        <f t="shared" si="82"/>
        <v>3.3695652173913127E-2</v>
      </c>
      <c r="R863" s="21">
        <f>_xll.RssMarket(A863,"後場始値")</f>
        <v>1906</v>
      </c>
      <c r="S863" s="25">
        <f t="shared" si="83"/>
        <v>-2.0986358866736943E-3</v>
      </c>
      <c r="T863" s="7">
        <f>_xll.RssMarket(A863,"出来高加重平均")</f>
        <v>1899.2636</v>
      </c>
      <c r="U863" s="4">
        <f t="shared" si="84"/>
        <v>1.4407689380242505E-3</v>
      </c>
      <c r="V863" s="21">
        <f>_xll.RssMarket(A863,"出来高")</f>
        <v>7363600</v>
      </c>
      <c r="W863" s="21">
        <f>_xll.RssMarket(A863,"売買代金")</f>
        <v>13985418</v>
      </c>
      <c r="X863" s="20" t="str">
        <f>_xll.RssMarket(A863,"決算発表日")</f>
        <v>2024/02/09</v>
      </c>
      <c r="Y863" s="26" t="str">
        <f>IF(C863&gt;_xll.RssMarket(A863,"年初来高値"),"○","×")</f>
        <v>○</v>
      </c>
      <c r="Z863" s="27" t="str">
        <f>IF(C863&lt;=_xll.RssMarket(A863,"年初来安値"),"○","×")</f>
        <v>×</v>
      </c>
    </row>
    <row r="864" spans="1:26" x14ac:dyDescent="0.25">
      <c r="A864" s="47">
        <v>7267</v>
      </c>
      <c r="B864" s="20" t="str">
        <f>_xll.RssMarket(A864,"銘柄名称")</f>
        <v>本田技研</v>
      </c>
      <c r="C864" s="21">
        <f>_xll.RssMarket(A864,"現在値")</f>
        <v>1710.5</v>
      </c>
      <c r="D864" s="20" t="str">
        <f>_xll.RssMarket(A864,"現在値詳細時刻")</f>
        <v>15:00:00</v>
      </c>
      <c r="E864" s="22">
        <f>_xll.RssMarket(A864,"前日比")</f>
        <v>19.5</v>
      </c>
      <c r="F864" s="23">
        <f>_xll.RssMarket(A864,"前日比率")/100</f>
        <v>1.15E-2</v>
      </c>
      <c r="G864" s="24" t="str">
        <f>IFERROR(VLOOKUP(A864,取得元!$A$2:$F$501,2,FALSE),"-")</f>
        <v>-</v>
      </c>
      <c r="H864" s="24" t="str">
        <f>IFERROR(VLOOKUP(A864,取得元!$A$2:$F$501,3,FALSE),"-")</f>
        <v>-</v>
      </c>
      <c r="I864" s="24" t="str">
        <f>IFERROR(VLOOKUP(A864,取得元!$A$2:$F$501,4,FALSE),"-")</f>
        <v>-</v>
      </c>
      <c r="J864" s="5" t="str">
        <f>IFERROR(VLOOKUP(A864,取得元!$A$2:$F$501,5,FALSE),"-")</f>
        <v>-</v>
      </c>
      <c r="K864" s="25" t="str">
        <f>IFERROR(VLOOKUP(A864,取得元!$A$2:$F$501,6,FALSE)/100,"-")</f>
        <v>-</v>
      </c>
      <c r="L864" s="21">
        <f>_xll.RssMarket(A864,"始値")</f>
        <v>1673</v>
      </c>
      <c r="M864" s="4">
        <f t="shared" si="80"/>
        <v>2.2414823670053874E-2</v>
      </c>
      <c r="N864" s="21">
        <f>_xll.RssMarket(A864,"高値")</f>
        <v>1735</v>
      </c>
      <c r="O864" s="4">
        <f t="shared" si="81"/>
        <v>-1.4121037463976971E-2</v>
      </c>
      <c r="P864" s="21">
        <f>_xll.RssMarket(A864,"安値")</f>
        <v>1672.5</v>
      </c>
      <c r="Q864" s="4">
        <f t="shared" si="82"/>
        <v>2.2720478325859439E-2</v>
      </c>
      <c r="R864" s="21">
        <f>_xll.RssMarket(A864,"後場始値")</f>
        <v>1725</v>
      </c>
      <c r="S864" s="25">
        <f t="shared" si="83"/>
        <v>-8.405797101449286E-3</v>
      </c>
      <c r="T864" s="7">
        <f>_xll.RssMarket(A864,"出来高加重平均")</f>
        <v>1713.3054</v>
      </c>
      <c r="U864" s="4">
        <f t="shared" si="84"/>
        <v>-1.6374196917841033E-3</v>
      </c>
      <c r="V864" s="21">
        <f>_xll.RssMarket(A864,"出来高")</f>
        <v>24095300</v>
      </c>
      <c r="W864" s="21">
        <f>_xll.RssMarket(A864,"売買代金")</f>
        <v>41282608</v>
      </c>
      <c r="X864" s="20" t="str">
        <f>_xll.RssMarket(A864,"決算発表日")</f>
        <v>2024/02/08</v>
      </c>
      <c r="Y864" s="26" t="str">
        <f>IF(C864&gt;_xll.RssMarket(A864,"年初来高値"),"○","×")</f>
        <v>×</v>
      </c>
      <c r="Z864" s="27" t="str">
        <f>IF(C864&lt;=_xll.RssMarket(A864,"年初来安値"),"○","×")</f>
        <v>×</v>
      </c>
    </row>
    <row r="865" spans="1:26" x14ac:dyDescent="0.25">
      <c r="A865" s="49">
        <v>7268</v>
      </c>
      <c r="B865" s="20" t="str">
        <f>_xll.RssMarket(A865,"銘柄名称")</f>
        <v>タツミ</v>
      </c>
      <c r="C865" s="21">
        <f>_xll.RssMarket(A865,"現在値")</f>
        <v>350</v>
      </c>
      <c r="D865" s="20" t="str">
        <f>_xll.RssMarket(A865,"現在値詳細時刻")</f>
        <v>15:00:00</v>
      </c>
      <c r="E865" s="22">
        <f>_xll.RssMarket(A865,"前日比")</f>
        <v>4</v>
      </c>
      <c r="F865" s="23">
        <f>_xll.RssMarket(A865,"前日比率")/100</f>
        <v>1.1599999999999999E-2</v>
      </c>
      <c r="G865" s="24" t="str">
        <f>IFERROR(VLOOKUP(A865,取得元!$A$2:$F$501,2,FALSE),"-")</f>
        <v>-</v>
      </c>
      <c r="H865" s="24" t="str">
        <f>IFERROR(VLOOKUP(A865,取得元!$A$2:$F$501,3,FALSE),"-")</f>
        <v>-</v>
      </c>
      <c r="I865" s="24" t="str">
        <f>IFERROR(VLOOKUP(A865,取得元!$A$2:$F$501,4,FALSE),"-")</f>
        <v>-</v>
      </c>
      <c r="J865" s="5" t="str">
        <f>IFERROR(VLOOKUP(A865,取得元!$A$2:$F$501,5,FALSE),"-")</f>
        <v>-</v>
      </c>
      <c r="K865" s="25" t="str">
        <f>IFERROR(VLOOKUP(A865,取得元!$A$2:$F$501,6,FALSE)/100,"-")</f>
        <v>-</v>
      </c>
      <c r="L865" s="21">
        <f>_xll.RssMarket(A865,"始値")</f>
        <v>350</v>
      </c>
      <c r="M865" s="4">
        <f t="shared" si="80"/>
        <v>0</v>
      </c>
      <c r="N865" s="21">
        <f>_xll.RssMarket(A865,"高値")</f>
        <v>356</v>
      </c>
      <c r="O865" s="4">
        <f t="shared" si="81"/>
        <v>-1.6853932584269704E-2</v>
      </c>
      <c r="P865" s="21">
        <f>_xll.RssMarket(A865,"安値")</f>
        <v>342</v>
      </c>
      <c r="Q865" s="4">
        <f t="shared" si="82"/>
        <v>2.3391812865497075E-2</v>
      </c>
      <c r="R865" s="21">
        <f>_xll.RssMarket(A865,"後場始値")</f>
        <v>348</v>
      </c>
      <c r="S865" s="25">
        <f t="shared" si="83"/>
        <v>5.7471264367816577E-3</v>
      </c>
      <c r="T865" s="7">
        <f>_xll.RssMarket(A865,"出来高加重平均")</f>
        <v>349.8252</v>
      </c>
      <c r="U865" s="4">
        <f t="shared" si="84"/>
        <v>4.9967812496065633E-4</v>
      </c>
      <c r="V865" s="21">
        <f>_xll.RssMarket(A865,"出来高")</f>
        <v>74400</v>
      </c>
      <c r="W865" s="21">
        <f>_xll.RssMarket(A865,"売買代金")</f>
        <v>26027</v>
      </c>
      <c r="X865" s="20" t="str">
        <f>_xll.RssMarket(A865,"決算発表日")</f>
        <v>2024/02/13</v>
      </c>
      <c r="Y865" s="26" t="str">
        <f>IF(C865&gt;_xll.RssMarket(A865,"年初来高値"),"○","×")</f>
        <v>×</v>
      </c>
      <c r="Z865" s="27" t="str">
        <f>IF(C865&lt;=_xll.RssMarket(A865,"年初来安値"),"○","×")</f>
        <v>×</v>
      </c>
    </row>
    <row r="866" spans="1:26" x14ac:dyDescent="0.25">
      <c r="A866" s="47">
        <v>7269</v>
      </c>
      <c r="B866" s="20" t="str">
        <f>_xll.RssMarket(A866,"銘柄名称")</f>
        <v>スズキ</v>
      </c>
      <c r="C866" s="21">
        <f>_xll.RssMarket(A866,"現在値")</f>
        <v>7235</v>
      </c>
      <c r="D866" s="20" t="str">
        <f>_xll.RssMarket(A866,"現在値詳細時刻")</f>
        <v>15:00:00</v>
      </c>
      <c r="E866" s="22">
        <f>_xll.RssMarket(A866,"前日比")</f>
        <v>169</v>
      </c>
      <c r="F866" s="23">
        <f>_xll.RssMarket(A866,"前日比率")/100</f>
        <v>2.3900000000000001E-2</v>
      </c>
      <c r="G866" s="24" t="str">
        <f>IFERROR(VLOOKUP(A866,取得元!$A$2:$F$501,2,FALSE),"-")</f>
        <v>-</v>
      </c>
      <c r="H866" s="24" t="str">
        <f>IFERROR(VLOOKUP(A866,取得元!$A$2:$F$501,3,FALSE),"-")</f>
        <v>-</v>
      </c>
      <c r="I866" s="24" t="str">
        <f>IFERROR(VLOOKUP(A866,取得元!$A$2:$F$501,4,FALSE),"-")</f>
        <v>-</v>
      </c>
      <c r="J866" s="5" t="str">
        <f>IFERROR(VLOOKUP(A866,取得元!$A$2:$F$501,5,FALSE),"-")</f>
        <v>-</v>
      </c>
      <c r="K866" s="25" t="str">
        <f>IFERROR(VLOOKUP(A866,取得元!$A$2:$F$501,6,FALSE)/100,"-")</f>
        <v>-</v>
      </c>
      <c r="L866" s="21">
        <f>_xll.RssMarket(A866,"始値")</f>
        <v>7120</v>
      </c>
      <c r="M866" s="4">
        <f t="shared" si="80"/>
        <v>1.6151685393258397E-2</v>
      </c>
      <c r="N866" s="21">
        <f>_xll.RssMarket(A866,"高値")</f>
        <v>7347</v>
      </c>
      <c r="O866" s="4">
        <f t="shared" si="81"/>
        <v>-1.524431740846599E-2</v>
      </c>
      <c r="P866" s="21">
        <f>_xll.RssMarket(A866,"安値")</f>
        <v>7110</v>
      </c>
      <c r="Q866" s="4">
        <f t="shared" si="82"/>
        <v>1.7580872011251802E-2</v>
      </c>
      <c r="R866" s="21">
        <f>_xll.RssMarket(A866,"後場始値")</f>
        <v>7333</v>
      </c>
      <c r="S866" s="25">
        <f t="shared" si="83"/>
        <v>-1.3364243829264932E-2</v>
      </c>
      <c r="T866" s="7">
        <f>_xll.RssMarket(A866,"出来高加重平均")</f>
        <v>7255.9703</v>
      </c>
      <c r="U866" s="4">
        <f t="shared" si="84"/>
        <v>-2.890075225362998E-3</v>
      </c>
      <c r="V866" s="21">
        <f>_xll.RssMarket(A866,"出来高")</f>
        <v>3842800</v>
      </c>
      <c r="W866" s="21">
        <f>_xll.RssMarket(A866,"売買代金")</f>
        <v>27883243</v>
      </c>
      <c r="X866" s="20" t="str">
        <f>_xll.RssMarket(A866,"決算発表日")</f>
        <v>2024/02/07</v>
      </c>
      <c r="Y866" s="26" t="str">
        <f>IF(C866&gt;_xll.RssMarket(A866,"年初来高値"),"○","×")</f>
        <v>○</v>
      </c>
      <c r="Z866" s="27" t="str">
        <f>IF(C866&lt;=_xll.RssMarket(A866,"年初来安値"),"○","×")</f>
        <v>×</v>
      </c>
    </row>
    <row r="867" spans="1:26" x14ac:dyDescent="0.25">
      <c r="A867" s="49">
        <v>7270</v>
      </c>
      <c r="B867" s="20" t="str">
        <f>_xll.RssMarket(A867,"銘柄名称")</f>
        <v>ＳＵＢＡＲＵ</v>
      </c>
      <c r="C867" s="21">
        <f>_xll.RssMarket(A867,"現在値")</f>
        <v>3095</v>
      </c>
      <c r="D867" s="20" t="str">
        <f>_xll.RssMarket(A867,"現在値詳細時刻")</f>
        <v>15:00:00</v>
      </c>
      <c r="E867" s="22">
        <f>_xll.RssMarket(A867,"前日比")</f>
        <v>67</v>
      </c>
      <c r="F867" s="23">
        <f>_xll.RssMarket(A867,"前日比率")/100</f>
        <v>2.2099999999999998E-2</v>
      </c>
      <c r="G867" s="24" t="str">
        <f>IFERROR(VLOOKUP(A867,取得元!$A$2:$F$501,2,FALSE),"-")</f>
        <v>-</v>
      </c>
      <c r="H867" s="24" t="str">
        <f>IFERROR(VLOOKUP(A867,取得元!$A$2:$F$501,3,FALSE),"-")</f>
        <v>-</v>
      </c>
      <c r="I867" s="24" t="str">
        <f>IFERROR(VLOOKUP(A867,取得元!$A$2:$F$501,4,FALSE),"-")</f>
        <v>-</v>
      </c>
      <c r="J867" s="5" t="str">
        <f>IFERROR(VLOOKUP(A867,取得元!$A$2:$F$501,5,FALSE),"-")</f>
        <v>-</v>
      </c>
      <c r="K867" s="25" t="str">
        <f>IFERROR(VLOOKUP(A867,取得元!$A$2:$F$501,6,FALSE)/100,"-")</f>
        <v>-</v>
      </c>
      <c r="L867" s="21">
        <f>_xll.RssMarket(A867,"始値")</f>
        <v>3025</v>
      </c>
      <c r="M867" s="4">
        <f t="shared" si="80"/>
        <v>2.3140495867768562E-2</v>
      </c>
      <c r="N867" s="21">
        <f>_xll.RssMarket(A867,"高値")</f>
        <v>3138</v>
      </c>
      <c r="O867" s="4">
        <f t="shared" si="81"/>
        <v>-1.3702995538559581E-2</v>
      </c>
      <c r="P867" s="21">
        <f>_xll.RssMarket(A867,"安値")</f>
        <v>3018</v>
      </c>
      <c r="Q867" s="4">
        <f t="shared" si="82"/>
        <v>2.551358515573221E-2</v>
      </c>
      <c r="R867" s="21">
        <f>_xll.RssMarket(A867,"後場始値")</f>
        <v>3095</v>
      </c>
      <c r="S867" s="25">
        <f t="shared" si="83"/>
        <v>0</v>
      </c>
      <c r="T867" s="7">
        <f>_xll.RssMarket(A867,"出来高加重平均")</f>
        <v>3094.1929</v>
      </c>
      <c r="U867" s="4">
        <f t="shared" si="84"/>
        <v>2.6084346583554741E-4</v>
      </c>
      <c r="V867" s="21">
        <f>_xll.RssMarket(A867,"出来高")</f>
        <v>3544500</v>
      </c>
      <c r="W867" s="21">
        <f>_xll.RssMarket(A867,"売買代金")</f>
        <v>10967367</v>
      </c>
      <c r="X867" s="20" t="str">
        <f>_xll.RssMarket(A867,"決算発表日")</f>
        <v>2024/02/08</v>
      </c>
      <c r="Y867" s="26" t="str">
        <f>IF(C867&gt;_xll.RssMarket(A867,"年初来高値"),"○","×")</f>
        <v>×</v>
      </c>
      <c r="Z867" s="27" t="str">
        <f>IF(C867&lt;=_xll.RssMarket(A867,"年初来安値"),"○","×")</f>
        <v>×</v>
      </c>
    </row>
    <row r="868" spans="1:26" x14ac:dyDescent="0.25">
      <c r="A868" s="47">
        <v>7272</v>
      </c>
      <c r="B868" s="20" t="str">
        <f>_xll.RssMarket(A868,"銘柄名称")</f>
        <v>ヤマハ発動機</v>
      </c>
      <c r="C868" s="21">
        <f>_xll.RssMarket(A868,"現在値")</f>
        <v>1419.5</v>
      </c>
      <c r="D868" s="20" t="str">
        <f>_xll.RssMarket(A868,"現在値詳細時刻")</f>
        <v>15:00:00</v>
      </c>
      <c r="E868" s="22">
        <f>_xll.RssMarket(A868,"前日比")</f>
        <v>7.5</v>
      </c>
      <c r="F868" s="23">
        <f>_xll.RssMarket(A868,"前日比率")/100</f>
        <v>5.3E-3</v>
      </c>
      <c r="G868" s="24" t="str">
        <f>IFERROR(VLOOKUP(A868,取得元!$A$2:$F$501,2,FALSE),"-")</f>
        <v>-</v>
      </c>
      <c r="H868" s="24" t="str">
        <f>IFERROR(VLOOKUP(A868,取得元!$A$2:$F$501,3,FALSE),"-")</f>
        <v>-</v>
      </c>
      <c r="I868" s="24" t="str">
        <f>IFERROR(VLOOKUP(A868,取得元!$A$2:$F$501,4,FALSE),"-")</f>
        <v>-</v>
      </c>
      <c r="J868" s="5" t="str">
        <f>IFERROR(VLOOKUP(A868,取得元!$A$2:$F$501,5,FALSE),"-")</f>
        <v>-</v>
      </c>
      <c r="K868" s="25" t="str">
        <f>IFERROR(VLOOKUP(A868,取得元!$A$2:$F$501,6,FALSE)/100,"-")</f>
        <v>-</v>
      </c>
      <c r="L868" s="21">
        <f>_xll.RssMarket(A868,"始値")</f>
        <v>1412</v>
      </c>
      <c r="M868" s="4">
        <f t="shared" si="80"/>
        <v>5.3116147308782669E-3</v>
      </c>
      <c r="N868" s="21">
        <f>_xll.RssMarket(A868,"高値")</f>
        <v>1442</v>
      </c>
      <c r="O868" s="4">
        <f t="shared" si="81"/>
        <v>-1.560332871012482E-2</v>
      </c>
      <c r="P868" s="21">
        <f>_xll.RssMarket(A868,"安値")</f>
        <v>1412</v>
      </c>
      <c r="Q868" s="4">
        <f t="shared" si="82"/>
        <v>5.3116147308782669E-3</v>
      </c>
      <c r="R868" s="21">
        <f>_xll.RssMarket(A868,"後場始値")</f>
        <v>1429</v>
      </c>
      <c r="S868" s="25">
        <f t="shared" si="83"/>
        <v>-6.6480055983204611E-3</v>
      </c>
      <c r="T868" s="7">
        <f>_xll.RssMarket(A868,"出来高加重平均")</f>
        <v>1425.7155</v>
      </c>
      <c r="U868" s="4">
        <f t="shared" si="84"/>
        <v>-4.359565425219869E-3</v>
      </c>
      <c r="V868" s="21">
        <f>_xll.RssMarket(A868,"出来高")</f>
        <v>4505400</v>
      </c>
      <c r="W868" s="21">
        <f>_xll.RssMarket(A868,"売買代金")</f>
        <v>6423419</v>
      </c>
      <c r="X868" s="20" t="str">
        <f>_xll.RssMarket(A868,"決算発表日")</f>
        <v>2024/02/14</v>
      </c>
      <c r="Y868" s="26" t="str">
        <f>IF(C868&gt;_xll.RssMarket(A868,"年初来高値"),"○","×")</f>
        <v>×</v>
      </c>
      <c r="Z868" s="27" t="str">
        <f>IF(C868&lt;=_xll.RssMarket(A868,"年初来安値"),"○","×")</f>
        <v>×</v>
      </c>
    </row>
    <row r="869" spans="1:26" x14ac:dyDescent="0.25">
      <c r="A869" s="49">
        <v>7280</v>
      </c>
      <c r="B869" s="20" t="str">
        <f>_xll.RssMarket(A869,"銘柄名称")</f>
        <v>ミツバ</v>
      </c>
      <c r="C869" s="21">
        <f>_xll.RssMarket(A869,"現在値")</f>
        <v>1128</v>
      </c>
      <c r="D869" s="20" t="str">
        <f>_xll.RssMarket(A869,"現在値詳細時刻")</f>
        <v>15:00:00</v>
      </c>
      <c r="E869" s="22">
        <f>_xll.RssMarket(A869,"前日比")</f>
        <v>31</v>
      </c>
      <c r="F869" s="23">
        <f>_xll.RssMarket(A869,"前日比率")/100</f>
        <v>2.8300000000000002E-2</v>
      </c>
      <c r="G869" s="24" t="str">
        <f>IFERROR(VLOOKUP(A869,取得元!$A$2:$F$501,2,FALSE),"-")</f>
        <v>-</v>
      </c>
      <c r="H869" s="24" t="str">
        <f>IFERROR(VLOOKUP(A869,取得元!$A$2:$F$501,3,FALSE),"-")</f>
        <v>-</v>
      </c>
      <c r="I869" s="24" t="str">
        <f>IFERROR(VLOOKUP(A869,取得元!$A$2:$F$501,4,FALSE),"-")</f>
        <v>-</v>
      </c>
      <c r="J869" s="5" t="str">
        <f>IFERROR(VLOOKUP(A869,取得元!$A$2:$F$501,5,FALSE),"-")</f>
        <v>-</v>
      </c>
      <c r="K869" s="25" t="str">
        <f>IFERROR(VLOOKUP(A869,取得元!$A$2:$F$501,6,FALSE)/100,"-")</f>
        <v>-</v>
      </c>
      <c r="L869" s="21">
        <f>_xll.RssMarket(A869,"始値")</f>
        <v>1099</v>
      </c>
      <c r="M869" s="4">
        <f t="shared" si="80"/>
        <v>2.6387625113739821E-2</v>
      </c>
      <c r="N869" s="21">
        <f>_xll.RssMarket(A869,"高値")</f>
        <v>1142</v>
      </c>
      <c r="O869" s="4">
        <f t="shared" si="81"/>
        <v>-1.2259194395796813E-2</v>
      </c>
      <c r="P869" s="21">
        <f>_xll.RssMarket(A869,"安値")</f>
        <v>1092</v>
      </c>
      <c r="Q869" s="4">
        <f t="shared" si="82"/>
        <v>3.2967032967033072E-2</v>
      </c>
      <c r="R869" s="21">
        <f>_xll.RssMarket(A869,"後場始値")</f>
        <v>1140</v>
      </c>
      <c r="S869" s="25">
        <f t="shared" si="83"/>
        <v>-1.0526315789473717E-2</v>
      </c>
      <c r="T869" s="7">
        <f>_xll.RssMarket(A869,"出来高加重平均")</f>
        <v>1122.9473</v>
      </c>
      <c r="U869" s="4">
        <f t="shared" si="84"/>
        <v>4.499498774341415E-3</v>
      </c>
      <c r="V869" s="21">
        <f>_xll.RssMarket(A869,"出来高")</f>
        <v>373900</v>
      </c>
      <c r="W869" s="21">
        <f>_xll.RssMarket(A869,"売買代金")</f>
        <v>419870</v>
      </c>
      <c r="X869" s="20" t="str">
        <f>_xll.RssMarket(A869,"決算発表日")</f>
        <v>2024/02/14</v>
      </c>
      <c r="Y869" s="26" t="str">
        <f>IF(C869&gt;_xll.RssMarket(A869,"年初来高値"),"○","×")</f>
        <v>○</v>
      </c>
      <c r="Z869" s="27" t="str">
        <f>IF(C869&lt;=_xll.RssMarket(A869,"年初来安値"),"○","×")</f>
        <v>×</v>
      </c>
    </row>
    <row r="870" spans="1:26" x14ac:dyDescent="0.25">
      <c r="A870" s="47">
        <v>7283</v>
      </c>
      <c r="B870" s="20" t="str">
        <f>_xll.RssMarket(A870,"銘柄名称")</f>
        <v>愛三工業</v>
      </c>
      <c r="C870" s="21">
        <f>_xll.RssMarket(A870,"現在値")</f>
        <v>1458</v>
      </c>
      <c r="D870" s="20" t="str">
        <f>_xll.RssMarket(A870,"現在値詳細時刻")</f>
        <v>15:00:00</v>
      </c>
      <c r="E870" s="22">
        <f>_xll.RssMarket(A870,"前日比")</f>
        <v>47</v>
      </c>
      <c r="F870" s="23">
        <f>_xll.RssMarket(A870,"前日比率")/100</f>
        <v>3.3300000000000003E-2</v>
      </c>
      <c r="G870" s="24" t="str">
        <f>IFERROR(VLOOKUP(A870,取得元!$A$2:$F$501,2,FALSE),"-")</f>
        <v>-</v>
      </c>
      <c r="H870" s="24" t="str">
        <f>IFERROR(VLOOKUP(A870,取得元!$A$2:$F$501,3,FALSE),"-")</f>
        <v>-</v>
      </c>
      <c r="I870" s="24" t="str">
        <f>IFERROR(VLOOKUP(A870,取得元!$A$2:$F$501,4,FALSE),"-")</f>
        <v>-</v>
      </c>
      <c r="J870" s="5" t="str">
        <f>IFERROR(VLOOKUP(A870,取得元!$A$2:$F$501,5,FALSE),"-")</f>
        <v>-</v>
      </c>
      <c r="K870" s="25" t="str">
        <f>IFERROR(VLOOKUP(A870,取得元!$A$2:$F$501,6,FALSE)/100,"-")</f>
        <v>-</v>
      </c>
      <c r="L870" s="21">
        <f>_xll.RssMarket(A870,"始値")</f>
        <v>1405</v>
      </c>
      <c r="M870" s="4">
        <f t="shared" si="80"/>
        <v>3.7722419928825524E-2</v>
      </c>
      <c r="N870" s="21">
        <f>_xll.RssMarket(A870,"高値")</f>
        <v>1476</v>
      </c>
      <c r="O870" s="4">
        <f t="shared" si="81"/>
        <v>-1.2195121951219523E-2</v>
      </c>
      <c r="P870" s="21">
        <f>_xll.RssMarket(A870,"安値")</f>
        <v>1405</v>
      </c>
      <c r="Q870" s="4">
        <f t="shared" si="82"/>
        <v>3.7722419928825524E-2</v>
      </c>
      <c r="R870" s="21">
        <f>_xll.RssMarket(A870,"後場始値")</f>
        <v>1464</v>
      </c>
      <c r="S870" s="25">
        <f t="shared" si="83"/>
        <v>-4.098360655737654E-3</v>
      </c>
      <c r="T870" s="7">
        <f>_xll.RssMarket(A870,"出来高加重平均")</f>
        <v>1457.6312</v>
      </c>
      <c r="U870" s="4">
        <f t="shared" si="84"/>
        <v>2.5301324505133671E-4</v>
      </c>
      <c r="V870" s="21">
        <f>_xll.RssMarket(A870,"出来高")</f>
        <v>512500</v>
      </c>
      <c r="W870" s="21">
        <f>_xll.RssMarket(A870,"売買代金")</f>
        <v>747036</v>
      </c>
      <c r="X870" s="20" t="str">
        <f>_xll.RssMarket(A870,"決算発表日")</f>
        <v>2024/02/01</v>
      </c>
      <c r="Y870" s="26" t="str">
        <f>IF(C870&gt;_xll.RssMarket(A870,"年初来高値"),"○","×")</f>
        <v>○</v>
      </c>
      <c r="Z870" s="27" t="str">
        <f>IF(C870&lt;=_xll.RssMarket(A870,"年初来安値"),"○","×")</f>
        <v>×</v>
      </c>
    </row>
    <row r="871" spans="1:26" x14ac:dyDescent="0.25">
      <c r="A871" s="49">
        <v>7291</v>
      </c>
      <c r="B871" s="20" t="str">
        <f>_xll.RssMarket(A871,"銘柄名称")</f>
        <v>日本プラスト</v>
      </c>
      <c r="C871" s="21">
        <f>_xll.RssMarket(A871,"現在値")</f>
        <v>605</v>
      </c>
      <c r="D871" s="20" t="str">
        <f>_xll.RssMarket(A871,"現在値詳細時刻")</f>
        <v>15:00:00</v>
      </c>
      <c r="E871" s="22">
        <f>_xll.RssMarket(A871,"前日比")</f>
        <v>17</v>
      </c>
      <c r="F871" s="23">
        <f>_xll.RssMarket(A871,"前日比率")/100</f>
        <v>2.8900000000000002E-2</v>
      </c>
      <c r="G871" s="24" t="str">
        <f>IFERROR(VLOOKUP(A871,取得元!$A$2:$F$501,2,FALSE),"-")</f>
        <v>-</v>
      </c>
      <c r="H871" s="24" t="str">
        <f>IFERROR(VLOOKUP(A871,取得元!$A$2:$F$501,3,FALSE),"-")</f>
        <v>-</v>
      </c>
      <c r="I871" s="24" t="str">
        <f>IFERROR(VLOOKUP(A871,取得元!$A$2:$F$501,4,FALSE),"-")</f>
        <v>-</v>
      </c>
      <c r="J871" s="5" t="str">
        <f>IFERROR(VLOOKUP(A871,取得元!$A$2:$F$501,5,FALSE),"-")</f>
        <v>-</v>
      </c>
      <c r="K871" s="25" t="str">
        <f>IFERROR(VLOOKUP(A871,取得元!$A$2:$F$501,6,FALSE)/100,"-")</f>
        <v>-</v>
      </c>
      <c r="L871" s="21">
        <f>_xll.RssMarket(A871,"始値")</f>
        <v>587</v>
      </c>
      <c r="M871" s="4">
        <f t="shared" si="80"/>
        <v>3.0664395229982988E-2</v>
      </c>
      <c r="N871" s="21">
        <f>_xll.RssMarket(A871,"高値")</f>
        <v>610</v>
      </c>
      <c r="O871" s="4">
        <f t="shared" si="81"/>
        <v>-8.1967213114754189E-3</v>
      </c>
      <c r="P871" s="21">
        <f>_xll.RssMarket(A871,"安値")</f>
        <v>587</v>
      </c>
      <c r="Q871" s="4">
        <f t="shared" si="82"/>
        <v>3.0664395229982988E-2</v>
      </c>
      <c r="R871" s="21">
        <f>_xll.RssMarket(A871,"後場始値")</f>
        <v>603</v>
      </c>
      <c r="S871" s="25">
        <f t="shared" si="83"/>
        <v>3.3167495854062867E-3</v>
      </c>
      <c r="T871" s="7">
        <f>_xll.RssMarket(A871,"出来高加重平均")</f>
        <v>601.9828</v>
      </c>
      <c r="U871" s="4">
        <f t="shared" si="84"/>
        <v>5.012103335842788E-3</v>
      </c>
      <c r="V871" s="21">
        <f>_xll.RssMarket(A871,"出来高")</f>
        <v>116500</v>
      </c>
      <c r="W871" s="21">
        <f>_xll.RssMarket(A871,"売買代金")</f>
        <v>70131</v>
      </c>
      <c r="X871" s="20" t="str">
        <f>_xll.RssMarket(A871,"決算発表日")</f>
        <v>2024/02/08</v>
      </c>
      <c r="Y871" s="26" t="str">
        <f>IF(C871&gt;_xll.RssMarket(A871,"年初来高値"),"○","×")</f>
        <v>×</v>
      </c>
      <c r="Z871" s="27" t="str">
        <f>IF(C871&lt;=_xll.RssMarket(A871,"年初来安値"),"○","×")</f>
        <v>×</v>
      </c>
    </row>
    <row r="872" spans="1:26" x14ac:dyDescent="0.25">
      <c r="A872" s="47">
        <v>7294</v>
      </c>
      <c r="B872" s="20" t="str">
        <f>_xll.RssMarket(A872,"銘柄名称")</f>
        <v>ヨロズ</v>
      </c>
      <c r="C872" s="21">
        <f>_xll.RssMarket(A872,"現在値")</f>
        <v>998</v>
      </c>
      <c r="D872" s="20" t="str">
        <f>_xll.RssMarket(A872,"現在値詳細時刻")</f>
        <v>15:00:00</v>
      </c>
      <c r="E872" s="22">
        <f>_xll.RssMarket(A872,"前日比")</f>
        <v>12</v>
      </c>
      <c r="F872" s="23">
        <f>_xll.RssMarket(A872,"前日比率")/100</f>
        <v>1.2199999999999999E-2</v>
      </c>
      <c r="G872" s="24" t="str">
        <f>IFERROR(VLOOKUP(A872,取得元!$A$2:$F$501,2,FALSE),"-")</f>
        <v>-</v>
      </c>
      <c r="H872" s="24" t="str">
        <f>IFERROR(VLOOKUP(A872,取得元!$A$2:$F$501,3,FALSE),"-")</f>
        <v>-</v>
      </c>
      <c r="I872" s="24" t="str">
        <f>IFERROR(VLOOKUP(A872,取得元!$A$2:$F$501,4,FALSE),"-")</f>
        <v>-</v>
      </c>
      <c r="J872" s="5" t="str">
        <f>IFERROR(VLOOKUP(A872,取得元!$A$2:$F$501,5,FALSE),"-")</f>
        <v>-</v>
      </c>
      <c r="K872" s="25" t="str">
        <f>IFERROR(VLOOKUP(A872,取得元!$A$2:$F$501,6,FALSE)/100,"-")</f>
        <v>-</v>
      </c>
      <c r="L872" s="21">
        <f>_xll.RssMarket(A872,"始値")</f>
        <v>988</v>
      </c>
      <c r="M872" s="4">
        <f t="shared" si="80"/>
        <v>1.0121457489878471E-2</v>
      </c>
      <c r="N872" s="21">
        <f>_xll.RssMarket(A872,"高値")</f>
        <v>1012</v>
      </c>
      <c r="O872" s="4">
        <f t="shared" si="81"/>
        <v>-1.3833992094861691E-2</v>
      </c>
      <c r="P872" s="21">
        <f>_xll.RssMarket(A872,"安値")</f>
        <v>987</v>
      </c>
      <c r="Q872" s="4">
        <f t="shared" si="82"/>
        <v>1.1144883485308954E-2</v>
      </c>
      <c r="R872" s="21">
        <f>_xll.RssMarket(A872,"後場始値")</f>
        <v>999</v>
      </c>
      <c r="S872" s="25">
        <f t="shared" si="83"/>
        <v>-1.0010010010009784E-3</v>
      </c>
      <c r="T872" s="7">
        <f>_xll.RssMarket(A872,"出来高加重平均")</f>
        <v>999.33050000000003</v>
      </c>
      <c r="U872" s="4">
        <f t="shared" si="84"/>
        <v>-1.3313913665199406E-3</v>
      </c>
      <c r="V872" s="21">
        <f>_xll.RssMarket(A872,"出来高")</f>
        <v>95600</v>
      </c>
      <c r="W872" s="21">
        <f>_xll.RssMarket(A872,"売買代金")</f>
        <v>95536</v>
      </c>
      <c r="X872" s="20" t="str">
        <f>_xll.RssMarket(A872,"決算発表日")</f>
        <v>2024/02/09</v>
      </c>
      <c r="Y872" s="26" t="str">
        <f>IF(C872&gt;_xll.RssMarket(A872,"年初来高値"),"○","×")</f>
        <v>×</v>
      </c>
      <c r="Z872" s="27" t="str">
        <f>IF(C872&lt;=_xll.RssMarket(A872,"年初来安値"),"○","×")</f>
        <v>×</v>
      </c>
    </row>
    <row r="873" spans="1:26" x14ac:dyDescent="0.25">
      <c r="A873" s="49">
        <v>7298</v>
      </c>
      <c r="B873" s="20" t="str">
        <f>_xll.RssMarket(A873,"銘柄名称")</f>
        <v/>
      </c>
      <c r="C873" s="21" t="str">
        <f>_xll.RssMarket(A873,"現在値")</f>
        <v/>
      </c>
      <c r="D873" s="20" t="str">
        <f>_xll.RssMarket(A873,"現在値詳細時刻")</f>
        <v/>
      </c>
      <c r="E873" s="22" t="str">
        <f>_xll.RssMarket(A873,"前日比")</f>
        <v/>
      </c>
      <c r="F873" s="23" t="e">
        <f>_xll.RssMarket(A873,"前日比率")/100</f>
        <v>#VALUE!</v>
      </c>
      <c r="G873" s="24" t="str">
        <f>IFERROR(VLOOKUP(A873,取得元!$A$2:$F$501,2,FALSE),"-")</f>
        <v>-</v>
      </c>
      <c r="H873" s="24" t="str">
        <f>IFERROR(VLOOKUP(A873,取得元!$A$2:$F$501,3,FALSE),"-")</f>
        <v>-</v>
      </c>
      <c r="I873" s="24" t="str">
        <f>IFERROR(VLOOKUP(A873,取得元!$A$2:$F$501,4,FALSE),"-")</f>
        <v>-</v>
      </c>
      <c r="J873" s="5" t="str">
        <f>IFERROR(VLOOKUP(A873,取得元!$A$2:$F$501,5,FALSE),"-")</f>
        <v>-</v>
      </c>
      <c r="K873" s="25" t="str">
        <f>IFERROR(VLOOKUP(A873,取得元!$A$2:$F$501,6,FALSE)/100,"-")</f>
        <v>-</v>
      </c>
      <c r="L873" s="21" t="str">
        <f>_xll.RssMarket(A873,"始値")</f>
        <v/>
      </c>
      <c r="M873" s="4" t="e">
        <f t="shared" si="80"/>
        <v>#VALUE!</v>
      </c>
      <c r="N873" s="21" t="str">
        <f>_xll.RssMarket(A873,"高値")</f>
        <v/>
      </c>
      <c r="O873" s="4" t="e">
        <f t="shared" si="81"/>
        <v>#VALUE!</v>
      </c>
      <c r="P873" s="21" t="str">
        <f>_xll.RssMarket(A873,"安値")</f>
        <v/>
      </c>
      <c r="Q873" s="4" t="e">
        <f t="shared" si="82"/>
        <v>#VALUE!</v>
      </c>
      <c r="R873" s="21" t="str">
        <f>_xll.RssMarket(A873,"後場始値")</f>
        <v/>
      </c>
      <c r="S873" s="25" t="str">
        <f t="shared" si="83"/>
        <v>-</v>
      </c>
      <c r="T873" s="7" t="str">
        <f>_xll.RssMarket(A873,"出来高加重平均")</f>
        <v/>
      </c>
      <c r="U873" s="4" t="e">
        <f t="shared" si="84"/>
        <v>#VALUE!</v>
      </c>
      <c r="V873" s="21" t="str">
        <f>_xll.RssMarket(A873,"出来高")</f>
        <v/>
      </c>
      <c r="W873" s="21" t="str">
        <f>_xll.RssMarket(A873,"売買代金")</f>
        <v/>
      </c>
      <c r="X873" s="20" t="str">
        <f>_xll.RssMarket(A873,"決算発表日")</f>
        <v/>
      </c>
      <c r="Y873" s="26" t="str">
        <f>IF(C873&gt;_xll.RssMarket(A873,"年初来高値"),"○","×")</f>
        <v>×</v>
      </c>
      <c r="Z873" s="27" t="str">
        <f>IF(C873&lt;=_xll.RssMarket(A873,"年初来安値"),"○","×")</f>
        <v>○</v>
      </c>
    </row>
    <row r="874" spans="1:26" x14ac:dyDescent="0.25">
      <c r="A874" s="47">
        <v>7317</v>
      </c>
      <c r="B874" s="20" t="str">
        <f>_xll.RssMarket(A874,"銘柄名称")</f>
        <v>松屋アールアンドディ</v>
      </c>
      <c r="C874" s="21">
        <f>_xll.RssMarket(A874,"現在値")</f>
        <v>842</v>
      </c>
      <c r="D874" s="20" t="str">
        <f>_xll.RssMarket(A874,"現在値詳細時刻")</f>
        <v>15:00:00</v>
      </c>
      <c r="E874" s="22">
        <f>_xll.RssMarket(A874,"前日比")</f>
        <v>-18</v>
      </c>
      <c r="F874" s="23">
        <f>_xll.RssMarket(A874,"前日比率")/100</f>
        <v>-2.0899999999999998E-2</v>
      </c>
      <c r="G874" s="24" t="str">
        <f>IFERROR(VLOOKUP(A874,取得元!$A$2:$F$501,2,FALSE),"-")</f>
        <v>-</v>
      </c>
      <c r="H874" s="24" t="str">
        <f>IFERROR(VLOOKUP(A874,取得元!$A$2:$F$501,3,FALSE),"-")</f>
        <v>-</v>
      </c>
      <c r="I874" s="24" t="str">
        <f>IFERROR(VLOOKUP(A874,取得元!$A$2:$F$501,4,FALSE),"-")</f>
        <v>-</v>
      </c>
      <c r="J874" s="5" t="str">
        <f>IFERROR(VLOOKUP(A874,取得元!$A$2:$F$501,5,FALSE),"-")</f>
        <v>-</v>
      </c>
      <c r="K874" s="25" t="str">
        <f>IFERROR(VLOOKUP(A874,取得元!$A$2:$F$501,6,FALSE)/100,"-")</f>
        <v>-</v>
      </c>
      <c r="L874" s="21">
        <f>_xll.RssMarket(A874,"始値")</f>
        <v>848</v>
      </c>
      <c r="M874" s="4">
        <f t="shared" si="80"/>
        <v>-7.0754716981131782E-3</v>
      </c>
      <c r="N874" s="21">
        <f>_xll.RssMarket(A874,"高値")</f>
        <v>857</v>
      </c>
      <c r="O874" s="4">
        <f t="shared" si="81"/>
        <v>-1.7502917152858788E-2</v>
      </c>
      <c r="P874" s="21">
        <f>_xll.RssMarket(A874,"安値")</f>
        <v>837</v>
      </c>
      <c r="Q874" s="4">
        <f t="shared" si="82"/>
        <v>5.9737156511350253E-3</v>
      </c>
      <c r="R874" s="21">
        <f>_xll.RssMarket(A874,"後場始値")</f>
        <v>847</v>
      </c>
      <c r="S874" s="25">
        <f t="shared" si="83"/>
        <v>-5.9031877213695516E-3</v>
      </c>
      <c r="T874" s="7">
        <f>_xll.RssMarket(A874,"出来高加重平均")</f>
        <v>845.49620000000004</v>
      </c>
      <c r="U874" s="4">
        <f t="shared" si="84"/>
        <v>-4.1350865917553215E-3</v>
      </c>
      <c r="V874" s="21">
        <f>_xll.RssMarket(A874,"出来高")</f>
        <v>80600</v>
      </c>
      <c r="W874" s="21">
        <f>_xll.RssMarket(A874,"売買代金")</f>
        <v>68147</v>
      </c>
      <c r="X874" s="20" t="str">
        <f>_xll.RssMarket(A874,"決算発表日")</f>
        <v>2024/02/09</v>
      </c>
      <c r="Y874" s="26" t="str">
        <f>IF(C874&gt;_xll.RssMarket(A874,"年初来高値"),"○","×")</f>
        <v>×</v>
      </c>
      <c r="Z874" s="27" t="str">
        <f>IF(C874&lt;=_xll.RssMarket(A874,"年初来安値"),"○","×")</f>
        <v>×</v>
      </c>
    </row>
    <row r="875" spans="1:26" x14ac:dyDescent="0.25">
      <c r="A875" s="49">
        <v>7337</v>
      </c>
      <c r="B875" s="20" t="str">
        <f>_xll.RssMarket(A875,"銘柄名称")</f>
        <v>ひろぎんＨＬＤＧＳ</v>
      </c>
      <c r="C875" s="21">
        <f>_xll.RssMarket(A875,"現在値")</f>
        <v>983</v>
      </c>
      <c r="D875" s="20" t="str">
        <f>_xll.RssMarket(A875,"現在値詳細時刻")</f>
        <v>15:00:00</v>
      </c>
      <c r="E875" s="22">
        <f>_xll.RssMarket(A875,"前日比")</f>
        <v>0</v>
      </c>
      <c r="F875" s="23">
        <f>_xll.RssMarket(A875,"前日比率")/100</f>
        <v>0</v>
      </c>
      <c r="G875" s="24" t="str">
        <f>IFERROR(VLOOKUP(A875,取得元!$A$2:$F$501,2,FALSE),"-")</f>
        <v>-</v>
      </c>
      <c r="H875" s="24" t="str">
        <f>IFERROR(VLOOKUP(A875,取得元!$A$2:$F$501,3,FALSE),"-")</f>
        <v>-</v>
      </c>
      <c r="I875" s="24" t="str">
        <f>IFERROR(VLOOKUP(A875,取得元!$A$2:$F$501,4,FALSE),"-")</f>
        <v>-</v>
      </c>
      <c r="J875" s="5" t="str">
        <f>IFERROR(VLOOKUP(A875,取得元!$A$2:$F$501,5,FALSE),"-")</f>
        <v>-</v>
      </c>
      <c r="K875" s="25" t="str">
        <f>IFERROR(VLOOKUP(A875,取得元!$A$2:$F$501,6,FALSE)/100,"-")</f>
        <v>-</v>
      </c>
      <c r="L875" s="21">
        <f>_xll.RssMarket(A875,"始値")</f>
        <v>978.4</v>
      </c>
      <c r="M875" s="4">
        <f t="shared" si="80"/>
        <v>4.7015535568275535E-3</v>
      </c>
      <c r="N875" s="21">
        <f>_xll.RssMarket(A875,"高値")</f>
        <v>985.8</v>
      </c>
      <c r="O875" s="4">
        <f t="shared" si="81"/>
        <v>-2.8403327246905308E-3</v>
      </c>
      <c r="P875" s="21">
        <f>_xll.RssMarket(A875,"安値")</f>
        <v>972.2</v>
      </c>
      <c r="Q875" s="4">
        <f t="shared" si="82"/>
        <v>1.1108825344579243E-2</v>
      </c>
      <c r="R875" s="21">
        <f>_xll.RssMarket(A875,"後場始値")</f>
        <v>978.4</v>
      </c>
      <c r="S875" s="25">
        <f t="shared" si="83"/>
        <v>4.7015535568275535E-3</v>
      </c>
      <c r="T875" s="7">
        <f>_xll.RssMarket(A875,"出来高加重平均")</f>
        <v>979.50149999999996</v>
      </c>
      <c r="U875" s="4">
        <f t="shared" si="84"/>
        <v>3.5717147957405881E-3</v>
      </c>
      <c r="V875" s="21">
        <f>_xll.RssMarket(A875,"出来高")</f>
        <v>670100</v>
      </c>
      <c r="W875" s="21">
        <f>_xll.RssMarket(A875,"売買代金")</f>
        <v>656364</v>
      </c>
      <c r="X875" s="20" t="str">
        <f>_xll.RssMarket(A875,"決算発表日")</f>
        <v>2024/02/05</v>
      </c>
      <c r="Y875" s="26" t="str">
        <f>IF(C875&gt;_xll.RssMarket(A875,"年初来高値"),"○","×")</f>
        <v>×</v>
      </c>
      <c r="Z875" s="27" t="str">
        <f>IF(C875&lt;=_xll.RssMarket(A875,"年初来安値"),"○","×")</f>
        <v>×</v>
      </c>
    </row>
    <row r="876" spans="1:26" x14ac:dyDescent="0.25">
      <c r="A876" s="47">
        <v>7342</v>
      </c>
      <c r="B876" s="20" t="str">
        <f>_xll.RssMarket(A876,"銘柄名称")</f>
        <v>ウェルスナビ</v>
      </c>
      <c r="C876" s="21">
        <f>_xll.RssMarket(A876,"現在値")</f>
        <v>1657</v>
      </c>
      <c r="D876" s="20" t="str">
        <f>_xll.RssMarket(A876,"現在値詳細時刻")</f>
        <v>15:00:00</v>
      </c>
      <c r="E876" s="22">
        <f>_xll.RssMarket(A876,"前日比")</f>
        <v>4</v>
      </c>
      <c r="F876" s="23">
        <f>_xll.RssMarket(A876,"前日比率")/100</f>
        <v>2.3999999999999998E-3</v>
      </c>
      <c r="G876" s="24" t="str">
        <f>IFERROR(VLOOKUP(A876,取得元!$A$2:$F$501,2,FALSE),"-")</f>
        <v>-</v>
      </c>
      <c r="H876" s="24" t="str">
        <f>IFERROR(VLOOKUP(A876,取得元!$A$2:$F$501,3,FALSE),"-")</f>
        <v>-</v>
      </c>
      <c r="I876" s="24" t="str">
        <f>IFERROR(VLOOKUP(A876,取得元!$A$2:$F$501,4,FALSE),"-")</f>
        <v>-</v>
      </c>
      <c r="J876" s="5" t="str">
        <f>IFERROR(VLOOKUP(A876,取得元!$A$2:$F$501,5,FALSE),"-")</f>
        <v>-</v>
      </c>
      <c r="K876" s="25" t="str">
        <f>IFERROR(VLOOKUP(A876,取得元!$A$2:$F$501,6,FALSE)/100,"-")</f>
        <v>-</v>
      </c>
      <c r="L876" s="21">
        <f>_xll.RssMarket(A876,"始値")</f>
        <v>1637</v>
      </c>
      <c r="M876" s="4">
        <f t="shared" si="80"/>
        <v>1.221747098350634E-2</v>
      </c>
      <c r="N876" s="21">
        <f>_xll.RssMarket(A876,"高値")</f>
        <v>1664</v>
      </c>
      <c r="O876" s="4">
        <f t="shared" si="81"/>
        <v>-4.2067307692307265E-3</v>
      </c>
      <c r="P876" s="21">
        <f>_xll.RssMarket(A876,"安値")</f>
        <v>1622</v>
      </c>
      <c r="Q876" s="4">
        <f t="shared" si="82"/>
        <v>2.1578298397040729E-2</v>
      </c>
      <c r="R876" s="21">
        <f>_xll.RssMarket(A876,"後場始値")</f>
        <v>1661</v>
      </c>
      <c r="S876" s="25">
        <f t="shared" si="83"/>
        <v>-2.4081878386513766E-3</v>
      </c>
      <c r="T876" s="7">
        <f>_xll.RssMarket(A876,"出来高加重平均")</f>
        <v>1643.058</v>
      </c>
      <c r="U876" s="4">
        <f t="shared" si="84"/>
        <v>8.4853973505500946E-3</v>
      </c>
      <c r="V876" s="21">
        <f>_xll.RssMarket(A876,"出来高")</f>
        <v>997700</v>
      </c>
      <c r="W876" s="21">
        <f>_xll.RssMarket(A876,"売買代金")</f>
        <v>1639279</v>
      </c>
      <c r="X876" s="20" t="str">
        <f>_xll.RssMarket(A876,"決算発表日")</f>
        <v>2024/02/14</v>
      </c>
      <c r="Y876" s="26" t="str">
        <f>IF(C876&gt;_xll.RssMarket(A876,"年初来高値"),"○","×")</f>
        <v>×</v>
      </c>
      <c r="Z876" s="27" t="str">
        <f>IF(C876&lt;=_xll.RssMarket(A876,"年初来安値"),"○","×")</f>
        <v>×</v>
      </c>
    </row>
    <row r="877" spans="1:26" x14ac:dyDescent="0.25">
      <c r="A877" s="49">
        <v>7350</v>
      </c>
      <c r="B877" s="20" t="str">
        <f>_xll.RssMarket(A877,"銘柄名称")</f>
        <v>おきなわＦＧ</v>
      </c>
      <c r="C877" s="21">
        <f>_xll.RssMarket(A877,"現在値")</f>
        <v>2482</v>
      </c>
      <c r="D877" s="20" t="str">
        <f>_xll.RssMarket(A877,"現在値詳細時刻")</f>
        <v>15:00:00</v>
      </c>
      <c r="E877" s="22">
        <f>_xll.RssMarket(A877,"前日比")</f>
        <v>3</v>
      </c>
      <c r="F877" s="23">
        <f>_xll.RssMarket(A877,"前日比率")/100</f>
        <v>1.1999999999999999E-3</v>
      </c>
      <c r="G877" s="24" t="str">
        <f>IFERROR(VLOOKUP(A877,取得元!$A$2:$F$501,2,FALSE),"-")</f>
        <v>-</v>
      </c>
      <c r="H877" s="24" t="str">
        <f>IFERROR(VLOOKUP(A877,取得元!$A$2:$F$501,3,FALSE),"-")</f>
        <v>-</v>
      </c>
      <c r="I877" s="24" t="str">
        <f>IFERROR(VLOOKUP(A877,取得元!$A$2:$F$501,4,FALSE),"-")</f>
        <v>-</v>
      </c>
      <c r="J877" s="5" t="str">
        <f>IFERROR(VLOOKUP(A877,取得元!$A$2:$F$501,5,FALSE),"-")</f>
        <v>-</v>
      </c>
      <c r="K877" s="25" t="str">
        <f>IFERROR(VLOOKUP(A877,取得元!$A$2:$F$501,6,FALSE)/100,"-")</f>
        <v>-</v>
      </c>
      <c r="L877" s="21">
        <f>_xll.RssMarket(A877,"始値")</f>
        <v>2463</v>
      </c>
      <c r="M877" s="4">
        <f t="shared" si="80"/>
        <v>7.7141697117335539E-3</v>
      </c>
      <c r="N877" s="21">
        <f>_xll.RssMarket(A877,"高値")</f>
        <v>2499</v>
      </c>
      <c r="O877" s="4">
        <f t="shared" si="81"/>
        <v>-6.8027210884353817E-3</v>
      </c>
      <c r="P877" s="21">
        <f>_xll.RssMarket(A877,"安値")</f>
        <v>2453</v>
      </c>
      <c r="Q877" s="4">
        <f t="shared" si="82"/>
        <v>1.1822258459029733E-2</v>
      </c>
      <c r="R877" s="21">
        <f>_xll.RssMarket(A877,"後場始値")</f>
        <v>2474</v>
      </c>
      <c r="S877" s="25">
        <f t="shared" si="83"/>
        <v>3.2336297493937849E-3</v>
      </c>
      <c r="T877" s="7">
        <f>_xll.RssMarket(A877,"出来高加重平均")</f>
        <v>2480.9054999999998</v>
      </c>
      <c r="U877" s="4">
        <f t="shared" si="84"/>
        <v>4.4116956490292125E-4</v>
      </c>
      <c r="V877" s="21">
        <f>_xll.RssMarket(A877,"出来高")</f>
        <v>25400</v>
      </c>
      <c r="W877" s="21">
        <f>_xll.RssMarket(A877,"売買代金")</f>
        <v>63015</v>
      </c>
      <c r="X877" s="20" t="str">
        <f>_xll.RssMarket(A877,"決算発表日")</f>
        <v>2024/02/09</v>
      </c>
      <c r="Y877" s="26" t="str">
        <f>IF(C877&gt;_xll.RssMarket(A877,"年初来高値"),"○","×")</f>
        <v>×</v>
      </c>
      <c r="Z877" s="27" t="str">
        <f>IF(C877&lt;=_xll.RssMarket(A877,"年初来安値"),"○","×")</f>
        <v>×</v>
      </c>
    </row>
    <row r="878" spans="1:26" x14ac:dyDescent="0.25">
      <c r="A878" s="47">
        <v>7351</v>
      </c>
      <c r="B878" s="20" t="str">
        <f>_xll.RssMarket(A878,"銘柄名称")</f>
        <v>グッドパッチ</v>
      </c>
      <c r="C878" s="21">
        <f>_xll.RssMarket(A878,"現在値")</f>
        <v>571</v>
      </c>
      <c r="D878" s="20" t="str">
        <f>_xll.RssMarket(A878,"現在値詳細時刻")</f>
        <v>15:00:00</v>
      </c>
      <c r="E878" s="22">
        <f>_xll.RssMarket(A878,"前日比")</f>
        <v>-9</v>
      </c>
      <c r="F878" s="23">
        <f>_xll.RssMarket(A878,"前日比率")/100</f>
        <v>-1.55E-2</v>
      </c>
      <c r="G878" s="24" t="str">
        <f>IFERROR(VLOOKUP(A878,取得元!$A$2:$F$501,2,FALSE),"-")</f>
        <v>-</v>
      </c>
      <c r="H878" s="24" t="str">
        <f>IFERROR(VLOOKUP(A878,取得元!$A$2:$F$501,3,FALSE),"-")</f>
        <v>-</v>
      </c>
      <c r="I878" s="24" t="str">
        <f>IFERROR(VLOOKUP(A878,取得元!$A$2:$F$501,4,FALSE),"-")</f>
        <v>-</v>
      </c>
      <c r="J878" s="5" t="str">
        <f>IFERROR(VLOOKUP(A878,取得元!$A$2:$F$501,5,FALSE),"-")</f>
        <v>-</v>
      </c>
      <c r="K878" s="25" t="str">
        <f>IFERROR(VLOOKUP(A878,取得元!$A$2:$F$501,6,FALSE)/100,"-")</f>
        <v>-</v>
      </c>
      <c r="L878" s="21">
        <f>_xll.RssMarket(A878,"始値")</f>
        <v>579</v>
      </c>
      <c r="M878" s="4">
        <f t="shared" si="80"/>
        <v>-1.3816925734024155E-2</v>
      </c>
      <c r="N878" s="21">
        <f>_xll.RssMarket(A878,"高値")</f>
        <v>582</v>
      </c>
      <c r="O878" s="4">
        <f t="shared" si="81"/>
        <v>-1.8900343642611728E-2</v>
      </c>
      <c r="P878" s="21">
        <f>_xll.RssMarket(A878,"安値")</f>
        <v>570</v>
      </c>
      <c r="Q878" s="4">
        <f t="shared" si="82"/>
        <v>1.7543859649122862E-3</v>
      </c>
      <c r="R878" s="21">
        <f>_xll.RssMarket(A878,"後場始値")</f>
        <v>577</v>
      </c>
      <c r="S878" s="25">
        <f t="shared" si="83"/>
        <v>-1.0398613518197597E-2</v>
      </c>
      <c r="T878" s="7">
        <f>_xll.RssMarket(A878,"出来高加重平均")</f>
        <v>577.04560000000004</v>
      </c>
      <c r="U878" s="4">
        <f t="shared" si="84"/>
        <v>-1.0476815003874984E-2</v>
      </c>
      <c r="V878" s="21">
        <f>_xll.RssMarket(A878,"出来高")</f>
        <v>102900</v>
      </c>
      <c r="W878" s="21">
        <f>_xll.RssMarket(A878,"売買代金")</f>
        <v>59378</v>
      </c>
      <c r="X878" s="20" t="str">
        <f>_xll.RssMarket(A878,"決算発表日")</f>
        <v>2024/01/12</v>
      </c>
      <c r="Y878" s="26" t="str">
        <f>IF(C878&gt;_xll.RssMarket(A878,"年初来高値"),"○","×")</f>
        <v>×</v>
      </c>
      <c r="Z878" s="27" t="str">
        <f>IF(C878&lt;=_xll.RssMarket(A878,"年初来安値"),"○","×")</f>
        <v>×</v>
      </c>
    </row>
    <row r="879" spans="1:26" x14ac:dyDescent="0.25">
      <c r="A879" s="49">
        <v>7353</v>
      </c>
      <c r="B879" s="20" t="str">
        <f>_xll.RssMarket(A879,"銘柄名称")</f>
        <v>ＫＩＹＯラーニング</v>
      </c>
      <c r="C879" s="21">
        <f>_xll.RssMarket(A879,"現在値")</f>
        <v>914</v>
      </c>
      <c r="D879" s="20" t="str">
        <f>_xll.RssMarket(A879,"現在値詳細時刻")</f>
        <v>15:00:00</v>
      </c>
      <c r="E879" s="22">
        <f>_xll.RssMarket(A879,"前日比")</f>
        <v>2</v>
      </c>
      <c r="F879" s="23">
        <f>_xll.RssMarket(A879,"前日比率")/100</f>
        <v>2.2000000000000001E-3</v>
      </c>
      <c r="G879" s="24" t="str">
        <f>IFERROR(VLOOKUP(A879,取得元!$A$2:$F$501,2,FALSE),"-")</f>
        <v>-</v>
      </c>
      <c r="H879" s="24" t="str">
        <f>IFERROR(VLOOKUP(A879,取得元!$A$2:$F$501,3,FALSE),"-")</f>
        <v>-</v>
      </c>
      <c r="I879" s="24" t="str">
        <f>IFERROR(VLOOKUP(A879,取得元!$A$2:$F$501,4,FALSE),"-")</f>
        <v>-</v>
      </c>
      <c r="J879" s="5" t="str">
        <f>IFERROR(VLOOKUP(A879,取得元!$A$2:$F$501,5,FALSE),"-")</f>
        <v>-</v>
      </c>
      <c r="K879" s="25" t="str">
        <f>IFERROR(VLOOKUP(A879,取得元!$A$2:$F$501,6,FALSE)/100,"-")</f>
        <v>-</v>
      </c>
      <c r="L879" s="21">
        <f>_xll.RssMarket(A879,"始値")</f>
        <v>920</v>
      </c>
      <c r="M879" s="4">
        <f t="shared" si="80"/>
        <v>-6.521739130434745E-3</v>
      </c>
      <c r="N879" s="21">
        <f>_xll.RssMarket(A879,"高値")</f>
        <v>926</v>
      </c>
      <c r="O879" s="4">
        <f t="shared" si="81"/>
        <v>-1.295896328293733E-2</v>
      </c>
      <c r="P879" s="21">
        <f>_xll.RssMarket(A879,"安値")</f>
        <v>910</v>
      </c>
      <c r="Q879" s="4">
        <f t="shared" si="82"/>
        <v>4.39560439560438E-3</v>
      </c>
      <c r="R879" s="21">
        <f>_xll.RssMarket(A879,"後場始値")</f>
        <v>919</v>
      </c>
      <c r="S879" s="25">
        <f t="shared" si="83"/>
        <v>-5.4406964091403553E-3</v>
      </c>
      <c r="T879" s="7">
        <f>_xll.RssMarket(A879,"出来高加重平均")</f>
        <v>917.8048</v>
      </c>
      <c r="U879" s="4">
        <f t="shared" si="84"/>
        <v>-4.1455438019064594E-3</v>
      </c>
      <c r="V879" s="21">
        <f>_xll.RssMarket(A879,"出来高")</f>
        <v>4100</v>
      </c>
      <c r="W879" s="21">
        <f>_xll.RssMarket(A879,"売買代金")</f>
        <v>3763</v>
      </c>
      <c r="X879" s="20" t="str">
        <f>_xll.RssMarket(A879,"決算発表日")</f>
        <v>-</v>
      </c>
      <c r="Y879" s="26" t="str">
        <f>IF(C879&gt;_xll.RssMarket(A879,"年初来高値"),"○","×")</f>
        <v>×</v>
      </c>
      <c r="Z879" s="27" t="str">
        <f>IF(C879&lt;=_xll.RssMarket(A879,"年初来安値"),"○","×")</f>
        <v>×</v>
      </c>
    </row>
    <row r="880" spans="1:26" x14ac:dyDescent="0.25">
      <c r="A880" s="47">
        <v>7359</v>
      </c>
      <c r="B880" s="20" t="str">
        <f>_xll.RssMarket(A880,"銘柄名称")</f>
        <v>東京通信グループ</v>
      </c>
      <c r="C880" s="21">
        <f>_xll.RssMarket(A880,"現在値")</f>
        <v>651</v>
      </c>
      <c r="D880" s="20" t="str">
        <f>_xll.RssMarket(A880,"現在値詳細時刻")</f>
        <v>15:00:00</v>
      </c>
      <c r="E880" s="22">
        <f>_xll.RssMarket(A880,"前日比")</f>
        <v>-21</v>
      </c>
      <c r="F880" s="23">
        <f>_xll.RssMarket(A880,"前日比率")/100</f>
        <v>-3.1300000000000001E-2</v>
      </c>
      <c r="G880" s="24" t="str">
        <f>IFERROR(VLOOKUP(A880,取得元!$A$2:$F$501,2,FALSE),"-")</f>
        <v>-</v>
      </c>
      <c r="H880" s="24" t="str">
        <f>IFERROR(VLOOKUP(A880,取得元!$A$2:$F$501,3,FALSE),"-")</f>
        <v>-</v>
      </c>
      <c r="I880" s="24" t="str">
        <f>IFERROR(VLOOKUP(A880,取得元!$A$2:$F$501,4,FALSE),"-")</f>
        <v>-</v>
      </c>
      <c r="J880" s="5" t="str">
        <f>IFERROR(VLOOKUP(A880,取得元!$A$2:$F$501,5,FALSE),"-")</f>
        <v>-</v>
      </c>
      <c r="K880" s="25" t="str">
        <f>IFERROR(VLOOKUP(A880,取得元!$A$2:$F$501,6,FALSE)/100,"-")</f>
        <v>-</v>
      </c>
      <c r="L880" s="21">
        <f>_xll.RssMarket(A880,"始値")</f>
        <v>670</v>
      </c>
      <c r="M880" s="4">
        <f t="shared" si="80"/>
        <v>-2.8358208955223896E-2</v>
      </c>
      <c r="N880" s="21">
        <f>_xll.RssMarket(A880,"高値")</f>
        <v>670</v>
      </c>
      <c r="O880" s="4">
        <f t="shared" si="81"/>
        <v>-2.8358208955223896E-2</v>
      </c>
      <c r="P880" s="21">
        <f>_xll.RssMarket(A880,"安値")</f>
        <v>645</v>
      </c>
      <c r="Q880" s="4">
        <f t="shared" si="82"/>
        <v>9.302325581395321E-3</v>
      </c>
      <c r="R880" s="21">
        <f>_xll.RssMarket(A880,"後場始値")</f>
        <v>655</v>
      </c>
      <c r="S880" s="25">
        <f t="shared" si="83"/>
        <v>-6.1068702290076882E-3</v>
      </c>
      <c r="T880" s="7">
        <f>_xll.RssMarket(A880,"出来高加重平均")</f>
        <v>653.89829999999995</v>
      </c>
      <c r="U880" s="4">
        <f t="shared" si="84"/>
        <v>-4.4323406254458408E-3</v>
      </c>
      <c r="V880" s="21">
        <f>_xll.RssMarket(A880,"出来高")</f>
        <v>88500</v>
      </c>
      <c r="W880" s="21">
        <f>_xll.RssMarket(A880,"売買代金")</f>
        <v>57870</v>
      </c>
      <c r="X880" s="20" t="str">
        <f>_xll.RssMarket(A880,"決算発表日")</f>
        <v>2024/02/14</v>
      </c>
      <c r="Y880" s="26" t="str">
        <f>IF(C880&gt;_xll.RssMarket(A880,"年初来高値"),"○","×")</f>
        <v>×</v>
      </c>
      <c r="Z880" s="27" t="str">
        <f>IF(C880&lt;=_xll.RssMarket(A880,"年初来安値"),"○","×")</f>
        <v>○</v>
      </c>
    </row>
    <row r="881" spans="1:26" x14ac:dyDescent="0.25">
      <c r="A881" s="49">
        <v>7370</v>
      </c>
      <c r="B881" s="20" t="str">
        <f>_xll.RssMarket(A881,"銘柄名称")</f>
        <v>Ｅｎｊｉｎ</v>
      </c>
      <c r="C881" s="21">
        <f>_xll.RssMarket(A881,"現在値")</f>
        <v>1095</v>
      </c>
      <c r="D881" s="20" t="str">
        <f>_xll.RssMarket(A881,"現在値詳細時刻")</f>
        <v>15:00:00</v>
      </c>
      <c r="E881" s="22">
        <f>_xll.RssMarket(A881,"前日比")</f>
        <v>-13</v>
      </c>
      <c r="F881" s="23">
        <f>_xll.RssMarket(A881,"前日比率")/100</f>
        <v>-1.1699999999999999E-2</v>
      </c>
      <c r="G881" s="24" t="str">
        <f>IFERROR(VLOOKUP(A881,取得元!$A$2:$F$501,2,FALSE),"-")</f>
        <v>-</v>
      </c>
      <c r="H881" s="24" t="str">
        <f>IFERROR(VLOOKUP(A881,取得元!$A$2:$F$501,3,FALSE),"-")</f>
        <v>-</v>
      </c>
      <c r="I881" s="24" t="str">
        <f>IFERROR(VLOOKUP(A881,取得元!$A$2:$F$501,4,FALSE),"-")</f>
        <v>-</v>
      </c>
      <c r="J881" s="5" t="str">
        <f>IFERROR(VLOOKUP(A881,取得元!$A$2:$F$501,5,FALSE),"-")</f>
        <v>-</v>
      </c>
      <c r="K881" s="25" t="str">
        <f>IFERROR(VLOOKUP(A881,取得元!$A$2:$F$501,6,FALSE)/100,"-")</f>
        <v>-</v>
      </c>
      <c r="L881" s="21">
        <f>_xll.RssMarket(A881,"始値")</f>
        <v>1105</v>
      </c>
      <c r="M881" s="4">
        <f t="shared" si="80"/>
        <v>-9.0497737556560764E-3</v>
      </c>
      <c r="N881" s="21">
        <f>_xll.RssMarket(A881,"高値")</f>
        <v>1109</v>
      </c>
      <c r="O881" s="4">
        <f t="shared" si="81"/>
        <v>-1.2623985572587926E-2</v>
      </c>
      <c r="P881" s="21">
        <f>_xll.RssMarket(A881,"安値")</f>
        <v>1088</v>
      </c>
      <c r="Q881" s="4">
        <f t="shared" si="82"/>
        <v>6.4338235294116863E-3</v>
      </c>
      <c r="R881" s="21">
        <f>_xll.RssMarket(A881,"後場始値")</f>
        <v>1098</v>
      </c>
      <c r="S881" s="25">
        <f t="shared" si="83"/>
        <v>-2.732240437158473E-3</v>
      </c>
      <c r="T881" s="7">
        <f>_xll.RssMarket(A881,"出来高加重平均")</f>
        <v>1097.0201999999999</v>
      </c>
      <c r="U881" s="4">
        <f t="shared" si="84"/>
        <v>-1.8415340027466698E-3</v>
      </c>
      <c r="V881" s="21">
        <f>_xll.RssMarket(A881,"出来高")</f>
        <v>39600</v>
      </c>
      <c r="W881" s="21">
        <f>_xll.RssMarket(A881,"売買代金")</f>
        <v>43442</v>
      </c>
      <c r="X881" s="20" t="str">
        <f>_xll.RssMarket(A881,"決算発表日")</f>
        <v>2024/01/12</v>
      </c>
      <c r="Y881" s="26" t="str">
        <f>IF(C881&gt;_xll.RssMarket(A881,"年初来高値"),"○","×")</f>
        <v>×</v>
      </c>
      <c r="Z881" s="27" t="str">
        <f>IF(C881&lt;=_xll.RssMarket(A881,"年初来安値"),"○","×")</f>
        <v>×</v>
      </c>
    </row>
    <row r="882" spans="1:26" x14ac:dyDescent="0.25">
      <c r="A882" s="47">
        <v>7371</v>
      </c>
      <c r="B882" s="20" t="str">
        <f>_xll.RssMarket(A882,"銘柄名称")</f>
        <v>Ｚｅｎｋｅｎ</v>
      </c>
      <c r="C882" s="21">
        <f>_xll.RssMarket(A882,"現在値")</f>
        <v>509</v>
      </c>
      <c r="D882" s="20" t="str">
        <f>_xll.RssMarket(A882,"現在値詳細時刻")</f>
        <v>15:00:00</v>
      </c>
      <c r="E882" s="22">
        <f>_xll.RssMarket(A882,"前日比")</f>
        <v>-7</v>
      </c>
      <c r="F882" s="23">
        <f>_xll.RssMarket(A882,"前日比率")/100</f>
        <v>-1.3600000000000001E-2</v>
      </c>
      <c r="G882" s="24" t="str">
        <f>IFERROR(VLOOKUP(A882,取得元!$A$2:$F$501,2,FALSE),"-")</f>
        <v>-</v>
      </c>
      <c r="H882" s="24" t="str">
        <f>IFERROR(VLOOKUP(A882,取得元!$A$2:$F$501,3,FALSE),"-")</f>
        <v>-</v>
      </c>
      <c r="I882" s="24" t="str">
        <f>IFERROR(VLOOKUP(A882,取得元!$A$2:$F$501,4,FALSE),"-")</f>
        <v>-</v>
      </c>
      <c r="J882" s="5" t="str">
        <f>IFERROR(VLOOKUP(A882,取得元!$A$2:$F$501,5,FALSE),"-")</f>
        <v>-</v>
      </c>
      <c r="K882" s="25" t="str">
        <f>IFERROR(VLOOKUP(A882,取得元!$A$2:$F$501,6,FALSE)/100,"-")</f>
        <v>-</v>
      </c>
      <c r="L882" s="21">
        <f>_xll.RssMarket(A882,"始値")</f>
        <v>516</v>
      </c>
      <c r="M882" s="4">
        <f t="shared" si="80"/>
        <v>-1.3565891472868241E-2</v>
      </c>
      <c r="N882" s="21">
        <f>_xll.RssMarket(A882,"高値")</f>
        <v>516</v>
      </c>
      <c r="O882" s="4">
        <f t="shared" si="81"/>
        <v>-1.3565891472868241E-2</v>
      </c>
      <c r="P882" s="21">
        <f>_xll.RssMarket(A882,"安値")</f>
        <v>509</v>
      </c>
      <c r="Q882" s="4">
        <f t="shared" si="82"/>
        <v>0</v>
      </c>
      <c r="R882" s="21">
        <f>_xll.RssMarket(A882,"後場始値")</f>
        <v>515</v>
      </c>
      <c r="S882" s="25">
        <f t="shared" si="83"/>
        <v>-1.1650485436893177E-2</v>
      </c>
      <c r="T882" s="7">
        <f>_xll.RssMarket(A882,"出来高加重平均")</f>
        <v>513.45740000000001</v>
      </c>
      <c r="U882" s="4">
        <f t="shared" si="84"/>
        <v>-8.6811486210930378E-3</v>
      </c>
      <c r="V882" s="21">
        <f>_xll.RssMarket(A882,"出来高")</f>
        <v>18800</v>
      </c>
      <c r="W882" s="21">
        <f>_xll.RssMarket(A882,"売買代金")</f>
        <v>9653</v>
      </c>
      <c r="X882" s="20" t="str">
        <f>_xll.RssMarket(A882,"決算発表日")</f>
        <v>2024/02/14</v>
      </c>
      <c r="Y882" s="26" t="str">
        <f>IF(C882&gt;_xll.RssMarket(A882,"年初来高値"),"○","×")</f>
        <v>×</v>
      </c>
      <c r="Z882" s="27" t="str">
        <f>IF(C882&lt;=_xll.RssMarket(A882,"年初来安値"),"○","×")</f>
        <v>×</v>
      </c>
    </row>
    <row r="883" spans="1:26" x14ac:dyDescent="0.25">
      <c r="A883" s="49">
        <v>7379</v>
      </c>
      <c r="B883" s="20" t="str">
        <f>_xll.RssMarket(A883,"銘柄名称")</f>
        <v>サーキュレーション</v>
      </c>
      <c r="C883" s="21">
        <f>_xll.RssMarket(A883,"現在値")</f>
        <v>841</v>
      </c>
      <c r="D883" s="20" t="str">
        <f>_xll.RssMarket(A883,"現在値詳細時刻")</f>
        <v>15:00:00</v>
      </c>
      <c r="E883" s="22">
        <f>_xll.RssMarket(A883,"前日比")</f>
        <v>-49</v>
      </c>
      <c r="F883" s="23">
        <f>_xll.RssMarket(A883,"前日比率")/100</f>
        <v>-5.5099999999999996E-2</v>
      </c>
      <c r="G883" s="24" t="str">
        <f>IFERROR(VLOOKUP(A883,取得元!$A$2:$F$501,2,FALSE),"-")</f>
        <v>-</v>
      </c>
      <c r="H883" s="24" t="str">
        <f>IFERROR(VLOOKUP(A883,取得元!$A$2:$F$501,3,FALSE),"-")</f>
        <v>-</v>
      </c>
      <c r="I883" s="24" t="str">
        <f>IFERROR(VLOOKUP(A883,取得元!$A$2:$F$501,4,FALSE),"-")</f>
        <v>-</v>
      </c>
      <c r="J883" s="5" t="str">
        <f>IFERROR(VLOOKUP(A883,取得元!$A$2:$F$501,5,FALSE),"-")</f>
        <v>-</v>
      </c>
      <c r="K883" s="25" t="str">
        <f>IFERROR(VLOOKUP(A883,取得元!$A$2:$F$501,6,FALSE)/100,"-")</f>
        <v>-</v>
      </c>
      <c r="L883" s="21">
        <f>_xll.RssMarket(A883,"始値")</f>
        <v>903</v>
      </c>
      <c r="M883" s="4">
        <f t="shared" si="80"/>
        <v>-6.8660022148394284E-2</v>
      </c>
      <c r="N883" s="21">
        <f>_xll.RssMarket(A883,"高値")</f>
        <v>903</v>
      </c>
      <c r="O883" s="4">
        <f t="shared" si="81"/>
        <v>-6.8660022148394284E-2</v>
      </c>
      <c r="P883" s="21">
        <f>_xll.RssMarket(A883,"安値")</f>
        <v>840</v>
      </c>
      <c r="Q883" s="4">
        <f t="shared" si="82"/>
        <v>1.1904761904761862E-3</v>
      </c>
      <c r="R883" s="21">
        <f>_xll.RssMarket(A883,"後場始値")</f>
        <v>848</v>
      </c>
      <c r="S883" s="25">
        <f t="shared" si="83"/>
        <v>-8.2547169811321153E-3</v>
      </c>
      <c r="T883" s="7">
        <f>_xll.RssMarket(A883,"出来高加重平均")</f>
        <v>856.48479999999995</v>
      </c>
      <c r="U883" s="4">
        <f t="shared" si="84"/>
        <v>-1.8079480219613919E-2</v>
      </c>
      <c r="V883" s="21">
        <f>_xll.RssMarket(A883,"出来高")</f>
        <v>66000</v>
      </c>
      <c r="W883" s="21">
        <f>_xll.RssMarket(A883,"売買代金")</f>
        <v>56528</v>
      </c>
      <c r="X883" s="20" t="str">
        <f>_xll.RssMarket(A883,"決算発表日")</f>
        <v>2024/03/15</v>
      </c>
      <c r="Y883" s="26" t="str">
        <f>IF(C883&gt;_xll.RssMarket(A883,"年初来高値"),"○","×")</f>
        <v>×</v>
      </c>
      <c r="Z883" s="27" t="str">
        <f>IF(C883&lt;=_xll.RssMarket(A883,"年初来安値"),"○","×")</f>
        <v>×</v>
      </c>
    </row>
    <row r="884" spans="1:26" x14ac:dyDescent="0.25">
      <c r="A884" s="47">
        <v>7383</v>
      </c>
      <c r="B884" s="20" t="str">
        <f>_xll.RssMarket(A884,"銘柄名称")</f>
        <v>ネットプロＨＤ</v>
      </c>
      <c r="C884" s="21">
        <f>_xll.RssMarket(A884,"現在値")</f>
        <v>156</v>
      </c>
      <c r="D884" s="20" t="str">
        <f>_xll.RssMarket(A884,"現在値詳細時刻")</f>
        <v>15:00:00</v>
      </c>
      <c r="E884" s="22">
        <f>_xll.RssMarket(A884,"前日比")</f>
        <v>-5</v>
      </c>
      <c r="F884" s="23">
        <f>_xll.RssMarket(A884,"前日比率")/100</f>
        <v>-3.1099999999999999E-2</v>
      </c>
      <c r="G884" s="24" t="str">
        <f>IFERROR(VLOOKUP(A884,取得元!$A$2:$F$501,2,FALSE),"-")</f>
        <v>-</v>
      </c>
      <c r="H884" s="24" t="str">
        <f>IFERROR(VLOOKUP(A884,取得元!$A$2:$F$501,3,FALSE),"-")</f>
        <v>-</v>
      </c>
      <c r="I884" s="24" t="str">
        <f>IFERROR(VLOOKUP(A884,取得元!$A$2:$F$501,4,FALSE),"-")</f>
        <v>-</v>
      </c>
      <c r="J884" s="5" t="str">
        <f>IFERROR(VLOOKUP(A884,取得元!$A$2:$F$501,5,FALSE),"-")</f>
        <v>-</v>
      </c>
      <c r="K884" s="25" t="str">
        <f>IFERROR(VLOOKUP(A884,取得元!$A$2:$F$501,6,FALSE)/100,"-")</f>
        <v>-</v>
      </c>
      <c r="L884" s="21">
        <f>_xll.RssMarket(A884,"始値")</f>
        <v>159</v>
      </c>
      <c r="M884" s="4">
        <f t="shared" si="80"/>
        <v>-1.8867924528301883E-2</v>
      </c>
      <c r="N884" s="21">
        <f>_xll.RssMarket(A884,"高値")</f>
        <v>159</v>
      </c>
      <c r="O884" s="4">
        <f t="shared" si="81"/>
        <v>-1.8867924528301883E-2</v>
      </c>
      <c r="P884" s="21">
        <f>_xll.RssMarket(A884,"安値")</f>
        <v>152</v>
      </c>
      <c r="Q884" s="4">
        <f t="shared" si="82"/>
        <v>2.6315789473684292E-2</v>
      </c>
      <c r="R884" s="21">
        <f>_xll.RssMarket(A884,"後場始値")</f>
        <v>155</v>
      </c>
      <c r="S884" s="25">
        <f t="shared" si="83"/>
        <v>6.4516129032257119E-3</v>
      </c>
      <c r="T884" s="7">
        <f>_xll.RssMarket(A884,"出来高加重平均")</f>
        <v>155.02869999999999</v>
      </c>
      <c r="U884" s="4">
        <f t="shared" si="84"/>
        <v>6.2652915234406859E-3</v>
      </c>
      <c r="V884" s="21">
        <f>_xll.RssMarket(A884,"出来高")</f>
        <v>1407500</v>
      </c>
      <c r="W884" s="21">
        <f>_xll.RssMarket(A884,"売買代金")</f>
        <v>218203</v>
      </c>
      <c r="X884" s="20" t="str">
        <f>_xll.RssMarket(A884,"決算発表日")</f>
        <v>2024/02/14</v>
      </c>
      <c r="Y884" s="26" t="str">
        <f>IF(C884&gt;_xll.RssMarket(A884,"年初来高値"),"○","×")</f>
        <v>×</v>
      </c>
      <c r="Z884" s="27" t="str">
        <f>IF(C884&lt;=_xll.RssMarket(A884,"年初来安値"),"○","×")</f>
        <v>○</v>
      </c>
    </row>
    <row r="885" spans="1:26" x14ac:dyDescent="0.25">
      <c r="A885" s="49">
        <v>7384</v>
      </c>
      <c r="B885" s="20" t="str">
        <f>_xll.RssMarket(A885,"銘柄名称")</f>
        <v>プロクレアホールディングス</v>
      </c>
      <c r="C885" s="21">
        <f>_xll.RssMarket(A885,"現在値")</f>
        <v>1841</v>
      </c>
      <c r="D885" s="20" t="str">
        <f>_xll.RssMarket(A885,"現在値詳細時刻")</f>
        <v>15:00:00</v>
      </c>
      <c r="E885" s="22">
        <f>_xll.RssMarket(A885,"前日比")</f>
        <v>-14</v>
      </c>
      <c r="F885" s="23">
        <f>_xll.RssMarket(A885,"前日比率")/100</f>
        <v>-7.4999999999999997E-3</v>
      </c>
      <c r="G885" s="24" t="str">
        <f>IFERROR(VLOOKUP(A885,取得元!$A$2:$F$501,2,FALSE),"-")</f>
        <v>-</v>
      </c>
      <c r="H885" s="24" t="str">
        <f>IFERROR(VLOOKUP(A885,取得元!$A$2:$F$501,3,FALSE),"-")</f>
        <v>-</v>
      </c>
      <c r="I885" s="24" t="str">
        <f>IFERROR(VLOOKUP(A885,取得元!$A$2:$F$501,4,FALSE),"-")</f>
        <v>-</v>
      </c>
      <c r="J885" s="5" t="str">
        <f>IFERROR(VLOOKUP(A885,取得元!$A$2:$F$501,5,FALSE),"-")</f>
        <v>-</v>
      </c>
      <c r="K885" s="25" t="str">
        <f>IFERROR(VLOOKUP(A885,取得元!$A$2:$F$501,6,FALSE)/100,"-")</f>
        <v>-</v>
      </c>
      <c r="L885" s="21">
        <f>_xll.RssMarket(A885,"始値")</f>
        <v>1855</v>
      </c>
      <c r="M885" s="4">
        <f t="shared" si="80"/>
        <v>-7.547169811320753E-3</v>
      </c>
      <c r="N885" s="21">
        <f>_xll.RssMarket(A885,"高値")</f>
        <v>1860</v>
      </c>
      <c r="O885" s="4">
        <f t="shared" si="81"/>
        <v>-1.0215053763440896E-2</v>
      </c>
      <c r="P885" s="21">
        <f>_xll.RssMarket(A885,"安値")</f>
        <v>1834</v>
      </c>
      <c r="Q885" s="4">
        <f t="shared" si="82"/>
        <v>3.8167938931297218E-3</v>
      </c>
      <c r="R885" s="21">
        <f>_xll.RssMarket(A885,"後場始値")</f>
        <v>1838</v>
      </c>
      <c r="S885" s="25">
        <f t="shared" si="83"/>
        <v>1.6322089227420733E-3</v>
      </c>
      <c r="T885" s="7">
        <f>_xll.RssMarket(A885,"出来高加重平均")</f>
        <v>1845.1821</v>
      </c>
      <c r="U885" s="4">
        <f t="shared" si="84"/>
        <v>-2.2664971657810895E-3</v>
      </c>
      <c r="V885" s="21">
        <f>_xll.RssMarket(A885,"出来高")</f>
        <v>60400</v>
      </c>
      <c r="W885" s="21">
        <f>_xll.RssMarket(A885,"売買代金")</f>
        <v>111449</v>
      </c>
      <c r="X885" s="20" t="str">
        <f>_xll.RssMarket(A885,"決算発表日")</f>
        <v>2024/02/09</v>
      </c>
      <c r="Y885" s="26" t="str">
        <f>IF(C885&gt;_xll.RssMarket(A885,"年初来高値"),"○","×")</f>
        <v>×</v>
      </c>
      <c r="Z885" s="27" t="str">
        <f>IF(C885&lt;=_xll.RssMarket(A885,"年初来安値"),"○","×")</f>
        <v>×</v>
      </c>
    </row>
    <row r="886" spans="1:26" x14ac:dyDescent="0.25">
      <c r="A886" s="47">
        <v>7408</v>
      </c>
      <c r="B886" s="20" t="str">
        <f>_xll.RssMarket(A886,"銘柄名称")</f>
        <v>ジャムコ</v>
      </c>
      <c r="C886" s="21">
        <f>_xll.RssMarket(A886,"現在値")</f>
        <v>1520</v>
      </c>
      <c r="D886" s="20" t="str">
        <f>_xll.RssMarket(A886,"現在値詳細時刻")</f>
        <v>15:00:00</v>
      </c>
      <c r="E886" s="22">
        <f>_xll.RssMarket(A886,"前日比")</f>
        <v>-18</v>
      </c>
      <c r="F886" s="23">
        <f>_xll.RssMarket(A886,"前日比率")/100</f>
        <v>-1.1699999999999999E-2</v>
      </c>
      <c r="G886" s="24" t="str">
        <f>IFERROR(VLOOKUP(A886,取得元!$A$2:$F$501,2,FALSE),"-")</f>
        <v>-</v>
      </c>
      <c r="H886" s="24" t="str">
        <f>IFERROR(VLOOKUP(A886,取得元!$A$2:$F$501,3,FALSE),"-")</f>
        <v>-</v>
      </c>
      <c r="I886" s="24" t="str">
        <f>IFERROR(VLOOKUP(A886,取得元!$A$2:$F$501,4,FALSE),"-")</f>
        <v>-</v>
      </c>
      <c r="J886" s="5" t="str">
        <f>IFERROR(VLOOKUP(A886,取得元!$A$2:$F$501,5,FALSE),"-")</f>
        <v>-</v>
      </c>
      <c r="K886" s="25" t="str">
        <f>IFERROR(VLOOKUP(A886,取得元!$A$2:$F$501,6,FALSE)/100,"-")</f>
        <v>-</v>
      </c>
      <c r="L886" s="21">
        <f>_xll.RssMarket(A886,"始値")</f>
        <v>1525</v>
      </c>
      <c r="M886" s="4">
        <f t="shared" si="80"/>
        <v>-3.2786885245901232E-3</v>
      </c>
      <c r="N886" s="21">
        <f>_xll.RssMarket(A886,"高値")</f>
        <v>1532</v>
      </c>
      <c r="O886" s="4">
        <f t="shared" si="81"/>
        <v>-7.8328981723237989E-3</v>
      </c>
      <c r="P886" s="21">
        <f>_xll.RssMarket(A886,"安値")</f>
        <v>1507</v>
      </c>
      <c r="Q886" s="4">
        <f t="shared" si="82"/>
        <v>8.6264100862640802E-3</v>
      </c>
      <c r="R886" s="21">
        <f>_xll.RssMarket(A886,"後場始値")</f>
        <v>1518</v>
      </c>
      <c r="S886" s="25">
        <f t="shared" si="83"/>
        <v>1.3175230566535578E-3</v>
      </c>
      <c r="T886" s="7">
        <f>_xll.RssMarket(A886,"出来高加重平均")</f>
        <v>1520.3272999999999</v>
      </c>
      <c r="U886" s="4">
        <f t="shared" si="84"/>
        <v>-2.1528259079472978E-4</v>
      </c>
      <c r="V886" s="21">
        <f>_xll.RssMarket(A886,"出来高")</f>
        <v>94700</v>
      </c>
      <c r="W886" s="21">
        <f>_xll.RssMarket(A886,"売買代金")</f>
        <v>143975</v>
      </c>
      <c r="X886" s="20" t="str">
        <f>_xll.RssMarket(A886,"決算発表日")</f>
        <v>2024/02/09</v>
      </c>
      <c r="Y886" s="26" t="str">
        <f>IF(C886&gt;_xll.RssMarket(A886,"年初来高値"),"○","×")</f>
        <v>×</v>
      </c>
      <c r="Z886" s="27" t="str">
        <f>IF(C886&lt;=_xll.RssMarket(A886,"年初来安値"),"○","×")</f>
        <v>×</v>
      </c>
    </row>
    <row r="887" spans="1:26" x14ac:dyDescent="0.25">
      <c r="A887" s="49">
        <v>7419</v>
      </c>
      <c r="B887" s="20" t="str">
        <f>_xll.RssMarket(A887,"銘柄名称")</f>
        <v>ノジマ</v>
      </c>
      <c r="C887" s="21">
        <f>_xll.RssMarket(A887,"現在値")</f>
        <v>1608</v>
      </c>
      <c r="D887" s="20" t="str">
        <f>_xll.RssMarket(A887,"現在値詳細時刻")</f>
        <v>15:00:00</v>
      </c>
      <c r="E887" s="22">
        <f>_xll.RssMarket(A887,"前日比")</f>
        <v>13</v>
      </c>
      <c r="F887" s="23">
        <f>_xll.RssMarket(A887,"前日比率")/100</f>
        <v>8.199999999999999E-3</v>
      </c>
      <c r="G887" s="24" t="str">
        <f>IFERROR(VLOOKUP(A887,取得元!$A$2:$F$501,2,FALSE),"-")</f>
        <v>-</v>
      </c>
      <c r="H887" s="24" t="str">
        <f>IFERROR(VLOOKUP(A887,取得元!$A$2:$F$501,3,FALSE),"-")</f>
        <v>-</v>
      </c>
      <c r="I887" s="24" t="str">
        <f>IFERROR(VLOOKUP(A887,取得元!$A$2:$F$501,4,FALSE),"-")</f>
        <v>-</v>
      </c>
      <c r="J887" s="5" t="str">
        <f>IFERROR(VLOOKUP(A887,取得元!$A$2:$F$501,5,FALSE),"-")</f>
        <v>-</v>
      </c>
      <c r="K887" s="25" t="str">
        <f>IFERROR(VLOOKUP(A887,取得元!$A$2:$F$501,6,FALSE)/100,"-")</f>
        <v>-</v>
      </c>
      <c r="L887" s="21">
        <f>_xll.RssMarket(A887,"始値")</f>
        <v>1601</v>
      </c>
      <c r="M887" s="4">
        <f t="shared" si="80"/>
        <v>4.372267332916957E-3</v>
      </c>
      <c r="N887" s="21">
        <f>_xll.RssMarket(A887,"高値")</f>
        <v>1610</v>
      </c>
      <c r="O887" s="4">
        <f t="shared" si="81"/>
        <v>-1.242236024844745E-3</v>
      </c>
      <c r="P887" s="21">
        <f>_xll.RssMarket(A887,"安値")</f>
        <v>1587</v>
      </c>
      <c r="Q887" s="4">
        <f t="shared" si="82"/>
        <v>1.3232514177693666E-2</v>
      </c>
      <c r="R887" s="21">
        <f>_xll.RssMarket(A887,"後場始値")</f>
        <v>1597</v>
      </c>
      <c r="S887" s="25">
        <f t="shared" si="83"/>
        <v>6.8879148403255819E-3</v>
      </c>
      <c r="T887" s="7">
        <f>_xll.RssMarket(A887,"出来高加重平均")</f>
        <v>1601.7608</v>
      </c>
      <c r="U887" s="4">
        <f t="shared" si="84"/>
        <v>3.8952133177438952E-3</v>
      </c>
      <c r="V887" s="21">
        <f>_xll.RssMarket(A887,"出来高")</f>
        <v>276000</v>
      </c>
      <c r="W887" s="21">
        <f>_xll.RssMarket(A887,"売買代金")</f>
        <v>442086</v>
      </c>
      <c r="X887" s="20" t="str">
        <f>_xll.RssMarket(A887,"決算発表日")</f>
        <v>2024/01/31</v>
      </c>
      <c r="Y887" s="26" t="str">
        <f>IF(C887&gt;_xll.RssMarket(A887,"年初来高値"),"○","×")</f>
        <v>×</v>
      </c>
      <c r="Z887" s="27" t="str">
        <f>IF(C887&lt;=_xll.RssMarket(A887,"年初来安値"),"○","×")</f>
        <v>×</v>
      </c>
    </row>
    <row r="888" spans="1:26" x14ac:dyDescent="0.25">
      <c r="A888" s="47">
        <v>7420</v>
      </c>
      <c r="B888" s="20" t="str">
        <f>_xll.RssMarket(A888,"銘柄名称")</f>
        <v>佐鳥電機</v>
      </c>
      <c r="C888" s="21">
        <f>_xll.RssMarket(A888,"現在値")</f>
        <v>2324</v>
      </c>
      <c r="D888" s="20" t="str">
        <f>_xll.RssMarket(A888,"現在値詳細時刻")</f>
        <v>15:00:00</v>
      </c>
      <c r="E888" s="22">
        <f>_xll.RssMarket(A888,"前日比")</f>
        <v>-21</v>
      </c>
      <c r="F888" s="23">
        <f>_xll.RssMarket(A888,"前日比率")/100</f>
        <v>-9.0000000000000011E-3</v>
      </c>
      <c r="G888" s="24" t="str">
        <f>IFERROR(VLOOKUP(A888,取得元!$A$2:$F$501,2,FALSE),"-")</f>
        <v>-</v>
      </c>
      <c r="H888" s="24" t="str">
        <f>IFERROR(VLOOKUP(A888,取得元!$A$2:$F$501,3,FALSE),"-")</f>
        <v>-</v>
      </c>
      <c r="I888" s="24" t="str">
        <f>IFERROR(VLOOKUP(A888,取得元!$A$2:$F$501,4,FALSE),"-")</f>
        <v>-</v>
      </c>
      <c r="J888" s="5" t="str">
        <f>IFERROR(VLOOKUP(A888,取得元!$A$2:$F$501,5,FALSE),"-")</f>
        <v>-</v>
      </c>
      <c r="K888" s="25" t="str">
        <f>IFERROR(VLOOKUP(A888,取得元!$A$2:$F$501,6,FALSE)/100,"-")</f>
        <v>-</v>
      </c>
      <c r="L888" s="21">
        <f>_xll.RssMarket(A888,"始値")</f>
        <v>2325</v>
      </c>
      <c r="M888" s="4">
        <f t="shared" si="80"/>
        <v>-4.3010752688177334E-4</v>
      </c>
      <c r="N888" s="21">
        <f>_xll.RssMarket(A888,"高値")</f>
        <v>2353</v>
      </c>
      <c r="O888" s="4">
        <f t="shared" si="81"/>
        <v>-1.2324691882702909E-2</v>
      </c>
      <c r="P888" s="21">
        <f>_xll.RssMarket(A888,"安値")</f>
        <v>2310</v>
      </c>
      <c r="Q888" s="4">
        <f t="shared" si="82"/>
        <v>6.0606060606060996E-3</v>
      </c>
      <c r="R888" s="21">
        <f>_xll.RssMarket(A888,"後場始値")</f>
        <v>2353</v>
      </c>
      <c r="S888" s="25">
        <f t="shared" si="83"/>
        <v>-1.2324691882702909E-2</v>
      </c>
      <c r="T888" s="7">
        <f>_xll.RssMarket(A888,"出来高加重平均")</f>
        <v>2332.5925000000002</v>
      </c>
      <c r="U888" s="4">
        <f t="shared" si="84"/>
        <v>-3.6836695650870332E-3</v>
      </c>
      <c r="V888" s="21">
        <f>_xll.RssMarket(A888,"出来高")</f>
        <v>51300</v>
      </c>
      <c r="W888" s="21">
        <f>_xll.RssMarket(A888,"売買代金")</f>
        <v>119662</v>
      </c>
      <c r="X888" s="20" t="str">
        <f>_xll.RssMarket(A888,"決算発表日")</f>
        <v>2024/01/15</v>
      </c>
      <c r="Y888" s="26" t="str">
        <f>IF(C888&gt;_xll.RssMarket(A888,"年初来高値"),"○","×")</f>
        <v>×</v>
      </c>
      <c r="Z888" s="27" t="str">
        <f>IF(C888&lt;=_xll.RssMarket(A888,"年初来安値"),"○","×")</f>
        <v>×</v>
      </c>
    </row>
    <row r="889" spans="1:26" x14ac:dyDescent="0.25">
      <c r="A889" s="49">
        <v>7445</v>
      </c>
      <c r="B889" s="20" t="str">
        <f>_xll.RssMarket(A889,"銘柄名称")</f>
        <v>ライトオン</v>
      </c>
      <c r="C889" s="21">
        <f>_xll.RssMarket(A889,"現在値")</f>
        <v>417</v>
      </c>
      <c r="D889" s="20" t="str">
        <f>_xll.RssMarket(A889,"現在値詳細時刻")</f>
        <v>15:00:00</v>
      </c>
      <c r="E889" s="22">
        <f>_xll.RssMarket(A889,"前日比")</f>
        <v>0</v>
      </c>
      <c r="F889" s="23">
        <f>_xll.RssMarket(A889,"前日比率")/100</f>
        <v>0</v>
      </c>
      <c r="G889" s="24" t="str">
        <f>IFERROR(VLOOKUP(A889,取得元!$A$2:$F$501,2,FALSE),"-")</f>
        <v>-</v>
      </c>
      <c r="H889" s="24" t="str">
        <f>IFERROR(VLOOKUP(A889,取得元!$A$2:$F$501,3,FALSE),"-")</f>
        <v>-</v>
      </c>
      <c r="I889" s="24" t="str">
        <f>IFERROR(VLOOKUP(A889,取得元!$A$2:$F$501,4,FALSE),"-")</f>
        <v>-</v>
      </c>
      <c r="J889" s="5" t="str">
        <f>IFERROR(VLOOKUP(A889,取得元!$A$2:$F$501,5,FALSE),"-")</f>
        <v>-</v>
      </c>
      <c r="K889" s="25" t="str">
        <f>IFERROR(VLOOKUP(A889,取得元!$A$2:$F$501,6,FALSE)/100,"-")</f>
        <v>-</v>
      </c>
      <c r="L889" s="21">
        <f>_xll.RssMarket(A889,"始値")</f>
        <v>417</v>
      </c>
      <c r="M889" s="4">
        <f t="shared" si="80"/>
        <v>0</v>
      </c>
      <c r="N889" s="21">
        <f>_xll.RssMarket(A889,"高値")</f>
        <v>420</v>
      </c>
      <c r="O889" s="4">
        <f t="shared" si="81"/>
        <v>-7.1428571428571175E-3</v>
      </c>
      <c r="P889" s="21">
        <f>_xll.RssMarket(A889,"安値")</f>
        <v>414</v>
      </c>
      <c r="Q889" s="4">
        <f t="shared" si="82"/>
        <v>7.2463768115942351E-3</v>
      </c>
      <c r="R889" s="21">
        <f>_xll.RssMarket(A889,"後場始値")</f>
        <v>417</v>
      </c>
      <c r="S889" s="25">
        <f t="shared" si="83"/>
        <v>0</v>
      </c>
      <c r="T889" s="7">
        <f>_xll.RssMarket(A889,"出来高加重平均")</f>
        <v>416.38290000000001</v>
      </c>
      <c r="U889" s="4">
        <f t="shared" si="84"/>
        <v>1.4820493348790542E-3</v>
      </c>
      <c r="V889" s="21">
        <f>_xll.RssMarket(A889,"出来高")</f>
        <v>37600</v>
      </c>
      <c r="W889" s="21">
        <f>_xll.RssMarket(A889,"売買代金")</f>
        <v>15656</v>
      </c>
      <c r="X889" s="20" t="str">
        <f>_xll.RssMarket(A889,"決算発表日")</f>
        <v>2024/01/11</v>
      </c>
      <c r="Y889" s="26" t="str">
        <f>IF(C889&gt;_xll.RssMarket(A889,"年初来高値"),"○","×")</f>
        <v>×</v>
      </c>
      <c r="Z889" s="27" t="str">
        <f>IF(C889&lt;=_xll.RssMarket(A889,"年初来安値"),"○","×")</f>
        <v>×</v>
      </c>
    </row>
    <row r="890" spans="1:26" x14ac:dyDescent="0.25">
      <c r="A890" s="47">
        <v>7453</v>
      </c>
      <c r="B890" s="20" t="str">
        <f>_xll.RssMarket(A890,"銘柄名称")</f>
        <v>良品計画</v>
      </c>
      <c r="C890" s="21">
        <f>_xll.RssMarket(A890,"現在値")</f>
        <v>2113</v>
      </c>
      <c r="D890" s="20" t="str">
        <f>_xll.RssMarket(A890,"現在値詳細時刻")</f>
        <v>15:00:00</v>
      </c>
      <c r="E890" s="22">
        <f>_xll.RssMarket(A890,"前日比")</f>
        <v>16.5</v>
      </c>
      <c r="F890" s="23">
        <f>_xll.RssMarket(A890,"前日比率")/100</f>
        <v>7.9000000000000008E-3</v>
      </c>
      <c r="G890" s="24" t="str">
        <f>IFERROR(VLOOKUP(A890,取得元!$A$2:$F$501,2,FALSE),"-")</f>
        <v>-</v>
      </c>
      <c r="H890" s="24" t="str">
        <f>IFERROR(VLOOKUP(A890,取得元!$A$2:$F$501,3,FALSE),"-")</f>
        <v>-</v>
      </c>
      <c r="I890" s="24" t="str">
        <f>IFERROR(VLOOKUP(A890,取得元!$A$2:$F$501,4,FALSE),"-")</f>
        <v>-</v>
      </c>
      <c r="J890" s="5" t="str">
        <f>IFERROR(VLOOKUP(A890,取得元!$A$2:$F$501,5,FALSE),"-")</f>
        <v>-</v>
      </c>
      <c r="K890" s="25" t="str">
        <f>IFERROR(VLOOKUP(A890,取得元!$A$2:$F$501,6,FALSE)/100,"-")</f>
        <v>-</v>
      </c>
      <c r="L890" s="21">
        <f>_xll.RssMarket(A890,"始値")</f>
        <v>2105.5</v>
      </c>
      <c r="M890" s="4">
        <f t="shared" si="80"/>
        <v>3.5620992638327742E-3</v>
      </c>
      <c r="N890" s="21">
        <f>_xll.RssMarket(A890,"高値")</f>
        <v>2129</v>
      </c>
      <c r="O890" s="4">
        <f t="shared" si="81"/>
        <v>-7.5152653828087779E-3</v>
      </c>
      <c r="P890" s="21">
        <f>_xll.RssMarket(A890,"安値")</f>
        <v>2087.5</v>
      </c>
      <c r="Q890" s="4">
        <f t="shared" si="82"/>
        <v>1.2215568862275372E-2</v>
      </c>
      <c r="R890" s="21">
        <f>_xll.RssMarket(A890,"後場始値")</f>
        <v>2125</v>
      </c>
      <c r="S890" s="25">
        <f t="shared" si="83"/>
        <v>-5.6470588235294494E-3</v>
      </c>
      <c r="T890" s="7">
        <f>_xll.RssMarket(A890,"出来高加重平均")</f>
        <v>2115.5785000000001</v>
      </c>
      <c r="U890" s="4">
        <f t="shared" si="84"/>
        <v>-1.2188155627409492E-3</v>
      </c>
      <c r="V890" s="21">
        <f>_xll.RssMarket(A890,"出来高")</f>
        <v>3914300</v>
      </c>
      <c r="W890" s="21">
        <f>_xll.RssMarket(A890,"売買代金")</f>
        <v>8281009</v>
      </c>
      <c r="X890" s="20" t="str">
        <f>_xll.RssMarket(A890,"決算発表日")</f>
        <v>2024/01/12</v>
      </c>
      <c r="Y890" s="26" t="str">
        <f>IF(C890&gt;_xll.RssMarket(A890,"年初来高値"),"○","×")</f>
        <v>×</v>
      </c>
      <c r="Z890" s="27" t="str">
        <f>IF(C890&lt;=_xll.RssMarket(A890,"年初来安値"),"○","×")</f>
        <v>×</v>
      </c>
    </row>
    <row r="891" spans="1:26" x14ac:dyDescent="0.25">
      <c r="A891" s="49">
        <v>7455</v>
      </c>
      <c r="B891" s="20" t="str">
        <f>_xll.RssMarket(A891,"銘柄名称")</f>
        <v>パリミキホールディングス</v>
      </c>
      <c r="C891" s="21">
        <f>_xll.RssMarket(A891,"現在値")</f>
        <v>491</v>
      </c>
      <c r="D891" s="20" t="str">
        <f>_xll.RssMarket(A891,"現在値詳細時刻")</f>
        <v>15:00:00</v>
      </c>
      <c r="E891" s="22">
        <f>_xll.RssMarket(A891,"前日比")</f>
        <v>-31</v>
      </c>
      <c r="F891" s="23">
        <f>_xll.RssMarket(A891,"前日比率")/100</f>
        <v>-5.9400000000000001E-2</v>
      </c>
      <c r="G891" s="24" t="str">
        <f>IFERROR(VLOOKUP(A891,取得元!$A$2:$F$501,2,FALSE),"-")</f>
        <v>-</v>
      </c>
      <c r="H891" s="24" t="str">
        <f>IFERROR(VLOOKUP(A891,取得元!$A$2:$F$501,3,FALSE),"-")</f>
        <v>-</v>
      </c>
      <c r="I891" s="24" t="str">
        <f>IFERROR(VLOOKUP(A891,取得元!$A$2:$F$501,4,FALSE),"-")</f>
        <v>-</v>
      </c>
      <c r="J891" s="5" t="str">
        <f>IFERROR(VLOOKUP(A891,取得元!$A$2:$F$501,5,FALSE),"-")</f>
        <v>-</v>
      </c>
      <c r="K891" s="25" t="str">
        <f>IFERROR(VLOOKUP(A891,取得元!$A$2:$F$501,6,FALSE)/100,"-")</f>
        <v>-</v>
      </c>
      <c r="L891" s="21">
        <f>_xll.RssMarket(A891,"始値")</f>
        <v>522</v>
      </c>
      <c r="M891" s="4">
        <f t="shared" si="80"/>
        <v>-5.9386973180076574E-2</v>
      </c>
      <c r="N891" s="21">
        <f>_xll.RssMarket(A891,"高値")</f>
        <v>523</v>
      </c>
      <c r="O891" s="4">
        <f t="shared" si="81"/>
        <v>-6.1185468451242842E-2</v>
      </c>
      <c r="P891" s="21">
        <f>_xll.RssMarket(A891,"安値")</f>
        <v>488</v>
      </c>
      <c r="Q891" s="4">
        <f t="shared" si="82"/>
        <v>6.1475409836064809E-3</v>
      </c>
      <c r="R891" s="21">
        <f>_xll.RssMarket(A891,"後場始値")</f>
        <v>501</v>
      </c>
      <c r="S891" s="25">
        <f t="shared" si="83"/>
        <v>-1.9960079840319334E-2</v>
      </c>
      <c r="T891" s="7">
        <f>_xll.RssMarket(A891,"出来高加重平均")</f>
        <v>502.07760000000002</v>
      </c>
      <c r="U891" s="4">
        <f t="shared" si="84"/>
        <v>-2.2063521654819951E-2</v>
      </c>
      <c r="V891" s="21">
        <f>_xll.RssMarket(A891,"出来高")</f>
        <v>213700</v>
      </c>
      <c r="W891" s="21">
        <f>_xll.RssMarket(A891,"売買代金")</f>
        <v>107294</v>
      </c>
      <c r="X891" s="20" t="str">
        <f>_xll.RssMarket(A891,"決算発表日")</f>
        <v>2024/02/14</v>
      </c>
      <c r="Y891" s="26" t="str">
        <f>IF(C891&gt;_xll.RssMarket(A891,"年初来高値"),"○","×")</f>
        <v>×</v>
      </c>
      <c r="Z891" s="27" t="str">
        <f>IF(C891&lt;=_xll.RssMarket(A891,"年初来安値"),"○","×")</f>
        <v>×</v>
      </c>
    </row>
    <row r="892" spans="1:26" x14ac:dyDescent="0.25">
      <c r="A892" s="47">
        <v>7459</v>
      </c>
      <c r="B892" s="20" t="str">
        <f>_xll.RssMarket(A892,"銘柄名称")</f>
        <v>メディパルＨＤ</v>
      </c>
      <c r="C892" s="21">
        <f>_xll.RssMarket(A892,"現在値")</f>
        <v>2372.5</v>
      </c>
      <c r="D892" s="20" t="str">
        <f>_xll.RssMarket(A892,"現在値詳細時刻")</f>
        <v>15:00:00</v>
      </c>
      <c r="E892" s="22">
        <f>_xll.RssMarket(A892,"前日比")</f>
        <v>42</v>
      </c>
      <c r="F892" s="23">
        <f>_xll.RssMarket(A892,"前日比率")/100</f>
        <v>1.8000000000000002E-2</v>
      </c>
      <c r="G892" s="24" t="str">
        <f>IFERROR(VLOOKUP(A892,取得元!$A$2:$F$501,2,FALSE),"-")</f>
        <v>-</v>
      </c>
      <c r="H892" s="24" t="str">
        <f>IFERROR(VLOOKUP(A892,取得元!$A$2:$F$501,3,FALSE),"-")</f>
        <v>-</v>
      </c>
      <c r="I892" s="24" t="str">
        <f>IFERROR(VLOOKUP(A892,取得元!$A$2:$F$501,4,FALSE),"-")</f>
        <v>-</v>
      </c>
      <c r="J892" s="5" t="str">
        <f>IFERROR(VLOOKUP(A892,取得元!$A$2:$F$501,5,FALSE),"-")</f>
        <v>-</v>
      </c>
      <c r="K892" s="25" t="str">
        <f>IFERROR(VLOOKUP(A892,取得元!$A$2:$F$501,6,FALSE)/100,"-")</f>
        <v>-</v>
      </c>
      <c r="L892" s="21">
        <f>_xll.RssMarket(A892,"始値")</f>
        <v>2337.5</v>
      </c>
      <c r="M892" s="4">
        <f t="shared" si="80"/>
        <v>1.4973262032085488E-2</v>
      </c>
      <c r="N892" s="21">
        <f>_xll.RssMarket(A892,"高値")</f>
        <v>2377</v>
      </c>
      <c r="O892" s="4">
        <f t="shared" si="81"/>
        <v>-1.8931426167437815E-3</v>
      </c>
      <c r="P892" s="21">
        <f>_xll.RssMarket(A892,"安値")</f>
        <v>2315</v>
      </c>
      <c r="Q892" s="4">
        <f t="shared" si="82"/>
        <v>2.4838012958963374E-2</v>
      </c>
      <c r="R892" s="21">
        <f>_xll.RssMarket(A892,"後場始値")</f>
        <v>2343.5</v>
      </c>
      <c r="S892" s="25">
        <f t="shared" si="83"/>
        <v>1.2374653296351568E-2</v>
      </c>
      <c r="T892" s="7">
        <f>_xll.RssMarket(A892,"出来高加重平均")</f>
        <v>2358.8971999999999</v>
      </c>
      <c r="U892" s="4">
        <f t="shared" si="84"/>
        <v>5.7665929655603687E-3</v>
      </c>
      <c r="V892" s="21">
        <f>_xll.RssMarket(A892,"出来高")</f>
        <v>609400</v>
      </c>
      <c r="W892" s="21">
        <f>_xll.RssMarket(A892,"売買代金")</f>
        <v>1437512</v>
      </c>
      <c r="X892" s="20" t="str">
        <f>_xll.RssMarket(A892,"決算発表日")</f>
        <v>2024/02/05</v>
      </c>
      <c r="Y892" s="26" t="str">
        <f>IF(C892&gt;_xll.RssMarket(A892,"年初来高値"),"○","×")</f>
        <v>×</v>
      </c>
      <c r="Z892" s="27" t="str">
        <f>IF(C892&lt;=_xll.RssMarket(A892,"年初来安値"),"○","×")</f>
        <v>×</v>
      </c>
    </row>
    <row r="893" spans="1:26" x14ac:dyDescent="0.25">
      <c r="A893" s="49">
        <v>7481</v>
      </c>
      <c r="B893" s="20" t="str">
        <f>_xll.RssMarket(A893,"銘柄名称")</f>
        <v>尾家産業</v>
      </c>
      <c r="C893" s="21">
        <f>_xll.RssMarket(A893,"現在値")</f>
        <v>1841</v>
      </c>
      <c r="D893" s="20" t="str">
        <f>_xll.RssMarket(A893,"現在値詳細時刻")</f>
        <v>15:00:00</v>
      </c>
      <c r="E893" s="22">
        <f>_xll.RssMarket(A893,"前日比")</f>
        <v>-26</v>
      </c>
      <c r="F893" s="23">
        <f>_xll.RssMarket(A893,"前日比率")/100</f>
        <v>-1.3899999999999999E-2</v>
      </c>
      <c r="G893" s="24" t="str">
        <f>IFERROR(VLOOKUP(A893,取得元!$A$2:$F$501,2,FALSE),"-")</f>
        <v>-</v>
      </c>
      <c r="H893" s="24" t="str">
        <f>IFERROR(VLOOKUP(A893,取得元!$A$2:$F$501,3,FALSE),"-")</f>
        <v>-</v>
      </c>
      <c r="I893" s="24" t="str">
        <f>IFERROR(VLOOKUP(A893,取得元!$A$2:$F$501,4,FALSE),"-")</f>
        <v>-</v>
      </c>
      <c r="J893" s="5" t="str">
        <f>IFERROR(VLOOKUP(A893,取得元!$A$2:$F$501,5,FALSE),"-")</f>
        <v>-</v>
      </c>
      <c r="K893" s="25" t="str">
        <f>IFERROR(VLOOKUP(A893,取得元!$A$2:$F$501,6,FALSE)/100,"-")</f>
        <v>-</v>
      </c>
      <c r="L893" s="21">
        <f>_xll.RssMarket(A893,"始値")</f>
        <v>1868</v>
      </c>
      <c r="M893" s="4">
        <f t="shared" si="80"/>
        <v>-1.4453961456102782E-2</v>
      </c>
      <c r="N893" s="21">
        <f>_xll.RssMarket(A893,"高値")</f>
        <v>1874</v>
      </c>
      <c r="O893" s="4">
        <f t="shared" si="81"/>
        <v>-1.7609391675560304E-2</v>
      </c>
      <c r="P893" s="21">
        <f>_xll.RssMarket(A893,"安値")</f>
        <v>1832</v>
      </c>
      <c r="Q893" s="4">
        <f t="shared" si="82"/>
        <v>4.9126637554586239E-3</v>
      </c>
      <c r="R893" s="21">
        <f>_xll.RssMarket(A893,"後場始値")</f>
        <v>1870</v>
      </c>
      <c r="S893" s="25">
        <f t="shared" si="83"/>
        <v>-1.5508021390374327E-2</v>
      </c>
      <c r="T893" s="7">
        <f>_xll.RssMarket(A893,"出来高加重平均")</f>
        <v>1856.2902999999999</v>
      </c>
      <c r="U893" s="4">
        <f t="shared" si="84"/>
        <v>-8.2370198238927994E-3</v>
      </c>
      <c r="V893" s="21">
        <f>_xll.RssMarket(A893,"出来高")</f>
        <v>6200</v>
      </c>
      <c r="W893" s="21">
        <f>_xll.RssMarket(A893,"売買代金")</f>
        <v>11509</v>
      </c>
      <c r="X893" s="20" t="str">
        <f>_xll.RssMarket(A893,"決算発表日")</f>
        <v>2024/02/09</v>
      </c>
      <c r="Y893" s="26" t="str">
        <f>IF(C893&gt;_xll.RssMarket(A893,"年初来高値"),"○","×")</f>
        <v>×</v>
      </c>
      <c r="Z893" s="27" t="str">
        <f>IF(C893&lt;=_xll.RssMarket(A893,"年初来安値"),"○","×")</f>
        <v>×</v>
      </c>
    </row>
    <row r="894" spans="1:26" x14ac:dyDescent="0.25">
      <c r="A894" s="47">
        <v>7494</v>
      </c>
      <c r="B894" s="20" t="str">
        <f>_xll.RssMarket(A894,"銘柄名称")</f>
        <v>コナカ</v>
      </c>
      <c r="C894" s="21">
        <f>_xll.RssMarket(A894,"現在値")</f>
        <v>425</v>
      </c>
      <c r="D894" s="20" t="str">
        <f>_xll.RssMarket(A894,"現在値詳細時刻")</f>
        <v>15:00:00</v>
      </c>
      <c r="E894" s="22">
        <f>_xll.RssMarket(A894,"前日比")</f>
        <v>4</v>
      </c>
      <c r="F894" s="23">
        <f>_xll.RssMarket(A894,"前日比率")/100</f>
        <v>9.4999999999999998E-3</v>
      </c>
      <c r="G894" s="24" t="str">
        <f>IFERROR(VLOOKUP(A894,取得元!$A$2:$F$501,2,FALSE),"-")</f>
        <v>-</v>
      </c>
      <c r="H894" s="24" t="str">
        <f>IFERROR(VLOOKUP(A894,取得元!$A$2:$F$501,3,FALSE),"-")</f>
        <v>-</v>
      </c>
      <c r="I894" s="24" t="str">
        <f>IFERROR(VLOOKUP(A894,取得元!$A$2:$F$501,4,FALSE),"-")</f>
        <v>-</v>
      </c>
      <c r="J894" s="5" t="str">
        <f>IFERROR(VLOOKUP(A894,取得元!$A$2:$F$501,5,FALSE),"-")</f>
        <v>-</v>
      </c>
      <c r="K894" s="25" t="str">
        <f>IFERROR(VLOOKUP(A894,取得元!$A$2:$F$501,6,FALSE)/100,"-")</f>
        <v>-</v>
      </c>
      <c r="L894" s="21">
        <f>_xll.RssMarket(A894,"始値")</f>
        <v>421</v>
      </c>
      <c r="M894" s="4">
        <f t="shared" si="80"/>
        <v>9.5011876484560887E-3</v>
      </c>
      <c r="N894" s="21">
        <f>_xll.RssMarket(A894,"高値")</f>
        <v>425</v>
      </c>
      <c r="O894" s="4">
        <f t="shared" si="81"/>
        <v>0</v>
      </c>
      <c r="P894" s="21">
        <f>_xll.RssMarket(A894,"安値")</f>
        <v>421</v>
      </c>
      <c r="Q894" s="4">
        <f t="shared" si="82"/>
        <v>9.5011876484560887E-3</v>
      </c>
      <c r="R894" s="21">
        <f>_xll.RssMarket(A894,"後場始値")</f>
        <v>425</v>
      </c>
      <c r="S894" s="25">
        <f t="shared" si="83"/>
        <v>0</v>
      </c>
      <c r="T894" s="7">
        <f>_xll.RssMarket(A894,"出来高加重平均")</f>
        <v>423.04050000000001</v>
      </c>
      <c r="U894" s="4">
        <f t="shared" si="84"/>
        <v>4.6319442228344165E-3</v>
      </c>
      <c r="V894" s="21">
        <f>_xll.RssMarket(A894,"出来高")</f>
        <v>59200</v>
      </c>
      <c r="W894" s="21">
        <f>_xll.RssMarket(A894,"売買代金")</f>
        <v>25044</v>
      </c>
      <c r="X894" s="20" t="str">
        <f>_xll.RssMarket(A894,"決算発表日")</f>
        <v>2024/02/14</v>
      </c>
      <c r="Y894" s="26" t="str">
        <f>IF(C894&gt;_xll.RssMarket(A894,"年初来高値"),"○","×")</f>
        <v>×</v>
      </c>
      <c r="Z894" s="27" t="str">
        <f>IF(C894&lt;=_xll.RssMarket(A894,"年初来安値"),"○","×")</f>
        <v>×</v>
      </c>
    </row>
    <row r="895" spans="1:26" x14ac:dyDescent="0.25">
      <c r="A895" s="49">
        <v>7505</v>
      </c>
      <c r="B895" s="20" t="str">
        <f>_xll.RssMarket(A895,"銘柄名称")</f>
        <v>扶桑電通</v>
      </c>
      <c r="C895" s="21">
        <f>_xll.RssMarket(A895,"現在値")</f>
        <v>1441</v>
      </c>
      <c r="D895" s="20" t="str">
        <f>_xll.RssMarket(A895,"現在値詳細時刻")</f>
        <v>10:34:48</v>
      </c>
      <c r="E895" s="22">
        <f>_xll.RssMarket(A895,"前日比")</f>
        <v>-9</v>
      </c>
      <c r="F895" s="23">
        <f>_xll.RssMarket(A895,"前日比率")/100</f>
        <v>-6.1999999999999998E-3</v>
      </c>
      <c r="G895" s="24" t="str">
        <f>IFERROR(VLOOKUP(A895,取得元!$A$2:$F$501,2,FALSE),"-")</f>
        <v>-</v>
      </c>
      <c r="H895" s="24" t="str">
        <f>IFERROR(VLOOKUP(A895,取得元!$A$2:$F$501,3,FALSE),"-")</f>
        <v>-</v>
      </c>
      <c r="I895" s="24" t="str">
        <f>IFERROR(VLOOKUP(A895,取得元!$A$2:$F$501,4,FALSE),"-")</f>
        <v>-</v>
      </c>
      <c r="J895" s="5" t="str">
        <f>IFERROR(VLOOKUP(A895,取得元!$A$2:$F$501,5,FALSE),"-")</f>
        <v>-</v>
      </c>
      <c r="K895" s="25" t="str">
        <f>IFERROR(VLOOKUP(A895,取得元!$A$2:$F$501,6,FALSE)/100,"-")</f>
        <v>-</v>
      </c>
      <c r="L895" s="21">
        <f>_xll.RssMarket(A895,"始値")</f>
        <v>1441</v>
      </c>
      <c r="M895" s="4">
        <f t="shared" si="80"/>
        <v>0</v>
      </c>
      <c r="N895" s="21">
        <f>_xll.RssMarket(A895,"高値")</f>
        <v>1441</v>
      </c>
      <c r="O895" s="4">
        <f t="shared" si="81"/>
        <v>0</v>
      </c>
      <c r="P895" s="21">
        <f>_xll.RssMarket(A895,"安値")</f>
        <v>1441</v>
      </c>
      <c r="Q895" s="4">
        <f t="shared" si="82"/>
        <v>0</v>
      </c>
      <c r="R895" s="21">
        <f>_xll.RssMarket(A895,"後場始値")</f>
        <v>0</v>
      </c>
      <c r="S895" s="25" t="str">
        <f t="shared" si="83"/>
        <v>-</v>
      </c>
      <c r="T895" s="7">
        <f>_xll.RssMarket(A895,"出来高加重平均")</f>
        <v>1440</v>
      </c>
      <c r="U895" s="4">
        <f t="shared" si="84"/>
        <v>6.94444444444553E-4</v>
      </c>
      <c r="V895" s="21">
        <f>_xll.RssMarket(A895,"出来高")</f>
        <v>400</v>
      </c>
      <c r="W895" s="21">
        <f>_xll.RssMarket(A895,"売買代金")</f>
        <v>576</v>
      </c>
      <c r="X895" s="20" t="str">
        <f>_xll.RssMarket(A895,"決算発表日")</f>
        <v>2024/02/09</v>
      </c>
      <c r="Y895" s="26" t="str">
        <f>IF(C895&gt;_xll.RssMarket(A895,"年初来高値"),"○","×")</f>
        <v>×</v>
      </c>
      <c r="Z895" s="27" t="str">
        <f>IF(C895&lt;=_xll.RssMarket(A895,"年初来安値"),"○","×")</f>
        <v>×</v>
      </c>
    </row>
    <row r="896" spans="1:26" x14ac:dyDescent="0.25">
      <c r="A896" s="47">
        <v>7512</v>
      </c>
      <c r="B896" s="20" t="str">
        <f>_xll.RssMarket(A896,"銘柄名称")</f>
        <v>イオン北海道</v>
      </c>
      <c r="C896" s="21">
        <f>_xll.RssMarket(A896,"現在値")</f>
        <v>931</v>
      </c>
      <c r="D896" s="20" t="str">
        <f>_xll.RssMarket(A896,"現在値詳細時刻")</f>
        <v>15:00:00</v>
      </c>
      <c r="E896" s="22">
        <f>_xll.RssMarket(A896,"前日比")</f>
        <v>1</v>
      </c>
      <c r="F896" s="23">
        <f>_xll.RssMarket(A896,"前日比率")/100</f>
        <v>1.1000000000000001E-3</v>
      </c>
      <c r="G896" s="24" t="str">
        <f>IFERROR(VLOOKUP(A896,取得元!$A$2:$F$501,2,FALSE),"-")</f>
        <v>-</v>
      </c>
      <c r="H896" s="24" t="str">
        <f>IFERROR(VLOOKUP(A896,取得元!$A$2:$F$501,3,FALSE),"-")</f>
        <v>-</v>
      </c>
      <c r="I896" s="24" t="str">
        <f>IFERROR(VLOOKUP(A896,取得元!$A$2:$F$501,4,FALSE),"-")</f>
        <v>-</v>
      </c>
      <c r="J896" s="5" t="str">
        <f>IFERROR(VLOOKUP(A896,取得元!$A$2:$F$501,5,FALSE),"-")</f>
        <v>-</v>
      </c>
      <c r="K896" s="25" t="str">
        <f>IFERROR(VLOOKUP(A896,取得元!$A$2:$F$501,6,FALSE)/100,"-")</f>
        <v>-</v>
      </c>
      <c r="L896" s="21">
        <f>_xll.RssMarket(A896,"始値")</f>
        <v>933</v>
      </c>
      <c r="M896" s="4">
        <f t="shared" si="80"/>
        <v>-2.143622722400873E-3</v>
      </c>
      <c r="N896" s="21">
        <f>_xll.RssMarket(A896,"高値")</f>
        <v>937</v>
      </c>
      <c r="O896" s="4">
        <f t="shared" si="81"/>
        <v>-6.4034151547491813E-3</v>
      </c>
      <c r="P896" s="21">
        <f>_xll.RssMarket(A896,"安値")</f>
        <v>927</v>
      </c>
      <c r="Q896" s="4">
        <f t="shared" si="82"/>
        <v>4.3149946062568389E-3</v>
      </c>
      <c r="R896" s="21">
        <f>_xll.RssMarket(A896,"後場始値")</f>
        <v>933</v>
      </c>
      <c r="S896" s="25">
        <f t="shared" si="83"/>
        <v>-2.143622722400873E-3</v>
      </c>
      <c r="T896" s="7">
        <f>_xll.RssMarket(A896,"出来高加重平均")</f>
        <v>932.28150000000005</v>
      </c>
      <c r="U896" s="4">
        <f t="shared" si="84"/>
        <v>-1.3745848222881385E-3</v>
      </c>
      <c r="V896" s="21">
        <f>_xll.RssMarket(A896,"出来高")</f>
        <v>299800</v>
      </c>
      <c r="W896" s="21">
        <f>_xll.RssMarket(A896,"売買代金")</f>
        <v>279498</v>
      </c>
      <c r="X896" s="20" t="str">
        <f>_xll.RssMarket(A896,"決算発表日")</f>
        <v>2024/01/12</v>
      </c>
      <c r="Y896" s="26" t="str">
        <f>IF(C896&gt;_xll.RssMarket(A896,"年初来高値"),"○","×")</f>
        <v>×</v>
      </c>
      <c r="Z896" s="27" t="str">
        <f>IF(C896&lt;=_xll.RssMarket(A896,"年初来安値"),"○","×")</f>
        <v>×</v>
      </c>
    </row>
    <row r="897" spans="1:26" x14ac:dyDescent="0.25">
      <c r="A897" s="49">
        <v>7513</v>
      </c>
      <c r="B897" s="20" t="str">
        <f>_xll.RssMarket(A897,"銘柄名称")</f>
        <v>コジマ</v>
      </c>
      <c r="C897" s="21">
        <f>_xll.RssMarket(A897,"現在値")</f>
        <v>734</v>
      </c>
      <c r="D897" s="20" t="str">
        <f>_xll.RssMarket(A897,"現在値詳細時刻")</f>
        <v>15:00:00</v>
      </c>
      <c r="E897" s="22">
        <f>_xll.RssMarket(A897,"前日比")</f>
        <v>-13</v>
      </c>
      <c r="F897" s="23">
        <f>_xll.RssMarket(A897,"前日比率")/100</f>
        <v>-1.7399999999999999E-2</v>
      </c>
      <c r="G897" s="24" t="str">
        <f>IFERROR(VLOOKUP(A897,取得元!$A$2:$F$501,2,FALSE),"-")</f>
        <v>-</v>
      </c>
      <c r="H897" s="24" t="str">
        <f>IFERROR(VLOOKUP(A897,取得元!$A$2:$F$501,3,FALSE),"-")</f>
        <v>-</v>
      </c>
      <c r="I897" s="24" t="str">
        <f>IFERROR(VLOOKUP(A897,取得元!$A$2:$F$501,4,FALSE),"-")</f>
        <v>-</v>
      </c>
      <c r="J897" s="5" t="str">
        <f>IFERROR(VLOOKUP(A897,取得元!$A$2:$F$501,5,FALSE),"-")</f>
        <v>-</v>
      </c>
      <c r="K897" s="25" t="str">
        <f>IFERROR(VLOOKUP(A897,取得元!$A$2:$F$501,6,FALSE)/100,"-")</f>
        <v>-</v>
      </c>
      <c r="L897" s="21">
        <f>_xll.RssMarket(A897,"始値")</f>
        <v>745</v>
      </c>
      <c r="M897" s="4">
        <f t="shared" si="80"/>
        <v>-1.4765100671140896E-2</v>
      </c>
      <c r="N897" s="21">
        <f>_xll.RssMarket(A897,"高値")</f>
        <v>747</v>
      </c>
      <c r="O897" s="4">
        <f t="shared" si="81"/>
        <v>-1.7402945113788482E-2</v>
      </c>
      <c r="P897" s="21">
        <f>_xll.RssMarket(A897,"安値")</f>
        <v>732</v>
      </c>
      <c r="Q897" s="4">
        <f t="shared" si="82"/>
        <v>2.732240437158362E-3</v>
      </c>
      <c r="R897" s="21">
        <f>_xll.RssMarket(A897,"後場始値")</f>
        <v>734</v>
      </c>
      <c r="S897" s="25">
        <f t="shared" si="83"/>
        <v>0</v>
      </c>
      <c r="T897" s="7">
        <f>_xll.RssMarket(A897,"出来高加重平均")</f>
        <v>737.8039</v>
      </c>
      <c r="U897" s="4">
        <f t="shared" si="84"/>
        <v>-5.1557060080598127E-3</v>
      </c>
      <c r="V897" s="21">
        <f>_xll.RssMarket(A897,"出来高")</f>
        <v>204000</v>
      </c>
      <c r="W897" s="21">
        <f>_xll.RssMarket(A897,"売買代金")</f>
        <v>150512</v>
      </c>
      <c r="X897" s="20" t="str">
        <f>_xll.RssMarket(A897,"決算発表日")</f>
        <v>2024/01/11</v>
      </c>
      <c r="Y897" s="26" t="str">
        <f>IF(C897&gt;_xll.RssMarket(A897,"年初来高値"),"○","×")</f>
        <v>×</v>
      </c>
      <c r="Z897" s="27" t="str">
        <f>IF(C897&lt;=_xll.RssMarket(A897,"年初来安値"),"○","×")</f>
        <v>×</v>
      </c>
    </row>
    <row r="898" spans="1:26" x14ac:dyDescent="0.25">
      <c r="A898" s="47">
        <v>7514</v>
      </c>
      <c r="B898" s="20" t="str">
        <f>_xll.RssMarket(A898,"銘柄名称")</f>
        <v>ヒマラヤ</v>
      </c>
      <c r="C898" s="21">
        <f>_xll.RssMarket(A898,"現在値")</f>
        <v>935</v>
      </c>
      <c r="D898" s="20" t="str">
        <f>_xll.RssMarket(A898,"現在値詳細時刻")</f>
        <v>15:00:00</v>
      </c>
      <c r="E898" s="22">
        <f>_xll.RssMarket(A898,"前日比")</f>
        <v>-3</v>
      </c>
      <c r="F898" s="23">
        <f>_xll.RssMarket(A898,"前日比率")/100</f>
        <v>-3.2000000000000002E-3</v>
      </c>
      <c r="G898" s="24" t="str">
        <f>IFERROR(VLOOKUP(A898,取得元!$A$2:$F$501,2,FALSE),"-")</f>
        <v>-</v>
      </c>
      <c r="H898" s="24" t="str">
        <f>IFERROR(VLOOKUP(A898,取得元!$A$2:$F$501,3,FALSE),"-")</f>
        <v>-</v>
      </c>
      <c r="I898" s="24" t="str">
        <f>IFERROR(VLOOKUP(A898,取得元!$A$2:$F$501,4,FALSE),"-")</f>
        <v>-</v>
      </c>
      <c r="J898" s="5" t="str">
        <f>IFERROR(VLOOKUP(A898,取得元!$A$2:$F$501,5,FALSE),"-")</f>
        <v>-</v>
      </c>
      <c r="K898" s="25" t="str">
        <f>IFERROR(VLOOKUP(A898,取得元!$A$2:$F$501,6,FALSE)/100,"-")</f>
        <v>-</v>
      </c>
      <c r="L898" s="21">
        <f>_xll.RssMarket(A898,"始値")</f>
        <v>938</v>
      </c>
      <c r="M898" s="4">
        <f t="shared" si="80"/>
        <v>-3.1982942430703876E-3</v>
      </c>
      <c r="N898" s="21">
        <f>_xll.RssMarket(A898,"高値")</f>
        <v>940</v>
      </c>
      <c r="O898" s="4">
        <f t="shared" si="81"/>
        <v>-5.3191489361702482E-3</v>
      </c>
      <c r="P898" s="21">
        <f>_xll.RssMarket(A898,"安値")</f>
        <v>935</v>
      </c>
      <c r="Q898" s="4">
        <f t="shared" si="82"/>
        <v>0</v>
      </c>
      <c r="R898" s="21">
        <f>_xll.RssMarket(A898,"後場始値")</f>
        <v>939</v>
      </c>
      <c r="S898" s="25">
        <f t="shared" si="83"/>
        <v>-4.2598509052182987E-3</v>
      </c>
      <c r="T898" s="7">
        <f>_xll.RssMarket(A898,"出来高加重平均")</f>
        <v>937.63030000000003</v>
      </c>
      <c r="U898" s="4">
        <f t="shared" si="84"/>
        <v>-2.8052634391187992E-3</v>
      </c>
      <c r="V898" s="21">
        <f>_xll.RssMarket(A898,"出来高")</f>
        <v>21100</v>
      </c>
      <c r="W898" s="21">
        <f>_xll.RssMarket(A898,"売買代金")</f>
        <v>19784</v>
      </c>
      <c r="X898" s="20" t="str">
        <f>_xll.RssMarket(A898,"決算発表日")</f>
        <v>2024/01/09</v>
      </c>
      <c r="Y898" s="26" t="str">
        <f>IF(C898&gt;_xll.RssMarket(A898,"年初来高値"),"○","×")</f>
        <v>×</v>
      </c>
      <c r="Z898" s="27" t="str">
        <f>IF(C898&lt;=_xll.RssMarket(A898,"年初来安値"),"○","×")</f>
        <v>×</v>
      </c>
    </row>
    <row r="899" spans="1:26" x14ac:dyDescent="0.25">
      <c r="A899" s="49">
        <v>7516</v>
      </c>
      <c r="B899" s="20" t="str">
        <f>_xll.RssMarket(A899,"銘柄名称")</f>
        <v>コーナン商事</v>
      </c>
      <c r="C899" s="21">
        <f>_xll.RssMarket(A899,"現在値")</f>
        <v>3960</v>
      </c>
      <c r="D899" s="20" t="str">
        <f>_xll.RssMarket(A899,"現在値詳細時刻")</f>
        <v>15:00:00</v>
      </c>
      <c r="E899" s="22">
        <f>_xll.RssMarket(A899,"前日比")</f>
        <v>20</v>
      </c>
      <c r="F899" s="23">
        <f>_xll.RssMarket(A899,"前日比率")/100</f>
        <v>5.1000000000000004E-3</v>
      </c>
      <c r="G899" s="24" t="str">
        <f>IFERROR(VLOOKUP(A899,取得元!$A$2:$F$501,2,FALSE),"-")</f>
        <v>-</v>
      </c>
      <c r="H899" s="24" t="str">
        <f>IFERROR(VLOOKUP(A899,取得元!$A$2:$F$501,3,FALSE),"-")</f>
        <v>-</v>
      </c>
      <c r="I899" s="24" t="str">
        <f>IFERROR(VLOOKUP(A899,取得元!$A$2:$F$501,4,FALSE),"-")</f>
        <v>-</v>
      </c>
      <c r="J899" s="5" t="str">
        <f>IFERROR(VLOOKUP(A899,取得元!$A$2:$F$501,5,FALSE),"-")</f>
        <v>-</v>
      </c>
      <c r="K899" s="25" t="str">
        <f>IFERROR(VLOOKUP(A899,取得元!$A$2:$F$501,6,FALSE)/100,"-")</f>
        <v>-</v>
      </c>
      <c r="L899" s="21">
        <f>_xll.RssMarket(A899,"始値")</f>
        <v>3960</v>
      </c>
      <c r="M899" s="4">
        <f t="shared" si="80"/>
        <v>0</v>
      </c>
      <c r="N899" s="21">
        <f>_xll.RssMarket(A899,"高値")</f>
        <v>3960</v>
      </c>
      <c r="O899" s="4">
        <f t="shared" si="81"/>
        <v>0</v>
      </c>
      <c r="P899" s="21">
        <f>_xll.RssMarket(A899,"安値")</f>
        <v>3895</v>
      </c>
      <c r="Q899" s="4">
        <f t="shared" si="82"/>
        <v>1.6688061617458283E-2</v>
      </c>
      <c r="R899" s="21">
        <f>_xll.RssMarket(A899,"後場始値")</f>
        <v>3905</v>
      </c>
      <c r="S899" s="25">
        <f t="shared" si="83"/>
        <v>1.4084507042253502E-2</v>
      </c>
      <c r="T899" s="7">
        <f>_xll.RssMarket(A899,"出来高加重平均")</f>
        <v>3933.9322000000002</v>
      </c>
      <c r="U899" s="4">
        <f t="shared" si="84"/>
        <v>6.6263978825054082E-3</v>
      </c>
      <c r="V899" s="21">
        <f>_xll.RssMarket(A899,"出来高")</f>
        <v>177000</v>
      </c>
      <c r="W899" s="21">
        <f>_xll.RssMarket(A899,"売買代金")</f>
        <v>696306</v>
      </c>
      <c r="X899" s="20" t="str">
        <f>_xll.RssMarket(A899,"決算発表日")</f>
        <v>2024/01/11</v>
      </c>
      <c r="Y899" s="26" t="str">
        <f>IF(C899&gt;_xll.RssMarket(A899,"年初来高値"),"○","×")</f>
        <v>×</v>
      </c>
      <c r="Z899" s="27" t="str">
        <f>IF(C899&lt;=_xll.RssMarket(A899,"年初来安値"),"○","×")</f>
        <v>×</v>
      </c>
    </row>
    <row r="900" spans="1:26" x14ac:dyDescent="0.25">
      <c r="A900" s="47">
        <v>7523</v>
      </c>
      <c r="B900" s="20" t="str">
        <f>_xll.RssMarket(A900,"銘柄名称")</f>
        <v>アールビバン</v>
      </c>
      <c r="C900" s="21">
        <f>_xll.RssMarket(A900,"現在値")</f>
        <v>1188</v>
      </c>
      <c r="D900" s="20" t="str">
        <f>_xll.RssMarket(A900,"現在値詳細時刻")</f>
        <v>15:00:00</v>
      </c>
      <c r="E900" s="22">
        <f>_xll.RssMarket(A900,"前日比")</f>
        <v>-14</v>
      </c>
      <c r="F900" s="23">
        <f>_xll.RssMarket(A900,"前日比率")/100</f>
        <v>-1.1599999999999999E-2</v>
      </c>
      <c r="G900" s="24" t="str">
        <f>IFERROR(VLOOKUP(A900,取得元!$A$2:$F$501,2,FALSE),"-")</f>
        <v>-</v>
      </c>
      <c r="H900" s="24" t="str">
        <f>IFERROR(VLOOKUP(A900,取得元!$A$2:$F$501,3,FALSE),"-")</f>
        <v>-</v>
      </c>
      <c r="I900" s="24" t="str">
        <f>IFERROR(VLOOKUP(A900,取得元!$A$2:$F$501,4,FALSE),"-")</f>
        <v>-</v>
      </c>
      <c r="J900" s="5" t="str">
        <f>IFERROR(VLOOKUP(A900,取得元!$A$2:$F$501,5,FALSE),"-")</f>
        <v>-</v>
      </c>
      <c r="K900" s="25" t="str">
        <f>IFERROR(VLOOKUP(A900,取得元!$A$2:$F$501,6,FALSE)/100,"-")</f>
        <v>-</v>
      </c>
      <c r="L900" s="21">
        <f>_xll.RssMarket(A900,"始値")</f>
        <v>1205</v>
      </c>
      <c r="M900" s="4">
        <f t="shared" si="80"/>
        <v>-1.4107883817427336E-2</v>
      </c>
      <c r="N900" s="21">
        <f>_xll.RssMarket(A900,"高値")</f>
        <v>1205</v>
      </c>
      <c r="O900" s="4">
        <f t="shared" si="81"/>
        <v>-1.4107883817427336E-2</v>
      </c>
      <c r="P900" s="21">
        <f>_xll.RssMarket(A900,"安値")</f>
        <v>1186</v>
      </c>
      <c r="Q900" s="4">
        <f t="shared" si="82"/>
        <v>1.6863406408094139E-3</v>
      </c>
      <c r="R900" s="21">
        <f>_xll.RssMarket(A900,"後場始値")</f>
        <v>1202</v>
      </c>
      <c r="S900" s="25">
        <f t="shared" si="83"/>
        <v>-1.1647254575707144E-2</v>
      </c>
      <c r="T900" s="7">
        <f>_xll.RssMarket(A900,"出来高加重平均")</f>
        <v>1193.8095000000001</v>
      </c>
      <c r="U900" s="4">
        <f t="shared" si="84"/>
        <v>-4.8663543052723801E-3</v>
      </c>
      <c r="V900" s="21">
        <f>_xll.RssMarket(A900,"出来高")</f>
        <v>25200</v>
      </c>
      <c r="W900" s="21">
        <f>_xll.RssMarket(A900,"売買代金")</f>
        <v>30084</v>
      </c>
      <c r="X900" s="20" t="str">
        <f>_xll.RssMarket(A900,"決算発表日")</f>
        <v>2024/02/09</v>
      </c>
      <c r="Y900" s="26" t="str">
        <f>IF(C900&gt;_xll.RssMarket(A900,"年初来高値"),"○","×")</f>
        <v>×</v>
      </c>
      <c r="Z900" s="27" t="str">
        <f>IF(C900&lt;=_xll.RssMarket(A900,"年初来安値"),"○","×")</f>
        <v>×</v>
      </c>
    </row>
    <row r="901" spans="1:26" x14ac:dyDescent="0.25">
      <c r="A901" s="49">
        <v>7527</v>
      </c>
      <c r="B901" s="20" t="str">
        <f>_xll.RssMarket(A901,"銘柄名称")</f>
        <v>システムソフト</v>
      </c>
      <c r="C901" s="21">
        <f>_xll.RssMarket(A901,"現在値")</f>
        <v>58</v>
      </c>
      <c r="D901" s="20" t="str">
        <f>_xll.RssMarket(A901,"現在値詳細時刻")</f>
        <v>15:00:00</v>
      </c>
      <c r="E901" s="22">
        <f>_xll.RssMarket(A901,"前日比")</f>
        <v>0</v>
      </c>
      <c r="F901" s="23">
        <f>_xll.RssMarket(A901,"前日比率")/100</f>
        <v>0</v>
      </c>
      <c r="G901" s="24" t="str">
        <f>IFERROR(VLOOKUP(A901,取得元!$A$2:$F$501,2,FALSE),"-")</f>
        <v>-</v>
      </c>
      <c r="H901" s="24" t="str">
        <f>IFERROR(VLOOKUP(A901,取得元!$A$2:$F$501,3,FALSE),"-")</f>
        <v>-</v>
      </c>
      <c r="I901" s="24" t="str">
        <f>IFERROR(VLOOKUP(A901,取得元!$A$2:$F$501,4,FALSE),"-")</f>
        <v>-</v>
      </c>
      <c r="J901" s="5" t="str">
        <f>IFERROR(VLOOKUP(A901,取得元!$A$2:$F$501,5,FALSE),"-")</f>
        <v>-</v>
      </c>
      <c r="K901" s="25" t="str">
        <f>IFERROR(VLOOKUP(A901,取得元!$A$2:$F$501,6,FALSE)/100,"-")</f>
        <v>-</v>
      </c>
      <c r="L901" s="21">
        <f>_xll.RssMarket(A901,"始値")</f>
        <v>59</v>
      </c>
      <c r="M901" s="4">
        <f t="shared" si="80"/>
        <v>-1.6949152542372836E-2</v>
      </c>
      <c r="N901" s="21">
        <f>_xll.RssMarket(A901,"高値")</f>
        <v>59</v>
      </c>
      <c r="O901" s="4">
        <f t="shared" si="81"/>
        <v>-1.6949152542372836E-2</v>
      </c>
      <c r="P901" s="21">
        <f>_xll.RssMarket(A901,"安値")</f>
        <v>58</v>
      </c>
      <c r="Q901" s="4">
        <f t="shared" si="82"/>
        <v>0</v>
      </c>
      <c r="R901" s="21">
        <f>_xll.RssMarket(A901,"後場始値")</f>
        <v>58</v>
      </c>
      <c r="S901" s="25">
        <f t="shared" si="83"/>
        <v>0</v>
      </c>
      <c r="T901" s="7">
        <f>_xll.RssMarket(A901,"出来高加重平均")</f>
        <v>58.346200000000003</v>
      </c>
      <c r="U901" s="4">
        <f t="shared" si="84"/>
        <v>-5.933548371616415E-3</v>
      </c>
      <c r="V901" s="21">
        <f>_xll.RssMarket(A901,"出来高")</f>
        <v>129400</v>
      </c>
      <c r="W901" s="21">
        <f>_xll.RssMarket(A901,"売買代金")</f>
        <v>7550</v>
      </c>
      <c r="X901" s="20" t="str">
        <f>_xll.RssMarket(A901,"決算発表日")</f>
        <v>2024/01/31</v>
      </c>
      <c r="Y901" s="26" t="str">
        <f>IF(C901&gt;_xll.RssMarket(A901,"年初来高値"),"○","×")</f>
        <v>×</v>
      </c>
      <c r="Z901" s="27" t="str">
        <f>IF(C901&lt;=_xll.RssMarket(A901,"年初来安値"),"○","×")</f>
        <v>○</v>
      </c>
    </row>
    <row r="902" spans="1:26" x14ac:dyDescent="0.25">
      <c r="A902" s="47">
        <v>7538</v>
      </c>
      <c r="B902" s="20" t="str">
        <f>_xll.RssMarket(A902,"銘柄名称")</f>
        <v>大水</v>
      </c>
      <c r="C902" s="21">
        <f>_xll.RssMarket(A902,"現在値")</f>
        <v>335</v>
      </c>
      <c r="D902" s="20" t="str">
        <f>_xll.RssMarket(A902,"現在値詳細時刻")</f>
        <v>15:00:00</v>
      </c>
      <c r="E902" s="22">
        <f>_xll.RssMarket(A902,"前日比")</f>
        <v>11</v>
      </c>
      <c r="F902" s="23">
        <f>_xll.RssMarket(A902,"前日比率")/100</f>
        <v>3.4000000000000002E-2</v>
      </c>
      <c r="G902" s="24" t="str">
        <f>IFERROR(VLOOKUP(A902,取得元!$A$2:$F$501,2,FALSE),"-")</f>
        <v>-</v>
      </c>
      <c r="H902" s="24" t="str">
        <f>IFERROR(VLOOKUP(A902,取得元!$A$2:$F$501,3,FALSE),"-")</f>
        <v>-</v>
      </c>
      <c r="I902" s="24" t="str">
        <f>IFERROR(VLOOKUP(A902,取得元!$A$2:$F$501,4,FALSE),"-")</f>
        <v>-</v>
      </c>
      <c r="J902" s="5" t="str">
        <f>IFERROR(VLOOKUP(A902,取得元!$A$2:$F$501,5,FALSE),"-")</f>
        <v>-</v>
      </c>
      <c r="K902" s="25" t="str">
        <f>IFERROR(VLOOKUP(A902,取得元!$A$2:$F$501,6,FALSE)/100,"-")</f>
        <v>-</v>
      </c>
      <c r="L902" s="21">
        <f>_xll.RssMarket(A902,"始値")</f>
        <v>332</v>
      </c>
      <c r="M902" s="4">
        <f t="shared" si="80"/>
        <v>9.0361445783131433E-3</v>
      </c>
      <c r="N902" s="21">
        <f>_xll.RssMarket(A902,"高値")</f>
        <v>339</v>
      </c>
      <c r="O902" s="4">
        <f t="shared" si="81"/>
        <v>-1.179941002949858E-2</v>
      </c>
      <c r="P902" s="21">
        <f>_xll.RssMarket(A902,"安値")</f>
        <v>322</v>
      </c>
      <c r="Q902" s="4">
        <f t="shared" si="82"/>
        <v>4.0372670807453437E-2</v>
      </c>
      <c r="R902" s="21">
        <f>_xll.RssMarket(A902,"後場始値")</f>
        <v>325</v>
      </c>
      <c r="S902" s="25">
        <f t="shared" si="83"/>
        <v>3.076923076923066E-2</v>
      </c>
      <c r="T902" s="7">
        <f>_xll.RssMarket(A902,"出来高加重平均")</f>
        <v>330.24639999999999</v>
      </c>
      <c r="U902" s="4">
        <f t="shared" si="84"/>
        <v>1.4394100889517647E-2</v>
      </c>
      <c r="V902" s="21">
        <f>_xll.RssMarket(A902,"出来高")</f>
        <v>56800</v>
      </c>
      <c r="W902" s="21">
        <f>_xll.RssMarket(A902,"売買代金")</f>
        <v>18758</v>
      </c>
      <c r="X902" s="20" t="str">
        <f>_xll.RssMarket(A902,"決算発表日")</f>
        <v>2024/02/06</v>
      </c>
      <c r="Y902" s="26" t="str">
        <f>IF(C902&gt;_xll.RssMarket(A902,"年初来高値"),"○","×")</f>
        <v>×</v>
      </c>
      <c r="Z902" s="27" t="str">
        <f>IF(C902&lt;=_xll.RssMarket(A902,"年初来安値"),"○","×")</f>
        <v>×</v>
      </c>
    </row>
    <row r="903" spans="1:26" x14ac:dyDescent="0.25">
      <c r="A903" s="49">
        <v>7544</v>
      </c>
      <c r="B903" s="20" t="str">
        <f>_xll.RssMarket(A903,"銘柄名称")</f>
        <v>スリーエフ</v>
      </c>
      <c r="C903" s="21">
        <f>_xll.RssMarket(A903,"現在値")</f>
        <v>430</v>
      </c>
      <c r="D903" s="20" t="str">
        <f>_xll.RssMarket(A903,"現在値詳細時刻")</f>
        <v>15:00:00</v>
      </c>
      <c r="E903" s="22">
        <f>_xll.RssMarket(A903,"前日比")</f>
        <v>30</v>
      </c>
      <c r="F903" s="23">
        <f>_xll.RssMarket(A903,"前日比率")/100</f>
        <v>7.4999999999999997E-2</v>
      </c>
      <c r="G903" s="24" t="str">
        <f>IFERROR(VLOOKUP(A903,取得元!$A$2:$F$501,2,FALSE),"-")</f>
        <v>-</v>
      </c>
      <c r="H903" s="24" t="str">
        <f>IFERROR(VLOOKUP(A903,取得元!$A$2:$F$501,3,FALSE),"-")</f>
        <v>-</v>
      </c>
      <c r="I903" s="24" t="str">
        <f>IFERROR(VLOOKUP(A903,取得元!$A$2:$F$501,4,FALSE),"-")</f>
        <v>-</v>
      </c>
      <c r="J903" s="5" t="str">
        <f>IFERROR(VLOOKUP(A903,取得元!$A$2:$F$501,5,FALSE),"-")</f>
        <v>-</v>
      </c>
      <c r="K903" s="25" t="str">
        <f>IFERROR(VLOOKUP(A903,取得元!$A$2:$F$501,6,FALSE)/100,"-")</f>
        <v>-</v>
      </c>
      <c r="L903" s="21">
        <f>_xll.RssMarket(A903,"始値")</f>
        <v>433</v>
      </c>
      <c r="M903" s="4">
        <f t="shared" si="80"/>
        <v>-6.9284064665127154E-3</v>
      </c>
      <c r="N903" s="21">
        <f>_xll.RssMarket(A903,"高値")</f>
        <v>487</v>
      </c>
      <c r="O903" s="4">
        <f t="shared" si="81"/>
        <v>-0.11704312114989734</v>
      </c>
      <c r="P903" s="21">
        <f>_xll.RssMarket(A903,"安値")</f>
        <v>428</v>
      </c>
      <c r="Q903" s="4">
        <f t="shared" si="82"/>
        <v>4.6728971962617383E-3</v>
      </c>
      <c r="R903" s="21">
        <f>_xll.RssMarket(A903,"後場始値")</f>
        <v>446</v>
      </c>
      <c r="S903" s="25">
        <f t="shared" si="83"/>
        <v>-3.5874439461883401E-2</v>
      </c>
      <c r="T903" s="7">
        <f>_xll.RssMarket(A903,"出来高加重平均")</f>
        <v>454.91239999999999</v>
      </c>
      <c r="U903" s="4">
        <f t="shared" si="84"/>
        <v>-5.4763070868149577E-2</v>
      </c>
      <c r="V903" s="21">
        <f>_xll.RssMarket(A903,"出来高")</f>
        <v>833600</v>
      </c>
      <c r="W903" s="21">
        <f>_xll.RssMarket(A903,"売買代金")</f>
        <v>379215</v>
      </c>
      <c r="X903" s="20" t="str">
        <f>_xll.RssMarket(A903,"決算発表日")</f>
        <v>2024/01/11</v>
      </c>
      <c r="Y903" s="26" t="str">
        <f>IF(C903&gt;_xll.RssMarket(A903,"年初来高値"),"○","×")</f>
        <v>×</v>
      </c>
      <c r="Z903" s="27" t="str">
        <f>IF(C903&lt;=_xll.RssMarket(A903,"年初来安値"),"○","×")</f>
        <v>×</v>
      </c>
    </row>
    <row r="904" spans="1:26" x14ac:dyDescent="0.25">
      <c r="A904" s="47">
        <v>7567</v>
      </c>
      <c r="B904" s="20" t="str">
        <f>_xll.RssMarket(A904,"銘柄名称")</f>
        <v>栄電子</v>
      </c>
      <c r="C904" s="21">
        <f>_xll.RssMarket(A904,"現在値")</f>
        <v>451</v>
      </c>
      <c r="D904" s="20" t="str">
        <f>_xll.RssMarket(A904,"現在値詳細時刻")</f>
        <v>15:00:00</v>
      </c>
      <c r="E904" s="22">
        <f>_xll.RssMarket(A904,"前日比")</f>
        <v>-1</v>
      </c>
      <c r="F904" s="23">
        <f>_xll.RssMarket(A904,"前日比率")/100</f>
        <v>-2.2000000000000001E-3</v>
      </c>
      <c r="G904" s="24" t="str">
        <f>IFERROR(VLOOKUP(A904,取得元!$A$2:$F$501,2,FALSE),"-")</f>
        <v>-</v>
      </c>
      <c r="H904" s="24" t="str">
        <f>IFERROR(VLOOKUP(A904,取得元!$A$2:$F$501,3,FALSE),"-")</f>
        <v>-</v>
      </c>
      <c r="I904" s="24" t="str">
        <f>IFERROR(VLOOKUP(A904,取得元!$A$2:$F$501,4,FALSE),"-")</f>
        <v>-</v>
      </c>
      <c r="J904" s="5" t="str">
        <f>IFERROR(VLOOKUP(A904,取得元!$A$2:$F$501,5,FALSE),"-")</f>
        <v>-</v>
      </c>
      <c r="K904" s="25" t="str">
        <f>IFERROR(VLOOKUP(A904,取得元!$A$2:$F$501,6,FALSE)/100,"-")</f>
        <v>-</v>
      </c>
      <c r="L904" s="21">
        <f>_xll.RssMarket(A904,"始値")</f>
        <v>452</v>
      </c>
      <c r="M904" s="4">
        <f t="shared" si="80"/>
        <v>-2.2123893805309214E-3</v>
      </c>
      <c r="N904" s="21">
        <f>_xll.RssMarket(A904,"高値")</f>
        <v>454</v>
      </c>
      <c r="O904" s="4">
        <f t="shared" si="81"/>
        <v>-6.6079295154185536E-3</v>
      </c>
      <c r="P904" s="21">
        <f>_xll.RssMarket(A904,"安値")</f>
        <v>451</v>
      </c>
      <c r="Q904" s="4">
        <f t="shared" si="82"/>
        <v>0</v>
      </c>
      <c r="R904" s="21">
        <f>_xll.RssMarket(A904,"後場始値")</f>
        <v>451</v>
      </c>
      <c r="S904" s="25">
        <f t="shared" si="83"/>
        <v>0</v>
      </c>
      <c r="T904" s="7">
        <f>_xll.RssMarket(A904,"出来高加重平均")</f>
        <v>451.5942</v>
      </c>
      <c r="U904" s="4">
        <f t="shared" si="84"/>
        <v>-1.3157830636443268E-3</v>
      </c>
      <c r="V904" s="21">
        <f>_xll.RssMarket(A904,"出来高")</f>
        <v>6900</v>
      </c>
      <c r="W904" s="21">
        <f>_xll.RssMarket(A904,"売買代金")</f>
        <v>3116</v>
      </c>
      <c r="X904" s="20" t="str">
        <f>_xll.RssMarket(A904,"決算発表日")</f>
        <v>2024/02/09</v>
      </c>
      <c r="Y904" s="26" t="str">
        <f>IF(C904&gt;_xll.RssMarket(A904,"年初来高値"),"○","×")</f>
        <v>×</v>
      </c>
      <c r="Z904" s="27" t="str">
        <f>IF(C904&lt;=_xll.RssMarket(A904,"年初来安値"),"○","×")</f>
        <v>×</v>
      </c>
    </row>
    <row r="905" spans="1:26" x14ac:dyDescent="0.25">
      <c r="A905" s="49">
        <v>7578</v>
      </c>
      <c r="B905" s="20" t="str">
        <f>_xll.RssMarket(A905,"銘柄名称")</f>
        <v>ニチリョク</v>
      </c>
      <c r="C905" s="21">
        <f>_xll.RssMarket(A905,"現在値")</f>
        <v>431</v>
      </c>
      <c r="D905" s="20" t="str">
        <f>_xll.RssMarket(A905,"現在値詳細時刻")</f>
        <v>15:00:00</v>
      </c>
      <c r="E905" s="22">
        <f>_xll.RssMarket(A905,"前日比")</f>
        <v>5</v>
      </c>
      <c r="F905" s="23">
        <f>_xll.RssMarket(A905,"前日比率")/100</f>
        <v>1.1699999999999999E-2</v>
      </c>
      <c r="G905" s="24" t="str">
        <f>IFERROR(VLOOKUP(A905,取得元!$A$2:$F$501,2,FALSE),"-")</f>
        <v>-</v>
      </c>
      <c r="H905" s="24" t="str">
        <f>IFERROR(VLOOKUP(A905,取得元!$A$2:$F$501,3,FALSE),"-")</f>
        <v>-</v>
      </c>
      <c r="I905" s="24" t="str">
        <f>IFERROR(VLOOKUP(A905,取得元!$A$2:$F$501,4,FALSE),"-")</f>
        <v>-</v>
      </c>
      <c r="J905" s="5" t="str">
        <f>IFERROR(VLOOKUP(A905,取得元!$A$2:$F$501,5,FALSE),"-")</f>
        <v>-</v>
      </c>
      <c r="K905" s="25" t="str">
        <f>IFERROR(VLOOKUP(A905,取得元!$A$2:$F$501,6,FALSE)/100,"-")</f>
        <v>-</v>
      </c>
      <c r="L905" s="21">
        <f>_xll.RssMarket(A905,"始値")</f>
        <v>427</v>
      </c>
      <c r="M905" s="4">
        <f t="shared" si="80"/>
        <v>9.3676814988290502E-3</v>
      </c>
      <c r="N905" s="21">
        <f>_xll.RssMarket(A905,"高値")</f>
        <v>436</v>
      </c>
      <c r="O905" s="4">
        <f t="shared" si="81"/>
        <v>-1.1467889908256867E-2</v>
      </c>
      <c r="P905" s="21">
        <f>_xll.RssMarket(A905,"安値")</f>
        <v>421</v>
      </c>
      <c r="Q905" s="4">
        <f t="shared" si="82"/>
        <v>2.3752969121140222E-2</v>
      </c>
      <c r="R905" s="21">
        <f>_xll.RssMarket(A905,"後場始値")</f>
        <v>425</v>
      </c>
      <c r="S905" s="25">
        <f t="shared" si="83"/>
        <v>1.4117647058823568E-2</v>
      </c>
      <c r="T905" s="7">
        <f>_xll.RssMarket(A905,"出来高加重平均")</f>
        <v>429.79289999999997</v>
      </c>
      <c r="U905" s="4">
        <f t="shared" si="84"/>
        <v>2.8085619841555776E-3</v>
      </c>
      <c r="V905" s="21">
        <f>_xll.RssMarket(A905,"出来高")</f>
        <v>62800</v>
      </c>
      <c r="W905" s="21">
        <f>_xll.RssMarket(A905,"売買代金")</f>
        <v>26991</v>
      </c>
      <c r="X905" s="20" t="str">
        <f>_xll.RssMarket(A905,"決算発表日")</f>
        <v>2024/02/09</v>
      </c>
      <c r="Y905" s="26" t="str">
        <f>IF(C905&gt;_xll.RssMarket(A905,"年初来高値"),"○","×")</f>
        <v>×</v>
      </c>
      <c r="Z905" s="27" t="str">
        <f>IF(C905&lt;=_xll.RssMarket(A905,"年初来安値"),"○","×")</f>
        <v>×</v>
      </c>
    </row>
    <row r="906" spans="1:26" x14ac:dyDescent="0.25">
      <c r="A906" s="47">
        <v>7585</v>
      </c>
      <c r="B906" s="20" t="str">
        <f>_xll.RssMarket(A906,"銘柄名称")</f>
        <v>かんなん丸</v>
      </c>
      <c r="C906" s="21">
        <f>_xll.RssMarket(A906,"現在値")</f>
        <v>391</v>
      </c>
      <c r="D906" s="20" t="str">
        <f>_xll.RssMarket(A906,"現在値詳細時刻")</f>
        <v>14:57:52</v>
      </c>
      <c r="E906" s="22">
        <f>_xll.RssMarket(A906,"前日比")</f>
        <v>-2</v>
      </c>
      <c r="F906" s="23">
        <f>_xll.RssMarket(A906,"前日比率")/100</f>
        <v>-5.1000000000000004E-3</v>
      </c>
      <c r="G906" s="24" t="str">
        <f>IFERROR(VLOOKUP(A906,取得元!$A$2:$F$501,2,FALSE),"-")</f>
        <v>-</v>
      </c>
      <c r="H906" s="24" t="str">
        <f>IFERROR(VLOOKUP(A906,取得元!$A$2:$F$501,3,FALSE),"-")</f>
        <v>-</v>
      </c>
      <c r="I906" s="24" t="str">
        <f>IFERROR(VLOOKUP(A906,取得元!$A$2:$F$501,4,FALSE),"-")</f>
        <v>-</v>
      </c>
      <c r="J906" s="5" t="str">
        <f>IFERROR(VLOOKUP(A906,取得元!$A$2:$F$501,5,FALSE),"-")</f>
        <v>-</v>
      </c>
      <c r="K906" s="25" t="str">
        <f>IFERROR(VLOOKUP(A906,取得元!$A$2:$F$501,6,FALSE)/100,"-")</f>
        <v>-</v>
      </c>
      <c r="L906" s="21">
        <f>_xll.RssMarket(A906,"始値")</f>
        <v>393</v>
      </c>
      <c r="M906" s="4">
        <f t="shared" si="80"/>
        <v>-5.0890585241730735E-3</v>
      </c>
      <c r="N906" s="21">
        <f>_xll.RssMarket(A906,"高値")</f>
        <v>395</v>
      </c>
      <c r="O906" s="4">
        <f t="shared" si="81"/>
        <v>-1.0126582278481067E-2</v>
      </c>
      <c r="P906" s="21">
        <f>_xll.RssMarket(A906,"安値")</f>
        <v>390</v>
      </c>
      <c r="Q906" s="4">
        <f t="shared" si="82"/>
        <v>2.564102564102555E-3</v>
      </c>
      <c r="R906" s="21">
        <f>_xll.RssMarket(A906,"後場始値")</f>
        <v>391</v>
      </c>
      <c r="S906" s="25">
        <f t="shared" si="83"/>
        <v>0</v>
      </c>
      <c r="T906" s="7">
        <f>_xll.RssMarket(A906,"出来高加重平均")</f>
        <v>392.90320000000003</v>
      </c>
      <c r="U906" s="4">
        <f t="shared" si="84"/>
        <v>-4.8439412048566499E-3</v>
      </c>
      <c r="V906" s="21">
        <f>_xll.RssMarket(A906,"出来高")</f>
        <v>3100</v>
      </c>
      <c r="W906" s="21">
        <f>_xll.RssMarket(A906,"売買代金")</f>
        <v>1218</v>
      </c>
      <c r="X906" s="20" t="str">
        <f>_xll.RssMarket(A906,"決算発表日")</f>
        <v>2024/02/13</v>
      </c>
      <c r="Y906" s="26" t="str">
        <f>IF(C906&gt;_xll.RssMarket(A906,"年初来高値"),"○","×")</f>
        <v>×</v>
      </c>
      <c r="Z906" s="27" t="str">
        <f>IF(C906&lt;=_xll.RssMarket(A906,"年初来安値"),"○","×")</f>
        <v>×</v>
      </c>
    </row>
    <row r="907" spans="1:26" x14ac:dyDescent="0.25">
      <c r="A907" s="49">
        <v>7590</v>
      </c>
      <c r="B907" s="20" t="str">
        <f>_xll.RssMarket(A907,"銘柄名称")</f>
        <v>タカショー</v>
      </c>
      <c r="C907" s="21">
        <f>_xll.RssMarket(A907,"現在値")</f>
        <v>497</v>
      </c>
      <c r="D907" s="20" t="str">
        <f>_xll.RssMarket(A907,"現在値詳細時刻")</f>
        <v>15:00:00</v>
      </c>
      <c r="E907" s="22">
        <f>_xll.RssMarket(A907,"前日比")</f>
        <v>-3</v>
      </c>
      <c r="F907" s="23">
        <f>_xll.RssMarket(A907,"前日比率")/100</f>
        <v>-6.0000000000000001E-3</v>
      </c>
      <c r="G907" s="24" t="str">
        <f>IFERROR(VLOOKUP(A907,取得元!$A$2:$F$501,2,FALSE),"-")</f>
        <v>-</v>
      </c>
      <c r="H907" s="24" t="str">
        <f>IFERROR(VLOOKUP(A907,取得元!$A$2:$F$501,3,FALSE),"-")</f>
        <v>-</v>
      </c>
      <c r="I907" s="24" t="str">
        <f>IFERROR(VLOOKUP(A907,取得元!$A$2:$F$501,4,FALSE),"-")</f>
        <v>-</v>
      </c>
      <c r="J907" s="5" t="str">
        <f>IFERROR(VLOOKUP(A907,取得元!$A$2:$F$501,5,FALSE),"-")</f>
        <v>-</v>
      </c>
      <c r="K907" s="25" t="str">
        <f>IFERROR(VLOOKUP(A907,取得元!$A$2:$F$501,6,FALSE)/100,"-")</f>
        <v>-</v>
      </c>
      <c r="L907" s="21">
        <f>_xll.RssMarket(A907,"始値")</f>
        <v>499</v>
      </c>
      <c r="M907" s="4">
        <f t="shared" si="80"/>
        <v>-4.0080160320641323E-3</v>
      </c>
      <c r="N907" s="21">
        <f>_xll.RssMarket(A907,"高値")</f>
        <v>501</v>
      </c>
      <c r="O907" s="4">
        <f t="shared" si="81"/>
        <v>-7.9840319361277334E-3</v>
      </c>
      <c r="P907" s="21">
        <f>_xll.RssMarket(A907,"安値")</f>
        <v>495</v>
      </c>
      <c r="Q907" s="4">
        <f t="shared" si="82"/>
        <v>4.0404040404040664E-3</v>
      </c>
      <c r="R907" s="21">
        <f>_xll.RssMarket(A907,"後場始値")</f>
        <v>499</v>
      </c>
      <c r="S907" s="25">
        <f t="shared" si="83"/>
        <v>-4.0080160320641323E-3</v>
      </c>
      <c r="T907" s="7">
        <f>_xll.RssMarket(A907,"出来高加重平均")</f>
        <v>497.56</v>
      </c>
      <c r="U907" s="4">
        <f t="shared" si="84"/>
        <v>-1.1254924029262536E-3</v>
      </c>
      <c r="V907" s="21">
        <f>_xll.RssMarket(A907,"出来高")</f>
        <v>25000</v>
      </c>
      <c r="W907" s="21">
        <f>_xll.RssMarket(A907,"売買代金")</f>
        <v>12439</v>
      </c>
      <c r="X907" s="20" t="str">
        <f>_xll.RssMarket(A907,"決算発表日")</f>
        <v>2024/03/05</v>
      </c>
      <c r="Y907" s="26" t="str">
        <f>IF(C907&gt;_xll.RssMarket(A907,"年初来高値"),"○","×")</f>
        <v>×</v>
      </c>
      <c r="Z907" s="27" t="str">
        <f>IF(C907&lt;=_xll.RssMarket(A907,"年初来安値"),"○","×")</f>
        <v>×</v>
      </c>
    </row>
    <row r="908" spans="1:26" x14ac:dyDescent="0.25">
      <c r="A908" s="47">
        <v>7593</v>
      </c>
      <c r="B908" s="20" t="str">
        <f>_xll.RssMarket(A908,"銘柄名称")</f>
        <v>ＶＴホールディングス</v>
      </c>
      <c r="C908" s="21">
        <f>_xll.RssMarket(A908,"現在値")</f>
        <v>532</v>
      </c>
      <c r="D908" s="20" t="str">
        <f>_xll.RssMarket(A908,"現在値詳細時刻")</f>
        <v>15:00:00</v>
      </c>
      <c r="E908" s="22">
        <f>_xll.RssMarket(A908,"前日比")</f>
        <v>1</v>
      </c>
      <c r="F908" s="23">
        <f>_xll.RssMarket(A908,"前日比率")/100</f>
        <v>1.9E-3</v>
      </c>
      <c r="G908" s="24" t="str">
        <f>IFERROR(VLOOKUP(A908,取得元!$A$2:$F$501,2,FALSE),"-")</f>
        <v>-</v>
      </c>
      <c r="H908" s="24" t="str">
        <f>IFERROR(VLOOKUP(A908,取得元!$A$2:$F$501,3,FALSE),"-")</f>
        <v>-</v>
      </c>
      <c r="I908" s="24" t="str">
        <f>IFERROR(VLOOKUP(A908,取得元!$A$2:$F$501,4,FALSE),"-")</f>
        <v>-</v>
      </c>
      <c r="J908" s="5" t="str">
        <f>IFERROR(VLOOKUP(A908,取得元!$A$2:$F$501,5,FALSE),"-")</f>
        <v>-</v>
      </c>
      <c r="K908" s="25" t="str">
        <f>IFERROR(VLOOKUP(A908,取得元!$A$2:$F$501,6,FALSE)/100,"-")</f>
        <v>-</v>
      </c>
      <c r="L908" s="21">
        <f>_xll.RssMarket(A908,"始値")</f>
        <v>530</v>
      </c>
      <c r="M908" s="4">
        <f t="shared" si="80"/>
        <v>3.7735849056603765E-3</v>
      </c>
      <c r="N908" s="21">
        <f>_xll.RssMarket(A908,"高値")</f>
        <v>532</v>
      </c>
      <c r="O908" s="4">
        <f t="shared" si="81"/>
        <v>0</v>
      </c>
      <c r="P908" s="21">
        <f>_xll.RssMarket(A908,"安値")</f>
        <v>530</v>
      </c>
      <c r="Q908" s="4">
        <f t="shared" si="82"/>
        <v>3.7735849056603765E-3</v>
      </c>
      <c r="R908" s="21">
        <f>_xll.RssMarket(A908,"後場始値")</f>
        <v>531</v>
      </c>
      <c r="S908" s="25">
        <f t="shared" si="83"/>
        <v>1.8832391713747842E-3</v>
      </c>
      <c r="T908" s="7">
        <f>_xll.RssMarket(A908,"出来高加重平均")</f>
        <v>531.43700000000001</v>
      </c>
      <c r="U908" s="4">
        <f t="shared" si="84"/>
        <v>1.059391799968834E-3</v>
      </c>
      <c r="V908" s="21">
        <f>_xll.RssMarket(A908,"出来高")</f>
        <v>151700</v>
      </c>
      <c r="W908" s="21">
        <f>_xll.RssMarket(A908,"売買代金")</f>
        <v>80619</v>
      </c>
      <c r="X908" s="20" t="str">
        <f>_xll.RssMarket(A908,"決算発表日")</f>
        <v>2024/02/14</v>
      </c>
      <c r="Y908" s="26" t="str">
        <f>IF(C908&gt;_xll.RssMarket(A908,"年初来高値"),"○","×")</f>
        <v>×</v>
      </c>
      <c r="Z908" s="27" t="str">
        <f>IF(C908&lt;=_xll.RssMarket(A908,"年初来安値"),"○","×")</f>
        <v>×</v>
      </c>
    </row>
    <row r="909" spans="1:26" x14ac:dyDescent="0.25">
      <c r="A909" s="49">
        <v>7601</v>
      </c>
      <c r="B909" s="20" t="str">
        <f>_xll.RssMarket(A909,"銘柄名称")</f>
        <v>ポプラ</v>
      </c>
      <c r="C909" s="21">
        <f>_xll.RssMarket(A909,"現在値")</f>
        <v>244</v>
      </c>
      <c r="D909" s="20" t="str">
        <f>_xll.RssMarket(A909,"現在値詳細時刻")</f>
        <v>15:00:00</v>
      </c>
      <c r="E909" s="22">
        <f>_xll.RssMarket(A909,"前日比")</f>
        <v>-1</v>
      </c>
      <c r="F909" s="23">
        <f>_xll.RssMarket(A909,"前日比率")/100</f>
        <v>-4.0999999999999995E-3</v>
      </c>
      <c r="G909" s="24" t="str">
        <f>IFERROR(VLOOKUP(A909,取得元!$A$2:$F$501,2,FALSE),"-")</f>
        <v>-</v>
      </c>
      <c r="H909" s="24" t="str">
        <f>IFERROR(VLOOKUP(A909,取得元!$A$2:$F$501,3,FALSE),"-")</f>
        <v>-</v>
      </c>
      <c r="I909" s="24" t="str">
        <f>IFERROR(VLOOKUP(A909,取得元!$A$2:$F$501,4,FALSE),"-")</f>
        <v>-</v>
      </c>
      <c r="J909" s="5" t="str">
        <f>IFERROR(VLOOKUP(A909,取得元!$A$2:$F$501,5,FALSE),"-")</f>
        <v>-</v>
      </c>
      <c r="K909" s="25" t="str">
        <f>IFERROR(VLOOKUP(A909,取得元!$A$2:$F$501,6,FALSE)/100,"-")</f>
        <v>-</v>
      </c>
      <c r="L909" s="21">
        <f>_xll.RssMarket(A909,"始値")</f>
        <v>259</v>
      </c>
      <c r="M909" s="4">
        <f t="shared" si="80"/>
        <v>-5.791505791505791E-2</v>
      </c>
      <c r="N909" s="21">
        <f>_xll.RssMarket(A909,"高値")</f>
        <v>267</v>
      </c>
      <c r="O909" s="4">
        <f t="shared" si="81"/>
        <v>-8.6142322097378266E-2</v>
      </c>
      <c r="P909" s="21">
        <f>_xll.RssMarket(A909,"安値")</f>
        <v>233</v>
      </c>
      <c r="Q909" s="4">
        <f t="shared" si="82"/>
        <v>4.7210300429184615E-2</v>
      </c>
      <c r="R909" s="21">
        <f>_xll.RssMarket(A909,"後場始値")</f>
        <v>249</v>
      </c>
      <c r="S909" s="25">
        <f t="shared" si="83"/>
        <v>-2.008032128514059E-2</v>
      </c>
      <c r="T909" s="7">
        <f>_xll.RssMarket(A909,"出来高加重平均")</f>
        <v>250.6533</v>
      </c>
      <c r="U909" s="4">
        <f t="shared" si="84"/>
        <v>-2.6543835648682901E-2</v>
      </c>
      <c r="V909" s="21">
        <f>_xll.RssMarket(A909,"出来高")</f>
        <v>1770800</v>
      </c>
      <c r="W909" s="21">
        <f>_xll.RssMarket(A909,"売買代金")</f>
        <v>443857</v>
      </c>
      <c r="X909" s="20" t="str">
        <f>_xll.RssMarket(A909,"決算発表日")</f>
        <v>2024/01/10</v>
      </c>
      <c r="Y909" s="26" t="str">
        <f>IF(C909&gt;_xll.RssMarket(A909,"年初来高値"),"○","×")</f>
        <v>×</v>
      </c>
      <c r="Z909" s="27" t="str">
        <f>IF(C909&lt;=_xll.RssMarket(A909,"年初来安値"),"○","×")</f>
        <v>×</v>
      </c>
    </row>
    <row r="910" spans="1:26" x14ac:dyDescent="0.25">
      <c r="A910" s="47">
        <v>7602</v>
      </c>
      <c r="B910" s="20" t="str">
        <f>_xll.RssMarket(A910,"銘柄名称")</f>
        <v>カーチスホールディングス</v>
      </c>
      <c r="C910" s="21">
        <f>_xll.RssMarket(A910,"現在値")</f>
        <v>183</v>
      </c>
      <c r="D910" s="20" t="str">
        <f>_xll.RssMarket(A910,"現在値詳細時刻")</f>
        <v>15:00:00</v>
      </c>
      <c r="E910" s="22">
        <f>_xll.RssMarket(A910,"前日比")</f>
        <v>1</v>
      </c>
      <c r="F910" s="23">
        <f>_xll.RssMarket(A910,"前日比率")/100</f>
        <v>5.5000000000000005E-3</v>
      </c>
      <c r="G910" s="24" t="str">
        <f>IFERROR(VLOOKUP(A910,取得元!$A$2:$F$501,2,FALSE),"-")</f>
        <v>-</v>
      </c>
      <c r="H910" s="24" t="str">
        <f>IFERROR(VLOOKUP(A910,取得元!$A$2:$F$501,3,FALSE),"-")</f>
        <v>-</v>
      </c>
      <c r="I910" s="24" t="str">
        <f>IFERROR(VLOOKUP(A910,取得元!$A$2:$F$501,4,FALSE),"-")</f>
        <v>-</v>
      </c>
      <c r="J910" s="5" t="str">
        <f>IFERROR(VLOOKUP(A910,取得元!$A$2:$F$501,5,FALSE),"-")</f>
        <v>-</v>
      </c>
      <c r="K910" s="25" t="str">
        <f>IFERROR(VLOOKUP(A910,取得元!$A$2:$F$501,6,FALSE)/100,"-")</f>
        <v>-</v>
      </c>
      <c r="L910" s="21">
        <f>_xll.RssMarket(A910,"始値")</f>
        <v>180</v>
      </c>
      <c r="M910" s="4">
        <f t="shared" si="80"/>
        <v>1.6666666666666607E-2</v>
      </c>
      <c r="N910" s="21">
        <f>_xll.RssMarket(A910,"高値")</f>
        <v>183</v>
      </c>
      <c r="O910" s="4">
        <f t="shared" si="81"/>
        <v>0</v>
      </c>
      <c r="P910" s="21">
        <f>_xll.RssMarket(A910,"安値")</f>
        <v>179</v>
      </c>
      <c r="Q910" s="4">
        <f t="shared" si="82"/>
        <v>2.2346368715083775E-2</v>
      </c>
      <c r="R910" s="21">
        <f>_xll.RssMarket(A910,"後場始値")</f>
        <v>180</v>
      </c>
      <c r="S910" s="25">
        <f t="shared" si="83"/>
        <v>1.6666666666666607E-2</v>
      </c>
      <c r="T910" s="7">
        <f>_xll.RssMarket(A910,"出来高加重平均")</f>
        <v>181.2422</v>
      </c>
      <c r="U910" s="4">
        <f t="shared" si="84"/>
        <v>9.6986242718306581E-3</v>
      </c>
      <c r="V910" s="21">
        <f>_xll.RssMarket(A910,"出来高")</f>
        <v>16100</v>
      </c>
      <c r="W910" s="21">
        <f>_xll.RssMarket(A910,"売買代金")</f>
        <v>2918</v>
      </c>
      <c r="X910" s="20" t="str">
        <f>_xll.RssMarket(A910,"決算発表日")</f>
        <v>2024/02/14</v>
      </c>
      <c r="Y910" s="26" t="str">
        <f>IF(C910&gt;_xll.RssMarket(A910,"年初来高値"),"○","×")</f>
        <v>×</v>
      </c>
      <c r="Z910" s="27" t="str">
        <f>IF(C910&lt;=_xll.RssMarket(A910,"年初来安値"),"○","×")</f>
        <v>×</v>
      </c>
    </row>
    <row r="911" spans="1:26" x14ac:dyDescent="0.25">
      <c r="A911" s="49">
        <v>7605</v>
      </c>
      <c r="B911" s="20" t="str">
        <f>_xll.RssMarket(A911,"銘柄名称")</f>
        <v>フジ・コーポレーション</v>
      </c>
      <c r="C911" s="21">
        <f>_xll.RssMarket(A911,"現在値")</f>
        <v>1769</v>
      </c>
      <c r="D911" s="20" t="str">
        <f>_xll.RssMarket(A911,"現在値詳細時刻")</f>
        <v>15:00:00</v>
      </c>
      <c r="E911" s="22">
        <f>_xll.RssMarket(A911,"前日比")</f>
        <v>21</v>
      </c>
      <c r="F911" s="23">
        <f>_xll.RssMarket(A911,"前日比率")/100</f>
        <v>1.2E-2</v>
      </c>
      <c r="G911" s="24" t="str">
        <f>IFERROR(VLOOKUP(A911,取得元!$A$2:$F$501,2,FALSE),"-")</f>
        <v>-</v>
      </c>
      <c r="H911" s="24" t="str">
        <f>IFERROR(VLOOKUP(A911,取得元!$A$2:$F$501,3,FALSE),"-")</f>
        <v>-</v>
      </c>
      <c r="I911" s="24" t="str">
        <f>IFERROR(VLOOKUP(A911,取得元!$A$2:$F$501,4,FALSE),"-")</f>
        <v>-</v>
      </c>
      <c r="J911" s="5" t="str">
        <f>IFERROR(VLOOKUP(A911,取得元!$A$2:$F$501,5,FALSE),"-")</f>
        <v>-</v>
      </c>
      <c r="K911" s="25" t="str">
        <f>IFERROR(VLOOKUP(A911,取得元!$A$2:$F$501,6,FALSE)/100,"-")</f>
        <v>-</v>
      </c>
      <c r="L911" s="21">
        <f>_xll.RssMarket(A911,"始値")</f>
        <v>1742</v>
      </c>
      <c r="M911" s="4">
        <f t="shared" si="80"/>
        <v>1.5499425947187229E-2</v>
      </c>
      <c r="N911" s="21">
        <f>_xll.RssMarket(A911,"高値")</f>
        <v>1771</v>
      </c>
      <c r="O911" s="4">
        <f t="shared" si="81"/>
        <v>-1.1293054771315258E-3</v>
      </c>
      <c r="P911" s="21">
        <f>_xll.RssMarket(A911,"安値")</f>
        <v>1742</v>
      </c>
      <c r="Q911" s="4">
        <f t="shared" si="82"/>
        <v>1.5499425947187229E-2</v>
      </c>
      <c r="R911" s="21">
        <f>_xll.RssMarket(A911,"後場始値")</f>
        <v>1758</v>
      </c>
      <c r="S911" s="25">
        <f t="shared" si="83"/>
        <v>6.2571103526734007E-3</v>
      </c>
      <c r="T911" s="7">
        <f>_xll.RssMarket(A911,"出来高加重平均")</f>
        <v>1761.3933999999999</v>
      </c>
      <c r="U911" s="4">
        <f t="shared" si="84"/>
        <v>4.3185128319431776E-3</v>
      </c>
      <c r="V911" s="21">
        <f>_xll.RssMarket(A911,"出来高")</f>
        <v>12200</v>
      </c>
      <c r="W911" s="21">
        <f>_xll.RssMarket(A911,"売買代金")</f>
        <v>21489</v>
      </c>
      <c r="X911" s="20" t="str">
        <f>_xll.RssMarket(A911,"決算発表日")</f>
        <v>-</v>
      </c>
      <c r="Y911" s="26" t="str">
        <f>IF(C911&gt;_xll.RssMarket(A911,"年初来高値"),"○","×")</f>
        <v>×</v>
      </c>
      <c r="Z911" s="27" t="str">
        <f>IF(C911&lt;=_xll.RssMarket(A911,"年初来安値"),"○","×")</f>
        <v>×</v>
      </c>
    </row>
    <row r="912" spans="1:26" x14ac:dyDescent="0.25">
      <c r="A912" s="47">
        <v>7610</v>
      </c>
      <c r="B912" s="20" t="str">
        <f>_xll.RssMarket(A912,"銘柄名称")</f>
        <v>テイツー</v>
      </c>
      <c r="C912" s="21">
        <f>_xll.RssMarket(A912,"現在値")</f>
        <v>129</v>
      </c>
      <c r="D912" s="20" t="str">
        <f>_xll.RssMarket(A912,"現在値詳細時刻")</f>
        <v>15:00:00</v>
      </c>
      <c r="E912" s="22">
        <f>_xll.RssMarket(A912,"前日比")</f>
        <v>0</v>
      </c>
      <c r="F912" s="23">
        <f>_xll.RssMarket(A912,"前日比率")/100</f>
        <v>0</v>
      </c>
      <c r="G912" s="24" t="str">
        <f>IFERROR(VLOOKUP(A912,取得元!$A$2:$F$501,2,FALSE),"-")</f>
        <v>-</v>
      </c>
      <c r="H912" s="24" t="str">
        <f>IFERROR(VLOOKUP(A912,取得元!$A$2:$F$501,3,FALSE),"-")</f>
        <v>-</v>
      </c>
      <c r="I912" s="24" t="str">
        <f>IFERROR(VLOOKUP(A912,取得元!$A$2:$F$501,4,FALSE),"-")</f>
        <v>-</v>
      </c>
      <c r="J912" s="5" t="str">
        <f>IFERROR(VLOOKUP(A912,取得元!$A$2:$F$501,5,FALSE),"-")</f>
        <v>-</v>
      </c>
      <c r="K912" s="25" t="str">
        <f>IFERROR(VLOOKUP(A912,取得元!$A$2:$F$501,6,FALSE)/100,"-")</f>
        <v>-</v>
      </c>
      <c r="L912" s="21">
        <f>_xll.RssMarket(A912,"始値")</f>
        <v>129</v>
      </c>
      <c r="M912" s="4">
        <f t="shared" si="80"/>
        <v>0</v>
      </c>
      <c r="N912" s="21">
        <f>_xll.RssMarket(A912,"高値")</f>
        <v>131</v>
      </c>
      <c r="O912" s="4">
        <f t="shared" si="81"/>
        <v>-1.5267175572519109E-2</v>
      </c>
      <c r="P912" s="21">
        <f>_xll.RssMarket(A912,"安値")</f>
        <v>128</v>
      </c>
      <c r="Q912" s="4">
        <f t="shared" si="82"/>
        <v>7.8125E-3</v>
      </c>
      <c r="R912" s="21">
        <f>_xll.RssMarket(A912,"後場始値")</f>
        <v>131</v>
      </c>
      <c r="S912" s="25">
        <f t="shared" si="83"/>
        <v>-1.5267175572519109E-2</v>
      </c>
      <c r="T912" s="7">
        <f>_xll.RssMarket(A912,"出来高加重平均")</f>
        <v>129.58269999999999</v>
      </c>
      <c r="U912" s="4">
        <f t="shared" si="84"/>
        <v>-4.4967422348816122E-3</v>
      </c>
      <c r="V912" s="21">
        <f>_xll.RssMarket(A912,"出来高")</f>
        <v>798100</v>
      </c>
      <c r="W912" s="21">
        <f>_xll.RssMarket(A912,"売買代金")</f>
        <v>103420</v>
      </c>
      <c r="X912" s="20" t="str">
        <f>_xll.RssMarket(A912,"決算発表日")</f>
        <v>2024/01/15</v>
      </c>
      <c r="Y912" s="26" t="str">
        <f>IF(C912&gt;_xll.RssMarket(A912,"年初来高値"),"○","×")</f>
        <v>×</v>
      </c>
      <c r="Z912" s="27" t="str">
        <f>IF(C912&lt;=_xll.RssMarket(A912,"年初来安値"),"○","×")</f>
        <v>×</v>
      </c>
    </row>
    <row r="913" spans="1:26" x14ac:dyDescent="0.25">
      <c r="A913" s="49">
        <v>7615</v>
      </c>
      <c r="B913" s="20" t="str">
        <f>_xll.RssMarket(A913,"銘柄名称")</f>
        <v>ＹＵ－ＷＡＣＲＥＡＴＩＯＮＨ</v>
      </c>
      <c r="C913" s="21">
        <f>_xll.RssMarket(A913,"現在値")</f>
        <v>145</v>
      </c>
      <c r="D913" s="20" t="str">
        <f>_xll.RssMarket(A913,"現在値詳細時刻")</f>
        <v>15:00:00</v>
      </c>
      <c r="E913" s="22">
        <f>_xll.RssMarket(A913,"前日比")</f>
        <v>0</v>
      </c>
      <c r="F913" s="23">
        <f>_xll.RssMarket(A913,"前日比率")/100</f>
        <v>0</v>
      </c>
      <c r="G913" s="24" t="str">
        <f>IFERROR(VLOOKUP(A913,取得元!$A$2:$F$501,2,FALSE),"-")</f>
        <v>-</v>
      </c>
      <c r="H913" s="24" t="str">
        <f>IFERROR(VLOOKUP(A913,取得元!$A$2:$F$501,3,FALSE),"-")</f>
        <v>-</v>
      </c>
      <c r="I913" s="24" t="str">
        <f>IFERROR(VLOOKUP(A913,取得元!$A$2:$F$501,4,FALSE),"-")</f>
        <v>-</v>
      </c>
      <c r="J913" s="5" t="str">
        <f>IFERROR(VLOOKUP(A913,取得元!$A$2:$F$501,5,FALSE),"-")</f>
        <v>-</v>
      </c>
      <c r="K913" s="25" t="str">
        <f>IFERROR(VLOOKUP(A913,取得元!$A$2:$F$501,6,FALSE)/100,"-")</f>
        <v>-</v>
      </c>
      <c r="L913" s="21">
        <f>_xll.RssMarket(A913,"始値")</f>
        <v>145</v>
      </c>
      <c r="M913" s="4">
        <f t="shared" si="80"/>
        <v>0</v>
      </c>
      <c r="N913" s="21">
        <f>_xll.RssMarket(A913,"高値")</f>
        <v>145</v>
      </c>
      <c r="O913" s="4">
        <f t="shared" si="81"/>
        <v>0</v>
      </c>
      <c r="P913" s="21">
        <f>_xll.RssMarket(A913,"安値")</f>
        <v>143</v>
      </c>
      <c r="Q913" s="4">
        <f t="shared" si="82"/>
        <v>1.3986013986013957E-2</v>
      </c>
      <c r="R913" s="21">
        <f>_xll.RssMarket(A913,"後場始値")</f>
        <v>145</v>
      </c>
      <c r="S913" s="25">
        <f t="shared" si="83"/>
        <v>0</v>
      </c>
      <c r="T913" s="7">
        <f>_xll.RssMarket(A913,"出来高加重平均")</f>
        <v>144.28569999999999</v>
      </c>
      <c r="U913" s="4">
        <f t="shared" si="84"/>
        <v>4.9505945495638137E-3</v>
      </c>
      <c r="V913" s="21">
        <f>_xll.RssMarket(A913,"出来高")</f>
        <v>90300</v>
      </c>
      <c r="W913" s="21">
        <f>_xll.RssMarket(A913,"売買代金")</f>
        <v>13029</v>
      </c>
      <c r="X913" s="20" t="str">
        <f>_xll.RssMarket(A913,"決算発表日")</f>
        <v>2024/02/07</v>
      </c>
      <c r="Y913" s="26" t="str">
        <f>IF(C913&gt;_xll.RssMarket(A913,"年初来高値"),"○","×")</f>
        <v>×</v>
      </c>
      <c r="Z913" s="27" t="str">
        <f>IF(C913&lt;=_xll.RssMarket(A913,"年初来安値"),"○","×")</f>
        <v>×</v>
      </c>
    </row>
    <row r="914" spans="1:26" x14ac:dyDescent="0.25">
      <c r="A914" s="48"/>
      <c r="B914" s="20" t="str">
        <f>_xll.RssMarket(A914,"銘柄名称")</f>
        <v/>
      </c>
      <c r="C914" s="21" t="str">
        <f>_xll.RssMarket(A914,"現在値")</f>
        <v/>
      </c>
      <c r="D914" s="20" t="str">
        <f>_xll.RssMarket(A914,"現在値詳細時刻")</f>
        <v/>
      </c>
      <c r="E914" s="22" t="str">
        <f>_xll.RssMarket(A914,"前日比")</f>
        <v/>
      </c>
      <c r="F914" s="23" t="e">
        <f>_xll.RssMarket(A914,"前日比率")/100</f>
        <v>#VALUE!</v>
      </c>
      <c r="G914" s="24" t="str">
        <f>IFERROR(VLOOKUP(A914,取得元!$A$2:$F$501,2,FALSE),"-")</f>
        <v>-</v>
      </c>
      <c r="H914" s="24" t="str">
        <f>IFERROR(VLOOKUP(A914,取得元!$A$2:$F$501,3,FALSE),"-")</f>
        <v>-</v>
      </c>
      <c r="I914" s="24" t="str">
        <f>IFERROR(VLOOKUP(A914,取得元!$A$2:$F$501,4,FALSE),"-")</f>
        <v>-</v>
      </c>
      <c r="J914" s="5" t="str">
        <f>IFERROR(VLOOKUP(A914,取得元!$A$2:$F$501,5,FALSE),"-")</f>
        <v>-</v>
      </c>
      <c r="K914" s="25" t="str">
        <f>IFERROR(VLOOKUP(A914,取得元!$A$2:$F$501,6,FALSE)/100,"-")</f>
        <v>-</v>
      </c>
      <c r="L914" s="21" t="str">
        <f>_xll.RssMarket(A914,"始値")</f>
        <v/>
      </c>
      <c r="M914" s="4" t="e">
        <f t="shared" si="80"/>
        <v>#VALUE!</v>
      </c>
      <c r="N914" s="21" t="str">
        <f>_xll.RssMarket(A914,"高値")</f>
        <v/>
      </c>
      <c r="O914" s="4" t="e">
        <f t="shared" si="81"/>
        <v>#VALUE!</v>
      </c>
      <c r="P914" s="21" t="str">
        <f>_xll.RssMarket(A914,"安値")</f>
        <v/>
      </c>
      <c r="Q914" s="4" t="e">
        <f t="shared" si="82"/>
        <v>#VALUE!</v>
      </c>
      <c r="R914" s="21" t="str">
        <f>_xll.RssMarket(A914,"後場始値")</f>
        <v/>
      </c>
      <c r="S914" s="25" t="str">
        <f t="shared" si="83"/>
        <v>-</v>
      </c>
      <c r="T914" s="7" t="str">
        <f>_xll.RssMarket(A914,"出来高加重平均")</f>
        <v/>
      </c>
      <c r="U914" s="4" t="e">
        <f t="shared" si="84"/>
        <v>#VALUE!</v>
      </c>
      <c r="V914" s="21" t="str">
        <f>_xll.RssMarket(A914,"出来高")</f>
        <v/>
      </c>
      <c r="W914" s="21" t="str">
        <f>_xll.RssMarket(A914,"売買代金")</f>
        <v/>
      </c>
      <c r="X914" s="20" t="str">
        <f>_xll.RssMarket(A914,"決算発表日")</f>
        <v/>
      </c>
      <c r="Y914" s="26" t="str">
        <f>IF(C914&gt;_xll.RssMarket(A914,"年初来高値"),"○","×")</f>
        <v>×</v>
      </c>
      <c r="Z914" s="27" t="str">
        <f>IF(C914&lt;=_xll.RssMarket(A914,"年初来安値"),"○","×")</f>
        <v>○</v>
      </c>
    </row>
    <row r="915" spans="1:26" x14ac:dyDescent="0.25">
      <c r="A915" s="49">
        <v>7623</v>
      </c>
      <c r="B915" s="20" t="str">
        <f>_xll.RssMarket(A915,"銘柄名称")</f>
        <v>サンオータス</v>
      </c>
      <c r="C915" s="21">
        <f>_xll.RssMarket(A915,"現在値")</f>
        <v>585</v>
      </c>
      <c r="D915" s="20" t="str">
        <f>_xll.RssMarket(A915,"現在値詳細時刻")</f>
        <v>15:00:00</v>
      </c>
      <c r="E915" s="22">
        <f>_xll.RssMarket(A915,"前日比")</f>
        <v>-7</v>
      </c>
      <c r="F915" s="23">
        <f>_xll.RssMarket(A915,"前日比率")/100</f>
        <v>-1.18E-2</v>
      </c>
      <c r="G915" s="24" t="str">
        <f>IFERROR(VLOOKUP(A915,取得元!$A$2:$F$501,2,FALSE),"-")</f>
        <v>-</v>
      </c>
      <c r="H915" s="24" t="str">
        <f>IFERROR(VLOOKUP(A915,取得元!$A$2:$F$501,3,FALSE),"-")</f>
        <v>-</v>
      </c>
      <c r="I915" s="24" t="str">
        <f>IFERROR(VLOOKUP(A915,取得元!$A$2:$F$501,4,FALSE),"-")</f>
        <v>-</v>
      </c>
      <c r="J915" s="5" t="str">
        <f>IFERROR(VLOOKUP(A915,取得元!$A$2:$F$501,5,FALSE),"-")</f>
        <v>-</v>
      </c>
      <c r="K915" s="25" t="str">
        <f>IFERROR(VLOOKUP(A915,取得元!$A$2:$F$501,6,FALSE)/100,"-")</f>
        <v>-</v>
      </c>
      <c r="L915" s="21">
        <f>_xll.RssMarket(A915,"始値")</f>
        <v>593</v>
      </c>
      <c r="M915" s="4">
        <f t="shared" si="80"/>
        <v>-1.3490725126475533E-2</v>
      </c>
      <c r="N915" s="21">
        <f>_xll.RssMarket(A915,"高値")</f>
        <v>593</v>
      </c>
      <c r="O915" s="4">
        <f t="shared" si="81"/>
        <v>-1.3490725126475533E-2</v>
      </c>
      <c r="P915" s="21">
        <f>_xll.RssMarket(A915,"安値")</f>
        <v>585</v>
      </c>
      <c r="Q915" s="4">
        <f t="shared" si="82"/>
        <v>0</v>
      </c>
      <c r="R915" s="21">
        <f>_xll.RssMarket(A915,"後場始値")</f>
        <v>591</v>
      </c>
      <c r="S915" s="25">
        <f t="shared" si="83"/>
        <v>-1.0152284263959421E-2</v>
      </c>
      <c r="T915" s="7">
        <f>_xll.RssMarket(A915,"出来高加重平均")</f>
        <v>589.25</v>
      </c>
      <c r="U915" s="4">
        <f t="shared" si="84"/>
        <v>-7.2125583368688462E-3</v>
      </c>
      <c r="V915" s="21">
        <f>_xll.RssMarket(A915,"出来高")</f>
        <v>4000</v>
      </c>
      <c r="W915" s="21">
        <f>_xll.RssMarket(A915,"売買代金")</f>
        <v>2357</v>
      </c>
      <c r="X915" s="20" t="str">
        <f>_xll.RssMarket(A915,"決算発表日")</f>
        <v>2024/03/13</v>
      </c>
      <c r="Y915" s="26" t="str">
        <f>IF(C915&gt;_xll.RssMarket(A915,"年初来高値"),"○","×")</f>
        <v>×</v>
      </c>
      <c r="Z915" s="27" t="str">
        <f>IF(C915&lt;=_xll.RssMarket(A915,"年初来安値"),"○","×")</f>
        <v>×</v>
      </c>
    </row>
    <row r="916" spans="1:26" x14ac:dyDescent="0.25">
      <c r="A916" s="47">
        <v>7624</v>
      </c>
      <c r="B916" s="20" t="str">
        <f>_xll.RssMarket(A916,"銘柄名称")</f>
        <v>ＮａＩＴＯ</v>
      </c>
      <c r="C916" s="21">
        <f>_xll.RssMarket(A916,"現在値")</f>
        <v>144</v>
      </c>
      <c r="D916" s="20" t="str">
        <f>_xll.RssMarket(A916,"現在値詳細時刻")</f>
        <v>15:00:00</v>
      </c>
      <c r="E916" s="22">
        <f>_xll.RssMarket(A916,"前日比")</f>
        <v>-2</v>
      </c>
      <c r="F916" s="23">
        <f>_xll.RssMarket(A916,"前日比率")/100</f>
        <v>-1.37E-2</v>
      </c>
      <c r="G916" s="24" t="str">
        <f>IFERROR(VLOOKUP(A916,取得元!$A$2:$F$501,2,FALSE),"-")</f>
        <v>-</v>
      </c>
      <c r="H916" s="24" t="str">
        <f>IFERROR(VLOOKUP(A916,取得元!$A$2:$F$501,3,FALSE),"-")</f>
        <v>-</v>
      </c>
      <c r="I916" s="24" t="str">
        <f>IFERROR(VLOOKUP(A916,取得元!$A$2:$F$501,4,FALSE),"-")</f>
        <v>-</v>
      </c>
      <c r="J916" s="5" t="str">
        <f>IFERROR(VLOOKUP(A916,取得元!$A$2:$F$501,5,FALSE),"-")</f>
        <v>-</v>
      </c>
      <c r="K916" s="25" t="str">
        <f>IFERROR(VLOOKUP(A916,取得元!$A$2:$F$501,6,FALSE)/100,"-")</f>
        <v>-</v>
      </c>
      <c r="L916" s="21">
        <f>_xll.RssMarket(A916,"始値")</f>
        <v>146</v>
      </c>
      <c r="M916" s="4">
        <f t="shared" si="80"/>
        <v>-1.3698630136986356E-2</v>
      </c>
      <c r="N916" s="21">
        <f>_xll.RssMarket(A916,"高値")</f>
        <v>146</v>
      </c>
      <c r="O916" s="4">
        <f t="shared" si="81"/>
        <v>-1.3698630136986356E-2</v>
      </c>
      <c r="P916" s="21">
        <f>_xll.RssMarket(A916,"安値")</f>
        <v>144</v>
      </c>
      <c r="Q916" s="4">
        <f t="shared" si="82"/>
        <v>0</v>
      </c>
      <c r="R916" s="21">
        <f>_xll.RssMarket(A916,"後場始値")</f>
        <v>145</v>
      </c>
      <c r="S916" s="25">
        <f t="shared" si="83"/>
        <v>-6.8965517241379448E-3</v>
      </c>
      <c r="T916" s="7">
        <f>_xll.RssMarket(A916,"出来高加重平均")</f>
        <v>145</v>
      </c>
      <c r="U916" s="4">
        <f t="shared" si="84"/>
        <v>-6.8965517241379448E-3</v>
      </c>
      <c r="V916" s="21">
        <f>_xll.RssMarket(A916,"出来高")</f>
        <v>53200</v>
      </c>
      <c r="W916" s="21">
        <f>_xll.RssMarket(A916,"売買代金")</f>
        <v>7714</v>
      </c>
      <c r="X916" s="20" t="str">
        <f>_xll.RssMarket(A916,"決算発表日")</f>
        <v>-</v>
      </c>
      <c r="Y916" s="26" t="str">
        <f>IF(C916&gt;_xll.RssMarket(A916,"年初来高値"),"○","×")</f>
        <v>×</v>
      </c>
      <c r="Z916" s="27" t="str">
        <f>IF(C916&lt;=_xll.RssMarket(A916,"年初来安値"),"○","×")</f>
        <v>×</v>
      </c>
    </row>
    <row r="917" spans="1:26" x14ac:dyDescent="0.25">
      <c r="A917" s="49">
        <v>7640</v>
      </c>
      <c r="B917" s="20" t="str">
        <f>_xll.RssMarket(A917,"銘柄名称")</f>
        <v>トップカルチャー</v>
      </c>
      <c r="C917" s="21">
        <f>_xll.RssMarket(A917,"現在値")</f>
        <v>157</v>
      </c>
      <c r="D917" s="20" t="str">
        <f>_xll.RssMarket(A917,"現在値詳細時刻")</f>
        <v>15:00:00</v>
      </c>
      <c r="E917" s="22">
        <f>_xll.RssMarket(A917,"前日比")</f>
        <v>-1</v>
      </c>
      <c r="F917" s="23">
        <f>_xll.RssMarket(A917,"前日比率")/100</f>
        <v>-6.3E-3</v>
      </c>
      <c r="G917" s="24" t="str">
        <f>IFERROR(VLOOKUP(A917,取得元!$A$2:$F$501,2,FALSE),"-")</f>
        <v>-</v>
      </c>
      <c r="H917" s="24" t="str">
        <f>IFERROR(VLOOKUP(A917,取得元!$A$2:$F$501,3,FALSE),"-")</f>
        <v>-</v>
      </c>
      <c r="I917" s="24" t="str">
        <f>IFERROR(VLOOKUP(A917,取得元!$A$2:$F$501,4,FALSE),"-")</f>
        <v>-</v>
      </c>
      <c r="J917" s="5" t="str">
        <f>IFERROR(VLOOKUP(A917,取得元!$A$2:$F$501,5,FALSE),"-")</f>
        <v>-</v>
      </c>
      <c r="K917" s="25" t="str">
        <f>IFERROR(VLOOKUP(A917,取得元!$A$2:$F$501,6,FALSE)/100,"-")</f>
        <v>-</v>
      </c>
      <c r="L917" s="21">
        <f>_xll.RssMarket(A917,"始値")</f>
        <v>158</v>
      </c>
      <c r="M917" s="4">
        <f t="shared" si="80"/>
        <v>-6.3291139240506666E-3</v>
      </c>
      <c r="N917" s="21">
        <f>_xll.RssMarket(A917,"高値")</f>
        <v>158</v>
      </c>
      <c r="O917" s="4">
        <f t="shared" si="81"/>
        <v>-6.3291139240506666E-3</v>
      </c>
      <c r="P917" s="21">
        <f>_xll.RssMarket(A917,"安値")</f>
        <v>157</v>
      </c>
      <c r="Q917" s="4">
        <f t="shared" si="82"/>
        <v>0</v>
      </c>
      <c r="R917" s="21">
        <f>_xll.RssMarket(A917,"後場始値")</f>
        <v>157</v>
      </c>
      <c r="S917" s="25">
        <f t="shared" si="83"/>
        <v>0</v>
      </c>
      <c r="T917" s="7">
        <f>_xll.RssMarket(A917,"出来高加重平均")</f>
        <v>157.33099999999999</v>
      </c>
      <c r="U917" s="4">
        <f t="shared" si="84"/>
        <v>-2.103844760409479E-3</v>
      </c>
      <c r="V917" s="21">
        <f>_xll.RssMarket(A917,"出来高")</f>
        <v>29600</v>
      </c>
      <c r="W917" s="21">
        <f>_xll.RssMarket(A917,"売買代金")</f>
        <v>4657</v>
      </c>
      <c r="X917" s="20" t="str">
        <f>_xll.RssMarket(A917,"決算発表日")</f>
        <v>2024/03/14</v>
      </c>
      <c r="Y917" s="26" t="str">
        <f>IF(C917&gt;_xll.RssMarket(A917,"年初来高値"),"○","×")</f>
        <v>×</v>
      </c>
      <c r="Z917" s="27" t="str">
        <f>IF(C917&lt;=_xll.RssMarket(A917,"年初来安値"),"○","×")</f>
        <v>×</v>
      </c>
    </row>
    <row r="918" spans="1:26" x14ac:dyDescent="0.25">
      <c r="A918" s="47">
        <v>7647</v>
      </c>
      <c r="B918" s="20" t="str">
        <f>_xll.RssMarket(A918,"銘柄名称")</f>
        <v>音通</v>
      </c>
      <c r="C918" s="21">
        <f>_xll.RssMarket(A918,"現在値")</f>
        <v>26</v>
      </c>
      <c r="D918" s="20" t="str">
        <f>_xll.RssMarket(A918,"現在値詳細時刻")</f>
        <v>15:00:00</v>
      </c>
      <c r="E918" s="22">
        <f>_xll.RssMarket(A918,"前日比")</f>
        <v>0</v>
      </c>
      <c r="F918" s="23">
        <f>_xll.RssMarket(A918,"前日比率")/100</f>
        <v>0</v>
      </c>
      <c r="G918" s="24" t="str">
        <f>IFERROR(VLOOKUP(A918,取得元!$A$2:$F$501,2,FALSE),"-")</f>
        <v>-</v>
      </c>
      <c r="H918" s="24" t="str">
        <f>IFERROR(VLOOKUP(A918,取得元!$A$2:$F$501,3,FALSE),"-")</f>
        <v>-</v>
      </c>
      <c r="I918" s="24" t="str">
        <f>IFERROR(VLOOKUP(A918,取得元!$A$2:$F$501,4,FALSE),"-")</f>
        <v>-</v>
      </c>
      <c r="J918" s="5" t="str">
        <f>IFERROR(VLOOKUP(A918,取得元!$A$2:$F$501,5,FALSE),"-")</f>
        <v>-</v>
      </c>
      <c r="K918" s="25" t="str">
        <f>IFERROR(VLOOKUP(A918,取得元!$A$2:$F$501,6,FALSE)/100,"-")</f>
        <v>-</v>
      </c>
      <c r="L918" s="21">
        <f>_xll.RssMarket(A918,"始値")</f>
        <v>26</v>
      </c>
      <c r="M918" s="4">
        <f t="shared" ref="M918:M981" si="85">C918/L918-1</f>
        <v>0</v>
      </c>
      <c r="N918" s="21">
        <f>_xll.RssMarket(A918,"高値")</f>
        <v>26</v>
      </c>
      <c r="O918" s="4">
        <f t="shared" ref="O918:O981" si="86">C918/N918-1</f>
        <v>0</v>
      </c>
      <c r="P918" s="21">
        <f>_xll.RssMarket(A918,"安値")</f>
        <v>25</v>
      </c>
      <c r="Q918" s="4">
        <f t="shared" ref="Q918:Q981" si="87">C918/P918-1</f>
        <v>4.0000000000000036E-2</v>
      </c>
      <c r="R918" s="21">
        <f>_xll.RssMarket(A918,"後場始値")</f>
        <v>25</v>
      </c>
      <c r="S918" s="25">
        <f t="shared" ref="S918:S981" si="88">IFERROR(C918/R918-1,"-")</f>
        <v>4.0000000000000036E-2</v>
      </c>
      <c r="T918" s="7">
        <f>_xll.RssMarket(A918,"出来高加重平均")</f>
        <v>25.793800000000001</v>
      </c>
      <c r="U918" s="4">
        <f t="shared" ref="U918:U981" si="89">C918/T918-1</f>
        <v>7.9941691414215921E-3</v>
      </c>
      <c r="V918" s="21">
        <f>_xll.RssMarket(A918,"出来高")</f>
        <v>170677500</v>
      </c>
      <c r="W918" s="21">
        <f>_xll.RssMarket(A918,"売買代金")</f>
        <v>4402438</v>
      </c>
      <c r="X918" s="20" t="str">
        <f>_xll.RssMarket(A918,"決算発表日")</f>
        <v>2024/02/09</v>
      </c>
      <c r="Y918" s="26" t="str">
        <f>IF(C918&gt;_xll.RssMarket(A918,"年初来高値"),"○","×")</f>
        <v>×</v>
      </c>
      <c r="Z918" s="27" t="str">
        <f>IF(C918&lt;=_xll.RssMarket(A918,"年初来安値"),"○","×")</f>
        <v>×</v>
      </c>
    </row>
    <row r="919" spans="1:26" x14ac:dyDescent="0.25">
      <c r="A919" s="49">
        <v>7676</v>
      </c>
      <c r="B919" s="20" t="str">
        <f>_xll.RssMarket(A919,"銘柄名称")</f>
        <v>グッドスピード</v>
      </c>
      <c r="C919" s="21">
        <f>_xll.RssMarket(A919,"現在値")</f>
        <v>720</v>
      </c>
      <c r="D919" s="20" t="str">
        <f>_xll.RssMarket(A919,"現在値詳細時刻")</f>
        <v>15:00:00</v>
      </c>
      <c r="E919" s="22">
        <f>_xll.RssMarket(A919,"前日比")</f>
        <v>12</v>
      </c>
      <c r="F919" s="23">
        <f>_xll.RssMarket(A919,"前日比率")/100</f>
        <v>1.6899999999999998E-2</v>
      </c>
      <c r="G919" s="24" t="str">
        <f>IFERROR(VLOOKUP(A919,取得元!$A$2:$F$501,2,FALSE),"-")</f>
        <v>-</v>
      </c>
      <c r="H919" s="24" t="str">
        <f>IFERROR(VLOOKUP(A919,取得元!$A$2:$F$501,3,FALSE),"-")</f>
        <v>-</v>
      </c>
      <c r="I919" s="24" t="str">
        <f>IFERROR(VLOOKUP(A919,取得元!$A$2:$F$501,4,FALSE),"-")</f>
        <v>-</v>
      </c>
      <c r="J919" s="5" t="str">
        <f>IFERROR(VLOOKUP(A919,取得元!$A$2:$F$501,5,FALSE),"-")</f>
        <v>-</v>
      </c>
      <c r="K919" s="25" t="str">
        <f>IFERROR(VLOOKUP(A919,取得元!$A$2:$F$501,6,FALSE)/100,"-")</f>
        <v>-</v>
      </c>
      <c r="L919" s="21">
        <f>_xll.RssMarket(A919,"始値")</f>
        <v>705</v>
      </c>
      <c r="M919" s="4">
        <f t="shared" si="85"/>
        <v>2.1276595744680771E-2</v>
      </c>
      <c r="N919" s="21">
        <f>_xll.RssMarket(A919,"高値")</f>
        <v>725</v>
      </c>
      <c r="O919" s="4">
        <f t="shared" si="86"/>
        <v>-6.8965517241379448E-3</v>
      </c>
      <c r="P919" s="21">
        <f>_xll.RssMarket(A919,"安値")</f>
        <v>701</v>
      </c>
      <c r="Q919" s="4">
        <f t="shared" si="87"/>
        <v>2.7104136947218249E-2</v>
      </c>
      <c r="R919" s="21">
        <f>_xll.RssMarket(A919,"後場始値")</f>
        <v>702</v>
      </c>
      <c r="S919" s="25">
        <f t="shared" si="88"/>
        <v>2.564102564102555E-2</v>
      </c>
      <c r="T919" s="7">
        <f>_xll.RssMarket(A919,"出来高加重平均")</f>
        <v>712.96289999999999</v>
      </c>
      <c r="U919" s="4">
        <f t="shared" si="89"/>
        <v>9.8702190534738499E-3</v>
      </c>
      <c r="V919" s="21">
        <f>_xll.RssMarket(A919,"出来高")</f>
        <v>18900</v>
      </c>
      <c r="W919" s="21">
        <f>_xll.RssMarket(A919,"売買代金")</f>
        <v>13475</v>
      </c>
      <c r="X919" s="20" t="str">
        <f>_xll.RssMarket(A919,"決算発表日")</f>
        <v>-</v>
      </c>
      <c r="Y919" s="26" t="str">
        <f>IF(C919&gt;_xll.RssMarket(A919,"年初来高値"),"○","×")</f>
        <v>×</v>
      </c>
      <c r="Z919" s="27" t="str">
        <f>IF(C919&lt;=_xll.RssMarket(A919,"年初来安値"),"○","×")</f>
        <v>×</v>
      </c>
    </row>
    <row r="920" spans="1:26" x14ac:dyDescent="0.25">
      <c r="A920" s="47">
        <v>7692</v>
      </c>
      <c r="B920" s="20" t="str">
        <f>_xll.RssMarket(A920,"銘柄名称")</f>
        <v>アースインフィニティ</v>
      </c>
      <c r="C920" s="21">
        <f>_xll.RssMarket(A920,"現在値")</f>
        <v>62</v>
      </c>
      <c r="D920" s="20" t="str">
        <f>_xll.RssMarket(A920,"現在値詳細時刻")</f>
        <v>15:00:00</v>
      </c>
      <c r="E920" s="22">
        <f>_xll.RssMarket(A920,"前日比")</f>
        <v>-2</v>
      </c>
      <c r="F920" s="23">
        <f>_xll.RssMarket(A920,"前日比率")/100</f>
        <v>-3.1300000000000001E-2</v>
      </c>
      <c r="G920" s="24" t="str">
        <f>IFERROR(VLOOKUP(A920,取得元!$A$2:$F$501,2,FALSE),"-")</f>
        <v>-</v>
      </c>
      <c r="H920" s="24" t="str">
        <f>IFERROR(VLOOKUP(A920,取得元!$A$2:$F$501,3,FALSE),"-")</f>
        <v>-</v>
      </c>
      <c r="I920" s="24" t="str">
        <f>IFERROR(VLOOKUP(A920,取得元!$A$2:$F$501,4,FALSE),"-")</f>
        <v>-</v>
      </c>
      <c r="J920" s="5" t="str">
        <f>IFERROR(VLOOKUP(A920,取得元!$A$2:$F$501,5,FALSE),"-")</f>
        <v>-</v>
      </c>
      <c r="K920" s="25" t="str">
        <f>IFERROR(VLOOKUP(A920,取得元!$A$2:$F$501,6,FALSE)/100,"-")</f>
        <v>-</v>
      </c>
      <c r="L920" s="21">
        <f>_xll.RssMarket(A920,"始値")</f>
        <v>64</v>
      </c>
      <c r="M920" s="4">
        <f t="shared" si="85"/>
        <v>-3.125E-2</v>
      </c>
      <c r="N920" s="21">
        <f>_xll.RssMarket(A920,"高値")</f>
        <v>64</v>
      </c>
      <c r="O920" s="4">
        <f t="shared" si="86"/>
        <v>-3.125E-2</v>
      </c>
      <c r="P920" s="21">
        <f>_xll.RssMarket(A920,"安値")</f>
        <v>62</v>
      </c>
      <c r="Q920" s="4">
        <f t="shared" si="87"/>
        <v>0</v>
      </c>
      <c r="R920" s="21">
        <f>_xll.RssMarket(A920,"後場始値")</f>
        <v>63</v>
      </c>
      <c r="S920" s="25">
        <f t="shared" si="88"/>
        <v>-1.5873015873015928E-2</v>
      </c>
      <c r="T920" s="7">
        <f>_xll.RssMarket(A920,"出来高加重平均")</f>
        <v>62.823300000000003</v>
      </c>
      <c r="U920" s="4">
        <f t="shared" si="89"/>
        <v>-1.3105010402191586E-2</v>
      </c>
      <c r="V920" s="21">
        <f>_xll.RssMarket(A920,"出来高")</f>
        <v>659500</v>
      </c>
      <c r="W920" s="21">
        <f>_xll.RssMarket(A920,"売買代金")</f>
        <v>41432</v>
      </c>
      <c r="X920" s="20" t="str">
        <f>_xll.RssMarket(A920,"決算発表日")</f>
        <v>2024/03/15</v>
      </c>
      <c r="Y920" s="26" t="str">
        <f>IF(C920&gt;_xll.RssMarket(A920,"年初来高値"),"○","×")</f>
        <v>×</v>
      </c>
      <c r="Z920" s="27" t="str">
        <f>IF(C920&lt;=_xll.RssMarket(A920,"年初来安値"),"○","×")</f>
        <v>○</v>
      </c>
    </row>
    <row r="921" spans="1:26" x14ac:dyDescent="0.25">
      <c r="A921" s="49">
        <v>7709</v>
      </c>
      <c r="B921" s="20" t="str">
        <f>_xll.RssMarket(A921,"銘柄名称")</f>
        <v>クボテック</v>
      </c>
      <c r="C921" s="21">
        <f>_xll.RssMarket(A921,"現在値")</f>
        <v>255</v>
      </c>
      <c r="D921" s="20" t="str">
        <f>_xll.RssMarket(A921,"現在値詳細時刻")</f>
        <v>15:00:00</v>
      </c>
      <c r="E921" s="22">
        <f>_xll.RssMarket(A921,"前日比")</f>
        <v>0</v>
      </c>
      <c r="F921" s="23">
        <f>_xll.RssMarket(A921,"前日比率")/100</f>
        <v>0</v>
      </c>
      <c r="G921" s="24" t="str">
        <f>IFERROR(VLOOKUP(A921,取得元!$A$2:$F$501,2,FALSE),"-")</f>
        <v>-</v>
      </c>
      <c r="H921" s="24" t="str">
        <f>IFERROR(VLOOKUP(A921,取得元!$A$2:$F$501,3,FALSE),"-")</f>
        <v>-</v>
      </c>
      <c r="I921" s="24" t="str">
        <f>IFERROR(VLOOKUP(A921,取得元!$A$2:$F$501,4,FALSE),"-")</f>
        <v>-</v>
      </c>
      <c r="J921" s="5" t="str">
        <f>IFERROR(VLOOKUP(A921,取得元!$A$2:$F$501,5,FALSE),"-")</f>
        <v>-</v>
      </c>
      <c r="K921" s="25" t="str">
        <f>IFERROR(VLOOKUP(A921,取得元!$A$2:$F$501,6,FALSE)/100,"-")</f>
        <v>-</v>
      </c>
      <c r="L921" s="21">
        <f>_xll.RssMarket(A921,"始値")</f>
        <v>255</v>
      </c>
      <c r="M921" s="4">
        <f t="shared" si="85"/>
        <v>0</v>
      </c>
      <c r="N921" s="21">
        <f>_xll.RssMarket(A921,"高値")</f>
        <v>255</v>
      </c>
      <c r="O921" s="4">
        <f t="shared" si="86"/>
        <v>0</v>
      </c>
      <c r="P921" s="21">
        <f>_xll.RssMarket(A921,"安値")</f>
        <v>253</v>
      </c>
      <c r="Q921" s="4">
        <f t="shared" si="87"/>
        <v>7.905138339920903E-3</v>
      </c>
      <c r="R921" s="21">
        <f>_xll.RssMarket(A921,"後場始値")</f>
        <v>255</v>
      </c>
      <c r="S921" s="25">
        <f t="shared" si="88"/>
        <v>0</v>
      </c>
      <c r="T921" s="7">
        <f>_xll.RssMarket(A921,"出来高加重平均")</f>
        <v>253.84610000000001</v>
      </c>
      <c r="U921" s="4">
        <f t="shared" si="89"/>
        <v>4.5456676308992527E-3</v>
      </c>
      <c r="V921" s="21">
        <f>_xll.RssMarket(A921,"出来高")</f>
        <v>5200</v>
      </c>
      <c r="W921" s="21">
        <f>_xll.RssMarket(A921,"売買代金")</f>
        <v>1320</v>
      </c>
      <c r="X921" s="20" t="str">
        <f>_xll.RssMarket(A921,"決算発表日")</f>
        <v>2024/02/02</v>
      </c>
      <c r="Y921" s="26" t="str">
        <f>IF(C921&gt;_xll.RssMarket(A921,"年初来高値"),"○","×")</f>
        <v>×</v>
      </c>
      <c r="Z921" s="27" t="str">
        <f>IF(C921&lt;=_xll.RssMarket(A921,"年初来安値"),"○","×")</f>
        <v>×</v>
      </c>
    </row>
    <row r="922" spans="1:26" x14ac:dyDescent="0.25">
      <c r="A922" s="47">
        <v>7719</v>
      </c>
      <c r="B922" s="20" t="str">
        <f>_xll.RssMarket(A922,"銘柄名称")</f>
        <v>東京衡機</v>
      </c>
      <c r="C922" s="21">
        <f>_xll.RssMarket(A922,"現在値")</f>
        <v>215</v>
      </c>
      <c r="D922" s="20" t="str">
        <f>_xll.RssMarket(A922,"現在値詳細時刻")</f>
        <v>15:00:00</v>
      </c>
      <c r="E922" s="22">
        <f>_xll.RssMarket(A922,"前日比")</f>
        <v>-5</v>
      </c>
      <c r="F922" s="23">
        <f>_xll.RssMarket(A922,"前日比率")/100</f>
        <v>-2.2700000000000001E-2</v>
      </c>
      <c r="G922" s="24" t="str">
        <f>IFERROR(VLOOKUP(A922,取得元!$A$2:$F$501,2,FALSE),"-")</f>
        <v>-</v>
      </c>
      <c r="H922" s="24" t="str">
        <f>IFERROR(VLOOKUP(A922,取得元!$A$2:$F$501,3,FALSE),"-")</f>
        <v>-</v>
      </c>
      <c r="I922" s="24" t="str">
        <f>IFERROR(VLOOKUP(A922,取得元!$A$2:$F$501,4,FALSE),"-")</f>
        <v>-</v>
      </c>
      <c r="J922" s="5" t="str">
        <f>IFERROR(VLOOKUP(A922,取得元!$A$2:$F$501,5,FALSE),"-")</f>
        <v>-</v>
      </c>
      <c r="K922" s="25" t="str">
        <f>IFERROR(VLOOKUP(A922,取得元!$A$2:$F$501,6,FALSE)/100,"-")</f>
        <v>-</v>
      </c>
      <c r="L922" s="21">
        <f>_xll.RssMarket(A922,"始値")</f>
        <v>219</v>
      </c>
      <c r="M922" s="4">
        <f t="shared" si="85"/>
        <v>-1.8264840182648401E-2</v>
      </c>
      <c r="N922" s="21">
        <f>_xll.RssMarket(A922,"高値")</f>
        <v>219</v>
      </c>
      <c r="O922" s="4">
        <f t="shared" si="86"/>
        <v>-1.8264840182648401E-2</v>
      </c>
      <c r="P922" s="21">
        <f>_xll.RssMarket(A922,"安値")</f>
        <v>214</v>
      </c>
      <c r="Q922" s="4">
        <f t="shared" si="87"/>
        <v>4.6728971962617383E-3</v>
      </c>
      <c r="R922" s="21">
        <f>_xll.RssMarket(A922,"後場始値")</f>
        <v>216</v>
      </c>
      <c r="S922" s="25">
        <f t="shared" si="88"/>
        <v>-4.6296296296296502E-3</v>
      </c>
      <c r="T922" s="7">
        <f>_xll.RssMarket(A922,"出来高加重平均")</f>
        <v>215.6097</v>
      </c>
      <c r="U922" s="4">
        <f t="shared" si="89"/>
        <v>-2.827794853385579E-3</v>
      </c>
      <c r="V922" s="21">
        <f>_xll.RssMarket(A922,"出来高")</f>
        <v>57400</v>
      </c>
      <c r="W922" s="21">
        <f>_xll.RssMarket(A922,"売買代金")</f>
        <v>12376</v>
      </c>
      <c r="X922" s="20" t="str">
        <f>_xll.RssMarket(A922,"決算発表日")</f>
        <v>2024/01/12</v>
      </c>
      <c r="Y922" s="26" t="str">
        <f>IF(C922&gt;_xll.RssMarket(A922,"年初来高値"),"○","×")</f>
        <v>×</v>
      </c>
      <c r="Z922" s="27" t="str">
        <f>IF(C922&lt;=_xll.RssMarket(A922,"年初来安値"),"○","×")</f>
        <v>×</v>
      </c>
    </row>
    <row r="923" spans="1:26" x14ac:dyDescent="0.25">
      <c r="A923" s="49">
        <v>7722</v>
      </c>
      <c r="B923" s="20" t="str">
        <f>_xll.RssMarket(A923,"銘柄名称")</f>
        <v>国際計測器</v>
      </c>
      <c r="C923" s="21">
        <f>_xll.RssMarket(A923,"現在値")</f>
        <v>507</v>
      </c>
      <c r="D923" s="20" t="str">
        <f>_xll.RssMarket(A923,"現在値詳細時刻")</f>
        <v>14:59:56</v>
      </c>
      <c r="E923" s="22">
        <f>_xll.RssMarket(A923,"前日比")</f>
        <v>0</v>
      </c>
      <c r="F923" s="23">
        <f>_xll.RssMarket(A923,"前日比率")/100</f>
        <v>0</v>
      </c>
      <c r="G923" s="24" t="str">
        <f>IFERROR(VLOOKUP(A923,取得元!$A$2:$F$501,2,FALSE),"-")</f>
        <v>-</v>
      </c>
      <c r="H923" s="24" t="str">
        <f>IFERROR(VLOOKUP(A923,取得元!$A$2:$F$501,3,FALSE),"-")</f>
        <v>-</v>
      </c>
      <c r="I923" s="24" t="str">
        <f>IFERROR(VLOOKUP(A923,取得元!$A$2:$F$501,4,FALSE),"-")</f>
        <v>-</v>
      </c>
      <c r="J923" s="5" t="str">
        <f>IFERROR(VLOOKUP(A923,取得元!$A$2:$F$501,5,FALSE),"-")</f>
        <v>-</v>
      </c>
      <c r="K923" s="25" t="str">
        <f>IFERROR(VLOOKUP(A923,取得元!$A$2:$F$501,6,FALSE)/100,"-")</f>
        <v>-</v>
      </c>
      <c r="L923" s="21">
        <f>_xll.RssMarket(A923,"始値")</f>
        <v>507</v>
      </c>
      <c r="M923" s="4">
        <f t="shared" si="85"/>
        <v>0</v>
      </c>
      <c r="N923" s="21">
        <f>_xll.RssMarket(A923,"高値")</f>
        <v>508</v>
      </c>
      <c r="O923" s="4">
        <f t="shared" si="86"/>
        <v>-1.9685039370078705E-3</v>
      </c>
      <c r="P923" s="21">
        <f>_xll.RssMarket(A923,"安値")</f>
        <v>507</v>
      </c>
      <c r="Q923" s="4">
        <f t="shared" si="87"/>
        <v>0</v>
      </c>
      <c r="R923" s="21">
        <f>_xll.RssMarket(A923,"後場始値")</f>
        <v>508</v>
      </c>
      <c r="S923" s="25">
        <f t="shared" si="88"/>
        <v>-1.9685039370078705E-3</v>
      </c>
      <c r="T923" s="7">
        <f>_xll.RssMarket(A923,"出来高加重平均")</f>
        <v>507.5</v>
      </c>
      <c r="U923" s="4">
        <f t="shared" si="89"/>
        <v>-9.8522167487680168E-4</v>
      </c>
      <c r="V923" s="21">
        <f>_xll.RssMarket(A923,"出来高")</f>
        <v>1600</v>
      </c>
      <c r="W923" s="21">
        <f>_xll.RssMarket(A923,"売買代金")</f>
        <v>812</v>
      </c>
      <c r="X923" s="20" t="str">
        <f>_xll.RssMarket(A923,"決算発表日")</f>
        <v>2024/02/09</v>
      </c>
      <c r="Y923" s="26" t="str">
        <f>IF(C923&gt;_xll.RssMarket(A923,"年初来高値"),"○","×")</f>
        <v>×</v>
      </c>
      <c r="Z923" s="27" t="str">
        <f>IF(C923&lt;=_xll.RssMarket(A923,"年初来安値"),"○","×")</f>
        <v>×</v>
      </c>
    </row>
    <row r="924" spans="1:26" x14ac:dyDescent="0.25">
      <c r="A924" s="47">
        <v>7725</v>
      </c>
      <c r="B924" s="20" t="str">
        <f>_xll.RssMarket(A924,"銘柄名称")</f>
        <v>インターアクション</v>
      </c>
      <c r="C924" s="21">
        <f>_xll.RssMarket(A924,"現在値")</f>
        <v>1125</v>
      </c>
      <c r="D924" s="20" t="str">
        <f>_xll.RssMarket(A924,"現在値詳細時刻")</f>
        <v>15:00:00</v>
      </c>
      <c r="E924" s="22">
        <f>_xll.RssMarket(A924,"前日比")</f>
        <v>2</v>
      </c>
      <c r="F924" s="23">
        <f>_xll.RssMarket(A924,"前日比率")/100</f>
        <v>1.8E-3</v>
      </c>
      <c r="G924" s="24" t="str">
        <f>IFERROR(VLOOKUP(A924,取得元!$A$2:$F$501,2,FALSE),"-")</f>
        <v>-</v>
      </c>
      <c r="H924" s="24" t="str">
        <f>IFERROR(VLOOKUP(A924,取得元!$A$2:$F$501,3,FALSE),"-")</f>
        <v>-</v>
      </c>
      <c r="I924" s="24" t="str">
        <f>IFERROR(VLOOKUP(A924,取得元!$A$2:$F$501,4,FALSE),"-")</f>
        <v>-</v>
      </c>
      <c r="J924" s="5" t="str">
        <f>IFERROR(VLOOKUP(A924,取得元!$A$2:$F$501,5,FALSE),"-")</f>
        <v>-</v>
      </c>
      <c r="K924" s="25" t="str">
        <f>IFERROR(VLOOKUP(A924,取得元!$A$2:$F$501,6,FALSE)/100,"-")</f>
        <v>-</v>
      </c>
      <c r="L924" s="21">
        <f>_xll.RssMarket(A924,"始値")</f>
        <v>1130</v>
      </c>
      <c r="M924" s="4">
        <f t="shared" si="85"/>
        <v>-4.4247787610619538E-3</v>
      </c>
      <c r="N924" s="21">
        <f>_xll.RssMarket(A924,"高値")</f>
        <v>1138</v>
      </c>
      <c r="O924" s="4">
        <f t="shared" si="86"/>
        <v>-1.1423550087873435E-2</v>
      </c>
      <c r="P924" s="21">
        <f>_xll.RssMarket(A924,"安値")</f>
        <v>1117</v>
      </c>
      <c r="Q924" s="4">
        <f t="shared" si="87"/>
        <v>7.1620411817368002E-3</v>
      </c>
      <c r="R924" s="21">
        <f>_xll.RssMarket(A924,"後場始値")</f>
        <v>1125</v>
      </c>
      <c r="S924" s="25">
        <f t="shared" si="88"/>
        <v>0</v>
      </c>
      <c r="T924" s="7">
        <f>_xll.RssMarket(A924,"出来高加重平均")</f>
        <v>1124.6990000000001</v>
      </c>
      <c r="U924" s="4">
        <f t="shared" si="89"/>
        <v>2.6762716068917669E-4</v>
      </c>
      <c r="V924" s="21">
        <f>_xll.RssMarket(A924,"出来高")</f>
        <v>51500</v>
      </c>
      <c r="W924" s="21">
        <f>_xll.RssMarket(A924,"売買代金")</f>
        <v>57922</v>
      </c>
      <c r="X924" s="20" t="str">
        <f>_xll.RssMarket(A924,"決算発表日")</f>
        <v>2024/01/12</v>
      </c>
      <c r="Y924" s="26" t="str">
        <f>IF(C924&gt;_xll.RssMarket(A924,"年初来高値"),"○","×")</f>
        <v>×</v>
      </c>
      <c r="Z924" s="27" t="str">
        <f>IF(C924&lt;=_xll.RssMarket(A924,"年初来安値"),"○","×")</f>
        <v>×</v>
      </c>
    </row>
    <row r="925" spans="1:26" x14ac:dyDescent="0.25">
      <c r="A925" s="49">
        <v>7732</v>
      </c>
      <c r="B925" s="20" t="str">
        <f>_xll.RssMarket(A925,"銘柄名称")</f>
        <v>トプコン</v>
      </c>
      <c r="C925" s="21">
        <f>_xll.RssMarket(A925,"現在値")</f>
        <v>1716.5</v>
      </c>
      <c r="D925" s="20" t="str">
        <f>_xll.RssMarket(A925,"現在値詳細時刻")</f>
        <v>15:00:00</v>
      </c>
      <c r="E925" s="22">
        <f>_xll.RssMarket(A925,"前日比")</f>
        <v>-26</v>
      </c>
      <c r="F925" s="23">
        <f>_xll.RssMarket(A925,"前日比率")/100</f>
        <v>-1.49E-2</v>
      </c>
      <c r="G925" s="24" t="str">
        <f>IFERROR(VLOOKUP(A925,取得元!$A$2:$F$501,2,FALSE),"-")</f>
        <v>-</v>
      </c>
      <c r="H925" s="24" t="str">
        <f>IFERROR(VLOOKUP(A925,取得元!$A$2:$F$501,3,FALSE),"-")</f>
        <v>-</v>
      </c>
      <c r="I925" s="24" t="str">
        <f>IFERROR(VLOOKUP(A925,取得元!$A$2:$F$501,4,FALSE),"-")</f>
        <v>-</v>
      </c>
      <c r="J925" s="5" t="str">
        <f>IFERROR(VLOOKUP(A925,取得元!$A$2:$F$501,5,FALSE),"-")</f>
        <v>-</v>
      </c>
      <c r="K925" s="25" t="str">
        <f>IFERROR(VLOOKUP(A925,取得元!$A$2:$F$501,6,FALSE)/100,"-")</f>
        <v>-</v>
      </c>
      <c r="L925" s="21">
        <f>_xll.RssMarket(A925,"始値")</f>
        <v>1723</v>
      </c>
      <c r="M925" s="4">
        <f t="shared" si="85"/>
        <v>-3.7724898432965892E-3</v>
      </c>
      <c r="N925" s="21">
        <f>_xll.RssMarket(A925,"高値")</f>
        <v>1734</v>
      </c>
      <c r="O925" s="4">
        <f t="shared" si="86"/>
        <v>-1.0092272202998798E-2</v>
      </c>
      <c r="P925" s="21">
        <f>_xll.RssMarket(A925,"安値")</f>
        <v>1704.5</v>
      </c>
      <c r="Q925" s="4">
        <f t="shared" si="87"/>
        <v>7.0401877383396982E-3</v>
      </c>
      <c r="R925" s="21">
        <f>_xll.RssMarket(A925,"後場始値")</f>
        <v>1723</v>
      </c>
      <c r="S925" s="25">
        <f t="shared" si="88"/>
        <v>-3.7724898432965892E-3</v>
      </c>
      <c r="T925" s="7">
        <f>_xll.RssMarket(A925,"出来高加重平均")</f>
        <v>1718.1295</v>
      </c>
      <c r="U925" s="4">
        <f t="shared" si="89"/>
        <v>-9.4841512237586745E-4</v>
      </c>
      <c r="V925" s="21">
        <f>_xll.RssMarket(A925,"出来高")</f>
        <v>398300</v>
      </c>
      <c r="W925" s="21">
        <f>_xll.RssMarket(A925,"売買代金")</f>
        <v>684331</v>
      </c>
      <c r="X925" s="20" t="str">
        <f>_xll.RssMarket(A925,"決算発表日")</f>
        <v>2024/01/29</v>
      </c>
      <c r="Y925" s="26" t="str">
        <f>IF(C925&gt;_xll.RssMarket(A925,"年初来高値"),"○","×")</f>
        <v>×</v>
      </c>
      <c r="Z925" s="27" t="str">
        <f>IF(C925&lt;=_xll.RssMarket(A925,"年初来安値"),"○","×")</f>
        <v>×</v>
      </c>
    </row>
    <row r="926" spans="1:26" x14ac:dyDescent="0.25">
      <c r="A926" s="47">
        <v>7739</v>
      </c>
      <c r="B926" s="20" t="str">
        <f>_xll.RssMarket(A926,"銘柄名称")</f>
        <v>キヤノン電子</v>
      </c>
      <c r="C926" s="21">
        <f>_xll.RssMarket(A926,"現在値")</f>
        <v>2081</v>
      </c>
      <c r="D926" s="20" t="str">
        <f>_xll.RssMarket(A926,"現在値詳細時刻")</f>
        <v>15:00:00</v>
      </c>
      <c r="E926" s="22">
        <f>_xll.RssMarket(A926,"前日比")</f>
        <v>-40</v>
      </c>
      <c r="F926" s="23">
        <f>_xll.RssMarket(A926,"前日比率")/100</f>
        <v>-1.89E-2</v>
      </c>
      <c r="G926" s="24" t="str">
        <f>IFERROR(VLOOKUP(A926,取得元!$A$2:$F$501,2,FALSE),"-")</f>
        <v>-</v>
      </c>
      <c r="H926" s="24" t="str">
        <f>IFERROR(VLOOKUP(A926,取得元!$A$2:$F$501,3,FALSE),"-")</f>
        <v>-</v>
      </c>
      <c r="I926" s="24" t="str">
        <f>IFERROR(VLOOKUP(A926,取得元!$A$2:$F$501,4,FALSE),"-")</f>
        <v>-</v>
      </c>
      <c r="J926" s="5" t="str">
        <f>IFERROR(VLOOKUP(A926,取得元!$A$2:$F$501,5,FALSE),"-")</f>
        <v>-</v>
      </c>
      <c r="K926" s="25" t="str">
        <f>IFERROR(VLOOKUP(A926,取得元!$A$2:$F$501,6,FALSE)/100,"-")</f>
        <v>-</v>
      </c>
      <c r="L926" s="21">
        <f>_xll.RssMarket(A926,"始値")</f>
        <v>2110</v>
      </c>
      <c r="M926" s="4">
        <f t="shared" si="85"/>
        <v>-1.3744075829383862E-2</v>
      </c>
      <c r="N926" s="21">
        <f>_xll.RssMarket(A926,"高値")</f>
        <v>2110</v>
      </c>
      <c r="O926" s="4">
        <f t="shared" si="86"/>
        <v>-1.3744075829383862E-2</v>
      </c>
      <c r="P926" s="21">
        <f>_xll.RssMarket(A926,"安値")</f>
        <v>2081</v>
      </c>
      <c r="Q926" s="4">
        <f t="shared" si="87"/>
        <v>0</v>
      </c>
      <c r="R926" s="21">
        <f>_xll.RssMarket(A926,"後場始値")</f>
        <v>2091</v>
      </c>
      <c r="S926" s="25">
        <f t="shared" si="88"/>
        <v>-4.7824007651841027E-3</v>
      </c>
      <c r="T926" s="7">
        <f>_xll.RssMarket(A926,"出来高加重平均")</f>
        <v>2090.8425999999999</v>
      </c>
      <c r="U926" s="4">
        <f t="shared" si="89"/>
        <v>-4.7074801326507654E-3</v>
      </c>
      <c r="V926" s="21">
        <f>_xll.RssMarket(A926,"出来高")</f>
        <v>53400</v>
      </c>
      <c r="W926" s="21">
        <f>_xll.RssMarket(A926,"売買代金")</f>
        <v>111651</v>
      </c>
      <c r="X926" s="20" t="str">
        <f>_xll.RssMarket(A926,"決算発表日")</f>
        <v>2024/01/29</v>
      </c>
      <c r="Y926" s="26" t="str">
        <f>IF(C926&gt;_xll.RssMarket(A926,"年初来高値"),"○","×")</f>
        <v>×</v>
      </c>
      <c r="Z926" s="27" t="str">
        <f>IF(C926&lt;=_xll.RssMarket(A926,"年初来安値"),"○","×")</f>
        <v>×</v>
      </c>
    </row>
    <row r="927" spans="1:26" x14ac:dyDescent="0.25">
      <c r="A927" s="49">
        <v>7745</v>
      </c>
      <c r="B927" s="20" t="str">
        <f>_xll.RssMarket(A927,"銘柄名称")</f>
        <v>Ａ＆Ｄホロンホールディングス</v>
      </c>
      <c r="C927" s="21">
        <f>_xll.RssMarket(A927,"現在値")</f>
        <v>2120</v>
      </c>
      <c r="D927" s="20" t="str">
        <f>_xll.RssMarket(A927,"現在値詳細時刻")</f>
        <v>15:00:00</v>
      </c>
      <c r="E927" s="22">
        <f>_xll.RssMarket(A927,"前日比")</f>
        <v>12</v>
      </c>
      <c r="F927" s="23">
        <f>_xll.RssMarket(A927,"前日比率")/100</f>
        <v>5.6999999999999993E-3</v>
      </c>
      <c r="G927" s="24" t="str">
        <f>IFERROR(VLOOKUP(A927,取得元!$A$2:$F$501,2,FALSE),"-")</f>
        <v>-</v>
      </c>
      <c r="H927" s="24" t="str">
        <f>IFERROR(VLOOKUP(A927,取得元!$A$2:$F$501,3,FALSE),"-")</f>
        <v>-</v>
      </c>
      <c r="I927" s="24" t="str">
        <f>IFERROR(VLOOKUP(A927,取得元!$A$2:$F$501,4,FALSE),"-")</f>
        <v>-</v>
      </c>
      <c r="J927" s="5" t="str">
        <f>IFERROR(VLOOKUP(A927,取得元!$A$2:$F$501,5,FALSE),"-")</f>
        <v>-</v>
      </c>
      <c r="K927" s="25" t="str">
        <f>IFERROR(VLOOKUP(A927,取得元!$A$2:$F$501,6,FALSE)/100,"-")</f>
        <v>-</v>
      </c>
      <c r="L927" s="21">
        <f>_xll.RssMarket(A927,"始値")</f>
        <v>2080</v>
      </c>
      <c r="M927" s="4">
        <f t="shared" si="85"/>
        <v>1.9230769230769162E-2</v>
      </c>
      <c r="N927" s="21">
        <f>_xll.RssMarket(A927,"高値")</f>
        <v>2121</v>
      </c>
      <c r="O927" s="4">
        <f t="shared" si="86"/>
        <v>-4.7147571900052476E-4</v>
      </c>
      <c r="P927" s="21">
        <f>_xll.RssMarket(A927,"安値")</f>
        <v>2067</v>
      </c>
      <c r="Q927" s="4">
        <f t="shared" si="87"/>
        <v>2.564102564102555E-2</v>
      </c>
      <c r="R927" s="21">
        <f>_xll.RssMarket(A927,"後場始値")</f>
        <v>2114</v>
      </c>
      <c r="S927" s="25">
        <f t="shared" si="88"/>
        <v>2.8382213812676582E-3</v>
      </c>
      <c r="T927" s="7">
        <f>_xll.RssMarket(A927,"出来高加重平均")</f>
        <v>2105.5003999999999</v>
      </c>
      <c r="U927" s="4">
        <f t="shared" si="89"/>
        <v>6.8865339564885275E-3</v>
      </c>
      <c r="V927" s="21">
        <f>_xll.RssMarket(A927,"出来高")</f>
        <v>201800</v>
      </c>
      <c r="W927" s="21">
        <f>_xll.RssMarket(A927,"売買代金")</f>
        <v>424890</v>
      </c>
      <c r="X927" s="20" t="str">
        <f>_xll.RssMarket(A927,"決算発表日")</f>
        <v>2024/02/07</v>
      </c>
      <c r="Y927" s="26" t="str">
        <f>IF(C927&gt;_xll.RssMarket(A927,"年初来高値"),"○","×")</f>
        <v>×</v>
      </c>
      <c r="Z927" s="27" t="str">
        <f>IF(C927&lt;=_xll.RssMarket(A927,"年初来安値"),"○","×")</f>
        <v>×</v>
      </c>
    </row>
    <row r="928" spans="1:26" x14ac:dyDescent="0.25">
      <c r="A928" s="47">
        <v>7751</v>
      </c>
      <c r="B928" s="20" t="str">
        <f>_xll.RssMarket(A928,"銘柄名称")</f>
        <v>キヤノン</v>
      </c>
      <c r="C928" s="21">
        <f>_xll.RssMarket(A928,"現在値")</f>
        <v>4087</v>
      </c>
      <c r="D928" s="20" t="str">
        <f>_xll.RssMarket(A928,"現在値詳細時刻")</f>
        <v>15:00:00</v>
      </c>
      <c r="E928" s="22">
        <f>_xll.RssMarket(A928,"前日比")</f>
        <v>89</v>
      </c>
      <c r="F928" s="23">
        <f>_xll.RssMarket(A928,"前日比率")/100</f>
        <v>2.23E-2</v>
      </c>
      <c r="G928" s="24" t="str">
        <f>IFERROR(VLOOKUP(A928,取得元!$A$2:$F$501,2,FALSE),"-")</f>
        <v>-</v>
      </c>
      <c r="H928" s="24" t="str">
        <f>IFERROR(VLOOKUP(A928,取得元!$A$2:$F$501,3,FALSE),"-")</f>
        <v>-</v>
      </c>
      <c r="I928" s="24" t="str">
        <f>IFERROR(VLOOKUP(A928,取得元!$A$2:$F$501,4,FALSE),"-")</f>
        <v>-</v>
      </c>
      <c r="J928" s="5" t="str">
        <f>IFERROR(VLOOKUP(A928,取得元!$A$2:$F$501,5,FALSE),"-")</f>
        <v>-</v>
      </c>
      <c r="K928" s="25" t="str">
        <f>IFERROR(VLOOKUP(A928,取得元!$A$2:$F$501,6,FALSE)/100,"-")</f>
        <v>-</v>
      </c>
      <c r="L928" s="21">
        <f>_xll.RssMarket(A928,"始値")</f>
        <v>4020</v>
      </c>
      <c r="M928" s="4">
        <f t="shared" si="85"/>
        <v>1.6666666666666607E-2</v>
      </c>
      <c r="N928" s="21">
        <f>_xll.RssMarket(A928,"高値")</f>
        <v>4087</v>
      </c>
      <c r="O928" s="4">
        <f t="shared" si="86"/>
        <v>0</v>
      </c>
      <c r="P928" s="21">
        <f>_xll.RssMarket(A928,"安値")</f>
        <v>3994</v>
      </c>
      <c r="Q928" s="4">
        <f t="shared" si="87"/>
        <v>2.3284927391086674E-2</v>
      </c>
      <c r="R928" s="21">
        <f>_xll.RssMarket(A928,"後場始値")</f>
        <v>4041</v>
      </c>
      <c r="S928" s="25">
        <f t="shared" si="88"/>
        <v>1.1383320960158372E-2</v>
      </c>
      <c r="T928" s="7">
        <f>_xll.RssMarket(A928,"出来高加重平均")</f>
        <v>4054.9281999999998</v>
      </c>
      <c r="U928" s="4">
        <f t="shared" si="89"/>
        <v>7.9093385673265626E-3</v>
      </c>
      <c r="V928" s="21">
        <f>_xll.RssMarket(A928,"出来高")</f>
        <v>5367000</v>
      </c>
      <c r="W928" s="21">
        <f>_xll.RssMarket(A928,"売買代金")</f>
        <v>21762800</v>
      </c>
      <c r="X928" s="20" t="str">
        <f>_xll.RssMarket(A928,"決算発表日")</f>
        <v>2024/01/30</v>
      </c>
      <c r="Y928" s="26" t="str">
        <f>IF(C928&gt;_xll.RssMarket(A928,"年初来高値"),"○","×")</f>
        <v>×</v>
      </c>
      <c r="Z928" s="27" t="str">
        <f>IF(C928&lt;=_xll.RssMarket(A928,"年初来安値"),"○","×")</f>
        <v>×</v>
      </c>
    </row>
    <row r="929" spans="1:26" x14ac:dyDescent="0.25">
      <c r="A929" s="49">
        <v>7752</v>
      </c>
      <c r="B929" s="20" t="str">
        <f>_xll.RssMarket(A929,"銘柄名称")</f>
        <v>リコー</v>
      </c>
      <c r="C929" s="21">
        <f>_xll.RssMarket(A929,"現在値")</f>
        <v>1269.5</v>
      </c>
      <c r="D929" s="20" t="str">
        <f>_xll.RssMarket(A929,"現在値詳細時刻")</f>
        <v>15:00:00</v>
      </c>
      <c r="E929" s="22">
        <f>_xll.RssMarket(A929,"前日比")</f>
        <v>79</v>
      </c>
      <c r="F929" s="23">
        <f>_xll.RssMarket(A929,"前日比率")/100</f>
        <v>6.6400000000000001E-2</v>
      </c>
      <c r="G929" s="24" t="str">
        <f>IFERROR(VLOOKUP(A929,取得元!$A$2:$F$501,2,FALSE),"-")</f>
        <v>-</v>
      </c>
      <c r="H929" s="24" t="str">
        <f>IFERROR(VLOOKUP(A929,取得元!$A$2:$F$501,3,FALSE),"-")</f>
        <v>-</v>
      </c>
      <c r="I929" s="24" t="str">
        <f>IFERROR(VLOOKUP(A929,取得元!$A$2:$F$501,4,FALSE),"-")</f>
        <v>-</v>
      </c>
      <c r="J929" s="5" t="str">
        <f>IFERROR(VLOOKUP(A929,取得元!$A$2:$F$501,5,FALSE),"-")</f>
        <v>-</v>
      </c>
      <c r="K929" s="25" t="str">
        <f>IFERROR(VLOOKUP(A929,取得元!$A$2:$F$501,6,FALSE)/100,"-")</f>
        <v>-</v>
      </c>
      <c r="L929" s="21">
        <f>_xll.RssMarket(A929,"始値")</f>
        <v>1253</v>
      </c>
      <c r="M929" s="4">
        <f t="shared" si="85"/>
        <v>1.3168395849959991E-2</v>
      </c>
      <c r="N929" s="21">
        <f>_xll.RssMarket(A929,"高値")</f>
        <v>1275</v>
      </c>
      <c r="O929" s="4">
        <f t="shared" si="86"/>
        <v>-4.3137254901960409E-3</v>
      </c>
      <c r="P929" s="21">
        <f>_xll.RssMarket(A929,"安値")</f>
        <v>1237</v>
      </c>
      <c r="Q929" s="4">
        <f t="shared" si="87"/>
        <v>2.6273241713823836E-2</v>
      </c>
      <c r="R929" s="21">
        <f>_xll.RssMarket(A929,"後場始値")</f>
        <v>1270.5</v>
      </c>
      <c r="S929" s="25">
        <f t="shared" si="88"/>
        <v>-7.8709169618262909E-4</v>
      </c>
      <c r="T929" s="7">
        <f>_xll.RssMarket(A929,"出来高加重平均")</f>
        <v>1262.2920999999999</v>
      </c>
      <c r="U929" s="4">
        <f t="shared" si="89"/>
        <v>5.7101680347997341E-3</v>
      </c>
      <c r="V929" s="21">
        <f>_xll.RssMarket(A929,"出来高")</f>
        <v>5485200</v>
      </c>
      <c r="W929" s="21">
        <f>_xll.RssMarket(A929,"売買代金")</f>
        <v>6923925</v>
      </c>
      <c r="X929" s="20" t="str">
        <f>_xll.RssMarket(A929,"決算発表日")</f>
        <v>2024/02/06</v>
      </c>
      <c r="Y929" s="26" t="str">
        <f>IF(C929&gt;_xll.RssMarket(A929,"年初来高値"),"○","×")</f>
        <v>×</v>
      </c>
      <c r="Z929" s="27" t="str">
        <f>IF(C929&lt;=_xll.RssMarket(A929,"年初来安値"),"○","×")</f>
        <v>×</v>
      </c>
    </row>
    <row r="930" spans="1:26" x14ac:dyDescent="0.25">
      <c r="A930" s="47">
        <v>7762</v>
      </c>
      <c r="B930" s="20" t="str">
        <f>_xll.RssMarket(A930,"銘柄名称")</f>
        <v>シチズン時計</v>
      </c>
      <c r="C930" s="21">
        <f>_xll.RssMarket(A930,"現在値")</f>
        <v>973</v>
      </c>
      <c r="D930" s="20" t="str">
        <f>_xll.RssMarket(A930,"現在値詳細時刻")</f>
        <v>15:00:00</v>
      </c>
      <c r="E930" s="22">
        <f>_xll.RssMarket(A930,"前日比")</f>
        <v>17</v>
      </c>
      <c r="F930" s="23">
        <f>_xll.RssMarket(A930,"前日比率")/100</f>
        <v>1.78E-2</v>
      </c>
      <c r="G930" s="24" t="str">
        <f>IFERROR(VLOOKUP(A930,取得元!$A$2:$F$501,2,FALSE),"-")</f>
        <v>-</v>
      </c>
      <c r="H930" s="24" t="str">
        <f>IFERROR(VLOOKUP(A930,取得元!$A$2:$F$501,3,FALSE),"-")</f>
        <v>-</v>
      </c>
      <c r="I930" s="24" t="str">
        <f>IFERROR(VLOOKUP(A930,取得元!$A$2:$F$501,4,FALSE),"-")</f>
        <v>-</v>
      </c>
      <c r="J930" s="5" t="str">
        <f>IFERROR(VLOOKUP(A930,取得元!$A$2:$F$501,5,FALSE),"-")</f>
        <v>-</v>
      </c>
      <c r="K930" s="25" t="str">
        <f>IFERROR(VLOOKUP(A930,取得元!$A$2:$F$501,6,FALSE)/100,"-")</f>
        <v>-</v>
      </c>
      <c r="L930" s="21">
        <f>_xll.RssMarket(A930,"始値")</f>
        <v>956</v>
      </c>
      <c r="M930" s="4">
        <f t="shared" si="85"/>
        <v>1.778242677824271E-2</v>
      </c>
      <c r="N930" s="21">
        <f>_xll.RssMarket(A930,"高値")</f>
        <v>977</v>
      </c>
      <c r="O930" s="4">
        <f t="shared" si="86"/>
        <v>-4.0941658137154668E-3</v>
      </c>
      <c r="P930" s="21">
        <f>_xll.RssMarket(A930,"安値")</f>
        <v>953</v>
      </c>
      <c r="Q930" s="4">
        <f t="shared" si="87"/>
        <v>2.0986358866736721E-2</v>
      </c>
      <c r="R930" s="21">
        <f>_xll.RssMarket(A930,"後場始値")</f>
        <v>973</v>
      </c>
      <c r="S930" s="25">
        <f t="shared" si="88"/>
        <v>0</v>
      </c>
      <c r="T930" s="7">
        <f>_xll.RssMarket(A930,"出来高加重平均")</f>
        <v>970.06269999999995</v>
      </c>
      <c r="U930" s="4">
        <f t="shared" si="89"/>
        <v>3.027948605796249E-3</v>
      </c>
      <c r="V930" s="21">
        <f>_xll.RssMarket(A930,"出来高")</f>
        <v>1513600</v>
      </c>
      <c r="W930" s="21">
        <f>_xll.RssMarket(A930,"売買代金")</f>
        <v>1468287</v>
      </c>
      <c r="X930" s="20" t="str">
        <f>_xll.RssMarket(A930,"決算発表日")</f>
        <v>2024/02/13</v>
      </c>
      <c r="Y930" s="26" t="str">
        <f>IF(C930&gt;_xll.RssMarket(A930,"年初来高値"),"○","×")</f>
        <v>×</v>
      </c>
      <c r="Z930" s="27" t="str">
        <f>IF(C930&lt;=_xll.RssMarket(A930,"年初来安値"),"○","×")</f>
        <v>×</v>
      </c>
    </row>
    <row r="931" spans="1:26" x14ac:dyDescent="0.25">
      <c r="A931" s="49">
        <v>7771</v>
      </c>
      <c r="B931" s="20" t="str">
        <f>_xll.RssMarket(A931,"銘柄名称")</f>
        <v>日本精密</v>
      </c>
      <c r="C931" s="21">
        <f>_xll.RssMarket(A931,"現在値")</f>
        <v>71</v>
      </c>
      <c r="D931" s="20" t="str">
        <f>_xll.RssMarket(A931,"現在値詳細時刻")</f>
        <v>15:00:00</v>
      </c>
      <c r="E931" s="22">
        <f>_xll.RssMarket(A931,"前日比")</f>
        <v>0</v>
      </c>
      <c r="F931" s="23">
        <f>_xll.RssMarket(A931,"前日比率")/100</f>
        <v>0</v>
      </c>
      <c r="G931" s="24" t="str">
        <f>IFERROR(VLOOKUP(A931,取得元!$A$2:$F$501,2,FALSE),"-")</f>
        <v>-</v>
      </c>
      <c r="H931" s="24" t="str">
        <f>IFERROR(VLOOKUP(A931,取得元!$A$2:$F$501,3,FALSE),"-")</f>
        <v>-</v>
      </c>
      <c r="I931" s="24" t="str">
        <f>IFERROR(VLOOKUP(A931,取得元!$A$2:$F$501,4,FALSE),"-")</f>
        <v>-</v>
      </c>
      <c r="J931" s="5" t="str">
        <f>IFERROR(VLOOKUP(A931,取得元!$A$2:$F$501,5,FALSE),"-")</f>
        <v>-</v>
      </c>
      <c r="K931" s="25" t="str">
        <f>IFERROR(VLOOKUP(A931,取得元!$A$2:$F$501,6,FALSE)/100,"-")</f>
        <v>-</v>
      </c>
      <c r="L931" s="21">
        <f>_xll.RssMarket(A931,"始値")</f>
        <v>72</v>
      </c>
      <c r="M931" s="4">
        <f t="shared" si="85"/>
        <v>-1.388888888888884E-2</v>
      </c>
      <c r="N931" s="21">
        <f>_xll.RssMarket(A931,"高値")</f>
        <v>72</v>
      </c>
      <c r="O931" s="4">
        <f t="shared" si="86"/>
        <v>-1.388888888888884E-2</v>
      </c>
      <c r="P931" s="21">
        <f>_xll.RssMarket(A931,"安値")</f>
        <v>70</v>
      </c>
      <c r="Q931" s="4">
        <f t="shared" si="87"/>
        <v>1.4285714285714235E-2</v>
      </c>
      <c r="R931" s="21">
        <f>_xll.RssMarket(A931,"後場始値")</f>
        <v>71</v>
      </c>
      <c r="S931" s="25">
        <f t="shared" si="88"/>
        <v>0</v>
      </c>
      <c r="T931" s="7">
        <f>_xll.RssMarket(A931,"出来高加重平均")</f>
        <v>71.071399999999997</v>
      </c>
      <c r="U931" s="4">
        <f t="shared" si="89"/>
        <v>-1.0046235194466346E-3</v>
      </c>
      <c r="V931" s="21">
        <f>_xll.RssMarket(A931,"出来高")</f>
        <v>28000</v>
      </c>
      <c r="W931" s="21">
        <f>_xll.RssMarket(A931,"売買代金")</f>
        <v>1990</v>
      </c>
      <c r="X931" s="20" t="str">
        <f>_xll.RssMarket(A931,"決算発表日")</f>
        <v>2024/02/13</v>
      </c>
      <c r="Y931" s="26" t="str">
        <f>IF(C931&gt;_xll.RssMarket(A931,"年初来高値"),"○","×")</f>
        <v>×</v>
      </c>
      <c r="Z931" s="27" t="str">
        <f>IF(C931&lt;=_xll.RssMarket(A931,"年初来安値"),"○","×")</f>
        <v>×</v>
      </c>
    </row>
    <row r="932" spans="1:26" x14ac:dyDescent="0.25">
      <c r="A932" s="47">
        <v>7776</v>
      </c>
      <c r="B932" s="20" t="str">
        <f>_xll.RssMarket(A932,"銘柄名称")</f>
        <v>セルシード</v>
      </c>
      <c r="C932" s="21">
        <f>_xll.RssMarket(A932,"現在値")</f>
        <v>244</v>
      </c>
      <c r="D932" s="20" t="str">
        <f>_xll.RssMarket(A932,"現在値詳細時刻")</f>
        <v>15:00:00</v>
      </c>
      <c r="E932" s="22">
        <f>_xll.RssMarket(A932,"前日比")</f>
        <v>-3</v>
      </c>
      <c r="F932" s="23">
        <f>_xll.RssMarket(A932,"前日比率")/100</f>
        <v>-1.21E-2</v>
      </c>
      <c r="G932" s="24" t="str">
        <f>IFERROR(VLOOKUP(A932,取得元!$A$2:$F$501,2,FALSE),"-")</f>
        <v>-</v>
      </c>
      <c r="H932" s="24" t="str">
        <f>IFERROR(VLOOKUP(A932,取得元!$A$2:$F$501,3,FALSE),"-")</f>
        <v>-</v>
      </c>
      <c r="I932" s="24" t="str">
        <f>IFERROR(VLOOKUP(A932,取得元!$A$2:$F$501,4,FALSE),"-")</f>
        <v>-</v>
      </c>
      <c r="J932" s="5" t="str">
        <f>IFERROR(VLOOKUP(A932,取得元!$A$2:$F$501,5,FALSE),"-")</f>
        <v>-</v>
      </c>
      <c r="K932" s="25" t="str">
        <f>IFERROR(VLOOKUP(A932,取得元!$A$2:$F$501,6,FALSE)/100,"-")</f>
        <v>-</v>
      </c>
      <c r="L932" s="21">
        <f>_xll.RssMarket(A932,"始値")</f>
        <v>245</v>
      </c>
      <c r="M932" s="4">
        <f t="shared" si="85"/>
        <v>-4.0816326530612734E-3</v>
      </c>
      <c r="N932" s="21">
        <f>_xll.RssMarket(A932,"高値")</f>
        <v>247</v>
      </c>
      <c r="O932" s="4">
        <f t="shared" si="86"/>
        <v>-1.2145748987854255E-2</v>
      </c>
      <c r="P932" s="21">
        <f>_xll.RssMarket(A932,"安値")</f>
        <v>239</v>
      </c>
      <c r="Q932" s="4">
        <f t="shared" si="87"/>
        <v>2.0920502092050208E-2</v>
      </c>
      <c r="R932" s="21">
        <f>_xll.RssMarket(A932,"後場始値")</f>
        <v>241</v>
      </c>
      <c r="S932" s="25">
        <f t="shared" si="88"/>
        <v>1.2448132780082943E-2</v>
      </c>
      <c r="T932" s="7">
        <f>_xll.RssMarket(A932,"出来高加重平均")</f>
        <v>242.1001</v>
      </c>
      <c r="U932" s="4">
        <f t="shared" si="89"/>
        <v>7.8475804016602257E-3</v>
      </c>
      <c r="V932" s="21">
        <f>_xll.RssMarket(A932,"出来高")</f>
        <v>275700</v>
      </c>
      <c r="W932" s="21">
        <f>_xll.RssMarket(A932,"売買代金")</f>
        <v>66747</v>
      </c>
      <c r="X932" s="20" t="str">
        <f>_xll.RssMarket(A932,"決算発表日")</f>
        <v>-</v>
      </c>
      <c r="Y932" s="26" t="str">
        <f>IF(C932&gt;_xll.RssMarket(A932,"年初来高値"),"○","×")</f>
        <v>×</v>
      </c>
      <c r="Z932" s="27" t="str">
        <f>IF(C932&lt;=_xll.RssMarket(A932,"年初来安値"),"○","×")</f>
        <v>×</v>
      </c>
    </row>
    <row r="933" spans="1:26" x14ac:dyDescent="0.25">
      <c r="A933" s="49">
        <v>7777</v>
      </c>
      <c r="B933" s="20" t="str">
        <f>_xll.RssMarket(A933,"銘柄名称")</f>
        <v>スリー・ディー・マトリックス</v>
      </c>
      <c r="C933" s="21">
        <f>_xll.RssMarket(A933,"現在値")</f>
        <v>107</v>
      </c>
      <c r="D933" s="20" t="str">
        <f>_xll.RssMarket(A933,"現在値詳細時刻")</f>
        <v>15:00:00</v>
      </c>
      <c r="E933" s="22">
        <f>_xll.RssMarket(A933,"前日比")</f>
        <v>-1</v>
      </c>
      <c r="F933" s="23">
        <f>_xll.RssMarket(A933,"前日比率")/100</f>
        <v>-9.300000000000001E-3</v>
      </c>
      <c r="G933" s="24" t="str">
        <f>IFERROR(VLOOKUP(A933,取得元!$A$2:$F$501,2,FALSE),"-")</f>
        <v>-</v>
      </c>
      <c r="H933" s="24" t="str">
        <f>IFERROR(VLOOKUP(A933,取得元!$A$2:$F$501,3,FALSE),"-")</f>
        <v>-</v>
      </c>
      <c r="I933" s="24" t="str">
        <f>IFERROR(VLOOKUP(A933,取得元!$A$2:$F$501,4,FALSE),"-")</f>
        <v>-</v>
      </c>
      <c r="J933" s="5" t="str">
        <f>IFERROR(VLOOKUP(A933,取得元!$A$2:$F$501,5,FALSE),"-")</f>
        <v>-</v>
      </c>
      <c r="K933" s="25" t="str">
        <f>IFERROR(VLOOKUP(A933,取得元!$A$2:$F$501,6,FALSE)/100,"-")</f>
        <v>-</v>
      </c>
      <c r="L933" s="21">
        <f>_xll.RssMarket(A933,"始値")</f>
        <v>108</v>
      </c>
      <c r="M933" s="4">
        <f t="shared" si="85"/>
        <v>-9.2592592592593004E-3</v>
      </c>
      <c r="N933" s="21">
        <f>_xll.RssMarket(A933,"高値")</f>
        <v>109</v>
      </c>
      <c r="O933" s="4">
        <f t="shared" si="86"/>
        <v>-1.834862385321101E-2</v>
      </c>
      <c r="P933" s="21">
        <f>_xll.RssMarket(A933,"安値")</f>
        <v>106</v>
      </c>
      <c r="Q933" s="4">
        <f t="shared" si="87"/>
        <v>9.4339622641510523E-3</v>
      </c>
      <c r="R933" s="21">
        <f>_xll.RssMarket(A933,"後場始値")</f>
        <v>106</v>
      </c>
      <c r="S933" s="25">
        <f t="shared" si="88"/>
        <v>9.4339622641510523E-3</v>
      </c>
      <c r="T933" s="7">
        <f>_xll.RssMarket(A933,"出来高加重平均")</f>
        <v>106.57250000000001</v>
      </c>
      <c r="U933" s="4">
        <f t="shared" si="89"/>
        <v>4.0113537732529014E-3</v>
      </c>
      <c r="V933" s="21">
        <f>_xll.RssMarket(A933,"出来高")</f>
        <v>439400</v>
      </c>
      <c r="W933" s="21">
        <f>_xll.RssMarket(A933,"売買代金")</f>
        <v>46828</v>
      </c>
      <c r="X933" s="20" t="str">
        <f>_xll.RssMarket(A933,"決算発表日")</f>
        <v>-</v>
      </c>
      <c r="Y933" s="26" t="str">
        <f>IF(C933&gt;_xll.RssMarket(A933,"年初来高値"),"○","×")</f>
        <v>×</v>
      </c>
      <c r="Z933" s="27" t="str">
        <f>IF(C933&lt;=_xll.RssMarket(A933,"年初来安値"),"○","×")</f>
        <v>×</v>
      </c>
    </row>
    <row r="934" spans="1:26" x14ac:dyDescent="0.25">
      <c r="A934" s="47">
        <v>7779</v>
      </c>
      <c r="B934" s="20" t="str">
        <f>_xll.RssMarket(A934,"銘柄名称")</f>
        <v>ＣＹＢＥＲＤＹＮＥ</v>
      </c>
      <c r="C934" s="21">
        <f>_xll.RssMarket(A934,"現在値")</f>
        <v>203</v>
      </c>
      <c r="D934" s="20" t="str">
        <f>_xll.RssMarket(A934,"現在値詳細時刻")</f>
        <v>15:00:00</v>
      </c>
      <c r="E934" s="22">
        <f>_xll.RssMarket(A934,"前日比")</f>
        <v>-1</v>
      </c>
      <c r="F934" s="23">
        <f>_xll.RssMarket(A934,"前日比率")/100</f>
        <v>-4.8999999999999998E-3</v>
      </c>
      <c r="G934" s="24" t="str">
        <f>IFERROR(VLOOKUP(A934,取得元!$A$2:$F$501,2,FALSE),"-")</f>
        <v>-</v>
      </c>
      <c r="H934" s="24" t="str">
        <f>IFERROR(VLOOKUP(A934,取得元!$A$2:$F$501,3,FALSE),"-")</f>
        <v>-</v>
      </c>
      <c r="I934" s="24" t="str">
        <f>IFERROR(VLOOKUP(A934,取得元!$A$2:$F$501,4,FALSE),"-")</f>
        <v>-</v>
      </c>
      <c r="J934" s="5" t="str">
        <f>IFERROR(VLOOKUP(A934,取得元!$A$2:$F$501,5,FALSE),"-")</f>
        <v>-</v>
      </c>
      <c r="K934" s="25" t="str">
        <f>IFERROR(VLOOKUP(A934,取得元!$A$2:$F$501,6,FALSE)/100,"-")</f>
        <v>-</v>
      </c>
      <c r="L934" s="21">
        <f>_xll.RssMarket(A934,"始値")</f>
        <v>203</v>
      </c>
      <c r="M934" s="4">
        <f t="shared" si="85"/>
        <v>0</v>
      </c>
      <c r="N934" s="21">
        <f>_xll.RssMarket(A934,"高値")</f>
        <v>205</v>
      </c>
      <c r="O934" s="4">
        <f t="shared" si="86"/>
        <v>-9.7560975609756184E-3</v>
      </c>
      <c r="P934" s="21">
        <f>_xll.RssMarket(A934,"安値")</f>
        <v>201</v>
      </c>
      <c r="Q934" s="4">
        <f t="shared" si="87"/>
        <v>9.9502487562188602E-3</v>
      </c>
      <c r="R934" s="21">
        <f>_xll.RssMarket(A934,"後場始値")</f>
        <v>203</v>
      </c>
      <c r="S934" s="25">
        <f t="shared" si="88"/>
        <v>0</v>
      </c>
      <c r="T934" s="7">
        <f>_xll.RssMarket(A934,"出来高加重平均")</f>
        <v>202.7559</v>
      </c>
      <c r="U934" s="4">
        <f t="shared" si="89"/>
        <v>1.2039107123393844E-3</v>
      </c>
      <c r="V934" s="21">
        <f>_xll.RssMarket(A934,"出来高")</f>
        <v>844000</v>
      </c>
      <c r="W934" s="21">
        <f>_xll.RssMarket(A934,"売買代金")</f>
        <v>171126</v>
      </c>
      <c r="X934" s="20" t="str">
        <f>_xll.RssMarket(A934,"決算発表日")</f>
        <v>2024/02/14</v>
      </c>
      <c r="Y934" s="26" t="str">
        <f>IF(C934&gt;_xll.RssMarket(A934,"年初来高値"),"○","×")</f>
        <v>×</v>
      </c>
      <c r="Z934" s="27" t="str">
        <f>IF(C934&lt;=_xll.RssMarket(A934,"年初来安値"),"○","×")</f>
        <v>×</v>
      </c>
    </row>
    <row r="935" spans="1:26" x14ac:dyDescent="0.25">
      <c r="A935" s="49">
        <v>7792</v>
      </c>
      <c r="B935" s="20" t="str">
        <f>_xll.RssMarket(A935,"銘柄名称")</f>
        <v>コラントッテ</v>
      </c>
      <c r="C935" s="21">
        <f>_xll.RssMarket(A935,"現在値")</f>
        <v>823</v>
      </c>
      <c r="D935" s="20" t="str">
        <f>_xll.RssMarket(A935,"現在値詳細時刻")</f>
        <v>15:00:00</v>
      </c>
      <c r="E935" s="22">
        <f>_xll.RssMarket(A935,"前日比")</f>
        <v>-14</v>
      </c>
      <c r="F935" s="23">
        <f>_xll.RssMarket(A935,"前日比率")/100</f>
        <v>-1.67E-2</v>
      </c>
      <c r="G935" s="24" t="str">
        <f>IFERROR(VLOOKUP(A935,取得元!$A$2:$F$501,2,FALSE),"-")</f>
        <v>-</v>
      </c>
      <c r="H935" s="24" t="str">
        <f>IFERROR(VLOOKUP(A935,取得元!$A$2:$F$501,3,FALSE),"-")</f>
        <v>-</v>
      </c>
      <c r="I935" s="24" t="str">
        <f>IFERROR(VLOOKUP(A935,取得元!$A$2:$F$501,4,FALSE),"-")</f>
        <v>-</v>
      </c>
      <c r="J935" s="5" t="str">
        <f>IFERROR(VLOOKUP(A935,取得元!$A$2:$F$501,5,FALSE),"-")</f>
        <v>-</v>
      </c>
      <c r="K935" s="25" t="str">
        <f>IFERROR(VLOOKUP(A935,取得元!$A$2:$F$501,6,FALSE)/100,"-")</f>
        <v>-</v>
      </c>
      <c r="L935" s="21">
        <f>_xll.RssMarket(A935,"始値")</f>
        <v>838</v>
      </c>
      <c r="M935" s="4">
        <f t="shared" si="85"/>
        <v>-1.7899761336515496E-2</v>
      </c>
      <c r="N935" s="21">
        <f>_xll.RssMarket(A935,"高値")</f>
        <v>863</v>
      </c>
      <c r="O935" s="4">
        <f t="shared" si="86"/>
        <v>-4.6349942062572369E-2</v>
      </c>
      <c r="P935" s="21">
        <f>_xll.RssMarket(A935,"安値")</f>
        <v>808</v>
      </c>
      <c r="Q935" s="4">
        <f t="shared" si="87"/>
        <v>1.856435643564347E-2</v>
      </c>
      <c r="R935" s="21">
        <f>_xll.RssMarket(A935,"後場始値")</f>
        <v>835</v>
      </c>
      <c r="S935" s="25">
        <f t="shared" si="88"/>
        <v>-1.4371257485029987E-2</v>
      </c>
      <c r="T935" s="7">
        <f>_xll.RssMarket(A935,"出来高加重平均")</f>
        <v>836.12159999999994</v>
      </c>
      <c r="U935" s="4">
        <f t="shared" si="89"/>
        <v>-1.5693411101925792E-2</v>
      </c>
      <c r="V935" s="21">
        <f>_xll.RssMarket(A935,"出来高")</f>
        <v>52600</v>
      </c>
      <c r="W935" s="21">
        <f>_xll.RssMarket(A935,"売買代金")</f>
        <v>43980</v>
      </c>
      <c r="X935" s="20" t="str">
        <f>_xll.RssMarket(A935,"決算発表日")</f>
        <v>2024/02/09</v>
      </c>
      <c r="Y935" s="26" t="str">
        <f>IF(C935&gt;_xll.RssMarket(A935,"年初来高値"),"○","×")</f>
        <v>×</v>
      </c>
      <c r="Z935" s="27" t="str">
        <f>IF(C935&lt;=_xll.RssMarket(A935,"年初来安値"),"○","×")</f>
        <v>×</v>
      </c>
    </row>
    <row r="936" spans="1:26" x14ac:dyDescent="0.25">
      <c r="A936" s="47">
        <v>7794</v>
      </c>
      <c r="B936" s="20" t="str">
        <f>_xll.RssMarket(A936,"銘柄名称")</f>
        <v>イーディーピー</v>
      </c>
      <c r="C936" s="21">
        <f>_xll.RssMarket(A936,"現在値")</f>
        <v>1447</v>
      </c>
      <c r="D936" s="20" t="str">
        <f>_xll.RssMarket(A936,"現在値詳細時刻")</f>
        <v>15:00:00</v>
      </c>
      <c r="E936" s="22">
        <f>_xll.RssMarket(A936,"前日比")</f>
        <v>-35</v>
      </c>
      <c r="F936" s="23">
        <f>_xll.RssMarket(A936,"前日比率")/100</f>
        <v>-2.3599999999999999E-2</v>
      </c>
      <c r="G936" s="24" t="str">
        <f>IFERROR(VLOOKUP(A936,取得元!$A$2:$F$501,2,FALSE),"-")</f>
        <v>-</v>
      </c>
      <c r="H936" s="24" t="str">
        <f>IFERROR(VLOOKUP(A936,取得元!$A$2:$F$501,3,FALSE),"-")</f>
        <v>-</v>
      </c>
      <c r="I936" s="24" t="str">
        <f>IFERROR(VLOOKUP(A936,取得元!$A$2:$F$501,4,FALSE),"-")</f>
        <v>-</v>
      </c>
      <c r="J936" s="5" t="str">
        <f>IFERROR(VLOOKUP(A936,取得元!$A$2:$F$501,5,FALSE),"-")</f>
        <v>-</v>
      </c>
      <c r="K936" s="25" t="str">
        <f>IFERROR(VLOOKUP(A936,取得元!$A$2:$F$501,6,FALSE)/100,"-")</f>
        <v>-</v>
      </c>
      <c r="L936" s="21">
        <f>_xll.RssMarket(A936,"始値")</f>
        <v>1474</v>
      </c>
      <c r="M936" s="4">
        <f t="shared" si="85"/>
        <v>-1.831750339213023E-2</v>
      </c>
      <c r="N936" s="21">
        <f>_xll.RssMarket(A936,"高値")</f>
        <v>1479</v>
      </c>
      <c r="O936" s="4">
        <f t="shared" si="86"/>
        <v>-2.1636240703177823E-2</v>
      </c>
      <c r="P936" s="21">
        <f>_xll.RssMarket(A936,"安値")</f>
        <v>1437</v>
      </c>
      <c r="Q936" s="4">
        <f t="shared" si="87"/>
        <v>6.9589422407794199E-3</v>
      </c>
      <c r="R936" s="21">
        <f>_xll.RssMarket(A936,"後場始値")</f>
        <v>1450</v>
      </c>
      <c r="S936" s="25">
        <f t="shared" si="88"/>
        <v>-2.068965517241339E-3</v>
      </c>
      <c r="T936" s="7">
        <f>_xll.RssMarket(A936,"出来高加重平均")</f>
        <v>1452.1434999999999</v>
      </c>
      <c r="U936" s="4">
        <f t="shared" si="89"/>
        <v>-3.5420053183448097E-3</v>
      </c>
      <c r="V936" s="21">
        <f>_xll.RssMarket(A936,"出来高")</f>
        <v>107300</v>
      </c>
      <c r="W936" s="21">
        <f>_xll.RssMarket(A936,"売買代金")</f>
        <v>155815</v>
      </c>
      <c r="X936" s="20" t="str">
        <f>_xll.RssMarket(A936,"決算発表日")</f>
        <v>2024/02/09</v>
      </c>
      <c r="Y936" s="26" t="str">
        <f>IF(C936&gt;_xll.RssMarket(A936,"年初来高値"),"○","×")</f>
        <v>×</v>
      </c>
      <c r="Z936" s="27" t="str">
        <f>IF(C936&lt;=_xll.RssMarket(A936,"年初来安値"),"○","×")</f>
        <v>×</v>
      </c>
    </row>
    <row r="937" spans="1:26" x14ac:dyDescent="0.25">
      <c r="A937" s="49">
        <v>7795</v>
      </c>
      <c r="B937" s="20" t="str">
        <f>_xll.RssMarket(A937,"銘柄名称")</f>
        <v>ＫＹＯＲＩＴＳＵ</v>
      </c>
      <c r="C937" s="21">
        <f>_xll.RssMarket(A937,"現在値")</f>
        <v>202</v>
      </c>
      <c r="D937" s="20" t="str">
        <f>_xll.RssMarket(A937,"現在値詳細時刻")</f>
        <v>15:00:00</v>
      </c>
      <c r="E937" s="22">
        <f>_xll.RssMarket(A937,"前日比")</f>
        <v>4</v>
      </c>
      <c r="F937" s="23">
        <f>_xll.RssMarket(A937,"前日比率")/100</f>
        <v>2.0199999999999999E-2</v>
      </c>
      <c r="G937" s="24" t="str">
        <f>IFERROR(VLOOKUP(A937,取得元!$A$2:$F$501,2,FALSE),"-")</f>
        <v>-</v>
      </c>
      <c r="H937" s="24" t="str">
        <f>IFERROR(VLOOKUP(A937,取得元!$A$2:$F$501,3,FALSE),"-")</f>
        <v>-</v>
      </c>
      <c r="I937" s="24" t="str">
        <f>IFERROR(VLOOKUP(A937,取得元!$A$2:$F$501,4,FALSE),"-")</f>
        <v>-</v>
      </c>
      <c r="J937" s="5" t="str">
        <f>IFERROR(VLOOKUP(A937,取得元!$A$2:$F$501,5,FALSE),"-")</f>
        <v>-</v>
      </c>
      <c r="K937" s="25" t="str">
        <f>IFERROR(VLOOKUP(A937,取得元!$A$2:$F$501,6,FALSE)/100,"-")</f>
        <v>-</v>
      </c>
      <c r="L937" s="21">
        <f>_xll.RssMarket(A937,"始値")</f>
        <v>197</v>
      </c>
      <c r="M937" s="4">
        <f t="shared" si="85"/>
        <v>2.5380710659898442E-2</v>
      </c>
      <c r="N937" s="21">
        <f>_xll.RssMarket(A937,"高値")</f>
        <v>204</v>
      </c>
      <c r="O937" s="4">
        <f t="shared" si="86"/>
        <v>-9.8039215686274161E-3</v>
      </c>
      <c r="P937" s="21">
        <f>_xll.RssMarket(A937,"安値")</f>
        <v>197</v>
      </c>
      <c r="Q937" s="4">
        <f t="shared" si="87"/>
        <v>2.5380710659898442E-2</v>
      </c>
      <c r="R937" s="21">
        <f>_xll.RssMarket(A937,"後場始値")</f>
        <v>201</v>
      </c>
      <c r="S937" s="25">
        <f t="shared" si="88"/>
        <v>4.9751243781095411E-3</v>
      </c>
      <c r="T937" s="7">
        <f>_xll.RssMarket(A937,"出来高加重平均")</f>
        <v>201.05629999999999</v>
      </c>
      <c r="U937" s="4">
        <f t="shared" si="89"/>
        <v>4.6937101697386296E-3</v>
      </c>
      <c r="V937" s="21">
        <f>_xll.RssMarket(A937,"出来高")</f>
        <v>251800</v>
      </c>
      <c r="W937" s="21">
        <f>_xll.RssMarket(A937,"売買代金")</f>
        <v>50626</v>
      </c>
      <c r="X937" s="20" t="str">
        <f>_xll.RssMarket(A937,"決算発表日")</f>
        <v>2024/01/31</v>
      </c>
      <c r="Y937" s="26" t="str">
        <f>IF(C937&gt;_xll.RssMarket(A937,"年初来高値"),"○","×")</f>
        <v>×</v>
      </c>
      <c r="Z937" s="27" t="str">
        <f>IF(C937&lt;=_xll.RssMarket(A937,"年初来安値"),"○","×")</f>
        <v>×</v>
      </c>
    </row>
    <row r="938" spans="1:26" x14ac:dyDescent="0.25">
      <c r="A938" s="47">
        <v>7800</v>
      </c>
      <c r="B938" s="20" t="str">
        <f>_xll.RssMarket(A938,"銘柄名称")</f>
        <v>アミファ</v>
      </c>
      <c r="C938" s="21">
        <f>_xll.RssMarket(A938,"現在値")</f>
        <v>651</v>
      </c>
      <c r="D938" s="20" t="str">
        <f>_xll.RssMarket(A938,"現在値詳細時刻")</f>
        <v>14:07:19</v>
      </c>
      <c r="E938" s="22">
        <f>_xll.RssMarket(A938,"前日比")</f>
        <v>0</v>
      </c>
      <c r="F938" s="23">
        <f>_xll.RssMarket(A938,"前日比率")/100</f>
        <v>0</v>
      </c>
      <c r="G938" s="24" t="str">
        <f>IFERROR(VLOOKUP(A938,取得元!$A$2:$F$501,2,FALSE),"-")</f>
        <v>-</v>
      </c>
      <c r="H938" s="24" t="str">
        <f>IFERROR(VLOOKUP(A938,取得元!$A$2:$F$501,3,FALSE),"-")</f>
        <v>-</v>
      </c>
      <c r="I938" s="24" t="str">
        <f>IFERROR(VLOOKUP(A938,取得元!$A$2:$F$501,4,FALSE),"-")</f>
        <v>-</v>
      </c>
      <c r="J938" s="5" t="str">
        <f>IFERROR(VLOOKUP(A938,取得元!$A$2:$F$501,5,FALSE),"-")</f>
        <v>-</v>
      </c>
      <c r="K938" s="25" t="str">
        <f>IFERROR(VLOOKUP(A938,取得元!$A$2:$F$501,6,FALSE)/100,"-")</f>
        <v>-</v>
      </c>
      <c r="L938" s="21">
        <f>_xll.RssMarket(A938,"始値")</f>
        <v>652</v>
      </c>
      <c r="M938" s="4">
        <f t="shared" si="85"/>
        <v>-1.5337423312883347E-3</v>
      </c>
      <c r="N938" s="21">
        <f>_xll.RssMarket(A938,"高値")</f>
        <v>654</v>
      </c>
      <c r="O938" s="4">
        <f t="shared" si="86"/>
        <v>-4.5871559633027248E-3</v>
      </c>
      <c r="P938" s="21">
        <f>_xll.RssMarket(A938,"安値")</f>
        <v>651</v>
      </c>
      <c r="Q938" s="4">
        <f t="shared" si="87"/>
        <v>0</v>
      </c>
      <c r="R938" s="21">
        <f>_xll.RssMarket(A938,"後場始値")</f>
        <v>652</v>
      </c>
      <c r="S938" s="25">
        <f t="shared" si="88"/>
        <v>-1.5337423312883347E-3</v>
      </c>
      <c r="T938" s="7">
        <f>_xll.RssMarket(A938,"出来高加重平均")</f>
        <v>652.33330000000001</v>
      </c>
      <c r="U938" s="4">
        <f t="shared" si="89"/>
        <v>-2.0438938193099165E-3</v>
      </c>
      <c r="V938" s="21">
        <f>_xll.RssMarket(A938,"出来高")</f>
        <v>3000</v>
      </c>
      <c r="W938" s="21">
        <f>_xll.RssMarket(A938,"売買代金")</f>
        <v>1957</v>
      </c>
      <c r="X938" s="20" t="str">
        <f>_xll.RssMarket(A938,"決算発表日")</f>
        <v>2024/02/14</v>
      </c>
      <c r="Y938" s="26" t="str">
        <f>IF(C938&gt;_xll.RssMarket(A938,"年初来高値"),"○","×")</f>
        <v>×</v>
      </c>
      <c r="Z938" s="27" t="str">
        <f>IF(C938&lt;=_xll.RssMarket(A938,"年初来安値"),"○","×")</f>
        <v>×</v>
      </c>
    </row>
    <row r="939" spans="1:26" x14ac:dyDescent="0.25">
      <c r="A939" s="49">
        <v>7805</v>
      </c>
      <c r="B939" s="20" t="str">
        <f>_xll.RssMarket(A939,"銘柄名称")</f>
        <v>プリントネット</v>
      </c>
      <c r="C939" s="21">
        <f>_xll.RssMarket(A939,"現在値")</f>
        <v>641</v>
      </c>
      <c r="D939" s="20" t="str">
        <f>_xll.RssMarket(A939,"現在値詳細時刻")</f>
        <v>14:16:06</v>
      </c>
      <c r="E939" s="22">
        <f>_xll.RssMarket(A939,"前日比")</f>
        <v>-1</v>
      </c>
      <c r="F939" s="23">
        <f>_xll.RssMarket(A939,"前日比率")/100</f>
        <v>-1.6000000000000001E-3</v>
      </c>
      <c r="G939" s="24" t="str">
        <f>IFERROR(VLOOKUP(A939,取得元!$A$2:$F$501,2,FALSE),"-")</f>
        <v>-</v>
      </c>
      <c r="H939" s="24" t="str">
        <f>IFERROR(VLOOKUP(A939,取得元!$A$2:$F$501,3,FALSE),"-")</f>
        <v>-</v>
      </c>
      <c r="I939" s="24" t="str">
        <f>IFERROR(VLOOKUP(A939,取得元!$A$2:$F$501,4,FALSE),"-")</f>
        <v>-</v>
      </c>
      <c r="J939" s="5" t="str">
        <f>IFERROR(VLOOKUP(A939,取得元!$A$2:$F$501,5,FALSE),"-")</f>
        <v>-</v>
      </c>
      <c r="K939" s="25" t="str">
        <f>IFERROR(VLOOKUP(A939,取得元!$A$2:$F$501,6,FALSE)/100,"-")</f>
        <v>-</v>
      </c>
      <c r="L939" s="21">
        <f>_xll.RssMarket(A939,"始値")</f>
        <v>642</v>
      </c>
      <c r="M939" s="4">
        <f t="shared" si="85"/>
        <v>-1.5576323987538387E-3</v>
      </c>
      <c r="N939" s="21">
        <f>_xll.RssMarket(A939,"高値")</f>
        <v>642</v>
      </c>
      <c r="O939" s="4">
        <f t="shared" si="86"/>
        <v>-1.5576323987538387E-3</v>
      </c>
      <c r="P939" s="21">
        <f>_xll.RssMarket(A939,"安値")</f>
        <v>638</v>
      </c>
      <c r="Q939" s="4">
        <f t="shared" si="87"/>
        <v>4.7021943573668512E-3</v>
      </c>
      <c r="R939" s="21">
        <f>_xll.RssMarket(A939,"後場始値")</f>
        <v>639</v>
      </c>
      <c r="S939" s="25">
        <f t="shared" si="88"/>
        <v>3.129890453834161E-3</v>
      </c>
      <c r="T939" s="7">
        <f>_xll.RssMarket(A939,"出来高加重平均")</f>
        <v>639.6875</v>
      </c>
      <c r="U939" s="4">
        <f t="shared" si="89"/>
        <v>2.0517830972155426E-3</v>
      </c>
      <c r="V939" s="21">
        <f>_xll.RssMarket(A939,"出来高")</f>
        <v>6400</v>
      </c>
      <c r="W939" s="21">
        <f>_xll.RssMarket(A939,"売買代金")</f>
        <v>4094</v>
      </c>
      <c r="X939" s="20" t="str">
        <f>_xll.RssMarket(A939,"決算発表日")</f>
        <v>2024/01/12</v>
      </c>
      <c r="Y939" s="26" t="str">
        <f>IF(C939&gt;_xll.RssMarket(A939,"年初来高値"),"○","×")</f>
        <v>×</v>
      </c>
      <c r="Z939" s="27" t="str">
        <f>IF(C939&lt;=_xll.RssMarket(A939,"年初来安値"),"○","×")</f>
        <v>×</v>
      </c>
    </row>
    <row r="940" spans="1:26" x14ac:dyDescent="0.25">
      <c r="A940" s="47">
        <v>7814</v>
      </c>
      <c r="B940" s="20" t="str">
        <f>_xll.RssMarket(A940,"銘柄名称")</f>
        <v>日本創発グループ</v>
      </c>
      <c r="C940" s="21">
        <f>_xll.RssMarket(A940,"現在値")</f>
        <v>607</v>
      </c>
      <c r="D940" s="20" t="str">
        <f>_xll.RssMarket(A940,"現在値詳細時刻")</f>
        <v>15:00:00</v>
      </c>
      <c r="E940" s="22">
        <f>_xll.RssMarket(A940,"前日比")</f>
        <v>-4</v>
      </c>
      <c r="F940" s="23">
        <f>_xll.RssMarket(A940,"前日比率")/100</f>
        <v>-6.5000000000000006E-3</v>
      </c>
      <c r="G940" s="24" t="str">
        <f>IFERROR(VLOOKUP(A940,取得元!$A$2:$F$501,2,FALSE),"-")</f>
        <v>-</v>
      </c>
      <c r="H940" s="24" t="str">
        <f>IFERROR(VLOOKUP(A940,取得元!$A$2:$F$501,3,FALSE),"-")</f>
        <v>-</v>
      </c>
      <c r="I940" s="24" t="str">
        <f>IFERROR(VLOOKUP(A940,取得元!$A$2:$F$501,4,FALSE),"-")</f>
        <v>-</v>
      </c>
      <c r="J940" s="5" t="str">
        <f>IFERROR(VLOOKUP(A940,取得元!$A$2:$F$501,5,FALSE),"-")</f>
        <v>-</v>
      </c>
      <c r="K940" s="25" t="str">
        <f>IFERROR(VLOOKUP(A940,取得元!$A$2:$F$501,6,FALSE)/100,"-")</f>
        <v>-</v>
      </c>
      <c r="L940" s="21">
        <f>_xll.RssMarket(A940,"始値")</f>
        <v>605</v>
      </c>
      <c r="M940" s="4">
        <f t="shared" si="85"/>
        <v>3.3057851239668423E-3</v>
      </c>
      <c r="N940" s="21">
        <f>_xll.RssMarket(A940,"高値")</f>
        <v>609</v>
      </c>
      <c r="O940" s="4">
        <f t="shared" si="86"/>
        <v>-3.284072249589487E-3</v>
      </c>
      <c r="P940" s="21">
        <f>_xll.RssMarket(A940,"安値")</f>
        <v>605</v>
      </c>
      <c r="Q940" s="4">
        <f t="shared" si="87"/>
        <v>3.3057851239668423E-3</v>
      </c>
      <c r="R940" s="21">
        <f>_xll.RssMarket(A940,"後場始値")</f>
        <v>607</v>
      </c>
      <c r="S940" s="25">
        <f t="shared" si="88"/>
        <v>0</v>
      </c>
      <c r="T940" s="7">
        <f>_xll.RssMarket(A940,"出来高加重平均")</f>
        <v>606.85709999999995</v>
      </c>
      <c r="U940" s="4">
        <f t="shared" si="89"/>
        <v>2.3547553452041292E-4</v>
      </c>
      <c r="V940" s="21">
        <f>_xll.RssMarket(A940,"出来高")</f>
        <v>3500</v>
      </c>
      <c r="W940" s="21">
        <f>_xll.RssMarket(A940,"売買代金")</f>
        <v>2124</v>
      </c>
      <c r="X940" s="20" t="str">
        <f>_xll.RssMarket(A940,"決算発表日")</f>
        <v>2024/02/14</v>
      </c>
      <c r="Y940" s="26" t="str">
        <f>IF(C940&gt;_xll.RssMarket(A940,"年初来高値"),"○","×")</f>
        <v>×</v>
      </c>
      <c r="Z940" s="27" t="str">
        <f>IF(C940&lt;=_xll.RssMarket(A940,"年初来安値"),"○","×")</f>
        <v>×</v>
      </c>
    </row>
    <row r="941" spans="1:26" x14ac:dyDescent="0.25">
      <c r="A941" s="49">
        <v>7823</v>
      </c>
      <c r="B941" s="20" t="str">
        <f>_xll.RssMarket(A941,"銘柄名称")</f>
        <v>アートネイチャー</v>
      </c>
      <c r="C941" s="21">
        <f>_xll.RssMarket(A941,"現在値")</f>
        <v>797</v>
      </c>
      <c r="D941" s="20" t="str">
        <f>_xll.RssMarket(A941,"現在値詳細時刻")</f>
        <v>15:00:00</v>
      </c>
      <c r="E941" s="22">
        <f>_xll.RssMarket(A941,"前日比")</f>
        <v>-2</v>
      </c>
      <c r="F941" s="23">
        <f>_xll.RssMarket(A941,"前日比率")/100</f>
        <v>-2.5000000000000001E-3</v>
      </c>
      <c r="G941" s="24" t="str">
        <f>IFERROR(VLOOKUP(A941,取得元!$A$2:$F$501,2,FALSE),"-")</f>
        <v>-</v>
      </c>
      <c r="H941" s="24" t="str">
        <f>IFERROR(VLOOKUP(A941,取得元!$A$2:$F$501,3,FALSE),"-")</f>
        <v>-</v>
      </c>
      <c r="I941" s="24" t="str">
        <f>IFERROR(VLOOKUP(A941,取得元!$A$2:$F$501,4,FALSE),"-")</f>
        <v>-</v>
      </c>
      <c r="J941" s="5" t="str">
        <f>IFERROR(VLOOKUP(A941,取得元!$A$2:$F$501,5,FALSE),"-")</f>
        <v>-</v>
      </c>
      <c r="K941" s="25" t="str">
        <f>IFERROR(VLOOKUP(A941,取得元!$A$2:$F$501,6,FALSE)/100,"-")</f>
        <v>-</v>
      </c>
      <c r="L941" s="21">
        <f>_xll.RssMarket(A941,"始値")</f>
        <v>802</v>
      </c>
      <c r="M941" s="4">
        <f t="shared" si="85"/>
        <v>-6.2344139650872821E-3</v>
      </c>
      <c r="N941" s="21">
        <f>_xll.RssMarket(A941,"高値")</f>
        <v>805</v>
      </c>
      <c r="O941" s="4">
        <f t="shared" si="86"/>
        <v>-9.9378881987577383E-3</v>
      </c>
      <c r="P941" s="21">
        <f>_xll.RssMarket(A941,"安値")</f>
        <v>796</v>
      </c>
      <c r="Q941" s="4">
        <f t="shared" si="87"/>
        <v>1.2562814070351536E-3</v>
      </c>
      <c r="R941" s="21">
        <f>_xll.RssMarket(A941,"後場始値")</f>
        <v>800</v>
      </c>
      <c r="S941" s="25">
        <f t="shared" si="88"/>
        <v>-3.7500000000000311E-3</v>
      </c>
      <c r="T941" s="7">
        <f>_xll.RssMarket(A941,"出来高加重平均")</f>
        <v>800.27020000000005</v>
      </c>
      <c r="U941" s="4">
        <f t="shared" si="89"/>
        <v>-4.0863698285904526E-3</v>
      </c>
      <c r="V941" s="21">
        <f>_xll.RssMarket(A941,"出来高")</f>
        <v>22200</v>
      </c>
      <c r="W941" s="21">
        <f>_xll.RssMarket(A941,"売買代金")</f>
        <v>17766</v>
      </c>
      <c r="X941" s="20" t="str">
        <f>_xll.RssMarket(A941,"決算発表日")</f>
        <v>2024/01/30</v>
      </c>
      <c r="Y941" s="26" t="str">
        <f>IF(C941&gt;_xll.RssMarket(A941,"年初来高値"),"○","×")</f>
        <v>×</v>
      </c>
      <c r="Z941" s="27" t="str">
        <f>IF(C941&lt;=_xll.RssMarket(A941,"年初来安値"),"○","×")</f>
        <v>×</v>
      </c>
    </row>
    <row r="942" spans="1:26" x14ac:dyDescent="0.25">
      <c r="A942" s="47">
        <v>7829</v>
      </c>
      <c r="B942" s="20" t="str">
        <f>_xll.RssMarket(A942,"銘柄名称")</f>
        <v>サマンサタバサジャパン</v>
      </c>
      <c r="C942" s="21">
        <f>_xll.RssMarket(A942,"現在値")</f>
        <v>90</v>
      </c>
      <c r="D942" s="20" t="str">
        <f>_xll.RssMarket(A942,"現在値詳細時刻")</f>
        <v>15:00:00</v>
      </c>
      <c r="E942" s="22">
        <f>_xll.RssMarket(A942,"前日比")</f>
        <v>2</v>
      </c>
      <c r="F942" s="23">
        <f>_xll.RssMarket(A942,"前日比率")/100</f>
        <v>2.2700000000000001E-2</v>
      </c>
      <c r="G942" s="24" t="str">
        <f>IFERROR(VLOOKUP(A942,取得元!$A$2:$F$501,2,FALSE),"-")</f>
        <v>-</v>
      </c>
      <c r="H942" s="24" t="str">
        <f>IFERROR(VLOOKUP(A942,取得元!$A$2:$F$501,3,FALSE),"-")</f>
        <v>-</v>
      </c>
      <c r="I942" s="24" t="str">
        <f>IFERROR(VLOOKUP(A942,取得元!$A$2:$F$501,4,FALSE),"-")</f>
        <v>-</v>
      </c>
      <c r="J942" s="5" t="str">
        <f>IFERROR(VLOOKUP(A942,取得元!$A$2:$F$501,5,FALSE),"-")</f>
        <v>-</v>
      </c>
      <c r="K942" s="25" t="str">
        <f>IFERROR(VLOOKUP(A942,取得元!$A$2:$F$501,6,FALSE)/100,"-")</f>
        <v>-</v>
      </c>
      <c r="L942" s="21">
        <f>_xll.RssMarket(A942,"始値")</f>
        <v>88</v>
      </c>
      <c r="M942" s="4">
        <f t="shared" si="85"/>
        <v>2.2727272727272707E-2</v>
      </c>
      <c r="N942" s="21">
        <f>_xll.RssMarket(A942,"高値")</f>
        <v>90</v>
      </c>
      <c r="O942" s="4">
        <f t="shared" si="86"/>
        <v>0</v>
      </c>
      <c r="P942" s="21">
        <f>_xll.RssMarket(A942,"安値")</f>
        <v>88</v>
      </c>
      <c r="Q942" s="4">
        <f t="shared" si="87"/>
        <v>2.2727272727272707E-2</v>
      </c>
      <c r="R942" s="21">
        <f>_xll.RssMarket(A942,"後場始値")</f>
        <v>89</v>
      </c>
      <c r="S942" s="25">
        <f t="shared" si="88"/>
        <v>1.1235955056179803E-2</v>
      </c>
      <c r="T942" s="7">
        <f>_xll.RssMarket(A942,"出来高加重平均")</f>
        <v>88.956199999999995</v>
      </c>
      <c r="U942" s="4">
        <f t="shared" si="89"/>
        <v>1.1733864531083826E-2</v>
      </c>
      <c r="V942" s="21">
        <f>_xll.RssMarket(A942,"出来高")</f>
        <v>59400</v>
      </c>
      <c r="W942" s="21">
        <f>_xll.RssMarket(A942,"売買代金")</f>
        <v>5284</v>
      </c>
      <c r="X942" s="20" t="str">
        <f>_xll.RssMarket(A942,"決算発表日")</f>
        <v>2024/01/12</v>
      </c>
      <c r="Y942" s="26" t="str">
        <f>IF(C942&gt;_xll.RssMarket(A942,"年初来高値"),"○","×")</f>
        <v>×</v>
      </c>
      <c r="Z942" s="27" t="str">
        <f>IF(C942&lt;=_xll.RssMarket(A942,"年初来安値"),"○","×")</f>
        <v>×</v>
      </c>
    </row>
    <row r="943" spans="1:26" x14ac:dyDescent="0.25">
      <c r="A943" s="49">
        <v>7836</v>
      </c>
      <c r="B943" s="20" t="str">
        <f>_xll.RssMarket(A943,"銘柄名称")</f>
        <v>アビックス</v>
      </c>
      <c r="C943" s="21">
        <f>_xll.RssMarket(A943,"現在値")</f>
        <v>89</v>
      </c>
      <c r="D943" s="20" t="str">
        <f>_xll.RssMarket(A943,"現在値詳細時刻")</f>
        <v>15:00:00</v>
      </c>
      <c r="E943" s="22">
        <f>_xll.RssMarket(A943,"前日比")</f>
        <v>-1</v>
      </c>
      <c r="F943" s="23">
        <f>_xll.RssMarket(A943,"前日比率")/100</f>
        <v>-1.11E-2</v>
      </c>
      <c r="G943" s="24" t="str">
        <f>IFERROR(VLOOKUP(A943,取得元!$A$2:$F$501,2,FALSE),"-")</f>
        <v>-</v>
      </c>
      <c r="H943" s="24" t="str">
        <f>IFERROR(VLOOKUP(A943,取得元!$A$2:$F$501,3,FALSE),"-")</f>
        <v>-</v>
      </c>
      <c r="I943" s="24" t="str">
        <f>IFERROR(VLOOKUP(A943,取得元!$A$2:$F$501,4,FALSE),"-")</f>
        <v>-</v>
      </c>
      <c r="J943" s="5" t="str">
        <f>IFERROR(VLOOKUP(A943,取得元!$A$2:$F$501,5,FALSE),"-")</f>
        <v>-</v>
      </c>
      <c r="K943" s="25" t="str">
        <f>IFERROR(VLOOKUP(A943,取得元!$A$2:$F$501,6,FALSE)/100,"-")</f>
        <v>-</v>
      </c>
      <c r="L943" s="21">
        <f>_xll.RssMarket(A943,"始値")</f>
        <v>90</v>
      </c>
      <c r="M943" s="4">
        <f t="shared" si="85"/>
        <v>-1.1111111111111072E-2</v>
      </c>
      <c r="N943" s="21">
        <f>_xll.RssMarket(A943,"高値")</f>
        <v>91</v>
      </c>
      <c r="O943" s="4">
        <f t="shared" si="86"/>
        <v>-2.1978021978022011E-2</v>
      </c>
      <c r="P943" s="21">
        <f>_xll.RssMarket(A943,"安値")</f>
        <v>88</v>
      </c>
      <c r="Q943" s="4">
        <f t="shared" si="87"/>
        <v>1.1363636363636465E-2</v>
      </c>
      <c r="R943" s="21">
        <f>_xll.RssMarket(A943,"後場始値")</f>
        <v>90</v>
      </c>
      <c r="S943" s="25">
        <f t="shared" si="88"/>
        <v>-1.1111111111111072E-2</v>
      </c>
      <c r="T943" s="7">
        <f>_xll.RssMarket(A943,"出来高加重平均")</f>
        <v>89.563299999999998</v>
      </c>
      <c r="U943" s="4">
        <f t="shared" si="89"/>
        <v>-6.2894064868087574E-3</v>
      </c>
      <c r="V943" s="21">
        <f>_xll.RssMarket(A943,"出来高")</f>
        <v>114500</v>
      </c>
      <c r="W943" s="21">
        <f>_xll.RssMarket(A943,"売買代金")</f>
        <v>10255</v>
      </c>
      <c r="X943" s="20" t="str">
        <f>_xll.RssMarket(A943,"決算発表日")</f>
        <v>2024/02/14</v>
      </c>
      <c r="Y943" s="26" t="str">
        <f>IF(C943&gt;_xll.RssMarket(A943,"年初来高値"),"○","×")</f>
        <v>×</v>
      </c>
      <c r="Z943" s="27" t="str">
        <f>IF(C943&lt;=_xll.RssMarket(A943,"年初来安値"),"○","×")</f>
        <v>×</v>
      </c>
    </row>
    <row r="944" spans="1:26" x14ac:dyDescent="0.25">
      <c r="A944" s="47">
        <v>7837</v>
      </c>
      <c r="B944" s="20" t="str">
        <f>_xll.RssMarket(A944,"銘柄名称")</f>
        <v>アールシーコア</v>
      </c>
      <c r="C944" s="21">
        <f>_xll.RssMarket(A944,"現在値")</f>
        <v>437</v>
      </c>
      <c r="D944" s="20" t="str">
        <f>_xll.RssMarket(A944,"現在値詳細時刻")</f>
        <v>15:00:00</v>
      </c>
      <c r="E944" s="22">
        <f>_xll.RssMarket(A944,"前日比")</f>
        <v>5</v>
      </c>
      <c r="F944" s="23">
        <f>_xll.RssMarket(A944,"前日比率")/100</f>
        <v>1.1599999999999999E-2</v>
      </c>
      <c r="G944" s="24" t="str">
        <f>IFERROR(VLOOKUP(A944,取得元!$A$2:$F$501,2,FALSE),"-")</f>
        <v>-</v>
      </c>
      <c r="H944" s="24" t="str">
        <f>IFERROR(VLOOKUP(A944,取得元!$A$2:$F$501,3,FALSE),"-")</f>
        <v>-</v>
      </c>
      <c r="I944" s="24" t="str">
        <f>IFERROR(VLOOKUP(A944,取得元!$A$2:$F$501,4,FALSE),"-")</f>
        <v>-</v>
      </c>
      <c r="J944" s="5" t="str">
        <f>IFERROR(VLOOKUP(A944,取得元!$A$2:$F$501,5,FALSE),"-")</f>
        <v>-</v>
      </c>
      <c r="K944" s="25" t="str">
        <f>IFERROR(VLOOKUP(A944,取得元!$A$2:$F$501,6,FALSE)/100,"-")</f>
        <v>-</v>
      </c>
      <c r="L944" s="21">
        <f>_xll.RssMarket(A944,"始値")</f>
        <v>428</v>
      </c>
      <c r="M944" s="4">
        <f t="shared" si="85"/>
        <v>2.1028037383177489E-2</v>
      </c>
      <c r="N944" s="21">
        <f>_xll.RssMarket(A944,"高値")</f>
        <v>437</v>
      </c>
      <c r="O944" s="4">
        <f t="shared" si="86"/>
        <v>0</v>
      </c>
      <c r="P944" s="21">
        <f>_xll.RssMarket(A944,"安値")</f>
        <v>428</v>
      </c>
      <c r="Q944" s="4">
        <f t="shared" si="87"/>
        <v>2.1028037383177489E-2</v>
      </c>
      <c r="R944" s="21">
        <f>_xll.RssMarket(A944,"後場始値")</f>
        <v>431</v>
      </c>
      <c r="S944" s="25">
        <f t="shared" si="88"/>
        <v>1.3921113689095099E-2</v>
      </c>
      <c r="T944" s="7">
        <f>_xll.RssMarket(A944,"出来高加重平均")</f>
        <v>431.1764</v>
      </c>
      <c r="U944" s="4">
        <f t="shared" si="89"/>
        <v>1.3506305076066205E-2</v>
      </c>
      <c r="V944" s="21">
        <f>_xll.RssMarket(A944,"出来高")</f>
        <v>1700</v>
      </c>
      <c r="W944" s="21">
        <f>_xll.RssMarket(A944,"売買代金")</f>
        <v>733</v>
      </c>
      <c r="X944" s="20" t="str">
        <f>_xll.RssMarket(A944,"決算発表日")</f>
        <v>2024/02/14</v>
      </c>
      <c r="Y944" s="26" t="str">
        <f>IF(C944&gt;_xll.RssMarket(A944,"年初来高値"),"○","×")</f>
        <v>×</v>
      </c>
      <c r="Z944" s="27" t="str">
        <f>IF(C944&lt;=_xll.RssMarket(A944,"年初来安値"),"○","×")</f>
        <v>×</v>
      </c>
    </row>
    <row r="945" spans="1:26" x14ac:dyDescent="0.25">
      <c r="A945" s="49">
        <v>7844</v>
      </c>
      <c r="B945" s="20" t="str">
        <f>_xll.RssMarket(A945,"銘柄名称")</f>
        <v>マーベラス</v>
      </c>
      <c r="C945" s="21">
        <f>_xll.RssMarket(A945,"現在値")</f>
        <v>741</v>
      </c>
      <c r="D945" s="20" t="str">
        <f>_xll.RssMarket(A945,"現在値詳細時刻")</f>
        <v>15:00:00</v>
      </c>
      <c r="E945" s="22">
        <f>_xll.RssMarket(A945,"前日比")</f>
        <v>-8</v>
      </c>
      <c r="F945" s="23">
        <f>_xll.RssMarket(A945,"前日比率")/100</f>
        <v>-1.0700000000000001E-2</v>
      </c>
      <c r="G945" s="24" t="str">
        <f>IFERROR(VLOOKUP(A945,取得元!$A$2:$F$501,2,FALSE),"-")</f>
        <v>-</v>
      </c>
      <c r="H945" s="24" t="str">
        <f>IFERROR(VLOOKUP(A945,取得元!$A$2:$F$501,3,FALSE),"-")</f>
        <v>-</v>
      </c>
      <c r="I945" s="24" t="str">
        <f>IFERROR(VLOOKUP(A945,取得元!$A$2:$F$501,4,FALSE),"-")</f>
        <v>-</v>
      </c>
      <c r="J945" s="5" t="str">
        <f>IFERROR(VLOOKUP(A945,取得元!$A$2:$F$501,5,FALSE),"-")</f>
        <v>-</v>
      </c>
      <c r="K945" s="25" t="str">
        <f>IFERROR(VLOOKUP(A945,取得元!$A$2:$F$501,6,FALSE)/100,"-")</f>
        <v>-</v>
      </c>
      <c r="L945" s="21">
        <f>_xll.RssMarket(A945,"始値")</f>
        <v>749</v>
      </c>
      <c r="M945" s="4">
        <f t="shared" si="85"/>
        <v>-1.0680907877169576E-2</v>
      </c>
      <c r="N945" s="21">
        <f>_xll.RssMarket(A945,"高値")</f>
        <v>749</v>
      </c>
      <c r="O945" s="4">
        <f t="shared" si="86"/>
        <v>-1.0680907877169576E-2</v>
      </c>
      <c r="P945" s="21">
        <f>_xll.RssMarket(A945,"安値")</f>
        <v>740</v>
      </c>
      <c r="Q945" s="4">
        <f t="shared" si="87"/>
        <v>1.3513513513514486E-3</v>
      </c>
      <c r="R945" s="21">
        <f>_xll.RssMarket(A945,"後場始値")</f>
        <v>744</v>
      </c>
      <c r="S945" s="25">
        <f t="shared" si="88"/>
        <v>-4.0322580645161255E-3</v>
      </c>
      <c r="T945" s="7">
        <f>_xll.RssMarket(A945,"出来高加重平均")</f>
        <v>744.05039999999997</v>
      </c>
      <c r="U945" s="4">
        <f t="shared" si="89"/>
        <v>-4.0997222768779373E-3</v>
      </c>
      <c r="V945" s="21">
        <f>_xll.RssMarket(A945,"出来高")</f>
        <v>142700</v>
      </c>
      <c r="W945" s="21">
        <f>_xll.RssMarket(A945,"売買代金")</f>
        <v>106176</v>
      </c>
      <c r="X945" s="20" t="str">
        <f>_xll.RssMarket(A945,"決算発表日")</f>
        <v>2024/01/31</v>
      </c>
      <c r="Y945" s="26" t="str">
        <f>IF(C945&gt;_xll.RssMarket(A945,"年初来高値"),"○","×")</f>
        <v>×</v>
      </c>
      <c r="Z945" s="27" t="str">
        <f>IF(C945&lt;=_xll.RssMarket(A945,"年初来安値"),"○","×")</f>
        <v>×</v>
      </c>
    </row>
    <row r="946" spans="1:26" x14ac:dyDescent="0.25">
      <c r="A946" s="47">
        <v>7851</v>
      </c>
      <c r="B946" s="20" t="str">
        <f>_xll.RssMarket(A946,"銘柄名称")</f>
        <v>カワセコンピュータサプライ</v>
      </c>
      <c r="C946" s="21">
        <f>_xll.RssMarket(A946,"現在値")</f>
        <v>251</v>
      </c>
      <c r="D946" s="20" t="str">
        <f>_xll.RssMarket(A946,"現在値詳細時刻")</f>
        <v>15:00:00</v>
      </c>
      <c r="E946" s="22">
        <f>_xll.RssMarket(A946,"前日比")</f>
        <v>1</v>
      </c>
      <c r="F946" s="23">
        <f>_xll.RssMarket(A946,"前日比率")/100</f>
        <v>4.0000000000000001E-3</v>
      </c>
      <c r="G946" s="24" t="str">
        <f>IFERROR(VLOOKUP(A946,取得元!$A$2:$F$501,2,FALSE),"-")</f>
        <v>-</v>
      </c>
      <c r="H946" s="24" t="str">
        <f>IFERROR(VLOOKUP(A946,取得元!$A$2:$F$501,3,FALSE),"-")</f>
        <v>-</v>
      </c>
      <c r="I946" s="24" t="str">
        <f>IFERROR(VLOOKUP(A946,取得元!$A$2:$F$501,4,FALSE),"-")</f>
        <v>-</v>
      </c>
      <c r="J946" s="5" t="str">
        <f>IFERROR(VLOOKUP(A946,取得元!$A$2:$F$501,5,FALSE),"-")</f>
        <v>-</v>
      </c>
      <c r="K946" s="25" t="str">
        <f>IFERROR(VLOOKUP(A946,取得元!$A$2:$F$501,6,FALSE)/100,"-")</f>
        <v>-</v>
      </c>
      <c r="L946" s="21">
        <f>_xll.RssMarket(A946,"始値")</f>
        <v>250</v>
      </c>
      <c r="M946" s="4">
        <f t="shared" si="85"/>
        <v>4.0000000000000036E-3</v>
      </c>
      <c r="N946" s="21">
        <f>_xll.RssMarket(A946,"高値")</f>
        <v>253</v>
      </c>
      <c r="O946" s="4">
        <f t="shared" si="86"/>
        <v>-7.905138339920903E-3</v>
      </c>
      <c r="P946" s="21">
        <f>_xll.RssMarket(A946,"安値")</f>
        <v>249</v>
      </c>
      <c r="Q946" s="4">
        <f t="shared" si="87"/>
        <v>8.0321285140563248E-3</v>
      </c>
      <c r="R946" s="21">
        <f>_xll.RssMarket(A946,"後場始値")</f>
        <v>252</v>
      </c>
      <c r="S946" s="25">
        <f t="shared" si="88"/>
        <v>-3.9682539682539542E-3</v>
      </c>
      <c r="T946" s="7">
        <f>_xll.RssMarket(A946,"出来高加重平均")</f>
        <v>251.42850000000001</v>
      </c>
      <c r="U946" s="4">
        <f t="shared" si="89"/>
        <v>-1.7042618478017024E-3</v>
      </c>
      <c r="V946" s="21">
        <f>_xll.RssMarket(A946,"出来高")</f>
        <v>9100</v>
      </c>
      <c r="W946" s="21">
        <f>_xll.RssMarket(A946,"売買代金")</f>
        <v>2288</v>
      </c>
      <c r="X946" s="20" t="str">
        <f>_xll.RssMarket(A946,"決算発表日")</f>
        <v>2024/02/13</v>
      </c>
      <c r="Y946" s="26" t="str">
        <f>IF(C946&gt;_xll.RssMarket(A946,"年初来高値"),"○","×")</f>
        <v>×</v>
      </c>
      <c r="Z946" s="27" t="str">
        <f>IF(C946&lt;=_xll.RssMarket(A946,"年初来安値"),"○","×")</f>
        <v>×</v>
      </c>
    </row>
    <row r="947" spans="1:26" x14ac:dyDescent="0.25">
      <c r="A947" s="49">
        <v>7856</v>
      </c>
      <c r="B947" s="20" t="str">
        <f>_xll.RssMarket(A947,"銘柄名称")</f>
        <v>萩原工業</v>
      </c>
      <c r="C947" s="21">
        <f>_xll.RssMarket(A947,"現在値")</f>
        <v>1489</v>
      </c>
      <c r="D947" s="20" t="str">
        <f>_xll.RssMarket(A947,"現在値詳細時刻")</f>
        <v>15:00:00</v>
      </c>
      <c r="E947" s="22">
        <f>_xll.RssMarket(A947,"前日比")</f>
        <v>-11</v>
      </c>
      <c r="F947" s="23">
        <f>_xll.RssMarket(A947,"前日比率")/100</f>
        <v>-7.3000000000000001E-3</v>
      </c>
      <c r="G947" s="24" t="str">
        <f>IFERROR(VLOOKUP(A947,取得元!$A$2:$F$501,2,FALSE),"-")</f>
        <v>-</v>
      </c>
      <c r="H947" s="24" t="str">
        <f>IFERROR(VLOOKUP(A947,取得元!$A$2:$F$501,3,FALSE),"-")</f>
        <v>-</v>
      </c>
      <c r="I947" s="24" t="str">
        <f>IFERROR(VLOOKUP(A947,取得元!$A$2:$F$501,4,FALSE),"-")</f>
        <v>-</v>
      </c>
      <c r="J947" s="5" t="str">
        <f>IFERROR(VLOOKUP(A947,取得元!$A$2:$F$501,5,FALSE),"-")</f>
        <v>-</v>
      </c>
      <c r="K947" s="25" t="str">
        <f>IFERROR(VLOOKUP(A947,取得元!$A$2:$F$501,6,FALSE)/100,"-")</f>
        <v>-</v>
      </c>
      <c r="L947" s="21">
        <f>_xll.RssMarket(A947,"始値")</f>
        <v>1490</v>
      </c>
      <c r="M947" s="4">
        <f t="shared" si="85"/>
        <v>-6.7114093959730337E-4</v>
      </c>
      <c r="N947" s="21">
        <f>_xll.RssMarket(A947,"高値")</f>
        <v>1501</v>
      </c>
      <c r="O947" s="4">
        <f t="shared" si="86"/>
        <v>-7.9946702198534503E-3</v>
      </c>
      <c r="P947" s="21">
        <f>_xll.RssMarket(A947,"安値")</f>
        <v>1488</v>
      </c>
      <c r="Q947" s="4">
        <f t="shared" si="87"/>
        <v>6.7204301075274309E-4</v>
      </c>
      <c r="R947" s="21">
        <f>_xll.RssMarket(A947,"後場始値")</f>
        <v>1494</v>
      </c>
      <c r="S947" s="25">
        <f t="shared" si="88"/>
        <v>-3.3467202141901353E-3</v>
      </c>
      <c r="T947" s="7">
        <f>_xll.RssMarket(A947,"出来高加重平均")</f>
        <v>1493.3939</v>
      </c>
      <c r="U947" s="4">
        <f t="shared" si="89"/>
        <v>-2.9422244191569247E-3</v>
      </c>
      <c r="V947" s="21">
        <f>_xll.RssMarket(A947,"出来高")</f>
        <v>49500</v>
      </c>
      <c r="W947" s="21">
        <f>_xll.RssMarket(A947,"売買代金")</f>
        <v>73923</v>
      </c>
      <c r="X947" s="20" t="str">
        <f>_xll.RssMarket(A947,"決算発表日")</f>
        <v>2024/03/11</v>
      </c>
      <c r="Y947" s="26" t="str">
        <f>IF(C947&gt;_xll.RssMarket(A947,"年初来高値"),"○","×")</f>
        <v>×</v>
      </c>
      <c r="Z947" s="27" t="str">
        <f>IF(C947&lt;=_xll.RssMarket(A947,"年初来安値"),"○","×")</f>
        <v>×</v>
      </c>
    </row>
    <row r="948" spans="1:26" x14ac:dyDescent="0.25">
      <c r="A948" s="47">
        <v>7859</v>
      </c>
      <c r="B948" s="20" t="str">
        <f>_xll.RssMarket(A948,"銘柄名称")</f>
        <v>アルメディオ</v>
      </c>
      <c r="C948" s="21">
        <f>_xll.RssMarket(A948,"現在値")</f>
        <v>1309</v>
      </c>
      <c r="D948" s="20" t="str">
        <f>_xll.RssMarket(A948,"現在値詳細時刻")</f>
        <v>15:00:00</v>
      </c>
      <c r="E948" s="22">
        <f>_xll.RssMarket(A948,"前日比")</f>
        <v>196</v>
      </c>
      <c r="F948" s="23">
        <f>_xll.RssMarket(A948,"前日比率")/100</f>
        <v>0.17610000000000001</v>
      </c>
      <c r="G948" s="24" t="str">
        <f>IFERROR(VLOOKUP(A948,取得元!$A$2:$F$501,2,FALSE),"-")</f>
        <v>-</v>
      </c>
      <c r="H948" s="24" t="str">
        <f>IFERROR(VLOOKUP(A948,取得元!$A$2:$F$501,3,FALSE),"-")</f>
        <v>-</v>
      </c>
      <c r="I948" s="24" t="str">
        <f>IFERROR(VLOOKUP(A948,取得元!$A$2:$F$501,4,FALSE),"-")</f>
        <v>-</v>
      </c>
      <c r="J948" s="5" t="str">
        <f>IFERROR(VLOOKUP(A948,取得元!$A$2:$F$501,5,FALSE),"-")</f>
        <v>-</v>
      </c>
      <c r="K948" s="25" t="str">
        <f>IFERROR(VLOOKUP(A948,取得元!$A$2:$F$501,6,FALSE)/100,"-")</f>
        <v>-</v>
      </c>
      <c r="L948" s="21">
        <f>_xll.RssMarket(A948,"始値")</f>
        <v>1143</v>
      </c>
      <c r="M948" s="4">
        <f t="shared" si="85"/>
        <v>0.14523184601924766</v>
      </c>
      <c r="N948" s="21">
        <f>_xll.RssMarket(A948,"高値")</f>
        <v>1347</v>
      </c>
      <c r="O948" s="4">
        <f t="shared" si="86"/>
        <v>-2.8210838901262081E-2</v>
      </c>
      <c r="P948" s="21">
        <f>_xll.RssMarket(A948,"安値")</f>
        <v>1140</v>
      </c>
      <c r="Q948" s="4">
        <f t="shared" si="87"/>
        <v>0.14824561403508763</v>
      </c>
      <c r="R948" s="21">
        <f>_xll.RssMarket(A948,"後場始値")</f>
        <v>1293</v>
      </c>
      <c r="S948" s="25">
        <f t="shared" si="88"/>
        <v>1.2374323279195742E-2</v>
      </c>
      <c r="T948" s="7">
        <f>_xll.RssMarket(A948,"出来高加重平均")</f>
        <v>1276.7965999999999</v>
      </c>
      <c r="U948" s="4">
        <f t="shared" si="89"/>
        <v>2.5222028316804757E-2</v>
      </c>
      <c r="V948" s="21">
        <f>_xll.RssMarket(A948,"出来高")</f>
        <v>8104900</v>
      </c>
      <c r="W948" s="21">
        <f>_xll.RssMarket(A948,"売買代金")</f>
        <v>10348309</v>
      </c>
      <c r="X948" s="20" t="str">
        <f>_xll.RssMarket(A948,"決算発表日")</f>
        <v>2024/02/02</v>
      </c>
      <c r="Y948" s="26" t="str">
        <f>IF(C948&gt;_xll.RssMarket(A948,"年初来高値"),"○","×")</f>
        <v>○</v>
      </c>
      <c r="Z948" s="27" t="str">
        <f>IF(C948&lt;=_xll.RssMarket(A948,"年初来安値"),"○","×")</f>
        <v>×</v>
      </c>
    </row>
    <row r="949" spans="1:26" x14ac:dyDescent="0.25">
      <c r="A949" s="49">
        <v>7867</v>
      </c>
      <c r="B949" s="20" t="str">
        <f>_xll.RssMarket(A949,"銘柄名称")</f>
        <v>タカラトミー</v>
      </c>
      <c r="C949" s="21">
        <f>_xll.RssMarket(A949,"現在値")</f>
        <v>2379.5</v>
      </c>
      <c r="D949" s="20" t="str">
        <f>_xll.RssMarket(A949,"現在値詳細時刻")</f>
        <v>15:00:00</v>
      </c>
      <c r="E949" s="22">
        <f>_xll.RssMarket(A949,"前日比")</f>
        <v>-63.5</v>
      </c>
      <c r="F949" s="23">
        <f>_xll.RssMarket(A949,"前日比率")/100</f>
        <v>-2.6000000000000002E-2</v>
      </c>
      <c r="G949" s="24" t="str">
        <f>IFERROR(VLOOKUP(A949,取得元!$A$2:$F$501,2,FALSE),"-")</f>
        <v>-</v>
      </c>
      <c r="H949" s="24" t="str">
        <f>IFERROR(VLOOKUP(A949,取得元!$A$2:$F$501,3,FALSE),"-")</f>
        <v>-</v>
      </c>
      <c r="I949" s="24" t="str">
        <f>IFERROR(VLOOKUP(A949,取得元!$A$2:$F$501,4,FALSE),"-")</f>
        <v>-</v>
      </c>
      <c r="J949" s="5" t="str">
        <f>IFERROR(VLOOKUP(A949,取得元!$A$2:$F$501,5,FALSE),"-")</f>
        <v>-</v>
      </c>
      <c r="K949" s="25" t="str">
        <f>IFERROR(VLOOKUP(A949,取得元!$A$2:$F$501,6,FALSE)/100,"-")</f>
        <v>-</v>
      </c>
      <c r="L949" s="21">
        <f>_xll.RssMarket(A949,"始値")</f>
        <v>2343</v>
      </c>
      <c r="M949" s="4">
        <f t="shared" si="85"/>
        <v>1.5578318395219837E-2</v>
      </c>
      <c r="N949" s="21">
        <f>_xll.RssMarket(A949,"高値")</f>
        <v>2387</v>
      </c>
      <c r="O949" s="4">
        <f t="shared" si="86"/>
        <v>-3.1420192710515105E-3</v>
      </c>
      <c r="P949" s="21">
        <f>_xll.RssMarket(A949,"安値")</f>
        <v>2291</v>
      </c>
      <c r="Q949" s="4">
        <f t="shared" si="87"/>
        <v>3.8629419467481441E-2</v>
      </c>
      <c r="R949" s="21">
        <f>_xll.RssMarket(A949,"後場始値")</f>
        <v>2340</v>
      </c>
      <c r="S949" s="25">
        <f t="shared" si="88"/>
        <v>1.688034188034182E-2</v>
      </c>
      <c r="T949" s="7">
        <f>_xll.RssMarket(A949,"出来高加重平均")</f>
        <v>2350.4234000000001</v>
      </c>
      <c r="U949" s="4">
        <f t="shared" si="89"/>
        <v>1.2370792428291866E-2</v>
      </c>
      <c r="V949" s="21">
        <f>_xll.RssMarket(A949,"出来高")</f>
        <v>2005000</v>
      </c>
      <c r="W949" s="21">
        <f>_xll.RssMarket(A949,"売買代金")</f>
        <v>4712599</v>
      </c>
      <c r="X949" s="20" t="str">
        <f>_xll.RssMarket(A949,"決算発表日")</f>
        <v>2024/02/06</v>
      </c>
      <c r="Y949" s="26" t="str">
        <f>IF(C949&gt;_xll.RssMarket(A949,"年初来高値"),"○","×")</f>
        <v>×</v>
      </c>
      <c r="Z949" s="27" t="str">
        <f>IF(C949&lt;=_xll.RssMarket(A949,"年初来安値"),"○","×")</f>
        <v>×</v>
      </c>
    </row>
    <row r="950" spans="1:26" x14ac:dyDescent="0.25">
      <c r="A950" s="47">
        <v>7868</v>
      </c>
      <c r="B950" s="20" t="str">
        <f>_xll.RssMarket(A950,"銘柄名称")</f>
        <v>広済堂ホールディングス</v>
      </c>
      <c r="C950" s="21">
        <f>_xll.RssMarket(A950,"現在値")</f>
        <v>739</v>
      </c>
      <c r="D950" s="20" t="str">
        <f>_xll.RssMarket(A950,"現在値詳細時刻")</f>
        <v>15:00:00</v>
      </c>
      <c r="E950" s="22">
        <f>_xll.RssMarket(A950,"前日比")</f>
        <v>3</v>
      </c>
      <c r="F950" s="23">
        <f>_xll.RssMarket(A950,"前日比率")/100</f>
        <v>4.0999999999999995E-3</v>
      </c>
      <c r="G950" s="24" t="str">
        <f>IFERROR(VLOOKUP(A950,取得元!$A$2:$F$501,2,FALSE),"-")</f>
        <v>-</v>
      </c>
      <c r="H950" s="24" t="str">
        <f>IFERROR(VLOOKUP(A950,取得元!$A$2:$F$501,3,FALSE),"-")</f>
        <v>-</v>
      </c>
      <c r="I950" s="24" t="str">
        <f>IFERROR(VLOOKUP(A950,取得元!$A$2:$F$501,4,FALSE),"-")</f>
        <v>-</v>
      </c>
      <c r="J950" s="5" t="str">
        <f>IFERROR(VLOOKUP(A950,取得元!$A$2:$F$501,5,FALSE),"-")</f>
        <v>-</v>
      </c>
      <c r="K950" s="25" t="str">
        <f>IFERROR(VLOOKUP(A950,取得元!$A$2:$F$501,6,FALSE)/100,"-")</f>
        <v>-</v>
      </c>
      <c r="L950" s="21">
        <f>_xll.RssMarket(A950,"始値")</f>
        <v>730</v>
      </c>
      <c r="M950" s="4">
        <f t="shared" si="85"/>
        <v>1.2328767123287676E-2</v>
      </c>
      <c r="N950" s="21">
        <f>_xll.RssMarket(A950,"高値")</f>
        <v>747</v>
      </c>
      <c r="O950" s="4">
        <f t="shared" si="86"/>
        <v>-1.0709504685408322E-2</v>
      </c>
      <c r="P950" s="21">
        <f>_xll.RssMarket(A950,"安値")</f>
        <v>723</v>
      </c>
      <c r="Q950" s="4">
        <f t="shared" si="87"/>
        <v>2.2130013831258566E-2</v>
      </c>
      <c r="R950" s="21">
        <f>_xll.RssMarket(A950,"後場始値")</f>
        <v>731</v>
      </c>
      <c r="S950" s="25">
        <f t="shared" si="88"/>
        <v>1.0943912448700521E-2</v>
      </c>
      <c r="T950" s="7">
        <f>_xll.RssMarket(A950,"出来高加重平均")</f>
        <v>735.67529999999999</v>
      </c>
      <c r="U950" s="4">
        <f t="shared" si="89"/>
        <v>4.519249185068519E-3</v>
      </c>
      <c r="V950" s="21">
        <f>_xll.RssMarket(A950,"出来高")</f>
        <v>447900</v>
      </c>
      <c r="W950" s="21">
        <f>_xll.RssMarket(A950,"売買代金")</f>
        <v>329509</v>
      </c>
      <c r="X950" s="20" t="str">
        <f>_xll.RssMarket(A950,"決算発表日")</f>
        <v>2024/02/09</v>
      </c>
      <c r="Y950" s="26" t="str">
        <f>IF(C950&gt;_xll.RssMarket(A950,"年初来高値"),"○","×")</f>
        <v>×</v>
      </c>
      <c r="Z950" s="27" t="str">
        <f>IF(C950&lt;=_xll.RssMarket(A950,"年初来安値"),"○","×")</f>
        <v>×</v>
      </c>
    </row>
    <row r="951" spans="1:26" x14ac:dyDescent="0.25">
      <c r="A951" s="49">
        <v>7888</v>
      </c>
      <c r="B951" s="20" t="str">
        <f>_xll.RssMarket(A951,"銘柄名称")</f>
        <v>三光合成</v>
      </c>
      <c r="C951" s="21">
        <f>_xll.RssMarket(A951,"現在値")</f>
        <v>668</v>
      </c>
      <c r="D951" s="20" t="str">
        <f>_xll.RssMarket(A951,"現在値詳細時刻")</f>
        <v>15:00:00</v>
      </c>
      <c r="E951" s="22">
        <f>_xll.RssMarket(A951,"前日比")</f>
        <v>9</v>
      </c>
      <c r="F951" s="23">
        <f>_xll.RssMarket(A951,"前日比率")/100</f>
        <v>1.37E-2</v>
      </c>
      <c r="G951" s="24" t="str">
        <f>IFERROR(VLOOKUP(A951,取得元!$A$2:$F$501,2,FALSE),"-")</f>
        <v>-</v>
      </c>
      <c r="H951" s="24" t="str">
        <f>IFERROR(VLOOKUP(A951,取得元!$A$2:$F$501,3,FALSE),"-")</f>
        <v>-</v>
      </c>
      <c r="I951" s="24" t="str">
        <f>IFERROR(VLOOKUP(A951,取得元!$A$2:$F$501,4,FALSE),"-")</f>
        <v>-</v>
      </c>
      <c r="J951" s="5" t="str">
        <f>IFERROR(VLOOKUP(A951,取得元!$A$2:$F$501,5,FALSE),"-")</f>
        <v>-</v>
      </c>
      <c r="K951" s="25" t="str">
        <f>IFERROR(VLOOKUP(A951,取得元!$A$2:$F$501,6,FALSE)/100,"-")</f>
        <v>-</v>
      </c>
      <c r="L951" s="21">
        <f>_xll.RssMarket(A951,"始値")</f>
        <v>657</v>
      </c>
      <c r="M951" s="4">
        <f t="shared" si="85"/>
        <v>1.6742770167427645E-2</v>
      </c>
      <c r="N951" s="21">
        <f>_xll.RssMarket(A951,"高値")</f>
        <v>675</v>
      </c>
      <c r="O951" s="4">
        <f t="shared" si="86"/>
        <v>-1.0370370370370363E-2</v>
      </c>
      <c r="P951" s="21">
        <f>_xll.RssMarket(A951,"安値")</f>
        <v>657</v>
      </c>
      <c r="Q951" s="4">
        <f t="shared" si="87"/>
        <v>1.6742770167427645E-2</v>
      </c>
      <c r="R951" s="21">
        <f>_xll.RssMarket(A951,"後場始値")</f>
        <v>674</v>
      </c>
      <c r="S951" s="25">
        <f t="shared" si="88"/>
        <v>-8.9020771513352859E-3</v>
      </c>
      <c r="T951" s="7">
        <f>_xll.RssMarket(A951,"出来高加重平均")</f>
        <v>669.33420000000001</v>
      </c>
      <c r="U951" s="4">
        <f t="shared" si="89"/>
        <v>-1.993324112229744E-3</v>
      </c>
      <c r="V951" s="21">
        <f>_xll.RssMarket(A951,"出来高")</f>
        <v>220800</v>
      </c>
      <c r="W951" s="21">
        <f>_xll.RssMarket(A951,"売買代金")</f>
        <v>147789</v>
      </c>
      <c r="X951" s="20" t="str">
        <f>_xll.RssMarket(A951,"決算発表日")</f>
        <v>2024/01/11</v>
      </c>
      <c r="Y951" s="26" t="str">
        <f>IF(C951&gt;_xll.RssMarket(A951,"年初来高値"),"○","×")</f>
        <v>×</v>
      </c>
      <c r="Z951" s="27" t="str">
        <f>IF(C951&lt;=_xll.RssMarket(A951,"年初来安値"),"○","×")</f>
        <v>×</v>
      </c>
    </row>
    <row r="952" spans="1:26" x14ac:dyDescent="0.25">
      <c r="A952" s="47">
        <v>7897</v>
      </c>
      <c r="B952" s="20" t="str">
        <f>_xll.RssMarket(A952,"銘柄名称")</f>
        <v>ホクシン</v>
      </c>
      <c r="C952" s="21">
        <f>_xll.RssMarket(A952,"現在値")</f>
        <v>115</v>
      </c>
      <c r="D952" s="20" t="str">
        <f>_xll.RssMarket(A952,"現在値詳細時刻")</f>
        <v>15:00:00</v>
      </c>
      <c r="E952" s="22">
        <f>_xll.RssMarket(A952,"前日比")</f>
        <v>1</v>
      </c>
      <c r="F952" s="23">
        <f>_xll.RssMarket(A952,"前日比率")/100</f>
        <v>8.8000000000000005E-3</v>
      </c>
      <c r="G952" s="24" t="str">
        <f>IFERROR(VLOOKUP(A952,取得元!$A$2:$F$501,2,FALSE),"-")</f>
        <v>-</v>
      </c>
      <c r="H952" s="24" t="str">
        <f>IFERROR(VLOOKUP(A952,取得元!$A$2:$F$501,3,FALSE),"-")</f>
        <v>-</v>
      </c>
      <c r="I952" s="24" t="str">
        <f>IFERROR(VLOOKUP(A952,取得元!$A$2:$F$501,4,FALSE),"-")</f>
        <v>-</v>
      </c>
      <c r="J952" s="5" t="str">
        <f>IFERROR(VLOOKUP(A952,取得元!$A$2:$F$501,5,FALSE),"-")</f>
        <v>-</v>
      </c>
      <c r="K952" s="25" t="str">
        <f>IFERROR(VLOOKUP(A952,取得元!$A$2:$F$501,6,FALSE)/100,"-")</f>
        <v>-</v>
      </c>
      <c r="L952" s="21">
        <f>_xll.RssMarket(A952,"始値")</f>
        <v>113</v>
      </c>
      <c r="M952" s="4">
        <f t="shared" si="85"/>
        <v>1.7699115044247815E-2</v>
      </c>
      <c r="N952" s="21">
        <f>_xll.RssMarket(A952,"高値")</f>
        <v>116</v>
      </c>
      <c r="O952" s="4">
        <f t="shared" si="86"/>
        <v>-8.6206896551723755E-3</v>
      </c>
      <c r="P952" s="21">
        <f>_xll.RssMarket(A952,"安値")</f>
        <v>113</v>
      </c>
      <c r="Q952" s="4">
        <f t="shared" si="87"/>
        <v>1.7699115044247815E-2</v>
      </c>
      <c r="R952" s="21">
        <f>_xll.RssMarket(A952,"後場始値")</f>
        <v>114</v>
      </c>
      <c r="S952" s="25">
        <f t="shared" si="88"/>
        <v>8.7719298245614308E-3</v>
      </c>
      <c r="T952" s="7">
        <f>_xll.RssMarket(A952,"出来高加重平均")</f>
        <v>114.11969999999999</v>
      </c>
      <c r="U952" s="4">
        <f t="shared" si="89"/>
        <v>7.7138303027435295E-3</v>
      </c>
      <c r="V952" s="21">
        <f>_xll.RssMarket(A952,"出来高")</f>
        <v>140300</v>
      </c>
      <c r="W952" s="21">
        <f>_xll.RssMarket(A952,"売買代金")</f>
        <v>16011</v>
      </c>
      <c r="X952" s="20" t="str">
        <f>_xll.RssMarket(A952,"決算発表日")</f>
        <v>2024/01/26</v>
      </c>
      <c r="Y952" s="26" t="str">
        <f>IF(C952&gt;_xll.RssMarket(A952,"年初来高値"),"○","×")</f>
        <v>×</v>
      </c>
      <c r="Z952" s="27" t="str">
        <f>IF(C952&lt;=_xll.RssMarket(A952,"年初来安値"),"○","×")</f>
        <v>×</v>
      </c>
    </row>
    <row r="953" spans="1:26" x14ac:dyDescent="0.25">
      <c r="A953" s="49">
        <v>7908</v>
      </c>
      <c r="B953" s="20" t="str">
        <f>_xll.RssMarket(A953,"銘柄名称")</f>
        <v>きもと</v>
      </c>
      <c r="C953" s="21">
        <f>_xll.RssMarket(A953,"現在値")</f>
        <v>211</v>
      </c>
      <c r="D953" s="20" t="str">
        <f>_xll.RssMarket(A953,"現在値詳細時刻")</f>
        <v>15:00:00</v>
      </c>
      <c r="E953" s="22">
        <f>_xll.RssMarket(A953,"前日比")</f>
        <v>-1</v>
      </c>
      <c r="F953" s="23">
        <f>_xll.RssMarket(A953,"前日比率")/100</f>
        <v>-4.6999999999999993E-3</v>
      </c>
      <c r="G953" s="24" t="str">
        <f>IFERROR(VLOOKUP(A953,取得元!$A$2:$F$501,2,FALSE),"-")</f>
        <v>-</v>
      </c>
      <c r="H953" s="24" t="str">
        <f>IFERROR(VLOOKUP(A953,取得元!$A$2:$F$501,3,FALSE),"-")</f>
        <v>-</v>
      </c>
      <c r="I953" s="24" t="str">
        <f>IFERROR(VLOOKUP(A953,取得元!$A$2:$F$501,4,FALSE),"-")</f>
        <v>-</v>
      </c>
      <c r="J953" s="5" t="str">
        <f>IFERROR(VLOOKUP(A953,取得元!$A$2:$F$501,5,FALSE),"-")</f>
        <v>-</v>
      </c>
      <c r="K953" s="25" t="str">
        <f>IFERROR(VLOOKUP(A953,取得元!$A$2:$F$501,6,FALSE)/100,"-")</f>
        <v>-</v>
      </c>
      <c r="L953" s="21">
        <f>_xll.RssMarket(A953,"始値")</f>
        <v>211</v>
      </c>
      <c r="M953" s="4">
        <f t="shared" si="85"/>
        <v>0</v>
      </c>
      <c r="N953" s="21">
        <f>_xll.RssMarket(A953,"高値")</f>
        <v>212</v>
      </c>
      <c r="O953" s="4">
        <f t="shared" si="86"/>
        <v>-4.7169811320755262E-3</v>
      </c>
      <c r="P953" s="21">
        <f>_xll.RssMarket(A953,"安値")</f>
        <v>208</v>
      </c>
      <c r="Q953" s="4">
        <f t="shared" si="87"/>
        <v>1.4423076923076872E-2</v>
      </c>
      <c r="R953" s="21">
        <f>_xll.RssMarket(A953,"後場始値")</f>
        <v>210</v>
      </c>
      <c r="S953" s="25">
        <f t="shared" si="88"/>
        <v>4.761904761904745E-3</v>
      </c>
      <c r="T953" s="7">
        <f>_xll.RssMarket(A953,"出来高加重平均")</f>
        <v>210.15530000000001</v>
      </c>
      <c r="U953" s="4">
        <f t="shared" si="89"/>
        <v>4.0194085040918814E-3</v>
      </c>
      <c r="V953" s="21">
        <f>_xll.RssMarket(A953,"出来高")</f>
        <v>83700</v>
      </c>
      <c r="W953" s="21">
        <f>_xll.RssMarket(A953,"売買代金")</f>
        <v>17590</v>
      </c>
      <c r="X953" s="20" t="str">
        <f>_xll.RssMarket(A953,"決算発表日")</f>
        <v>2024/01/29</v>
      </c>
      <c r="Y953" s="26" t="str">
        <f>IF(C953&gt;_xll.RssMarket(A953,"年初来高値"),"○","×")</f>
        <v>×</v>
      </c>
      <c r="Z953" s="27" t="str">
        <f>IF(C953&lt;=_xll.RssMarket(A953,"年初来安値"),"○","×")</f>
        <v>×</v>
      </c>
    </row>
    <row r="954" spans="1:26" x14ac:dyDescent="0.25">
      <c r="A954" s="47">
        <v>7911</v>
      </c>
      <c r="B954" s="20" t="str">
        <f>_xll.RssMarket(A954,"銘柄名称")</f>
        <v>ＴＯＰＰＡＮホールディングス</v>
      </c>
      <c r="C954" s="21">
        <f>_xll.RssMarket(A954,"現在値")</f>
        <v>3940</v>
      </c>
      <c r="D954" s="20" t="str">
        <f>_xll.RssMarket(A954,"現在値詳細時刻")</f>
        <v>15:00:00</v>
      </c>
      <c r="E954" s="22">
        <f>_xll.RssMarket(A954,"前日比")</f>
        <v>-36</v>
      </c>
      <c r="F954" s="23">
        <f>_xll.RssMarket(A954,"前日比率")/100</f>
        <v>-9.1000000000000004E-3</v>
      </c>
      <c r="G954" s="24" t="str">
        <f>IFERROR(VLOOKUP(A954,取得元!$A$2:$F$501,2,FALSE),"-")</f>
        <v>-</v>
      </c>
      <c r="H954" s="24" t="str">
        <f>IFERROR(VLOOKUP(A954,取得元!$A$2:$F$501,3,FALSE),"-")</f>
        <v>-</v>
      </c>
      <c r="I954" s="24" t="str">
        <f>IFERROR(VLOOKUP(A954,取得元!$A$2:$F$501,4,FALSE),"-")</f>
        <v>-</v>
      </c>
      <c r="J954" s="5" t="str">
        <f>IFERROR(VLOOKUP(A954,取得元!$A$2:$F$501,5,FALSE),"-")</f>
        <v>-</v>
      </c>
      <c r="K954" s="25" t="str">
        <f>IFERROR(VLOOKUP(A954,取得元!$A$2:$F$501,6,FALSE)/100,"-")</f>
        <v>-</v>
      </c>
      <c r="L954" s="21">
        <f>_xll.RssMarket(A954,"始値")</f>
        <v>3906</v>
      </c>
      <c r="M954" s="4">
        <f t="shared" si="85"/>
        <v>8.7045570916539639E-3</v>
      </c>
      <c r="N954" s="21">
        <f>_xll.RssMarket(A954,"高値")</f>
        <v>3985</v>
      </c>
      <c r="O954" s="4">
        <f t="shared" si="86"/>
        <v>-1.129234629861986E-2</v>
      </c>
      <c r="P954" s="21">
        <f>_xll.RssMarket(A954,"安値")</f>
        <v>3906</v>
      </c>
      <c r="Q954" s="4">
        <f t="shared" si="87"/>
        <v>8.7045570916539639E-3</v>
      </c>
      <c r="R954" s="21">
        <f>_xll.RssMarket(A954,"後場始値")</f>
        <v>3942</v>
      </c>
      <c r="S954" s="25">
        <f t="shared" si="88"/>
        <v>-5.0735667174028887E-4</v>
      </c>
      <c r="T954" s="7">
        <f>_xll.RssMarket(A954,"出来高加重平均")</f>
        <v>3941.6909000000001</v>
      </c>
      <c r="U954" s="4">
        <f t="shared" si="89"/>
        <v>-4.2897833516064576E-4</v>
      </c>
      <c r="V954" s="21">
        <f>_xll.RssMarket(A954,"出来高")</f>
        <v>1133700</v>
      </c>
      <c r="W954" s="21">
        <f>_xll.RssMarket(A954,"売買代金")</f>
        <v>4468695</v>
      </c>
      <c r="X954" s="20" t="str">
        <f>_xll.RssMarket(A954,"決算発表日")</f>
        <v>2024/02/14</v>
      </c>
      <c r="Y954" s="26" t="str">
        <f>IF(C954&gt;_xll.RssMarket(A954,"年初来高値"),"○","×")</f>
        <v>×</v>
      </c>
      <c r="Z954" s="27" t="str">
        <f>IF(C954&lt;=_xll.RssMarket(A954,"年初来安値"),"○","×")</f>
        <v>×</v>
      </c>
    </row>
    <row r="955" spans="1:26" x14ac:dyDescent="0.25">
      <c r="A955" s="49">
        <v>7918</v>
      </c>
      <c r="B955" s="20" t="str">
        <f>_xll.RssMarket(A955,"銘柄名称")</f>
        <v>ヴィア・ホールディングス</v>
      </c>
      <c r="C955" s="21">
        <f>_xll.RssMarket(A955,"現在値")</f>
        <v>153</v>
      </c>
      <c r="D955" s="20" t="str">
        <f>_xll.RssMarket(A955,"現在値詳細時刻")</f>
        <v>15:00:00</v>
      </c>
      <c r="E955" s="22">
        <f>_xll.RssMarket(A955,"前日比")</f>
        <v>-6</v>
      </c>
      <c r="F955" s="23">
        <f>_xll.RssMarket(A955,"前日比率")/100</f>
        <v>-3.7699999999999997E-2</v>
      </c>
      <c r="G955" s="24" t="str">
        <f>IFERROR(VLOOKUP(A955,取得元!$A$2:$F$501,2,FALSE),"-")</f>
        <v>-</v>
      </c>
      <c r="H955" s="24" t="str">
        <f>IFERROR(VLOOKUP(A955,取得元!$A$2:$F$501,3,FALSE),"-")</f>
        <v>-</v>
      </c>
      <c r="I955" s="24" t="str">
        <f>IFERROR(VLOOKUP(A955,取得元!$A$2:$F$501,4,FALSE),"-")</f>
        <v>-</v>
      </c>
      <c r="J955" s="5" t="str">
        <f>IFERROR(VLOOKUP(A955,取得元!$A$2:$F$501,5,FALSE),"-")</f>
        <v>-</v>
      </c>
      <c r="K955" s="25" t="str">
        <f>IFERROR(VLOOKUP(A955,取得元!$A$2:$F$501,6,FALSE)/100,"-")</f>
        <v>-</v>
      </c>
      <c r="L955" s="21">
        <f>_xll.RssMarket(A955,"始値")</f>
        <v>184</v>
      </c>
      <c r="M955" s="4">
        <f t="shared" si="85"/>
        <v>-0.16847826086956519</v>
      </c>
      <c r="N955" s="21">
        <f>_xll.RssMarket(A955,"高値")</f>
        <v>184</v>
      </c>
      <c r="O955" s="4">
        <f t="shared" si="86"/>
        <v>-0.16847826086956519</v>
      </c>
      <c r="P955" s="21">
        <f>_xll.RssMarket(A955,"安値")</f>
        <v>153</v>
      </c>
      <c r="Q955" s="4">
        <f t="shared" si="87"/>
        <v>0</v>
      </c>
      <c r="R955" s="21">
        <f>_xll.RssMarket(A955,"後場始値")</f>
        <v>157</v>
      </c>
      <c r="S955" s="25">
        <f t="shared" si="88"/>
        <v>-2.5477707006369421E-2</v>
      </c>
      <c r="T955" s="7">
        <f>_xll.RssMarket(A955,"出来高加重平均")</f>
        <v>162.0308</v>
      </c>
      <c r="U955" s="4">
        <f t="shared" si="89"/>
        <v>-5.5735082465802832E-2</v>
      </c>
      <c r="V955" s="21">
        <f>_xll.RssMarket(A955,"出来高")</f>
        <v>3792900</v>
      </c>
      <c r="W955" s="21">
        <f>_xll.RssMarket(A955,"売買代金")</f>
        <v>614567</v>
      </c>
      <c r="X955" s="20" t="str">
        <f>_xll.RssMarket(A955,"決算発表日")</f>
        <v>2024/02/06</v>
      </c>
      <c r="Y955" s="26" t="str">
        <f>IF(C955&gt;_xll.RssMarket(A955,"年初来高値"),"○","×")</f>
        <v>×</v>
      </c>
      <c r="Z955" s="27" t="str">
        <f>IF(C955&lt;=_xll.RssMarket(A955,"年初来安値"),"○","×")</f>
        <v>×</v>
      </c>
    </row>
    <row r="956" spans="1:26" x14ac:dyDescent="0.25">
      <c r="A956" s="47">
        <v>7919</v>
      </c>
      <c r="B956" s="20" t="str">
        <f>_xll.RssMarket(A956,"銘柄名称")</f>
        <v>野崎印刷</v>
      </c>
      <c r="C956" s="21">
        <f>_xll.RssMarket(A956,"現在値")</f>
        <v>160</v>
      </c>
      <c r="D956" s="20" t="str">
        <f>_xll.RssMarket(A956,"現在値詳細時刻")</f>
        <v>15:00:00</v>
      </c>
      <c r="E956" s="22">
        <f>_xll.RssMarket(A956,"前日比")</f>
        <v>-1</v>
      </c>
      <c r="F956" s="23">
        <f>_xll.RssMarket(A956,"前日比率")/100</f>
        <v>-6.1999999999999998E-3</v>
      </c>
      <c r="G956" s="24" t="str">
        <f>IFERROR(VLOOKUP(A956,取得元!$A$2:$F$501,2,FALSE),"-")</f>
        <v>-</v>
      </c>
      <c r="H956" s="24" t="str">
        <f>IFERROR(VLOOKUP(A956,取得元!$A$2:$F$501,3,FALSE),"-")</f>
        <v>-</v>
      </c>
      <c r="I956" s="24" t="str">
        <f>IFERROR(VLOOKUP(A956,取得元!$A$2:$F$501,4,FALSE),"-")</f>
        <v>-</v>
      </c>
      <c r="J956" s="5" t="str">
        <f>IFERROR(VLOOKUP(A956,取得元!$A$2:$F$501,5,FALSE),"-")</f>
        <v>-</v>
      </c>
      <c r="K956" s="25" t="str">
        <f>IFERROR(VLOOKUP(A956,取得元!$A$2:$F$501,6,FALSE)/100,"-")</f>
        <v>-</v>
      </c>
      <c r="L956" s="21">
        <f>_xll.RssMarket(A956,"始値")</f>
        <v>161</v>
      </c>
      <c r="M956" s="4">
        <f t="shared" si="85"/>
        <v>-6.2111801242236142E-3</v>
      </c>
      <c r="N956" s="21">
        <f>_xll.RssMarket(A956,"高値")</f>
        <v>164</v>
      </c>
      <c r="O956" s="4">
        <f t="shared" si="86"/>
        <v>-2.4390243902439046E-2</v>
      </c>
      <c r="P956" s="21">
        <f>_xll.RssMarket(A956,"安値")</f>
        <v>160</v>
      </c>
      <c r="Q956" s="4">
        <f t="shared" si="87"/>
        <v>0</v>
      </c>
      <c r="R956" s="21">
        <f>_xll.RssMarket(A956,"後場始値")</f>
        <v>162</v>
      </c>
      <c r="S956" s="25">
        <f t="shared" si="88"/>
        <v>-1.2345679012345734E-2</v>
      </c>
      <c r="T956" s="7">
        <f>_xll.RssMarket(A956,"出来高加重平均")</f>
        <v>162.32300000000001</v>
      </c>
      <c r="U956" s="4">
        <f t="shared" si="89"/>
        <v>-1.4310972567042279E-2</v>
      </c>
      <c r="V956" s="21">
        <f>_xll.RssMarket(A956,"出来高")</f>
        <v>65000</v>
      </c>
      <c r="W956" s="21">
        <f>_xll.RssMarket(A956,"売買代金")</f>
        <v>10551</v>
      </c>
      <c r="X956" s="20" t="str">
        <f>_xll.RssMarket(A956,"決算発表日")</f>
        <v>2024/01/31</v>
      </c>
      <c r="Y956" s="26" t="str">
        <f>IF(C956&gt;_xll.RssMarket(A956,"年初来高値"),"○","×")</f>
        <v>×</v>
      </c>
      <c r="Z956" s="27" t="str">
        <f>IF(C956&lt;=_xll.RssMarket(A956,"年初来安値"),"○","×")</f>
        <v>×</v>
      </c>
    </row>
    <row r="957" spans="1:26" x14ac:dyDescent="0.25">
      <c r="A957" s="49">
        <v>7940</v>
      </c>
      <c r="B957" s="20" t="str">
        <f>_xll.RssMarket(A957,"銘柄名称")</f>
        <v>ウェーブロックＨＬＤＧＳ</v>
      </c>
      <c r="C957" s="21">
        <f>_xll.RssMarket(A957,"現在値")</f>
        <v>681</v>
      </c>
      <c r="D957" s="20" t="str">
        <f>_xll.RssMarket(A957,"現在値詳細時刻")</f>
        <v>15:00:00</v>
      </c>
      <c r="E957" s="22">
        <f>_xll.RssMarket(A957,"前日比")</f>
        <v>-5</v>
      </c>
      <c r="F957" s="23">
        <f>_xll.RssMarket(A957,"前日比率")/100</f>
        <v>-7.3000000000000001E-3</v>
      </c>
      <c r="G957" s="24" t="str">
        <f>IFERROR(VLOOKUP(A957,取得元!$A$2:$F$501,2,FALSE),"-")</f>
        <v>-</v>
      </c>
      <c r="H957" s="24" t="str">
        <f>IFERROR(VLOOKUP(A957,取得元!$A$2:$F$501,3,FALSE),"-")</f>
        <v>-</v>
      </c>
      <c r="I957" s="24" t="str">
        <f>IFERROR(VLOOKUP(A957,取得元!$A$2:$F$501,4,FALSE),"-")</f>
        <v>-</v>
      </c>
      <c r="J957" s="5" t="str">
        <f>IFERROR(VLOOKUP(A957,取得元!$A$2:$F$501,5,FALSE),"-")</f>
        <v>-</v>
      </c>
      <c r="K957" s="25" t="str">
        <f>IFERROR(VLOOKUP(A957,取得元!$A$2:$F$501,6,FALSE)/100,"-")</f>
        <v>-</v>
      </c>
      <c r="L957" s="21">
        <f>_xll.RssMarket(A957,"始値")</f>
        <v>684</v>
      </c>
      <c r="M957" s="4">
        <f t="shared" si="85"/>
        <v>-4.3859649122807154E-3</v>
      </c>
      <c r="N957" s="21">
        <f>_xll.RssMarket(A957,"高値")</f>
        <v>689</v>
      </c>
      <c r="O957" s="4">
        <f t="shared" si="86"/>
        <v>-1.1611030478954953E-2</v>
      </c>
      <c r="P957" s="21">
        <f>_xll.RssMarket(A957,"安値")</f>
        <v>680</v>
      </c>
      <c r="Q957" s="4">
        <f t="shared" si="87"/>
        <v>1.4705882352941124E-3</v>
      </c>
      <c r="R957" s="21">
        <f>_xll.RssMarket(A957,"後場始値")</f>
        <v>687</v>
      </c>
      <c r="S957" s="25">
        <f t="shared" si="88"/>
        <v>-8.733624454148492E-3</v>
      </c>
      <c r="T957" s="7">
        <f>_xll.RssMarket(A957,"出来高加重平均")</f>
        <v>685.2287</v>
      </c>
      <c r="U957" s="4">
        <f t="shared" si="89"/>
        <v>-6.171224293436639E-3</v>
      </c>
      <c r="V957" s="21">
        <f>_xll.RssMarket(A957,"出来高")</f>
        <v>30600</v>
      </c>
      <c r="W957" s="21">
        <f>_xll.RssMarket(A957,"売買代金")</f>
        <v>20968</v>
      </c>
      <c r="X957" s="20" t="str">
        <f>_xll.RssMarket(A957,"決算発表日")</f>
        <v>2024/01/31</v>
      </c>
      <c r="Y957" s="26" t="str">
        <f>IF(C957&gt;_xll.RssMarket(A957,"年初来高値"),"○","×")</f>
        <v>×</v>
      </c>
      <c r="Z957" s="27" t="str">
        <f>IF(C957&lt;=_xll.RssMarket(A957,"年初来安値"),"○","×")</f>
        <v>×</v>
      </c>
    </row>
    <row r="958" spans="1:26" x14ac:dyDescent="0.25">
      <c r="A958" s="47">
        <v>7953</v>
      </c>
      <c r="B958" s="20" t="str">
        <f>_xll.RssMarket(A958,"銘柄名称")</f>
        <v>菊水化学工業</v>
      </c>
      <c r="C958" s="21">
        <f>_xll.RssMarket(A958,"現在値")</f>
        <v>399</v>
      </c>
      <c r="D958" s="20" t="str">
        <f>_xll.RssMarket(A958,"現在値詳細時刻")</f>
        <v>14:59:54</v>
      </c>
      <c r="E958" s="22">
        <f>_xll.RssMarket(A958,"前日比")</f>
        <v>-1</v>
      </c>
      <c r="F958" s="23">
        <f>_xll.RssMarket(A958,"前日比率")/100</f>
        <v>-2.5000000000000001E-3</v>
      </c>
      <c r="G958" s="24" t="str">
        <f>IFERROR(VLOOKUP(A958,取得元!$A$2:$F$501,2,FALSE),"-")</f>
        <v>-</v>
      </c>
      <c r="H958" s="24" t="str">
        <f>IFERROR(VLOOKUP(A958,取得元!$A$2:$F$501,3,FALSE),"-")</f>
        <v>-</v>
      </c>
      <c r="I958" s="24" t="str">
        <f>IFERROR(VLOOKUP(A958,取得元!$A$2:$F$501,4,FALSE),"-")</f>
        <v>-</v>
      </c>
      <c r="J958" s="5" t="str">
        <f>IFERROR(VLOOKUP(A958,取得元!$A$2:$F$501,5,FALSE),"-")</f>
        <v>-</v>
      </c>
      <c r="K958" s="25" t="str">
        <f>IFERROR(VLOOKUP(A958,取得元!$A$2:$F$501,6,FALSE)/100,"-")</f>
        <v>-</v>
      </c>
      <c r="L958" s="21">
        <f>_xll.RssMarket(A958,"始値")</f>
        <v>400</v>
      </c>
      <c r="M958" s="4">
        <f t="shared" si="85"/>
        <v>-2.4999999999999467E-3</v>
      </c>
      <c r="N958" s="21">
        <f>_xll.RssMarket(A958,"高値")</f>
        <v>400</v>
      </c>
      <c r="O958" s="4">
        <f t="shared" si="86"/>
        <v>-2.4999999999999467E-3</v>
      </c>
      <c r="P958" s="21">
        <f>_xll.RssMarket(A958,"安値")</f>
        <v>397</v>
      </c>
      <c r="Q958" s="4">
        <f t="shared" si="87"/>
        <v>5.0377833753147971E-3</v>
      </c>
      <c r="R958" s="21">
        <f>_xll.RssMarket(A958,"後場始値")</f>
        <v>399</v>
      </c>
      <c r="S958" s="25">
        <f t="shared" si="88"/>
        <v>0</v>
      </c>
      <c r="T958" s="7">
        <f>_xll.RssMarket(A958,"出来高加重平均")</f>
        <v>398.77190000000002</v>
      </c>
      <c r="U958" s="4">
        <f t="shared" si="89"/>
        <v>5.7200620204178598E-4</v>
      </c>
      <c r="V958" s="21">
        <f>_xll.RssMarket(A958,"出来高")</f>
        <v>5700</v>
      </c>
      <c r="W958" s="21">
        <f>_xll.RssMarket(A958,"売買代金")</f>
        <v>2273</v>
      </c>
      <c r="X958" s="20" t="str">
        <f>_xll.RssMarket(A958,"決算発表日")</f>
        <v>2024/02/09</v>
      </c>
      <c r="Y958" s="26" t="str">
        <f>IF(C958&gt;_xll.RssMarket(A958,"年初来高値"),"○","×")</f>
        <v>×</v>
      </c>
      <c r="Z958" s="27" t="str">
        <f>IF(C958&lt;=_xll.RssMarket(A958,"年初来安値"),"○","×")</f>
        <v>×</v>
      </c>
    </row>
    <row r="959" spans="1:26" x14ac:dyDescent="0.25">
      <c r="A959" s="49">
        <v>7955</v>
      </c>
      <c r="B959" s="20" t="str">
        <f>_xll.RssMarket(A959,"銘柄名称")</f>
        <v>クリナップ</v>
      </c>
      <c r="C959" s="21">
        <f>_xll.RssMarket(A959,"現在値")</f>
        <v>776</v>
      </c>
      <c r="D959" s="20" t="str">
        <f>_xll.RssMarket(A959,"現在値詳細時刻")</f>
        <v>15:00:00</v>
      </c>
      <c r="E959" s="22">
        <f>_xll.RssMarket(A959,"前日比")</f>
        <v>27</v>
      </c>
      <c r="F959" s="23">
        <f>_xll.RssMarket(A959,"前日比率")/100</f>
        <v>3.6000000000000004E-2</v>
      </c>
      <c r="G959" s="24" t="str">
        <f>IFERROR(VLOOKUP(A959,取得元!$A$2:$F$501,2,FALSE),"-")</f>
        <v>-</v>
      </c>
      <c r="H959" s="24" t="str">
        <f>IFERROR(VLOOKUP(A959,取得元!$A$2:$F$501,3,FALSE),"-")</f>
        <v>-</v>
      </c>
      <c r="I959" s="24" t="str">
        <f>IFERROR(VLOOKUP(A959,取得元!$A$2:$F$501,4,FALSE),"-")</f>
        <v>-</v>
      </c>
      <c r="J959" s="5" t="str">
        <f>IFERROR(VLOOKUP(A959,取得元!$A$2:$F$501,5,FALSE),"-")</f>
        <v>-</v>
      </c>
      <c r="K959" s="25" t="str">
        <f>IFERROR(VLOOKUP(A959,取得元!$A$2:$F$501,6,FALSE)/100,"-")</f>
        <v>-</v>
      </c>
      <c r="L959" s="21">
        <f>_xll.RssMarket(A959,"始値")</f>
        <v>764</v>
      </c>
      <c r="M959" s="4">
        <f t="shared" si="85"/>
        <v>1.5706806282722585E-2</v>
      </c>
      <c r="N959" s="21">
        <f>_xll.RssMarket(A959,"高値")</f>
        <v>791</v>
      </c>
      <c r="O959" s="4">
        <f t="shared" si="86"/>
        <v>-1.896333754740831E-2</v>
      </c>
      <c r="P959" s="21">
        <f>_xll.RssMarket(A959,"安値")</f>
        <v>764</v>
      </c>
      <c r="Q959" s="4">
        <f t="shared" si="87"/>
        <v>1.5706806282722585E-2</v>
      </c>
      <c r="R959" s="21">
        <f>_xll.RssMarket(A959,"後場始値")</f>
        <v>784</v>
      </c>
      <c r="S959" s="25">
        <f t="shared" si="88"/>
        <v>-1.0204081632653073E-2</v>
      </c>
      <c r="T959" s="7">
        <f>_xll.RssMarket(A959,"出来高加重平均")</f>
        <v>779.09760000000006</v>
      </c>
      <c r="U959" s="4">
        <f t="shared" si="89"/>
        <v>-3.9758818407348295E-3</v>
      </c>
      <c r="V959" s="21">
        <f>_xll.RssMarket(A959,"出来高")</f>
        <v>147400</v>
      </c>
      <c r="W959" s="21">
        <f>_xll.RssMarket(A959,"売買代金")</f>
        <v>114839</v>
      </c>
      <c r="X959" s="20" t="str">
        <f>_xll.RssMarket(A959,"決算発表日")</f>
        <v>2024/02/06</v>
      </c>
      <c r="Y959" s="26" t="str">
        <f>IF(C959&gt;_xll.RssMarket(A959,"年初来高値"),"○","×")</f>
        <v>○</v>
      </c>
      <c r="Z959" s="27" t="str">
        <f>IF(C959&lt;=_xll.RssMarket(A959,"年初来安値"),"○","×")</f>
        <v>×</v>
      </c>
    </row>
    <row r="960" spans="1:26" x14ac:dyDescent="0.25">
      <c r="A960" s="47">
        <v>7971</v>
      </c>
      <c r="B960" s="20" t="str">
        <f>_xll.RssMarket(A960,"銘柄名称")</f>
        <v>東リ</v>
      </c>
      <c r="C960" s="21">
        <f>_xll.RssMarket(A960,"現在値")</f>
        <v>399</v>
      </c>
      <c r="D960" s="20" t="str">
        <f>_xll.RssMarket(A960,"現在値詳細時刻")</f>
        <v>15:00:00</v>
      </c>
      <c r="E960" s="22">
        <f>_xll.RssMarket(A960,"前日比")</f>
        <v>8</v>
      </c>
      <c r="F960" s="23">
        <f>_xll.RssMarket(A960,"前日比率")/100</f>
        <v>2.0499999999999997E-2</v>
      </c>
      <c r="G960" s="24" t="str">
        <f>IFERROR(VLOOKUP(A960,取得元!$A$2:$F$501,2,FALSE),"-")</f>
        <v>-</v>
      </c>
      <c r="H960" s="24" t="str">
        <f>IFERROR(VLOOKUP(A960,取得元!$A$2:$F$501,3,FALSE),"-")</f>
        <v>-</v>
      </c>
      <c r="I960" s="24" t="str">
        <f>IFERROR(VLOOKUP(A960,取得元!$A$2:$F$501,4,FALSE),"-")</f>
        <v>-</v>
      </c>
      <c r="J960" s="5" t="str">
        <f>IFERROR(VLOOKUP(A960,取得元!$A$2:$F$501,5,FALSE),"-")</f>
        <v>-</v>
      </c>
      <c r="K960" s="25" t="str">
        <f>IFERROR(VLOOKUP(A960,取得元!$A$2:$F$501,6,FALSE)/100,"-")</f>
        <v>-</v>
      </c>
      <c r="L960" s="21">
        <f>_xll.RssMarket(A960,"始値")</f>
        <v>392</v>
      </c>
      <c r="M960" s="4">
        <f t="shared" si="85"/>
        <v>1.7857142857142794E-2</v>
      </c>
      <c r="N960" s="21">
        <f>_xll.RssMarket(A960,"高値")</f>
        <v>404</v>
      </c>
      <c r="O960" s="4">
        <f t="shared" si="86"/>
        <v>-1.2376237623762387E-2</v>
      </c>
      <c r="P960" s="21">
        <f>_xll.RssMarket(A960,"安値")</f>
        <v>391</v>
      </c>
      <c r="Q960" s="4">
        <f t="shared" si="87"/>
        <v>2.0460358056265893E-2</v>
      </c>
      <c r="R960" s="21">
        <f>_xll.RssMarket(A960,"後場始値")</f>
        <v>402</v>
      </c>
      <c r="S960" s="25">
        <f t="shared" si="88"/>
        <v>-7.4626865671642006E-3</v>
      </c>
      <c r="T960" s="7">
        <f>_xll.RssMarket(A960,"出来高加重平均")</f>
        <v>400.1343</v>
      </c>
      <c r="U960" s="4">
        <f t="shared" si="89"/>
        <v>-2.8347982164987906E-3</v>
      </c>
      <c r="V960" s="21">
        <f>_xll.RssMarket(A960,"出来高")</f>
        <v>506200</v>
      </c>
      <c r="W960" s="21">
        <f>_xll.RssMarket(A960,"売買代金")</f>
        <v>202548</v>
      </c>
      <c r="X960" s="20" t="str">
        <f>_xll.RssMarket(A960,"決算発表日")</f>
        <v>2024/02/02</v>
      </c>
      <c r="Y960" s="26" t="str">
        <f>IF(C960&gt;_xll.RssMarket(A960,"年初来高値"),"○","×")</f>
        <v>○</v>
      </c>
      <c r="Z960" s="27" t="str">
        <f>IF(C960&lt;=_xll.RssMarket(A960,"年初来安値"),"○","×")</f>
        <v>×</v>
      </c>
    </row>
    <row r="961" spans="1:26" x14ac:dyDescent="0.25">
      <c r="A961" s="49">
        <v>7972</v>
      </c>
      <c r="B961" s="20" t="str">
        <f>_xll.RssMarket(A961,"銘柄名称")</f>
        <v>イトーキ</v>
      </c>
      <c r="C961" s="21">
        <f>_xll.RssMarket(A961,"現在値")</f>
        <v>1564</v>
      </c>
      <c r="D961" s="20" t="str">
        <f>_xll.RssMarket(A961,"現在値詳細時刻")</f>
        <v>15:00:00</v>
      </c>
      <c r="E961" s="22">
        <f>_xll.RssMarket(A961,"前日比")</f>
        <v>23</v>
      </c>
      <c r="F961" s="23">
        <f>_xll.RssMarket(A961,"前日比率")/100</f>
        <v>1.49E-2</v>
      </c>
      <c r="G961" s="24" t="str">
        <f>IFERROR(VLOOKUP(A961,取得元!$A$2:$F$501,2,FALSE),"-")</f>
        <v>-</v>
      </c>
      <c r="H961" s="24" t="str">
        <f>IFERROR(VLOOKUP(A961,取得元!$A$2:$F$501,3,FALSE),"-")</f>
        <v>-</v>
      </c>
      <c r="I961" s="24" t="str">
        <f>IFERROR(VLOOKUP(A961,取得元!$A$2:$F$501,4,FALSE),"-")</f>
        <v>-</v>
      </c>
      <c r="J961" s="5" t="str">
        <f>IFERROR(VLOOKUP(A961,取得元!$A$2:$F$501,5,FALSE),"-")</f>
        <v>-</v>
      </c>
      <c r="K961" s="25" t="str">
        <f>IFERROR(VLOOKUP(A961,取得元!$A$2:$F$501,6,FALSE)/100,"-")</f>
        <v>-</v>
      </c>
      <c r="L961" s="21">
        <f>_xll.RssMarket(A961,"始値")</f>
        <v>1535</v>
      </c>
      <c r="M961" s="4">
        <f t="shared" si="85"/>
        <v>1.889250814332244E-2</v>
      </c>
      <c r="N961" s="21">
        <f>_xll.RssMarket(A961,"高値")</f>
        <v>1564</v>
      </c>
      <c r="O961" s="4">
        <f t="shared" si="86"/>
        <v>0</v>
      </c>
      <c r="P961" s="21">
        <f>_xll.RssMarket(A961,"安値")</f>
        <v>1522</v>
      </c>
      <c r="Q961" s="4">
        <f t="shared" si="87"/>
        <v>2.7595269382391541E-2</v>
      </c>
      <c r="R961" s="21">
        <f>_xll.RssMarket(A961,"後場始値")</f>
        <v>1541</v>
      </c>
      <c r="S961" s="25">
        <f t="shared" si="88"/>
        <v>1.4925373134328401E-2</v>
      </c>
      <c r="T961" s="7">
        <f>_xll.RssMarket(A961,"出来高加重平均")</f>
        <v>1547.0101999999999</v>
      </c>
      <c r="U961" s="4">
        <f t="shared" si="89"/>
        <v>1.098234517135066E-2</v>
      </c>
      <c r="V961" s="21">
        <f>_xll.RssMarket(A961,"出来高")</f>
        <v>284300</v>
      </c>
      <c r="W961" s="21">
        <f>_xll.RssMarket(A961,"売買代金")</f>
        <v>439815</v>
      </c>
      <c r="X961" s="20" t="str">
        <f>_xll.RssMarket(A961,"決算発表日")</f>
        <v>2024/02/13</v>
      </c>
      <c r="Y961" s="26" t="str">
        <f>IF(C961&gt;_xll.RssMarket(A961,"年初来高値"),"○","×")</f>
        <v>×</v>
      </c>
      <c r="Z961" s="27" t="str">
        <f>IF(C961&lt;=_xll.RssMarket(A961,"年初来安値"),"○","×")</f>
        <v>×</v>
      </c>
    </row>
    <row r="962" spans="1:26" x14ac:dyDescent="0.25">
      <c r="A962" s="47">
        <v>7974</v>
      </c>
      <c r="B962" s="20" t="str">
        <f>_xll.RssMarket(A962,"銘柄名称")</f>
        <v>任天堂</v>
      </c>
      <c r="C962" s="21">
        <f>_xll.RssMarket(A962,"現在値")</f>
        <v>8369</v>
      </c>
      <c r="D962" s="20" t="str">
        <f>_xll.RssMarket(A962,"現在値詳細時刻")</f>
        <v>15:00:00</v>
      </c>
      <c r="E962" s="22">
        <f>_xll.RssMarket(A962,"前日比")</f>
        <v>-7</v>
      </c>
      <c r="F962" s="23">
        <f>_xll.RssMarket(A962,"前日比率")/100</f>
        <v>-8.0000000000000004E-4</v>
      </c>
      <c r="G962" s="24" t="str">
        <f>IFERROR(VLOOKUP(A962,取得元!$A$2:$F$501,2,FALSE),"-")</f>
        <v>-</v>
      </c>
      <c r="H962" s="24" t="str">
        <f>IFERROR(VLOOKUP(A962,取得元!$A$2:$F$501,3,FALSE),"-")</f>
        <v>-</v>
      </c>
      <c r="I962" s="24" t="str">
        <f>IFERROR(VLOOKUP(A962,取得元!$A$2:$F$501,4,FALSE),"-")</f>
        <v>-</v>
      </c>
      <c r="J962" s="5" t="str">
        <f>IFERROR(VLOOKUP(A962,取得元!$A$2:$F$501,5,FALSE),"-")</f>
        <v>-</v>
      </c>
      <c r="K962" s="25" t="str">
        <f>IFERROR(VLOOKUP(A962,取得元!$A$2:$F$501,6,FALSE)/100,"-")</f>
        <v>-</v>
      </c>
      <c r="L962" s="21">
        <f>_xll.RssMarket(A962,"始値")</f>
        <v>8405</v>
      </c>
      <c r="M962" s="4">
        <f t="shared" si="85"/>
        <v>-4.283164782867388E-3</v>
      </c>
      <c r="N962" s="21">
        <f>_xll.RssMarket(A962,"高値")</f>
        <v>8623</v>
      </c>
      <c r="O962" s="4">
        <f t="shared" si="86"/>
        <v>-2.9456105763655316E-2</v>
      </c>
      <c r="P962" s="21">
        <f>_xll.RssMarket(A962,"安値")</f>
        <v>8278</v>
      </c>
      <c r="Q962" s="4">
        <f t="shared" si="87"/>
        <v>1.0992993476685253E-2</v>
      </c>
      <c r="R962" s="21">
        <f>_xll.RssMarket(A962,"後場始値")</f>
        <v>8331</v>
      </c>
      <c r="S962" s="25">
        <f t="shared" si="88"/>
        <v>4.5612771576042377E-3</v>
      </c>
      <c r="T962" s="7">
        <f>_xll.RssMarket(A962,"出来高加重平均")</f>
        <v>8413.1121000000003</v>
      </c>
      <c r="U962" s="4">
        <f t="shared" si="89"/>
        <v>-5.243255940925895E-3</v>
      </c>
      <c r="V962" s="21">
        <f>_xll.RssMarket(A962,"出来高")</f>
        <v>9328400</v>
      </c>
      <c r="W962" s="21">
        <f>_xll.RssMarket(A962,"売買代金")</f>
        <v>78480875</v>
      </c>
      <c r="X962" s="20" t="str">
        <f>_xll.RssMarket(A962,"決算発表日")</f>
        <v>2024/02/06</v>
      </c>
      <c r="Y962" s="26" t="str">
        <f>IF(C962&gt;_xll.RssMarket(A962,"年初来高値"),"○","×")</f>
        <v>×</v>
      </c>
      <c r="Z962" s="27" t="str">
        <f>IF(C962&lt;=_xll.RssMarket(A962,"年初来安値"),"○","×")</f>
        <v>×</v>
      </c>
    </row>
    <row r="963" spans="1:26" x14ac:dyDescent="0.25">
      <c r="A963" s="49">
        <v>7997</v>
      </c>
      <c r="B963" s="20" t="str">
        <f>_xll.RssMarket(A963,"銘柄名称")</f>
        <v>くろがね工作所</v>
      </c>
      <c r="C963" s="21">
        <f>_xll.RssMarket(A963,"現在値")</f>
        <v>800</v>
      </c>
      <c r="D963" s="20" t="str">
        <f>_xll.RssMarket(A963,"現在値詳細時刻")</f>
        <v>14:57:45</v>
      </c>
      <c r="E963" s="22">
        <f>_xll.RssMarket(A963,"前日比")</f>
        <v>-9</v>
      </c>
      <c r="F963" s="23">
        <f>_xll.RssMarket(A963,"前日比率")/100</f>
        <v>-1.11E-2</v>
      </c>
      <c r="G963" s="24" t="str">
        <f>IFERROR(VLOOKUP(A963,取得元!$A$2:$F$501,2,FALSE),"-")</f>
        <v>-</v>
      </c>
      <c r="H963" s="24" t="str">
        <f>IFERROR(VLOOKUP(A963,取得元!$A$2:$F$501,3,FALSE),"-")</f>
        <v>-</v>
      </c>
      <c r="I963" s="24" t="str">
        <f>IFERROR(VLOOKUP(A963,取得元!$A$2:$F$501,4,FALSE),"-")</f>
        <v>-</v>
      </c>
      <c r="J963" s="5" t="str">
        <f>IFERROR(VLOOKUP(A963,取得元!$A$2:$F$501,5,FALSE),"-")</f>
        <v>-</v>
      </c>
      <c r="K963" s="25" t="str">
        <f>IFERROR(VLOOKUP(A963,取得元!$A$2:$F$501,6,FALSE)/100,"-")</f>
        <v>-</v>
      </c>
      <c r="L963" s="21">
        <f>_xll.RssMarket(A963,"始値")</f>
        <v>811</v>
      </c>
      <c r="M963" s="4">
        <f t="shared" si="85"/>
        <v>-1.3563501849568449E-2</v>
      </c>
      <c r="N963" s="21">
        <f>_xll.RssMarket(A963,"高値")</f>
        <v>811</v>
      </c>
      <c r="O963" s="4">
        <f t="shared" si="86"/>
        <v>-1.3563501849568449E-2</v>
      </c>
      <c r="P963" s="21">
        <f>_xll.RssMarket(A963,"安値")</f>
        <v>800</v>
      </c>
      <c r="Q963" s="4">
        <f t="shared" si="87"/>
        <v>0</v>
      </c>
      <c r="R963" s="21">
        <f>_xll.RssMarket(A963,"後場始値")</f>
        <v>808</v>
      </c>
      <c r="S963" s="25">
        <f t="shared" si="88"/>
        <v>-9.9009900990099098E-3</v>
      </c>
      <c r="T963" s="7">
        <f>_xll.RssMarket(A963,"出来高加重平均")</f>
        <v>803.8297</v>
      </c>
      <c r="U963" s="4">
        <f t="shared" si="89"/>
        <v>-4.7643176160323542E-3</v>
      </c>
      <c r="V963" s="21">
        <f>_xll.RssMarket(A963,"出来高")</f>
        <v>4700</v>
      </c>
      <c r="W963" s="21">
        <f>_xll.RssMarket(A963,"売買代金")</f>
        <v>3778</v>
      </c>
      <c r="X963" s="20" t="str">
        <f>_xll.RssMarket(A963,"決算発表日")</f>
        <v>2024/01/15</v>
      </c>
      <c r="Y963" s="26" t="str">
        <f>IF(C963&gt;_xll.RssMarket(A963,"年初来高値"),"○","×")</f>
        <v>×</v>
      </c>
      <c r="Z963" s="27" t="str">
        <f>IF(C963&lt;=_xll.RssMarket(A963,"年初来安値"),"○","×")</f>
        <v>×</v>
      </c>
    </row>
    <row r="964" spans="1:26" x14ac:dyDescent="0.25">
      <c r="A964" s="47">
        <v>8001</v>
      </c>
      <c r="B964" s="20" t="str">
        <f>_xll.RssMarket(A964,"銘柄名称")</f>
        <v>伊藤忠</v>
      </c>
      <c r="C964" s="21">
        <f>_xll.RssMarket(A964,"現在値")</f>
        <v>6736</v>
      </c>
      <c r="D964" s="20" t="str">
        <f>_xll.RssMarket(A964,"現在値詳細時刻")</f>
        <v>15:00:00</v>
      </c>
      <c r="E964" s="22">
        <f>_xll.RssMarket(A964,"前日比")</f>
        <v>216</v>
      </c>
      <c r="F964" s="23">
        <f>_xll.RssMarket(A964,"前日比率")/100</f>
        <v>3.3099999999999997E-2</v>
      </c>
      <c r="G964" s="24" t="str">
        <f>IFERROR(VLOOKUP(A964,取得元!$A$2:$F$501,2,FALSE),"-")</f>
        <v>-</v>
      </c>
      <c r="H964" s="24" t="str">
        <f>IFERROR(VLOOKUP(A964,取得元!$A$2:$F$501,3,FALSE),"-")</f>
        <v>-</v>
      </c>
      <c r="I964" s="24" t="str">
        <f>IFERROR(VLOOKUP(A964,取得元!$A$2:$F$501,4,FALSE),"-")</f>
        <v>-</v>
      </c>
      <c r="J964" s="5" t="str">
        <f>IFERROR(VLOOKUP(A964,取得元!$A$2:$F$501,5,FALSE),"-")</f>
        <v>-</v>
      </c>
      <c r="K964" s="25" t="str">
        <f>IFERROR(VLOOKUP(A964,取得元!$A$2:$F$501,6,FALSE)/100,"-")</f>
        <v>-</v>
      </c>
      <c r="L964" s="21">
        <f>_xll.RssMarket(A964,"始値")</f>
        <v>6525</v>
      </c>
      <c r="M964" s="4">
        <f t="shared" si="85"/>
        <v>3.2337164750957825E-2</v>
      </c>
      <c r="N964" s="21">
        <f>_xll.RssMarket(A964,"高値")</f>
        <v>6736</v>
      </c>
      <c r="O964" s="4">
        <f t="shared" si="86"/>
        <v>0</v>
      </c>
      <c r="P964" s="21">
        <f>_xll.RssMarket(A964,"安値")</f>
        <v>6512</v>
      </c>
      <c r="Q964" s="4">
        <f t="shared" si="87"/>
        <v>3.4398034398034349E-2</v>
      </c>
      <c r="R964" s="21">
        <f>_xll.RssMarket(A964,"後場始値")</f>
        <v>6664</v>
      </c>
      <c r="S964" s="25">
        <f t="shared" si="88"/>
        <v>1.0804321728691502E-2</v>
      </c>
      <c r="T964" s="7">
        <f>_xll.RssMarket(A964,"出来高加重平均")</f>
        <v>6653.4868999999999</v>
      </c>
      <c r="U964" s="4">
        <f t="shared" si="89"/>
        <v>1.2401482296448219E-2</v>
      </c>
      <c r="V964" s="21">
        <f>_xll.RssMarket(A964,"出来高")</f>
        <v>4734200</v>
      </c>
      <c r="W964" s="21">
        <f>_xll.RssMarket(A964,"売買代金")</f>
        <v>31498938</v>
      </c>
      <c r="X964" s="20" t="str">
        <f>_xll.RssMarket(A964,"決算発表日")</f>
        <v>2024/02/05</v>
      </c>
      <c r="Y964" s="26" t="str">
        <f>IF(C964&gt;_xll.RssMarket(A964,"年初来高値"),"○","×")</f>
        <v>×</v>
      </c>
      <c r="Z964" s="27" t="str">
        <f>IF(C964&lt;=_xll.RssMarket(A964,"年初来安値"),"○","×")</f>
        <v>×</v>
      </c>
    </row>
    <row r="965" spans="1:26" x14ac:dyDescent="0.25">
      <c r="A965" s="49">
        <v>8005</v>
      </c>
      <c r="B965" s="20" t="str">
        <f>_xll.RssMarket(A965,"銘柄名称")</f>
        <v>スクロール</v>
      </c>
      <c r="C965" s="21">
        <f>_xll.RssMarket(A965,"現在値")</f>
        <v>968</v>
      </c>
      <c r="D965" s="20" t="str">
        <f>_xll.RssMarket(A965,"現在値詳細時刻")</f>
        <v>15:00:00</v>
      </c>
      <c r="E965" s="22">
        <f>_xll.RssMarket(A965,"前日比")</f>
        <v>1</v>
      </c>
      <c r="F965" s="23">
        <f>_xll.RssMarket(A965,"前日比率")/100</f>
        <v>1E-3</v>
      </c>
      <c r="G965" s="24" t="str">
        <f>IFERROR(VLOOKUP(A965,取得元!$A$2:$F$501,2,FALSE),"-")</f>
        <v>-</v>
      </c>
      <c r="H965" s="24" t="str">
        <f>IFERROR(VLOOKUP(A965,取得元!$A$2:$F$501,3,FALSE),"-")</f>
        <v>-</v>
      </c>
      <c r="I965" s="24" t="str">
        <f>IFERROR(VLOOKUP(A965,取得元!$A$2:$F$501,4,FALSE),"-")</f>
        <v>-</v>
      </c>
      <c r="J965" s="5" t="str">
        <f>IFERROR(VLOOKUP(A965,取得元!$A$2:$F$501,5,FALSE),"-")</f>
        <v>-</v>
      </c>
      <c r="K965" s="25" t="str">
        <f>IFERROR(VLOOKUP(A965,取得元!$A$2:$F$501,6,FALSE)/100,"-")</f>
        <v>-</v>
      </c>
      <c r="L965" s="21">
        <f>_xll.RssMarket(A965,"始値")</f>
        <v>966</v>
      </c>
      <c r="M965" s="4">
        <f t="shared" si="85"/>
        <v>2.0703933747412417E-3</v>
      </c>
      <c r="N965" s="21">
        <f>_xll.RssMarket(A965,"高値")</f>
        <v>973</v>
      </c>
      <c r="O965" s="4">
        <f t="shared" si="86"/>
        <v>-5.1387461459403427E-3</v>
      </c>
      <c r="P965" s="21">
        <f>_xll.RssMarket(A965,"安値")</f>
        <v>960</v>
      </c>
      <c r="Q965" s="4">
        <f t="shared" si="87"/>
        <v>8.3333333333333037E-3</v>
      </c>
      <c r="R965" s="21">
        <f>_xll.RssMarket(A965,"後場始値")</f>
        <v>968</v>
      </c>
      <c r="S965" s="25">
        <f t="shared" si="88"/>
        <v>0</v>
      </c>
      <c r="T965" s="7">
        <f>_xll.RssMarket(A965,"出来高加重平均")</f>
        <v>966.37270000000001</v>
      </c>
      <c r="U965" s="4">
        <f t="shared" si="89"/>
        <v>1.6839258807703761E-3</v>
      </c>
      <c r="V965" s="21">
        <f>_xll.RssMarket(A965,"出来高")</f>
        <v>89600</v>
      </c>
      <c r="W965" s="21">
        <f>_xll.RssMarket(A965,"売買代金")</f>
        <v>86587</v>
      </c>
      <c r="X965" s="20" t="str">
        <f>_xll.RssMarket(A965,"決算発表日")</f>
        <v>2024/01/31</v>
      </c>
      <c r="Y965" s="26" t="str">
        <f>IF(C965&gt;_xll.RssMarket(A965,"年初来高値"),"○","×")</f>
        <v>×</v>
      </c>
      <c r="Z965" s="27" t="str">
        <f>IF(C965&lt;=_xll.RssMarket(A965,"年初来安値"),"○","×")</f>
        <v>×</v>
      </c>
    </row>
    <row r="966" spans="1:26" x14ac:dyDescent="0.25">
      <c r="A966" s="47">
        <v>8008</v>
      </c>
      <c r="B966" s="20" t="str">
        <f>_xll.RssMarket(A966,"銘柄名称")</f>
        <v>ヨンドシーホールディングス</v>
      </c>
      <c r="C966" s="21">
        <f>_xll.RssMarket(A966,"現在値")</f>
        <v>1971</v>
      </c>
      <c r="D966" s="20" t="str">
        <f>_xll.RssMarket(A966,"現在値詳細時刻")</f>
        <v>15:00:00</v>
      </c>
      <c r="E966" s="22">
        <f>_xll.RssMarket(A966,"前日比")</f>
        <v>7</v>
      </c>
      <c r="F966" s="23">
        <f>_xll.RssMarket(A966,"前日比率")/100</f>
        <v>3.5999999999999999E-3</v>
      </c>
      <c r="G966" s="24" t="str">
        <f>IFERROR(VLOOKUP(A966,取得元!$A$2:$F$501,2,FALSE),"-")</f>
        <v>-</v>
      </c>
      <c r="H966" s="24" t="str">
        <f>IFERROR(VLOOKUP(A966,取得元!$A$2:$F$501,3,FALSE),"-")</f>
        <v>-</v>
      </c>
      <c r="I966" s="24" t="str">
        <f>IFERROR(VLOOKUP(A966,取得元!$A$2:$F$501,4,FALSE),"-")</f>
        <v>-</v>
      </c>
      <c r="J966" s="5" t="str">
        <f>IFERROR(VLOOKUP(A966,取得元!$A$2:$F$501,5,FALSE),"-")</f>
        <v>-</v>
      </c>
      <c r="K966" s="25" t="str">
        <f>IFERROR(VLOOKUP(A966,取得元!$A$2:$F$501,6,FALSE)/100,"-")</f>
        <v>-</v>
      </c>
      <c r="L966" s="21">
        <f>_xll.RssMarket(A966,"始値")</f>
        <v>1961</v>
      </c>
      <c r="M966" s="4">
        <f t="shared" si="85"/>
        <v>5.0994390617031815E-3</v>
      </c>
      <c r="N966" s="21">
        <f>_xll.RssMarket(A966,"高値")</f>
        <v>1973</v>
      </c>
      <c r="O966" s="4">
        <f t="shared" si="86"/>
        <v>-1.0136847440446184E-3</v>
      </c>
      <c r="P966" s="21">
        <f>_xll.RssMarket(A966,"安値")</f>
        <v>1955</v>
      </c>
      <c r="Q966" s="4">
        <f t="shared" si="87"/>
        <v>8.1841432225064903E-3</v>
      </c>
      <c r="R966" s="21">
        <f>_xll.RssMarket(A966,"後場始値")</f>
        <v>1964</v>
      </c>
      <c r="S966" s="25">
        <f t="shared" si="88"/>
        <v>3.5641547861506861E-3</v>
      </c>
      <c r="T966" s="7">
        <f>_xll.RssMarket(A966,"出来高加重平均")</f>
        <v>1965.2844</v>
      </c>
      <c r="U966" s="4">
        <f t="shared" si="89"/>
        <v>2.9082813662999474E-3</v>
      </c>
      <c r="V966" s="21">
        <f>_xll.RssMarket(A966,"出来高")</f>
        <v>133600</v>
      </c>
      <c r="W966" s="21">
        <f>_xll.RssMarket(A966,"売買代金")</f>
        <v>262562</v>
      </c>
      <c r="X966" s="20" t="str">
        <f>_xll.RssMarket(A966,"決算発表日")</f>
        <v>2024/01/09</v>
      </c>
      <c r="Y966" s="26" t="str">
        <f>IF(C966&gt;_xll.RssMarket(A966,"年初来高値"),"○","×")</f>
        <v>×</v>
      </c>
      <c r="Z966" s="27" t="str">
        <f>IF(C966&lt;=_xll.RssMarket(A966,"年初来安値"),"○","×")</f>
        <v>×</v>
      </c>
    </row>
    <row r="967" spans="1:26" x14ac:dyDescent="0.25">
      <c r="A967" s="49">
        <v>8016</v>
      </c>
      <c r="B967" s="20" t="str">
        <f>_xll.RssMarket(A967,"銘柄名称")</f>
        <v>オンワ－ドホールディングス</v>
      </c>
      <c r="C967" s="21">
        <f>_xll.RssMarket(A967,"現在値")</f>
        <v>542</v>
      </c>
      <c r="D967" s="20" t="str">
        <f>_xll.RssMarket(A967,"現在値詳細時刻")</f>
        <v>15:00:00</v>
      </c>
      <c r="E967" s="22">
        <f>_xll.RssMarket(A967,"前日比")</f>
        <v>-4</v>
      </c>
      <c r="F967" s="23">
        <f>_xll.RssMarket(A967,"前日比率")/100</f>
        <v>-7.3000000000000001E-3</v>
      </c>
      <c r="G967" s="24" t="str">
        <f>IFERROR(VLOOKUP(A967,取得元!$A$2:$F$501,2,FALSE),"-")</f>
        <v>-</v>
      </c>
      <c r="H967" s="24" t="str">
        <f>IFERROR(VLOOKUP(A967,取得元!$A$2:$F$501,3,FALSE),"-")</f>
        <v>-</v>
      </c>
      <c r="I967" s="24" t="str">
        <f>IFERROR(VLOOKUP(A967,取得元!$A$2:$F$501,4,FALSE),"-")</f>
        <v>-</v>
      </c>
      <c r="J967" s="5" t="str">
        <f>IFERROR(VLOOKUP(A967,取得元!$A$2:$F$501,5,FALSE),"-")</f>
        <v>-</v>
      </c>
      <c r="K967" s="25" t="str">
        <f>IFERROR(VLOOKUP(A967,取得元!$A$2:$F$501,6,FALSE)/100,"-")</f>
        <v>-</v>
      </c>
      <c r="L967" s="21">
        <f>_xll.RssMarket(A967,"始値")</f>
        <v>542</v>
      </c>
      <c r="M967" s="4">
        <f t="shared" si="85"/>
        <v>0</v>
      </c>
      <c r="N967" s="21">
        <f>_xll.RssMarket(A967,"高値")</f>
        <v>544</v>
      </c>
      <c r="O967" s="4">
        <f t="shared" si="86"/>
        <v>-3.6764705882352811E-3</v>
      </c>
      <c r="P967" s="21">
        <f>_xll.RssMarket(A967,"安値")</f>
        <v>538</v>
      </c>
      <c r="Q967" s="4">
        <f t="shared" si="87"/>
        <v>7.4349442379182396E-3</v>
      </c>
      <c r="R967" s="21">
        <f>_xll.RssMarket(A967,"後場始値")</f>
        <v>541</v>
      </c>
      <c r="S967" s="25">
        <f t="shared" si="88"/>
        <v>1.848428835489857E-3</v>
      </c>
      <c r="T967" s="7">
        <f>_xll.RssMarket(A967,"出来高加重平均")</f>
        <v>541.49630000000002</v>
      </c>
      <c r="U967" s="4">
        <f t="shared" si="89"/>
        <v>9.3020026175616444E-4</v>
      </c>
      <c r="V967" s="21">
        <f>_xll.RssMarket(A967,"出来高")</f>
        <v>938300</v>
      </c>
      <c r="W967" s="21">
        <f>_xll.RssMarket(A967,"売買代金")</f>
        <v>508086</v>
      </c>
      <c r="X967" s="20" t="str">
        <f>_xll.RssMarket(A967,"決算発表日")</f>
        <v>2024/01/11</v>
      </c>
      <c r="Y967" s="26" t="str">
        <f>IF(C967&gt;_xll.RssMarket(A967,"年初来高値"),"○","×")</f>
        <v>×</v>
      </c>
      <c r="Z967" s="27" t="str">
        <f>IF(C967&lt;=_xll.RssMarket(A967,"年初来安値"),"○","×")</f>
        <v>×</v>
      </c>
    </row>
    <row r="968" spans="1:26" x14ac:dyDescent="0.25">
      <c r="A968" s="47">
        <v>8020</v>
      </c>
      <c r="B968" s="20" t="str">
        <f>_xll.RssMarket(A968,"銘柄名称")</f>
        <v>兼松</v>
      </c>
      <c r="C968" s="21">
        <f>_xll.RssMarket(A968,"現在値")</f>
        <v>2326</v>
      </c>
      <c r="D968" s="20" t="str">
        <f>_xll.RssMarket(A968,"現在値詳細時刻")</f>
        <v>15:00:00</v>
      </c>
      <c r="E968" s="22">
        <f>_xll.RssMarket(A968,"前日比")</f>
        <v>-6</v>
      </c>
      <c r="F968" s="23">
        <f>_xll.RssMarket(A968,"前日比率")/100</f>
        <v>-2.5999999999999999E-3</v>
      </c>
      <c r="G968" s="24" t="str">
        <f>IFERROR(VLOOKUP(A968,取得元!$A$2:$F$501,2,FALSE),"-")</f>
        <v>-</v>
      </c>
      <c r="H968" s="24" t="str">
        <f>IFERROR(VLOOKUP(A968,取得元!$A$2:$F$501,3,FALSE),"-")</f>
        <v>-</v>
      </c>
      <c r="I968" s="24" t="str">
        <f>IFERROR(VLOOKUP(A968,取得元!$A$2:$F$501,4,FALSE),"-")</f>
        <v>-</v>
      </c>
      <c r="J968" s="5" t="str">
        <f>IFERROR(VLOOKUP(A968,取得元!$A$2:$F$501,5,FALSE),"-")</f>
        <v>-</v>
      </c>
      <c r="K968" s="25" t="str">
        <f>IFERROR(VLOOKUP(A968,取得元!$A$2:$F$501,6,FALSE)/100,"-")</f>
        <v>-</v>
      </c>
      <c r="L968" s="21">
        <f>_xll.RssMarket(A968,"始値")</f>
        <v>2331</v>
      </c>
      <c r="M968" s="4">
        <f t="shared" si="85"/>
        <v>-2.1450021450021284E-3</v>
      </c>
      <c r="N968" s="21">
        <f>_xll.RssMarket(A968,"高値")</f>
        <v>2355</v>
      </c>
      <c r="O968" s="4">
        <f t="shared" si="86"/>
        <v>-1.2314225053078554E-2</v>
      </c>
      <c r="P968" s="21">
        <f>_xll.RssMarket(A968,"安値")</f>
        <v>2297</v>
      </c>
      <c r="Q968" s="4">
        <f t="shared" si="87"/>
        <v>1.2625163256421379E-2</v>
      </c>
      <c r="R968" s="21">
        <f>_xll.RssMarket(A968,"後場始値")</f>
        <v>2320</v>
      </c>
      <c r="S968" s="25">
        <f t="shared" si="88"/>
        <v>2.586206896551646E-3</v>
      </c>
      <c r="T968" s="7">
        <f>_xll.RssMarket(A968,"出来高加重平均")</f>
        <v>2324.8216000000002</v>
      </c>
      <c r="U968" s="4">
        <f t="shared" si="89"/>
        <v>5.0687760299528151E-4</v>
      </c>
      <c r="V968" s="21">
        <f>_xll.RssMarket(A968,"出来高")</f>
        <v>484900</v>
      </c>
      <c r="W968" s="21">
        <f>_xll.RssMarket(A968,"売買代金")</f>
        <v>1127306</v>
      </c>
      <c r="X968" s="20" t="str">
        <f>_xll.RssMarket(A968,"決算発表日")</f>
        <v>2024/02/06</v>
      </c>
      <c r="Y968" s="26" t="str">
        <f>IF(C968&gt;_xll.RssMarket(A968,"年初来高値"),"○","×")</f>
        <v>×</v>
      </c>
      <c r="Z968" s="27" t="str">
        <f>IF(C968&lt;=_xll.RssMarket(A968,"年初来安値"),"○","×")</f>
        <v>×</v>
      </c>
    </row>
    <row r="969" spans="1:26" x14ac:dyDescent="0.25">
      <c r="A969" s="49">
        <v>8031</v>
      </c>
      <c r="B969" s="20" t="str">
        <f>_xll.RssMarket(A969,"銘柄名称")</f>
        <v>三井物産</v>
      </c>
      <c r="C969" s="21">
        <f>_xll.RssMarket(A969,"現在値")</f>
        <v>5840</v>
      </c>
      <c r="D969" s="20" t="str">
        <f>_xll.RssMarket(A969,"現在値詳細時刻")</f>
        <v>15:00:00</v>
      </c>
      <c r="E969" s="22">
        <f>_xll.RssMarket(A969,"前日比")</f>
        <v>104</v>
      </c>
      <c r="F969" s="23">
        <f>_xll.RssMarket(A969,"前日比率")/100</f>
        <v>1.8100000000000002E-2</v>
      </c>
      <c r="G969" s="24" t="str">
        <f>IFERROR(VLOOKUP(A969,取得元!$A$2:$F$501,2,FALSE),"-")</f>
        <v>-</v>
      </c>
      <c r="H969" s="24" t="str">
        <f>IFERROR(VLOOKUP(A969,取得元!$A$2:$F$501,3,FALSE),"-")</f>
        <v>-</v>
      </c>
      <c r="I969" s="24" t="str">
        <f>IFERROR(VLOOKUP(A969,取得元!$A$2:$F$501,4,FALSE),"-")</f>
        <v>-</v>
      </c>
      <c r="J969" s="5" t="str">
        <f>IFERROR(VLOOKUP(A969,取得元!$A$2:$F$501,5,FALSE),"-")</f>
        <v>-</v>
      </c>
      <c r="K969" s="25" t="str">
        <f>IFERROR(VLOOKUP(A969,取得元!$A$2:$F$501,6,FALSE)/100,"-")</f>
        <v>-</v>
      </c>
      <c r="L969" s="21">
        <f>_xll.RssMarket(A969,"始値")</f>
        <v>5700</v>
      </c>
      <c r="M969" s="4">
        <f t="shared" si="85"/>
        <v>2.4561403508772006E-2</v>
      </c>
      <c r="N969" s="21">
        <f>_xll.RssMarket(A969,"高値")</f>
        <v>5893</v>
      </c>
      <c r="O969" s="4">
        <f t="shared" si="86"/>
        <v>-8.9937213643305203E-3</v>
      </c>
      <c r="P969" s="21">
        <f>_xll.RssMarket(A969,"安値")</f>
        <v>5691</v>
      </c>
      <c r="Q969" s="4">
        <f t="shared" si="87"/>
        <v>2.6181690388332512E-2</v>
      </c>
      <c r="R969" s="21">
        <f>_xll.RssMarket(A969,"後場始値")</f>
        <v>5835</v>
      </c>
      <c r="S969" s="25">
        <f t="shared" si="88"/>
        <v>8.5689802913457847E-4</v>
      </c>
      <c r="T969" s="7">
        <f>_xll.RssMarket(A969,"出来高加重平均")</f>
        <v>5825.3395</v>
      </c>
      <c r="U969" s="4">
        <f t="shared" si="89"/>
        <v>2.5166773541696053E-3</v>
      </c>
      <c r="V969" s="21">
        <f>_xll.RssMarket(A969,"出来高")</f>
        <v>4490800</v>
      </c>
      <c r="W969" s="21">
        <f>_xll.RssMarket(A969,"売買代金")</f>
        <v>26160435</v>
      </c>
      <c r="X969" s="20" t="str">
        <f>_xll.RssMarket(A969,"決算発表日")</f>
        <v>2024/02/02</v>
      </c>
      <c r="Y969" s="26" t="str">
        <f>IF(C969&gt;_xll.RssMarket(A969,"年初来高値"),"○","×")</f>
        <v>×</v>
      </c>
      <c r="Z969" s="27" t="str">
        <f>IF(C969&lt;=_xll.RssMarket(A969,"年初来安値"),"○","×")</f>
        <v>×</v>
      </c>
    </row>
    <row r="970" spans="1:26" x14ac:dyDescent="0.25">
      <c r="A970" s="47">
        <v>8053</v>
      </c>
      <c r="B970" s="20" t="str">
        <f>_xll.RssMarket(A970,"銘柄名称")</f>
        <v>住友商事</v>
      </c>
      <c r="C970" s="21">
        <f>_xll.RssMarket(A970,"現在値")</f>
        <v>3357</v>
      </c>
      <c r="D970" s="20" t="str">
        <f>_xll.RssMarket(A970,"現在値詳細時刻")</f>
        <v>15:00:00</v>
      </c>
      <c r="E970" s="22">
        <f>_xll.RssMarket(A970,"前日比")</f>
        <v>35</v>
      </c>
      <c r="F970" s="23">
        <f>_xll.RssMarket(A970,"前日比率")/100</f>
        <v>1.0500000000000001E-2</v>
      </c>
      <c r="G970" s="24" t="str">
        <f>IFERROR(VLOOKUP(A970,取得元!$A$2:$F$501,2,FALSE),"-")</f>
        <v>-</v>
      </c>
      <c r="H970" s="24" t="str">
        <f>IFERROR(VLOOKUP(A970,取得元!$A$2:$F$501,3,FALSE),"-")</f>
        <v>-</v>
      </c>
      <c r="I970" s="24" t="str">
        <f>IFERROR(VLOOKUP(A970,取得元!$A$2:$F$501,4,FALSE),"-")</f>
        <v>-</v>
      </c>
      <c r="J970" s="5" t="str">
        <f>IFERROR(VLOOKUP(A970,取得元!$A$2:$F$501,5,FALSE),"-")</f>
        <v>-</v>
      </c>
      <c r="K970" s="25" t="str">
        <f>IFERROR(VLOOKUP(A970,取得元!$A$2:$F$501,6,FALSE)/100,"-")</f>
        <v>-</v>
      </c>
      <c r="L970" s="21">
        <f>_xll.RssMarket(A970,"始値")</f>
        <v>3302</v>
      </c>
      <c r="M970" s="4">
        <f t="shared" si="85"/>
        <v>1.665657177468205E-2</v>
      </c>
      <c r="N970" s="21">
        <f>_xll.RssMarket(A970,"高値")</f>
        <v>3358</v>
      </c>
      <c r="O970" s="4">
        <f t="shared" si="86"/>
        <v>-2.9779630732573725E-4</v>
      </c>
      <c r="P970" s="21">
        <f>_xll.RssMarket(A970,"安値")</f>
        <v>3287</v>
      </c>
      <c r="Q970" s="4">
        <f t="shared" si="87"/>
        <v>2.1296014602981472E-2</v>
      </c>
      <c r="R970" s="21">
        <f>_xll.RssMarket(A970,"後場始値")</f>
        <v>3325</v>
      </c>
      <c r="S970" s="25">
        <f t="shared" si="88"/>
        <v>9.6240601503758683E-3</v>
      </c>
      <c r="T970" s="7">
        <f>_xll.RssMarket(A970,"出来高加重平均")</f>
        <v>3334.8998000000001</v>
      </c>
      <c r="U970" s="4">
        <f t="shared" si="89"/>
        <v>6.6269457331220583E-3</v>
      </c>
      <c r="V970" s="21">
        <f>_xll.RssMarket(A970,"出来高")</f>
        <v>4049300</v>
      </c>
      <c r="W970" s="21">
        <f>_xll.RssMarket(A970,"売買代金")</f>
        <v>13504010</v>
      </c>
      <c r="X970" s="20" t="str">
        <f>_xll.RssMarket(A970,"決算発表日")</f>
        <v>2024/02/05</v>
      </c>
      <c r="Y970" s="26" t="str">
        <f>IF(C970&gt;_xll.RssMarket(A970,"年初来高値"),"○","×")</f>
        <v>×</v>
      </c>
      <c r="Z970" s="27" t="str">
        <f>IF(C970&lt;=_xll.RssMarket(A970,"年初来安値"),"○","×")</f>
        <v>×</v>
      </c>
    </row>
    <row r="971" spans="1:26" x14ac:dyDescent="0.25">
      <c r="A971" s="49">
        <v>8056</v>
      </c>
      <c r="B971" s="20" t="str">
        <f>_xll.RssMarket(A971,"銘柄名称")</f>
        <v>ＢＩＰＲＯＧＹ</v>
      </c>
      <c r="C971" s="21">
        <f>_xll.RssMarket(A971,"現在値")</f>
        <v>4495</v>
      </c>
      <c r="D971" s="20" t="str">
        <f>_xll.RssMarket(A971,"現在値詳細時刻")</f>
        <v>15:00:00</v>
      </c>
      <c r="E971" s="22">
        <f>_xll.RssMarket(A971,"前日比")</f>
        <v>-32</v>
      </c>
      <c r="F971" s="23">
        <f>_xll.RssMarket(A971,"前日比率")/100</f>
        <v>-7.0999999999999995E-3</v>
      </c>
      <c r="G971" s="24" t="str">
        <f>IFERROR(VLOOKUP(A971,取得元!$A$2:$F$501,2,FALSE),"-")</f>
        <v>-</v>
      </c>
      <c r="H971" s="24" t="str">
        <f>IFERROR(VLOOKUP(A971,取得元!$A$2:$F$501,3,FALSE),"-")</f>
        <v>-</v>
      </c>
      <c r="I971" s="24" t="str">
        <f>IFERROR(VLOOKUP(A971,取得元!$A$2:$F$501,4,FALSE),"-")</f>
        <v>-</v>
      </c>
      <c r="J971" s="5" t="str">
        <f>IFERROR(VLOOKUP(A971,取得元!$A$2:$F$501,5,FALSE),"-")</f>
        <v>-</v>
      </c>
      <c r="K971" s="25" t="str">
        <f>IFERROR(VLOOKUP(A971,取得元!$A$2:$F$501,6,FALSE)/100,"-")</f>
        <v>-</v>
      </c>
      <c r="L971" s="21">
        <f>_xll.RssMarket(A971,"始値")</f>
        <v>4529</v>
      </c>
      <c r="M971" s="4">
        <f t="shared" si="85"/>
        <v>-7.5071759770368729E-3</v>
      </c>
      <c r="N971" s="21">
        <f>_xll.RssMarket(A971,"高値")</f>
        <v>4542</v>
      </c>
      <c r="O971" s="4">
        <f t="shared" si="86"/>
        <v>-1.0347864376926474E-2</v>
      </c>
      <c r="P971" s="21">
        <f>_xll.RssMarket(A971,"安値")</f>
        <v>4472</v>
      </c>
      <c r="Q971" s="4">
        <f t="shared" si="87"/>
        <v>5.1431127012522282E-3</v>
      </c>
      <c r="R971" s="21">
        <f>_xll.RssMarket(A971,"後場始値")</f>
        <v>4492</v>
      </c>
      <c r="S971" s="25">
        <f t="shared" si="88"/>
        <v>6.6785396260016228E-4</v>
      </c>
      <c r="T971" s="7">
        <f>_xll.RssMarket(A971,"出来高加重平均")</f>
        <v>4493.9421000000002</v>
      </c>
      <c r="U971" s="4">
        <f t="shared" si="89"/>
        <v>2.3540579216629887E-4</v>
      </c>
      <c r="V971" s="21">
        <f>_xll.RssMarket(A971,"出来高")</f>
        <v>442900</v>
      </c>
      <c r="W971" s="21">
        <f>_xll.RssMarket(A971,"売買代金")</f>
        <v>1990367</v>
      </c>
      <c r="X971" s="20" t="str">
        <f>_xll.RssMarket(A971,"決算発表日")</f>
        <v>2024/02/01</v>
      </c>
      <c r="Y971" s="26" t="str">
        <f>IF(C971&gt;_xll.RssMarket(A971,"年初来高値"),"○","×")</f>
        <v>×</v>
      </c>
      <c r="Z971" s="27" t="str">
        <f>IF(C971&lt;=_xll.RssMarket(A971,"年初来安値"),"○","×")</f>
        <v>×</v>
      </c>
    </row>
    <row r="972" spans="1:26" x14ac:dyDescent="0.25">
      <c r="A972" s="47">
        <v>8058</v>
      </c>
      <c r="B972" s="20" t="str">
        <f>_xll.RssMarket(A972,"銘柄名称")</f>
        <v>三菱商事</v>
      </c>
      <c r="C972" s="21">
        <f>_xll.RssMarket(A972,"現在値")</f>
        <v>2782</v>
      </c>
      <c r="D972" s="20" t="str">
        <f>_xll.RssMarket(A972,"現在値詳細時刻")</f>
        <v>15:00:00</v>
      </c>
      <c r="E972" s="22">
        <f>_xll.RssMarket(A972,"前日比")</f>
        <v>247</v>
      </c>
      <c r="F972" s="23">
        <f>_xll.RssMarket(A972,"前日比率")/100</f>
        <v>9.74E-2</v>
      </c>
      <c r="G972" s="24" t="str">
        <f>IFERROR(VLOOKUP(A972,取得元!$A$2:$F$501,2,FALSE),"-")</f>
        <v>-</v>
      </c>
      <c r="H972" s="24" t="str">
        <f>IFERROR(VLOOKUP(A972,取得元!$A$2:$F$501,3,FALSE),"-")</f>
        <v>-</v>
      </c>
      <c r="I972" s="24" t="str">
        <f>IFERROR(VLOOKUP(A972,取得元!$A$2:$F$501,4,FALSE),"-")</f>
        <v>-</v>
      </c>
      <c r="J972" s="5" t="str">
        <f>IFERROR(VLOOKUP(A972,取得元!$A$2:$F$501,5,FALSE),"-")</f>
        <v>-</v>
      </c>
      <c r="K972" s="25" t="str">
        <f>IFERROR(VLOOKUP(A972,取得元!$A$2:$F$501,6,FALSE)/100,"-")</f>
        <v>-</v>
      </c>
      <c r="L972" s="21">
        <f>_xll.RssMarket(A972,"始値")</f>
        <v>2700</v>
      </c>
      <c r="M972" s="4">
        <f t="shared" si="85"/>
        <v>3.0370370370370381E-2</v>
      </c>
      <c r="N972" s="21">
        <f>_xll.RssMarket(A972,"高値")</f>
        <v>2812.5</v>
      </c>
      <c r="O972" s="4">
        <f t="shared" si="86"/>
        <v>-1.0844444444444434E-2</v>
      </c>
      <c r="P972" s="21">
        <f>_xll.RssMarket(A972,"安値")</f>
        <v>2699</v>
      </c>
      <c r="Q972" s="4">
        <f t="shared" si="87"/>
        <v>3.0752130418673529E-2</v>
      </c>
      <c r="R972" s="21">
        <f>_xll.RssMarket(A972,"後場始値")</f>
        <v>2772</v>
      </c>
      <c r="S972" s="25">
        <f t="shared" si="88"/>
        <v>3.6075036075036149E-3</v>
      </c>
      <c r="T972" s="7">
        <f>_xll.RssMarket(A972,"出来高加重平均")</f>
        <v>2768.5142000000001</v>
      </c>
      <c r="U972" s="4">
        <f t="shared" si="89"/>
        <v>4.8711326819272927E-3</v>
      </c>
      <c r="V972" s="21">
        <f>_xll.RssMarket(A972,"出来高")</f>
        <v>46639200</v>
      </c>
      <c r="W972" s="21">
        <f>_xll.RssMarket(A972,"売買代金")</f>
        <v>129121291</v>
      </c>
      <c r="X972" s="20" t="str">
        <f>_xll.RssMarket(A972,"決算発表日")</f>
        <v>2024/02/06</v>
      </c>
      <c r="Y972" s="26" t="str">
        <f>IF(C972&gt;_xll.RssMarket(A972,"年初来高値"),"○","×")</f>
        <v>○</v>
      </c>
      <c r="Z972" s="27" t="str">
        <f>IF(C972&lt;=_xll.RssMarket(A972,"年初来安値"),"○","×")</f>
        <v>×</v>
      </c>
    </row>
    <row r="973" spans="1:26" x14ac:dyDescent="0.25">
      <c r="A973" s="49">
        <v>8077</v>
      </c>
      <c r="B973" s="20" t="str">
        <f>_xll.RssMarket(A973,"銘柄名称")</f>
        <v>トルク</v>
      </c>
      <c r="C973" s="21">
        <f>_xll.RssMarket(A973,"現在値")</f>
        <v>294</v>
      </c>
      <c r="D973" s="20" t="str">
        <f>_xll.RssMarket(A973,"現在値詳細時刻")</f>
        <v>15:00:00</v>
      </c>
      <c r="E973" s="22">
        <f>_xll.RssMarket(A973,"前日比")</f>
        <v>0</v>
      </c>
      <c r="F973" s="23">
        <f>_xll.RssMarket(A973,"前日比率")/100</f>
        <v>0</v>
      </c>
      <c r="G973" s="24" t="str">
        <f>IFERROR(VLOOKUP(A973,取得元!$A$2:$F$501,2,FALSE),"-")</f>
        <v>-</v>
      </c>
      <c r="H973" s="24" t="str">
        <f>IFERROR(VLOOKUP(A973,取得元!$A$2:$F$501,3,FALSE),"-")</f>
        <v>-</v>
      </c>
      <c r="I973" s="24" t="str">
        <f>IFERROR(VLOOKUP(A973,取得元!$A$2:$F$501,4,FALSE),"-")</f>
        <v>-</v>
      </c>
      <c r="J973" s="5" t="str">
        <f>IFERROR(VLOOKUP(A973,取得元!$A$2:$F$501,5,FALSE),"-")</f>
        <v>-</v>
      </c>
      <c r="K973" s="25" t="str">
        <f>IFERROR(VLOOKUP(A973,取得元!$A$2:$F$501,6,FALSE)/100,"-")</f>
        <v>-</v>
      </c>
      <c r="L973" s="21">
        <f>_xll.RssMarket(A973,"始値")</f>
        <v>296</v>
      </c>
      <c r="M973" s="4">
        <f t="shared" si="85"/>
        <v>-6.7567567567567988E-3</v>
      </c>
      <c r="N973" s="21">
        <f>_xll.RssMarket(A973,"高値")</f>
        <v>297</v>
      </c>
      <c r="O973" s="4">
        <f t="shared" si="86"/>
        <v>-1.0101010101010055E-2</v>
      </c>
      <c r="P973" s="21">
        <f>_xll.RssMarket(A973,"安値")</f>
        <v>293</v>
      </c>
      <c r="Q973" s="4">
        <f t="shared" si="87"/>
        <v>3.4129692832765013E-3</v>
      </c>
      <c r="R973" s="21">
        <f>_xll.RssMarket(A973,"後場始値")</f>
        <v>296</v>
      </c>
      <c r="S973" s="25">
        <f t="shared" si="88"/>
        <v>-6.7567567567567988E-3</v>
      </c>
      <c r="T973" s="7">
        <f>_xll.RssMarket(A973,"出来高加重平均")</f>
        <v>295.03870000000001</v>
      </c>
      <c r="U973" s="4">
        <f t="shared" si="89"/>
        <v>-3.5205551000597746E-3</v>
      </c>
      <c r="V973" s="21">
        <f>_xll.RssMarket(A973,"出来高")</f>
        <v>38700</v>
      </c>
      <c r="W973" s="21">
        <f>_xll.RssMarket(A973,"売買代金")</f>
        <v>11418</v>
      </c>
      <c r="X973" s="20" t="str">
        <f>_xll.RssMarket(A973,"決算発表日")</f>
        <v>2024/03/15</v>
      </c>
      <c r="Y973" s="26" t="str">
        <f>IF(C973&gt;_xll.RssMarket(A973,"年初来高値"),"○","×")</f>
        <v>×</v>
      </c>
      <c r="Z973" s="27" t="str">
        <f>IF(C973&lt;=_xll.RssMarket(A973,"年初来安値"),"○","×")</f>
        <v>×</v>
      </c>
    </row>
    <row r="974" spans="1:26" x14ac:dyDescent="0.25">
      <c r="A974" s="47">
        <v>8081</v>
      </c>
      <c r="B974" s="20" t="str">
        <f>_xll.RssMarket(A974,"銘柄名称")</f>
        <v>カナデン</v>
      </c>
      <c r="C974" s="21">
        <f>_xll.RssMarket(A974,"現在値")</f>
        <v>1500</v>
      </c>
      <c r="D974" s="20" t="str">
        <f>_xll.RssMarket(A974,"現在値詳細時刻")</f>
        <v>15:00:00</v>
      </c>
      <c r="E974" s="22">
        <f>_xll.RssMarket(A974,"前日比")</f>
        <v>-10</v>
      </c>
      <c r="F974" s="23">
        <f>_xll.RssMarket(A974,"前日比率")/100</f>
        <v>-6.6E-3</v>
      </c>
      <c r="G974" s="24" t="str">
        <f>IFERROR(VLOOKUP(A974,取得元!$A$2:$F$501,2,FALSE),"-")</f>
        <v>-</v>
      </c>
      <c r="H974" s="24" t="str">
        <f>IFERROR(VLOOKUP(A974,取得元!$A$2:$F$501,3,FALSE),"-")</f>
        <v>-</v>
      </c>
      <c r="I974" s="24" t="str">
        <f>IFERROR(VLOOKUP(A974,取得元!$A$2:$F$501,4,FALSE),"-")</f>
        <v>-</v>
      </c>
      <c r="J974" s="5" t="str">
        <f>IFERROR(VLOOKUP(A974,取得元!$A$2:$F$501,5,FALSE),"-")</f>
        <v>-</v>
      </c>
      <c r="K974" s="25" t="str">
        <f>IFERROR(VLOOKUP(A974,取得元!$A$2:$F$501,6,FALSE)/100,"-")</f>
        <v>-</v>
      </c>
      <c r="L974" s="21">
        <f>_xll.RssMarket(A974,"始値")</f>
        <v>1510</v>
      </c>
      <c r="M974" s="4">
        <f t="shared" si="85"/>
        <v>-6.6225165562914245E-3</v>
      </c>
      <c r="N974" s="21">
        <f>_xll.RssMarket(A974,"高値")</f>
        <v>1516</v>
      </c>
      <c r="O974" s="4">
        <f t="shared" si="86"/>
        <v>-1.0554089709762571E-2</v>
      </c>
      <c r="P974" s="21">
        <f>_xll.RssMarket(A974,"安値")</f>
        <v>1494</v>
      </c>
      <c r="Q974" s="4">
        <f t="shared" si="87"/>
        <v>4.0160642570281624E-3</v>
      </c>
      <c r="R974" s="21">
        <f>_xll.RssMarket(A974,"後場始値")</f>
        <v>1504</v>
      </c>
      <c r="S974" s="25">
        <f t="shared" si="88"/>
        <v>-2.6595744680850686E-3</v>
      </c>
      <c r="T974" s="7">
        <f>_xll.RssMarket(A974,"出来高加重平均")</f>
        <v>1503.0626999999999</v>
      </c>
      <c r="U974" s="4">
        <f t="shared" si="89"/>
        <v>-2.0376395475717457E-3</v>
      </c>
      <c r="V974" s="21">
        <f>_xll.RssMarket(A974,"出来高")</f>
        <v>27100</v>
      </c>
      <c r="W974" s="21">
        <f>_xll.RssMarket(A974,"売買代金")</f>
        <v>40733</v>
      </c>
      <c r="X974" s="20" t="str">
        <f>_xll.RssMarket(A974,"決算発表日")</f>
        <v>2024/01/31</v>
      </c>
      <c r="Y974" s="26" t="str">
        <f>IF(C974&gt;_xll.RssMarket(A974,"年初来高値"),"○","×")</f>
        <v>×</v>
      </c>
      <c r="Z974" s="27" t="str">
        <f>IF(C974&lt;=_xll.RssMarket(A974,"年初来安値"),"○","×")</f>
        <v>×</v>
      </c>
    </row>
    <row r="975" spans="1:26" x14ac:dyDescent="0.25">
      <c r="A975" s="49">
        <v>8095</v>
      </c>
      <c r="B975" s="20" t="str">
        <f>_xll.RssMarket(A975,"銘柄名称")</f>
        <v>アステナホールディングス</v>
      </c>
      <c r="C975" s="21">
        <f>_xll.RssMarket(A975,"現在値")</f>
        <v>472</v>
      </c>
      <c r="D975" s="20" t="str">
        <f>_xll.RssMarket(A975,"現在値詳細時刻")</f>
        <v>15:00:00</v>
      </c>
      <c r="E975" s="22">
        <f>_xll.RssMarket(A975,"前日比")</f>
        <v>-1</v>
      </c>
      <c r="F975" s="23">
        <f>_xll.RssMarket(A975,"前日比率")/100</f>
        <v>-2.0999999999999999E-3</v>
      </c>
      <c r="G975" s="24" t="str">
        <f>IFERROR(VLOOKUP(A975,取得元!$A$2:$F$501,2,FALSE),"-")</f>
        <v>-</v>
      </c>
      <c r="H975" s="24" t="str">
        <f>IFERROR(VLOOKUP(A975,取得元!$A$2:$F$501,3,FALSE),"-")</f>
        <v>-</v>
      </c>
      <c r="I975" s="24" t="str">
        <f>IFERROR(VLOOKUP(A975,取得元!$A$2:$F$501,4,FALSE),"-")</f>
        <v>-</v>
      </c>
      <c r="J975" s="5" t="str">
        <f>IFERROR(VLOOKUP(A975,取得元!$A$2:$F$501,5,FALSE),"-")</f>
        <v>-</v>
      </c>
      <c r="K975" s="25" t="str">
        <f>IFERROR(VLOOKUP(A975,取得元!$A$2:$F$501,6,FALSE)/100,"-")</f>
        <v>-</v>
      </c>
      <c r="L975" s="21">
        <f>_xll.RssMarket(A975,"始値")</f>
        <v>473</v>
      </c>
      <c r="M975" s="4">
        <f t="shared" si="85"/>
        <v>-2.1141649048626032E-3</v>
      </c>
      <c r="N975" s="21">
        <f>_xll.RssMarket(A975,"高値")</f>
        <v>474</v>
      </c>
      <c r="O975" s="4">
        <f t="shared" si="86"/>
        <v>-4.2194092827003704E-3</v>
      </c>
      <c r="P975" s="21">
        <f>_xll.RssMarket(A975,"安値")</f>
        <v>471</v>
      </c>
      <c r="Q975" s="4">
        <f t="shared" si="87"/>
        <v>2.1231422505307851E-3</v>
      </c>
      <c r="R975" s="21">
        <f>_xll.RssMarket(A975,"後場始値")</f>
        <v>472</v>
      </c>
      <c r="S975" s="25">
        <f t="shared" si="88"/>
        <v>0</v>
      </c>
      <c r="T975" s="7">
        <f>_xll.RssMarket(A975,"出来高加重平均")</f>
        <v>472.46929999999998</v>
      </c>
      <c r="U975" s="4">
        <f t="shared" si="89"/>
        <v>-9.9329205093323658E-4</v>
      </c>
      <c r="V975" s="21">
        <f>_xll.RssMarket(A975,"出来高")</f>
        <v>57100</v>
      </c>
      <c r="W975" s="21">
        <f>_xll.RssMarket(A975,"売買代金")</f>
        <v>26978</v>
      </c>
      <c r="X975" s="20" t="str">
        <f>_xll.RssMarket(A975,"決算発表日")</f>
        <v>2024/01/12</v>
      </c>
      <c r="Y975" s="26" t="str">
        <f>IF(C975&gt;_xll.RssMarket(A975,"年初来高値"),"○","×")</f>
        <v>×</v>
      </c>
      <c r="Z975" s="27" t="str">
        <f>IF(C975&lt;=_xll.RssMarket(A975,"年初来安値"),"○","×")</f>
        <v>×</v>
      </c>
    </row>
    <row r="976" spans="1:26" x14ac:dyDescent="0.25">
      <c r="A976" s="47">
        <v>8103</v>
      </c>
      <c r="B976" s="20" t="str">
        <f>_xll.RssMarket(A976,"銘柄名称")</f>
        <v>明和産業</v>
      </c>
      <c r="C976" s="21">
        <f>_xll.RssMarket(A976,"現在値")</f>
        <v>718</v>
      </c>
      <c r="D976" s="20" t="str">
        <f>_xll.RssMarket(A976,"現在値詳細時刻")</f>
        <v>15:00:00</v>
      </c>
      <c r="E976" s="22">
        <f>_xll.RssMarket(A976,"前日比")</f>
        <v>8</v>
      </c>
      <c r="F976" s="23">
        <f>_xll.RssMarket(A976,"前日比率")/100</f>
        <v>1.1299999999999999E-2</v>
      </c>
      <c r="G976" s="24" t="str">
        <f>IFERROR(VLOOKUP(A976,取得元!$A$2:$F$501,2,FALSE),"-")</f>
        <v>-</v>
      </c>
      <c r="H976" s="24" t="str">
        <f>IFERROR(VLOOKUP(A976,取得元!$A$2:$F$501,3,FALSE),"-")</f>
        <v>-</v>
      </c>
      <c r="I976" s="24" t="str">
        <f>IFERROR(VLOOKUP(A976,取得元!$A$2:$F$501,4,FALSE),"-")</f>
        <v>-</v>
      </c>
      <c r="J976" s="5" t="str">
        <f>IFERROR(VLOOKUP(A976,取得元!$A$2:$F$501,5,FALSE),"-")</f>
        <v>-</v>
      </c>
      <c r="K976" s="25" t="str">
        <f>IFERROR(VLOOKUP(A976,取得元!$A$2:$F$501,6,FALSE)/100,"-")</f>
        <v>-</v>
      </c>
      <c r="L976" s="21">
        <f>_xll.RssMarket(A976,"始値")</f>
        <v>707</v>
      </c>
      <c r="M976" s="4">
        <f t="shared" si="85"/>
        <v>1.5558698727015541E-2</v>
      </c>
      <c r="N976" s="21">
        <f>_xll.RssMarket(A976,"高値")</f>
        <v>719</v>
      </c>
      <c r="O976" s="4">
        <f t="shared" si="86"/>
        <v>-1.3908205841446364E-3</v>
      </c>
      <c r="P976" s="21">
        <f>_xll.RssMarket(A976,"安値")</f>
        <v>707</v>
      </c>
      <c r="Q976" s="4">
        <f t="shared" si="87"/>
        <v>1.5558698727015541E-2</v>
      </c>
      <c r="R976" s="21">
        <f>_xll.RssMarket(A976,"後場始値")</f>
        <v>712</v>
      </c>
      <c r="S976" s="25">
        <f t="shared" si="88"/>
        <v>8.4269662921347965E-3</v>
      </c>
      <c r="T976" s="7">
        <f>_xll.RssMarket(A976,"出来高加重平均")</f>
        <v>714.12300000000005</v>
      </c>
      <c r="U976" s="4">
        <f t="shared" si="89"/>
        <v>5.4290367345679602E-3</v>
      </c>
      <c r="V976" s="21">
        <f>_xll.RssMarket(A976,"出来高")</f>
        <v>120300</v>
      </c>
      <c r="W976" s="21">
        <f>_xll.RssMarket(A976,"売買代金")</f>
        <v>85909</v>
      </c>
      <c r="X976" s="20" t="str">
        <f>_xll.RssMarket(A976,"決算発表日")</f>
        <v>2024/01/31</v>
      </c>
      <c r="Y976" s="26" t="str">
        <f>IF(C976&gt;_xll.RssMarket(A976,"年初来高値"),"○","×")</f>
        <v>×</v>
      </c>
      <c r="Z976" s="27" t="str">
        <f>IF(C976&lt;=_xll.RssMarket(A976,"年初来安値"),"○","×")</f>
        <v>×</v>
      </c>
    </row>
    <row r="977" spans="1:26" x14ac:dyDescent="0.25">
      <c r="A977" s="49">
        <v>8104</v>
      </c>
      <c r="B977" s="20" t="str">
        <f>_xll.RssMarket(A977,"銘柄名称")</f>
        <v>クワザワホールディングス</v>
      </c>
      <c r="C977" s="21">
        <f>_xll.RssMarket(A977,"現在値")</f>
        <v>702</v>
      </c>
      <c r="D977" s="20" t="str">
        <f>_xll.RssMarket(A977,"現在値詳細時刻")</f>
        <v>15:00:00</v>
      </c>
      <c r="E977" s="22">
        <f>_xll.RssMarket(A977,"前日比")</f>
        <v>-3</v>
      </c>
      <c r="F977" s="23">
        <f>_xll.RssMarket(A977,"前日比率")/100</f>
        <v>-4.3E-3</v>
      </c>
      <c r="G977" s="24" t="str">
        <f>IFERROR(VLOOKUP(A977,取得元!$A$2:$F$501,2,FALSE),"-")</f>
        <v>-</v>
      </c>
      <c r="H977" s="24" t="str">
        <f>IFERROR(VLOOKUP(A977,取得元!$A$2:$F$501,3,FALSE),"-")</f>
        <v>-</v>
      </c>
      <c r="I977" s="24" t="str">
        <f>IFERROR(VLOOKUP(A977,取得元!$A$2:$F$501,4,FALSE),"-")</f>
        <v>-</v>
      </c>
      <c r="J977" s="5" t="str">
        <f>IFERROR(VLOOKUP(A977,取得元!$A$2:$F$501,5,FALSE),"-")</f>
        <v>-</v>
      </c>
      <c r="K977" s="25" t="str">
        <f>IFERROR(VLOOKUP(A977,取得元!$A$2:$F$501,6,FALSE)/100,"-")</f>
        <v>-</v>
      </c>
      <c r="L977" s="21">
        <f>_xll.RssMarket(A977,"始値")</f>
        <v>705</v>
      </c>
      <c r="M977" s="4">
        <f t="shared" si="85"/>
        <v>-4.2553191489361764E-3</v>
      </c>
      <c r="N977" s="21">
        <f>_xll.RssMarket(A977,"高値")</f>
        <v>715</v>
      </c>
      <c r="O977" s="4">
        <f t="shared" si="86"/>
        <v>-1.8181818181818188E-2</v>
      </c>
      <c r="P977" s="21">
        <f>_xll.RssMarket(A977,"安値")</f>
        <v>701</v>
      </c>
      <c r="Q977" s="4">
        <f t="shared" si="87"/>
        <v>1.4265335235377208E-3</v>
      </c>
      <c r="R977" s="21">
        <f>_xll.RssMarket(A977,"後場始値")</f>
        <v>708</v>
      </c>
      <c r="S977" s="25">
        <f t="shared" si="88"/>
        <v>-8.4745762711864181E-3</v>
      </c>
      <c r="T977" s="7">
        <f>_xll.RssMarket(A977,"出来高加重平均")</f>
        <v>706.08360000000005</v>
      </c>
      <c r="U977" s="4">
        <f t="shared" si="89"/>
        <v>-5.783451138080653E-3</v>
      </c>
      <c r="V977" s="21">
        <f>_xll.RssMarket(A977,"出来高")</f>
        <v>26300</v>
      </c>
      <c r="W977" s="21">
        <f>_xll.RssMarket(A977,"売買代金")</f>
        <v>18570</v>
      </c>
      <c r="X977" s="20" t="str">
        <f>_xll.RssMarket(A977,"決算発表日")</f>
        <v>2024/02/09</v>
      </c>
      <c r="Y977" s="26" t="str">
        <f>IF(C977&gt;_xll.RssMarket(A977,"年初来高値"),"○","×")</f>
        <v>×</v>
      </c>
      <c r="Z977" s="27" t="str">
        <f>IF(C977&lt;=_xll.RssMarket(A977,"年初来安値"),"○","×")</f>
        <v>×</v>
      </c>
    </row>
    <row r="978" spans="1:26" x14ac:dyDescent="0.25">
      <c r="A978" s="47">
        <v>8105</v>
      </c>
      <c r="B978" s="20" t="str">
        <f>_xll.RssMarket(A978,"銘柄名称")</f>
        <v>堀田丸正</v>
      </c>
      <c r="C978" s="21">
        <f>_xll.RssMarket(A978,"現在値")</f>
        <v>50</v>
      </c>
      <c r="D978" s="20" t="str">
        <f>_xll.RssMarket(A978,"現在値詳細時刻")</f>
        <v>15:00:00</v>
      </c>
      <c r="E978" s="22">
        <f>_xll.RssMarket(A978,"前日比")</f>
        <v>0</v>
      </c>
      <c r="F978" s="23">
        <f>_xll.RssMarket(A978,"前日比率")/100</f>
        <v>0</v>
      </c>
      <c r="G978" s="24" t="str">
        <f>IFERROR(VLOOKUP(A978,取得元!$A$2:$F$501,2,FALSE),"-")</f>
        <v>-</v>
      </c>
      <c r="H978" s="24" t="str">
        <f>IFERROR(VLOOKUP(A978,取得元!$A$2:$F$501,3,FALSE),"-")</f>
        <v>-</v>
      </c>
      <c r="I978" s="24" t="str">
        <f>IFERROR(VLOOKUP(A978,取得元!$A$2:$F$501,4,FALSE),"-")</f>
        <v>-</v>
      </c>
      <c r="J978" s="5" t="str">
        <f>IFERROR(VLOOKUP(A978,取得元!$A$2:$F$501,5,FALSE),"-")</f>
        <v>-</v>
      </c>
      <c r="K978" s="25" t="str">
        <f>IFERROR(VLOOKUP(A978,取得元!$A$2:$F$501,6,FALSE)/100,"-")</f>
        <v>-</v>
      </c>
      <c r="L978" s="21">
        <f>_xll.RssMarket(A978,"始値")</f>
        <v>49</v>
      </c>
      <c r="M978" s="4">
        <f t="shared" si="85"/>
        <v>2.0408163265306145E-2</v>
      </c>
      <c r="N978" s="21">
        <f>_xll.RssMarket(A978,"高値")</f>
        <v>50</v>
      </c>
      <c r="O978" s="4">
        <f t="shared" si="86"/>
        <v>0</v>
      </c>
      <c r="P978" s="21">
        <f>_xll.RssMarket(A978,"安値")</f>
        <v>49</v>
      </c>
      <c r="Q978" s="4">
        <f t="shared" si="87"/>
        <v>2.0408163265306145E-2</v>
      </c>
      <c r="R978" s="21">
        <f>_xll.RssMarket(A978,"後場始値")</f>
        <v>49</v>
      </c>
      <c r="S978" s="25">
        <f t="shared" si="88"/>
        <v>2.0408163265306145E-2</v>
      </c>
      <c r="T978" s="7">
        <f>_xll.RssMarket(A978,"出来高加重平均")</f>
        <v>49.242400000000004</v>
      </c>
      <c r="U978" s="4">
        <f t="shared" si="89"/>
        <v>1.5385115266518312E-2</v>
      </c>
      <c r="V978" s="21">
        <f>_xll.RssMarket(A978,"出来高")</f>
        <v>6600</v>
      </c>
      <c r="W978" s="21">
        <f>_xll.RssMarket(A978,"売買代金")</f>
        <v>325</v>
      </c>
      <c r="X978" s="20" t="str">
        <f>_xll.RssMarket(A978,"決算発表日")</f>
        <v>2024/02/13</v>
      </c>
      <c r="Y978" s="26" t="str">
        <f>IF(C978&gt;_xll.RssMarket(A978,"年初来高値"),"○","×")</f>
        <v>×</v>
      </c>
      <c r="Z978" s="27" t="str">
        <f>IF(C978&lt;=_xll.RssMarket(A978,"年初来安値"),"○","×")</f>
        <v>×</v>
      </c>
    </row>
    <row r="979" spans="1:26" x14ac:dyDescent="0.25">
      <c r="A979" s="49">
        <v>8118</v>
      </c>
      <c r="B979" s="20" t="str">
        <f>_xll.RssMarket(A979,"銘柄名称")</f>
        <v>キング</v>
      </c>
      <c r="C979" s="21">
        <f>_xll.RssMarket(A979,"現在値")</f>
        <v>696</v>
      </c>
      <c r="D979" s="20" t="str">
        <f>_xll.RssMarket(A979,"現在値詳細時刻")</f>
        <v>15:00:00</v>
      </c>
      <c r="E979" s="22">
        <f>_xll.RssMarket(A979,"前日比")</f>
        <v>-6</v>
      </c>
      <c r="F979" s="23">
        <f>_xll.RssMarket(A979,"前日比率")/100</f>
        <v>-8.5000000000000006E-3</v>
      </c>
      <c r="G979" s="24" t="str">
        <f>IFERROR(VLOOKUP(A979,取得元!$A$2:$F$501,2,FALSE),"-")</f>
        <v>-</v>
      </c>
      <c r="H979" s="24" t="str">
        <f>IFERROR(VLOOKUP(A979,取得元!$A$2:$F$501,3,FALSE),"-")</f>
        <v>-</v>
      </c>
      <c r="I979" s="24" t="str">
        <f>IFERROR(VLOOKUP(A979,取得元!$A$2:$F$501,4,FALSE),"-")</f>
        <v>-</v>
      </c>
      <c r="J979" s="5" t="str">
        <f>IFERROR(VLOOKUP(A979,取得元!$A$2:$F$501,5,FALSE),"-")</f>
        <v>-</v>
      </c>
      <c r="K979" s="25" t="str">
        <f>IFERROR(VLOOKUP(A979,取得元!$A$2:$F$501,6,FALSE)/100,"-")</f>
        <v>-</v>
      </c>
      <c r="L979" s="21">
        <f>_xll.RssMarket(A979,"始値")</f>
        <v>692</v>
      </c>
      <c r="M979" s="4">
        <f t="shared" si="85"/>
        <v>5.7803468208093012E-3</v>
      </c>
      <c r="N979" s="21">
        <f>_xll.RssMarket(A979,"高値")</f>
        <v>701</v>
      </c>
      <c r="O979" s="4">
        <f t="shared" si="86"/>
        <v>-7.132667617689048E-3</v>
      </c>
      <c r="P979" s="21">
        <f>_xll.RssMarket(A979,"安値")</f>
        <v>692</v>
      </c>
      <c r="Q979" s="4">
        <f t="shared" si="87"/>
        <v>5.7803468208093012E-3</v>
      </c>
      <c r="R979" s="21">
        <f>_xll.RssMarket(A979,"後場始値")</f>
        <v>696</v>
      </c>
      <c r="S979" s="25">
        <f t="shared" si="88"/>
        <v>0</v>
      </c>
      <c r="T979" s="7">
        <f>_xll.RssMarket(A979,"出来高加重平均")</f>
        <v>698.09519999999998</v>
      </c>
      <c r="U979" s="4">
        <f t="shared" si="89"/>
        <v>-3.001309850003242E-3</v>
      </c>
      <c r="V979" s="21">
        <f>_xll.RssMarket(A979,"出来高")</f>
        <v>12600</v>
      </c>
      <c r="W979" s="21">
        <f>_xll.RssMarket(A979,"売買代金")</f>
        <v>8796</v>
      </c>
      <c r="X979" s="20" t="str">
        <f>_xll.RssMarket(A979,"決算発表日")</f>
        <v>2024/02/05</v>
      </c>
      <c r="Y979" s="26" t="str">
        <f>IF(C979&gt;_xll.RssMarket(A979,"年初来高値"),"○","×")</f>
        <v>×</v>
      </c>
      <c r="Z979" s="27" t="str">
        <f>IF(C979&lt;=_xll.RssMarket(A979,"年初来安値"),"○","×")</f>
        <v>×</v>
      </c>
    </row>
    <row r="980" spans="1:26" x14ac:dyDescent="0.25">
      <c r="A980" s="47">
        <v>8133</v>
      </c>
      <c r="B980" s="20" t="str">
        <f>_xll.RssMarket(A980,"銘柄名称")</f>
        <v>伊藤忠エネクス</v>
      </c>
      <c r="C980" s="21">
        <f>_xll.RssMarket(A980,"現在値")</f>
        <v>1558</v>
      </c>
      <c r="D980" s="20" t="str">
        <f>_xll.RssMarket(A980,"現在値詳細時刻")</f>
        <v>15:00:00</v>
      </c>
      <c r="E980" s="22">
        <f>_xll.RssMarket(A980,"前日比")</f>
        <v>9</v>
      </c>
      <c r="F980" s="23">
        <f>_xll.RssMarket(A980,"前日比率")/100</f>
        <v>5.7999999999999996E-3</v>
      </c>
      <c r="G980" s="24" t="str">
        <f>IFERROR(VLOOKUP(A980,取得元!$A$2:$F$501,2,FALSE),"-")</f>
        <v>-</v>
      </c>
      <c r="H980" s="24" t="str">
        <f>IFERROR(VLOOKUP(A980,取得元!$A$2:$F$501,3,FALSE),"-")</f>
        <v>-</v>
      </c>
      <c r="I980" s="24" t="str">
        <f>IFERROR(VLOOKUP(A980,取得元!$A$2:$F$501,4,FALSE),"-")</f>
        <v>-</v>
      </c>
      <c r="J980" s="5" t="str">
        <f>IFERROR(VLOOKUP(A980,取得元!$A$2:$F$501,5,FALSE),"-")</f>
        <v>-</v>
      </c>
      <c r="K980" s="25" t="str">
        <f>IFERROR(VLOOKUP(A980,取得元!$A$2:$F$501,6,FALSE)/100,"-")</f>
        <v>-</v>
      </c>
      <c r="L980" s="21">
        <f>_xll.RssMarket(A980,"始値")</f>
        <v>1547</v>
      </c>
      <c r="M980" s="4">
        <f t="shared" si="85"/>
        <v>7.1105365223012029E-3</v>
      </c>
      <c r="N980" s="21">
        <f>_xll.RssMarket(A980,"高値")</f>
        <v>1561</v>
      </c>
      <c r="O980" s="4">
        <f t="shared" si="86"/>
        <v>-1.9218449711723151E-3</v>
      </c>
      <c r="P980" s="21">
        <f>_xll.RssMarket(A980,"安値")</f>
        <v>1541</v>
      </c>
      <c r="Q980" s="4">
        <f t="shared" si="87"/>
        <v>1.1031797534068799E-2</v>
      </c>
      <c r="R980" s="21">
        <f>_xll.RssMarket(A980,"後場始値")</f>
        <v>1545</v>
      </c>
      <c r="S980" s="25">
        <f t="shared" si="88"/>
        <v>8.4142394822006583E-3</v>
      </c>
      <c r="T980" s="7">
        <f>_xll.RssMarket(A980,"出来高加重平均")</f>
        <v>1552.8715999999999</v>
      </c>
      <c r="U980" s="4">
        <f t="shared" si="89"/>
        <v>3.3025267510848888E-3</v>
      </c>
      <c r="V980" s="21">
        <f>_xll.RssMarket(A980,"出来高")</f>
        <v>88800</v>
      </c>
      <c r="W980" s="21">
        <f>_xll.RssMarket(A980,"売買代金")</f>
        <v>137895</v>
      </c>
      <c r="X980" s="20" t="str">
        <f>_xll.RssMarket(A980,"決算発表日")</f>
        <v>2024/01/31</v>
      </c>
      <c r="Y980" s="26" t="str">
        <f>IF(C980&gt;_xll.RssMarket(A980,"年初来高値"),"○","×")</f>
        <v>×</v>
      </c>
      <c r="Z980" s="27" t="str">
        <f>IF(C980&lt;=_xll.RssMarket(A980,"年初来安値"),"○","×")</f>
        <v>×</v>
      </c>
    </row>
    <row r="981" spans="1:26" x14ac:dyDescent="0.25">
      <c r="A981" s="49">
        <v>8135</v>
      </c>
      <c r="B981" s="20" t="str">
        <f>_xll.RssMarket(A981,"銘柄名称")</f>
        <v>ゼット</v>
      </c>
      <c r="C981" s="21">
        <f>_xll.RssMarket(A981,"現在値")</f>
        <v>323</v>
      </c>
      <c r="D981" s="20" t="str">
        <f>_xll.RssMarket(A981,"現在値詳細時刻")</f>
        <v>15:00:00</v>
      </c>
      <c r="E981" s="22">
        <f>_xll.RssMarket(A981,"前日比")</f>
        <v>4</v>
      </c>
      <c r="F981" s="23">
        <f>_xll.RssMarket(A981,"前日比率")/100</f>
        <v>1.2500000000000001E-2</v>
      </c>
      <c r="G981" s="24" t="str">
        <f>IFERROR(VLOOKUP(A981,取得元!$A$2:$F$501,2,FALSE),"-")</f>
        <v>-</v>
      </c>
      <c r="H981" s="24" t="str">
        <f>IFERROR(VLOOKUP(A981,取得元!$A$2:$F$501,3,FALSE),"-")</f>
        <v>-</v>
      </c>
      <c r="I981" s="24" t="str">
        <f>IFERROR(VLOOKUP(A981,取得元!$A$2:$F$501,4,FALSE),"-")</f>
        <v>-</v>
      </c>
      <c r="J981" s="5" t="str">
        <f>IFERROR(VLOOKUP(A981,取得元!$A$2:$F$501,5,FALSE),"-")</f>
        <v>-</v>
      </c>
      <c r="K981" s="25" t="str">
        <f>IFERROR(VLOOKUP(A981,取得元!$A$2:$F$501,6,FALSE)/100,"-")</f>
        <v>-</v>
      </c>
      <c r="L981" s="21">
        <f>_xll.RssMarket(A981,"始値")</f>
        <v>320</v>
      </c>
      <c r="M981" s="4">
        <f t="shared" si="85"/>
        <v>9.3749999999999112E-3</v>
      </c>
      <c r="N981" s="21">
        <f>_xll.RssMarket(A981,"高値")</f>
        <v>323</v>
      </c>
      <c r="O981" s="4">
        <f t="shared" si="86"/>
        <v>0</v>
      </c>
      <c r="P981" s="21">
        <f>_xll.RssMarket(A981,"安値")</f>
        <v>315</v>
      </c>
      <c r="Q981" s="4">
        <f t="shared" si="87"/>
        <v>2.5396825396825307E-2</v>
      </c>
      <c r="R981" s="21">
        <f>_xll.RssMarket(A981,"後場始値")</f>
        <v>319</v>
      </c>
      <c r="S981" s="25">
        <f t="shared" si="88"/>
        <v>1.2539184952978122E-2</v>
      </c>
      <c r="T981" s="7">
        <f>_xll.RssMarket(A981,"出来高加重平均")</f>
        <v>319.5652</v>
      </c>
      <c r="U981" s="4">
        <f t="shared" si="89"/>
        <v>1.0748354326441056E-2</v>
      </c>
      <c r="V981" s="21">
        <f>_xll.RssMarket(A981,"出来高")</f>
        <v>18400</v>
      </c>
      <c r="W981" s="21">
        <f>_xll.RssMarket(A981,"売買代金")</f>
        <v>5880</v>
      </c>
      <c r="X981" s="20" t="str">
        <f>_xll.RssMarket(A981,"決算発表日")</f>
        <v>2024/02/08</v>
      </c>
      <c r="Y981" s="26" t="str">
        <f>IF(C981&gt;_xll.RssMarket(A981,"年初来高値"),"○","×")</f>
        <v>×</v>
      </c>
      <c r="Z981" s="27" t="str">
        <f>IF(C981&lt;=_xll.RssMarket(A981,"年初来安値"),"○","×")</f>
        <v>×</v>
      </c>
    </row>
    <row r="982" spans="1:26" x14ac:dyDescent="0.25">
      <c r="A982" s="47">
        <v>8139</v>
      </c>
      <c r="B982" s="20" t="str">
        <f>_xll.RssMarket(A982,"銘柄名称")</f>
        <v>ナガホリ</v>
      </c>
      <c r="C982" s="21">
        <f>_xll.RssMarket(A982,"現在値")</f>
        <v>1549</v>
      </c>
      <c r="D982" s="20" t="str">
        <f>_xll.RssMarket(A982,"現在値詳細時刻")</f>
        <v>15:00:00</v>
      </c>
      <c r="E982" s="22">
        <f>_xll.RssMarket(A982,"前日比")</f>
        <v>-20</v>
      </c>
      <c r="F982" s="23">
        <f>_xll.RssMarket(A982,"前日比率")/100</f>
        <v>-1.2699999999999999E-2</v>
      </c>
      <c r="G982" s="24" t="str">
        <f>IFERROR(VLOOKUP(A982,取得元!$A$2:$F$501,2,FALSE),"-")</f>
        <v>-</v>
      </c>
      <c r="H982" s="24" t="str">
        <f>IFERROR(VLOOKUP(A982,取得元!$A$2:$F$501,3,FALSE),"-")</f>
        <v>-</v>
      </c>
      <c r="I982" s="24" t="str">
        <f>IFERROR(VLOOKUP(A982,取得元!$A$2:$F$501,4,FALSE),"-")</f>
        <v>-</v>
      </c>
      <c r="J982" s="5" t="str">
        <f>IFERROR(VLOOKUP(A982,取得元!$A$2:$F$501,5,FALSE),"-")</f>
        <v>-</v>
      </c>
      <c r="K982" s="25" t="str">
        <f>IFERROR(VLOOKUP(A982,取得元!$A$2:$F$501,6,FALSE)/100,"-")</f>
        <v>-</v>
      </c>
      <c r="L982" s="21">
        <f>_xll.RssMarket(A982,"始値")</f>
        <v>1590</v>
      </c>
      <c r="M982" s="4">
        <f t="shared" ref="M982:M1045" si="90">C982/L982-1</f>
        <v>-2.5786163522012573E-2</v>
      </c>
      <c r="N982" s="21">
        <f>_xll.RssMarket(A982,"高値")</f>
        <v>1590</v>
      </c>
      <c r="O982" s="4">
        <f t="shared" ref="O982:O1045" si="91">C982/N982-1</f>
        <v>-2.5786163522012573E-2</v>
      </c>
      <c r="P982" s="21">
        <f>_xll.RssMarket(A982,"安値")</f>
        <v>1525</v>
      </c>
      <c r="Q982" s="4">
        <f t="shared" ref="Q982:Q1045" si="92">C982/P982-1</f>
        <v>1.5737704918032724E-2</v>
      </c>
      <c r="R982" s="21">
        <f>_xll.RssMarket(A982,"後場始値")</f>
        <v>1544</v>
      </c>
      <c r="S982" s="25">
        <f t="shared" ref="S982:S1045" si="93">IFERROR(C982/R982-1,"-")</f>
        <v>3.2383419689119286E-3</v>
      </c>
      <c r="T982" s="7">
        <f>_xll.RssMarket(A982,"出来高加重平均")</f>
        <v>1546.0563</v>
      </c>
      <c r="U982" s="4">
        <f t="shared" ref="U982:U1045" si="94">C982/T982-1</f>
        <v>1.9040056950061501E-3</v>
      </c>
      <c r="V982" s="21">
        <f>_xll.RssMarket(A982,"出来高")</f>
        <v>49700</v>
      </c>
      <c r="W982" s="21">
        <f>_xll.RssMarket(A982,"売買代金")</f>
        <v>76839</v>
      </c>
      <c r="X982" s="20" t="str">
        <f>_xll.RssMarket(A982,"決算発表日")</f>
        <v>2024/02/09</v>
      </c>
      <c r="Y982" s="26" t="str">
        <f>IF(C982&gt;_xll.RssMarket(A982,"年初来高値"),"○","×")</f>
        <v>×</v>
      </c>
      <c r="Z982" s="27" t="str">
        <f>IF(C982&lt;=_xll.RssMarket(A982,"年初来安値"),"○","×")</f>
        <v>×</v>
      </c>
    </row>
    <row r="983" spans="1:26" x14ac:dyDescent="0.25">
      <c r="A983" s="49">
        <v>8143</v>
      </c>
      <c r="B983" s="20" t="str">
        <f>_xll.RssMarket(A983,"銘柄名称")</f>
        <v>ラピーヌ</v>
      </c>
      <c r="C983" s="21">
        <f>_xll.RssMarket(A983,"現在値")</f>
        <v>288</v>
      </c>
      <c r="D983" s="20" t="str">
        <f>_xll.RssMarket(A983,"現在値詳細時刻")</f>
        <v>15:00:00</v>
      </c>
      <c r="E983" s="22">
        <f>_xll.RssMarket(A983,"前日比")</f>
        <v>-1</v>
      </c>
      <c r="F983" s="23">
        <f>_xll.RssMarket(A983,"前日比率")/100</f>
        <v>-3.4999999999999996E-3</v>
      </c>
      <c r="G983" s="24" t="str">
        <f>IFERROR(VLOOKUP(A983,取得元!$A$2:$F$501,2,FALSE),"-")</f>
        <v>-</v>
      </c>
      <c r="H983" s="24" t="str">
        <f>IFERROR(VLOOKUP(A983,取得元!$A$2:$F$501,3,FALSE),"-")</f>
        <v>-</v>
      </c>
      <c r="I983" s="24" t="str">
        <f>IFERROR(VLOOKUP(A983,取得元!$A$2:$F$501,4,FALSE),"-")</f>
        <v>-</v>
      </c>
      <c r="J983" s="5" t="str">
        <f>IFERROR(VLOOKUP(A983,取得元!$A$2:$F$501,5,FALSE),"-")</f>
        <v>-</v>
      </c>
      <c r="K983" s="25" t="str">
        <f>IFERROR(VLOOKUP(A983,取得元!$A$2:$F$501,6,FALSE)/100,"-")</f>
        <v>-</v>
      </c>
      <c r="L983" s="21">
        <f>_xll.RssMarket(A983,"始値")</f>
        <v>289</v>
      </c>
      <c r="M983" s="4">
        <f t="shared" si="90"/>
        <v>-3.4602076124568004E-3</v>
      </c>
      <c r="N983" s="21">
        <f>_xll.RssMarket(A983,"高値")</f>
        <v>289</v>
      </c>
      <c r="O983" s="4">
        <f t="shared" si="91"/>
        <v>-3.4602076124568004E-3</v>
      </c>
      <c r="P983" s="21">
        <f>_xll.RssMarket(A983,"安値")</f>
        <v>284</v>
      </c>
      <c r="Q983" s="4">
        <f t="shared" si="92"/>
        <v>1.4084507042253502E-2</v>
      </c>
      <c r="R983" s="21">
        <f>_xll.RssMarket(A983,"後場始値")</f>
        <v>286</v>
      </c>
      <c r="S983" s="25">
        <f t="shared" si="93"/>
        <v>6.9930069930070893E-3</v>
      </c>
      <c r="T983" s="7">
        <f>_xll.RssMarket(A983,"出来高加重平均")</f>
        <v>286.66660000000002</v>
      </c>
      <c r="U983" s="4">
        <f t="shared" si="94"/>
        <v>4.6513964305572308E-3</v>
      </c>
      <c r="V983" s="21">
        <f>_xll.RssMarket(A983,"出来高")</f>
        <v>1800</v>
      </c>
      <c r="W983" s="21">
        <f>_xll.RssMarket(A983,"売買代金")</f>
        <v>516</v>
      </c>
      <c r="X983" s="20" t="str">
        <f>_xll.RssMarket(A983,"決算発表日")</f>
        <v>2024/01/12</v>
      </c>
      <c r="Y983" s="26" t="str">
        <f>IF(C983&gt;_xll.RssMarket(A983,"年初来高値"),"○","×")</f>
        <v>×</v>
      </c>
      <c r="Z983" s="27" t="str">
        <f>IF(C983&lt;=_xll.RssMarket(A983,"年初来安値"),"○","×")</f>
        <v>×</v>
      </c>
    </row>
    <row r="984" spans="1:26" x14ac:dyDescent="0.25">
      <c r="A984" s="47">
        <v>8150</v>
      </c>
      <c r="B984" s="20" t="str">
        <f>_xll.RssMarket(A984,"銘柄名称")</f>
        <v>三信電気</v>
      </c>
      <c r="C984" s="21">
        <f>_xll.RssMarket(A984,"現在値")</f>
        <v>2317</v>
      </c>
      <c r="D984" s="20" t="str">
        <f>_xll.RssMarket(A984,"現在値詳細時刻")</f>
        <v>15:00:00</v>
      </c>
      <c r="E984" s="22">
        <f>_xll.RssMarket(A984,"前日比")</f>
        <v>-16</v>
      </c>
      <c r="F984" s="23">
        <f>_xll.RssMarket(A984,"前日比率")/100</f>
        <v>-6.8999999999999999E-3</v>
      </c>
      <c r="G984" s="24" t="str">
        <f>IFERROR(VLOOKUP(A984,取得元!$A$2:$F$501,2,FALSE),"-")</f>
        <v>-</v>
      </c>
      <c r="H984" s="24" t="str">
        <f>IFERROR(VLOOKUP(A984,取得元!$A$2:$F$501,3,FALSE),"-")</f>
        <v>-</v>
      </c>
      <c r="I984" s="24" t="str">
        <f>IFERROR(VLOOKUP(A984,取得元!$A$2:$F$501,4,FALSE),"-")</f>
        <v>-</v>
      </c>
      <c r="J984" s="5" t="str">
        <f>IFERROR(VLOOKUP(A984,取得元!$A$2:$F$501,5,FALSE),"-")</f>
        <v>-</v>
      </c>
      <c r="K984" s="25" t="str">
        <f>IFERROR(VLOOKUP(A984,取得元!$A$2:$F$501,6,FALSE)/100,"-")</f>
        <v>-</v>
      </c>
      <c r="L984" s="21">
        <f>_xll.RssMarket(A984,"始値")</f>
        <v>2315</v>
      </c>
      <c r="M984" s="4">
        <f t="shared" si="90"/>
        <v>8.6393088552916275E-4</v>
      </c>
      <c r="N984" s="21">
        <f>_xll.RssMarket(A984,"高値")</f>
        <v>2319</v>
      </c>
      <c r="O984" s="4">
        <f t="shared" si="91"/>
        <v>-8.624407072014284E-4</v>
      </c>
      <c r="P984" s="21">
        <f>_xll.RssMarket(A984,"安値")</f>
        <v>2291</v>
      </c>
      <c r="Q984" s="4">
        <f t="shared" si="92"/>
        <v>1.1348756001746008E-2</v>
      </c>
      <c r="R984" s="21">
        <f>_xll.RssMarket(A984,"後場始値")</f>
        <v>2315</v>
      </c>
      <c r="S984" s="25">
        <f t="shared" si="93"/>
        <v>8.6393088552916275E-4</v>
      </c>
      <c r="T984" s="7">
        <f>_xll.RssMarket(A984,"出来高加重平均")</f>
        <v>2308.6550000000002</v>
      </c>
      <c r="U984" s="4">
        <f t="shared" si="94"/>
        <v>3.6146587515240025E-3</v>
      </c>
      <c r="V984" s="21">
        <f>_xll.RssMarket(A984,"出来高")</f>
        <v>46100</v>
      </c>
      <c r="W984" s="21">
        <f>_xll.RssMarket(A984,"売買代金")</f>
        <v>106429</v>
      </c>
      <c r="X984" s="20" t="str">
        <f>_xll.RssMarket(A984,"決算発表日")</f>
        <v>2024/02/05</v>
      </c>
      <c r="Y984" s="26" t="str">
        <f>IF(C984&gt;_xll.RssMarket(A984,"年初来高値"),"○","×")</f>
        <v>×</v>
      </c>
      <c r="Z984" s="27" t="str">
        <f>IF(C984&lt;=_xll.RssMarket(A984,"年初来安値"),"○","×")</f>
        <v>×</v>
      </c>
    </row>
    <row r="985" spans="1:26" x14ac:dyDescent="0.25">
      <c r="A985" s="49">
        <v>8153</v>
      </c>
      <c r="B985" s="20" t="str">
        <f>_xll.RssMarket(A985,"銘柄名称")</f>
        <v>モスフードサービス</v>
      </c>
      <c r="C985" s="21">
        <f>_xll.RssMarket(A985,"現在値")</f>
        <v>3440</v>
      </c>
      <c r="D985" s="20" t="str">
        <f>_xll.RssMarket(A985,"現在値詳細時刻")</f>
        <v>15:00:00</v>
      </c>
      <c r="E985" s="22">
        <f>_xll.RssMarket(A985,"前日比")</f>
        <v>-40</v>
      </c>
      <c r="F985" s="23">
        <f>_xll.RssMarket(A985,"前日比率")/100</f>
        <v>-1.15E-2</v>
      </c>
      <c r="G985" s="24" t="str">
        <f>IFERROR(VLOOKUP(A985,取得元!$A$2:$F$501,2,FALSE),"-")</f>
        <v>-</v>
      </c>
      <c r="H985" s="24" t="str">
        <f>IFERROR(VLOOKUP(A985,取得元!$A$2:$F$501,3,FALSE),"-")</f>
        <v>-</v>
      </c>
      <c r="I985" s="24" t="str">
        <f>IFERROR(VLOOKUP(A985,取得元!$A$2:$F$501,4,FALSE),"-")</f>
        <v>-</v>
      </c>
      <c r="J985" s="5" t="str">
        <f>IFERROR(VLOOKUP(A985,取得元!$A$2:$F$501,5,FALSE),"-")</f>
        <v>-</v>
      </c>
      <c r="K985" s="25" t="str">
        <f>IFERROR(VLOOKUP(A985,取得元!$A$2:$F$501,6,FALSE)/100,"-")</f>
        <v>-</v>
      </c>
      <c r="L985" s="21">
        <f>_xll.RssMarket(A985,"始値")</f>
        <v>3490</v>
      </c>
      <c r="M985" s="4">
        <f t="shared" si="90"/>
        <v>-1.4326647564469885E-2</v>
      </c>
      <c r="N985" s="21">
        <f>_xll.RssMarket(A985,"高値")</f>
        <v>3490</v>
      </c>
      <c r="O985" s="4">
        <f t="shared" si="91"/>
        <v>-1.4326647564469885E-2</v>
      </c>
      <c r="P985" s="21">
        <f>_xll.RssMarket(A985,"安値")</f>
        <v>3435</v>
      </c>
      <c r="Q985" s="4">
        <f t="shared" si="92"/>
        <v>1.4556040756914523E-3</v>
      </c>
      <c r="R985" s="21">
        <f>_xll.RssMarket(A985,"後場始値")</f>
        <v>3435</v>
      </c>
      <c r="S985" s="25">
        <f t="shared" si="93"/>
        <v>1.4556040756914523E-3</v>
      </c>
      <c r="T985" s="7">
        <f>_xll.RssMarket(A985,"出来高加重平均")</f>
        <v>3450.0672</v>
      </c>
      <c r="U985" s="4">
        <f t="shared" si="94"/>
        <v>-2.9179721484845489E-3</v>
      </c>
      <c r="V985" s="21">
        <f>_xll.RssMarket(A985,"出来高")</f>
        <v>89200</v>
      </c>
      <c r="W985" s="21">
        <f>_xll.RssMarket(A985,"売買代金")</f>
        <v>307746</v>
      </c>
      <c r="X985" s="20" t="str">
        <f>_xll.RssMarket(A985,"決算発表日")</f>
        <v>2024/02/09</v>
      </c>
      <c r="Y985" s="26" t="str">
        <f>IF(C985&gt;_xll.RssMarket(A985,"年初来高値"),"○","×")</f>
        <v>×</v>
      </c>
      <c r="Z985" s="27" t="str">
        <f>IF(C985&lt;=_xll.RssMarket(A985,"年初来安値"),"○","×")</f>
        <v>×</v>
      </c>
    </row>
    <row r="986" spans="1:26" x14ac:dyDescent="0.25">
      <c r="A986" s="47">
        <v>8166</v>
      </c>
      <c r="B986" s="20" t="str">
        <f>_xll.RssMarket(A986,"銘柄名称")</f>
        <v>タカキユー</v>
      </c>
      <c r="C986" s="21">
        <f>_xll.RssMarket(A986,"現在値")</f>
        <v>66</v>
      </c>
      <c r="D986" s="20" t="str">
        <f>_xll.RssMarket(A986,"現在値詳細時刻")</f>
        <v>15:00:00</v>
      </c>
      <c r="E986" s="22">
        <f>_xll.RssMarket(A986,"前日比")</f>
        <v>-1</v>
      </c>
      <c r="F986" s="23">
        <f>_xll.RssMarket(A986,"前日比率")/100</f>
        <v>-1.49E-2</v>
      </c>
      <c r="G986" s="24" t="str">
        <f>IFERROR(VLOOKUP(A986,取得元!$A$2:$F$501,2,FALSE),"-")</f>
        <v>-</v>
      </c>
      <c r="H986" s="24" t="str">
        <f>IFERROR(VLOOKUP(A986,取得元!$A$2:$F$501,3,FALSE),"-")</f>
        <v>-</v>
      </c>
      <c r="I986" s="24" t="str">
        <f>IFERROR(VLOOKUP(A986,取得元!$A$2:$F$501,4,FALSE),"-")</f>
        <v>-</v>
      </c>
      <c r="J986" s="5" t="str">
        <f>IFERROR(VLOOKUP(A986,取得元!$A$2:$F$501,5,FALSE),"-")</f>
        <v>-</v>
      </c>
      <c r="K986" s="25" t="str">
        <f>IFERROR(VLOOKUP(A986,取得元!$A$2:$F$501,6,FALSE)/100,"-")</f>
        <v>-</v>
      </c>
      <c r="L986" s="21">
        <f>_xll.RssMarket(A986,"始値")</f>
        <v>66</v>
      </c>
      <c r="M986" s="4">
        <f t="shared" si="90"/>
        <v>0</v>
      </c>
      <c r="N986" s="21">
        <f>_xll.RssMarket(A986,"高値")</f>
        <v>67</v>
      </c>
      <c r="O986" s="4">
        <f t="shared" si="91"/>
        <v>-1.4925373134328401E-2</v>
      </c>
      <c r="P986" s="21">
        <f>_xll.RssMarket(A986,"安値")</f>
        <v>65</v>
      </c>
      <c r="Q986" s="4">
        <f t="shared" si="92"/>
        <v>1.538461538461533E-2</v>
      </c>
      <c r="R986" s="21">
        <f>_xll.RssMarket(A986,"後場始値")</f>
        <v>66</v>
      </c>
      <c r="S986" s="25">
        <f t="shared" si="93"/>
        <v>0</v>
      </c>
      <c r="T986" s="7">
        <f>_xll.RssMarket(A986,"出来高加重平均")</f>
        <v>65.956599999999995</v>
      </c>
      <c r="U986" s="4">
        <f t="shared" si="94"/>
        <v>6.5800844797947455E-4</v>
      </c>
      <c r="V986" s="21">
        <f>_xll.RssMarket(A986,"出来高")</f>
        <v>55400</v>
      </c>
      <c r="W986" s="21">
        <f>_xll.RssMarket(A986,"売買代金")</f>
        <v>3654</v>
      </c>
      <c r="X986" s="20" t="str">
        <f>_xll.RssMarket(A986,"決算発表日")</f>
        <v>2024/01/09</v>
      </c>
      <c r="Y986" s="26" t="str">
        <f>IF(C986&gt;_xll.RssMarket(A986,"年初来高値"),"○","×")</f>
        <v>×</v>
      </c>
      <c r="Z986" s="27" t="str">
        <f>IF(C986&lt;=_xll.RssMarket(A986,"年初来安値"),"○","×")</f>
        <v>×</v>
      </c>
    </row>
    <row r="987" spans="1:26" x14ac:dyDescent="0.25">
      <c r="A987" s="49">
        <v>8173</v>
      </c>
      <c r="B987" s="20" t="str">
        <f>_xll.RssMarket(A987,"銘柄名称")</f>
        <v>上新電機</v>
      </c>
      <c r="C987" s="21">
        <f>_xll.RssMarket(A987,"現在値")</f>
        <v>2376</v>
      </c>
      <c r="D987" s="20" t="str">
        <f>_xll.RssMarket(A987,"現在値詳細時刻")</f>
        <v>15:00:00</v>
      </c>
      <c r="E987" s="22">
        <f>_xll.RssMarket(A987,"前日比")</f>
        <v>-17</v>
      </c>
      <c r="F987" s="23">
        <f>_xll.RssMarket(A987,"前日比率")/100</f>
        <v>-7.0999999999999995E-3</v>
      </c>
      <c r="G987" s="24" t="str">
        <f>IFERROR(VLOOKUP(A987,取得元!$A$2:$F$501,2,FALSE),"-")</f>
        <v>-</v>
      </c>
      <c r="H987" s="24" t="str">
        <f>IFERROR(VLOOKUP(A987,取得元!$A$2:$F$501,3,FALSE),"-")</f>
        <v>-</v>
      </c>
      <c r="I987" s="24" t="str">
        <f>IFERROR(VLOOKUP(A987,取得元!$A$2:$F$501,4,FALSE),"-")</f>
        <v>-</v>
      </c>
      <c r="J987" s="5" t="str">
        <f>IFERROR(VLOOKUP(A987,取得元!$A$2:$F$501,5,FALSE),"-")</f>
        <v>-</v>
      </c>
      <c r="K987" s="25" t="str">
        <f>IFERROR(VLOOKUP(A987,取得元!$A$2:$F$501,6,FALSE)/100,"-")</f>
        <v>-</v>
      </c>
      <c r="L987" s="21">
        <f>_xll.RssMarket(A987,"始値")</f>
        <v>2378</v>
      </c>
      <c r="M987" s="4">
        <f t="shared" si="90"/>
        <v>-8.41042893187538E-4</v>
      </c>
      <c r="N987" s="21">
        <f>_xll.RssMarket(A987,"高値")</f>
        <v>2386</v>
      </c>
      <c r="O987" s="4">
        <f t="shared" si="91"/>
        <v>-4.19111483654655E-3</v>
      </c>
      <c r="P987" s="21">
        <f>_xll.RssMarket(A987,"安値")</f>
        <v>2337</v>
      </c>
      <c r="Q987" s="4">
        <f t="shared" si="92"/>
        <v>1.6688061617458283E-2</v>
      </c>
      <c r="R987" s="21">
        <f>_xll.RssMarket(A987,"後場始値")</f>
        <v>2359</v>
      </c>
      <c r="S987" s="25">
        <f t="shared" si="93"/>
        <v>7.2064434082237394E-3</v>
      </c>
      <c r="T987" s="7">
        <f>_xll.RssMarket(A987,"出来高加重平均")</f>
        <v>2365.2680999999998</v>
      </c>
      <c r="U987" s="4">
        <f t="shared" si="94"/>
        <v>4.5372869147477513E-3</v>
      </c>
      <c r="V987" s="21">
        <f>_xll.RssMarket(A987,"出来高")</f>
        <v>126800</v>
      </c>
      <c r="W987" s="21">
        <f>_xll.RssMarket(A987,"売買代金")</f>
        <v>299916</v>
      </c>
      <c r="X987" s="20" t="str">
        <f>_xll.RssMarket(A987,"決算発表日")</f>
        <v>2024/02/06</v>
      </c>
      <c r="Y987" s="26" t="str">
        <f>IF(C987&gt;_xll.RssMarket(A987,"年初来高値"),"○","×")</f>
        <v>×</v>
      </c>
      <c r="Z987" s="27" t="str">
        <f>IF(C987&lt;=_xll.RssMarket(A987,"年初来安値"),"○","×")</f>
        <v>×</v>
      </c>
    </row>
    <row r="988" spans="1:26" x14ac:dyDescent="0.25">
      <c r="A988" s="47">
        <v>8179</v>
      </c>
      <c r="B988" s="20" t="str">
        <f>_xll.RssMarket(A988,"銘柄名称")</f>
        <v>ロイヤルホールディングス</v>
      </c>
      <c r="C988" s="21">
        <f>_xll.RssMarket(A988,"現在値")</f>
        <v>2548</v>
      </c>
      <c r="D988" s="20" t="str">
        <f>_xll.RssMarket(A988,"現在値詳細時刻")</f>
        <v>15:00:00</v>
      </c>
      <c r="E988" s="22">
        <f>_xll.RssMarket(A988,"前日比")</f>
        <v>-24</v>
      </c>
      <c r="F988" s="23">
        <f>_xll.RssMarket(A988,"前日比率")/100</f>
        <v>-9.300000000000001E-3</v>
      </c>
      <c r="G988" s="24" t="str">
        <f>IFERROR(VLOOKUP(A988,取得元!$A$2:$F$501,2,FALSE),"-")</f>
        <v>-</v>
      </c>
      <c r="H988" s="24" t="str">
        <f>IFERROR(VLOOKUP(A988,取得元!$A$2:$F$501,3,FALSE),"-")</f>
        <v>-</v>
      </c>
      <c r="I988" s="24" t="str">
        <f>IFERROR(VLOOKUP(A988,取得元!$A$2:$F$501,4,FALSE),"-")</f>
        <v>-</v>
      </c>
      <c r="J988" s="5" t="str">
        <f>IFERROR(VLOOKUP(A988,取得元!$A$2:$F$501,5,FALSE),"-")</f>
        <v>-</v>
      </c>
      <c r="K988" s="25" t="str">
        <f>IFERROR(VLOOKUP(A988,取得元!$A$2:$F$501,6,FALSE)/100,"-")</f>
        <v>-</v>
      </c>
      <c r="L988" s="21">
        <f>_xll.RssMarket(A988,"始値")</f>
        <v>2569</v>
      </c>
      <c r="M988" s="4">
        <f t="shared" si="90"/>
        <v>-8.1743869209809361E-3</v>
      </c>
      <c r="N988" s="21">
        <f>_xll.RssMarket(A988,"高値")</f>
        <v>2575</v>
      </c>
      <c r="O988" s="4">
        <f t="shared" si="91"/>
        <v>-1.0485436893203914E-2</v>
      </c>
      <c r="P988" s="21">
        <f>_xll.RssMarket(A988,"安値")</f>
        <v>2541</v>
      </c>
      <c r="Q988" s="4">
        <f t="shared" si="92"/>
        <v>2.7548209366390353E-3</v>
      </c>
      <c r="R988" s="21">
        <f>_xll.RssMarket(A988,"後場始値")</f>
        <v>2544</v>
      </c>
      <c r="S988" s="25">
        <f t="shared" si="93"/>
        <v>1.5723270440251014E-3</v>
      </c>
      <c r="T988" s="7">
        <f>_xll.RssMarket(A988,"出来高加重平均")</f>
        <v>2552.8849</v>
      </c>
      <c r="U988" s="4">
        <f t="shared" si="94"/>
        <v>-1.9134822725458411E-3</v>
      </c>
      <c r="V988" s="21">
        <f>_xll.RssMarket(A988,"出来高")</f>
        <v>102600</v>
      </c>
      <c r="W988" s="21">
        <f>_xll.RssMarket(A988,"売買代金")</f>
        <v>261926</v>
      </c>
      <c r="X988" s="20" t="str">
        <f>_xll.RssMarket(A988,"決算発表日")</f>
        <v>2024/02/14</v>
      </c>
      <c r="Y988" s="26" t="str">
        <f>IF(C988&gt;_xll.RssMarket(A988,"年初来高値"),"○","×")</f>
        <v>×</v>
      </c>
      <c r="Z988" s="27" t="str">
        <f>IF(C988&lt;=_xll.RssMarket(A988,"年初来安値"),"○","×")</f>
        <v>×</v>
      </c>
    </row>
    <row r="989" spans="1:26" x14ac:dyDescent="0.25">
      <c r="A989" s="49">
        <v>8194</v>
      </c>
      <c r="B989" s="20" t="str">
        <f>_xll.RssMarket(A989,"銘柄名称")</f>
        <v>ライフコ－ポレ－ション</v>
      </c>
      <c r="C989" s="21">
        <f>_xll.RssMarket(A989,"現在値")</f>
        <v>3765</v>
      </c>
      <c r="D989" s="20" t="str">
        <f>_xll.RssMarket(A989,"現在値詳細時刻")</f>
        <v>15:00:00</v>
      </c>
      <c r="E989" s="22">
        <f>_xll.RssMarket(A989,"前日比")</f>
        <v>75</v>
      </c>
      <c r="F989" s="23">
        <f>_xll.RssMarket(A989,"前日比率")/100</f>
        <v>2.0299999999999999E-2</v>
      </c>
      <c r="G989" s="24" t="str">
        <f>IFERROR(VLOOKUP(A989,取得元!$A$2:$F$501,2,FALSE),"-")</f>
        <v>-</v>
      </c>
      <c r="H989" s="24" t="str">
        <f>IFERROR(VLOOKUP(A989,取得元!$A$2:$F$501,3,FALSE),"-")</f>
        <v>-</v>
      </c>
      <c r="I989" s="24" t="str">
        <f>IFERROR(VLOOKUP(A989,取得元!$A$2:$F$501,4,FALSE),"-")</f>
        <v>-</v>
      </c>
      <c r="J989" s="5" t="str">
        <f>IFERROR(VLOOKUP(A989,取得元!$A$2:$F$501,5,FALSE),"-")</f>
        <v>-</v>
      </c>
      <c r="K989" s="25" t="str">
        <f>IFERROR(VLOOKUP(A989,取得元!$A$2:$F$501,6,FALSE)/100,"-")</f>
        <v>-</v>
      </c>
      <c r="L989" s="21">
        <f>_xll.RssMarket(A989,"始値")</f>
        <v>3670</v>
      </c>
      <c r="M989" s="4">
        <f t="shared" si="90"/>
        <v>2.5885558583106372E-2</v>
      </c>
      <c r="N989" s="21">
        <f>_xll.RssMarket(A989,"高値")</f>
        <v>3770</v>
      </c>
      <c r="O989" s="4">
        <f t="shared" si="91"/>
        <v>-1.3262599469495706E-3</v>
      </c>
      <c r="P989" s="21">
        <f>_xll.RssMarket(A989,"安値")</f>
        <v>3660</v>
      </c>
      <c r="Q989" s="4">
        <f t="shared" si="92"/>
        <v>2.8688524590164022E-2</v>
      </c>
      <c r="R989" s="21">
        <f>_xll.RssMarket(A989,"後場始値")</f>
        <v>3750</v>
      </c>
      <c r="S989" s="25">
        <f t="shared" si="93"/>
        <v>4.0000000000000036E-3</v>
      </c>
      <c r="T989" s="7">
        <f>_xll.RssMarket(A989,"出来高加重平均")</f>
        <v>3745.0596999999998</v>
      </c>
      <c r="U989" s="4">
        <f t="shared" si="94"/>
        <v>5.3244278055166738E-3</v>
      </c>
      <c r="V989" s="21">
        <f>_xll.RssMarket(A989,"出来高")</f>
        <v>92100</v>
      </c>
      <c r="W989" s="21">
        <f>_xll.RssMarket(A989,"売買代金")</f>
        <v>344920</v>
      </c>
      <c r="X989" s="20" t="str">
        <f>_xll.RssMarket(A989,"決算発表日")</f>
        <v>2024/01/11</v>
      </c>
      <c r="Y989" s="26" t="str">
        <f>IF(C989&gt;_xll.RssMarket(A989,"年初来高値"),"○","×")</f>
        <v>×</v>
      </c>
      <c r="Z989" s="27" t="str">
        <f>IF(C989&lt;=_xll.RssMarket(A989,"年初来安値"),"○","×")</f>
        <v>×</v>
      </c>
    </row>
    <row r="990" spans="1:26" x14ac:dyDescent="0.25">
      <c r="A990" s="47">
        <v>8202</v>
      </c>
      <c r="B990" s="20" t="str">
        <f>_xll.RssMarket(A990,"銘柄名称")</f>
        <v>ラオックスホールディングス</v>
      </c>
      <c r="C990" s="21">
        <f>_xll.RssMarket(A990,"現在値")</f>
        <v>241</v>
      </c>
      <c r="D990" s="20" t="str">
        <f>_xll.RssMarket(A990,"現在値詳細時刻")</f>
        <v>15:00:00</v>
      </c>
      <c r="E990" s="22">
        <f>_xll.RssMarket(A990,"前日比")</f>
        <v>-2</v>
      </c>
      <c r="F990" s="23">
        <f>_xll.RssMarket(A990,"前日比率")/100</f>
        <v>-8.199999999999999E-3</v>
      </c>
      <c r="G990" s="24" t="str">
        <f>IFERROR(VLOOKUP(A990,取得元!$A$2:$F$501,2,FALSE),"-")</f>
        <v>-</v>
      </c>
      <c r="H990" s="24" t="str">
        <f>IFERROR(VLOOKUP(A990,取得元!$A$2:$F$501,3,FALSE),"-")</f>
        <v>-</v>
      </c>
      <c r="I990" s="24" t="str">
        <f>IFERROR(VLOOKUP(A990,取得元!$A$2:$F$501,4,FALSE),"-")</f>
        <v>-</v>
      </c>
      <c r="J990" s="5" t="str">
        <f>IFERROR(VLOOKUP(A990,取得元!$A$2:$F$501,5,FALSE),"-")</f>
        <v>-</v>
      </c>
      <c r="K990" s="25" t="str">
        <f>IFERROR(VLOOKUP(A990,取得元!$A$2:$F$501,6,FALSE)/100,"-")</f>
        <v>-</v>
      </c>
      <c r="L990" s="21">
        <f>_xll.RssMarket(A990,"始値")</f>
        <v>242</v>
      </c>
      <c r="M990" s="4">
        <f t="shared" si="90"/>
        <v>-4.1322314049586639E-3</v>
      </c>
      <c r="N990" s="21">
        <f>_xll.RssMarket(A990,"高値")</f>
        <v>246</v>
      </c>
      <c r="O990" s="4">
        <f t="shared" si="91"/>
        <v>-2.0325203252032575E-2</v>
      </c>
      <c r="P990" s="21">
        <f>_xll.RssMarket(A990,"安値")</f>
        <v>240</v>
      </c>
      <c r="Q990" s="4">
        <f t="shared" si="92"/>
        <v>4.1666666666666519E-3</v>
      </c>
      <c r="R990" s="21">
        <f>_xll.RssMarket(A990,"後場始値")</f>
        <v>241</v>
      </c>
      <c r="S990" s="25">
        <f t="shared" si="93"/>
        <v>0</v>
      </c>
      <c r="T990" s="7">
        <f>_xll.RssMarket(A990,"出来高加重平均")</f>
        <v>241.5093</v>
      </c>
      <c r="U990" s="4">
        <f t="shared" si="94"/>
        <v>-2.1088214822369E-3</v>
      </c>
      <c r="V990" s="21">
        <f>_xll.RssMarket(A990,"出来高")</f>
        <v>288200</v>
      </c>
      <c r="W990" s="21">
        <f>_xll.RssMarket(A990,"売買代金")</f>
        <v>69603</v>
      </c>
      <c r="X990" s="20" t="str">
        <f>_xll.RssMarket(A990,"決算発表日")</f>
        <v>2024/02/09</v>
      </c>
      <c r="Y990" s="26" t="str">
        <f>IF(C990&gt;_xll.RssMarket(A990,"年初来高値"),"○","×")</f>
        <v>×</v>
      </c>
      <c r="Z990" s="27" t="str">
        <f>IF(C990&lt;=_xll.RssMarket(A990,"年初来安値"),"○","×")</f>
        <v>×</v>
      </c>
    </row>
    <row r="991" spans="1:26" x14ac:dyDescent="0.25">
      <c r="A991" s="49">
        <v>8203</v>
      </c>
      <c r="B991" s="20" t="str">
        <f>_xll.RssMarket(A991,"銘柄名称")</f>
        <v>ＭｒＭａｘＨＤ</v>
      </c>
      <c r="C991" s="21">
        <f>_xll.RssMarket(A991,"現在値")</f>
        <v>630</v>
      </c>
      <c r="D991" s="20" t="str">
        <f>_xll.RssMarket(A991,"現在値詳細時刻")</f>
        <v>15:00:00</v>
      </c>
      <c r="E991" s="22">
        <f>_xll.RssMarket(A991,"前日比")</f>
        <v>4</v>
      </c>
      <c r="F991" s="23">
        <f>_xll.RssMarket(A991,"前日比率")/100</f>
        <v>6.4000000000000003E-3</v>
      </c>
      <c r="G991" s="24" t="str">
        <f>IFERROR(VLOOKUP(A991,取得元!$A$2:$F$501,2,FALSE),"-")</f>
        <v>-</v>
      </c>
      <c r="H991" s="24" t="str">
        <f>IFERROR(VLOOKUP(A991,取得元!$A$2:$F$501,3,FALSE),"-")</f>
        <v>-</v>
      </c>
      <c r="I991" s="24" t="str">
        <f>IFERROR(VLOOKUP(A991,取得元!$A$2:$F$501,4,FALSE),"-")</f>
        <v>-</v>
      </c>
      <c r="J991" s="5" t="str">
        <f>IFERROR(VLOOKUP(A991,取得元!$A$2:$F$501,5,FALSE),"-")</f>
        <v>-</v>
      </c>
      <c r="K991" s="25" t="str">
        <f>IFERROR(VLOOKUP(A991,取得元!$A$2:$F$501,6,FALSE)/100,"-")</f>
        <v>-</v>
      </c>
      <c r="L991" s="21">
        <f>_xll.RssMarket(A991,"始値")</f>
        <v>626</v>
      </c>
      <c r="M991" s="4">
        <f t="shared" si="90"/>
        <v>6.389776357827559E-3</v>
      </c>
      <c r="N991" s="21">
        <f>_xll.RssMarket(A991,"高値")</f>
        <v>633</v>
      </c>
      <c r="O991" s="4">
        <f t="shared" si="91"/>
        <v>-4.7393364928910442E-3</v>
      </c>
      <c r="P991" s="21">
        <f>_xll.RssMarket(A991,"安値")</f>
        <v>626</v>
      </c>
      <c r="Q991" s="4">
        <f t="shared" si="92"/>
        <v>6.389776357827559E-3</v>
      </c>
      <c r="R991" s="21">
        <f>_xll.RssMarket(A991,"後場始値")</f>
        <v>630</v>
      </c>
      <c r="S991" s="25">
        <f t="shared" si="93"/>
        <v>0</v>
      </c>
      <c r="T991" s="7">
        <f>_xll.RssMarket(A991,"出来高加重平均")</f>
        <v>629.76120000000003</v>
      </c>
      <c r="U991" s="4">
        <f t="shared" si="94"/>
        <v>3.7919135062614018E-4</v>
      </c>
      <c r="V991" s="21">
        <f>_xll.RssMarket(A991,"出来高")</f>
        <v>37700</v>
      </c>
      <c r="W991" s="21">
        <f>_xll.RssMarket(A991,"売買代金")</f>
        <v>23742</v>
      </c>
      <c r="X991" s="20" t="str">
        <f>_xll.RssMarket(A991,"決算発表日")</f>
        <v>2024/01/12</v>
      </c>
      <c r="Y991" s="26" t="str">
        <f>IF(C991&gt;_xll.RssMarket(A991,"年初来高値"),"○","×")</f>
        <v>×</v>
      </c>
      <c r="Z991" s="27" t="str">
        <f>IF(C991&lt;=_xll.RssMarket(A991,"年初来安値"),"○","×")</f>
        <v>×</v>
      </c>
    </row>
    <row r="992" spans="1:26" x14ac:dyDescent="0.25">
      <c r="A992" s="47">
        <v>8207</v>
      </c>
      <c r="B992" s="20" t="str">
        <f>_xll.RssMarket(A992,"銘柄名称")</f>
        <v>テンアライド</v>
      </c>
      <c r="C992" s="21">
        <f>_xll.RssMarket(A992,"現在値")</f>
        <v>317</v>
      </c>
      <c r="D992" s="20" t="str">
        <f>_xll.RssMarket(A992,"現在値詳細時刻")</f>
        <v>15:00:00</v>
      </c>
      <c r="E992" s="22">
        <f>_xll.RssMarket(A992,"前日比")</f>
        <v>2</v>
      </c>
      <c r="F992" s="23">
        <f>_xll.RssMarket(A992,"前日比率")/100</f>
        <v>6.3E-3</v>
      </c>
      <c r="G992" s="24" t="str">
        <f>IFERROR(VLOOKUP(A992,取得元!$A$2:$F$501,2,FALSE),"-")</f>
        <v>-</v>
      </c>
      <c r="H992" s="24" t="str">
        <f>IFERROR(VLOOKUP(A992,取得元!$A$2:$F$501,3,FALSE),"-")</f>
        <v>-</v>
      </c>
      <c r="I992" s="24" t="str">
        <f>IFERROR(VLOOKUP(A992,取得元!$A$2:$F$501,4,FALSE),"-")</f>
        <v>-</v>
      </c>
      <c r="J992" s="5" t="str">
        <f>IFERROR(VLOOKUP(A992,取得元!$A$2:$F$501,5,FALSE),"-")</f>
        <v>-</v>
      </c>
      <c r="K992" s="25" t="str">
        <f>IFERROR(VLOOKUP(A992,取得元!$A$2:$F$501,6,FALSE)/100,"-")</f>
        <v>-</v>
      </c>
      <c r="L992" s="21">
        <f>_xll.RssMarket(A992,"始値")</f>
        <v>316</v>
      </c>
      <c r="M992" s="4">
        <f t="shared" si="90"/>
        <v>3.1645569620253333E-3</v>
      </c>
      <c r="N992" s="21">
        <f>_xll.RssMarket(A992,"高値")</f>
        <v>317</v>
      </c>
      <c r="O992" s="4">
        <f t="shared" si="91"/>
        <v>0</v>
      </c>
      <c r="P992" s="21">
        <f>_xll.RssMarket(A992,"安値")</f>
        <v>315</v>
      </c>
      <c r="Q992" s="4">
        <f t="shared" si="92"/>
        <v>6.3492063492063266E-3</v>
      </c>
      <c r="R992" s="21">
        <f>_xll.RssMarket(A992,"後場始値")</f>
        <v>316</v>
      </c>
      <c r="S992" s="25">
        <f t="shared" si="93"/>
        <v>3.1645569620253333E-3</v>
      </c>
      <c r="T992" s="7">
        <f>_xll.RssMarket(A992,"出来高加重平均")</f>
        <v>315.7978</v>
      </c>
      <c r="U992" s="4">
        <f t="shared" si="94"/>
        <v>3.8068662922920993E-3</v>
      </c>
      <c r="V992" s="21">
        <f>_xll.RssMarket(A992,"出来高")</f>
        <v>37600</v>
      </c>
      <c r="W992" s="21">
        <f>_xll.RssMarket(A992,"売買代金")</f>
        <v>11874</v>
      </c>
      <c r="X992" s="20" t="str">
        <f>_xll.RssMarket(A992,"決算発表日")</f>
        <v>2024/02/09</v>
      </c>
      <c r="Y992" s="26" t="str">
        <f>IF(C992&gt;_xll.RssMarket(A992,"年初来高値"),"○","×")</f>
        <v>×</v>
      </c>
      <c r="Z992" s="27" t="str">
        <f>IF(C992&lt;=_xll.RssMarket(A992,"年初来安値"),"○","×")</f>
        <v>×</v>
      </c>
    </row>
    <row r="993" spans="1:26" x14ac:dyDescent="0.25">
      <c r="A993" s="49">
        <v>8226</v>
      </c>
      <c r="B993" s="20" t="str">
        <f>_xll.RssMarket(A993,"銘柄名称")</f>
        <v>理経</v>
      </c>
      <c r="C993" s="21">
        <f>_xll.RssMarket(A993,"現在値")</f>
        <v>210</v>
      </c>
      <c r="D993" s="20" t="str">
        <f>_xll.RssMarket(A993,"現在値詳細時刻")</f>
        <v>15:00:00</v>
      </c>
      <c r="E993" s="22">
        <f>_xll.RssMarket(A993,"前日比")</f>
        <v>-1</v>
      </c>
      <c r="F993" s="23">
        <f>_xll.RssMarket(A993,"前日比率")/100</f>
        <v>-4.6999999999999993E-3</v>
      </c>
      <c r="G993" s="24" t="str">
        <f>IFERROR(VLOOKUP(A993,取得元!$A$2:$F$501,2,FALSE),"-")</f>
        <v>-</v>
      </c>
      <c r="H993" s="24" t="str">
        <f>IFERROR(VLOOKUP(A993,取得元!$A$2:$F$501,3,FALSE),"-")</f>
        <v>-</v>
      </c>
      <c r="I993" s="24" t="str">
        <f>IFERROR(VLOOKUP(A993,取得元!$A$2:$F$501,4,FALSE),"-")</f>
        <v>-</v>
      </c>
      <c r="J993" s="5" t="str">
        <f>IFERROR(VLOOKUP(A993,取得元!$A$2:$F$501,5,FALSE),"-")</f>
        <v>-</v>
      </c>
      <c r="K993" s="25" t="str">
        <f>IFERROR(VLOOKUP(A993,取得元!$A$2:$F$501,6,FALSE)/100,"-")</f>
        <v>-</v>
      </c>
      <c r="L993" s="21">
        <f>_xll.RssMarket(A993,"始値")</f>
        <v>211</v>
      </c>
      <c r="M993" s="4">
        <f t="shared" si="90"/>
        <v>-4.7393364928910442E-3</v>
      </c>
      <c r="N993" s="21">
        <f>_xll.RssMarket(A993,"高値")</f>
        <v>212</v>
      </c>
      <c r="O993" s="4">
        <f t="shared" si="91"/>
        <v>-9.4339622641509413E-3</v>
      </c>
      <c r="P993" s="21">
        <f>_xll.RssMarket(A993,"安値")</f>
        <v>209</v>
      </c>
      <c r="Q993" s="4">
        <f t="shared" si="92"/>
        <v>4.7846889952152249E-3</v>
      </c>
      <c r="R993" s="21">
        <f>_xll.RssMarket(A993,"後場始値")</f>
        <v>211</v>
      </c>
      <c r="S993" s="25">
        <f t="shared" si="93"/>
        <v>-4.7393364928910442E-3</v>
      </c>
      <c r="T993" s="7">
        <f>_xll.RssMarket(A993,"出来高加重平均")</f>
        <v>209.8887</v>
      </c>
      <c r="U993" s="4">
        <f t="shared" si="94"/>
        <v>5.3028104895602723E-4</v>
      </c>
      <c r="V993" s="21">
        <f>_xll.RssMarket(A993,"出来高")</f>
        <v>98900</v>
      </c>
      <c r="W993" s="21">
        <f>_xll.RssMarket(A993,"売買代金")</f>
        <v>20758</v>
      </c>
      <c r="X993" s="20" t="str">
        <f>_xll.RssMarket(A993,"決算発表日")</f>
        <v>2024/02/09</v>
      </c>
      <c r="Y993" s="26" t="str">
        <f>IF(C993&gt;_xll.RssMarket(A993,"年初来高値"),"○","×")</f>
        <v>×</v>
      </c>
      <c r="Z993" s="27" t="str">
        <f>IF(C993&lt;=_xll.RssMarket(A993,"年初来安値"),"○","×")</f>
        <v>×</v>
      </c>
    </row>
    <row r="994" spans="1:26" x14ac:dyDescent="0.25">
      <c r="A994" s="47">
        <v>8230</v>
      </c>
      <c r="B994" s="20" t="str">
        <f>_xll.RssMarket(A994,"銘柄名称")</f>
        <v>はせがわ</v>
      </c>
      <c r="C994" s="21">
        <f>_xll.RssMarket(A994,"現在値")</f>
        <v>361</v>
      </c>
      <c r="D994" s="20" t="str">
        <f>_xll.RssMarket(A994,"現在値詳細時刻")</f>
        <v>15:00:00</v>
      </c>
      <c r="E994" s="22">
        <f>_xll.RssMarket(A994,"前日比")</f>
        <v>1</v>
      </c>
      <c r="F994" s="23">
        <f>_xll.RssMarket(A994,"前日比率")/100</f>
        <v>2.8000000000000004E-3</v>
      </c>
      <c r="G994" s="24" t="str">
        <f>IFERROR(VLOOKUP(A994,取得元!$A$2:$F$501,2,FALSE),"-")</f>
        <v>-</v>
      </c>
      <c r="H994" s="24" t="str">
        <f>IFERROR(VLOOKUP(A994,取得元!$A$2:$F$501,3,FALSE),"-")</f>
        <v>-</v>
      </c>
      <c r="I994" s="24" t="str">
        <f>IFERROR(VLOOKUP(A994,取得元!$A$2:$F$501,4,FALSE),"-")</f>
        <v>-</v>
      </c>
      <c r="J994" s="5" t="str">
        <f>IFERROR(VLOOKUP(A994,取得元!$A$2:$F$501,5,FALSE),"-")</f>
        <v>-</v>
      </c>
      <c r="K994" s="25" t="str">
        <f>IFERROR(VLOOKUP(A994,取得元!$A$2:$F$501,6,FALSE)/100,"-")</f>
        <v>-</v>
      </c>
      <c r="L994" s="21">
        <f>_xll.RssMarket(A994,"始値")</f>
        <v>360</v>
      </c>
      <c r="M994" s="4">
        <f t="shared" si="90"/>
        <v>2.7777777777777679E-3</v>
      </c>
      <c r="N994" s="21">
        <f>_xll.RssMarket(A994,"高値")</f>
        <v>367</v>
      </c>
      <c r="O994" s="4">
        <f t="shared" si="91"/>
        <v>-1.6348773841961872E-2</v>
      </c>
      <c r="P994" s="21">
        <f>_xll.RssMarket(A994,"安値")</f>
        <v>360</v>
      </c>
      <c r="Q994" s="4">
        <f t="shared" si="92"/>
        <v>2.7777777777777679E-3</v>
      </c>
      <c r="R994" s="21">
        <f>_xll.RssMarket(A994,"後場始値")</f>
        <v>365</v>
      </c>
      <c r="S994" s="25">
        <f t="shared" si="93"/>
        <v>-1.0958904109588996E-2</v>
      </c>
      <c r="T994" s="7">
        <f>_xll.RssMarket(A994,"出来高加重平均")</f>
        <v>363.64670000000001</v>
      </c>
      <c r="U994" s="4">
        <f t="shared" si="94"/>
        <v>-7.2782181166500814E-3</v>
      </c>
      <c r="V994" s="21">
        <f>_xll.RssMarket(A994,"出来高")</f>
        <v>43600</v>
      </c>
      <c r="W994" s="21">
        <f>_xll.RssMarket(A994,"売買代金")</f>
        <v>15855</v>
      </c>
      <c r="X994" s="20" t="str">
        <f>_xll.RssMarket(A994,"決算発表日")</f>
        <v>2024/02/05</v>
      </c>
      <c r="Y994" s="26" t="str">
        <f>IF(C994&gt;_xll.RssMarket(A994,"年初来高値"),"○","×")</f>
        <v>×</v>
      </c>
      <c r="Z994" s="27" t="str">
        <f>IF(C994&lt;=_xll.RssMarket(A994,"年初来安値"),"○","×")</f>
        <v>×</v>
      </c>
    </row>
    <row r="995" spans="1:26" x14ac:dyDescent="0.25">
      <c r="A995" s="49">
        <v>8237</v>
      </c>
      <c r="B995" s="20" t="str">
        <f>_xll.RssMarket(A995,"銘柄名称")</f>
        <v>松屋</v>
      </c>
      <c r="C995" s="21">
        <f>_xll.RssMarket(A995,"現在値")</f>
        <v>968</v>
      </c>
      <c r="D995" s="20" t="str">
        <f>_xll.RssMarket(A995,"現在値詳細時刻")</f>
        <v>15:00:00</v>
      </c>
      <c r="E995" s="22">
        <f>_xll.RssMarket(A995,"前日比")</f>
        <v>28</v>
      </c>
      <c r="F995" s="23">
        <f>_xll.RssMarket(A995,"前日比率")/100</f>
        <v>2.98E-2</v>
      </c>
      <c r="G995" s="24" t="str">
        <f>IFERROR(VLOOKUP(A995,取得元!$A$2:$F$501,2,FALSE),"-")</f>
        <v>-</v>
      </c>
      <c r="H995" s="24" t="str">
        <f>IFERROR(VLOOKUP(A995,取得元!$A$2:$F$501,3,FALSE),"-")</f>
        <v>-</v>
      </c>
      <c r="I995" s="24" t="str">
        <f>IFERROR(VLOOKUP(A995,取得元!$A$2:$F$501,4,FALSE),"-")</f>
        <v>-</v>
      </c>
      <c r="J995" s="5" t="str">
        <f>IFERROR(VLOOKUP(A995,取得元!$A$2:$F$501,5,FALSE),"-")</f>
        <v>-</v>
      </c>
      <c r="K995" s="25" t="str">
        <f>IFERROR(VLOOKUP(A995,取得元!$A$2:$F$501,6,FALSE)/100,"-")</f>
        <v>-</v>
      </c>
      <c r="L995" s="21">
        <f>_xll.RssMarket(A995,"始値")</f>
        <v>941</v>
      </c>
      <c r="M995" s="4">
        <f t="shared" si="90"/>
        <v>2.8692879914984148E-2</v>
      </c>
      <c r="N995" s="21">
        <f>_xll.RssMarket(A995,"高値")</f>
        <v>973</v>
      </c>
      <c r="O995" s="4">
        <f t="shared" si="91"/>
        <v>-5.1387461459403427E-3</v>
      </c>
      <c r="P995" s="21">
        <f>_xll.RssMarket(A995,"安値")</f>
        <v>939</v>
      </c>
      <c r="Q995" s="4">
        <f t="shared" si="92"/>
        <v>3.0883919062832721E-2</v>
      </c>
      <c r="R995" s="21">
        <f>_xll.RssMarket(A995,"後場始値")</f>
        <v>966</v>
      </c>
      <c r="S995" s="25">
        <f t="shared" si="93"/>
        <v>2.0703933747412417E-3</v>
      </c>
      <c r="T995" s="7">
        <f>_xll.RssMarket(A995,"出来高加重平均")</f>
        <v>963.61099999999999</v>
      </c>
      <c r="U995" s="4">
        <f t="shared" si="94"/>
        <v>4.5547425257703722E-3</v>
      </c>
      <c r="V995" s="21">
        <f>_xll.RssMarket(A995,"出来高")</f>
        <v>362500</v>
      </c>
      <c r="W995" s="21">
        <f>_xll.RssMarket(A995,"売買代金")</f>
        <v>349309</v>
      </c>
      <c r="X995" s="20" t="str">
        <f>_xll.RssMarket(A995,"決算発表日")</f>
        <v>2024/01/12</v>
      </c>
      <c r="Y995" s="26" t="str">
        <f>IF(C995&gt;_xll.RssMarket(A995,"年初来高値"),"○","×")</f>
        <v>×</v>
      </c>
      <c r="Z995" s="27" t="str">
        <f>IF(C995&lt;=_xll.RssMarket(A995,"年初来安値"),"○","×")</f>
        <v>×</v>
      </c>
    </row>
    <row r="996" spans="1:26" x14ac:dyDescent="0.25">
      <c r="A996" s="47">
        <v>8242</v>
      </c>
      <c r="B996" s="20" t="str">
        <f>_xll.RssMarket(A996,"銘柄名称")</f>
        <v>エイチ・ツー・オーリテイリング</v>
      </c>
      <c r="C996" s="21">
        <f>_xll.RssMarket(A996,"現在値")</f>
        <v>1818</v>
      </c>
      <c r="D996" s="20" t="str">
        <f>_xll.RssMarket(A996,"現在値詳細時刻")</f>
        <v>15:00:00</v>
      </c>
      <c r="E996" s="22">
        <f>_xll.RssMarket(A996,"前日比")</f>
        <v>40</v>
      </c>
      <c r="F996" s="23">
        <f>_xll.RssMarket(A996,"前日比率")/100</f>
        <v>2.2499999999999999E-2</v>
      </c>
      <c r="G996" s="24" t="str">
        <f>IFERROR(VLOOKUP(A996,取得元!$A$2:$F$501,2,FALSE),"-")</f>
        <v>-</v>
      </c>
      <c r="H996" s="24" t="str">
        <f>IFERROR(VLOOKUP(A996,取得元!$A$2:$F$501,3,FALSE),"-")</f>
        <v>-</v>
      </c>
      <c r="I996" s="24" t="str">
        <f>IFERROR(VLOOKUP(A996,取得元!$A$2:$F$501,4,FALSE),"-")</f>
        <v>-</v>
      </c>
      <c r="J996" s="5" t="str">
        <f>IFERROR(VLOOKUP(A996,取得元!$A$2:$F$501,5,FALSE),"-")</f>
        <v>-</v>
      </c>
      <c r="K996" s="25" t="str">
        <f>IFERROR(VLOOKUP(A996,取得元!$A$2:$F$501,6,FALSE)/100,"-")</f>
        <v>-</v>
      </c>
      <c r="L996" s="21">
        <f>_xll.RssMarket(A996,"始値")</f>
        <v>1796</v>
      </c>
      <c r="M996" s="4">
        <f t="shared" si="90"/>
        <v>1.2249443207126953E-2</v>
      </c>
      <c r="N996" s="21">
        <f>_xll.RssMarket(A996,"高値")</f>
        <v>1835</v>
      </c>
      <c r="O996" s="4">
        <f t="shared" si="91"/>
        <v>-9.2643051771117424E-3</v>
      </c>
      <c r="P996" s="21">
        <f>_xll.RssMarket(A996,"安値")</f>
        <v>1784</v>
      </c>
      <c r="Q996" s="4">
        <f t="shared" si="92"/>
        <v>1.9058295964125671E-2</v>
      </c>
      <c r="R996" s="21">
        <f>_xll.RssMarket(A996,"後場始値")</f>
        <v>1811</v>
      </c>
      <c r="S996" s="25">
        <f t="shared" si="93"/>
        <v>3.8652678078410219E-3</v>
      </c>
      <c r="T996" s="7">
        <f>_xll.RssMarket(A996,"出来高加重平均")</f>
        <v>1811.7646999999999</v>
      </c>
      <c r="U996" s="4">
        <f t="shared" si="94"/>
        <v>3.441561699485618E-3</v>
      </c>
      <c r="V996" s="21">
        <f>_xll.RssMarket(A996,"出来高")</f>
        <v>976900</v>
      </c>
      <c r="W996" s="21">
        <f>_xll.RssMarket(A996,"売買代金")</f>
        <v>1769913</v>
      </c>
      <c r="X996" s="20" t="str">
        <f>_xll.RssMarket(A996,"決算発表日")</f>
        <v>2024/02/02</v>
      </c>
      <c r="Y996" s="26" t="str">
        <f>IF(C996&gt;_xll.RssMarket(A996,"年初来高値"),"○","×")</f>
        <v>×</v>
      </c>
      <c r="Z996" s="27" t="str">
        <f>IF(C996&lt;=_xll.RssMarket(A996,"年初来安値"),"○","×")</f>
        <v>×</v>
      </c>
    </row>
    <row r="997" spans="1:26" x14ac:dyDescent="0.25">
      <c r="A997" s="49">
        <v>8244</v>
      </c>
      <c r="B997" s="20" t="str">
        <f>_xll.RssMarket(A997,"銘柄名称")</f>
        <v>近鉄百貨店</v>
      </c>
      <c r="C997" s="21">
        <f>_xll.RssMarket(A997,"現在値")</f>
        <v>2570</v>
      </c>
      <c r="D997" s="20" t="str">
        <f>_xll.RssMarket(A997,"現在値詳細時刻")</f>
        <v>15:00:00</v>
      </c>
      <c r="E997" s="22">
        <f>_xll.RssMarket(A997,"前日比")</f>
        <v>-15</v>
      </c>
      <c r="F997" s="23">
        <f>_xll.RssMarket(A997,"前日比率")/100</f>
        <v>-5.7999999999999996E-3</v>
      </c>
      <c r="G997" s="24" t="str">
        <f>IFERROR(VLOOKUP(A997,取得元!$A$2:$F$501,2,FALSE),"-")</f>
        <v>-</v>
      </c>
      <c r="H997" s="24" t="str">
        <f>IFERROR(VLOOKUP(A997,取得元!$A$2:$F$501,3,FALSE),"-")</f>
        <v>-</v>
      </c>
      <c r="I997" s="24" t="str">
        <f>IFERROR(VLOOKUP(A997,取得元!$A$2:$F$501,4,FALSE),"-")</f>
        <v>-</v>
      </c>
      <c r="J997" s="5" t="str">
        <f>IFERROR(VLOOKUP(A997,取得元!$A$2:$F$501,5,FALSE),"-")</f>
        <v>-</v>
      </c>
      <c r="K997" s="25" t="str">
        <f>IFERROR(VLOOKUP(A997,取得元!$A$2:$F$501,6,FALSE)/100,"-")</f>
        <v>-</v>
      </c>
      <c r="L997" s="21">
        <f>_xll.RssMarket(A997,"始値")</f>
        <v>2580</v>
      </c>
      <c r="M997" s="4">
        <f t="shared" si="90"/>
        <v>-3.8759689922480689E-3</v>
      </c>
      <c r="N997" s="21">
        <f>_xll.RssMarket(A997,"高値")</f>
        <v>2585</v>
      </c>
      <c r="O997" s="4">
        <f t="shared" si="91"/>
        <v>-5.8027079303675233E-3</v>
      </c>
      <c r="P997" s="21">
        <f>_xll.RssMarket(A997,"安値")</f>
        <v>2563</v>
      </c>
      <c r="Q997" s="4">
        <f t="shared" si="92"/>
        <v>2.7311744049940412E-3</v>
      </c>
      <c r="R997" s="21">
        <f>_xll.RssMarket(A997,"後場始値")</f>
        <v>2563</v>
      </c>
      <c r="S997" s="25">
        <f t="shared" si="93"/>
        <v>2.7311744049940412E-3</v>
      </c>
      <c r="T997" s="7">
        <f>_xll.RssMarket(A997,"出来高加重平均")</f>
        <v>2572.6197999999999</v>
      </c>
      <c r="U997" s="4">
        <f t="shared" si="94"/>
        <v>-1.0183393597452683E-3</v>
      </c>
      <c r="V997" s="21">
        <f>_xll.RssMarket(A997,"出来高")</f>
        <v>31300</v>
      </c>
      <c r="W997" s="21">
        <f>_xll.RssMarket(A997,"売買代金")</f>
        <v>80523</v>
      </c>
      <c r="X997" s="20" t="str">
        <f>_xll.RssMarket(A997,"決算発表日")</f>
        <v>2024/01/10</v>
      </c>
      <c r="Y997" s="26" t="str">
        <f>IF(C997&gt;_xll.RssMarket(A997,"年初来高値"),"○","×")</f>
        <v>×</v>
      </c>
      <c r="Z997" s="27" t="str">
        <f>IF(C997&lt;=_xll.RssMarket(A997,"年初来安値"),"○","×")</f>
        <v>×</v>
      </c>
    </row>
    <row r="998" spans="1:26" x14ac:dyDescent="0.25">
      <c r="A998" s="47">
        <v>8247</v>
      </c>
      <c r="B998" s="20" t="str">
        <f>_xll.RssMarket(A998,"銘柄名称")</f>
        <v>大和</v>
      </c>
      <c r="C998" s="21">
        <f>_xll.RssMarket(A998,"現在値")</f>
        <v>502</v>
      </c>
      <c r="D998" s="20" t="str">
        <f>_xll.RssMarket(A998,"現在値詳細時刻")</f>
        <v>14:58:53</v>
      </c>
      <c r="E998" s="22">
        <f>_xll.RssMarket(A998,"前日比")</f>
        <v>10</v>
      </c>
      <c r="F998" s="23">
        <f>_xll.RssMarket(A998,"前日比率")/100</f>
        <v>2.0299999999999999E-2</v>
      </c>
      <c r="G998" s="24" t="str">
        <f>IFERROR(VLOOKUP(A998,取得元!$A$2:$F$501,2,FALSE),"-")</f>
        <v>-</v>
      </c>
      <c r="H998" s="24" t="str">
        <f>IFERROR(VLOOKUP(A998,取得元!$A$2:$F$501,3,FALSE),"-")</f>
        <v>-</v>
      </c>
      <c r="I998" s="24" t="str">
        <f>IFERROR(VLOOKUP(A998,取得元!$A$2:$F$501,4,FALSE),"-")</f>
        <v>-</v>
      </c>
      <c r="J998" s="5" t="str">
        <f>IFERROR(VLOOKUP(A998,取得元!$A$2:$F$501,5,FALSE),"-")</f>
        <v>-</v>
      </c>
      <c r="K998" s="25" t="str">
        <f>IFERROR(VLOOKUP(A998,取得元!$A$2:$F$501,6,FALSE)/100,"-")</f>
        <v>-</v>
      </c>
      <c r="L998" s="21">
        <f>_xll.RssMarket(A998,"始値")</f>
        <v>495</v>
      </c>
      <c r="M998" s="4">
        <f t="shared" si="90"/>
        <v>1.4141414141414232E-2</v>
      </c>
      <c r="N998" s="21">
        <f>_xll.RssMarket(A998,"高値")</f>
        <v>503</v>
      </c>
      <c r="O998" s="4">
        <f t="shared" si="91"/>
        <v>-1.9880715705765661E-3</v>
      </c>
      <c r="P998" s="21">
        <f>_xll.RssMarket(A998,"安値")</f>
        <v>492</v>
      </c>
      <c r="Q998" s="4">
        <f t="shared" si="92"/>
        <v>2.0325203252032464E-2</v>
      </c>
      <c r="R998" s="21">
        <f>_xll.RssMarket(A998,"後場始値")</f>
        <v>495</v>
      </c>
      <c r="S998" s="25">
        <f t="shared" si="93"/>
        <v>1.4141414141414232E-2</v>
      </c>
      <c r="T998" s="7">
        <f>_xll.RssMarket(A998,"出来高加重平均")</f>
        <v>498.09519999999998</v>
      </c>
      <c r="U998" s="4">
        <f t="shared" si="94"/>
        <v>7.8394652267277376E-3</v>
      </c>
      <c r="V998" s="21">
        <f>_xll.RssMarket(A998,"出来高")</f>
        <v>8400</v>
      </c>
      <c r="W998" s="21">
        <f>_xll.RssMarket(A998,"売買代金")</f>
        <v>4184</v>
      </c>
      <c r="X998" s="20" t="str">
        <f>_xll.RssMarket(A998,"決算発表日")</f>
        <v>2024/01/11</v>
      </c>
      <c r="Y998" s="26" t="str">
        <f>IF(C998&gt;_xll.RssMarket(A998,"年初来高値"),"○","×")</f>
        <v>×</v>
      </c>
      <c r="Z998" s="27" t="str">
        <f>IF(C998&lt;=_xll.RssMarket(A998,"年初来安値"),"○","×")</f>
        <v>×</v>
      </c>
    </row>
    <row r="999" spans="1:26" x14ac:dyDescent="0.25">
      <c r="A999" s="49">
        <v>8252</v>
      </c>
      <c r="B999" s="20" t="str">
        <f>_xll.RssMarket(A999,"銘柄名称")</f>
        <v>丸井グループ</v>
      </c>
      <c r="C999" s="21">
        <f>_xll.RssMarket(A999,"現在値")</f>
        <v>2436</v>
      </c>
      <c r="D999" s="20" t="str">
        <f>_xll.RssMarket(A999,"現在値詳細時刻")</f>
        <v>15:00:00</v>
      </c>
      <c r="E999" s="22">
        <f>_xll.RssMarket(A999,"前日比")</f>
        <v>-62.5</v>
      </c>
      <c r="F999" s="23">
        <f>_xll.RssMarket(A999,"前日比率")/100</f>
        <v>-2.5000000000000001E-2</v>
      </c>
      <c r="G999" s="24" t="str">
        <f>IFERROR(VLOOKUP(A999,取得元!$A$2:$F$501,2,FALSE),"-")</f>
        <v>-</v>
      </c>
      <c r="H999" s="24" t="str">
        <f>IFERROR(VLOOKUP(A999,取得元!$A$2:$F$501,3,FALSE),"-")</f>
        <v>-</v>
      </c>
      <c r="I999" s="24" t="str">
        <f>IFERROR(VLOOKUP(A999,取得元!$A$2:$F$501,4,FALSE),"-")</f>
        <v>-</v>
      </c>
      <c r="J999" s="5" t="str">
        <f>IFERROR(VLOOKUP(A999,取得元!$A$2:$F$501,5,FALSE),"-")</f>
        <v>-</v>
      </c>
      <c r="K999" s="25" t="str">
        <f>IFERROR(VLOOKUP(A999,取得元!$A$2:$F$501,6,FALSE)/100,"-")</f>
        <v>-</v>
      </c>
      <c r="L999" s="21">
        <f>_xll.RssMarket(A999,"始値")</f>
        <v>2470</v>
      </c>
      <c r="M999" s="4">
        <f t="shared" si="90"/>
        <v>-1.3765182186234792E-2</v>
      </c>
      <c r="N999" s="21">
        <f>_xll.RssMarket(A999,"高値")</f>
        <v>2484</v>
      </c>
      <c r="O999" s="4">
        <f t="shared" si="91"/>
        <v>-1.9323671497584516E-2</v>
      </c>
      <c r="P999" s="21">
        <f>_xll.RssMarket(A999,"安値")</f>
        <v>2429</v>
      </c>
      <c r="Q999" s="4">
        <f t="shared" si="92"/>
        <v>2.8818443804035088E-3</v>
      </c>
      <c r="R999" s="21">
        <f>_xll.RssMarket(A999,"後場始値")</f>
        <v>2452.5</v>
      </c>
      <c r="S999" s="25">
        <f t="shared" si="93"/>
        <v>-6.7278287461773889E-3</v>
      </c>
      <c r="T999" s="7">
        <f>_xll.RssMarket(A999,"出来高加重平均")</f>
        <v>2449.5790000000002</v>
      </c>
      <c r="U999" s="4">
        <f t="shared" si="94"/>
        <v>-5.5434015396115255E-3</v>
      </c>
      <c r="V999" s="21">
        <f>_xll.RssMarket(A999,"出来高")</f>
        <v>1463300</v>
      </c>
      <c r="W999" s="21">
        <f>_xll.RssMarket(A999,"売買代金")</f>
        <v>3584469</v>
      </c>
      <c r="X999" s="20" t="str">
        <f>_xll.RssMarket(A999,"決算発表日")</f>
        <v>2024/02/08</v>
      </c>
      <c r="Y999" s="26" t="str">
        <f>IF(C999&gt;_xll.RssMarket(A999,"年初来高値"),"○","×")</f>
        <v>×</v>
      </c>
      <c r="Z999" s="27" t="str">
        <f>IF(C999&lt;=_xll.RssMarket(A999,"年初来安値"),"○","×")</f>
        <v>×</v>
      </c>
    </row>
    <row r="1000" spans="1:26" x14ac:dyDescent="0.25">
      <c r="A1000" s="47">
        <v>8256</v>
      </c>
      <c r="B1000" s="20" t="str">
        <f>_xll.RssMarket(A1000,"銘柄名称")</f>
        <v/>
      </c>
      <c r="C1000" s="21" t="str">
        <f>_xll.RssMarket(A1000,"現在値")</f>
        <v/>
      </c>
      <c r="D1000" s="20" t="str">
        <f>_xll.RssMarket(A1000,"現在値詳細時刻")</f>
        <v/>
      </c>
      <c r="E1000" s="22" t="str">
        <f>_xll.RssMarket(A1000,"前日比")</f>
        <v/>
      </c>
      <c r="F1000" s="23" t="e">
        <f>_xll.RssMarket(A1000,"前日比率")/100</f>
        <v>#VALUE!</v>
      </c>
      <c r="G1000" s="24" t="str">
        <f>IFERROR(VLOOKUP(A1000,取得元!$A$2:$F$501,2,FALSE),"-")</f>
        <v>-</v>
      </c>
      <c r="H1000" s="24" t="str">
        <f>IFERROR(VLOOKUP(A1000,取得元!$A$2:$F$501,3,FALSE),"-")</f>
        <v>-</v>
      </c>
      <c r="I1000" s="24" t="str">
        <f>IFERROR(VLOOKUP(A1000,取得元!$A$2:$F$501,4,FALSE),"-")</f>
        <v>-</v>
      </c>
      <c r="J1000" s="5" t="str">
        <f>IFERROR(VLOOKUP(A1000,取得元!$A$2:$F$501,5,FALSE),"-")</f>
        <v>-</v>
      </c>
      <c r="K1000" s="25" t="str">
        <f>IFERROR(VLOOKUP(A1000,取得元!$A$2:$F$501,6,FALSE)/100,"-")</f>
        <v>-</v>
      </c>
      <c r="L1000" s="21" t="str">
        <f>_xll.RssMarket(A1000,"始値")</f>
        <v/>
      </c>
      <c r="M1000" s="4" t="e">
        <f t="shared" si="90"/>
        <v>#VALUE!</v>
      </c>
      <c r="N1000" s="21" t="str">
        <f>_xll.RssMarket(A1000,"高値")</f>
        <v/>
      </c>
      <c r="O1000" s="4" t="e">
        <f t="shared" si="91"/>
        <v>#VALUE!</v>
      </c>
      <c r="P1000" s="21" t="str">
        <f>_xll.RssMarket(A1000,"安値")</f>
        <v/>
      </c>
      <c r="Q1000" s="4" t="e">
        <f t="shared" si="92"/>
        <v>#VALUE!</v>
      </c>
      <c r="R1000" s="21" t="str">
        <f>_xll.RssMarket(A1000,"後場始値")</f>
        <v/>
      </c>
      <c r="S1000" s="25" t="str">
        <f t="shared" si="93"/>
        <v>-</v>
      </c>
      <c r="T1000" s="7" t="str">
        <f>_xll.RssMarket(A1000,"出来高加重平均")</f>
        <v/>
      </c>
      <c r="U1000" s="4" t="e">
        <f t="shared" si="94"/>
        <v>#VALUE!</v>
      </c>
      <c r="V1000" s="21" t="str">
        <f>_xll.RssMarket(A1000,"出来高")</f>
        <v/>
      </c>
      <c r="W1000" s="21" t="str">
        <f>_xll.RssMarket(A1000,"売買代金")</f>
        <v/>
      </c>
      <c r="X1000" s="20" t="str">
        <f>_xll.RssMarket(A1000,"決算発表日")</f>
        <v/>
      </c>
      <c r="Y1000" s="26" t="str">
        <f>IF(C1000&gt;_xll.RssMarket(A1000,"年初来高値"),"○","×")</f>
        <v>×</v>
      </c>
      <c r="Z1000" s="27" t="str">
        <f>IF(C1000&lt;=_xll.RssMarket(A1000,"年初来安値"),"○","×")</f>
        <v>○</v>
      </c>
    </row>
    <row r="1001" spans="1:26" x14ac:dyDescent="0.25">
      <c r="A1001" s="49">
        <v>8267</v>
      </c>
      <c r="B1001" s="20" t="str">
        <f>_xll.RssMarket(A1001,"銘柄名称")</f>
        <v>イオン</v>
      </c>
      <c r="C1001" s="21">
        <f>_xll.RssMarket(A1001,"現在値")</f>
        <v>3583</v>
      </c>
      <c r="D1001" s="20" t="str">
        <f>_xll.RssMarket(A1001,"現在値詳細時刻")</f>
        <v>15:00:00</v>
      </c>
      <c r="E1001" s="22">
        <f>_xll.RssMarket(A1001,"前日比")</f>
        <v>37</v>
      </c>
      <c r="F1001" s="23">
        <f>_xll.RssMarket(A1001,"前日比率")/100</f>
        <v>1.04E-2</v>
      </c>
      <c r="G1001" s="24" t="str">
        <f>IFERROR(VLOOKUP(A1001,取得元!$A$2:$F$501,2,FALSE),"-")</f>
        <v>-</v>
      </c>
      <c r="H1001" s="24" t="str">
        <f>IFERROR(VLOOKUP(A1001,取得元!$A$2:$F$501,3,FALSE),"-")</f>
        <v>-</v>
      </c>
      <c r="I1001" s="24" t="str">
        <f>IFERROR(VLOOKUP(A1001,取得元!$A$2:$F$501,4,FALSE),"-")</f>
        <v>-</v>
      </c>
      <c r="J1001" s="5" t="str">
        <f>IFERROR(VLOOKUP(A1001,取得元!$A$2:$F$501,5,FALSE),"-")</f>
        <v>-</v>
      </c>
      <c r="K1001" s="25" t="str">
        <f>IFERROR(VLOOKUP(A1001,取得元!$A$2:$F$501,6,FALSE)/100,"-")</f>
        <v>-</v>
      </c>
      <c r="L1001" s="21">
        <f>_xll.RssMarket(A1001,"始値")</f>
        <v>3566</v>
      </c>
      <c r="M1001" s="4">
        <f t="shared" si="90"/>
        <v>4.767246214245624E-3</v>
      </c>
      <c r="N1001" s="21">
        <f>_xll.RssMarket(A1001,"高値")</f>
        <v>3598</v>
      </c>
      <c r="O1001" s="4">
        <f t="shared" si="91"/>
        <v>-4.1689827682045433E-3</v>
      </c>
      <c r="P1001" s="21">
        <f>_xll.RssMarket(A1001,"安値")</f>
        <v>3561</v>
      </c>
      <c r="Q1001" s="4">
        <f t="shared" si="92"/>
        <v>6.1780398764392785E-3</v>
      </c>
      <c r="R1001" s="21">
        <f>_xll.RssMarket(A1001,"後場始値")</f>
        <v>3579</v>
      </c>
      <c r="S1001" s="25">
        <f t="shared" si="93"/>
        <v>1.1176306230791244E-3</v>
      </c>
      <c r="T1001" s="7">
        <f>_xll.RssMarket(A1001,"出来高加重平均")</f>
        <v>3579.7217000000001</v>
      </c>
      <c r="U1001" s="4">
        <f t="shared" si="94"/>
        <v>9.1579744872349877E-4</v>
      </c>
      <c r="V1001" s="21">
        <f>_xll.RssMarket(A1001,"出来高")</f>
        <v>1804000</v>
      </c>
      <c r="W1001" s="21">
        <f>_xll.RssMarket(A1001,"売買代金")</f>
        <v>6457818</v>
      </c>
      <c r="X1001" s="20" t="str">
        <f>_xll.RssMarket(A1001,"決算発表日")</f>
        <v>2024/01/12</v>
      </c>
      <c r="Y1001" s="26" t="str">
        <f>IF(C1001&gt;_xll.RssMarket(A1001,"年初来高値"),"○","×")</f>
        <v>×</v>
      </c>
      <c r="Z1001" s="27" t="str">
        <f>IF(C1001&lt;=_xll.RssMarket(A1001,"年初来安値"),"○","×")</f>
        <v>×</v>
      </c>
    </row>
    <row r="1002" spans="1:26" x14ac:dyDescent="0.25">
      <c r="A1002" s="47">
        <v>8291</v>
      </c>
      <c r="B1002" s="20" t="str">
        <f>_xll.RssMarket(A1002,"銘柄名称")</f>
        <v>日産東京販売ＨＤ</v>
      </c>
      <c r="C1002" s="21">
        <f>_xll.RssMarket(A1002,"現在値")</f>
        <v>494</v>
      </c>
      <c r="D1002" s="20" t="str">
        <f>_xll.RssMarket(A1002,"現在値詳細時刻")</f>
        <v>15:00:00</v>
      </c>
      <c r="E1002" s="22">
        <f>_xll.RssMarket(A1002,"前日比")</f>
        <v>2</v>
      </c>
      <c r="F1002" s="23">
        <f>_xll.RssMarket(A1002,"前日比率")/100</f>
        <v>4.0999999999999995E-3</v>
      </c>
      <c r="G1002" s="24" t="str">
        <f>IFERROR(VLOOKUP(A1002,取得元!$A$2:$F$501,2,FALSE),"-")</f>
        <v>-</v>
      </c>
      <c r="H1002" s="24" t="str">
        <f>IFERROR(VLOOKUP(A1002,取得元!$A$2:$F$501,3,FALSE),"-")</f>
        <v>-</v>
      </c>
      <c r="I1002" s="24" t="str">
        <f>IFERROR(VLOOKUP(A1002,取得元!$A$2:$F$501,4,FALSE),"-")</f>
        <v>-</v>
      </c>
      <c r="J1002" s="5" t="str">
        <f>IFERROR(VLOOKUP(A1002,取得元!$A$2:$F$501,5,FALSE),"-")</f>
        <v>-</v>
      </c>
      <c r="K1002" s="25" t="str">
        <f>IFERROR(VLOOKUP(A1002,取得元!$A$2:$F$501,6,FALSE)/100,"-")</f>
        <v>-</v>
      </c>
      <c r="L1002" s="21">
        <f>_xll.RssMarket(A1002,"始値")</f>
        <v>490</v>
      </c>
      <c r="M1002" s="4">
        <f t="shared" si="90"/>
        <v>8.1632653061225469E-3</v>
      </c>
      <c r="N1002" s="21">
        <f>_xll.RssMarket(A1002,"高値")</f>
        <v>497</v>
      </c>
      <c r="O1002" s="4">
        <f t="shared" si="91"/>
        <v>-6.0362173038229772E-3</v>
      </c>
      <c r="P1002" s="21">
        <f>_xll.RssMarket(A1002,"安値")</f>
        <v>490</v>
      </c>
      <c r="Q1002" s="4">
        <f t="shared" si="92"/>
        <v>8.1632653061225469E-3</v>
      </c>
      <c r="R1002" s="21">
        <f>_xll.RssMarket(A1002,"後場始値")</f>
        <v>496</v>
      </c>
      <c r="S1002" s="25">
        <f t="shared" si="93"/>
        <v>-4.0322580645161255E-3</v>
      </c>
      <c r="T1002" s="7">
        <f>_xll.RssMarket(A1002,"出来高加重平均")</f>
        <v>493.6438</v>
      </c>
      <c r="U1002" s="4">
        <f t="shared" si="94"/>
        <v>7.2157292363450587E-4</v>
      </c>
      <c r="V1002" s="21">
        <f>_xll.RssMarket(A1002,"出来高")</f>
        <v>84800</v>
      </c>
      <c r="W1002" s="21">
        <f>_xll.RssMarket(A1002,"売買代金")</f>
        <v>41861</v>
      </c>
      <c r="X1002" s="20" t="str">
        <f>_xll.RssMarket(A1002,"決算発表日")</f>
        <v>2024/02/09</v>
      </c>
      <c r="Y1002" s="26" t="str">
        <f>IF(C1002&gt;_xll.RssMarket(A1002,"年初来高値"),"○","×")</f>
        <v>×</v>
      </c>
      <c r="Z1002" s="27" t="str">
        <f>IF(C1002&lt;=_xll.RssMarket(A1002,"年初来安値"),"○","×")</f>
        <v>×</v>
      </c>
    </row>
    <row r="1003" spans="1:26" x14ac:dyDescent="0.25">
      <c r="A1003" s="49">
        <v>8316</v>
      </c>
      <c r="B1003" s="20" t="str">
        <f>_xll.RssMarket(A1003,"銘柄名称")</f>
        <v>三井住友フィナンシャルＧ</v>
      </c>
      <c r="C1003" s="21">
        <f>_xll.RssMarket(A1003,"現在値")</f>
        <v>7687</v>
      </c>
      <c r="D1003" s="20" t="str">
        <f>_xll.RssMarket(A1003,"現在値詳細時刻")</f>
        <v>15:00:00</v>
      </c>
      <c r="E1003" s="22">
        <f>_xll.RssMarket(A1003,"前日比")</f>
        <v>57</v>
      </c>
      <c r="F1003" s="23">
        <f>_xll.RssMarket(A1003,"前日比率")/100</f>
        <v>7.4999999999999997E-3</v>
      </c>
      <c r="G1003" s="24" t="str">
        <f>IFERROR(VLOOKUP(A1003,取得元!$A$2:$F$501,2,FALSE),"-")</f>
        <v>-</v>
      </c>
      <c r="H1003" s="24" t="str">
        <f>IFERROR(VLOOKUP(A1003,取得元!$A$2:$F$501,3,FALSE),"-")</f>
        <v>-</v>
      </c>
      <c r="I1003" s="24" t="str">
        <f>IFERROR(VLOOKUP(A1003,取得元!$A$2:$F$501,4,FALSE),"-")</f>
        <v>-</v>
      </c>
      <c r="J1003" s="5" t="str">
        <f>IFERROR(VLOOKUP(A1003,取得元!$A$2:$F$501,5,FALSE),"-")</f>
        <v>-</v>
      </c>
      <c r="K1003" s="25" t="str">
        <f>IFERROR(VLOOKUP(A1003,取得元!$A$2:$F$501,6,FALSE)/100,"-")</f>
        <v>-</v>
      </c>
      <c r="L1003" s="21">
        <f>_xll.RssMarket(A1003,"始値")</f>
        <v>7621</v>
      </c>
      <c r="M1003" s="4">
        <f t="shared" si="90"/>
        <v>8.6602808030442624E-3</v>
      </c>
      <c r="N1003" s="21">
        <f>_xll.RssMarket(A1003,"高値")</f>
        <v>7692</v>
      </c>
      <c r="O1003" s="4">
        <f t="shared" si="91"/>
        <v>-6.5002600104002717E-4</v>
      </c>
      <c r="P1003" s="21">
        <f>_xll.RssMarket(A1003,"安値")</f>
        <v>7598</v>
      </c>
      <c r="Q1003" s="4">
        <f t="shared" si="92"/>
        <v>1.1713608844432732E-2</v>
      </c>
      <c r="R1003" s="21">
        <f>_xll.RssMarket(A1003,"後場始値")</f>
        <v>7660</v>
      </c>
      <c r="S1003" s="25">
        <f t="shared" si="93"/>
        <v>3.5248041775457484E-3</v>
      </c>
      <c r="T1003" s="7">
        <f>_xll.RssMarket(A1003,"出来高加重平均")</f>
        <v>7659.9440000000004</v>
      </c>
      <c r="U1003" s="4">
        <f t="shared" si="94"/>
        <v>3.5321407049451192E-3</v>
      </c>
      <c r="V1003" s="21">
        <f>_xll.RssMarket(A1003,"出来高")</f>
        <v>4861900</v>
      </c>
      <c r="W1003" s="21">
        <f>_xll.RssMarket(A1003,"売買代金")</f>
        <v>37241882</v>
      </c>
      <c r="X1003" s="20" t="str">
        <f>_xll.RssMarket(A1003,"決算発表日")</f>
        <v>2024/02/01</v>
      </c>
      <c r="Y1003" s="26" t="str">
        <f>IF(C1003&gt;_xll.RssMarket(A1003,"年初来高値"),"○","×")</f>
        <v>×</v>
      </c>
      <c r="Z1003" s="27" t="str">
        <f>IF(C1003&lt;=_xll.RssMarket(A1003,"年初来安値"),"○","×")</f>
        <v>×</v>
      </c>
    </row>
    <row r="1004" spans="1:26" x14ac:dyDescent="0.25">
      <c r="A1004" s="47">
        <v>8331</v>
      </c>
      <c r="B1004" s="20" t="str">
        <f>_xll.RssMarket(A1004,"銘柄名称")</f>
        <v>千葉銀行</v>
      </c>
      <c r="C1004" s="21">
        <f>_xll.RssMarket(A1004,"現在値")</f>
        <v>1092</v>
      </c>
      <c r="D1004" s="20" t="str">
        <f>_xll.RssMarket(A1004,"現在値詳細時刻")</f>
        <v>15:00:00</v>
      </c>
      <c r="E1004" s="22">
        <f>_xll.RssMarket(A1004,"前日比")</f>
        <v>-13.5</v>
      </c>
      <c r="F1004" s="23">
        <f>_xll.RssMarket(A1004,"前日比率")/100</f>
        <v>-1.2199999999999999E-2</v>
      </c>
      <c r="G1004" s="24" t="str">
        <f>IFERROR(VLOOKUP(A1004,取得元!$A$2:$F$501,2,FALSE),"-")</f>
        <v>-</v>
      </c>
      <c r="H1004" s="24" t="str">
        <f>IFERROR(VLOOKUP(A1004,取得元!$A$2:$F$501,3,FALSE),"-")</f>
        <v>-</v>
      </c>
      <c r="I1004" s="24" t="str">
        <f>IFERROR(VLOOKUP(A1004,取得元!$A$2:$F$501,4,FALSE),"-")</f>
        <v>-</v>
      </c>
      <c r="J1004" s="5" t="str">
        <f>IFERROR(VLOOKUP(A1004,取得元!$A$2:$F$501,5,FALSE),"-")</f>
        <v>-</v>
      </c>
      <c r="K1004" s="25" t="str">
        <f>IFERROR(VLOOKUP(A1004,取得元!$A$2:$F$501,6,FALSE)/100,"-")</f>
        <v>-</v>
      </c>
      <c r="L1004" s="21">
        <f>_xll.RssMarket(A1004,"始値")</f>
        <v>1096.5</v>
      </c>
      <c r="M1004" s="4">
        <f t="shared" si="90"/>
        <v>-4.1039671682626677E-3</v>
      </c>
      <c r="N1004" s="21">
        <f>_xll.RssMarket(A1004,"高値")</f>
        <v>1104</v>
      </c>
      <c r="O1004" s="4">
        <f t="shared" si="91"/>
        <v>-1.0869565217391353E-2</v>
      </c>
      <c r="P1004" s="21">
        <f>_xll.RssMarket(A1004,"安値")</f>
        <v>1081.5</v>
      </c>
      <c r="Q1004" s="4">
        <f t="shared" si="92"/>
        <v>9.7087378640776656E-3</v>
      </c>
      <c r="R1004" s="21">
        <f>_xll.RssMarket(A1004,"後場始値")</f>
        <v>1085.5</v>
      </c>
      <c r="S1004" s="25">
        <f t="shared" si="93"/>
        <v>5.9880239520957446E-3</v>
      </c>
      <c r="T1004" s="7">
        <f>_xll.RssMarket(A1004,"出来高加重平均")</f>
        <v>1090.6872000000001</v>
      </c>
      <c r="U1004" s="4">
        <f t="shared" si="94"/>
        <v>1.2036448213565976E-3</v>
      </c>
      <c r="V1004" s="21">
        <f>_xll.RssMarket(A1004,"出来高")</f>
        <v>2272800</v>
      </c>
      <c r="W1004" s="21">
        <f>_xll.RssMarket(A1004,"売買代金")</f>
        <v>2478914</v>
      </c>
      <c r="X1004" s="20" t="str">
        <f>_xll.RssMarket(A1004,"決算発表日")</f>
        <v>2024/02/02</v>
      </c>
      <c r="Y1004" s="26" t="str">
        <f>IF(C1004&gt;_xll.RssMarket(A1004,"年初来高値"),"○","×")</f>
        <v>×</v>
      </c>
      <c r="Z1004" s="27" t="str">
        <f>IF(C1004&lt;=_xll.RssMarket(A1004,"年初来安値"),"○","×")</f>
        <v>×</v>
      </c>
    </row>
    <row r="1005" spans="1:26" x14ac:dyDescent="0.25">
      <c r="A1005" s="49">
        <v>8337</v>
      </c>
      <c r="B1005" s="20" t="str">
        <f>_xll.RssMarket(A1005,"銘柄名称")</f>
        <v>千葉興業銀行</v>
      </c>
      <c r="C1005" s="21">
        <f>_xll.RssMarket(A1005,"現在値")</f>
        <v>851</v>
      </c>
      <c r="D1005" s="20" t="str">
        <f>_xll.RssMarket(A1005,"現在値詳細時刻")</f>
        <v>15:00:00</v>
      </c>
      <c r="E1005" s="22">
        <f>_xll.RssMarket(A1005,"前日比")</f>
        <v>-2</v>
      </c>
      <c r="F1005" s="23">
        <f>_xll.RssMarket(A1005,"前日比率")/100</f>
        <v>-2.3E-3</v>
      </c>
      <c r="G1005" s="24" t="str">
        <f>IFERROR(VLOOKUP(A1005,取得元!$A$2:$F$501,2,FALSE),"-")</f>
        <v>-</v>
      </c>
      <c r="H1005" s="24" t="str">
        <f>IFERROR(VLOOKUP(A1005,取得元!$A$2:$F$501,3,FALSE),"-")</f>
        <v>-</v>
      </c>
      <c r="I1005" s="24" t="str">
        <f>IFERROR(VLOOKUP(A1005,取得元!$A$2:$F$501,4,FALSE),"-")</f>
        <v>-</v>
      </c>
      <c r="J1005" s="5" t="str">
        <f>IFERROR(VLOOKUP(A1005,取得元!$A$2:$F$501,5,FALSE),"-")</f>
        <v>-</v>
      </c>
      <c r="K1005" s="25" t="str">
        <f>IFERROR(VLOOKUP(A1005,取得元!$A$2:$F$501,6,FALSE)/100,"-")</f>
        <v>-</v>
      </c>
      <c r="L1005" s="21">
        <f>_xll.RssMarket(A1005,"始値")</f>
        <v>850</v>
      </c>
      <c r="M1005" s="4">
        <f t="shared" si="90"/>
        <v>1.1764705882353343E-3</v>
      </c>
      <c r="N1005" s="21">
        <f>_xll.RssMarket(A1005,"高値")</f>
        <v>858</v>
      </c>
      <c r="O1005" s="4">
        <f t="shared" si="91"/>
        <v>-8.1585081585081598E-3</v>
      </c>
      <c r="P1005" s="21">
        <f>_xll.RssMarket(A1005,"安値")</f>
        <v>843</v>
      </c>
      <c r="Q1005" s="4">
        <f t="shared" si="92"/>
        <v>9.4899169632265412E-3</v>
      </c>
      <c r="R1005" s="21">
        <f>_xll.RssMarket(A1005,"後場始値")</f>
        <v>845</v>
      </c>
      <c r="S1005" s="25">
        <f t="shared" si="93"/>
        <v>7.1005917159763232E-3</v>
      </c>
      <c r="T1005" s="7">
        <f>_xll.RssMarket(A1005,"出来高加重平均")</f>
        <v>851.12390000000005</v>
      </c>
      <c r="U1005" s="4">
        <f t="shared" si="94"/>
        <v>-1.4557222514843815E-4</v>
      </c>
      <c r="V1005" s="21">
        <f>_xll.RssMarket(A1005,"出来高")</f>
        <v>181500</v>
      </c>
      <c r="W1005" s="21">
        <f>_xll.RssMarket(A1005,"売買代金")</f>
        <v>154479</v>
      </c>
      <c r="X1005" s="20" t="str">
        <f>_xll.RssMarket(A1005,"決算発表日")</f>
        <v>2024/02/08</v>
      </c>
      <c r="Y1005" s="26" t="str">
        <f>IF(C1005&gt;_xll.RssMarket(A1005,"年初来高値"),"○","×")</f>
        <v>×</v>
      </c>
      <c r="Z1005" s="27" t="str">
        <f>IF(C1005&lt;=_xll.RssMarket(A1005,"年初来安値"),"○","×")</f>
        <v>×</v>
      </c>
    </row>
    <row r="1006" spans="1:26" x14ac:dyDescent="0.25">
      <c r="A1006" s="47">
        <v>8358</v>
      </c>
      <c r="B1006" s="20" t="str">
        <f>_xll.RssMarket(A1006,"銘柄名称")</f>
        <v>スルガ銀行</v>
      </c>
      <c r="C1006" s="21">
        <f>_xll.RssMarket(A1006,"現在値")</f>
        <v>806</v>
      </c>
      <c r="D1006" s="20" t="str">
        <f>_xll.RssMarket(A1006,"現在値詳細時刻")</f>
        <v>15:00:00</v>
      </c>
      <c r="E1006" s="22">
        <f>_xll.RssMarket(A1006,"前日比")</f>
        <v>4</v>
      </c>
      <c r="F1006" s="23">
        <f>_xll.RssMarket(A1006,"前日比率")/100</f>
        <v>5.0000000000000001E-3</v>
      </c>
      <c r="G1006" s="24" t="str">
        <f>IFERROR(VLOOKUP(A1006,取得元!$A$2:$F$501,2,FALSE),"-")</f>
        <v>-</v>
      </c>
      <c r="H1006" s="24" t="str">
        <f>IFERROR(VLOOKUP(A1006,取得元!$A$2:$F$501,3,FALSE),"-")</f>
        <v>-</v>
      </c>
      <c r="I1006" s="24" t="str">
        <f>IFERROR(VLOOKUP(A1006,取得元!$A$2:$F$501,4,FALSE),"-")</f>
        <v>-</v>
      </c>
      <c r="J1006" s="5" t="str">
        <f>IFERROR(VLOOKUP(A1006,取得元!$A$2:$F$501,5,FALSE),"-")</f>
        <v>-</v>
      </c>
      <c r="K1006" s="25" t="str">
        <f>IFERROR(VLOOKUP(A1006,取得元!$A$2:$F$501,6,FALSE)/100,"-")</f>
        <v>-</v>
      </c>
      <c r="L1006" s="21">
        <f>_xll.RssMarket(A1006,"始値")</f>
        <v>801</v>
      </c>
      <c r="M1006" s="4">
        <f t="shared" si="90"/>
        <v>6.2421972534332237E-3</v>
      </c>
      <c r="N1006" s="21">
        <f>_xll.RssMarket(A1006,"高値")</f>
        <v>810</v>
      </c>
      <c r="O1006" s="4">
        <f t="shared" si="91"/>
        <v>-4.9382716049383157E-3</v>
      </c>
      <c r="P1006" s="21">
        <f>_xll.RssMarket(A1006,"安値")</f>
        <v>796</v>
      </c>
      <c r="Q1006" s="4">
        <f t="shared" si="92"/>
        <v>1.2562814070351758E-2</v>
      </c>
      <c r="R1006" s="21">
        <f>_xll.RssMarket(A1006,"後場始値")</f>
        <v>803</v>
      </c>
      <c r="S1006" s="25">
        <f t="shared" si="93"/>
        <v>3.7359900373599153E-3</v>
      </c>
      <c r="T1006" s="7">
        <f>_xll.RssMarket(A1006,"出来高加重平均")</f>
        <v>803.71939999999995</v>
      </c>
      <c r="U1006" s="4">
        <f t="shared" si="94"/>
        <v>2.8375574858590102E-3</v>
      </c>
      <c r="V1006" s="21">
        <f>_xll.RssMarket(A1006,"出来高")</f>
        <v>1495900</v>
      </c>
      <c r="W1006" s="21">
        <f>_xll.RssMarket(A1006,"売買代金")</f>
        <v>1202284</v>
      </c>
      <c r="X1006" s="20" t="str">
        <f>_xll.RssMarket(A1006,"決算発表日")</f>
        <v>2024/02/09</v>
      </c>
      <c r="Y1006" s="26" t="str">
        <f>IF(C1006&gt;_xll.RssMarket(A1006,"年初来高値"),"○","×")</f>
        <v>×</v>
      </c>
      <c r="Z1006" s="27" t="str">
        <f>IF(C1006&lt;=_xll.RssMarket(A1006,"年初来安値"),"○","×")</f>
        <v>×</v>
      </c>
    </row>
    <row r="1007" spans="1:26" x14ac:dyDescent="0.25">
      <c r="A1007" s="49">
        <v>8377</v>
      </c>
      <c r="B1007" s="20" t="str">
        <f>_xll.RssMarket(A1007,"銘柄名称")</f>
        <v>ほくほくフィナンシャルＧ</v>
      </c>
      <c r="C1007" s="21">
        <f>_xll.RssMarket(A1007,"現在値")</f>
        <v>1588.5</v>
      </c>
      <c r="D1007" s="20" t="str">
        <f>_xll.RssMarket(A1007,"現在値詳細時刻")</f>
        <v>15:00:00</v>
      </c>
      <c r="E1007" s="22">
        <f>_xll.RssMarket(A1007,"前日比")</f>
        <v>19</v>
      </c>
      <c r="F1007" s="23">
        <f>_xll.RssMarket(A1007,"前日比率")/100</f>
        <v>1.21E-2</v>
      </c>
      <c r="G1007" s="24" t="str">
        <f>IFERROR(VLOOKUP(A1007,取得元!$A$2:$F$501,2,FALSE),"-")</f>
        <v>-</v>
      </c>
      <c r="H1007" s="24" t="str">
        <f>IFERROR(VLOOKUP(A1007,取得元!$A$2:$F$501,3,FALSE),"-")</f>
        <v>-</v>
      </c>
      <c r="I1007" s="24" t="str">
        <f>IFERROR(VLOOKUP(A1007,取得元!$A$2:$F$501,4,FALSE),"-")</f>
        <v>-</v>
      </c>
      <c r="J1007" s="5" t="str">
        <f>IFERROR(VLOOKUP(A1007,取得元!$A$2:$F$501,5,FALSE),"-")</f>
        <v>-</v>
      </c>
      <c r="K1007" s="25" t="str">
        <f>IFERROR(VLOOKUP(A1007,取得元!$A$2:$F$501,6,FALSE)/100,"-")</f>
        <v>-</v>
      </c>
      <c r="L1007" s="21">
        <f>_xll.RssMarket(A1007,"始値")</f>
        <v>1565</v>
      </c>
      <c r="M1007" s="4">
        <f t="shared" si="90"/>
        <v>1.5015974440894642E-2</v>
      </c>
      <c r="N1007" s="21">
        <f>_xll.RssMarket(A1007,"高値")</f>
        <v>1594</v>
      </c>
      <c r="O1007" s="4">
        <f t="shared" si="91"/>
        <v>-3.4504391468005435E-3</v>
      </c>
      <c r="P1007" s="21">
        <f>_xll.RssMarket(A1007,"安値")</f>
        <v>1560</v>
      </c>
      <c r="Q1007" s="4">
        <f t="shared" si="92"/>
        <v>1.8269230769230704E-2</v>
      </c>
      <c r="R1007" s="21">
        <f>_xll.RssMarket(A1007,"後場始値")</f>
        <v>1576</v>
      </c>
      <c r="S1007" s="25">
        <f t="shared" si="93"/>
        <v>7.9314720812182493E-3</v>
      </c>
      <c r="T1007" s="7">
        <f>_xll.RssMarket(A1007,"出来高加重平均")</f>
        <v>1582.2871</v>
      </c>
      <c r="U1007" s="4">
        <f t="shared" si="94"/>
        <v>3.9265314113980931E-3</v>
      </c>
      <c r="V1007" s="21">
        <f>_xll.RssMarket(A1007,"出来高")</f>
        <v>299500</v>
      </c>
      <c r="W1007" s="21">
        <f>_xll.RssMarket(A1007,"売買代金")</f>
        <v>473895</v>
      </c>
      <c r="X1007" s="20" t="str">
        <f>_xll.RssMarket(A1007,"決算発表日")</f>
        <v>2024/01/30</v>
      </c>
      <c r="Y1007" s="26" t="str">
        <f>IF(C1007&gt;_xll.RssMarket(A1007,"年初来高値"),"○","×")</f>
        <v>×</v>
      </c>
      <c r="Z1007" s="27" t="str">
        <f>IF(C1007&lt;=_xll.RssMarket(A1007,"年初来安値"),"○","×")</f>
        <v>×</v>
      </c>
    </row>
    <row r="1008" spans="1:26" x14ac:dyDescent="0.25">
      <c r="A1008" s="47">
        <v>8383</v>
      </c>
      <c r="B1008" s="20" t="str">
        <f>_xll.RssMarket(A1008,"銘柄名称")</f>
        <v>鳥取銀行</v>
      </c>
      <c r="C1008" s="21">
        <f>_xll.RssMarket(A1008,"現在値")</f>
        <v>1403</v>
      </c>
      <c r="D1008" s="20" t="str">
        <f>_xll.RssMarket(A1008,"現在値詳細時刻")</f>
        <v>15:00:00</v>
      </c>
      <c r="E1008" s="22">
        <f>_xll.RssMarket(A1008,"前日比")</f>
        <v>0</v>
      </c>
      <c r="F1008" s="23">
        <f>_xll.RssMarket(A1008,"前日比率")/100</f>
        <v>0</v>
      </c>
      <c r="G1008" s="24" t="str">
        <f>IFERROR(VLOOKUP(A1008,取得元!$A$2:$F$501,2,FALSE),"-")</f>
        <v>-</v>
      </c>
      <c r="H1008" s="24" t="str">
        <f>IFERROR(VLOOKUP(A1008,取得元!$A$2:$F$501,3,FALSE),"-")</f>
        <v>-</v>
      </c>
      <c r="I1008" s="24" t="str">
        <f>IFERROR(VLOOKUP(A1008,取得元!$A$2:$F$501,4,FALSE),"-")</f>
        <v>-</v>
      </c>
      <c r="J1008" s="5" t="str">
        <f>IFERROR(VLOOKUP(A1008,取得元!$A$2:$F$501,5,FALSE),"-")</f>
        <v>-</v>
      </c>
      <c r="K1008" s="25" t="str">
        <f>IFERROR(VLOOKUP(A1008,取得元!$A$2:$F$501,6,FALSE)/100,"-")</f>
        <v>-</v>
      </c>
      <c r="L1008" s="21">
        <f>_xll.RssMarket(A1008,"始値")</f>
        <v>1403</v>
      </c>
      <c r="M1008" s="4">
        <f t="shared" si="90"/>
        <v>0</v>
      </c>
      <c r="N1008" s="21">
        <f>_xll.RssMarket(A1008,"高値")</f>
        <v>1411</v>
      </c>
      <c r="O1008" s="4">
        <f t="shared" si="91"/>
        <v>-5.6697377746278699E-3</v>
      </c>
      <c r="P1008" s="21">
        <f>_xll.RssMarket(A1008,"安値")</f>
        <v>1403</v>
      </c>
      <c r="Q1008" s="4">
        <f t="shared" si="92"/>
        <v>0</v>
      </c>
      <c r="R1008" s="21">
        <f>_xll.RssMarket(A1008,"後場始値")</f>
        <v>1408</v>
      </c>
      <c r="S1008" s="25">
        <f t="shared" si="93"/>
        <v>-3.5511363636363535E-3</v>
      </c>
      <c r="T1008" s="7">
        <f>_xll.RssMarket(A1008,"出来高加重平均")</f>
        <v>1405.5263</v>
      </c>
      <c r="U1008" s="4">
        <f t="shared" si="94"/>
        <v>-1.7974050005324926E-3</v>
      </c>
      <c r="V1008" s="21">
        <f>_xll.RssMarket(A1008,"出来高")</f>
        <v>7600</v>
      </c>
      <c r="W1008" s="21">
        <f>_xll.RssMarket(A1008,"売買代金")</f>
        <v>10682</v>
      </c>
      <c r="X1008" s="20" t="str">
        <f>_xll.RssMarket(A1008,"決算発表日")</f>
        <v>2024/01/26</v>
      </c>
      <c r="Y1008" s="26" t="str">
        <f>IF(C1008&gt;_xll.RssMarket(A1008,"年初来高値"),"○","×")</f>
        <v>×</v>
      </c>
      <c r="Z1008" s="27" t="str">
        <f>IF(C1008&lt;=_xll.RssMarket(A1008,"年初来安値"),"○","×")</f>
        <v>×</v>
      </c>
    </row>
    <row r="1009" spans="1:26" x14ac:dyDescent="0.25">
      <c r="A1009" s="49">
        <v>8387</v>
      </c>
      <c r="B1009" s="20" t="str">
        <f>_xll.RssMarket(A1009,"銘柄名称")</f>
        <v>四国銀行</v>
      </c>
      <c r="C1009" s="21">
        <f>_xll.RssMarket(A1009,"現在値")</f>
        <v>1059</v>
      </c>
      <c r="D1009" s="20" t="str">
        <f>_xll.RssMarket(A1009,"現在値詳細時刻")</f>
        <v>15:00:00</v>
      </c>
      <c r="E1009" s="22">
        <f>_xll.RssMarket(A1009,"前日比")</f>
        <v>22</v>
      </c>
      <c r="F1009" s="23">
        <f>_xll.RssMarket(A1009,"前日比率")/100</f>
        <v>2.12E-2</v>
      </c>
      <c r="G1009" s="24" t="str">
        <f>IFERROR(VLOOKUP(A1009,取得元!$A$2:$F$501,2,FALSE),"-")</f>
        <v>-</v>
      </c>
      <c r="H1009" s="24" t="str">
        <f>IFERROR(VLOOKUP(A1009,取得元!$A$2:$F$501,3,FALSE),"-")</f>
        <v>-</v>
      </c>
      <c r="I1009" s="24" t="str">
        <f>IFERROR(VLOOKUP(A1009,取得元!$A$2:$F$501,4,FALSE),"-")</f>
        <v>-</v>
      </c>
      <c r="J1009" s="5" t="str">
        <f>IFERROR(VLOOKUP(A1009,取得元!$A$2:$F$501,5,FALSE),"-")</f>
        <v>-</v>
      </c>
      <c r="K1009" s="25" t="str">
        <f>IFERROR(VLOOKUP(A1009,取得元!$A$2:$F$501,6,FALSE)/100,"-")</f>
        <v>-</v>
      </c>
      <c r="L1009" s="21">
        <f>_xll.RssMarket(A1009,"始値")</f>
        <v>1040</v>
      </c>
      <c r="M1009" s="4">
        <f t="shared" si="90"/>
        <v>1.8269230769230704E-2</v>
      </c>
      <c r="N1009" s="21">
        <f>_xll.RssMarket(A1009,"高値")</f>
        <v>1062</v>
      </c>
      <c r="O1009" s="4">
        <f t="shared" si="91"/>
        <v>-2.8248587570621764E-3</v>
      </c>
      <c r="P1009" s="21">
        <f>_xll.RssMarket(A1009,"安値")</f>
        <v>1040</v>
      </c>
      <c r="Q1009" s="4">
        <f t="shared" si="92"/>
        <v>1.8269230769230704E-2</v>
      </c>
      <c r="R1009" s="21">
        <f>_xll.RssMarket(A1009,"後場始値")</f>
        <v>1047</v>
      </c>
      <c r="S1009" s="25">
        <f t="shared" si="93"/>
        <v>1.1461318051575908E-2</v>
      </c>
      <c r="T1009" s="7">
        <f>_xll.RssMarket(A1009,"出来高加重平均")</f>
        <v>1050.3592000000001</v>
      </c>
      <c r="U1009" s="4">
        <f t="shared" si="94"/>
        <v>8.226519080329675E-3</v>
      </c>
      <c r="V1009" s="21">
        <f>_xll.RssMarket(A1009,"出来高")</f>
        <v>155900</v>
      </c>
      <c r="W1009" s="21">
        <f>_xll.RssMarket(A1009,"売買代金")</f>
        <v>163751</v>
      </c>
      <c r="X1009" s="20" t="str">
        <f>_xll.RssMarket(A1009,"決算発表日")</f>
        <v>2024/02/06</v>
      </c>
      <c r="Y1009" s="26" t="str">
        <f>IF(C1009&gt;_xll.RssMarket(A1009,"年初来高値"),"○","×")</f>
        <v>×</v>
      </c>
      <c r="Z1009" s="27" t="str">
        <f>IF(C1009&lt;=_xll.RssMarket(A1009,"年初来安値"),"○","×")</f>
        <v>×</v>
      </c>
    </row>
    <row r="1010" spans="1:26" x14ac:dyDescent="0.25">
      <c r="A1010" s="47">
        <v>8410</v>
      </c>
      <c r="B1010" s="20" t="str">
        <f>_xll.RssMarket(A1010,"銘柄名称")</f>
        <v>セブン銀行</v>
      </c>
      <c r="C1010" s="21">
        <f>_xll.RssMarket(A1010,"現在値")</f>
        <v>303.10000000000002</v>
      </c>
      <c r="D1010" s="20" t="str">
        <f>_xll.RssMarket(A1010,"現在値詳細時刻")</f>
        <v>15:00:00</v>
      </c>
      <c r="E1010" s="22">
        <f>_xll.RssMarket(A1010,"前日比")</f>
        <v>2.2000000000000002</v>
      </c>
      <c r="F1010" s="23">
        <f>_xll.RssMarket(A1010,"前日比率")/100</f>
        <v>7.3000000000000001E-3</v>
      </c>
      <c r="G1010" s="24">
        <f>IFERROR(VLOOKUP(A1010,取得元!$A$2:$F$501,2,FALSE),"-")</f>
        <v>1</v>
      </c>
      <c r="H1010" s="24">
        <f>IFERROR(VLOOKUP(A1010,取得元!$A$2:$F$501,3,FALSE),"-")</f>
        <v>294</v>
      </c>
      <c r="I1010" s="24">
        <f>IFERROR(VLOOKUP(A1010,取得元!$A$2:$F$501,4,FALSE),"-")</f>
        <v>303.10000000000002</v>
      </c>
      <c r="J1010" s="5">
        <f>IFERROR(VLOOKUP(A1010,取得元!$A$2:$F$501,5,FALSE),"-")</f>
        <v>9.1</v>
      </c>
      <c r="K1010" s="25">
        <f>IFERROR(VLOOKUP(A1010,取得元!$A$2:$F$501,6,FALSE)/100,"-")</f>
        <v>3.0952380000000002E-2</v>
      </c>
      <c r="L1010" s="21">
        <f>_xll.RssMarket(A1010,"始値")</f>
        <v>302</v>
      </c>
      <c r="M1010" s="4">
        <f t="shared" si="90"/>
        <v>3.6423841059602946E-3</v>
      </c>
      <c r="N1010" s="21">
        <f>_xll.RssMarket(A1010,"高値")</f>
        <v>304.3</v>
      </c>
      <c r="O1010" s="4">
        <f t="shared" si="91"/>
        <v>-3.9434768320735225E-3</v>
      </c>
      <c r="P1010" s="21">
        <f>_xll.RssMarket(A1010,"安値")</f>
        <v>301.10000000000002</v>
      </c>
      <c r="Q1010" s="4">
        <f t="shared" si="92"/>
        <v>6.6423115244105269E-3</v>
      </c>
      <c r="R1010" s="21">
        <f>_xll.RssMarket(A1010,"後場始値")</f>
        <v>303</v>
      </c>
      <c r="S1010" s="25">
        <f t="shared" si="93"/>
        <v>3.3003300330047836E-4</v>
      </c>
      <c r="T1010" s="7">
        <f>_xll.RssMarket(A1010,"出来高加重平均")</f>
        <v>303.07900000000001</v>
      </c>
      <c r="U1010" s="4">
        <f t="shared" si="94"/>
        <v>6.9288865279348855E-5</v>
      </c>
      <c r="V1010" s="21">
        <f>_xll.RssMarket(A1010,"出来高")</f>
        <v>3992100</v>
      </c>
      <c r="W1010" s="21">
        <f>_xll.RssMarket(A1010,"売買代金")</f>
        <v>1209922</v>
      </c>
      <c r="X1010" s="20" t="str">
        <f>_xll.RssMarket(A1010,"決算発表日")</f>
        <v>2024/02/09</v>
      </c>
      <c r="Y1010" s="26" t="str">
        <f>IF(C1010&gt;_xll.RssMarket(A1010,"年初来高値"),"○","×")</f>
        <v>×</v>
      </c>
      <c r="Z1010" s="27" t="str">
        <f>IF(C1010&lt;=_xll.RssMarket(A1010,"年初来安値"),"○","×")</f>
        <v>×</v>
      </c>
    </row>
    <row r="1011" spans="1:26" x14ac:dyDescent="0.25">
      <c r="A1011" s="49">
        <v>8416</v>
      </c>
      <c r="B1011" s="20" t="str">
        <f>_xll.RssMarket(A1011,"銘柄名称")</f>
        <v>高知銀行</v>
      </c>
      <c r="C1011" s="21">
        <f>_xll.RssMarket(A1011,"現在値")</f>
        <v>936</v>
      </c>
      <c r="D1011" s="20" t="str">
        <f>_xll.RssMarket(A1011,"現在値詳細時刻")</f>
        <v>15:00:00</v>
      </c>
      <c r="E1011" s="22">
        <f>_xll.RssMarket(A1011,"前日比")</f>
        <v>-10</v>
      </c>
      <c r="F1011" s="23">
        <f>_xll.RssMarket(A1011,"前日比率")/100</f>
        <v>-1.06E-2</v>
      </c>
      <c r="G1011" s="24" t="str">
        <f>IFERROR(VLOOKUP(A1011,取得元!$A$2:$F$501,2,FALSE),"-")</f>
        <v>-</v>
      </c>
      <c r="H1011" s="24" t="str">
        <f>IFERROR(VLOOKUP(A1011,取得元!$A$2:$F$501,3,FALSE),"-")</f>
        <v>-</v>
      </c>
      <c r="I1011" s="24" t="str">
        <f>IFERROR(VLOOKUP(A1011,取得元!$A$2:$F$501,4,FALSE),"-")</f>
        <v>-</v>
      </c>
      <c r="J1011" s="5" t="str">
        <f>IFERROR(VLOOKUP(A1011,取得元!$A$2:$F$501,5,FALSE),"-")</f>
        <v>-</v>
      </c>
      <c r="K1011" s="25" t="str">
        <f>IFERROR(VLOOKUP(A1011,取得元!$A$2:$F$501,6,FALSE)/100,"-")</f>
        <v>-</v>
      </c>
      <c r="L1011" s="21">
        <f>_xll.RssMarket(A1011,"始値")</f>
        <v>944</v>
      </c>
      <c r="M1011" s="4">
        <f t="shared" si="90"/>
        <v>-8.4745762711864181E-3</v>
      </c>
      <c r="N1011" s="21">
        <f>_xll.RssMarket(A1011,"高値")</f>
        <v>946</v>
      </c>
      <c r="O1011" s="4">
        <f t="shared" si="91"/>
        <v>-1.0570824524312905E-2</v>
      </c>
      <c r="P1011" s="21">
        <f>_xll.RssMarket(A1011,"安値")</f>
        <v>930</v>
      </c>
      <c r="Q1011" s="4">
        <f t="shared" si="92"/>
        <v>6.4516129032257119E-3</v>
      </c>
      <c r="R1011" s="21">
        <f>_xll.RssMarket(A1011,"後場始値")</f>
        <v>933</v>
      </c>
      <c r="S1011" s="25">
        <f t="shared" si="93"/>
        <v>3.215434083601254E-3</v>
      </c>
      <c r="T1011" s="7">
        <f>_xll.RssMarket(A1011,"出来高加重平均")</f>
        <v>937.24</v>
      </c>
      <c r="U1011" s="4">
        <f t="shared" si="94"/>
        <v>-1.3230335879816923E-3</v>
      </c>
      <c r="V1011" s="21">
        <f>_xll.RssMarket(A1011,"出来高")</f>
        <v>25000</v>
      </c>
      <c r="W1011" s="21">
        <f>_xll.RssMarket(A1011,"売買代金")</f>
        <v>23431</v>
      </c>
      <c r="X1011" s="20" t="str">
        <f>_xll.RssMarket(A1011,"決算発表日")</f>
        <v>2024/02/09</v>
      </c>
      <c r="Y1011" s="26" t="str">
        <f>IF(C1011&gt;_xll.RssMarket(A1011,"年初来高値"),"○","×")</f>
        <v>×</v>
      </c>
      <c r="Z1011" s="27" t="str">
        <f>IF(C1011&lt;=_xll.RssMarket(A1011,"年初来安値"),"○","×")</f>
        <v>×</v>
      </c>
    </row>
    <row r="1012" spans="1:26" x14ac:dyDescent="0.25">
      <c r="A1012" s="47">
        <v>8462</v>
      </c>
      <c r="B1012" s="20" t="str">
        <f>_xll.RssMarket(A1012,"銘柄名称")</f>
        <v>フューチャーベンチャーキャピ</v>
      </c>
      <c r="C1012" s="21">
        <f>_xll.RssMarket(A1012,"現在値")</f>
        <v>496</v>
      </c>
      <c r="D1012" s="20" t="str">
        <f>_xll.RssMarket(A1012,"現在値詳細時刻")</f>
        <v>15:00:00</v>
      </c>
      <c r="E1012" s="22">
        <f>_xll.RssMarket(A1012,"前日比")</f>
        <v>0</v>
      </c>
      <c r="F1012" s="23">
        <f>_xll.RssMarket(A1012,"前日比率")/100</f>
        <v>0</v>
      </c>
      <c r="G1012" s="24" t="str">
        <f>IFERROR(VLOOKUP(A1012,取得元!$A$2:$F$501,2,FALSE),"-")</f>
        <v>-</v>
      </c>
      <c r="H1012" s="24" t="str">
        <f>IFERROR(VLOOKUP(A1012,取得元!$A$2:$F$501,3,FALSE),"-")</f>
        <v>-</v>
      </c>
      <c r="I1012" s="24" t="str">
        <f>IFERROR(VLOOKUP(A1012,取得元!$A$2:$F$501,4,FALSE),"-")</f>
        <v>-</v>
      </c>
      <c r="J1012" s="5" t="str">
        <f>IFERROR(VLOOKUP(A1012,取得元!$A$2:$F$501,5,FALSE),"-")</f>
        <v>-</v>
      </c>
      <c r="K1012" s="25" t="str">
        <f>IFERROR(VLOOKUP(A1012,取得元!$A$2:$F$501,6,FALSE)/100,"-")</f>
        <v>-</v>
      </c>
      <c r="L1012" s="21">
        <f>_xll.RssMarket(A1012,"始値")</f>
        <v>496</v>
      </c>
      <c r="M1012" s="4">
        <f t="shared" si="90"/>
        <v>0</v>
      </c>
      <c r="N1012" s="21">
        <f>_xll.RssMarket(A1012,"高値")</f>
        <v>496</v>
      </c>
      <c r="O1012" s="4">
        <f t="shared" si="91"/>
        <v>0</v>
      </c>
      <c r="P1012" s="21">
        <f>_xll.RssMarket(A1012,"安値")</f>
        <v>490</v>
      </c>
      <c r="Q1012" s="4">
        <f t="shared" si="92"/>
        <v>1.2244897959183598E-2</v>
      </c>
      <c r="R1012" s="21">
        <f>_xll.RssMarket(A1012,"後場始値")</f>
        <v>495</v>
      </c>
      <c r="S1012" s="25">
        <f t="shared" si="93"/>
        <v>2.0202020202020332E-3</v>
      </c>
      <c r="T1012" s="7">
        <f>_xll.RssMarket(A1012,"出来高加重平均")</f>
        <v>493.7903</v>
      </c>
      <c r="U1012" s="4">
        <f t="shared" si="94"/>
        <v>4.4749765234350924E-3</v>
      </c>
      <c r="V1012" s="21">
        <f>_xll.RssMarket(A1012,"出来高")</f>
        <v>12400</v>
      </c>
      <c r="W1012" s="21">
        <f>_xll.RssMarket(A1012,"売買代金")</f>
        <v>6123</v>
      </c>
      <c r="X1012" s="20" t="str">
        <f>_xll.RssMarket(A1012,"決算発表日")</f>
        <v>-</v>
      </c>
      <c r="Y1012" s="26" t="str">
        <f>IF(C1012&gt;_xll.RssMarket(A1012,"年初来高値"),"○","×")</f>
        <v>×</v>
      </c>
      <c r="Z1012" s="27" t="str">
        <f>IF(C1012&lt;=_xll.RssMarket(A1012,"年初来安値"),"○","×")</f>
        <v>×</v>
      </c>
    </row>
    <row r="1013" spans="1:26" x14ac:dyDescent="0.25">
      <c r="A1013" s="49">
        <v>8473</v>
      </c>
      <c r="B1013" s="20" t="str">
        <f>_xll.RssMarket(A1013,"銘柄名称")</f>
        <v>ＳＢＩホールディングス</v>
      </c>
      <c r="C1013" s="21">
        <f>_xll.RssMarket(A1013,"現在値")</f>
        <v>3775</v>
      </c>
      <c r="D1013" s="20" t="str">
        <f>_xll.RssMarket(A1013,"現在値詳細時刻")</f>
        <v>15:00:00</v>
      </c>
      <c r="E1013" s="22">
        <f>_xll.RssMarket(A1013,"前日比")</f>
        <v>118</v>
      </c>
      <c r="F1013" s="23">
        <f>_xll.RssMarket(A1013,"前日比率")/100</f>
        <v>3.2300000000000002E-2</v>
      </c>
      <c r="G1013" s="24" t="str">
        <f>IFERROR(VLOOKUP(A1013,取得元!$A$2:$F$501,2,FALSE),"-")</f>
        <v>-</v>
      </c>
      <c r="H1013" s="24" t="str">
        <f>IFERROR(VLOOKUP(A1013,取得元!$A$2:$F$501,3,FALSE),"-")</f>
        <v>-</v>
      </c>
      <c r="I1013" s="24" t="str">
        <f>IFERROR(VLOOKUP(A1013,取得元!$A$2:$F$501,4,FALSE),"-")</f>
        <v>-</v>
      </c>
      <c r="J1013" s="5" t="str">
        <f>IFERROR(VLOOKUP(A1013,取得元!$A$2:$F$501,5,FALSE),"-")</f>
        <v>-</v>
      </c>
      <c r="K1013" s="25" t="str">
        <f>IFERROR(VLOOKUP(A1013,取得元!$A$2:$F$501,6,FALSE)/100,"-")</f>
        <v>-</v>
      </c>
      <c r="L1013" s="21">
        <f>_xll.RssMarket(A1013,"始値")</f>
        <v>3660</v>
      </c>
      <c r="M1013" s="4">
        <f t="shared" si="90"/>
        <v>3.1420765027322384E-2</v>
      </c>
      <c r="N1013" s="21">
        <f>_xll.RssMarket(A1013,"高値")</f>
        <v>3838</v>
      </c>
      <c r="O1013" s="4">
        <f t="shared" si="91"/>
        <v>-1.6414799374674272E-2</v>
      </c>
      <c r="P1013" s="21">
        <f>_xll.RssMarket(A1013,"安値")</f>
        <v>3658</v>
      </c>
      <c r="Q1013" s="4">
        <f t="shared" si="92"/>
        <v>3.1984691088026151E-2</v>
      </c>
      <c r="R1013" s="21">
        <f>_xll.RssMarket(A1013,"後場始値")</f>
        <v>3837</v>
      </c>
      <c r="S1013" s="25">
        <f t="shared" si="93"/>
        <v>-1.6158457127964598E-2</v>
      </c>
      <c r="T1013" s="7">
        <f>_xll.RssMarket(A1013,"出来高加重平均")</f>
        <v>3766.0949999999998</v>
      </c>
      <c r="U1013" s="4">
        <f t="shared" si="94"/>
        <v>2.3645181547464755E-3</v>
      </c>
      <c r="V1013" s="21">
        <f>_xll.RssMarket(A1013,"出来高")</f>
        <v>6331200</v>
      </c>
      <c r="W1013" s="21">
        <f>_xll.RssMarket(A1013,"売買代金")</f>
        <v>23843901</v>
      </c>
      <c r="X1013" s="20" t="str">
        <f>_xll.RssMarket(A1013,"決算発表日")</f>
        <v>2024/02/07</v>
      </c>
      <c r="Y1013" s="26" t="str">
        <f>IF(C1013&gt;_xll.RssMarket(A1013,"年初来高値"),"○","×")</f>
        <v>○</v>
      </c>
      <c r="Z1013" s="27" t="str">
        <f>IF(C1013&lt;=_xll.RssMarket(A1013,"年初来安値"),"○","×")</f>
        <v>×</v>
      </c>
    </row>
    <row r="1014" spans="1:26" x14ac:dyDescent="0.25">
      <c r="A1014" s="47">
        <v>8508</v>
      </c>
      <c r="B1014" s="20" t="str">
        <f>_xll.RssMarket(A1014,"銘柄名称")</f>
        <v>Ｊトラスト</v>
      </c>
      <c r="C1014" s="21">
        <f>_xll.RssMarket(A1014,"現在値")</f>
        <v>472</v>
      </c>
      <c r="D1014" s="20" t="str">
        <f>_xll.RssMarket(A1014,"現在値詳細時刻")</f>
        <v>15:00:00</v>
      </c>
      <c r="E1014" s="22">
        <f>_xll.RssMarket(A1014,"前日比")</f>
        <v>1</v>
      </c>
      <c r="F1014" s="23">
        <f>_xll.RssMarket(A1014,"前日比率")/100</f>
        <v>2.0999999999999999E-3</v>
      </c>
      <c r="G1014" s="24">
        <f>IFERROR(VLOOKUP(A1014,取得元!$A$2:$F$501,2,FALSE),"-")</f>
        <v>4</v>
      </c>
      <c r="H1014" s="24">
        <f>IFERROR(VLOOKUP(A1014,取得元!$A$2:$F$501,3,FALSE),"-")</f>
        <v>650</v>
      </c>
      <c r="I1014" s="24">
        <f>IFERROR(VLOOKUP(A1014,取得元!$A$2:$F$501,4,FALSE),"-")</f>
        <v>1888</v>
      </c>
      <c r="J1014" s="5">
        <f>IFERROR(VLOOKUP(A1014,取得元!$A$2:$F$501,5,FALSE),"-")</f>
        <v>-712</v>
      </c>
      <c r="K1014" s="25">
        <f>IFERROR(VLOOKUP(A1014,取得元!$A$2:$F$501,6,FALSE)/100,"-")</f>
        <v>-0.27384615000000001</v>
      </c>
      <c r="L1014" s="21">
        <f>_xll.RssMarket(A1014,"始値")</f>
        <v>470</v>
      </c>
      <c r="M1014" s="4">
        <f t="shared" si="90"/>
        <v>4.2553191489360653E-3</v>
      </c>
      <c r="N1014" s="21">
        <f>_xll.RssMarket(A1014,"高値")</f>
        <v>475</v>
      </c>
      <c r="O1014" s="4">
        <f t="shared" si="91"/>
        <v>-6.3157894736841635E-3</v>
      </c>
      <c r="P1014" s="21">
        <f>_xll.RssMarket(A1014,"安値")</f>
        <v>468</v>
      </c>
      <c r="Q1014" s="4">
        <f t="shared" si="92"/>
        <v>8.5470085470085166E-3</v>
      </c>
      <c r="R1014" s="21">
        <f>_xll.RssMarket(A1014,"後場始値")</f>
        <v>473</v>
      </c>
      <c r="S1014" s="25">
        <f t="shared" si="93"/>
        <v>-2.1141649048626032E-3</v>
      </c>
      <c r="T1014" s="7">
        <f>_xll.RssMarket(A1014,"出来高加重平均")</f>
        <v>471.43520000000001</v>
      </c>
      <c r="U1014" s="4">
        <f t="shared" si="94"/>
        <v>1.1980437608392069E-3</v>
      </c>
      <c r="V1014" s="21">
        <f>_xll.RssMarket(A1014,"出来高")</f>
        <v>298200</v>
      </c>
      <c r="W1014" s="21">
        <f>_xll.RssMarket(A1014,"売買代金")</f>
        <v>140582</v>
      </c>
      <c r="X1014" s="20" t="str">
        <f>_xll.RssMarket(A1014,"決算発表日")</f>
        <v>2024/02/13</v>
      </c>
      <c r="Y1014" s="26" t="str">
        <f>IF(C1014&gt;_xll.RssMarket(A1014,"年初来高値"),"○","×")</f>
        <v>×</v>
      </c>
      <c r="Z1014" s="27" t="str">
        <f>IF(C1014&lt;=_xll.RssMarket(A1014,"年初来安値"),"○","×")</f>
        <v>×</v>
      </c>
    </row>
    <row r="1015" spans="1:26" x14ac:dyDescent="0.25">
      <c r="A1015" s="49">
        <v>8511</v>
      </c>
      <c r="B1015" s="20" t="str">
        <f>_xll.RssMarket(A1015,"銘柄名称")</f>
        <v>日本証券金融</v>
      </c>
      <c r="C1015" s="21">
        <f>_xll.RssMarket(A1015,"現在値")</f>
        <v>1562</v>
      </c>
      <c r="D1015" s="20" t="str">
        <f>_xll.RssMarket(A1015,"現在値詳細時刻")</f>
        <v>15:00:00</v>
      </c>
      <c r="E1015" s="22">
        <f>_xll.RssMarket(A1015,"前日比")</f>
        <v>-15</v>
      </c>
      <c r="F1015" s="23">
        <f>_xll.RssMarket(A1015,"前日比率")/100</f>
        <v>-9.4999999999999998E-3</v>
      </c>
      <c r="G1015" s="24" t="str">
        <f>IFERROR(VLOOKUP(A1015,取得元!$A$2:$F$501,2,FALSE),"-")</f>
        <v>-</v>
      </c>
      <c r="H1015" s="24" t="str">
        <f>IFERROR(VLOOKUP(A1015,取得元!$A$2:$F$501,3,FALSE),"-")</f>
        <v>-</v>
      </c>
      <c r="I1015" s="24" t="str">
        <f>IFERROR(VLOOKUP(A1015,取得元!$A$2:$F$501,4,FALSE),"-")</f>
        <v>-</v>
      </c>
      <c r="J1015" s="5" t="str">
        <f>IFERROR(VLOOKUP(A1015,取得元!$A$2:$F$501,5,FALSE),"-")</f>
        <v>-</v>
      </c>
      <c r="K1015" s="25" t="str">
        <f>IFERROR(VLOOKUP(A1015,取得元!$A$2:$F$501,6,FALSE)/100,"-")</f>
        <v>-</v>
      </c>
      <c r="L1015" s="21">
        <f>_xll.RssMarket(A1015,"始値")</f>
        <v>1568</v>
      </c>
      <c r="M1015" s="4">
        <f t="shared" si="90"/>
        <v>-3.8265306122449161E-3</v>
      </c>
      <c r="N1015" s="21">
        <f>_xll.RssMarket(A1015,"高値")</f>
        <v>1576</v>
      </c>
      <c r="O1015" s="4">
        <f t="shared" si="91"/>
        <v>-8.8832487309644659E-3</v>
      </c>
      <c r="P1015" s="21">
        <f>_xll.RssMarket(A1015,"安値")</f>
        <v>1554</v>
      </c>
      <c r="Q1015" s="4">
        <f t="shared" si="92"/>
        <v>5.1480051480050637E-3</v>
      </c>
      <c r="R1015" s="21">
        <f>_xll.RssMarket(A1015,"後場始値")</f>
        <v>1568</v>
      </c>
      <c r="S1015" s="25">
        <f t="shared" si="93"/>
        <v>-3.8265306122449161E-3</v>
      </c>
      <c r="T1015" s="7">
        <f>_xll.RssMarket(A1015,"出来高加重平均")</f>
        <v>1565.5528999999999</v>
      </c>
      <c r="U1015" s="4">
        <f t="shared" si="94"/>
        <v>-2.2694218764500729E-3</v>
      </c>
      <c r="V1015" s="21">
        <f>_xll.RssMarket(A1015,"出来高")</f>
        <v>300200</v>
      </c>
      <c r="W1015" s="21">
        <f>_xll.RssMarket(A1015,"売買代金")</f>
        <v>469979</v>
      </c>
      <c r="X1015" s="20" t="str">
        <f>_xll.RssMarket(A1015,"決算発表日")</f>
        <v>2024/02/05</v>
      </c>
      <c r="Y1015" s="26" t="str">
        <f>IF(C1015&gt;_xll.RssMarket(A1015,"年初来高値"),"○","×")</f>
        <v>×</v>
      </c>
      <c r="Z1015" s="27" t="str">
        <f>IF(C1015&lt;=_xll.RssMarket(A1015,"年初来安値"),"○","×")</f>
        <v>×</v>
      </c>
    </row>
    <row r="1016" spans="1:26" x14ac:dyDescent="0.25">
      <c r="A1016" s="47">
        <v>8515</v>
      </c>
      <c r="B1016" s="20" t="str">
        <f>_xll.RssMarket(A1016,"銘柄名称")</f>
        <v>アイフル</v>
      </c>
      <c r="C1016" s="21">
        <f>_xll.RssMarket(A1016,"現在値")</f>
        <v>384</v>
      </c>
      <c r="D1016" s="20" t="str">
        <f>_xll.RssMarket(A1016,"現在値詳細時刻")</f>
        <v>15:00:00</v>
      </c>
      <c r="E1016" s="22">
        <f>_xll.RssMarket(A1016,"前日比")</f>
        <v>-4</v>
      </c>
      <c r="F1016" s="23">
        <f>_xll.RssMarket(A1016,"前日比率")/100</f>
        <v>-1.03E-2</v>
      </c>
      <c r="G1016" s="24" t="str">
        <f>IFERROR(VLOOKUP(A1016,取得元!$A$2:$F$501,2,FALSE),"-")</f>
        <v>-</v>
      </c>
      <c r="H1016" s="24" t="str">
        <f>IFERROR(VLOOKUP(A1016,取得元!$A$2:$F$501,3,FALSE),"-")</f>
        <v>-</v>
      </c>
      <c r="I1016" s="24" t="str">
        <f>IFERROR(VLOOKUP(A1016,取得元!$A$2:$F$501,4,FALSE),"-")</f>
        <v>-</v>
      </c>
      <c r="J1016" s="5" t="str">
        <f>IFERROR(VLOOKUP(A1016,取得元!$A$2:$F$501,5,FALSE),"-")</f>
        <v>-</v>
      </c>
      <c r="K1016" s="25" t="str">
        <f>IFERROR(VLOOKUP(A1016,取得元!$A$2:$F$501,6,FALSE)/100,"-")</f>
        <v>-</v>
      </c>
      <c r="L1016" s="21">
        <f>_xll.RssMarket(A1016,"始値")</f>
        <v>385</v>
      </c>
      <c r="M1016" s="4">
        <f t="shared" si="90"/>
        <v>-2.5974025974025983E-3</v>
      </c>
      <c r="N1016" s="21">
        <f>_xll.RssMarket(A1016,"高値")</f>
        <v>388</v>
      </c>
      <c r="O1016" s="4">
        <f t="shared" si="91"/>
        <v>-1.0309278350515427E-2</v>
      </c>
      <c r="P1016" s="21">
        <f>_xll.RssMarket(A1016,"安値")</f>
        <v>380</v>
      </c>
      <c r="Q1016" s="4">
        <f t="shared" si="92"/>
        <v>1.0526315789473717E-2</v>
      </c>
      <c r="R1016" s="21">
        <f>_xll.RssMarket(A1016,"後場始値")</f>
        <v>386</v>
      </c>
      <c r="S1016" s="25">
        <f t="shared" si="93"/>
        <v>-5.1813471502590858E-3</v>
      </c>
      <c r="T1016" s="7">
        <f>_xll.RssMarket(A1016,"出来高加重平均")</f>
        <v>383.63490000000002</v>
      </c>
      <c r="U1016" s="4">
        <f t="shared" si="94"/>
        <v>9.5168609529516779E-4</v>
      </c>
      <c r="V1016" s="21">
        <f>_xll.RssMarket(A1016,"出来高")</f>
        <v>2877100</v>
      </c>
      <c r="W1016" s="21">
        <f>_xll.RssMarket(A1016,"売買代金")</f>
        <v>1103756</v>
      </c>
      <c r="X1016" s="20" t="str">
        <f>_xll.RssMarket(A1016,"決算発表日")</f>
        <v>2024/02/09</v>
      </c>
      <c r="Y1016" s="26" t="str">
        <f>IF(C1016&gt;_xll.RssMarket(A1016,"年初来高値"),"○","×")</f>
        <v>×</v>
      </c>
      <c r="Z1016" s="27" t="str">
        <f>IF(C1016&lt;=_xll.RssMarket(A1016,"年初来安値"),"○","×")</f>
        <v>×</v>
      </c>
    </row>
    <row r="1017" spans="1:26" x14ac:dyDescent="0.25">
      <c r="A1017" s="49">
        <v>8518</v>
      </c>
      <c r="B1017" s="20" t="str">
        <f>_xll.RssMarket(A1017,"銘柄名称")</f>
        <v>日本アジア投資</v>
      </c>
      <c r="C1017" s="21">
        <f>_xll.RssMarket(A1017,"現在値")</f>
        <v>280</v>
      </c>
      <c r="D1017" s="20" t="str">
        <f>_xll.RssMarket(A1017,"現在値詳細時刻")</f>
        <v>15:00:00</v>
      </c>
      <c r="E1017" s="22">
        <f>_xll.RssMarket(A1017,"前日比")</f>
        <v>3</v>
      </c>
      <c r="F1017" s="23">
        <f>_xll.RssMarket(A1017,"前日比率")/100</f>
        <v>1.0800000000000001E-2</v>
      </c>
      <c r="G1017" s="24" t="str">
        <f>IFERROR(VLOOKUP(A1017,取得元!$A$2:$F$501,2,FALSE),"-")</f>
        <v>-</v>
      </c>
      <c r="H1017" s="24" t="str">
        <f>IFERROR(VLOOKUP(A1017,取得元!$A$2:$F$501,3,FALSE),"-")</f>
        <v>-</v>
      </c>
      <c r="I1017" s="24" t="str">
        <f>IFERROR(VLOOKUP(A1017,取得元!$A$2:$F$501,4,FALSE),"-")</f>
        <v>-</v>
      </c>
      <c r="J1017" s="5" t="str">
        <f>IFERROR(VLOOKUP(A1017,取得元!$A$2:$F$501,5,FALSE),"-")</f>
        <v>-</v>
      </c>
      <c r="K1017" s="25" t="str">
        <f>IFERROR(VLOOKUP(A1017,取得元!$A$2:$F$501,6,FALSE)/100,"-")</f>
        <v>-</v>
      </c>
      <c r="L1017" s="21">
        <f>_xll.RssMarket(A1017,"始値")</f>
        <v>277</v>
      </c>
      <c r="M1017" s="4">
        <f t="shared" si="90"/>
        <v>1.0830324909747224E-2</v>
      </c>
      <c r="N1017" s="21">
        <f>_xll.RssMarket(A1017,"高値")</f>
        <v>286</v>
      </c>
      <c r="O1017" s="4">
        <f t="shared" si="91"/>
        <v>-2.0979020979020935E-2</v>
      </c>
      <c r="P1017" s="21">
        <f>_xll.RssMarket(A1017,"安値")</f>
        <v>277</v>
      </c>
      <c r="Q1017" s="4">
        <f t="shared" si="92"/>
        <v>1.0830324909747224E-2</v>
      </c>
      <c r="R1017" s="21">
        <f>_xll.RssMarket(A1017,"後場始値")</f>
        <v>281</v>
      </c>
      <c r="S1017" s="25">
        <f t="shared" si="93"/>
        <v>-3.558718861209953E-3</v>
      </c>
      <c r="T1017" s="7">
        <f>_xll.RssMarket(A1017,"出来高加重平均")</f>
        <v>281.86020000000002</v>
      </c>
      <c r="U1017" s="4">
        <f t="shared" si="94"/>
        <v>-6.5997256796099801E-3</v>
      </c>
      <c r="V1017" s="21">
        <f>_xll.RssMarket(A1017,"出来高")</f>
        <v>186000</v>
      </c>
      <c r="W1017" s="21">
        <f>_xll.RssMarket(A1017,"売買代金")</f>
        <v>52426</v>
      </c>
      <c r="X1017" s="20" t="str">
        <f>_xll.RssMarket(A1017,"決算発表日")</f>
        <v>2024/02/14</v>
      </c>
      <c r="Y1017" s="26" t="str">
        <f>IF(C1017&gt;_xll.RssMarket(A1017,"年初来高値"),"○","×")</f>
        <v>×</v>
      </c>
      <c r="Z1017" s="27" t="str">
        <f>IF(C1017&lt;=_xll.RssMarket(A1017,"年初来安値"),"○","×")</f>
        <v>×</v>
      </c>
    </row>
    <row r="1018" spans="1:26" x14ac:dyDescent="0.25">
      <c r="A1018" s="47">
        <v>8524</v>
      </c>
      <c r="B1018" s="20" t="str">
        <f>_xll.RssMarket(A1018,"銘柄名称")</f>
        <v>北洋銀行</v>
      </c>
      <c r="C1018" s="21">
        <f>_xll.RssMarket(A1018,"現在値")</f>
        <v>377</v>
      </c>
      <c r="D1018" s="20" t="str">
        <f>_xll.RssMarket(A1018,"現在値詳細時刻")</f>
        <v>15:00:00</v>
      </c>
      <c r="E1018" s="22">
        <f>_xll.RssMarket(A1018,"前日比")</f>
        <v>4</v>
      </c>
      <c r="F1018" s="23">
        <f>_xll.RssMarket(A1018,"前日比率")/100</f>
        <v>1.0700000000000001E-2</v>
      </c>
      <c r="G1018" s="24" t="str">
        <f>IFERROR(VLOOKUP(A1018,取得元!$A$2:$F$501,2,FALSE),"-")</f>
        <v>-</v>
      </c>
      <c r="H1018" s="24" t="str">
        <f>IFERROR(VLOOKUP(A1018,取得元!$A$2:$F$501,3,FALSE),"-")</f>
        <v>-</v>
      </c>
      <c r="I1018" s="24" t="str">
        <f>IFERROR(VLOOKUP(A1018,取得元!$A$2:$F$501,4,FALSE),"-")</f>
        <v>-</v>
      </c>
      <c r="J1018" s="5" t="str">
        <f>IFERROR(VLOOKUP(A1018,取得元!$A$2:$F$501,5,FALSE),"-")</f>
        <v>-</v>
      </c>
      <c r="K1018" s="25" t="str">
        <f>IFERROR(VLOOKUP(A1018,取得元!$A$2:$F$501,6,FALSE)/100,"-")</f>
        <v>-</v>
      </c>
      <c r="L1018" s="21">
        <f>_xll.RssMarket(A1018,"始値")</f>
        <v>374</v>
      </c>
      <c r="M1018" s="4">
        <f t="shared" si="90"/>
        <v>8.0213903743315829E-3</v>
      </c>
      <c r="N1018" s="21">
        <f>_xll.RssMarket(A1018,"高値")</f>
        <v>377</v>
      </c>
      <c r="O1018" s="4">
        <f t="shared" si="91"/>
        <v>0</v>
      </c>
      <c r="P1018" s="21">
        <f>_xll.RssMarket(A1018,"安値")</f>
        <v>370</v>
      </c>
      <c r="Q1018" s="4">
        <f t="shared" si="92"/>
        <v>1.8918918918918948E-2</v>
      </c>
      <c r="R1018" s="21">
        <f>_xll.RssMarket(A1018,"後場始値")</f>
        <v>374</v>
      </c>
      <c r="S1018" s="25">
        <f t="shared" si="93"/>
        <v>8.0213903743315829E-3</v>
      </c>
      <c r="T1018" s="7">
        <f>_xll.RssMarket(A1018,"出来高加重平均")</f>
        <v>374.66210000000001</v>
      </c>
      <c r="U1018" s="4">
        <f t="shared" si="94"/>
        <v>6.2400226764329769E-3</v>
      </c>
      <c r="V1018" s="21">
        <f>_xll.RssMarket(A1018,"出来高")</f>
        <v>939700</v>
      </c>
      <c r="W1018" s="21">
        <f>_xll.RssMarket(A1018,"売買代金")</f>
        <v>352070</v>
      </c>
      <c r="X1018" s="20" t="str">
        <f>_xll.RssMarket(A1018,"決算発表日")</f>
        <v>2024/02/08</v>
      </c>
      <c r="Y1018" s="26" t="str">
        <f>IF(C1018&gt;_xll.RssMarket(A1018,"年初来高値"),"○","×")</f>
        <v>×</v>
      </c>
      <c r="Z1018" s="27" t="str">
        <f>IF(C1018&lt;=_xll.RssMarket(A1018,"年初来安値"),"○","×")</f>
        <v>×</v>
      </c>
    </row>
    <row r="1019" spans="1:26" x14ac:dyDescent="0.25">
      <c r="A1019" s="49">
        <v>8562</v>
      </c>
      <c r="B1019" s="20" t="str">
        <f>_xll.RssMarket(A1019,"銘柄名称")</f>
        <v>福島銀行</v>
      </c>
      <c r="C1019" s="21">
        <f>_xll.RssMarket(A1019,"現在値")</f>
        <v>232</v>
      </c>
      <c r="D1019" s="20" t="str">
        <f>_xll.RssMarket(A1019,"現在値詳細時刻")</f>
        <v>15:00:00</v>
      </c>
      <c r="E1019" s="22">
        <f>_xll.RssMarket(A1019,"前日比")</f>
        <v>-1</v>
      </c>
      <c r="F1019" s="23">
        <f>_xll.RssMarket(A1019,"前日比率")/100</f>
        <v>-4.3E-3</v>
      </c>
      <c r="G1019" s="24" t="str">
        <f>IFERROR(VLOOKUP(A1019,取得元!$A$2:$F$501,2,FALSE),"-")</f>
        <v>-</v>
      </c>
      <c r="H1019" s="24" t="str">
        <f>IFERROR(VLOOKUP(A1019,取得元!$A$2:$F$501,3,FALSE),"-")</f>
        <v>-</v>
      </c>
      <c r="I1019" s="24" t="str">
        <f>IFERROR(VLOOKUP(A1019,取得元!$A$2:$F$501,4,FALSE),"-")</f>
        <v>-</v>
      </c>
      <c r="J1019" s="5" t="str">
        <f>IFERROR(VLOOKUP(A1019,取得元!$A$2:$F$501,5,FALSE),"-")</f>
        <v>-</v>
      </c>
      <c r="K1019" s="25" t="str">
        <f>IFERROR(VLOOKUP(A1019,取得元!$A$2:$F$501,6,FALSE)/100,"-")</f>
        <v>-</v>
      </c>
      <c r="L1019" s="21">
        <f>_xll.RssMarket(A1019,"始値")</f>
        <v>233</v>
      </c>
      <c r="M1019" s="4">
        <f t="shared" si="90"/>
        <v>-4.2918454935622075E-3</v>
      </c>
      <c r="N1019" s="21">
        <f>_xll.RssMarket(A1019,"高値")</f>
        <v>233</v>
      </c>
      <c r="O1019" s="4">
        <f t="shared" si="91"/>
        <v>-4.2918454935622075E-3</v>
      </c>
      <c r="P1019" s="21">
        <f>_xll.RssMarket(A1019,"安値")</f>
        <v>230</v>
      </c>
      <c r="Q1019" s="4">
        <f t="shared" si="92"/>
        <v>8.6956521739129933E-3</v>
      </c>
      <c r="R1019" s="21">
        <f>_xll.RssMarket(A1019,"後場始値")</f>
        <v>232</v>
      </c>
      <c r="S1019" s="25">
        <f t="shared" si="93"/>
        <v>0</v>
      </c>
      <c r="T1019" s="7">
        <f>_xll.RssMarket(A1019,"出来高加重平均")</f>
        <v>231.4847</v>
      </c>
      <c r="U1019" s="4">
        <f t="shared" si="94"/>
        <v>2.2260650487915257E-3</v>
      </c>
      <c r="V1019" s="21">
        <f>_xll.RssMarket(A1019,"出来高")</f>
        <v>229000</v>
      </c>
      <c r="W1019" s="21">
        <f>_xll.RssMarket(A1019,"売買代金")</f>
        <v>53010</v>
      </c>
      <c r="X1019" s="20" t="str">
        <f>_xll.RssMarket(A1019,"決算発表日")</f>
        <v>2024/02/08</v>
      </c>
      <c r="Y1019" s="26" t="str">
        <f>IF(C1019&gt;_xll.RssMarket(A1019,"年初来高値"),"○","×")</f>
        <v>×</v>
      </c>
      <c r="Z1019" s="27" t="str">
        <f>IF(C1019&lt;=_xll.RssMarket(A1019,"年初来安値"),"○","×")</f>
        <v>×</v>
      </c>
    </row>
    <row r="1020" spans="1:26" x14ac:dyDescent="0.25">
      <c r="A1020" s="47">
        <v>8570</v>
      </c>
      <c r="B1020" s="20" t="str">
        <f>_xll.RssMarket(A1020,"銘柄名称")</f>
        <v>イオンフィナンシャルサービス</v>
      </c>
      <c r="C1020" s="21">
        <f>_xll.RssMarket(A1020,"現在値")</f>
        <v>1338.5</v>
      </c>
      <c r="D1020" s="20" t="str">
        <f>_xll.RssMarket(A1020,"現在値詳細時刻")</f>
        <v>15:00:00</v>
      </c>
      <c r="E1020" s="22">
        <f>_xll.RssMarket(A1020,"前日比")</f>
        <v>0.5</v>
      </c>
      <c r="F1020" s="23">
        <f>_xll.RssMarket(A1020,"前日比率")/100</f>
        <v>4.0000000000000002E-4</v>
      </c>
      <c r="G1020" s="24" t="str">
        <f>IFERROR(VLOOKUP(A1020,取得元!$A$2:$F$501,2,FALSE),"-")</f>
        <v>-</v>
      </c>
      <c r="H1020" s="24" t="str">
        <f>IFERROR(VLOOKUP(A1020,取得元!$A$2:$F$501,3,FALSE),"-")</f>
        <v>-</v>
      </c>
      <c r="I1020" s="24" t="str">
        <f>IFERROR(VLOOKUP(A1020,取得元!$A$2:$F$501,4,FALSE),"-")</f>
        <v>-</v>
      </c>
      <c r="J1020" s="5" t="str">
        <f>IFERROR(VLOOKUP(A1020,取得元!$A$2:$F$501,5,FALSE),"-")</f>
        <v>-</v>
      </c>
      <c r="K1020" s="25" t="str">
        <f>IFERROR(VLOOKUP(A1020,取得元!$A$2:$F$501,6,FALSE)/100,"-")</f>
        <v>-</v>
      </c>
      <c r="L1020" s="21">
        <f>_xll.RssMarket(A1020,"始値")</f>
        <v>1337</v>
      </c>
      <c r="M1020" s="4">
        <f t="shared" si="90"/>
        <v>1.1219147344800895E-3</v>
      </c>
      <c r="N1020" s="21">
        <f>_xll.RssMarket(A1020,"高値")</f>
        <v>1345</v>
      </c>
      <c r="O1020" s="4">
        <f t="shared" si="91"/>
        <v>-4.832713754646889E-3</v>
      </c>
      <c r="P1020" s="21">
        <f>_xll.RssMarket(A1020,"安値")</f>
        <v>1334.5</v>
      </c>
      <c r="Q1020" s="4">
        <f t="shared" si="92"/>
        <v>2.997377294867043E-3</v>
      </c>
      <c r="R1020" s="21">
        <f>_xll.RssMarket(A1020,"後場始値")</f>
        <v>1343.5</v>
      </c>
      <c r="S1020" s="25">
        <f t="shared" si="93"/>
        <v>-3.7216226274655595E-3</v>
      </c>
      <c r="T1020" s="7">
        <f>_xll.RssMarket(A1020,"出来高加重平均")</f>
        <v>1339.6126999999999</v>
      </c>
      <c r="U1020" s="4">
        <f t="shared" si="94"/>
        <v>-8.3061320633937008E-4</v>
      </c>
      <c r="V1020" s="21">
        <f>_xll.RssMarket(A1020,"出来高")</f>
        <v>480300</v>
      </c>
      <c r="W1020" s="21">
        <f>_xll.RssMarket(A1020,"売買代金")</f>
        <v>643416</v>
      </c>
      <c r="X1020" s="20" t="str">
        <f>_xll.RssMarket(A1020,"決算発表日")</f>
        <v>2024/01/11</v>
      </c>
      <c r="Y1020" s="26" t="str">
        <f>IF(C1020&gt;_xll.RssMarket(A1020,"年初来高値"),"○","×")</f>
        <v>×</v>
      </c>
      <c r="Z1020" s="27" t="str">
        <f>IF(C1020&lt;=_xll.RssMarket(A1020,"年初来安値"),"○","×")</f>
        <v>×</v>
      </c>
    </row>
    <row r="1021" spans="1:26" x14ac:dyDescent="0.25">
      <c r="A1021" s="49">
        <v>8572</v>
      </c>
      <c r="B1021" s="20" t="str">
        <f>_xll.RssMarket(A1021,"銘柄名称")</f>
        <v>アコム</v>
      </c>
      <c r="C1021" s="21">
        <f>_xll.RssMarket(A1021,"現在値")</f>
        <v>362.8</v>
      </c>
      <c r="D1021" s="20" t="str">
        <f>_xll.RssMarket(A1021,"現在値詳細時刻")</f>
        <v>15:00:00</v>
      </c>
      <c r="E1021" s="22">
        <f>_xll.RssMarket(A1021,"前日比")</f>
        <v>-14.2</v>
      </c>
      <c r="F1021" s="23">
        <f>_xll.RssMarket(A1021,"前日比率")/100</f>
        <v>-3.7699999999999997E-2</v>
      </c>
      <c r="G1021" s="24" t="str">
        <f>IFERROR(VLOOKUP(A1021,取得元!$A$2:$F$501,2,FALSE),"-")</f>
        <v>-</v>
      </c>
      <c r="H1021" s="24" t="str">
        <f>IFERROR(VLOOKUP(A1021,取得元!$A$2:$F$501,3,FALSE),"-")</f>
        <v>-</v>
      </c>
      <c r="I1021" s="24" t="str">
        <f>IFERROR(VLOOKUP(A1021,取得元!$A$2:$F$501,4,FALSE),"-")</f>
        <v>-</v>
      </c>
      <c r="J1021" s="5" t="str">
        <f>IFERROR(VLOOKUP(A1021,取得元!$A$2:$F$501,5,FALSE),"-")</f>
        <v>-</v>
      </c>
      <c r="K1021" s="25" t="str">
        <f>IFERROR(VLOOKUP(A1021,取得元!$A$2:$F$501,6,FALSE)/100,"-")</f>
        <v>-</v>
      </c>
      <c r="L1021" s="21">
        <f>_xll.RssMarket(A1021,"始値")</f>
        <v>372</v>
      </c>
      <c r="M1021" s="4">
        <f t="shared" si="90"/>
        <v>-2.4731182795698858E-2</v>
      </c>
      <c r="N1021" s="21">
        <f>_xll.RssMarket(A1021,"高値")</f>
        <v>372</v>
      </c>
      <c r="O1021" s="4">
        <f t="shared" si="91"/>
        <v>-2.4731182795698858E-2</v>
      </c>
      <c r="P1021" s="21">
        <f>_xll.RssMarket(A1021,"安値")</f>
        <v>358.5</v>
      </c>
      <c r="Q1021" s="4">
        <f t="shared" si="92"/>
        <v>1.1994421199442051E-2</v>
      </c>
      <c r="R1021" s="21">
        <f>_xll.RssMarket(A1021,"後場始値")</f>
        <v>362.5</v>
      </c>
      <c r="S1021" s="25">
        <f t="shared" si="93"/>
        <v>8.2758620689649121E-4</v>
      </c>
      <c r="T1021" s="7">
        <f>_xll.RssMarket(A1021,"出来高加重平均")</f>
        <v>362.84230000000002</v>
      </c>
      <c r="U1021" s="4">
        <f t="shared" si="94"/>
        <v>-1.1657957189670221E-4</v>
      </c>
      <c r="V1021" s="21">
        <f>_xll.RssMarket(A1021,"出来高")</f>
        <v>3966800</v>
      </c>
      <c r="W1021" s="21">
        <f>_xll.RssMarket(A1021,"売買代金")</f>
        <v>1439323</v>
      </c>
      <c r="X1021" s="20" t="str">
        <f>_xll.RssMarket(A1021,"決算発表日")</f>
        <v>2024/01/31</v>
      </c>
      <c r="Y1021" s="26" t="str">
        <f>IF(C1021&gt;_xll.RssMarket(A1021,"年初来高値"),"○","×")</f>
        <v>×</v>
      </c>
      <c r="Z1021" s="27" t="str">
        <f>IF(C1021&lt;=_xll.RssMarket(A1021,"年初来安値"),"○","×")</f>
        <v>×</v>
      </c>
    </row>
    <row r="1022" spans="1:26" x14ac:dyDescent="0.25">
      <c r="A1022" s="47">
        <v>8585</v>
      </c>
      <c r="B1022" s="20" t="str">
        <f>_xll.RssMarket(A1022,"銘柄名称")</f>
        <v>オリコ</v>
      </c>
      <c r="C1022" s="21">
        <f>_xll.RssMarket(A1022,"現在値")</f>
        <v>1065</v>
      </c>
      <c r="D1022" s="20" t="str">
        <f>_xll.RssMarket(A1022,"現在値詳細時刻")</f>
        <v>15:00:00</v>
      </c>
      <c r="E1022" s="22">
        <f>_xll.RssMarket(A1022,"前日比")</f>
        <v>-5</v>
      </c>
      <c r="F1022" s="23">
        <f>_xll.RssMarket(A1022,"前日比率")/100</f>
        <v>-4.6999999999999993E-3</v>
      </c>
      <c r="G1022" s="24" t="str">
        <f>IFERROR(VLOOKUP(A1022,取得元!$A$2:$F$501,2,FALSE),"-")</f>
        <v>-</v>
      </c>
      <c r="H1022" s="24" t="str">
        <f>IFERROR(VLOOKUP(A1022,取得元!$A$2:$F$501,3,FALSE),"-")</f>
        <v>-</v>
      </c>
      <c r="I1022" s="24" t="str">
        <f>IFERROR(VLOOKUP(A1022,取得元!$A$2:$F$501,4,FALSE),"-")</f>
        <v>-</v>
      </c>
      <c r="J1022" s="5" t="str">
        <f>IFERROR(VLOOKUP(A1022,取得元!$A$2:$F$501,5,FALSE),"-")</f>
        <v>-</v>
      </c>
      <c r="K1022" s="25" t="str">
        <f>IFERROR(VLOOKUP(A1022,取得元!$A$2:$F$501,6,FALSE)/100,"-")</f>
        <v>-</v>
      </c>
      <c r="L1022" s="21">
        <f>_xll.RssMarket(A1022,"始値")</f>
        <v>1067</v>
      </c>
      <c r="M1022" s="4">
        <f t="shared" si="90"/>
        <v>-1.8744142455482393E-3</v>
      </c>
      <c r="N1022" s="21">
        <f>_xll.RssMarket(A1022,"高値")</f>
        <v>1068</v>
      </c>
      <c r="O1022" s="4">
        <f t="shared" si="91"/>
        <v>-2.8089887640448952E-3</v>
      </c>
      <c r="P1022" s="21">
        <f>_xll.RssMarket(A1022,"安値")</f>
        <v>1061</v>
      </c>
      <c r="Q1022" s="4">
        <f t="shared" si="92"/>
        <v>3.7700282752120007E-3</v>
      </c>
      <c r="R1022" s="21">
        <f>_xll.RssMarket(A1022,"後場始値")</f>
        <v>1068</v>
      </c>
      <c r="S1022" s="25">
        <f t="shared" si="93"/>
        <v>-2.8089887640448952E-3</v>
      </c>
      <c r="T1022" s="7">
        <f>_xll.RssMarket(A1022,"出来高加重平均")</f>
        <v>1065.1222</v>
      </c>
      <c r="U1022" s="4">
        <f t="shared" si="94"/>
        <v>-1.1472861987105176E-4</v>
      </c>
      <c r="V1022" s="21">
        <f>_xll.RssMarket(A1022,"出来高")</f>
        <v>404900</v>
      </c>
      <c r="W1022" s="21">
        <f>_xll.RssMarket(A1022,"売買代金")</f>
        <v>431268</v>
      </c>
      <c r="X1022" s="20" t="str">
        <f>_xll.RssMarket(A1022,"決算発表日")</f>
        <v>2024/01/31</v>
      </c>
      <c r="Y1022" s="26" t="str">
        <f>IF(C1022&gt;_xll.RssMarket(A1022,"年初来高値"),"○","×")</f>
        <v>×</v>
      </c>
      <c r="Z1022" s="27" t="str">
        <f>IF(C1022&lt;=_xll.RssMarket(A1022,"年初来安値"),"○","×")</f>
        <v>×</v>
      </c>
    </row>
    <row r="1023" spans="1:26" x14ac:dyDescent="0.25">
      <c r="A1023" s="49">
        <v>8591</v>
      </c>
      <c r="B1023" s="20" t="str">
        <f>_xll.RssMarket(A1023,"銘柄名称")</f>
        <v>オリックス</v>
      </c>
      <c r="C1023" s="21">
        <f>_xll.RssMarket(A1023,"現在値")</f>
        <v>2877</v>
      </c>
      <c r="D1023" s="20" t="str">
        <f>_xll.RssMarket(A1023,"現在値詳細時刻")</f>
        <v>15:00:00</v>
      </c>
      <c r="E1023" s="22">
        <f>_xll.RssMarket(A1023,"前日比")</f>
        <v>29.5</v>
      </c>
      <c r="F1023" s="23">
        <f>_xll.RssMarket(A1023,"前日比率")/100</f>
        <v>1.04E-2</v>
      </c>
      <c r="G1023" s="24" t="str">
        <f>IFERROR(VLOOKUP(A1023,取得元!$A$2:$F$501,2,FALSE),"-")</f>
        <v>-</v>
      </c>
      <c r="H1023" s="24" t="str">
        <f>IFERROR(VLOOKUP(A1023,取得元!$A$2:$F$501,3,FALSE),"-")</f>
        <v>-</v>
      </c>
      <c r="I1023" s="24" t="str">
        <f>IFERROR(VLOOKUP(A1023,取得元!$A$2:$F$501,4,FALSE),"-")</f>
        <v>-</v>
      </c>
      <c r="J1023" s="5" t="str">
        <f>IFERROR(VLOOKUP(A1023,取得元!$A$2:$F$501,5,FALSE),"-")</f>
        <v>-</v>
      </c>
      <c r="K1023" s="25" t="str">
        <f>IFERROR(VLOOKUP(A1023,取得元!$A$2:$F$501,6,FALSE)/100,"-")</f>
        <v>-</v>
      </c>
      <c r="L1023" s="21">
        <f>_xll.RssMarket(A1023,"始値")</f>
        <v>2864</v>
      </c>
      <c r="M1023" s="4">
        <f t="shared" si="90"/>
        <v>4.5391061452513259E-3</v>
      </c>
      <c r="N1023" s="21">
        <f>_xll.RssMarket(A1023,"高値")</f>
        <v>2897.5</v>
      </c>
      <c r="O1023" s="4">
        <f t="shared" si="91"/>
        <v>-7.0750647109577569E-3</v>
      </c>
      <c r="P1023" s="21">
        <f>_xll.RssMarket(A1023,"安値")</f>
        <v>2842</v>
      </c>
      <c r="Q1023" s="4">
        <f t="shared" si="92"/>
        <v>1.2315270935960632E-2</v>
      </c>
      <c r="R1023" s="21">
        <f>_xll.RssMarket(A1023,"後場始値")</f>
        <v>2880</v>
      </c>
      <c r="S1023" s="25">
        <f t="shared" si="93"/>
        <v>-1.0416666666667185E-3</v>
      </c>
      <c r="T1023" s="7">
        <f>_xll.RssMarket(A1023,"出来高加重平均")</f>
        <v>2870.2465999999999</v>
      </c>
      <c r="U1023" s="4">
        <f t="shared" si="94"/>
        <v>2.3528988763543701E-3</v>
      </c>
      <c r="V1023" s="21">
        <f>_xll.RssMarket(A1023,"出来高")</f>
        <v>4894400</v>
      </c>
      <c r="W1023" s="21">
        <f>_xll.RssMarket(A1023,"売買代金")</f>
        <v>14048135</v>
      </c>
      <c r="X1023" s="20" t="str">
        <f>_xll.RssMarket(A1023,"決算発表日")</f>
        <v>2024/02/07</v>
      </c>
      <c r="Y1023" s="26" t="str">
        <f>IF(C1023&gt;_xll.RssMarket(A1023,"年初来高値"),"○","×")</f>
        <v>×</v>
      </c>
      <c r="Z1023" s="27" t="str">
        <f>IF(C1023&lt;=_xll.RssMarket(A1023,"年初来安値"),"○","×")</f>
        <v>×</v>
      </c>
    </row>
    <row r="1024" spans="1:26" x14ac:dyDescent="0.25">
      <c r="A1024" s="47">
        <v>8593</v>
      </c>
      <c r="B1024" s="20" t="str">
        <f>_xll.RssMarket(A1024,"銘柄名称")</f>
        <v>三菱ＨＣキャピタル</v>
      </c>
      <c r="C1024" s="21">
        <f>_xll.RssMarket(A1024,"現在値")</f>
        <v>1045.5</v>
      </c>
      <c r="D1024" s="20" t="str">
        <f>_xll.RssMarket(A1024,"現在値詳細時刻")</f>
        <v>15:00:00</v>
      </c>
      <c r="E1024" s="22">
        <f>_xll.RssMarket(A1024,"前日比")</f>
        <v>-3.5</v>
      </c>
      <c r="F1024" s="23">
        <f>_xll.RssMarket(A1024,"前日比率")/100</f>
        <v>-3.3E-3</v>
      </c>
      <c r="G1024" s="24" t="str">
        <f>IFERROR(VLOOKUP(A1024,取得元!$A$2:$F$501,2,FALSE),"-")</f>
        <v>-</v>
      </c>
      <c r="H1024" s="24" t="str">
        <f>IFERROR(VLOOKUP(A1024,取得元!$A$2:$F$501,3,FALSE),"-")</f>
        <v>-</v>
      </c>
      <c r="I1024" s="24" t="str">
        <f>IFERROR(VLOOKUP(A1024,取得元!$A$2:$F$501,4,FALSE),"-")</f>
        <v>-</v>
      </c>
      <c r="J1024" s="5" t="str">
        <f>IFERROR(VLOOKUP(A1024,取得元!$A$2:$F$501,5,FALSE),"-")</f>
        <v>-</v>
      </c>
      <c r="K1024" s="25" t="str">
        <f>IFERROR(VLOOKUP(A1024,取得元!$A$2:$F$501,6,FALSE)/100,"-")</f>
        <v>-</v>
      </c>
      <c r="L1024" s="21">
        <f>_xll.RssMarket(A1024,"始値")</f>
        <v>1046.5</v>
      </c>
      <c r="M1024" s="4">
        <f t="shared" si="90"/>
        <v>-9.5556617295744495E-4</v>
      </c>
      <c r="N1024" s="21">
        <f>_xll.RssMarket(A1024,"高値")</f>
        <v>1050</v>
      </c>
      <c r="O1024" s="4">
        <f t="shared" si="91"/>
        <v>-4.2857142857143371E-3</v>
      </c>
      <c r="P1024" s="21">
        <f>_xll.RssMarket(A1024,"安値")</f>
        <v>1039.5</v>
      </c>
      <c r="Q1024" s="4">
        <f t="shared" si="92"/>
        <v>5.7720057720058726E-3</v>
      </c>
      <c r="R1024" s="21">
        <f>_xll.RssMarket(A1024,"後場始値")</f>
        <v>1047</v>
      </c>
      <c r="S1024" s="25">
        <f t="shared" si="93"/>
        <v>-1.4326647564469885E-3</v>
      </c>
      <c r="T1024" s="7">
        <f>_xll.RssMarket(A1024,"出来高加重平均")</f>
        <v>1045.1649</v>
      </c>
      <c r="U1024" s="4">
        <f t="shared" si="94"/>
        <v>3.2061926304649546E-4</v>
      </c>
      <c r="V1024" s="21">
        <f>_xll.RssMarket(A1024,"出来高")</f>
        <v>2915200</v>
      </c>
      <c r="W1024" s="21">
        <f>_xll.RssMarket(A1024,"売買代金")</f>
        <v>3046865</v>
      </c>
      <c r="X1024" s="20" t="str">
        <f>_xll.RssMarket(A1024,"決算発表日")</f>
        <v>2024/02/09</v>
      </c>
      <c r="Y1024" s="26" t="str">
        <f>IF(C1024&gt;_xll.RssMarket(A1024,"年初来高値"),"○","×")</f>
        <v>×</v>
      </c>
      <c r="Z1024" s="27" t="str">
        <f>IF(C1024&lt;=_xll.RssMarket(A1024,"年初来安値"),"○","×")</f>
        <v>×</v>
      </c>
    </row>
    <row r="1025" spans="1:26" x14ac:dyDescent="0.25">
      <c r="A1025" s="49">
        <v>8601</v>
      </c>
      <c r="B1025" s="20" t="str">
        <f>_xll.RssMarket(A1025,"銘柄名称")</f>
        <v>大和証券Ｇ本社</v>
      </c>
      <c r="C1025" s="21">
        <f>_xll.RssMarket(A1025,"現在値")</f>
        <v>1007.5</v>
      </c>
      <c r="D1025" s="20" t="str">
        <f>_xll.RssMarket(A1025,"現在値詳細時刻")</f>
        <v>15:00:00</v>
      </c>
      <c r="E1025" s="22">
        <f>_xll.RssMarket(A1025,"前日比")</f>
        <v>-7.5</v>
      </c>
      <c r="F1025" s="23">
        <f>_xll.RssMarket(A1025,"前日比率")/100</f>
        <v>-7.4000000000000003E-3</v>
      </c>
      <c r="G1025" s="24" t="str">
        <f>IFERROR(VLOOKUP(A1025,取得元!$A$2:$F$501,2,FALSE),"-")</f>
        <v>-</v>
      </c>
      <c r="H1025" s="24" t="str">
        <f>IFERROR(VLOOKUP(A1025,取得元!$A$2:$F$501,3,FALSE),"-")</f>
        <v>-</v>
      </c>
      <c r="I1025" s="24" t="str">
        <f>IFERROR(VLOOKUP(A1025,取得元!$A$2:$F$501,4,FALSE),"-")</f>
        <v>-</v>
      </c>
      <c r="J1025" s="5" t="str">
        <f>IFERROR(VLOOKUP(A1025,取得元!$A$2:$F$501,5,FALSE),"-")</f>
        <v>-</v>
      </c>
      <c r="K1025" s="25" t="str">
        <f>IFERROR(VLOOKUP(A1025,取得元!$A$2:$F$501,6,FALSE)/100,"-")</f>
        <v>-</v>
      </c>
      <c r="L1025" s="21">
        <f>_xll.RssMarket(A1025,"始値")</f>
        <v>1007</v>
      </c>
      <c r="M1025" s="4">
        <f t="shared" si="90"/>
        <v>4.9652432969216065E-4</v>
      </c>
      <c r="N1025" s="21">
        <f>_xll.RssMarket(A1025,"高値")</f>
        <v>1012</v>
      </c>
      <c r="O1025" s="4">
        <f t="shared" si="91"/>
        <v>-4.4466403162055634E-3</v>
      </c>
      <c r="P1025" s="21">
        <f>_xll.RssMarket(A1025,"安値")</f>
        <v>994.2</v>
      </c>
      <c r="Q1025" s="4">
        <f t="shared" si="92"/>
        <v>1.3377590022128238E-2</v>
      </c>
      <c r="R1025" s="21">
        <f>_xll.RssMarket(A1025,"後場始値")</f>
        <v>1000</v>
      </c>
      <c r="S1025" s="25">
        <f t="shared" si="93"/>
        <v>7.5000000000000622E-3</v>
      </c>
      <c r="T1025" s="7">
        <f>_xll.RssMarket(A1025,"出来高加重平均")</f>
        <v>1003.851</v>
      </c>
      <c r="U1025" s="4">
        <f t="shared" si="94"/>
        <v>3.6350016088044779E-3</v>
      </c>
      <c r="V1025" s="21">
        <f>_xll.RssMarket(A1025,"出来高")</f>
        <v>6188400</v>
      </c>
      <c r="W1025" s="21">
        <f>_xll.RssMarket(A1025,"売買代金")</f>
        <v>6212232</v>
      </c>
      <c r="X1025" s="20" t="str">
        <f>_xll.RssMarket(A1025,"決算発表日")</f>
        <v>2024/01/31</v>
      </c>
      <c r="Y1025" s="26" t="str">
        <f>IF(C1025&gt;_xll.RssMarket(A1025,"年初来高値"),"○","×")</f>
        <v>×</v>
      </c>
      <c r="Z1025" s="27" t="str">
        <f>IF(C1025&lt;=_xll.RssMarket(A1025,"年初来安値"),"○","×")</f>
        <v>×</v>
      </c>
    </row>
    <row r="1026" spans="1:26" x14ac:dyDescent="0.25">
      <c r="A1026" s="47">
        <v>8604</v>
      </c>
      <c r="B1026" s="20" t="str">
        <f>_xll.RssMarket(A1026,"銘柄名称")</f>
        <v>野村ホールディングス</v>
      </c>
      <c r="C1026" s="21">
        <f>_xll.RssMarket(A1026,"現在値")</f>
        <v>807.7</v>
      </c>
      <c r="D1026" s="20" t="str">
        <f>_xll.RssMarket(A1026,"現在値詳細時刻")</f>
        <v>15:00:00</v>
      </c>
      <c r="E1026" s="22">
        <f>_xll.RssMarket(A1026,"前日比")</f>
        <v>-10.7</v>
      </c>
      <c r="F1026" s="23">
        <f>_xll.RssMarket(A1026,"前日比率")/100</f>
        <v>-1.3100000000000001E-2</v>
      </c>
      <c r="G1026" s="24" t="str">
        <f>IFERROR(VLOOKUP(A1026,取得元!$A$2:$F$501,2,FALSE),"-")</f>
        <v>-</v>
      </c>
      <c r="H1026" s="24" t="str">
        <f>IFERROR(VLOOKUP(A1026,取得元!$A$2:$F$501,3,FALSE),"-")</f>
        <v>-</v>
      </c>
      <c r="I1026" s="24" t="str">
        <f>IFERROR(VLOOKUP(A1026,取得元!$A$2:$F$501,4,FALSE),"-")</f>
        <v>-</v>
      </c>
      <c r="J1026" s="5" t="str">
        <f>IFERROR(VLOOKUP(A1026,取得元!$A$2:$F$501,5,FALSE),"-")</f>
        <v>-</v>
      </c>
      <c r="K1026" s="25" t="str">
        <f>IFERROR(VLOOKUP(A1026,取得元!$A$2:$F$501,6,FALSE)/100,"-")</f>
        <v>-</v>
      </c>
      <c r="L1026" s="21">
        <f>_xll.RssMarket(A1026,"始値")</f>
        <v>810</v>
      </c>
      <c r="M1026" s="4">
        <f t="shared" si="90"/>
        <v>-2.8395061728394566E-3</v>
      </c>
      <c r="N1026" s="21">
        <f>_xll.RssMarket(A1026,"高値")</f>
        <v>816.4</v>
      </c>
      <c r="O1026" s="4">
        <f t="shared" si="91"/>
        <v>-1.0656540911317847E-2</v>
      </c>
      <c r="P1026" s="21">
        <f>_xll.RssMarket(A1026,"安値")</f>
        <v>800.6</v>
      </c>
      <c r="Q1026" s="4">
        <f t="shared" si="92"/>
        <v>8.868348738446219E-3</v>
      </c>
      <c r="R1026" s="21">
        <f>_xll.RssMarket(A1026,"後場始値")</f>
        <v>808.9</v>
      </c>
      <c r="S1026" s="25">
        <f t="shared" si="93"/>
        <v>-1.483496105822657E-3</v>
      </c>
      <c r="T1026" s="7">
        <f>_xll.RssMarket(A1026,"出来高加重平均")</f>
        <v>808.08029999999997</v>
      </c>
      <c r="U1026" s="4">
        <f t="shared" si="94"/>
        <v>-4.7062154590316041E-4</v>
      </c>
      <c r="V1026" s="21">
        <f>_xll.RssMarket(A1026,"出来高")</f>
        <v>18860300</v>
      </c>
      <c r="W1026" s="21">
        <f>_xll.RssMarket(A1026,"売買代金")</f>
        <v>15240638</v>
      </c>
      <c r="X1026" s="20" t="str">
        <f>_xll.RssMarket(A1026,"決算発表日")</f>
        <v>2024/01/31</v>
      </c>
      <c r="Y1026" s="26" t="str">
        <f>IF(C1026&gt;_xll.RssMarket(A1026,"年初来高値"),"○","×")</f>
        <v>×</v>
      </c>
      <c r="Z1026" s="27" t="str">
        <f>IF(C1026&lt;=_xll.RssMarket(A1026,"年初来安値"),"○","×")</f>
        <v>×</v>
      </c>
    </row>
    <row r="1027" spans="1:26" x14ac:dyDescent="0.25">
      <c r="A1027" s="49">
        <v>8609</v>
      </c>
      <c r="B1027" s="20" t="str">
        <f>_xll.RssMarket(A1027,"銘柄名称")</f>
        <v>岡三証券グループ</v>
      </c>
      <c r="C1027" s="21">
        <f>_xll.RssMarket(A1027,"現在値")</f>
        <v>705</v>
      </c>
      <c r="D1027" s="20" t="str">
        <f>_xll.RssMarket(A1027,"現在値詳細時刻")</f>
        <v>15:00:00</v>
      </c>
      <c r="E1027" s="22">
        <f>_xll.RssMarket(A1027,"前日比")</f>
        <v>3</v>
      </c>
      <c r="F1027" s="23">
        <f>_xll.RssMarket(A1027,"前日比率")/100</f>
        <v>4.3E-3</v>
      </c>
      <c r="G1027" s="24" t="str">
        <f>IFERROR(VLOOKUP(A1027,取得元!$A$2:$F$501,2,FALSE),"-")</f>
        <v>-</v>
      </c>
      <c r="H1027" s="24" t="str">
        <f>IFERROR(VLOOKUP(A1027,取得元!$A$2:$F$501,3,FALSE),"-")</f>
        <v>-</v>
      </c>
      <c r="I1027" s="24" t="str">
        <f>IFERROR(VLOOKUP(A1027,取得元!$A$2:$F$501,4,FALSE),"-")</f>
        <v>-</v>
      </c>
      <c r="J1027" s="5" t="str">
        <f>IFERROR(VLOOKUP(A1027,取得元!$A$2:$F$501,5,FALSE),"-")</f>
        <v>-</v>
      </c>
      <c r="K1027" s="25" t="str">
        <f>IFERROR(VLOOKUP(A1027,取得元!$A$2:$F$501,6,FALSE)/100,"-")</f>
        <v>-</v>
      </c>
      <c r="L1027" s="21">
        <f>_xll.RssMarket(A1027,"始値")</f>
        <v>697</v>
      </c>
      <c r="M1027" s="4">
        <f t="shared" si="90"/>
        <v>1.1477761836441891E-2</v>
      </c>
      <c r="N1027" s="21">
        <f>_xll.RssMarket(A1027,"高値")</f>
        <v>709</v>
      </c>
      <c r="O1027" s="4">
        <f t="shared" si="91"/>
        <v>-5.6417489421720646E-3</v>
      </c>
      <c r="P1027" s="21">
        <f>_xll.RssMarket(A1027,"安値")</f>
        <v>689</v>
      </c>
      <c r="Q1027" s="4">
        <f t="shared" si="92"/>
        <v>2.3222060957909907E-2</v>
      </c>
      <c r="R1027" s="21">
        <f>_xll.RssMarket(A1027,"後場始値")</f>
        <v>699</v>
      </c>
      <c r="S1027" s="25">
        <f t="shared" si="93"/>
        <v>8.5836909871244149E-3</v>
      </c>
      <c r="T1027" s="7">
        <f>_xll.RssMarket(A1027,"出来高加重平均")</f>
        <v>702.38149999999996</v>
      </c>
      <c r="U1027" s="4">
        <f t="shared" si="94"/>
        <v>3.7280309917047116E-3</v>
      </c>
      <c r="V1027" s="21">
        <f>_xll.RssMarket(A1027,"出来高")</f>
        <v>487500</v>
      </c>
      <c r="W1027" s="21">
        <f>_xll.RssMarket(A1027,"売買代金")</f>
        <v>342411</v>
      </c>
      <c r="X1027" s="20" t="str">
        <f>_xll.RssMarket(A1027,"決算発表日")</f>
        <v>2024/01/30</v>
      </c>
      <c r="Y1027" s="26" t="str">
        <f>IF(C1027&gt;_xll.RssMarket(A1027,"年初来高値"),"○","×")</f>
        <v>×</v>
      </c>
      <c r="Z1027" s="27" t="str">
        <f>IF(C1027&lt;=_xll.RssMarket(A1027,"年初来安値"),"○","×")</f>
        <v>×</v>
      </c>
    </row>
    <row r="1028" spans="1:26" x14ac:dyDescent="0.25">
      <c r="A1028" s="47">
        <v>8613</v>
      </c>
      <c r="B1028" s="20" t="str">
        <f>_xll.RssMarket(A1028,"銘柄名称")</f>
        <v>丸三証券</v>
      </c>
      <c r="C1028" s="21">
        <f>_xll.RssMarket(A1028,"現在値")</f>
        <v>922</v>
      </c>
      <c r="D1028" s="20" t="str">
        <f>_xll.RssMarket(A1028,"現在値詳細時刻")</f>
        <v>15:00:00</v>
      </c>
      <c r="E1028" s="22">
        <f>_xll.RssMarket(A1028,"前日比")</f>
        <v>-2</v>
      </c>
      <c r="F1028" s="23">
        <f>_xll.RssMarket(A1028,"前日比率")/100</f>
        <v>-2.2000000000000001E-3</v>
      </c>
      <c r="G1028" s="24" t="str">
        <f>IFERROR(VLOOKUP(A1028,取得元!$A$2:$F$501,2,FALSE),"-")</f>
        <v>-</v>
      </c>
      <c r="H1028" s="24" t="str">
        <f>IFERROR(VLOOKUP(A1028,取得元!$A$2:$F$501,3,FALSE),"-")</f>
        <v>-</v>
      </c>
      <c r="I1028" s="24" t="str">
        <f>IFERROR(VLOOKUP(A1028,取得元!$A$2:$F$501,4,FALSE),"-")</f>
        <v>-</v>
      </c>
      <c r="J1028" s="5" t="str">
        <f>IFERROR(VLOOKUP(A1028,取得元!$A$2:$F$501,5,FALSE),"-")</f>
        <v>-</v>
      </c>
      <c r="K1028" s="25" t="str">
        <f>IFERROR(VLOOKUP(A1028,取得元!$A$2:$F$501,6,FALSE)/100,"-")</f>
        <v>-</v>
      </c>
      <c r="L1028" s="21">
        <f>_xll.RssMarket(A1028,"始値")</f>
        <v>924</v>
      </c>
      <c r="M1028" s="4">
        <f t="shared" si="90"/>
        <v>-2.1645021645021467E-3</v>
      </c>
      <c r="N1028" s="21">
        <f>_xll.RssMarket(A1028,"高値")</f>
        <v>930</v>
      </c>
      <c r="O1028" s="4">
        <f t="shared" si="91"/>
        <v>-8.6021505376343566E-3</v>
      </c>
      <c r="P1028" s="21">
        <f>_xll.RssMarket(A1028,"安値")</f>
        <v>919</v>
      </c>
      <c r="Q1028" s="4">
        <f t="shared" si="92"/>
        <v>3.2644178454841466E-3</v>
      </c>
      <c r="R1028" s="21">
        <f>_xll.RssMarket(A1028,"後場始値")</f>
        <v>926</v>
      </c>
      <c r="S1028" s="25">
        <f t="shared" si="93"/>
        <v>-4.3196544276458138E-3</v>
      </c>
      <c r="T1028" s="7">
        <f>_xll.RssMarket(A1028,"出来高加重平均")</f>
        <v>923.86659999999995</v>
      </c>
      <c r="U1028" s="4">
        <f t="shared" si="94"/>
        <v>-2.0204215630265088E-3</v>
      </c>
      <c r="V1028" s="21">
        <f>_xll.RssMarket(A1028,"出来高")</f>
        <v>255000</v>
      </c>
      <c r="W1028" s="21">
        <f>_xll.RssMarket(A1028,"売買代金")</f>
        <v>235586</v>
      </c>
      <c r="X1028" s="20" t="str">
        <f>_xll.RssMarket(A1028,"決算発表日")</f>
        <v>2024/01/30</v>
      </c>
      <c r="Y1028" s="26" t="str">
        <f>IF(C1028&gt;_xll.RssMarket(A1028,"年初来高値"),"○","×")</f>
        <v>×</v>
      </c>
      <c r="Z1028" s="27" t="str">
        <f>IF(C1028&lt;=_xll.RssMarket(A1028,"年初来安値"),"○","×")</f>
        <v>×</v>
      </c>
    </row>
    <row r="1029" spans="1:26" x14ac:dyDescent="0.25">
      <c r="A1029" s="49">
        <v>8614</v>
      </c>
      <c r="B1029" s="20" t="str">
        <f>_xll.RssMarket(A1029,"銘柄名称")</f>
        <v>東洋証券</v>
      </c>
      <c r="C1029" s="21">
        <f>_xll.RssMarket(A1029,"現在値")</f>
        <v>331</v>
      </c>
      <c r="D1029" s="20" t="str">
        <f>_xll.RssMarket(A1029,"現在値詳細時刻")</f>
        <v>15:00:00</v>
      </c>
      <c r="E1029" s="22">
        <f>_xll.RssMarket(A1029,"前日比")</f>
        <v>-1</v>
      </c>
      <c r="F1029" s="23">
        <f>_xll.RssMarket(A1029,"前日比率")/100</f>
        <v>-3.0000000000000001E-3</v>
      </c>
      <c r="G1029" s="24" t="str">
        <f>IFERROR(VLOOKUP(A1029,取得元!$A$2:$F$501,2,FALSE),"-")</f>
        <v>-</v>
      </c>
      <c r="H1029" s="24" t="str">
        <f>IFERROR(VLOOKUP(A1029,取得元!$A$2:$F$501,3,FALSE),"-")</f>
        <v>-</v>
      </c>
      <c r="I1029" s="24" t="str">
        <f>IFERROR(VLOOKUP(A1029,取得元!$A$2:$F$501,4,FALSE),"-")</f>
        <v>-</v>
      </c>
      <c r="J1029" s="5" t="str">
        <f>IFERROR(VLOOKUP(A1029,取得元!$A$2:$F$501,5,FALSE),"-")</f>
        <v>-</v>
      </c>
      <c r="K1029" s="25" t="str">
        <f>IFERROR(VLOOKUP(A1029,取得元!$A$2:$F$501,6,FALSE)/100,"-")</f>
        <v>-</v>
      </c>
      <c r="L1029" s="21">
        <f>_xll.RssMarket(A1029,"始値")</f>
        <v>329</v>
      </c>
      <c r="M1029" s="4">
        <f t="shared" si="90"/>
        <v>6.0790273556230456E-3</v>
      </c>
      <c r="N1029" s="21">
        <f>_xll.RssMarket(A1029,"高値")</f>
        <v>333</v>
      </c>
      <c r="O1029" s="4">
        <f t="shared" si="91"/>
        <v>-6.0060060060059817E-3</v>
      </c>
      <c r="P1029" s="21">
        <f>_xll.RssMarket(A1029,"安値")</f>
        <v>325</v>
      </c>
      <c r="Q1029" s="4">
        <f t="shared" si="92"/>
        <v>1.8461538461538529E-2</v>
      </c>
      <c r="R1029" s="21">
        <f>_xll.RssMarket(A1029,"後場始値")</f>
        <v>330</v>
      </c>
      <c r="S1029" s="25">
        <f t="shared" si="93"/>
        <v>3.0303030303029388E-3</v>
      </c>
      <c r="T1029" s="7">
        <f>_xll.RssMarket(A1029,"出来高加重平均")</f>
        <v>330.33850000000001</v>
      </c>
      <c r="U1029" s="4">
        <f t="shared" si="94"/>
        <v>2.0024913838381231E-3</v>
      </c>
      <c r="V1029" s="21">
        <f>_xll.RssMarket(A1029,"出来高")</f>
        <v>109300</v>
      </c>
      <c r="W1029" s="21">
        <f>_xll.RssMarket(A1029,"売買代金")</f>
        <v>36106</v>
      </c>
      <c r="X1029" s="20" t="str">
        <f>_xll.RssMarket(A1029,"決算発表日")</f>
        <v>2024/01/29</v>
      </c>
      <c r="Y1029" s="26" t="str">
        <f>IF(C1029&gt;_xll.RssMarket(A1029,"年初来高値"),"○","×")</f>
        <v>×</v>
      </c>
      <c r="Z1029" s="27" t="str">
        <f>IF(C1029&lt;=_xll.RssMarket(A1029,"年初来安値"),"○","×")</f>
        <v>×</v>
      </c>
    </row>
    <row r="1030" spans="1:26" x14ac:dyDescent="0.25">
      <c r="A1030" s="47">
        <v>8616</v>
      </c>
      <c r="B1030" s="20" t="str">
        <f>_xll.RssMarket(A1030,"銘柄名称")</f>
        <v>東海東京ＨＤ</v>
      </c>
      <c r="C1030" s="21">
        <f>_xll.RssMarket(A1030,"現在値")</f>
        <v>570</v>
      </c>
      <c r="D1030" s="20" t="str">
        <f>_xll.RssMarket(A1030,"現在値詳細時刻")</f>
        <v>15:00:00</v>
      </c>
      <c r="E1030" s="22">
        <f>_xll.RssMarket(A1030,"前日比")</f>
        <v>1</v>
      </c>
      <c r="F1030" s="23">
        <f>_xll.RssMarket(A1030,"前日比率")/100</f>
        <v>1.8E-3</v>
      </c>
      <c r="G1030" s="24" t="str">
        <f>IFERROR(VLOOKUP(A1030,取得元!$A$2:$F$501,2,FALSE),"-")</f>
        <v>-</v>
      </c>
      <c r="H1030" s="24" t="str">
        <f>IFERROR(VLOOKUP(A1030,取得元!$A$2:$F$501,3,FALSE),"-")</f>
        <v>-</v>
      </c>
      <c r="I1030" s="24" t="str">
        <f>IFERROR(VLOOKUP(A1030,取得元!$A$2:$F$501,4,FALSE),"-")</f>
        <v>-</v>
      </c>
      <c r="J1030" s="5" t="str">
        <f>IFERROR(VLOOKUP(A1030,取得元!$A$2:$F$501,5,FALSE),"-")</f>
        <v>-</v>
      </c>
      <c r="K1030" s="25" t="str">
        <f>IFERROR(VLOOKUP(A1030,取得元!$A$2:$F$501,6,FALSE)/100,"-")</f>
        <v>-</v>
      </c>
      <c r="L1030" s="21">
        <f>_xll.RssMarket(A1030,"始値")</f>
        <v>565</v>
      </c>
      <c r="M1030" s="4">
        <f t="shared" si="90"/>
        <v>8.8495575221239076E-3</v>
      </c>
      <c r="N1030" s="21">
        <f>_xll.RssMarket(A1030,"高値")</f>
        <v>570</v>
      </c>
      <c r="O1030" s="4">
        <f t="shared" si="91"/>
        <v>0</v>
      </c>
      <c r="P1030" s="21">
        <f>_xll.RssMarket(A1030,"安値")</f>
        <v>562</v>
      </c>
      <c r="Q1030" s="4">
        <f t="shared" si="92"/>
        <v>1.4234875444839812E-2</v>
      </c>
      <c r="R1030" s="21">
        <f>_xll.RssMarket(A1030,"後場始値")</f>
        <v>567</v>
      </c>
      <c r="S1030" s="25">
        <f t="shared" si="93"/>
        <v>5.2910052910053462E-3</v>
      </c>
      <c r="T1030" s="7">
        <f>_xll.RssMarket(A1030,"出来高加重平均")</f>
        <v>566.62570000000005</v>
      </c>
      <c r="U1030" s="4">
        <f t="shared" si="94"/>
        <v>5.9550775759023011E-3</v>
      </c>
      <c r="V1030" s="21">
        <f>_xll.RssMarket(A1030,"出来高")</f>
        <v>635700</v>
      </c>
      <c r="W1030" s="21">
        <f>_xll.RssMarket(A1030,"売買代金")</f>
        <v>360204</v>
      </c>
      <c r="X1030" s="20" t="str">
        <f>_xll.RssMarket(A1030,"決算発表日")</f>
        <v>2024/01/31</v>
      </c>
      <c r="Y1030" s="26" t="str">
        <f>IF(C1030&gt;_xll.RssMarket(A1030,"年初来高値"),"○","×")</f>
        <v>×</v>
      </c>
      <c r="Z1030" s="27" t="str">
        <f>IF(C1030&lt;=_xll.RssMarket(A1030,"年初来安値"),"○","×")</f>
        <v>×</v>
      </c>
    </row>
    <row r="1031" spans="1:26" x14ac:dyDescent="0.25">
      <c r="A1031" s="49">
        <v>8617</v>
      </c>
      <c r="B1031" s="20" t="str">
        <f>_xll.RssMarket(A1031,"銘柄名称")</f>
        <v>光世証券</v>
      </c>
      <c r="C1031" s="21">
        <f>_xll.RssMarket(A1031,"現在値")</f>
        <v>587</v>
      </c>
      <c r="D1031" s="20" t="str">
        <f>_xll.RssMarket(A1031,"現在値詳細時刻")</f>
        <v>15:00:00</v>
      </c>
      <c r="E1031" s="22">
        <f>_xll.RssMarket(A1031,"前日比")</f>
        <v>-2</v>
      </c>
      <c r="F1031" s="23">
        <f>_xll.RssMarket(A1031,"前日比率")/100</f>
        <v>-3.4000000000000002E-3</v>
      </c>
      <c r="G1031" s="24" t="str">
        <f>IFERROR(VLOOKUP(A1031,取得元!$A$2:$F$501,2,FALSE),"-")</f>
        <v>-</v>
      </c>
      <c r="H1031" s="24" t="str">
        <f>IFERROR(VLOOKUP(A1031,取得元!$A$2:$F$501,3,FALSE),"-")</f>
        <v>-</v>
      </c>
      <c r="I1031" s="24" t="str">
        <f>IFERROR(VLOOKUP(A1031,取得元!$A$2:$F$501,4,FALSE),"-")</f>
        <v>-</v>
      </c>
      <c r="J1031" s="5" t="str">
        <f>IFERROR(VLOOKUP(A1031,取得元!$A$2:$F$501,5,FALSE),"-")</f>
        <v>-</v>
      </c>
      <c r="K1031" s="25" t="str">
        <f>IFERROR(VLOOKUP(A1031,取得元!$A$2:$F$501,6,FALSE)/100,"-")</f>
        <v>-</v>
      </c>
      <c r="L1031" s="21">
        <f>_xll.RssMarket(A1031,"始値")</f>
        <v>590</v>
      </c>
      <c r="M1031" s="4">
        <f t="shared" si="90"/>
        <v>-5.0847457627118953E-3</v>
      </c>
      <c r="N1031" s="21">
        <f>_xll.RssMarket(A1031,"高値")</f>
        <v>595</v>
      </c>
      <c r="O1031" s="4">
        <f t="shared" si="91"/>
        <v>-1.3445378151260456E-2</v>
      </c>
      <c r="P1031" s="21">
        <f>_xll.RssMarket(A1031,"安値")</f>
        <v>582</v>
      </c>
      <c r="Q1031" s="4">
        <f t="shared" si="92"/>
        <v>8.5910652920961894E-3</v>
      </c>
      <c r="R1031" s="21">
        <f>_xll.RssMarket(A1031,"後場始値")</f>
        <v>588</v>
      </c>
      <c r="S1031" s="25">
        <f t="shared" si="93"/>
        <v>-1.7006802721087899E-3</v>
      </c>
      <c r="T1031" s="7">
        <f>_xll.RssMarket(A1031,"出来高加重平均")</f>
        <v>588.85299999999995</v>
      </c>
      <c r="U1031" s="4">
        <f t="shared" si="94"/>
        <v>-3.1467955499928646E-3</v>
      </c>
      <c r="V1031" s="21">
        <f>_xll.RssMarket(A1031,"出来高")</f>
        <v>27900</v>
      </c>
      <c r="W1031" s="21">
        <f>_xll.RssMarket(A1031,"売買代金")</f>
        <v>16429</v>
      </c>
      <c r="X1031" s="20" t="str">
        <f>_xll.RssMarket(A1031,"決算発表日")</f>
        <v>2024/01/19</v>
      </c>
      <c r="Y1031" s="26" t="str">
        <f>IF(C1031&gt;_xll.RssMarket(A1031,"年初来高値"),"○","×")</f>
        <v>×</v>
      </c>
      <c r="Z1031" s="27" t="str">
        <f>IF(C1031&lt;=_xll.RssMarket(A1031,"年初来安値"),"○","×")</f>
        <v>×</v>
      </c>
    </row>
    <row r="1032" spans="1:26" x14ac:dyDescent="0.25">
      <c r="A1032" s="47">
        <v>8622</v>
      </c>
      <c r="B1032" s="20" t="str">
        <f>_xll.RssMarket(A1032,"銘柄名称")</f>
        <v>水戸証券</v>
      </c>
      <c r="C1032" s="21">
        <f>_xll.RssMarket(A1032,"現在値")</f>
        <v>451</v>
      </c>
      <c r="D1032" s="20" t="str">
        <f>_xll.RssMarket(A1032,"現在値詳細時刻")</f>
        <v>15:00:00</v>
      </c>
      <c r="E1032" s="22">
        <f>_xll.RssMarket(A1032,"前日比")</f>
        <v>8</v>
      </c>
      <c r="F1032" s="23">
        <f>_xll.RssMarket(A1032,"前日比率")/100</f>
        <v>1.8100000000000002E-2</v>
      </c>
      <c r="G1032" s="24" t="str">
        <f>IFERROR(VLOOKUP(A1032,取得元!$A$2:$F$501,2,FALSE),"-")</f>
        <v>-</v>
      </c>
      <c r="H1032" s="24" t="str">
        <f>IFERROR(VLOOKUP(A1032,取得元!$A$2:$F$501,3,FALSE),"-")</f>
        <v>-</v>
      </c>
      <c r="I1032" s="24" t="str">
        <f>IFERROR(VLOOKUP(A1032,取得元!$A$2:$F$501,4,FALSE),"-")</f>
        <v>-</v>
      </c>
      <c r="J1032" s="5" t="str">
        <f>IFERROR(VLOOKUP(A1032,取得元!$A$2:$F$501,5,FALSE),"-")</f>
        <v>-</v>
      </c>
      <c r="K1032" s="25" t="str">
        <f>IFERROR(VLOOKUP(A1032,取得元!$A$2:$F$501,6,FALSE)/100,"-")</f>
        <v>-</v>
      </c>
      <c r="L1032" s="21">
        <f>_xll.RssMarket(A1032,"始値")</f>
        <v>443</v>
      </c>
      <c r="M1032" s="4">
        <f t="shared" si="90"/>
        <v>1.8058690744920947E-2</v>
      </c>
      <c r="N1032" s="21">
        <f>_xll.RssMarket(A1032,"高値")</f>
        <v>452</v>
      </c>
      <c r="O1032" s="4">
        <f t="shared" si="91"/>
        <v>-2.2123893805309214E-3</v>
      </c>
      <c r="P1032" s="21">
        <f>_xll.RssMarket(A1032,"安値")</f>
        <v>443</v>
      </c>
      <c r="Q1032" s="4">
        <f t="shared" si="92"/>
        <v>1.8058690744920947E-2</v>
      </c>
      <c r="R1032" s="21">
        <f>_xll.RssMarket(A1032,"後場始値")</f>
        <v>446</v>
      </c>
      <c r="S1032" s="25">
        <f t="shared" si="93"/>
        <v>1.1210762331838486E-2</v>
      </c>
      <c r="T1032" s="7">
        <f>_xll.RssMarket(A1032,"出来高加重平均")</f>
        <v>447.9717</v>
      </c>
      <c r="U1032" s="4">
        <f t="shared" si="94"/>
        <v>6.7600252426660568E-3</v>
      </c>
      <c r="V1032" s="21">
        <f>_xll.RssMarket(A1032,"出来高")</f>
        <v>191300</v>
      </c>
      <c r="W1032" s="21">
        <f>_xll.RssMarket(A1032,"売買代金")</f>
        <v>85697</v>
      </c>
      <c r="X1032" s="20" t="str">
        <f>_xll.RssMarket(A1032,"決算発表日")</f>
        <v>2024/01/30</v>
      </c>
      <c r="Y1032" s="26" t="str">
        <f>IF(C1032&gt;_xll.RssMarket(A1032,"年初来高値"),"○","×")</f>
        <v>×</v>
      </c>
      <c r="Z1032" s="27" t="str">
        <f>IF(C1032&lt;=_xll.RssMarket(A1032,"年初来安値"),"○","×")</f>
        <v>×</v>
      </c>
    </row>
    <row r="1033" spans="1:26" x14ac:dyDescent="0.25">
      <c r="A1033" s="49">
        <v>8624</v>
      </c>
      <c r="B1033" s="20" t="str">
        <f>_xll.RssMarket(A1033,"銘柄名称")</f>
        <v>いちよし証券</v>
      </c>
      <c r="C1033" s="21">
        <f>_xll.RssMarket(A1033,"現在値")</f>
        <v>748</v>
      </c>
      <c r="D1033" s="20" t="str">
        <f>_xll.RssMarket(A1033,"現在値詳細時刻")</f>
        <v>15:00:00</v>
      </c>
      <c r="E1033" s="22">
        <f>_xll.RssMarket(A1033,"前日比")</f>
        <v>4</v>
      </c>
      <c r="F1033" s="23">
        <f>_xll.RssMarket(A1033,"前日比率")/100</f>
        <v>5.4000000000000003E-3</v>
      </c>
      <c r="G1033" s="24" t="str">
        <f>IFERROR(VLOOKUP(A1033,取得元!$A$2:$F$501,2,FALSE),"-")</f>
        <v>-</v>
      </c>
      <c r="H1033" s="24" t="str">
        <f>IFERROR(VLOOKUP(A1033,取得元!$A$2:$F$501,3,FALSE),"-")</f>
        <v>-</v>
      </c>
      <c r="I1033" s="24" t="str">
        <f>IFERROR(VLOOKUP(A1033,取得元!$A$2:$F$501,4,FALSE),"-")</f>
        <v>-</v>
      </c>
      <c r="J1033" s="5" t="str">
        <f>IFERROR(VLOOKUP(A1033,取得元!$A$2:$F$501,5,FALSE),"-")</f>
        <v>-</v>
      </c>
      <c r="K1033" s="25" t="str">
        <f>IFERROR(VLOOKUP(A1033,取得元!$A$2:$F$501,6,FALSE)/100,"-")</f>
        <v>-</v>
      </c>
      <c r="L1033" s="21">
        <f>_xll.RssMarket(A1033,"始値")</f>
        <v>742</v>
      </c>
      <c r="M1033" s="4">
        <f t="shared" si="90"/>
        <v>8.0862533692722671E-3</v>
      </c>
      <c r="N1033" s="21">
        <f>_xll.RssMarket(A1033,"高値")</f>
        <v>750</v>
      </c>
      <c r="O1033" s="4">
        <f t="shared" si="91"/>
        <v>-2.666666666666706E-3</v>
      </c>
      <c r="P1033" s="21">
        <f>_xll.RssMarket(A1033,"安値")</f>
        <v>740</v>
      </c>
      <c r="Q1033" s="4">
        <f t="shared" si="92"/>
        <v>1.08108108108107E-2</v>
      </c>
      <c r="R1033" s="21">
        <f>_xll.RssMarket(A1033,"後場始値")</f>
        <v>743</v>
      </c>
      <c r="S1033" s="25">
        <f t="shared" si="93"/>
        <v>6.7294751009421283E-3</v>
      </c>
      <c r="T1033" s="7">
        <f>_xll.RssMarket(A1033,"出来高加重平均")</f>
        <v>745.72910000000002</v>
      </c>
      <c r="U1033" s="4">
        <f t="shared" si="94"/>
        <v>3.0452077034408553E-3</v>
      </c>
      <c r="V1033" s="21">
        <f>_xll.RssMarket(A1033,"出来高")</f>
        <v>96000</v>
      </c>
      <c r="W1033" s="21">
        <f>_xll.RssMarket(A1033,"売買代金")</f>
        <v>71590</v>
      </c>
      <c r="X1033" s="20" t="str">
        <f>_xll.RssMarket(A1033,"決算発表日")</f>
        <v>2024/01/30</v>
      </c>
      <c r="Y1033" s="26" t="str">
        <f>IF(C1033&gt;_xll.RssMarket(A1033,"年初来高値"),"○","×")</f>
        <v>×</v>
      </c>
      <c r="Z1033" s="27" t="str">
        <f>IF(C1033&lt;=_xll.RssMarket(A1033,"年初来安値"),"○","×")</f>
        <v>×</v>
      </c>
    </row>
    <row r="1034" spans="1:26" x14ac:dyDescent="0.25">
      <c r="A1034" s="47">
        <v>8628</v>
      </c>
      <c r="B1034" s="20" t="str">
        <f>_xll.RssMarket(A1034,"銘柄名称")</f>
        <v>松井証券</v>
      </c>
      <c r="C1034" s="21">
        <f>_xll.RssMarket(A1034,"現在値")</f>
        <v>850</v>
      </c>
      <c r="D1034" s="20" t="str">
        <f>_xll.RssMarket(A1034,"現在値詳細時刻")</f>
        <v>15:00:00</v>
      </c>
      <c r="E1034" s="22">
        <f>_xll.RssMarket(A1034,"前日比")</f>
        <v>-2</v>
      </c>
      <c r="F1034" s="23">
        <f>_xll.RssMarket(A1034,"前日比率")/100</f>
        <v>-2.3E-3</v>
      </c>
      <c r="G1034" s="24" t="str">
        <f>IFERROR(VLOOKUP(A1034,取得元!$A$2:$F$501,2,FALSE),"-")</f>
        <v>-</v>
      </c>
      <c r="H1034" s="24" t="str">
        <f>IFERROR(VLOOKUP(A1034,取得元!$A$2:$F$501,3,FALSE),"-")</f>
        <v>-</v>
      </c>
      <c r="I1034" s="24" t="str">
        <f>IFERROR(VLOOKUP(A1034,取得元!$A$2:$F$501,4,FALSE),"-")</f>
        <v>-</v>
      </c>
      <c r="J1034" s="5" t="str">
        <f>IFERROR(VLOOKUP(A1034,取得元!$A$2:$F$501,5,FALSE),"-")</f>
        <v>-</v>
      </c>
      <c r="K1034" s="25" t="str">
        <f>IFERROR(VLOOKUP(A1034,取得元!$A$2:$F$501,6,FALSE)/100,"-")</f>
        <v>-</v>
      </c>
      <c r="L1034" s="21">
        <f>_xll.RssMarket(A1034,"始値")</f>
        <v>847</v>
      </c>
      <c r="M1034" s="4">
        <f t="shared" si="90"/>
        <v>3.5419126328217754E-3</v>
      </c>
      <c r="N1034" s="21">
        <f>_xll.RssMarket(A1034,"高値")</f>
        <v>854</v>
      </c>
      <c r="O1034" s="4">
        <f t="shared" si="91"/>
        <v>-4.6838407494145251E-3</v>
      </c>
      <c r="P1034" s="21">
        <f>_xll.RssMarket(A1034,"安値")</f>
        <v>846</v>
      </c>
      <c r="Q1034" s="4">
        <f t="shared" si="92"/>
        <v>4.7281323877068626E-3</v>
      </c>
      <c r="R1034" s="21">
        <f>_xll.RssMarket(A1034,"後場始値")</f>
        <v>850</v>
      </c>
      <c r="S1034" s="25">
        <f t="shared" si="93"/>
        <v>0</v>
      </c>
      <c r="T1034" s="7">
        <f>_xll.RssMarket(A1034,"出来高加重平均")</f>
        <v>849.88789999999995</v>
      </c>
      <c r="U1034" s="4">
        <f t="shared" si="94"/>
        <v>1.3189974819027839E-4</v>
      </c>
      <c r="V1034" s="21">
        <f>_xll.RssMarket(A1034,"出来高")</f>
        <v>945700</v>
      </c>
      <c r="W1034" s="21">
        <f>_xll.RssMarket(A1034,"売買代金")</f>
        <v>803739</v>
      </c>
      <c r="X1034" s="20" t="str">
        <f>_xll.RssMarket(A1034,"決算発表日")</f>
        <v>2024/01/26</v>
      </c>
      <c r="Y1034" s="26" t="str">
        <f>IF(C1034&gt;_xll.RssMarket(A1034,"年初来高値"),"○","×")</f>
        <v>×</v>
      </c>
      <c r="Z1034" s="27" t="str">
        <f>IF(C1034&lt;=_xll.RssMarket(A1034,"年初来安値"),"○","×")</f>
        <v>×</v>
      </c>
    </row>
    <row r="1035" spans="1:26" x14ac:dyDescent="0.25">
      <c r="A1035" s="49">
        <v>8697</v>
      </c>
      <c r="B1035" s="20" t="str">
        <f>_xll.RssMarket(A1035,"銘柄名称")</f>
        <v>日本取引所グループ</v>
      </c>
      <c r="C1035" s="21">
        <f>_xll.RssMarket(A1035,"現在値")</f>
        <v>3325</v>
      </c>
      <c r="D1035" s="20" t="str">
        <f>_xll.RssMarket(A1035,"現在値詳細時刻")</f>
        <v>15:00:00</v>
      </c>
      <c r="E1035" s="22">
        <f>_xll.RssMarket(A1035,"前日比")</f>
        <v>-24</v>
      </c>
      <c r="F1035" s="23">
        <f>_xll.RssMarket(A1035,"前日比率")/100</f>
        <v>-7.1999999999999998E-3</v>
      </c>
      <c r="G1035" s="24" t="str">
        <f>IFERROR(VLOOKUP(A1035,取得元!$A$2:$F$501,2,FALSE),"-")</f>
        <v>-</v>
      </c>
      <c r="H1035" s="24" t="str">
        <f>IFERROR(VLOOKUP(A1035,取得元!$A$2:$F$501,3,FALSE),"-")</f>
        <v>-</v>
      </c>
      <c r="I1035" s="24" t="str">
        <f>IFERROR(VLOOKUP(A1035,取得元!$A$2:$F$501,4,FALSE),"-")</f>
        <v>-</v>
      </c>
      <c r="J1035" s="5" t="str">
        <f>IFERROR(VLOOKUP(A1035,取得元!$A$2:$F$501,5,FALSE),"-")</f>
        <v>-</v>
      </c>
      <c r="K1035" s="25" t="str">
        <f>IFERROR(VLOOKUP(A1035,取得元!$A$2:$F$501,6,FALSE)/100,"-")</f>
        <v>-</v>
      </c>
      <c r="L1035" s="21">
        <f>_xll.RssMarket(A1035,"始値")</f>
        <v>3315</v>
      </c>
      <c r="M1035" s="4">
        <f t="shared" si="90"/>
        <v>3.0165912518853588E-3</v>
      </c>
      <c r="N1035" s="21">
        <f>_xll.RssMarket(A1035,"高値")</f>
        <v>3335</v>
      </c>
      <c r="O1035" s="4">
        <f t="shared" si="91"/>
        <v>-2.9985007496251548E-3</v>
      </c>
      <c r="P1035" s="21">
        <f>_xll.RssMarket(A1035,"安値")</f>
        <v>3268</v>
      </c>
      <c r="Q1035" s="4">
        <f t="shared" si="92"/>
        <v>1.744186046511631E-2</v>
      </c>
      <c r="R1035" s="21">
        <f>_xll.RssMarket(A1035,"後場始値")</f>
        <v>3298</v>
      </c>
      <c r="S1035" s="25">
        <f t="shared" si="93"/>
        <v>8.1867798665857805E-3</v>
      </c>
      <c r="T1035" s="7">
        <f>_xll.RssMarket(A1035,"出来高加重平均")</f>
        <v>3310.1756999999998</v>
      </c>
      <c r="U1035" s="4">
        <f t="shared" si="94"/>
        <v>4.4784027627295941E-3</v>
      </c>
      <c r="V1035" s="21">
        <f>_xll.RssMarket(A1035,"出来高")</f>
        <v>1701200</v>
      </c>
      <c r="W1035" s="21">
        <f>_xll.RssMarket(A1035,"売買代金")</f>
        <v>5631271</v>
      </c>
      <c r="X1035" s="20" t="str">
        <f>_xll.RssMarket(A1035,"決算発表日")</f>
        <v>2024/01/29</v>
      </c>
      <c r="Y1035" s="26" t="str">
        <f>IF(C1035&gt;_xll.RssMarket(A1035,"年初来高値"),"○","×")</f>
        <v>×</v>
      </c>
      <c r="Z1035" s="27" t="str">
        <f>IF(C1035&lt;=_xll.RssMarket(A1035,"年初来安値"),"○","×")</f>
        <v>×</v>
      </c>
    </row>
    <row r="1036" spans="1:26" x14ac:dyDescent="0.25">
      <c r="A1036" s="47">
        <v>8698</v>
      </c>
      <c r="B1036" s="20" t="str">
        <f>_xll.RssMarket(A1036,"銘柄名称")</f>
        <v>マネックスＧ</v>
      </c>
      <c r="C1036" s="21">
        <f>_xll.RssMarket(A1036,"現在値")</f>
        <v>730</v>
      </c>
      <c r="D1036" s="20" t="str">
        <f>_xll.RssMarket(A1036,"現在値詳細時刻")</f>
        <v>15:00:00</v>
      </c>
      <c r="E1036" s="22">
        <f>_xll.RssMarket(A1036,"前日比")</f>
        <v>11</v>
      </c>
      <c r="F1036" s="23">
        <f>_xll.RssMarket(A1036,"前日比率")/100</f>
        <v>1.5300000000000001E-2</v>
      </c>
      <c r="G1036" s="24" t="str">
        <f>IFERROR(VLOOKUP(A1036,取得元!$A$2:$F$501,2,FALSE),"-")</f>
        <v>-</v>
      </c>
      <c r="H1036" s="24" t="str">
        <f>IFERROR(VLOOKUP(A1036,取得元!$A$2:$F$501,3,FALSE),"-")</f>
        <v>-</v>
      </c>
      <c r="I1036" s="24" t="str">
        <f>IFERROR(VLOOKUP(A1036,取得元!$A$2:$F$501,4,FALSE),"-")</f>
        <v>-</v>
      </c>
      <c r="J1036" s="5" t="str">
        <f>IFERROR(VLOOKUP(A1036,取得元!$A$2:$F$501,5,FALSE),"-")</f>
        <v>-</v>
      </c>
      <c r="K1036" s="25" t="str">
        <f>IFERROR(VLOOKUP(A1036,取得元!$A$2:$F$501,6,FALSE)/100,"-")</f>
        <v>-</v>
      </c>
      <c r="L1036" s="21">
        <f>_xll.RssMarket(A1036,"始値")</f>
        <v>714</v>
      </c>
      <c r="M1036" s="4">
        <f t="shared" si="90"/>
        <v>2.2408963585434094E-2</v>
      </c>
      <c r="N1036" s="21">
        <f>_xll.RssMarket(A1036,"高値")</f>
        <v>732</v>
      </c>
      <c r="O1036" s="4">
        <f t="shared" si="91"/>
        <v>-2.732240437158473E-3</v>
      </c>
      <c r="P1036" s="21">
        <f>_xll.RssMarket(A1036,"安値")</f>
        <v>714</v>
      </c>
      <c r="Q1036" s="4">
        <f t="shared" si="92"/>
        <v>2.2408963585434094E-2</v>
      </c>
      <c r="R1036" s="21">
        <f>_xll.RssMarket(A1036,"後場始値")</f>
        <v>720</v>
      </c>
      <c r="S1036" s="25">
        <f t="shared" si="93"/>
        <v>1.388888888888884E-2</v>
      </c>
      <c r="T1036" s="7">
        <f>_xll.RssMarket(A1036,"出来高加重平均")</f>
        <v>723.95870000000002</v>
      </c>
      <c r="U1036" s="4">
        <f t="shared" si="94"/>
        <v>8.3448130397494324E-3</v>
      </c>
      <c r="V1036" s="21">
        <f>_xll.RssMarket(A1036,"出来高")</f>
        <v>3249800</v>
      </c>
      <c r="W1036" s="21">
        <f>_xll.RssMarket(A1036,"売買代金")</f>
        <v>2352721</v>
      </c>
      <c r="X1036" s="20" t="str">
        <f>_xll.RssMarket(A1036,"決算発表日")</f>
        <v>2024/01/31</v>
      </c>
      <c r="Y1036" s="26" t="str">
        <f>IF(C1036&gt;_xll.RssMarket(A1036,"年初来高値"),"○","×")</f>
        <v>×</v>
      </c>
      <c r="Z1036" s="27" t="str">
        <f>IF(C1036&lt;=_xll.RssMarket(A1036,"年初来安値"),"○","×")</f>
        <v>×</v>
      </c>
    </row>
    <row r="1037" spans="1:26" x14ac:dyDescent="0.25">
      <c r="A1037" s="49">
        <v>8705</v>
      </c>
      <c r="B1037" s="20" t="str">
        <f>_xll.RssMarket(A1037,"銘柄名称")</f>
        <v>日産証券グループ</v>
      </c>
      <c r="C1037" s="21">
        <f>_xll.RssMarket(A1037,"現在値")</f>
        <v>183</v>
      </c>
      <c r="D1037" s="20" t="str">
        <f>_xll.RssMarket(A1037,"現在値詳細時刻")</f>
        <v>15:00:00</v>
      </c>
      <c r="E1037" s="22">
        <f>_xll.RssMarket(A1037,"前日比")</f>
        <v>0</v>
      </c>
      <c r="F1037" s="23">
        <f>_xll.RssMarket(A1037,"前日比率")/100</f>
        <v>0</v>
      </c>
      <c r="G1037" s="24" t="str">
        <f>IFERROR(VLOOKUP(A1037,取得元!$A$2:$F$501,2,FALSE),"-")</f>
        <v>-</v>
      </c>
      <c r="H1037" s="24" t="str">
        <f>IFERROR(VLOOKUP(A1037,取得元!$A$2:$F$501,3,FALSE),"-")</f>
        <v>-</v>
      </c>
      <c r="I1037" s="24" t="str">
        <f>IFERROR(VLOOKUP(A1037,取得元!$A$2:$F$501,4,FALSE),"-")</f>
        <v>-</v>
      </c>
      <c r="J1037" s="5" t="str">
        <f>IFERROR(VLOOKUP(A1037,取得元!$A$2:$F$501,5,FALSE),"-")</f>
        <v>-</v>
      </c>
      <c r="K1037" s="25" t="str">
        <f>IFERROR(VLOOKUP(A1037,取得元!$A$2:$F$501,6,FALSE)/100,"-")</f>
        <v>-</v>
      </c>
      <c r="L1037" s="21">
        <f>_xll.RssMarket(A1037,"始値")</f>
        <v>182</v>
      </c>
      <c r="M1037" s="4">
        <f t="shared" si="90"/>
        <v>5.494505494505475E-3</v>
      </c>
      <c r="N1037" s="21">
        <f>_xll.RssMarket(A1037,"高値")</f>
        <v>183</v>
      </c>
      <c r="O1037" s="4">
        <f t="shared" si="91"/>
        <v>0</v>
      </c>
      <c r="P1037" s="21">
        <f>_xll.RssMarket(A1037,"安値")</f>
        <v>181</v>
      </c>
      <c r="Q1037" s="4">
        <f t="shared" si="92"/>
        <v>1.1049723756906049E-2</v>
      </c>
      <c r="R1037" s="21">
        <f>_xll.RssMarket(A1037,"後場始値")</f>
        <v>182</v>
      </c>
      <c r="S1037" s="25">
        <f t="shared" si="93"/>
        <v>5.494505494505475E-3</v>
      </c>
      <c r="T1037" s="7">
        <f>_xll.RssMarket(A1037,"出来高加重平均")</f>
        <v>182.02350000000001</v>
      </c>
      <c r="U1037" s="4">
        <f t="shared" si="94"/>
        <v>5.3646919216474576E-3</v>
      </c>
      <c r="V1037" s="21">
        <f>_xll.RssMarket(A1037,"出来高")</f>
        <v>50900</v>
      </c>
      <c r="W1037" s="21">
        <f>_xll.RssMarket(A1037,"売買代金")</f>
        <v>9265</v>
      </c>
      <c r="X1037" s="20" t="str">
        <f>_xll.RssMarket(A1037,"決算発表日")</f>
        <v>2024/02/09</v>
      </c>
      <c r="Y1037" s="26" t="str">
        <f>IF(C1037&gt;_xll.RssMarket(A1037,"年初来高値"),"○","×")</f>
        <v>×</v>
      </c>
      <c r="Z1037" s="27" t="str">
        <f>IF(C1037&lt;=_xll.RssMarket(A1037,"年初来安値"),"○","×")</f>
        <v>×</v>
      </c>
    </row>
    <row r="1038" spans="1:26" x14ac:dyDescent="0.25">
      <c r="A1038" s="47">
        <v>8706</v>
      </c>
      <c r="B1038" s="20" t="str">
        <f>_xll.RssMarket(A1038,"銘柄名称")</f>
        <v>極東証券</v>
      </c>
      <c r="C1038" s="21">
        <f>_xll.RssMarket(A1038,"現在値")</f>
        <v>998</v>
      </c>
      <c r="D1038" s="20" t="str">
        <f>_xll.RssMarket(A1038,"現在値詳細時刻")</f>
        <v>15:00:00</v>
      </c>
      <c r="E1038" s="22">
        <f>_xll.RssMarket(A1038,"前日比")</f>
        <v>18</v>
      </c>
      <c r="F1038" s="23">
        <f>_xll.RssMarket(A1038,"前日比率")/100</f>
        <v>1.84E-2</v>
      </c>
      <c r="G1038" s="24" t="str">
        <f>IFERROR(VLOOKUP(A1038,取得元!$A$2:$F$501,2,FALSE),"-")</f>
        <v>-</v>
      </c>
      <c r="H1038" s="24" t="str">
        <f>IFERROR(VLOOKUP(A1038,取得元!$A$2:$F$501,3,FALSE),"-")</f>
        <v>-</v>
      </c>
      <c r="I1038" s="24" t="str">
        <f>IFERROR(VLOOKUP(A1038,取得元!$A$2:$F$501,4,FALSE),"-")</f>
        <v>-</v>
      </c>
      <c r="J1038" s="5" t="str">
        <f>IFERROR(VLOOKUP(A1038,取得元!$A$2:$F$501,5,FALSE),"-")</f>
        <v>-</v>
      </c>
      <c r="K1038" s="25" t="str">
        <f>IFERROR(VLOOKUP(A1038,取得元!$A$2:$F$501,6,FALSE)/100,"-")</f>
        <v>-</v>
      </c>
      <c r="L1038" s="21">
        <f>_xll.RssMarket(A1038,"始値")</f>
        <v>975</v>
      </c>
      <c r="M1038" s="4">
        <f t="shared" si="90"/>
        <v>2.3589743589743639E-2</v>
      </c>
      <c r="N1038" s="21">
        <f>_xll.RssMarket(A1038,"高値")</f>
        <v>999</v>
      </c>
      <c r="O1038" s="4">
        <f t="shared" si="91"/>
        <v>-1.0010010010009784E-3</v>
      </c>
      <c r="P1038" s="21">
        <f>_xll.RssMarket(A1038,"安値")</f>
        <v>971</v>
      </c>
      <c r="Q1038" s="4">
        <f t="shared" si="92"/>
        <v>2.780638516992795E-2</v>
      </c>
      <c r="R1038" s="21">
        <f>_xll.RssMarket(A1038,"後場始値")</f>
        <v>980</v>
      </c>
      <c r="S1038" s="25">
        <f t="shared" si="93"/>
        <v>1.8367346938775508E-2</v>
      </c>
      <c r="T1038" s="7">
        <f>_xll.RssMarket(A1038,"出来高加重平均")</f>
        <v>987.77250000000004</v>
      </c>
      <c r="U1038" s="4">
        <f t="shared" si="94"/>
        <v>1.035410481664556E-2</v>
      </c>
      <c r="V1038" s="21">
        <f>_xll.RssMarket(A1038,"出来高")</f>
        <v>126600</v>
      </c>
      <c r="W1038" s="21">
        <f>_xll.RssMarket(A1038,"売買代金")</f>
        <v>125052</v>
      </c>
      <c r="X1038" s="20" t="str">
        <f>_xll.RssMarket(A1038,"決算発表日")</f>
        <v>2024/01/30</v>
      </c>
      <c r="Y1038" s="26" t="str">
        <f>IF(C1038&gt;_xll.RssMarket(A1038,"年初来高値"),"○","×")</f>
        <v>×</v>
      </c>
      <c r="Z1038" s="27" t="str">
        <f>IF(C1038&lt;=_xll.RssMarket(A1038,"年初来安値"),"○","×")</f>
        <v>×</v>
      </c>
    </row>
    <row r="1039" spans="1:26" x14ac:dyDescent="0.25">
      <c r="A1039" s="49">
        <v>8708</v>
      </c>
      <c r="B1039" s="20" t="str">
        <f>_xll.RssMarket(A1039,"銘柄名称")</f>
        <v>アイザワ証券グループ</v>
      </c>
      <c r="C1039" s="21">
        <f>_xll.RssMarket(A1039,"現在値")</f>
        <v>1210</v>
      </c>
      <c r="D1039" s="20" t="str">
        <f>_xll.RssMarket(A1039,"現在値詳細時刻")</f>
        <v>15:00:00</v>
      </c>
      <c r="E1039" s="22">
        <f>_xll.RssMarket(A1039,"前日比")</f>
        <v>1</v>
      </c>
      <c r="F1039" s="23">
        <f>_xll.RssMarket(A1039,"前日比率")/100</f>
        <v>8.0000000000000004E-4</v>
      </c>
      <c r="G1039" s="24" t="str">
        <f>IFERROR(VLOOKUP(A1039,取得元!$A$2:$F$501,2,FALSE),"-")</f>
        <v>-</v>
      </c>
      <c r="H1039" s="24" t="str">
        <f>IFERROR(VLOOKUP(A1039,取得元!$A$2:$F$501,3,FALSE),"-")</f>
        <v>-</v>
      </c>
      <c r="I1039" s="24" t="str">
        <f>IFERROR(VLOOKUP(A1039,取得元!$A$2:$F$501,4,FALSE),"-")</f>
        <v>-</v>
      </c>
      <c r="J1039" s="5" t="str">
        <f>IFERROR(VLOOKUP(A1039,取得元!$A$2:$F$501,5,FALSE),"-")</f>
        <v>-</v>
      </c>
      <c r="K1039" s="25" t="str">
        <f>IFERROR(VLOOKUP(A1039,取得元!$A$2:$F$501,6,FALSE)/100,"-")</f>
        <v>-</v>
      </c>
      <c r="L1039" s="21">
        <f>_xll.RssMarket(A1039,"始値")</f>
        <v>1198</v>
      </c>
      <c r="M1039" s="4">
        <f t="shared" si="90"/>
        <v>1.001669449081799E-2</v>
      </c>
      <c r="N1039" s="21">
        <f>_xll.RssMarket(A1039,"高値")</f>
        <v>1219</v>
      </c>
      <c r="O1039" s="4">
        <f t="shared" si="91"/>
        <v>-7.3831009023790362E-3</v>
      </c>
      <c r="P1039" s="21">
        <f>_xll.RssMarket(A1039,"安値")</f>
        <v>1198</v>
      </c>
      <c r="Q1039" s="4">
        <f t="shared" si="92"/>
        <v>1.001669449081799E-2</v>
      </c>
      <c r="R1039" s="21">
        <f>_xll.RssMarket(A1039,"後場始値")</f>
        <v>1207</v>
      </c>
      <c r="S1039" s="25">
        <f t="shared" si="93"/>
        <v>2.4855012427507095E-3</v>
      </c>
      <c r="T1039" s="7">
        <f>_xll.RssMarket(A1039,"出来高加重平均")</f>
        <v>1209.0376000000001</v>
      </c>
      <c r="U1039" s="4">
        <f t="shared" si="94"/>
        <v>7.9600502085286351E-4</v>
      </c>
      <c r="V1039" s="21">
        <f>_xll.RssMarket(A1039,"出来高")</f>
        <v>23900</v>
      </c>
      <c r="W1039" s="21">
        <f>_xll.RssMarket(A1039,"売買代金")</f>
        <v>28896</v>
      </c>
      <c r="X1039" s="20" t="str">
        <f>_xll.RssMarket(A1039,"決算発表日")</f>
        <v>2024/01/30</v>
      </c>
      <c r="Y1039" s="26" t="str">
        <f>IF(C1039&gt;_xll.RssMarket(A1039,"年初来高値"),"○","×")</f>
        <v>×</v>
      </c>
      <c r="Z1039" s="27" t="str">
        <f>IF(C1039&lt;=_xll.RssMarket(A1039,"年初来安値"),"○","×")</f>
        <v>×</v>
      </c>
    </row>
    <row r="1040" spans="1:26" x14ac:dyDescent="0.25">
      <c r="A1040" s="47">
        <v>8732</v>
      </c>
      <c r="B1040" s="20" t="str">
        <f>_xll.RssMarket(A1040,"銘柄名称")</f>
        <v>マネーパートナーズＧＰ</v>
      </c>
      <c r="C1040" s="21">
        <f>_xll.RssMarket(A1040,"現在値")</f>
        <v>298</v>
      </c>
      <c r="D1040" s="20" t="str">
        <f>_xll.RssMarket(A1040,"現在値詳細時刻")</f>
        <v>15:00:00</v>
      </c>
      <c r="E1040" s="22">
        <f>_xll.RssMarket(A1040,"前日比")</f>
        <v>-5</v>
      </c>
      <c r="F1040" s="23">
        <f>_xll.RssMarket(A1040,"前日比率")/100</f>
        <v>-1.6500000000000001E-2</v>
      </c>
      <c r="G1040" s="24" t="str">
        <f>IFERROR(VLOOKUP(A1040,取得元!$A$2:$F$501,2,FALSE),"-")</f>
        <v>-</v>
      </c>
      <c r="H1040" s="24" t="str">
        <f>IFERROR(VLOOKUP(A1040,取得元!$A$2:$F$501,3,FALSE),"-")</f>
        <v>-</v>
      </c>
      <c r="I1040" s="24" t="str">
        <f>IFERROR(VLOOKUP(A1040,取得元!$A$2:$F$501,4,FALSE),"-")</f>
        <v>-</v>
      </c>
      <c r="J1040" s="5" t="str">
        <f>IFERROR(VLOOKUP(A1040,取得元!$A$2:$F$501,5,FALSE),"-")</f>
        <v>-</v>
      </c>
      <c r="K1040" s="25" t="str">
        <f>IFERROR(VLOOKUP(A1040,取得元!$A$2:$F$501,6,FALSE)/100,"-")</f>
        <v>-</v>
      </c>
      <c r="L1040" s="21">
        <f>_xll.RssMarket(A1040,"始値")</f>
        <v>304</v>
      </c>
      <c r="M1040" s="4">
        <f t="shared" si="90"/>
        <v>-1.9736842105263164E-2</v>
      </c>
      <c r="N1040" s="21">
        <f>_xll.RssMarket(A1040,"高値")</f>
        <v>305</v>
      </c>
      <c r="O1040" s="4">
        <f t="shared" si="91"/>
        <v>-2.2950819672131195E-2</v>
      </c>
      <c r="P1040" s="21">
        <f>_xll.RssMarket(A1040,"安値")</f>
        <v>297</v>
      </c>
      <c r="Q1040" s="4">
        <f t="shared" si="92"/>
        <v>3.3670033670034627E-3</v>
      </c>
      <c r="R1040" s="21">
        <f>_xll.RssMarket(A1040,"後場始値")</f>
        <v>301</v>
      </c>
      <c r="S1040" s="25">
        <f t="shared" si="93"/>
        <v>-9.966777408637828E-3</v>
      </c>
      <c r="T1040" s="7">
        <f>_xll.RssMarket(A1040,"出来高加重平均")</f>
        <v>300.15179999999998</v>
      </c>
      <c r="U1040" s="4">
        <f t="shared" si="94"/>
        <v>-7.1690391328653735E-3</v>
      </c>
      <c r="V1040" s="21">
        <f>_xll.RssMarket(A1040,"出来高")</f>
        <v>85600</v>
      </c>
      <c r="W1040" s="21">
        <f>_xll.RssMarket(A1040,"売買代金")</f>
        <v>25693</v>
      </c>
      <c r="X1040" s="20" t="str">
        <f>_xll.RssMarket(A1040,"決算発表日")</f>
        <v>2024/01/31</v>
      </c>
      <c r="Y1040" s="26" t="str">
        <f>IF(C1040&gt;_xll.RssMarket(A1040,"年初来高値"),"○","×")</f>
        <v>×</v>
      </c>
      <c r="Z1040" s="27" t="str">
        <f>IF(C1040&lt;=_xll.RssMarket(A1040,"年初来安値"),"○","×")</f>
        <v>×</v>
      </c>
    </row>
    <row r="1041" spans="1:26" x14ac:dyDescent="0.25">
      <c r="A1041" s="49">
        <v>8737</v>
      </c>
      <c r="B1041" s="20" t="str">
        <f>_xll.RssMarket(A1041,"銘柄名称")</f>
        <v>あかつき本社</v>
      </c>
      <c r="C1041" s="21">
        <f>_xll.RssMarket(A1041,"現在値")</f>
        <v>505</v>
      </c>
      <c r="D1041" s="20" t="str">
        <f>_xll.RssMarket(A1041,"現在値詳細時刻")</f>
        <v>15:00:00</v>
      </c>
      <c r="E1041" s="22">
        <f>_xll.RssMarket(A1041,"前日比")</f>
        <v>0</v>
      </c>
      <c r="F1041" s="23">
        <f>_xll.RssMarket(A1041,"前日比率")/100</f>
        <v>0</v>
      </c>
      <c r="G1041" s="24" t="str">
        <f>IFERROR(VLOOKUP(A1041,取得元!$A$2:$F$501,2,FALSE),"-")</f>
        <v>-</v>
      </c>
      <c r="H1041" s="24" t="str">
        <f>IFERROR(VLOOKUP(A1041,取得元!$A$2:$F$501,3,FALSE),"-")</f>
        <v>-</v>
      </c>
      <c r="I1041" s="24" t="str">
        <f>IFERROR(VLOOKUP(A1041,取得元!$A$2:$F$501,4,FALSE),"-")</f>
        <v>-</v>
      </c>
      <c r="J1041" s="5" t="str">
        <f>IFERROR(VLOOKUP(A1041,取得元!$A$2:$F$501,5,FALSE),"-")</f>
        <v>-</v>
      </c>
      <c r="K1041" s="25" t="str">
        <f>IFERROR(VLOOKUP(A1041,取得元!$A$2:$F$501,6,FALSE)/100,"-")</f>
        <v>-</v>
      </c>
      <c r="L1041" s="21">
        <f>_xll.RssMarket(A1041,"始値")</f>
        <v>506</v>
      </c>
      <c r="M1041" s="4">
        <f t="shared" si="90"/>
        <v>-1.9762845849802257E-3</v>
      </c>
      <c r="N1041" s="21">
        <f>_xll.RssMarket(A1041,"高値")</f>
        <v>507</v>
      </c>
      <c r="O1041" s="4">
        <f t="shared" si="91"/>
        <v>-3.9447731755424265E-3</v>
      </c>
      <c r="P1041" s="21">
        <f>_xll.RssMarket(A1041,"安値")</f>
        <v>500</v>
      </c>
      <c r="Q1041" s="4">
        <f t="shared" si="92"/>
        <v>1.0000000000000009E-2</v>
      </c>
      <c r="R1041" s="21">
        <f>_xll.RssMarket(A1041,"後場始値")</f>
        <v>504</v>
      </c>
      <c r="S1041" s="25">
        <f t="shared" si="93"/>
        <v>1.9841269841269771E-3</v>
      </c>
      <c r="T1041" s="7">
        <f>_xll.RssMarket(A1041,"出来高加重平均")</f>
        <v>504.13630000000001</v>
      </c>
      <c r="U1041" s="4">
        <f t="shared" si="94"/>
        <v>1.7132271570208246E-3</v>
      </c>
      <c r="V1041" s="21">
        <f>_xll.RssMarket(A1041,"出来高")</f>
        <v>107100</v>
      </c>
      <c r="W1041" s="21">
        <f>_xll.RssMarket(A1041,"売買代金")</f>
        <v>53993</v>
      </c>
      <c r="X1041" s="20" t="str">
        <f>_xll.RssMarket(A1041,"決算発表日")</f>
        <v>2024/02/14</v>
      </c>
      <c r="Y1041" s="26" t="str">
        <f>IF(C1041&gt;_xll.RssMarket(A1041,"年初来高値"),"○","×")</f>
        <v>×</v>
      </c>
      <c r="Z1041" s="27" t="str">
        <f>IF(C1041&lt;=_xll.RssMarket(A1041,"年初来安値"),"○","×")</f>
        <v>×</v>
      </c>
    </row>
    <row r="1042" spans="1:26" x14ac:dyDescent="0.25">
      <c r="A1042" s="47">
        <v>8742</v>
      </c>
      <c r="B1042" s="20" t="str">
        <f>_xll.RssMarket(A1042,"銘柄名称")</f>
        <v>小林洋行</v>
      </c>
      <c r="C1042" s="21">
        <f>_xll.RssMarket(A1042,"現在値")</f>
        <v>255</v>
      </c>
      <c r="D1042" s="20" t="str">
        <f>_xll.RssMarket(A1042,"現在値詳細時刻")</f>
        <v>15:00:00</v>
      </c>
      <c r="E1042" s="22">
        <f>_xll.RssMarket(A1042,"前日比")</f>
        <v>3</v>
      </c>
      <c r="F1042" s="23">
        <f>_xll.RssMarket(A1042,"前日比率")/100</f>
        <v>1.1899999999999999E-2</v>
      </c>
      <c r="G1042" s="24" t="str">
        <f>IFERROR(VLOOKUP(A1042,取得元!$A$2:$F$501,2,FALSE),"-")</f>
        <v>-</v>
      </c>
      <c r="H1042" s="24" t="str">
        <f>IFERROR(VLOOKUP(A1042,取得元!$A$2:$F$501,3,FALSE),"-")</f>
        <v>-</v>
      </c>
      <c r="I1042" s="24" t="str">
        <f>IFERROR(VLOOKUP(A1042,取得元!$A$2:$F$501,4,FALSE),"-")</f>
        <v>-</v>
      </c>
      <c r="J1042" s="5" t="str">
        <f>IFERROR(VLOOKUP(A1042,取得元!$A$2:$F$501,5,FALSE),"-")</f>
        <v>-</v>
      </c>
      <c r="K1042" s="25" t="str">
        <f>IFERROR(VLOOKUP(A1042,取得元!$A$2:$F$501,6,FALSE)/100,"-")</f>
        <v>-</v>
      </c>
      <c r="L1042" s="21">
        <f>_xll.RssMarket(A1042,"始値")</f>
        <v>255</v>
      </c>
      <c r="M1042" s="4">
        <f t="shared" si="90"/>
        <v>0</v>
      </c>
      <c r="N1042" s="21">
        <f>_xll.RssMarket(A1042,"高値")</f>
        <v>256</v>
      </c>
      <c r="O1042" s="4">
        <f t="shared" si="91"/>
        <v>-3.90625E-3</v>
      </c>
      <c r="P1042" s="21">
        <f>_xll.RssMarket(A1042,"安値")</f>
        <v>253</v>
      </c>
      <c r="Q1042" s="4">
        <f t="shared" si="92"/>
        <v>7.905138339920903E-3</v>
      </c>
      <c r="R1042" s="21">
        <f>_xll.RssMarket(A1042,"後場始値")</f>
        <v>255</v>
      </c>
      <c r="S1042" s="25">
        <f t="shared" si="93"/>
        <v>0</v>
      </c>
      <c r="T1042" s="7">
        <f>_xll.RssMarket(A1042,"出来高加重平均")</f>
        <v>254.70580000000001</v>
      </c>
      <c r="U1042" s="4">
        <f t="shared" si="94"/>
        <v>1.1550581101804624E-3</v>
      </c>
      <c r="V1042" s="21">
        <f>_xll.RssMarket(A1042,"出来高")</f>
        <v>11900</v>
      </c>
      <c r="W1042" s="21">
        <f>_xll.RssMarket(A1042,"売買代金")</f>
        <v>3031</v>
      </c>
      <c r="X1042" s="20" t="str">
        <f>_xll.RssMarket(A1042,"決算発表日")</f>
        <v>2024/02/09</v>
      </c>
      <c r="Y1042" s="26" t="str">
        <f>IF(C1042&gt;_xll.RssMarket(A1042,"年初来高値"),"○","×")</f>
        <v>×</v>
      </c>
      <c r="Z1042" s="27" t="str">
        <f>IF(C1042&lt;=_xll.RssMarket(A1042,"年初来安値"),"○","×")</f>
        <v>×</v>
      </c>
    </row>
    <row r="1043" spans="1:26" x14ac:dyDescent="0.25">
      <c r="A1043" s="49">
        <v>8746</v>
      </c>
      <c r="B1043" s="20" t="str">
        <f>_xll.RssMarket(A1043,"銘柄名称")</f>
        <v>第一商品</v>
      </c>
      <c r="C1043" s="21">
        <f>_xll.RssMarket(A1043,"現在値")</f>
        <v>99</v>
      </c>
      <c r="D1043" s="20" t="str">
        <f>_xll.RssMarket(A1043,"現在値詳細時刻")</f>
        <v>15:00:00</v>
      </c>
      <c r="E1043" s="22">
        <f>_xll.RssMarket(A1043,"前日比")</f>
        <v>-2</v>
      </c>
      <c r="F1043" s="23">
        <f>_xll.RssMarket(A1043,"前日比率")/100</f>
        <v>-1.9799999999999998E-2</v>
      </c>
      <c r="G1043" s="24" t="str">
        <f>IFERROR(VLOOKUP(A1043,取得元!$A$2:$F$501,2,FALSE),"-")</f>
        <v>-</v>
      </c>
      <c r="H1043" s="24" t="str">
        <f>IFERROR(VLOOKUP(A1043,取得元!$A$2:$F$501,3,FALSE),"-")</f>
        <v>-</v>
      </c>
      <c r="I1043" s="24" t="str">
        <f>IFERROR(VLOOKUP(A1043,取得元!$A$2:$F$501,4,FALSE),"-")</f>
        <v>-</v>
      </c>
      <c r="J1043" s="5" t="str">
        <f>IFERROR(VLOOKUP(A1043,取得元!$A$2:$F$501,5,FALSE),"-")</f>
        <v>-</v>
      </c>
      <c r="K1043" s="25" t="str">
        <f>IFERROR(VLOOKUP(A1043,取得元!$A$2:$F$501,6,FALSE)/100,"-")</f>
        <v>-</v>
      </c>
      <c r="L1043" s="21">
        <f>_xll.RssMarket(A1043,"始値")</f>
        <v>101</v>
      </c>
      <c r="M1043" s="4">
        <f t="shared" si="90"/>
        <v>-1.980198019801982E-2</v>
      </c>
      <c r="N1043" s="21">
        <f>_xll.RssMarket(A1043,"高値")</f>
        <v>101</v>
      </c>
      <c r="O1043" s="4">
        <f t="shared" si="91"/>
        <v>-1.980198019801982E-2</v>
      </c>
      <c r="P1043" s="21">
        <f>_xll.RssMarket(A1043,"安値")</f>
        <v>99</v>
      </c>
      <c r="Q1043" s="4">
        <f t="shared" si="92"/>
        <v>0</v>
      </c>
      <c r="R1043" s="21">
        <f>_xll.RssMarket(A1043,"後場始値")</f>
        <v>99</v>
      </c>
      <c r="S1043" s="25">
        <f t="shared" si="93"/>
        <v>0</v>
      </c>
      <c r="T1043" s="7">
        <f>_xll.RssMarket(A1043,"出来高加重平均")</f>
        <v>99.547799999999995</v>
      </c>
      <c r="U1043" s="4">
        <f t="shared" si="94"/>
        <v>-5.5028840416362357E-3</v>
      </c>
      <c r="V1043" s="21">
        <f>_xll.RssMarket(A1043,"出来高")</f>
        <v>190200</v>
      </c>
      <c r="W1043" s="21">
        <f>_xll.RssMarket(A1043,"売買代金")</f>
        <v>18934</v>
      </c>
      <c r="X1043" s="20" t="str">
        <f>_xll.RssMarket(A1043,"決算発表日")</f>
        <v>2024/02/14</v>
      </c>
      <c r="Y1043" s="26" t="str">
        <f>IF(C1043&gt;_xll.RssMarket(A1043,"年初来高値"),"○","×")</f>
        <v>×</v>
      </c>
      <c r="Z1043" s="27" t="str">
        <f>IF(C1043&lt;=_xll.RssMarket(A1043,"年初来安値"),"○","×")</f>
        <v>×</v>
      </c>
    </row>
    <row r="1044" spans="1:26" x14ac:dyDescent="0.25">
      <c r="A1044" s="47">
        <v>8750</v>
      </c>
      <c r="B1044" s="20" t="str">
        <f>_xll.RssMarket(A1044,"銘柄名称")</f>
        <v>表示銘柄数超過</v>
      </c>
      <c r="C1044" s="21" t="str">
        <f>_xll.RssMarket(A1044,"現在値")</f>
        <v>表示銘柄数超過</v>
      </c>
      <c r="D1044" s="20" t="str">
        <f>_xll.RssMarket(A1044,"現在値詳細時刻")</f>
        <v>表示銘柄数超過</v>
      </c>
      <c r="E1044" s="22" t="str">
        <f>_xll.RssMarket(A1044,"前日比")</f>
        <v>表示銘柄数超過</v>
      </c>
      <c r="F1044" s="23" t="e">
        <f>_xll.RssMarket(A1044,"前日比率")/100</f>
        <v>#VALUE!</v>
      </c>
      <c r="G1044" s="24" t="str">
        <f>IFERROR(VLOOKUP(A1044,取得元!$A$2:$F$501,2,FALSE),"-")</f>
        <v>-</v>
      </c>
      <c r="H1044" s="24" t="str">
        <f>IFERROR(VLOOKUP(A1044,取得元!$A$2:$F$501,3,FALSE),"-")</f>
        <v>-</v>
      </c>
      <c r="I1044" s="24" t="str">
        <f>IFERROR(VLOOKUP(A1044,取得元!$A$2:$F$501,4,FALSE),"-")</f>
        <v>-</v>
      </c>
      <c r="J1044" s="5" t="str">
        <f>IFERROR(VLOOKUP(A1044,取得元!$A$2:$F$501,5,FALSE),"-")</f>
        <v>-</v>
      </c>
      <c r="K1044" s="25" t="str">
        <f>IFERROR(VLOOKUP(A1044,取得元!$A$2:$F$501,6,FALSE)/100,"-")</f>
        <v>-</v>
      </c>
      <c r="L1044" s="21" t="str">
        <f>_xll.RssMarket(A1044,"始値")</f>
        <v>表示銘柄数超過</v>
      </c>
      <c r="M1044" s="4" t="e">
        <f t="shared" si="90"/>
        <v>#VALUE!</v>
      </c>
      <c r="N1044" s="21" t="str">
        <f>_xll.RssMarket(A1044,"高値")</f>
        <v>表示銘柄数超過</v>
      </c>
      <c r="O1044" s="4" t="e">
        <f t="shared" si="91"/>
        <v>#VALUE!</v>
      </c>
      <c r="P1044" s="21" t="str">
        <f>_xll.RssMarket(A1044,"安値")</f>
        <v>表示銘柄数超過</v>
      </c>
      <c r="Q1044" s="4" t="e">
        <f t="shared" si="92"/>
        <v>#VALUE!</v>
      </c>
      <c r="R1044" s="21" t="str">
        <f>_xll.RssMarket(A1044,"後場始値")</f>
        <v>表示銘柄数超過</v>
      </c>
      <c r="S1044" s="25" t="str">
        <f t="shared" si="93"/>
        <v>-</v>
      </c>
      <c r="T1044" s="7" t="str">
        <f>_xll.RssMarket(A1044,"出来高加重平均")</f>
        <v>表示銘柄数超過</v>
      </c>
      <c r="U1044" s="4" t="e">
        <f t="shared" si="94"/>
        <v>#VALUE!</v>
      </c>
      <c r="V1044" s="21" t="str">
        <f>_xll.RssMarket(A1044,"出来高")</f>
        <v>表示銘柄数超過</v>
      </c>
      <c r="W1044" s="21" t="str">
        <f>_xll.RssMarket(A1044,"売買代金")</f>
        <v>表示銘柄数超過</v>
      </c>
      <c r="X1044" s="20" t="str">
        <f>_xll.RssMarket(A1044,"決算発表日")</f>
        <v>表示銘柄数超過</v>
      </c>
      <c r="Y1044" s="26" t="str">
        <f>IF(C1044&gt;_xll.RssMarket(A1044,"年初来高値"),"○","×")</f>
        <v>×</v>
      </c>
      <c r="Z1044" s="27" t="str">
        <f>IF(C1044&lt;=_xll.RssMarket(A1044,"年初来安値"),"○","×")</f>
        <v>○</v>
      </c>
    </row>
    <row r="1045" spans="1:26" x14ac:dyDescent="0.25">
      <c r="A1045" s="49">
        <v>8766</v>
      </c>
      <c r="B1045" s="20" t="str">
        <f>_xll.RssMarket(A1045,"銘柄名称")</f>
        <v>表示銘柄数超過</v>
      </c>
      <c r="C1045" s="21" t="str">
        <f>_xll.RssMarket(A1045,"現在値")</f>
        <v>表示銘柄数超過</v>
      </c>
      <c r="D1045" s="20" t="str">
        <f>_xll.RssMarket(A1045,"現在値詳細時刻")</f>
        <v>表示銘柄数超過</v>
      </c>
      <c r="E1045" s="22" t="str">
        <f>_xll.RssMarket(A1045,"前日比")</f>
        <v>表示銘柄数超過</v>
      </c>
      <c r="F1045" s="23" t="e">
        <f>_xll.RssMarket(A1045,"前日比率")/100</f>
        <v>#VALUE!</v>
      </c>
      <c r="G1045" s="24" t="str">
        <f>IFERROR(VLOOKUP(A1045,取得元!$A$2:$F$501,2,FALSE),"-")</f>
        <v>-</v>
      </c>
      <c r="H1045" s="24" t="str">
        <f>IFERROR(VLOOKUP(A1045,取得元!$A$2:$F$501,3,FALSE),"-")</f>
        <v>-</v>
      </c>
      <c r="I1045" s="24" t="str">
        <f>IFERROR(VLOOKUP(A1045,取得元!$A$2:$F$501,4,FALSE),"-")</f>
        <v>-</v>
      </c>
      <c r="J1045" s="5" t="str">
        <f>IFERROR(VLOOKUP(A1045,取得元!$A$2:$F$501,5,FALSE),"-")</f>
        <v>-</v>
      </c>
      <c r="K1045" s="25" t="str">
        <f>IFERROR(VLOOKUP(A1045,取得元!$A$2:$F$501,6,FALSE)/100,"-")</f>
        <v>-</v>
      </c>
      <c r="L1045" s="21" t="str">
        <f>_xll.RssMarket(A1045,"始値")</f>
        <v>表示銘柄数超過</v>
      </c>
      <c r="M1045" s="4" t="e">
        <f t="shared" si="90"/>
        <v>#VALUE!</v>
      </c>
      <c r="N1045" s="21" t="str">
        <f>_xll.RssMarket(A1045,"高値")</f>
        <v>表示銘柄数超過</v>
      </c>
      <c r="O1045" s="4" t="e">
        <f t="shared" si="91"/>
        <v>#VALUE!</v>
      </c>
      <c r="P1045" s="21" t="str">
        <f>_xll.RssMarket(A1045,"安値")</f>
        <v>表示銘柄数超過</v>
      </c>
      <c r="Q1045" s="4" t="e">
        <f t="shared" si="92"/>
        <v>#VALUE!</v>
      </c>
      <c r="R1045" s="21" t="str">
        <f>_xll.RssMarket(A1045,"後場始値")</f>
        <v>表示銘柄数超過</v>
      </c>
      <c r="S1045" s="25" t="str">
        <f t="shared" si="93"/>
        <v>-</v>
      </c>
      <c r="T1045" s="7" t="str">
        <f>_xll.RssMarket(A1045,"出来高加重平均")</f>
        <v>表示銘柄数超過</v>
      </c>
      <c r="U1045" s="4" t="e">
        <f t="shared" si="94"/>
        <v>#VALUE!</v>
      </c>
      <c r="V1045" s="21" t="str">
        <f>_xll.RssMarket(A1045,"出来高")</f>
        <v>表示銘柄数超過</v>
      </c>
      <c r="W1045" s="21" t="str">
        <f>_xll.RssMarket(A1045,"売買代金")</f>
        <v>表示銘柄数超過</v>
      </c>
      <c r="X1045" s="20" t="str">
        <f>_xll.RssMarket(A1045,"決算発表日")</f>
        <v>表示銘柄数超過</v>
      </c>
      <c r="Y1045" s="26" t="str">
        <f>IF(C1045&gt;_xll.RssMarket(A1045,"年初来高値"),"○","×")</f>
        <v>×</v>
      </c>
      <c r="Z1045" s="27" t="str">
        <f>IF(C1045&lt;=_xll.RssMarket(A1045,"年初来安値"),"○","×")</f>
        <v>○</v>
      </c>
    </row>
    <row r="1046" spans="1:26" x14ac:dyDescent="0.25">
      <c r="A1046" s="47">
        <v>8769</v>
      </c>
      <c r="B1046" s="20" t="str">
        <f>_xll.RssMarket(A1046,"銘柄名称")</f>
        <v>表示銘柄数超過</v>
      </c>
      <c r="C1046" s="21" t="str">
        <f>_xll.RssMarket(A1046,"現在値")</f>
        <v>表示銘柄数超過</v>
      </c>
      <c r="D1046" s="20" t="str">
        <f>_xll.RssMarket(A1046,"現在値詳細時刻")</f>
        <v>表示銘柄数超過</v>
      </c>
      <c r="E1046" s="22" t="str">
        <f>_xll.RssMarket(A1046,"前日比")</f>
        <v>表示銘柄数超過</v>
      </c>
      <c r="F1046" s="23" t="e">
        <f>_xll.RssMarket(A1046,"前日比率")/100</f>
        <v>#VALUE!</v>
      </c>
      <c r="G1046" s="24" t="str">
        <f>IFERROR(VLOOKUP(A1046,取得元!$A$2:$F$501,2,FALSE),"-")</f>
        <v>-</v>
      </c>
      <c r="H1046" s="24" t="str">
        <f>IFERROR(VLOOKUP(A1046,取得元!$A$2:$F$501,3,FALSE),"-")</f>
        <v>-</v>
      </c>
      <c r="I1046" s="24" t="str">
        <f>IFERROR(VLOOKUP(A1046,取得元!$A$2:$F$501,4,FALSE),"-")</f>
        <v>-</v>
      </c>
      <c r="J1046" s="5" t="str">
        <f>IFERROR(VLOOKUP(A1046,取得元!$A$2:$F$501,5,FALSE),"-")</f>
        <v>-</v>
      </c>
      <c r="K1046" s="25" t="str">
        <f>IFERROR(VLOOKUP(A1046,取得元!$A$2:$F$501,6,FALSE)/100,"-")</f>
        <v>-</v>
      </c>
      <c r="L1046" s="21" t="str">
        <f>_xll.RssMarket(A1046,"始値")</f>
        <v>表示銘柄数超過</v>
      </c>
      <c r="M1046" s="4" t="e">
        <f t="shared" ref="M1046:M1109" si="95">C1046/L1046-1</f>
        <v>#VALUE!</v>
      </c>
      <c r="N1046" s="21" t="str">
        <f>_xll.RssMarket(A1046,"高値")</f>
        <v>表示銘柄数超過</v>
      </c>
      <c r="O1046" s="4" t="e">
        <f t="shared" ref="O1046:O1109" si="96">C1046/N1046-1</f>
        <v>#VALUE!</v>
      </c>
      <c r="P1046" s="21" t="str">
        <f>_xll.RssMarket(A1046,"安値")</f>
        <v>表示銘柄数超過</v>
      </c>
      <c r="Q1046" s="4" t="e">
        <f t="shared" ref="Q1046:Q1109" si="97">C1046/P1046-1</f>
        <v>#VALUE!</v>
      </c>
      <c r="R1046" s="21" t="str">
        <f>_xll.RssMarket(A1046,"後場始値")</f>
        <v>表示銘柄数超過</v>
      </c>
      <c r="S1046" s="25" t="str">
        <f t="shared" ref="S1046:S1109" si="98">IFERROR(C1046/R1046-1,"-")</f>
        <v>-</v>
      </c>
      <c r="T1046" s="7" t="str">
        <f>_xll.RssMarket(A1046,"出来高加重平均")</f>
        <v>表示銘柄数超過</v>
      </c>
      <c r="U1046" s="4" t="e">
        <f t="shared" ref="U1046:U1109" si="99">C1046/T1046-1</f>
        <v>#VALUE!</v>
      </c>
      <c r="V1046" s="21" t="str">
        <f>_xll.RssMarket(A1046,"出来高")</f>
        <v>表示銘柄数超過</v>
      </c>
      <c r="W1046" s="21" t="str">
        <f>_xll.RssMarket(A1046,"売買代金")</f>
        <v>表示銘柄数超過</v>
      </c>
      <c r="X1046" s="20" t="str">
        <f>_xll.RssMarket(A1046,"決算発表日")</f>
        <v>表示銘柄数超過</v>
      </c>
      <c r="Y1046" s="26" t="str">
        <f>IF(C1046&gt;_xll.RssMarket(A1046,"年初来高値"),"○","×")</f>
        <v>×</v>
      </c>
      <c r="Z1046" s="27" t="str">
        <f>IF(C1046&lt;=_xll.RssMarket(A1046,"年初来安値"),"○","×")</f>
        <v>○</v>
      </c>
    </row>
    <row r="1047" spans="1:26" x14ac:dyDescent="0.25">
      <c r="A1047" s="49">
        <v>8783</v>
      </c>
      <c r="B1047" s="20" t="str">
        <f>_xll.RssMarket(A1047,"銘柄名称")</f>
        <v>表示銘柄数超過</v>
      </c>
      <c r="C1047" s="21" t="str">
        <f>_xll.RssMarket(A1047,"現在値")</f>
        <v>表示銘柄数超過</v>
      </c>
      <c r="D1047" s="20" t="str">
        <f>_xll.RssMarket(A1047,"現在値詳細時刻")</f>
        <v>表示銘柄数超過</v>
      </c>
      <c r="E1047" s="22" t="str">
        <f>_xll.RssMarket(A1047,"前日比")</f>
        <v>表示銘柄数超過</v>
      </c>
      <c r="F1047" s="23" t="e">
        <f>_xll.RssMarket(A1047,"前日比率")/100</f>
        <v>#VALUE!</v>
      </c>
      <c r="G1047" s="24" t="str">
        <f>IFERROR(VLOOKUP(A1047,取得元!$A$2:$F$501,2,FALSE),"-")</f>
        <v>-</v>
      </c>
      <c r="H1047" s="24" t="str">
        <f>IFERROR(VLOOKUP(A1047,取得元!$A$2:$F$501,3,FALSE),"-")</f>
        <v>-</v>
      </c>
      <c r="I1047" s="24" t="str">
        <f>IFERROR(VLOOKUP(A1047,取得元!$A$2:$F$501,4,FALSE),"-")</f>
        <v>-</v>
      </c>
      <c r="J1047" s="5" t="str">
        <f>IFERROR(VLOOKUP(A1047,取得元!$A$2:$F$501,5,FALSE),"-")</f>
        <v>-</v>
      </c>
      <c r="K1047" s="25" t="str">
        <f>IFERROR(VLOOKUP(A1047,取得元!$A$2:$F$501,6,FALSE)/100,"-")</f>
        <v>-</v>
      </c>
      <c r="L1047" s="21" t="str">
        <f>_xll.RssMarket(A1047,"始値")</f>
        <v>表示銘柄数超過</v>
      </c>
      <c r="M1047" s="4" t="e">
        <f t="shared" si="95"/>
        <v>#VALUE!</v>
      </c>
      <c r="N1047" s="21" t="str">
        <f>_xll.RssMarket(A1047,"高値")</f>
        <v>表示銘柄数超過</v>
      </c>
      <c r="O1047" s="4" t="e">
        <f t="shared" si="96"/>
        <v>#VALUE!</v>
      </c>
      <c r="P1047" s="21" t="str">
        <f>_xll.RssMarket(A1047,"安値")</f>
        <v>表示銘柄数超過</v>
      </c>
      <c r="Q1047" s="4" t="e">
        <f t="shared" si="97"/>
        <v>#VALUE!</v>
      </c>
      <c r="R1047" s="21" t="str">
        <f>_xll.RssMarket(A1047,"後場始値")</f>
        <v>表示銘柄数超過</v>
      </c>
      <c r="S1047" s="25" t="str">
        <f t="shared" si="98"/>
        <v>-</v>
      </c>
      <c r="T1047" s="7" t="str">
        <f>_xll.RssMarket(A1047,"出来高加重平均")</f>
        <v>表示銘柄数超過</v>
      </c>
      <c r="U1047" s="4" t="e">
        <f t="shared" si="99"/>
        <v>#VALUE!</v>
      </c>
      <c r="V1047" s="21" t="str">
        <f>_xll.RssMarket(A1047,"出来高")</f>
        <v>表示銘柄数超過</v>
      </c>
      <c r="W1047" s="21" t="str">
        <f>_xll.RssMarket(A1047,"売買代金")</f>
        <v>表示銘柄数超過</v>
      </c>
      <c r="X1047" s="20" t="str">
        <f>_xll.RssMarket(A1047,"決算発表日")</f>
        <v>表示銘柄数超過</v>
      </c>
      <c r="Y1047" s="26" t="str">
        <f>IF(C1047&gt;_xll.RssMarket(A1047,"年初来高値"),"○","×")</f>
        <v>×</v>
      </c>
      <c r="Z1047" s="27" t="str">
        <f>IF(C1047&lt;=_xll.RssMarket(A1047,"年初来安値"),"○","×")</f>
        <v>○</v>
      </c>
    </row>
    <row r="1048" spans="1:26" x14ac:dyDescent="0.25">
      <c r="A1048" s="47">
        <v>8789</v>
      </c>
      <c r="B1048" s="20" t="str">
        <f>_xll.RssMarket(A1048,"銘柄名称")</f>
        <v>表示銘柄数超過</v>
      </c>
      <c r="C1048" s="21" t="str">
        <f>_xll.RssMarket(A1048,"現在値")</f>
        <v>表示銘柄数超過</v>
      </c>
      <c r="D1048" s="20" t="str">
        <f>_xll.RssMarket(A1048,"現在値詳細時刻")</f>
        <v>表示銘柄数超過</v>
      </c>
      <c r="E1048" s="22" t="str">
        <f>_xll.RssMarket(A1048,"前日比")</f>
        <v>表示銘柄数超過</v>
      </c>
      <c r="F1048" s="23" t="e">
        <f>_xll.RssMarket(A1048,"前日比率")/100</f>
        <v>#VALUE!</v>
      </c>
      <c r="G1048" s="24" t="str">
        <f>IFERROR(VLOOKUP(A1048,取得元!$A$2:$F$501,2,FALSE),"-")</f>
        <v>-</v>
      </c>
      <c r="H1048" s="24" t="str">
        <f>IFERROR(VLOOKUP(A1048,取得元!$A$2:$F$501,3,FALSE),"-")</f>
        <v>-</v>
      </c>
      <c r="I1048" s="24" t="str">
        <f>IFERROR(VLOOKUP(A1048,取得元!$A$2:$F$501,4,FALSE),"-")</f>
        <v>-</v>
      </c>
      <c r="J1048" s="5" t="str">
        <f>IFERROR(VLOOKUP(A1048,取得元!$A$2:$F$501,5,FALSE),"-")</f>
        <v>-</v>
      </c>
      <c r="K1048" s="25" t="str">
        <f>IFERROR(VLOOKUP(A1048,取得元!$A$2:$F$501,6,FALSE)/100,"-")</f>
        <v>-</v>
      </c>
      <c r="L1048" s="21" t="str">
        <f>_xll.RssMarket(A1048,"始値")</f>
        <v>表示銘柄数超過</v>
      </c>
      <c r="M1048" s="4" t="e">
        <f t="shared" si="95"/>
        <v>#VALUE!</v>
      </c>
      <c r="N1048" s="21" t="str">
        <f>_xll.RssMarket(A1048,"高値")</f>
        <v>表示銘柄数超過</v>
      </c>
      <c r="O1048" s="4" t="e">
        <f t="shared" si="96"/>
        <v>#VALUE!</v>
      </c>
      <c r="P1048" s="21" t="str">
        <f>_xll.RssMarket(A1048,"安値")</f>
        <v>表示銘柄数超過</v>
      </c>
      <c r="Q1048" s="4" t="e">
        <f t="shared" si="97"/>
        <v>#VALUE!</v>
      </c>
      <c r="R1048" s="21" t="str">
        <f>_xll.RssMarket(A1048,"後場始値")</f>
        <v>表示銘柄数超過</v>
      </c>
      <c r="S1048" s="25" t="str">
        <f t="shared" si="98"/>
        <v>-</v>
      </c>
      <c r="T1048" s="7" t="str">
        <f>_xll.RssMarket(A1048,"出来高加重平均")</f>
        <v>表示銘柄数超過</v>
      </c>
      <c r="U1048" s="4" t="e">
        <f t="shared" si="99"/>
        <v>#VALUE!</v>
      </c>
      <c r="V1048" s="21" t="str">
        <f>_xll.RssMarket(A1048,"出来高")</f>
        <v>表示銘柄数超過</v>
      </c>
      <c r="W1048" s="21" t="str">
        <f>_xll.RssMarket(A1048,"売買代金")</f>
        <v>表示銘柄数超過</v>
      </c>
      <c r="X1048" s="20" t="str">
        <f>_xll.RssMarket(A1048,"決算発表日")</f>
        <v>表示銘柄数超過</v>
      </c>
      <c r="Y1048" s="26" t="str">
        <f>IF(C1048&gt;_xll.RssMarket(A1048,"年初来高値"),"○","×")</f>
        <v>×</v>
      </c>
      <c r="Z1048" s="27" t="str">
        <f>IF(C1048&lt;=_xll.RssMarket(A1048,"年初来安値"),"○","×")</f>
        <v>○</v>
      </c>
    </row>
    <row r="1049" spans="1:26" x14ac:dyDescent="0.25">
      <c r="A1049" s="49">
        <v>8793</v>
      </c>
      <c r="B1049" s="20" t="str">
        <f>_xll.RssMarket(A1049,"銘柄名称")</f>
        <v>表示銘柄数超過</v>
      </c>
      <c r="C1049" s="21" t="str">
        <f>_xll.RssMarket(A1049,"現在値")</f>
        <v>表示銘柄数超過</v>
      </c>
      <c r="D1049" s="20" t="str">
        <f>_xll.RssMarket(A1049,"現在値詳細時刻")</f>
        <v>表示銘柄数超過</v>
      </c>
      <c r="E1049" s="22" t="str">
        <f>_xll.RssMarket(A1049,"前日比")</f>
        <v>表示銘柄数超過</v>
      </c>
      <c r="F1049" s="23" t="e">
        <f>_xll.RssMarket(A1049,"前日比率")/100</f>
        <v>#VALUE!</v>
      </c>
      <c r="G1049" s="24" t="str">
        <f>IFERROR(VLOOKUP(A1049,取得元!$A$2:$F$501,2,FALSE),"-")</f>
        <v>-</v>
      </c>
      <c r="H1049" s="24" t="str">
        <f>IFERROR(VLOOKUP(A1049,取得元!$A$2:$F$501,3,FALSE),"-")</f>
        <v>-</v>
      </c>
      <c r="I1049" s="24" t="str">
        <f>IFERROR(VLOOKUP(A1049,取得元!$A$2:$F$501,4,FALSE),"-")</f>
        <v>-</v>
      </c>
      <c r="J1049" s="5" t="str">
        <f>IFERROR(VLOOKUP(A1049,取得元!$A$2:$F$501,5,FALSE),"-")</f>
        <v>-</v>
      </c>
      <c r="K1049" s="25" t="str">
        <f>IFERROR(VLOOKUP(A1049,取得元!$A$2:$F$501,6,FALSE)/100,"-")</f>
        <v>-</v>
      </c>
      <c r="L1049" s="21" t="str">
        <f>_xll.RssMarket(A1049,"始値")</f>
        <v>表示銘柄数超過</v>
      </c>
      <c r="M1049" s="4" t="e">
        <f t="shared" si="95"/>
        <v>#VALUE!</v>
      </c>
      <c r="N1049" s="21" t="str">
        <f>_xll.RssMarket(A1049,"高値")</f>
        <v>表示銘柄数超過</v>
      </c>
      <c r="O1049" s="4" t="e">
        <f t="shared" si="96"/>
        <v>#VALUE!</v>
      </c>
      <c r="P1049" s="21" t="str">
        <f>_xll.RssMarket(A1049,"安値")</f>
        <v>表示銘柄数超過</v>
      </c>
      <c r="Q1049" s="4" t="e">
        <f t="shared" si="97"/>
        <v>#VALUE!</v>
      </c>
      <c r="R1049" s="21" t="str">
        <f>_xll.RssMarket(A1049,"後場始値")</f>
        <v>表示銘柄数超過</v>
      </c>
      <c r="S1049" s="25" t="str">
        <f t="shared" si="98"/>
        <v>-</v>
      </c>
      <c r="T1049" s="7" t="str">
        <f>_xll.RssMarket(A1049,"出来高加重平均")</f>
        <v>表示銘柄数超過</v>
      </c>
      <c r="U1049" s="4" t="e">
        <f t="shared" si="99"/>
        <v>#VALUE!</v>
      </c>
      <c r="V1049" s="21" t="str">
        <f>_xll.RssMarket(A1049,"出来高")</f>
        <v>表示銘柄数超過</v>
      </c>
      <c r="W1049" s="21" t="str">
        <f>_xll.RssMarket(A1049,"売買代金")</f>
        <v>表示銘柄数超過</v>
      </c>
      <c r="X1049" s="20" t="str">
        <f>_xll.RssMarket(A1049,"決算発表日")</f>
        <v>表示銘柄数超過</v>
      </c>
      <c r="Y1049" s="26" t="str">
        <f>IF(C1049&gt;_xll.RssMarket(A1049,"年初来高値"),"○","×")</f>
        <v>×</v>
      </c>
      <c r="Z1049" s="27" t="str">
        <f>IF(C1049&lt;=_xll.RssMarket(A1049,"年初来安値"),"○","×")</f>
        <v>○</v>
      </c>
    </row>
    <row r="1050" spans="1:26" x14ac:dyDescent="0.25">
      <c r="A1050" s="47">
        <v>8801</v>
      </c>
      <c r="B1050" s="20" t="str">
        <f>_xll.RssMarket(A1050,"銘柄名称")</f>
        <v>表示銘柄数超過</v>
      </c>
      <c r="C1050" s="21" t="str">
        <f>_xll.RssMarket(A1050,"現在値")</f>
        <v>表示銘柄数超過</v>
      </c>
      <c r="D1050" s="20" t="str">
        <f>_xll.RssMarket(A1050,"現在値詳細時刻")</f>
        <v>表示銘柄数超過</v>
      </c>
      <c r="E1050" s="22" t="str">
        <f>_xll.RssMarket(A1050,"前日比")</f>
        <v>表示銘柄数超過</v>
      </c>
      <c r="F1050" s="23" t="e">
        <f>_xll.RssMarket(A1050,"前日比率")/100</f>
        <v>#VALUE!</v>
      </c>
      <c r="G1050" s="24" t="str">
        <f>IFERROR(VLOOKUP(A1050,取得元!$A$2:$F$501,2,FALSE),"-")</f>
        <v>-</v>
      </c>
      <c r="H1050" s="24" t="str">
        <f>IFERROR(VLOOKUP(A1050,取得元!$A$2:$F$501,3,FALSE),"-")</f>
        <v>-</v>
      </c>
      <c r="I1050" s="24" t="str">
        <f>IFERROR(VLOOKUP(A1050,取得元!$A$2:$F$501,4,FALSE),"-")</f>
        <v>-</v>
      </c>
      <c r="J1050" s="5" t="str">
        <f>IFERROR(VLOOKUP(A1050,取得元!$A$2:$F$501,5,FALSE),"-")</f>
        <v>-</v>
      </c>
      <c r="K1050" s="25" t="str">
        <f>IFERROR(VLOOKUP(A1050,取得元!$A$2:$F$501,6,FALSE)/100,"-")</f>
        <v>-</v>
      </c>
      <c r="L1050" s="21" t="str">
        <f>_xll.RssMarket(A1050,"始値")</f>
        <v>表示銘柄数超過</v>
      </c>
      <c r="M1050" s="4" t="e">
        <f t="shared" si="95"/>
        <v>#VALUE!</v>
      </c>
      <c r="N1050" s="21" t="str">
        <f>_xll.RssMarket(A1050,"高値")</f>
        <v>表示銘柄数超過</v>
      </c>
      <c r="O1050" s="4" t="e">
        <f t="shared" si="96"/>
        <v>#VALUE!</v>
      </c>
      <c r="P1050" s="21" t="str">
        <f>_xll.RssMarket(A1050,"安値")</f>
        <v>表示銘柄数超過</v>
      </c>
      <c r="Q1050" s="4" t="e">
        <f t="shared" si="97"/>
        <v>#VALUE!</v>
      </c>
      <c r="R1050" s="21" t="str">
        <f>_xll.RssMarket(A1050,"後場始値")</f>
        <v>表示銘柄数超過</v>
      </c>
      <c r="S1050" s="25" t="str">
        <f t="shared" si="98"/>
        <v>-</v>
      </c>
      <c r="T1050" s="7" t="str">
        <f>_xll.RssMarket(A1050,"出来高加重平均")</f>
        <v>表示銘柄数超過</v>
      </c>
      <c r="U1050" s="4" t="e">
        <f t="shared" si="99"/>
        <v>#VALUE!</v>
      </c>
      <c r="V1050" s="21" t="str">
        <f>_xll.RssMarket(A1050,"出来高")</f>
        <v>表示銘柄数超過</v>
      </c>
      <c r="W1050" s="21" t="str">
        <f>_xll.RssMarket(A1050,"売買代金")</f>
        <v>表示銘柄数超過</v>
      </c>
      <c r="X1050" s="20" t="str">
        <f>_xll.RssMarket(A1050,"決算発表日")</f>
        <v>表示銘柄数超過</v>
      </c>
      <c r="Y1050" s="26" t="str">
        <f>IF(C1050&gt;_xll.RssMarket(A1050,"年初来高値"),"○","×")</f>
        <v>×</v>
      </c>
      <c r="Z1050" s="27" t="str">
        <f>IF(C1050&lt;=_xll.RssMarket(A1050,"年初来安値"),"○","×")</f>
        <v>○</v>
      </c>
    </row>
    <row r="1051" spans="1:26" x14ac:dyDescent="0.25">
      <c r="A1051" s="49">
        <v>8802</v>
      </c>
      <c r="B1051" s="20" t="str">
        <f>_xll.RssMarket(A1051,"銘柄名称")</f>
        <v>表示銘柄数超過</v>
      </c>
      <c r="C1051" s="21" t="str">
        <f>_xll.RssMarket(A1051,"現在値")</f>
        <v>表示銘柄数超過</v>
      </c>
      <c r="D1051" s="20" t="str">
        <f>_xll.RssMarket(A1051,"現在値詳細時刻")</f>
        <v>表示銘柄数超過</v>
      </c>
      <c r="E1051" s="22" t="str">
        <f>_xll.RssMarket(A1051,"前日比")</f>
        <v>表示銘柄数超過</v>
      </c>
      <c r="F1051" s="23" t="e">
        <f>_xll.RssMarket(A1051,"前日比率")/100</f>
        <v>#VALUE!</v>
      </c>
      <c r="G1051" s="24" t="str">
        <f>IFERROR(VLOOKUP(A1051,取得元!$A$2:$F$501,2,FALSE),"-")</f>
        <v>-</v>
      </c>
      <c r="H1051" s="24" t="str">
        <f>IFERROR(VLOOKUP(A1051,取得元!$A$2:$F$501,3,FALSE),"-")</f>
        <v>-</v>
      </c>
      <c r="I1051" s="24" t="str">
        <f>IFERROR(VLOOKUP(A1051,取得元!$A$2:$F$501,4,FALSE),"-")</f>
        <v>-</v>
      </c>
      <c r="J1051" s="5" t="str">
        <f>IFERROR(VLOOKUP(A1051,取得元!$A$2:$F$501,5,FALSE),"-")</f>
        <v>-</v>
      </c>
      <c r="K1051" s="25" t="str">
        <f>IFERROR(VLOOKUP(A1051,取得元!$A$2:$F$501,6,FALSE)/100,"-")</f>
        <v>-</v>
      </c>
      <c r="L1051" s="21" t="str">
        <f>_xll.RssMarket(A1051,"始値")</f>
        <v>表示銘柄数超過</v>
      </c>
      <c r="M1051" s="4" t="e">
        <f t="shared" si="95"/>
        <v>#VALUE!</v>
      </c>
      <c r="N1051" s="21" t="str">
        <f>_xll.RssMarket(A1051,"高値")</f>
        <v>表示銘柄数超過</v>
      </c>
      <c r="O1051" s="4" t="e">
        <f t="shared" si="96"/>
        <v>#VALUE!</v>
      </c>
      <c r="P1051" s="21" t="str">
        <f>_xll.RssMarket(A1051,"安値")</f>
        <v>表示銘柄数超過</v>
      </c>
      <c r="Q1051" s="4" t="e">
        <f t="shared" si="97"/>
        <v>#VALUE!</v>
      </c>
      <c r="R1051" s="21" t="str">
        <f>_xll.RssMarket(A1051,"後場始値")</f>
        <v>表示銘柄数超過</v>
      </c>
      <c r="S1051" s="25" t="str">
        <f t="shared" si="98"/>
        <v>-</v>
      </c>
      <c r="T1051" s="7" t="str">
        <f>_xll.RssMarket(A1051,"出来高加重平均")</f>
        <v>表示銘柄数超過</v>
      </c>
      <c r="U1051" s="4" t="e">
        <f t="shared" si="99"/>
        <v>#VALUE!</v>
      </c>
      <c r="V1051" s="21" t="str">
        <f>_xll.RssMarket(A1051,"出来高")</f>
        <v>表示銘柄数超過</v>
      </c>
      <c r="W1051" s="21" t="str">
        <f>_xll.RssMarket(A1051,"売買代金")</f>
        <v>表示銘柄数超過</v>
      </c>
      <c r="X1051" s="20" t="str">
        <f>_xll.RssMarket(A1051,"決算発表日")</f>
        <v>表示銘柄数超過</v>
      </c>
      <c r="Y1051" s="26" t="str">
        <f>IF(C1051&gt;_xll.RssMarket(A1051,"年初来高値"),"○","×")</f>
        <v>×</v>
      </c>
      <c r="Z1051" s="27" t="str">
        <f>IF(C1051&lt;=_xll.RssMarket(A1051,"年初来安値"),"○","×")</f>
        <v>○</v>
      </c>
    </row>
    <row r="1052" spans="1:26" x14ac:dyDescent="0.25">
      <c r="A1052" s="47">
        <v>8804</v>
      </c>
      <c r="B1052" s="20" t="str">
        <f>_xll.RssMarket(A1052,"銘柄名称")</f>
        <v>表示銘柄数超過</v>
      </c>
      <c r="C1052" s="21" t="str">
        <f>_xll.RssMarket(A1052,"現在値")</f>
        <v>表示銘柄数超過</v>
      </c>
      <c r="D1052" s="20" t="str">
        <f>_xll.RssMarket(A1052,"現在値詳細時刻")</f>
        <v>表示銘柄数超過</v>
      </c>
      <c r="E1052" s="22" t="str">
        <f>_xll.RssMarket(A1052,"前日比")</f>
        <v>表示銘柄数超過</v>
      </c>
      <c r="F1052" s="23" t="e">
        <f>_xll.RssMarket(A1052,"前日比率")/100</f>
        <v>#VALUE!</v>
      </c>
      <c r="G1052" s="24" t="str">
        <f>IFERROR(VLOOKUP(A1052,取得元!$A$2:$F$501,2,FALSE),"-")</f>
        <v>-</v>
      </c>
      <c r="H1052" s="24" t="str">
        <f>IFERROR(VLOOKUP(A1052,取得元!$A$2:$F$501,3,FALSE),"-")</f>
        <v>-</v>
      </c>
      <c r="I1052" s="24" t="str">
        <f>IFERROR(VLOOKUP(A1052,取得元!$A$2:$F$501,4,FALSE),"-")</f>
        <v>-</v>
      </c>
      <c r="J1052" s="5" t="str">
        <f>IFERROR(VLOOKUP(A1052,取得元!$A$2:$F$501,5,FALSE),"-")</f>
        <v>-</v>
      </c>
      <c r="K1052" s="25" t="str">
        <f>IFERROR(VLOOKUP(A1052,取得元!$A$2:$F$501,6,FALSE)/100,"-")</f>
        <v>-</v>
      </c>
      <c r="L1052" s="21" t="str">
        <f>_xll.RssMarket(A1052,"始値")</f>
        <v>表示銘柄数超過</v>
      </c>
      <c r="M1052" s="4" t="e">
        <f t="shared" si="95"/>
        <v>#VALUE!</v>
      </c>
      <c r="N1052" s="21" t="str">
        <f>_xll.RssMarket(A1052,"高値")</f>
        <v>表示銘柄数超過</v>
      </c>
      <c r="O1052" s="4" t="e">
        <f t="shared" si="96"/>
        <v>#VALUE!</v>
      </c>
      <c r="P1052" s="21" t="str">
        <f>_xll.RssMarket(A1052,"安値")</f>
        <v>表示銘柄数超過</v>
      </c>
      <c r="Q1052" s="4" t="e">
        <f t="shared" si="97"/>
        <v>#VALUE!</v>
      </c>
      <c r="R1052" s="21" t="str">
        <f>_xll.RssMarket(A1052,"後場始値")</f>
        <v>表示銘柄数超過</v>
      </c>
      <c r="S1052" s="25" t="str">
        <f t="shared" si="98"/>
        <v>-</v>
      </c>
      <c r="T1052" s="7" t="str">
        <f>_xll.RssMarket(A1052,"出来高加重平均")</f>
        <v>表示銘柄数超過</v>
      </c>
      <c r="U1052" s="4" t="e">
        <f t="shared" si="99"/>
        <v>#VALUE!</v>
      </c>
      <c r="V1052" s="21" t="str">
        <f>_xll.RssMarket(A1052,"出来高")</f>
        <v>表示銘柄数超過</v>
      </c>
      <c r="W1052" s="21" t="str">
        <f>_xll.RssMarket(A1052,"売買代金")</f>
        <v>表示銘柄数超過</v>
      </c>
      <c r="X1052" s="20" t="str">
        <f>_xll.RssMarket(A1052,"決算発表日")</f>
        <v>表示銘柄数超過</v>
      </c>
      <c r="Y1052" s="26" t="str">
        <f>IF(C1052&gt;_xll.RssMarket(A1052,"年初来高値"),"○","×")</f>
        <v>×</v>
      </c>
      <c r="Z1052" s="27" t="str">
        <f>IF(C1052&lt;=_xll.RssMarket(A1052,"年初来安値"),"○","×")</f>
        <v>○</v>
      </c>
    </row>
    <row r="1053" spans="1:26" x14ac:dyDescent="0.25">
      <c r="A1053" s="49">
        <v>8818</v>
      </c>
      <c r="B1053" s="20" t="str">
        <f>_xll.RssMarket(A1053,"銘柄名称")</f>
        <v>表示銘柄数超過</v>
      </c>
      <c r="C1053" s="21" t="str">
        <f>_xll.RssMarket(A1053,"現在値")</f>
        <v>表示銘柄数超過</v>
      </c>
      <c r="D1053" s="20" t="str">
        <f>_xll.RssMarket(A1053,"現在値詳細時刻")</f>
        <v>表示銘柄数超過</v>
      </c>
      <c r="E1053" s="22" t="str">
        <f>_xll.RssMarket(A1053,"前日比")</f>
        <v>表示銘柄数超過</v>
      </c>
      <c r="F1053" s="23" t="e">
        <f>_xll.RssMarket(A1053,"前日比率")/100</f>
        <v>#VALUE!</v>
      </c>
      <c r="G1053" s="24" t="str">
        <f>IFERROR(VLOOKUP(A1053,取得元!$A$2:$F$501,2,FALSE),"-")</f>
        <v>-</v>
      </c>
      <c r="H1053" s="24" t="str">
        <f>IFERROR(VLOOKUP(A1053,取得元!$A$2:$F$501,3,FALSE),"-")</f>
        <v>-</v>
      </c>
      <c r="I1053" s="24" t="str">
        <f>IFERROR(VLOOKUP(A1053,取得元!$A$2:$F$501,4,FALSE),"-")</f>
        <v>-</v>
      </c>
      <c r="J1053" s="5" t="str">
        <f>IFERROR(VLOOKUP(A1053,取得元!$A$2:$F$501,5,FALSE),"-")</f>
        <v>-</v>
      </c>
      <c r="K1053" s="25" t="str">
        <f>IFERROR(VLOOKUP(A1053,取得元!$A$2:$F$501,6,FALSE)/100,"-")</f>
        <v>-</v>
      </c>
      <c r="L1053" s="21" t="str">
        <f>_xll.RssMarket(A1053,"始値")</f>
        <v>表示銘柄数超過</v>
      </c>
      <c r="M1053" s="4" t="e">
        <f t="shared" si="95"/>
        <v>#VALUE!</v>
      </c>
      <c r="N1053" s="21" t="str">
        <f>_xll.RssMarket(A1053,"高値")</f>
        <v>表示銘柄数超過</v>
      </c>
      <c r="O1053" s="4" t="e">
        <f t="shared" si="96"/>
        <v>#VALUE!</v>
      </c>
      <c r="P1053" s="21" t="str">
        <f>_xll.RssMarket(A1053,"安値")</f>
        <v>表示銘柄数超過</v>
      </c>
      <c r="Q1053" s="4" t="e">
        <f t="shared" si="97"/>
        <v>#VALUE!</v>
      </c>
      <c r="R1053" s="21" t="str">
        <f>_xll.RssMarket(A1053,"後場始値")</f>
        <v>表示銘柄数超過</v>
      </c>
      <c r="S1053" s="25" t="str">
        <f t="shared" si="98"/>
        <v>-</v>
      </c>
      <c r="T1053" s="7" t="str">
        <f>_xll.RssMarket(A1053,"出来高加重平均")</f>
        <v>表示銘柄数超過</v>
      </c>
      <c r="U1053" s="4" t="e">
        <f t="shared" si="99"/>
        <v>#VALUE!</v>
      </c>
      <c r="V1053" s="21" t="str">
        <f>_xll.RssMarket(A1053,"出来高")</f>
        <v>表示銘柄数超過</v>
      </c>
      <c r="W1053" s="21" t="str">
        <f>_xll.RssMarket(A1053,"売買代金")</f>
        <v>表示銘柄数超過</v>
      </c>
      <c r="X1053" s="20" t="str">
        <f>_xll.RssMarket(A1053,"決算発表日")</f>
        <v>表示銘柄数超過</v>
      </c>
      <c r="Y1053" s="26" t="str">
        <f>IF(C1053&gt;_xll.RssMarket(A1053,"年初来高値"),"○","×")</f>
        <v>×</v>
      </c>
      <c r="Z1053" s="27" t="str">
        <f>IF(C1053&lt;=_xll.RssMarket(A1053,"年初来安値"),"○","×")</f>
        <v>○</v>
      </c>
    </row>
    <row r="1054" spans="1:26" x14ac:dyDescent="0.25">
      <c r="A1054" s="47">
        <v>8830</v>
      </c>
      <c r="B1054" s="20" t="str">
        <f>_xll.RssMarket(A1054,"銘柄名称")</f>
        <v>表示銘柄数超過</v>
      </c>
      <c r="C1054" s="21" t="str">
        <f>_xll.RssMarket(A1054,"現在値")</f>
        <v>表示銘柄数超過</v>
      </c>
      <c r="D1054" s="20" t="str">
        <f>_xll.RssMarket(A1054,"現在値詳細時刻")</f>
        <v>表示銘柄数超過</v>
      </c>
      <c r="E1054" s="22" t="str">
        <f>_xll.RssMarket(A1054,"前日比")</f>
        <v>表示銘柄数超過</v>
      </c>
      <c r="F1054" s="23" t="e">
        <f>_xll.RssMarket(A1054,"前日比率")/100</f>
        <v>#VALUE!</v>
      </c>
      <c r="G1054" s="24" t="str">
        <f>IFERROR(VLOOKUP(A1054,取得元!$A$2:$F$501,2,FALSE),"-")</f>
        <v>-</v>
      </c>
      <c r="H1054" s="24" t="str">
        <f>IFERROR(VLOOKUP(A1054,取得元!$A$2:$F$501,3,FALSE),"-")</f>
        <v>-</v>
      </c>
      <c r="I1054" s="24" t="str">
        <f>IFERROR(VLOOKUP(A1054,取得元!$A$2:$F$501,4,FALSE),"-")</f>
        <v>-</v>
      </c>
      <c r="J1054" s="5" t="str">
        <f>IFERROR(VLOOKUP(A1054,取得元!$A$2:$F$501,5,FALSE),"-")</f>
        <v>-</v>
      </c>
      <c r="K1054" s="25" t="str">
        <f>IFERROR(VLOOKUP(A1054,取得元!$A$2:$F$501,6,FALSE)/100,"-")</f>
        <v>-</v>
      </c>
      <c r="L1054" s="21" t="str">
        <f>_xll.RssMarket(A1054,"始値")</f>
        <v>表示銘柄数超過</v>
      </c>
      <c r="M1054" s="4" t="e">
        <f t="shared" si="95"/>
        <v>#VALUE!</v>
      </c>
      <c r="N1054" s="21" t="str">
        <f>_xll.RssMarket(A1054,"高値")</f>
        <v>表示銘柄数超過</v>
      </c>
      <c r="O1054" s="4" t="e">
        <f t="shared" si="96"/>
        <v>#VALUE!</v>
      </c>
      <c r="P1054" s="21" t="str">
        <f>_xll.RssMarket(A1054,"安値")</f>
        <v>表示銘柄数超過</v>
      </c>
      <c r="Q1054" s="4" t="e">
        <f t="shared" si="97"/>
        <v>#VALUE!</v>
      </c>
      <c r="R1054" s="21" t="str">
        <f>_xll.RssMarket(A1054,"後場始値")</f>
        <v>表示銘柄数超過</v>
      </c>
      <c r="S1054" s="25" t="str">
        <f t="shared" si="98"/>
        <v>-</v>
      </c>
      <c r="T1054" s="7" t="str">
        <f>_xll.RssMarket(A1054,"出来高加重平均")</f>
        <v>表示銘柄数超過</v>
      </c>
      <c r="U1054" s="4" t="e">
        <f t="shared" si="99"/>
        <v>#VALUE!</v>
      </c>
      <c r="V1054" s="21" t="str">
        <f>_xll.RssMarket(A1054,"出来高")</f>
        <v>表示銘柄数超過</v>
      </c>
      <c r="W1054" s="21" t="str">
        <f>_xll.RssMarket(A1054,"売買代金")</f>
        <v>表示銘柄数超過</v>
      </c>
      <c r="X1054" s="20" t="str">
        <f>_xll.RssMarket(A1054,"決算発表日")</f>
        <v>表示銘柄数超過</v>
      </c>
      <c r="Y1054" s="26" t="str">
        <f>IF(C1054&gt;_xll.RssMarket(A1054,"年初来高値"),"○","×")</f>
        <v>×</v>
      </c>
      <c r="Z1054" s="27" t="str">
        <f>IF(C1054&lt;=_xll.RssMarket(A1054,"年初来安値"),"○","×")</f>
        <v>○</v>
      </c>
    </row>
    <row r="1055" spans="1:26" x14ac:dyDescent="0.25">
      <c r="A1055" s="49">
        <v>8841</v>
      </c>
      <c r="B1055" s="20" t="str">
        <f>_xll.RssMarket(A1055,"銘柄名称")</f>
        <v>表示銘柄数超過</v>
      </c>
      <c r="C1055" s="21" t="str">
        <f>_xll.RssMarket(A1055,"現在値")</f>
        <v>表示銘柄数超過</v>
      </c>
      <c r="D1055" s="20" t="str">
        <f>_xll.RssMarket(A1055,"現在値詳細時刻")</f>
        <v>表示銘柄数超過</v>
      </c>
      <c r="E1055" s="22" t="str">
        <f>_xll.RssMarket(A1055,"前日比")</f>
        <v>表示銘柄数超過</v>
      </c>
      <c r="F1055" s="23" t="e">
        <f>_xll.RssMarket(A1055,"前日比率")/100</f>
        <v>#VALUE!</v>
      </c>
      <c r="G1055" s="24" t="str">
        <f>IFERROR(VLOOKUP(A1055,取得元!$A$2:$F$501,2,FALSE),"-")</f>
        <v>-</v>
      </c>
      <c r="H1055" s="24" t="str">
        <f>IFERROR(VLOOKUP(A1055,取得元!$A$2:$F$501,3,FALSE),"-")</f>
        <v>-</v>
      </c>
      <c r="I1055" s="24" t="str">
        <f>IFERROR(VLOOKUP(A1055,取得元!$A$2:$F$501,4,FALSE),"-")</f>
        <v>-</v>
      </c>
      <c r="J1055" s="5" t="str">
        <f>IFERROR(VLOOKUP(A1055,取得元!$A$2:$F$501,5,FALSE),"-")</f>
        <v>-</v>
      </c>
      <c r="K1055" s="25" t="str">
        <f>IFERROR(VLOOKUP(A1055,取得元!$A$2:$F$501,6,FALSE)/100,"-")</f>
        <v>-</v>
      </c>
      <c r="L1055" s="21" t="str">
        <f>_xll.RssMarket(A1055,"始値")</f>
        <v>表示銘柄数超過</v>
      </c>
      <c r="M1055" s="4" t="e">
        <f t="shared" si="95"/>
        <v>#VALUE!</v>
      </c>
      <c r="N1055" s="21" t="str">
        <f>_xll.RssMarket(A1055,"高値")</f>
        <v>表示銘柄数超過</v>
      </c>
      <c r="O1055" s="4" t="e">
        <f t="shared" si="96"/>
        <v>#VALUE!</v>
      </c>
      <c r="P1055" s="21" t="str">
        <f>_xll.RssMarket(A1055,"安値")</f>
        <v>表示銘柄数超過</v>
      </c>
      <c r="Q1055" s="4" t="e">
        <f t="shared" si="97"/>
        <v>#VALUE!</v>
      </c>
      <c r="R1055" s="21" t="str">
        <f>_xll.RssMarket(A1055,"後場始値")</f>
        <v>表示銘柄数超過</v>
      </c>
      <c r="S1055" s="25" t="str">
        <f t="shared" si="98"/>
        <v>-</v>
      </c>
      <c r="T1055" s="7" t="str">
        <f>_xll.RssMarket(A1055,"出来高加重平均")</f>
        <v>表示銘柄数超過</v>
      </c>
      <c r="U1055" s="4" t="e">
        <f t="shared" si="99"/>
        <v>#VALUE!</v>
      </c>
      <c r="V1055" s="21" t="str">
        <f>_xll.RssMarket(A1055,"出来高")</f>
        <v>表示銘柄数超過</v>
      </c>
      <c r="W1055" s="21" t="str">
        <f>_xll.RssMarket(A1055,"売買代金")</f>
        <v>表示銘柄数超過</v>
      </c>
      <c r="X1055" s="20" t="str">
        <f>_xll.RssMarket(A1055,"決算発表日")</f>
        <v>表示銘柄数超過</v>
      </c>
      <c r="Y1055" s="26" t="str">
        <f>IF(C1055&gt;_xll.RssMarket(A1055,"年初来高値"),"○","×")</f>
        <v>×</v>
      </c>
      <c r="Z1055" s="27" t="str">
        <f>IF(C1055&lt;=_xll.RssMarket(A1055,"年初来安値"),"○","×")</f>
        <v>○</v>
      </c>
    </row>
    <row r="1056" spans="1:26" x14ac:dyDescent="0.25">
      <c r="A1056" s="47">
        <v>8844</v>
      </c>
      <c r="B1056" s="20" t="str">
        <f>_xll.RssMarket(A1056,"銘柄名称")</f>
        <v>表示銘柄数超過</v>
      </c>
      <c r="C1056" s="21" t="str">
        <f>_xll.RssMarket(A1056,"現在値")</f>
        <v>表示銘柄数超過</v>
      </c>
      <c r="D1056" s="20" t="str">
        <f>_xll.RssMarket(A1056,"現在値詳細時刻")</f>
        <v>表示銘柄数超過</v>
      </c>
      <c r="E1056" s="22" t="str">
        <f>_xll.RssMarket(A1056,"前日比")</f>
        <v>表示銘柄数超過</v>
      </c>
      <c r="F1056" s="23" t="e">
        <f>_xll.RssMarket(A1056,"前日比率")/100</f>
        <v>#VALUE!</v>
      </c>
      <c r="G1056" s="24" t="str">
        <f>IFERROR(VLOOKUP(A1056,取得元!$A$2:$F$501,2,FALSE),"-")</f>
        <v>-</v>
      </c>
      <c r="H1056" s="24" t="str">
        <f>IFERROR(VLOOKUP(A1056,取得元!$A$2:$F$501,3,FALSE),"-")</f>
        <v>-</v>
      </c>
      <c r="I1056" s="24" t="str">
        <f>IFERROR(VLOOKUP(A1056,取得元!$A$2:$F$501,4,FALSE),"-")</f>
        <v>-</v>
      </c>
      <c r="J1056" s="5" t="str">
        <f>IFERROR(VLOOKUP(A1056,取得元!$A$2:$F$501,5,FALSE),"-")</f>
        <v>-</v>
      </c>
      <c r="K1056" s="25" t="str">
        <f>IFERROR(VLOOKUP(A1056,取得元!$A$2:$F$501,6,FALSE)/100,"-")</f>
        <v>-</v>
      </c>
      <c r="L1056" s="21" t="str">
        <f>_xll.RssMarket(A1056,"始値")</f>
        <v>表示銘柄数超過</v>
      </c>
      <c r="M1056" s="4" t="e">
        <f t="shared" si="95"/>
        <v>#VALUE!</v>
      </c>
      <c r="N1056" s="21" t="str">
        <f>_xll.RssMarket(A1056,"高値")</f>
        <v>表示銘柄数超過</v>
      </c>
      <c r="O1056" s="4" t="e">
        <f t="shared" si="96"/>
        <v>#VALUE!</v>
      </c>
      <c r="P1056" s="21" t="str">
        <f>_xll.RssMarket(A1056,"安値")</f>
        <v>表示銘柄数超過</v>
      </c>
      <c r="Q1056" s="4" t="e">
        <f t="shared" si="97"/>
        <v>#VALUE!</v>
      </c>
      <c r="R1056" s="21" t="str">
        <f>_xll.RssMarket(A1056,"後場始値")</f>
        <v>表示銘柄数超過</v>
      </c>
      <c r="S1056" s="25" t="str">
        <f t="shared" si="98"/>
        <v>-</v>
      </c>
      <c r="T1056" s="7" t="str">
        <f>_xll.RssMarket(A1056,"出来高加重平均")</f>
        <v>表示銘柄数超過</v>
      </c>
      <c r="U1056" s="4" t="e">
        <f t="shared" si="99"/>
        <v>#VALUE!</v>
      </c>
      <c r="V1056" s="21" t="str">
        <f>_xll.RssMarket(A1056,"出来高")</f>
        <v>表示銘柄数超過</v>
      </c>
      <c r="W1056" s="21" t="str">
        <f>_xll.RssMarket(A1056,"売買代金")</f>
        <v>表示銘柄数超過</v>
      </c>
      <c r="X1056" s="20" t="str">
        <f>_xll.RssMarket(A1056,"決算発表日")</f>
        <v>表示銘柄数超過</v>
      </c>
      <c r="Y1056" s="26" t="str">
        <f>IF(C1056&gt;_xll.RssMarket(A1056,"年初来高値"),"○","×")</f>
        <v>×</v>
      </c>
      <c r="Z1056" s="27" t="str">
        <f>IF(C1056&lt;=_xll.RssMarket(A1056,"年初来安値"),"○","×")</f>
        <v>○</v>
      </c>
    </row>
    <row r="1057" spans="1:26" x14ac:dyDescent="0.25">
      <c r="A1057" s="49">
        <v>8881</v>
      </c>
      <c r="B1057" s="20" t="str">
        <f>_xll.RssMarket(A1057,"銘柄名称")</f>
        <v>表示銘柄数超過</v>
      </c>
      <c r="C1057" s="21" t="str">
        <f>_xll.RssMarket(A1057,"現在値")</f>
        <v>表示銘柄数超過</v>
      </c>
      <c r="D1057" s="20" t="str">
        <f>_xll.RssMarket(A1057,"現在値詳細時刻")</f>
        <v>表示銘柄数超過</v>
      </c>
      <c r="E1057" s="22" t="str">
        <f>_xll.RssMarket(A1057,"前日比")</f>
        <v>表示銘柄数超過</v>
      </c>
      <c r="F1057" s="23" t="e">
        <f>_xll.RssMarket(A1057,"前日比率")/100</f>
        <v>#VALUE!</v>
      </c>
      <c r="G1057" s="24" t="str">
        <f>IFERROR(VLOOKUP(A1057,取得元!$A$2:$F$501,2,FALSE),"-")</f>
        <v>-</v>
      </c>
      <c r="H1057" s="24" t="str">
        <f>IFERROR(VLOOKUP(A1057,取得元!$A$2:$F$501,3,FALSE),"-")</f>
        <v>-</v>
      </c>
      <c r="I1057" s="24" t="str">
        <f>IFERROR(VLOOKUP(A1057,取得元!$A$2:$F$501,4,FALSE),"-")</f>
        <v>-</v>
      </c>
      <c r="J1057" s="5" t="str">
        <f>IFERROR(VLOOKUP(A1057,取得元!$A$2:$F$501,5,FALSE),"-")</f>
        <v>-</v>
      </c>
      <c r="K1057" s="25" t="str">
        <f>IFERROR(VLOOKUP(A1057,取得元!$A$2:$F$501,6,FALSE)/100,"-")</f>
        <v>-</v>
      </c>
      <c r="L1057" s="21" t="str">
        <f>_xll.RssMarket(A1057,"始値")</f>
        <v>表示銘柄数超過</v>
      </c>
      <c r="M1057" s="4" t="e">
        <f t="shared" si="95"/>
        <v>#VALUE!</v>
      </c>
      <c r="N1057" s="21" t="str">
        <f>_xll.RssMarket(A1057,"高値")</f>
        <v>表示銘柄数超過</v>
      </c>
      <c r="O1057" s="4" t="e">
        <f t="shared" si="96"/>
        <v>#VALUE!</v>
      </c>
      <c r="P1057" s="21" t="str">
        <f>_xll.RssMarket(A1057,"安値")</f>
        <v>表示銘柄数超過</v>
      </c>
      <c r="Q1057" s="4" t="e">
        <f t="shared" si="97"/>
        <v>#VALUE!</v>
      </c>
      <c r="R1057" s="21" t="str">
        <f>_xll.RssMarket(A1057,"後場始値")</f>
        <v>表示銘柄数超過</v>
      </c>
      <c r="S1057" s="25" t="str">
        <f t="shared" si="98"/>
        <v>-</v>
      </c>
      <c r="T1057" s="7" t="str">
        <f>_xll.RssMarket(A1057,"出来高加重平均")</f>
        <v>表示銘柄数超過</v>
      </c>
      <c r="U1057" s="4" t="e">
        <f t="shared" si="99"/>
        <v>#VALUE!</v>
      </c>
      <c r="V1057" s="21" t="str">
        <f>_xll.RssMarket(A1057,"出来高")</f>
        <v>表示銘柄数超過</v>
      </c>
      <c r="W1057" s="21" t="str">
        <f>_xll.RssMarket(A1057,"売買代金")</f>
        <v>表示銘柄数超過</v>
      </c>
      <c r="X1057" s="20" t="str">
        <f>_xll.RssMarket(A1057,"決算発表日")</f>
        <v>表示銘柄数超過</v>
      </c>
      <c r="Y1057" s="26" t="str">
        <f>IF(C1057&gt;_xll.RssMarket(A1057,"年初来高値"),"○","×")</f>
        <v>×</v>
      </c>
      <c r="Z1057" s="27" t="str">
        <f>IF(C1057&lt;=_xll.RssMarket(A1057,"年初来安値"),"○","×")</f>
        <v>○</v>
      </c>
    </row>
    <row r="1058" spans="1:26" x14ac:dyDescent="0.25">
      <c r="A1058" s="47">
        <v>8887</v>
      </c>
      <c r="B1058" s="20" t="str">
        <f>_xll.RssMarket(A1058,"銘柄名称")</f>
        <v>表示銘柄数超過</v>
      </c>
      <c r="C1058" s="21" t="str">
        <f>_xll.RssMarket(A1058,"現在値")</f>
        <v>表示銘柄数超過</v>
      </c>
      <c r="D1058" s="20" t="str">
        <f>_xll.RssMarket(A1058,"現在値詳細時刻")</f>
        <v>表示銘柄数超過</v>
      </c>
      <c r="E1058" s="22" t="str">
        <f>_xll.RssMarket(A1058,"前日比")</f>
        <v>表示銘柄数超過</v>
      </c>
      <c r="F1058" s="23" t="e">
        <f>_xll.RssMarket(A1058,"前日比率")/100</f>
        <v>#VALUE!</v>
      </c>
      <c r="G1058" s="24" t="str">
        <f>IFERROR(VLOOKUP(A1058,取得元!$A$2:$F$501,2,FALSE),"-")</f>
        <v>-</v>
      </c>
      <c r="H1058" s="24" t="str">
        <f>IFERROR(VLOOKUP(A1058,取得元!$A$2:$F$501,3,FALSE),"-")</f>
        <v>-</v>
      </c>
      <c r="I1058" s="24" t="str">
        <f>IFERROR(VLOOKUP(A1058,取得元!$A$2:$F$501,4,FALSE),"-")</f>
        <v>-</v>
      </c>
      <c r="J1058" s="5" t="str">
        <f>IFERROR(VLOOKUP(A1058,取得元!$A$2:$F$501,5,FALSE),"-")</f>
        <v>-</v>
      </c>
      <c r="K1058" s="25" t="str">
        <f>IFERROR(VLOOKUP(A1058,取得元!$A$2:$F$501,6,FALSE)/100,"-")</f>
        <v>-</v>
      </c>
      <c r="L1058" s="21" t="str">
        <f>_xll.RssMarket(A1058,"始値")</f>
        <v>表示銘柄数超過</v>
      </c>
      <c r="M1058" s="4" t="e">
        <f t="shared" si="95"/>
        <v>#VALUE!</v>
      </c>
      <c r="N1058" s="21" t="str">
        <f>_xll.RssMarket(A1058,"高値")</f>
        <v>表示銘柄数超過</v>
      </c>
      <c r="O1058" s="4" t="e">
        <f t="shared" si="96"/>
        <v>#VALUE!</v>
      </c>
      <c r="P1058" s="21" t="str">
        <f>_xll.RssMarket(A1058,"安値")</f>
        <v>表示銘柄数超過</v>
      </c>
      <c r="Q1058" s="4" t="e">
        <f t="shared" si="97"/>
        <v>#VALUE!</v>
      </c>
      <c r="R1058" s="21" t="str">
        <f>_xll.RssMarket(A1058,"後場始値")</f>
        <v>表示銘柄数超過</v>
      </c>
      <c r="S1058" s="25" t="str">
        <f t="shared" si="98"/>
        <v>-</v>
      </c>
      <c r="T1058" s="7" t="str">
        <f>_xll.RssMarket(A1058,"出来高加重平均")</f>
        <v>表示銘柄数超過</v>
      </c>
      <c r="U1058" s="4" t="e">
        <f t="shared" si="99"/>
        <v>#VALUE!</v>
      </c>
      <c r="V1058" s="21" t="str">
        <f>_xll.RssMarket(A1058,"出来高")</f>
        <v>表示銘柄数超過</v>
      </c>
      <c r="W1058" s="21" t="str">
        <f>_xll.RssMarket(A1058,"売買代金")</f>
        <v>表示銘柄数超過</v>
      </c>
      <c r="X1058" s="20" t="str">
        <f>_xll.RssMarket(A1058,"決算発表日")</f>
        <v>表示銘柄数超過</v>
      </c>
      <c r="Y1058" s="26" t="str">
        <f>IF(C1058&gt;_xll.RssMarket(A1058,"年初来高値"),"○","×")</f>
        <v>×</v>
      </c>
      <c r="Z1058" s="27" t="str">
        <f>IF(C1058&lt;=_xll.RssMarket(A1058,"年初来安値"),"○","×")</f>
        <v>○</v>
      </c>
    </row>
    <row r="1059" spans="1:26" x14ac:dyDescent="0.25">
      <c r="A1059" s="49">
        <v>8893</v>
      </c>
      <c r="B1059" s="20" t="str">
        <f>_xll.RssMarket(A1059,"銘柄名称")</f>
        <v>表示銘柄数超過</v>
      </c>
      <c r="C1059" s="21" t="str">
        <f>_xll.RssMarket(A1059,"現在値")</f>
        <v>表示銘柄数超過</v>
      </c>
      <c r="D1059" s="20" t="str">
        <f>_xll.RssMarket(A1059,"現在値詳細時刻")</f>
        <v>表示銘柄数超過</v>
      </c>
      <c r="E1059" s="22" t="str">
        <f>_xll.RssMarket(A1059,"前日比")</f>
        <v>表示銘柄数超過</v>
      </c>
      <c r="F1059" s="23" t="e">
        <f>_xll.RssMarket(A1059,"前日比率")/100</f>
        <v>#VALUE!</v>
      </c>
      <c r="G1059" s="24" t="str">
        <f>IFERROR(VLOOKUP(A1059,取得元!$A$2:$F$501,2,FALSE),"-")</f>
        <v>-</v>
      </c>
      <c r="H1059" s="24" t="str">
        <f>IFERROR(VLOOKUP(A1059,取得元!$A$2:$F$501,3,FALSE),"-")</f>
        <v>-</v>
      </c>
      <c r="I1059" s="24" t="str">
        <f>IFERROR(VLOOKUP(A1059,取得元!$A$2:$F$501,4,FALSE),"-")</f>
        <v>-</v>
      </c>
      <c r="J1059" s="5" t="str">
        <f>IFERROR(VLOOKUP(A1059,取得元!$A$2:$F$501,5,FALSE),"-")</f>
        <v>-</v>
      </c>
      <c r="K1059" s="25" t="str">
        <f>IFERROR(VLOOKUP(A1059,取得元!$A$2:$F$501,6,FALSE)/100,"-")</f>
        <v>-</v>
      </c>
      <c r="L1059" s="21" t="str">
        <f>_xll.RssMarket(A1059,"始値")</f>
        <v>表示銘柄数超過</v>
      </c>
      <c r="M1059" s="4" t="e">
        <f t="shared" si="95"/>
        <v>#VALUE!</v>
      </c>
      <c r="N1059" s="21" t="str">
        <f>_xll.RssMarket(A1059,"高値")</f>
        <v>表示銘柄数超過</v>
      </c>
      <c r="O1059" s="4" t="e">
        <f t="shared" si="96"/>
        <v>#VALUE!</v>
      </c>
      <c r="P1059" s="21" t="str">
        <f>_xll.RssMarket(A1059,"安値")</f>
        <v>表示銘柄数超過</v>
      </c>
      <c r="Q1059" s="4" t="e">
        <f t="shared" si="97"/>
        <v>#VALUE!</v>
      </c>
      <c r="R1059" s="21" t="str">
        <f>_xll.RssMarket(A1059,"後場始値")</f>
        <v>表示銘柄数超過</v>
      </c>
      <c r="S1059" s="25" t="str">
        <f t="shared" si="98"/>
        <v>-</v>
      </c>
      <c r="T1059" s="7" t="str">
        <f>_xll.RssMarket(A1059,"出来高加重平均")</f>
        <v>表示銘柄数超過</v>
      </c>
      <c r="U1059" s="4" t="e">
        <f t="shared" si="99"/>
        <v>#VALUE!</v>
      </c>
      <c r="V1059" s="21" t="str">
        <f>_xll.RssMarket(A1059,"出来高")</f>
        <v>表示銘柄数超過</v>
      </c>
      <c r="W1059" s="21" t="str">
        <f>_xll.RssMarket(A1059,"売買代金")</f>
        <v>表示銘柄数超過</v>
      </c>
      <c r="X1059" s="20" t="str">
        <f>_xll.RssMarket(A1059,"決算発表日")</f>
        <v>表示銘柄数超過</v>
      </c>
      <c r="Y1059" s="26" t="str">
        <f>IF(C1059&gt;_xll.RssMarket(A1059,"年初来高値"),"○","×")</f>
        <v>×</v>
      </c>
      <c r="Z1059" s="27" t="str">
        <f>IF(C1059&lt;=_xll.RssMarket(A1059,"年初来安値"),"○","×")</f>
        <v>○</v>
      </c>
    </row>
    <row r="1060" spans="1:26" x14ac:dyDescent="0.25">
      <c r="A1060" s="47">
        <v>8894</v>
      </c>
      <c r="B1060" s="20" t="str">
        <f>_xll.RssMarket(A1060,"銘柄名称")</f>
        <v>表示銘柄数超過</v>
      </c>
      <c r="C1060" s="21" t="str">
        <f>_xll.RssMarket(A1060,"現在値")</f>
        <v>表示銘柄数超過</v>
      </c>
      <c r="D1060" s="20" t="str">
        <f>_xll.RssMarket(A1060,"現在値詳細時刻")</f>
        <v>表示銘柄数超過</v>
      </c>
      <c r="E1060" s="22" t="str">
        <f>_xll.RssMarket(A1060,"前日比")</f>
        <v>表示銘柄数超過</v>
      </c>
      <c r="F1060" s="23" t="e">
        <f>_xll.RssMarket(A1060,"前日比率")/100</f>
        <v>#VALUE!</v>
      </c>
      <c r="G1060" s="24" t="str">
        <f>IFERROR(VLOOKUP(A1060,取得元!$A$2:$F$501,2,FALSE),"-")</f>
        <v>-</v>
      </c>
      <c r="H1060" s="24" t="str">
        <f>IFERROR(VLOOKUP(A1060,取得元!$A$2:$F$501,3,FALSE),"-")</f>
        <v>-</v>
      </c>
      <c r="I1060" s="24" t="str">
        <f>IFERROR(VLOOKUP(A1060,取得元!$A$2:$F$501,4,FALSE),"-")</f>
        <v>-</v>
      </c>
      <c r="J1060" s="5" t="str">
        <f>IFERROR(VLOOKUP(A1060,取得元!$A$2:$F$501,5,FALSE),"-")</f>
        <v>-</v>
      </c>
      <c r="K1060" s="25" t="str">
        <f>IFERROR(VLOOKUP(A1060,取得元!$A$2:$F$501,6,FALSE)/100,"-")</f>
        <v>-</v>
      </c>
      <c r="L1060" s="21" t="str">
        <f>_xll.RssMarket(A1060,"始値")</f>
        <v>表示銘柄数超過</v>
      </c>
      <c r="M1060" s="4" t="e">
        <f t="shared" si="95"/>
        <v>#VALUE!</v>
      </c>
      <c r="N1060" s="21" t="str">
        <f>_xll.RssMarket(A1060,"高値")</f>
        <v>表示銘柄数超過</v>
      </c>
      <c r="O1060" s="4" t="e">
        <f t="shared" si="96"/>
        <v>#VALUE!</v>
      </c>
      <c r="P1060" s="21" t="str">
        <f>_xll.RssMarket(A1060,"安値")</f>
        <v>表示銘柄数超過</v>
      </c>
      <c r="Q1060" s="4" t="e">
        <f t="shared" si="97"/>
        <v>#VALUE!</v>
      </c>
      <c r="R1060" s="21" t="str">
        <f>_xll.RssMarket(A1060,"後場始値")</f>
        <v>表示銘柄数超過</v>
      </c>
      <c r="S1060" s="25" t="str">
        <f t="shared" si="98"/>
        <v>-</v>
      </c>
      <c r="T1060" s="7" t="str">
        <f>_xll.RssMarket(A1060,"出来高加重平均")</f>
        <v>表示銘柄数超過</v>
      </c>
      <c r="U1060" s="4" t="e">
        <f t="shared" si="99"/>
        <v>#VALUE!</v>
      </c>
      <c r="V1060" s="21" t="str">
        <f>_xll.RssMarket(A1060,"出来高")</f>
        <v>表示銘柄数超過</v>
      </c>
      <c r="W1060" s="21" t="str">
        <f>_xll.RssMarket(A1060,"売買代金")</f>
        <v>表示銘柄数超過</v>
      </c>
      <c r="X1060" s="20" t="str">
        <f>_xll.RssMarket(A1060,"決算発表日")</f>
        <v>表示銘柄数超過</v>
      </c>
      <c r="Y1060" s="26" t="str">
        <f>IF(C1060&gt;_xll.RssMarket(A1060,"年初来高値"),"○","×")</f>
        <v>×</v>
      </c>
      <c r="Z1060" s="27" t="str">
        <f>IF(C1060&lt;=_xll.RssMarket(A1060,"年初来安値"),"○","×")</f>
        <v>○</v>
      </c>
    </row>
    <row r="1061" spans="1:26" x14ac:dyDescent="0.25">
      <c r="A1061" s="49">
        <v>8897</v>
      </c>
      <c r="B1061" s="20" t="str">
        <f>_xll.RssMarket(A1061,"銘柄名称")</f>
        <v>表示銘柄数超過</v>
      </c>
      <c r="C1061" s="21" t="str">
        <f>_xll.RssMarket(A1061,"現在値")</f>
        <v>表示銘柄数超過</v>
      </c>
      <c r="D1061" s="20" t="str">
        <f>_xll.RssMarket(A1061,"現在値詳細時刻")</f>
        <v>表示銘柄数超過</v>
      </c>
      <c r="E1061" s="22" t="str">
        <f>_xll.RssMarket(A1061,"前日比")</f>
        <v>表示銘柄数超過</v>
      </c>
      <c r="F1061" s="23" t="e">
        <f>_xll.RssMarket(A1061,"前日比率")/100</f>
        <v>#VALUE!</v>
      </c>
      <c r="G1061" s="24" t="str">
        <f>IFERROR(VLOOKUP(A1061,取得元!$A$2:$F$501,2,FALSE),"-")</f>
        <v>-</v>
      </c>
      <c r="H1061" s="24" t="str">
        <f>IFERROR(VLOOKUP(A1061,取得元!$A$2:$F$501,3,FALSE),"-")</f>
        <v>-</v>
      </c>
      <c r="I1061" s="24" t="str">
        <f>IFERROR(VLOOKUP(A1061,取得元!$A$2:$F$501,4,FALSE),"-")</f>
        <v>-</v>
      </c>
      <c r="J1061" s="5" t="str">
        <f>IFERROR(VLOOKUP(A1061,取得元!$A$2:$F$501,5,FALSE),"-")</f>
        <v>-</v>
      </c>
      <c r="K1061" s="25" t="str">
        <f>IFERROR(VLOOKUP(A1061,取得元!$A$2:$F$501,6,FALSE)/100,"-")</f>
        <v>-</v>
      </c>
      <c r="L1061" s="21" t="str">
        <f>_xll.RssMarket(A1061,"始値")</f>
        <v>表示銘柄数超過</v>
      </c>
      <c r="M1061" s="4" t="e">
        <f t="shared" si="95"/>
        <v>#VALUE!</v>
      </c>
      <c r="N1061" s="21" t="str">
        <f>_xll.RssMarket(A1061,"高値")</f>
        <v>表示銘柄数超過</v>
      </c>
      <c r="O1061" s="4" t="e">
        <f t="shared" si="96"/>
        <v>#VALUE!</v>
      </c>
      <c r="P1061" s="21" t="str">
        <f>_xll.RssMarket(A1061,"安値")</f>
        <v>表示銘柄数超過</v>
      </c>
      <c r="Q1061" s="4" t="e">
        <f t="shared" si="97"/>
        <v>#VALUE!</v>
      </c>
      <c r="R1061" s="21" t="str">
        <f>_xll.RssMarket(A1061,"後場始値")</f>
        <v>表示銘柄数超過</v>
      </c>
      <c r="S1061" s="25" t="str">
        <f t="shared" si="98"/>
        <v>-</v>
      </c>
      <c r="T1061" s="7" t="str">
        <f>_xll.RssMarket(A1061,"出来高加重平均")</f>
        <v>表示銘柄数超過</v>
      </c>
      <c r="U1061" s="4" t="e">
        <f t="shared" si="99"/>
        <v>#VALUE!</v>
      </c>
      <c r="V1061" s="21" t="str">
        <f>_xll.RssMarket(A1061,"出来高")</f>
        <v>表示銘柄数超過</v>
      </c>
      <c r="W1061" s="21" t="str">
        <f>_xll.RssMarket(A1061,"売買代金")</f>
        <v>表示銘柄数超過</v>
      </c>
      <c r="X1061" s="20" t="str">
        <f>_xll.RssMarket(A1061,"決算発表日")</f>
        <v>表示銘柄数超過</v>
      </c>
      <c r="Y1061" s="26" t="str">
        <f>IF(C1061&gt;_xll.RssMarket(A1061,"年初来高値"),"○","×")</f>
        <v>×</v>
      </c>
      <c r="Z1061" s="27" t="str">
        <f>IF(C1061&lt;=_xll.RssMarket(A1061,"年初来安値"),"○","×")</f>
        <v>○</v>
      </c>
    </row>
    <row r="1062" spans="1:26" x14ac:dyDescent="0.25">
      <c r="A1062" s="47">
        <v>8905</v>
      </c>
      <c r="B1062" s="20" t="str">
        <f>_xll.RssMarket(A1062,"銘柄名称")</f>
        <v>表示銘柄数超過</v>
      </c>
      <c r="C1062" s="21" t="str">
        <f>_xll.RssMarket(A1062,"現在値")</f>
        <v>表示銘柄数超過</v>
      </c>
      <c r="D1062" s="20" t="str">
        <f>_xll.RssMarket(A1062,"現在値詳細時刻")</f>
        <v>表示銘柄数超過</v>
      </c>
      <c r="E1062" s="22" t="str">
        <f>_xll.RssMarket(A1062,"前日比")</f>
        <v>表示銘柄数超過</v>
      </c>
      <c r="F1062" s="23" t="e">
        <f>_xll.RssMarket(A1062,"前日比率")/100</f>
        <v>#VALUE!</v>
      </c>
      <c r="G1062" s="24" t="str">
        <f>IFERROR(VLOOKUP(A1062,取得元!$A$2:$F$501,2,FALSE),"-")</f>
        <v>-</v>
      </c>
      <c r="H1062" s="24" t="str">
        <f>IFERROR(VLOOKUP(A1062,取得元!$A$2:$F$501,3,FALSE),"-")</f>
        <v>-</v>
      </c>
      <c r="I1062" s="24" t="str">
        <f>IFERROR(VLOOKUP(A1062,取得元!$A$2:$F$501,4,FALSE),"-")</f>
        <v>-</v>
      </c>
      <c r="J1062" s="5" t="str">
        <f>IFERROR(VLOOKUP(A1062,取得元!$A$2:$F$501,5,FALSE),"-")</f>
        <v>-</v>
      </c>
      <c r="K1062" s="25" t="str">
        <f>IFERROR(VLOOKUP(A1062,取得元!$A$2:$F$501,6,FALSE)/100,"-")</f>
        <v>-</v>
      </c>
      <c r="L1062" s="21" t="str">
        <f>_xll.RssMarket(A1062,"始値")</f>
        <v>表示銘柄数超過</v>
      </c>
      <c r="M1062" s="4" t="e">
        <f t="shared" si="95"/>
        <v>#VALUE!</v>
      </c>
      <c r="N1062" s="21" t="str">
        <f>_xll.RssMarket(A1062,"高値")</f>
        <v>表示銘柄数超過</v>
      </c>
      <c r="O1062" s="4" t="e">
        <f t="shared" si="96"/>
        <v>#VALUE!</v>
      </c>
      <c r="P1062" s="21" t="str">
        <f>_xll.RssMarket(A1062,"安値")</f>
        <v>表示銘柄数超過</v>
      </c>
      <c r="Q1062" s="4" t="e">
        <f t="shared" si="97"/>
        <v>#VALUE!</v>
      </c>
      <c r="R1062" s="21" t="str">
        <f>_xll.RssMarket(A1062,"後場始値")</f>
        <v>表示銘柄数超過</v>
      </c>
      <c r="S1062" s="25" t="str">
        <f t="shared" si="98"/>
        <v>-</v>
      </c>
      <c r="T1062" s="7" t="str">
        <f>_xll.RssMarket(A1062,"出来高加重平均")</f>
        <v>表示銘柄数超過</v>
      </c>
      <c r="U1062" s="4" t="e">
        <f t="shared" si="99"/>
        <v>#VALUE!</v>
      </c>
      <c r="V1062" s="21" t="str">
        <f>_xll.RssMarket(A1062,"出来高")</f>
        <v>表示銘柄数超過</v>
      </c>
      <c r="W1062" s="21" t="str">
        <f>_xll.RssMarket(A1062,"売買代金")</f>
        <v>表示銘柄数超過</v>
      </c>
      <c r="X1062" s="20" t="str">
        <f>_xll.RssMarket(A1062,"決算発表日")</f>
        <v>表示銘柄数超過</v>
      </c>
      <c r="Y1062" s="26" t="str">
        <f>IF(C1062&gt;_xll.RssMarket(A1062,"年初来高値"),"○","×")</f>
        <v>×</v>
      </c>
      <c r="Z1062" s="27" t="str">
        <f>IF(C1062&lt;=_xll.RssMarket(A1062,"年初来安値"),"○","×")</f>
        <v>○</v>
      </c>
    </row>
    <row r="1063" spans="1:26" x14ac:dyDescent="0.25">
      <c r="A1063" s="49">
        <v>8912</v>
      </c>
      <c r="B1063" s="20" t="str">
        <f>_xll.RssMarket(A1063,"銘柄名称")</f>
        <v>表示銘柄数超過</v>
      </c>
      <c r="C1063" s="21" t="str">
        <f>_xll.RssMarket(A1063,"現在値")</f>
        <v>表示銘柄数超過</v>
      </c>
      <c r="D1063" s="20" t="str">
        <f>_xll.RssMarket(A1063,"現在値詳細時刻")</f>
        <v>表示銘柄数超過</v>
      </c>
      <c r="E1063" s="22" t="str">
        <f>_xll.RssMarket(A1063,"前日比")</f>
        <v>表示銘柄数超過</v>
      </c>
      <c r="F1063" s="23" t="e">
        <f>_xll.RssMarket(A1063,"前日比率")/100</f>
        <v>#VALUE!</v>
      </c>
      <c r="G1063" s="24" t="str">
        <f>IFERROR(VLOOKUP(A1063,取得元!$A$2:$F$501,2,FALSE),"-")</f>
        <v>-</v>
      </c>
      <c r="H1063" s="24" t="str">
        <f>IFERROR(VLOOKUP(A1063,取得元!$A$2:$F$501,3,FALSE),"-")</f>
        <v>-</v>
      </c>
      <c r="I1063" s="24" t="str">
        <f>IFERROR(VLOOKUP(A1063,取得元!$A$2:$F$501,4,FALSE),"-")</f>
        <v>-</v>
      </c>
      <c r="J1063" s="5" t="str">
        <f>IFERROR(VLOOKUP(A1063,取得元!$A$2:$F$501,5,FALSE),"-")</f>
        <v>-</v>
      </c>
      <c r="K1063" s="25" t="str">
        <f>IFERROR(VLOOKUP(A1063,取得元!$A$2:$F$501,6,FALSE)/100,"-")</f>
        <v>-</v>
      </c>
      <c r="L1063" s="21" t="str">
        <f>_xll.RssMarket(A1063,"始値")</f>
        <v>表示銘柄数超過</v>
      </c>
      <c r="M1063" s="4" t="e">
        <f t="shared" si="95"/>
        <v>#VALUE!</v>
      </c>
      <c r="N1063" s="21" t="str">
        <f>_xll.RssMarket(A1063,"高値")</f>
        <v>表示銘柄数超過</v>
      </c>
      <c r="O1063" s="4" t="e">
        <f t="shared" si="96"/>
        <v>#VALUE!</v>
      </c>
      <c r="P1063" s="21" t="str">
        <f>_xll.RssMarket(A1063,"安値")</f>
        <v>表示銘柄数超過</v>
      </c>
      <c r="Q1063" s="4" t="e">
        <f t="shared" si="97"/>
        <v>#VALUE!</v>
      </c>
      <c r="R1063" s="21" t="str">
        <f>_xll.RssMarket(A1063,"後場始値")</f>
        <v>表示銘柄数超過</v>
      </c>
      <c r="S1063" s="25" t="str">
        <f t="shared" si="98"/>
        <v>-</v>
      </c>
      <c r="T1063" s="7" t="str">
        <f>_xll.RssMarket(A1063,"出来高加重平均")</f>
        <v>表示銘柄数超過</v>
      </c>
      <c r="U1063" s="4" t="e">
        <f t="shared" si="99"/>
        <v>#VALUE!</v>
      </c>
      <c r="V1063" s="21" t="str">
        <f>_xll.RssMarket(A1063,"出来高")</f>
        <v>表示銘柄数超過</v>
      </c>
      <c r="W1063" s="21" t="str">
        <f>_xll.RssMarket(A1063,"売買代金")</f>
        <v>表示銘柄数超過</v>
      </c>
      <c r="X1063" s="20" t="str">
        <f>_xll.RssMarket(A1063,"決算発表日")</f>
        <v>表示銘柄数超過</v>
      </c>
      <c r="Y1063" s="26" t="str">
        <f>IF(C1063&gt;_xll.RssMarket(A1063,"年初来高値"),"○","×")</f>
        <v>×</v>
      </c>
      <c r="Z1063" s="27" t="str">
        <f>IF(C1063&lt;=_xll.RssMarket(A1063,"年初来安値"),"○","×")</f>
        <v>○</v>
      </c>
    </row>
    <row r="1064" spans="1:26" x14ac:dyDescent="0.25">
      <c r="A1064" s="47">
        <v>8918</v>
      </c>
      <c r="B1064" s="20" t="str">
        <f>_xll.RssMarket(A1064,"銘柄名称")</f>
        <v>表示銘柄数超過</v>
      </c>
      <c r="C1064" s="21" t="str">
        <f>_xll.RssMarket(A1064,"現在値")</f>
        <v>表示銘柄数超過</v>
      </c>
      <c r="D1064" s="20" t="str">
        <f>_xll.RssMarket(A1064,"現在値詳細時刻")</f>
        <v>表示銘柄数超過</v>
      </c>
      <c r="E1064" s="22" t="str">
        <f>_xll.RssMarket(A1064,"前日比")</f>
        <v>表示銘柄数超過</v>
      </c>
      <c r="F1064" s="23" t="e">
        <f>_xll.RssMarket(A1064,"前日比率")/100</f>
        <v>#VALUE!</v>
      </c>
      <c r="G1064" s="24" t="str">
        <f>IFERROR(VLOOKUP(A1064,取得元!$A$2:$F$501,2,FALSE),"-")</f>
        <v>-</v>
      </c>
      <c r="H1064" s="24" t="str">
        <f>IFERROR(VLOOKUP(A1064,取得元!$A$2:$F$501,3,FALSE),"-")</f>
        <v>-</v>
      </c>
      <c r="I1064" s="24" t="str">
        <f>IFERROR(VLOOKUP(A1064,取得元!$A$2:$F$501,4,FALSE),"-")</f>
        <v>-</v>
      </c>
      <c r="J1064" s="5" t="str">
        <f>IFERROR(VLOOKUP(A1064,取得元!$A$2:$F$501,5,FALSE),"-")</f>
        <v>-</v>
      </c>
      <c r="K1064" s="25" t="str">
        <f>IFERROR(VLOOKUP(A1064,取得元!$A$2:$F$501,6,FALSE)/100,"-")</f>
        <v>-</v>
      </c>
      <c r="L1064" s="21" t="str">
        <f>_xll.RssMarket(A1064,"始値")</f>
        <v>表示銘柄数超過</v>
      </c>
      <c r="M1064" s="4" t="e">
        <f t="shared" si="95"/>
        <v>#VALUE!</v>
      </c>
      <c r="N1064" s="21" t="str">
        <f>_xll.RssMarket(A1064,"高値")</f>
        <v>表示銘柄数超過</v>
      </c>
      <c r="O1064" s="4" t="e">
        <f t="shared" si="96"/>
        <v>#VALUE!</v>
      </c>
      <c r="P1064" s="21" t="str">
        <f>_xll.RssMarket(A1064,"安値")</f>
        <v>表示銘柄数超過</v>
      </c>
      <c r="Q1064" s="4" t="e">
        <f t="shared" si="97"/>
        <v>#VALUE!</v>
      </c>
      <c r="R1064" s="21" t="str">
        <f>_xll.RssMarket(A1064,"後場始値")</f>
        <v>表示銘柄数超過</v>
      </c>
      <c r="S1064" s="25" t="str">
        <f t="shared" si="98"/>
        <v>-</v>
      </c>
      <c r="T1064" s="7" t="str">
        <f>_xll.RssMarket(A1064,"出来高加重平均")</f>
        <v>表示銘柄数超過</v>
      </c>
      <c r="U1064" s="4" t="e">
        <f t="shared" si="99"/>
        <v>#VALUE!</v>
      </c>
      <c r="V1064" s="21" t="str">
        <f>_xll.RssMarket(A1064,"出来高")</f>
        <v>表示銘柄数超過</v>
      </c>
      <c r="W1064" s="21" t="str">
        <f>_xll.RssMarket(A1064,"売買代金")</f>
        <v>表示銘柄数超過</v>
      </c>
      <c r="X1064" s="20" t="str">
        <f>_xll.RssMarket(A1064,"決算発表日")</f>
        <v>表示銘柄数超過</v>
      </c>
      <c r="Y1064" s="26" t="str">
        <f>IF(C1064&gt;_xll.RssMarket(A1064,"年初来高値"),"○","×")</f>
        <v>×</v>
      </c>
      <c r="Z1064" s="27" t="str">
        <f>IF(C1064&lt;=_xll.RssMarket(A1064,"年初来安値"),"○","×")</f>
        <v>○</v>
      </c>
    </row>
    <row r="1065" spans="1:26" x14ac:dyDescent="0.25">
      <c r="A1065" s="49">
        <v>8923</v>
      </c>
      <c r="B1065" s="20" t="str">
        <f>_xll.RssMarket(A1065,"銘柄名称")</f>
        <v>表示銘柄数超過</v>
      </c>
      <c r="C1065" s="21" t="str">
        <f>_xll.RssMarket(A1065,"現在値")</f>
        <v>表示銘柄数超過</v>
      </c>
      <c r="D1065" s="20" t="str">
        <f>_xll.RssMarket(A1065,"現在値詳細時刻")</f>
        <v>表示銘柄数超過</v>
      </c>
      <c r="E1065" s="22" t="str">
        <f>_xll.RssMarket(A1065,"前日比")</f>
        <v>表示銘柄数超過</v>
      </c>
      <c r="F1065" s="23" t="e">
        <f>_xll.RssMarket(A1065,"前日比率")/100</f>
        <v>#VALUE!</v>
      </c>
      <c r="G1065" s="24" t="str">
        <f>IFERROR(VLOOKUP(A1065,取得元!$A$2:$F$501,2,FALSE),"-")</f>
        <v>-</v>
      </c>
      <c r="H1065" s="24" t="str">
        <f>IFERROR(VLOOKUP(A1065,取得元!$A$2:$F$501,3,FALSE),"-")</f>
        <v>-</v>
      </c>
      <c r="I1065" s="24" t="str">
        <f>IFERROR(VLOOKUP(A1065,取得元!$A$2:$F$501,4,FALSE),"-")</f>
        <v>-</v>
      </c>
      <c r="J1065" s="5" t="str">
        <f>IFERROR(VLOOKUP(A1065,取得元!$A$2:$F$501,5,FALSE),"-")</f>
        <v>-</v>
      </c>
      <c r="K1065" s="25" t="str">
        <f>IFERROR(VLOOKUP(A1065,取得元!$A$2:$F$501,6,FALSE)/100,"-")</f>
        <v>-</v>
      </c>
      <c r="L1065" s="21" t="str">
        <f>_xll.RssMarket(A1065,"始値")</f>
        <v>表示銘柄数超過</v>
      </c>
      <c r="M1065" s="4" t="e">
        <f t="shared" si="95"/>
        <v>#VALUE!</v>
      </c>
      <c r="N1065" s="21" t="str">
        <f>_xll.RssMarket(A1065,"高値")</f>
        <v>表示銘柄数超過</v>
      </c>
      <c r="O1065" s="4" t="e">
        <f t="shared" si="96"/>
        <v>#VALUE!</v>
      </c>
      <c r="P1065" s="21" t="str">
        <f>_xll.RssMarket(A1065,"安値")</f>
        <v>表示銘柄数超過</v>
      </c>
      <c r="Q1065" s="4" t="e">
        <f t="shared" si="97"/>
        <v>#VALUE!</v>
      </c>
      <c r="R1065" s="21" t="str">
        <f>_xll.RssMarket(A1065,"後場始値")</f>
        <v>表示銘柄数超過</v>
      </c>
      <c r="S1065" s="25" t="str">
        <f t="shared" si="98"/>
        <v>-</v>
      </c>
      <c r="T1065" s="7" t="str">
        <f>_xll.RssMarket(A1065,"出来高加重平均")</f>
        <v>表示銘柄数超過</v>
      </c>
      <c r="U1065" s="4" t="e">
        <f t="shared" si="99"/>
        <v>#VALUE!</v>
      </c>
      <c r="V1065" s="21" t="str">
        <f>_xll.RssMarket(A1065,"出来高")</f>
        <v>表示銘柄数超過</v>
      </c>
      <c r="W1065" s="21" t="str">
        <f>_xll.RssMarket(A1065,"売買代金")</f>
        <v>表示銘柄数超過</v>
      </c>
      <c r="X1065" s="20" t="str">
        <f>_xll.RssMarket(A1065,"決算発表日")</f>
        <v>表示銘柄数超過</v>
      </c>
      <c r="Y1065" s="26" t="str">
        <f>IF(C1065&gt;_xll.RssMarket(A1065,"年初来高値"),"○","×")</f>
        <v>×</v>
      </c>
      <c r="Z1065" s="27" t="str">
        <f>IF(C1065&lt;=_xll.RssMarket(A1065,"年初来安値"),"○","×")</f>
        <v>○</v>
      </c>
    </row>
    <row r="1066" spans="1:26" x14ac:dyDescent="0.25">
      <c r="A1066" s="47">
        <v>8925</v>
      </c>
      <c r="B1066" s="20" t="str">
        <f>_xll.RssMarket(A1066,"銘柄名称")</f>
        <v>表示銘柄数超過</v>
      </c>
      <c r="C1066" s="21" t="str">
        <f>_xll.RssMarket(A1066,"現在値")</f>
        <v>表示銘柄数超過</v>
      </c>
      <c r="D1066" s="20" t="str">
        <f>_xll.RssMarket(A1066,"現在値詳細時刻")</f>
        <v>表示銘柄数超過</v>
      </c>
      <c r="E1066" s="22" t="str">
        <f>_xll.RssMarket(A1066,"前日比")</f>
        <v>表示銘柄数超過</v>
      </c>
      <c r="F1066" s="23" t="e">
        <f>_xll.RssMarket(A1066,"前日比率")/100</f>
        <v>#VALUE!</v>
      </c>
      <c r="G1066" s="24" t="str">
        <f>IFERROR(VLOOKUP(A1066,取得元!$A$2:$F$501,2,FALSE),"-")</f>
        <v>-</v>
      </c>
      <c r="H1066" s="24" t="str">
        <f>IFERROR(VLOOKUP(A1066,取得元!$A$2:$F$501,3,FALSE),"-")</f>
        <v>-</v>
      </c>
      <c r="I1066" s="24" t="str">
        <f>IFERROR(VLOOKUP(A1066,取得元!$A$2:$F$501,4,FALSE),"-")</f>
        <v>-</v>
      </c>
      <c r="J1066" s="5" t="str">
        <f>IFERROR(VLOOKUP(A1066,取得元!$A$2:$F$501,5,FALSE),"-")</f>
        <v>-</v>
      </c>
      <c r="K1066" s="25" t="str">
        <f>IFERROR(VLOOKUP(A1066,取得元!$A$2:$F$501,6,FALSE)/100,"-")</f>
        <v>-</v>
      </c>
      <c r="L1066" s="21" t="str">
        <f>_xll.RssMarket(A1066,"始値")</f>
        <v>表示銘柄数超過</v>
      </c>
      <c r="M1066" s="4" t="e">
        <f t="shared" si="95"/>
        <v>#VALUE!</v>
      </c>
      <c r="N1066" s="21" t="str">
        <f>_xll.RssMarket(A1066,"高値")</f>
        <v>表示銘柄数超過</v>
      </c>
      <c r="O1066" s="4" t="e">
        <f t="shared" si="96"/>
        <v>#VALUE!</v>
      </c>
      <c r="P1066" s="21" t="str">
        <f>_xll.RssMarket(A1066,"安値")</f>
        <v>表示銘柄数超過</v>
      </c>
      <c r="Q1066" s="4" t="e">
        <f t="shared" si="97"/>
        <v>#VALUE!</v>
      </c>
      <c r="R1066" s="21" t="str">
        <f>_xll.RssMarket(A1066,"後場始値")</f>
        <v>表示銘柄数超過</v>
      </c>
      <c r="S1066" s="25" t="str">
        <f t="shared" si="98"/>
        <v>-</v>
      </c>
      <c r="T1066" s="7" t="str">
        <f>_xll.RssMarket(A1066,"出来高加重平均")</f>
        <v>表示銘柄数超過</v>
      </c>
      <c r="U1066" s="4" t="e">
        <f t="shared" si="99"/>
        <v>#VALUE!</v>
      </c>
      <c r="V1066" s="21" t="str">
        <f>_xll.RssMarket(A1066,"出来高")</f>
        <v>表示銘柄数超過</v>
      </c>
      <c r="W1066" s="21" t="str">
        <f>_xll.RssMarket(A1066,"売買代金")</f>
        <v>表示銘柄数超過</v>
      </c>
      <c r="X1066" s="20" t="str">
        <f>_xll.RssMarket(A1066,"決算発表日")</f>
        <v>表示銘柄数超過</v>
      </c>
      <c r="Y1066" s="26" t="str">
        <f>IF(C1066&gt;_xll.RssMarket(A1066,"年初来高値"),"○","×")</f>
        <v>×</v>
      </c>
      <c r="Z1066" s="27" t="str">
        <f>IF(C1066&lt;=_xll.RssMarket(A1066,"年初来安値"),"○","×")</f>
        <v>○</v>
      </c>
    </row>
    <row r="1067" spans="1:26" x14ac:dyDescent="0.25">
      <c r="A1067" s="49">
        <v>8927</v>
      </c>
      <c r="B1067" s="20" t="str">
        <f>_xll.RssMarket(A1067,"銘柄名称")</f>
        <v>表示銘柄数超過</v>
      </c>
      <c r="C1067" s="21" t="str">
        <f>_xll.RssMarket(A1067,"現在値")</f>
        <v>表示銘柄数超過</v>
      </c>
      <c r="D1067" s="20" t="str">
        <f>_xll.RssMarket(A1067,"現在値詳細時刻")</f>
        <v>表示銘柄数超過</v>
      </c>
      <c r="E1067" s="22" t="str">
        <f>_xll.RssMarket(A1067,"前日比")</f>
        <v>表示銘柄数超過</v>
      </c>
      <c r="F1067" s="23" t="e">
        <f>_xll.RssMarket(A1067,"前日比率")/100</f>
        <v>#VALUE!</v>
      </c>
      <c r="G1067" s="24" t="str">
        <f>IFERROR(VLOOKUP(A1067,取得元!$A$2:$F$501,2,FALSE),"-")</f>
        <v>-</v>
      </c>
      <c r="H1067" s="24" t="str">
        <f>IFERROR(VLOOKUP(A1067,取得元!$A$2:$F$501,3,FALSE),"-")</f>
        <v>-</v>
      </c>
      <c r="I1067" s="24" t="str">
        <f>IFERROR(VLOOKUP(A1067,取得元!$A$2:$F$501,4,FALSE),"-")</f>
        <v>-</v>
      </c>
      <c r="J1067" s="5" t="str">
        <f>IFERROR(VLOOKUP(A1067,取得元!$A$2:$F$501,5,FALSE),"-")</f>
        <v>-</v>
      </c>
      <c r="K1067" s="25" t="str">
        <f>IFERROR(VLOOKUP(A1067,取得元!$A$2:$F$501,6,FALSE)/100,"-")</f>
        <v>-</v>
      </c>
      <c r="L1067" s="21" t="str">
        <f>_xll.RssMarket(A1067,"始値")</f>
        <v>表示銘柄数超過</v>
      </c>
      <c r="M1067" s="4" t="e">
        <f t="shared" si="95"/>
        <v>#VALUE!</v>
      </c>
      <c r="N1067" s="21" t="str">
        <f>_xll.RssMarket(A1067,"高値")</f>
        <v>表示銘柄数超過</v>
      </c>
      <c r="O1067" s="4" t="e">
        <f t="shared" si="96"/>
        <v>#VALUE!</v>
      </c>
      <c r="P1067" s="21" t="str">
        <f>_xll.RssMarket(A1067,"安値")</f>
        <v>表示銘柄数超過</v>
      </c>
      <c r="Q1067" s="4" t="e">
        <f t="shared" si="97"/>
        <v>#VALUE!</v>
      </c>
      <c r="R1067" s="21" t="str">
        <f>_xll.RssMarket(A1067,"後場始値")</f>
        <v>表示銘柄数超過</v>
      </c>
      <c r="S1067" s="25" t="str">
        <f t="shared" si="98"/>
        <v>-</v>
      </c>
      <c r="T1067" s="7" t="str">
        <f>_xll.RssMarket(A1067,"出来高加重平均")</f>
        <v>表示銘柄数超過</v>
      </c>
      <c r="U1067" s="4" t="e">
        <f t="shared" si="99"/>
        <v>#VALUE!</v>
      </c>
      <c r="V1067" s="21" t="str">
        <f>_xll.RssMarket(A1067,"出来高")</f>
        <v>表示銘柄数超過</v>
      </c>
      <c r="W1067" s="21" t="str">
        <f>_xll.RssMarket(A1067,"売買代金")</f>
        <v>表示銘柄数超過</v>
      </c>
      <c r="X1067" s="20" t="str">
        <f>_xll.RssMarket(A1067,"決算発表日")</f>
        <v>表示銘柄数超過</v>
      </c>
      <c r="Y1067" s="26" t="str">
        <f>IF(C1067&gt;_xll.RssMarket(A1067,"年初来高値"),"○","×")</f>
        <v>×</v>
      </c>
      <c r="Z1067" s="27" t="str">
        <f>IF(C1067&lt;=_xll.RssMarket(A1067,"年初来安値"),"○","×")</f>
        <v>○</v>
      </c>
    </row>
    <row r="1068" spans="1:26" x14ac:dyDescent="0.25">
      <c r="A1068" s="47">
        <v>8938</v>
      </c>
      <c r="B1068" s="20" t="str">
        <f>_xll.RssMarket(A1068,"銘柄名称")</f>
        <v>表示銘柄数超過</v>
      </c>
      <c r="C1068" s="21" t="str">
        <f>_xll.RssMarket(A1068,"現在値")</f>
        <v>表示銘柄数超過</v>
      </c>
      <c r="D1068" s="20" t="str">
        <f>_xll.RssMarket(A1068,"現在値詳細時刻")</f>
        <v>表示銘柄数超過</v>
      </c>
      <c r="E1068" s="22" t="str">
        <f>_xll.RssMarket(A1068,"前日比")</f>
        <v>表示銘柄数超過</v>
      </c>
      <c r="F1068" s="23" t="e">
        <f>_xll.RssMarket(A1068,"前日比率")/100</f>
        <v>#VALUE!</v>
      </c>
      <c r="G1068" s="24" t="str">
        <f>IFERROR(VLOOKUP(A1068,取得元!$A$2:$F$501,2,FALSE),"-")</f>
        <v>-</v>
      </c>
      <c r="H1068" s="24" t="str">
        <f>IFERROR(VLOOKUP(A1068,取得元!$A$2:$F$501,3,FALSE),"-")</f>
        <v>-</v>
      </c>
      <c r="I1068" s="24" t="str">
        <f>IFERROR(VLOOKUP(A1068,取得元!$A$2:$F$501,4,FALSE),"-")</f>
        <v>-</v>
      </c>
      <c r="J1068" s="5" t="str">
        <f>IFERROR(VLOOKUP(A1068,取得元!$A$2:$F$501,5,FALSE),"-")</f>
        <v>-</v>
      </c>
      <c r="K1068" s="25" t="str">
        <f>IFERROR(VLOOKUP(A1068,取得元!$A$2:$F$501,6,FALSE)/100,"-")</f>
        <v>-</v>
      </c>
      <c r="L1068" s="21" t="str">
        <f>_xll.RssMarket(A1068,"始値")</f>
        <v>表示銘柄数超過</v>
      </c>
      <c r="M1068" s="4" t="e">
        <f t="shared" si="95"/>
        <v>#VALUE!</v>
      </c>
      <c r="N1068" s="21" t="str">
        <f>_xll.RssMarket(A1068,"高値")</f>
        <v>表示銘柄数超過</v>
      </c>
      <c r="O1068" s="4" t="e">
        <f t="shared" si="96"/>
        <v>#VALUE!</v>
      </c>
      <c r="P1068" s="21" t="str">
        <f>_xll.RssMarket(A1068,"安値")</f>
        <v>表示銘柄数超過</v>
      </c>
      <c r="Q1068" s="4" t="e">
        <f t="shared" si="97"/>
        <v>#VALUE!</v>
      </c>
      <c r="R1068" s="21" t="str">
        <f>_xll.RssMarket(A1068,"後場始値")</f>
        <v>表示銘柄数超過</v>
      </c>
      <c r="S1068" s="25" t="str">
        <f t="shared" si="98"/>
        <v>-</v>
      </c>
      <c r="T1068" s="7" t="str">
        <f>_xll.RssMarket(A1068,"出来高加重平均")</f>
        <v>表示銘柄数超過</v>
      </c>
      <c r="U1068" s="4" t="e">
        <f t="shared" si="99"/>
        <v>#VALUE!</v>
      </c>
      <c r="V1068" s="21" t="str">
        <f>_xll.RssMarket(A1068,"出来高")</f>
        <v>表示銘柄数超過</v>
      </c>
      <c r="W1068" s="21" t="str">
        <f>_xll.RssMarket(A1068,"売買代金")</f>
        <v>表示銘柄数超過</v>
      </c>
      <c r="X1068" s="20" t="str">
        <f>_xll.RssMarket(A1068,"決算発表日")</f>
        <v>表示銘柄数超過</v>
      </c>
      <c r="Y1068" s="26" t="str">
        <f>IF(C1068&gt;_xll.RssMarket(A1068,"年初来高値"),"○","×")</f>
        <v>×</v>
      </c>
      <c r="Z1068" s="27" t="str">
        <f>IF(C1068&lt;=_xll.RssMarket(A1068,"年初来安値"),"○","×")</f>
        <v>○</v>
      </c>
    </row>
    <row r="1069" spans="1:26" x14ac:dyDescent="0.25">
      <c r="A1069" s="49">
        <v>8944</v>
      </c>
      <c r="B1069" s="20" t="str">
        <f>_xll.RssMarket(A1069,"銘柄名称")</f>
        <v>表示銘柄数超過</v>
      </c>
      <c r="C1069" s="21" t="str">
        <f>_xll.RssMarket(A1069,"現在値")</f>
        <v>表示銘柄数超過</v>
      </c>
      <c r="D1069" s="20" t="str">
        <f>_xll.RssMarket(A1069,"現在値詳細時刻")</f>
        <v>表示銘柄数超過</v>
      </c>
      <c r="E1069" s="22" t="str">
        <f>_xll.RssMarket(A1069,"前日比")</f>
        <v>表示銘柄数超過</v>
      </c>
      <c r="F1069" s="23" t="e">
        <f>_xll.RssMarket(A1069,"前日比率")/100</f>
        <v>#VALUE!</v>
      </c>
      <c r="G1069" s="24" t="str">
        <f>IFERROR(VLOOKUP(A1069,取得元!$A$2:$F$501,2,FALSE),"-")</f>
        <v>-</v>
      </c>
      <c r="H1069" s="24" t="str">
        <f>IFERROR(VLOOKUP(A1069,取得元!$A$2:$F$501,3,FALSE),"-")</f>
        <v>-</v>
      </c>
      <c r="I1069" s="24" t="str">
        <f>IFERROR(VLOOKUP(A1069,取得元!$A$2:$F$501,4,FALSE),"-")</f>
        <v>-</v>
      </c>
      <c r="J1069" s="5" t="str">
        <f>IFERROR(VLOOKUP(A1069,取得元!$A$2:$F$501,5,FALSE),"-")</f>
        <v>-</v>
      </c>
      <c r="K1069" s="25" t="str">
        <f>IFERROR(VLOOKUP(A1069,取得元!$A$2:$F$501,6,FALSE)/100,"-")</f>
        <v>-</v>
      </c>
      <c r="L1069" s="21" t="str">
        <f>_xll.RssMarket(A1069,"始値")</f>
        <v>表示銘柄数超過</v>
      </c>
      <c r="M1069" s="4" t="e">
        <f t="shared" si="95"/>
        <v>#VALUE!</v>
      </c>
      <c r="N1069" s="21" t="str">
        <f>_xll.RssMarket(A1069,"高値")</f>
        <v>表示銘柄数超過</v>
      </c>
      <c r="O1069" s="4" t="e">
        <f t="shared" si="96"/>
        <v>#VALUE!</v>
      </c>
      <c r="P1069" s="21" t="str">
        <f>_xll.RssMarket(A1069,"安値")</f>
        <v>表示銘柄数超過</v>
      </c>
      <c r="Q1069" s="4" t="e">
        <f t="shared" si="97"/>
        <v>#VALUE!</v>
      </c>
      <c r="R1069" s="21" t="str">
        <f>_xll.RssMarket(A1069,"後場始値")</f>
        <v>表示銘柄数超過</v>
      </c>
      <c r="S1069" s="25" t="str">
        <f t="shared" si="98"/>
        <v>-</v>
      </c>
      <c r="T1069" s="7" t="str">
        <f>_xll.RssMarket(A1069,"出来高加重平均")</f>
        <v>表示銘柄数超過</v>
      </c>
      <c r="U1069" s="4" t="e">
        <f t="shared" si="99"/>
        <v>#VALUE!</v>
      </c>
      <c r="V1069" s="21" t="str">
        <f>_xll.RssMarket(A1069,"出来高")</f>
        <v>表示銘柄数超過</v>
      </c>
      <c r="W1069" s="21" t="str">
        <f>_xll.RssMarket(A1069,"売買代金")</f>
        <v>表示銘柄数超過</v>
      </c>
      <c r="X1069" s="20" t="str">
        <f>_xll.RssMarket(A1069,"決算発表日")</f>
        <v>表示銘柄数超過</v>
      </c>
      <c r="Y1069" s="26" t="str">
        <f>IF(C1069&gt;_xll.RssMarket(A1069,"年初来高値"),"○","×")</f>
        <v>×</v>
      </c>
      <c r="Z1069" s="27" t="str">
        <f>IF(C1069&lt;=_xll.RssMarket(A1069,"年初来安値"),"○","×")</f>
        <v>○</v>
      </c>
    </row>
    <row r="1070" spans="1:26" x14ac:dyDescent="0.25">
      <c r="A1070" s="47">
        <v>8945</v>
      </c>
      <c r="B1070" s="20" t="str">
        <f>_xll.RssMarket(A1070,"銘柄名称")</f>
        <v>表示銘柄数超過</v>
      </c>
      <c r="C1070" s="21" t="str">
        <f>_xll.RssMarket(A1070,"現在値")</f>
        <v>表示銘柄数超過</v>
      </c>
      <c r="D1070" s="20" t="str">
        <f>_xll.RssMarket(A1070,"現在値詳細時刻")</f>
        <v>表示銘柄数超過</v>
      </c>
      <c r="E1070" s="22" t="str">
        <f>_xll.RssMarket(A1070,"前日比")</f>
        <v>表示銘柄数超過</v>
      </c>
      <c r="F1070" s="23" t="e">
        <f>_xll.RssMarket(A1070,"前日比率")/100</f>
        <v>#VALUE!</v>
      </c>
      <c r="G1070" s="24" t="str">
        <f>IFERROR(VLOOKUP(A1070,取得元!$A$2:$F$501,2,FALSE),"-")</f>
        <v>-</v>
      </c>
      <c r="H1070" s="24" t="str">
        <f>IFERROR(VLOOKUP(A1070,取得元!$A$2:$F$501,3,FALSE),"-")</f>
        <v>-</v>
      </c>
      <c r="I1070" s="24" t="str">
        <f>IFERROR(VLOOKUP(A1070,取得元!$A$2:$F$501,4,FALSE),"-")</f>
        <v>-</v>
      </c>
      <c r="J1070" s="5" t="str">
        <f>IFERROR(VLOOKUP(A1070,取得元!$A$2:$F$501,5,FALSE),"-")</f>
        <v>-</v>
      </c>
      <c r="K1070" s="25" t="str">
        <f>IFERROR(VLOOKUP(A1070,取得元!$A$2:$F$501,6,FALSE)/100,"-")</f>
        <v>-</v>
      </c>
      <c r="L1070" s="21" t="str">
        <f>_xll.RssMarket(A1070,"始値")</f>
        <v>表示銘柄数超過</v>
      </c>
      <c r="M1070" s="4" t="e">
        <f t="shared" si="95"/>
        <v>#VALUE!</v>
      </c>
      <c r="N1070" s="21" t="str">
        <f>_xll.RssMarket(A1070,"高値")</f>
        <v>表示銘柄数超過</v>
      </c>
      <c r="O1070" s="4" t="e">
        <f t="shared" si="96"/>
        <v>#VALUE!</v>
      </c>
      <c r="P1070" s="21" t="str">
        <f>_xll.RssMarket(A1070,"安値")</f>
        <v>表示銘柄数超過</v>
      </c>
      <c r="Q1070" s="4" t="e">
        <f t="shared" si="97"/>
        <v>#VALUE!</v>
      </c>
      <c r="R1070" s="21" t="str">
        <f>_xll.RssMarket(A1070,"後場始値")</f>
        <v>表示銘柄数超過</v>
      </c>
      <c r="S1070" s="25" t="str">
        <f t="shared" si="98"/>
        <v>-</v>
      </c>
      <c r="T1070" s="7" t="str">
        <f>_xll.RssMarket(A1070,"出来高加重平均")</f>
        <v>表示銘柄数超過</v>
      </c>
      <c r="U1070" s="4" t="e">
        <f t="shared" si="99"/>
        <v>#VALUE!</v>
      </c>
      <c r="V1070" s="21" t="str">
        <f>_xll.RssMarket(A1070,"出来高")</f>
        <v>表示銘柄数超過</v>
      </c>
      <c r="W1070" s="21" t="str">
        <f>_xll.RssMarket(A1070,"売買代金")</f>
        <v>表示銘柄数超過</v>
      </c>
      <c r="X1070" s="20" t="str">
        <f>_xll.RssMarket(A1070,"決算発表日")</f>
        <v>表示銘柄数超過</v>
      </c>
      <c r="Y1070" s="26" t="str">
        <f>IF(C1070&gt;_xll.RssMarket(A1070,"年初来高値"),"○","×")</f>
        <v>×</v>
      </c>
      <c r="Z1070" s="27" t="str">
        <f>IF(C1070&lt;=_xll.RssMarket(A1070,"年初来安値"),"○","×")</f>
        <v>○</v>
      </c>
    </row>
    <row r="1071" spans="1:26" x14ac:dyDescent="0.25">
      <c r="A1071" s="49">
        <v>8946</v>
      </c>
      <c r="B1071" s="20" t="str">
        <f>_xll.RssMarket(A1071,"銘柄名称")</f>
        <v>表示銘柄数超過</v>
      </c>
      <c r="C1071" s="21" t="str">
        <f>_xll.RssMarket(A1071,"現在値")</f>
        <v>表示銘柄数超過</v>
      </c>
      <c r="D1071" s="20" t="str">
        <f>_xll.RssMarket(A1071,"現在値詳細時刻")</f>
        <v>表示銘柄数超過</v>
      </c>
      <c r="E1071" s="22" t="str">
        <f>_xll.RssMarket(A1071,"前日比")</f>
        <v>表示銘柄数超過</v>
      </c>
      <c r="F1071" s="23" t="e">
        <f>_xll.RssMarket(A1071,"前日比率")/100</f>
        <v>#VALUE!</v>
      </c>
      <c r="G1071" s="24" t="str">
        <f>IFERROR(VLOOKUP(A1071,取得元!$A$2:$F$501,2,FALSE),"-")</f>
        <v>-</v>
      </c>
      <c r="H1071" s="24" t="str">
        <f>IFERROR(VLOOKUP(A1071,取得元!$A$2:$F$501,3,FALSE),"-")</f>
        <v>-</v>
      </c>
      <c r="I1071" s="24" t="str">
        <f>IFERROR(VLOOKUP(A1071,取得元!$A$2:$F$501,4,FALSE),"-")</f>
        <v>-</v>
      </c>
      <c r="J1071" s="5" t="str">
        <f>IFERROR(VLOOKUP(A1071,取得元!$A$2:$F$501,5,FALSE),"-")</f>
        <v>-</v>
      </c>
      <c r="K1071" s="25" t="str">
        <f>IFERROR(VLOOKUP(A1071,取得元!$A$2:$F$501,6,FALSE)/100,"-")</f>
        <v>-</v>
      </c>
      <c r="L1071" s="21" t="str">
        <f>_xll.RssMarket(A1071,"始値")</f>
        <v>表示銘柄数超過</v>
      </c>
      <c r="M1071" s="4" t="e">
        <f t="shared" si="95"/>
        <v>#VALUE!</v>
      </c>
      <c r="N1071" s="21" t="str">
        <f>_xll.RssMarket(A1071,"高値")</f>
        <v>表示銘柄数超過</v>
      </c>
      <c r="O1071" s="4" t="e">
        <f t="shared" si="96"/>
        <v>#VALUE!</v>
      </c>
      <c r="P1071" s="21" t="str">
        <f>_xll.RssMarket(A1071,"安値")</f>
        <v>表示銘柄数超過</v>
      </c>
      <c r="Q1071" s="4" t="e">
        <f t="shared" si="97"/>
        <v>#VALUE!</v>
      </c>
      <c r="R1071" s="21" t="str">
        <f>_xll.RssMarket(A1071,"後場始値")</f>
        <v>表示銘柄数超過</v>
      </c>
      <c r="S1071" s="25" t="str">
        <f t="shared" si="98"/>
        <v>-</v>
      </c>
      <c r="T1071" s="7" t="str">
        <f>_xll.RssMarket(A1071,"出来高加重平均")</f>
        <v>表示銘柄数超過</v>
      </c>
      <c r="U1071" s="4" t="e">
        <f t="shared" si="99"/>
        <v>#VALUE!</v>
      </c>
      <c r="V1071" s="21" t="str">
        <f>_xll.RssMarket(A1071,"出来高")</f>
        <v>表示銘柄数超過</v>
      </c>
      <c r="W1071" s="21" t="str">
        <f>_xll.RssMarket(A1071,"売買代金")</f>
        <v>表示銘柄数超過</v>
      </c>
      <c r="X1071" s="20" t="str">
        <f>_xll.RssMarket(A1071,"決算発表日")</f>
        <v>表示銘柄数超過</v>
      </c>
      <c r="Y1071" s="26" t="str">
        <f>IF(C1071&gt;_xll.RssMarket(A1071,"年初来高値"),"○","×")</f>
        <v>×</v>
      </c>
      <c r="Z1071" s="27" t="str">
        <f>IF(C1071&lt;=_xll.RssMarket(A1071,"年初来安値"),"○","×")</f>
        <v>○</v>
      </c>
    </row>
    <row r="1072" spans="1:26" x14ac:dyDescent="0.25">
      <c r="A1072" s="47">
        <v>8996</v>
      </c>
      <c r="B1072" s="20" t="str">
        <f>_xll.RssMarket(A1072,"銘柄名称")</f>
        <v>表示銘柄数超過</v>
      </c>
      <c r="C1072" s="21" t="str">
        <f>_xll.RssMarket(A1072,"現在値")</f>
        <v>表示銘柄数超過</v>
      </c>
      <c r="D1072" s="20" t="str">
        <f>_xll.RssMarket(A1072,"現在値詳細時刻")</f>
        <v>表示銘柄数超過</v>
      </c>
      <c r="E1072" s="22" t="str">
        <f>_xll.RssMarket(A1072,"前日比")</f>
        <v>表示銘柄数超過</v>
      </c>
      <c r="F1072" s="23" t="e">
        <f>_xll.RssMarket(A1072,"前日比率")/100</f>
        <v>#VALUE!</v>
      </c>
      <c r="G1072" s="24" t="str">
        <f>IFERROR(VLOOKUP(A1072,取得元!$A$2:$F$501,2,FALSE),"-")</f>
        <v>-</v>
      </c>
      <c r="H1072" s="24" t="str">
        <f>IFERROR(VLOOKUP(A1072,取得元!$A$2:$F$501,3,FALSE),"-")</f>
        <v>-</v>
      </c>
      <c r="I1072" s="24" t="str">
        <f>IFERROR(VLOOKUP(A1072,取得元!$A$2:$F$501,4,FALSE),"-")</f>
        <v>-</v>
      </c>
      <c r="J1072" s="5" t="str">
        <f>IFERROR(VLOOKUP(A1072,取得元!$A$2:$F$501,5,FALSE),"-")</f>
        <v>-</v>
      </c>
      <c r="K1072" s="25" t="str">
        <f>IFERROR(VLOOKUP(A1072,取得元!$A$2:$F$501,6,FALSE)/100,"-")</f>
        <v>-</v>
      </c>
      <c r="L1072" s="21" t="str">
        <f>_xll.RssMarket(A1072,"始値")</f>
        <v>表示銘柄数超過</v>
      </c>
      <c r="M1072" s="4" t="e">
        <f t="shared" si="95"/>
        <v>#VALUE!</v>
      </c>
      <c r="N1072" s="21" t="str">
        <f>_xll.RssMarket(A1072,"高値")</f>
        <v>表示銘柄数超過</v>
      </c>
      <c r="O1072" s="4" t="e">
        <f t="shared" si="96"/>
        <v>#VALUE!</v>
      </c>
      <c r="P1072" s="21" t="str">
        <f>_xll.RssMarket(A1072,"安値")</f>
        <v>表示銘柄数超過</v>
      </c>
      <c r="Q1072" s="4" t="e">
        <f t="shared" si="97"/>
        <v>#VALUE!</v>
      </c>
      <c r="R1072" s="21" t="str">
        <f>_xll.RssMarket(A1072,"後場始値")</f>
        <v>表示銘柄数超過</v>
      </c>
      <c r="S1072" s="25" t="str">
        <f t="shared" si="98"/>
        <v>-</v>
      </c>
      <c r="T1072" s="7" t="str">
        <f>_xll.RssMarket(A1072,"出来高加重平均")</f>
        <v>表示銘柄数超過</v>
      </c>
      <c r="U1072" s="4" t="e">
        <f t="shared" si="99"/>
        <v>#VALUE!</v>
      </c>
      <c r="V1072" s="21" t="str">
        <f>_xll.RssMarket(A1072,"出来高")</f>
        <v>表示銘柄数超過</v>
      </c>
      <c r="W1072" s="21" t="str">
        <f>_xll.RssMarket(A1072,"売買代金")</f>
        <v>表示銘柄数超過</v>
      </c>
      <c r="X1072" s="20" t="str">
        <f>_xll.RssMarket(A1072,"決算発表日")</f>
        <v>表示銘柄数超過</v>
      </c>
      <c r="Y1072" s="26" t="str">
        <f>IF(C1072&gt;_xll.RssMarket(A1072,"年初来高値"),"○","×")</f>
        <v>×</v>
      </c>
      <c r="Z1072" s="27" t="str">
        <f>IF(C1072&lt;=_xll.RssMarket(A1072,"年初来安値"),"○","×")</f>
        <v>○</v>
      </c>
    </row>
    <row r="1073" spans="1:26" x14ac:dyDescent="0.25">
      <c r="A1073" s="49">
        <v>9001</v>
      </c>
      <c r="B1073" s="20" t="str">
        <f>_xll.RssMarket(A1073,"銘柄名称")</f>
        <v>表示銘柄数超過</v>
      </c>
      <c r="C1073" s="21" t="str">
        <f>_xll.RssMarket(A1073,"現在値")</f>
        <v>表示銘柄数超過</v>
      </c>
      <c r="D1073" s="20" t="str">
        <f>_xll.RssMarket(A1073,"現在値詳細時刻")</f>
        <v>表示銘柄数超過</v>
      </c>
      <c r="E1073" s="22" t="str">
        <f>_xll.RssMarket(A1073,"前日比")</f>
        <v>表示銘柄数超過</v>
      </c>
      <c r="F1073" s="23" t="e">
        <f>_xll.RssMarket(A1073,"前日比率")/100</f>
        <v>#VALUE!</v>
      </c>
      <c r="G1073" s="24" t="str">
        <f>IFERROR(VLOOKUP(A1073,取得元!$A$2:$F$501,2,FALSE),"-")</f>
        <v>-</v>
      </c>
      <c r="H1073" s="24" t="str">
        <f>IFERROR(VLOOKUP(A1073,取得元!$A$2:$F$501,3,FALSE),"-")</f>
        <v>-</v>
      </c>
      <c r="I1073" s="24" t="str">
        <f>IFERROR(VLOOKUP(A1073,取得元!$A$2:$F$501,4,FALSE),"-")</f>
        <v>-</v>
      </c>
      <c r="J1073" s="5" t="str">
        <f>IFERROR(VLOOKUP(A1073,取得元!$A$2:$F$501,5,FALSE),"-")</f>
        <v>-</v>
      </c>
      <c r="K1073" s="25" t="str">
        <f>IFERROR(VLOOKUP(A1073,取得元!$A$2:$F$501,6,FALSE)/100,"-")</f>
        <v>-</v>
      </c>
      <c r="L1073" s="21" t="str">
        <f>_xll.RssMarket(A1073,"始値")</f>
        <v>表示銘柄数超過</v>
      </c>
      <c r="M1073" s="4" t="e">
        <f t="shared" si="95"/>
        <v>#VALUE!</v>
      </c>
      <c r="N1073" s="21" t="str">
        <f>_xll.RssMarket(A1073,"高値")</f>
        <v>表示銘柄数超過</v>
      </c>
      <c r="O1073" s="4" t="e">
        <f t="shared" si="96"/>
        <v>#VALUE!</v>
      </c>
      <c r="P1073" s="21" t="str">
        <f>_xll.RssMarket(A1073,"安値")</f>
        <v>表示銘柄数超過</v>
      </c>
      <c r="Q1073" s="4" t="e">
        <f t="shared" si="97"/>
        <v>#VALUE!</v>
      </c>
      <c r="R1073" s="21" t="str">
        <f>_xll.RssMarket(A1073,"後場始値")</f>
        <v>表示銘柄数超過</v>
      </c>
      <c r="S1073" s="25" t="str">
        <f t="shared" si="98"/>
        <v>-</v>
      </c>
      <c r="T1073" s="7" t="str">
        <f>_xll.RssMarket(A1073,"出来高加重平均")</f>
        <v>表示銘柄数超過</v>
      </c>
      <c r="U1073" s="4" t="e">
        <f t="shared" si="99"/>
        <v>#VALUE!</v>
      </c>
      <c r="V1073" s="21" t="str">
        <f>_xll.RssMarket(A1073,"出来高")</f>
        <v>表示銘柄数超過</v>
      </c>
      <c r="W1073" s="21" t="str">
        <f>_xll.RssMarket(A1073,"売買代金")</f>
        <v>表示銘柄数超過</v>
      </c>
      <c r="X1073" s="20" t="str">
        <f>_xll.RssMarket(A1073,"決算発表日")</f>
        <v>表示銘柄数超過</v>
      </c>
      <c r="Y1073" s="26" t="str">
        <f>IF(C1073&gt;_xll.RssMarket(A1073,"年初来高値"),"○","×")</f>
        <v>×</v>
      </c>
      <c r="Z1073" s="27" t="str">
        <f>IF(C1073&lt;=_xll.RssMarket(A1073,"年初来安値"),"○","×")</f>
        <v>○</v>
      </c>
    </row>
    <row r="1074" spans="1:26" x14ac:dyDescent="0.25">
      <c r="A1074" s="47">
        <v>9003</v>
      </c>
      <c r="B1074" s="20" t="str">
        <f>_xll.RssMarket(A1074,"銘柄名称")</f>
        <v>表示銘柄数超過</v>
      </c>
      <c r="C1074" s="21" t="str">
        <f>_xll.RssMarket(A1074,"現在値")</f>
        <v>表示銘柄数超過</v>
      </c>
      <c r="D1074" s="20" t="str">
        <f>_xll.RssMarket(A1074,"現在値詳細時刻")</f>
        <v>表示銘柄数超過</v>
      </c>
      <c r="E1074" s="22" t="str">
        <f>_xll.RssMarket(A1074,"前日比")</f>
        <v>表示銘柄数超過</v>
      </c>
      <c r="F1074" s="23" t="e">
        <f>_xll.RssMarket(A1074,"前日比率")/100</f>
        <v>#VALUE!</v>
      </c>
      <c r="G1074" s="24" t="str">
        <f>IFERROR(VLOOKUP(A1074,取得元!$A$2:$F$501,2,FALSE),"-")</f>
        <v>-</v>
      </c>
      <c r="H1074" s="24" t="str">
        <f>IFERROR(VLOOKUP(A1074,取得元!$A$2:$F$501,3,FALSE),"-")</f>
        <v>-</v>
      </c>
      <c r="I1074" s="24" t="str">
        <f>IFERROR(VLOOKUP(A1074,取得元!$A$2:$F$501,4,FALSE),"-")</f>
        <v>-</v>
      </c>
      <c r="J1074" s="5" t="str">
        <f>IFERROR(VLOOKUP(A1074,取得元!$A$2:$F$501,5,FALSE),"-")</f>
        <v>-</v>
      </c>
      <c r="K1074" s="25" t="str">
        <f>IFERROR(VLOOKUP(A1074,取得元!$A$2:$F$501,6,FALSE)/100,"-")</f>
        <v>-</v>
      </c>
      <c r="L1074" s="21" t="str">
        <f>_xll.RssMarket(A1074,"始値")</f>
        <v>表示銘柄数超過</v>
      </c>
      <c r="M1074" s="4" t="e">
        <f t="shared" si="95"/>
        <v>#VALUE!</v>
      </c>
      <c r="N1074" s="21" t="str">
        <f>_xll.RssMarket(A1074,"高値")</f>
        <v>表示銘柄数超過</v>
      </c>
      <c r="O1074" s="4" t="e">
        <f t="shared" si="96"/>
        <v>#VALUE!</v>
      </c>
      <c r="P1074" s="21" t="str">
        <f>_xll.RssMarket(A1074,"安値")</f>
        <v>表示銘柄数超過</v>
      </c>
      <c r="Q1074" s="4" t="e">
        <f t="shared" si="97"/>
        <v>#VALUE!</v>
      </c>
      <c r="R1074" s="21" t="str">
        <f>_xll.RssMarket(A1074,"後場始値")</f>
        <v>表示銘柄数超過</v>
      </c>
      <c r="S1074" s="25" t="str">
        <f t="shared" si="98"/>
        <v>-</v>
      </c>
      <c r="T1074" s="7" t="str">
        <f>_xll.RssMarket(A1074,"出来高加重平均")</f>
        <v>表示銘柄数超過</v>
      </c>
      <c r="U1074" s="4" t="e">
        <f t="shared" si="99"/>
        <v>#VALUE!</v>
      </c>
      <c r="V1074" s="21" t="str">
        <f>_xll.RssMarket(A1074,"出来高")</f>
        <v>表示銘柄数超過</v>
      </c>
      <c r="W1074" s="21" t="str">
        <f>_xll.RssMarket(A1074,"売買代金")</f>
        <v>表示銘柄数超過</v>
      </c>
      <c r="X1074" s="20" t="str">
        <f>_xll.RssMarket(A1074,"決算発表日")</f>
        <v>表示銘柄数超過</v>
      </c>
      <c r="Y1074" s="26" t="str">
        <f>IF(C1074&gt;_xll.RssMarket(A1074,"年初来高値"),"○","×")</f>
        <v>×</v>
      </c>
      <c r="Z1074" s="27" t="str">
        <f>IF(C1074&lt;=_xll.RssMarket(A1074,"年初来安値"),"○","×")</f>
        <v>○</v>
      </c>
    </row>
    <row r="1075" spans="1:26" x14ac:dyDescent="0.25">
      <c r="A1075" s="49">
        <v>9005</v>
      </c>
      <c r="B1075" s="20" t="str">
        <f>_xll.RssMarket(A1075,"銘柄名称")</f>
        <v>表示銘柄数超過</v>
      </c>
      <c r="C1075" s="21" t="str">
        <f>_xll.RssMarket(A1075,"現在値")</f>
        <v>表示銘柄数超過</v>
      </c>
      <c r="D1075" s="20" t="str">
        <f>_xll.RssMarket(A1075,"現在値詳細時刻")</f>
        <v>表示銘柄数超過</v>
      </c>
      <c r="E1075" s="22" t="str">
        <f>_xll.RssMarket(A1075,"前日比")</f>
        <v>表示銘柄数超過</v>
      </c>
      <c r="F1075" s="23" t="e">
        <f>_xll.RssMarket(A1075,"前日比率")/100</f>
        <v>#VALUE!</v>
      </c>
      <c r="G1075" s="24" t="str">
        <f>IFERROR(VLOOKUP(A1075,取得元!$A$2:$F$501,2,FALSE),"-")</f>
        <v>-</v>
      </c>
      <c r="H1075" s="24" t="str">
        <f>IFERROR(VLOOKUP(A1075,取得元!$A$2:$F$501,3,FALSE),"-")</f>
        <v>-</v>
      </c>
      <c r="I1075" s="24" t="str">
        <f>IFERROR(VLOOKUP(A1075,取得元!$A$2:$F$501,4,FALSE),"-")</f>
        <v>-</v>
      </c>
      <c r="J1075" s="5" t="str">
        <f>IFERROR(VLOOKUP(A1075,取得元!$A$2:$F$501,5,FALSE),"-")</f>
        <v>-</v>
      </c>
      <c r="K1075" s="25" t="str">
        <f>IFERROR(VLOOKUP(A1075,取得元!$A$2:$F$501,6,FALSE)/100,"-")</f>
        <v>-</v>
      </c>
      <c r="L1075" s="21" t="str">
        <f>_xll.RssMarket(A1075,"始値")</f>
        <v>表示銘柄数超過</v>
      </c>
      <c r="M1075" s="4" t="e">
        <f t="shared" si="95"/>
        <v>#VALUE!</v>
      </c>
      <c r="N1075" s="21" t="str">
        <f>_xll.RssMarket(A1075,"高値")</f>
        <v>表示銘柄数超過</v>
      </c>
      <c r="O1075" s="4" t="e">
        <f t="shared" si="96"/>
        <v>#VALUE!</v>
      </c>
      <c r="P1075" s="21" t="str">
        <f>_xll.RssMarket(A1075,"安値")</f>
        <v>表示銘柄数超過</v>
      </c>
      <c r="Q1075" s="4" t="e">
        <f t="shared" si="97"/>
        <v>#VALUE!</v>
      </c>
      <c r="R1075" s="21" t="str">
        <f>_xll.RssMarket(A1075,"後場始値")</f>
        <v>表示銘柄数超過</v>
      </c>
      <c r="S1075" s="25" t="str">
        <f t="shared" si="98"/>
        <v>-</v>
      </c>
      <c r="T1075" s="7" t="str">
        <f>_xll.RssMarket(A1075,"出来高加重平均")</f>
        <v>表示銘柄数超過</v>
      </c>
      <c r="U1075" s="4" t="e">
        <f t="shared" si="99"/>
        <v>#VALUE!</v>
      </c>
      <c r="V1075" s="21" t="str">
        <f>_xll.RssMarket(A1075,"出来高")</f>
        <v>表示銘柄数超過</v>
      </c>
      <c r="W1075" s="21" t="str">
        <f>_xll.RssMarket(A1075,"売買代金")</f>
        <v>表示銘柄数超過</v>
      </c>
      <c r="X1075" s="20" t="str">
        <f>_xll.RssMarket(A1075,"決算発表日")</f>
        <v>表示銘柄数超過</v>
      </c>
      <c r="Y1075" s="26" t="str">
        <f>IF(C1075&gt;_xll.RssMarket(A1075,"年初来高値"),"○","×")</f>
        <v>×</v>
      </c>
      <c r="Z1075" s="27" t="str">
        <f>IF(C1075&lt;=_xll.RssMarket(A1075,"年初来安値"),"○","×")</f>
        <v>○</v>
      </c>
    </row>
    <row r="1076" spans="1:26" x14ac:dyDescent="0.25">
      <c r="A1076" s="47">
        <v>9006</v>
      </c>
      <c r="B1076" s="20" t="str">
        <f>_xll.RssMarket(A1076,"銘柄名称")</f>
        <v>表示銘柄数超過</v>
      </c>
      <c r="C1076" s="21" t="str">
        <f>_xll.RssMarket(A1076,"現在値")</f>
        <v>表示銘柄数超過</v>
      </c>
      <c r="D1076" s="20" t="str">
        <f>_xll.RssMarket(A1076,"現在値詳細時刻")</f>
        <v>表示銘柄数超過</v>
      </c>
      <c r="E1076" s="22" t="str">
        <f>_xll.RssMarket(A1076,"前日比")</f>
        <v>表示銘柄数超過</v>
      </c>
      <c r="F1076" s="23" t="e">
        <f>_xll.RssMarket(A1076,"前日比率")/100</f>
        <v>#VALUE!</v>
      </c>
      <c r="G1076" s="24" t="str">
        <f>IFERROR(VLOOKUP(A1076,取得元!$A$2:$F$501,2,FALSE),"-")</f>
        <v>-</v>
      </c>
      <c r="H1076" s="24" t="str">
        <f>IFERROR(VLOOKUP(A1076,取得元!$A$2:$F$501,3,FALSE),"-")</f>
        <v>-</v>
      </c>
      <c r="I1076" s="24" t="str">
        <f>IFERROR(VLOOKUP(A1076,取得元!$A$2:$F$501,4,FALSE),"-")</f>
        <v>-</v>
      </c>
      <c r="J1076" s="5" t="str">
        <f>IFERROR(VLOOKUP(A1076,取得元!$A$2:$F$501,5,FALSE),"-")</f>
        <v>-</v>
      </c>
      <c r="K1076" s="25" t="str">
        <f>IFERROR(VLOOKUP(A1076,取得元!$A$2:$F$501,6,FALSE)/100,"-")</f>
        <v>-</v>
      </c>
      <c r="L1076" s="21" t="str">
        <f>_xll.RssMarket(A1076,"始値")</f>
        <v>表示銘柄数超過</v>
      </c>
      <c r="M1076" s="4" t="e">
        <f t="shared" si="95"/>
        <v>#VALUE!</v>
      </c>
      <c r="N1076" s="21" t="str">
        <f>_xll.RssMarket(A1076,"高値")</f>
        <v>表示銘柄数超過</v>
      </c>
      <c r="O1076" s="4" t="e">
        <f t="shared" si="96"/>
        <v>#VALUE!</v>
      </c>
      <c r="P1076" s="21" t="str">
        <f>_xll.RssMarket(A1076,"安値")</f>
        <v>表示銘柄数超過</v>
      </c>
      <c r="Q1076" s="4" t="e">
        <f t="shared" si="97"/>
        <v>#VALUE!</v>
      </c>
      <c r="R1076" s="21" t="str">
        <f>_xll.RssMarket(A1076,"後場始値")</f>
        <v>表示銘柄数超過</v>
      </c>
      <c r="S1076" s="25" t="str">
        <f t="shared" si="98"/>
        <v>-</v>
      </c>
      <c r="T1076" s="7" t="str">
        <f>_xll.RssMarket(A1076,"出来高加重平均")</f>
        <v>表示銘柄数超過</v>
      </c>
      <c r="U1076" s="4" t="e">
        <f t="shared" si="99"/>
        <v>#VALUE!</v>
      </c>
      <c r="V1076" s="21" t="str">
        <f>_xll.RssMarket(A1076,"出来高")</f>
        <v>表示銘柄数超過</v>
      </c>
      <c r="W1076" s="21" t="str">
        <f>_xll.RssMarket(A1076,"売買代金")</f>
        <v>表示銘柄数超過</v>
      </c>
      <c r="X1076" s="20" t="str">
        <f>_xll.RssMarket(A1076,"決算発表日")</f>
        <v>表示銘柄数超過</v>
      </c>
      <c r="Y1076" s="26" t="str">
        <f>IF(C1076&gt;_xll.RssMarket(A1076,"年初来高値"),"○","×")</f>
        <v>×</v>
      </c>
      <c r="Z1076" s="27" t="str">
        <f>IF(C1076&lt;=_xll.RssMarket(A1076,"年初来安値"),"○","×")</f>
        <v>○</v>
      </c>
    </row>
    <row r="1077" spans="1:26" x14ac:dyDescent="0.25">
      <c r="A1077" s="49">
        <v>9007</v>
      </c>
      <c r="B1077" s="20" t="str">
        <f>_xll.RssMarket(A1077,"銘柄名称")</f>
        <v>表示銘柄数超過</v>
      </c>
      <c r="C1077" s="21" t="str">
        <f>_xll.RssMarket(A1077,"現在値")</f>
        <v>表示銘柄数超過</v>
      </c>
      <c r="D1077" s="20" t="str">
        <f>_xll.RssMarket(A1077,"現在値詳細時刻")</f>
        <v>表示銘柄数超過</v>
      </c>
      <c r="E1077" s="22" t="str">
        <f>_xll.RssMarket(A1077,"前日比")</f>
        <v>表示銘柄数超過</v>
      </c>
      <c r="F1077" s="23" t="e">
        <f>_xll.RssMarket(A1077,"前日比率")/100</f>
        <v>#VALUE!</v>
      </c>
      <c r="G1077" s="24" t="str">
        <f>IFERROR(VLOOKUP(A1077,取得元!$A$2:$F$501,2,FALSE),"-")</f>
        <v>-</v>
      </c>
      <c r="H1077" s="24" t="str">
        <f>IFERROR(VLOOKUP(A1077,取得元!$A$2:$F$501,3,FALSE),"-")</f>
        <v>-</v>
      </c>
      <c r="I1077" s="24" t="str">
        <f>IFERROR(VLOOKUP(A1077,取得元!$A$2:$F$501,4,FALSE),"-")</f>
        <v>-</v>
      </c>
      <c r="J1077" s="5" t="str">
        <f>IFERROR(VLOOKUP(A1077,取得元!$A$2:$F$501,5,FALSE),"-")</f>
        <v>-</v>
      </c>
      <c r="K1077" s="25" t="str">
        <f>IFERROR(VLOOKUP(A1077,取得元!$A$2:$F$501,6,FALSE)/100,"-")</f>
        <v>-</v>
      </c>
      <c r="L1077" s="21" t="str">
        <f>_xll.RssMarket(A1077,"始値")</f>
        <v>表示銘柄数超過</v>
      </c>
      <c r="M1077" s="4" t="e">
        <f t="shared" si="95"/>
        <v>#VALUE!</v>
      </c>
      <c r="N1077" s="21" t="str">
        <f>_xll.RssMarket(A1077,"高値")</f>
        <v>表示銘柄数超過</v>
      </c>
      <c r="O1077" s="4" t="e">
        <f t="shared" si="96"/>
        <v>#VALUE!</v>
      </c>
      <c r="P1077" s="21" t="str">
        <f>_xll.RssMarket(A1077,"安値")</f>
        <v>表示銘柄数超過</v>
      </c>
      <c r="Q1077" s="4" t="e">
        <f t="shared" si="97"/>
        <v>#VALUE!</v>
      </c>
      <c r="R1077" s="21" t="str">
        <f>_xll.RssMarket(A1077,"後場始値")</f>
        <v>表示銘柄数超過</v>
      </c>
      <c r="S1077" s="25" t="str">
        <f t="shared" si="98"/>
        <v>-</v>
      </c>
      <c r="T1077" s="7" t="str">
        <f>_xll.RssMarket(A1077,"出来高加重平均")</f>
        <v>表示銘柄数超過</v>
      </c>
      <c r="U1077" s="4" t="e">
        <f t="shared" si="99"/>
        <v>#VALUE!</v>
      </c>
      <c r="V1077" s="21" t="str">
        <f>_xll.RssMarket(A1077,"出来高")</f>
        <v>表示銘柄数超過</v>
      </c>
      <c r="W1077" s="21" t="str">
        <f>_xll.RssMarket(A1077,"売買代金")</f>
        <v>表示銘柄数超過</v>
      </c>
      <c r="X1077" s="20" t="str">
        <f>_xll.RssMarket(A1077,"決算発表日")</f>
        <v>表示銘柄数超過</v>
      </c>
      <c r="Y1077" s="26" t="str">
        <f>IF(C1077&gt;_xll.RssMarket(A1077,"年初来高値"),"○","×")</f>
        <v>×</v>
      </c>
      <c r="Z1077" s="27" t="str">
        <f>IF(C1077&lt;=_xll.RssMarket(A1077,"年初来安値"),"○","×")</f>
        <v>○</v>
      </c>
    </row>
    <row r="1078" spans="1:26" x14ac:dyDescent="0.25">
      <c r="A1078" s="47">
        <v>9008</v>
      </c>
      <c r="B1078" s="20" t="str">
        <f>_xll.RssMarket(A1078,"銘柄名称")</f>
        <v>表示銘柄数超過</v>
      </c>
      <c r="C1078" s="21" t="str">
        <f>_xll.RssMarket(A1078,"現在値")</f>
        <v>表示銘柄数超過</v>
      </c>
      <c r="D1078" s="20" t="str">
        <f>_xll.RssMarket(A1078,"現在値詳細時刻")</f>
        <v>表示銘柄数超過</v>
      </c>
      <c r="E1078" s="22" t="str">
        <f>_xll.RssMarket(A1078,"前日比")</f>
        <v>表示銘柄数超過</v>
      </c>
      <c r="F1078" s="23" t="e">
        <f>_xll.RssMarket(A1078,"前日比率")/100</f>
        <v>#VALUE!</v>
      </c>
      <c r="G1078" s="24" t="str">
        <f>IFERROR(VLOOKUP(A1078,取得元!$A$2:$F$501,2,FALSE),"-")</f>
        <v>-</v>
      </c>
      <c r="H1078" s="24" t="str">
        <f>IFERROR(VLOOKUP(A1078,取得元!$A$2:$F$501,3,FALSE),"-")</f>
        <v>-</v>
      </c>
      <c r="I1078" s="24" t="str">
        <f>IFERROR(VLOOKUP(A1078,取得元!$A$2:$F$501,4,FALSE),"-")</f>
        <v>-</v>
      </c>
      <c r="J1078" s="5" t="str">
        <f>IFERROR(VLOOKUP(A1078,取得元!$A$2:$F$501,5,FALSE),"-")</f>
        <v>-</v>
      </c>
      <c r="K1078" s="25" t="str">
        <f>IFERROR(VLOOKUP(A1078,取得元!$A$2:$F$501,6,FALSE)/100,"-")</f>
        <v>-</v>
      </c>
      <c r="L1078" s="21" t="str">
        <f>_xll.RssMarket(A1078,"始値")</f>
        <v>表示銘柄数超過</v>
      </c>
      <c r="M1078" s="4" t="e">
        <f t="shared" si="95"/>
        <v>#VALUE!</v>
      </c>
      <c r="N1078" s="21" t="str">
        <f>_xll.RssMarket(A1078,"高値")</f>
        <v>表示銘柄数超過</v>
      </c>
      <c r="O1078" s="4" t="e">
        <f t="shared" si="96"/>
        <v>#VALUE!</v>
      </c>
      <c r="P1078" s="21" t="str">
        <f>_xll.RssMarket(A1078,"安値")</f>
        <v>表示銘柄数超過</v>
      </c>
      <c r="Q1078" s="4" t="e">
        <f t="shared" si="97"/>
        <v>#VALUE!</v>
      </c>
      <c r="R1078" s="21" t="str">
        <f>_xll.RssMarket(A1078,"後場始値")</f>
        <v>表示銘柄数超過</v>
      </c>
      <c r="S1078" s="25" t="str">
        <f t="shared" si="98"/>
        <v>-</v>
      </c>
      <c r="T1078" s="7" t="str">
        <f>_xll.RssMarket(A1078,"出来高加重平均")</f>
        <v>表示銘柄数超過</v>
      </c>
      <c r="U1078" s="4" t="e">
        <f t="shared" si="99"/>
        <v>#VALUE!</v>
      </c>
      <c r="V1078" s="21" t="str">
        <f>_xll.RssMarket(A1078,"出来高")</f>
        <v>表示銘柄数超過</v>
      </c>
      <c r="W1078" s="21" t="str">
        <f>_xll.RssMarket(A1078,"売買代金")</f>
        <v>表示銘柄数超過</v>
      </c>
      <c r="X1078" s="20" t="str">
        <f>_xll.RssMarket(A1078,"決算発表日")</f>
        <v>表示銘柄数超過</v>
      </c>
      <c r="Y1078" s="26" t="str">
        <f>IF(C1078&gt;_xll.RssMarket(A1078,"年初来高値"),"○","×")</f>
        <v>×</v>
      </c>
      <c r="Z1078" s="27" t="str">
        <f>IF(C1078&lt;=_xll.RssMarket(A1078,"年初来安値"),"○","×")</f>
        <v>○</v>
      </c>
    </row>
    <row r="1079" spans="1:26" x14ac:dyDescent="0.25">
      <c r="A1079" s="49">
        <v>9009</v>
      </c>
      <c r="B1079" s="20" t="str">
        <f>_xll.RssMarket(A1079,"銘柄名称")</f>
        <v>表示銘柄数超過</v>
      </c>
      <c r="C1079" s="21" t="str">
        <f>_xll.RssMarket(A1079,"現在値")</f>
        <v>表示銘柄数超過</v>
      </c>
      <c r="D1079" s="20" t="str">
        <f>_xll.RssMarket(A1079,"現在値詳細時刻")</f>
        <v>表示銘柄数超過</v>
      </c>
      <c r="E1079" s="22" t="str">
        <f>_xll.RssMarket(A1079,"前日比")</f>
        <v>表示銘柄数超過</v>
      </c>
      <c r="F1079" s="23" t="e">
        <f>_xll.RssMarket(A1079,"前日比率")/100</f>
        <v>#VALUE!</v>
      </c>
      <c r="G1079" s="24" t="str">
        <f>IFERROR(VLOOKUP(A1079,取得元!$A$2:$F$501,2,FALSE),"-")</f>
        <v>-</v>
      </c>
      <c r="H1079" s="24" t="str">
        <f>IFERROR(VLOOKUP(A1079,取得元!$A$2:$F$501,3,FALSE),"-")</f>
        <v>-</v>
      </c>
      <c r="I1079" s="24" t="str">
        <f>IFERROR(VLOOKUP(A1079,取得元!$A$2:$F$501,4,FALSE),"-")</f>
        <v>-</v>
      </c>
      <c r="J1079" s="5" t="str">
        <f>IFERROR(VLOOKUP(A1079,取得元!$A$2:$F$501,5,FALSE),"-")</f>
        <v>-</v>
      </c>
      <c r="K1079" s="25" t="str">
        <f>IFERROR(VLOOKUP(A1079,取得元!$A$2:$F$501,6,FALSE)/100,"-")</f>
        <v>-</v>
      </c>
      <c r="L1079" s="21" t="str">
        <f>_xll.RssMarket(A1079,"始値")</f>
        <v>表示銘柄数超過</v>
      </c>
      <c r="M1079" s="4" t="e">
        <f t="shared" si="95"/>
        <v>#VALUE!</v>
      </c>
      <c r="N1079" s="21" t="str">
        <f>_xll.RssMarket(A1079,"高値")</f>
        <v>表示銘柄数超過</v>
      </c>
      <c r="O1079" s="4" t="e">
        <f t="shared" si="96"/>
        <v>#VALUE!</v>
      </c>
      <c r="P1079" s="21" t="str">
        <f>_xll.RssMarket(A1079,"安値")</f>
        <v>表示銘柄数超過</v>
      </c>
      <c r="Q1079" s="4" t="e">
        <f t="shared" si="97"/>
        <v>#VALUE!</v>
      </c>
      <c r="R1079" s="21" t="str">
        <f>_xll.RssMarket(A1079,"後場始値")</f>
        <v>表示銘柄数超過</v>
      </c>
      <c r="S1079" s="25" t="str">
        <f t="shared" si="98"/>
        <v>-</v>
      </c>
      <c r="T1079" s="7" t="str">
        <f>_xll.RssMarket(A1079,"出来高加重平均")</f>
        <v>表示銘柄数超過</v>
      </c>
      <c r="U1079" s="4" t="e">
        <f t="shared" si="99"/>
        <v>#VALUE!</v>
      </c>
      <c r="V1079" s="21" t="str">
        <f>_xll.RssMarket(A1079,"出来高")</f>
        <v>表示銘柄数超過</v>
      </c>
      <c r="W1079" s="21" t="str">
        <f>_xll.RssMarket(A1079,"売買代金")</f>
        <v>表示銘柄数超過</v>
      </c>
      <c r="X1079" s="20" t="str">
        <f>_xll.RssMarket(A1079,"決算発表日")</f>
        <v>表示銘柄数超過</v>
      </c>
      <c r="Y1079" s="26" t="str">
        <f>IF(C1079&gt;_xll.RssMarket(A1079,"年初来高値"),"○","×")</f>
        <v>×</v>
      </c>
      <c r="Z1079" s="27" t="str">
        <f>IF(C1079&lt;=_xll.RssMarket(A1079,"年初来安値"),"○","×")</f>
        <v>○</v>
      </c>
    </row>
    <row r="1080" spans="1:26" x14ac:dyDescent="0.25">
      <c r="A1080" s="47">
        <v>9020</v>
      </c>
      <c r="B1080" s="20" t="str">
        <f>_xll.RssMarket(A1080,"銘柄名称")</f>
        <v>表示銘柄数超過</v>
      </c>
      <c r="C1080" s="21" t="str">
        <f>_xll.RssMarket(A1080,"現在値")</f>
        <v>表示銘柄数超過</v>
      </c>
      <c r="D1080" s="20" t="str">
        <f>_xll.RssMarket(A1080,"現在値詳細時刻")</f>
        <v>表示銘柄数超過</v>
      </c>
      <c r="E1080" s="22" t="str">
        <f>_xll.RssMarket(A1080,"前日比")</f>
        <v>表示銘柄数超過</v>
      </c>
      <c r="F1080" s="23" t="e">
        <f>_xll.RssMarket(A1080,"前日比率")/100</f>
        <v>#VALUE!</v>
      </c>
      <c r="G1080" s="24" t="str">
        <f>IFERROR(VLOOKUP(A1080,取得元!$A$2:$F$501,2,FALSE),"-")</f>
        <v>-</v>
      </c>
      <c r="H1080" s="24" t="str">
        <f>IFERROR(VLOOKUP(A1080,取得元!$A$2:$F$501,3,FALSE),"-")</f>
        <v>-</v>
      </c>
      <c r="I1080" s="24" t="str">
        <f>IFERROR(VLOOKUP(A1080,取得元!$A$2:$F$501,4,FALSE),"-")</f>
        <v>-</v>
      </c>
      <c r="J1080" s="5" t="str">
        <f>IFERROR(VLOOKUP(A1080,取得元!$A$2:$F$501,5,FALSE),"-")</f>
        <v>-</v>
      </c>
      <c r="K1080" s="25" t="str">
        <f>IFERROR(VLOOKUP(A1080,取得元!$A$2:$F$501,6,FALSE)/100,"-")</f>
        <v>-</v>
      </c>
      <c r="L1080" s="21" t="str">
        <f>_xll.RssMarket(A1080,"始値")</f>
        <v>表示銘柄数超過</v>
      </c>
      <c r="M1080" s="4" t="e">
        <f t="shared" si="95"/>
        <v>#VALUE!</v>
      </c>
      <c r="N1080" s="21" t="str">
        <f>_xll.RssMarket(A1080,"高値")</f>
        <v>表示銘柄数超過</v>
      </c>
      <c r="O1080" s="4" t="e">
        <f t="shared" si="96"/>
        <v>#VALUE!</v>
      </c>
      <c r="P1080" s="21" t="str">
        <f>_xll.RssMarket(A1080,"安値")</f>
        <v>表示銘柄数超過</v>
      </c>
      <c r="Q1080" s="4" t="e">
        <f t="shared" si="97"/>
        <v>#VALUE!</v>
      </c>
      <c r="R1080" s="21" t="str">
        <f>_xll.RssMarket(A1080,"後場始値")</f>
        <v>表示銘柄数超過</v>
      </c>
      <c r="S1080" s="25" t="str">
        <f t="shared" si="98"/>
        <v>-</v>
      </c>
      <c r="T1080" s="7" t="str">
        <f>_xll.RssMarket(A1080,"出来高加重平均")</f>
        <v>表示銘柄数超過</v>
      </c>
      <c r="U1080" s="4" t="e">
        <f t="shared" si="99"/>
        <v>#VALUE!</v>
      </c>
      <c r="V1080" s="21" t="str">
        <f>_xll.RssMarket(A1080,"出来高")</f>
        <v>表示銘柄数超過</v>
      </c>
      <c r="W1080" s="21" t="str">
        <f>_xll.RssMarket(A1080,"売買代金")</f>
        <v>表示銘柄数超過</v>
      </c>
      <c r="X1080" s="20" t="str">
        <f>_xll.RssMarket(A1080,"決算発表日")</f>
        <v>表示銘柄数超過</v>
      </c>
      <c r="Y1080" s="26" t="str">
        <f>IF(C1080&gt;_xll.RssMarket(A1080,"年初来高値"),"○","×")</f>
        <v>×</v>
      </c>
      <c r="Z1080" s="27" t="str">
        <f>IF(C1080&lt;=_xll.RssMarket(A1080,"年初来安値"),"○","×")</f>
        <v>○</v>
      </c>
    </row>
    <row r="1081" spans="1:26" x14ac:dyDescent="0.25">
      <c r="A1081" s="49">
        <v>9020</v>
      </c>
      <c r="B1081" s="20" t="str">
        <f>_xll.RssMarket(A1081,"銘柄名称")</f>
        <v>表示銘柄数超過</v>
      </c>
      <c r="C1081" s="21" t="str">
        <f>_xll.RssMarket(A1081,"現在値")</f>
        <v>表示銘柄数超過</v>
      </c>
      <c r="D1081" s="20" t="str">
        <f>_xll.RssMarket(A1081,"現在値詳細時刻")</f>
        <v>表示銘柄数超過</v>
      </c>
      <c r="E1081" s="22" t="str">
        <f>_xll.RssMarket(A1081,"前日比")</f>
        <v>表示銘柄数超過</v>
      </c>
      <c r="F1081" s="23" t="e">
        <f>_xll.RssMarket(A1081,"前日比率")/100</f>
        <v>#VALUE!</v>
      </c>
      <c r="G1081" s="24" t="str">
        <f>IFERROR(VLOOKUP(A1081,取得元!$A$2:$F$501,2,FALSE),"-")</f>
        <v>-</v>
      </c>
      <c r="H1081" s="24" t="str">
        <f>IFERROR(VLOOKUP(A1081,取得元!$A$2:$F$501,3,FALSE),"-")</f>
        <v>-</v>
      </c>
      <c r="I1081" s="24" t="str">
        <f>IFERROR(VLOOKUP(A1081,取得元!$A$2:$F$501,4,FALSE),"-")</f>
        <v>-</v>
      </c>
      <c r="J1081" s="5" t="str">
        <f>IFERROR(VLOOKUP(A1081,取得元!$A$2:$F$501,5,FALSE),"-")</f>
        <v>-</v>
      </c>
      <c r="K1081" s="25" t="str">
        <f>IFERROR(VLOOKUP(A1081,取得元!$A$2:$F$501,6,FALSE)/100,"-")</f>
        <v>-</v>
      </c>
      <c r="L1081" s="21" t="str">
        <f>_xll.RssMarket(A1081,"始値")</f>
        <v>表示銘柄数超過</v>
      </c>
      <c r="M1081" s="4" t="e">
        <f t="shared" si="95"/>
        <v>#VALUE!</v>
      </c>
      <c r="N1081" s="21" t="str">
        <f>_xll.RssMarket(A1081,"高値")</f>
        <v>表示銘柄数超過</v>
      </c>
      <c r="O1081" s="4" t="e">
        <f t="shared" si="96"/>
        <v>#VALUE!</v>
      </c>
      <c r="P1081" s="21" t="str">
        <f>_xll.RssMarket(A1081,"安値")</f>
        <v>表示銘柄数超過</v>
      </c>
      <c r="Q1081" s="4" t="e">
        <f t="shared" si="97"/>
        <v>#VALUE!</v>
      </c>
      <c r="R1081" s="21" t="str">
        <f>_xll.RssMarket(A1081,"後場始値")</f>
        <v>表示銘柄数超過</v>
      </c>
      <c r="S1081" s="25" t="str">
        <f t="shared" si="98"/>
        <v>-</v>
      </c>
      <c r="T1081" s="7" t="str">
        <f>_xll.RssMarket(A1081,"出来高加重平均")</f>
        <v>表示銘柄数超過</v>
      </c>
      <c r="U1081" s="4" t="e">
        <f t="shared" si="99"/>
        <v>#VALUE!</v>
      </c>
      <c r="V1081" s="21" t="str">
        <f>_xll.RssMarket(A1081,"出来高")</f>
        <v>表示銘柄数超過</v>
      </c>
      <c r="W1081" s="21" t="str">
        <f>_xll.RssMarket(A1081,"売買代金")</f>
        <v>表示銘柄数超過</v>
      </c>
      <c r="X1081" s="20" t="str">
        <f>_xll.RssMarket(A1081,"決算発表日")</f>
        <v>表示銘柄数超過</v>
      </c>
      <c r="Y1081" s="26" t="str">
        <f>IF(C1081&gt;_xll.RssMarket(A1081,"年初来高値"),"○","×")</f>
        <v>×</v>
      </c>
      <c r="Z1081" s="27" t="str">
        <f>IF(C1081&lt;=_xll.RssMarket(A1081,"年初来安値"),"○","×")</f>
        <v>○</v>
      </c>
    </row>
    <row r="1082" spans="1:26" x14ac:dyDescent="0.25">
      <c r="A1082" s="47">
        <v>9022</v>
      </c>
      <c r="B1082" s="20" t="str">
        <f>_xll.RssMarket(A1082,"銘柄名称")</f>
        <v>表示銘柄数超過</v>
      </c>
      <c r="C1082" s="21" t="str">
        <f>_xll.RssMarket(A1082,"現在値")</f>
        <v>表示銘柄数超過</v>
      </c>
      <c r="D1082" s="20" t="str">
        <f>_xll.RssMarket(A1082,"現在値詳細時刻")</f>
        <v>表示銘柄数超過</v>
      </c>
      <c r="E1082" s="22" t="str">
        <f>_xll.RssMarket(A1082,"前日比")</f>
        <v>表示銘柄数超過</v>
      </c>
      <c r="F1082" s="23" t="e">
        <f>_xll.RssMarket(A1082,"前日比率")/100</f>
        <v>#VALUE!</v>
      </c>
      <c r="G1082" s="24" t="str">
        <f>IFERROR(VLOOKUP(A1082,取得元!$A$2:$F$501,2,FALSE),"-")</f>
        <v>-</v>
      </c>
      <c r="H1082" s="24" t="str">
        <f>IFERROR(VLOOKUP(A1082,取得元!$A$2:$F$501,3,FALSE),"-")</f>
        <v>-</v>
      </c>
      <c r="I1082" s="24" t="str">
        <f>IFERROR(VLOOKUP(A1082,取得元!$A$2:$F$501,4,FALSE),"-")</f>
        <v>-</v>
      </c>
      <c r="J1082" s="5" t="str">
        <f>IFERROR(VLOOKUP(A1082,取得元!$A$2:$F$501,5,FALSE),"-")</f>
        <v>-</v>
      </c>
      <c r="K1082" s="25" t="str">
        <f>IFERROR(VLOOKUP(A1082,取得元!$A$2:$F$501,6,FALSE)/100,"-")</f>
        <v>-</v>
      </c>
      <c r="L1082" s="21" t="str">
        <f>_xll.RssMarket(A1082,"始値")</f>
        <v>表示銘柄数超過</v>
      </c>
      <c r="M1082" s="4" t="e">
        <f t="shared" si="95"/>
        <v>#VALUE!</v>
      </c>
      <c r="N1082" s="21" t="str">
        <f>_xll.RssMarket(A1082,"高値")</f>
        <v>表示銘柄数超過</v>
      </c>
      <c r="O1082" s="4" t="e">
        <f t="shared" si="96"/>
        <v>#VALUE!</v>
      </c>
      <c r="P1082" s="21" t="str">
        <f>_xll.RssMarket(A1082,"安値")</f>
        <v>表示銘柄数超過</v>
      </c>
      <c r="Q1082" s="4" t="e">
        <f t="shared" si="97"/>
        <v>#VALUE!</v>
      </c>
      <c r="R1082" s="21" t="str">
        <f>_xll.RssMarket(A1082,"後場始値")</f>
        <v>表示銘柄数超過</v>
      </c>
      <c r="S1082" s="25" t="str">
        <f t="shared" si="98"/>
        <v>-</v>
      </c>
      <c r="T1082" s="7" t="str">
        <f>_xll.RssMarket(A1082,"出来高加重平均")</f>
        <v>表示銘柄数超過</v>
      </c>
      <c r="U1082" s="4" t="e">
        <f t="shared" si="99"/>
        <v>#VALUE!</v>
      </c>
      <c r="V1082" s="21" t="str">
        <f>_xll.RssMarket(A1082,"出来高")</f>
        <v>表示銘柄数超過</v>
      </c>
      <c r="W1082" s="21" t="str">
        <f>_xll.RssMarket(A1082,"売買代金")</f>
        <v>表示銘柄数超過</v>
      </c>
      <c r="X1082" s="20" t="str">
        <f>_xll.RssMarket(A1082,"決算発表日")</f>
        <v>表示銘柄数超過</v>
      </c>
      <c r="Y1082" s="26" t="str">
        <f>IF(C1082&gt;_xll.RssMarket(A1082,"年初来高値"),"○","×")</f>
        <v>×</v>
      </c>
      <c r="Z1082" s="27" t="str">
        <f>IF(C1082&lt;=_xll.RssMarket(A1082,"年初来安値"),"○","×")</f>
        <v>○</v>
      </c>
    </row>
    <row r="1083" spans="1:26" x14ac:dyDescent="0.25">
      <c r="A1083" s="49">
        <v>9024</v>
      </c>
      <c r="B1083" s="20" t="str">
        <f>_xll.RssMarket(A1083,"銘柄名称")</f>
        <v>表示銘柄数超過</v>
      </c>
      <c r="C1083" s="21" t="str">
        <f>_xll.RssMarket(A1083,"現在値")</f>
        <v>表示銘柄数超過</v>
      </c>
      <c r="D1083" s="20" t="str">
        <f>_xll.RssMarket(A1083,"現在値詳細時刻")</f>
        <v>表示銘柄数超過</v>
      </c>
      <c r="E1083" s="22" t="str">
        <f>_xll.RssMarket(A1083,"前日比")</f>
        <v>表示銘柄数超過</v>
      </c>
      <c r="F1083" s="23" t="e">
        <f>_xll.RssMarket(A1083,"前日比率")/100</f>
        <v>#VALUE!</v>
      </c>
      <c r="G1083" s="24" t="str">
        <f>IFERROR(VLOOKUP(A1083,取得元!$A$2:$F$501,2,FALSE),"-")</f>
        <v>-</v>
      </c>
      <c r="H1083" s="24" t="str">
        <f>IFERROR(VLOOKUP(A1083,取得元!$A$2:$F$501,3,FALSE),"-")</f>
        <v>-</v>
      </c>
      <c r="I1083" s="24" t="str">
        <f>IFERROR(VLOOKUP(A1083,取得元!$A$2:$F$501,4,FALSE),"-")</f>
        <v>-</v>
      </c>
      <c r="J1083" s="5" t="str">
        <f>IFERROR(VLOOKUP(A1083,取得元!$A$2:$F$501,5,FALSE),"-")</f>
        <v>-</v>
      </c>
      <c r="K1083" s="25" t="str">
        <f>IFERROR(VLOOKUP(A1083,取得元!$A$2:$F$501,6,FALSE)/100,"-")</f>
        <v>-</v>
      </c>
      <c r="L1083" s="21" t="str">
        <f>_xll.RssMarket(A1083,"始値")</f>
        <v>表示銘柄数超過</v>
      </c>
      <c r="M1083" s="4" t="e">
        <f t="shared" si="95"/>
        <v>#VALUE!</v>
      </c>
      <c r="N1083" s="21" t="str">
        <f>_xll.RssMarket(A1083,"高値")</f>
        <v>表示銘柄数超過</v>
      </c>
      <c r="O1083" s="4" t="e">
        <f t="shared" si="96"/>
        <v>#VALUE!</v>
      </c>
      <c r="P1083" s="21" t="str">
        <f>_xll.RssMarket(A1083,"安値")</f>
        <v>表示銘柄数超過</v>
      </c>
      <c r="Q1083" s="4" t="e">
        <f t="shared" si="97"/>
        <v>#VALUE!</v>
      </c>
      <c r="R1083" s="21" t="str">
        <f>_xll.RssMarket(A1083,"後場始値")</f>
        <v>表示銘柄数超過</v>
      </c>
      <c r="S1083" s="25" t="str">
        <f t="shared" si="98"/>
        <v>-</v>
      </c>
      <c r="T1083" s="7" t="str">
        <f>_xll.RssMarket(A1083,"出来高加重平均")</f>
        <v>表示銘柄数超過</v>
      </c>
      <c r="U1083" s="4" t="e">
        <f t="shared" si="99"/>
        <v>#VALUE!</v>
      </c>
      <c r="V1083" s="21" t="str">
        <f>_xll.RssMarket(A1083,"出来高")</f>
        <v>表示銘柄数超過</v>
      </c>
      <c r="W1083" s="21" t="str">
        <f>_xll.RssMarket(A1083,"売買代金")</f>
        <v>表示銘柄数超過</v>
      </c>
      <c r="X1083" s="20" t="str">
        <f>_xll.RssMarket(A1083,"決算発表日")</f>
        <v>表示銘柄数超過</v>
      </c>
      <c r="Y1083" s="26" t="str">
        <f>IF(C1083&gt;_xll.RssMarket(A1083,"年初来高値"),"○","×")</f>
        <v>×</v>
      </c>
      <c r="Z1083" s="27" t="str">
        <f>IF(C1083&lt;=_xll.RssMarket(A1083,"年初来安値"),"○","×")</f>
        <v>○</v>
      </c>
    </row>
    <row r="1084" spans="1:26" x14ac:dyDescent="0.25">
      <c r="A1084" s="47">
        <v>9033</v>
      </c>
      <c r="B1084" s="20" t="str">
        <f>_xll.RssMarket(A1084,"銘柄名称")</f>
        <v>表示銘柄数超過</v>
      </c>
      <c r="C1084" s="21" t="str">
        <f>_xll.RssMarket(A1084,"現在値")</f>
        <v>表示銘柄数超過</v>
      </c>
      <c r="D1084" s="20" t="str">
        <f>_xll.RssMarket(A1084,"現在値詳細時刻")</f>
        <v>表示銘柄数超過</v>
      </c>
      <c r="E1084" s="22" t="str">
        <f>_xll.RssMarket(A1084,"前日比")</f>
        <v>表示銘柄数超過</v>
      </c>
      <c r="F1084" s="23" t="e">
        <f>_xll.RssMarket(A1084,"前日比率")/100</f>
        <v>#VALUE!</v>
      </c>
      <c r="G1084" s="24" t="str">
        <f>IFERROR(VLOOKUP(A1084,取得元!$A$2:$F$501,2,FALSE),"-")</f>
        <v>-</v>
      </c>
      <c r="H1084" s="24" t="str">
        <f>IFERROR(VLOOKUP(A1084,取得元!$A$2:$F$501,3,FALSE),"-")</f>
        <v>-</v>
      </c>
      <c r="I1084" s="24" t="str">
        <f>IFERROR(VLOOKUP(A1084,取得元!$A$2:$F$501,4,FALSE),"-")</f>
        <v>-</v>
      </c>
      <c r="J1084" s="5" t="str">
        <f>IFERROR(VLOOKUP(A1084,取得元!$A$2:$F$501,5,FALSE),"-")</f>
        <v>-</v>
      </c>
      <c r="K1084" s="25" t="str">
        <f>IFERROR(VLOOKUP(A1084,取得元!$A$2:$F$501,6,FALSE)/100,"-")</f>
        <v>-</v>
      </c>
      <c r="L1084" s="21" t="str">
        <f>_xll.RssMarket(A1084,"始値")</f>
        <v>表示銘柄数超過</v>
      </c>
      <c r="M1084" s="4" t="e">
        <f t="shared" si="95"/>
        <v>#VALUE!</v>
      </c>
      <c r="N1084" s="21" t="str">
        <f>_xll.RssMarket(A1084,"高値")</f>
        <v>表示銘柄数超過</v>
      </c>
      <c r="O1084" s="4" t="e">
        <f t="shared" si="96"/>
        <v>#VALUE!</v>
      </c>
      <c r="P1084" s="21" t="str">
        <f>_xll.RssMarket(A1084,"安値")</f>
        <v>表示銘柄数超過</v>
      </c>
      <c r="Q1084" s="4" t="e">
        <f t="shared" si="97"/>
        <v>#VALUE!</v>
      </c>
      <c r="R1084" s="21" t="str">
        <f>_xll.RssMarket(A1084,"後場始値")</f>
        <v>表示銘柄数超過</v>
      </c>
      <c r="S1084" s="25" t="str">
        <f t="shared" si="98"/>
        <v>-</v>
      </c>
      <c r="T1084" s="7" t="str">
        <f>_xll.RssMarket(A1084,"出来高加重平均")</f>
        <v>表示銘柄数超過</v>
      </c>
      <c r="U1084" s="4" t="e">
        <f t="shared" si="99"/>
        <v>#VALUE!</v>
      </c>
      <c r="V1084" s="21" t="str">
        <f>_xll.RssMarket(A1084,"出来高")</f>
        <v>表示銘柄数超過</v>
      </c>
      <c r="W1084" s="21" t="str">
        <f>_xll.RssMarket(A1084,"売買代金")</f>
        <v>表示銘柄数超過</v>
      </c>
      <c r="X1084" s="20" t="str">
        <f>_xll.RssMarket(A1084,"決算発表日")</f>
        <v>表示銘柄数超過</v>
      </c>
      <c r="Y1084" s="26" t="str">
        <f>IF(C1084&gt;_xll.RssMarket(A1084,"年初来高値"),"○","×")</f>
        <v>×</v>
      </c>
      <c r="Z1084" s="27" t="str">
        <f>IF(C1084&lt;=_xll.RssMarket(A1084,"年初来安値"),"○","×")</f>
        <v>○</v>
      </c>
    </row>
    <row r="1085" spans="1:26" x14ac:dyDescent="0.25">
      <c r="A1085" s="49">
        <v>9041</v>
      </c>
      <c r="B1085" s="20" t="str">
        <f>_xll.RssMarket(A1085,"銘柄名称")</f>
        <v>表示銘柄数超過</v>
      </c>
      <c r="C1085" s="21" t="str">
        <f>_xll.RssMarket(A1085,"現在値")</f>
        <v>表示銘柄数超過</v>
      </c>
      <c r="D1085" s="20" t="str">
        <f>_xll.RssMarket(A1085,"現在値詳細時刻")</f>
        <v>表示銘柄数超過</v>
      </c>
      <c r="E1085" s="22" t="str">
        <f>_xll.RssMarket(A1085,"前日比")</f>
        <v>表示銘柄数超過</v>
      </c>
      <c r="F1085" s="23" t="e">
        <f>_xll.RssMarket(A1085,"前日比率")/100</f>
        <v>#VALUE!</v>
      </c>
      <c r="G1085" s="24" t="str">
        <f>IFERROR(VLOOKUP(A1085,取得元!$A$2:$F$501,2,FALSE),"-")</f>
        <v>-</v>
      </c>
      <c r="H1085" s="24" t="str">
        <f>IFERROR(VLOOKUP(A1085,取得元!$A$2:$F$501,3,FALSE),"-")</f>
        <v>-</v>
      </c>
      <c r="I1085" s="24" t="str">
        <f>IFERROR(VLOOKUP(A1085,取得元!$A$2:$F$501,4,FALSE),"-")</f>
        <v>-</v>
      </c>
      <c r="J1085" s="5" t="str">
        <f>IFERROR(VLOOKUP(A1085,取得元!$A$2:$F$501,5,FALSE),"-")</f>
        <v>-</v>
      </c>
      <c r="K1085" s="25" t="str">
        <f>IFERROR(VLOOKUP(A1085,取得元!$A$2:$F$501,6,FALSE)/100,"-")</f>
        <v>-</v>
      </c>
      <c r="L1085" s="21" t="str">
        <f>_xll.RssMarket(A1085,"始値")</f>
        <v>表示銘柄数超過</v>
      </c>
      <c r="M1085" s="4" t="e">
        <f t="shared" si="95"/>
        <v>#VALUE!</v>
      </c>
      <c r="N1085" s="21" t="str">
        <f>_xll.RssMarket(A1085,"高値")</f>
        <v>表示銘柄数超過</v>
      </c>
      <c r="O1085" s="4" t="e">
        <f t="shared" si="96"/>
        <v>#VALUE!</v>
      </c>
      <c r="P1085" s="21" t="str">
        <f>_xll.RssMarket(A1085,"安値")</f>
        <v>表示銘柄数超過</v>
      </c>
      <c r="Q1085" s="4" t="e">
        <f t="shared" si="97"/>
        <v>#VALUE!</v>
      </c>
      <c r="R1085" s="21" t="str">
        <f>_xll.RssMarket(A1085,"後場始値")</f>
        <v>表示銘柄数超過</v>
      </c>
      <c r="S1085" s="25" t="str">
        <f t="shared" si="98"/>
        <v>-</v>
      </c>
      <c r="T1085" s="7" t="str">
        <f>_xll.RssMarket(A1085,"出来高加重平均")</f>
        <v>表示銘柄数超過</v>
      </c>
      <c r="U1085" s="4" t="e">
        <f t="shared" si="99"/>
        <v>#VALUE!</v>
      </c>
      <c r="V1085" s="21" t="str">
        <f>_xll.RssMarket(A1085,"出来高")</f>
        <v>表示銘柄数超過</v>
      </c>
      <c r="W1085" s="21" t="str">
        <f>_xll.RssMarket(A1085,"売買代金")</f>
        <v>表示銘柄数超過</v>
      </c>
      <c r="X1085" s="20" t="str">
        <f>_xll.RssMarket(A1085,"決算発表日")</f>
        <v>表示銘柄数超過</v>
      </c>
      <c r="Y1085" s="26" t="str">
        <f>IF(C1085&gt;_xll.RssMarket(A1085,"年初来高値"),"○","×")</f>
        <v>×</v>
      </c>
      <c r="Z1085" s="27" t="str">
        <f>IF(C1085&lt;=_xll.RssMarket(A1085,"年初来安値"),"○","×")</f>
        <v>○</v>
      </c>
    </row>
    <row r="1086" spans="1:26" x14ac:dyDescent="0.25">
      <c r="A1086" s="47">
        <v>9042</v>
      </c>
      <c r="B1086" s="20" t="str">
        <f>_xll.RssMarket(A1086,"銘柄名称")</f>
        <v>表示銘柄数超過</v>
      </c>
      <c r="C1086" s="21" t="str">
        <f>_xll.RssMarket(A1086,"現在値")</f>
        <v>表示銘柄数超過</v>
      </c>
      <c r="D1086" s="20" t="str">
        <f>_xll.RssMarket(A1086,"現在値詳細時刻")</f>
        <v>表示銘柄数超過</v>
      </c>
      <c r="E1086" s="22" t="str">
        <f>_xll.RssMarket(A1086,"前日比")</f>
        <v>表示銘柄数超過</v>
      </c>
      <c r="F1086" s="23" t="e">
        <f>_xll.RssMarket(A1086,"前日比率")/100</f>
        <v>#VALUE!</v>
      </c>
      <c r="G1086" s="24" t="str">
        <f>IFERROR(VLOOKUP(A1086,取得元!$A$2:$F$501,2,FALSE),"-")</f>
        <v>-</v>
      </c>
      <c r="H1086" s="24" t="str">
        <f>IFERROR(VLOOKUP(A1086,取得元!$A$2:$F$501,3,FALSE),"-")</f>
        <v>-</v>
      </c>
      <c r="I1086" s="24" t="str">
        <f>IFERROR(VLOOKUP(A1086,取得元!$A$2:$F$501,4,FALSE),"-")</f>
        <v>-</v>
      </c>
      <c r="J1086" s="5" t="str">
        <f>IFERROR(VLOOKUP(A1086,取得元!$A$2:$F$501,5,FALSE),"-")</f>
        <v>-</v>
      </c>
      <c r="K1086" s="25" t="str">
        <f>IFERROR(VLOOKUP(A1086,取得元!$A$2:$F$501,6,FALSE)/100,"-")</f>
        <v>-</v>
      </c>
      <c r="L1086" s="21" t="str">
        <f>_xll.RssMarket(A1086,"始値")</f>
        <v>表示銘柄数超過</v>
      </c>
      <c r="M1086" s="4" t="e">
        <f t="shared" si="95"/>
        <v>#VALUE!</v>
      </c>
      <c r="N1086" s="21" t="str">
        <f>_xll.RssMarket(A1086,"高値")</f>
        <v>表示銘柄数超過</v>
      </c>
      <c r="O1086" s="4" t="e">
        <f t="shared" si="96"/>
        <v>#VALUE!</v>
      </c>
      <c r="P1086" s="21" t="str">
        <f>_xll.RssMarket(A1086,"安値")</f>
        <v>表示銘柄数超過</v>
      </c>
      <c r="Q1086" s="4" t="e">
        <f t="shared" si="97"/>
        <v>#VALUE!</v>
      </c>
      <c r="R1086" s="21" t="str">
        <f>_xll.RssMarket(A1086,"後場始値")</f>
        <v>表示銘柄数超過</v>
      </c>
      <c r="S1086" s="25" t="str">
        <f t="shared" si="98"/>
        <v>-</v>
      </c>
      <c r="T1086" s="7" t="str">
        <f>_xll.RssMarket(A1086,"出来高加重平均")</f>
        <v>表示銘柄数超過</v>
      </c>
      <c r="U1086" s="4" t="e">
        <f t="shared" si="99"/>
        <v>#VALUE!</v>
      </c>
      <c r="V1086" s="21" t="str">
        <f>_xll.RssMarket(A1086,"出来高")</f>
        <v>表示銘柄数超過</v>
      </c>
      <c r="W1086" s="21" t="str">
        <f>_xll.RssMarket(A1086,"売買代金")</f>
        <v>表示銘柄数超過</v>
      </c>
      <c r="X1086" s="20" t="str">
        <f>_xll.RssMarket(A1086,"決算発表日")</f>
        <v>表示銘柄数超過</v>
      </c>
      <c r="Y1086" s="26" t="str">
        <f>IF(C1086&gt;_xll.RssMarket(A1086,"年初来高値"),"○","×")</f>
        <v>×</v>
      </c>
      <c r="Z1086" s="27" t="str">
        <f>IF(C1086&lt;=_xll.RssMarket(A1086,"年初来安値"),"○","×")</f>
        <v>○</v>
      </c>
    </row>
    <row r="1087" spans="1:26" x14ac:dyDescent="0.25">
      <c r="A1087" s="49">
        <v>9044</v>
      </c>
      <c r="B1087" s="20" t="str">
        <f>_xll.RssMarket(A1087,"銘柄名称")</f>
        <v>表示銘柄数超過</v>
      </c>
      <c r="C1087" s="21" t="str">
        <f>_xll.RssMarket(A1087,"現在値")</f>
        <v>表示銘柄数超過</v>
      </c>
      <c r="D1087" s="20" t="str">
        <f>_xll.RssMarket(A1087,"現在値詳細時刻")</f>
        <v>表示銘柄数超過</v>
      </c>
      <c r="E1087" s="22" t="str">
        <f>_xll.RssMarket(A1087,"前日比")</f>
        <v>表示銘柄数超過</v>
      </c>
      <c r="F1087" s="23" t="e">
        <f>_xll.RssMarket(A1087,"前日比率")/100</f>
        <v>#VALUE!</v>
      </c>
      <c r="G1087" s="24" t="str">
        <f>IFERROR(VLOOKUP(A1087,取得元!$A$2:$F$501,2,FALSE),"-")</f>
        <v>-</v>
      </c>
      <c r="H1087" s="24" t="str">
        <f>IFERROR(VLOOKUP(A1087,取得元!$A$2:$F$501,3,FALSE),"-")</f>
        <v>-</v>
      </c>
      <c r="I1087" s="24" t="str">
        <f>IFERROR(VLOOKUP(A1087,取得元!$A$2:$F$501,4,FALSE),"-")</f>
        <v>-</v>
      </c>
      <c r="J1087" s="5" t="str">
        <f>IFERROR(VLOOKUP(A1087,取得元!$A$2:$F$501,5,FALSE),"-")</f>
        <v>-</v>
      </c>
      <c r="K1087" s="25" t="str">
        <f>IFERROR(VLOOKUP(A1087,取得元!$A$2:$F$501,6,FALSE)/100,"-")</f>
        <v>-</v>
      </c>
      <c r="L1087" s="21" t="str">
        <f>_xll.RssMarket(A1087,"始値")</f>
        <v>表示銘柄数超過</v>
      </c>
      <c r="M1087" s="4" t="e">
        <f t="shared" si="95"/>
        <v>#VALUE!</v>
      </c>
      <c r="N1087" s="21" t="str">
        <f>_xll.RssMarket(A1087,"高値")</f>
        <v>表示銘柄数超過</v>
      </c>
      <c r="O1087" s="4" t="e">
        <f t="shared" si="96"/>
        <v>#VALUE!</v>
      </c>
      <c r="P1087" s="21" t="str">
        <f>_xll.RssMarket(A1087,"安値")</f>
        <v>表示銘柄数超過</v>
      </c>
      <c r="Q1087" s="4" t="e">
        <f t="shared" si="97"/>
        <v>#VALUE!</v>
      </c>
      <c r="R1087" s="21" t="str">
        <f>_xll.RssMarket(A1087,"後場始値")</f>
        <v>表示銘柄数超過</v>
      </c>
      <c r="S1087" s="25" t="str">
        <f t="shared" si="98"/>
        <v>-</v>
      </c>
      <c r="T1087" s="7" t="str">
        <f>_xll.RssMarket(A1087,"出来高加重平均")</f>
        <v>表示銘柄数超過</v>
      </c>
      <c r="U1087" s="4" t="e">
        <f t="shared" si="99"/>
        <v>#VALUE!</v>
      </c>
      <c r="V1087" s="21" t="str">
        <f>_xll.RssMarket(A1087,"出来高")</f>
        <v>表示銘柄数超過</v>
      </c>
      <c r="W1087" s="21" t="str">
        <f>_xll.RssMarket(A1087,"売買代金")</f>
        <v>表示銘柄数超過</v>
      </c>
      <c r="X1087" s="20" t="str">
        <f>_xll.RssMarket(A1087,"決算発表日")</f>
        <v>表示銘柄数超過</v>
      </c>
      <c r="Y1087" s="26" t="str">
        <f>IF(C1087&gt;_xll.RssMarket(A1087,"年初来高値"),"○","×")</f>
        <v>×</v>
      </c>
      <c r="Z1087" s="27" t="str">
        <f>IF(C1087&lt;=_xll.RssMarket(A1087,"年初来安値"),"○","×")</f>
        <v>○</v>
      </c>
    </row>
    <row r="1088" spans="1:26" x14ac:dyDescent="0.25">
      <c r="A1088" s="47">
        <v>9048</v>
      </c>
      <c r="B1088" s="20" t="str">
        <f>_xll.RssMarket(A1088,"銘柄名称")</f>
        <v>表示銘柄数超過</v>
      </c>
      <c r="C1088" s="21" t="str">
        <f>_xll.RssMarket(A1088,"現在値")</f>
        <v>表示銘柄数超過</v>
      </c>
      <c r="D1088" s="20" t="str">
        <f>_xll.RssMarket(A1088,"現在値詳細時刻")</f>
        <v>表示銘柄数超過</v>
      </c>
      <c r="E1088" s="22" t="str">
        <f>_xll.RssMarket(A1088,"前日比")</f>
        <v>表示銘柄数超過</v>
      </c>
      <c r="F1088" s="23" t="e">
        <f>_xll.RssMarket(A1088,"前日比率")/100</f>
        <v>#VALUE!</v>
      </c>
      <c r="G1088" s="24" t="str">
        <f>IFERROR(VLOOKUP(A1088,取得元!$A$2:$F$501,2,FALSE),"-")</f>
        <v>-</v>
      </c>
      <c r="H1088" s="24" t="str">
        <f>IFERROR(VLOOKUP(A1088,取得元!$A$2:$F$501,3,FALSE),"-")</f>
        <v>-</v>
      </c>
      <c r="I1088" s="24" t="str">
        <f>IFERROR(VLOOKUP(A1088,取得元!$A$2:$F$501,4,FALSE),"-")</f>
        <v>-</v>
      </c>
      <c r="J1088" s="5" t="str">
        <f>IFERROR(VLOOKUP(A1088,取得元!$A$2:$F$501,5,FALSE),"-")</f>
        <v>-</v>
      </c>
      <c r="K1088" s="25" t="str">
        <f>IFERROR(VLOOKUP(A1088,取得元!$A$2:$F$501,6,FALSE)/100,"-")</f>
        <v>-</v>
      </c>
      <c r="L1088" s="21" t="str">
        <f>_xll.RssMarket(A1088,"始値")</f>
        <v>表示銘柄数超過</v>
      </c>
      <c r="M1088" s="4" t="e">
        <f t="shared" si="95"/>
        <v>#VALUE!</v>
      </c>
      <c r="N1088" s="21" t="str">
        <f>_xll.RssMarket(A1088,"高値")</f>
        <v>表示銘柄数超過</v>
      </c>
      <c r="O1088" s="4" t="e">
        <f t="shared" si="96"/>
        <v>#VALUE!</v>
      </c>
      <c r="P1088" s="21" t="str">
        <f>_xll.RssMarket(A1088,"安値")</f>
        <v>表示銘柄数超過</v>
      </c>
      <c r="Q1088" s="4" t="e">
        <f t="shared" si="97"/>
        <v>#VALUE!</v>
      </c>
      <c r="R1088" s="21" t="str">
        <f>_xll.RssMarket(A1088,"後場始値")</f>
        <v>表示銘柄数超過</v>
      </c>
      <c r="S1088" s="25" t="str">
        <f t="shared" si="98"/>
        <v>-</v>
      </c>
      <c r="T1088" s="7" t="str">
        <f>_xll.RssMarket(A1088,"出来高加重平均")</f>
        <v>表示銘柄数超過</v>
      </c>
      <c r="U1088" s="4" t="e">
        <f t="shared" si="99"/>
        <v>#VALUE!</v>
      </c>
      <c r="V1088" s="21" t="str">
        <f>_xll.RssMarket(A1088,"出来高")</f>
        <v>表示銘柄数超過</v>
      </c>
      <c r="W1088" s="21" t="str">
        <f>_xll.RssMarket(A1088,"売買代金")</f>
        <v>表示銘柄数超過</v>
      </c>
      <c r="X1088" s="20" t="str">
        <f>_xll.RssMarket(A1088,"決算発表日")</f>
        <v>表示銘柄数超過</v>
      </c>
      <c r="Y1088" s="26" t="str">
        <f>IF(C1088&gt;_xll.RssMarket(A1088,"年初来高値"),"○","×")</f>
        <v>×</v>
      </c>
      <c r="Z1088" s="27" t="str">
        <f>IF(C1088&lt;=_xll.RssMarket(A1088,"年初来安値"),"○","×")</f>
        <v>○</v>
      </c>
    </row>
    <row r="1089" spans="1:26" x14ac:dyDescent="0.25">
      <c r="A1089" s="49">
        <v>9059</v>
      </c>
      <c r="B1089" s="20" t="str">
        <f>_xll.RssMarket(A1089,"銘柄名称")</f>
        <v>表示銘柄数超過</v>
      </c>
      <c r="C1089" s="21" t="str">
        <f>_xll.RssMarket(A1089,"現在値")</f>
        <v>表示銘柄数超過</v>
      </c>
      <c r="D1089" s="20" t="str">
        <f>_xll.RssMarket(A1089,"現在値詳細時刻")</f>
        <v>表示銘柄数超過</v>
      </c>
      <c r="E1089" s="22" t="str">
        <f>_xll.RssMarket(A1089,"前日比")</f>
        <v>表示銘柄数超過</v>
      </c>
      <c r="F1089" s="23" t="e">
        <f>_xll.RssMarket(A1089,"前日比率")/100</f>
        <v>#VALUE!</v>
      </c>
      <c r="G1089" s="24" t="str">
        <f>IFERROR(VLOOKUP(A1089,取得元!$A$2:$F$501,2,FALSE),"-")</f>
        <v>-</v>
      </c>
      <c r="H1089" s="24" t="str">
        <f>IFERROR(VLOOKUP(A1089,取得元!$A$2:$F$501,3,FALSE),"-")</f>
        <v>-</v>
      </c>
      <c r="I1089" s="24" t="str">
        <f>IFERROR(VLOOKUP(A1089,取得元!$A$2:$F$501,4,FALSE),"-")</f>
        <v>-</v>
      </c>
      <c r="J1089" s="5" t="str">
        <f>IFERROR(VLOOKUP(A1089,取得元!$A$2:$F$501,5,FALSE),"-")</f>
        <v>-</v>
      </c>
      <c r="K1089" s="25" t="str">
        <f>IFERROR(VLOOKUP(A1089,取得元!$A$2:$F$501,6,FALSE)/100,"-")</f>
        <v>-</v>
      </c>
      <c r="L1089" s="21" t="str">
        <f>_xll.RssMarket(A1089,"始値")</f>
        <v>表示銘柄数超過</v>
      </c>
      <c r="M1089" s="4" t="e">
        <f t="shared" si="95"/>
        <v>#VALUE!</v>
      </c>
      <c r="N1089" s="21" t="str">
        <f>_xll.RssMarket(A1089,"高値")</f>
        <v>表示銘柄数超過</v>
      </c>
      <c r="O1089" s="4" t="e">
        <f t="shared" si="96"/>
        <v>#VALUE!</v>
      </c>
      <c r="P1089" s="21" t="str">
        <f>_xll.RssMarket(A1089,"安値")</f>
        <v>表示銘柄数超過</v>
      </c>
      <c r="Q1089" s="4" t="e">
        <f t="shared" si="97"/>
        <v>#VALUE!</v>
      </c>
      <c r="R1089" s="21" t="str">
        <f>_xll.RssMarket(A1089,"後場始値")</f>
        <v>表示銘柄数超過</v>
      </c>
      <c r="S1089" s="25" t="str">
        <f t="shared" si="98"/>
        <v>-</v>
      </c>
      <c r="T1089" s="7" t="str">
        <f>_xll.RssMarket(A1089,"出来高加重平均")</f>
        <v>表示銘柄数超過</v>
      </c>
      <c r="U1089" s="4" t="e">
        <f t="shared" si="99"/>
        <v>#VALUE!</v>
      </c>
      <c r="V1089" s="21" t="str">
        <f>_xll.RssMarket(A1089,"出来高")</f>
        <v>表示銘柄数超過</v>
      </c>
      <c r="W1089" s="21" t="str">
        <f>_xll.RssMarket(A1089,"売買代金")</f>
        <v>表示銘柄数超過</v>
      </c>
      <c r="X1089" s="20" t="str">
        <f>_xll.RssMarket(A1089,"決算発表日")</f>
        <v>表示銘柄数超過</v>
      </c>
      <c r="Y1089" s="26" t="str">
        <f>IF(C1089&gt;_xll.RssMarket(A1089,"年初来高値"),"○","×")</f>
        <v>×</v>
      </c>
      <c r="Z1089" s="27" t="str">
        <f>IF(C1089&lt;=_xll.RssMarket(A1089,"年初来安値"),"○","×")</f>
        <v>○</v>
      </c>
    </row>
    <row r="1090" spans="1:26" x14ac:dyDescent="0.25">
      <c r="A1090" s="47">
        <v>9063</v>
      </c>
      <c r="B1090" s="20" t="str">
        <f>_xll.RssMarket(A1090,"銘柄名称")</f>
        <v>表示銘柄数超過</v>
      </c>
      <c r="C1090" s="21" t="str">
        <f>_xll.RssMarket(A1090,"現在値")</f>
        <v>表示銘柄数超過</v>
      </c>
      <c r="D1090" s="20" t="str">
        <f>_xll.RssMarket(A1090,"現在値詳細時刻")</f>
        <v>表示銘柄数超過</v>
      </c>
      <c r="E1090" s="22" t="str">
        <f>_xll.RssMarket(A1090,"前日比")</f>
        <v>表示銘柄数超過</v>
      </c>
      <c r="F1090" s="23" t="e">
        <f>_xll.RssMarket(A1090,"前日比率")/100</f>
        <v>#VALUE!</v>
      </c>
      <c r="G1090" s="24" t="str">
        <f>IFERROR(VLOOKUP(A1090,取得元!$A$2:$F$501,2,FALSE),"-")</f>
        <v>-</v>
      </c>
      <c r="H1090" s="24" t="str">
        <f>IFERROR(VLOOKUP(A1090,取得元!$A$2:$F$501,3,FALSE),"-")</f>
        <v>-</v>
      </c>
      <c r="I1090" s="24" t="str">
        <f>IFERROR(VLOOKUP(A1090,取得元!$A$2:$F$501,4,FALSE),"-")</f>
        <v>-</v>
      </c>
      <c r="J1090" s="5" t="str">
        <f>IFERROR(VLOOKUP(A1090,取得元!$A$2:$F$501,5,FALSE),"-")</f>
        <v>-</v>
      </c>
      <c r="K1090" s="25" t="str">
        <f>IFERROR(VLOOKUP(A1090,取得元!$A$2:$F$501,6,FALSE)/100,"-")</f>
        <v>-</v>
      </c>
      <c r="L1090" s="21" t="str">
        <f>_xll.RssMarket(A1090,"始値")</f>
        <v>表示銘柄数超過</v>
      </c>
      <c r="M1090" s="4" t="e">
        <f t="shared" si="95"/>
        <v>#VALUE!</v>
      </c>
      <c r="N1090" s="21" t="str">
        <f>_xll.RssMarket(A1090,"高値")</f>
        <v>表示銘柄数超過</v>
      </c>
      <c r="O1090" s="4" t="e">
        <f t="shared" si="96"/>
        <v>#VALUE!</v>
      </c>
      <c r="P1090" s="21" t="str">
        <f>_xll.RssMarket(A1090,"安値")</f>
        <v>表示銘柄数超過</v>
      </c>
      <c r="Q1090" s="4" t="e">
        <f t="shared" si="97"/>
        <v>#VALUE!</v>
      </c>
      <c r="R1090" s="21" t="str">
        <f>_xll.RssMarket(A1090,"後場始値")</f>
        <v>表示銘柄数超過</v>
      </c>
      <c r="S1090" s="25" t="str">
        <f t="shared" si="98"/>
        <v>-</v>
      </c>
      <c r="T1090" s="7" t="str">
        <f>_xll.RssMarket(A1090,"出来高加重平均")</f>
        <v>表示銘柄数超過</v>
      </c>
      <c r="U1090" s="4" t="e">
        <f t="shared" si="99"/>
        <v>#VALUE!</v>
      </c>
      <c r="V1090" s="21" t="str">
        <f>_xll.RssMarket(A1090,"出来高")</f>
        <v>表示銘柄数超過</v>
      </c>
      <c r="W1090" s="21" t="str">
        <f>_xll.RssMarket(A1090,"売買代金")</f>
        <v>表示銘柄数超過</v>
      </c>
      <c r="X1090" s="20" t="str">
        <f>_xll.RssMarket(A1090,"決算発表日")</f>
        <v>表示銘柄数超過</v>
      </c>
      <c r="Y1090" s="26" t="str">
        <f>IF(C1090&gt;_xll.RssMarket(A1090,"年初来高値"),"○","×")</f>
        <v>×</v>
      </c>
      <c r="Z1090" s="27" t="str">
        <f>IF(C1090&lt;=_xll.RssMarket(A1090,"年初来安値"),"○","×")</f>
        <v>○</v>
      </c>
    </row>
    <row r="1091" spans="1:26" x14ac:dyDescent="0.25">
      <c r="A1091" s="49">
        <v>9064</v>
      </c>
      <c r="B1091" s="20" t="str">
        <f>_xll.RssMarket(A1091,"銘柄名称")</f>
        <v>表示銘柄数超過</v>
      </c>
      <c r="C1091" s="21" t="str">
        <f>_xll.RssMarket(A1091,"現在値")</f>
        <v>表示銘柄数超過</v>
      </c>
      <c r="D1091" s="20" t="str">
        <f>_xll.RssMarket(A1091,"現在値詳細時刻")</f>
        <v>表示銘柄数超過</v>
      </c>
      <c r="E1091" s="22" t="str">
        <f>_xll.RssMarket(A1091,"前日比")</f>
        <v>表示銘柄数超過</v>
      </c>
      <c r="F1091" s="23" t="e">
        <f>_xll.RssMarket(A1091,"前日比率")/100</f>
        <v>#VALUE!</v>
      </c>
      <c r="G1091" s="24" t="str">
        <f>IFERROR(VLOOKUP(A1091,取得元!$A$2:$F$501,2,FALSE),"-")</f>
        <v>-</v>
      </c>
      <c r="H1091" s="24" t="str">
        <f>IFERROR(VLOOKUP(A1091,取得元!$A$2:$F$501,3,FALSE),"-")</f>
        <v>-</v>
      </c>
      <c r="I1091" s="24" t="str">
        <f>IFERROR(VLOOKUP(A1091,取得元!$A$2:$F$501,4,FALSE),"-")</f>
        <v>-</v>
      </c>
      <c r="J1091" s="5" t="str">
        <f>IFERROR(VLOOKUP(A1091,取得元!$A$2:$F$501,5,FALSE),"-")</f>
        <v>-</v>
      </c>
      <c r="K1091" s="25" t="str">
        <f>IFERROR(VLOOKUP(A1091,取得元!$A$2:$F$501,6,FALSE)/100,"-")</f>
        <v>-</v>
      </c>
      <c r="L1091" s="21" t="str">
        <f>_xll.RssMarket(A1091,"始値")</f>
        <v>表示銘柄数超過</v>
      </c>
      <c r="M1091" s="4" t="e">
        <f t="shared" si="95"/>
        <v>#VALUE!</v>
      </c>
      <c r="N1091" s="21" t="str">
        <f>_xll.RssMarket(A1091,"高値")</f>
        <v>表示銘柄数超過</v>
      </c>
      <c r="O1091" s="4" t="e">
        <f t="shared" si="96"/>
        <v>#VALUE!</v>
      </c>
      <c r="P1091" s="21" t="str">
        <f>_xll.RssMarket(A1091,"安値")</f>
        <v>表示銘柄数超過</v>
      </c>
      <c r="Q1091" s="4" t="e">
        <f t="shared" si="97"/>
        <v>#VALUE!</v>
      </c>
      <c r="R1091" s="21" t="str">
        <f>_xll.RssMarket(A1091,"後場始値")</f>
        <v>表示銘柄数超過</v>
      </c>
      <c r="S1091" s="25" t="str">
        <f t="shared" si="98"/>
        <v>-</v>
      </c>
      <c r="T1091" s="7" t="str">
        <f>_xll.RssMarket(A1091,"出来高加重平均")</f>
        <v>表示銘柄数超過</v>
      </c>
      <c r="U1091" s="4" t="e">
        <f t="shared" si="99"/>
        <v>#VALUE!</v>
      </c>
      <c r="V1091" s="21" t="str">
        <f>_xll.RssMarket(A1091,"出来高")</f>
        <v>表示銘柄数超過</v>
      </c>
      <c r="W1091" s="21" t="str">
        <f>_xll.RssMarket(A1091,"売買代金")</f>
        <v>表示銘柄数超過</v>
      </c>
      <c r="X1091" s="20" t="str">
        <f>_xll.RssMarket(A1091,"決算発表日")</f>
        <v>表示銘柄数超過</v>
      </c>
      <c r="Y1091" s="26" t="str">
        <f>IF(C1091&gt;_xll.RssMarket(A1091,"年初来高値"),"○","×")</f>
        <v>×</v>
      </c>
      <c r="Z1091" s="27" t="str">
        <f>IF(C1091&lt;=_xll.RssMarket(A1091,"年初来安値"),"○","×")</f>
        <v>○</v>
      </c>
    </row>
    <row r="1092" spans="1:26" x14ac:dyDescent="0.25">
      <c r="A1092" s="47">
        <v>9090</v>
      </c>
      <c r="B1092" s="20" t="str">
        <f>_xll.RssMarket(A1092,"銘柄名称")</f>
        <v>表示銘柄数超過</v>
      </c>
      <c r="C1092" s="21" t="str">
        <f>_xll.RssMarket(A1092,"現在値")</f>
        <v>表示銘柄数超過</v>
      </c>
      <c r="D1092" s="20" t="str">
        <f>_xll.RssMarket(A1092,"現在値詳細時刻")</f>
        <v>表示銘柄数超過</v>
      </c>
      <c r="E1092" s="22" t="str">
        <f>_xll.RssMarket(A1092,"前日比")</f>
        <v>表示銘柄数超過</v>
      </c>
      <c r="F1092" s="23" t="e">
        <f>_xll.RssMarket(A1092,"前日比率")/100</f>
        <v>#VALUE!</v>
      </c>
      <c r="G1092" s="24" t="str">
        <f>IFERROR(VLOOKUP(A1092,取得元!$A$2:$F$501,2,FALSE),"-")</f>
        <v>-</v>
      </c>
      <c r="H1092" s="24" t="str">
        <f>IFERROR(VLOOKUP(A1092,取得元!$A$2:$F$501,3,FALSE),"-")</f>
        <v>-</v>
      </c>
      <c r="I1092" s="24" t="str">
        <f>IFERROR(VLOOKUP(A1092,取得元!$A$2:$F$501,4,FALSE),"-")</f>
        <v>-</v>
      </c>
      <c r="J1092" s="5" t="str">
        <f>IFERROR(VLOOKUP(A1092,取得元!$A$2:$F$501,5,FALSE),"-")</f>
        <v>-</v>
      </c>
      <c r="K1092" s="25" t="str">
        <f>IFERROR(VLOOKUP(A1092,取得元!$A$2:$F$501,6,FALSE)/100,"-")</f>
        <v>-</v>
      </c>
      <c r="L1092" s="21" t="str">
        <f>_xll.RssMarket(A1092,"始値")</f>
        <v>表示銘柄数超過</v>
      </c>
      <c r="M1092" s="4" t="e">
        <f t="shared" si="95"/>
        <v>#VALUE!</v>
      </c>
      <c r="N1092" s="21" t="str">
        <f>_xll.RssMarket(A1092,"高値")</f>
        <v>表示銘柄数超過</v>
      </c>
      <c r="O1092" s="4" t="e">
        <f t="shared" si="96"/>
        <v>#VALUE!</v>
      </c>
      <c r="P1092" s="21" t="str">
        <f>_xll.RssMarket(A1092,"安値")</f>
        <v>表示銘柄数超過</v>
      </c>
      <c r="Q1092" s="4" t="e">
        <f t="shared" si="97"/>
        <v>#VALUE!</v>
      </c>
      <c r="R1092" s="21" t="str">
        <f>_xll.RssMarket(A1092,"後場始値")</f>
        <v>表示銘柄数超過</v>
      </c>
      <c r="S1092" s="25" t="str">
        <f t="shared" si="98"/>
        <v>-</v>
      </c>
      <c r="T1092" s="7" t="str">
        <f>_xll.RssMarket(A1092,"出来高加重平均")</f>
        <v>表示銘柄数超過</v>
      </c>
      <c r="U1092" s="4" t="e">
        <f t="shared" si="99"/>
        <v>#VALUE!</v>
      </c>
      <c r="V1092" s="21" t="str">
        <f>_xll.RssMarket(A1092,"出来高")</f>
        <v>表示銘柄数超過</v>
      </c>
      <c r="W1092" s="21" t="str">
        <f>_xll.RssMarket(A1092,"売買代金")</f>
        <v>表示銘柄数超過</v>
      </c>
      <c r="X1092" s="20" t="str">
        <f>_xll.RssMarket(A1092,"決算発表日")</f>
        <v>表示銘柄数超過</v>
      </c>
      <c r="Y1092" s="26" t="str">
        <f>IF(C1092&gt;_xll.RssMarket(A1092,"年初来高値"),"○","×")</f>
        <v>×</v>
      </c>
      <c r="Z1092" s="27" t="str">
        <f>IF(C1092&lt;=_xll.RssMarket(A1092,"年初来安値"),"○","×")</f>
        <v>○</v>
      </c>
    </row>
    <row r="1093" spans="1:26" x14ac:dyDescent="0.25">
      <c r="A1093" s="49">
        <v>9101</v>
      </c>
      <c r="B1093" s="20" t="str">
        <f>_xll.RssMarket(A1093,"銘柄名称")</f>
        <v>表示銘柄数超過</v>
      </c>
      <c r="C1093" s="21" t="str">
        <f>_xll.RssMarket(A1093,"現在値")</f>
        <v>表示銘柄数超過</v>
      </c>
      <c r="D1093" s="20" t="str">
        <f>_xll.RssMarket(A1093,"現在値詳細時刻")</f>
        <v>表示銘柄数超過</v>
      </c>
      <c r="E1093" s="22" t="str">
        <f>_xll.RssMarket(A1093,"前日比")</f>
        <v>表示銘柄数超過</v>
      </c>
      <c r="F1093" s="23" t="e">
        <f>_xll.RssMarket(A1093,"前日比率")/100</f>
        <v>#VALUE!</v>
      </c>
      <c r="G1093" s="24" t="str">
        <f>IFERROR(VLOOKUP(A1093,取得元!$A$2:$F$501,2,FALSE),"-")</f>
        <v>-</v>
      </c>
      <c r="H1093" s="24" t="str">
        <f>IFERROR(VLOOKUP(A1093,取得元!$A$2:$F$501,3,FALSE),"-")</f>
        <v>-</v>
      </c>
      <c r="I1093" s="24" t="str">
        <f>IFERROR(VLOOKUP(A1093,取得元!$A$2:$F$501,4,FALSE),"-")</f>
        <v>-</v>
      </c>
      <c r="J1093" s="5" t="str">
        <f>IFERROR(VLOOKUP(A1093,取得元!$A$2:$F$501,5,FALSE),"-")</f>
        <v>-</v>
      </c>
      <c r="K1093" s="25" t="str">
        <f>IFERROR(VLOOKUP(A1093,取得元!$A$2:$F$501,6,FALSE)/100,"-")</f>
        <v>-</v>
      </c>
      <c r="L1093" s="21" t="str">
        <f>_xll.RssMarket(A1093,"始値")</f>
        <v>表示銘柄数超過</v>
      </c>
      <c r="M1093" s="4" t="e">
        <f t="shared" si="95"/>
        <v>#VALUE!</v>
      </c>
      <c r="N1093" s="21" t="str">
        <f>_xll.RssMarket(A1093,"高値")</f>
        <v>表示銘柄数超過</v>
      </c>
      <c r="O1093" s="4" t="e">
        <f t="shared" si="96"/>
        <v>#VALUE!</v>
      </c>
      <c r="P1093" s="21" t="str">
        <f>_xll.RssMarket(A1093,"安値")</f>
        <v>表示銘柄数超過</v>
      </c>
      <c r="Q1093" s="4" t="e">
        <f t="shared" si="97"/>
        <v>#VALUE!</v>
      </c>
      <c r="R1093" s="21" t="str">
        <f>_xll.RssMarket(A1093,"後場始値")</f>
        <v>表示銘柄数超過</v>
      </c>
      <c r="S1093" s="25" t="str">
        <f t="shared" si="98"/>
        <v>-</v>
      </c>
      <c r="T1093" s="7" t="str">
        <f>_xll.RssMarket(A1093,"出来高加重平均")</f>
        <v>表示銘柄数超過</v>
      </c>
      <c r="U1093" s="4" t="e">
        <f t="shared" si="99"/>
        <v>#VALUE!</v>
      </c>
      <c r="V1093" s="21" t="str">
        <f>_xll.RssMarket(A1093,"出来高")</f>
        <v>表示銘柄数超過</v>
      </c>
      <c r="W1093" s="21" t="str">
        <f>_xll.RssMarket(A1093,"売買代金")</f>
        <v>表示銘柄数超過</v>
      </c>
      <c r="X1093" s="20" t="str">
        <f>_xll.RssMarket(A1093,"決算発表日")</f>
        <v>表示銘柄数超過</v>
      </c>
      <c r="Y1093" s="26" t="str">
        <f>IF(C1093&gt;_xll.RssMarket(A1093,"年初来高値"),"○","×")</f>
        <v>×</v>
      </c>
      <c r="Z1093" s="27" t="str">
        <f>IF(C1093&lt;=_xll.RssMarket(A1093,"年初来安値"),"○","×")</f>
        <v>○</v>
      </c>
    </row>
    <row r="1094" spans="1:26" x14ac:dyDescent="0.25">
      <c r="A1094" s="47">
        <v>9104</v>
      </c>
      <c r="B1094" s="20" t="str">
        <f>_xll.RssMarket(A1094,"銘柄名称")</f>
        <v>表示銘柄数超過</v>
      </c>
      <c r="C1094" s="21" t="str">
        <f>_xll.RssMarket(A1094,"現在値")</f>
        <v>表示銘柄数超過</v>
      </c>
      <c r="D1094" s="20" t="str">
        <f>_xll.RssMarket(A1094,"現在値詳細時刻")</f>
        <v>表示銘柄数超過</v>
      </c>
      <c r="E1094" s="22" t="str">
        <f>_xll.RssMarket(A1094,"前日比")</f>
        <v>表示銘柄数超過</v>
      </c>
      <c r="F1094" s="23" t="e">
        <f>_xll.RssMarket(A1094,"前日比率")/100</f>
        <v>#VALUE!</v>
      </c>
      <c r="G1094" s="24" t="str">
        <f>IFERROR(VLOOKUP(A1094,取得元!$A$2:$F$501,2,FALSE),"-")</f>
        <v>-</v>
      </c>
      <c r="H1094" s="24" t="str">
        <f>IFERROR(VLOOKUP(A1094,取得元!$A$2:$F$501,3,FALSE),"-")</f>
        <v>-</v>
      </c>
      <c r="I1094" s="24" t="str">
        <f>IFERROR(VLOOKUP(A1094,取得元!$A$2:$F$501,4,FALSE),"-")</f>
        <v>-</v>
      </c>
      <c r="J1094" s="5" t="str">
        <f>IFERROR(VLOOKUP(A1094,取得元!$A$2:$F$501,5,FALSE),"-")</f>
        <v>-</v>
      </c>
      <c r="K1094" s="25" t="str">
        <f>IFERROR(VLOOKUP(A1094,取得元!$A$2:$F$501,6,FALSE)/100,"-")</f>
        <v>-</v>
      </c>
      <c r="L1094" s="21" t="str">
        <f>_xll.RssMarket(A1094,"始値")</f>
        <v>表示銘柄数超過</v>
      </c>
      <c r="M1094" s="4" t="e">
        <f t="shared" si="95"/>
        <v>#VALUE!</v>
      </c>
      <c r="N1094" s="21" t="str">
        <f>_xll.RssMarket(A1094,"高値")</f>
        <v>表示銘柄数超過</v>
      </c>
      <c r="O1094" s="4" t="e">
        <f t="shared" si="96"/>
        <v>#VALUE!</v>
      </c>
      <c r="P1094" s="21" t="str">
        <f>_xll.RssMarket(A1094,"安値")</f>
        <v>表示銘柄数超過</v>
      </c>
      <c r="Q1094" s="4" t="e">
        <f t="shared" si="97"/>
        <v>#VALUE!</v>
      </c>
      <c r="R1094" s="21" t="str">
        <f>_xll.RssMarket(A1094,"後場始値")</f>
        <v>表示銘柄数超過</v>
      </c>
      <c r="S1094" s="25" t="str">
        <f t="shared" si="98"/>
        <v>-</v>
      </c>
      <c r="T1094" s="7" t="str">
        <f>_xll.RssMarket(A1094,"出来高加重平均")</f>
        <v>表示銘柄数超過</v>
      </c>
      <c r="U1094" s="4" t="e">
        <f t="shared" si="99"/>
        <v>#VALUE!</v>
      </c>
      <c r="V1094" s="21" t="str">
        <f>_xll.RssMarket(A1094,"出来高")</f>
        <v>表示銘柄数超過</v>
      </c>
      <c r="W1094" s="21" t="str">
        <f>_xll.RssMarket(A1094,"売買代金")</f>
        <v>表示銘柄数超過</v>
      </c>
      <c r="X1094" s="20" t="str">
        <f>_xll.RssMarket(A1094,"決算発表日")</f>
        <v>表示銘柄数超過</v>
      </c>
      <c r="Y1094" s="26" t="str">
        <f>IF(C1094&gt;_xll.RssMarket(A1094,"年初来高値"),"○","×")</f>
        <v>×</v>
      </c>
      <c r="Z1094" s="27" t="str">
        <f>IF(C1094&lt;=_xll.RssMarket(A1094,"年初来安値"),"○","×")</f>
        <v>○</v>
      </c>
    </row>
    <row r="1095" spans="1:26" x14ac:dyDescent="0.25">
      <c r="A1095" s="49">
        <v>9107</v>
      </c>
      <c r="B1095" s="20" t="str">
        <f>_xll.RssMarket(A1095,"銘柄名称")</f>
        <v>表示銘柄数超過</v>
      </c>
      <c r="C1095" s="21" t="str">
        <f>_xll.RssMarket(A1095,"現在値")</f>
        <v>表示銘柄数超過</v>
      </c>
      <c r="D1095" s="20" t="str">
        <f>_xll.RssMarket(A1095,"現在値詳細時刻")</f>
        <v>表示銘柄数超過</v>
      </c>
      <c r="E1095" s="22" t="str">
        <f>_xll.RssMarket(A1095,"前日比")</f>
        <v>表示銘柄数超過</v>
      </c>
      <c r="F1095" s="23" t="e">
        <f>_xll.RssMarket(A1095,"前日比率")/100</f>
        <v>#VALUE!</v>
      </c>
      <c r="G1095" s="24" t="str">
        <f>IFERROR(VLOOKUP(A1095,取得元!$A$2:$F$501,2,FALSE),"-")</f>
        <v>-</v>
      </c>
      <c r="H1095" s="24" t="str">
        <f>IFERROR(VLOOKUP(A1095,取得元!$A$2:$F$501,3,FALSE),"-")</f>
        <v>-</v>
      </c>
      <c r="I1095" s="24" t="str">
        <f>IFERROR(VLOOKUP(A1095,取得元!$A$2:$F$501,4,FALSE),"-")</f>
        <v>-</v>
      </c>
      <c r="J1095" s="5" t="str">
        <f>IFERROR(VLOOKUP(A1095,取得元!$A$2:$F$501,5,FALSE),"-")</f>
        <v>-</v>
      </c>
      <c r="K1095" s="25" t="str">
        <f>IFERROR(VLOOKUP(A1095,取得元!$A$2:$F$501,6,FALSE)/100,"-")</f>
        <v>-</v>
      </c>
      <c r="L1095" s="21" t="str">
        <f>_xll.RssMarket(A1095,"始値")</f>
        <v>表示銘柄数超過</v>
      </c>
      <c r="M1095" s="4" t="e">
        <f t="shared" si="95"/>
        <v>#VALUE!</v>
      </c>
      <c r="N1095" s="21" t="str">
        <f>_xll.RssMarket(A1095,"高値")</f>
        <v>表示銘柄数超過</v>
      </c>
      <c r="O1095" s="4" t="e">
        <f t="shared" si="96"/>
        <v>#VALUE!</v>
      </c>
      <c r="P1095" s="21" t="str">
        <f>_xll.RssMarket(A1095,"安値")</f>
        <v>表示銘柄数超過</v>
      </c>
      <c r="Q1095" s="4" t="e">
        <f t="shared" si="97"/>
        <v>#VALUE!</v>
      </c>
      <c r="R1095" s="21" t="str">
        <f>_xll.RssMarket(A1095,"後場始値")</f>
        <v>表示銘柄数超過</v>
      </c>
      <c r="S1095" s="25" t="str">
        <f t="shared" si="98"/>
        <v>-</v>
      </c>
      <c r="T1095" s="7" t="str">
        <f>_xll.RssMarket(A1095,"出来高加重平均")</f>
        <v>表示銘柄数超過</v>
      </c>
      <c r="U1095" s="4" t="e">
        <f t="shared" si="99"/>
        <v>#VALUE!</v>
      </c>
      <c r="V1095" s="21" t="str">
        <f>_xll.RssMarket(A1095,"出来高")</f>
        <v>表示銘柄数超過</v>
      </c>
      <c r="W1095" s="21" t="str">
        <f>_xll.RssMarket(A1095,"売買代金")</f>
        <v>表示銘柄数超過</v>
      </c>
      <c r="X1095" s="20" t="str">
        <f>_xll.RssMarket(A1095,"決算発表日")</f>
        <v>表示銘柄数超過</v>
      </c>
      <c r="Y1095" s="26" t="str">
        <f>IF(C1095&gt;_xll.RssMarket(A1095,"年初来高値"),"○","×")</f>
        <v>×</v>
      </c>
      <c r="Z1095" s="27" t="str">
        <f>IF(C1095&lt;=_xll.RssMarket(A1095,"年初来安値"),"○","×")</f>
        <v>○</v>
      </c>
    </row>
    <row r="1096" spans="1:26" x14ac:dyDescent="0.25">
      <c r="A1096" s="47">
        <v>9115</v>
      </c>
      <c r="B1096" s="20" t="str">
        <f>_xll.RssMarket(A1096,"銘柄名称")</f>
        <v>表示銘柄数超過</v>
      </c>
      <c r="C1096" s="21" t="str">
        <f>_xll.RssMarket(A1096,"現在値")</f>
        <v>表示銘柄数超過</v>
      </c>
      <c r="D1096" s="20" t="str">
        <f>_xll.RssMarket(A1096,"現在値詳細時刻")</f>
        <v>表示銘柄数超過</v>
      </c>
      <c r="E1096" s="22" t="str">
        <f>_xll.RssMarket(A1096,"前日比")</f>
        <v>表示銘柄数超過</v>
      </c>
      <c r="F1096" s="23" t="e">
        <f>_xll.RssMarket(A1096,"前日比率")/100</f>
        <v>#VALUE!</v>
      </c>
      <c r="G1096" s="24" t="str">
        <f>IFERROR(VLOOKUP(A1096,取得元!$A$2:$F$501,2,FALSE),"-")</f>
        <v>-</v>
      </c>
      <c r="H1096" s="24" t="str">
        <f>IFERROR(VLOOKUP(A1096,取得元!$A$2:$F$501,3,FALSE),"-")</f>
        <v>-</v>
      </c>
      <c r="I1096" s="24" t="str">
        <f>IFERROR(VLOOKUP(A1096,取得元!$A$2:$F$501,4,FALSE),"-")</f>
        <v>-</v>
      </c>
      <c r="J1096" s="5" t="str">
        <f>IFERROR(VLOOKUP(A1096,取得元!$A$2:$F$501,5,FALSE),"-")</f>
        <v>-</v>
      </c>
      <c r="K1096" s="25" t="str">
        <f>IFERROR(VLOOKUP(A1096,取得元!$A$2:$F$501,6,FALSE)/100,"-")</f>
        <v>-</v>
      </c>
      <c r="L1096" s="21" t="str">
        <f>_xll.RssMarket(A1096,"始値")</f>
        <v>表示銘柄数超過</v>
      </c>
      <c r="M1096" s="4" t="e">
        <f t="shared" si="95"/>
        <v>#VALUE!</v>
      </c>
      <c r="N1096" s="21" t="str">
        <f>_xll.RssMarket(A1096,"高値")</f>
        <v>表示銘柄数超過</v>
      </c>
      <c r="O1096" s="4" t="e">
        <f t="shared" si="96"/>
        <v>#VALUE!</v>
      </c>
      <c r="P1096" s="21" t="str">
        <f>_xll.RssMarket(A1096,"安値")</f>
        <v>表示銘柄数超過</v>
      </c>
      <c r="Q1096" s="4" t="e">
        <f t="shared" si="97"/>
        <v>#VALUE!</v>
      </c>
      <c r="R1096" s="21" t="str">
        <f>_xll.RssMarket(A1096,"後場始値")</f>
        <v>表示銘柄数超過</v>
      </c>
      <c r="S1096" s="25" t="str">
        <f t="shared" si="98"/>
        <v>-</v>
      </c>
      <c r="T1096" s="7" t="str">
        <f>_xll.RssMarket(A1096,"出来高加重平均")</f>
        <v>表示銘柄数超過</v>
      </c>
      <c r="U1096" s="4" t="e">
        <f t="shared" si="99"/>
        <v>#VALUE!</v>
      </c>
      <c r="V1096" s="21" t="str">
        <f>_xll.RssMarket(A1096,"出来高")</f>
        <v>表示銘柄数超過</v>
      </c>
      <c r="W1096" s="21" t="str">
        <f>_xll.RssMarket(A1096,"売買代金")</f>
        <v>表示銘柄数超過</v>
      </c>
      <c r="X1096" s="20" t="str">
        <f>_xll.RssMarket(A1096,"決算発表日")</f>
        <v>表示銘柄数超過</v>
      </c>
      <c r="Y1096" s="26" t="str">
        <f>IF(C1096&gt;_xll.RssMarket(A1096,"年初来高値"),"○","×")</f>
        <v>×</v>
      </c>
      <c r="Z1096" s="27" t="str">
        <f>IF(C1096&lt;=_xll.RssMarket(A1096,"年初来安値"),"○","×")</f>
        <v>○</v>
      </c>
    </row>
    <row r="1097" spans="1:26" x14ac:dyDescent="0.25">
      <c r="A1097" s="49">
        <v>9119</v>
      </c>
      <c r="B1097" s="20" t="str">
        <f>_xll.RssMarket(A1097,"銘柄名称")</f>
        <v>表示銘柄数超過</v>
      </c>
      <c r="C1097" s="21" t="str">
        <f>_xll.RssMarket(A1097,"現在値")</f>
        <v>表示銘柄数超過</v>
      </c>
      <c r="D1097" s="20" t="str">
        <f>_xll.RssMarket(A1097,"現在値詳細時刻")</f>
        <v>表示銘柄数超過</v>
      </c>
      <c r="E1097" s="22" t="str">
        <f>_xll.RssMarket(A1097,"前日比")</f>
        <v>表示銘柄数超過</v>
      </c>
      <c r="F1097" s="23" t="e">
        <f>_xll.RssMarket(A1097,"前日比率")/100</f>
        <v>#VALUE!</v>
      </c>
      <c r="G1097" s="24" t="str">
        <f>IFERROR(VLOOKUP(A1097,取得元!$A$2:$F$501,2,FALSE),"-")</f>
        <v>-</v>
      </c>
      <c r="H1097" s="24" t="str">
        <f>IFERROR(VLOOKUP(A1097,取得元!$A$2:$F$501,3,FALSE),"-")</f>
        <v>-</v>
      </c>
      <c r="I1097" s="24" t="str">
        <f>IFERROR(VLOOKUP(A1097,取得元!$A$2:$F$501,4,FALSE),"-")</f>
        <v>-</v>
      </c>
      <c r="J1097" s="5" t="str">
        <f>IFERROR(VLOOKUP(A1097,取得元!$A$2:$F$501,5,FALSE),"-")</f>
        <v>-</v>
      </c>
      <c r="K1097" s="25" t="str">
        <f>IFERROR(VLOOKUP(A1097,取得元!$A$2:$F$501,6,FALSE)/100,"-")</f>
        <v>-</v>
      </c>
      <c r="L1097" s="21" t="str">
        <f>_xll.RssMarket(A1097,"始値")</f>
        <v>表示銘柄数超過</v>
      </c>
      <c r="M1097" s="4" t="e">
        <f t="shared" si="95"/>
        <v>#VALUE!</v>
      </c>
      <c r="N1097" s="21" t="str">
        <f>_xll.RssMarket(A1097,"高値")</f>
        <v>表示銘柄数超過</v>
      </c>
      <c r="O1097" s="4" t="e">
        <f t="shared" si="96"/>
        <v>#VALUE!</v>
      </c>
      <c r="P1097" s="21" t="str">
        <f>_xll.RssMarket(A1097,"安値")</f>
        <v>表示銘柄数超過</v>
      </c>
      <c r="Q1097" s="4" t="e">
        <f t="shared" si="97"/>
        <v>#VALUE!</v>
      </c>
      <c r="R1097" s="21" t="str">
        <f>_xll.RssMarket(A1097,"後場始値")</f>
        <v>表示銘柄数超過</v>
      </c>
      <c r="S1097" s="25" t="str">
        <f t="shared" si="98"/>
        <v>-</v>
      </c>
      <c r="T1097" s="7" t="str">
        <f>_xll.RssMarket(A1097,"出来高加重平均")</f>
        <v>表示銘柄数超過</v>
      </c>
      <c r="U1097" s="4" t="e">
        <f t="shared" si="99"/>
        <v>#VALUE!</v>
      </c>
      <c r="V1097" s="21" t="str">
        <f>_xll.RssMarket(A1097,"出来高")</f>
        <v>表示銘柄数超過</v>
      </c>
      <c r="W1097" s="21" t="str">
        <f>_xll.RssMarket(A1097,"売買代金")</f>
        <v>表示銘柄数超過</v>
      </c>
      <c r="X1097" s="20" t="str">
        <f>_xll.RssMarket(A1097,"決算発表日")</f>
        <v>表示銘柄数超過</v>
      </c>
      <c r="Y1097" s="26" t="str">
        <f>IF(C1097&gt;_xll.RssMarket(A1097,"年初来高値"),"○","×")</f>
        <v>×</v>
      </c>
      <c r="Z1097" s="27" t="str">
        <f>IF(C1097&lt;=_xll.RssMarket(A1097,"年初来安値"),"○","×")</f>
        <v>○</v>
      </c>
    </row>
    <row r="1098" spans="1:26" x14ac:dyDescent="0.25">
      <c r="A1098" s="47">
        <v>9142</v>
      </c>
      <c r="B1098" s="20" t="str">
        <f>_xll.RssMarket(A1098,"銘柄名称")</f>
        <v>表示銘柄数超過</v>
      </c>
      <c r="C1098" s="21" t="str">
        <f>_xll.RssMarket(A1098,"現在値")</f>
        <v>表示銘柄数超過</v>
      </c>
      <c r="D1098" s="20" t="str">
        <f>_xll.RssMarket(A1098,"現在値詳細時刻")</f>
        <v>表示銘柄数超過</v>
      </c>
      <c r="E1098" s="22" t="str">
        <f>_xll.RssMarket(A1098,"前日比")</f>
        <v>表示銘柄数超過</v>
      </c>
      <c r="F1098" s="23" t="e">
        <f>_xll.RssMarket(A1098,"前日比率")/100</f>
        <v>#VALUE!</v>
      </c>
      <c r="G1098" s="24" t="str">
        <f>IFERROR(VLOOKUP(A1098,取得元!$A$2:$F$501,2,FALSE),"-")</f>
        <v>-</v>
      </c>
      <c r="H1098" s="24" t="str">
        <f>IFERROR(VLOOKUP(A1098,取得元!$A$2:$F$501,3,FALSE),"-")</f>
        <v>-</v>
      </c>
      <c r="I1098" s="24" t="str">
        <f>IFERROR(VLOOKUP(A1098,取得元!$A$2:$F$501,4,FALSE),"-")</f>
        <v>-</v>
      </c>
      <c r="J1098" s="5" t="str">
        <f>IFERROR(VLOOKUP(A1098,取得元!$A$2:$F$501,5,FALSE),"-")</f>
        <v>-</v>
      </c>
      <c r="K1098" s="25" t="str">
        <f>IFERROR(VLOOKUP(A1098,取得元!$A$2:$F$501,6,FALSE)/100,"-")</f>
        <v>-</v>
      </c>
      <c r="L1098" s="21" t="str">
        <f>_xll.RssMarket(A1098,"始値")</f>
        <v>表示銘柄数超過</v>
      </c>
      <c r="M1098" s="4" t="e">
        <f t="shared" si="95"/>
        <v>#VALUE!</v>
      </c>
      <c r="N1098" s="21" t="str">
        <f>_xll.RssMarket(A1098,"高値")</f>
        <v>表示銘柄数超過</v>
      </c>
      <c r="O1098" s="4" t="e">
        <f t="shared" si="96"/>
        <v>#VALUE!</v>
      </c>
      <c r="P1098" s="21" t="str">
        <f>_xll.RssMarket(A1098,"安値")</f>
        <v>表示銘柄数超過</v>
      </c>
      <c r="Q1098" s="4" t="e">
        <f t="shared" si="97"/>
        <v>#VALUE!</v>
      </c>
      <c r="R1098" s="21" t="str">
        <f>_xll.RssMarket(A1098,"後場始値")</f>
        <v>表示銘柄数超過</v>
      </c>
      <c r="S1098" s="25" t="str">
        <f t="shared" si="98"/>
        <v>-</v>
      </c>
      <c r="T1098" s="7" t="str">
        <f>_xll.RssMarket(A1098,"出来高加重平均")</f>
        <v>表示銘柄数超過</v>
      </c>
      <c r="U1098" s="4" t="e">
        <f t="shared" si="99"/>
        <v>#VALUE!</v>
      </c>
      <c r="V1098" s="21" t="str">
        <f>_xll.RssMarket(A1098,"出来高")</f>
        <v>表示銘柄数超過</v>
      </c>
      <c r="W1098" s="21" t="str">
        <f>_xll.RssMarket(A1098,"売買代金")</f>
        <v>表示銘柄数超過</v>
      </c>
      <c r="X1098" s="20" t="str">
        <f>_xll.RssMarket(A1098,"決算発表日")</f>
        <v>表示銘柄数超過</v>
      </c>
      <c r="Y1098" s="26" t="str">
        <f>IF(C1098&gt;_xll.RssMarket(A1098,"年初来高値"),"○","×")</f>
        <v>×</v>
      </c>
      <c r="Z1098" s="27" t="str">
        <f>IF(C1098&lt;=_xll.RssMarket(A1098,"年初来安値"),"○","×")</f>
        <v>○</v>
      </c>
    </row>
    <row r="1099" spans="1:26" x14ac:dyDescent="0.25">
      <c r="A1099" s="49">
        <v>9213</v>
      </c>
      <c r="B1099" s="20" t="str">
        <f>_xll.RssMarket(A1099,"銘柄名称")</f>
        <v>表示銘柄数超過</v>
      </c>
      <c r="C1099" s="21" t="str">
        <f>_xll.RssMarket(A1099,"現在値")</f>
        <v>表示銘柄数超過</v>
      </c>
      <c r="D1099" s="20" t="str">
        <f>_xll.RssMarket(A1099,"現在値詳細時刻")</f>
        <v>表示銘柄数超過</v>
      </c>
      <c r="E1099" s="22" t="str">
        <f>_xll.RssMarket(A1099,"前日比")</f>
        <v>表示銘柄数超過</v>
      </c>
      <c r="F1099" s="23" t="e">
        <f>_xll.RssMarket(A1099,"前日比率")/100</f>
        <v>#VALUE!</v>
      </c>
      <c r="G1099" s="24" t="str">
        <f>IFERROR(VLOOKUP(A1099,取得元!$A$2:$F$501,2,FALSE),"-")</f>
        <v>-</v>
      </c>
      <c r="H1099" s="24" t="str">
        <f>IFERROR(VLOOKUP(A1099,取得元!$A$2:$F$501,3,FALSE),"-")</f>
        <v>-</v>
      </c>
      <c r="I1099" s="24" t="str">
        <f>IFERROR(VLOOKUP(A1099,取得元!$A$2:$F$501,4,FALSE),"-")</f>
        <v>-</v>
      </c>
      <c r="J1099" s="5" t="str">
        <f>IFERROR(VLOOKUP(A1099,取得元!$A$2:$F$501,5,FALSE),"-")</f>
        <v>-</v>
      </c>
      <c r="K1099" s="25" t="str">
        <f>IFERROR(VLOOKUP(A1099,取得元!$A$2:$F$501,6,FALSE)/100,"-")</f>
        <v>-</v>
      </c>
      <c r="L1099" s="21" t="str">
        <f>_xll.RssMarket(A1099,"始値")</f>
        <v>表示銘柄数超過</v>
      </c>
      <c r="M1099" s="4" t="e">
        <f t="shared" si="95"/>
        <v>#VALUE!</v>
      </c>
      <c r="N1099" s="21" t="str">
        <f>_xll.RssMarket(A1099,"高値")</f>
        <v>表示銘柄数超過</v>
      </c>
      <c r="O1099" s="4" t="e">
        <f t="shared" si="96"/>
        <v>#VALUE!</v>
      </c>
      <c r="P1099" s="21" t="str">
        <f>_xll.RssMarket(A1099,"安値")</f>
        <v>表示銘柄数超過</v>
      </c>
      <c r="Q1099" s="4" t="e">
        <f t="shared" si="97"/>
        <v>#VALUE!</v>
      </c>
      <c r="R1099" s="21" t="str">
        <f>_xll.RssMarket(A1099,"後場始値")</f>
        <v>表示銘柄数超過</v>
      </c>
      <c r="S1099" s="25" t="str">
        <f t="shared" si="98"/>
        <v>-</v>
      </c>
      <c r="T1099" s="7" t="str">
        <f>_xll.RssMarket(A1099,"出来高加重平均")</f>
        <v>表示銘柄数超過</v>
      </c>
      <c r="U1099" s="4" t="e">
        <f t="shared" si="99"/>
        <v>#VALUE!</v>
      </c>
      <c r="V1099" s="21" t="str">
        <f>_xll.RssMarket(A1099,"出来高")</f>
        <v>表示銘柄数超過</v>
      </c>
      <c r="W1099" s="21" t="str">
        <f>_xll.RssMarket(A1099,"売買代金")</f>
        <v>表示銘柄数超過</v>
      </c>
      <c r="X1099" s="20" t="str">
        <f>_xll.RssMarket(A1099,"決算発表日")</f>
        <v>表示銘柄数超過</v>
      </c>
      <c r="Y1099" s="26" t="str">
        <f>IF(C1099&gt;_xll.RssMarket(A1099,"年初来高値"),"○","×")</f>
        <v>×</v>
      </c>
      <c r="Z1099" s="27" t="str">
        <f>IF(C1099&lt;=_xll.RssMarket(A1099,"年初来安値"),"○","×")</f>
        <v>○</v>
      </c>
    </row>
    <row r="1100" spans="1:26" x14ac:dyDescent="0.25">
      <c r="A1100" s="47">
        <v>9241</v>
      </c>
      <c r="B1100" s="20" t="str">
        <f>_xll.RssMarket(A1100,"銘柄名称")</f>
        <v>表示銘柄数超過</v>
      </c>
      <c r="C1100" s="21" t="str">
        <f>_xll.RssMarket(A1100,"現在値")</f>
        <v>表示銘柄数超過</v>
      </c>
      <c r="D1100" s="20" t="str">
        <f>_xll.RssMarket(A1100,"現在値詳細時刻")</f>
        <v>表示銘柄数超過</v>
      </c>
      <c r="E1100" s="22" t="str">
        <f>_xll.RssMarket(A1100,"前日比")</f>
        <v>表示銘柄数超過</v>
      </c>
      <c r="F1100" s="23" t="e">
        <f>_xll.RssMarket(A1100,"前日比率")/100</f>
        <v>#VALUE!</v>
      </c>
      <c r="G1100" s="24" t="str">
        <f>IFERROR(VLOOKUP(A1100,取得元!$A$2:$F$501,2,FALSE),"-")</f>
        <v>-</v>
      </c>
      <c r="H1100" s="24" t="str">
        <f>IFERROR(VLOOKUP(A1100,取得元!$A$2:$F$501,3,FALSE),"-")</f>
        <v>-</v>
      </c>
      <c r="I1100" s="24" t="str">
        <f>IFERROR(VLOOKUP(A1100,取得元!$A$2:$F$501,4,FALSE),"-")</f>
        <v>-</v>
      </c>
      <c r="J1100" s="5" t="str">
        <f>IFERROR(VLOOKUP(A1100,取得元!$A$2:$F$501,5,FALSE),"-")</f>
        <v>-</v>
      </c>
      <c r="K1100" s="25" t="str">
        <f>IFERROR(VLOOKUP(A1100,取得元!$A$2:$F$501,6,FALSE)/100,"-")</f>
        <v>-</v>
      </c>
      <c r="L1100" s="21" t="str">
        <f>_xll.RssMarket(A1100,"始値")</f>
        <v>表示銘柄数超過</v>
      </c>
      <c r="M1100" s="4" t="e">
        <f t="shared" si="95"/>
        <v>#VALUE!</v>
      </c>
      <c r="N1100" s="21" t="str">
        <f>_xll.RssMarket(A1100,"高値")</f>
        <v>表示銘柄数超過</v>
      </c>
      <c r="O1100" s="4" t="e">
        <f t="shared" si="96"/>
        <v>#VALUE!</v>
      </c>
      <c r="P1100" s="21" t="str">
        <f>_xll.RssMarket(A1100,"安値")</f>
        <v>表示銘柄数超過</v>
      </c>
      <c r="Q1100" s="4" t="e">
        <f t="shared" si="97"/>
        <v>#VALUE!</v>
      </c>
      <c r="R1100" s="21" t="str">
        <f>_xll.RssMarket(A1100,"後場始値")</f>
        <v>表示銘柄数超過</v>
      </c>
      <c r="S1100" s="25" t="str">
        <f t="shared" si="98"/>
        <v>-</v>
      </c>
      <c r="T1100" s="7" t="str">
        <f>_xll.RssMarket(A1100,"出来高加重平均")</f>
        <v>表示銘柄数超過</v>
      </c>
      <c r="U1100" s="4" t="e">
        <f t="shared" si="99"/>
        <v>#VALUE!</v>
      </c>
      <c r="V1100" s="21" t="str">
        <f>_xll.RssMarket(A1100,"出来高")</f>
        <v>表示銘柄数超過</v>
      </c>
      <c r="W1100" s="21" t="str">
        <f>_xll.RssMarket(A1100,"売買代金")</f>
        <v>表示銘柄数超過</v>
      </c>
      <c r="X1100" s="20" t="str">
        <f>_xll.RssMarket(A1100,"決算発表日")</f>
        <v>表示銘柄数超過</v>
      </c>
      <c r="Y1100" s="26" t="str">
        <f>IF(C1100&gt;_xll.RssMarket(A1100,"年初来高値"),"○","×")</f>
        <v>×</v>
      </c>
      <c r="Z1100" s="27" t="str">
        <f>IF(C1100&lt;=_xll.RssMarket(A1100,"年初来安値"),"○","×")</f>
        <v>○</v>
      </c>
    </row>
    <row r="1101" spans="1:26" x14ac:dyDescent="0.25">
      <c r="A1101" s="49">
        <v>9247</v>
      </c>
      <c r="B1101" s="20" t="str">
        <f>_xll.RssMarket(A1101,"銘柄名称")</f>
        <v>表示銘柄数超過</v>
      </c>
      <c r="C1101" s="21" t="str">
        <f>_xll.RssMarket(A1101,"現在値")</f>
        <v>表示銘柄数超過</v>
      </c>
      <c r="D1101" s="20" t="str">
        <f>_xll.RssMarket(A1101,"現在値詳細時刻")</f>
        <v>表示銘柄数超過</v>
      </c>
      <c r="E1101" s="22" t="str">
        <f>_xll.RssMarket(A1101,"前日比")</f>
        <v>表示銘柄数超過</v>
      </c>
      <c r="F1101" s="23" t="e">
        <f>_xll.RssMarket(A1101,"前日比率")/100</f>
        <v>#VALUE!</v>
      </c>
      <c r="G1101" s="24" t="str">
        <f>IFERROR(VLOOKUP(A1101,取得元!$A$2:$F$501,2,FALSE),"-")</f>
        <v>-</v>
      </c>
      <c r="H1101" s="24" t="str">
        <f>IFERROR(VLOOKUP(A1101,取得元!$A$2:$F$501,3,FALSE),"-")</f>
        <v>-</v>
      </c>
      <c r="I1101" s="24" t="str">
        <f>IFERROR(VLOOKUP(A1101,取得元!$A$2:$F$501,4,FALSE),"-")</f>
        <v>-</v>
      </c>
      <c r="J1101" s="5" t="str">
        <f>IFERROR(VLOOKUP(A1101,取得元!$A$2:$F$501,5,FALSE),"-")</f>
        <v>-</v>
      </c>
      <c r="K1101" s="25" t="str">
        <f>IFERROR(VLOOKUP(A1101,取得元!$A$2:$F$501,6,FALSE)/100,"-")</f>
        <v>-</v>
      </c>
      <c r="L1101" s="21" t="str">
        <f>_xll.RssMarket(A1101,"始値")</f>
        <v>表示銘柄数超過</v>
      </c>
      <c r="M1101" s="4" t="e">
        <f t="shared" si="95"/>
        <v>#VALUE!</v>
      </c>
      <c r="N1101" s="21" t="str">
        <f>_xll.RssMarket(A1101,"高値")</f>
        <v>表示銘柄数超過</v>
      </c>
      <c r="O1101" s="4" t="e">
        <f t="shared" si="96"/>
        <v>#VALUE!</v>
      </c>
      <c r="P1101" s="21" t="str">
        <f>_xll.RssMarket(A1101,"安値")</f>
        <v>表示銘柄数超過</v>
      </c>
      <c r="Q1101" s="4" t="e">
        <f t="shared" si="97"/>
        <v>#VALUE!</v>
      </c>
      <c r="R1101" s="21" t="str">
        <f>_xll.RssMarket(A1101,"後場始値")</f>
        <v>表示銘柄数超過</v>
      </c>
      <c r="S1101" s="25" t="str">
        <f t="shared" si="98"/>
        <v>-</v>
      </c>
      <c r="T1101" s="7" t="str">
        <f>_xll.RssMarket(A1101,"出来高加重平均")</f>
        <v>表示銘柄数超過</v>
      </c>
      <c r="U1101" s="4" t="e">
        <f t="shared" si="99"/>
        <v>#VALUE!</v>
      </c>
      <c r="V1101" s="21" t="str">
        <f>_xll.RssMarket(A1101,"出来高")</f>
        <v>表示銘柄数超過</v>
      </c>
      <c r="W1101" s="21" t="str">
        <f>_xll.RssMarket(A1101,"売買代金")</f>
        <v>表示銘柄数超過</v>
      </c>
      <c r="X1101" s="20" t="str">
        <f>_xll.RssMarket(A1101,"決算発表日")</f>
        <v>表示銘柄数超過</v>
      </c>
      <c r="Y1101" s="26" t="str">
        <f>IF(C1101&gt;_xll.RssMarket(A1101,"年初来高値"),"○","×")</f>
        <v>×</v>
      </c>
      <c r="Z1101" s="27" t="str">
        <f>IF(C1101&lt;=_xll.RssMarket(A1101,"年初来安値"),"○","×")</f>
        <v>○</v>
      </c>
    </row>
    <row r="1102" spans="1:26" x14ac:dyDescent="0.25">
      <c r="A1102" s="47">
        <v>9248</v>
      </c>
      <c r="B1102" s="20" t="str">
        <f>_xll.RssMarket(A1102,"銘柄名称")</f>
        <v>表示銘柄数超過</v>
      </c>
      <c r="C1102" s="21" t="str">
        <f>_xll.RssMarket(A1102,"現在値")</f>
        <v>表示銘柄数超過</v>
      </c>
      <c r="D1102" s="20" t="str">
        <f>_xll.RssMarket(A1102,"現在値詳細時刻")</f>
        <v>表示銘柄数超過</v>
      </c>
      <c r="E1102" s="22" t="str">
        <f>_xll.RssMarket(A1102,"前日比")</f>
        <v>表示銘柄数超過</v>
      </c>
      <c r="F1102" s="23" t="e">
        <f>_xll.RssMarket(A1102,"前日比率")/100</f>
        <v>#VALUE!</v>
      </c>
      <c r="G1102" s="24" t="str">
        <f>IFERROR(VLOOKUP(A1102,取得元!$A$2:$F$501,2,FALSE),"-")</f>
        <v>-</v>
      </c>
      <c r="H1102" s="24" t="str">
        <f>IFERROR(VLOOKUP(A1102,取得元!$A$2:$F$501,3,FALSE),"-")</f>
        <v>-</v>
      </c>
      <c r="I1102" s="24" t="str">
        <f>IFERROR(VLOOKUP(A1102,取得元!$A$2:$F$501,4,FALSE),"-")</f>
        <v>-</v>
      </c>
      <c r="J1102" s="5" t="str">
        <f>IFERROR(VLOOKUP(A1102,取得元!$A$2:$F$501,5,FALSE),"-")</f>
        <v>-</v>
      </c>
      <c r="K1102" s="25" t="str">
        <f>IFERROR(VLOOKUP(A1102,取得元!$A$2:$F$501,6,FALSE)/100,"-")</f>
        <v>-</v>
      </c>
      <c r="L1102" s="21" t="str">
        <f>_xll.RssMarket(A1102,"始値")</f>
        <v>表示銘柄数超過</v>
      </c>
      <c r="M1102" s="4" t="e">
        <f t="shared" si="95"/>
        <v>#VALUE!</v>
      </c>
      <c r="N1102" s="21" t="str">
        <f>_xll.RssMarket(A1102,"高値")</f>
        <v>表示銘柄数超過</v>
      </c>
      <c r="O1102" s="4" t="e">
        <f t="shared" si="96"/>
        <v>#VALUE!</v>
      </c>
      <c r="P1102" s="21" t="str">
        <f>_xll.RssMarket(A1102,"安値")</f>
        <v>表示銘柄数超過</v>
      </c>
      <c r="Q1102" s="4" t="e">
        <f t="shared" si="97"/>
        <v>#VALUE!</v>
      </c>
      <c r="R1102" s="21" t="str">
        <f>_xll.RssMarket(A1102,"後場始値")</f>
        <v>表示銘柄数超過</v>
      </c>
      <c r="S1102" s="25" t="str">
        <f t="shared" si="98"/>
        <v>-</v>
      </c>
      <c r="T1102" s="7" t="str">
        <f>_xll.RssMarket(A1102,"出来高加重平均")</f>
        <v>表示銘柄数超過</v>
      </c>
      <c r="U1102" s="4" t="e">
        <f t="shared" si="99"/>
        <v>#VALUE!</v>
      </c>
      <c r="V1102" s="21" t="str">
        <f>_xll.RssMarket(A1102,"出来高")</f>
        <v>表示銘柄数超過</v>
      </c>
      <c r="W1102" s="21" t="str">
        <f>_xll.RssMarket(A1102,"売買代金")</f>
        <v>表示銘柄数超過</v>
      </c>
      <c r="X1102" s="20" t="str">
        <f>_xll.RssMarket(A1102,"決算発表日")</f>
        <v>表示銘柄数超過</v>
      </c>
      <c r="Y1102" s="26" t="str">
        <f>IF(C1102&gt;_xll.RssMarket(A1102,"年初来高値"),"○","×")</f>
        <v>×</v>
      </c>
      <c r="Z1102" s="27" t="str">
        <f>IF(C1102&lt;=_xll.RssMarket(A1102,"年初来安値"),"○","×")</f>
        <v>○</v>
      </c>
    </row>
    <row r="1103" spans="1:26" x14ac:dyDescent="0.25">
      <c r="A1103" s="49">
        <v>9254</v>
      </c>
      <c r="B1103" s="20" t="str">
        <f>_xll.RssMarket(A1103,"銘柄名称")</f>
        <v>表示銘柄数超過</v>
      </c>
      <c r="C1103" s="21" t="str">
        <f>_xll.RssMarket(A1103,"現在値")</f>
        <v>表示銘柄数超過</v>
      </c>
      <c r="D1103" s="20" t="str">
        <f>_xll.RssMarket(A1103,"現在値詳細時刻")</f>
        <v>表示銘柄数超過</v>
      </c>
      <c r="E1103" s="22" t="str">
        <f>_xll.RssMarket(A1103,"前日比")</f>
        <v>表示銘柄数超過</v>
      </c>
      <c r="F1103" s="23" t="e">
        <f>_xll.RssMarket(A1103,"前日比率")/100</f>
        <v>#VALUE!</v>
      </c>
      <c r="G1103" s="24" t="str">
        <f>IFERROR(VLOOKUP(A1103,取得元!$A$2:$F$501,2,FALSE),"-")</f>
        <v>-</v>
      </c>
      <c r="H1103" s="24" t="str">
        <f>IFERROR(VLOOKUP(A1103,取得元!$A$2:$F$501,3,FALSE),"-")</f>
        <v>-</v>
      </c>
      <c r="I1103" s="24" t="str">
        <f>IFERROR(VLOOKUP(A1103,取得元!$A$2:$F$501,4,FALSE),"-")</f>
        <v>-</v>
      </c>
      <c r="J1103" s="5" t="str">
        <f>IFERROR(VLOOKUP(A1103,取得元!$A$2:$F$501,5,FALSE),"-")</f>
        <v>-</v>
      </c>
      <c r="K1103" s="25" t="str">
        <f>IFERROR(VLOOKUP(A1103,取得元!$A$2:$F$501,6,FALSE)/100,"-")</f>
        <v>-</v>
      </c>
      <c r="L1103" s="21" t="str">
        <f>_xll.RssMarket(A1103,"始値")</f>
        <v>表示銘柄数超過</v>
      </c>
      <c r="M1103" s="4" t="e">
        <f t="shared" si="95"/>
        <v>#VALUE!</v>
      </c>
      <c r="N1103" s="21" t="str">
        <f>_xll.RssMarket(A1103,"高値")</f>
        <v>表示銘柄数超過</v>
      </c>
      <c r="O1103" s="4" t="e">
        <f t="shared" si="96"/>
        <v>#VALUE!</v>
      </c>
      <c r="P1103" s="21" t="str">
        <f>_xll.RssMarket(A1103,"安値")</f>
        <v>表示銘柄数超過</v>
      </c>
      <c r="Q1103" s="4" t="e">
        <f t="shared" si="97"/>
        <v>#VALUE!</v>
      </c>
      <c r="R1103" s="21" t="str">
        <f>_xll.RssMarket(A1103,"後場始値")</f>
        <v>表示銘柄数超過</v>
      </c>
      <c r="S1103" s="25" t="str">
        <f t="shared" si="98"/>
        <v>-</v>
      </c>
      <c r="T1103" s="7" t="str">
        <f>_xll.RssMarket(A1103,"出来高加重平均")</f>
        <v>表示銘柄数超過</v>
      </c>
      <c r="U1103" s="4" t="e">
        <f t="shared" si="99"/>
        <v>#VALUE!</v>
      </c>
      <c r="V1103" s="21" t="str">
        <f>_xll.RssMarket(A1103,"出来高")</f>
        <v>表示銘柄数超過</v>
      </c>
      <c r="W1103" s="21" t="str">
        <f>_xll.RssMarket(A1103,"売買代金")</f>
        <v>表示銘柄数超過</v>
      </c>
      <c r="X1103" s="20" t="str">
        <f>_xll.RssMarket(A1103,"決算発表日")</f>
        <v>表示銘柄数超過</v>
      </c>
      <c r="Y1103" s="26" t="str">
        <f>IF(C1103&gt;_xll.RssMarket(A1103,"年初来高値"),"○","×")</f>
        <v>×</v>
      </c>
      <c r="Z1103" s="27" t="str">
        <f>IF(C1103&lt;=_xll.RssMarket(A1103,"年初来安値"),"○","×")</f>
        <v>○</v>
      </c>
    </row>
    <row r="1104" spans="1:26" x14ac:dyDescent="0.25">
      <c r="A1104" s="47">
        <v>9263</v>
      </c>
      <c r="B1104" s="20" t="str">
        <f>_xll.RssMarket(A1104,"銘柄名称")</f>
        <v>表示銘柄数超過</v>
      </c>
      <c r="C1104" s="21" t="str">
        <f>_xll.RssMarket(A1104,"現在値")</f>
        <v>表示銘柄数超過</v>
      </c>
      <c r="D1104" s="20" t="str">
        <f>_xll.RssMarket(A1104,"現在値詳細時刻")</f>
        <v>表示銘柄数超過</v>
      </c>
      <c r="E1104" s="22" t="str">
        <f>_xll.RssMarket(A1104,"前日比")</f>
        <v>表示銘柄数超過</v>
      </c>
      <c r="F1104" s="23" t="e">
        <f>_xll.RssMarket(A1104,"前日比率")/100</f>
        <v>#VALUE!</v>
      </c>
      <c r="G1104" s="24" t="str">
        <f>IFERROR(VLOOKUP(A1104,取得元!$A$2:$F$501,2,FALSE),"-")</f>
        <v>-</v>
      </c>
      <c r="H1104" s="24" t="str">
        <f>IFERROR(VLOOKUP(A1104,取得元!$A$2:$F$501,3,FALSE),"-")</f>
        <v>-</v>
      </c>
      <c r="I1104" s="24" t="str">
        <f>IFERROR(VLOOKUP(A1104,取得元!$A$2:$F$501,4,FALSE),"-")</f>
        <v>-</v>
      </c>
      <c r="J1104" s="5" t="str">
        <f>IFERROR(VLOOKUP(A1104,取得元!$A$2:$F$501,5,FALSE),"-")</f>
        <v>-</v>
      </c>
      <c r="K1104" s="25" t="str">
        <f>IFERROR(VLOOKUP(A1104,取得元!$A$2:$F$501,6,FALSE)/100,"-")</f>
        <v>-</v>
      </c>
      <c r="L1104" s="21" t="str">
        <f>_xll.RssMarket(A1104,"始値")</f>
        <v>表示銘柄数超過</v>
      </c>
      <c r="M1104" s="4" t="e">
        <f t="shared" si="95"/>
        <v>#VALUE!</v>
      </c>
      <c r="N1104" s="21" t="str">
        <f>_xll.RssMarket(A1104,"高値")</f>
        <v>表示銘柄数超過</v>
      </c>
      <c r="O1104" s="4" t="e">
        <f t="shared" si="96"/>
        <v>#VALUE!</v>
      </c>
      <c r="P1104" s="21" t="str">
        <f>_xll.RssMarket(A1104,"安値")</f>
        <v>表示銘柄数超過</v>
      </c>
      <c r="Q1104" s="4" t="e">
        <f t="shared" si="97"/>
        <v>#VALUE!</v>
      </c>
      <c r="R1104" s="21" t="str">
        <f>_xll.RssMarket(A1104,"後場始値")</f>
        <v>表示銘柄数超過</v>
      </c>
      <c r="S1104" s="25" t="str">
        <f t="shared" si="98"/>
        <v>-</v>
      </c>
      <c r="T1104" s="7" t="str">
        <f>_xll.RssMarket(A1104,"出来高加重平均")</f>
        <v>表示銘柄数超過</v>
      </c>
      <c r="U1104" s="4" t="e">
        <f t="shared" si="99"/>
        <v>#VALUE!</v>
      </c>
      <c r="V1104" s="21" t="str">
        <f>_xll.RssMarket(A1104,"出来高")</f>
        <v>表示銘柄数超過</v>
      </c>
      <c r="W1104" s="21" t="str">
        <f>_xll.RssMarket(A1104,"売買代金")</f>
        <v>表示銘柄数超過</v>
      </c>
      <c r="X1104" s="20" t="str">
        <f>_xll.RssMarket(A1104,"決算発表日")</f>
        <v>表示銘柄数超過</v>
      </c>
      <c r="Y1104" s="26" t="str">
        <f>IF(C1104&gt;_xll.RssMarket(A1104,"年初来高値"),"○","×")</f>
        <v>×</v>
      </c>
      <c r="Z1104" s="27" t="str">
        <f>IF(C1104&lt;=_xll.RssMarket(A1104,"年初来安値"),"○","×")</f>
        <v>○</v>
      </c>
    </row>
    <row r="1105" spans="1:26" x14ac:dyDescent="0.25">
      <c r="A1105" s="49">
        <v>9270</v>
      </c>
      <c r="B1105" s="20" t="str">
        <f>_xll.RssMarket(A1105,"銘柄名称")</f>
        <v>表示銘柄数超過</v>
      </c>
      <c r="C1105" s="21" t="str">
        <f>_xll.RssMarket(A1105,"現在値")</f>
        <v>表示銘柄数超過</v>
      </c>
      <c r="D1105" s="20" t="str">
        <f>_xll.RssMarket(A1105,"現在値詳細時刻")</f>
        <v>表示銘柄数超過</v>
      </c>
      <c r="E1105" s="22" t="str">
        <f>_xll.RssMarket(A1105,"前日比")</f>
        <v>表示銘柄数超過</v>
      </c>
      <c r="F1105" s="23" t="e">
        <f>_xll.RssMarket(A1105,"前日比率")/100</f>
        <v>#VALUE!</v>
      </c>
      <c r="G1105" s="24" t="str">
        <f>IFERROR(VLOOKUP(A1105,取得元!$A$2:$F$501,2,FALSE),"-")</f>
        <v>-</v>
      </c>
      <c r="H1105" s="24" t="str">
        <f>IFERROR(VLOOKUP(A1105,取得元!$A$2:$F$501,3,FALSE),"-")</f>
        <v>-</v>
      </c>
      <c r="I1105" s="24" t="str">
        <f>IFERROR(VLOOKUP(A1105,取得元!$A$2:$F$501,4,FALSE),"-")</f>
        <v>-</v>
      </c>
      <c r="J1105" s="5" t="str">
        <f>IFERROR(VLOOKUP(A1105,取得元!$A$2:$F$501,5,FALSE),"-")</f>
        <v>-</v>
      </c>
      <c r="K1105" s="25" t="str">
        <f>IFERROR(VLOOKUP(A1105,取得元!$A$2:$F$501,6,FALSE)/100,"-")</f>
        <v>-</v>
      </c>
      <c r="L1105" s="21" t="str">
        <f>_xll.RssMarket(A1105,"始値")</f>
        <v>表示銘柄数超過</v>
      </c>
      <c r="M1105" s="4" t="e">
        <f t="shared" si="95"/>
        <v>#VALUE!</v>
      </c>
      <c r="N1105" s="21" t="str">
        <f>_xll.RssMarket(A1105,"高値")</f>
        <v>表示銘柄数超過</v>
      </c>
      <c r="O1105" s="4" t="e">
        <f t="shared" si="96"/>
        <v>#VALUE!</v>
      </c>
      <c r="P1105" s="21" t="str">
        <f>_xll.RssMarket(A1105,"安値")</f>
        <v>表示銘柄数超過</v>
      </c>
      <c r="Q1105" s="4" t="e">
        <f t="shared" si="97"/>
        <v>#VALUE!</v>
      </c>
      <c r="R1105" s="21" t="str">
        <f>_xll.RssMarket(A1105,"後場始値")</f>
        <v>表示銘柄数超過</v>
      </c>
      <c r="S1105" s="25" t="str">
        <f t="shared" si="98"/>
        <v>-</v>
      </c>
      <c r="T1105" s="7" t="str">
        <f>_xll.RssMarket(A1105,"出来高加重平均")</f>
        <v>表示銘柄数超過</v>
      </c>
      <c r="U1105" s="4" t="e">
        <f t="shared" si="99"/>
        <v>#VALUE!</v>
      </c>
      <c r="V1105" s="21" t="str">
        <f>_xll.RssMarket(A1105,"出来高")</f>
        <v>表示銘柄数超過</v>
      </c>
      <c r="W1105" s="21" t="str">
        <f>_xll.RssMarket(A1105,"売買代金")</f>
        <v>表示銘柄数超過</v>
      </c>
      <c r="X1105" s="20" t="str">
        <f>_xll.RssMarket(A1105,"決算発表日")</f>
        <v>表示銘柄数超過</v>
      </c>
      <c r="Y1105" s="26" t="str">
        <f>IF(C1105&gt;_xll.RssMarket(A1105,"年初来高値"),"○","×")</f>
        <v>×</v>
      </c>
      <c r="Z1105" s="27" t="str">
        <f>IF(C1105&lt;=_xll.RssMarket(A1105,"年初来安値"),"○","×")</f>
        <v>○</v>
      </c>
    </row>
    <row r="1106" spans="1:26" x14ac:dyDescent="0.25">
      <c r="A1106" s="47">
        <v>9272</v>
      </c>
      <c r="B1106" s="20" t="str">
        <f>_xll.RssMarket(A1106,"銘柄名称")</f>
        <v>表示銘柄数超過</v>
      </c>
      <c r="C1106" s="21" t="str">
        <f>_xll.RssMarket(A1106,"現在値")</f>
        <v>表示銘柄数超過</v>
      </c>
      <c r="D1106" s="20" t="str">
        <f>_xll.RssMarket(A1106,"現在値詳細時刻")</f>
        <v>表示銘柄数超過</v>
      </c>
      <c r="E1106" s="22" t="str">
        <f>_xll.RssMarket(A1106,"前日比")</f>
        <v>表示銘柄数超過</v>
      </c>
      <c r="F1106" s="23" t="e">
        <f>_xll.RssMarket(A1106,"前日比率")/100</f>
        <v>#VALUE!</v>
      </c>
      <c r="G1106" s="24" t="str">
        <f>IFERROR(VLOOKUP(A1106,取得元!$A$2:$F$501,2,FALSE),"-")</f>
        <v>-</v>
      </c>
      <c r="H1106" s="24" t="str">
        <f>IFERROR(VLOOKUP(A1106,取得元!$A$2:$F$501,3,FALSE),"-")</f>
        <v>-</v>
      </c>
      <c r="I1106" s="24" t="str">
        <f>IFERROR(VLOOKUP(A1106,取得元!$A$2:$F$501,4,FALSE),"-")</f>
        <v>-</v>
      </c>
      <c r="J1106" s="5" t="str">
        <f>IFERROR(VLOOKUP(A1106,取得元!$A$2:$F$501,5,FALSE),"-")</f>
        <v>-</v>
      </c>
      <c r="K1106" s="25" t="str">
        <f>IFERROR(VLOOKUP(A1106,取得元!$A$2:$F$501,6,FALSE)/100,"-")</f>
        <v>-</v>
      </c>
      <c r="L1106" s="21" t="str">
        <f>_xll.RssMarket(A1106,"始値")</f>
        <v>表示銘柄数超過</v>
      </c>
      <c r="M1106" s="4" t="e">
        <f t="shared" si="95"/>
        <v>#VALUE!</v>
      </c>
      <c r="N1106" s="21" t="str">
        <f>_xll.RssMarket(A1106,"高値")</f>
        <v>表示銘柄数超過</v>
      </c>
      <c r="O1106" s="4" t="e">
        <f t="shared" si="96"/>
        <v>#VALUE!</v>
      </c>
      <c r="P1106" s="21" t="str">
        <f>_xll.RssMarket(A1106,"安値")</f>
        <v>表示銘柄数超過</v>
      </c>
      <c r="Q1106" s="4" t="e">
        <f t="shared" si="97"/>
        <v>#VALUE!</v>
      </c>
      <c r="R1106" s="21" t="str">
        <f>_xll.RssMarket(A1106,"後場始値")</f>
        <v>表示銘柄数超過</v>
      </c>
      <c r="S1106" s="25" t="str">
        <f t="shared" si="98"/>
        <v>-</v>
      </c>
      <c r="T1106" s="7" t="str">
        <f>_xll.RssMarket(A1106,"出来高加重平均")</f>
        <v>表示銘柄数超過</v>
      </c>
      <c r="U1106" s="4" t="e">
        <f t="shared" si="99"/>
        <v>#VALUE!</v>
      </c>
      <c r="V1106" s="21" t="str">
        <f>_xll.RssMarket(A1106,"出来高")</f>
        <v>表示銘柄数超過</v>
      </c>
      <c r="W1106" s="21" t="str">
        <f>_xll.RssMarket(A1106,"売買代金")</f>
        <v>表示銘柄数超過</v>
      </c>
      <c r="X1106" s="20" t="str">
        <f>_xll.RssMarket(A1106,"決算発表日")</f>
        <v>表示銘柄数超過</v>
      </c>
      <c r="Y1106" s="26" t="str">
        <f>IF(C1106&gt;_xll.RssMarket(A1106,"年初来高値"),"○","×")</f>
        <v>×</v>
      </c>
      <c r="Z1106" s="27" t="str">
        <f>IF(C1106&lt;=_xll.RssMarket(A1106,"年初来安値"),"○","×")</f>
        <v>○</v>
      </c>
    </row>
    <row r="1107" spans="1:26" x14ac:dyDescent="0.25">
      <c r="A1107" s="49">
        <v>9274</v>
      </c>
      <c r="B1107" s="20" t="str">
        <f>_xll.RssMarket(A1107,"銘柄名称")</f>
        <v>表示銘柄数超過</v>
      </c>
      <c r="C1107" s="21" t="str">
        <f>_xll.RssMarket(A1107,"現在値")</f>
        <v>表示銘柄数超過</v>
      </c>
      <c r="D1107" s="20" t="str">
        <f>_xll.RssMarket(A1107,"現在値詳細時刻")</f>
        <v>表示銘柄数超過</v>
      </c>
      <c r="E1107" s="22" t="str">
        <f>_xll.RssMarket(A1107,"前日比")</f>
        <v>表示銘柄数超過</v>
      </c>
      <c r="F1107" s="23" t="e">
        <f>_xll.RssMarket(A1107,"前日比率")/100</f>
        <v>#VALUE!</v>
      </c>
      <c r="G1107" s="24" t="str">
        <f>IFERROR(VLOOKUP(A1107,取得元!$A$2:$F$501,2,FALSE),"-")</f>
        <v>-</v>
      </c>
      <c r="H1107" s="24" t="str">
        <f>IFERROR(VLOOKUP(A1107,取得元!$A$2:$F$501,3,FALSE),"-")</f>
        <v>-</v>
      </c>
      <c r="I1107" s="24" t="str">
        <f>IFERROR(VLOOKUP(A1107,取得元!$A$2:$F$501,4,FALSE),"-")</f>
        <v>-</v>
      </c>
      <c r="J1107" s="5" t="str">
        <f>IFERROR(VLOOKUP(A1107,取得元!$A$2:$F$501,5,FALSE),"-")</f>
        <v>-</v>
      </c>
      <c r="K1107" s="25" t="str">
        <f>IFERROR(VLOOKUP(A1107,取得元!$A$2:$F$501,6,FALSE)/100,"-")</f>
        <v>-</v>
      </c>
      <c r="L1107" s="21" t="str">
        <f>_xll.RssMarket(A1107,"始値")</f>
        <v>表示銘柄数超過</v>
      </c>
      <c r="M1107" s="4" t="e">
        <f t="shared" si="95"/>
        <v>#VALUE!</v>
      </c>
      <c r="N1107" s="21" t="str">
        <f>_xll.RssMarket(A1107,"高値")</f>
        <v>表示銘柄数超過</v>
      </c>
      <c r="O1107" s="4" t="e">
        <f t="shared" si="96"/>
        <v>#VALUE!</v>
      </c>
      <c r="P1107" s="21" t="str">
        <f>_xll.RssMarket(A1107,"安値")</f>
        <v>表示銘柄数超過</v>
      </c>
      <c r="Q1107" s="4" t="e">
        <f t="shared" si="97"/>
        <v>#VALUE!</v>
      </c>
      <c r="R1107" s="21" t="str">
        <f>_xll.RssMarket(A1107,"後場始値")</f>
        <v>表示銘柄数超過</v>
      </c>
      <c r="S1107" s="25" t="str">
        <f t="shared" si="98"/>
        <v>-</v>
      </c>
      <c r="T1107" s="7" t="str">
        <f>_xll.RssMarket(A1107,"出来高加重平均")</f>
        <v>表示銘柄数超過</v>
      </c>
      <c r="U1107" s="4" t="e">
        <f t="shared" si="99"/>
        <v>#VALUE!</v>
      </c>
      <c r="V1107" s="21" t="str">
        <f>_xll.RssMarket(A1107,"出来高")</f>
        <v>表示銘柄数超過</v>
      </c>
      <c r="W1107" s="21" t="str">
        <f>_xll.RssMarket(A1107,"売買代金")</f>
        <v>表示銘柄数超過</v>
      </c>
      <c r="X1107" s="20" t="str">
        <f>_xll.RssMarket(A1107,"決算発表日")</f>
        <v>表示銘柄数超過</v>
      </c>
      <c r="Y1107" s="26" t="str">
        <f>IF(C1107&gt;_xll.RssMarket(A1107,"年初来高値"),"○","×")</f>
        <v>×</v>
      </c>
      <c r="Z1107" s="27" t="str">
        <f>IF(C1107&lt;=_xll.RssMarket(A1107,"年初来安値"),"○","×")</f>
        <v>○</v>
      </c>
    </row>
    <row r="1108" spans="1:26" x14ac:dyDescent="0.25">
      <c r="A1108" s="47">
        <v>9278</v>
      </c>
      <c r="B1108" s="20" t="str">
        <f>_xll.RssMarket(A1108,"銘柄名称")</f>
        <v>表示銘柄数超過</v>
      </c>
      <c r="C1108" s="21" t="str">
        <f>_xll.RssMarket(A1108,"現在値")</f>
        <v>表示銘柄数超過</v>
      </c>
      <c r="D1108" s="20" t="str">
        <f>_xll.RssMarket(A1108,"現在値詳細時刻")</f>
        <v>表示銘柄数超過</v>
      </c>
      <c r="E1108" s="22" t="str">
        <f>_xll.RssMarket(A1108,"前日比")</f>
        <v>表示銘柄数超過</v>
      </c>
      <c r="F1108" s="23" t="e">
        <f>_xll.RssMarket(A1108,"前日比率")/100</f>
        <v>#VALUE!</v>
      </c>
      <c r="G1108" s="24" t="str">
        <f>IFERROR(VLOOKUP(A1108,取得元!$A$2:$F$501,2,FALSE),"-")</f>
        <v>-</v>
      </c>
      <c r="H1108" s="24" t="str">
        <f>IFERROR(VLOOKUP(A1108,取得元!$A$2:$F$501,3,FALSE),"-")</f>
        <v>-</v>
      </c>
      <c r="I1108" s="24" t="str">
        <f>IFERROR(VLOOKUP(A1108,取得元!$A$2:$F$501,4,FALSE),"-")</f>
        <v>-</v>
      </c>
      <c r="J1108" s="5" t="str">
        <f>IFERROR(VLOOKUP(A1108,取得元!$A$2:$F$501,5,FALSE),"-")</f>
        <v>-</v>
      </c>
      <c r="K1108" s="25" t="str">
        <f>IFERROR(VLOOKUP(A1108,取得元!$A$2:$F$501,6,FALSE)/100,"-")</f>
        <v>-</v>
      </c>
      <c r="L1108" s="21" t="str">
        <f>_xll.RssMarket(A1108,"始値")</f>
        <v>表示銘柄数超過</v>
      </c>
      <c r="M1108" s="4" t="e">
        <f t="shared" si="95"/>
        <v>#VALUE!</v>
      </c>
      <c r="N1108" s="21" t="str">
        <f>_xll.RssMarket(A1108,"高値")</f>
        <v>表示銘柄数超過</v>
      </c>
      <c r="O1108" s="4" t="e">
        <f t="shared" si="96"/>
        <v>#VALUE!</v>
      </c>
      <c r="P1108" s="21" t="str">
        <f>_xll.RssMarket(A1108,"安値")</f>
        <v>表示銘柄数超過</v>
      </c>
      <c r="Q1108" s="4" t="e">
        <f t="shared" si="97"/>
        <v>#VALUE!</v>
      </c>
      <c r="R1108" s="21" t="str">
        <f>_xll.RssMarket(A1108,"後場始値")</f>
        <v>表示銘柄数超過</v>
      </c>
      <c r="S1108" s="25" t="str">
        <f t="shared" si="98"/>
        <v>-</v>
      </c>
      <c r="T1108" s="7" t="str">
        <f>_xll.RssMarket(A1108,"出来高加重平均")</f>
        <v>表示銘柄数超過</v>
      </c>
      <c r="U1108" s="4" t="e">
        <f t="shared" si="99"/>
        <v>#VALUE!</v>
      </c>
      <c r="V1108" s="21" t="str">
        <f>_xll.RssMarket(A1108,"出来高")</f>
        <v>表示銘柄数超過</v>
      </c>
      <c r="W1108" s="21" t="str">
        <f>_xll.RssMarket(A1108,"売買代金")</f>
        <v>表示銘柄数超過</v>
      </c>
      <c r="X1108" s="20" t="str">
        <f>_xll.RssMarket(A1108,"決算発表日")</f>
        <v>表示銘柄数超過</v>
      </c>
      <c r="Y1108" s="26" t="str">
        <f>IF(C1108&gt;_xll.RssMarket(A1108,"年初来高値"),"○","×")</f>
        <v>×</v>
      </c>
      <c r="Z1108" s="27" t="str">
        <f>IF(C1108&lt;=_xll.RssMarket(A1108,"年初来安値"),"○","×")</f>
        <v>○</v>
      </c>
    </row>
    <row r="1109" spans="1:26" x14ac:dyDescent="0.25">
      <c r="A1109" s="49">
        <v>9307</v>
      </c>
      <c r="B1109" s="20" t="str">
        <f>_xll.RssMarket(A1109,"銘柄名称")</f>
        <v>表示銘柄数超過</v>
      </c>
      <c r="C1109" s="21" t="str">
        <f>_xll.RssMarket(A1109,"現在値")</f>
        <v>表示銘柄数超過</v>
      </c>
      <c r="D1109" s="20" t="str">
        <f>_xll.RssMarket(A1109,"現在値詳細時刻")</f>
        <v>表示銘柄数超過</v>
      </c>
      <c r="E1109" s="22" t="str">
        <f>_xll.RssMarket(A1109,"前日比")</f>
        <v>表示銘柄数超過</v>
      </c>
      <c r="F1109" s="23" t="e">
        <f>_xll.RssMarket(A1109,"前日比率")/100</f>
        <v>#VALUE!</v>
      </c>
      <c r="G1109" s="24" t="str">
        <f>IFERROR(VLOOKUP(A1109,取得元!$A$2:$F$501,2,FALSE),"-")</f>
        <v>-</v>
      </c>
      <c r="H1109" s="24" t="str">
        <f>IFERROR(VLOOKUP(A1109,取得元!$A$2:$F$501,3,FALSE),"-")</f>
        <v>-</v>
      </c>
      <c r="I1109" s="24" t="str">
        <f>IFERROR(VLOOKUP(A1109,取得元!$A$2:$F$501,4,FALSE),"-")</f>
        <v>-</v>
      </c>
      <c r="J1109" s="5" t="str">
        <f>IFERROR(VLOOKUP(A1109,取得元!$A$2:$F$501,5,FALSE),"-")</f>
        <v>-</v>
      </c>
      <c r="K1109" s="25" t="str">
        <f>IFERROR(VLOOKUP(A1109,取得元!$A$2:$F$501,6,FALSE)/100,"-")</f>
        <v>-</v>
      </c>
      <c r="L1109" s="21" t="str">
        <f>_xll.RssMarket(A1109,"始値")</f>
        <v>表示銘柄数超過</v>
      </c>
      <c r="M1109" s="4" t="e">
        <f t="shared" si="95"/>
        <v>#VALUE!</v>
      </c>
      <c r="N1109" s="21" t="str">
        <f>_xll.RssMarket(A1109,"高値")</f>
        <v>表示銘柄数超過</v>
      </c>
      <c r="O1109" s="4" t="e">
        <f t="shared" si="96"/>
        <v>#VALUE!</v>
      </c>
      <c r="P1109" s="21" t="str">
        <f>_xll.RssMarket(A1109,"安値")</f>
        <v>表示銘柄数超過</v>
      </c>
      <c r="Q1109" s="4" t="e">
        <f t="shared" si="97"/>
        <v>#VALUE!</v>
      </c>
      <c r="R1109" s="21" t="str">
        <f>_xll.RssMarket(A1109,"後場始値")</f>
        <v>表示銘柄数超過</v>
      </c>
      <c r="S1109" s="25" t="str">
        <f t="shared" si="98"/>
        <v>-</v>
      </c>
      <c r="T1109" s="7" t="str">
        <f>_xll.RssMarket(A1109,"出来高加重平均")</f>
        <v>表示銘柄数超過</v>
      </c>
      <c r="U1109" s="4" t="e">
        <f t="shared" si="99"/>
        <v>#VALUE!</v>
      </c>
      <c r="V1109" s="21" t="str">
        <f>_xll.RssMarket(A1109,"出来高")</f>
        <v>表示銘柄数超過</v>
      </c>
      <c r="W1109" s="21" t="str">
        <f>_xll.RssMarket(A1109,"売買代金")</f>
        <v>表示銘柄数超過</v>
      </c>
      <c r="X1109" s="20" t="str">
        <f>_xll.RssMarket(A1109,"決算発表日")</f>
        <v>表示銘柄数超過</v>
      </c>
      <c r="Y1109" s="26" t="str">
        <f>IF(C1109&gt;_xll.RssMarket(A1109,"年初来高値"),"○","×")</f>
        <v>×</v>
      </c>
      <c r="Z1109" s="27" t="str">
        <f>IF(C1109&lt;=_xll.RssMarket(A1109,"年初来安値"),"○","×")</f>
        <v>○</v>
      </c>
    </row>
    <row r="1110" spans="1:26" x14ac:dyDescent="0.25">
      <c r="A1110" s="47">
        <v>9325</v>
      </c>
      <c r="B1110" s="20" t="str">
        <f>_xll.RssMarket(A1110,"銘柄名称")</f>
        <v>表示銘柄数超過</v>
      </c>
      <c r="C1110" s="21" t="str">
        <f>_xll.RssMarket(A1110,"現在値")</f>
        <v>表示銘柄数超過</v>
      </c>
      <c r="D1110" s="20" t="str">
        <f>_xll.RssMarket(A1110,"現在値詳細時刻")</f>
        <v>表示銘柄数超過</v>
      </c>
      <c r="E1110" s="22" t="str">
        <f>_xll.RssMarket(A1110,"前日比")</f>
        <v>表示銘柄数超過</v>
      </c>
      <c r="F1110" s="23" t="e">
        <f>_xll.RssMarket(A1110,"前日比率")/100</f>
        <v>#VALUE!</v>
      </c>
      <c r="G1110" s="24" t="str">
        <f>IFERROR(VLOOKUP(A1110,取得元!$A$2:$F$501,2,FALSE),"-")</f>
        <v>-</v>
      </c>
      <c r="H1110" s="24" t="str">
        <f>IFERROR(VLOOKUP(A1110,取得元!$A$2:$F$501,3,FALSE),"-")</f>
        <v>-</v>
      </c>
      <c r="I1110" s="24" t="str">
        <f>IFERROR(VLOOKUP(A1110,取得元!$A$2:$F$501,4,FALSE),"-")</f>
        <v>-</v>
      </c>
      <c r="J1110" s="5" t="str">
        <f>IFERROR(VLOOKUP(A1110,取得元!$A$2:$F$501,5,FALSE),"-")</f>
        <v>-</v>
      </c>
      <c r="K1110" s="25" t="str">
        <f>IFERROR(VLOOKUP(A1110,取得元!$A$2:$F$501,6,FALSE)/100,"-")</f>
        <v>-</v>
      </c>
      <c r="L1110" s="21" t="str">
        <f>_xll.RssMarket(A1110,"始値")</f>
        <v>表示銘柄数超過</v>
      </c>
      <c r="M1110" s="4" t="e">
        <f t="shared" ref="M1110:M1173" si="100">C1110/L1110-1</f>
        <v>#VALUE!</v>
      </c>
      <c r="N1110" s="21" t="str">
        <f>_xll.RssMarket(A1110,"高値")</f>
        <v>表示銘柄数超過</v>
      </c>
      <c r="O1110" s="4" t="e">
        <f t="shared" ref="O1110:O1173" si="101">C1110/N1110-1</f>
        <v>#VALUE!</v>
      </c>
      <c r="P1110" s="21" t="str">
        <f>_xll.RssMarket(A1110,"安値")</f>
        <v>表示銘柄数超過</v>
      </c>
      <c r="Q1110" s="4" t="e">
        <f t="shared" ref="Q1110:Q1173" si="102">C1110/P1110-1</f>
        <v>#VALUE!</v>
      </c>
      <c r="R1110" s="21" t="str">
        <f>_xll.RssMarket(A1110,"後場始値")</f>
        <v>表示銘柄数超過</v>
      </c>
      <c r="S1110" s="25" t="str">
        <f t="shared" ref="S1110:S1173" si="103">IFERROR(C1110/R1110-1,"-")</f>
        <v>-</v>
      </c>
      <c r="T1110" s="7" t="str">
        <f>_xll.RssMarket(A1110,"出来高加重平均")</f>
        <v>表示銘柄数超過</v>
      </c>
      <c r="U1110" s="4" t="e">
        <f t="shared" ref="U1110:U1173" si="104">C1110/T1110-1</f>
        <v>#VALUE!</v>
      </c>
      <c r="V1110" s="21" t="str">
        <f>_xll.RssMarket(A1110,"出来高")</f>
        <v>表示銘柄数超過</v>
      </c>
      <c r="W1110" s="21" t="str">
        <f>_xll.RssMarket(A1110,"売買代金")</f>
        <v>表示銘柄数超過</v>
      </c>
      <c r="X1110" s="20" t="str">
        <f>_xll.RssMarket(A1110,"決算発表日")</f>
        <v>表示銘柄数超過</v>
      </c>
      <c r="Y1110" s="26" t="str">
        <f>IF(C1110&gt;_xll.RssMarket(A1110,"年初来高値"),"○","×")</f>
        <v>×</v>
      </c>
      <c r="Z1110" s="27" t="str">
        <f>IF(C1110&lt;=_xll.RssMarket(A1110,"年初来安値"),"○","×")</f>
        <v>○</v>
      </c>
    </row>
    <row r="1111" spans="1:26" x14ac:dyDescent="0.25">
      <c r="A1111" s="49">
        <v>9361</v>
      </c>
      <c r="B1111" s="20" t="str">
        <f>_xll.RssMarket(A1111,"銘柄名称")</f>
        <v>表示銘柄数超過</v>
      </c>
      <c r="C1111" s="21" t="str">
        <f>_xll.RssMarket(A1111,"現在値")</f>
        <v>表示銘柄数超過</v>
      </c>
      <c r="D1111" s="20" t="str">
        <f>_xll.RssMarket(A1111,"現在値詳細時刻")</f>
        <v>表示銘柄数超過</v>
      </c>
      <c r="E1111" s="22" t="str">
        <f>_xll.RssMarket(A1111,"前日比")</f>
        <v>表示銘柄数超過</v>
      </c>
      <c r="F1111" s="23" t="e">
        <f>_xll.RssMarket(A1111,"前日比率")/100</f>
        <v>#VALUE!</v>
      </c>
      <c r="G1111" s="24" t="str">
        <f>IFERROR(VLOOKUP(A1111,取得元!$A$2:$F$501,2,FALSE),"-")</f>
        <v>-</v>
      </c>
      <c r="H1111" s="24" t="str">
        <f>IFERROR(VLOOKUP(A1111,取得元!$A$2:$F$501,3,FALSE),"-")</f>
        <v>-</v>
      </c>
      <c r="I1111" s="24" t="str">
        <f>IFERROR(VLOOKUP(A1111,取得元!$A$2:$F$501,4,FALSE),"-")</f>
        <v>-</v>
      </c>
      <c r="J1111" s="5" t="str">
        <f>IFERROR(VLOOKUP(A1111,取得元!$A$2:$F$501,5,FALSE),"-")</f>
        <v>-</v>
      </c>
      <c r="K1111" s="25" t="str">
        <f>IFERROR(VLOOKUP(A1111,取得元!$A$2:$F$501,6,FALSE)/100,"-")</f>
        <v>-</v>
      </c>
      <c r="L1111" s="21" t="str">
        <f>_xll.RssMarket(A1111,"始値")</f>
        <v>表示銘柄数超過</v>
      </c>
      <c r="M1111" s="4" t="e">
        <f t="shared" si="100"/>
        <v>#VALUE!</v>
      </c>
      <c r="N1111" s="21" t="str">
        <f>_xll.RssMarket(A1111,"高値")</f>
        <v>表示銘柄数超過</v>
      </c>
      <c r="O1111" s="4" t="e">
        <f t="shared" si="101"/>
        <v>#VALUE!</v>
      </c>
      <c r="P1111" s="21" t="str">
        <f>_xll.RssMarket(A1111,"安値")</f>
        <v>表示銘柄数超過</v>
      </c>
      <c r="Q1111" s="4" t="e">
        <f t="shared" si="102"/>
        <v>#VALUE!</v>
      </c>
      <c r="R1111" s="21" t="str">
        <f>_xll.RssMarket(A1111,"後場始値")</f>
        <v>表示銘柄数超過</v>
      </c>
      <c r="S1111" s="25" t="str">
        <f t="shared" si="103"/>
        <v>-</v>
      </c>
      <c r="T1111" s="7" t="str">
        <f>_xll.RssMarket(A1111,"出来高加重平均")</f>
        <v>表示銘柄数超過</v>
      </c>
      <c r="U1111" s="4" t="e">
        <f t="shared" si="104"/>
        <v>#VALUE!</v>
      </c>
      <c r="V1111" s="21" t="str">
        <f>_xll.RssMarket(A1111,"出来高")</f>
        <v>表示銘柄数超過</v>
      </c>
      <c r="W1111" s="21" t="str">
        <f>_xll.RssMarket(A1111,"売買代金")</f>
        <v>表示銘柄数超過</v>
      </c>
      <c r="X1111" s="20" t="str">
        <f>_xll.RssMarket(A1111,"決算発表日")</f>
        <v>表示銘柄数超過</v>
      </c>
      <c r="Y1111" s="26" t="str">
        <f>IF(C1111&gt;_xll.RssMarket(A1111,"年初来高値"),"○","×")</f>
        <v>×</v>
      </c>
      <c r="Z1111" s="27" t="str">
        <f>IF(C1111&lt;=_xll.RssMarket(A1111,"年初来安値"),"○","×")</f>
        <v>○</v>
      </c>
    </row>
    <row r="1112" spans="1:26" x14ac:dyDescent="0.25">
      <c r="A1112" s="47">
        <v>9380</v>
      </c>
      <c r="B1112" s="20" t="str">
        <f>_xll.RssMarket(A1112,"銘柄名称")</f>
        <v>表示銘柄数超過</v>
      </c>
      <c r="C1112" s="21" t="str">
        <f>_xll.RssMarket(A1112,"現在値")</f>
        <v>表示銘柄数超過</v>
      </c>
      <c r="D1112" s="20" t="str">
        <f>_xll.RssMarket(A1112,"現在値詳細時刻")</f>
        <v>表示銘柄数超過</v>
      </c>
      <c r="E1112" s="22" t="str">
        <f>_xll.RssMarket(A1112,"前日比")</f>
        <v>表示銘柄数超過</v>
      </c>
      <c r="F1112" s="23" t="e">
        <f>_xll.RssMarket(A1112,"前日比率")/100</f>
        <v>#VALUE!</v>
      </c>
      <c r="G1112" s="24" t="str">
        <f>IFERROR(VLOOKUP(A1112,取得元!$A$2:$F$501,2,FALSE),"-")</f>
        <v>-</v>
      </c>
      <c r="H1112" s="24" t="str">
        <f>IFERROR(VLOOKUP(A1112,取得元!$A$2:$F$501,3,FALSE),"-")</f>
        <v>-</v>
      </c>
      <c r="I1112" s="24" t="str">
        <f>IFERROR(VLOOKUP(A1112,取得元!$A$2:$F$501,4,FALSE),"-")</f>
        <v>-</v>
      </c>
      <c r="J1112" s="5" t="str">
        <f>IFERROR(VLOOKUP(A1112,取得元!$A$2:$F$501,5,FALSE),"-")</f>
        <v>-</v>
      </c>
      <c r="K1112" s="25" t="str">
        <f>IFERROR(VLOOKUP(A1112,取得元!$A$2:$F$501,6,FALSE)/100,"-")</f>
        <v>-</v>
      </c>
      <c r="L1112" s="21" t="str">
        <f>_xll.RssMarket(A1112,"始値")</f>
        <v>表示銘柄数超過</v>
      </c>
      <c r="M1112" s="4" t="e">
        <f t="shared" si="100"/>
        <v>#VALUE!</v>
      </c>
      <c r="N1112" s="21" t="str">
        <f>_xll.RssMarket(A1112,"高値")</f>
        <v>表示銘柄数超過</v>
      </c>
      <c r="O1112" s="4" t="e">
        <f t="shared" si="101"/>
        <v>#VALUE!</v>
      </c>
      <c r="P1112" s="21" t="str">
        <f>_xll.RssMarket(A1112,"安値")</f>
        <v>表示銘柄数超過</v>
      </c>
      <c r="Q1112" s="4" t="e">
        <f t="shared" si="102"/>
        <v>#VALUE!</v>
      </c>
      <c r="R1112" s="21" t="str">
        <f>_xll.RssMarket(A1112,"後場始値")</f>
        <v>表示銘柄数超過</v>
      </c>
      <c r="S1112" s="25" t="str">
        <f t="shared" si="103"/>
        <v>-</v>
      </c>
      <c r="T1112" s="7" t="str">
        <f>_xll.RssMarket(A1112,"出来高加重平均")</f>
        <v>表示銘柄数超過</v>
      </c>
      <c r="U1112" s="4" t="e">
        <f t="shared" si="104"/>
        <v>#VALUE!</v>
      </c>
      <c r="V1112" s="21" t="str">
        <f>_xll.RssMarket(A1112,"出来高")</f>
        <v>表示銘柄数超過</v>
      </c>
      <c r="W1112" s="21" t="str">
        <f>_xll.RssMarket(A1112,"売買代金")</f>
        <v>表示銘柄数超過</v>
      </c>
      <c r="X1112" s="20" t="str">
        <f>_xll.RssMarket(A1112,"決算発表日")</f>
        <v>表示銘柄数超過</v>
      </c>
      <c r="Y1112" s="26" t="str">
        <f>IF(C1112&gt;_xll.RssMarket(A1112,"年初来高値"),"○","×")</f>
        <v>×</v>
      </c>
      <c r="Z1112" s="27" t="str">
        <f>IF(C1112&lt;=_xll.RssMarket(A1112,"年初来安値"),"○","×")</f>
        <v>○</v>
      </c>
    </row>
    <row r="1113" spans="1:26" x14ac:dyDescent="0.25">
      <c r="A1113" s="49">
        <v>9399</v>
      </c>
      <c r="B1113" s="20" t="str">
        <f>_xll.RssMarket(A1113,"銘柄名称")</f>
        <v>ビートＨＬＤＧＳリミテッド</v>
      </c>
      <c r="C1113" s="21">
        <f>_xll.RssMarket(A1113,"現在値")</f>
        <v>4</v>
      </c>
      <c r="D1113" s="20" t="str">
        <f>_xll.RssMarket(A1113,"現在値詳細時刻")</f>
        <v>15:00:00</v>
      </c>
      <c r="E1113" s="22">
        <f>_xll.RssMarket(A1113,"前日比")</f>
        <v>0</v>
      </c>
      <c r="F1113" s="23">
        <f>_xll.RssMarket(A1113,"前日比率")/100</f>
        <v>0</v>
      </c>
      <c r="G1113" s="24">
        <f>IFERROR(VLOOKUP(A1113,取得元!$A$2:$F$501,2,FALSE),"-")</f>
        <v>1</v>
      </c>
      <c r="H1113" s="24">
        <f>IFERROR(VLOOKUP(A1113,取得元!$A$2:$F$501,3,FALSE),"-")</f>
        <v>72</v>
      </c>
      <c r="I1113" s="24">
        <f>IFERROR(VLOOKUP(A1113,取得元!$A$2:$F$501,4,FALSE),"-")</f>
        <v>4</v>
      </c>
      <c r="J1113" s="5">
        <f>IFERROR(VLOOKUP(A1113,取得元!$A$2:$F$501,5,FALSE),"-")</f>
        <v>-68</v>
      </c>
      <c r="K1113" s="25">
        <f>IFERROR(VLOOKUP(A1113,取得元!$A$2:$F$501,6,FALSE)/100,"-")</f>
        <v>-0.94444444000000005</v>
      </c>
      <c r="L1113" s="21">
        <f>_xll.RssMarket(A1113,"始値")</f>
        <v>4</v>
      </c>
      <c r="M1113" s="4">
        <f t="shared" si="100"/>
        <v>0</v>
      </c>
      <c r="N1113" s="21">
        <f>_xll.RssMarket(A1113,"高値")</f>
        <v>5</v>
      </c>
      <c r="O1113" s="4">
        <f t="shared" si="101"/>
        <v>-0.19999999999999996</v>
      </c>
      <c r="P1113" s="21">
        <f>_xll.RssMarket(A1113,"安値")</f>
        <v>3</v>
      </c>
      <c r="Q1113" s="4">
        <f t="shared" si="102"/>
        <v>0.33333333333333326</v>
      </c>
      <c r="R1113" s="21">
        <f>_xll.RssMarket(A1113,"後場始値")</f>
        <v>4</v>
      </c>
      <c r="S1113" s="25">
        <f t="shared" si="103"/>
        <v>0</v>
      </c>
      <c r="T1113" s="7">
        <f>_xll.RssMarket(A1113,"出来高加重平均")</f>
        <v>4.0338000000000003</v>
      </c>
      <c r="U1113" s="4">
        <f t="shared" si="104"/>
        <v>-8.3791957955278162E-3</v>
      </c>
      <c r="V1113" s="21">
        <f>_xll.RssMarket(A1113,"出来高")</f>
        <v>7057579</v>
      </c>
      <c r="W1113" s="21">
        <f>_xll.RssMarket(A1113,"売買代金")</f>
        <v>28469</v>
      </c>
      <c r="X1113" s="20" t="str">
        <f>_xll.RssMarket(A1113,"決算発表日")</f>
        <v>-</v>
      </c>
      <c r="Y1113" s="26" t="str">
        <f>IF(C1113&gt;_xll.RssMarket(A1113,"年初来高値"),"○","×")</f>
        <v>×</v>
      </c>
      <c r="Z1113" s="27" t="str">
        <f>IF(C1113&lt;=_xll.RssMarket(A1113,"年初来安値"),"○","×")</f>
        <v>×</v>
      </c>
    </row>
    <row r="1114" spans="1:26" x14ac:dyDescent="0.25">
      <c r="A1114" s="47">
        <v>9401</v>
      </c>
      <c r="B1114" s="20" t="str">
        <f>_xll.RssMarket(A1114,"銘柄名称")</f>
        <v>表示銘柄数超過</v>
      </c>
      <c r="C1114" s="21" t="str">
        <f>_xll.RssMarket(A1114,"現在値")</f>
        <v>表示銘柄数超過</v>
      </c>
      <c r="D1114" s="20" t="str">
        <f>_xll.RssMarket(A1114,"現在値詳細時刻")</f>
        <v>表示銘柄数超過</v>
      </c>
      <c r="E1114" s="22" t="str">
        <f>_xll.RssMarket(A1114,"前日比")</f>
        <v>表示銘柄数超過</v>
      </c>
      <c r="F1114" s="23" t="e">
        <f>_xll.RssMarket(A1114,"前日比率")/100</f>
        <v>#VALUE!</v>
      </c>
      <c r="G1114" s="24" t="str">
        <f>IFERROR(VLOOKUP(A1114,取得元!$A$2:$F$501,2,FALSE),"-")</f>
        <v>-</v>
      </c>
      <c r="H1114" s="24" t="str">
        <f>IFERROR(VLOOKUP(A1114,取得元!$A$2:$F$501,3,FALSE),"-")</f>
        <v>-</v>
      </c>
      <c r="I1114" s="24" t="str">
        <f>IFERROR(VLOOKUP(A1114,取得元!$A$2:$F$501,4,FALSE),"-")</f>
        <v>-</v>
      </c>
      <c r="J1114" s="5" t="str">
        <f>IFERROR(VLOOKUP(A1114,取得元!$A$2:$F$501,5,FALSE),"-")</f>
        <v>-</v>
      </c>
      <c r="K1114" s="25" t="str">
        <f>IFERROR(VLOOKUP(A1114,取得元!$A$2:$F$501,6,FALSE)/100,"-")</f>
        <v>-</v>
      </c>
      <c r="L1114" s="21" t="str">
        <f>_xll.RssMarket(A1114,"始値")</f>
        <v>表示銘柄数超過</v>
      </c>
      <c r="M1114" s="4" t="e">
        <f t="shared" si="100"/>
        <v>#VALUE!</v>
      </c>
      <c r="N1114" s="21" t="str">
        <f>_xll.RssMarket(A1114,"高値")</f>
        <v>表示銘柄数超過</v>
      </c>
      <c r="O1114" s="4" t="e">
        <f t="shared" si="101"/>
        <v>#VALUE!</v>
      </c>
      <c r="P1114" s="21" t="str">
        <f>_xll.RssMarket(A1114,"安値")</f>
        <v>表示銘柄数超過</v>
      </c>
      <c r="Q1114" s="4" t="e">
        <f t="shared" si="102"/>
        <v>#VALUE!</v>
      </c>
      <c r="R1114" s="21" t="str">
        <f>_xll.RssMarket(A1114,"後場始値")</f>
        <v>表示銘柄数超過</v>
      </c>
      <c r="S1114" s="25" t="str">
        <f t="shared" si="103"/>
        <v>-</v>
      </c>
      <c r="T1114" s="7" t="str">
        <f>_xll.RssMarket(A1114,"出来高加重平均")</f>
        <v>表示銘柄数超過</v>
      </c>
      <c r="U1114" s="4" t="e">
        <f t="shared" si="104"/>
        <v>#VALUE!</v>
      </c>
      <c r="V1114" s="21" t="str">
        <f>_xll.RssMarket(A1114,"出来高")</f>
        <v>表示銘柄数超過</v>
      </c>
      <c r="W1114" s="21" t="str">
        <f>_xll.RssMarket(A1114,"売買代金")</f>
        <v>表示銘柄数超過</v>
      </c>
      <c r="X1114" s="20" t="str">
        <f>_xll.RssMarket(A1114,"決算発表日")</f>
        <v>表示銘柄数超過</v>
      </c>
      <c r="Y1114" s="26" t="str">
        <f>IF(C1114&gt;_xll.RssMarket(A1114,"年初来高値"),"○","×")</f>
        <v>×</v>
      </c>
      <c r="Z1114" s="27" t="str">
        <f>IF(C1114&lt;=_xll.RssMarket(A1114,"年初来安値"),"○","×")</f>
        <v>○</v>
      </c>
    </row>
    <row r="1115" spans="1:26" x14ac:dyDescent="0.25">
      <c r="A1115" s="49">
        <v>9404</v>
      </c>
      <c r="B1115" s="20" t="str">
        <f>_xll.RssMarket(A1115,"銘柄名称")</f>
        <v>表示銘柄数超過</v>
      </c>
      <c r="C1115" s="21" t="str">
        <f>_xll.RssMarket(A1115,"現在値")</f>
        <v>表示銘柄数超過</v>
      </c>
      <c r="D1115" s="20" t="str">
        <f>_xll.RssMarket(A1115,"現在値詳細時刻")</f>
        <v>表示銘柄数超過</v>
      </c>
      <c r="E1115" s="22" t="str">
        <f>_xll.RssMarket(A1115,"前日比")</f>
        <v>表示銘柄数超過</v>
      </c>
      <c r="F1115" s="23" t="e">
        <f>_xll.RssMarket(A1115,"前日比率")/100</f>
        <v>#VALUE!</v>
      </c>
      <c r="G1115" s="24" t="str">
        <f>IFERROR(VLOOKUP(A1115,取得元!$A$2:$F$501,2,FALSE),"-")</f>
        <v>-</v>
      </c>
      <c r="H1115" s="24" t="str">
        <f>IFERROR(VLOOKUP(A1115,取得元!$A$2:$F$501,3,FALSE),"-")</f>
        <v>-</v>
      </c>
      <c r="I1115" s="24" t="str">
        <f>IFERROR(VLOOKUP(A1115,取得元!$A$2:$F$501,4,FALSE),"-")</f>
        <v>-</v>
      </c>
      <c r="J1115" s="5" t="str">
        <f>IFERROR(VLOOKUP(A1115,取得元!$A$2:$F$501,5,FALSE),"-")</f>
        <v>-</v>
      </c>
      <c r="K1115" s="25" t="str">
        <f>IFERROR(VLOOKUP(A1115,取得元!$A$2:$F$501,6,FALSE)/100,"-")</f>
        <v>-</v>
      </c>
      <c r="L1115" s="21" t="str">
        <f>_xll.RssMarket(A1115,"始値")</f>
        <v>表示銘柄数超過</v>
      </c>
      <c r="M1115" s="4" t="e">
        <f t="shared" si="100"/>
        <v>#VALUE!</v>
      </c>
      <c r="N1115" s="21" t="str">
        <f>_xll.RssMarket(A1115,"高値")</f>
        <v>表示銘柄数超過</v>
      </c>
      <c r="O1115" s="4" t="e">
        <f t="shared" si="101"/>
        <v>#VALUE!</v>
      </c>
      <c r="P1115" s="21" t="str">
        <f>_xll.RssMarket(A1115,"安値")</f>
        <v>表示銘柄数超過</v>
      </c>
      <c r="Q1115" s="4" t="e">
        <f t="shared" si="102"/>
        <v>#VALUE!</v>
      </c>
      <c r="R1115" s="21" t="str">
        <f>_xll.RssMarket(A1115,"後場始値")</f>
        <v>表示銘柄数超過</v>
      </c>
      <c r="S1115" s="25" t="str">
        <f t="shared" si="103"/>
        <v>-</v>
      </c>
      <c r="T1115" s="7" t="str">
        <f>_xll.RssMarket(A1115,"出来高加重平均")</f>
        <v>表示銘柄数超過</v>
      </c>
      <c r="U1115" s="4" t="e">
        <f t="shared" si="104"/>
        <v>#VALUE!</v>
      </c>
      <c r="V1115" s="21" t="str">
        <f>_xll.RssMarket(A1115,"出来高")</f>
        <v>表示銘柄数超過</v>
      </c>
      <c r="W1115" s="21" t="str">
        <f>_xll.RssMarket(A1115,"売買代金")</f>
        <v>表示銘柄数超過</v>
      </c>
      <c r="X1115" s="20" t="str">
        <f>_xll.RssMarket(A1115,"決算発表日")</f>
        <v>表示銘柄数超過</v>
      </c>
      <c r="Y1115" s="26" t="str">
        <f>IF(C1115&gt;_xll.RssMarket(A1115,"年初来高値"),"○","×")</f>
        <v>×</v>
      </c>
      <c r="Z1115" s="27" t="str">
        <f>IF(C1115&lt;=_xll.RssMarket(A1115,"年初来安値"),"○","×")</f>
        <v>○</v>
      </c>
    </row>
    <row r="1116" spans="1:26" x14ac:dyDescent="0.25">
      <c r="A1116" s="47">
        <v>9405</v>
      </c>
      <c r="B1116" s="20" t="str">
        <f>_xll.RssMarket(A1116,"銘柄名称")</f>
        <v>表示銘柄数超過</v>
      </c>
      <c r="C1116" s="21" t="str">
        <f>_xll.RssMarket(A1116,"現在値")</f>
        <v>表示銘柄数超過</v>
      </c>
      <c r="D1116" s="20" t="str">
        <f>_xll.RssMarket(A1116,"現在値詳細時刻")</f>
        <v>表示銘柄数超過</v>
      </c>
      <c r="E1116" s="22" t="str">
        <f>_xll.RssMarket(A1116,"前日比")</f>
        <v>表示銘柄数超過</v>
      </c>
      <c r="F1116" s="23" t="e">
        <f>_xll.RssMarket(A1116,"前日比率")/100</f>
        <v>#VALUE!</v>
      </c>
      <c r="G1116" s="24" t="str">
        <f>IFERROR(VLOOKUP(A1116,取得元!$A$2:$F$501,2,FALSE),"-")</f>
        <v>-</v>
      </c>
      <c r="H1116" s="24" t="str">
        <f>IFERROR(VLOOKUP(A1116,取得元!$A$2:$F$501,3,FALSE),"-")</f>
        <v>-</v>
      </c>
      <c r="I1116" s="24" t="str">
        <f>IFERROR(VLOOKUP(A1116,取得元!$A$2:$F$501,4,FALSE),"-")</f>
        <v>-</v>
      </c>
      <c r="J1116" s="5" t="str">
        <f>IFERROR(VLOOKUP(A1116,取得元!$A$2:$F$501,5,FALSE),"-")</f>
        <v>-</v>
      </c>
      <c r="K1116" s="25" t="str">
        <f>IFERROR(VLOOKUP(A1116,取得元!$A$2:$F$501,6,FALSE)/100,"-")</f>
        <v>-</v>
      </c>
      <c r="L1116" s="21" t="str">
        <f>_xll.RssMarket(A1116,"始値")</f>
        <v>表示銘柄数超過</v>
      </c>
      <c r="M1116" s="4" t="e">
        <f t="shared" si="100"/>
        <v>#VALUE!</v>
      </c>
      <c r="N1116" s="21" t="str">
        <f>_xll.RssMarket(A1116,"高値")</f>
        <v>表示銘柄数超過</v>
      </c>
      <c r="O1116" s="4" t="e">
        <f t="shared" si="101"/>
        <v>#VALUE!</v>
      </c>
      <c r="P1116" s="21" t="str">
        <f>_xll.RssMarket(A1116,"安値")</f>
        <v>表示銘柄数超過</v>
      </c>
      <c r="Q1116" s="4" t="e">
        <f t="shared" si="102"/>
        <v>#VALUE!</v>
      </c>
      <c r="R1116" s="21" t="str">
        <f>_xll.RssMarket(A1116,"後場始値")</f>
        <v>表示銘柄数超過</v>
      </c>
      <c r="S1116" s="25" t="str">
        <f t="shared" si="103"/>
        <v>-</v>
      </c>
      <c r="T1116" s="7" t="str">
        <f>_xll.RssMarket(A1116,"出来高加重平均")</f>
        <v>表示銘柄数超過</v>
      </c>
      <c r="U1116" s="4" t="e">
        <f t="shared" si="104"/>
        <v>#VALUE!</v>
      </c>
      <c r="V1116" s="21" t="str">
        <f>_xll.RssMarket(A1116,"出来高")</f>
        <v>表示銘柄数超過</v>
      </c>
      <c r="W1116" s="21" t="str">
        <f>_xll.RssMarket(A1116,"売買代金")</f>
        <v>表示銘柄数超過</v>
      </c>
      <c r="X1116" s="20" t="str">
        <f>_xll.RssMarket(A1116,"決算発表日")</f>
        <v>表示銘柄数超過</v>
      </c>
      <c r="Y1116" s="26" t="str">
        <f>IF(C1116&gt;_xll.RssMarket(A1116,"年初来高値"),"○","×")</f>
        <v>×</v>
      </c>
      <c r="Z1116" s="27" t="str">
        <f>IF(C1116&lt;=_xll.RssMarket(A1116,"年初来安値"),"○","×")</f>
        <v>○</v>
      </c>
    </row>
    <row r="1117" spans="1:26" x14ac:dyDescent="0.25">
      <c r="A1117" s="49">
        <v>9409</v>
      </c>
      <c r="B1117" s="20" t="str">
        <f>_xll.RssMarket(A1117,"銘柄名称")</f>
        <v>表示銘柄数超過</v>
      </c>
      <c r="C1117" s="21" t="str">
        <f>_xll.RssMarket(A1117,"現在値")</f>
        <v>表示銘柄数超過</v>
      </c>
      <c r="D1117" s="20" t="str">
        <f>_xll.RssMarket(A1117,"現在値詳細時刻")</f>
        <v>表示銘柄数超過</v>
      </c>
      <c r="E1117" s="22" t="str">
        <f>_xll.RssMarket(A1117,"前日比")</f>
        <v>表示銘柄数超過</v>
      </c>
      <c r="F1117" s="23" t="e">
        <f>_xll.RssMarket(A1117,"前日比率")/100</f>
        <v>#VALUE!</v>
      </c>
      <c r="G1117" s="24" t="str">
        <f>IFERROR(VLOOKUP(A1117,取得元!$A$2:$F$501,2,FALSE),"-")</f>
        <v>-</v>
      </c>
      <c r="H1117" s="24" t="str">
        <f>IFERROR(VLOOKUP(A1117,取得元!$A$2:$F$501,3,FALSE),"-")</f>
        <v>-</v>
      </c>
      <c r="I1117" s="24" t="str">
        <f>IFERROR(VLOOKUP(A1117,取得元!$A$2:$F$501,4,FALSE),"-")</f>
        <v>-</v>
      </c>
      <c r="J1117" s="5" t="str">
        <f>IFERROR(VLOOKUP(A1117,取得元!$A$2:$F$501,5,FALSE),"-")</f>
        <v>-</v>
      </c>
      <c r="K1117" s="25" t="str">
        <f>IFERROR(VLOOKUP(A1117,取得元!$A$2:$F$501,6,FALSE)/100,"-")</f>
        <v>-</v>
      </c>
      <c r="L1117" s="21" t="str">
        <f>_xll.RssMarket(A1117,"始値")</f>
        <v>表示銘柄数超過</v>
      </c>
      <c r="M1117" s="4" t="e">
        <f t="shared" si="100"/>
        <v>#VALUE!</v>
      </c>
      <c r="N1117" s="21" t="str">
        <f>_xll.RssMarket(A1117,"高値")</f>
        <v>表示銘柄数超過</v>
      </c>
      <c r="O1117" s="4" t="e">
        <f t="shared" si="101"/>
        <v>#VALUE!</v>
      </c>
      <c r="P1117" s="21" t="str">
        <f>_xll.RssMarket(A1117,"安値")</f>
        <v>表示銘柄数超過</v>
      </c>
      <c r="Q1117" s="4" t="e">
        <f t="shared" si="102"/>
        <v>#VALUE!</v>
      </c>
      <c r="R1117" s="21" t="str">
        <f>_xll.RssMarket(A1117,"後場始値")</f>
        <v>表示銘柄数超過</v>
      </c>
      <c r="S1117" s="25" t="str">
        <f t="shared" si="103"/>
        <v>-</v>
      </c>
      <c r="T1117" s="7" t="str">
        <f>_xll.RssMarket(A1117,"出来高加重平均")</f>
        <v>表示銘柄数超過</v>
      </c>
      <c r="U1117" s="4" t="e">
        <f t="shared" si="104"/>
        <v>#VALUE!</v>
      </c>
      <c r="V1117" s="21" t="str">
        <f>_xll.RssMarket(A1117,"出来高")</f>
        <v>表示銘柄数超過</v>
      </c>
      <c r="W1117" s="21" t="str">
        <f>_xll.RssMarket(A1117,"売買代金")</f>
        <v>表示銘柄数超過</v>
      </c>
      <c r="X1117" s="20" t="str">
        <f>_xll.RssMarket(A1117,"決算発表日")</f>
        <v>表示銘柄数超過</v>
      </c>
      <c r="Y1117" s="26" t="str">
        <f>IF(C1117&gt;_xll.RssMarket(A1117,"年初来高値"),"○","×")</f>
        <v>×</v>
      </c>
      <c r="Z1117" s="27" t="str">
        <f>IF(C1117&lt;=_xll.RssMarket(A1117,"年初来安値"),"○","×")</f>
        <v>○</v>
      </c>
    </row>
    <row r="1118" spans="1:26" x14ac:dyDescent="0.25">
      <c r="A1118" s="47">
        <v>9412</v>
      </c>
      <c r="B1118" s="20" t="str">
        <f>_xll.RssMarket(A1118,"銘柄名称")</f>
        <v>表示銘柄数超過</v>
      </c>
      <c r="C1118" s="21" t="str">
        <f>_xll.RssMarket(A1118,"現在値")</f>
        <v>表示銘柄数超過</v>
      </c>
      <c r="D1118" s="20" t="str">
        <f>_xll.RssMarket(A1118,"現在値詳細時刻")</f>
        <v>表示銘柄数超過</v>
      </c>
      <c r="E1118" s="22" t="str">
        <f>_xll.RssMarket(A1118,"前日比")</f>
        <v>表示銘柄数超過</v>
      </c>
      <c r="F1118" s="23" t="e">
        <f>_xll.RssMarket(A1118,"前日比率")/100</f>
        <v>#VALUE!</v>
      </c>
      <c r="G1118" s="24" t="str">
        <f>IFERROR(VLOOKUP(A1118,取得元!$A$2:$F$501,2,FALSE),"-")</f>
        <v>-</v>
      </c>
      <c r="H1118" s="24" t="str">
        <f>IFERROR(VLOOKUP(A1118,取得元!$A$2:$F$501,3,FALSE),"-")</f>
        <v>-</v>
      </c>
      <c r="I1118" s="24" t="str">
        <f>IFERROR(VLOOKUP(A1118,取得元!$A$2:$F$501,4,FALSE),"-")</f>
        <v>-</v>
      </c>
      <c r="J1118" s="5" t="str">
        <f>IFERROR(VLOOKUP(A1118,取得元!$A$2:$F$501,5,FALSE),"-")</f>
        <v>-</v>
      </c>
      <c r="K1118" s="25" t="str">
        <f>IFERROR(VLOOKUP(A1118,取得元!$A$2:$F$501,6,FALSE)/100,"-")</f>
        <v>-</v>
      </c>
      <c r="L1118" s="21" t="str">
        <f>_xll.RssMarket(A1118,"始値")</f>
        <v>表示銘柄数超過</v>
      </c>
      <c r="M1118" s="4" t="e">
        <f t="shared" si="100"/>
        <v>#VALUE!</v>
      </c>
      <c r="N1118" s="21" t="str">
        <f>_xll.RssMarket(A1118,"高値")</f>
        <v>表示銘柄数超過</v>
      </c>
      <c r="O1118" s="4" t="e">
        <f t="shared" si="101"/>
        <v>#VALUE!</v>
      </c>
      <c r="P1118" s="21" t="str">
        <f>_xll.RssMarket(A1118,"安値")</f>
        <v>表示銘柄数超過</v>
      </c>
      <c r="Q1118" s="4" t="e">
        <f t="shared" si="102"/>
        <v>#VALUE!</v>
      </c>
      <c r="R1118" s="21" t="str">
        <f>_xll.RssMarket(A1118,"後場始値")</f>
        <v>表示銘柄数超過</v>
      </c>
      <c r="S1118" s="25" t="str">
        <f t="shared" si="103"/>
        <v>-</v>
      </c>
      <c r="T1118" s="7" t="str">
        <f>_xll.RssMarket(A1118,"出来高加重平均")</f>
        <v>表示銘柄数超過</v>
      </c>
      <c r="U1118" s="4" t="e">
        <f t="shared" si="104"/>
        <v>#VALUE!</v>
      </c>
      <c r="V1118" s="21" t="str">
        <f>_xll.RssMarket(A1118,"出来高")</f>
        <v>表示銘柄数超過</v>
      </c>
      <c r="W1118" s="21" t="str">
        <f>_xll.RssMarket(A1118,"売買代金")</f>
        <v>表示銘柄数超過</v>
      </c>
      <c r="X1118" s="20" t="str">
        <f>_xll.RssMarket(A1118,"決算発表日")</f>
        <v>表示銘柄数超過</v>
      </c>
      <c r="Y1118" s="26" t="str">
        <f>IF(C1118&gt;_xll.RssMarket(A1118,"年初来高値"),"○","×")</f>
        <v>×</v>
      </c>
      <c r="Z1118" s="27" t="str">
        <f>IF(C1118&lt;=_xll.RssMarket(A1118,"年初来安値"),"○","×")</f>
        <v>○</v>
      </c>
    </row>
    <row r="1119" spans="1:26" x14ac:dyDescent="0.25">
      <c r="A1119" s="49">
        <v>9413</v>
      </c>
      <c r="B1119" s="20" t="str">
        <f>_xll.RssMarket(A1119,"銘柄名称")</f>
        <v>表示銘柄数超過</v>
      </c>
      <c r="C1119" s="21" t="str">
        <f>_xll.RssMarket(A1119,"現在値")</f>
        <v>表示銘柄数超過</v>
      </c>
      <c r="D1119" s="20" t="str">
        <f>_xll.RssMarket(A1119,"現在値詳細時刻")</f>
        <v>表示銘柄数超過</v>
      </c>
      <c r="E1119" s="22" t="str">
        <f>_xll.RssMarket(A1119,"前日比")</f>
        <v>表示銘柄数超過</v>
      </c>
      <c r="F1119" s="23" t="e">
        <f>_xll.RssMarket(A1119,"前日比率")/100</f>
        <v>#VALUE!</v>
      </c>
      <c r="G1119" s="24" t="str">
        <f>IFERROR(VLOOKUP(A1119,取得元!$A$2:$F$501,2,FALSE),"-")</f>
        <v>-</v>
      </c>
      <c r="H1119" s="24" t="str">
        <f>IFERROR(VLOOKUP(A1119,取得元!$A$2:$F$501,3,FALSE),"-")</f>
        <v>-</v>
      </c>
      <c r="I1119" s="24" t="str">
        <f>IFERROR(VLOOKUP(A1119,取得元!$A$2:$F$501,4,FALSE),"-")</f>
        <v>-</v>
      </c>
      <c r="J1119" s="5" t="str">
        <f>IFERROR(VLOOKUP(A1119,取得元!$A$2:$F$501,5,FALSE),"-")</f>
        <v>-</v>
      </c>
      <c r="K1119" s="25" t="str">
        <f>IFERROR(VLOOKUP(A1119,取得元!$A$2:$F$501,6,FALSE)/100,"-")</f>
        <v>-</v>
      </c>
      <c r="L1119" s="21" t="str">
        <f>_xll.RssMarket(A1119,"始値")</f>
        <v>表示銘柄数超過</v>
      </c>
      <c r="M1119" s="4" t="e">
        <f t="shared" si="100"/>
        <v>#VALUE!</v>
      </c>
      <c r="N1119" s="21" t="str">
        <f>_xll.RssMarket(A1119,"高値")</f>
        <v>表示銘柄数超過</v>
      </c>
      <c r="O1119" s="4" t="e">
        <f t="shared" si="101"/>
        <v>#VALUE!</v>
      </c>
      <c r="P1119" s="21" t="str">
        <f>_xll.RssMarket(A1119,"安値")</f>
        <v>表示銘柄数超過</v>
      </c>
      <c r="Q1119" s="4" t="e">
        <f t="shared" si="102"/>
        <v>#VALUE!</v>
      </c>
      <c r="R1119" s="21" t="str">
        <f>_xll.RssMarket(A1119,"後場始値")</f>
        <v>表示銘柄数超過</v>
      </c>
      <c r="S1119" s="25" t="str">
        <f t="shared" si="103"/>
        <v>-</v>
      </c>
      <c r="T1119" s="7" t="str">
        <f>_xll.RssMarket(A1119,"出来高加重平均")</f>
        <v>表示銘柄数超過</v>
      </c>
      <c r="U1119" s="4" t="e">
        <f t="shared" si="104"/>
        <v>#VALUE!</v>
      </c>
      <c r="V1119" s="21" t="str">
        <f>_xll.RssMarket(A1119,"出来高")</f>
        <v>表示銘柄数超過</v>
      </c>
      <c r="W1119" s="21" t="str">
        <f>_xll.RssMarket(A1119,"売買代金")</f>
        <v>表示銘柄数超過</v>
      </c>
      <c r="X1119" s="20" t="str">
        <f>_xll.RssMarket(A1119,"決算発表日")</f>
        <v>表示銘柄数超過</v>
      </c>
      <c r="Y1119" s="26" t="str">
        <f>IF(C1119&gt;_xll.RssMarket(A1119,"年初来高値"),"○","×")</f>
        <v>×</v>
      </c>
      <c r="Z1119" s="27" t="str">
        <f>IF(C1119&lt;=_xll.RssMarket(A1119,"年初来安値"),"○","×")</f>
        <v>○</v>
      </c>
    </row>
    <row r="1120" spans="1:26" x14ac:dyDescent="0.25">
      <c r="A1120" s="47">
        <v>9414</v>
      </c>
      <c r="B1120" s="20" t="str">
        <f>_xll.RssMarket(A1120,"銘柄名称")</f>
        <v>表示銘柄数超過</v>
      </c>
      <c r="C1120" s="21" t="str">
        <f>_xll.RssMarket(A1120,"現在値")</f>
        <v>表示銘柄数超過</v>
      </c>
      <c r="D1120" s="20" t="str">
        <f>_xll.RssMarket(A1120,"現在値詳細時刻")</f>
        <v>表示銘柄数超過</v>
      </c>
      <c r="E1120" s="22" t="str">
        <f>_xll.RssMarket(A1120,"前日比")</f>
        <v>表示銘柄数超過</v>
      </c>
      <c r="F1120" s="23" t="e">
        <f>_xll.RssMarket(A1120,"前日比率")/100</f>
        <v>#VALUE!</v>
      </c>
      <c r="G1120" s="24" t="str">
        <f>IFERROR(VLOOKUP(A1120,取得元!$A$2:$F$501,2,FALSE),"-")</f>
        <v>-</v>
      </c>
      <c r="H1120" s="24" t="str">
        <f>IFERROR(VLOOKUP(A1120,取得元!$A$2:$F$501,3,FALSE),"-")</f>
        <v>-</v>
      </c>
      <c r="I1120" s="24" t="str">
        <f>IFERROR(VLOOKUP(A1120,取得元!$A$2:$F$501,4,FALSE),"-")</f>
        <v>-</v>
      </c>
      <c r="J1120" s="5" t="str">
        <f>IFERROR(VLOOKUP(A1120,取得元!$A$2:$F$501,5,FALSE),"-")</f>
        <v>-</v>
      </c>
      <c r="K1120" s="25" t="str">
        <f>IFERROR(VLOOKUP(A1120,取得元!$A$2:$F$501,6,FALSE)/100,"-")</f>
        <v>-</v>
      </c>
      <c r="L1120" s="21" t="str">
        <f>_xll.RssMarket(A1120,"始値")</f>
        <v>表示銘柄数超過</v>
      </c>
      <c r="M1120" s="4" t="e">
        <f t="shared" si="100"/>
        <v>#VALUE!</v>
      </c>
      <c r="N1120" s="21" t="str">
        <f>_xll.RssMarket(A1120,"高値")</f>
        <v>表示銘柄数超過</v>
      </c>
      <c r="O1120" s="4" t="e">
        <f t="shared" si="101"/>
        <v>#VALUE!</v>
      </c>
      <c r="P1120" s="21" t="str">
        <f>_xll.RssMarket(A1120,"安値")</f>
        <v>表示銘柄数超過</v>
      </c>
      <c r="Q1120" s="4" t="e">
        <f t="shared" si="102"/>
        <v>#VALUE!</v>
      </c>
      <c r="R1120" s="21" t="str">
        <f>_xll.RssMarket(A1120,"後場始値")</f>
        <v>表示銘柄数超過</v>
      </c>
      <c r="S1120" s="25" t="str">
        <f t="shared" si="103"/>
        <v>-</v>
      </c>
      <c r="T1120" s="7" t="str">
        <f>_xll.RssMarket(A1120,"出来高加重平均")</f>
        <v>表示銘柄数超過</v>
      </c>
      <c r="U1120" s="4" t="e">
        <f t="shared" si="104"/>
        <v>#VALUE!</v>
      </c>
      <c r="V1120" s="21" t="str">
        <f>_xll.RssMarket(A1120,"出来高")</f>
        <v>表示銘柄数超過</v>
      </c>
      <c r="W1120" s="21" t="str">
        <f>_xll.RssMarket(A1120,"売買代金")</f>
        <v>表示銘柄数超過</v>
      </c>
      <c r="X1120" s="20" t="str">
        <f>_xll.RssMarket(A1120,"決算発表日")</f>
        <v>表示銘柄数超過</v>
      </c>
      <c r="Y1120" s="26" t="str">
        <f>IF(C1120&gt;_xll.RssMarket(A1120,"年初来高値"),"○","×")</f>
        <v>×</v>
      </c>
      <c r="Z1120" s="27" t="str">
        <f>IF(C1120&lt;=_xll.RssMarket(A1120,"年初来安値"),"○","×")</f>
        <v>○</v>
      </c>
    </row>
    <row r="1121" spans="1:26" x14ac:dyDescent="0.25">
      <c r="A1121" s="49">
        <v>9417</v>
      </c>
      <c r="B1121" s="20" t="str">
        <f>_xll.RssMarket(A1121,"銘柄名称")</f>
        <v>表示銘柄数超過</v>
      </c>
      <c r="C1121" s="21" t="str">
        <f>_xll.RssMarket(A1121,"現在値")</f>
        <v>表示銘柄数超過</v>
      </c>
      <c r="D1121" s="20" t="str">
        <f>_xll.RssMarket(A1121,"現在値詳細時刻")</f>
        <v>表示銘柄数超過</v>
      </c>
      <c r="E1121" s="22" t="str">
        <f>_xll.RssMarket(A1121,"前日比")</f>
        <v>表示銘柄数超過</v>
      </c>
      <c r="F1121" s="23" t="e">
        <f>_xll.RssMarket(A1121,"前日比率")/100</f>
        <v>#VALUE!</v>
      </c>
      <c r="G1121" s="24" t="str">
        <f>IFERROR(VLOOKUP(A1121,取得元!$A$2:$F$501,2,FALSE),"-")</f>
        <v>-</v>
      </c>
      <c r="H1121" s="24" t="str">
        <f>IFERROR(VLOOKUP(A1121,取得元!$A$2:$F$501,3,FALSE),"-")</f>
        <v>-</v>
      </c>
      <c r="I1121" s="24" t="str">
        <f>IFERROR(VLOOKUP(A1121,取得元!$A$2:$F$501,4,FALSE),"-")</f>
        <v>-</v>
      </c>
      <c r="J1121" s="5" t="str">
        <f>IFERROR(VLOOKUP(A1121,取得元!$A$2:$F$501,5,FALSE),"-")</f>
        <v>-</v>
      </c>
      <c r="K1121" s="25" t="str">
        <f>IFERROR(VLOOKUP(A1121,取得元!$A$2:$F$501,6,FALSE)/100,"-")</f>
        <v>-</v>
      </c>
      <c r="L1121" s="21" t="str">
        <f>_xll.RssMarket(A1121,"始値")</f>
        <v>表示銘柄数超過</v>
      </c>
      <c r="M1121" s="4" t="e">
        <f t="shared" si="100"/>
        <v>#VALUE!</v>
      </c>
      <c r="N1121" s="21" t="str">
        <f>_xll.RssMarket(A1121,"高値")</f>
        <v>表示銘柄数超過</v>
      </c>
      <c r="O1121" s="4" t="e">
        <f t="shared" si="101"/>
        <v>#VALUE!</v>
      </c>
      <c r="P1121" s="21" t="str">
        <f>_xll.RssMarket(A1121,"安値")</f>
        <v>表示銘柄数超過</v>
      </c>
      <c r="Q1121" s="4" t="e">
        <f t="shared" si="102"/>
        <v>#VALUE!</v>
      </c>
      <c r="R1121" s="21" t="str">
        <f>_xll.RssMarket(A1121,"後場始値")</f>
        <v>表示銘柄数超過</v>
      </c>
      <c r="S1121" s="25" t="str">
        <f t="shared" si="103"/>
        <v>-</v>
      </c>
      <c r="T1121" s="7" t="str">
        <f>_xll.RssMarket(A1121,"出来高加重平均")</f>
        <v>表示銘柄数超過</v>
      </c>
      <c r="U1121" s="4" t="e">
        <f t="shared" si="104"/>
        <v>#VALUE!</v>
      </c>
      <c r="V1121" s="21" t="str">
        <f>_xll.RssMarket(A1121,"出来高")</f>
        <v>表示銘柄数超過</v>
      </c>
      <c r="W1121" s="21" t="str">
        <f>_xll.RssMarket(A1121,"売買代金")</f>
        <v>表示銘柄数超過</v>
      </c>
      <c r="X1121" s="20" t="str">
        <f>_xll.RssMarket(A1121,"決算発表日")</f>
        <v>表示銘柄数超過</v>
      </c>
      <c r="Y1121" s="26" t="str">
        <f>IF(C1121&gt;_xll.RssMarket(A1121,"年初来高値"),"○","×")</f>
        <v>×</v>
      </c>
      <c r="Z1121" s="27" t="str">
        <f>IF(C1121&lt;=_xll.RssMarket(A1121,"年初来安値"),"○","×")</f>
        <v>○</v>
      </c>
    </row>
    <row r="1122" spans="1:26" x14ac:dyDescent="0.25">
      <c r="A1122" s="47">
        <v>9419</v>
      </c>
      <c r="B1122" s="20" t="str">
        <f>_xll.RssMarket(A1122,"銘柄名称")</f>
        <v>表示銘柄数超過</v>
      </c>
      <c r="C1122" s="21" t="str">
        <f>_xll.RssMarket(A1122,"現在値")</f>
        <v>表示銘柄数超過</v>
      </c>
      <c r="D1122" s="20" t="str">
        <f>_xll.RssMarket(A1122,"現在値詳細時刻")</f>
        <v>表示銘柄数超過</v>
      </c>
      <c r="E1122" s="22" t="str">
        <f>_xll.RssMarket(A1122,"前日比")</f>
        <v>表示銘柄数超過</v>
      </c>
      <c r="F1122" s="23" t="e">
        <f>_xll.RssMarket(A1122,"前日比率")/100</f>
        <v>#VALUE!</v>
      </c>
      <c r="G1122" s="24" t="str">
        <f>IFERROR(VLOOKUP(A1122,取得元!$A$2:$F$501,2,FALSE),"-")</f>
        <v>-</v>
      </c>
      <c r="H1122" s="24" t="str">
        <f>IFERROR(VLOOKUP(A1122,取得元!$A$2:$F$501,3,FALSE),"-")</f>
        <v>-</v>
      </c>
      <c r="I1122" s="24" t="str">
        <f>IFERROR(VLOOKUP(A1122,取得元!$A$2:$F$501,4,FALSE),"-")</f>
        <v>-</v>
      </c>
      <c r="J1122" s="5" t="str">
        <f>IFERROR(VLOOKUP(A1122,取得元!$A$2:$F$501,5,FALSE),"-")</f>
        <v>-</v>
      </c>
      <c r="K1122" s="25" t="str">
        <f>IFERROR(VLOOKUP(A1122,取得元!$A$2:$F$501,6,FALSE)/100,"-")</f>
        <v>-</v>
      </c>
      <c r="L1122" s="21" t="str">
        <f>_xll.RssMarket(A1122,"始値")</f>
        <v>表示銘柄数超過</v>
      </c>
      <c r="M1122" s="4" t="e">
        <f t="shared" si="100"/>
        <v>#VALUE!</v>
      </c>
      <c r="N1122" s="21" t="str">
        <f>_xll.RssMarket(A1122,"高値")</f>
        <v>表示銘柄数超過</v>
      </c>
      <c r="O1122" s="4" t="e">
        <f t="shared" si="101"/>
        <v>#VALUE!</v>
      </c>
      <c r="P1122" s="21" t="str">
        <f>_xll.RssMarket(A1122,"安値")</f>
        <v>表示銘柄数超過</v>
      </c>
      <c r="Q1122" s="4" t="e">
        <f t="shared" si="102"/>
        <v>#VALUE!</v>
      </c>
      <c r="R1122" s="21" t="str">
        <f>_xll.RssMarket(A1122,"後場始値")</f>
        <v>表示銘柄数超過</v>
      </c>
      <c r="S1122" s="25" t="str">
        <f t="shared" si="103"/>
        <v>-</v>
      </c>
      <c r="T1122" s="7" t="str">
        <f>_xll.RssMarket(A1122,"出来高加重平均")</f>
        <v>表示銘柄数超過</v>
      </c>
      <c r="U1122" s="4" t="e">
        <f t="shared" si="104"/>
        <v>#VALUE!</v>
      </c>
      <c r="V1122" s="21" t="str">
        <f>_xll.RssMarket(A1122,"出来高")</f>
        <v>表示銘柄数超過</v>
      </c>
      <c r="W1122" s="21" t="str">
        <f>_xll.RssMarket(A1122,"売買代金")</f>
        <v>表示銘柄数超過</v>
      </c>
      <c r="X1122" s="20" t="str">
        <f>_xll.RssMarket(A1122,"決算発表日")</f>
        <v>表示銘柄数超過</v>
      </c>
      <c r="Y1122" s="26" t="str">
        <f>IF(C1122&gt;_xll.RssMarket(A1122,"年初来高値"),"○","×")</f>
        <v>×</v>
      </c>
      <c r="Z1122" s="27" t="str">
        <f>IF(C1122&lt;=_xll.RssMarket(A1122,"年初来安値"),"○","×")</f>
        <v>○</v>
      </c>
    </row>
    <row r="1123" spans="1:26" x14ac:dyDescent="0.25">
      <c r="A1123" s="49">
        <v>9421</v>
      </c>
      <c r="B1123" s="20" t="str">
        <f>_xll.RssMarket(A1123,"銘柄名称")</f>
        <v>表示銘柄数超過</v>
      </c>
      <c r="C1123" s="21" t="str">
        <f>_xll.RssMarket(A1123,"現在値")</f>
        <v>表示銘柄数超過</v>
      </c>
      <c r="D1123" s="20" t="str">
        <f>_xll.RssMarket(A1123,"現在値詳細時刻")</f>
        <v>表示銘柄数超過</v>
      </c>
      <c r="E1123" s="22" t="str">
        <f>_xll.RssMarket(A1123,"前日比")</f>
        <v>表示銘柄数超過</v>
      </c>
      <c r="F1123" s="23" t="e">
        <f>_xll.RssMarket(A1123,"前日比率")/100</f>
        <v>#VALUE!</v>
      </c>
      <c r="G1123" s="24" t="str">
        <f>IFERROR(VLOOKUP(A1123,取得元!$A$2:$F$501,2,FALSE),"-")</f>
        <v>-</v>
      </c>
      <c r="H1123" s="24" t="str">
        <f>IFERROR(VLOOKUP(A1123,取得元!$A$2:$F$501,3,FALSE),"-")</f>
        <v>-</v>
      </c>
      <c r="I1123" s="24" t="str">
        <f>IFERROR(VLOOKUP(A1123,取得元!$A$2:$F$501,4,FALSE),"-")</f>
        <v>-</v>
      </c>
      <c r="J1123" s="5" t="str">
        <f>IFERROR(VLOOKUP(A1123,取得元!$A$2:$F$501,5,FALSE),"-")</f>
        <v>-</v>
      </c>
      <c r="K1123" s="25" t="str">
        <f>IFERROR(VLOOKUP(A1123,取得元!$A$2:$F$501,6,FALSE)/100,"-")</f>
        <v>-</v>
      </c>
      <c r="L1123" s="21" t="str">
        <f>_xll.RssMarket(A1123,"始値")</f>
        <v>表示銘柄数超過</v>
      </c>
      <c r="M1123" s="4" t="e">
        <f t="shared" si="100"/>
        <v>#VALUE!</v>
      </c>
      <c r="N1123" s="21" t="str">
        <f>_xll.RssMarket(A1123,"高値")</f>
        <v>表示銘柄数超過</v>
      </c>
      <c r="O1123" s="4" t="e">
        <f t="shared" si="101"/>
        <v>#VALUE!</v>
      </c>
      <c r="P1123" s="21" t="str">
        <f>_xll.RssMarket(A1123,"安値")</f>
        <v>表示銘柄数超過</v>
      </c>
      <c r="Q1123" s="4" t="e">
        <f t="shared" si="102"/>
        <v>#VALUE!</v>
      </c>
      <c r="R1123" s="21" t="str">
        <f>_xll.RssMarket(A1123,"後場始値")</f>
        <v>表示銘柄数超過</v>
      </c>
      <c r="S1123" s="25" t="str">
        <f t="shared" si="103"/>
        <v>-</v>
      </c>
      <c r="T1123" s="7" t="str">
        <f>_xll.RssMarket(A1123,"出来高加重平均")</f>
        <v>表示銘柄数超過</v>
      </c>
      <c r="U1123" s="4" t="e">
        <f t="shared" si="104"/>
        <v>#VALUE!</v>
      </c>
      <c r="V1123" s="21" t="str">
        <f>_xll.RssMarket(A1123,"出来高")</f>
        <v>表示銘柄数超過</v>
      </c>
      <c r="W1123" s="21" t="str">
        <f>_xll.RssMarket(A1123,"売買代金")</f>
        <v>表示銘柄数超過</v>
      </c>
      <c r="X1123" s="20" t="str">
        <f>_xll.RssMarket(A1123,"決算発表日")</f>
        <v>表示銘柄数超過</v>
      </c>
      <c r="Y1123" s="26" t="str">
        <f>IF(C1123&gt;_xll.RssMarket(A1123,"年初来高値"),"○","×")</f>
        <v>×</v>
      </c>
      <c r="Z1123" s="27" t="str">
        <f>IF(C1123&lt;=_xll.RssMarket(A1123,"年初来安値"),"○","×")</f>
        <v>○</v>
      </c>
    </row>
    <row r="1124" spans="1:26" x14ac:dyDescent="0.25">
      <c r="A1124" s="47">
        <v>9423</v>
      </c>
      <c r="B1124" s="20" t="str">
        <f>_xll.RssMarket(A1124,"銘柄名称")</f>
        <v>表示銘柄数超過</v>
      </c>
      <c r="C1124" s="21" t="str">
        <f>_xll.RssMarket(A1124,"現在値")</f>
        <v>表示銘柄数超過</v>
      </c>
      <c r="D1124" s="20" t="str">
        <f>_xll.RssMarket(A1124,"現在値詳細時刻")</f>
        <v>表示銘柄数超過</v>
      </c>
      <c r="E1124" s="22" t="str">
        <f>_xll.RssMarket(A1124,"前日比")</f>
        <v>表示銘柄数超過</v>
      </c>
      <c r="F1124" s="23" t="e">
        <f>_xll.RssMarket(A1124,"前日比率")/100</f>
        <v>#VALUE!</v>
      </c>
      <c r="G1124" s="24" t="str">
        <f>IFERROR(VLOOKUP(A1124,取得元!$A$2:$F$501,2,FALSE),"-")</f>
        <v>-</v>
      </c>
      <c r="H1124" s="24" t="str">
        <f>IFERROR(VLOOKUP(A1124,取得元!$A$2:$F$501,3,FALSE),"-")</f>
        <v>-</v>
      </c>
      <c r="I1124" s="24" t="str">
        <f>IFERROR(VLOOKUP(A1124,取得元!$A$2:$F$501,4,FALSE),"-")</f>
        <v>-</v>
      </c>
      <c r="J1124" s="5" t="str">
        <f>IFERROR(VLOOKUP(A1124,取得元!$A$2:$F$501,5,FALSE),"-")</f>
        <v>-</v>
      </c>
      <c r="K1124" s="25" t="str">
        <f>IFERROR(VLOOKUP(A1124,取得元!$A$2:$F$501,6,FALSE)/100,"-")</f>
        <v>-</v>
      </c>
      <c r="L1124" s="21" t="str">
        <f>_xll.RssMarket(A1124,"始値")</f>
        <v>表示銘柄数超過</v>
      </c>
      <c r="M1124" s="4" t="e">
        <f t="shared" si="100"/>
        <v>#VALUE!</v>
      </c>
      <c r="N1124" s="21" t="str">
        <f>_xll.RssMarket(A1124,"高値")</f>
        <v>表示銘柄数超過</v>
      </c>
      <c r="O1124" s="4" t="e">
        <f t="shared" si="101"/>
        <v>#VALUE!</v>
      </c>
      <c r="P1124" s="21" t="str">
        <f>_xll.RssMarket(A1124,"安値")</f>
        <v>表示銘柄数超過</v>
      </c>
      <c r="Q1124" s="4" t="e">
        <f t="shared" si="102"/>
        <v>#VALUE!</v>
      </c>
      <c r="R1124" s="21" t="str">
        <f>_xll.RssMarket(A1124,"後場始値")</f>
        <v>表示銘柄数超過</v>
      </c>
      <c r="S1124" s="25" t="str">
        <f t="shared" si="103"/>
        <v>-</v>
      </c>
      <c r="T1124" s="7" t="str">
        <f>_xll.RssMarket(A1124,"出来高加重平均")</f>
        <v>表示銘柄数超過</v>
      </c>
      <c r="U1124" s="4" t="e">
        <f t="shared" si="104"/>
        <v>#VALUE!</v>
      </c>
      <c r="V1124" s="21" t="str">
        <f>_xll.RssMarket(A1124,"出来高")</f>
        <v>表示銘柄数超過</v>
      </c>
      <c r="W1124" s="21" t="str">
        <f>_xll.RssMarket(A1124,"売買代金")</f>
        <v>表示銘柄数超過</v>
      </c>
      <c r="X1124" s="20" t="str">
        <f>_xll.RssMarket(A1124,"決算発表日")</f>
        <v>表示銘柄数超過</v>
      </c>
      <c r="Y1124" s="26" t="str">
        <f>IF(C1124&gt;_xll.RssMarket(A1124,"年初来高値"),"○","×")</f>
        <v>×</v>
      </c>
      <c r="Z1124" s="27" t="str">
        <f>IF(C1124&lt;=_xll.RssMarket(A1124,"年初来安値"),"○","×")</f>
        <v>○</v>
      </c>
    </row>
    <row r="1125" spans="1:26" x14ac:dyDescent="0.25">
      <c r="A1125" s="49">
        <v>9424</v>
      </c>
      <c r="B1125" s="20" t="str">
        <f>_xll.RssMarket(A1125,"銘柄名称")</f>
        <v>表示銘柄数超過</v>
      </c>
      <c r="C1125" s="21" t="str">
        <f>_xll.RssMarket(A1125,"現在値")</f>
        <v>表示銘柄数超過</v>
      </c>
      <c r="D1125" s="20" t="str">
        <f>_xll.RssMarket(A1125,"現在値詳細時刻")</f>
        <v>表示銘柄数超過</v>
      </c>
      <c r="E1125" s="22" t="str">
        <f>_xll.RssMarket(A1125,"前日比")</f>
        <v>表示銘柄数超過</v>
      </c>
      <c r="F1125" s="23" t="e">
        <f>_xll.RssMarket(A1125,"前日比率")/100</f>
        <v>#VALUE!</v>
      </c>
      <c r="G1125" s="24" t="str">
        <f>IFERROR(VLOOKUP(A1125,取得元!$A$2:$F$501,2,FALSE),"-")</f>
        <v>-</v>
      </c>
      <c r="H1125" s="24" t="str">
        <f>IFERROR(VLOOKUP(A1125,取得元!$A$2:$F$501,3,FALSE),"-")</f>
        <v>-</v>
      </c>
      <c r="I1125" s="24" t="str">
        <f>IFERROR(VLOOKUP(A1125,取得元!$A$2:$F$501,4,FALSE),"-")</f>
        <v>-</v>
      </c>
      <c r="J1125" s="5" t="str">
        <f>IFERROR(VLOOKUP(A1125,取得元!$A$2:$F$501,5,FALSE),"-")</f>
        <v>-</v>
      </c>
      <c r="K1125" s="25" t="str">
        <f>IFERROR(VLOOKUP(A1125,取得元!$A$2:$F$501,6,FALSE)/100,"-")</f>
        <v>-</v>
      </c>
      <c r="L1125" s="21" t="str">
        <f>_xll.RssMarket(A1125,"始値")</f>
        <v>表示銘柄数超過</v>
      </c>
      <c r="M1125" s="4" t="e">
        <f t="shared" si="100"/>
        <v>#VALUE!</v>
      </c>
      <c r="N1125" s="21" t="str">
        <f>_xll.RssMarket(A1125,"高値")</f>
        <v>表示銘柄数超過</v>
      </c>
      <c r="O1125" s="4" t="e">
        <f t="shared" si="101"/>
        <v>#VALUE!</v>
      </c>
      <c r="P1125" s="21" t="str">
        <f>_xll.RssMarket(A1125,"安値")</f>
        <v>表示銘柄数超過</v>
      </c>
      <c r="Q1125" s="4" t="e">
        <f t="shared" si="102"/>
        <v>#VALUE!</v>
      </c>
      <c r="R1125" s="21" t="str">
        <f>_xll.RssMarket(A1125,"後場始値")</f>
        <v>表示銘柄数超過</v>
      </c>
      <c r="S1125" s="25" t="str">
        <f t="shared" si="103"/>
        <v>-</v>
      </c>
      <c r="T1125" s="7" t="str">
        <f>_xll.RssMarket(A1125,"出来高加重平均")</f>
        <v>表示銘柄数超過</v>
      </c>
      <c r="U1125" s="4" t="e">
        <f t="shared" si="104"/>
        <v>#VALUE!</v>
      </c>
      <c r="V1125" s="21" t="str">
        <f>_xll.RssMarket(A1125,"出来高")</f>
        <v>表示銘柄数超過</v>
      </c>
      <c r="W1125" s="21" t="str">
        <f>_xll.RssMarket(A1125,"売買代金")</f>
        <v>表示銘柄数超過</v>
      </c>
      <c r="X1125" s="20" t="str">
        <f>_xll.RssMarket(A1125,"決算発表日")</f>
        <v>表示銘柄数超過</v>
      </c>
      <c r="Y1125" s="26" t="str">
        <f>IF(C1125&gt;_xll.RssMarket(A1125,"年初来高値"),"○","×")</f>
        <v>×</v>
      </c>
      <c r="Z1125" s="27" t="str">
        <f>IF(C1125&lt;=_xll.RssMarket(A1125,"年初来安値"),"○","×")</f>
        <v>○</v>
      </c>
    </row>
    <row r="1126" spans="1:26" x14ac:dyDescent="0.25">
      <c r="A1126" s="47">
        <v>9425</v>
      </c>
      <c r="B1126" s="20" t="str">
        <f>_xll.RssMarket(A1126,"銘柄名称")</f>
        <v>表示銘柄数超過</v>
      </c>
      <c r="C1126" s="21" t="str">
        <f>_xll.RssMarket(A1126,"現在値")</f>
        <v>表示銘柄数超過</v>
      </c>
      <c r="D1126" s="20" t="str">
        <f>_xll.RssMarket(A1126,"現在値詳細時刻")</f>
        <v>表示銘柄数超過</v>
      </c>
      <c r="E1126" s="22" t="str">
        <f>_xll.RssMarket(A1126,"前日比")</f>
        <v>表示銘柄数超過</v>
      </c>
      <c r="F1126" s="23" t="e">
        <f>_xll.RssMarket(A1126,"前日比率")/100</f>
        <v>#VALUE!</v>
      </c>
      <c r="G1126" s="24" t="str">
        <f>IFERROR(VLOOKUP(A1126,取得元!$A$2:$F$501,2,FALSE),"-")</f>
        <v>-</v>
      </c>
      <c r="H1126" s="24" t="str">
        <f>IFERROR(VLOOKUP(A1126,取得元!$A$2:$F$501,3,FALSE),"-")</f>
        <v>-</v>
      </c>
      <c r="I1126" s="24" t="str">
        <f>IFERROR(VLOOKUP(A1126,取得元!$A$2:$F$501,4,FALSE),"-")</f>
        <v>-</v>
      </c>
      <c r="J1126" s="5" t="str">
        <f>IFERROR(VLOOKUP(A1126,取得元!$A$2:$F$501,5,FALSE),"-")</f>
        <v>-</v>
      </c>
      <c r="K1126" s="25" t="str">
        <f>IFERROR(VLOOKUP(A1126,取得元!$A$2:$F$501,6,FALSE)/100,"-")</f>
        <v>-</v>
      </c>
      <c r="L1126" s="21" t="str">
        <f>_xll.RssMarket(A1126,"始値")</f>
        <v>表示銘柄数超過</v>
      </c>
      <c r="M1126" s="4" t="e">
        <f t="shared" si="100"/>
        <v>#VALUE!</v>
      </c>
      <c r="N1126" s="21" t="str">
        <f>_xll.RssMarket(A1126,"高値")</f>
        <v>表示銘柄数超過</v>
      </c>
      <c r="O1126" s="4" t="e">
        <f t="shared" si="101"/>
        <v>#VALUE!</v>
      </c>
      <c r="P1126" s="21" t="str">
        <f>_xll.RssMarket(A1126,"安値")</f>
        <v>表示銘柄数超過</v>
      </c>
      <c r="Q1126" s="4" t="e">
        <f t="shared" si="102"/>
        <v>#VALUE!</v>
      </c>
      <c r="R1126" s="21" t="str">
        <f>_xll.RssMarket(A1126,"後場始値")</f>
        <v>表示銘柄数超過</v>
      </c>
      <c r="S1126" s="25" t="str">
        <f t="shared" si="103"/>
        <v>-</v>
      </c>
      <c r="T1126" s="7" t="str">
        <f>_xll.RssMarket(A1126,"出来高加重平均")</f>
        <v>表示銘柄数超過</v>
      </c>
      <c r="U1126" s="4" t="e">
        <f t="shared" si="104"/>
        <v>#VALUE!</v>
      </c>
      <c r="V1126" s="21" t="str">
        <f>_xll.RssMarket(A1126,"出来高")</f>
        <v>表示銘柄数超過</v>
      </c>
      <c r="W1126" s="21" t="str">
        <f>_xll.RssMarket(A1126,"売買代金")</f>
        <v>表示銘柄数超過</v>
      </c>
      <c r="X1126" s="20" t="str">
        <f>_xll.RssMarket(A1126,"決算発表日")</f>
        <v>表示銘柄数超過</v>
      </c>
      <c r="Y1126" s="26" t="str">
        <f>IF(C1126&gt;_xll.RssMarket(A1126,"年初来高値"),"○","×")</f>
        <v>×</v>
      </c>
      <c r="Z1126" s="27" t="str">
        <f>IF(C1126&lt;=_xll.RssMarket(A1126,"年初来安値"),"○","×")</f>
        <v>○</v>
      </c>
    </row>
    <row r="1127" spans="1:26" x14ac:dyDescent="0.25">
      <c r="A1127" s="49">
        <v>9432</v>
      </c>
      <c r="B1127" s="20" t="str">
        <f>_xll.RssMarket(A1127,"銘柄名称")</f>
        <v>日本電信電話</v>
      </c>
      <c r="C1127" s="21">
        <f>_xll.RssMarket(A1127,"現在値")</f>
        <v>183.4</v>
      </c>
      <c r="D1127" s="20" t="str">
        <f>_xll.RssMarket(A1127,"現在値詳細時刻")</f>
        <v>15:00:00</v>
      </c>
      <c r="E1127" s="22">
        <f>_xll.RssMarket(A1127,"前日比")</f>
        <v>0</v>
      </c>
      <c r="F1127" s="23">
        <f>_xll.RssMarket(A1127,"前日比率")/100</f>
        <v>0</v>
      </c>
      <c r="G1127" s="24">
        <f>IFERROR(VLOOKUP(A1127,取得元!$A$2:$F$501,2,FALSE),"-")</f>
        <v>100</v>
      </c>
      <c r="H1127" s="24">
        <f>IFERROR(VLOOKUP(A1127,取得元!$A$2:$F$501,3,FALSE),"-")</f>
        <v>172</v>
      </c>
      <c r="I1127" s="24">
        <f>IFERROR(VLOOKUP(A1127,取得元!$A$2:$F$501,4,FALSE),"-")</f>
        <v>18340</v>
      </c>
      <c r="J1127" s="5">
        <f>IFERROR(VLOOKUP(A1127,取得元!$A$2:$F$501,5,FALSE),"-")</f>
        <v>1140</v>
      </c>
      <c r="K1127" s="25">
        <f>IFERROR(VLOOKUP(A1127,取得元!$A$2:$F$501,6,FALSE)/100,"-")</f>
        <v>6.6279070000000009E-2</v>
      </c>
      <c r="L1127" s="21">
        <f>_xll.RssMarket(A1127,"始値")</f>
        <v>181.4</v>
      </c>
      <c r="M1127" s="4">
        <f t="shared" si="100"/>
        <v>1.1025358324145529E-2</v>
      </c>
      <c r="N1127" s="21">
        <f>_xll.RssMarket(A1127,"高値")</f>
        <v>184.1</v>
      </c>
      <c r="O1127" s="4">
        <f t="shared" si="101"/>
        <v>-3.8022813688212143E-3</v>
      </c>
      <c r="P1127" s="21">
        <f>_xll.RssMarket(A1127,"安値")</f>
        <v>180.6</v>
      </c>
      <c r="Q1127" s="4">
        <f t="shared" si="102"/>
        <v>1.5503875968992276E-2</v>
      </c>
      <c r="R1127" s="21">
        <f>_xll.RssMarket(A1127,"後場始値")</f>
        <v>183.5</v>
      </c>
      <c r="S1127" s="25">
        <f t="shared" si="103"/>
        <v>-5.4495912806540314E-4</v>
      </c>
      <c r="T1127" s="7">
        <f>_xll.RssMarket(A1127,"出来高加重平均")</f>
        <v>183.09710000000001</v>
      </c>
      <c r="U1127" s="4">
        <f t="shared" si="104"/>
        <v>1.6543134762920797E-3</v>
      </c>
      <c r="V1127" s="21">
        <f>_xll.RssMarket(A1127,"出来高")</f>
        <v>140669200</v>
      </c>
      <c r="W1127" s="21">
        <f>_xll.RssMarket(A1127,"売買代金")</f>
        <v>25756130</v>
      </c>
      <c r="X1127" s="20" t="str">
        <f>_xll.RssMarket(A1127,"決算発表日")</f>
        <v>2024/02/08</v>
      </c>
      <c r="Y1127" s="26" t="str">
        <f>IF(C1127&gt;_xll.RssMarket(A1127,"年初来高値"),"○","×")</f>
        <v>×</v>
      </c>
      <c r="Z1127" s="27" t="str">
        <f>IF(C1127&lt;=_xll.RssMarket(A1127,"年初来安値"),"○","×")</f>
        <v>×</v>
      </c>
    </row>
    <row r="1128" spans="1:26" x14ac:dyDescent="0.25">
      <c r="A1128" s="47">
        <v>9433</v>
      </c>
      <c r="B1128" s="20" t="str">
        <f>_xll.RssMarket(A1128,"銘柄名称")</f>
        <v>表示銘柄数超過</v>
      </c>
      <c r="C1128" s="21" t="str">
        <f>_xll.RssMarket(A1128,"現在値")</f>
        <v>表示銘柄数超過</v>
      </c>
      <c r="D1128" s="20" t="str">
        <f>_xll.RssMarket(A1128,"現在値詳細時刻")</f>
        <v>表示銘柄数超過</v>
      </c>
      <c r="E1128" s="22" t="str">
        <f>_xll.RssMarket(A1128,"前日比")</f>
        <v>表示銘柄数超過</v>
      </c>
      <c r="F1128" s="23" t="e">
        <f>_xll.RssMarket(A1128,"前日比率")/100</f>
        <v>#VALUE!</v>
      </c>
      <c r="G1128" s="24" t="str">
        <f>IFERROR(VLOOKUP(A1128,取得元!$A$2:$F$501,2,FALSE),"-")</f>
        <v>-</v>
      </c>
      <c r="H1128" s="24" t="str">
        <f>IFERROR(VLOOKUP(A1128,取得元!$A$2:$F$501,3,FALSE),"-")</f>
        <v>-</v>
      </c>
      <c r="I1128" s="24" t="str">
        <f>IFERROR(VLOOKUP(A1128,取得元!$A$2:$F$501,4,FALSE),"-")</f>
        <v>-</v>
      </c>
      <c r="J1128" s="5" t="str">
        <f>IFERROR(VLOOKUP(A1128,取得元!$A$2:$F$501,5,FALSE),"-")</f>
        <v>-</v>
      </c>
      <c r="K1128" s="25" t="str">
        <f>IFERROR(VLOOKUP(A1128,取得元!$A$2:$F$501,6,FALSE)/100,"-")</f>
        <v>-</v>
      </c>
      <c r="L1128" s="21" t="str">
        <f>_xll.RssMarket(A1128,"始値")</f>
        <v>表示銘柄数超過</v>
      </c>
      <c r="M1128" s="4" t="e">
        <f t="shared" si="100"/>
        <v>#VALUE!</v>
      </c>
      <c r="N1128" s="21" t="str">
        <f>_xll.RssMarket(A1128,"高値")</f>
        <v>表示銘柄数超過</v>
      </c>
      <c r="O1128" s="4" t="e">
        <f t="shared" si="101"/>
        <v>#VALUE!</v>
      </c>
      <c r="P1128" s="21" t="str">
        <f>_xll.RssMarket(A1128,"安値")</f>
        <v>表示銘柄数超過</v>
      </c>
      <c r="Q1128" s="4" t="e">
        <f t="shared" si="102"/>
        <v>#VALUE!</v>
      </c>
      <c r="R1128" s="21" t="str">
        <f>_xll.RssMarket(A1128,"後場始値")</f>
        <v>表示銘柄数超過</v>
      </c>
      <c r="S1128" s="25" t="str">
        <f t="shared" si="103"/>
        <v>-</v>
      </c>
      <c r="T1128" s="7" t="str">
        <f>_xll.RssMarket(A1128,"出来高加重平均")</f>
        <v>表示銘柄数超過</v>
      </c>
      <c r="U1128" s="4" t="e">
        <f t="shared" si="104"/>
        <v>#VALUE!</v>
      </c>
      <c r="V1128" s="21" t="str">
        <f>_xll.RssMarket(A1128,"出来高")</f>
        <v>表示銘柄数超過</v>
      </c>
      <c r="W1128" s="21" t="str">
        <f>_xll.RssMarket(A1128,"売買代金")</f>
        <v>表示銘柄数超過</v>
      </c>
      <c r="X1128" s="20" t="str">
        <f>_xll.RssMarket(A1128,"決算発表日")</f>
        <v>表示銘柄数超過</v>
      </c>
      <c r="Y1128" s="26" t="str">
        <f>IF(C1128&gt;_xll.RssMarket(A1128,"年初来高値"),"○","×")</f>
        <v>×</v>
      </c>
      <c r="Z1128" s="27" t="str">
        <f>IF(C1128&lt;=_xll.RssMarket(A1128,"年初来安値"),"○","×")</f>
        <v>○</v>
      </c>
    </row>
    <row r="1129" spans="1:26" x14ac:dyDescent="0.25">
      <c r="A1129" s="49">
        <v>9434</v>
      </c>
      <c r="B1129" s="20" t="str">
        <f>_xll.RssMarket(A1129,"銘柄名称")</f>
        <v>ソフトバンク</v>
      </c>
      <c r="C1129" s="21">
        <f>_xll.RssMarket(A1129,"現在値")</f>
        <v>1944.5</v>
      </c>
      <c r="D1129" s="20" t="str">
        <f>_xll.RssMarket(A1129,"現在値詳細時刻")</f>
        <v>15:00:00</v>
      </c>
      <c r="E1129" s="22">
        <f>_xll.RssMarket(A1129,"前日比")</f>
        <v>-10.5</v>
      </c>
      <c r="F1129" s="23">
        <f>_xll.RssMarket(A1129,"前日比率")/100</f>
        <v>-5.4000000000000003E-3</v>
      </c>
      <c r="G1129" s="24">
        <f>IFERROR(VLOOKUP(A1129,取得元!$A$2:$F$501,2,FALSE),"-")</f>
        <v>1</v>
      </c>
      <c r="H1129" s="24">
        <f>IFERROR(VLOOKUP(A1129,取得元!$A$2:$F$501,3,FALSE),"-")</f>
        <v>1632</v>
      </c>
      <c r="I1129" s="24">
        <f>IFERROR(VLOOKUP(A1129,取得元!$A$2:$F$501,4,FALSE),"-")</f>
        <v>1944.5</v>
      </c>
      <c r="J1129" s="5">
        <f>IFERROR(VLOOKUP(A1129,取得元!$A$2:$F$501,5,FALSE),"-")</f>
        <v>312.5</v>
      </c>
      <c r="K1129" s="25">
        <f>IFERROR(VLOOKUP(A1129,取得元!$A$2:$F$501,6,FALSE)/100,"-")</f>
        <v>0.19148284000000002</v>
      </c>
      <c r="L1129" s="21">
        <f>_xll.RssMarket(A1129,"始値")</f>
        <v>1947</v>
      </c>
      <c r="M1129" s="4">
        <f t="shared" si="100"/>
        <v>-1.2840267077555145E-3</v>
      </c>
      <c r="N1129" s="21">
        <f>_xll.RssMarket(A1129,"高値")</f>
        <v>1948.5</v>
      </c>
      <c r="O1129" s="4">
        <f t="shared" si="101"/>
        <v>-2.0528611752630432E-3</v>
      </c>
      <c r="P1129" s="21">
        <f>_xll.RssMarket(A1129,"安値")</f>
        <v>1930.5</v>
      </c>
      <c r="Q1129" s="4">
        <f t="shared" si="102"/>
        <v>7.2520072520072532E-3</v>
      </c>
      <c r="R1129" s="21">
        <f>_xll.RssMarket(A1129,"後場始値")</f>
        <v>1943</v>
      </c>
      <c r="S1129" s="25">
        <f t="shared" si="103"/>
        <v>7.7200205867211658E-4</v>
      </c>
      <c r="T1129" s="7">
        <f>_xll.RssMarket(A1129,"出来高加重平均")</f>
        <v>1942.8524</v>
      </c>
      <c r="U1129" s="4">
        <f t="shared" si="104"/>
        <v>8.4803148195922162E-4</v>
      </c>
      <c r="V1129" s="21">
        <f>_xll.RssMarket(A1129,"出来高")</f>
        <v>8580000</v>
      </c>
      <c r="W1129" s="21">
        <f>_xll.RssMarket(A1129,"売買代金")</f>
        <v>16669674</v>
      </c>
      <c r="X1129" s="20" t="str">
        <f>_xll.RssMarket(A1129,"決算発表日")</f>
        <v>2024/02/07</v>
      </c>
      <c r="Y1129" s="26" t="str">
        <f>IF(C1129&gt;_xll.RssMarket(A1129,"年初来高値"),"○","×")</f>
        <v>×</v>
      </c>
      <c r="Z1129" s="27" t="str">
        <f>IF(C1129&lt;=_xll.RssMarket(A1129,"年初来安値"),"○","×")</f>
        <v>×</v>
      </c>
    </row>
    <row r="1130" spans="1:26" x14ac:dyDescent="0.25">
      <c r="A1130" s="47">
        <v>9436</v>
      </c>
      <c r="B1130" s="20" t="str">
        <f>_xll.RssMarket(A1130,"銘柄名称")</f>
        <v>表示銘柄数超過</v>
      </c>
      <c r="C1130" s="21" t="str">
        <f>_xll.RssMarket(A1130,"現在値")</f>
        <v>表示銘柄数超過</v>
      </c>
      <c r="D1130" s="20" t="str">
        <f>_xll.RssMarket(A1130,"現在値詳細時刻")</f>
        <v>表示銘柄数超過</v>
      </c>
      <c r="E1130" s="22" t="str">
        <f>_xll.RssMarket(A1130,"前日比")</f>
        <v>表示銘柄数超過</v>
      </c>
      <c r="F1130" s="23" t="e">
        <f>_xll.RssMarket(A1130,"前日比率")/100</f>
        <v>#VALUE!</v>
      </c>
      <c r="G1130" s="24" t="str">
        <f>IFERROR(VLOOKUP(A1130,取得元!$A$2:$F$501,2,FALSE),"-")</f>
        <v>-</v>
      </c>
      <c r="H1130" s="24" t="str">
        <f>IFERROR(VLOOKUP(A1130,取得元!$A$2:$F$501,3,FALSE),"-")</f>
        <v>-</v>
      </c>
      <c r="I1130" s="24" t="str">
        <f>IFERROR(VLOOKUP(A1130,取得元!$A$2:$F$501,4,FALSE),"-")</f>
        <v>-</v>
      </c>
      <c r="J1130" s="5" t="str">
        <f>IFERROR(VLOOKUP(A1130,取得元!$A$2:$F$501,5,FALSE),"-")</f>
        <v>-</v>
      </c>
      <c r="K1130" s="25" t="str">
        <f>IFERROR(VLOOKUP(A1130,取得元!$A$2:$F$501,6,FALSE)/100,"-")</f>
        <v>-</v>
      </c>
      <c r="L1130" s="21" t="str">
        <f>_xll.RssMarket(A1130,"始値")</f>
        <v>表示銘柄数超過</v>
      </c>
      <c r="M1130" s="4" t="e">
        <f t="shared" si="100"/>
        <v>#VALUE!</v>
      </c>
      <c r="N1130" s="21" t="str">
        <f>_xll.RssMarket(A1130,"高値")</f>
        <v>表示銘柄数超過</v>
      </c>
      <c r="O1130" s="4" t="e">
        <f t="shared" si="101"/>
        <v>#VALUE!</v>
      </c>
      <c r="P1130" s="21" t="str">
        <f>_xll.RssMarket(A1130,"安値")</f>
        <v>表示銘柄数超過</v>
      </c>
      <c r="Q1130" s="4" t="e">
        <f t="shared" si="102"/>
        <v>#VALUE!</v>
      </c>
      <c r="R1130" s="21" t="str">
        <f>_xll.RssMarket(A1130,"後場始値")</f>
        <v>表示銘柄数超過</v>
      </c>
      <c r="S1130" s="25" t="str">
        <f t="shared" si="103"/>
        <v>-</v>
      </c>
      <c r="T1130" s="7" t="str">
        <f>_xll.RssMarket(A1130,"出来高加重平均")</f>
        <v>表示銘柄数超過</v>
      </c>
      <c r="U1130" s="4" t="e">
        <f t="shared" si="104"/>
        <v>#VALUE!</v>
      </c>
      <c r="V1130" s="21" t="str">
        <f>_xll.RssMarket(A1130,"出来高")</f>
        <v>表示銘柄数超過</v>
      </c>
      <c r="W1130" s="21" t="str">
        <f>_xll.RssMarket(A1130,"売買代金")</f>
        <v>表示銘柄数超過</v>
      </c>
      <c r="X1130" s="20" t="str">
        <f>_xll.RssMarket(A1130,"決算発表日")</f>
        <v>表示銘柄数超過</v>
      </c>
      <c r="Y1130" s="26" t="str">
        <f>IF(C1130&gt;_xll.RssMarket(A1130,"年初来高値"),"○","×")</f>
        <v>×</v>
      </c>
      <c r="Z1130" s="27" t="str">
        <f>IF(C1130&lt;=_xll.RssMarket(A1130,"年初来安値"),"○","×")</f>
        <v>○</v>
      </c>
    </row>
    <row r="1131" spans="1:26" x14ac:dyDescent="0.25">
      <c r="A1131" s="49">
        <v>9439</v>
      </c>
      <c r="B1131" s="20" t="str">
        <f>_xll.RssMarket(A1131,"銘柄名称")</f>
        <v>表示銘柄数超過</v>
      </c>
      <c r="C1131" s="21" t="str">
        <f>_xll.RssMarket(A1131,"現在値")</f>
        <v>表示銘柄数超過</v>
      </c>
      <c r="D1131" s="20" t="str">
        <f>_xll.RssMarket(A1131,"現在値詳細時刻")</f>
        <v>表示銘柄数超過</v>
      </c>
      <c r="E1131" s="22" t="str">
        <f>_xll.RssMarket(A1131,"前日比")</f>
        <v>表示銘柄数超過</v>
      </c>
      <c r="F1131" s="23" t="e">
        <f>_xll.RssMarket(A1131,"前日比率")/100</f>
        <v>#VALUE!</v>
      </c>
      <c r="G1131" s="24" t="str">
        <f>IFERROR(VLOOKUP(A1131,取得元!$A$2:$F$501,2,FALSE),"-")</f>
        <v>-</v>
      </c>
      <c r="H1131" s="24" t="str">
        <f>IFERROR(VLOOKUP(A1131,取得元!$A$2:$F$501,3,FALSE),"-")</f>
        <v>-</v>
      </c>
      <c r="I1131" s="24" t="str">
        <f>IFERROR(VLOOKUP(A1131,取得元!$A$2:$F$501,4,FALSE),"-")</f>
        <v>-</v>
      </c>
      <c r="J1131" s="5" t="str">
        <f>IFERROR(VLOOKUP(A1131,取得元!$A$2:$F$501,5,FALSE),"-")</f>
        <v>-</v>
      </c>
      <c r="K1131" s="25" t="str">
        <f>IFERROR(VLOOKUP(A1131,取得元!$A$2:$F$501,6,FALSE)/100,"-")</f>
        <v>-</v>
      </c>
      <c r="L1131" s="21" t="str">
        <f>_xll.RssMarket(A1131,"始値")</f>
        <v>表示銘柄数超過</v>
      </c>
      <c r="M1131" s="4" t="e">
        <f t="shared" si="100"/>
        <v>#VALUE!</v>
      </c>
      <c r="N1131" s="21" t="str">
        <f>_xll.RssMarket(A1131,"高値")</f>
        <v>表示銘柄数超過</v>
      </c>
      <c r="O1131" s="4" t="e">
        <f t="shared" si="101"/>
        <v>#VALUE!</v>
      </c>
      <c r="P1131" s="21" t="str">
        <f>_xll.RssMarket(A1131,"安値")</f>
        <v>表示銘柄数超過</v>
      </c>
      <c r="Q1131" s="4" t="e">
        <f t="shared" si="102"/>
        <v>#VALUE!</v>
      </c>
      <c r="R1131" s="21" t="str">
        <f>_xll.RssMarket(A1131,"後場始値")</f>
        <v>表示銘柄数超過</v>
      </c>
      <c r="S1131" s="25" t="str">
        <f t="shared" si="103"/>
        <v>-</v>
      </c>
      <c r="T1131" s="7" t="str">
        <f>_xll.RssMarket(A1131,"出来高加重平均")</f>
        <v>表示銘柄数超過</v>
      </c>
      <c r="U1131" s="4" t="e">
        <f t="shared" si="104"/>
        <v>#VALUE!</v>
      </c>
      <c r="V1131" s="21" t="str">
        <f>_xll.RssMarket(A1131,"出来高")</f>
        <v>表示銘柄数超過</v>
      </c>
      <c r="W1131" s="21" t="str">
        <f>_xll.RssMarket(A1131,"売買代金")</f>
        <v>表示銘柄数超過</v>
      </c>
      <c r="X1131" s="20" t="str">
        <f>_xll.RssMarket(A1131,"決算発表日")</f>
        <v>表示銘柄数超過</v>
      </c>
      <c r="Y1131" s="26" t="str">
        <f>IF(C1131&gt;_xll.RssMarket(A1131,"年初来高値"),"○","×")</f>
        <v>×</v>
      </c>
      <c r="Z1131" s="27" t="str">
        <f>IF(C1131&lt;=_xll.RssMarket(A1131,"年初来安値"),"○","×")</f>
        <v>○</v>
      </c>
    </row>
    <row r="1132" spans="1:26" x14ac:dyDescent="0.25">
      <c r="A1132" s="47">
        <v>9444</v>
      </c>
      <c r="B1132" s="20" t="str">
        <f>_xll.RssMarket(A1132,"銘柄名称")</f>
        <v>表示銘柄数超過</v>
      </c>
      <c r="C1132" s="21" t="str">
        <f>_xll.RssMarket(A1132,"現在値")</f>
        <v>表示銘柄数超過</v>
      </c>
      <c r="D1132" s="20" t="str">
        <f>_xll.RssMarket(A1132,"現在値詳細時刻")</f>
        <v>表示銘柄数超過</v>
      </c>
      <c r="E1132" s="22" t="str">
        <f>_xll.RssMarket(A1132,"前日比")</f>
        <v>表示銘柄数超過</v>
      </c>
      <c r="F1132" s="23" t="e">
        <f>_xll.RssMarket(A1132,"前日比率")/100</f>
        <v>#VALUE!</v>
      </c>
      <c r="G1132" s="24" t="str">
        <f>IFERROR(VLOOKUP(A1132,取得元!$A$2:$F$501,2,FALSE),"-")</f>
        <v>-</v>
      </c>
      <c r="H1132" s="24" t="str">
        <f>IFERROR(VLOOKUP(A1132,取得元!$A$2:$F$501,3,FALSE),"-")</f>
        <v>-</v>
      </c>
      <c r="I1132" s="24" t="str">
        <f>IFERROR(VLOOKUP(A1132,取得元!$A$2:$F$501,4,FALSE),"-")</f>
        <v>-</v>
      </c>
      <c r="J1132" s="5" t="str">
        <f>IFERROR(VLOOKUP(A1132,取得元!$A$2:$F$501,5,FALSE),"-")</f>
        <v>-</v>
      </c>
      <c r="K1132" s="25" t="str">
        <f>IFERROR(VLOOKUP(A1132,取得元!$A$2:$F$501,6,FALSE)/100,"-")</f>
        <v>-</v>
      </c>
      <c r="L1132" s="21" t="str">
        <f>_xll.RssMarket(A1132,"始値")</f>
        <v>表示銘柄数超過</v>
      </c>
      <c r="M1132" s="4" t="e">
        <f t="shared" si="100"/>
        <v>#VALUE!</v>
      </c>
      <c r="N1132" s="21" t="str">
        <f>_xll.RssMarket(A1132,"高値")</f>
        <v>表示銘柄数超過</v>
      </c>
      <c r="O1132" s="4" t="e">
        <f t="shared" si="101"/>
        <v>#VALUE!</v>
      </c>
      <c r="P1132" s="21" t="str">
        <f>_xll.RssMarket(A1132,"安値")</f>
        <v>表示銘柄数超過</v>
      </c>
      <c r="Q1132" s="4" t="e">
        <f t="shared" si="102"/>
        <v>#VALUE!</v>
      </c>
      <c r="R1132" s="21" t="str">
        <f>_xll.RssMarket(A1132,"後場始値")</f>
        <v>表示銘柄数超過</v>
      </c>
      <c r="S1132" s="25" t="str">
        <f t="shared" si="103"/>
        <v>-</v>
      </c>
      <c r="T1132" s="7" t="str">
        <f>_xll.RssMarket(A1132,"出来高加重平均")</f>
        <v>表示銘柄数超過</v>
      </c>
      <c r="U1132" s="4" t="e">
        <f t="shared" si="104"/>
        <v>#VALUE!</v>
      </c>
      <c r="V1132" s="21" t="str">
        <f>_xll.RssMarket(A1132,"出来高")</f>
        <v>表示銘柄数超過</v>
      </c>
      <c r="W1132" s="21" t="str">
        <f>_xll.RssMarket(A1132,"売買代金")</f>
        <v>表示銘柄数超過</v>
      </c>
      <c r="X1132" s="20" t="str">
        <f>_xll.RssMarket(A1132,"決算発表日")</f>
        <v>表示銘柄数超過</v>
      </c>
      <c r="Y1132" s="26" t="str">
        <f>IF(C1132&gt;_xll.RssMarket(A1132,"年初来高値"),"○","×")</f>
        <v>×</v>
      </c>
      <c r="Z1132" s="27" t="str">
        <f>IF(C1132&lt;=_xll.RssMarket(A1132,"年初来安値"),"○","×")</f>
        <v>○</v>
      </c>
    </row>
    <row r="1133" spans="1:26" x14ac:dyDescent="0.25">
      <c r="A1133" s="49">
        <v>9450</v>
      </c>
      <c r="B1133" s="20" t="str">
        <f>_xll.RssMarket(A1133,"銘柄名称")</f>
        <v>表示銘柄数超過</v>
      </c>
      <c r="C1133" s="21" t="str">
        <f>_xll.RssMarket(A1133,"現在値")</f>
        <v>表示銘柄数超過</v>
      </c>
      <c r="D1133" s="20" t="str">
        <f>_xll.RssMarket(A1133,"現在値詳細時刻")</f>
        <v>表示銘柄数超過</v>
      </c>
      <c r="E1133" s="22" t="str">
        <f>_xll.RssMarket(A1133,"前日比")</f>
        <v>表示銘柄数超過</v>
      </c>
      <c r="F1133" s="23" t="e">
        <f>_xll.RssMarket(A1133,"前日比率")/100</f>
        <v>#VALUE!</v>
      </c>
      <c r="G1133" s="24" t="str">
        <f>IFERROR(VLOOKUP(A1133,取得元!$A$2:$F$501,2,FALSE),"-")</f>
        <v>-</v>
      </c>
      <c r="H1133" s="24" t="str">
        <f>IFERROR(VLOOKUP(A1133,取得元!$A$2:$F$501,3,FALSE),"-")</f>
        <v>-</v>
      </c>
      <c r="I1133" s="24" t="str">
        <f>IFERROR(VLOOKUP(A1133,取得元!$A$2:$F$501,4,FALSE),"-")</f>
        <v>-</v>
      </c>
      <c r="J1133" s="5" t="str">
        <f>IFERROR(VLOOKUP(A1133,取得元!$A$2:$F$501,5,FALSE),"-")</f>
        <v>-</v>
      </c>
      <c r="K1133" s="25" t="str">
        <f>IFERROR(VLOOKUP(A1133,取得元!$A$2:$F$501,6,FALSE)/100,"-")</f>
        <v>-</v>
      </c>
      <c r="L1133" s="21" t="str">
        <f>_xll.RssMarket(A1133,"始値")</f>
        <v>表示銘柄数超過</v>
      </c>
      <c r="M1133" s="4" t="e">
        <f t="shared" si="100"/>
        <v>#VALUE!</v>
      </c>
      <c r="N1133" s="21" t="str">
        <f>_xll.RssMarket(A1133,"高値")</f>
        <v>表示銘柄数超過</v>
      </c>
      <c r="O1133" s="4" t="e">
        <f t="shared" si="101"/>
        <v>#VALUE!</v>
      </c>
      <c r="P1133" s="21" t="str">
        <f>_xll.RssMarket(A1133,"安値")</f>
        <v>表示銘柄数超過</v>
      </c>
      <c r="Q1133" s="4" t="e">
        <f t="shared" si="102"/>
        <v>#VALUE!</v>
      </c>
      <c r="R1133" s="21" t="str">
        <f>_xll.RssMarket(A1133,"後場始値")</f>
        <v>表示銘柄数超過</v>
      </c>
      <c r="S1133" s="25" t="str">
        <f t="shared" si="103"/>
        <v>-</v>
      </c>
      <c r="T1133" s="7" t="str">
        <f>_xll.RssMarket(A1133,"出来高加重平均")</f>
        <v>表示銘柄数超過</v>
      </c>
      <c r="U1133" s="4" t="e">
        <f t="shared" si="104"/>
        <v>#VALUE!</v>
      </c>
      <c r="V1133" s="21" t="str">
        <f>_xll.RssMarket(A1133,"出来高")</f>
        <v>表示銘柄数超過</v>
      </c>
      <c r="W1133" s="21" t="str">
        <f>_xll.RssMarket(A1133,"売買代金")</f>
        <v>表示銘柄数超過</v>
      </c>
      <c r="X1133" s="20" t="str">
        <f>_xll.RssMarket(A1133,"決算発表日")</f>
        <v>表示銘柄数超過</v>
      </c>
      <c r="Y1133" s="26" t="str">
        <f>IF(C1133&gt;_xll.RssMarket(A1133,"年初来高値"),"○","×")</f>
        <v>×</v>
      </c>
      <c r="Z1133" s="27" t="str">
        <f>IF(C1133&lt;=_xll.RssMarket(A1133,"年初来安値"),"○","×")</f>
        <v>○</v>
      </c>
    </row>
    <row r="1134" spans="1:26" x14ac:dyDescent="0.25">
      <c r="A1134" s="47">
        <v>9466</v>
      </c>
      <c r="B1134" s="20" t="str">
        <f>_xll.RssMarket(A1134,"銘柄名称")</f>
        <v>表示銘柄数超過</v>
      </c>
      <c r="C1134" s="21" t="str">
        <f>_xll.RssMarket(A1134,"現在値")</f>
        <v>表示銘柄数超過</v>
      </c>
      <c r="D1134" s="20" t="str">
        <f>_xll.RssMarket(A1134,"現在値詳細時刻")</f>
        <v>表示銘柄数超過</v>
      </c>
      <c r="E1134" s="22" t="str">
        <f>_xll.RssMarket(A1134,"前日比")</f>
        <v>表示銘柄数超過</v>
      </c>
      <c r="F1134" s="23" t="e">
        <f>_xll.RssMarket(A1134,"前日比率")/100</f>
        <v>#VALUE!</v>
      </c>
      <c r="G1134" s="24" t="str">
        <f>IFERROR(VLOOKUP(A1134,取得元!$A$2:$F$501,2,FALSE),"-")</f>
        <v>-</v>
      </c>
      <c r="H1134" s="24" t="str">
        <f>IFERROR(VLOOKUP(A1134,取得元!$A$2:$F$501,3,FALSE),"-")</f>
        <v>-</v>
      </c>
      <c r="I1134" s="24" t="str">
        <f>IFERROR(VLOOKUP(A1134,取得元!$A$2:$F$501,4,FALSE),"-")</f>
        <v>-</v>
      </c>
      <c r="J1134" s="5" t="str">
        <f>IFERROR(VLOOKUP(A1134,取得元!$A$2:$F$501,5,FALSE),"-")</f>
        <v>-</v>
      </c>
      <c r="K1134" s="25" t="str">
        <f>IFERROR(VLOOKUP(A1134,取得元!$A$2:$F$501,6,FALSE)/100,"-")</f>
        <v>-</v>
      </c>
      <c r="L1134" s="21" t="str">
        <f>_xll.RssMarket(A1134,"始値")</f>
        <v>表示銘柄数超過</v>
      </c>
      <c r="M1134" s="4" t="e">
        <f t="shared" si="100"/>
        <v>#VALUE!</v>
      </c>
      <c r="N1134" s="21" t="str">
        <f>_xll.RssMarket(A1134,"高値")</f>
        <v>表示銘柄数超過</v>
      </c>
      <c r="O1134" s="4" t="e">
        <f t="shared" si="101"/>
        <v>#VALUE!</v>
      </c>
      <c r="P1134" s="21" t="str">
        <f>_xll.RssMarket(A1134,"安値")</f>
        <v>表示銘柄数超過</v>
      </c>
      <c r="Q1134" s="4" t="e">
        <f t="shared" si="102"/>
        <v>#VALUE!</v>
      </c>
      <c r="R1134" s="21" t="str">
        <f>_xll.RssMarket(A1134,"後場始値")</f>
        <v>表示銘柄数超過</v>
      </c>
      <c r="S1134" s="25" t="str">
        <f t="shared" si="103"/>
        <v>-</v>
      </c>
      <c r="T1134" s="7" t="str">
        <f>_xll.RssMarket(A1134,"出来高加重平均")</f>
        <v>表示銘柄数超過</v>
      </c>
      <c r="U1134" s="4" t="e">
        <f t="shared" si="104"/>
        <v>#VALUE!</v>
      </c>
      <c r="V1134" s="21" t="str">
        <f>_xll.RssMarket(A1134,"出来高")</f>
        <v>表示銘柄数超過</v>
      </c>
      <c r="W1134" s="21" t="str">
        <f>_xll.RssMarket(A1134,"売買代金")</f>
        <v>表示銘柄数超過</v>
      </c>
      <c r="X1134" s="20" t="str">
        <f>_xll.RssMarket(A1134,"決算発表日")</f>
        <v>表示銘柄数超過</v>
      </c>
      <c r="Y1134" s="26" t="str">
        <f>IF(C1134&gt;_xll.RssMarket(A1134,"年初来高値"),"○","×")</f>
        <v>×</v>
      </c>
      <c r="Z1134" s="27" t="str">
        <f>IF(C1134&lt;=_xll.RssMarket(A1134,"年初来安値"),"○","×")</f>
        <v>○</v>
      </c>
    </row>
    <row r="1135" spans="1:26" x14ac:dyDescent="0.25">
      <c r="A1135" s="49">
        <v>9470</v>
      </c>
      <c r="B1135" s="20" t="str">
        <f>_xll.RssMarket(A1135,"銘柄名称")</f>
        <v>表示銘柄数超過</v>
      </c>
      <c r="C1135" s="21" t="str">
        <f>_xll.RssMarket(A1135,"現在値")</f>
        <v>表示銘柄数超過</v>
      </c>
      <c r="D1135" s="20" t="str">
        <f>_xll.RssMarket(A1135,"現在値詳細時刻")</f>
        <v>表示銘柄数超過</v>
      </c>
      <c r="E1135" s="22" t="str">
        <f>_xll.RssMarket(A1135,"前日比")</f>
        <v>表示銘柄数超過</v>
      </c>
      <c r="F1135" s="23" t="e">
        <f>_xll.RssMarket(A1135,"前日比率")/100</f>
        <v>#VALUE!</v>
      </c>
      <c r="G1135" s="24" t="str">
        <f>IFERROR(VLOOKUP(A1135,取得元!$A$2:$F$501,2,FALSE),"-")</f>
        <v>-</v>
      </c>
      <c r="H1135" s="24" t="str">
        <f>IFERROR(VLOOKUP(A1135,取得元!$A$2:$F$501,3,FALSE),"-")</f>
        <v>-</v>
      </c>
      <c r="I1135" s="24" t="str">
        <f>IFERROR(VLOOKUP(A1135,取得元!$A$2:$F$501,4,FALSE),"-")</f>
        <v>-</v>
      </c>
      <c r="J1135" s="5" t="str">
        <f>IFERROR(VLOOKUP(A1135,取得元!$A$2:$F$501,5,FALSE),"-")</f>
        <v>-</v>
      </c>
      <c r="K1135" s="25" t="str">
        <f>IFERROR(VLOOKUP(A1135,取得元!$A$2:$F$501,6,FALSE)/100,"-")</f>
        <v>-</v>
      </c>
      <c r="L1135" s="21" t="str">
        <f>_xll.RssMarket(A1135,"始値")</f>
        <v>表示銘柄数超過</v>
      </c>
      <c r="M1135" s="4" t="e">
        <f t="shared" si="100"/>
        <v>#VALUE!</v>
      </c>
      <c r="N1135" s="21" t="str">
        <f>_xll.RssMarket(A1135,"高値")</f>
        <v>表示銘柄数超過</v>
      </c>
      <c r="O1135" s="4" t="e">
        <f t="shared" si="101"/>
        <v>#VALUE!</v>
      </c>
      <c r="P1135" s="21" t="str">
        <f>_xll.RssMarket(A1135,"安値")</f>
        <v>表示銘柄数超過</v>
      </c>
      <c r="Q1135" s="4" t="e">
        <f t="shared" si="102"/>
        <v>#VALUE!</v>
      </c>
      <c r="R1135" s="21" t="str">
        <f>_xll.RssMarket(A1135,"後場始値")</f>
        <v>表示銘柄数超過</v>
      </c>
      <c r="S1135" s="25" t="str">
        <f t="shared" si="103"/>
        <v>-</v>
      </c>
      <c r="T1135" s="7" t="str">
        <f>_xll.RssMarket(A1135,"出来高加重平均")</f>
        <v>表示銘柄数超過</v>
      </c>
      <c r="U1135" s="4" t="e">
        <f t="shared" si="104"/>
        <v>#VALUE!</v>
      </c>
      <c r="V1135" s="21" t="str">
        <f>_xll.RssMarket(A1135,"出来高")</f>
        <v>表示銘柄数超過</v>
      </c>
      <c r="W1135" s="21" t="str">
        <f>_xll.RssMarket(A1135,"売買代金")</f>
        <v>表示銘柄数超過</v>
      </c>
      <c r="X1135" s="20" t="str">
        <f>_xll.RssMarket(A1135,"決算発表日")</f>
        <v>表示銘柄数超過</v>
      </c>
      <c r="Y1135" s="26" t="str">
        <f>IF(C1135&gt;_xll.RssMarket(A1135,"年初来高値"),"○","×")</f>
        <v>×</v>
      </c>
      <c r="Z1135" s="27" t="str">
        <f>IF(C1135&lt;=_xll.RssMarket(A1135,"年初来安値"),"○","×")</f>
        <v>○</v>
      </c>
    </row>
    <row r="1136" spans="1:26" x14ac:dyDescent="0.25">
      <c r="A1136" s="47">
        <v>9474</v>
      </c>
      <c r="B1136" s="20" t="str">
        <f>_xll.RssMarket(A1136,"銘柄名称")</f>
        <v>表示銘柄数超過</v>
      </c>
      <c r="C1136" s="21" t="str">
        <f>_xll.RssMarket(A1136,"現在値")</f>
        <v>表示銘柄数超過</v>
      </c>
      <c r="D1136" s="20" t="str">
        <f>_xll.RssMarket(A1136,"現在値詳細時刻")</f>
        <v>表示銘柄数超過</v>
      </c>
      <c r="E1136" s="22" t="str">
        <f>_xll.RssMarket(A1136,"前日比")</f>
        <v>表示銘柄数超過</v>
      </c>
      <c r="F1136" s="23" t="e">
        <f>_xll.RssMarket(A1136,"前日比率")/100</f>
        <v>#VALUE!</v>
      </c>
      <c r="G1136" s="24" t="str">
        <f>IFERROR(VLOOKUP(A1136,取得元!$A$2:$F$501,2,FALSE),"-")</f>
        <v>-</v>
      </c>
      <c r="H1136" s="24" t="str">
        <f>IFERROR(VLOOKUP(A1136,取得元!$A$2:$F$501,3,FALSE),"-")</f>
        <v>-</v>
      </c>
      <c r="I1136" s="24" t="str">
        <f>IFERROR(VLOOKUP(A1136,取得元!$A$2:$F$501,4,FALSE),"-")</f>
        <v>-</v>
      </c>
      <c r="J1136" s="5" t="str">
        <f>IFERROR(VLOOKUP(A1136,取得元!$A$2:$F$501,5,FALSE),"-")</f>
        <v>-</v>
      </c>
      <c r="K1136" s="25" t="str">
        <f>IFERROR(VLOOKUP(A1136,取得元!$A$2:$F$501,6,FALSE)/100,"-")</f>
        <v>-</v>
      </c>
      <c r="L1136" s="21" t="str">
        <f>_xll.RssMarket(A1136,"始値")</f>
        <v>表示銘柄数超過</v>
      </c>
      <c r="M1136" s="4" t="e">
        <f t="shared" si="100"/>
        <v>#VALUE!</v>
      </c>
      <c r="N1136" s="21" t="str">
        <f>_xll.RssMarket(A1136,"高値")</f>
        <v>表示銘柄数超過</v>
      </c>
      <c r="O1136" s="4" t="e">
        <f t="shared" si="101"/>
        <v>#VALUE!</v>
      </c>
      <c r="P1136" s="21" t="str">
        <f>_xll.RssMarket(A1136,"安値")</f>
        <v>表示銘柄数超過</v>
      </c>
      <c r="Q1136" s="4" t="e">
        <f t="shared" si="102"/>
        <v>#VALUE!</v>
      </c>
      <c r="R1136" s="21" t="str">
        <f>_xll.RssMarket(A1136,"後場始値")</f>
        <v>表示銘柄数超過</v>
      </c>
      <c r="S1136" s="25" t="str">
        <f t="shared" si="103"/>
        <v>-</v>
      </c>
      <c r="T1136" s="7" t="str">
        <f>_xll.RssMarket(A1136,"出来高加重平均")</f>
        <v>表示銘柄数超過</v>
      </c>
      <c r="U1136" s="4" t="e">
        <f t="shared" si="104"/>
        <v>#VALUE!</v>
      </c>
      <c r="V1136" s="21" t="str">
        <f>_xll.RssMarket(A1136,"出来高")</f>
        <v>表示銘柄数超過</v>
      </c>
      <c r="W1136" s="21" t="str">
        <f>_xll.RssMarket(A1136,"売買代金")</f>
        <v>表示銘柄数超過</v>
      </c>
      <c r="X1136" s="20" t="str">
        <f>_xll.RssMarket(A1136,"決算発表日")</f>
        <v>表示銘柄数超過</v>
      </c>
      <c r="Y1136" s="26" t="str">
        <f>IF(C1136&gt;_xll.RssMarket(A1136,"年初来高値"),"○","×")</f>
        <v>×</v>
      </c>
      <c r="Z1136" s="27" t="str">
        <f>IF(C1136&lt;=_xll.RssMarket(A1136,"年初来安値"),"○","×")</f>
        <v>○</v>
      </c>
    </row>
    <row r="1137" spans="1:26" x14ac:dyDescent="0.25">
      <c r="A1137" s="49">
        <v>9475</v>
      </c>
      <c r="B1137" s="20" t="str">
        <f>_xll.RssMarket(A1137,"銘柄名称")</f>
        <v>表示銘柄数超過</v>
      </c>
      <c r="C1137" s="21" t="str">
        <f>_xll.RssMarket(A1137,"現在値")</f>
        <v>表示銘柄数超過</v>
      </c>
      <c r="D1137" s="20" t="str">
        <f>_xll.RssMarket(A1137,"現在値詳細時刻")</f>
        <v>表示銘柄数超過</v>
      </c>
      <c r="E1137" s="22" t="str">
        <f>_xll.RssMarket(A1137,"前日比")</f>
        <v>表示銘柄数超過</v>
      </c>
      <c r="F1137" s="23" t="e">
        <f>_xll.RssMarket(A1137,"前日比率")/100</f>
        <v>#VALUE!</v>
      </c>
      <c r="G1137" s="24" t="str">
        <f>IFERROR(VLOOKUP(A1137,取得元!$A$2:$F$501,2,FALSE),"-")</f>
        <v>-</v>
      </c>
      <c r="H1137" s="24" t="str">
        <f>IFERROR(VLOOKUP(A1137,取得元!$A$2:$F$501,3,FALSE),"-")</f>
        <v>-</v>
      </c>
      <c r="I1137" s="24" t="str">
        <f>IFERROR(VLOOKUP(A1137,取得元!$A$2:$F$501,4,FALSE),"-")</f>
        <v>-</v>
      </c>
      <c r="J1137" s="5" t="str">
        <f>IFERROR(VLOOKUP(A1137,取得元!$A$2:$F$501,5,FALSE),"-")</f>
        <v>-</v>
      </c>
      <c r="K1137" s="25" t="str">
        <f>IFERROR(VLOOKUP(A1137,取得元!$A$2:$F$501,6,FALSE)/100,"-")</f>
        <v>-</v>
      </c>
      <c r="L1137" s="21" t="str">
        <f>_xll.RssMarket(A1137,"始値")</f>
        <v>表示銘柄数超過</v>
      </c>
      <c r="M1137" s="4" t="e">
        <f t="shared" si="100"/>
        <v>#VALUE!</v>
      </c>
      <c r="N1137" s="21" t="str">
        <f>_xll.RssMarket(A1137,"高値")</f>
        <v>表示銘柄数超過</v>
      </c>
      <c r="O1137" s="4" t="e">
        <f t="shared" si="101"/>
        <v>#VALUE!</v>
      </c>
      <c r="P1137" s="21" t="str">
        <f>_xll.RssMarket(A1137,"安値")</f>
        <v>表示銘柄数超過</v>
      </c>
      <c r="Q1137" s="4" t="e">
        <f t="shared" si="102"/>
        <v>#VALUE!</v>
      </c>
      <c r="R1137" s="21" t="str">
        <f>_xll.RssMarket(A1137,"後場始値")</f>
        <v>表示銘柄数超過</v>
      </c>
      <c r="S1137" s="25" t="str">
        <f t="shared" si="103"/>
        <v>-</v>
      </c>
      <c r="T1137" s="7" t="str">
        <f>_xll.RssMarket(A1137,"出来高加重平均")</f>
        <v>表示銘柄数超過</v>
      </c>
      <c r="U1137" s="4" t="e">
        <f t="shared" si="104"/>
        <v>#VALUE!</v>
      </c>
      <c r="V1137" s="21" t="str">
        <f>_xll.RssMarket(A1137,"出来高")</f>
        <v>表示銘柄数超過</v>
      </c>
      <c r="W1137" s="21" t="str">
        <f>_xll.RssMarket(A1137,"売買代金")</f>
        <v>表示銘柄数超過</v>
      </c>
      <c r="X1137" s="20" t="str">
        <f>_xll.RssMarket(A1137,"決算発表日")</f>
        <v>表示銘柄数超過</v>
      </c>
      <c r="Y1137" s="26" t="str">
        <f>IF(C1137&gt;_xll.RssMarket(A1137,"年初来高値"),"○","×")</f>
        <v>×</v>
      </c>
      <c r="Z1137" s="27" t="str">
        <f>IF(C1137&lt;=_xll.RssMarket(A1137,"年初来安値"),"○","×")</f>
        <v>○</v>
      </c>
    </row>
    <row r="1138" spans="1:26" x14ac:dyDescent="0.25">
      <c r="A1138" s="47">
        <v>9476</v>
      </c>
      <c r="B1138" s="20" t="str">
        <f>_xll.RssMarket(A1138,"銘柄名称")</f>
        <v>表示銘柄数超過</v>
      </c>
      <c r="C1138" s="21" t="str">
        <f>_xll.RssMarket(A1138,"現在値")</f>
        <v>表示銘柄数超過</v>
      </c>
      <c r="D1138" s="20" t="str">
        <f>_xll.RssMarket(A1138,"現在値詳細時刻")</f>
        <v>表示銘柄数超過</v>
      </c>
      <c r="E1138" s="22" t="str">
        <f>_xll.RssMarket(A1138,"前日比")</f>
        <v>表示銘柄数超過</v>
      </c>
      <c r="F1138" s="23" t="e">
        <f>_xll.RssMarket(A1138,"前日比率")/100</f>
        <v>#VALUE!</v>
      </c>
      <c r="G1138" s="24" t="str">
        <f>IFERROR(VLOOKUP(A1138,取得元!$A$2:$F$501,2,FALSE),"-")</f>
        <v>-</v>
      </c>
      <c r="H1138" s="24" t="str">
        <f>IFERROR(VLOOKUP(A1138,取得元!$A$2:$F$501,3,FALSE),"-")</f>
        <v>-</v>
      </c>
      <c r="I1138" s="24" t="str">
        <f>IFERROR(VLOOKUP(A1138,取得元!$A$2:$F$501,4,FALSE),"-")</f>
        <v>-</v>
      </c>
      <c r="J1138" s="5" t="str">
        <f>IFERROR(VLOOKUP(A1138,取得元!$A$2:$F$501,5,FALSE),"-")</f>
        <v>-</v>
      </c>
      <c r="K1138" s="25" t="str">
        <f>IFERROR(VLOOKUP(A1138,取得元!$A$2:$F$501,6,FALSE)/100,"-")</f>
        <v>-</v>
      </c>
      <c r="L1138" s="21" t="str">
        <f>_xll.RssMarket(A1138,"始値")</f>
        <v>表示銘柄数超過</v>
      </c>
      <c r="M1138" s="4" t="e">
        <f t="shared" si="100"/>
        <v>#VALUE!</v>
      </c>
      <c r="N1138" s="21" t="str">
        <f>_xll.RssMarket(A1138,"高値")</f>
        <v>表示銘柄数超過</v>
      </c>
      <c r="O1138" s="4" t="e">
        <f t="shared" si="101"/>
        <v>#VALUE!</v>
      </c>
      <c r="P1138" s="21" t="str">
        <f>_xll.RssMarket(A1138,"安値")</f>
        <v>表示銘柄数超過</v>
      </c>
      <c r="Q1138" s="4" t="e">
        <f t="shared" si="102"/>
        <v>#VALUE!</v>
      </c>
      <c r="R1138" s="21" t="str">
        <f>_xll.RssMarket(A1138,"後場始値")</f>
        <v>表示銘柄数超過</v>
      </c>
      <c r="S1138" s="25" t="str">
        <f t="shared" si="103"/>
        <v>-</v>
      </c>
      <c r="T1138" s="7" t="str">
        <f>_xll.RssMarket(A1138,"出来高加重平均")</f>
        <v>表示銘柄数超過</v>
      </c>
      <c r="U1138" s="4" t="e">
        <f t="shared" si="104"/>
        <v>#VALUE!</v>
      </c>
      <c r="V1138" s="21" t="str">
        <f>_xll.RssMarket(A1138,"出来高")</f>
        <v>表示銘柄数超過</v>
      </c>
      <c r="W1138" s="21" t="str">
        <f>_xll.RssMarket(A1138,"売買代金")</f>
        <v>表示銘柄数超過</v>
      </c>
      <c r="X1138" s="20" t="str">
        <f>_xll.RssMarket(A1138,"決算発表日")</f>
        <v>表示銘柄数超過</v>
      </c>
      <c r="Y1138" s="26" t="str">
        <f>IF(C1138&gt;_xll.RssMarket(A1138,"年初来高値"),"○","×")</f>
        <v>×</v>
      </c>
      <c r="Z1138" s="27" t="str">
        <f>IF(C1138&lt;=_xll.RssMarket(A1138,"年初来安値"),"○","×")</f>
        <v>○</v>
      </c>
    </row>
    <row r="1139" spans="1:26" x14ac:dyDescent="0.25">
      <c r="A1139" s="49">
        <v>9479</v>
      </c>
      <c r="B1139" s="20" t="str">
        <f>_xll.RssMarket(A1139,"銘柄名称")</f>
        <v>表示銘柄数超過</v>
      </c>
      <c r="C1139" s="21" t="str">
        <f>_xll.RssMarket(A1139,"現在値")</f>
        <v>表示銘柄数超過</v>
      </c>
      <c r="D1139" s="20" t="str">
        <f>_xll.RssMarket(A1139,"現在値詳細時刻")</f>
        <v>表示銘柄数超過</v>
      </c>
      <c r="E1139" s="22" t="str">
        <f>_xll.RssMarket(A1139,"前日比")</f>
        <v>表示銘柄数超過</v>
      </c>
      <c r="F1139" s="23" t="e">
        <f>_xll.RssMarket(A1139,"前日比率")/100</f>
        <v>#VALUE!</v>
      </c>
      <c r="G1139" s="24" t="str">
        <f>IFERROR(VLOOKUP(A1139,取得元!$A$2:$F$501,2,FALSE),"-")</f>
        <v>-</v>
      </c>
      <c r="H1139" s="24" t="str">
        <f>IFERROR(VLOOKUP(A1139,取得元!$A$2:$F$501,3,FALSE),"-")</f>
        <v>-</v>
      </c>
      <c r="I1139" s="24" t="str">
        <f>IFERROR(VLOOKUP(A1139,取得元!$A$2:$F$501,4,FALSE),"-")</f>
        <v>-</v>
      </c>
      <c r="J1139" s="5" t="str">
        <f>IFERROR(VLOOKUP(A1139,取得元!$A$2:$F$501,5,FALSE),"-")</f>
        <v>-</v>
      </c>
      <c r="K1139" s="25" t="str">
        <f>IFERROR(VLOOKUP(A1139,取得元!$A$2:$F$501,6,FALSE)/100,"-")</f>
        <v>-</v>
      </c>
      <c r="L1139" s="21" t="str">
        <f>_xll.RssMarket(A1139,"始値")</f>
        <v>表示銘柄数超過</v>
      </c>
      <c r="M1139" s="4" t="e">
        <f t="shared" si="100"/>
        <v>#VALUE!</v>
      </c>
      <c r="N1139" s="21" t="str">
        <f>_xll.RssMarket(A1139,"高値")</f>
        <v>表示銘柄数超過</v>
      </c>
      <c r="O1139" s="4" t="e">
        <f t="shared" si="101"/>
        <v>#VALUE!</v>
      </c>
      <c r="P1139" s="21" t="str">
        <f>_xll.RssMarket(A1139,"安値")</f>
        <v>表示銘柄数超過</v>
      </c>
      <c r="Q1139" s="4" t="e">
        <f t="shared" si="102"/>
        <v>#VALUE!</v>
      </c>
      <c r="R1139" s="21" t="str">
        <f>_xll.RssMarket(A1139,"後場始値")</f>
        <v>表示銘柄数超過</v>
      </c>
      <c r="S1139" s="25" t="str">
        <f t="shared" si="103"/>
        <v>-</v>
      </c>
      <c r="T1139" s="7" t="str">
        <f>_xll.RssMarket(A1139,"出来高加重平均")</f>
        <v>表示銘柄数超過</v>
      </c>
      <c r="U1139" s="4" t="e">
        <f t="shared" si="104"/>
        <v>#VALUE!</v>
      </c>
      <c r="V1139" s="21" t="str">
        <f>_xll.RssMarket(A1139,"出来高")</f>
        <v>表示銘柄数超過</v>
      </c>
      <c r="W1139" s="21" t="str">
        <f>_xll.RssMarket(A1139,"売買代金")</f>
        <v>表示銘柄数超過</v>
      </c>
      <c r="X1139" s="20" t="str">
        <f>_xll.RssMarket(A1139,"決算発表日")</f>
        <v>表示銘柄数超過</v>
      </c>
      <c r="Y1139" s="26" t="str">
        <f>IF(C1139&gt;_xll.RssMarket(A1139,"年初来高値"),"○","×")</f>
        <v>×</v>
      </c>
      <c r="Z1139" s="27" t="str">
        <f>IF(C1139&lt;=_xll.RssMarket(A1139,"年初来安値"),"○","×")</f>
        <v>○</v>
      </c>
    </row>
    <row r="1140" spans="1:26" x14ac:dyDescent="0.25">
      <c r="A1140" s="47">
        <v>9501</v>
      </c>
      <c r="B1140" s="20" t="str">
        <f>_xll.RssMarket(A1140,"銘柄名称")</f>
        <v>表示銘柄数超過</v>
      </c>
      <c r="C1140" s="21" t="str">
        <f>_xll.RssMarket(A1140,"現在値")</f>
        <v>表示銘柄数超過</v>
      </c>
      <c r="D1140" s="20" t="str">
        <f>_xll.RssMarket(A1140,"現在値詳細時刻")</f>
        <v>表示銘柄数超過</v>
      </c>
      <c r="E1140" s="22" t="str">
        <f>_xll.RssMarket(A1140,"前日比")</f>
        <v>表示銘柄数超過</v>
      </c>
      <c r="F1140" s="23" t="e">
        <f>_xll.RssMarket(A1140,"前日比率")/100</f>
        <v>#VALUE!</v>
      </c>
      <c r="G1140" s="24" t="str">
        <f>IFERROR(VLOOKUP(A1140,取得元!$A$2:$F$501,2,FALSE),"-")</f>
        <v>-</v>
      </c>
      <c r="H1140" s="24" t="str">
        <f>IFERROR(VLOOKUP(A1140,取得元!$A$2:$F$501,3,FALSE),"-")</f>
        <v>-</v>
      </c>
      <c r="I1140" s="24" t="str">
        <f>IFERROR(VLOOKUP(A1140,取得元!$A$2:$F$501,4,FALSE),"-")</f>
        <v>-</v>
      </c>
      <c r="J1140" s="5" t="str">
        <f>IFERROR(VLOOKUP(A1140,取得元!$A$2:$F$501,5,FALSE),"-")</f>
        <v>-</v>
      </c>
      <c r="K1140" s="25" t="str">
        <f>IFERROR(VLOOKUP(A1140,取得元!$A$2:$F$501,6,FALSE)/100,"-")</f>
        <v>-</v>
      </c>
      <c r="L1140" s="21" t="str">
        <f>_xll.RssMarket(A1140,"始値")</f>
        <v>表示銘柄数超過</v>
      </c>
      <c r="M1140" s="4" t="e">
        <f t="shared" si="100"/>
        <v>#VALUE!</v>
      </c>
      <c r="N1140" s="21" t="str">
        <f>_xll.RssMarket(A1140,"高値")</f>
        <v>表示銘柄数超過</v>
      </c>
      <c r="O1140" s="4" t="e">
        <f t="shared" si="101"/>
        <v>#VALUE!</v>
      </c>
      <c r="P1140" s="21" t="str">
        <f>_xll.RssMarket(A1140,"安値")</f>
        <v>表示銘柄数超過</v>
      </c>
      <c r="Q1140" s="4" t="e">
        <f t="shared" si="102"/>
        <v>#VALUE!</v>
      </c>
      <c r="R1140" s="21" t="str">
        <f>_xll.RssMarket(A1140,"後場始値")</f>
        <v>表示銘柄数超過</v>
      </c>
      <c r="S1140" s="25" t="str">
        <f t="shared" si="103"/>
        <v>-</v>
      </c>
      <c r="T1140" s="7" t="str">
        <f>_xll.RssMarket(A1140,"出来高加重平均")</f>
        <v>表示銘柄数超過</v>
      </c>
      <c r="U1140" s="4" t="e">
        <f t="shared" si="104"/>
        <v>#VALUE!</v>
      </c>
      <c r="V1140" s="21" t="str">
        <f>_xll.RssMarket(A1140,"出来高")</f>
        <v>表示銘柄数超過</v>
      </c>
      <c r="W1140" s="21" t="str">
        <f>_xll.RssMarket(A1140,"売買代金")</f>
        <v>表示銘柄数超過</v>
      </c>
      <c r="X1140" s="20" t="str">
        <f>_xll.RssMarket(A1140,"決算発表日")</f>
        <v>表示銘柄数超過</v>
      </c>
      <c r="Y1140" s="26" t="str">
        <f>IF(C1140&gt;_xll.RssMarket(A1140,"年初来高値"),"○","×")</f>
        <v>×</v>
      </c>
      <c r="Z1140" s="27" t="str">
        <f>IF(C1140&lt;=_xll.RssMarket(A1140,"年初来安値"),"○","×")</f>
        <v>○</v>
      </c>
    </row>
    <row r="1141" spans="1:26" x14ac:dyDescent="0.25">
      <c r="A1141" s="49">
        <v>9502</v>
      </c>
      <c r="B1141" s="20" t="str">
        <f>_xll.RssMarket(A1141,"銘柄名称")</f>
        <v>表示銘柄数超過</v>
      </c>
      <c r="C1141" s="21" t="str">
        <f>_xll.RssMarket(A1141,"現在値")</f>
        <v>表示銘柄数超過</v>
      </c>
      <c r="D1141" s="20" t="str">
        <f>_xll.RssMarket(A1141,"現在値詳細時刻")</f>
        <v>表示銘柄数超過</v>
      </c>
      <c r="E1141" s="22" t="str">
        <f>_xll.RssMarket(A1141,"前日比")</f>
        <v>表示銘柄数超過</v>
      </c>
      <c r="F1141" s="23" t="e">
        <f>_xll.RssMarket(A1141,"前日比率")/100</f>
        <v>#VALUE!</v>
      </c>
      <c r="G1141" s="24" t="str">
        <f>IFERROR(VLOOKUP(A1141,取得元!$A$2:$F$501,2,FALSE),"-")</f>
        <v>-</v>
      </c>
      <c r="H1141" s="24" t="str">
        <f>IFERROR(VLOOKUP(A1141,取得元!$A$2:$F$501,3,FALSE),"-")</f>
        <v>-</v>
      </c>
      <c r="I1141" s="24" t="str">
        <f>IFERROR(VLOOKUP(A1141,取得元!$A$2:$F$501,4,FALSE),"-")</f>
        <v>-</v>
      </c>
      <c r="J1141" s="5" t="str">
        <f>IFERROR(VLOOKUP(A1141,取得元!$A$2:$F$501,5,FALSE),"-")</f>
        <v>-</v>
      </c>
      <c r="K1141" s="25" t="str">
        <f>IFERROR(VLOOKUP(A1141,取得元!$A$2:$F$501,6,FALSE)/100,"-")</f>
        <v>-</v>
      </c>
      <c r="L1141" s="21" t="str">
        <f>_xll.RssMarket(A1141,"始値")</f>
        <v>表示銘柄数超過</v>
      </c>
      <c r="M1141" s="4" t="e">
        <f t="shared" si="100"/>
        <v>#VALUE!</v>
      </c>
      <c r="N1141" s="21" t="str">
        <f>_xll.RssMarket(A1141,"高値")</f>
        <v>表示銘柄数超過</v>
      </c>
      <c r="O1141" s="4" t="e">
        <f t="shared" si="101"/>
        <v>#VALUE!</v>
      </c>
      <c r="P1141" s="21" t="str">
        <f>_xll.RssMarket(A1141,"安値")</f>
        <v>表示銘柄数超過</v>
      </c>
      <c r="Q1141" s="4" t="e">
        <f t="shared" si="102"/>
        <v>#VALUE!</v>
      </c>
      <c r="R1141" s="21" t="str">
        <f>_xll.RssMarket(A1141,"後場始値")</f>
        <v>表示銘柄数超過</v>
      </c>
      <c r="S1141" s="25" t="str">
        <f t="shared" si="103"/>
        <v>-</v>
      </c>
      <c r="T1141" s="7" t="str">
        <f>_xll.RssMarket(A1141,"出来高加重平均")</f>
        <v>表示銘柄数超過</v>
      </c>
      <c r="U1141" s="4" t="e">
        <f t="shared" si="104"/>
        <v>#VALUE!</v>
      </c>
      <c r="V1141" s="21" t="str">
        <f>_xll.RssMarket(A1141,"出来高")</f>
        <v>表示銘柄数超過</v>
      </c>
      <c r="W1141" s="21" t="str">
        <f>_xll.RssMarket(A1141,"売買代金")</f>
        <v>表示銘柄数超過</v>
      </c>
      <c r="X1141" s="20" t="str">
        <f>_xll.RssMarket(A1141,"決算発表日")</f>
        <v>表示銘柄数超過</v>
      </c>
      <c r="Y1141" s="26" t="str">
        <f>IF(C1141&gt;_xll.RssMarket(A1141,"年初来高値"),"○","×")</f>
        <v>×</v>
      </c>
      <c r="Z1141" s="27" t="str">
        <f>IF(C1141&lt;=_xll.RssMarket(A1141,"年初来安値"),"○","×")</f>
        <v>○</v>
      </c>
    </row>
    <row r="1142" spans="1:26" x14ac:dyDescent="0.25">
      <c r="A1142" s="47">
        <v>9503</v>
      </c>
      <c r="B1142" s="20" t="str">
        <f>_xll.RssMarket(A1142,"銘柄名称")</f>
        <v>表示銘柄数超過</v>
      </c>
      <c r="C1142" s="21" t="str">
        <f>_xll.RssMarket(A1142,"現在値")</f>
        <v>表示銘柄数超過</v>
      </c>
      <c r="D1142" s="20" t="str">
        <f>_xll.RssMarket(A1142,"現在値詳細時刻")</f>
        <v>表示銘柄数超過</v>
      </c>
      <c r="E1142" s="22" t="str">
        <f>_xll.RssMarket(A1142,"前日比")</f>
        <v>表示銘柄数超過</v>
      </c>
      <c r="F1142" s="23" t="e">
        <f>_xll.RssMarket(A1142,"前日比率")/100</f>
        <v>#VALUE!</v>
      </c>
      <c r="G1142" s="24" t="str">
        <f>IFERROR(VLOOKUP(A1142,取得元!$A$2:$F$501,2,FALSE),"-")</f>
        <v>-</v>
      </c>
      <c r="H1142" s="24" t="str">
        <f>IFERROR(VLOOKUP(A1142,取得元!$A$2:$F$501,3,FALSE),"-")</f>
        <v>-</v>
      </c>
      <c r="I1142" s="24" t="str">
        <f>IFERROR(VLOOKUP(A1142,取得元!$A$2:$F$501,4,FALSE),"-")</f>
        <v>-</v>
      </c>
      <c r="J1142" s="5" t="str">
        <f>IFERROR(VLOOKUP(A1142,取得元!$A$2:$F$501,5,FALSE),"-")</f>
        <v>-</v>
      </c>
      <c r="K1142" s="25" t="str">
        <f>IFERROR(VLOOKUP(A1142,取得元!$A$2:$F$501,6,FALSE)/100,"-")</f>
        <v>-</v>
      </c>
      <c r="L1142" s="21" t="str">
        <f>_xll.RssMarket(A1142,"始値")</f>
        <v>表示銘柄数超過</v>
      </c>
      <c r="M1142" s="4" t="e">
        <f t="shared" si="100"/>
        <v>#VALUE!</v>
      </c>
      <c r="N1142" s="21" t="str">
        <f>_xll.RssMarket(A1142,"高値")</f>
        <v>表示銘柄数超過</v>
      </c>
      <c r="O1142" s="4" t="e">
        <f t="shared" si="101"/>
        <v>#VALUE!</v>
      </c>
      <c r="P1142" s="21" t="str">
        <f>_xll.RssMarket(A1142,"安値")</f>
        <v>表示銘柄数超過</v>
      </c>
      <c r="Q1142" s="4" t="e">
        <f t="shared" si="102"/>
        <v>#VALUE!</v>
      </c>
      <c r="R1142" s="21" t="str">
        <f>_xll.RssMarket(A1142,"後場始値")</f>
        <v>表示銘柄数超過</v>
      </c>
      <c r="S1142" s="25" t="str">
        <f t="shared" si="103"/>
        <v>-</v>
      </c>
      <c r="T1142" s="7" t="str">
        <f>_xll.RssMarket(A1142,"出来高加重平均")</f>
        <v>表示銘柄数超過</v>
      </c>
      <c r="U1142" s="4" t="e">
        <f t="shared" si="104"/>
        <v>#VALUE!</v>
      </c>
      <c r="V1142" s="21" t="str">
        <f>_xll.RssMarket(A1142,"出来高")</f>
        <v>表示銘柄数超過</v>
      </c>
      <c r="W1142" s="21" t="str">
        <f>_xll.RssMarket(A1142,"売買代金")</f>
        <v>表示銘柄数超過</v>
      </c>
      <c r="X1142" s="20" t="str">
        <f>_xll.RssMarket(A1142,"決算発表日")</f>
        <v>表示銘柄数超過</v>
      </c>
      <c r="Y1142" s="26" t="str">
        <f>IF(C1142&gt;_xll.RssMarket(A1142,"年初来高値"),"○","×")</f>
        <v>×</v>
      </c>
      <c r="Z1142" s="27" t="str">
        <f>IF(C1142&lt;=_xll.RssMarket(A1142,"年初来安値"),"○","×")</f>
        <v>○</v>
      </c>
    </row>
    <row r="1143" spans="1:26" x14ac:dyDescent="0.25">
      <c r="A1143" s="49">
        <v>9504</v>
      </c>
      <c r="B1143" s="20" t="str">
        <f>_xll.RssMarket(A1143,"銘柄名称")</f>
        <v>表示銘柄数超過</v>
      </c>
      <c r="C1143" s="21" t="str">
        <f>_xll.RssMarket(A1143,"現在値")</f>
        <v>表示銘柄数超過</v>
      </c>
      <c r="D1143" s="20" t="str">
        <f>_xll.RssMarket(A1143,"現在値詳細時刻")</f>
        <v>表示銘柄数超過</v>
      </c>
      <c r="E1143" s="22" t="str">
        <f>_xll.RssMarket(A1143,"前日比")</f>
        <v>表示銘柄数超過</v>
      </c>
      <c r="F1143" s="23" t="e">
        <f>_xll.RssMarket(A1143,"前日比率")/100</f>
        <v>#VALUE!</v>
      </c>
      <c r="G1143" s="24" t="str">
        <f>IFERROR(VLOOKUP(A1143,取得元!$A$2:$F$501,2,FALSE),"-")</f>
        <v>-</v>
      </c>
      <c r="H1143" s="24" t="str">
        <f>IFERROR(VLOOKUP(A1143,取得元!$A$2:$F$501,3,FALSE),"-")</f>
        <v>-</v>
      </c>
      <c r="I1143" s="24" t="str">
        <f>IFERROR(VLOOKUP(A1143,取得元!$A$2:$F$501,4,FALSE),"-")</f>
        <v>-</v>
      </c>
      <c r="J1143" s="5" t="str">
        <f>IFERROR(VLOOKUP(A1143,取得元!$A$2:$F$501,5,FALSE),"-")</f>
        <v>-</v>
      </c>
      <c r="K1143" s="25" t="str">
        <f>IFERROR(VLOOKUP(A1143,取得元!$A$2:$F$501,6,FALSE)/100,"-")</f>
        <v>-</v>
      </c>
      <c r="L1143" s="21" t="str">
        <f>_xll.RssMarket(A1143,"始値")</f>
        <v>表示銘柄数超過</v>
      </c>
      <c r="M1143" s="4" t="e">
        <f t="shared" si="100"/>
        <v>#VALUE!</v>
      </c>
      <c r="N1143" s="21" t="str">
        <f>_xll.RssMarket(A1143,"高値")</f>
        <v>表示銘柄数超過</v>
      </c>
      <c r="O1143" s="4" t="e">
        <f t="shared" si="101"/>
        <v>#VALUE!</v>
      </c>
      <c r="P1143" s="21" t="str">
        <f>_xll.RssMarket(A1143,"安値")</f>
        <v>表示銘柄数超過</v>
      </c>
      <c r="Q1143" s="4" t="e">
        <f t="shared" si="102"/>
        <v>#VALUE!</v>
      </c>
      <c r="R1143" s="21" t="str">
        <f>_xll.RssMarket(A1143,"後場始値")</f>
        <v>表示銘柄数超過</v>
      </c>
      <c r="S1143" s="25" t="str">
        <f t="shared" si="103"/>
        <v>-</v>
      </c>
      <c r="T1143" s="7" t="str">
        <f>_xll.RssMarket(A1143,"出来高加重平均")</f>
        <v>表示銘柄数超過</v>
      </c>
      <c r="U1143" s="4" t="e">
        <f t="shared" si="104"/>
        <v>#VALUE!</v>
      </c>
      <c r="V1143" s="21" t="str">
        <f>_xll.RssMarket(A1143,"出来高")</f>
        <v>表示銘柄数超過</v>
      </c>
      <c r="W1143" s="21" t="str">
        <f>_xll.RssMarket(A1143,"売買代金")</f>
        <v>表示銘柄数超過</v>
      </c>
      <c r="X1143" s="20" t="str">
        <f>_xll.RssMarket(A1143,"決算発表日")</f>
        <v>表示銘柄数超過</v>
      </c>
      <c r="Y1143" s="26" t="str">
        <f>IF(C1143&gt;_xll.RssMarket(A1143,"年初来高値"),"○","×")</f>
        <v>×</v>
      </c>
      <c r="Z1143" s="27" t="str">
        <f>IF(C1143&lt;=_xll.RssMarket(A1143,"年初来安値"),"○","×")</f>
        <v>○</v>
      </c>
    </row>
    <row r="1144" spans="1:26" x14ac:dyDescent="0.25">
      <c r="A1144" s="47">
        <v>9505</v>
      </c>
      <c r="B1144" s="20" t="str">
        <f>_xll.RssMarket(A1144,"銘柄名称")</f>
        <v>表示銘柄数超過</v>
      </c>
      <c r="C1144" s="21" t="str">
        <f>_xll.RssMarket(A1144,"現在値")</f>
        <v>表示銘柄数超過</v>
      </c>
      <c r="D1144" s="20" t="str">
        <f>_xll.RssMarket(A1144,"現在値詳細時刻")</f>
        <v>表示銘柄数超過</v>
      </c>
      <c r="E1144" s="22" t="str">
        <f>_xll.RssMarket(A1144,"前日比")</f>
        <v>表示銘柄数超過</v>
      </c>
      <c r="F1144" s="23" t="e">
        <f>_xll.RssMarket(A1144,"前日比率")/100</f>
        <v>#VALUE!</v>
      </c>
      <c r="G1144" s="24" t="str">
        <f>IFERROR(VLOOKUP(A1144,取得元!$A$2:$F$501,2,FALSE),"-")</f>
        <v>-</v>
      </c>
      <c r="H1144" s="24" t="str">
        <f>IFERROR(VLOOKUP(A1144,取得元!$A$2:$F$501,3,FALSE),"-")</f>
        <v>-</v>
      </c>
      <c r="I1144" s="24" t="str">
        <f>IFERROR(VLOOKUP(A1144,取得元!$A$2:$F$501,4,FALSE),"-")</f>
        <v>-</v>
      </c>
      <c r="J1144" s="5" t="str">
        <f>IFERROR(VLOOKUP(A1144,取得元!$A$2:$F$501,5,FALSE),"-")</f>
        <v>-</v>
      </c>
      <c r="K1144" s="25" t="str">
        <f>IFERROR(VLOOKUP(A1144,取得元!$A$2:$F$501,6,FALSE)/100,"-")</f>
        <v>-</v>
      </c>
      <c r="L1144" s="21" t="str">
        <f>_xll.RssMarket(A1144,"始値")</f>
        <v>表示銘柄数超過</v>
      </c>
      <c r="M1144" s="4" t="e">
        <f t="shared" si="100"/>
        <v>#VALUE!</v>
      </c>
      <c r="N1144" s="21" t="str">
        <f>_xll.RssMarket(A1144,"高値")</f>
        <v>表示銘柄数超過</v>
      </c>
      <c r="O1144" s="4" t="e">
        <f t="shared" si="101"/>
        <v>#VALUE!</v>
      </c>
      <c r="P1144" s="21" t="str">
        <f>_xll.RssMarket(A1144,"安値")</f>
        <v>表示銘柄数超過</v>
      </c>
      <c r="Q1144" s="4" t="e">
        <f t="shared" si="102"/>
        <v>#VALUE!</v>
      </c>
      <c r="R1144" s="21" t="str">
        <f>_xll.RssMarket(A1144,"後場始値")</f>
        <v>表示銘柄数超過</v>
      </c>
      <c r="S1144" s="25" t="str">
        <f t="shared" si="103"/>
        <v>-</v>
      </c>
      <c r="T1144" s="7" t="str">
        <f>_xll.RssMarket(A1144,"出来高加重平均")</f>
        <v>表示銘柄数超過</v>
      </c>
      <c r="U1144" s="4" t="e">
        <f t="shared" si="104"/>
        <v>#VALUE!</v>
      </c>
      <c r="V1144" s="21" t="str">
        <f>_xll.RssMarket(A1144,"出来高")</f>
        <v>表示銘柄数超過</v>
      </c>
      <c r="W1144" s="21" t="str">
        <f>_xll.RssMarket(A1144,"売買代金")</f>
        <v>表示銘柄数超過</v>
      </c>
      <c r="X1144" s="20" t="str">
        <f>_xll.RssMarket(A1144,"決算発表日")</f>
        <v>表示銘柄数超過</v>
      </c>
      <c r="Y1144" s="26" t="str">
        <f>IF(C1144&gt;_xll.RssMarket(A1144,"年初来高値"),"○","×")</f>
        <v>×</v>
      </c>
      <c r="Z1144" s="27" t="str">
        <f>IF(C1144&lt;=_xll.RssMarket(A1144,"年初来安値"),"○","×")</f>
        <v>○</v>
      </c>
    </row>
    <row r="1145" spans="1:26" x14ac:dyDescent="0.25">
      <c r="A1145" s="49">
        <v>9506</v>
      </c>
      <c r="B1145" s="20" t="str">
        <f>_xll.RssMarket(A1145,"銘柄名称")</f>
        <v>表示銘柄数超過</v>
      </c>
      <c r="C1145" s="21" t="str">
        <f>_xll.RssMarket(A1145,"現在値")</f>
        <v>表示銘柄数超過</v>
      </c>
      <c r="D1145" s="20" t="str">
        <f>_xll.RssMarket(A1145,"現在値詳細時刻")</f>
        <v>表示銘柄数超過</v>
      </c>
      <c r="E1145" s="22" t="str">
        <f>_xll.RssMarket(A1145,"前日比")</f>
        <v>表示銘柄数超過</v>
      </c>
      <c r="F1145" s="23" t="e">
        <f>_xll.RssMarket(A1145,"前日比率")/100</f>
        <v>#VALUE!</v>
      </c>
      <c r="G1145" s="24" t="str">
        <f>IFERROR(VLOOKUP(A1145,取得元!$A$2:$F$501,2,FALSE),"-")</f>
        <v>-</v>
      </c>
      <c r="H1145" s="24" t="str">
        <f>IFERROR(VLOOKUP(A1145,取得元!$A$2:$F$501,3,FALSE),"-")</f>
        <v>-</v>
      </c>
      <c r="I1145" s="24" t="str">
        <f>IFERROR(VLOOKUP(A1145,取得元!$A$2:$F$501,4,FALSE),"-")</f>
        <v>-</v>
      </c>
      <c r="J1145" s="5" t="str">
        <f>IFERROR(VLOOKUP(A1145,取得元!$A$2:$F$501,5,FALSE),"-")</f>
        <v>-</v>
      </c>
      <c r="K1145" s="25" t="str">
        <f>IFERROR(VLOOKUP(A1145,取得元!$A$2:$F$501,6,FALSE)/100,"-")</f>
        <v>-</v>
      </c>
      <c r="L1145" s="21" t="str">
        <f>_xll.RssMarket(A1145,"始値")</f>
        <v>表示銘柄数超過</v>
      </c>
      <c r="M1145" s="4" t="e">
        <f t="shared" si="100"/>
        <v>#VALUE!</v>
      </c>
      <c r="N1145" s="21" t="str">
        <f>_xll.RssMarket(A1145,"高値")</f>
        <v>表示銘柄数超過</v>
      </c>
      <c r="O1145" s="4" t="e">
        <f t="shared" si="101"/>
        <v>#VALUE!</v>
      </c>
      <c r="P1145" s="21" t="str">
        <f>_xll.RssMarket(A1145,"安値")</f>
        <v>表示銘柄数超過</v>
      </c>
      <c r="Q1145" s="4" t="e">
        <f t="shared" si="102"/>
        <v>#VALUE!</v>
      </c>
      <c r="R1145" s="21" t="str">
        <f>_xll.RssMarket(A1145,"後場始値")</f>
        <v>表示銘柄数超過</v>
      </c>
      <c r="S1145" s="25" t="str">
        <f t="shared" si="103"/>
        <v>-</v>
      </c>
      <c r="T1145" s="7" t="str">
        <f>_xll.RssMarket(A1145,"出来高加重平均")</f>
        <v>表示銘柄数超過</v>
      </c>
      <c r="U1145" s="4" t="e">
        <f t="shared" si="104"/>
        <v>#VALUE!</v>
      </c>
      <c r="V1145" s="21" t="str">
        <f>_xll.RssMarket(A1145,"出来高")</f>
        <v>表示銘柄数超過</v>
      </c>
      <c r="W1145" s="21" t="str">
        <f>_xll.RssMarket(A1145,"売買代金")</f>
        <v>表示銘柄数超過</v>
      </c>
      <c r="X1145" s="20" t="str">
        <f>_xll.RssMarket(A1145,"決算発表日")</f>
        <v>表示銘柄数超過</v>
      </c>
      <c r="Y1145" s="26" t="str">
        <f>IF(C1145&gt;_xll.RssMarket(A1145,"年初来高値"),"○","×")</f>
        <v>×</v>
      </c>
      <c r="Z1145" s="27" t="str">
        <f>IF(C1145&lt;=_xll.RssMarket(A1145,"年初来安値"),"○","×")</f>
        <v>○</v>
      </c>
    </row>
    <row r="1146" spans="1:26" x14ac:dyDescent="0.25">
      <c r="A1146" s="47">
        <v>9507</v>
      </c>
      <c r="B1146" s="20" t="str">
        <f>_xll.RssMarket(A1146,"銘柄名称")</f>
        <v>表示銘柄数超過</v>
      </c>
      <c r="C1146" s="21" t="str">
        <f>_xll.RssMarket(A1146,"現在値")</f>
        <v>表示銘柄数超過</v>
      </c>
      <c r="D1146" s="20" t="str">
        <f>_xll.RssMarket(A1146,"現在値詳細時刻")</f>
        <v>表示銘柄数超過</v>
      </c>
      <c r="E1146" s="22" t="str">
        <f>_xll.RssMarket(A1146,"前日比")</f>
        <v>表示銘柄数超過</v>
      </c>
      <c r="F1146" s="23" t="e">
        <f>_xll.RssMarket(A1146,"前日比率")/100</f>
        <v>#VALUE!</v>
      </c>
      <c r="G1146" s="24" t="str">
        <f>IFERROR(VLOOKUP(A1146,取得元!$A$2:$F$501,2,FALSE),"-")</f>
        <v>-</v>
      </c>
      <c r="H1146" s="24" t="str">
        <f>IFERROR(VLOOKUP(A1146,取得元!$A$2:$F$501,3,FALSE),"-")</f>
        <v>-</v>
      </c>
      <c r="I1146" s="24" t="str">
        <f>IFERROR(VLOOKUP(A1146,取得元!$A$2:$F$501,4,FALSE),"-")</f>
        <v>-</v>
      </c>
      <c r="J1146" s="5" t="str">
        <f>IFERROR(VLOOKUP(A1146,取得元!$A$2:$F$501,5,FALSE),"-")</f>
        <v>-</v>
      </c>
      <c r="K1146" s="25" t="str">
        <f>IFERROR(VLOOKUP(A1146,取得元!$A$2:$F$501,6,FALSE)/100,"-")</f>
        <v>-</v>
      </c>
      <c r="L1146" s="21" t="str">
        <f>_xll.RssMarket(A1146,"始値")</f>
        <v>表示銘柄数超過</v>
      </c>
      <c r="M1146" s="4" t="e">
        <f t="shared" si="100"/>
        <v>#VALUE!</v>
      </c>
      <c r="N1146" s="21" t="str">
        <f>_xll.RssMarket(A1146,"高値")</f>
        <v>表示銘柄数超過</v>
      </c>
      <c r="O1146" s="4" t="e">
        <f t="shared" si="101"/>
        <v>#VALUE!</v>
      </c>
      <c r="P1146" s="21" t="str">
        <f>_xll.RssMarket(A1146,"安値")</f>
        <v>表示銘柄数超過</v>
      </c>
      <c r="Q1146" s="4" t="e">
        <f t="shared" si="102"/>
        <v>#VALUE!</v>
      </c>
      <c r="R1146" s="21" t="str">
        <f>_xll.RssMarket(A1146,"後場始値")</f>
        <v>表示銘柄数超過</v>
      </c>
      <c r="S1146" s="25" t="str">
        <f t="shared" si="103"/>
        <v>-</v>
      </c>
      <c r="T1146" s="7" t="str">
        <f>_xll.RssMarket(A1146,"出来高加重平均")</f>
        <v>表示銘柄数超過</v>
      </c>
      <c r="U1146" s="4" t="e">
        <f t="shared" si="104"/>
        <v>#VALUE!</v>
      </c>
      <c r="V1146" s="21" t="str">
        <f>_xll.RssMarket(A1146,"出来高")</f>
        <v>表示銘柄数超過</v>
      </c>
      <c r="W1146" s="21" t="str">
        <f>_xll.RssMarket(A1146,"売買代金")</f>
        <v>表示銘柄数超過</v>
      </c>
      <c r="X1146" s="20" t="str">
        <f>_xll.RssMarket(A1146,"決算発表日")</f>
        <v>表示銘柄数超過</v>
      </c>
      <c r="Y1146" s="26" t="str">
        <f>IF(C1146&gt;_xll.RssMarket(A1146,"年初来高値"),"○","×")</f>
        <v>×</v>
      </c>
      <c r="Z1146" s="27" t="str">
        <f>IF(C1146&lt;=_xll.RssMarket(A1146,"年初来安値"),"○","×")</f>
        <v>○</v>
      </c>
    </row>
    <row r="1147" spans="1:26" x14ac:dyDescent="0.25">
      <c r="A1147" s="49">
        <v>9508</v>
      </c>
      <c r="B1147" s="20" t="str">
        <f>_xll.RssMarket(A1147,"銘柄名称")</f>
        <v>表示銘柄数超過</v>
      </c>
      <c r="C1147" s="21" t="str">
        <f>_xll.RssMarket(A1147,"現在値")</f>
        <v>表示銘柄数超過</v>
      </c>
      <c r="D1147" s="20" t="str">
        <f>_xll.RssMarket(A1147,"現在値詳細時刻")</f>
        <v>表示銘柄数超過</v>
      </c>
      <c r="E1147" s="22" t="str">
        <f>_xll.RssMarket(A1147,"前日比")</f>
        <v>表示銘柄数超過</v>
      </c>
      <c r="F1147" s="23" t="e">
        <f>_xll.RssMarket(A1147,"前日比率")/100</f>
        <v>#VALUE!</v>
      </c>
      <c r="G1147" s="24" t="str">
        <f>IFERROR(VLOOKUP(A1147,取得元!$A$2:$F$501,2,FALSE),"-")</f>
        <v>-</v>
      </c>
      <c r="H1147" s="24" t="str">
        <f>IFERROR(VLOOKUP(A1147,取得元!$A$2:$F$501,3,FALSE),"-")</f>
        <v>-</v>
      </c>
      <c r="I1147" s="24" t="str">
        <f>IFERROR(VLOOKUP(A1147,取得元!$A$2:$F$501,4,FALSE),"-")</f>
        <v>-</v>
      </c>
      <c r="J1147" s="5" t="str">
        <f>IFERROR(VLOOKUP(A1147,取得元!$A$2:$F$501,5,FALSE),"-")</f>
        <v>-</v>
      </c>
      <c r="K1147" s="25" t="str">
        <f>IFERROR(VLOOKUP(A1147,取得元!$A$2:$F$501,6,FALSE)/100,"-")</f>
        <v>-</v>
      </c>
      <c r="L1147" s="21" t="str">
        <f>_xll.RssMarket(A1147,"始値")</f>
        <v>表示銘柄数超過</v>
      </c>
      <c r="M1147" s="4" t="e">
        <f t="shared" si="100"/>
        <v>#VALUE!</v>
      </c>
      <c r="N1147" s="21" t="str">
        <f>_xll.RssMarket(A1147,"高値")</f>
        <v>表示銘柄数超過</v>
      </c>
      <c r="O1147" s="4" t="e">
        <f t="shared" si="101"/>
        <v>#VALUE!</v>
      </c>
      <c r="P1147" s="21" t="str">
        <f>_xll.RssMarket(A1147,"安値")</f>
        <v>表示銘柄数超過</v>
      </c>
      <c r="Q1147" s="4" t="e">
        <f t="shared" si="102"/>
        <v>#VALUE!</v>
      </c>
      <c r="R1147" s="21" t="str">
        <f>_xll.RssMarket(A1147,"後場始値")</f>
        <v>表示銘柄数超過</v>
      </c>
      <c r="S1147" s="25" t="str">
        <f t="shared" si="103"/>
        <v>-</v>
      </c>
      <c r="T1147" s="7" t="str">
        <f>_xll.RssMarket(A1147,"出来高加重平均")</f>
        <v>表示銘柄数超過</v>
      </c>
      <c r="U1147" s="4" t="e">
        <f t="shared" si="104"/>
        <v>#VALUE!</v>
      </c>
      <c r="V1147" s="21" t="str">
        <f>_xll.RssMarket(A1147,"出来高")</f>
        <v>表示銘柄数超過</v>
      </c>
      <c r="W1147" s="21" t="str">
        <f>_xll.RssMarket(A1147,"売買代金")</f>
        <v>表示銘柄数超過</v>
      </c>
      <c r="X1147" s="20" t="str">
        <f>_xll.RssMarket(A1147,"決算発表日")</f>
        <v>表示銘柄数超過</v>
      </c>
      <c r="Y1147" s="26" t="str">
        <f>IF(C1147&gt;_xll.RssMarket(A1147,"年初来高値"),"○","×")</f>
        <v>×</v>
      </c>
      <c r="Z1147" s="27" t="str">
        <f>IF(C1147&lt;=_xll.RssMarket(A1147,"年初来安値"),"○","×")</f>
        <v>○</v>
      </c>
    </row>
    <row r="1148" spans="1:26" x14ac:dyDescent="0.25">
      <c r="A1148" s="47">
        <v>9509</v>
      </c>
      <c r="B1148" s="20" t="str">
        <f>_xll.RssMarket(A1148,"銘柄名称")</f>
        <v>表示銘柄数超過</v>
      </c>
      <c r="C1148" s="21" t="str">
        <f>_xll.RssMarket(A1148,"現在値")</f>
        <v>表示銘柄数超過</v>
      </c>
      <c r="D1148" s="20" t="str">
        <f>_xll.RssMarket(A1148,"現在値詳細時刻")</f>
        <v>表示銘柄数超過</v>
      </c>
      <c r="E1148" s="22" t="str">
        <f>_xll.RssMarket(A1148,"前日比")</f>
        <v>表示銘柄数超過</v>
      </c>
      <c r="F1148" s="23" t="e">
        <f>_xll.RssMarket(A1148,"前日比率")/100</f>
        <v>#VALUE!</v>
      </c>
      <c r="G1148" s="24" t="str">
        <f>IFERROR(VLOOKUP(A1148,取得元!$A$2:$F$501,2,FALSE),"-")</f>
        <v>-</v>
      </c>
      <c r="H1148" s="24" t="str">
        <f>IFERROR(VLOOKUP(A1148,取得元!$A$2:$F$501,3,FALSE),"-")</f>
        <v>-</v>
      </c>
      <c r="I1148" s="24" t="str">
        <f>IFERROR(VLOOKUP(A1148,取得元!$A$2:$F$501,4,FALSE),"-")</f>
        <v>-</v>
      </c>
      <c r="J1148" s="5" t="str">
        <f>IFERROR(VLOOKUP(A1148,取得元!$A$2:$F$501,5,FALSE),"-")</f>
        <v>-</v>
      </c>
      <c r="K1148" s="25" t="str">
        <f>IFERROR(VLOOKUP(A1148,取得元!$A$2:$F$501,6,FALSE)/100,"-")</f>
        <v>-</v>
      </c>
      <c r="L1148" s="21" t="str">
        <f>_xll.RssMarket(A1148,"始値")</f>
        <v>表示銘柄数超過</v>
      </c>
      <c r="M1148" s="4" t="e">
        <f t="shared" si="100"/>
        <v>#VALUE!</v>
      </c>
      <c r="N1148" s="21" t="str">
        <f>_xll.RssMarket(A1148,"高値")</f>
        <v>表示銘柄数超過</v>
      </c>
      <c r="O1148" s="4" t="e">
        <f t="shared" si="101"/>
        <v>#VALUE!</v>
      </c>
      <c r="P1148" s="21" t="str">
        <f>_xll.RssMarket(A1148,"安値")</f>
        <v>表示銘柄数超過</v>
      </c>
      <c r="Q1148" s="4" t="e">
        <f t="shared" si="102"/>
        <v>#VALUE!</v>
      </c>
      <c r="R1148" s="21" t="str">
        <f>_xll.RssMarket(A1148,"後場始値")</f>
        <v>表示銘柄数超過</v>
      </c>
      <c r="S1148" s="25" t="str">
        <f t="shared" si="103"/>
        <v>-</v>
      </c>
      <c r="T1148" s="7" t="str">
        <f>_xll.RssMarket(A1148,"出来高加重平均")</f>
        <v>表示銘柄数超過</v>
      </c>
      <c r="U1148" s="4" t="e">
        <f t="shared" si="104"/>
        <v>#VALUE!</v>
      </c>
      <c r="V1148" s="21" t="str">
        <f>_xll.RssMarket(A1148,"出来高")</f>
        <v>表示銘柄数超過</v>
      </c>
      <c r="W1148" s="21" t="str">
        <f>_xll.RssMarket(A1148,"売買代金")</f>
        <v>表示銘柄数超過</v>
      </c>
      <c r="X1148" s="20" t="str">
        <f>_xll.RssMarket(A1148,"決算発表日")</f>
        <v>表示銘柄数超過</v>
      </c>
      <c r="Y1148" s="26" t="str">
        <f>IF(C1148&gt;_xll.RssMarket(A1148,"年初来高値"),"○","×")</f>
        <v>×</v>
      </c>
      <c r="Z1148" s="27" t="str">
        <f>IF(C1148&lt;=_xll.RssMarket(A1148,"年初来安値"),"○","×")</f>
        <v>○</v>
      </c>
    </row>
    <row r="1149" spans="1:26" x14ac:dyDescent="0.25">
      <c r="A1149" s="49">
        <v>9511</v>
      </c>
      <c r="B1149" s="20" t="str">
        <f>_xll.RssMarket(A1149,"銘柄名称")</f>
        <v>表示銘柄数超過</v>
      </c>
      <c r="C1149" s="21" t="str">
        <f>_xll.RssMarket(A1149,"現在値")</f>
        <v>表示銘柄数超過</v>
      </c>
      <c r="D1149" s="20" t="str">
        <f>_xll.RssMarket(A1149,"現在値詳細時刻")</f>
        <v>表示銘柄数超過</v>
      </c>
      <c r="E1149" s="22" t="str">
        <f>_xll.RssMarket(A1149,"前日比")</f>
        <v>表示銘柄数超過</v>
      </c>
      <c r="F1149" s="23" t="e">
        <f>_xll.RssMarket(A1149,"前日比率")/100</f>
        <v>#VALUE!</v>
      </c>
      <c r="G1149" s="24" t="str">
        <f>IFERROR(VLOOKUP(A1149,取得元!$A$2:$F$501,2,FALSE),"-")</f>
        <v>-</v>
      </c>
      <c r="H1149" s="24" t="str">
        <f>IFERROR(VLOOKUP(A1149,取得元!$A$2:$F$501,3,FALSE),"-")</f>
        <v>-</v>
      </c>
      <c r="I1149" s="24" t="str">
        <f>IFERROR(VLOOKUP(A1149,取得元!$A$2:$F$501,4,FALSE),"-")</f>
        <v>-</v>
      </c>
      <c r="J1149" s="5" t="str">
        <f>IFERROR(VLOOKUP(A1149,取得元!$A$2:$F$501,5,FALSE),"-")</f>
        <v>-</v>
      </c>
      <c r="K1149" s="25" t="str">
        <f>IFERROR(VLOOKUP(A1149,取得元!$A$2:$F$501,6,FALSE)/100,"-")</f>
        <v>-</v>
      </c>
      <c r="L1149" s="21" t="str">
        <f>_xll.RssMarket(A1149,"始値")</f>
        <v>表示銘柄数超過</v>
      </c>
      <c r="M1149" s="4" t="e">
        <f t="shared" si="100"/>
        <v>#VALUE!</v>
      </c>
      <c r="N1149" s="21" t="str">
        <f>_xll.RssMarket(A1149,"高値")</f>
        <v>表示銘柄数超過</v>
      </c>
      <c r="O1149" s="4" t="e">
        <f t="shared" si="101"/>
        <v>#VALUE!</v>
      </c>
      <c r="P1149" s="21" t="str">
        <f>_xll.RssMarket(A1149,"安値")</f>
        <v>表示銘柄数超過</v>
      </c>
      <c r="Q1149" s="4" t="e">
        <f t="shared" si="102"/>
        <v>#VALUE!</v>
      </c>
      <c r="R1149" s="21" t="str">
        <f>_xll.RssMarket(A1149,"後場始値")</f>
        <v>表示銘柄数超過</v>
      </c>
      <c r="S1149" s="25" t="str">
        <f t="shared" si="103"/>
        <v>-</v>
      </c>
      <c r="T1149" s="7" t="str">
        <f>_xll.RssMarket(A1149,"出来高加重平均")</f>
        <v>表示銘柄数超過</v>
      </c>
      <c r="U1149" s="4" t="e">
        <f t="shared" si="104"/>
        <v>#VALUE!</v>
      </c>
      <c r="V1149" s="21" t="str">
        <f>_xll.RssMarket(A1149,"出来高")</f>
        <v>表示銘柄数超過</v>
      </c>
      <c r="W1149" s="21" t="str">
        <f>_xll.RssMarket(A1149,"売買代金")</f>
        <v>表示銘柄数超過</v>
      </c>
      <c r="X1149" s="20" t="str">
        <f>_xll.RssMarket(A1149,"決算発表日")</f>
        <v>表示銘柄数超過</v>
      </c>
      <c r="Y1149" s="26" t="str">
        <f>IF(C1149&gt;_xll.RssMarket(A1149,"年初来高値"),"○","×")</f>
        <v>×</v>
      </c>
      <c r="Z1149" s="27" t="str">
        <f>IF(C1149&lt;=_xll.RssMarket(A1149,"年初来安値"),"○","×")</f>
        <v>○</v>
      </c>
    </row>
    <row r="1150" spans="1:26" x14ac:dyDescent="0.25">
      <c r="A1150" s="47">
        <v>9514</v>
      </c>
      <c r="B1150" s="20" t="str">
        <f>_xll.RssMarket(A1150,"銘柄名称")</f>
        <v>表示銘柄数超過</v>
      </c>
      <c r="C1150" s="21" t="str">
        <f>_xll.RssMarket(A1150,"現在値")</f>
        <v>表示銘柄数超過</v>
      </c>
      <c r="D1150" s="20" t="str">
        <f>_xll.RssMarket(A1150,"現在値詳細時刻")</f>
        <v>表示銘柄数超過</v>
      </c>
      <c r="E1150" s="22" t="str">
        <f>_xll.RssMarket(A1150,"前日比")</f>
        <v>表示銘柄数超過</v>
      </c>
      <c r="F1150" s="23" t="e">
        <f>_xll.RssMarket(A1150,"前日比率")/100</f>
        <v>#VALUE!</v>
      </c>
      <c r="G1150" s="24" t="str">
        <f>IFERROR(VLOOKUP(A1150,取得元!$A$2:$F$501,2,FALSE),"-")</f>
        <v>-</v>
      </c>
      <c r="H1150" s="24" t="str">
        <f>IFERROR(VLOOKUP(A1150,取得元!$A$2:$F$501,3,FALSE),"-")</f>
        <v>-</v>
      </c>
      <c r="I1150" s="24" t="str">
        <f>IFERROR(VLOOKUP(A1150,取得元!$A$2:$F$501,4,FALSE),"-")</f>
        <v>-</v>
      </c>
      <c r="J1150" s="5" t="str">
        <f>IFERROR(VLOOKUP(A1150,取得元!$A$2:$F$501,5,FALSE),"-")</f>
        <v>-</v>
      </c>
      <c r="K1150" s="25" t="str">
        <f>IFERROR(VLOOKUP(A1150,取得元!$A$2:$F$501,6,FALSE)/100,"-")</f>
        <v>-</v>
      </c>
      <c r="L1150" s="21" t="str">
        <f>_xll.RssMarket(A1150,"始値")</f>
        <v>表示銘柄数超過</v>
      </c>
      <c r="M1150" s="4" t="e">
        <f t="shared" si="100"/>
        <v>#VALUE!</v>
      </c>
      <c r="N1150" s="21" t="str">
        <f>_xll.RssMarket(A1150,"高値")</f>
        <v>表示銘柄数超過</v>
      </c>
      <c r="O1150" s="4" t="e">
        <f t="shared" si="101"/>
        <v>#VALUE!</v>
      </c>
      <c r="P1150" s="21" t="str">
        <f>_xll.RssMarket(A1150,"安値")</f>
        <v>表示銘柄数超過</v>
      </c>
      <c r="Q1150" s="4" t="e">
        <f t="shared" si="102"/>
        <v>#VALUE!</v>
      </c>
      <c r="R1150" s="21" t="str">
        <f>_xll.RssMarket(A1150,"後場始値")</f>
        <v>表示銘柄数超過</v>
      </c>
      <c r="S1150" s="25" t="str">
        <f t="shared" si="103"/>
        <v>-</v>
      </c>
      <c r="T1150" s="7" t="str">
        <f>_xll.RssMarket(A1150,"出来高加重平均")</f>
        <v>表示銘柄数超過</v>
      </c>
      <c r="U1150" s="4" t="e">
        <f t="shared" si="104"/>
        <v>#VALUE!</v>
      </c>
      <c r="V1150" s="21" t="str">
        <f>_xll.RssMarket(A1150,"出来高")</f>
        <v>表示銘柄数超過</v>
      </c>
      <c r="W1150" s="21" t="str">
        <f>_xll.RssMarket(A1150,"売買代金")</f>
        <v>表示銘柄数超過</v>
      </c>
      <c r="X1150" s="20" t="str">
        <f>_xll.RssMarket(A1150,"決算発表日")</f>
        <v>表示銘柄数超過</v>
      </c>
      <c r="Y1150" s="26" t="str">
        <f>IF(C1150&gt;_xll.RssMarket(A1150,"年初来高値"),"○","×")</f>
        <v>×</v>
      </c>
      <c r="Z1150" s="27" t="str">
        <f>IF(C1150&lt;=_xll.RssMarket(A1150,"年初来安値"),"○","×")</f>
        <v>○</v>
      </c>
    </row>
    <row r="1151" spans="1:26" x14ac:dyDescent="0.25">
      <c r="A1151" s="49">
        <v>9519</v>
      </c>
      <c r="B1151" s="20" t="str">
        <f>_xll.RssMarket(A1151,"銘柄名称")</f>
        <v>表示銘柄数超過</v>
      </c>
      <c r="C1151" s="21" t="str">
        <f>_xll.RssMarket(A1151,"現在値")</f>
        <v>表示銘柄数超過</v>
      </c>
      <c r="D1151" s="20" t="str">
        <f>_xll.RssMarket(A1151,"現在値詳細時刻")</f>
        <v>表示銘柄数超過</v>
      </c>
      <c r="E1151" s="22" t="str">
        <f>_xll.RssMarket(A1151,"前日比")</f>
        <v>表示銘柄数超過</v>
      </c>
      <c r="F1151" s="23" t="e">
        <f>_xll.RssMarket(A1151,"前日比率")/100</f>
        <v>#VALUE!</v>
      </c>
      <c r="G1151" s="24" t="str">
        <f>IFERROR(VLOOKUP(A1151,取得元!$A$2:$F$501,2,FALSE),"-")</f>
        <v>-</v>
      </c>
      <c r="H1151" s="24" t="str">
        <f>IFERROR(VLOOKUP(A1151,取得元!$A$2:$F$501,3,FALSE),"-")</f>
        <v>-</v>
      </c>
      <c r="I1151" s="24" t="str">
        <f>IFERROR(VLOOKUP(A1151,取得元!$A$2:$F$501,4,FALSE),"-")</f>
        <v>-</v>
      </c>
      <c r="J1151" s="5" t="str">
        <f>IFERROR(VLOOKUP(A1151,取得元!$A$2:$F$501,5,FALSE),"-")</f>
        <v>-</v>
      </c>
      <c r="K1151" s="25" t="str">
        <f>IFERROR(VLOOKUP(A1151,取得元!$A$2:$F$501,6,FALSE)/100,"-")</f>
        <v>-</v>
      </c>
      <c r="L1151" s="21" t="str">
        <f>_xll.RssMarket(A1151,"始値")</f>
        <v>表示銘柄数超過</v>
      </c>
      <c r="M1151" s="4" t="e">
        <f t="shared" si="100"/>
        <v>#VALUE!</v>
      </c>
      <c r="N1151" s="21" t="str">
        <f>_xll.RssMarket(A1151,"高値")</f>
        <v>表示銘柄数超過</v>
      </c>
      <c r="O1151" s="4" t="e">
        <f t="shared" si="101"/>
        <v>#VALUE!</v>
      </c>
      <c r="P1151" s="21" t="str">
        <f>_xll.RssMarket(A1151,"安値")</f>
        <v>表示銘柄数超過</v>
      </c>
      <c r="Q1151" s="4" t="e">
        <f t="shared" si="102"/>
        <v>#VALUE!</v>
      </c>
      <c r="R1151" s="21" t="str">
        <f>_xll.RssMarket(A1151,"後場始値")</f>
        <v>表示銘柄数超過</v>
      </c>
      <c r="S1151" s="25" t="str">
        <f t="shared" si="103"/>
        <v>-</v>
      </c>
      <c r="T1151" s="7" t="str">
        <f>_xll.RssMarket(A1151,"出来高加重平均")</f>
        <v>表示銘柄数超過</v>
      </c>
      <c r="U1151" s="4" t="e">
        <f t="shared" si="104"/>
        <v>#VALUE!</v>
      </c>
      <c r="V1151" s="21" t="str">
        <f>_xll.RssMarket(A1151,"出来高")</f>
        <v>表示銘柄数超過</v>
      </c>
      <c r="W1151" s="21" t="str">
        <f>_xll.RssMarket(A1151,"売買代金")</f>
        <v>表示銘柄数超過</v>
      </c>
      <c r="X1151" s="20" t="str">
        <f>_xll.RssMarket(A1151,"決算発表日")</f>
        <v>表示銘柄数超過</v>
      </c>
      <c r="Y1151" s="26" t="str">
        <f>IF(C1151&gt;_xll.RssMarket(A1151,"年初来高値"),"○","×")</f>
        <v>×</v>
      </c>
      <c r="Z1151" s="27" t="str">
        <f>IF(C1151&lt;=_xll.RssMarket(A1151,"年初来安値"),"○","×")</f>
        <v>○</v>
      </c>
    </row>
    <row r="1152" spans="1:26" x14ac:dyDescent="0.25">
      <c r="A1152" s="47">
        <v>9522</v>
      </c>
      <c r="B1152" s="20" t="str">
        <f>_xll.RssMarket(A1152,"銘柄名称")</f>
        <v>表示銘柄数超過</v>
      </c>
      <c r="C1152" s="21" t="str">
        <f>_xll.RssMarket(A1152,"現在値")</f>
        <v>表示銘柄数超過</v>
      </c>
      <c r="D1152" s="20" t="str">
        <f>_xll.RssMarket(A1152,"現在値詳細時刻")</f>
        <v>表示銘柄数超過</v>
      </c>
      <c r="E1152" s="22" t="str">
        <f>_xll.RssMarket(A1152,"前日比")</f>
        <v>表示銘柄数超過</v>
      </c>
      <c r="F1152" s="23" t="e">
        <f>_xll.RssMarket(A1152,"前日比率")/100</f>
        <v>#VALUE!</v>
      </c>
      <c r="G1152" s="24" t="str">
        <f>IFERROR(VLOOKUP(A1152,取得元!$A$2:$F$501,2,FALSE),"-")</f>
        <v>-</v>
      </c>
      <c r="H1152" s="24" t="str">
        <f>IFERROR(VLOOKUP(A1152,取得元!$A$2:$F$501,3,FALSE),"-")</f>
        <v>-</v>
      </c>
      <c r="I1152" s="24" t="str">
        <f>IFERROR(VLOOKUP(A1152,取得元!$A$2:$F$501,4,FALSE),"-")</f>
        <v>-</v>
      </c>
      <c r="J1152" s="5" t="str">
        <f>IFERROR(VLOOKUP(A1152,取得元!$A$2:$F$501,5,FALSE),"-")</f>
        <v>-</v>
      </c>
      <c r="K1152" s="25" t="str">
        <f>IFERROR(VLOOKUP(A1152,取得元!$A$2:$F$501,6,FALSE)/100,"-")</f>
        <v>-</v>
      </c>
      <c r="L1152" s="21" t="str">
        <f>_xll.RssMarket(A1152,"始値")</f>
        <v>表示銘柄数超過</v>
      </c>
      <c r="M1152" s="4" t="e">
        <f t="shared" si="100"/>
        <v>#VALUE!</v>
      </c>
      <c r="N1152" s="21" t="str">
        <f>_xll.RssMarket(A1152,"高値")</f>
        <v>表示銘柄数超過</v>
      </c>
      <c r="O1152" s="4" t="e">
        <f t="shared" si="101"/>
        <v>#VALUE!</v>
      </c>
      <c r="P1152" s="21" t="str">
        <f>_xll.RssMarket(A1152,"安値")</f>
        <v>表示銘柄数超過</v>
      </c>
      <c r="Q1152" s="4" t="e">
        <f t="shared" si="102"/>
        <v>#VALUE!</v>
      </c>
      <c r="R1152" s="21" t="str">
        <f>_xll.RssMarket(A1152,"後場始値")</f>
        <v>表示銘柄数超過</v>
      </c>
      <c r="S1152" s="25" t="str">
        <f t="shared" si="103"/>
        <v>-</v>
      </c>
      <c r="T1152" s="7" t="str">
        <f>_xll.RssMarket(A1152,"出来高加重平均")</f>
        <v>表示銘柄数超過</v>
      </c>
      <c r="U1152" s="4" t="e">
        <f t="shared" si="104"/>
        <v>#VALUE!</v>
      </c>
      <c r="V1152" s="21" t="str">
        <f>_xll.RssMarket(A1152,"出来高")</f>
        <v>表示銘柄数超過</v>
      </c>
      <c r="W1152" s="21" t="str">
        <f>_xll.RssMarket(A1152,"売買代金")</f>
        <v>表示銘柄数超過</v>
      </c>
      <c r="X1152" s="20" t="str">
        <f>_xll.RssMarket(A1152,"決算発表日")</f>
        <v>表示銘柄数超過</v>
      </c>
      <c r="Y1152" s="26" t="str">
        <f>IF(C1152&gt;_xll.RssMarket(A1152,"年初来高値"),"○","×")</f>
        <v>×</v>
      </c>
      <c r="Z1152" s="27" t="str">
        <f>IF(C1152&lt;=_xll.RssMarket(A1152,"年初来安値"),"○","×")</f>
        <v>○</v>
      </c>
    </row>
    <row r="1153" spans="1:26" x14ac:dyDescent="0.25">
      <c r="A1153" s="49">
        <v>9531</v>
      </c>
      <c r="B1153" s="20" t="str">
        <f>_xll.RssMarket(A1153,"銘柄名称")</f>
        <v>表示銘柄数超過</v>
      </c>
      <c r="C1153" s="21" t="str">
        <f>_xll.RssMarket(A1153,"現在値")</f>
        <v>表示銘柄数超過</v>
      </c>
      <c r="D1153" s="20" t="str">
        <f>_xll.RssMarket(A1153,"現在値詳細時刻")</f>
        <v>表示銘柄数超過</v>
      </c>
      <c r="E1153" s="22" t="str">
        <f>_xll.RssMarket(A1153,"前日比")</f>
        <v>表示銘柄数超過</v>
      </c>
      <c r="F1153" s="23" t="e">
        <f>_xll.RssMarket(A1153,"前日比率")/100</f>
        <v>#VALUE!</v>
      </c>
      <c r="G1153" s="24" t="str">
        <f>IFERROR(VLOOKUP(A1153,取得元!$A$2:$F$501,2,FALSE),"-")</f>
        <v>-</v>
      </c>
      <c r="H1153" s="24" t="str">
        <f>IFERROR(VLOOKUP(A1153,取得元!$A$2:$F$501,3,FALSE),"-")</f>
        <v>-</v>
      </c>
      <c r="I1153" s="24" t="str">
        <f>IFERROR(VLOOKUP(A1153,取得元!$A$2:$F$501,4,FALSE),"-")</f>
        <v>-</v>
      </c>
      <c r="J1153" s="5" t="str">
        <f>IFERROR(VLOOKUP(A1153,取得元!$A$2:$F$501,5,FALSE),"-")</f>
        <v>-</v>
      </c>
      <c r="K1153" s="25" t="str">
        <f>IFERROR(VLOOKUP(A1153,取得元!$A$2:$F$501,6,FALSE)/100,"-")</f>
        <v>-</v>
      </c>
      <c r="L1153" s="21" t="str">
        <f>_xll.RssMarket(A1153,"始値")</f>
        <v>表示銘柄数超過</v>
      </c>
      <c r="M1153" s="4" t="e">
        <f t="shared" si="100"/>
        <v>#VALUE!</v>
      </c>
      <c r="N1153" s="21" t="str">
        <f>_xll.RssMarket(A1153,"高値")</f>
        <v>表示銘柄数超過</v>
      </c>
      <c r="O1153" s="4" t="e">
        <f t="shared" si="101"/>
        <v>#VALUE!</v>
      </c>
      <c r="P1153" s="21" t="str">
        <f>_xll.RssMarket(A1153,"安値")</f>
        <v>表示銘柄数超過</v>
      </c>
      <c r="Q1153" s="4" t="e">
        <f t="shared" si="102"/>
        <v>#VALUE!</v>
      </c>
      <c r="R1153" s="21" t="str">
        <f>_xll.RssMarket(A1153,"後場始値")</f>
        <v>表示銘柄数超過</v>
      </c>
      <c r="S1153" s="25" t="str">
        <f t="shared" si="103"/>
        <v>-</v>
      </c>
      <c r="T1153" s="7" t="str">
        <f>_xll.RssMarket(A1153,"出来高加重平均")</f>
        <v>表示銘柄数超過</v>
      </c>
      <c r="U1153" s="4" t="e">
        <f t="shared" si="104"/>
        <v>#VALUE!</v>
      </c>
      <c r="V1153" s="21" t="str">
        <f>_xll.RssMarket(A1153,"出来高")</f>
        <v>表示銘柄数超過</v>
      </c>
      <c r="W1153" s="21" t="str">
        <f>_xll.RssMarket(A1153,"売買代金")</f>
        <v>表示銘柄数超過</v>
      </c>
      <c r="X1153" s="20" t="str">
        <f>_xll.RssMarket(A1153,"決算発表日")</f>
        <v>表示銘柄数超過</v>
      </c>
      <c r="Y1153" s="26" t="str">
        <f>IF(C1153&gt;_xll.RssMarket(A1153,"年初来高値"),"○","×")</f>
        <v>×</v>
      </c>
      <c r="Z1153" s="27" t="str">
        <f>IF(C1153&lt;=_xll.RssMarket(A1153,"年初来安値"),"○","×")</f>
        <v>○</v>
      </c>
    </row>
    <row r="1154" spans="1:26" x14ac:dyDescent="0.25">
      <c r="A1154" s="47">
        <v>9532</v>
      </c>
      <c r="B1154" s="20" t="str">
        <f>_xll.RssMarket(A1154,"銘柄名称")</f>
        <v>表示銘柄数超過</v>
      </c>
      <c r="C1154" s="21" t="str">
        <f>_xll.RssMarket(A1154,"現在値")</f>
        <v>表示銘柄数超過</v>
      </c>
      <c r="D1154" s="20" t="str">
        <f>_xll.RssMarket(A1154,"現在値詳細時刻")</f>
        <v>表示銘柄数超過</v>
      </c>
      <c r="E1154" s="22" t="str">
        <f>_xll.RssMarket(A1154,"前日比")</f>
        <v>表示銘柄数超過</v>
      </c>
      <c r="F1154" s="23" t="e">
        <f>_xll.RssMarket(A1154,"前日比率")/100</f>
        <v>#VALUE!</v>
      </c>
      <c r="G1154" s="24" t="str">
        <f>IFERROR(VLOOKUP(A1154,取得元!$A$2:$F$501,2,FALSE),"-")</f>
        <v>-</v>
      </c>
      <c r="H1154" s="24" t="str">
        <f>IFERROR(VLOOKUP(A1154,取得元!$A$2:$F$501,3,FALSE),"-")</f>
        <v>-</v>
      </c>
      <c r="I1154" s="24" t="str">
        <f>IFERROR(VLOOKUP(A1154,取得元!$A$2:$F$501,4,FALSE),"-")</f>
        <v>-</v>
      </c>
      <c r="J1154" s="5" t="str">
        <f>IFERROR(VLOOKUP(A1154,取得元!$A$2:$F$501,5,FALSE),"-")</f>
        <v>-</v>
      </c>
      <c r="K1154" s="25" t="str">
        <f>IFERROR(VLOOKUP(A1154,取得元!$A$2:$F$501,6,FALSE)/100,"-")</f>
        <v>-</v>
      </c>
      <c r="L1154" s="21" t="str">
        <f>_xll.RssMarket(A1154,"始値")</f>
        <v>表示銘柄数超過</v>
      </c>
      <c r="M1154" s="4" t="e">
        <f t="shared" si="100"/>
        <v>#VALUE!</v>
      </c>
      <c r="N1154" s="21" t="str">
        <f>_xll.RssMarket(A1154,"高値")</f>
        <v>表示銘柄数超過</v>
      </c>
      <c r="O1154" s="4" t="e">
        <f t="shared" si="101"/>
        <v>#VALUE!</v>
      </c>
      <c r="P1154" s="21" t="str">
        <f>_xll.RssMarket(A1154,"安値")</f>
        <v>表示銘柄数超過</v>
      </c>
      <c r="Q1154" s="4" t="e">
        <f t="shared" si="102"/>
        <v>#VALUE!</v>
      </c>
      <c r="R1154" s="21" t="str">
        <f>_xll.RssMarket(A1154,"後場始値")</f>
        <v>表示銘柄数超過</v>
      </c>
      <c r="S1154" s="25" t="str">
        <f t="shared" si="103"/>
        <v>-</v>
      </c>
      <c r="T1154" s="7" t="str">
        <f>_xll.RssMarket(A1154,"出来高加重平均")</f>
        <v>表示銘柄数超過</v>
      </c>
      <c r="U1154" s="4" t="e">
        <f t="shared" si="104"/>
        <v>#VALUE!</v>
      </c>
      <c r="V1154" s="21" t="str">
        <f>_xll.RssMarket(A1154,"出来高")</f>
        <v>表示銘柄数超過</v>
      </c>
      <c r="W1154" s="21" t="str">
        <f>_xll.RssMarket(A1154,"売買代金")</f>
        <v>表示銘柄数超過</v>
      </c>
      <c r="X1154" s="20" t="str">
        <f>_xll.RssMarket(A1154,"決算発表日")</f>
        <v>表示銘柄数超過</v>
      </c>
      <c r="Y1154" s="26" t="str">
        <f>IF(C1154&gt;_xll.RssMarket(A1154,"年初来高値"),"○","×")</f>
        <v>×</v>
      </c>
      <c r="Z1154" s="27" t="str">
        <f>IF(C1154&lt;=_xll.RssMarket(A1154,"年初来安値"),"○","×")</f>
        <v>○</v>
      </c>
    </row>
    <row r="1155" spans="1:26" x14ac:dyDescent="0.25">
      <c r="A1155" s="49">
        <v>9553</v>
      </c>
      <c r="B1155" s="20" t="str">
        <f>_xll.RssMarket(A1155,"銘柄名称")</f>
        <v>表示銘柄数超過</v>
      </c>
      <c r="C1155" s="21" t="str">
        <f>_xll.RssMarket(A1155,"現在値")</f>
        <v>表示銘柄数超過</v>
      </c>
      <c r="D1155" s="20" t="str">
        <f>_xll.RssMarket(A1155,"現在値詳細時刻")</f>
        <v>表示銘柄数超過</v>
      </c>
      <c r="E1155" s="22" t="str">
        <f>_xll.RssMarket(A1155,"前日比")</f>
        <v>表示銘柄数超過</v>
      </c>
      <c r="F1155" s="23" t="e">
        <f>_xll.RssMarket(A1155,"前日比率")/100</f>
        <v>#VALUE!</v>
      </c>
      <c r="G1155" s="24" t="str">
        <f>IFERROR(VLOOKUP(A1155,取得元!$A$2:$F$501,2,FALSE),"-")</f>
        <v>-</v>
      </c>
      <c r="H1155" s="24" t="str">
        <f>IFERROR(VLOOKUP(A1155,取得元!$A$2:$F$501,3,FALSE),"-")</f>
        <v>-</v>
      </c>
      <c r="I1155" s="24" t="str">
        <f>IFERROR(VLOOKUP(A1155,取得元!$A$2:$F$501,4,FALSE),"-")</f>
        <v>-</v>
      </c>
      <c r="J1155" s="5" t="str">
        <f>IFERROR(VLOOKUP(A1155,取得元!$A$2:$F$501,5,FALSE),"-")</f>
        <v>-</v>
      </c>
      <c r="K1155" s="25" t="str">
        <f>IFERROR(VLOOKUP(A1155,取得元!$A$2:$F$501,6,FALSE)/100,"-")</f>
        <v>-</v>
      </c>
      <c r="L1155" s="21" t="str">
        <f>_xll.RssMarket(A1155,"始値")</f>
        <v>表示銘柄数超過</v>
      </c>
      <c r="M1155" s="4" t="e">
        <f t="shared" si="100"/>
        <v>#VALUE!</v>
      </c>
      <c r="N1155" s="21" t="str">
        <f>_xll.RssMarket(A1155,"高値")</f>
        <v>表示銘柄数超過</v>
      </c>
      <c r="O1155" s="4" t="e">
        <f t="shared" si="101"/>
        <v>#VALUE!</v>
      </c>
      <c r="P1155" s="21" t="str">
        <f>_xll.RssMarket(A1155,"安値")</f>
        <v>表示銘柄数超過</v>
      </c>
      <c r="Q1155" s="4" t="e">
        <f t="shared" si="102"/>
        <v>#VALUE!</v>
      </c>
      <c r="R1155" s="21" t="str">
        <f>_xll.RssMarket(A1155,"後場始値")</f>
        <v>表示銘柄数超過</v>
      </c>
      <c r="S1155" s="25" t="str">
        <f t="shared" si="103"/>
        <v>-</v>
      </c>
      <c r="T1155" s="7" t="str">
        <f>_xll.RssMarket(A1155,"出来高加重平均")</f>
        <v>表示銘柄数超過</v>
      </c>
      <c r="U1155" s="4" t="e">
        <f t="shared" si="104"/>
        <v>#VALUE!</v>
      </c>
      <c r="V1155" s="21" t="str">
        <f>_xll.RssMarket(A1155,"出来高")</f>
        <v>表示銘柄数超過</v>
      </c>
      <c r="W1155" s="21" t="str">
        <f>_xll.RssMarket(A1155,"売買代金")</f>
        <v>表示銘柄数超過</v>
      </c>
      <c r="X1155" s="20" t="str">
        <f>_xll.RssMarket(A1155,"決算発表日")</f>
        <v>表示銘柄数超過</v>
      </c>
      <c r="Y1155" s="26" t="str">
        <f>IF(C1155&gt;_xll.RssMarket(A1155,"年初来高値"),"○","×")</f>
        <v>×</v>
      </c>
      <c r="Z1155" s="27" t="str">
        <f>IF(C1155&lt;=_xll.RssMarket(A1155,"年初来安値"),"○","×")</f>
        <v>○</v>
      </c>
    </row>
    <row r="1156" spans="1:26" x14ac:dyDescent="0.25">
      <c r="A1156" s="47">
        <v>9557</v>
      </c>
      <c r="B1156" s="20" t="str">
        <f>_xll.RssMarket(A1156,"銘柄名称")</f>
        <v>表示銘柄数超過</v>
      </c>
      <c r="C1156" s="21" t="str">
        <f>_xll.RssMarket(A1156,"現在値")</f>
        <v>表示銘柄数超過</v>
      </c>
      <c r="D1156" s="20" t="str">
        <f>_xll.RssMarket(A1156,"現在値詳細時刻")</f>
        <v>表示銘柄数超過</v>
      </c>
      <c r="E1156" s="22" t="str">
        <f>_xll.RssMarket(A1156,"前日比")</f>
        <v>表示銘柄数超過</v>
      </c>
      <c r="F1156" s="23" t="e">
        <f>_xll.RssMarket(A1156,"前日比率")/100</f>
        <v>#VALUE!</v>
      </c>
      <c r="G1156" s="24" t="str">
        <f>IFERROR(VLOOKUP(A1156,取得元!$A$2:$F$501,2,FALSE),"-")</f>
        <v>-</v>
      </c>
      <c r="H1156" s="24" t="str">
        <f>IFERROR(VLOOKUP(A1156,取得元!$A$2:$F$501,3,FALSE),"-")</f>
        <v>-</v>
      </c>
      <c r="I1156" s="24" t="str">
        <f>IFERROR(VLOOKUP(A1156,取得元!$A$2:$F$501,4,FALSE),"-")</f>
        <v>-</v>
      </c>
      <c r="J1156" s="5" t="str">
        <f>IFERROR(VLOOKUP(A1156,取得元!$A$2:$F$501,5,FALSE),"-")</f>
        <v>-</v>
      </c>
      <c r="K1156" s="25" t="str">
        <f>IFERROR(VLOOKUP(A1156,取得元!$A$2:$F$501,6,FALSE)/100,"-")</f>
        <v>-</v>
      </c>
      <c r="L1156" s="21" t="str">
        <f>_xll.RssMarket(A1156,"始値")</f>
        <v>表示銘柄数超過</v>
      </c>
      <c r="M1156" s="4" t="e">
        <f t="shared" si="100"/>
        <v>#VALUE!</v>
      </c>
      <c r="N1156" s="21" t="str">
        <f>_xll.RssMarket(A1156,"高値")</f>
        <v>表示銘柄数超過</v>
      </c>
      <c r="O1156" s="4" t="e">
        <f t="shared" si="101"/>
        <v>#VALUE!</v>
      </c>
      <c r="P1156" s="21" t="str">
        <f>_xll.RssMarket(A1156,"安値")</f>
        <v>表示銘柄数超過</v>
      </c>
      <c r="Q1156" s="4" t="e">
        <f t="shared" si="102"/>
        <v>#VALUE!</v>
      </c>
      <c r="R1156" s="21" t="str">
        <f>_xll.RssMarket(A1156,"後場始値")</f>
        <v>表示銘柄数超過</v>
      </c>
      <c r="S1156" s="25" t="str">
        <f t="shared" si="103"/>
        <v>-</v>
      </c>
      <c r="T1156" s="7" t="str">
        <f>_xll.RssMarket(A1156,"出来高加重平均")</f>
        <v>表示銘柄数超過</v>
      </c>
      <c r="U1156" s="4" t="e">
        <f t="shared" si="104"/>
        <v>#VALUE!</v>
      </c>
      <c r="V1156" s="21" t="str">
        <f>_xll.RssMarket(A1156,"出来高")</f>
        <v>表示銘柄数超過</v>
      </c>
      <c r="W1156" s="21" t="str">
        <f>_xll.RssMarket(A1156,"売買代金")</f>
        <v>表示銘柄数超過</v>
      </c>
      <c r="X1156" s="20" t="str">
        <f>_xll.RssMarket(A1156,"決算発表日")</f>
        <v>表示銘柄数超過</v>
      </c>
      <c r="Y1156" s="26" t="str">
        <f>IF(C1156&gt;_xll.RssMarket(A1156,"年初来高値"),"○","×")</f>
        <v>×</v>
      </c>
      <c r="Z1156" s="27" t="str">
        <f>IF(C1156&lt;=_xll.RssMarket(A1156,"年初来安値"),"○","×")</f>
        <v>○</v>
      </c>
    </row>
    <row r="1157" spans="1:26" x14ac:dyDescent="0.25">
      <c r="A1157" s="49">
        <v>9560</v>
      </c>
      <c r="B1157" s="20" t="str">
        <f>_xll.RssMarket(A1157,"銘柄名称")</f>
        <v>表示銘柄数超過</v>
      </c>
      <c r="C1157" s="21" t="str">
        <f>_xll.RssMarket(A1157,"現在値")</f>
        <v>表示銘柄数超過</v>
      </c>
      <c r="D1157" s="20" t="str">
        <f>_xll.RssMarket(A1157,"現在値詳細時刻")</f>
        <v>表示銘柄数超過</v>
      </c>
      <c r="E1157" s="22" t="str">
        <f>_xll.RssMarket(A1157,"前日比")</f>
        <v>表示銘柄数超過</v>
      </c>
      <c r="F1157" s="23" t="e">
        <f>_xll.RssMarket(A1157,"前日比率")/100</f>
        <v>#VALUE!</v>
      </c>
      <c r="G1157" s="24" t="str">
        <f>IFERROR(VLOOKUP(A1157,取得元!$A$2:$F$501,2,FALSE),"-")</f>
        <v>-</v>
      </c>
      <c r="H1157" s="24" t="str">
        <f>IFERROR(VLOOKUP(A1157,取得元!$A$2:$F$501,3,FALSE),"-")</f>
        <v>-</v>
      </c>
      <c r="I1157" s="24" t="str">
        <f>IFERROR(VLOOKUP(A1157,取得元!$A$2:$F$501,4,FALSE),"-")</f>
        <v>-</v>
      </c>
      <c r="J1157" s="5" t="str">
        <f>IFERROR(VLOOKUP(A1157,取得元!$A$2:$F$501,5,FALSE),"-")</f>
        <v>-</v>
      </c>
      <c r="K1157" s="25" t="str">
        <f>IFERROR(VLOOKUP(A1157,取得元!$A$2:$F$501,6,FALSE)/100,"-")</f>
        <v>-</v>
      </c>
      <c r="L1157" s="21" t="str">
        <f>_xll.RssMarket(A1157,"始値")</f>
        <v>表示銘柄数超過</v>
      </c>
      <c r="M1157" s="4" t="e">
        <f t="shared" si="100"/>
        <v>#VALUE!</v>
      </c>
      <c r="N1157" s="21" t="str">
        <f>_xll.RssMarket(A1157,"高値")</f>
        <v>表示銘柄数超過</v>
      </c>
      <c r="O1157" s="4" t="e">
        <f t="shared" si="101"/>
        <v>#VALUE!</v>
      </c>
      <c r="P1157" s="21" t="str">
        <f>_xll.RssMarket(A1157,"安値")</f>
        <v>表示銘柄数超過</v>
      </c>
      <c r="Q1157" s="4" t="e">
        <f t="shared" si="102"/>
        <v>#VALUE!</v>
      </c>
      <c r="R1157" s="21" t="str">
        <f>_xll.RssMarket(A1157,"後場始値")</f>
        <v>表示銘柄数超過</v>
      </c>
      <c r="S1157" s="25" t="str">
        <f t="shared" si="103"/>
        <v>-</v>
      </c>
      <c r="T1157" s="7" t="str">
        <f>_xll.RssMarket(A1157,"出来高加重平均")</f>
        <v>表示銘柄数超過</v>
      </c>
      <c r="U1157" s="4" t="e">
        <f t="shared" si="104"/>
        <v>#VALUE!</v>
      </c>
      <c r="V1157" s="21" t="str">
        <f>_xll.RssMarket(A1157,"出来高")</f>
        <v>表示銘柄数超過</v>
      </c>
      <c r="W1157" s="21" t="str">
        <f>_xll.RssMarket(A1157,"売買代金")</f>
        <v>表示銘柄数超過</v>
      </c>
      <c r="X1157" s="20" t="str">
        <f>_xll.RssMarket(A1157,"決算発表日")</f>
        <v>表示銘柄数超過</v>
      </c>
      <c r="Y1157" s="26" t="str">
        <f>IF(C1157&gt;_xll.RssMarket(A1157,"年初来高値"),"○","×")</f>
        <v>×</v>
      </c>
      <c r="Z1157" s="27" t="str">
        <f>IF(C1157&lt;=_xll.RssMarket(A1157,"年初来安値"),"○","×")</f>
        <v>○</v>
      </c>
    </row>
    <row r="1158" spans="1:26" x14ac:dyDescent="0.25">
      <c r="A1158" s="47">
        <v>9603</v>
      </c>
      <c r="B1158" s="20" t="str">
        <f>_xll.RssMarket(A1158,"銘柄名称")</f>
        <v>表示銘柄数超過</v>
      </c>
      <c r="C1158" s="21" t="str">
        <f>_xll.RssMarket(A1158,"現在値")</f>
        <v>表示銘柄数超過</v>
      </c>
      <c r="D1158" s="20" t="str">
        <f>_xll.RssMarket(A1158,"現在値詳細時刻")</f>
        <v>表示銘柄数超過</v>
      </c>
      <c r="E1158" s="22" t="str">
        <f>_xll.RssMarket(A1158,"前日比")</f>
        <v>表示銘柄数超過</v>
      </c>
      <c r="F1158" s="23" t="e">
        <f>_xll.RssMarket(A1158,"前日比率")/100</f>
        <v>#VALUE!</v>
      </c>
      <c r="G1158" s="24" t="str">
        <f>IFERROR(VLOOKUP(A1158,取得元!$A$2:$F$501,2,FALSE),"-")</f>
        <v>-</v>
      </c>
      <c r="H1158" s="24" t="str">
        <f>IFERROR(VLOOKUP(A1158,取得元!$A$2:$F$501,3,FALSE),"-")</f>
        <v>-</v>
      </c>
      <c r="I1158" s="24" t="str">
        <f>IFERROR(VLOOKUP(A1158,取得元!$A$2:$F$501,4,FALSE),"-")</f>
        <v>-</v>
      </c>
      <c r="J1158" s="5" t="str">
        <f>IFERROR(VLOOKUP(A1158,取得元!$A$2:$F$501,5,FALSE),"-")</f>
        <v>-</v>
      </c>
      <c r="K1158" s="25" t="str">
        <f>IFERROR(VLOOKUP(A1158,取得元!$A$2:$F$501,6,FALSE)/100,"-")</f>
        <v>-</v>
      </c>
      <c r="L1158" s="21" t="str">
        <f>_xll.RssMarket(A1158,"始値")</f>
        <v>表示銘柄数超過</v>
      </c>
      <c r="M1158" s="4" t="e">
        <f t="shared" si="100"/>
        <v>#VALUE!</v>
      </c>
      <c r="N1158" s="21" t="str">
        <f>_xll.RssMarket(A1158,"高値")</f>
        <v>表示銘柄数超過</v>
      </c>
      <c r="O1158" s="4" t="e">
        <f t="shared" si="101"/>
        <v>#VALUE!</v>
      </c>
      <c r="P1158" s="21" t="str">
        <f>_xll.RssMarket(A1158,"安値")</f>
        <v>表示銘柄数超過</v>
      </c>
      <c r="Q1158" s="4" t="e">
        <f t="shared" si="102"/>
        <v>#VALUE!</v>
      </c>
      <c r="R1158" s="21" t="str">
        <f>_xll.RssMarket(A1158,"後場始値")</f>
        <v>表示銘柄数超過</v>
      </c>
      <c r="S1158" s="25" t="str">
        <f t="shared" si="103"/>
        <v>-</v>
      </c>
      <c r="T1158" s="7" t="str">
        <f>_xll.RssMarket(A1158,"出来高加重平均")</f>
        <v>表示銘柄数超過</v>
      </c>
      <c r="U1158" s="4" t="e">
        <f t="shared" si="104"/>
        <v>#VALUE!</v>
      </c>
      <c r="V1158" s="21" t="str">
        <f>_xll.RssMarket(A1158,"出来高")</f>
        <v>表示銘柄数超過</v>
      </c>
      <c r="W1158" s="21" t="str">
        <f>_xll.RssMarket(A1158,"売買代金")</f>
        <v>表示銘柄数超過</v>
      </c>
      <c r="X1158" s="20" t="str">
        <f>_xll.RssMarket(A1158,"決算発表日")</f>
        <v>表示銘柄数超過</v>
      </c>
      <c r="Y1158" s="26" t="str">
        <f>IF(C1158&gt;_xll.RssMarket(A1158,"年初来高値"),"○","×")</f>
        <v>×</v>
      </c>
      <c r="Z1158" s="27" t="str">
        <f>IF(C1158&lt;=_xll.RssMarket(A1158,"年初来安値"),"○","×")</f>
        <v>○</v>
      </c>
    </row>
    <row r="1159" spans="1:26" x14ac:dyDescent="0.25">
      <c r="A1159" s="49">
        <v>9610</v>
      </c>
      <c r="B1159" s="20" t="str">
        <f>_xll.RssMarket(A1159,"銘柄名称")</f>
        <v>表示銘柄数超過</v>
      </c>
      <c r="C1159" s="21" t="str">
        <f>_xll.RssMarket(A1159,"現在値")</f>
        <v>表示銘柄数超過</v>
      </c>
      <c r="D1159" s="20" t="str">
        <f>_xll.RssMarket(A1159,"現在値詳細時刻")</f>
        <v>表示銘柄数超過</v>
      </c>
      <c r="E1159" s="22" t="str">
        <f>_xll.RssMarket(A1159,"前日比")</f>
        <v>表示銘柄数超過</v>
      </c>
      <c r="F1159" s="23" t="e">
        <f>_xll.RssMarket(A1159,"前日比率")/100</f>
        <v>#VALUE!</v>
      </c>
      <c r="G1159" s="24" t="str">
        <f>IFERROR(VLOOKUP(A1159,取得元!$A$2:$F$501,2,FALSE),"-")</f>
        <v>-</v>
      </c>
      <c r="H1159" s="24" t="str">
        <f>IFERROR(VLOOKUP(A1159,取得元!$A$2:$F$501,3,FALSE),"-")</f>
        <v>-</v>
      </c>
      <c r="I1159" s="24" t="str">
        <f>IFERROR(VLOOKUP(A1159,取得元!$A$2:$F$501,4,FALSE),"-")</f>
        <v>-</v>
      </c>
      <c r="J1159" s="5" t="str">
        <f>IFERROR(VLOOKUP(A1159,取得元!$A$2:$F$501,5,FALSE),"-")</f>
        <v>-</v>
      </c>
      <c r="K1159" s="25" t="str">
        <f>IFERROR(VLOOKUP(A1159,取得元!$A$2:$F$501,6,FALSE)/100,"-")</f>
        <v>-</v>
      </c>
      <c r="L1159" s="21" t="str">
        <f>_xll.RssMarket(A1159,"始値")</f>
        <v>表示銘柄数超過</v>
      </c>
      <c r="M1159" s="4" t="e">
        <f t="shared" si="100"/>
        <v>#VALUE!</v>
      </c>
      <c r="N1159" s="21" t="str">
        <f>_xll.RssMarket(A1159,"高値")</f>
        <v>表示銘柄数超過</v>
      </c>
      <c r="O1159" s="4" t="e">
        <f t="shared" si="101"/>
        <v>#VALUE!</v>
      </c>
      <c r="P1159" s="21" t="str">
        <f>_xll.RssMarket(A1159,"安値")</f>
        <v>表示銘柄数超過</v>
      </c>
      <c r="Q1159" s="4" t="e">
        <f t="shared" si="102"/>
        <v>#VALUE!</v>
      </c>
      <c r="R1159" s="21" t="str">
        <f>_xll.RssMarket(A1159,"後場始値")</f>
        <v>表示銘柄数超過</v>
      </c>
      <c r="S1159" s="25" t="str">
        <f t="shared" si="103"/>
        <v>-</v>
      </c>
      <c r="T1159" s="7" t="str">
        <f>_xll.RssMarket(A1159,"出来高加重平均")</f>
        <v>表示銘柄数超過</v>
      </c>
      <c r="U1159" s="4" t="e">
        <f t="shared" si="104"/>
        <v>#VALUE!</v>
      </c>
      <c r="V1159" s="21" t="str">
        <f>_xll.RssMarket(A1159,"出来高")</f>
        <v>表示銘柄数超過</v>
      </c>
      <c r="W1159" s="21" t="str">
        <f>_xll.RssMarket(A1159,"売買代金")</f>
        <v>表示銘柄数超過</v>
      </c>
      <c r="X1159" s="20" t="str">
        <f>_xll.RssMarket(A1159,"決算発表日")</f>
        <v>表示銘柄数超過</v>
      </c>
      <c r="Y1159" s="26" t="str">
        <f>IF(C1159&gt;_xll.RssMarket(A1159,"年初来高値"),"○","×")</f>
        <v>×</v>
      </c>
      <c r="Z1159" s="27" t="str">
        <f>IF(C1159&lt;=_xll.RssMarket(A1159,"年初来安値"),"○","×")</f>
        <v>○</v>
      </c>
    </row>
    <row r="1160" spans="1:26" x14ac:dyDescent="0.25">
      <c r="A1160" s="47">
        <v>9613</v>
      </c>
      <c r="B1160" s="20" t="str">
        <f>_xll.RssMarket(A1160,"銘柄名称")</f>
        <v>表示銘柄数超過</v>
      </c>
      <c r="C1160" s="21" t="str">
        <f>_xll.RssMarket(A1160,"現在値")</f>
        <v>表示銘柄数超過</v>
      </c>
      <c r="D1160" s="20" t="str">
        <f>_xll.RssMarket(A1160,"現在値詳細時刻")</f>
        <v>表示銘柄数超過</v>
      </c>
      <c r="E1160" s="22" t="str">
        <f>_xll.RssMarket(A1160,"前日比")</f>
        <v>表示銘柄数超過</v>
      </c>
      <c r="F1160" s="23" t="e">
        <f>_xll.RssMarket(A1160,"前日比率")/100</f>
        <v>#VALUE!</v>
      </c>
      <c r="G1160" s="24" t="str">
        <f>IFERROR(VLOOKUP(A1160,取得元!$A$2:$F$501,2,FALSE),"-")</f>
        <v>-</v>
      </c>
      <c r="H1160" s="24" t="str">
        <f>IFERROR(VLOOKUP(A1160,取得元!$A$2:$F$501,3,FALSE),"-")</f>
        <v>-</v>
      </c>
      <c r="I1160" s="24" t="str">
        <f>IFERROR(VLOOKUP(A1160,取得元!$A$2:$F$501,4,FALSE),"-")</f>
        <v>-</v>
      </c>
      <c r="J1160" s="5" t="str">
        <f>IFERROR(VLOOKUP(A1160,取得元!$A$2:$F$501,5,FALSE),"-")</f>
        <v>-</v>
      </c>
      <c r="K1160" s="25" t="str">
        <f>IFERROR(VLOOKUP(A1160,取得元!$A$2:$F$501,6,FALSE)/100,"-")</f>
        <v>-</v>
      </c>
      <c r="L1160" s="21" t="str">
        <f>_xll.RssMarket(A1160,"始値")</f>
        <v>表示銘柄数超過</v>
      </c>
      <c r="M1160" s="4" t="e">
        <f t="shared" si="100"/>
        <v>#VALUE!</v>
      </c>
      <c r="N1160" s="21" t="str">
        <f>_xll.RssMarket(A1160,"高値")</f>
        <v>表示銘柄数超過</v>
      </c>
      <c r="O1160" s="4" t="e">
        <f t="shared" si="101"/>
        <v>#VALUE!</v>
      </c>
      <c r="P1160" s="21" t="str">
        <f>_xll.RssMarket(A1160,"安値")</f>
        <v>表示銘柄数超過</v>
      </c>
      <c r="Q1160" s="4" t="e">
        <f t="shared" si="102"/>
        <v>#VALUE!</v>
      </c>
      <c r="R1160" s="21" t="str">
        <f>_xll.RssMarket(A1160,"後場始値")</f>
        <v>表示銘柄数超過</v>
      </c>
      <c r="S1160" s="25" t="str">
        <f t="shared" si="103"/>
        <v>-</v>
      </c>
      <c r="T1160" s="7" t="str">
        <f>_xll.RssMarket(A1160,"出来高加重平均")</f>
        <v>表示銘柄数超過</v>
      </c>
      <c r="U1160" s="4" t="e">
        <f t="shared" si="104"/>
        <v>#VALUE!</v>
      </c>
      <c r="V1160" s="21" t="str">
        <f>_xll.RssMarket(A1160,"出来高")</f>
        <v>表示銘柄数超過</v>
      </c>
      <c r="W1160" s="21" t="str">
        <f>_xll.RssMarket(A1160,"売買代金")</f>
        <v>表示銘柄数超過</v>
      </c>
      <c r="X1160" s="20" t="str">
        <f>_xll.RssMarket(A1160,"決算発表日")</f>
        <v>表示銘柄数超過</v>
      </c>
      <c r="Y1160" s="26" t="str">
        <f>IF(C1160&gt;_xll.RssMarket(A1160,"年初来高値"),"○","×")</f>
        <v>×</v>
      </c>
      <c r="Z1160" s="27" t="str">
        <f>IF(C1160&lt;=_xll.RssMarket(A1160,"年初来安値"),"○","×")</f>
        <v>○</v>
      </c>
    </row>
    <row r="1161" spans="1:26" x14ac:dyDescent="0.25">
      <c r="A1161" s="49">
        <v>9656</v>
      </c>
      <c r="B1161" s="20" t="str">
        <f>_xll.RssMarket(A1161,"銘柄名称")</f>
        <v>表示銘柄数超過</v>
      </c>
      <c r="C1161" s="21" t="str">
        <f>_xll.RssMarket(A1161,"現在値")</f>
        <v>表示銘柄数超過</v>
      </c>
      <c r="D1161" s="20" t="str">
        <f>_xll.RssMarket(A1161,"現在値詳細時刻")</f>
        <v>表示銘柄数超過</v>
      </c>
      <c r="E1161" s="22" t="str">
        <f>_xll.RssMarket(A1161,"前日比")</f>
        <v>表示銘柄数超過</v>
      </c>
      <c r="F1161" s="23" t="e">
        <f>_xll.RssMarket(A1161,"前日比率")/100</f>
        <v>#VALUE!</v>
      </c>
      <c r="G1161" s="24" t="str">
        <f>IFERROR(VLOOKUP(A1161,取得元!$A$2:$F$501,2,FALSE),"-")</f>
        <v>-</v>
      </c>
      <c r="H1161" s="24" t="str">
        <f>IFERROR(VLOOKUP(A1161,取得元!$A$2:$F$501,3,FALSE),"-")</f>
        <v>-</v>
      </c>
      <c r="I1161" s="24" t="str">
        <f>IFERROR(VLOOKUP(A1161,取得元!$A$2:$F$501,4,FALSE),"-")</f>
        <v>-</v>
      </c>
      <c r="J1161" s="5" t="str">
        <f>IFERROR(VLOOKUP(A1161,取得元!$A$2:$F$501,5,FALSE),"-")</f>
        <v>-</v>
      </c>
      <c r="K1161" s="25" t="str">
        <f>IFERROR(VLOOKUP(A1161,取得元!$A$2:$F$501,6,FALSE)/100,"-")</f>
        <v>-</v>
      </c>
      <c r="L1161" s="21" t="str">
        <f>_xll.RssMarket(A1161,"始値")</f>
        <v>表示銘柄数超過</v>
      </c>
      <c r="M1161" s="4" t="e">
        <f t="shared" si="100"/>
        <v>#VALUE!</v>
      </c>
      <c r="N1161" s="21" t="str">
        <f>_xll.RssMarket(A1161,"高値")</f>
        <v>表示銘柄数超過</v>
      </c>
      <c r="O1161" s="4" t="e">
        <f t="shared" si="101"/>
        <v>#VALUE!</v>
      </c>
      <c r="P1161" s="21" t="str">
        <f>_xll.RssMarket(A1161,"安値")</f>
        <v>表示銘柄数超過</v>
      </c>
      <c r="Q1161" s="4" t="e">
        <f t="shared" si="102"/>
        <v>#VALUE!</v>
      </c>
      <c r="R1161" s="21" t="str">
        <f>_xll.RssMarket(A1161,"後場始値")</f>
        <v>表示銘柄数超過</v>
      </c>
      <c r="S1161" s="25" t="str">
        <f t="shared" si="103"/>
        <v>-</v>
      </c>
      <c r="T1161" s="7" t="str">
        <f>_xll.RssMarket(A1161,"出来高加重平均")</f>
        <v>表示銘柄数超過</v>
      </c>
      <c r="U1161" s="4" t="e">
        <f t="shared" si="104"/>
        <v>#VALUE!</v>
      </c>
      <c r="V1161" s="21" t="str">
        <f>_xll.RssMarket(A1161,"出来高")</f>
        <v>表示銘柄数超過</v>
      </c>
      <c r="W1161" s="21" t="str">
        <f>_xll.RssMarket(A1161,"売買代金")</f>
        <v>表示銘柄数超過</v>
      </c>
      <c r="X1161" s="20" t="str">
        <f>_xll.RssMarket(A1161,"決算発表日")</f>
        <v>表示銘柄数超過</v>
      </c>
      <c r="Y1161" s="26" t="str">
        <f>IF(C1161&gt;_xll.RssMarket(A1161,"年初来高値"),"○","×")</f>
        <v>×</v>
      </c>
      <c r="Z1161" s="27" t="str">
        <f>IF(C1161&lt;=_xll.RssMarket(A1161,"年初来安値"),"○","×")</f>
        <v>○</v>
      </c>
    </row>
    <row r="1162" spans="1:26" x14ac:dyDescent="0.25">
      <c r="A1162" s="47">
        <v>9709</v>
      </c>
      <c r="B1162" s="20" t="str">
        <f>_xll.RssMarket(A1162,"銘柄名称")</f>
        <v>表示銘柄数超過</v>
      </c>
      <c r="C1162" s="21" t="str">
        <f>_xll.RssMarket(A1162,"現在値")</f>
        <v>表示銘柄数超過</v>
      </c>
      <c r="D1162" s="20" t="str">
        <f>_xll.RssMarket(A1162,"現在値詳細時刻")</f>
        <v>表示銘柄数超過</v>
      </c>
      <c r="E1162" s="22" t="str">
        <f>_xll.RssMarket(A1162,"前日比")</f>
        <v>表示銘柄数超過</v>
      </c>
      <c r="F1162" s="23" t="e">
        <f>_xll.RssMarket(A1162,"前日比率")/100</f>
        <v>#VALUE!</v>
      </c>
      <c r="G1162" s="24" t="str">
        <f>IFERROR(VLOOKUP(A1162,取得元!$A$2:$F$501,2,FALSE),"-")</f>
        <v>-</v>
      </c>
      <c r="H1162" s="24" t="str">
        <f>IFERROR(VLOOKUP(A1162,取得元!$A$2:$F$501,3,FALSE),"-")</f>
        <v>-</v>
      </c>
      <c r="I1162" s="24" t="str">
        <f>IFERROR(VLOOKUP(A1162,取得元!$A$2:$F$501,4,FALSE),"-")</f>
        <v>-</v>
      </c>
      <c r="J1162" s="5" t="str">
        <f>IFERROR(VLOOKUP(A1162,取得元!$A$2:$F$501,5,FALSE),"-")</f>
        <v>-</v>
      </c>
      <c r="K1162" s="25" t="str">
        <f>IFERROR(VLOOKUP(A1162,取得元!$A$2:$F$501,6,FALSE)/100,"-")</f>
        <v>-</v>
      </c>
      <c r="L1162" s="21" t="str">
        <f>_xll.RssMarket(A1162,"始値")</f>
        <v>表示銘柄数超過</v>
      </c>
      <c r="M1162" s="4" t="e">
        <f t="shared" si="100"/>
        <v>#VALUE!</v>
      </c>
      <c r="N1162" s="21" t="str">
        <f>_xll.RssMarket(A1162,"高値")</f>
        <v>表示銘柄数超過</v>
      </c>
      <c r="O1162" s="4" t="e">
        <f t="shared" si="101"/>
        <v>#VALUE!</v>
      </c>
      <c r="P1162" s="21" t="str">
        <f>_xll.RssMarket(A1162,"安値")</f>
        <v>表示銘柄数超過</v>
      </c>
      <c r="Q1162" s="4" t="e">
        <f t="shared" si="102"/>
        <v>#VALUE!</v>
      </c>
      <c r="R1162" s="21" t="str">
        <f>_xll.RssMarket(A1162,"後場始値")</f>
        <v>表示銘柄数超過</v>
      </c>
      <c r="S1162" s="25" t="str">
        <f t="shared" si="103"/>
        <v>-</v>
      </c>
      <c r="T1162" s="7" t="str">
        <f>_xll.RssMarket(A1162,"出来高加重平均")</f>
        <v>表示銘柄数超過</v>
      </c>
      <c r="U1162" s="4" t="e">
        <f t="shared" si="104"/>
        <v>#VALUE!</v>
      </c>
      <c r="V1162" s="21" t="str">
        <f>_xll.RssMarket(A1162,"出来高")</f>
        <v>表示銘柄数超過</v>
      </c>
      <c r="W1162" s="21" t="str">
        <f>_xll.RssMarket(A1162,"売買代金")</f>
        <v>表示銘柄数超過</v>
      </c>
      <c r="X1162" s="20" t="str">
        <f>_xll.RssMarket(A1162,"決算発表日")</f>
        <v>表示銘柄数超過</v>
      </c>
      <c r="Y1162" s="26" t="str">
        <f>IF(C1162&gt;_xll.RssMarket(A1162,"年初来高値"),"○","×")</f>
        <v>×</v>
      </c>
      <c r="Z1162" s="27" t="str">
        <f>IF(C1162&lt;=_xll.RssMarket(A1162,"年初来安値"),"○","×")</f>
        <v>○</v>
      </c>
    </row>
    <row r="1163" spans="1:26" x14ac:dyDescent="0.25">
      <c r="A1163" s="49">
        <v>9723</v>
      </c>
      <c r="B1163" s="20" t="str">
        <f>_xll.RssMarket(A1163,"銘柄名称")</f>
        <v>表示銘柄数超過</v>
      </c>
      <c r="C1163" s="21" t="str">
        <f>_xll.RssMarket(A1163,"現在値")</f>
        <v>表示銘柄数超過</v>
      </c>
      <c r="D1163" s="20" t="str">
        <f>_xll.RssMarket(A1163,"現在値詳細時刻")</f>
        <v>表示銘柄数超過</v>
      </c>
      <c r="E1163" s="22" t="str">
        <f>_xll.RssMarket(A1163,"前日比")</f>
        <v>表示銘柄数超過</v>
      </c>
      <c r="F1163" s="23" t="e">
        <f>_xll.RssMarket(A1163,"前日比率")/100</f>
        <v>#VALUE!</v>
      </c>
      <c r="G1163" s="24" t="str">
        <f>IFERROR(VLOOKUP(A1163,取得元!$A$2:$F$501,2,FALSE),"-")</f>
        <v>-</v>
      </c>
      <c r="H1163" s="24" t="str">
        <f>IFERROR(VLOOKUP(A1163,取得元!$A$2:$F$501,3,FALSE),"-")</f>
        <v>-</v>
      </c>
      <c r="I1163" s="24" t="str">
        <f>IFERROR(VLOOKUP(A1163,取得元!$A$2:$F$501,4,FALSE),"-")</f>
        <v>-</v>
      </c>
      <c r="J1163" s="5" t="str">
        <f>IFERROR(VLOOKUP(A1163,取得元!$A$2:$F$501,5,FALSE),"-")</f>
        <v>-</v>
      </c>
      <c r="K1163" s="25" t="str">
        <f>IFERROR(VLOOKUP(A1163,取得元!$A$2:$F$501,6,FALSE)/100,"-")</f>
        <v>-</v>
      </c>
      <c r="L1163" s="21" t="str">
        <f>_xll.RssMarket(A1163,"始値")</f>
        <v>表示銘柄数超過</v>
      </c>
      <c r="M1163" s="4" t="e">
        <f t="shared" si="100"/>
        <v>#VALUE!</v>
      </c>
      <c r="N1163" s="21" t="str">
        <f>_xll.RssMarket(A1163,"高値")</f>
        <v>表示銘柄数超過</v>
      </c>
      <c r="O1163" s="4" t="e">
        <f t="shared" si="101"/>
        <v>#VALUE!</v>
      </c>
      <c r="P1163" s="21" t="str">
        <f>_xll.RssMarket(A1163,"安値")</f>
        <v>表示銘柄数超過</v>
      </c>
      <c r="Q1163" s="4" t="e">
        <f t="shared" si="102"/>
        <v>#VALUE!</v>
      </c>
      <c r="R1163" s="21" t="str">
        <f>_xll.RssMarket(A1163,"後場始値")</f>
        <v>表示銘柄数超過</v>
      </c>
      <c r="S1163" s="25" t="str">
        <f t="shared" si="103"/>
        <v>-</v>
      </c>
      <c r="T1163" s="7" t="str">
        <f>_xll.RssMarket(A1163,"出来高加重平均")</f>
        <v>表示銘柄数超過</v>
      </c>
      <c r="U1163" s="4" t="e">
        <f t="shared" si="104"/>
        <v>#VALUE!</v>
      </c>
      <c r="V1163" s="21" t="str">
        <f>_xll.RssMarket(A1163,"出来高")</f>
        <v>表示銘柄数超過</v>
      </c>
      <c r="W1163" s="21" t="str">
        <f>_xll.RssMarket(A1163,"売買代金")</f>
        <v>表示銘柄数超過</v>
      </c>
      <c r="X1163" s="20" t="str">
        <f>_xll.RssMarket(A1163,"決算発表日")</f>
        <v>表示銘柄数超過</v>
      </c>
      <c r="Y1163" s="26" t="str">
        <f>IF(C1163&gt;_xll.RssMarket(A1163,"年初来高値"),"○","×")</f>
        <v>×</v>
      </c>
      <c r="Z1163" s="27" t="str">
        <f>IF(C1163&lt;=_xll.RssMarket(A1163,"年初来安値"),"○","×")</f>
        <v>○</v>
      </c>
    </row>
    <row r="1164" spans="1:26" x14ac:dyDescent="0.25">
      <c r="A1164" s="47">
        <v>9760</v>
      </c>
      <c r="B1164" s="20" t="str">
        <f>_xll.RssMarket(A1164,"銘柄名称")</f>
        <v>表示銘柄数超過</v>
      </c>
      <c r="C1164" s="21" t="str">
        <f>_xll.RssMarket(A1164,"現在値")</f>
        <v>表示銘柄数超過</v>
      </c>
      <c r="D1164" s="20" t="str">
        <f>_xll.RssMarket(A1164,"現在値詳細時刻")</f>
        <v>表示銘柄数超過</v>
      </c>
      <c r="E1164" s="22" t="str">
        <f>_xll.RssMarket(A1164,"前日比")</f>
        <v>表示銘柄数超過</v>
      </c>
      <c r="F1164" s="23" t="e">
        <f>_xll.RssMarket(A1164,"前日比率")/100</f>
        <v>#VALUE!</v>
      </c>
      <c r="G1164" s="24" t="str">
        <f>IFERROR(VLOOKUP(A1164,取得元!$A$2:$F$501,2,FALSE),"-")</f>
        <v>-</v>
      </c>
      <c r="H1164" s="24" t="str">
        <f>IFERROR(VLOOKUP(A1164,取得元!$A$2:$F$501,3,FALSE),"-")</f>
        <v>-</v>
      </c>
      <c r="I1164" s="24" t="str">
        <f>IFERROR(VLOOKUP(A1164,取得元!$A$2:$F$501,4,FALSE),"-")</f>
        <v>-</v>
      </c>
      <c r="J1164" s="5" t="str">
        <f>IFERROR(VLOOKUP(A1164,取得元!$A$2:$F$501,5,FALSE),"-")</f>
        <v>-</v>
      </c>
      <c r="K1164" s="25" t="str">
        <f>IFERROR(VLOOKUP(A1164,取得元!$A$2:$F$501,6,FALSE)/100,"-")</f>
        <v>-</v>
      </c>
      <c r="L1164" s="21" t="str">
        <f>_xll.RssMarket(A1164,"始値")</f>
        <v>表示銘柄数超過</v>
      </c>
      <c r="M1164" s="4" t="e">
        <f t="shared" si="100"/>
        <v>#VALUE!</v>
      </c>
      <c r="N1164" s="21" t="str">
        <f>_xll.RssMarket(A1164,"高値")</f>
        <v>表示銘柄数超過</v>
      </c>
      <c r="O1164" s="4" t="e">
        <f t="shared" si="101"/>
        <v>#VALUE!</v>
      </c>
      <c r="P1164" s="21" t="str">
        <f>_xll.RssMarket(A1164,"安値")</f>
        <v>表示銘柄数超過</v>
      </c>
      <c r="Q1164" s="4" t="e">
        <f t="shared" si="102"/>
        <v>#VALUE!</v>
      </c>
      <c r="R1164" s="21" t="str">
        <f>_xll.RssMarket(A1164,"後場始値")</f>
        <v>表示銘柄数超過</v>
      </c>
      <c r="S1164" s="25" t="str">
        <f t="shared" si="103"/>
        <v>-</v>
      </c>
      <c r="T1164" s="7" t="str">
        <f>_xll.RssMarket(A1164,"出来高加重平均")</f>
        <v>表示銘柄数超過</v>
      </c>
      <c r="U1164" s="4" t="e">
        <f t="shared" si="104"/>
        <v>#VALUE!</v>
      </c>
      <c r="V1164" s="21" t="str">
        <f>_xll.RssMarket(A1164,"出来高")</f>
        <v>表示銘柄数超過</v>
      </c>
      <c r="W1164" s="21" t="str">
        <f>_xll.RssMarket(A1164,"売買代金")</f>
        <v>表示銘柄数超過</v>
      </c>
      <c r="X1164" s="20" t="str">
        <f>_xll.RssMarket(A1164,"決算発表日")</f>
        <v>表示銘柄数超過</v>
      </c>
      <c r="Y1164" s="26" t="str">
        <f>IF(C1164&gt;_xll.RssMarket(A1164,"年初来高値"),"○","×")</f>
        <v>×</v>
      </c>
      <c r="Z1164" s="27" t="str">
        <f>IF(C1164&lt;=_xll.RssMarket(A1164,"年初来安値"),"○","×")</f>
        <v>○</v>
      </c>
    </row>
    <row r="1165" spans="1:26" x14ac:dyDescent="0.25">
      <c r="A1165" s="49">
        <v>9765</v>
      </c>
      <c r="B1165" s="20" t="str">
        <f>_xll.RssMarket(A1165,"銘柄名称")</f>
        <v>表示銘柄数超過</v>
      </c>
      <c r="C1165" s="21" t="str">
        <f>_xll.RssMarket(A1165,"現在値")</f>
        <v>表示銘柄数超過</v>
      </c>
      <c r="D1165" s="20" t="str">
        <f>_xll.RssMarket(A1165,"現在値詳細時刻")</f>
        <v>表示銘柄数超過</v>
      </c>
      <c r="E1165" s="22" t="str">
        <f>_xll.RssMarket(A1165,"前日比")</f>
        <v>表示銘柄数超過</v>
      </c>
      <c r="F1165" s="23" t="e">
        <f>_xll.RssMarket(A1165,"前日比率")/100</f>
        <v>#VALUE!</v>
      </c>
      <c r="G1165" s="24" t="str">
        <f>IFERROR(VLOOKUP(A1165,取得元!$A$2:$F$501,2,FALSE),"-")</f>
        <v>-</v>
      </c>
      <c r="H1165" s="24" t="str">
        <f>IFERROR(VLOOKUP(A1165,取得元!$A$2:$F$501,3,FALSE),"-")</f>
        <v>-</v>
      </c>
      <c r="I1165" s="24" t="str">
        <f>IFERROR(VLOOKUP(A1165,取得元!$A$2:$F$501,4,FALSE),"-")</f>
        <v>-</v>
      </c>
      <c r="J1165" s="5" t="str">
        <f>IFERROR(VLOOKUP(A1165,取得元!$A$2:$F$501,5,FALSE),"-")</f>
        <v>-</v>
      </c>
      <c r="K1165" s="25" t="str">
        <f>IFERROR(VLOOKUP(A1165,取得元!$A$2:$F$501,6,FALSE)/100,"-")</f>
        <v>-</v>
      </c>
      <c r="L1165" s="21" t="str">
        <f>_xll.RssMarket(A1165,"始値")</f>
        <v>表示銘柄数超過</v>
      </c>
      <c r="M1165" s="4" t="e">
        <f t="shared" si="100"/>
        <v>#VALUE!</v>
      </c>
      <c r="N1165" s="21" t="str">
        <f>_xll.RssMarket(A1165,"高値")</f>
        <v>表示銘柄数超過</v>
      </c>
      <c r="O1165" s="4" t="e">
        <f t="shared" si="101"/>
        <v>#VALUE!</v>
      </c>
      <c r="P1165" s="21" t="str">
        <f>_xll.RssMarket(A1165,"安値")</f>
        <v>表示銘柄数超過</v>
      </c>
      <c r="Q1165" s="4" t="e">
        <f t="shared" si="102"/>
        <v>#VALUE!</v>
      </c>
      <c r="R1165" s="21" t="str">
        <f>_xll.RssMarket(A1165,"後場始値")</f>
        <v>表示銘柄数超過</v>
      </c>
      <c r="S1165" s="25" t="str">
        <f t="shared" si="103"/>
        <v>-</v>
      </c>
      <c r="T1165" s="7" t="str">
        <f>_xll.RssMarket(A1165,"出来高加重平均")</f>
        <v>表示銘柄数超過</v>
      </c>
      <c r="U1165" s="4" t="e">
        <f t="shared" si="104"/>
        <v>#VALUE!</v>
      </c>
      <c r="V1165" s="21" t="str">
        <f>_xll.RssMarket(A1165,"出来高")</f>
        <v>表示銘柄数超過</v>
      </c>
      <c r="W1165" s="21" t="str">
        <f>_xll.RssMarket(A1165,"売買代金")</f>
        <v>表示銘柄数超過</v>
      </c>
      <c r="X1165" s="20" t="str">
        <f>_xll.RssMarket(A1165,"決算発表日")</f>
        <v>表示銘柄数超過</v>
      </c>
      <c r="Y1165" s="26" t="str">
        <f>IF(C1165&gt;_xll.RssMarket(A1165,"年初来高値"),"○","×")</f>
        <v>×</v>
      </c>
      <c r="Z1165" s="27" t="str">
        <f>IF(C1165&lt;=_xll.RssMarket(A1165,"年初来安値"),"○","×")</f>
        <v>○</v>
      </c>
    </row>
    <row r="1166" spans="1:26" x14ac:dyDescent="0.25">
      <c r="A1166" s="47">
        <v>9782</v>
      </c>
      <c r="B1166" s="20" t="str">
        <f>_xll.RssMarket(A1166,"銘柄名称")</f>
        <v>表示銘柄数超過</v>
      </c>
      <c r="C1166" s="21" t="str">
        <f>_xll.RssMarket(A1166,"現在値")</f>
        <v>表示銘柄数超過</v>
      </c>
      <c r="D1166" s="20" t="str">
        <f>_xll.RssMarket(A1166,"現在値詳細時刻")</f>
        <v>表示銘柄数超過</v>
      </c>
      <c r="E1166" s="22" t="str">
        <f>_xll.RssMarket(A1166,"前日比")</f>
        <v>表示銘柄数超過</v>
      </c>
      <c r="F1166" s="23" t="e">
        <f>_xll.RssMarket(A1166,"前日比率")/100</f>
        <v>#VALUE!</v>
      </c>
      <c r="G1166" s="24" t="str">
        <f>IFERROR(VLOOKUP(A1166,取得元!$A$2:$F$501,2,FALSE),"-")</f>
        <v>-</v>
      </c>
      <c r="H1166" s="24" t="str">
        <f>IFERROR(VLOOKUP(A1166,取得元!$A$2:$F$501,3,FALSE),"-")</f>
        <v>-</v>
      </c>
      <c r="I1166" s="24" t="str">
        <f>IFERROR(VLOOKUP(A1166,取得元!$A$2:$F$501,4,FALSE),"-")</f>
        <v>-</v>
      </c>
      <c r="J1166" s="5" t="str">
        <f>IFERROR(VLOOKUP(A1166,取得元!$A$2:$F$501,5,FALSE),"-")</f>
        <v>-</v>
      </c>
      <c r="K1166" s="25" t="str">
        <f>IFERROR(VLOOKUP(A1166,取得元!$A$2:$F$501,6,FALSE)/100,"-")</f>
        <v>-</v>
      </c>
      <c r="L1166" s="21" t="str">
        <f>_xll.RssMarket(A1166,"始値")</f>
        <v>表示銘柄数超過</v>
      </c>
      <c r="M1166" s="4" t="e">
        <f t="shared" si="100"/>
        <v>#VALUE!</v>
      </c>
      <c r="N1166" s="21" t="str">
        <f>_xll.RssMarket(A1166,"高値")</f>
        <v>表示銘柄数超過</v>
      </c>
      <c r="O1166" s="4" t="e">
        <f t="shared" si="101"/>
        <v>#VALUE!</v>
      </c>
      <c r="P1166" s="21" t="str">
        <f>_xll.RssMarket(A1166,"安値")</f>
        <v>表示銘柄数超過</v>
      </c>
      <c r="Q1166" s="4" t="e">
        <f t="shared" si="102"/>
        <v>#VALUE!</v>
      </c>
      <c r="R1166" s="21" t="str">
        <f>_xll.RssMarket(A1166,"後場始値")</f>
        <v>表示銘柄数超過</v>
      </c>
      <c r="S1166" s="25" t="str">
        <f t="shared" si="103"/>
        <v>-</v>
      </c>
      <c r="T1166" s="7" t="str">
        <f>_xll.RssMarket(A1166,"出来高加重平均")</f>
        <v>表示銘柄数超過</v>
      </c>
      <c r="U1166" s="4" t="e">
        <f t="shared" si="104"/>
        <v>#VALUE!</v>
      </c>
      <c r="V1166" s="21" t="str">
        <f>_xll.RssMarket(A1166,"出来高")</f>
        <v>表示銘柄数超過</v>
      </c>
      <c r="W1166" s="21" t="str">
        <f>_xll.RssMarket(A1166,"売買代金")</f>
        <v>表示銘柄数超過</v>
      </c>
      <c r="X1166" s="20" t="str">
        <f>_xll.RssMarket(A1166,"決算発表日")</f>
        <v>表示銘柄数超過</v>
      </c>
      <c r="Y1166" s="26" t="str">
        <f>IF(C1166&gt;_xll.RssMarket(A1166,"年初来高値"),"○","×")</f>
        <v>×</v>
      </c>
      <c r="Z1166" s="27" t="str">
        <f>IF(C1166&lt;=_xll.RssMarket(A1166,"年初来安値"),"○","×")</f>
        <v>○</v>
      </c>
    </row>
    <row r="1167" spans="1:26" x14ac:dyDescent="0.25">
      <c r="A1167" s="49">
        <v>9783</v>
      </c>
      <c r="B1167" s="20" t="str">
        <f>_xll.RssMarket(A1167,"銘柄名称")</f>
        <v>表示銘柄数超過</v>
      </c>
      <c r="C1167" s="21" t="str">
        <f>_xll.RssMarket(A1167,"現在値")</f>
        <v>表示銘柄数超過</v>
      </c>
      <c r="D1167" s="20" t="str">
        <f>_xll.RssMarket(A1167,"現在値詳細時刻")</f>
        <v>表示銘柄数超過</v>
      </c>
      <c r="E1167" s="22" t="str">
        <f>_xll.RssMarket(A1167,"前日比")</f>
        <v>表示銘柄数超過</v>
      </c>
      <c r="F1167" s="23" t="e">
        <f>_xll.RssMarket(A1167,"前日比率")/100</f>
        <v>#VALUE!</v>
      </c>
      <c r="G1167" s="24" t="str">
        <f>IFERROR(VLOOKUP(A1167,取得元!$A$2:$F$501,2,FALSE),"-")</f>
        <v>-</v>
      </c>
      <c r="H1167" s="24" t="str">
        <f>IFERROR(VLOOKUP(A1167,取得元!$A$2:$F$501,3,FALSE),"-")</f>
        <v>-</v>
      </c>
      <c r="I1167" s="24" t="str">
        <f>IFERROR(VLOOKUP(A1167,取得元!$A$2:$F$501,4,FALSE),"-")</f>
        <v>-</v>
      </c>
      <c r="J1167" s="5" t="str">
        <f>IFERROR(VLOOKUP(A1167,取得元!$A$2:$F$501,5,FALSE),"-")</f>
        <v>-</v>
      </c>
      <c r="K1167" s="25" t="str">
        <f>IFERROR(VLOOKUP(A1167,取得元!$A$2:$F$501,6,FALSE)/100,"-")</f>
        <v>-</v>
      </c>
      <c r="L1167" s="21" t="str">
        <f>_xll.RssMarket(A1167,"始値")</f>
        <v>表示銘柄数超過</v>
      </c>
      <c r="M1167" s="4" t="e">
        <f t="shared" si="100"/>
        <v>#VALUE!</v>
      </c>
      <c r="N1167" s="21" t="str">
        <f>_xll.RssMarket(A1167,"高値")</f>
        <v>表示銘柄数超過</v>
      </c>
      <c r="O1167" s="4" t="e">
        <f t="shared" si="101"/>
        <v>#VALUE!</v>
      </c>
      <c r="P1167" s="21" t="str">
        <f>_xll.RssMarket(A1167,"安値")</f>
        <v>表示銘柄数超過</v>
      </c>
      <c r="Q1167" s="4" t="e">
        <f t="shared" si="102"/>
        <v>#VALUE!</v>
      </c>
      <c r="R1167" s="21" t="str">
        <f>_xll.RssMarket(A1167,"後場始値")</f>
        <v>表示銘柄数超過</v>
      </c>
      <c r="S1167" s="25" t="str">
        <f t="shared" si="103"/>
        <v>-</v>
      </c>
      <c r="T1167" s="7" t="str">
        <f>_xll.RssMarket(A1167,"出来高加重平均")</f>
        <v>表示銘柄数超過</v>
      </c>
      <c r="U1167" s="4" t="e">
        <f t="shared" si="104"/>
        <v>#VALUE!</v>
      </c>
      <c r="V1167" s="21" t="str">
        <f>_xll.RssMarket(A1167,"出来高")</f>
        <v>表示銘柄数超過</v>
      </c>
      <c r="W1167" s="21" t="str">
        <f>_xll.RssMarket(A1167,"売買代金")</f>
        <v>表示銘柄数超過</v>
      </c>
      <c r="X1167" s="20" t="str">
        <f>_xll.RssMarket(A1167,"決算発表日")</f>
        <v>表示銘柄数超過</v>
      </c>
      <c r="Y1167" s="26" t="str">
        <f>IF(C1167&gt;_xll.RssMarket(A1167,"年初来高値"),"○","×")</f>
        <v>×</v>
      </c>
      <c r="Z1167" s="27" t="str">
        <f>IF(C1167&lt;=_xll.RssMarket(A1167,"年初来安値"),"○","×")</f>
        <v>○</v>
      </c>
    </row>
    <row r="1168" spans="1:26" x14ac:dyDescent="0.25">
      <c r="A1168" s="47">
        <v>9787</v>
      </c>
      <c r="B1168" s="20" t="str">
        <f>_xll.RssMarket(A1168,"銘柄名称")</f>
        <v>表示銘柄数超過</v>
      </c>
      <c r="C1168" s="21" t="str">
        <f>_xll.RssMarket(A1168,"現在値")</f>
        <v>表示銘柄数超過</v>
      </c>
      <c r="D1168" s="20" t="str">
        <f>_xll.RssMarket(A1168,"現在値詳細時刻")</f>
        <v>表示銘柄数超過</v>
      </c>
      <c r="E1168" s="22" t="str">
        <f>_xll.RssMarket(A1168,"前日比")</f>
        <v>表示銘柄数超過</v>
      </c>
      <c r="F1168" s="23" t="e">
        <f>_xll.RssMarket(A1168,"前日比率")/100</f>
        <v>#VALUE!</v>
      </c>
      <c r="G1168" s="24" t="str">
        <f>IFERROR(VLOOKUP(A1168,取得元!$A$2:$F$501,2,FALSE),"-")</f>
        <v>-</v>
      </c>
      <c r="H1168" s="24" t="str">
        <f>IFERROR(VLOOKUP(A1168,取得元!$A$2:$F$501,3,FALSE),"-")</f>
        <v>-</v>
      </c>
      <c r="I1168" s="24" t="str">
        <f>IFERROR(VLOOKUP(A1168,取得元!$A$2:$F$501,4,FALSE),"-")</f>
        <v>-</v>
      </c>
      <c r="J1168" s="5" t="str">
        <f>IFERROR(VLOOKUP(A1168,取得元!$A$2:$F$501,5,FALSE),"-")</f>
        <v>-</v>
      </c>
      <c r="K1168" s="25" t="str">
        <f>IFERROR(VLOOKUP(A1168,取得元!$A$2:$F$501,6,FALSE)/100,"-")</f>
        <v>-</v>
      </c>
      <c r="L1168" s="21" t="str">
        <f>_xll.RssMarket(A1168,"始値")</f>
        <v>表示銘柄数超過</v>
      </c>
      <c r="M1168" s="4" t="e">
        <f t="shared" si="100"/>
        <v>#VALUE!</v>
      </c>
      <c r="N1168" s="21" t="str">
        <f>_xll.RssMarket(A1168,"高値")</f>
        <v>表示銘柄数超過</v>
      </c>
      <c r="O1168" s="4" t="e">
        <f t="shared" si="101"/>
        <v>#VALUE!</v>
      </c>
      <c r="P1168" s="21" t="str">
        <f>_xll.RssMarket(A1168,"安値")</f>
        <v>表示銘柄数超過</v>
      </c>
      <c r="Q1168" s="4" t="e">
        <f t="shared" si="102"/>
        <v>#VALUE!</v>
      </c>
      <c r="R1168" s="21" t="str">
        <f>_xll.RssMarket(A1168,"後場始値")</f>
        <v>表示銘柄数超過</v>
      </c>
      <c r="S1168" s="25" t="str">
        <f t="shared" si="103"/>
        <v>-</v>
      </c>
      <c r="T1168" s="7" t="str">
        <f>_xll.RssMarket(A1168,"出来高加重平均")</f>
        <v>表示銘柄数超過</v>
      </c>
      <c r="U1168" s="4" t="e">
        <f t="shared" si="104"/>
        <v>#VALUE!</v>
      </c>
      <c r="V1168" s="21" t="str">
        <f>_xll.RssMarket(A1168,"出来高")</f>
        <v>表示銘柄数超過</v>
      </c>
      <c r="W1168" s="21" t="str">
        <f>_xll.RssMarket(A1168,"売買代金")</f>
        <v>表示銘柄数超過</v>
      </c>
      <c r="X1168" s="20" t="str">
        <f>_xll.RssMarket(A1168,"決算発表日")</f>
        <v>表示銘柄数超過</v>
      </c>
      <c r="Y1168" s="26" t="str">
        <f>IF(C1168&gt;_xll.RssMarket(A1168,"年初来高値"),"○","×")</f>
        <v>×</v>
      </c>
      <c r="Z1168" s="27" t="str">
        <f>IF(C1168&lt;=_xll.RssMarket(A1168,"年初来安値"),"○","×")</f>
        <v>○</v>
      </c>
    </row>
    <row r="1169" spans="1:26" x14ac:dyDescent="0.25">
      <c r="A1169" s="49">
        <v>9788</v>
      </c>
      <c r="B1169" s="20" t="str">
        <f>_xll.RssMarket(A1169,"銘柄名称")</f>
        <v>表示銘柄数超過</v>
      </c>
      <c r="C1169" s="21" t="str">
        <f>_xll.RssMarket(A1169,"現在値")</f>
        <v>表示銘柄数超過</v>
      </c>
      <c r="D1169" s="20" t="str">
        <f>_xll.RssMarket(A1169,"現在値詳細時刻")</f>
        <v>表示銘柄数超過</v>
      </c>
      <c r="E1169" s="22" t="str">
        <f>_xll.RssMarket(A1169,"前日比")</f>
        <v>表示銘柄数超過</v>
      </c>
      <c r="F1169" s="23" t="e">
        <f>_xll.RssMarket(A1169,"前日比率")/100</f>
        <v>#VALUE!</v>
      </c>
      <c r="G1169" s="24" t="str">
        <f>IFERROR(VLOOKUP(A1169,取得元!$A$2:$F$501,2,FALSE),"-")</f>
        <v>-</v>
      </c>
      <c r="H1169" s="24" t="str">
        <f>IFERROR(VLOOKUP(A1169,取得元!$A$2:$F$501,3,FALSE),"-")</f>
        <v>-</v>
      </c>
      <c r="I1169" s="24" t="str">
        <f>IFERROR(VLOOKUP(A1169,取得元!$A$2:$F$501,4,FALSE),"-")</f>
        <v>-</v>
      </c>
      <c r="J1169" s="5" t="str">
        <f>IFERROR(VLOOKUP(A1169,取得元!$A$2:$F$501,5,FALSE),"-")</f>
        <v>-</v>
      </c>
      <c r="K1169" s="25" t="str">
        <f>IFERROR(VLOOKUP(A1169,取得元!$A$2:$F$501,6,FALSE)/100,"-")</f>
        <v>-</v>
      </c>
      <c r="L1169" s="21" t="str">
        <f>_xll.RssMarket(A1169,"始値")</f>
        <v>表示銘柄数超過</v>
      </c>
      <c r="M1169" s="4" t="e">
        <f t="shared" si="100"/>
        <v>#VALUE!</v>
      </c>
      <c r="N1169" s="21" t="str">
        <f>_xll.RssMarket(A1169,"高値")</f>
        <v>表示銘柄数超過</v>
      </c>
      <c r="O1169" s="4" t="e">
        <f t="shared" si="101"/>
        <v>#VALUE!</v>
      </c>
      <c r="P1169" s="21" t="str">
        <f>_xll.RssMarket(A1169,"安値")</f>
        <v>表示銘柄数超過</v>
      </c>
      <c r="Q1169" s="4" t="e">
        <f t="shared" si="102"/>
        <v>#VALUE!</v>
      </c>
      <c r="R1169" s="21" t="str">
        <f>_xll.RssMarket(A1169,"後場始値")</f>
        <v>表示銘柄数超過</v>
      </c>
      <c r="S1169" s="25" t="str">
        <f t="shared" si="103"/>
        <v>-</v>
      </c>
      <c r="T1169" s="7" t="str">
        <f>_xll.RssMarket(A1169,"出来高加重平均")</f>
        <v>表示銘柄数超過</v>
      </c>
      <c r="U1169" s="4" t="e">
        <f t="shared" si="104"/>
        <v>#VALUE!</v>
      </c>
      <c r="V1169" s="21" t="str">
        <f>_xll.RssMarket(A1169,"出来高")</f>
        <v>表示銘柄数超過</v>
      </c>
      <c r="W1169" s="21" t="str">
        <f>_xll.RssMarket(A1169,"売買代金")</f>
        <v>表示銘柄数超過</v>
      </c>
      <c r="X1169" s="20" t="str">
        <f>_xll.RssMarket(A1169,"決算発表日")</f>
        <v>表示銘柄数超過</v>
      </c>
      <c r="Y1169" s="26" t="str">
        <f>IF(C1169&gt;_xll.RssMarket(A1169,"年初来高値"),"○","×")</f>
        <v>×</v>
      </c>
      <c r="Z1169" s="27" t="str">
        <f>IF(C1169&lt;=_xll.RssMarket(A1169,"年初来安値"),"○","×")</f>
        <v>○</v>
      </c>
    </row>
    <row r="1170" spans="1:26" x14ac:dyDescent="0.25">
      <c r="A1170" s="47">
        <v>9812</v>
      </c>
      <c r="B1170" s="20" t="str">
        <f>_xll.RssMarket(A1170,"銘柄名称")</f>
        <v>表示銘柄数超過</v>
      </c>
      <c r="C1170" s="21" t="str">
        <f>_xll.RssMarket(A1170,"現在値")</f>
        <v>表示銘柄数超過</v>
      </c>
      <c r="D1170" s="20" t="str">
        <f>_xll.RssMarket(A1170,"現在値詳細時刻")</f>
        <v>表示銘柄数超過</v>
      </c>
      <c r="E1170" s="22" t="str">
        <f>_xll.RssMarket(A1170,"前日比")</f>
        <v>表示銘柄数超過</v>
      </c>
      <c r="F1170" s="23" t="e">
        <f>_xll.RssMarket(A1170,"前日比率")/100</f>
        <v>#VALUE!</v>
      </c>
      <c r="G1170" s="24" t="str">
        <f>IFERROR(VLOOKUP(A1170,取得元!$A$2:$F$501,2,FALSE),"-")</f>
        <v>-</v>
      </c>
      <c r="H1170" s="24" t="str">
        <f>IFERROR(VLOOKUP(A1170,取得元!$A$2:$F$501,3,FALSE),"-")</f>
        <v>-</v>
      </c>
      <c r="I1170" s="24" t="str">
        <f>IFERROR(VLOOKUP(A1170,取得元!$A$2:$F$501,4,FALSE),"-")</f>
        <v>-</v>
      </c>
      <c r="J1170" s="5" t="str">
        <f>IFERROR(VLOOKUP(A1170,取得元!$A$2:$F$501,5,FALSE),"-")</f>
        <v>-</v>
      </c>
      <c r="K1170" s="25" t="str">
        <f>IFERROR(VLOOKUP(A1170,取得元!$A$2:$F$501,6,FALSE)/100,"-")</f>
        <v>-</v>
      </c>
      <c r="L1170" s="21" t="str">
        <f>_xll.RssMarket(A1170,"始値")</f>
        <v>表示銘柄数超過</v>
      </c>
      <c r="M1170" s="4" t="e">
        <f t="shared" si="100"/>
        <v>#VALUE!</v>
      </c>
      <c r="N1170" s="21" t="str">
        <f>_xll.RssMarket(A1170,"高値")</f>
        <v>表示銘柄数超過</v>
      </c>
      <c r="O1170" s="4" t="e">
        <f t="shared" si="101"/>
        <v>#VALUE!</v>
      </c>
      <c r="P1170" s="21" t="str">
        <f>_xll.RssMarket(A1170,"安値")</f>
        <v>表示銘柄数超過</v>
      </c>
      <c r="Q1170" s="4" t="e">
        <f t="shared" si="102"/>
        <v>#VALUE!</v>
      </c>
      <c r="R1170" s="21" t="str">
        <f>_xll.RssMarket(A1170,"後場始値")</f>
        <v>表示銘柄数超過</v>
      </c>
      <c r="S1170" s="25" t="str">
        <f t="shared" si="103"/>
        <v>-</v>
      </c>
      <c r="T1170" s="7" t="str">
        <f>_xll.RssMarket(A1170,"出来高加重平均")</f>
        <v>表示銘柄数超過</v>
      </c>
      <c r="U1170" s="4" t="e">
        <f t="shared" si="104"/>
        <v>#VALUE!</v>
      </c>
      <c r="V1170" s="21" t="str">
        <f>_xll.RssMarket(A1170,"出来高")</f>
        <v>表示銘柄数超過</v>
      </c>
      <c r="W1170" s="21" t="str">
        <f>_xll.RssMarket(A1170,"売買代金")</f>
        <v>表示銘柄数超過</v>
      </c>
      <c r="X1170" s="20" t="str">
        <f>_xll.RssMarket(A1170,"決算発表日")</f>
        <v>表示銘柄数超過</v>
      </c>
      <c r="Y1170" s="26" t="str">
        <f>IF(C1170&gt;_xll.RssMarket(A1170,"年初来高値"),"○","×")</f>
        <v>×</v>
      </c>
      <c r="Z1170" s="27" t="str">
        <f>IF(C1170&lt;=_xll.RssMarket(A1170,"年初来安値"),"○","×")</f>
        <v>○</v>
      </c>
    </row>
    <row r="1171" spans="1:26" x14ac:dyDescent="0.25">
      <c r="A1171" s="49">
        <v>9831</v>
      </c>
      <c r="B1171" s="20" t="str">
        <f>_xll.RssMarket(A1171,"銘柄名称")</f>
        <v>ヤマダホールディングス</v>
      </c>
      <c r="C1171" s="21">
        <f>_xll.RssMarket(A1171,"現在値")</f>
        <v>444.8</v>
      </c>
      <c r="D1171" s="20" t="str">
        <f>_xll.RssMarket(A1171,"現在値詳細時刻")</f>
        <v>15:00:00</v>
      </c>
      <c r="E1171" s="22">
        <f>_xll.RssMarket(A1171,"前日比")</f>
        <v>-3.3</v>
      </c>
      <c r="F1171" s="23">
        <f>_xll.RssMarket(A1171,"前日比率")/100</f>
        <v>-7.4000000000000003E-3</v>
      </c>
      <c r="G1171" s="24">
        <f>IFERROR(VLOOKUP(A1171,取得元!$A$2:$F$501,2,FALSE),"-")</f>
        <v>1</v>
      </c>
      <c r="H1171" s="24">
        <f>IFERROR(VLOOKUP(A1171,取得元!$A$2:$F$501,3,FALSE),"-")</f>
        <v>431</v>
      </c>
      <c r="I1171" s="24">
        <f>IFERROR(VLOOKUP(A1171,取得元!$A$2:$F$501,4,FALSE),"-")</f>
        <v>444.8</v>
      </c>
      <c r="J1171" s="5">
        <f>IFERROR(VLOOKUP(A1171,取得元!$A$2:$F$501,5,FALSE),"-")</f>
        <v>13.8</v>
      </c>
      <c r="K1171" s="25">
        <f>IFERROR(VLOOKUP(A1171,取得元!$A$2:$F$501,6,FALSE)/100,"-")</f>
        <v>3.2018560000000001E-2</v>
      </c>
      <c r="L1171" s="21">
        <f>_xll.RssMarket(A1171,"始値")</f>
        <v>448.7</v>
      </c>
      <c r="M1171" s="4">
        <f t="shared" si="100"/>
        <v>-8.6917762424781886E-3</v>
      </c>
      <c r="N1171" s="21">
        <f>_xll.RssMarket(A1171,"高値")</f>
        <v>448.7</v>
      </c>
      <c r="O1171" s="4">
        <f t="shared" si="101"/>
        <v>-8.6917762424781886E-3</v>
      </c>
      <c r="P1171" s="21">
        <f>_xll.RssMarket(A1171,"安値")</f>
        <v>441.9</v>
      </c>
      <c r="Q1171" s="4">
        <f t="shared" si="102"/>
        <v>6.5625707173568859E-3</v>
      </c>
      <c r="R1171" s="21">
        <f>_xll.RssMarket(A1171,"後場始値")</f>
        <v>443</v>
      </c>
      <c r="S1171" s="25">
        <f t="shared" si="103"/>
        <v>4.0632054176072963E-3</v>
      </c>
      <c r="T1171" s="7">
        <f>_xll.RssMarket(A1171,"出来高加重平均")</f>
        <v>444.0394</v>
      </c>
      <c r="U1171" s="4">
        <f t="shared" si="104"/>
        <v>1.7129110614959586E-3</v>
      </c>
      <c r="V1171" s="21">
        <f>_xll.RssMarket(A1171,"出来高")</f>
        <v>3077400</v>
      </c>
      <c r="W1171" s="21">
        <f>_xll.RssMarket(A1171,"売買代金")</f>
        <v>1366487</v>
      </c>
      <c r="X1171" s="20" t="str">
        <f>_xll.RssMarket(A1171,"決算発表日")</f>
        <v>2024/02/01</v>
      </c>
      <c r="Y1171" s="26" t="str">
        <f>IF(C1171&gt;_xll.RssMarket(A1171,"年初来高値"),"○","×")</f>
        <v>×</v>
      </c>
      <c r="Z1171" s="27" t="str">
        <f>IF(C1171&lt;=_xll.RssMarket(A1171,"年初来安値"),"○","×")</f>
        <v>×</v>
      </c>
    </row>
    <row r="1172" spans="1:26" x14ac:dyDescent="0.25">
      <c r="A1172" s="47">
        <v>9842</v>
      </c>
      <c r="B1172" s="20" t="str">
        <f>_xll.RssMarket(A1172,"銘柄名称")</f>
        <v>表示銘柄数超過</v>
      </c>
      <c r="C1172" s="21" t="str">
        <f>_xll.RssMarket(A1172,"現在値")</f>
        <v>表示銘柄数超過</v>
      </c>
      <c r="D1172" s="20" t="str">
        <f>_xll.RssMarket(A1172,"現在値詳細時刻")</f>
        <v>表示銘柄数超過</v>
      </c>
      <c r="E1172" s="22" t="str">
        <f>_xll.RssMarket(A1172,"前日比")</f>
        <v>表示銘柄数超過</v>
      </c>
      <c r="F1172" s="23" t="e">
        <f>_xll.RssMarket(A1172,"前日比率")/100</f>
        <v>#VALUE!</v>
      </c>
      <c r="G1172" s="24" t="str">
        <f>IFERROR(VLOOKUP(A1172,取得元!$A$2:$F$501,2,FALSE),"-")</f>
        <v>-</v>
      </c>
      <c r="H1172" s="24" t="str">
        <f>IFERROR(VLOOKUP(A1172,取得元!$A$2:$F$501,3,FALSE),"-")</f>
        <v>-</v>
      </c>
      <c r="I1172" s="24" t="str">
        <f>IFERROR(VLOOKUP(A1172,取得元!$A$2:$F$501,4,FALSE),"-")</f>
        <v>-</v>
      </c>
      <c r="J1172" s="5" t="str">
        <f>IFERROR(VLOOKUP(A1172,取得元!$A$2:$F$501,5,FALSE),"-")</f>
        <v>-</v>
      </c>
      <c r="K1172" s="25" t="str">
        <f>IFERROR(VLOOKUP(A1172,取得元!$A$2:$F$501,6,FALSE)/100,"-")</f>
        <v>-</v>
      </c>
      <c r="L1172" s="21" t="str">
        <f>_xll.RssMarket(A1172,"始値")</f>
        <v>表示銘柄数超過</v>
      </c>
      <c r="M1172" s="4" t="e">
        <f t="shared" si="100"/>
        <v>#VALUE!</v>
      </c>
      <c r="N1172" s="21" t="str">
        <f>_xll.RssMarket(A1172,"高値")</f>
        <v>表示銘柄数超過</v>
      </c>
      <c r="O1172" s="4" t="e">
        <f t="shared" si="101"/>
        <v>#VALUE!</v>
      </c>
      <c r="P1172" s="21" t="str">
        <f>_xll.RssMarket(A1172,"安値")</f>
        <v>表示銘柄数超過</v>
      </c>
      <c r="Q1172" s="4" t="e">
        <f t="shared" si="102"/>
        <v>#VALUE!</v>
      </c>
      <c r="R1172" s="21" t="str">
        <f>_xll.RssMarket(A1172,"後場始値")</f>
        <v>表示銘柄数超過</v>
      </c>
      <c r="S1172" s="25" t="str">
        <f t="shared" si="103"/>
        <v>-</v>
      </c>
      <c r="T1172" s="7" t="str">
        <f>_xll.RssMarket(A1172,"出来高加重平均")</f>
        <v>表示銘柄数超過</v>
      </c>
      <c r="U1172" s="4" t="e">
        <f t="shared" si="104"/>
        <v>#VALUE!</v>
      </c>
      <c r="V1172" s="21" t="str">
        <f>_xll.RssMarket(A1172,"出来高")</f>
        <v>表示銘柄数超過</v>
      </c>
      <c r="W1172" s="21" t="str">
        <f>_xll.RssMarket(A1172,"売買代金")</f>
        <v>表示銘柄数超過</v>
      </c>
      <c r="X1172" s="20" t="str">
        <f>_xll.RssMarket(A1172,"決算発表日")</f>
        <v>表示銘柄数超過</v>
      </c>
      <c r="Y1172" s="26" t="str">
        <f>IF(C1172&gt;_xll.RssMarket(A1172,"年初来高値"),"○","×")</f>
        <v>×</v>
      </c>
      <c r="Z1172" s="27" t="str">
        <f>IF(C1172&lt;=_xll.RssMarket(A1172,"年初来安値"),"○","×")</f>
        <v>○</v>
      </c>
    </row>
    <row r="1173" spans="1:26" x14ac:dyDescent="0.25">
      <c r="A1173" s="49">
        <v>9853</v>
      </c>
      <c r="B1173" s="20" t="str">
        <f>_xll.RssMarket(A1173,"銘柄名称")</f>
        <v>表示銘柄数超過</v>
      </c>
      <c r="C1173" s="21" t="str">
        <f>_xll.RssMarket(A1173,"現在値")</f>
        <v>表示銘柄数超過</v>
      </c>
      <c r="D1173" s="20" t="str">
        <f>_xll.RssMarket(A1173,"現在値詳細時刻")</f>
        <v>表示銘柄数超過</v>
      </c>
      <c r="E1173" s="22" t="str">
        <f>_xll.RssMarket(A1173,"前日比")</f>
        <v>表示銘柄数超過</v>
      </c>
      <c r="F1173" s="23" t="e">
        <f>_xll.RssMarket(A1173,"前日比率")/100</f>
        <v>#VALUE!</v>
      </c>
      <c r="G1173" s="24" t="str">
        <f>IFERROR(VLOOKUP(A1173,取得元!$A$2:$F$501,2,FALSE),"-")</f>
        <v>-</v>
      </c>
      <c r="H1173" s="24" t="str">
        <f>IFERROR(VLOOKUP(A1173,取得元!$A$2:$F$501,3,FALSE),"-")</f>
        <v>-</v>
      </c>
      <c r="I1173" s="24" t="str">
        <f>IFERROR(VLOOKUP(A1173,取得元!$A$2:$F$501,4,FALSE),"-")</f>
        <v>-</v>
      </c>
      <c r="J1173" s="5" t="str">
        <f>IFERROR(VLOOKUP(A1173,取得元!$A$2:$F$501,5,FALSE),"-")</f>
        <v>-</v>
      </c>
      <c r="K1173" s="25" t="str">
        <f>IFERROR(VLOOKUP(A1173,取得元!$A$2:$F$501,6,FALSE)/100,"-")</f>
        <v>-</v>
      </c>
      <c r="L1173" s="21" t="str">
        <f>_xll.RssMarket(A1173,"始値")</f>
        <v>表示銘柄数超過</v>
      </c>
      <c r="M1173" s="4" t="e">
        <f t="shared" si="100"/>
        <v>#VALUE!</v>
      </c>
      <c r="N1173" s="21" t="str">
        <f>_xll.RssMarket(A1173,"高値")</f>
        <v>表示銘柄数超過</v>
      </c>
      <c r="O1173" s="4" t="e">
        <f t="shared" si="101"/>
        <v>#VALUE!</v>
      </c>
      <c r="P1173" s="21" t="str">
        <f>_xll.RssMarket(A1173,"安値")</f>
        <v>表示銘柄数超過</v>
      </c>
      <c r="Q1173" s="4" t="e">
        <f t="shared" si="102"/>
        <v>#VALUE!</v>
      </c>
      <c r="R1173" s="21" t="str">
        <f>_xll.RssMarket(A1173,"後場始値")</f>
        <v>表示銘柄数超過</v>
      </c>
      <c r="S1173" s="25" t="str">
        <f t="shared" si="103"/>
        <v>-</v>
      </c>
      <c r="T1173" s="7" t="str">
        <f>_xll.RssMarket(A1173,"出来高加重平均")</f>
        <v>表示銘柄数超過</v>
      </c>
      <c r="U1173" s="4" t="e">
        <f t="shared" si="104"/>
        <v>#VALUE!</v>
      </c>
      <c r="V1173" s="21" t="str">
        <f>_xll.RssMarket(A1173,"出来高")</f>
        <v>表示銘柄数超過</v>
      </c>
      <c r="W1173" s="21" t="str">
        <f>_xll.RssMarket(A1173,"売買代金")</f>
        <v>表示銘柄数超過</v>
      </c>
      <c r="X1173" s="20" t="str">
        <f>_xll.RssMarket(A1173,"決算発表日")</f>
        <v>表示銘柄数超過</v>
      </c>
      <c r="Y1173" s="26" t="str">
        <f>IF(C1173&gt;_xll.RssMarket(A1173,"年初来高値"),"○","×")</f>
        <v>×</v>
      </c>
      <c r="Z1173" s="27" t="str">
        <f>IF(C1173&lt;=_xll.RssMarket(A1173,"年初来安値"),"○","×")</f>
        <v>○</v>
      </c>
    </row>
    <row r="1174" spans="1:26" x14ac:dyDescent="0.25">
      <c r="A1174" s="47">
        <v>9854</v>
      </c>
      <c r="B1174" s="20" t="str">
        <f>_xll.RssMarket(A1174,"銘柄名称")</f>
        <v>表示銘柄数超過</v>
      </c>
      <c r="C1174" s="21" t="str">
        <f>_xll.RssMarket(A1174,"現在値")</f>
        <v>表示銘柄数超過</v>
      </c>
      <c r="D1174" s="20" t="str">
        <f>_xll.RssMarket(A1174,"現在値詳細時刻")</f>
        <v>表示銘柄数超過</v>
      </c>
      <c r="E1174" s="22" t="str">
        <f>_xll.RssMarket(A1174,"前日比")</f>
        <v>表示銘柄数超過</v>
      </c>
      <c r="F1174" s="23" t="e">
        <f>_xll.RssMarket(A1174,"前日比率")/100</f>
        <v>#VALUE!</v>
      </c>
      <c r="G1174" s="24" t="str">
        <f>IFERROR(VLOOKUP(A1174,取得元!$A$2:$F$501,2,FALSE),"-")</f>
        <v>-</v>
      </c>
      <c r="H1174" s="24" t="str">
        <f>IFERROR(VLOOKUP(A1174,取得元!$A$2:$F$501,3,FALSE),"-")</f>
        <v>-</v>
      </c>
      <c r="I1174" s="24" t="str">
        <f>IFERROR(VLOOKUP(A1174,取得元!$A$2:$F$501,4,FALSE),"-")</f>
        <v>-</v>
      </c>
      <c r="J1174" s="5" t="str">
        <f>IFERROR(VLOOKUP(A1174,取得元!$A$2:$F$501,5,FALSE),"-")</f>
        <v>-</v>
      </c>
      <c r="K1174" s="25" t="str">
        <f>IFERROR(VLOOKUP(A1174,取得元!$A$2:$F$501,6,FALSE)/100,"-")</f>
        <v>-</v>
      </c>
      <c r="L1174" s="21" t="str">
        <f>_xll.RssMarket(A1174,"始値")</f>
        <v>表示銘柄数超過</v>
      </c>
      <c r="M1174" s="4" t="e">
        <f t="shared" ref="M1174:M1237" si="105">C1174/L1174-1</f>
        <v>#VALUE!</v>
      </c>
      <c r="N1174" s="21" t="str">
        <f>_xll.RssMarket(A1174,"高値")</f>
        <v>表示銘柄数超過</v>
      </c>
      <c r="O1174" s="4" t="e">
        <f t="shared" ref="O1174:O1237" si="106">C1174/N1174-1</f>
        <v>#VALUE!</v>
      </c>
      <c r="P1174" s="21" t="str">
        <f>_xll.RssMarket(A1174,"安値")</f>
        <v>表示銘柄数超過</v>
      </c>
      <c r="Q1174" s="4" t="e">
        <f t="shared" ref="Q1174:Q1237" si="107">C1174/P1174-1</f>
        <v>#VALUE!</v>
      </c>
      <c r="R1174" s="21" t="str">
        <f>_xll.RssMarket(A1174,"後場始値")</f>
        <v>表示銘柄数超過</v>
      </c>
      <c r="S1174" s="25" t="str">
        <f t="shared" ref="S1174:S1237" si="108">IFERROR(C1174/R1174-1,"-")</f>
        <v>-</v>
      </c>
      <c r="T1174" s="7" t="str">
        <f>_xll.RssMarket(A1174,"出来高加重平均")</f>
        <v>表示銘柄数超過</v>
      </c>
      <c r="U1174" s="4" t="e">
        <f t="shared" ref="U1174:U1237" si="109">C1174/T1174-1</f>
        <v>#VALUE!</v>
      </c>
      <c r="V1174" s="21" t="str">
        <f>_xll.RssMarket(A1174,"出来高")</f>
        <v>表示銘柄数超過</v>
      </c>
      <c r="W1174" s="21" t="str">
        <f>_xll.RssMarket(A1174,"売買代金")</f>
        <v>表示銘柄数超過</v>
      </c>
      <c r="X1174" s="20" t="str">
        <f>_xll.RssMarket(A1174,"決算発表日")</f>
        <v>表示銘柄数超過</v>
      </c>
      <c r="Y1174" s="26" t="str">
        <f>IF(C1174&gt;_xll.RssMarket(A1174,"年初来高値"),"○","×")</f>
        <v>×</v>
      </c>
      <c r="Z1174" s="27" t="str">
        <f>IF(C1174&lt;=_xll.RssMarket(A1174,"年初来安値"),"○","×")</f>
        <v>○</v>
      </c>
    </row>
    <row r="1175" spans="1:26" x14ac:dyDescent="0.25">
      <c r="A1175" s="49">
        <v>9876</v>
      </c>
      <c r="B1175" s="20" t="str">
        <f>_xll.RssMarket(A1175,"銘柄名称")</f>
        <v>表示銘柄数超過</v>
      </c>
      <c r="C1175" s="21" t="str">
        <f>_xll.RssMarket(A1175,"現在値")</f>
        <v>表示銘柄数超過</v>
      </c>
      <c r="D1175" s="20" t="str">
        <f>_xll.RssMarket(A1175,"現在値詳細時刻")</f>
        <v>表示銘柄数超過</v>
      </c>
      <c r="E1175" s="22" t="str">
        <f>_xll.RssMarket(A1175,"前日比")</f>
        <v>表示銘柄数超過</v>
      </c>
      <c r="F1175" s="23" t="e">
        <f>_xll.RssMarket(A1175,"前日比率")/100</f>
        <v>#VALUE!</v>
      </c>
      <c r="G1175" s="24" t="str">
        <f>IFERROR(VLOOKUP(A1175,取得元!$A$2:$F$501,2,FALSE),"-")</f>
        <v>-</v>
      </c>
      <c r="H1175" s="24" t="str">
        <f>IFERROR(VLOOKUP(A1175,取得元!$A$2:$F$501,3,FALSE),"-")</f>
        <v>-</v>
      </c>
      <c r="I1175" s="24" t="str">
        <f>IFERROR(VLOOKUP(A1175,取得元!$A$2:$F$501,4,FALSE),"-")</f>
        <v>-</v>
      </c>
      <c r="J1175" s="5" t="str">
        <f>IFERROR(VLOOKUP(A1175,取得元!$A$2:$F$501,5,FALSE),"-")</f>
        <v>-</v>
      </c>
      <c r="K1175" s="25" t="str">
        <f>IFERROR(VLOOKUP(A1175,取得元!$A$2:$F$501,6,FALSE)/100,"-")</f>
        <v>-</v>
      </c>
      <c r="L1175" s="21" t="str">
        <f>_xll.RssMarket(A1175,"始値")</f>
        <v>表示銘柄数超過</v>
      </c>
      <c r="M1175" s="4" t="e">
        <f t="shared" si="105"/>
        <v>#VALUE!</v>
      </c>
      <c r="N1175" s="21" t="str">
        <f>_xll.RssMarket(A1175,"高値")</f>
        <v>表示銘柄数超過</v>
      </c>
      <c r="O1175" s="4" t="e">
        <f t="shared" si="106"/>
        <v>#VALUE!</v>
      </c>
      <c r="P1175" s="21" t="str">
        <f>_xll.RssMarket(A1175,"安値")</f>
        <v>表示銘柄数超過</v>
      </c>
      <c r="Q1175" s="4" t="e">
        <f t="shared" si="107"/>
        <v>#VALUE!</v>
      </c>
      <c r="R1175" s="21" t="str">
        <f>_xll.RssMarket(A1175,"後場始値")</f>
        <v>表示銘柄数超過</v>
      </c>
      <c r="S1175" s="25" t="str">
        <f t="shared" si="108"/>
        <v>-</v>
      </c>
      <c r="T1175" s="7" t="str">
        <f>_xll.RssMarket(A1175,"出来高加重平均")</f>
        <v>表示銘柄数超過</v>
      </c>
      <c r="U1175" s="4" t="e">
        <f t="shared" si="109"/>
        <v>#VALUE!</v>
      </c>
      <c r="V1175" s="21" t="str">
        <f>_xll.RssMarket(A1175,"出来高")</f>
        <v>表示銘柄数超過</v>
      </c>
      <c r="W1175" s="21" t="str">
        <f>_xll.RssMarket(A1175,"売買代金")</f>
        <v>表示銘柄数超過</v>
      </c>
      <c r="X1175" s="20" t="str">
        <f>_xll.RssMarket(A1175,"決算発表日")</f>
        <v>表示銘柄数超過</v>
      </c>
      <c r="Y1175" s="26" t="str">
        <f>IF(C1175&gt;_xll.RssMarket(A1175,"年初来高値"),"○","×")</f>
        <v>×</v>
      </c>
      <c r="Z1175" s="27" t="str">
        <f>IF(C1175&lt;=_xll.RssMarket(A1175,"年初来安値"),"○","×")</f>
        <v>○</v>
      </c>
    </row>
    <row r="1176" spans="1:26" x14ac:dyDescent="0.25">
      <c r="A1176" s="47">
        <v>9888</v>
      </c>
      <c r="B1176" s="20" t="str">
        <f>_xll.RssMarket(A1176,"銘柄名称")</f>
        <v>表示銘柄数超過</v>
      </c>
      <c r="C1176" s="21" t="str">
        <f>_xll.RssMarket(A1176,"現在値")</f>
        <v>表示銘柄数超過</v>
      </c>
      <c r="D1176" s="20" t="str">
        <f>_xll.RssMarket(A1176,"現在値詳細時刻")</f>
        <v>表示銘柄数超過</v>
      </c>
      <c r="E1176" s="22" t="str">
        <f>_xll.RssMarket(A1176,"前日比")</f>
        <v>表示銘柄数超過</v>
      </c>
      <c r="F1176" s="23" t="e">
        <f>_xll.RssMarket(A1176,"前日比率")/100</f>
        <v>#VALUE!</v>
      </c>
      <c r="G1176" s="24" t="str">
        <f>IFERROR(VLOOKUP(A1176,取得元!$A$2:$F$501,2,FALSE),"-")</f>
        <v>-</v>
      </c>
      <c r="H1176" s="24" t="str">
        <f>IFERROR(VLOOKUP(A1176,取得元!$A$2:$F$501,3,FALSE),"-")</f>
        <v>-</v>
      </c>
      <c r="I1176" s="24" t="str">
        <f>IFERROR(VLOOKUP(A1176,取得元!$A$2:$F$501,4,FALSE),"-")</f>
        <v>-</v>
      </c>
      <c r="J1176" s="5" t="str">
        <f>IFERROR(VLOOKUP(A1176,取得元!$A$2:$F$501,5,FALSE),"-")</f>
        <v>-</v>
      </c>
      <c r="K1176" s="25" t="str">
        <f>IFERROR(VLOOKUP(A1176,取得元!$A$2:$F$501,6,FALSE)/100,"-")</f>
        <v>-</v>
      </c>
      <c r="L1176" s="21" t="str">
        <f>_xll.RssMarket(A1176,"始値")</f>
        <v>表示銘柄数超過</v>
      </c>
      <c r="M1176" s="4" t="e">
        <f t="shared" si="105"/>
        <v>#VALUE!</v>
      </c>
      <c r="N1176" s="21" t="str">
        <f>_xll.RssMarket(A1176,"高値")</f>
        <v>表示銘柄数超過</v>
      </c>
      <c r="O1176" s="4" t="e">
        <f t="shared" si="106"/>
        <v>#VALUE!</v>
      </c>
      <c r="P1176" s="21" t="str">
        <f>_xll.RssMarket(A1176,"安値")</f>
        <v>表示銘柄数超過</v>
      </c>
      <c r="Q1176" s="4" t="e">
        <f t="shared" si="107"/>
        <v>#VALUE!</v>
      </c>
      <c r="R1176" s="21" t="str">
        <f>_xll.RssMarket(A1176,"後場始値")</f>
        <v>表示銘柄数超過</v>
      </c>
      <c r="S1176" s="25" t="str">
        <f t="shared" si="108"/>
        <v>-</v>
      </c>
      <c r="T1176" s="7" t="str">
        <f>_xll.RssMarket(A1176,"出来高加重平均")</f>
        <v>表示銘柄数超過</v>
      </c>
      <c r="U1176" s="4" t="e">
        <f t="shared" si="109"/>
        <v>#VALUE!</v>
      </c>
      <c r="V1176" s="21" t="str">
        <f>_xll.RssMarket(A1176,"出来高")</f>
        <v>表示銘柄数超過</v>
      </c>
      <c r="W1176" s="21" t="str">
        <f>_xll.RssMarket(A1176,"売買代金")</f>
        <v>表示銘柄数超過</v>
      </c>
      <c r="X1176" s="20" t="str">
        <f>_xll.RssMarket(A1176,"決算発表日")</f>
        <v>表示銘柄数超過</v>
      </c>
      <c r="Y1176" s="26" t="str">
        <f>IF(C1176&gt;_xll.RssMarket(A1176,"年初来高値"),"○","×")</f>
        <v>×</v>
      </c>
      <c r="Z1176" s="27" t="str">
        <f>IF(C1176&lt;=_xll.RssMarket(A1176,"年初来安値"),"○","×")</f>
        <v>○</v>
      </c>
    </row>
    <row r="1177" spans="1:26" x14ac:dyDescent="0.25">
      <c r="A1177" s="49">
        <v>9890</v>
      </c>
      <c r="B1177" s="20" t="str">
        <f>_xll.RssMarket(A1177,"銘柄名称")</f>
        <v>表示銘柄数超過</v>
      </c>
      <c r="C1177" s="21" t="str">
        <f>_xll.RssMarket(A1177,"現在値")</f>
        <v>表示銘柄数超過</v>
      </c>
      <c r="D1177" s="20" t="str">
        <f>_xll.RssMarket(A1177,"現在値詳細時刻")</f>
        <v>表示銘柄数超過</v>
      </c>
      <c r="E1177" s="22" t="str">
        <f>_xll.RssMarket(A1177,"前日比")</f>
        <v>表示銘柄数超過</v>
      </c>
      <c r="F1177" s="23" t="e">
        <f>_xll.RssMarket(A1177,"前日比率")/100</f>
        <v>#VALUE!</v>
      </c>
      <c r="G1177" s="24" t="str">
        <f>IFERROR(VLOOKUP(A1177,取得元!$A$2:$F$501,2,FALSE),"-")</f>
        <v>-</v>
      </c>
      <c r="H1177" s="24" t="str">
        <f>IFERROR(VLOOKUP(A1177,取得元!$A$2:$F$501,3,FALSE),"-")</f>
        <v>-</v>
      </c>
      <c r="I1177" s="24" t="str">
        <f>IFERROR(VLOOKUP(A1177,取得元!$A$2:$F$501,4,FALSE),"-")</f>
        <v>-</v>
      </c>
      <c r="J1177" s="5" t="str">
        <f>IFERROR(VLOOKUP(A1177,取得元!$A$2:$F$501,5,FALSE),"-")</f>
        <v>-</v>
      </c>
      <c r="K1177" s="25" t="str">
        <f>IFERROR(VLOOKUP(A1177,取得元!$A$2:$F$501,6,FALSE)/100,"-")</f>
        <v>-</v>
      </c>
      <c r="L1177" s="21" t="str">
        <f>_xll.RssMarket(A1177,"始値")</f>
        <v>表示銘柄数超過</v>
      </c>
      <c r="M1177" s="4" t="e">
        <f t="shared" si="105"/>
        <v>#VALUE!</v>
      </c>
      <c r="N1177" s="21" t="str">
        <f>_xll.RssMarket(A1177,"高値")</f>
        <v>表示銘柄数超過</v>
      </c>
      <c r="O1177" s="4" t="e">
        <f t="shared" si="106"/>
        <v>#VALUE!</v>
      </c>
      <c r="P1177" s="21" t="str">
        <f>_xll.RssMarket(A1177,"安値")</f>
        <v>表示銘柄数超過</v>
      </c>
      <c r="Q1177" s="4" t="e">
        <f t="shared" si="107"/>
        <v>#VALUE!</v>
      </c>
      <c r="R1177" s="21" t="str">
        <f>_xll.RssMarket(A1177,"後場始値")</f>
        <v>表示銘柄数超過</v>
      </c>
      <c r="S1177" s="25" t="str">
        <f t="shared" si="108"/>
        <v>-</v>
      </c>
      <c r="T1177" s="7" t="str">
        <f>_xll.RssMarket(A1177,"出来高加重平均")</f>
        <v>表示銘柄数超過</v>
      </c>
      <c r="U1177" s="4" t="e">
        <f t="shared" si="109"/>
        <v>#VALUE!</v>
      </c>
      <c r="V1177" s="21" t="str">
        <f>_xll.RssMarket(A1177,"出来高")</f>
        <v>表示銘柄数超過</v>
      </c>
      <c r="W1177" s="21" t="str">
        <f>_xll.RssMarket(A1177,"売買代金")</f>
        <v>表示銘柄数超過</v>
      </c>
      <c r="X1177" s="20" t="str">
        <f>_xll.RssMarket(A1177,"決算発表日")</f>
        <v>表示銘柄数超過</v>
      </c>
      <c r="Y1177" s="26" t="str">
        <f>IF(C1177&gt;_xll.RssMarket(A1177,"年初来高値"),"○","×")</f>
        <v>×</v>
      </c>
      <c r="Z1177" s="27" t="str">
        <f>IF(C1177&lt;=_xll.RssMarket(A1177,"年初来安値"),"○","×")</f>
        <v>○</v>
      </c>
    </row>
    <row r="1178" spans="1:26" x14ac:dyDescent="0.25">
      <c r="A1178" s="47">
        <v>9904</v>
      </c>
      <c r="B1178" s="20" t="str">
        <f>_xll.RssMarket(A1178,"銘柄名称")</f>
        <v>表示銘柄数超過</v>
      </c>
      <c r="C1178" s="21" t="str">
        <f>_xll.RssMarket(A1178,"現在値")</f>
        <v>表示銘柄数超過</v>
      </c>
      <c r="D1178" s="20" t="str">
        <f>_xll.RssMarket(A1178,"現在値詳細時刻")</f>
        <v>表示銘柄数超過</v>
      </c>
      <c r="E1178" s="22" t="str">
        <f>_xll.RssMarket(A1178,"前日比")</f>
        <v>表示銘柄数超過</v>
      </c>
      <c r="F1178" s="23" t="e">
        <f>_xll.RssMarket(A1178,"前日比率")/100</f>
        <v>#VALUE!</v>
      </c>
      <c r="G1178" s="24" t="str">
        <f>IFERROR(VLOOKUP(A1178,取得元!$A$2:$F$501,2,FALSE),"-")</f>
        <v>-</v>
      </c>
      <c r="H1178" s="24" t="str">
        <f>IFERROR(VLOOKUP(A1178,取得元!$A$2:$F$501,3,FALSE),"-")</f>
        <v>-</v>
      </c>
      <c r="I1178" s="24" t="str">
        <f>IFERROR(VLOOKUP(A1178,取得元!$A$2:$F$501,4,FALSE),"-")</f>
        <v>-</v>
      </c>
      <c r="J1178" s="5" t="str">
        <f>IFERROR(VLOOKUP(A1178,取得元!$A$2:$F$501,5,FALSE),"-")</f>
        <v>-</v>
      </c>
      <c r="K1178" s="25" t="str">
        <f>IFERROR(VLOOKUP(A1178,取得元!$A$2:$F$501,6,FALSE)/100,"-")</f>
        <v>-</v>
      </c>
      <c r="L1178" s="21" t="str">
        <f>_xll.RssMarket(A1178,"始値")</f>
        <v>表示銘柄数超過</v>
      </c>
      <c r="M1178" s="4" t="e">
        <f t="shared" si="105"/>
        <v>#VALUE!</v>
      </c>
      <c r="N1178" s="21" t="str">
        <f>_xll.RssMarket(A1178,"高値")</f>
        <v>表示銘柄数超過</v>
      </c>
      <c r="O1178" s="4" t="e">
        <f t="shared" si="106"/>
        <v>#VALUE!</v>
      </c>
      <c r="P1178" s="21" t="str">
        <f>_xll.RssMarket(A1178,"安値")</f>
        <v>表示銘柄数超過</v>
      </c>
      <c r="Q1178" s="4" t="e">
        <f t="shared" si="107"/>
        <v>#VALUE!</v>
      </c>
      <c r="R1178" s="21" t="str">
        <f>_xll.RssMarket(A1178,"後場始値")</f>
        <v>表示銘柄数超過</v>
      </c>
      <c r="S1178" s="25" t="str">
        <f t="shared" si="108"/>
        <v>-</v>
      </c>
      <c r="T1178" s="7" t="str">
        <f>_xll.RssMarket(A1178,"出来高加重平均")</f>
        <v>表示銘柄数超過</v>
      </c>
      <c r="U1178" s="4" t="e">
        <f t="shared" si="109"/>
        <v>#VALUE!</v>
      </c>
      <c r="V1178" s="21" t="str">
        <f>_xll.RssMarket(A1178,"出来高")</f>
        <v>表示銘柄数超過</v>
      </c>
      <c r="W1178" s="21" t="str">
        <f>_xll.RssMarket(A1178,"売買代金")</f>
        <v>表示銘柄数超過</v>
      </c>
      <c r="X1178" s="20" t="str">
        <f>_xll.RssMarket(A1178,"決算発表日")</f>
        <v>表示銘柄数超過</v>
      </c>
      <c r="Y1178" s="26" t="str">
        <f>IF(C1178&gt;_xll.RssMarket(A1178,"年初来高値"),"○","×")</f>
        <v>×</v>
      </c>
      <c r="Z1178" s="27" t="str">
        <f>IF(C1178&lt;=_xll.RssMarket(A1178,"年初来安値"),"○","×")</f>
        <v>○</v>
      </c>
    </row>
    <row r="1179" spans="1:26" x14ac:dyDescent="0.25">
      <c r="A1179" s="49">
        <v>9908</v>
      </c>
      <c r="B1179" s="20" t="str">
        <f>_xll.RssMarket(A1179,"銘柄名称")</f>
        <v>表示銘柄数超過</v>
      </c>
      <c r="C1179" s="21" t="str">
        <f>_xll.RssMarket(A1179,"現在値")</f>
        <v>表示銘柄数超過</v>
      </c>
      <c r="D1179" s="20" t="str">
        <f>_xll.RssMarket(A1179,"現在値詳細時刻")</f>
        <v>表示銘柄数超過</v>
      </c>
      <c r="E1179" s="22" t="str">
        <f>_xll.RssMarket(A1179,"前日比")</f>
        <v>表示銘柄数超過</v>
      </c>
      <c r="F1179" s="23" t="e">
        <f>_xll.RssMarket(A1179,"前日比率")/100</f>
        <v>#VALUE!</v>
      </c>
      <c r="G1179" s="24" t="str">
        <f>IFERROR(VLOOKUP(A1179,取得元!$A$2:$F$501,2,FALSE),"-")</f>
        <v>-</v>
      </c>
      <c r="H1179" s="24" t="str">
        <f>IFERROR(VLOOKUP(A1179,取得元!$A$2:$F$501,3,FALSE),"-")</f>
        <v>-</v>
      </c>
      <c r="I1179" s="24" t="str">
        <f>IFERROR(VLOOKUP(A1179,取得元!$A$2:$F$501,4,FALSE),"-")</f>
        <v>-</v>
      </c>
      <c r="J1179" s="5" t="str">
        <f>IFERROR(VLOOKUP(A1179,取得元!$A$2:$F$501,5,FALSE),"-")</f>
        <v>-</v>
      </c>
      <c r="K1179" s="25" t="str">
        <f>IFERROR(VLOOKUP(A1179,取得元!$A$2:$F$501,6,FALSE)/100,"-")</f>
        <v>-</v>
      </c>
      <c r="L1179" s="21" t="str">
        <f>_xll.RssMarket(A1179,"始値")</f>
        <v>表示銘柄数超過</v>
      </c>
      <c r="M1179" s="4" t="e">
        <f t="shared" si="105"/>
        <v>#VALUE!</v>
      </c>
      <c r="N1179" s="21" t="str">
        <f>_xll.RssMarket(A1179,"高値")</f>
        <v>表示銘柄数超過</v>
      </c>
      <c r="O1179" s="4" t="e">
        <f t="shared" si="106"/>
        <v>#VALUE!</v>
      </c>
      <c r="P1179" s="21" t="str">
        <f>_xll.RssMarket(A1179,"安値")</f>
        <v>表示銘柄数超過</v>
      </c>
      <c r="Q1179" s="4" t="e">
        <f t="shared" si="107"/>
        <v>#VALUE!</v>
      </c>
      <c r="R1179" s="21" t="str">
        <f>_xll.RssMarket(A1179,"後場始値")</f>
        <v>表示銘柄数超過</v>
      </c>
      <c r="S1179" s="25" t="str">
        <f t="shared" si="108"/>
        <v>-</v>
      </c>
      <c r="T1179" s="7" t="str">
        <f>_xll.RssMarket(A1179,"出来高加重平均")</f>
        <v>表示銘柄数超過</v>
      </c>
      <c r="U1179" s="4" t="e">
        <f t="shared" si="109"/>
        <v>#VALUE!</v>
      </c>
      <c r="V1179" s="21" t="str">
        <f>_xll.RssMarket(A1179,"出来高")</f>
        <v>表示銘柄数超過</v>
      </c>
      <c r="W1179" s="21" t="str">
        <f>_xll.RssMarket(A1179,"売買代金")</f>
        <v>表示銘柄数超過</v>
      </c>
      <c r="X1179" s="20" t="str">
        <f>_xll.RssMarket(A1179,"決算発表日")</f>
        <v>表示銘柄数超過</v>
      </c>
      <c r="Y1179" s="26" t="str">
        <f>IF(C1179&gt;_xll.RssMarket(A1179,"年初来高値"),"○","×")</f>
        <v>×</v>
      </c>
      <c r="Z1179" s="27" t="str">
        <f>IF(C1179&lt;=_xll.RssMarket(A1179,"年初来安値"),"○","×")</f>
        <v>○</v>
      </c>
    </row>
    <row r="1180" spans="1:26" x14ac:dyDescent="0.25">
      <c r="A1180" s="47">
        <v>9919</v>
      </c>
      <c r="B1180" s="20" t="str">
        <f>_xll.RssMarket(A1180,"銘柄名称")</f>
        <v>表示銘柄数超過</v>
      </c>
      <c r="C1180" s="21" t="str">
        <f>_xll.RssMarket(A1180,"現在値")</f>
        <v>表示銘柄数超過</v>
      </c>
      <c r="D1180" s="20" t="str">
        <f>_xll.RssMarket(A1180,"現在値詳細時刻")</f>
        <v>表示銘柄数超過</v>
      </c>
      <c r="E1180" s="22" t="str">
        <f>_xll.RssMarket(A1180,"前日比")</f>
        <v>表示銘柄数超過</v>
      </c>
      <c r="F1180" s="23" t="e">
        <f>_xll.RssMarket(A1180,"前日比率")/100</f>
        <v>#VALUE!</v>
      </c>
      <c r="G1180" s="24" t="str">
        <f>IFERROR(VLOOKUP(A1180,取得元!$A$2:$F$501,2,FALSE),"-")</f>
        <v>-</v>
      </c>
      <c r="H1180" s="24" t="str">
        <f>IFERROR(VLOOKUP(A1180,取得元!$A$2:$F$501,3,FALSE),"-")</f>
        <v>-</v>
      </c>
      <c r="I1180" s="24" t="str">
        <f>IFERROR(VLOOKUP(A1180,取得元!$A$2:$F$501,4,FALSE),"-")</f>
        <v>-</v>
      </c>
      <c r="J1180" s="5" t="str">
        <f>IFERROR(VLOOKUP(A1180,取得元!$A$2:$F$501,5,FALSE),"-")</f>
        <v>-</v>
      </c>
      <c r="K1180" s="25" t="str">
        <f>IFERROR(VLOOKUP(A1180,取得元!$A$2:$F$501,6,FALSE)/100,"-")</f>
        <v>-</v>
      </c>
      <c r="L1180" s="21" t="str">
        <f>_xll.RssMarket(A1180,"始値")</f>
        <v>表示銘柄数超過</v>
      </c>
      <c r="M1180" s="4" t="e">
        <f t="shared" si="105"/>
        <v>#VALUE!</v>
      </c>
      <c r="N1180" s="21" t="str">
        <f>_xll.RssMarket(A1180,"高値")</f>
        <v>表示銘柄数超過</v>
      </c>
      <c r="O1180" s="4" t="e">
        <f t="shared" si="106"/>
        <v>#VALUE!</v>
      </c>
      <c r="P1180" s="21" t="str">
        <f>_xll.RssMarket(A1180,"安値")</f>
        <v>表示銘柄数超過</v>
      </c>
      <c r="Q1180" s="4" t="e">
        <f t="shared" si="107"/>
        <v>#VALUE!</v>
      </c>
      <c r="R1180" s="21" t="str">
        <f>_xll.RssMarket(A1180,"後場始値")</f>
        <v>表示銘柄数超過</v>
      </c>
      <c r="S1180" s="25" t="str">
        <f t="shared" si="108"/>
        <v>-</v>
      </c>
      <c r="T1180" s="7" t="str">
        <f>_xll.RssMarket(A1180,"出来高加重平均")</f>
        <v>表示銘柄数超過</v>
      </c>
      <c r="U1180" s="4" t="e">
        <f t="shared" si="109"/>
        <v>#VALUE!</v>
      </c>
      <c r="V1180" s="21" t="str">
        <f>_xll.RssMarket(A1180,"出来高")</f>
        <v>表示銘柄数超過</v>
      </c>
      <c r="W1180" s="21" t="str">
        <f>_xll.RssMarket(A1180,"売買代金")</f>
        <v>表示銘柄数超過</v>
      </c>
      <c r="X1180" s="20" t="str">
        <f>_xll.RssMarket(A1180,"決算発表日")</f>
        <v>表示銘柄数超過</v>
      </c>
      <c r="Y1180" s="26" t="str">
        <f>IF(C1180&gt;_xll.RssMarket(A1180,"年初来高値"),"○","×")</f>
        <v>×</v>
      </c>
      <c r="Z1180" s="27" t="str">
        <f>IF(C1180&lt;=_xll.RssMarket(A1180,"年初来安値"),"○","×")</f>
        <v>○</v>
      </c>
    </row>
    <row r="1181" spans="1:26" x14ac:dyDescent="0.25">
      <c r="A1181" s="49">
        <v>9927</v>
      </c>
      <c r="B1181" s="20" t="str">
        <f>_xll.RssMarket(A1181,"銘柄名称")</f>
        <v>表示銘柄数超過</v>
      </c>
      <c r="C1181" s="21" t="str">
        <f>_xll.RssMarket(A1181,"現在値")</f>
        <v>表示銘柄数超過</v>
      </c>
      <c r="D1181" s="20" t="str">
        <f>_xll.RssMarket(A1181,"現在値詳細時刻")</f>
        <v>表示銘柄数超過</v>
      </c>
      <c r="E1181" s="22" t="str">
        <f>_xll.RssMarket(A1181,"前日比")</f>
        <v>表示銘柄数超過</v>
      </c>
      <c r="F1181" s="23" t="e">
        <f>_xll.RssMarket(A1181,"前日比率")/100</f>
        <v>#VALUE!</v>
      </c>
      <c r="G1181" s="24" t="str">
        <f>IFERROR(VLOOKUP(A1181,取得元!$A$2:$F$501,2,FALSE),"-")</f>
        <v>-</v>
      </c>
      <c r="H1181" s="24" t="str">
        <f>IFERROR(VLOOKUP(A1181,取得元!$A$2:$F$501,3,FALSE),"-")</f>
        <v>-</v>
      </c>
      <c r="I1181" s="24" t="str">
        <f>IFERROR(VLOOKUP(A1181,取得元!$A$2:$F$501,4,FALSE),"-")</f>
        <v>-</v>
      </c>
      <c r="J1181" s="5" t="str">
        <f>IFERROR(VLOOKUP(A1181,取得元!$A$2:$F$501,5,FALSE),"-")</f>
        <v>-</v>
      </c>
      <c r="K1181" s="25" t="str">
        <f>IFERROR(VLOOKUP(A1181,取得元!$A$2:$F$501,6,FALSE)/100,"-")</f>
        <v>-</v>
      </c>
      <c r="L1181" s="21" t="str">
        <f>_xll.RssMarket(A1181,"始値")</f>
        <v>表示銘柄数超過</v>
      </c>
      <c r="M1181" s="4" t="e">
        <f t="shared" si="105"/>
        <v>#VALUE!</v>
      </c>
      <c r="N1181" s="21" t="str">
        <f>_xll.RssMarket(A1181,"高値")</f>
        <v>表示銘柄数超過</v>
      </c>
      <c r="O1181" s="4" t="e">
        <f t="shared" si="106"/>
        <v>#VALUE!</v>
      </c>
      <c r="P1181" s="21" t="str">
        <f>_xll.RssMarket(A1181,"安値")</f>
        <v>表示銘柄数超過</v>
      </c>
      <c r="Q1181" s="4" t="e">
        <f t="shared" si="107"/>
        <v>#VALUE!</v>
      </c>
      <c r="R1181" s="21" t="str">
        <f>_xll.RssMarket(A1181,"後場始値")</f>
        <v>表示銘柄数超過</v>
      </c>
      <c r="S1181" s="25" t="str">
        <f t="shared" si="108"/>
        <v>-</v>
      </c>
      <c r="T1181" s="7" t="str">
        <f>_xll.RssMarket(A1181,"出来高加重平均")</f>
        <v>表示銘柄数超過</v>
      </c>
      <c r="U1181" s="4" t="e">
        <f t="shared" si="109"/>
        <v>#VALUE!</v>
      </c>
      <c r="V1181" s="21" t="str">
        <f>_xll.RssMarket(A1181,"出来高")</f>
        <v>表示銘柄数超過</v>
      </c>
      <c r="W1181" s="21" t="str">
        <f>_xll.RssMarket(A1181,"売買代金")</f>
        <v>表示銘柄数超過</v>
      </c>
      <c r="X1181" s="20" t="str">
        <f>_xll.RssMarket(A1181,"決算発表日")</f>
        <v>表示銘柄数超過</v>
      </c>
      <c r="Y1181" s="26" t="str">
        <f>IF(C1181&gt;_xll.RssMarket(A1181,"年初来高値"),"○","×")</f>
        <v>×</v>
      </c>
      <c r="Z1181" s="27" t="str">
        <f>IF(C1181&lt;=_xll.RssMarket(A1181,"年初来安値"),"○","×")</f>
        <v>○</v>
      </c>
    </row>
    <row r="1182" spans="1:26" x14ac:dyDescent="0.25">
      <c r="A1182" s="47">
        <v>9928</v>
      </c>
      <c r="B1182" s="20" t="str">
        <f>_xll.RssMarket(A1182,"銘柄名称")</f>
        <v>表示銘柄数超過</v>
      </c>
      <c r="C1182" s="21" t="str">
        <f>_xll.RssMarket(A1182,"現在値")</f>
        <v>表示銘柄数超過</v>
      </c>
      <c r="D1182" s="20" t="str">
        <f>_xll.RssMarket(A1182,"現在値詳細時刻")</f>
        <v>表示銘柄数超過</v>
      </c>
      <c r="E1182" s="22" t="str">
        <f>_xll.RssMarket(A1182,"前日比")</f>
        <v>表示銘柄数超過</v>
      </c>
      <c r="F1182" s="23" t="e">
        <f>_xll.RssMarket(A1182,"前日比率")/100</f>
        <v>#VALUE!</v>
      </c>
      <c r="G1182" s="24" t="str">
        <f>IFERROR(VLOOKUP(A1182,取得元!$A$2:$F$501,2,FALSE),"-")</f>
        <v>-</v>
      </c>
      <c r="H1182" s="24" t="str">
        <f>IFERROR(VLOOKUP(A1182,取得元!$A$2:$F$501,3,FALSE),"-")</f>
        <v>-</v>
      </c>
      <c r="I1182" s="24" t="str">
        <f>IFERROR(VLOOKUP(A1182,取得元!$A$2:$F$501,4,FALSE),"-")</f>
        <v>-</v>
      </c>
      <c r="J1182" s="5" t="str">
        <f>IFERROR(VLOOKUP(A1182,取得元!$A$2:$F$501,5,FALSE),"-")</f>
        <v>-</v>
      </c>
      <c r="K1182" s="25" t="str">
        <f>IFERROR(VLOOKUP(A1182,取得元!$A$2:$F$501,6,FALSE)/100,"-")</f>
        <v>-</v>
      </c>
      <c r="L1182" s="21" t="str">
        <f>_xll.RssMarket(A1182,"始値")</f>
        <v>表示銘柄数超過</v>
      </c>
      <c r="M1182" s="4" t="e">
        <f t="shared" si="105"/>
        <v>#VALUE!</v>
      </c>
      <c r="N1182" s="21" t="str">
        <f>_xll.RssMarket(A1182,"高値")</f>
        <v>表示銘柄数超過</v>
      </c>
      <c r="O1182" s="4" t="e">
        <f t="shared" si="106"/>
        <v>#VALUE!</v>
      </c>
      <c r="P1182" s="21" t="str">
        <f>_xll.RssMarket(A1182,"安値")</f>
        <v>表示銘柄数超過</v>
      </c>
      <c r="Q1182" s="4" t="e">
        <f t="shared" si="107"/>
        <v>#VALUE!</v>
      </c>
      <c r="R1182" s="21" t="str">
        <f>_xll.RssMarket(A1182,"後場始値")</f>
        <v>表示銘柄数超過</v>
      </c>
      <c r="S1182" s="25" t="str">
        <f t="shared" si="108"/>
        <v>-</v>
      </c>
      <c r="T1182" s="7" t="str">
        <f>_xll.RssMarket(A1182,"出来高加重平均")</f>
        <v>表示銘柄数超過</v>
      </c>
      <c r="U1182" s="4" t="e">
        <f t="shared" si="109"/>
        <v>#VALUE!</v>
      </c>
      <c r="V1182" s="21" t="str">
        <f>_xll.RssMarket(A1182,"出来高")</f>
        <v>表示銘柄数超過</v>
      </c>
      <c r="W1182" s="21" t="str">
        <f>_xll.RssMarket(A1182,"売買代金")</f>
        <v>表示銘柄数超過</v>
      </c>
      <c r="X1182" s="20" t="str">
        <f>_xll.RssMarket(A1182,"決算発表日")</f>
        <v>表示銘柄数超過</v>
      </c>
      <c r="Y1182" s="26" t="str">
        <f>IF(C1182&gt;_xll.RssMarket(A1182,"年初来高値"),"○","×")</f>
        <v>×</v>
      </c>
      <c r="Z1182" s="27" t="str">
        <f>IF(C1182&lt;=_xll.RssMarket(A1182,"年初来安値"),"○","×")</f>
        <v>○</v>
      </c>
    </row>
    <row r="1183" spans="1:26" x14ac:dyDescent="0.25">
      <c r="A1183" s="49">
        <v>9930</v>
      </c>
      <c r="B1183" s="20" t="str">
        <f>_xll.RssMarket(A1183,"銘柄名称")</f>
        <v>表示銘柄数超過</v>
      </c>
      <c r="C1183" s="21" t="str">
        <f>_xll.RssMarket(A1183,"現在値")</f>
        <v>表示銘柄数超過</v>
      </c>
      <c r="D1183" s="20" t="str">
        <f>_xll.RssMarket(A1183,"現在値詳細時刻")</f>
        <v>表示銘柄数超過</v>
      </c>
      <c r="E1183" s="22" t="str">
        <f>_xll.RssMarket(A1183,"前日比")</f>
        <v>表示銘柄数超過</v>
      </c>
      <c r="F1183" s="23" t="e">
        <f>_xll.RssMarket(A1183,"前日比率")/100</f>
        <v>#VALUE!</v>
      </c>
      <c r="G1183" s="24" t="str">
        <f>IFERROR(VLOOKUP(A1183,取得元!$A$2:$F$501,2,FALSE),"-")</f>
        <v>-</v>
      </c>
      <c r="H1183" s="24" t="str">
        <f>IFERROR(VLOOKUP(A1183,取得元!$A$2:$F$501,3,FALSE),"-")</f>
        <v>-</v>
      </c>
      <c r="I1183" s="24" t="str">
        <f>IFERROR(VLOOKUP(A1183,取得元!$A$2:$F$501,4,FALSE),"-")</f>
        <v>-</v>
      </c>
      <c r="J1183" s="5" t="str">
        <f>IFERROR(VLOOKUP(A1183,取得元!$A$2:$F$501,5,FALSE),"-")</f>
        <v>-</v>
      </c>
      <c r="K1183" s="25" t="str">
        <f>IFERROR(VLOOKUP(A1183,取得元!$A$2:$F$501,6,FALSE)/100,"-")</f>
        <v>-</v>
      </c>
      <c r="L1183" s="21" t="str">
        <f>_xll.RssMarket(A1183,"始値")</f>
        <v>表示銘柄数超過</v>
      </c>
      <c r="M1183" s="4" t="e">
        <f t="shared" si="105"/>
        <v>#VALUE!</v>
      </c>
      <c r="N1183" s="21" t="str">
        <f>_xll.RssMarket(A1183,"高値")</f>
        <v>表示銘柄数超過</v>
      </c>
      <c r="O1183" s="4" t="e">
        <f t="shared" si="106"/>
        <v>#VALUE!</v>
      </c>
      <c r="P1183" s="21" t="str">
        <f>_xll.RssMarket(A1183,"安値")</f>
        <v>表示銘柄数超過</v>
      </c>
      <c r="Q1183" s="4" t="e">
        <f t="shared" si="107"/>
        <v>#VALUE!</v>
      </c>
      <c r="R1183" s="21" t="str">
        <f>_xll.RssMarket(A1183,"後場始値")</f>
        <v>表示銘柄数超過</v>
      </c>
      <c r="S1183" s="25" t="str">
        <f t="shared" si="108"/>
        <v>-</v>
      </c>
      <c r="T1183" s="7" t="str">
        <f>_xll.RssMarket(A1183,"出来高加重平均")</f>
        <v>表示銘柄数超過</v>
      </c>
      <c r="U1183" s="4" t="e">
        <f t="shared" si="109"/>
        <v>#VALUE!</v>
      </c>
      <c r="V1183" s="21" t="str">
        <f>_xll.RssMarket(A1183,"出来高")</f>
        <v>表示銘柄数超過</v>
      </c>
      <c r="W1183" s="21" t="str">
        <f>_xll.RssMarket(A1183,"売買代金")</f>
        <v>表示銘柄数超過</v>
      </c>
      <c r="X1183" s="20" t="str">
        <f>_xll.RssMarket(A1183,"決算発表日")</f>
        <v>表示銘柄数超過</v>
      </c>
      <c r="Y1183" s="26" t="str">
        <f>IF(C1183&gt;_xll.RssMarket(A1183,"年初来高値"),"○","×")</f>
        <v>×</v>
      </c>
      <c r="Z1183" s="27" t="str">
        <f>IF(C1183&lt;=_xll.RssMarket(A1183,"年初来安値"),"○","×")</f>
        <v>○</v>
      </c>
    </row>
    <row r="1184" spans="1:26" x14ac:dyDescent="0.25">
      <c r="A1184" s="47">
        <v>9946</v>
      </c>
      <c r="B1184" s="20" t="str">
        <f>_xll.RssMarket(A1184,"銘柄名称")</f>
        <v>表示銘柄数超過</v>
      </c>
      <c r="C1184" s="21" t="str">
        <f>_xll.RssMarket(A1184,"現在値")</f>
        <v>表示銘柄数超過</v>
      </c>
      <c r="D1184" s="20" t="str">
        <f>_xll.RssMarket(A1184,"現在値詳細時刻")</f>
        <v>表示銘柄数超過</v>
      </c>
      <c r="E1184" s="22" t="str">
        <f>_xll.RssMarket(A1184,"前日比")</f>
        <v>表示銘柄数超過</v>
      </c>
      <c r="F1184" s="23" t="e">
        <f>_xll.RssMarket(A1184,"前日比率")/100</f>
        <v>#VALUE!</v>
      </c>
      <c r="G1184" s="24" t="str">
        <f>IFERROR(VLOOKUP(A1184,取得元!$A$2:$F$501,2,FALSE),"-")</f>
        <v>-</v>
      </c>
      <c r="H1184" s="24" t="str">
        <f>IFERROR(VLOOKUP(A1184,取得元!$A$2:$F$501,3,FALSE),"-")</f>
        <v>-</v>
      </c>
      <c r="I1184" s="24" t="str">
        <f>IFERROR(VLOOKUP(A1184,取得元!$A$2:$F$501,4,FALSE),"-")</f>
        <v>-</v>
      </c>
      <c r="J1184" s="5" t="str">
        <f>IFERROR(VLOOKUP(A1184,取得元!$A$2:$F$501,5,FALSE),"-")</f>
        <v>-</v>
      </c>
      <c r="K1184" s="25" t="str">
        <f>IFERROR(VLOOKUP(A1184,取得元!$A$2:$F$501,6,FALSE)/100,"-")</f>
        <v>-</v>
      </c>
      <c r="L1184" s="21" t="str">
        <f>_xll.RssMarket(A1184,"始値")</f>
        <v>表示銘柄数超過</v>
      </c>
      <c r="M1184" s="4" t="e">
        <f t="shared" si="105"/>
        <v>#VALUE!</v>
      </c>
      <c r="N1184" s="21" t="str">
        <f>_xll.RssMarket(A1184,"高値")</f>
        <v>表示銘柄数超過</v>
      </c>
      <c r="O1184" s="4" t="e">
        <f t="shared" si="106"/>
        <v>#VALUE!</v>
      </c>
      <c r="P1184" s="21" t="str">
        <f>_xll.RssMarket(A1184,"安値")</f>
        <v>表示銘柄数超過</v>
      </c>
      <c r="Q1184" s="4" t="e">
        <f t="shared" si="107"/>
        <v>#VALUE!</v>
      </c>
      <c r="R1184" s="21" t="str">
        <f>_xll.RssMarket(A1184,"後場始値")</f>
        <v>表示銘柄数超過</v>
      </c>
      <c r="S1184" s="25" t="str">
        <f t="shared" si="108"/>
        <v>-</v>
      </c>
      <c r="T1184" s="7" t="str">
        <f>_xll.RssMarket(A1184,"出来高加重平均")</f>
        <v>表示銘柄数超過</v>
      </c>
      <c r="U1184" s="4" t="e">
        <f t="shared" si="109"/>
        <v>#VALUE!</v>
      </c>
      <c r="V1184" s="21" t="str">
        <f>_xll.RssMarket(A1184,"出来高")</f>
        <v>表示銘柄数超過</v>
      </c>
      <c r="W1184" s="21" t="str">
        <f>_xll.RssMarket(A1184,"売買代金")</f>
        <v>表示銘柄数超過</v>
      </c>
      <c r="X1184" s="20" t="str">
        <f>_xll.RssMarket(A1184,"決算発表日")</f>
        <v>表示銘柄数超過</v>
      </c>
      <c r="Y1184" s="26" t="str">
        <f>IF(C1184&gt;_xll.RssMarket(A1184,"年初来高値"),"○","×")</f>
        <v>×</v>
      </c>
      <c r="Z1184" s="27" t="str">
        <f>IF(C1184&lt;=_xll.RssMarket(A1184,"年初来安値"),"○","×")</f>
        <v>○</v>
      </c>
    </row>
    <row r="1185" spans="1:26" x14ac:dyDescent="0.25">
      <c r="A1185" s="49">
        <v>9969</v>
      </c>
      <c r="B1185" s="20" t="str">
        <f>_xll.RssMarket(A1185,"銘柄名称")</f>
        <v>表示銘柄数超過</v>
      </c>
      <c r="C1185" s="21" t="str">
        <f>_xll.RssMarket(A1185,"現在値")</f>
        <v>表示銘柄数超過</v>
      </c>
      <c r="D1185" s="20" t="str">
        <f>_xll.RssMarket(A1185,"現在値詳細時刻")</f>
        <v>表示銘柄数超過</v>
      </c>
      <c r="E1185" s="22" t="str">
        <f>_xll.RssMarket(A1185,"前日比")</f>
        <v>表示銘柄数超過</v>
      </c>
      <c r="F1185" s="23" t="e">
        <f>_xll.RssMarket(A1185,"前日比率")/100</f>
        <v>#VALUE!</v>
      </c>
      <c r="G1185" s="24" t="str">
        <f>IFERROR(VLOOKUP(A1185,取得元!$A$2:$F$501,2,FALSE),"-")</f>
        <v>-</v>
      </c>
      <c r="H1185" s="24" t="str">
        <f>IFERROR(VLOOKUP(A1185,取得元!$A$2:$F$501,3,FALSE),"-")</f>
        <v>-</v>
      </c>
      <c r="I1185" s="24" t="str">
        <f>IFERROR(VLOOKUP(A1185,取得元!$A$2:$F$501,4,FALSE),"-")</f>
        <v>-</v>
      </c>
      <c r="J1185" s="5" t="str">
        <f>IFERROR(VLOOKUP(A1185,取得元!$A$2:$F$501,5,FALSE),"-")</f>
        <v>-</v>
      </c>
      <c r="K1185" s="25" t="str">
        <f>IFERROR(VLOOKUP(A1185,取得元!$A$2:$F$501,6,FALSE)/100,"-")</f>
        <v>-</v>
      </c>
      <c r="L1185" s="21" t="str">
        <f>_xll.RssMarket(A1185,"始値")</f>
        <v>表示銘柄数超過</v>
      </c>
      <c r="M1185" s="4" t="e">
        <f t="shared" si="105"/>
        <v>#VALUE!</v>
      </c>
      <c r="N1185" s="21" t="str">
        <f>_xll.RssMarket(A1185,"高値")</f>
        <v>表示銘柄数超過</v>
      </c>
      <c r="O1185" s="4" t="e">
        <f t="shared" si="106"/>
        <v>#VALUE!</v>
      </c>
      <c r="P1185" s="21" t="str">
        <f>_xll.RssMarket(A1185,"安値")</f>
        <v>表示銘柄数超過</v>
      </c>
      <c r="Q1185" s="4" t="e">
        <f t="shared" si="107"/>
        <v>#VALUE!</v>
      </c>
      <c r="R1185" s="21" t="str">
        <f>_xll.RssMarket(A1185,"後場始値")</f>
        <v>表示銘柄数超過</v>
      </c>
      <c r="S1185" s="25" t="str">
        <f t="shared" si="108"/>
        <v>-</v>
      </c>
      <c r="T1185" s="7" t="str">
        <f>_xll.RssMarket(A1185,"出来高加重平均")</f>
        <v>表示銘柄数超過</v>
      </c>
      <c r="U1185" s="4" t="e">
        <f t="shared" si="109"/>
        <v>#VALUE!</v>
      </c>
      <c r="V1185" s="21" t="str">
        <f>_xll.RssMarket(A1185,"出来高")</f>
        <v>表示銘柄数超過</v>
      </c>
      <c r="W1185" s="21" t="str">
        <f>_xll.RssMarket(A1185,"売買代金")</f>
        <v>表示銘柄数超過</v>
      </c>
      <c r="X1185" s="20" t="str">
        <f>_xll.RssMarket(A1185,"決算発表日")</f>
        <v>表示銘柄数超過</v>
      </c>
      <c r="Y1185" s="26" t="str">
        <f>IF(C1185&gt;_xll.RssMarket(A1185,"年初来高値"),"○","×")</f>
        <v>×</v>
      </c>
      <c r="Z1185" s="27" t="str">
        <f>IF(C1185&lt;=_xll.RssMarket(A1185,"年初来安値"),"○","×")</f>
        <v>○</v>
      </c>
    </row>
    <row r="1186" spans="1:26" x14ac:dyDescent="0.25">
      <c r="A1186" s="47">
        <v>9973</v>
      </c>
      <c r="B1186" s="20" t="str">
        <f>_xll.RssMarket(A1186,"銘柄名称")</f>
        <v>表示銘柄数超過</v>
      </c>
      <c r="C1186" s="21" t="str">
        <f>_xll.RssMarket(A1186,"現在値")</f>
        <v>表示銘柄数超過</v>
      </c>
      <c r="D1186" s="20" t="str">
        <f>_xll.RssMarket(A1186,"現在値詳細時刻")</f>
        <v>表示銘柄数超過</v>
      </c>
      <c r="E1186" s="22" t="str">
        <f>_xll.RssMarket(A1186,"前日比")</f>
        <v>表示銘柄数超過</v>
      </c>
      <c r="F1186" s="23" t="e">
        <f>_xll.RssMarket(A1186,"前日比率")/100</f>
        <v>#VALUE!</v>
      </c>
      <c r="G1186" s="24" t="str">
        <f>IFERROR(VLOOKUP(A1186,取得元!$A$2:$F$501,2,FALSE),"-")</f>
        <v>-</v>
      </c>
      <c r="H1186" s="24" t="str">
        <f>IFERROR(VLOOKUP(A1186,取得元!$A$2:$F$501,3,FALSE),"-")</f>
        <v>-</v>
      </c>
      <c r="I1186" s="24" t="str">
        <f>IFERROR(VLOOKUP(A1186,取得元!$A$2:$F$501,4,FALSE),"-")</f>
        <v>-</v>
      </c>
      <c r="J1186" s="5" t="str">
        <f>IFERROR(VLOOKUP(A1186,取得元!$A$2:$F$501,5,FALSE),"-")</f>
        <v>-</v>
      </c>
      <c r="K1186" s="25" t="str">
        <f>IFERROR(VLOOKUP(A1186,取得元!$A$2:$F$501,6,FALSE)/100,"-")</f>
        <v>-</v>
      </c>
      <c r="L1186" s="21" t="str">
        <f>_xll.RssMarket(A1186,"始値")</f>
        <v>表示銘柄数超過</v>
      </c>
      <c r="M1186" s="4" t="e">
        <f t="shared" si="105"/>
        <v>#VALUE!</v>
      </c>
      <c r="N1186" s="21" t="str">
        <f>_xll.RssMarket(A1186,"高値")</f>
        <v>表示銘柄数超過</v>
      </c>
      <c r="O1186" s="4" t="e">
        <f t="shared" si="106"/>
        <v>#VALUE!</v>
      </c>
      <c r="P1186" s="21" t="str">
        <f>_xll.RssMarket(A1186,"安値")</f>
        <v>表示銘柄数超過</v>
      </c>
      <c r="Q1186" s="4" t="e">
        <f t="shared" si="107"/>
        <v>#VALUE!</v>
      </c>
      <c r="R1186" s="21" t="str">
        <f>_xll.RssMarket(A1186,"後場始値")</f>
        <v>表示銘柄数超過</v>
      </c>
      <c r="S1186" s="25" t="str">
        <f t="shared" si="108"/>
        <v>-</v>
      </c>
      <c r="T1186" s="7" t="str">
        <f>_xll.RssMarket(A1186,"出来高加重平均")</f>
        <v>表示銘柄数超過</v>
      </c>
      <c r="U1186" s="4" t="e">
        <f t="shared" si="109"/>
        <v>#VALUE!</v>
      </c>
      <c r="V1186" s="21" t="str">
        <f>_xll.RssMarket(A1186,"出来高")</f>
        <v>表示銘柄数超過</v>
      </c>
      <c r="W1186" s="21" t="str">
        <f>_xll.RssMarket(A1186,"売買代金")</f>
        <v>表示銘柄数超過</v>
      </c>
      <c r="X1186" s="20" t="str">
        <f>_xll.RssMarket(A1186,"決算発表日")</f>
        <v>表示銘柄数超過</v>
      </c>
      <c r="Y1186" s="26" t="str">
        <f>IF(C1186&gt;_xll.RssMarket(A1186,"年初来高値"),"○","×")</f>
        <v>×</v>
      </c>
      <c r="Z1186" s="27" t="str">
        <f>IF(C1186&lt;=_xll.RssMarket(A1186,"年初来安値"),"○","×")</f>
        <v>○</v>
      </c>
    </row>
    <row r="1187" spans="1:26" x14ac:dyDescent="0.25">
      <c r="A1187" s="49">
        <v>9980</v>
      </c>
      <c r="B1187" s="20" t="str">
        <f>_xll.RssMarket(A1187,"銘柄名称")</f>
        <v>表示銘柄数超過</v>
      </c>
      <c r="C1187" s="21" t="str">
        <f>_xll.RssMarket(A1187,"現在値")</f>
        <v>表示銘柄数超過</v>
      </c>
      <c r="D1187" s="20" t="str">
        <f>_xll.RssMarket(A1187,"現在値詳細時刻")</f>
        <v>表示銘柄数超過</v>
      </c>
      <c r="E1187" s="22" t="str">
        <f>_xll.RssMarket(A1187,"前日比")</f>
        <v>表示銘柄数超過</v>
      </c>
      <c r="F1187" s="23" t="e">
        <f>_xll.RssMarket(A1187,"前日比率")/100</f>
        <v>#VALUE!</v>
      </c>
      <c r="G1187" s="24" t="str">
        <f>IFERROR(VLOOKUP(A1187,取得元!$A$2:$F$501,2,FALSE),"-")</f>
        <v>-</v>
      </c>
      <c r="H1187" s="24" t="str">
        <f>IFERROR(VLOOKUP(A1187,取得元!$A$2:$F$501,3,FALSE),"-")</f>
        <v>-</v>
      </c>
      <c r="I1187" s="24" t="str">
        <f>IFERROR(VLOOKUP(A1187,取得元!$A$2:$F$501,4,FALSE),"-")</f>
        <v>-</v>
      </c>
      <c r="J1187" s="5" t="str">
        <f>IFERROR(VLOOKUP(A1187,取得元!$A$2:$F$501,5,FALSE),"-")</f>
        <v>-</v>
      </c>
      <c r="K1187" s="25" t="str">
        <f>IFERROR(VLOOKUP(A1187,取得元!$A$2:$F$501,6,FALSE)/100,"-")</f>
        <v>-</v>
      </c>
      <c r="L1187" s="21" t="str">
        <f>_xll.RssMarket(A1187,"始値")</f>
        <v>表示銘柄数超過</v>
      </c>
      <c r="M1187" s="4" t="e">
        <f t="shared" si="105"/>
        <v>#VALUE!</v>
      </c>
      <c r="N1187" s="21" t="str">
        <f>_xll.RssMarket(A1187,"高値")</f>
        <v>表示銘柄数超過</v>
      </c>
      <c r="O1187" s="4" t="e">
        <f t="shared" si="106"/>
        <v>#VALUE!</v>
      </c>
      <c r="P1187" s="21" t="str">
        <f>_xll.RssMarket(A1187,"安値")</f>
        <v>表示銘柄数超過</v>
      </c>
      <c r="Q1187" s="4" t="e">
        <f t="shared" si="107"/>
        <v>#VALUE!</v>
      </c>
      <c r="R1187" s="21" t="str">
        <f>_xll.RssMarket(A1187,"後場始値")</f>
        <v>表示銘柄数超過</v>
      </c>
      <c r="S1187" s="25" t="str">
        <f t="shared" si="108"/>
        <v>-</v>
      </c>
      <c r="T1187" s="7" t="str">
        <f>_xll.RssMarket(A1187,"出来高加重平均")</f>
        <v>表示銘柄数超過</v>
      </c>
      <c r="U1187" s="4" t="e">
        <f t="shared" si="109"/>
        <v>#VALUE!</v>
      </c>
      <c r="V1187" s="21" t="str">
        <f>_xll.RssMarket(A1187,"出来高")</f>
        <v>表示銘柄数超過</v>
      </c>
      <c r="W1187" s="21" t="str">
        <f>_xll.RssMarket(A1187,"売買代金")</f>
        <v>表示銘柄数超過</v>
      </c>
      <c r="X1187" s="20" t="str">
        <f>_xll.RssMarket(A1187,"決算発表日")</f>
        <v>表示銘柄数超過</v>
      </c>
      <c r="Y1187" s="26" t="str">
        <f>IF(C1187&gt;_xll.RssMarket(A1187,"年初来高値"),"○","×")</f>
        <v>×</v>
      </c>
      <c r="Z1187" s="27" t="str">
        <f>IF(C1187&lt;=_xll.RssMarket(A1187,"年初来安値"),"○","×")</f>
        <v>○</v>
      </c>
    </row>
    <row r="1188" spans="1:26" x14ac:dyDescent="0.25">
      <c r="A1188" s="47">
        <v>9982</v>
      </c>
      <c r="B1188" s="20" t="str">
        <f>_xll.RssMarket(A1188,"銘柄名称")</f>
        <v>表示銘柄数超過</v>
      </c>
      <c r="C1188" s="21" t="str">
        <f>_xll.RssMarket(A1188,"現在値")</f>
        <v>表示銘柄数超過</v>
      </c>
      <c r="D1188" s="20" t="str">
        <f>_xll.RssMarket(A1188,"現在値詳細時刻")</f>
        <v>表示銘柄数超過</v>
      </c>
      <c r="E1188" s="22" t="str">
        <f>_xll.RssMarket(A1188,"前日比")</f>
        <v>表示銘柄数超過</v>
      </c>
      <c r="F1188" s="23" t="e">
        <f>_xll.RssMarket(A1188,"前日比率")/100</f>
        <v>#VALUE!</v>
      </c>
      <c r="G1188" s="24" t="str">
        <f>IFERROR(VLOOKUP(A1188,取得元!$A$2:$F$501,2,FALSE),"-")</f>
        <v>-</v>
      </c>
      <c r="H1188" s="24" t="str">
        <f>IFERROR(VLOOKUP(A1188,取得元!$A$2:$F$501,3,FALSE),"-")</f>
        <v>-</v>
      </c>
      <c r="I1188" s="24" t="str">
        <f>IFERROR(VLOOKUP(A1188,取得元!$A$2:$F$501,4,FALSE),"-")</f>
        <v>-</v>
      </c>
      <c r="J1188" s="5" t="str">
        <f>IFERROR(VLOOKUP(A1188,取得元!$A$2:$F$501,5,FALSE),"-")</f>
        <v>-</v>
      </c>
      <c r="K1188" s="25" t="str">
        <f>IFERROR(VLOOKUP(A1188,取得元!$A$2:$F$501,6,FALSE)/100,"-")</f>
        <v>-</v>
      </c>
      <c r="L1188" s="21" t="str">
        <f>_xll.RssMarket(A1188,"始値")</f>
        <v>表示銘柄数超過</v>
      </c>
      <c r="M1188" s="4" t="e">
        <f t="shared" si="105"/>
        <v>#VALUE!</v>
      </c>
      <c r="N1188" s="21" t="str">
        <f>_xll.RssMarket(A1188,"高値")</f>
        <v>表示銘柄数超過</v>
      </c>
      <c r="O1188" s="4" t="e">
        <f t="shared" si="106"/>
        <v>#VALUE!</v>
      </c>
      <c r="P1188" s="21" t="str">
        <f>_xll.RssMarket(A1188,"安値")</f>
        <v>表示銘柄数超過</v>
      </c>
      <c r="Q1188" s="4" t="e">
        <f t="shared" si="107"/>
        <v>#VALUE!</v>
      </c>
      <c r="R1188" s="21" t="str">
        <f>_xll.RssMarket(A1188,"後場始値")</f>
        <v>表示銘柄数超過</v>
      </c>
      <c r="S1188" s="25" t="str">
        <f t="shared" si="108"/>
        <v>-</v>
      </c>
      <c r="T1188" s="7" t="str">
        <f>_xll.RssMarket(A1188,"出来高加重平均")</f>
        <v>表示銘柄数超過</v>
      </c>
      <c r="U1188" s="4" t="e">
        <f t="shared" si="109"/>
        <v>#VALUE!</v>
      </c>
      <c r="V1188" s="21" t="str">
        <f>_xll.RssMarket(A1188,"出来高")</f>
        <v>表示銘柄数超過</v>
      </c>
      <c r="W1188" s="21" t="str">
        <f>_xll.RssMarket(A1188,"売買代金")</f>
        <v>表示銘柄数超過</v>
      </c>
      <c r="X1188" s="20" t="str">
        <f>_xll.RssMarket(A1188,"決算発表日")</f>
        <v>表示銘柄数超過</v>
      </c>
      <c r="Y1188" s="26" t="str">
        <f>IF(C1188&gt;_xll.RssMarket(A1188,"年初来高値"),"○","×")</f>
        <v>×</v>
      </c>
      <c r="Z1188" s="27" t="str">
        <f>IF(C1188&lt;=_xll.RssMarket(A1188,"年初来安値"),"○","×")</f>
        <v>○</v>
      </c>
    </row>
    <row r="1189" spans="1:26" x14ac:dyDescent="0.25">
      <c r="A1189" s="49">
        <v>9984</v>
      </c>
      <c r="B1189" s="20" t="str">
        <f>_xll.RssMarket(A1189,"銘柄名称")</f>
        <v>表示銘柄数超過</v>
      </c>
      <c r="C1189" s="21" t="str">
        <f>_xll.RssMarket(A1189,"現在値")</f>
        <v>表示銘柄数超過</v>
      </c>
      <c r="D1189" s="20" t="str">
        <f>_xll.RssMarket(A1189,"現在値詳細時刻")</f>
        <v>表示銘柄数超過</v>
      </c>
      <c r="E1189" s="22" t="str">
        <f>_xll.RssMarket(A1189,"前日比")</f>
        <v>表示銘柄数超過</v>
      </c>
      <c r="F1189" s="23" t="e">
        <f>_xll.RssMarket(A1189,"前日比率")/100</f>
        <v>#VALUE!</v>
      </c>
      <c r="G1189" s="24" t="str">
        <f>IFERROR(VLOOKUP(A1189,取得元!$A$2:$F$501,2,FALSE),"-")</f>
        <v>-</v>
      </c>
      <c r="H1189" s="24" t="str">
        <f>IFERROR(VLOOKUP(A1189,取得元!$A$2:$F$501,3,FALSE),"-")</f>
        <v>-</v>
      </c>
      <c r="I1189" s="24" t="str">
        <f>IFERROR(VLOOKUP(A1189,取得元!$A$2:$F$501,4,FALSE),"-")</f>
        <v>-</v>
      </c>
      <c r="J1189" s="5" t="str">
        <f>IFERROR(VLOOKUP(A1189,取得元!$A$2:$F$501,5,FALSE),"-")</f>
        <v>-</v>
      </c>
      <c r="K1189" s="25" t="str">
        <f>IFERROR(VLOOKUP(A1189,取得元!$A$2:$F$501,6,FALSE)/100,"-")</f>
        <v>-</v>
      </c>
      <c r="L1189" s="21" t="str">
        <f>_xll.RssMarket(A1189,"始値")</f>
        <v>表示銘柄数超過</v>
      </c>
      <c r="M1189" s="4" t="e">
        <f t="shared" si="105"/>
        <v>#VALUE!</v>
      </c>
      <c r="N1189" s="21" t="str">
        <f>_xll.RssMarket(A1189,"高値")</f>
        <v>表示銘柄数超過</v>
      </c>
      <c r="O1189" s="4" t="e">
        <f t="shared" si="106"/>
        <v>#VALUE!</v>
      </c>
      <c r="P1189" s="21" t="str">
        <f>_xll.RssMarket(A1189,"安値")</f>
        <v>表示銘柄数超過</v>
      </c>
      <c r="Q1189" s="4" t="e">
        <f t="shared" si="107"/>
        <v>#VALUE!</v>
      </c>
      <c r="R1189" s="21" t="str">
        <f>_xll.RssMarket(A1189,"後場始値")</f>
        <v>表示銘柄数超過</v>
      </c>
      <c r="S1189" s="25" t="str">
        <f t="shared" si="108"/>
        <v>-</v>
      </c>
      <c r="T1189" s="7" t="str">
        <f>_xll.RssMarket(A1189,"出来高加重平均")</f>
        <v>表示銘柄数超過</v>
      </c>
      <c r="U1189" s="4" t="e">
        <f t="shared" si="109"/>
        <v>#VALUE!</v>
      </c>
      <c r="V1189" s="21" t="str">
        <f>_xll.RssMarket(A1189,"出来高")</f>
        <v>表示銘柄数超過</v>
      </c>
      <c r="W1189" s="21" t="str">
        <f>_xll.RssMarket(A1189,"売買代金")</f>
        <v>表示銘柄数超過</v>
      </c>
      <c r="X1189" s="20" t="str">
        <f>_xll.RssMarket(A1189,"決算発表日")</f>
        <v>表示銘柄数超過</v>
      </c>
      <c r="Y1189" s="26" t="str">
        <f>IF(C1189&gt;_xll.RssMarket(A1189,"年初来高値"),"○","×")</f>
        <v>×</v>
      </c>
      <c r="Z1189" s="27" t="str">
        <f>IF(C1189&lt;=_xll.RssMarket(A1189,"年初来安値"),"○","×")</f>
        <v>○</v>
      </c>
    </row>
    <row r="1190" spans="1:26" x14ac:dyDescent="0.25">
      <c r="A1190" s="47">
        <v>9990</v>
      </c>
      <c r="B1190" s="20" t="str">
        <f>_xll.RssMarket(A1190,"銘柄名称")</f>
        <v>表示銘柄数超過</v>
      </c>
      <c r="C1190" s="21" t="str">
        <f>_xll.RssMarket(A1190,"現在値")</f>
        <v>表示銘柄数超過</v>
      </c>
      <c r="D1190" s="20" t="str">
        <f>_xll.RssMarket(A1190,"現在値詳細時刻")</f>
        <v>表示銘柄数超過</v>
      </c>
      <c r="E1190" s="22" t="str">
        <f>_xll.RssMarket(A1190,"前日比")</f>
        <v>表示銘柄数超過</v>
      </c>
      <c r="F1190" s="23" t="e">
        <f>_xll.RssMarket(A1190,"前日比率")/100</f>
        <v>#VALUE!</v>
      </c>
      <c r="G1190" s="24" t="str">
        <f>IFERROR(VLOOKUP(A1190,取得元!$A$2:$F$501,2,FALSE),"-")</f>
        <v>-</v>
      </c>
      <c r="H1190" s="24" t="str">
        <f>IFERROR(VLOOKUP(A1190,取得元!$A$2:$F$501,3,FALSE),"-")</f>
        <v>-</v>
      </c>
      <c r="I1190" s="24" t="str">
        <f>IFERROR(VLOOKUP(A1190,取得元!$A$2:$F$501,4,FALSE),"-")</f>
        <v>-</v>
      </c>
      <c r="J1190" s="5" t="str">
        <f>IFERROR(VLOOKUP(A1190,取得元!$A$2:$F$501,5,FALSE),"-")</f>
        <v>-</v>
      </c>
      <c r="K1190" s="25" t="str">
        <f>IFERROR(VLOOKUP(A1190,取得元!$A$2:$F$501,6,FALSE)/100,"-")</f>
        <v>-</v>
      </c>
      <c r="L1190" s="21" t="str">
        <f>_xll.RssMarket(A1190,"始値")</f>
        <v>表示銘柄数超過</v>
      </c>
      <c r="M1190" s="4" t="e">
        <f t="shared" si="105"/>
        <v>#VALUE!</v>
      </c>
      <c r="N1190" s="21" t="str">
        <f>_xll.RssMarket(A1190,"高値")</f>
        <v>表示銘柄数超過</v>
      </c>
      <c r="O1190" s="4" t="e">
        <f t="shared" si="106"/>
        <v>#VALUE!</v>
      </c>
      <c r="P1190" s="21" t="str">
        <f>_xll.RssMarket(A1190,"安値")</f>
        <v>表示銘柄数超過</v>
      </c>
      <c r="Q1190" s="4" t="e">
        <f t="shared" si="107"/>
        <v>#VALUE!</v>
      </c>
      <c r="R1190" s="21" t="str">
        <f>_xll.RssMarket(A1190,"後場始値")</f>
        <v>表示銘柄数超過</v>
      </c>
      <c r="S1190" s="25" t="str">
        <f t="shared" si="108"/>
        <v>-</v>
      </c>
      <c r="T1190" s="7" t="str">
        <f>_xll.RssMarket(A1190,"出来高加重平均")</f>
        <v>表示銘柄数超過</v>
      </c>
      <c r="U1190" s="4" t="e">
        <f t="shared" si="109"/>
        <v>#VALUE!</v>
      </c>
      <c r="V1190" s="21" t="str">
        <f>_xll.RssMarket(A1190,"出来高")</f>
        <v>表示銘柄数超過</v>
      </c>
      <c r="W1190" s="21" t="str">
        <f>_xll.RssMarket(A1190,"売買代金")</f>
        <v>表示銘柄数超過</v>
      </c>
      <c r="X1190" s="20" t="str">
        <f>_xll.RssMarket(A1190,"決算発表日")</f>
        <v>表示銘柄数超過</v>
      </c>
      <c r="Y1190" s="26" t="str">
        <f>IF(C1190&gt;_xll.RssMarket(A1190,"年初来高値"),"○","×")</f>
        <v>×</v>
      </c>
      <c r="Z1190" s="27" t="str">
        <f>IF(C1190&lt;=_xll.RssMarket(A1190,"年初来安値"),"○","×")</f>
        <v>○</v>
      </c>
    </row>
    <row r="1191" spans="1:26" x14ac:dyDescent="0.25">
      <c r="A1191" s="49">
        <v>9995</v>
      </c>
      <c r="B1191" s="20" t="str">
        <f>_xll.RssMarket(A1191,"銘柄名称")</f>
        <v>表示銘柄数超過</v>
      </c>
      <c r="C1191" s="21" t="str">
        <f>_xll.RssMarket(A1191,"現在値")</f>
        <v>表示銘柄数超過</v>
      </c>
      <c r="D1191" s="20" t="str">
        <f>_xll.RssMarket(A1191,"現在値詳細時刻")</f>
        <v>表示銘柄数超過</v>
      </c>
      <c r="E1191" s="22" t="str">
        <f>_xll.RssMarket(A1191,"前日比")</f>
        <v>表示銘柄数超過</v>
      </c>
      <c r="F1191" s="23" t="e">
        <f>_xll.RssMarket(A1191,"前日比率")/100</f>
        <v>#VALUE!</v>
      </c>
      <c r="G1191" s="24" t="str">
        <f>IFERROR(VLOOKUP(A1191,取得元!$A$2:$F$501,2,FALSE),"-")</f>
        <v>-</v>
      </c>
      <c r="H1191" s="24" t="str">
        <f>IFERROR(VLOOKUP(A1191,取得元!$A$2:$F$501,3,FALSE),"-")</f>
        <v>-</v>
      </c>
      <c r="I1191" s="24" t="str">
        <f>IFERROR(VLOOKUP(A1191,取得元!$A$2:$F$501,4,FALSE),"-")</f>
        <v>-</v>
      </c>
      <c r="J1191" s="5" t="str">
        <f>IFERROR(VLOOKUP(A1191,取得元!$A$2:$F$501,5,FALSE),"-")</f>
        <v>-</v>
      </c>
      <c r="K1191" s="25" t="str">
        <f>IFERROR(VLOOKUP(A1191,取得元!$A$2:$F$501,6,FALSE)/100,"-")</f>
        <v>-</v>
      </c>
      <c r="L1191" s="21" t="str">
        <f>_xll.RssMarket(A1191,"始値")</f>
        <v>表示銘柄数超過</v>
      </c>
      <c r="M1191" s="4" t="e">
        <f t="shared" si="105"/>
        <v>#VALUE!</v>
      </c>
      <c r="N1191" s="21" t="str">
        <f>_xll.RssMarket(A1191,"高値")</f>
        <v>表示銘柄数超過</v>
      </c>
      <c r="O1191" s="4" t="e">
        <f t="shared" si="106"/>
        <v>#VALUE!</v>
      </c>
      <c r="P1191" s="21" t="str">
        <f>_xll.RssMarket(A1191,"安値")</f>
        <v>表示銘柄数超過</v>
      </c>
      <c r="Q1191" s="4" t="e">
        <f t="shared" si="107"/>
        <v>#VALUE!</v>
      </c>
      <c r="R1191" s="21" t="str">
        <f>_xll.RssMarket(A1191,"後場始値")</f>
        <v>表示銘柄数超過</v>
      </c>
      <c r="S1191" s="25" t="str">
        <f t="shared" si="108"/>
        <v>-</v>
      </c>
      <c r="T1191" s="7" t="str">
        <f>_xll.RssMarket(A1191,"出来高加重平均")</f>
        <v>表示銘柄数超過</v>
      </c>
      <c r="U1191" s="4" t="e">
        <f t="shared" si="109"/>
        <v>#VALUE!</v>
      </c>
      <c r="V1191" s="21" t="str">
        <f>_xll.RssMarket(A1191,"出来高")</f>
        <v>表示銘柄数超過</v>
      </c>
      <c r="W1191" s="21" t="str">
        <f>_xll.RssMarket(A1191,"売買代金")</f>
        <v>表示銘柄数超過</v>
      </c>
      <c r="X1191" s="20" t="str">
        <f>_xll.RssMarket(A1191,"決算発表日")</f>
        <v>表示銘柄数超過</v>
      </c>
      <c r="Y1191" s="26" t="str">
        <f>IF(C1191&gt;_xll.RssMarket(A1191,"年初来高値"),"○","×")</f>
        <v>×</v>
      </c>
      <c r="Z1191" s="27" t="str">
        <f>IF(C1191&lt;=_xll.RssMarket(A1191,"年初来安値"),"○","×")</f>
        <v>○</v>
      </c>
    </row>
    <row r="1192" spans="1:26" x14ac:dyDescent="0.55000000000000004">
      <c r="B1192" s="20" t="str">
        <f>_xll.RssMarket(A1192,"銘柄名称")</f>
        <v/>
      </c>
      <c r="C1192" s="21" t="str">
        <f>_xll.RssMarket(A1192,"現在値")</f>
        <v/>
      </c>
      <c r="D1192" s="20" t="str">
        <f>_xll.RssMarket(A1192,"現在値詳細時刻")</f>
        <v/>
      </c>
      <c r="E1192" s="22" t="str">
        <f>_xll.RssMarket(A1192,"前日比")</f>
        <v/>
      </c>
      <c r="F1192" s="23" t="e">
        <f>_xll.RssMarket(A1192,"前日比率")/100</f>
        <v>#VALUE!</v>
      </c>
      <c r="G1192" s="24" t="str">
        <f>IFERROR(VLOOKUP(A1192,取得元!$A$2:$F$501,2,FALSE),"-")</f>
        <v>-</v>
      </c>
      <c r="H1192" s="24" t="str">
        <f>IFERROR(VLOOKUP(A1192,取得元!$A$2:$F$501,3,FALSE),"-")</f>
        <v>-</v>
      </c>
      <c r="I1192" s="24" t="str">
        <f>IFERROR(VLOOKUP(A1192,取得元!$A$2:$F$501,4,FALSE),"-")</f>
        <v>-</v>
      </c>
      <c r="J1192" s="5" t="str">
        <f>IFERROR(VLOOKUP(A1192,取得元!$A$2:$F$501,5,FALSE),"-")</f>
        <v>-</v>
      </c>
      <c r="K1192" s="25" t="str">
        <f>IFERROR(VLOOKUP(A1192,取得元!$A$2:$F$501,6,FALSE)/100,"-")</f>
        <v>-</v>
      </c>
      <c r="L1192" s="21" t="str">
        <f>_xll.RssMarket(A1192,"始値")</f>
        <v/>
      </c>
      <c r="M1192" s="4" t="e">
        <f t="shared" si="105"/>
        <v>#VALUE!</v>
      </c>
      <c r="N1192" s="21" t="str">
        <f>_xll.RssMarket(A1192,"高値")</f>
        <v/>
      </c>
      <c r="O1192" s="4" t="e">
        <f t="shared" si="106"/>
        <v>#VALUE!</v>
      </c>
      <c r="P1192" s="21" t="str">
        <f>_xll.RssMarket(A1192,"安値")</f>
        <v/>
      </c>
      <c r="Q1192" s="4" t="e">
        <f t="shared" si="107"/>
        <v>#VALUE!</v>
      </c>
      <c r="R1192" s="21" t="str">
        <f>_xll.RssMarket(A1192,"後場始値")</f>
        <v/>
      </c>
      <c r="S1192" s="25" t="str">
        <f t="shared" si="108"/>
        <v>-</v>
      </c>
      <c r="T1192" s="7" t="str">
        <f>_xll.RssMarket(A1192,"出来高加重平均")</f>
        <v/>
      </c>
      <c r="U1192" s="4" t="e">
        <f t="shared" si="109"/>
        <v>#VALUE!</v>
      </c>
      <c r="V1192" s="21" t="str">
        <f>_xll.RssMarket(A1192,"出来高")</f>
        <v/>
      </c>
      <c r="W1192" s="21" t="str">
        <f>_xll.RssMarket(A1192,"売買代金")</f>
        <v/>
      </c>
      <c r="X1192" s="20" t="str">
        <f>_xll.RssMarket(A1192,"決算発表日")</f>
        <v/>
      </c>
      <c r="Y1192" s="26" t="str">
        <f>IF(C1192&gt;_xll.RssMarket(A1192,"年初来高値"),"○","×")</f>
        <v>×</v>
      </c>
      <c r="Z1192" s="27" t="str">
        <f>IF(C1192&lt;=_xll.RssMarket(A1192,"年初来安値"),"○","×")</f>
        <v>○</v>
      </c>
    </row>
    <row r="1193" spans="1:26" x14ac:dyDescent="0.55000000000000004">
      <c r="B1193" s="20" t="str">
        <f>_xll.RssMarket(A1193,"銘柄名称")</f>
        <v/>
      </c>
      <c r="C1193" s="21" t="str">
        <f>_xll.RssMarket(A1193,"現在値")</f>
        <v/>
      </c>
      <c r="D1193" s="20" t="str">
        <f>_xll.RssMarket(A1193,"現在値詳細時刻")</f>
        <v/>
      </c>
      <c r="E1193" s="22" t="str">
        <f>_xll.RssMarket(A1193,"前日比")</f>
        <v/>
      </c>
      <c r="F1193" s="23" t="e">
        <f>_xll.RssMarket(A1193,"前日比率")/100</f>
        <v>#VALUE!</v>
      </c>
      <c r="G1193" s="24" t="str">
        <f>IFERROR(VLOOKUP(A1193,取得元!$A$2:$F$501,2,FALSE),"-")</f>
        <v>-</v>
      </c>
      <c r="H1193" s="24" t="str">
        <f>IFERROR(VLOOKUP(A1193,取得元!$A$2:$F$501,3,FALSE),"-")</f>
        <v>-</v>
      </c>
      <c r="I1193" s="24" t="str">
        <f>IFERROR(VLOOKUP(A1193,取得元!$A$2:$F$501,4,FALSE),"-")</f>
        <v>-</v>
      </c>
      <c r="J1193" s="5" t="str">
        <f>IFERROR(VLOOKUP(A1193,取得元!$A$2:$F$501,5,FALSE),"-")</f>
        <v>-</v>
      </c>
      <c r="K1193" s="25" t="str">
        <f>IFERROR(VLOOKUP(A1193,取得元!$A$2:$F$501,6,FALSE)/100,"-")</f>
        <v>-</v>
      </c>
      <c r="L1193" s="21" t="str">
        <f>_xll.RssMarket(A1193,"始値")</f>
        <v/>
      </c>
      <c r="M1193" s="4" t="e">
        <f t="shared" si="105"/>
        <v>#VALUE!</v>
      </c>
      <c r="N1193" s="21" t="str">
        <f>_xll.RssMarket(A1193,"高値")</f>
        <v/>
      </c>
      <c r="O1193" s="4" t="e">
        <f t="shared" si="106"/>
        <v>#VALUE!</v>
      </c>
      <c r="P1193" s="21" t="str">
        <f>_xll.RssMarket(A1193,"安値")</f>
        <v/>
      </c>
      <c r="Q1193" s="4" t="e">
        <f t="shared" si="107"/>
        <v>#VALUE!</v>
      </c>
      <c r="R1193" s="21" t="str">
        <f>_xll.RssMarket(A1193,"後場始値")</f>
        <v/>
      </c>
      <c r="S1193" s="25" t="str">
        <f t="shared" si="108"/>
        <v>-</v>
      </c>
      <c r="T1193" s="7" t="str">
        <f>_xll.RssMarket(A1193,"出来高加重平均")</f>
        <v/>
      </c>
      <c r="U1193" s="4" t="e">
        <f t="shared" si="109"/>
        <v>#VALUE!</v>
      </c>
      <c r="V1193" s="21" t="str">
        <f>_xll.RssMarket(A1193,"出来高")</f>
        <v/>
      </c>
      <c r="W1193" s="21" t="str">
        <f>_xll.RssMarket(A1193,"売買代金")</f>
        <v/>
      </c>
      <c r="X1193" s="20" t="str">
        <f>_xll.RssMarket(A1193,"決算発表日")</f>
        <v/>
      </c>
      <c r="Y1193" s="26" t="str">
        <f>IF(C1193&gt;_xll.RssMarket(A1193,"年初来高値"),"○","×")</f>
        <v>×</v>
      </c>
      <c r="Z1193" s="27" t="str">
        <f>IF(C1193&lt;=_xll.RssMarket(A1193,"年初来安値"),"○","×")</f>
        <v>○</v>
      </c>
    </row>
    <row r="1194" spans="1:26" x14ac:dyDescent="0.55000000000000004">
      <c r="B1194" s="20" t="str">
        <f>_xll.RssMarket(A1194,"銘柄名称")</f>
        <v/>
      </c>
      <c r="C1194" s="21" t="str">
        <f>_xll.RssMarket(A1194,"現在値")</f>
        <v/>
      </c>
      <c r="D1194" s="20" t="str">
        <f>_xll.RssMarket(A1194,"現在値詳細時刻")</f>
        <v/>
      </c>
      <c r="E1194" s="22" t="str">
        <f>_xll.RssMarket(A1194,"前日比")</f>
        <v/>
      </c>
      <c r="F1194" s="23" t="e">
        <f>_xll.RssMarket(A1194,"前日比率")/100</f>
        <v>#VALUE!</v>
      </c>
      <c r="G1194" s="24" t="str">
        <f>IFERROR(VLOOKUP(A1194,取得元!$A$2:$F$501,2,FALSE),"-")</f>
        <v>-</v>
      </c>
      <c r="H1194" s="24" t="str">
        <f>IFERROR(VLOOKUP(A1194,取得元!$A$2:$F$501,3,FALSE),"-")</f>
        <v>-</v>
      </c>
      <c r="I1194" s="24" t="str">
        <f>IFERROR(VLOOKUP(A1194,取得元!$A$2:$F$501,4,FALSE),"-")</f>
        <v>-</v>
      </c>
      <c r="J1194" s="5" t="str">
        <f>IFERROR(VLOOKUP(A1194,取得元!$A$2:$F$501,5,FALSE),"-")</f>
        <v>-</v>
      </c>
      <c r="K1194" s="25" t="str">
        <f>IFERROR(VLOOKUP(A1194,取得元!$A$2:$F$501,6,FALSE)/100,"-")</f>
        <v>-</v>
      </c>
      <c r="L1194" s="21" t="str">
        <f>_xll.RssMarket(A1194,"始値")</f>
        <v/>
      </c>
      <c r="M1194" s="4" t="e">
        <f t="shared" si="105"/>
        <v>#VALUE!</v>
      </c>
      <c r="N1194" s="21" t="str">
        <f>_xll.RssMarket(A1194,"高値")</f>
        <v/>
      </c>
      <c r="O1194" s="4" t="e">
        <f t="shared" si="106"/>
        <v>#VALUE!</v>
      </c>
      <c r="P1194" s="21" t="str">
        <f>_xll.RssMarket(A1194,"安値")</f>
        <v/>
      </c>
      <c r="Q1194" s="4" t="e">
        <f t="shared" si="107"/>
        <v>#VALUE!</v>
      </c>
      <c r="R1194" s="21" t="str">
        <f>_xll.RssMarket(A1194,"後場始値")</f>
        <v/>
      </c>
      <c r="S1194" s="25" t="str">
        <f t="shared" si="108"/>
        <v>-</v>
      </c>
      <c r="T1194" s="7" t="str">
        <f>_xll.RssMarket(A1194,"出来高加重平均")</f>
        <v/>
      </c>
      <c r="U1194" s="4" t="e">
        <f t="shared" si="109"/>
        <v>#VALUE!</v>
      </c>
      <c r="V1194" s="21" t="str">
        <f>_xll.RssMarket(A1194,"出来高")</f>
        <v/>
      </c>
      <c r="W1194" s="21" t="str">
        <f>_xll.RssMarket(A1194,"売買代金")</f>
        <v/>
      </c>
      <c r="X1194" s="20" t="str">
        <f>_xll.RssMarket(A1194,"決算発表日")</f>
        <v/>
      </c>
      <c r="Y1194" s="26" t="str">
        <f>IF(C1194&gt;_xll.RssMarket(A1194,"年初来高値"),"○","×")</f>
        <v>×</v>
      </c>
      <c r="Z1194" s="27" t="str">
        <f>IF(C1194&lt;=_xll.RssMarket(A1194,"年初来安値"),"○","×")</f>
        <v>○</v>
      </c>
    </row>
    <row r="1195" spans="1:26" x14ac:dyDescent="0.55000000000000004">
      <c r="B1195" s="20" t="str">
        <f>_xll.RssMarket(A1195,"銘柄名称")</f>
        <v/>
      </c>
      <c r="C1195" s="21" t="str">
        <f>_xll.RssMarket(A1195,"現在値")</f>
        <v/>
      </c>
      <c r="D1195" s="20" t="str">
        <f>_xll.RssMarket(A1195,"現在値詳細時刻")</f>
        <v/>
      </c>
      <c r="E1195" s="22" t="str">
        <f>_xll.RssMarket(A1195,"前日比")</f>
        <v/>
      </c>
      <c r="F1195" s="23" t="e">
        <f>_xll.RssMarket(A1195,"前日比率")/100</f>
        <v>#VALUE!</v>
      </c>
      <c r="G1195" s="24" t="str">
        <f>IFERROR(VLOOKUP(A1195,取得元!$A$2:$F$501,2,FALSE),"-")</f>
        <v>-</v>
      </c>
      <c r="H1195" s="24" t="str">
        <f>IFERROR(VLOOKUP(A1195,取得元!$A$2:$F$501,3,FALSE),"-")</f>
        <v>-</v>
      </c>
      <c r="I1195" s="24" t="str">
        <f>IFERROR(VLOOKUP(A1195,取得元!$A$2:$F$501,4,FALSE),"-")</f>
        <v>-</v>
      </c>
      <c r="J1195" s="5" t="str">
        <f>IFERROR(VLOOKUP(A1195,取得元!$A$2:$F$501,5,FALSE),"-")</f>
        <v>-</v>
      </c>
      <c r="K1195" s="25" t="str">
        <f>IFERROR(VLOOKUP(A1195,取得元!$A$2:$F$501,6,FALSE)/100,"-")</f>
        <v>-</v>
      </c>
      <c r="L1195" s="21" t="str">
        <f>_xll.RssMarket(A1195,"始値")</f>
        <v/>
      </c>
      <c r="M1195" s="4" t="e">
        <f t="shared" si="105"/>
        <v>#VALUE!</v>
      </c>
      <c r="N1195" s="21" t="str">
        <f>_xll.RssMarket(A1195,"高値")</f>
        <v/>
      </c>
      <c r="O1195" s="4" t="e">
        <f t="shared" si="106"/>
        <v>#VALUE!</v>
      </c>
      <c r="P1195" s="21" t="str">
        <f>_xll.RssMarket(A1195,"安値")</f>
        <v/>
      </c>
      <c r="Q1195" s="4" t="e">
        <f t="shared" si="107"/>
        <v>#VALUE!</v>
      </c>
      <c r="R1195" s="21" t="str">
        <f>_xll.RssMarket(A1195,"後場始値")</f>
        <v/>
      </c>
      <c r="S1195" s="25" t="str">
        <f t="shared" si="108"/>
        <v>-</v>
      </c>
      <c r="T1195" s="7" t="str">
        <f>_xll.RssMarket(A1195,"出来高加重平均")</f>
        <v/>
      </c>
      <c r="U1195" s="4" t="e">
        <f t="shared" si="109"/>
        <v>#VALUE!</v>
      </c>
      <c r="V1195" s="21" t="str">
        <f>_xll.RssMarket(A1195,"出来高")</f>
        <v/>
      </c>
      <c r="W1195" s="21" t="str">
        <f>_xll.RssMarket(A1195,"売買代金")</f>
        <v/>
      </c>
      <c r="X1195" s="20" t="str">
        <f>_xll.RssMarket(A1195,"決算発表日")</f>
        <v/>
      </c>
      <c r="Y1195" s="26" t="str">
        <f>IF(C1195&gt;_xll.RssMarket(A1195,"年初来高値"),"○","×")</f>
        <v>×</v>
      </c>
      <c r="Z1195" s="27" t="str">
        <f>IF(C1195&lt;=_xll.RssMarket(A1195,"年初来安値"),"○","×")</f>
        <v>○</v>
      </c>
    </row>
    <row r="1196" spans="1:26" x14ac:dyDescent="0.55000000000000004">
      <c r="B1196" s="20" t="str">
        <f>_xll.RssMarket(A1196,"銘柄名称")</f>
        <v/>
      </c>
      <c r="C1196" s="21" t="str">
        <f>_xll.RssMarket(A1196,"現在値")</f>
        <v/>
      </c>
      <c r="D1196" s="20" t="str">
        <f>_xll.RssMarket(A1196,"現在値詳細時刻")</f>
        <v/>
      </c>
      <c r="E1196" s="22" t="str">
        <f>_xll.RssMarket(A1196,"前日比")</f>
        <v/>
      </c>
      <c r="F1196" s="23" t="e">
        <f>_xll.RssMarket(A1196,"前日比率")/100</f>
        <v>#VALUE!</v>
      </c>
      <c r="G1196" s="24" t="str">
        <f>IFERROR(VLOOKUP(A1196,取得元!$A$2:$F$501,2,FALSE),"-")</f>
        <v>-</v>
      </c>
      <c r="H1196" s="24" t="str">
        <f>IFERROR(VLOOKUP(A1196,取得元!$A$2:$F$501,3,FALSE),"-")</f>
        <v>-</v>
      </c>
      <c r="I1196" s="24" t="str">
        <f>IFERROR(VLOOKUP(A1196,取得元!$A$2:$F$501,4,FALSE),"-")</f>
        <v>-</v>
      </c>
      <c r="J1196" s="5" t="str">
        <f>IFERROR(VLOOKUP(A1196,取得元!$A$2:$F$501,5,FALSE),"-")</f>
        <v>-</v>
      </c>
      <c r="K1196" s="25" t="str">
        <f>IFERROR(VLOOKUP(A1196,取得元!$A$2:$F$501,6,FALSE)/100,"-")</f>
        <v>-</v>
      </c>
      <c r="L1196" s="21" t="str">
        <f>_xll.RssMarket(A1196,"始値")</f>
        <v/>
      </c>
      <c r="M1196" s="4" t="e">
        <f t="shared" si="105"/>
        <v>#VALUE!</v>
      </c>
      <c r="N1196" s="21" t="str">
        <f>_xll.RssMarket(A1196,"高値")</f>
        <v/>
      </c>
      <c r="O1196" s="4" t="e">
        <f t="shared" si="106"/>
        <v>#VALUE!</v>
      </c>
      <c r="P1196" s="21" t="str">
        <f>_xll.RssMarket(A1196,"安値")</f>
        <v/>
      </c>
      <c r="Q1196" s="4" t="e">
        <f t="shared" si="107"/>
        <v>#VALUE!</v>
      </c>
      <c r="R1196" s="21" t="str">
        <f>_xll.RssMarket(A1196,"後場始値")</f>
        <v/>
      </c>
      <c r="S1196" s="25" t="str">
        <f t="shared" si="108"/>
        <v>-</v>
      </c>
      <c r="T1196" s="7" t="str">
        <f>_xll.RssMarket(A1196,"出来高加重平均")</f>
        <v/>
      </c>
      <c r="U1196" s="4" t="e">
        <f t="shared" si="109"/>
        <v>#VALUE!</v>
      </c>
      <c r="V1196" s="21" t="str">
        <f>_xll.RssMarket(A1196,"出来高")</f>
        <v/>
      </c>
      <c r="W1196" s="21" t="str">
        <f>_xll.RssMarket(A1196,"売買代金")</f>
        <v/>
      </c>
      <c r="X1196" s="20" t="str">
        <f>_xll.RssMarket(A1196,"決算発表日")</f>
        <v/>
      </c>
      <c r="Y1196" s="26" t="str">
        <f>IF(C1196&gt;_xll.RssMarket(A1196,"年初来高値"),"○","×")</f>
        <v>×</v>
      </c>
      <c r="Z1196" s="27" t="str">
        <f>IF(C1196&lt;=_xll.RssMarket(A1196,"年初来安値"),"○","×")</f>
        <v>○</v>
      </c>
    </row>
    <row r="1197" spans="1:26" x14ac:dyDescent="0.55000000000000004">
      <c r="B1197" s="20" t="str">
        <f>_xll.RssMarket(A1197,"銘柄名称")</f>
        <v/>
      </c>
      <c r="C1197" s="21" t="str">
        <f>_xll.RssMarket(A1197,"現在値")</f>
        <v/>
      </c>
      <c r="D1197" s="20" t="str">
        <f>_xll.RssMarket(A1197,"現在値詳細時刻")</f>
        <v/>
      </c>
      <c r="E1197" s="22" t="str">
        <f>_xll.RssMarket(A1197,"前日比")</f>
        <v/>
      </c>
      <c r="F1197" s="23" t="e">
        <f>_xll.RssMarket(A1197,"前日比率")/100</f>
        <v>#VALUE!</v>
      </c>
      <c r="G1197" s="24" t="str">
        <f>IFERROR(VLOOKUP(A1197,取得元!$A$2:$F$501,2,FALSE),"-")</f>
        <v>-</v>
      </c>
      <c r="H1197" s="24" t="str">
        <f>IFERROR(VLOOKUP(A1197,取得元!$A$2:$F$501,3,FALSE),"-")</f>
        <v>-</v>
      </c>
      <c r="I1197" s="24" t="str">
        <f>IFERROR(VLOOKUP(A1197,取得元!$A$2:$F$501,4,FALSE),"-")</f>
        <v>-</v>
      </c>
      <c r="J1197" s="5" t="str">
        <f>IFERROR(VLOOKUP(A1197,取得元!$A$2:$F$501,5,FALSE),"-")</f>
        <v>-</v>
      </c>
      <c r="K1197" s="25" t="str">
        <f>IFERROR(VLOOKUP(A1197,取得元!$A$2:$F$501,6,FALSE)/100,"-")</f>
        <v>-</v>
      </c>
      <c r="L1197" s="21" t="str">
        <f>_xll.RssMarket(A1197,"始値")</f>
        <v/>
      </c>
      <c r="M1197" s="4" t="e">
        <f t="shared" si="105"/>
        <v>#VALUE!</v>
      </c>
      <c r="N1197" s="21" t="str">
        <f>_xll.RssMarket(A1197,"高値")</f>
        <v/>
      </c>
      <c r="O1197" s="4" t="e">
        <f t="shared" si="106"/>
        <v>#VALUE!</v>
      </c>
      <c r="P1197" s="21" t="str">
        <f>_xll.RssMarket(A1197,"安値")</f>
        <v/>
      </c>
      <c r="Q1197" s="4" t="e">
        <f t="shared" si="107"/>
        <v>#VALUE!</v>
      </c>
      <c r="R1197" s="21" t="str">
        <f>_xll.RssMarket(A1197,"後場始値")</f>
        <v/>
      </c>
      <c r="S1197" s="25" t="str">
        <f t="shared" si="108"/>
        <v>-</v>
      </c>
      <c r="T1197" s="7" t="str">
        <f>_xll.RssMarket(A1197,"出来高加重平均")</f>
        <v/>
      </c>
      <c r="U1197" s="4" t="e">
        <f t="shared" si="109"/>
        <v>#VALUE!</v>
      </c>
      <c r="V1197" s="21" t="str">
        <f>_xll.RssMarket(A1197,"出来高")</f>
        <v/>
      </c>
      <c r="W1197" s="21" t="str">
        <f>_xll.RssMarket(A1197,"売買代金")</f>
        <v/>
      </c>
      <c r="X1197" s="20" t="str">
        <f>_xll.RssMarket(A1197,"決算発表日")</f>
        <v/>
      </c>
      <c r="Y1197" s="26" t="str">
        <f>IF(C1197&gt;_xll.RssMarket(A1197,"年初来高値"),"○","×")</f>
        <v>×</v>
      </c>
      <c r="Z1197" s="27" t="str">
        <f>IF(C1197&lt;=_xll.RssMarket(A1197,"年初来安値"),"○","×")</f>
        <v>○</v>
      </c>
    </row>
    <row r="1198" spans="1:26" x14ac:dyDescent="0.55000000000000004">
      <c r="B1198" s="20" t="str">
        <f>_xll.RssMarket(A1198,"銘柄名称")</f>
        <v/>
      </c>
      <c r="C1198" s="21" t="str">
        <f>_xll.RssMarket(A1198,"現在値")</f>
        <v/>
      </c>
      <c r="D1198" s="20" t="str">
        <f>_xll.RssMarket(A1198,"現在値詳細時刻")</f>
        <v/>
      </c>
      <c r="E1198" s="22" t="str">
        <f>_xll.RssMarket(A1198,"前日比")</f>
        <v/>
      </c>
      <c r="F1198" s="23" t="e">
        <f>_xll.RssMarket(A1198,"前日比率")/100</f>
        <v>#VALUE!</v>
      </c>
      <c r="G1198" s="24" t="str">
        <f>IFERROR(VLOOKUP(A1198,取得元!$A$2:$F$501,2,FALSE),"-")</f>
        <v>-</v>
      </c>
      <c r="H1198" s="24" t="str">
        <f>IFERROR(VLOOKUP(A1198,取得元!$A$2:$F$501,3,FALSE),"-")</f>
        <v>-</v>
      </c>
      <c r="I1198" s="24" t="str">
        <f>IFERROR(VLOOKUP(A1198,取得元!$A$2:$F$501,4,FALSE),"-")</f>
        <v>-</v>
      </c>
      <c r="J1198" s="5" t="str">
        <f>IFERROR(VLOOKUP(A1198,取得元!$A$2:$F$501,5,FALSE),"-")</f>
        <v>-</v>
      </c>
      <c r="K1198" s="25" t="str">
        <f>IFERROR(VLOOKUP(A1198,取得元!$A$2:$F$501,6,FALSE)/100,"-")</f>
        <v>-</v>
      </c>
      <c r="L1198" s="21" t="str">
        <f>_xll.RssMarket(A1198,"始値")</f>
        <v/>
      </c>
      <c r="M1198" s="4" t="e">
        <f t="shared" si="105"/>
        <v>#VALUE!</v>
      </c>
      <c r="N1198" s="21" t="str">
        <f>_xll.RssMarket(A1198,"高値")</f>
        <v/>
      </c>
      <c r="O1198" s="4" t="e">
        <f t="shared" si="106"/>
        <v>#VALUE!</v>
      </c>
      <c r="P1198" s="21" t="str">
        <f>_xll.RssMarket(A1198,"安値")</f>
        <v/>
      </c>
      <c r="Q1198" s="4" t="e">
        <f t="shared" si="107"/>
        <v>#VALUE!</v>
      </c>
      <c r="R1198" s="21" t="str">
        <f>_xll.RssMarket(A1198,"後場始値")</f>
        <v/>
      </c>
      <c r="S1198" s="25" t="str">
        <f t="shared" si="108"/>
        <v>-</v>
      </c>
      <c r="T1198" s="7" t="str">
        <f>_xll.RssMarket(A1198,"出来高加重平均")</f>
        <v/>
      </c>
      <c r="U1198" s="4" t="e">
        <f t="shared" si="109"/>
        <v>#VALUE!</v>
      </c>
      <c r="V1198" s="21" t="str">
        <f>_xll.RssMarket(A1198,"出来高")</f>
        <v/>
      </c>
      <c r="W1198" s="21" t="str">
        <f>_xll.RssMarket(A1198,"売買代金")</f>
        <v/>
      </c>
      <c r="X1198" s="20" t="str">
        <f>_xll.RssMarket(A1198,"決算発表日")</f>
        <v/>
      </c>
      <c r="Y1198" s="26" t="str">
        <f>IF(C1198&gt;_xll.RssMarket(A1198,"年初来高値"),"○","×")</f>
        <v>×</v>
      </c>
      <c r="Z1198" s="27" t="str">
        <f>IF(C1198&lt;=_xll.RssMarket(A1198,"年初来安値"),"○","×")</f>
        <v>○</v>
      </c>
    </row>
    <row r="1199" spans="1:26" x14ac:dyDescent="0.55000000000000004">
      <c r="B1199" s="20" t="str">
        <f>_xll.RssMarket(A1199,"銘柄名称")</f>
        <v/>
      </c>
      <c r="C1199" s="21" t="str">
        <f>_xll.RssMarket(A1199,"現在値")</f>
        <v/>
      </c>
      <c r="D1199" s="20" t="str">
        <f>_xll.RssMarket(A1199,"現在値詳細時刻")</f>
        <v/>
      </c>
      <c r="E1199" s="22" t="str">
        <f>_xll.RssMarket(A1199,"前日比")</f>
        <v/>
      </c>
      <c r="F1199" s="23" t="e">
        <f>_xll.RssMarket(A1199,"前日比率")/100</f>
        <v>#VALUE!</v>
      </c>
      <c r="G1199" s="24" t="str">
        <f>IFERROR(VLOOKUP(A1199,取得元!$A$2:$F$501,2,FALSE),"-")</f>
        <v>-</v>
      </c>
      <c r="H1199" s="24" t="str">
        <f>IFERROR(VLOOKUP(A1199,取得元!$A$2:$F$501,3,FALSE),"-")</f>
        <v>-</v>
      </c>
      <c r="I1199" s="24" t="str">
        <f>IFERROR(VLOOKUP(A1199,取得元!$A$2:$F$501,4,FALSE),"-")</f>
        <v>-</v>
      </c>
      <c r="J1199" s="5" t="str">
        <f>IFERROR(VLOOKUP(A1199,取得元!$A$2:$F$501,5,FALSE),"-")</f>
        <v>-</v>
      </c>
      <c r="K1199" s="25" t="str">
        <f>IFERROR(VLOOKUP(A1199,取得元!$A$2:$F$501,6,FALSE)/100,"-")</f>
        <v>-</v>
      </c>
      <c r="L1199" s="21" t="str">
        <f>_xll.RssMarket(A1199,"始値")</f>
        <v/>
      </c>
      <c r="M1199" s="4" t="e">
        <f t="shared" si="105"/>
        <v>#VALUE!</v>
      </c>
      <c r="N1199" s="21" t="str">
        <f>_xll.RssMarket(A1199,"高値")</f>
        <v/>
      </c>
      <c r="O1199" s="4" t="e">
        <f t="shared" si="106"/>
        <v>#VALUE!</v>
      </c>
      <c r="P1199" s="21" t="str">
        <f>_xll.RssMarket(A1199,"安値")</f>
        <v/>
      </c>
      <c r="Q1199" s="4" t="e">
        <f t="shared" si="107"/>
        <v>#VALUE!</v>
      </c>
      <c r="R1199" s="21" t="str">
        <f>_xll.RssMarket(A1199,"後場始値")</f>
        <v/>
      </c>
      <c r="S1199" s="25" t="str">
        <f t="shared" si="108"/>
        <v>-</v>
      </c>
      <c r="T1199" s="7" t="str">
        <f>_xll.RssMarket(A1199,"出来高加重平均")</f>
        <v/>
      </c>
      <c r="U1199" s="4" t="e">
        <f t="shared" si="109"/>
        <v>#VALUE!</v>
      </c>
      <c r="V1199" s="21" t="str">
        <f>_xll.RssMarket(A1199,"出来高")</f>
        <v/>
      </c>
      <c r="W1199" s="21" t="str">
        <f>_xll.RssMarket(A1199,"売買代金")</f>
        <v/>
      </c>
      <c r="X1199" s="20" t="str">
        <f>_xll.RssMarket(A1199,"決算発表日")</f>
        <v/>
      </c>
      <c r="Y1199" s="26" t="str">
        <f>IF(C1199&gt;_xll.RssMarket(A1199,"年初来高値"),"○","×")</f>
        <v>×</v>
      </c>
      <c r="Z1199" s="27" t="str">
        <f>IF(C1199&lt;=_xll.RssMarket(A1199,"年初来安値"),"○","×")</f>
        <v>○</v>
      </c>
    </row>
    <row r="1200" spans="1:26" x14ac:dyDescent="0.55000000000000004">
      <c r="B1200" s="20" t="str">
        <f>_xll.RssMarket(A1200,"銘柄名称")</f>
        <v/>
      </c>
      <c r="C1200" s="21" t="str">
        <f>_xll.RssMarket(A1200,"現在値")</f>
        <v/>
      </c>
      <c r="D1200" s="20" t="str">
        <f>_xll.RssMarket(A1200,"現在値詳細時刻")</f>
        <v/>
      </c>
      <c r="E1200" s="22" t="str">
        <f>_xll.RssMarket(A1200,"前日比")</f>
        <v/>
      </c>
      <c r="F1200" s="23" t="e">
        <f>_xll.RssMarket(A1200,"前日比率")/100</f>
        <v>#VALUE!</v>
      </c>
      <c r="G1200" s="24" t="str">
        <f>IFERROR(VLOOKUP(A1200,取得元!$A$2:$F$501,2,FALSE),"-")</f>
        <v>-</v>
      </c>
      <c r="H1200" s="24" t="str">
        <f>IFERROR(VLOOKUP(A1200,取得元!$A$2:$F$501,3,FALSE),"-")</f>
        <v>-</v>
      </c>
      <c r="I1200" s="24" t="str">
        <f>IFERROR(VLOOKUP(A1200,取得元!$A$2:$F$501,4,FALSE),"-")</f>
        <v>-</v>
      </c>
      <c r="J1200" s="5" t="str">
        <f>IFERROR(VLOOKUP(A1200,取得元!$A$2:$F$501,5,FALSE),"-")</f>
        <v>-</v>
      </c>
      <c r="K1200" s="25" t="str">
        <f>IFERROR(VLOOKUP(A1200,取得元!$A$2:$F$501,6,FALSE)/100,"-")</f>
        <v>-</v>
      </c>
      <c r="L1200" s="21" t="str">
        <f>_xll.RssMarket(A1200,"始値")</f>
        <v/>
      </c>
      <c r="M1200" s="4" t="e">
        <f t="shared" si="105"/>
        <v>#VALUE!</v>
      </c>
      <c r="N1200" s="21" t="str">
        <f>_xll.RssMarket(A1200,"高値")</f>
        <v/>
      </c>
      <c r="O1200" s="4" t="e">
        <f t="shared" si="106"/>
        <v>#VALUE!</v>
      </c>
      <c r="P1200" s="21" t="str">
        <f>_xll.RssMarket(A1200,"安値")</f>
        <v/>
      </c>
      <c r="Q1200" s="4" t="e">
        <f t="shared" si="107"/>
        <v>#VALUE!</v>
      </c>
      <c r="R1200" s="21" t="str">
        <f>_xll.RssMarket(A1200,"後場始値")</f>
        <v/>
      </c>
      <c r="S1200" s="25" t="str">
        <f t="shared" si="108"/>
        <v>-</v>
      </c>
      <c r="T1200" s="7" t="str">
        <f>_xll.RssMarket(A1200,"出来高加重平均")</f>
        <v/>
      </c>
      <c r="U1200" s="4" t="e">
        <f t="shared" si="109"/>
        <v>#VALUE!</v>
      </c>
      <c r="V1200" s="21" t="str">
        <f>_xll.RssMarket(A1200,"出来高")</f>
        <v/>
      </c>
      <c r="W1200" s="21" t="str">
        <f>_xll.RssMarket(A1200,"売買代金")</f>
        <v/>
      </c>
      <c r="X1200" s="20" t="str">
        <f>_xll.RssMarket(A1200,"決算発表日")</f>
        <v/>
      </c>
      <c r="Y1200" s="26" t="str">
        <f>IF(C1200&gt;_xll.RssMarket(A1200,"年初来高値"),"○","×")</f>
        <v>×</v>
      </c>
      <c r="Z1200" s="27" t="str">
        <f>IF(C1200&lt;=_xll.RssMarket(A1200,"年初来安値"),"○","×")</f>
        <v>○</v>
      </c>
    </row>
    <row r="1201" spans="2:26" x14ac:dyDescent="0.55000000000000004">
      <c r="B1201" s="20" t="str">
        <f>_xll.RssMarket(A1201,"銘柄名称")</f>
        <v/>
      </c>
      <c r="C1201" s="21" t="str">
        <f>_xll.RssMarket(A1201,"現在値")</f>
        <v/>
      </c>
      <c r="D1201" s="20" t="str">
        <f>_xll.RssMarket(A1201,"現在値詳細時刻")</f>
        <v/>
      </c>
      <c r="E1201" s="22" t="str">
        <f>_xll.RssMarket(A1201,"前日比")</f>
        <v/>
      </c>
      <c r="F1201" s="23" t="e">
        <f>_xll.RssMarket(A1201,"前日比率")/100</f>
        <v>#VALUE!</v>
      </c>
      <c r="G1201" s="24" t="str">
        <f>IFERROR(VLOOKUP(A1201,取得元!$A$2:$F$501,2,FALSE),"-")</f>
        <v>-</v>
      </c>
      <c r="H1201" s="24" t="str">
        <f>IFERROR(VLOOKUP(A1201,取得元!$A$2:$F$501,3,FALSE),"-")</f>
        <v>-</v>
      </c>
      <c r="I1201" s="24" t="str">
        <f>IFERROR(VLOOKUP(A1201,取得元!$A$2:$F$501,4,FALSE),"-")</f>
        <v>-</v>
      </c>
      <c r="J1201" s="5" t="str">
        <f>IFERROR(VLOOKUP(A1201,取得元!$A$2:$F$501,5,FALSE),"-")</f>
        <v>-</v>
      </c>
      <c r="K1201" s="25" t="str">
        <f>IFERROR(VLOOKUP(A1201,取得元!$A$2:$F$501,6,FALSE)/100,"-")</f>
        <v>-</v>
      </c>
      <c r="L1201" s="21" t="str">
        <f>_xll.RssMarket(A1201,"始値")</f>
        <v/>
      </c>
      <c r="M1201" s="4" t="e">
        <f t="shared" si="105"/>
        <v>#VALUE!</v>
      </c>
      <c r="N1201" s="21" t="str">
        <f>_xll.RssMarket(A1201,"高値")</f>
        <v/>
      </c>
      <c r="O1201" s="4" t="e">
        <f t="shared" si="106"/>
        <v>#VALUE!</v>
      </c>
      <c r="P1201" s="21" t="str">
        <f>_xll.RssMarket(A1201,"安値")</f>
        <v/>
      </c>
      <c r="Q1201" s="4" t="e">
        <f t="shared" si="107"/>
        <v>#VALUE!</v>
      </c>
      <c r="R1201" s="21" t="str">
        <f>_xll.RssMarket(A1201,"後場始値")</f>
        <v/>
      </c>
      <c r="S1201" s="25" t="str">
        <f t="shared" si="108"/>
        <v>-</v>
      </c>
      <c r="T1201" s="7" t="str">
        <f>_xll.RssMarket(A1201,"出来高加重平均")</f>
        <v/>
      </c>
      <c r="U1201" s="4" t="e">
        <f t="shared" si="109"/>
        <v>#VALUE!</v>
      </c>
      <c r="V1201" s="21" t="str">
        <f>_xll.RssMarket(A1201,"出来高")</f>
        <v/>
      </c>
      <c r="W1201" s="21" t="str">
        <f>_xll.RssMarket(A1201,"売買代金")</f>
        <v/>
      </c>
      <c r="X1201" s="20" t="str">
        <f>_xll.RssMarket(A1201,"決算発表日")</f>
        <v/>
      </c>
      <c r="Y1201" s="26" t="str">
        <f>IF(C1201&gt;_xll.RssMarket(A1201,"年初来高値"),"○","×")</f>
        <v>×</v>
      </c>
      <c r="Z1201" s="27" t="str">
        <f>IF(C1201&lt;=_xll.RssMarket(A1201,"年初来安値"),"○","×")</f>
        <v>○</v>
      </c>
    </row>
    <row r="1202" spans="2:26" x14ac:dyDescent="0.55000000000000004">
      <c r="B1202" s="20" t="str">
        <f>_xll.RssMarket(A1202,"銘柄名称")</f>
        <v/>
      </c>
      <c r="C1202" s="21" t="str">
        <f>_xll.RssMarket(A1202,"現在値")</f>
        <v/>
      </c>
      <c r="D1202" s="20" t="str">
        <f>_xll.RssMarket(A1202,"現在値詳細時刻")</f>
        <v/>
      </c>
      <c r="E1202" s="22" t="str">
        <f>_xll.RssMarket(A1202,"前日比")</f>
        <v/>
      </c>
      <c r="F1202" s="23" t="e">
        <f>_xll.RssMarket(A1202,"前日比率")/100</f>
        <v>#VALUE!</v>
      </c>
      <c r="G1202" s="24" t="str">
        <f>IFERROR(VLOOKUP(A1202,取得元!$A$2:$F$501,2,FALSE),"-")</f>
        <v>-</v>
      </c>
      <c r="H1202" s="24" t="str">
        <f>IFERROR(VLOOKUP(A1202,取得元!$A$2:$F$501,3,FALSE),"-")</f>
        <v>-</v>
      </c>
      <c r="I1202" s="24" t="str">
        <f>IFERROR(VLOOKUP(A1202,取得元!$A$2:$F$501,4,FALSE),"-")</f>
        <v>-</v>
      </c>
      <c r="J1202" s="5" t="str">
        <f>IFERROR(VLOOKUP(A1202,取得元!$A$2:$F$501,5,FALSE),"-")</f>
        <v>-</v>
      </c>
      <c r="K1202" s="25" t="str">
        <f>IFERROR(VLOOKUP(A1202,取得元!$A$2:$F$501,6,FALSE)/100,"-")</f>
        <v>-</v>
      </c>
      <c r="L1202" s="21" t="str">
        <f>_xll.RssMarket(A1202,"始値")</f>
        <v/>
      </c>
      <c r="M1202" s="4" t="e">
        <f t="shared" si="105"/>
        <v>#VALUE!</v>
      </c>
      <c r="N1202" s="21" t="str">
        <f>_xll.RssMarket(A1202,"高値")</f>
        <v/>
      </c>
      <c r="O1202" s="4" t="e">
        <f t="shared" si="106"/>
        <v>#VALUE!</v>
      </c>
      <c r="P1202" s="21" t="str">
        <f>_xll.RssMarket(A1202,"安値")</f>
        <v/>
      </c>
      <c r="Q1202" s="4" t="e">
        <f t="shared" si="107"/>
        <v>#VALUE!</v>
      </c>
      <c r="R1202" s="21" t="str">
        <f>_xll.RssMarket(A1202,"後場始値")</f>
        <v/>
      </c>
      <c r="S1202" s="25" t="str">
        <f t="shared" si="108"/>
        <v>-</v>
      </c>
      <c r="T1202" s="7" t="str">
        <f>_xll.RssMarket(A1202,"出来高加重平均")</f>
        <v/>
      </c>
      <c r="U1202" s="4" t="e">
        <f t="shared" si="109"/>
        <v>#VALUE!</v>
      </c>
      <c r="V1202" s="21" t="str">
        <f>_xll.RssMarket(A1202,"出来高")</f>
        <v/>
      </c>
      <c r="W1202" s="21" t="str">
        <f>_xll.RssMarket(A1202,"売買代金")</f>
        <v/>
      </c>
      <c r="X1202" s="20" t="str">
        <f>_xll.RssMarket(A1202,"決算発表日")</f>
        <v/>
      </c>
      <c r="Y1202" s="26" t="str">
        <f>IF(C1202&gt;_xll.RssMarket(A1202,"年初来高値"),"○","×")</f>
        <v>×</v>
      </c>
      <c r="Z1202" s="27" t="str">
        <f>IF(C1202&lt;=_xll.RssMarket(A1202,"年初来安値"),"○","×")</f>
        <v>○</v>
      </c>
    </row>
    <row r="1203" spans="2:26" x14ac:dyDescent="0.55000000000000004">
      <c r="B1203" s="20" t="str">
        <f>_xll.RssMarket(A1203,"銘柄名称")</f>
        <v/>
      </c>
      <c r="C1203" s="21" t="str">
        <f>_xll.RssMarket(A1203,"現在値")</f>
        <v/>
      </c>
      <c r="D1203" s="20" t="str">
        <f>_xll.RssMarket(A1203,"現在値詳細時刻")</f>
        <v/>
      </c>
      <c r="E1203" s="22" t="str">
        <f>_xll.RssMarket(A1203,"前日比")</f>
        <v/>
      </c>
      <c r="F1203" s="23" t="e">
        <f>_xll.RssMarket(A1203,"前日比率")/100</f>
        <v>#VALUE!</v>
      </c>
      <c r="G1203" s="24" t="str">
        <f>IFERROR(VLOOKUP(A1203,取得元!$A$2:$F$501,2,FALSE),"-")</f>
        <v>-</v>
      </c>
      <c r="H1203" s="24" t="str">
        <f>IFERROR(VLOOKUP(A1203,取得元!$A$2:$F$501,3,FALSE),"-")</f>
        <v>-</v>
      </c>
      <c r="I1203" s="24" t="str">
        <f>IFERROR(VLOOKUP(A1203,取得元!$A$2:$F$501,4,FALSE),"-")</f>
        <v>-</v>
      </c>
      <c r="J1203" s="5" t="str">
        <f>IFERROR(VLOOKUP(A1203,取得元!$A$2:$F$501,5,FALSE),"-")</f>
        <v>-</v>
      </c>
      <c r="K1203" s="25" t="str">
        <f>IFERROR(VLOOKUP(A1203,取得元!$A$2:$F$501,6,FALSE)/100,"-")</f>
        <v>-</v>
      </c>
      <c r="L1203" s="21" t="str">
        <f>_xll.RssMarket(A1203,"始値")</f>
        <v/>
      </c>
      <c r="M1203" s="4" t="e">
        <f t="shared" si="105"/>
        <v>#VALUE!</v>
      </c>
      <c r="N1203" s="21" t="str">
        <f>_xll.RssMarket(A1203,"高値")</f>
        <v/>
      </c>
      <c r="O1203" s="4" t="e">
        <f t="shared" si="106"/>
        <v>#VALUE!</v>
      </c>
      <c r="P1203" s="21" t="str">
        <f>_xll.RssMarket(A1203,"安値")</f>
        <v/>
      </c>
      <c r="Q1203" s="4" t="e">
        <f t="shared" si="107"/>
        <v>#VALUE!</v>
      </c>
      <c r="R1203" s="21" t="str">
        <f>_xll.RssMarket(A1203,"後場始値")</f>
        <v/>
      </c>
      <c r="S1203" s="25" t="str">
        <f t="shared" si="108"/>
        <v>-</v>
      </c>
      <c r="T1203" s="7" t="str">
        <f>_xll.RssMarket(A1203,"出来高加重平均")</f>
        <v/>
      </c>
      <c r="U1203" s="4" t="e">
        <f t="shared" si="109"/>
        <v>#VALUE!</v>
      </c>
      <c r="V1203" s="21" t="str">
        <f>_xll.RssMarket(A1203,"出来高")</f>
        <v/>
      </c>
      <c r="W1203" s="21" t="str">
        <f>_xll.RssMarket(A1203,"売買代金")</f>
        <v/>
      </c>
      <c r="X1203" s="20" t="str">
        <f>_xll.RssMarket(A1203,"決算発表日")</f>
        <v/>
      </c>
      <c r="Y1203" s="26" t="str">
        <f>IF(C1203&gt;_xll.RssMarket(A1203,"年初来高値"),"○","×")</f>
        <v>×</v>
      </c>
      <c r="Z1203" s="27" t="str">
        <f>IF(C1203&lt;=_xll.RssMarket(A1203,"年初来安値"),"○","×")</f>
        <v>○</v>
      </c>
    </row>
    <row r="1204" spans="2:26" x14ac:dyDescent="0.55000000000000004">
      <c r="B1204" s="20" t="str">
        <f>_xll.RssMarket(A1204,"銘柄名称")</f>
        <v/>
      </c>
      <c r="C1204" s="21" t="str">
        <f>_xll.RssMarket(A1204,"現在値")</f>
        <v/>
      </c>
      <c r="D1204" s="20" t="str">
        <f>_xll.RssMarket(A1204,"現在値詳細時刻")</f>
        <v/>
      </c>
      <c r="E1204" s="22" t="str">
        <f>_xll.RssMarket(A1204,"前日比")</f>
        <v/>
      </c>
      <c r="F1204" s="23" t="e">
        <f>_xll.RssMarket(A1204,"前日比率")/100</f>
        <v>#VALUE!</v>
      </c>
      <c r="G1204" s="24" t="str">
        <f>IFERROR(VLOOKUP(A1204,取得元!$A$2:$F$501,2,FALSE),"-")</f>
        <v>-</v>
      </c>
      <c r="H1204" s="24" t="str">
        <f>IFERROR(VLOOKUP(A1204,取得元!$A$2:$F$501,3,FALSE),"-")</f>
        <v>-</v>
      </c>
      <c r="I1204" s="24" t="str">
        <f>IFERROR(VLOOKUP(A1204,取得元!$A$2:$F$501,4,FALSE),"-")</f>
        <v>-</v>
      </c>
      <c r="J1204" s="5" t="str">
        <f>IFERROR(VLOOKUP(A1204,取得元!$A$2:$F$501,5,FALSE),"-")</f>
        <v>-</v>
      </c>
      <c r="K1204" s="25" t="str">
        <f>IFERROR(VLOOKUP(A1204,取得元!$A$2:$F$501,6,FALSE)/100,"-")</f>
        <v>-</v>
      </c>
      <c r="L1204" s="21" t="str">
        <f>_xll.RssMarket(A1204,"始値")</f>
        <v/>
      </c>
      <c r="M1204" s="4" t="e">
        <f t="shared" si="105"/>
        <v>#VALUE!</v>
      </c>
      <c r="N1204" s="21" t="str">
        <f>_xll.RssMarket(A1204,"高値")</f>
        <v/>
      </c>
      <c r="O1204" s="4" t="e">
        <f t="shared" si="106"/>
        <v>#VALUE!</v>
      </c>
      <c r="P1204" s="21" t="str">
        <f>_xll.RssMarket(A1204,"安値")</f>
        <v/>
      </c>
      <c r="Q1204" s="4" t="e">
        <f t="shared" si="107"/>
        <v>#VALUE!</v>
      </c>
      <c r="R1204" s="21" t="str">
        <f>_xll.RssMarket(A1204,"後場始値")</f>
        <v/>
      </c>
      <c r="S1204" s="25" t="str">
        <f t="shared" si="108"/>
        <v>-</v>
      </c>
      <c r="T1204" s="7" t="str">
        <f>_xll.RssMarket(A1204,"出来高加重平均")</f>
        <v/>
      </c>
      <c r="U1204" s="4" t="e">
        <f t="shared" si="109"/>
        <v>#VALUE!</v>
      </c>
      <c r="V1204" s="21" t="str">
        <f>_xll.RssMarket(A1204,"出来高")</f>
        <v/>
      </c>
      <c r="W1204" s="21" t="str">
        <f>_xll.RssMarket(A1204,"売買代金")</f>
        <v/>
      </c>
      <c r="X1204" s="20" t="str">
        <f>_xll.RssMarket(A1204,"決算発表日")</f>
        <v/>
      </c>
      <c r="Y1204" s="26" t="str">
        <f>IF(C1204&gt;_xll.RssMarket(A1204,"年初来高値"),"○","×")</f>
        <v>×</v>
      </c>
      <c r="Z1204" s="27" t="str">
        <f>IF(C1204&lt;=_xll.RssMarket(A1204,"年初来安値"),"○","×")</f>
        <v>○</v>
      </c>
    </row>
    <row r="1205" spans="2:26" x14ac:dyDescent="0.55000000000000004">
      <c r="B1205" s="20" t="str">
        <f>_xll.RssMarket(A1205,"銘柄名称")</f>
        <v/>
      </c>
      <c r="C1205" s="21" t="str">
        <f>_xll.RssMarket(A1205,"現在値")</f>
        <v/>
      </c>
      <c r="D1205" s="20" t="str">
        <f>_xll.RssMarket(A1205,"現在値詳細時刻")</f>
        <v/>
      </c>
      <c r="E1205" s="22" t="str">
        <f>_xll.RssMarket(A1205,"前日比")</f>
        <v/>
      </c>
      <c r="F1205" s="23" t="e">
        <f>_xll.RssMarket(A1205,"前日比率")/100</f>
        <v>#VALUE!</v>
      </c>
      <c r="G1205" s="24" t="str">
        <f>IFERROR(VLOOKUP(A1205,取得元!$A$2:$F$501,2,FALSE),"-")</f>
        <v>-</v>
      </c>
      <c r="H1205" s="24" t="str">
        <f>IFERROR(VLOOKUP(A1205,取得元!$A$2:$F$501,3,FALSE),"-")</f>
        <v>-</v>
      </c>
      <c r="I1205" s="24" t="str">
        <f>IFERROR(VLOOKUP(A1205,取得元!$A$2:$F$501,4,FALSE),"-")</f>
        <v>-</v>
      </c>
      <c r="J1205" s="5" t="str">
        <f>IFERROR(VLOOKUP(A1205,取得元!$A$2:$F$501,5,FALSE),"-")</f>
        <v>-</v>
      </c>
      <c r="K1205" s="25" t="str">
        <f>IFERROR(VLOOKUP(A1205,取得元!$A$2:$F$501,6,FALSE)/100,"-")</f>
        <v>-</v>
      </c>
      <c r="L1205" s="21" t="str">
        <f>_xll.RssMarket(A1205,"始値")</f>
        <v/>
      </c>
      <c r="M1205" s="4" t="e">
        <f t="shared" si="105"/>
        <v>#VALUE!</v>
      </c>
      <c r="N1205" s="21" t="str">
        <f>_xll.RssMarket(A1205,"高値")</f>
        <v/>
      </c>
      <c r="O1205" s="4" t="e">
        <f t="shared" si="106"/>
        <v>#VALUE!</v>
      </c>
      <c r="P1205" s="21" t="str">
        <f>_xll.RssMarket(A1205,"安値")</f>
        <v/>
      </c>
      <c r="Q1205" s="4" t="e">
        <f t="shared" si="107"/>
        <v>#VALUE!</v>
      </c>
      <c r="R1205" s="21" t="str">
        <f>_xll.RssMarket(A1205,"後場始値")</f>
        <v/>
      </c>
      <c r="S1205" s="25" t="str">
        <f t="shared" si="108"/>
        <v>-</v>
      </c>
      <c r="T1205" s="7" t="str">
        <f>_xll.RssMarket(A1205,"出来高加重平均")</f>
        <v/>
      </c>
      <c r="U1205" s="4" t="e">
        <f t="shared" si="109"/>
        <v>#VALUE!</v>
      </c>
      <c r="V1205" s="21" t="str">
        <f>_xll.RssMarket(A1205,"出来高")</f>
        <v/>
      </c>
      <c r="W1205" s="21" t="str">
        <f>_xll.RssMarket(A1205,"売買代金")</f>
        <v/>
      </c>
      <c r="X1205" s="20" t="str">
        <f>_xll.RssMarket(A1205,"決算発表日")</f>
        <v/>
      </c>
      <c r="Y1205" s="26" t="str">
        <f>IF(C1205&gt;_xll.RssMarket(A1205,"年初来高値"),"○","×")</f>
        <v>×</v>
      </c>
      <c r="Z1205" s="27" t="str">
        <f>IF(C1205&lt;=_xll.RssMarket(A1205,"年初来安値"),"○","×")</f>
        <v>○</v>
      </c>
    </row>
    <row r="1206" spans="2:26" x14ac:dyDescent="0.55000000000000004">
      <c r="B1206" s="20" t="str">
        <f>_xll.RssMarket(A1206,"銘柄名称")</f>
        <v/>
      </c>
      <c r="C1206" s="21" t="str">
        <f>_xll.RssMarket(A1206,"現在値")</f>
        <v/>
      </c>
      <c r="D1206" s="20" t="str">
        <f>_xll.RssMarket(A1206,"現在値詳細時刻")</f>
        <v/>
      </c>
      <c r="E1206" s="22" t="str">
        <f>_xll.RssMarket(A1206,"前日比")</f>
        <v/>
      </c>
      <c r="F1206" s="23" t="e">
        <f>_xll.RssMarket(A1206,"前日比率")/100</f>
        <v>#VALUE!</v>
      </c>
      <c r="G1206" s="24" t="str">
        <f>IFERROR(VLOOKUP(A1206,取得元!$A$2:$F$501,2,FALSE),"-")</f>
        <v>-</v>
      </c>
      <c r="H1206" s="24" t="str">
        <f>IFERROR(VLOOKUP(A1206,取得元!$A$2:$F$501,3,FALSE),"-")</f>
        <v>-</v>
      </c>
      <c r="I1206" s="24" t="str">
        <f>IFERROR(VLOOKUP(A1206,取得元!$A$2:$F$501,4,FALSE),"-")</f>
        <v>-</v>
      </c>
      <c r="J1206" s="5" t="str">
        <f>IFERROR(VLOOKUP(A1206,取得元!$A$2:$F$501,5,FALSE),"-")</f>
        <v>-</v>
      </c>
      <c r="K1206" s="25" t="str">
        <f>IFERROR(VLOOKUP(A1206,取得元!$A$2:$F$501,6,FALSE)/100,"-")</f>
        <v>-</v>
      </c>
      <c r="L1206" s="21" t="str">
        <f>_xll.RssMarket(A1206,"始値")</f>
        <v/>
      </c>
      <c r="M1206" s="4" t="e">
        <f t="shared" si="105"/>
        <v>#VALUE!</v>
      </c>
      <c r="N1206" s="21" t="str">
        <f>_xll.RssMarket(A1206,"高値")</f>
        <v/>
      </c>
      <c r="O1206" s="4" t="e">
        <f t="shared" si="106"/>
        <v>#VALUE!</v>
      </c>
      <c r="P1206" s="21" t="str">
        <f>_xll.RssMarket(A1206,"安値")</f>
        <v/>
      </c>
      <c r="Q1206" s="4" t="e">
        <f t="shared" si="107"/>
        <v>#VALUE!</v>
      </c>
      <c r="R1206" s="21" t="str">
        <f>_xll.RssMarket(A1206,"後場始値")</f>
        <v/>
      </c>
      <c r="S1206" s="25" t="str">
        <f t="shared" si="108"/>
        <v>-</v>
      </c>
      <c r="T1206" s="7" t="str">
        <f>_xll.RssMarket(A1206,"出来高加重平均")</f>
        <v/>
      </c>
      <c r="U1206" s="4" t="e">
        <f t="shared" si="109"/>
        <v>#VALUE!</v>
      </c>
      <c r="V1206" s="21" t="str">
        <f>_xll.RssMarket(A1206,"出来高")</f>
        <v/>
      </c>
      <c r="W1206" s="21" t="str">
        <f>_xll.RssMarket(A1206,"売買代金")</f>
        <v/>
      </c>
      <c r="X1206" s="20" t="str">
        <f>_xll.RssMarket(A1206,"決算発表日")</f>
        <v/>
      </c>
      <c r="Y1206" s="26" t="str">
        <f>IF(C1206&gt;_xll.RssMarket(A1206,"年初来高値"),"○","×")</f>
        <v>×</v>
      </c>
      <c r="Z1206" s="27" t="str">
        <f>IF(C1206&lt;=_xll.RssMarket(A1206,"年初来安値"),"○","×")</f>
        <v>○</v>
      </c>
    </row>
    <row r="1207" spans="2:26" x14ac:dyDescent="0.55000000000000004">
      <c r="B1207" s="20" t="str">
        <f>_xll.RssMarket(A1207,"銘柄名称")</f>
        <v/>
      </c>
      <c r="C1207" s="21" t="str">
        <f>_xll.RssMarket(A1207,"現在値")</f>
        <v/>
      </c>
      <c r="D1207" s="20" t="str">
        <f>_xll.RssMarket(A1207,"現在値詳細時刻")</f>
        <v/>
      </c>
      <c r="E1207" s="22" t="str">
        <f>_xll.RssMarket(A1207,"前日比")</f>
        <v/>
      </c>
      <c r="F1207" s="23" t="e">
        <f>_xll.RssMarket(A1207,"前日比率")/100</f>
        <v>#VALUE!</v>
      </c>
      <c r="G1207" s="24" t="str">
        <f>IFERROR(VLOOKUP(A1207,取得元!$A$2:$F$501,2,FALSE),"-")</f>
        <v>-</v>
      </c>
      <c r="H1207" s="24" t="str">
        <f>IFERROR(VLOOKUP(A1207,取得元!$A$2:$F$501,3,FALSE),"-")</f>
        <v>-</v>
      </c>
      <c r="I1207" s="24" t="str">
        <f>IFERROR(VLOOKUP(A1207,取得元!$A$2:$F$501,4,FALSE),"-")</f>
        <v>-</v>
      </c>
      <c r="J1207" s="5" t="str">
        <f>IFERROR(VLOOKUP(A1207,取得元!$A$2:$F$501,5,FALSE),"-")</f>
        <v>-</v>
      </c>
      <c r="K1207" s="25" t="str">
        <f>IFERROR(VLOOKUP(A1207,取得元!$A$2:$F$501,6,FALSE)/100,"-")</f>
        <v>-</v>
      </c>
      <c r="L1207" s="21" t="str">
        <f>_xll.RssMarket(A1207,"始値")</f>
        <v/>
      </c>
      <c r="M1207" s="4" t="e">
        <f t="shared" si="105"/>
        <v>#VALUE!</v>
      </c>
      <c r="N1207" s="21" t="str">
        <f>_xll.RssMarket(A1207,"高値")</f>
        <v/>
      </c>
      <c r="O1207" s="4" t="e">
        <f t="shared" si="106"/>
        <v>#VALUE!</v>
      </c>
      <c r="P1207" s="21" t="str">
        <f>_xll.RssMarket(A1207,"安値")</f>
        <v/>
      </c>
      <c r="Q1207" s="4" t="e">
        <f t="shared" si="107"/>
        <v>#VALUE!</v>
      </c>
      <c r="R1207" s="21" t="str">
        <f>_xll.RssMarket(A1207,"後場始値")</f>
        <v/>
      </c>
      <c r="S1207" s="25" t="str">
        <f t="shared" si="108"/>
        <v>-</v>
      </c>
      <c r="T1207" s="7" t="str">
        <f>_xll.RssMarket(A1207,"出来高加重平均")</f>
        <v/>
      </c>
      <c r="U1207" s="4" t="e">
        <f t="shared" si="109"/>
        <v>#VALUE!</v>
      </c>
      <c r="V1207" s="21" t="str">
        <f>_xll.RssMarket(A1207,"出来高")</f>
        <v/>
      </c>
      <c r="W1207" s="21" t="str">
        <f>_xll.RssMarket(A1207,"売買代金")</f>
        <v/>
      </c>
      <c r="X1207" s="20" t="str">
        <f>_xll.RssMarket(A1207,"決算発表日")</f>
        <v/>
      </c>
      <c r="Y1207" s="26" t="str">
        <f>IF(C1207&gt;_xll.RssMarket(A1207,"年初来高値"),"○","×")</f>
        <v>×</v>
      </c>
      <c r="Z1207" s="27" t="str">
        <f>IF(C1207&lt;=_xll.RssMarket(A1207,"年初来安値"),"○","×")</f>
        <v>○</v>
      </c>
    </row>
    <row r="1208" spans="2:26" x14ac:dyDescent="0.55000000000000004">
      <c r="B1208" s="20" t="str">
        <f>_xll.RssMarket(A1208,"銘柄名称")</f>
        <v/>
      </c>
      <c r="C1208" s="21" t="str">
        <f>_xll.RssMarket(A1208,"現在値")</f>
        <v/>
      </c>
      <c r="D1208" s="20" t="str">
        <f>_xll.RssMarket(A1208,"現在値詳細時刻")</f>
        <v/>
      </c>
      <c r="E1208" s="22" t="str">
        <f>_xll.RssMarket(A1208,"前日比")</f>
        <v/>
      </c>
      <c r="F1208" s="23" t="e">
        <f>_xll.RssMarket(A1208,"前日比率")/100</f>
        <v>#VALUE!</v>
      </c>
      <c r="G1208" s="24" t="str">
        <f>IFERROR(VLOOKUP(A1208,取得元!$A$2:$F$501,2,FALSE),"-")</f>
        <v>-</v>
      </c>
      <c r="H1208" s="24" t="str">
        <f>IFERROR(VLOOKUP(A1208,取得元!$A$2:$F$501,3,FALSE),"-")</f>
        <v>-</v>
      </c>
      <c r="I1208" s="24" t="str">
        <f>IFERROR(VLOOKUP(A1208,取得元!$A$2:$F$501,4,FALSE),"-")</f>
        <v>-</v>
      </c>
      <c r="J1208" s="5" t="str">
        <f>IFERROR(VLOOKUP(A1208,取得元!$A$2:$F$501,5,FALSE),"-")</f>
        <v>-</v>
      </c>
      <c r="K1208" s="25" t="str">
        <f>IFERROR(VLOOKUP(A1208,取得元!$A$2:$F$501,6,FALSE)/100,"-")</f>
        <v>-</v>
      </c>
      <c r="L1208" s="21" t="str">
        <f>_xll.RssMarket(A1208,"始値")</f>
        <v/>
      </c>
      <c r="M1208" s="4" t="e">
        <f t="shared" si="105"/>
        <v>#VALUE!</v>
      </c>
      <c r="N1208" s="21" t="str">
        <f>_xll.RssMarket(A1208,"高値")</f>
        <v/>
      </c>
      <c r="O1208" s="4" t="e">
        <f t="shared" si="106"/>
        <v>#VALUE!</v>
      </c>
      <c r="P1208" s="21" t="str">
        <f>_xll.RssMarket(A1208,"安値")</f>
        <v/>
      </c>
      <c r="Q1208" s="4" t="e">
        <f t="shared" si="107"/>
        <v>#VALUE!</v>
      </c>
      <c r="R1208" s="21" t="str">
        <f>_xll.RssMarket(A1208,"後場始値")</f>
        <v/>
      </c>
      <c r="S1208" s="25" t="str">
        <f t="shared" si="108"/>
        <v>-</v>
      </c>
      <c r="T1208" s="7" t="str">
        <f>_xll.RssMarket(A1208,"出来高加重平均")</f>
        <v/>
      </c>
      <c r="U1208" s="4" t="e">
        <f t="shared" si="109"/>
        <v>#VALUE!</v>
      </c>
      <c r="V1208" s="21" t="str">
        <f>_xll.RssMarket(A1208,"出来高")</f>
        <v/>
      </c>
      <c r="W1208" s="21" t="str">
        <f>_xll.RssMarket(A1208,"売買代金")</f>
        <v/>
      </c>
      <c r="X1208" s="20" t="str">
        <f>_xll.RssMarket(A1208,"決算発表日")</f>
        <v/>
      </c>
      <c r="Y1208" s="26" t="str">
        <f>IF(C1208&gt;_xll.RssMarket(A1208,"年初来高値"),"○","×")</f>
        <v>×</v>
      </c>
      <c r="Z1208" s="27" t="str">
        <f>IF(C1208&lt;=_xll.RssMarket(A1208,"年初来安値"),"○","×")</f>
        <v>○</v>
      </c>
    </row>
    <row r="1209" spans="2:26" x14ac:dyDescent="0.55000000000000004">
      <c r="B1209" s="20" t="str">
        <f>_xll.RssMarket(A1209,"銘柄名称")</f>
        <v/>
      </c>
      <c r="C1209" s="21" t="str">
        <f>_xll.RssMarket(A1209,"現在値")</f>
        <v/>
      </c>
      <c r="D1209" s="20" t="str">
        <f>_xll.RssMarket(A1209,"現在値詳細時刻")</f>
        <v/>
      </c>
      <c r="E1209" s="22" t="str">
        <f>_xll.RssMarket(A1209,"前日比")</f>
        <v/>
      </c>
      <c r="F1209" s="23" t="e">
        <f>_xll.RssMarket(A1209,"前日比率")/100</f>
        <v>#VALUE!</v>
      </c>
      <c r="G1209" s="24" t="str">
        <f>IFERROR(VLOOKUP(A1209,取得元!$A$2:$F$501,2,FALSE),"-")</f>
        <v>-</v>
      </c>
      <c r="H1209" s="24" t="str">
        <f>IFERROR(VLOOKUP(A1209,取得元!$A$2:$F$501,3,FALSE),"-")</f>
        <v>-</v>
      </c>
      <c r="I1209" s="24" t="str">
        <f>IFERROR(VLOOKUP(A1209,取得元!$A$2:$F$501,4,FALSE),"-")</f>
        <v>-</v>
      </c>
      <c r="J1209" s="5" t="str">
        <f>IFERROR(VLOOKUP(A1209,取得元!$A$2:$F$501,5,FALSE),"-")</f>
        <v>-</v>
      </c>
      <c r="K1209" s="25" t="str">
        <f>IFERROR(VLOOKUP(A1209,取得元!$A$2:$F$501,6,FALSE)/100,"-")</f>
        <v>-</v>
      </c>
      <c r="L1209" s="21" t="str">
        <f>_xll.RssMarket(A1209,"始値")</f>
        <v/>
      </c>
      <c r="M1209" s="4" t="e">
        <f t="shared" si="105"/>
        <v>#VALUE!</v>
      </c>
      <c r="N1209" s="21" t="str">
        <f>_xll.RssMarket(A1209,"高値")</f>
        <v/>
      </c>
      <c r="O1209" s="4" t="e">
        <f t="shared" si="106"/>
        <v>#VALUE!</v>
      </c>
      <c r="P1209" s="21" t="str">
        <f>_xll.RssMarket(A1209,"安値")</f>
        <v/>
      </c>
      <c r="Q1209" s="4" t="e">
        <f t="shared" si="107"/>
        <v>#VALUE!</v>
      </c>
      <c r="R1209" s="21" t="str">
        <f>_xll.RssMarket(A1209,"後場始値")</f>
        <v/>
      </c>
      <c r="S1209" s="25" t="str">
        <f t="shared" si="108"/>
        <v>-</v>
      </c>
      <c r="T1209" s="7" t="str">
        <f>_xll.RssMarket(A1209,"出来高加重平均")</f>
        <v/>
      </c>
      <c r="U1209" s="4" t="e">
        <f t="shared" si="109"/>
        <v>#VALUE!</v>
      </c>
      <c r="V1209" s="21" t="str">
        <f>_xll.RssMarket(A1209,"出来高")</f>
        <v/>
      </c>
      <c r="W1209" s="21" t="str">
        <f>_xll.RssMarket(A1209,"売買代金")</f>
        <v/>
      </c>
      <c r="X1209" s="20" t="str">
        <f>_xll.RssMarket(A1209,"決算発表日")</f>
        <v/>
      </c>
      <c r="Y1209" s="26" t="str">
        <f>IF(C1209&gt;_xll.RssMarket(A1209,"年初来高値"),"○","×")</f>
        <v>×</v>
      </c>
      <c r="Z1209" s="27" t="str">
        <f>IF(C1209&lt;=_xll.RssMarket(A1209,"年初来安値"),"○","×")</f>
        <v>○</v>
      </c>
    </row>
    <row r="1210" spans="2:26" x14ac:dyDescent="0.55000000000000004">
      <c r="B1210" s="20" t="str">
        <f>_xll.RssMarket(A1210,"銘柄名称")</f>
        <v/>
      </c>
      <c r="C1210" s="21" t="str">
        <f>_xll.RssMarket(A1210,"現在値")</f>
        <v/>
      </c>
      <c r="D1210" s="20" t="str">
        <f>_xll.RssMarket(A1210,"現在値詳細時刻")</f>
        <v/>
      </c>
      <c r="E1210" s="22" t="str">
        <f>_xll.RssMarket(A1210,"前日比")</f>
        <v/>
      </c>
      <c r="F1210" s="23" t="e">
        <f>_xll.RssMarket(A1210,"前日比率")/100</f>
        <v>#VALUE!</v>
      </c>
      <c r="G1210" s="24" t="str">
        <f>IFERROR(VLOOKUP(A1210,取得元!$A$2:$F$501,2,FALSE),"-")</f>
        <v>-</v>
      </c>
      <c r="H1210" s="24" t="str">
        <f>IFERROR(VLOOKUP(A1210,取得元!$A$2:$F$501,3,FALSE),"-")</f>
        <v>-</v>
      </c>
      <c r="I1210" s="24" t="str">
        <f>IFERROR(VLOOKUP(A1210,取得元!$A$2:$F$501,4,FALSE),"-")</f>
        <v>-</v>
      </c>
      <c r="J1210" s="5" t="str">
        <f>IFERROR(VLOOKUP(A1210,取得元!$A$2:$F$501,5,FALSE),"-")</f>
        <v>-</v>
      </c>
      <c r="K1210" s="25" t="str">
        <f>IFERROR(VLOOKUP(A1210,取得元!$A$2:$F$501,6,FALSE)/100,"-")</f>
        <v>-</v>
      </c>
      <c r="L1210" s="21" t="str">
        <f>_xll.RssMarket(A1210,"始値")</f>
        <v/>
      </c>
      <c r="M1210" s="4" t="e">
        <f t="shared" si="105"/>
        <v>#VALUE!</v>
      </c>
      <c r="N1210" s="21" t="str">
        <f>_xll.RssMarket(A1210,"高値")</f>
        <v/>
      </c>
      <c r="O1210" s="4" t="e">
        <f t="shared" si="106"/>
        <v>#VALUE!</v>
      </c>
      <c r="P1210" s="21" t="str">
        <f>_xll.RssMarket(A1210,"安値")</f>
        <v/>
      </c>
      <c r="Q1210" s="4" t="e">
        <f t="shared" si="107"/>
        <v>#VALUE!</v>
      </c>
      <c r="R1210" s="21" t="str">
        <f>_xll.RssMarket(A1210,"後場始値")</f>
        <v/>
      </c>
      <c r="S1210" s="25" t="str">
        <f t="shared" si="108"/>
        <v>-</v>
      </c>
      <c r="T1210" s="7" t="str">
        <f>_xll.RssMarket(A1210,"出来高加重平均")</f>
        <v/>
      </c>
      <c r="U1210" s="4" t="e">
        <f t="shared" si="109"/>
        <v>#VALUE!</v>
      </c>
      <c r="V1210" s="21" t="str">
        <f>_xll.RssMarket(A1210,"出来高")</f>
        <v/>
      </c>
      <c r="W1210" s="21" t="str">
        <f>_xll.RssMarket(A1210,"売買代金")</f>
        <v/>
      </c>
      <c r="X1210" s="20" t="str">
        <f>_xll.RssMarket(A1210,"決算発表日")</f>
        <v/>
      </c>
      <c r="Y1210" s="26" t="str">
        <f>IF(C1210&gt;_xll.RssMarket(A1210,"年初来高値"),"○","×")</f>
        <v>×</v>
      </c>
      <c r="Z1210" s="27" t="str">
        <f>IF(C1210&lt;=_xll.RssMarket(A1210,"年初来安値"),"○","×")</f>
        <v>○</v>
      </c>
    </row>
    <row r="1211" spans="2:26" x14ac:dyDescent="0.55000000000000004">
      <c r="B1211" s="20" t="str">
        <f>_xll.RssMarket(A1211,"銘柄名称")</f>
        <v/>
      </c>
      <c r="C1211" s="21" t="str">
        <f>_xll.RssMarket(A1211,"現在値")</f>
        <v/>
      </c>
      <c r="D1211" s="20" t="str">
        <f>_xll.RssMarket(A1211,"現在値詳細時刻")</f>
        <v/>
      </c>
      <c r="E1211" s="22" t="str">
        <f>_xll.RssMarket(A1211,"前日比")</f>
        <v/>
      </c>
      <c r="F1211" s="23" t="e">
        <f>_xll.RssMarket(A1211,"前日比率")/100</f>
        <v>#VALUE!</v>
      </c>
      <c r="G1211" s="24" t="str">
        <f>IFERROR(VLOOKUP(A1211,取得元!$A$2:$F$501,2,FALSE),"-")</f>
        <v>-</v>
      </c>
      <c r="H1211" s="24" t="str">
        <f>IFERROR(VLOOKUP(A1211,取得元!$A$2:$F$501,3,FALSE),"-")</f>
        <v>-</v>
      </c>
      <c r="I1211" s="24" t="str">
        <f>IFERROR(VLOOKUP(A1211,取得元!$A$2:$F$501,4,FALSE),"-")</f>
        <v>-</v>
      </c>
      <c r="J1211" s="5" t="str">
        <f>IFERROR(VLOOKUP(A1211,取得元!$A$2:$F$501,5,FALSE),"-")</f>
        <v>-</v>
      </c>
      <c r="K1211" s="25" t="str">
        <f>IFERROR(VLOOKUP(A1211,取得元!$A$2:$F$501,6,FALSE)/100,"-")</f>
        <v>-</v>
      </c>
      <c r="L1211" s="21" t="str">
        <f>_xll.RssMarket(A1211,"始値")</f>
        <v/>
      </c>
      <c r="M1211" s="4" t="e">
        <f t="shared" si="105"/>
        <v>#VALUE!</v>
      </c>
      <c r="N1211" s="21" t="str">
        <f>_xll.RssMarket(A1211,"高値")</f>
        <v/>
      </c>
      <c r="O1211" s="4" t="e">
        <f t="shared" si="106"/>
        <v>#VALUE!</v>
      </c>
      <c r="P1211" s="21" t="str">
        <f>_xll.RssMarket(A1211,"安値")</f>
        <v/>
      </c>
      <c r="Q1211" s="4" t="e">
        <f t="shared" si="107"/>
        <v>#VALUE!</v>
      </c>
      <c r="R1211" s="21" t="str">
        <f>_xll.RssMarket(A1211,"後場始値")</f>
        <v/>
      </c>
      <c r="S1211" s="25" t="str">
        <f t="shared" si="108"/>
        <v>-</v>
      </c>
      <c r="T1211" s="7" t="str">
        <f>_xll.RssMarket(A1211,"出来高加重平均")</f>
        <v/>
      </c>
      <c r="U1211" s="4" t="e">
        <f t="shared" si="109"/>
        <v>#VALUE!</v>
      </c>
      <c r="V1211" s="21" t="str">
        <f>_xll.RssMarket(A1211,"出来高")</f>
        <v/>
      </c>
      <c r="W1211" s="21" t="str">
        <f>_xll.RssMarket(A1211,"売買代金")</f>
        <v/>
      </c>
      <c r="X1211" s="20" t="str">
        <f>_xll.RssMarket(A1211,"決算発表日")</f>
        <v/>
      </c>
      <c r="Y1211" s="26" t="str">
        <f>IF(C1211&gt;_xll.RssMarket(A1211,"年初来高値"),"○","×")</f>
        <v>×</v>
      </c>
      <c r="Z1211" s="27" t="str">
        <f>IF(C1211&lt;=_xll.RssMarket(A1211,"年初来安値"),"○","×")</f>
        <v>○</v>
      </c>
    </row>
    <row r="1212" spans="2:26" x14ac:dyDescent="0.55000000000000004">
      <c r="B1212" s="20" t="str">
        <f>_xll.RssMarket(A1212,"銘柄名称")</f>
        <v/>
      </c>
      <c r="C1212" s="21" t="str">
        <f>_xll.RssMarket(A1212,"現在値")</f>
        <v/>
      </c>
      <c r="D1212" s="20" t="str">
        <f>_xll.RssMarket(A1212,"現在値詳細時刻")</f>
        <v/>
      </c>
      <c r="E1212" s="22" t="str">
        <f>_xll.RssMarket(A1212,"前日比")</f>
        <v/>
      </c>
      <c r="F1212" s="23" t="e">
        <f>_xll.RssMarket(A1212,"前日比率")/100</f>
        <v>#VALUE!</v>
      </c>
      <c r="G1212" s="24" t="str">
        <f>IFERROR(VLOOKUP(A1212,取得元!$A$2:$F$501,2,FALSE),"-")</f>
        <v>-</v>
      </c>
      <c r="H1212" s="24" t="str">
        <f>IFERROR(VLOOKUP(A1212,取得元!$A$2:$F$501,3,FALSE),"-")</f>
        <v>-</v>
      </c>
      <c r="I1212" s="24" t="str">
        <f>IFERROR(VLOOKUP(A1212,取得元!$A$2:$F$501,4,FALSE),"-")</f>
        <v>-</v>
      </c>
      <c r="J1212" s="5" t="str">
        <f>IFERROR(VLOOKUP(A1212,取得元!$A$2:$F$501,5,FALSE),"-")</f>
        <v>-</v>
      </c>
      <c r="K1212" s="25" t="str">
        <f>IFERROR(VLOOKUP(A1212,取得元!$A$2:$F$501,6,FALSE)/100,"-")</f>
        <v>-</v>
      </c>
      <c r="L1212" s="21" t="str">
        <f>_xll.RssMarket(A1212,"始値")</f>
        <v/>
      </c>
      <c r="M1212" s="4" t="e">
        <f t="shared" si="105"/>
        <v>#VALUE!</v>
      </c>
      <c r="N1212" s="21" t="str">
        <f>_xll.RssMarket(A1212,"高値")</f>
        <v/>
      </c>
      <c r="O1212" s="4" t="e">
        <f t="shared" si="106"/>
        <v>#VALUE!</v>
      </c>
      <c r="P1212" s="21" t="str">
        <f>_xll.RssMarket(A1212,"安値")</f>
        <v/>
      </c>
      <c r="Q1212" s="4" t="e">
        <f t="shared" si="107"/>
        <v>#VALUE!</v>
      </c>
      <c r="R1212" s="21" t="str">
        <f>_xll.RssMarket(A1212,"後場始値")</f>
        <v/>
      </c>
      <c r="S1212" s="25" t="str">
        <f t="shared" si="108"/>
        <v>-</v>
      </c>
      <c r="T1212" s="7" t="str">
        <f>_xll.RssMarket(A1212,"出来高加重平均")</f>
        <v/>
      </c>
      <c r="U1212" s="4" t="e">
        <f t="shared" si="109"/>
        <v>#VALUE!</v>
      </c>
      <c r="V1212" s="21" t="str">
        <f>_xll.RssMarket(A1212,"出来高")</f>
        <v/>
      </c>
      <c r="W1212" s="21" t="str">
        <f>_xll.RssMarket(A1212,"売買代金")</f>
        <v/>
      </c>
      <c r="X1212" s="20" t="str">
        <f>_xll.RssMarket(A1212,"決算発表日")</f>
        <v/>
      </c>
      <c r="Y1212" s="26" t="str">
        <f>IF(C1212&gt;_xll.RssMarket(A1212,"年初来高値"),"○","×")</f>
        <v>×</v>
      </c>
      <c r="Z1212" s="27" t="str">
        <f>IF(C1212&lt;=_xll.RssMarket(A1212,"年初来安値"),"○","×")</f>
        <v>○</v>
      </c>
    </row>
    <row r="1213" spans="2:26" x14ac:dyDescent="0.55000000000000004">
      <c r="B1213" s="20" t="str">
        <f>_xll.RssMarket(A1213,"銘柄名称")</f>
        <v/>
      </c>
      <c r="C1213" s="21" t="str">
        <f>_xll.RssMarket(A1213,"現在値")</f>
        <v/>
      </c>
      <c r="D1213" s="20" t="str">
        <f>_xll.RssMarket(A1213,"現在値詳細時刻")</f>
        <v/>
      </c>
      <c r="E1213" s="22" t="str">
        <f>_xll.RssMarket(A1213,"前日比")</f>
        <v/>
      </c>
      <c r="F1213" s="23" t="e">
        <f>_xll.RssMarket(A1213,"前日比率")/100</f>
        <v>#VALUE!</v>
      </c>
      <c r="G1213" s="24" t="str">
        <f>IFERROR(VLOOKUP(A1213,取得元!$A$2:$F$501,2,FALSE),"-")</f>
        <v>-</v>
      </c>
      <c r="H1213" s="24" t="str">
        <f>IFERROR(VLOOKUP(A1213,取得元!$A$2:$F$501,3,FALSE),"-")</f>
        <v>-</v>
      </c>
      <c r="I1213" s="24" t="str">
        <f>IFERROR(VLOOKUP(A1213,取得元!$A$2:$F$501,4,FALSE),"-")</f>
        <v>-</v>
      </c>
      <c r="J1213" s="5" t="str">
        <f>IFERROR(VLOOKUP(A1213,取得元!$A$2:$F$501,5,FALSE),"-")</f>
        <v>-</v>
      </c>
      <c r="K1213" s="25" t="str">
        <f>IFERROR(VLOOKUP(A1213,取得元!$A$2:$F$501,6,FALSE)/100,"-")</f>
        <v>-</v>
      </c>
      <c r="L1213" s="21" t="str">
        <f>_xll.RssMarket(A1213,"始値")</f>
        <v/>
      </c>
      <c r="M1213" s="4" t="e">
        <f t="shared" si="105"/>
        <v>#VALUE!</v>
      </c>
      <c r="N1213" s="21" t="str">
        <f>_xll.RssMarket(A1213,"高値")</f>
        <v/>
      </c>
      <c r="O1213" s="4" t="e">
        <f t="shared" si="106"/>
        <v>#VALUE!</v>
      </c>
      <c r="P1213" s="21" t="str">
        <f>_xll.RssMarket(A1213,"安値")</f>
        <v/>
      </c>
      <c r="Q1213" s="4" t="e">
        <f t="shared" si="107"/>
        <v>#VALUE!</v>
      </c>
      <c r="R1213" s="21" t="str">
        <f>_xll.RssMarket(A1213,"後場始値")</f>
        <v/>
      </c>
      <c r="S1213" s="25" t="str">
        <f t="shared" si="108"/>
        <v>-</v>
      </c>
      <c r="T1213" s="7" t="str">
        <f>_xll.RssMarket(A1213,"出来高加重平均")</f>
        <v/>
      </c>
      <c r="U1213" s="4" t="e">
        <f t="shared" si="109"/>
        <v>#VALUE!</v>
      </c>
      <c r="V1213" s="21" t="str">
        <f>_xll.RssMarket(A1213,"出来高")</f>
        <v/>
      </c>
      <c r="W1213" s="21" t="str">
        <f>_xll.RssMarket(A1213,"売買代金")</f>
        <v/>
      </c>
      <c r="X1213" s="20" t="str">
        <f>_xll.RssMarket(A1213,"決算発表日")</f>
        <v/>
      </c>
      <c r="Y1213" s="26" t="str">
        <f>IF(C1213&gt;_xll.RssMarket(A1213,"年初来高値"),"○","×")</f>
        <v>×</v>
      </c>
      <c r="Z1213" s="27" t="str">
        <f>IF(C1213&lt;=_xll.RssMarket(A1213,"年初来安値"),"○","×")</f>
        <v>○</v>
      </c>
    </row>
    <row r="1214" spans="2:26" x14ac:dyDescent="0.55000000000000004">
      <c r="B1214" s="20" t="str">
        <f>_xll.RssMarket(A1214,"銘柄名称")</f>
        <v/>
      </c>
      <c r="C1214" s="21" t="str">
        <f>_xll.RssMarket(A1214,"現在値")</f>
        <v/>
      </c>
      <c r="D1214" s="20" t="str">
        <f>_xll.RssMarket(A1214,"現在値詳細時刻")</f>
        <v/>
      </c>
      <c r="E1214" s="22" t="str">
        <f>_xll.RssMarket(A1214,"前日比")</f>
        <v/>
      </c>
      <c r="F1214" s="23" t="e">
        <f>_xll.RssMarket(A1214,"前日比率")/100</f>
        <v>#VALUE!</v>
      </c>
      <c r="G1214" s="24" t="str">
        <f>IFERROR(VLOOKUP(A1214,取得元!$A$2:$F$501,2,FALSE),"-")</f>
        <v>-</v>
      </c>
      <c r="H1214" s="24" t="str">
        <f>IFERROR(VLOOKUP(A1214,取得元!$A$2:$F$501,3,FALSE),"-")</f>
        <v>-</v>
      </c>
      <c r="I1214" s="24" t="str">
        <f>IFERROR(VLOOKUP(A1214,取得元!$A$2:$F$501,4,FALSE),"-")</f>
        <v>-</v>
      </c>
      <c r="J1214" s="5" t="str">
        <f>IFERROR(VLOOKUP(A1214,取得元!$A$2:$F$501,5,FALSE),"-")</f>
        <v>-</v>
      </c>
      <c r="K1214" s="25" t="str">
        <f>IFERROR(VLOOKUP(A1214,取得元!$A$2:$F$501,6,FALSE)/100,"-")</f>
        <v>-</v>
      </c>
      <c r="L1214" s="21" t="str">
        <f>_xll.RssMarket(A1214,"始値")</f>
        <v/>
      </c>
      <c r="M1214" s="4" t="e">
        <f t="shared" si="105"/>
        <v>#VALUE!</v>
      </c>
      <c r="N1214" s="21" t="str">
        <f>_xll.RssMarket(A1214,"高値")</f>
        <v/>
      </c>
      <c r="O1214" s="4" t="e">
        <f t="shared" si="106"/>
        <v>#VALUE!</v>
      </c>
      <c r="P1214" s="21" t="str">
        <f>_xll.RssMarket(A1214,"安値")</f>
        <v/>
      </c>
      <c r="Q1214" s="4" t="e">
        <f t="shared" si="107"/>
        <v>#VALUE!</v>
      </c>
      <c r="R1214" s="21" t="str">
        <f>_xll.RssMarket(A1214,"後場始値")</f>
        <v/>
      </c>
      <c r="S1214" s="25" t="str">
        <f t="shared" si="108"/>
        <v>-</v>
      </c>
      <c r="T1214" s="7" t="str">
        <f>_xll.RssMarket(A1214,"出来高加重平均")</f>
        <v/>
      </c>
      <c r="U1214" s="4" t="e">
        <f t="shared" si="109"/>
        <v>#VALUE!</v>
      </c>
      <c r="V1214" s="21" t="str">
        <f>_xll.RssMarket(A1214,"出来高")</f>
        <v/>
      </c>
      <c r="W1214" s="21" t="str">
        <f>_xll.RssMarket(A1214,"売買代金")</f>
        <v/>
      </c>
      <c r="X1214" s="20" t="str">
        <f>_xll.RssMarket(A1214,"決算発表日")</f>
        <v/>
      </c>
      <c r="Y1214" s="26" t="str">
        <f>IF(C1214&gt;_xll.RssMarket(A1214,"年初来高値"),"○","×")</f>
        <v>×</v>
      </c>
      <c r="Z1214" s="27" t="str">
        <f>IF(C1214&lt;=_xll.RssMarket(A1214,"年初来安値"),"○","×")</f>
        <v>○</v>
      </c>
    </row>
    <row r="1215" spans="2:26" x14ac:dyDescent="0.55000000000000004">
      <c r="B1215" s="20" t="str">
        <f>_xll.RssMarket(A1215,"銘柄名称")</f>
        <v/>
      </c>
      <c r="C1215" s="21" t="str">
        <f>_xll.RssMarket(A1215,"現在値")</f>
        <v/>
      </c>
      <c r="D1215" s="20" t="str">
        <f>_xll.RssMarket(A1215,"現在値詳細時刻")</f>
        <v/>
      </c>
      <c r="E1215" s="22" t="str">
        <f>_xll.RssMarket(A1215,"前日比")</f>
        <v/>
      </c>
      <c r="F1215" s="23" t="e">
        <f>_xll.RssMarket(A1215,"前日比率")/100</f>
        <v>#VALUE!</v>
      </c>
      <c r="G1215" s="24" t="str">
        <f>IFERROR(VLOOKUP(A1215,取得元!$A$2:$F$501,2,FALSE),"-")</f>
        <v>-</v>
      </c>
      <c r="H1215" s="24" t="str">
        <f>IFERROR(VLOOKUP(A1215,取得元!$A$2:$F$501,3,FALSE),"-")</f>
        <v>-</v>
      </c>
      <c r="I1215" s="24" t="str">
        <f>IFERROR(VLOOKUP(A1215,取得元!$A$2:$F$501,4,FALSE),"-")</f>
        <v>-</v>
      </c>
      <c r="J1215" s="5" t="str">
        <f>IFERROR(VLOOKUP(A1215,取得元!$A$2:$F$501,5,FALSE),"-")</f>
        <v>-</v>
      </c>
      <c r="K1215" s="25" t="str">
        <f>IFERROR(VLOOKUP(A1215,取得元!$A$2:$F$501,6,FALSE)/100,"-")</f>
        <v>-</v>
      </c>
      <c r="L1215" s="21" t="str">
        <f>_xll.RssMarket(A1215,"始値")</f>
        <v/>
      </c>
      <c r="M1215" s="4" t="e">
        <f t="shared" si="105"/>
        <v>#VALUE!</v>
      </c>
      <c r="N1215" s="21" t="str">
        <f>_xll.RssMarket(A1215,"高値")</f>
        <v/>
      </c>
      <c r="O1215" s="4" t="e">
        <f t="shared" si="106"/>
        <v>#VALUE!</v>
      </c>
      <c r="P1215" s="21" t="str">
        <f>_xll.RssMarket(A1215,"安値")</f>
        <v/>
      </c>
      <c r="Q1215" s="4" t="e">
        <f t="shared" si="107"/>
        <v>#VALUE!</v>
      </c>
      <c r="R1215" s="21" t="str">
        <f>_xll.RssMarket(A1215,"後場始値")</f>
        <v/>
      </c>
      <c r="S1215" s="25" t="str">
        <f t="shared" si="108"/>
        <v>-</v>
      </c>
      <c r="T1215" s="7" t="str">
        <f>_xll.RssMarket(A1215,"出来高加重平均")</f>
        <v/>
      </c>
      <c r="U1215" s="4" t="e">
        <f t="shared" si="109"/>
        <v>#VALUE!</v>
      </c>
      <c r="V1215" s="21" t="str">
        <f>_xll.RssMarket(A1215,"出来高")</f>
        <v/>
      </c>
      <c r="W1215" s="21" t="str">
        <f>_xll.RssMarket(A1215,"売買代金")</f>
        <v/>
      </c>
      <c r="X1215" s="20" t="str">
        <f>_xll.RssMarket(A1215,"決算発表日")</f>
        <v/>
      </c>
      <c r="Y1215" s="26" t="str">
        <f>IF(C1215&gt;_xll.RssMarket(A1215,"年初来高値"),"○","×")</f>
        <v>×</v>
      </c>
      <c r="Z1215" s="27" t="str">
        <f>IF(C1215&lt;=_xll.RssMarket(A1215,"年初来安値"),"○","×")</f>
        <v>○</v>
      </c>
    </row>
    <row r="1216" spans="2:26" x14ac:dyDescent="0.55000000000000004">
      <c r="B1216" s="20" t="str">
        <f>_xll.RssMarket(A1216,"銘柄名称")</f>
        <v/>
      </c>
      <c r="C1216" s="21" t="str">
        <f>_xll.RssMarket(A1216,"現在値")</f>
        <v/>
      </c>
      <c r="D1216" s="20" t="str">
        <f>_xll.RssMarket(A1216,"現在値詳細時刻")</f>
        <v/>
      </c>
      <c r="E1216" s="22" t="str">
        <f>_xll.RssMarket(A1216,"前日比")</f>
        <v/>
      </c>
      <c r="F1216" s="23" t="e">
        <f>_xll.RssMarket(A1216,"前日比率")/100</f>
        <v>#VALUE!</v>
      </c>
      <c r="G1216" s="24" t="str">
        <f>IFERROR(VLOOKUP(A1216,取得元!$A$2:$F$501,2,FALSE),"-")</f>
        <v>-</v>
      </c>
      <c r="H1216" s="24" t="str">
        <f>IFERROR(VLOOKUP(A1216,取得元!$A$2:$F$501,3,FALSE),"-")</f>
        <v>-</v>
      </c>
      <c r="I1216" s="24" t="str">
        <f>IFERROR(VLOOKUP(A1216,取得元!$A$2:$F$501,4,FALSE),"-")</f>
        <v>-</v>
      </c>
      <c r="J1216" s="5" t="str">
        <f>IFERROR(VLOOKUP(A1216,取得元!$A$2:$F$501,5,FALSE),"-")</f>
        <v>-</v>
      </c>
      <c r="K1216" s="25" t="str">
        <f>IFERROR(VLOOKUP(A1216,取得元!$A$2:$F$501,6,FALSE)/100,"-")</f>
        <v>-</v>
      </c>
      <c r="L1216" s="21" t="str">
        <f>_xll.RssMarket(A1216,"始値")</f>
        <v/>
      </c>
      <c r="M1216" s="4" t="e">
        <f t="shared" si="105"/>
        <v>#VALUE!</v>
      </c>
      <c r="N1216" s="21" t="str">
        <f>_xll.RssMarket(A1216,"高値")</f>
        <v/>
      </c>
      <c r="O1216" s="4" t="e">
        <f t="shared" si="106"/>
        <v>#VALUE!</v>
      </c>
      <c r="P1216" s="21" t="str">
        <f>_xll.RssMarket(A1216,"安値")</f>
        <v/>
      </c>
      <c r="Q1216" s="4" t="e">
        <f t="shared" si="107"/>
        <v>#VALUE!</v>
      </c>
      <c r="R1216" s="21" t="str">
        <f>_xll.RssMarket(A1216,"後場始値")</f>
        <v/>
      </c>
      <c r="S1216" s="25" t="str">
        <f t="shared" si="108"/>
        <v>-</v>
      </c>
      <c r="T1216" s="7" t="str">
        <f>_xll.RssMarket(A1216,"出来高加重平均")</f>
        <v/>
      </c>
      <c r="U1216" s="4" t="e">
        <f t="shared" si="109"/>
        <v>#VALUE!</v>
      </c>
      <c r="V1216" s="21" t="str">
        <f>_xll.RssMarket(A1216,"出来高")</f>
        <v/>
      </c>
      <c r="W1216" s="21" t="str">
        <f>_xll.RssMarket(A1216,"売買代金")</f>
        <v/>
      </c>
      <c r="X1216" s="20" t="str">
        <f>_xll.RssMarket(A1216,"決算発表日")</f>
        <v/>
      </c>
      <c r="Y1216" s="26" t="str">
        <f>IF(C1216&gt;_xll.RssMarket(A1216,"年初来高値"),"○","×")</f>
        <v>×</v>
      </c>
      <c r="Z1216" s="27" t="str">
        <f>IF(C1216&lt;=_xll.RssMarket(A1216,"年初来安値"),"○","×")</f>
        <v>○</v>
      </c>
    </row>
    <row r="1217" spans="2:26" x14ac:dyDescent="0.55000000000000004">
      <c r="B1217" s="20" t="str">
        <f>_xll.RssMarket(A1217,"銘柄名称")</f>
        <v/>
      </c>
      <c r="C1217" s="21" t="str">
        <f>_xll.RssMarket(A1217,"現在値")</f>
        <v/>
      </c>
      <c r="D1217" s="20" t="str">
        <f>_xll.RssMarket(A1217,"現在値詳細時刻")</f>
        <v/>
      </c>
      <c r="E1217" s="22" t="str">
        <f>_xll.RssMarket(A1217,"前日比")</f>
        <v/>
      </c>
      <c r="F1217" s="23" t="e">
        <f>_xll.RssMarket(A1217,"前日比率")/100</f>
        <v>#VALUE!</v>
      </c>
      <c r="G1217" s="24" t="str">
        <f>IFERROR(VLOOKUP(A1217,取得元!$A$2:$F$501,2,FALSE),"-")</f>
        <v>-</v>
      </c>
      <c r="H1217" s="24" t="str">
        <f>IFERROR(VLOOKUP(A1217,取得元!$A$2:$F$501,3,FALSE),"-")</f>
        <v>-</v>
      </c>
      <c r="I1217" s="24" t="str">
        <f>IFERROR(VLOOKUP(A1217,取得元!$A$2:$F$501,4,FALSE),"-")</f>
        <v>-</v>
      </c>
      <c r="J1217" s="5" t="str">
        <f>IFERROR(VLOOKUP(A1217,取得元!$A$2:$F$501,5,FALSE),"-")</f>
        <v>-</v>
      </c>
      <c r="K1217" s="25" t="str">
        <f>IFERROR(VLOOKUP(A1217,取得元!$A$2:$F$501,6,FALSE)/100,"-")</f>
        <v>-</v>
      </c>
      <c r="L1217" s="21" t="str">
        <f>_xll.RssMarket(A1217,"始値")</f>
        <v/>
      </c>
      <c r="M1217" s="4" t="e">
        <f t="shared" si="105"/>
        <v>#VALUE!</v>
      </c>
      <c r="N1217" s="21" t="str">
        <f>_xll.RssMarket(A1217,"高値")</f>
        <v/>
      </c>
      <c r="O1217" s="4" t="e">
        <f t="shared" si="106"/>
        <v>#VALUE!</v>
      </c>
      <c r="P1217" s="21" t="str">
        <f>_xll.RssMarket(A1217,"安値")</f>
        <v/>
      </c>
      <c r="Q1217" s="4" t="e">
        <f t="shared" si="107"/>
        <v>#VALUE!</v>
      </c>
      <c r="R1217" s="21" t="str">
        <f>_xll.RssMarket(A1217,"後場始値")</f>
        <v/>
      </c>
      <c r="S1217" s="25" t="str">
        <f t="shared" si="108"/>
        <v>-</v>
      </c>
      <c r="T1217" s="7" t="str">
        <f>_xll.RssMarket(A1217,"出来高加重平均")</f>
        <v/>
      </c>
      <c r="U1217" s="4" t="e">
        <f t="shared" si="109"/>
        <v>#VALUE!</v>
      </c>
      <c r="V1217" s="21" t="str">
        <f>_xll.RssMarket(A1217,"出来高")</f>
        <v/>
      </c>
      <c r="W1217" s="21" t="str">
        <f>_xll.RssMarket(A1217,"売買代金")</f>
        <v/>
      </c>
      <c r="X1217" s="20" t="str">
        <f>_xll.RssMarket(A1217,"決算発表日")</f>
        <v/>
      </c>
      <c r="Y1217" s="26" t="str">
        <f>IF(C1217&gt;_xll.RssMarket(A1217,"年初来高値"),"○","×")</f>
        <v>×</v>
      </c>
      <c r="Z1217" s="27" t="str">
        <f>IF(C1217&lt;=_xll.RssMarket(A1217,"年初来安値"),"○","×")</f>
        <v>○</v>
      </c>
    </row>
    <row r="1218" spans="2:26" x14ac:dyDescent="0.55000000000000004">
      <c r="B1218" s="20" t="str">
        <f>_xll.RssMarket(A1218,"銘柄名称")</f>
        <v/>
      </c>
      <c r="C1218" s="21" t="str">
        <f>_xll.RssMarket(A1218,"現在値")</f>
        <v/>
      </c>
      <c r="D1218" s="20" t="str">
        <f>_xll.RssMarket(A1218,"現在値詳細時刻")</f>
        <v/>
      </c>
      <c r="E1218" s="22" t="str">
        <f>_xll.RssMarket(A1218,"前日比")</f>
        <v/>
      </c>
      <c r="F1218" s="23" t="e">
        <f>_xll.RssMarket(A1218,"前日比率")/100</f>
        <v>#VALUE!</v>
      </c>
      <c r="G1218" s="24" t="str">
        <f>IFERROR(VLOOKUP(A1218,取得元!$A$2:$F$501,2,FALSE),"-")</f>
        <v>-</v>
      </c>
      <c r="H1218" s="24" t="str">
        <f>IFERROR(VLOOKUP(A1218,取得元!$A$2:$F$501,3,FALSE),"-")</f>
        <v>-</v>
      </c>
      <c r="I1218" s="24" t="str">
        <f>IFERROR(VLOOKUP(A1218,取得元!$A$2:$F$501,4,FALSE),"-")</f>
        <v>-</v>
      </c>
      <c r="J1218" s="5" t="str">
        <f>IFERROR(VLOOKUP(A1218,取得元!$A$2:$F$501,5,FALSE),"-")</f>
        <v>-</v>
      </c>
      <c r="K1218" s="25" t="str">
        <f>IFERROR(VLOOKUP(A1218,取得元!$A$2:$F$501,6,FALSE)/100,"-")</f>
        <v>-</v>
      </c>
      <c r="L1218" s="21" t="str">
        <f>_xll.RssMarket(A1218,"始値")</f>
        <v/>
      </c>
      <c r="M1218" s="4" t="e">
        <f t="shared" si="105"/>
        <v>#VALUE!</v>
      </c>
      <c r="N1218" s="21" t="str">
        <f>_xll.RssMarket(A1218,"高値")</f>
        <v/>
      </c>
      <c r="O1218" s="4" t="e">
        <f t="shared" si="106"/>
        <v>#VALUE!</v>
      </c>
      <c r="P1218" s="21" t="str">
        <f>_xll.RssMarket(A1218,"安値")</f>
        <v/>
      </c>
      <c r="Q1218" s="4" t="e">
        <f t="shared" si="107"/>
        <v>#VALUE!</v>
      </c>
      <c r="R1218" s="21" t="str">
        <f>_xll.RssMarket(A1218,"後場始値")</f>
        <v/>
      </c>
      <c r="S1218" s="25" t="str">
        <f t="shared" si="108"/>
        <v>-</v>
      </c>
      <c r="T1218" s="7" t="str">
        <f>_xll.RssMarket(A1218,"出来高加重平均")</f>
        <v/>
      </c>
      <c r="U1218" s="4" t="e">
        <f t="shared" si="109"/>
        <v>#VALUE!</v>
      </c>
      <c r="V1218" s="21" t="str">
        <f>_xll.RssMarket(A1218,"出来高")</f>
        <v/>
      </c>
      <c r="W1218" s="21" t="str">
        <f>_xll.RssMarket(A1218,"売買代金")</f>
        <v/>
      </c>
      <c r="X1218" s="20" t="str">
        <f>_xll.RssMarket(A1218,"決算発表日")</f>
        <v/>
      </c>
      <c r="Y1218" s="26" t="str">
        <f>IF(C1218&gt;_xll.RssMarket(A1218,"年初来高値"),"○","×")</f>
        <v>×</v>
      </c>
      <c r="Z1218" s="27" t="str">
        <f>IF(C1218&lt;=_xll.RssMarket(A1218,"年初来安値"),"○","×")</f>
        <v>○</v>
      </c>
    </row>
    <row r="1219" spans="2:26" x14ac:dyDescent="0.55000000000000004">
      <c r="B1219" s="20" t="str">
        <f>_xll.RssMarket(A1219,"銘柄名称")</f>
        <v/>
      </c>
      <c r="C1219" s="21" t="str">
        <f>_xll.RssMarket(A1219,"現在値")</f>
        <v/>
      </c>
      <c r="D1219" s="20" t="str">
        <f>_xll.RssMarket(A1219,"現在値詳細時刻")</f>
        <v/>
      </c>
      <c r="E1219" s="22" t="str">
        <f>_xll.RssMarket(A1219,"前日比")</f>
        <v/>
      </c>
      <c r="F1219" s="23" t="e">
        <f>_xll.RssMarket(A1219,"前日比率")/100</f>
        <v>#VALUE!</v>
      </c>
      <c r="G1219" s="24" t="str">
        <f>IFERROR(VLOOKUP(A1219,取得元!$A$2:$F$501,2,FALSE),"-")</f>
        <v>-</v>
      </c>
      <c r="H1219" s="24" t="str">
        <f>IFERROR(VLOOKUP(A1219,取得元!$A$2:$F$501,3,FALSE),"-")</f>
        <v>-</v>
      </c>
      <c r="I1219" s="24" t="str">
        <f>IFERROR(VLOOKUP(A1219,取得元!$A$2:$F$501,4,FALSE),"-")</f>
        <v>-</v>
      </c>
      <c r="J1219" s="5" t="str">
        <f>IFERROR(VLOOKUP(A1219,取得元!$A$2:$F$501,5,FALSE),"-")</f>
        <v>-</v>
      </c>
      <c r="K1219" s="25" t="str">
        <f>IFERROR(VLOOKUP(A1219,取得元!$A$2:$F$501,6,FALSE)/100,"-")</f>
        <v>-</v>
      </c>
      <c r="L1219" s="21" t="str">
        <f>_xll.RssMarket(A1219,"始値")</f>
        <v/>
      </c>
      <c r="M1219" s="4" t="e">
        <f t="shared" si="105"/>
        <v>#VALUE!</v>
      </c>
      <c r="N1219" s="21" t="str">
        <f>_xll.RssMarket(A1219,"高値")</f>
        <v/>
      </c>
      <c r="O1219" s="4" t="e">
        <f t="shared" si="106"/>
        <v>#VALUE!</v>
      </c>
      <c r="P1219" s="21" t="str">
        <f>_xll.RssMarket(A1219,"安値")</f>
        <v/>
      </c>
      <c r="Q1219" s="4" t="e">
        <f t="shared" si="107"/>
        <v>#VALUE!</v>
      </c>
      <c r="R1219" s="21" t="str">
        <f>_xll.RssMarket(A1219,"後場始値")</f>
        <v/>
      </c>
      <c r="S1219" s="25" t="str">
        <f t="shared" si="108"/>
        <v>-</v>
      </c>
      <c r="T1219" s="7" t="str">
        <f>_xll.RssMarket(A1219,"出来高加重平均")</f>
        <v/>
      </c>
      <c r="U1219" s="4" t="e">
        <f t="shared" si="109"/>
        <v>#VALUE!</v>
      </c>
      <c r="V1219" s="21" t="str">
        <f>_xll.RssMarket(A1219,"出来高")</f>
        <v/>
      </c>
      <c r="W1219" s="21" t="str">
        <f>_xll.RssMarket(A1219,"売買代金")</f>
        <v/>
      </c>
      <c r="X1219" s="20" t="str">
        <f>_xll.RssMarket(A1219,"決算発表日")</f>
        <v/>
      </c>
      <c r="Y1219" s="26" t="str">
        <f>IF(C1219&gt;_xll.RssMarket(A1219,"年初来高値"),"○","×")</f>
        <v>×</v>
      </c>
      <c r="Z1219" s="27" t="str">
        <f>IF(C1219&lt;=_xll.RssMarket(A1219,"年初来安値"),"○","×")</f>
        <v>○</v>
      </c>
    </row>
    <row r="1220" spans="2:26" x14ac:dyDescent="0.55000000000000004">
      <c r="B1220" s="20" t="str">
        <f>_xll.RssMarket(A1220,"銘柄名称")</f>
        <v/>
      </c>
      <c r="C1220" s="21" t="str">
        <f>_xll.RssMarket(A1220,"現在値")</f>
        <v/>
      </c>
      <c r="D1220" s="20" t="str">
        <f>_xll.RssMarket(A1220,"現在値詳細時刻")</f>
        <v/>
      </c>
      <c r="E1220" s="22" t="str">
        <f>_xll.RssMarket(A1220,"前日比")</f>
        <v/>
      </c>
      <c r="F1220" s="23" t="e">
        <f>_xll.RssMarket(A1220,"前日比率")/100</f>
        <v>#VALUE!</v>
      </c>
      <c r="G1220" s="24" t="str">
        <f>IFERROR(VLOOKUP(A1220,取得元!$A$2:$F$501,2,FALSE),"-")</f>
        <v>-</v>
      </c>
      <c r="H1220" s="24" t="str">
        <f>IFERROR(VLOOKUP(A1220,取得元!$A$2:$F$501,3,FALSE),"-")</f>
        <v>-</v>
      </c>
      <c r="I1220" s="24" t="str">
        <f>IFERROR(VLOOKUP(A1220,取得元!$A$2:$F$501,4,FALSE),"-")</f>
        <v>-</v>
      </c>
      <c r="J1220" s="5" t="str">
        <f>IFERROR(VLOOKUP(A1220,取得元!$A$2:$F$501,5,FALSE),"-")</f>
        <v>-</v>
      </c>
      <c r="K1220" s="25" t="str">
        <f>IFERROR(VLOOKUP(A1220,取得元!$A$2:$F$501,6,FALSE)/100,"-")</f>
        <v>-</v>
      </c>
      <c r="L1220" s="21" t="str">
        <f>_xll.RssMarket(A1220,"始値")</f>
        <v/>
      </c>
      <c r="M1220" s="4" t="e">
        <f t="shared" si="105"/>
        <v>#VALUE!</v>
      </c>
      <c r="N1220" s="21" t="str">
        <f>_xll.RssMarket(A1220,"高値")</f>
        <v/>
      </c>
      <c r="O1220" s="4" t="e">
        <f t="shared" si="106"/>
        <v>#VALUE!</v>
      </c>
      <c r="P1220" s="21" t="str">
        <f>_xll.RssMarket(A1220,"安値")</f>
        <v/>
      </c>
      <c r="Q1220" s="4" t="e">
        <f t="shared" si="107"/>
        <v>#VALUE!</v>
      </c>
      <c r="R1220" s="21" t="str">
        <f>_xll.RssMarket(A1220,"後場始値")</f>
        <v/>
      </c>
      <c r="S1220" s="25" t="str">
        <f t="shared" si="108"/>
        <v>-</v>
      </c>
      <c r="T1220" s="7" t="str">
        <f>_xll.RssMarket(A1220,"出来高加重平均")</f>
        <v/>
      </c>
      <c r="U1220" s="4" t="e">
        <f t="shared" si="109"/>
        <v>#VALUE!</v>
      </c>
      <c r="V1220" s="21" t="str">
        <f>_xll.RssMarket(A1220,"出来高")</f>
        <v/>
      </c>
      <c r="W1220" s="21" t="str">
        <f>_xll.RssMarket(A1220,"売買代金")</f>
        <v/>
      </c>
      <c r="X1220" s="20" t="str">
        <f>_xll.RssMarket(A1220,"決算発表日")</f>
        <v/>
      </c>
      <c r="Y1220" s="26" t="str">
        <f>IF(C1220&gt;_xll.RssMarket(A1220,"年初来高値"),"○","×")</f>
        <v>×</v>
      </c>
      <c r="Z1220" s="27" t="str">
        <f>IF(C1220&lt;=_xll.RssMarket(A1220,"年初来安値"),"○","×")</f>
        <v>○</v>
      </c>
    </row>
    <row r="1221" spans="2:26" x14ac:dyDescent="0.55000000000000004">
      <c r="B1221" s="20" t="str">
        <f>_xll.RssMarket(A1221,"銘柄名称")</f>
        <v/>
      </c>
      <c r="C1221" s="21" t="str">
        <f>_xll.RssMarket(A1221,"現在値")</f>
        <v/>
      </c>
      <c r="D1221" s="20" t="str">
        <f>_xll.RssMarket(A1221,"現在値詳細時刻")</f>
        <v/>
      </c>
      <c r="E1221" s="22" t="str">
        <f>_xll.RssMarket(A1221,"前日比")</f>
        <v/>
      </c>
      <c r="F1221" s="23" t="e">
        <f>_xll.RssMarket(A1221,"前日比率")/100</f>
        <v>#VALUE!</v>
      </c>
      <c r="G1221" s="24" t="str">
        <f>IFERROR(VLOOKUP(A1221,取得元!$A$2:$F$501,2,FALSE),"-")</f>
        <v>-</v>
      </c>
      <c r="H1221" s="24" t="str">
        <f>IFERROR(VLOOKUP(A1221,取得元!$A$2:$F$501,3,FALSE),"-")</f>
        <v>-</v>
      </c>
      <c r="I1221" s="24" t="str">
        <f>IFERROR(VLOOKUP(A1221,取得元!$A$2:$F$501,4,FALSE),"-")</f>
        <v>-</v>
      </c>
      <c r="J1221" s="5" t="str">
        <f>IFERROR(VLOOKUP(A1221,取得元!$A$2:$F$501,5,FALSE),"-")</f>
        <v>-</v>
      </c>
      <c r="K1221" s="25" t="str">
        <f>IFERROR(VLOOKUP(A1221,取得元!$A$2:$F$501,6,FALSE)/100,"-")</f>
        <v>-</v>
      </c>
      <c r="L1221" s="21" t="str">
        <f>_xll.RssMarket(A1221,"始値")</f>
        <v/>
      </c>
      <c r="M1221" s="4" t="e">
        <f t="shared" si="105"/>
        <v>#VALUE!</v>
      </c>
      <c r="N1221" s="21" t="str">
        <f>_xll.RssMarket(A1221,"高値")</f>
        <v/>
      </c>
      <c r="O1221" s="4" t="e">
        <f t="shared" si="106"/>
        <v>#VALUE!</v>
      </c>
      <c r="P1221" s="21" t="str">
        <f>_xll.RssMarket(A1221,"安値")</f>
        <v/>
      </c>
      <c r="Q1221" s="4" t="e">
        <f t="shared" si="107"/>
        <v>#VALUE!</v>
      </c>
      <c r="R1221" s="21" t="str">
        <f>_xll.RssMarket(A1221,"後場始値")</f>
        <v/>
      </c>
      <c r="S1221" s="25" t="str">
        <f t="shared" si="108"/>
        <v>-</v>
      </c>
      <c r="T1221" s="7" t="str">
        <f>_xll.RssMarket(A1221,"出来高加重平均")</f>
        <v/>
      </c>
      <c r="U1221" s="4" t="e">
        <f t="shared" si="109"/>
        <v>#VALUE!</v>
      </c>
      <c r="V1221" s="21" t="str">
        <f>_xll.RssMarket(A1221,"出来高")</f>
        <v/>
      </c>
      <c r="W1221" s="21" t="str">
        <f>_xll.RssMarket(A1221,"売買代金")</f>
        <v/>
      </c>
      <c r="X1221" s="20" t="str">
        <f>_xll.RssMarket(A1221,"決算発表日")</f>
        <v/>
      </c>
      <c r="Y1221" s="26" t="str">
        <f>IF(C1221&gt;_xll.RssMarket(A1221,"年初来高値"),"○","×")</f>
        <v>×</v>
      </c>
      <c r="Z1221" s="27" t="str">
        <f>IF(C1221&lt;=_xll.RssMarket(A1221,"年初来安値"),"○","×")</f>
        <v>○</v>
      </c>
    </row>
    <row r="1222" spans="2:26" x14ac:dyDescent="0.55000000000000004">
      <c r="B1222" s="20" t="str">
        <f>_xll.RssMarket(A1222,"銘柄名称")</f>
        <v/>
      </c>
      <c r="C1222" s="21" t="str">
        <f>_xll.RssMarket(A1222,"現在値")</f>
        <v/>
      </c>
      <c r="D1222" s="20" t="str">
        <f>_xll.RssMarket(A1222,"現在値詳細時刻")</f>
        <v/>
      </c>
      <c r="E1222" s="22" t="str">
        <f>_xll.RssMarket(A1222,"前日比")</f>
        <v/>
      </c>
      <c r="F1222" s="23" t="e">
        <f>_xll.RssMarket(A1222,"前日比率")/100</f>
        <v>#VALUE!</v>
      </c>
      <c r="G1222" s="24" t="str">
        <f>IFERROR(VLOOKUP(A1222,取得元!$A$2:$F$501,2,FALSE),"-")</f>
        <v>-</v>
      </c>
      <c r="H1222" s="24" t="str">
        <f>IFERROR(VLOOKUP(A1222,取得元!$A$2:$F$501,3,FALSE),"-")</f>
        <v>-</v>
      </c>
      <c r="I1222" s="24" t="str">
        <f>IFERROR(VLOOKUP(A1222,取得元!$A$2:$F$501,4,FALSE),"-")</f>
        <v>-</v>
      </c>
      <c r="J1222" s="5" t="str">
        <f>IFERROR(VLOOKUP(A1222,取得元!$A$2:$F$501,5,FALSE),"-")</f>
        <v>-</v>
      </c>
      <c r="K1222" s="25" t="str">
        <f>IFERROR(VLOOKUP(A1222,取得元!$A$2:$F$501,6,FALSE)/100,"-")</f>
        <v>-</v>
      </c>
      <c r="L1222" s="21" t="str">
        <f>_xll.RssMarket(A1222,"始値")</f>
        <v/>
      </c>
      <c r="M1222" s="4" t="e">
        <f t="shared" si="105"/>
        <v>#VALUE!</v>
      </c>
      <c r="N1222" s="21" t="str">
        <f>_xll.RssMarket(A1222,"高値")</f>
        <v/>
      </c>
      <c r="O1222" s="4" t="e">
        <f t="shared" si="106"/>
        <v>#VALUE!</v>
      </c>
      <c r="P1222" s="21" t="str">
        <f>_xll.RssMarket(A1222,"安値")</f>
        <v/>
      </c>
      <c r="Q1222" s="4" t="e">
        <f t="shared" si="107"/>
        <v>#VALUE!</v>
      </c>
      <c r="R1222" s="21" t="str">
        <f>_xll.RssMarket(A1222,"後場始値")</f>
        <v/>
      </c>
      <c r="S1222" s="25" t="str">
        <f t="shared" si="108"/>
        <v>-</v>
      </c>
      <c r="T1222" s="7" t="str">
        <f>_xll.RssMarket(A1222,"出来高加重平均")</f>
        <v/>
      </c>
      <c r="U1222" s="4" t="e">
        <f t="shared" si="109"/>
        <v>#VALUE!</v>
      </c>
      <c r="V1222" s="21" t="str">
        <f>_xll.RssMarket(A1222,"出来高")</f>
        <v/>
      </c>
      <c r="W1222" s="21" t="str">
        <f>_xll.RssMarket(A1222,"売買代金")</f>
        <v/>
      </c>
      <c r="X1222" s="20" t="str">
        <f>_xll.RssMarket(A1222,"決算発表日")</f>
        <v/>
      </c>
      <c r="Y1222" s="26" t="str">
        <f>IF(C1222&gt;_xll.RssMarket(A1222,"年初来高値"),"○","×")</f>
        <v>×</v>
      </c>
      <c r="Z1222" s="27" t="str">
        <f>IF(C1222&lt;=_xll.RssMarket(A1222,"年初来安値"),"○","×")</f>
        <v>○</v>
      </c>
    </row>
    <row r="1223" spans="2:26" x14ac:dyDescent="0.55000000000000004">
      <c r="B1223" s="20" t="str">
        <f>_xll.RssMarket(A1223,"銘柄名称")</f>
        <v/>
      </c>
      <c r="C1223" s="21" t="str">
        <f>_xll.RssMarket(A1223,"現在値")</f>
        <v/>
      </c>
      <c r="D1223" s="20" t="str">
        <f>_xll.RssMarket(A1223,"現在値詳細時刻")</f>
        <v/>
      </c>
      <c r="E1223" s="22" t="str">
        <f>_xll.RssMarket(A1223,"前日比")</f>
        <v/>
      </c>
      <c r="F1223" s="23" t="e">
        <f>_xll.RssMarket(A1223,"前日比率")/100</f>
        <v>#VALUE!</v>
      </c>
      <c r="G1223" s="24" t="str">
        <f>IFERROR(VLOOKUP(A1223,取得元!$A$2:$F$501,2,FALSE),"-")</f>
        <v>-</v>
      </c>
      <c r="H1223" s="24" t="str">
        <f>IFERROR(VLOOKUP(A1223,取得元!$A$2:$F$501,3,FALSE),"-")</f>
        <v>-</v>
      </c>
      <c r="I1223" s="24" t="str">
        <f>IFERROR(VLOOKUP(A1223,取得元!$A$2:$F$501,4,FALSE),"-")</f>
        <v>-</v>
      </c>
      <c r="J1223" s="5" t="str">
        <f>IFERROR(VLOOKUP(A1223,取得元!$A$2:$F$501,5,FALSE),"-")</f>
        <v>-</v>
      </c>
      <c r="K1223" s="25" t="str">
        <f>IFERROR(VLOOKUP(A1223,取得元!$A$2:$F$501,6,FALSE)/100,"-")</f>
        <v>-</v>
      </c>
      <c r="L1223" s="21" t="str">
        <f>_xll.RssMarket(A1223,"始値")</f>
        <v/>
      </c>
      <c r="M1223" s="4" t="e">
        <f t="shared" si="105"/>
        <v>#VALUE!</v>
      </c>
      <c r="N1223" s="21" t="str">
        <f>_xll.RssMarket(A1223,"高値")</f>
        <v/>
      </c>
      <c r="O1223" s="4" t="e">
        <f t="shared" si="106"/>
        <v>#VALUE!</v>
      </c>
      <c r="P1223" s="21" t="str">
        <f>_xll.RssMarket(A1223,"安値")</f>
        <v/>
      </c>
      <c r="Q1223" s="4" t="e">
        <f t="shared" si="107"/>
        <v>#VALUE!</v>
      </c>
      <c r="R1223" s="21" t="str">
        <f>_xll.RssMarket(A1223,"後場始値")</f>
        <v/>
      </c>
      <c r="S1223" s="25" t="str">
        <f t="shared" si="108"/>
        <v>-</v>
      </c>
      <c r="T1223" s="7" t="str">
        <f>_xll.RssMarket(A1223,"出来高加重平均")</f>
        <v/>
      </c>
      <c r="U1223" s="4" t="e">
        <f t="shared" si="109"/>
        <v>#VALUE!</v>
      </c>
      <c r="V1223" s="21" t="str">
        <f>_xll.RssMarket(A1223,"出来高")</f>
        <v/>
      </c>
      <c r="W1223" s="21" t="str">
        <f>_xll.RssMarket(A1223,"売買代金")</f>
        <v/>
      </c>
      <c r="X1223" s="20" t="str">
        <f>_xll.RssMarket(A1223,"決算発表日")</f>
        <v/>
      </c>
      <c r="Y1223" s="26" t="str">
        <f>IF(C1223&gt;_xll.RssMarket(A1223,"年初来高値"),"○","×")</f>
        <v>×</v>
      </c>
      <c r="Z1223" s="27" t="str">
        <f>IF(C1223&lt;=_xll.RssMarket(A1223,"年初来安値"),"○","×")</f>
        <v>○</v>
      </c>
    </row>
    <row r="1224" spans="2:26" x14ac:dyDescent="0.55000000000000004">
      <c r="B1224" s="20" t="str">
        <f>_xll.RssMarket(A1224,"銘柄名称")</f>
        <v/>
      </c>
      <c r="C1224" s="21" t="str">
        <f>_xll.RssMarket(A1224,"現在値")</f>
        <v/>
      </c>
      <c r="D1224" s="20" t="str">
        <f>_xll.RssMarket(A1224,"現在値詳細時刻")</f>
        <v/>
      </c>
      <c r="E1224" s="22" t="str">
        <f>_xll.RssMarket(A1224,"前日比")</f>
        <v/>
      </c>
      <c r="F1224" s="23" t="e">
        <f>_xll.RssMarket(A1224,"前日比率")/100</f>
        <v>#VALUE!</v>
      </c>
      <c r="G1224" s="24" t="str">
        <f>IFERROR(VLOOKUP(A1224,取得元!$A$2:$F$501,2,FALSE),"-")</f>
        <v>-</v>
      </c>
      <c r="H1224" s="24" t="str">
        <f>IFERROR(VLOOKUP(A1224,取得元!$A$2:$F$501,3,FALSE),"-")</f>
        <v>-</v>
      </c>
      <c r="I1224" s="24" t="str">
        <f>IFERROR(VLOOKUP(A1224,取得元!$A$2:$F$501,4,FALSE),"-")</f>
        <v>-</v>
      </c>
      <c r="J1224" s="5" t="str">
        <f>IFERROR(VLOOKUP(A1224,取得元!$A$2:$F$501,5,FALSE),"-")</f>
        <v>-</v>
      </c>
      <c r="K1224" s="25" t="str">
        <f>IFERROR(VLOOKUP(A1224,取得元!$A$2:$F$501,6,FALSE)/100,"-")</f>
        <v>-</v>
      </c>
      <c r="L1224" s="21" t="str">
        <f>_xll.RssMarket(A1224,"始値")</f>
        <v/>
      </c>
      <c r="M1224" s="4" t="e">
        <f t="shared" si="105"/>
        <v>#VALUE!</v>
      </c>
      <c r="N1224" s="21" t="str">
        <f>_xll.RssMarket(A1224,"高値")</f>
        <v/>
      </c>
      <c r="O1224" s="4" t="e">
        <f t="shared" si="106"/>
        <v>#VALUE!</v>
      </c>
      <c r="P1224" s="21" t="str">
        <f>_xll.RssMarket(A1224,"安値")</f>
        <v/>
      </c>
      <c r="Q1224" s="4" t="e">
        <f t="shared" si="107"/>
        <v>#VALUE!</v>
      </c>
      <c r="R1224" s="21" t="str">
        <f>_xll.RssMarket(A1224,"後場始値")</f>
        <v/>
      </c>
      <c r="S1224" s="25" t="str">
        <f t="shared" si="108"/>
        <v>-</v>
      </c>
      <c r="T1224" s="7" t="str">
        <f>_xll.RssMarket(A1224,"出来高加重平均")</f>
        <v/>
      </c>
      <c r="U1224" s="4" t="e">
        <f t="shared" si="109"/>
        <v>#VALUE!</v>
      </c>
      <c r="V1224" s="21" t="str">
        <f>_xll.RssMarket(A1224,"出来高")</f>
        <v/>
      </c>
      <c r="W1224" s="21" t="str">
        <f>_xll.RssMarket(A1224,"売買代金")</f>
        <v/>
      </c>
      <c r="X1224" s="20" t="str">
        <f>_xll.RssMarket(A1224,"決算発表日")</f>
        <v/>
      </c>
      <c r="Y1224" s="26" t="str">
        <f>IF(C1224&gt;_xll.RssMarket(A1224,"年初来高値"),"○","×")</f>
        <v>×</v>
      </c>
      <c r="Z1224" s="27" t="str">
        <f>IF(C1224&lt;=_xll.RssMarket(A1224,"年初来安値"),"○","×")</f>
        <v>○</v>
      </c>
    </row>
    <row r="1225" spans="2:26" x14ac:dyDescent="0.55000000000000004">
      <c r="B1225" s="20" t="str">
        <f>_xll.RssMarket(A1225,"銘柄名称")</f>
        <v/>
      </c>
      <c r="C1225" s="21" t="str">
        <f>_xll.RssMarket(A1225,"現在値")</f>
        <v/>
      </c>
      <c r="D1225" s="20" t="str">
        <f>_xll.RssMarket(A1225,"現在値詳細時刻")</f>
        <v/>
      </c>
      <c r="E1225" s="22" t="str">
        <f>_xll.RssMarket(A1225,"前日比")</f>
        <v/>
      </c>
      <c r="F1225" s="23" t="e">
        <f>_xll.RssMarket(A1225,"前日比率")/100</f>
        <v>#VALUE!</v>
      </c>
      <c r="G1225" s="24" t="str">
        <f>IFERROR(VLOOKUP(A1225,取得元!$A$2:$F$501,2,FALSE),"-")</f>
        <v>-</v>
      </c>
      <c r="H1225" s="24" t="str">
        <f>IFERROR(VLOOKUP(A1225,取得元!$A$2:$F$501,3,FALSE),"-")</f>
        <v>-</v>
      </c>
      <c r="I1225" s="24" t="str">
        <f>IFERROR(VLOOKUP(A1225,取得元!$A$2:$F$501,4,FALSE),"-")</f>
        <v>-</v>
      </c>
      <c r="J1225" s="5" t="str">
        <f>IFERROR(VLOOKUP(A1225,取得元!$A$2:$F$501,5,FALSE),"-")</f>
        <v>-</v>
      </c>
      <c r="K1225" s="25" t="str">
        <f>IFERROR(VLOOKUP(A1225,取得元!$A$2:$F$501,6,FALSE)/100,"-")</f>
        <v>-</v>
      </c>
      <c r="L1225" s="21" t="str">
        <f>_xll.RssMarket(A1225,"始値")</f>
        <v/>
      </c>
      <c r="M1225" s="4" t="e">
        <f t="shared" si="105"/>
        <v>#VALUE!</v>
      </c>
      <c r="N1225" s="21" t="str">
        <f>_xll.RssMarket(A1225,"高値")</f>
        <v/>
      </c>
      <c r="O1225" s="4" t="e">
        <f t="shared" si="106"/>
        <v>#VALUE!</v>
      </c>
      <c r="P1225" s="21" t="str">
        <f>_xll.RssMarket(A1225,"安値")</f>
        <v/>
      </c>
      <c r="Q1225" s="4" t="e">
        <f t="shared" si="107"/>
        <v>#VALUE!</v>
      </c>
      <c r="R1225" s="21" t="str">
        <f>_xll.RssMarket(A1225,"後場始値")</f>
        <v/>
      </c>
      <c r="S1225" s="25" t="str">
        <f t="shared" si="108"/>
        <v>-</v>
      </c>
      <c r="T1225" s="7" t="str">
        <f>_xll.RssMarket(A1225,"出来高加重平均")</f>
        <v/>
      </c>
      <c r="U1225" s="4" t="e">
        <f t="shared" si="109"/>
        <v>#VALUE!</v>
      </c>
      <c r="V1225" s="21" t="str">
        <f>_xll.RssMarket(A1225,"出来高")</f>
        <v/>
      </c>
      <c r="W1225" s="21" t="str">
        <f>_xll.RssMarket(A1225,"売買代金")</f>
        <v/>
      </c>
      <c r="X1225" s="20" t="str">
        <f>_xll.RssMarket(A1225,"決算発表日")</f>
        <v/>
      </c>
      <c r="Y1225" s="26" t="str">
        <f>IF(C1225&gt;_xll.RssMarket(A1225,"年初来高値"),"○","×")</f>
        <v>×</v>
      </c>
      <c r="Z1225" s="27" t="str">
        <f>IF(C1225&lt;=_xll.RssMarket(A1225,"年初来安値"),"○","×")</f>
        <v>○</v>
      </c>
    </row>
    <row r="1226" spans="2:26" x14ac:dyDescent="0.55000000000000004">
      <c r="B1226" s="20" t="str">
        <f>_xll.RssMarket(A1226,"銘柄名称")</f>
        <v/>
      </c>
      <c r="C1226" s="21" t="str">
        <f>_xll.RssMarket(A1226,"現在値")</f>
        <v/>
      </c>
      <c r="D1226" s="20" t="str">
        <f>_xll.RssMarket(A1226,"現在値詳細時刻")</f>
        <v/>
      </c>
      <c r="E1226" s="22" t="str">
        <f>_xll.RssMarket(A1226,"前日比")</f>
        <v/>
      </c>
      <c r="F1226" s="23" t="e">
        <f>_xll.RssMarket(A1226,"前日比率")/100</f>
        <v>#VALUE!</v>
      </c>
      <c r="G1226" s="24" t="str">
        <f>IFERROR(VLOOKUP(A1226,取得元!$A$2:$F$501,2,FALSE),"-")</f>
        <v>-</v>
      </c>
      <c r="H1226" s="24" t="str">
        <f>IFERROR(VLOOKUP(A1226,取得元!$A$2:$F$501,3,FALSE),"-")</f>
        <v>-</v>
      </c>
      <c r="I1226" s="24" t="str">
        <f>IFERROR(VLOOKUP(A1226,取得元!$A$2:$F$501,4,FALSE),"-")</f>
        <v>-</v>
      </c>
      <c r="J1226" s="5" t="str">
        <f>IFERROR(VLOOKUP(A1226,取得元!$A$2:$F$501,5,FALSE),"-")</f>
        <v>-</v>
      </c>
      <c r="K1226" s="25" t="str">
        <f>IFERROR(VLOOKUP(A1226,取得元!$A$2:$F$501,6,FALSE)/100,"-")</f>
        <v>-</v>
      </c>
      <c r="L1226" s="21" t="str">
        <f>_xll.RssMarket(A1226,"始値")</f>
        <v/>
      </c>
      <c r="M1226" s="4" t="e">
        <f t="shared" si="105"/>
        <v>#VALUE!</v>
      </c>
      <c r="N1226" s="21" t="str">
        <f>_xll.RssMarket(A1226,"高値")</f>
        <v/>
      </c>
      <c r="O1226" s="4" t="e">
        <f t="shared" si="106"/>
        <v>#VALUE!</v>
      </c>
      <c r="P1226" s="21" t="str">
        <f>_xll.RssMarket(A1226,"安値")</f>
        <v/>
      </c>
      <c r="Q1226" s="4" t="e">
        <f t="shared" si="107"/>
        <v>#VALUE!</v>
      </c>
      <c r="R1226" s="21" t="str">
        <f>_xll.RssMarket(A1226,"後場始値")</f>
        <v/>
      </c>
      <c r="S1226" s="25" t="str">
        <f t="shared" si="108"/>
        <v>-</v>
      </c>
      <c r="T1226" s="7" t="str">
        <f>_xll.RssMarket(A1226,"出来高加重平均")</f>
        <v/>
      </c>
      <c r="U1226" s="4" t="e">
        <f t="shared" si="109"/>
        <v>#VALUE!</v>
      </c>
      <c r="V1226" s="21" t="str">
        <f>_xll.RssMarket(A1226,"出来高")</f>
        <v/>
      </c>
      <c r="W1226" s="21" t="str">
        <f>_xll.RssMarket(A1226,"売買代金")</f>
        <v/>
      </c>
      <c r="X1226" s="20" t="str">
        <f>_xll.RssMarket(A1226,"決算発表日")</f>
        <v/>
      </c>
      <c r="Y1226" s="26" t="str">
        <f>IF(C1226&gt;_xll.RssMarket(A1226,"年初来高値"),"○","×")</f>
        <v>×</v>
      </c>
      <c r="Z1226" s="27" t="str">
        <f>IF(C1226&lt;=_xll.RssMarket(A1226,"年初来安値"),"○","×")</f>
        <v>○</v>
      </c>
    </row>
    <row r="1227" spans="2:26" x14ac:dyDescent="0.55000000000000004">
      <c r="B1227" s="20" t="str">
        <f>_xll.RssMarket(A1227,"銘柄名称")</f>
        <v/>
      </c>
      <c r="C1227" s="21" t="str">
        <f>_xll.RssMarket(A1227,"現在値")</f>
        <v/>
      </c>
      <c r="D1227" s="20" t="str">
        <f>_xll.RssMarket(A1227,"現在値詳細時刻")</f>
        <v/>
      </c>
      <c r="E1227" s="22" t="str">
        <f>_xll.RssMarket(A1227,"前日比")</f>
        <v/>
      </c>
      <c r="F1227" s="23" t="e">
        <f>_xll.RssMarket(A1227,"前日比率")/100</f>
        <v>#VALUE!</v>
      </c>
      <c r="G1227" s="24" t="str">
        <f>IFERROR(VLOOKUP(A1227,取得元!$A$2:$F$501,2,FALSE),"-")</f>
        <v>-</v>
      </c>
      <c r="H1227" s="24" t="str">
        <f>IFERROR(VLOOKUP(A1227,取得元!$A$2:$F$501,3,FALSE),"-")</f>
        <v>-</v>
      </c>
      <c r="I1227" s="24" t="str">
        <f>IFERROR(VLOOKUP(A1227,取得元!$A$2:$F$501,4,FALSE),"-")</f>
        <v>-</v>
      </c>
      <c r="J1227" s="5" t="str">
        <f>IFERROR(VLOOKUP(A1227,取得元!$A$2:$F$501,5,FALSE),"-")</f>
        <v>-</v>
      </c>
      <c r="K1227" s="25" t="str">
        <f>IFERROR(VLOOKUP(A1227,取得元!$A$2:$F$501,6,FALSE)/100,"-")</f>
        <v>-</v>
      </c>
      <c r="L1227" s="21" t="str">
        <f>_xll.RssMarket(A1227,"始値")</f>
        <v/>
      </c>
      <c r="M1227" s="4" t="e">
        <f t="shared" si="105"/>
        <v>#VALUE!</v>
      </c>
      <c r="N1227" s="21" t="str">
        <f>_xll.RssMarket(A1227,"高値")</f>
        <v/>
      </c>
      <c r="O1227" s="4" t="e">
        <f t="shared" si="106"/>
        <v>#VALUE!</v>
      </c>
      <c r="P1227" s="21" t="str">
        <f>_xll.RssMarket(A1227,"安値")</f>
        <v/>
      </c>
      <c r="Q1227" s="4" t="e">
        <f t="shared" si="107"/>
        <v>#VALUE!</v>
      </c>
      <c r="R1227" s="21" t="str">
        <f>_xll.RssMarket(A1227,"後場始値")</f>
        <v/>
      </c>
      <c r="S1227" s="25" t="str">
        <f t="shared" si="108"/>
        <v>-</v>
      </c>
      <c r="T1227" s="7" t="str">
        <f>_xll.RssMarket(A1227,"出来高加重平均")</f>
        <v/>
      </c>
      <c r="U1227" s="4" t="e">
        <f t="shared" si="109"/>
        <v>#VALUE!</v>
      </c>
      <c r="V1227" s="21" t="str">
        <f>_xll.RssMarket(A1227,"出来高")</f>
        <v/>
      </c>
      <c r="W1227" s="21" t="str">
        <f>_xll.RssMarket(A1227,"売買代金")</f>
        <v/>
      </c>
      <c r="X1227" s="20" t="str">
        <f>_xll.RssMarket(A1227,"決算発表日")</f>
        <v/>
      </c>
      <c r="Y1227" s="26" t="str">
        <f>IF(C1227&gt;_xll.RssMarket(A1227,"年初来高値"),"○","×")</f>
        <v>×</v>
      </c>
      <c r="Z1227" s="27" t="str">
        <f>IF(C1227&lt;=_xll.RssMarket(A1227,"年初来安値"),"○","×")</f>
        <v>○</v>
      </c>
    </row>
    <row r="1228" spans="2:26" x14ac:dyDescent="0.55000000000000004">
      <c r="B1228" s="20" t="str">
        <f>_xll.RssMarket(A1228,"銘柄名称")</f>
        <v/>
      </c>
      <c r="C1228" s="21" t="str">
        <f>_xll.RssMarket(A1228,"現在値")</f>
        <v/>
      </c>
      <c r="D1228" s="20" t="str">
        <f>_xll.RssMarket(A1228,"現在値詳細時刻")</f>
        <v/>
      </c>
      <c r="E1228" s="22" t="str">
        <f>_xll.RssMarket(A1228,"前日比")</f>
        <v/>
      </c>
      <c r="F1228" s="23" t="e">
        <f>_xll.RssMarket(A1228,"前日比率")/100</f>
        <v>#VALUE!</v>
      </c>
      <c r="G1228" s="24" t="str">
        <f>IFERROR(VLOOKUP(A1228,取得元!$A$2:$F$501,2,FALSE),"-")</f>
        <v>-</v>
      </c>
      <c r="H1228" s="24" t="str">
        <f>IFERROR(VLOOKUP(A1228,取得元!$A$2:$F$501,3,FALSE),"-")</f>
        <v>-</v>
      </c>
      <c r="I1228" s="24" t="str">
        <f>IFERROR(VLOOKUP(A1228,取得元!$A$2:$F$501,4,FALSE),"-")</f>
        <v>-</v>
      </c>
      <c r="J1228" s="5" t="str">
        <f>IFERROR(VLOOKUP(A1228,取得元!$A$2:$F$501,5,FALSE),"-")</f>
        <v>-</v>
      </c>
      <c r="K1228" s="25" t="str">
        <f>IFERROR(VLOOKUP(A1228,取得元!$A$2:$F$501,6,FALSE)/100,"-")</f>
        <v>-</v>
      </c>
      <c r="L1228" s="21" t="str">
        <f>_xll.RssMarket(A1228,"始値")</f>
        <v/>
      </c>
      <c r="M1228" s="4" t="e">
        <f t="shared" si="105"/>
        <v>#VALUE!</v>
      </c>
      <c r="N1228" s="21" t="str">
        <f>_xll.RssMarket(A1228,"高値")</f>
        <v/>
      </c>
      <c r="O1228" s="4" t="e">
        <f t="shared" si="106"/>
        <v>#VALUE!</v>
      </c>
      <c r="P1228" s="21" t="str">
        <f>_xll.RssMarket(A1228,"安値")</f>
        <v/>
      </c>
      <c r="Q1228" s="4" t="e">
        <f t="shared" si="107"/>
        <v>#VALUE!</v>
      </c>
      <c r="R1228" s="21" t="str">
        <f>_xll.RssMarket(A1228,"後場始値")</f>
        <v/>
      </c>
      <c r="S1228" s="25" t="str">
        <f t="shared" si="108"/>
        <v>-</v>
      </c>
      <c r="T1228" s="7" t="str">
        <f>_xll.RssMarket(A1228,"出来高加重平均")</f>
        <v/>
      </c>
      <c r="U1228" s="4" t="e">
        <f t="shared" si="109"/>
        <v>#VALUE!</v>
      </c>
      <c r="V1228" s="21" t="str">
        <f>_xll.RssMarket(A1228,"出来高")</f>
        <v/>
      </c>
      <c r="W1228" s="21" t="str">
        <f>_xll.RssMarket(A1228,"売買代金")</f>
        <v/>
      </c>
      <c r="X1228" s="20" t="str">
        <f>_xll.RssMarket(A1228,"決算発表日")</f>
        <v/>
      </c>
      <c r="Y1228" s="26" t="str">
        <f>IF(C1228&gt;_xll.RssMarket(A1228,"年初来高値"),"○","×")</f>
        <v>×</v>
      </c>
      <c r="Z1228" s="27" t="str">
        <f>IF(C1228&lt;=_xll.RssMarket(A1228,"年初来安値"),"○","×")</f>
        <v>○</v>
      </c>
    </row>
    <row r="1229" spans="2:26" x14ac:dyDescent="0.55000000000000004">
      <c r="B1229" s="20" t="str">
        <f>_xll.RssMarket(A1229,"銘柄名称")</f>
        <v/>
      </c>
      <c r="C1229" s="21" t="str">
        <f>_xll.RssMarket(A1229,"現在値")</f>
        <v/>
      </c>
      <c r="D1229" s="20" t="str">
        <f>_xll.RssMarket(A1229,"現在値詳細時刻")</f>
        <v/>
      </c>
      <c r="E1229" s="22" t="str">
        <f>_xll.RssMarket(A1229,"前日比")</f>
        <v/>
      </c>
      <c r="F1229" s="23" t="e">
        <f>_xll.RssMarket(A1229,"前日比率")/100</f>
        <v>#VALUE!</v>
      </c>
      <c r="G1229" s="24" t="str">
        <f>IFERROR(VLOOKUP(A1229,取得元!$A$2:$F$501,2,FALSE),"-")</f>
        <v>-</v>
      </c>
      <c r="H1229" s="24" t="str">
        <f>IFERROR(VLOOKUP(A1229,取得元!$A$2:$F$501,3,FALSE),"-")</f>
        <v>-</v>
      </c>
      <c r="I1229" s="24" t="str">
        <f>IFERROR(VLOOKUP(A1229,取得元!$A$2:$F$501,4,FALSE),"-")</f>
        <v>-</v>
      </c>
      <c r="J1229" s="5" t="str">
        <f>IFERROR(VLOOKUP(A1229,取得元!$A$2:$F$501,5,FALSE),"-")</f>
        <v>-</v>
      </c>
      <c r="K1229" s="25" t="str">
        <f>IFERROR(VLOOKUP(A1229,取得元!$A$2:$F$501,6,FALSE)/100,"-")</f>
        <v>-</v>
      </c>
      <c r="L1229" s="21" t="str">
        <f>_xll.RssMarket(A1229,"始値")</f>
        <v/>
      </c>
      <c r="M1229" s="4" t="e">
        <f t="shared" si="105"/>
        <v>#VALUE!</v>
      </c>
      <c r="N1229" s="21" t="str">
        <f>_xll.RssMarket(A1229,"高値")</f>
        <v/>
      </c>
      <c r="O1229" s="4" t="e">
        <f t="shared" si="106"/>
        <v>#VALUE!</v>
      </c>
      <c r="P1229" s="21" t="str">
        <f>_xll.RssMarket(A1229,"安値")</f>
        <v/>
      </c>
      <c r="Q1229" s="4" t="e">
        <f t="shared" si="107"/>
        <v>#VALUE!</v>
      </c>
      <c r="R1229" s="21" t="str">
        <f>_xll.RssMarket(A1229,"後場始値")</f>
        <v/>
      </c>
      <c r="S1229" s="25" t="str">
        <f t="shared" si="108"/>
        <v>-</v>
      </c>
      <c r="T1229" s="7" t="str">
        <f>_xll.RssMarket(A1229,"出来高加重平均")</f>
        <v/>
      </c>
      <c r="U1229" s="4" t="e">
        <f t="shared" si="109"/>
        <v>#VALUE!</v>
      </c>
      <c r="V1229" s="21" t="str">
        <f>_xll.RssMarket(A1229,"出来高")</f>
        <v/>
      </c>
      <c r="W1229" s="21" t="str">
        <f>_xll.RssMarket(A1229,"売買代金")</f>
        <v/>
      </c>
      <c r="X1229" s="20" t="str">
        <f>_xll.RssMarket(A1229,"決算発表日")</f>
        <v/>
      </c>
      <c r="Y1229" s="26" t="str">
        <f>IF(C1229&gt;_xll.RssMarket(A1229,"年初来高値"),"○","×")</f>
        <v>×</v>
      </c>
      <c r="Z1229" s="27" t="str">
        <f>IF(C1229&lt;=_xll.RssMarket(A1229,"年初来安値"),"○","×")</f>
        <v>○</v>
      </c>
    </row>
    <row r="1230" spans="2:26" x14ac:dyDescent="0.55000000000000004">
      <c r="B1230" s="20" t="str">
        <f>_xll.RssMarket(A1230,"銘柄名称")</f>
        <v/>
      </c>
      <c r="C1230" s="21" t="str">
        <f>_xll.RssMarket(A1230,"現在値")</f>
        <v/>
      </c>
      <c r="D1230" s="20" t="str">
        <f>_xll.RssMarket(A1230,"現在値詳細時刻")</f>
        <v/>
      </c>
      <c r="E1230" s="22" t="str">
        <f>_xll.RssMarket(A1230,"前日比")</f>
        <v/>
      </c>
      <c r="F1230" s="23" t="e">
        <f>_xll.RssMarket(A1230,"前日比率")/100</f>
        <v>#VALUE!</v>
      </c>
      <c r="G1230" s="24" t="str">
        <f>IFERROR(VLOOKUP(A1230,取得元!$A$2:$F$501,2,FALSE),"-")</f>
        <v>-</v>
      </c>
      <c r="H1230" s="24" t="str">
        <f>IFERROR(VLOOKUP(A1230,取得元!$A$2:$F$501,3,FALSE),"-")</f>
        <v>-</v>
      </c>
      <c r="I1230" s="24" t="str">
        <f>IFERROR(VLOOKUP(A1230,取得元!$A$2:$F$501,4,FALSE),"-")</f>
        <v>-</v>
      </c>
      <c r="J1230" s="5" t="str">
        <f>IFERROR(VLOOKUP(A1230,取得元!$A$2:$F$501,5,FALSE),"-")</f>
        <v>-</v>
      </c>
      <c r="K1230" s="25" t="str">
        <f>IFERROR(VLOOKUP(A1230,取得元!$A$2:$F$501,6,FALSE)/100,"-")</f>
        <v>-</v>
      </c>
      <c r="L1230" s="21" t="str">
        <f>_xll.RssMarket(A1230,"始値")</f>
        <v/>
      </c>
      <c r="M1230" s="4" t="e">
        <f t="shared" si="105"/>
        <v>#VALUE!</v>
      </c>
      <c r="N1230" s="21" t="str">
        <f>_xll.RssMarket(A1230,"高値")</f>
        <v/>
      </c>
      <c r="O1230" s="4" t="e">
        <f t="shared" si="106"/>
        <v>#VALUE!</v>
      </c>
      <c r="P1230" s="21" t="str">
        <f>_xll.RssMarket(A1230,"安値")</f>
        <v/>
      </c>
      <c r="Q1230" s="4" t="e">
        <f t="shared" si="107"/>
        <v>#VALUE!</v>
      </c>
      <c r="R1230" s="21" t="str">
        <f>_xll.RssMarket(A1230,"後場始値")</f>
        <v/>
      </c>
      <c r="S1230" s="25" t="str">
        <f t="shared" si="108"/>
        <v>-</v>
      </c>
      <c r="T1230" s="7" t="str">
        <f>_xll.RssMarket(A1230,"出来高加重平均")</f>
        <v/>
      </c>
      <c r="U1230" s="4" t="e">
        <f t="shared" si="109"/>
        <v>#VALUE!</v>
      </c>
      <c r="V1230" s="21" t="str">
        <f>_xll.RssMarket(A1230,"出来高")</f>
        <v/>
      </c>
      <c r="W1230" s="21" t="str">
        <f>_xll.RssMarket(A1230,"売買代金")</f>
        <v/>
      </c>
      <c r="X1230" s="20" t="str">
        <f>_xll.RssMarket(A1230,"決算発表日")</f>
        <v/>
      </c>
      <c r="Y1230" s="26" t="str">
        <f>IF(C1230&gt;_xll.RssMarket(A1230,"年初来高値"),"○","×")</f>
        <v>×</v>
      </c>
      <c r="Z1230" s="27" t="str">
        <f>IF(C1230&lt;=_xll.RssMarket(A1230,"年初来安値"),"○","×")</f>
        <v>○</v>
      </c>
    </row>
    <row r="1231" spans="2:26" x14ac:dyDescent="0.55000000000000004">
      <c r="B1231" s="20" t="str">
        <f>_xll.RssMarket(A1231,"銘柄名称")</f>
        <v/>
      </c>
      <c r="C1231" s="21" t="str">
        <f>_xll.RssMarket(A1231,"現在値")</f>
        <v/>
      </c>
      <c r="D1231" s="20" t="str">
        <f>_xll.RssMarket(A1231,"現在値詳細時刻")</f>
        <v/>
      </c>
      <c r="E1231" s="22" t="str">
        <f>_xll.RssMarket(A1231,"前日比")</f>
        <v/>
      </c>
      <c r="F1231" s="23" t="e">
        <f>_xll.RssMarket(A1231,"前日比率")/100</f>
        <v>#VALUE!</v>
      </c>
      <c r="G1231" s="24" t="str">
        <f>IFERROR(VLOOKUP(A1231,取得元!$A$2:$F$501,2,FALSE),"-")</f>
        <v>-</v>
      </c>
      <c r="H1231" s="24" t="str">
        <f>IFERROR(VLOOKUP(A1231,取得元!$A$2:$F$501,3,FALSE),"-")</f>
        <v>-</v>
      </c>
      <c r="I1231" s="24" t="str">
        <f>IFERROR(VLOOKUP(A1231,取得元!$A$2:$F$501,4,FALSE),"-")</f>
        <v>-</v>
      </c>
      <c r="J1231" s="5" t="str">
        <f>IFERROR(VLOOKUP(A1231,取得元!$A$2:$F$501,5,FALSE),"-")</f>
        <v>-</v>
      </c>
      <c r="K1231" s="25" t="str">
        <f>IFERROR(VLOOKUP(A1231,取得元!$A$2:$F$501,6,FALSE)/100,"-")</f>
        <v>-</v>
      </c>
      <c r="L1231" s="21" t="str">
        <f>_xll.RssMarket(A1231,"始値")</f>
        <v/>
      </c>
      <c r="M1231" s="4" t="e">
        <f t="shared" si="105"/>
        <v>#VALUE!</v>
      </c>
      <c r="N1231" s="21" t="str">
        <f>_xll.RssMarket(A1231,"高値")</f>
        <v/>
      </c>
      <c r="O1231" s="4" t="e">
        <f t="shared" si="106"/>
        <v>#VALUE!</v>
      </c>
      <c r="P1231" s="21" t="str">
        <f>_xll.RssMarket(A1231,"安値")</f>
        <v/>
      </c>
      <c r="Q1231" s="4" t="e">
        <f t="shared" si="107"/>
        <v>#VALUE!</v>
      </c>
      <c r="R1231" s="21" t="str">
        <f>_xll.RssMarket(A1231,"後場始値")</f>
        <v/>
      </c>
      <c r="S1231" s="25" t="str">
        <f t="shared" si="108"/>
        <v>-</v>
      </c>
      <c r="T1231" s="7" t="str">
        <f>_xll.RssMarket(A1231,"出来高加重平均")</f>
        <v/>
      </c>
      <c r="U1231" s="4" t="e">
        <f t="shared" si="109"/>
        <v>#VALUE!</v>
      </c>
      <c r="V1231" s="21" t="str">
        <f>_xll.RssMarket(A1231,"出来高")</f>
        <v/>
      </c>
      <c r="W1231" s="21" t="str">
        <f>_xll.RssMarket(A1231,"売買代金")</f>
        <v/>
      </c>
      <c r="X1231" s="20" t="str">
        <f>_xll.RssMarket(A1231,"決算発表日")</f>
        <v/>
      </c>
      <c r="Y1231" s="26" t="str">
        <f>IF(C1231&gt;_xll.RssMarket(A1231,"年初来高値"),"○","×")</f>
        <v>×</v>
      </c>
      <c r="Z1231" s="27" t="str">
        <f>IF(C1231&lt;=_xll.RssMarket(A1231,"年初来安値"),"○","×")</f>
        <v>○</v>
      </c>
    </row>
    <row r="1232" spans="2:26" x14ac:dyDescent="0.55000000000000004">
      <c r="B1232" s="20" t="str">
        <f>_xll.RssMarket(A1232,"銘柄名称")</f>
        <v/>
      </c>
      <c r="C1232" s="21" t="str">
        <f>_xll.RssMarket(A1232,"現在値")</f>
        <v/>
      </c>
      <c r="D1232" s="20" t="str">
        <f>_xll.RssMarket(A1232,"現在値詳細時刻")</f>
        <v/>
      </c>
      <c r="E1232" s="22" t="str">
        <f>_xll.RssMarket(A1232,"前日比")</f>
        <v/>
      </c>
      <c r="F1232" s="23" t="e">
        <f>_xll.RssMarket(A1232,"前日比率")/100</f>
        <v>#VALUE!</v>
      </c>
      <c r="G1232" s="24" t="str">
        <f>IFERROR(VLOOKUP(A1232,取得元!$A$2:$F$501,2,FALSE),"-")</f>
        <v>-</v>
      </c>
      <c r="H1232" s="24" t="str">
        <f>IFERROR(VLOOKUP(A1232,取得元!$A$2:$F$501,3,FALSE),"-")</f>
        <v>-</v>
      </c>
      <c r="I1232" s="24" t="str">
        <f>IFERROR(VLOOKUP(A1232,取得元!$A$2:$F$501,4,FALSE),"-")</f>
        <v>-</v>
      </c>
      <c r="J1232" s="5" t="str">
        <f>IFERROR(VLOOKUP(A1232,取得元!$A$2:$F$501,5,FALSE),"-")</f>
        <v>-</v>
      </c>
      <c r="K1232" s="25" t="str">
        <f>IFERROR(VLOOKUP(A1232,取得元!$A$2:$F$501,6,FALSE)/100,"-")</f>
        <v>-</v>
      </c>
      <c r="L1232" s="21" t="str">
        <f>_xll.RssMarket(A1232,"始値")</f>
        <v/>
      </c>
      <c r="M1232" s="4" t="e">
        <f t="shared" si="105"/>
        <v>#VALUE!</v>
      </c>
      <c r="N1232" s="21" t="str">
        <f>_xll.RssMarket(A1232,"高値")</f>
        <v/>
      </c>
      <c r="O1232" s="4" t="e">
        <f t="shared" si="106"/>
        <v>#VALUE!</v>
      </c>
      <c r="P1232" s="21" t="str">
        <f>_xll.RssMarket(A1232,"安値")</f>
        <v/>
      </c>
      <c r="Q1232" s="4" t="e">
        <f t="shared" si="107"/>
        <v>#VALUE!</v>
      </c>
      <c r="R1232" s="21" t="str">
        <f>_xll.RssMarket(A1232,"後場始値")</f>
        <v/>
      </c>
      <c r="S1232" s="25" t="str">
        <f t="shared" si="108"/>
        <v>-</v>
      </c>
      <c r="T1232" s="7" t="str">
        <f>_xll.RssMarket(A1232,"出来高加重平均")</f>
        <v/>
      </c>
      <c r="U1232" s="4" t="e">
        <f t="shared" si="109"/>
        <v>#VALUE!</v>
      </c>
      <c r="V1232" s="21" t="str">
        <f>_xll.RssMarket(A1232,"出来高")</f>
        <v/>
      </c>
      <c r="W1232" s="21" t="str">
        <f>_xll.RssMarket(A1232,"売買代金")</f>
        <v/>
      </c>
      <c r="X1232" s="20" t="str">
        <f>_xll.RssMarket(A1232,"決算発表日")</f>
        <v/>
      </c>
      <c r="Y1232" s="26" t="str">
        <f>IF(C1232&gt;_xll.RssMarket(A1232,"年初来高値"),"○","×")</f>
        <v>×</v>
      </c>
      <c r="Z1232" s="27" t="str">
        <f>IF(C1232&lt;=_xll.RssMarket(A1232,"年初来安値"),"○","×")</f>
        <v>○</v>
      </c>
    </row>
    <row r="1233" spans="2:26" x14ac:dyDescent="0.55000000000000004">
      <c r="B1233" s="20" t="str">
        <f>_xll.RssMarket(A1233,"銘柄名称")</f>
        <v/>
      </c>
      <c r="C1233" s="21" t="str">
        <f>_xll.RssMarket(A1233,"現在値")</f>
        <v/>
      </c>
      <c r="D1233" s="20" t="str">
        <f>_xll.RssMarket(A1233,"現在値詳細時刻")</f>
        <v/>
      </c>
      <c r="E1233" s="22" t="str">
        <f>_xll.RssMarket(A1233,"前日比")</f>
        <v/>
      </c>
      <c r="F1233" s="23" t="e">
        <f>_xll.RssMarket(A1233,"前日比率")/100</f>
        <v>#VALUE!</v>
      </c>
      <c r="G1233" s="24" t="str">
        <f>IFERROR(VLOOKUP(A1233,取得元!$A$2:$F$501,2,FALSE),"-")</f>
        <v>-</v>
      </c>
      <c r="H1233" s="24" t="str">
        <f>IFERROR(VLOOKUP(A1233,取得元!$A$2:$F$501,3,FALSE),"-")</f>
        <v>-</v>
      </c>
      <c r="I1233" s="24" t="str">
        <f>IFERROR(VLOOKUP(A1233,取得元!$A$2:$F$501,4,FALSE),"-")</f>
        <v>-</v>
      </c>
      <c r="J1233" s="5" t="str">
        <f>IFERROR(VLOOKUP(A1233,取得元!$A$2:$F$501,5,FALSE),"-")</f>
        <v>-</v>
      </c>
      <c r="K1233" s="25" t="str">
        <f>IFERROR(VLOOKUP(A1233,取得元!$A$2:$F$501,6,FALSE)/100,"-")</f>
        <v>-</v>
      </c>
      <c r="L1233" s="21" t="str">
        <f>_xll.RssMarket(A1233,"始値")</f>
        <v/>
      </c>
      <c r="M1233" s="4" t="e">
        <f t="shared" si="105"/>
        <v>#VALUE!</v>
      </c>
      <c r="N1233" s="21" t="str">
        <f>_xll.RssMarket(A1233,"高値")</f>
        <v/>
      </c>
      <c r="O1233" s="4" t="e">
        <f t="shared" si="106"/>
        <v>#VALUE!</v>
      </c>
      <c r="P1233" s="21" t="str">
        <f>_xll.RssMarket(A1233,"安値")</f>
        <v/>
      </c>
      <c r="Q1233" s="4" t="e">
        <f t="shared" si="107"/>
        <v>#VALUE!</v>
      </c>
      <c r="R1233" s="21" t="str">
        <f>_xll.RssMarket(A1233,"後場始値")</f>
        <v/>
      </c>
      <c r="S1233" s="25" t="str">
        <f t="shared" si="108"/>
        <v>-</v>
      </c>
      <c r="T1233" s="7" t="str">
        <f>_xll.RssMarket(A1233,"出来高加重平均")</f>
        <v/>
      </c>
      <c r="U1233" s="4" t="e">
        <f t="shared" si="109"/>
        <v>#VALUE!</v>
      </c>
      <c r="V1233" s="21" t="str">
        <f>_xll.RssMarket(A1233,"出来高")</f>
        <v/>
      </c>
      <c r="W1233" s="21" t="str">
        <f>_xll.RssMarket(A1233,"売買代金")</f>
        <v/>
      </c>
      <c r="X1233" s="20" t="str">
        <f>_xll.RssMarket(A1233,"決算発表日")</f>
        <v/>
      </c>
      <c r="Y1233" s="26" t="str">
        <f>IF(C1233&gt;_xll.RssMarket(A1233,"年初来高値"),"○","×")</f>
        <v>×</v>
      </c>
      <c r="Z1233" s="27" t="str">
        <f>IF(C1233&lt;=_xll.RssMarket(A1233,"年初来安値"),"○","×")</f>
        <v>○</v>
      </c>
    </row>
    <row r="1234" spans="2:26" x14ac:dyDescent="0.55000000000000004">
      <c r="B1234" s="20" t="str">
        <f>_xll.RssMarket(A1234,"銘柄名称")</f>
        <v/>
      </c>
      <c r="C1234" s="21" t="str">
        <f>_xll.RssMarket(A1234,"現在値")</f>
        <v/>
      </c>
      <c r="D1234" s="20" t="str">
        <f>_xll.RssMarket(A1234,"現在値詳細時刻")</f>
        <v/>
      </c>
      <c r="E1234" s="22" t="str">
        <f>_xll.RssMarket(A1234,"前日比")</f>
        <v/>
      </c>
      <c r="F1234" s="23" t="e">
        <f>_xll.RssMarket(A1234,"前日比率")/100</f>
        <v>#VALUE!</v>
      </c>
      <c r="G1234" s="24" t="str">
        <f>IFERROR(VLOOKUP(A1234,取得元!$A$2:$F$501,2,FALSE),"-")</f>
        <v>-</v>
      </c>
      <c r="H1234" s="24" t="str">
        <f>IFERROR(VLOOKUP(A1234,取得元!$A$2:$F$501,3,FALSE),"-")</f>
        <v>-</v>
      </c>
      <c r="I1234" s="24" t="str">
        <f>IFERROR(VLOOKUP(A1234,取得元!$A$2:$F$501,4,FALSE),"-")</f>
        <v>-</v>
      </c>
      <c r="J1234" s="5" t="str">
        <f>IFERROR(VLOOKUP(A1234,取得元!$A$2:$F$501,5,FALSE),"-")</f>
        <v>-</v>
      </c>
      <c r="K1234" s="25" t="str">
        <f>IFERROR(VLOOKUP(A1234,取得元!$A$2:$F$501,6,FALSE)/100,"-")</f>
        <v>-</v>
      </c>
      <c r="L1234" s="21" t="str">
        <f>_xll.RssMarket(A1234,"始値")</f>
        <v/>
      </c>
      <c r="M1234" s="4" t="e">
        <f t="shared" si="105"/>
        <v>#VALUE!</v>
      </c>
      <c r="N1234" s="21" t="str">
        <f>_xll.RssMarket(A1234,"高値")</f>
        <v/>
      </c>
      <c r="O1234" s="4" t="e">
        <f t="shared" si="106"/>
        <v>#VALUE!</v>
      </c>
      <c r="P1234" s="21" t="str">
        <f>_xll.RssMarket(A1234,"安値")</f>
        <v/>
      </c>
      <c r="Q1234" s="4" t="e">
        <f t="shared" si="107"/>
        <v>#VALUE!</v>
      </c>
      <c r="R1234" s="21" t="str">
        <f>_xll.RssMarket(A1234,"後場始値")</f>
        <v/>
      </c>
      <c r="S1234" s="25" t="str">
        <f t="shared" si="108"/>
        <v>-</v>
      </c>
      <c r="T1234" s="7" t="str">
        <f>_xll.RssMarket(A1234,"出来高加重平均")</f>
        <v/>
      </c>
      <c r="U1234" s="4" t="e">
        <f t="shared" si="109"/>
        <v>#VALUE!</v>
      </c>
      <c r="V1234" s="21" t="str">
        <f>_xll.RssMarket(A1234,"出来高")</f>
        <v/>
      </c>
      <c r="W1234" s="21" t="str">
        <f>_xll.RssMarket(A1234,"売買代金")</f>
        <v/>
      </c>
      <c r="X1234" s="20" t="str">
        <f>_xll.RssMarket(A1234,"決算発表日")</f>
        <v/>
      </c>
      <c r="Y1234" s="26" t="str">
        <f>IF(C1234&gt;_xll.RssMarket(A1234,"年初来高値"),"○","×")</f>
        <v>×</v>
      </c>
      <c r="Z1234" s="27" t="str">
        <f>IF(C1234&lt;=_xll.RssMarket(A1234,"年初来安値"),"○","×")</f>
        <v>○</v>
      </c>
    </row>
    <row r="1235" spans="2:26" x14ac:dyDescent="0.55000000000000004">
      <c r="B1235" s="20" t="str">
        <f>_xll.RssMarket(A1235,"銘柄名称")</f>
        <v/>
      </c>
      <c r="C1235" s="21" t="str">
        <f>_xll.RssMarket(A1235,"現在値")</f>
        <v/>
      </c>
      <c r="D1235" s="20" t="str">
        <f>_xll.RssMarket(A1235,"現在値詳細時刻")</f>
        <v/>
      </c>
      <c r="E1235" s="22" t="str">
        <f>_xll.RssMarket(A1235,"前日比")</f>
        <v/>
      </c>
      <c r="F1235" s="23" t="e">
        <f>_xll.RssMarket(A1235,"前日比率")/100</f>
        <v>#VALUE!</v>
      </c>
      <c r="G1235" s="24" t="str">
        <f>IFERROR(VLOOKUP(A1235,取得元!$A$2:$F$501,2,FALSE),"-")</f>
        <v>-</v>
      </c>
      <c r="H1235" s="24" t="str">
        <f>IFERROR(VLOOKUP(A1235,取得元!$A$2:$F$501,3,FALSE),"-")</f>
        <v>-</v>
      </c>
      <c r="I1235" s="24" t="str">
        <f>IFERROR(VLOOKUP(A1235,取得元!$A$2:$F$501,4,FALSE),"-")</f>
        <v>-</v>
      </c>
      <c r="J1235" s="5" t="str">
        <f>IFERROR(VLOOKUP(A1235,取得元!$A$2:$F$501,5,FALSE),"-")</f>
        <v>-</v>
      </c>
      <c r="K1235" s="25" t="str">
        <f>IFERROR(VLOOKUP(A1235,取得元!$A$2:$F$501,6,FALSE)/100,"-")</f>
        <v>-</v>
      </c>
      <c r="L1235" s="21" t="str">
        <f>_xll.RssMarket(A1235,"始値")</f>
        <v/>
      </c>
      <c r="M1235" s="4" t="e">
        <f t="shared" si="105"/>
        <v>#VALUE!</v>
      </c>
      <c r="N1235" s="21" t="str">
        <f>_xll.RssMarket(A1235,"高値")</f>
        <v/>
      </c>
      <c r="O1235" s="4" t="e">
        <f t="shared" si="106"/>
        <v>#VALUE!</v>
      </c>
      <c r="P1235" s="21" t="str">
        <f>_xll.RssMarket(A1235,"安値")</f>
        <v/>
      </c>
      <c r="Q1235" s="4" t="e">
        <f t="shared" si="107"/>
        <v>#VALUE!</v>
      </c>
      <c r="R1235" s="21" t="str">
        <f>_xll.RssMarket(A1235,"後場始値")</f>
        <v/>
      </c>
      <c r="S1235" s="25" t="str">
        <f t="shared" si="108"/>
        <v>-</v>
      </c>
      <c r="T1235" s="7" t="str">
        <f>_xll.RssMarket(A1235,"出来高加重平均")</f>
        <v/>
      </c>
      <c r="U1235" s="4" t="e">
        <f t="shared" si="109"/>
        <v>#VALUE!</v>
      </c>
      <c r="V1235" s="21" t="str">
        <f>_xll.RssMarket(A1235,"出来高")</f>
        <v/>
      </c>
      <c r="W1235" s="21" t="str">
        <f>_xll.RssMarket(A1235,"売買代金")</f>
        <v/>
      </c>
      <c r="X1235" s="20" t="str">
        <f>_xll.RssMarket(A1235,"決算発表日")</f>
        <v/>
      </c>
      <c r="Y1235" s="26" t="str">
        <f>IF(C1235&gt;_xll.RssMarket(A1235,"年初来高値"),"○","×")</f>
        <v>×</v>
      </c>
      <c r="Z1235" s="27" t="str">
        <f>IF(C1235&lt;=_xll.RssMarket(A1235,"年初来安値"),"○","×")</f>
        <v>○</v>
      </c>
    </row>
    <row r="1236" spans="2:26" x14ac:dyDescent="0.55000000000000004">
      <c r="B1236" s="20" t="str">
        <f>_xll.RssMarket(A1236,"銘柄名称")</f>
        <v/>
      </c>
      <c r="C1236" s="21" t="str">
        <f>_xll.RssMarket(A1236,"現在値")</f>
        <v/>
      </c>
      <c r="D1236" s="20" t="str">
        <f>_xll.RssMarket(A1236,"現在値詳細時刻")</f>
        <v/>
      </c>
      <c r="E1236" s="22" t="str">
        <f>_xll.RssMarket(A1236,"前日比")</f>
        <v/>
      </c>
      <c r="F1236" s="23" t="e">
        <f>_xll.RssMarket(A1236,"前日比率")/100</f>
        <v>#VALUE!</v>
      </c>
      <c r="G1236" s="24" t="str">
        <f>IFERROR(VLOOKUP(A1236,取得元!$A$2:$F$501,2,FALSE),"-")</f>
        <v>-</v>
      </c>
      <c r="H1236" s="24" t="str">
        <f>IFERROR(VLOOKUP(A1236,取得元!$A$2:$F$501,3,FALSE),"-")</f>
        <v>-</v>
      </c>
      <c r="I1236" s="24" t="str">
        <f>IFERROR(VLOOKUP(A1236,取得元!$A$2:$F$501,4,FALSE),"-")</f>
        <v>-</v>
      </c>
      <c r="J1236" s="5" t="str">
        <f>IFERROR(VLOOKUP(A1236,取得元!$A$2:$F$501,5,FALSE),"-")</f>
        <v>-</v>
      </c>
      <c r="K1236" s="25" t="str">
        <f>IFERROR(VLOOKUP(A1236,取得元!$A$2:$F$501,6,FALSE)/100,"-")</f>
        <v>-</v>
      </c>
      <c r="L1236" s="21" t="str">
        <f>_xll.RssMarket(A1236,"始値")</f>
        <v/>
      </c>
      <c r="M1236" s="4" t="e">
        <f t="shared" si="105"/>
        <v>#VALUE!</v>
      </c>
      <c r="N1236" s="21" t="str">
        <f>_xll.RssMarket(A1236,"高値")</f>
        <v/>
      </c>
      <c r="O1236" s="4" t="e">
        <f t="shared" si="106"/>
        <v>#VALUE!</v>
      </c>
      <c r="P1236" s="21" t="str">
        <f>_xll.RssMarket(A1236,"安値")</f>
        <v/>
      </c>
      <c r="Q1236" s="4" t="e">
        <f t="shared" si="107"/>
        <v>#VALUE!</v>
      </c>
      <c r="R1236" s="21" t="str">
        <f>_xll.RssMarket(A1236,"後場始値")</f>
        <v/>
      </c>
      <c r="S1236" s="25" t="str">
        <f t="shared" si="108"/>
        <v>-</v>
      </c>
      <c r="T1236" s="7" t="str">
        <f>_xll.RssMarket(A1236,"出来高加重平均")</f>
        <v/>
      </c>
      <c r="U1236" s="4" t="e">
        <f t="shared" si="109"/>
        <v>#VALUE!</v>
      </c>
      <c r="V1236" s="21" t="str">
        <f>_xll.RssMarket(A1236,"出来高")</f>
        <v/>
      </c>
      <c r="W1236" s="21" t="str">
        <f>_xll.RssMarket(A1236,"売買代金")</f>
        <v/>
      </c>
      <c r="X1236" s="20" t="str">
        <f>_xll.RssMarket(A1236,"決算発表日")</f>
        <v/>
      </c>
      <c r="Y1236" s="26" t="str">
        <f>IF(C1236&gt;_xll.RssMarket(A1236,"年初来高値"),"○","×")</f>
        <v>×</v>
      </c>
      <c r="Z1236" s="27" t="str">
        <f>IF(C1236&lt;=_xll.RssMarket(A1236,"年初来安値"),"○","×")</f>
        <v>○</v>
      </c>
    </row>
    <row r="1237" spans="2:26" x14ac:dyDescent="0.55000000000000004">
      <c r="B1237" s="20" t="str">
        <f>_xll.RssMarket(A1237,"銘柄名称")</f>
        <v/>
      </c>
      <c r="C1237" s="21" t="str">
        <f>_xll.RssMarket(A1237,"現在値")</f>
        <v/>
      </c>
      <c r="D1237" s="20" t="str">
        <f>_xll.RssMarket(A1237,"現在値詳細時刻")</f>
        <v/>
      </c>
      <c r="E1237" s="22" t="str">
        <f>_xll.RssMarket(A1237,"前日比")</f>
        <v/>
      </c>
      <c r="F1237" s="23" t="e">
        <f>_xll.RssMarket(A1237,"前日比率")/100</f>
        <v>#VALUE!</v>
      </c>
      <c r="G1237" s="24" t="str">
        <f>IFERROR(VLOOKUP(A1237,取得元!$A$2:$F$501,2,FALSE),"-")</f>
        <v>-</v>
      </c>
      <c r="H1237" s="24" t="str">
        <f>IFERROR(VLOOKUP(A1237,取得元!$A$2:$F$501,3,FALSE),"-")</f>
        <v>-</v>
      </c>
      <c r="I1237" s="24" t="str">
        <f>IFERROR(VLOOKUP(A1237,取得元!$A$2:$F$501,4,FALSE),"-")</f>
        <v>-</v>
      </c>
      <c r="J1237" s="5" t="str">
        <f>IFERROR(VLOOKUP(A1237,取得元!$A$2:$F$501,5,FALSE),"-")</f>
        <v>-</v>
      </c>
      <c r="K1237" s="25" t="str">
        <f>IFERROR(VLOOKUP(A1237,取得元!$A$2:$F$501,6,FALSE)/100,"-")</f>
        <v>-</v>
      </c>
      <c r="L1237" s="21" t="str">
        <f>_xll.RssMarket(A1237,"始値")</f>
        <v/>
      </c>
      <c r="M1237" s="4" t="e">
        <f t="shared" si="105"/>
        <v>#VALUE!</v>
      </c>
      <c r="N1237" s="21" t="str">
        <f>_xll.RssMarket(A1237,"高値")</f>
        <v/>
      </c>
      <c r="O1237" s="4" t="e">
        <f t="shared" si="106"/>
        <v>#VALUE!</v>
      </c>
      <c r="P1237" s="21" t="str">
        <f>_xll.RssMarket(A1237,"安値")</f>
        <v/>
      </c>
      <c r="Q1237" s="4" t="e">
        <f t="shared" si="107"/>
        <v>#VALUE!</v>
      </c>
      <c r="R1237" s="21" t="str">
        <f>_xll.RssMarket(A1237,"後場始値")</f>
        <v/>
      </c>
      <c r="S1237" s="25" t="str">
        <f t="shared" si="108"/>
        <v>-</v>
      </c>
      <c r="T1237" s="7" t="str">
        <f>_xll.RssMarket(A1237,"出来高加重平均")</f>
        <v/>
      </c>
      <c r="U1237" s="4" t="e">
        <f t="shared" si="109"/>
        <v>#VALUE!</v>
      </c>
      <c r="V1237" s="21" t="str">
        <f>_xll.RssMarket(A1237,"出来高")</f>
        <v/>
      </c>
      <c r="W1237" s="21" t="str">
        <f>_xll.RssMarket(A1237,"売買代金")</f>
        <v/>
      </c>
      <c r="X1237" s="20" t="str">
        <f>_xll.RssMarket(A1237,"決算発表日")</f>
        <v/>
      </c>
      <c r="Y1237" s="26" t="str">
        <f>IF(C1237&gt;_xll.RssMarket(A1237,"年初来高値"),"○","×")</f>
        <v>×</v>
      </c>
      <c r="Z1237" s="27" t="str">
        <f>IF(C1237&lt;=_xll.RssMarket(A1237,"年初来安値"),"○","×")</f>
        <v>○</v>
      </c>
    </row>
    <row r="1238" spans="2:26" x14ac:dyDescent="0.55000000000000004">
      <c r="B1238" s="20" t="str">
        <f>_xll.RssMarket(A1238,"銘柄名称")</f>
        <v/>
      </c>
      <c r="C1238" s="21" t="str">
        <f>_xll.RssMarket(A1238,"現在値")</f>
        <v/>
      </c>
      <c r="D1238" s="20" t="str">
        <f>_xll.RssMarket(A1238,"現在値詳細時刻")</f>
        <v/>
      </c>
      <c r="E1238" s="22" t="str">
        <f>_xll.RssMarket(A1238,"前日比")</f>
        <v/>
      </c>
      <c r="F1238" s="23" t="e">
        <f>_xll.RssMarket(A1238,"前日比率")/100</f>
        <v>#VALUE!</v>
      </c>
      <c r="G1238" s="24" t="str">
        <f>IFERROR(VLOOKUP(A1238,取得元!$A$2:$F$501,2,FALSE),"-")</f>
        <v>-</v>
      </c>
      <c r="H1238" s="24" t="str">
        <f>IFERROR(VLOOKUP(A1238,取得元!$A$2:$F$501,3,FALSE),"-")</f>
        <v>-</v>
      </c>
      <c r="I1238" s="24" t="str">
        <f>IFERROR(VLOOKUP(A1238,取得元!$A$2:$F$501,4,FALSE),"-")</f>
        <v>-</v>
      </c>
      <c r="J1238" s="5" t="str">
        <f>IFERROR(VLOOKUP(A1238,取得元!$A$2:$F$501,5,FALSE),"-")</f>
        <v>-</v>
      </c>
      <c r="K1238" s="25" t="str">
        <f>IFERROR(VLOOKUP(A1238,取得元!$A$2:$F$501,6,FALSE)/100,"-")</f>
        <v>-</v>
      </c>
      <c r="L1238" s="21" t="str">
        <f>_xll.RssMarket(A1238,"始値")</f>
        <v/>
      </c>
      <c r="M1238" s="4" t="e">
        <f t="shared" ref="M1238:M1301" si="110">C1238/L1238-1</f>
        <v>#VALUE!</v>
      </c>
      <c r="N1238" s="21" t="str">
        <f>_xll.RssMarket(A1238,"高値")</f>
        <v/>
      </c>
      <c r="O1238" s="4" t="e">
        <f t="shared" ref="O1238:O1301" si="111">C1238/N1238-1</f>
        <v>#VALUE!</v>
      </c>
      <c r="P1238" s="21" t="str">
        <f>_xll.RssMarket(A1238,"安値")</f>
        <v/>
      </c>
      <c r="Q1238" s="4" t="e">
        <f t="shared" ref="Q1238:Q1301" si="112">C1238/P1238-1</f>
        <v>#VALUE!</v>
      </c>
      <c r="R1238" s="21" t="str">
        <f>_xll.RssMarket(A1238,"後場始値")</f>
        <v/>
      </c>
      <c r="S1238" s="25" t="str">
        <f t="shared" ref="S1238:S1301" si="113">IFERROR(C1238/R1238-1,"-")</f>
        <v>-</v>
      </c>
      <c r="T1238" s="7" t="str">
        <f>_xll.RssMarket(A1238,"出来高加重平均")</f>
        <v/>
      </c>
      <c r="U1238" s="4" t="e">
        <f t="shared" ref="U1238:U1301" si="114">C1238/T1238-1</f>
        <v>#VALUE!</v>
      </c>
      <c r="V1238" s="21" t="str">
        <f>_xll.RssMarket(A1238,"出来高")</f>
        <v/>
      </c>
      <c r="W1238" s="21" t="str">
        <f>_xll.RssMarket(A1238,"売買代金")</f>
        <v/>
      </c>
      <c r="X1238" s="20" t="str">
        <f>_xll.RssMarket(A1238,"決算発表日")</f>
        <v/>
      </c>
      <c r="Y1238" s="26" t="str">
        <f>IF(C1238&gt;_xll.RssMarket(A1238,"年初来高値"),"○","×")</f>
        <v>×</v>
      </c>
      <c r="Z1238" s="27" t="str">
        <f>IF(C1238&lt;=_xll.RssMarket(A1238,"年初来安値"),"○","×")</f>
        <v>○</v>
      </c>
    </row>
    <row r="1239" spans="2:26" x14ac:dyDescent="0.55000000000000004">
      <c r="B1239" s="20" t="str">
        <f>_xll.RssMarket(A1239,"銘柄名称")</f>
        <v/>
      </c>
      <c r="C1239" s="21" t="str">
        <f>_xll.RssMarket(A1239,"現在値")</f>
        <v/>
      </c>
      <c r="D1239" s="20" t="str">
        <f>_xll.RssMarket(A1239,"現在値詳細時刻")</f>
        <v/>
      </c>
      <c r="E1239" s="22" t="str">
        <f>_xll.RssMarket(A1239,"前日比")</f>
        <v/>
      </c>
      <c r="F1239" s="23" t="e">
        <f>_xll.RssMarket(A1239,"前日比率")/100</f>
        <v>#VALUE!</v>
      </c>
      <c r="G1239" s="24" t="str">
        <f>IFERROR(VLOOKUP(A1239,取得元!$A$2:$F$501,2,FALSE),"-")</f>
        <v>-</v>
      </c>
      <c r="H1239" s="24" t="str">
        <f>IFERROR(VLOOKUP(A1239,取得元!$A$2:$F$501,3,FALSE),"-")</f>
        <v>-</v>
      </c>
      <c r="I1239" s="24" t="str">
        <f>IFERROR(VLOOKUP(A1239,取得元!$A$2:$F$501,4,FALSE),"-")</f>
        <v>-</v>
      </c>
      <c r="J1239" s="5" t="str">
        <f>IFERROR(VLOOKUP(A1239,取得元!$A$2:$F$501,5,FALSE),"-")</f>
        <v>-</v>
      </c>
      <c r="K1239" s="25" t="str">
        <f>IFERROR(VLOOKUP(A1239,取得元!$A$2:$F$501,6,FALSE)/100,"-")</f>
        <v>-</v>
      </c>
      <c r="L1239" s="21" t="str">
        <f>_xll.RssMarket(A1239,"始値")</f>
        <v/>
      </c>
      <c r="M1239" s="4" t="e">
        <f t="shared" si="110"/>
        <v>#VALUE!</v>
      </c>
      <c r="N1239" s="21" t="str">
        <f>_xll.RssMarket(A1239,"高値")</f>
        <v/>
      </c>
      <c r="O1239" s="4" t="e">
        <f t="shared" si="111"/>
        <v>#VALUE!</v>
      </c>
      <c r="P1239" s="21" t="str">
        <f>_xll.RssMarket(A1239,"安値")</f>
        <v/>
      </c>
      <c r="Q1239" s="4" t="e">
        <f t="shared" si="112"/>
        <v>#VALUE!</v>
      </c>
      <c r="R1239" s="21" t="str">
        <f>_xll.RssMarket(A1239,"後場始値")</f>
        <v/>
      </c>
      <c r="S1239" s="25" t="str">
        <f t="shared" si="113"/>
        <v>-</v>
      </c>
      <c r="T1239" s="7" t="str">
        <f>_xll.RssMarket(A1239,"出来高加重平均")</f>
        <v/>
      </c>
      <c r="U1239" s="4" t="e">
        <f t="shared" si="114"/>
        <v>#VALUE!</v>
      </c>
      <c r="V1239" s="21" t="str">
        <f>_xll.RssMarket(A1239,"出来高")</f>
        <v/>
      </c>
      <c r="W1239" s="21" t="str">
        <f>_xll.RssMarket(A1239,"売買代金")</f>
        <v/>
      </c>
      <c r="X1239" s="20" t="str">
        <f>_xll.RssMarket(A1239,"決算発表日")</f>
        <v/>
      </c>
      <c r="Y1239" s="26" t="str">
        <f>IF(C1239&gt;_xll.RssMarket(A1239,"年初来高値"),"○","×")</f>
        <v>×</v>
      </c>
      <c r="Z1239" s="27" t="str">
        <f>IF(C1239&lt;=_xll.RssMarket(A1239,"年初来安値"),"○","×")</f>
        <v>○</v>
      </c>
    </row>
    <row r="1240" spans="2:26" x14ac:dyDescent="0.55000000000000004">
      <c r="B1240" s="20" t="str">
        <f>_xll.RssMarket(A1240,"銘柄名称")</f>
        <v/>
      </c>
      <c r="C1240" s="21" t="str">
        <f>_xll.RssMarket(A1240,"現在値")</f>
        <v/>
      </c>
      <c r="D1240" s="20" t="str">
        <f>_xll.RssMarket(A1240,"現在値詳細時刻")</f>
        <v/>
      </c>
      <c r="E1240" s="22" t="str">
        <f>_xll.RssMarket(A1240,"前日比")</f>
        <v/>
      </c>
      <c r="F1240" s="23" t="e">
        <f>_xll.RssMarket(A1240,"前日比率")/100</f>
        <v>#VALUE!</v>
      </c>
      <c r="G1240" s="24" t="str">
        <f>IFERROR(VLOOKUP(A1240,取得元!$A$2:$F$501,2,FALSE),"-")</f>
        <v>-</v>
      </c>
      <c r="H1240" s="24" t="str">
        <f>IFERROR(VLOOKUP(A1240,取得元!$A$2:$F$501,3,FALSE),"-")</f>
        <v>-</v>
      </c>
      <c r="I1240" s="24" t="str">
        <f>IFERROR(VLOOKUP(A1240,取得元!$A$2:$F$501,4,FALSE),"-")</f>
        <v>-</v>
      </c>
      <c r="J1240" s="5" t="str">
        <f>IFERROR(VLOOKUP(A1240,取得元!$A$2:$F$501,5,FALSE),"-")</f>
        <v>-</v>
      </c>
      <c r="K1240" s="25" t="str">
        <f>IFERROR(VLOOKUP(A1240,取得元!$A$2:$F$501,6,FALSE)/100,"-")</f>
        <v>-</v>
      </c>
      <c r="L1240" s="21" t="str">
        <f>_xll.RssMarket(A1240,"始値")</f>
        <v/>
      </c>
      <c r="M1240" s="4" t="e">
        <f t="shared" si="110"/>
        <v>#VALUE!</v>
      </c>
      <c r="N1240" s="21" t="str">
        <f>_xll.RssMarket(A1240,"高値")</f>
        <v/>
      </c>
      <c r="O1240" s="4" t="e">
        <f t="shared" si="111"/>
        <v>#VALUE!</v>
      </c>
      <c r="P1240" s="21" t="str">
        <f>_xll.RssMarket(A1240,"安値")</f>
        <v/>
      </c>
      <c r="Q1240" s="4" t="e">
        <f t="shared" si="112"/>
        <v>#VALUE!</v>
      </c>
      <c r="R1240" s="21" t="str">
        <f>_xll.RssMarket(A1240,"後場始値")</f>
        <v/>
      </c>
      <c r="S1240" s="25" t="str">
        <f t="shared" si="113"/>
        <v>-</v>
      </c>
      <c r="T1240" s="7" t="str">
        <f>_xll.RssMarket(A1240,"出来高加重平均")</f>
        <v/>
      </c>
      <c r="U1240" s="4" t="e">
        <f t="shared" si="114"/>
        <v>#VALUE!</v>
      </c>
      <c r="V1240" s="21" t="str">
        <f>_xll.RssMarket(A1240,"出来高")</f>
        <v/>
      </c>
      <c r="W1240" s="21" t="str">
        <f>_xll.RssMarket(A1240,"売買代金")</f>
        <v/>
      </c>
      <c r="X1240" s="20" t="str">
        <f>_xll.RssMarket(A1240,"決算発表日")</f>
        <v/>
      </c>
      <c r="Y1240" s="26" t="str">
        <f>IF(C1240&gt;_xll.RssMarket(A1240,"年初来高値"),"○","×")</f>
        <v>×</v>
      </c>
      <c r="Z1240" s="27" t="str">
        <f>IF(C1240&lt;=_xll.RssMarket(A1240,"年初来安値"),"○","×")</f>
        <v>○</v>
      </c>
    </row>
    <row r="1241" spans="2:26" x14ac:dyDescent="0.55000000000000004">
      <c r="B1241" s="20" t="str">
        <f>_xll.RssMarket(A1241,"銘柄名称")</f>
        <v/>
      </c>
      <c r="C1241" s="21" t="str">
        <f>_xll.RssMarket(A1241,"現在値")</f>
        <v/>
      </c>
      <c r="D1241" s="20" t="str">
        <f>_xll.RssMarket(A1241,"現在値詳細時刻")</f>
        <v/>
      </c>
      <c r="E1241" s="22" t="str">
        <f>_xll.RssMarket(A1241,"前日比")</f>
        <v/>
      </c>
      <c r="F1241" s="23" t="e">
        <f>_xll.RssMarket(A1241,"前日比率")/100</f>
        <v>#VALUE!</v>
      </c>
      <c r="G1241" s="24" t="str">
        <f>IFERROR(VLOOKUP(A1241,取得元!$A$2:$F$501,2,FALSE),"-")</f>
        <v>-</v>
      </c>
      <c r="H1241" s="24" t="str">
        <f>IFERROR(VLOOKUP(A1241,取得元!$A$2:$F$501,3,FALSE),"-")</f>
        <v>-</v>
      </c>
      <c r="I1241" s="24" t="str">
        <f>IFERROR(VLOOKUP(A1241,取得元!$A$2:$F$501,4,FALSE),"-")</f>
        <v>-</v>
      </c>
      <c r="J1241" s="5" t="str">
        <f>IFERROR(VLOOKUP(A1241,取得元!$A$2:$F$501,5,FALSE),"-")</f>
        <v>-</v>
      </c>
      <c r="K1241" s="25" t="str">
        <f>IFERROR(VLOOKUP(A1241,取得元!$A$2:$F$501,6,FALSE)/100,"-")</f>
        <v>-</v>
      </c>
      <c r="L1241" s="21" t="str">
        <f>_xll.RssMarket(A1241,"始値")</f>
        <v/>
      </c>
      <c r="M1241" s="4" t="e">
        <f t="shared" si="110"/>
        <v>#VALUE!</v>
      </c>
      <c r="N1241" s="21" t="str">
        <f>_xll.RssMarket(A1241,"高値")</f>
        <v/>
      </c>
      <c r="O1241" s="4" t="e">
        <f t="shared" si="111"/>
        <v>#VALUE!</v>
      </c>
      <c r="P1241" s="21" t="str">
        <f>_xll.RssMarket(A1241,"安値")</f>
        <v/>
      </c>
      <c r="Q1241" s="4" t="e">
        <f t="shared" si="112"/>
        <v>#VALUE!</v>
      </c>
      <c r="R1241" s="21" t="str">
        <f>_xll.RssMarket(A1241,"後場始値")</f>
        <v/>
      </c>
      <c r="S1241" s="25" t="str">
        <f t="shared" si="113"/>
        <v>-</v>
      </c>
      <c r="T1241" s="7" t="str">
        <f>_xll.RssMarket(A1241,"出来高加重平均")</f>
        <v/>
      </c>
      <c r="U1241" s="4" t="e">
        <f t="shared" si="114"/>
        <v>#VALUE!</v>
      </c>
      <c r="V1241" s="21" t="str">
        <f>_xll.RssMarket(A1241,"出来高")</f>
        <v/>
      </c>
      <c r="W1241" s="21" t="str">
        <f>_xll.RssMarket(A1241,"売買代金")</f>
        <v/>
      </c>
      <c r="X1241" s="20" t="str">
        <f>_xll.RssMarket(A1241,"決算発表日")</f>
        <v/>
      </c>
      <c r="Y1241" s="26" t="str">
        <f>IF(C1241&gt;_xll.RssMarket(A1241,"年初来高値"),"○","×")</f>
        <v>×</v>
      </c>
      <c r="Z1241" s="27" t="str">
        <f>IF(C1241&lt;=_xll.RssMarket(A1241,"年初来安値"),"○","×")</f>
        <v>○</v>
      </c>
    </row>
    <row r="1242" spans="2:26" x14ac:dyDescent="0.55000000000000004">
      <c r="B1242" s="20" t="str">
        <f>_xll.RssMarket(A1242,"銘柄名称")</f>
        <v/>
      </c>
      <c r="C1242" s="21" t="str">
        <f>_xll.RssMarket(A1242,"現在値")</f>
        <v/>
      </c>
      <c r="D1242" s="20" t="str">
        <f>_xll.RssMarket(A1242,"現在値詳細時刻")</f>
        <v/>
      </c>
      <c r="E1242" s="22" t="str">
        <f>_xll.RssMarket(A1242,"前日比")</f>
        <v/>
      </c>
      <c r="F1242" s="23" t="e">
        <f>_xll.RssMarket(A1242,"前日比率")/100</f>
        <v>#VALUE!</v>
      </c>
      <c r="G1242" s="24" t="str">
        <f>IFERROR(VLOOKUP(A1242,取得元!$A$2:$F$501,2,FALSE),"-")</f>
        <v>-</v>
      </c>
      <c r="H1242" s="24" t="str">
        <f>IFERROR(VLOOKUP(A1242,取得元!$A$2:$F$501,3,FALSE),"-")</f>
        <v>-</v>
      </c>
      <c r="I1242" s="24" t="str">
        <f>IFERROR(VLOOKUP(A1242,取得元!$A$2:$F$501,4,FALSE),"-")</f>
        <v>-</v>
      </c>
      <c r="J1242" s="5" t="str">
        <f>IFERROR(VLOOKUP(A1242,取得元!$A$2:$F$501,5,FALSE),"-")</f>
        <v>-</v>
      </c>
      <c r="K1242" s="25" t="str">
        <f>IFERROR(VLOOKUP(A1242,取得元!$A$2:$F$501,6,FALSE)/100,"-")</f>
        <v>-</v>
      </c>
      <c r="L1242" s="21" t="str">
        <f>_xll.RssMarket(A1242,"始値")</f>
        <v/>
      </c>
      <c r="M1242" s="4" t="e">
        <f t="shared" si="110"/>
        <v>#VALUE!</v>
      </c>
      <c r="N1242" s="21" t="str">
        <f>_xll.RssMarket(A1242,"高値")</f>
        <v/>
      </c>
      <c r="O1242" s="4" t="e">
        <f t="shared" si="111"/>
        <v>#VALUE!</v>
      </c>
      <c r="P1242" s="21" t="str">
        <f>_xll.RssMarket(A1242,"安値")</f>
        <v/>
      </c>
      <c r="Q1242" s="4" t="e">
        <f t="shared" si="112"/>
        <v>#VALUE!</v>
      </c>
      <c r="R1242" s="21" t="str">
        <f>_xll.RssMarket(A1242,"後場始値")</f>
        <v/>
      </c>
      <c r="S1242" s="25" t="str">
        <f t="shared" si="113"/>
        <v>-</v>
      </c>
      <c r="T1242" s="7" t="str">
        <f>_xll.RssMarket(A1242,"出来高加重平均")</f>
        <v/>
      </c>
      <c r="U1242" s="4" t="e">
        <f t="shared" si="114"/>
        <v>#VALUE!</v>
      </c>
      <c r="V1242" s="21" t="str">
        <f>_xll.RssMarket(A1242,"出来高")</f>
        <v/>
      </c>
      <c r="W1242" s="21" t="str">
        <f>_xll.RssMarket(A1242,"売買代金")</f>
        <v/>
      </c>
      <c r="X1242" s="20" t="str">
        <f>_xll.RssMarket(A1242,"決算発表日")</f>
        <v/>
      </c>
      <c r="Y1242" s="26" t="str">
        <f>IF(C1242&gt;_xll.RssMarket(A1242,"年初来高値"),"○","×")</f>
        <v>×</v>
      </c>
      <c r="Z1242" s="27" t="str">
        <f>IF(C1242&lt;=_xll.RssMarket(A1242,"年初来安値"),"○","×")</f>
        <v>○</v>
      </c>
    </row>
    <row r="1243" spans="2:26" x14ac:dyDescent="0.55000000000000004">
      <c r="B1243" s="20" t="str">
        <f>_xll.RssMarket(A1243,"銘柄名称")</f>
        <v/>
      </c>
      <c r="C1243" s="21" t="str">
        <f>_xll.RssMarket(A1243,"現在値")</f>
        <v/>
      </c>
      <c r="D1243" s="20" t="str">
        <f>_xll.RssMarket(A1243,"現在値詳細時刻")</f>
        <v/>
      </c>
      <c r="E1243" s="22" t="str">
        <f>_xll.RssMarket(A1243,"前日比")</f>
        <v/>
      </c>
      <c r="F1243" s="23" t="e">
        <f>_xll.RssMarket(A1243,"前日比率")/100</f>
        <v>#VALUE!</v>
      </c>
      <c r="G1243" s="24" t="str">
        <f>IFERROR(VLOOKUP(A1243,取得元!$A$2:$F$501,2,FALSE),"-")</f>
        <v>-</v>
      </c>
      <c r="H1243" s="24" t="str">
        <f>IFERROR(VLOOKUP(A1243,取得元!$A$2:$F$501,3,FALSE),"-")</f>
        <v>-</v>
      </c>
      <c r="I1243" s="24" t="str">
        <f>IFERROR(VLOOKUP(A1243,取得元!$A$2:$F$501,4,FALSE),"-")</f>
        <v>-</v>
      </c>
      <c r="J1243" s="5" t="str">
        <f>IFERROR(VLOOKUP(A1243,取得元!$A$2:$F$501,5,FALSE),"-")</f>
        <v>-</v>
      </c>
      <c r="K1243" s="25" t="str">
        <f>IFERROR(VLOOKUP(A1243,取得元!$A$2:$F$501,6,FALSE)/100,"-")</f>
        <v>-</v>
      </c>
      <c r="L1243" s="21" t="str">
        <f>_xll.RssMarket(A1243,"始値")</f>
        <v/>
      </c>
      <c r="M1243" s="4" t="e">
        <f t="shared" si="110"/>
        <v>#VALUE!</v>
      </c>
      <c r="N1243" s="21" t="str">
        <f>_xll.RssMarket(A1243,"高値")</f>
        <v/>
      </c>
      <c r="O1243" s="4" t="e">
        <f t="shared" si="111"/>
        <v>#VALUE!</v>
      </c>
      <c r="P1243" s="21" t="str">
        <f>_xll.RssMarket(A1243,"安値")</f>
        <v/>
      </c>
      <c r="Q1243" s="4" t="e">
        <f t="shared" si="112"/>
        <v>#VALUE!</v>
      </c>
      <c r="R1243" s="21" t="str">
        <f>_xll.RssMarket(A1243,"後場始値")</f>
        <v/>
      </c>
      <c r="S1243" s="25" t="str">
        <f t="shared" si="113"/>
        <v>-</v>
      </c>
      <c r="T1243" s="7" t="str">
        <f>_xll.RssMarket(A1243,"出来高加重平均")</f>
        <v/>
      </c>
      <c r="U1243" s="4" t="e">
        <f t="shared" si="114"/>
        <v>#VALUE!</v>
      </c>
      <c r="V1243" s="21" t="str">
        <f>_xll.RssMarket(A1243,"出来高")</f>
        <v/>
      </c>
      <c r="W1243" s="21" t="str">
        <f>_xll.RssMarket(A1243,"売買代金")</f>
        <v/>
      </c>
      <c r="X1243" s="20" t="str">
        <f>_xll.RssMarket(A1243,"決算発表日")</f>
        <v/>
      </c>
      <c r="Y1243" s="26" t="str">
        <f>IF(C1243&gt;_xll.RssMarket(A1243,"年初来高値"),"○","×")</f>
        <v>×</v>
      </c>
      <c r="Z1243" s="27" t="str">
        <f>IF(C1243&lt;=_xll.RssMarket(A1243,"年初来安値"),"○","×")</f>
        <v>○</v>
      </c>
    </row>
    <row r="1244" spans="2:26" x14ac:dyDescent="0.55000000000000004">
      <c r="B1244" s="20" t="str">
        <f>_xll.RssMarket(A1244,"銘柄名称")</f>
        <v/>
      </c>
      <c r="C1244" s="21" t="str">
        <f>_xll.RssMarket(A1244,"現在値")</f>
        <v/>
      </c>
      <c r="D1244" s="20" t="str">
        <f>_xll.RssMarket(A1244,"現在値詳細時刻")</f>
        <v/>
      </c>
      <c r="E1244" s="22" t="str">
        <f>_xll.RssMarket(A1244,"前日比")</f>
        <v/>
      </c>
      <c r="F1244" s="23" t="e">
        <f>_xll.RssMarket(A1244,"前日比率")/100</f>
        <v>#VALUE!</v>
      </c>
      <c r="G1244" s="24" t="str">
        <f>IFERROR(VLOOKUP(A1244,取得元!$A$2:$F$501,2,FALSE),"-")</f>
        <v>-</v>
      </c>
      <c r="H1244" s="24" t="str">
        <f>IFERROR(VLOOKUP(A1244,取得元!$A$2:$F$501,3,FALSE),"-")</f>
        <v>-</v>
      </c>
      <c r="I1244" s="24" t="str">
        <f>IFERROR(VLOOKUP(A1244,取得元!$A$2:$F$501,4,FALSE),"-")</f>
        <v>-</v>
      </c>
      <c r="J1244" s="5" t="str">
        <f>IFERROR(VLOOKUP(A1244,取得元!$A$2:$F$501,5,FALSE),"-")</f>
        <v>-</v>
      </c>
      <c r="K1244" s="25" t="str">
        <f>IFERROR(VLOOKUP(A1244,取得元!$A$2:$F$501,6,FALSE)/100,"-")</f>
        <v>-</v>
      </c>
      <c r="L1244" s="21" t="str">
        <f>_xll.RssMarket(A1244,"始値")</f>
        <v/>
      </c>
      <c r="M1244" s="4" t="e">
        <f t="shared" si="110"/>
        <v>#VALUE!</v>
      </c>
      <c r="N1244" s="21" t="str">
        <f>_xll.RssMarket(A1244,"高値")</f>
        <v/>
      </c>
      <c r="O1244" s="4" t="e">
        <f t="shared" si="111"/>
        <v>#VALUE!</v>
      </c>
      <c r="P1244" s="21" t="str">
        <f>_xll.RssMarket(A1244,"安値")</f>
        <v/>
      </c>
      <c r="Q1244" s="4" t="e">
        <f t="shared" si="112"/>
        <v>#VALUE!</v>
      </c>
      <c r="R1244" s="21" t="str">
        <f>_xll.RssMarket(A1244,"後場始値")</f>
        <v/>
      </c>
      <c r="S1244" s="25" t="str">
        <f t="shared" si="113"/>
        <v>-</v>
      </c>
      <c r="T1244" s="7" t="str">
        <f>_xll.RssMarket(A1244,"出来高加重平均")</f>
        <v/>
      </c>
      <c r="U1244" s="4" t="e">
        <f t="shared" si="114"/>
        <v>#VALUE!</v>
      </c>
      <c r="V1244" s="21" t="str">
        <f>_xll.RssMarket(A1244,"出来高")</f>
        <v/>
      </c>
      <c r="W1244" s="21" t="str">
        <f>_xll.RssMarket(A1244,"売買代金")</f>
        <v/>
      </c>
      <c r="X1244" s="20" t="str">
        <f>_xll.RssMarket(A1244,"決算発表日")</f>
        <v/>
      </c>
      <c r="Y1244" s="26" t="str">
        <f>IF(C1244&gt;_xll.RssMarket(A1244,"年初来高値"),"○","×")</f>
        <v>×</v>
      </c>
      <c r="Z1244" s="27" t="str">
        <f>IF(C1244&lt;=_xll.RssMarket(A1244,"年初来安値"),"○","×")</f>
        <v>○</v>
      </c>
    </row>
    <row r="1245" spans="2:26" x14ac:dyDescent="0.55000000000000004">
      <c r="B1245" s="20" t="str">
        <f>_xll.RssMarket(A1245,"銘柄名称")</f>
        <v/>
      </c>
      <c r="C1245" s="21" t="str">
        <f>_xll.RssMarket(A1245,"現在値")</f>
        <v/>
      </c>
      <c r="D1245" s="20" t="str">
        <f>_xll.RssMarket(A1245,"現在値詳細時刻")</f>
        <v/>
      </c>
      <c r="E1245" s="22" t="str">
        <f>_xll.RssMarket(A1245,"前日比")</f>
        <v/>
      </c>
      <c r="F1245" s="23" t="e">
        <f>_xll.RssMarket(A1245,"前日比率")/100</f>
        <v>#VALUE!</v>
      </c>
      <c r="G1245" s="24" t="str">
        <f>IFERROR(VLOOKUP(A1245,取得元!$A$2:$F$501,2,FALSE),"-")</f>
        <v>-</v>
      </c>
      <c r="H1245" s="24" t="str">
        <f>IFERROR(VLOOKUP(A1245,取得元!$A$2:$F$501,3,FALSE),"-")</f>
        <v>-</v>
      </c>
      <c r="I1245" s="24" t="str">
        <f>IFERROR(VLOOKUP(A1245,取得元!$A$2:$F$501,4,FALSE),"-")</f>
        <v>-</v>
      </c>
      <c r="J1245" s="5" t="str">
        <f>IFERROR(VLOOKUP(A1245,取得元!$A$2:$F$501,5,FALSE),"-")</f>
        <v>-</v>
      </c>
      <c r="K1245" s="25" t="str">
        <f>IFERROR(VLOOKUP(A1245,取得元!$A$2:$F$501,6,FALSE)/100,"-")</f>
        <v>-</v>
      </c>
      <c r="L1245" s="21" t="str">
        <f>_xll.RssMarket(A1245,"始値")</f>
        <v/>
      </c>
      <c r="M1245" s="4" t="e">
        <f t="shared" si="110"/>
        <v>#VALUE!</v>
      </c>
      <c r="N1245" s="21" t="str">
        <f>_xll.RssMarket(A1245,"高値")</f>
        <v/>
      </c>
      <c r="O1245" s="4" t="e">
        <f t="shared" si="111"/>
        <v>#VALUE!</v>
      </c>
      <c r="P1245" s="21" t="str">
        <f>_xll.RssMarket(A1245,"安値")</f>
        <v/>
      </c>
      <c r="Q1245" s="4" t="e">
        <f t="shared" si="112"/>
        <v>#VALUE!</v>
      </c>
      <c r="R1245" s="21" t="str">
        <f>_xll.RssMarket(A1245,"後場始値")</f>
        <v/>
      </c>
      <c r="S1245" s="25" t="str">
        <f t="shared" si="113"/>
        <v>-</v>
      </c>
      <c r="T1245" s="7" t="str">
        <f>_xll.RssMarket(A1245,"出来高加重平均")</f>
        <v/>
      </c>
      <c r="U1245" s="4" t="e">
        <f t="shared" si="114"/>
        <v>#VALUE!</v>
      </c>
      <c r="V1245" s="21" t="str">
        <f>_xll.RssMarket(A1245,"出来高")</f>
        <v/>
      </c>
      <c r="W1245" s="21" t="str">
        <f>_xll.RssMarket(A1245,"売買代金")</f>
        <v/>
      </c>
      <c r="X1245" s="20" t="str">
        <f>_xll.RssMarket(A1245,"決算発表日")</f>
        <v/>
      </c>
      <c r="Y1245" s="26" t="str">
        <f>IF(C1245&gt;_xll.RssMarket(A1245,"年初来高値"),"○","×")</f>
        <v>×</v>
      </c>
      <c r="Z1245" s="27" t="str">
        <f>IF(C1245&lt;=_xll.RssMarket(A1245,"年初来安値"),"○","×")</f>
        <v>○</v>
      </c>
    </row>
    <row r="1246" spans="2:26" x14ac:dyDescent="0.55000000000000004">
      <c r="B1246" s="20" t="str">
        <f>_xll.RssMarket(A1246,"銘柄名称")</f>
        <v/>
      </c>
      <c r="C1246" s="21" t="str">
        <f>_xll.RssMarket(A1246,"現在値")</f>
        <v/>
      </c>
      <c r="D1246" s="20" t="str">
        <f>_xll.RssMarket(A1246,"現在値詳細時刻")</f>
        <v/>
      </c>
      <c r="E1246" s="22" t="str">
        <f>_xll.RssMarket(A1246,"前日比")</f>
        <v/>
      </c>
      <c r="F1246" s="23" t="e">
        <f>_xll.RssMarket(A1246,"前日比率")/100</f>
        <v>#VALUE!</v>
      </c>
      <c r="G1246" s="24" t="str">
        <f>IFERROR(VLOOKUP(A1246,取得元!$A$2:$F$501,2,FALSE),"-")</f>
        <v>-</v>
      </c>
      <c r="H1246" s="24" t="str">
        <f>IFERROR(VLOOKUP(A1246,取得元!$A$2:$F$501,3,FALSE),"-")</f>
        <v>-</v>
      </c>
      <c r="I1246" s="24" t="str">
        <f>IFERROR(VLOOKUP(A1246,取得元!$A$2:$F$501,4,FALSE),"-")</f>
        <v>-</v>
      </c>
      <c r="J1246" s="5" t="str">
        <f>IFERROR(VLOOKUP(A1246,取得元!$A$2:$F$501,5,FALSE),"-")</f>
        <v>-</v>
      </c>
      <c r="K1246" s="25" t="str">
        <f>IFERROR(VLOOKUP(A1246,取得元!$A$2:$F$501,6,FALSE)/100,"-")</f>
        <v>-</v>
      </c>
      <c r="L1246" s="21" t="str">
        <f>_xll.RssMarket(A1246,"始値")</f>
        <v/>
      </c>
      <c r="M1246" s="4" t="e">
        <f t="shared" si="110"/>
        <v>#VALUE!</v>
      </c>
      <c r="N1246" s="21" t="str">
        <f>_xll.RssMarket(A1246,"高値")</f>
        <v/>
      </c>
      <c r="O1246" s="4" t="e">
        <f t="shared" si="111"/>
        <v>#VALUE!</v>
      </c>
      <c r="P1246" s="21" t="str">
        <f>_xll.RssMarket(A1246,"安値")</f>
        <v/>
      </c>
      <c r="Q1246" s="4" t="e">
        <f t="shared" si="112"/>
        <v>#VALUE!</v>
      </c>
      <c r="R1246" s="21" t="str">
        <f>_xll.RssMarket(A1246,"後場始値")</f>
        <v/>
      </c>
      <c r="S1246" s="25" t="str">
        <f t="shared" si="113"/>
        <v>-</v>
      </c>
      <c r="T1246" s="7" t="str">
        <f>_xll.RssMarket(A1246,"出来高加重平均")</f>
        <v/>
      </c>
      <c r="U1246" s="4" t="e">
        <f t="shared" si="114"/>
        <v>#VALUE!</v>
      </c>
      <c r="V1246" s="21" t="str">
        <f>_xll.RssMarket(A1246,"出来高")</f>
        <v/>
      </c>
      <c r="W1246" s="21" t="str">
        <f>_xll.RssMarket(A1246,"売買代金")</f>
        <v/>
      </c>
      <c r="X1246" s="20" t="str">
        <f>_xll.RssMarket(A1246,"決算発表日")</f>
        <v/>
      </c>
      <c r="Y1246" s="26" t="str">
        <f>IF(C1246&gt;_xll.RssMarket(A1246,"年初来高値"),"○","×")</f>
        <v>×</v>
      </c>
      <c r="Z1246" s="27" t="str">
        <f>IF(C1246&lt;=_xll.RssMarket(A1246,"年初来安値"),"○","×")</f>
        <v>○</v>
      </c>
    </row>
    <row r="1247" spans="2:26" x14ac:dyDescent="0.55000000000000004">
      <c r="B1247" s="20" t="str">
        <f>_xll.RssMarket(A1247,"銘柄名称")</f>
        <v/>
      </c>
      <c r="C1247" s="21" t="str">
        <f>_xll.RssMarket(A1247,"現在値")</f>
        <v/>
      </c>
      <c r="D1247" s="20" t="str">
        <f>_xll.RssMarket(A1247,"現在値詳細時刻")</f>
        <v/>
      </c>
      <c r="E1247" s="22" t="str">
        <f>_xll.RssMarket(A1247,"前日比")</f>
        <v/>
      </c>
      <c r="F1247" s="23" t="e">
        <f>_xll.RssMarket(A1247,"前日比率")/100</f>
        <v>#VALUE!</v>
      </c>
      <c r="G1247" s="24" t="str">
        <f>IFERROR(VLOOKUP(A1247,取得元!$A$2:$F$501,2,FALSE),"-")</f>
        <v>-</v>
      </c>
      <c r="H1247" s="24" t="str">
        <f>IFERROR(VLOOKUP(A1247,取得元!$A$2:$F$501,3,FALSE),"-")</f>
        <v>-</v>
      </c>
      <c r="I1247" s="24" t="str">
        <f>IFERROR(VLOOKUP(A1247,取得元!$A$2:$F$501,4,FALSE),"-")</f>
        <v>-</v>
      </c>
      <c r="J1247" s="5" t="str">
        <f>IFERROR(VLOOKUP(A1247,取得元!$A$2:$F$501,5,FALSE),"-")</f>
        <v>-</v>
      </c>
      <c r="K1247" s="25" t="str">
        <f>IFERROR(VLOOKUP(A1247,取得元!$A$2:$F$501,6,FALSE)/100,"-")</f>
        <v>-</v>
      </c>
      <c r="L1247" s="21" t="str">
        <f>_xll.RssMarket(A1247,"始値")</f>
        <v/>
      </c>
      <c r="M1247" s="4" t="e">
        <f t="shared" si="110"/>
        <v>#VALUE!</v>
      </c>
      <c r="N1247" s="21" t="str">
        <f>_xll.RssMarket(A1247,"高値")</f>
        <v/>
      </c>
      <c r="O1247" s="4" t="e">
        <f t="shared" si="111"/>
        <v>#VALUE!</v>
      </c>
      <c r="P1247" s="21" t="str">
        <f>_xll.RssMarket(A1247,"安値")</f>
        <v/>
      </c>
      <c r="Q1247" s="4" t="e">
        <f t="shared" si="112"/>
        <v>#VALUE!</v>
      </c>
      <c r="R1247" s="21" t="str">
        <f>_xll.RssMarket(A1247,"後場始値")</f>
        <v/>
      </c>
      <c r="S1247" s="25" t="str">
        <f t="shared" si="113"/>
        <v>-</v>
      </c>
      <c r="T1247" s="7" t="str">
        <f>_xll.RssMarket(A1247,"出来高加重平均")</f>
        <v/>
      </c>
      <c r="U1247" s="4" t="e">
        <f t="shared" si="114"/>
        <v>#VALUE!</v>
      </c>
      <c r="V1247" s="21" t="str">
        <f>_xll.RssMarket(A1247,"出来高")</f>
        <v/>
      </c>
      <c r="W1247" s="21" t="str">
        <f>_xll.RssMarket(A1247,"売買代金")</f>
        <v/>
      </c>
      <c r="X1247" s="20" t="str">
        <f>_xll.RssMarket(A1247,"決算発表日")</f>
        <v/>
      </c>
      <c r="Y1247" s="26" t="str">
        <f>IF(C1247&gt;_xll.RssMarket(A1247,"年初来高値"),"○","×")</f>
        <v>×</v>
      </c>
      <c r="Z1247" s="27" t="str">
        <f>IF(C1247&lt;=_xll.RssMarket(A1247,"年初来安値"),"○","×")</f>
        <v>○</v>
      </c>
    </row>
    <row r="1248" spans="2:26" x14ac:dyDescent="0.55000000000000004">
      <c r="B1248" s="20" t="str">
        <f>_xll.RssMarket(A1248,"銘柄名称")</f>
        <v/>
      </c>
      <c r="C1248" s="21" t="str">
        <f>_xll.RssMarket(A1248,"現在値")</f>
        <v/>
      </c>
      <c r="D1248" s="20" t="str">
        <f>_xll.RssMarket(A1248,"現在値詳細時刻")</f>
        <v/>
      </c>
      <c r="E1248" s="22" t="str">
        <f>_xll.RssMarket(A1248,"前日比")</f>
        <v/>
      </c>
      <c r="F1248" s="23" t="e">
        <f>_xll.RssMarket(A1248,"前日比率")/100</f>
        <v>#VALUE!</v>
      </c>
      <c r="G1248" s="24" t="str">
        <f>IFERROR(VLOOKUP(A1248,取得元!$A$2:$F$501,2,FALSE),"-")</f>
        <v>-</v>
      </c>
      <c r="H1248" s="24" t="str">
        <f>IFERROR(VLOOKUP(A1248,取得元!$A$2:$F$501,3,FALSE),"-")</f>
        <v>-</v>
      </c>
      <c r="I1248" s="24" t="str">
        <f>IFERROR(VLOOKUP(A1248,取得元!$A$2:$F$501,4,FALSE),"-")</f>
        <v>-</v>
      </c>
      <c r="J1248" s="5" t="str">
        <f>IFERROR(VLOOKUP(A1248,取得元!$A$2:$F$501,5,FALSE),"-")</f>
        <v>-</v>
      </c>
      <c r="K1248" s="25" t="str">
        <f>IFERROR(VLOOKUP(A1248,取得元!$A$2:$F$501,6,FALSE)/100,"-")</f>
        <v>-</v>
      </c>
      <c r="L1248" s="21" t="str">
        <f>_xll.RssMarket(A1248,"始値")</f>
        <v/>
      </c>
      <c r="M1248" s="4" t="e">
        <f t="shared" si="110"/>
        <v>#VALUE!</v>
      </c>
      <c r="N1248" s="21" t="str">
        <f>_xll.RssMarket(A1248,"高値")</f>
        <v/>
      </c>
      <c r="O1248" s="4" t="e">
        <f t="shared" si="111"/>
        <v>#VALUE!</v>
      </c>
      <c r="P1248" s="21" t="str">
        <f>_xll.RssMarket(A1248,"安値")</f>
        <v/>
      </c>
      <c r="Q1248" s="4" t="e">
        <f t="shared" si="112"/>
        <v>#VALUE!</v>
      </c>
      <c r="R1248" s="21" t="str">
        <f>_xll.RssMarket(A1248,"後場始値")</f>
        <v/>
      </c>
      <c r="S1248" s="25" t="str">
        <f t="shared" si="113"/>
        <v>-</v>
      </c>
      <c r="T1248" s="7" t="str">
        <f>_xll.RssMarket(A1248,"出来高加重平均")</f>
        <v/>
      </c>
      <c r="U1248" s="4" t="e">
        <f t="shared" si="114"/>
        <v>#VALUE!</v>
      </c>
      <c r="V1248" s="21" t="str">
        <f>_xll.RssMarket(A1248,"出来高")</f>
        <v/>
      </c>
      <c r="W1248" s="21" t="str">
        <f>_xll.RssMarket(A1248,"売買代金")</f>
        <v/>
      </c>
      <c r="X1248" s="20" t="str">
        <f>_xll.RssMarket(A1248,"決算発表日")</f>
        <v/>
      </c>
      <c r="Y1248" s="26" t="str">
        <f>IF(C1248&gt;_xll.RssMarket(A1248,"年初来高値"),"○","×")</f>
        <v>×</v>
      </c>
      <c r="Z1248" s="27" t="str">
        <f>IF(C1248&lt;=_xll.RssMarket(A1248,"年初来安値"),"○","×")</f>
        <v>○</v>
      </c>
    </row>
    <row r="1249" spans="2:26" x14ac:dyDescent="0.55000000000000004">
      <c r="B1249" s="20" t="str">
        <f>_xll.RssMarket(A1249,"銘柄名称")</f>
        <v/>
      </c>
      <c r="C1249" s="21" t="str">
        <f>_xll.RssMarket(A1249,"現在値")</f>
        <v/>
      </c>
      <c r="D1249" s="20" t="str">
        <f>_xll.RssMarket(A1249,"現在値詳細時刻")</f>
        <v/>
      </c>
      <c r="E1249" s="22" t="str">
        <f>_xll.RssMarket(A1249,"前日比")</f>
        <v/>
      </c>
      <c r="F1249" s="23" t="e">
        <f>_xll.RssMarket(A1249,"前日比率")/100</f>
        <v>#VALUE!</v>
      </c>
      <c r="G1249" s="24" t="str">
        <f>IFERROR(VLOOKUP(A1249,取得元!$A$2:$F$501,2,FALSE),"-")</f>
        <v>-</v>
      </c>
      <c r="H1249" s="24" t="str">
        <f>IFERROR(VLOOKUP(A1249,取得元!$A$2:$F$501,3,FALSE),"-")</f>
        <v>-</v>
      </c>
      <c r="I1249" s="24" t="str">
        <f>IFERROR(VLOOKUP(A1249,取得元!$A$2:$F$501,4,FALSE),"-")</f>
        <v>-</v>
      </c>
      <c r="J1249" s="5" t="str">
        <f>IFERROR(VLOOKUP(A1249,取得元!$A$2:$F$501,5,FALSE),"-")</f>
        <v>-</v>
      </c>
      <c r="K1249" s="25" t="str">
        <f>IFERROR(VLOOKUP(A1249,取得元!$A$2:$F$501,6,FALSE)/100,"-")</f>
        <v>-</v>
      </c>
      <c r="L1249" s="21" t="str">
        <f>_xll.RssMarket(A1249,"始値")</f>
        <v/>
      </c>
      <c r="M1249" s="4" t="e">
        <f t="shared" si="110"/>
        <v>#VALUE!</v>
      </c>
      <c r="N1249" s="21" t="str">
        <f>_xll.RssMarket(A1249,"高値")</f>
        <v/>
      </c>
      <c r="O1249" s="4" t="e">
        <f t="shared" si="111"/>
        <v>#VALUE!</v>
      </c>
      <c r="P1249" s="21" t="str">
        <f>_xll.RssMarket(A1249,"安値")</f>
        <v/>
      </c>
      <c r="Q1249" s="4" t="e">
        <f t="shared" si="112"/>
        <v>#VALUE!</v>
      </c>
      <c r="R1249" s="21" t="str">
        <f>_xll.RssMarket(A1249,"後場始値")</f>
        <v/>
      </c>
      <c r="S1249" s="25" t="str">
        <f t="shared" si="113"/>
        <v>-</v>
      </c>
      <c r="T1249" s="7" t="str">
        <f>_xll.RssMarket(A1249,"出来高加重平均")</f>
        <v/>
      </c>
      <c r="U1249" s="4" t="e">
        <f t="shared" si="114"/>
        <v>#VALUE!</v>
      </c>
      <c r="V1249" s="21" t="str">
        <f>_xll.RssMarket(A1249,"出来高")</f>
        <v/>
      </c>
      <c r="W1249" s="21" t="str">
        <f>_xll.RssMarket(A1249,"売買代金")</f>
        <v/>
      </c>
      <c r="X1249" s="20" t="str">
        <f>_xll.RssMarket(A1249,"決算発表日")</f>
        <v/>
      </c>
      <c r="Y1249" s="26" t="str">
        <f>IF(C1249&gt;_xll.RssMarket(A1249,"年初来高値"),"○","×")</f>
        <v>×</v>
      </c>
      <c r="Z1249" s="27" t="str">
        <f>IF(C1249&lt;=_xll.RssMarket(A1249,"年初来安値"),"○","×")</f>
        <v>○</v>
      </c>
    </row>
    <row r="1250" spans="2:26" x14ac:dyDescent="0.55000000000000004">
      <c r="B1250" s="20" t="str">
        <f>_xll.RssMarket(A1250,"銘柄名称")</f>
        <v/>
      </c>
      <c r="C1250" s="21" t="str">
        <f>_xll.RssMarket(A1250,"現在値")</f>
        <v/>
      </c>
      <c r="D1250" s="20" t="str">
        <f>_xll.RssMarket(A1250,"現在値詳細時刻")</f>
        <v/>
      </c>
      <c r="E1250" s="22" t="str">
        <f>_xll.RssMarket(A1250,"前日比")</f>
        <v/>
      </c>
      <c r="F1250" s="23" t="e">
        <f>_xll.RssMarket(A1250,"前日比率")/100</f>
        <v>#VALUE!</v>
      </c>
      <c r="G1250" s="24" t="str">
        <f>IFERROR(VLOOKUP(A1250,取得元!$A$2:$F$501,2,FALSE),"-")</f>
        <v>-</v>
      </c>
      <c r="H1250" s="24" t="str">
        <f>IFERROR(VLOOKUP(A1250,取得元!$A$2:$F$501,3,FALSE),"-")</f>
        <v>-</v>
      </c>
      <c r="I1250" s="24" t="str">
        <f>IFERROR(VLOOKUP(A1250,取得元!$A$2:$F$501,4,FALSE),"-")</f>
        <v>-</v>
      </c>
      <c r="J1250" s="5" t="str">
        <f>IFERROR(VLOOKUP(A1250,取得元!$A$2:$F$501,5,FALSE),"-")</f>
        <v>-</v>
      </c>
      <c r="K1250" s="25" t="str">
        <f>IFERROR(VLOOKUP(A1250,取得元!$A$2:$F$501,6,FALSE)/100,"-")</f>
        <v>-</v>
      </c>
      <c r="L1250" s="21" t="str">
        <f>_xll.RssMarket(A1250,"始値")</f>
        <v/>
      </c>
      <c r="M1250" s="4" t="e">
        <f t="shared" si="110"/>
        <v>#VALUE!</v>
      </c>
      <c r="N1250" s="21" t="str">
        <f>_xll.RssMarket(A1250,"高値")</f>
        <v/>
      </c>
      <c r="O1250" s="4" t="e">
        <f t="shared" si="111"/>
        <v>#VALUE!</v>
      </c>
      <c r="P1250" s="21" t="str">
        <f>_xll.RssMarket(A1250,"安値")</f>
        <v/>
      </c>
      <c r="Q1250" s="4" t="e">
        <f t="shared" si="112"/>
        <v>#VALUE!</v>
      </c>
      <c r="R1250" s="21" t="str">
        <f>_xll.RssMarket(A1250,"後場始値")</f>
        <v/>
      </c>
      <c r="S1250" s="25" t="str">
        <f t="shared" si="113"/>
        <v>-</v>
      </c>
      <c r="T1250" s="7" t="str">
        <f>_xll.RssMarket(A1250,"出来高加重平均")</f>
        <v/>
      </c>
      <c r="U1250" s="4" t="e">
        <f t="shared" si="114"/>
        <v>#VALUE!</v>
      </c>
      <c r="V1250" s="21" t="str">
        <f>_xll.RssMarket(A1250,"出来高")</f>
        <v/>
      </c>
      <c r="W1250" s="21" t="str">
        <f>_xll.RssMarket(A1250,"売買代金")</f>
        <v/>
      </c>
      <c r="X1250" s="20" t="str">
        <f>_xll.RssMarket(A1250,"決算発表日")</f>
        <v/>
      </c>
      <c r="Y1250" s="26" t="str">
        <f>IF(C1250&gt;_xll.RssMarket(A1250,"年初来高値"),"○","×")</f>
        <v>×</v>
      </c>
      <c r="Z1250" s="27" t="str">
        <f>IF(C1250&lt;=_xll.RssMarket(A1250,"年初来安値"),"○","×")</f>
        <v>○</v>
      </c>
    </row>
    <row r="1251" spans="2:26" x14ac:dyDescent="0.55000000000000004">
      <c r="B1251" s="20" t="str">
        <f>_xll.RssMarket(A1251,"銘柄名称")</f>
        <v/>
      </c>
      <c r="C1251" s="21" t="str">
        <f>_xll.RssMarket(A1251,"現在値")</f>
        <v/>
      </c>
      <c r="D1251" s="20" t="str">
        <f>_xll.RssMarket(A1251,"現在値詳細時刻")</f>
        <v/>
      </c>
      <c r="E1251" s="22" t="str">
        <f>_xll.RssMarket(A1251,"前日比")</f>
        <v/>
      </c>
      <c r="F1251" s="23" t="e">
        <f>_xll.RssMarket(A1251,"前日比率")/100</f>
        <v>#VALUE!</v>
      </c>
      <c r="G1251" s="24" t="str">
        <f>IFERROR(VLOOKUP(A1251,取得元!$A$2:$F$501,2,FALSE),"-")</f>
        <v>-</v>
      </c>
      <c r="H1251" s="24" t="str">
        <f>IFERROR(VLOOKUP(A1251,取得元!$A$2:$F$501,3,FALSE),"-")</f>
        <v>-</v>
      </c>
      <c r="I1251" s="24" t="str">
        <f>IFERROR(VLOOKUP(A1251,取得元!$A$2:$F$501,4,FALSE),"-")</f>
        <v>-</v>
      </c>
      <c r="J1251" s="5" t="str">
        <f>IFERROR(VLOOKUP(A1251,取得元!$A$2:$F$501,5,FALSE),"-")</f>
        <v>-</v>
      </c>
      <c r="K1251" s="25" t="str">
        <f>IFERROR(VLOOKUP(A1251,取得元!$A$2:$F$501,6,FALSE)/100,"-")</f>
        <v>-</v>
      </c>
      <c r="L1251" s="21" t="str">
        <f>_xll.RssMarket(A1251,"始値")</f>
        <v/>
      </c>
      <c r="M1251" s="4" t="e">
        <f t="shared" si="110"/>
        <v>#VALUE!</v>
      </c>
      <c r="N1251" s="21" t="str">
        <f>_xll.RssMarket(A1251,"高値")</f>
        <v/>
      </c>
      <c r="O1251" s="4" t="e">
        <f t="shared" si="111"/>
        <v>#VALUE!</v>
      </c>
      <c r="P1251" s="21" t="str">
        <f>_xll.RssMarket(A1251,"安値")</f>
        <v/>
      </c>
      <c r="Q1251" s="4" t="e">
        <f t="shared" si="112"/>
        <v>#VALUE!</v>
      </c>
      <c r="R1251" s="21" t="str">
        <f>_xll.RssMarket(A1251,"後場始値")</f>
        <v/>
      </c>
      <c r="S1251" s="25" t="str">
        <f t="shared" si="113"/>
        <v>-</v>
      </c>
      <c r="T1251" s="7" t="str">
        <f>_xll.RssMarket(A1251,"出来高加重平均")</f>
        <v/>
      </c>
      <c r="U1251" s="4" t="e">
        <f t="shared" si="114"/>
        <v>#VALUE!</v>
      </c>
      <c r="V1251" s="21" t="str">
        <f>_xll.RssMarket(A1251,"出来高")</f>
        <v/>
      </c>
      <c r="W1251" s="21" t="str">
        <f>_xll.RssMarket(A1251,"売買代金")</f>
        <v/>
      </c>
      <c r="X1251" s="20" t="str">
        <f>_xll.RssMarket(A1251,"決算発表日")</f>
        <v/>
      </c>
      <c r="Y1251" s="26" t="str">
        <f>IF(C1251&gt;_xll.RssMarket(A1251,"年初来高値"),"○","×")</f>
        <v>×</v>
      </c>
      <c r="Z1251" s="27" t="str">
        <f>IF(C1251&lt;=_xll.RssMarket(A1251,"年初来安値"),"○","×")</f>
        <v>○</v>
      </c>
    </row>
    <row r="1252" spans="2:26" x14ac:dyDescent="0.55000000000000004">
      <c r="B1252" s="20" t="str">
        <f>_xll.RssMarket(A1252,"銘柄名称")</f>
        <v/>
      </c>
      <c r="C1252" s="21" t="str">
        <f>_xll.RssMarket(A1252,"現在値")</f>
        <v/>
      </c>
      <c r="D1252" s="20" t="str">
        <f>_xll.RssMarket(A1252,"現在値詳細時刻")</f>
        <v/>
      </c>
      <c r="E1252" s="22" t="str">
        <f>_xll.RssMarket(A1252,"前日比")</f>
        <v/>
      </c>
      <c r="F1252" s="23" t="e">
        <f>_xll.RssMarket(A1252,"前日比率")/100</f>
        <v>#VALUE!</v>
      </c>
      <c r="G1252" s="24" t="str">
        <f>IFERROR(VLOOKUP(A1252,取得元!$A$2:$F$501,2,FALSE),"-")</f>
        <v>-</v>
      </c>
      <c r="H1252" s="24" t="str">
        <f>IFERROR(VLOOKUP(A1252,取得元!$A$2:$F$501,3,FALSE),"-")</f>
        <v>-</v>
      </c>
      <c r="I1252" s="24" t="str">
        <f>IFERROR(VLOOKUP(A1252,取得元!$A$2:$F$501,4,FALSE),"-")</f>
        <v>-</v>
      </c>
      <c r="J1252" s="5" t="str">
        <f>IFERROR(VLOOKUP(A1252,取得元!$A$2:$F$501,5,FALSE),"-")</f>
        <v>-</v>
      </c>
      <c r="K1252" s="25" t="str">
        <f>IFERROR(VLOOKUP(A1252,取得元!$A$2:$F$501,6,FALSE)/100,"-")</f>
        <v>-</v>
      </c>
      <c r="L1252" s="21" t="str">
        <f>_xll.RssMarket(A1252,"始値")</f>
        <v/>
      </c>
      <c r="M1252" s="4" t="e">
        <f t="shared" si="110"/>
        <v>#VALUE!</v>
      </c>
      <c r="N1252" s="21" t="str">
        <f>_xll.RssMarket(A1252,"高値")</f>
        <v/>
      </c>
      <c r="O1252" s="4" t="e">
        <f t="shared" si="111"/>
        <v>#VALUE!</v>
      </c>
      <c r="P1252" s="21" t="str">
        <f>_xll.RssMarket(A1252,"安値")</f>
        <v/>
      </c>
      <c r="Q1252" s="4" t="e">
        <f t="shared" si="112"/>
        <v>#VALUE!</v>
      </c>
      <c r="R1252" s="21" t="str">
        <f>_xll.RssMarket(A1252,"後場始値")</f>
        <v/>
      </c>
      <c r="S1252" s="25" t="str">
        <f t="shared" si="113"/>
        <v>-</v>
      </c>
      <c r="T1252" s="7" t="str">
        <f>_xll.RssMarket(A1252,"出来高加重平均")</f>
        <v/>
      </c>
      <c r="U1252" s="4" t="e">
        <f t="shared" si="114"/>
        <v>#VALUE!</v>
      </c>
      <c r="V1252" s="21" t="str">
        <f>_xll.RssMarket(A1252,"出来高")</f>
        <v/>
      </c>
      <c r="W1252" s="21" t="str">
        <f>_xll.RssMarket(A1252,"売買代金")</f>
        <v/>
      </c>
      <c r="X1252" s="20" t="str">
        <f>_xll.RssMarket(A1252,"決算発表日")</f>
        <v/>
      </c>
      <c r="Y1252" s="26" t="str">
        <f>IF(C1252&gt;_xll.RssMarket(A1252,"年初来高値"),"○","×")</f>
        <v>×</v>
      </c>
      <c r="Z1252" s="27" t="str">
        <f>IF(C1252&lt;=_xll.RssMarket(A1252,"年初来安値"),"○","×")</f>
        <v>○</v>
      </c>
    </row>
    <row r="1253" spans="2:26" x14ac:dyDescent="0.55000000000000004">
      <c r="B1253" s="20" t="str">
        <f>_xll.RssMarket(A1253,"銘柄名称")</f>
        <v/>
      </c>
      <c r="C1253" s="21" t="str">
        <f>_xll.RssMarket(A1253,"現在値")</f>
        <v/>
      </c>
      <c r="D1253" s="20" t="str">
        <f>_xll.RssMarket(A1253,"現在値詳細時刻")</f>
        <v/>
      </c>
      <c r="E1253" s="22" t="str">
        <f>_xll.RssMarket(A1253,"前日比")</f>
        <v/>
      </c>
      <c r="F1253" s="23" t="e">
        <f>_xll.RssMarket(A1253,"前日比率")/100</f>
        <v>#VALUE!</v>
      </c>
      <c r="G1253" s="24" t="str">
        <f>IFERROR(VLOOKUP(A1253,取得元!$A$2:$F$501,2,FALSE),"-")</f>
        <v>-</v>
      </c>
      <c r="H1253" s="24" t="str">
        <f>IFERROR(VLOOKUP(A1253,取得元!$A$2:$F$501,3,FALSE),"-")</f>
        <v>-</v>
      </c>
      <c r="I1253" s="24" t="str">
        <f>IFERROR(VLOOKUP(A1253,取得元!$A$2:$F$501,4,FALSE),"-")</f>
        <v>-</v>
      </c>
      <c r="J1253" s="5" t="str">
        <f>IFERROR(VLOOKUP(A1253,取得元!$A$2:$F$501,5,FALSE),"-")</f>
        <v>-</v>
      </c>
      <c r="K1253" s="25" t="str">
        <f>IFERROR(VLOOKUP(A1253,取得元!$A$2:$F$501,6,FALSE)/100,"-")</f>
        <v>-</v>
      </c>
      <c r="L1253" s="21" t="str">
        <f>_xll.RssMarket(A1253,"始値")</f>
        <v/>
      </c>
      <c r="M1253" s="4" t="e">
        <f t="shared" si="110"/>
        <v>#VALUE!</v>
      </c>
      <c r="N1253" s="21" t="str">
        <f>_xll.RssMarket(A1253,"高値")</f>
        <v/>
      </c>
      <c r="O1253" s="4" t="e">
        <f t="shared" si="111"/>
        <v>#VALUE!</v>
      </c>
      <c r="P1253" s="21" t="str">
        <f>_xll.RssMarket(A1253,"安値")</f>
        <v/>
      </c>
      <c r="Q1253" s="4" t="e">
        <f t="shared" si="112"/>
        <v>#VALUE!</v>
      </c>
      <c r="R1253" s="21" t="str">
        <f>_xll.RssMarket(A1253,"後場始値")</f>
        <v/>
      </c>
      <c r="S1253" s="25" t="str">
        <f t="shared" si="113"/>
        <v>-</v>
      </c>
      <c r="T1253" s="7" t="str">
        <f>_xll.RssMarket(A1253,"出来高加重平均")</f>
        <v/>
      </c>
      <c r="U1253" s="4" t="e">
        <f t="shared" si="114"/>
        <v>#VALUE!</v>
      </c>
      <c r="V1253" s="21" t="str">
        <f>_xll.RssMarket(A1253,"出来高")</f>
        <v/>
      </c>
      <c r="W1253" s="21" t="str">
        <f>_xll.RssMarket(A1253,"売買代金")</f>
        <v/>
      </c>
      <c r="X1253" s="20" t="str">
        <f>_xll.RssMarket(A1253,"決算発表日")</f>
        <v/>
      </c>
      <c r="Y1253" s="26" t="str">
        <f>IF(C1253&gt;_xll.RssMarket(A1253,"年初来高値"),"○","×")</f>
        <v>×</v>
      </c>
      <c r="Z1253" s="27" t="str">
        <f>IF(C1253&lt;=_xll.RssMarket(A1253,"年初来安値"),"○","×")</f>
        <v>○</v>
      </c>
    </row>
    <row r="1254" spans="2:26" x14ac:dyDescent="0.55000000000000004">
      <c r="B1254" s="20" t="str">
        <f>_xll.RssMarket(A1254,"銘柄名称")</f>
        <v/>
      </c>
      <c r="C1254" s="21" t="str">
        <f>_xll.RssMarket(A1254,"現在値")</f>
        <v/>
      </c>
      <c r="D1254" s="20" t="str">
        <f>_xll.RssMarket(A1254,"現在値詳細時刻")</f>
        <v/>
      </c>
      <c r="E1254" s="22" t="str">
        <f>_xll.RssMarket(A1254,"前日比")</f>
        <v/>
      </c>
      <c r="F1254" s="23" t="e">
        <f>_xll.RssMarket(A1254,"前日比率")/100</f>
        <v>#VALUE!</v>
      </c>
      <c r="G1254" s="24" t="str">
        <f>IFERROR(VLOOKUP(A1254,取得元!$A$2:$F$501,2,FALSE),"-")</f>
        <v>-</v>
      </c>
      <c r="H1254" s="24" t="str">
        <f>IFERROR(VLOOKUP(A1254,取得元!$A$2:$F$501,3,FALSE),"-")</f>
        <v>-</v>
      </c>
      <c r="I1254" s="24" t="str">
        <f>IFERROR(VLOOKUP(A1254,取得元!$A$2:$F$501,4,FALSE),"-")</f>
        <v>-</v>
      </c>
      <c r="J1254" s="5" t="str">
        <f>IFERROR(VLOOKUP(A1254,取得元!$A$2:$F$501,5,FALSE),"-")</f>
        <v>-</v>
      </c>
      <c r="K1254" s="25" t="str">
        <f>IFERROR(VLOOKUP(A1254,取得元!$A$2:$F$501,6,FALSE)/100,"-")</f>
        <v>-</v>
      </c>
      <c r="L1254" s="21" t="str">
        <f>_xll.RssMarket(A1254,"始値")</f>
        <v/>
      </c>
      <c r="M1254" s="4" t="e">
        <f t="shared" si="110"/>
        <v>#VALUE!</v>
      </c>
      <c r="N1254" s="21" t="str">
        <f>_xll.RssMarket(A1254,"高値")</f>
        <v/>
      </c>
      <c r="O1254" s="4" t="e">
        <f t="shared" si="111"/>
        <v>#VALUE!</v>
      </c>
      <c r="P1254" s="21" t="str">
        <f>_xll.RssMarket(A1254,"安値")</f>
        <v/>
      </c>
      <c r="Q1254" s="4" t="e">
        <f t="shared" si="112"/>
        <v>#VALUE!</v>
      </c>
      <c r="R1254" s="21" t="str">
        <f>_xll.RssMarket(A1254,"後場始値")</f>
        <v/>
      </c>
      <c r="S1254" s="25" t="str">
        <f t="shared" si="113"/>
        <v>-</v>
      </c>
      <c r="T1254" s="7" t="str">
        <f>_xll.RssMarket(A1254,"出来高加重平均")</f>
        <v/>
      </c>
      <c r="U1254" s="4" t="e">
        <f t="shared" si="114"/>
        <v>#VALUE!</v>
      </c>
      <c r="V1254" s="21" t="str">
        <f>_xll.RssMarket(A1254,"出来高")</f>
        <v/>
      </c>
      <c r="W1254" s="21" t="str">
        <f>_xll.RssMarket(A1254,"売買代金")</f>
        <v/>
      </c>
      <c r="X1254" s="20" t="str">
        <f>_xll.RssMarket(A1254,"決算発表日")</f>
        <v/>
      </c>
      <c r="Y1254" s="26" t="str">
        <f>IF(C1254&gt;_xll.RssMarket(A1254,"年初来高値"),"○","×")</f>
        <v>×</v>
      </c>
      <c r="Z1254" s="27" t="str">
        <f>IF(C1254&lt;=_xll.RssMarket(A1254,"年初来安値"),"○","×")</f>
        <v>○</v>
      </c>
    </row>
    <row r="1255" spans="2:26" x14ac:dyDescent="0.55000000000000004">
      <c r="B1255" s="20" t="str">
        <f>_xll.RssMarket(A1255,"銘柄名称")</f>
        <v/>
      </c>
      <c r="C1255" s="21" t="str">
        <f>_xll.RssMarket(A1255,"現在値")</f>
        <v/>
      </c>
      <c r="D1255" s="20" t="str">
        <f>_xll.RssMarket(A1255,"現在値詳細時刻")</f>
        <v/>
      </c>
      <c r="E1255" s="22" t="str">
        <f>_xll.RssMarket(A1255,"前日比")</f>
        <v/>
      </c>
      <c r="F1255" s="23" t="e">
        <f>_xll.RssMarket(A1255,"前日比率")/100</f>
        <v>#VALUE!</v>
      </c>
      <c r="G1255" s="24" t="str">
        <f>IFERROR(VLOOKUP(A1255,取得元!$A$2:$F$501,2,FALSE),"-")</f>
        <v>-</v>
      </c>
      <c r="H1255" s="24" t="str">
        <f>IFERROR(VLOOKUP(A1255,取得元!$A$2:$F$501,3,FALSE),"-")</f>
        <v>-</v>
      </c>
      <c r="I1255" s="24" t="str">
        <f>IFERROR(VLOOKUP(A1255,取得元!$A$2:$F$501,4,FALSE),"-")</f>
        <v>-</v>
      </c>
      <c r="J1255" s="5" t="str">
        <f>IFERROR(VLOOKUP(A1255,取得元!$A$2:$F$501,5,FALSE),"-")</f>
        <v>-</v>
      </c>
      <c r="K1255" s="25" t="str">
        <f>IFERROR(VLOOKUP(A1255,取得元!$A$2:$F$501,6,FALSE)/100,"-")</f>
        <v>-</v>
      </c>
      <c r="L1255" s="21" t="str">
        <f>_xll.RssMarket(A1255,"始値")</f>
        <v/>
      </c>
      <c r="M1255" s="4" t="e">
        <f t="shared" si="110"/>
        <v>#VALUE!</v>
      </c>
      <c r="N1255" s="21" t="str">
        <f>_xll.RssMarket(A1255,"高値")</f>
        <v/>
      </c>
      <c r="O1255" s="4" t="e">
        <f t="shared" si="111"/>
        <v>#VALUE!</v>
      </c>
      <c r="P1255" s="21" t="str">
        <f>_xll.RssMarket(A1255,"安値")</f>
        <v/>
      </c>
      <c r="Q1255" s="4" t="e">
        <f t="shared" si="112"/>
        <v>#VALUE!</v>
      </c>
      <c r="R1255" s="21" t="str">
        <f>_xll.RssMarket(A1255,"後場始値")</f>
        <v/>
      </c>
      <c r="S1255" s="25" t="str">
        <f t="shared" si="113"/>
        <v>-</v>
      </c>
      <c r="T1255" s="7" t="str">
        <f>_xll.RssMarket(A1255,"出来高加重平均")</f>
        <v/>
      </c>
      <c r="U1255" s="4" t="e">
        <f t="shared" si="114"/>
        <v>#VALUE!</v>
      </c>
      <c r="V1255" s="21" t="str">
        <f>_xll.RssMarket(A1255,"出来高")</f>
        <v/>
      </c>
      <c r="W1255" s="21" t="str">
        <f>_xll.RssMarket(A1255,"売買代金")</f>
        <v/>
      </c>
      <c r="X1255" s="20" t="str">
        <f>_xll.RssMarket(A1255,"決算発表日")</f>
        <v/>
      </c>
      <c r="Y1255" s="26" t="str">
        <f>IF(C1255&gt;_xll.RssMarket(A1255,"年初来高値"),"○","×")</f>
        <v>×</v>
      </c>
      <c r="Z1255" s="27" t="str">
        <f>IF(C1255&lt;=_xll.RssMarket(A1255,"年初来安値"),"○","×")</f>
        <v>○</v>
      </c>
    </row>
    <row r="1256" spans="2:26" x14ac:dyDescent="0.55000000000000004">
      <c r="B1256" s="20" t="str">
        <f>_xll.RssMarket(A1256,"銘柄名称")</f>
        <v/>
      </c>
      <c r="C1256" s="21" t="str">
        <f>_xll.RssMarket(A1256,"現在値")</f>
        <v/>
      </c>
      <c r="D1256" s="20" t="str">
        <f>_xll.RssMarket(A1256,"現在値詳細時刻")</f>
        <v/>
      </c>
      <c r="E1256" s="22" t="str">
        <f>_xll.RssMarket(A1256,"前日比")</f>
        <v/>
      </c>
      <c r="F1256" s="23" t="e">
        <f>_xll.RssMarket(A1256,"前日比率")/100</f>
        <v>#VALUE!</v>
      </c>
      <c r="G1256" s="24" t="str">
        <f>IFERROR(VLOOKUP(A1256,取得元!$A$2:$F$501,2,FALSE),"-")</f>
        <v>-</v>
      </c>
      <c r="H1256" s="24" t="str">
        <f>IFERROR(VLOOKUP(A1256,取得元!$A$2:$F$501,3,FALSE),"-")</f>
        <v>-</v>
      </c>
      <c r="I1256" s="24" t="str">
        <f>IFERROR(VLOOKUP(A1256,取得元!$A$2:$F$501,4,FALSE),"-")</f>
        <v>-</v>
      </c>
      <c r="J1256" s="5" t="str">
        <f>IFERROR(VLOOKUP(A1256,取得元!$A$2:$F$501,5,FALSE),"-")</f>
        <v>-</v>
      </c>
      <c r="K1256" s="25" t="str">
        <f>IFERROR(VLOOKUP(A1256,取得元!$A$2:$F$501,6,FALSE)/100,"-")</f>
        <v>-</v>
      </c>
      <c r="L1256" s="21" t="str">
        <f>_xll.RssMarket(A1256,"始値")</f>
        <v/>
      </c>
      <c r="M1256" s="4" t="e">
        <f t="shared" si="110"/>
        <v>#VALUE!</v>
      </c>
      <c r="N1256" s="21" t="str">
        <f>_xll.RssMarket(A1256,"高値")</f>
        <v/>
      </c>
      <c r="O1256" s="4" t="e">
        <f t="shared" si="111"/>
        <v>#VALUE!</v>
      </c>
      <c r="P1256" s="21" t="str">
        <f>_xll.RssMarket(A1256,"安値")</f>
        <v/>
      </c>
      <c r="Q1256" s="4" t="e">
        <f t="shared" si="112"/>
        <v>#VALUE!</v>
      </c>
      <c r="R1256" s="21" t="str">
        <f>_xll.RssMarket(A1256,"後場始値")</f>
        <v/>
      </c>
      <c r="S1256" s="25" t="str">
        <f t="shared" si="113"/>
        <v>-</v>
      </c>
      <c r="T1256" s="7" t="str">
        <f>_xll.RssMarket(A1256,"出来高加重平均")</f>
        <v/>
      </c>
      <c r="U1256" s="4" t="e">
        <f t="shared" si="114"/>
        <v>#VALUE!</v>
      </c>
      <c r="V1256" s="21" t="str">
        <f>_xll.RssMarket(A1256,"出来高")</f>
        <v/>
      </c>
      <c r="W1256" s="21" t="str">
        <f>_xll.RssMarket(A1256,"売買代金")</f>
        <v/>
      </c>
      <c r="X1256" s="20" t="str">
        <f>_xll.RssMarket(A1256,"決算発表日")</f>
        <v/>
      </c>
      <c r="Y1256" s="26" t="str">
        <f>IF(C1256&gt;_xll.RssMarket(A1256,"年初来高値"),"○","×")</f>
        <v>×</v>
      </c>
      <c r="Z1256" s="27" t="str">
        <f>IF(C1256&lt;=_xll.RssMarket(A1256,"年初来安値"),"○","×")</f>
        <v>○</v>
      </c>
    </row>
    <row r="1257" spans="2:26" x14ac:dyDescent="0.55000000000000004">
      <c r="B1257" s="20" t="str">
        <f>_xll.RssMarket(A1257,"銘柄名称")</f>
        <v/>
      </c>
      <c r="C1257" s="21" t="str">
        <f>_xll.RssMarket(A1257,"現在値")</f>
        <v/>
      </c>
      <c r="D1257" s="20" t="str">
        <f>_xll.RssMarket(A1257,"現在値詳細時刻")</f>
        <v/>
      </c>
      <c r="E1257" s="22" t="str">
        <f>_xll.RssMarket(A1257,"前日比")</f>
        <v/>
      </c>
      <c r="F1257" s="23" t="e">
        <f>_xll.RssMarket(A1257,"前日比率")/100</f>
        <v>#VALUE!</v>
      </c>
      <c r="G1257" s="24" t="str">
        <f>IFERROR(VLOOKUP(A1257,取得元!$A$2:$F$501,2,FALSE),"-")</f>
        <v>-</v>
      </c>
      <c r="H1257" s="24" t="str">
        <f>IFERROR(VLOOKUP(A1257,取得元!$A$2:$F$501,3,FALSE),"-")</f>
        <v>-</v>
      </c>
      <c r="I1257" s="24" t="str">
        <f>IFERROR(VLOOKUP(A1257,取得元!$A$2:$F$501,4,FALSE),"-")</f>
        <v>-</v>
      </c>
      <c r="J1257" s="5" t="str">
        <f>IFERROR(VLOOKUP(A1257,取得元!$A$2:$F$501,5,FALSE),"-")</f>
        <v>-</v>
      </c>
      <c r="K1257" s="25" t="str">
        <f>IFERROR(VLOOKUP(A1257,取得元!$A$2:$F$501,6,FALSE)/100,"-")</f>
        <v>-</v>
      </c>
      <c r="L1257" s="21" t="str">
        <f>_xll.RssMarket(A1257,"始値")</f>
        <v/>
      </c>
      <c r="M1257" s="4" t="e">
        <f t="shared" si="110"/>
        <v>#VALUE!</v>
      </c>
      <c r="N1257" s="21" t="str">
        <f>_xll.RssMarket(A1257,"高値")</f>
        <v/>
      </c>
      <c r="O1257" s="4" t="e">
        <f t="shared" si="111"/>
        <v>#VALUE!</v>
      </c>
      <c r="P1257" s="21" t="str">
        <f>_xll.RssMarket(A1257,"安値")</f>
        <v/>
      </c>
      <c r="Q1257" s="4" t="e">
        <f t="shared" si="112"/>
        <v>#VALUE!</v>
      </c>
      <c r="R1257" s="21" t="str">
        <f>_xll.RssMarket(A1257,"後場始値")</f>
        <v/>
      </c>
      <c r="S1257" s="25" t="str">
        <f t="shared" si="113"/>
        <v>-</v>
      </c>
      <c r="T1257" s="7" t="str">
        <f>_xll.RssMarket(A1257,"出来高加重平均")</f>
        <v/>
      </c>
      <c r="U1257" s="4" t="e">
        <f t="shared" si="114"/>
        <v>#VALUE!</v>
      </c>
      <c r="V1257" s="21" t="str">
        <f>_xll.RssMarket(A1257,"出来高")</f>
        <v/>
      </c>
      <c r="W1257" s="21" t="str">
        <f>_xll.RssMarket(A1257,"売買代金")</f>
        <v/>
      </c>
      <c r="X1257" s="20" t="str">
        <f>_xll.RssMarket(A1257,"決算発表日")</f>
        <v/>
      </c>
      <c r="Y1257" s="26" t="str">
        <f>IF(C1257&gt;_xll.RssMarket(A1257,"年初来高値"),"○","×")</f>
        <v>×</v>
      </c>
      <c r="Z1257" s="27" t="str">
        <f>IF(C1257&lt;=_xll.RssMarket(A1257,"年初来安値"),"○","×")</f>
        <v>○</v>
      </c>
    </row>
    <row r="1258" spans="2:26" x14ac:dyDescent="0.55000000000000004">
      <c r="B1258" s="20" t="str">
        <f>_xll.RssMarket(A1258,"銘柄名称")</f>
        <v/>
      </c>
      <c r="C1258" s="21" t="str">
        <f>_xll.RssMarket(A1258,"現在値")</f>
        <v/>
      </c>
      <c r="D1258" s="20" t="str">
        <f>_xll.RssMarket(A1258,"現在値詳細時刻")</f>
        <v/>
      </c>
      <c r="E1258" s="22" t="str">
        <f>_xll.RssMarket(A1258,"前日比")</f>
        <v/>
      </c>
      <c r="F1258" s="23" t="e">
        <f>_xll.RssMarket(A1258,"前日比率")/100</f>
        <v>#VALUE!</v>
      </c>
      <c r="G1258" s="24" t="str">
        <f>IFERROR(VLOOKUP(A1258,取得元!$A$2:$F$501,2,FALSE),"-")</f>
        <v>-</v>
      </c>
      <c r="H1258" s="24" t="str">
        <f>IFERROR(VLOOKUP(A1258,取得元!$A$2:$F$501,3,FALSE),"-")</f>
        <v>-</v>
      </c>
      <c r="I1258" s="24" t="str">
        <f>IFERROR(VLOOKUP(A1258,取得元!$A$2:$F$501,4,FALSE),"-")</f>
        <v>-</v>
      </c>
      <c r="J1258" s="5" t="str">
        <f>IFERROR(VLOOKUP(A1258,取得元!$A$2:$F$501,5,FALSE),"-")</f>
        <v>-</v>
      </c>
      <c r="K1258" s="25" t="str">
        <f>IFERROR(VLOOKUP(A1258,取得元!$A$2:$F$501,6,FALSE)/100,"-")</f>
        <v>-</v>
      </c>
      <c r="L1258" s="21" t="str">
        <f>_xll.RssMarket(A1258,"始値")</f>
        <v/>
      </c>
      <c r="M1258" s="4" t="e">
        <f t="shared" si="110"/>
        <v>#VALUE!</v>
      </c>
      <c r="N1258" s="21" t="str">
        <f>_xll.RssMarket(A1258,"高値")</f>
        <v/>
      </c>
      <c r="O1258" s="4" t="e">
        <f t="shared" si="111"/>
        <v>#VALUE!</v>
      </c>
      <c r="P1258" s="21" t="str">
        <f>_xll.RssMarket(A1258,"安値")</f>
        <v/>
      </c>
      <c r="Q1258" s="4" t="e">
        <f t="shared" si="112"/>
        <v>#VALUE!</v>
      </c>
      <c r="R1258" s="21" t="str">
        <f>_xll.RssMarket(A1258,"後場始値")</f>
        <v/>
      </c>
      <c r="S1258" s="25" t="str">
        <f t="shared" si="113"/>
        <v>-</v>
      </c>
      <c r="T1258" s="7" t="str">
        <f>_xll.RssMarket(A1258,"出来高加重平均")</f>
        <v/>
      </c>
      <c r="U1258" s="4" t="e">
        <f t="shared" si="114"/>
        <v>#VALUE!</v>
      </c>
      <c r="V1258" s="21" t="str">
        <f>_xll.RssMarket(A1258,"出来高")</f>
        <v/>
      </c>
      <c r="W1258" s="21" t="str">
        <f>_xll.RssMarket(A1258,"売買代金")</f>
        <v/>
      </c>
      <c r="X1258" s="20" t="str">
        <f>_xll.RssMarket(A1258,"決算発表日")</f>
        <v/>
      </c>
      <c r="Y1258" s="26" t="str">
        <f>IF(C1258&gt;_xll.RssMarket(A1258,"年初来高値"),"○","×")</f>
        <v>×</v>
      </c>
      <c r="Z1258" s="27" t="str">
        <f>IF(C1258&lt;=_xll.RssMarket(A1258,"年初来安値"),"○","×")</f>
        <v>○</v>
      </c>
    </row>
    <row r="1259" spans="2:26" x14ac:dyDescent="0.55000000000000004">
      <c r="B1259" s="20" t="str">
        <f>_xll.RssMarket(A1259,"銘柄名称")</f>
        <v/>
      </c>
      <c r="C1259" s="21" t="str">
        <f>_xll.RssMarket(A1259,"現在値")</f>
        <v/>
      </c>
      <c r="D1259" s="20" t="str">
        <f>_xll.RssMarket(A1259,"現在値詳細時刻")</f>
        <v/>
      </c>
      <c r="E1259" s="22" t="str">
        <f>_xll.RssMarket(A1259,"前日比")</f>
        <v/>
      </c>
      <c r="F1259" s="23" t="e">
        <f>_xll.RssMarket(A1259,"前日比率")/100</f>
        <v>#VALUE!</v>
      </c>
      <c r="G1259" s="24" t="str">
        <f>IFERROR(VLOOKUP(A1259,取得元!$A$2:$F$501,2,FALSE),"-")</f>
        <v>-</v>
      </c>
      <c r="H1259" s="24" t="str">
        <f>IFERROR(VLOOKUP(A1259,取得元!$A$2:$F$501,3,FALSE),"-")</f>
        <v>-</v>
      </c>
      <c r="I1259" s="24" t="str">
        <f>IFERROR(VLOOKUP(A1259,取得元!$A$2:$F$501,4,FALSE),"-")</f>
        <v>-</v>
      </c>
      <c r="J1259" s="5" t="str">
        <f>IFERROR(VLOOKUP(A1259,取得元!$A$2:$F$501,5,FALSE),"-")</f>
        <v>-</v>
      </c>
      <c r="K1259" s="25" t="str">
        <f>IFERROR(VLOOKUP(A1259,取得元!$A$2:$F$501,6,FALSE)/100,"-")</f>
        <v>-</v>
      </c>
      <c r="L1259" s="21" t="str">
        <f>_xll.RssMarket(A1259,"始値")</f>
        <v/>
      </c>
      <c r="M1259" s="4" t="e">
        <f t="shared" si="110"/>
        <v>#VALUE!</v>
      </c>
      <c r="N1259" s="21" t="str">
        <f>_xll.RssMarket(A1259,"高値")</f>
        <v/>
      </c>
      <c r="O1259" s="4" t="e">
        <f t="shared" si="111"/>
        <v>#VALUE!</v>
      </c>
      <c r="P1259" s="21" t="str">
        <f>_xll.RssMarket(A1259,"安値")</f>
        <v/>
      </c>
      <c r="Q1259" s="4" t="e">
        <f t="shared" si="112"/>
        <v>#VALUE!</v>
      </c>
      <c r="R1259" s="21" t="str">
        <f>_xll.RssMarket(A1259,"後場始値")</f>
        <v/>
      </c>
      <c r="S1259" s="25" t="str">
        <f t="shared" si="113"/>
        <v>-</v>
      </c>
      <c r="T1259" s="7" t="str">
        <f>_xll.RssMarket(A1259,"出来高加重平均")</f>
        <v/>
      </c>
      <c r="U1259" s="4" t="e">
        <f t="shared" si="114"/>
        <v>#VALUE!</v>
      </c>
      <c r="V1259" s="21" t="str">
        <f>_xll.RssMarket(A1259,"出来高")</f>
        <v/>
      </c>
      <c r="W1259" s="21" t="str">
        <f>_xll.RssMarket(A1259,"売買代金")</f>
        <v/>
      </c>
      <c r="X1259" s="20" t="str">
        <f>_xll.RssMarket(A1259,"決算発表日")</f>
        <v/>
      </c>
      <c r="Y1259" s="26" t="str">
        <f>IF(C1259&gt;_xll.RssMarket(A1259,"年初来高値"),"○","×")</f>
        <v>×</v>
      </c>
      <c r="Z1259" s="27" t="str">
        <f>IF(C1259&lt;=_xll.RssMarket(A1259,"年初来安値"),"○","×")</f>
        <v>○</v>
      </c>
    </row>
    <row r="1260" spans="2:26" x14ac:dyDescent="0.55000000000000004">
      <c r="B1260" s="20" t="str">
        <f>_xll.RssMarket(A1260,"銘柄名称")</f>
        <v/>
      </c>
      <c r="C1260" s="21" t="str">
        <f>_xll.RssMarket(A1260,"現在値")</f>
        <v/>
      </c>
      <c r="D1260" s="20" t="str">
        <f>_xll.RssMarket(A1260,"現在値詳細時刻")</f>
        <v/>
      </c>
      <c r="E1260" s="22" t="str">
        <f>_xll.RssMarket(A1260,"前日比")</f>
        <v/>
      </c>
      <c r="F1260" s="23" t="e">
        <f>_xll.RssMarket(A1260,"前日比率")/100</f>
        <v>#VALUE!</v>
      </c>
      <c r="G1260" s="24" t="str">
        <f>IFERROR(VLOOKUP(A1260,取得元!$A$2:$F$501,2,FALSE),"-")</f>
        <v>-</v>
      </c>
      <c r="H1260" s="24" t="str">
        <f>IFERROR(VLOOKUP(A1260,取得元!$A$2:$F$501,3,FALSE),"-")</f>
        <v>-</v>
      </c>
      <c r="I1260" s="24" t="str">
        <f>IFERROR(VLOOKUP(A1260,取得元!$A$2:$F$501,4,FALSE),"-")</f>
        <v>-</v>
      </c>
      <c r="J1260" s="5" t="str">
        <f>IFERROR(VLOOKUP(A1260,取得元!$A$2:$F$501,5,FALSE),"-")</f>
        <v>-</v>
      </c>
      <c r="K1260" s="25" t="str">
        <f>IFERROR(VLOOKUP(A1260,取得元!$A$2:$F$501,6,FALSE)/100,"-")</f>
        <v>-</v>
      </c>
      <c r="L1260" s="21" t="str">
        <f>_xll.RssMarket(A1260,"始値")</f>
        <v/>
      </c>
      <c r="M1260" s="4" t="e">
        <f t="shared" si="110"/>
        <v>#VALUE!</v>
      </c>
      <c r="N1260" s="21" t="str">
        <f>_xll.RssMarket(A1260,"高値")</f>
        <v/>
      </c>
      <c r="O1260" s="4" t="e">
        <f t="shared" si="111"/>
        <v>#VALUE!</v>
      </c>
      <c r="P1260" s="21" t="str">
        <f>_xll.RssMarket(A1260,"安値")</f>
        <v/>
      </c>
      <c r="Q1260" s="4" t="e">
        <f t="shared" si="112"/>
        <v>#VALUE!</v>
      </c>
      <c r="R1260" s="21" t="str">
        <f>_xll.RssMarket(A1260,"後場始値")</f>
        <v/>
      </c>
      <c r="S1260" s="25" t="str">
        <f t="shared" si="113"/>
        <v>-</v>
      </c>
      <c r="T1260" s="7" t="str">
        <f>_xll.RssMarket(A1260,"出来高加重平均")</f>
        <v/>
      </c>
      <c r="U1260" s="4" t="e">
        <f t="shared" si="114"/>
        <v>#VALUE!</v>
      </c>
      <c r="V1260" s="21" t="str">
        <f>_xll.RssMarket(A1260,"出来高")</f>
        <v/>
      </c>
      <c r="W1260" s="21" t="str">
        <f>_xll.RssMarket(A1260,"売買代金")</f>
        <v/>
      </c>
      <c r="X1260" s="20" t="str">
        <f>_xll.RssMarket(A1260,"決算発表日")</f>
        <v/>
      </c>
      <c r="Y1260" s="26" t="str">
        <f>IF(C1260&gt;_xll.RssMarket(A1260,"年初来高値"),"○","×")</f>
        <v>×</v>
      </c>
      <c r="Z1260" s="27" t="str">
        <f>IF(C1260&lt;=_xll.RssMarket(A1260,"年初来安値"),"○","×")</f>
        <v>○</v>
      </c>
    </row>
    <row r="1261" spans="2:26" x14ac:dyDescent="0.55000000000000004">
      <c r="B1261" s="20" t="str">
        <f>_xll.RssMarket(A1261,"銘柄名称")</f>
        <v/>
      </c>
      <c r="C1261" s="21" t="str">
        <f>_xll.RssMarket(A1261,"現在値")</f>
        <v/>
      </c>
      <c r="D1261" s="20" t="str">
        <f>_xll.RssMarket(A1261,"現在値詳細時刻")</f>
        <v/>
      </c>
      <c r="E1261" s="22" t="str">
        <f>_xll.RssMarket(A1261,"前日比")</f>
        <v/>
      </c>
      <c r="F1261" s="23" t="e">
        <f>_xll.RssMarket(A1261,"前日比率")/100</f>
        <v>#VALUE!</v>
      </c>
      <c r="G1261" s="24" t="str">
        <f>IFERROR(VLOOKUP(A1261,取得元!$A$2:$F$501,2,FALSE),"-")</f>
        <v>-</v>
      </c>
      <c r="H1261" s="24" t="str">
        <f>IFERROR(VLOOKUP(A1261,取得元!$A$2:$F$501,3,FALSE),"-")</f>
        <v>-</v>
      </c>
      <c r="I1261" s="24" t="str">
        <f>IFERROR(VLOOKUP(A1261,取得元!$A$2:$F$501,4,FALSE),"-")</f>
        <v>-</v>
      </c>
      <c r="J1261" s="5" t="str">
        <f>IFERROR(VLOOKUP(A1261,取得元!$A$2:$F$501,5,FALSE),"-")</f>
        <v>-</v>
      </c>
      <c r="K1261" s="25" t="str">
        <f>IFERROR(VLOOKUP(A1261,取得元!$A$2:$F$501,6,FALSE)/100,"-")</f>
        <v>-</v>
      </c>
      <c r="L1261" s="21" t="str">
        <f>_xll.RssMarket(A1261,"始値")</f>
        <v/>
      </c>
      <c r="M1261" s="4" t="e">
        <f t="shared" si="110"/>
        <v>#VALUE!</v>
      </c>
      <c r="N1261" s="21" t="str">
        <f>_xll.RssMarket(A1261,"高値")</f>
        <v/>
      </c>
      <c r="O1261" s="4" t="e">
        <f t="shared" si="111"/>
        <v>#VALUE!</v>
      </c>
      <c r="P1261" s="21" t="str">
        <f>_xll.RssMarket(A1261,"安値")</f>
        <v/>
      </c>
      <c r="Q1261" s="4" t="e">
        <f t="shared" si="112"/>
        <v>#VALUE!</v>
      </c>
      <c r="R1261" s="21" t="str">
        <f>_xll.RssMarket(A1261,"後場始値")</f>
        <v/>
      </c>
      <c r="S1261" s="25" t="str">
        <f t="shared" si="113"/>
        <v>-</v>
      </c>
      <c r="T1261" s="7" t="str">
        <f>_xll.RssMarket(A1261,"出来高加重平均")</f>
        <v/>
      </c>
      <c r="U1261" s="4" t="e">
        <f t="shared" si="114"/>
        <v>#VALUE!</v>
      </c>
      <c r="V1261" s="21" t="str">
        <f>_xll.RssMarket(A1261,"出来高")</f>
        <v/>
      </c>
      <c r="W1261" s="21" t="str">
        <f>_xll.RssMarket(A1261,"売買代金")</f>
        <v/>
      </c>
      <c r="X1261" s="20" t="str">
        <f>_xll.RssMarket(A1261,"決算発表日")</f>
        <v/>
      </c>
      <c r="Y1261" s="26" t="str">
        <f>IF(C1261&gt;_xll.RssMarket(A1261,"年初来高値"),"○","×")</f>
        <v>×</v>
      </c>
      <c r="Z1261" s="27" t="str">
        <f>IF(C1261&lt;=_xll.RssMarket(A1261,"年初来安値"),"○","×")</f>
        <v>○</v>
      </c>
    </row>
    <row r="1262" spans="2:26" x14ac:dyDescent="0.55000000000000004">
      <c r="B1262" s="20" t="str">
        <f>_xll.RssMarket(A1262,"銘柄名称")</f>
        <v/>
      </c>
      <c r="C1262" s="21" t="str">
        <f>_xll.RssMarket(A1262,"現在値")</f>
        <v/>
      </c>
      <c r="D1262" s="20" t="str">
        <f>_xll.RssMarket(A1262,"現在値詳細時刻")</f>
        <v/>
      </c>
      <c r="E1262" s="22" t="str">
        <f>_xll.RssMarket(A1262,"前日比")</f>
        <v/>
      </c>
      <c r="F1262" s="23" t="e">
        <f>_xll.RssMarket(A1262,"前日比率")/100</f>
        <v>#VALUE!</v>
      </c>
      <c r="G1262" s="24" t="str">
        <f>IFERROR(VLOOKUP(A1262,取得元!$A$2:$F$501,2,FALSE),"-")</f>
        <v>-</v>
      </c>
      <c r="H1262" s="24" t="str">
        <f>IFERROR(VLOOKUP(A1262,取得元!$A$2:$F$501,3,FALSE),"-")</f>
        <v>-</v>
      </c>
      <c r="I1262" s="24" t="str">
        <f>IFERROR(VLOOKUP(A1262,取得元!$A$2:$F$501,4,FALSE),"-")</f>
        <v>-</v>
      </c>
      <c r="J1262" s="5" t="str">
        <f>IFERROR(VLOOKUP(A1262,取得元!$A$2:$F$501,5,FALSE),"-")</f>
        <v>-</v>
      </c>
      <c r="K1262" s="25" t="str">
        <f>IFERROR(VLOOKUP(A1262,取得元!$A$2:$F$501,6,FALSE)/100,"-")</f>
        <v>-</v>
      </c>
      <c r="L1262" s="21" t="str">
        <f>_xll.RssMarket(A1262,"始値")</f>
        <v/>
      </c>
      <c r="M1262" s="4" t="e">
        <f t="shared" si="110"/>
        <v>#VALUE!</v>
      </c>
      <c r="N1262" s="21" t="str">
        <f>_xll.RssMarket(A1262,"高値")</f>
        <v/>
      </c>
      <c r="O1262" s="4" t="e">
        <f t="shared" si="111"/>
        <v>#VALUE!</v>
      </c>
      <c r="P1262" s="21" t="str">
        <f>_xll.RssMarket(A1262,"安値")</f>
        <v/>
      </c>
      <c r="Q1262" s="4" t="e">
        <f t="shared" si="112"/>
        <v>#VALUE!</v>
      </c>
      <c r="R1262" s="21" t="str">
        <f>_xll.RssMarket(A1262,"後場始値")</f>
        <v/>
      </c>
      <c r="S1262" s="25" t="str">
        <f t="shared" si="113"/>
        <v>-</v>
      </c>
      <c r="T1262" s="7" t="str">
        <f>_xll.RssMarket(A1262,"出来高加重平均")</f>
        <v/>
      </c>
      <c r="U1262" s="4" t="e">
        <f t="shared" si="114"/>
        <v>#VALUE!</v>
      </c>
      <c r="V1262" s="21" t="str">
        <f>_xll.RssMarket(A1262,"出来高")</f>
        <v/>
      </c>
      <c r="W1262" s="21" t="str">
        <f>_xll.RssMarket(A1262,"売買代金")</f>
        <v/>
      </c>
      <c r="X1262" s="20" t="str">
        <f>_xll.RssMarket(A1262,"決算発表日")</f>
        <v/>
      </c>
      <c r="Y1262" s="26" t="str">
        <f>IF(C1262&gt;_xll.RssMarket(A1262,"年初来高値"),"○","×")</f>
        <v>×</v>
      </c>
      <c r="Z1262" s="27" t="str">
        <f>IF(C1262&lt;=_xll.RssMarket(A1262,"年初来安値"),"○","×")</f>
        <v>○</v>
      </c>
    </row>
    <row r="1263" spans="2:26" x14ac:dyDescent="0.55000000000000004">
      <c r="B1263" s="20" t="str">
        <f>_xll.RssMarket(A1263,"銘柄名称")</f>
        <v/>
      </c>
      <c r="C1263" s="21" t="str">
        <f>_xll.RssMarket(A1263,"現在値")</f>
        <v/>
      </c>
      <c r="D1263" s="20" t="str">
        <f>_xll.RssMarket(A1263,"現在値詳細時刻")</f>
        <v/>
      </c>
      <c r="E1263" s="22" t="str">
        <f>_xll.RssMarket(A1263,"前日比")</f>
        <v/>
      </c>
      <c r="F1263" s="23" t="e">
        <f>_xll.RssMarket(A1263,"前日比率")/100</f>
        <v>#VALUE!</v>
      </c>
      <c r="G1263" s="24" t="str">
        <f>IFERROR(VLOOKUP(A1263,取得元!$A$2:$F$501,2,FALSE),"-")</f>
        <v>-</v>
      </c>
      <c r="H1263" s="24" t="str">
        <f>IFERROR(VLOOKUP(A1263,取得元!$A$2:$F$501,3,FALSE),"-")</f>
        <v>-</v>
      </c>
      <c r="I1263" s="24" t="str">
        <f>IFERROR(VLOOKUP(A1263,取得元!$A$2:$F$501,4,FALSE),"-")</f>
        <v>-</v>
      </c>
      <c r="J1263" s="5" t="str">
        <f>IFERROR(VLOOKUP(A1263,取得元!$A$2:$F$501,5,FALSE),"-")</f>
        <v>-</v>
      </c>
      <c r="K1263" s="25" t="str">
        <f>IFERROR(VLOOKUP(A1263,取得元!$A$2:$F$501,6,FALSE)/100,"-")</f>
        <v>-</v>
      </c>
      <c r="L1263" s="21" t="str">
        <f>_xll.RssMarket(A1263,"始値")</f>
        <v/>
      </c>
      <c r="M1263" s="4" t="e">
        <f t="shared" si="110"/>
        <v>#VALUE!</v>
      </c>
      <c r="N1263" s="21" t="str">
        <f>_xll.RssMarket(A1263,"高値")</f>
        <v/>
      </c>
      <c r="O1263" s="4" t="e">
        <f t="shared" si="111"/>
        <v>#VALUE!</v>
      </c>
      <c r="P1263" s="21" t="str">
        <f>_xll.RssMarket(A1263,"安値")</f>
        <v/>
      </c>
      <c r="Q1263" s="4" t="e">
        <f t="shared" si="112"/>
        <v>#VALUE!</v>
      </c>
      <c r="R1263" s="21" t="str">
        <f>_xll.RssMarket(A1263,"後場始値")</f>
        <v/>
      </c>
      <c r="S1263" s="25" t="str">
        <f t="shared" si="113"/>
        <v>-</v>
      </c>
      <c r="T1263" s="7" t="str">
        <f>_xll.RssMarket(A1263,"出来高加重平均")</f>
        <v/>
      </c>
      <c r="U1263" s="4" t="e">
        <f t="shared" si="114"/>
        <v>#VALUE!</v>
      </c>
      <c r="V1263" s="21" t="str">
        <f>_xll.RssMarket(A1263,"出来高")</f>
        <v/>
      </c>
      <c r="W1263" s="21" t="str">
        <f>_xll.RssMarket(A1263,"売買代金")</f>
        <v/>
      </c>
      <c r="X1263" s="20" t="str">
        <f>_xll.RssMarket(A1263,"決算発表日")</f>
        <v/>
      </c>
      <c r="Y1263" s="26" t="str">
        <f>IF(C1263&gt;_xll.RssMarket(A1263,"年初来高値"),"○","×")</f>
        <v>×</v>
      </c>
      <c r="Z1263" s="27" t="str">
        <f>IF(C1263&lt;=_xll.RssMarket(A1263,"年初来安値"),"○","×")</f>
        <v>○</v>
      </c>
    </row>
    <row r="1264" spans="2:26" x14ac:dyDescent="0.55000000000000004">
      <c r="B1264" s="20" t="str">
        <f>_xll.RssMarket(A1264,"銘柄名称")</f>
        <v/>
      </c>
      <c r="C1264" s="21" t="str">
        <f>_xll.RssMarket(A1264,"現在値")</f>
        <v/>
      </c>
      <c r="D1264" s="20" t="str">
        <f>_xll.RssMarket(A1264,"現在値詳細時刻")</f>
        <v/>
      </c>
      <c r="E1264" s="22" t="str">
        <f>_xll.RssMarket(A1264,"前日比")</f>
        <v/>
      </c>
      <c r="F1264" s="23" t="e">
        <f>_xll.RssMarket(A1264,"前日比率")/100</f>
        <v>#VALUE!</v>
      </c>
      <c r="G1264" s="24" t="str">
        <f>IFERROR(VLOOKUP(A1264,取得元!$A$2:$F$501,2,FALSE),"-")</f>
        <v>-</v>
      </c>
      <c r="H1264" s="24" t="str">
        <f>IFERROR(VLOOKUP(A1264,取得元!$A$2:$F$501,3,FALSE),"-")</f>
        <v>-</v>
      </c>
      <c r="I1264" s="24" t="str">
        <f>IFERROR(VLOOKUP(A1264,取得元!$A$2:$F$501,4,FALSE),"-")</f>
        <v>-</v>
      </c>
      <c r="J1264" s="5" t="str">
        <f>IFERROR(VLOOKUP(A1264,取得元!$A$2:$F$501,5,FALSE),"-")</f>
        <v>-</v>
      </c>
      <c r="K1264" s="25" t="str">
        <f>IFERROR(VLOOKUP(A1264,取得元!$A$2:$F$501,6,FALSE)/100,"-")</f>
        <v>-</v>
      </c>
      <c r="L1264" s="21" t="str">
        <f>_xll.RssMarket(A1264,"始値")</f>
        <v/>
      </c>
      <c r="M1264" s="4" t="e">
        <f t="shared" si="110"/>
        <v>#VALUE!</v>
      </c>
      <c r="N1264" s="21" t="str">
        <f>_xll.RssMarket(A1264,"高値")</f>
        <v/>
      </c>
      <c r="O1264" s="4" t="e">
        <f t="shared" si="111"/>
        <v>#VALUE!</v>
      </c>
      <c r="P1264" s="21" t="str">
        <f>_xll.RssMarket(A1264,"安値")</f>
        <v/>
      </c>
      <c r="Q1264" s="4" t="e">
        <f t="shared" si="112"/>
        <v>#VALUE!</v>
      </c>
      <c r="R1264" s="21" t="str">
        <f>_xll.RssMarket(A1264,"後場始値")</f>
        <v/>
      </c>
      <c r="S1264" s="25" t="str">
        <f t="shared" si="113"/>
        <v>-</v>
      </c>
      <c r="T1264" s="7" t="str">
        <f>_xll.RssMarket(A1264,"出来高加重平均")</f>
        <v/>
      </c>
      <c r="U1264" s="4" t="e">
        <f t="shared" si="114"/>
        <v>#VALUE!</v>
      </c>
      <c r="V1264" s="21" t="str">
        <f>_xll.RssMarket(A1264,"出来高")</f>
        <v/>
      </c>
      <c r="W1264" s="21" t="str">
        <f>_xll.RssMarket(A1264,"売買代金")</f>
        <v/>
      </c>
      <c r="X1264" s="20" t="str">
        <f>_xll.RssMarket(A1264,"決算発表日")</f>
        <v/>
      </c>
      <c r="Y1264" s="26" t="str">
        <f>IF(C1264&gt;_xll.RssMarket(A1264,"年初来高値"),"○","×")</f>
        <v>×</v>
      </c>
      <c r="Z1264" s="27" t="str">
        <f>IF(C1264&lt;=_xll.RssMarket(A1264,"年初来安値"),"○","×")</f>
        <v>○</v>
      </c>
    </row>
    <row r="1265" spans="2:26" x14ac:dyDescent="0.55000000000000004">
      <c r="B1265" s="20" t="str">
        <f>_xll.RssMarket(A1265,"銘柄名称")</f>
        <v/>
      </c>
      <c r="C1265" s="21" t="str">
        <f>_xll.RssMarket(A1265,"現在値")</f>
        <v/>
      </c>
      <c r="D1265" s="20" t="str">
        <f>_xll.RssMarket(A1265,"現在値詳細時刻")</f>
        <v/>
      </c>
      <c r="E1265" s="22" t="str">
        <f>_xll.RssMarket(A1265,"前日比")</f>
        <v/>
      </c>
      <c r="F1265" s="23" t="e">
        <f>_xll.RssMarket(A1265,"前日比率")/100</f>
        <v>#VALUE!</v>
      </c>
      <c r="G1265" s="24" t="str">
        <f>IFERROR(VLOOKUP(A1265,取得元!$A$2:$F$501,2,FALSE),"-")</f>
        <v>-</v>
      </c>
      <c r="H1265" s="24" t="str">
        <f>IFERROR(VLOOKUP(A1265,取得元!$A$2:$F$501,3,FALSE),"-")</f>
        <v>-</v>
      </c>
      <c r="I1265" s="24" t="str">
        <f>IFERROR(VLOOKUP(A1265,取得元!$A$2:$F$501,4,FALSE),"-")</f>
        <v>-</v>
      </c>
      <c r="J1265" s="5" t="str">
        <f>IFERROR(VLOOKUP(A1265,取得元!$A$2:$F$501,5,FALSE),"-")</f>
        <v>-</v>
      </c>
      <c r="K1265" s="25" t="str">
        <f>IFERROR(VLOOKUP(A1265,取得元!$A$2:$F$501,6,FALSE)/100,"-")</f>
        <v>-</v>
      </c>
      <c r="L1265" s="21" t="str">
        <f>_xll.RssMarket(A1265,"始値")</f>
        <v/>
      </c>
      <c r="M1265" s="4" t="e">
        <f t="shared" si="110"/>
        <v>#VALUE!</v>
      </c>
      <c r="N1265" s="21" t="str">
        <f>_xll.RssMarket(A1265,"高値")</f>
        <v/>
      </c>
      <c r="O1265" s="4" t="e">
        <f t="shared" si="111"/>
        <v>#VALUE!</v>
      </c>
      <c r="P1265" s="21" t="str">
        <f>_xll.RssMarket(A1265,"安値")</f>
        <v/>
      </c>
      <c r="Q1265" s="4" t="e">
        <f t="shared" si="112"/>
        <v>#VALUE!</v>
      </c>
      <c r="R1265" s="21" t="str">
        <f>_xll.RssMarket(A1265,"後場始値")</f>
        <v/>
      </c>
      <c r="S1265" s="25" t="str">
        <f t="shared" si="113"/>
        <v>-</v>
      </c>
      <c r="T1265" s="7" t="str">
        <f>_xll.RssMarket(A1265,"出来高加重平均")</f>
        <v/>
      </c>
      <c r="U1265" s="4" t="e">
        <f t="shared" si="114"/>
        <v>#VALUE!</v>
      </c>
      <c r="V1265" s="21" t="str">
        <f>_xll.RssMarket(A1265,"出来高")</f>
        <v/>
      </c>
      <c r="W1265" s="21" t="str">
        <f>_xll.RssMarket(A1265,"売買代金")</f>
        <v/>
      </c>
      <c r="X1265" s="20" t="str">
        <f>_xll.RssMarket(A1265,"決算発表日")</f>
        <v/>
      </c>
      <c r="Y1265" s="26" t="str">
        <f>IF(C1265&gt;_xll.RssMarket(A1265,"年初来高値"),"○","×")</f>
        <v>×</v>
      </c>
      <c r="Z1265" s="27" t="str">
        <f>IF(C1265&lt;=_xll.RssMarket(A1265,"年初来安値"),"○","×")</f>
        <v>○</v>
      </c>
    </row>
    <row r="1266" spans="2:26" x14ac:dyDescent="0.55000000000000004">
      <c r="B1266" s="20" t="str">
        <f>_xll.RssMarket(A1266,"銘柄名称")</f>
        <v/>
      </c>
      <c r="C1266" s="21" t="str">
        <f>_xll.RssMarket(A1266,"現在値")</f>
        <v/>
      </c>
      <c r="D1266" s="20" t="str">
        <f>_xll.RssMarket(A1266,"現在値詳細時刻")</f>
        <v/>
      </c>
      <c r="E1266" s="22" t="str">
        <f>_xll.RssMarket(A1266,"前日比")</f>
        <v/>
      </c>
      <c r="F1266" s="23" t="e">
        <f>_xll.RssMarket(A1266,"前日比率")/100</f>
        <v>#VALUE!</v>
      </c>
      <c r="G1266" s="24" t="str">
        <f>IFERROR(VLOOKUP(A1266,取得元!$A$2:$F$501,2,FALSE),"-")</f>
        <v>-</v>
      </c>
      <c r="H1266" s="24" t="str">
        <f>IFERROR(VLOOKUP(A1266,取得元!$A$2:$F$501,3,FALSE),"-")</f>
        <v>-</v>
      </c>
      <c r="I1266" s="24" t="str">
        <f>IFERROR(VLOOKUP(A1266,取得元!$A$2:$F$501,4,FALSE),"-")</f>
        <v>-</v>
      </c>
      <c r="J1266" s="5" t="str">
        <f>IFERROR(VLOOKUP(A1266,取得元!$A$2:$F$501,5,FALSE),"-")</f>
        <v>-</v>
      </c>
      <c r="K1266" s="25" t="str">
        <f>IFERROR(VLOOKUP(A1266,取得元!$A$2:$F$501,6,FALSE)/100,"-")</f>
        <v>-</v>
      </c>
      <c r="L1266" s="21" t="str">
        <f>_xll.RssMarket(A1266,"始値")</f>
        <v/>
      </c>
      <c r="M1266" s="4" t="e">
        <f t="shared" si="110"/>
        <v>#VALUE!</v>
      </c>
      <c r="N1266" s="21" t="str">
        <f>_xll.RssMarket(A1266,"高値")</f>
        <v/>
      </c>
      <c r="O1266" s="4" t="e">
        <f t="shared" si="111"/>
        <v>#VALUE!</v>
      </c>
      <c r="P1266" s="21" t="str">
        <f>_xll.RssMarket(A1266,"安値")</f>
        <v/>
      </c>
      <c r="Q1266" s="4" t="e">
        <f t="shared" si="112"/>
        <v>#VALUE!</v>
      </c>
      <c r="R1266" s="21" t="str">
        <f>_xll.RssMarket(A1266,"後場始値")</f>
        <v/>
      </c>
      <c r="S1266" s="25" t="str">
        <f t="shared" si="113"/>
        <v>-</v>
      </c>
      <c r="T1266" s="7" t="str">
        <f>_xll.RssMarket(A1266,"出来高加重平均")</f>
        <v/>
      </c>
      <c r="U1266" s="4" t="e">
        <f t="shared" si="114"/>
        <v>#VALUE!</v>
      </c>
      <c r="V1266" s="21" t="str">
        <f>_xll.RssMarket(A1266,"出来高")</f>
        <v/>
      </c>
      <c r="W1266" s="21" t="str">
        <f>_xll.RssMarket(A1266,"売買代金")</f>
        <v/>
      </c>
      <c r="X1266" s="20" t="str">
        <f>_xll.RssMarket(A1266,"決算発表日")</f>
        <v/>
      </c>
      <c r="Y1266" s="26" t="str">
        <f>IF(C1266&gt;_xll.RssMarket(A1266,"年初来高値"),"○","×")</f>
        <v>×</v>
      </c>
      <c r="Z1266" s="27" t="str">
        <f>IF(C1266&lt;=_xll.RssMarket(A1266,"年初来安値"),"○","×")</f>
        <v>○</v>
      </c>
    </row>
    <row r="1267" spans="2:26" x14ac:dyDescent="0.55000000000000004">
      <c r="B1267" s="20" t="str">
        <f>_xll.RssMarket(A1267,"銘柄名称")</f>
        <v/>
      </c>
      <c r="C1267" s="21" t="str">
        <f>_xll.RssMarket(A1267,"現在値")</f>
        <v/>
      </c>
      <c r="D1267" s="20" t="str">
        <f>_xll.RssMarket(A1267,"現在値詳細時刻")</f>
        <v/>
      </c>
      <c r="E1267" s="22" t="str">
        <f>_xll.RssMarket(A1267,"前日比")</f>
        <v/>
      </c>
      <c r="F1267" s="23" t="e">
        <f>_xll.RssMarket(A1267,"前日比率")/100</f>
        <v>#VALUE!</v>
      </c>
      <c r="G1267" s="24" t="str">
        <f>IFERROR(VLOOKUP(A1267,取得元!$A$2:$F$501,2,FALSE),"-")</f>
        <v>-</v>
      </c>
      <c r="H1267" s="24" t="str">
        <f>IFERROR(VLOOKUP(A1267,取得元!$A$2:$F$501,3,FALSE),"-")</f>
        <v>-</v>
      </c>
      <c r="I1267" s="24" t="str">
        <f>IFERROR(VLOOKUP(A1267,取得元!$A$2:$F$501,4,FALSE),"-")</f>
        <v>-</v>
      </c>
      <c r="J1267" s="5" t="str">
        <f>IFERROR(VLOOKUP(A1267,取得元!$A$2:$F$501,5,FALSE),"-")</f>
        <v>-</v>
      </c>
      <c r="K1267" s="25" t="str">
        <f>IFERROR(VLOOKUP(A1267,取得元!$A$2:$F$501,6,FALSE)/100,"-")</f>
        <v>-</v>
      </c>
      <c r="L1267" s="21" t="str">
        <f>_xll.RssMarket(A1267,"始値")</f>
        <v/>
      </c>
      <c r="M1267" s="4" t="e">
        <f t="shared" si="110"/>
        <v>#VALUE!</v>
      </c>
      <c r="N1267" s="21" t="str">
        <f>_xll.RssMarket(A1267,"高値")</f>
        <v/>
      </c>
      <c r="O1267" s="4" t="e">
        <f t="shared" si="111"/>
        <v>#VALUE!</v>
      </c>
      <c r="P1267" s="21" t="str">
        <f>_xll.RssMarket(A1267,"安値")</f>
        <v/>
      </c>
      <c r="Q1267" s="4" t="e">
        <f t="shared" si="112"/>
        <v>#VALUE!</v>
      </c>
      <c r="R1267" s="21" t="str">
        <f>_xll.RssMarket(A1267,"後場始値")</f>
        <v/>
      </c>
      <c r="S1267" s="25" t="str">
        <f t="shared" si="113"/>
        <v>-</v>
      </c>
      <c r="T1267" s="7" t="str">
        <f>_xll.RssMarket(A1267,"出来高加重平均")</f>
        <v/>
      </c>
      <c r="U1267" s="4" t="e">
        <f t="shared" si="114"/>
        <v>#VALUE!</v>
      </c>
      <c r="V1267" s="21" t="str">
        <f>_xll.RssMarket(A1267,"出来高")</f>
        <v/>
      </c>
      <c r="W1267" s="21" t="str">
        <f>_xll.RssMarket(A1267,"売買代金")</f>
        <v/>
      </c>
      <c r="X1267" s="20" t="str">
        <f>_xll.RssMarket(A1267,"決算発表日")</f>
        <v/>
      </c>
      <c r="Y1267" s="26" t="str">
        <f>IF(C1267&gt;_xll.RssMarket(A1267,"年初来高値"),"○","×")</f>
        <v>×</v>
      </c>
      <c r="Z1267" s="27" t="str">
        <f>IF(C1267&lt;=_xll.RssMarket(A1267,"年初来安値"),"○","×")</f>
        <v>○</v>
      </c>
    </row>
    <row r="1268" spans="2:26" x14ac:dyDescent="0.55000000000000004">
      <c r="B1268" s="20" t="str">
        <f>_xll.RssMarket(A1268,"銘柄名称")</f>
        <v/>
      </c>
      <c r="C1268" s="21" t="str">
        <f>_xll.RssMarket(A1268,"現在値")</f>
        <v/>
      </c>
      <c r="D1268" s="20" t="str">
        <f>_xll.RssMarket(A1268,"現在値詳細時刻")</f>
        <v/>
      </c>
      <c r="E1268" s="22" t="str">
        <f>_xll.RssMarket(A1268,"前日比")</f>
        <v/>
      </c>
      <c r="F1268" s="23" t="e">
        <f>_xll.RssMarket(A1268,"前日比率")/100</f>
        <v>#VALUE!</v>
      </c>
      <c r="G1268" s="24" t="str">
        <f>IFERROR(VLOOKUP(A1268,取得元!$A$2:$F$501,2,FALSE),"-")</f>
        <v>-</v>
      </c>
      <c r="H1268" s="24" t="str">
        <f>IFERROR(VLOOKUP(A1268,取得元!$A$2:$F$501,3,FALSE),"-")</f>
        <v>-</v>
      </c>
      <c r="I1268" s="24" t="str">
        <f>IFERROR(VLOOKUP(A1268,取得元!$A$2:$F$501,4,FALSE),"-")</f>
        <v>-</v>
      </c>
      <c r="J1268" s="5" t="str">
        <f>IFERROR(VLOOKUP(A1268,取得元!$A$2:$F$501,5,FALSE),"-")</f>
        <v>-</v>
      </c>
      <c r="K1268" s="25" t="str">
        <f>IFERROR(VLOOKUP(A1268,取得元!$A$2:$F$501,6,FALSE)/100,"-")</f>
        <v>-</v>
      </c>
      <c r="L1268" s="21" t="str">
        <f>_xll.RssMarket(A1268,"始値")</f>
        <v/>
      </c>
      <c r="M1268" s="4" t="e">
        <f t="shared" si="110"/>
        <v>#VALUE!</v>
      </c>
      <c r="N1268" s="21" t="str">
        <f>_xll.RssMarket(A1268,"高値")</f>
        <v/>
      </c>
      <c r="O1268" s="4" t="e">
        <f t="shared" si="111"/>
        <v>#VALUE!</v>
      </c>
      <c r="P1268" s="21" t="str">
        <f>_xll.RssMarket(A1268,"安値")</f>
        <v/>
      </c>
      <c r="Q1268" s="4" t="e">
        <f t="shared" si="112"/>
        <v>#VALUE!</v>
      </c>
      <c r="R1268" s="21" t="str">
        <f>_xll.RssMarket(A1268,"後場始値")</f>
        <v/>
      </c>
      <c r="S1268" s="25" t="str">
        <f t="shared" si="113"/>
        <v>-</v>
      </c>
      <c r="T1268" s="7" t="str">
        <f>_xll.RssMarket(A1268,"出来高加重平均")</f>
        <v/>
      </c>
      <c r="U1268" s="4" t="e">
        <f t="shared" si="114"/>
        <v>#VALUE!</v>
      </c>
      <c r="V1268" s="21" t="str">
        <f>_xll.RssMarket(A1268,"出来高")</f>
        <v/>
      </c>
      <c r="W1268" s="21" t="str">
        <f>_xll.RssMarket(A1268,"売買代金")</f>
        <v/>
      </c>
      <c r="X1268" s="20" t="str">
        <f>_xll.RssMarket(A1268,"決算発表日")</f>
        <v/>
      </c>
      <c r="Y1268" s="26" t="str">
        <f>IF(C1268&gt;_xll.RssMarket(A1268,"年初来高値"),"○","×")</f>
        <v>×</v>
      </c>
      <c r="Z1268" s="27" t="str">
        <f>IF(C1268&lt;=_xll.RssMarket(A1268,"年初来安値"),"○","×")</f>
        <v>○</v>
      </c>
    </row>
    <row r="1269" spans="2:26" x14ac:dyDescent="0.55000000000000004">
      <c r="B1269" s="20" t="str">
        <f>_xll.RssMarket(A1269,"銘柄名称")</f>
        <v/>
      </c>
      <c r="C1269" s="21" t="str">
        <f>_xll.RssMarket(A1269,"現在値")</f>
        <v/>
      </c>
      <c r="D1269" s="20" t="str">
        <f>_xll.RssMarket(A1269,"現在値詳細時刻")</f>
        <v/>
      </c>
      <c r="E1269" s="22" t="str">
        <f>_xll.RssMarket(A1269,"前日比")</f>
        <v/>
      </c>
      <c r="F1269" s="23" t="e">
        <f>_xll.RssMarket(A1269,"前日比率")/100</f>
        <v>#VALUE!</v>
      </c>
      <c r="G1269" s="24" t="str">
        <f>IFERROR(VLOOKUP(A1269,取得元!$A$2:$F$501,2,FALSE),"-")</f>
        <v>-</v>
      </c>
      <c r="H1269" s="24" t="str">
        <f>IFERROR(VLOOKUP(A1269,取得元!$A$2:$F$501,3,FALSE),"-")</f>
        <v>-</v>
      </c>
      <c r="I1269" s="24" t="str">
        <f>IFERROR(VLOOKUP(A1269,取得元!$A$2:$F$501,4,FALSE),"-")</f>
        <v>-</v>
      </c>
      <c r="J1269" s="5" t="str">
        <f>IFERROR(VLOOKUP(A1269,取得元!$A$2:$F$501,5,FALSE),"-")</f>
        <v>-</v>
      </c>
      <c r="K1269" s="25" t="str">
        <f>IFERROR(VLOOKUP(A1269,取得元!$A$2:$F$501,6,FALSE)/100,"-")</f>
        <v>-</v>
      </c>
      <c r="L1269" s="21" t="str">
        <f>_xll.RssMarket(A1269,"始値")</f>
        <v/>
      </c>
      <c r="M1269" s="4" t="e">
        <f t="shared" si="110"/>
        <v>#VALUE!</v>
      </c>
      <c r="N1269" s="21" t="str">
        <f>_xll.RssMarket(A1269,"高値")</f>
        <v/>
      </c>
      <c r="O1269" s="4" t="e">
        <f t="shared" si="111"/>
        <v>#VALUE!</v>
      </c>
      <c r="P1269" s="21" t="str">
        <f>_xll.RssMarket(A1269,"安値")</f>
        <v/>
      </c>
      <c r="Q1269" s="4" t="e">
        <f t="shared" si="112"/>
        <v>#VALUE!</v>
      </c>
      <c r="R1269" s="21" t="str">
        <f>_xll.RssMarket(A1269,"後場始値")</f>
        <v/>
      </c>
      <c r="S1269" s="25" t="str">
        <f t="shared" si="113"/>
        <v>-</v>
      </c>
      <c r="T1269" s="7" t="str">
        <f>_xll.RssMarket(A1269,"出来高加重平均")</f>
        <v/>
      </c>
      <c r="U1269" s="4" t="e">
        <f t="shared" si="114"/>
        <v>#VALUE!</v>
      </c>
      <c r="V1269" s="21" t="str">
        <f>_xll.RssMarket(A1269,"出来高")</f>
        <v/>
      </c>
      <c r="W1269" s="21" t="str">
        <f>_xll.RssMarket(A1269,"売買代金")</f>
        <v/>
      </c>
      <c r="X1269" s="20" t="str">
        <f>_xll.RssMarket(A1269,"決算発表日")</f>
        <v/>
      </c>
      <c r="Y1269" s="26" t="str">
        <f>IF(C1269&gt;_xll.RssMarket(A1269,"年初来高値"),"○","×")</f>
        <v>×</v>
      </c>
      <c r="Z1269" s="27" t="str">
        <f>IF(C1269&lt;=_xll.RssMarket(A1269,"年初来安値"),"○","×")</f>
        <v>○</v>
      </c>
    </row>
    <row r="1270" spans="2:26" x14ac:dyDescent="0.55000000000000004">
      <c r="B1270" s="20" t="str">
        <f>_xll.RssMarket(A1270,"銘柄名称")</f>
        <v/>
      </c>
      <c r="C1270" s="21" t="str">
        <f>_xll.RssMarket(A1270,"現在値")</f>
        <v/>
      </c>
      <c r="D1270" s="20" t="str">
        <f>_xll.RssMarket(A1270,"現在値詳細時刻")</f>
        <v/>
      </c>
      <c r="E1270" s="22" t="str">
        <f>_xll.RssMarket(A1270,"前日比")</f>
        <v/>
      </c>
      <c r="F1270" s="23" t="e">
        <f>_xll.RssMarket(A1270,"前日比率")/100</f>
        <v>#VALUE!</v>
      </c>
      <c r="G1270" s="24" t="str">
        <f>IFERROR(VLOOKUP(A1270,取得元!$A$2:$F$501,2,FALSE),"-")</f>
        <v>-</v>
      </c>
      <c r="H1270" s="24" t="str">
        <f>IFERROR(VLOOKUP(A1270,取得元!$A$2:$F$501,3,FALSE),"-")</f>
        <v>-</v>
      </c>
      <c r="I1270" s="24" t="str">
        <f>IFERROR(VLOOKUP(A1270,取得元!$A$2:$F$501,4,FALSE),"-")</f>
        <v>-</v>
      </c>
      <c r="J1270" s="5" t="str">
        <f>IFERROR(VLOOKUP(A1270,取得元!$A$2:$F$501,5,FALSE),"-")</f>
        <v>-</v>
      </c>
      <c r="K1270" s="25" t="str">
        <f>IFERROR(VLOOKUP(A1270,取得元!$A$2:$F$501,6,FALSE)/100,"-")</f>
        <v>-</v>
      </c>
      <c r="L1270" s="21" t="str">
        <f>_xll.RssMarket(A1270,"始値")</f>
        <v/>
      </c>
      <c r="M1270" s="4" t="e">
        <f t="shared" si="110"/>
        <v>#VALUE!</v>
      </c>
      <c r="N1270" s="21" t="str">
        <f>_xll.RssMarket(A1270,"高値")</f>
        <v/>
      </c>
      <c r="O1270" s="4" t="e">
        <f t="shared" si="111"/>
        <v>#VALUE!</v>
      </c>
      <c r="P1270" s="21" t="str">
        <f>_xll.RssMarket(A1270,"安値")</f>
        <v/>
      </c>
      <c r="Q1270" s="4" t="e">
        <f t="shared" si="112"/>
        <v>#VALUE!</v>
      </c>
      <c r="R1270" s="21" t="str">
        <f>_xll.RssMarket(A1270,"後場始値")</f>
        <v/>
      </c>
      <c r="S1270" s="25" t="str">
        <f t="shared" si="113"/>
        <v>-</v>
      </c>
      <c r="T1270" s="7" t="str">
        <f>_xll.RssMarket(A1270,"出来高加重平均")</f>
        <v/>
      </c>
      <c r="U1270" s="4" t="e">
        <f t="shared" si="114"/>
        <v>#VALUE!</v>
      </c>
      <c r="V1270" s="21" t="str">
        <f>_xll.RssMarket(A1270,"出来高")</f>
        <v/>
      </c>
      <c r="W1270" s="21" t="str">
        <f>_xll.RssMarket(A1270,"売買代金")</f>
        <v/>
      </c>
      <c r="X1270" s="20" t="str">
        <f>_xll.RssMarket(A1270,"決算発表日")</f>
        <v/>
      </c>
      <c r="Y1270" s="26" t="str">
        <f>IF(C1270&gt;_xll.RssMarket(A1270,"年初来高値"),"○","×")</f>
        <v>×</v>
      </c>
      <c r="Z1270" s="27" t="str">
        <f>IF(C1270&lt;=_xll.RssMarket(A1270,"年初来安値"),"○","×")</f>
        <v>○</v>
      </c>
    </row>
    <row r="1271" spans="2:26" x14ac:dyDescent="0.55000000000000004">
      <c r="B1271" s="20" t="str">
        <f>_xll.RssMarket(A1271,"銘柄名称")</f>
        <v/>
      </c>
      <c r="C1271" s="21" t="str">
        <f>_xll.RssMarket(A1271,"現在値")</f>
        <v/>
      </c>
      <c r="D1271" s="20" t="str">
        <f>_xll.RssMarket(A1271,"現在値詳細時刻")</f>
        <v/>
      </c>
      <c r="E1271" s="22" t="str">
        <f>_xll.RssMarket(A1271,"前日比")</f>
        <v/>
      </c>
      <c r="F1271" s="23" t="e">
        <f>_xll.RssMarket(A1271,"前日比率")/100</f>
        <v>#VALUE!</v>
      </c>
      <c r="G1271" s="24" t="str">
        <f>IFERROR(VLOOKUP(A1271,取得元!$A$2:$F$501,2,FALSE),"-")</f>
        <v>-</v>
      </c>
      <c r="H1271" s="24" t="str">
        <f>IFERROR(VLOOKUP(A1271,取得元!$A$2:$F$501,3,FALSE),"-")</f>
        <v>-</v>
      </c>
      <c r="I1271" s="24" t="str">
        <f>IFERROR(VLOOKUP(A1271,取得元!$A$2:$F$501,4,FALSE),"-")</f>
        <v>-</v>
      </c>
      <c r="J1271" s="5" t="str">
        <f>IFERROR(VLOOKUP(A1271,取得元!$A$2:$F$501,5,FALSE),"-")</f>
        <v>-</v>
      </c>
      <c r="K1271" s="25" t="str">
        <f>IFERROR(VLOOKUP(A1271,取得元!$A$2:$F$501,6,FALSE)/100,"-")</f>
        <v>-</v>
      </c>
      <c r="L1271" s="21" t="str">
        <f>_xll.RssMarket(A1271,"始値")</f>
        <v/>
      </c>
      <c r="M1271" s="4" t="e">
        <f t="shared" si="110"/>
        <v>#VALUE!</v>
      </c>
      <c r="N1271" s="21" t="str">
        <f>_xll.RssMarket(A1271,"高値")</f>
        <v/>
      </c>
      <c r="O1271" s="4" t="e">
        <f t="shared" si="111"/>
        <v>#VALUE!</v>
      </c>
      <c r="P1271" s="21" t="str">
        <f>_xll.RssMarket(A1271,"安値")</f>
        <v/>
      </c>
      <c r="Q1271" s="4" t="e">
        <f t="shared" si="112"/>
        <v>#VALUE!</v>
      </c>
      <c r="R1271" s="21" t="str">
        <f>_xll.RssMarket(A1271,"後場始値")</f>
        <v/>
      </c>
      <c r="S1271" s="25" t="str">
        <f t="shared" si="113"/>
        <v>-</v>
      </c>
      <c r="T1271" s="7" t="str">
        <f>_xll.RssMarket(A1271,"出来高加重平均")</f>
        <v/>
      </c>
      <c r="U1271" s="4" t="e">
        <f t="shared" si="114"/>
        <v>#VALUE!</v>
      </c>
      <c r="V1271" s="21" t="str">
        <f>_xll.RssMarket(A1271,"出来高")</f>
        <v/>
      </c>
      <c r="W1271" s="21" t="str">
        <f>_xll.RssMarket(A1271,"売買代金")</f>
        <v/>
      </c>
      <c r="X1271" s="20" t="str">
        <f>_xll.RssMarket(A1271,"決算発表日")</f>
        <v/>
      </c>
      <c r="Y1271" s="26" t="str">
        <f>IF(C1271&gt;_xll.RssMarket(A1271,"年初来高値"),"○","×")</f>
        <v>×</v>
      </c>
      <c r="Z1271" s="27" t="str">
        <f>IF(C1271&lt;=_xll.RssMarket(A1271,"年初来安値"),"○","×")</f>
        <v>○</v>
      </c>
    </row>
    <row r="1272" spans="2:26" x14ac:dyDescent="0.55000000000000004">
      <c r="B1272" s="20" t="str">
        <f>_xll.RssMarket(A1272,"銘柄名称")</f>
        <v/>
      </c>
      <c r="C1272" s="21" t="str">
        <f>_xll.RssMarket(A1272,"現在値")</f>
        <v/>
      </c>
      <c r="D1272" s="20" t="str">
        <f>_xll.RssMarket(A1272,"現在値詳細時刻")</f>
        <v/>
      </c>
      <c r="E1272" s="22" t="str">
        <f>_xll.RssMarket(A1272,"前日比")</f>
        <v/>
      </c>
      <c r="F1272" s="23" t="e">
        <f>_xll.RssMarket(A1272,"前日比率")/100</f>
        <v>#VALUE!</v>
      </c>
      <c r="G1272" s="24" t="str">
        <f>IFERROR(VLOOKUP(A1272,取得元!$A$2:$F$501,2,FALSE),"-")</f>
        <v>-</v>
      </c>
      <c r="H1272" s="24" t="str">
        <f>IFERROR(VLOOKUP(A1272,取得元!$A$2:$F$501,3,FALSE),"-")</f>
        <v>-</v>
      </c>
      <c r="I1272" s="24" t="str">
        <f>IFERROR(VLOOKUP(A1272,取得元!$A$2:$F$501,4,FALSE),"-")</f>
        <v>-</v>
      </c>
      <c r="J1272" s="5" t="str">
        <f>IFERROR(VLOOKUP(A1272,取得元!$A$2:$F$501,5,FALSE),"-")</f>
        <v>-</v>
      </c>
      <c r="K1272" s="25" t="str">
        <f>IFERROR(VLOOKUP(A1272,取得元!$A$2:$F$501,6,FALSE)/100,"-")</f>
        <v>-</v>
      </c>
      <c r="L1272" s="21" t="str">
        <f>_xll.RssMarket(A1272,"始値")</f>
        <v/>
      </c>
      <c r="M1272" s="4" t="e">
        <f t="shared" si="110"/>
        <v>#VALUE!</v>
      </c>
      <c r="N1272" s="21" t="str">
        <f>_xll.RssMarket(A1272,"高値")</f>
        <v/>
      </c>
      <c r="O1272" s="4" t="e">
        <f t="shared" si="111"/>
        <v>#VALUE!</v>
      </c>
      <c r="P1272" s="21" t="str">
        <f>_xll.RssMarket(A1272,"安値")</f>
        <v/>
      </c>
      <c r="Q1272" s="4" t="e">
        <f t="shared" si="112"/>
        <v>#VALUE!</v>
      </c>
      <c r="R1272" s="21" t="str">
        <f>_xll.RssMarket(A1272,"後場始値")</f>
        <v/>
      </c>
      <c r="S1272" s="25" t="str">
        <f t="shared" si="113"/>
        <v>-</v>
      </c>
      <c r="T1272" s="7" t="str">
        <f>_xll.RssMarket(A1272,"出来高加重平均")</f>
        <v/>
      </c>
      <c r="U1272" s="4" t="e">
        <f t="shared" si="114"/>
        <v>#VALUE!</v>
      </c>
      <c r="V1272" s="21" t="str">
        <f>_xll.RssMarket(A1272,"出来高")</f>
        <v/>
      </c>
      <c r="W1272" s="21" t="str">
        <f>_xll.RssMarket(A1272,"売買代金")</f>
        <v/>
      </c>
      <c r="X1272" s="20" t="str">
        <f>_xll.RssMarket(A1272,"決算発表日")</f>
        <v/>
      </c>
      <c r="Y1272" s="26" t="str">
        <f>IF(C1272&gt;_xll.RssMarket(A1272,"年初来高値"),"○","×")</f>
        <v>×</v>
      </c>
      <c r="Z1272" s="27" t="str">
        <f>IF(C1272&lt;=_xll.RssMarket(A1272,"年初来安値"),"○","×")</f>
        <v>○</v>
      </c>
    </row>
    <row r="1273" spans="2:26" x14ac:dyDescent="0.55000000000000004">
      <c r="B1273" s="20" t="str">
        <f>_xll.RssMarket(A1273,"銘柄名称")</f>
        <v/>
      </c>
      <c r="C1273" s="21" t="str">
        <f>_xll.RssMarket(A1273,"現在値")</f>
        <v/>
      </c>
      <c r="D1273" s="20" t="str">
        <f>_xll.RssMarket(A1273,"現在値詳細時刻")</f>
        <v/>
      </c>
      <c r="E1273" s="22" t="str">
        <f>_xll.RssMarket(A1273,"前日比")</f>
        <v/>
      </c>
      <c r="F1273" s="23" t="e">
        <f>_xll.RssMarket(A1273,"前日比率")/100</f>
        <v>#VALUE!</v>
      </c>
      <c r="G1273" s="24" t="str">
        <f>IFERROR(VLOOKUP(A1273,取得元!$A$2:$F$501,2,FALSE),"-")</f>
        <v>-</v>
      </c>
      <c r="H1273" s="24" t="str">
        <f>IFERROR(VLOOKUP(A1273,取得元!$A$2:$F$501,3,FALSE),"-")</f>
        <v>-</v>
      </c>
      <c r="I1273" s="24" t="str">
        <f>IFERROR(VLOOKUP(A1273,取得元!$A$2:$F$501,4,FALSE),"-")</f>
        <v>-</v>
      </c>
      <c r="J1273" s="5" t="str">
        <f>IFERROR(VLOOKUP(A1273,取得元!$A$2:$F$501,5,FALSE),"-")</f>
        <v>-</v>
      </c>
      <c r="K1273" s="25" t="str">
        <f>IFERROR(VLOOKUP(A1273,取得元!$A$2:$F$501,6,FALSE)/100,"-")</f>
        <v>-</v>
      </c>
      <c r="L1273" s="21" t="str">
        <f>_xll.RssMarket(A1273,"始値")</f>
        <v/>
      </c>
      <c r="M1273" s="4" t="e">
        <f t="shared" si="110"/>
        <v>#VALUE!</v>
      </c>
      <c r="N1273" s="21" t="str">
        <f>_xll.RssMarket(A1273,"高値")</f>
        <v/>
      </c>
      <c r="O1273" s="4" t="e">
        <f t="shared" si="111"/>
        <v>#VALUE!</v>
      </c>
      <c r="P1273" s="21" t="str">
        <f>_xll.RssMarket(A1273,"安値")</f>
        <v/>
      </c>
      <c r="Q1273" s="4" t="e">
        <f t="shared" si="112"/>
        <v>#VALUE!</v>
      </c>
      <c r="R1273" s="21" t="str">
        <f>_xll.RssMarket(A1273,"後場始値")</f>
        <v/>
      </c>
      <c r="S1273" s="25" t="str">
        <f t="shared" si="113"/>
        <v>-</v>
      </c>
      <c r="T1273" s="7" t="str">
        <f>_xll.RssMarket(A1273,"出来高加重平均")</f>
        <v/>
      </c>
      <c r="U1273" s="4" t="e">
        <f t="shared" si="114"/>
        <v>#VALUE!</v>
      </c>
      <c r="V1273" s="21" t="str">
        <f>_xll.RssMarket(A1273,"出来高")</f>
        <v/>
      </c>
      <c r="W1273" s="21" t="str">
        <f>_xll.RssMarket(A1273,"売買代金")</f>
        <v/>
      </c>
      <c r="X1273" s="20" t="str">
        <f>_xll.RssMarket(A1273,"決算発表日")</f>
        <v/>
      </c>
      <c r="Y1273" s="26" t="str">
        <f>IF(C1273&gt;_xll.RssMarket(A1273,"年初来高値"),"○","×")</f>
        <v>×</v>
      </c>
      <c r="Z1273" s="27" t="str">
        <f>IF(C1273&lt;=_xll.RssMarket(A1273,"年初来安値"),"○","×")</f>
        <v>○</v>
      </c>
    </row>
    <row r="1274" spans="2:26" x14ac:dyDescent="0.55000000000000004">
      <c r="B1274" s="20" t="str">
        <f>_xll.RssMarket(A1274,"銘柄名称")</f>
        <v/>
      </c>
      <c r="C1274" s="21" t="str">
        <f>_xll.RssMarket(A1274,"現在値")</f>
        <v/>
      </c>
      <c r="D1274" s="20" t="str">
        <f>_xll.RssMarket(A1274,"現在値詳細時刻")</f>
        <v/>
      </c>
      <c r="E1274" s="22" t="str">
        <f>_xll.RssMarket(A1274,"前日比")</f>
        <v/>
      </c>
      <c r="F1274" s="23" t="e">
        <f>_xll.RssMarket(A1274,"前日比率")/100</f>
        <v>#VALUE!</v>
      </c>
      <c r="G1274" s="24" t="str">
        <f>IFERROR(VLOOKUP(A1274,取得元!$A$2:$F$501,2,FALSE),"-")</f>
        <v>-</v>
      </c>
      <c r="H1274" s="24" t="str">
        <f>IFERROR(VLOOKUP(A1274,取得元!$A$2:$F$501,3,FALSE),"-")</f>
        <v>-</v>
      </c>
      <c r="I1274" s="24" t="str">
        <f>IFERROR(VLOOKUP(A1274,取得元!$A$2:$F$501,4,FALSE),"-")</f>
        <v>-</v>
      </c>
      <c r="J1274" s="5" t="str">
        <f>IFERROR(VLOOKUP(A1274,取得元!$A$2:$F$501,5,FALSE),"-")</f>
        <v>-</v>
      </c>
      <c r="K1274" s="25" t="str">
        <f>IFERROR(VLOOKUP(A1274,取得元!$A$2:$F$501,6,FALSE)/100,"-")</f>
        <v>-</v>
      </c>
      <c r="L1274" s="21" t="str">
        <f>_xll.RssMarket(A1274,"始値")</f>
        <v/>
      </c>
      <c r="M1274" s="4" t="e">
        <f t="shared" si="110"/>
        <v>#VALUE!</v>
      </c>
      <c r="N1274" s="21" t="str">
        <f>_xll.RssMarket(A1274,"高値")</f>
        <v/>
      </c>
      <c r="O1274" s="4" t="e">
        <f t="shared" si="111"/>
        <v>#VALUE!</v>
      </c>
      <c r="P1274" s="21" t="str">
        <f>_xll.RssMarket(A1274,"安値")</f>
        <v/>
      </c>
      <c r="Q1274" s="4" t="e">
        <f t="shared" si="112"/>
        <v>#VALUE!</v>
      </c>
      <c r="R1274" s="21" t="str">
        <f>_xll.RssMarket(A1274,"後場始値")</f>
        <v/>
      </c>
      <c r="S1274" s="25" t="str">
        <f t="shared" si="113"/>
        <v>-</v>
      </c>
      <c r="T1274" s="7" t="str">
        <f>_xll.RssMarket(A1274,"出来高加重平均")</f>
        <v/>
      </c>
      <c r="U1274" s="4" t="e">
        <f t="shared" si="114"/>
        <v>#VALUE!</v>
      </c>
      <c r="V1274" s="21" t="str">
        <f>_xll.RssMarket(A1274,"出来高")</f>
        <v/>
      </c>
      <c r="W1274" s="21" t="str">
        <f>_xll.RssMarket(A1274,"売買代金")</f>
        <v/>
      </c>
      <c r="X1274" s="20" t="str">
        <f>_xll.RssMarket(A1274,"決算発表日")</f>
        <v/>
      </c>
      <c r="Y1274" s="26" t="str">
        <f>IF(C1274&gt;_xll.RssMarket(A1274,"年初来高値"),"○","×")</f>
        <v>×</v>
      </c>
      <c r="Z1274" s="27" t="str">
        <f>IF(C1274&lt;=_xll.RssMarket(A1274,"年初来安値"),"○","×")</f>
        <v>○</v>
      </c>
    </row>
    <row r="1275" spans="2:26" x14ac:dyDescent="0.55000000000000004">
      <c r="B1275" s="20" t="str">
        <f>_xll.RssMarket(A1275,"銘柄名称")</f>
        <v/>
      </c>
      <c r="C1275" s="21" t="str">
        <f>_xll.RssMarket(A1275,"現在値")</f>
        <v/>
      </c>
      <c r="D1275" s="20" t="str">
        <f>_xll.RssMarket(A1275,"現在値詳細時刻")</f>
        <v/>
      </c>
      <c r="E1275" s="22" t="str">
        <f>_xll.RssMarket(A1275,"前日比")</f>
        <v/>
      </c>
      <c r="F1275" s="23" t="e">
        <f>_xll.RssMarket(A1275,"前日比率")/100</f>
        <v>#VALUE!</v>
      </c>
      <c r="G1275" s="24" t="str">
        <f>IFERROR(VLOOKUP(A1275,取得元!$A$2:$F$501,2,FALSE),"-")</f>
        <v>-</v>
      </c>
      <c r="H1275" s="24" t="str">
        <f>IFERROR(VLOOKUP(A1275,取得元!$A$2:$F$501,3,FALSE),"-")</f>
        <v>-</v>
      </c>
      <c r="I1275" s="24" t="str">
        <f>IFERROR(VLOOKUP(A1275,取得元!$A$2:$F$501,4,FALSE),"-")</f>
        <v>-</v>
      </c>
      <c r="J1275" s="5" t="str">
        <f>IFERROR(VLOOKUP(A1275,取得元!$A$2:$F$501,5,FALSE),"-")</f>
        <v>-</v>
      </c>
      <c r="K1275" s="25" t="str">
        <f>IFERROR(VLOOKUP(A1275,取得元!$A$2:$F$501,6,FALSE)/100,"-")</f>
        <v>-</v>
      </c>
      <c r="L1275" s="21" t="str">
        <f>_xll.RssMarket(A1275,"始値")</f>
        <v/>
      </c>
      <c r="M1275" s="4" t="e">
        <f t="shared" si="110"/>
        <v>#VALUE!</v>
      </c>
      <c r="N1275" s="21" t="str">
        <f>_xll.RssMarket(A1275,"高値")</f>
        <v/>
      </c>
      <c r="O1275" s="4" t="e">
        <f t="shared" si="111"/>
        <v>#VALUE!</v>
      </c>
      <c r="P1275" s="21" t="str">
        <f>_xll.RssMarket(A1275,"安値")</f>
        <v/>
      </c>
      <c r="Q1275" s="4" t="e">
        <f t="shared" si="112"/>
        <v>#VALUE!</v>
      </c>
      <c r="R1275" s="21" t="str">
        <f>_xll.RssMarket(A1275,"後場始値")</f>
        <v/>
      </c>
      <c r="S1275" s="25" t="str">
        <f t="shared" si="113"/>
        <v>-</v>
      </c>
      <c r="T1275" s="7" t="str">
        <f>_xll.RssMarket(A1275,"出来高加重平均")</f>
        <v/>
      </c>
      <c r="U1275" s="4" t="e">
        <f t="shared" si="114"/>
        <v>#VALUE!</v>
      </c>
      <c r="V1275" s="21" t="str">
        <f>_xll.RssMarket(A1275,"出来高")</f>
        <v/>
      </c>
      <c r="W1275" s="21" t="str">
        <f>_xll.RssMarket(A1275,"売買代金")</f>
        <v/>
      </c>
      <c r="X1275" s="20" t="str">
        <f>_xll.RssMarket(A1275,"決算発表日")</f>
        <v/>
      </c>
      <c r="Y1275" s="26" t="str">
        <f>IF(C1275&gt;_xll.RssMarket(A1275,"年初来高値"),"○","×")</f>
        <v>×</v>
      </c>
      <c r="Z1275" s="27" t="str">
        <f>IF(C1275&lt;=_xll.RssMarket(A1275,"年初来安値"),"○","×")</f>
        <v>○</v>
      </c>
    </row>
    <row r="1276" spans="2:26" x14ac:dyDescent="0.55000000000000004">
      <c r="B1276" s="20" t="str">
        <f>_xll.RssMarket(A1276,"銘柄名称")</f>
        <v/>
      </c>
      <c r="C1276" s="21" t="str">
        <f>_xll.RssMarket(A1276,"現在値")</f>
        <v/>
      </c>
      <c r="D1276" s="20" t="str">
        <f>_xll.RssMarket(A1276,"現在値詳細時刻")</f>
        <v/>
      </c>
      <c r="E1276" s="22" t="str">
        <f>_xll.RssMarket(A1276,"前日比")</f>
        <v/>
      </c>
      <c r="F1276" s="23" t="e">
        <f>_xll.RssMarket(A1276,"前日比率")/100</f>
        <v>#VALUE!</v>
      </c>
      <c r="G1276" s="24" t="str">
        <f>IFERROR(VLOOKUP(A1276,取得元!$A$2:$F$501,2,FALSE),"-")</f>
        <v>-</v>
      </c>
      <c r="H1276" s="24" t="str">
        <f>IFERROR(VLOOKUP(A1276,取得元!$A$2:$F$501,3,FALSE),"-")</f>
        <v>-</v>
      </c>
      <c r="I1276" s="24" t="str">
        <f>IFERROR(VLOOKUP(A1276,取得元!$A$2:$F$501,4,FALSE),"-")</f>
        <v>-</v>
      </c>
      <c r="J1276" s="5" t="str">
        <f>IFERROR(VLOOKUP(A1276,取得元!$A$2:$F$501,5,FALSE),"-")</f>
        <v>-</v>
      </c>
      <c r="K1276" s="25" t="str">
        <f>IFERROR(VLOOKUP(A1276,取得元!$A$2:$F$501,6,FALSE)/100,"-")</f>
        <v>-</v>
      </c>
      <c r="L1276" s="21" t="str">
        <f>_xll.RssMarket(A1276,"始値")</f>
        <v/>
      </c>
      <c r="M1276" s="4" t="e">
        <f t="shared" si="110"/>
        <v>#VALUE!</v>
      </c>
      <c r="N1276" s="21" t="str">
        <f>_xll.RssMarket(A1276,"高値")</f>
        <v/>
      </c>
      <c r="O1276" s="4" t="e">
        <f t="shared" si="111"/>
        <v>#VALUE!</v>
      </c>
      <c r="P1276" s="21" t="str">
        <f>_xll.RssMarket(A1276,"安値")</f>
        <v/>
      </c>
      <c r="Q1276" s="4" t="e">
        <f t="shared" si="112"/>
        <v>#VALUE!</v>
      </c>
      <c r="R1276" s="21" t="str">
        <f>_xll.RssMarket(A1276,"後場始値")</f>
        <v/>
      </c>
      <c r="S1276" s="25" t="str">
        <f t="shared" si="113"/>
        <v>-</v>
      </c>
      <c r="T1276" s="7" t="str">
        <f>_xll.RssMarket(A1276,"出来高加重平均")</f>
        <v/>
      </c>
      <c r="U1276" s="4" t="e">
        <f t="shared" si="114"/>
        <v>#VALUE!</v>
      </c>
      <c r="V1276" s="21" t="str">
        <f>_xll.RssMarket(A1276,"出来高")</f>
        <v/>
      </c>
      <c r="W1276" s="21" t="str">
        <f>_xll.RssMarket(A1276,"売買代金")</f>
        <v/>
      </c>
      <c r="X1276" s="20" t="str">
        <f>_xll.RssMarket(A1276,"決算発表日")</f>
        <v/>
      </c>
      <c r="Y1276" s="26" t="str">
        <f>IF(C1276&gt;_xll.RssMarket(A1276,"年初来高値"),"○","×")</f>
        <v>×</v>
      </c>
      <c r="Z1276" s="27" t="str">
        <f>IF(C1276&lt;=_xll.RssMarket(A1276,"年初来安値"),"○","×")</f>
        <v>○</v>
      </c>
    </row>
    <row r="1277" spans="2:26" x14ac:dyDescent="0.55000000000000004">
      <c r="B1277" s="20" t="str">
        <f>_xll.RssMarket(A1277,"銘柄名称")</f>
        <v/>
      </c>
      <c r="C1277" s="21" t="str">
        <f>_xll.RssMarket(A1277,"現在値")</f>
        <v/>
      </c>
      <c r="D1277" s="20" t="str">
        <f>_xll.RssMarket(A1277,"現在値詳細時刻")</f>
        <v/>
      </c>
      <c r="E1277" s="22" t="str">
        <f>_xll.RssMarket(A1277,"前日比")</f>
        <v/>
      </c>
      <c r="F1277" s="23" t="e">
        <f>_xll.RssMarket(A1277,"前日比率")/100</f>
        <v>#VALUE!</v>
      </c>
      <c r="G1277" s="24" t="str">
        <f>IFERROR(VLOOKUP(A1277,取得元!$A$2:$F$501,2,FALSE),"-")</f>
        <v>-</v>
      </c>
      <c r="H1277" s="24" t="str">
        <f>IFERROR(VLOOKUP(A1277,取得元!$A$2:$F$501,3,FALSE),"-")</f>
        <v>-</v>
      </c>
      <c r="I1277" s="24" t="str">
        <f>IFERROR(VLOOKUP(A1277,取得元!$A$2:$F$501,4,FALSE),"-")</f>
        <v>-</v>
      </c>
      <c r="J1277" s="5" t="str">
        <f>IFERROR(VLOOKUP(A1277,取得元!$A$2:$F$501,5,FALSE),"-")</f>
        <v>-</v>
      </c>
      <c r="K1277" s="25" t="str">
        <f>IFERROR(VLOOKUP(A1277,取得元!$A$2:$F$501,6,FALSE)/100,"-")</f>
        <v>-</v>
      </c>
      <c r="L1277" s="21" t="str">
        <f>_xll.RssMarket(A1277,"始値")</f>
        <v/>
      </c>
      <c r="M1277" s="4" t="e">
        <f t="shared" si="110"/>
        <v>#VALUE!</v>
      </c>
      <c r="N1277" s="21" t="str">
        <f>_xll.RssMarket(A1277,"高値")</f>
        <v/>
      </c>
      <c r="O1277" s="4" t="e">
        <f t="shared" si="111"/>
        <v>#VALUE!</v>
      </c>
      <c r="P1277" s="21" t="str">
        <f>_xll.RssMarket(A1277,"安値")</f>
        <v/>
      </c>
      <c r="Q1277" s="4" t="e">
        <f t="shared" si="112"/>
        <v>#VALUE!</v>
      </c>
      <c r="R1277" s="21" t="str">
        <f>_xll.RssMarket(A1277,"後場始値")</f>
        <v/>
      </c>
      <c r="S1277" s="25" t="str">
        <f t="shared" si="113"/>
        <v>-</v>
      </c>
      <c r="T1277" s="7" t="str">
        <f>_xll.RssMarket(A1277,"出来高加重平均")</f>
        <v/>
      </c>
      <c r="U1277" s="4" t="e">
        <f t="shared" si="114"/>
        <v>#VALUE!</v>
      </c>
      <c r="V1277" s="21" t="str">
        <f>_xll.RssMarket(A1277,"出来高")</f>
        <v/>
      </c>
      <c r="W1277" s="21" t="str">
        <f>_xll.RssMarket(A1277,"売買代金")</f>
        <v/>
      </c>
      <c r="X1277" s="20" t="str">
        <f>_xll.RssMarket(A1277,"決算発表日")</f>
        <v/>
      </c>
      <c r="Y1277" s="26" t="str">
        <f>IF(C1277&gt;_xll.RssMarket(A1277,"年初来高値"),"○","×")</f>
        <v>×</v>
      </c>
      <c r="Z1277" s="27" t="str">
        <f>IF(C1277&lt;=_xll.RssMarket(A1277,"年初来安値"),"○","×")</f>
        <v>○</v>
      </c>
    </row>
    <row r="1278" spans="2:26" x14ac:dyDescent="0.55000000000000004">
      <c r="B1278" s="20" t="str">
        <f>_xll.RssMarket(A1278,"銘柄名称")</f>
        <v/>
      </c>
      <c r="C1278" s="21" t="str">
        <f>_xll.RssMarket(A1278,"現在値")</f>
        <v/>
      </c>
      <c r="D1278" s="20" t="str">
        <f>_xll.RssMarket(A1278,"現在値詳細時刻")</f>
        <v/>
      </c>
      <c r="E1278" s="22" t="str">
        <f>_xll.RssMarket(A1278,"前日比")</f>
        <v/>
      </c>
      <c r="F1278" s="23" t="e">
        <f>_xll.RssMarket(A1278,"前日比率")/100</f>
        <v>#VALUE!</v>
      </c>
      <c r="G1278" s="24" t="str">
        <f>IFERROR(VLOOKUP(A1278,取得元!$A$2:$F$501,2,FALSE),"-")</f>
        <v>-</v>
      </c>
      <c r="H1278" s="24" t="str">
        <f>IFERROR(VLOOKUP(A1278,取得元!$A$2:$F$501,3,FALSE),"-")</f>
        <v>-</v>
      </c>
      <c r="I1278" s="24" t="str">
        <f>IFERROR(VLOOKUP(A1278,取得元!$A$2:$F$501,4,FALSE),"-")</f>
        <v>-</v>
      </c>
      <c r="J1278" s="5" t="str">
        <f>IFERROR(VLOOKUP(A1278,取得元!$A$2:$F$501,5,FALSE),"-")</f>
        <v>-</v>
      </c>
      <c r="K1278" s="25" t="str">
        <f>IFERROR(VLOOKUP(A1278,取得元!$A$2:$F$501,6,FALSE)/100,"-")</f>
        <v>-</v>
      </c>
      <c r="L1278" s="21" t="str">
        <f>_xll.RssMarket(A1278,"始値")</f>
        <v/>
      </c>
      <c r="M1278" s="4" t="e">
        <f t="shared" si="110"/>
        <v>#VALUE!</v>
      </c>
      <c r="N1278" s="21" t="str">
        <f>_xll.RssMarket(A1278,"高値")</f>
        <v/>
      </c>
      <c r="O1278" s="4" t="e">
        <f t="shared" si="111"/>
        <v>#VALUE!</v>
      </c>
      <c r="P1278" s="21" t="str">
        <f>_xll.RssMarket(A1278,"安値")</f>
        <v/>
      </c>
      <c r="Q1278" s="4" t="e">
        <f t="shared" si="112"/>
        <v>#VALUE!</v>
      </c>
      <c r="R1278" s="21" t="str">
        <f>_xll.RssMarket(A1278,"後場始値")</f>
        <v/>
      </c>
      <c r="S1278" s="25" t="str">
        <f t="shared" si="113"/>
        <v>-</v>
      </c>
      <c r="T1278" s="7" t="str">
        <f>_xll.RssMarket(A1278,"出来高加重平均")</f>
        <v/>
      </c>
      <c r="U1278" s="4" t="e">
        <f t="shared" si="114"/>
        <v>#VALUE!</v>
      </c>
      <c r="V1278" s="21" t="str">
        <f>_xll.RssMarket(A1278,"出来高")</f>
        <v/>
      </c>
      <c r="W1278" s="21" t="str">
        <f>_xll.RssMarket(A1278,"売買代金")</f>
        <v/>
      </c>
      <c r="X1278" s="20" t="str">
        <f>_xll.RssMarket(A1278,"決算発表日")</f>
        <v/>
      </c>
      <c r="Y1278" s="26" t="str">
        <f>IF(C1278&gt;_xll.RssMarket(A1278,"年初来高値"),"○","×")</f>
        <v>×</v>
      </c>
      <c r="Z1278" s="27" t="str">
        <f>IF(C1278&lt;=_xll.RssMarket(A1278,"年初来安値"),"○","×")</f>
        <v>○</v>
      </c>
    </row>
    <row r="1279" spans="2:26" x14ac:dyDescent="0.55000000000000004">
      <c r="B1279" s="20" t="str">
        <f>_xll.RssMarket(A1279,"銘柄名称")</f>
        <v/>
      </c>
      <c r="C1279" s="21" t="str">
        <f>_xll.RssMarket(A1279,"現在値")</f>
        <v/>
      </c>
      <c r="D1279" s="20" t="str">
        <f>_xll.RssMarket(A1279,"現在値詳細時刻")</f>
        <v/>
      </c>
      <c r="E1279" s="22" t="str">
        <f>_xll.RssMarket(A1279,"前日比")</f>
        <v/>
      </c>
      <c r="F1279" s="23" t="e">
        <f>_xll.RssMarket(A1279,"前日比率")/100</f>
        <v>#VALUE!</v>
      </c>
      <c r="G1279" s="24" t="str">
        <f>IFERROR(VLOOKUP(A1279,取得元!$A$2:$F$501,2,FALSE),"-")</f>
        <v>-</v>
      </c>
      <c r="H1279" s="24" t="str">
        <f>IFERROR(VLOOKUP(A1279,取得元!$A$2:$F$501,3,FALSE),"-")</f>
        <v>-</v>
      </c>
      <c r="I1279" s="24" t="str">
        <f>IFERROR(VLOOKUP(A1279,取得元!$A$2:$F$501,4,FALSE),"-")</f>
        <v>-</v>
      </c>
      <c r="J1279" s="5" t="str">
        <f>IFERROR(VLOOKUP(A1279,取得元!$A$2:$F$501,5,FALSE),"-")</f>
        <v>-</v>
      </c>
      <c r="K1279" s="25" t="str">
        <f>IFERROR(VLOOKUP(A1279,取得元!$A$2:$F$501,6,FALSE)/100,"-")</f>
        <v>-</v>
      </c>
      <c r="L1279" s="21" t="str">
        <f>_xll.RssMarket(A1279,"始値")</f>
        <v/>
      </c>
      <c r="M1279" s="4" t="e">
        <f t="shared" si="110"/>
        <v>#VALUE!</v>
      </c>
      <c r="N1279" s="21" t="str">
        <f>_xll.RssMarket(A1279,"高値")</f>
        <v/>
      </c>
      <c r="O1279" s="4" t="e">
        <f t="shared" si="111"/>
        <v>#VALUE!</v>
      </c>
      <c r="P1279" s="21" t="str">
        <f>_xll.RssMarket(A1279,"安値")</f>
        <v/>
      </c>
      <c r="Q1279" s="4" t="e">
        <f t="shared" si="112"/>
        <v>#VALUE!</v>
      </c>
      <c r="R1279" s="21" t="str">
        <f>_xll.RssMarket(A1279,"後場始値")</f>
        <v/>
      </c>
      <c r="S1279" s="25" t="str">
        <f t="shared" si="113"/>
        <v>-</v>
      </c>
      <c r="T1279" s="7" t="str">
        <f>_xll.RssMarket(A1279,"出来高加重平均")</f>
        <v/>
      </c>
      <c r="U1279" s="4" t="e">
        <f t="shared" si="114"/>
        <v>#VALUE!</v>
      </c>
      <c r="V1279" s="21" t="str">
        <f>_xll.RssMarket(A1279,"出来高")</f>
        <v/>
      </c>
      <c r="W1279" s="21" t="str">
        <f>_xll.RssMarket(A1279,"売買代金")</f>
        <v/>
      </c>
      <c r="X1279" s="20" t="str">
        <f>_xll.RssMarket(A1279,"決算発表日")</f>
        <v/>
      </c>
      <c r="Y1279" s="26" t="str">
        <f>IF(C1279&gt;_xll.RssMarket(A1279,"年初来高値"),"○","×")</f>
        <v>×</v>
      </c>
      <c r="Z1279" s="27" t="str">
        <f>IF(C1279&lt;=_xll.RssMarket(A1279,"年初来安値"),"○","×")</f>
        <v>○</v>
      </c>
    </row>
    <row r="1280" spans="2:26" x14ac:dyDescent="0.55000000000000004">
      <c r="B1280" s="20" t="str">
        <f>_xll.RssMarket(A1280,"銘柄名称")</f>
        <v/>
      </c>
      <c r="C1280" s="21" t="str">
        <f>_xll.RssMarket(A1280,"現在値")</f>
        <v/>
      </c>
      <c r="D1280" s="20" t="str">
        <f>_xll.RssMarket(A1280,"現在値詳細時刻")</f>
        <v/>
      </c>
      <c r="E1280" s="22" t="str">
        <f>_xll.RssMarket(A1280,"前日比")</f>
        <v/>
      </c>
      <c r="F1280" s="23" t="e">
        <f>_xll.RssMarket(A1280,"前日比率")/100</f>
        <v>#VALUE!</v>
      </c>
      <c r="G1280" s="24" t="str">
        <f>IFERROR(VLOOKUP(A1280,取得元!$A$2:$F$501,2,FALSE),"-")</f>
        <v>-</v>
      </c>
      <c r="H1280" s="24" t="str">
        <f>IFERROR(VLOOKUP(A1280,取得元!$A$2:$F$501,3,FALSE),"-")</f>
        <v>-</v>
      </c>
      <c r="I1280" s="24" t="str">
        <f>IFERROR(VLOOKUP(A1280,取得元!$A$2:$F$501,4,FALSE),"-")</f>
        <v>-</v>
      </c>
      <c r="J1280" s="5" t="str">
        <f>IFERROR(VLOOKUP(A1280,取得元!$A$2:$F$501,5,FALSE),"-")</f>
        <v>-</v>
      </c>
      <c r="K1280" s="25" t="str">
        <f>IFERROR(VLOOKUP(A1280,取得元!$A$2:$F$501,6,FALSE)/100,"-")</f>
        <v>-</v>
      </c>
      <c r="L1280" s="21" t="str">
        <f>_xll.RssMarket(A1280,"始値")</f>
        <v/>
      </c>
      <c r="M1280" s="4" t="e">
        <f t="shared" si="110"/>
        <v>#VALUE!</v>
      </c>
      <c r="N1280" s="21" t="str">
        <f>_xll.RssMarket(A1280,"高値")</f>
        <v/>
      </c>
      <c r="O1280" s="4" t="e">
        <f t="shared" si="111"/>
        <v>#VALUE!</v>
      </c>
      <c r="P1280" s="21" t="str">
        <f>_xll.RssMarket(A1280,"安値")</f>
        <v/>
      </c>
      <c r="Q1280" s="4" t="e">
        <f t="shared" si="112"/>
        <v>#VALUE!</v>
      </c>
      <c r="R1280" s="21" t="str">
        <f>_xll.RssMarket(A1280,"後場始値")</f>
        <v/>
      </c>
      <c r="S1280" s="25" t="str">
        <f t="shared" si="113"/>
        <v>-</v>
      </c>
      <c r="T1280" s="7" t="str">
        <f>_xll.RssMarket(A1280,"出来高加重平均")</f>
        <v/>
      </c>
      <c r="U1280" s="4" t="e">
        <f t="shared" si="114"/>
        <v>#VALUE!</v>
      </c>
      <c r="V1280" s="21" t="str">
        <f>_xll.RssMarket(A1280,"出来高")</f>
        <v/>
      </c>
      <c r="W1280" s="21" t="str">
        <f>_xll.RssMarket(A1280,"売買代金")</f>
        <v/>
      </c>
      <c r="X1280" s="20" t="str">
        <f>_xll.RssMarket(A1280,"決算発表日")</f>
        <v/>
      </c>
      <c r="Y1280" s="26" t="str">
        <f>IF(C1280&gt;_xll.RssMarket(A1280,"年初来高値"),"○","×")</f>
        <v>×</v>
      </c>
      <c r="Z1280" s="27" t="str">
        <f>IF(C1280&lt;=_xll.RssMarket(A1280,"年初来安値"),"○","×")</f>
        <v>○</v>
      </c>
    </row>
    <row r="1281" spans="2:26" x14ac:dyDescent="0.55000000000000004">
      <c r="B1281" s="20" t="str">
        <f>_xll.RssMarket(A1281,"銘柄名称")</f>
        <v/>
      </c>
      <c r="C1281" s="21" t="str">
        <f>_xll.RssMarket(A1281,"現在値")</f>
        <v/>
      </c>
      <c r="D1281" s="20" t="str">
        <f>_xll.RssMarket(A1281,"現在値詳細時刻")</f>
        <v/>
      </c>
      <c r="E1281" s="22" t="str">
        <f>_xll.RssMarket(A1281,"前日比")</f>
        <v/>
      </c>
      <c r="F1281" s="23" t="e">
        <f>_xll.RssMarket(A1281,"前日比率")/100</f>
        <v>#VALUE!</v>
      </c>
      <c r="G1281" s="24" t="str">
        <f>IFERROR(VLOOKUP(A1281,取得元!$A$2:$F$501,2,FALSE),"-")</f>
        <v>-</v>
      </c>
      <c r="H1281" s="24" t="str">
        <f>IFERROR(VLOOKUP(A1281,取得元!$A$2:$F$501,3,FALSE),"-")</f>
        <v>-</v>
      </c>
      <c r="I1281" s="24" t="str">
        <f>IFERROR(VLOOKUP(A1281,取得元!$A$2:$F$501,4,FALSE),"-")</f>
        <v>-</v>
      </c>
      <c r="J1281" s="5" t="str">
        <f>IFERROR(VLOOKUP(A1281,取得元!$A$2:$F$501,5,FALSE),"-")</f>
        <v>-</v>
      </c>
      <c r="K1281" s="25" t="str">
        <f>IFERROR(VLOOKUP(A1281,取得元!$A$2:$F$501,6,FALSE)/100,"-")</f>
        <v>-</v>
      </c>
      <c r="L1281" s="21" t="str">
        <f>_xll.RssMarket(A1281,"始値")</f>
        <v/>
      </c>
      <c r="M1281" s="4" t="e">
        <f t="shared" si="110"/>
        <v>#VALUE!</v>
      </c>
      <c r="N1281" s="21" t="str">
        <f>_xll.RssMarket(A1281,"高値")</f>
        <v/>
      </c>
      <c r="O1281" s="4" t="e">
        <f t="shared" si="111"/>
        <v>#VALUE!</v>
      </c>
      <c r="P1281" s="21" t="str">
        <f>_xll.RssMarket(A1281,"安値")</f>
        <v/>
      </c>
      <c r="Q1281" s="4" t="e">
        <f t="shared" si="112"/>
        <v>#VALUE!</v>
      </c>
      <c r="R1281" s="21" t="str">
        <f>_xll.RssMarket(A1281,"後場始値")</f>
        <v/>
      </c>
      <c r="S1281" s="25" t="str">
        <f t="shared" si="113"/>
        <v>-</v>
      </c>
      <c r="T1281" s="7" t="str">
        <f>_xll.RssMarket(A1281,"出来高加重平均")</f>
        <v/>
      </c>
      <c r="U1281" s="4" t="e">
        <f t="shared" si="114"/>
        <v>#VALUE!</v>
      </c>
      <c r="V1281" s="21" t="str">
        <f>_xll.RssMarket(A1281,"出来高")</f>
        <v/>
      </c>
      <c r="W1281" s="21" t="str">
        <f>_xll.RssMarket(A1281,"売買代金")</f>
        <v/>
      </c>
      <c r="X1281" s="20" t="str">
        <f>_xll.RssMarket(A1281,"決算発表日")</f>
        <v/>
      </c>
      <c r="Y1281" s="26" t="str">
        <f>IF(C1281&gt;_xll.RssMarket(A1281,"年初来高値"),"○","×")</f>
        <v>×</v>
      </c>
      <c r="Z1281" s="27" t="str">
        <f>IF(C1281&lt;=_xll.RssMarket(A1281,"年初来安値"),"○","×")</f>
        <v>○</v>
      </c>
    </row>
    <row r="1282" spans="2:26" x14ac:dyDescent="0.55000000000000004">
      <c r="B1282" s="20" t="str">
        <f>_xll.RssMarket(A1282,"銘柄名称")</f>
        <v/>
      </c>
      <c r="C1282" s="21" t="str">
        <f>_xll.RssMarket(A1282,"現在値")</f>
        <v/>
      </c>
      <c r="D1282" s="20" t="str">
        <f>_xll.RssMarket(A1282,"現在値詳細時刻")</f>
        <v/>
      </c>
      <c r="E1282" s="22" t="str">
        <f>_xll.RssMarket(A1282,"前日比")</f>
        <v/>
      </c>
      <c r="F1282" s="23" t="e">
        <f>_xll.RssMarket(A1282,"前日比率")/100</f>
        <v>#VALUE!</v>
      </c>
      <c r="G1282" s="24" t="str">
        <f>IFERROR(VLOOKUP(A1282,取得元!$A$2:$F$501,2,FALSE),"-")</f>
        <v>-</v>
      </c>
      <c r="H1282" s="24" t="str">
        <f>IFERROR(VLOOKUP(A1282,取得元!$A$2:$F$501,3,FALSE),"-")</f>
        <v>-</v>
      </c>
      <c r="I1282" s="24" t="str">
        <f>IFERROR(VLOOKUP(A1282,取得元!$A$2:$F$501,4,FALSE),"-")</f>
        <v>-</v>
      </c>
      <c r="J1282" s="5" t="str">
        <f>IFERROR(VLOOKUP(A1282,取得元!$A$2:$F$501,5,FALSE),"-")</f>
        <v>-</v>
      </c>
      <c r="K1282" s="25" t="str">
        <f>IFERROR(VLOOKUP(A1282,取得元!$A$2:$F$501,6,FALSE)/100,"-")</f>
        <v>-</v>
      </c>
      <c r="L1282" s="21" t="str">
        <f>_xll.RssMarket(A1282,"始値")</f>
        <v/>
      </c>
      <c r="M1282" s="4" t="e">
        <f t="shared" si="110"/>
        <v>#VALUE!</v>
      </c>
      <c r="N1282" s="21" t="str">
        <f>_xll.RssMarket(A1282,"高値")</f>
        <v/>
      </c>
      <c r="O1282" s="4" t="e">
        <f t="shared" si="111"/>
        <v>#VALUE!</v>
      </c>
      <c r="P1282" s="21" t="str">
        <f>_xll.RssMarket(A1282,"安値")</f>
        <v/>
      </c>
      <c r="Q1282" s="4" t="e">
        <f t="shared" si="112"/>
        <v>#VALUE!</v>
      </c>
      <c r="R1282" s="21" t="str">
        <f>_xll.RssMarket(A1282,"後場始値")</f>
        <v/>
      </c>
      <c r="S1282" s="25" t="str">
        <f t="shared" si="113"/>
        <v>-</v>
      </c>
      <c r="T1282" s="7" t="str">
        <f>_xll.RssMarket(A1282,"出来高加重平均")</f>
        <v/>
      </c>
      <c r="U1282" s="4" t="e">
        <f t="shared" si="114"/>
        <v>#VALUE!</v>
      </c>
      <c r="V1282" s="21" t="str">
        <f>_xll.RssMarket(A1282,"出来高")</f>
        <v/>
      </c>
      <c r="W1282" s="21" t="str">
        <f>_xll.RssMarket(A1282,"売買代金")</f>
        <v/>
      </c>
      <c r="X1282" s="20" t="str">
        <f>_xll.RssMarket(A1282,"決算発表日")</f>
        <v/>
      </c>
      <c r="Y1282" s="26" t="str">
        <f>IF(C1282&gt;_xll.RssMarket(A1282,"年初来高値"),"○","×")</f>
        <v>×</v>
      </c>
      <c r="Z1282" s="27" t="str">
        <f>IF(C1282&lt;=_xll.RssMarket(A1282,"年初来安値"),"○","×")</f>
        <v>○</v>
      </c>
    </row>
    <row r="1283" spans="2:26" x14ac:dyDescent="0.55000000000000004">
      <c r="B1283" s="20" t="str">
        <f>_xll.RssMarket(A1283,"銘柄名称")</f>
        <v/>
      </c>
      <c r="C1283" s="21" t="str">
        <f>_xll.RssMarket(A1283,"現在値")</f>
        <v/>
      </c>
      <c r="D1283" s="20" t="str">
        <f>_xll.RssMarket(A1283,"現在値詳細時刻")</f>
        <v/>
      </c>
      <c r="E1283" s="22" t="str">
        <f>_xll.RssMarket(A1283,"前日比")</f>
        <v/>
      </c>
      <c r="F1283" s="23" t="e">
        <f>_xll.RssMarket(A1283,"前日比率")/100</f>
        <v>#VALUE!</v>
      </c>
      <c r="G1283" s="24" t="str">
        <f>IFERROR(VLOOKUP(A1283,取得元!$A$2:$F$501,2,FALSE),"-")</f>
        <v>-</v>
      </c>
      <c r="H1283" s="24" t="str">
        <f>IFERROR(VLOOKUP(A1283,取得元!$A$2:$F$501,3,FALSE),"-")</f>
        <v>-</v>
      </c>
      <c r="I1283" s="24" t="str">
        <f>IFERROR(VLOOKUP(A1283,取得元!$A$2:$F$501,4,FALSE),"-")</f>
        <v>-</v>
      </c>
      <c r="J1283" s="5" t="str">
        <f>IFERROR(VLOOKUP(A1283,取得元!$A$2:$F$501,5,FALSE),"-")</f>
        <v>-</v>
      </c>
      <c r="K1283" s="25" t="str">
        <f>IFERROR(VLOOKUP(A1283,取得元!$A$2:$F$501,6,FALSE)/100,"-")</f>
        <v>-</v>
      </c>
      <c r="L1283" s="21" t="str">
        <f>_xll.RssMarket(A1283,"始値")</f>
        <v/>
      </c>
      <c r="M1283" s="4" t="e">
        <f t="shared" si="110"/>
        <v>#VALUE!</v>
      </c>
      <c r="N1283" s="21" t="str">
        <f>_xll.RssMarket(A1283,"高値")</f>
        <v/>
      </c>
      <c r="O1283" s="4" t="e">
        <f t="shared" si="111"/>
        <v>#VALUE!</v>
      </c>
      <c r="P1283" s="21" t="str">
        <f>_xll.RssMarket(A1283,"安値")</f>
        <v/>
      </c>
      <c r="Q1283" s="4" t="e">
        <f t="shared" si="112"/>
        <v>#VALUE!</v>
      </c>
      <c r="R1283" s="21" t="str">
        <f>_xll.RssMarket(A1283,"後場始値")</f>
        <v/>
      </c>
      <c r="S1283" s="25" t="str">
        <f t="shared" si="113"/>
        <v>-</v>
      </c>
      <c r="T1283" s="7" t="str">
        <f>_xll.RssMarket(A1283,"出来高加重平均")</f>
        <v/>
      </c>
      <c r="U1283" s="4" t="e">
        <f t="shared" si="114"/>
        <v>#VALUE!</v>
      </c>
      <c r="V1283" s="21" t="str">
        <f>_xll.RssMarket(A1283,"出来高")</f>
        <v/>
      </c>
      <c r="W1283" s="21" t="str">
        <f>_xll.RssMarket(A1283,"売買代金")</f>
        <v/>
      </c>
      <c r="X1283" s="20" t="str">
        <f>_xll.RssMarket(A1283,"決算発表日")</f>
        <v/>
      </c>
      <c r="Y1283" s="26" t="str">
        <f>IF(C1283&gt;_xll.RssMarket(A1283,"年初来高値"),"○","×")</f>
        <v>×</v>
      </c>
      <c r="Z1283" s="27" t="str">
        <f>IF(C1283&lt;=_xll.RssMarket(A1283,"年初来安値"),"○","×")</f>
        <v>○</v>
      </c>
    </row>
    <row r="1284" spans="2:26" x14ac:dyDescent="0.55000000000000004">
      <c r="B1284" s="20" t="str">
        <f>_xll.RssMarket(A1284,"銘柄名称")</f>
        <v/>
      </c>
      <c r="C1284" s="21" t="str">
        <f>_xll.RssMarket(A1284,"現在値")</f>
        <v/>
      </c>
      <c r="D1284" s="20" t="str">
        <f>_xll.RssMarket(A1284,"現在値詳細時刻")</f>
        <v/>
      </c>
      <c r="E1284" s="22" t="str">
        <f>_xll.RssMarket(A1284,"前日比")</f>
        <v/>
      </c>
      <c r="F1284" s="23" t="e">
        <f>_xll.RssMarket(A1284,"前日比率")/100</f>
        <v>#VALUE!</v>
      </c>
      <c r="G1284" s="24" t="str">
        <f>IFERROR(VLOOKUP(A1284,取得元!$A$2:$F$501,2,FALSE),"-")</f>
        <v>-</v>
      </c>
      <c r="H1284" s="24" t="str">
        <f>IFERROR(VLOOKUP(A1284,取得元!$A$2:$F$501,3,FALSE),"-")</f>
        <v>-</v>
      </c>
      <c r="I1284" s="24" t="str">
        <f>IFERROR(VLOOKUP(A1284,取得元!$A$2:$F$501,4,FALSE),"-")</f>
        <v>-</v>
      </c>
      <c r="J1284" s="5" t="str">
        <f>IFERROR(VLOOKUP(A1284,取得元!$A$2:$F$501,5,FALSE),"-")</f>
        <v>-</v>
      </c>
      <c r="K1284" s="25" t="str">
        <f>IFERROR(VLOOKUP(A1284,取得元!$A$2:$F$501,6,FALSE)/100,"-")</f>
        <v>-</v>
      </c>
      <c r="L1284" s="21" t="str">
        <f>_xll.RssMarket(A1284,"始値")</f>
        <v/>
      </c>
      <c r="M1284" s="4" t="e">
        <f t="shared" si="110"/>
        <v>#VALUE!</v>
      </c>
      <c r="N1284" s="21" t="str">
        <f>_xll.RssMarket(A1284,"高値")</f>
        <v/>
      </c>
      <c r="O1284" s="4" t="e">
        <f t="shared" si="111"/>
        <v>#VALUE!</v>
      </c>
      <c r="P1284" s="21" t="str">
        <f>_xll.RssMarket(A1284,"安値")</f>
        <v/>
      </c>
      <c r="Q1284" s="4" t="e">
        <f t="shared" si="112"/>
        <v>#VALUE!</v>
      </c>
      <c r="R1284" s="21" t="str">
        <f>_xll.RssMarket(A1284,"後場始値")</f>
        <v/>
      </c>
      <c r="S1284" s="25" t="str">
        <f t="shared" si="113"/>
        <v>-</v>
      </c>
      <c r="T1284" s="7" t="str">
        <f>_xll.RssMarket(A1284,"出来高加重平均")</f>
        <v/>
      </c>
      <c r="U1284" s="4" t="e">
        <f t="shared" si="114"/>
        <v>#VALUE!</v>
      </c>
      <c r="V1284" s="21" t="str">
        <f>_xll.RssMarket(A1284,"出来高")</f>
        <v/>
      </c>
      <c r="W1284" s="21" t="str">
        <f>_xll.RssMarket(A1284,"売買代金")</f>
        <v/>
      </c>
      <c r="X1284" s="20" t="str">
        <f>_xll.RssMarket(A1284,"決算発表日")</f>
        <v/>
      </c>
      <c r="Y1284" s="26" t="str">
        <f>IF(C1284&gt;_xll.RssMarket(A1284,"年初来高値"),"○","×")</f>
        <v>×</v>
      </c>
      <c r="Z1284" s="27" t="str">
        <f>IF(C1284&lt;=_xll.RssMarket(A1284,"年初来安値"),"○","×")</f>
        <v>○</v>
      </c>
    </row>
    <row r="1285" spans="2:26" x14ac:dyDescent="0.55000000000000004">
      <c r="B1285" s="20" t="str">
        <f>_xll.RssMarket(A1285,"銘柄名称")</f>
        <v/>
      </c>
      <c r="C1285" s="21" t="str">
        <f>_xll.RssMarket(A1285,"現在値")</f>
        <v/>
      </c>
      <c r="D1285" s="20" t="str">
        <f>_xll.RssMarket(A1285,"現在値詳細時刻")</f>
        <v/>
      </c>
      <c r="E1285" s="22" t="str">
        <f>_xll.RssMarket(A1285,"前日比")</f>
        <v/>
      </c>
      <c r="F1285" s="23" t="e">
        <f>_xll.RssMarket(A1285,"前日比率")/100</f>
        <v>#VALUE!</v>
      </c>
      <c r="G1285" s="24" t="str">
        <f>IFERROR(VLOOKUP(A1285,取得元!$A$2:$F$501,2,FALSE),"-")</f>
        <v>-</v>
      </c>
      <c r="H1285" s="24" t="str">
        <f>IFERROR(VLOOKUP(A1285,取得元!$A$2:$F$501,3,FALSE),"-")</f>
        <v>-</v>
      </c>
      <c r="I1285" s="24" t="str">
        <f>IFERROR(VLOOKUP(A1285,取得元!$A$2:$F$501,4,FALSE),"-")</f>
        <v>-</v>
      </c>
      <c r="J1285" s="5" t="str">
        <f>IFERROR(VLOOKUP(A1285,取得元!$A$2:$F$501,5,FALSE),"-")</f>
        <v>-</v>
      </c>
      <c r="K1285" s="25" t="str">
        <f>IFERROR(VLOOKUP(A1285,取得元!$A$2:$F$501,6,FALSE)/100,"-")</f>
        <v>-</v>
      </c>
      <c r="L1285" s="21" t="str">
        <f>_xll.RssMarket(A1285,"始値")</f>
        <v/>
      </c>
      <c r="M1285" s="4" t="e">
        <f t="shared" si="110"/>
        <v>#VALUE!</v>
      </c>
      <c r="N1285" s="21" t="str">
        <f>_xll.RssMarket(A1285,"高値")</f>
        <v/>
      </c>
      <c r="O1285" s="4" t="e">
        <f t="shared" si="111"/>
        <v>#VALUE!</v>
      </c>
      <c r="P1285" s="21" t="str">
        <f>_xll.RssMarket(A1285,"安値")</f>
        <v/>
      </c>
      <c r="Q1285" s="4" t="e">
        <f t="shared" si="112"/>
        <v>#VALUE!</v>
      </c>
      <c r="R1285" s="21" t="str">
        <f>_xll.RssMarket(A1285,"後場始値")</f>
        <v/>
      </c>
      <c r="S1285" s="25" t="str">
        <f t="shared" si="113"/>
        <v>-</v>
      </c>
      <c r="T1285" s="7" t="str">
        <f>_xll.RssMarket(A1285,"出来高加重平均")</f>
        <v/>
      </c>
      <c r="U1285" s="4" t="e">
        <f t="shared" si="114"/>
        <v>#VALUE!</v>
      </c>
      <c r="V1285" s="21" t="str">
        <f>_xll.RssMarket(A1285,"出来高")</f>
        <v/>
      </c>
      <c r="W1285" s="21" t="str">
        <f>_xll.RssMarket(A1285,"売買代金")</f>
        <v/>
      </c>
      <c r="X1285" s="20" t="str">
        <f>_xll.RssMarket(A1285,"決算発表日")</f>
        <v/>
      </c>
      <c r="Y1285" s="26" t="str">
        <f>IF(C1285&gt;_xll.RssMarket(A1285,"年初来高値"),"○","×")</f>
        <v>×</v>
      </c>
      <c r="Z1285" s="27" t="str">
        <f>IF(C1285&lt;=_xll.RssMarket(A1285,"年初来安値"),"○","×")</f>
        <v>○</v>
      </c>
    </row>
    <row r="1286" spans="2:26" x14ac:dyDescent="0.55000000000000004">
      <c r="B1286" s="20" t="str">
        <f>_xll.RssMarket(A1286,"銘柄名称")</f>
        <v/>
      </c>
      <c r="C1286" s="21" t="str">
        <f>_xll.RssMarket(A1286,"現在値")</f>
        <v/>
      </c>
      <c r="D1286" s="20" t="str">
        <f>_xll.RssMarket(A1286,"現在値詳細時刻")</f>
        <v/>
      </c>
      <c r="E1286" s="22" t="str">
        <f>_xll.RssMarket(A1286,"前日比")</f>
        <v/>
      </c>
      <c r="F1286" s="23" t="e">
        <f>_xll.RssMarket(A1286,"前日比率")/100</f>
        <v>#VALUE!</v>
      </c>
      <c r="G1286" s="24" t="str">
        <f>IFERROR(VLOOKUP(A1286,取得元!$A$2:$F$501,2,FALSE),"-")</f>
        <v>-</v>
      </c>
      <c r="H1286" s="24" t="str">
        <f>IFERROR(VLOOKUP(A1286,取得元!$A$2:$F$501,3,FALSE),"-")</f>
        <v>-</v>
      </c>
      <c r="I1286" s="24" t="str">
        <f>IFERROR(VLOOKUP(A1286,取得元!$A$2:$F$501,4,FALSE),"-")</f>
        <v>-</v>
      </c>
      <c r="J1286" s="5" t="str">
        <f>IFERROR(VLOOKUP(A1286,取得元!$A$2:$F$501,5,FALSE),"-")</f>
        <v>-</v>
      </c>
      <c r="K1286" s="25" t="str">
        <f>IFERROR(VLOOKUP(A1286,取得元!$A$2:$F$501,6,FALSE)/100,"-")</f>
        <v>-</v>
      </c>
      <c r="L1286" s="21" t="str">
        <f>_xll.RssMarket(A1286,"始値")</f>
        <v/>
      </c>
      <c r="M1286" s="4" t="e">
        <f t="shared" si="110"/>
        <v>#VALUE!</v>
      </c>
      <c r="N1286" s="21" t="str">
        <f>_xll.RssMarket(A1286,"高値")</f>
        <v/>
      </c>
      <c r="O1286" s="4" t="e">
        <f t="shared" si="111"/>
        <v>#VALUE!</v>
      </c>
      <c r="P1286" s="21" t="str">
        <f>_xll.RssMarket(A1286,"安値")</f>
        <v/>
      </c>
      <c r="Q1286" s="4" t="e">
        <f t="shared" si="112"/>
        <v>#VALUE!</v>
      </c>
      <c r="R1286" s="21" t="str">
        <f>_xll.RssMarket(A1286,"後場始値")</f>
        <v/>
      </c>
      <c r="S1286" s="25" t="str">
        <f t="shared" si="113"/>
        <v>-</v>
      </c>
      <c r="T1286" s="7" t="str">
        <f>_xll.RssMarket(A1286,"出来高加重平均")</f>
        <v/>
      </c>
      <c r="U1286" s="4" t="e">
        <f t="shared" si="114"/>
        <v>#VALUE!</v>
      </c>
      <c r="V1286" s="21" t="str">
        <f>_xll.RssMarket(A1286,"出来高")</f>
        <v/>
      </c>
      <c r="W1286" s="21" t="str">
        <f>_xll.RssMarket(A1286,"売買代金")</f>
        <v/>
      </c>
      <c r="X1286" s="20" t="str">
        <f>_xll.RssMarket(A1286,"決算発表日")</f>
        <v/>
      </c>
      <c r="Y1286" s="26" t="str">
        <f>IF(C1286&gt;_xll.RssMarket(A1286,"年初来高値"),"○","×")</f>
        <v>×</v>
      </c>
      <c r="Z1286" s="27" t="str">
        <f>IF(C1286&lt;=_xll.RssMarket(A1286,"年初来安値"),"○","×")</f>
        <v>○</v>
      </c>
    </row>
    <row r="1287" spans="2:26" x14ac:dyDescent="0.55000000000000004">
      <c r="B1287" s="20" t="str">
        <f>_xll.RssMarket(A1287,"銘柄名称")</f>
        <v/>
      </c>
      <c r="C1287" s="21" t="str">
        <f>_xll.RssMarket(A1287,"現在値")</f>
        <v/>
      </c>
      <c r="D1287" s="20" t="str">
        <f>_xll.RssMarket(A1287,"現在値詳細時刻")</f>
        <v/>
      </c>
      <c r="E1287" s="22" t="str">
        <f>_xll.RssMarket(A1287,"前日比")</f>
        <v/>
      </c>
      <c r="F1287" s="23" t="e">
        <f>_xll.RssMarket(A1287,"前日比率")/100</f>
        <v>#VALUE!</v>
      </c>
      <c r="G1287" s="24" t="str">
        <f>IFERROR(VLOOKUP(A1287,取得元!$A$2:$F$501,2,FALSE),"-")</f>
        <v>-</v>
      </c>
      <c r="H1287" s="24" t="str">
        <f>IFERROR(VLOOKUP(A1287,取得元!$A$2:$F$501,3,FALSE),"-")</f>
        <v>-</v>
      </c>
      <c r="I1287" s="24" t="str">
        <f>IFERROR(VLOOKUP(A1287,取得元!$A$2:$F$501,4,FALSE),"-")</f>
        <v>-</v>
      </c>
      <c r="J1287" s="5" t="str">
        <f>IFERROR(VLOOKUP(A1287,取得元!$A$2:$F$501,5,FALSE),"-")</f>
        <v>-</v>
      </c>
      <c r="K1287" s="25" t="str">
        <f>IFERROR(VLOOKUP(A1287,取得元!$A$2:$F$501,6,FALSE)/100,"-")</f>
        <v>-</v>
      </c>
      <c r="L1287" s="21" t="str">
        <f>_xll.RssMarket(A1287,"始値")</f>
        <v/>
      </c>
      <c r="M1287" s="4" t="e">
        <f t="shared" si="110"/>
        <v>#VALUE!</v>
      </c>
      <c r="N1287" s="21" t="str">
        <f>_xll.RssMarket(A1287,"高値")</f>
        <v/>
      </c>
      <c r="O1287" s="4" t="e">
        <f t="shared" si="111"/>
        <v>#VALUE!</v>
      </c>
      <c r="P1287" s="21" t="str">
        <f>_xll.RssMarket(A1287,"安値")</f>
        <v/>
      </c>
      <c r="Q1287" s="4" t="e">
        <f t="shared" si="112"/>
        <v>#VALUE!</v>
      </c>
      <c r="R1287" s="21" t="str">
        <f>_xll.RssMarket(A1287,"後場始値")</f>
        <v/>
      </c>
      <c r="S1287" s="25" t="str">
        <f t="shared" si="113"/>
        <v>-</v>
      </c>
      <c r="T1287" s="7" t="str">
        <f>_xll.RssMarket(A1287,"出来高加重平均")</f>
        <v/>
      </c>
      <c r="U1287" s="4" t="e">
        <f t="shared" si="114"/>
        <v>#VALUE!</v>
      </c>
      <c r="V1287" s="21" t="str">
        <f>_xll.RssMarket(A1287,"出来高")</f>
        <v/>
      </c>
      <c r="W1287" s="21" t="str">
        <f>_xll.RssMarket(A1287,"売買代金")</f>
        <v/>
      </c>
      <c r="X1287" s="20" t="str">
        <f>_xll.RssMarket(A1287,"決算発表日")</f>
        <v/>
      </c>
      <c r="Y1287" s="26" t="str">
        <f>IF(C1287&gt;_xll.RssMarket(A1287,"年初来高値"),"○","×")</f>
        <v>×</v>
      </c>
      <c r="Z1287" s="27" t="str">
        <f>IF(C1287&lt;=_xll.RssMarket(A1287,"年初来安値"),"○","×")</f>
        <v>○</v>
      </c>
    </row>
    <row r="1288" spans="2:26" x14ac:dyDescent="0.55000000000000004">
      <c r="B1288" s="20" t="str">
        <f>_xll.RssMarket(A1288,"銘柄名称")</f>
        <v/>
      </c>
      <c r="C1288" s="21" t="str">
        <f>_xll.RssMarket(A1288,"現在値")</f>
        <v/>
      </c>
      <c r="D1288" s="20" t="str">
        <f>_xll.RssMarket(A1288,"現在値詳細時刻")</f>
        <v/>
      </c>
      <c r="E1288" s="22" t="str">
        <f>_xll.RssMarket(A1288,"前日比")</f>
        <v/>
      </c>
      <c r="F1288" s="23" t="e">
        <f>_xll.RssMarket(A1288,"前日比率")/100</f>
        <v>#VALUE!</v>
      </c>
      <c r="G1288" s="24" t="str">
        <f>IFERROR(VLOOKUP(A1288,取得元!$A$2:$F$501,2,FALSE),"-")</f>
        <v>-</v>
      </c>
      <c r="H1288" s="24" t="str">
        <f>IFERROR(VLOOKUP(A1288,取得元!$A$2:$F$501,3,FALSE),"-")</f>
        <v>-</v>
      </c>
      <c r="I1288" s="24" t="str">
        <f>IFERROR(VLOOKUP(A1288,取得元!$A$2:$F$501,4,FALSE),"-")</f>
        <v>-</v>
      </c>
      <c r="J1288" s="5" t="str">
        <f>IFERROR(VLOOKUP(A1288,取得元!$A$2:$F$501,5,FALSE),"-")</f>
        <v>-</v>
      </c>
      <c r="K1288" s="25" t="str">
        <f>IFERROR(VLOOKUP(A1288,取得元!$A$2:$F$501,6,FALSE)/100,"-")</f>
        <v>-</v>
      </c>
      <c r="L1288" s="21" t="str">
        <f>_xll.RssMarket(A1288,"始値")</f>
        <v/>
      </c>
      <c r="M1288" s="4" t="e">
        <f t="shared" si="110"/>
        <v>#VALUE!</v>
      </c>
      <c r="N1288" s="21" t="str">
        <f>_xll.RssMarket(A1288,"高値")</f>
        <v/>
      </c>
      <c r="O1288" s="4" t="e">
        <f t="shared" si="111"/>
        <v>#VALUE!</v>
      </c>
      <c r="P1288" s="21" t="str">
        <f>_xll.RssMarket(A1288,"安値")</f>
        <v/>
      </c>
      <c r="Q1288" s="4" t="e">
        <f t="shared" si="112"/>
        <v>#VALUE!</v>
      </c>
      <c r="R1288" s="21" t="str">
        <f>_xll.RssMarket(A1288,"後場始値")</f>
        <v/>
      </c>
      <c r="S1288" s="25" t="str">
        <f t="shared" si="113"/>
        <v>-</v>
      </c>
      <c r="T1288" s="7" t="str">
        <f>_xll.RssMarket(A1288,"出来高加重平均")</f>
        <v/>
      </c>
      <c r="U1288" s="4" t="e">
        <f t="shared" si="114"/>
        <v>#VALUE!</v>
      </c>
      <c r="V1288" s="21" t="str">
        <f>_xll.RssMarket(A1288,"出来高")</f>
        <v/>
      </c>
      <c r="W1288" s="21" t="str">
        <f>_xll.RssMarket(A1288,"売買代金")</f>
        <v/>
      </c>
      <c r="X1288" s="20" t="str">
        <f>_xll.RssMarket(A1288,"決算発表日")</f>
        <v/>
      </c>
      <c r="Y1288" s="26" t="str">
        <f>IF(C1288&gt;_xll.RssMarket(A1288,"年初来高値"),"○","×")</f>
        <v>×</v>
      </c>
      <c r="Z1288" s="27" t="str">
        <f>IF(C1288&lt;=_xll.RssMarket(A1288,"年初来安値"),"○","×")</f>
        <v>○</v>
      </c>
    </row>
    <row r="1289" spans="2:26" x14ac:dyDescent="0.55000000000000004">
      <c r="B1289" s="20" t="str">
        <f>_xll.RssMarket(A1289,"銘柄名称")</f>
        <v/>
      </c>
      <c r="C1289" s="21" t="str">
        <f>_xll.RssMarket(A1289,"現在値")</f>
        <v/>
      </c>
      <c r="D1289" s="20" t="str">
        <f>_xll.RssMarket(A1289,"現在値詳細時刻")</f>
        <v/>
      </c>
      <c r="E1289" s="22" t="str">
        <f>_xll.RssMarket(A1289,"前日比")</f>
        <v/>
      </c>
      <c r="F1289" s="23" t="e">
        <f>_xll.RssMarket(A1289,"前日比率")/100</f>
        <v>#VALUE!</v>
      </c>
      <c r="G1289" s="24" t="str">
        <f>IFERROR(VLOOKUP(A1289,取得元!$A$2:$F$501,2,FALSE),"-")</f>
        <v>-</v>
      </c>
      <c r="H1289" s="24" t="str">
        <f>IFERROR(VLOOKUP(A1289,取得元!$A$2:$F$501,3,FALSE),"-")</f>
        <v>-</v>
      </c>
      <c r="I1289" s="24" t="str">
        <f>IFERROR(VLOOKUP(A1289,取得元!$A$2:$F$501,4,FALSE),"-")</f>
        <v>-</v>
      </c>
      <c r="J1289" s="5" t="str">
        <f>IFERROR(VLOOKUP(A1289,取得元!$A$2:$F$501,5,FALSE),"-")</f>
        <v>-</v>
      </c>
      <c r="K1289" s="25" t="str">
        <f>IFERROR(VLOOKUP(A1289,取得元!$A$2:$F$501,6,FALSE)/100,"-")</f>
        <v>-</v>
      </c>
      <c r="L1289" s="21" t="str">
        <f>_xll.RssMarket(A1289,"始値")</f>
        <v/>
      </c>
      <c r="M1289" s="4" t="e">
        <f t="shared" si="110"/>
        <v>#VALUE!</v>
      </c>
      <c r="N1289" s="21" t="str">
        <f>_xll.RssMarket(A1289,"高値")</f>
        <v/>
      </c>
      <c r="O1289" s="4" t="e">
        <f t="shared" si="111"/>
        <v>#VALUE!</v>
      </c>
      <c r="P1289" s="21" t="str">
        <f>_xll.RssMarket(A1289,"安値")</f>
        <v/>
      </c>
      <c r="Q1289" s="4" t="e">
        <f t="shared" si="112"/>
        <v>#VALUE!</v>
      </c>
      <c r="R1289" s="21" t="str">
        <f>_xll.RssMarket(A1289,"後場始値")</f>
        <v/>
      </c>
      <c r="S1289" s="25" t="str">
        <f t="shared" si="113"/>
        <v>-</v>
      </c>
      <c r="T1289" s="7" t="str">
        <f>_xll.RssMarket(A1289,"出来高加重平均")</f>
        <v/>
      </c>
      <c r="U1289" s="4" t="e">
        <f t="shared" si="114"/>
        <v>#VALUE!</v>
      </c>
      <c r="V1289" s="21" t="str">
        <f>_xll.RssMarket(A1289,"出来高")</f>
        <v/>
      </c>
      <c r="W1289" s="21" t="str">
        <f>_xll.RssMarket(A1289,"売買代金")</f>
        <v/>
      </c>
      <c r="X1289" s="20" t="str">
        <f>_xll.RssMarket(A1289,"決算発表日")</f>
        <v/>
      </c>
      <c r="Y1289" s="26" t="str">
        <f>IF(C1289&gt;_xll.RssMarket(A1289,"年初来高値"),"○","×")</f>
        <v>×</v>
      </c>
      <c r="Z1289" s="27" t="str">
        <f>IF(C1289&lt;=_xll.RssMarket(A1289,"年初来安値"),"○","×")</f>
        <v>○</v>
      </c>
    </row>
    <row r="1290" spans="2:26" x14ac:dyDescent="0.55000000000000004">
      <c r="B1290" s="20" t="str">
        <f>_xll.RssMarket(A1290,"銘柄名称")</f>
        <v/>
      </c>
      <c r="C1290" s="21" t="str">
        <f>_xll.RssMarket(A1290,"現在値")</f>
        <v/>
      </c>
      <c r="D1290" s="20" t="str">
        <f>_xll.RssMarket(A1290,"現在値詳細時刻")</f>
        <v/>
      </c>
      <c r="E1290" s="22" t="str">
        <f>_xll.RssMarket(A1290,"前日比")</f>
        <v/>
      </c>
      <c r="F1290" s="23" t="e">
        <f>_xll.RssMarket(A1290,"前日比率")/100</f>
        <v>#VALUE!</v>
      </c>
      <c r="G1290" s="24" t="str">
        <f>IFERROR(VLOOKUP(A1290,取得元!$A$2:$F$501,2,FALSE),"-")</f>
        <v>-</v>
      </c>
      <c r="H1290" s="24" t="str">
        <f>IFERROR(VLOOKUP(A1290,取得元!$A$2:$F$501,3,FALSE),"-")</f>
        <v>-</v>
      </c>
      <c r="I1290" s="24" t="str">
        <f>IFERROR(VLOOKUP(A1290,取得元!$A$2:$F$501,4,FALSE),"-")</f>
        <v>-</v>
      </c>
      <c r="J1290" s="5" t="str">
        <f>IFERROR(VLOOKUP(A1290,取得元!$A$2:$F$501,5,FALSE),"-")</f>
        <v>-</v>
      </c>
      <c r="K1290" s="25" t="str">
        <f>IFERROR(VLOOKUP(A1290,取得元!$A$2:$F$501,6,FALSE)/100,"-")</f>
        <v>-</v>
      </c>
      <c r="L1290" s="21" t="str">
        <f>_xll.RssMarket(A1290,"始値")</f>
        <v/>
      </c>
      <c r="M1290" s="4" t="e">
        <f t="shared" si="110"/>
        <v>#VALUE!</v>
      </c>
      <c r="N1290" s="21" t="str">
        <f>_xll.RssMarket(A1290,"高値")</f>
        <v/>
      </c>
      <c r="O1290" s="4" t="e">
        <f t="shared" si="111"/>
        <v>#VALUE!</v>
      </c>
      <c r="P1290" s="21" t="str">
        <f>_xll.RssMarket(A1290,"安値")</f>
        <v/>
      </c>
      <c r="Q1290" s="4" t="e">
        <f t="shared" si="112"/>
        <v>#VALUE!</v>
      </c>
      <c r="R1290" s="21" t="str">
        <f>_xll.RssMarket(A1290,"後場始値")</f>
        <v/>
      </c>
      <c r="S1290" s="25" t="str">
        <f t="shared" si="113"/>
        <v>-</v>
      </c>
      <c r="T1290" s="7" t="str">
        <f>_xll.RssMarket(A1290,"出来高加重平均")</f>
        <v/>
      </c>
      <c r="U1290" s="4" t="e">
        <f t="shared" si="114"/>
        <v>#VALUE!</v>
      </c>
      <c r="V1290" s="21" t="str">
        <f>_xll.RssMarket(A1290,"出来高")</f>
        <v/>
      </c>
      <c r="W1290" s="21" t="str">
        <f>_xll.RssMarket(A1290,"売買代金")</f>
        <v/>
      </c>
      <c r="X1290" s="20" t="str">
        <f>_xll.RssMarket(A1290,"決算発表日")</f>
        <v/>
      </c>
      <c r="Y1290" s="26" t="str">
        <f>IF(C1290&gt;_xll.RssMarket(A1290,"年初来高値"),"○","×")</f>
        <v>×</v>
      </c>
      <c r="Z1290" s="27" t="str">
        <f>IF(C1290&lt;=_xll.RssMarket(A1290,"年初来安値"),"○","×")</f>
        <v>○</v>
      </c>
    </row>
    <row r="1291" spans="2:26" x14ac:dyDescent="0.55000000000000004">
      <c r="B1291" s="20" t="str">
        <f>_xll.RssMarket(A1291,"銘柄名称")</f>
        <v/>
      </c>
      <c r="C1291" s="21" t="str">
        <f>_xll.RssMarket(A1291,"現在値")</f>
        <v/>
      </c>
      <c r="D1291" s="20" t="str">
        <f>_xll.RssMarket(A1291,"現在値詳細時刻")</f>
        <v/>
      </c>
      <c r="E1291" s="22" t="str">
        <f>_xll.RssMarket(A1291,"前日比")</f>
        <v/>
      </c>
      <c r="F1291" s="23" t="e">
        <f>_xll.RssMarket(A1291,"前日比率")/100</f>
        <v>#VALUE!</v>
      </c>
      <c r="G1291" s="24" t="str">
        <f>IFERROR(VLOOKUP(A1291,取得元!$A$2:$F$501,2,FALSE),"-")</f>
        <v>-</v>
      </c>
      <c r="H1291" s="24" t="str">
        <f>IFERROR(VLOOKUP(A1291,取得元!$A$2:$F$501,3,FALSE),"-")</f>
        <v>-</v>
      </c>
      <c r="I1291" s="24" t="str">
        <f>IFERROR(VLOOKUP(A1291,取得元!$A$2:$F$501,4,FALSE),"-")</f>
        <v>-</v>
      </c>
      <c r="J1291" s="5" t="str">
        <f>IFERROR(VLOOKUP(A1291,取得元!$A$2:$F$501,5,FALSE),"-")</f>
        <v>-</v>
      </c>
      <c r="K1291" s="25" t="str">
        <f>IFERROR(VLOOKUP(A1291,取得元!$A$2:$F$501,6,FALSE)/100,"-")</f>
        <v>-</v>
      </c>
      <c r="L1291" s="21" t="str">
        <f>_xll.RssMarket(A1291,"始値")</f>
        <v/>
      </c>
      <c r="M1291" s="4" t="e">
        <f t="shared" si="110"/>
        <v>#VALUE!</v>
      </c>
      <c r="N1291" s="21" t="str">
        <f>_xll.RssMarket(A1291,"高値")</f>
        <v/>
      </c>
      <c r="O1291" s="4" t="e">
        <f t="shared" si="111"/>
        <v>#VALUE!</v>
      </c>
      <c r="P1291" s="21" t="str">
        <f>_xll.RssMarket(A1291,"安値")</f>
        <v/>
      </c>
      <c r="Q1291" s="4" t="e">
        <f t="shared" si="112"/>
        <v>#VALUE!</v>
      </c>
      <c r="R1291" s="21" t="str">
        <f>_xll.RssMarket(A1291,"後場始値")</f>
        <v/>
      </c>
      <c r="S1291" s="25" t="str">
        <f t="shared" si="113"/>
        <v>-</v>
      </c>
      <c r="T1291" s="7" t="str">
        <f>_xll.RssMarket(A1291,"出来高加重平均")</f>
        <v/>
      </c>
      <c r="U1291" s="4" t="e">
        <f t="shared" si="114"/>
        <v>#VALUE!</v>
      </c>
      <c r="V1291" s="21" t="str">
        <f>_xll.RssMarket(A1291,"出来高")</f>
        <v/>
      </c>
      <c r="W1291" s="21" t="str">
        <f>_xll.RssMarket(A1291,"売買代金")</f>
        <v/>
      </c>
      <c r="X1291" s="20" t="str">
        <f>_xll.RssMarket(A1291,"決算発表日")</f>
        <v/>
      </c>
      <c r="Y1291" s="26" t="str">
        <f>IF(C1291&gt;_xll.RssMarket(A1291,"年初来高値"),"○","×")</f>
        <v>×</v>
      </c>
      <c r="Z1291" s="27" t="str">
        <f>IF(C1291&lt;=_xll.RssMarket(A1291,"年初来安値"),"○","×")</f>
        <v>○</v>
      </c>
    </row>
    <row r="1292" spans="2:26" x14ac:dyDescent="0.55000000000000004">
      <c r="B1292" s="20" t="str">
        <f>_xll.RssMarket(A1292,"銘柄名称")</f>
        <v/>
      </c>
      <c r="C1292" s="21" t="str">
        <f>_xll.RssMarket(A1292,"現在値")</f>
        <v/>
      </c>
      <c r="D1292" s="20" t="str">
        <f>_xll.RssMarket(A1292,"現在値詳細時刻")</f>
        <v/>
      </c>
      <c r="E1292" s="22" t="str">
        <f>_xll.RssMarket(A1292,"前日比")</f>
        <v/>
      </c>
      <c r="F1292" s="23" t="e">
        <f>_xll.RssMarket(A1292,"前日比率")/100</f>
        <v>#VALUE!</v>
      </c>
      <c r="G1292" s="24" t="str">
        <f>IFERROR(VLOOKUP(A1292,取得元!$A$2:$F$501,2,FALSE),"-")</f>
        <v>-</v>
      </c>
      <c r="H1292" s="24" t="str">
        <f>IFERROR(VLOOKUP(A1292,取得元!$A$2:$F$501,3,FALSE),"-")</f>
        <v>-</v>
      </c>
      <c r="I1292" s="24" t="str">
        <f>IFERROR(VLOOKUP(A1292,取得元!$A$2:$F$501,4,FALSE),"-")</f>
        <v>-</v>
      </c>
      <c r="J1292" s="5" t="str">
        <f>IFERROR(VLOOKUP(A1292,取得元!$A$2:$F$501,5,FALSE),"-")</f>
        <v>-</v>
      </c>
      <c r="K1292" s="25" t="str">
        <f>IFERROR(VLOOKUP(A1292,取得元!$A$2:$F$501,6,FALSE)/100,"-")</f>
        <v>-</v>
      </c>
      <c r="L1292" s="21" t="str">
        <f>_xll.RssMarket(A1292,"始値")</f>
        <v/>
      </c>
      <c r="M1292" s="4" t="e">
        <f t="shared" si="110"/>
        <v>#VALUE!</v>
      </c>
      <c r="N1292" s="21" t="str">
        <f>_xll.RssMarket(A1292,"高値")</f>
        <v/>
      </c>
      <c r="O1292" s="4" t="e">
        <f t="shared" si="111"/>
        <v>#VALUE!</v>
      </c>
      <c r="P1292" s="21" t="str">
        <f>_xll.RssMarket(A1292,"安値")</f>
        <v/>
      </c>
      <c r="Q1292" s="4" t="e">
        <f t="shared" si="112"/>
        <v>#VALUE!</v>
      </c>
      <c r="R1292" s="21" t="str">
        <f>_xll.RssMarket(A1292,"後場始値")</f>
        <v/>
      </c>
      <c r="S1292" s="25" t="str">
        <f t="shared" si="113"/>
        <v>-</v>
      </c>
      <c r="T1292" s="7" t="str">
        <f>_xll.RssMarket(A1292,"出来高加重平均")</f>
        <v/>
      </c>
      <c r="U1292" s="4" t="e">
        <f t="shared" si="114"/>
        <v>#VALUE!</v>
      </c>
      <c r="V1292" s="21" t="str">
        <f>_xll.RssMarket(A1292,"出来高")</f>
        <v/>
      </c>
      <c r="W1292" s="21" t="str">
        <f>_xll.RssMarket(A1292,"売買代金")</f>
        <v/>
      </c>
      <c r="X1292" s="20" t="str">
        <f>_xll.RssMarket(A1292,"決算発表日")</f>
        <v/>
      </c>
      <c r="Y1292" s="26" t="str">
        <f>IF(C1292&gt;_xll.RssMarket(A1292,"年初来高値"),"○","×")</f>
        <v>×</v>
      </c>
      <c r="Z1292" s="27" t="str">
        <f>IF(C1292&lt;=_xll.RssMarket(A1292,"年初来安値"),"○","×")</f>
        <v>○</v>
      </c>
    </row>
    <row r="1293" spans="2:26" x14ac:dyDescent="0.55000000000000004">
      <c r="B1293" s="20" t="str">
        <f>_xll.RssMarket(A1293,"銘柄名称")</f>
        <v/>
      </c>
      <c r="C1293" s="21" t="str">
        <f>_xll.RssMarket(A1293,"現在値")</f>
        <v/>
      </c>
      <c r="D1293" s="20" t="str">
        <f>_xll.RssMarket(A1293,"現在値詳細時刻")</f>
        <v/>
      </c>
      <c r="E1293" s="22" t="str">
        <f>_xll.RssMarket(A1293,"前日比")</f>
        <v/>
      </c>
      <c r="F1293" s="23" t="e">
        <f>_xll.RssMarket(A1293,"前日比率")/100</f>
        <v>#VALUE!</v>
      </c>
      <c r="G1293" s="24" t="str">
        <f>IFERROR(VLOOKUP(A1293,取得元!$A$2:$F$501,2,FALSE),"-")</f>
        <v>-</v>
      </c>
      <c r="H1293" s="24" t="str">
        <f>IFERROR(VLOOKUP(A1293,取得元!$A$2:$F$501,3,FALSE),"-")</f>
        <v>-</v>
      </c>
      <c r="I1293" s="24" t="str">
        <f>IFERROR(VLOOKUP(A1293,取得元!$A$2:$F$501,4,FALSE),"-")</f>
        <v>-</v>
      </c>
      <c r="J1293" s="5" t="str">
        <f>IFERROR(VLOOKUP(A1293,取得元!$A$2:$F$501,5,FALSE),"-")</f>
        <v>-</v>
      </c>
      <c r="K1293" s="25" t="str">
        <f>IFERROR(VLOOKUP(A1293,取得元!$A$2:$F$501,6,FALSE)/100,"-")</f>
        <v>-</v>
      </c>
      <c r="L1293" s="21" t="str">
        <f>_xll.RssMarket(A1293,"始値")</f>
        <v/>
      </c>
      <c r="M1293" s="4" t="e">
        <f t="shared" si="110"/>
        <v>#VALUE!</v>
      </c>
      <c r="N1293" s="21" t="str">
        <f>_xll.RssMarket(A1293,"高値")</f>
        <v/>
      </c>
      <c r="O1293" s="4" t="e">
        <f t="shared" si="111"/>
        <v>#VALUE!</v>
      </c>
      <c r="P1293" s="21" t="str">
        <f>_xll.RssMarket(A1293,"安値")</f>
        <v/>
      </c>
      <c r="Q1293" s="4" t="e">
        <f t="shared" si="112"/>
        <v>#VALUE!</v>
      </c>
      <c r="R1293" s="21" t="str">
        <f>_xll.RssMarket(A1293,"後場始値")</f>
        <v/>
      </c>
      <c r="S1293" s="25" t="str">
        <f t="shared" si="113"/>
        <v>-</v>
      </c>
      <c r="T1293" s="7" t="str">
        <f>_xll.RssMarket(A1293,"出来高加重平均")</f>
        <v/>
      </c>
      <c r="U1293" s="4" t="e">
        <f t="shared" si="114"/>
        <v>#VALUE!</v>
      </c>
      <c r="V1293" s="21" t="str">
        <f>_xll.RssMarket(A1293,"出来高")</f>
        <v/>
      </c>
      <c r="W1293" s="21" t="str">
        <f>_xll.RssMarket(A1293,"売買代金")</f>
        <v/>
      </c>
      <c r="X1293" s="20" t="str">
        <f>_xll.RssMarket(A1293,"決算発表日")</f>
        <v/>
      </c>
      <c r="Y1293" s="26" t="str">
        <f>IF(C1293&gt;_xll.RssMarket(A1293,"年初来高値"),"○","×")</f>
        <v>×</v>
      </c>
      <c r="Z1293" s="27" t="str">
        <f>IF(C1293&lt;=_xll.RssMarket(A1293,"年初来安値"),"○","×")</f>
        <v>○</v>
      </c>
    </row>
    <row r="1294" spans="2:26" x14ac:dyDescent="0.55000000000000004">
      <c r="B1294" s="20" t="str">
        <f>_xll.RssMarket(A1294,"銘柄名称")</f>
        <v/>
      </c>
      <c r="C1294" s="21" t="str">
        <f>_xll.RssMarket(A1294,"現在値")</f>
        <v/>
      </c>
      <c r="D1294" s="20" t="str">
        <f>_xll.RssMarket(A1294,"現在値詳細時刻")</f>
        <v/>
      </c>
      <c r="E1294" s="22" t="str">
        <f>_xll.RssMarket(A1294,"前日比")</f>
        <v/>
      </c>
      <c r="F1294" s="23" t="e">
        <f>_xll.RssMarket(A1294,"前日比率")/100</f>
        <v>#VALUE!</v>
      </c>
      <c r="G1294" s="24" t="str">
        <f>IFERROR(VLOOKUP(A1294,取得元!$A$2:$F$501,2,FALSE),"-")</f>
        <v>-</v>
      </c>
      <c r="H1294" s="24" t="str">
        <f>IFERROR(VLOOKUP(A1294,取得元!$A$2:$F$501,3,FALSE),"-")</f>
        <v>-</v>
      </c>
      <c r="I1294" s="24" t="str">
        <f>IFERROR(VLOOKUP(A1294,取得元!$A$2:$F$501,4,FALSE),"-")</f>
        <v>-</v>
      </c>
      <c r="J1294" s="5" t="str">
        <f>IFERROR(VLOOKUP(A1294,取得元!$A$2:$F$501,5,FALSE),"-")</f>
        <v>-</v>
      </c>
      <c r="K1294" s="25" t="str">
        <f>IFERROR(VLOOKUP(A1294,取得元!$A$2:$F$501,6,FALSE)/100,"-")</f>
        <v>-</v>
      </c>
      <c r="L1294" s="21" t="str">
        <f>_xll.RssMarket(A1294,"始値")</f>
        <v/>
      </c>
      <c r="M1294" s="4" t="e">
        <f t="shared" si="110"/>
        <v>#VALUE!</v>
      </c>
      <c r="N1294" s="21" t="str">
        <f>_xll.RssMarket(A1294,"高値")</f>
        <v/>
      </c>
      <c r="O1294" s="4" t="e">
        <f t="shared" si="111"/>
        <v>#VALUE!</v>
      </c>
      <c r="P1294" s="21" t="str">
        <f>_xll.RssMarket(A1294,"安値")</f>
        <v/>
      </c>
      <c r="Q1294" s="4" t="e">
        <f t="shared" si="112"/>
        <v>#VALUE!</v>
      </c>
      <c r="R1294" s="21" t="str">
        <f>_xll.RssMarket(A1294,"後場始値")</f>
        <v/>
      </c>
      <c r="S1294" s="25" t="str">
        <f t="shared" si="113"/>
        <v>-</v>
      </c>
      <c r="T1294" s="7" t="str">
        <f>_xll.RssMarket(A1294,"出来高加重平均")</f>
        <v/>
      </c>
      <c r="U1294" s="4" t="e">
        <f t="shared" si="114"/>
        <v>#VALUE!</v>
      </c>
      <c r="V1294" s="21" t="str">
        <f>_xll.RssMarket(A1294,"出来高")</f>
        <v/>
      </c>
      <c r="W1294" s="21" t="str">
        <f>_xll.RssMarket(A1294,"売買代金")</f>
        <v/>
      </c>
      <c r="X1294" s="20" t="str">
        <f>_xll.RssMarket(A1294,"決算発表日")</f>
        <v/>
      </c>
      <c r="Y1294" s="26" t="str">
        <f>IF(C1294&gt;_xll.RssMarket(A1294,"年初来高値"),"○","×")</f>
        <v>×</v>
      </c>
      <c r="Z1294" s="27" t="str">
        <f>IF(C1294&lt;=_xll.RssMarket(A1294,"年初来安値"),"○","×")</f>
        <v>○</v>
      </c>
    </row>
    <row r="1295" spans="2:26" x14ac:dyDescent="0.55000000000000004">
      <c r="B1295" s="20" t="str">
        <f>_xll.RssMarket(A1295,"銘柄名称")</f>
        <v/>
      </c>
      <c r="C1295" s="21" t="str">
        <f>_xll.RssMarket(A1295,"現在値")</f>
        <v/>
      </c>
      <c r="D1295" s="20" t="str">
        <f>_xll.RssMarket(A1295,"現在値詳細時刻")</f>
        <v/>
      </c>
      <c r="E1295" s="22" t="str">
        <f>_xll.RssMarket(A1295,"前日比")</f>
        <v/>
      </c>
      <c r="F1295" s="23" t="e">
        <f>_xll.RssMarket(A1295,"前日比率")/100</f>
        <v>#VALUE!</v>
      </c>
      <c r="G1295" s="24" t="str">
        <f>IFERROR(VLOOKUP(A1295,取得元!$A$2:$F$501,2,FALSE),"-")</f>
        <v>-</v>
      </c>
      <c r="H1295" s="24" t="str">
        <f>IFERROR(VLOOKUP(A1295,取得元!$A$2:$F$501,3,FALSE),"-")</f>
        <v>-</v>
      </c>
      <c r="I1295" s="24" t="str">
        <f>IFERROR(VLOOKUP(A1295,取得元!$A$2:$F$501,4,FALSE),"-")</f>
        <v>-</v>
      </c>
      <c r="J1295" s="5" t="str">
        <f>IFERROR(VLOOKUP(A1295,取得元!$A$2:$F$501,5,FALSE),"-")</f>
        <v>-</v>
      </c>
      <c r="K1295" s="25" t="str">
        <f>IFERROR(VLOOKUP(A1295,取得元!$A$2:$F$501,6,FALSE)/100,"-")</f>
        <v>-</v>
      </c>
      <c r="L1295" s="21" t="str">
        <f>_xll.RssMarket(A1295,"始値")</f>
        <v/>
      </c>
      <c r="M1295" s="4" t="e">
        <f t="shared" si="110"/>
        <v>#VALUE!</v>
      </c>
      <c r="N1295" s="21" t="str">
        <f>_xll.RssMarket(A1295,"高値")</f>
        <v/>
      </c>
      <c r="O1295" s="4" t="e">
        <f t="shared" si="111"/>
        <v>#VALUE!</v>
      </c>
      <c r="P1295" s="21" t="str">
        <f>_xll.RssMarket(A1295,"安値")</f>
        <v/>
      </c>
      <c r="Q1295" s="4" t="e">
        <f t="shared" si="112"/>
        <v>#VALUE!</v>
      </c>
      <c r="R1295" s="21" t="str">
        <f>_xll.RssMarket(A1295,"後場始値")</f>
        <v/>
      </c>
      <c r="S1295" s="25" t="str">
        <f t="shared" si="113"/>
        <v>-</v>
      </c>
      <c r="T1295" s="7" t="str">
        <f>_xll.RssMarket(A1295,"出来高加重平均")</f>
        <v/>
      </c>
      <c r="U1295" s="4" t="e">
        <f t="shared" si="114"/>
        <v>#VALUE!</v>
      </c>
      <c r="V1295" s="21" t="str">
        <f>_xll.RssMarket(A1295,"出来高")</f>
        <v/>
      </c>
      <c r="W1295" s="21" t="str">
        <f>_xll.RssMarket(A1295,"売買代金")</f>
        <v/>
      </c>
      <c r="X1295" s="20" t="str">
        <f>_xll.RssMarket(A1295,"決算発表日")</f>
        <v/>
      </c>
      <c r="Y1295" s="26" t="str">
        <f>IF(C1295&gt;_xll.RssMarket(A1295,"年初来高値"),"○","×")</f>
        <v>×</v>
      </c>
      <c r="Z1295" s="27" t="str">
        <f>IF(C1295&lt;=_xll.RssMarket(A1295,"年初来安値"),"○","×")</f>
        <v>○</v>
      </c>
    </row>
    <row r="1296" spans="2:26" x14ac:dyDescent="0.55000000000000004">
      <c r="B1296" s="20" t="str">
        <f>_xll.RssMarket(A1296,"銘柄名称")</f>
        <v/>
      </c>
      <c r="C1296" s="21" t="str">
        <f>_xll.RssMarket(A1296,"現在値")</f>
        <v/>
      </c>
      <c r="D1296" s="20" t="str">
        <f>_xll.RssMarket(A1296,"現在値詳細時刻")</f>
        <v/>
      </c>
      <c r="E1296" s="22" t="str">
        <f>_xll.RssMarket(A1296,"前日比")</f>
        <v/>
      </c>
      <c r="F1296" s="23" t="e">
        <f>_xll.RssMarket(A1296,"前日比率")/100</f>
        <v>#VALUE!</v>
      </c>
      <c r="G1296" s="24" t="str">
        <f>IFERROR(VLOOKUP(A1296,取得元!$A$2:$F$501,2,FALSE),"-")</f>
        <v>-</v>
      </c>
      <c r="H1296" s="24" t="str">
        <f>IFERROR(VLOOKUP(A1296,取得元!$A$2:$F$501,3,FALSE),"-")</f>
        <v>-</v>
      </c>
      <c r="I1296" s="24" t="str">
        <f>IFERROR(VLOOKUP(A1296,取得元!$A$2:$F$501,4,FALSE),"-")</f>
        <v>-</v>
      </c>
      <c r="J1296" s="5" t="str">
        <f>IFERROR(VLOOKUP(A1296,取得元!$A$2:$F$501,5,FALSE),"-")</f>
        <v>-</v>
      </c>
      <c r="K1296" s="25" t="str">
        <f>IFERROR(VLOOKUP(A1296,取得元!$A$2:$F$501,6,FALSE)/100,"-")</f>
        <v>-</v>
      </c>
      <c r="L1296" s="21" t="str">
        <f>_xll.RssMarket(A1296,"始値")</f>
        <v/>
      </c>
      <c r="M1296" s="4" t="e">
        <f t="shared" si="110"/>
        <v>#VALUE!</v>
      </c>
      <c r="N1296" s="21" t="str">
        <f>_xll.RssMarket(A1296,"高値")</f>
        <v/>
      </c>
      <c r="O1296" s="4" t="e">
        <f t="shared" si="111"/>
        <v>#VALUE!</v>
      </c>
      <c r="P1296" s="21" t="str">
        <f>_xll.RssMarket(A1296,"安値")</f>
        <v/>
      </c>
      <c r="Q1296" s="4" t="e">
        <f t="shared" si="112"/>
        <v>#VALUE!</v>
      </c>
      <c r="R1296" s="21" t="str">
        <f>_xll.RssMarket(A1296,"後場始値")</f>
        <v/>
      </c>
      <c r="S1296" s="25" t="str">
        <f t="shared" si="113"/>
        <v>-</v>
      </c>
      <c r="T1296" s="7" t="str">
        <f>_xll.RssMarket(A1296,"出来高加重平均")</f>
        <v/>
      </c>
      <c r="U1296" s="4" t="e">
        <f t="shared" si="114"/>
        <v>#VALUE!</v>
      </c>
      <c r="V1296" s="21" t="str">
        <f>_xll.RssMarket(A1296,"出来高")</f>
        <v/>
      </c>
      <c r="W1296" s="21" t="str">
        <f>_xll.RssMarket(A1296,"売買代金")</f>
        <v/>
      </c>
      <c r="X1296" s="20" t="str">
        <f>_xll.RssMarket(A1296,"決算発表日")</f>
        <v/>
      </c>
      <c r="Y1296" s="26" t="str">
        <f>IF(C1296&gt;_xll.RssMarket(A1296,"年初来高値"),"○","×")</f>
        <v>×</v>
      </c>
      <c r="Z1296" s="27" t="str">
        <f>IF(C1296&lt;=_xll.RssMarket(A1296,"年初来安値"),"○","×")</f>
        <v>○</v>
      </c>
    </row>
    <row r="1297" spans="2:26" x14ac:dyDescent="0.55000000000000004">
      <c r="B1297" s="20" t="str">
        <f>_xll.RssMarket(A1297,"銘柄名称")</f>
        <v/>
      </c>
      <c r="C1297" s="21" t="str">
        <f>_xll.RssMarket(A1297,"現在値")</f>
        <v/>
      </c>
      <c r="D1297" s="20" t="str">
        <f>_xll.RssMarket(A1297,"現在値詳細時刻")</f>
        <v/>
      </c>
      <c r="E1297" s="22" t="str">
        <f>_xll.RssMarket(A1297,"前日比")</f>
        <v/>
      </c>
      <c r="F1297" s="23" t="e">
        <f>_xll.RssMarket(A1297,"前日比率")/100</f>
        <v>#VALUE!</v>
      </c>
      <c r="G1297" s="24" t="str">
        <f>IFERROR(VLOOKUP(A1297,取得元!$A$2:$F$501,2,FALSE),"-")</f>
        <v>-</v>
      </c>
      <c r="H1297" s="24" t="str">
        <f>IFERROR(VLOOKUP(A1297,取得元!$A$2:$F$501,3,FALSE),"-")</f>
        <v>-</v>
      </c>
      <c r="I1297" s="24" t="str">
        <f>IFERROR(VLOOKUP(A1297,取得元!$A$2:$F$501,4,FALSE),"-")</f>
        <v>-</v>
      </c>
      <c r="J1297" s="5" t="str">
        <f>IFERROR(VLOOKUP(A1297,取得元!$A$2:$F$501,5,FALSE),"-")</f>
        <v>-</v>
      </c>
      <c r="K1297" s="25" t="str">
        <f>IFERROR(VLOOKUP(A1297,取得元!$A$2:$F$501,6,FALSE)/100,"-")</f>
        <v>-</v>
      </c>
      <c r="L1297" s="21" t="str">
        <f>_xll.RssMarket(A1297,"始値")</f>
        <v/>
      </c>
      <c r="M1297" s="4" t="e">
        <f t="shared" si="110"/>
        <v>#VALUE!</v>
      </c>
      <c r="N1297" s="21" t="str">
        <f>_xll.RssMarket(A1297,"高値")</f>
        <v/>
      </c>
      <c r="O1297" s="4" t="e">
        <f t="shared" si="111"/>
        <v>#VALUE!</v>
      </c>
      <c r="P1297" s="21" t="str">
        <f>_xll.RssMarket(A1297,"安値")</f>
        <v/>
      </c>
      <c r="Q1297" s="4" t="e">
        <f t="shared" si="112"/>
        <v>#VALUE!</v>
      </c>
      <c r="R1297" s="21" t="str">
        <f>_xll.RssMarket(A1297,"後場始値")</f>
        <v/>
      </c>
      <c r="S1297" s="25" t="str">
        <f t="shared" si="113"/>
        <v>-</v>
      </c>
      <c r="T1297" s="7" t="str">
        <f>_xll.RssMarket(A1297,"出来高加重平均")</f>
        <v/>
      </c>
      <c r="U1297" s="4" t="e">
        <f t="shared" si="114"/>
        <v>#VALUE!</v>
      </c>
      <c r="V1297" s="21" t="str">
        <f>_xll.RssMarket(A1297,"出来高")</f>
        <v/>
      </c>
      <c r="W1297" s="21" t="str">
        <f>_xll.RssMarket(A1297,"売買代金")</f>
        <v/>
      </c>
      <c r="X1297" s="20" t="str">
        <f>_xll.RssMarket(A1297,"決算発表日")</f>
        <v/>
      </c>
      <c r="Y1297" s="26" t="str">
        <f>IF(C1297&gt;_xll.RssMarket(A1297,"年初来高値"),"○","×")</f>
        <v>×</v>
      </c>
      <c r="Z1297" s="27" t="str">
        <f>IF(C1297&lt;=_xll.RssMarket(A1297,"年初来安値"),"○","×")</f>
        <v>○</v>
      </c>
    </row>
    <row r="1298" spans="2:26" x14ac:dyDescent="0.55000000000000004">
      <c r="B1298" s="20" t="str">
        <f>_xll.RssMarket(A1298,"銘柄名称")</f>
        <v/>
      </c>
      <c r="C1298" s="21" t="str">
        <f>_xll.RssMarket(A1298,"現在値")</f>
        <v/>
      </c>
      <c r="D1298" s="20" t="str">
        <f>_xll.RssMarket(A1298,"現在値詳細時刻")</f>
        <v/>
      </c>
      <c r="E1298" s="22" t="str">
        <f>_xll.RssMarket(A1298,"前日比")</f>
        <v/>
      </c>
      <c r="F1298" s="23" t="e">
        <f>_xll.RssMarket(A1298,"前日比率")/100</f>
        <v>#VALUE!</v>
      </c>
      <c r="G1298" s="24" t="str">
        <f>IFERROR(VLOOKUP(A1298,取得元!$A$2:$F$501,2,FALSE),"-")</f>
        <v>-</v>
      </c>
      <c r="H1298" s="24" t="str">
        <f>IFERROR(VLOOKUP(A1298,取得元!$A$2:$F$501,3,FALSE),"-")</f>
        <v>-</v>
      </c>
      <c r="I1298" s="24" t="str">
        <f>IFERROR(VLOOKUP(A1298,取得元!$A$2:$F$501,4,FALSE),"-")</f>
        <v>-</v>
      </c>
      <c r="J1298" s="5" t="str">
        <f>IFERROR(VLOOKUP(A1298,取得元!$A$2:$F$501,5,FALSE),"-")</f>
        <v>-</v>
      </c>
      <c r="K1298" s="25" t="str">
        <f>IFERROR(VLOOKUP(A1298,取得元!$A$2:$F$501,6,FALSE)/100,"-")</f>
        <v>-</v>
      </c>
      <c r="L1298" s="21" t="str">
        <f>_xll.RssMarket(A1298,"始値")</f>
        <v/>
      </c>
      <c r="M1298" s="4" t="e">
        <f t="shared" si="110"/>
        <v>#VALUE!</v>
      </c>
      <c r="N1298" s="21" t="str">
        <f>_xll.RssMarket(A1298,"高値")</f>
        <v/>
      </c>
      <c r="O1298" s="4" t="e">
        <f t="shared" si="111"/>
        <v>#VALUE!</v>
      </c>
      <c r="P1298" s="21" t="str">
        <f>_xll.RssMarket(A1298,"安値")</f>
        <v/>
      </c>
      <c r="Q1298" s="4" t="e">
        <f t="shared" si="112"/>
        <v>#VALUE!</v>
      </c>
      <c r="R1298" s="21" t="str">
        <f>_xll.RssMarket(A1298,"後場始値")</f>
        <v/>
      </c>
      <c r="S1298" s="25" t="str">
        <f t="shared" si="113"/>
        <v>-</v>
      </c>
      <c r="T1298" s="7" t="str">
        <f>_xll.RssMarket(A1298,"出来高加重平均")</f>
        <v/>
      </c>
      <c r="U1298" s="4" t="e">
        <f t="shared" si="114"/>
        <v>#VALUE!</v>
      </c>
      <c r="V1298" s="21" t="str">
        <f>_xll.RssMarket(A1298,"出来高")</f>
        <v/>
      </c>
      <c r="W1298" s="21" t="str">
        <f>_xll.RssMarket(A1298,"売買代金")</f>
        <v/>
      </c>
      <c r="X1298" s="20" t="str">
        <f>_xll.RssMarket(A1298,"決算発表日")</f>
        <v/>
      </c>
      <c r="Y1298" s="26" t="str">
        <f>IF(C1298&gt;_xll.RssMarket(A1298,"年初来高値"),"○","×")</f>
        <v>×</v>
      </c>
      <c r="Z1298" s="27" t="str">
        <f>IF(C1298&lt;=_xll.RssMarket(A1298,"年初来安値"),"○","×")</f>
        <v>○</v>
      </c>
    </row>
    <row r="1299" spans="2:26" x14ac:dyDescent="0.55000000000000004">
      <c r="B1299" s="20" t="str">
        <f>_xll.RssMarket(A1299,"銘柄名称")</f>
        <v/>
      </c>
      <c r="C1299" s="21" t="str">
        <f>_xll.RssMarket(A1299,"現在値")</f>
        <v/>
      </c>
      <c r="D1299" s="20" t="str">
        <f>_xll.RssMarket(A1299,"現在値詳細時刻")</f>
        <v/>
      </c>
      <c r="E1299" s="22" t="str">
        <f>_xll.RssMarket(A1299,"前日比")</f>
        <v/>
      </c>
      <c r="F1299" s="23" t="e">
        <f>_xll.RssMarket(A1299,"前日比率")/100</f>
        <v>#VALUE!</v>
      </c>
      <c r="G1299" s="24" t="str">
        <f>IFERROR(VLOOKUP(A1299,取得元!$A$2:$F$501,2,FALSE),"-")</f>
        <v>-</v>
      </c>
      <c r="H1299" s="24" t="str">
        <f>IFERROR(VLOOKUP(A1299,取得元!$A$2:$F$501,3,FALSE),"-")</f>
        <v>-</v>
      </c>
      <c r="I1299" s="24" t="str">
        <f>IFERROR(VLOOKUP(A1299,取得元!$A$2:$F$501,4,FALSE),"-")</f>
        <v>-</v>
      </c>
      <c r="J1299" s="5" t="str">
        <f>IFERROR(VLOOKUP(A1299,取得元!$A$2:$F$501,5,FALSE),"-")</f>
        <v>-</v>
      </c>
      <c r="K1299" s="25" t="str">
        <f>IFERROR(VLOOKUP(A1299,取得元!$A$2:$F$501,6,FALSE)/100,"-")</f>
        <v>-</v>
      </c>
      <c r="L1299" s="21" t="str">
        <f>_xll.RssMarket(A1299,"始値")</f>
        <v/>
      </c>
      <c r="M1299" s="4" t="e">
        <f t="shared" si="110"/>
        <v>#VALUE!</v>
      </c>
      <c r="N1299" s="21" t="str">
        <f>_xll.RssMarket(A1299,"高値")</f>
        <v/>
      </c>
      <c r="O1299" s="4" t="e">
        <f t="shared" si="111"/>
        <v>#VALUE!</v>
      </c>
      <c r="P1299" s="21" t="str">
        <f>_xll.RssMarket(A1299,"安値")</f>
        <v/>
      </c>
      <c r="Q1299" s="4" t="e">
        <f t="shared" si="112"/>
        <v>#VALUE!</v>
      </c>
      <c r="R1299" s="21" t="str">
        <f>_xll.RssMarket(A1299,"後場始値")</f>
        <v/>
      </c>
      <c r="S1299" s="25" t="str">
        <f t="shared" si="113"/>
        <v>-</v>
      </c>
      <c r="T1299" s="7" t="str">
        <f>_xll.RssMarket(A1299,"出来高加重平均")</f>
        <v/>
      </c>
      <c r="U1299" s="4" t="e">
        <f t="shared" si="114"/>
        <v>#VALUE!</v>
      </c>
      <c r="V1299" s="21" t="str">
        <f>_xll.RssMarket(A1299,"出来高")</f>
        <v/>
      </c>
      <c r="W1299" s="21" t="str">
        <f>_xll.RssMarket(A1299,"売買代金")</f>
        <v/>
      </c>
      <c r="X1299" s="20" t="str">
        <f>_xll.RssMarket(A1299,"決算発表日")</f>
        <v/>
      </c>
      <c r="Y1299" s="26" t="str">
        <f>IF(C1299&gt;_xll.RssMarket(A1299,"年初来高値"),"○","×")</f>
        <v>×</v>
      </c>
      <c r="Z1299" s="27" t="str">
        <f>IF(C1299&lt;=_xll.RssMarket(A1299,"年初来安値"),"○","×")</f>
        <v>○</v>
      </c>
    </row>
    <row r="1300" spans="2:26" x14ac:dyDescent="0.55000000000000004">
      <c r="B1300" s="20" t="str">
        <f>_xll.RssMarket(A1300,"銘柄名称")</f>
        <v/>
      </c>
      <c r="C1300" s="21" t="str">
        <f>_xll.RssMarket(A1300,"現在値")</f>
        <v/>
      </c>
      <c r="D1300" s="20" t="str">
        <f>_xll.RssMarket(A1300,"現在値詳細時刻")</f>
        <v/>
      </c>
      <c r="E1300" s="22" t="str">
        <f>_xll.RssMarket(A1300,"前日比")</f>
        <v/>
      </c>
      <c r="F1300" s="23" t="e">
        <f>_xll.RssMarket(A1300,"前日比率")/100</f>
        <v>#VALUE!</v>
      </c>
      <c r="G1300" s="24" t="str">
        <f>IFERROR(VLOOKUP(A1300,取得元!$A$2:$F$501,2,FALSE),"-")</f>
        <v>-</v>
      </c>
      <c r="H1300" s="24" t="str">
        <f>IFERROR(VLOOKUP(A1300,取得元!$A$2:$F$501,3,FALSE),"-")</f>
        <v>-</v>
      </c>
      <c r="I1300" s="24" t="str">
        <f>IFERROR(VLOOKUP(A1300,取得元!$A$2:$F$501,4,FALSE),"-")</f>
        <v>-</v>
      </c>
      <c r="J1300" s="5" t="str">
        <f>IFERROR(VLOOKUP(A1300,取得元!$A$2:$F$501,5,FALSE),"-")</f>
        <v>-</v>
      </c>
      <c r="K1300" s="25" t="str">
        <f>IFERROR(VLOOKUP(A1300,取得元!$A$2:$F$501,6,FALSE)/100,"-")</f>
        <v>-</v>
      </c>
      <c r="L1300" s="21" t="str">
        <f>_xll.RssMarket(A1300,"始値")</f>
        <v/>
      </c>
      <c r="M1300" s="4" t="e">
        <f t="shared" si="110"/>
        <v>#VALUE!</v>
      </c>
      <c r="N1300" s="21" t="str">
        <f>_xll.RssMarket(A1300,"高値")</f>
        <v/>
      </c>
      <c r="O1300" s="4" t="e">
        <f t="shared" si="111"/>
        <v>#VALUE!</v>
      </c>
      <c r="P1300" s="21" t="str">
        <f>_xll.RssMarket(A1300,"安値")</f>
        <v/>
      </c>
      <c r="Q1300" s="4" t="e">
        <f t="shared" si="112"/>
        <v>#VALUE!</v>
      </c>
      <c r="R1300" s="21" t="str">
        <f>_xll.RssMarket(A1300,"後場始値")</f>
        <v/>
      </c>
      <c r="S1300" s="25" t="str">
        <f t="shared" si="113"/>
        <v>-</v>
      </c>
      <c r="T1300" s="7" t="str">
        <f>_xll.RssMarket(A1300,"出来高加重平均")</f>
        <v/>
      </c>
      <c r="U1300" s="4" t="e">
        <f t="shared" si="114"/>
        <v>#VALUE!</v>
      </c>
      <c r="V1300" s="21" t="str">
        <f>_xll.RssMarket(A1300,"出来高")</f>
        <v/>
      </c>
      <c r="W1300" s="21" t="str">
        <f>_xll.RssMarket(A1300,"売買代金")</f>
        <v/>
      </c>
      <c r="X1300" s="20" t="str">
        <f>_xll.RssMarket(A1300,"決算発表日")</f>
        <v/>
      </c>
      <c r="Y1300" s="26" t="str">
        <f>IF(C1300&gt;_xll.RssMarket(A1300,"年初来高値"),"○","×")</f>
        <v>×</v>
      </c>
      <c r="Z1300" s="27" t="str">
        <f>IF(C1300&lt;=_xll.RssMarket(A1300,"年初来安値"),"○","×")</f>
        <v>○</v>
      </c>
    </row>
    <row r="1301" spans="2:26" x14ac:dyDescent="0.55000000000000004">
      <c r="B1301" s="20" t="str">
        <f>_xll.RssMarket(A1301,"銘柄名称")</f>
        <v/>
      </c>
      <c r="C1301" s="21" t="str">
        <f>_xll.RssMarket(A1301,"現在値")</f>
        <v/>
      </c>
      <c r="D1301" s="20" t="str">
        <f>_xll.RssMarket(A1301,"現在値詳細時刻")</f>
        <v/>
      </c>
      <c r="E1301" s="22" t="str">
        <f>_xll.RssMarket(A1301,"前日比")</f>
        <v/>
      </c>
      <c r="F1301" s="23" t="e">
        <f>_xll.RssMarket(A1301,"前日比率")/100</f>
        <v>#VALUE!</v>
      </c>
      <c r="G1301" s="24" t="str">
        <f>IFERROR(VLOOKUP(A1301,取得元!$A$2:$F$501,2,FALSE),"-")</f>
        <v>-</v>
      </c>
      <c r="H1301" s="24" t="str">
        <f>IFERROR(VLOOKUP(A1301,取得元!$A$2:$F$501,3,FALSE),"-")</f>
        <v>-</v>
      </c>
      <c r="I1301" s="24" t="str">
        <f>IFERROR(VLOOKUP(A1301,取得元!$A$2:$F$501,4,FALSE),"-")</f>
        <v>-</v>
      </c>
      <c r="J1301" s="5" t="str">
        <f>IFERROR(VLOOKUP(A1301,取得元!$A$2:$F$501,5,FALSE),"-")</f>
        <v>-</v>
      </c>
      <c r="K1301" s="25" t="str">
        <f>IFERROR(VLOOKUP(A1301,取得元!$A$2:$F$501,6,FALSE)/100,"-")</f>
        <v>-</v>
      </c>
      <c r="L1301" s="21" t="str">
        <f>_xll.RssMarket(A1301,"始値")</f>
        <v/>
      </c>
      <c r="M1301" s="4" t="e">
        <f t="shared" si="110"/>
        <v>#VALUE!</v>
      </c>
      <c r="N1301" s="21" t="str">
        <f>_xll.RssMarket(A1301,"高値")</f>
        <v/>
      </c>
      <c r="O1301" s="4" t="e">
        <f t="shared" si="111"/>
        <v>#VALUE!</v>
      </c>
      <c r="P1301" s="21" t="str">
        <f>_xll.RssMarket(A1301,"安値")</f>
        <v/>
      </c>
      <c r="Q1301" s="4" t="e">
        <f t="shared" si="112"/>
        <v>#VALUE!</v>
      </c>
      <c r="R1301" s="21" t="str">
        <f>_xll.RssMarket(A1301,"後場始値")</f>
        <v/>
      </c>
      <c r="S1301" s="25" t="str">
        <f t="shared" si="113"/>
        <v>-</v>
      </c>
      <c r="T1301" s="7" t="str">
        <f>_xll.RssMarket(A1301,"出来高加重平均")</f>
        <v/>
      </c>
      <c r="U1301" s="4" t="e">
        <f t="shared" si="114"/>
        <v>#VALUE!</v>
      </c>
      <c r="V1301" s="21" t="str">
        <f>_xll.RssMarket(A1301,"出来高")</f>
        <v/>
      </c>
      <c r="W1301" s="21" t="str">
        <f>_xll.RssMarket(A1301,"売買代金")</f>
        <v/>
      </c>
      <c r="X1301" s="20" t="str">
        <f>_xll.RssMarket(A1301,"決算発表日")</f>
        <v/>
      </c>
      <c r="Y1301" s="26" t="str">
        <f>IF(C1301&gt;_xll.RssMarket(A1301,"年初来高値"),"○","×")</f>
        <v>×</v>
      </c>
      <c r="Z1301" s="27" t="str">
        <f>IF(C1301&lt;=_xll.RssMarket(A1301,"年初来安値"),"○","×")</f>
        <v>○</v>
      </c>
    </row>
    <row r="1302" spans="2:26" x14ac:dyDescent="0.55000000000000004">
      <c r="B1302" s="20" t="str">
        <f>_xll.RssMarket(A1302,"銘柄名称")</f>
        <v/>
      </c>
      <c r="C1302" s="21" t="str">
        <f>_xll.RssMarket(A1302,"現在値")</f>
        <v/>
      </c>
      <c r="D1302" s="20" t="str">
        <f>_xll.RssMarket(A1302,"現在値詳細時刻")</f>
        <v/>
      </c>
      <c r="E1302" s="22" t="str">
        <f>_xll.RssMarket(A1302,"前日比")</f>
        <v/>
      </c>
      <c r="F1302" s="23" t="e">
        <f>_xll.RssMarket(A1302,"前日比率")/100</f>
        <v>#VALUE!</v>
      </c>
      <c r="G1302" s="24" t="str">
        <f>IFERROR(VLOOKUP(A1302,取得元!$A$2:$F$501,2,FALSE),"-")</f>
        <v>-</v>
      </c>
      <c r="H1302" s="24" t="str">
        <f>IFERROR(VLOOKUP(A1302,取得元!$A$2:$F$501,3,FALSE),"-")</f>
        <v>-</v>
      </c>
      <c r="I1302" s="24" t="str">
        <f>IFERROR(VLOOKUP(A1302,取得元!$A$2:$F$501,4,FALSE),"-")</f>
        <v>-</v>
      </c>
      <c r="J1302" s="5" t="str">
        <f>IFERROR(VLOOKUP(A1302,取得元!$A$2:$F$501,5,FALSE),"-")</f>
        <v>-</v>
      </c>
      <c r="K1302" s="25" t="str">
        <f>IFERROR(VLOOKUP(A1302,取得元!$A$2:$F$501,6,FALSE)/100,"-")</f>
        <v>-</v>
      </c>
      <c r="L1302" s="21" t="str">
        <f>_xll.RssMarket(A1302,"始値")</f>
        <v/>
      </c>
      <c r="M1302" s="4" t="e">
        <f t="shared" ref="M1302:M1365" si="115">C1302/L1302-1</f>
        <v>#VALUE!</v>
      </c>
      <c r="N1302" s="21" t="str">
        <f>_xll.RssMarket(A1302,"高値")</f>
        <v/>
      </c>
      <c r="O1302" s="4" t="e">
        <f t="shared" ref="O1302:O1365" si="116">C1302/N1302-1</f>
        <v>#VALUE!</v>
      </c>
      <c r="P1302" s="21" t="str">
        <f>_xll.RssMarket(A1302,"安値")</f>
        <v/>
      </c>
      <c r="Q1302" s="4" t="e">
        <f t="shared" ref="Q1302:Q1365" si="117">C1302/P1302-1</f>
        <v>#VALUE!</v>
      </c>
      <c r="R1302" s="21" t="str">
        <f>_xll.RssMarket(A1302,"後場始値")</f>
        <v/>
      </c>
      <c r="S1302" s="25" t="str">
        <f t="shared" ref="S1302:S1365" si="118">IFERROR(C1302/R1302-1,"-")</f>
        <v>-</v>
      </c>
      <c r="T1302" s="7" t="str">
        <f>_xll.RssMarket(A1302,"出来高加重平均")</f>
        <v/>
      </c>
      <c r="U1302" s="4" t="e">
        <f t="shared" ref="U1302:U1365" si="119">C1302/T1302-1</f>
        <v>#VALUE!</v>
      </c>
      <c r="V1302" s="21" t="str">
        <f>_xll.RssMarket(A1302,"出来高")</f>
        <v/>
      </c>
      <c r="W1302" s="21" t="str">
        <f>_xll.RssMarket(A1302,"売買代金")</f>
        <v/>
      </c>
      <c r="X1302" s="20" t="str">
        <f>_xll.RssMarket(A1302,"決算発表日")</f>
        <v/>
      </c>
      <c r="Y1302" s="26" t="str">
        <f>IF(C1302&gt;_xll.RssMarket(A1302,"年初来高値"),"○","×")</f>
        <v>×</v>
      </c>
      <c r="Z1302" s="27" t="str">
        <f>IF(C1302&lt;=_xll.RssMarket(A1302,"年初来安値"),"○","×")</f>
        <v>○</v>
      </c>
    </row>
    <row r="1303" spans="2:26" x14ac:dyDescent="0.55000000000000004">
      <c r="B1303" s="20" t="str">
        <f>_xll.RssMarket(A1303,"銘柄名称")</f>
        <v/>
      </c>
      <c r="C1303" s="21" t="str">
        <f>_xll.RssMarket(A1303,"現在値")</f>
        <v/>
      </c>
      <c r="D1303" s="20" t="str">
        <f>_xll.RssMarket(A1303,"現在値詳細時刻")</f>
        <v/>
      </c>
      <c r="E1303" s="22" t="str">
        <f>_xll.RssMarket(A1303,"前日比")</f>
        <v/>
      </c>
      <c r="F1303" s="23" t="e">
        <f>_xll.RssMarket(A1303,"前日比率")/100</f>
        <v>#VALUE!</v>
      </c>
      <c r="G1303" s="24" t="str">
        <f>IFERROR(VLOOKUP(A1303,取得元!$A$2:$F$501,2,FALSE),"-")</f>
        <v>-</v>
      </c>
      <c r="H1303" s="24" t="str">
        <f>IFERROR(VLOOKUP(A1303,取得元!$A$2:$F$501,3,FALSE),"-")</f>
        <v>-</v>
      </c>
      <c r="I1303" s="24" t="str">
        <f>IFERROR(VLOOKUP(A1303,取得元!$A$2:$F$501,4,FALSE),"-")</f>
        <v>-</v>
      </c>
      <c r="J1303" s="5" t="str">
        <f>IFERROR(VLOOKUP(A1303,取得元!$A$2:$F$501,5,FALSE),"-")</f>
        <v>-</v>
      </c>
      <c r="K1303" s="25" t="str">
        <f>IFERROR(VLOOKUP(A1303,取得元!$A$2:$F$501,6,FALSE)/100,"-")</f>
        <v>-</v>
      </c>
      <c r="L1303" s="21" t="str">
        <f>_xll.RssMarket(A1303,"始値")</f>
        <v/>
      </c>
      <c r="M1303" s="4" t="e">
        <f t="shared" si="115"/>
        <v>#VALUE!</v>
      </c>
      <c r="N1303" s="21" t="str">
        <f>_xll.RssMarket(A1303,"高値")</f>
        <v/>
      </c>
      <c r="O1303" s="4" t="e">
        <f t="shared" si="116"/>
        <v>#VALUE!</v>
      </c>
      <c r="P1303" s="21" t="str">
        <f>_xll.RssMarket(A1303,"安値")</f>
        <v/>
      </c>
      <c r="Q1303" s="4" t="e">
        <f t="shared" si="117"/>
        <v>#VALUE!</v>
      </c>
      <c r="R1303" s="21" t="str">
        <f>_xll.RssMarket(A1303,"後場始値")</f>
        <v/>
      </c>
      <c r="S1303" s="25" t="str">
        <f t="shared" si="118"/>
        <v>-</v>
      </c>
      <c r="T1303" s="7" t="str">
        <f>_xll.RssMarket(A1303,"出来高加重平均")</f>
        <v/>
      </c>
      <c r="U1303" s="4" t="e">
        <f t="shared" si="119"/>
        <v>#VALUE!</v>
      </c>
      <c r="V1303" s="21" t="str">
        <f>_xll.RssMarket(A1303,"出来高")</f>
        <v/>
      </c>
      <c r="W1303" s="21" t="str">
        <f>_xll.RssMarket(A1303,"売買代金")</f>
        <v/>
      </c>
      <c r="X1303" s="20" t="str">
        <f>_xll.RssMarket(A1303,"決算発表日")</f>
        <v/>
      </c>
      <c r="Y1303" s="26" t="str">
        <f>IF(C1303&gt;_xll.RssMarket(A1303,"年初来高値"),"○","×")</f>
        <v>×</v>
      </c>
      <c r="Z1303" s="27" t="str">
        <f>IF(C1303&lt;=_xll.RssMarket(A1303,"年初来安値"),"○","×")</f>
        <v>○</v>
      </c>
    </row>
    <row r="1304" spans="2:26" x14ac:dyDescent="0.55000000000000004">
      <c r="B1304" s="20" t="str">
        <f>_xll.RssMarket(A1304,"銘柄名称")</f>
        <v/>
      </c>
      <c r="C1304" s="21" t="str">
        <f>_xll.RssMarket(A1304,"現在値")</f>
        <v/>
      </c>
      <c r="D1304" s="20" t="str">
        <f>_xll.RssMarket(A1304,"現在値詳細時刻")</f>
        <v/>
      </c>
      <c r="E1304" s="22" t="str">
        <f>_xll.RssMarket(A1304,"前日比")</f>
        <v/>
      </c>
      <c r="F1304" s="23" t="e">
        <f>_xll.RssMarket(A1304,"前日比率")/100</f>
        <v>#VALUE!</v>
      </c>
      <c r="G1304" s="24" t="str">
        <f>IFERROR(VLOOKUP(A1304,取得元!$A$2:$F$501,2,FALSE),"-")</f>
        <v>-</v>
      </c>
      <c r="H1304" s="24" t="str">
        <f>IFERROR(VLOOKUP(A1304,取得元!$A$2:$F$501,3,FALSE),"-")</f>
        <v>-</v>
      </c>
      <c r="I1304" s="24" t="str">
        <f>IFERROR(VLOOKUP(A1304,取得元!$A$2:$F$501,4,FALSE),"-")</f>
        <v>-</v>
      </c>
      <c r="J1304" s="5" t="str">
        <f>IFERROR(VLOOKUP(A1304,取得元!$A$2:$F$501,5,FALSE),"-")</f>
        <v>-</v>
      </c>
      <c r="K1304" s="25" t="str">
        <f>IFERROR(VLOOKUP(A1304,取得元!$A$2:$F$501,6,FALSE)/100,"-")</f>
        <v>-</v>
      </c>
      <c r="L1304" s="21" t="str">
        <f>_xll.RssMarket(A1304,"始値")</f>
        <v/>
      </c>
      <c r="M1304" s="4" t="e">
        <f t="shared" si="115"/>
        <v>#VALUE!</v>
      </c>
      <c r="N1304" s="21" t="str">
        <f>_xll.RssMarket(A1304,"高値")</f>
        <v/>
      </c>
      <c r="O1304" s="4" t="e">
        <f t="shared" si="116"/>
        <v>#VALUE!</v>
      </c>
      <c r="P1304" s="21" t="str">
        <f>_xll.RssMarket(A1304,"安値")</f>
        <v/>
      </c>
      <c r="Q1304" s="4" t="e">
        <f t="shared" si="117"/>
        <v>#VALUE!</v>
      </c>
      <c r="R1304" s="21" t="str">
        <f>_xll.RssMarket(A1304,"後場始値")</f>
        <v/>
      </c>
      <c r="S1304" s="25" t="str">
        <f t="shared" si="118"/>
        <v>-</v>
      </c>
      <c r="T1304" s="7" t="str">
        <f>_xll.RssMarket(A1304,"出来高加重平均")</f>
        <v/>
      </c>
      <c r="U1304" s="4" t="e">
        <f t="shared" si="119"/>
        <v>#VALUE!</v>
      </c>
      <c r="V1304" s="21" t="str">
        <f>_xll.RssMarket(A1304,"出来高")</f>
        <v/>
      </c>
      <c r="W1304" s="21" t="str">
        <f>_xll.RssMarket(A1304,"売買代金")</f>
        <v/>
      </c>
      <c r="X1304" s="20" t="str">
        <f>_xll.RssMarket(A1304,"決算発表日")</f>
        <v/>
      </c>
      <c r="Y1304" s="26" t="str">
        <f>IF(C1304&gt;_xll.RssMarket(A1304,"年初来高値"),"○","×")</f>
        <v>×</v>
      </c>
      <c r="Z1304" s="27" t="str">
        <f>IF(C1304&lt;=_xll.RssMarket(A1304,"年初来安値"),"○","×")</f>
        <v>○</v>
      </c>
    </row>
    <row r="1305" spans="2:26" x14ac:dyDescent="0.55000000000000004">
      <c r="B1305" s="20" t="str">
        <f>_xll.RssMarket(A1305,"銘柄名称")</f>
        <v/>
      </c>
      <c r="C1305" s="21" t="str">
        <f>_xll.RssMarket(A1305,"現在値")</f>
        <v/>
      </c>
      <c r="D1305" s="20" t="str">
        <f>_xll.RssMarket(A1305,"現在値詳細時刻")</f>
        <v/>
      </c>
      <c r="E1305" s="22" t="str">
        <f>_xll.RssMarket(A1305,"前日比")</f>
        <v/>
      </c>
      <c r="F1305" s="23" t="e">
        <f>_xll.RssMarket(A1305,"前日比率")/100</f>
        <v>#VALUE!</v>
      </c>
      <c r="G1305" s="24" t="str">
        <f>IFERROR(VLOOKUP(A1305,取得元!$A$2:$F$501,2,FALSE),"-")</f>
        <v>-</v>
      </c>
      <c r="H1305" s="24" t="str">
        <f>IFERROR(VLOOKUP(A1305,取得元!$A$2:$F$501,3,FALSE),"-")</f>
        <v>-</v>
      </c>
      <c r="I1305" s="24" t="str">
        <f>IFERROR(VLOOKUP(A1305,取得元!$A$2:$F$501,4,FALSE),"-")</f>
        <v>-</v>
      </c>
      <c r="J1305" s="5" t="str">
        <f>IFERROR(VLOOKUP(A1305,取得元!$A$2:$F$501,5,FALSE),"-")</f>
        <v>-</v>
      </c>
      <c r="K1305" s="25" t="str">
        <f>IFERROR(VLOOKUP(A1305,取得元!$A$2:$F$501,6,FALSE)/100,"-")</f>
        <v>-</v>
      </c>
      <c r="L1305" s="21" t="str">
        <f>_xll.RssMarket(A1305,"始値")</f>
        <v/>
      </c>
      <c r="M1305" s="4" t="e">
        <f t="shared" si="115"/>
        <v>#VALUE!</v>
      </c>
      <c r="N1305" s="21" t="str">
        <f>_xll.RssMarket(A1305,"高値")</f>
        <v/>
      </c>
      <c r="O1305" s="4" t="e">
        <f t="shared" si="116"/>
        <v>#VALUE!</v>
      </c>
      <c r="P1305" s="21" t="str">
        <f>_xll.RssMarket(A1305,"安値")</f>
        <v/>
      </c>
      <c r="Q1305" s="4" t="e">
        <f t="shared" si="117"/>
        <v>#VALUE!</v>
      </c>
      <c r="R1305" s="21" t="str">
        <f>_xll.RssMarket(A1305,"後場始値")</f>
        <v/>
      </c>
      <c r="S1305" s="25" t="str">
        <f t="shared" si="118"/>
        <v>-</v>
      </c>
      <c r="T1305" s="7" t="str">
        <f>_xll.RssMarket(A1305,"出来高加重平均")</f>
        <v/>
      </c>
      <c r="U1305" s="4" t="e">
        <f t="shared" si="119"/>
        <v>#VALUE!</v>
      </c>
      <c r="V1305" s="21" t="str">
        <f>_xll.RssMarket(A1305,"出来高")</f>
        <v/>
      </c>
      <c r="W1305" s="21" t="str">
        <f>_xll.RssMarket(A1305,"売買代金")</f>
        <v/>
      </c>
      <c r="X1305" s="20" t="str">
        <f>_xll.RssMarket(A1305,"決算発表日")</f>
        <v/>
      </c>
      <c r="Y1305" s="26" t="str">
        <f>IF(C1305&gt;_xll.RssMarket(A1305,"年初来高値"),"○","×")</f>
        <v>×</v>
      </c>
      <c r="Z1305" s="27" t="str">
        <f>IF(C1305&lt;=_xll.RssMarket(A1305,"年初来安値"),"○","×")</f>
        <v>○</v>
      </c>
    </row>
    <row r="1306" spans="2:26" x14ac:dyDescent="0.55000000000000004">
      <c r="B1306" s="20" t="str">
        <f>_xll.RssMarket(A1306,"銘柄名称")</f>
        <v/>
      </c>
      <c r="C1306" s="21" t="str">
        <f>_xll.RssMarket(A1306,"現在値")</f>
        <v/>
      </c>
      <c r="D1306" s="20" t="str">
        <f>_xll.RssMarket(A1306,"現在値詳細時刻")</f>
        <v/>
      </c>
      <c r="E1306" s="22" t="str">
        <f>_xll.RssMarket(A1306,"前日比")</f>
        <v/>
      </c>
      <c r="F1306" s="23" t="e">
        <f>_xll.RssMarket(A1306,"前日比率")/100</f>
        <v>#VALUE!</v>
      </c>
      <c r="G1306" s="24" t="str">
        <f>IFERROR(VLOOKUP(A1306,取得元!$A$2:$F$501,2,FALSE),"-")</f>
        <v>-</v>
      </c>
      <c r="H1306" s="24" t="str">
        <f>IFERROR(VLOOKUP(A1306,取得元!$A$2:$F$501,3,FALSE),"-")</f>
        <v>-</v>
      </c>
      <c r="I1306" s="24" t="str">
        <f>IFERROR(VLOOKUP(A1306,取得元!$A$2:$F$501,4,FALSE),"-")</f>
        <v>-</v>
      </c>
      <c r="J1306" s="5" t="str">
        <f>IFERROR(VLOOKUP(A1306,取得元!$A$2:$F$501,5,FALSE),"-")</f>
        <v>-</v>
      </c>
      <c r="K1306" s="25" t="str">
        <f>IFERROR(VLOOKUP(A1306,取得元!$A$2:$F$501,6,FALSE)/100,"-")</f>
        <v>-</v>
      </c>
      <c r="L1306" s="21" t="str">
        <f>_xll.RssMarket(A1306,"始値")</f>
        <v/>
      </c>
      <c r="M1306" s="4" t="e">
        <f t="shared" si="115"/>
        <v>#VALUE!</v>
      </c>
      <c r="N1306" s="21" t="str">
        <f>_xll.RssMarket(A1306,"高値")</f>
        <v/>
      </c>
      <c r="O1306" s="4" t="e">
        <f t="shared" si="116"/>
        <v>#VALUE!</v>
      </c>
      <c r="P1306" s="21" t="str">
        <f>_xll.RssMarket(A1306,"安値")</f>
        <v/>
      </c>
      <c r="Q1306" s="4" t="e">
        <f t="shared" si="117"/>
        <v>#VALUE!</v>
      </c>
      <c r="R1306" s="21" t="str">
        <f>_xll.RssMarket(A1306,"後場始値")</f>
        <v/>
      </c>
      <c r="S1306" s="25" t="str">
        <f t="shared" si="118"/>
        <v>-</v>
      </c>
      <c r="T1306" s="7" t="str">
        <f>_xll.RssMarket(A1306,"出来高加重平均")</f>
        <v/>
      </c>
      <c r="U1306" s="4" t="e">
        <f t="shared" si="119"/>
        <v>#VALUE!</v>
      </c>
      <c r="V1306" s="21" t="str">
        <f>_xll.RssMarket(A1306,"出来高")</f>
        <v/>
      </c>
      <c r="W1306" s="21" t="str">
        <f>_xll.RssMarket(A1306,"売買代金")</f>
        <v/>
      </c>
      <c r="X1306" s="20" t="str">
        <f>_xll.RssMarket(A1306,"決算発表日")</f>
        <v/>
      </c>
      <c r="Y1306" s="26" t="str">
        <f>IF(C1306&gt;_xll.RssMarket(A1306,"年初来高値"),"○","×")</f>
        <v>×</v>
      </c>
      <c r="Z1306" s="27" t="str">
        <f>IF(C1306&lt;=_xll.RssMarket(A1306,"年初来安値"),"○","×")</f>
        <v>○</v>
      </c>
    </row>
    <row r="1307" spans="2:26" x14ac:dyDescent="0.55000000000000004">
      <c r="B1307" s="20" t="str">
        <f>_xll.RssMarket(A1307,"銘柄名称")</f>
        <v/>
      </c>
      <c r="C1307" s="21" t="str">
        <f>_xll.RssMarket(A1307,"現在値")</f>
        <v/>
      </c>
      <c r="D1307" s="20" t="str">
        <f>_xll.RssMarket(A1307,"現在値詳細時刻")</f>
        <v/>
      </c>
      <c r="E1307" s="22" t="str">
        <f>_xll.RssMarket(A1307,"前日比")</f>
        <v/>
      </c>
      <c r="F1307" s="23" t="e">
        <f>_xll.RssMarket(A1307,"前日比率")/100</f>
        <v>#VALUE!</v>
      </c>
      <c r="G1307" s="24" t="str">
        <f>IFERROR(VLOOKUP(A1307,取得元!$A$2:$F$501,2,FALSE),"-")</f>
        <v>-</v>
      </c>
      <c r="H1307" s="24" t="str">
        <f>IFERROR(VLOOKUP(A1307,取得元!$A$2:$F$501,3,FALSE),"-")</f>
        <v>-</v>
      </c>
      <c r="I1307" s="24" t="str">
        <f>IFERROR(VLOOKUP(A1307,取得元!$A$2:$F$501,4,FALSE),"-")</f>
        <v>-</v>
      </c>
      <c r="J1307" s="5" t="str">
        <f>IFERROR(VLOOKUP(A1307,取得元!$A$2:$F$501,5,FALSE),"-")</f>
        <v>-</v>
      </c>
      <c r="K1307" s="25" t="str">
        <f>IFERROR(VLOOKUP(A1307,取得元!$A$2:$F$501,6,FALSE)/100,"-")</f>
        <v>-</v>
      </c>
      <c r="L1307" s="21" t="str">
        <f>_xll.RssMarket(A1307,"始値")</f>
        <v/>
      </c>
      <c r="M1307" s="4" t="e">
        <f t="shared" si="115"/>
        <v>#VALUE!</v>
      </c>
      <c r="N1307" s="21" t="str">
        <f>_xll.RssMarket(A1307,"高値")</f>
        <v/>
      </c>
      <c r="O1307" s="4" t="e">
        <f t="shared" si="116"/>
        <v>#VALUE!</v>
      </c>
      <c r="P1307" s="21" t="str">
        <f>_xll.RssMarket(A1307,"安値")</f>
        <v/>
      </c>
      <c r="Q1307" s="4" t="e">
        <f t="shared" si="117"/>
        <v>#VALUE!</v>
      </c>
      <c r="R1307" s="21" t="str">
        <f>_xll.RssMarket(A1307,"後場始値")</f>
        <v/>
      </c>
      <c r="S1307" s="25" t="str">
        <f t="shared" si="118"/>
        <v>-</v>
      </c>
      <c r="T1307" s="7" t="str">
        <f>_xll.RssMarket(A1307,"出来高加重平均")</f>
        <v/>
      </c>
      <c r="U1307" s="4" t="e">
        <f t="shared" si="119"/>
        <v>#VALUE!</v>
      </c>
      <c r="V1307" s="21" t="str">
        <f>_xll.RssMarket(A1307,"出来高")</f>
        <v/>
      </c>
      <c r="W1307" s="21" t="str">
        <f>_xll.RssMarket(A1307,"売買代金")</f>
        <v/>
      </c>
      <c r="X1307" s="20" t="str">
        <f>_xll.RssMarket(A1307,"決算発表日")</f>
        <v/>
      </c>
      <c r="Y1307" s="26" t="str">
        <f>IF(C1307&gt;_xll.RssMarket(A1307,"年初来高値"),"○","×")</f>
        <v>×</v>
      </c>
      <c r="Z1307" s="27" t="str">
        <f>IF(C1307&lt;=_xll.RssMarket(A1307,"年初来安値"),"○","×")</f>
        <v>○</v>
      </c>
    </row>
    <row r="1308" spans="2:26" x14ac:dyDescent="0.55000000000000004">
      <c r="B1308" s="20" t="str">
        <f>_xll.RssMarket(A1308,"銘柄名称")</f>
        <v/>
      </c>
      <c r="C1308" s="21" t="str">
        <f>_xll.RssMarket(A1308,"現在値")</f>
        <v/>
      </c>
      <c r="D1308" s="20" t="str">
        <f>_xll.RssMarket(A1308,"現在値詳細時刻")</f>
        <v/>
      </c>
      <c r="E1308" s="22" t="str">
        <f>_xll.RssMarket(A1308,"前日比")</f>
        <v/>
      </c>
      <c r="F1308" s="23" t="e">
        <f>_xll.RssMarket(A1308,"前日比率")/100</f>
        <v>#VALUE!</v>
      </c>
      <c r="G1308" s="24" t="str">
        <f>IFERROR(VLOOKUP(A1308,取得元!$A$2:$F$501,2,FALSE),"-")</f>
        <v>-</v>
      </c>
      <c r="H1308" s="24" t="str">
        <f>IFERROR(VLOOKUP(A1308,取得元!$A$2:$F$501,3,FALSE),"-")</f>
        <v>-</v>
      </c>
      <c r="I1308" s="24" t="str">
        <f>IFERROR(VLOOKUP(A1308,取得元!$A$2:$F$501,4,FALSE),"-")</f>
        <v>-</v>
      </c>
      <c r="J1308" s="5" t="str">
        <f>IFERROR(VLOOKUP(A1308,取得元!$A$2:$F$501,5,FALSE),"-")</f>
        <v>-</v>
      </c>
      <c r="K1308" s="25" t="str">
        <f>IFERROR(VLOOKUP(A1308,取得元!$A$2:$F$501,6,FALSE)/100,"-")</f>
        <v>-</v>
      </c>
      <c r="L1308" s="21" t="str">
        <f>_xll.RssMarket(A1308,"始値")</f>
        <v/>
      </c>
      <c r="M1308" s="4" t="e">
        <f t="shared" si="115"/>
        <v>#VALUE!</v>
      </c>
      <c r="N1308" s="21" t="str">
        <f>_xll.RssMarket(A1308,"高値")</f>
        <v/>
      </c>
      <c r="O1308" s="4" t="e">
        <f t="shared" si="116"/>
        <v>#VALUE!</v>
      </c>
      <c r="P1308" s="21" t="str">
        <f>_xll.RssMarket(A1308,"安値")</f>
        <v/>
      </c>
      <c r="Q1308" s="4" t="e">
        <f t="shared" si="117"/>
        <v>#VALUE!</v>
      </c>
      <c r="R1308" s="21" t="str">
        <f>_xll.RssMarket(A1308,"後場始値")</f>
        <v/>
      </c>
      <c r="S1308" s="25" t="str">
        <f t="shared" si="118"/>
        <v>-</v>
      </c>
      <c r="T1308" s="7" t="str">
        <f>_xll.RssMarket(A1308,"出来高加重平均")</f>
        <v/>
      </c>
      <c r="U1308" s="4" t="e">
        <f t="shared" si="119"/>
        <v>#VALUE!</v>
      </c>
      <c r="V1308" s="21" t="str">
        <f>_xll.RssMarket(A1308,"出来高")</f>
        <v/>
      </c>
      <c r="W1308" s="21" t="str">
        <f>_xll.RssMarket(A1308,"売買代金")</f>
        <v/>
      </c>
      <c r="X1308" s="20" t="str">
        <f>_xll.RssMarket(A1308,"決算発表日")</f>
        <v/>
      </c>
      <c r="Y1308" s="26" t="str">
        <f>IF(C1308&gt;_xll.RssMarket(A1308,"年初来高値"),"○","×")</f>
        <v>×</v>
      </c>
      <c r="Z1308" s="27" t="str">
        <f>IF(C1308&lt;=_xll.RssMarket(A1308,"年初来安値"),"○","×")</f>
        <v>○</v>
      </c>
    </row>
    <row r="1309" spans="2:26" x14ac:dyDescent="0.55000000000000004">
      <c r="B1309" s="20" t="str">
        <f>_xll.RssMarket(A1309,"銘柄名称")</f>
        <v/>
      </c>
      <c r="C1309" s="21" t="str">
        <f>_xll.RssMarket(A1309,"現在値")</f>
        <v/>
      </c>
      <c r="D1309" s="20" t="str">
        <f>_xll.RssMarket(A1309,"現在値詳細時刻")</f>
        <v/>
      </c>
      <c r="E1309" s="22" t="str">
        <f>_xll.RssMarket(A1309,"前日比")</f>
        <v/>
      </c>
      <c r="F1309" s="23" t="e">
        <f>_xll.RssMarket(A1309,"前日比率")/100</f>
        <v>#VALUE!</v>
      </c>
      <c r="G1309" s="24" t="str">
        <f>IFERROR(VLOOKUP(A1309,取得元!$A$2:$F$501,2,FALSE),"-")</f>
        <v>-</v>
      </c>
      <c r="H1309" s="24" t="str">
        <f>IFERROR(VLOOKUP(A1309,取得元!$A$2:$F$501,3,FALSE),"-")</f>
        <v>-</v>
      </c>
      <c r="I1309" s="24" t="str">
        <f>IFERROR(VLOOKUP(A1309,取得元!$A$2:$F$501,4,FALSE),"-")</f>
        <v>-</v>
      </c>
      <c r="J1309" s="5" t="str">
        <f>IFERROR(VLOOKUP(A1309,取得元!$A$2:$F$501,5,FALSE),"-")</f>
        <v>-</v>
      </c>
      <c r="K1309" s="25" t="str">
        <f>IFERROR(VLOOKUP(A1309,取得元!$A$2:$F$501,6,FALSE)/100,"-")</f>
        <v>-</v>
      </c>
      <c r="L1309" s="21" t="str">
        <f>_xll.RssMarket(A1309,"始値")</f>
        <v/>
      </c>
      <c r="M1309" s="4" t="e">
        <f t="shared" si="115"/>
        <v>#VALUE!</v>
      </c>
      <c r="N1309" s="21" t="str">
        <f>_xll.RssMarket(A1309,"高値")</f>
        <v/>
      </c>
      <c r="O1309" s="4" t="e">
        <f t="shared" si="116"/>
        <v>#VALUE!</v>
      </c>
      <c r="P1309" s="21" t="str">
        <f>_xll.RssMarket(A1309,"安値")</f>
        <v/>
      </c>
      <c r="Q1309" s="4" t="e">
        <f t="shared" si="117"/>
        <v>#VALUE!</v>
      </c>
      <c r="R1309" s="21" t="str">
        <f>_xll.RssMarket(A1309,"後場始値")</f>
        <v/>
      </c>
      <c r="S1309" s="25" t="str">
        <f t="shared" si="118"/>
        <v>-</v>
      </c>
      <c r="T1309" s="7" t="str">
        <f>_xll.RssMarket(A1309,"出来高加重平均")</f>
        <v/>
      </c>
      <c r="U1309" s="4" t="e">
        <f t="shared" si="119"/>
        <v>#VALUE!</v>
      </c>
      <c r="V1309" s="21" t="str">
        <f>_xll.RssMarket(A1309,"出来高")</f>
        <v/>
      </c>
      <c r="W1309" s="21" t="str">
        <f>_xll.RssMarket(A1309,"売買代金")</f>
        <v/>
      </c>
      <c r="X1309" s="20" t="str">
        <f>_xll.RssMarket(A1309,"決算発表日")</f>
        <v/>
      </c>
      <c r="Y1309" s="26" t="str">
        <f>IF(C1309&gt;_xll.RssMarket(A1309,"年初来高値"),"○","×")</f>
        <v>×</v>
      </c>
      <c r="Z1309" s="27" t="str">
        <f>IF(C1309&lt;=_xll.RssMarket(A1309,"年初来安値"),"○","×")</f>
        <v>○</v>
      </c>
    </row>
    <row r="1310" spans="2:26" x14ac:dyDescent="0.55000000000000004">
      <c r="B1310" s="20" t="str">
        <f>_xll.RssMarket(A1310,"銘柄名称")</f>
        <v/>
      </c>
      <c r="C1310" s="21" t="str">
        <f>_xll.RssMarket(A1310,"現在値")</f>
        <v/>
      </c>
      <c r="D1310" s="20" t="str">
        <f>_xll.RssMarket(A1310,"現在値詳細時刻")</f>
        <v/>
      </c>
      <c r="E1310" s="22" t="str">
        <f>_xll.RssMarket(A1310,"前日比")</f>
        <v/>
      </c>
      <c r="F1310" s="23" t="e">
        <f>_xll.RssMarket(A1310,"前日比率")/100</f>
        <v>#VALUE!</v>
      </c>
      <c r="G1310" s="24" t="str">
        <f>IFERROR(VLOOKUP(A1310,取得元!$A$2:$F$501,2,FALSE),"-")</f>
        <v>-</v>
      </c>
      <c r="H1310" s="24" t="str">
        <f>IFERROR(VLOOKUP(A1310,取得元!$A$2:$F$501,3,FALSE),"-")</f>
        <v>-</v>
      </c>
      <c r="I1310" s="24" t="str">
        <f>IFERROR(VLOOKUP(A1310,取得元!$A$2:$F$501,4,FALSE),"-")</f>
        <v>-</v>
      </c>
      <c r="J1310" s="5" t="str">
        <f>IFERROR(VLOOKUP(A1310,取得元!$A$2:$F$501,5,FALSE),"-")</f>
        <v>-</v>
      </c>
      <c r="K1310" s="25" t="str">
        <f>IFERROR(VLOOKUP(A1310,取得元!$A$2:$F$501,6,FALSE)/100,"-")</f>
        <v>-</v>
      </c>
      <c r="L1310" s="21" t="str">
        <f>_xll.RssMarket(A1310,"始値")</f>
        <v/>
      </c>
      <c r="M1310" s="4" t="e">
        <f t="shared" si="115"/>
        <v>#VALUE!</v>
      </c>
      <c r="N1310" s="21" t="str">
        <f>_xll.RssMarket(A1310,"高値")</f>
        <v/>
      </c>
      <c r="O1310" s="4" t="e">
        <f t="shared" si="116"/>
        <v>#VALUE!</v>
      </c>
      <c r="P1310" s="21" t="str">
        <f>_xll.RssMarket(A1310,"安値")</f>
        <v/>
      </c>
      <c r="Q1310" s="4" t="e">
        <f t="shared" si="117"/>
        <v>#VALUE!</v>
      </c>
      <c r="R1310" s="21" t="str">
        <f>_xll.RssMarket(A1310,"後場始値")</f>
        <v/>
      </c>
      <c r="S1310" s="25" t="str">
        <f t="shared" si="118"/>
        <v>-</v>
      </c>
      <c r="T1310" s="7" t="str">
        <f>_xll.RssMarket(A1310,"出来高加重平均")</f>
        <v/>
      </c>
      <c r="U1310" s="4" t="e">
        <f t="shared" si="119"/>
        <v>#VALUE!</v>
      </c>
      <c r="V1310" s="21" t="str">
        <f>_xll.RssMarket(A1310,"出来高")</f>
        <v/>
      </c>
      <c r="W1310" s="21" t="str">
        <f>_xll.RssMarket(A1310,"売買代金")</f>
        <v/>
      </c>
      <c r="X1310" s="20" t="str">
        <f>_xll.RssMarket(A1310,"決算発表日")</f>
        <v/>
      </c>
      <c r="Y1310" s="26" t="str">
        <f>IF(C1310&gt;_xll.RssMarket(A1310,"年初来高値"),"○","×")</f>
        <v>×</v>
      </c>
      <c r="Z1310" s="27" t="str">
        <f>IF(C1310&lt;=_xll.RssMarket(A1310,"年初来安値"),"○","×")</f>
        <v>○</v>
      </c>
    </row>
    <row r="1311" spans="2:26" x14ac:dyDescent="0.55000000000000004">
      <c r="B1311" s="20" t="str">
        <f>_xll.RssMarket(A1311,"銘柄名称")</f>
        <v/>
      </c>
      <c r="C1311" s="21" t="str">
        <f>_xll.RssMarket(A1311,"現在値")</f>
        <v/>
      </c>
      <c r="D1311" s="20" t="str">
        <f>_xll.RssMarket(A1311,"現在値詳細時刻")</f>
        <v/>
      </c>
      <c r="E1311" s="22" t="str">
        <f>_xll.RssMarket(A1311,"前日比")</f>
        <v/>
      </c>
      <c r="F1311" s="23" t="e">
        <f>_xll.RssMarket(A1311,"前日比率")/100</f>
        <v>#VALUE!</v>
      </c>
      <c r="G1311" s="24" t="str">
        <f>IFERROR(VLOOKUP(A1311,取得元!$A$2:$F$501,2,FALSE),"-")</f>
        <v>-</v>
      </c>
      <c r="H1311" s="24" t="str">
        <f>IFERROR(VLOOKUP(A1311,取得元!$A$2:$F$501,3,FALSE),"-")</f>
        <v>-</v>
      </c>
      <c r="I1311" s="24" t="str">
        <f>IFERROR(VLOOKUP(A1311,取得元!$A$2:$F$501,4,FALSE),"-")</f>
        <v>-</v>
      </c>
      <c r="J1311" s="5" t="str">
        <f>IFERROR(VLOOKUP(A1311,取得元!$A$2:$F$501,5,FALSE),"-")</f>
        <v>-</v>
      </c>
      <c r="K1311" s="25" t="str">
        <f>IFERROR(VLOOKUP(A1311,取得元!$A$2:$F$501,6,FALSE)/100,"-")</f>
        <v>-</v>
      </c>
      <c r="L1311" s="21" t="str">
        <f>_xll.RssMarket(A1311,"始値")</f>
        <v/>
      </c>
      <c r="M1311" s="4" t="e">
        <f t="shared" si="115"/>
        <v>#VALUE!</v>
      </c>
      <c r="N1311" s="21" t="str">
        <f>_xll.RssMarket(A1311,"高値")</f>
        <v/>
      </c>
      <c r="O1311" s="4" t="e">
        <f t="shared" si="116"/>
        <v>#VALUE!</v>
      </c>
      <c r="P1311" s="21" t="str">
        <f>_xll.RssMarket(A1311,"安値")</f>
        <v/>
      </c>
      <c r="Q1311" s="4" t="e">
        <f t="shared" si="117"/>
        <v>#VALUE!</v>
      </c>
      <c r="R1311" s="21" t="str">
        <f>_xll.RssMarket(A1311,"後場始値")</f>
        <v/>
      </c>
      <c r="S1311" s="25" t="str">
        <f t="shared" si="118"/>
        <v>-</v>
      </c>
      <c r="T1311" s="7" t="str">
        <f>_xll.RssMarket(A1311,"出来高加重平均")</f>
        <v/>
      </c>
      <c r="U1311" s="4" t="e">
        <f t="shared" si="119"/>
        <v>#VALUE!</v>
      </c>
      <c r="V1311" s="21" t="str">
        <f>_xll.RssMarket(A1311,"出来高")</f>
        <v/>
      </c>
      <c r="W1311" s="21" t="str">
        <f>_xll.RssMarket(A1311,"売買代金")</f>
        <v/>
      </c>
      <c r="X1311" s="20" t="str">
        <f>_xll.RssMarket(A1311,"決算発表日")</f>
        <v/>
      </c>
      <c r="Y1311" s="26" t="str">
        <f>IF(C1311&gt;_xll.RssMarket(A1311,"年初来高値"),"○","×")</f>
        <v>×</v>
      </c>
      <c r="Z1311" s="27" t="str">
        <f>IF(C1311&lt;=_xll.RssMarket(A1311,"年初来安値"),"○","×")</f>
        <v>○</v>
      </c>
    </row>
    <row r="1312" spans="2:26" x14ac:dyDescent="0.55000000000000004">
      <c r="B1312" s="20" t="str">
        <f>_xll.RssMarket(A1312,"銘柄名称")</f>
        <v/>
      </c>
      <c r="C1312" s="21" t="str">
        <f>_xll.RssMarket(A1312,"現在値")</f>
        <v/>
      </c>
      <c r="D1312" s="20" t="str">
        <f>_xll.RssMarket(A1312,"現在値詳細時刻")</f>
        <v/>
      </c>
      <c r="E1312" s="22" t="str">
        <f>_xll.RssMarket(A1312,"前日比")</f>
        <v/>
      </c>
      <c r="F1312" s="23" t="e">
        <f>_xll.RssMarket(A1312,"前日比率")/100</f>
        <v>#VALUE!</v>
      </c>
      <c r="G1312" s="24" t="str">
        <f>IFERROR(VLOOKUP(A1312,取得元!$A$2:$F$501,2,FALSE),"-")</f>
        <v>-</v>
      </c>
      <c r="H1312" s="24" t="str">
        <f>IFERROR(VLOOKUP(A1312,取得元!$A$2:$F$501,3,FALSE),"-")</f>
        <v>-</v>
      </c>
      <c r="I1312" s="24" t="str">
        <f>IFERROR(VLOOKUP(A1312,取得元!$A$2:$F$501,4,FALSE),"-")</f>
        <v>-</v>
      </c>
      <c r="J1312" s="5" t="str">
        <f>IFERROR(VLOOKUP(A1312,取得元!$A$2:$F$501,5,FALSE),"-")</f>
        <v>-</v>
      </c>
      <c r="K1312" s="25" t="str">
        <f>IFERROR(VLOOKUP(A1312,取得元!$A$2:$F$501,6,FALSE)/100,"-")</f>
        <v>-</v>
      </c>
      <c r="L1312" s="21" t="str">
        <f>_xll.RssMarket(A1312,"始値")</f>
        <v/>
      </c>
      <c r="M1312" s="4" t="e">
        <f t="shared" si="115"/>
        <v>#VALUE!</v>
      </c>
      <c r="N1312" s="21" t="str">
        <f>_xll.RssMarket(A1312,"高値")</f>
        <v/>
      </c>
      <c r="O1312" s="4" t="e">
        <f t="shared" si="116"/>
        <v>#VALUE!</v>
      </c>
      <c r="P1312" s="21" t="str">
        <f>_xll.RssMarket(A1312,"安値")</f>
        <v/>
      </c>
      <c r="Q1312" s="4" t="e">
        <f t="shared" si="117"/>
        <v>#VALUE!</v>
      </c>
      <c r="R1312" s="21" t="str">
        <f>_xll.RssMarket(A1312,"後場始値")</f>
        <v/>
      </c>
      <c r="S1312" s="25" t="str">
        <f t="shared" si="118"/>
        <v>-</v>
      </c>
      <c r="T1312" s="7" t="str">
        <f>_xll.RssMarket(A1312,"出来高加重平均")</f>
        <v/>
      </c>
      <c r="U1312" s="4" t="e">
        <f t="shared" si="119"/>
        <v>#VALUE!</v>
      </c>
      <c r="V1312" s="21" t="str">
        <f>_xll.RssMarket(A1312,"出来高")</f>
        <v/>
      </c>
      <c r="W1312" s="21" t="str">
        <f>_xll.RssMarket(A1312,"売買代金")</f>
        <v/>
      </c>
      <c r="X1312" s="20" t="str">
        <f>_xll.RssMarket(A1312,"決算発表日")</f>
        <v/>
      </c>
      <c r="Y1312" s="26" t="str">
        <f>IF(C1312&gt;_xll.RssMarket(A1312,"年初来高値"),"○","×")</f>
        <v>×</v>
      </c>
      <c r="Z1312" s="27" t="str">
        <f>IF(C1312&lt;=_xll.RssMarket(A1312,"年初来安値"),"○","×")</f>
        <v>○</v>
      </c>
    </row>
    <row r="1313" spans="2:26" x14ac:dyDescent="0.55000000000000004">
      <c r="B1313" s="20" t="str">
        <f>_xll.RssMarket(A1313,"銘柄名称")</f>
        <v/>
      </c>
      <c r="C1313" s="21" t="str">
        <f>_xll.RssMarket(A1313,"現在値")</f>
        <v/>
      </c>
      <c r="D1313" s="20" t="str">
        <f>_xll.RssMarket(A1313,"現在値詳細時刻")</f>
        <v/>
      </c>
      <c r="E1313" s="22" t="str">
        <f>_xll.RssMarket(A1313,"前日比")</f>
        <v/>
      </c>
      <c r="F1313" s="23" t="e">
        <f>_xll.RssMarket(A1313,"前日比率")/100</f>
        <v>#VALUE!</v>
      </c>
      <c r="G1313" s="24" t="str">
        <f>IFERROR(VLOOKUP(A1313,取得元!$A$2:$F$501,2,FALSE),"-")</f>
        <v>-</v>
      </c>
      <c r="H1313" s="24" t="str">
        <f>IFERROR(VLOOKUP(A1313,取得元!$A$2:$F$501,3,FALSE),"-")</f>
        <v>-</v>
      </c>
      <c r="I1313" s="24" t="str">
        <f>IFERROR(VLOOKUP(A1313,取得元!$A$2:$F$501,4,FALSE),"-")</f>
        <v>-</v>
      </c>
      <c r="J1313" s="5" t="str">
        <f>IFERROR(VLOOKUP(A1313,取得元!$A$2:$F$501,5,FALSE),"-")</f>
        <v>-</v>
      </c>
      <c r="K1313" s="25" t="str">
        <f>IFERROR(VLOOKUP(A1313,取得元!$A$2:$F$501,6,FALSE)/100,"-")</f>
        <v>-</v>
      </c>
      <c r="L1313" s="21" t="str">
        <f>_xll.RssMarket(A1313,"始値")</f>
        <v/>
      </c>
      <c r="M1313" s="4" t="e">
        <f t="shared" si="115"/>
        <v>#VALUE!</v>
      </c>
      <c r="N1313" s="21" t="str">
        <f>_xll.RssMarket(A1313,"高値")</f>
        <v/>
      </c>
      <c r="O1313" s="4" t="e">
        <f t="shared" si="116"/>
        <v>#VALUE!</v>
      </c>
      <c r="P1313" s="21" t="str">
        <f>_xll.RssMarket(A1313,"安値")</f>
        <v/>
      </c>
      <c r="Q1313" s="4" t="e">
        <f t="shared" si="117"/>
        <v>#VALUE!</v>
      </c>
      <c r="R1313" s="21" t="str">
        <f>_xll.RssMarket(A1313,"後場始値")</f>
        <v/>
      </c>
      <c r="S1313" s="25" t="str">
        <f t="shared" si="118"/>
        <v>-</v>
      </c>
      <c r="T1313" s="7" t="str">
        <f>_xll.RssMarket(A1313,"出来高加重平均")</f>
        <v/>
      </c>
      <c r="U1313" s="4" t="e">
        <f t="shared" si="119"/>
        <v>#VALUE!</v>
      </c>
      <c r="V1313" s="21" t="str">
        <f>_xll.RssMarket(A1313,"出来高")</f>
        <v/>
      </c>
      <c r="W1313" s="21" t="str">
        <f>_xll.RssMarket(A1313,"売買代金")</f>
        <v/>
      </c>
      <c r="X1313" s="20" t="str">
        <f>_xll.RssMarket(A1313,"決算発表日")</f>
        <v/>
      </c>
      <c r="Y1313" s="26" t="str">
        <f>IF(C1313&gt;_xll.RssMarket(A1313,"年初来高値"),"○","×")</f>
        <v>×</v>
      </c>
      <c r="Z1313" s="27" t="str">
        <f>IF(C1313&lt;=_xll.RssMarket(A1313,"年初来安値"),"○","×")</f>
        <v>○</v>
      </c>
    </row>
    <row r="1314" spans="2:26" x14ac:dyDescent="0.55000000000000004">
      <c r="B1314" s="20" t="str">
        <f>_xll.RssMarket(A1314,"銘柄名称")</f>
        <v/>
      </c>
      <c r="C1314" s="21" t="str">
        <f>_xll.RssMarket(A1314,"現在値")</f>
        <v/>
      </c>
      <c r="D1314" s="20" t="str">
        <f>_xll.RssMarket(A1314,"現在値詳細時刻")</f>
        <v/>
      </c>
      <c r="E1314" s="22" t="str">
        <f>_xll.RssMarket(A1314,"前日比")</f>
        <v/>
      </c>
      <c r="F1314" s="23" t="e">
        <f>_xll.RssMarket(A1314,"前日比率")/100</f>
        <v>#VALUE!</v>
      </c>
      <c r="G1314" s="24" t="str">
        <f>IFERROR(VLOOKUP(A1314,取得元!$A$2:$F$501,2,FALSE),"-")</f>
        <v>-</v>
      </c>
      <c r="H1314" s="24" t="str">
        <f>IFERROR(VLOOKUP(A1314,取得元!$A$2:$F$501,3,FALSE),"-")</f>
        <v>-</v>
      </c>
      <c r="I1314" s="24" t="str">
        <f>IFERROR(VLOOKUP(A1314,取得元!$A$2:$F$501,4,FALSE),"-")</f>
        <v>-</v>
      </c>
      <c r="J1314" s="5" t="str">
        <f>IFERROR(VLOOKUP(A1314,取得元!$A$2:$F$501,5,FALSE),"-")</f>
        <v>-</v>
      </c>
      <c r="K1314" s="25" t="str">
        <f>IFERROR(VLOOKUP(A1314,取得元!$A$2:$F$501,6,FALSE)/100,"-")</f>
        <v>-</v>
      </c>
      <c r="L1314" s="21" t="str">
        <f>_xll.RssMarket(A1314,"始値")</f>
        <v/>
      </c>
      <c r="M1314" s="4" t="e">
        <f t="shared" si="115"/>
        <v>#VALUE!</v>
      </c>
      <c r="N1314" s="21" t="str">
        <f>_xll.RssMarket(A1314,"高値")</f>
        <v/>
      </c>
      <c r="O1314" s="4" t="e">
        <f t="shared" si="116"/>
        <v>#VALUE!</v>
      </c>
      <c r="P1314" s="21" t="str">
        <f>_xll.RssMarket(A1314,"安値")</f>
        <v/>
      </c>
      <c r="Q1314" s="4" t="e">
        <f t="shared" si="117"/>
        <v>#VALUE!</v>
      </c>
      <c r="R1314" s="21" t="str">
        <f>_xll.RssMarket(A1314,"後場始値")</f>
        <v/>
      </c>
      <c r="S1314" s="25" t="str">
        <f t="shared" si="118"/>
        <v>-</v>
      </c>
      <c r="T1314" s="7" t="str">
        <f>_xll.RssMarket(A1314,"出来高加重平均")</f>
        <v/>
      </c>
      <c r="U1314" s="4" t="e">
        <f t="shared" si="119"/>
        <v>#VALUE!</v>
      </c>
      <c r="V1314" s="21" t="str">
        <f>_xll.RssMarket(A1314,"出来高")</f>
        <v/>
      </c>
      <c r="W1314" s="21" t="str">
        <f>_xll.RssMarket(A1314,"売買代金")</f>
        <v/>
      </c>
      <c r="X1314" s="20" t="str">
        <f>_xll.RssMarket(A1314,"決算発表日")</f>
        <v/>
      </c>
      <c r="Y1314" s="26" t="str">
        <f>IF(C1314&gt;_xll.RssMarket(A1314,"年初来高値"),"○","×")</f>
        <v>×</v>
      </c>
      <c r="Z1314" s="27" t="str">
        <f>IF(C1314&lt;=_xll.RssMarket(A1314,"年初来安値"),"○","×")</f>
        <v>○</v>
      </c>
    </row>
    <row r="1315" spans="2:26" x14ac:dyDescent="0.55000000000000004">
      <c r="B1315" s="20" t="str">
        <f>_xll.RssMarket(A1315,"銘柄名称")</f>
        <v/>
      </c>
      <c r="C1315" s="21" t="str">
        <f>_xll.RssMarket(A1315,"現在値")</f>
        <v/>
      </c>
      <c r="D1315" s="20" t="str">
        <f>_xll.RssMarket(A1315,"現在値詳細時刻")</f>
        <v/>
      </c>
      <c r="E1315" s="22" t="str">
        <f>_xll.RssMarket(A1315,"前日比")</f>
        <v/>
      </c>
      <c r="F1315" s="23" t="e">
        <f>_xll.RssMarket(A1315,"前日比率")/100</f>
        <v>#VALUE!</v>
      </c>
      <c r="G1315" s="24" t="str">
        <f>IFERROR(VLOOKUP(A1315,取得元!$A$2:$F$501,2,FALSE),"-")</f>
        <v>-</v>
      </c>
      <c r="H1315" s="24" t="str">
        <f>IFERROR(VLOOKUP(A1315,取得元!$A$2:$F$501,3,FALSE),"-")</f>
        <v>-</v>
      </c>
      <c r="I1315" s="24" t="str">
        <f>IFERROR(VLOOKUP(A1315,取得元!$A$2:$F$501,4,FALSE),"-")</f>
        <v>-</v>
      </c>
      <c r="J1315" s="5" t="str">
        <f>IFERROR(VLOOKUP(A1315,取得元!$A$2:$F$501,5,FALSE),"-")</f>
        <v>-</v>
      </c>
      <c r="K1315" s="25" t="str">
        <f>IFERROR(VLOOKUP(A1315,取得元!$A$2:$F$501,6,FALSE)/100,"-")</f>
        <v>-</v>
      </c>
      <c r="L1315" s="21" t="str">
        <f>_xll.RssMarket(A1315,"始値")</f>
        <v/>
      </c>
      <c r="M1315" s="4" t="e">
        <f t="shared" si="115"/>
        <v>#VALUE!</v>
      </c>
      <c r="N1315" s="21" t="str">
        <f>_xll.RssMarket(A1315,"高値")</f>
        <v/>
      </c>
      <c r="O1315" s="4" t="e">
        <f t="shared" si="116"/>
        <v>#VALUE!</v>
      </c>
      <c r="P1315" s="21" t="str">
        <f>_xll.RssMarket(A1315,"安値")</f>
        <v/>
      </c>
      <c r="Q1315" s="4" t="e">
        <f t="shared" si="117"/>
        <v>#VALUE!</v>
      </c>
      <c r="R1315" s="21" t="str">
        <f>_xll.RssMarket(A1315,"後場始値")</f>
        <v/>
      </c>
      <c r="S1315" s="25" t="str">
        <f t="shared" si="118"/>
        <v>-</v>
      </c>
      <c r="T1315" s="7" t="str">
        <f>_xll.RssMarket(A1315,"出来高加重平均")</f>
        <v/>
      </c>
      <c r="U1315" s="4" t="e">
        <f t="shared" si="119"/>
        <v>#VALUE!</v>
      </c>
      <c r="V1315" s="21" t="str">
        <f>_xll.RssMarket(A1315,"出来高")</f>
        <v/>
      </c>
      <c r="W1315" s="21" t="str">
        <f>_xll.RssMarket(A1315,"売買代金")</f>
        <v/>
      </c>
      <c r="X1315" s="20" t="str">
        <f>_xll.RssMarket(A1315,"決算発表日")</f>
        <v/>
      </c>
      <c r="Y1315" s="26" t="str">
        <f>IF(C1315&gt;_xll.RssMarket(A1315,"年初来高値"),"○","×")</f>
        <v>×</v>
      </c>
      <c r="Z1315" s="27" t="str">
        <f>IF(C1315&lt;=_xll.RssMarket(A1315,"年初来安値"),"○","×")</f>
        <v>○</v>
      </c>
    </row>
    <row r="1316" spans="2:26" x14ac:dyDescent="0.55000000000000004">
      <c r="B1316" s="20" t="str">
        <f>_xll.RssMarket(A1316,"銘柄名称")</f>
        <v/>
      </c>
      <c r="C1316" s="21" t="str">
        <f>_xll.RssMarket(A1316,"現在値")</f>
        <v/>
      </c>
      <c r="D1316" s="20" t="str">
        <f>_xll.RssMarket(A1316,"現在値詳細時刻")</f>
        <v/>
      </c>
      <c r="E1316" s="22" t="str">
        <f>_xll.RssMarket(A1316,"前日比")</f>
        <v/>
      </c>
      <c r="F1316" s="23" t="e">
        <f>_xll.RssMarket(A1316,"前日比率")/100</f>
        <v>#VALUE!</v>
      </c>
      <c r="G1316" s="24" t="str">
        <f>IFERROR(VLOOKUP(A1316,取得元!$A$2:$F$501,2,FALSE),"-")</f>
        <v>-</v>
      </c>
      <c r="H1316" s="24" t="str">
        <f>IFERROR(VLOOKUP(A1316,取得元!$A$2:$F$501,3,FALSE),"-")</f>
        <v>-</v>
      </c>
      <c r="I1316" s="24" t="str">
        <f>IFERROR(VLOOKUP(A1316,取得元!$A$2:$F$501,4,FALSE),"-")</f>
        <v>-</v>
      </c>
      <c r="J1316" s="5" t="str">
        <f>IFERROR(VLOOKUP(A1316,取得元!$A$2:$F$501,5,FALSE),"-")</f>
        <v>-</v>
      </c>
      <c r="K1316" s="25" t="str">
        <f>IFERROR(VLOOKUP(A1316,取得元!$A$2:$F$501,6,FALSE)/100,"-")</f>
        <v>-</v>
      </c>
      <c r="L1316" s="21" t="str">
        <f>_xll.RssMarket(A1316,"始値")</f>
        <v/>
      </c>
      <c r="M1316" s="4" t="e">
        <f t="shared" si="115"/>
        <v>#VALUE!</v>
      </c>
      <c r="N1316" s="21" t="str">
        <f>_xll.RssMarket(A1316,"高値")</f>
        <v/>
      </c>
      <c r="O1316" s="4" t="e">
        <f t="shared" si="116"/>
        <v>#VALUE!</v>
      </c>
      <c r="P1316" s="21" t="str">
        <f>_xll.RssMarket(A1316,"安値")</f>
        <v/>
      </c>
      <c r="Q1316" s="4" t="e">
        <f t="shared" si="117"/>
        <v>#VALUE!</v>
      </c>
      <c r="R1316" s="21" t="str">
        <f>_xll.RssMarket(A1316,"後場始値")</f>
        <v/>
      </c>
      <c r="S1316" s="25" t="str">
        <f t="shared" si="118"/>
        <v>-</v>
      </c>
      <c r="T1316" s="7" t="str">
        <f>_xll.RssMarket(A1316,"出来高加重平均")</f>
        <v/>
      </c>
      <c r="U1316" s="4" t="e">
        <f t="shared" si="119"/>
        <v>#VALUE!</v>
      </c>
      <c r="V1316" s="21" t="str">
        <f>_xll.RssMarket(A1316,"出来高")</f>
        <v/>
      </c>
      <c r="W1316" s="21" t="str">
        <f>_xll.RssMarket(A1316,"売買代金")</f>
        <v/>
      </c>
      <c r="X1316" s="20" t="str">
        <f>_xll.RssMarket(A1316,"決算発表日")</f>
        <v/>
      </c>
      <c r="Y1316" s="26" t="str">
        <f>IF(C1316&gt;_xll.RssMarket(A1316,"年初来高値"),"○","×")</f>
        <v>×</v>
      </c>
      <c r="Z1316" s="27" t="str">
        <f>IF(C1316&lt;=_xll.RssMarket(A1316,"年初来安値"),"○","×")</f>
        <v>○</v>
      </c>
    </row>
    <row r="1317" spans="2:26" x14ac:dyDescent="0.55000000000000004">
      <c r="B1317" s="20" t="str">
        <f>_xll.RssMarket(A1317,"銘柄名称")</f>
        <v/>
      </c>
      <c r="C1317" s="21" t="str">
        <f>_xll.RssMarket(A1317,"現在値")</f>
        <v/>
      </c>
      <c r="D1317" s="20" t="str">
        <f>_xll.RssMarket(A1317,"現在値詳細時刻")</f>
        <v/>
      </c>
      <c r="E1317" s="22" t="str">
        <f>_xll.RssMarket(A1317,"前日比")</f>
        <v/>
      </c>
      <c r="F1317" s="23" t="e">
        <f>_xll.RssMarket(A1317,"前日比率")/100</f>
        <v>#VALUE!</v>
      </c>
      <c r="G1317" s="24" t="str">
        <f>IFERROR(VLOOKUP(A1317,取得元!$A$2:$F$501,2,FALSE),"-")</f>
        <v>-</v>
      </c>
      <c r="H1317" s="24" t="str">
        <f>IFERROR(VLOOKUP(A1317,取得元!$A$2:$F$501,3,FALSE),"-")</f>
        <v>-</v>
      </c>
      <c r="I1317" s="24" t="str">
        <f>IFERROR(VLOOKUP(A1317,取得元!$A$2:$F$501,4,FALSE),"-")</f>
        <v>-</v>
      </c>
      <c r="J1317" s="5" t="str">
        <f>IFERROR(VLOOKUP(A1317,取得元!$A$2:$F$501,5,FALSE),"-")</f>
        <v>-</v>
      </c>
      <c r="K1317" s="25" t="str">
        <f>IFERROR(VLOOKUP(A1317,取得元!$A$2:$F$501,6,FALSE)/100,"-")</f>
        <v>-</v>
      </c>
      <c r="L1317" s="21" t="str">
        <f>_xll.RssMarket(A1317,"始値")</f>
        <v/>
      </c>
      <c r="M1317" s="4" t="e">
        <f t="shared" si="115"/>
        <v>#VALUE!</v>
      </c>
      <c r="N1317" s="21" t="str">
        <f>_xll.RssMarket(A1317,"高値")</f>
        <v/>
      </c>
      <c r="O1317" s="4" t="e">
        <f t="shared" si="116"/>
        <v>#VALUE!</v>
      </c>
      <c r="P1317" s="21" t="str">
        <f>_xll.RssMarket(A1317,"安値")</f>
        <v/>
      </c>
      <c r="Q1317" s="4" t="e">
        <f t="shared" si="117"/>
        <v>#VALUE!</v>
      </c>
      <c r="R1317" s="21" t="str">
        <f>_xll.RssMarket(A1317,"後場始値")</f>
        <v/>
      </c>
      <c r="S1317" s="25" t="str">
        <f t="shared" si="118"/>
        <v>-</v>
      </c>
      <c r="T1317" s="7" t="str">
        <f>_xll.RssMarket(A1317,"出来高加重平均")</f>
        <v/>
      </c>
      <c r="U1317" s="4" t="e">
        <f t="shared" si="119"/>
        <v>#VALUE!</v>
      </c>
      <c r="V1317" s="21" t="str">
        <f>_xll.RssMarket(A1317,"出来高")</f>
        <v/>
      </c>
      <c r="W1317" s="21" t="str">
        <f>_xll.RssMarket(A1317,"売買代金")</f>
        <v/>
      </c>
      <c r="X1317" s="20" t="str">
        <f>_xll.RssMarket(A1317,"決算発表日")</f>
        <v/>
      </c>
      <c r="Y1317" s="26" t="str">
        <f>IF(C1317&gt;_xll.RssMarket(A1317,"年初来高値"),"○","×")</f>
        <v>×</v>
      </c>
      <c r="Z1317" s="27" t="str">
        <f>IF(C1317&lt;=_xll.RssMarket(A1317,"年初来安値"),"○","×")</f>
        <v>○</v>
      </c>
    </row>
    <row r="1318" spans="2:26" x14ac:dyDescent="0.55000000000000004">
      <c r="B1318" s="20" t="str">
        <f>_xll.RssMarket(A1318,"銘柄名称")</f>
        <v/>
      </c>
      <c r="C1318" s="21" t="str">
        <f>_xll.RssMarket(A1318,"現在値")</f>
        <v/>
      </c>
      <c r="D1318" s="20" t="str">
        <f>_xll.RssMarket(A1318,"現在値詳細時刻")</f>
        <v/>
      </c>
      <c r="E1318" s="22" t="str">
        <f>_xll.RssMarket(A1318,"前日比")</f>
        <v/>
      </c>
      <c r="F1318" s="23" t="e">
        <f>_xll.RssMarket(A1318,"前日比率")/100</f>
        <v>#VALUE!</v>
      </c>
      <c r="G1318" s="24" t="str">
        <f>IFERROR(VLOOKUP(A1318,取得元!$A$2:$F$501,2,FALSE),"-")</f>
        <v>-</v>
      </c>
      <c r="H1318" s="24" t="str">
        <f>IFERROR(VLOOKUP(A1318,取得元!$A$2:$F$501,3,FALSE),"-")</f>
        <v>-</v>
      </c>
      <c r="I1318" s="24" t="str">
        <f>IFERROR(VLOOKUP(A1318,取得元!$A$2:$F$501,4,FALSE),"-")</f>
        <v>-</v>
      </c>
      <c r="J1318" s="5" t="str">
        <f>IFERROR(VLOOKUP(A1318,取得元!$A$2:$F$501,5,FALSE),"-")</f>
        <v>-</v>
      </c>
      <c r="K1318" s="25" t="str">
        <f>IFERROR(VLOOKUP(A1318,取得元!$A$2:$F$501,6,FALSE)/100,"-")</f>
        <v>-</v>
      </c>
      <c r="L1318" s="21" t="str">
        <f>_xll.RssMarket(A1318,"始値")</f>
        <v/>
      </c>
      <c r="M1318" s="4" t="e">
        <f t="shared" si="115"/>
        <v>#VALUE!</v>
      </c>
      <c r="N1318" s="21" t="str">
        <f>_xll.RssMarket(A1318,"高値")</f>
        <v/>
      </c>
      <c r="O1318" s="4" t="e">
        <f t="shared" si="116"/>
        <v>#VALUE!</v>
      </c>
      <c r="P1318" s="21" t="str">
        <f>_xll.RssMarket(A1318,"安値")</f>
        <v/>
      </c>
      <c r="Q1318" s="4" t="e">
        <f t="shared" si="117"/>
        <v>#VALUE!</v>
      </c>
      <c r="R1318" s="21" t="str">
        <f>_xll.RssMarket(A1318,"後場始値")</f>
        <v/>
      </c>
      <c r="S1318" s="25" t="str">
        <f t="shared" si="118"/>
        <v>-</v>
      </c>
      <c r="T1318" s="7" t="str">
        <f>_xll.RssMarket(A1318,"出来高加重平均")</f>
        <v/>
      </c>
      <c r="U1318" s="4" t="e">
        <f t="shared" si="119"/>
        <v>#VALUE!</v>
      </c>
      <c r="V1318" s="21" t="str">
        <f>_xll.RssMarket(A1318,"出来高")</f>
        <v/>
      </c>
      <c r="W1318" s="21" t="str">
        <f>_xll.RssMarket(A1318,"売買代金")</f>
        <v/>
      </c>
      <c r="X1318" s="20" t="str">
        <f>_xll.RssMarket(A1318,"決算発表日")</f>
        <v/>
      </c>
      <c r="Y1318" s="26" t="str">
        <f>IF(C1318&gt;_xll.RssMarket(A1318,"年初来高値"),"○","×")</f>
        <v>×</v>
      </c>
      <c r="Z1318" s="27" t="str">
        <f>IF(C1318&lt;=_xll.RssMarket(A1318,"年初来安値"),"○","×")</f>
        <v>○</v>
      </c>
    </row>
    <row r="1319" spans="2:26" x14ac:dyDescent="0.55000000000000004">
      <c r="B1319" s="20" t="str">
        <f>_xll.RssMarket(A1319,"銘柄名称")</f>
        <v/>
      </c>
      <c r="C1319" s="21" t="str">
        <f>_xll.RssMarket(A1319,"現在値")</f>
        <v/>
      </c>
      <c r="D1319" s="20" t="str">
        <f>_xll.RssMarket(A1319,"現在値詳細時刻")</f>
        <v/>
      </c>
      <c r="E1319" s="22" t="str">
        <f>_xll.RssMarket(A1319,"前日比")</f>
        <v/>
      </c>
      <c r="F1319" s="23" t="e">
        <f>_xll.RssMarket(A1319,"前日比率")/100</f>
        <v>#VALUE!</v>
      </c>
      <c r="G1319" s="24" t="str">
        <f>IFERROR(VLOOKUP(A1319,取得元!$A$2:$F$501,2,FALSE),"-")</f>
        <v>-</v>
      </c>
      <c r="H1319" s="24" t="str">
        <f>IFERROR(VLOOKUP(A1319,取得元!$A$2:$F$501,3,FALSE),"-")</f>
        <v>-</v>
      </c>
      <c r="I1319" s="24" t="str">
        <f>IFERROR(VLOOKUP(A1319,取得元!$A$2:$F$501,4,FALSE),"-")</f>
        <v>-</v>
      </c>
      <c r="J1319" s="5" t="str">
        <f>IFERROR(VLOOKUP(A1319,取得元!$A$2:$F$501,5,FALSE),"-")</f>
        <v>-</v>
      </c>
      <c r="K1319" s="25" t="str">
        <f>IFERROR(VLOOKUP(A1319,取得元!$A$2:$F$501,6,FALSE)/100,"-")</f>
        <v>-</v>
      </c>
      <c r="L1319" s="21" t="str">
        <f>_xll.RssMarket(A1319,"始値")</f>
        <v/>
      </c>
      <c r="M1319" s="4" t="e">
        <f t="shared" si="115"/>
        <v>#VALUE!</v>
      </c>
      <c r="N1319" s="21" t="str">
        <f>_xll.RssMarket(A1319,"高値")</f>
        <v/>
      </c>
      <c r="O1319" s="4" t="e">
        <f t="shared" si="116"/>
        <v>#VALUE!</v>
      </c>
      <c r="P1319" s="21" t="str">
        <f>_xll.RssMarket(A1319,"安値")</f>
        <v/>
      </c>
      <c r="Q1319" s="4" t="e">
        <f t="shared" si="117"/>
        <v>#VALUE!</v>
      </c>
      <c r="R1319" s="21" t="str">
        <f>_xll.RssMarket(A1319,"後場始値")</f>
        <v/>
      </c>
      <c r="S1319" s="25" t="str">
        <f t="shared" si="118"/>
        <v>-</v>
      </c>
      <c r="T1319" s="7" t="str">
        <f>_xll.RssMarket(A1319,"出来高加重平均")</f>
        <v/>
      </c>
      <c r="U1319" s="4" t="e">
        <f t="shared" si="119"/>
        <v>#VALUE!</v>
      </c>
      <c r="V1319" s="21" t="str">
        <f>_xll.RssMarket(A1319,"出来高")</f>
        <v/>
      </c>
      <c r="W1319" s="21" t="str">
        <f>_xll.RssMarket(A1319,"売買代金")</f>
        <v/>
      </c>
      <c r="X1319" s="20" t="str">
        <f>_xll.RssMarket(A1319,"決算発表日")</f>
        <v/>
      </c>
      <c r="Y1319" s="26" t="str">
        <f>IF(C1319&gt;_xll.RssMarket(A1319,"年初来高値"),"○","×")</f>
        <v>×</v>
      </c>
      <c r="Z1319" s="27" t="str">
        <f>IF(C1319&lt;=_xll.RssMarket(A1319,"年初来安値"),"○","×")</f>
        <v>○</v>
      </c>
    </row>
    <row r="1320" spans="2:26" x14ac:dyDescent="0.55000000000000004">
      <c r="B1320" s="20" t="str">
        <f>_xll.RssMarket(A1320,"銘柄名称")</f>
        <v/>
      </c>
      <c r="C1320" s="21" t="str">
        <f>_xll.RssMarket(A1320,"現在値")</f>
        <v/>
      </c>
      <c r="D1320" s="20" t="str">
        <f>_xll.RssMarket(A1320,"現在値詳細時刻")</f>
        <v/>
      </c>
      <c r="E1320" s="22" t="str">
        <f>_xll.RssMarket(A1320,"前日比")</f>
        <v/>
      </c>
      <c r="F1320" s="23" t="e">
        <f>_xll.RssMarket(A1320,"前日比率")/100</f>
        <v>#VALUE!</v>
      </c>
      <c r="G1320" s="24" t="str">
        <f>IFERROR(VLOOKUP(A1320,取得元!$A$2:$F$501,2,FALSE),"-")</f>
        <v>-</v>
      </c>
      <c r="H1320" s="24" t="str">
        <f>IFERROR(VLOOKUP(A1320,取得元!$A$2:$F$501,3,FALSE),"-")</f>
        <v>-</v>
      </c>
      <c r="I1320" s="24" t="str">
        <f>IFERROR(VLOOKUP(A1320,取得元!$A$2:$F$501,4,FALSE),"-")</f>
        <v>-</v>
      </c>
      <c r="J1320" s="5" t="str">
        <f>IFERROR(VLOOKUP(A1320,取得元!$A$2:$F$501,5,FALSE),"-")</f>
        <v>-</v>
      </c>
      <c r="K1320" s="25" t="str">
        <f>IFERROR(VLOOKUP(A1320,取得元!$A$2:$F$501,6,FALSE)/100,"-")</f>
        <v>-</v>
      </c>
      <c r="L1320" s="21" t="str">
        <f>_xll.RssMarket(A1320,"始値")</f>
        <v/>
      </c>
      <c r="M1320" s="4" t="e">
        <f t="shared" si="115"/>
        <v>#VALUE!</v>
      </c>
      <c r="N1320" s="21" t="str">
        <f>_xll.RssMarket(A1320,"高値")</f>
        <v/>
      </c>
      <c r="O1320" s="4" t="e">
        <f t="shared" si="116"/>
        <v>#VALUE!</v>
      </c>
      <c r="P1320" s="21" t="str">
        <f>_xll.RssMarket(A1320,"安値")</f>
        <v/>
      </c>
      <c r="Q1320" s="4" t="e">
        <f t="shared" si="117"/>
        <v>#VALUE!</v>
      </c>
      <c r="R1320" s="21" t="str">
        <f>_xll.RssMarket(A1320,"後場始値")</f>
        <v/>
      </c>
      <c r="S1320" s="25" t="str">
        <f t="shared" si="118"/>
        <v>-</v>
      </c>
      <c r="T1320" s="7" t="str">
        <f>_xll.RssMarket(A1320,"出来高加重平均")</f>
        <v/>
      </c>
      <c r="U1320" s="4" t="e">
        <f t="shared" si="119"/>
        <v>#VALUE!</v>
      </c>
      <c r="V1320" s="21" t="str">
        <f>_xll.RssMarket(A1320,"出来高")</f>
        <v/>
      </c>
      <c r="W1320" s="21" t="str">
        <f>_xll.RssMarket(A1320,"売買代金")</f>
        <v/>
      </c>
      <c r="X1320" s="20" t="str">
        <f>_xll.RssMarket(A1320,"決算発表日")</f>
        <v/>
      </c>
      <c r="Y1320" s="26" t="str">
        <f>IF(C1320&gt;_xll.RssMarket(A1320,"年初来高値"),"○","×")</f>
        <v>×</v>
      </c>
      <c r="Z1320" s="27" t="str">
        <f>IF(C1320&lt;=_xll.RssMarket(A1320,"年初来安値"),"○","×")</f>
        <v>○</v>
      </c>
    </row>
    <row r="1321" spans="2:26" x14ac:dyDescent="0.55000000000000004">
      <c r="B1321" s="20" t="str">
        <f>_xll.RssMarket(A1321,"銘柄名称")</f>
        <v/>
      </c>
      <c r="C1321" s="21" t="str">
        <f>_xll.RssMarket(A1321,"現在値")</f>
        <v/>
      </c>
      <c r="D1321" s="20" t="str">
        <f>_xll.RssMarket(A1321,"現在値詳細時刻")</f>
        <v/>
      </c>
      <c r="E1321" s="22" t="str">
        <f>_xll.RssMarket(A1321,"前日比")</f>
        <v/>
      </c>
      <c r="F1321" s="23" t="e">
        <f>_xll.RssMarket(A1321,"前日比率")/100</f>
        <v>#VALUE!</v>
      </c>
      <c r="G1321" s="24" t="str">
        <f>IFERROR(VLOOKUP(A1321,取得元!$A$2:$F$501,2,FALSE),"-")</f>
        <v>-</v>
      </c>
      <c r="H1321" s="24" t="str">
        <f>IFERROR(VLOOKUP(A1321,取得元!$A$2:$F$501,3,FALSE),"-")</f>
        <v>-</v>
      </c>
      <c r="I1321" s="24" t="str">
        <f>IFERROR(VLOOKUP(A1321,取得元!$A$2:$F$501,4,FALSE),"-")</f>
        <v>-</v>
      </c>
      <c r="J1321" s="5" t="str">
        <f>IFERROR(VLOOKUP(A1321,取得元!$A$2:$F$501,5,FALSE),"-")</f>
        <v>-</v>
      </c>
      <c r="K1321" s="25" t="str">
        <f>IFERROR(VLOOKUP(A1321,取得元!$A$2:$F$501,6,FALSE)/100,"-")</f>
        <v>-</v>
      </c>
      <c r="L1321" s="21" t="str">
        <f>_xll.RssMarket(A1321,"始値")</f>
        <v/>
      </c>
      <c r="M1321" s="4" t="e">
        <f t="shared" si="115"/>
        <v>#VALUE!</v>
      </c>
      <c r="N1321" s="21" t="str">
        <f>_xll.RssMarket(A1321,"高値")</f>
        <v/>
      </c>
      <c r="O1321" s="4" t="e">
        <f t="shared" si="116"/>
        <v>#VALUE!</v>
      </c>
      <c r="P1321" s="21" t="str">
        <f>_xll.RssMarket(A1321,"安値")</f>
        <v/>
      </c>
      <c r="Q1321" s="4" t="e">
        <f t="shared" si="117"/>
        <v>#VALUE!</v>
      </c>
      <c r="R1321" s="21" t="str">
        <f>_xll.RssMarket(A1321,"後場始値")</f>
        <v/>
      </c>
      <c r="S1321" s="25" t="str">
        <f t="shared" si="118"/>
        <v>-</v>
      </c>
      <c r="T1321" s="7" t="str">
        <f>_xll.RssMarket(A1321,"出来高加重平均")</f>
        <v/>
      </c>
      <c r="U1321" s="4" t="e">
        <f t="shared" si="119"/>
        <v>#VALUE!</v>
      </c>
      <c r="V1321" s="21" t="str">
        <f>_xll.RssMarket(A1321,"出来高")</f>
        <v/>
      </c>
      <c r="W1321" s="21" t="str">
        <f>_xll.RssMarket(A1321,"売買代金")</f>
        <v/>
      </c>
      <c r="X1321" s="20" t="str">
        <f>_xll.RssMarket(A1321,"決算発表日")</f>
        <v/>
      </c>
      <c r="Y1321" s="26" t="str">
        <f>IF(C1321&gt;_xll.RssMarket(A1321,"年初来高値"),"○","×")</f>
        <v>×</v>
      </c>
      <c r="Z1321" s="27" t="str">
        <f>IF(C1321&lt;=_xll.RssMarket(A1321,"年初来安値"),"○","×")</f>
        <v>○</v>
      </c>
    </row>
    <row r="1322" spans="2:26" x14ac:dyDescent="0.55000000000000004">
      <c r="B1322" s="20" t="str">
        <f>_xll.RssMarket(A1322,"銘柄名称")</f>
        <v/>
      </c>
      <c r="C1322" s="21" t="str">
        <f>_xll.RssMarket(A1322,"現在値")</f>
        <v/>
      </c>
      <c r="D1322" s="20" t="str">
        <f>_xll.RssMarket(A1322,"現在値詳細時刻")</f>
        <v/>
      </c>
      <c r="E1322" s="22" t="str">
        <f>_xll.RssMarket(A1322,"前日比")</f>
        <v/>
      </c>
      <c r="F1322" s="23" t="e">
        <f>_xll.RssMarket(A1322,"前日比率")/100</f>
        <v>#VALUE!</v>
      </c>
      <c r="G1322" s="24" t="str">
        <f>IFERROR(VLOOKUP(A1322,取得元!$A$2:$F$501,2,FALSE),"-")</f>
        <v>-</v>
      </c>
      <c r="H1322" s="24" t="str">
        <f>IFERROR(VLOOKUP(A1322,取得元!$A$2:$F$501,3,FALSE),"-")</f>
        <v>-</v>
      </c>
      <c r="I1322" s="24" t="str">
        <f>IFERROR(VLOOKUP(A1322,取得元!$A$2:$F$501,4,FALSE),"-")</f>
        <v>-</v>
      </c>
      <c r="J1322" s="5" t="str">
        <f>IFERROR(VLOOKUP(A1322,取得元!$A$2:$F$501,5,FALSE),"-")</f>
        <v>-</v>
      </c>
      <c r="K1322" s="25" t="str">
        <f>IFERROR(VLOOKUP(A1322,取得元!$A$2:$F$501,6,FALSE)/100,"-")</f>
        <v>-</v>
      </c>
      <c r="L1322" s="21" t="str">
        <f>_xll.RssMarket(A1322,"始値")</f>
        <v/>
      </c>
      <c r="M1322" s="4" t="e">
        <f t="shared" si="115"/>
        <v>#VALUE!</v>
      </c>
      <c r="N1322" s="21" t="str">
        <f>_xll.RssMarket(A1322,"高値")</f>
        <v/>
      </c>
      <c r="O1322" s="4" t="e">
        <f t="shared" si="116"/>
        <v>#VALUE!</v>
      </c>
      <c r="P1322" s="21" t="str">
        <f>_xll.RssMarket(A1322,"安値")</f>
        <v/>
      </c>
      <c r="Q1322" s="4" t="e">
        <f t="shared" si="117"/>
        <v>#VALUE!</v>
      </c>
      <c r="R1322" s="21" t="str">
        <f>_xll.RssMarket(A1322,"後場始値")</f>
        <v/>
      </c>
      <c r="S1322" s="25" t="str">
        <f t="shared" si="118"/>
        <v>-</v>
      </c>
      <c r="T1322" s="7" t="str">
        <f>_xll.RssMarket(A1322,"出来高加重平均")</f>
        <v/>
      </c>
      <c r="U1322" s="4" t="e">
        <f t="shared" si="119"/>
        <v>#VALUE!</v>
      </c>
      <c r="V1322" s="21" t="str">
        <f>_xll.RssMarket(A1322,"出来高")</f>
        <v/>
      </c>
      <c r="W1322" s="21" t="str">
        <f>_xll.RssMarket(A1322,"売買代金")</f>
        <v/>
      </c>
      <c r="X1322" s="20" t="str">
        <f>_xll.RssMarket(A1322,"決算発表日")</f>
        <v/>
      </c>
      <c r="Y1322" s="26" t="str">
        <f>IF(C1322&gt;_xll.RssMarket(A1322,"年初来高値"),"○","×")</f>
        <v>×</v>
      </c>
      <c r="Z1322" s="27" t="str">
        <f>IF(C1322&lt;=_xll.RssMarket(A1322,"年初来安値"),"○","×")</f>
        <v>○</v>
      </c>
    </row>
    <row r="1323" spans="2:26" x14ac:dyDescent="0.55000000000000004">
      <c r="B1323" s="20" t="str">
        <f>_xll.RssMarket(A1323,"銘柄名称")</f>
        <v/>
      </c>
      <c r="C1323" s="21" t="str">
        <f>_xll.RssMarket(A1323,"現在値")</f>
        <v/>
      </c>
      <c r="D1323" s="20" t="str">
        <f>_xll.RssMarket(A1323,"現在値詳細時刻")</f>
        <v/>
      </c>
      <c r="E1323" s="22" t="str">
        <f>_xll.RssMarket(A1323,"前日比")</f>
        <v/>
      </c>
      <c r="F1323" s="23" t="e">
        <f>_xll.RssMarket(A1323,"前日比率")/100</f>
        <v>#VALUE!</v>
      </c>
      <c r="G1323" s="24" t="str">
        <f>IFERROR(VLOOKUP(A1323,取得元!$A$2:$F$501,2,FALSE),"-")</f>
        <v>-</v>
      </c>
      <c r="H1323" s="24" t="str">
        <f>IFERROR(VLOOKUP(A1323,取得元!$A$2:$F$501,3,FALSE),"-")</f>
        <v>-</v>
      </c>
      <c r="I1323" s="24" t="str">
        <f>IFERROR(VLOOKUP(A1323,取得元!$A$2:$F$501,4,FALSE),"-")</f>
        <v>-</v>
      </c>
      <c r="J1323" s="5" t="str">
        <f>IFERROR(VLOOKUP(A1323,取得元!$A$2:$F$501,5,FALSE),"-")</f>
        <v>-</v>
      </c>
      <c r="K1323" s="25" t="str">
        <f>IFERROR(VLOOKUP(A1323,取得元!$A$2:$F$501,6,FALSE)/100,"-")</f>
        <v>-</v>
      </c>
      <c r="L1323" s="21" t="str">
        <f>_xll.RssMarket(A1323,"始値")</f>
        <v/>
      </c>
      <c r="M1323" s="4" t="e">
        <f t="shared" si="115"/>
        <v>#VALUE!</v>
      </c>
      <c r="N1323" s="21" t="str">
        <f>_xll.RssMarket(A1323,"高値")</f>
        <v/>
      </c>
      <c r="O1323" s="4" t="e">
        <f t="shared" si="116"/>
        <v>#VALUE!</v>
      </c>
      <c r="P1323" s="21" t="str">
        <f>_xll.RssMarket(A1323,"安値")</f>
        <v/>
      </c>
      <c r="Q1323" s="4" t="e">
        <f t="shared" si="117"/>
        <v>#VALUE!</v>
      </c>
      <c r="R1323" s="21" t="str">
        <f>_xll.RssMarket(A1323,"後場始値")</f>
        <v/>
      </c>
      <c r="S1323" s="25" t="str">
        <f t="shared" si="118"/>
        <v>-</v>
      </c>
      <c r="T1323" s="7" t="str">
        <f>_xll.RssMarket(A1323,"出来高加重平均")</f>
        <v/>
      </c>
      <c r="U1323" s="4" t="e">
        <f t="shared" si="119"/>
        <v>#VALUE!</v>
      </c>
      <c r="V1323" s="21" t="str">
        <f>_xll.RssMarket(A1323,"出来高")</f>
        <v/>
      </c>
      <c r="W1323" s="21" t="str">
        <f>_xll.RssMarket(A1323,"売買代金")</f>
        <v/>
      </c>
      <c r="X1323" s="20" t="str">
        <f>_xll.RssMarket(A1323,"決算発表日")</f>
        <v/>
      </c>
      <c r="Y1323" s="26" t="str">
        <f>IF(C1323&gt;_xll.RssMarket(A1323,"年初来高値"),"○","×")</f>
        <v>×</v>
      </c>
      <c r="Z1323" s="27" t="str">
        <f>IF(C1323&lt;=_xll.RssMarket(A1323,"年初来安値"),"○","×")</f>
        <v>○</v>
      </c>
    </row>
    <row r="1324" spans="2:26" x14ac:dyDescent="0.55000000000000004">
      <c r="B1324" s="20" t="str">
        <f>_xll.RssMarket(A1324,"銘柄名称")</f>
        <v/>
      </c>
      <c r="C1324" s="21" t="str">
        <f>_xll.RssMarket(A1324,"現在値")</f>
        <v/>
      </c>
      <c r="D1324" s="20" t="str">
        <f>_xll.RssMarket(A1324,"現在値詳細時刻")</f>
        <v/>
      </c>
      <c r="E1324" s="22" t="str">
        <f>_xll.RssMarket(A1324,"前日比")</f>
        <v/>
      </c>
      <c r="F1324" s="23" t="e">
        <f>_xll.RssMarket(A1324,"前日比率")/100</f>
        <v>#VALUE!</v>
      </c>
      <c r="G1324" s="24" t="str">
        <f>IFERROR(VLOOKUP(A1324,取得元!$A$2:$F$501,2,FALSE),"-")</f>
        <v>-</v>
      </c>
      <c r="H1324" s="24" t="str">
        <f>IFERROR(VLOOKUP(A1324,取得元!$A$2:$F$501,3,FALSE),"-")</f>
        <v>-</v>
      </c>
      <c r="I1324" s="24" t="str">
        <f>IFERROR(VLOOKUP(A1324,取得元!$A$2:$F$501,4,FALSE),"-")</f>
        <v>-</v>
      </c>
      <c r="J1324" s="5" t="str">
        <f>IFERROR(VLOOKUP(A1324,取得元!$A$2:$F$501,5,FALSE),"-")</f>
        <v>-</v>
      </c>
      <c r="K1324" s="25" t="str">
        <f>IFERROR(VLOOKUP(A1324,取得元!$A$2:$F$501,6,FALSE)/100,"-")</f>
        <v>-</v>
      </c>
      <c r="L1324" s="21" t="str">
        <f>_xll.RssMarket(A1324,"始値")</f>
        <v/>
      </c>
      <c r="M1324" s="4" t="e">
        <f t="shared" si="115"/>
        <v>#VALUE!</v>
      </c>
      <c r="N1324" s="21" t="str">
        <f>_xll.RssMarket(A1324,"高値")</f>
        <v/>
      </c>
      <c r="O1324" s="4" t="e">
        <f t="shared" si="116"/>
        <v>#VALUE!</v>
      </c>
      <c r="P1324" s="21" t="str">
        <f>_xll.RssMarket(A1324,"安値")</f>
        <v/>
      </c>
      <c r="Q1324" s="4" t="e">
        <f t="shared" si="117"/>
        <v>#VALUE!</v>
      </c>
      <c r="R1324" s="21" t="str">
        <f>_xll.RssMarket(A1324,"後場始値")</f>
        <v/>
      </c>
      <c r="S1324" s="25" t="str">
        <f t="shared" si="118"/>
        <v>-</v>
      </c>
      <c r="T1324" s="7" t="str">
        <f>_xll.RssMarket(A1324,"出来高加重平均")</f>
        <v/>
      </c>
      <c r="U1324" s="4" t="e">
        <f t="shared" si="119"/>
        <v>#VALUE!</v>
      </c>
      <c r="V1324" s="21" t="str">
        <f>_xll.RssMarket(A1324,"出来高")</f>
        <v/>
      </c>
      <c r="W1324" s="21" t="str">
        <f>_xll.RssMarket(A1324,"売買代金")</f>
        <v/>
      </c>
      <c r="X1324" s="20" t="str">
        <f>_xll.RssMarket(A1324,"決算発表日")</f>
        <v/>
      </c>
      <c r="Y1324" s="26" t="str">
        <f>IF(C1324&gt;_xll.RssMarket(A1324,"年初来高値"),"○","×")</f>
        <v>×</v>
      </c>
      <c r="Z1324" s="27" t="str">
        <f>IF(C1324&lt;=_xll.RssMarket(A1324,"年初来安値"),"○","×")</f>
        <v>○</v>
      </c>
    </row>
    <row r="1325" spans="2:26" x14ac:dyDescent="0.55000000000000004">
      <c r="B1325" s="20" t="str">
        <f>_xll.RssMarket(A1325,"銘柄名称")</f>
        <v/>
      </c>
      <c r="C1325" s="21" t="str">
        <f>_xll.RssMarket(A1325,"現在値")</f>
        <v/>
      </c>
      <c r="D1325" s="20" t="str">
        <f>_xll.RssMarket(A1325,"現在値詳細時刻")</f>
        <v/>
      </c>
      <c r="E1325" s="22" t="str">
        <f>_xll.RssMarket(A1325,"前日比")</f>
        <v/>
      </c>
      <c r="F1325" s="23" t="e">
        <f>_xll.RssMarket(A1325,"前日比率")/100</f>
        <v>#VALUE!</v>
      </c>
      <c r="G1325" s="24" t="str">
        <f>IFERROR(VLOOKUP(A1325,取得元!$A$2:$F$501,2,FALSE),"-")</f>
        <v>-</v>
      </c>
      <c r="H1325" s="24" t="str">
        <f>IFERROR(VLOOKUP(A1325,取得元!$A$2:$F$501,3,FALSE),"-")</f>
        <v>-</v>
      </c>
      <c r="I1325" s="24" t="str">
        <f>IFERROR(VLOOKUP(A1325,取得元!$A$2:$F$501,4,FALSE),"-")</f>
        <v>-</v>
      </c>
      <c r="J1325" s="5" t="str">
        <f>IFERROR(VLOOKUP(A1325,取得元!$A$2:$F$501,5,FALSE),"-")</f>
        <v>-</v>
      </c>
      <c r="K1325" s="25" t="str">
        <f>IFERROR(VLOOKUP(A1325,取得元!$A$2:$F$501,6,FALSE)/100,"-")</f>
        <v>-</v>
      </c>
      <c r="L1325" s="21" t="str">
        <f>_xll.RssMarket(A1325,"始値")</f>
        <v/>
      </c>
      <c r="M1325" s="4" t="e">
        <f t="shared" si="115"/>
        <v>#VALUE!</v>
      </c>
      <c r="N1325" s="21" t="str">
        <f>_xll.RssMarket(A1325,"高値")</f>
        <v/>
      </c>
      <c r="O1325" s="4" t="e">
        <f t="shared" si="116"/>
        <v>#VALUE!</v>
      </c>
      <c r="P1325" s="21" t="str">
        <f>_xll.RssMarket(A1325,"安値")</f>
        <v/>
      </c>
      <c r="Q1325" s="4" t="e">
        <f t="shared" si="117"/>
        <v>#VALUE!</v>
      </c>
      <c r="R1325" s="21" t="str">
        <f>_xll.RssMarket(A1325,"後場始値")</f>
        <v/>
      </c>
      <c r="S1325" s="25" t="str">
        <f t="shared" si="118"/>
        <v>-</v>
      </c>
      <c r="T1325" s="7" t="str">
        <f>_xll.RssMarket(A1325,"出来高加重平均")</f>
        <v/>
      </c>
      <c r="U1325" s="4" t="e">
        <f t="shared" si="119"/>
        <v>#VALUE!</v>
      </c>
      <c r="V1325" s="21" t="str">
        <f>_xll.RssMarket(A1325,"出来高")</f>
        <v/>
      </c>
      <c r="W1325" s="21" t="str">
        <f>_xll.RssMarket(A1325,"売買代金")</f>
        <v/>
      </c>
      <c r="X1325" s="20" t="str">
        <f>_xll.RssMarket(A1325,"決算発表日")</f>
        <v/>
      </c>
      <c r="Y1325" s="26" t="str">
        <f>IF(C1325&gt;_xll.RssMarket(A1325,"年初来高値"),"○","×")</f>
        <v>×</v>
      </c>
      <c r="Z1325" s="27" t="str">
        <f>IF(C1325&lt;=_xll.RssMarket(A1325,"年初来安値"),"○","×")</f>
        <v>○</v>
      </c>
    </row>
    <row r="1326" spans="2:26" x14ac:dyDescent="0.55000000000000004">
      <c r="B1326" s="20" t="str">
        <f>_xll.RssMarket(A1326,"銘柄名称")</f>
        <v/>
      </c>
      <c r="C1326" s="21" t="str">
        <f>_xll.RssMarket(A1326,"現在値")</f>
        <v/>
      </c>
      <c r="D1326" s="20" t="str">
        <f>_xll.RssMarket(A1326,"現在値詳細時刻")</f>
        <v/>
      </c>
      <c r="E1326" s="22" t="str">
        <f>_xll.RssMarket(A1326,"前日比")</f>
        <v/>
      </c>
      <c r="F1326" s="23" t="e">
        <f>_xll.RssMarket(A1326,"前日比率")/100</f>
        <v>#VALUE!</v>
      </c>
      <c r="G1326" s="24" t="str">
        <f>IFERROR(VLOOKUP(A1326,取得元!$A$2:$F$501,2,FALSE),"-")</f>
        <v>-</v>
      </c>
      <c r="H1326" s="24" t="str">
        <f>IFERROR(VLOOKUP(A1326,取得元!$A$2:$F$501,3,FALSE),"-")</f>
        <v>-</v>
      </c>
      <c r="I1326" s="24" t="str">
        <f>IFERROR(VLOOKUP(A1326,取得元!$A$2:$F$501,4,FALSE),"-")</f>
        <v>-</v>
      </c>
      <c r="J1326" s="5" t="str">
        <f>IFERROR(VLOOKUP(A1326,取得元!$A$2:$F$501,5,FALSE),"-")</f>
        <v>-</v>
      </c>
      <c r="K1326" s="25" t="str">
        <f>IFERROR(VLOOKUP(A1326,取得元!$A$2:$F$501,6,FALSE)/100,"-")</f>
        <v>-</v>
      </c>
      <c r="L1326" s="21" t="str">
        <f>_xll.RssMarket(A1326,"始値")</f>
        <v/>
      </c>
      <c r="M1326" s="4" t="e">
        <f t="shared" si="115"/>
        <v>#VALUE!</v>
      </c>
      <c r="N1326" s="21" t="str">
        <f>_xll.RssMarket(A1326,"高値")</f>
        <v/>
      </c>
      <c r="O1326" s="4" t="e">
        <f t="shared" si="116"/>
        <v>#VALUE!</v>
      </c>
      <c r="P1326" s="21" t="str">
        <f>_xll.RssMarket(A1326,"安値")</f>
        <v/>
      </c>
      <c r="Q1326" s="4" t="e">
        <f t="shared" si="117"/>
        <v>#VALUE!</v>
      </c>
      <c r="R1326" s="21" t="str">
        <f>_xll.RssMarket(A1326,"後場始値")</f>
        <v/>
      </c>
      <c r="S1326" s="25" t="str">
        <f t="shared" si="118"/>
        <v>-</v>
      </c>
      <c r="T1326" s="7" t="str">
        <f>_xll.RssMarket(A1326,"出来高加重平均")</f>
        <v/>
      </c>
      <c r="U1326" s="4" t="e">
        <f t="shared" si="119"/>
        <v>#VALUE!</v>
      </c>
      <c r="V1326" s="21" t="str">
        <f>_xll.RssMarket(A1326,"出来高")</f>
        <v/>
      </c>
      <c r="W1326" s="21" t="str">
        <f>_xll.RssMarket(A1326,"売買代金")</f>
        <v/>
      </c>
      <c r="X1326" s="20" t="str">
        <f>_xll.RssMarket(A1326,"決算発表日")</f>
        <v/>
      </c>
      <c r="Y1326" s="26" t="str">
        <f>IF(C1326&gt;_xll.RssMarket(A1326,"年初来高値"),"○","×")</f>
        <v>×</v>
      </c>
      <c r="Z1326" s="27" t="str">
        <f>IF(C1326&lt;=_xll.RssMarket(A1326,"年初来安値"),"○","×")</f>
        <v>○</v>
      </c>
    </row>
    <row r="1327" spans="2:26" x14ac:dyDescent="0.55000000000000004">
      <c r="B1327" s="20" t="str">
        <f>_xll.RssMarket(A1327,"銘柄名称")</f>
        <v/>
      </c>
      <c r="C1327" s="21" t="str">
        <f>_xll.RssMarket(A1327,"現在値")</f>
        <v/>
      </c>
      <c r="D1327" s="20" t="str">
        <f>_xll.RssMarket(A1327,"現在値詳細時刻")</f>
        <v/>
      </c>
      <c r="E1327" s="22" t="str">
        <f>_xll.RssMarket(A1327,"前日比")</f>
        <v/>
      </c>
      <c r="F1327" s="23" t="e">
        <f>_xll.RssMarket(A1327,"前日比率")/100</f>
        <v>#VALUE!</v>
      </c>
      <c r="G1327" s="24" t="str">
        <f>IFERROR(VLOOKUP(A1327,取得元!$A$2:$F$501,2,FALSE),"-")</f>
        <v>-</v>
      </c>
      <c r="H1327" s="24" t="str">
        <f>IFERROR(VLOOKUP(A1327,取得元!$A$2:$F$501,3,FALSE),"-")</f>
        <v>-</v>
      </c>
      <c r="I1327" s="24" t="str">
        <f>IFERROR(VLOOKUP(A1327,取得元!$A$2:$F$501,4,FALSE),"-")</f>
        <v>-</v>
      </c>
      <c r="J1327" s="5" t="str">
        <f>IFERROR(VLOOKUP(A1327,取得元!$A$2:$F$501,5,FALSE),"-")</f>
        <v>-</v>
      </c>
      <c r="K1327" s="25" t="str">
        <f>IFERROR(VLOOKUP(A1327,取得元!$A$2:$F$501,6,FALSE)/100,"-")</f>
        <v>-</v>
      </c>
      <c r="L1327" s="21" t="str">
        <f>_xll.RssMarket(A1327,"始値")</f>
        <v/>
      </c>
      <c r="M1327" s="4" t="e">
        <f t="shared" si="115"/>
        <v>#VALUE!</v>
      </c>
      <c r="N1327" s="21" t="str">
        <f>_xll.RssMarket(A1327,"高値")</f>
        <v/>
      </c>
      <c r="O1327" s="4" t="e">
        <f t="shared" si="116"/>
        <v>#VALUE!</v>
      </c>
      <c r="P1327" s="21" t="str">
        <f>_xll.RssMarket(A1327,"安値")</f>
        <v/>
      </c>
      <c r="Q1327" s="4" t="e">
        <f t="shared" si="117"/>
        <v>#VALUE!</v>
      </c>
      <c r="R1327" s="21" t="str">
        <f>_xll.RssMarket(A1327,"後場始値")</f>
        <v/>
      </c>
      <c r="S1327" s="25" t="str">
        <f t="shared" si="118"/>
        <v>-</v>
      </c>
      <c r="T1327" s="7" t="str">
        <f>_xll.RssMarket(A1327,"出来高加重平均")</f>
        <v/>
      </c>
      <c r="U1327" s="4" t="e">
        <f t="shared" si="119"/>
        <v>#VALUE!</v>
      </c>
      <c r="V1327" s="21" t="str">
        <f>_xll.RssMarket(A1327,"出来高")</f>
        <v/>
      </c>
      <c r="W1327" s="21" t="str">
        <f>_xll.RssMarket(A1327,"売買代金")</f>
        <v/>
      </c>
      <c r="X1327" s="20" t="str">
        <f>_xll.RssMarket(A1327,"決算発表日")</f>
        <v/>
      </c>
      <c r="Y1327" s="26" t="str">
        <f>IF(C1327&gt;_xll.RssMarket(A1327,"年初来高値"),"○","×")</f>
        <v>×</v>
      </c>
      <c r="Z1327" s="27" t="str">
        <f>IF(C1327&lt;=_xll.RssMarket(A1327,"年初来安値"),"○","×")</f>
        <v>○</v>
      </c>
    </row>
    <row r="1328" spans="2:26" x14ac:dyDescent="0.55000000000000004">
      <c r="B1328" s="20" t="str">
        <f>_xll.RssMarket(A1328,"銘柄名称")</f>
        <v/>
      </c>
      <c r="C1328" s="21" t="str">
        <f>_xll.RssMarket(A1328,"現在値")</f>
        <v/>
      </c>
      <c r="D1328" s="20" t="str">
        <f>_xll.RssMarket(A1328,"現在値詳細時刻")</f>
        <v/>
      </c>
      <c r="E1328" s="22" t="str">
        <f>_xll.RssMarket(A1328,"前日比")</f>
        <v/>
      </c>
      <c r="F1328" s="23" t="e">
        <f>_xll.RssMarket(A1328,"前日比率")/100</f>
        <v>#VALUE!</v>
      </c>
      <c r="G1328" s="24" t="str">
        <f>IFERROR(VLOOKUP(A1328,取得元!$A$2:$F$501,2,FALSE),"-")</f>
        <v>-</v>
      </c>
      <c r="H1328" s="24" t="str">
        <f>IFERROR(VLOOKUP(A1328,取得元!$A$2:$F$501,3,FALSE),"-")</f>
        <v>-</v>
      </c>
      <c r="I1328" s="24" t="str">
        <f>IFERROR(VLOOKUP(A1328,取得元!$A$2:$F$501,4,FALSE),"-")</f>
        <v>-</v>
      </c>
      <c r="J1328" s="5" t="str">
        <f>IFERROR(VLOOKUP(A1328,取得元!$A$2:$F$501,5,FALSE),"-")</f>
        <v>-</v>
      </c>
      <c r="K1328" s="25" t="str">
        <f>IFERROR(VLOOKUP(A1328,取得元!$A$2:$F$501,6,FALSE)/100,"-")</f>
        <v>-</v>
      </c>
      <c r="L1328" s="21" t="str">
        <f>_xll.RssMarket(A1328,"始値")</f>
        <v/>
      </c>
      <c r="M1328" s="4" t="e">
        <f t="shared" si="115"/>
        <v>#VALUE!</v>
      </c>
      <c r="N1328" s="21" t="str">
        <f>_xll.RssMarket(A1328,"高値")</f>
        <v/>
      </c>
      <c r="O1328" s="4" t="e">
        <f t="shared" si="116"/>
        <v>#VALUE!</v>
      </c>
      <c r="P1328" s="21" t="str">
        <f>_xll.RssMarket(A1328,"安値")</f>
        <v/>
      </c>
      <c r="Q1328" s="4" t="e">
        <f t="shared" si="117"/>
        <v>#VALUE!</v>
      </c>
      <c r="R1328" s="21" t="str">
        <f>_xll.RssMarket(A1328,"後場始値")</f>
        <v/>
      </c>
      <c r="S1328" s="25" t="str">
        <f t="shared" si="118"/>
        <v>-</v>
      </c>
      <c r="T1328" s="7" t="str">
        <f>_xll.RssMarket(A1328,"出来高加重平均")</f>
        <v/>
      </c>
      <c r="U1328" s="4" t="e">
        <f t="shared" si="119"/>
        <v>#VALUE!</v>
      </c>
      <c r="V1328" s="21" t="str">
        <f>_xll.RssMarket(A1328,"出来高")</f>
        <v/>
      </c>
      <c r="W1328" s="21" t="str">
        <f>_xll.RssMarket(A1328,"売買代金")</f>
        <v/>
      </c>
      <c r="X1328" s="20" t="str">
        <f>_xll.RssMarket(A1328,"決算発表日")</f>
        <v/>
      </c>
      <c r="Y1328" s="26" t="str">
        <f>IF(C1328&gt;_xll.RssMarket(A1328,"年初来高値"),"○","×")</f>
        <v>×</v>
      </c>
      <c r="Z1328" s="27" t="str">
        <f>IF(C1328&lt;=_xll.RssMarket(A1328,"年初来安値"),"○","×")</f>
        <v>○</v>
      </c>
    </row>
    <row r="1329" spans="2:26" x14ac:dyDescent="0.55000000000000004">
      <c r="B1329" s="20" t="str">
        <f>_xll.RssMarket(A1329,"銘柄名称")</f>
        <v/>
      </c>
      <c r="C1329" s="21" t="str">
        <f>_xll.RssMarket(A1329,"現在値")</f>
        <v/>
      </c>
      <c r="D1329" s="20" t="str">
        <f>_xll.RssMarket(A1329,"現在値詳細時刻")</f>
        <v/>
      </c>
      <c r="E1329" s="22" t="str">
        <f>_xll.RssMarket(A1329,"前日比")</f>
        <v/>
      </c>
      <c r="F1329" s="23" t="e">
        <f>_xll.RssMarket(A1329,"前日比率")/100</f>
        <v>#VALUE!</v>
      </c>
      <c r="G1329" s="24" t="str">
        <f>IFERROR(VLOOKUP(A1329,取得元!$A$2:$F$501,2,FALSE),"-")</f>
        <v>-</v>
      </c>
      <c r="H1329" s="24" t="str">
        <f>IFERROR(VLOOKUP(A1329,取得元!$A$2:$F$501,3,FALSE),"-")</f>
        <v>-</v>
      </c>
      <c r="I1329" s="24" t="str">
        <f>IFERROR(VLOOKUP(A1329,取得元!$A$2:$F$501,4,FALSE),"-")</f>
        <v>-</v>
      </c>
      <c r="J1329" s="5" t="str">
        <f>IFERROR(VLOOKUP(A1329,取得元!$A$2:$F$501,5,FALSE),"-")</f>
        <v>-</v>
      </c>
      <c r="K1329" s="25" t="str">
        <f>IFERROR(VLOOKUP(A1329,取得元!$A$2:$F$501,6,FALSE)/100,"-")</f>
        <v>-</v>
      </c>
      <c r="L1329" s="21" t="str">
        <f>_xll.RssMarket(A1329,"始値")</f>
        <v/>
      </c>
      <c r="M1329" s="4" t="e">
        <f t="shared" si="115"/>
        <v>#VALUE!</v>
      </c>
      <c r="N1329" s="21" t="str">
        <f>_xll.RssMarket(A1329,"高値")</f>
        <v/>
      </c>
      <c r="O1329" s="4" t="e">
        <f t="shared" si="116"/>
        <v>#VALUE!</v>
      </c>
      <c r="P1329" s="21" t="str">
        <f>_xll.RssMarket(A1329,"安値")</f>
        <v/>
      </c>
      <c r="Q1329" s="4" t="e">
        <f t="shared" si="117"/>
        <v>#VALUE!</v>
      </c>
      <c r="R1329" s="21" t="str">
        <f>_xll.RssMarket(A1329,"後場始値")</f>
        <v/>
      </c>
      <c r="S1329" s="25" t="str">
        <f t="shared" si="118"/>
        <v>-</v>
      </c>
      <c r="T1329" s="7" t="str">
        <f>_xll.RssMarket(A1329,"出来高加重平均")</f>
        <v/>
      </c>
      <c r="U1329" s="4" t="e">
        <f t="shared" si="119"/>
        <v>#VALUE!</v>
      </c>
      <c r="V1329" s="21" t="str">
        <f>_xll.RssMarket(A1329,"出来高")</f>
        <v/>
      </c>
      <c r="W1329" s="21" t="str">
        <f>_xll.RssMarket(A1329,"売買代金")</f>
        <v/>
      </c>
      <c r="X1329" s="20" t="str">
        <f>_xll.RssMarket(A1329,"決算発表日")</f>
        <v/>
      </c>
      <c r="Y1329" s="26" t="str">
        <f>IF(C1329&gt;_xll.RssMarket(A1329,"年初来高値"),"○","×")</f>
        <v>×</v>
      </c>
      <c r="Z1329" s="27" t="str">
        <f>IF(C1329&lt;=_xll.RssMarket(A1329,"年初来安値"),"○","×")</f>
        <v>○</v>
      </c>
    </row>
    <row r="1330" spans="2:26" x14ac:dyDescent="0.55000000000000004">
      <c r="B1330" s="20" t="str">
        <f>_xll.RssMarket(A1330,"銘柄名称")</f>
        <v/>
      </c>
      <c r="C1330" s="21" t="str">
        <f>_xll.RssMarket(A1330,"現在値")</f>
        <v/>
      </c>
      <c r="D1330" s="20" t="str">
        <f>_xll.RssMarket(A1330,"現在値詳細時刻")</f>
        <v/>
      </c>
      <c r="E1330" s="22" t="str">
        <f>_xll.RssMarket(A1330,"前日比")</f>
        <v/>
      </c>
      <c r="F1330" s="23" t="e">
        <f>_xll.RssMarket(A1330,"前日比率")/100</f>
        <v>#VALUE!</v>
      </c>
      <c r="G1330" s="24" t="str">
        <f>IFERROR(VLOOKUP(A1330,取得元!$A$2:$F$501,2,FALSE),"-")</f>
        <v>-</v>
      </c>
      <c r="H1330" s="24" t="str">
        <f>IFERROR(VLOOKUP(A1330,取得元!$A$2:$F$501,3,FALSE),"-")</f>
        <v>-</v>
      </c>
      <c r="I1330" s="24" t="str">
        <f>IFERROR(VLOOKUP(A1330,取得元!$A$2:$F$501,4,FALSE),"-")</f>
        <v>-</v>
      </c>
      <c r="J1330" s="5" t="str">
        <f>IFERROR(VLOOKUP(A1330,取得元!$A$2:$F$501,5,FALSE),"-")</f>
        <v>-</v>
      </c>
      <c r="K1330" s="25" t="str">
        <f>IFERROR(VLOOKUP(A1330,取得元!$A$2:$F$501,6,FALSE)/100,"-")</f>
        <v>-</v>
      </c>
      <c r="L1330" s="21" t="str">
        <f>_xll.RssMarket(A1330,"始値")</f>
        <v/>
      </c>
      <c r="M1330" s="4" t="e">
        <f t="shared" si="115"/>
        <v>#VALUE!</v>
      </c>
      <c r="N1330" s="21" t="str">
        <f>_xll.RssMarket(A1330,"高値")</f>
        <v/>
      </c>
      <c r="O1330" s="4" t="e">
        <f t="shared" si="116"/>
        <v>#VALUE!</v>
      </c>
      <c r="P1330" s="21" t="str">
        <f>_xll.RssMarket(A1330,"安値")</f>
        <v/>
      </c>
      <c r="Q1330" s="4" t="e">
        <f t="shared" si="117"/>
        <v>#VALUE!</v>
      </c>
      <c r="R1330" s="21" t="str">
        <f>_xll.RssMarket(A1330,"後場始値")</f>
        <v/>
      </c>
      <c r="S1330" s="25" t="str">
        <f t="shared" si="118"/>
        <v>-</v>
      </c>
      <c r="T1330" s="7" t="str">
        <f>_xll.RssMarket(A1330,"出来高加重平均")</f>
        <v/>
      </c>
      <c r="U1330" s="4" t="e">
        <f t="shared" si="119"/>
        <v>#VALUE!</v>
      </c>
      <c r="V1330" s="21" t="str">
        <f>_xll.RssMarket(A1330,"出来高")</f>
        <v/>
      </c>
      <c r="W1330" s="21" t="str">
        <f>_xll.RssMarket(A1330,"売買代金")</f>
        <v/>
      </c>
      <c r="X1330" s="20" t="str">
        <f>_xll.RssMarket(A1330,"決算発表日")</f>
        <v/>
      </c>
      <c r="Y1330" s="26" t="str">
        <f>IF(C1330&gt;_xll.RssMarket(A1330,"年初来高値"),"○","×")</f>
        <v>×</v>
      </c>
      <c r="Z1330" s="27" t="str">
        <f>IF(C1330&lt;=_xll.RssMarket(A1330,"年初来安値"),"○","×")</f>
        <v>○</v>
      </c>
    </row>
    <row r="1331" spans="2:26" x14ac:dyDescent="0.55000000000000004">
      <c r="B1331" s="20" t="str">
        <f>_xll.RssMarket(A1331,"銘柄名称")</f>
        <v/>
      </c>
      <c r="C1331" s="21" t="str">
        <f>_xll.RssMarket(A1331,"現在値")</f>
        <v/>
      </c>
      <c r="D1331" s="20" t="str">
        <f>_xll.RssMarket(A1331,"現在値詳細時刻")</f>
        <v/>
      </c>
      <c r="E1331" s="22" t="str">
        <f>_xll.RssMarket(A1331,"前日比")</f>
        <v/>
      </c>
      <c r="F1331" s="23" t="e">
        <f>_xll.RssMarket(A1331,"前日比率")/100</f>
        <v>#VALUE!</v>
      </c>
      <c r="G1331" s="24" t="str">
        <f>IFERROR(VLOOKUP(A1331,取得元!$A$2:$F$501,2,FALSE),"-")</f>
        <v>-</v>
      </c>
      <c r="H1331" s="24" t="str">
        <f>IFERROR(VLOOKUP(A1331,取得元!$A$2:$F$501,3,FALSE),"-")</f>
        <v>-</v>
      </c>
      <c r="I1331" s="24" t="str">
        <f>IFERROR(VLOOKUP(A1331,取得元!$A$2:$F$501,4,FALSE),"-")</f>
        <v>-</v>
      </c>
      <c r="J1331" s="5" t="str">
        <f>IFERROR(VLOOKUP(A1331,取得元!$A$2:$F$501,5,FALSE),"-")</f>
        <v>-</v>
      </c>
      <c r="K1331" s="25" t="str">
        <f>IFERROR(VLOOKUP(A1331,取得元!$A$2:$F$501,6,FALSE)/100,"-")</f>
        <v>-</v>
      </c>
      <c r="L1331" s="21" t="str">
        <f>_xll.RssMarket(A1331,"始値")</f>
        <v/>
      </c>
      <c r="M1331" s="4" t="e">
        <f t="shared" si="115"/>
        <v>#VALUE!</v>
      </c>
      <c r="N1331" s="21" t="str">
        <f>_xll.RssMarket(A1331,"高値")</f>
        <v/>
      </c>
      <c r="O1331" s="4" t="e">
        <f t="shared" si="116"/>
        <v>#VALUE!</v>
      </c>
      <c r="P1331" s="21" t="str">
        <f>_xll.RssMarket(A1331,"安値")</f>
        <v/>
      </c>
      <c r="Q1331" s="4" t="e">
        <f t="shared" si="117"/>
        <v>#VALUE!</v>
      </c>
      <c r="R1331" s="21" t="str">
        <f>_xll.RssMarket(A1331,"後場始値")</f>
        <v/>
      </c>
      <c r="S1331" s="25" t="str">
        <f t="shared" si="118"/>
        <v>-</v>
      </c>
      <c r="T1331" s="7" t="str">
        <f>_xll.RssMarket(A1331,"出来高加重平均")</f>
        <v/>
      </c>
      <c r="U1331" s="4" t="e">
        <f t="shared" si="119"/>
        <v>#VALUE!</v>
      </c>
      <c r="V1331" s="21" t="str">
        <f>_xll.RssMarket(A1331,"出来高")</f>
        <v/>
      </c>
      <c r="W1331" s="21" t="str">
        <f>_xll.RssMarket(A1331,"売買代金")</f>
        <v/>
      </c>
      <c r="X1331" s="20" t="str">
        <f>_xll.RssMarket(A1331,"決算発表日")</f>
        <v/>
      </c>
      <c r="Y1331" s="26" t="str">
        <f>IF(C1331&gt;_xll.RssMarket(A1331,"年初来高値"),"○","×")</f>
        <v>×</v>
      </c>
      <c r="Z1331" s="27" t="str">
        <f>IF(C1331&lt;=_xll.RssMarket(A1331,"年初来安値"),"○","×")</f>
        <v>○</v>
      </c>
    </row>
    <row r="1332" spans="2:26" x14ac:dyDescent="0.55000000000000004">
      <c r="B1332" s="20" t="str">
        <f>_xll.RssMarket(A1332,"銘柄名称")</f>
        <v/>
      </c>
      <c r="C1332" s="21" t="str">
        <f>_xll.RssMarket(A1332,"現在値")</f>
        <v/>
      </c>
      <c r="D1332" s="20" t="str">
        <f>_xll.RssMarket(A1332,"現在値詳細時刻")</f>
        <v/>
      </c>
      <c r="E1332" s="22" t="str">
        <f>_xll.RssMarket(A1332,"前日比")</f>
        <v/>
      </c>
      <c r="F1332" s="23" t="e">
        <f>_xll.RssMarket(A1332,"前日比率")/100</f>
        <v>#VALUE!</v>
      </c>
      <c r="G1332" s="24" t="str">
        <f>IFERROR(VLOOKUP(A1332,取得元!$A$2:$F$501,2,FALSE),"-")</f>
        <v>-</v>
      </c>
      <c r="H1332" s="24" t="str">
        <f>IFERROR(VLOOKUP(A1332,取得元!$A$2:$F$501,3,FALSE),"-")</f>
        <v>-</v>
      </c>
      <c r="I1332" s="24" t="str">
        <f>IFERROR(VLOOKUP(A1332,取得元!$A$2:$F$501,4,FALSE),"-")</f>
        <v>-</v>
      </c>
      <c r="J1332" s="5" t="str">
        <f>IFERROR(VLOOKUP(A1332,取得元!$A$2:$F$501,5,FALSE),"-")</f>
        <v>-</v>
      </c>
      <c r="K1332" s="25" t="str">
        <f>IFERROR(VLOOKUP(A1332,取得元!$A$2:$F$501,6,FALSE)/100,"-")</f>
        <v>-</v>
      </c>
      <c r="L1332" s="21" t="str">
        <f>_xll.RssMarket(A1332,"始値")</f>
        <v/>
      </c>
      <c r="M1332" s="4" t="e">
        <f t="shared" si="115"/>
        <v>#VALUE!</v>
      </c>
      <c r="N1332" s="21" t="str">
        <f>_xll.RssMarket(A1332,"高値")</f>
        <v/>
      </c>
      <c r="O1332" s="4" t="e">
        <f t="shared" si="116"/>
        <v>#VALUE!</v>
      </c>
      <c r="P1332" s="21" t="str">
        <f>_xll.RssMarket(A1332,"安値")</f>
        <v/>
      </c>
      <c r="Q1332" s="4" t="e">
        <f t="shared" si="117"/>
        <v>#VALUE!</v>
      </c>
      <c r="R1332" s="21" t="str">
        <f>_xll.RssMarket(A1332,"後場始値")</f>
        <v/>
      </c>
      <c r="S1332" s="25" t="str">
        <f t="shared" si="118"/>
        <v>-</v>
      </c>
      <c r="T1332" s="7" t="str">
        <f>_xll.RssMarket(A1332,"出来高加重平均")</f>
        <v/>
      </c>
      <c r="U1332" s="4" t="e">
        <f t="shared" si="119"/>
        <v>#VALUE!</v>
      </c>
      <c r="V1332" s="21" t="str">
        <f>_xll.RssMarket(A1332,"出来高")</f>
        <v/>
      </c>
      <c r="W1332" s="21" t="str">
        <f>_xll.RssMarket(A1332,"売買代金")</f>
        <v/>
      </c>
      <c r="X1332" s="20" t="str">
        <f>_xll.RssMarket(A1332,"決算発表日")</f>
        <v/>
      </c>
      <c r="Y1332" s="26" t="str">
        <f>IF(C1332&gt;_xll.RssMarket(A1332,"年初来高値"),"○","×")</f>
        <v>×</v>
      </c>
      <c r="Z1332" s="27" t="str">
        <f>IF(C1332&lt;=_xll.RssMarket(A1332,"年初来安値"),"○","×")</f>
        <v>○</v>
      </c>
    </row>
    <row r="1333" spans="2:26" x14ac:dyDescent="0.55000000000000004">
      <c r="B1333" s="20" t="str">
        <f>_xll.RssMarket(A1333,"銘柄名称")</f>
        <v/>
      </c>
      <c r="C1333" s="21" t="str">
        <f>_xll.RssMarket(A1333,"現在値")</f>
        <v/>
      </c>
      <c r="D1333" s="20" t="str">
        <f>_xll.RssMarket(A1333,"現在値詳細時刻")</f>
        <v/>
      </c>
      <c r="E1333" s="22" t="str">
        <f>_xll.RssMarket(A1333,"前日比")</f>
        <v/>
      </c>
      <c r="F1333" s="23" t="e">
        <f>_xll.RssMarket(A1333,"前日比率")/100</f>
        <v>#VALUE!</v>
      </c>
      <c r="G1333" s="24" t="str">
        <f>IFERROR(VLOOKUP(A1333,取得元!$A$2:$F$501,2,FALSE),"-")</f>
        <v>-</v>
      </c>
      <c r="H1333" s="24" t="str">
        <f>IFERROR(VLOOKUP(A1333,取得元!$A$2:$F$501,3,FALSE),"-")</f>
        <v>-</v>
      </c>
      <c r="I1333" s="24" t="str">
        <f>IFERROR(VLOOKUP(A1333,取得元!$A$2:$F$501,4,FALSE),"-")</f>
        <v>-</v>
      </c>
      <c r="J1333" s="5" t="str">
        <f>IFERROR(VLOOKUP(A1333,取得元!$A$2:$F$501,5,FALSE),"-")</f>
        <v>-</v>
      </c>
      <c r="K1333" s="25" t="str">
        <f>IFERROR(VLOOKUP(A1333,取得元!$A$2:$F$501,6,FALSE)/100,"-")</f>
        <v>-</v>
      </c>
      <c r="L1333" s="21" t="str">
        <f>_xll.RssMarket(A1333,"始値")</f>
        <v/>
      </c>
      <c r="M1333" s="4" t="e">
        <f t="shared" si="115"/>
        <v>#VALUE!</v>
      </c>
      <c r="N1333" s="21" t="str">
        <f>_xll.RssMarket(A1333,"高値")</f>
        <v/>
      </c>
      <c r="O1333" s="4" t="e">
        <f t="shared" si="116"/>
        <v>#VALUE!</v>
      </c>
      <c r="P1333" s="21" t="str">
        <f>_xll.RssMarket(A1333,"安値")</f>
        <v/>
      </c>
      <c r="Q1333" s="4" t="e">
        <f t="shared" si="117"/>
        <v>#VALUE!</v>
      </c>
      <c r="R1333" s="21" t="str">
        <f>_xll.RssMarket(A1333,"後場始値")</f>
        <v/>
      </c>
      <c r="S1333" s="25" t="str">
        <f t="shared" si="118"/>
        <v>-</v>
      </c>
      <c r="T1333" s="7" t="str">
        <f>_xll.RssMarket(A1333,"出来高加重平均")</f>
        <v/>
      </c>
      <c r="U1333" s="4" t="e">
        <f t="shared" si="119"/>
        <v>#VALUE!</v>
      </c>
      <c r="V1333" s="21" t="str">
        <f>_xll.RssMarket(A1333,"出来高")</f>
        <v/>
      </c>
      <c r="W1333" s="21" t="str">
        <f>_xll.RssMarket(A1333,"売買代金")</f>
        <v/>
      </c>
      <c r="X1333" s="20" t="str">
        <f>_xll.RssMarket(A1333,"決算発表日")</f>
        <v/>
      </c>
      <c r="Y1333" s="26" t="str">
        <f>IF(C1333&gt;_xll.RssMarket(A1333,"年初来高値"),"○","×")</f>
        <v>×</v>
      </c>
      <c r="Z1333" s="27" t="str">
        <f>IF(C1333&lt;=_xll.RssMarket(A1333,"年初来安値"),"○","×")</f>
        <v>○</v>
      </c>
    </row>
    <row r="1334" spans="2:26" x14ac:dyDescent="0.55000000000000004">
      <c r="B1334" s="20" t="str">
        <f>_xll.RssMarket(A1334,"銘柄名称")</f>
        <v/>
      </c>
      <c r="C1334" s="21" t="str">
        <f>_xll.RssMarket(A1334,"現在値")</f>
        <v/>
      </c>
      <c r="D1334" s="20" t="str">
        <f>_xll.RssMarket(A1334,"現在値詳細時刻")</f>
        <v/>
      </c>
      <c r="E1334" s="22" t="str">
        <f>_xll.RssMarket(A1334,"前日比")</f>
        <v/>
      </c>
      <c r="F1334" s="23" t="e">
        <f>_xll.RssMarket(A1334,"前日比率")/100</f>
        <v>#VALUE!</v>
      </c>
      <c r="G1334" s="24" t="str">
        <f>IFERROR(VLOOKUP(A1334,取得元!$A$2:$F$501,2,FALSE),"-")</f>
        <v>-</v>
      </c>
      <c r="H1334" s="24" t="str">
        <f>IFERROR(VLOOKUP(A1334,取得元!$A$2:$F$501,3,FALSE),"-")</f>
        <v>-</v>
      </c>
      <c r="I1334" s="24" t="str">
        <f>IFERROR(VLOOKUP(A1334,取得元!$A$2:$F$501,4,FALSE),"-")</f>
        <v>-</v>
      </c>
      <c r="J1334" s="5" t="str">
        <f>IFERROR(VLOOKUP(A1334,取得元!$A$2:$F$501,5,FALSE),"-")</f>
        <v>-</v>
      </c>
      <c r="K1334" s="25" t="str">
        <f>IFERROR(VLOOKUP(A1334,取得元!$A$2:$F$501,6,FALSE)/100,"-")</f>
        <v>-</v>
      </c>
      <c r="L1334" s="21" t="str">
        <f>_xll.RssMarket(A1334,"始値")</f>
        <v/>
      </c>
      <c r="M1334" s="4" t="e">
        <f t="shared" si="115"/>
        <v>#VALUE!</v>
      </c>
      <c r="N1334" s="21" t="str">
        <f>_xll.RssMarket(A1334,"高値")</f>
        <v/>
      </c>
      <c r="O1334" s="4" t="e">
        <f t="shared" si="116"/>
        <v>#VALUE!</v>
      </c>
      <c r="P1334" s="21" t="str">
        <f>_xll.RssMarket(A1334,"安値")</f>
        <v/>
      </c>
      <c r="Q1334" s="4" t="e">
        <f t="shared" si="117"/>
        <v>#VALUE!</v>
      </c>
      <c r="R1334" s="21" t="str">
        <f>_xll.RssMarket(A1334,"後場始値")</f>
        <v/>
      </c>
      <c r="S1334" s="25" t="str">
        <f t="shared" si="118"/>
        <v>-</v>
      </c>
      <c r="T1334" s="7" t="str">
        <f>_xll.RssMarket(A1334,"出来高加重平均")</f>
        <v/>
      </c>
      <c r="U1334" s="4" t="e">
        <f t="shared" si="119"/>
        <v>#VALUE!</v>
      </c>
      <c r="V1334" s="21" t="str">
        <f>_xll.RssMarket(A1334,"出来高")</f>
        <v/>
      </c>
      <c r="W1334" s="21" t="str">
        <f>_xll.RssMarket(A1334,"売買代金")</f>
        <v/>
      </c>
      <c r="X1334" s="20" t="str">
        <f>_xll.RssMarket(A1334,"決算発表日")</f>
        <v/>
      </c>
      <c r="Y1334" s="26" t="str">
        <f>IF(C1334&gt;_xll.RssMarket(A1334,"年初来高値"),"○","×")</f>
        <v>×</v>
      </c>
      <c r="Z1334" s="27" t="str">
        <f>IF(C1334&lt;=_xll.RssMarket(A1334,"年初来安値"),"○","×")</f>
        <v>○</v>
      </c>
    </row>
    <row r="1335" spans="2:26" x14ac:dyDescent="0.55000000000000004">
      <c r="B1335" s="20" t="str">
        <f>_xll.RssMarket(A1335,"銘柄名称")</f>
        <v/>
      </c>
      <c r="C1335" s="21" t="str">
        <f>_xll.RssMarket(A1335,"現在値")</f>
        <v/>
      </c>
      <c r="D1335" s="20" t="str">
        <f>_xll.RssMarket(A1335,"現在値詳細時刻")</f>
        <v/>
      </c>
      <c r="E1335" s="22" t="str">
        <f>_xll.RssMarket(A1335,"前日比")</f>
        <v/>
      </c>
      <c r="F1335" s="23" t="e">
        <f>_xll.RssMarket(A1335,"前日比率")/100</f>
        <v>#VALUE!</v>
      </c>
      <c r="G1335" s="24" t="str">
        <f>IFERROR(VLOOKUP(A1335,取得元!$A$2:$F$501,2,FALSE),"-")</f>
        <v>-</v>
      </c>
      <c r="H1335" s="24" t="str">
        <f>IFERROR(VLOOKUP(A1335,取得元!$A$2:$F$501,3,FALSE),"-")</f>
        <v>-</v>
      </c>
      <c r="I1335" s="24" t="str">
        <f>IFERROR(VLOOKUP(A1335,取得元!$A$2:$F$501,4,FALSE),"-")</f>
        <v>-</v>
      </c>
      <c r="J1335" s="5" t="str">
        <f>IFERROR(VLOOKUP(A1335,取得元!$A$2:$F$501,5,FALSE),"-")</f>
        <v>-</v>
      </c>
      <c r="K1335" s="25" t="str">
        <f>IFERROR(VLOOKUP(A1335,取得元!$A$2:$F$501,6,FALSE)/100,"-")</f>
        <v>-</v>
      </c>
      <c r="L1335" s="21" t="str">
        <f>_xll.RssMarket(A1335,"始値")</f>
        <v/>
      </c>
      <c r="M1335" s="4" t="e">
        <f t="shared" si="115"/>
        <v>#VALUE!</v>
      </c>
      <c r="N1335" s="21" t="str">
        <f>_xll.RssMarket(A1335,"高値")</f>
        <v/>
      </c>
      <c r="O1335" s="4" t="e">
        <f t="shared" si="116"/>
        <v>#VALUE!</v>
      </c>
      <c r="P1335" s="21" t="str">
        <f>_xll.RssMarket(A1335,"安値")</f>
        <v/>
      </c>
      <c r="Q1335" s="4" t="e">
        <f t="shared" si="117"/>
        <v>#VALUE!</v>
      </c>
      <c r="R1335" s="21" t="str">
        <f>_xll.RssMarket(A1335,"後場始値")</f>
        <v/>
      </c>
      <c r="S1335" s="25" t="str">
        <f t="shared" si="118"/>
        <v>-</v>
      </c>
      <c r="T1335" s="7" t="str">
        <f>_xll.RssMarket(A1335,"出来高加重平均")</f>
        <v/>
      </c>
      <c r="U1335" s="4" t="e">
        <f t="shared" si="119"/>
        <v>#VALUE!</v>
      </c>
      <c r="V1335" s="21" t="str">
        <f>_xll.RssMarket(A1335,"出来高")</f>
        <v/>
      </c>
      <c r="W1335" s="21" t="str">
        <f>_xll.RssMarket(A1335,"売買代金")</f>
        <v/>
      </c>
      <c r="X1335" s="20" t="str">
        <f>_xll.RssMarket(A1335,"決算発表日")</f>
        <v/>
      </c>
      <c r="Y1335" s="26" t="str">
        <f>IF(C1335&gt;_xll.RssMarket(A1335,"年初来高値"),"○","×")</f>
        <v>×</v>
      </c>
      <c r="Z1335" s="27" t="str">
        <f>IF(C1335&lt;=_xll.RssMarket(A1335,"年初来安値"),"○","×")</f>
        <v>○</v>
      </c>
    </row>
    <row r="1336" spans="2:26" x14ac:dyDescent="0.55000000000000004">
      <c r="B1336" s="20" t="str">
        <f>_xll.RssMarket(A1336,"銘柄名称")</f>
        <v/>
      </c>
      <c r="C1336" s="21" t="str">
        <f>_xll.RssMarket(A1336,"現在値")</f>
        <v/>
      </c>
      <c r="D1336" s="20" t="str">
        <f>_xll.RssMarket(A1336,"現在値詳細時刻")</f>
        <v/>
      </c>
      <c r="E1336" s="22" t="str">
        <f>_xll.RssMarket(A1336,"前日比")</f>
        <v/>
      </c>
      <c r="F1336" s="23" t="e">
        <f>_xll.RssMarket(A1336,"前日比率")/100</f>
        <v>#VALUE!</v>
      </c>
      <c r="G1336" s="24" t="str">
        <f>IFERROR(VLOOKUP(A1336,取得元!$A$2:$F$501,2,FALSE),"-")</f>
        <v>-</v>
      </c>
      <c r="H1336" s="24" t="str">
        <f>IFERROR(VLOOKUP(A1336,取得元!$A$2:$F$501,3,FALSE),"-")</f>
        <v>-</v>
      </c>
      <c r="I1336" s="24" t="str">
        <f>IFERROR(VLOOKUP(A1336,取得元!$A$2:$F$501,4,FALSE),"-")</f>
        <v>-</v>
      </c>
      <c r="J1336" s="5" t="str">
        <f>IFERROR(VLOOKUP(A1336,取得元!$A$2:$F$501,5,FALSE),"-")</f>
        <v>-</v>
      </c>
      <c r="K1336" s="25" t="str">
        <f>IFERROR(VLOOKUP(A1336,取得元!$A$2:$F$501,6,FALSE)/100,"-")</f>
        <v>-</v>
      </c>
      <c r="L1336" s="21" t="str">
        <f>_xll.RssMarket(A1336,"始値")</f>
        <v/>
      </c>
      <c r="M1336" s="4" t="e">
        <f t="shared" si="115"/>
        <v>#VALUE!</v>
      </c>
      <c r="N1336" s="21" t="str">
        <f>_xll.RssMarket(A1336,"高値")</f>
        <v/>
      </c>
      <c r="O1336" s="4" t="e">
        <f t="shared" si="116"/>
        <v>#VALUE!</v>
      </c>
      <c r="P1336" s="21" t="str">
        <f>_xll.RssMarket(A1336,"安値")</f>
        <v/>
      </c>
      <c r="Q1336" s="4" t="e">
        <f t="shared" si="117"/>
        <v>#VALUE!</v>
      </c>
      <c r="R1336" s="21" t="str">
        <f>_xll.RssMarket(A1336,"後場始値")</f>
        <v/>
      </c>
      <c r="S1336" s="25" t="str">
        <f t="shared" si="118"/>
        <v>-</v>
      </c>
      <c r="T1336" s="7" t="str">
        <f>_xll.RssMarket(A1336,"出来高加重平均")</f>
        <v/>
      </c>
      <c r="U1336" s="4" t="e">
        <f t="shared" si="119"/>
        <v>#VALUE!</v>
      </c>
      <c r="V1336" s="21" t="str">
        <f>_xll.RssMarket(A1336,"出来高")</f>
        <v/>
      </c>
      <c r="W1336" s="21" t="str">
        <f>_xll.RssMarket(A1336,"売買代金")</f>
        <v/>
      </c>
      <c r="X1336" s="20" t="str">
        <f>_xll.RssMarket(A1336,"決算発表日")</f>
        <v/>
      </c>
      <c r="Y1336" s="26" t="str">
        <f>IF(C1336&gt;_xll.RssMarket(A1336,"年初来高値"),"○","×")</f>
        <v>×</v>
      </c>
      <c r="Z1336" s="27" t="str">
        <f>IF(C1336&lt;=_xll.RssMarket(A1336,"年初来安値"),"○","×")</f>
        <v>○</v>
      </c>
    </row>
    <row r="1337" spans="2:26" x14ac:dyDescent="0.55000000000000004">
      <c r="B1337" s="20" t="str">
        <f>_xll.RssMarket(A1337,"銘柄名称")</f>
        <v/>
      </c>
      <c r="C1337" s="21" t="str">
        <f>_xll.RssMarket(A1337,"現在値")</f>
        <v/>
      </c>
      <c r="D1337" s="20" t="str">
        <f>_xll.RssMarket(A1337,"現在値詳細時刻")</f>
        <v/>
      </c>
      <c r="E1337" s="22" t="str">
        <f>_xll.RssMarket(A1337,"前日比")</f>
        <v/>
      </c>
      <c r="F1337" s="23" t="e">
        <f>_xll.RssMarket(A1337,"前日比率")/100</f>
        <v>#VALUE!</v>
      </c>
      <c r="G1337" s="24" t="str">
        <f>IFERROR(VLOOKUP(A1337,取得元!$A$2:$F$501,2,FALSE),"-")</f>
        <v>-</v>
      </c>
      <c r="H1337" s="24" t="str">
        <f>IFERROR(VLOOKUP(A1337,取得元!$A$2:$F$501,3,FALSE),"-")</f>
        <v>-</v>
      </c>
      <c r="I1337" s="24" t="str">
        <f>IFERROR(VLOOKUP(A1337,取得元!$A$2:$F$501,4,FALSE),"-")</f>
        <v>-</v>
      </c>
      <c r="J1337" s="5" t="str">
        <f>IFERROR(VLOOKUP(A1337,取得元!$A$2:$F$501,5,FALSE),"-")</f>
        <v>-</v>
      </c>
      <c r="K1337" s="25" t="str">
        <f>IFERROR(VLOOKUP(A1337,取得元!$A$2:$F$501,6,FALSE)/100,"-")</f>
        <v>-</v>
      </c>
      <c r="L1337" s="21" t="str">
        <f>_xll.RssMarket(A1337,"始値")</f>
        <v/>
      </c>
      <c r="M1337" s="4" t="e">
        <f t="shared" si="115"/>
        <v>#VALUE!</v>
      </c>
      <c r="N1337" s="21" t="str">
        <f>_xll.RssMarket(A1337,"高値")</f>
        <v/>
      </c>
      <c r="O1337" s="4" t="e">
        <f t="shared" si="116"/>
        <v>#VALUE!</v>
      </c>
      <c r="P1337" s="21" t="str">
        <f>_xll.RssMarket(A1337,"安値")</f>
        <v/>
      </c>
      <c r="Q1337" s="4" t="e">
        <f t="shared" si="117"/>
        <v>#VALUE!</v>
      </c>
      <c r="R1337" s="21" t="str">
        <f>_xll.RssMarket(A1337,"後場始値")</f>
        <v/>
      </c>
      <c r="S1337" s="25" t="str">
        <f t="shared" si="118"/>
        <v>-</v>
      </c>
      <c r="T1337" s="7" t="str">
        <f>_xll.RssMarket(A1337,"出来高加重平均")</f>
        <v/>
      </c>
      <c r="U1337" s="4" t="e">
        <f t="shared" si="119"/>
        <v>#VALUE!</v>
      </c>
      <c r="V1337" s="21" t="str">
        <f>_xll.RssMarket(A1337,"出来高")</f>
        <v/>
      </c>
      <c r="W1337" s="21" t="str">
        <f>_xll.RssMarket(A1337,"売買代金")</f>
        <v/>
      </c>
      <c r="X1337" s="20" t="str">
        <f>_xll.RssMarket(A1337,"決算発表日")</f>
        <v/>
      </c>
      <c r="Y1337" s="26" t="str">
        <f>IF(C1337&gt;_xll.RssMarket(A1337,"年初来高値"),"○","×")</f>
        <v>×</v>
      </c>
      <c r="Z1337" s="27" t="str">
        <f>IF(C1337&lt;=_xll.RssMarket(A1337,"年初来安値"),"○","×")</f>
        <v>○</v>
      </c>
    </row>
    <row r="1338" spans="2:26" x14ac:dyDescent="0.55000000000000004">
      <c r="B1338" s="20" t="str">
        <f>_xll.RssMarket(A1338,"銘柄名称")</f>
        <v/>
      </c>
      <c r="C1338" s="21" t="str">
        <f>_xll.RssMarket(A1338,"現在値")</f>
        <v/>
      </c>
      <c r="D1338" s="20" t="str">
        <f>_xll.RssMarket(A1338,"現在値詳細時刻")</f>
        <v/>
      </c>
      <c r="E1338" s="22" t="str">
        <f>_xll.RssMarket(A1338,"前日比")</f>
        <v/>
      </c>
      <c r="F1338" s="23" t="e">
        <f>_xll.RssMarket(A1338,"前日比率")/100</f>
        <v>#VALUE!</v>
      </c>
      <c r="G1338" s="24" t="str">
        <f>IFERROR(VLOOKUP(A1338,取得元!$A$2:$F$501,2,FALSE),"-")</f>
        <v>-</v>
      </c>
      <c r="H1338" s="24" t="str">
        <f>IFERROR(VLOOKUP(A1338,取得元!$A$2:$F$501,3,FALSE),"-")</f>
        <v>-</v>
      </c>
      <c r="I1338" s="24" t="str">
        <f>IFERROR(VLOOKUP(A1338,取得元!$A$2:$F$501,4,FALSE),"-")</f>
        <v>-</v>
      </c>
      <c r="J1338" s="5" t="str">
        <f>IFERROR(VLOOKUP(A1338,取得元!$A$2:$F$501,5,FALSE),"-")</f>
        <v>-</v>
      </c>
      <c r="K1338" s="25" t="str">
        <f>IFERROR(VLOOKUP(A1338,取得元!$A$2:$F$501,6,FALSE)/100,"-")</f>
        <v>-</v>
      </c>
      <c r="L1338" s="21" t="str">
        <f>_xll.RssMarket(A1338,"始値")</f>
        <v/>
      </c>
      <c r="M1338" s="4" t="e">
        <f t="shared" si="115"/>
        <v>#VALUE!</v>
      </c>
      <c r="N1338" s="21" t="str">
        <f>_xll.RssMarket(A1338,"高値")</f>
        <v/>
      </c>
      <c r="O1338" s="4" t="e">
        <f t="shared" si="116"/>
        <v>#VALUE!</v>
      </c>
      <c r="P1338" s="21" t="str">
        <f>_xll.RssMarket(A1338,"安値")</f>
        <v/>
      </c>
      <c r="Q1338" s="4" t="e">
        <f t="shared" si="117"/>
        <v>#VALUE!</v>
      </c>
      <c r="R1338" s="21" t="str">
        <f>_xll.RssMarket(A1338,"後場始値")</f>
        <v/>
      </c>
      <c r="S1338" s="25" t="str">
        <f t="shared" si="118"/>
        <v>-</v>
      </c>
      <c r="T1338" s="7" t="str">
        <f>_xll.RssMarket(A1338,"出来高加重平均")</f>
        <v/>
      </c>
      <c r="U1338" s="4" t="e">
        <f t="shared" si="119"/>
        <v>#VALUE!</v>
      </c>
      <c r="V1338" s="21" t="str">
        <f>_xll.RssMarket(A1338,"出来高")</f>
        <v/>
      </c>
      <c r="W1338" s="21" t="str">
        <f>_xll.RssMarket(A1338,"売買代金")</f>
        <v/>
      </c>
      <c r="X1338" s="20" t="str">
        <f>_xll.RssMarket(A1338,"決算発表日")</f>
        <v/>
      </c>
      <c r="Y1338" s="26" t="str">
        <f>IF(C1338&gt;_xll.RssMarket(A1338,"年初来高値"),"○","×")</f>
        <v>×</v>
      </c>
      <c r="Z1338" s="27" t="str">
        <f>IF(C1338&lt;=_xll.RssMarket(A1338,"年初来安値"),"○","×")</f>
        <v>○</v>
      </c>
    </row>
    <row r="1339" spans="2:26" x14ac:dyDescent="0.55000000000000004">
      <c r="B1339" s="20" t="str">
        <f>_xll.RssMarket(A1339,"銘柄名称")</f>
        <v/>
      </c>
      <c r="C1339" s="21" t="str">
        <f>_xll.RssMarket(A1339,"現在値")</f>
        <v/>
      </c>
      <c r="D1339" s="20" t="str">
        <f>_xll.RssMarket(A1339,"現在値詳細時刻")</f>
        <v/>
      </c>
      <c r="E1339" s="22" t="str">
        <f>_xll.RssMarket(A1339,"前日比")</f>
        <v/>
      </c>
      <c r="F1339" s="23" t="e">
        <f>_xll.RssMarket(A1339,"前日比率")/100</f>
        <v>#VALUE!</v>
      </c>
      <c r="G1339" s="24" t="str">
        <f>IFERROR(VLOOKUP(A1339,取得元!$A$2:$F$501,2,FALSE),"-")</f>
        <v>-</v>
      </c>
      <c r="H1339" s="24" t="str">
        <f>IFERROR(VLOOKUP(A1339,取得元!$A$2:$F$501,3,FALSE),"-")</f>
        <v>-</v>
      </c>
      <c r="I1339" s="24" t="str">
        <f>IFERROR(VLOOKUP(A1339,取得元!$A$2:$F$501,4,FALSE),"-")</f>
        <v>-</v>
      </c>
      <c r="J1339" s="5" t="str">
        <f>IFERROR(VLOOKUP(A1339,取得元!$A$2:$F$501,5,FALSE),"-")</f>
        <v>-</v>
      </c>
      <c r="K1339" s="25" t="str">
        <f>IFERROR(VLOOKUP(A1339,取得元!$A$2:$F$501,6,FALSE)/100,"-")</f>
        <v>-</v>
      </c>
      <c r="L1339" s="21" t="str">
        <f>_xll.RssMarket(A1339,"始値")</f>
        <v/>
      </c>
      <c r="M1339" s="4" t="e">
        <f t="shared" si="115"/>
        <v>#VALUE!</v>
      </c>
      <c r="N1339" s="21" t="str">
        <f>_xll.RssMarket(A1339,"高値")</f>
        <v/>
      </c>
      <c r="O1339" s="4" t="e">
        <f t="shared" si="116"/>
        <v>#VALUE!</v>
      </c>
      <c r="P1339" s="21" t="str">
        <f>_xll.RssMarket(A1339,"安値")</f>
        <v/>
      </c>
      <c r="Q1339" s="4" t="e">
        <f t="shared" si="117"/>
        <v>#VALUE!</v>
      </c>
      <c r="R1339" s="21" t="str">
        <f>_xll.RssMarket(A1339,"後場始値")</f>
        <v/>
      </c>
      <c r="S1339" s="25" t="str">
        <f t="shared" si="118"/>
        <v>-</v>
      </c>
      <c r="T1339" s="7" t="str">
        <f>_xll.RssMarket(A1339,"出来高加重平均")</f>
        <v/>
      </c>
      <c r="U1339" s="4" t="e">
        <f t="shared" si="119"/>
        <v>#VALUE!</v>
      </c>
      <c r="V1339" s="21" t="str">
        <f>_xll.RssMarket(A1339,"出来高")</f>
        <v/>
      </c>
      <c r="W1339" s="21" t="str">
        <f>_xll.RssMarket(A1339,"売買代金")</f>
        <v/>
      </c>
      <c r="X1339" s="20" t="str">
        <f>_xll.RssMarket(A1339,"決算発表日")</f>
        <v/>
      </c>
      <c r="Y1339" s="26" t="str">
        <f>IF(C1339&gt;_xll.RssMarket(A1339,"年初来高値"),"○","×")</f>
        <v>×</v>
      </c>
      <c r="Z1339" s="27" t="str">
        <f>IF(C1339&lt;=_xll.RssMarket(A1339,"年初来安値"),"○","×")</f>
        <v>○</v>
      </c>
    </row>
    <row r="1340" spans="2:26" x14ac:dyDescent="0.55000000000000004">
      <c r="B1340" s="20" t="str">
        <f>_xll.RssMarket(A1340,"銘柄名称")</f>
        <v/>
      </c>
      <c r="C1340" s="21" t="str">
        <f>_xll.RssMarket(A1340,"現在値")</f>
        <v/>
      </c>
      <c r="D1340" s="20" t="str">
        <f>_xll.RssMarket(A1340,"現在値詳細時刻")</f>
        <v/>
      </c>
      <c r="E1340" s="22" t="str">
        <f>_xll.RssMarket(A1340,"前日比")</f>
        <v/>
      </c>
      <c r="F1340" s="23" t="e">
        <f>_xll.RssMarket(A1340,"前日比率")/100</f>
        <v>#VALUE!</v>
      </c>
      <c r="G1340" s="24" t="str">
        <f>IFERROR(VLOOKUP(A1340,取得元!$A$2:$F$501,2,FALSE),"-")</f>
        <v>-</v>
      </c>
      <c r="H1340" s="24" t="str">
        <f>IFERROR(VLOOKUP(A1340,取得元!$A$2:$F$501,3,FALSE),"-")</f>
        <v>-</v>
      </c>
      <c r="I1340" s="24" t="str">
        <f>IFERROR(VLOOKUP(A1340,取得元!$A$2:$F$501,4,FALSE),"-")</f>
        <v>-</v>
      </c>
      <c r="J1340" s="5" t="str">
        <f>IFERROR(VLOOKUP(A1340,取得元!$A$2:$F$501,5,FALSE),"-")</f>
        <v>-</v>
      </c>
      <c r="K1340" s="25" t="str">
        <f>IFERROR(VLOOKUP(A1340,取得元!$A$2:$F$501,6,FALSE)/100,"-")</f>
        <v>-</v>
      </c>
      <c r="L1340" s="21" t="str">
        <f>_xll.RssMarket(A1340,"始値")</f>
        <v/>
      </c>
      <c r="M1340" s="4" t="e">
        <f t="shared" si="115"/>
        <v>#VALUE!</v>
      </c>
      <c r="N1340" s="21" t="str">
        <f>_xll.RssMarket(A1340,"高値")</f>
        <v/>
      </c>
      <c r="O1340" s="4" t="e">
        <f t="shared" si="116"/>
        <v>#VALUE!</v>
      </c>
      <c r="P1340" s="21" t="str">
        <f>_xll.RssMarket(A1340,"安値")</f>
        <v/>
      </c>
      <c r="Q1340" s="4" t="e">
        <f t="shared" si="117"/>
        <v>#VALUE!</v>
      </c>
      <c r="R1340" s="21" t="str">
        <f>_xll.RssMarket(A1340,"後場始値")</f>
        <v/>
      </c>
      <c r="S1340" s="25" t="str">
        <f t="shared" si="118"/>
        <v>-</v>
      </c>
      <c r="T1340" s="7" t="str">
        <f>_xll.RssMarket(A1340,"出来高加重平均")</f>
        <v/>
      </c>
      <c r="U1340" s="4" t="e">
        <f t="shared" si="119"/>
        <v>#VALUE!</v>
      </c>
      <c r="V1340" s="21" t="str">
        <f>_xll.RssMarket(A1340,"出来高")</f>
        <v/>
      </c>
      <c r="W1340" s="21" t="str">
        <f>_xll.RssMarket(A1340,"売買代金")</f>
        <v/>
      </c>
      <c r="X1340" s="20" t="str">
        <f>_xll.RssMarket(A1340,"決算発表日")</f>
        <v/>
      </c>
      <c r="Y1340" s="26" t="str">
        <f>IF(C1340&gt;_xll.RssMarket(A1340,"年初来高値"),"○","×")</f>
        <v>×</v>
      </c>
      <c r="Z1340" s="27" t="str">
        <f>IF(C1340&lt;=_xll.RssMarket(A1340,"年初来安値"),"○","×")</f>
        <v>○</v>
      </c>
    </row>
    <row r="1341" spans="2:26" x14ac:dyDescent="0.55000000000000004">
      <c r="B1341" s="20" t="str">
        <f>_xll.RssMarket(A1341,"銘柄名称")</f>
        <v/>
      </c>
      <c r="C1341" s="21" t="str">
        <f>_xll.RssMarket(A1341,"現在値")</f>
        <v/>
      </c>
      <c r="D1341" s="20" t="str">
        <f>_xll.RssMarket(A1341,"現在値詳細時刻")</f>
        <v/>
      </c>
      <c r="E1341" s="22" t="str">
        <f>_xll.RssMarket(A1341,"前日比")</f>
        <v/>
      </c>
      <c r="F1341" s="23" t="e">
        <f>_xll.RssMarket(A1341,"前日比率")/100</f>
        <v>#VALUE!</v>
      </c>
      <c r="G1341" s="24" t="str">
        <f>IFERROR(VLOOKUP(A1341,取得元!$A$2:$F$501,2,FALSE),"-")</f>
        <v>-</v>
      </c>
      <c r="H1341" s="24" t="str">
        <f>IFERROR(VLOOKUP(A1341,取得元!$A$2:$F$501,3,FALSE),"-")</f>
        <v>-</v>
      </c>
      <c r="I1341" s="24" t="str">
        <f>IFERROR(VLOOKUP(A1341,取得元!$A$2:$F$501,4,FALSE),"-")</f>
        <v>-</v>
      </c>
      <c r="J1341" s="5" t="str">
        <f>IFERROR(VLOOKUP(A1341,取得元!$A$2:$F$501,5,FALSE),"-")</f>
        <v>-</v>
      </c>
      <c r="K1341" s="25" t="str">
        <f>IFERROR(VLOOKUP(A1341,取得元!$A$2:$F$501,6,FALSE)/100,"-")</f>
        <v>-</v>
      </c>
      <c r="L1341" s="21" t="str">
        <f>_xll.RssMarket(A1341,"始値")</f>
        <v/>
      </c>
      <c r="M1341" s="4" t="e">
        <f t="shared" si="115"/>
        <v>#VALUE!</v>
      </c>
      <c r="N1341" s="21" t="str">
        <f>_xll.RssMarket(A1341,"高値")</f>
        <v/>
      </c>
      <c r="O1341" s="4" t="e">
        <f t="shared" si="116"/>
        <v>#VALUE!</v>
      </c>
      <c r="P1341" s="21" t="str">
        <f>_xll.RssMarket(A1341,"安値")</f>
        <v/>
      </c>
      <c r="Q1341" s="4" t="e">
        <f t="shared" si="117"/>
        <v>#VALUE!</v>
      </c>
      <c r="R1341" s="21" t="str">
        <f>_xll.RssMarket(A1341,"後場始値")</f>
        <v/>
      </c>
      <c r="S1341" s="25" t="str">
        <f t="shared" si="118"/>
        <v>-</v>
      </c>
      <c r="T1341" s="7" t="str">
        <f>_xll.RssMarket(A1341,"出来高加重平均")</f>
        <v/>
      </c>
      <c r="U1341" s="4" t="e">
        <f t="shared" si="119"/>
        <v>#VALUE!</v>
      </c>
      <c r="V1341" s="21" t="str">
        <f>_xll.RssMarket(A1341,"出来高")</f>
        <v/>
      </c>
      <c r="W1341" s="21" t="str">
        <f>_xll.RssMarket(A1341,"売買代金")</f>
        <v/>
      </c>
      <c r="X1341" s="20" t="str">
        <f>_xll.RssMarket(A1341,"決算発表日")</f>
        <v/>
      </c>
      <c r="Y1341" s="26" t="str">
        <f>IF(C1341&gt;_xll.RssMarket(A1341,"年初来高値"),"○","×")</f>
        <v>×</v>
      </c>
      <c r="Z1341" s="27" t="str">
        <f>IF(C1341&lt;=_xll.RssMarket(A1341,"年初来安値"),"○","×")</f>
        <v>○</v>
      </c>
    </row>
    <row r="1342" spans="2:26" x14ac:dyDescent="0.55000000000000004">
      <c r="B1342" s="20" t="str">
        <f>_xll.RssMarket(A1342,"銘柄名称")</f>
        <v/>
      </c>
      <c r="C1342" s="21" t="str">
        <f>_xll.RssMarket(A1342,"現在値")</f>
        <v/>
      </c>
      <c r="D1342" s="20" t="str">
        <f>_xll.RssMarket(A1342,"現在値詳細時刻")</f>
        <v/>
      </c>
      <c r="E1342" s="22" t="str">
        <f>_xll.RssMarket(A1342,"前日比")</f>
        <v/>
      </c>
      <c r="F1342" s="23" t="e">
        <f>_xll.RssMarket(A1342,"前日比率")/100</f>
        <v>#VALUE!</v>
      </c>
      <c r="G1342" s="24" t="str">
        <f>IFERROR(VLOOKUP(A1342,取得元!$A$2:$F$501,2,FALSE),"-")</f>
        <v>-</v>
      </c>
      <c r="H1342" s="24" t="str">
        <f>IFERROR(VLOOKUP(A1342,取得元!$A$2:$F$501,3,FALSE),"-")</f>
        <v>-</v>
      </c>
      <c r="I1342" s="24" t="str">
        <f>IFERROR(VLOOKUP(A1342,取得元!$A$2:$F$501,4,FALSE),"-")</f>
        <v>-</v>
      </c>
      <c r="J1342" s="5" t="str">
        <f>IFERROR(VLOOKUP(A1342,取得元!$A$2:$F$501,5,FALSE),"-")</f>
        <v>-</v>
      </c>
      <c r="K1342" s="25" t="str">
        <f>IFERROR(VLOOKUP(A1342,取得元!$A$2:$F$501,6,FALSE)/100,"-")</f>
        <v>-</v>
      </c>
      <c r="L1342" s="21" t="str">
        <f>_xll.RssMarket(A1342,"始値")</f>
        <v/>
      </c>
      <c r="M1342" s="4" t="e">
        <f t="shared" si="115"/>
        <v>#VALUE!</v>
      </c>
      <c r="N1342" s="21" t="str">
        <f>_xll.RssMarket(A1342,"高値")</f>
        <v/>
      </c>
      <c r="O1342" s="4" t="e">
        <f t="shared" si="116"/>
        <v>#VALUE!</v>
      </c>
      <c r="P1342" s="21" t="str">
        <f>_xll.RssMarket(A1342,"安値")</f>
        <v/>
      </c>
      <c r="Q1342" s="4" t="e">
        <f t="shared" si="117"/>
        <v>#VALUE!</v>
      </c>
      <c r="R1342" s="21" t="str">
        <f>_xll.RssMarket(A1342,"後場始値")</f>
        <v/>
      </c>
      <c r="S1342" s="25" t="str">
        <f t="shared" si="118"/>
        <v>-</v>
      </c>
      <c r="T1342" s="7" t="str">
        <f>_xll.RssMarket(A1342,"出来高加重平均")</f>
        <v/>
      </c>
      <c r="U1342" s="4" t="e">
        <f t="shared" si="119"/>
        <v>#VALUE!</v>
      </c>
      <c r="V1342" s="21" t="str">
        <f>_xll.RssMarket(A1342,"出来高")</f>
        <v/>
      </c>
      <c r="W1342" s="21" t="str">
        <f>_xll.RssMarket(A1342,"売買代金")</f>
        <v/>
      </c>
      <c r="X1342" s="20" t="str">
        <f>_xll.RssMarket(A1342,"決算発表日")</f>
        <v/>
      </c>
      <c r="Y1342" s="26" t="str">
        <f>IF(C1342&gt;_xll.RssMarket(A1342,"年初来高値"),"○","×")</f>
        <v>×</v>
      </c>
      <c r="Z1342" s="27" t="str">
        <f>IF(C1342&lt;=_xll.RssMarket(A1342,"年初来安値"),"○","×")</f>
        <v>○</v>
      </c>
    </row>
    <row r="1343" spans="2:26" x14ac:dyDescent="0.55000000000000004">
      <c r="B1343" s="20" t="str">
        <f>_xll.RssMarket(A1343,"銘柄名称")</f>
        <v/>
      </c>
      <c r="C1343" s="21" t="str">
        <f>_xll.RssMarket(A1343,"現在値")</f>
        <v/>
      </c>
      <c r="D1343" s="20" t="str">
        <f>_xll.RssMarket(A1343,"現在値詳細時刻")</f>
        <v/>
      </c>
      <c r="E1343" s="22" t="str">
        <f>_xll.RssMarket(A1343,"前日比")</f>
        <v/>
      </c>
      <c r="F1343" s="23" t="e">
        <f>_xll.RssMarket(A1343,"前日比率")/100</f>
        <v>#VALUE!</v>
      </c>
      <c r="G1343" s="24" t="str">
        <f>IFERROR(VLOOKUP(A1343,取得元!$A$2:$F$501,2,FALSE),"-")</f>
        <v>-</v>
      </c>
      <c r="H1343" s="24" t="str">
        <f>IFERROR(VLOOKUP(A1343,取得元!$A$2:$F$501,3,FALSE),"-")</f>
        <v>-</v>
      </c>
      <c r="I1343" s="24" t="str">
        <f>IFERROR(VLOOKUP(A1343,取得元!$A$2:$F$501,4,FALSE),"-")</f>
        <v>-</v>
      </c>
      <c r="J1343" s="5" t="str">
        <f>IFERROR(VLOOKUP(A1343,取得元!$A$2:$F$501,5,FALSE),"-")</f>
        <v>-</v>
      </c>
      <c r="K1343" s="25" t="str">
        <f>IFERROR(VLOOKUP(A1343,取得元!$A$2:$F$501,6,FALSE)/100,"-")</f>
        <v>-</v>
      </c>
      <c r="L1343" s="21" t="str">
        <f>_xll.RssMarket(A1343,"始値")</f>
        <v/>
      </c>
      <c r="M1343" s="4" t="e">
        <f t="shared" si="115"/>
        <v>#VALUE!</v>
      </c>
      <c r="N1343" s="21" t="str">
        <f>_xll.RssMarket(A1343,"高値")</f>
        <v/>
      </c>
      <c r="O1343" s="4" t="e">
        <f t="shared" si="116"/>
        <v>#VALUE!</v>
      </c>
      <c r="P1343" s="21" t="str">
        <f>_xll.RssMarket(A1343,"安値")</f>
        <v/>
      </c>
      <c r="Q1343" s="4" t="e">
        <f t="shared" si="117"/>
        <v>#VALUE!</v>
      </c>
      <c r="R1343" s="21" t="str">
        <f>_xll.RssMarket(A1343,"後場始値")</f>
        <v/>
      </c>
      <c r="S1343" s="25" t="str">
        <f t="shared" si="118"/>
        <v>-</v>
      </c>
      <c r="T1343" s="7" t="str">
        <f>_xll.RssMarket(A1343,"出来高加重平均")</f>
        <v/>
      </c>
      <c r="U1343" s="4" t="e">
        <f t="shared" si="119"/>
        <v>#VALUE!</v>
      </c>
      <c r="V1343" s="21" t="str">
        <f>_xll.RssMarket(A1343,"出来高")</f>
        <v/>
      </c>
      <c r="W1343" s="21" t="str">
        <f>_xll.RssMarket(A1343,"売買代金")</f>
        <v/>
      </c>
      <c r="X1343" s="20" t="str">
        <f>_xll.RssMarket(A1343,"決算発表日")</f>
        <v/>
      </c>
      <c r="Y1343" s="26" t="str">
        <f>IF(C1343&gt;_xll.RssMarket(A1343,"年初来高値"),"○","×")</f>
        <v>×</v>
      </c>
      <c r="Z1343" s="27" t="str">
        <f>IF(C1343&lt;=_xll.RssMarket(A1343,"年初来安値"),"○","×")</f>
        <v>○</v>
      </c>
    </row>
    <row r="1344" spans="2:26" x14ac:dyDescent="0.55000000000000004">
      <c r="B1344" s="20" t="str">
        <f>_xll.RssMarket(A1344,"銘柄名称")</f>
        <v/>
      </c>
      <c r="C1344" s="21" t="str">
        <f>_xll.RssMarket(A1344,"現在値")</f>
        <v/>
      </c>
      <c r="D1344" s="20" t="str">
        <f>_xll.RssMarket(A1344,"現在値詳細時刻")</f>
        <v/>
      </c>
      <c r="E1344" s="22" t="str">
        <f>_xll.RssMarket(A1344,"前日比")</f>
        <v/>
      </c>
      <c r="F1344" s="23" t="e">
        <f>_xll.RssMarket(A1344,"前日比率")/100</f>
        <v>#VALUE!</v>
      </c>
      <c r="G1344" s="24" t="str">
        <f>IFERROR(VLOOKUP(A1344,取得元!$A$2:$F$501,2,FALSE),"-")</f>
        <v>-</v>
      </c>
      <c r="H1344" s="24" t="str">
        <f>IFERROR(VLOOKUP(A1344,取得元!$A$2:$F$501,3,FALSE),"-")</f>
        <v>-</v>
      </c>
      <c r="I1344" s="24" t="str">
        <f>IFERROR(VLOOKUP(A1344,取得元!$A$2:$F$501,4,FALSE),"-")</f>
        <v>-</v>
      </c>
      <c r="J1344" s="5" t="str">
        <f>IFERROR(VLOOKUP(A1344,取得元!$A$2:$F$501,5,FALSE),"-")</f>
        <v>-</v>
      </c>
      <c r="K1344" s="25" t="str">
        <f>IFERROR(VLOOKUP(A1344,取得元!$A$2:$F$501,6,FALSE)/100,"-")</f>
        <v>-</v>
      </c>
      <c r="L1344" s="21" t="str">
        <f>_xll.RssMarket(A1344,"始値")</f>
        <v/>
      </c>
      <c r="M1344" s="4" t="e">
        <f t="shared" si="115"/>
        <v>#VALUE!</v>
      </c>
      <c r="N1344" s="21" t="str">
        <f>_xll.RssMarket(A1344,"高値")</f>
        <v/>
      </c>
      <c r="O1344" s="4" t="e">
        <f t="shared" si="116"/>
        <v>#VALUE!</v>
      </c>
      <c r="P1344" s="21" t="str">
        <f>_xll.RssMarket(A1344,"安値")</f>
        <v/>
      </c>
      <c r="Q1344" s="4" t="e">
        <f t="shared" si="117"/>
        <v>#VALUE!</v>
      </c>
      <c r="R1344" s="21" t="str">
        <f>_xll.RssMarket(A1344,"後場始値")</f>
        <v/>
      </c>
      <c r="S1344" s="25" t="str">
        <f t="shared" si="118"/>
        <v>-</v>
      </c>
      <c r="T1344" s="7" t="str">
        <f>_xll.RssMarket(A1344,"出来高加重平均")</f>
        <v/>
      </c>
      <c r="U1344" s="4" t="e">
        <f t="shared" si="119"/>
        <v>#VALUE!</v>
      </c>
      <c r="V1344" s="21" t="str">
        <f>_xll.RssMarket(A1344,"出来高")</f>
        <v/>
      </c>
      <c r="W1344" s="21" t="str">
        <f>_xll.RssMarket(A1344,"売買代金")</f>
        <v/>
      </c>
      <c r="X1344" s="20" t="str">
        <f>_xll.RssMarket(A1344,"決算発表日")</f>
        <v/>
      </c>
      <c r="Y1344" s="26" t="str">
        <f>IF(C1344&gt;_xll.RssMarket(A1344,"年初来高値"),"○","×")</f>
        <v>×</v>
      </c>
      <c r="Z1344" s="27" t="str">
        <f>IF(C1344&lt;=_xll.RssMarket(A1344,"年初来安値"),"○","×")</f>
        <v>○</v>
      </c>
    </row>
    <row r="1345" spans="2:26" x14ac:dyDescent="0.55000000000000004">
      <c r="B1345" s="20" t="str">
        <f>_xll.RssMarket(A1345,"銘柄名称")</f>
        <v/>
      </c>
      <c r="C1345" s="21" t="str">
        <f>_xll.RssMarket(A1345,"現在値")</f>
        <v/>
      </c>
      <c r="D1345" s="20" t="str">
        <f>_xll.RssMarket(A1345,"現在値詳細時刻")</f>
        <v/>
      </c>
      <c r="E1345" s="22" t="str">
        <f>_xll.RssMarket(A1345,"前日比")</f>
        <v/>
      </c>
      <c r="F1345" s="23" t="e">
        <f>_xll.RssMarket(A1345,"前日比率")/100</f>
        <v>#VALUE!</v>
      </c>
      <c r="G1345" s="24" t="str">
        <f>IFERROR(VLOOKUP(A1345,取得元!$A$2:$F$501,2,FALSE),"-")</f>
        <v>-</v>
      </c>
      <c r="H1345" s="24" t="str">
        <f>IFERROR(VLOOKUP(A1345,取得元!$A$2:$F$501,3,FALSE),"-")</f>
        <v>-</v>
      </c>
      <c r="I1345" s="24" t="str">
        <f>IFERROR(VLOOKUP(A1345,取得元!$A$2:$F$501,4,FALSE),"-")</f>
        <v>-</v>
      </c>
      <c r="J1345" s="5" t="str">
        <f>IFERROR(VLOOKUP(A1345,取得元!$A$2:$F$501,5,FALSE),"-")</f>
        <v>-</v>
      </c>
      <c r="K1345" s="25" t="str">
        <f>IFERROR(VLOOKUP(A1345,取得元!$A$2:$F$501,6,FALSE)/100,"-")</f>
        <v>-</v>
      </c>
      <c r="L1345" s="21" t="str">
        <f>_xll.RssMarket(A1345,"始値")</f>
        <v/>
      </c>
      <c r="M1345" s="4" t="e">
        <f t="shared" si="115"/>
        <v>#VALUE!</v>
      </c>
      <c r="N1345" s="21" t="str">
        <f>_xll.RssMarket(A1345,"高値")</f>
        <v/>
      </c>
      <c r="O1345" s="4" t="e">
        <f t="shared" si="116"/>
        <v>#VALUE!</v>
      </c>
      <c r="P1345" s="21" t="str">
        <f>_xll.RssMarket(A1345,"安値")</f>
        <v/>
      </c>
      <c r="Q1345" s="4" t="e">
        <f t="shared" si="117"/>
        <v>#VALUE!</v>
      </c>
      <c r="R1345" s="21" t="str">
        <f>_xll.RssMarket(A1345,"後場始値")</f>
        <v/>
      </c>
      <c r="S1345" s="25" t="str">
        <f t="shared" si="118"/>
        <v>-</v>
      </c>
      <c r="T1345" s="7" t="str">
        <f>_xll.RssMarket(A1345,"出来高加重平均")</f>
        <v/>
      </c>
      <c r="U1345" s="4" t="e">
        <f t="shared" si="119"/>
        <v>#VALUE!</v>
      </c>
      <c r="V1345" s="21" t="str">
        <f>_xll.RssMarket(A1345,"出来高")</f>
        <v/>
      </c>
      <c r="W1345" s="21" t="str">
        <f>_xll.RssMarket(A1345,"売買代金")</f>
        <v/>
      </c>
      <c r="X1345" s="20" t="str">
        <f>_xll.RssMarket(A1345,"決算発表日")</f>
        <v/>
      </c>
      <c r="Y1345" s="26" t="str">
        <f>IF(C1345&gt;_xll.RssMarket(A1345,"年初来高値"),"○","×")</f>
        <v>×</v>
      </c>
      <c r="Z1345" s="27" t="str">
        <f>IF(C1345&lt;=_xll.RssMarket(A1345,"年初来安値"),"○","×")</f>
        <v>○</v>
      </c>
    </row>
    <row r="1346" spans="2:26" x14ac:dyDescent="0.55000000000000004">
      <c r="B1346" s="20" t="str">
        <f>_xll.RssMarket(A1346,"銘柄名称")</f>
        <v/>
      </c>
      <c r="C1346" s="21" t="str">
        <f>_xll.RssMarket(A1346,"現在値")</f>
        <v/>
      </c>
      <c r="D1346" s="20" t="str">
        <f>_xll.RssMarket(A1346,"現在値詳細時刻")</f>
        <v/>
      </c>
      <c r="E1346" s="22" t="str">
        <f>_xll.RssMarket(A1346,"前日比")</f>
        <v/>
      </c>
      <c r="F1346" s="23" t="e">
        <f>_xll.RssMarket(A1346,"前日比率")/100</f>
        <v>#VALUE!</v>
      </c>
      <c r="G1346" s="24" t="str">
        <f>IFERROR(VLOOKUP(A1346,取得元!$A$2:$F$501,2,FALSE),"-")</f>
        <v>-</v>
      </c>
      <c r="H1346" s="24" t="str">
        <f>IFERROR(VLOOKUP(A1346,取得元!$A$2:$F$501,3,FALSE),"-")</f>
        <v>-</v>
      </c>
      <c r="I1346" s="24" t="str">
        <f>IFERROR(VLOOKUP(A1346,取得元!$A$2:$F$501,4,FALSE),"-")</f>
        <v>-</v>
      </c>
      <c r="J1346" s="5" t="str">
        <f>IFERROR(VLOOKUP(A1346,取得元!$A$2:$F$501,5,FALSE),"-")</f>
        <v>-</v>
      </c>
      <c r="K1346" s="25" t="str">
        <f>IFERROR(VLOOKUP(A1346,取得元!$A$2:$F$501,6,FALSE)/100,"-")</f>
        <v>-</v>
      </c>
      <c r="L1346" s="21" t="str">
        <f>_xll.RssMarket(A1346,"始値")</f>
        <v/>
      </c>
      <c r="M1346" s="4" t="e">
        <f t="shared" si="115"/>
        <v>#VALUE!</v>
      </c>
      <c r="N1346" s="21" t="str">
        <f>_xll.RssMarket(A1346,"高値")</f>
        <v/>
      </c>
      <c r="O1346" s="4" t="e">
        <f t="shared" si="116"/>
        <v>#VALUE!</v>
      </c>
      <c r="P1346" s="21" t="str">
        <f>_xll.RssMarket(A1346,"安値")</f>
        <v/>
      </c>
      <c r="Q1346" s="4" t="e">
        <f t="shared" si="117"/>
        <v>#VALUE!</v>
      </c>
      <c r="R1346" s="21" t="str">
        <f>_xll.RssMarket(A1346,"後場始値")</f>
        <v/>
      </c>
      <c r="S1346" s="25" t="str">
        <f t="shared" si="118"/>
        <v>-</v>
      </c>
      <c r="T1346" s="7" t="str">
        <f>_xll.RssMarket(A1346,"出来高加重平均")</f>
        <v/>
      </c>
      <c r="U1346" s="4" t="e">
        <f t="shared" si="119"/>
        <v>#VALUE!</v>
      </c>
      <c r="V1346" s="21" t="str">
        <f>_xll.RssMarket(A1346,"出来高")</f>
        <v/>
      </c>
      <c r="W1346" s="21" t="str">
        <f>_xll.RssMarket(A1346,"売買代金")</f>
        <v/>
      </c>
      <c r="X1346" s="20" t="str">
        <f>_xll.RssMarket(A1346,"決算発表日")</f>
        <v/>
      </c>
      <c r="Y1346" s="26" t="str">
        <f>IF(C1346&gt;_xll.RssMarket(A1346,"年初来高値"),"○","×")</f>
        <v>×</v>
      </c>
      <c r="Z1346" s="27" t="str">
        <f>IF(C1346&lt;=_xll.RssMarket(A1346,"年初来安値"),"○","×")</f>
        <v>○</v>
      </c>
    </row>
    <row r="1347" spans="2:26" x14ac:dyDescent="0.55000000000000004">
      <c r="B1347" s="20" t="str">
        <f>_xll.RssMarket(A1347,"銘柄名称")</f>
        <v/>
      </c>
      <c r="C1347" s="21" t="str">
        <f>_xll.RssMarket(A1347,"現在値")</f>
        <v/>
      </c>
      <c r="D1347" s="20" t="str">
        <f>_xll.RssMarket(A1347,"現在値詳細時刻")</f>
        <v/>
      </c>
      <c r="E1347" s="22" t="str">
        <f>_xll.RssMarket(A1347,"前日比")</f>
        <v/>
      </c>
      <c r="F1347" s="23" t="e">
        <f>_xll.RssMarket(A1347,"前日比率")/100</f>
        <v>#VALUE!</v>
      </c>
      <c r="G1347" s="24" t="str">
        <f>IFERROR(VLOOKUP(A1347,取得元!$A$2:$F$501,2,FALSE),"-")</f>
        <v>-</v>
      </c>
      <c r="H1347" s="24" t="str">
        <f>IFERROR(VLOOKUP(A1347,取得元!$A$2:$F$501,3,FALSE),"-")</f>
        <v>-</v>
      </c>
      <c r="I1347" s="24" t="str">
        <f>IFERROR(VLOOKUP(A1347,取得元!$A$2:$F$501,4,FALSE),"-")</f>
        <v>-</v>
      </c>
      <c r="J1347" s="5" t="str">
        <f>IFERROR(VLOOKUP(A1347,取得元!$A$2:$F$501,5,FALSE),"-")</f>
        <v>-</v>
      </c>
      <c r="K1347" s="25" t="str">
        <f>IFERROR(VLOOKUP(A1347,取得元!$A$2:$F$501,6,FALSE)/100,"-")</f>
        <v>-</v>
      </c>
      <c r="L1347" s="21" t="str">
        <f>_xll.RssMarket(A1347,"始値")</f>
        <v/>
      </c>
      <c r="M1347" s="4" t="e">
        <f t="shared" si="115"/>
        <v>#VALUE!</v>
      </c>
      <c r="N1347" s="21" t="str">
        <f>_xll.RssMarket(A1347,"高値")</f>
        <v/>
      </c>
      <c r="O1347" s="4" t="e">
        <f t="shared" si="116"/>
        <v>#VALUE!</v>
      </c>
      <c r="P1347" s="21" t="str">
        <f>_xll.RssMarket(A1347,"安値")</f>
        <v/>
      </c>
      <c r="Q1347" s="4" t="e">
        <f t="shared" si="117"/>
        <v>#VALUE!</v>
      </c>
      <c r="R1347" s="21" t="str">
        <f>_xll.RssMarket(A1347,"後場始値")</f>
        <v/>
      </c>
      <c r="S1347" s="25" t="str">
        <f t="shared" si="118"/>
        <v>-</v>
      </c>
      <c r="T1347" s="7" t="str">
        <f>_xll.RssMarket(A1347,"出来高加重平均")</f>
        <v/>
      </c>
      <c r="U1347" s="4" t="e">
        <f t="shared" si="119"/>
        <v>#VALUE!</v>
      </c>
      <c r="V1347" s="21" t="str">
        <f>_xll.RssMarket(A1347,"出来高")</f>
        <v/>
      </c>
      <c r="W1347" s="21" t="str">
        <f>_xll.RssMarket(A1347,"売買代金")</f>
        <v/>
      </c>
      <c r="X1347" s="20" t="str">
        <f>_xll.RssMarket(A1347,"決算発表日")</f>
        <v/>
      </c>
      <c r="Y1347" s="26" t="str">
        <f>IF(C1347&gt;_xll.RssMarket(A1347,"年初来高値"),"○","×")</f>
        <v>×</v>
      </c>
      <c r="Z1347" s="27" t="str">
        <f>IF(C1347&lt;=_xll.RssMarket(A1347,"年初来安値"),"○","×")</f>
        <v>○</v>
      </c>
    </row>
    <row r="1348" spans="2:26" x14ac:dyDescent="0.55000000000000004">
      <c r="B1348" s="20" t="str">
        <f>_xll.RssMarket(A1348,"銘柄名称")</f>
        <v/>
      </c>
      <c r="C1348" s="21" t="str">
        <f>_xll.RssMarket(A1348,"現在値")</f>
        <v/>
      </c>
      <c r="D1348" s="20" t="str">
        <f>_xll.RssMarket(A1348,"現在値詳細時刻")</f>
        <v/>
      </c>
      <c r="E1348" s="22" t="str">
        <f>_xll.RssMarket(A1348,"前日比")</f>
        <v/>
      </c>
      <c r="F1348" s="23" t="e">
        <f>_xll.RssMarket(A1348,"前日比率")/100</f>
        <v>#VALUE!</v>
      </c>
      <c r="G1348" s="24" t="str">
        <f>IFERROR(VLOOKUP(A1348,取得元!$A$2:$F$501,2,FALSE),"-")</f>
        <v>-</v>
      </c>
      <c r="H1348" s="24" t="str">
        <f>IFERROR(VLOOKUP(A1348,取得元!$A$2:$F$501,3,FALSE),"-")</f>
        <v>-</v>
      </c>
      <c r="I1348" s="24" t="str">
        <f>IFERROR(VLOOKUP(A1348,取得元!$A$2:$F$501,4,FALSE),"-")</f>
        <v>-</v>
      </c>
      <c r="J1348" s="5" t="str">
        <f>IFERROR(VLOOKUP(A1348,取得元!$A$2:$F$501,5,FALSE),"-")</f>
        <v>-</v>
      </c>
      <c r="K1348" s="25" t="str">
        <f>IFERROR(VLOOKUP(A1348,取得元!$A$2:$F$501,6,FALSE)/100,"-")</f>
        <v>-</v>
      </c>
      <c r="L1348" s="21" t="str">
        <f>_xll.RssMarket(A1348,"始値")</f>
        <v/>
      </c>
      <c r="M1348" s="4" t="e">
        <f t="shared" si="115"/>
        <v>#VALUE!</v>
      </c>
      <c r="N1348" s="21" t="str">
        <f>_xll.RssMarket(A1348,"高値")</f>
        <v/>
      </c>
      <c r="O1348" s="4" t="e">
        <f t="shared" si="116"/>
        <v>#VALUE!</v>
      </c>
      <c r="P1348" s="21" t="str">
        <f>_xll.RssMarket(A1348,"安値")</f>
        <v/>
      </c>
      <c r="Q1348" s="4" t="e">
        <f t="shared" si="117"/>
        <v>#VALUE!</v>
      </c>
      <c r="R1348" s="21" t="str">
        <f>_xll.RssMarket(A1348,"後場始値")</f>
        <v/>
      </c>
      <c r="S1348" s="25" t="str">
        <f t="shared" si="118"/>
        <v>-</v>
      </c>
      <c r="T1348" s="7" t="str">
        <f>_xll.RssMarket(A1348,"出来高加重平均")</f>
        <v/>
      </c>
      <c r="U1348" s="4" t="e">
        <f t="shared" si="119"/>
        <v>#VALUE!</v>
      </c>
      <c r="V1348" s="21" t="str">
        <f>_xll.RssMarket(A1348,"出来高")</f>
        <v/>
      </c>
      <c r="W1348" s="21" t="str">
        <f>_xll.RssMarket(A1348,"売買代金")</f>
        <v/>
      </c>
      <c r="X1348" s="20" t="str">
        <f>_xll.RssMarket(A1348,"決算発表日")</f>
        <v/>
      </c>
      <c r="Y1348" s="26" t="str">
        <f>IF(C1348&gt;_xll.RssMarket(A1348,"年初来高値"),"○","×")</f>
        <v>×</v>
      </c>
      <c r="Z1348" s="27" t="str">
        <f>IF(C1348&lt;=_xll.RssMarket(A1348,"年初来安値"),"○","×")</f>
        <v>○</v>
      </c>
    </row>
    <row r="1349" spans="2:26" x14ac:dyDescent="0.55000000000000004">
      <c r="B1349" s="20" t="str">
        <f>_xll.RssMarket(A1349,"銘柄名称")</f>
        <v/>
      </c>
      <c r="C1349" s="21" t="str">
        <f>_xll.RssMarket(A1349,"現在値")</f>
        <v/>
      </c>
      <c r="D1349" s="20" t="str">
        <f>_xll.RssMarket(A1349,"現在値詳細時刻")</f>
        <v/>
      </c>
      <c r="E1349" s="22" t="str">
        <f>_xll.RssMarket(A1349,"前日比")</f>
        <v/>
      </c>
      <c r="F1349" s="23" t="e">
        <f>_xll.RssMarket(A1349,"前日比率")/100</f>
        <v>#VALUE!</v>
      </c>
      <c r="G1349" s="24" t="str">
        <f>IFERROR(VLOOKUP(A1349,取得元!$A$2:$F$501,2,FALSE),"-")</f>
        <v>-</v>
      </c>
      <c r="H1349" s="24" t="str">
        <f>IFERROR(VLOOKUP(A1349,取得元!$A$2:$F$501,3,FALSE),"-")</f>
        <v>-</v>
      </c>
      <c r="I1349" s="24" t="str">
        <f>IFERROR(VLOOKUP(A1349,取得元!$A$2:$F$501,4,FALSE),"-")</f>
        <v>-</v>
      </c>
      <c r="J1349" s="5" t="str">
        <f>IFERROR(VLOOKUP(A1349,取得元!$A$2:$F$501,5,FALSE),"-")</f>
        <v>-</v>
      </c>
      <c r="K1349" s="25" t="str">
        <f>IFERROR(VLOOKUP(A1349,取得元!$A$2:$F$501,6,FALSE)/100,"-")</f>
        <v>-</v>
      </c>
      <c r="L1349" s="21" t="str">
        <f>_xll.RssMarket(A1349,"始値")</f>
        <v/>
      </c>
      <c r="M1349" s="4" t="e">
        <f t="shared" si="115"/>
        <v>#VALUE!</v>
      </c>
      <c r="N1349" s="21" t="str">
        <f>_xll.RssMarket(A1349,"高値")</f>
        <v/>
      </c>
      <c r="O1349" s="4" t="e">
        <f t="shared" si="116"/>
        <v>#VALUE!</v>
      </c>
      <c r="P1349" s="21" t="str">
        <f>_xll.RssMarket(A1349,"安値")</f>
        <v/>
      </c>
      <c r="Q1349" s="4" t="e">
        <f t="shared" si="117"/>
        <v>#VALUE!</v>
      </c>
      <c r="R1349" s="21" t="str">
        <f>_xll.RssMarket(A1349,"後場始値")</f>
        <v/>
      </c>
      <c r="S1349" s="25" t="str">
        <f t="shared" si="118"/>
        <v>-</v>
      </c>
      <c r="T1349" s="7" t="str">
        <f>_xll.RssMarket(A1349,"出来高加重平均")</f>
        <v/>
      </c>
      <c r="U1349" s="4" t="e">
        <f t="shared" si="119"/>
        <v>#VALUE!</v>
      </c>
      <c r="V1349" s="21" t="str">
        <f>_xll.RssMarket(A1349,"出来高")</f>
        <v/>
      </c>
      <c r="W1349" s="21" t="str">
        <f>_xll.RssMarket(A1349,"売買代金")</f>
        <v/>
      </c>
      <c r="X1349" s="20" t="str">
        <f>_xll.RssMarket(A1349,"決算発表日")</f>
        <v/>
      </c>
      <c r="Y1349" s="26" t="str">
        <f>IF(C1349&gt;_xll.RssMarket(A1349,"年初来高値"),"○","×")</f>
        <v>×</v>
      </c>
      <c r="Z1349" s="27" t="str">
        <f>IF(C1349&lt;=_xll.RssMarket(A1349,"年初来安値"),"○","×")</f>
        <v>○</v>
      </c>
    </row>
    <row r="1350" spans="2:26" x14ac:dyDescent="0.55000000000000004">
      <c r="B1350" s="20" t="str">
        <f>_xll.RssMarket(A1350,"銘柄名称")</f>
        <v/>
      </c>
      <c r="C1350" s="21" t="str">
        <f>_xll.RssMarket(A1350,"現在値")</f>
        <v/>
      </c>
      <c r="D1350" s="20" t="str">
        <f>_xll.RssMarket(A1350,"現在値詳細時刻")</f>
        <v/>
      </c>
      <c r="E1350" s="22" t="str">
        <f>_xll.RssMarket(A1350,"前日比")</f>
        <v/>
      </c>
      <c r="F1350" s="23" t="e">
        <f>_xll.RssMarket(A1350,"前日比率")/100</f>
        <v>#VALUE!</v>
      </c>
      <c r="G1350" s="24" t="str">
        <f>IFERROR(VLOOKUP(A1350,取得元!$A$2:$F$501,2,FALSE),"-")</f>
        <v>-</v>
      </c>
      <c r="H1350" s="24" t="str">
        <f>IFERROR(VLOOKUP(A1350,取得元!$A$2:$F$501,3,FALSE),"-")</f>
        <v>-</v>
      </c>
      <c r="I1350" s="24" t="str">
        <f>IFERROR(VLOOKUP(A1350,取得元!$A$2:$F$501,4,FALSE),"-")</f>
        <v>-</v>
      </c>
      <c r="J1350" s="5" t="str">
        <f>IFERROR(VLOOKUP(A1350,取得元!$A$2:$F$501,5,FALSE),"-")</f>
        <v>-</v>
      </c>
      <c r="K1350" s="25" t="str">
        <f>IFERROR(VLOOKUP(A1350,取得元!$A$2:$F$501,6,FALSE)/100,"-")</f>
        <v>-</v>
      </c>
      <c r="L1350" s="21" t="str">
        <f>_xll.RssMarket(A1350,"始値")</f>
        <v/>
      </c>
      <c r="M1350" s="4" t="e">
        <f t="shared" si="115"/>
        <v>#VALUE!</v>
      </c>
      <c r="N1350" s="21" t="str">
        <f>_xll.RssMarket(A1350,"高値")</f>
        <v/>
      </c>
      <c r="O1350" s="4" t="e">
        <f t="shared" si="116"/>
        <v>#VALUE!</v>
      </c>
      <c r="P1350" s="21" t="str">
        <f>_xll.RssMarket(A1350,"安値")</f>
        <v/>
      </c>
      <c r="Q1350" s="4" t="e">
        <f t="shared" si="117"/>
        <v>#VALUE!</v>
      </c>
      <c r="R1350" s="21" t="str">
        <f>_xll.RssMarket(A1350,"後場始値")</f>
        <v/>
      </c>
      <c r="S1350" s="25" t="str">
        <f t="shared" si="118"/>
        <v>-</v>
      </c>
      <c r="T1350" s="7" t="str">
        <f>_xll.RssMarket(A1350,"出来高加重平均")</f>
        <v/>
      </c>
      <c r="U1350" s="4" t="e">
        <f t="shared" si="119"/>
        <v>#VALUE!</v>
      </c>
      <c r="V1350" s="21" t="str">
        <f>_xll.RssMarket(A1350,"出来高")</f>
        <v/>
      </c>
      <c r="W1350" s="21" t="str">
        <f>_xll.RssMarket(A1350,"売買代金")</f>
        <v/>
      </c>
      <c r="X1350" s="20" t="str">
        <f>_xll.RssMarket(A1350,"決算発表日")</f>
        <v/>
      </c>
      <c r="Y1350" s="26" t="str">
        <f>IF(C1350&gt;_xll.RssMarket(A1350,"年初来高値"),"○","×")</f>
        <v>×</v>
      </c>
      <c r="Z1350" s="27" t="str">
        <f>IF(C1350&lt;=_xll.RssMarket(A1350,"年初来安値"),"○","×")</f>
        <v>○</v>
      </c>
    </row>
    <row r="1351" spans="2:26" x14ac:dyDescent="0.55000000000000004">
      <c r="B1351" s="20" t="str">
        <f>_xll.RssMarket(A1351,"銘柄名称")</f>
        <v/>
      </c>
      <c r="C1351" s="21" t="str">
        <f>_xll.RssMarket(A1351,"現在値")</f>
        <v/>
      </c>
      <c r="D1351" s="20" t="str">
        <f>_xll.RssMarket(A1351,"現在値詳細時刻")</f>
        <v/>
      </c>
      <c r="E1351" s="22" t="str">
        <f>_xll.RssMarket(A1351,"前日比")</f>
        <v/>
      </c>
      <c r="F1351" s="23" t="e">
        <f>_xll.RssMarket(A1351,"前日比率")/100</f>
        <v>#VALUE!</v>
      </c>
      <c r="G1351" s="24" t="str">
        <f>IFERROR(VLOOKUP(A1351,取得元!$A$2:$F$501,2,FALSE),"-")</f>
        <v>-</v>
      </c>
      <c r="H1351" s="24" t="str">
        <f>IFERROR(VLOOKUP(A1351,取得元!$A$2:$F$501,3,FALSE),"-")</f>
        <v>-</v>
      </c>
      <c r="I1351" s="24" t="str">
        <f>IFERROR(VLOOKUP(A1351,取得元!$A$2:$F$501,4,FALSE),"-")</f>
        <v>-</v>
      </c>
      <c r="J1351" s="5" t="str">
        <f>IFERROR(VLOOKUP(A1351,取得元!$A$2:$F$501,5,FALSE),"-")</f>
        <v>-</v>
      </c>
      <c r="K1351" s="25" t="str">
        <f>IFERROR(VLOOKUP(A1351,取得元!$A$2:$F$501,6,FALSE)/100,"-")</f>
        <v>-</v>
      </c>
      <c r="L1351" s="21" t="str">
        <f>_xll.RssMarket(A1351,"始値")</f>
        <v/>
      </c>
      <c r="M1351" s="4" t="e">
        <f t="shared" si="115"/>
        <v>#VALUE!</v>
      </c>
      <c r="N1351" s="21" t="str">
        <f>_xll.RssMarket(A1351,"高値")</f>
        <v/>
      </c>
      <c r="O1351" s="4" t="e">
        <f t="shared" si="116"/>
        <v>#VALUE!</v>
      </c>
      <c r="P1351" s="21" t="str">
        <f>_xll.RssMarket(A1351,"安値")</f>
        <v/>
      </c>
      <c r="Q1351" s="4" t="e">
        <f t="shared" si="117"/>
        <v>#VALUE!</v>
      </c>
      <c r="R1351" s="21" t="str">
        <f>_xll.RssMarket(A1351,"後場始値")</f>
        <v/>
      </c>
      <c r="S1351" s="25" t="str">
        <f t="shared" si="118"/>
        <v>-</v>
      </c>
      <c r="T1351" s="7" t="str">
        <f>_xll.RssMarket(A1351,"出来高加重平均")</f>
        <v/>
      </c>
      <c r="U1351" s="4" t="e">
        <f t="shared" si="119"/>
        <v>#VALUE!</v>
      </c>
      <c r="V1351" s="21" t="str">
        <f>_xll.RssMarket(A1351,"出来高")</f>
        <v/>
      </c>
      <c r="W1351" s="21" t="str">
        <f>_xll.RssMarket(A1351,"売買代金")</f>
        <v/>
      </c>
      <c r="X1351" s="20" t="str">
        <f>_xll.RssMarket(A1351,"決算発表日")</f>
        <v/>
      </c>
      <c r="Y1351" s="26" t="str">
        <f>IF(C1351&gt;_xll.RssMarket(A1351,"年初来高値"),"○","×")</f>
        <v>×</v>
      </c>
      <c r="Z1351" s="27" t="str">
        <f>IF(C1351&lt;=_xll.RssMarket(A1351,"年初来安値"),"○","×")</f>
        <v>○</v>
      </c>
    </row>
    <row r="1352" spans="2:26" x14ac:dyDescent="0.55000000000000004">
      <c r="B1352" s="20" t="str">
        <f>_xll.RssMarket(A1352,"銘柄名称")</f>
        <v/>
      </c>
      <c r="C1352" s="21" t="str">
        <f>_xll.RssMarket(A1352,"現在値")</f>
        <v/>
      </c>
      <c r="D1352" s="20" t="str">
        <f>_xll.RssMarket(A1352,"現在値詳細時刻")</f>
        <v/>
      </c>
      <c r="E1352" s="22" t="str">
        <f>_xll.RssMarket(A1352,"前日比")</f>
        <v/>
      </c>
      <c r="F1352" s="23" t="e">
        <f>_xll.RssMarket(A1352,"前日比率")/100</f>
        <v>#VALUE!</v>
      </c>
      <c r="G1352" s="24" t="str">
        <f>IFERROR(VLOOKUP(A1352,取得元!$A$2:$F$501,2,FALSE),"-")</f>
        <v>-</v>
      </c>
      <c r="H1352" s="24" t="str">
        <f>IFERROR(VLOOKUP(A1352,取得元!$A$2:$F$501,3,FALSE),"-")</f>
        <v>-</v>
      </c>
      <c r="I1352" s="24" t="str">
        <f>IFERROR(VLOOKUP(A1352,取得元!$A$2:$F$501,4,FALSE),"-")</f>
        <v>-</v>
      </c>
      <c r="J1352" s="5" t="str">
        <f>IFERROR(VLOOKUP(A1352,取得元!$A$2:$F$501,5,FALSE),"-")</f>
        <v>-</v>
      </c>
      <c r="K1352" s="25" t="str">
        <f>IFERROR(VLOOKUP(A1352,取得元!$A$2:$F$501,6,FALSE)/100,"-")</f>
        <v>-</v>
      </c>
      <c r="L1352" s="21" t="str">
        <f>_xll.RssMarket(A1352,"始値")</f>
        <v/>
      </c>
      <c r="M1352" s="4" t="e">
        <f t="shared" si="115"/>
        <v>#VALUE!</v>
      </c>
      <c r="N1352" s="21" t="str">
        <f>_xll.RssMarket(A1352,"高値")</f>
        <v/>
      </c>
      <c r="O1352" s="4" t="e">
        <f t="shared" si="116"/>
        <v>#VALUE!</v>
      </c>
      <c r="P1352" s="21" t="str">
        <f>_xll.RssMarket(A1352,"安値")</f>
        <v/>
      </c>
      <c r="Q1352" s="4" t="e">
        <f t="shared" si="117"/>
        <v>#VALUE!</v>
      </c>
      <c r="R1352" s="21" t="str">
        <f>_xll.RssMarket(A1352,"後場始値")</f>
        <v/>
      </c>
      <c r="S1352" s="25" t="str">
        <f t="shared" si="118"/>
        <v>-</v>
      </c>
      <c r="T1352" s="7" t="str">
        <f>_xll.RssMarket(A1352,"出来高加重平均")</f>
        <v/>
      </c>
      <c r="U1352" s="4" t="e">
        <f t="shared" si="119"/>
        <v>#VALUE!</v>
      </c>
      <c r="V1352" s="21" t="str">
        <f>_xll.RssMarket(A1352,"出来高")</f>
        <v/>
      </c>
      <c r="W1352" s="21" t="str">
        <f>_xll.RssMarket(A1352,"売買代金")</f>
        <v/>
      </c>
      <c r="X1352" s="20" t="str">
        <f>_xll.RssMarket(A1352,"決算発表日")</f>
        <v/>
      </c>
      <c r="Y1352" s="26" t="str">
        <f>IF(C1352&gt;_xll.RssMarket(A1352,"年初来高値"),"○","×")</f>
        <v>×</v>
      </c>
      <c r="Z1352" s="27" t="str">
        <f>IF(C1352&lt;=_xll.RssMarket(A1352,"年初来安値"),"○","×")</f>
        <v>○</v>
      </c>
    </row>
    <row r="1353" spans="2:26" x14ac:dyDescent="0.55000000000000004">
      <c r="B1353" s="20" t="str">
        <f>_xll.RssMarket(A1353,"銘柄名称")</f>
        <v/>
      </c>
      <c r="C1353" s="21" t="str">
        <f>_xll.RssMarket(A1353,"現在値")</f>
        <v/>
      </c>
      <c r="D1353" s="20" t="str">
        <f>_xll.RssMarket(A1353,"現在値詳細時刻")</f>
        <v/>
      </c>
      <c r="E1353" s="22" t="str">
        <f>_xll.RssMarket(A1353,"前日比")</f>
        <v/>
      </c>
      <c r="F1353" s="23" t="e">
        <f>_xll.RssMarket(A1353,"前日比率")/100</f>
        <v>#VALUE!</v>
      </c>
      <c r="G1353" s="24" t="str">
        <f>IFERROR(VLOOKUP(A1353,取得元!$A$2:$F$501,2,FALSE),"-")</f>
        <v>-</v>
      </c>
      <c r="H1353" s="24" t="str">
        <f>IFERROR(VLOOKUP(A1353,取得元!$A$2:$F$501,3,FALSE),"-")</f>
        <v>-</v>
      </c>
      <c r="I1353" s="24" t="str">
        <f>IFERROR(VLOOKUP(A1353,取得元!$A$2:$F$501,4,FALSE),"-")</f>
        <v>-</v>
      </c>
      <c r="J1353" s="5" t="str">
        <f>IFERROR(VLOOKUP(A1353,取得元!$A$2:$F$501,5,FALSE),"-")</f>
        <v>-</v>
      </c>
      <c r="K1353" s="25" t="str">
        <f>IFERROR(VLOOKUP(A1353,取得元!$A$2:$F$501,6,FALSE)/100,"-")</f>
        <v>-</v>
      </c>
      <c r="L1353" s="21" t="str">
        <f>_xll.RssMarket(A1353,"始値")</f>
        <v/>
      </c>
      <c r="M1353" s="4" t="e">
        <f t="shared" si="115"/>
        <v>#VALUE!</v>
      </c>
      <c r="N1353" s="21" t="str">
        <f>_xll.RssMarket(A1353,"高値")</f>
        <v/>
      </c>
      <c r="O1353" s="4" t="e">
        <f t="shared" si="116"/>
        <v>#VALUE!</v>
      </c>
      <c r="P1353" s="21" t="str">
        <f>_xll.RssMarket(A1353,"安値")</f>
        <v/>
      </c>
      <c r="Q1353" s="4" t="e">
        <f t="shared" si="117"/>
        <v>#VALUE!</v>
      </c>
      <c r="R1353" s="21" t="str">
        <f>_xll.RssMarket(A1353,"後場始値")</f>
        <v/>
      </c>
      <c r="S1353" s="25" t="str">
        <f t="shared" si="118"/>
        <v>-</v>
      </c>
      <c r="T1353" s="7" t="str">
        <f>_xll.RssMarket(A1353,"出来高加重平均")</f>
        <v/>
      </c>
      <c r="U1353" s="4" t="e">
        <f t="shared" si="119"/>
        <v>#VALUE!</v>
      </c>
      <c r="V1353" s="21" t="str">
        <f>_xll.RssMarket(A1353,"出来高")</f>
        <v/>
      </c>
      <c r="W1353" s="21" t="str">
        <f>_xll.RssMarket(A1353,"売買代金")</f>
        <v/>
      </c>
      <c r="X1353" s="20" t="str">
        <f>_xll.RssMarket(A1353,"決算発表日")</f>
        <v/>
      </c>
      <c r="Y1353" s="26" t="str">
        <f>IF(C1353&gt;_xll.RssMarket(A1353,"年初来高値"),"○","×")</f>
        <v>×</v>
      </c>
      <c r="Z1353" s="27" t="str">
        <f>IF(C1353&lt;=_xll.RssMarket(A1353,"年初来安値"),"○","×")</f>
        <v>○</v>
      </c>
    </row>
    <row r="1354" spans="2:26" x14ac:dyDescent="0.55000000000000004">
      <c r="B1354" s="20" t="str">
        <f>_xll.RssMarket(A1354,"銘柄名称")</f>
        <v/>
      </c>
      <c r="C1354" s="21" t="str">
        <f>_xll.RssMarket(A1354,"現在値")</f>
        <v/>
      </c>
      <c r="D1354" s="20" t="str">
        <f>_xll.RssMarket(A1354,"現在値詳細時刻")</f>
        <v/>
      </c>
      <c r="E1354" s="22" t="str">
        <f>_xll.RssMarket(A1354,"前日比")</f>
        <v/>
      </c>
      <c r="F1354" s="23" t="e">
        <f>_xll.RssMarket(A1354,"前日比率")/100</f>
        <v>#VALUE!</v>
      </c>
      <c r="G1354" s="24" t="str">
        <f>IFERROR(VLOOKUP(A1354,取得元!$A$2:$F$501,2,FALSE),"-")</f>
        <v>-</v>
      </c>
      <c r="H1354" s="24" t="str">
        <f>IFERROR(VLOOKUP(A1354,取得元!$A$2:$F$501,3,FALSE),"-")</f>
        <v>-</v>
      </c>
      <c r="I1354" s="24" t="str">
        <f>IFERROR(VLOOKUP(A1354,取得元!$A$2:$F$501,4,FALSE),"-")</f>
        <v>-</v>
      </c>
      <c r="J1354" s="5" t="str">
        <f>IFERROR(VLOOKUP(A1354,取得元!$A$2:$F$501,5,FALSE),"-")</f>
        <v>-</v>
      </c>
      <c r="K1354" s="25" t="str">
        <f>IFERROR(VLOOKUP(A1354,取得元!$A$2:$F$501,6,FALSE)/100,"-")</f>
        <v>-</v>
      </c>
      <c r="L1354" s="21" t="str">
        <f>_xll.RssMarket(A1354,"始値")</f>
        <v/>
      </c>
      <c r="M1354" s="4" t="e">
        <f t="shared" si="115"/>
        <v>#VALUE!</v>
      </c>
      <c r="N1354" s="21" t="str">
        <f>_xll.RssMarket(A1354,"高値")</f>
        <v/>
      </c>
      <c r="O1354" s="4" t="e">
        <f t="shared" si="116"/>
        <v>#VALUE!</v>
      </c>
      <c r="P1354" s="21" t="str">
        <f>_xll.RssMarket(A1354,"安値")</f>
        <v/>
      </c>
      <c r="Q1354" s="4" t="e">
        <f t="shared" si="117"/>
        <v>#VALUE!</v>
      </c>
      <c r="R1354" s="21" t="str">
        <f>_xll.RssMarket(A1354,"後場始値")</f>
        <v/>
      </c>
      <c r="S1354" s="25" t="str">
        <f t="shared" si="118"/>
        <v>-</v>
      </c>
      <c r="T1354" s="7" t="str">
        <f>_xll.RssMarket(A1354,"出来高加重平均")</f>
        <v/>
      </c>
      <c r="U1354" s="4" t="e">
        <f t="shared" si="119"/>
        <v>#VALUE!</v>
      </c>
      <c r="V1354" s="21" t="str">
        <f>_xll.RssMarket(A1354,"出来高")</f>
        <v/>
      </c>
      <c r="W1354" s="21" t="str">
        <f>_xll.RssMarket(A1354,"売買代金")</f>
        <v/>
      </c>
      <c r="X1354" s="20" t="str">
        <f>_xll.RssMarket(A1354,"決算発表日")</f>
        <v/>
      </c>
      <c r="Y1354" s="26" t="str">
        <f>IF(C1354&gt;_xll.RssMarket(A1354,"年初来高値"),"○","×")</f>
        <v>×</v>
      </c>
      <c r="Z1354" s="27" t="str">
        <f>IF(C1354&lt;=_xll.RssMarket(A1354,"年初来安値"),"○","×")</f>
        <v>○</v>
      </c>
    </row>
    <row r="1355" spans="2:26" x14ac:dyDescent="0.55000000000000004">
      <c r="B1355" s="20" t="str">
        <f>_xll.RssMarket(A1355,"銘柄名称")</f>
        <v/>
      </c>
      <c r="C1355" s="21" t="str">
        <f>_xll.RssMarket(A1355,"現在値")</f>
        <v/>
      </c>
      <c r="D1355" s="20" t="str">
        <f>_xll.RssMarket(A1355,"現在値詳細時刻")</f>
        <v/>
      </c>
      <c r="E1355" s="22" t="str">
        <f>_xll.RssMarket(A1355,"前日比")</f>
        <v/>
      </c>
      <c r="F1355" s="23" t="e">
        <f>_xll.RssMarket(A1355,"前日比率")/100</f>
        <v>#VALUE!</v>
      </c>
      <c r="G1355" s="24" t="str">
        <f>IFERROR(VLOOKUP(A1355,取得元!$A$2:$F$501,2,FALSE),"-")</f>
        <v>-</v>
      </c>
      <c r="H1355" s="24" t="str">
        <f>IFERROR(VLOOKUP(A1355,取得元!$A$2:$F$501,3,FALSE),"-")</f>
        <v>-</v>
      </c>
      <c r="I1355" s="24" t="str">
        <f>IFERROR(VLOOKUP(A1355,取得元!$A$2:$F$501,4,FALSE),"-")</f>
        <v>-</v>
      </c>
      <c r="J1355" s="5" t="str">
        <f>IFERROR(VLOOKUP(A1355,取得元!$A$2:$F$501,5,FALSE),"-")</f>
        <v>-</v>
      </c>
      <c r="K1355" s="25" t="str">
        <f>IFERROR(VLOOKUP(A1355,取得元!$A$2:$F$501,6,FALSE)/100,"-")</f>
        <v>-</v>
      </c>
      <c r="L1355" s="21" t="str">
        <f>_xll.RssMarket(A1355,"始値")</f>
        <v/>
      </c>
      <c r="M1355" s="4" t="e">
        <f t="shared" si="115"/>
        <v>#VALUE!</v>
      </c>
      <c r="N1355" s="21" t="str">
        <f>_xll.RssMarket(A1355,"高値")</f>
        <v/>
      </c>
      <c r="O1355" s="4" t="e">
        <f t="shared" si="116"/>
        <v>#VALUE!</v>
      </c>
      <c r="P1355" s="21" t="str">
        <f>_xll.RssMarket(A1355,"安値")</f>
        <v/>
      </c>
      <c r="Q1355" s="4" t="e">
        <f t="shared" si="117"/>
        <v>#VALUE!</v>
      </c>
      <c r="R1355" s="21" t="str">
        <f>_xll.RssMarket(A1355,"後場始値")</f>
        <v/>
      </c>
      <c r="S1355" s="25" t="str">
        <f t="shared" si="118"/>
        <v>-</v>
      </c>
      <c r="T1355" s="7" t="str">
        <f>_xll.RssMarket(A1355,"出来高加重平均")</f>
        <v/>
      </c>
      <c r="U1355" s="4" t="e">
        <f t="shared" si="119"/>
        <v>#VALUE!</v>
      </c>
      <c r="V1355" s="21" t="str">
        <f>_xll.RssMarket(A1355,"出来高")</f>
        <v/>
      </c>
      <c r="W1355" s="21" t="str">
        <f>_xll.RssMarket(A1355,"売買代金")</f>
        <v/>
      </c>
      <c r="X1355" s="20" t="str">
        <f>_xll.RssMarket(A1355,"決算発表日")</f>
        <v/>
      </c>
      <c r="Y1355" s="26" t="str">
        <f>IF(C1355&gt;_xll.RssMarket(A1355,"年初来高値"),"○","×")</f>
        <v>×</v>
      </c>
      <c r="Z1355" s="27" t="str">
        <f>IF(C1355&lt;=_xll.RssMarket(A1355,"年初来安値"),"○","×")</f>
        <v>○</v>
      </c>
    </row>
    <row r="1356" spans="2:26" x14ac:dyDescent="0.55000000000000004">
      <c r="B1356" s="20" t="str">
        <f>_xll.RssMarket(A1356,"銘柄名称")</f>
        <v/>
      </c>
      <c r="C1356" s="21" t="str">
        <f>_xll.RssMarket(A1356,"現在値")</f>
        <v/>
      </c>
      <c r="D1356" s="20" t="str">
        <f>_xll.RssMarket(A1356,"現在値詳細時刻")</f>
        <v/>
      </c>
      <c r="E1356" s="22" t="str">
        <f>_xll.RssMarket(A1356,"前日比")</f>
        <v/>
      </c>
      <c r="F1356" s="23" t="e">
        <f>_xll.RssMarket(A1356,"前日比率")/100</f>
        <v>#VALUE!</v>
      </c>
      <c r="G1356" s="24" t="str">
        <f>IFERROR(VLOOKUP(A1356,取得元!$A$2:$F$501,2,FALSE),"-")</f>
        <v>-</v>
      </c>
      <c r="H1356" s="24" t="str">
        <f>IFERROR(VLOOKUP(A1356,取得元!$A$2:$F$501,3,FALSE),"-")</f>
        <v>-</v>
      </c>
      <c r="I1356" s="24" t="str">
        <f>IFERROR(VLOOKUP(A1356,取得元!$A$2:$F$501,4,FALSE),"-")</f>
        <v>-</v>
      </c>
      <c r="J1356" s="5" t="str">
        <f>IFERROR(VLOOKUP(A1356,取得元!$A$2:$F$501,5,FALSE),"-")</f>
        <v>-</v>
      </c>
      <c r="K1356" s="25" t="str">
        <f>IFERROR(VLOOKUP(A1356,取得元!$A$2:$F$501,6,FALSE)/100,"-")</f>
        <v>-</v>
      </c>
      <c r="L1356" s="21" t="str">
        <f>_xll.RssMarket(A1356,"始値")</f>
        <v/>
      </c>
      <c r="M1356" s="4" t="e">
        <f t="shared" si="115"/>
        <v>#VALUE!</v>
      </c>
      <c r="N1356" s="21" t="str">
        <f>_xll.RssMarket(A1356,"高値")</f>
        <v/>
      </c>
      <c r="O1356" s="4" t="e">
        <f t="shared" si="116"/>
        <v>#VALUE!</v>
      </c>
      <c r="P1356" s="21" t="str">
        <f>_xll.RssMarket(A1356,"安値")</f>
        <v/>
      </c>
      <c r="Q1356" s="4" t="e">
        <f t="shared" si="117"/>
        <v>#VALUE!</v>
      </c>
      <c r="R1356" s="21" t="str">
        <f>_xll.RssMarket(A1356,"後場始値")</f>
        <v/>
      </c>
      <c r="S1356" s="25" t="str">
        <f t="shared" si="118"/>
        <v>-</v>
      </c>
      <c r="T1356" s="7" t="str">
        <f>_xll.RssMarket(A1356,"出来高加重平均")</f>
        <v/>
      </c>
      <c r="U1356" s="4" t="e">
        <f t="shared" si="119"/>
        <v>#VALUE!</v>
      </c>
      <c r="V1356" s="21" t="str">
        <f>_xll.RssMarket(A1356,"出来高")</f>
        <v/>
      </c>
      <c r="W1356" s="21" t="str">
        <f>_xll.RssMarket(A1356,"売買代金")</f>
        <v/>
      </c>
      <c r="X1356" s="20" t="str">
        <f>_xll.RssMarket(A1356,"決算発表日")</f>
        <v/>
      </c>
      <c r="Y1356" s="26" t="str">
        <f>IF(C1356&gt;_xll.RssMarket(A1356,"年初来高値"),"○","×")</f>
        <v>×</v>
      </c>
      <c r="Z1356" s="27" t="str">
        <f>IF(C1356&lt;=_xll.RssMarket(A1356,"年初来安値"),"○","×")</f>
        <v>○</v>
      </c>
    </row>
    <row r="1357" spans="2:26" x14ac:dyDescent="0.55000000000000004">
      <c r="B1357" s="20" t="str">
        <f>_xll.RssMarket(A1357,"銘柄名称")</f>
        <v/>
      </c>
      <c r="C1357" s="21" t="str">
        <f>_xll.RssMarket(A1357,"現在値")</f>
        <v/>
      </c>
      <c r="D1357" s="20" t="str">
        <f>_xll.RssMarket(A1357,"現在値詳細時刻")</f>
        <v/>
      </c>
      <c r="E1357" s="22" t="str">
        <f>_xll.RssMarket(A1357,"前日比")</f>
        <v/>
      </c>
      <c r="F1357" s="23" t="e">
        <f>_xll.RssMarket(A1357,"前日比率")/100</f>
        <v>#VALUE!</v>
      </c>
      <c r="G1357" s="24" t="str">
        <f>IFERROR(VLOOKUP(A1357,取得元!$A$2:$F$501,2,FALSE),"-")</f>
        <v>-</v>
      </c>
      <c r="H1357" s="24" t="str">
        <f>IFERROR(VLOOKUP(A1357,取得元!$A$2:$F$501,3,FALSE),"-")</f>
        <v>-</v>
      </c>
      <c r="I1357" s="24" t="str">
        <f>IFERROR(VLOOKUP(A1357,取得元!$A$2:$F$501,4,FALSE),"-")</f>
        <v>-</v>
      </c>
      <c r="J1357" s="5" t="str">
        <f>IFERROR(VLOOKUP(A1357,取得元!$A$2:$F$501,5,FALSE),"-")</f>
        <v>-</v>
      </c>
      <c r="K1357" s="25" t="str">
        <f>IFERROR(VLOOKUP(A1357,取得元!$A$2:$F$501,6,FALSE)/100,"-")</f>
        <v>-</v>
      </c>
      <c r="L1357" s="21" t="str">
        <f>_xll.RssMarket(A1357,"始値")</f>
        <v/>
      </c>
      <c r="M1357" s="4" t="e">
        <f t="shared" si="115"/>
        <v>#VALUE!</v>
      </c>
      <c r="N1357" s="21" t="str">
        <f>_xll.RssMarket(A1357,"高値")</f>
        <v/>
      </c>
      <c r="O1357" s="4" t="e">
        <f t="shared" si="116"/>
        <v>#VALUE!</v>
      </c>
      <c r="P1357" s="21" t="str">
        <f>_xll.RssMarket(A1357,"安値")</f>
        <v/>
      </c>
      <c r="Q1357" s="4" t="e">
        <f t="shared" si="117"/>
        <v>#VALUE!</v>
      </c>
      <c r="R1357" s="21" t="str">
        <f>_xll.RssMarket(A1357,"後場始値")</f>
        <v/>
      </c>
      <c r="S1357" s="25" t="str">
        <f t="shared" si="118"/>
        <v>-</v>
      </c>
      <c r="T1357" s="7" t="str">
        <f>_xll.RssMarket(A1357,"出来高加重平均")</f>
        <v/>
      </c>
      <c r="U1357" s="4" t="e">
        <f t="shared" si="119"/>
        <v>#VALUE!</v>
      </c>
      <c r="V1357" s="21" t="str">
        <f>_xll.RssMarket(A1357,"出来高")</f>
        <v/>
      </c>
      <c r="W1357" s="21" t="str">
        <f>_xll.RssMarket(A1357,"売買代金")</f>
        <v/>
      </c>
      <c r="X1357" s="20" t="str">
        <f>_xll.RssMarket(A1357,"決算発表日")</f>
        <v/>
      </c>
      <c r="Y1357" s="26" t="str">
        <f>IF(C1357&gt;_xll.RssMarket(A1357,"年初来高値"),"○","×")</f>
        <v>×</v>
      </c>
      <c r="Z1357" s="27" t="str">
        <f>IF(C1357&lt;=_xll.RssMarket(A1357,"年初来安値"),"○","×")</f>
        <v>○</v>
      </c>
    </row>
    <row r="1358" spans="2:26" x14ac:dyDescent="0.55000000000000004">
      <c r="B1358" s="20" t="str">
        <f>_xll.RssMarket(A1358,"銘柄名称")</f>
        <v/>
      </c>
      <c r="C1358" s="21" t="str">
        <f>_xll.RssMarket(A1358,"現在値")</f>
        <v/>
      </c>
      <c r="D1358" s="20" t="str">
        <f>_xll.RssMarket(A1358,"現在値詳細時刻")</f>
        <v/>
      </c>
      <c r="E1358" s="22" t="str">
        <f>_xll.RssMarket(A1358,"前日比")</f>
        <v/>
      </c>
      <c r="F1358" s="23" t="e">
        <f>_xll.RssMarket(A1358,"前日比率")/100</f>
        <v>#VALUE!</v>
      </c>
      <c r="G1358" s="24" t="str">
        <f>IFERROR(VLOOKUP(A1358,取得元!$A$2:$F$501,2,FALSE),"-")</f>
        <v>-</v>
      </c>
      <c r="H1358" s="24" t="str">
        <f>IFERROR(VLOOKUP(A1358,取得元!$A$2:$F$501,3,FALSE),"-")</f>
        <v>-</v>
      </c>
      <c r="I1358" s="24" t="str">
        <f>IFERROR(VLOOKUP(A1358,取得元!$A$2:$F$501,4,FALSE),"-")</f>
        <v>-</v>
      </c>
      <c r="J1358" s="5" t="str">
        <f>IFERROR(VLOOKUP(A1358,取得元!$A$2:$F$501,5,FALSE),"-")</f>
        <v>-</v>
      </c>
      <c r="K1358" s="25" t="str">
        <f>IFERROR(VLOOKUP(A1358,取得元!$A$2:$F$501,6,FALSE)/100,"-")</f>
        <v>-</v>
      </c>
      <c r="L1358" s="21" t="str">
        <f>_xll.RssMarket(A1358,"始値")</f>
        <v/>
      </c>
      <c r="M1358" s="4" t="e">
        <f t="shared" si="115"/>
        <v>#VALUE!</v>
      </c>
      <c r="N1358" s="21" t="str">
        <f>_xll.RssMarket(A1358,"高値")</f>
        <v/>
      </c>
      <c r="O1358" s="4" t="e">
        <f t="shared" si="116"/>
        <v>#VALUE!</v>
      </c>
      <c r="P1358" s="21" t="str">
        <f>_xll.RssMarket(A1358,"安値")</f>
        <v/>
      </c>
      <c r="Q1358" s="4" t="e">
        <f t="shared" si="117"/>
        <v>#VALUE!</v>
      </c>
      <c r="R1358" s="21" t="str">
        <f>_xll.RssMarket(A1358,"後場始値")</f>
        <v/>
      </c>
      <c r="S1358" s="25" t="str">
        <f t="shared" si="118"/>
        <v>-</v>
      </c>
      <c r="T1358" s="7" t="str">
        <f>_xll.RssMarket(A1358,"出来高加重平均")</f>
        <v/>
      </c>
      <c r="U1358" s="4" t="e">
        <f t="shared" si="119"/>
        <v>#VALUE!</v>
      </c>
      <c r="V1358" s="21" t="str">
        <f>_xll.RssMarket(A1358,"出来高")</f>
        <v/>
      </c>
      <c r="W1358" s="21" t="str">
        <f>_xll.RssMarket(A1358,"売買代金")</f>
        <v/>
      </c>
      <c r="X1358" s="20" t="str">
        <f>_xll.RssMarket(A1358,"決算発表日")</f>
        <v/>
      </c>
      <c r="Y1358" s="26" t="str">
        <f>IF(C1358&gt;_xll.RssMarket(A1358,"年初来高値"),"○","×")</f>
        <v>×</v>
      </c>
      <c r="Z1358" s="27" t="str">
        <f>IF(C1358&lt;=_xll.RssMarket(A1358,"年初来安値"),"○","×")</f>
        <v>○</v>
      </c>
    </row>
    <row r="1359" spans="2:26" x14ac:dyDescent="0.55000000000000004">
      <c r="B1359" s="20" t="str">
        <f>_xll.RssMarket(A1359,"銘柄名称")</f>
        <v/>
      </c>
      <c r="C1359" s="21" t="str">
        <f>_xll.RssMarket(A1359,"現在値")</f>
        <v/>
      </c>
      <c r="D1359" s="20" t="str">
        <f>_xll.RssMarket(A1359,"現在値詳細時刻")</f>
        <v/>
      </c>
      <c r="E1359" s="22" t="str">
        <f>_xll.RssMarket(A1359,"前日比")</f>
        <v/>
      </c>
      <c r="F1359" s="23" t="e">
        <f>_xll.RssMarket(A1359,"前日比率")/100</f>
        <v>#VALUE!</v>
      </c>
      <c r="G1359" s="24" t="str">
        <f>IFERROR(VLOOKUP(A1359,取得元!$A$2:$F$501,2,FALSE),"-")</f>
        <v>-</v>
      </c>
      <c r="H1359" s="24" t="str">
        <f>IFERROR(VLOOKUP(A1359,取得元!$A$2:$F$501,3,FALSE),"-")</f>
        <v>-</v>
      </c>
      <c r="I1359" s="24" t="str">
        <f>IFERROR(VLOOKUP(A1359,取得元!$A$2:$F$501,4,FALSE),"-")</f>
        <v>-</v>
      </c>
      <c r="J1359" s="5" t="str">
        <f>IFERROR(VLOOKUP(A1359,取得元!$A$2:$F$501,5,FALSE),"-")</f>
        <v>-</v>
      </c>
      <c r="K1359" s="25" t="str">
        <f>IFERROR(VLOOKUP(A1359,取得元!$A$2:$F$501,6,FALSE)/100,"-")</f>
        <v>-</v>
      </c>
      <c r="L1359" s="21" t="str">
        <f>_xll.RssMarket(A1359,"始値")</f>
        <v/>
      </c>
      <c r="M1359" s="4" t="e">
        <f t="shared" si="115"/>
        <v>#VALUE!</v>
      </c>
      <c r="N1359" s="21" t="str">
        <f>_xll.RssMarket(A1359,"高値")</f>
        <v/>
      </c>
      <c r="O1359" s="4" t="e">
        <f t="shared" si="116"/>
        <v>#VALUE!</v>
      </c>
      <c r="P1359" s="21" t="str">
        <f>_xll.RssMarket(A1359,"安値")</f>
        <v/>
      </c>
      <c r="Q1359" s="4" t="e">
        <f t="shared" si="117"/>
        <v>#VALUE!</v>
      </c>
      <c r="R1359" s="21" t="str">
        <f>_xll.RssMarket(A1359,"後場始値")</f>
        <v/>
      </c>
      <c r="S1359" s="25" t="str">
        <f t="shared" si="118"/>
        <v>-</v>
      </c>
      <c r="T1359" s="7" t="str">
        <f>_xll.RssMarket(A1359,"出来高加重平均")</f>
        <v/>
      </c>
      <c r="U1359" s="4" t="e">
        <f t="shared" si="119"/>
        <v>#VALUE!</v>
      </c>
      <c r="V1359" s="21" t="str">
        <f>_xll.RssMarket(A1359,"出来高")</f>
        <v/>
      </c>
      <c r="W1359" s="21" t="str">
        <f>_xll.RssMarket(A1359,"売買代金")</f>
        <v/>
      </c>
      <c r="X1359" s="20" t="str">
        <f>_xll.RssMarket(A1359,"決算発表日")</f>
        <v/>
      </c>
      <c r="Y1359" s="26" t="str">
        <f>IF(C1359&gt;_xll.RssMarket(A1359,"年初来高値"),"○","×")</f>
        <v>×</v>
      </c>
      <c r="Z1359" s="27" t="str">
        <f>IF(C1359&lt;=_xll.RssMarket(A1359,"年初来安値"),"○","×")</f>
        <v>○</v>
      </c>
    </row>
    <row r="1360" spans="2:26" x14ac:dyDescent="0.55000000000000004">
      <c r="B1360" s="20" t="str">
        <f>_xll.RssMarket(A1360,"銘柄名称")</f>
        <v/>
      </c>
      <c r="C1360" s="21" t="str">
        <f>_xll.RssMarket(A1360,"現在値")</f>
        <v/>
      </c>
      <c r="D1360" s="20" t="str">
        <f>_xll.RssMarket(A1360,"現在値詳細時刻")</f>
        <v/>
      </c>
      <c r="E1360" s="22" t="str">
        <f>_xll.RssMarket(A1360,"前日比")</f>
        <v/>
      </c>
      <c r="F1360" s="23" t="e">
        <f>_xll.RssMarket(A1360,"前日比率")/100</f>
        <v>#VALUE!</v>
      </c>
      <c r="G1360" s="24" t="str">
        <f>IFERROR(VLOOKUP(A1360,取得元!$A$2:$F$501,2,FALSE),"-")</f>
        <v>-</v>
      </c>
      <c r="H1360" s="24" t="str">
        <f>IFERROR(VLOOKUP(A1360,取得元!$A$2:$F$501,3,FALSE),"-")</f>
        <v>-</v>
      </c>
      <c r="I1360" s="24" t="str">
        <f>IFERROR(VLOOKUP(A1360,取得元!$A$2:$F$501,4,FALSE),"-")</f>
        <v>-</v>
      </c>
      <c r="J1360" s="5" t="str">
        <f>IFERROR(VLOOKUP(A1360,取得元!$A$2:$F$501,5,FALSE),"-")</f>
        <v>-</v>
      </c>
      <c r="K1360" s="25" t="str">
        <f>IFERROR(VLOOKUP(A1360,取得元!$A$2:$F$501,6,FALSE)/100,"-")</f>
        <v>-</v>
      </c>
      <c r="L1360" s="21" t="str">
        <f>_xll.RssMarket(A1360,"始値")</f>
        <v/>
      </c>
      <c r="M1360" s="4" t="e">
        <f t="shared" si="115"/>
        <v>#VALUE!</v>
      </c>
      <c r="N1360" s="21" t="str">
        <f>_xll.RssMarket(A1360,"高値")</f>
        <v/>
      </c>
      <c r="O1360" s="4" t="e">
        <f t="shared" si="116"/>
        <v>#VALUE!</v>
      </c>
      <c r="P1360" s="21" t="str">
        <f>_xll.RssMarket(A1360,"安値")</f>
        <v/>
      </c>
      <c r="Q1360" s="4" t="e">
        <f t="shared" si="117"/>
        <v>#VALUE!</v>
      </c>
      <c r="R1360" s="21" t="str">
        <f>_xll.RssMarket(A1360,"後場始値")</f>
        <v/>
      </c>
      <c r="S1360" s="25" t="str">
        <f t="shared" si="118"/>
        <v>-</v>
      </c>
      <c r="T1360" s="7" t="str">
        <f>_xll.RssMarket(A1360,"出来高加重平均")</f>
        <v/>
      </c>
      <c r="U1360" s="4" t="e">
        <f t="shared" si="119"/>
        <v>#VALUE!</v>
      </c>
      <c r="V1360" s="21" t="str">
        <f>_xll.RssMarket(A1360,"出来高")</f>
        <v/>
      </c>
      <c r="W1360" s="21" t="str">
        <f>_xll.RssMarket(A1360,"売買代金")</f>
        <v/>
      </c>
      <c r="X1360" s="20" t="str">
        <f>_xll.RssMarket(A1360,"決算発表日")</f>
        <v/>
      </c>
      <c r="Y1360" s="26" t="str">
        <f>IF(C1360&gt;_xll.RssMarket(A1360,"年初来高値"),"○","×")</f>
        <v>×</v>
      </c>
      <c r="Z1360" s="27" t="str">
        <f>IF(C1360&lt;=_xll.RssMarket(A1360,"年初来安値"),"○","×")</f>
        <v>○</v>
      </c>
    </row>
    <row r="1361" spans="2:26" x14ac:dyDescent="0.55000000000000004">
      <c r="B1361" s="20" t="str">
        <f>_xll.RssMarket(A1361,"銘柄名称")</f>
        <v/>
      </c>
      <c r="C1361" s="21" t="str">
        <f>_xll.RssMarket(A1361,"現在値")</f>
        <v/>
      </c>
      <c r="D1361" s="20" t="str">
        <f>_xll.RssMarket(A1361,"現在値詳細時刻")</f>
        <v/>
      </c>
      <c r="E1361" s="22" t="str">
        <f>_xll.RssMarket(A1361,"前日比")</f>
        <v/>
      </c>
      <c r="F1361" s="23" t="e">
        <f>_xll.RssMarket(A1361,"前日比率")/100</f>
        <v>#VALUE!</v>
      </c>
      <c r="G1361" s="24" t="str">
        <f>IFERROR(VLOOKUP(A1361,取得元!$A$2:$F$501,2,FALSE),"-")</f>
        <v>-</v>
      </c>
      <c r="H1361" s="24" t="str">
        <f>IFERROR(VLOOKUP(A1361,取得元!$A$2:$F$501,3,FALSE),"-")</f>
        <v>-</v>
      </c>
      <c r="I1361" s="24" t="str">
        <f>IFERROR(VLOOKUP(A1361,取得元!$A$2:$F$501,4,FALSE),"-")</f>
        <v>-</v>
      </c>
      <c r="J1361" s="5" t="str">
        <f>IFERROR(VLOOKUP(A1361,取得元!$A$2:$F$501,5,FALSE),"-")</f>
        <v>-</v>
      </c>
      <c r="K1361" s="25" t="str">
        <f>IFERROR(VLOOKUP(A1361,取得元!$A$2:$F$501,6,FALSE)/100,"-")</f>
        <v>-</v>
      </c>
      <c r="L1361" s="21" t="str">
        <f>_xll.RssMarket(A1361,"始値")</f>
        <v/>
      </c>
      <c r="M1361" s="4" t="e">
        <f t="shared" si="115"/>
        <v>#VALUE!</v>
      </c>
      <c r="N1361" s="21" t="str">
        <f>_xll.RssMarket(A1361,"高値")</f>
        <v/>
      </c>
      <c r="O1361" s="4" t="e">
        <f t="shared" si="116"/>
        <v>#VALUE!</v>
      </c>
      <c r="P1361" s="21" t="str">
        <f>_xll.RssMarket(A1361,"安値")</f>
        <v/>
      </c>
      <c r="Q1361" s="4" t="e">
        <f t="shared" si="117"/>
        <v>#VALUE!</v>
      </c>
      <c r="R1361" s="21" t="str">
        <f>_xll.RssMarket(A1361,"後場始値")</f>
        <v/>
      </c>
      <c r="S1361" s="25" t="str">
        <f t="shared" si="118"/>
        <v>-</v>
      </c>
      <c r="T1361" s="7" t="str">
        <f>_xll.RssMarket(A1361,"出来高加重平均")</f>
        <v/>
      </c>
      <c r="U1361" s="4" t="e">
        <f t="shared" si="119"/>
        <v>#VALUE!</v>
      </c>
      <c r="V1361" s="21" t="str">
        <f>_xll.RssMarket(A1361,"出来高")</f>
        <v/>
      </c>
      <c r="W1361" s="21" t="str">
        <f>_xll.RssMarket(A1361,"売買代金")</f>
        <v/>
      </c>
      <c r="X1361" s="20" t="str">
        <f>_xll.RssMarket(A1361,"決算発表日")</f>
        <v/>
      </c>
      <c r="Y1361" s="26" t="str">
        <f>IF(C1361&gt;_xll.RssMarket(A1361,"年初来高値"),"○","×")</f>
        <v>×</v>
      </c>
      <c r="Z1361" s="27" t="str">
        <f>IF(C1361&lt;=_xll.RssMarket(A1361,"年初来安値"),"○","×")</f>
        <v>○</v>
      </c>
    </row>
    <row r="1362" spans="2:26" x14ac:dyDescent="0.55000000000000004">
      <c r="B1362" s="20" t="str">
        <f>_xll.RssMarket(A1362,"銘柄名称")</f>
        <v/>
      </c>
      <c r="C1362" s="21" t="str">
        <f>_xll.RssMarket(A1362,"現在値")</f>
        <v/>
      </c>
      <c r="D1362" s="20" t="str">
        <f>_xll.RssMarket(A1362,"現在値詳細時刻")</f>
        <v/>
      </c>
      <c r="E1362" s="22" t="str">
        <f>_xll.RssMarket(A1362,"前日比")</f>
        <v/>
      </c>
      <c r="F1362" s="23" t="e">
        <f>_xll.RssMarket(A1362,"前日比率")/100</f>
        <v>#VALUE!</v>
      </c>
      <c r="G1362" s="24" t="str">
        <f>IFERROR(VLOOKUP(A1362,取得元!$A$2:$F$501,2,FALSE),"-")</f>
        <v>-</v>
      </c>
      <c r="H1362" s="24" t="str">
        <f>IFERROR(VLOOKUP(A1362,取得元!$A$2:$F$501,3,FALSE),"-")</f>
        <v>-</v>
      </c>
      <c r="I1362" s="24" t="str">
        <f>IFERROR(VLOOKUP(A1362,取得元!$A$2:$F$501,4,FALSE),"-")</f>
        <v>-</v>
      </c>
      <c r="J1362" s="5" t="str">
        <f>IFERROR(VLOOKUP(A1362,取得元!$A$2:$F$501,5,FALSE),"-")</f>
        <v>-</v>
      </c>
      <c r="K1362" s="25" t="str">
        <f>IFERROR(VLOOKUP(A1362,取得元!$A$2:$F$501,6,FALSE)/100,"-")</f>
        <v>-</v>
      </c>
      <c r="L1362" s="21" t="str">
        <f>_xll.RssMarket(A1362,"始値")</f>
        <v/>
      </c>
      <c r="M1362" s="4" t="e">
        <f t="shared" si="115"/>
        <v>#VALUE!</v>
      </c>
      <c r="N1362" s="21" t="str">
        <f>_xll.RssMarket(A1362,"高値")</f>
        <v/>
      </c>
      <c r="O1362" s="4" t="e">
        <f t="shared" si="116"/>
        <v>#VALUE!</v>
      </c>
      <c r="P1362" s="21" t="str">
        <f>_xll.RssMarket(A1362,"安値")</f>
        <v/>
      </c>
      <c r="Q1362" s="4" t="e">
        <f t="shared" si="117"/>
        <v>#VALUE!</v>
      </c>
      <c r="R1362" s="21" t="str">
        <f>_xll.RssMarket(A1362,"後場始値")</f>
        <v/>
      </c>
      <c r="S1362" s="25" t="str">
        <f t="shared" si="118"/>
        <v>-</v>
      </c>
      <c r="T1362" s="7" t="str">
        <f>_xll.RssMarket(A1362,"出来高加重平均")</f>
        <v/>
      </c>
      <c r="U1362" s="4" t="e">
        <f t="shared" si="119"/>
        <v>#VALUE!</v>
      </c>
      <c r="V1362" s="21" t="str">
        <f>_xll.RssMarket(A1362,"出来高")</f>
        <v/>
      </c>
      <c r="W1362" s="21" t="str">
        <f>_xll.RssMarket(A1362,"売買代金")</f>
        <v/>
      </c>
      <c r="X1362" s="20" t="str">
        <f>_xll.RssMarket(A1362,"決算発表日")</f>
        <v/>
      </c>
      <c r="Y1362" s="26" t="str">
        <f>IF(C1362&gt;_xll.RssMarket(A1362,"年初来高値"),"○","×")</f>
        <v>×</v>
      </c>
      <c r="Z1362" s="27" t="str">
        <f>IF(C1362&lt;=_xll.RssMarket(A1362,"年初来安値"),"○","×")</f>
        <v>○</v>
      </c>
    </row>
    <row r="1363" spans="2:26" x14ac:dyDescent="0.55000000000000004">
      <c r="B1363" s="20" t="str">
        <f>_xll.RssMarket(A1363,"銘柄名称")</f>
        <v/>
      </c>
      <c r="C1363" s="21" t="str">
        <f>_xll.RssMarket(A1363,"現在値")</f>
        <v/>
      </c>
      <c r="D1363" s="20" t="str">
        <f>_xll.RssMarket(A1363,"現在値詳細時刻")</f>
        <v/>
      </c>
      <c r="E1363" s="22" t="str">
        <f>_xll.RssMarket(A1363,"前日比")</f>
        <v/>
      </c>
      <c r="F1363" s="23" t="e">
        <f>_xll.RssMarket(A1363,"前日比率")/100</f>
        <v>#VALUE!</v>
      </c>
      <c r="G1363" s="24" t="str">
        <f>IFERROR(VLOOKUP(A1363,取得元!$A$2:$F$501,2,FALSE),"-")</f>
        <v>-</v>
      </c>
      <c r="H1363" s="24" t="str">
        <f>IFERROR(VLOOKUP(A1363,取得元!$A$2:$F$501,3,FALSE),"-")</f>
        <v>-</v>
      </c>
      <c r="I1363" s="24" t="str">
        <f>IFERROR(VLOOKUP(A1363,取得元!$A$2:$F$501,4,FALSE),"-")</f>
        <v>-</v>
      </c>
      <c r="J1363" s="5" t="str">
        <f>IFERROR(VLOOKUP(A1363,取得元!$A$2:$F$501,5,FALSE),"-")</f>
        <v>-</v>
      </c>
      <c r="K1363" s="25" t="str">
        <f>IFERROR(VLOOKUP(A1363,取得元!$A$2:$F$501,6,FALSE)/100,"-")</f>
        <v>-</v>
      </c>
      <c r="L1363" s="21" t="str">
        <f>_xll.RssMarket(A1363,"始値")</f>
        <v/>
      </c>
      <c r="M1363" s="4" t="e">
        <f t="shared" si="115"/>
        <v>#VALUE!</v>
      </c>
      <c r="N1363" s="21" t="str">
        <f>_xll.RssMarket(A1363,"高値")</f>
        <v/>
      </c>
      <c r="O1363" s="4" t="e">
        <f t="shared" si="116"/>
        <v>#VALUE!</v>
      </c>
      <c r="P1363" s="21" t="str">
        <f>_xll.RssMarket(A1363,"安値")</f>
        <v/>
      </c>
      <c r="Q1363" s="4" t="e">
        <f t="shared" si="117"/>
        <v>#VALUE!</v>
      </c>
      <c r="R1363" s="21" t="str">
        <f>_xll.RssMarket(A1363,"後場始値")</f>
        <v/>
      </c>
      <c r="S1363" s="25" t="str">
        <f t="shared" si="118"/>
        <v>-</v>
      </c>
      <c r="T1363" s="7" t="str">
        <f>_xll.RssMarket(A1363,"出来高加重平均")</f>
        <v/>
      </c>
      <c r="U1363" s="4" t="e">
        <f t="shared" si="119"/>
        <v>#VALUE!</v>
      </c>
      <c r="V1363" s="21" t="str">
        <f>_xll.RssMarket(A1363,"出来高")</f>
        <v/>
      </c>
      <c r="W1363" s="21" t="str">
        <f>_xll.RssMarket(A1363,"売買代金")</f>
        <v/>
      </c>
      <c r="X1363" s="20" t="str">
        <f>_xll.RssMarket(A1363,"決算発表日")</f>
        <v/>
      </c>
      <c r="Y1363" s="26" t="str">
        <f>IF(C1363&gt;_xll.RssMarket(A1363,"年初来高値"),"○","×")</f>
        <v>×</v>
      </c>
      <c r="Z1363" s="27" t="str">
        <f>IF(C1363&lt;=_xll.RssMarket(A1363,"年初来安値"),"○","×")</f>
        <v>○</v>
      </c>
    </row>
    <row r="1364" spans="2:26" x14ac:dyDescent="0.55000000000000004">
      <c r="B1364" s="20" t="str">
        <f>_xll.RssMarket(A1364,"銘柄名称")</f>
        <v/>
      </c>
      <c r="C1364" s="21" t="str">
        <f>_xll.RssMarket(A1364,"現在値")</f>
        <v/>
      </c>
      <c r="D1364" s="20" t="str">
        <f>_xll.RssMarket(A1364,"現在値詳細時刻")</f>
        <v/>
      </c>
      <c r="E1364" s="22" t="str">
        <f>_xll.RssMarket(A1364,"前日比")</f>
        <v/>
      </c>
      <c r="F1364" s="23" t="e">
        <f>_xll.RssMarket(A1364,"前日比率")/100</f>
        <v>#VALUE!</v>
      </c>
      <c r="G1364" s="24" t="str">
        <f>IFERROR(VLOOKUP(A1364,取得元!$A$2:$F$501,2,FALSE),"-")</f>
        <v>-</v>
      </c>
      <c r="H1364" s="24" t="str">
        <f>IFERROR(VLOOKUP(A1364,取得元!$A$2:$F$501,3,FALSE),"-")</f>
        <v>-</v>
      </c>
      <c r="I1364" s="24" t="str">
        <f>IFERROR(VLOOKUP(A1364,取得元!$A$2:$F$501,4,FALSE),"-")</f>
        <v>-</v>
      </c>
      <c r="J1364" s="5" t="str">
        <f>IFERROR(VLOOKUP(A1364,取得元!$A$2:$F$501,5,FALSE),"-")</f>
        <v>-</v>
      </c>
      <c r="K1364" s="25" t="str">
        <f>IFERROR(VLOOKUP(A1364,取得元!$A$2:$F$501,6,FALSE)/100,"-")</f>
        <v>-</v>
      </c>
      <c r="L1364" s="21" t="str">
        <f>_xll.RssMarket(A1364,"始値")</f>
        <v/>
      </c>
      <c r="M1364" s="4" t="e">
        <f t="shared" si="115"/>
        <v>#VALUE!</v>
      </c>
      <c r="N1364" s="21" t="str">
        <f>_xll.RssMarket(A1364,"高値")</f>
        <v/>
      </c>
      <c r="O1364" s="4" t="e">
        <f t="shared" si="116"/>
        <v>#VALUE!</v>
      </c>
      <c r="P1364" s="21" t="str">
        <f>_xll.RssMarket(A1364,"安値")</f>
        <v/>
      </c>
      <c r="Q1364" s="4" t="e">
        <f t="shared" si="117"/>
        <v>#VALUE!</v>
      </c>
      <c r="R1364" s="21" t="str">
        <f>_xll.RssMarket(A1364,"後場始値")</f>
        <v/>
      </c>
      <c r="S1364" s="25" t="str">
        <f t="shared" si="118"/>
        <v>-</v>
      </c>
      <c r="T1364" s="7" t="str">
        <f>_xll.RssMarket(A1364,"出来高加重平均")</f>
        <v/>
      </c>
      <c r="U1364" s="4" t="e">
        <f t="shared" si="119"/>
        <v>#VALUE!</v>
      </c>
      <c r="V1364" s="21" t="str">
        <f>_xll.RssMarket(A1364,"出来高")</f>
        <v/>
      </c>
      <c r="W1364" s="21" t="str">
        <f>_xll.RssMarket(A1364,"売買代金")</f>
        <v/>
      </c>
      <c r="X1364" s="20" t="str">
        <f>_xll.RssMarket(A1364,"決算発表日")</f>
        <v/>
      </c>
      <c r="Y1364" s="26" t="str">
        <f>IF(C1364&gt;_xll.RssMarket(A1364,"年初来高値"),"○","×")</f>
        <v>×</v>
      </c>
      <c r="Z1364" s="27" t="str">
        <f>IF(C1364&lt;=_xll.RssMarket(A1364,"年初来安値"),"○","×")</f>
        <v>○</v>
      </c>
    </row>
    <row r="1365" spans="2:26" x14ac:dyDescent="0.55000000000000004">
      <c r="B1365" s="20" t="str">
        <f>_xll.RssMarket(A1365,"銘柄名称")</f>
        <v/>
      </c>
      <c r="C1365" s="21" t="str">
        <f>_xll.RssMarket(A1365,"現在値")</f>
        <v/>
      </c>
      <c r="D1365" s="20" t="str">
        <f>_xll.RssMarket(A1365,"現在値詳細時刻")</f>
        <v/>
      </c>
      <c r="E1365" s="22" t="str">
        <f>_xll.RssMarket(A1365,"前日比")</f>
        <v/>
      </c>
      <c r="F1365" s="23" t="e">
        <f>_xll.RssMarket(A1365,"前日比率")/100</f>
        <v>#VALUE!</v>
      </c>
      <c r="G1365" s="24" t="str">
        <f>IFERROR(VLOOKUP(A1365,取得元!$A$2:$F$501,2,FALSE),"-")</f>
        <v>-</v>
      </c>
      <c r="H1365" s="24" t="str">
        <f>IFERROR(VLOOKUP(A1365,取得元!$A$2:$F$501,3,FALSE),"-")</f>
        <v>-</v>
      </c>
      <c r="I1365" s="24" t="str">
        <f>IFERROR(VLOOKUP(A1365,取得元!$A$2:$F$501,4,FALSE),"-")</f>
        <v>-</v>
      </c>
      <c r="J1365" s="5" t="str">
        <f>IFERROR(VLOOKUP(A1365,取得元!$A$2:$F$501,5,FALSE),"-")</f>
        <v>-</v>
      </c>
      <c r="K1365" s="25" t="str">
        <f>IFERROR(VLOOKUP(A1365,取得元!$A$2:$F$501,6,FALSE)/100,"-")</f>
        <v>-</v>
      </c>
      <c r="L1365" s="21" t="str">
        <f>_xll.RssMarket(A1365,"始値")</f>
        <v/>
      </c>
      <c r="M1365" s="4" t="e">
        <f t="shared" si="115"/>
        <v>#VALUE!</v>
      </c>
      <c r="N1365" s="21" t="str">
        <f>_xll.RssMarket(A1365,"高値")</f>
        <v/>
      </c>
      <c r="O1365" s="4" t="e">
        <f t="shared" si="116"/>
        <v>#VALUE!</v>
      </c>
      <c r="P1365" s="21" t="str">
        <f>_xll.RssMarket(A1365,"安値")</f>
        <v/>
      </c>
      <c r="Q1365" s="4" t="e">
        <f t="shared" si="117"/>
        <v>#VALUE!</v>
      </c>
      <c r="R1365" s="21" t="str">
        <f>_xll.RssMarket(A1365,"後場始値")</f>
        <v/>
      </c>
      <c r="S1365" s="25" t="str">
        <f t="shared" si="118"/>
        <v>-</v>
      </c>
      <c r="T1365" s="7" t="str">
        <f>_xll.RssMarket(A1365,"出来高加重平均")</f>
        <v/>
      </c>
      <c r="U1365" s="4" t="e">
        <f t="shared" si="119"/>
        <v>#VALUE!</v>
      </c>
      <c r="V1365" s="21" t="str">
        <f>_xll.RssMarket(A1365,"出来高")</f>
        <v/>
      </c>
      <c r="W1365" s="21" t="str">
        <f>_xll.RssMarket(A1365,"売買代金")</f>
        <v/>
      </c>
      <c r="X1365" s="20" t="str">
        <f>_xll.RssMarket(A1365,"決算発表日")</f>
        <v/>
      </c>
      <c r="Y1365" s="26" t="str">
        <f>IF(C1365&gt;_xll.RssMarket(A1365,"年初来高値"),"○","×")</f>
        <v>×</v>
      </c>
      <c r="Z1365" s="27" t="str">
        <f>IF(C1365&lt;=_xll.RssMarket(A1365,"年初来安値"),"○","×")</f>
        <v>○</v>
      </c>
    </row>
    <row r="1366" spans="2:26" x14ac:dyDescent="0.55000000000000004">
      <c r="B1366" s="20" t="str">
        <f>_xll.RssMarket(A1366,"銘柄名称")</f>
        <v/>
      </c>
      <c r="C1366" s="21" t="str">
        <f>_xll.RssMarket(A1366,"現在値")</f>
        <v/>
      </c>
      <c r="D1366" s="20" t="str">
        <f>_xll.RssMarket(A1366,"現在値詳細時刻")</f>
        <v/>
      </c>
      <c r="E1366" s="22" t="str">
        <f>_xll.RssMarket(A1366,"前日比")</f>
        <v/>
      </c>
      <c r="F1366" s="23" t="e">
        <f>_xll.RssMarket(A1366,"前日比率")/100</f>
        <v>#VALUE!</v>
      </c>
      <c r="G1366" s="24" t="str">
        <f>IFERROR(VLOOKUP(A1366,取得元!$A$2:$F$501,2,FALSE),"-")</f>
        <v>-</v>
      </c>
      <c r="H1366" s="24" t="str">
        <f>IFERROR(VLOOKUP(A1366,取得元!$A$2:$F$501,3,FALSE),"-")</f>
        <v>-</v>
      </c>
      <c r="I1366" s="24" t="str">
        <f>IFERROR(VLOOKUP(A1366,取得元!$A$2:$F$501,4,FALSE),"-")</f>
        <v>-</v>
      </c>
      <c r="J1366" s="5" t="str">
        <f>IFERROR(VLOOKUP(A1366,取得元!$A$2:$F$501,5,FALSE),"-")</f>
        <v>-</v>
      </c>
      <c r="K1366" s="25" t="str">
        <f>IFERROR(VLOOKUP(A1366,取得元!$A$2:$F$501,6,FALSE)/100,"-")</f>
        <v>-</v>
      </c>
      <c r="L1366" s="21" t="str">
        <f>_xll.RssMarket(A1366,"始値")</f>
        <v/>
      </c>
      <c r="M1366" s="4" t="e">
        <f t="shared" ref="M1366:M1429" si="120">C1366/L1366-1</f>
        <v>#VALUE!</v>
      </c>
      <c r="N1366" s="21" t="str">
        <f>_xll.RssMarket(A1366,"高値")</f>
        <v/>
      </c>
      <c r="O1366" s="4" t="e">
        <f t="shared" ref="O1366:O1429" si="121">C1366/N1366-1</f>
        <v>#VALUE!</v>
      </c>
      <c r="P1366" s="21" t="str">
        <f>_xll.RssMarket(A1366,"安値")</f>
        <v/>
      </c>
      <c r="Q1366" s="4" t="e">
        <f t="shared" ref="Q1366:Q1429" si="122">C1366/P1366-1</f>
        <v>#VALUE!</v>
      </c>
      <c r="R1366" s="21" t="str">
        <f>_xll.RssMarket(A1366,"後場始値")</f>
        <v/>
      </c>
      <c r="S1366" s="25" t="str">
        <f t="shared" ref="S1366:S1429" si="123">IFERROR(C1366/R1366-1,"-")</f>
        <v>-</v>
      </c>
      <c r="T1366" s="7" t="str">
        <f>_xll.RssMarket(A1366,"出来高加重平均")</f>
        <v/>
      </c>
      <c r="U1366" s="4" t="e">
        <f t="shared" ref="U1366:U1429" si="124">C1366/T1366-1</f>
        <v>#VALUE!</v>
      </c>
      <c r="V1366" s="21" t="str">
        <f>_xll.RssMarket(A1366,"出来高")</f>
        <v/>
      </c>
      <c r="W1366" s="21" t="str">
        <f>_xll.RssMarket(A1366,"売買代金")</f>
        <v/>
      </c>
      <c r="X1366" s="20" t="str">
        <f>_xll.RssMarket(A1366,"決算発表日")</f>
        <v/>
      </c>
      <c r="Y1366" s="26" t="str">
        <f>IF(C1366&gt;_xll.RssMarket(A1366,"年初来高値"),"○","×")</f>
        <v>×</v>
      </c>
      <c r="Z1366" s="27" t="str">
        <f>IF(C1366&lt;=_xll.RssMarket(A1366,"年初来安値"),"○","×")</f>
        <v>○</v>
      </c>
    </row>
    <row r="1367" spans="2:26" x14ac:dyDescent="0.55000000000000004">
      <c r="B1367" s="20" t="str">
        <f>_xll.RssMarket(A1367,"銘柄名称")</f>
        <v/>
      </c>
      <c r="C1367" s="21" t="str">
        <f>_xll.RssMarket(A1367,"現在値")</f>
        <v/>
      </c>
      <c r="D1367" s="20" t="str">
        <f>_xll.RssMarket(A1367,"現在値詳細時刻")</f>
        <v/>
      </c>
      <c r="E1367" s="22" t="str">
        <f>_xll.RssMarket(A1367,"前日比")</f>
        <v/>
      </c>
      <c r="F1367" s="23" t="e">
        <f>_xll.RssMarket(A1367,"前日比率")/100</f>
        <v>#VALUE!</v>
      </c>
      <c r="G1367" s="24" t="str">
        <f>IFERROR(VLOOKUP(A1367,取得元!$A$2:$F$501,2,FALSE),"-")</f>
        <v>-</v>
      </c>
      <c r="H1367" s="24" t="str">
        <f>IFERROR(VLOOKUP(A1367,取得元!$A$2:$F$501,3,FALSE),"-")</f>
        <v>-</v>
      </c>
      <c r="I1367" s="24" t="str">
        <f>IFERROR(VLOOKUP(A1367,取得元!$A$2:$F$501,4,FALSE),"-")</f>
        <v>-</v>
      </c>
      <c r="J1367" s="5" t="str">
        <f>IFERROR(VLOOKUP(A1367,取得元!$A$2:$F$501,5,FALSE),"-")</f>
        <v>-</v>
      </c>
      <c r="K1367" s="25" t="str">
        <f>IFERROR(VLOOKUP(A1367,取得元!$A$2:$F$501,6,FALSE)/100,"-")</f>
        <v>-</v>
      </c>
      <c r="L1367" s="21" t="str">
        <f>_xll.RssMarket(A1367,"始値")</f>
        <v/>
      </c>
      <c r="M1367" s="4" t="e">
        <f t="shared" si="120"/>
        <v>#VALUE!</v>
      </c>
      <c r="N1367" s="21" t="str">
        <f>_xll.RssMarket(A1367,"高値")</f>
        <v/>
      </c>
      <c r="O1367" s="4" t="e">
        <f t="shared" si="121"/>
        <v>#VALUE!</v>
      </c>
      <c r="P1367" s="21" t="str">
        <f>_xll.RssMarket(A1367,"安値")</f>
        <v/>
      </c>
      <c r="Q1367" s="4" t="e">
        <f t="shared" si="122"/>
        <v>#VALUE!</v>
      </c>
      <c r="R1367" s="21" t="str">
        <f>_xll.RssMarket(A1367,"後場始値")</f>
        <v/>
      </c>
      <c r="S1367" s="25" t="str">
        <f t="shared" si="123"/>
        <v>-</v>
      </c>
      <c r="T1367" s="7" t="str">
        <f>_xll.RssMarket(A1367,"出来高加重平均")</f>
        <v/>
      </c>
      <c r="U1367" s="4" t="e">
        <f t="shared" si="124"/>
        <v>#VALUE!</v>
      </c>
      <c r="V1367" s="21" t="str">
        <f>_xll.RssMarket(A1367,"出来高")</f>
        <v/>
      </c>
      <c r="W1367" s="21" t="str">
        <f>_xll.RssMarket(A1367,"売買代金")</f>
        <v/>
      </c>
      <c r="X1367" s="20" t="str">
        <f>_xll.RssMarket(A1367,"決算発表日")</f>
        <v/>
      </c>
      <c r="Y1367" s="26" t="str">
        <f>IF(C1367&gt;_xll.RssMarket(A1367,"年初来高値"),"○","×")</f>
        <v>×</v>
      </c>
      <c r="Z1367" s="27" t="str">
        <f>IF(C1367&lt;=_xll.RssMarket(A1367,"年初来安値"),"○","×")</f>
        <v>○</v>
      </c>
    </row>
    <row r="1368" spans="2:26" x14ac:dyDescent="0.55000000000000004">
      <c r="B1368" s="20" t="str">
        <f>_xll.RssMarket(A1368,"銘柄名称")</f>
        <v/>
      </c>
      <c r="C1368" s="21" t="str">
        <f>_xll.RssMarket(A1368,"現在値")</f>
        <v/>
      </c>
      <c r="D1368" s="20" t="str">
        <f>_xll.RssMarket(A1368,"現在値詳細時刻")</f>
        <v/>
      </c>
      <c r="E1368" s="22" t="str">
        <f>_xll.RssMarket(A1368,"前日比")</f>
        <v/>
      </c>
      <c r="F1368" s="23" t="e">
        <f>_xll.RssMarket(A1368,"前日比率")/100</f>
        <v>#VALUE!</v>
      </c>
      <c r="G1368" s="24" t="str">
        <f>IFERROR(VLOOKUP(A1368,取得元!$A$2:$F$501,2,FALSE),"-")</f>
        <v>-</v>
      </c>
      <c r="H1368" s="24" t="str">
        <f>IFERROR(VLOOKUP(A1368,取得元!$A$2:$F$501,3,FALSE),"-")</f>
        <v>-</v>
      </c>
      <c r="I1368" s="24" t="str">
        <f>IFERROR(VLOOKUP(A1368,取得元!$A$2:$F$501,4,FALSE),"-")</f>
        <v>-</v>
      </c>
      <c r="J1368" s="5" t="str">
        <f>IFERROR(VLOOKUP(A1368,取得元!$A$2:$F$501,5,FALSE),"-")</f>
        <v>-</v>
      </c>
      <c r="K1368" s="25" t="str">
        <f>IFERROR(VLOOKUP(A1368,取得元!$A$2:$F$501,6,FALSE)/100,"-")</f>
        <v>-</v>
      </c>
      <c r="L1368" s="21" t="str">
        <f>_xll.RssMarket(A1368,"始値")</f>
        <v/>
      </c>
      <c r="M1368" s="4" t="e">
        <f t="shared" si="120"/>
        <v>#VALUE!</v>
      </c>
      <c r="N1368" s="21" t="str">
        <f>_xll.RssMarket(A1368,"高値")</f>
        <v/>
      </c>
      <c r="O1368" s="4" t="e">
        <f t="shared" si="121"/>
        <v>#VALUE!</v>
      </c>
      <c r="P1368" s="21" t="str">
        <f>_xll.RssMarket(A1368,"安値")</f>
        <v/>
      </c>
      <c r="Q1368" s="4" t="e">
        <f t="shared" si="122"/>
        <v>#VALUE!</v>
      </c>
      <c r="R1368" s="21" t="str">
        <f>_xll.RssMarket(A1368,"後場始値")</f>
        <v/>
      </c>
      <c r="S1368" s="25" t="str">
        <f t="shared" si="123"/>
        <v>-</v>
      </c>
      <c r="T1368" s="7" t="str">
        <f>_xll.RssMarket(A1368,"出来高加重平均")</f>
        <v/>
      </c>
      <c r="U1368" s="4" t="e">
        <f t="shared" si="124"/>
        <v>#VALUE!</v>
      </c>
      <c r="V1368" s="21" t="str">
        <f>_xll.RssMarket(A1368,"出来高")</f>
        <v/>
      </c>
      <c r="W1368" s="21" t="str">
        <f>_xll.RssMarket(A1368,"売買代金")</f>
        <v/>
      </c>
      <c r="X1368" s="20" t="str">
        <f>_xll.RssMarket(A1368,"決算発表日")</f>
        <v/>
      </c>
      <c r="Y1368" s="26" t="str">
        <f>IF(C1368&gt;_xll.RssMarket(A1368,"年初来高値"),"○","×")</f>
        <v>×</v>
      </c>
      <c r="Z1368" s="27" t="str">
        <f>IF(C1368&lt;=_xll.RssMarket(A1368,"年初来安値"),"○","×")</f>
        <v>○</v>
      </c>
    </row>
    <row r="1369" spans="2:26" x14ac:dyDescent="0.55000000000000004">
      <c r="B1369" s="20" t="str">
        <f>_xll.RssMarket(A1369,"銘柄名称")</f>
        <v/>
      </c>
      <c r="C1369" s="21" t="str">
        <f>_xll.RssMarket(A1369,"現在値")</f>
        <v/>
      </c>
      <c r="D1369" s="20" t="str">
        <f>_xll.RssMarket(A1369,"現在値詳細時刻")</f>
        <v/>
      </c>
      <c r="E1369" s="22" t="str">
        <f>_xll.RssMarket(A1369,"前日比")</f>
        <v/>
      </c>
      <c r="F1369" s="23" t="e">
        <f>_xll.RssMarket(A1369,"前日比率")/100</f>
        <v>#VALUE!</v>
      </c>
      <c r="G1369" s="24" t="str">
        <f>IFERROR(VLOOKUP(A1369,取得元!$A$2:$F$501,2,FALSE),"-")</f>
        <v>-</v>
      </c>
      <c r="H1369" s="24" t="str">
        <f>IFERROR(VLOOKUP(A1369,取得元!$A$2:$F$501,3,FALSE),"-")</f>
        <v>-</v>
      </c>
      <c r="I1369" s="24" t="str">
        <f>IFERROR(VLOOKUP(A1369,取得元!$A$2:$F$501,4,FALSE),"-")</f>
        <v>-</v>
      </c>
      <c r="J1369" s="5" t="str">
        <f>IFERROR(VLOOKUP(A1369,取得元!$A$2:$F$501,5,FALSE),"-")</f>
        <v>-</v>
      </c>
      <c r="K1369" s="25" t="str">
        <f>IFERROR(VLOOKUP(A1369,取得元!$A$2:$F$501,6,FALSE)/100,"-")</f>
        <v>-</v>
      </c>
      <c r="L1369" s="21" t="str">
        <f>_xll.RssMarket(A1369,"始値")</f>
        <v/>
      </c>
      <c r="M1369" s="4" t="e">
        <f t="shared" si="120"/>
        <v>#VALUE!</v>
      </c>
      <c r="N1369" s="21" t="str">
        <f>_xll.RssMarket(A1369,"高値")</f>
        <v/>
      </c>
      <c r="O1369" s="4" t="e">
        <f t="shared" si="121"/>
        <v>#VALUE!</v>
      </c>
      <c r="P1369" s="21" t="str">
        <f>_xll.RssMarket(A1369,"安値")</f>
        <v/>
      </c>
      <c r="Q1369" s="4" t="e">
        <f t="shared" si="122"/>
        <v>#VALUE!</v>
      </c>
      <c r="R1369" s="21" t="str">
        <f>_xll.RssMarket(A1369,"後場始値")</f>
        <v/>
      </c>
      <c r="S1369" s="25" t="str">
        <f t="shared" si="123"/>
        <v>-</v>
      </c>
      <c r="T1369" s="7" t="str">
        <f>_xll.RssMarket(A1369,"出来高加重平均")</f>
        <v/>
      </c>
      <c r="U1369" s="4" t="e">
        <f t="shared" si="124"/>
        <v>#VALUE!</v>
      </c>
      <c r="V1369" s="21" t="str">
        <f>_xll.RssMarket(A1369,"出来高")</f>
        <v/>
      </c>
      <c r="W1369" s="21" t="str">
        <f>_xll.RssMarket(A1369,"売買代金")</f>
        <v/>
      </c>
      <c r="X1369" s="20" t="str">
        <f>_xll.RssMarket(A1369,"決算発表日")</f>
        <v/>
      </c>
      <c r="Y1369" s="26" t="str">
        <f>IF(C1369&gt;_xll.RssMarket(A1369,"年初来高値"),"○","×")</f>
        <v>×</v>
      </c>
      <c r="Z1369" s="27" t="str">
        <f>IF(C1369&lt;=_xll.RssMarket(A1369,"年初来安値"),"○","×")</f>
        <v>○</v>
      </c>
    </row>
    <row r="1370" spans="2:26" x14ac:dyDescent="0.55000000000000004">
      <c r="B1370" s="20" t="str">
        <f>_xll.RssMarket(A1370,"銘柄名称")</f>
        <v/>
      </c>
      <c r="C1370" s="21" t="str">
        <f>_xll.RssMarket(A1370,"現在値")</f>
        <v/>
      </c>
      <c r="D1370" s="20" t="str">
        <f>_xll.RssMarket(A1370,"現在値詳細時刻")</f>
        <v/>
      </c>
      <c r="E1370" s="22" t="str">
        <f>_xll.RssMarket(A1370,"前日比")</f>
        <v/>
      </c>
      <c r="F1370" s="23" t="e">
        <f>_xll.RssMarket(A1370,"前日比率")/100</f>
        <v>#VALUE!</v>
      </c>
      <c r="G1370" s="24" t="str">
        <f>IFERROR(VLOOKUP(A1370,取得元!$A$2:$F$501,2,FALSE),"-")</f>
        <v>-</v>
      </c>
      <c r="H1370" s="24" t="str">
        <f>IFERROR(VLOOKUP(A1370,取得元!$A$2:$F$501,3,FALSE),"-")</f>
        <v>-</v>
      </c>
      <c r="I1370" s="24" t="str">
        <f>IFERROR(VLOOKUP(A1370,取得元!$A$2:$F$501,4,FALSE),"-")</f>
        <v>-</v>
      </c>
      <c r="J1370" s="5" t="str">
        <f>IFERROR(VLOOKUP(A1370,取得元!$A$2:$F$501,5,FALSE),"-")</f>
        <v>-</v>
      </c>
      <c r="K1370" s="25" t="str">
        <f>IFERROR(VLOOKUP(A1370,取得元!$A$2:$F$501,6,FALSE)/100,"-")</f>
        <v>-</v>
      </c>
      <c r="L1370" s="21" t="str">
        <f>_xll.RssMarket(A1370,"始値")</f>
        <v/>
      </c>
      <c r="M1370" s="4" t="e">
        <f t="shared" si="120"/>
        <v>#VALUE!</v>
      </c>
      <c r="N1370" s="21" t="str">
        <f>_xll.RssMarket(A1370,"高値")</f>
        <v/>
      </c>
      <c r="O1370" s="4" t="e">
        <f t="shared" si="121"/>
        <v>#VALUE!</v>
      </c>
      <c r="P1370" s="21" t="str">
        <f>_xll.RssMarket(A1370,"安値")</f>
        <v/>
      </c>
      <c r="Q1370" s="4" t="e">
        <f t="shared" si="122"/>
        <v>#VALUE!</v>
      </c>
      <c r="R1370" s="21" t="str">
        <f>_xll.RssMarket(A1370,"後場始値")</f>
        <v/>
      </c>
      <c r="S1370" s="25" t="str">
        <f t="shared" si="123"/>
        <v>-</v>
      </c>
      <c r="T1370" s="7" t="str">
        <f>_xll.RssMarket(A1370,"出来高加重平均")</f>
        <v/>
      </c>
      <c r="U1370" s="4" t="e">
        <f t="shared" si="124"/>
        <v>#VALUE!</v>
      </c>
      <c r="V1370" s="21" t="str">
        <f>_xll.RssMarket(A1370,"出来高")</f>
        <v/>
      </c>
      <c r="W1370" s="21" t="str">
        <f>_xll.RssMarket(A1370,"売買代金")</f>
        <v/>
      </c>
      <c r="X1370" s="20" t="str">
        <f>_xll.RssMarket(A1370,"決算発表日")</f>
        <v/>
      </c>
      <c r="Y1370" s="26" t="str">
        <f>IF(C1370&gt;_xll.RssMarket(A1370,"年初来高値"),"○","×")</f>
        <v>×</v>
      </c>
      <c r="Z1370" s="27" t="str">
        <f>IF(C1370&lt;=_xll.RssMarket(A1370,"年初来安値"),"○","×")</f>
        <v>○</v>
      </c>
    </row>
    <row r="1371" spans="2:26" x14ac:dyDescent="0.55000000000000004">
      <c r="B1371" s="20" t="str">
        <f>_xll.RssMarket(A1371,"銘柄名称")</f>
        <v/>
      </c>
      <c r="C1371" s="21" t="str">
        <f>_xll.RssMarket(A1371,"現在値")</f>
        <v/>
      </c>
      <c r="D1371" s="20" t="str">
        <f>_xll.RssMarket(A1371,"現在値詳細時刻")</f>
        <v/>
      </c>
      <c r="E1371" s="22" t="str">
        <f>_xll.RssMarket(A1371,"前日比")</f>
        <v/>
      </c>
      <c r="F1371" s="23" t="e">
        <f>_xll.RssMarket(A1371,"前日比率")/100</f>
        <v>#VALUE!</v>
      </c>
      <c r="G1371" s="24" t="str">
        <f>IFERROR(VLOOKUP(A1371,取得元!$A$2:$F$501,2,FALSE),"-")</f>
        <v>-</v>
      </c>
      <c r="H1371" s="24" t="str">
        <f>IFERROR(VLOOKUP(A1371,取得元!$A$2:$F$501,3,FALSE),"-")</f>
        <v>-</v>
      </c>
      <c r="I1371" s="24" t="str">
        <f>IFERROR(VLOOKUP(A1371,取得元!$A$2:$F$501,4,FALSE),"-")</f>
        <v>-</v>
      </c>
      <c r="J1371" s="5" t="str">
        <f>IFERROR(VLOOKUP(A1371,取得元!$A$2:$F$501,5,FALSE),"-")</f>
        <v>-</v>
      </c>
      <c r="K1371" s="25" t="str">
        <f>IFERROR(VLOOKUP(A1371,取得元!$A$2:$F$501,6,FALSE)/100,"-")</f>
        <v>-</v>
      </c>
      <c r="L1371" s="21" t="str">
        <f>_xll.RssMarket(A1371,"始値")</f>
        <v/>
      </c>
      <c r="M1371" s="4" t="e">
        <f t="shared" si="120"/>
        <v>#VALUE!</v>
      </c>
      <c r="N1371" s="21" t="str">
        <f>_xll.RssMarket(A1371,"高値")</f>
        <v/>
      </c>
      <c r="O1371" s="4" t="e">
        <f t="shared" si="121"/>
        <v>#VALUE!</v>
      </c>
      <c r="P1371" s="21" t="str">
        <f>_xll.RssMarket(A1371,"安値")</f>
        <v/>
      </c>
      <c r="Q1371" s="4" t="e">
        <f t="shared" si="122"/>
        <v>#VALUE!</v>
      </c>
      <c r="R1371" s="21" t="str">
        <f>_xll.RssMarket(A1371,"後場始値")</f>
        <v/>
      </c>
      <c r="S1371" s="25" t="str">
        <f t="shared" si="123"/>
        <v>-</v>
      </c>
      <c r="T1371" s="7" t="str">
        <f>_xll.RssMarket(A1371,"出来高加重平均")</f>
        <v/>
      </c>
      <c r="U1371" s="4" t="e">
        <f t="shared" si="124"/>
        <v>#VALUE!</v>
      </c>
      <c r="V1371" s="21" t="str">
        <f>_xll.RssMarket(A1371,"出来高")</f>
        <v/>
      </c>
      <c r="W1371" s="21" t="str">
        <f>_xll.RssMarket(A1371,"売買代金")</f>
        <v/>
      </c>
      <c r="X1371" s="20" t="str">
        <f>_xll.RssMarket(A1371,"決算発表日")</f>
        <v/>
      </c>
      <c r="Y1371" s="26" t="str">
        <f>IF(C1371&gt;_xll.RssMarket(A1371,"年初来高値"),"○","×")</f>
        <v>×</v>
      </c>
      <c r="Z1371" s="27" t="str">
        <f>IF(C1371&lt;=_xll.RssMarket(A1371,"年初来安値"),"○","×")</f>
        <v>○</v>
      </c>
    </row>
    <row r="1372" spans="2:26" x14ac:dyDescent="0.55000000000000004">
      <c r="B1372" s="20" t="str">
        <f>_xll.RssMarket(A1372,"銘柄名称")</f>
        <v/>
      </c>
      <c r="C1372" s="21" t="str">
        <f>_xll.RssMarket(A1372,"現在値")</f>
        <v/>
      </c>
      <c r="D1372" s="20" t="str">
        <f>_xll.RssMarket(A1372,"現在値詳細時刻")</f>
        <v/>
      </c>
      <c r="E1372" s="22" t="str">
        <f>_xll.RssMarket(A1372,"前日比")</f>
        <v/>
      </c>
      <c r="F1372" s="23" t="e">
        <f>_xll.RssMarket(A1372,"前日比率")/100</f>
        <v>#VALUE!</v>
      </c>
      <c r="G1372" s="24" t="str">
        <f>IFERROR(VLOOKUP(A1372,取得元!$A$2:$F$501,2,FALSE),"-")</f>
        <v>-</v>
      </c>
      <c r="H1372" s="24" t="str">
        <f>IFERROR(VLOOKUP(A1372,取得元!$A$2:$F$501,3,FALSE),"-")</f>
        <v>-</v>
      </c>
      <c r="I1372" s="24" t="str">
        <f>IFERROR(VLOOKUP(A1372,取得元!$A$2:$F$501,4,FALSE),"-")</f>
        <v>-</v>
      </c>
      <c r="J1372" s="5" t="str">
        <f>IFERROR(VLOOKUP(A1372,取得元!$A$2:$F$501,5,FALSE),"-")</f>
        <v>-</v>
      </c>
      <c r="K1372" s="25" t="str">
        <f>IFERROR(VLOOKUP(A1372,取得元!$A$2:$F$501,6,FALSE)/100,"-")</f>
        <v>-</v>
      </c>
      <c r="L1372" s="21" t="str">
        <f>_xll.RssMarket(A1372,"始値")</f>
        <v/>
      </c>
      <c r="M1372" s="4" t="e">
        <f t="shared" si="120"/>
        <v>#VALUE!</v>
      </c>
      <c r="N1372" s="21" t="str">
        <f>_xll.RssMarket(A1372,"高値")</f>
        <v/>
      </c>
      <c r="O1372" s="4" t="e">
        <f t="shared" si="121"/>
        <v>#VALUE!</v>
      </c>
      <c r="P1372" s="21" t="str">
        <f>_xll.RssMarket(A1372,"安値")</f>
        <v/>
      </c>
      <c r="Q1372" s="4" t="e">
        <f t="shared" si="122"/>
        <v>#VALUE!</v>
      </c>
      <c r="R1372" s="21" t="str">
        <f>_xll.RssMarket(A1372,"後場始値")</f>
        <v/>
      </c>
      <c r="S1372" s="25" t="str">
        <f t="shared" si="123"/>
        <v>-</v>
      </c>
      <c r="T1372" s="7" t="str">
        <f>_xll.RssMarket(A1372,"出来高加重平均")</f>
        <v/>
      </c>
      <c r="U1372" s="4" t="e">
        <f t="shared" si="124"/>
        <v>#VALUE!</v>
      </c>
      <c r="V1372" s="21" t="str">
        <f>_xll.RssMarket(A1372,"出来高")</f>
        <v/>
      </c>
      <c r="W1372" s="21" t="str">
        <f>_xll.RssMarket(A1372,"売買代金")</f>
        <v/>
      </c>
      <c r="X1372" s="20" t="str">
        <f>_xll.RssMarket(A1372,"決算発表日")</f>
        <v/>
      </c>
      <c r="Y1372" s="26" t="str">
        <f>IF(C1372&gt;_xll.RssMarket(A1372,"年初来高値"),"○","×")</f>
        <v>×</v>
      </c>
      <c r="Z1372" s="27" t="str">
        <f>IF(C1372&lt;=_xll.RssMarket(A1372,"年初来安値"),"○","×")</f>
        <v>○</v>
      </c>
    </row>
    <row r="1373" spans="2:26" x14ac:dyDescent="0.55000000000000004">
      <c r="B1373" s="20" t="str">
        <f>_xll.RssMarket(A1373,"銘柄名称")</f>
        <v/>
      </c>
      <c r="C1373" s="21" t="str">
        <f>_xll.RssMarket(A1373,"現在値")</f>
        <v/>
      </c>
      <c r="D1373" s="20" t="str">
        <f>_xll.RssMarket(A1373,"現在値詳細時刻")</f>
        <v/>
      </c>
      <c r="E1373" s="22" t="str">
        <f>_xll.RssMarket(A1373,"前日比")</f>
        <v/>
      </c>
      <c r="F1373" s="23" t="e">
        <f>_xll.RssMarket(A1373,"前日比率")/100</f>
        <v>#VALUE!</v>
      </c>
      <c r="G1373" s="24" t="str">
        <f>IFERROR(VLOOKUP(A1373,取得元!$A$2:$F$501,2,FALSE),"-")</f>
        <v>-</v>
      </c>
      <c r="H1373" s="24" t="str">
        <f>IFERROR(VLOOKUP(A1373,取得元!$A$2:$F$501,3,FALSE),"-")</f>
        <v>-</v>
      </c>
      <c r="I1373" s="24" t="str">
        <f>IFERROR(VLOOKUP(A1373,取得元!$A$2:$F$501,4,FALSE),"-")</f>
        <v>-</v>
      </c>
      <c r="J1373" s="5" t="str">
        <f>IFERROR(VLOOKUP(A1373,取得元!$A$2:$F$501,5,FALSE),"-")</f>
        <v>-</v>
      </c>
      <c r="K1373" s="25" t="str">
        <f>IFERROR(VLOOKUP(A1373,取得元!$A$2:$F$501,6,FALSE)/100,"-")</f>
        <v>-</v>
      </c>
      <c r="L1373" s="21" t="str">
        <f>_xll.RssMarket(A1373,"始値")</f>
        <v/>
      </c>
      <c r="M1373" s="4" t="e">
        <f t="shared" si="120"/>
        <v>#VALUE!</v>
      </c>
      <c r="N1373" s="21" t="str">
        <f>_xll.RssMarket(A1373,"高値")</f>
        <v/>
      </c>
      <c r="O1373" s="4" t="e">
        <f t="shared" si="121"/>
        <v>#VALUE!</v>
      </c>
      <c r="P1373" s="21" t="str">
        <f>_xll.RssMarket(A1373,"安値")</f>
        <v/>
      </c>
      <c r="Q1373" s="4" t="e">
        <f t="shared" si="122"/>
        <v>#VALUE!</v>
      </c>
      <c r="R1373" s="21" t="str">
        <f>_xll.RssMarket(A1373,"後場始値")</f>
        <v/>
      </c>
      <c r="S1373" s="25" t="str">
        <f t="shared" si="123"/>
        <v>-</v>
      </c>
      <c r="T1373" s="7" t="str">
        <f>_xll.RssMarket(A1373,"出来高加重平均")</f>
        <v/>
      </c>
      <c r="U1373" s="4" t="e">
        <f t="shared" si="124"/>
        <v>#VALUE!</v>
      </c>
      <c r="V1373" s="21" t="str">
        <f>_xll.RssMarket(A1373,"出来高")</f>
        <v/>
      </c>
      <c r="W1373" s="21" t="str">
        <f>_xll.RssMarket(A1373,"売買代金")</f>
        <v/>
      </c>
      <c r="X1373" s="20" t="str">
        <f>_xll.RssMarket(A1373,"決算発表日")</f>
        <v/>
      </c>
      <c r="Y1373" s="26" t="str">
        <f>IF(C1373&gt;_xll.RssMarket(A1373,"年初来高値"),"○","×")</f>
        <v>×</v>
      </c>
      <c r="Z1373" s="27" t="str">
        <f>IF(C1373&lt;=_xll.RssMarket(A1373,"年初来安値"),"○","×")</f>
        <v>○</v>
      </c>
    </row>
    <row r="1374" spans="2:26" x14ac:dyDescent="0.55000000000000004">
      <c r="B1374" s="20" t="str">
        <f>_xll.RssMarket(A1374,"銘柄名称")</f>
        <v/>
      </c>
      <c r="C1374" s="21" t="str">
        <f>_xll.RssMarket(A1374,"現在値")</f>
        <v/>
      </c>
      <c r="D1374" s="20" t="str">
        <f>_xll.RssMarket(A1374,"現在値詳細時刻")</f>
        <v/>
      </c>
      <c r="E1374" s="22" t="str">
        <f>_xll.RssMarket(A1374,"前日比")</f>
        <v/>
      </c>
      <c r="F1374" s="23" t="e">
        <f>_xll.RssMarket(A1374,"前日比率")/100</f>
        <v>#VALUE!</v>
      </c>
      <c r="G1374" s="24" t="str">
        <f>IFERROR(VLOOKUP(A1374,取得元!$A$2:$F$501,2,FALSE),"-")</f>
        <v>-</v>
      </c>
      <c r="H1374" s="24" t="str">
        <f>IFERROR(VLOOKUP(A1374,取得元!$A$2:$F$501,3,FALSE),"-")</f>
        <v>-</v>
      </c>
      <c r="I1374" s="24" t="str">
        <f>IFERROR(VLOOKUP(A1374,取得元!$A$2:$F$501,4,FALSE),"-")</f>
        <v>-</v>
      </c>
      <c r="J1374" s="5" t="str">
        <f>IFERROR(VLOOKUP(A1374,取得元!$A$2:$F$501,5,FALSE),"-")</f>
        <v>-</v>
      </c>
      <c r="K1374" s="25" t="str">
        <f>IFERROR(VLOOKUP(A1374,取得元!$A$2:$F$501,6,FALSE)/100,"-")</f>
        <v>-</v>
      </c>
      <c r="L1374" s="21" t="str">
        <f>_xll.RssMarket(A1374,"始値")</f>
        <v/>
      </c>
      <c r="M1374" s="4" t="e">
        <f t="shared" si="120"/>
        <v>#VALUE!</v>
      </c>
      <c r="N1374" s="21" t="str">
        <f>_xll.RssMarket(A1374,"高値")</f>
        <v/>
      </c>
      <c r="O1374" s="4" t="e">
        <f t="shared" si="121"/>
        <v>#VALUE!</v>
      </c>
      <c r="P1374" s="21" t="str">
        <f>_xll.RssMarket(A1374,"安値")</f>
        <v/>
      </c>
      <c r="Q1374" s="4" t="e">
        <f t="shared" si="122"/>
        <v>#VALUE!</v>
      </c>
      <c r="R1374" s="21" t="str">
        <f>_xll.RssMarket(A1374,"後場始値")</f>
        <v/>
      </c>
      <c r="S1374" s="25" t="str">
        <f t="shared" si="123"/>
        <v>-</v>
      </c>
      <c r="T1374" s="7" t="str">
        <f>_xll.RssMarket(A1374,"出来高加重平均")</f>
        <v/>
      </c>
      <c r="U1374" s="4" t="e">
        <f t="shared" si="124"/>
        <v>#VALUE!</v>
      </c>
      <c r="V1374" s="21" t="str">
        <f>_xll.RssMarket(A1374,"出来高")</f>
        <v/>
      </c>
      <c r="W1374" s="21" t="str">
        <f>_xll.RssMarket(A1374,"売買代金")</f>
        <v/>
      </c>
      <c r="X1374" s="20" t="str">
        <f>_xll.RssMarket(A1374,"決算発表日")</f>
        <v/>
      </c>
      <c r="Y1374" s="26" t="str">
        <f>IF(C1374&gt;_xll.RssMarket(A1374,"年初来高値"),"○","×")</f>
        <v>×</v>
      </c>
      <c r="Z1374" s="27" t="str">
        <f>IF(C1374&lt;=_xll.RssMarket(A1374,"年初来安値"),"○","×")</f>
        <v>○</v>
      </c>
    </row>
    <row r="1375" spans="2:26" x14ac:dyDescent="0.55000000000000004">
      <c r="B1375" s="20" t="str">
        <f>_xll.RssMarket(A1375,"銘柄名称")</f>
        <v/>
      </c>
      <c r="C1375" s="21" t="str">
        <f>_xll.RssMarket(A1375,"現在値")</f>
        <v/>
      </c>
      <c r="D1375" s="20" t="str">
        <f>_xll.RssMarket(A1375,"現在値詳細時刻")</f>
        <v/>
      </c>
      <c r="E1375" s="22" t="str">
        <f>_xll.RssMarket(A1375,"前日比")</f>
        <v/>
      </c>
      <c r="F1375" s="23" t="e">
        <f>_xll.RssMarket(A1375,"前日比率")/100</f>
        <v>#VALUE!</v>
      </c>
      <c r="G1375" s="24" t="str">
        <f>IFERROR(VLOOKUP(A1375,取得元!$A$2:$F$501,2,FALSE),"-")</f>
        <v>-</v>
      </c>
      <c r="H1375" s="24" t="str">
        <f>IFERROR(VLOOKUP(A1375,取得元!$A$2:$F$501,3,FALSE),"-")</f>
        <v>-</v>
      </c>
      <c r="I1375" s="24" t="str">
        <f>IFERROR(VLOOKUP(A1375,取得元!$A$2:$F$501,4,FALSE),"-")</f>
        <v>-</v>
      </c>
      <c r="J1375" s="5" t="str">
        <f>IFERROR(VLOOKUP(A1375,取得元!$A$2:$F$501,5,FALSE),"-")</f>
        <v>-</v>
      </c>
      <c r="K1375" s="25" t="str">
        <f>IFERROR(VLOOKUP(A1375,取得元!$A$2:$F$501,6,FALSE)/100,"-")</f>
        <v>-</v>
      </c>
      <c r="L1375" s="21" t="str">
        <f>_xll.RssMarket(A1375,"始値")</f>
        <v/>
      </c>
      <c r="M1375" s="4" t="e">
        <f t="shared" si="120"/>
        <v>#VALUE!</v>
      </c>
      <c r="N1375" s="21" t="str">
        <f>_xll.RssMarket(A1375,"高値")</f>
        <v/>
      </c>
      <c r="O1375" s="4" t="e">
        <f t="shared" si="121"/>
        <v>#VALUE!</v>
      </c>
      <c r="P1375" s="21" t="str">
        <f>_xll.RssMarket(A1375,"安値")</f>
        <v/>
      </c>
      <c r="Q1375" s="4" t="e">
        <f t="shared" si="122"/>
        <v>#VALUE!</v>
      </c>
      <c r="R1375" s="21" t="str">
        <f>_xll.RssMarket(A1375,"後場始値")</f>
        <v/>
      </c>
      <c r="S1375" s="25" t="str">
        <f t="shared" si="123"/>
        <v>-</v>
      </c>
      <c r="T1375" s="7" t="str">
        <f>_xll.RssMarket(A1375,"出来高加重平均")</f>
        <v/>
      </c>
      <c r="U1375" s="4" t="e">
        <f t="shared" si="124"/>
        <v>#VALUE!</v>
      </c>
      <c r="V1375" s="21" t="str">
        <f>_xll.RssMarket(A1375,"出来高")</f>
        <v/>
      </c>
      <c r="W1375" s="21" t="str">
        <f>_xll.RssMarket(A1375,"売買代金")</f>
        <v/>
      </c>
      <c r="X1375" s="20" t="str">
        <f>_xll.RssMarket(A1375,"決算発表日")</f>
        <v/>
      </c>
      <c r="Y1375" s="26" t="str">
        <f>IF(C1375&gt;_xll.RssMarket(A1375,"年初来高値"),"○","×")</f>
        <v>×</v>
      </c>
      <c r="Z1375" s="27" t="str">
        <f>IF(C1375&lt;=_xll.RssMarket(A1375,"年初来安値"),"○","×")</f>
        <v>○</v>
      </c>
    </row>
    <row r="1376" spans="2:26" x14ac:dyDescent="0.55000000000000004">
      <c r="B1376" s="20" t="str">
        <f>_xll.RssMarket(A1376,"銘柄名称")</f>
        <v/>
      </c>
      <c r="C1376" s="21" t="str">
        <f>_xll.RssMarket(A1376,"現在値")</f>
        <v/>
      </c>
      <c r="D1376" s="20" t="str">
        <f>_xll.RssMarket(A1376,"現在値詳細時刻")</f>
        <v/>
      </c>
      <c r="E1376" s="22" t="str">
        <f>_xll.RssMarket(A1376,"前日比")</f>
        <v/>
      </c>
      <c r="F1376" s="23" t="e">
        <f>_xll.RssMarket(A1376,"前日比率")/100</f>
        <v>#VALUE!</v>
      </c>
      <c r="G1376" s="24" t="str">
        <f>IFERROR(VLOOKUP(A1376,取得元!$A$2:$F$501,2,FALSE),"-")</f>
        <v>-</v>
      </c>
      <c r="H1376" s="24" t="str">
        <f>IFERROR(VLOOKUP(A1376,取得元!$A$2:$F$501,3,FALSE),"-")</f>
        <v>-</v>
      </c>
      <c r="I1376" s="24" t="str">
        <f>IFERROR(VLOOKUP(A1376,取得元!$A$2:$F$501,4,FALSE),"-")</f>
        <v>-</v>
      </c>
      <c r="J1376" s="5" t="str">
        <f>IFERROR(VLOOKUP(A1376,取得元!$A$2:$F$501,5,FALSE),"-")</f>
        <v>-</v>
      </c>
      <c r="K1376" s="25" t="str">
        <f>IFERROR(VLOOKUP(A1376,取得元!$A$2:$F$501,6,FALSE)/100,"-")</f>
        <v>-</v>
      </c>
      <c r="L1376" s="21" t="str">
        <f>_xll.RssMarket(A1376,"始値")</f>
        <v/>
      </c>
      <c r="M1376" s="4" t="e">
        <f t="shared" si="120"/>
        <v>#VALUE!</v>
      </c>
      <c r="N1376" s="21" t="str">
        <f>_xll.RssMarket(A1376,"高値")</f>
        <v/>
      </c>
      <c r="O1376" s="4" t="e">
        <f t="shared" si="121"/>
        <v>#VALUE!</v>
      </c>
      <c r="P1376" s="21" t="str">
        <f>_xll.RssMarket(A1376,"安値")</f>
        <v/>
      </c>
      <c r="Q1376" s="4" t="e">
        <f t="shared" si="122"/>
        <v>#VALUE!</v>
      </c>
      <c r="R1376" s="21" t="str">
        <f>_xll.RssMarket(A1376,"後場始値")</f>
        <v/>
      </c>
      <c r="S1376" s="25" t="str">
        <f t="shared" si="123"/>
        <v>-</v>
      </c>
      <c r="T1376" s="7" t="str">
        <f>_xll.RssMarket(A1376,"出来高加重平均")</f>
        <v/>
      </c>
      <c r="U1376" s="4" t="e">
        <f t="shared" si="124"/>
        <v>#VALUE!</v>
      </c>
      <c r="V1376" s="21" t="str">
        <f>_xll.RssMarket(A1376,"出来高")</f>
        <v/>
      </c>
      <c r="W1376" s="21" t="str">
        <f>_xll.RssMarket(A1376,"売買代金")</f>
        <v/>
      </c>
      <c r="X1376" s="20" t="str">
        <f>_xll.RssMarket(A1376,"決算発表日")</f>
        <v/>
      </c>
      <c r="Y1376" s="26" t="str">
        <f>IF(C1376&gt;_xll.RssMarket(A1376,"年初来高値"),"○","×")</f>
        <v>×</v>
      </c>
      <c r="Z1376" s="27" t="str">
        <f>IF(C1376&lt;=_xll.RssMarket(A1376,"年初来安値"),"○","×")</f>
        <v>○</v>
      </c>
    </row>
    <row r="1377" spans="2:26" x14ac:dyDescent="0.55000000000000004">
      <c r="B1377" s="20" t="str">
        <f>_xll.RssMarket(A1377,"銘柄名称")</f>
        <v/>
      </c>
      <c r="C1377" s="21" t="str">
        <f>_xll.RssMarket(A1377,"現在値")</f>
        <v/>
      </c>
      <c r="D1377" s="20" t="str">
        <f>_xll.RssMarket(A1377,"現在値詳細時刻")</f>
        <v/>
      </c>
      <c r="E1377" s="22" t="str">
        <f>_xll.RssMarket(A1377,"前日比")</f>
        <v/>
      </c>
      <c r="F1377" s="23" t="e">
        <f>_xll.RssMarket(A1377,"前日比率")/100</f>
        <v>#VALUE!</v>
      </c>
      <c r="G1377" s="24" t="str">
        <f>IFERROR(VLOOKUP(A1377,取得元!$A$2:$F$501,2,FALSE),"-")</f>
        <v>-</v>
      </c>
      <c r="H1377" s="24" t="str">
        <f>IFERROR(VLOOKUP(A1377,取得元!$A$2:$F$501,3,FALSE),"-")</f>
        <v>-</v>
      </c>
      <c r="I1377" s="24" t="str">
        <f>IFERROR(VLOOKUP(A1377,取得元!$A$2:$F$501,4,FALSE),"-")</f>
        <v>-</v>
      </c>
      <c r="J1377" s="5" t="str">
        <f>IFERROR(VLOOKUP(A1377,取得元!$A$2:$F$501,5,FALSE),"-")</f>
        <v>-</v>
      </c>
      <c r="K1377" s="25" t="str">
        <f>IFERROR(VLOOKUP(A1377,取得元!$A$2:$F$501,6,FALSE)/100,"-")</f>
        <v>-</v>
      </c>
      <c r="L1377" s="21" t="str">
        <f>_xll.RssMarket(A1377,"始値")</f>
        <v/>
      </c>
      <c r="M1377" s="4" t="e">
        <f t="shared" si="120"/>
        <v>#VALUE!</v>
      </c>
      <c r="N1377" s="21" t="str">
        <f>_xll.RssMarket(A1377,"高値")</f>
        <v/>
      </c>
      <c r="O1377" s="4" t="e">
        <f t="shared" si="121"/>
        <v>#VALUE!</v>
      </c>
      <c r="P1377" s="21" t="str">
        <f>_xll.RssMarket(A1377,"安値")</f>
        <v/>
      </c>
      <c r="Q1377" s="4" t="e">
        <f t="shared" si="122"/>
        <v>#VALUE!</v>
      </c>
      <c r="R1377" s="21" t="str">
        <f>_xll.RssMarket(A1377,"後場始値")</f>
        <v/>
      </c>
      <c r="S1377" s="25" t="str">
        <f t="shared" si="123"/>
        <v>-</v>
      </c>
      <c r="T1377" s="7" t="str">
        <f>_xll.RssMarket(A1377,"出来高加重平均")</f>
        <v/>
      </c>
      <c r="U1377" s="4" t="e">
        <f t="shared" si="124"/>
        <v>#VALUE!</v>
      </c>
      <c r="V1377" s="21" t="str">
        <f>_xll.RssMarket(A1377,"出来高")</f>
        <v/>
      </c>
      <c r="W1377" s="21" t="str">
        <f>_xll.RssMarket(A1377,"売買代金")</f>
        <v/>
      </c>
      <c r="X1377" s="20" t="str">
        <f>_xll.RssMarket(A1377,"決算発表日")</f>
        <v/>
      </c>
      <c r="Y1377" s="26" t="str">
        <f>IF(C1377&gt;_xll.RssMarket(A1377,"年初来高値"),"○","×")</f>
        <v>×</v>
      </c>
      <c r="Z1377" s="27" t="str">
        <f>IF(C1377&lt;=_xll.RssMarket(A1377,"年初来安値"),"○","×")</f>
        <v>○</v>
      </c>
    </row>
    <row r="1378" spans="2:26" x14ac:dyDescent="0.55000000000000004">
      <c r="B1378" s="20" t="str">
        <f>_xll.RssMarket(A1378,"銘柄名称")</f>
        <v/>
      </c>
      <c r="C1378" s="21" t="str">
        <f>_xll.RssMarket(A1378,"現在値")</f>
        <v/>
      </c>
      <c r="D1378" s="20" t="str">
        <f>_xll.RssMarket(A1378,"現在値詳細時刻")</f>
        <v/>
      </c>
      <c r="E1378" s="22" t="str">
        <f>_xll.RssMarket(A1378,"前日比")</f>
        <v/>
      </c>
      <c r="F1378" s="23" t="e">
        <f>_xll.RssMarket(A1378,"前日比率")/100</f>
        <v>#VALUE!</v>
      </c>
      <c r="G1378" s="24" t="str">
        <f>IFERROR(VLOOKUP(A1378,取得元!$A$2:$F$501,2,FALSE),"-")</f>
        <v>-</v>
      </c>
      <c r="H1378" s="24" t="str">
        <f>IFERROR(VLOOKUP(A1378,取得元!$A$2:$F$501,3,FALSE),"-")</f>
        <v>-</v>
      </c>
      <c r="I1378" s="24" t="str">
        <f>IFERROR(VLOOKUP(A1378,取得元!$A$2:$F$501,4,FALSE),"-")</f>
        <v>-</v>
      </c>
      <c r="J1378" s="5" t="str">
        <f>IFERROR(VLOOKUP(A1378,取得元!$A$2:$F$501,5,FALSE),"-")</f>
        <v>-</v>
      </c>
      <c r="K1378" s="25" t="str">
        <f>IFERROR(VLOOKUP(A1378,取得元!$A$2:$F$501,6,FALSE)/100,"-")</f>
        <v>-</v>
      </c>
      <c r="L1378" s="21" t="str">
        <f>_xll.RssMarket(A1378,"始値")</f>
        <v/>
      </c>
      <c r="M1378" s="4" t="e">
        <f t="shared" si="120"/>
        <v>#VALUE!</v>
      </c>
      <c r="N1378" s="21" t="str">
        <f>_xll.RssMarket(A1378,"高値")</f>
        <v/>
      </c>
      <c r="O1378" s="4" t="e">
        <f t="shared" si="121"/>
        <v>#VALUE!</v>
      </c>
      <c r="P1378" s="21" t="str">
        <f>_xll.RssMarket(A1378,"安値")</f>
        <v/>
      </c>
      <c r="Q1378" s="4" t="e">
        <f t="shared" si="122"/>
        <v>#VALUE!</v>
      </c>
      <c r="R1378" s="21" t="str">
        <f>_xll.RssMarket(A1378,"後場始値")</f>
        <v/>
      </c>
      <c r="S1378" s="25" t="str">
        <f t="shared" si="123"/>
        <v>-</v>
      </c>
      <c r="T1378" s="7" t="str">
        <f>_xll.RssMarket(A1378,"出来高加重平均")</f>
        <v/>
      </c>
      <c r="U1378" s="4" t="e">
        <f t="shared" si="124"/>
        <v>#VALUE!</v>
      </c>
      <c r="V1378" s="21" t="str">
        <f>_xll.RssMarket(A1378,"出来高")</f>
        <v/>
      </c>
      <c r="W1378" s="21" t="str">
        <f>_xll.RssMarket(A1378,"売買代金")</f>
        <v/>
      </c>
      <c r="X1378" s="20" t="str">
        <f>_xll.RssMarket(A1378,"決算発表日")</f>
        <v/>
      </c>
      <c r="Y1378" s="26" t="str">
        <f>IF(C1378&gt;_xll.RssMarket(A1378,"年初来高値"),"○","×")</f>
        <v>×</v>
      </c>
      <c r="Z1378" s="27" t="str">
        <f>IF(C1378&lt;=_xll.RssMarket(A1378,"年初来安値"),"○","×")</f>
        <v>○</v>
      </c>
    </row>
    <row r="1379" spans="2:26" x14ac:dyDescent="0.55000000000000004">
      <c r="B1379" s="20" t="str">
        <f>_xll.RssMarket(A1379,"銘柄名称")</f>
        <v/>
      </c>
      <c r="C1379" s="21" t="str">
        <f>_xll.RssMarket(A1379,"現在値")</f>
        <v/>
      </c>
      <c r="D1379" s="20" t="str">
        <f>_xll.RssMarket(A1379,"現在値詳細時刻")</f>
        <v/>
      </c>
      <c r="E1379" s="22" t="str">
        <f>_xll.RssMarket(A1379,"前日比")</f>
        <v/>
      </c>
      <c r="F1379" s="23" t="e">
        <f>_xll.RssMarket(A1379,"前日比率")/100</f>
        <v>#VALUE!</v>
      </c>
      <c r="G1379" s="24" t="str">
        <f>IFERROR(VLOOKUP(A1379,取得元!$A$2:$F$501,2,FALSE),"-")</f>
        <v>-</v>
      </c>
      <c r="H1379" s="24" t="str">
        <f>IFERROR(VLOOKUP(A1379,取得元!$A$2:$F$501,3,FALSE),"-")</f>
        <v>-</v>
      </c>
      <c r="I1379" s="24" t="str">
        <f>IFERROR(VLOOKUP(A1379,取得元!$A$2:$F$501,4,FALSE),"-")</f>
        <v>-</v>
      </c>
      <c r="J1379" s="5" t="str">
        <f>IFERROR(VLOOKUP(A1379,取得元!$A$2:$F$501,5,FALSE),"-")</f>
        <v>-</v>
      </c>
      <c r="K1379" s="25" t="str">
        <f>IFERROR(VLOOKUP(A1379,取得元!$A$2:$F$501,6,FALSE)/100,"-")</f>
        <v>-</v>
      </c>
      <c r="L1379" s="21" t="str">
        <f>_xll.RssMarket(A1379,"始値")</f>
        <v/>
      </c>
      <c r="M1379" s="4" t="e">
        <f t="shared" si="120"/>
        <v>#VALUE!</v>
      </c>
      <c r="N1379" s="21" t="str">
        <f>_xll.RssMarket(A1379,"高値")</f>
        <v/>
      </c>
      <c r="O1379" s="4" t="e">
        <f t="shared" si="121"/>
        <v>#VALUE!</v>
      </c>
      <c r="P1379" s="21" t="str">
        <f>_xll.RssMarket(A1379,"安値")</f>
        <v/>
      </c>
      <c r="Q1379" s="4" t="e">
        <f t="shared" si="122"/>
        <v>#VALUE!</v>
      </c>
      <c r="R1379" s="21" t="str">
        <f>_xll.RssMarket(A1379,"後場始値")</f>
        <v/>
      </c>
      <c r="S1379" s="25" t="str">
        <f t="shared" si="123"/>
        <v>-</v>
      </c>
      <c r="T1379" s="7" t="str">
        <f>_xll.RssMarket(A1379,"出来高加重平均")</f>
        <v/>
      </c>
      <c r="U1379" s="4" t="e">
        <f t="shared" si="124"/>
        <v>#VALUE!</v>
      </c>
      <c r="V1379" s="21" t="str">
        <f>_xll.RssMarket(A1379,"出来高")</f>
        <v/>
      </c>
      <c r="W1379" s="21" t="str">
        <f>_xll.RssMarket(A1379,"売買代金")</f>
        <v/>
      </c>
      <c r="X1379" s="20" t="str">
        <f>_xll.RssMarket(A1379,"決算発表日")</f>
        <v/>
      </c>
      <c r="Y1379" s="26" t="str">
        <f>IF(C1379&gt;_xll.RssMarket(A1379,"年初来高値"),"○","×")</f>
        <v>×</v>
      </c>
      <c r="Z1379" s="27" t="str">
        <f>IF(C1379&lt;=_xll.RssMarket(A1379,"年初来安値"),"○","×")</f>
        <v>○</v>
      </c>
    </row>
    <row r="1380" spans="2:26" x14ac:dyDescent="0.55000000000000004">
      <c r="B1380" s="20" t="str">
        <f>_xll.RssMarket(A1380,"銘柄名称")</f>
        <v/>
      </c>
      <c r="C1380" s="21" t="str">
        <f>_xll.RssMarket(A1380,"現在値")</f>
        <v/>
      </c>
      <c r="D1380" s="20" t="str">
        <f>_xll.RssMarket(A1380,"現在値詳細時刻")</f>
        <v/>
      </c>
      <c r="E1380" s="22" t="str">
        <f>_xll.RssMarket(A1380,"前日比")</f>
        <v/>
      </c>
      <c r="F1380" s="23" t="e">
        <f>_xll.RssMarket(A1380,"前日比率")/100</f>
        <v>#VALUE!</v>
      </c>
      <c r="G1380" s="24" t="str">
        <f>IFERROR(VLOOKUP(A1380,取得元!$A$2:$F$501,2,FALSE),"-")</f>
        <v>-</v>
      </c>
      <c r="H1380" s="24" t="str">
        <f>IFERROR(VLOOKUP(A1380,取得元!$A$2:$F$501,3,FALSE),"-")</f>
        <v>-</v>
      </c>
      <c r="I1380" s="24" t="str">
        <f>IFERROR(VLOOKUP(A1380,取得元!$A$2:$F$501,4,FALSE),"-")</f>
        <v>-</v>
      </c>
      <c r="J1380" s="5" t="str">
        <f>IFERROR(VLOOKUP(A1380,取得元!$A$2:$F$501,5,FALSE),"-")</f>
        <v>-</v>
      </c>
      <c r="K1380" s="25" t="str">
        <f>IFERROR(VLOOKUP(A1380,取得元!$A$2:$F$501,6,FALSE)/100,"-")</f>
        <v>-</v>
      </c>
      <c r="L1380" s="21" t="str">
        <f>_xll.RssMarket(A1380,"始値")</f>
        <v/>
      </c>
      <c r="M1380" s="4" t="e">
        <f t="shared" si="120"/>
        <v>#VALUE!</v>
      </c>
      <c r="N1380" s="21" t="str">
        <f>_xll.RssMarket(A1380,"高値")</f>
        <v/>
      </c>
      <c r="O1380" s="4" t="e">
        <f t="shared" si="121"/>
        <v>#VALUE!</v>
      </c>
      <c r="P1380" s="21" t="str">
        <f>_xll.RssMarket(A1380,"安値")</f>
        <v/>
      </c>
      <c r="Q1380" s="4" t="e">
        <f t="shared" si="122"/>
        <v>#VALUE!</v>
      </c>
      <c r="R1380" s="21" t="str">
        <f>_xll.RssMarket(A1380,"後場始値")</f>
        <v/>
      </c>
      <c r="S1380" s="25" t="str">
        <f t="shared" si="123"/>
        <v>-</v>
      </c>
      <c r="T1380" s="7" t="str">
        <f>_xll.RssMarket(A1380,"出来高加重平均")</f>
        <v/>
      </c>
      <c r="U1380" s="4" t="e">
        <f t="shared" si="124"/>
        <v>#VALUE!</v>
      </c>
      <c r="V1380" s="21" t="str">
        <f>_xll.RssMarket(A1380,"出来高")</f>
        <v/>
      </c>
      <c r="W1380" s="21" t="str">
        <f>_xll.RssMarket(A1380,"売買代金")</f>
        <v/>
      </c>
      <c r="X1380" s="20" t="str">
        <f>_xll.RssMarket(A1380,"決算発表日")</f>
        <v/>
      </c>
      <c r="Y1380" s="26" t="str">
        <f>IF(C1380&gt;_xll.RssMarket(A1380,"年初来高値"),"○","×")</f>
        <v>×</v>
      </c>
      <c r="Z1380" s="27" t="str">
        <f>IF(C1380&lt;=_xll.RssMarket(A1380,"年初来安値"),"○","×")</f>
        <v>○</v>
      </c>
    </row>
    <row r="1381" spans="2:26" x14ac:dyDescent="0.55000000000000004">
      <c r="B1381" s="20" t="str">
        <f>_xll.RssMarket(A1381,"銘柄名称")</f>
        <v/>
      </c>
      <c r="C1381" s="21" t="str">
        <f>_xll.RssMarket(A1381,"現在値")</f>
        <v/>
      </c>
      <c r="D1381" s="20" t="str">
        <f>_xll.RssMarket(A1381,"現在値詳細時刻")</f>
        <v/>
      </c>
      <c r="E1381" s="22" t="str">
        <f>_xll.RssMarket(A1381,"前日比")</f>
        <v/>
      </c>
      <c r="F1381" s="23" t="e">
        <f>_xll.RssMarket(A1381,"前日比率")/100</f>
        <v>#VALUE!</v>
      </c>
      <c r="G1381" s="24" t="str">
        <f>IFERROR(VLOOKUP(A1381,取得元!$A$2:$F$501,2,FALSE),"-")</f>
        <v>-</v>
      </c>
      <c r="H1381" s="24" t="str">
        <f>IFERROR(VLOOKUP(A1381,取得元!$A$2:$F$501,3,FALSE),"-")</f>
        <v>-</v>
      </c>
      <c r="I1381" s="24" t="str">
        <f>IFERROR(VLOOKUP(A1381,取得元!$A$2:$F$501,4,FALSE),"-")</f>
        <v>-</v>
      </c>
      <c r="J1381" s="5" t="str">
        <f>IFERROR(VLOOKUP(A1381,取得元!$A$2:$F$501,5,FALSE),"-")</f>
        <v>-</v>
      </c>
      <c r="K1381" s="25" t="str">
        <f>IFERROR(VLOOKUP(A1381,取得元!$A$2:$F$501,6,FALSE)/100,"-")</f>
        <v>-</v>
      </c>
      <c r="L1381" s="21" t="str">
        <f>_xll.RssMarket(A1381,"始値")</f>
        <v/>
      </c>
      <c r="M1381" s="4" t="e">
        <f t="shared" si="120"/>
        <v>#VALUE!</v>
      </c>
      <c r="N1381" s="21" t="str">
        <f>_xll.RssMarket(A1381,"高値")</f>
        <v/>
      </c>
      <c r="O1381" s="4" t="e">
        <f t="shared" si="121"/>
        <v>#VALUE!</v>
      </c>
      <c r="P1381" s="21" t="str">
        <f>_xll.RssMarket(A1381,"安値")</f>
        <v/>
      </c>
      <c r="Q1381" s="4" t="e">
        <f t="shared" si="122"/>
        <v>#VALUE!</v>
      </c>
      <c r="R1381" s="21" t="str">
        <f>_xll.RssMarket(A1381,"後場始値")</f>
        <v/>
      </c>
      <c r="S1381" s="25" t="str">
        <f t="shared" si="123"/>
        <v>-</v>
      </c>
      <c r="T1381" s="7" t="str">
        <f>_xll.RssMarket(A1381,"出来高加重平均")</f>
        <v/>
      </c>
      <c r="U1381" s="4" t="e">
        <f t="shared" si="124"/>
        <v>#VALUE!</v>
      </c>
      <c r="V1381" s="21" t="str">
        <f>_xll.RssMarket(A1381,"出来高")</f>
        <v/>
      </c>
      <c r="W1381" s="21" t="str">
        <f>_xll.RssMarket(A1381,"売買代金")</f>
        <v/>
      </c>
      <c r="X1381" s="20" t="str">
        <f>_xll.RssMarket(A1381,"決算発表日")</f>
        <v/>
      </c>
      <c r="Y1381" s="26" t="str">
        <f>IF(C1381&gt;_xll.RssMarket(A1381,"年初来高値"),"○","×")</f>
        <v>×</v>
      </c>
      <c r="Z1381" s="27" t="str">
        <f>IF(C1381&lt;=_xll.RssMarket(A1381,"年初来安値"),"○","×")</f>
        <v>○</v>
      </c>
    </row>
    <row r="1382" spans="2:26" x14ac:dyDescent="0.55000000000000004">
      <c r="B1382" s="20" t="str">
        <f>_xll.RssMarket(A1382,"銘柄名称")</f>
        <v/>
      </c>
      <c r="C1382" s="21" t="str">
        <f>_xll.RssMarket(A1382,"現在値")</f>
        <v/>
      </c>
      <c r="D1382" s="20" t="str">
        <f>_xll.RssMarket(A1382,"現在値詳細時刻")</f>
        <v/>
      </c>
      <c r="E1382" s="22" t="str">
        <f>_xll.RssMarket(A1382,"前日比")</f>
        <v/>
      </c>
      <c r="F1382" s="23" t="e">
        <f>_xll.RssMarket(A1382,"前日比率")/100</f>
        <v>#VALUE!</v>
      </c>
      <c r="G1382" s="24" t="str">
        <f>IFERROR(VLOOKUP(A1382,取得元!$A$2:$F$501,2,FALSE),"-")</f>
        <v>-</v>
      </c>
      <c r="H1382" s="24" t="str">
        <f>IFERROR(VLOOKUP(A1382,取得元!$A$2:$F$501,3,FALSE),"-")</f>
        <v>-</v>
      </c>
      <c r="I1382" s="24" t="str">
        <f>IFERROR(VLOOKUP(A1382,取得元!$A$2:$F$501,4,FALSE),"-")</f>
        <v>-</v>
      </c>
      <c r="J1382" s="5" t="str">
        <f>IFERROR(VLOOKUP(A1382,取得元!$A$2:$F$501,5,FALSE),"-")</f>
        <v>-</v>
      </c>
      <c r="K1382" s="25" t="str">
        <f>IFERROR(VLOOKUP(A1382,取得元!$A$2:$F$501,6,FALSE)/100,"-")</f>
        <v>-</v>
      </c>
      <c r="L1382" s="21" t="str">
        <f>_xll.RssMarket(A1382,"始値")</f>
        <v/>
      </c>
      <c r="M1382" s="4" t="e">
        <f t="shared" si="120"/>
        <v>#VALUE!</v>
      </c>
      <c r="N1382" s="21" t="str">
        <f>_xll.RssMarket(A1382,"高値")</f>
        <v/>
      </c>
      <c r="O1382" s="4" t="e">
        <f t="shared" si="121"/>
        <v>#VALUE!</v>
      </c>
      <c r="P1382" s="21" t="str">
        <f>_xll.RssMarket(A1382,"安値")</f>
        <v/>
      </c>
      <c r="Q1382" s="4" t="e">
        <f t="shared" si="122"/>
        <v>#VALUE!</v>
      </c>
      <c r="R1382" s="21" t="str">
        <f>_xll.RssMarket(A1382,"後場始値")</f>
        <v/>
      </c>
      <c r="S1382" s="25" t="str">
        <f t="shared" si="123"/>
        <v>-</v>
      </c>
      <c r="T1382" s="7" t="str">
        <f>_xll.RssMarket(A1382,"出来高加重平均")</f>
        <v/>
      </c>
      <c r="U1382" s="4" t="e">
        <f t="shared" si="124"/>
        <v>#VALUE!</v>
      </c>
      <c r="V1382" s="21" t="str">
        <f>_xll.RssMarket(A1382,"出来高")</f>
        <v/>
      </c>
      <c r="W1382" s="21" t="str">
        <f>_xll.RssMarket(A1382,"売買代金")</f>
        <v/>
      </c>
      <c r="X1382" s="20" t="str">
        <f>_xll.RssMarket(A1382,"決算発表日")</f>
        <v/>
      </c>
      <c r="Y1382" s="26" t="str">
        <f>IF(C1382&gt;_xll.RssMarket(A1382,"年初来高値"),"○","×")</f>
        <v>×</v>
      </c>
      <c r="Z1382" s="27" t="str">
        <f>IF(C1382&lt;=_xll.RssMarket(A1382,"年初来安値"),"○","×")</f>
        <v>○</v>
      </c>
    </row>
    <row r="1383" spans="2:26" x14ac:dyDescent="0.55000000000000004">
      <c r="B1383" s="20" t="str">
        <f>_xll.RssMarket(A1383,"銘柄名称")</f>
        <v/>
      </c>
      <c r="C1383" s="21" t="str">
        <f>_xll.RssMarket(A1383,"現在値")</f>
        <v/>
      </c>
      <c r="D1383" s="20" t="str">
        <f>_xll.RssMarket(A1383,"現在値詳細時刻")</f>
        <v/>
      </c>
      <c r="E1383" s="22" t="str">
        <f>_xll.RssMarket(A1383,"前日比")</f>
        <v/>
      </c>
      <c r="F1383" s="23" t="e">
        <f>_xll.RssMarket(A1383,"前日比率")/100</f>
        <v>#VALUE!</v>
      </c>
      <c r="G1383" s="24" t="str">
        <f>IFERROR(VLOOKUP(A1383,取得元!$A$2:$F$501,2,FALSE),"-")</f>
        <v>-</v>
      </c>
      <c r="H1383" s="24" t="str">
        <f>IFERROR(VLOOKUP(A1383,取得元!$A$2:$F$501,3,FALSE),"-")</f>
        <v>-</v>
      </c>
      <c r="I1383" s="24" t="str">
        <f>IFERROR(VLOOKUP(A1383,取得元!$A$2:$F$501,4,FALSE),"-")</f>
        <v>-</v>
      </c>
      <c r="J1383" s="5" t="str">
        <f>IFERROR(VLOOKUP(A1383,取得元!$A$2:$F$501,5,FALSE),"-")</f>
        <v>-</v>
      </c>
      <c r="K1383" s="25" t="str">
        <f>IFERROR(VLOOKUP(A1383,取得元!$A$2:$F$501,6,FALSE)/100,"-")</f>
        <v>-</v>
      </c>
      <c r="L1383" s="21" t="str">
        <f>_xll.RssMarket(A1383,"始値")</f>
        <v/>
      </c>
      <c r="M1383" s="4" t="e">
        <f t="shared" si="120"/>
        <v>#VALUE!</v>
      </c>
      <c r="N1383" s="21" t="str">
        <f>_xll.RssMarket(A1383,"高値")</f>
        <v/>
      </c>
      <c r="O1383" s="4" t="e">
        <f t="shared" si="121"/>
        <v>#VALUE!</v>
      </c>
      <c r="P1383" s="21" t="str">
        <f>_xll.RssMarket(A1383,"安値")</f>
        <v/>
      </c>
      <c r="Q1383" s="4" t="e">
        <f t="shared" si="122"/>
        <v>#VALUE!</v>
      </c>
      <c r="R1383" s="21" t="str">
        <f>_xll.RssMarket(A1383,"後場始値")</f>
        <v/>
      </c>
      <c r="S1383" s="25" t="str">
        <f t="shared" si="123"/>
        <v>-</v>
      </c>
      <c r="T1383" s="7" t="str">
        <f>_xll.RssMarket(A1383,"出来高加重平均")</f>
        <v/>
      </c>
      <c r="U1383" s="4" t="e">
        <f t="shared" si="124"/>
        <v>#VALUE!</v>
      </c>
      <c r="V1383" s="21" t="str">
        <f>_xll.RssMarket(A1383,"出来高")</f>
        <v/>
      </c>
      <c r="W1383" s="21" t="str">
        <f>_xll.RssMarket(A1383,"売買代金")</f>
        <v/>
      </c>
      <c r="X1383" s="20" t="str">
        <f>_xll.RssMarket(A1383,"決算発表日")</f>
        <v/>
      </c>
      <c r="Y1383" s="26" t="str">
        <f>IF(C1383&gt;_xll.RssMarket(A1383,"年初来高値"),"○","×")</f>
        <v>×</v>
      </c>
      <c r="Z1383" s="27" t="str">
        <f>IF(C1383&lt;=_xll.RssMarket(A1383,"年初来安値"),"○","×")</f>
        <v>○</v>
      </c>
    </row>
    <row r="1384" spans="2:26" x14ac:dyDescent="0.55000000000000004">
      <c r="B1384" s="20" t="str">
        <f>_xll.RssMarket(A1384,"銘柄名称")</f>
        <v/>
      </c>
      <c r="C1384" s="21" t="str">
        <f>_xll.RssMarket(A1384,"現在値")</f>
        <v/>
      </c>
      <c r="D1384" s="20" t="str">
        <f>_xll.RssMarket(A1384,"現在値詳細時刻")</f>
        <v/>
      </c>
      <c r="E1384" s="22" t="str">
        <f>_xll.RssMarket(A1384,"前日比")</f>
        <v/>
      </c>
      <c r="F1384" s="23" t="e">
        <f>_xll.RssMarket(A1384,"前日比率")/100</f>
        <v>#VALUE!</v>
      </c>
      <c r="G1384" s="24" t="str">
        <f>IFERROR(VLOOKUP(A1384,取得元!$A$2:$F$501,2,FALSE),"-")</f>
        <v>-</v>
      </c>
      <c r="H1384" s="24" t="str">
        <f>IFERROR(VLOOKUP(A1384,取得元!$A$2:$F$501,3,FALSE),"-")</f>
        <v>-</v>
      </c>
      <c r="I1384" s="24" t="str">
        <f>IFERROR(VLOOKUP(A1384,取得元!$A$2:$F$501,4,FALSE),"-")</f>
        <v>-</v>
      </c>
      <c r="J1384" s="5" t="str">
        <f>IFERROR(VLOOKUP(A1384,取得元!$A$2:$F$501,5,FALSE),"-")</f>
        <v>-</v>
      </c>
      <c r="K1384" s="25" t="str">
        <f>IFERROR(VLOOKUP(A1384,取得元!$A$2:$F$501,6,FALSE)/100,"-")</f>
        <v>-</v>
      </c>
      <c r="L1384" s="21" t="str">
        <f>_xll.RssMarket(A1384,"始値")</f>
        <v/>
      </c>
      <c r="M1384" s="4" t="e">
        <f t="shared" si="120"/>
        <v>#VALUE!</v>
      </c>
      <c r="N1384" s="21" t="str">
        <f>_xll.RssMarket(A1384,"高値")</f>
        <v/>
      </c>
      <c r="O1384" s="4" t="e">
        <f t="shared" si="121"/>
        <v>#VALUE!</v>
      </c>
      <c r="P1384" s="21" t="str">
        <f>_xll.RssMarket(A1384,"安値")</f>
        <v/>
      </c>
      <c r="Q1384" s="4" t="e">
        <f t="shared" si="122"/>
        <v>#VALUE!</v>
      </c>
      <c r="R1384" s="21" t="str">
        <f>_xll.RssMarket(A1384,"後場始値")</f>
        <v/>
      </c>
      <c r="S1384" s="25" t="str">
        <f t="shared" si="123"/>
        <v>-</v>
      </c>
      <c r="T1384" s="7" t="str">
        <f>_xll.RssMarket(A1384,"出来高加重平均")</f>
        <v/>
      </c>
      <c r="U1384" s="4" t="e">
        <f t="shared" si="124"/>
        <v>#VALUE!</v>
      </c>
      <c r="V1384" s="21" t="str">
        <f>_xll.RssMarket(A1384,"出来高")</f>
        <v/>
      </c>
      <c r="W1384" s="21" t="str">
        <f>_xll.RssMarket(A1384,"売買代金")</f>
        <v/>
      </c>
      <c r="X1384" s="20" t="str">
        <f>_xll.RssMarket(A1384,"決算発表日")</f>
        <v/>
      </c>
      <c r="Y1384" s="26" t="str">
        <f>IF(C1384&gt;_xll.RssMarket(A1384,"年初来高値"),"○","×")</f>
        <v>×</v>
      </c>
      <c r="Z1384" s="27" t="str">
        <f>IF(C1384&lt;=_xll.RssMarket(A1384,"年初来安値"),"○","×")</f>
        <v>○</v>
      </c>
    </row>
    <row r="1385" spans="2:26" x14ac:dyDescent="0.55000000000000004">
      <c r="B1385" s="20" t="str">
        <f>_xll.RssMarket(A1385,"銘柄名称")</f>
        <v/>
      </c>
      <c r="C1385" s="21" t="str">
        <f>_xll.RssMarket(A1385,"現在値")</f>
        <v/>
      </c>
      <c r="D1385" s="20" t="str">
        <f>_xll.RssMarket(A1385,"現在値詳細時刻")</f>
        <v/>
      </c>
      <c r="E1385" s="22" t="str">
        <f>_xll.RssMarket(A1385,"前日比")</f>
        <v/>
      </c>
      <c r="F1385" s="23" t="e">
        <f>_xll.RssMarket(A1385,"前日比率")/100</f>
        <v>#VALUE!</v>
      </c>
      <c r="G1385" s="24" t="str">
        <f>IFERROR(VLOOKUP(A1385,取得元!$A$2:$F$501,2,FALSE),"-")</f>
        <v>-</v>
      </c>
      <c r="H1385" s="24" t="str">
        <f>IFERROR(VLOOKUP(A1385,取得元!$A$2:$F$501,3,FALSE),"-")</f>
        <v>-</v>
      </c>
      <c r="I1385" s="24" t="str">
        <f>IFERROR(VLOOKUP(A1385,取得元!$A$2:$F$501,4,FALSE),"-")</f>
        <v>-</v>
      </c>
      <c r="J1385" s="5" t="str">
        <f>IFERROR(VLOOKUP(A1385,取得元!$A$2:$F$501,5,FALSE),"-")</f>
        <v>-</v>
      </c>
      <c r="K1385" s="25" t="str">
        <f>IFERROR(VLOOKUP(A1385,取得元!$A$2:$F$501,6,FALSE)/100,"-")</f>
        <v>-</v>
      </c>
      <c r="L1385" s="21" t="str">
        <f>_xll.RssMarket(A1385,"始値")</f>
        <v/>
      </c>
      <c r="M1385" s="4" t="e">
        <f t="shared" si="120"/>
        <v>#VALUE!</v>
      </c>
      <c r="N1385" s="21" t="str">
        <f>_xll.RssMarket(A1385,"高値")</f>
        <v/>
      </c>
      <c r="O1385" s="4" t="e">
        <f t="shared" si="121"/>
        <v>#VALUE!</v>
      </c>
      <c r="P1385" s="21" t="str">
        <f>_xll.RssMarket(A1385,"安値")</f>
        <v/>
      </c>
      <c r="Q1385" s="4" t="e">
        <f t="shared" si="122"/>
        <v>#VALUE!</v>
      </c>
      <c r="R1385" s="21" t="str">
        <f>_xll.RssMarket(A1385,"後場始値")</f>
        <v/>
      </c>
      <c r="S1385" s="25" t="str">
        <f t="shared" si="123"/>
        <v>-</v>
      </c>
      <c r="T1385" s="7" t="str">
        <f>_xll.RssMarket(A1385,"出来高加重平均")</f>
        <v/>
      </c>
      <c r="U1385" s="4" t="e">
        <f t="shared" si="124"/>
        <v>#VALUE!</v>
      </c>
      <c r="V1385" s="21" t="str">
        <f>_xll.RssMarket(A1385,"出来高")</f>
        <v/>
      </c>
      <c r="W1385" s="21" t="str">
        <f>_xll.RssMarket(A1385,"売買代金")</f>
        <v/>
      </c>
      <c r="X1385" s="20" t="str">
        <f>_xll.RssMarket(A1385,"決算発表日")</f>
        <v/>
      </c>
      <c r="Y1385" s="26" t="str">
        <f>IF(C1385&gt;_xll.RssMarket(A1385,"年初来高値"),"○","×")</f>
        <v>×</v>
      </c>
      <c r="Z1385" s="27" t="str">
        <f>IF(C1385&lt;=_xll.RssMarket(A1385,"年初来安値"),"○","×")</f>
        <v>○</v>
      </c>
    </row>
    <row r="1386" spans="2:26" x14ac:dyDescent="0.55000000000000004">
      <c r="B1386" s="20" t="str">
        <f>_xll.RssMarket(A1386,"銘柄名称")</f>
        <v/>
      </c>
      <c r="C1386" s="21" t="str">
        <f>_xll.RssMarket(A1386,"現在値")</f>
        <v/>
      </c>
      <c r="D1386" s="20" t="str">
        <f>_xll.RssMarket(A1386,"現在値詳細時刻")</f>
        <v/>
      </c>
      <c r="E1386" s="22" t="str">
        <f>_xll.RssMarket(A1386,"前日比")</f>
        <v/>
      </c>
      <c r="F1386" s="23" t="e">
        <f>_xll.RssMarket(A1386,"前日比率")/100</f>
        <v>#VALUE!</v>
      </c>
      <c r="G1386" s="24" t="str">
        <f>IFERROR(VLOOKUP(A1386,取得元!$A$2:$F$501,2,FALSE),"-")</f>
        <v>-</v>
      </c>
      <c r="H1386" s="24" t="str">
        <f>IFERROR(VLOOKUP(A1386,取得元!$A$2:$F$501,3,FALSE),"-")</f>
        <v>-</v>
      </c>
      <c r="I1386" s="24" t="str">
        <f>IFERROR(VLOOKUP(A1386,取得元!$A$2:$F$501,4,FALSE),"-")</f>
        <v>-</v>
      </c>
      <c r="J1386" s="5" t="str">
        <f>IFERROR(VLOOKUP(A1386,取得元!$A$2:$F$501,5,FALSE),"-")</f>
        <v>-</v>
      </c>
      <c r="K1386" s="25" t="str">
        <f>IFERROR(VLOOKUP(A1386,取得元!$A$2:$F$501,6,FALSE)/100,"-")</f>
        <v>-</v>
      </c>
      <c r="L1386" s="21" t="str">
        <f>_xll.RssMarket(A1386,"始値")</f>
        <v/>
      </c>
      <c r="M1386" s="4" t="e">
        <f t="shared" si="120"/>
        <v>#VALUE!</v>
      </c>
      <c r="N1386" s="21" t="str">
        <f>_xll.RssMarket(A1386,"高値")</f>
        <v/>
      </c>
      <c r="O1386" s="4" t="e">
        <f t="shared" si="121"/>
        <v>#VALUE!</v>
      </c>
      <c r="P1386" s="21" t="str">
        <f>_xll.RssMarket(A1386,"安値")</f>
        <v/>
      </c>
      <c r="Q1386" s="4" t="e">
        <f t="shared" si="122"/>
        <v>#VALUE!</v>
      </c>
      <c r="R1386" s="21" t="str">
        <f>_xll.RssMarket(A1386,"後場始値")</f>
        <v/>
      </c>
      <c r="S1386" s="25" t="str">
        <f t="shared" si="123"/>
        <v>-</v>
      </c>
      <c r="T1386" s="7" t="str">
        <f>_xll.RssMarket(A1386,"出来高加重平均")</f>
        <v/>
      </c>
      <c r="U1386" s="4" t="e">
        <f t="shared" si="124"/>
        <v>#VALUE!</v>
      </c>
      <c r="V1386" s="21" t="str">
        <f>_xll.RssMarket(A1386,"出来高")</f>
        <v/>
      </c>
      <c r="W1386" s="21" t="str">
        <f>_xll.RssMarket(A1386,"売買代金")</f>
        <v/>
      </c>
      <c r="X1386" s="20" t="str">
        <f>_xll.RssMarket(A1386,"決算発表日")</f>
        <v/>
      </c>
      <c r="Y1386" s="26" t="str">
        <f>IF(C1386&gt;_xll.RssMarket(A1386,"年初来高値"),"○","×")</f>
        <v>×</v>
      </c>
      <c r="Z1386" s="27" t="str">
        <f>IF(C1386&lt;=_xll.RssMarket(A1386,"年初来安値"),"○","×")</f>
        <v>○</v>
      </c>
    </row>
    <row r="1387" spans="2:26" x14ac:dyDescent="0.55000000000000004">
      <c r="B1387" s="20" t="str">
        <f>_xll.RssMarket(A1387,"銘柄名称")</f>
        <v/>
      </c>
      <c r="C1387" s="21" t="str">
        <f>_xll.RssMarket(A1387,"現在値")</f>
        <v/>
      </c>
      <c r="D1387" s="20" t="str">
        <f>_xll.RssMarket(A1387,"現在値詳細時刻")</f>
        <v/>
      </c>
      <c r="E1387" s="22" t="str">
        <f>_xll.RssMarket(A1387,"前日比")</f>
        <v/>
      </c>
      <c r="F1387" s="23" t="e">
        <f>_xll.RssMarket(A1387,"前日比率")/100</f>
        <v>#VALUE!</v>
      </c>
      <c r="G1387" s="24" t="str">
        <f>IFERROR(VLOOKUP(A1387,取得元!$A$2:$F$501,2,FALSE),"-")</f>
        <v>-</v>
      </c>
      <c r="H1387" s="24" t="str">
        <f>IFERROR(VLOOKUP(A1387,取得元!$A$2:$F$501,3,FALSE),"-")</f>
        <v>-</v>
      </c>
      <c r="I1387" s="24" t="str">
        <f>IFERROR(VLOOKUP(A1387,取得元!$A$2:$F$501,4,FALSE),"-")</f>
        <v>-</v>
      </c>
      <c r="J1387" s="5" t="str">
        <f>IFERROR(VLOOKUP(A1387,取得元!$A$2:$F$501,5,FALSE),"-")</f>
        <v>-</v>
      </c>
      <c r="K1387" s="25" t="str">
        <f>IFERROR(VLOOKUP(A1387,取得元!$A$2:$F$501,6,FALSE)/100,"-")</f>
        <v>-</v>
      </c>
      <c r="L1387" s="21" t="str">
        <f>_xll.RssMarket(A1387,"始値")</f>
        <v/>
      </c>
      <c r="M1387" s="4" t="e">
        <f t="shared" si="120"/>
        <v>#VALUE!</v>
      </c>
      <c r="N1387" s="21" t="str">
        <f>_xll.RssMarket(A1387,"高値")</f>
        <v/>
      </c>
      <c r="O1387" s="4" t="e">
        <f t="shared" si="121"/>
        <v>#VALUE!</v>
      </c>
      <c r="P1387" s="21" t="str">
        <f>_xll.RssMarket(A1387,"安値")</f>
        <v/>
      </c>
      <c r="Q1387" s="4" t="e">
        <f t="shared" si="122"/>
        <v>#VALUE!</v>
      </c>
      <c r="R1387" s="21" t="str">
        <f>_xll.RssMarket(A1387,"後場始値")</f>
        <v/>
      </c>
      <c r="S1387" s="25" t="str">
        <f t="shared" si="123"/>
        <v>-</v>
      </c>
      <c r="T1387" s="7" t="str">
        <f>_xll.RssMarket(A1387,"出来高加重平均")</f>
        <v/>
      </c>
      <c r="U1387" s="4" t="e">
        <f t="shared" si="124"/>
        <v>#VALUE!</v>
      </c>
      <c r="V1387" s="21" t="str">
        <f>_xll.RssMarket(A1387,"出来高")</f>
        <v/>
      </c>
      <c r="W1387" s="21" t="str">
        <f>_xll.RssMarket(A1387,"売買代金")</f>
        <v/>
      </c>
      <c r="X1387" s="20" t="str">
        <f>_xll.RssMarket(A1387,"決算発表日")</f>
        <v/>
      </c>
      <c r="Y1387" s="26" t="str">
        <f>IF(C1387&gt;_xll.RssMarket(A1387,"年初来高値"),"○","×")</f>
        <v>×</v>
      </c>
      <c r="Z1387" s="27" t="str">
        <f>IF(C1387&lt;=_xll.RssMarket(A1387,"年初来安値"),"○","×")</f>
        <v>○</v>
      </c>
    </row>
    <row r="1388" spans="2:26" x14ac:dyDescent="0.55000000000000004">
      <c r="B1388" s="20" t="str">
        <f>_xll.RssMarket(A1388,"銘柄名称")</f>
        <v/>
      </c>
      <c r="C1388" s="21" t="str">
        <f>_xll.RssMarket(A1388,"現在値")</f>
        <v/>
      </c>
      <c r="D1388" s="20" t="str">
        <f>_xll.RssMarket(A1388,"現在値詳細時刻")</f>
        <v/>
      </c>
      <c r="E1388" s="22" t="str">
        <f>_xll.RssMarket(A1388,"前日比")</f>
        <v/>
      </c>
      <c r="F1388" s="23" t="e">
        <f>_xll.RssMarket(A1388,"前日比率")/100</f>
        <v>#VALUE!</v>
      </c>
      <c r="G1388" s="24" t="str">
        <f>IFERROR(VLOOKUP(A1388,取得元!$A$2:$F$501,2,FALSE),"-")</f>
        <v>-</v>
      </c>
      <c r="H1388" s="24" t="str">
        <f>IFERROR(VLOOKUP(A1388,取得元!$A$2:$F$501,3,FALSE),"-")</f>
        <v>-</v>
      </c>
      <c r="I1388" s="24" t="str">
        <f>IFERROR(VLOOKUP(A1388,取得元!$A$2:$F$501,4,FALSE),"-")</f>
        <v>-</v>
      </c>
      <c r="J1388" s="5" t="str">
        <f>IFERROR(VLOOKUP(A1388,取得元!$A$2:$F$501,5,FALSE),"-")</f>
        <v>-</v>
      </c>
      <c r="K1388" s="25" t="str">
        <f>IFERROR(VLOOKUP(A1388,取得元!$A$2:$F$501,6,FALSE)/100,"-")</f>
        <v>-</v>
      </c>
      <c r="L1388" s="21" t="str">
        <f>_xll.RssMarket(A1388,"始値")</f>
        <v/>
      </c>
      <c r="M1388" s="4" t="e">
        <f t="shared" si="120"/>
        <v>#VALUE!</v>
      </c>
      <c r="N1388" s="21" t="str">
        <f>_xll.RssMarket(A1388,"高値")</f>
        <v/>
      </c>
      <c r="O1388" s="4" t="e">
        <f t="shared" si="121"/>
        <v>#VALUE!</v>
      </c>
      <c r="P1388" s="21" t="str">
        <f>_xll.RssMarket(A1388,"安値")</f>
        <v/>
      </c>
      <c r="Q1388" s="4" t="e">
        <f t="shared" si="122"/>
        <v>#VALUE!</v>
      </c>
      <c r="R1388" s="21" t="str">
        <f>_xll.RssMarket(A1388,"後場始値")</f>
        <v/>
      </c>
      <c r="S1388" s="25" t="str">
        <f t="shared" si="123"/>
        <v>-</v>
      </c>
      <c r="T1388" s="7" t="str">
        <f>_xll.RssMarket(A1388,"出来高加重平均")</f>
        <v/>
      </c>
      <c r="U1388" s="4" t="e">
        <f t="shared" si="124"/>
        <v>#VALUE!</v>
      </c>
      <c r="V1388" s="21" t="str">
        <f>_xll.RssMarket(A1388,"出来高")</f>
        <v/>
      </c>
      <c r="W1388" s="21" t="str">
        <f>_xll.RssMarket(A1388,"売買代金")</f>
        <v/>
      </c>
      <c r="X1388" s="20" t="str">
        <f>_xll.RssMarket(A1388,"決算発表日")</f>
        <v/>
      </c>
      <c r="Y1388" s="26" t="str">
        <f>IF(C1388&gt;_xll.RssMarket(A1388,"年初来高値"),"○","×")</f>
        <v>×</v>
      </c>
      <c r="Z1388" s="27" t="str">
        <f>IF(C1388&lt;=_xll.RssMarket(A1388,"年初来安値"),"○","×")</f>
        <v>○</v>
      </c>
    </row>
    <row r="1389" spans="2:26" x14ac:dyDescent="0.55000000000000004">
      <c r="B1389" s="20" t="str">
        <f>_xll.RssMarket(A1389,"銘柄名称")</f>
        <v/>
      </c>
      <c r="C1389" s="21" t="str">
        <f>_xll.RssMarket(A1389,"現在値")</f>
        <v/>
      </c>
      <c r="D1389" s="20" t="str">
        <f>_xll.RssMarket(A1389,"現在値詳細時刻")</f>
        <v/>
      </c>
      <c r="E1389" s="22" t="str">
        <f>_xll.RssMarket(A1389,"前日比")</f>
        <v/>
      </c>
      <c r="F1389" s="23" t="e">
        <f>_xll.RssMarket(A1389,"前日比率")/100</f>
        <v>#VALUE!</v>
      </c>
      <c r="G1389" s="24" t="str">
        <f>IFERROR(VLOOKUP(A1389,取得元!$A$2:$F$501,2,FALSE),"-")</f>
        <v>-</v>
      </c>
      <c r="H1389" s="24" t="str">
        <f>IFERROR(VLOOKUP(A1389,取得元!$A$2:$F$501,3,FALSE),"-")</f>
        <v>-</v>
      </c>
      <c r="I1389" s="24" t="str">
        <f>IFERROR(VLOOKUP(A1389,取得元!$A$2:$F$501,4,FALSE),"-")</f>
        <v>-</v>
      </c>
      <c r="J1389" s="5" t="str">
        <f>IFERROR(VLOOKUP(A1389,取得元!$A$2:$F$501,5,FALSE),"-")</f>
        <v>-</v>
      </c>
      <c r="K1389" s="25" t="str">
        <f>IFERROR(VLOOKUP(A1389,取得元!$A$2:$F$501,6,FALSE)/100,"-")</f>
        <v>-</v>
      </c>
      <c r="L1389" s="21" t="str">
        <f>_xll.RssMarket(A1389,"始値")</f>
        <v/>
      </c>
      <c r="M1389" s="4" t="e">
        <f t="shared" si="120"/>
        <v>#VALUE!</v>
      </c>
      <c r="N1389" s="21" t="str">
        <f>_xll.RssMarket(A1389,"高値")</f>
        <v/>
      </c>
      <c r="O1389" s="4" t="e">
        <f t="shared" si="121"/>
        <v>#VALUE!</v>
      </c>
      <c r="P1389" s="21" t="str">
        <f>_xll.RssMarket(A1389,"安値")</f>
        <v/>
      </c>
      <c r="Q1389" s="4" t="e">
        <f t="shared" si="122"/>
        <v>#VALUE!</v>
      </c>
      <c r="R1389" s="21" t="str">
        <f>_xll.RssMarket(A1389,"後場始値")</f>
        <v/>
      </c>
      <c r="S1389" s="25" t="str">
        <f t="shared" si="123"/>
        <v>-</v>
      </c>
      <c r="T1389" s="7" t="str">
        <f>_xll.RssMarket(A1389,"出来高加重平均")</f>
        <v/>
      </c>
      <c r="U1389" s="4" t="e">
        <f t="shared" si="124"/>
        <v>#VALUE!</v>
      </c>
      <c r="V1389" s="21" t="str">
        <f>_xll.RssMarket(A1389,"出来高")</f>
        <v/>
      </c>
      <c r="W1389" s="21" t="str">
        <f>_xll.RssMarket(A1389,"売買代金")</f>
        <v/>
      </c>
      <c r="X1389" s="20" t="str">
        <f>_xll.RssMarket(A1389,"決算発表日")</f>
        <v/>
      </c>
      <c r="Y1389" s="26" t="str">
        <f>IF(C1389&gt;_xll.RssMarket(A1389,"年初来高値"),"○","×")</f>
        <v>×</v>
      </c>
      <c r="Z1389" s="27" t="str">
        <f>IF(C1389&lt;=_xll.RssMarket(A1389,"年初来安値"),"○","×")</f>
        <v>○</v>
      </c>
    </row>
    <row r="1390" spans="2:26" x14ac:dyDescent="0.55000000000000004">
      <c r="B1390" s="20" t="str">
        <f>_xll.RssMarket(A1390,"銘柄名称")</f>
        <v/>
      </c>
      <c r="C1390" s="21" t="str">
        <f>_xll.RssMarket(A1390,"現在値")</f>
        <v/>
      </c>
      <c r="D1390" s="20" t="str">
        <f>_xll.RssMarket(A1390,"現在値詳細時刻")</f>
        <v/>
      </c>
      <c r="E1390" s="22" t="str">
        <f>_xll.RssMarket(A1390,"前日比")</f>
        <v/>
      </c>
      <c r="F1390" s="23" t="e">
        <f>_xll.RssMarket(A1390,"前日比率")/100</f>
        <v>#VALUE!</v>
      </c>
      <c r="G1390" s="24" t="str">
        <f>IFERROR(VLOOKUP(A1390,取得元!$A$2:$F$501,2,FALSE),"-")</f>
        <v>-</v>
      </c>
      <c r="H1390" s="24" t="str">
        <f>IFERROR(VLOOKUP(A1390,取得元!$A$2:$F$501,3,FALSE),"-")</f>
        <v>-</v>
      </c>
      <c r="I1390" s="24" t="str">
        <f>IFERROR(VLOOKUP(A1390,取得元!$A$2:$F$501,4,FALSE),"-")</f>
        <v>-</v>
      </c>
      <c r="J1390" s="5" t="str">
        <f>IFERROR(VLOOKUP(A1390,取得元!$A$2:$F$501,5,FALSE),"-")</f>
        <v>-</v>
      </c>
      <c r="K1390" s="25" t="str">
        <f>IFERROR(VLOOKUP(A1390,取得元!$A$2:$F$501,6,FALSE)/100,"-")</f>
        <v>-</v>
      </c>
      <c r="L1390" s="21" t="str">
        <f>_xll.RssMarket(A1390,"始値")</f>
        <v/>
      </c>
      <c r="M1390" s="4" t="e">
        <f t="shared" si="120"/>
        <v>#VALUE!</v>
      </c>
      <c r="N1390" s="21" t="str">
        <f>_xll.RssMarket(A1390,"高値")</f>
        <v/>
      </c>
      <c r="O1390" s="4" t="e">
        <f t="shared" si="121"/>
        <v>#VALUE!</v>
      </c>
      <c r="P1390" s="21" t="str">
        <f>_xll.RssMarket(A1390,"安値")</f>
        <v/>
      </c>
      <c r="Q1390" s="4" t="e">
        <f t="shared" si="122"/>
        <v>#VALUE!</v>
      </c>
      <c r="R1390" s="21" t="str">
        <f>_xll.RssMarket(A1390,"後場始値")</f>
        <v/>
      </c>
      <c r="S1390" s="25" t="str">
        <f t="shared" si="123"/>
        <v>-</v>
      </c>
      <c r="T1390" s="7" t="str">
        <f>_xll.RssMarket(A1390,"出来高加重平均")</f>
        <v/>
      </c>
      <c r="U1390" s="4" t="e">
        <f t="shared" si="124"/>
        <v>#VALUE!</v>
      </c>
      <c r="V1390" s="21" t="str">
        <f>_xll.RssMarket(A1390,"出来高")</f>
        <v/>
      </c>
      <c r="W1390" s="21" t="str">
        <f>_xll.RssMarket(A1390,"売買代金")</f>
        <v/>
      </c>
      <c r="X1390" s="20" t="str">
        <f>_xll.RssMarket(A1390,"決算発表日")</f>
        <v/>
      </c>
      <c r="Y1390" s="26" t="str">
        <f>IF(C1390&gt;_xll.RssMarket(A1390,"年初来高値"),"○","×")</f>
        <v>×</v>
      </c>
      <c r="Z1390" s="27" t="str">
        <f>IF(C1390&lt;=_xll.RssMarket(A1390,"年初来安値"),"○","×")</f>
        <v>○</v>
      </c>
    </row>
    <row r="1391" spans="2:26" x14ac:dyDescent="0.55000000000000004">
      <c r="B1391" s="20" t="str">
        <f>_xll.RssMarket(A1391,"銘柄名称")</f>
        <v/>
      </c>
      <c r="C1391" s="21" t="str">
        <f>_xll.RssMarket(A1391,"現在値")</f>
        <v/>
      </c>
      <c r="D1391" s="20" t="str">
        <f>_xll.RssMarket(A1391,"現在値詳細時刻")</f>
        <v/>
      </c>
      <c r="E1391" s="22" t="str">
        <f>_xll.RssMarket(A1391,"前日比")</f>
        <v/>
      </c>
      <c r="F1391" s="23" t="e">
        <f>_xll.RssMarket(A1391,"前日比率")/100</f>
        <v>#VALUE!</v>
      </c>
      <c r="G1391" s="24" t="str">
        <f>IFERROR(VLOOKUP(A1391,取得元!$A$2:$F$501,2,FALSE),"-")</f>
        <v>-</v>
      </c>
      <c r="H1391" s="24" t="str">
        <f>IFERROR(VLOOKUP(A1391,取得元!$A$2:$F$501,3,FALSE),"-")</f>
        <v>-</v>
      </c>
      <c r="I1391" s="24" t="str">
        <f>IFERROR(VLOOKUP(A1391,取得元!$A$2:$F$501,4,FALSE),"-")</f>
        <v>-</v>
      </c>
      <c r="J1391" s="5" t="str">
        <f>IFERROR(VLOOKUP(A1391,取得元!$A$2:$F$501,5,FALSE),"-")</f>
        <v>-</v>
      </c>
      <c r="K1391" s="25" t="str">
        <f>IFERROR(VLOOKUP(A1391,取得元!$A$2:$F$501,6,FALSE)/100,"-")</f>
        <v>-</v>
      </c>
      <c r="L1391" s="21" t="str">
        <f>_xll.RssMarket(A1391,"始値")</f>
        <v/>
      </c>
      <c r="M1391" s="4" t="e">
        <f t="shared" si="120"/>
        <v>#VALUE!</v>
      </c>
      <c r="N1391" s="21" t="str">
        <f>_xll.RssMarket(A1391,"高値")</f>
        <v/>
      </c>
      <c r="O1391" s="4" t="e">
        <f t="shared" si="121"/>
        <v>#VALUE!</v>
      </c>
      <c r="P1391" s="21" t="str">
        <f>_xll.RssMarket(A1391,"安値")</f>
        <v/>
      </c>
      <c r="Q1391" s="4" t="e">
        <f t="shared" si="122"/>
        <v>#VALUE!</v>
      </c>
      <c r="R1391" s="21" t="str">
        <f>_xll.RssMarket(A1391,"後場始値")</f>
        <v/>
      </c>
      <c r="S1391" s="25" t="str">
        <f t="shared" si="123"/>
        <v>-</v>
      </c>
      <c r="T1391" s="7" t="str">
        <f>_xll.RssMarket(A1391,"出来高加重平均")</f>
        <v/>
      </c>
      <c r="U1391" s="4" t="e">
        <f t="shared" si="124"/>
        <v>#VALUE!</v>
      </c>
      <c r="V1391" s="21" t="str">
        <f>_xll.RssMarket(A1391,"出来高")</f>
        <v/>
      </c>
      <c r="W1391" s="21" t="str">
        <f>_xll.RssMarket(A1391,"売買代金")</f>
        <v/>
      </c>
      <c r="X1391" s="20" t="str">
        <f>_xll.RssMarket(A1391,"決算発表日")</f>
        <v/>
      </c>
      <c r="Y1391" s="26" t="str">
        <f>IF(C1391&gt;_xll.RssMarket(A1391,"年初来高値"),"○","×")</f>
        <v>×</v>
      </c>
      <c r="Z1391" s="27" t="str">
        <f>IF(C1391&lt;=_xll.RssMarket(A1391,"年初来安値"),"○","×")</f>
        <v>○</v>
      </c>
    </row>
    <row r="1392" spans="2:26" x14ac:dyDescent="0.55000000000000004">
      <c r="B1392" s="20" t="str">
        <f>_xll.RssMarket(A1392,"銘柄名称")</f>
        <v/>
      </c>
      <c r="C1392" s="21" t="str">
        <f>_xll.RssMarket(A1392,"現在値")</f>
        <v/>
      </c>
      <c r="D1392" s="20" t="str">
        <f>_xll.RssMarket(A1392,"現在値詳細時刻")</f>
        <v/>
      </c>
      <c r="E1392" s="22" t="str">
        <f>_xll.RssMarket(A1392,"前日比")</f>
        <v/>
      </c>
      <c r="F1392" s="23" t="e">
        <f>_xll.RssMarket(A1392,"前日比率")/100</f>
        <v>#VALUE!</v>
      </c>
      <c r="G1392" s="24" t="str">
        <f>IFERROR(VLOOKUP(A1392,取得元!$A$2:$F$501,2,FALSE),"-")</f>
        <v>-</v>
      </c>
      <c r="H1392" s="24" t="str">
        <f>IFERROR(VLOOKUP(A1392,取得元!$A$2:$F$501,3,FALSE),"-")</f>
        <v>-</v>
      </c>
      <c r="I1392" s="24" t="str">
        <f>IFERROR(VLOOKUP(A1392,取得元!$A$2:$F$501,4,FALSE),"-")</f>
        <v>-</v>
      </c>
      <c r="J1392" s="5" t="str">
        <f>IFERROR(VLOOKUP(A1392,取得元!$A$2:$F$501,5,FALSE),"-")</f>
        <v>-</v>
      </c>
      <c r="K1392" s="25" t="str">
        <f>IFERROR(VLOOKUP(A1392,取得元!$A$2:$F$501,6,FALSE)/100,"-")</f>
        <v>-</v>
      </c>
      <c r="L1392" s="21" t="str">
        <f>_xll.RssMarket(A1392,"始値")</f>
        <v/>
      </c>
      <c r="M1392" s="4" t="e">
        <f t="shared" si="120"/>
        <v>#VALUE!</v>
      </c>
      <c r="N1392" s="21" t="str">
        <f>_xll.RssMarket(A1392,"高値")</f>
        <v/>
      </c>
      <c r="O1392" s="4" t="e">
        <f t="shared" si="121"/>
        <v>#VALUE!</v>
      </c>
      <c r="P1392" s="21" t="str">
        <f>_xll.RssMarket(A1392,"安値")</f>
        <v/>
      </c>
      <c r="Q1392" s="4" t="e">
        <f t="shared" si="122"/>
        <v>#VALUE!</v>
      </c>
      <c r="R1392" s="21" t="str">
        <f>_xll.RssMarket(A1392,"後場始値")</f>
        <v/>
      </c>
      <c r="S1392" s="25" t="str">
        <f t="shared" si="123"/>
        <v>-</v>
      </c>
      <c r="T1392" s="7" t="str">
        <f>_xll.RssMarket(A1392,"出来高加重平均")</f>
        <v/>
      </c>
      <c r="U1392" s="4" t="e">
        <f t="shared" si="124"/>
        <v>#VALUE!</v>
      </c>
      <c r="V1392" s="21" t="str">
        <f>_xll.RssMarket(A1392,"出来高")</f>
        <v/>
      </c>
      <c r="W1392" s="21" t="str">
        <f>_xll.RssMarket(A1392,"売買代金")</f>
        <v/>
      </c>
      <c r="X1392" s="20" t="str">
        <f>_xll.RssMarket(A1392,"決算発表日")</f>
        <v/>
      </c>
      <c r="Y1392" s="26" t="str">
        <f>IF(C1392&gt;_xll.RssMarket(A1392,"年初来高値"),"○","×")</f>
        <v>×</v>
      </c>
      <c r="Z1392" s="27" t="str">
        <f>IF(C1392&lt;=_xll.RssMarket(A1392,"年初来安値"),"○","×")</f>
        <v>○</v>
      </c>
    </row>
    <row r="1393" spans="2:26" x14ac:dyDescent="0.55000000000000004">
      <c r="B1393" s="20" t="str">
        <f>_xll.RssMarket(A1393,"銘柄名称")</f>
        <v/>
      </c>
      <c r="C1393" s="21" t="str">
        <f>_xll.RssMarket(A1393,"現在値")</f>
        <v/>
      </c>
      <c r="D1393" s="20" t="str">
        <f>_xll.RssMarket(A1393,"現在値詳細時刻")</f>
        <v/>
      </c>
      <c r="E1393" s="22" t="str">
        <f>_xll.RssMarket(A1393,"前日比")</f>
        <v/>
      </c>
      <c r="F1393" s="23" t="e">
        <f>_xll.RssMarket(A1393,"前日比率")/100</f>
        <v>#VALUE!</v>
      </c>
      <c r="G1393" s="24" t="str">
        <f>IFERROR(VLOOKUP(A1393,取得元!$A$2:$F$501,2,FALSE),"-")</f>
        <v>-</v>
      </c>
      <c r="H1393" s="24" t="str">
        <f>IFERROR(VLOOKUP(A1393,取得元!$A$2:$F$501,3,FALSE),"-")</f>
        <v>-</v>
      </c>
      <c r="I1393" s="24" t="str">
        <f>IFERROR(VLOOKUP(A1393,取得元!$A$2:$F$501,4,FALSE),"-")</f>
        <v>-</v>
      </c>
      <c r="J1393" s="5" t="str">
        <f>IFERROR(VLOOKUP(A1393,取得元!$A$2:$F$501,5,FALSE),"-")</f>
        <v>-</v>
      </c>
      <c r="K1393" s="25" t="str">
        <f>IFERROR(VLOOKUP(A1393,取得元!$A$2:$F$501,6,FALSE)/100,"-")</f>
        <v>-</v>
      </c>
      <c r="L1393" s="21" t="str">
        <f>_xll.RssMarket(A1393,"始値")</f>
        <v/>
      </c>
      <c r="M1393" s="4" t="e">
        <f t="shared" si="120"/>
        <v>#VALUE!</v>
      </c>
      <c r="N1393" s="21" t="str">
        <f>_xll.RssMarket(A1393,"高値")</f>
        <v/>
      </c>
      <c r="O1393" s="4" t="e">
        <f t="shared" si="121"/>
        <v>#VALUE!</v>
      </c>
      <c r="P1393" s="21" t="str">
        <f>_xll.RssMarket(A1393,"安値")</f>
        <v/>
      </c>
      <c r="Q1393" s="4" t="e">
        <f t="shared" si="122"/>
        <v>#VALUE!</v>
      </c>
      <c r="R1393" s="21" t="str">
        <f>_xll.RssMarket(A1393,"後場始値")</f>
        <v/>
      </c>
      <c r="S1393" s="25" t="str">
        <f t="shared" si="123"/>
        <v>-</v>
      </c>
      <c r="T1393" s="7" t="str">
        <f>_xll.RssMarket(A1393,"出来高加重平均")</f>
        <v/>
      </c>
      <c r="U1393" s="4" t="e">
        <f t="shared" si="124"/>
        <v>#VALUE!</v>
      </c>
      <c r="V1393" s="21" t="str">
        <f>_xll.RssMarket(A1393,"出来高")</f>
        <v/>
      </c>
      <c r="W1393" s="21" t="str">
        <f>_xll.RssMarket(A1393,"売買代金")</f>
        <v/>
      </c>
      <c r="X1393" s="20" t="str">
        <f>_xll.RssMarket(A1393,"決算発表日")</f>
        <v/>
      </c>
      <c r="Y1393" s="26" t="str">
        <f>IF(C1393&gt;_xll.RssMarket(A1393,"年初来高値"),"○","×")</f>
        <v>×</v>
      </c>
      <c r="Z1393" s="27" t="str">
        <f>IF(C1393&lt;=_xll.RssMarket(A1393,"年初来安値"),"○","×")</f>
        <v>○</v>
      </c>
    </row>
    <row r="1394" spans="2:26" x14ac:dyDescent="0.55000000000000004">
      <c r="B1394" s="20" t="str">
        <f>_xll.RssMarket(A1394,"銘柄名称")</f>
        <v/>
      </c>
      <c r="C1394" s="21" t="str">
        <f>_xll.RssMarket(A1394,"現在値")</f>
        <v/>
      </c>
      <c r="D1394" s="20" t="str">
        <f>_xll.RssMarket(A1394,"現在値詳細時刻")</f>
        <v/>
      </c>
      <c r="E1394" s="22" t="str">
        <f>_xll.RssMarket(A1394,"前日比")</f>
        <v/>
      </c>
      <c r="F1394" s="23" t="e">
        <f>_xll.RssMarket(A1394,"前日比率")/100</f>
        <v>#VALUE!</v>
      </c>
      <c r="G1394" s="24" t="str">
        <f>IFERROR(VLOOKUP(A1394,取得元!$A$2:$F$501,2,FALSE),"-")</f>
        <v>-</v>
      </c>
      <c r="H1394" s="24" t="str">
        <f>IFERROR(VLOOKUP(A1394,取得元!$A$2:$F$501,3,FALSE),"-")</f>
        <v>-</v>
      </c>
      <c r="I1394" s="24" t="str">
        <f>IFERROR(VLOOKUP(A1394,取得元!$A$2:$F$501,4,FALSE),"-")</f>
        <v>-</v>
      </c>
      <c r="J1394" s="5" t="str">
        <f>IFERROR(VLOOKUP(A1394,取得元!$A$2:$F$501,5,FALSE),"-")</f>
        <v>-</v>
      </c>
      <c r="K1394" s="25" t="str">
        <f>IFERROR(VLOOKUP(A1394,取得元!$A$2:$F$501,6,FALSE)/100,"-")</f>
        <v>-</v>
      </c>
      <c r="L1394" s="21" t="str">
        <f>_xll.RssMarket(A1394,"始値")</f>
        <v/>
      </c>
      <c r="M1394" s="4" t="e">
        <f t="shared" si="120"/>
        <v>#VALUE!</v>
      </c>
      <c r="N1394" s="21" t="str">
        <f>_xll.RssMarket(A1394,"高値")</f>
        <v/>
      </c>
      <c r="O1394" s="4" t="e">
        <f t="shared" si="121"/>
        <v>#VALUE!</v>
      </c>
      <c r="P1394" s="21" t="str">
        <f>_xll.RssMarket(A1394,"安値")</f>
        <v/>
      </c>
      <c r="Q1394" s="4" t="e">
        <f t="shared" si="122"/>
        <v>#VALUE!</v>
      </c>
      <c r="R1394" s="21" t="str">
        <f>_xll.RssMarket(A1394,"後場始値")</f>
        <v/>
      </c>
      <c r="S1394" s="25" t="str">
        <f t="shared" si="123"/>
        <v>-</v>
      </c>
      <c r="T1394" s="7" t="str">
        <f>_xll.RssMarket(A1394,"出来高加重平均")</f>
        <v/>
      </c>
      <c r="U1394" s="4" t="e">
        <f t="shared" si="124"/>
        <v>#VALUE!</v>
      </c>
      <c r="V1394" s="21" t="str">
        <f>_xll.RssMarket(A1394,"出来高")</f>
        <v/>
      </c>
      <c r="W1394" s="21" t="str">
        <f>_xll.RssMarket(A1394,"売買代金")</f>
        <v/>
      </c>
      <c r="X1394" s="20" t="str">
        <f>_xll.RssMarket(A1394,"決算発表日")</f>
        <v/>
      </c>
      <c r="Y1394" s="26" t="str">
        <f>IF(C1394&gt;_xll.RssMarket(A1394,"年初来高値"),"○","×")</f>
        <v>×</v>
      </c>
      <c r="Z1394" s="27" t="str">
        <f>IF(C1394&lt;=_xll.RssMarket(A1394,"年初来安値"),"○","×")</f>
        <v>○</v>
      </c>
    </row>
    <row r="1395" spans="2:26" x14ac:dyDescent="0.55000000000000004">
      <c r="B1395" s="20" t="str">
        <f>_xll.RssMarket(A1395,"銘柄名称")</f>
        <v/>
      </c>
      <c r="C1395" s="21" t="str">
        <f>_xll.RssMarket(A1395,"現在値")</f>
        <v/>
      </c>
      <c r="D1395" s="20" t="str">
        <f>_xll.RssMarket(A1395,"現在値詳細時刻")</f>
        <v/>
      </c>
      <c r="E1395" s="22" t="str">
        <f>_xll.RssMarket(A1395,"前日比")</f>
        <v/>
      </c>
      <c r="F1395" s="23" t="e">
        <f>_xll.RssMarket(A1395,"前日比率")/100</f>
        <v>#VALUE!</v>
      </c>
      <c r="G1395" s="24" t="str">
        <f>IFERROR(VLOOKUP(A1395,取得元!$A$2:$F$501,2,FALSE),"-")</f>
        <v>-</v>
      </c>
      <c r="H1395" s="24" t="str">
        <f>IFERROR(VLOOKUP(A1395,取得元!$A$2:$F$501,3,FALSE),"-")</f>
        <v>-</v>
      </c>
      <c r="I1395" s="24" t="str">
        <f>IFERROR(VLOOKUP(A1395,取得元!$A$2:$F$501,4,FALSE),"-")</f>
        <v>-</v>
      </c>
      <c r="J1395" s="5" t="str">
        <f>IFERROR(VLOOKUP(A1395,取得元!$A$2:$F$501,5,FALSE),"-")</f>
        <v>-</v>
      </c>
      <c r="K1395" s="25" t="str">
        <f>IFERROR(VLOOKUP(A1395,取得元!$A$2:$F$501,6,FALSE)/100,"-")</f>
        <v>-</v>
      </c>
      <c r="L1395" s="21" t="str">
        <f>_xll.RssMarket(A1395,"始値")</f>
        <v/>
      </c>
      <c r="M1395" s="4" t="e">
        <f t="shared" si="120"/>
        <v>#VALUE!</v>
      </c>
      <c r="N1395" s="21" t="str">
        <f>_xll.RssMarket(A1395,"高値")</f>
        <v/>
      </c>
      <c r="O1395" s="4" t="e">
        <f t="shared" si="121"/>
        <v>#VALUE!</v>
      </c>
      <c r="P1395" s="21" t="str">
        <f>_xll.RssMarket(A1395,"安値")</f>
        <v/>
      </c>
      <c r="Q1395" s="4" t="e">
        <f t="shared" si="122"/>
        <v>#VALUE!</v>
      </c>
      <c r="R1395" s="21" t="str">
        <f>_xll.RssMarket(A1395,"後場始値")</f>
        <v/>
      </c>
      <c r="S1395" s="25" t="str">
        <f t="shared" si="123"/>
        <v>-</v>
      </c>
      <c r="T1395" s="7" t="str">
        <f>_xll.RssMarket(A1395,"出来高加重平均")</f>
        <v/>
      </c>
      <c r="U1395" s="4" t="e">
        <f t="shared" si="124"/>
        <v>#VALUE!</v>
      </c>
      <c r="V1395" s="21" t="str">
        <f>_xll.RssMarket(A1395,"出来高")</f>
        <v/>
      </c>
      <c r="W1395" s="21" t="str">
        <f>_xll.RssMarket(A1395,"売買代金")</f>
        <v/>
      </c>
      <c r="X1395" s="20" t="str">
        <f>_xll.RssMarket(A1395,"決算発表日")</f>
        <v/>
      </c>
      <c r="Y1395" s="26" t="str">
        <f>IF(C1395&gt;_xll.RssMarket(A1395,"年初来高値"),"○","×")</f>
        <v>×</v>
      </c>
      <c r="Z1395" s="27" t="str">
        <f>IF(C1395&lt;=_xll.RssMarket(A1395,"年初来安値"),"○","×")</f>
        <v>○</v>
      </c>
    </row>
    <row r="1396" spans="2:26" x14ac:dyDescent="0.55000000000000004">
      <c r="B1396" s="20" t="str">
        <f>_xll.RssMarket(A1396,"銘柄名称")</f>
        <v/>
      </c>
      <c r="C1396" s="21" t="str">
        <f>_xll.RssMarket(A1396,"現在値")</f>
        <v/>
      </c>
      <c r="D1396" s="20" t="str">
        <f>_xll.RssMarket(A1396,"現在値詳細時刻")</f>
        <v/>
      </c>
      <c r="E1396" s="22" t="str">
        <f>_xll.RssMarket(A1396,"前日比")</f>
        <v/>
      </c>
      <c r="F1396" s="23" t="e">
        <f>_xll.RssMarket(A1396,"前日比率")/100</f>
        <v>#VALUE!</v>
      </c>
      <c r="G1396" s="24" t="str">
        <f>IFERROR(VLOOKUP(A1396,取得元!$A$2:$F$501,2,FALSE),"-")</f>
        <v>-</v>
      </c>
      <c r="H1396" s="24" t="str">
        <f>IFERROR(VLOOKUP(A1396,取得元!$A$2:$F$501,3,FALSE),"-")</f>
        <v>-</v>
      </c>
      <c r="I1396" s="24" t="str">
        <f>IFERROR(VLOOKUP(A1396,取得元!$A$2:$F$501,4,FALSE),"-")</f>
        <v>-</v>
      </c>
      <c r="J1396" s="5" t="str">
        <f>IFERROR(VLOOKUP(A1396,取得元!$A$2:$F$501,5,FALSE),"-")</f>
        <v>-</v>
      </c>
      <c r="K1396" s="25" t="str">
        <f>IFERROR(VLOOKUP(A1396,取得元!$A$2:$F$501,6,FALSE)/100,"-")</f>
        <v>-</v>
      </c>
      <c r="L1396" s="21" t="str">
        <f>_xll.RssMarket(A1396,"始値")</f>
        <v/>
      </c>
      <c r="M1396" s="4" t="e">
        <f t="shared" si="120"/>
        <v>#VALUE!</v>
      </c>
      <c r="N1396" s="21" t="str">
        <f>_xll.RssMarket(A1396,"高値")</f>
        <v/>
      </c>
      <c r="O1396" s="4" t="e">
        <f t="shared" si="121"/>
        <v>#VALUE!</v>
      </c>
      <c r="P1396" s="21" t="str">
        <f>_xll.RssMarket(A1396,"安値")</f>
        <v/>
      </c>
      <c r="Q1396" s="4" t="e">
        <f t="shared" si="122"/>
        <v>#VALUE!</v>
      </c>
      <c r="R1396" s="21" t="str">
        <f>_xll.RssMarket(A1396,"後場始値")</f>
        <v/>
      </c>
      <c r="S1396" s="25" t="str">
        <f t="shared" si="123"/>
        <v>-</v>
      </c>
      <c r="T1396" s="7" t="str">
        <f>_xll.RssMarket(A1396,"出来高加重平均")</f>
        <v/>
      </c>
      <c r="U1396" s="4" t="e">
        <f t="shared" si="124"/>
        <v>#VALUE!</v>
      </c>
      <c r="V1396" s="21" t="str">
        <f>_xll.RssMarket(A1396,"出来高")</f>
        <v/>
      </c>
      <c r="W1396" s="21" t="str">
        <f>_xll.RssMarket(A1396,"売買代金")</f>
        <v/>
      </c>
      <c r="X1396" s="20" t="str">
        <f>_xll.RssMarket(A1396,"決算発表日")</f>
        <v/>
      </c>
      <c r="Y1396" s="26" t="str">
        <f>IF(C1396&gt;_xll.RssMarket(A1396,"年初来高値"),"○","×")</f>
        <v>×</v>
      </c>
      <c r="Z1396" s="27" t="str">
        <f>IF(C1396&lt;=_xll.RssMarket(A1396,"年初来安値"),"○","×")</f>
        <v>○</v>
      </c>
    </row>
    <row r="1397" spans="2:26" x14ac:dyDescent="0.55000000000000004">
      <c r="B1397" s="20" t="str">
        <f>_xll.RssMarket(A1397,"銘柄名称")</f>
        <v/>
      </c>
      <c r="C1397" s="21" t="str">
        <f>_xll.RssMarket(A1397,"現在値")</f>
        <v/>
      </c>
      <c r="D1397" s="20" t="str">
        <f>_xll.RssMarket(A1397,"現在値詳細時刻")</f>
        <v/>
      </c>
      <c r="E1397" s="22" t="str">
        <f>_xll.RssMarket(A1397,"前日比")</f>
        <v/>
      </c>
      <c r="F1397" s="23" t="e">
        <f>_xll.RssMarket(A1397,"前日比率")/100</f>
        <v>#VALUE!</v>
      </c>
      <c r="G1397" s="24" t="str">
        <f>IFERROR(VLOOKUP(A1397,取得元!$A$2:$F$501,2,FALSE),"-")</f>
        <v>-</v>
      </c>
      <c r="H1397" s="24" t="str">
        <f>IFERROR(VLOOKUP(A1397,取得元!$A$2:$F$501,3,FALSE),"-")</f>
        <v>-</v>
      </c>
      <c r="I1397" s="24" t="str">
        <f>IFERROR(VLOOKUP(A1397,取得元!$A$2:$F$501,4,FALSE),"-")</f>
        <v>-</v>
      </c>
      <c r="J1397" s="5" t="str">
        <f>IFERROR(VLOOKUP(A1397,取得元!$A$2:$F$501,5,FALSE),"-")</f>
        <v>-</v>
      </c>
      <c r="K1397" s="25" t="str">
        <f>IFERROR(VLOOKUP(A1397,取得元!$A$2:$F$501,6,FALSE)/100,"-")</f>
        <v>-</v>
      </c>
      <c r="L1397" s="21" t="str">
        <f>_xll.RssMarket(A1397,"始値")</f>
        <v/>
      </c>
      <c r="M1397" s="4" t="e">
        <f t="shared" si="120"/>
        <v>#VALUE!</v>
      </c>
      <c r="N1397" s="21" t="str">
        <f>_xll.RssMarket(A1397,"高値")</f>
        <v/>
      </c>
      <c r="O1397" s="4" t="e">
        <f t="shared" si="121"/>
        <v>#VALUE!</v>
      </c>
      <c r="P1397" s="21" t="str">
        <f>_xll.RssMarket(A1397,"安値")</f>
        <v/>
      </c>
      <c r="Q1397" s="4" t="e">
        <f t="shared" si="122"/>
        <v>#VALUE!</v>
      </c>
      <c r="R1397" s="21" t="str">
        <f>_xll.RssMarket(A1397,"後場始値")</f>
        <v/>
      </c>
      <c r="S1397" s="25" t="str">
        <f t="shared" si="123"/>
        <v>-</v>
      </c>
      <c r="T1397" s="7" t="str">
        <f>_xll.RssMarket(A1397,"出来高加重平均")</f>
        <v/>
      </c>
      <c r="U1397" s="4" t="e">
        <f t="shared" si="124"/>
        <v>#VALUE!</v>
      </c>
      <c r="V1397" s="21" t="str">
        <f>_xll.RssMarket(A1397,"出来高")</f>
        <v/>
      </c>
      <c r="W1397" s="21" t="str">
        <f>_xll.RssMarket(A1397,"売買代金")</f>
        <v/>
      </c>
      <c r="X1397" s="20" t="str">
        <f>_xll.RssMarket(A1397,"決算発表日")</f>
        <v/>
      </c>
      <c r="Y1397" s="26" t="str">
        <f>IF(C1397&gt;_xll.RssMarket(A1397,"年初来高値"),"○","×")</f>
        <v>×</v>
      </c>
      <c r="Z1397" s="27" t="str">
        <f>IF(C1397&lt;=_xll.RssMarket(A1397,"年初来安値"),"○","×")</f>
        <v>○</v>
      </c>
    </row>
    <row r="1398" spans="2:26" x14ac:dyDescent="0.55000000000000004">
      <c r="B1398" s="20" t="str">
        <f>_xll.RssMarket(A1398,"銘柄名称")</f>
        <v/>
      </c>
      <c r="C1398" s="21" t="str">
        <f>_xll.RssMarket(A1398,"現在値")</f>
        <v/>
      </c>
      <c r="D1398" s="20" t="str">
        <f>_xll.RssMarket(A1398,"現在値詳細時刻")</f>
        <v/>
      </c>
      <c r="E1398" s="22" t="str">
        <f>_xll.RssMarket(A1398,"前日比")</f>
        <v/>
      </c>
      <c r="F1398" s="23" t="e">
        <f>_xll.RssMarket(A1398,"前日比率")/100</f>
        <v>#VALUE!</v>
      </c>
      <c r="G1398" s="24" t="str">
        <f>IFERROR(VLOOKUP(A1398,取得元!$A$2:$F$501,2,FALSE),"-")</f>
        <v>-</v>
      </c>
      <c r="H1398" s="24" t="str">
        <f>IFERROR(VLOOKUP(A1398,取得元!$A$2:$F$501,3,FALSE),"-")</f>
        <v>-</v>
      </c>
      <c r="I1398" s="24" t="str">
        <f>IFERROR(VLOOKUP(A1398,取得元!$A$2:$F$501,4,FALSE),"-")</f>
        <v>-</v>
      </c>
      <c r="J1398" s="5" t="str">
        <f>IFERROR(VLOOKUP(A1398,取得元!$A$2:$F$501,5,FALSE),"-")</f>
        <v>-</v>
      </c>
      <c r="K1398" s="25" t="str">
        <f>IFERROR(VLOOKUP(A1398,取得元!$A$2:$F$501,6,FALSE)/100,"-")</f>
        <v>-</v>
      </c>
      <c r="L1398" s="21" t="str">
        <f>_xll.RssMarket(A1398,"始値")</f>
        <v/>
      </c>
      <c r="M1398" s="4" t="e">
        <f t="shared" si="120"/>
        <v>#VALUE!</v>
      </c>
      <c r="N1398" s="21" t="str">
        <f>_xll.RssMarket(A1398,"高値")</f>
        <v/>
      </c>
      <c r="O1398" s="4" t="e">
        <f t="shared" si="121"/>
        <v>#VALUE!</v>
      </c>
      <c r="P1398" s="21" t="str">
        <f>_xll.RssMarket(A1398,"安値")</f>
        <v/>
      </c>
      <c r="Q1398" s="4" t="e">
        <f t="shared" si="122"/>
        <v>#VALUE!</v>
      </c>
      <c r="R1398" s="21" t="str">
        <f>_xll.RssMarket(A1398,"後場始値")</f>
        <v/>
      </c>
      <c r="S1398" s="25" t="str">
        <f t="shared" si="123"/>
        <v>-</v>
      </c>
      <c r="T1398" s="7" t="str">
        <f>_xll.RssMarket(A1398,"出来高加重平均")</f>
        <v/>
      </c>
      <c r="U1398" s="4" t="e">
        <f t="shared" si="124"/>
        <v>#VALUE!</v>
      </c>
      <c r="V1398" s="21" t="str">
        <f>_xll.RssMarket(A1398,"出来高")</f>
        <v/>
      </c>
      <c r="W1398" s="21" t="str">
        <f>_xll.RssMarket(A1398,"売買代金")</f>
        <v/>
      </c>
      <c r="X1398" s="20" t="str">
        <f>_xll.RssMarket(A1398,"決算発表日")</f>
        <v/>
      </c>
      <c r="Y1398" s="26" t="str">
        <f>IF(C1398&gt;_xll.RssMarket(A1398,"年初来高値"),"○","×")</f>
        <v>×</v>
      </c>
      <c r="Z1398" s="27" t="str">
        <f>IF(C1398&lt;=_xll.RssMarket(A1398,"年初来安値"),"○","×")</f>
        <v>○</v>
      </c>
    </row>
    <row r="1399" spans="2:26" x14ac:dyDescent="0.55000000000000004">
      <c r="B1399" s="20" t="str">
        <f>_xll.RssMarket(A1399,"銘柄名称")</f>
        <v/>
      </c>
      <c r="C1399" s="21" t="str">
        <f>_xll.RssMarket(A1399,"現在値")</f>
        <v/>
      </c>
      <c r="D1399" s="20" t="str">
        <f>_xll.RssMarket(A1399,"現在値詳細時刻")</f>
        <v/>
      </c>
      <c r="E1399" s="22" t="str">
        <f>_xll.RssMarket(A1399,"前日比")</f>
        <v/>
      </c>
      <c r="F1399" s="23" t="e">
        <f>_xll.RssMarket(A1399,"前日比率")/100</f>
        <v>#VALUE!</v>
      </c>
      <c r="G1399" s="24" t="str">
        <f>IFERROR(VLOOKUP(A1399,取得元!$A$2:$F$501,2,FALSE),"-")</f>
        <v>-</v>
      </c>
      <c r="H1399" s="24" t="str">
        <f>IFERROR(VLOOKUP(A1399,取得元!$A$2:$F$501,3,FALSE),"-")</f>
        <v>-</v>
      </c>
      <c r="I1399" s="24" t="str">
        <f>IFERROR(VLOOKUP(A1399,取得元!$A$2:$F$501,4,FALSE),"-")</f>
        <v>-</v>
      </c>
      <c r="J1399" s="5" t="str">
        <f>IFERROR(VLOOKUP(A1399,取得元!$A$2:$F$501,5,FALSE),"-")</f>
        <v>-</v>
      </c>
      <c r="K1399" s="25" t="str">
        <f>IFERROR(VLOOKUP(A1399,取得元!$A$2:$F$501,6,FALSE)/100,"-")</f>
        <v>-</v>
      </c>
      <c r="L1399" s="21" t="str">
        <f>_xll.RssMarket(A1399,"始値")</f>
        <v/>
      </c>
      <c r="M1399" s="4" t="e">
        <f t="shared" si="120"/>
        <v>#VALUE!</v>
      </c>
      <c r="N1399" s="21" t="str">
        <f>_xll.RssMarket(A1399,"高値")</f>
        <v/>
      </c>
      <c r="O1399" s="4" t="e">
        <f t="shared" si="121"/>
        <v>#VALUE!</v>
      </c>
      <c r="P1399" s="21" t="str">
        <f>_xll.RssMarket(A1399,"安値")</f>
        <v/>
      </c>
      <c r="Q1399" s="4" t="e">
        <f t="shared" si="122"/>
        <v>#VALUE!</v>
      </c>
      <c r="R1399" s="21" t="str">
        <f>_xll.RssMarket(A1399,"後場始値")</f>
        <v/>
      </c>
      <c r="S1399" s="25" t="str">
        <f t="shared" si="123"/>
        <v>-</v>
      </c>
      <c r="T1399" s="7" t="str">
        <f>_xll.RssMarket(A1399,"出来高加重平均")</f>
        <v/>
      </c>
      <c r="U1399" s="4" t="e">
        <f t="shared" si="124"/>
        <v>#VALUE!</v>
      </c>
      <c r="V1399" s="21" t="str">
        <f>_xll.RssMarket(A1399,"出来高")</f>
        <v/>
      </c>
      <c r="W1399" s="21" t="str">
        <f>_xll.RssMarket(A1399,"売買代金")</f>
        <v/>
      </c>
      <c r="X1399" s="20" t="str">
        <f>_xll.RssMarket(A1399,"決算発表日")</f>
        <v/>
      </c>
      <c r="Y1399" s="26" t="str">
        <f>IF(C1399&gt;_xll.RssMarket(A1399,"年初来高値"),"○","×")</f>
        <v>×</v>
      </c>
      <c r="Z1399" s="27" t="str">
        <f>IF(C1399&lt;=_xll.RssMarket(A1399,"年初来安値"),"○","×")</f>
        <v>○</v>
      </c>
    </row>
    <row r="1400" spans="2:26" x14ac:dyDescent="0.55000000000000004">
      <c r="B1400" s="20" t="str">
        <f>_xll.RssMarket(A1400,"銘柄名称")</f>
        <v/>
      </c>
      <c r="C1400" s="21" t="str">
        <f>_xll.RssMarket(A1400,"現在値")</f>
        <v/>
      </c>
      <c r="D1400" s="20" t="str">
        <f>_xll.RssMarket(A1400,"現在値詳細時刻")</f>
        <v/>
      </c>
      <c r="E1400" s="22" t="str">
        <f>_xll.RssMarket(A1400,"前日比")</f>
        <v/>
      </c>
      <c r="F1400" s="23" t="e">
        <f>_xll.RssMarket(A1400,"前日比率")/100</f>
        <v>#VALUE!</v>
      </c>
      <c r="G1400" s="24" t="str">
        <f>IFERROR(VLOOKUP(A1400,取得元!$A$2:$F$501,2,FALSE),"-")</f>
        <v>-</v>
      </c>
      <c r="H1400" s="24" t="str">
        <f>IFERROR(VLOOKUP(A1400,取得元!$A$2:$F$501,3,FALSE),"-")</f>
        <v>-</v>
      </c>
      <c r="I1400" s="24" t="str">
        <f>IFERROR(VLOOKUP(A1400,取得元!$A$2:$F$501,4,FALSE),"-")</f>
        <v>-</v>
      </c>
      <c r="J1400" s="5" t="str">
        <f>IFERROR(VLOOKUP(A1400,取得元!$A$2:$F$501,5,FALSE),"-")</f>
        <v>-</v>
      </c>
      <c r="K1400" s="25" t="str">
        <f>IFERROR(VLOOKUP(A1400,取得元!$A$2:$F$501,6,FALSE)/100,"-")</f>
        <v>-</v>
      </c>
      <c r="L1400" s="21" t="str">
        <f>_xll.RssMarket(A1400,"始値")</f>
        <v/>
      </c>
      <c r="M1400" s="4" t="e">
        <f t="shared" si="120"/>
        <v>#VALUE!</v>
      </c>
      <c r="N1400" s="21" t="str">
        <f>_xll.RssMarket(A1400,"高値")</f>
        <v/>
      </c>
      <c r="O1400" s="4" t="e">
        <f t="shared" si="121"/>
        <v>#VALUE!</v>
      </c>
      <c r="P1400" s="21" t="str">
        <f>_xll.RssMarket(A1400,"安値")</f>
        <v/>
      </c>
      <c r="Q1400" s="4" t="e">
        <f t="shared" si="122"/>
        <v>#VALUE!</v>
      </c>
      <c r="R1400" s="21" t="str">
        <f>_xll.RssMarket(A1400,"後場始値")</f>
        <v/>
      </c>
      <c r="S1400" s="25" t="str">
        <f t="shared" si="123"/>
        <v>-</v>
      </c>
      <c r="T1400" s="7" t="str">
        <f>_xll.RssMarket(A1400,"出来高加重平均")</f>
        <v/>
      </c>
      <c r="U1400" s="4" t="e">
        <f t="shared" si="124"/>
        <v>#VALUE!</v>
      </c>
      <c r="V1400" s="21" t="str">
        <f>_xll.RssMarket(A1400,"出来高")</f>
        <v/>
      </c>
      <c r="W1400" s="21" t="str">
        <f>_xll.RssMarket(A1400,"売買代金")</f>
        <v/>
      </c>
      <c r="X1400" s="20" t="str">
        <f>_xll.RssMarket(A1400,"決算発表日")</f>
        <v/>
      </c>
      <c r="Y1400" s="26" t="str">
        <f>IF(C1400&gt;_xll.RssMarket(A1400,"年初来高値"),"○","×")</f>
        <v>×</v>
      </c>
      <c r="Z1400" s="27" t="str">
        <f>IF(C1400&lt;=_xll.RssMarket(A1400,"年初来安値"),"○","×")</f>
        <v>○</v>
      </c>
    </row>
    <row r="1401" spans="2:26" x14ac:dyDescent="0.55000000000000004">
      <c r="B1401" s="20" t="str">
        <f>_xll.RssMarket(A1401,"銘柄名称")</f>
        <v/>
      </c>
      <c r="C1401" s="21" t="str">
        <f>_xll.RssMarket(A1401,"現在値")</f>
        <v/>
      </c>
      <c r="D1401" s="20" t="str">
        <f>_xll.RssMarket(A1401,"現在値詳細時刻")</f>
        <v/>
      </c>
      <c r="E1401" s="22" t="str">
        <f>_xll.RssMarket(A1401,"前日比")</f>
        <v/>
      </c>
      <c r="F1401" s="23" t="e">
        <f>_xll.RssMarket(A1401,"前日比率")/100</f>
        <v>#VALUE!</v>
      </c>
      <c r="G1401" s="24" t="str">
        <f>IFERROR(VLOOKUP(A1401,取得元!$A$2:$F$501,2,FALSE),"-")</f>
        <v>-</v>
      </c>
      <c r="H1401" s="24" t="str">
        <f>IFERROR(VLOOKUP(A1401,取得元!$A$2:$F$501,3,FALSE),"-")</f>
        <v>-</v>
      </c>
      <c r="I1401" s="24" t="str">
        <f>IFERROR(VLOOKUP(A1401,取得元!$A$2:$F$501,4,FALSE),"-")</f>
        <v>-</v>
      </c>
      <c r="J1401" s="5" t="str">
        <f>IFERROR(VLOOKUP(A1401,取得元!$A$2:$F$501,5,FALSE),"-")</f>
        <v>-</v>
      </c>
      <c r="K1401" s="25" t="str">
        <f>IFERROR(VLOOKUP(A1401,取得元!$A$2:$F$501,6,FALSE)/100,"-")</f>
        <v>-</v>
      </c>
      <c r="L1401" s="21" t="str">
        <f>_xll.RssMarket(A1401,"始値")</f>
        <v/>
      </c>
      <c r="M1401" s="4" t="e">
        <f t="shared" si="120"/>
        <v>#VALUE!</v>
      </c>
      <c r="N1401" s="21" t="str">
        <f>_xll.RssMarket(A1401,"高値")</f>
        <v/>
      </c>
      <c r="O1401" s="4" t="e">
        <f t="shared" si="121"/>
        <v>#VALUE!</v>
      </c>
      <c r="P1401" s="21" t="str">
        <f>_xll.RssMarket(A1401,"安値")</f>
        <v/>
      </c>
      <c r="Q1401" s="4" t="e">
        <f t="shared" si="122"/>
        <v>#VALUE!</v>
      </c>
      <c r="R1401" s="21" t="str">
        <f>_xll.RssMarket(A1401,"後場始値")</f>
        <v/>
      </c>
      <c r="S1401" s="25" t="str">
        <f t="shared" si="123"/>
        <v>-</v>
      </c>
      <c r="T1401" s="7" t="str">
        <f>_xll.RssMarket(A1401,"出来高加重平均")</f>
        <v/>
      </c>
      <c r="U1401" s="4" t="e">
        <f t="shared" si="124"/>
        <v>#VALUE!</v>
      </c>
      <c r="V1401" s="21" t="str">
        <f>_xll.RssMarket(A1401,"出来高")</f>
        <v/>
      </c>
      <c r="W1401" s="21" t="str">
        <f>_xll.RssMarket(A1401,"売買代金")</f>
        <v/>
      </c>
      <c r="X1401" s="20" t="str">
        <f>_xll.RssMarket(A1401,"決算発表日")</f>
        <v/>
      </c>
      <c r="Y1401" s="26" t="str">
        <f>IF(C1401&gt;_xll.RssMarket(A1401,"年初来高値"),"○","×")</f>
        <v>×</v>
      </c>
      <c r="Z1401" s="27" t="str">
        <f>IF(C1401&lt;=_xll.RssMarket(A1401,"年初来安値"),"○","×")</f>
        <v>○</v>
      </c>
    </row>
    <row r="1402" spans="2:26" x14ac:dyDescent="0.55000000000000004">
      <c r="B1402" s="20" t="str">
        <f>_xll.RssMarket(A1402,"銘柄名称")</f>
        <v/>
      </c>
      <c r="C1402" s="21" t="str">
        <f>_xll.RssMarket(A1402,"現在値")</f>
        <v/>
      </c>
      <c r="D1402" s="20" t="str">
        <f>_xll.RssMarket(A1402,"現在値詳細時刻")</f>
        <v/>
      </c>
      <c r="E1402" s="22" t="str">
        <f>_xll.RssMarket(A1402,"前日比")</f>
        <v/>
      </c>
      <c r="F1402" s="23" t="e">
        <f>_xll.RssMarket(A1402,"前日比率")/100</f>
        <v>#VALUE!</v>
      </c>
      <c r="G1402" s="24" t="str">
        <f>IFERROR(VLOOKUP(A1402,取得元!$A$2:$F$501,2,FALSE),"-")</f>
        <v>-</v>
      </c>
      <c r="H1402" s="24" t="str">
        <f>IFERROR(VLOOKUP(A1402,取得元!$A$2:$F$501,3,FALSE),"-")</f>
        <v>-</v>
      </c>
      <c r="I1402" s="24" t="str">
        <f>IFERROR(VLOOKUP(A1402,取得元!$A$2:$F$501,4,FALSE),"-")</f>
        <v>-</v>
      </c>
      <c r="J1402" s="5" t="str">
        <f>IFERROR(VLOOKUP(A1402,取得元!$A$2:$F$501,5,FALSE),"-")</f>
        <v>-</v>
      </c>
      <c r="K1402" s="25" t="str">
        <f>IFERROR(VLOOKUP(A1402,取得元!$A$2:$F$501,6,FALSE)/100,"-")</f>
        <v>-</v>
      </c>
      <c r="L1402" s="21" t="str">
        <f>_xll.RssMarket(A1402,"始値")</f>
        <v/>
      </c>
      <c r="M1402" s="4" t="e">
        <f t="shared" si="120"/>
        <v>#VALUE!</v>
      </c>
      <c r="N1402" s="21" t="str">
        <f>_xll.RssMarket(A1402,"高値")</f>
        <v/>
      </c>
      <c r="O1402" s="4" t="e">
        <f t="shared" si="121"/>
        <v>#VALUE!</v>
      </c>
      <c r="P1402" s="21" t="str">
        <f>_xll.RssMarket(A1402,"安値")</f>
        <v/>
      </c>
      <c r="Q1402" s="4" t="e">
        <f t="shared" si="122"/>
        <v>#VALUE!</v>
      </c>
      <c r="R1402" s="21" t="str">
        <f>_xll.RssMarket(A1402,"後場始値")</f>
        <v/>
      </c>
      <c r="S1402" s="25" t="str">
        <f t="shared" si="123"/>
        <v>-</v>
      </c>
      <c r="T1402" s="7" t="str">
        <f>_xll.RssMarket(A1402,"出来高加重平均")</f>
        <v/>
      </c>
      <c r="U1402" s="4" t="e">
        <f t="shared" si="124"/>
        <v>#VALUE!</v>
      </c>
      <c r="V1402" s="21" t="str">
        <f>_xll.RssMarket(A1402,"出来高")</f>
        <v/>
      </c>
      <c r="W1402" s="21" t="str">
        <f>_xll.RssMarket(A1402,"売買代金")</f>
        <v/>
      </c>
      <c r="X1402" s="20" t="str">
        <f>_xll.RssMarket(A1402,"決算発表日")</f>
        <v/>
      </c>
      <c r="Y1402" s="26" t="str">
        <f>IF(C1402&gt;_xll.RssMarket(A1402,"年初来高値"),"○","×")</f>
        <v>×</v>
      </c>
      <c r="Z1402" s="27" t="str">
        <f>IF(C1402&lt;=_xll.RssMarket(A1402,"年初来安値"),"○","×")</f>
        <v>○</v>
      </c>
    </row>
    <row r="1403" spans="2:26" x14ac:dyDescent="0.55000000000000004">
      <c r="B1403" s="20" t="str">
        <f>_xll.RssMarket(A1403,"銘柄名称")</f>
        <v/>
      </c>
      <c r="C1403" s="21" t="str">
        <f>_xll.RssMarket(A1403,"現在値")</f>
        <v/>
      </c>
      <c r="D1403" s="20" t="str">
        <f>_xll.RssMarket(A1403,"現在値詳細時刻")</f>
        <v/>
      </c>
      <c r="E1403" s="22" t="str">
        <f>_xll.RssMarket(A1403,"前日比")</f>
        <v/>
      </c>
      <c r="F1403" s="23" t="e">
        <f>_xll.RssMarket(A1403,"前日比率")/100</f>
        <v>#VALUE!</v>
      </c>
      <c r="G1403" s="24" t="str">
        <f>IFERROR(VLOOKUP(A1403,取得元!$A$2:$F$501,2,FALSE),"-")</f>
        <v>-</v>
      </c>
      <c r="H1403" s="24" t="str">
        <f>IFERROR(VLOOKUP(A1403,取得元!$A$2:$F$501,3,FALSE),"-")</f>
        <v>-</v>
      </c>
      <c r="I1403" s="24" t="str">
        <f>IFERROR(VLOOKUP(A1403,取得元!$A$2:$F$501,4,FALSE),"-")</f>
        <v>-</v>
      </c>
      <c r="J1403" s="5" t="str">
        <f>IFERROR(VLOOKUP(A1403,取得元!$A$2:$F$501,5,FALSE),"-")</f>
        <v>-</v>
      </c>
      <c r="K1403" s="25" t="str">
        <f>IFERROR(VLOOKUP(A1403,取得元!$A$2:$F$501,6,FALSE)/100,"-")</f>
        <v>-</v>
      </c>
      <c r="L1403" s="21" t="str">
        <f>_xll.RssMarket(A1403,"始値")</f>
        <v/>
      </c>
      <c r="M1403" s="4" t="e">
        <f t="shared" si="120"/>
        <v>#VALUE!</v>
      </c>
      <c r="N1403" s="21" t="str">
        <f>_xll.RssMarket(A1403,"高値")</f>
        <v/>
      </c>
      <c r="O1403" s="4" t="e">
        <f t="shared" si="121"/>
        <v>#VALUE!</v>
      </c>
      <c r="P1403" s="21" t="str">
        <f>_xll.RssMarket(A1403,"安値")</f>
        <v/>
      </c>
      <c r="Q1403" s="4" t="e">
        <f t="shared" si="122"/>
        <v>#VALUE!</v>
      </c>
      <c r="R1403" s="21" t="str">
        <f>_xll.RssMarket(A1403,"後場始値")</f>
        <v/>
      </c>
      <c r="S1403" s="25" t="str">
        <f t="shared" si="123"/>
        <v>-</v>
      </c>
      <c r="T1403" s="7" t="str">
        <f>_xll.RssMarket(A1403,"出来高加重平均")</f>
        <v/>
      </c>
      <c r="U1403" s="4" t="e">
        <f t="shared" si="124"/>
        <v>#VALUE!</v>
      </c>
      <c r="V1403" s="21" t="str">
        <f>_xll.RssMarket(A1403,"出来高")</f>
        <v/>
      </c>
      <c r="W1403" s="21" t="str">
        <f>_xll.RssMarket(A1403,"売買代金")</f>
        <v/>
      </c>
      <c r="X1403" s="20" t="str">
        <f>_xll.RssMarket(A1403,"決算発表日")</f>
        <v/>
      </c>
      <c r="Y1403" s="26" t="str">
        <f>IF(C1403&gt;_xll.RssMarket(A1403,"年初来高値"),"○","×")</f>
        <v>×</v>
      </c>
      <c r="Z1403" s="27" t="str">
        <f>IF(C1403&lt;=_xll.RssMarket(A1403,"年初来安値"),"○","×")</f>
        <v>○</v>
      </c>
    </row>
    <row r="1404" spans="2:26" x14ac:dyDescent="0.55000000000000004">
      <c r="B1404" s="20" t="str">
        <f>_xll.RssMarket(A1404,"銘柄名称")</f>
        <v/>
      </c>
      <c r="C1404" s="21" t="str">
        <f>_xll.RssMarket(A1404,"現在値")</f>
        <v/>
      </c>
      <c r="D1404" s="20" t="str">
        <f>_xll.RssMarket(A1404,"現在値詳細時刻")</f>
        <v/>
      </c>
      <c r="E1404" s="22" t="str">
        <f>_xll.RssMarket(A1404,"前日比")</f>
        <v/>
      </c>
      <c r="F1404" s="23" t="e">
        <f>_xll.RssMarket(A1404,"前日比率")/100</f>
        <v>#VALUE!</v>
      </c>
      <c r="G1404" s="24" t="str">
        <f>IFERROR(VLOOKUP(A1404,取得元!$A$2:$F$501,2,FALSE),"-")</f>
        <v>-</v>
      </c>
      <c r="H1404" s="24" t="str">
        <f>IFERROR(VLOOKUP(A1404,取得元!$A$2:$F$501,3,FALSE),"-")</f>
        <v>-</v>
      </c>
      <c r="I1404" s="24" t="str">
        <f>IFERROR(VLOOKUP(A1404,取得元!$A$2:$F$501,4,FALSE),"-")</f>
        <v>-</v>
      </c>
      <c r="J1404" s="5" t="str">
        <f>IFERROR(VLOOKUP(A1404,取得元!$A$2:$F$501,5,FALSE),"-")</f>
        <v>-</v>
      </c>
      <c r="K1404" s="25" t="str">
        <f>IFERROR(VLOOKUP(A1404,取得元!$A$2:$F$501,6,FALSE)/100,"-")</f>
        <v>-</v>
      </c>
      <c r="L1404" s="21" t="str">
        <f>_xll.RssMarket(A1404,"始値")</f>
        <v/>
      </c>
      <c r="M1404" s="4" t="e">
        <f t="shared" si="120"/>
        <v>#VALUE!</v>
      </c>
      <c r="N1404" s="21" t="str">
        <f>_xll.RssMarket(A1404,"高値")</f>
        <v/>
      </c>
      <c r="O1404" s="4" t="e">
        <f t="shared" si="121"/>
        <v>#VALUE!</v>
      </c>
      <c r="P1404" s="21" t="str">
        <f>_xll.RssMarket(A1404,"安値")</f>
        <v/>
      </c>
      <c r="Q1404" s="4" t="e">
        <f t="shared" si="122"/>
        <v>#VALUE!</v>
      </c>
      <c r="R1404" s="21" t="str">
        <f>_xll.RssMarket(A1404,"後場始値")</f>
        <v/>
      </c>
      <c r="S1404" s="25" t="str">
        <f t="shared" si="123"/>
        <v>-</v>
      </c>
      <c r="T1404" s="7" t="str">
        <f>_xll.RssMarket(A1404,"出来高加重平均")</f>
        <v/>
      </c>
      <c r="U1404" s="4" t="e">
        <f t="shared" si="124"/>
        <v>#VALUE!</v>
      </c>
      <c r="V1404" s="21" t="str">
        <f>_xll.RssMarket(A1404,"出来高")</f>
        <v/>
      </c>
      <c r="W1404" s="21" t="str">
        <f>_xll.RssMarket(A1404,"売買代金")</f>
        <v/>
      </c>
      <c r="X1404" s="20" t="str">
        <f>_xll.RssMarket(A1404,"決算発表日")</f>
        <v/>
      </c>
      <c r="Y1404" s="26" t="str">
        <f>IF(C1404&gt;_xll.RssMarket(A1404,"年初来高値"),"○","×")</f>
        <v>×</v>
      </c>
      <c r="Z1404" s="27" t="str">
        <f>IF(C1404&lt;=_xll.RssMarket(A1404,"年初来安値"),"○","×")</f>
        <v>○</v>
      </c>
    </row>
    <row r="1405" spans="2:26" x14ac:dyDescent="0.55000000000000004">
      <c r="B1405" s="20" t="str">
        <f>_xll.RssMarket(A1405,"銘柄名称")</f>
        <v/>
      </c>
      <c r="C1405" s="21" t="str">
        <f>_xll.RssMarket(A1405,"現在値")</f>
        <v/>
      </c>
      <c r="D1405" s="20" t="str">
        <f>_xll.RssMarket(A1405,"現在値詳細時刻")</f>
        <v/>
      </c>
      <c r="E1405" s="22" t="str">
        <f>_xll.RssMarket(A1405,"前日比")</f>
        <v/>
      </c>
      <c r="F1405" s="23" t="e">
        <f>_xll.RssMarket(A1405,"前日比率")/100</f>
        <v>#VALUE!</v>
      </c>
      <c r="G1405" s="24" t="str">
        <f>IFERROR(VLOOKUP(A1405,取得元!$A$2:$F$501,2,FALSE),"-")</f>
        <v>-</v>
      </c>
      <c r="H1405" s="24" t="str">
        <f>IFERROR(VLOOKUP(A1405,取得元!$A$2:$F$501,3,FALSE),"-")</f>
        <v>-</v>
      </c>
      <c r="I1405" s="24" t="str">
        <f>IFERROR(VLOOKUP(A1405,取得元!$A$2:$F$501,4,FALSE),"-")</f>
        <v>-</v>
      </c>
      <c r="J1405" s="5" t="str">
        <f>IFERROR(VLOOKUP(A1405,取得元!$A$2:$F$501,5,FALSE),"-")</f>
        <v>-</v>
      </c>
      <c r="K1405" s="25" t="str">
        <f>IFERROR(VLOOKUP(A1405,取得元!$A$2:$F$501,6,FALSE)/100,"-")</f>
        <v>-</v>
      </c>
      <c r="L1405" s="21" t="str">
        <f>_xll.RssMarket(A1405,"始値")</f>
        <v/>
      </c>
      <c r="M1405" s="4" t="e">
        <f t="shared" si="120"/>
        <v>#VALUE!</v>
      </c>
      <c r="N1405" s="21" t="str">
        <f>_xll.RssMarket(A1405,"高値")</f>
        <v/>
      </c>
      <c r="O1405" s="4" t="e">
        <f t="shared" si="121"/>
        <v>#VALUE!</v>
      </c>
      <c r="P1405" s="21" t="str">
        <f>_xll.RssMarket(A1405,"安値")</f>
        <v/>
      </c>
      <c r="Q1405" s="4" t="e">
        <f t="shared" si="122"/>
        <v>#VALUE!</v>
      </c>
      <c r="R1405" s="21" t="str">
        <f>_xll.RssMarket(A1405,"後場始値")</f>
        <v/>
      </c>
      <c r="S1405" s="25" t="str">
        <f t="shared" si="123"/>
        <v>-</v>
      </c>
      <c r="T1405" s="7" t="str">
        <f>_xll.RssMarket(A1405,"出来高加重平均")</f>
        <v/>
      </c>
      <c r="U1405" s="4" t="e">
        <f t="shared" si="124"/>
        <v>#VALUE!</v>
      </c>
      <c r="V1405" s="21" t="str">
        <f>_xll.RssMarket(A1405,"出来高")</f>
        <v/>
      </c>
      <c r="W1405" s="21" t="str">
        <f>_xll.RssMarket(A1405,"売買代金")</f>
        <v/>
      </c>
      <c r="X1405" s="20" t="str">
        <f>_xll.RssMarket(A1405,"決算発表日")</f>
        <v/>
      </c>
      <c r="Y1405" s="26" t="str">
        <f>IF(C1405&gt;_xll.RssMarket(A1405,"年初来高値"),"○","×")</f>
        <v>×</v>
      </c>
      <c r="Z1405" s="27" t="str">
        <f>IF(C1405&lt;=_xll.RssMarket(A1405,"年初来安値"),"○","×")</f>
        <v>○</v>
      </c>
    </row>
    <row r="1406" spans="2:26" x14ac:dyDescent="0.55000000000000004">
      <c r="B1406" s="20" t="str">
        <f>_xll.RssMarket(A1406,"銘柄名称")</f>
        <v/>
      </c>
      <c r="C1406" s="21" t="str">
        <f>_xll.RssMarket(A1406,"現在値")</f>
        <v/>
      </c>
      <c r="D1406" s="20" t="str">
        <f>_xll.RssMarket(A1406,"現在値詳細時刻")</f>
        <v/>
      </c>
      <c r="E1406" s="22" t="str">
        <f>_xll.RssMarket(A1406,"前日比")</f>
        <v/>
      </c>
      <c r="F1406" s="23" t="e">
        <f>_xll.RssMarket(A1406,"前日比率")/100</f>
        <v>#VALUE!</v>
      </c>
      <c r="G1406" s="24" t="str">
        <f>IFERROR(VLOOKUP(A1406,取得元!$A$2:$F$501,2,FALSE),"-")</f>
        <v>-</v>
      </c>
      <c r="H1406" s="24" t="str">
        <f>IFERROR(VLOOKUP(A1406,取得元!$A$2:$F$501,3,FALSE),"-")</f>
        <v>-</v>
      </c>
      <c r="I1406" s="24" t="str">
        <f>IFERROR(VLOOKUP(A1406,取得元!$A$2:$F$501,4,FALSE),"-")</f>
        <v>-</v>
      </c>
      <c r="J1406" s="5" t="str">
        <f>IFERROR(VLOOKUP(A1406,取得元!$A$2:$F$501,5,FALSE),"-")</f>
        <v>-</v>
      </c>
      <c r="K1406" s="25" t="str">
        <f>IFERROR(VLOOKUP(A1406,取得元!$A$2:$F$501,6,FALSE)/100,"-")</f>
        <v>-</v>
      </c>
      <c r="L1406" s="21" t="str">
        <f>_xll.RssMarket(A1406,"始値")</f>
        <v/>
      </c>
      <c r="M1406" s="4" t="e">
        <f t="shared" si="120"/>
        <v>#VALUE!</v>
      </c>
      <c r="N1406" s="21" t="str">
        <f>_xll.RssMarket(A1406,"高値")</f>
        <v/>
      </c>
      <c r="O1406" s="4" t="e">
        <f t="shared" si="121"/>
        <v>#VALUE!</v>
      </c>
      <c r="P1406" s="21" t="str">
        <f>_xll.RssMarket(A1406,"安値")</f>
        <v/>
      </c>
      <c r="Q1406" s="4" t="e">
        <f t="shared" si="122"/>
        <v>#VALUE!</v>
      </c>
      <c r="R1406" s="21" t="str">
        <f>_xll.RssMarket(A1406,"後場始値")</f>
        <v/>
      </c>
      <c r="S1406" s="25" t="str">
        <f t="shared" si="123"/>
        <v>-</v>
      </c>
      <c r="T1406" s="7" t="str">
        <f>_xll.RssMarket(A1406,"出来高加重平均")</f>
        <v/>
      </c>
      <c r="U1406" s="4" t="e">
        <f t="shared" si="124"/>
        <v>#VALUE!</v>
      </c>
      <c r="V1406" s="21" t="str">
        <f>_xll.RssMarket(A1406,"出来高")</f>
        <v/>
      </c>
      <c r="W1406" s="21" t="str">
        <f>_xll.RssMarket(A1406,"売買代金")</f>
        <v/>
      </c>
      <c r="X1406" s="20" t="str">
        <f>_xll.RssMarket(A1406,"決算発表日")</f>
        <v/>
      </c>
      <c r="Y1406" s="26" t="str">
        <f>IF(C1406&gt;_xll.RssMarket(A1406,"年初来高値"),"○","×")</f>
        <v>×</v>
      </c>
      <c r="Z1406" s="27" t="str">
        <f>IF(C1406&lt;=_xll.RssMarket(A1406,"年初来安値"),"○","×")</f>
        <v>○</v>
      </c>
    </row>
    <row r="1407" spans="2:26" x14ac:dyDescent="0.55000000000000004">
      <c r="B1407" s="20" t="str">
        <f>_xll.RssMarket(A1407,"銘柄名称")</f>
        <v/>
      </c>
      <c r="C1407" s="21" t="str">
        <f>_xll.RssMarket(A1407,"現在値")</f>
        <v/>
      </c>
      <c r="D1407" s="20" t="str">
        <f>_xll.RssMarket(A1407,"現在値詳細時刻")</f>
        <v/>
      </c>
      <c r="E1407" s="22" t="str">
        <f>_xll.RssMarket(A1407,"前日比")</f>
        <v/>
      </c>
      <c r="F1407" s="23" t="e">
        <f>_xll.RssMarket(A1407,"前日比率")/100</f>
        <v>#VALUE!</v>
      </c>
      <c r="G1407" s="24" t="str">
        <f>IFERROR(VLOOKUP(A1407,取得元!$A$2:$F$501,2,FALSE),"-")</f>
        <v>-</v>
      </c>
      <c r="H1407" s="24" t="str">
        <f>IFERROR(VLOOKUP(A1407,取得元!$A$2:$F$501,3,FALSE),"-")</f>
        <v>-</v>
      </c>
      <c r="I1407" s="24" t="str">
        <f>IFERROR(VLOOKUP(A1407,取得元!$A$2:$F$501,4,FALSE),"-")</f>
        <v>-</v>
      </c>
      <c r="J1407" s="5" t="str">
        <f>IFERROR(VLOOKUP(A1407,取得元!$A$2:$F$501,5,FALSE),"-")</f>
        <v>-</v>
      </c>
      <c r="K1407" s="25" t="str">
        <f>IFERROR(VLOOKUP(A1407,取得元!$A$2:$F$501,6,FALSE)/100,"-")</f>
        <v>-</v>
      </c>
      <c r="L1407" s="21" t="str">
        <f>_xll.RssMarket(A1407,"始値")</f>
        <v/>
      </c>
      <c r="M1407" s="4" t="e">
        <f t="shared" si="120"/>
        <v>#VALUE!</v>
      </c>
      <c r="N1407" s="21" t="str">
        <f>_xll.RssMarket(A1407,"高値")</f>
        <v/>
      </c>
      <c r="O1407" s="4" t="e">
        <f t="shared" si="121"/>
        <v>#VALUE!</v>
      </c>
      <c r="P1407" s="21" t="str">
        <f>_xll.RssMarket(A1407,"安値")</f>
        <v/>
      </c>
      <c r="Q1407" s="4" t="e">
        <f t="shared" si="122"/>
        <v>#VALUE!</v>
      </c>
      <c r="R1407" s="21" t="str">
        <f>_xll.RssMarket(A1407,"後場始値")</f>
        <v/>
      </c>
      <c r="S1407" s="25" t="str">
        <f t="shared" si="123"/>
        <v>-</v>
      </c>
      <c r="T1407" s="7" t="str">
        <f>_xll.RssMarket(A1407,"出来高加重平均")</f>
        <v/>
      </c>
      <c r="U1407" s="4" t="e">
        <f t="shared" si="124"/>
        <v>#VALUE!</v>
      </c>
      <c r="V1407" s="21" t="str">
        <f>_xll.RssMarket(A1407,"出来高")</f>
        <v/>
      </c>
      <c r="W1407" s="21" t="str">
        <f>_xll.RssMarket(A1407,"売買代金")</f>
        <v/>
      </c>
      <c r="X1407" s="20" t="str">
        <f>_xll.RssMarket(A1407,"決算発表日")</f>
        <v/>
      </c>
      <c r="Y1407" s="26" t="str">
        <f>IF(C1407&gt;_xll.RssMarket(A1407,"年初来高値"),"○","×")</f>
        <v>×</v>
      </c>
      <c r="Z1407" s="27" t="str">
        <f>IF(C1407&lt;=_xll.RssMarket(A1407,"年初来安値"),"○","×")</f>
        <v>○</v>
      </c>
    </row>
    <row r="1408" spans="2:26" x14ac:dyDescent="0.55000000000000004">
      <c r="B1408" s="20" t="str">
        <f>_xll.RssMarket(A1408,"銘柄名称")</f>
        <v/>
      </c>
      <c r="C1408" s="21" t="str">
        <f>_xll.RssMarket(A1408,"現在値")</f>
        <v/>
      </c>
      <c r="D1408" s="20" t="str">
        <f>_xll.RssMarket(A1408,"現在値詳細時刻")</f>
        <v/>
      </c>
      <c r="E1408" s="22" t="str">
        <f>_xll.RssMarket(A1408,"前日比")</f>
        <v/>
      </c>
      <c r="F1408" s="23" t="e">
        <f>_xll.RssMarket(A1408,"前日比率")/100</f>
        <v>#VALUE!</v>
      </c>
      <c r="G1408" s="24" t="str">
        <f>IFERROR(VLOOKUP(A1408,取得元!$A$2:$F$501,2,FALSE),"-")</f>
        <v>-</v>
      </c>
      <c r="H1408" s="24" t="str">
        <f>IFERROR(VLOOKUP(A1408,取得元!$A$2:$F$501,3,FALSE),"-")</f>
        <v>-</v>
      </c>
      <c r="I1408" s="24" t="str">
        <f>IFERROR(VLOOKUP(A1408,取得元!$A$2:$F$501,4,FALSE),"-")</f>
        <v>-</v>
      </c>
      <c r="J1408" s="5" t="str">
        <f>IFERROR(VLOOKUP(A1408,取得元!$A$2:$F$501,5,FALSE),"-")</f>
        <v>-</v>
      </c>
      <c r="K1408" s="25" t="str">
        <f>IFERROR(VLOOKUP(A1408,取得元!$A$2:$F$501,6,FALSE)/100,"-")</f>
        <v>-</v>
      </c>
      <c r="L1408" s="21" t="str">
        <f>_xll.RssMarket(A1408,"始値")</f>
        <v/>
      </c>
      <c r="M1408" s="4" t="e">
        <f t="shared" si="120"/>
        <v>#VALUE!</v>
      </c>
      <c r="N1408" s="21" t="str">
        <f>_xll.RssMarket(A1408,"高値")</f>
        <v/>
      </c>
      <c r="O1408" s="4" t="e">
        <f t="shared" si="121"/>
        <v>#VALUE!</v>
      </c>
      <c r="P1408" s="21" t="str">
        <f>_xll.RssMarket(A1408,"安値")</f>
        <v/>
      </c>
      <c r="Q1408" s="4" t="e">
        <f t="shared" si="122"/>
        <v>#VALUE!</v>
      </c>
      <c r="R1408" s="21" t="str">
        <f>_xll.RssMarket(A1408,"後場始値")</f>
        <v/>
      </c>
      <c r="S1408" s="25" t="str">
        <f t="shared" si="123"/>
        <v>-</v>
      </c>
      <c r="T1408" s="7" t="str">
        <f>_xll.RssMarket(A1408,"出来高加重平均")</f>
        <v/>
      </c>
      <c r="U1408" s="4" t="e">
        <f t="shared" si="124"/>
        <v>#VALUE!</v>
      </c>
      <c r="V1408" s="21" t="str">
        <f>_xll.RssMarket(A1408,"出来高")</f>
        <v/>
      </c>
      <c r="W1408" s="21" t="str">
        <f>_xll.RssMarket(A1408,"売買代金")</f>
        <v/>
      </c>
      <c r="X1408" s="20" t="str">
        <f>_xll.RssMarket(A1408,"決算発表日")</f>
        <v/>
      </c>
      <c r="Y1408" s="26" t="str">
        <f>IF(C1408&gt;_xll.RssMarket(A1408,"年初来高値"),"○","×")</f>
        <v>×</v>
      </c>
      <c r="Z1408" s="27" t="str">
        <f>IF(C1408&lt;=_xll.RssMarket(A1408,"年初来安値"),"○","×")</f>
        <v>○</v>
      </c>
    </row>
    <row r="1409" spans="2:26" x14ac:dyDescent="0.55000000000000004">
      <c r="B1409" s="20" t="str">
        <f>_xll.RssMarket(A1409,"銘柄名称")</f>
        <v/>
      </c>
      <c r="C1409" s="21" t="str">
        <f>_xll.RssMarket(A1409,"現在値")</f>
        <v/>
      </c>
      <c r="D1409" s="20" t="str">
        <f>_xll.RssMarket(A1409,"現在値詳細時刻")</f>
        <v/>
      </c>
      <c r="E1409" s="22" t="str">
        <f>_xll.RssMarket(A1409,"前日比")</f>
        <v/>
      </c>
      <c r="F1409" s="23" t="e">
        <f>_xll.RssMarket(A1409,"前日比率")/100</f>
        <v>#VALUE!</v>
      </c>
      <c r="G1409" s="24" t="str">
        <f>IFERROR(VLOOKUP(A1409,取得元!$A$2:$F$501,2,FALSE),"-")</f>
        <v>-</v>
      </c>
      <c r="H1409" s="24" t="str">
        <f>IFERROR(VLOOKUP(A1409,取得元!$A$2:$F$501,3,FALSE),"-")</f>
        <v>-</v>
      </c>
      <c r="I1409" s="24" t="str">
        <f>IFERROR(VLOOKUP(A1409,取得元!$A$2:$F$501,4,FALSE),"-")</f>
        <v>-</v>
      </c>
      <c r="J1409" s="5" t="str">
        <f>IFERROR(VLOOKUP(A1409,取得元!$A$2:$F$501,5,FALSE),"-")</f>
        <v>-</v>
      </c>
      <c r="K1409" s="25" t="str">
        <f>IFERROR(VLOOKUP(A1409,取得元!$A$2:$F$501,6,FALSE)/100,"-")</f>
        <v>-</v>
      </c>
      <c r="L1409" s="21" t="str">
        <f>_xll.RssMarket(A1409,"始値")</f>
        <v/>
      </c>
      <c r="M1409" s="4" t="e">
        <f t="shared" si="120"/>
        <v>#VALUE!</v>
      </c>
      <c r="N1409" s="21" t="str">
        <f>_xll.RssMarket(A1409,"高値")</f>
        <v/>
      </c>
      <c r="O1409" s="4" t="e">
        <f t="shared" si="121"/>
        <v>#VALUE!</v>
      </c>
      <c r="P1409" s="21" t="str">
        <f>_xll.RssMarket(A1409,"安値")</f>
        <v/>
      </c>
      <c r="Q1409" s="4" t="e">
        <f t="shared" si="122"/>
        <v>#VALUE!</v>
      </c>
      <c r="R1409" s="21" t="str">
        <f>_xll.RssMarket(A1409,"後場始値")</f>
        <v/>
      </c>
      <c r="S1409" s="25" t="str">
        <f t="shared" si="123"/>
        <v>-</v>
      </c>
      <c r="T1409" s="7" t="str">
        <f>_xll.RssMarket(A1409,"出来高加重平均")</f>
        <v/>
      </c>
      <c r="U1409" s="4" t="e">
        <f t="shared" si="124"/>
        <v>#VALUE!</v>
      </c>
      <c r="V1409" s="21" t="str">
        <f>_xll.RssMarket(A1409,"出来高")</f>
        <v/>
      </c>
      <c r="W1409" s="21" t="str">
        <f>_xll.RssMarket(A1409,"売買代金")</f>
        <v/>
      </c>
      <c r="X1409" s="20" t="str">
        <f>_xll.RssMarket(A1409,"決算発表日")</f>
        <v/>
      </c>
      <c r="Y1409" s="26" t="str">
        <f>IF(C1409&gt;_xll.RssMarket(A1409,"年初来高値"),"○","×")</f>
        <v>×</v>
      </c>
      <c r="Z1409" s="27" t="str">
        <f>IF(C1409&lt;=_xll.RssMarket(A1409,"年初来安値"),"○","×")</f>
        <v>○</v>
      </c>
    </row>
    <row r="1410" spans="2:26" x14ac:dyDescent="0.55000000000000004">
      <c r="B1410" s="20" t="str">
        <f>_xll.RssMarket(A1410,"銘柄名称")</f>
        <v/>
      </c>
      <c r="C1410" s="21" t="str">
        <f>_xll.RssMarket(A1410,"現在値")</f>
        <v/>
      </c>
      <c r="D1410" s="20" t="str">
        <f>_xll.RssMarket(A1410,"現在値詳細時刻")</f>
        <v/>
      </c>
      <c r="E1410" s="22" t="str">
        <f>_xll.RssMarket(A1410,"前日比")</f>
        <v/>
      </c>
      <c r="F1410" s="23" t="e">
        <f>_xll.RssMarket(A1410,"前日比率")/100</f>
        <v>#VALUE!</v>
      </c>
      <c r="G1410" s="24" t="str">
        <f>IFERROR(VLOOKUP(A1410,取得元!$A$2:$F$501,2,FALSE),"-")</f>
        <v>-</v>
      </c>
      <c r="H1410" s="24" t="str">
        <f>IFERROR(VLOOKUP(A1410,取得元!$A$2:$F$501,3,FALSE),"-")</f>
        <v>-</v>
      </c>
      <c r="I1410" s="24" t="str">
        <f>IFERROR(VLOOKUP(A1410,取得元!$A$2:$F$501,4,FALSE),"-")</f>
        <v>-</v>
      </c>
      <c r="J1410" s="5" t="str">
        <f>IFERROR(VLOOKUP(A1410,取得元!$A$2:$F$501,5,FALSE),"-")</f>
        <v>-</v>
      </c>
      <c r="K1410" s="25" t="str">
        <f>IFERROR(VLOOKUP(A1410,取得元!$A$2:$F$501,6,FALSE)/100,"-")</f>
        <v>-</v>
      </c>
      <c r="L1410" s="21" t="str">
        <f>_xll.RssMarket(A1410,"始値")</f>
        <v/>
      </c>
      <c r="M1410" s="4" t="e">
        <f t="shared" si="120"/>
        <v>#VALUE!</v>
      </c>
      <c r="N1410" s="21" t="str">
        <f>_xll.RssMarket(A1410,"高値")</f>
        <v/>
      </c>
      <c r="O1410" s="4" t="e">
        <f t="shared" si="121"/>
        <v>#VALUE!</v>
      </c>
      <c r="P1410" s="21" t="str">
        <f>_xll.RssMarket(A1410,"安値")</f>
        <v/>
      </c>
      <c r="Q1410" s="4" t="e">
        <f t="shared" si="122"/>
        <v>#VALUE!</v>
      </c>
      <c r="R1410" s="21" t="str">
        <f>_xll.RssMarket(A1410,"後場始値")</f>
        <v/>
      </c>
      <c r="S1410" s="25" t="str">
        <f t="shared" si="123"/>
        <v>-</v>
      </c>
      <c r="T1410" s="7" t="str">
        <f>_xll.RssMarket(A1410,"出来高加重平均")</f>
        <v/>
      </c>
      <c r="U1410" s="4" t="e">
        <f t="shared" si="124"/>
        <v>#VALUE!</v>
      </c>
      <c r="V1410" s="21" t="str">
        <f>_xll.RssMarket(A1410,"出来高")</f>
        <v/>
      </c>
      <c r="W1410" s="21" t="str">
        <f>_xll.RssMarket(A1410,"売買代金")</f>
        <v/>
      </c>
      <c r="X1410" s="20" t="str">
        <f>_xll.RssMarket(A1410,"決算発表日")</f>
        <v/>
      </c>
      <c r="Y1410" s="26" t="str">
        <f>IF(C1410&gt;_xll.RssMarket(A1410,"年初来高値"),"○","×")</f>
        <v>×</v>
      </c>
      <c r="Z1410" s="27" t="str">
        <f>IF(C1410&lt;=_xll.RssMarket(A1410,"年初来安値"),"○","×")</f>
        <v>○</v>
      </c>
    </row>
    <row r="1411" spans="2:26" x14ac:dyDescent="0.55000000000000004">
      <c r="B1411" s="20" t="str">
        <f>_xll.RssMarket(A1411,"銘柄名称")</f>
        <v/>
      </c>
      <c r="C1411" s="21" t="str">
        <f>_xll.RssMarket(A1411,"現在値")</f>
        <v/>
      </c>
      <c r="D1411" s="20" t="str">
        <f>_xll.RssMarket(A1411,"現在値詳細時刻")</f>
        <v/>
      </c>
      <c r="E1411" s="22" t="str">
        <f>_xll.RssMarket(A1411,"前日比")</f>
        <v/>
      </c>
      <c r="F1411" s="23" t="e">
        <f>_xll.RssMarket(A1411,"前日比率")/100</f>
        <v>#VALUE!</v>
      </c>
      <c r="G1411" s="24" t="str">
        <f>IFERROR(VLOOKUP(A1411,取得元!$A$2:$F$501,2,FALSE),"-")</f>
        <v>-</v>
      </c>
      <c r="H1411" s="24" t="str">
        <f>IFERROR(VLOOKUP(A1411,取得元!$A$2:$F$501,3,FALSE),"-")</f>
        <v>-</v>
      </c>
      <c r="I1411" s="24" t="str">
        <f>IFERROR(VLOOKUP(A1411,取得元!$A$2:$F$501,4,FALSE),"-")</f>
        <v>-</v>
      </c>
      <c r="J1411" s="5" t="str">
        <f>IFERROR(VLOOKUP(A1411,取得元!$A$2:$F$501,5,FALSE),"-")</f>
        <v>-</v>
      </c>
      <c r="K1411" s="25" t="str">
        <f>IFERROR(VLOOKUP(A1411,取得元!$A$2:$F$501,6,FALSE)/100,"-")</f>
        <v>-</v>
      </c>
      <c r="L1411" s="21" t="str">
        <f>_xll.RssMarket(A1411,"始値")</f>
        <v/>
      </c>
      <c r="M1411" s="4" t="e">
        <f t="shared" si="120"/>
        <v>#VALUE!</v>
      </c>
      <c r="N1411" s="21" t="str">
        <f>_xll.RssMarket(A1411,"高値")</f>
        <v/>
      </c>
      <c r="O1411" s="4" t="e">
        <f t="shared" si="121"/>
        <v>#VALUE!</v>
      </c>
      <c r="P1411" s="21" t="str">
        <f>_xll.RssMarket(A1411,"安値")</f>
        <v/>
      </c>
      <c r="Q1411" s="4" t="e">
        <f t="shared" si="122"/>
        <v>#VALUE!</v>
      </c>
      <c r="R1411" s="21" t="str">
        <f>_xll.RssMarket(A1411,"後場始値")</f>
        <v/>
      </c>
      <c r="S1411" s="25" t="str">
        <f t="shared" si="123"/>
        <v>-</v>
      </c>
      <c r="T1411" s="7" t="str">
        <f>_xll.RssMarket(A1411,"出来高加重平均")</f>
        <v/>
      </c>
      <c r="U1411" s="4" t="e">
        <f t="shared" si="124"/>
        <v>#VALUE!</v>
      </c>
      <c r="V1411" s="21" t="str">
        <f>_xll.RssMarket(A1411,"出来高")</f>
        <v/>
      </c>
      <c r="W1411" s="21" t="str">
        <f>_xll.RssMarket(A1411,"売買代金")</f>
        <v/>
      </c>
      <c r="X1411" s="20" t="str">
        <f>_xll.RssMarket(A1411,"決算発表日")</f>
        <v/>
      </c>
      <c r="Y1411" s="26" t="str">
        <f>IF(C1411&gt;_xll.RssMarket(A1411,"年初来高値"),"○","×")</f>
        <v>×</v>
      </c>
      <c r="Z1411" s="27" t="str">
        <f>IF(C1411&lt;=_xll.RssMarket(A1411,"年初来安値"),"○","×")</f>
        <v>○</v>
      </c>
    </row>
    <row r="1412" spans="2:26" x14ac:dyDescent="0.55000000000000004">
      <c r="B1412" s="20" t="str">
        <f>_xll.RssMarket(A1412,"銘柄名称")</f>
        <v/>
      </c>
      <c r="C1412" s="21" t="str">
        <f>_xll.RssMarket(A1412,"現在値")</f>
        <v/>
      </c>
      <c r="D1412" s="20" t="str">
        <f>_xll.RssMarket(A1412,"現在値詳細時刻")</f>
        <v/>
      </c>
      <c r="E1412" s="22" t="str">
        <f>_xll.RssMarket(A1412,"前日比")</f>
        <v/>
      </c>
      <c r="F1412" s="23" t="e">
        <f>_xll.RssMarket(A1412,"前日比率")/100</f>
        <v>#VALUE!</v>
      </c>
      <c r="G1412" s="24" t="str">
        <f>IFERROR(VLOOKUP(A1412,取得元!$A$2:$F$501,2,FALSE),"-")</f>
        <v>-</v>
      </c>
      <c r="H1412" s="24" t="str">
        <f>IFERROR(VLOOKUP(A1412,取得元!$A$2:$F$501,3,FALSE),"-")</f>
        <v>-</v>
      </c>
      <c r="I1412" s="24" t="str">
        <f>IFERROR(VLOOKUP(A1412,取得元!$A$2:$F$501,4,FALSE),"-")</f>
        <v>-</v>
      </c>
      <c r="J1412" s="5" t="str">
        <f>IFERROR(VLOOKUP(A1412,取得元!$A$2:$F$501,5,FALSE),"-")</f>
        <v>-</v>
      </c>
      <c r="K1412" s="25" t="str">
        <f>IFERROR(VLOOKUP(A1412,取得元!$A$2:$F$501,6,FALSE)/100,"-")</f>
        <v>-</v>
      </c>
      <c r="L1412" s="21" t="str">
        <f>_xll.RssMarket(A1412,"始値")</f>
        <v/>
      </c>
      <c r="M1412" s="4" t="e">
        <f t="shared" si="120"/>
        <v>#VALUE!</v>
      </c>
      <c r="N1412" s="21" t="str">
        <f>_xll.RssMarket(A1412,"高値")</f>
        <v/>
      </c>
      <c r="O1412" s="4" t="e">
        <f t="shared" si="121"/>
        <v>#VALUE!</v>
      </c>
      <c r="P1412" s="21" t="str">
        <f>_xll.RssMarket(A1412,"安値")</f>
        <v/>
      </c>
      <c r="Q1412" s="4" t="e">
        <f t="shared" si="122"/>
        <v>#VALUE!</v>
      </c>
      <c r="R1412" s="21" t="str">
        <f>_xll.RssMarket(A1412,"後場始値")</f>
        <v/>
      </c>
      <c r="S1412" s="25" t="str">
        <f t="shared" si="123"/>
        <v>-</v>
      </c>
      <c r="T1412" s="7" t="str">
        <f>_xll.RssMarket(A1412,"出来高加重平均")</f>
        <v/>
      </c>
      <c r="U1412" s="4" t="e">
        <f t="shared" si="124"/>
        <v>#VALUE!</v>
      </c>
      <c r="V1412" s="21" t="str">
        <f>_xll.RssMarket(A1412,"出来高")</f>
        <v/>
      </c>
      <c r="W1412" s="21" t="str">
        <f>_xll.RssMarket(A1412,"売買代金")</f>
        <v/>
      </c>
      <c r="X1412" s="20" t="str">
        <f>_xll.RssMarket(A1412,"決算発表日")</f>
        <v/>
      </c>
      <c r="Y1412" s="26" t="str">
        <f>IF(C1412&gt;_xll.RssMarket(A1412,"年初来高値"),"○","×")</f>
        <v>×</v>
      </c>
      <c r="Z1412" s="27" t="str">
        <f>IF(C1412&lt;=_xll.RssMarket(A1412,"年初来安値"),"○","×")</f>
        <v>○</v>
      </c>
    </row>
    <row r="1413" spans="2:26" x14ac:dyDescent="0.55000000000000004">
      <c r="B1413" s="20" t="str">
        <f>_xll.RssMarket(A1413,"銘柄名称")</f>
        <v/>
      </c>
      <c r="C1413" s="21" t="str">
        <f>_xll.RssMarket(A1413,"現在値")</f>
        <v/>
      </c>
      <c r="D1413" s="20" t="str">
        <f>_xll.RssMarket(A1413,"現在値詳細時刻")</f>
        <v/>
      </c>
      <c r="E1413" s="22" t="str">
        <f>_xll.RssMarket(A1413,"前日比")</f>
        <v/>
      </c>
      <c r="F1413" s="23" t="e">
        <f>_xll.RssMarket(A1413,"前日比率")/100</f>
        <v>#VALUE!</v>
      </c>
      <c r="G1413" s="24" t="str">
        <f>IFERROR(VLOOKUP(A1413,取得元!$A$2:$F$501,2,FALSE),"-")</f>
        <v>-</v>
      </c>
      <c r="H1413" s="24" t="str">
        <f>IFERROR(VLOOKUP(A1413,取得元!$A$2:$F$501,3,FALSE),"-")</f>
        <v>-</v>
      </c>
      <c r="I1413" s="24" t="str">
        <f>IFERROR(VLOOKUP(A1413,取得元!$A$2:$F$501,4,FALSE),"-")</f>
        <v>-</v>
      </c>
      <c r="J1413" s="5" t="str">
        <f>IFERROR(VLOOKUP(A1413,取得元!$A$2:$F$501,5,FALSE),"-")</f>
        <v>-</v>
      </c>
      <c r="K1413" s="25" t="str">
        <f>IFERROR(VLOOKUP(A1413,取得元!$A$2:$F$501,6,FALSE)/100,"-")</f>
        <v>-</v>
      </c>
      <c r="L1413" s="21" t="str">
        <f>_xll.RssMarket(A1413,"始値")</f>
        <v/>
      </c>
      <c r="M1413" s="4" t="e">
        <f t="shared" si="120"/>
        <v>#VALUE!</v>
      </c>
      <c r="N1413" s="21" t="str">
        <f>_xll.RssMarket(A1413,"高値")</f>
        <v/>
      </c>
      <c r="O1413" s="4" t="e">
        <f t="shared" si="121"/>
        <v>#VALUE!</v>
      </c>
      <c r="P1413" s="21" t="str">
        <f>_xll.RssMarket(A1413,"安値")</f>
        <v/>
      </c>
      <c r="Q1413" s="4" t="e">
        <f t="shared" si="122"/>
        <v>#VALUE!</v>
      </c>
      <c r="R1413" s="21" t="str">
        <f>_xll.RssMarket(A1413,"後場始値")</f>
        <v/>
      </c>
      <c r="S1413" s="25" t="str">
        <f t="shared" si="123"/>
        <v>-</v>
      </c>
      <c r="T1413" s="7" t="str">
        <f>_xll.RssMarket(A1413,"出来高加重平均")</f>
        <v/>
      </c>
      <c r="U1413" s="4" t="e">
        <f t="shared" si="124"/>
        <v>#VALUE!</v>
      </c>
      <c r="V1413" s="21" t="str">
        <f>_xll.RssMarket(A1413,"出来高")</f>
        <v/>
      </c>
      <c r="W1413" s="21" t="str">
        <f>_xll.RssMarket(A1413,"売買代金")</f>
        <v/>
      </c>
      <c r="X1413" s="20" t="str">
        <f>_xll.RssMarket(A1413,"決算発表日")</f>
        <v/>
      </c>
      <c r="Y1413" s="26" t="str">
        <f>IF(C1413&gt;_xll.RssMarket(A1413,"年初来高値"),"○","×")</f>
        <v>×</v>
      </c>
      <c r="Z1413" s="27" t="str">
        <f>IF(C1413&lt;=_xll.RssMarket(A1413,"年初来安値"),"○","×")</f>
        <v>○</v>
      </c>
    </row>
    <row r="1414" spans="2:26" x14ac:dyDescent="0.55000000000000004">
      <c r="B1414" s="20" t="str">
        <f>_xll.RssMarket(A1414,"銘柄名称")</f>
        <v/>
      </c>
      <c r="C1414" s="21" t="str">
        <f>_xll.RssMarket(A1414,"現在値")</f>
        <v/>
      </c>
      <c r="D1414" s="20" t="str">
        <f>_xll.RssMarket(A1414,"現在値詳細時刻")</f>
        <v/>
      </c>
      <c r="E1414" s="22" t="str">
        <f>_xll.RssMarket(A1414,"前日比")</f>
        <v/>
      </c>
      <c r="F1414" s="23" t="e">
        <f>_xll.RssMarket(A1414,"前日比率")/100</f>
        <v>#VALUE!</v>
      </c>
      <c r="G1414" s="24" t="str">
        <f>IFERROR(VLOOKUP(A1414,取得元!$A$2:$F$501,2,FALSE),"-")</f>
        <v>-</v>
      </c>
      <c r="H1414" s="24" t="str">
        <f>IFERROR(VLOOKUP(A1414,取得元!$A$2:$F$501,3,FALSE),"-")</f>
        <v>-</v>
      </c>
      <c r="I1414" s="24" t="str">
        <f>IFERROR(VLOOKUP(A1414,取得元!$A$2:$F$501,4,FALSE),"-")</f>
        <v>-</v>
      </c>
      <c r="J1414" s="5" t="str">
        <f>IFERROR(VLOOKUP(A1414,取得元!$A$2:$F$501,5,FALSE),"-")</f>
        <v>-</v>
      </c>
      <c r="K1414" s="25" t="str">
        <f>IFERROR(VLOOKUP(A1414,取得元!$A$2:$F$501,6,FALSE)/100,"-")</f>
        <v>-</v>
      </c>
      <c r="L1414" s="21" t="str">
        <f>_xll.RssMarket(A1414,"始値")</f>
        <v/>
      </c>
      <c r="M1414" s="4" t="e">
        <f t="shared" si="120"/>
        <v>#VALUE!</v>
      </c>
      <c r="N1414" s="21" t="str">
        <f>_xll.RssMarket(A1414,"高値")</f>
        <v/>
      </c>
      <c r="O1414" s="4" t="e">
        <f t="shared" si="121"/>
        <v>#VALUE!</v>
      </c>
      <c r="P1414" s="21" t="str">
        <f>_xll.RssMarket(A1414,"安値")</f>
        <v/>
      </c>
      <c r="Q1414" s="4" t="e">
        <f t="shared" si="122"/>
        <v>#VALUE!</v>
      </c>
      <c r="R1414" s="21" t="str">
        <f>_xll.RssMarket(A1414,"後場始値")</f>
        <v/>
      </c>
      <c r="S1414" s="25" t="str">
        <f t="shared" si="123"/>
        <v>-</v>
      </c>
      <c r="T1414" s="7" t="str">
        <f>_xll.RssMarket(A1414,"出来高加重平均")</f>
        <v/>
      </c>
      <c r="U1414" s="4" t="e">
        <f t="shared" si="124"/>
        <v>#VALUE!</v>
      </c>
      <c r="V1414" s="21" t="str">
        <f>_xll.RssMarket(A1414,"出来高")</f>
        <v/>
      </c>
      <c r="W1414" s="21" t="str">
        <f>_xll.RssMarket(A1414,"売買代金")</f>
        <v/>
      </c>
      <c r="X1414" s="20" t="str">
        <f>_xll.RssMarket(A1414,"決算発表日")</f>
        <v/>
      </c>
      <c r="Y1414" s="26" t="str">
        <f>IF(C1414&gt;_xll.RssMarket(A1414,"年初来高値"),"○","×")</f>
        <v>×</v>
      </c>
      <c r="Z1414" s="27" t="str">
        <f>IF(C1414&lt;=_xll.RssMarket(A1414,"年初来安値"),"○","×")</f>
        <v>○</v>
      </c>
    </row>
    <row r="1415" spans="2:26" x14ac:dyDescent="0.55000000000000004">
      <c r="B1415" s="20" t="str">
        <f>_xll.RssMarket(A1415,"銘柄名称")</f>
        <v/>
      </c>
      <c r="C1415" s="21" t="str">
        <f>_xll.RssMarket(A1415,"現在値")</f>
        <v/>
      </c>
      <c r="D1415" s="20" t="str">
        <f>_xll.RssMarket(A1415,"現在値詳細時刻")</f>
        <v/>
      </c>
      <c r="E1415" s="22" t="str">
        <f>_xll.RssMarket(A1415,"前日比")</f>
        <v/>
      </c>
      <c r="F1415" s="23" t="e">
        <f>_xll.RssMarket(A1415,"前日比率")/100</f>
        <v>#VALUE!</v>
      </c>
      <c r="G1415" s="24" t="str">
        <f>IFERROR(VLOOKUP(A1415,取得元!$A$2:$F$501,2,FALSE),"-")</f>
        <v>-</v>
      </c>
      <c r="H1415" s="24" t="str">
        <f>IFERROR(VLOOKUP(A1415,取得元!$A$2:$F$501,3,FALSE),"-")</f>
        <v>-</v>
      </c>
      <c r="I1415" s="24" t="str">
        <f>IFERROR(VLOOKUP(A1415,取得元!$A$2:$F$501,4,FALSE),"-")</f>
        <v>-</v>
      </c>
      <c r="J1415" s="5" t="str">
        <f>IFERROR(VLOOKUP(A1415,取得元!$A$2:$F$501,5,FALSE),"-")</f>
        <v>-</v>
      </c>
      <c r="K1415" s="25" t="str">
        <f>IFERROR(VLOOKUP(A1415,取得元!$A$2:$F$501,6,FALSE)/100,"-")</f>
        <v>-</v>
      </c>
      <c r="L1415" s="21" t="str">
        <f>_xll.RssMarket(A1415,"始値")</f>
        <v/>
      </c>
      <c r="M1415" s="4" t="e">
        <f t="shared" si="120"/>
        <v>#VALUE!</v>
      </c>
      <c r="N1415" s="21" t="str">
        <f>_xll.RssMarket(A1415,"高値")</f>
        <v/>
      </c>
      <c r="O1415" s="4" t="e">
        <f t="shared" si="121"/>
        <v>#VALUE!</v>
      </c>
      <c r="P1415" s="21" t="str">
        <f>_xll.RssMarket(A1415,"安値")</f>
        <v/>
      </c>
      <c r="Q1415" s="4" t="e">
        <f t="shared" si="122"/>
        <v>#VALUE!</v>
      </c>
      <c r="R1415" s="21" t="str">
        <f>_xll.RssMarket(A1415,"後場始値")</f>
        <v/>
      </c>
      <c r="S1415" s="25" t="str">
        <f t="shared" si="123"/>
        <v>-</v>
      </c>
      <c r="T1415" s="7" t="str">
        <f>_xll.RssMarket(A1415,"出来高加重平均")</f>
        <v/>
      </c>
      <c r="U1415" s="4" t="e">
        <f t="shared" si="124"/>
        <v>#VALUE!</v>
      </c>
      <c r="V1415" s="21" t="str">
        <f>_xll.RssMarket(A1415,"出来高")</f>
        <v/>
      </c>
      <c r="W1415" s="21" t="str">
        <f>_xll.RssMarket(A1415,"売買代金")</f>
        <v/>
      </c>
      <c r="X1415" s="20" t="str">
        <f>_xll.RssMarket(A1415,"決算発表日")</f>
        <v/>
      </c>
      <c r="Y1415" s="26" t="str">
        <f>IF(C1415&gt;_xll.RssMarket(A1415,"年初来高値"),"○","×")</f>
        <v>×</v>
      </c>
      <c r="Z1415" s="27" t="str">
        <f>IF(C1415&lt;=_xll.RssMarket(A1415,"年初来安値"),"○","×")</f>
        <v>○</v>
      </c>
    </row>
    <row r="1416" spans="2:26" x14ac:dyDescent="0.55000000000000004">
      <c r="B1416" s="20" t="str">
        <f>_xll.RssMarket(A1416,"銘柄名称")</f>
        <v/>
      </c>
      <c r="C1416" s="21" t="str">
        <f>_xll.RssMarket(A1416,"現在値")</f>
        <v/>
      </c>
      <c r="D1416" s="20" t="str">
        <f>_xll.RssMarket(A1416,"現在値詳細時刻")</f>
        <v/>
      </c>
      <c r="E1416" s="22" t="str">
        <f>_xll.RssMarket(A1416,"前日比")</f>
        <v/>
      </c>
      <c r="F1416" s="23" t="e">
        <f>_xll.RssMarket(A1416,"前日比率")/100</f>
        <v>#VALUE!</v>
      </c>
      <c r="G1416" s="24" t="str">
        <f>IFERROR(VLOOKUP(A1416,取得元!$A$2:$F$501,2,FALSE),"-")</f>
        <v>-</v>
      </c>
      <c r="H1416" s="24" t="str">
        <f>IFERROR(VLOOKUP(A1416,取得元!$A$2:$F$501,3,FALSE),"-")</f>
        <v>-</v>
      </c>
      <c r="I1416" s="24" t="str">
        <f>IFERROR(VLOOKUP(A1416,取得元!$A$2:$F$501,4,FALSE),"-")</f>
        <v>-</v>
      </c>
      <c r="J1416" s="5" t="str">
        <f>IFERROR(VLOOKUP(A1416,取得元!$A$2:$F$501,5,FALSE),"-")</f>
        <v>-</v>
      </c>
      <c r="K1416" s="25" t="str">
        <f>IFERROR(VLOOKUP(A1416,取得元!$A$2:$F$501,6,FALSE)/100,"-")</f>
        <v>-</v>
      </c>
      <c r="L1416" s="21" t="str">
        <f>_xll.RssMarket(A1416,"始値")</f>
        <v/>
      </c>
      <c r="M1416" s="4" t="e">
        <f t="shared" si="120"/>
        <v>#VALUE!</v>
      </c>
      <c r="N1416" s="21" t="str">
        <f>_xll.RssMarket(A1416,"高値")</f>
        <v/>
      </c>
      <c r="O1416" s="4" t="e">
        <f t="shared" si="121"/>
        <v>#VALUE!</v>
      </c>
      <c r="P1416" s="21" t="str">
        <f>_xll.RssMarket(A1416,"安値")</f>
        <v/>
      </c>
      <c r="Q1416" s="4" t="e">
        <f t="shared" si="122"/>
        <v>#VALUE!</v>
      </c>
      <c r="R1416" s="21" t="str">
        <f>_xll.RssMarket(A1416,"後場始値")</f>
        <v/>
      </c>
      <c r="S1416" s="25" t="str">
        <f t="shared" si="123"/>
        <v>-</v>
      </c>
      <c r="T1416" s="7" t="str">
        <f>_xll.RssMarket(A1416,"出来高加重平均")</f>
        <v/>
      </c>
      <c r="U1416" s="4" t="e">
        <f t="shared" si="124"/>
        <v>#VALUE!</v>
      </c>
      <c r="V1416" s="21" t="str">
        <f>_xll.RssMarket(A1416,"出来高")</f>
        <v/>
      </c>
      <c r="W1416" s="21" t="str">
        <f>_xll.RssMarket(A1416,"売買代金")</f>
        <v/>
      </c>
      <c r="X1416" s="20" t="str">
        <f>_xll.RssMarket(A1416,"決算発表日")</f>
        <v/>
      </c>
      <c r="Y1416" s="26" t="str">
        <f>IF(C1416&gt;_xll.RssMarket(A1416,"年初来高値"),"○","×")</f>
        <v>×</v>
      </c>
      <c r="Z1416" s="27" t="str">
        <f>IF(C1416&lt;=_xll.RssMarket(A1416,"年初来安値"),"○","×")</f>
        <v>○</v>
      </c>
    </row>
    <row r="1417" spans="2:26" x14ac:dyDescent="0.55000000000000004">
      <c r="B1417" s="20" t="str">
        <f>_xll.RssMarket(A1417,"銘柄名称")</f>
        <v/>
      </c>
      <c r="C1417" s="21" t="str">
        <f>_xll.RssMarket(A1417,"現在値")</f>
        <v/>
      </c>
      <c r="D1417" s="20" t="str">
        <f>_xll.RssMarket(A1417,"現在値詳細時刻")</f>
        <v/>
      </c>
      <c r="E1417" s="22" t="str">
        <f>_xll.RssMarket(A1417,"前日比")</f>
        <v/>
      </c>
      <c r="F1417" s="23" t="e">
        <f>_xll.RssMarket(A1417,"前日比率")/100</f>
        <v>#VALUE!</v>
      </c>
      <c r="G1417" s="24" t="str">
        <f>IFERROR(VLOOKUP(A1417,取得元!$A$2:$F$501,2,FALSE),"-")</f>
        <v>-</v>
      </c>
      <c r="H1417" s="24" t="str">
        <f>IFERROR(VLOOKUP(A1417,取得元!$A$2:$F$501,3,FALSE),"-")</f>
        <v>-</v>
      </c>
      <c r="I1417" s="24" t="str">
        <f>IFERROR(VLOOKUP(A1417,取得元!$A$2:$F$501,4,FALSE),"-")</f>
        <v>-</v>
      </c>
      <c r="J1417" s="5" t="str">
        <f>IFERROR(VLOOKUP(A1417,取得元!$A$2:$F$501,5,FALSE),"-")</f>
        <v>-</v>
      </c>
      <c r="K1417" s="25" t="str">
        <f>IFERROR(VLOOKUP(A1417,取得元!$A$2:$F$501,6,FALSE)/100,"-")</f>
        <v>-</v>
      </c>
      <c r="L1417" s="21" t="str">
        <f>_xll.RssMarket(A1417,"始値")</f>
        <v/>
      </c>
      <c r="M1417" s="4" t="e">
        <f t="shared" si="120"/>
        <v>#VALUE!</v>
      </c>
      <c r="N1417" s="21" t="str">
        <f>_xll.RssMarket(A1417,"高値")</f>
        <v/>
      </c>
      <c r="O1417" s="4" t="e">
        <f t="shared" si="121"/>
        <v>#VALUE!</v>
      </c>
      <c r="P1417" s="21" t="str">
        <f>_xll.RssMarket(A1417,"安値")</f>
        <v/>
      </c>
      <c r="Q1417" s="4" t="e">
        <f t="shared" si="122"/>
        <v>#VALUE!</v>
      </c>
      <c r="R1417" s="21" t="str">
        <f>_xll.RssMarket(A1417,"後場始値")</f>
        <v/>
      </c>
      <c r="S1417" s="25" t="str">
        <f t="shared" si="123"/>
        <v>-</v>
      </c>
      <c r="T1417" s="7" t="str">
        <f>_xll.RssMarket(A1417,"出来高加重平均")</f>
        <v/>
      </c>
      <c r="U1417" s="4" t="e">
        <f t="shared" si="124"/>
        <v>#VALUE!</v>
      </c>
      <c r="V1417" s="21" t="str">
        <f>_xll.RssMarket(A1417,"出来高")</f>
        <v/>
      </c>
      <c r="W1417" s="21" t="str">
        <f>_xll.RssMarket(A1417,"売買代金")</f>
        <v/>
      </c>
      <c r="X1417" s="20" t="str">
        <f>_xll.RssMarket(A1417,"決算発表日")</f>
        <v/>
      </c>
      <c r="Y1417" s="26" t="str">
        <f>IF(C1417&gt;_xll.RssMarket(A1417,"年初来高値"),"○","×")</f>
        <v>×</v>
      </c>
      <c r="Z1417" s="27" t="str">
        <f>IF(C1417&lt;=_xll.RssMarket(A1417,"年初来安値"),"○","×")</f>
        <v>○</v>
      </c>
    </row>
    <row r="1418" spans="2:26" x14ac:dyDescent="0.55000000000000004">
      <c r="B1418" s="20" t="str">
        <f>_xll.RssMarket(A1418,"銘柄名称")</f>
        <v/>
      </c>
      <c r="C1418" s="21" t="str">
        <f>_xll.RssMarket(A1418,"現在値")</f>
        <v/>
      </c>
      <c r="D1418" s="20" t="str">
        <f>_xll.RssMarket(A1418,"現在値詳細時刻")</f>
        <v/>
      </c>
      <c r="E1418" s="22" t="str">
        <f>_xll.RssMarket(A1418,"前日比")</f>
        <v/>
      </c>
      <c r="F1418" s="23" t="e">
        <f>_xll.RssMarket(A1418,"前日比率")/100</f>
        <v>#VALUE!</v>
      </c>
      <c r="G1418" s="24" t="str">
        <f>IFERROR(VLOOKUP(A1418,取得元!$A$2:$F$501,2,FALSE),"-")</f>
        <v>-</v>
      </c>
      <c r="H1418" s="24" t="str">
        <f>IFERROR(VLOOKUP(A1418,取得元!$A$2:$F$501,3,FALSE),"-")</f>
        <v>-</v>
      </c>
      <c r="I1418" s="24" t="str">
        <f>IFERROR(VLOOKUP(A1418,取得元!$A$2:$F$501,4,FALSE),"-")</f>
        <v>-</v>
      </c>
      <c r="J1418" s="5" t="str">
        <f>IFERROR(VLOOKUP(A1418,取得元!$A$2:$F$501,5,FALSE),"-")</f>
        <v>-</v>
      </c>
      <c r="K1418" s="25" t="str">
        <f>IFERROR(VLOOKUP(A1418,取得元!$A$2:$F$501,6,FALSE)/100,"-")</f>
        <v>-</v>
      </c>
      <c r="L1418" s="21" t="str">
        <f>_xll.RssMarket(A1418,"始値")</f>
        <v/>
      </c>
      <c r="M1418" s="4" t="e">
        <f t="shared" si="120"/>
        <v>#VALUE!</v>
      </c>
      <c r="N1418" s="21" t="str">
        <f>_xll.RssMarket(A1418,"高値")</f>
        <v/>
      </c>
      <c r="O1418" s="4" t="e">
        <f t="shared" si="121"/>
        <v>#VALUE!</v>
      </c>
      <c r="P1418" s="21" t="str">
        <f>_xll.RssMarket(A1418,"安値")</f>
        <v/>
      </c>
      <c r="Q1418" s="4" t="e">
        <f t="shared" si="122"/>
        <v>#VALUE!</v>
      </c>
      <c r="R1418" s="21" t="str">
        <f>_xll.RssMarket(A1418,"後場始値")</f>
        <v/>
      </c>
      <c r="S1418" s="25" t="str">
        <f t="shared" si="123"/>
        <v>-</v>
      </c>
      <c r="T1418" s="7" t="str">
        <f>_xll.RssMarket(A1418,"出来高加重平均")</f>
        <v/>
      </c>
      <c r="U1418" s="4" t="e">
        <f t="shared" si="124"/>
        <v>#VALUE!</v>
      </c>
      <c r="V1418" s="21" t="str">
        <f>_xll.RssMarket(A1418,"出来高")</f>
        <v/>
      </c>
      <c r="W1418" s="21" t="str">
        <f>_xll.RssMarket(A1418,"売買代金")</f>
        <v/>
      </c>
      <c r="X1418" s="20" t="str">
        <f>_xll.RssMarket(A1418,"決算発表日")</f>
        <v/>
      </c>
      <c r="Y1418" s="26" t="str">
        <f>IF(C1418&gt;_xll.RssMarket(A1418,"年初来高値"),"○","×")</f>
        <v>×</v>
      </c>
      <c r="Z1418" s="27" t="str">
        <f>IF(C1418&lt;=_xll.RssMarket(A1418,"年初来安値"),"○","×")</f>
        <v>○</v>
      </c>
    </row>
    <row r="1419" spans="2:26" x14ac:dyDescent="0.55000000000000004">
      <c r="B1419" s="20" t="str">
        <f>_xll.RssMarket(A1419,"銘柄名称")</f>
        <v/>
      </c>
      <c r="C1419" s="21" t="str">
        <f>_xll.RssMarket(A1419,"現在値")</f>
        <v/>
      </c>
      <c r="D1419" s="20" t="str">
        <f>_xll.RssMarket(A1419,"現在値詳細時刻")</f>
        <v/>
      </c>
      <c r="E1419" s="22" t="str">
        <f>_xll.RssMarket(A1419,"前日比")</f>
        <v/>
      </c>
      <c r="F1419" s="23" t="e">
        <f>_xll.RssMarket(A1419,"前日比率")/100</f>
        <v>#VALUE!</v>
      </c>
      <c r="G1419" s="24" t="str">
        <f>IFERROR(VLOOKUP(A1419,取得元!$A$2:$F$501,2,FALSE),"-")</f>
        <v>-</v>
      </c>
      <c r="H1419" s="24" t="str">
        <f>IFERROR(VLOOKUP(A1419,取得元!$A$2:$F$501,3,FALSE),"-")</f>
        <v>-</v>
      </c>
      <c r="I1419" s="24" t="str">
        <f>IFERROR(VLOOKUP(A1419,取得元!$A$2:$F$501,4,FALSE),"-")</f>
        <v>-</v>
      </c>
      <c r="J1419" s="5" t="str">
        <f>IFERROR(VLOOKUP(A1419,取得元!$A$2:$F$501,5,FALSE),"-")</f>
        <v>-</v>
      </c>
      <c r="K1419" s="25" t="str">
        <f>IFERROR(VLOOKUP(A1419,取得元!$A$2:$F$501,6,FALSE)/100,"-")</f>
        <v>-</v>
      </c>
      <c r="L1419" s="21" t="str">
        <f>_xll.RssMarket(A1419,"始値")</f>
        <v/>
      </c>
      <c r="M1419" s="4" t="e">
        <f t="shared" si="120"/>
        <v>#VALUE!</v>
      </c>
      <c r="N1419" s="21" t="str">
        <f>_xll.RssMarket(A1419,"高値")</f>
        <v/>
      </c>
      <c r="O1419" s="4" t="e">
        <f t="shared" si="121"/>
        <v>#VALUE!</v>
      </c>
      <c r="P1419" s="21" t="str">
        <f>_xll.RssMarket(A1419,"安値")</f>
        <v/>
      </c>
      <c r="Q1419" s="4" t="e">
        <f t="shared" si="122"/>
        <v>#VALUE!</v>
      </c>
      <c r="R1419" s="21" t="str">
        <f>_xll.RssMarket(A1419,"後場始値")</f>
        <v/>
      </c>
      <c r="S1419" s="25" t="str">
        <f t="shared" si="123"/>
        <v>-</v>
      </c>
      <c r="T1419" s="7" t="str">
        <f>_xll.RssMarket(A1419,"出来高加重平均")</f>
        <v/>
      </c>
      <c r="U1419" s="4" t="e">
        <f t="shared" si="124"/>
        <v>#VALUE!</v>
      </c>
      <c r="V1419" s="21" t="str">
        <f>_xll.RssMarket(A1419,"出来高")</f>
        <v/>
      </c>
      <c r="W1419" s="21" t="str">
        <f>_xll.RssMarket(A1419,"売買代金")</f>
        <v/>
      </c>
      <c r="X1419" s="20" t="str">
        <f>_xll.RssMarket(A1419,"決算発表日")</f>
        <v/>
      </c>
      <c r="Y1419" s="26" t="str">
        <f>IF(C1419&gt;_xll.RssMarket(A1419,"年初来高値"),"○","×")</f>
        <v>×</v>
      </c>
      <c r="Z1419" s="27" t="str">
        <f>IF(C1419&lt;=_xll.RssMarket(A1419,"年初来安値"),"○","×")</f>
        <v>○</v>
      </c>
    </row>
    <row r="1420" spans="2:26" x14ac:dyDescent="0.55000000000000004">
      <c r="B1420" s="20" t="str">
        <f>_xll.RssMarket(A1420,"銘柄名称")</f>
        <v/>
      </c>
      <c r="C1420" s="21" t="str">
        <f>_xll.RssMarket(A1420,"現在値")</f>
        <v/>
      </c>
      <c r="D1420" s="20" t="str">
        <f>_xll.RssMarket(A1420,"現在値詳細時刻")</f>
        <v/>
      </c>
      <c r="E1420" s="22" t="str">
        <f>_xll.RssMarket(A1420,"前日比")</f>
        <v/>
      </c>
      <c r="F1420" s="23" t="e">
        <f>_xll.RssMarket(A1420,"前日比率")/100</f>
        <v>#VALUE!</v>
      </c>
      <c r="G1420" s="24" t="str">
        <f>IFERROR(VLOOKUP(A1420,取得元!$A$2:$F$501,2,FALSE),"-")</f>
        <v>-</v>
      </c>
      <c r="H1420" s="24" t="str">
        <f>IFERROR(VLOOKUP(A1420,取得元!$A$2:$F$501,3,FALSE),"-")</f>
        <v>-</v>
      </c>
      <c r="I1420" s="24" t="str">
        <f>IFERROR(VLOOKUP(A1420,取得元!$A$2:$F$501,4,FALSE),"-")</f>
        <v>-</v>
      </c>
      <c r="J1420" s="5" t="str">
        <f>IFERROR(VLOOKUP(A1420,取得元!$A$2:$F$501,5,FALSE),"-")</f>
        <v>-</v>
      </c>
      <c r="K1420" s="25" t="str">
        <f>IFERROR(VLOOKUP(A1420,取得元!$A$2:$F$501,6,FALSE)/100,"-")</f>
        <v>-</v>
      </c>
      <c r="L1420" s="21" t="str">
        <f>_xll.RssMarket(A1420,"始値")</f>
        <v/>
      </c>
      <c r="M1420" s="4" t="e">
        <f t="shared" si="120"/>
        <v>#VALUE!</v>
      </c>
      <c r="N1420" s="21" t="str">
        <f>_xll.RssMarket(A1420,"高値")</f>
        <v/>
      </c>
      <c r="O1420" s="4" t="e">
        <f t="shared" si="121"/>
        <v>#VALUE!</v>
      </c>
      <c r="P1420" s="21" t="str">
        <f>_xll.RssMarket(A1420,"安値")</f>
        <v/>
      </c>
      <c r="Q1420" s="4" t="e">
        <f t="shared" si="122"/>
        <v>#VALUE!</v>
      </c>
      <c r="R1420" s="21" t="str">
        <f>_xll.RssMarket(A1420,"後場始値")</f>
        <v/>
      </c>
      <c r="S1420" s="25" t="str">
        <f t="shared" si="123"/>
        <v>-</v>
      </c>
      <c r="T1420" s="7" t="str">
        <f>_xll.RssMarket(A1420,"出来高加重平均")</f>
        <v/>
      </c>
      <c r="U1420" s="4" t="e">
        <f t="shared" si="124"/>
        <v>#VALUE!</v>
      </c>
      <c r="V1420" s="21" t="str">
        <f>_xll.RssMarket(A1420,"出来高")</f>
        <v/>
      </c>
      <c r="W1420" s="21" t="str">
        <f>_xll.RssMarket(A1420,"売買代金")</f>
        <v/>
      </c>
      <c r="X1420" s="20" t="str">
        <f>_xll.RssMarket(A1420,"決算発表日")</f>
        <v/>
      </c>
      <c r="Y1420" s="26" t="str">
        <f>IF(C1420&gt;_xll.RssMarket(A1420,"年初来高値"),"○","×")</f>
        <v>×</v>
      </c>
      <c r="Z1420" s="27" t="str">
        <f>IF(C1420&lt;=_xll.RssMarket(A1420,"年初来安値"),"○","×")</f>
        <v>○</v>
      </c>
    </row>
    <row r="1421" spans="2:26" x14ac:dyDescent="0.55000000000000004">
      <c r="B1421" s="20" t="str">
        <f>_xll.RssMarket(A1421,"銘柄名称")</f>
        <v/>
      </c>
      <c r="C1421" s="21" t="str">
        <f>_xll.RssMarket(A1421,"現在値")</f>
        <v/>
      </c>
      <c r="D1421" s="20" t="str">
        <f>_xll.RssMarket(A1421,"現在値詳細時刻")</f>
        <v/>
      </c>
      <c r="E1421" s="22" t="str">
        <f>_xll.RssMarket(A1421,"前日比")</f>
        <v/>
      </c>
      <c r="F1421" s="23" t="e">
        <f>_xll.RssMarket(A1421,"前日比率")/100</f>
        <v>#VALUE!</v>
      </c>
      <c r="G1421" s="24" t="str">
        <f>IFERROR(VLOOKUP(A1421,取得元!$A$2:$F$501,2,FALSE),"-")</f>
        <v>-</v>
      </c>
      <c r="H1421" s="24" t="str">
        <f>IFERROR(VLOOKUP(A1421,取得元!$A$2:$F$501,3,FALSE),"-")</f>
        <v>-</v>
      </c>
      <c r="I1421" s="24" t="str">
        <f>IFERROR(VLOOKUP(A1421,取得元!$A$2:$F$501,4,FALSE),"-")</f>
        <v>-</v>
      </c>
      <c r="J1421" s="5" t="str">
        <f>IFERROR(VLOOKUP(A1421,取得元!$A$2:$F$501,5,FALSE),"-")</f>
        <v>-</v>
      </c>
      <c r="K1421" s="25" t="str">
        <f>IFERROR(VLOOKUP(A1421,取得元!$A$2:$F$501,6,FALSE)/100,"-")</f>
        <v>-</v>
      </c>
      <c r="L1421" s="21" t="str">
        <f>_xll.RssMarket(A1421,"始値")</f>
        <v/>
      </c>
      <c r="M1421" s="4" t="e">
        <f t="shared" si="120"/>
        <v>#VALUE!</v>
      </c>
      <c r="N1421" s="21" t="str">
        <f>_xll.RssMarket(A1421,"高値")</f>
        <v/>
      </c>
      <c r="O1421" s="4" t="e">
        <f t="shared" si="121"/>
        <v>#VALUE!</v>
      </c>
      <c r="P1421" s="21" t="str">
        <f>_xll.RssMarket(A1421,"安値")</f>
        <v/>
      </c>
      <c r="Q1421" s="4" t="e">
        <f t="shared" si="122"/>
        <v>#VALUE!</v>
      </c>
      <c r="R1421" s="21" t="str">
        <f>_xll.RssMarket(A1421,"後場始値")</f>
        <v/>
      </c>
      <c r="S1421" s="25" t="str">
        <f t="shared" si="123"/>
        <v>-</v>
      </c>
      <c r="T1421" s="7" t="str">
        <f>_xll.RssMarket(A1421,"出来高加重平均")</f>
        <v/>
      </c>
      <c r="U1421" s="4" t="e">
        <f t="shared" si="124"/>
        <v>#VALUE!</v>
      </c>
      <c r="V1421" s="21" t="str">
        <f>_xll.RssMarket(A1421,"出来高")</f>
        <v/>
      </c>
      <c r="W1421" s="21" t="str">
        <f>_xll.RssMarket(A1421,"売買代金")</f>
        <v/>
      </c>
      <c r="X1421" s="20" t="str">
        <f>_xll.RssMarket(A1421,"決算発表日")</f>
        <v/>
      </c>
      <c r="Y1421" s="26" t="str">
        <f>IF(C1421&gt;_xll.RssMarket(A1421,"年初来高値"),"○","×")</f>
        <v>×</v>
      </c>
      <c r="Z1421" s="27" t="str">
        <f>IF(C1421&lt;=_xll.RssMarket(A1421,"年初来安値"),"○","×")</f>
        <v>○</v>
      </c>
    </row>
    <row r="1422" spans="2:26" x14ac:dyDescent="0.55000000000000004">
      <c r="B1422" s="20" t="str">
        <f>_xll.RssMarket(A1422,"銘柄名称")</f>
        <v/>
      </c>
      <c r="C1422" s="21" t="str">
        <f>_xll.RssMarket(A1422,"現在値")</f>
        <v/>
      </c>
      <c r="D1422" s="20" t="str">
        <f>_xll.RssMarket(A1422,"現在値詳細時刻")</f>
        <v/>
      </c>
      <c r="E1422" s="22" t="str">
        <f>_xll.RssMarket(A1422,"前日比")</f>
        <v/>
      </c>
      <c r="F1422" s="23" t="e">
        <f>_xll.RssMarket(A1422,"前日比率")/100</f>
        <v>#VALUE!</v>
      </c>
      <c r="G1422" s="24" t="str">
        <f>IFERROR(VLOOKUP(A1422,取得元!$A$2:$F$501,2,FALSE),"-")</f>
        <v>-</v>
      </c>
      <c r="H1422" s="24" t="str">
        <f>IFERROR(VLOOKUP(A1422,取得元!$A$2:$F$501,3,FALSE),"-")</f>
        <v>-</v>
      </c>
      <c r="I1422" s="24" t="str">
        <f>IFERROR(VLOOKUP(A1422,取得元!$A$2:$F$501,4,FALSE),"-")</f>
        <v>-</v>
      </c>
      <c r="J1422" s="5" t="str">
        <f>IFERROR(VLOOKUP(A1422,取得元!$A$2:$F$501,5,FALSE),"-")</f>
        <v>-</v>
      </c>
      <c r="K1422" s="25" t="str">
        <f>IFERROR(VLOOKUP(A1422,取得元!$A$2:$F$501,6,FALSE)/100,"-")</f>
        <v>-</v>
      </c>
      <c r="L1422" s="21" t="str">
        <f>_xll.RssMarket(A1422,"始値")</f>
        <v/>
      </c>
      <c r="M1422" s="4" t="e">
        <f t="shared" si="120"/>
        <v>#VALUE!</v>
      </c>
      <c r="N1422" s="21" t="str">
        <f>_xll.RssMarket(A1422,"高値")</f>
        <v/>
      </c>
      <c r="O1422" s="4" t="e">
        <f t="shared" si="121"/>
        <v>#VALUE!</v>
      </c>
      <c r="P1422" s="21" t="str">
        <f>_xll.RssMarket(A1422,"安値")</f>
        <v/>
      </c>
      <c r="Q1422" s="4" t="e">
        <f t="shared" si="122"/>
        <v>#VALUE!</v>
      </c>
      <c r="R1422" s="21" t="str">
        <f>_xll.RssMarket(A1422,"後場始値")</f>
        <v/>
      </c>
      <c r="S1422" s="25" t="str">
        <f t="shared" si="123"/>
        <v>-</v>
      </c>
      <c r="T1422" s="7" t="str">
        <f>_xll.RssMarket(A1422,"出来高加重平均")</f>
        <v/>
      </c>
      <c r="U1422" s="4" t="e">
        <f t="shared" si="124"/>
        <v>#VALUE!</v>
      </c>
      <c r="V1422" s="21" t="str">
        <f>_xll.RssMarket(A1422,"出来高")</f>
        <v/>
      </c>
      <c r="W1422" s="21" t="str">
        <f>_xll.RssMarket(A1422,"売買代金")</f>
        <v/>
      </c>
      <c r="X1422" s="20" t="str">
        <f>_xll.RssMarket(A1422,"決算発表日")</f>
        <v/>
      </c>
      <c r="Y1422" s="26" t="str">
        <f>IF(C1422&gt;_xll.RssMarket(A1422,"年初来高値"),"○","×")</f>
        <v>×</v>
      </c>
      <c r="Z1422" s="27" t="str">
        <f>IF(C1422&lt;=_xll.RssMarket(A1422,"年初来安値"),"○","×")</f>
        <v>○</v>
      </c>
    </row>
    <row r="1423" spans="2:26" x14ac:dyDescent="0.55000000000000004">
      <c r="B1423" s="20" t="str">
        <f>_xll.RssMarket(A1423,"銘柄名称")</f>
        <v/>
      </c>
      <c r="C1423" s="21" t="str">
        <f>_xll.RssMarket(A1423,"現在値")</f>
        <v/>
      </c>
      <c r="D1423" s="20" t="str">
        <f>_xll.RssMarket(A1423,"現在値詳細時刻")</f>
        <v/>
      </c>
      <c r="E1423" s="22" t="str">
        <f>_xll.RssMarket(A1423,"前日比")</f>
        <v/>
      </c>
      <c r="F1423" s="23" t="e">
        <f>_xll.RssMarket(A1423,"前日比率")/100</f>
        <v>#VALUE!</v>
      </c>
      <c r="G1423" s="24" t="str">
        <f>IFERROR(VLOOKUP(A1423,取得元!$A$2:$F$501,2,FALSE),"-")</f>
        <v>-</v>
      </c>
      <c r="H1423" s="24" t="str">
        <f>IFERROR(VLOOKUP(A1423,取得元!$A$2:$F$501,3,FALSE),"-")</f>
        <v>-</v>
      </c>
      <c r="I1423" s="24" t="str">
        <f>IFERROR(VLOOKUP(A1423,取得元!$A$2:$F$501,4,FALSE),"-")</f>
        <v>-</v>
      </c>
      <c r="J1423" s="5" t="str">
        <f>IFERROR(VLOOKUP(A1423,取得元!$A$2:$F$501,5,FALSE),"-")</f>
        <v>-</v>
      </c>
      <c r="K1423" s="25" t="str">
        <f>IFERROR(VLOOKUP(A1423,取得元!$A$2:$F$501,6,FALSE)/100,"-")</f>
        <v>-</v>
      </c>
      <c r="L1423" s="21" t="str">
        <f>_xll.RssMarket(A1423,"始値")</f>
        <v/>
      </c>
      <c r="M1423" s="4" t="e">
        <f t="shared" si="120"/>
        <v>#VALUE!</v>
      </c>
      <c r="N1423" s="21" t="str">
        <f>_xll.RssMarket(A1423,"高値")</f>
        <v/>
      </c>
      <c r="O1423" s="4" t="e">
        <f t="shared" si="121"/>
        <v>#VALUE!</v>
      </c>
      <c r="P1423" s="21" t="str">
        <f>_xll.RssMarket(A1423,"安値")</f>
        <v/>
      </c>
      <c r="Q1423" s="4" t="e">
        <f t="shared" si="122"/>
        <v>#VALUE!</v>
      </c>
      <c r="R1423" s="21" t="str">
        <f>_xll.RssMarket(A1423,"後場始値")</f>
        <v/>
      </c>
      <c r="S1423" s="25" t="str">
        <f t="shared" si="123"/>
        <v>-</v>
      </c>
      <c r="T1423" s="7" t="str">
        <f>_xll.RssMarket(A1423,"出来高加重平均")</f>
        <v/>
      </c>
      <c r="U1423" s="4" t="e">
        <f t="shared" si="124"/>
        <v>#VALUE!</v>
      </c>
      <c r="V1423" s="21" t="str">
        <f>_xll.RssMarket(A1423,"出来高")</f>
        <v/>
      </c>
      <c r="W1423" s="21" t="str">
        <f>_xll.RssMarket(A1423,"売買代金")</f>
        <v/>
      </c>
      <c r="X1423" s="20" t="str">
        <f>_xll.RssMarket(A1423,"決算発表日")</f>
        <v/>
      </c>
      <c r="Y1423" s="26" t="str">
        <f>IF(C1423&gt;_xll.RssMarket(A1423,"年初来高値"),"○","×")</f>
        <v>×</v>
      </c>
      <c r="Z1423" s="27" t="str">
        <f>IF(C1423&lt;=_xll.RssMarket(A1423,"年初来安値"),"○","×")</f>
        <v>○</v>
      </c>
    </row>
    <row r="1424" spans="2:26" x14ac:dyDescent="0.55000000000000004">
      <c r="B1424" s="20" t="str">
        <f>_xll.RssMarket(A1424,"銘柄名称")</f>
        <v/>
      </c>
      <c r="C1424" s="21" t="str">
        <f>_xll.RssMarket(A1424,"現在値")</f>
        <v/>
      </c>
      <c r="D1424" s="20" t="str">
        <f>_xll.RssMarket(A1424,"現在値詳細時刻")</f>
        <v/>
      </c>
      <c r="E1424" s="22" t="str">
        <f>_xll.RssMarket(A1424,"前日比")</f>
        <v/>
      </c>
      <c r="F1424" s="23" t="e">
        <f>_xll.RssMarket(A1424,"前日比率")/100</f>
        <v>#VALUE!</v>
      </c>
      <c r="G1424" s="24" t="str">
        <f>IFERROR(VLOOKUP(A1424,取得元!$A$2:$F$501,2,FALSE),"-")</f>
        <v>-</v>
      </c>
      <c r="H1424" s="24" t="str">
        <f>IFERROR(VLOOKUP(A1424,取得元!$A$2:$F$501,3,FALSE),"-")</f>
        <v>-</v>
      </c>
      <c r="I1424" s="24" t="str">
        <f>IFERROR(VLOOKUP(A1424,取得元!$A$2:$F$501,4,FALSE),"-")</f>
        <v>-</v>
      </c>
      <c r="J1424" s="5" t="str">
        <f>IFERROR(VLOOKUP(A1424,取得元!$A$2:$F$501,5,FALSE),"-")</f>
        <v>-</v>
      </c>
      <c r="K1424" s="25" t="str">
        <f>IFERROR(VLOOKUP(A1424,取得元!$A$2:$F$501,6,FALSE)/100,"-")</f>
        <v>-</v>
      </c>
      <c r="L1424" s="21" t="str">
        <f>_xll.RssMarket(A1424,"始値")</f>
        <v/>
      </c>
      <c r="M1424" s="4" t="e">
        <f t="shared" si="120"/>
        <v>#VALUE!</v>
      </c>
      <c r="N1424" s="21" t="str">
        <f>_xll.RssMarket(A1424,"高値")</f>
        <v/>
      </c>
      <c r="O1424" s="4" t="e">
        <f t="shared" si="121"/>
        <v>#VALUE!</v>
      </c>
      <c r="P1424" s="21" t="str">
        <f>_xll.RssMarket(A1424,"安値")</f>
        <v/>
      </c>
      <c r="Q1424" s="4" t="e">
        <f t="shared" si="122"/>
        <v>#VALUE!</v>
      </c>
      <c r="R1424" s="21" t="str">
        <f>_xll.RssMarket(A1424,"後場始値")</f>
        <v/>
      </c>
      <c r="S1424" s="25" t="str">
        <f t="shared" si="123"/>
        <v>-</v>
      </c>
      <c r="T1424" s="7" t="str">
        <f>_xll.RssMarket(A1424,"出来高加重平均")</f>
        <v/>
      </c>
      <c r="U1424" s="4" t="e">
        <f t="shared" si="124"/>
        <v>#VALUE!</v>
      </c>
      <c r="V1424" s="21" t="str">
        <f>_xll.RssMarket(A1424,"出来高")</f>
        <v/>
      </c>
      <c r="W1424" s="21" t="str">
        <f>_xll.RssMarket(A1424,"売買代金")</f>
        <v/>
      </c>
      <c r="X1424" s="20" t="str">
        <f>_xll.RssMarket(A1424,"決算発表日")</f>
        <v/>
      </c>
      <c r="Y1424" s="26" t="str">
        <f>IF(C1424&gt;_xll.RssMarket(A1424,"年初来高値"),"○","×")</f>
        <v>×</v>
      </c>
      <c r="Z1424" s="27" t="str">
        <f>IF(C1424&lt;=_xll.RssMarket(A1424,"年初来安値"),"○","×")</f>
        <v>○</v>
      </c>
    </row>
    <row r="1425" spans="2:26" x14ac:dyDescent="0.55000000000000004">
      <c r="B1425" s="20" t="str">
        <f>_xll.RssMarket(A1425,"銘柄名称")</f>
        <v/>
      </c>
      <c r="C1425" s="21" t="str">
        <f>_xll.RssMarket(A1425,"現在値")</f>
        <v/>
      </c>
      <c r="D1425" s="20" t="str">
        <f>_xll.RssMarket(A1425,"現在値詳細時刻")</f>
        <v/>
      </c>
      <c r="E1425" s="22" t="str">
        <f>_xll.RssMarket(A1425,"前日比")</f>
        <v/>
      </c>
      <c r="F1425" s="23" t="e">
        <f>_xll.RssMarket(A1425,"前日比率")/100</f>
        <v>#VALUE!</v>
      </c>
      <c r="G1425" s="24" t="str">
        <f>IFERROR(VLOOKUP(A1425,取得元!$A$2:$F$501,2,FALSE),"-")</f>
        <v>-</v>
      </c>
      <c r="H1425" s="24" t="str">
        <f>IFERROR(VLOOKUP(A1425,取得元!$A$2:$F$501,3,FALSE),"-")</f>
        <v>-</v>
      </c>
      <c r="I1425" s="24" t="str">
        <f>IFERROR(VLOOKUP(A1425,取得元!$A$2:$F$501,4,FALSE),"-")</f>
        <v>-</v>
      </c>
      <c r="J1425" s="5" t="str">
        <f>IFERROR(VLOOKUP(A1425,取得元!$A$2:$F$501,5,FALSE),"-")</f>
        <v>-</v>
      </c>
      <c r="K1425" s="25" t="str">
        <f>IFERROR(VLOOKUP(A1425,取得元!$A$2:$F$501,6,FALSE)/100,"-")</f>
        <v>-</v>
      </c>
      <c r="L1425" s="21" t="str">
        <f>_xll.RssMarket(A1425,"始値")</f>
        <v/>
      </c>
      <c r="M1425" s="4" t="e">
        <f t="shared" si="120"/>
        <v>#VALUE!</v>
      </c>
      <c r="N1425" s="21" t="str">
        <f>_xll.RssMarket(A1425,"高値")</f>
        <v/>
      </c>
      <c r="O1425" s="4" t="e">
        <f t="shared" si="121"/>
        <v>#VALUE!</v>
      </c>
      <c r="P1425" s="21" t="str">
        <f>_xll.RssMarket(A1425,"安値")</f>
        <v/>
      </c>
      <c r="Q1425" s="4" t="e">
        <f t="shared" si="122"/>
        <v>#VALUE!</v>
      </c>
      <c r="R1425" s="21" t="str">
        <f>_xll.RssMarket(A1425,"後場始値")</f>
        <v/>
      </c>
      <c r="S1425" s="25" t="str">
        <f t="shared" si="123"/>
        <v>-</v>
      </c>
      <c r="T1425" s="7" t="str">
        <f>_xll.RssMarket(A1425,"出来高加重平均")</f>
        <v/>
      </c>
      <c r="U1425" s="4" t="e">
        <f t="shared" si="124"/>
        <v>#VALUE!</v>
      </c>
      <c r="V1425" s="21" t="str">
        <f>_xll.RssMarket(A1425,"出来高")</f>
        <v/>
      </c>
      <c r="W1425" s="21" t="str">
        <f>_xll.RssMarket(A1425,"売買代金")</f>
        <v/>
      </c>
      <c r="X1425" s="20" t="str">
        <f>_xll.RssMarket(A1425,"決算発表日")</f>
        <v/>
      </c>
      <c r="Y1425" s="26" t="str">
        <f>IF(C1425&gt;_xll.RssMarket(A1425,"年初来高値"),"○","×")</f>
        <v>×</v>
      </c>
      <c r="Z1425" s="27" t="str">
        <f>IF(C1425&lt;=_xll.RssMarket(A1425,"年初来安値"),"○","×")</f>
        <v>○</v>
      </c>
    </row>
    <row r="1426" spans="2:26" x14ac:dyDescent="0.55000000000000004">
      <c r="B1426" s="20" t="str">
        <f>_xll.RssMarket(A1426,"銘柄名称")</f>
        <v/>
      </c>
      <c r="C1426" s="21" t="str">
        <f>_xll.RssMarket(A1426,"現在値")</f>
        <v/>
      </c>
      <c r="D1426" s="20" t="str">
        <f>_xll.RssMarket(A1426,"現在値詳細時刻")</f>
        <v/>
      </c>
      <c r="E1426" s="22" t="str">
        <f>_xll.RssMarket(A1426,"前日比")</f>
        <v/>
      </c>
      <c r="F1426" s="23" t="e">
        <f>_xll.RssMarket(A1426,"前日比率")/100</f>
        <v>#VALUE!</v>
      </c>
      <c r="G1426" s="24" t="str">
        <f>IFERROR(VLOOKUP(A1426,取得元!$A$2:$F$501,2,FALSE),"-")</f>
        <v>-</v>
      </c>
      <c r="H1426" s="24" t="str">
        <f>IFERROR(VLOOKUP(A1426,取得元!$A$2:$F$501,3,FALSE),"-")</f>
        <v>-</v>
      </c>
      <c r="I1426" s="24" t="str">
        <f>IFERROR(VLOOKUP(A1426,取得元!$A$2:$F$501,4,FALSE),"-")</f>
        <v>-</v>
      </c>
      <c r="J1426" s="5" t="str">
        <f>IFERROR(VLOOKUP(A1426,取得元!$A$2:$F$501,5,FALSE),"-")</f>
        <v>-</v>
      </c>
      <c r="K1426" s="25" t="str">
        <f>IFERROR(VLOOKUP(A1426,取得元!$A$2:$F$501,6,FALSE)/100,"-")</f>
        <v>-</v>
      </c>
      <c r="L1426" s="21" t="str">
        <f>_xll.RssMarket(A1426,"始値")</f>
        <v/>
      </c>
      <c r="M1426" s="4" t="e">
        <f t="shared" si="120"/>
        <v>#VALUE!</v>
      </c>
      <c r="N1426" s="21" t="str">
        <f>_xll.RssMarket(A1426,"高値")</f>
        <v/>
      </c>
      <c r="O1426" s="4" t="e">
        <f t="shared" si="121"/>
        <v>#VALUE!</v>
      </c>
      <c r="P1426" s="21" t="str">
        <f>_xll.RssMarket(A1426,"安値")</f>
        <v/>
      </c>
      <c r="Q1426" s="4" t="e">
        <f t="shared" si="122"/>
        <v>#VALUE!</v>
      </c>
      <c r="R1426" s="21" t="str">
        <f>_xll.RssMarket(A1426,"後場始値")</f>
        <v/>
      </c>
      <c r="S1426" s="25" t="str">
        <f t="shared" si="123"/>
        <v>-</v>
      </c>
      <c r="T1426" s="7" t="str">
        <f>_xll.RssMarket(A1426,"出来高加重平均")</f>
        <v/>
      </c>
      <c r="U1426" s="4" t="e">
        <f t="shared" si="124"/>
        <v>#VALUE!</v>
      </c>
      <c r="V1426" s="21" t="str">
        <f>_xll.RssMarket(A1426,"出来高")</f>
        <v/>
      </c>
      <c r="W1426" s="21" t="str">
        <f>_xll.RssMarket(A1426,"売買代金")</f>
        <v/>
      </c>
      <c r="X1426" s="20" t="str">
        <f>_xll.RssMarket(A1426,"決算発表日")</f>
        <v/>
      </c>
      <c r="Y1426" s="26" t="str">
        <f>IF(C1426&gt;_xll.RssMarket(A1426,"年初来高値"),"○","×")</f>
        <v>×</v>
      </c>
      <c r="Z1426" s="27" t="str">
        <f>IF(C1426&lt;=_xll.RssMarket(A1426,"年初来安値"),"○","×")</f>
        <v>○</v>
      </c>
    </row>
    <row r="1427" spans="2:26" x14ac:dyDescent="0.55000000000000004">
      <c r="B1427" s="20" t="str">
        <f>_xll.RssMarket(A1427,"銘柄名称")</f>
        <v/>
      </c>
      <c r="C1427" s="21" t="str">
        <f>_xll.RssMarket(A1427,"現在値")</f>
        <v/>
      </c>
      <c r="D1427" s="20" t="str">
        <f>_xll.RssMarket(A1427,"現在値詳細時刻")</f>
        <v/>
      </c>
      <c r="E1427" s="22" t="str">
        <f>_xll.RssMarket(A1427,"前日比")</f>
        <v/>
      </c>
      <c r="F1427" s="23" t="e">
        <f>_xll.RssMarket(A1427,"前日比率")/100</f>
        <v>#VALUE!</v>
      </c>
      <c r="G1427" s="24" t="str">
        <f>IFERROR(VLOOKUP(A1427,取得元!$A$2:$F$501,2,FALSE),"-")</f>
        <v>-</v>
      </c>
      <c r="H1427" s="24" t="str">
        <f>IFERROR(VLOOKUP(A1427,取得元!$A$2:$F$501,3,FALSE),"-")</f>
        <v>-</v>
      </c>
      <c r="I1427" s="24" t="str">
        <f>IFERROR(VLOOKUP(A1427,取得元!$A$2:$F$501,4,FALSE),"-")</f>
        <v>-</v>
      </c>
      <c r="J1427" s="5" t="str">
        <f>IFERROR(VLOOKUP(A1427,取得元!$A$2:$F$501,5,FALSE),"-")</f>
        <v>-</v>
      </c>
      <c r="K1427" s="25" t="str">
        <f>IFERROR(VLOOKUP(A1427,取得元!$A$2:$F$501,6,FALSE)/100,"-")</f>
        <v>-</v>
      </c>
      <c r="L1427" s="21" t="str">
        <f>_xll.RssMarket(A1427,"始値")</f>
        <v/>
      </c>
      <c r="M1427" s="4" t="e">
        <f t="shared" si="120"/>
        <v>#VALUE!</v>
      </c>
      <c r="N1427" s="21" t="str">
        <f>_xll.RssMarket(A1427,"高値")</f>
        <v/>
      </c>
      <c r="O1427" s="4" t="e">
        <f t="shared" si="121"/>
        <v>#VALUE!</v>
      </c>
      <c r="P1427" s="21" t="str">
        <f>_xll.RssMarket(A1427,"安値")</f>
        <v/>
      </c>
      <c r="Q1427" s="4" t="e">
        <f t="shared" si="122"/>
        <v>#VALUE!</v>
      </c>
      <c r="R1427" s="21" t="str">
        <f>_xll.RssMarket(A1427,"後場始値")</f>
        <v/>
      </c>
      <c r="S1427" s="25" t="str">
        <f t="shared" si="123"/>
        <v>-</v>
      </c>
      <c r="T1427" s="7" t="str">
        <f>_xll.RssMarket(A1427,"出来高加重平均")</f>
        <v/>
      </c>
      <c r="U1427" s="4" t="e">
        <f t="shared" si="124"/>
        <v>#VALUE!</v>
      </c>
      <c r="V1427" s="21" t="str">
        <f>_xll.RssMarket(A1427,"出来高")</f>
        <v/>
      </c>
      <c r="W1427" s="21" t="str">
        <f>_xll.RssMarket(A1427,"売買代金")</f>
        <v/>
      </c>
      <c r="X1427" s="20" t="str">
        <f>_xll.RssMarket(A1427,"決算発表日")</f>
        <v/>
      </c>
      <c r="Y1427" s="26" t="str">
        <f>IF(C1427&gt;_xll.RssMarket(A1427,"年初来高値"),"○","×")</f>
        <v>×</v>
      </c>
      <c r="Z1427" s="27" t="str">
        <f>IF(C1427&lt;=_xll.RssMarket(A1427,"年初来安値"),"○","×")</f>
        <v>○</v>
      </c>
    </row>
    <row r="1428" spans="2:26" x14ac:dyDescent="0.55000000000000004">
      <c r="B1428" s="20" t="str">
        <f>_xll.RssMarket(A1428,"銘柄名称")</f>
        <v/>
      </c>
      <c r="C1428" s="21" t="str">
        <f>_xll.RssMarket(A1428,"現在値")</f>
        <v/>
      </c>
      <c r="D1428" s="20" t="str">
        <f>_xll.RssMarket(A1428,"現在値詳細時刻")</f>
        <v/>
      </c>
      <c r="E1428" s="22" t="str">
        <f>_xll.RssMarket(A1428,"前日比")</f>
        <v/>
      </c>
      <c r="F1428" s="23" t="e">
        <f>_xll.RssMarket(A1428,"前日比率")/100</f>
        <v>#VALUE!</v>
      </c>
      <c r="G1428" s="24" t="str">
        <f>IFERROR(VLOOKUP(A1428,取得元!$A$2:$F$501,2,FALSE),"-")</f>
        <v>-</v>
      </c>
      <c r="H1428" s="24" t="str">
        <f>IFERROR(VLOOKUP(A1428,取得元!$A$2:$F$501,3,FALSE),"-")</f>
        <v>-</v>
      </c>
      <c r="I1428" s="24" t="str">
        <f>IFERROR(VLOOKUP(A1428,取得元!$A$2:$F$501,4,FALSE),"-")</f>
        <v>-</v>
      </c>
      <c r="J1428" s="5" t="str">
        <f>IFERROR(VLOOKUP(A1428,取得元!$A$2:$F$501,5,FALSE),"-")</f>
        <v>-</v>
      </c>
      <c r="K1428" s="25" t="str">
        <f>IFERROR(VLOOKUP(A1428,取得元!$A$2:$F$501,6,FALSE)/100,"-")</f>
        <v>-</v>
      </c>
      <c r="L1428" s="21" t="str">
        <f>_xll.RssMarket(A1428,"始値")</f>
        <v/>
      </c>
      <c r="M1428" s="4" t="e">
        <f t="shared" si="120"/>
        <v>#VALUE!</v>
      </c>
      <c r="N1428" s="21" t="str">
        <f>_xll.RssMarket(A1428,"高値")</f>
        <v/>
      </c>
      <c r="O1428" s="4" t="e">
        <f t="shared" si="121"/>
        <v>#VALUE!</v>
      </c>
      <c r="P1428" s="21" t="str">
        <f>_xll.RssMarket(A1428,"安値")</f>
        <v/>
      </c>
      <c r="Q1428" s="4" t="e">
        <f t="shared" si="122"/>
        <v>#VALUE!</v>
      </c>
      <c r="R1428" s="21" t="str">
        <f>_xll.RssMarket(A1428,"後場始値")</f>
        <v/>
      </c>
      <c r="S1428" s="25" t="str">
        <f t="shared" si="123"/>
        <v>-</v>
      </c>
      <c r="T1428" s="7" t="str">
        <f>_xll.RssMarket(A1428,"出来高加重平均")</f>
        <v/>
      </c>
      <c r="U1428" s="4" t="e">
        <f t="shared" si="124"/>
        <v>#VALUE!</v>
      </c>
      <c r="V1428" s="21" t="str">
        <f>_xll.RssMarket(A1428,"出来高")</f>
        <v/>
      </c>
      <c r="W1428" s="21" t="str">
        <f>_xll.RssMarket(A1428,"売買代金")</f>
        <v/>
      </c>
      <c r="X1428" s="20" t="str">
        <f>_xll.RssMarket(A1428,"決算発表日")</f>
        <v/>
      </c>
      <c r="Y1428" s="26" t="str">
        <f>IF(C1428&gt;_xll.RssMarket(A1428,"年初来高値"),"○","×")</f>
        <v>×</v>
      </c>
      <c r="Z1428" s="27" t="str">
        <f>IF(C1428&lt;=_xll.RssMarket(A1428,"年初来安値"),"○","×")</f>
        <v>○</v>
      </c>
    </row>
    <row r="1429" spans="2:26" x14ac:dyDescent="0.55000000000000004">
      <c r="B1429" s="20" t="str">
        <f>_xll.RssMarket(A1429,"銘柄名称")</f>
        <v/>
      </c>
      <c r="C1429" s="21" t="str">
        <f>_xll.RssMarket(A1429,"現在値")</f>
        <v/>
      </c>
      <c r="D1429" s="20" t="str">
        <f>_xll.RssMarket(A1429,"現在値詳細時刻")</f>
        <v/>
      </c>
      <c r="E1429" s="22" t="str">
        <f>_xll.RssMarket(A1429,"前日比")</f>
        <v/>
      </c>
      <c r="F1429" s="23" t="e">
        <f>_xll.RssMarket(A1429,"前日比率")/100</f>
        <v>#VALUE!</v>
      </c>
      <c r="G1429" s="24" t="str">
        <f>IFERROR(VLOOKUP(A1429,取得元!$A$2:$F$501,2,FALSE),"-")</f>
        <v>-</v>
      </c>
      <c r="H1429" s="24" t="str">
        <f>IFERROR(VLOOKUP(A1429,取得元!$A$2:$F$501,3,FALSE),"-")</f>
        <v>-</v>
      </c>
      <c r="I1429" s="24" t="str">
        <f>IFERROR(VLOOKUP(A1429,取得元!$A$2:$F$501,4,FALSE),"-")</f>
        <v>-</v>
      </c>
      <c r="J1429" s="5" t="str">
        <f>IFERROR(VLOOKUP(A1429,取得元!$A$2:$F$501,5,FALSE),"-")</f>
        <v>-</v>
      </c>
      <c r="K1429" s="25" t="str">
        <f>IFERROR(VLOOKUP(A1429,取得元!$A$2:$F$501,6,FALSE)/100,"-")</f>
        <v>-</v>
      </c>
      <c r="L1429" s="21" t="str">
        <f>_xll.RssMarket(A1429,"始値")</f>
        <v/>
      </c>
      <c r="M1429" s="4" t="e">
        <f t="shared" si="120"/>
        <v>#VALUE!</v>
      </c>
      <c r="N1429" s="21" t="str">
        <f>_xll.RssMarket(A1429,"高値")</f>
        <v/>
      </c>
      <c r="O1429" s="4" t="e">
        <f t="shared" si="121"/>
        <v>#VALUE!</v>
      </c>
      <c r="P1429" s="21" t="str">
        <f>_xll.RssMarket(A1429,"安値")</f>
        <v/>
      </c>
      <c r="Q1429" s="4" t="e">
        <f t="shared" si="122"/>
        <v>#VALUE!</v>
      </c>
      <c r="R1429" s="21" t="str">
        <f>_xll.RssMarket(A1429,"後場始値")</f>
        <v/>
      </c>
      <c r="S1429" s="25" t="str">
        <f t="shared" si="123"/>
        <v>-</v>
      </c>
      <c r="T1429" s="7" t="str">
        <f>_xll.RssMarket(A1429,"出来高加重平均")</f>
        <v/>
      </c>
      <c r="U1429" s="4" t="e">
        <f t="shared" si="124"/>
        <v>#VALUE!</v>
      </c>
      <c r="V1429" s="21" t="str">
        <f>_xll.RssMarket(A1429,"出来高")</f>
        <v/>
      </c>
      <c r="W1429" s="21" t="str">
        <f>_xll.RssMarket(A1429,"売買代金")</f>
        <v/>
      </c>
      <c r="X1429" s="20" t="str">
        <f>_xll.RssMarket(A1429,"決算発表日")</f>
        <v/>
      </c>
      <c r="Y1429" s="26" t="str">
        <f>IF(C1429&gt;_xll.RssMarket(A1429,"年初来高値"),"○","×")</f>
        <v>×</v>
      </c>
      <c r="Z1429" s="27" t="str">
        <f>IF(C1429&lt;=_xll.RssMarket(A1429,"年初来安値"),"○","×")</f>
        <v>○</v>
      </c>
    </row>
    <row r="1430" spans="2:26" x14ac:dyDescent="0.55000000000000004">
      <c r="B1430" s="20" t="str">
        <f>_xll.RssMarket(A1430,"銘柄名称")</f>
        <v/>
      </c>
      <c r="C1430" s="21" t="str">
        <f>_xll.RssMarket(A1430,"現在値")</f>
        <v/>
      </c>
      <c r="D1430" s="20" t="str">
        <f>_xll.RssMarket(A1430,"現在値詳細時刻")</f>
        <v/>
      </c>
      <c r="E1430" s="22" t="str">
        <f>_xll.RssMarket(A1430,"前日比")</f>
        <v/>
      </c>
      <c r="F1430" s="23" t="e">
        <f>_xll.RssMarket(A1430,"前日比率")/100</f>
        <v>#VALUE!</v>
      </c>
      <c r="G1430" s="24" t="str">
        <f>IFERROR(VLOOKUP(A1430,取得元!$A$2:$F$501,2,FALSE),"-")</f>
        <v>-</v>
      </c>
      <c r="H1430" s="24" t="str">
        <f>IFERROR(VLOOKUP(A1430,取得元!$A$2:$F$501,3,FALSE),"-")</f>
        <v>-</v>
      </c>
      <c r="I1430" s="24" t="str">
        <f>IFERROR(VLOOKUP(A1430,取得元!$A$2:$F$501,4,FALSE),"-")</f>
        <v>-</v>
      </c>
      <c r="J1430" s="5" t="str">
        <f>IFERROR(VLOOKUP(A1430,取得元!$A$2:$F$501,5,FALSE),"-")</f>
        <v>-</v>
      </c>
      <c r="K1430" s="25" t="str">
        <f>IFERROR(VLOOKUP(A1430,取得元!$A$2:$F$501,6,FALSE)/100,"-")</f>
        <v>-</v>
      </c>
      <c r="L1430" s="21" t="str">
        <f>_xll.RssMarket(A1430,"始値")</f>
        <v/>
      </c>
      <c r="M1430" s="4" t="e">
        <f t="shared" ref="M1430:M1493" si="125">C1430/L1430-1</f>
        <v>#VALUE!</v>
      </c>
      <c r="N1430" s="21" t="str">
        <f>_xll.RssMarket(A1430,"高値")</f>
        <v/>
      </c>
      <c r="O1430" s="4" t="e">
        <f t="shared" ref="O1430:O1493" si="126">C1430/N1430-1</f>
        <v>#VALUE!</v>
      </c>
      <c r="P1430" s="21" t="str">
        <f>_xll.RssMarket(A1430,"安値")</f>
        <v/>
      </c>
      <c r="Q1430" s="4" t="e">
        <f t="shared" ref="Q1430:Q1493" si="127">C1430/P1430-1</f>
        <v>#VALUE!</v>
      </c>
      <c r="R1430" s="21" t="str">
        <f>_xll.RssMarket(A1430,"後場始値")</f>
        <v/>
      </c>
      <c r="S1430" s="25" t="str">
        <f t="shared" ref="S1430:S1493" si="128">IFERROR(C1430/R1430-1,"-")</f>
        <v>-</v>
      </c>
      <c r="T1430" s="7" t="str">
        <f>_xll.RssMarket(A1430,"出来高加重平均")</f>
        <v/>
      </c>
      <c r="U1430" s="4" t="e">
        <f t="shared" ref="U1430:U1493" si="129">C1430/T1430-1</f>
        <v>#VALUE!</v>
      </c>
      <c r="V1430" s="21" t="str">
        <f>_xll.RssMarket(A1430,"出来高")</f>
        <v/>
      </c>
      <c r="W1430" s="21" t="str">
        <f>_xll.RssMarket(A1430,"売買代金")</f>
        <v/>
      </c>
      <c r="X1430" s="20" t="str">
        <f>_xll.RssMarket(A1430,"決算発表日")</f>
        <v/>
      </c>
      <c r="Y1430" s="26" t="str">
        <f>IF(C1430&gt;_xll.RssMarket(A1430,"年初来高値"),"○","×")</f>
        <v>×</v>
      </c>
      <c r="Z1430" s="27" t="str">
        <f>IF(C1430&lt;=_xll.RssMarket(A1430,"年初来安値"),"○","×")</f>
        <v>○</v>
      </c>
    </row>
    <row r="1431" spans="2:26" x14ac:dyDescent="0.55000000000000004">
      <c r="B1431" s="20" t="str">
        <f>_xll.RssMarket(A1431,"銘柄名称")</f>
        <v/>
      </c>
      <c r="C1431" s="21" t="str">
        <f>_xll.RssMarket(A1431,"現在値")</f>
        <v/>
      </c>
      <c r="D1431" s="20" t="str">
        <f>_xll.RssMarket(A1431,"現在値詳細時刻")</f>
        <v/>
      </c>
      <c r="E1431" s="22" t="str">
        <f>_xll.RssMarket(A1431,"前日比")</f>
        <v/>
      </c>
      <c r="F1431" s="23" t="e">
        <f>_xll.RssMarket(A1431,"前日比率")/100</f>
        <v>#VALUE!</v>
      </c>
      <c r="G1431" s="24" t="str">
        <f>IFERROR(VLOOKUP(A1431,取得元!$A$2:$F$501,2,FALSE),"-")</f>
        <v>-</v>
      </c>
      <c r="H1431" s="24" t="str">
        <f>IFERROR(VLOOKUP(A1431,取得元!$A$2:$F$501,3,FALSE),"-")</f>
        <v>-</v>
      </c>
      <c r="I1431" s="24" t="str">
        <f>IFERROR(VLOOKUP(A1431,取得元!$A$2:$F$501,4,FALSE),"-")</f>
        <v>-</v>
      </c>
      <c r="J1431" s="5" t="str">
        <f>IFERROR(VLOOKUP(A1431,取得元!$A$2:$F$501,5,FALSE),"-")</f>
        <v>-</v>
      </c>
      <c r="K1431" s="25" t="str">
        <f>IFERROR(VLOOKUP(A1431,取得元!$A$2:$F$501,6,FALSE)/100,"-")</f>
        <v>-</v>
      </c>
      <c r="L1431" s="21" t="str">
        <f>_xll.RssMarket(A1431,"始値")</f>
        <v/>
      </c>
      <c r="M1431" s="4" t="e">
        <f t="shared" si="125"/>
        <v>#VALUE!</v>
      </c>
      <c r="N1431" s="21" t="str">
        <f>_xll.RssMarket(A1431,"高値")</f>
        <v/>
      </c>
      <c r="O1431" s="4" t="e">
        <f t="shared" si="126"/>
        <v>#VALUE!</v>
      </c>
      <c r="P1431" s="21" t="str">
        <f>_xll.RssMarket(A1431,"安値")</f>
        <v/>
      </c>
      <c r="Q1431" s="4" t="e">
        <f t="shared" si="127"/>
        <v>#VALUE!</v>
      </c>
      <c r="R1431" s="21" t="str">
        <f>_xll.RssMarket(A1431,"後場始値")</f>
        <v/>
      </c>
      <c r="S1431" s="25" t="str">
        <f t="shared" si="128"/>
        <v>-</v>
      </c>
      <c r="T1431" s="7" t="str">
        <f>_xll.RssMarket(A1431,"出来高加重平均")</f>
        <v/>
      </c>
      <c r="U1431" s="4" t="e">
        <f t="shared" si="129"/>
        <v>#VALUE!</v>
      </c>
      <c r="V1431" s="21" t="str">
        <f>_xll.RssMarket(A1431,"出来高")</f>
        <v/>
      </c>
      <c r="W1431" s="21" t="str">
        <f>_xll.RssMarket(A1431,"売買代金")</f>
        <v/>
      </c>
      <c r="X1431" s="20" t="str">
        <f>_xll.RssMarket(A1431,"決算発表日")</f>
        <v/>
      </c>
      <c r="Y1431" s="26" t="str">
        <f>IF(C1431&gt;_xll.RssMarket(A1431,"年初来高値"),"○","×")</f>
        <v>×</v>
      </c>
      <c r="Z1431" s="27" t="str">
        <f>IF(C1431&lt;=_xll.RssMarket(A1431,"年初来安値"),"○","×")</f>
        <v>○</v>
      </c>
    </row>
    <row r="1432" spans="2:26" x14ac:dyDescent="0.55000000000000004">
      <c r="B1432" s="20" t="str">
        <f>_xll.RssMarket(A1432,"銘柄名称")</f>
        <v/>
      </c>
      <c r="C1432" s="21" t="str">
        <f>_xll.RssMarket(A1432,"現在値")</f>
        <v/>
      </c>
      <c r="D1432" s="20" t="str">
        <f>_xll.RssMarket(A1432,"現在値詳細時刻")</f>
        <v/>
      </c>
      <c r="E1432" s="22" t="str">
        <f>_xll.RssMarket(A1432,"前日比")</f>
        <v/>
      </c>
      <c r="F1432" s="23" t="e">
        <f>_xll.RssMarket(A1432,"前日比率")/100</f>
        <v>#VALUE!</v>
      </c>
      <c r="G1432" s="24" t="str">
        <f>IFERROR(VLOOKUP(A1432,取得元!$A$2:$F$501,2,FALSE),"-")</f>
        <v>-</v>
      </c>
      <c r="H1432" s="24" t="str">
        <f>IFERROR(VLOOKUP(A1432,取得元!$A$2:$F$501,3,FALSE),"-")</f>
        <v>-</v>
      </c>
      <c r="I1432" s="24" t="str">
        <f>IFERROR(VLOOKUP(A1432,取得元!$A$2:$F$501,4,FALSE),"-")</f>
        <v>-</v>
      </c>
      <c r="J1432" s="5" t="str">
        <f>IFERROR(VLOOKUP(A1432,取得元!$A$2:$F$501,5,FALSE),"-")</f>
        <v>-</v>
      </c>
      <c r="K1432" s="25" t="str">
        <f>IFERROR(VLOOKUP(A1432,取得元!$A$2:$F$501,6,FALSE)/100,"-")</f>
        <v>-</v>
      </c>
      <c r="L1432" s="21" t="str">
        <f>_xll.RssMarket(A1432,"始値")</f>
        <v/>
      </c>
      <c r="M1432" s="4" t="e">
        <f t="shared" si="125"/>
        <v>#VALUE!</v>
      </c>
      <c r="N1432" s="21" t="str">
        <f>_xll.RssMarket(A1432,"高値")</f>
        <v/>
      </c>
      <c r="O1432" s="4" t="e">
        <f t="shared" si="126"/>
        <v>#VALUE!</v>
      </c>
      <c r="P1432" s="21" t="str">
        <f>_xll.RssMarket(A1432,"安値")</f>
        <v/>
      </c>
      <c r="Q1432" s="4" t="e">
        <f t="shared" si="127"/>
        <v>#VALUE!</v>
      </c>
      <c r="R1432" s="21" t="str">
        <f>_xll.RssMarket(A1432,"後場始値")</f>
        <v/>
      </c>
      <c r="S1432" s="25" t="str">
        <f t="shared" si="128"/>
        <v>-</v>
      </c>
      <c r="T1432" s="7" t="str">
        <f>_xll.RssMarket(A1432,"出来高加重平均")</f>
        <v/>
      </c>
      <c r="U1432" s="4" t="e">
        <f t="shared" si="129"/>
        <v>#VALUE!</v>
      </c>
      <c r="V1432" s="21" t="str">
        <f>_xll.RssMarket(A1432,"出来高")</f>
        <v/>
      </c>
      <c r="W1432" s="21" t="str">
        <f>_xll.RssMarket(A1432,"売買代金")</f>
        <v/>
      </c>
      <c r="X1432" s="20" t="str">
        <f>_xll.RssMarket(A1432,"決算発表日")</f>
        <v/>
      </c>
      <c r="Y1432" s="26" t="str">
        <f>IF(C1432&gt;_xll.RssMarket(A1432,"年初来高値"),"○","×")</f>
        <v>×</v>
      </c>
      <c r="Z1432" s="27" t="str">
        <f>IF(C1432&lt;=_xll.RssMarket(A1432,"年初来安値"),"○","×")</f>
        <v>○</v>
      </c>
    </row>
    <row r="1433" spans="2:26" x14ac:dyDescent="0.55000000000000004">
      <c r="B1433" s="20" t="str">
        <f>_xll.RssMarket(A1433,"銘柄名称")</f>
        <v/>
      </c>
      <c r="C1433" s="21" t="str">
        <f>_xll.RssMarket(A1433,"現在値")</f>
        <v/>
      </c>
      <c r="D1433" s="20" t="str">
        <f>_xll.RssMarket(A1433,"現在値詳細時刻")</f>
        <v/>
      </c>
      <c r="E1433" s="22" t="str">
        <f>_xll.RssMarket(A1433,"前日比")</f>
        <v/>
      </c>
      <c r="F1433" s="23" t="e">
        <f>_xll.RssMarket(A1433,"前日比率")/100</f>
        <v>#VALUE!</v>
      </c>
      <c r="G1433" s="24" t="str">
        <f>IFERROR(VLOOKUP(A1433,取得元!$A$2:$F$501,2,FALSE),"-")</f>
        <v>-</v>
      </c>
      <c r="H1433" s="24" t="str">
        <f>IFERROR(VLOOKUP(A1433,取得元!$A$2:$F$501,3,FALSE),"-")</f>
        <v>-</v>
      </c>
      <c r="I1433" s="24" t="str">
        <f>IFERROR(VLOOKUP(A1433,取得元!$A$2:$F$501,4,FALSE),"-")</f>
        <v>-</v>
      </c>
      <c r="J1433" s="5" t="str">
        <f>IFERROR(VLOOKUP(A1433,取得元!$A$2:$F$501,5,FALSE),"-")</f>
        <v>-</v>
      </c>
      <c r="K1433" s="25" t="str">
        <f>IFERROR(VLOOKUP(A1433,取得元!$A$2:$F$501,6,FALSE)/100,"-")</f>
        <v>-</v>
      </c>
      <c r="L1433" s="21" t="str">
        <f>_xll.RssMarket(A1433,"始値")</f>
        <v/>
      </c>
      <c r="M1433" s="4" t="e">
        <f t="shared" si="125"/>
        <v>#VALUE!</v>
      </c>
      <c r="N1433" s="21" t="str">
        <f>_xll.RssMarket(A1433,"高値")</f>
        <v/>
      </c>
      <c r="O1433" s="4" t="e">
        <f t="shared" si="126"/>
        <v>#VALUE!</v>
      </c>
      <c r="P1433" s="21" t="str">
        <f>_xll.RssMarket(A1433,"安値")</f>
        <v/>
      </c>
      <c r="Q1433" s="4" t="e">
        <f t="shared" si="127"/>
        <v>#VALUE!</v>
      </c>
      <c r="R1433" s="21" t="str">
        <f>_xll.RssMarket(A1433,"後場始値")</f>
        <v/>
      </c>
      <c r="S1433" s="25" t="str">
        <f t="shared" si="128"/>
        <v>-</v>
      </c>
      <c r="T1433" s="7" t="str">
        <f>_xll.RssMarket(A1433,"出来高加重平均")</f>
        <v/>
      </c>
      <c r="U1433" s="4" t="e">
        <f t="shared" si="129"/>
        <v>#VALUE!</v>
      </c>
      <c r="V1433" s="21" t="str">
        <f>_xll.RssMarket(A1433,"出来高")</f>
        <v/>
      </c>
      <c r="W1433" s="21" t="str">
        <f>_xll.RssMarket(A1433,"売買代金")</f>
        <v/>
      </c>
      <c r="X1433" s="20" t="str">
        <f>_xll.RssMarket(A1433,"決算発表日")</f>
        <v/>
      </c>
      <c r="Y1433" s="26" t="str">
        <f>IF(C1433&gt;_xll.RssMarket(A1433,"年初来高値"),"○","×")</f>
        <v>×</v>
      </c>
      <c r="Z1433" s="27" t="str">
        <f>IF(C1433&lt;=_xll.RssMarket(A1433,"年初来安値"),"○","×")</f>
        <v>○</v>
      </c>
    </row>
    <row r="1434" spans="2:26" x14ac:dyDescent="0.55000000000000004">
      <c r="B1434" s="20" t="str">
        <f>_xll.RssMarket(A1434,"銘柄名称")</f>
        <v/>
      </c>
      <c r="C1434" s="21" t="str">
        <f>_xll.RssMarket(A1434,"現在値")</f>
        <v/>
      </c>
      <c r="D1434" s="20" t="str">
        <f>_xll.RssMarket(A1434,"現在値詳細時刻")</f>
        <v/>
      </c>
      <c r="E1434" s="22" t="str">
        <f>_xll.RssMarket(A1434,"前日比")</f>
        <v/>
      </c>
      <c r="F1434" s="23" t="e">
        <f>_xll.RssMarket(A1434,"前日比率")/100</f>
        <v>#VALUE!</v>
      </c>
      <c r="G1434" s="24" t="str">
        <f>IFERROR(VLOOKUP(A1434,取得元!$A$2:$F$501,2,FALSE),"-")</f>
        <v>-</v>
      </c>
      <c r="H1434" s="24" t="str">
        <f>IFERROR(VLOOKUP(A1434,取得元!$A$2:$F$501,3,FALSE),"-")</f>
        <v>-</v>
      </c>
      <c r="I1434" s="24" t="str">
        <f>IFERROR(VLOOKUP(A1434,取得元!$A$2:$F$501,4,FALSE),"-")</f>
        <v>-</v>
      </c>
      <c r="J1434" s="5" t="str">
        <f>IFERROR(VLOOKUP(A1434,取得元!$A$2:$F$501,5,FALSE),"-")</f>
        <v>-</v>
      </c>
      <c r="K1434" s="25" t="str">
        <f>IFERROR(VLOOKUP(A1434,取得元!$A$2:$F$501,6,FALSE)/100,"-")</f>
        <v>-</v>
      </c>
      <c r="L1434" s="21" t="str">
        <f>_xll.RssMarket(A1434,"始値")</f>
        <v/>
      </c>
      <c r="M1434" s="4" t="e">
        <f t="shared" si="125"/>
        <v>#VALUE!</v>
      </c>
      <c r="N1434" s="21" t="str">
        <f>_xll.RssMarket(A1434,"高値")</f>
        <v/>
      </c>
      <c r="O1434" s="4" t="e">
        <f t="shared" si="126"/>
        <v>#VALUE!</v>
      </c>
      <c r="P1434" s="21" t="str">
        <f>_xll.RssMarket(A1434,"安値")</f>
        <v/>
      </c>
      <c r="Q1434" s="4" t="e">
        <f t="shared" si="127"/>
        <v>#VALUE!</v>
      </c>
      <c r="R1434" s="21" t="str">
        <f>_xll.RssMarket(A1434,"後場始値")</f>
        <v/>
      </c>
      <c r="S1434" s="25" t="str">
        <f t="shared" si="128"/>
        <v>-</v>
      </c>
      <c r="T1434" s="7" t="str">
        <f>_xll.RssMarket(A1434,"出来高加重平均")</f>
        <v/>
      </c>
      <c r="U1434" s="4" t="e">
        <f t="shared" si="129"/>
        <v>#VALUE!</v>
      </c>
      <c r="V1434" s="21" t="str">
        <f>_xll.RssMarket(A1434,"出来高")</f>
        <v/>
      </c>
      <c r="W1434" s="21" t="str">
        <f>_xll.RssMarket(A1434,"売買代金")</f>
        <v/>
      </c>
      <c r="X1434" s="20" t="str">
        <f>_xll.RssMarket(A1434,"決算発表日")</f>
        <v/>
      </c>
      <c r="Y1434" s="26" t="str">
        <f>IF(C1434&gt;_xll.RssMarket(A1434,"年初来高値"),"○","×")</f>
        <v>×</v>
      </c>
      <c r="Z1434" s="27" t="str">
        <f>IF(C1434&lt;=_xll.RssMarket(A1434,"年初来安値"),"○","×")</f>
        <v>○</v>
      </c>
    </row>
    <row r="1435" spans="2:26" x14ac:dyDescent="0.55000000000000004">
      <c r="B1435" s="20" t="str">
        <f>_xll.RssMarket(A1435,"銘柄名称")</f>
        <v/>
      </c>
      <c r="C1435" s="21" t="str">
        <f>_xll.RssMarket(A1435,"現在値")</f>
        <v/>
      </c>
      <c r="D1435" s="20" t="str">
        <f>_xll.RssMarket(A1435,"現在値詳細時刻")</f>
        <v/>
      </c>
      <c r="E1435" s="22" t="str">
        <f>_xll.RssMarket(A1435,"前日比")</f>
        <v/>
      </c>
      <c r="F1435" s="23" t="e">
        <f>_xll.RssMarket(A1435,"前日比率")/100</f>
        <v>#VALUE!</v>
      </c>
      <c r="G1435" s="24" t="str">
        <f>IFERROR(VLOOKUP(A1435,取得元!$A$2:$F$501,2,FALSE),"-")</f>
        <v>-</v>
      </c>
      <c r="H1435" s="24" t="str">
        <f>IFERROR(VLOOKUP(A1435,取得元!$A$2:$F$501,3,FALSE),"-")</f>
        <v>-</v>
      </c>
      <c r="I1435" s="24" t="str">
        <f>IFERROR(VLOOKUP(A1435,取得元!$A$2:$F$501,4,FALSE),"-")</f>
        <v>-</v>
      </c>
      <c r="J1435" s="5" t="str">
        <f>IFERROR(VLOOKUP(A1435,取得元!$A$2:$F$501,5,FALSE),"-")</f>
        <v>-</v>
      </c>
      <c r="K1435" s="25" t="str">
        <f>IFERROR(VLOOKUP(A1435,取得元!$A$2:$F$501,6,FALSE)/100,"-")</f>
        <v>-</v>
      </c>
      <c r="L1435" s="21" t="str">
        <f>_xll.RssMarket(A1435,"始値")</f>
        <v/>
      </c>
      <c r="M1435" s="4" t="e">
        <f t="shared" si="125"/>
        <v>#VALUE!</v>
      </c>
      <c r="N1435" s="21" t="str">
        <f>_xll.RssMarket(A1435,"高値")</f>
        <v/>
      </c>
      <c r="O1435" s="4" t="e">
        <f t="shared" si="126"/>
        <v>#VALUE!</v>
      </c>
      <c r="P1435" s="21" t="str">
        <f>_xll.RssMarket(A1435,"安値")</f>
        <v/>
      </c>
      <c r="Q1435" s="4" t="e">
        <f t="shared" si="127"/>
        <v>#VALUE!</v>
      </c>
      <c r="R1435" s="21" t="str">
        <f>_xll.RssMarket(A1435,"後場始値")</f>
        <v/>
      </c>
      <c r="S1435" s="25" t="str">
        <f t="shared" si="128"/>
        <v>-</v>
      </c>
      <c r="T1435" s="7" t="str">
        <f>_xll.RssMarket(A1435,"出来高加重平均")</f>
        <v/>
      </c>
      <c r="U1435" s="4" t="e">
        <f t="shared" si="129"/>
        <v>#VALUE!</v>
      </c>
      <c r="V1435" s="21" t="str">
        <f>_xll.RssMarket(A1435,"出来高")</f>
        <v/>
      </c>
      <c r="W1435" s="21" t="str">
        <f>_xll.RssMarket(A1435,"売買代金")</f>
        <v/>
      </c>
      <c r="X1435" s="20" t="str">
        <f>_xll.RssMarket(A1435,"決算発表日")</f>
        <v/>
      </c>
      <c r="Y1435" s="26" t="str">
        <f>IF(C1435&gt;_xll.RssMarket(A1435,"年初来高値"),"○","×")</f>
        <v>×</v>
      </c>
      <c r="Z1435" s="27" t="str">
        <f>IF(C1435&lt;=_xll.RssMarket(A1435,"年初来安値"),"○","×")</f>
        <v>○</v>
      </c>
    </row>
    <row r="1436" spans="2:26" x14ac:dyDescent="0.55000000000000004">
      <c r="B1436" s="20" t="str">
        <f>_xll.RssMarket(A1436,"銘柄名称")</f>
        <v/>
      </c>
      <c r="C1436" s="21" t="str">
        <f>_xll.RssMarket(A1436,"現在値")</f>
        <v/>
      </c>
      <c r="D1436" s="20" t="str">
        <f>_xll.RssMarket(A1436,"現在値詳細時刻")</f>
        <v/>
      </c>
      <c r="E1436" s="22" t="str">
        <f>_xll.RssMarket(A1436,"前日比")</f>
        <v/>
      </c>
      <c r="F1436" s="23" t="e">
        <f>_xll.RssMarket(A1436,"前日比率")/100</f>
        <v>#VALUE!</v>
      </c>
      <c r="G1436" s="24" t="str">
        <f>IFERROR(VLOOKUP(A1436,取得元!$A$2:$F$501,2,FALSE),"-")</f>
        <v>-</v>
      </c>
      <c r="H1436" s="24" t="str">
        <f>IFERROR(VLOOKUP(A1436,取得元!$A$2:$F$501,3,FALSE),"-")</f>
        <v>-</v>
      </c>
      <c r="I1436" s="24" t="str">
        <f>IFERROR(VLOOKUP(A1436,取得元!$A$2:$F$501,4,FALSE),"-")</f>
        <v>-</v>
      </c>
      <c r="J1436" s="5" t="str">
        <f>IFERROR(VLOOKUP(A1436,取得元!$A$2:$F$501,5,FALSE),"-")</f>
        <v>-</v>
      </c>
      <c r="K1436" s="25" t="str">
        <f>IFERROR(VLOOKUP(A1436,取得元!$A$2:$F$501,6,FALSE)/100,"-")</f>
        <v>-</v>
      </c>
      <c r="L1436" s="21" t="str">
        <f>_xll.RssMarket(A1436,"始値")</f>
        <v/>
      </c>
      <c r="M1436" s="4" t="e">
        <f t="shared" si="125"/>
        <v>#VALUE!</v>
      </c>
      <c r="N1436" s="21" t="str">
        <f>_xll.RssMarket(A1436,"高値")</f>
        <v/>
      </c>
      <c r="O1436" s="4" t="e">
        <f t="shared" si="126"/>
        <v>#VALUE!</v>
      </c>
      <c r="P1436" s="21" t="str">
        <f>_xll.RssMarket(A1436,"安値")</f>
        <v/>
      </c>
      <c r="Q1436" s="4" t="e">
        <f t="shared" si="127"/>
        <v>#VALUE!</v>
      </c>
      <c r="R1436" s="21" t="str">
        <f>_xll.RssMarket(A1436,"後場始値")</f>
        <v/>
      </c>
      <c r="S1436" s="25" t="str">
        <f t="shared" si="128"/>
        <v>-</v>
      </c>
      <c r="T1436" s="7" t="str">
        <f>_xll.RssMarket(A1436,"出来高加重平均")</f>
        <v/>
      </c>
      <c r="U1436" s="4" t="e">
        <f t="shared" si="129"/>
        <v>#VALUE!</v>
      </c>
      <c r="V1436" s="21" t="str">
        <f>_xll.RssMarket(A1436,"出来高")</f>
        <v/>
      </c>
      <c r="W1436" s="21" t="str">
        <f>_xll.RssMarket(A1436,"売買代金")</f>
        <v/>
      </c>
      <c r="X1436" s="20" t="str">
        <f>_xll.RssMarket(A1436,"決算発表日")</f>
        <v/>
      </c>
      <c r="Y1436" s="26" t="str">
        <f>IF(C1436&gt;_xll.RssMarket(A1436,"年初来高値"),"○","×")</f>
        <v>×</v>
      </c>
      <c r="Z1436" s="27" t="str">
        <f>IF(C1436&lt;=_xll.RssMarket(A1436,"年初来安値"),"○","×")</f>
        <v>○</v>
      </c>
    </row>
    <row r="1437" spans="2:26" x14ac:dyDescent="0.55000000000000004">
      <c r="B1437" s="20" t="str">
        <f>_xll.RssMarket(A1437,"銘柄名称")</f>
        <v/>
      </c>
      <c r="C1437" s="21" t="str">
        <f>_xll.RssMarket(A1437,"現在値")</f>
        <v/>
      </c>
      <c r="D1437" s="20" t="str">
        <f>_xll.RssMarket(A1437,"現在値詳細時刻")</f>
        <v/>
      </c>
      <c r="E1437" s="22" t="str">
        <f>_xll.RssMarket(A1437,"前日比")</f>
        <v/>
      </c>
      <c r="F1437" s="23" t="e">
        <f>_xll.RssMarket(A1437,"前日比率")/100</f>
        <v>#VALUE!</v>
      </c>
      <c r="G1437" s="24" t="str">
        <f>IFERROR(VLOOKUP(A1437,取得元!$A$2:$F$501,2,FALSE),"-")</f>
        <v>-</v>
      </c>
      <c r="H1437" s="24" t="str">
        <f>IFERROR(VLOOKUP(A1437,取得元!$A$2:$F$501,3,FALSE),"-")</f>
        <v>-</v>
      </c>
      <c r="I1437" s="24" t="str">
        <f>IFERROR(VLOOKUP(A1437,取得元!$A$2:$F$501,4,FALSE),"-")</f>
        <v>-</v>
      </c>
      <c r="J1437" s="5" t="str">
        <f>IFERROR(VLOOKUP(A1437,取得元!$A$2:$F$501,5,FALSE),"-")</f>
        <v>-</v>
      </c>
      <c r="K1437" s="25" t="str">
        <f>IFERROR(VLOOKUP(A1437,取得元!$A$2:$F$501,6,FALSE)/100,"-")</f>
        <v>-</v>
      </c>
      <c r="L1437" s="21" t="str">
        <f>_xll.RssMarket(A1437,"始値")</f>
        <v/>
      </c>
      <c r="M1437" s="4" t="e">
        <f t="shared" si="125"/>
        <v>#VALUE!</v>
      </c>
      <c r="N1437" s="21" t="str">
        <f>_xll.RssMarket(A1437,"高値")</f>
        <v/>
      </c>
      <c r="O1437" s="4" t="e">
        <f t="shared" si="126"/>
        <v>#VALUE!</v>
      </c>
      <c r="P1437" s="21" t="str">
        <f>_xll.RssMarket(A1437,"安値")</f>
        <v/>
      </c>
      <c r="Q1437" s="4" t="e">
        <f t="shared" si="127"/>
        <v>#VALUE!</v>
      </c>
      <c r="R1437" s="21" t="str">
        <f>_xll.RssMarket(A1437,"後場始値")</f>
        <v/>
      </c>
      <c r="S1437" s="25" t="str">
        <f t="shared" si="128"/>
        <v>-</v>
      </c>
      <c r="T1437" s="7" t="str">
        <f>_xll.RssMarket(A1437,"出来高加重平均")</f>
        <v/>
      </c>
      <c r="U1437" s="4" t="e">
        <f t="shared" si="129"/>
        <v>#VALUE!</v>
      </c>
      <c r="V1437" s="21" t="str">
        <f>_xll.RssMarket(A1437,"出来高")</f>
        <v/>
      </c>
      <c r="W1437" s="21" t="str">
        <f>_xll.RssMarket(A1437,"売買代金")</f>
        <v/>
      </c>
      <c r="X1437" s="20" t="str">
        <f>_xll.RssMarket(A1437,"決算発表日")</f>
        <v/>
      </c>
      <c r="Y1437" s="26" t="str">
        <f>IF(C1437&gt;_xll.RssMarket(A1437,"年初来高値"),"○","×")</f>
        <v>×</v>
      </c>
      <c r="Z1437" s="27" t="str">
        <f>IF(C1437&lt;=_xll.RssMarket(A1437,"年初来安値"),"○","×")</f>
        <v>○</v>
      </c>
    </row>
    <row r="1438" spans="2:26" x14ac:dyDescent="0.55000000000000004">
      <c r="B1438" s="20" t="str">
        <f>_xll.RssMarket(A1438,"銘柄名称")</f>
        <v/>
      </c>
      <c r="C1438" s="21" t="str">
        <f>_xll.RssMarket(A1438,"現在値")</f>
        <v/>
      </c>
      <c r="D1438" s="20" t="str">
        <f>_xll.RssMarket(A1438,"現在値詳細時刻")</f>
        <v/>
      </c>
      <c r="E1438" s="22" t="str">
        <f>_xll.RssMarket(A1438,"前日比")</f>
        <v/>
      </c>
      <c r="F1438" s="23" t="e">
        <f>_xll.RssMarket(A1438,"前日比率")/100</f>
        <v>#VALUE!</v>
      </c>
      <c r="G1438" s="24" t="str">
        <f>IFERROR(VLOOKUP(A1438,取得元!$A$2:$F$501,2,FALSE),"-")</f>
        <v>-</v>
      </c>
      <c r="H1438" s="24" t="str">
        <f>IFERROR(VLOOKUP(A1438,取得元!$A$2:$F$501,3,FALSE),"-")</f>
        <v>-</v>
      </c>
      <c r="I1438" s="24" t="str">
        <f>IFERROR(VLOOKUP(A1438,取得元!$A$2:$F$501,4,FALSE),"-")</f>
        <v>-</v>
      </c>
      <c r="J1438" s="5" t="str">
        <f>IFERROR(VLOOKUP(A1438,取得元!$A$2:$F$501,5,FALSE),"-")</f>
        <v>-</v>
      </c>
      <c r="K1438" s="25" t="str">
        <f>IFERROR(VLOOKUP(A1438,取得元!$A$2:$F$501,6,FALSE)/100,"-")</f>
        <v>-</v>
      </c>
      <c r="L1438" s="21" t="str">
        <f>_xll.RssMarket(A1438,"始値")</f>
        <v/>
      </c>
      <c r="M1438" s="4" t="e">
        <f t="shared" si="125"/>
        <v>#VALUE!</v>
      </c>
      <c r="N1438" s="21" t="str">
        <f>_xll.RssMarket(A1438,"高値")</f>
        <v/>
      </c>
      <c r="O1438" s="4" t="e">
        <f t="shared" si="126"/>
        <v>#VALUE!</v>
      </c>
      <c r="P1438" s="21" t="str">
        <f>_xll.RssMarket(A1438,"安値")</f>
        <v/>
      </c>
      <c r="Q1438" s="4" t="e">
        <f t="shared" si="127"/>
        <v>#VALUE!</v>
      </c>
      <c r="R1438" s="21" t="str">
        <f>_xll.RssMarket(A1438,"後場始値")</f>
        <v/>
      </c>
      <c r="S1438" s="25" t="str">
        <f t="shared" si="128"/>
        <v>-</v>
      </c>
      <c r="T1438" s="7" t="str">
        <f>_xll.RssMarket(A1438,"出来高加重平均")</f>
        <v/>
      </c>
      <c r="U1438" s="4" t="e">
        <f t="shared" si="129"/>
        <v>#VALUE!</v>
      </c>
      <c r="V1438" s="21" t="str">
        <f>_xll.RssMarket(A1438,"出来高")</f>
        <v/>
      </c>
      <c r="W1438" s="21" t="str">
        <f>_xll.RssMarket(A1438,"売買代金")</f>
        <v/>
      </c>
      <c r="X1438" s="20" t="str">
        <f>_xll.RssMarket(A1438,"決算発表日")</f>
        <v/>
      </c>
      <c r="Y1438" s="26" t="str">
        <f>IF(C1438&gt;_xll.RssMarket(A1438,"年初来高値"),"○","×")</f>
        <v>×</v>
      </c>
      <c r="Z1438" s="27" t="str">
        <f>IF(C1438&lt;=_xll.RssMarket(A1438,"年初来安値"),"○","×")</f>
        <v>○</v>
      </c>
    </row>
    <row r="1439" spans="2:26" x14ac:dyDescent="0.55000000000000004">
      <c r="B1439" s="20" t="str">
        <f>_xll.RssMarket(A1439,"銘柄名称")</f>
        <v/>
      </c>
      <c r="C1439" s="21" t="str">
        <f>_xll.RssMarket(A1439,"現在値")</f>
        <v/>
      </c>
      <c r="D1439" s="20" t="str">
        <f>_xll.RssMarket(A1439,"現在値詳細時刻")</f>
        <v/>
      </c>
      <c r="E1439" s="22" t="str">
        <f>_xll.RssMarket(A1439,"前日比")</f>
        <v/>
      </c>
      <c r="F1439" s="23" t="e">
        <f>_xll.RssMarket(A1439,"前日比率")/100</f>
        <v>#VALUE!</v>
      </c>
      <c r="G1439" s="24" t="str">
        <f>IFERROR(VLOOKUP(A1439,取得元!$A$2:$F$501,2,FALSE),"-")</f>
        <v>-</v>
      </c>
      <c r="H1439" s="24" t="str">
        <f>IFERROR(VLOOKUP(A1439,取得元!$A$2:$F$501,3,FALSE),"-")</f>
        <v>-</v>
      </c>
      <c r="I1439" s="24" t="str">
        <f>IFERROR(VLOOKUP(A1439,取得元!$A$2:$F$501,4,FALSE),"-")</f>
        <v>-</v>
      </c>
      <c r="J1439" s="5" t="str">
        <f>IFERROR(VLOOKUP(A1439,取得元!$A$2:$F$501,5,FALSE),"-")</f>
        <v>-</v>
      </c>
      <c r="K1439" s="25" t="str">
        <f>IFERROR(VLOOKUP(A1439,取得元!$A$2:$F$501,6,FALSE)/100,"-")</f>
        <v>-</v>
      </c>
      <c r="L1439" s="21" t="str">
        <f>_xll.RssMarket(A1439,"始値")</f>
        <v/>
      </c>
      <c r="M1439" s="4" t="e">
        <f t="shared" si="125"/>
        <v>#VALUE!</v>
      </c>
      <c r="N1439" s="21" t="str">
        <f>_xll.RssMarket(A1439,"高値")</f>
        <v/>
      </c>
      <c r="O1439" s="4" t="e">
        <f t="shared" si="126"/>
        <v>#VALUE!</v>
      </c>
      <c r="P1439" s="21" t="str">
        <f>_xll.RssMarket(A1439,"安値")</f>
        <v/>
      </c>
      <c r="Q1439" s="4" t="e">
        <f t="shared" si="127"/>
        <v>#VALUE!</v>
      </c>
      <c r="R1439" s="21" t="str">
        <f>_xll.RssMarket(A1439,"後場始値")</f>
        <v/>
      </c>
      <c r="S1439" s="25" t="str">
        <f t="shared" si="128"/>
        <v>-</v>
      </c>
      <c r="T1439" s="7" t="str">
        <f>_xll.RssMarket(A1439,"出来高加重平均")</f>
        <v/>
      </c>
      <c r="U1439" s="4" t="e">
        <f t="shared" si="129"/>
        <v>#VALUE!</v>
      </c>
      <c r="V1439" s="21" t="str">
        <f>_xll.RssMarket(A1439,"出来高")</f>
        <v/>
      </c>
      <c r="W1439" s="21" t="str">
        <f>_xll.RssMarket(A1439,"売買代金")</f>
        <v/>
      </c>
      <c r="X1439" s="20" t="str">
        <f>_xll.RssMarket(A1439,"決算発表日")</f>
        <v/>
      </c>
      <c r="Y1439" s="26" t="str">
        <f>IF(C1439&gt;_xll.RssMarket(A1439,"年初来高値"),"○","×")</f>
        <v>×</v>
      </c>
      <c r="Z1439" s="27" t="str">
        <f>IF(C1439&lt;=_xll.RssMarket(A1439,"年初来安値"),"○","×")</f>
        <v>○</v>
      </c>
    </row>
    <row r="1440" spans="2:26" x14ac:dyDescent="0.55000000000000004">
      <c r="B1440" s="20" t="str">
        <f>_xll.RssMarket(A1440,"銘柄名称")</f>
        <v/>
      </c>
      <c r="C1440" s="21" t="str">
        <f>_xll.RssMarket(A1440,"現在値")</f>
        <v/>
      </c>
      <c r="D1440" s="20" t="str">
        <f>_xll.RssMarket(A1440,"現在値詳細時刻")</f>
        <v/>
      </c>
      <c r="E1440" s="22" t="str">
        <f>_xll.RssMarket(A1440,"前日比")</f>
        <v/>
      </c>
      <c r="F1440" s="23" t="e">
        <f>_xll.RssMarket(A1440,"前日比率")/100</f>
        <v>#VALUE!</v>
      </c>
      <c r="G1440" s="24" t="str">
        <f>IFERROR(VLOOKUP(A1440,取得元!$A$2:$F$501,2,FALSE),"-")</f>
        <v>-</v>
      </c>
      <c r="H1440" s="24" t="str">
        <f>IFERROR(VLOOKUP(A1440,取得元!$A$2:$F$501,3,FALSE),"-")</f>
        <v>-</v>
      </c>
      <c r="I1440" s="24" t="str">
        <f>IFERROR(VLOOKUP(A1440,取得元!$A$2:$F$501,4,FALSE),"-")</f>
        <v>-</v>
      </c>
      <c r="J1440" s="5" t="str">
        <f>IFERROR(VLOOKUP(A1440,取得元!$A$2:$F$501,5,FALSE),"-")</f>
        <v>-</v>
      </c>
      <c r="K1440" s="25" t="str">
        <f>IFERROR(VLOOKUP(A1440,取得元!$A$2:$F$501,6,FALSE)/100,"-")</f>
        <v>-</v>
      </c>
      <c r="L1440" s="21" t="str">
        <f>_xll.RssMarket(A1440,"始値")</f>
        <v/>
      </c>
      <c r="M1440" s="4" t="e">
        <f t="shared" si="125"/>
        <v>#VALUE!</v>
      </c>
      <c r="N1440" s="21" t="str">
        <f>_xll.RssMarket(A1440,"高値")</f>
        <v/>
      </c>
      <c r="O1440" s="4" t="e">
        <f t="shared" si="126"/>
        <v>#VALUE!</v>
      </c>
      <c r="P1440" s="21" t="str">
        <f>_xll.RssMarket(A1440,"安値")</f>
        <v/>
      </c>
      <c r="Q1440" s="4" t="e">
        <f t="shared" si="127"/>
        <v>#VALUE!</v>
      </c>
      <c r="R1440" s="21" t="str">
        <f>_xll.RssMarket(A1440,"後場始値")</f>
        <v/>
      </c>
      <c r="S1440" s="25" t="str">
        <f t="shared" si="128"/>
        <v>-</v>
      </c>
      <c r="T1440" s="7" t="str">
        <f>_xll.RssMarket(A1440,"出来高加重平均")</f>
        <v/>
      </c>
      <c r="U1440" s="4" t="e">
        <f t="shared" si="129"/>
        <v>#VALUE!</v>
      </c>
      <c r="V1440" s="21" t="str">
        <f>_xll.RssMarket(A1440,"出来高")</f>
        <v/>
      </c>
      <c r="W1440" s="21" t="str">
        <f>_xll.RssMarket(A1440,"売買代金")</f>
        <v/>
      </c>
      <c r="X1440" s="20" t="str">
        <f>_xll.RssMarket(A1440,"決算発表日")</f>
        <v/>
      </c>
      <c r="Y1440" s="26" t="str">
        <f>IF(C1440&gt;_xll.RssMarket(A1440,"年初来高値"),"○","×")</f>
        <v>×</v>
      </c>
      <c r="Z1440" s="27" t="str">
        <f>IF(C1440&lt;=_xll.RssMarket(A1440,"年初来安値"),"○","×")</f>
        <v>○</v>
      </c>
    </row>
    <row r="1441" spans="2:26" x14ac:dyDescent="0.55000000000000004">
      <c r="B1441" s="20" t="str">
        <f>_xll.RssMarket(A1441,"銘柄名称")</f>
        <v/>
      </c>
      <c r="C1441" s="21" t="str">
        <f>_xll.RssMarket(A1441,"現在値")</f>
        <v/>
      </c>
      <c r="D1441" s="20" t="str">
        <f>_xll.RssMarket(A1441,"現在値詳細時刻")</f>
        <v/>
      </c>
      <c r="E1441" s="22" t="str">
        <f>_xll.RssMarket(A1441,"前日比")</f>
        <v/>
      </c>
      <c r="F1441" s="23" t="e">
        <f>_xll.RssMarket(A1441,"前日比率")/100</f>
        <v>#VALUE!</v>
      </c>
      <c r="G1441" s="24" t="str">
        <f>IFERROR(VLOOKUP(A1441,取得元!$A$2:$F$501,2,FALSE),"-")</f>
        <v>-</v>
      </c>
      <c r="H1441" s="24" t="str">
        <f>IFERROR(VLOOKUP(A1441,取得元!$A$2:$F$501,3,FALSE),"-")</f>
        <v>-</v>
      </c>
      <c r="I1441" s="24" t="str">
        <f>IFERROR(VLOOKUP(A1441,取得元!$A$2:$F$501,4,FALSE),"-")</f>
        <v>-</v>
      </c>
      <c r="J1441" s="5" t="str">
        <f>IFERROR(VLOOKUP(A1441,取得元!$A$2:$F$501,5,FALSE),"-")</f>
        <v>-</v>
      </c>
      <c r="K1441" s="25" t="str">
        <f>IFERROR(VLOOKUP(A1441,取得元!$A$2:$F$501,6,FALSE)/100,"-")</f>
        <v>-</v>
      </c>
      <c r="L1441" s="21" t="str">
        <f>_xll.RssMarket(A1441,"始値")</f>
        <v/>
      </c>
      <c r="M1441" s="4" t="e">
        <f t="shared" si="125"/>
        <v>#VALUE!</v>
      </c>
      <c r="N1441" s="21" t="str">
        <f>_xll.RssMarket(A1441,"高値")</f>
        <v/>
      </c>
      <c r="O1441" s="4" t="e">
        <f t="shared" si="126"/>
        <v>#VALUE!</v>
      </c>
      <c r="P1441" s="21" t="str">
        <f>_xll.RssMarket(A1441,"安値")</f>
        <v/>
      </c>
      <c r="Q1441" s="4" t="e">
        <f t="shared" si="127"/>
        <v>#VALUE!</v>
      </c>
      <c r="R1441" s="21" t="str">
        <f>_xll.RssMarket(A1441,"後場始値")</f>
        <v/>
      </c>
      <c r="S1441" s="25" t="str">
        <f t="shared" si="128"/>
        <v>-</v>
      </c>
      <c r="T1441" s="7" t="str">
        <f>_xll.RssMarket(A1441,"出来高加重平均")</f>
        <v/>
      </c>
      <c r="U1441" s="4" t="e">
        <f t="shared" si="129"/>
        <v>#VALUE!</v>
      </c>
      <c r="V1441" s="21" t="str">
        <f>_xll.RssMarket(A1441,"出来高")</f>
        <v/>
      </c>
      <c r="W1441" s="21" t="str">
        <f>_xll.RssMarket(A1441,"売買代金")</f>
        <v/>
      </c>
      <c r="X1441" s="20" t="str">
        <f>_xll.RssMarket(A1441,"決算発表日")</f>
        <v/>
      </c>
      <c r="Y1441" s="26" t="str">
        <f>IF(C1441&gt;_xll.RssMarket(A1441,"年初来高値"),"○","×")</f>
        <v>×</v>
      </c>
      <c r="Z1441" s="27" t="str">
        <f>IF(C1441&lt;=_xll.RssMarket(A1441,"年初来安値"),"○","×")</f>
        <v>○</v>
      </c>
    </row>
    <row r="1442" spans="2:26" x14ac:dyDescent="0.55000000000000004">
      <c r="B1442" s="20" t="str">
        <f>_xll.RssMarket(A1442,"銘柄名称")</f>
        <v/>
      </c>
      <c r="C1442" s="21" t="str">
        <f>_xll.RssMarket(A1442,"現在値")</f>
        <v/>
      </c>
      <c r="D1442" s="20" t="str">
        <f>_xll.RssMarket(A1442,"現在値詳細時刻")</f>
        <v/>
      </c>
      <c r="E1442" s="22" t="str">
        <f>_xll.RssMarket(A1442,"前日比")</f>
        <v/>
      </c>
      <c r="F1442" s="23" t="e">
        <f>_xll.RssMarket(A1442,"前日比率")/100</f>
        <v>#VALUE!</v>
      </c>
      <c r="G1442" s="24" t="str">
        <f>IFERROR(VLOOKUP(A1442,取得元!$A$2:$F$501,2,FALSE),"-")</f>
        <v>-</v>
      </c>
      <c r="H1442" s="24" t="str">
        <f>IFERROR(VLOOKUP(A1442,取得元!$A$2:$F$501,3,FALSE),"-")</f>
        <v>-</v>
      </c>
      <c r="I1442" s="24" t="str">
        <f>IFERROR(VLOOKUP(A1442,取得元!$A$2:$F$501,4,FALSE),"-")</f>
        <v>-</v>
      </c>
      <c r="J1442" s="5" t="str">
        <f>IFERROR(VLOOKUP(A1442,取得元!$A$2:$F$501,5,FALSE),"-")</f>
        <v>-</v>
      </c>
      <c r="K1442" s="25" t="str">
        <f>IFERROR(VLOOKUP(A1442,取得元!$A$2:$F$501,6,FALSE)/100,"-")</f>
        <v>-</v>
      </c>
      <c r="L1442" s="21" t="str">
        <f>_xll.RssMarket(A1442,"始値")</f>
        <v/>
      </c>
      <c r="M1442" s="4" t="e">
        <f t="shared" si="125"/>
        <v>#VALUE!</v>
      </c>
      <c r="N1442" s="21" t="str">
        <f>_xll.RssMarket(A1442,"高値")</f>
        <v/>
      </c>
      <c r="O1442" s="4" t="e">
        <f t="shared" si="126"/>
        <v>#VALUE!</v>
      </c>
      <c r="P1442" s="21" t="str">
        <f>_xll.RssMarket(A1442,"安値")</f>
        <v/>
      </c>
      <c r="Q1442" s="4" t="e">
        <f t="shared" si="127"/>
        <v>#VALUE!</v>
      </c>
      <c r="R1442" s="21" t="str">
        <f>_xll.RssMarket(A1442,"後場始値")</f>
        <v/>
      </c>
      <c r="S1442" s="25" t="str">
        <f t="shared" si="128"/>
        <v>-</v>
      </c>
      <c r="T1442" s="7" t="str">
        <f>_xll.RssMarket(A1442,"出来高加重平均")</f>
        <v/>
      </c>
      <c r="U1442" s="4" t="e">
        <f t="shared" si="129"/>
        <v>#VALUE!</v>
      </c>
      <c r="V1442" s="21" t="str">
        <f>_xll.RssMarket(A1442,"出来高")</f>
        <v/>
      </c>
      <c r="W1442" s="21" t="str">
        <f>_xll.RssMarket(A1442,"売買代金")</f>
        <v/>
      </c>
      <c r="X1442" s="20" t="str">
        <f>_xll.RssMarket(A1442,"決算発表日")</f>
        <v/>
      </c>
      <c r="Y1442" s="26" t="str">
        <f>IF(C1442&gt;_xll.RssMarket(A1442,"年初来高値"),"○","×")</f>
        <v>×</v>
      </c>
      <c r="Z1442" s="27" t="str">
        <f>IF(C1442&lt;=_xll.RssMarket(A1442,"年初来安値"),"○","×")</f>
        <v>○</v>
      </c>
    </row>
    <row r="1443" spans="2:26" x14ac:dyDescent="0.55000000000000004">
      <c r="B1443" s="20" t="str">
        <f>_xll.RssMarket(A1443,"銘柄名称")</f>
        <v/>
      </c>
      <c r="C1443" s="21" t="str">
        <f>_xll.RssMarket(A1443,"現在値")</f>
        <v/>
      </c>
      <c r="D1443" s="20" t="str">
        <f>_xll.RssMarket(A1443,"現在値詳細時刻")</f>
        <v/>
      </c>
      <c r="E1443" s="22" t="str">
        <f>_xll.RssMarket(A1443,"前日比")</f>
        <v/>
      </c>
      <c r="F1443" s="23" t="e">
        <f>_xll.RssMarket(A1443,"前日比率")/100</f>
        <v>#VALUE!</v>
      </c>
      <c r="G1443" s="24" t="str">
        <f>IFERROR(VLOOKUP(A1443,取得元!$A$2:$F$501,2,FALSE),"-")</f>
        <v>-</v>
      </c>
      <c r="H1443" s="24" t="str">
        <f>IFERROR(VLOOKUP(A1443,取得元!$A$2:$F$501,3,FALSE),"-")</f>
        <v>-</v>
      </c>
      <c r="I1443" s="24" t="str">
        <f>IFERROR(VLOOKUP(A1443,取得元!$A$2:$F$501,4,FALSE),"-")</f>
        <v>-</v>
      </c>
      <c r="J1443" s="5" t="str">
        <f>IFERROR(VLOOKUP(A1443,取得元!$A$2:$F$501,5,FALSE),"-")</f>
        <v>-</v>
      </c>
      <c r="K1443" s="25" t="str">
        <f>IFERROR(VLOOKUP(A1443,取得元!$A$2:$F$501,6,FALSE)/100,"-")</f>
        <v>-</v>
      </c>
      <c r="L1443" s="21" t="str">
        <f>_xll.RssMarket(A1443,"始値")</f>
        <v/>
      </c>
      <c r="M1443" s="4" t="e">
        <f t="shared" si="125"/>
        <v>#VALUE!</v>
      </c>
      <c r="N1443" s="21" t="str">
        <f>_xll.RssMarket(A1443,"高値")</f>
        <v/>
      </c>
      <c r="O1443" s="4" t="e">
        <f t="shared" si="126"/>
        <v>#VALUE!</v>
      </c>
      <c r="P1443" s="21" t="str">
        <f>_xll.RssMarket(A1443,"安値")</f>
        <v/>
      </c>
      <c r="Q1443" s="4" t="e">
        <f t="shared" si="127"/>
        <v>#VALUE!</v>
      </c>
      <c r="R1443" s="21" t="str">
        <f>_xll.RssMarket(A1443,"後場始値")</f>
        <v/>
      </c>
      <c r="S1443" s="25" t="str">
        <f t="shared" si="128"/>
        <v>-</v>
      </c>
      <c r="T1443" s="7" t="str">
        <f>_xll.RssMarket(A1443,"出来高加重平均")</f>
        <v/>
      </c>
      <c r="U1443" s="4" t="e">
        <f t="shared" si="129"/>
        <v>#VALUE!</v>
      </c>
      <c r="V1443" s="21" t="str">
        <f>_xll.RssMarket(A1443,"出来高")</f>
        <v/>
      </c>
      <c r="W1443" s="21" t="str">
        <f>_xll.RssMarket(A1443,"売買代金")</f>
        <v/>
      </c>
      <c r="X1443" s="20" t="str">
        <f>_xll.RssMarket(A1443,"決算発表日")</f>
        <v/>
      </c>
      <c r="Y1443" s="26" t="str">
        <f>IF(C1443&gt;_xll.RssMarket(A1443,"年初来高値"),"○","×")</f>
        <v>×</v>
      </c>
      <c r="Z1443" s="27" t="str">
        <f>IF(C1443&lt;=_xll.RssMarket(A1443,"年初来安値"),"○","×")</f>
        <v>○</v>
      </c>
    </row>
    <row r="1444" spans="2:26" x14ac:dyDescent="0.55000000000000004">
      <c r="B1444" s="20" t="str">
        <f>_xll.RssMarket(A1444,"銘柄名称")</f>
        <v/>
      </c>
      <c r="C1444" s="21" t="str">
        <f>_xll.RssMarket(A1444,"現在値")</f>
        <v/>
      </c>
      <c r="D1444" s="20" t="str">
        <f>_xll.RssMarket(A1444,"現在値詳細時刻")</f>
        <v/>
      </c>
      <c r="E1444" s="22" t="str">
        <f>_xll.RssMarket(A1444,"前日比")</f>
        <v/>
      </c>
      <c r="F1444" s="23" t="e">
        <f>_xll.RssMarket(A1444,"前日比率")/100</f>
        <v>#VALUE!</v>
      </c>
      <c r="G1444" s="24" t="str">
        <f>IFERROR(VLOOKUP(A1444,取得元!$A$2:$F$501,2,FALSE),"-")</f>
        <v>-</v>
      </c>
      <c r="H1444" s="24" t="str">
        <f>IFERROR(VLOOKUP(A1444,取得元!$A$2:$F$501,3,FALSE),"-")</f>
        <v>-</v>
      </c>
      <c r="I1444" s="24" t="str">
        <f>IFERROR(VLOOKUP(A1444,取得元!$A$2:$F$501,4,FALSE),"-")</f>
        <v>-</v>
      </c>
      <c r="J1444" s="5" t="str">
        <f>IFERROR(VLOOKUP(A1444,取得元!$A$2:$F$501,5,FALSE),"-")</f>
        <v>-</v>
      </c>
      <c r="K1444" s="25" t="str">
        <f>IFERROR(VLOOKUP(A1444,取得元!$A$2:$F$501,6,FALSE)/100,"-")</f>
        <v>-</v>
      </c>
      <c r="L1444" s="21" t="str">
        <f>_xll.RssMarket(A1444,"始値")</f>
        <v/>
      </c>
      <c r="M1444" s="4" t="e">
        <f t="shared" si="125"/>
        <v>#VALUE!</v>
      </c>
      <c r="N1444" s="21" t="str">
        <f>_xll.RssMarket(A1444,"高値")</f>
        <v/>
      </c>
      <c r="O1444" s="4" t="e">
        <f t="shared" si="126"/>
        <v>#VALUE!</v>
      </c>
      <c r="P1444" s="21" t="str">
        <f>_xll.RssMarket(A1444,"安値")</f>
        <v/>
      </c>
      <c r="Q1444" s="4" t="e">
        <f t="shared" si="127"/>
        <v>#VALUE!</v>
      </c>
      <c r="R1444" s="21" t="str">
        <f>_xll.RssMarket(A1444,"後場始値")</f>
        <v/>
      </c>
      <c r="S1444" s="25" t="str">
        <f t="shared" si="128"/>
        <v>-</v>
      </c>
      <c r="T1444" s="7" t="str">
        <f>_xll.RssMarket(A1444,"出来高加重平均")</f>
        <v/>
      </c>
      <c r="U1444" s="4" t="e">
        <f t="shared" si="129"/>
        <v>#VALUE!</v>
      </c>
      <c r="V1444" s="21" t="str">
        <f>_xll.RssMarket(A1444,"出来高")</f>
        <v/>
      </c>
      <c r="W1444" s="21" t="str">
        <f>_xll.RssMarket(A1444,"売買代金")</f>
        <v/>
      </c>
      <c r="X1444" s="20" t="str">
        <f>_xll.RssMarket(A1444,"決算発表日")</f>
        <v/>
      </c>
      <c r="Y1444" s="26" t="str">
        <f>IF(C1444&gt;_xll.RssMarket(A1444,"年初来高値"),"○","×")</f>
        <v>×</v>
      </c>
      <c r="Z1444" s="27" t="str">
        <f>IF(C1444&lt;=_xll.RssMarket(A1444,"年初来安値"),"○","×")</f>
        <v>○</v>
      </c>
    </row>
    <row r="1445" spans="2:26" x14ac:dyDescent="0.55000000000000004">
      <c r="B1445" s="20" t="str">
        <f>_xll.RssMarket(A1445,"銘柄名称")</f>
        <v/>
      </c>
      <c r="C1445" s="21" t="str">
        <f>_xll.RssMarket(A1445,"現在値")</f>
        <v/>
      </c>
      <c r="D1445" s="20" t="str">
        <f>_xll.RssMarket(A1445,"現在値詳細時刻")</f>
        <v/>
      </c>
      <c r="E1445" s="22" t="str">
        <f>_xll.RssMarket(A1445,"前日比")</f>
        <v/>
      </c>
      <c r="F1445" s="23" t="e">
        <f>_xll.RssMarket(A1445,"前日比率")/100</f>
        <v>#VALUE!</v>
      </c>
      <c r="G1445" s="24" t="str">
        <f>IFERROR(VLOOKUP(A1445,取得元!$A$2:$F$501,2,FALSE),"-")</f>
        <v>-</v>
      </c>
      <c r="H1445" s="24" t="str">
        <f>IFERROR(VLOOKUP(A1445,取得元!$A$2:$F$501,3,FALSE),"-")</f>
        <v>-</v>
      </c>
      <c r="I1445" s="24" t="str">
        <f>IFERROR(VLOOKUP(A1445,取得元!$A$2:$F$501,4,FALSE),"-")</f>
        <v>-</v>
      </c>
      <c r="J1445" s="5" t="str">
        <f>IFERROR(VLOOKUP(A1445,取得元!$A$2:$F$501,5,FALSE),"-")</f>
        <v>-</v>
      </c>
      <c r="K1445" s="25" t="str">
        <f>IFERROR(VLOOKUP(A1445,取得元!$A$2:$F$501,6,FALSE)/100,"-")</f>
        <v>-</v>
      </c>
      <c r="L1445" s="21" t="str">
        <f>_xll.RssMarket(A1445,"始値")</f>
        <v/>
      </c>
      <c r="M1445" s="4" t="e">
        <f t="shared" si="125"/>
        <v>#VALUE!</v>
      </c>
      <c r="N1445" s="21" t="str">
        <f>_xll.RssMarket(A1445,"高値")</f>
        <v/>
      </c>
      <c r="O1445" s="4" t="e">
        <f t="shared" si="126"/>
        <v>#VALUE!</v>
      </c>
      <c r="P1445" s="21" t="str">
        <f>_xll.RssMarket(A1445,"安値")</f>
        <v/>
      </c>
      <c r="Q1445" s="4" t="e">
        <f t="shared" si="127"/>
        <v>#VALUE!</v>
      </c>
      <c r="R1445" s="21" t="str">
        <f>_xll.RssMarket(A1445,"後場始値")</f>
        <v/>
      </c>
      <c r="S1445" s="25" t="str">
        <f t="shared" si="128"/>
        <v>-</v>
      </c>
      <c r="T1445" s="7" t="str">
        <f>_xll.RssMarket(A1445,"出来高加重平均")</f>
        <v/>
      </c>
      <c r="U1445" s="4" t="e">
        <f t="shared" si="129"/>
        <v>#VALUE!</v>
      </c>
      <c r="V1445" s="21" t="str">
        <f>_xll.RssMarket(A1445,"出来高")</f>
        <v/>
      </c>
      <c r="W1445" s="21" t="str">
        <f>_xll.RssMarket(A1445,"売買代金")</f>
        <v/>
      </c>
      <c r="X1445" s="20" t="str">
        <f>_xll.RssMarket(A1445,"決算発表日")</f>
        <v/>
      </c>
      <c r="Y1445" s="26" t="str">
        <f>IF(C1445&gt;_xll.RssMarket(A1445,"年初来高値"),"○","×")</f>
        <v>×</v>
      </c>
      <c r="Z1445" s="27" t="str">
        <f>IF(C1445&lt;=_xll.RssMarket(A1445,"年初来安値"),"○","×")</f>
        <v>○</v>
      </c>
    </row>
    <row r="1446" spans="2:26" x14ac:dyDescent="0.55000000000000004">
      <c r="B1446" s="20" t="str">
        <f>_xll.RssMarket(A1446,"銘柄名称")</f>
        <v/>
      </c>
      <c r="C1446" s="21" t="str">
        <f>_xll.RssMarket(A1446,"現在値")</f>
        <v/>
      </c>
      <c r="D1446" s="20" t="str">
        <f>_xll.RssMarket(A1446,"現在値詳細時刻")</f>
        <v/>
      </c>
      <c r="E1446" s="22" t="str">
        <f>_xll.RssMarket(A1446,"前日比")</f>
        <v/>
      </c>
      <c r="F1446" s="23" t="e">
        <f>_xll.RssMarket(A1446,"前日比率")/100</f>
        <v>#VALUE!</v>
      </c>
      <c r="G1446" s="24" t="str">
        <f>IFERROR(VLOOKUP(A1446,取得元!$A$2:$F$501,2,FALSE),"-")</f>
        <v>-</v>
      </c>
      <c r="H1446" s="24" t="str">
        <f>IFERROR(VLOOKUP(A1446,取得元!$A$2:$F$501,3,FALSE),"-")</f>
        <v>-</v>
      </c>
      <c r="I1446" s="24" t="str">
        <f>IFERROR(VLOOKUP(A1446,取得元!$A$2:$F$501,4,FALSE),"-")</f>
        <v>-</v>
      </c>
      <c r="J1446" s="5" t="str">
        <f>IFERROR(VLOOKUP(A1446,取得元!$A$2:$F$501,5,FALSE),"-")</f>
        <v>-</v>
      </c>
      <c r="K1446" s="25" t="str">
        <f>IFERROR(VLOOKUP(A1446,取得元!$A$2:$F$501,6,FALSE)/100,"-")</f>
        <v>-</v>
      </c>
      <c r="L1446" s="21" t="str">
        <f>_xll.RssMarket(A1446,"始値")</f>
        <v/>
      </c>
      <c r="M1446" s="4" t="e">
        <f t="shared" si="125"/>
        <v>#VALUE!</v>
      </c>
      <c r="N1446" s="21" t="str">
        <f>_xll.RssMarket(A1446,"高値")</f>
        <v/>
      </c>
      <c r="O1446" s="4" t="e">
        <f t="shared" si="126"/>
        <v>#VALUE!</v>
      </c>
      <c r="P1446" s="21" t="str">
        <f>_xll.RssMarket(A1446,"安値")</f>
        <v/>
      </c>
      <c r="Q1446" s="4" t="e">
        <f t="shared" si="127"/>
        <v>#VALUE!</v>
      </c>
      <c r="R1446" s="21" t="str">
        <f>_xll.RssMarket(A1446,"後場始値")</f>
        <v/>
      </c>
      <c r="S1446" s="25" t="str">
        <f t="shared" si="128"/>
        <v>-</v>
      </c>
      <c r="T1446" s="7" t="str">
        <f>_xll.RssMarket(A1446,"出来高加重平均")</f>
        <v/>
      </c>
      <c r="U1446" s="4" t="e">
        <f t="shared" si="129"/>
        <v>#VALUE!</v>
      </c>
      <c r="V1446" s="21" t="str">
        <f>_xll.RssMarket(A1446,"出来高")</f>
        <v/>
      </c>
      <c r="W1446" s="21" t="str">
        <f>_xll.RssMarket(A1446,"売買代金")</f>
        <v/>
      </c>
      <c r="X1446" s="20" t="str">
        <f>_xll.RssMarket(A1446,"決算発表日")</f>
        <v/>
      </c>
      <c r="Y1446" s="26" t="str">
        <f>IF(C1446&gt;_xll.RssMarket(A1446,"年初来高値"),"○","×")</f>
        <v>×</v>
      </c>
      <c r="Z1446" s="27" t="str">
        <f>IF(C1446&lt;=_xll.RssMarket(A1446,"年初来安値"),"○","×")</f>
        <v>○</v>
      </c>
    </row>
    <row r="1447" spans="2:26" x14ac:dyDescent="0.55000000000000004">
      <c r="B1447" s="20" t="str">
        <f>_xll.RssMarket(A1447,"銘柄名称")</f>
        <v/>
      </c>
      <c r="C1447" s="21" t="str">
        <f>_xll.RssMarket(A1447,"現在値")</f>
        <v/>
      </c>
      <c r="D1447" s="20" t="str">
        <f>_xll.RssMarket(A1447,"現在値詳細時刻")</f>
        <v/>
      </c>
      <c r="E1447" s="22" t="str">
        <f>_xll.RssMarket(A1447,"前日比")</f>
        <v/>
      </c>
      <c r="F1447" s="23" t="e">
        <f>_xll.RssMarket(A1447,"前日比率")/100</f>
        <v>#VALUE!</v>
      </c>
      <c r="G1447" s="24" t="str">
        <f>IFERROR(VLOOKUP(A1447,取得元!$A$2:$F$501,2,FALSE),"-")</f>
        <v>-</v>
      </c>
      <c r="H1447" s="24" t="str">
        <f>IFERROR(VLOOKUP(A1447,取得元!$A$2:$F$501,3,FALSE),"-")</f>
        <v>-</v>
      </c>
      <c r="I1447" s="24" t="str">
        <f>IFERROR(VLOOKUP(A1447,取得元!$A$2:$F$501,4,FALSE),"-")</f>
        <v>-</v>
      </c>
      <c r="J1447" s="5" t="str">
        <f>IFERROR(VLOOKUP(A1447,取得元!$A$2:$F$501,5,FALSE),"-")</f>
        <v>-</v>
      </c>
      <c r="K1447" s="25" t="str">
        <f>IFERROR(VLOOKUP(A1447,取得元!$A$2:$F$501,6,FALSE)/100,"-")</f>
        <v>-</v>
      </c>
      <c r="L1447" s="21" t="str">
        <f>_xll.RssMarket(A1447,"始値")</f>
        <v/>
      </c>
      <c r="M1447" s="4" t="e">
        <f t="shared" si="125"/>
        <v>#VALUE!</v>
      </c>
      <c r="N1447" s="21" t="str">
        <f>_xll.RssMarket(A1447,"高値")</f>
        <v/>
      </c>
      <c r="O1447" s="4" t="e">
        <f t="shared" si="126"/>
        <v>#VALUE!</v>
      </c>
      <c r="P1447" s="21" t="str">
        <f>_xll.RssMarket(A1447,"安値")</f>
        <v/>
      </c>
      <c r="Q1447" s="4" t="e">
        <f t="shared" si="127"/>
        <v>#VALUE!</v>
      </c>
      <c r="R1447" s="21" t="str">
        <f>_xll.RssMarket(A1447,"後場始値")</f>
        <v/>
      </c>
      <c r="S1447" s="25" t="str">
        <f t="shared" si="128"/>
        <v>-</v>
      </c>
      <c r="T1447" s="7" t="str">
        <f>_xll.RssMarket(A1447,"出来高加重平均")</f>
        <v/>
      </c>
      <c r="U1447" s="4" t="e">
        <f t="shared" si="129"/>
        <v>#VALUE!</v>
      </c>
      <c r="V1447" s="21" t="str">
        <f>_xll.RssMarket(A1447,"出来高")</f>
        <v/>
      </c>
      <c r="W1447" s="21" t="str">
        <f>_xll.RssMarket(A1447,"売買代金")</f>
        <v/>
      </c>
      <c r="X1447" s="20" t="str">
        <f>_xll.RssMarket(A1447,"決算発表日")</f>
        <v/>
      </c>
      <c r="Y1447" s="26" t="str">
        <f>IF(C1447&gt;_xll.RssMarket(A1447,"年初来高値"),"○","×")</f>
        <v>×</v>
      </c>
      <c r="Z1447" s="27" t="str">
        <f>IF(C1447&lt;=_xll.RssMarket(A1447,"年初来安値"),"○","×")</f>
        <v>○</v>
      </c>
    </row>
    <row r="1448" spans="2:26" x14ac:dyDescent="0.55000000000000004">
      <c r="B1448" s="20" t="str">
        <f>_xll.RssMarket(A1448,"銘柄名称")</f>
        <v/>
      </c>
      <c r="C1448" s="21" t="str">
        <f>_xll.RssMarket(A1448,"現在値")</f>
        <v/>
      </c>
      <c r="D1448" s="20" t="str">
        <f>_xll.RssMarket(A1448,"現在値詳細時刻")</f>
        <v/>
      </c>
      <c r="E1448" s="22" t="str">
        <f>_xll.RssMarket(A1448,"前日比")</f>
        <v/>
      </c>
      <c r="F1448" s="23" t="e">
        <f>_xll.RssMarket(A1448,"前日比率")/100</f>
        <v>#VALUE!</v>
      </c>
      <c r="G1448" s="24" t="str">
        <f>IFERROR(VLOOKUP(A1448,取得元!$A$2:$F$501,2,FALSE),"-")</f>
        <v>-</v>
      </c>
      <c r="H1448" s="24" t="str">
        <f>IFERROR(VLOOKUP(A1448,取得元!$A$2:$F$501,3,FALSE),"-")</f>
        <v>-</v>
      </c>
      <c r="I1448" s="24" t="str">
        <f>IFERROR(VLOOKUP(A1448,取得元!$A$2:$F$501,4,FALSE),"-")</f>
        <v>-</v>
      </c>
      <c r="J1448" s="5" t="str">
        <f>IFERROR(VLOOKUP(A1448,取得元!$A$2:$F$501,5,FALSE),"-")</f>
        <v>-</v>
      </c>
      <c r="K1448" s="25" t="str">
        <f>IFERROR(VLOOKUP(A1448,取得元!$A$2:$F$501,6,FALSE)/100,"-")</f>
        <v>-</v>
      </c>
      <c r="L1448" s="21" t="str">
        <f>_xll.RssMarket(A1448,"始値")</f>
        <v/>
      </c>
      <c r="M1448" s="4" t="e">
        <f t="shared" si="125"/>
        <v>#VALUE!</v>
      </c>
      <c r="N1448" s="21" t="str">
        <f>_xll.RssMarket(A1448,"高値")</f>
        <v/>
      </c>
      <c r="O1448" s="4" t="e">
        <f t="shared" si="126"/>
        <v>#VALUE!</v>
      </c>
      <c r="P1448" s="21" t="str">
        <f>_xll.RssMarket(A1448,"安値")</f>
        <v/>
      </c>
      <c r="Q1448" s="4" t="e">
        <f t="shared" si="127"/>
        <v>#VALUE!</v>
      </c>
      <c r="R1448" s="21" t="str">
        <f>_xll.RssMarket(A1448,"後場始値")</f>
        <v/>
      </c>
      <c r="S1448" s="25" t="str">
        <f t="shared" si="128"/>
        <v>-</v>
      </c>
      <c r="T1448" s="7" t="str">
        <f>_xll.RssMarket(A1448,"出来高加重平均")</f>
        <v/>
      </c>
      <c r="U1448" s="4" t="e">
        <f t="shared" si="129"/>
        <v>#VALUE!</v>
      </c>
      <c r="V1448" s="21" t="str">
        <f>_xll.RssMarket(A1448,"出来高")</f>
        <v/>
      </c>
      <c r="W1448" s="21" t="str">
        <f>_xll.RssMarket(A1448,"売買代金")</f>
        <v/>
      </c>
      <c r="X1448" s="20" t="str">
        <f>_xll.RssMarket(A1448,"決算発表日")</f>
        <v/>
      </c>
      <c r="Y1448" s="26" t="str">
        <f>IF(C1448&gt;_xll.RssMarket(A1448,"年初来高値"),"○","×")</f>
        <v>×</v>
      </c>
      <c r="Z1448" s="27" t="str">
        <f>IF(C1448&lt;=_xll.RssMarket(A1448,"年初来安値"),"○","×")</f>
        <v>○</v>
      </c>
    </row>
    <row r="1449" spans="2:26" x14ac:dyDescent="0.55000000000000004">
      <c r="B1449" s="20" t="str">
        <f>_xll.RssMarket(A1449,"銘柄名称")</f>
        <v/>
      </c>
      <c r="C1449" s="21" t="str">
        <f>_xll.RssMarket(A1449,"現在値")</f>
        <v/>
      </c>
      <c r="D1449" s="20" t="str">
        <f>_xll.RssMarket(A1449,"現在値詳細時刻")</f>
        <v/>
      </c>
      <c r="E1449" s="22" t="str">
        <f>_xll.RssMarket(A1449,"前日比")</f>
        <v/>
      </c>
      <c r="F1449" s="23" t="e">
        <f>_xll.RssMarket(A1449,"前日比率")/100</f>
        <v>#VALUE!</v>
      </c>
      <c r="G1449" s="24" t="str">
        <f>IFERROR(VLOOKUP(A1449,取得元!$A$2:$F$501,2,FALSE),"-")</f>
        <v>-</v>
      </c>
      <c r="H1449" s="24" t="str">
        <f>IFERROR(VLOOKUP(A1449,取得元!$A$2:$F$501,3,FALSE),"-")</f>
        <v>-</v>
      </c>
      <c r="I1449" s="24" t="str">
        <f>IFERROR(VLOOKUP(A1449,取得元!$A$2:$F$501,4,FALSE),"-")</f>
        <v>-</v>
      </c>
      <c r="J1449" s="5" t="str">
        <f>IFERROR(VLOOKUP(A1449,取得元!$A$2:$F$501,5,FALSE),"-")</f>
        <v>-</v>
      </c>
      <c r="K1449" s="25" t="str">
        <f>IFERROR(VLOOKUP(A1449,取得元!$A$2:$F$501,6,FALSE)/100,"-")</f>
        <v>-</v>
      </c>
      <c r="L1449" s="21" t="str">
        <f>_xll.RssMarket(A1449,"始値")</f>
        <v/>
      </c>
      <c r="M1449" s="4" t="e">
        <f t="shared" si="125"/>
        <v>#VALUE!</v>
      </c>
      <c r="N1449" s="21" t="str">
        <f>_xll.RssMarket(A1449,"高値")</f>
        <v/>
      </c>
      <c r="O1449" s="4" t="e">
        <f t="shared" si="126"/>
        <v>#VALUE!</v>
      </c>
      <c r="P1449" s="21" t="str">
        <f>_xll.RssMarket(A1449,"安値")</f>
        <v/>
      </c>
      <c r="Q1449" s="4" t="e">
        <f t="shared" si="127"/>
        <v>#VALUE!</v>
      </c>
      <c r="R1449" s="21" t="str">
        <f>_xll.RssMarket(A1449,"後場始値")</f>
        <v/>
      </c>
      <c r="S1449" s="25" t="str">
        <f t="shared" si="128"/>
        <v>-</v>
      </c>
      <c r="T1449" s="7" t="str">
        <f>_xll.RssMarket(A1449,"出来高加重平均")</f>
        <v/>
      </c>
      <c r="U1449" s="4" t="e">
        <f t="shared" si="129"/>
        <v>#VALUE!</v>
      </c>
      <c r="V1449" s="21" t="str">
        <f>_xll.RssMarket(A1449,"出来高")</f>
        <v/>
      </c>
      <c r="W1449" s="21" t="str">
        <f>_xll.RssMarket(A1449,"売買代金")</f>
        <v/>
      </c>
      <c r="X1449" s="20" t="str">
        <f>_xll.RssMarket(A1449,"決算発表日")</f>
        <v/>
      </c>
      <c r="Y1449" s="26" t="str">
        <f>IF(C1449&gt;_xll.RssMarket(A1449,"年初来高値"),"○","×")</f>
        <v>×</v>
      </c>
      <c r="Z1449" s="27" t="str">
        <f>IF(C1449&lt;=_xll.RssMarket(A1449,"年初来安値"),"○","×")</f>
        <v>○</v>
      </c>
    </row>
    <row r="1450" spans="2:26" x14ac:dyDescent="0.55000000000000004">
      <c r="B1450" s="20" t="str">
        <f>_xll.RssMarket(A1450,"銘柄名称")</f>
        <v/>
      </c>
      <c r="C1450" s="21" t="str">
        <f>_xll.RssMarket(A1450,"現在値")</f>
        <v/>
      </c>
      <c r="D1450" s="20" t="str">
        <f>_xll.RssMarket(A1450,"現在値詳細時刻")</f>
        <v/>
      </c>
      <c r="E1450" s="22" t="str">
        <f>_xll.RssMarket(A1450,"前日比")</f>
        <v/>
      </c>
      <c r="F1450" s="23" t="e">
        <f>_xll.RssMarket(A1450,"前日比率")/100</f>
        <v>#VALUE!</v>
      </c>
      <c r="G1450" s="24" t="str">
        <f>IFERROR(VLOOKUP(A1450,取得元!$A$2:$F$501,2,FALSE),"-")</f>
        <v>-</v>
      </c>
      <c r="H1450" s="24" t="str">
        <f>IFERROR(VLOOKUP(A1450,取得元!$A$2:$F$501,3,FALSE),"-")</f>
        <v>-</v>
      </c>
      <c r="I1450" s="24" t="str">
        <f>IFERROR(VLOOKUP(A1450,取得元!$A$2:$F$501,4,FALSE),"-")</f>
        <v>-</v>
      </c>
      <c r="J1450" s="5" t="str">
        <f>IFERROR(VLOOKUP(A1450,取得元!$A$2:$F$501,5,FALSE),"-")</f>
        <v>-</v>
      </c>
      <c r="K1450" s="25" t="str">
        <f>IFERROR(VLOOKUP(A1450,取得元!$A$2:$F$501,6,FALSE)/100,"-")</f>
        <v>-</v>
      </c>
      <c r="L1450" s="21" t="str">
        <f>_xll.RssMarket(A1450,"始値")</f>
        <v/>
      </c>
      <c r="M1450" s="4" t="e">
        <f t="shared" si="125"/>
        <v>#VALUE!</v>
      </c>
      <c r="N1450" s="21" t="str">
        <f>_xll.RssMarket(A1450,"高値")</f>
        <v/>
      </c>
      <c r="O1450" s="4" t="e">
        <f t="shared" si="126"/>
        <v>#VALUE!</v>
      </c>
      <c r="P1450" s="21" t="str">
        <f>_xll.RssMarket(A1450,"安値")</f>
        <v/>
      </c>
      <c r="Q1450" s="4" t="e">
        <f t="shared" si="127"/>
        <v>#VALUE!</v>
      </c>
      <c r="R1450" s="21" t="str">
        <f>_xll.RssMarket(A1450,"後場始値")</f>
        <v/>
      </c>
      <c r="S1450" s="25" t="str">
        <f t="shared" si="128"/>
        <v>-</v>
      </c>
      <c r="T1450" s="7" t="str">
        <f>_xll.RssMarket(A1450,"出来高加重平均")</f>
        <v/>
      </c>
      <c r="U1450" s="4" t="e">
        <f t="shared" si="129"/>
        <v>#VALUE!</v>
      </c>
      <c r="V1450" s="21" t="str">
        <f>_xll.RssMarket(A1450,"出来高")</f>
        <v/>
      </c>
      <c r="W1450" s="21" t="str">
        <f>_xll.RssMarket(A1450,"売買代金")</f>
        <v/>
      </c>
      <c r="X1450" s="20" t="str">
        <f>_xll.RssMarket(A1450,"決算発表日")</f>
        <v/>
      </c>
      <c r="Y1450" s="26" t="str">
        <f>IF(C1450&gt;_xll.RssMarket(A1450,"年初来高値"),"○","×")</f>
        <v>×</v>
      </c>
      <c r="Z1450" s="27" t="str">
        <f>IF(C1450&lt;=_xll.RssMarket(A1450,"年初来安値"),"○","×")</f>
        <v>○</v>
      </c>
    </row>
    <row r="1451" spans="2:26" x14ac:dyDescent="0.55000000000000004">
      <c r="B1451" s="20" t="str">
        <f>_xll.RssMarket(A1451,"銘柄名称")</f>
        <v/>
      </c>
      <c r="C1451" s="21" t="str">
        <f>_xll.RssMarket(A1451,"現在値")</f>
        <v/>
      </c>
      <c r="D1451" s="20" t="str">
        <f>_xll.RssMarket(A1451,"現在値詳細時刻")</f>
        <v/>
      </c>
      <c r="E1451" s="22" t="str">
        <f>_xll.RssMarket(A1451,"前日比")</f>
        <v/>
      </c>
      <c r="F1451" s="23" t="e">
        <f>_xll.RssMarket(A1451,"前日比率")/100</f>
        <v>#VALUE!</v>
      </c>
      <c r="G1451" s="24" t="str">
        <f>IFERROR(VLOOKUP(A1451,取得元!$A$2:$F$501,2,FALSE),"-")</f>
        <v>-</v>
      </c>
      <c r="H1451" s="24" t="str">
        <f>IFERROR(VLOOKUP(A1451,取得元!$A$2:$F$501,3,FALSE),"-")</f>
        <v>-</v>
      </c>
      <c r="I1451" s="24" t="str">
        <f>IFERROR(VLOOKUP(A1451,取得元!$A$2:$F$501,4,FALSE),"-")</f>
        <v>-</v>
      </c>
      <c r="J1451" s="5" t="str">
        <f>IFERROR(VLOOKUP(A1451,取得元!$A$2:$F$501,5,FALSE),"-")</f>
        <v>-</v>
      </c>
      <c r="K1451" s="25" t="str">
        <f>IFERROR(VLOOKUP(A1451,取得元!$A$2:$F$501,6,FALSE)/100,"-")</f>
        <v>-</v>
      </c>
      <c r="L1451" s="21" t="str">
        <f>_xll.RssMarket(A1451,"始値")</f>
        <v/>
      </c>
      <c r="M1451" s="4" t="e">
        <f t="shared" si="125"/>
        <v>#VALUE!</v>
      </c>
      <c r="N1451" s="21" t="str">
        <f>_xll.RssMarket(A1451,"高値")</f>
        <v/>
      </c>
      <c r="O1451" s="4" t="e">
        <f t="shared" si="126"/>
        <v>#VALUE!</v>
      </c>
      <c r="P1451" s="21" t="str">
        <f>_xll.RssMarket(A1451,"安値")</f>
        <v/>
      </c>
      <c r="Q1451" s="4" t="e">
        <f t="shared" si="127"/>
        <v>#VALUE!</v>
      </c>
      <c r="R1451" s="21" t="str">
        <f>_xll.RssMarket(A1451,"後場始値")</f>
        <v/>
      </c>
      <c r="S1451" s="25" t="str">
        <f t="shared" si="128"/>
        <v>-</v>
      </c>
      <c r="T1451" s="7" t="str">
        <f>_xll.RssMarket(A1451,"出来高加重平均")</f>
        <v/>
      </c>
      <c r="U1451" s="4" t="e">
        <f t="shared" si="129"/>
        <v>#VALUE!</v>
      </c>
      <c r="V1451" s="21" t="str">
        <f>_xll.RssMarket(A1451,"出来高")</f>
        <v/>
      </c>
      <c r="W1451" s="21" t="str">
        <f>_xll.RssMarket(A1451,"売買代金")</f>
        <v/>
      </c>
      <c r="X1451" s="20" t="str">
        <f>_xll.RssMarket(A1451,"決算発表日")</f>
        <v/>
      </c>
      <c r="Y1451" s="26" t="str">
        <f>IF(C1451&gt;_xll.RssMarket(A1451,"年初来高値"),"○","×")</f>
        <v>×</v>
      </c>
      <c r="Z1451" s="27" t="str">
        <f>IF(C1451&lt;=_xll.RssMarket(A1451,"年初来安値"),"○","×")</f>
        <v>○</v>
      </c>
    </row>
    <row r="1452" spans="2:26" x14ac:dyDescent="0.55000000000000004">
      <c r="B1452" s="20" t="str">
        <f>_xll.RssMarket(A1452,"銘柄名称")</f>
        <v/>
      </c>
      <c r="C1452" s="21" t="str">
        <f>_xll.RssMarket(A1452,"現在値")</f>
        <v/>
      </c>
      <c r="D1452" s="20" t="str">
        <f>_xll.RssMarket(A1452,"現在値詳細時刻")</f>
        <v/>
      </c>
      <c r="E1452" s="22" t="str">
        <f>_xll.RssMarket(A1452,"前日比")</f>
        <v/>
      </c>
      <c r="F1452" s="23" t="e">
        <f>_xll.RssMarket(A1452,"前日比率")/100</f>
        <v>#VALUE!</v>
      </c>
      <c r="G1452" s="24" t="str">
        <f>IFERROR(VLOOKUP(A1452,取得元!$A$2:$F$501,2,FALSE),"-")</f>
        <v>-</v>
      </c>
      <c r="H1452" s="24" t="str">
        <f>IFERROR(VLOOKUP(A1452,取得元!$A$2:$F$501,3,FALSE),"-")</f>
        <v>-</v>
      </c>
      <c r="I1452" s="24" t="str">
        <f>IFERROR(VLOOKUP(A1452,取得元!$A$2:$F$501,4,FALSE),"-")</f>
        <v>-</v>
      </c>
      <c r="J1452" s="5" t="str">
        <f>IFERROR(VLOOKUP(A1452,取得元!$A$2:$F$501,5,FALSE),"-")</f>
        <v>-</v>
      </c>
      <c r="K1452" s="25" t="str">
        <f>IFERROR(VLOOKUP(A1452,取得元!$A$2:$F$501,6,FALSE)/100,"-")</f>
        <v>-</v>
      </c>
      <c r="L1452" s="21" t="str">
        <f>_xll.RssMarket(A1452,"始値")</f>
        <v/>
      </c>
      <c r="M1452" s="4" t="e">
        <f t="shared" si="125"/>
        <v>#VALUE!</v>
      </c>
      <c r="N1452" s="21" t="str">
        <f>_xll.RssMarket(A1452,"高値")</f>
        <v/>
      </c>
      <c r="O1452" s="4" t="e">
        <f t="shared" si="126"/>
        <v>#VALUE!</v>
      </c>
      <c r="P1452" s="21" t="str">
        <f>_xll.RssMarket(A1452,"安値")</f>
        <v/>
      </c>
      <c r="Q1452" s="4" t="e">
        <f t="shared" si="127"/>
        <v>#VALUE!</v>
      </c>
      <c r="R1452" s="21" t="str">
        <f>_xll.RssMarket(A1452,"後場始値")</f>
        <v/>
      </c>
      <c r="S1452" s="25" t="str">
        <f t="shared" si="128"/>
        <v>-</v>
      </c>
      <c r="T1452" s="7" t="str">
        <f>_xll.RssMarket(A1452,"出来高加重平均")</f>
        <v/>
      </c>
      <c r="U1452" s="4" t="e">
        <f t="shared" si="129"/>
        <v>#VALUE!</v>
      </c>
      <c r="V1452" s="21" t="str">
        <f>_xll.RssMarket(A1452,"出来高")</f>
        <v/>
      </c>
      <c r="W1452" s="21" t="str">
        <f>_xll.RssMarket(A1452,"売買代金")</f>
        <v/>
      </c>
      <c r="X1452" s="20" t="str">
        <f>_xll.RssMarket(A1452,"決算発表日")</f>
        <v/>
      </c>
      <c r="Y1452" s="26" t="str">
        <f>IF(C1452&gt;_xll.RssMarket(A1452,"年初来高値"),"○","×")</f>
        <v>×</v>
      </c>
      <c r="Z1452" s="27" t="str">
        <f>IF(C1452&lt;=_xll.RssMarket(A1452,"年初来安値"),"○","×")</f>
        <v>○</v>
      </c>
    </row>
    <row r="1453" spans="2:26" x14ac:dyDescent="0.55000000000000004">
      <c r="B1453" s="20" t="str">
        <f>_xll.RssMarket(A1453,"銘柄名称")</f>
        <v/>
      </c>
      <c r="C1453" s="21" t="str">
        <f>_xll.RssMarket(A1453,"現在値")</f>
        <v/>
      </c>
      <c r="D1453" s="20" t="str">
        <f>_xll.RssMarket(A1453,"現在値詳細時刻")</f>
        <v/>
      </c>
      <c r="E1453" s="22" t="str">
        <f>_xll.RssMarket(A1453,"前日比")</f>
        <v/>
      </c>
      <c r="F1453" s="23" t="e">
        <f>_xll.RssMarket(A1453,"前日比率")/100</f>
        <v>#VALUE!</v>
      </c>
      <c r="G1453" s="24" t="str">
        <f>IFERROR(VLOOKUP(A1453,取得元!$A$2:$F$501,2,FALSE),"-")</f>
        <v>-</v>
      </c>
      <c r="H1453" s="24" t="str">
        <f>IFERROR(VLOOKUP(A1453,取得元!$A$2:$F$501,3,FALSE),"-")</f>
        <v>-</v>
      </c>
      <c r="I1453" s="24" t="str">
        <f>IFERROR(VLOOKUP(A1453,取得元!$A$2:$F$501,4,FALSE),"-")</f>
        <v>-</v>
      </c>
      <c r="J1453" s="5" t="str">
        <f>IFERROR(VLOOKUP(A1453,取得元!$A$2:$F$501,5,FALSE),"-")</f>
        <v>-</v>
      </c>
      <c r="K1453" s="25" t="str">
        <f>IFERROR(VLOOKUP(A1453,取得元!$A$2:$F$501,6,FALSE)/100,"-")</f>
        <v>-</v>
      </c>
      <c r="L1453" s="21" t="str">
        <f>_xll.RssMarket(A1453,"始値")</f>
        <v/>
      </c>
      <c r="M1453" s="4" t="e">
        <f t="shared" si="125"/>
        <v>#VALUE!</v>
      </c>
      <c r="N1453" s="21" t="str">
        <f>_xll.RssMarket(A1453,"高値")</f>
        <v/>
      </c>
      <c r="O1453" s="4" t="e">
        <f t="shared" si="126"/>
        <v>#VALUE!</v>
      </c>
      <c r="P1453" s="21" t="str">
        <f>_xll.RssMarket(A1453,"安値")</f>
        <v/>
      </c>
      <c r="Q1453" s="4" t="e">
        <f t="shared" si="127"/>
        <v>#VALUE!</v>
      </c>
      <c r="R1453" s="21" t="str">
        <f>_xll.RssMarket(A1453,"後場始値")</f>
        <v/>
      </c>
      <c r="S1453" s="25" t="str">
        <f t="shared" si="128"/>
        <v>-</v>
      </c>
      <c r="T1453" s="7" t="str">
        <f>_xll.RssMarket(A1453,"出来高加重平均")</f>
        <v/>
      </c>
      <c r="U1453" s="4" t="e">
        <f t="shared" si="129"/>
        <v>#VALUE!</v>
      </c>
      <c r="V1453" s="21" t="str">
        <f>_xll.RssMarket(A1453,"出来高")</f>
        <v/>
      </c>
      <c r="W1453" s="21" t="str">
        <f>_xll.RssMarket(A1453,"売買代金")</f>
        <v/>
      </c>
      <c r="X1453" s="20" t="str">
        <f>_xll.RssMarket(A1453,"決算発表日")</f>
        <v/>
      </c>
      <c r="Y1453" s="26" t="str">
        <f>IF(C1453&gt;_xll.RssMarket(A1453,"年初来高値"),"○","×")</f>
        <v>×</v>
      </c>
      <c r="Z1453" s="27" t="str">
        <f>IF(C1453&lt;=_xll.RssMarket(A1453,"年初来安値"),"○","×")</f>
        <v>○</v>
      </c>
    </row>
    <row r="1454" spans="2:26" x14ac:dyDescent="0.55000000000000004">
      <c r="B1454" s="20" t="str">
        <f>_xll.RssMarket(A1454,"銘柄名称")</f>
        <v/>
      </c>
      <c r="C1454" s="21" t="str">
        <f>_xll.RssMarket(A1454,"現在値")</f>
        <v/>
      </c>
      <c r="D1454" s="20" t="str">
        <f>_xll.RssMarket(A1454,"現在値詳細時刻")</f>
        <v/>
      </c>
      <c r="E1454" s="22" t="str">
        <f>_xll.RssMarket(A1454,"前日比")</f>
        <v/>
      </c>
      <c r="F1454" s="23" t="e">
        <f>_xll.RssMarket(A1454,"前日比率")/100</f>
        <v>#VALUE!</v>
      </c>
      <c r="G1454" s="24" t="str">
        <f>IFERROR(VLOOKUP(A1454,取得元!$A$2:$F$501,2,FALSE),"-")</f>
        <v>-</v>
      </c>
      <c r="H1454" s="24" t="str">
        <f>IFERROR(VLOOKUP(A1454,取得元!$A$2:$F$501,3,FALSE),"-")</f>
        <v>-</v>
      </c>
      <c r="I1454" s="24" t="str">
        <f>IFERROR(VLOOKUP(A1454,取得元!$A$2:$F$501,4,FALSE),"-")</f>
        <v>-</v>
      </c>
      <c r="J1454" s="5" t="str">
        <f>IFERROR(VLOOKUP(A1454,取得元!$A$2:$F$501,5,FALSE),"-")</f>
        <v>-</v>
      </c>
      <c r="K1454" s="25" t="str">
        <f>IFERROR(VLOOKUP(A1454,取得元!$A$2:$F$501,6,FALSE)/100,"-")</f>
        <v>-</v>
      </c>
      <c r="L1454" s="21" t="str">
        <f>_xll.RssMarket(A1454,"始値")</f>
        <v/>
      </c>
      <c r="M1454" s="4" t="e">
        <f t="shared" si="125"/>
        <v>#VALUE!</v>
      </c>
      <c r="N1454" s="21" t="str">
        <f>_xll.RssMarket(A1454,"高値")</f>
        <v/>
      </c>
      <c r="O1454" s="4" t="e">
        <f t="shared" si="126"/>
        <v>#VALUE!</v>
      </c>
      <c r="P1454" s="21" t="str">
        <f>_xll.RssMarket(A1454,"安値")</f>
        <v/>
      </c>
      <c r="Q1454" s="4" t="e">
        <f t="shared" si="127"/>
        <v>#VALUE!</v>
      </c>
      <c r="R1454" s="21" t="str">
        <f>_xll.RssMarket(A1454,"後場始値")</f>
        <v/>
      </c>
      <c r="S1454" s="25" t="str">
        <f t="shared" si="128"/>
        <v>-</v>
      </c>
      <c r="T1454" s="7" t="str">
        <f>_xll.RssMarket(A1454,"出来高加重平均")</f>
        <v/>
      </c>
      <c r="U1454" s="4" t="e">
        <f t="shared" si="129"/>
        <v>#VALUE!</v>
      </c>
      <c r="V1454" s="21" t="str">
        <f>_xll.RssMarket(A1454,"出来高")</f>
        <v/>
      </c>
      <c r="W1454" s="21" t="str">
        <f>_xll.RssMarket(A1454,"売買代金")</f>
        <v/>
      </c>
      <c r="X1454" s="20" t="str">
        <f>_xll.RssMarket(A1454,"決算発表日")</f>
        <v/>
      </c>
      <c r="Y1454" s="26" t="str">
        <f>IF(C1454&gt;_xll.RssMarket(A1454,"年初来高値"),"○","×")</f>
        <v>×</v>
      </c>
      <c r="Z1454" s="27" t="str">
        <f>IF(C1454&lt;=_xll.RssMarket(A1454,"年初来安値"),"○","×")</f>
        <v>○</v>
      </c>
    </row>
    <row r="1455" spans="2:26" x14ac:dyDescent="0.55000000000000004">
      <c r="B1455" s="20" t="str">
        <f>_xll.RssMarket(A1455,"銘柄名称")</f>
        <v/>
      </c>
      <c r="C1455" s="21" t="str">
        <f>_xll.RssMarket(A1455,"現在値")</f>
        <v/>
      </c>
      <c r="D1455" s="20" t="str">
        <f>_xll.RssMarket(A1455,"現在値詳細時刻")</f>
        <v/>
      </c>
      <c r="E1455" s="22" t="str">
        <f>_xll.RssMarket(A1455,"前日比")</f>
        <v/>
      </c>
      <c r="F1455" s="23" t="e">
        <f>_xll.RssMarket(A1455,"前日比率")/100</f>
        <v>#VALUE!</v>
      </c>
      <c r="G1455" s="24" t="str">
        <f>IFERROR(VLOOKUP(A1455,取得元!$A$2:$F$501,2,FALSE),"-")</f>
        <v>-</v>
      </c>
      <c r="H1455" s="24" t="str">
        <f>IFERROR(VLOOKUP(A1455,取得元!$A$2:$F$501,3,FALSE),"-")</f>
        <v>-</v>
      </c>
      <c r="I1455" s="24" t="str">
        <f>IFERROR(VLOOKUP(A1455,取得元!$A$2:$F$501,4,FALSE),"-")</f>
        <v>-</v>
      </c>
      <c r="J1455" s="5" t="str">
        <f>IFERROR(VLOOKUP(A1455,取得元!$A$2:$F$501,5,FALSE),"-")</f>
        <v>-</v>
      </c>
      <c r="K1455" s="25" t="str">
        <f>IFERROR(VLOOKUP(A1455,取得元!$A$2:$F$501,6,FALSE)/100,"-")</f>
        <v>-</v>
      </c>
      <c r="L1455" s="21" t="str">
        <f>_xll.RssMarket(A1455,"始値")</f>
        <v/>
      </c>
      <c r="M1455" s="4" t="e">
        <f t="shared" si="125"/>
        <v>#VALUE!</v>
      </c>
      <c r="N1455" s="21" t="str">
        <f>_xll.RssMarket(A1455,"高値")</f>
        <v/>
      </c>
      <c r="O1455" s="4" t="e">
        <f t="shared" si="126"/>
        <v>#VALUE!</v>
      </c>
      <c r="P1455" s="21" t="str">
        <f>_xll.RssMarket(A1455,"安値")</f>
        <v/>
      </c>
      <c r="Q1455" s="4" t="e">
        <f t="shared" si="127"/>
        <v>#VALUE!</v>
      </c>
      <c r="R1455" s="21" t="str">
        <f>_xll.RssMarket(A1455,"後場始値")</f>
        <v/>
      </c>
      <c r="S1455" s="25" t="str">
        <f t="shared" si="128"/>
        <v>-</v>
      </c>
      <c r="T1455" s="7" t="str">
        <f>_xll.RssMarket(A1455,"出来高加重平均")</f>
        <v/>
      </c>
      <c r="U1455" s="4" t="e">
        <f t="shared" si="129"/>
        <v>#VALUE!</v>
      </c>
      <c r="V1455" s="21" t="str">
        <f>_xll.RssMarket(A1455,"出来高")</f>
        <v/>
      </c>
      <c r="W1455" s="21" t="str">
        <f>_xll.RssMarket(A1455,"売買代金")</f>
        <v/>
      </c>
      <c r="X1455" s="20" t="str">
        <f>_xll.RssMarket(A1455,"決算発表日")</f>
        <v/>
      </c>
      <c r="Y1455" s="26" t="str">
        <f>IF(C1455&gt;_xll.RssMarket(A1455,"年初来高値"),"○","×")</f>
        <v>×</v>
      </c>
      <c r="Z1455" s="27" t="str">
        <f>IF(C1455&lt;=_xll.RssMarket(A1455,"年初来安値"),"○","×")</f>
        <v>○</v>
      </c>
    </row>
    <row r="1456" spans="2:26" x14ac:dyDescent="0.55000000000000004">
      <c r="B1456" s="20" t="str">
        <f>_xll.RssMarket(A1456,"銘柄名称")</f>
        <v/>
      </c>
      <c r="C1456" s="21" t="str">
        <f>_xll.RssMarket(A1456,"現在値")</f>
        <v/>
      </c>
      <c r="D1456" s="20" t="str">
        <f>_xll.RssMarket(A1456,"現在値詳細時刻")</f>
        <v/>
      </c>
      <c r="E1456" s="22" t="str">
        <f>_xll.RssMarket(A1456,"前日比")</f>
        <v/>
      </c>
      <c r="F1456" s="23" t="e">
        <f>_xll.RssMarket(A1456,"前日比率")/100</f>
        <v>#VALUE!</v>
      </c>
      <c r="G1456" s="24" t="str">
        <f>IFERROR(VLOOKUP(A1456,取得元!$A$2:$F$501,2,FALSE),"-")</f>
        <v>-</v>
      </c>
      <c r="H1456" s="24" t="str">
        <f>IFERROR(VLOOKUP(A1456,取得元!$A$2:$F$501,3,FALSE),"-")</f>
        <v>-</v>
      </c>
      <c r="I1456" s="24" t="str">
        <f>IFERROR(VLOOKUP(A1456,取得元!$A$2:$F$501,4,FALSE),"-")</f>
        <v>-</v>
      </c>
      <c r="J1456" s="5" t="str">
        <f>IFERROR(VLOOKUP(A1456,取得元!$A$2:$F$501,5,FALSE),"-")</f>
        <v>-</v>
      </c>
      <c r="K1456" s="25" t="str">
        <f>IFERROR(VLOOKUP(A1456,取得元!$A$2:$F$501,6,FALSE)/100,"-")</f>
        <v>-</v>
      </c>
      <c r="L1456" s="21" t="str">
        <f>_xll.RssMarket(A1456,"始値")</f>
        <v/>
      </c>
      <c r="M1456" s="4" t="e">
        <f t="shared" si="125"/>
        <v>#VALUE!</v>
      </c>
      <c r="N1456" s="21" t="str">
        <f>_xll.RssMarket(A1456,"高値")</f>
        <v/>
      </c>
      <c r="O1456" s="4" t="e">
        <f t="shared" si="126"/>
        <v>#VALUE!</v>
      </c>
      <c r="P1456" s="21" t="str">
        <f>_xll.RssMarket(A1456,"安値")</f>
        <v/>
      </c>
      <c r="Q1456" s="4" t="e">
        <f t="shared" si="127"/>
        <v>#VALUE!</v>
      </c>
      <c r="R1456" s="21" t="str">
        <f>_xll.RssMarket(A1456,"後場始値")</f>
        <v/>
      </c>
      <c r="S1456" s="25" t="str">
        <f t="shared" si="128"/>
        <v>-</v>
      </c>
      <c r="T1456" s="7" t="str">
        <f>_xll.RssMarket(A1456,"出来高加重平均")</f>
        <v/>
      </c>
      <c r="U1456" s="4" t="e">
        <f t="shared" si="129"/>
        <v>#VALUE!</v>
      </c>
      <c r="V1456" s="21" t="str">
        <f>_xll.RssMarket(A1456,"出来高")</f>
        <v/>
      </c>
      <c r="W1456" s="21" t="str">
        <f>_xll.RssMarket(A1456,"売買代金")</f>
        <v/>
      </c>
      <c r="X1456" s="20" t="str">
        <f>_xll.RssMarket(A1456,"決算発表日")</f>
        <v/>
      </c>
      <c r="Y1456" s="26" t="str">
        <f>IF(C1456&gt;_xll.RssMarket(A1456,"年初来高値"),"○","×")</f>
        <v>×</v>
      </c>
      <c r="Z1456" s="27" t="str">
        <f>IF(C1456&lt;=_xll.RssMarket(A1456,"年初来安値"),"○","×")</f>
        <v>○</v>
      </c>
    </row>
    <row r="1457" spans="2:26" x14ac:dyDescent="0.55000000000000004">
      <c r="B1457" s="20" t="str">
        <f>_xll.RssMarket(A1457,"銘柄名称")</f>
        <v/>
      </c>
      <c r="C1457" s="21" t="str">
        <f>_xll.RssMarket(A1457,"現在値")</f>
        <v/>
      </c>
      <c r="D1457" s="20" t="str">
        <f>_xll.RssMarket(A1457,"現在値詳細時刻")</f>
        <v/>
      </c>
      <c r="E1457" s="22" t="str">
        <f>_xll.RssMarket(A1457,"前日比")</f>
        <v/>
      </c>
      <c r="F1457" s="23" t="e">
        <f>_xll.RssMarket(A1457,"前日比率")/100</f>
        <v>#VALUE!</v>
      </c>
      <c r="G1457" s="24" t="str">
        <f>IFERROR(VLOOKUP(A1457,取得元!$A$2:$F$501,2,FALSE),"-")</f>
        <v>-</v>
      </c>
      <c r="H1457" s="24" t="str">
        <f>IFERROR(VLOOKUP(A1457,取得元!$A$2:$F$501,3,FALSE),"-")</f>
        <v>-</v>
      </c>
      <c r="I1457" s="24" t="str">
        <f>IFERROR(VLOOKUP(A1457,取得元!$A$2:$F$501,4,FALSE),"-")</f>
        <v>-</v>
      </c>
      <c r="J1457" s="5" t="str">
        <f>IFERROR(VLOOKUP(A1457,取得元!$A$2:$F$501,5,FALSE),"-")</f>
        <v>-</v>
      </c>
      <c r="K1457" s="25" t="str">
        <f>IFERROR(VLOOKUP(A1457,取得元!$A$2:$F$501,6,FALSE)/100,"-")</f>
        <v>-</v>
      </c>
      <c r="L1457" s="21" t="str">
        <f>_xll.RssMarket(A1457,"始値")</f>
        <v/>
      </c>
      <c r="M1457" s="4" t="e">
        <f t="shared" si="125"/>
        <v>#VALUE!</v>
      </c>
      <c r="N1457" s="21" t="str">
        <f>_xll.RssMarket(A1457,"高値")</f>
        <v/>
      </c>
      <c r="O1457" s="4" t="e">
        <f t="shared" si="126"/>
        <v>#VALUE!</v>
      </c>
      <c r="P1457" s="21" t="str">
        <f>_xll.RssMarket(A1457,"安値")</f>
        <v/>
      </c>
      <c r="Q1457" s="4" t="e">
        <f t="shared" si="127"/>
        <v>#VALUE!</v>
      </c>
      <c r="R1457" s="21" t="str">
        <f>_xll.RssMarket(A1457,"後場始値")</f>
        <v/>
      </c>
      <c r="S1457" s="25" t="str">
        <f t="shared" si="128"/>
        <v>-</v>
      </c>
      <c r="T1457" s="7" t="str">
        <f>_xll.RssMarket(A1457,"出来高加重平均")</f>
        <v/>
      </c>
      <c r="U1457" s="4" t="e">
        <f t="shared" si="129"/>
        <v>#VALUE!</v>
      </c>
      <c r="V1457" s="21" t="str">
        <f>_xll.RssMarket(A1457,"出来高")</f>
        <v/>
      </c>
      <c r="W1457" s="21" t="str">
        <f>_xll.RssMarket(A1457,"売買代金")</f>
        <v/>
      </c>
      <c r="X1457" s="20" t="str">
        <f>_xll.RssMarket(A1457,"決算発表日")</f>
        <v/>
      </c>
      <c r="Y1457" s="26" t="str">
        <f>IF(C1457&gt;_xll.RssMarket(A1457,"年初来高値"),"○","×")</f>
        <v>×</v>
      </c>
      <c r="Z1457" s="27" t="str">
        <f>IF(C1457&lt;=_xll.RssMarket(A1457,"年初来安値"),"○","×")</f>
        <v>○</v>
      </c>
    </row>
    <row r="1458" spans="2:26" x14ac:dyDescent="0.55000000000000004">
      <c r="B1458" s="20" t="str">
        <f>_xll.RssMarket(A1458,"銘柄名称")</f>
        <v/>
      </c>
      <c r="C1458" s="21" t="str">
        <f>_xll.RssMarket(A1458,"現在値")</f>
        <v/>
      </c>
      <c r="D1458" s="20" t="str">
        <f>_xll.RssMarket(A1458,"現在値詳細時刻")</f>
        <v/>
      </c>
      <c r="E1458" s="22" t="str">
        <f>_xll.RssMarket(A1458,"前日比")</f>
        <v/>
      </c>
      <c r="F1458" s="23" t="e">
        <f>_xll.RssMarket(A1458,"前日比率")/100</f>
        <v>#VALUE!</v>
      </c>
      <c r="G1458" s="24" t="str">
        <f>IFERROR(VLOOKUP(A1458,取得元!$A$2:$F$501,2,FALSE),"-")</f>
        <v>-</v>
      </c>
      <c r="H1458" s="24" t="str">
        <f>IFERROR(VLOOKUP(A1458,取得元!$A$2:$F$501,3,FALSE),"-")</f>
        <v>-</v>
      </c>
      <c r="I1458" s="24" t="str">
        <f>IFERROR(VLOOKUP(A1458,取得元!$A$2:$F$501,4,FALSE),"-")</f>
        <v>-</v>
      </c>
      <c r="J1458" s="5" t="str">
        <f>IFERROR(VLOOKUP(A1458,取得元!$A$2:$F$501,5,FALSE),"-")</f>
        <v>-</v>
      </c>
      <c r="K1458" s="25" t="str">
        <f>IFERROR(VLOOKUP(A1458,取得元!$A$2:$F$501,6,FALSE)/100,"-")</f>
        <v>-</v>
      </c>
      <c r="L1458" s="21" t="str">
        <f>_xll.RssMarket(A1458,"始値")</f>
        <v/>
      </c>
      <c r="M1458" s="4" t="e">
        <f t="shared" si="125"/>
        <v>#VALUE!</v>
      </c>
      <c r="N1458" s="21" t="str">
        <f>_xll.RssMarket(A1458,"高値")</f>
        <v/>
      </c>
      <c r="O1458" s="4" t="e">
        <f t="shared" si="126"/>
        <v>#VALUE!</v>
      </c>
      <c r="P1458" s="21" t="str">
        <f>_xll.RssMarket(A1458,"安値")</f>
        <v/>
      </c>
      <c r="Q1458" s="4" t="e">
        <f t="shared" si="127"/>
        <v>#VALUE!</v>
      </c>
      <c r="R1458" s="21" t="str">
        <f>_xll.RssMarket(A1458,"後場始値")</f>
        <v/>
      </c>
      <c r="S1458" s="25" t="str">
        <f t="shared" si="128"/>
        <v>-</v>
      </c>
      <c r="T1458" s="7" t="str">
        <f>_xll.RssMarket(A1458,"出来高加重平均")</f>
        <v/>
      </c>
      <c r="U1458" s="4" t="e">
        <f t="shared" si="129"/>
        <v>#VALUE!</v>
      </c>
      <c r="V1458" s="21" t="str">
        <f>_xll.RssMarket(A1458,"出来高")</f>
        <v/>
      </c>
      <c r="W1458" s="21" t="str">
        <f>_xll.RssMarket(A1458,"売買代金")</f>
        <v/>
      </c>
      <c r="X1458" s="20" t="str">
        <f>_xll.RssMarket(A1458,"決算発表日")</f>
        <v/>
      </c>
      <c r="Y1458" s="26" t="str">
        <f>IF(C1458&gt;_xll.RssMarket(A1458,"年初来高値"),"○","×")</f>
        <v>×</v>
      </c>
      <c r="Z1458" s="27" t="str">
        <f>IF(C1458&lt;=_xll.RssMarket(A1458,"年初来安値"),"○","×")</f>
        <v>○</v>
      </c>
    </row>
    <row r="1459" spans="2:26" x14ac:dyDescent="0.55000000000000004">
      <c r="B1459" s="20" t="str">
        <f>_xll.RssMarket(A1459,"銘柄名称")</f>
        <v/>
      </c>
      <c r="C1459" s="21" t="str">
        <f>_xll.RssMarket(A1459,"現在値")</f>
        <v/>
      </c>
      <c r="D1459" s="20" t="str">
        <f>_xll.RssMarket(A1459,"現在値詳細時刻")</f>
        <v/>
      </c>
      <c r="E1459" s="22" t="str">
        <f>_xll.RssMarket(A1459,"前日比")</f>
        <v/>
      </c>
      <c r="F1459" s="23" t="e">
        <f>_xll.RssMarket(A1459,"前日比率")/100</f>
        <v>#VALUE!</v>
      </c>
      <c r="G1459" s="24" t="str">
        <f>IFERROR(VLOOKUP(A1459,取得元!$A$2:$F$501,2,FALSE),"-")</f>
        <v>-</v>
      </c>
      <c r="H1459" s="24" t="str">
        <f>IFERROR(VLOOKUP(A1459,取得元!$A$2:$F$501,3,FALSE),"-")</f>
        <v>-</v>
      </c>
      <c r="I1459" s="24" t="str">
        <f>IFERROR(VLOOKUP(A1459,取得元!$A$2:$F$501,4,FALSE),"-")</f>
        <v>-</v>
      </c>
      <c r="J1459" s="5" t="str">
        <f>IFERROR(VLOOKUP(A1459,取得元!$A$2:$F$501,5,FALSE),"-")</f>
        <v>-</v>
      </c>
      <c r="K1459" s="25" t="str">
        <f>IFERROR(VLOOKUP(A1459,取得元!$A$2:$F$501,6,FALSE)/100,"-")</f>
        <v>-</v>
      </c>
      <c r="L1459" s="21" t="str">
        <f>_xll.RssMarket(A1459,"始値")</f>
        <v/>
      </c>
      <c r="M1459" s="4" t="e">
        <f t="shared" si="125"/>
        <v>#VALUE!</v>
      </c>
      <c r="N1459" s="21" t="str">
        <f>_xll.RssMarket(A1459,"高値")</f>
        <v/>
      </c>
      <c r="O1459" s="4" t="e">
        <f t="shared" si="126"/>
        <v>#VALUE!</v>
      </c>
      <c r="P1459" s="21" t="str">
        <f>_xll.RssMarket(A1459,"安値")</f>
        <v/>
      </c>
      <c r="Q1459" s="4" t="e">
        <f t="shared" si="127"/>
        <v>#VALUE!</v>
      </c>
      <c r="R1459" s="21" t="str">
        <f>_xll.RssMarket(A1459,"後場始値")</f>
        <v/>
      </c>
      <c r="S1459" s="25" t="str">
        <f t="shared" si="128"/>
        <v>-</v>
      </c>
      <c r="T1459" s="7" t="str">
        <f>_xll.RssMarket(A1459,"出来高加重平均")</f>
        <v/>
      </c>
      <c r="U1459" s="4" t="e">
        <f t="shared" si="129"/>
        <v>#VALUE!</v>
      </c>
      <c r="V1459" s="21" t="str">
        <f>_xll.RssMarket(A1459,"出来高")</f>
        <v/>
      </c>
      <c r="W1459" s="21" t="str">
        <f>_xll.RssMarket(A1459,"売買代金")</f>
        <v/>
      </c>
      <c r="X1459" s="20" t="str">
        <f>_xll.RssMarket(A1459,"決算発表日")</f>
        <v/>
      </c>
      <c r="Y1459" s="26" t="str">
        <f>IF(C1459&gt;_xll.RssMarket(A1459,"年初来高値"),"○","×")</f>
        <v>×</v>
      </c>
      <c r="Z1459" s="27" t="str">
        <f>IF(C1459&lt;=_xll.RssMarket(A1459,"年初来安値"),"○","×")</f>
        <v>○</v>
      </c>
    </row>
    <row r="1460" spans="2:26" x14ac:dyDescent="0.55000000000000004">
      <c r="B1460" s="20" t="str">
        <f>_xll.RssMarket(A1460,"銘柄名称")</f>
        <v/>
      </c>
      <c r="C1460" s="21" t="str">
        <f>_xll.RssMarket(A1460,"現在値")</f>
        <v/>
      </c>
      <c r="D1460" s="20" t="str">
        <f>_xll.RssMarket(A1460,"現在値詳細時刻")</f>
        <v/>
      </c>
      <c r="E1460" s="22" t="str">
        <f>_xll.RssMarket(A1460,"前日比")</f>
        <v/>
      </c>
      <c r="F1460" s="23" t="e">
        <f>_xll.RssMarket(A1460,"前日比率")/100</f>
        <v>#VALUE!</v>
      </c>
      <c r="G1460" s="24" t="str">
        <f>IFERROR(VLOOKUP(A1460,取得元!$A$2:$F$501,2,FALSE),"-")</f>
        <v>-</v>
      </c>
      <c r="H1460" s="24" t="str">
        <f>IFERROR(VLOOKUP(A1460,取得元!$A$2:$F$501,3,FALSE),"-")</f>
        <v>-</v>
      </c>
      <c r="I1460" s="24" t="str">
        <f>IFERROR(VLOOKUP(A1460,取得元!$A$2:$F$501,4,FALSE),"-")</f>
        <v>-</v>
      </c>
      <c r="J1460" s="5" t="str">
        <f>IFERROR(VLOOKUP(A1460,取得元!$A$2:$F$501,5,FALSE),"-")</f>
        <v>-</v>
      </c>
      <c r="K1460" s="25" t="str">
        <f>IFERROR(VLOOKUP(A1460,取得元!$A$2:$F$501,6,FALSE)/100,"-")</f>
        <v>-</v>
      </c>
      <c r="L1460" s="21" t="str">
        <f>_xll.RssMarket(A1460,"始値")</f>
        <v/>
      </c>
      <c r="M1460" s="4" t="e">
        <f t="shared" si="125"/>
        <v>#VALUE!</v>
      </c>
      <c r="N1460" s="21" t="str">
        <f>_xll.RssMarket(A1460,"高値")</f>
        <v/>
      </c>
      <c r="O1460" s="4" t="e">
        <f t="shared" si="126"/>
        <v>#VALUE!</v>
      </c>
      <c r="P1460" s="21" t="str">
        <f>_xll.RssMarket(A1460,"安値")</f>
        <v/>
      </c>
      <c r="Q1460" s="4" t="e">
        <f t="shared" si="127"/>
        <v>#VALUE!</v>
      </c>
      <c r="R1460" s="21" t="str">
        <f>_xll.RssMarket(A1460,"後場始値")</f>
        <v/>
      </c>
      <c r="S1460" s="25" t="str">
        <f t="shared" si="128"/>
        <v>-</v>
      </c>
      <c r="T1460" s="7" t="str">
        <f>_xll.RssMarket(A1460,"出来高加重平均")</f>
        <v/>
      </c>
      <c r="U1460" s="4" t="e">
        <f t="shared" si="129"/>
        <v>#VALUE!</v>
      </c>
      <c r="V1460" s="21" t="str">
        <f>_xll.RssMarket(A1460,"出来高")</f>
        <v/>
      </c>
      <c r="W1460" s="21" t="str">
        <f>_xll.RssMarket(A1460,"売買代金")</f>
        <v/>
      </c>
      <c r="X1460" s="20" t="str">
        <f>_xll.RssMarket(A1460,"決算発表日")</f>
        <v/>
      </c>
      <c r="Y1460" s="26" t="str">
        <f>IF(C1460&gt;_xll.RssMarket(A1460,"年初来高値"),"○","×")</f>
        <v>×</v>
      </c>
      <c r="Z1460" s="27" t="str">
        <f>IF(C1460&lt;=_xll.RssMarket(A1460,"年初来安値"),"○","×")</f>
        <v>○</v>
      </c>
    </row>
    <row r="1461" spans="2:26" x14ac:dyDescent="0.55000000000000004">
      <c r="B1461" s="20" t="str">
        <f>_xll.RssMarket(A1461,"銘柄名称")</f>
        <v/>
      </c>
      <c r="C1461" s="21" t="str">
        <f>_xll.RssMarket(A1461,"現在値")</f>
        <v/>
      </c>
      <c r="D1461" s="20" t="str">
        <f>_xll.RssMarket(A1461,"現在値詳細時刻")</f>
        <v/>
      </c>
      <c r="E1461" s="22" t="str">
        <f>_xll.RssMarket(A1461,"前日比")</f>
        <v/>
      </c>
      <c r="F1461" s="23" t="e">
        <f>_xll.RssMarket(A1461,"前日比率")/100</f>
        <v>#VALUE!</v>
      </c>
      <c r="G1461" s="24" t="str">
        <f>IFERROR(VLOOKUP(A1461,取得元!$A$2:$F$501,2,FALSE),"-")</f>
        <v>-</v>
      </c>
      <c r="H1461" s="24" t="str">
        <f>IFERROR(VLOOKUP(A1461,取得元!$A$2:$F$501,3,FALSE),"-")</f>
        <v>-</v>
      </c>
      <c r="I1461" s="24" t="str">
        <f>IFERROR(VLOOKUP(A1461,取得元!$A$2:$F$501,4,FALSE),"-")</f>
        <v>-</v>
      </c>
      <c r="J1461" s="5" t="str">
        <f>IFERROR(VLOOKUP(A1461,取得元!$A$2:$F$501,5,FALSE),"-")</f>
        <v>-</v>
      </c>
      <c r="K1461" s="25" t="str">
        <f>IFERROR(VLOOKUP(A1461,取得元!$A$2:$F$501,6,FALSE)/100,"-")</f>
        <v>-</v>
      </c>
      <c r="L1461" s="21" t="str">
        <f>_xll.RssMarket(A1461,"始値")</f>
        <v/>
      </c>
      <c r="M1461" s="4" t="e">
        <f t="shared" si="125"/>
        <v>#VALUE!</v>
      </c>
      <c r="N1461" s="21" t="str">
        <f>_xll.RssMarket(A1461,"高値")</f>
        <v/>
      </c>
      <c r="O1461" s="4" t="e">
        <f t="shared" si="126"/>
        <v>#VALUE!</v>
      </c>
      <c r="P1461" s="21" t="str">
        <f>_xll.RssMarket(A1461,"安値")</f>
        <v/>
      </c>
      <c r="Q1461" s="4" t="e">
        <f t="shared" si="127"/>
        <v>#VALUE!</v>
      </c>
      <c r="R1461" s="21" t="str">
        <f>_xll.RssMarket(A1461,"後場始値")</f>
        <v/>
      </c>
      <c r="S1461" s="25" t="str">
        <f t="shared" si="128"/>
        <v>-</v>
      </c>
      <c r="T1461" s="7" t="str">
        <f>_xll.RssMarket(A1461,"出来高加重平均")</f>
        <v/>
      </c>
      <c r="U1461" s="4" t="e">
        <f t="shared" si="129"/>
        <v>#VALUE!</v>
      </c>
      <c r="V1461" s="21" t="str">
        <f>_xll.RssMarket(A1461,"出来高")</f>
        <v/>
      </c>
      <c r="W1461" s="21" t="str">
        <f>_xll.RssMarket(A1461,"売買代金")</f>
        <v/>
      </c>
      <c r="X1461" s="20" t="str">
        <f>_xll.RssMarket(A1461,"決算発表日")</f>
        <v/>
      </c>
      <c r="Y1461" s="26" t="str">
        <f>IF(C1461&gt;_xll.RssMarket(A1461,"年初来高値"),"○","×")</f>
        <v>×</v>
      </c>
      <c r="Z1461" s="27" t="str">
        <f>IF(C1461&lt;=_xll.RssMarket(A1461,"年初来安値"),"○","×")</f>
        <v>○</v>
      </c>
    </row>
    <row r="1462" spans="2:26" x14ac:dyDescent="0.55000000000000004">
      <c r="B1462" s="20" t="str">
        <f>_xll.RssMarket(A1462,"銘柄名称")</f>
        <v/>
      </c>
      <c r="C1462" s="21" t="str">
        <f>_xll.RssMarket(A1462,"現在値")</f>
        <v/>
      </c>
      <c r="D1462" s="20" t="str">
        <f>_xll.RssMarket(A1462,"現在値詳細時刻")</f>
        <v/>
      </c>
      <c r="E1462" s="22" t="str">
        <f>_xll.RssMarket(A1462,"前日比")</f>
        <v/>
      </c>
      <c r="F1462" s="23" t="e">
        <f>_xll.RssMarket(A1462,"前日比率")/100</f>
        <v>#VALUE!</v>
      </c>
      <c r="G1462" s="24" t="str">
        <f>IFERROR(VLOOKUP(A1462,取得元!$A$2:$F$501,2,FALSE),"-")</f>
        <v>-</v>
      </c>
      <c r="H1462" s="24" t="str">
        <f>IFERROR(VLOOKUP(A1462,取得元!$A$2:$F$501,3,FALSE),"-")</f>
        <v>-</v>
      </c>
      <c r="I1462" s="24" t="str">
        <f>IFERROR(VLOOKUP(A1462,取得元!$A$2:$F$501,4,FALSE),"-")</f>
        <v>-</v>
      </c>
      <c r="J1462" s="5" t="str">
        <f>IFERROR(VLOOKUP(A1462,取得元!$A$2:$F$501,5,FALSE),"-")</f>
        <v>-</v>
      </c>
      <c r="K1462" s="25" t="str">
        <f>IFERROR(VLOOKUP(A1462,取得元!$A$2:$F$501,6,FALSE)/100,"-")</f>
        <v>-</v>
      </c>
      <c r="L1462" s="21" t="str">
        <f>_xll.RssMarket(A1462,"始値")</f>
        <v/>
      </c>
      <c r="M1462" s="4" t="e">
        <f t="shared" si="125"/>
        <v>#VALUE!</v>
      </c>
      <c r="N1462" s="21" t="str">
        <f>_xll.RssMarket(A1462,"高値")</f>
        <v/>
      </c>
      <c r="O1462" s="4" t="e">
        <f t="shared" si="126"/>
        <v>#VALUE!</v>
      </c>
      <c r="P1462" s="21" t="str">
        <f>_xll.RssMarket(A1462,"安値")</f>
        <v/>
      </c>
      <c r="Q1462" s="4" t="e">
        <f t="shared" si="127"/>
        <v>#VALUE!</v>
      </c>
      <c r="R1462" s="21" t="str">
        <f>_xll.RssMarket(A1462,"後場始値")</f>
        <v/>
      </c>
      <c r="S1462" s="25" t="str">
        <f t="shared" si="128"/>
        <v>-</v>
      </c>
      <c r="T1462" s="7" t="str">
        <f>_xll.RssMarket(A1462,"出来高加重平均")</f>
        <v/>
      </c>
      <c r="U1462" s="4" t="e">
        <f t="shared" si="129"/>
        <v>#VALUE!</v>
      </c>
      <c r="V1462" s="21" t="str">
        <f>_xll.RssMarket(A1462,"出来高")</f>
        <v/>
      </c>
      <c r="W1462" s="21" t="str">
        <f>_xll.RssMarket(A1462,"売買代金")</f>
        <v/>
      </c>
      <c r="X1462" s="20" t="str">
        <f>_xll.RssMarket(A1462,"決算発表日")</f>
        <v/>
      </c>
      <c r="Y1462" s="26" t="str">
        <f>IF(C1462&gt;_xll.RssMarket(A1462,"年初来高値"),"○","×")</f>
        <v>×</v>
      </c>
      <c r="Z1462" s="27" t="str">
        <f>IF(C1462&lt;=_xll.RssMarket(A1462,"年初来安値"),"○","×")</f>
        <v>○</v>
      </c>
    </row>
    <row r="1463" spans="2:26" x14ac:dyDescent="0.55000000000000004">
      <c r="B1463" s="20" t="str">
        <f>_xll.RssMarket(A1463,"銘柄名称")</f>
        <v/>
      </c>
      <c r="C1463" s="21" t="str">
        <f>_xll.RssMarket(A1463,"現在値")</f>
        <v/>
      </c>
      <c r="D1463" s="20" t="str">
        <f>_xll.RssMarket(A1463,"現在値詳細時刻")</f>
        <v/>
      </c>
      <c r="E1463" s="22" t="str">
        <f>_xll.RssMarket(A1463,"前日比")</f>
        <v/>
      </c>
      <c r="F1463" s="23" t="e">
        <f>_xll.RssMarket(A1463,"前日比率")/100</f>
        <v>#VALUE!</v>
      </c>
      <c r="G1463" s="24" t="str">
        <f>IFERROR(VLOOKUP(A1463,取得元!$A$2:$F$501,2,FALSE),"-")</f>
        <v>-</v>
      </c>
      <c r="H1463" s="24" t="str">
        <f>IFERROR(VLOOKUP(A1463,取得元!$A$2:$F$501,3,FALSE),"-")</f>
        <v>-</v>
      </c>
      <c r="I1463" s="24" t="str">
        <f>IFERROR(VLOOKUP(A1463,取得元!$A$2:$F$501,4,FALSE),"-")</f>
        <v>-</v>
      </c>
      <c r="J1463" s="5" t="str">
        <f>IFERROR(VLOOKUP(A1463,取得元!$A$2:$F$501,5,FALSE),"-")</f>
        <v>-</v>
      </c>
      <c r="K1463" s="25" t="str">
        <f>IFERROR(VLOOKUP(A1463,取得元!$A$2:$F$501,6,FALSE)/100,"-")</f>
        <v>-</v>
      </c>
      <c r="L1463" s="21" t="str">
        <f>_xll.RssMarket(A1463,"始値")</f>
        <v/>
      </c>
      <c r="M1463" s="4" t="e">
        <f t="shared" si="125"/>
        <v>#VALUE!</v>
      </c>
      <c r="N1463" s="21" t="str">
        <f>_xll.RssMarket(A1463,"高値")</f>
        <v/>
      </c>
      <c r="O1463" s="4" t="e">
        <f t="shared" si="126"/>
        <v>#VALUE!</v>
      </c>
      <c r="P1463" s="21" t="str">
        <f>_xll.RssMarket(A1463,"安値")</f>
        <v/>
      </c>
      <c r="Q1463" s="4" t="e">
        <f t="shared" si="127"/>
        <v>#VALUE!</v>
      </c>
      <c r="R1463" s="21" t="str">
        <f>_xll.RssMarket(A1463,"後場始値")</f>
        <v/>
      </c>
      <c r="S1463" s="25" t="str">
        <f t="shared" si="128"/>
        <v>-</v>
      </c>
      <c r="T1463" s="7" t="str">
        <f>_xll.RssMarket(A1463,"出来高加重平均")</f>
        <v/>
      </c>
      <c r="U1463" s="4" t="e">
        <f t="shared" si="129"/>
        <v>#VALUE!</v>
      </c>
      <c r="V1463" s="21" t="str">
        <f>_xll.RssMarket(A1463,"出来高")</f>
        <v/>
      </c>
      <c r="W1463" s="21" t="str">
        <f>_xll.RssMarket(A1463,"売買代金")</f>
        <v/>
      </c>
      <c r="X1463" s="20" t="str">
        <f>_xll.RssMarket(A1463,"決算発表日")</f>
        <v/>
      </c>
      <c r="Y1463" s="26" t="str">
        <f>IF(C1463&gt;_xll.RssMarket(A1463,"年初来高値"),"○","×")</f>
        <v>×</v>
      </c>
      <c r="Z1463" s="27" t="str">
        <f>IF(C1463&lt;=_xll.RssMarket(A1463,"年初来安値"),"○","×")</f>
        <v>○</v>
      </c>
    </row>
    <row r="1464" spans="2:26" x14ac:dyDescent="0.55000000000000004">
      <c r="B1464" s="20" t="str">
        <f>_xll.RssMarket(A1464,"銘柄名称")</f>
        <v/>
      </c>
      <c r="C1464" s="21" t="str">
        <f>_xll.RssMarket(A1464,"現在値")</f>
        <v/>
      </c>
      <c r="D1464" s="20" t="str">
        <f>_xll.RssMarket(A1464,"現在値詳細時刻")</f>
        <v/>
      </c>
      <c r="E1464" s="22" t="str">
        <f>_xll.RssMarket(A1464,"前日比")</f>
        <v/>
      </c>
      <c r="F1464" s="23" t="e">
        <f>_xll.RssMarket(A1464,"前日比率")/100</f>
        <v>#VALUE!</v>
      </c>
      <c r="G1464" s="24" t="str">
        <f>IFERROR(VLOOKUP(A1464,取得元!$A$2:$F$501,2,FALSE),"-")</f>
        <v>-</v>
      </c>
      <c r="H1464" s="24" t="str">
        <f>IFERROR(VLOOKUP(A1464,取得元!$A$2:$F$501,3,FALSE),"-")</f>
        <v>-</v>
      </c>
      <c r="I1464" s="24" t="str">
        <f>IFERROR(VLOOKUP(A1464,取得元!$A$2:$F$501,4,FALSE),"-")</f>
        <v>-</v>
      </c>
      <c r="J1464" s="5" t="str">
        <f>IFERROR(VLOOKUP(A1464,取得元!$A$2:$F$501,5,FALSE),"-")</f>
        <v>-</v>
      </c>
      <c r="K1464" s="25" t="str">
        <f>IFERROR(VLOOKUP(A1464,取得元!$A$2:$F$501,6,FALSE)/100,"-")</f>
        <v>-</v>
      </c>
      <c r="L1464" s="21" t="str">
        <f>_xll.RssMarket(A1464,"始値")</f>
        <v/>
      </c>
      <c r="M1464" s="4" t="e">
        <f t="shared" si="125"/>
        <v>#VALUE!</v>
      </c>
      <c r="N1464" s="21" t="str">
        <f>_xll.RssMarket(A1464,"高値")</f>
        <v/>
      </c>
      <c r="O1464" s="4" t="e">
        <f t="shared" si="126"/>
        <v>#VALUE!</v>
      </c>
      <c r="P1464" s="21" t="str">
        <f>_xll.RssMarket(A1464,"安値")</f>
        <v/>
      </c>
      <c r="Q1464" s="4" t="e">
        <f t="shared" si="127"/>
        <v>#VALUE!</v>
      </c>
      <c r="R1464" s="21" t="str">
        <f>_xll.RssMarket(A1464,"後場始値")</f>
        <v/>
      </c>
      <c r="S1464" s="25" t="str">
        <f t="shared" si="128"/>
        <v>-</v>
      </c>
      <c r="T1464" s="7" t="str">
        <f>_xll.RssMarket(A1464,"出来高加重平均")</f>
        <v/>
      </c>
      <c r="U1464" s="4" t="e">
        <f t="shared" si="129"/>
        <v>#VALUE!</v>
      </c>
      <c r="V1464" s="21" t="str">
        <f>_xll.RssMarket(A1464,"出来高")</f>
        <v/>
      </c>
      <c r="W1464" s="21" t="str">
        <f>_xll.RssMarket(A1464,"売買代金")</f>
        <v/>
      </c>
      <c r="X1464" s="20" t="str">
        <f>_xll.RssMarket(A1464,"決算発表日")</f>
        <v/>
      </c>
      <c r="Y1464" s="26" t="str">
        <f>IF(C1464&gt;_xll.RssMarket(A1464,"年初来高値"),"○","×")</f>
        <v>×</v>
      </c>
      <c r="Z1464" s="27" t="str">
        <f>IF(C1464&lt;=_xll.RssMarket(A1464,"年初来安値"),"○","×")</f>
        <v>○</v>
      </c>
    </row>
    <row r="1465" spans="2:26" x14ac:dyDescent="0.55000000000000004">
      <c r="B1465" s="20" t="str">
        <f>_xll.RssMarket(A1465,"銘柄名称")</f>
        <v/>
      </c>
      <c r="C1465" s="21" t="str">
        <f>_xll.RssMarket(A1465,"現在値")</f>
        <v/>
      </c>
      <c r="D1465" s="20" t="str">
        <f>_xll.RssMarket(A1465,"現在値詳細時刻")</f>
        <v/>
      </c>
      <c r="E1465" s="22" t="str">
        <f>_xll.RssMarket(A1465,"前日比")</f>
        <v/>
      </c>
      <c r="F1465" s="23" t="e">
        <f>_xll.RssMarket(A1465,"前日比率")/100</f>
        <v>#VALUE!</v>
      </c>
      <c r="G1465" s="24" t="str">
        <f>IFERROR(VLOOKUP(A1465,取得元!$A$2:$F$501,2,FALSE),"-")</f>
        <v>-</v>
      </c>
      <c r="H1465" s="24" t="str">
        <f>IFERROR(VLOOKUP(A1465,取得元!$A$2:$F$501,3,FALSE),"-")</f>
        <v>-</v>
      </c>
      <c r="I1465" s="24" t="str">
        <f>IFERROR(VLOOKUP(A1465,取得元!$A$2:$F$501,4,FALSE),"-")</f>
        <v>-</v>
      </c>
      <c r="J1465" s="5" t="str">
        <f>IFERROR(VLOOKUP(A1465,取得元!$A$2:$F$501,5,FALSE),"-")</f>
        <v>-</v>
      </c>
      <c r="K1465" s="25" t="str">
        <f>IFERROR(VLOOKUP(A1465,取得元!$A$2:$F$501,6,FALSE)/100,"-")</f>
        <v>-</v>
      </c>
      <c r="L1465" s="21" t="str">
        <f>_xll.RssMarket(A1465,"始値")</f>
        <v/>
      </c>
      <c r="M1465" s="4" t="e">
        <f t="shared" si="125"/>
        <v>#VALUE!</v>
      </c>
      <c r="N1465" s="21" t="str">
        <f>_xll.RssMarket(A1465,"高値")</f>
        <v/>
      </c>
      <c r="O1465" s="4" t="e">
        <f t="shared" si="126"/>
        <v>#VALUE!</v>
      </c>
      <c r="P1465" s="21" t="str">
        <f>_xll.RssMarket(A1465,"安値")</f>
        <v/>
      </c>
      <c r="Q1465" s="4" t="e">
        <f t="shared" si="127"/>
        <v>#VALUE!</v>
      </c>
      <c r="R1465" s="21" t="str">
        <f>_xll.RssMarket(A1465,"後場始値")</f>
        <v/>
      </c>
      <c r="S1465" s="25" t="str">
        <f t="shared" si="128"/>
        <v>-</v>
      </c>
      <c r="T1465" s="7" t="str">
        <f>_xll.RssMarket(A1465,"出来高加重平均")</f>
        <v/>
      </c>
      <c r="U1465" s="4" t="e">
        <f t="shared" si="129"/>
        <v>#VALUE!</v>
      </c>
      <c r="V1465" s="21" t="str">
        <f>_xll.RssMarket(A1465,"出来高")</f>
        <v/>
      </c>
      <c r="W1465" s="21" t="str">
        <f>_xll.RssMarket(A1465,"売買代金")</f>
        <v/>
      </c>
      <c r="X1465" s="20" t="str">
        <f>_xll.RssMarket(A1465,"決算発表日")</f>
        <v/>
      </c>
      <c r="Y1465" s="26" t="str">
        <f>IF(C1465&gt;_xll.RssMarket(A1465,"年初来高値"),"○","×")</f>
        <v>×</v>
      </c>
      <c r="Z1465" s="27" t="str">
        <f>IF(C1465&lt;=_xll.RssMarket(A1465,"年初来安値"),"○","×")</f>
        <v>○</v>
      </c>
    </row>
    <row r="1466" spans="2:26" x14ac:dyDescent="0.55000000000000004">
      <c r="B1466" s="20" t="str">
        <f>_xll.RssMarket(A1466,"銘柄名称")</f>
        <v/>
      </c>
      <c r="C1466" s="21" t="str">
        <f>_xll.RssMarket(A1466,"現在値")</f>
        <v/>
      </c>
      <c r="D1466" s="20" t="str">
        <f>_xll.RssMarket(A1466,"現在値詳細時刻")</f>
        <v/>
      </c>
      <c r="E1466" s="22" t="str">
        <f>_xll.RssMarket(A1466,"前日比")</f>
        <v/>
      </c>
      <c r="F1466" s="23" t="e">
        <f>_xll.RssMarket(A1466,"前日比率")/100</f>
        <v>#VALUE!</v>
      </c>
      <c r="G1466" s="24" t="str">
        <f>IFERROR(VLOOKUP(A1466,取得元!$A$2:$F$501,2,FALSE),"-")</f>
        <v>-</v>
      </c>
      <c r="H1466" s="24" t="str">
        <f>IFERROR(VLOOKUP(A1466,取得元!$A$2:$F$501,3,FALSE),"-")</f>
        <v>-</v>
      </c>
      <c r="I1466" s="24" t="str">
        <f>IFERROR(VLOOKUP(A1466,取得元!$A$2:$F$501,4,FALSE),"-")</f>
        <v>-</v>
      </c>
      <c r="J1466" s="5" t="str">
        <f>IFERROR(VLOOKUP(A1466,取得元!$A$2:$F$501,5,FALSE),"-")</f>
        <v>-</v>
      </c>
      <c r="K1466" s="25" t="str">
        <f>IFERROR(VLOOKUP(A1466,取得元!$A$2:$F$501,6,FALSE)/100,"-")</f>
        <v>-</v>
      </c>
      <c r="L1466" s="21" t="str">
        <f>_xll.RssMarket(A1466,"始値")</f>
        <v/>
      </c>
      <c r="M1466" s="4" t="e">
        <f t="shared" si="125"/>
        <v>#VALUE!</v>
      </c>
      <c r="N1466" s="21" t="str">
        <f>_xll.RssMarket(A1466,"高値")</f>
        <v/>
      </c>
      <c r="O1466" s="4" t="e">
        <f t="shared" si="126"/>
        <v>#VALUE!</v>
      </c>
      <c r="P1466" s="21" t="str">
        <f>_xll.RssMarket(A1466,"安値")</f>
        <v/>
      </c>
      <c r="Q1466" s="4" t="e">
        <f t="shared" si="127"/>
        <v>#VALUE!</v>
      </c>
      <c r="R1466" s="21" t="str">
        <f>_xll.RssMarket(A1466,"後場始値")</f>
        <v/>
      </c>
      <c r="S1466" s="25" t="str">
        <f t="shared" si="128"/>
        <v>-</v>
      </c>
      <c r="T1466" s="7" t="str">
        <f>_xll.RssMarket(A1466,"出来高加重平均")</f>
        <v/>
      </c>
      <c r="U1466" s="4" t="e">
        <f t="shared" si="129"/>
        <v>#VALUE!</v>
      </c>
      <c r="V1466" s="21" t="str">
        <f>_xll.RssMarket(A1466,"出来高")</f>
        <v/>
      </c>
      <c r="W1466" s="21" t="str">
        <f>_xll.RssMarket(A1466,"売買代金")</f>
        <v/>
      </c>
      <c r="X1466" s="20" t="str">
        <f>_xll.RssMarket(A1466,"決算発表日")</f>
        <v/>
      </c>
      <c r="Y1466" s="26" t="str">
        <f>IF(C1466&gt;_xll.RssMarket(A1466,"年初来高値"),"○","×")</f>
        <v>×</v>
      </c>
      <c r="Z1466" s="27" t="str">
        <f>IF(C1466&lt;=_xll.RssMarket(A1466,"年初来安値"),"○","×")</f>
        <v>○</v>
      </c>
    </row>
    <row r="1467" spans="2:26" x14ac:dyDescent="0.55000000000000004">
      <c r="B1467" s="20" t="str">
        <f>_xll.RssMarket(A1467,"銘柄名称")</f>
        <v/>
      </c>
      <c r="C1467" s="21" t="str">
        <f>_xll.RssMarket(A1467,"現在値")</f>
        <v/>
      </c>
      <c r="D1467" s="20" t="str">
        <f>_xll.RssMarket(A1467,"現在値詳細時刻")</f>
        <v/>
      </c>
      <c r="E1467" s="22" t="str">
        <f>_xll.RssMarket(A1467,"前日比")</f>
        <v/>
      </c>
      <c r="F1467" s="23" t="e">
        <f>_xll.RssMarket(A1467,"前日比率")/100</f>
        <v>#VALUE!</v>
      </c>
      <c r="G1467" s="24" t="str">
        <f>IFERROR(VLOOKUP(A1467,取得元!$A$2:$F$501,2,FALSE),"-")</f>
        <v>-</v>
      </c>
      <c r="H1467" s="24" t="str">
        <f>IFERROR(VLOOKUP(A1467,取得元!$A$2:$F$501,3,FALSE),"-")</f>
        <v>-</v>
      </c>
      <c r="I1467" s="24" t="str">
        <f>IFERROR(VLOOKUP(A1467,取得元!$A$2:$F$501,4,FALSE),"-")</f>
        <v>-</v>
      </c>
      <c r="J1467" s="5" t="str">
        <f>IFERROR(VLOOKUP(A1467,取得元!$A$2:$F$501,5,FALSE),"-")</f>
        <v>-</v>
      </c>
      <c r="K1467" s="25" t="str">
        <f>IFERROR(VLOOKUP(A1467,取得元!$A$2:$F$501,6,FALSE)/100,"-")</f>
        <v>-</v>
      </c>
      <c r="L1467" s="21" t="str">
        <f>_xll.RssMarket(A1467,"始値")</f>
        <v/>
      </c>
      <c r="M1467" s="4" t="e">
        <f t="shared" si="125"/>
        <v>#VALUE!</v>
      </c>
      <c r="N1467" s="21" t="str">
        <f>_xll.RssMarket(A1467,"高値")</f>
        <v/>
      </c>
      <c r="O1467" s="4" t="e">
        <f t="shared" si="126"/>
        <v>#VALUE!</v>
      </c>
      <c r="P1467" s="21" t="str">
        <f>_xll.RssMarket(A1467,"安値")</f>
        <v/>
      </c>
      <c r="Q1467" s="4" t="e">
        <f t="shared" si="127"/>
        <v>#VALUE!</v>
      </c>
      <c r="R1467" s="21" t="str">
        <f>_xll.RssMarket(A1467,"後場始値")</f>
        <v/>
      </c>
      <c r="S1467" s="25" t="str">
        <f t="shared" si="128"/>
        <v>-</v>
      </c>
      <c r="T1467" s="7" t="str">
        <f>_xll.RssMarket(A1467,"出来高加重平均")</f>
        <v/>
      </c>
      <c r="U1467" s="4" t="e">
        <f t="shared" si="129"/>
        <v>#VALUE!</v>
      </c>
      <c r="V1467" s="21" t="str">
        <f>_xll.RssMarket(A1467,"出来高")</f>
        <v/>
      </c>
      <c r="W1467" s="21" t="str">
        <f>_xll.RssMarket(A1467,"売買代金")</f>
        <v/>
      </c>
      <c r="X1467" s="20" t="str">
        <f>_xll.RssMarket(A1467,"決算発表日")</f>
        <v/>
      </c>
      <c r="Y1467" s="26" t="str">
        <f>IF(C1467&gt;_xll.RssMarket(A1467,"年初来高値"),"○","×")</f>
        <v>×</v>
      </c>
      <c r="Z1467" s="27" t="str">
        <f>IF(C1467&lt;=_xll.RssMarket(A1467,"年初来安値"),"○","×")</f>
        <v>○</v>
      </c>
    </row>
    <row r="1468" spans="2:26" x14ac:dyDescent="0.55000000000000004">
      <c r="B1468" s="20" t="str">
        <f>_xll.RssMarket(A1468,"銘柄名称")</f>
        <v/>
      </c>
      <c r="C1468" s="21" t="str">
        <f>_xll.RssMarket(A1468,"現在値")</f>
        <v/>
      </c>
      <c r="D1468" s="20" t="str">
        <f>_xll.RssMarket(A1468,"現在値詳細時刻")</f>
        <v/>
      </c>
      <c r="E1468" s="22" t="str">
        <f>_xll.RssMarket(A1468,"前日比")</f>
        <v/>
      </c>
      <c r="F1468" s="23" t="e">
        <f>_xll.RssMarket(A1468,"前日比率")/100</f>
        <v>#VALUE!</v>
      </c>
      <c r="G1468" s="24" t="str">
        <f>IFERROR(VLOOKUP(A1468,取得元!$A$2:$F$501,2,FALSE),"-")</f>
        <v>-</v>
      </c>
      <c r="H1468" s="24" t="str">
        <f>IFERROR(VLOOKUP(A1468,取得元!$A$2:$F$501,3,FALSE),"-")</f>
        <v>-</v>
      </c>
      <c r="I1468" s="24" t="str">
        <f>IFERROR(VLOOKUP(A1468,取得元!$A$2:$F$501,4,FALSE),"-")</f>
        <v>-</v>
      </c>
      <c r="J1468" s="5" t="str">
        <f>IFERROR(VLOOKUP(A1468,取得元!$A$2:$F$501,5,FALSE),"-")</f>
        <v>-</v>
      </c>
      <c r="K1468" s="25" t="str">
        <f>IFERROR(VLOOKUP(A1468,取得元!$A$2:$F$501,6,FALSE)/100,"-")</f>
        <v>-</v>
      </c>
      <c r="L1468" s="21" t="str">
        <f>_xll.RssMarket(A1468,"始値")</f>
        <v/>
      </c>
      <c r="M1468" s="4" t="e">
        <f t="shared" si="125"/>
        <v>#VALUE!</v>
      </c>
      <c r="N1468" s="21" t="str">
        <f>_xll.RssMarket(A1468,"高値")</f>
        <v/>
      </c>
      <c r="O1468" s="4" t="e">
        <f t="shared" si="126"/>
        <v>#VALUE!</v>
      </c>
      <c r="P1468" s="21" t="str">
        <f>_xll.RssMarket(A1468,"安値")</f>
        <v/>
      </c>
      <c r="Q1468" s="4" t="e">
        <f t="shared" si="127"/>
        <v>#VALUE!</v>
      </c>
      <c r="R1468" s="21" t="str">
        <f>_xll.RssMarket(A1468,"後場始値")</f>
        <v/>
      </c>
      <c r="S1468" s="25" t="str">
        <f t="shared" si="128"/>
        <v>-</v>
      </c>
      <c r="T1468" s="7" t="str">
        <f>_xll.RssMarket(A1468,"出来高加重平均")</f>
        <v/>
      </c>
      <c r="U1468" s="4" t="e">
        <f t="shared" si="129"/>
        <v>#VALUE!</v>
      </c>
      <c r="V1468" s="21" t="str">
        <f>_xll.RssMarket(A1468,"出来高")</f>
        <v/>
      </c>
      <c r="W1468" s="21" t="str">
        <f>_xll.RssMarket(A1468,"売買代金")</f>
        <v/>
      </c>
      <c r="X1468" s="20" t="str">
        <f>_xll.RssMarket(A1468,"決算発表日")</f>
        <v/>
      </c>
      <c r="Y1468" s="26" t="str">
        <f>IF(C1468&gt;_xll.RssMarket(A1468,"年初来高値"),"○","×")</f>
        <v>×</v>
      </c>
      <c r="Z1468" s="27" t="str">
        <f>IF(C1468&lt;=_xll.RssMarket(A1468,"年初来安値"),"○","×")</f>
        <v>○</v>
      </c>
    </row>
    <row r="1469" spans="2:26" x14ac:dyDescent="0.55000000000000004">
      <c r="B1469" s="20" t="str">
        <f>_xll.RssMarket(A1469,"銘柄名称")</f>
        <v/>
      </c>
      <c r="C1469" s="21" t="str">
        <f>_xll.RssMarket(A1469,"現在値")</f>
        <v/>
      </c>
      <c r="D1469" s="20" t="str">
        <f>_xll.RssMarket(A1469,"現在値詳細時刻")</f>
        <v/>
      </c>
      <c r="E1469" s="22" t="str">
        <f>_xll.RssMarket(A1469,"前日比")</f>
        <v/>
      </c>
      <c r="F1469" s="23" t="e">
        <f>_xll.RssMarket(A1469,"前日比率")/100</f>
        <v>#VALUE!</v>
      </c>
      <c r="G1469" s="24" t="str">
        <f>IFERROR(VLOOKUP(A1469,取得元!$A$2:$F$501,2,FALSE),"-")</f>
        <v>-</v>
      </c>
      <c r="H1469" s="24" t="str">
        <f>IFERROR(VLOOKUP(A1469,取得元!$A$2:$F$501,3,FALSE),"-")</f>
        <v>-</v>
      </c>
      <c r="I1469" s="24" t="str">
        <f>IFERROR(VLOOKUP(A1469,取得元!$A$2:$F$501,4,FALSE),"-")</f>
        <v>-</v>
      </c>
      <c r="J1469" s="5" t="str">
        <f>IFERROR(VLOOKUP(A1469,取得元!$A$2:$F$501,5,FALSE),"-")</f>
        <v>-</v>
      </c>
      <c r="K1469" s="25" t="str">
        <f>IFERROR(VLOOKUP(A1469,取得元!$A$2:$F$501,6,FALSE)/100,"-")</f>
        <v>-</v>
      </c>
      <c r="L1469" s="21" t="str">
        <f>_xll.RssMarket(A1469,"始値")</f>
        <v/>
      </c>
      <c r="M1469" s="4" t="e">
        <f t="shared" si="125"/>
        <v>#VALUE!</v>
      </c>
      <c r="N1469" s="21" t="str">
        <f>_xll.RssMarket(A1469,"高値")</f>
        <v/>
      </c>
      <c r="O1469" s="4" t="e">
        <f t="shared" si="126"/>
        <v>#VALUE!</v>
      </c>
      <c r="P1469" s="21" t="str">
        <f>_xll.RssMarket(A1469,"安値")</f>
        <v/>
      </c>
      <c r="Q1469" s="4" t="e">
        <f t="shared" si="127"/>
        <v>#VALUE!</v>
      </c>
      <c r="R1469" s="21" t="str">
        <f>_xll.RssMarket(A1469,"後場始値")</f>
        <v/>
      </c>
      <c r="S1469" s="25" t="str">
        <f t="shared" si="128"/>
        <v>-</v>
      </c>
      <c r="T1469" s="7" t="str">
        <f>_xll.RssMarket(A1469,"出来高加重平均")</f>
        <v/>
      </c>
      <c r="U1469" s="4" t="e">
        <f t="shared" si="129"/>
        <v>#VALUE!</v>
      </c>
      <c r="V1469" s="21" t="str">
        <f>_xll.RssMarket(A1469,"出来高")</f>
        <v/>
      </c>
      <c r="W1469" s="21" t="str">
        <f>_xll.RssMarket(A1469,"売買代金")</f>
        <v/>
      </c>
      <c r="X1469" s="20" t="str">
        <f>_xll.RssMarket(A1469,"決算発表日")</f>
        <v/>
      </c>
      <c r="Y1469" s="26" t="str">
        <f>IF(C1469&gt;_xll.RssMarket(A1469,"年初来高値"),"○","×")</f>
        <v>×</v>
      </c>
      <c r="Z1469" s="27" t="str">
        <f>IF(C1469&lt;=_xll.RssMarket(A1469,"年初来安値"),"○","×")</f>
        <v>○</v>
      </c>
    </row>
    <row r="1470" spans="2:26" x14ac:dyDescent="0.55000000000000004">
      <c r="B1470" s="20" t="str">
        <f>_xll.RssMarket(A1470,"銘柄名称")</f>
        <v/>
      </c>
      <c r="C1470" s="21" t="str">
        <f>_xll.RssMarket(A1470,"現在値")</f>
        <v/>
      </c>
      <c r="D1470" s="20" t="str">
        <f>_xll.RssMarket(A1470,"現在値詳細時刻")</f>
        <v/>
      </c>
      <c r="E1470" s="22" t="str">
        <f>_xll.RssMarket(A1470,"前日比")</f>
        <v/>
      </c>
      <c r="F1470" s="23" t="e">
        <f>_xll.RssMarket(A1470,"前日比率")/100</f>
        <v>#VALUE!</v>
      </c>
      <c r="G1470" s="24" t="str">
        <f>IFERROR(VLOOKUP(A1470,取得元!$A$2:$F$501,2,FALSE),"-")</f>
        <v>-</v>
      </c>
      <c r="H1470" s="24" t="str">
        <f>IFERROR(VLOOKUP(A1470,取得元!$A$2:$F$501,3,FALSE),"-")</f>
        <v>-</v>
      </c>
      <c r="I1470" s="24" t="str">
        <f>IFERROR(VLOOKUP(A1470,取得元!$A$2:$F$501,4,FALSE),"-")</f>
        <v>-</v>
      </c>
      <c r="J1470" s="5" t="str">
        <f>IFERROR(VLOOKUP(A1470,取得元!$A$2:$F$501,5,FALSE),"-")</f>
        <v>-</v>
      </c>
      <c r="K1470" s="25" t="str">
        <f>IFERROR(VLOOKUP(A1470,取得元!$A$2:$F$501,6,FALSE)/100,"-")</f>
        <v>-</v>
      </c>
      <c r="L1470" s="21" t="str">
        <f>_xll.RssMarket(A1470,"始値")</f>
        <v/>
      </c>
      <c r="M1470" s="4" t="e">
        <f t="shared" si="125"/>
        <v>#VALUE!</v>
      </c>
      <c r="N1470" s="21" t="str">
        <f>_xll.RssMarket(A1470,"高値")</f>
        <v/>
      </c>
      <c r="O1470" s="4" t="e">
        <f t="shared" si="126"/>
        <v>#VALUE!</v>
      </c>
      <c r="P1470" s="21" t="str">
        <f>_xll.RssMarket(A1470,"安値")</f>
        <v/>
      </c>
      <c r="Q1470" s="4" t="e">
        <f t="shared" si="127"/>
        <v>#VALUE!</v>
      </c>
      <c r="R1470" s="21" t="str">
        <f>_xll.RssMarket(A1470,"後場始値")</f>
        <v/>
      </c>
      <c r="S1470" s="25" t="str">
        <f t="shared" si="128"/>
        <v>-</v>
      </c>
      <c r="T1470" s="7" t="str">
        <f>_xll.RssMarket(A1470,"出来高加重平均")</f>
        <v/>
      </c>
      <c r="U1470" s="4" t="e">
        <f t="shared" si="129"/>
        <v>#VALUE!</v>
      </c>
      <c r="V1470" s="21" t="str">
        <f>_xll.RssMarket(A1470,"出来高")</f>
        <v/>
      </c>
      <c r="W1470" s="21" t="str">
        <f>_xll.RssMarket(A1470,"売買代金")</f>
        <v/>
      </c>
      <c r="X1470" s="20" t="str">
        <f>_xll.RssMarket(A1470,"決算発表日")</f>
        <v/>
      </c>
      <c r="Y1470" s="26" t="str">
        <f>IF(C1470&gt;_xll.RssMarket(A1470,"年初来高値"),"○","×")</f>
        <v>×</v>
      </c>
      <c r="Z1470" s="27" t="str">
        <f>IF(C1470&lt;=_xll.RssMarket(A1470,"年初来安値"),"○","×")</f>
        <v>○</v>
      </c>
    </row>
    <row r="1471" spans="2:26" x14ac:dyDescent="0.55000000000000004">
      <c r="B1471" s="20" t="str">
        <f>_xll.RssMarket(A1471,"銘柄名称")</f>
        <v/>
      </c>
      <c r="C1471" s="21" t="str">
        <f>_xll.RssMarket(A1471,"現在値")</f>
        <v/>
      </c>
      <c r="D1471" s="20" t="str">
        <f>_xll.RssMarket(A1471,"現在値詳細時刻")</f>
        <v/>
      </c>
      <c r="E1471" s="22" t="str">
        <f>_xll.RssMarket(A1471,"前日比")</f>
        <v/>
      </c>
      <c r="F1471" s="23" t="e">
        <f>_xll.RssMarket(A1471,"前日比率")/100</f>
        <v>#VALUE!</v>
      </c>
      <c r="G1471" s="24" t="str">
        <f>IFERROR(VLOOKUP(A1471,取得元!$A$2:$F$501,2,FALSE),"-")</f>
        <v>-</v>
      </c>
      <c r="H1471" s="24" t="str">
        <f>IFERROR(VLOOKUP(A1471,取得元!$A$2:$F$501,3,FALSE),"-")</f>
        <v>-</v>
      </c>
      <c r="I1471" s="24" t="str">
        <f>IFERROR(VLOOKUP(A1471,取得元!$A$2:$F$501,4,FALSE),"-")</f>
        <v>-</v>
      </c>
      <c r="J1471" s="5" t="str">
        <f>IFERROR(VLOOKUP(A1471,取得元!$A$2:$F$501,5,FALSE),"-")</f>
        <v>-</v>
      </c>
      <c r="K1471" s="25" t="str">
        <f>IFERROR(VLOOKUP(A1471,取得元!$A$2:$F$501,6,FALSE)/100,"-")</f>
        <v>-</v>
      </c>
      <c r="L1471" s="21" t="str">
        <f>_xll.RssMarket(A1471,"始値")</f>
        <v/>
      </c>
      <c r="M1471" s="4" t="e">
        <f t="shared" si="125"/>
        <v>#VALUE!</v>
      </c>
      <c r="N1471" s="21" t="str">
        <f>_xll.RssMarket(A1471,"高値")</f>
        <v/>
      </c>
      <c r="O1471" s="4" t="e">
        <f t="shared" si="126"/>
        <v>#VALUE!</v>
      </c>
      <c r="P1471" s="21" t="str">
        <f>_xll.RssMarket(A1471,"安値")</f>
        <v/>
      </c>
      <c r="Q1471" s="4" t="e">
        <f t="shared" si="127"/>
        <v>#VALUE!</v>
      </c>
      <c r="R1471" s="21" t="str">
        <f>_xll.RssMarket(A1471,"後場始値")</f>
        <v/>
      </c>
      <c r="S1471" s="25" t="str">
        <f t="shared" si="128"/>
        <v>-</v>
      </c>
      <c r="T1471" s="7" t="str">
        <f>_xll.RssMarket(A1471,"出来高加重平均")</f>
        <v/>
      </c>
      <c r="U1471" s="4" t="e">
        <f t="shared" si="129"/>
        <v>#VALUE!</v>
      </c>
      <c r="V1471" s="21" t="str">
        <f>_xll.RssMarket(A1471,"出来高")</f>
        <v/>
      </c>
      <c r="W1471" s="21" t="str">
        <f>_xll.RssMarket(A1471,"売買代金")</f>
        <v/>
      </c>
      <c r="X1471" s="20" t="str">
        <f>_xll.RssMarket(A1471,"決算発表日")</f>
        <v/>
      </c>
      <c r="Y1471" s="26" t="str">
        <f>IF(C1471&gt;_xll.RssMarket(A1471,"年初来高値"),"○","×")</f>
        <v>×</v>
      </c>
      <c r="Z1471" s="27" t="str">
        <f>IF(C1471&lt;=_xll.RssMarket(A1471,"年初来安値"),"○","×")</f>
        <v>○</v>
      </c>
    </row>
    <row r="1472" spans="2:26" x14ac:dyDescent="0.55000000000000004">
      <c r="B1472" s="20" t="str">
        <f>_xll.RssMarket(A1472,"銘柄名称")</f>
        <v/>
      </c>
      <c r="C1472" s="21" t="str">
        <f>_xll.RssMarket(A1472,"現在値")</f>
        <v/>
      </c>
      <c r="D1472" s="20" t="str">
        <f>_xll.RssMarket(A1472,"現在値詳細時刻")</f>
        <v/>
      </c>
      <c r="E1472" s="22" t="str">
        <f>_xll.RssMarket(A1472,"前日比")</f>
        <v/>
      </c>
      <c r="F1472" s="23" t="e">
        <f>_xll.RssMarket(A1472,"前日比率")/100</f>
        <v>#VALUE!</v>
      </c>
      <c r="G1472" s="24" t="str">
        <f>IFERROR(VLOOKUP(A1472,取得元!$A$2:$F$501,2,FALSE),"-")</f>
        <v>-</v>
      </c>
      <c r="H1472" s="24" t="str">
        <f>IFERROR(VLOOKUP(A1472,取得元!$A$2:$F$501,3,FALSE),"-")</f>
        <v>-</v>
      </c>
      <c r="I1472" s="24" t="str">
        <f>IFERROR(VLOOKUP(A1472,取得元!$A$2:$F$501,4,FALSE),"-")</f>
        <v>-</v>
      </c>
      <c r="J1472" s="5" t="str">
        <f>IFERROR(VLOOKUP(A1472,取得元!$A$2:$F$501,5,FALSE),"-")</f>
        <v>-</v>
      </c>
      <c r="K1472" s="25" t="str">
        <f>IFERROR(VLOOKUP(A1472,取得元!$A$2:$F$501,6,FALSE)/100,"-")</f>
        <v>-</v>
      </c>
      <c r="L1472" s="21" t="str">
        <f>_xll.RssMarket(A1472,"始値")</f>
        <v/>
      </c>
      <c r="M1472" s="4" t="e">
        <f t="shared" si="125"/>
        <v>#VALUE!</v>
      </c>
      <c r="N1472" s="21" t="str">
        <f>_xll.RssMarket(A1472,"高値")</f>
        <v/>
      </c>
      <c r="O1472" s="4" t="e">
        <f t="shared" si="126"/>
        <v>#VALUE!</v>
      </c>
      <c r="P1472" s="21" t="str">
        <f>_xll.RssMarket(A1472,"安値")</f>
        <v/>
      </c>
      <c r="Q1472" s="4" t="e">
        <f t="shared" si="127"/>
        <v>#VALUE!</v>
      </c>
      <c r="R1472" s="21" t="str">
        <f>_xll.RssMarket(A1472,"後場始値")</f>
        <v/>
      </c>
      <c r="S1472" s="25" t="str">
        <f t="shared" si="128"/>
        <v>-</v>
      </c>
      <c r="T1472" s="7" t="str">
        <f>_xll.RssMarket(A1472,"出来高加重平均")</f>
        <v/>
      </c>
      <c r="U1472" s="4" t="e">
        <f t="shared" si="129"/>
        <v>#VALUE!</v>
      </c>
      <c r="V1472" s="21" t="str">
        <f>_xll.RssMarket(A1472,"出来高")</f>
        <v/>
      </c>
      <c r="W1472" s="21" t="str">
        <f>_xll.RssMarket(A1472,"売買代金")</f>
        <v/>
      </c>
      <c r="X1472" s="20" t="str">
        <f>_xll.RssMarket(A1472,"決算発表日")</f>
        <v/>
      </c>
      <c r="Y1472" s="26" t="str">
        <f>IF(C1472&gt;_xll.RssMarket(A1472,"年初来高値"),"○","×")</f>
        <v>×</v>
      </c>
      <c r="Z1472" s="27" t="str">
        <f>IF(C1472&lt;=_xll.RssMarket(A1472,"年初来安値"),"○","×")</f>
        <v>○</v>
      </c>
    </row>
    <row r="1473" spans="2:26" x14ac:dyDescent="0.55000000000000004">
      <c r="B1473" s="20" t="str">
        <f>_xll.RssMarket(A1473,"銘柄名称")</f>
        <v/>
      </c>
      <c r="C1473" s="21" t="str">
        <f>_xll.RssMarket(A1473,"現在値")</f>
        <v/>
      </c>
      <c r="D1473" s="20" t="str">
        <f>_xll.RssMarket(A1473,"現在値詳細時刻")</f>
        <v/>
      </c>
      <c r="E1473" s="22" t="str">
        <f>_xll.RssMarket(A1473,"前日比")</f>
        <v/>
      </c>
      <c r="F1473" s="23" t="e">
        <f>_xll.RssMarket(A1473,"前日比率")/100</f>
        <v>#VALUE!</v>
      </c>
      <c r="G1473" s="24" t="str">
        <f>IFERROR(VLOOKUP(A1473,取得元!$A$2:$F$501,2,FALSE),"-")</f>
        <v>-</v>
      </c>
      <c r="H1473" s="24" t="str">
        <f>IFERROR(VLOOKUP(A1473,取得元!$A$2:$F$501,3,FALSE),"-")</f>
        <v>-</v>
      </c>
      <c r="I1473" s="24" t="str">
        <f>IFERROR(VLOOKUP(A1473,取得元!$A$2:$F$501,4,FALSE),"-")</f>
        <v>-</v>
      </c>
      <c r="J1473" s="5" t="str">
        <f>IFERROR(VLOOKUP(A1473,取得元!$A$2:$F$501,5,FALSE),"-")</f>
        <v>-</v>
      </c>
      <c r="K1473" s="25" t="str">
        <f>IFERROR(VLOOKUP(A1473,取得元!$A$2:$F$501,6,FALSE)/100,"-")</f>
        <v>-</v>
      </c>
      <c r="L1473" s="21" t="str">
        <f>_xll.RssMarket(A1473,"始値")</f>
        <v/>
      </c>
      <c r="M1473" s="4" t="e">
        <f t="shared" si="125"/>
        <v>#VALUE!</v>
      </c>
      <c r="N1473" s="21" t="str">
        <f>_xll.RssMarket(A1473,"高値")</f>
        <v/>
      </c>
      <c r="O1473" s="4" t="e">
        <f t="shared" si="126"/>
        <v>#VALUE!</v>
      </c>
      <c r="P1473" s="21" t="str">
        <f>_xll.RssMarket(A1473,"安値")</f>
        <v/>
      </c>
      <c r="Q1473" s="4" t="e">
        <f t="shared" si="127"/>
        <v>#VALUE!</v>
      </c>
      <c r="R1473" s="21" t="str">
        <f>_xll.RssMarket(A1473,"後場始値")</f>
        <v/>
      </c>
      <c r="S1473" s="25" t="str">
        <f t="shared" si="128"/>
        <v>-</v>
      </c>
      <c r="T1473" s="7" t="str">
        <f>_xll.RssMarket(A1473,"出来高加重平均")</f>
        <v/>
      </c>
      <c r="U1473" s="4" t="e">
        <f t="shared" si="129"/>
        <v>#VALUE!</v>
      </c>
      <c r="V1473" s="21" t="str">
        <f>_xll.RssMarket(A1473,"出来高")</f>
        <v/>
      </c>
      <c r="W1473" s="21" t="str">
        <f>_xll.RssMarket(A1473,"売買代金")</f>
        <v/>
      </c>
      <c r="X1473" s="20" t="str">
        <f>_xll.RssMarket(A1473,"決算発表日")</f>
        <v/>
      </c>
      <c r="Y1473" s="26" t="str">
        <f>IF(C1473&gt;_xll.RssMarket(A1473,"年初来高値"),"○","×")</f>
        <v>×</v>
      </c>
      <c r="Z1473" s="27" t="str">
        <f>IF(C1473&lt;=_xll.RssMarket(A1473,"年初来安値"),"○","×")</f>
        <v>○</v>
      </c>
    </row>
    <row r="1474" spans="2:26" x14ac:dyDescent="0.55000000000000004">
      <c r="B1474" s="20" t="str">
        <f>_xll.RssMarket(A1474,"銘柄名称")</f>
        <v/>
      </c>
      <c r="C1474" s="21" t="str">
        <f>_xll.RssMarket(A1474,"現在値")</f>
        <v/>
      </c>
      <c r="D1474" s="20" t="str">
        <f>_xll.RssMarket(A1474,"現在値詳細時刻")</f>
        <v/>
      </c>
      <c r="E1474" s="22" t="str">
        <f>_xll.RssMarket(A1474,"前日比")</f>
        <v/>
      </c>
      <c r="F1474" s="23" t="e">
        <f>_xll.RssMarket(A1474,"前日比率")/100</f>
        <v>#VALUE!</v>
      </c>
      <c r="G1474" s="24" t="str">
        <f>IFERROR(VLOOKUP(A1474,取得元!$A$2:$F$501,2,FALSE),"-")</f>
        <v>-</v>
      </c>
      <c r="H1474" s="24" t="str">
        <f>IFERROR(VLOOKUP(A1474,取得元!$A$2:$F$501,3,FALSE),"-")</f>
        <v>-</v>
      </c>
      <c r="I1474" s="24" t="str">
        <f>IFERROR(VLOOKUP(A1474,取得元!$A$2:$F$501,4,FALSE),"-")</f>
        <v>-</v>
      </c>
      <c r="J1474" s="5" t="str">
        <f>IFERROR(VLOOKUP(A1474,取得元!$A$2:$F$501,5,FALSE),"-")</f>
        <v>-</v>
      </c>
      <c r="K1474" s="25" t="str">
        <f>IFERROR(VLOOKUP(A1474,取得元!$A$2:$F$501,6,FALSE)/100,"-")</f>
        <v>-</v>
      </c>
      <c r="L1474" s="21" t="str">
        <f>_xll.RssMarket(A1474,"始値")</f>
        <v/>
      </c>
      <c r="M1474" s="4" t="e">
        <f t="shared" si="125"/>
        <v>#VALUE!</v>
      </c>
      <c r="N1474" s="21" t="str">
        <f>_xll.RssMarket(A1474,"高値")</f>
        <v/>
      </c>
      <c r="O1474" s="4" t="e">
        <f t="shared" si="126"/>
        <v>#VALUE!</v>
      </c>
      <c r="P1474" s="21" t="str">
        <f>_xll.RssMarket(A1474,"安値")</f>
        <v/>
      </c>
      <c r="Q1474" s="4" t="e">
        <f t="shared" si="127"/>
        <v>#VALUE!</v>
      </c>
      <c r="R1474" s="21" t="str">
        <f>_xll.RssMarket(A1474,"後場始値")</f>
        <v/>
      </c>
      <c r="S1474" s="25" t="str">
        <f t="shared" si="128"/>
        <v>-</v>
      </c>
      <c r="T1474" s="7" t="str">
        <f>_xll.RssMarket(A1474,"出来高加重平均")</f>
        <v/>
      </c>
      <c r="U1474" s="4" t="e">
        <f t="shared" si="129"/>
        <v>#VALUE!</v>
      </c>
      <c r="V1474" s="21" t="str">
        <f>_xll.RssMarket(A1474,"出来高")</f>
        <v/>
      </c>
      <c r="W1474" s="21" t="str">
        <f>_xll.RssMarket(A1474,"売買代金")</f>
        <v/>
      </c>
      <c r="X1474" s="20" t="str">
        <f>_xll.RssMarket(A1474,"決算発表日")</f>
        <v/>
      </c>
      <c r="Y1474" s="26" t="str">
        <f>IF(C1474&gt;_xll.RssMarket(A1474,"年初来高値"),"○","×")</f>
        <v>×</v>
      </c>
      <c r="Z1474" s="27" t="str">
        <f>IF(C1474&lt;=_xll.RssMarket(A1474,"年初来安値"),"○","×")</f>
        <v>○</v>
      </c>
    </row>
    <row r="1475" spans="2:26" x14ac:dyDescent="0.55000000000000004">
      <c r="B1475" s="20" t="str">
        <f>_xll.RssMarket(A1475,"銘柄名称")</f>
        <v/>
      </c>
      <c r="C1475" s="21" t="str">
        <f>_xll.RssMarket(A1475,"現在値")</f>
        <v/>
      </c>
      <c r="D1475" s="20" t="str">
        <f>_xll.RssMarket(A1475,"現在値詳細時刻")</f>
        <v/>
      </c>
      <c r="E1475" s="22" t="str">
        <f>_xll.RssMarket(A1475,"前日比")</f>
        <v/>
      </c>
      <c r="F1475" s="23" t="e">
        <f>_xll.RssMarket(A1475,"前日比率")/100</f>
        <v>#VALUE!</v>
      </c>
      <c r="G1475" s="24" t="str">
        <f>IFERROR(VLOOKUP(A1475,取得元!$A$2:$F$501,2,FALSE),"-")</f>
        <v>-</v>
      </c>
      <c r="H1475" s="24" t="str">
        <f>IFERROR(VLOOKUP(A1475,取得元!$A$2:$F$501,3,FALSE),"-")</f>
        <v>-</v>
      </c>
      <c r="I1475" s="24" t="str">
        <f>IFERROR(VLOOKUP(A1475,取得元!$A$2:$F$501,4,FALSE),"-")</f>
        <v>-</v>
      </c>
      <c r="J1475" s="5" t="str">
        <f>IFERROR(VLOOKUP(A1475,取得元!$A$2:$F$501,5,FALSE),"-")</f>
        <v>-</v>
      </c>
      <c r="K1475" s="25" t="str">
        <f>IFERROR(VLOOKUP(A1475,取得元!$A$2:$F$501,6,FALSE)/100,"-")</f>
        <v>-</v>
      </c>
      <c r="L1475" s="21" t="str">
        <f>_xll.RssMarket(A1475,"始値")</f>
        <v/>
      </c>
      <c r="M1475" s="4" t="e">
        <f t="shared" si="125"/>
        <v>#VALUE!</v>
      </c>
      <c r="N1475" s="21" t="str">
        <f>_xll.RssMarket(A1475,"高値")</f>
        <v/>
      </c>
      <c r="O1475" s="4" t="e">
        <f t="shared" si="126"/>
        <v>#VALUE!</v>
      </c>
      <c r="P1475" s="21" t="str">
        <f>_xll.RssMarket(A1475,"安値")</f>
        <v/>
      </c>
      <c r="Q1475" s="4" t="e">
        <f t="shared" si="127"/>
        <v>#VALUE!</v>
      </c>
      <c r="R1475" s="21" t="str">
        <f>_xll.RssMarket(A1475,"後場始値")</f>
        <v/>
      </c>
      <c r="S1475" s="25" t="str">
        <f t="shared" si="128"/>
        <v>-</v>
      </c>
      <c r="T1475" s="7" t="str">
        <f>_xll.RssMarket(A1475,"出来高加重平均")</f>
        <v/>
      </c>
      <c r="U1475" s="4" t="e">
        <f t="shared" si="129"/>
        <v>#VALUE!</v>
      </c>
      <c r="V1475" s="21" t="str">
        <f>_xll.RssMarket(A1475,"出来高")</f>
        <v/>
      </c>
      <c r="W1475" s="21" t="str">
        <f>_xll.RssMarket(A1475,"売買代金")</f>
        <v/>
      </c>
      <c r="X1475" s="20" t="str">
        <f>_xll.RssMarket(A1475,"決算発表日")</f>
        <v/>
      </c>
      <c r="Y1475" s="26" t="str">
        <f>IF(C1475&gt;_xll.RssMarket(A1475,"年初来高値"),"○","×")</f>
        <v>×</v>
      </c>
      <c r="Z1475" s="27" t="str">
        <f>IF(C1475&lt;=_xll.RssMarket(A1475,"年初来安値"),"○","×")</f>
        <v>○</v>
      </c>
    </row>
    <row r="1476" spans="2:26" x14ac:dyDescent="0.55000000000000004">
      <c r="B1476" s="20" t="str">
        <f>_xll.RssMarket(A1476,"銘柄名称")</f>
        <v/>
      </c>
      <c r="C1476" s="21" t="str">
        <f>_xll.RssMarket(A1476,"現在値")</f>
        <v/>
      </c>
      <c r="D1476" s="20" t="str">
        <f>_xll.RssMarket(A1476,"現在値詳細時刻")</f>
        <v/>
      </c>
      <c r="E1476" s="22" t="str">
        <f>_xll.RssMarket(A1476,"前日比")</f>
        <v/>
      </c>
      <c r="F1476" s="23" t="e">
        <f>_xll.RssMarket(A1476,"前日比率")/100</f>
        <v>#VALUE!</v>
      </c>
      <c r="G1476" s="24" t="str">
        <f>IFERROR(VLOOKUP(A1476,取得元!$A$2:$F$501,2,FALSE),"-")</f>
        <v>-</v>
      </c>
      <c r="H1476" s="24" t="str">
        <f>IFERROR(VLOOKUP(A1476,取得元!$A$2:$F$501,3,FALSE),"-")</f>
        <v>-</v>
      </c>
      <c r="I1476" s="24" t="str">
        <f>IFERROR(VLOOKUP(A1476,取得元!$A$2:$F$501,4,FALSE),"-")</f>
        <v>-</v>
      </c>
      <c r="J1476" s="5" t="str">
        <f>IFERROR(VLOOKUP(A1476,取得元!$A$2:$F$501,5,FALSE),"-")</f>
        <v>-</v>
      </c>
      <c r="K1476" s="25" t="str">
        <f>IFERROR(VLOOKUP(A1476,取得元!$A$2:$F$501,6,FALSE)/100,"-")</f>
        <v>-</v>
      </c>
      <c r="L1476" s="21" t="str">
        <f>_xll.RssMarket(A1476,"始値")</f>
        <v/>
      </c>
      <c r="M1476" s="4" t="e">
        <f t="shared" si="125"/>
        <v>#VALUE!</v>
      </c>
      <c r="N1476" s="21" t="str">
        <f>_xll.RssMarket(A1476,"高値")</f>
        <v/>
      </c>
      <c r="O1476" s="4" t="e">
        <f t="shared" si="126"/>
        <v>#VALUE!</v>
      </c>
      <c r="P1476" s="21" t="str">
        <f>_xll.RssMarket(A1476,"安値")</f>
        <v/>
      </c>
      <c r="Q1476" s="4" t="e">
        <f t="shared" si="127"/>
        <v>#VALUE!</v>
      </c>
      <c r="R1476" s="21" t="str">
        <f>_xll.RssMarket(A1476,"後場始値")</f>
        <v/>
      </c>
      <c r="S1476" s="25" t="str">
        <f t="shared" si="128"/>
        <v>-</v>
      </c>
      <c r="T1476" s="7" t="str">
        <f>_xll.RssMarket(A1476,"出来高加重平均")</f>
        <v/>
      </c>
      <c r="U1476" s="4" t="e">
        <f t="shared" si="129"/>
        <v>#VALUE!</v>
      </c>
      <c r="V1476" s="21" t="str">
        <f>_xll.RssMarket(A1476,"出来高")</f>
        <v/>
      </c>
      <c r="W1476" s="21" t="str">
        <f>_xll.RssMarket(A1476,"売買代金")</f>
        <v/>
      </c>
      <c r="X1476" s="20" t="str">
        <f>_xll.RssMarket(A1476,"決算発表日")</f>
        <v/>
      </c>
      <c r="Y1476" s="26" t="str">
        <f>IF(C1476&gt;_xll.RssMarket(A1476,"年初来高値"),"○","×")</f>
        <v>×</v>
      </c>
      <c r="Z1476" s="27" t="str">
        <f>IF(C1476&lt;=_xll.RssMarket(A1476,"年初来安値"),"○","×")</f>
        <v>○</v>
      </c>
    </row>
    <row r="1477" spans="2:26" x14ac:dyDescent="0.55000000000000004">
      <c r="B1477" s="20" t="str">
        <f>_xll.RssMarket(A1477,"銘柄名称")</f>
        <v/>
      </c>
      <c r="C1477" s="21" t="str">
        <f>_xll.RssMarket(A1477,"現在値")</f>
        <v/>
      </c>
      <c r="D1477" s="20" t="str">
        <f>_xll.RssMarket(A1477,"現在値詳細時刻")</f>
        <v/>
      </c>
      <c r="E1477" s="22" t="str">
        <f>_xll.RssMarket(A1477,"前日比")</f>
        <v/>
      </c>
      <c r="F1477" s="23" t="e">
        <f>_xll.RssMarket(A1477,"前日比率")/100</f>
        <v>#VALUE!</v>
      </c>
      <c r="G1477" s="24" t="str">
        <f>IFERROR(VLOOKUP(A1477,取得元!$A$2:$F$501,2,FALSE),"-")</f>
        <v>-</v>
      </c>
      <c r="H1477" s="24" t="str">
        <f>IFERROR(VLOOKUP(A1477,取得元!$A$2:$F$501,3,FALSE),"-")</f>
        <v>-</v>
      </c>
      <c r="I1477" s="24" t="str">
        <f>IFERROR(VLOOKUP(A1477,取得元!$A$2:$F$501,4,FALSE),"-")</f>
        <v>-</v>
      </c>
      <c r="J1477" s="5" t="str">
        <f>IFERROR(VLOOKUP(A1477,取得元!$A$2:$F$501,5,FALSE),"-")</f>
        <v>-</v>
      </c>
      <c r="K1477" s="25" t="str">
        <f>IFERROR(VLOOKUP(A1477,取得元!$A$2:$F$501,6,FALSE)/100,"-")</f>
        <v>-</v>
      </c>
      <c r="L1477" s="21" t="str">
        <f>_xll.RssMarket(A1477,"始値")</f>
        <v/>
      </c>
      <c r="M1477" s="4" t="e">
        <f t="shared" si="125"/>
        <v>#VALUE!</v>
      </c>
      <c r="N1477" s="21" t="str">
        <f>_xll.RssMarket(A1477,"高値")</f>
        <v/>
      </c>
      <c r="O1477" s="4" t="e">
        <f t="shared" si="126"/>
        <v>#VALUE!</v>
      </c>
      <c r="P1477" s="21" t="str">
        <f>_xll.RssMarket(A1477,"安値")</f>
        <v/>
      </c>
      <c r="Q1477" s="4" t="e">
        <f t="shared" si="127"/>
        <v>#VALUE!</v>
      </c>
      <c r="R1477" s="21" t="str">
        <f>_xll.RssMarket(A1477,"後場始値")</f>
        <v/>
      </c>
      <c r="S1477" s="25" t="str">
        <f t="shared" si="128"/>
        <v>-</v>
      </c>
      <c r="T1477" s="7" t="str">
        <f>_xll.RssMarket(A1477,"出来高加重平均")</f>
        <v/>
      </c>
      <c r="U1477" s="4" t="e">
        <f t="shared" si="129"/>
        <v>#VALUE!</v>
      </c>
      <c r="V1477" s="21" t="str">
        <f>_xll.RssMarket(A1477,"出来高")</f>
        <v/>
      </c>
      <c r="W1477" s="21" t="str">
        <f>_xll.RssMarket(A1477,"売買代金")</f>
        <v/>
      </c>
      <c r="X1477" s="20" t="str">
        <f>_xll.RssMarket(A1477,"決算発表日")</f>
        <v/>
      </c>
      <c r="Y1477" s="26" t="str">
        <f>IF(C1477&gt;_xll.RssMarket(A1477,"年初来高値"),"○","×")</f>
        <v>×</v>
      </c>
      <c r="Z1477" s="27" t="str">
        <f>IF(C1477&lt;=_xll.RssMarket(A1477,"年初来安値"),"○","×")</f>
        <v>○</v>
      </c>
    </row>
    <row r="1478" spans="2:26" x14ac:dyDescent="0.55000000000000004">
      <c r="B1478" s="20" t="str">
        <f>_xll.RssMarket(A1478,"銘柄名称")</f>
        <v/>
      </c>
      <c r="C1478" s="21" t="str">
        <f>_xll.RssMarket(A1478,"現在値")</f>
        <v/>
      </c>
      <c r="D1478" s="20" t="str">
        <f>_xll.RssMarket(A1478,"現在値詳細時刻")</f>
        <v/>
      </c>
      <c r="E1478" s="22" t="str">
        <f>_xll.RssMarket(A1478,"前日比")</f>
        <v/>
      </c>
      <c r="F1478" s="23" t="e">
        <f>_xll.RssMarket(A1478,"前日比率")/100</f>
        <v>#VALUE!</v>
      </c>
      <c r="G1478" s="24" t="str">
        <f>IFERROR(VLOOKUP(A1478,取得元!$A$2:$F$501,2,FALSE),"-")</f>
        <v>-</v>
      </c>
      <c r="H1478" s="24" t="str">
        <f>IFERROR(VLOOKUP(A1478,取得元!$A$2:$F$501,3,FALSE),"-")</f>
        <v>-</v>
      </c>
      <c r="I1478" s="24" t="str">
        <f>IFERROR(VLOOKUP(A1478,取得元!$A$2:$F$501,4,FALSE),"-")</f>
        <v>-</v>
      </c>
      <c r="J1478" s="5" t="str">
        <f>IFERROR(VLOOKUP(A1478,取得元!$A$2:$F$501,5,FALSE),"-")</f>
        <v>-</v>
      </c>
      <c r="K1478" s="25" t="str">
        <f>IFERROR(VLOOKUP(A1478,取得元!$A$2:$F$501,6,FALSE)/100,"-")</f>
        <v>-</v>
      </c>
      <c r="L1478" s="21" t="str">
        <f>_xll.RssMarket(A1478,"始値")</f>
        <v/>
      </c>
      <c r="M1478" s="4" t="e">
        <f t="shared" si="125"/>
        <v>#VALUE!</v>
      </c>
      <c r="N1478" s="21" t="str">
        <f>_xll.RssMarket(A1478,"高値")</f>
        <v/>
      </c>
      <c r="O1478" s="4" t="e">
        <f t="shared" si="126"/>
        <v>#VALUE!</v>
      </c>
      <c r="P1478" s="21" t="str">
        <f>_xll.RssMarket(A1478,"安値")</f>
        <v/>
      </c>
      <c r="Q1478" s="4" t="e">
        <f t="shared" si="127"/>
        <v>#VALUE!</v>
      </c>
      <c r="R1478" s="21" t="str">
        <f>_xll.RssMarket(A1478,"後場始値")</f>
        <v/>
      </c>
      <c r="S1478" s="25" t="str">
        <f t="shared" si="128"/>
        <v>-</v>
      </c>
      <c r="T1478" s="7" t="str">
        <f>_xll.RssMarket(A1478,"出来高加重平均")</f>
        <v/>
      </c>
      <c r="U1478" s="4" t="e">
        <f t="shared" si="129"/>
        <v>#VALUE!</v>
      </c>
      <c r="V1478" s="21" t="str">
        <f>_xll.RssMarket(A1478,"出来高")</f>
        <v/>
      </c>
      <c r="W1478" s="21" t="str">
        <f>_xll.RssMarket(A1478,"売買代金")</f>
        <v/>
      </c>
      <c r="X1478" s="20" t="str">
        <f>_xll.RssMarket(A1478,"決算発表日")</f>
        <v/>
      </c>
      <c r="Y1478" s="26" t="str">
        <f>IF(C1478&gt;_xll.RssMarket(A1478,"年初来高値"),"○","×")</f>
        <v>×</v>
      </c>
      <c r="Z1478" s="27" t="str">
        <f>IF(C1478&lt;=_xll.RssMarket(A1478,"年初来安値"),"○","×")</f>
        <v>○</v>
      </c>
    </row>
    <row r="1479" spans="2:26" x14ac:dyDescent="0.55000000000000004">
      <c r="B1479" s="20" t="str">
        <f>_xll.RssMarket(A1479,"銘柄名称")</f>
        <v/>
      </c>
      <c r="C1479" s="21" t="str">
        <f>_xll.RssMarket(A1479,"現在値")</f>
        <v/>
      </c>
      <c r="D1479" s="20" t="str">
        <f>_xll.RssMarket(A1479,"現在値詳細時刻")</f>
        <v/>
      </c>
      <c r="E1479" s="22" t="str">
        <f>_xll.RssMarket(A1479,"前日比")</f>
        <v/>
      </c>
      <c r="F1479" s="23" t="e">
        <f>_xll.RssMarket(A1479,"前日比率")/100</f>
        <v>#VALUE!</v>
      </c>
      <c r="G1479" s="24" t="str">
        <f>IFERROR(VLOOKUP(A1479,取得元!$A$2:$F$501,2,FALSE),"-")</f>
        <v>-</v>
      </c>
      <c r="H1479" s="24" t="str">
        <f>IFERROR(VLOOKUP(A1479,取得元!$A$2:$F$501,3,FALSE),"-")</f>
        <v>-</v>
      </c>
      <c r="I1479" s="24" t="str">
        <f>IFERROR(VLOOKUP(A1479,取得元!$A$2:$F$501,4,FALSE),"-")</f>
        <v>-</v>
      </c>
      <c r="J1479" s="5" t="str">
        <f>IFERROR(VLOOKUP(A1479,取得元!$A$2:$F$501,5,FALSE),"-")</f>
        <v>-</v>
      </c>
      <c r="K1479" s="25" t="str">
        <f>IFERROR(VLOOKUP(A1479,取得元!$A$2:$F$501,6,FALSE)/100,"-")</f>
        <v>-</v>
      </c>
      <c r="L1479" s="21" t="str">
        <f>_xll.RssMarket(A1479,"始値")</f>
        <v/>
      </c>
      <c r="M1479" s="4" t="e">
        <f t="shared" si="125"/>
        <v>#VALUE!</v>
      </c>
      <c r="N1479" s="21" t="str">
        <f>_xll.RssMarket(A1479,"高値")</f>
        <v/>
      </c>
      <c r="O1479" s="4" t="e">
        <f t="shared" si="126"/>
        <v>#VALUE!</v>
      </c>
      <c r="P1479" s="21" t="str">
        <f>_xll.RssMarket(A1479,"安値")</f>
        <v/>
      </c>
      <c r="Q1479" s="4" t="e">
        <f t="shared" si="127"/>
        <v>#VALUE!</v>
      </c>
      <c r="R1479" s="21" t="str">
        <f>_xll.RssMarket(A1479,"後場始値")</f>
        <v/>
      </c>
      <c r="S1479" s="25" t="str">
        <f t="shared" si="128"/>
        <v>-</v>
      </c>
      <c r="T1479" s="7" t="str">
        <f>_xll.RssMarket(A1479,"出来高加重平均")</f>
        <v/>
      </c>
      <c r="U1479" s="4" t="e">
        <f t="shared" si="129"/>
        <v>#VALUE!</v>
      </c>
      <c r="V1479" s="21" t="str">
        <f>_xll.RssMarket(A1479,"出来高")</f>
        <v/>
      </c>
      <c r="W1479" s="21" t="str">
        <f>_xll.RssMarket(A1479,"売買代金")</f>
        <v/>
      </c>
      <c r="X1479" s="20" t="str">
        <f>_xll.RssMarket(A1479,"決算発表日")</f>
        <v/>
      </c>
      <c r="Y1479" s="26" t="str">
        <f>IF(C1479&gt;_xll.RssMarket(A1479,"年初来高値"),"○","×")</f>
        <v>×</v>
      </c>
      <c r="Z1479" s="27" t="str">
        <f>IF(C1479&lt;=_xll.RssMarket(A1479,"年初来安値"),"○","×")</f>
        <v>○</v>
      </c>
    </row>
    <row r="1480" spans="2:26" x14ac:dyDescent="0.55000000000000004">
      <c r="B1480" s="20" t="str">
        <f>_xll.RssMarket(A1480,"銘柄名称")</f>
        <v/>
      </c>
      <c r="C1480" s="21" t="str">
        <f>_xll.RssMarket(A1480,"現在値")</f>
        <v/>
      </c>
      <c r="D1480" s="20" t="str">
        <f>_xll.RssMarket(A1480,"現在値詳細時刻")</f>
        <v/>
      </c>
      <c r="E1480" s="22" t="str">
        <f>_xll.RssMarket(A1480,"前日比")</f>
        <v/>
      </c>
      <c r="F1480" s="23" t="e">
        <f>_xll.RssMarket(A1480,"前日比率")/100</f>
        <v>#VALUE!</v>
      </c>
      <c r="G1480" s="24" t="str">
        <f>IFERROR(VLOOKUP(A1480,取得元!$A$2:$F$501,2,FALSE),"-")</f>
        <v>-</v>
      </c>
      <c r="H1480" s="24" t="str">
        <f>IFERROR(VLOOKUP(A1480,取得元!$A$2:$F$501,3,FALSE),"-")</f>
        <v>-</v>
      </c>
      <c r="I1480" s="24" t="str">
        <f>IFERROR(VLOOKUP(A1480,取得元!$A$2:$F$501,4,FALSE),"-")</f>
        <v>-</v>
      </c>
      <c r="J1480" s="5" t="str">
        <f>IFERROR(VLOOKUP(A1480,取得元!$A$2:$F$501,5,FALSE),"-")</f>
        <v>-</v>
      </c>
      <c r="K1480" s="25" t="str">
        <f>IFERROR(VLOOKUP(A1480,取得元!$A$2:$F$501,6,FALSE)/100,"-")</f>
        <v>-</v>
      </c>
      <c r="L1480" s="21" t="str">
        <f>_xll.RssMarket(A1480,"始値")</f>
        <v/>
      </c>
      <c r="M1480" s="4" t="e">
        <f t="shared" si="125"/>
        <v>#VALUE!</v>
      </c>
      <c r="N1480" s="21" t="str">
        <f>_xll.RssMarket(A1480,"高値")</f>
        <v/>
      </c>
      <c r="O1480" s="4" t="e">
        <f t="shared" si="126"/>
        <v>#VALUE!</v>
      </c>
      <c r="P1480" s="21" t="str">
        <f>_xll.RssMarket(A1480,"安値")</f>
        <v/>
      </c>
      <c r="Q1480" s="4" t="e">
        <f t="shared" si="127"/>
        <v>#VALUE!</v>
      </c>
      <c r="R1480" s="21" t="str">
        <f>_xll.RssMarket(A1480,"後場始値")</f>
        <v/>
      </c>
      <c r="S1480" s="25" t="str">
        <f t="shared" si="128"/>
        <v>-</v>
      </c>
      <c r="T1480" s="7" t="str">
        <f>_xll.RssMarket(A1480,"出来高加重平均")</f>
        <v/>
      </c>
      <c r="U1480" s="4" t="e">
        <f t="shared" si="129"/>
        <v>#VALUE!</v>
      </c>
      <c r="V1480" s="21" t="str">
        <f>_xll.RssMarket(A1480,"出来高")</f>
        <v/>
      </c>
      <c r="W1480" s="21" t="str">
        <f>_xll.RssMarket(A1480,"売買代金")</f>
        <v/>
      </c>
      <c r="X1480" s="20" t="str">
        <f>_xll.RssMarket(A1480,"決算発表日")</f>
        <v/>
      </c>
      <c r="Y1480" s="26" t="str">
        <f>IF(C1480&gt;_xll.RssMarket(A1480,"年初来高値"),"○","×")</f>
        <v>×</v>
      </c>
      <c r="Z1480" s="27" t="str">
        <f>IF(C1480&lt;=_xll.RssMarket(A1480,"年初来安値"),"○","×")</f>
        <v>○</v>
      </c>
    </row>
    <row r="1481" spans="2:26" x14ac:dyDescent="0.55000000000000004">
      <c r="B1481" s="20" t="str">
        <f>_xll.RssMarket(A1481,"銘柄名称")</f>
        <v/>
      </c>
      <c r="C1481" s="21" t="str">
        <f>_xll.RssMarket(A1481,"現在値")</f>
        <v/>
      </c>
      <c r="D1481" s="20" t="str">
        <f>_xll.RssMarket(A1481,"現在値詳細時刻")</f>
        <v/>
      </c>
      <c r="E1481" s="22" t="str">
        <f>_xll.RssMarket(A1481,"前日比")</f>
        <v/>
      </c>
      <c r="F1481" s="23" t="e">
        <f>_xll.RssMarket(A1481,"前日比率")/100</f>
        <v>#VALUE!</v>
      </c>
      <c r="G1481" s="24" t="str">
        <f>IFERROR(VLOOKUP(A1481,取得元!$A$2:$F$501,2,FALSE),"-")</f>
        <v>-</v>
      </c>
      <c r="H1481" s="24" t="str">
        <f>IFERROR(VLOOKUP(A1481,取得元!$A$2:$F$501,3,FALSE),"-")</f>
        <v>-</v>
      </c>
      <c r="I1481" s="24" t="str">
        <f>IFERROR(VLOOKUP(A1481,取得元!$A$2:$F$501,4,FALSE),"-")</f>
        <v>-</v>
      </c>
      <c r="J1481" s="5" t="str">
        <f>IFERROR(VLOOKUP(A1481,取得元!$A$2:$F$501,5,FALSE),"-")</f>
        <v>-</v>
      </c>
      <c r="K1481" s="25" t="str">
        <f>IFERROR(VLOOKUP(A1481,取得元!$A$2:$F$501,6,FALSE)/100,"-")</f>
        <v>-</v>
      </c>
      <c r="L1481" s="21" t="str">
        <f>_xll.RssMarket(A1481,"始値")</f>
        <v/>
      </c>
      <c r="M1481" s="4" t="e">
        <f t="shared" si="125"/>
        <v>#VALUE!</v>
      </c>
      <c r="N1481" s="21" t="str">
        <f>_xll.RssMarket(A1481,"高値")</f>
        <v/>
      </c>
      <c r="O1481" s="4" t="e">
        <f t="shared" si="126"/>
        <v>#VALUE!</v>
      </c>
      <c r="P1481" s="21" t="str">
        <f>_xll.RssMarket(A1481,"安値")</f>
        <v/>
      </c>
      <c r="Q1481" s="4" t="e">
        <f t="shared" si="127"/>
        <v>#VALUE!</v>
      </c>
      <c r="R1481" s="21" t="str">
        <f>_xll.RssMarket(A1481,"後場始値")</f>
        <v/>
      </c>
      <c r="S1481" s="25" t="str">
        <f t="shared" si="128"/>
        <v>-</v>
      </c>
      <c r="T1481" s="7" t="str">
        <f>_xll.RssMarket(A1481,"出来高加重平均")</f>
        <v/>
      </c>
      <c r="U1481" s="4" t="e">
        <f t="shared" si="129"/>
        <v>#VALUE!</v>
      </c>
      <c r="V1481" s="21" t="str">
        <f>_xll.RssMarket(A1481,"出来高")</f>
        <v/>
      </c>
      <c r="W1481" s="21" t="str">
        <f>_xll.RssMarket(A1481,"売買代金")</f>
        <v/>
      </c>
      <c r="X1481" s="20" t="str">
        <f>_xll.RssMarket(A1481,"決算発表日")</f>
        <v/>
      </c>
      <c r="Y1481" s="26" t="str">
        <f>IF(C1481&gt;_xll.RssMarket(A1481,"年初来高値"),"○","×")</f>
        <v>×</v>
      </c>
      <c r="Z1481" s="27" t="str">
        <f>IF(C1481&lt;=_xll.RssMarket(A1481,"年初来安値"),"○","×")</f>
        <v>○</v>
      </c>
    </row>
    <row r="1482" spans="2:26" x14ac:dyDescent="0.55000000000000004">
      <c r="B1482" s="20" t="str">
        <f>_xll.RssMarket(A1482,"銘柄名称")</f>
        <v/>
      </c>
      <c r="C1482" s="21" t="str">
        <f>_xll.RssMarket(A1482,"現在値")</f>
        <v/>
      </c>
      <c r="D1482" s="20" t="str">
        <f>_xll.RssMarket(A1482,"現在値詳細時刻")</f>
        <v/>
      </c>
      <c r="E1482" s="22" t="str">
        <f>_xll.RssMarket(A1482,"前日比")</f>
        <v/>
      </c>
      <c r="F1482" s="23" t="e">
        <f>_xll.RssMarket(A1482,"前日比率")/100</f>
        <v>#VALUE!</v>
      </c>
      <c r="G1482" s="24" t="str">
        <f>IFERROR(VLOOKUP(A1482,取得元!$A$2:$F$501,2,FALSE),"-")</f>
        <v>-</v>
      </c>
      <c r="H1482" s="24" t="str">
        <f>IFERROR(VLOOKUP(A1482,取得元!$A$2:$F$501,3,FALSE),"-")</f>
        <v>-</v>
      </c>
      <c r="I1482" s="24" t="str">
        <f>IFERROR(VLOOKUP(A1482,取得元!$A$2:$F$501,4,FALSE),"-")</f>
        <v>-</v>
      </c>
      <c r="J1482" s="5" t="str">
        <f>IFERROR(VLOOKUP(A1482,取得元!$A$2:$F$501,5,FALSE),"-")</f>
        <v>-</v>
      </c>
      <c r="K1482" s="25" t="str">
        <f>IFERROR(VLOOKUP(A1482,取得元!$A$2:$F$501,6,FALSE)/100,"-")</f>
        <v>-</v>
      </c>
      <c r="L1482" s="21" t="str">
        <f>_xll.RssMarket(A1482,"始値")</f>
        <v/>
      </c>
      <c r="M1482" s="4" t="e">
        <f t="shared" si="125"/>
        <v>#VALUE!</v>
      </c>
      <c r="N1482" s="21" t="str">
        <f>_xll.RssMarket(A1482,"高値")</f>
        <v/>
      </c>
      <c r="O1482" s="4" t="e">
        <f t="shared" si="126"/>
        <v>#VALUE!</v>
      </c>
      <c r="P1482" s="21" t="str">
        <f>_xll.RssMarket(A1482,"安値")</f>
        <v/>
      </c>
      <c r="Q1482" s="4" t="e">
        <f t="shared" si="127"/>
        <v>#VALUE!</v>
      </c>
      <c r="R1482" s="21" t="str">
        <f>_xll.RssMarket(A1482,"後場始値")</f>
        <v/>
      </c>
      <c r="S1482" s="25" t="str">
        <f t="shared" si="128"/>
        <v>-</v>
      </c>
      <c r="T1482" s="7" t="str">
        <f>_xll.RssMarket(A1482,"出来高加重平均")</f>
        <v/>
      </c>
      <c r="U1482" s="4" t="e">
        <f t="shared" si="129"/>
        <v>#VALUE!</v>
      </c>
      <c r="V1482" s="21" t="str">
        <f>_xll.RssMarket(A1482,"出来高")</f>
        <v/>
      </c>
      <c r="W1482" s="21" t="str">
        <f>_xll.RssMarket(A1482,"売買代金")</f>
        <v/>
      </c>
      <c r="X1482" s="20" t="str">
        <f>_xll.RssMarket(A1482,"決算発表日")</f>
        <v/>
      </c>
      <c r="Y1482" s="26" t="str">
        <f>IF(C1482&gt;_xll.RssMarket(A1482,"年初来高値"),"○","×")</f>
        <v>×</v>
      </c>
      <c r="Z1482" s="27" t="str">
        <f>IF(C1482&lt;=_xll.RssMarket(A1482,"年初来安値"),"○","×")</f>
        <v>○</v>
      </c>
    </row>
    <row r="1483" spans="2:26" x14ac:dyDescent="0.55000000000000004">
      <c r="B1483" s="20" t="str">
        <f>_xll.RssMarket(A1483,"銘柄名称")</f>
        <v/>
      </c>
      <c r="C1483" s="21" t="str">
        <f>_xll.RssMarket(A1483,"現在値")</f>
        <v/>
      </c>
      <c r="D1483" s="20" t="str">
        <f>_xll.RssMarket(A1483,"現在値詳細時刻")</f>
        <v/>
      </c>
      <c r="E1483" s="22" t="str">
        <f>_xll.RssMarket(A1483,"前日比")</f>
        <v/>
      </c>
      <c r="F1483" s="23" t="e">
        <f>_xll.RssMarket(A1483,"前日比率")/100</f>
        <v>#VALUE!</v>
      </c>
      <c r="G1483" s="24" t="str">
        <f>IFERROR(VLOOKUP(A1483,取得元!$A$2:$F$501,2,FALSE),"-")</f>
        <v>-</v>
      </c>
      <c r="H1483" s="24" t="str">
        <f>IFERROR(VLOOKUP(A1483,取得元!$A$2:$F$501,3,FALSE),"-")</f>
        <v>-</v>
      </c>
      <c r="I1483" s="24" t="str">
        <f>IFERROR(VLOOKUP(A1483,取得元!$A$2:$F$501,4,FALSE),"-")</f>
        <v>-</v>
      </c>
      <c r="J1483" s="5" t="str">
        <f>IFERROR(VLOOKUP(A1483,取得元!$A$2:$F$501,5,FALSE),"-")</f>
        <v>-</v>
      </c>
      <c r="K1483" s="25" t="str">
        <f>IFERROR(VLOOKUP(A1483,取得元!$A$2:$F$501,6,FALSE)/100,"-")</f>
        <v>-</v>
      </c>
      <c r="L1483" s="21" t="str">
        <f>_xll.RssMarket(A1483,"始値")</f>
        <v/>
      </c>
      <c r="M1483" s="4" t="e">
        <f t="shared" si="125"/>
        <v>#VALUE!</v>
      </c>
      <c r="N1483" s="21" t="str">
        <f>_xll.RssMarket(A1483,"高値")</f>
        <v/>
      </c>
      <c r="O1483" s="4" t="e">
        <f t="shared" si="126"/>
        <v>#VALUE!</v>
      </c>
      <c r="P1483" s="21" t="str">
        <f>_xll.RssMarket(A1483,"安値")</f>
        <v/>
      </c>
      <c r="Q1483" s="4" t="e">
        <f t="shared" si="127"/>
        <v>#VALUE!</v>
      </c>
      <c r="R1483" s="21" t="str">
        <f>_xll.RssMarket(A1483,"後場始値")</f>
        <v/>
      </c>
      <c r="S1483" s="25" t="str">
        <f t="shared" si="128"/>
        <v>-</v>
      </c>
      <c r="T1483" s="7" t="str">
        <f>_xll.RssMarket(A1483,"出来高加重平均")</f>
        <v/>
      </c>
      <c r="U1483" s="4" t="e">
        <f t="shared" si="129"/>
        <v>#VALUE!</v>
      </c>
      <c r="V1483" s="21" t="str">
        <f>_xll.RssMarket(A1483,"出来高")</f>
        <v/>
      </c>
      <c r="W1483" s="21" t="str">
        <f>_xll.RssMarket(A1483,"売買代金")</f>
        <v/>
      </c>
      <c r="X1483" s="20" t="str">
        <f>_xll.RssMarket(A1483,"決算発表日")</f>
        <v/>
      </c>
      <c r="Y1483" s="26" t="str">
        <f>IF(C1483&gt;_xll.RssMarket(A1483,"年初来高値"),"○","×")</f>
        <v>×</v>
      </c>
      <c r="Z1483" s="27" t="str">
        <f>IF(C1483&lt;=_xll.RssMarket(A1483,"年初来安値"),"○","×")</f>
        <v>○</v>
      </c>
    </row>
    <row r="1484" spans="2:26" x14ac:dyDescent="0.55000000000000004">
      <c r="B1484" s="20" t="str">
        <f>_xll.RssMarket(A1484,"銘柄名称")</f>
        <v/>
      </c>
      <c r="C1484" s="21" t="str">
        <f>_xll.RssMarket(A1484,"現在値")</f>
        <v/>
      </c>
      <c r="D1484" s="20" t="str">
        <f>_xll.RssMarket(A1484,"現在値詳細時刻")</f>
        <v/>
      </c>
      <c r="E1484" s="22" t="str">
        <f>_xll.RssMarket(A1484,"前日比")</f>
        <v/>
      </c>
      <c r="F1484" s="23" t="e">
        <f>_xll.RssMarket(A1484,"前日比率")/100</f>
        <v>#VALUE!</v>
      </c>
      <c r="G1484" s="24" t="str">
        <f>IFERROR(VLOOKUP(A1484,取得元!$A$2:$F$501,2,FALSE),"-")</f>
        <v>-</v>
      </c>
      <c r="H1484" s="24" t="str">
        <f>IFERROR(VLOOKUP(A1484,取得元!$A$2:$F$501,3,FALSE),"-")</f>
        <v>-</v>
      </c>
      <c r="I1484" s="24" t="str">
        <f>IFERROR(VLOOKUP(A1484,取得元!$A$2:$F$501,4,FALSE),"-")</f>
        <v>-</v>
      </c>
      <c r="J1484" s="5" t="str">
        <f>IFERROR(VLOOKUP(A1484,取得元!$A$2:$F$501,5,FALSE),"-")</f>
        <v>-</v>
      </c>
      <c r="K1484" s="25" t="str">
        <f>IFERROR(VLOOKUP(A1484,取得元!$A$2:$F$501,6,FALSE)/100,"-")</f>
        <v>-</v>
      </c>
      <c r="L1484" s="21" t="str">
        <f>_xll.RssMarket(A1484,"始値")</f>
        <v/>
      </c>
      <c r="M1484" s="4" t="e">
        <f t="shared" si="125"/>
        <v>#VALUE!</v>
      </c>
      <c r="N1484" s="21" t="str">
        <f>_xll.RssMarket(A1484,"高値")</f>
        <v/>
      </c>
      <c r="O1484" s="4" t="e">
        <f t="shared" si="126"/>
        <v>#VALUE!</v>
      </c>
      <c r="P1484" s="21" t="str">
        <f>_xll.RssMarket(A1484,"安値")</f>
        <v/>
      </c>
      <c r="Q1484" s="4" t="e">
        <f t="shared" si="127"/>
        <v>#VALUE!</v>
      </c>
      <c r="R1484" s="21" t="str">
        <f>_xll.RssMarket(A1484,"後場始値")</f>
        <v/>
      </c>
      <c r="S1484" s="25" t="str">
        <f t="shared" si="128"/>
        <v>-</v>
      </c>
      <c r="T1484" s="7" t="str">
        <f>_xll.RssMarket(A1484,"出来高加重平均")</f>
        <v/>
      </c>
      <c r="U1484" s="4" t="e">
        <f t="shared" si="129"/>
        <v>#VALUE!</v>
      </c>
      <c r="V1484" s="21" t="str">
        <f>_xll.RssMarket(A1484,"出来高")</f>
        <v/>
      </c>
      <c r="W1484" s="21" t="str">
        <f>_xll.RssMarket(A1484,"売買代金")</f>
        <v/>
      </c>
      <c r="X1484" s="20" t="str">
        <f>_xll.RssMarket(A1484,"決算発表日")</f>
        <v/>
      </c>
      <c r="Y1484" s="26" t="str">
        <f>IF(C1484&gt;_xll.RssMarket(A1484,"年初来高値"),"○","×")</f>
        <v>×</v>
      </c>
      <c r="Z1484" s="27" t="str">
        <f>IF(C1484&lt;=_xll.RssMarket(A1484,"年初来安値"),"○","×")</f>
        <v>○</v>
      </c>
    </row>
    <row r="1485" spans="2:26" x14ac:dyDescent="0.55000000000000004">
      <c r="B1485" s="20" t="str">
        <f>_xll.RssMarket(A1485,"銘柄名称")</f>
        <v/>
      </c>
      <c r="C1485" s="21" t="str">
        <f>_xll.RssMarket(A1485,"現在値")</f>
        <v/>
      </c>
      <c r="D1485" s="20" t="str">
        <f>_xll.RssMarket(A1485,"現在値詳細時刻")</f>
        <v/>
      </c>
      <c r="E1485" s="22" t="str">
        <f>_xll.RssMarket(A1485,"前日比")</f>
        <v/>
      </c>
      <c r="F1485" s="23" t="e">
        <f>_xll.RssMarket(A1485,"前日比率")/100</f>
        <v>#VALUE!</v>
      </c>
      <c r="G1485" s="24" t="str">
        <f>IFERROR(VLOOKUP(A1485,取得元!$A$2:$F$501,2,FALSE),"-")</f>
        <v>-</v>
      </c>
      <c r="H1485" s="24" t="str">
        <f>IFERROR(VLOOKUP(A1485,取得元!$A$2:$F$501,3,FALSE),"-")</f>
        <v>-</v>
      </c>
      <c r="I1485" s="24" t="str">
        <f>IFERROR(VLOOKUP(A1485,取得元!$A$2:$F$501,4,FALSE),"-")</f>
        <v>-</v>
      </c>
      <c r="J1485" s="5" t="str">
        <f>IFERROR(VLOOKUP(A1485,取得元!$A$2:$F$501,5,FALSE),"-")</f>
        <v>-</v>
      </c>
      <c r="K1485" s="25" t="str">
        <f>IFERROR(VLOOKUP(A1485,取得元!$A$2:$F$501,6,FALSE)/100,"-")</f>
        <v>-</v>
      </c>
      <c r="L1485" s="21" t="str">
        <f>_xll.RssMarket(A1485,"始値")</f>
        <v/>
      </c>
      <c r="M1485" s="4" t="e">
        <f t="shared" si="125"/>
        <v>#VALUE!</v>
      </c>
      <c r="N1485" s="21" t="str">
        <f>_xll.RssMarket(A1485,"高値")</f>
        <v/>
      </c>
      <c r="O1485" s="4" t="e">
        <f t="shared" si="126"/>
        <v>#VALUE!</v>
      </c>
      <c r="P1485" s="21" t="str">
        <f>_xll.RssMarket(A1485,"安値")</f>
        <v/>
      </c>
      <c r="Q1485" s="4" t="e">
        <f t="shared" si="127"/>
        <v>#VALUE!</v>
      </c>
      <c r="R1485" s="21" t="str">
        <f>_xll.RssMarket(A1485,"後場始値")</f>
        <v/>
      </c>
      <c r="S1485" s="25" t="str">
        <f t="shared" si="128"/>
        <v>-</v>
      </c>
      <c r="T1485" s="7" t="str">
        <f>_xll.RssMarket(A1485,"出来高加重平均")</f>
        <v/>
      </c>
      <c r="U1485" s="4" t="e">
        <f t="shared" si="129"/>
        <v>#VALUE!</v>
      </c>
      <c r="V1485" s="21" t="str">
        <f>_xll.RssMarket(A1485,"出来高")</f>
        <v/>
      </c>
      <c r="W1485" s="21" t="str">
        <f>_xll.RssMarket(A1485,"売買代金")</f>
        <v/>
      </c>
      <c r="X1485" s="20" t="str">
        <f>_xll.RssMarket(A1485,"決算発表日")</f>
        <v/>
      </c>
      <c r="Y1485" s="26" t="str">
        <f>IF(C1485&gt;_xll.RssMarket(A1485,"年初来高値"),"○","×")</f>
        <v>×</v>
      </c>
      <c r="Z1485" s="27" t="str">
        <f>IF(C1485&lt;=_xll.RssMarket(A1485,"年初来安値"),"○","×")</f>
        <v>○</v>
      </c>
    </row>
    <row r="1486" spans="2:26" x14ac:dyDescent="0.55000000000000004">
      <c r="B1486" s="20" t="str">
        <f>_xll.RssMarket(A1486,"銘柄名称")</f>
        <v/>
      </c>
      <c r="C1486" s="21" t="str">
        <f>_xll.RssMarket(A1486,"現在値")</f>
        <v/>
      </c>
      <c r="D1486" s="20" t="str">
        <f>_xll.RssMarket(A1486,"現在値詳細時刻")</f>
        <v/>
      </c>
      <c r="E1486" s="22" t="str">
        <f>_xll.RssMarket(A1486,"前日比")</f>
        <v/>
      </c>
      <c r="F1486" s="23" t="e">
        <f>_xll.RssMarket(A1486,"前日比率")/100</f>
        <v>#VALUE!</v>
      </c>
      <c r="G1486" s="24" t="str">
        <f>IFERROR(VLOOKUP(A1486,取得元!$A$2:$F$501,2,FALSE),"-")</f>
        <v>-</v>
      </c>
      <c r="H1486" s="24" t="str">
        <f>IFERROR(VLOOKUP(A1486,取得元!$A$2:$F$501,3,FALSE),"-")</f>
        <v>-</v>
      </c>
      <c r="I1486" s="24" t="str">
        <f>IFERROR(VLOOKUP(A1486,取得元!$A$2:$F$501,4,FALSE),"-")</f>
        <v>-</v>
      </c>
      <c r="J1486" s="5" t="str">
        <f>IFERROR(VLOOKUP(A1486,取得元!$A$2:$F$501,5,FALSE),"-")</f>
        <v>-</v>
      </c>
      <c r="K1486" s="25" t="str">
        <f>IFERROR(VLOOKUP(A1486,取得元!$A$2:$F$501,6,FALSE)/100,"-")</f>
        <v>-</v>
      </c>
      <c r="L1486" s="21" t="str">
        <f>_xll.RssMarket(A1486,"始値")</f>
        <v/>
      </c>
      <c r="M1486" s="4" t="e">
        <f t="shared" si="125"/>
        <v>#VALUE!</v>
      </c>
      <c r="N1486" s="21" t="str">
        <f>_xll.RssMarket(A1486,"高値")</f>
        <v/>
      </c>
      <c r="O1486" s="4" t="e">
        <f t="shared" si="126"/>
        <v>#VALUE!</v>
      </c>
      <c r="P1486" s="21" t="str">
        <f>_xll.RssMarket(A1486,"安値")</f>
        <v/>
      </c>
      <c r="Q1486" s="4" t="e">
        <f t="shared" si="127"/>
        <v>#VALUE!</v>
      </c>
      <c r="R1486" s="21" t="str">
        <f>_xll.RssMarket(A1486,"後場始値")</f>
        <v/>
      </c>
      <c r="S1486" s="25" t="str">
        <f t="shared" si="128"/>
        <v>-</v>
      </c>
      <c r="T1486" s="7" t="str">
        <f>_xll.RssMarket(A1486,"出来高加重平均")</f>
        <v/>
      </c>
      <c r="U1486" s="4" t="e">
        <f t="shared" si="129"/>
        <v>#VALUE!</v>
      </c>
      <c r="V1486" s="21" t="str">
        <f>_xll.RssMarket(A1486,"出来高")</f>
        <v/>
      </c>
      <c r="W1486" s="21" t="str">
        <f>_xll.RssMarket(A1486,"売買代金")</f>
        <v/>
      </c>
      <c r="X1486" s="20" t="str">
        <f>_xll.RssMarket(A1486,"決算発表日")</f>
        <v/>
      </c>
      <c r="Y1486" s="26" t="str">
        <f>IF(C1486&gt;_xll.RssMarket(A1486,"年初来高値"),"○","×")</f>
        <v>×</v>
      </c>
      <c r="Z1486" s="27" t="str">
        <f>IF(C1486&lt;=_xll.RssMarket(A1486,"年初来安値"),"○","×")</f>
        <v>○</v>
      </c>
    </row>
    <row r="1487" spans="2:26" x14ac:dyDescent="0.55000000000000004">
      <c r="B1487" s="20" t="str">
        <f>_xll.RssMarket(A1487,"銘柄名称")</f>
        <v/>
      </c>
      <c r="C1487" s="21" t="str">
        <f>_xll.RssMarket(A1487,"現在値")</f>
        <v/>
      </c>
      <c r="D1487" s="20" t="str">
        <f>_xll.RssMarket(A1487,"現在値詳細時刻")</f>
        <v/>
      </c>
      <c r="E1487" s="22" t="str">
        <f>_xll.RssMarket(A1487,"前日比")</f>
        <v/>
      </c>
      <c r="F1487" s="23" t="e">
        <f>_xll.RssMarket(A1487,"前日比率")/100</f>
        <v>#VALUE!</v>
      </c>
      <c r="G1487" s="24" t="str">
        <f>IFERROR(VLOOKUP(A1487,取得元!$A$2:$F$501,2,FALSE),"-")</f>
        <v>-</v>
      </c>
      <c r="H1487" s="24" t="str">
        <f>IFERROR(VLOOKUP(A1487,取得元!$A$2:$F$501,3,FALSE),"-")</f>
        <v>-</v>
      </c>
      <c r="I1487" s="24" t="str">
        <f>IFERROR(VLOOKUP(A1487,取得元!$A$2:$F$501,4,FALSE),"-")</f>
        <v>-</v>
      </c>
      <c r="J1487" s="5" t="str">
        <f>IFERROR(VLOOKUP(A1487,取得元!$A$2:$F$501,5,FALSE),"-")</f>
        <v>-</v>
      </c>
      <c r="K1487" s="25" t="str">
        <f>IFERROR(VLOOKUP(A1487,取得元!$A$2:$F$501,6,FALSE)/100,"-")</f>
        <v>-</v>
      </c>
      <c r="L1487" s="21" t="str">
        <f>_xll.RssMarket(A1487,"始値")</f>
        <v/>
      </c>
      <c r="M1487" s="4" t="e">
        <f t="shared" si="125"/>
        <v>#VALUE!</v>
      </c>
      <c r="N1487" s="21" t="str">
        <f>_xll.RssMarket(A1487,"高値")</f>
        <v/>
      </c>
      <c r="O1487" s="4" t="e">
        <f t="shared" si="126"/>
        <v>#VALUE!</v>
      </c>
      <c r="P1487" s="21" t="str">
        <f>_xll.RssMarket(A1487,"安値")</f>
        <v/>
      </c>
      <c r="Q1487" s="4" t="e">
        <f t="shared" si="127"/>
        <v>#VALUE!</v>
      </c>
      <c r="R1487" s="21" t="str">
        <f>_xll.RssMarket(A1487,"後場始値")</f>
        <v/>
      </c>
      <c r="S1487" s="25" t="str">
        <f t="shared" si="128"/>
        <v>-</v>
      </c>
      <c r="T1487" s="7" t="str">
        <f>_xll.RssMarket(A1487,"出来高加重平均")</f>
        <v/>
      </c>
      <c r="U1487" s="4" t="e">
        <f t="shared" si="129"/>
        <v>#VALUE!</v>
      </c>
      <c r="V1487" s="21" t="str">
        <f>_xll.RssMarket(A1487,"出来高")</f>
        <v/>
      </c>
      <c r="W1487" s="21" t="str">
        <f>_xll.RssMarket(A1487,"売買代金")</f>
        <v/>
      </c>
      <c r="X1487" s="20" t="str">
        <f>_xll.RssMarket(A1487,"決算発表日")</f>
        <v/>
      </c>
      <c r="Y1487" s="26" t="str">
        <f>IF(C1487&gt;_xll.RssMarket(A1487,"年初来高値"),"○","×")</f>
        <v>×</v>
      </c>
      <c r="Z1487" s="27" t="str">
        <f>IF(C1487&lt;=_xll.RssMarket(A1487,"年初来安値"),"○","×")</f>
        <v>○</v>
      </c>
    </row>
    <row r="1488" spans="2:26" x14ac:dyDescent="0.55000000000000004">
      <c r="B1488" s="20" t="str">
        <f>_xll.RssMarket(A1488,"銘柄名称")</f>
        <v/>
      </c>
      <c r="C1488" s="21" t="str">
        <f>_xll.RssMarket(A1488,"現在値")</f>
        <v/>
      </c>
      <c r="D1488" s="20" t="str">
        <f>_xll.RssMarket(A1488,"現在値詳細時刻")</f>
        <v/>
      </c>
      <c r="E1488" s="22" t="str">
        <f>_xll.RssMarket(A1488,"前日比")</f>
        <v/>
      </c>
      <c r="F1488" s="23" t="e">
        <f>_xll.RssMarket(A1488,"前日比率")/100</f>
        <v>#VALUE!</v>
      </c>
      <c r="G1488" s="24" t="str">
        <f>IFERROR(VLOOKUP(A1488,取得元!$A$2:$F$501,2,FALSE),"-")</f>
        <v>-</v>
      </c>
      <c r="H1488" s="24" t="str">
        <f>IFERROR(VLOOKUP(A1488,取得元!$A$2:$F$501,3,FALSE),"-")</f>
        <v>-</v>
      </c>
      <c r="I1488" s="24" t="str">
        <f>IFERROR(VLOOKUP(A1488,取得元!$A$2:$F$501,4,FALSE),"-")</f>
        <v>-</v>
      </c>
      <c r="J1488" s="5" t="str">
        <f>IFERROR(VLOOKUP(A1488,取得元!$A$2:$F$501,5,FALSE),"-")</f>
        <v>-</v>
      </c>
      <c r="K1488" s="25" t="str">
        <f>IFERROR(VLOOKUP(A1488,取得元!$A$2:$F$501,6,FALSE)/100,"-")</f>
        <v>-</v>
      </c>
      <c r="L1488" s="21" t="str">
        <f>_xll.RssMarket(A1488,"始値")</f>
        <v/>
      </c>
      <c r="M1488" s="4" t="e">
        <f t="shared" si="125"/>
        <v>#VALUE!</v>
      </c>
      <c r="N1488" s="21" t="str">
        <f>_xll.RssMarket(A1488,"高値")</f>
        <v/>
      </c>
      <c r="O1488" s="4" t="e">
        <f t="shared" si="126"/>
        <v>#VALUE!</v>
      </c>
      <c r="P1488" s="21" t="str">
        <f>_xll.RssMarket(A1488,"安値")</f>
        <v/>
      </c>
      <c r="Q1488" s="4" t="e">
        <f t="shared" si="127"/>
        <v>#VALUE!</v>
      </c>
      <c r="R1488" s="21" t="str">
        <f>_xll.RssMarket(A1488,"後場始値")</f>
        <v/>
      </c>
      <c r="S1488" s="25" t="str">
        <f t="shared" si="128"/>
        <v>-</v>
      </c>
      <c r="T1488" s="7" t="str">
        <f>_xll.RssMarket(A1488,"出来高加重平均")</f>
        <v/>
      </c>
      <c r="U1488" s="4" t="e">
        <f t="shared" si="129"/>
        <v>#VALUE!</v>
      </c>
      <c r="V1488" s="21" t="str">
        <f>_xll.RssMarket(A1488,"出来高")</f>
        <v/>
      </c>
      <c r="W1488" s="21" t="str">
        <f>_xll.RssMarket(A1488,"売買代金")</f>
        <v/>
      </c>
      <c r="X1488" s="20" t="str">
        <f>_xll.RssMarket(A1488,"決算発表日")</f>
        <v/>
      </c>
      <c r="Y1488" s="26" t="str">
        <f>IF(C1488&gt;_xll.RssMarket(A1488,"年初来高値"),"○","×")</f>
        <v>×</v>
      </c>
      <c r="Z1488" s="27" t="str">
        <f>IF(C1488&lt;=_xll.RssMarket(A1488,"年初来安値"),"○","×")</f>
        <v>○</v>
      </c>
    </row>
    <row r="1489" spans="2:26" x14ac:dyDescent="0.55000000000000004">
      <c r="B1489" s="20" t="str">
        <f>_xll.RssMarket(A1489,"銘柄名称")</f>
        <v/>
      </c>
      <c r="C1489" s="21" t="str">
        <f>_xll.RssMarket(A1489,"現在値")</f>
        <v/>
      </c>
      <c r="D1489" s="20" t="str">
        <f>_xll.RssMarket(A1489,"現在値詳細時刻")</f>
        <v/>
      </c>
      <c r="E1489" s="22" t="str">
        <f>_xll.RssMarket(A1489,"前日比")</f>
        <v/>
      </c>
      <c r="F1489" s="23" t="e">
        <f>_xll.RssMarket(A1489,"前日比率")/100</f>
        <v>#VALUE!</v>
      </c>
      <c r="G1489" s="24" t="str">
        <f>IFERROR(VLOOKUP(A1489,取得元!$A$2:$F$501,2,FALSE),"-")</f>
        <v>-</v>
      </c>
      <c r="H1489" s="24" t="str">
        <f>IFERROR(VLOOKUP(A1489,取得元!$A$2:$F$501,3,FALSE),"-")</f>
        <v>-</v>
      </c>
      <c r="I1489" s="24" t="str">
        <f>IFERROR(VLOOKUP(A1489,取得元!$A$2:$F$501,4,FALSE),"-")</f>
        <v>-</v>
      </c>
      <c r="J1489" s="5" t="str">
        <f>IFERROR(VLOOKUP(A1489,取得元!$A$2:$F$501,5,FALSE),"-")</f>
        <v>-</v>
      </c>
      <c r="K1489" s="25" t="str">
        <f>IFERROR(VLOOKUP(A1489,取得元!$A$2:$F$501,6,FALSE)/100,"-")</f>
        <v>-</v>
      </c>
      <c r="L1489" s="21" t="str">
        <f>_xll.RssMarket(A1489,"始値")</f>
        <v/>
      </c>
      <c r="M1489" s="4" t="e">
        <f t="shared" si="125"/>
        <v>#VALUE!</v>
      </c>
      <c r="N1489" s="21" t="str">
        <f>_xll.RssMarket(A1489,"高値")</f>
        <v/>
      </c>
      <c r="O1489" s="4" t="e">
        <f t="shared" si="126"/>
        <v>#VALUE!</v>
      </c>
      <c r="P1489" s="21" t="str">
        <f>_xll.RssMarket(A1489,"安値")</f>
        <v/>
      </c>
      <c r="Q1489" s="4" t="e">
        <f t="shared" si="127"/>
        <v>#VALUE!</v>
      </c>
      <c r="R1489" s="21" t="str">
        <f>_xll.RssMarket(A1489,"後場始値")</f>
        <v/>
      </c>
      <c r="S1489" s="25" t="str">
        <f t="shared" si="128"/>
        <v>-</v>
      </c>
      <c r="T1489" s="7" t="str">
        <f>_xll.RssMarket(A1489,"出来高加重平均")</f>
        <v/>
      </c>
      <c r="U1489" s="4" t="e">
        <f t="shared" si="129"/>
        <v>#VALUE!</v>
      </c>
      <c r="V1489" s="21" t="str">
        <f>_xll.RssMarket(A1489,"出来高")</f>
        <v/>
      </c>
      <c r="W1489" s="21" t="str">
        <f>_xll.RssMarket(A1489,"売買代金")</f>
        <v/>
      </c>
      <c r="X1489" s="20" t="str">
        <f>_xll.RssMarket(A1489,"決算発表日")</f>
        <v/>
      </c>
      <c r="Y1489" s="26" t="str">
        <f>IF(C1489&gt;_xll.RssMarket(A1489,"年初来高値"),"○","×")</f>
        <v>×</v>
      </c>
      <c r="Z1489" s="27" t="str">
        <f>IF(C1489&lt;=_xll.RssMarket(A1489,"年初来安値"),"○","×")</f>
        <v>○</v>
      </c>
    </row>
    <row r="1490" spans="2:26" x14ac:dyDescent="0.55000000000000004">
      <c r="B1490" s="20" t="str">
        <f>_xll.RssMarket(A1490,"銘柄名称")</f>
        <v/>
      </c>
      <c r="C1490" s="21" t="str">
        <f>_xll.RssMarket(A1490,"現在値")</f>
        <v/>
      </c>
      <c r="D1490" s="20" t="str">
        <f>_xll.RssMarket(A1490,"現在値詳細時刻")</f>
        <v/>
      </c>
      <c r="E1490" s="22" t="str">
        <f>_xll.RssMarket(A1490,"前日比")</f>
        <v/>
      </c>
      <c r="F1490" s="23" t="e">
        <f>_xll.RssMarket(A1490,"前日比率")/100</f>
        <v>#VALUE!</v>
      </c>
      <c r="G1490" s="24" t="str">
        <f>IFERROR(VLOOKUP(A1490,取得元!$A$2:$F$501,2,FALSE),"-")</f>
        <v>-</v>
      </c>
      <c r="H1490" s="24" t="str">
        <f>IFERROR(VLOOKUP(A1490,取得元!$A$2:$F$501,3,FALSE),"-")</f>
        <v>-</v>
      </c>
      <c r="I1490" s="24" t="str">
        <f>IFERROR(VLOOKUP(A1490,取得元!$A$2:$F$501,4,FALSE),"-")</f>
        <v>-</v>
      </c>
      <c r="J1490" s="5" t="str">
        <f>IFERROR(VLOOKUP(A1490,取得元!$A$2:$F$501,5,FALSE),"-")</f>
        <v>-</v>
      </c>
      <c r="K1490" s="25" t="str">
        <f>IFERROR(VLOOKUP(A1490,取得元!$A$2:$F$501,6,FALSE)/100,"-")</f>
        <v>-</v>
      </c>
      <c r="L1490" s="21" t="str">
        <f>_xll.RssMarket(A1490,"始値")</f>
        <v/>
      </c>
      <c r="M1490" s="4" t="e">
        <f t="shared" si="125"/>
        <v>#VALUE!</v>
      </c>
      <c r="N1490" s="21" t="str">
        <f>_xll.RssMarket(A1490,"高値")</f>
        <v/>
      </c>
      <c r="O1490" s="4" t="e">
        <f t="shared" si="126"/>
        <v>#VALUE!</v>
      </c>
      <c r="P1490" s="21" t="str">
        <f>_xll.RssMarket(A1490,"安値")</f>
        <v/>
      </c>
      <c r="Q1490" s="4" t="e">
        <f t="shared" si="127"/>
        <v>#VALUE!</v>
      </c>
      <c r="R1490" s="21" t="str">
        <f>_xll.RssMarket(A1490,"後場始値")</f>
        <v/>
      </c>
      <c r="S1490" s="25" t="str">
        <f t="shared" si="128"/>
        <v>-</v>
      </c>
      <c r="T1490" s="7" t="str">
        <f>_xll.RssMarket(A1490,"出来高加重平均")</f>
        <v/>
      </c>
      <c r="U1490" s="4" t="e">
        <f t="shared" si="129"/>
        <v>#VALUE!</v>
      </c>
      <c r="V1490" s="21" t="str">
        <f>_xll.RssMarket(A1490,"出来高")</f>
        <v/>
      </c>
      <c r="W1490" s="21" t="str">
        <f>_xll.RssMarket(A1490,"売買代金")</f>
        <v/>
      </c>
      <c r="X1490" s="20" t="str">
        <f>_xll.RssMarket(A1490,"決算発表日")</f>
        <v/>
      </c>
      <c r="Y1490" s="26" t="str">
        <f>IF(C1490&gt;_xll.RssMarket(A1490,"年初来高値"),"○","×")</f>
        <v>×</v>
      </c>
      <c r="Z1490" s="27" t="str">
        <f>IF(C1490&lt;=_xll.RssMarket(A1490,"年初来安値"),"○","×")</f>
        <v>○</v>
      </c>
    </row>
    <row r="1491" spans="2:26" x14ac:dyDescent="0.55000000000000004">
      <c r="B1491" s="20" t="str">
        <f>_xll.RssMarket(A1491,"銘柄名称")</f>
        <v/>
      </c>
      <c r="C1491" s="21" t="str">
        <f>_xll.RssMarket(A1491,"現在値")</f>
        <v/>
      </c>
      <c r="D1491" s="20" t="str">
        <f>_xll.RssMarket(A1491,"現在値詳細時刻")</f>
        <v/>
      </c>
      <c r="E1491" s="22" t="str">
        <f>_xll.RssMarket(A1491,"前日比")</f>
        <v/>
      </c>
      <c r="F1491" s="23" t="e">
        <f>_xll.RssMarket(A1491,"前日比率")/100</f>
        <v>#VALUE!</v>
      </c>
      <c r="G1491" s="24" t="str">
        <f>IFERROR(VLOOKUP(A1491,取得元!$A$2:$F$501,2,FALSE),"-")</f>
        <v>-</v>
      </c>
      <c r="H1491" s="24" t="str">
        <f>IFERROR(VLOOKUP(A1491,取得元!$A$2:$F$501,3,FALSE),"-")</f>
        <v>-</v>
      </c>
      <c r="I1491" s="24" t="str">
        <f>IFERROR(VLOOKUP(A1491,取得元!$A$2:$F$501,4,FALSE),"-")</f>
        <v>-</v>
      </c>
      <c r="J1491" s="5" t="str">
        <f>IFERROR(VLOOKUP(A1491,取得元!$A$2:$F$501,5,FALSE),"-")</f>
        <v>-</v>
      </c>
      <c r="K1491" s="25" t="str">
        <f>IFERROR(VLOOKUP(A1491,取得元!$A$2:$F$501,6,FALSE)/100,"-")</f>
        <v>-</v>
      </c>
      <c r="L1491" s="21" t="str">
        <f>_xll.RssMarket(A1491,"始値")</f>
        <v/>
      </c>
      <c r="M1491" s="4" t="e">
        <f t="shared" si="125"/>
        <v>#VALUE!</v>
      </c>
      <c r="N1491" s="21" t="str">
        <f>_xll.RssMarket(A1491,"高値")</f>
        <v/>
      </c>
      <c r="O1491" s="4" t="e">
        <f t="shared" si="126"/>
        <v>#VALUE!</v>
      </c>
      <c r="P1491" s="21" t="str">
        <f>_xll.RssMarket(A1491,"安値")</f>
        <v/>
      </c>
      <c r="Q1491" s="4" t="e">
        <f t="shared" si="127"/>
        <v>#VALUE!</v>
      </c>
      <c r="R1491" s="21" t="str">
        <f>_xll.RssMarket(A1491,"後場始値")</f>
        <v/>
      </c>
      <c r="S1491" s="25" t="str">
        <f t="shared" si="128"/>
        <v>-</v>
      </c>
      <c r="T1491" s="7" t="str">
        <f>_xll.RssMarket(A1491,"出来高加重平均")</f>
        <v/>
      </c>
      <c r="U1491" s="4" t="e">
        <f t="shared" si="129"/>
        <v>#VALUE!</v>
      </c>
      <c r="V1491" s="21" t="str">
        <f>_xll.RssMarket(A1491,"出来高")</f>
        <v/>
      </c>
      <c r="W1491" s="21" t="str">
        <f>_xll.RssMarket(A1491,"売買代金")</f>
        <v/>
      </c>
      <c r="X1491" s="20" t="str">
        <f>_xll.RssMarket(A1491,"決算発表日")</f>
        <v/>
      </c>
      <c r="Y1491" s="26" t="str">
        <f>IF(C1491&gt;_xll.RssMarket(A1491,"年初来高値"),"○","×")</f>
        <v>×</v>
      </c>
      <c r="Z1491" s="27" t="str">
        <f>IF(C1491&lt;=_xll.RssMarket(A1491,"年初来安値"),"○","×")</f>
        <v>○</v>
      </c>
    </row>
    <row r="1492" spans="2:26" x14ac:dyDescent="0.55000000000000004">
      <c r="B1492" s="20" t="str">
        <f>_xll.RssMarket(A1492,"銘柄名称")</f>
        <v/>
      </c>
      <c r="C1492" s="21" t="str">
        <f>_xll.RssMarket(A1492,"現在値")</f>
        <v/>
      </c>
      <c r="D1492" s="20" t="str">
        <f>_xll.RssMarket(A1492,"現在値詳細時刻")</f>
        <v/>
      </c>
      <c r="E1492" s="22" t="str">
        <f>_xll.RssMarket(A1492,"前日比")</f>
        <v/>
      </c>
      <c r="F1492" s="23" t="e">
        <f>_xll.RssMarket(A1492,"前日比率")/100</f>
        <v>#VALUE!</v>
      </c>
      <c r="G1492" s="24" t="str">
        <f>IFERROR(VLOOKUP(A1492,取得元!$A$2:$F$501,2,FALSE),"-")</f>
        <v>-</v>
      </c>
      <c r="H1492" s="24" t="str">
        <f>IFERROR(VLOOKUP(A1492,取得元!$A$2:$F$501,3,FALSE),"-")</f>
        <v>-</v>
      </c>
      <c r="I1492" s="24" t="str">
        <f>IFERROR(VLOOKUP(A1492,取得元!$A$2:$F$501,4,FALSE),"-")</f>
        <v>-</v>
      </c>
      <c r="J1492" s="5" t="str">
        <f>IFERROR(VLOOKUP(A1492,取得元!$A$2:$F$501,5,FALSE),"-")</f>
        <v>-</v>
      </c>
      <c r="K1492" s="25" t="str">
        <f>IFERROR(VLOOKUP(A1492,取得元!$A$2:$F$501,6,FALSE)/100,"-")</f>
        <v>-</v>
      </c>
      <c r="L1492" s="21" t="str">
        <f>_xll.RssMarket(A1492,"始値")</f>
        <v/>
      </c>
      <c r="M1492" s="4" t="e">
        <f t="shared" si="125"/>
        <v>#VALUE!</v>
      </c>
      <c r="N1492" s="21" t="str">
        <f>_xll.RssMarket(A1492,"高値")</f>
        <v/>
      </c>
      <c r="O1492" s="4" t="e">
        <f t="shared" si="126"/>
        <v>#VALUE!</v>
      </c>
      <c r="P1492" s="21" t="str">
        <f>_xll.RssMarket(A1492,"安値")</f>
        <v/>
      </c>
      <c r="Q1492" s="4" t="e">
        <f t="shared" si="127"/>
        <v>#VALUE!</v>
      </c>
      <c r="R1492" s="21" t="str">
        <f>_xll.RssMarket(A1492,"後場始値")</f>
        <v/>
      </c>
      <c r="S1492" s="25" t="str">
        <f t="shared" si="128"/>
        <v>-</v>
      </c>
      <c r="T1492" s="7" t="str">
        <f>_xll.RssMarket(A1492,"出来高加重平均")</f>
        <v/>
      </c>
      <c r="U1492" s="4" t="e">
        <f t="shared" si="129"/>
        <v>#VALUE!</v>
      </c>
      <c r="V1492" s="21" t="str">
        <f>_xll.RssMarket(A1492,"出来高")</f>
        <v/>
      </c>
      <c r="W1492" s="21" t="str">
        <f>_xll.RssMarket(A1492,"売買代金")</f>
        <v/>
      </c>
      <c r="X1492" s="20" t="str">
        <f>_xll.RssMarket(A1492,"決算発表日")</f>
        <v/>
      </c>
      <c r="Y1492" s="26" t="str">
        <f>IF(C1492&gt;_xll.RssMarket(A1492,"年初来高値"),"○","×")</f>
        <v>×</v>
      </c>
      <c r="Z1492" s="27" t="str">
        <f>IF(C1492&lt;=_xll.RssMarket(A1492,"年初来安値"),"○","×")</f>
        <v>○</v>
      </c>
    </row>
    <row r="1493" spans="2:26" x14ac:dyDescent="0.55000000000000004">
      <c r="B1493" s="20" t="str">
        <f>_xll.RssMarket(A1493,"銘柄名称")</f>
        <v/>
      </c>
      <c r="C1493" s="21" t="str">
        <f>_xll.RssMarket(A1493,"現在値")</f>
        <v/>
      </c>
      <c r="D1493" s="20" t="str">
        <f>_xll.RssMarket(A1493,"現在値詳細時刻")</f>
        <v/>
      </c>
      <c r="E1493" s="22" t="str">
        <f>_xll.RssMarket(A1493,"前日比")</f>
        <v/>
      </c>
      <c r="F1493" s="23" t="e">
        <f>_xll.RssMarket(A1493,"前日比率")/100</f>
        <v>#VALUE!</v>
      </c>
      <c r="G1493" s="24" t="str">
        <f>IFERROR(VLOOKUP(A1493,取得元!$A$2:$F$501,2,FALSE),"-")</f>
        <v>-</v>
      </c>
      <c r="H1493" s="24" t="str">
        <f>IFERROR(VLOOKUP(A1493,取得元!$A$2:$F$501,3,FALSE),"-")</f>
        <v>-</v>
      </c>
      <c r="I1493" s="24" t="str">
        <f>IFERROR(VLOOKUP(A1493,取得元!$A$2:$F$501,4,FALSE),"-")</f>
        <v>-</v>
      </c>
      <c r="J1493" s="5" t="str">
        <f>IFERROR(VLOOKUP(A1493,取得元!$A$2:$F$501,5,FALSE),"-")</f>
        <v>-</v>
      </c>
      <c r="K1493" s="25" t="str">
        <f>IFERROR(VLOOKUP(A1493,取得元!$A$2:$F$501,6,FALSE)/100,"-")</f>
        <v>-</v>
      </c>
      <c r="L1493" s="21" t="str">
        <f>_xll.RssMarket(A1493,"始値")</f>
        <v/>
      </c>
      <c r="M1493" s="4" t="e">
        <f t="shared" si="125"/>
        <v>#VALUE!</v>
      </c>
      <c r="N1493" s="21" t="str">
        <f>_xll.RssMarket(A1493,"高値")</f>
        <v/>
      </c>
      <c r="O1493" s="4" t="e">
        <f t="shared" si="126"/>
        <v>#VALUE!</v>
      </c>
      <c r="P1493" s="21" t="str">
        <f>_xll.RssMarket(A1493,"安値")</f>
        <v/>
      </c>
      <c r="Q1493" s="4" t="e">
        <f t="shared" si="127"/>
        <v>#VALUE!</v>
      </c>
      <c r="R1493" s="21" t="str">
        <f>_xll.RssMarket(A1493,"後場始値")</f>
        <v/>
      </c>
      <c r="S1493" s="25" t="str">
        <f t="shared" si="128"/>
        <v>-</v>
      </c>
      <c r="T1493" s="7" t="str">
        <f>_xll.RssMarket(A1493,"出来高加重平均")</f>
        <v/>
      </c>
      <c r="U1493" s="4" t="e">
        <f t="shared" si="129"/>
        <v>#VALUE!</v>
      </c>
      <c r="V1493" s="21" t="str">
        <f>_xll.RssMarket(A1493,"出来高")</f>
        <v/>
      </c>
      <c r="W1493" s="21" t="str">
        <f>_xll.RssMarket(A1493,"売買代金")</f>
        <v/>
      </c>
      <c r="X1493" s="20" t="str">
        <f>_xll.RssMarket(A1493,"決算発表日")</f>
        <v/>
      </c>
      <c r="Y1493" s="26" t="str">
        <f>IF(C1493&gt;_xll.RssMarket(A1493,"年初来高値"),"○","×")</f>
        <v>×</v>
      </c>
      <c r="Z1493" s="27" t="str">
        <f>IF(C1493&lt;=_xll.RssMarket(A1493,"年初来安値"),"○","×")</f>
        <v>○</v>
      </c>
    </row>
    <row r="1494" spans="2:26" x14ac:dyDescent="0.55000000000000004">
      <c r="B1494" s="20" t="str">
        <f>_xll.RssMarket(A1494,"銘柄名称")</f>
        <v/>
      </c>
      <c r="C1494" s="21" t="str">
        <f>_xll.RssMarket(A1494,"現在値")</f>
        <v/>
      </c>
      <c r="D1494" s="20" t="str">
        <f>_xll.RssMarket(A1494,"現在値詳細時刻")</f>
        <v/>
      </c>
      <c r="E1494" s="22" t="str">
        <f>_xll.RssMarket(A1494,"前日比")</f>
        <v/>
      </c>
      <c r="F1494" s="23" t="e">
        <f>_xll.RssMarket(A1494,"前日比率")/100</f>
        <v>#VALUE!</v>
      </c>
      <c r="G1494" s="24" t="str">
        <f>IFERROR(VLOOKUP(A1494,取得元!$A$2:$F$501,2,FALSE),"-")</f>
        <v>-</v>
      </c>
      <c r="H1494" s="24" t="str">
        <f>IFERROR(VLOOKUP(A1494,取得元!$A$2:$F$501,3,FALSE),"-")</f>
        <v>-</v>
      </c>
      <c r="I1494" s="24" t="str">
        <f>IFERROR(VLOOKUP(A1494,取得元!$A$2:$F$501,4,FALSE),"-")</f>
        <v>-</v>
      </c>
      <c r="J1494" s="5" t="str">
        <f>IFERROR(VLOOKUP(A1494,取得元!$A$2:$F$501,5,FALSE),"-")</f>
        <v>-</v>
      </c>
      <c r="K1494" s="25" t="str">
        <f>IFERROR(VLOOKUP(A1494,取得元!$A$2:$F$501,6,FALSE)/100,"-")</f>
        <v>-</v>
      </c>
      <c r="L1494" s="21" t="str">
        <f>_xll.RssMarket(A1494,"始値")</f>
        <v/>
      </c>
      <c r="M1494" s="4" t="e">
        <f t="shared" ref="M1494:M1557" si="130">C1494/L1494-1</f>
        <v>#VALUE!</v>
      </c>
      <c r="N1494" s="21" t="str">
        <f>_xll.RssMarket(A1494,"高値")</f>
        <v/>
      </c>
      <c r="O1494" s="4" t="e">
        <f t="shared" ref="O1494:O1557" si="131">C1494/N1494-1</f>
        <v>#VALUE!</v>
      </c>
      <c r="P1494" s="21" t="str">
        <f>_xll.RssMarket(A1494,"安値")</f>
        <v/>
      </c>
      <c r="Q1494" s="4" t="e">
        <f t="shared" ref="Q1494:Q1557" si="132">C1494/P1494-1</f>
        <v>#VALUE!</v>
      </c>
      <c r="R1494" s="21" t="str">
        <f>_xll.RssMarket(A1494,"後場始値")</f>
        <v/>
      </c>
      <c r="S1494" s="25" t="str">
        <f t="shared" ref="S1494:S1557" si="133">IFERROR(C1494/R1494-1,"-")</f>
        <v>-</v>
      </c>
      <c r="T1494" s="7" t="str">
        <f>_xll.RssMarket(A1494,"出来高加重平均")</f>
        <v/>
      </c>
      <c r="U1494" s="4" t="e">
        <f t="shared" ref="U1494:U1557" si="134">C1494/T1494-1</f>
        <v>#VALUE!</v>
      </c>
      <c r="V1494" s="21" t="str">
        <f>_xll.RssMarket(A1494,"出来高")</f>
        <v/>
      </c>
      <c r="W1494" s="21" t="str">
        <f>_xll.RssMarket(A1494,"売買代金")</f>
        <v/>
      </c>
      <c r="X1494" s="20" t="str">
        <f>_xll.RssMarket(A1494,"決算発表日")</f>
        <v/>
      </c>
      <c r="Y1494" s="26" t="str">
        <f>IF(C1494&gt;_xll.RssMarket(A1494,"年初来高値"),"○","×")</f>
        <v>×</v>
      </c>
      <c r="Z1494" s="27" t="str">
        <f>IF(C1494&lt;=_xll.RssMarket(A1494,"年初来安値"),"○","×")</f>
        <v>○</v>
      </c>
    </row>
    <row r="1495" spans="2:26" x14ac:dyDescent="0.55000000000000004">
      <c r="B1495" s="20" t="str">
        <f>_xll.RssMarket(A1495,"銘柄名称")</f>
        <v/>
      </c>
      <c r="C1495" s="21" t="str">
        <f>_xll.RssMarket(A1495,"現在値")</f>
        <v/>
      </c>
      <c r="D1495" s="20" t="str">
        <f>_xll.RssMarket(A1495,"現在値詳細時刻")</f>
        <v/>
      </c>
      <c r="E1495" s="22" t="str">
        <f>_xll.RssMarket(A1495,"前日比")</f>
        <v/>
      </c>
      <c r="F1495" s="23" t="e">
        <f>_xll.RssMarket(A1495,"前日比率")/100</f>
        <v>#VALUE!</v>
      </c>
      <c r="G1495" s="24" t="str">
        <f>IFERROR(VLOOKUP(A1495,取得元!$A$2:$F$501,2,FALSE),"-")</f>
        <v>-</v>
      </c>
      <c r="H1495" s="24" t="str">
        <f>IFERROR(VLOOKUP(A1495,取得元!$A$2:$F$501,3,FALSE),"-")</f>
        <v>-</v>
      </c>
      <c r="I1495" s="24" t="str">
        <f>IFERROR(VLOOKUP(A1495,取得元!$A$2:$F$501,4,FALSE),"-")</f>
        <v>-</v>
      </c>
      <c r="J1495" s="5" t="str">
        <f>IFERROR(VLOOKUP(A1495,取得元!$A$2:$F$501,5,FALSE),"-")</f>
        <v>-</v>
      </c>
      <c r="K1495" s="25" t="str">
        <f>IFERROR(VLOOKUP(A1495,取得元!$A$2:$F$501,6,FALSE)/100,"-")</f>
        <v>-</v>
      </c>
      <c r="L1495" s="21" t="str">
        <f>_xll.RssMarket(A1495,"始値")</f>
        <v/>
      </c>
      <c r="M1495" s="4" t="e">
        <f t="shared" si="130"/>
        <v>#VALUE!</v>
      </c>
      <c r="N1495" s="21" t="str">
        <f>_xll.RssMarket(A1495,"高値")</f>
        <v/>
      </c>
      <c r="O1495" s="4" t="e">
        <f t="shared" si="131"/>
        <v>#VALUE!</v>
      </c>
      <c r="P1495" s="21" t="str">
        <f>_xll.RssMarket(A1495,"安値")</f>
        <v/>
      </c>
      <c r="Q1495" s="4" t="e">
        <f t="shared" si="132"/>
        <v>#VALUE!</v>
      </c>
      <c r="R1495" s="21" t="str">
        <f>_xll.RssMarket(A1495,"後場始値")</f>
        <v/>
      </c>
      <c r="S1495" s="25" t="str">
        <f t="shared" si="133"/>
        <v>-</v>
      </c>
      <c r="T1495" s="7" t="str">
        <f>_xll.RssMarket(A1495,"出来高加重平均")</f>
        <v/>
      </c>
      <c r="U1495" s="4" t="e">
        <f t="shared" si="134"/>
        <v>#VALUE!</v>
      </c>
      <c r="V1495" s="21" t="str">
        <f>_xll.RssMarket(A1495,"出来高")</f>
        <v/>
      </c>
      <c r="W1495" s="21" t="str">
        <f>_xll.RssMarket(A1495,"売買代金")</f>
        <v/>
      </c>
      <c r="X1495" s="20" t="str">
        <f>_xll.RssMarket(A1495,"決算発表日")</f>
        <v/>
      </c>
      <c r="Y1495" s="26" t="str">
        <f>IF(C1495&gt;_xll.RssMarket(A1495,"年初来高値"),"○","×")</f>
        <v>×</v>
      </c>
      <c r="Z1495" s="27" t="str">
        <f>IF(C1495&lt;=_xll.RssMarket(A1495,"年初来安値"),"○","×")</f>
        <v>○</v>
      </c>
    </row>
    <row r="1496" spans="2:26" x14ac:dyDescent="0.55000000000000004">
      <c r="B1496" s="20" t="str">
        <f>_xll.RssMarket(A1496,"銘柄名称")</f>
        <v/>
      </c>
      <c r="C1496" s="21" t="str">
        <f>_xll.RssMarket(A1496,"現在値")</f>
        <v/>
      </c>
      <c r="D1496" s="20" t="str">
        <f>_xll.RssMarket(A1496,"現在値詳細時刻")</f>
        <v/>
      </c>
      <c r="E1496" s="22" t="str">
        <f>_xll.RssMarket(A1496,"前日比")</f>
        <v/>
      </c>
      <c r="F1496" s="23" t="e">
        <f>_xll.RssMarket(A1496,"前日比率")/100</f>
        <v>#VALUE!</v>
      </c>
      <c r="G1496" s="24" t="str">
        <f>IFERROR(VLOOKUP(A1496,取得元!$A$2:$F$501,2,FALSE),"-")</f>
        <v>-</v>
      </c>
      <c r="H1496" s="24" t="str">
        <f>IFERROR(VLOOKUP(A1496,取得元!$A$2:$F$501,3,FALSE),"-")</f>
        <v>-</v>
      </c>
      <c r="I1496" s="24" t="str">
        <f>IFERROR(VLOOKUP(A1496,取得元!$A$2:$F$501,4,FALSE),"-")</f>
        <v>-</v>
      </c>
      <c r="J1496" s="5" t="str">
        <f>IFERROR(VLOOKUP(A1496,取得元!$A$2:$F$501,5,FALSE),"-")</f>
        <v>-</v>
      </c>
      <c r="K1496" s="25" t="str">
        <f>IFERROR(VLOOKUP(A1496,取得元!$A$2:$F$501,6,FALSE)/100,"-")</f>
        <v>-</v>
      </c>
      <c r="L1496" s="21" t="str">
        <f>_xll.RssMarket(A1496,"始値")</f>
        <v/>
      </c>
      <c r="M1496" s="4" t="e">
        <f t="shared" si="130"/>
        <v>#VALUE!</v>
      </c>
      <c r="N1496" s="21" t="str">
        <f>_xll.RssMarket(A1496,"高値")</f>
        <v/>
      </c>
      <c r="O1496" s="4" t="e">
        <f t="shared" si="131"/>
        <v>#VALUE!</v>
      </c>
      <c r="P1496" s="21" t="str">
        <f>_xll.RssMarket(A1496,"安値")</f>
        <v/>
      </c>
      <c r="Q1496" s="4" t="e">
        <f t="shared" si="132"/>
        <v>#VALUE!</v>
      </c>
      <c r="R1496" s="21" t="str">
        <f>_xll.RssMarket(A1496,"後場始値")</f>
        <v/>
      </c>
      <c r="S1496" s="25" t="str">
        <f t="shared" si="133"/>
        <v>-</v>
      </c>
      <c r="T1496" s="7" t="str">
        <f>_xll.RssMarket(A1496,"出来高加重平均")</f>
        <v/>
      </c>
      <c r="U1496" s="4" t="e">
        <f t="shared" si="134"/>
        <v>#VALUE!</v>
      </c>
      <c r="V1496" s="21" t="str">
        <f>_xll.RssMarket(A1496,"出来高")</f>
        <v/>
      </c>
      <c r="W1496" s="21" t="str">
        <f>_xll.RssMarket(A1496,"売買代金")</f>
        <v/>
      </c>
      <c r="X1496" s="20" t="str">
        <f>_xll.RssMarket(A1496,"決算発表日")</f>
        <v/>
      </c>
      <c r="Y1496" s="26" t="str">
        <f>IF(C1496&gt;_xll.RssMarket(A1496,"年初来高値"),"○","×")</f>
        <v>×</v>
      </c>
      <c r="Z1496" s="27" t="str">
        <f>IF(C1496&lt;=_xll.RssMarket(A1496,"年初来安値"),"○","×")</f>
        <v>○</v>
      </c>
    </row>
    <row r="1497" spans="2:26" x14ac:dyDescent="0.55000000000000004">
      <c r="B1497" s="20" t="str">
        <f>_xll.RssMarket(A1497,"銘柄名称")</f>
        <v/>
      </c>
      <c r="C1497" s="21" t="str">
        <f>_xll.RssMarket(A1497,"現在値")</f>
        <v/>
      </c>
      <c r="D1497" s="20" t="str">
        <f>_xll.RssMarket(A1497,"現在値詳細時刻")</f>
        <v/>
      </c>
      <c r="E1497" s="22" t="str">
        <f>_xll.RssMarket(A1497,"前日比")</f>
        <v/>
      </c>
      <c r="F1497" s="23" t="e">
        <f>_xll.RssMarket(A1497,"前日比率")/100</f>
        <v>#VALUE!</v>
      </c>
      <c r="G1497" s="24" t="str">
        <f>IFERROR(VLOOKUP(A1497,取得元!$A$2:$F$501,2,FALSE),"-")</f>
        <v>-</v>
      </c>
      <c r="H1497" s="24" t="str">
        <f>IFERROR(VLOOKUP(A1497,取得元!$A$2:$F$501,3,FALSE),"-")</f>
        <v>-</v>
      </c>
      <c r="I1497" s="24" t="str">
        <f>IFERROR(VLOOKUP(A1497,取得元!$A$2:$F$501,4,FALSE),"-")</f>
        <v>-</v>
      </c>
      <c r="J1497" s="5" t="str">
        <f>IFERROR(VLOOKUP(A1497,取得元!$A$2:$F$501,5,FALSE),"-")</f>
        <v>-</v>
      </c>
      <c r="K1497" s="25" t="str">
        <f>IFERROR(VLOOKUP(A1497,取得元!$A$2:$F$501,6,FALSE)/100,"-")</f>
        <v>-</v>
      </c>
      <c r="L1497" s="21" t="str">
        <f>_xll.RssMarket(A1497,"始値")</f>
        <v/>
      </c>
      <c r="M1497" s="4" t="e">
        <f t="shared" si="130"/>
        <v>#VALUE!</v>
      </c>
      <c r="N1497" s="21" t="str">
        <f>_xll.RssMarket(A1497,"高値")</f>
        <v/>
      </c>
      <c r="O1497" s="4" t="e">
        <f t="shared" si="131"/>
        <v>#VALUE!</v>
      </c>
      <c r="P1497" s="21" t="str">
        <f>_xll.RssMarket(A1497,"安値")</f>
        <v/>
      </c>
      <c r="Q1497" s="4" t="e">
        <f t="shared" si="132"/>
        <v>#VALUE!</v>
      </c>
      <c r="R1497" s="21" t="str">
        <f>_xll.RssMarket(A1497,"後場始値")</f>
        <v/>
      </c>
      <c r="S1497" s="25" t="str">
        <f t="shared" si="133"/>
        <v>-</v>
      </c>
      <c r="T1497" s="7" t="str">
        <f>_xll.RssMarket(A1497,"出来高加重平均")</f>
        <v/>
      </c>
      <c r="U1497" s="4" t="e">
        <f t="shared" si="134"/>
        <v>#VALUE!</v>
      </c>
      <c r="V1497" s="21" t="str">
        <f>_xll.RssMarket(A1497,"出来高")</f>
        <v/>
      </c>
      <c r="W1497" s="21" t="str">
        <f>_xll.RssMarket(A1497,"売買代金")</f>
        <v/>
      </c>
      <c r="X1497" s="20" t="str">
        <f>_xll.RssMarket(A1497,"決算発表日")</f>
        <v/>
      </c>
      <c r="Y1497" s="26" t="str">
        <f>IF(C1497&gt;_xll.RssMarket(A1497,"年初来高値"),"○","×")</f>
        <v>×</v>
      </c>
      <c r="Z1497" s="27" t="str">
        <f>IF(C1497&lt;=_xll.RssMarket(A1497,"年初来安値"),"○","×")</f>
        <v>○</v>
      </c>
    </row>
    <row r="1498" spans="2:26" x14ac:dyDescent="0.55000000000000004">
      <c r="B1498" s="20" t="str">
        <f>_xll.RssMarket(A1498,"銘柄名称")</f>
        <v/>
      </c>
      <c r="C1498" s="21" t="str">
        <f>_xll.RssMarket(A1498,"現在値")</f>
        <v/>
      </c>
      <c r="D1498" s="20" t="str">
        <f>_xll.RssMarket(A1498,"現在値詳細時刻")</f>
        <v/>
      </c>
      <c r="E1498" s="22" t="str">
        <f>_xll.RssMarket(A1498,"前日比")</f>
        <v/>
      </c>
      <c r="F1498" s="23" t="e">
        <f>_xll.RssMarket(A1498,"前日比率")/100</f>
        <v>#VALUE!</v>
      </c>
      <c r="G1498" s="24" t="str">
        <f>IFERROR(VLOOKUP(A1498,取得元!$A$2:$F$501,2,FALSE),"-")</f>
        <v>-</v>
      </c>
      <c r="H1498" s="24" t="str">
        <f>IFERROR(VLOOKUP(A1498,取得元!$A$2:$F$501,3,FALSE),"-")</f>
        <v>-</v>
      </c>
      <c r="I1498" s="24" t="str">
        <f>IFERROR(VLOOKUP(A1498,取得元!$A$2:$F$501,4,FALSE),"-")</f>
        <v>-</v>
      </c>
      <c r="J1498" s="5" t="str">
        <f>IFERROR(VLOOKUP(A1498,取得元!$A$2:$F$501,5,FALSE),"-")</f>
        <v>-</v>
      </c>
      <c r="K1498" s="25" t="str">
        <f>IFERROR(VLOOKUP(A1498,取得元!$A$2:$F$501,6,FALSE)/100,"-")</f>
        <v>-</v>
      </c>
      <c r="L1498" s="21" t="str">
        <f>_xll.RssMarket(A1498,"始値")</f>
        <v/>
      </c>
      <c r="M1498" s="4" t="e">
        <f t="shared" si="130"/>
        <v>#VALUE!</v>
      </c>
      <c r="N1498" s="21" t="str">
        <f>_xll.RssMarket(A1498,"高値")</f>
        <v/>
      </c>
      <c r="O1498" s="4" t="e">
        <f t="shared" si="131"/>
        <v>#VALUE!</v>
      </c>
      <c r="P1498" s="21" t="str">
        <f>_xll.RssMarket(A1498,"安値")</f>
        <v/>
      </c>
      <c r="Q1498" s="4" t="e">
        <f t="shared" si="132"/>
        <v>#VALUE!</v>
      </c>
      <c r="R1498" s="21" t="str">
        <f>_xll.RssMarket(A1498,"後場始値")</f>
        <v/>
      </c>
      <c r="S1498" s="25" t="str">
        <f t="shared" si="133"/>
        <v>-</v>
      </c>
      <c r="T1498" s="7" t="str">
        <f>_xll.RssMarket(A1498,"出来高加重平均")</f>
        <v/>
      </c>
      <c r="U1498" s="4" t="e">
        <f t="shared" si="134"/>
        <v>#VALUE!</v>
      </c>
      <c r="V1498" s="21" t="str">
        <f>_xll.RssMarket(A1498,"出来高")</f>
        <v/>
      </c>
      <c r="W1498" s="21" t="str">
        <f>_xll.RssMarket(A1498,"売買代金")</f>
        <v/>
      </c>
      <c r="X1498" s="20" t="str">
        <f>_xll.RssMarket(A1498,"決算発表日")</f>
        <v/>
      </c>
      <c r="Y1498" s="26" t="str">
        <f>IF(C1498&gt;_xll.RssMarket(A1498,"年初来高値"),"○","×")</f>
        <v>×</v>
      </c>
      <c r="Z1498" s="27" t="str">
        <f>IF(C1498&lt;=_xll.RssMarket(A1498,"年初来安値"),"○","×")</f>
        <v>○</v>
      </c>
    </row>
    <row r="1499" spans="2:26" x14ac:dyDescent="0.55000000000000004">
      <c r="B1499" s="20" t="str">
        <f>_xll.RssMarket(A1499,"銘柄名称")</f>
        <v/>
      </c>
      <c r="C1499" s="21" t="str">
        <f>_xll.RssMarket(A1499,"現在値")</f>
        <v/>
      </c>
      <c r="D1499" s="20" t="str">
        <f>_xll.RssMarket(A1499,"現在値詳細時刻")</f>
        <v/>
      </c>
      <c r="E1499" s="22" t="str">
        <f>_xll.RssMarket(A1499,"前日比")</f>
        <v/>
      </c>
      <c r="F1499" s="23" t="e">
        <f>_xll.RssMarket(A1499,"前日比率")/100</f>
        <v>#VALUE!</v>
      </c>
      <c r="G1499" s="24" t="str">
        <f>IFERROR(VLOOKUP(A1499,取得元!$A$2:$F$501,2,FALSE),"-")</f>
        <v>-</v>
      </c>
      <c r="H1499" s="24" t="str">
        <f>IFERROR(VLOOKUP(A1499,取得元!$A$2:$F$501,3,FALSE),"-")</f>
        <v>-</v>
      </c>
      <c r="I1499" s="24" t="str">
        <f>IFERROR(VLOOKUP(A1499,取得元!$A$2:$F$501,4,FALSE),"-")</f>
        <v>-</v>
      </c>
      <c r="J1499" s="5" t="str">
        <f>IFERROR(VLOOKUP(A1499,取得元!$A$2:$F$501,5,FALSE),"-")</f>
        <v>-</v>
      </c>
      <c r="K1499" s="25" t="str">
        <f>IFERROR(VLOOKUP(A1499,取得元!$A$2:$F$501,6,FALSE)/100,"-")</f>
        <v>-</v>
      </c>
      <c r="L1499" s="21" t="str">
        <f>_xll.RssMarket(A1499,"始値")</f>
        <v/>
      </c>
      <c r="M1499" s="4" t="e">
        <f t="shared" si="130"/>
        <v>#VALUE!</v>
      </c>
      <c r="N1499" s="21" t="str">
        <f>_xll.RssMarket(A1499,"高値")</f>
        <v/>
      </c>
      <c r="O1499" s="4" t="e">
        <f t="shared" si="131"/>
        <v>#VALUE!</v>
      </c>
      <c r="P1499" s="21" t="str">
        <f>_xll.RssMarket(A1499,"安値")</f>
        <v/>
      </c>
      <c r="Q1499" s="4" t="e">
        <f t="shared" si="132"/>
        <v>#VALUE!</v>
      </c>
      <c r="R1499" s="21" t="str">
        <f>_xll.RssMarket(A1499,"後場始値")</f>
        <v/>
      </c>
      <c r="S1499" s="25" t="str">
        <f t="shared" si="133"/>
        <v>-</v>
      </c>
      <c r="T1499" s="7" t="str">
        <f>_xll.RssMarket(A1499,"出来高加重平均")</f>
        <v/>
      </c>
      <c r="U1499" s="4" t="e">
        <f t="shared" si="134"/>
        <v>#VALUE!</v>
      </c>
      <c r="V1499" s="21" t="str">
        <f>_xll.RssMarket(A1499,"出来高")</f>
        <v/>
      </c>
      <c r="W1499" s="21" t="str">
        <f>_xll.RssMarket(A1499,"売買代金")</f>
        <v/>
      </c>
      <c r="X1499" s="20" t="str">
        <f>_xll.RssMarket(A1499,"決算発表日")</f>
        <v/>
      </c>
      <c r="Y1499" s="26" t="str">
        <f>IF(C1499&gt;_xll.RssMarket(A1499,"年初来高値"),"○","×")</f>
        <v>×</v>
      </c>
      <c r="Z1499" s="27" t="str">
        <f>IF(C1499&lt;=_xll.RssMarket(A1499,"年初来安値"),"○","×")</f>
        <v>○</v>
      </c>
    </row>
    <row r="1500" spans="2:26" x14ac:dyDescent="0.55000000000000004">
      <c r="B1500" s="20" t="str">
        <f>_xll.RssMarket(A1500,"銘柄名称")</f>
        <v/>
      </c>
      <c r="C1500" s="21" t="str">
        <f>_xll.RssMarket(A1500,"現在値")</f>
        <v/>
      </c>
      <c r="D1500" s="20" t="str">
        <f>_xll.RssMarket(A1500,"現在値詳細時刻")</f>
        <v/>
      </c>
      <c r="E1500" s="22" t="str">
        <f>_xll.RssMarket(A1500,"前日比")</f>
        <v/>
      </c>
      <c r="F1500" s="23" t="e">
        <f>_xll.RssMarket(A1500,"前日比率")/100</f>
        <v>#VALUE!</v>
      </c>
      <c r="G1500" s="24" t="str">
        <f>IFERROR(VLOOKUP(A1500,取得元!$A$2:$F$501,2,FALSE),"-")</f>
        <v>-</v>
      </c>
      <c r="H1500" s="24" t="str">
        <f>IFERROR(VLOOKUP(A1500,取得元!$A$2:$F$501,3,FALSE),"-")</f>
        <v>-</v>
      </c>
      <c r="I1500" s="24" t="str">
        <f>IFERROR(VLOOKUP(A1500,取得元!$A$2:$F$501,4,FALSE),"-")</f>
        <v>-</v>
      </c>
      <c r="J1500" s="5" t="str">
        <f>IFERROR(VLOOKUP(A1500,取得元!$A$2:$F$501,5,FALSE),"-")</f>
        <v>-</v>
      </c>
      <c r="K1500" s="25" t="str">
        <f>IFERROR(VLOOKUP(A1500,取得元!$A$2:$F$501,6,FALSE)/100,"-")</f>
        <v>-</v>
      </c>
      <c r="L1500" s="21" t="str">
        <f>_xll.RssMarket(A1500,"始値")</f>
        <v/>
      </c>
      <c r="M1500" s="4" t="e">
        <f t="shared" si="130"/>
        <v>#VALUE!</v>
      </c>
      <c r="N1500" s="21" t="str">
        <f>_xll.RssMarket(A1500,"高値")</f>
        <v/>
      </c>
      <c r="O1500" s="4" t="e">
        <f t="shared" si="131"/>
        <v>#VALUE!</v>
      </c>
      <c r="P1500" s="21" t="str">
        <f>_xll.RssMarket(A1500,"安値")</f>
        <v/>
      </c>
      <c r="Q1500" s="4" t="e">
        <f t="shared" si="132"/>
        <v>#VALUE!</v>
      </c>
      <c r="R1500" s="21" t="str">
        <f>_xll.RssMarket(A1500,"後場始値")</f>
        <v/>
      </c>
      <c r="S1500" s="25" t="str">
        <f t="shared" si="133"/>
        <v>-</v>
      </c>
      <c r="T1500" s="7" t="str">
        <f>_xll.RssMarket(A1500,"出来高加重平均")</f>
        <v/>
      </c>
      <c r="U1500" s="4" t="e">
        <f t="shared" si="134"/>
        <v>#VALUE!</v>
      </c>
      <c r="V1500" s="21" t="str">
        <f>_xll.RssMarket(A1500,"出来高")</f>
        <v/>
      </c>
      <c r="W1500" s="21" t="str">
        <f>_xll.RssMarket(A1500,"売買代金")</f>
        <v/>
      </c>
      <c r="X1500" s="20" t="str">
        <f>_xll.RssMarket(A1500,"決算発表日")</f>
        <v/>
      </c>
      <c r="Y1500" s="26" t="str">
        <f>IF(C1500&gt;_xll.RssMarket(A1500,"年初来高値"),"○","×")</f>
        <v>×</v>
      </c>
      <c r="Z1500" s="27" t="str">
        <f>IF(C1500&lt;=_xll.RssMarket(A1500,"年初来安値"),"○","×")</f>
        <v>○</v>
      </c>
    </row>
    <row r="1501" spans="2:26" x14ac:dyDescent="0.55000000000000004">
      <c r="B1501" s="20" t="str">
        <f>_xll.RssMarket(A1501,"銘柄名称")</f>
        <v/>
      </c>
      <c r="C1501" s="21" t="str">
        <f>_xll.RssMarket(A1501,"現在値")</f>
        <v/>
      </c>
      <c r="D1501" s="20" t="str">
        <f>_xll.RssMarket(A1501,"現在値詳細時刻")</f>
        <v/>
      </c>
      <c r="E1501" s="22" t="str">
        <f>_xll.RssMarket(A1501,"前日比")</f>
        <v/>
      </c>
      <c r="F1501" s="23" t="e">
        <f>_xll.RssMarket(A1501,"前日比率")/100</f>
        <v>#VALUE!</v>
      </c>
      <c r="G1501" s="24" t="str">
        <f>IFERROR(VLOOKUP(A1501,取得元!$A$2:$F$501,2,FALSE),"-")</f>
        <v>-</v>
      </c>
      <c r="H1501" s="24" t="str">
        <f>IFERROR(VLOOKUP(A1501,取得元!$A$2:$F$501,3,FALSE),"-")</f>
        <v>-</v>
      </c>
      <c r="I1501" s="24" t="str">
        <f>IFERROR(VLOOKUP(A1501,取得元!$A$2:$F$501,4,FALSE),"-")</f>
        <v>-</v>
      </c>
      <c r="J1501" s="5" t="str">
        <f>IFERROR(VLOOKUP(A1501,取得元!$A$2:$F$501,5,FALSE),"-")</f>
        <v>-</v>
      </c>
      <c r="K1501" s="25" t="str">
        <f>IFERROR(VLOOKUP(A1501,取得元!$A$2:$F$501,6,FALSE)/100,"-")</f>
        <v>-</v>
      </c>
      <c r="L1501" s="21" t="str">
        <f>_xll.RssMarket(A1501,"始値")</f>
        <v/>
      </c>
      <c r="M1501" s="4" t="e">
        <f t="shared" si="130"/>
        <v>#VALUE!</v>
      </c>
      <c r="N1501" s="21" t="str">
        <f>_xll.RssMarket(A1501,"高値")</f>
        <v/>
      </c>
      <c r="O1501" s="4" t="e">
        <f t="shared" si="131"/>
        <v>#VALUE!</v>
      </c>
      <c r="P1501" s="21" t="str">
        <f>_xll.RssMarket(A1501,"安値")</f>
        <v/>
      </c>
      <c r="Q1501" s="4" t="e">
        <f t="shared" si="132"/>
        <v>#VALUE!</v>
      </c>
      <c r="R1501" s="21" t="str">
        <f>_xll.RssMarket(A1501,"後場始値")</f>
        <v/>
      </c>
      <c r="S1501" s="25" t="str">
        <f t="shared" si="133"/>
        <v>-</v>
      </c>
      <c r="T1501" s="7" t="str">
        <f>_xll.RssMarket(A1501,"出来高加重平均")</f>
        <v/>
      </c>
      <c r="U1501" s="4" t="e">
        <f t="shared" si="134"/>
        <v>#VALUE!</v>
      </c>
      <c r="V1501" s="21" t="str">
        <f>_xll.RssMarket(A1501,"出来高")</f>
        <v/>
      </c>
      <c r="W1501" s="21" t="str">
        <f>_xll.RssMarket(A1501,"売買代金")</f>
        <v/>
      </c>
      <c r="X1501" s="20" t="str">
        <f>_xll.RssMarket(A1501,"決算発表日")</f>
        <v/>
      </c>
      <c r="Y1501" s="26" t="str">
        <f>IF(C1501&gt;_xll.RssMarket(A1501,"年初来高値"),"○","×")</f>
        <v>×</v>
      </c>
      <c r="Z1501" s="27" t="str">
        <f>IF(C1501&lt;=_xll.RssMarket(A1501,"年初来安値"),"○","×")</f>
        <v>○</v>
      </c>
    </row>
    <row r="1502" spans="2:26" x14ac:dyDescent="0.55000000000000004">
      <c r="B1502" s="20" t="str">
        <f>_xll.RssMarket(A1502,"銘柄名称")</f>
        <v/>
      </c>
      <c r="C1502" s="21" t="str">
        <f>_xll.RssMarket(A1502,"現在値")</f>
        <v/>
      </c>
      <c r="D1502" s="20" t="str">
        <f>_xll.RssMarket(A1502,"現在値詳細時刻")</f>
        <v/>
      </c>
      <c r="E1502" s="22" t="str">
        <f>_xll.RssMarket(A1502,"前日比")</f>
        <v/>
      </c>
      <c r="F1502" s="23" t="e">
        <f>_xll.RssMarket(A1502,"前日比率")/100</f>
        <v>#VALUE!</v>
      </c>
      <c r="G1502" s="24" t="str">
        <f>IFERROR(VLOOKUP(A1502,取得元!$A$2:$F$501,2,FALSE),"-")</f>
        <v>-</v>
      </c>
      <c r="H1502" s="24" t="str">
        <f>IFERROR(VLOOKUP(A1502,取得元!$A$2:$F$501,3,FALSE),"-")</f>
        <v>-</v>
      </c>
      <c r="I1502" s="24" t="str">
        <f>IFERROR(VLOOKUP(A1502,取得元!$A$2:$F$501,4,FALSE),"-")</f>
        <v>-</v>
      </c>
      <c r="J1502" s="5" t="str">
        <f>IFERROR(VLOOKUP(A1502,取得元!$A$2:$F$501,5,FALSE),"-")</f>
        <v>-</v>
      </c>
      <c r="K1502" s="25" t="str">
        <f>IFERROR(VLOOKUP(A1502,取得元!$A$2:$F$501,6,FALSE)/100,"-")</f>
        <v>-</v>
      </c>
      <c r="L1502" s="21" t="str">
        <f>_xll.RssMarket(A1502,"始値")</f>
        <v/>
      </c>
      <c r="M1502" s="4" t="e">
        <f t="shared" si="130"/>
        <v>#VALUE!</v>
      </c>
      <c r="N1502" s="21" t="str">
        <f>_xll.RssMarket(A1502,"高値")</f>
        <v/>
      </c>
      <c r="O1502" s="4" t="e">
        <f t="shared" si="131"/>
        <v>#VALUE!</v>
      </c>
      <c r="P1502" s="21" t="str">
        <f>_xll.RssMarket(A1502,"安値")</f>
        <v/>
      </c>
      <c r="Q1502" s="4" t="e">
        <f t="shared" si="132"/>
        <v>#VALUE!</v>
      </c>
      <c r="R1502" s="21" t="str">
        <f>_xll.RssMarket(A1502,"後場始値")</f>
        <v/>
      </c>
      <c r="S1502" s="25" t="str">
        <f t="shared" si="133"/>
        <v>-</v>
      </c>
      <c r="T1502" s="7" t="str">
        <f>_xll.RssMarket(A1502,"出来高加重平均")</f>
        <v/>
      </c>
      <c r="U1502" s="4" t="e">
        <f t="shared" si="134"/>
        <v>#VALUE!</v>
      </c>
      <c r="V1502" s="21" t="str">
        <f>_xll.RssMarket(A1502,"出来高")</f>
        <v/>
      </c>
      <c r="W1502" s="21" t="str">
        <f>_xll.RssMarket(A1502,"売買代金")</f>
        <v/>
      </c>
      <c r="X1502" s="20" t="str">
        <f>_xll.RssMarket(A1502,"決算発表日")</f>
        <v/>
      </c>
      <c r="Y1502" s="26" t="str">
        <f>IF(C1502&gt;_xll.RssMarket(A1502,"年初来高値"),"○","×")</f>
        <v>×</v>
      </c>
      <c r="Z1502" s="27" t="str">
        <f>IF(C1502&lt;=_xll.RssMarket(A1502,"年初来安値"),"○","×")</f>
        <v>○</v>
      </c>
    </row>
    <row r="1503" spans="2:26" x14ac:dyDescent="0.55000000000000004">
      <c r="B1503" s="20" t="str">
        <f>_xll.RssMarket(A1503,"銘柄名称")</f>
        <v/>
      </c>
      <c r="C1503" s="21" t="str">
        <f>_xll.RssMarket(A1503,"現在値")</f>
        <v/>
      </c>
      <c r="D1503" s="20" t="str">
        <f>_xll.RssMarket(A1503,"現在値詳細時刻")</f>
        <v/>
      </c>
      <c r="E1503" s="22" t="str">
        <f>_xll.RssMarket(A1503,"前日比")</f>
        <v/>
      </c>
      <c r="F1503" s="23" t="e">
        <f>_xll.RssMarket(A1503,"前日比率")/100</f>
        <v>#VALUE!</v>
      </c>
      <c r="G1503" s="24" t="str">
        <f>IFERROR(VLOOKUP(A1503,取得元!$A$2:$F$501,2,FALSE),"-")</f>
        <v>-</v>
      </c>
      <c r="H1503" s="24" t="str">
        <f>IFERROR(VLOOKUP(A1503,取得元!$A$2:$F$501,3,FALSE),"-")</f>
        <v>-</v>
      </c>
      <c r="I1503" s="24" t="str">
        <f>IFERROR(VLOOKUP(A1503,取得元!$A$2:$F$501,4,FALSE),"-")</f>
        <v>-</v>
      </c>
      <c r="J1503" s="5" t="str">
        <f>IFERROR(VLOOKUP(A1503,取得元!$A$2:$F$501,5,FALSE),"-")</f>
        <v>-</v>
      </c>
      <c r="K1503" s="25" t="str">
        <f>IFERROR(VLOOKUP(A1503,取得元!$A$2:$F$501,6,FALSE)/100,"-")</f>
        <v>-</v>
      </c>
      <c r="L1503" s="21" t="str">
        <f>_xll.RssMarket(A1503,"始値")</f>
        <v/>
      </c>
      <c r="M1503" s="4" t="e">
        <f t="shared" si="130"/>
        <v>#VALUE!</v>
      </c>
      <c r="N1503" s="21" t="str">
        <f>_xll.RssMarket(A1503,"高値")</f>
        <v/>
      </c>
      <c r="O1503" s="4" t="e">
        <f t="shared" si="131"/>
        <v>#VALUE!</v>
      </c>
      <c r="P1503" s="21" t="str">
        <f>_xll.RssMarket(A1503,"安値")</f>
        <v/>
      </c>
      <c r="Q1503" s="4" t="e">
        <f t="shared" si="132"/>
        <v>#VALUE!</v>
      </c>
      <c r="R1503" s="21" t="str">
        <f>_xll.RssMarket(A1503,"後場始値")</f>
        <v/>
      </c>
      <c r="S1503" s="25" t="str">
        <f t="shared" si="133"/>
        <v>-</v>
      </c>
      <c r="T1503" s="7" t="str">
        <f>_xll.RssMarket(A1503,"出来高加重平均")</f>
        <v/>
      </c>
      <c r="U1503" s="4" t="e">
        <f t="shared" si="134"/>
        <v>#VALUE!</v>
      </c>
      <c r="V1503" s="21" t="str">
        <f>_xll.RssMarket(A1503,"出来高")</f>
        <v/>
      </c>
      <c r="W1503" s="21" t="str">
        <f>_xll.RssMarket(A1503,"売買代金")</f>
        <v/>
      </c>
      <c r="X1503" s="20" t="str">
        <f>_xll.RssMarket(A1503,"決算発表日")</f>
        <v/>
      </c>
      <c r="Y1503" s="26" t="str">
        <f>IF(C1503&gt;_xll.RssMarket(A1503,"年初来高値"),"○","×")</f>
        <v>×</v>
      </c>
      <c r="Z1503" s="27" t="str">
        <f>IF(C1503&lt;=_xll.RssMarket(A1503,"年初来安値"),"○","×")</f>
        <v>○</v>
      </c>
    </row>
    <row r="1504" spans="2:26" x14ac:dyDescent="0.55000000000000004">
      <c r="B1504" s="20" t="str">
        <f>_xll.RssMarket(A1504,"銘柄名称")</f>
        <v/>
      </c>
      <c r="C1504" s="21" t="str">
        <f>_xll.RssMarket(A1504,"現在値")</f>
        <v/>
      </c>
      <c r="D1504" s="20" t="str">
        <f>_xll.RssMarket(A1504,"現在値詳細時刻")</f>
        <v/>
      </c>
      <c r="E1504" s="22" t="str">
        <f>_xll.RssMarket(A1504,"前日比")</f>
        <v/>
      </c>
      <c r="F1504" s="23" t="e">
        <f>_xll.RssMarket(A1504,"前日比率")/100</f>
        <v>#VALUE!</v>
      </c>
      <c r="G1504" s="24" t="str">
        <f>IFERROR(VLOOKUP(A1504,取得元!$A$2:$F$501,2,FALSE),"-")</f>
        <v>-</v>
      </c>
      <c r="H1504" s="24" t="str">
        <f>IFERROR(VLOOKUP(A1504,取得元!$A$2:$F$501,3,FALSE),"-")</f>
        <v>-</v>
      </c>
      <c r="I1504" s="24" t="str">
        <f>IFERROR(VLOOKUP(A1504,取得元!$A$2:$F$501,4,FALSE),"-")</f>
        <v>-</v>
      </c>
      <c r="J1504" s="5" t="str">
        <f>IFERROR(VLOOKUP(A1504,取得元!$A$2:$F$501,5,FALSE),"-")</f>
        <v>-</v>
      </c>
      <c r="K1504" s="25" t="str">
        <f>IFERROR(VLOOKUP(A1504,取得元!$A$2:$F$501,6,FALSE)/100,"-")</f>
        <v>-</v>
      </c>
      <c r="L1504" s="21" t="str">
        <f>_xll.RssMarket(A1504,"始値")</f>
        <v/>
      </c>
      <c r="M1504" s="4" t="e">
        <f t="shared" si="130"/>
        <v>#VALUE!</v>
      </c>
      <c r="N1504" s="21" t="str">
        <f>_xll.RssMarket(A1504,"高値")</f>
        <v/>
      </c>
      <c r="O1504" s="4" t="e">
        <f t="shared" si="131"/>
        <v>#VALUE!</v>
      </c>
      <c r="P1504" s="21" t="str">
        <f>_xll.RssMarket(A1504,"安値")</f>
        <v/>
      </c>
      <c r="Q1504" s="4" t="e">
        <f t="shared" si="132"/>
        <v>#VALUE!</v>
      </c>
      <c r="R1504" s="21" t="str">
        <f>_xll.RssMarket(A1504,"後場始値")</f>
        <v/>
      </c>
      <c r="S1504" s="25" t="str">
        <f t="shared" si="133"/>
        <v>-</v>
      </c>
      <c r="T1504" s="7" t="str">
        <f>_xll.RssMarket(A1504,"出来高加重平均")</f>
        <v/>
      </c>
      <c r="U1504" s="4" t="e">
        <f t="shared" si="134"/>
        <v>#VALUE!</v>
      </c>
      <c r="V1504" s="21" t="str">
        <f>_xll.RssMarket(A1504,"出来高")</f>
        <v/>
      </c>
      <c r="W1504" s="21" t="str">
        <f>_xll.RssMarket(A1504,"売買代金")</f>
        <v/>
      </c>
      <c r="X1504" s="20" t="str">
        <f>_xll.RssMarket(A1504,"決算発表日")</f>
        <v/>
      </c>
      <c r="Y1504" s="26" t="str">
        <f>IF(C1504&gt;_xll.RssMarket(A1504,"年初来高値"),"○","×")</f>
        <v>×</v>
      </c>
      <c r="Z1504" s="27" t="str">
        <f>IF(C1504&lt;=_xll.RssMarket(A1504,"年初来安値"),"○","×")</f>
        <v>○</v>
      </c>
    </row>
    <row r="1505" spans="2:26" x14ac:dyDescent="0.55000000000000004">
      <c r="B1505" s="20" t="str">
        <f>_xll.RssMarket(A1505,"銘柄名称")</f>
        <v/>
      </c>
      <c r="C1505" s="21" t="str">
        <f>_xll.RssMarket(A1505,"現在値")</f>
        <v/>
      </c>
      <c r="D1505" s="20" t="str">
        <f>_xll.RssMarket(A1505,"現在値詳細時刻")</f>
        <v/>
      </c>
      <c r="E1505" s="22" t="str">
        <f>_xll.RssMarket(A1505,"前日比")</f>
        <v/>
      </c>
      <c r="F1505" s="23" t="e">
        <f>_xll.RssMarket(A1505,"前日比率")/100</f>
        <v>#VALUE!</v>
      </c>
      <c r="G1505" s="24" t="str">
        <f>IFERROR(VLOOKUP(A1505,取得元!$A$2:$F$501,2,FALSE),"-")</f>
        <v>-</v>
      </c>
      <c r="H1505" s="24" t="str">
        <f>IFERROR(VLOOKUP(A1505,取得元!$A$2:$F$501,3,FALSE),"-")</f>
        <v>-</v>
      </c>
      <c r="I1505" s="24" t="str">
        <f>IFERROR(VLOOKUP(A1505,取得元!$A$2:$F$501,4,FALSE),"-")</f>
        <v>-</v>
      </c>
      <c r="J1505" s="5" t="str">
        <f>IFERROR(VLOOKUP(A1505,取得元!$A$2:$F$501,5,FALSE),"-")</f>
        <v>-</v>
      </c>
      <c r="K1505" s="25" t="str">
        <f>IFERROR(VLOOKUP(A1505,取得元!$A$2:$F$501,6,FALSE)/100,"-")</f>
        <v>-</v>
      </c>
      <c r="L1505" s="21" t="str">
        <f>_xll.RssMarket(A1505,"始値")</f>
        <v/>
      </c>
      <c r="M1505" s="4" t="e">
        <f t="shared" si="130"/>
        <v>#VALUE!</v>
      </c>
      <c r="N1505" s="21" t="str">
        <f>_xll.RssMarket(A1505,"高値")</f>
        <v/>
      </c>
      <c r="O1505" s="4" t="e">
        <f t="shared" si="131"/>
        <v>#VALUE!</v>
      </c>
      <c r="P1505" s="21" t="str">
        <f>_xll.RssMarket(A1505,"安値")</f>
        <v/>
      </c>
      <c r="Q1505" s="4" t="e">
        <f t="shared" si="132"/>
        <v>#VALUE!</v>
      </c>
      <c r="R1505" s="21" t="str">
        <f>_xll.RssMarket(A1505,"後場始値")</f>
        <v/>
      </c>
      <c r="S1505" s="25" t="str">
        <f t="shared" si="133"/>
        <v>-</v>
      </c>
      <c r="T1505" s="7" t="str">
        <f>_xll.RssMarket(A1505,"出来高加重平均")</f>
        <v/>
      </c>
      <c r="U1505" s="4" t="e">
        <f t="shared" si="134"/>
        <v>#VALUE!</v>
      </c>
      <c r="V1505" s="21" t="str">
        <f>_xll.RssMarket(A1505,"出来高")</f>
        <v/>
      </c>
      <c r="W1505" s="21" t="str">
        <f>_xll.RssMarket(A1505,"売買代金")</f>
        <v/>
      </c>
      <c r="X1505" s="20" t="str">
        <f>_xll.RssMarket(A1505,"決算発表日")</f>
        <v/>
      </c>
      <c r="Y1505" s="26" t="str">
        <f>IF(C1505&gt;_xll.RssMarket(A1505,"年初来高値"),"○","×")</f>
        <v>×</v>
      </c>
      <c r="Z1505" s="27" t="str">
        <f>IF(C1505&lt;=_xll.RssMarket(A1505,"年初来安値"),"○","×")</f>
        <v>○</v>
      </c>
    </row>
    <row r="1506" spans="2:26" x14ac:dyDescent="0.55000000000000004">
      <c r="B1506" s="20" t="str">
        <f>_xll.RssMarket(A1506,"銘柄名称")</f>
        <v/>
      </c>
      <c r="C1506" s="21" t="str">
        <f>_xll.RssMarket(A1506,"現在値")</f>
        <v/>
      </c>
      <c r="D1506" s="20" t="str">
        <f>_xll.RssMarket(A1506,"現在値詳細時刻")</f>
        <v/>
      </c>
      <c r="E1506" s="22" t="str">
        <f>_xll.RssMarket(A1506,"前日比")</f>
        <v/>
      </c>
      <c r="F1506" s="23" t="e">
        <f>_xll.RssMarket(A1506,"前日比率")/100</f>
        <v>#VALUE!</v>
      </c>
      <c r="G1506" s="24" t="str">
        <f>IFERROR(VLOOKUP(A1506,取得元!$A$2:$F$501,2,FALSE),"-")</f>
        <v>-</v>
      </c>
      <c r="H1506" s="24" t="str">
        <f>IFERROR(VLOOKUP(A1506,取得元!$A$2:$F$501,3,FALSE),"-")</f>
        <v>-</v>
      </c>
      <c r="I1506" s="24" t="str">
        <f>IFERROR(VLOOKUP(A1506,取得元!$A$2:$F$501,4,FALSE),"-")</f>
        <v>-</v>
      </c>
      <c r="J1506" s="5" t="str">
        <f>IFERROR(VLOOKUP(A1506,取得元!$A$2:$F$501,5,FALSE),"-")</f>
        <v>-</v>
      </c>
      <c r="K1506" s="25" t="str">
        <f>IFERROR(VLOOKUP(A1506,取得元!$A$2:$F$501,6,FALSE)/100,"-")</f>
        <v>-</v>
      </c>
      <c r="L1506" s="21" t="str">
        <f>_xll.RssMarket(A1506,"始値")</f>
        <v/>
      </c>
      <c r="M1506" s="4" t="e">
        <f t="shared" si="130"/>
        <v>#VALUE!</v>
      </c>
      <c r="N1506" s="21" t="str">
        <f>_xll.RssMarket(A1506,"高値")</f>
        <v/>
      </c>
      <c r="O1506" s="4" t="e">
        <f t="shared" si="131"/>
        <v>#VALUE!</v>
      </c>
      <c r="P1506" s="21" t="str">
        <f>_xll.RssMarket(A1506,"安値")</f>
        <v/>
      </c>
      <c r="Q1506" s="4" t="e">
        <f t="shared" si="132"/>
        <v>#VALUE!</v>
      </c>
      <c r="R1506" s="21" t="str">
        <f>_xll.RssMarket(A1506,"後場始値")</f>
        <v/>
      </c>
      <c r="S1506" s="25" t="str">
        <f t="shared" si="133"/>
        <v>-</v>
      </c>
      <c r="T1506" s="7" t="str">
        <f>_xll.RssMarket(A1506,"出来高加重平均")</f>
        <v/>
      </c>
      <c r="U1506" s="4" t="e">
        <f t="shared" si="134"/>
        <v>#VALUE!</v>
      </c>
      <c r="V1506" s="21" t="str">
        <f>_xll.RssMarket(A1506,"出来高")</f>
        <v/>
      </c>
      <c r="W1506" s="21" t="str">
        <f>_xll.RssMarket(A1506,"売買代金")</f>
        <v/>
      </c>
      <c r="X1506" s="20" t="str">
        <f>_xll.RssMarket(A1506,"決算発表日")</f>
        <v/>
      </c>
      <c r="Y1506" s="26" t="str">
        <f>IF(C1506&gt;_xll.RssMarket(A1506,"年初来高値"),"○","×")</f>
        <v>×</v>
      </c>
      <c r="Z1506" s="27" t="str">
        <f>IF(C1506&lt;=_xll.RssMarket(A1506,"年初来安値"),"○","×")</f>
        <v>○</v>
      </c>
    </row>
    <row r="1507" spans="2:26" x14ac:dyDescent="0.55000000000000004">
      <c r="B1507" s="20" t="str">
        <f>_xll.RssMarket(A1507,"銘柄名称")</f>
        <v/>
      </c>
      <c r="C1507" s="21" t="str">
        <f>_xll.RssMarket(A1507,"現在値")</f>
        <v/>
      </c>
      <c r="D1507" s="20" t="str">
        <f>_xll.RssMarket(A1507,"現在値詳細時刻")</f>
        <v/>
      </c>
      <c r="E1507" s="22" t="str">
        <f>_xll.RssMarket(A1507,"前日比")</f>
        <v/>
      </c>
      <c r="F1507" s="23" t="e">
        <f>_xll.RssMarket(A1507,"前日比率")/100</f>
        <v>#VALUE!</v>
      </c>
      <c r="G1507" s="24" t="str">
        <f>IFERROR(VLOOKUP(A1507,取得元!$A$2:$F$501,2,FALSE),"-")</f>
        <v>-</v>
      </c>
      <c r="H1507" s="24" t="str">
        <f>IFERROR(VLOOKUP(A1507,取得元!$A$2:$F$501,3,FALSE),"-")</f>
        <v>-</v>
      </c>
      <c r="I1507" s="24" t="str">
        <f>IFERROR(VLOOKUP(A1507,取得元!$A$2:$F$501,4,FALSE),"-")</f>
        <v>-</v>
      </c>
      <c r="J1507" s="5" t="str">
        <f>IFERROR(VLOOKUP(A1507,取得元!$A$2:$F$501,5,FALSE),"-")</f>
        <v>-</v>
      </c>
      <c r="K1507" s="25" t="str">
        <f>IFERROR(VLOOKUP(A1507,取得元!$A$2:$F$501,6,FALSE)/100,"-")</f>
        <v>-</v>
      </c>
      <c r="L1507" s="21" t="str">
        <f>_xll.RssMarket(A1507,"始値")</f>
        <v/>
      </c>
      <c r="M1507" s="4" t="e">
        <f t="shared" si="130"/>
        <v>#VALUE!</v>
      </c>
      <c r="N1507" s="21" t="str">
        <f>_xll.RssMarket(A1507,"高値")</f>
        <v/>
      </c>
      <c r="O1507" s="4" t="e">
        <f t="shared" si="131"/>
        <v>#VALUE!</v>
      </c>
      <c r="P1507" s="21" t="str">
        <f>_xll.RssMarket(A1507,"安値")</f>
        <v/>
      </c>
      <c r="Q1507" s="4" t="e">
        <f t="shared" si="132"/>
        <v>#VALUE!</v>
      </c>
      <c r="R1507" s="21" t="str">
        <f>_xll.RssMarket(A1507,"後場始値")</f>
        <v/>
      </c>
      <c r="S1507" s="25" t="str">
        <f t="shared" si="133"/>
        <v>-</v>
      </c>
      <c r="T1507" s="7" t="str">
        <f>_xll.RssMarket(A1507,"出来高加重平均")</f>
        <v/>
      </c>
      <c r="U1507" s="4" t="e">
        <f t="shared" si="134"/>
        <v>#VALUE!</v>
      </c>
      <c r="V1507" s="21" t="str">
        <f>_xll.RssMarket(A1507,"出来高")</f>
        <v/>
      </c>
      <c r="W1507" s="21" t="str">
        <f>_xll.RssMarket(A1507,"売買代金")</f>
        <v/>
      </c>
      <c r="X1507" s="20" t="str">
        <f>_xll.RssMarket(A1507,"決算発表日")</f>
        <v/>
      </c>
      <c r="Y1507" s="26" t="str">
        <f>IF(C1507&gt;_xll.RssMarket(A1507,"年初来高値"),"○","×")</f>
        <v>×</v>
      </c>
      <c r="Z1507" s="27" t="str">
        <f>IF(C1507&lt;=_xll.RssMarket(A1507,"年初来安値"),"○","×")</f>
        <v>○</v>
      </c>
    </row>
    <row r="1508" spans="2:26" x14ac:dyDescent="0.55000000000000004">
      <c r="B1508" s="20" t="str">
        <f>_xll.RssMarket(A1508,"銘柄名称")</f>
        <v/>
      </c>
      <c r="C1508" s="21" t="str">
        <f>_xll.RssMarket(A1508,"現在値")</f>
        <v/>
      </c>
      <c r="D1508" s="20" t="str">
        <f>_xll.RssMarket(A1508,"現在値詳細時刻")</f>
        <v/>
      </c>
      <c r="E1508" s="22" t="str">
        <f>_xll.RssMarket(A1508,"前日比")</f>
        <v/>
      </c>
      <c r="F1508" s="23" t="e">
        <f>_xll.RssMarket(A1508,"前日比率")/100</f>
        <v>#VALUE!</v>
      </c>
      <c r="G1508" s="24" t="str">
        <f>IFERROR(VLOOKUP(A1508,取得元!$A$2:$F$501,2,FALSE),"-")</f>
        <v>-</v>
      </c>
      <c r="H1508" s="24" t="str">
        <f>IFERROR(VLOOKUP(A1508,取得元!$A$2:$F$501,3,FALSE),"-")</f>
        <v>-</v>
      </c>
      <c r="I1508" s="24" t="str">
        <f>IFERROR(VLOOKUP(A1508,取得元!$A$2:$F$501,4,FALSE),"-")</f>
        <v>-</v>
      </c>
      <c r="J1508" s="5" t="str">
        <f>IFERROR(VLOOKUP(A1508,取得元!$A$2:$F$501,5,FALSE),"-")</f>
        <v>-</v>
      </c>
      <c r="K1508" s="25" t="str">
        <f>IFERROR(VLOOKUP(A1508,取得元!$A$2:$F$501,6,FALSE)/100,"-")</f>
        <v>-</v>
      </c>
      <c r="L1508" s="21" t="str">
        <f>_xll.RssMarket(A1508,"始値")</f>
        <v/>
      </c>
      <c r="M1508" s="4" t="e">
        <f t="shared" si="130"/>
        <v>#VALUE!</v>
      </c>
      <c r="N1508" s="21" t="str">
        <f>_xll.RssMarket(A1508,"高値")</f>
        <v/>
      </c>
      <c r="O1508" s="4" t="e">
        <f t="shared" si="131"/>
        <v>#VALUE!</v>
      </c>
      <c r="P1508" s="21" t="str">
        <f>_xll.RssMarket(A1508,"安値")</f>
        <v/>
      </c>
      <c r="Q1508" s="4" t="e">
        <f t="shared" si="132"/>
        <v>#VALUE!</v>
      </c>
      <c r="R1508" s="21" t="str">
        <f>_xll.RssMarket(A1508,"後場始値")</f>
        <v/>
      </c>
      <c r="S1508" s="25" t="str">
        <f t="shared" si="133"/>
        <v>-</v>
      </c>
      <c r="T1508" s="7" t="str">
        <f>_xll.RssMarket(A1508,"出来高加重平均")</f>
        <v/>
      </c>
      <c r="U1508" s="4" t="e">
        <f t="shared" si="134"/>
        <v>#VALUE!</v>
      </c>
      <c r="V1508" s="21" t="str">
        <f>_xll.RssMarket(A1508,"出来高")</f>
        <v/>
      </c>
      <c r="W1508" s="21" t="str">
        <f>_xll.RssMarket(A1508,"売買代金")</f>
        <v/>
      </c>
      <c r="X1508" s="20" t="str">
        <f>_xll.RssMarket(A1508,"決算発表日")</f>
        <v/>
      </c>
      <c r="Y1508" s="26" t="str">
        <f>IF(C1508&gt;_xll.RssMarket(A1508,"年初来高値"),"○","×")</f>
        <v>×</v>
      </c>
      <c r="Z1508" s="27" t="str">
        <f>IF(C1508&lt;=_xll.RssMarket(A1508,"年初来安値"),"○","×")</f>
        <v>○</v>
      </c>
    </row>
    <row r="1509" spans="2:26" x14ac:dyDescent="0.55000000000000004">
      <c r="B1509" s="20" t="str">
        <f>_xll.RssMarket(A1509,"銘柄名称")</f>
        <v/>
      </c>
      <c r="C1509" s="21" t="str">
        <f>_xll.RssMarket(A1509,"現在値")</f>
        <v/>
      </c>
      <c r="D1509" s="20" t="str">
        <f>_xll.RssMarket(A1509,"現在値詳細時刻")</f>
        <v/>
      </c>
      <c r="E1509" s="22" t="str">
        <f>_xll.RssMarket(A1509,"前日比")</f>
        <v/>
      </c>
      <c r="F1509" s="23" t="e">
        <f>_xll.RssMarket(A1509,"前日比率")/100</f>
        <v>#VALUE!</v>
      </c>
      <c r="G1509" s="24" t="str">
        <f>IFERROR(VLOOKUP(A1509,取得元!$A$2:$F$501,2,FALSE),"-")</f>
        <v>-</v>
      </c>
      <c r="H1509" s="24" t="str">
        <f>IFERROR(VLOOKUP(A1509,取得元!$A$2:$F$501,3,FALSE),"-")</f>
        <v>-</v>
      </c>
      <c r="I1509" s="24" t="str">
        <f>IFERROR(VLOOKUP(A1509,取得元!$A$2:$F$501,4,FALSE),"-")</f>
        <v>-</v>
      </c>
      <c r="J1509" s="5" t="str">
        <f>IFERROR(VLOOKUP(A1509,取得元!$A$2:$F$501,5,FALSE),"-")</f>
        <v>-</v>
      </c>
      <c r="K1509" s="25" t="str">
        <f>IFERROR(VLOOKUP(A1509,取得元!$A$2:$F$501,6,FALSE)/100,"-")</f>
        <v>-</v>
      </c>
      <c r="L1509" s="21" t="str">
        <f>_xll.RssMarket(A1509,"始値")</f>
        <v/>
      </c>
      <c r="M1509" s="4" t="e">
        <f t="shared" si="130"/>
        <v>#VALUE!</v>
      </c>
      <c r="N1509" s="21" t="str">
        <f>_xll.RssMarket(A1509,"高値")</f>
        <v/>
      </c>
      <c r="O1509" s="4" t="e">
        <f t="shared" si="131"/>
        <v>#VALUE!</v>
      </c>
      <c r="P1509" s="21" t="str">
        <f>_xll.RssMarket(A1509,"安値")</f>
        <v/>
      </c>
      <c r="Q1509" s="4" t="e">
        <f t="shared" si="132"/>
        <v>#VALUE!</v>
      </c>
      <c r="R1509" s="21" t="str">
        <f>_xll.RssMarket(A1509,"後場始値")</f>
        <v/>
      </c>
      <c r="S1509" s="25" t="str">
        <f t="shared" si="133"/>
        <v>-</v>
      </c>
      <c r="T1509" s="7" t="str">
        <f>_xll.RssMarket(A1509,"出来高加重平均")</f>
        <v/>
      </c>
      <c r="U1509" s="4" t="e">
        <f t="shared" si="134"/>
        <v>#VALUE!</v>
      </c>
      <c r="V1509" s="21" t="str">
        <f>_xll.RssMarket(A1509,"出来高")</f>
        <v/>
      </c>
      <c r="W1509" s="21" t="str">
        <f>_xll.RssMarket(A1509,"売買代金")</f>
        <v/>
      </c>
      <c r="X1509" s="20" t="str">
        <f>_xll.RssMarket(A1509,"決算発表日")</f>
        <v/>
      </c>
      <c r="Y1509" s="26" t="str">
        <f>IF(C1509&gt;_xll.RssMarket(A1509,"年初来高値"),"○","×")</f>
        <v>×</v>
      </c>
      <c r="Z1509" s="27" t="str">
        <f>IF(C1509&lt;=_xll.RssMarket(A1509,"年初来安値"),"○","×")</f>
        <v>○</v>
      </c>
    </row>
    <row r="1510" spans="2:26" x14ac:dyDescent="0.55000000000000004">
      <c r="B1510" s="20" t="str">
        <f>_xll.RssMarket(A1510,"銘柄名称")</f>
        <v/>
      </c>
      <c r="C1510" s="21" t="str">
        <f>_xll.RssMarket(A1510,"現在値")</f>
        <v/>
      </c>
      <c r="D1510" s="20" t="str">
        <f>_xll.RssMarket(A1510,"現在値詳細時刻")</f>
        <v/>
      </c>
      <c r="E1510" s="22" t="str">
        <f>_xll.RssMarket(A1510,"前日比")</f>
        <v/>
      </c>
      <c r="F1510" s="23" t="e">
        <f>_xll.RssMarket(A1510,"前日比率")/100</f>
        <v>#VALUE!</v>
      </c>
      <c r="G1510" s="24" t="str">
        <f>IFERROR(VLOOKUP(A1510,取得元!$A$2:$F$501,2,FALSE),"-")</f>
        <v>-</v>
      </c>
      <c r="H1510" s="24" t="str">
        <f>IFERROR(VLOOKUP(A1510,取得元!$A$2:$F$501,3,FALSE),"-")</f>
        <v>-</v>
      </c>
      <c r="I1510" s="24" t="str">
        <f>IFERROR(VLOOKUP(A1510,取得元!$A$2:$F$501,4,FALSE),"-")</f>
        <v>-</v>
      </c>
      <c r="J1510" s="5" t="str">
        <f>IFERROR(VLOOKUP(A1510,取得元!$A$2:$F$501,5,FALSE),"-")</f>
        <v>-</v>
      </c>
      <c r="K1510" s="25" t="str">
        <f>IFERROR(VLOOKUP(A1510,取得元!$A$2:$F$501,6,FALSE)/100,"-")</f>
        <v>-</v>
      </c>
      <c r="L1510" s="21" t="str">
        <f>_xll.RssMarket(A1510,"始値")</f>
        <v/>
      </c>
      <c r="M1510" s="4" t="e">
        <f t="shared" si="130"/>
        <v>#VALUE!</v>
      </c>
      <c r="N1510" s="21" t="str">
        <f>_xll.RssMarket(A1510,"高値")</f>
        <v/>
      </c>
      <c r="O1510" s="4" t="e">
        <f t="shared" si="131"/>
        <v>#VALUE!</v>
      </c>
      <c r="P1510" s="21" t="str">
        <f>_xll.RssMarket(A1510,"安値")</f>
        <v/>
      </c>
      <c r="Q1510" s="4" t="e">
        <f t="shared" si="132"/>
        <v>#VALUE!</v>
      </c>
      <c r="R1510" s="21" t="str">
        <f>_xll.RssMarket(A1510,"後場始値")</f>
        <v/>
      </c>
      <c r="S1510" s="25" t="str">
        <f t="shared" si="133"/>
        <v>-</v>
      </c>
      <c r="T1510" s="7" t="str">
        <f>_xll.RssMarket(A1510,"出来高加重平均")</f>
        <v/>
      </c>
      <c r="U1510" s="4" t="e">
        <f t="shared" si="134"/>
        <v>#VALUE!</v>
      </c>
      <c r="V1510" s="21" t="str">
        <f>_xll.RssMarket(A1510,"出来高")</f>
        <v/>
      </c>
      <c r="W1510" s="21" t="str">
        <f>_xll.RssMarket(A1510,"売買代金")</f>
        <v/>
      </c>
      <c r="X1510" s="20" t="str">
        <f>_xll.RssMarket(A1510,"決算発表日")</f>
        <v/>
      </c>
      <c r="Y1510" s="26" t="str">
        <f>IF(C1510&gt;_xll.RssMarket(A1510,"年初来高値"),"○","×")</f>
        <v>×</v>
      </c>
      <c r="Z1510" s="27" t="str">
        <f>IF(C1510&lt;=_xll.RssMarket(A1510,"年初来安値"),"○","×")</f>
        <v>○</v>
      </c>
    </row>
    <row r="1511" spans="2:26" x14ac:dyDescent="0.55000000000000004">
      <c r="B1511" s="20" t="str">
        <f>_xll.RssMarket(A1511,"銘柄名称")</f>
        <v/>
      </c>
      <c r="C1511" s="21" t="str">
        <f>_xll.RssMarket(A1511,"現在値")</f>
        <v/>
      </c>
      <c r="D1511" s="20" t="str">
        <f>_xll.RssMarket(A1511,"現在値詳細時刻")</f>
        <v/>
      </c>
      <c r="E1511" s="22" t="str">
        <f>_xll.RssMarket(A1511,"前日比")</f>
        <v/>
      </c>
      <c r="F1511" s="23" t="e">
        <f>_xll.RssMarket(A1511,"前日比率")/100</f>
        <v>#VALUE!</v>
      </c>
      <c r="G1511" s="24" t="str">
        <f>IFERROR(VLOOKUP(A1511,取得元!$A$2:$F$501,2,FALSE),"-")</f>
        <v>-</v>
      </c>
      <c r="H1511" s="24" t="str">
        <f>IFERROR(VLOOKUP(A1511,取得元!$A$2:$F$501,3,FALSE),"-")</f>
        <v>-</v>
      </c>
      <c r="I1511" s="24" t="str">
        <f>IFERROR(VLOOKUP(A1511,取得元!$A$2:$F$501,4,FALSE),"-")</f>
        <v>-</v>
      </c>
      <c r="J1511" s="5" t="str">
        <f>IFERROR(VLOOKUP(A1511,取得元!$A$2:$F$501,5,FALSE),"-")</f>
        <v>-</v>
      </c>
      <c r="K1511" s="25" t="str">
        <f>IFERROR(VLOOKUP(A1511,取得元!$A$2:$F$501,6,FALSE)/100,"-")</f>
        <v>-</v>
      </c>
      <c r="L1511" s="21" t="str">
        <f>_xll.RssMarket(A1511,"始値")</f>
        <v/>
      </c>
      <c r="M1511" s="4" t="e">
        <f t="shared" si="130"/>
        <v>#VALUE!</v>
      </c>
      <c r="N1511" s="21" t="str">
        <f>_xll.RssMarket(A1511,"高値")</f>
        <v/>
      </c>
      <c r="O1511" s="4" t="e">
        <f t="shared" si="131"/>
        <v>#VALUE!</v>
      </c>
      <c r="P1511" s="21" t="str">
        <f>_xll.RssMarket(A1511,"安値")</f>
        <v/>
      </c>
      <c r="Q1511" s="4" t="e">
        <f t="shared" si="132"/>
        <v>#VALUE!</v>
      </c>
      <c r="R1511" s="21" t="str">
        <f>_xll.RssMarket(A1511,"後場始値")</f>
        <v/>
      </c>
      <c r="S1511" s="25" t="str">
        <f t="shared" si="133"/>
        <v>-</v>
      </c>
      <c r="T1511" s="7" t="str">
        <f>_xll.RssMarket(A1511,"出来高加重平均")</f>
        <v/>
      </c>
      <c r="U1511" s="4" t="e">
        <f t="shared" si="134"/>
        <v>#VALUE!</v>
      </c>
      <c r="V1511" s="21" t="str">
        <f>_xll.RssMarket(A1511,"出来高")</f>
        <v/>
      </c>
      <c r="W1511" s="21" t="str">
        <f>_xll.RssMarket(A1511,"売買代金")</f>
        <v/>
      </c>
      <c r="X1511" s="20" t="str">
        <f>_xll.RssMarket(A1511,"決算発表日")</f>
        <v/>
      </c>
      <c r="Y1511" s="26" t="str">
        <f>IF(C1511&gt;_xll.RssMarket(A1511,"年初来高値"),"○","×")</f>
        <v>×</v>
      </c>
      <c r="Z1511" s="27" t="str">
        <f>IF(C1511&lt;=_xll.RssMarket(A1511,"年初来安値"),"○","×")</f>
        <v>○</v>
      </c>
    </row>
    <row r="1512" spans="2:26" x14ac:dyDescent="0.55000000000000004">
      <c r="B1512" s="20" t="str">
        <f>_xll.RssMarket(A1512,"銘柄名称")</f>
        <v/>
      </c>
      <c r="C1512" s="21" t="str">
        <f>_xll.RssMarket(A1512,"現在値")</f>
        <v/>
      </c>
      <c r="D1512" s="20" t="str">
        <f>_xll.RssMarket(A1512,"現在値詳細時刻")</f>
        <v/>
      </c>
      <c r="E1512" s="22" t="str">
        <f>_xll.RssMarket(A1512,"前日比")</f>
        <v/>
      </c>
      <c r="F1512" s="23" t="e">
        <f>_xll.RssMarket(A1512,"前日比率")/100</f>
        <v>#VALUE!</v>
      </c>
      <c r="G1512" s="24" t="str">
        <f>IFERROR(VLOOKUP(A1512,取得元!$A$2:$F$501,2,FALSE),"-")</f>
        <v>-</v>
      </c>
      <c r="H1512" s="24" t="str">
        <f>IFERROR(VLOOKUP(A1512,取得元!$A$2:$F$501,3,FALSE),"-")</f>
        <v>-</v>
      </c>
      <c r="I1512" s="24" t="str">
        <f>IFERROR(VLOOKUP(A1512,取得元!$A$2:$F$501,4,FALSE),"-")</f>
        <v>-</v>
      </c>
      <c r="J1512" s="5" t="str">
        <f>IFERROR(VLOOKUP(A1512,取得元!$A$2:$F$501,5,FALSE),"-")</f>
        <v>-</v>
      </c>
      <c r="K1512" s="25" t="str">
        <f>IFERROR(VLOOKUP(A1512,取得元!$A$2:$F$501,6,FALSE)/100,"-")</f>
        <v>-</v>
      </c>
      <c r="L1512" s="21" t="str">
        <f>_xll.RssMarket(A1512,"始値")</f>
        <v/>
      </c>
      <c r="M1512" s="4" t="e">
        <f t="shared" si="130"/>
        <v>#VALUE!</v>
      </c>
      <c r="N1512" s="21" t="str">
        <f>_xll.RssMarket(A1512,"高値")</f>
        <v/>
      </c>
      <c r="O1512" s="4" t="e">
        <f t="shared" si="131"/>
        <v>#VALUE!</v>
      </c>
      <c r="P1512" s="21" t="str">
        <f>_xll.RssMarket(A1512,"安値")</f>
        <v/>
      </c>
      <c r="Q1512" s="4" t="e">
        <f t="shared" si="132"/>
        <v>#VALUE!</v>
      </c>
      <c r="R1512" s="21" t="str">
        <f>_xll.RssMarket(A1512,"後場始値")</f>
        <v/>
      </c>
      <c r="S1512" s="25" t="str">
        <f t="shared" si="133"/>
        <v>-</v>
      </c>
      <c r="T1512" s="7" t="str">
        <f>_xll.RssMarket(A1512,"出来高加重平均")</f>
        <v/>
      </c>
      <c r="U1512" s="4" t="e">
        <f t="shared" si="134"/>
        <v>#VALUE!</v>
      </c>
      <c r="V1512" s="21" t="str">
        <f>_xll.RssMarket(A1512,"出来高")</f>
        <v/>
      </c>
      <c r="W1512" s="21" t="str">
        <f>_xll.RssMarket(A1512,"売買代金")</f>
        <v/>
      </c>
      <c r="X1512" s="20" t="str">
        <f>_xll.RssMarket(A1512,"決算発表日")</f>
        <v/>
      </c>
      <c r="Y1512" s="26" t="str">
        <f>IF(C1512&gt;_xll.RssMarket(A1512,"年初来高値"),"○","×")</f>
        <v>×</v>
      </c>
      <c r="Z1512" s="27" t="str">
        <f>IF(C1512&lt;=_xll.RssMarket(A1512,"年初来安値"),"○","×")</f>
        <v>○</v>
      </c>
    </row>
    <row r="1513" spans="2:26" x14ac:dyDescent="0.55000000000000004">
      <c r="B1513" s="20" t="str">
        <f>_xll.RssMarket(A1513,"銘柄名称")</f>
        <v/>
      </c>
      <c r="C1513" s="21" t="str">
        <f>_xll.RssMarket(A1513,"現在値")</f>
        <v/>
      </c>
      <c r="D1513" s="20" t="str">
        <f>_xll.RssMarket(A1513,"現在値詳細時刻")</f>
        <v/>
      </c>
      <c r="E1513" s="22" t="str">
        <f>_xll.RssMarket(A1513,"前日比")</f>
        <v/>
      </c>
      <c r="F1513" s="23" t="e">
        <f>_xll.RssMarket(A1513,"前日比率")/100</f>
        <v>#VALUE!</v>
      </c>
      <c r="G1513" s="24" t="str">
        <f>IFERROR(VLOOKUP(A1513,取得元!$A$2:$F$501,2,FALSE),"-")</f>
        <v>-</v>
      </c>
      <c r="H1513" s="24" t="str">
        <f>IFERROR(VLOOKUP(A1513,取得元!$A$2:$F$501,3,FALSE),"-")</f>
        <v>-</v>
      </c>
      <c r="I1513" s="24" t="str">
        <f>IFERROR(VLOOKUP(A1513,取得元!$A$2:$F$501,4,FALSE),"-")</f>
        <v>-</v>
      </c>
      <c r="J1513" s="5" t="str">
        <f>IFERROR(VLOOKUP(A1513,取得元!$A$2:$F$501,5,FALSE),"-")</f>
        <v>-</v>
      </c>
      <c r="K1513" s="25" t="str">
        <f>IFERROR(VLOOKUP(A1513,取得元!$A$2:$F$501,6,FALSE)/100,"-")</f>
        <v>-</v>
      </c>
      <c r="L1513" s="21" t="str">
        <f>_xll.RssMarket(A1513,"始値")</f>
        <v/>
      </c>
      <c r="M1513" s="4" t="e">
        <f t="shared" si="130"/>
        <v>#VALUE!</v>
      </c>
      <c r="N1513" s="21" t="str">
        <f>_xll.RssMarket(A1513,"高値")</f>
        <v/>
      </c>
      <c r="O1513" s="4" t="e">
        <f t="shared" si="131"/>
        <v>#VALUE!</v>
      </c>
      <c r="P1513" s="21" t="str">
        <f>_xll.RssMarket(A1513,"安値")</f>
        <v/>
      </c>
      <c r="Q1513" s="4" t="e">
        <f t="shared" si="132"/>
        <v>#VALUE!</v>
      </c>
      <c r="R1513" s="21" t="str">
        <f>_xll.RssMarket(A1513,"後場始値")</f>
        <v/>
      </c>
      <c r="S1513" s="25" t="str">
        <f t="shared" si="133"/>
        <v>-</v>
      </c>
      <c r="T1513" s="7" t="str">
        <f>_xll.RssMarket(A1513,"出来高加重平均")</f>
        <v/>
      </c>
      <c r="U1513" s="4" t="e">
        <f t="shared" si="134"/>
        <v>#VALUE!</v>
      </c>
      <c r="V1513" s="21" t="str">
        <f>_xll.RssMarket(A1513,"出来高")</f>
        <v/>
      </c>
      <c r="W1513" s="21" t="str">
        <f>_xll.RssMarket(A1513,"売買代金")</f>
        <v/>
      </c>
      <c r="X1513" s="20" t="str">
        <f>_xll.RssMarket(A1513,"決算発表日")</f>
        <v/>
      </c>
      <c r="Y1513" s="26" t="str">
        <f>IF(C1513&gt;_xll.RssMarket(A1513,"年初来高値"),"○","×")</f>
        <v>×</v>
      </c>
      <c r="Z1513" s="27" t="str">
        <f>IF(C1513&lt;=_xll.RssMarket(A1513,"年初来安値"),"○","×")</f>
        <v>○</v>
      </c>
    </row>
    <row r="1514" spans="2:26" x14ac:dyDescent="0.55000000000000004">
      <c r="B1514" s="20" t="str">
        <f>_xll.RssMarket(A1514,"銘柄名称")</f>
        <v/>
      </c>
      <c r="C1514" s="21" t="str">
        <f>_xll.RssMarket(A1514,"現在値")</f>
        <v/>
      </c>
      <c r="D1514" s="20" t="str">
        <f>_xll.RssMarket(A1514,"現在値詳細時刻")</f>
        <v/>
      </c>
      <c r="E1514" s="22" t="str">
        <f>_xll.RssMarket(A1514,"前日比")</f>
        <v/>
      </c>
      <c r="F1514" s="23" t="e">
        <f>_xll.RssMarket(A1514,"前日比率")/100</f>
        <v>#VALUE!</v>
      </c>
      <c r="G1514" s="24" t="str">
        <f>IFERROR(VLOOKUP(A1514,取得元!$A$2:$F$501,2,FALSE),"-")</f>
        <v>-</v>
      </c>
      <c r="H1514" s="24" t="str">
        <f>IFERROR(VLOOKUP(A1514,取得元!$A$2:$F$501,3,FALSE),"-")</f>
        <v>-</v>
      </c>
      <c r="I1514" s="24" t="str">
        <f>IFERROR(VLOOKUP(A1514,取得元!$A$2:$F$501,4,FALSE),"-")</f>
        <v>-</v>
      </c>
      <c r="J1514" s="5" t="str">
        <f>IFERROR(VLOOKUP(A1514,取得元!$A$2:$F$501,5,FALSE),"-")</f>
        <v>-</v>
      </c>
      <c r="K1514" s="25" t="str">
        <f>IFERROR(VLOOKUP(A1514,取得元!$A$2:$F$501,6,FALSE)/100,"-")</f>
        <v>-</v>
      </c>
      <c r="L1514" s="21" t="str">
        <f>_xll.RssMarket(A1514,"始値")</f>
        <v/>
      </c>
      <c r="M1514" s="4" t="e">
        <f t="shared" si="130"/>
        <v>#VALUE!</v>
      </c>
      <c r="N1514" s="21" t="str">
        <f>_xll.RssMarket(A1514,"高値")</f>
        <v/>
      </c>
      <c r="O1514" s="4" t="e">
        <f t="shared" si="131"/>
        <v>#VALUE!</v>
      </c>
      <c r="P1514" s="21" t="str">
        <f>_xll.RssMarket(A1514,"安値")</f>
        <v/>
      </c>
      <c r="Q1514" s="4" t="e">
        <f t="shared" si="132"/>
        <v>#VALUE!</v>
      </c>
      <c r="R1514" s="21" t="str">
        <f>_xll.RssMarket(A1514,"後場始値")</f>
        <v/>
      </c>
      <c r="S1514" s="25" t="str">
        <f t="shared" si="133"/>
        <v>-</v>
      </c>
      <c r="T1514" s="7" t="str">
        <f>_xll.RssMarket(A1514,"出来高加重平均")</f>
        <v/>
      </c>
      <c r="U1514" s="4" t="e">
        <f t="shared" si="134"/>
        <v>#VALUE!</v>
      </c>
      <c r="V1514" s="21" t="str">
        <f>_xll.RssMarket(A1514,"出来高")</f>
        <v/>
      </c>
      <c r="W1514" s="21" t="str">
        <f>_xll.RssMarket(A1514,"売買代金")</f>
        <v/>
      </c>
      <c r="X1514" s="20" t="str">
        <f>_xll.RssMarket(A1514,"決算発表日")</f>
        <v/>
      </c>
      <c r="Y1514" s="26" t="str">
        <f>IF(C1514&gt;_xll.RssMarket(A1514,"年初来高値"),"○","×")</f>
        <v>×</v>
      </c>
      <c r="Z1514" s="27" t="str">
        <f>IF(C1514&lt;=_xll.RssMarket(A1514,"年初来安値"),"○","×")</f>
        <v>○</v>
      </c>
    </row>
    <row r="1515" spans="2:26" x14ac:dyDescent="0.55000000000000004">
      <c r="B1515" s="20" t="str">
        <f>_xll.RssMarket(A1515,"銘柄名称")</f>
        <v/>
      </c>
      <c r="C1515" s="21" t="str">
        <f>_xll.RssMarket(A1515,"現在値")</f>
        <v/>
      </c>
      <c r="D1515" s="20" t="str">
        <f>_xll.RssMarket(A1515,"現在値詳細時刻")</f>
        <v/>
      </c>
      <c r="E1515" s="22" t="str">
        <f>_xll.RssMarket(A1515,"前日比")</f>
        <v/>
      </c>
      <c r="F1515" s="23" t="e">
        <f>_xll.RssMarket(A1515,"前日比率")/100</f>
        <v>#VALUE!</v>
      </c>
      <c r="G1515" s="24" t="str">
        <f>IFERROR(VLOOKUP(A1515,取得元!$A$2:$F$501,2,FALSE),"-")</f>
        <v>-</v>
      </c>
      <c r="H1515" s="24" t="str">
        <f>IFERROR(VLOOKUP(A1515,取得元!$A$2:$F$501,3,FALSE),"-")</f>
        <v>-</v>
      </c>
      <c r="I1515" s="24" t="str">
        <f>IFERROR(VLOOKUP(A1515,取得元!$A$2:$F$501,4,FALSE),"-")</f>
        <v>-</v>
      </c>
      <c r="J1515" s="5" t="str">
        <f>IFERROR(VLOOKUP(A1515,取得元!$A$2:$F$501,5,FALSE),"-")</f>
        <v>-</v>
      </c>
      <c r="K1515" s="25" t="str">
        <f>IFERROR(VLOOKUP(A1515,取得元!$A$2:$F$501,6,FALSE)/100,"-")</f>
        <v>-</v>
      </c>
      <c r="L1515" s="21" t="str">
        <f>_xll.RssMarket(A1515,"始値")</f>
        <v/>
      </c>
      <c r="M1515" s="4" t="e">
        <f t="shared" si="130"/>
        <v>#VALUE!</v>
      </c>
      <c r="N1515" s="21" t="str">
        <f>_xll.RssMarket(A1515,"高値")</f>
        <v/>
      </c>
      <c r="O1515" s="4" t="e">
        <f t="shared" si="131"/>
        <v>#VALUE!</v>
      </c>
      <c r="P1515" s="21" t="str">
        <f>_xll.RssMarket(A1515,"安値")</f>
        <v/>
      </c>
      <c r="Q1515" s="4" t="e">
        <f t="shared" si="132"/>
        <v>#VALUE!</v>
      </c>
      <c r="R1515" s="21" t="str">
        <f>_xll.RssMarket(A1515,"後場始値")</f>
        <v/>
      </c>
      <c r="S1515" s="25" t="str">
        <f t="shared" si="133"/>
        <v>-</v>
      </c>
      <c r="T1515" s="7" t="str">
        <f>_xll.RssMarket(A1515,"出来高加重平均")</f>
        <v/>
      </c>
      <c r="U1515" s="4" t="e">
        <f t="shared" si="134"/>
        <v>#VALUE!</v>
      </c>
      <c r="V1515" s="21" t="str">
        <f>_xll.RssMarket(A1515,"出来高")</f>
        <v/>
      </c>
      <c r="W1515" s="21" t="str">
        <f>_xll.RssMarket(A1515,"売買代金")</f>
        <v/>
      </c>
      <c r="X1515" s="20" t="str">
        <f>_xll.RssMarket(A1515,"決算発表日")</f>
        <v/>
      </c>
      <c r="Y1515" s="26" t="str">
        <f>IF(C1515&gt;_xll.RssMarket(A1515,"年初来高値"),"○","×")</f>
        <v>×</v>
      </c>
      <c r="Z1515" s="27" t="str">
        <f>IF(C1515&lt;=_xll.RssMarket(A1515,"年初来安値"),"○","×")</f>
        <v>○</v>
      </c>
    </row>
    <row r="1516" spans="2:26" x14ac:dyDescent="0.55000000000000004">
      <c r="B1516" s="20" t="str">
        <f>_xll.RssMarket(A1516,"銘柄名称")</f>
        <v/>
      </c>
      <c r="C1516" s="21" t="str">
        <f>_xll.RssMarket(A1516,"現在値")</f>
        <v/>
      </c>
      <c r="D1516" s="20" t="str">
        <f>_xll.RssMarket(A1516,"現在値詳細時刻")</f>
        <v/>
      </c>
      <c r="E1516" s="22" t="str">
        <f>_xll.RssMarket(A1516,"前日比")</f>
        <v/>
      </c>
      <c r="F1516" s="23" t="e">
        <f>_xll.RssMarket(A1516,"前日比率")/100</f>
        <v>#VALUE!</v>
      </c>
      <c r="G1516" s="24" t="str">
        <f>IFERROR(VLOOKUP(A1516,取得元!$A$2:$F$501,2,FALSE),"-")</f>
        <v>-</v>
      </c>
      <c r="H1516" s="24" t="str">
        <f>IFERROR(VLOOKUP(A1516,取得元!$A$2:$F$501,3,FALSE),"-")</f>
        <v>-</v>
      </c>
      <c r="I1516" s="24" t="str">
        <f>IFERROR(VLOOKUP(A1516,取得元!$A$2:$F$501,4,FALSE),"-")</f>
        <v>-</v>
      </c>
      <c r="J1516" s="5" t="str">
        <f>IFERROR(VLOOKUP(A1516,取得元!$A$2:$F$501,5,FALSE),"-")</f>
        <v>-</v>
      </c>
      <c r="K1516" s="25" t="str">
        <f>IFERROR(VLOOKUP(A1516,取得元!$A$2:$F$501,6,FALSE)/100,"-")</f>
        <v>-</v>
      </c>
      <c r="L1516" s="21" t="str">
        <f>_xll.RssMarket(A1516,"始値")</f>
        <v/>
      </c>
      <c r="M1516" s="4" t="e">
        <f t="shared" si="130"/>
        <v>#VALUE!</v>
      </c>
      <c r="N1516" s="21" t="str">
        <f>_xll.RssMarket(A1516,"高値")</f>
        <v/>
      </c>
      <c r="O1516" s="4" t="e">
        <f t="shared" si="131"/>
        <v>#VALUE!</v>
      </c>
      <c r="P1516" s="21" t="str">
        <f>_xll.RssMarket(A1516,"安値")</f>
        <v/>
      </c>
      <c r="Q1516" s="4" t="e">
        <f t="shared" si="132"/>
        <v>#VALUE!</v>
      </c>
      <c r="R1516" s="21" t="str">
        <f>_xll.RssMarket(A1516,"後場始値")</f>
        <v/>
      </c>
      <c r="S1516" s="25" t="str">
        <f t="shared" si="133"/>
        <v>-</v>
      </c>
      <c r="T1516" s="7" t="str">
        <f>_xll.RssMarket(A1516,"出来高加重平均")</f>
        <v/>
      </c>
      <c r="U1516" s="4" t="e">
        <f t="shared" si="134"/>
        <v>#VALUE!</v>
      </c>
      <c r="V1516" s="21" t="str">
        <f>_xll.RssMarket(A1516,"出来高")</f>
        <v/>
      </c>
      <c r="W1516" s="21" t="str">
        <f>_xll.RssMarket(A1516,"売買代金")</f>
        <v/>
      </c>
      <c r="X1516" s="20" t="str">
        <f>_xll.RssMarket(A1516,"決算発表日")</f>
        <v/>
      </c>
      <c r="Y1516" s="26" t="str">
        <f>IF(C1516&gt;_xll.RssMarket(A1516,"年初来高値"),"○","×")</f>
        <v>×</v>
      </c>
      <c r="Z1516" s="27" t="str">
        <f>IF(C1516&lt;=_xll.RssMarket(A1516,"年初来安値"),"○","×")</f>
        <v>○</v>
      </c>
    </row>
    <row r="1517" spans="2:26" x14ac:dyDescent="0.55000000000000004">
      <c r="B1517" s="20" t="str">
        <f>_xll.RssMarket(A1517,"銘柄名称")</f>
        <v/>
      </c>
      <c r="C1517" s="21" t="str">
        <f>_xll.RssMarket(A1517,"現在値")</f>
        <v/>
      </c>
      <c r="D1517" s="20" t="str">
        <f>_xll.RssMarket(A1517,"現在値詳細時刻")</f>
        <v/>
      </c>
      <c r="E1517" s="22" t="str">
        <f>_xll.RssMarket(A1517,"前日比")</f>
        <v/>
      </c>
      <c r="F1517" s="23" t="e">
        <f>_xll.RssMarket(A1517,"前日比率")/100</f>
        <v>#VALUE!</v>
      </c>
      <c r="G1517" s="24" t="str">
        <f>IFERROR(VLOOKUP(A1517,取得元!$A$2:$F$501,2,FALSE),"-")</f>
        <v>-</v>
      </c>
      <c r="H1517" s="24" t="str">
        <f>IFERROR(VLOOKUP(A1517,取得元!$A$2:$F$501,3,FALSE),"-")</f>
        <v>-</v>
      </c>
      <c r="I1517" s="24" t="str">
        <f>IFERROR(VLOOKUP(A1517,取得元!$A$2:$F$501,4,FALSE),"-")</f>
        <v>-</v>
      </c>
      <c r="J1517" s="5" t="str">
        <f>IFERROR(VLOOKUP(A1517,取得元!$A$2:$F$501,5,FALSE),"-")</f>
        <v>-</v>
      </c>
      <c r="K1517" s="25" t="str">
        <f>IFERROR(VLOOKUP(A1517,取得元!$A$2:$F$501,6,FALSE)/100,"-")</f>
        <v>-</v>
      </c>
      <c r="L1517" s="21" t="str">
        <f>_xll.RssMarket(A1517,"始値")</f>
        <v/>
      </c>
      <c r="M1517" s="4" t="e">
        <f t="shared" si="130"/>
        <v>#VALUE!</v>
      </c>
      <c r="N1517" s="21" t="str">
        <f>_xll.RssMarket(A1517,"高値")</f>
        <v/>
      </c>
      <c r="O1517" s="4" t="e">
        <f t="shared" si="131"/>
        <v>#VALUE!</v>
      </c>
      <c r="P1517" s="21" t="str">
        <f>_xll.RssMarket(A1517,"安値")</f>
        <v/>
      </c>
      <c r="Q1517" s="4" t="e">
        <f t="shared" si="132"/>
        <v>#VALUE!</v>
      </c>
      <c r="R1517" s="21" t="str">
        <f>_xll.RssMarket(A1517,"後場始値")</f>
        <v/>
      </c>
      <c r="S1517" s="25" t="str">
        <f t="shared" si="133"/>
        <v>-</v>
      </c>
      <c r="T1517" s="7" t="str">
        <f>_xll.RssMarket(A1517,"出来高加重平均")</f>
        <v/>
      </c>
      <c r="U1517" s="4" t="e">
        <f t="shared" si="134"/>
        <v>#VALUE!</v>
      </c>
      <c r="V1517" s="21" t="str">
        <f>_xll.RssMarket(A1517,"出来高")</f>
        <v/>
      </c>
      <c r="W1517" s="21" t="str">
        <f>_xll.RssMarket(A1517,"売買代金")</f>
        <v/>
      </c>
      <c r="X1517" s="20" t="str">
        <f>_xll.RssMarket(A1517,"決算発表日")</f>
        <v/>
      </c>
      <c r="Y1517" s="26" t="str">
        <f>IF(C1517&gt;_xll.RssMarket(A1517,"年初来高値"),"○","×")</f>
        <v>×</v>
      </c>
      <c r="Z1517" s="27" t="str">
        <f>IF(C1517&lt;=_xll.RssMarket(A1517,"年初来安値"),"○","×")</f>
        <v>○</v>
      </c>
    </row>
    <row r="1518" spans="2:26" x14ac:dyDescent="0.55000000000000004">
      <c r="B1518" s="20" t="str">
        <f>_xll.RssMarket(A1518,"銘柄名称")</f>
        <v/>
      </c>
      <c r="C1518" s="21" t="str">
        <f>_xll.RssMarket(A1518,"現在値")</f>
        <v/>
      </c>
      <c r="D1518" s="20" t="str">
        <f>_xll.RssMarket(A1518,"現在値詳細時刻")</f>
        <v/>
      </c>
      <c r="E1518" s="22" t="str">
        <f>_xll.RssMarket(A1518,"前日比")</f>
        <v/>
      </c>
      <c r="F1518" s="23" t="e">
        <f>_xll.RssMarket(A1518,"前日比率")/100</f>
        <v>#VALUE!</v>
      </c>
      <c r="G1518" s="24" t="str">
        <f>IFERROR(VLOOKUP(A1518,取得元!$A$2:$F$501,2,FALSE),"-")</f>
        <v>-</v>
      </c>
      <c r="H1518" s="24" t="str">
        <f>IFERROR(VLOOKUP(A1518,取得元!$A$2:$F$501,3,FALSE),"-")</f>
        <v>-</v>
      </c>
      <c r="I1518" s="24" t="str">
        <f>IFERROR(VLOOKUP(A1518,取得元!$A$2:$F$501,4,FALSE),"-")</f>
        <v>-</v>
      </c>
      <c r="J1518" s="5" t="str">
        <f>IFERROR(VLOOKUP(A1518,取得元!$A$2:$F$501,5,FALSE),"-")</f>
        <v>-</v>
      </c>
      <c r="K1518" s="25" t="str">
        <f>IFERROR(VLOOKUP(A1518,取得元!$A$2:$F$501,6,FALSE)/100,"-")</f>
        <v>-</v>
      </c>
      <c r="L1518" s="21" t="str">
        <f>_xll.RssMarket(A1518,"始値")</f>
        <v/>
      </c>
      <c r="M1518" s="4" t="e">
        <f t="shared" si="130"/>
        <v>#VALUE!</v>
      </c>
      <c r="N1518" s="21" t="str">
        <f>_xll.RssMarket(A1518,"高値")</f>
        <v/>
      </c>
      <c r="O1518" s="4" t="e">
        <f t="shared" si="131"/>
        <v>#VALUE!</v>
      </c>
      <c r="P1518" s="21" t="str">
        <f>_xll.RssMarket(A1518,"安値")</f>
        <v/>
      </c>
      <c r="Q1518" s="4" t="e">
        <f t="shared" si="132"/>
        <v>#VALUE!</v>
      </c>
      <c r="R1518" s="21" t="str">
        <f>_xll.RssMarket(A1518,"後場始値")</f>
        <v/>
      </c>
      <c r="S1518" s="25" t="str">
        <f t="shared" si="133"/>
        <v>-</v>
      </c>
      <c r="T1518" s="7" t="str">
        <f>_xll.RssMarket(A1518,"出来高加重平均")</f>
        <v/>
      </c>
      <c r="U1518" s="4" t="e">
        <f t="shared" si="134"/>
        <v>#VALUE!</v>
      </c>
      <c r="V1518" s="21" t="str">
        <f>_xll.RssMarket(A1518,"出来高")</f>
        <v/>
      </c>
      <c r="W1518" s="21" t="str">
        <f>_xll.RssMarket(A1518,"売買代金")</f>
        <v/>
      </c>
      <c r="X1518" s="20" t="str">
        <f>_xll.RssMarket(A1518,"決算発表日")</f>
        <v/>
      </c>
      <c r="Y1518" s="26" t="str">
        <f>IF(C1518&gt;_xll.RssMarket(A1518,"年初来高値"),"○","×")</f>
        <v>×</v>
      </c>
      <c r="Z1518" s="27" t="str">
        <f>IF(C1518&lt;=_xll.RssMarket(A1518,"年初来安値"),"○","×")</f>
        <v>○</v>
      </c>
    </row>
    <row r="1519" spans="2:26" x14ac:dyDescent="0.55000000000000004">
      <c r="B1519" s="20" t="str">
        <f>_xll.RssMarket(A1519,"銘柄名称")</f>
        <v/>
      </c>
      <c r="C1519" s="21" t="str">
        <f>_xll.RssMarket(A1519,"現在値")</f>
        <v/>
      </c>
      <c r="D1519" s="20" t="str">
        <f>_xll.RssMarket(A1519,"現在値詳細時刻")</f>
        <v/>
      </c>
      <c r="E1519" s="22" t="str">
        <f>_xll.RssMarket(A1519,"前日比")</f>
        <v/>
      </c>
      <c r="F1519" s="23" t="e">
        <f>_xll.RssMarket(A1519,"前日比率")/100</f>
        <v>#VALUE!</v>
      </c>
      <c r="G1519" s="24" t="str">
        <f>IFERROR(VLOOKUP(A1519,取得元!$A$2:$F$501,2,FALSE),"-")</f>
        <v>-</v>
      </c>
      <c r="H1519" s="24" t="str">
        <f>IFERROR(VLOOKUP(A1519,取得元!$A$2:$F$501,3,FALSE),"-")</f>
        <v>-</v>
      </c>
      <c r="I1519" s="24" t="str">
        <f>IFERROR(VLOOKUP(A1519,取得元!$A$2:$F$501,4,FALSE),"-")</f>
        <v>-</v>
      </c>
      <c r="J1519" s="5" t="str">
        <f>IFERROR(VLOOKUP(A1519,取得元!$A$2:$F$501,5,FALSE),"-")</f>
        <v>-</v>
      </c>
      <c r="K1519" s="25" t="str">
        <f>IFERROR(VLOOKUP(A1519,取得元!$A$2:$F$501,6,FALSE)/100,"-")</f>
        <v>-</v>
      </c>
      <c r="L1519" s="21" t="str">
        <f>_xll.RssMarket(A1519,"始値")</f>
        <v/>
      </c>
      <c r="M1519" s="4" t="e">
        <f t="shared" si="130"/>
        <v>#VALUE!</v>
      </c>
      <c r="N1519" s="21" t="str">
        <f>_xll.RssMarket(A1519,"高値")</f>
        <v/>
      </c>
      <c r="O1519" s="4" t="e">
        <f t="shared" si="131"/>
        <v>#VALUE!</v>
      </c>
      <c r="P1519" s="21" t="str">
        <f>_xll.RssMarket(A1519,"安値")</f>
        <v/>
      </c>
      <c r="Q1519" s="4" t="e">
        <f t="shared" si="132"/>
        <v>#VALUE!</v>
      </c>
      <c r="R1519" s="21" t="str">
        <f>_xll.RssMarket(A1519,"後場始値")</f>
        <v/>
      </c>
      <c r="S1519" s="25" t="str">
        <f t="shared" si="133"/>
        <v>-</v>
      </c>
      <c r="T1519" s="7" t="str">
        <f>_xll.RssMarket(A1519,"出来高加重平均")</f>
        <v/>
      </c>
      <c r="U1519" s="4" t="e">
        <f t="shared" si="134"/>
        <v>#VALUE!</v>
      </c>
      <c r="V1519" s="21" t="str">
        <f>_xll.RssMarket(A1519,"出来高")</f>
        <v/>
      </c>
      <c r="W1519" s="21" t="str">
        <f>_xll.RssMarket(A1519,"売買代金")</f>
        <v/>
      </c>
      <c r="X1519" s="20" t="str">
        <f>_xll.RssMarket(A1519,"決算発表日")</f>
        <v/>
      </c>
      <c r="Y1519" s="26" t="str">
        <f>IF(C1519&gt;_xll.RssMarket(A1519,"年初来高値"),"○","×")</f>
        <v>×</v>
      </c>
      <c r="Z1519" s="27" t="str">
        <f>IF(C1519&lt;=_xll.RssMarket(A1519,"年初来安値"),"○","×")</f>
        <v>○</v>
      </c>
    </row>
    <row r="1520" spans="2:26" x14ac:dyDescent="0.55000000000000004">
      <c r="B1520" s="20" t="str">
        <f>_xll.RssMarket(A1520,"銘柄名称")</f>
        <v/>
      </c>
      <c r="C1520" s="21" t="str">
        <f>_xll.RssMarket(A1520,"現在値")</f>
        <v/>
      </c>
      <c r="D1520" s="20" t="str">
        <f>_xll.RssMarket(A1520,"現在値詳細時刻")</f>
        <v/>
      </c>
      <c r="E1520" s="22" t="str">
        <f>_xll.RssMarket(A1520,"前日比")</f>
        <v/>
      </c>
      <c r="F1520" s="23" t="e">
        <f>_xll.RssMarket(A1520,"前日比率")/100</f>
        <v>#VALUE!</v>
      </c>
      <c r="G1520" s="24" t="str">
        <f>IFERROR(VLOOKUP(A1520,取得元!$A$2:$F$501,2,FALSE),"-")</f>
        <v>-</v>
      </c>
      <c r="H1520" s="24" t="str">
        <f>IFERROR(VLOOKUP(A1520,取得元!$A$2:$F$501,3,FALSE),"-")</f>
        <v>-</v>
      </c>
      <c r="I1520" s="24" t="str">
        <f>IFERROR(VLOOKUP(A1520,取得元!$A$2:$F$501,4,FALSE),"-")</f>
        <v>-</v>
      </c>
      <c r="J1520" s="5" t="str">
        <f>IFERROR(VLOOKUP(A1520,取得元!$A$2:$F$501,5,FALSE),"-")</f>
        <v>-</v>
      </c>
      <c r="K1520" s="25" t="str">
        <f>IFERROR(VLOOKUP(A1520,取得元!$A$2:$F$501,6,FALSE)/100,"-")</f>
        <v>-</v>
      </c>
      <c r="L1520" s="21" t="str">
        <f>_xll.RssMarket(A1520,"始値")</f>
        <v/>
      </c>
      <c r="M1520" s="4" t="e">
        <f t="shared" si="130"/>
        <v>#VALUE!</v>
      </c>
      <c r="N1520" s="21" t="str">
        <f>_xll.RssMarket(A1520,"高値")</f>
        <v/>
      </c>
      <c r="O1520" s="4" t="e">
        <f t="shared" si="131"/>
        <v>#VALUE!</v>
      </c>
      <c r="P1520" s="21" t="str">
        <f>_xll.RssMarket(A1520,"安値")</f>
        <v/>
      </c>
      <c r="Q1520" s="4" t="e">
        <f t="shared" si="132"/>
        <v>#VALUE!</v>
      </c>
      <c r="R1520" s="21" t="str">
        <f>_xll.RssMarket(A1520,"後場始値")</f>
        <v/>
      </c>
      <c r="S1520" s="25" t="str">
        <f t="shared" si="133"/>
        <v>-</v>
      </c>
      <c r="T1520" s="7" t="str">
        <f>_xll.RssMarket(A1520,"出来高加重平均")</f>
        <v/>
      </c>
      <c r="U1520" s="4" t="e">
        <f t="shared" si="134"/>
        <v>#VALUE!</v>
      </c>
      <c r="V1520" s="21" t="str">
        <f>_xll.RssMarket(A1520,"出来高")</f>
        <v/>
      </c>
      <c r="W1520" s="21" t="str">
        <f>_xll.RssMarket(A1520,"売買代金")</f>
        <v/>
      </c>
      <c r="X1520" s="20" t="str">
        <f>_xll.RssMarket(A1520,"決算発表日")</f>
        <v/>
      </c>
      <c r="Y1520" s="26" t="str">
        <f>IF(C1520&gt;_xll.RssMarket(A1520,"年初来高値"),"○","×")</f>
        <v>×</v>
      </c>
      <c r="Z1520" s="27" t="str">
        <f>IF(C1520&lt;=_xll.RssMarket(A1520,"年初来安値"),"○","×")</f>
        <v>○</v>
      </c>
    </row>
    <row r="1521" spans="2:26" x14ac:dyDescent="0.55000000000000004">
      <c r="B1521" s="20" t="str">
        <f>_xll.RssMarket(A1521,"銘柄名称")</f>
        <v/>
      </c>
      <c r="C1521" s="21" t="str">
        <f>_xll.RssMarket(A1521,"現在値")</f>
        <v/>
      </c>
      <c r="D1521" s="20" t="str">
        <f>_xll.RssMarket(A1521,"現在値詳細時刻")</f>
        <v/>
      </c>
      <c r="E1521" s="22" t="str">
        <f>_xll.RssMarket(A1521,"前日比")</f>
        <v/>
      </c>
      <c r="F1521" s="23" t="e">
        <f>_xll.RssMarket(A1521,"前日比率")/100</f>
        <v>#VALUE!</v>
      </c>
      <c r="G1521" s="24" t="str">
        <f>IFERROR(VLOOKUP(A1521,取得元!$A$2:$F$501,2,FALSE),"-")</f>
        <v>-</v>
      </c>
      <c r="H1521" s="24" t="str">
        <f>IFERROR(VLOOKUP(A1521,取得元!$A$2:$F$501,3,FALSE),"-")</f>
        <v>-</v>
      </c>
      <c r="I1521" s="24" t="str">
        <f>IFERROR(VLOOKUP(A1521,取得元!$A$2:$F$501,4,FALSE),"-")</f>
        <v>-</v>
      </c>
      <c r="J1521" s="5" t="str">
        <f>IFERROR(VLOOKUP(A1521,取得元!$A$2:$F$501,5,FALSE),"-")</f>
        <v>-</v>
      </c>
      <c r="K1521" s="25" t="str">
        <f>IFERROR(VLOOKUP(A1521,取得元!$A$2:$F$501,6,FALSE)/100,"-")</f>
        <v>-</v>
      </c>
      <c r="L1521" s="21" t="str">
        <f>_xll.RssMarket(A1521,"始値")</f>
        <v/>
      </c>
      <c r="M1521" s="4" t="e">
        <f t="shared" si="130"/>
        <v>#VALUE!</v>
      </c>
      <c r="N1521" s="21" t="str">
        <f>_xll.RssMarket(A1521,"高値")</f>
        <v/>
      </c>
      <c r="O1521" s="4" t="e">
        <f t="shared" si="131"/>
        <v>#VALUE!</v>
      </c>
      <c r="P1521" s="21" t="str">
        <f>_xll.RssMarket(A1521,"安値")</f>
        <v/>
      </c>
      <c r="Q1521" s="4" t="e">
        <f t="shared" si="132"/>
        <v>#VALUE!</v>
      </c>
      <c r="R1521" s="21" t="str">
        <f>_xll.RssMarket(A1521,"後場始値")</f>
        <v/>
      </c>
      <c r="S1521" s="25" t="str">
        <f t="shared" si="133"/>
        <v>-</v>
      </c>
      <c r="T1521" s="7" t="str">
        <f>_xll.RssMarket(A1521,"出来高加重平均")</f>
        <v/>
      </c>
      <c r="U1521" s="4" t="e">
        <f t="shared" si="134"/>
        <v>#VALUE!</v>
      </c>
      <c r="V1521" s="21" t="str">
        <f>_xll.RssMarket(A1521,"出来高")</f>
        <v/>
      </c>
      <c r="W1521" s="21" t="str">
        <f>_xll.RssMarket(A1521,"売買代金")</f>
        <v/>
      </c>
      <c r="X1521" s="20" t="str">
        <f>_xll.RssMarket(A1521,"決算発表日")</f>
        <v/>
      </c>
      <c r="Y1521" s="26" t="str">
        <f>IF(C1521&gt;_xll.RssMarket(A1521,"年初来高値"),"○","×")</f>
        <v>×</v>
      </c>
      <c r="Z1521" s="27" t="str">
        <f>IF(C1521&lt;=_xll.RssMarket(A1521,"年初来安値"),"○","×")</f>
        <v>○</v>
      </c>
    </row>
    <row r="1522" spans="2:26" x14ac:dyDescent="0.55000000000000004">
      <c r="B1522" s="20" t="str">
        <f>_xll.RssMarket(A1522,"銘柄名称")</f>
        <v/>
      </c>
      <c r="C1522" s="21" t="str">
        <f>_xll.RssMarket(A1522,"現在値")</f>
        <v/>
      </c>
      <c r="D1522" s="20" t="str">
        <f>_xll.RssMarket(A1522,"現在値詳細時刻")</f>
        <v/>
      </c>
      <c r="E1522" s="22" t="str">
        <f>_xll.RssMarket(A1522,"前日比")</f>
        <v/>
      </c>
      <c r="F1522" s="23" t="e">
        <f>_xll.RssMarket(A1522,"前日比率")/100</f>
        <v>#VALUE!</v>
      </c>
      <c r="G1522" s="24" t="str">
        <f>IFERROR(VLOOKUP(A1522,取得元!$A$2:$F$501,2,FALSE),"-")</f>
        <v>-</v>
      </c>
      <c r="H1522" s="24" t="str">
        <f>IFERROR(VLOOKUP(A1522,取得元!$A$2:$F$501,3,FALSE),"-")</f>
        <v>-</v>
      </c>
      <c r="I1522" s="24" t="str">
        <f>IFERROR(VLOOKUP(A1522,取得元!$A$2:$F$501,4,FALSE),"-")</f>
        <v>-</v>
      </c>
      <c r="J1522" s="5" t="str">
        <f>IFERROR(VLOOKUP(A1522,取得元!$A$2:$F$501,5,FALSE),"-")</f>
        <v>-</v>
      </c>
      <c r="K1522" s="25" t="str">
        <f>IFERROR(VLOOKUP(A1522,取得元!$A$2:$F$501,6,FALSE)/100,"-")</f>
        <v>-</v>
      </c>
      <c r="L1522" s="21" t="str">
        <f>_xll.RssMarket(A1522,"始値")</f>
        <v/>
      </c>
      <c r="M1522" s="4" t="e">
        <f t="shared" si="130"/>
        <v>#VALUE!</v>
      </c>
      <c r="N1522" s="21" t="str">
        <f>_xll.RssMarket(A1522,"高値")</f>
        <v/>
      </c>
      <c r="O1522" s="4" t="e">
        <f t="shared" si="131"/>
        <v>#VALUE!</v>
      </c>
      <c r="P1522" s="21" t="str">
        <f>_xll.RssMarket(A1522,"安値")</f>
        <v/>
      </c>
      <c r="Q1522" s="4" t="e">
        <f t="shared" si="132"/>
        <v>#VALUE!</v>
      </c>
      <c r="R1522" s="21" t="str">
        <f>_xll.RssMarket(A1522,"後場始値")</f>
        <v/>
      </c>
      <c r="S1522" s="25" t="str">
        <f t="shared" si="133"/>
        <v>-</v>
      </c>
      <c r="T1522" s="7" t="str">
        <f>_xll.RssMarket(A1522,"出来高加重平均")</f>
        <v/>
      </c>
      <c r="U1522" s="4" t="e">
        <f t="shared" si="134"/>
        <v>#VALUE!</v>
      </c>
      <c r="V1522" s="21" t="str">
        <f>_xll.RssMarket(A1522,"出来高")</f>
        <v/>
      </c>
      <c r="W1522" s="21" t="str">
        <f>_xll.RssMarket(A1522,"売買代金")</f>
        <v/>
      </c>
      <c r="X1522" s="20" t="str">
        <f>_xll.RssMarket(A1522,"決算発表日")</f>
        <v/>
      </c>
      <c r="Y1522" s="26" t="str">
        <f>IF(C1522&gt;_xll.RssMarket(A1522,"年初来高値"),"○","×")</f>
        <v>×</v>
      </c>
      <c r="Z1522" s="27" t="str">
        <f>IF(C1522&lt;=_xll.RssMarket(A1522,"年初来安値"),"○","×")</f>
        <v>○</v>
      </c>
    </row>
    <row r="1523" spans="2:26" x14ac:dyDescent="0.55000000000000004">
      <c r="B1523" s="20" t="str">
        <f>_xll.RssMarket(A1523,"銘柄名称")</f>
        <v/>
      </c>
      <c r="C1523" s="21" t="str">
        <f>_xll.RssMarket(A1523,"現在値")</f>
        <v/>
      </c>
      <c r="D1523" s="20" t="str">
        <f>_xll.RssMarket(A1523,"現在値詳細時刻")</f>
        <v/>
      </c>
      <c r="E1523" s="22" t="str">
        <f>_xll.RssMarket(A1523,"前日比")</f>
        <v/>
      </c>
      <c r="F1523" s="23" t="e">
        <f>_xll.RssMarket(A1523,"前日比率")/100</f>
        <v>#VALUE!</v>
      </c>
      <c r="G1523" s="24" t="str">
        <f>IFERROR(VLOOKUP(A1523,取得元!$A$2:$F$501,2,FALSE),"-")</f>
        <v>-</v>
      </c>
      <c r="H1523" s="24" t="str">
        <f>IFERROR(VLOOKUP(A1523,取得元!$A$2:$F$501,3,FALSE),"-")</f>
        <v>-</v>
      </c>
      <c r="I1523" s="24" t="str">
        <f>IFERROR(VLOOKUP(A1523,取得元!$A$2:$F$501,4,FALSE),"-")</f>
        <v>-</v>
      </c>
      <c r="J1523" s="5" t="str">
        <f>IFERROR(VLOOKUP(A1523,取得元!$A$2:$F$501,5,FALSE),"-")</f>
        <v>-</v>
      </c>
      <c r="K1523" s="25" t="str">
        <f>IFERROR(VLOOKUP(A1523,取得元!$A$2:$F$501,6,FALSE)/100,"-")</f>
        <v>-</v>
      </c>
      <c r="L1523" s="21" t="str">
        <f>_xll.RssMarket(A1523,"始値")</f>
        <v/>
      </c>
      <c r="M1523" s="4" t="e">
        <f t="shared" si="130"/>
        <v>#VALUE!</v>
      </c>
      <c r="N1523" s="21" t="str">
        <f>_xll.RssMarket(A1523,"高値")</f>
        <v/>
      </c>
      <c r="O1523" s="4" t="e">
        <f t="shared" si="131"/>
        <v>#VALUE!</v>
      </c>
      <c r="P1523" s="21" t="str">
        <f>_xll.RssMarket(A1523,"安値")</f>
        <v/>
      </c>
      <c r="Q1523" s="4" t="e">
        <f t="shared" si="132"/>
        <v>#VALUE!</v>
      </c>
      <c r="R1523" s="21" t="str">
        <f>_xll.RssMarket(A1523,"後場始値")</f>
        <v/>
      </c>
      <c r="S1523" s="25" t="str">
        <f t="shared" si="133"/>
        <v>-</v>
      </c>
      <c r="T1523" s="7" t="str">
        <f>_xll.RssMarket(A1523,"出来高加重平均")</f>
        <v/>
      </c>
      <c r="U1523" s="4" t="e">
        <f t="shared" si="134"/>
        <v>#VALUE!</v>
      </c>
      <c r="V1523" s="21" t="str">
        <f>_xll.RssMarket(A1523,"出来高")</f>
        <v/>
      </c>
      <c r="W1523" s="21" t="str">
        <f>_xll.RssMarket(A1523,"売買代金")</f>
        <v/>
      </c>
      <c r="X1523" s="20" t="str">
        <f>_xll.RssMarket(A1523,"決算発表日")</f>
        <v/>
      </c>
      <c r="Y1523" s="26" t="str">
        <f>IF(C1523&gt;_xll.RssMarket(A1523,"年初来高値"),"○","×")</f>
        <v>×</v>
      </c>
      <c r="Z1523" s="27" t="str">
        <f>IF(C1523&lt;=_xll.RssMarket(A1523,"年初来安値"),"○","×")</f>
        <v>○</v>
      </c>
    </row>
    <row r="1524" spans="2:26" x14ac:dyDescent="0.55000000000000004">
      <c r="B1524" s="20" t="str">
        <f>_xll.RssMarket(A1524,"銘柄名称")</f>
        <v/>
      </c>
      <c r="C1524" s="21" t="str">
        <f>_xll.RssMarket(A1524,"現在値")</f>
        <v/>
      </c>
      <c r="D1524" s="20" t="str">
        <f>_xll.RssMarket(A1524,"現在値詳細時刻")</f>
        <v/>
      </c>
      <c r="E1524" s="22" t="str">
        <f>_xll.RssMarket(A1524,"前日比")</f>
        <v/>
      </c>
      <c r="F1524" s="23" t="e">
        <f>_xll.RssMarket(A1524,"前日比率")/100</f>
        <v>#VALUE!</v>
      </c>
      <c r="G1524" s="24" t="str">
        <f>IFERROR(VLOOKUP(A1524,取得元!$A$2:$F$501,2,FALSE),"-")</f>
        <v>-</v>
      </c>
      <c r="H1524" s="24" t="str">
        <f>IFERROR(VLOOKUP(A1524,取得元!$A$2:$F$501,3,FALSE),"-")</f>
        <v>-</v>
      </c>
      <c r="I1524" s="24" t="str">
        <f>IFERROR(VLOOKUP(A1524,取得元!$A$2:$F$501,4,FALSE),"-")</f>
        <v>-</v>
      </c>
      <c r="J1524" s="5" t="str">
        <f>IFERROR(VLOOKUP(A1524,取得元!$A$2:$F$501,5,FALSE),"-")</f>
        <v>-</v>
      </c>
      <c r="K1524" s="25" t="str">
        <f>IFERROR(VLOOKUP(A1524,取得元!$A$2:$F$501,6,FALSE)/100,"-")</f>
        <v>-</v>
      </c>
      <c r="L1524" s="21" t="str">
        <f>_xll.RssMarket(A1524,"始値")</f>
        <v/>
      </c>
      <c r="M1524" s="4" t="e">
        <f t="shared" si="130"/>
        <v>#VALUE!</v>
      </c>
      <c r="N1524" s="21" t="str">
        <f>_xll.RssMarket(A1524,"高値")</f>
        <v/>
      </c>
      <c r="O1524" s="4" t="e">
        <f t="shared" si="131"/>
        <v>#VALUE!</v>
      </c>
      <c r="P1524" s="21" t="str">
        <f>_xll.RssMarket(A1524,"安値")</f>
        <v/>
      </c>
      <c r="Q1524" s="4" t="e">
        <f t="shared" si="132"/>
        <v>#VALUE!</v>
      </c>
      <c r="R1524" s="21" t="str">
        <f>_xll.RssMarket(A1524,"後場始値")</f>
        <v/>
      </c>
      <c r="S1524" s="25" t="str">
        <f t="shared" si="133"/>
        <v>-</v>
      </c>
      <c r="T1524" s="7" t="str">
        <f>_xll.RssMarket(A1524,"出来高加重平均")</f>
        <v/>
      </c>
      <c r="U1524" s="4" t="e">
        <f t="shared" si="134"/>
        <v>#VALUE!</v>
      </c>
      <c r="V1524" s="21" t="str">
        <f>_xll.RssMarket(A1524,"出来高")</f>
        <v/>
      </c>
      <c r="W1524" s="21" t="str">
        <f>_xll.RssMarket(A1524,"売買代金")</f>
        <v/>
      </c>
      <c r="X1524" s="20" t="str">
        <f>_xll.RssMarket(A1524,"決算発表日")</f>
        <v/>
      </c>
      <c r="Y1524" s="26" t="str">
        <f>IF(C1524&gt;_xll.RssMarket(A1524,"年初来高値"),"○","×")</f>
        <v>×</v>
      </c>
      <c r="Z1524" s="27" t="str">
        <f>IF(C1524&lt;=_xll.RssMarket(A1524,"年初来安値"),"○","×")</f>
        <v>○</v>
      </c>
    </row>
    <row r="1525" spans="2:26" x14ac:dyDescent="0.55000000000000004">
      <c r="B1525" s="20" t="str">
        <f>_xll.RssMarket(A1525,"銘柄名称")</f>
        <v/>
      </c>
      <c r="C1525" s="21" t="str">
        <f>_xll.RssMarket(A1525,"現在値")</f>
        <v/>
      </c>
      <c r="D1525" s="20" t="str">
        <f>_xll.RssMarket(A1525,"現在値詳細時刻")</f>
        <v/>
      </c>
      <c r="E1525" s="22" t="str">
        <f>_xll.RssMarket(A1525,"前日比")</f>
        <v/>
      </c>
      <c r="F1525" s="23" t="e">
        <f>_xll.RssMarket(A1525,"前日比率")/100</f>
        <v>#VALUE!</v>
      </c>
      <c r="G1525" s="24" t="str">
        <f>IFERROR(VLOOKUP(A1525,取得元!$A$2:$F$501,2,FALSE),"-")</f>
        <v>-</v>
      </c>
      <c r="H1525" s="24" t="str">
        <f>IFERROR(VLOOKUP(A1525,取得元!$A$2:$F$501,3,FALSE),"-")</f>
        <v>-</v>
      </c>
      <c r="I1525" s="24" t="str">
        <f>IFERROR(VLOOKUP(A1525,取得元!$A$2:$F$501,4,FALSE),"-")</f>
        <v>-</v>
      </c>
      <c r="J1525" s="5" t="str">
        <f>IFERROR(VLOOKUP(A1525,取得元!$A$2:$F$501,5,FALSE),"-")</f>
        <v>-</v>
      </c>
      <c r="K1525" s="25" t="str">
        <f>IFERROR(VLOOKUP(A1525,取得元!$A$2:$F$501,6,FALSE)/100,"-")</f>
        <v>-</v>
      </c>
      <c r="L1525" s="21" t="str">
        <f>_xll.RssMarket(A1525,"始値")</f>
        <v/>
      </c>
      <c r="M1525" s="4" t="e">
        <f t="shared" si="130"/>
        <v>#VALUE!</v>
      </c>
      <c r="N1525" s="21" t="str">
        <f>_xll.RssMarket(A1525,"高値")</f>
        <v/>
      </c>
      <c r="O1525" s="4" t="e">
        <f t="shared" si="131"/>
        <v>#VALUE!</v>
      </c>
      <c r="P1525" s="21" t="str">
        <f>_xll.RssMarket(A1525,"安値")</f>
        <v/>
      </c>
      <c r="Q1525" s="4" t="e">
        <f t="shared" si="132"/>
        <v>#VALUE!</v>
      </c>
      <c r="R1525" s="21" t="str">
        <f>_xll.RssMarket(A1525,"後場始値")</f>
        <v/>
      </c>
      <c r="S1525" s="25" t="str">
        <f t="shared" si="133"/>
        <v>-</v>
      </c>
      <c r="T1525" s="7" t="str">
        <f>_xll.RssMarket(A1525,"出来高加重平均")</f>
        <v/>
      </c>
      <c r="U1525" s="4" t="e">
        <f t="shared" si="134"/>
        <v>#VALUE!</v>
      </c>
      <c r="V1525" s="21" t="str">
        <f>_xll.RssMarket(A1525,"出来高")</f>
        <v/>
      </c>
      <c r="W1525" s="21" t="str">
        <f>_xll.RssMarket(A1525,"売買代金")</f>
        <v/>
      </c>
      <c r="X1525" s="20" t="str">
        <f>_xll.RssMarket(A1525,"決算発表日")</f>
        <v/>
      </c>
      <c r="Y1525" s="26" t="str">
        <f>IF(C1525&gt;_xll.RssMarket(A1525,"年初来高値"),"○","×")</f>
        <v>×</v>
      </c>
      <c r="Z1525" s="27" t="str">
        <f>IF(C1525&lt;=_xll.RssMarket(A1525,"年初来安値"),"○","×")</f>
        <v>○</v>
      </c>
    </row>
    <row r="1526" spans="2:26" x14ac:dyDescent="0.55000000000000004">
      <c r="B1526" s="20" t="str">
        <f>_xll.RssMarket(A1526,"銘柄名称")</f>
        <v/>
      </c>
      <c r="C1526" s="21" t="str">
        <f>_xll.RssMarket(A1526,"現在値")</f>
        <v/>
      </c>
      <c r="D1526" s="20" t="str">
        <f>_xll.RssMarket(A1526,"現在値詳細時刻")</f>
        <v/>
      </c>
      <c r="E1526" s="22" t="str">
        <f>_xll.RssMarket(A1526,"前日比")</f>
        <v/>
      </c>
      <c r="F1526" s="23" t="e">
        <f>_xll.RssMarket(A1526,"前日比率")/100</f>
        <v>#VALUE!</v>
      </c>
      <c r="G1526" s="24" t="str">
        <f>IFERROR(VLOOKUP(A1526,取得元!$A$2:$F$501,2,FALSE),"-")</f>
        <v>-</v>
      </c>
      <c r="H1526" s="24" t="str">
        <f>IFERROR(VLOOKUP(A1526,取得元!$A$2:$F$501,3,FALSE),"-")</f>
        <v>-</v>
      </c>
      <c r="I1526" s="24" t="str">
        <f>IFERROR(VLOOKUP(A1526,取得元!$A$2:$F$501,4,FALSE),"-")</f>
        <v>-</v>
      </c>
      <c r="J1526" s="5" t="str">
        <f>IFERROR(VLOOKUP(A1526,取得元!$A$2:$F$501,5,FALSE),"-")</f>
        <v>-</v>
      </c>
      <c r="K1526" s="25" t="str">
        <f>IFERROR(VLOOKUP(A1526,取得元!$A$2:$F$501,6,FALSE)/100,"-")</f>
        <v>-</v>
      </c>
      <c r="L1526" s="21" t="str">
        <f>_xll.RssMarket(A1526,"始値")</f>
        <v/>
      </c>
      <c r="M1526" s="4" t="e">
        <f t="shared" si="130"/>
        <v>#VALUE!</v>
      </c>
      <c r="N1526" s="21" t="str">
        <f>_xll.RssMarket(A1526,"高値")</f>
        <v/>
      </c>
      <c r="O1526" s="4" t="e">
        <f t="shared" si="131"/>
        <v>#VALUE!</v>
      </c>
      <c r="P1526" s="21" t="str">
        <f>_xll.RssMarket(A1526,"安値")</f>
        <v/>
      </c>
      <c r="Q1526" s="4" t="e">
        <f t="shared" si="132"/>
        <v>#VALUE!</v>
      </c>
      <c r="R1526" s="21" t="str">
        <f>_xll.RssMarket(A1526,"後場始値")</f>
        <v/>
      </c>
      <c r="S1526" s="25" t="str">
        <f t="shared" si="133"/>
        <v>-</v>
      </c>
      <c r="T1526" s="7" t="str">
        <f>_xll.RssMarket(A1526,"出来高加重平均")</f>
        <v/>
      </c>
      <c r="U1526" s="4" t="e">
        <f t="shared" si="134"/>
        <v>#VALUE!</v>
      </c>
      <c r="V1526" s="21" t="str">
        <f>_xll.RssMarket(A1526,"出来高")</f>
        <v/>
      </c>
      <c r="W1526" s="21" t="str">
        <f>_xll.RssMarket(A1526,"売買代金")</f>
        <v/>
      </c>
      <c r="X1526" s="20" t="str">
        <f>_xll.RssMarket(A1526,"決算発表日")</f>
        <v/>
      </c>
      <c r="Y1526" s="26" t="str">
        <f>IF(C1526&gt;_xll.RssMarket(A1526,"年初来高値"),"○","×")</f>
        <v>×</v>
      </c>
      <c r="Z1526" s="27" t="str">
        <f>IF(C1526&lt;=_xll.RssMarket(A1526,"年初来安値"),"○","×")</f>
        <v>○</v>
      </c>
    </row>
    <row r="1527" spans="2:26" x14ac:dyDescent="0.55000000000000004">
      <c r="B1527" s="20" t="str">
        <f>_xll.RssMarket(A1527,"銘柄名称")</f>
        <v/>
      </c>
      <c r="C1527" s="21" t="str">
        <f>_xll.RssMarket(A1527,"現在値")</f>
        <v/>
      </c>
      <c r="D1527" s="20" t="str">
        <f>_xll.RssMarket(A1527,"現在値詳細時刻")</f>
        <v/>
      </c>
      <c r="E1527" s="22" t="str">
        <f>_xll.RssMarket(A1527,"前日比")</f>
        <v/>
      </c>
      <c r="F1527" s="23" t="e">
        <f>_xll.RssMarket(A1527,"前日比率")/100</f>
        <v>#VALUE!</v>
      </c>
      <c r="G1527" s="24" t="str">
        <f>IFERROR(VLOOKUP(A1527,取得元!$A$2:$F$501,2,FALSE),"-")</f>
        <v>-</v>
      </c>
      <c r="H1527" s="24" t="str">
        <f>IFERROR(VLOOKUP(A1527,取得元!$A$2:$F$501,3,FALSE),"-")</f>
        <v>-</v>
      </c>
      <c r="I1527" s="24" t="str">
        <f>IFERROR(VLOOKUP(A1527,取得元!$A$2:$F$501,4,FALSE),"-")</f>
        <v>-</v>
      </c>
      <c r="J1527" s="5" t="str">
        <f>IFERROR(VLOOKUP(A1527,取得元!$A$2:$F$501,5,FALSE),"-")</f>
        <v>-</v>
      </c>
      <c r="K1527" s="25" t="str">
        <f>IFERROR(VLOOKUP(A1527,取得元!$A$2:$F$501,6,FALSE)/100,"-")</f>
        <v>-</v>
      </c>
      <c r="L1527" s="21" t="str">
        <f>_xll.RssMarket(A1527,"始値")</f>
        <v/>
      </c>
      <c r="M1527" s="4" t="e">
        <f t="shared" si="130"/>
        <v>#VALUE!</v>
      </c>
      <c r="N1527" s="21" t="str">
        <f>_xll.RssMarket(A1527,"高値")</f>
        <v/>
      </c>
      <c r="O1527" s="4" t="e">
        <f t="shared" si="131"/>
        <v>#VALUE!</v>
      </c>
      <c r="P1527" s="21" t="str">
        <f>_xll.RssMarket(A1527,"安値")</f>
        <v/>
      </c>
      <c r="Q1527" s="4" t="e">
        <f t="shared" si="132"/>
        <v>#VALUE!</v>
      </c>
      <c r="R1527" s="21" t="str">
        <f>_xll.RssMarket(A1527,"後場始値")</f>
        <v/>
      </c>
      <c r="S1527" s="25" t="str">
        <f t="shared" si="133"/>
        <v>-</v>
      </c>
      <c r="T1527" s="7" t="str">
        <f>_xll.RssMarket(A1527,"出来高加重平均")</f>
        <v/>
      </c>
      <c r="U1527" s="4" t="e">
        <f t="shared" si="134"/>
        <v>#VALUE!</v>
      </c>
      <c r="V1527" s="21" t="str">
        <f>_xll.RssMarket(A1527,"出来高")</f>
        <v/>
      </c>
      <c r="W1527" s="21" t="str">
        <f>_xll.RssMarket(A1527,"売買代金")</f>
        <v/>
      </c>
      <c r="X1527" s="20" t="str">
        <f>_xll.RssMarket(A1527,"決算発表日")</f>
        <v/>
      </c>
      <c r="Y1527" s="26" t="str">
        <f>IF(C1527&gt;_xll.RssMarket(A1527,"年初来高値"),"○","×")</f>
        <v>×</v>
      </c>
      <c r="Z1527" s="27" t="str">
        <f>IF(C1527&lt;=_xll.RssMarket(A1527,"年初来安値"),"○","×")</f>
        <v>○</v>
      </c>
    </row>
    <row r="1528" spans="2:26" x14ac:dyDescent="0.55000000000000004">
      <c r="B1528" s="20" t="str">
        <f>_xll.RssMarket(A1528,"銘柄名称")</f>
        <v/>
      </c>
      <c r="C1528" s="21" t="str">
        <f>_xll.RssMarket(A1528,"現在値")</f>
        <v/>
      </c>
      <c r="D1528" s="20" t="str">
        <f>_xll.RssMarket(A1528,"現在値詳細時刻")</f>
        <v/>
      </c>
      <c r="E1528" s="22" t="str">
        <f>_xll.RssMarket(A1528,"前日比")</f>
        <v/>
      </c>
      <c r="F1528" s="23" t="e">
        <f>_xll.RssMarket(A1528,"前日比率")/100</f>
        <v>#VALUE!</v>
      </c>
      <c r="G1528" s="24" t="str">
        <f>IFERROR(VLOOKUP(A1528,取得元!$A$2:$F$501,2,FALSE),"-")</f>
        <v>-</v>
      </c>
      <c r="H1528" s="24" t="str">
        <f>IFERROR(VLOOKUP(A1528,取得元!$A$2:$F$501,3,FALSE),"-")</f>
        <v>-</v>
      </c>
      <c r="I1528" s="24" t="str">
        <f>IFERROR(VLOOKUP(A1528,取得元!$A$2:$F$501,4,FALSE),"-")</f>
        <v>-</v>
      </c>
      <c r="J1528" s="5" t="str">
        <f>IFERROR(VLOOKUP(A1528,取得元!$A$2:$F$501,5,FALSE),"-")</f>
        <v>-</v>
      </c>
      <c r="K1528" s="25" t="str">
        <f>IFERROR(VLOOKUP(A1528,取得元!$A$2:$F$501,6,FALSE)/100,"-")</f>
        <v>-</v>
      </c>
      <c r="L1528" s="21" t="str">
        <f>_xll.RssMarket(A1528,"始値")</f>
        <v/>
      </c>
      <c r="M1528" s="4" t="e">
        <f t="shared" si="130"/>
        <v>#VALUE!</v>
      </c>
      <c r="N1528" s="21" t="str">
        <f>_xll.RssMarket(A1528,"高値")</f>
        <v/>
      </c>
      <c r="O1528" s="4" t="e">
        <f t="shared" si="131"/>
        <v>#VALUE!</v>
      </c>
      <c r="P1528" s="21" t="str">
        <f>_xll.RssMarket(A1528,"安値")</f>
        <v/>
      </c>
      <c r="Q1528" s="4" t="e">
        <f t="shared" si="132"/>
        <v>#VALUE!</v>
      </c>
      <c r="R1528" s="21" t="str">
        <f>_xll.RssMarket(A1528,"後場始値")</f>
        <v/>
      </c>
      <c r="S1528" s="25" t="str">
        <f t="shared" si="133"/>
        <v>-</v>
      </c>
      <c r="T1528" s="7" t="str">
        <f>_xll.RssMarket(A1528,"出来高加重平均")</f>
        <v/>
      </c>
      <c r="U1528" s="4" t="e">
        <f t="shared" si="134"/>
        <v>#VALUE!</v>
      </c>
      <c r="V1528" s="21" t="str">
        <f>_xll.RssMarket(A1528,"出来高")</f>
        <v/>
      </c>
      <c r="W1528" s="21" t="str">
        <f>_xll.RssMarket(A1528,"売買代金")</f>
        <v/>
      </c>
      <c r="X1528" s="20" t="str">
        <f>_xll.RssMarket(A1528,"決算発表日")</f>
        <v/>
      </c>
      <c r="Y1528" s="26" t="str">
        <f>IF(C1528&gt;_xll.RssMarket(A1528,"年初来高値"),"○","×")</f>
        <v>×</v>
      </c>
      <c r="Z1528" s="27" t="str">
        <f>IF(C1528&lt;=_xll.RssMarket(A1528,"年初来安値"),"○","×")</f>
        <v>○</v>
      </c>
    </row>
    <row r="1529" spans="2:26" x14ac:dyDescent="0.55000000000000004">
      <c r="B1529" s="20" t="str">
        <f>_xll.RssMarket(A1529,"銘柄名称")</f>
        <v/>
      </c>
      <c r="C1529" s="21" t="str">
        <f>_xll.RssMarket(A1529,"現在値")</f>
        <v/>
      </c>
      <c r="D1529" s="20" t="str">
        <f>_xll.RssMarket(A1529,"現在値詳細時刻")</f>
        <v/>
      </c>
      <c r="E1529" s="22" t="str">
        <f>_xll.RssMarket(A1529,"前日比")</f>
        <v/>
      </c>
      <c r="F1529" s="23" t="e">
        <f>_xll.RssMarket(A1529,"前日比率")/100</f>
        <v>#VALUE!</v>
      </c>
      <c r="G1529" s="24" t="str">
        <f>IFERROR(VLOOKUP(A1529,取得元!$A$2:$F$501,2,FALSE),"-")</f>
        <v>-</v>
      </c>
      <c r="H1529" s="24" t="str">
        <f>IFERROR(VLOOKUP(A1529,取得元!$A$2:$F$501,3,FALSE),"-")</f>
        <v>-</v>
      </c>
      <c r="I1529" s="24" t="str">
        <f>IFERROR(VLOOKUP(A1529,取得元!$A$2:$F$501,4,FALSE),"-")</f>
        <v>-</v>
      </c>
      <c r="J1529" s="5" t="str">
        <f>IFERROR(VLOOKUP(A1529,取得元!$A$2:$F$501,5,FALSE),"-")</f>
        <v>-</v>
      </c>
      <c r="K1529" s="25" t="str">
        <f>IFERROR(VLOOKUP(A1529,取得元!$A$2:$F$501,6,FALSE)/100,"-")</f>
        <v>-</v>
      </c>
      <c r="L1529" s="21" t="str">
        <f>_xll.RssMarket(A1529,"始値")</f>
        <v/>
      </c>
      <c r="M1529" s="4" t="e">
        <f t="shared" si="130"/>
        <v>#VALUE!</v>
      </c>
      <c r="N1529" s="21" t="str">
        <f>_xll.RssMarket(A1529,"高値")</f>
        <v/>
      </c>
      <c r="O1529" s="4" t="e">
        <f t="shared" si="131"/>
        <v>#VALUE!</v>
      </c>
      <c r="P1529" s="21" t="str">
        <f>_xll.RssMarket(A1529,"安値")</f>
        <v/>
      </c>
      <c r="Q1529" s="4" t="e">
        <f t="shared" si="132"/>
        <v>#VALUE!</v>
      </c>
      <c r="R1529" s="21" t="str">
        <f>_xll.RssMarket(A1529,"後場始値")</f>
        <v/>
      </c>
      <c r="S1529" s="25" t="str">
        <f t="shared" si="133"/>
        <v>-</v>
      </c>
      <c r="T1529" s="7" t="str">
        <f>_xll.RssMarket(A1529,"出来高加重平均")</f>
        <v/>
      </c>
      <c r="U1529" s="4" t="e">
        <f t="shared" si="134"/>
        <v>#VALUE!</v>
      </c>
      <c r="V1529" s="21" t="str">
        <f>_xll.RssMarket(A1529,"出来高")</f>
        <v/>
      </c>
      <c r="W1529" s="21" t="str">
        <f>_xll.RssMarket(A1529,"売買代金")</f>
        <v/>
      </c>
      <c r="X1529" s="20" t="str">
        <f>_xll.RssMarket(A1529,"決算発表日")</f>
        <v/>
      </c>
      <c r="Y1529" s="26" t="str">
        <f>IF(C1529&gt;_xll.RssMarket(A1529,"年初来高値"),"○","×")</f>
        <v>×</v>
      </c>
      <c r="Z1529" s="27" t="str">
        <f>IF(C1529&lt;=_xll.RssMarket(A1529,"年初来安値"),"○","×")</f>
        <v>○</v>
      </c>
    </row>
    <row r="1530" spans="2:26" x14ac:dyDescent="0.55000000000000004">
      <c r="B1530" s="20" t="str">
        <f>_xll.RssMarket(A1530,"銘柄名称")</f>
        <v/>
      </c>
      <c r="C1530" s="21" t="str">
        <f>_xll.RssMarket(A1530,"現在値")</f>
        <v/>
      </c>
      <c r="D1530" s="20" t="str">
        <f>_xll.RssMarket(A1530,"現在値詳細時刻")</f>
        <v/>
      </c>
      <c r="E1530" s="22" t="str">
        <f>_xll.RssMarket(A1530,"前日比")</f>
        <v/>
      </c>
      <c r="F1530" s="23" t="e">
        <f>_xll.RssMarket(A1530,"前日比率")/100</f>
        <v>#VALUE!</v>
      </c>
      <c r="G1530" s="24" t="str">
        <f>IFERROR(VLOOKUP(A1530,取得元!$A$2:$F$501,2,FALSE),"-")</f>
        <v>-</v>
      </c>
      <c r="H1530" s="24" t="str">
        <f>IFERROR(VLOOKUP(A1530,取得元!$A$2:$F$501,3,FALSE),"-")</f>
        <v>-</v>
      </c>
      <c r="I1530" s="24" t="str">
        <f>IFERROR(VLOOKUP(A1530,取得元!$A$2:$F$501,4,FALSE),"-")</f>
        <v>-</v>
      </c>
      <c r="J1530" s="5" t="str">
        <f>IFERROR(VLOOKUP(A1530,取得元!$A$2:$F$501,5,FALSE),"-")</f>
        <v>-</v>
      </c>
      <c r="K1530" s="25" t="str">
        <f>IFERROR(VLOOKUP(A1530,取得元!$A$2:$F$501,6,FALSE)/100,"-")</f>
        <v>-</v>
      </c>
      <c r="L1530" s="21" t="str">
        <f>_xll.RssMarket(A1530,"始値")</f>
        <v/>
      </c>
      <c r="M1530" s="4" t="e">
        <f t="shared" si="130"/>
        <v>#VALUE!</v>
      </c>
      <c r="N1530" s="21" t="str">
        <f>_xll.RssMarket(A1530,"高値")</f>
        <v/>
      </c>
      <c r="O1530" s="4" t="e">
        <f t="shared" si="131"/>
        <v>#VALUE!</v>
      </c>
      <c r="P1530" s="21" t="str">
        <f>_xll.RssMarket(A1530,"安値")</f>
        <v/>
      </c>
      <c r="Q1530" s="4" t="e">
        <f t="shared" si="132"/>
        <v>#VALUE!</v>
      </c>
      <c r="R1530" s="21" t="str">
        <f>_xll.RssMarket(A1530,"後場始値")</f>
        <v/>
      </c>
      <c r="S1530" s="25" t="str">
        <f t="shared" si="133"/>
        <v>-</v>
      </c>
      <c r="T1530" s="7" t="str">
        <f>_xll.RssMarket(A1530,"出来高加重平均")</f>
        <v/>
      </c>
      <c r="U1530" s="4" t="e">
        <f t="shared" si="134"/>
        <v>#VALUE!</v>
      </c>
      <c r="V1530" s="21" t="str">
        <f>_xll.RssMarket(A1530,"出来高")</f>
        <v/>
      </c>
      <c r="W1530" s="21" t="str">
        <f>_xll.RssMarket(A1530,"売買代金")</f>
        <v/>
      </c>
      <c r="X1530" s="20" t="str">
        <f>_xll.RssMarket(A1530,"決算発表日")</f>
        <v/>
      </c>
      <c r="Y1530" s="26" t="str">
        <f>IF(C1530&gt;_xll.RssMarket(A1530,"年初来高値"),"○","×")</f>
        <v>×</v>
      </c>
      <c r="Z1530" s="27" t="str">
        <f>IF(C1530&lt;=_xll.RssMarket(A1530,"年初来安値"),"○","×")</f>
        <v>○</v>
      </c>
    </row>
    <row r="1531" spans="2:26" x14ac:dyDescent="0.55000000000000004">
      <c r="B1531" s="20" t="str">
        <f>_xll.RssMarket(A1531,"銘柄名称")</f>
        <v/>
      </c>
      <c r="C1531" s="21" t="str">
        <f>_xll.RssMarket(A1531,"現在値")</f>
        <v/>
      </c>
      <c r="D1531" s="20" t="str">
        <f>_xll.RssMarket(A1531,"現在値詳細時刻")</f>
        <v/>
      </c>
      <c r="E1531" s="22" t="str">
        <f>_xll.RssMarket(A1531,"前日比")</f>
        <v/>
      </c>
      <c r="F1531" s="23" t="e">
        <f>_xll.RssMarket(A1531,"前日比率")/100</f>
        <v>#VALUE!</v>
      </c>
      <c r="G1531" s="24" t="str">
        <f>IFERROR(VLOOKUP(A1531,取得元!$A$2:$F$501,2,FALSE),"-")</f>
        <v>-</v>
      </c>
      <c r="H1531" s="24" t="str">
        <f>IFERROR(VLOOKUP(A1531,取得元!$A$2:$F$501,3,FALSE),"-")</f>
        <v>-</v>
      </c>
      <c r="I1531" s="24" t="str">
        <f>IFERROR(VLOOKUP(A1531,取得元!$A$2:$F$501,4,FALSE),"-")</f>
        <v>-</v>
      </c>
      <c r="J1531" s="5" t="str">
        <f>IFERROR(VLOOKUP(A1531,取得元!$A$2:$F$501,5,FALSE),"-")</f>
        <v>-</v>
      </c>
      <c r="K1531" s="25" t="str">
        <f>IFERROR(VLOOKUP(A1531,取得元!$A$2:$F$501,6,FALSE)/100,"-")</f>
        <v>-</v>
      </c>
      <c r="L1531" s="21" t="str">
        <f>_xll.RssMarket(A1531,"始値")</f>
        <v/>
      </c>
      <c r="M1531" s="4" t="e">
        <f t="shared" si="130"/>
        <v>#VALUE!</v>
      </c>
      <c r="N1531" s="21" t="str">
        <f>_xll.RssMarket(A1531,"高値")</f>
        <v/>
      </c>
      <c r="O1531" s="4" t="e">
        <f t="shared" si="131"/>
        <v>#VALUE!</v>
      </c>
      <c r="P1531" s="21" t="str">
        <f>_xll.RssMarket(A1531,"安値")</f>
        <v/>
      </c>
      <c r="Q1531" s="4" t="e">
        <f t="shared" si="132"/>
        <v>#VALUE!</v>
      </c>
      <c r="R1531" s="21" t="str">
        <f>_xll.RssMarket(A1531,"後場始値")</f>
        <v/>
      </c>
      <c r="S1531" s="25" t="str">
        <f t="shared" si="133"/>
        <v>-</v>
      </c>
      <c r="T1531" s="7" t="str">
        <f>_xll.RssMarket(A1531,"出来高加重平均")</f>
        <v/>
      </c>
      <c r="U1531" s="4" t="e">
        <f t="shared" si="134"/>
        <v>#VALUE!</v>
      </c>
      <c r="V1531" s="21" t="str">
        <f>_xll.RssMarket(A1531,"出来高")</f>
        <v/>
      </c>
      <c r="W1531" s="21" t="str">
        <f>_xll.RssMarket(A1531,"売買代金")</f>
        <v/>
      </c>
      <c r="X1531" s="20" t="str">
        <f>_xll.RssMarket(A1531,"決算発表日")</f>
        <v/>
      </c>
      <c r="Y1531" s="26" t="str">
        <f>IF(C1531&gt;_xll.RssMarket(A1531,"年初来高値"),"○","×")</f>
        <v>×</v>
      </c>
      <c r="Z1531" s="27" t="str">
        <f>IF(C1531&lt;=_xll.RssMarket(A1531,"年初来安値"),"○","×")</f>
        <v>○</v>
      </c>
    </row>
    <row r="1532" spans="2:26" x14ac:dyDescent="0.55000000000000004">
      <c r="B1532" s="20" t="str">
        <f>_xll.RssMarket(A1532,"銘柄名称")</f>
        <v/>
      </c>
      <c r="C1532" s="21" t="str">
        <f>_xll.RssMarket(A1532,"現在値")</f>
        <v/>
      </c>
      <c r="D1532" s="20" t="str">
        <f>_xll.RssMarket(A1532,"現在値詳細時刻")</f>
        <v/>
      </c>
      <c r="E1532" s="22" t="str">
        <f>_xll.RssMarket(A1532,"前日比")</f>
        <v/>
      </c>
      <c r="F1532" s="23" t="e">
        <f>_xll.RssMarket(A1532,"前日比率")/100</f>
        <v>#VALUE!</v>
      </c>
      <c r="G1532" s="24" t="str">
        <f>IFERROR(VLOOKUP(A1532,取得元!$A$2:$F$501,2,FALSE),"-")</f>
        <v>-</v>
      </c>
      <c r="H1532" s="24" t="str">
        <f>IFERROR(VLOOKUP(A1532,取得元!$A$2:$F$501,3,FALSE),"-")</f>
        <v>-</v>
      </c>
      <c r="I1532" s="24" t="str">
        <f>IFERROR(VLOOKUP(A1532,取得元!$A$2:$F$501,4,FALSE),"-")</f>
        <v>-</v>
      </c>
      <c r="J1532" s="5" t="str">
        <f>IFERROR(VLOOKUP(A1532,取得元!$A$2:$F$501,5,FALSE),"-")</f>
        <v>-</v>
      </c>
      <c r="K1532" s="25" t="str">
        <f>IFERROR(VLOOKUP(A1532,取得元!$A$2:$F$501,6,FALSE)/100,"-")</f>
        <v>-</v>
      </c>
      <c r="L1532" s="21" t="str">
        <f>_xll.RssMarket(A1532,"始値")</f>
        <v/>
      </c>
      <c r="M1532" s="4" t="e">
        <f t="shared" si="130"/>
        <v>#VALUE!</v>
      </c>
      <c r="N1532" s="21" t="str">
        <f>_xll.RssMarket(A1532,"高値")</f>
        <v/>
      </c>
      <c r="O1532" s="4" t="e">
        <f t="shared" si="131"/>
        <v>#VALUE!</v>
      </c>
      <c r="P1532" s="21" t="str">
        <f>_xll.RssMarket(A1532,"安値")</f>
        <v/>
      </c>
      <c r="Q1532" s="4" t="e">
        <f t="shared" si="132"/>
        <v>#VALUE!</v>
      </c>
      <c r="R1532" s="21" t="str">
        <f>_xll.RssMarket(A1532,"後場始値")</f>
        <v/>
      </c>
      <c r="S1532" s="25" t="str">
        <f t="shared" si="133"/>
        <v>-</v>
      </c>
      <c r="T1532" s="7" t="str">
        <f>_xll.RssMarket(A1532,"出来高加重平均")</f>
        <v/>
      </c>
      <c r="U1532" s="4" t="e">
        <f t="shared" si="134"/>
        <v>#VALUE!</v>
      </c>
      <c r="V1532" s="21" t="str">
        <f>_xll.RssMarket(A1532,"出来高")</f>
        <v/>
      </c>
      <c r="W1532" s="21" t="str">
        <f>_xll.RssMarket(A1532,"売買代金")</f>
        <v/>
      </c>
      <c r="X1532" s="20" t="str">
        <f>_xll.RssMarket(A1532,"決算発表日")</f>
        <v/>
      </c>
      <c r="Y1532" s="26" t="str">
        <f>IF(C1532&gt;_xll.RssMarket(A1532,"年初来高値"),"○","×")</f>
        <v>×</v>
      </c>
      <c r="Z1532" s="27" t="str">
        <f>IF(C1532&lt;=_xll.RssMarket(A1532,"年初来安値"),"○","×")</f>
        <v>○</v>
      </c>
    </row>
    <row r="1533" spans="2:26" x14ac:dyDescent="0.55000000000000004">
      <c r="B1533" s="20" t="str">
        <f>_xll.RssMarket(A1533,"銘柄名称")</f>
        <v/>
      </c>
      <c r="C1533" s="21" t="str">
        <f>_xll.RssMarket(A1533,"現在値")</f>
        <v/>
      </c>
      <c r="D1533" s="20" t="str">
        <f>_xll.RssMarket(A1533,"現在値詳細時刻")</f>
        <v/>
      </c>
      <c r="E1533" s="22" t="str">
        <f>_xll.RssMarket(A1533,"前日比")</f>
        <v/>
      </c>
      <c r="F1533" s="23" t="e">
        <f>_xll.RssMarket(A1533,"前日比率")/100</f>
        <v>#VALUE!</v>
      </c>
      <c r="G1533" s="24" t="str">
        <f>IFERROR(VLOOKUP(A1533,取得元!$A$2:$F$501,2,FALSE),"-")</f>
        <v>-</v>
      </c>
      <c r="H1533" s="24" t="str">
        <f>IFERROR(VLOOKUP(A1533,取得元!$A$2:$F$501,3,FALSE),"-")</f>
        <v>-</v>
      </c>
      <c r="I1533" s="24" t="str">
        <f>IFERROR(VLOOKUP(A1533,取得元!$A$2:$F$501,4,FALSE),"-")</f>
        <v>-</v>
      </c>
      <c r="J1533" s="5" t="str">
        <f>IFERROR(VLOOKUP(A1533,取得元!$A$2:$F$501,5,FALSE),"-")</f>
        <v>-</v>
      </c>
      <c r="K1533" s="25" t="str">
        <f>IFERROR(VLOOKUP(A1533,取得元!$A$2:$F$501,6,FALSE)/100,"-")</f>
        <v>-</v>
      </c>
      <c r="L1533" s="21" t="str">
        <f>_xll.RssMarket(A1533,"始値")</f>
        <v/>
      </c>
      <c r="M1533" s="4" t="e">
        <f t="shared" si="130"/>
        <v>#VALUE!</v>
      </c>
      <c r="N1533" s="21" t="str">
        <f>_xll.RssMarket(A1533,"高値")</f>
        <v/>
      </c>
      <c r="O1533" s="4" t="e">
        <f t="shared" si="131"/>
        <v>#VALUE!</v>
      </c>
      <c r="P1533" s="21" t="str">
        <f>_xll.RssMarket(A1533,"安値")</f>
        <v/>
      </c>
      <c r="Q1533" s="4" t="e">
        <f t="shared" si="132"/>
        <v>#VALUE!</v>
      </c>
      <c r="R1533" s="21" t="str">
        <f>_xll.RssMarket(A1533,"後場始値")</f>
        <v/>
      </c>
      <c r="S1533" s="25" t="str">
        <f t="shared" si="133"/>
        <v>-</v>
      </c>
      <c r="T1533" s="7" t="str">
        <f>_xll.RssMarket(A1533,"出来高加重平均")</f>
        <v/>
      </c>
      <c r="U1533" s="4" t="e">
        <f t="shared" si="134"/>
        <v>#VALUE!</v>
      </c>
      <c r="V1533" s="21" t="str">
        <f>_xll.RssMarket(A1533,"出来高")</f>
        <v/>
      </c>
      <c r="W1533" s="21" t="str">
        <f>_xll.RssMarket(A1533,"売買代金")</f>
        <v/>
      </c>
      <c r="X1533" s="20" t="str">
        <f>_xll.RssMarket(A1533,"決算発表日")</f>
        <v/>
      </c>
      <c r="Y1533" s="26" t="str">
        <f>IF(C1533&gt;_xll.RssMarket(A1533,"年初来高値"),"○","×")</f>
        <v>×</v>
      </c>
      <c r="Z1533" s="27" t="str">
        <f>IF(C1533&lt;=_xll.RssMarket(A1533,"年初来安値"),"○","×")</f>
        <v>○</v>
      </c>
    </row>
    <row r="1534" spans="2:26" x14ac:dyDescent="0.55000000000000004">
      <c r="B1534" s="20" t="str">
        <f>_xll.RssMarket(A1534,"銘柄名称")</f>
        <v/>
      </c>
      <c r="C1534" s="21" t="str">
        <f>_xll.RssMarket(A1534,"現在値")</f>
        <v/>
      </c>
      <c r="D1534" s="20" t="str">
        <f>_xll.RssMarket(A1534,"現在値詳細時刻")</f>
        <v/>
      </c>
      <c r="E1534" s="22" t="str">
        <f>_xll.RssMarket(A1534,"前日比")</f>
        <v/>
      </c>
      <c r="F1534" s="23" t="e">
        <f>_xll.RssMarket(A1534,"前日比率")/100</f>
        <v>#VALUE!</v>
      </c>
      <c r="G1534" s="24" t="str">
        <f>IFERROR(VLOOKUP(A1534,取得元!$A$2:$F$501,2,FALSE),"-")</f>
        <v>-</v>
      </c>
      <c r="H1534" s="24" t="str">
        <f>IFERROR(VLOOKUP(A1534,取得元!$A$2:$F$501,3,FALSE),"-")</f>
        <v>-</v>
      </c>
      <c r="I1534" s="24" t="str">
        <f>IFERROR(VLOOKUP(A1534,取得元!$A$2:$F$501,4,FALSE),"-")</f>
        <v>-</v>
      </c>
      <c r="J1534" s="5" t="str">
        <f>IFERROR(VLOOKUP(A1534,取得元!$A$2:$F$501,5,FALSE),"-")</f>
        <v>-</v>
      </c>
      <c r="K1534" s="25" t="str">
        <f>IFERROR(VLOOKUP(A1534,取得元!$A$2:$F$501,6,FALSE)/100,"-")</f>
        <v>-</v>
      </c>
      <c r="L1534" s="21" t="str">
        <f>_xll.RssMarket(A1534,"始値")</f>
        <v/>
      </c>
      <c r="M1534" s="4" t="e">
        <f t="shared" si="130"/>
        <v>#VALUE!</v>
      </c>
      <c r="N1534" s="21" t="str">
        <f>_xll.RssMarket(A1534,"高値")</f>
        <v/>
      </c>
      <c r="O1534" s="4" t="e">
        <f t="shared" si="131"/>
        <v>#VALUE!</v>
      </c>
      <c r="P1534" s="21" t="str">
        <f>_xll.RssMarket(A1534,"安値")</f>
        <v/>
      </c>
      <c r="Q1534" s="4" t="e">
        <f t="shared" si="132"/>
        <v>#VALUE!</v>
      </c>
      <c r="R1534" s="21" t="str">
        <f>_xll.RssMarket(A1534,"後場始値")</f>
        <v/>
      </c>
      <c r="S1534" s="25" t="str">
        <f t="shared" si="133"/>
        <v>-</v>
      </c>
      <c r="T1534" s="7" t="str">
        <f>_xll.RssMarket(A1534,"出来高加重平均")</f>
        <v/>
      </c>
      <c r="U1534" s="4" t="e">
        <f t="shared" si="134"/>
        <v>#VALUE!</v>
      </c>
      <c r="V1534" s="21" t="str">
        <f>_xll.RssMarket(A1534,"出来高")</f>
        <v/>
      </c>
      <c r="W1534" s="21" t="str">
        <f>_xll.RssMarket(A1534,"売買代金")</f>
        <v/>
      </c>
      <c r="X1534" s="20" t="str">
        <f>_xll.RssMarket(A1534,"決算発表日")</f>
        <v/>
      </c>
      <c r="Y1534" s="26" t="str">
        <f>IF(C1534&gt;_xll.RssMarket(A1534,"年初来高値"),"○","×")</f>
        <v>×</v>
      </c>
      <c r="Z1534" s="27" t="str">
        <f>IF(C1534&lt;=_xll.RssMarket(A1534,"年初来安値"),"○","×")</f>
        <v>○</v>
      </c>
    </row>
    <row r="1535" spans="2:26" x14ac:dyDescent="0.55000000000000004">
      <c r="B1535" s="20" t="str">
        <f>_xll.RssMarket(A1535,"銘柄名称")</f>
        <v/>
      </c>
      <c r="C1535" s="21" t="str">
        <f>_xll.RssMarket(A1535,"現在値")</f>
        <v/>
      </c>
      <c r="D1535" s="20" t="str">
        <f>_xll.RssMarket(A1535,"現在値詳細時刻")</f>
        <v/>
      </c>
      <c r="E1535" s="22" t="str">
        <f>_xll.RssMarket(A1535,"前日比")</f>
        <v/>
      </c>
      <c r="F1535" s="23" t="e">
        <f>_xll.RssMarket(A1535,"前日比率")/100</f>
        <v>#VALUE!</v>
      </c>
      <c r="G1535" s="24" t="str">
        <f>IFERROR(VLOOKUP(A1535,取得元!$A$2:$F$501,2,FALSE),"-")</f>
        <v>-</v>
      </c>
      <c r="H1535" s="24" t="str">
        <f>IFERROR(VLOOKUP(A1535,取得元!$A$2:$F$501,3,FALSE),"-")</f>
        <v>-</v>
      </c>
      <c r="I1535" s="24" t="str">
        <f>IFERROR(VLOOKUP(A1535,取得元!$A$2:$F$501,4,FALSE),"-")</f>
        <v>-</v>
      </c>
      <c r="J1535" s="5" t="str">
        <f>IFERROR(VLOOKUP(A1535,取得元!$A$2:$F$501,5,FALSE),"-")</f>
        <v>-</v>
      </c>
      <c r="K1535" s="25" t="str">
        <f>IFERROR(VLOOKUP(A1535,取得元!$A$2:$F$501,6,FALSE)/100,"-")</f>
        <v>-</v>
      </c>
      <c r="L1535" s="21" t="str">
        <f>_xll.RssMarket(A1535,"始値")</f>
        <v/>
      </c>
      <c r="M1535" s="4" t="e">
        <f t="shared" si="130"/>
        <v>#VALUE!</v>
      </c>
      <c r="N1535" s="21" t="str">
        <f>_xll.RssMarket(A1535,"高値")</f>
        <v/>
      </c>
      <c r="O1535" s="4" t="e">
        <f t="shared" si="131"/>
        <v>#VALUE!</v>
      </c>
      <c r="P1535" s="21" t="str">
        <f>_xll.RssMarket(A1535,"安値")</f>
        <v/>
      </c>
      <c r="Q1535" s="4" t="e">
        <f t="shared" si="132"/>
        <v>#VALUE!</v>
      </c>
      <c r="R1535" s="21" t="str">
        <f>_xll.RssMarket(A1535,"後場始値")</f>
        <v/>
      </c>
      <c r="S1535" s="25" t="str">
        <f t="shared" si="133"/>
        <v>-</v>
      </c>
      <c r="T1535" s="7" t="str">
        <f>_xll.RssMarket(A1535,"出来高加重平均")</f>
        <v/>
      </c>
      <c r="U1535" s="4" t="e">
        <f t="shared" si="134"/>
        <v>#VALUE!</v>
      </c>
      <c r="V1535" s="21" t="str">
        <f>_xll.RssMarket(A1535,"出来高")</f>
        <v/>
      </c>
      <c r="W1535" s="21" t="str">
        <f>_xll.RssMarket(A1535,"売買代金")</f>
        <v/>
      </c>
      <c r="X1535" s="20" t="str">
        <f>_xll.RssMarket(A1535,"決算発表日")</f>
        <v/>
      </c>
      <c r="Y1535" s="26" t="str">
        <f>IF(C1535&gt;_xll.RssMarket(A1535,"年初来高値"),"○","×")</f>
        <v>×</v>
      </c>
      <c r="Z1535" s="27" t="str">
        <f>IF(C1535&lt;=_xll.RssMarket(A1535,"年初来安値"),"○","×")</f>
        <v>○</v>
      </c>
    </row>
    <row r="1536" spans="2:26" x14ac:dyDescent="0.55000000000000004">
      <c r="B1536" s="20" t="str">
        <f>_xll.RssMarket(A1536,"銘柄名称")</f>
        <v/>
      </c>
      <c r="C1536" s="21" t="str">
        <f>_xll.RssMarket(A1536,"現在値")</f>
        <v/>
      </c>
      <c r="D1536" s="20" t="str">
        <f>_xll.RssMarket(A1536,"現在値詳細時刻")</f>
        <v/>
      </c>
      <c r="E1536" s="22" t="str">
        <f>_xll.RssMarket(A1536,"前日比")</f>
        <v/>
      </c>
      <c r="F1536" s="23" t="e">
        <f>_xll.RssMarket(A1536,"前日比率")/100</f>
        <v>#VALUE!</v>
      </c>
      <c r="G1536" s="24" t="str">
        <f>IFERROR(VLOOKUP(A1536,取得元!$A$2:$F$501,2,FALSE),"-")</f>
        <v>-</v>
      </c>
      <c r="H1536" s="24" t="str">
        <f>IFERROR(VLOOKUP(A1536,取得元!$A$2:$F$501,3,FALSE),"-")</f>
        <v>-</v>
      </c>
      <c r="I1536" s="24" t="str">
        <f>IFERROR(VLOOKUP(A1536,取得元!$A$2:$F$501,4,FALSE),"-")</f>
        <v>-</v>
      </c>
      <c r="J1536" s="5" t="str">
        <f>IFERROR(VLOOKUP(A1536,取得元!$A$2:$F$501,5,FALSE),"-")</f>
        <v>-</v>
      </c>
      <c r="K1536" s="25" t="str">
        <f>IFERROR(VLOOKUP(A1536,取得元!$A$2:$F$501,6,FALSE)/100,"-")</f>
        <v>-</v>
      </c>
      <c r="L1536" s="21" t="str">
        <f>_xll.RssMarket(A1536,"始値")</f>
        <v/>
      </c>
      <c r="M1536" s="4" t="e">
        <f t="shared" si="130"/>
        <v>#VALUE!</v>
      </c>
      <c r="N1536" s="21" t="str">
        <f>_xll.RssMarket(A1536,"高値")</f>
        <v/>
      </c>
      <c r="O1536" s="4" t="e">
        <f t="shared" si="131"/>
        <v>#VALUE!</v>
      </c>
      <c r="P1536" s="21" t="str">
        <f>_xll.RssMarket(A1536,"安値")</f>
        <v/>
      </c>
      <c r="Q1536" s="4" t="e">
        <f t="shared" si="132"/>
        <v>#VALUE!</v>
      </c>
      <c r="R1536" s="21" t="str">
        <f>_xll.RssMarket(A1536,"後場始値")</f>
        <v/>
      </c>
      <c r="S1536" s="25" t="str">
        <f t="shared" si="133"/>
        <v>-</v>
      </c>
      <c r="T1536" s="7" t="str">
        <f>_xll.RssMarket(A1536,"出来高加重平均")</f>
        <v/>
      </c>
      <c r="U1536" s="4" t="e">
        <f t="shared" si="134"/>
        <v>#VALUE!</v>
      </c>
      <c r="V1536" s="21" t="str">
        <f>_xll.RssMarket(A1536,"出来高")</f>
        <v/>
      </c>
      <c r="W1536" s="21" t="str">
        <f>_xll.RssMarket(A1536,"売買代金")</f>
        <v/>
      </c>
      <c r="X1536" s="20" t="str">
        <f>_xll.RssMarket(A1536,"決算発表日")</f>
        <v/>
      </c>
      <c r="Y1536" s="26" t="str">
        <f>IF(C1536&gt;_xll.RssMarket(A1536,"年初来高値"),"○","×")</f>
        <v>×</v>
      </c>
      <c r="Z1536" s="27" t="str">
        <f>IF(C1536&lt;=_xll.RssMarket(A1536,"年初来安値"),"○","×")</f>
        <v>○</v>
      </c>
    </row>
    <row r="1537" spans="2:26" x14ac:dyDescent="0.55000000000000004">
      <c r="B1537" s="20" t="str">
        <f>_xll.RssMarket(A1537,"銘柄名称")</f>
        <v/>
      </c>
      <c r="C1537" s="21" t="str">
        <f>_xll.RssMarket(A1537,"現在値")</f>
        <v/>
      </c>
      <c r="D1537" s="20" t="str">
        <f>_xll.RssMarket(A1537,"現在値詳細時刻")</f>
        <v/>
      </c>
      <c r="E1537" s="22" t="str">
        <f>_xll.RssMarket(A1537,"前日比")</f>
        <v/>
      </c>
      <c r="F1537" s="23" t="e">
        <f>_xll.RssMarket(A1537,"前日比率")/100</f>
        <v>#VALUE!</v>
      </c>
      <c r="G1537" s="24" t="str">
        <f>IFERROR(VLOOKUP(A1537,取得元!$A$2:$F$501,2,FALSE),"-")</f>
        <v>-</v>
      </c>
      <c r="H1537" s="24" t="str">
        <f>IFERROR(VLOOKUP(A1537,取得元!$A$2:$F$501,3,FALSE),"-")</f>
        <v>-</v>
      </c>
      <c r="I1537" s="24" t="str">
        <f>IFERROR(VLOOKUP(A1537,取得元!$A$2:$F$501,4,FALSE),"-")</f>
        <v>-</v>
      </c>
      <c r="J1537" s="5" t="str">
        <f>IFERROR(VLOOKUP(A1537,取得元!$A$2:$F$501,5,FALSE),"-")</f>
        <v>-</v>
      </c>
      <c r="K1537" s="25" t="str">
        <f>IFERROR(VLOOKUP(A1537,取得元!$A$2:$F$501,6,FALSE)/100,"-")</f>
        <v>-</v>
      </c>
      <c r="L1537" s="21" t="str">
        <f>_xll.RssMarket(A1537,"始値")</f>
        <v/>
      </c>
      <c r="M1537" s="4" t="e">
        <f t="shared" si="130"/>
        <v>#VALUE!</v>
      </c>
      <c r="N1537" s="21" t="str">
        <f>_xll.RssMarket(A1537,"高値")</f>
        <v/>
      </c>
      <c r="O1537" s="4" t="e">
        <f t="shared" si="131"/>
        <v>#VALUE!</v>
      </c>
      <c r="P1537" s="21" t="str">
        <f>_xll.RssMarket(A1537,"安値")</f>
        <v/>
      </c>
      <c r="Q1537" s="4" t="e">
        <f t="shared" si="132"/>
        <v>#VALUE!</v>
      </c>
      <c r="R1537" s="21" t="str">
        <f>_xll.RssMarket(A1537,"後場始値")</f>
        <v/>
      </c>
      <c r="S1537" s="25" t="str">
        <f t="shared" si="133"/>
        <v>-</v>
      </c>
      <c r="T1537" s="7" t="str">
        <f>_xll.RssMarket(A1537,"出来高加重平均")</f>
        <v/>
      </c>
      <c r="U1537" s="4" t="e">
        <f t="shared" si="134"/>
        <v>#VALUE!</v>
      </c>
      <c r="V1537" s="21" t="str">
        <f>_xll.RssMarket(A1537,"出来高")</f>
        <v/>
      </c>
      <c r="W1537" s="21" t="str">
        <f>_xll.RssMarket(A1537,"売買代金")</f>
        <v/>
      </c>
      <c r="X1537" s="20" t="str">
        <f>_xll.RssMarket(A1537,"決算発表日")</f>
        <v/>
      </c>
      <c r="Y1537" s="26" t="str">
        <f>IF(C1537&gt;_xll.RssMarket(A1537,"年初来高値"),"○","×")</f>
        <v>×</v>
      </c>
      <c r="Z1537" s="27" t="str">
        <f>IF(C1537&lt;=_xll.RssMarket(A1537,"年初来安値"),"○","×")</f>
        <v>○</v>
      </c>
    </row>
    <row r="1538" spans="2:26" x14ac:dyDescent="0.55000000000000004">
      <c r="B1538" s="20" t="str">
        <f>_xll.RssMarket(A1538,"銘柄名称")</f>
        <v/>
      </c>
      <c r="C1538" s="21" t="str">
        <f>_xll.RssMarket(A1538,"現在値")</f>
        <v/>
      </c>
      <c r="D1538" s="20" t="str">
        <f>_xll.RssMarket(A1538,"現在値詳細時刻")</f>
        <v/>
      </c>
      <c r="E1538" s="22" t="str">
        <f>_xll.RssMarket(A1538,"前日比")</f>
        <v/>
      </c>
      <c r="F1538" s="23" t="e">
        <f>_xll.RssMarket(A1538,"前日比率")/100</f>
        <v>#VALUE!</v>
      </c>
      <c r="G1538" s="24" t="str">
        <f>IFERROR(VLOOKUP(A1538,取得元!$A$2:$F$501,2,FALSE),"-")</f>
        <v>-</v>
      </c>
      <c r="H1538" s="24" t="str">
        <f>IFERROR(VLOOKUP(A1538,取得元!$A$2:$F$501,3,FALSE),"-")</f>
        <v>-</v>
      </c>
      <c r="I1538" s="24" t="str">
        <f>IFERROR(VLOOKUP(A1538,取得元!$A$2:$F$501,4,FALSE),"-")</f>
        <v>-</v>
      </c>
      <c r="J1538" s="5" t="str">
        <f>IFERROR(VLOOKUP(A1538,取得元!$A$2:$F$501,5,FALSE),"-")</f>
        <v>-</v>
      </c>
      <c r="K1538" s="25" t="str">
        <f>IFERROR(VLOOKUP(A1538,取得元!$A$2:$F$501,6,FALSE)/100,"-")</f>
        <v>-</v>
      </c>
      <c r="L1538" s="21" t="str">
        <f>_xll.RssMarket(A1538,"始値")</f>
        <v/>
      </c>
      <c r="M1538" s="4" t="e">
        <f t="shared" si="130"/>
        <v>#VALUE!</v>
      </c>
      <c r="N1538" s="21" t="str">
        <f>_xll.RssMarket(A1538,"高値")</f>
        <v/>
      </c>
      <c r="O1538" s="4" t="e">
        <f t="shared" si="131"/>
        <v>#VALUE!</v>
      </c>
      <c r="P1538" s="21" t="str">
        <f>_xll.RssMarket(A1538,"安値")</f>
        <v/>
      </c>
      <c r="Q1538" s="4" t="e">
        <f t="shared" si="132"/>
        <v>#VALUE!</v>
      </c>
      <c r="R1538" s="21" t="str">
        <f>_xll.RssMarket(A1538,"後場始値")</f>
        <v/>
      </c>
      <c r="S1538" s="25" t="str">
        <f t="shared" si="133"/>
        <v>-</v>
      </c>
      <c r="T1538" s="7" t="str">
        <f>_xll.RssMarket(A1538,"出来高加重平均")</f>
        <v/>
      </c>
      <c r="U1538" s="4" t="e">
        <f t="shared" si="134"/>
        <v>#VALUE!</v>
      </c>
      <c r="V1538" s="21" t="str">
        <f>_xll.RssMarket(A1538,"出来高")</f>
        <v/>
      </c>
      <c r="W1538" s="21" t="str">
        <f>_xll.RssMarket(A1538,"売買代金")</f>
        <v/>
      </c>
      <c r="X1538" s="20" t="str">
        <f>_xll.RssMarket(A1538,"決算発表日")</f>
        <v/>
      </c>
      <c r="Y1538" s="26" t="str">
        <f>IF(C1538&gt;_xll.RssMarket(A1538,"年初来高値"),"○","×")</f>
        <v>×</v>
      </c>
      <c r="Z1538" s="27" t="str">
        <f>IF(C1538&lt;=_xll.RssMarket(A1538,"年初来安値"),"○","×")</f>
        <v>○</v>
      </c>
    </row>
    <row r="1539" spans="2:26" x14ac:dyDescent="0.55000000000000004">
      <c r="B1539" s="20" t="str">
        <f>_xll.RssMarket(A1539,"銘柄名称")</f>
        <v/>
      </c>
      <c r="C1539" s="21" t="str">
        <f>_xll.RssMarket(A1539,"現在値")</f>
        <v/>
      </c>
      <c r="D1539" s="20" t="str">
        <f>_xll.RssMarket(A1539,"現在値詳細時刻")</f>
        <v/>
      </c>
      <c r="E1539" s="22" t="str">
        <f>_xll.RssMarket(A1539,"前日比")</f>
        <v/>
      </c>
      <c r="F1539" s="23" t="e">
        <f>_xll.RssMarket(A1539,"前日比率")/100</f>
        <v>#VALUE!</v>
      </c>
      <c r="G1539" s="24" t="str">
        <f>IFERROR(VLOOKUP(A1539,取得元!$A$2:$F$501,2,FALSE),"-")</f>
        <v>-</v>
      </c>
      <c r="H1539" s="24" t="str">
        <f>IFERROR(VLOOKUP(A1539,取得元!$A$2:$F$501,3,FALSE),"-")</f>
        <v>-</v>
      </c>
      <c r="I1539" s="24" t="str">
        <f>IFERROR(VLOOKUP(A1539,取得元!$A$2:$F$501,4,FALSE),"-")</f>
        <v>-</v>
      </c>
      <c r="J1539" s="5" t="str">
        <f>IFERROR(VLOOKUP(A1539,取得元!$A$2:$F$501,5,FALSE),"-")</f>
        <v>-</v>
      </c>
      <c r="K1539" s="25" t="str">
        <f>IFERROR(VLOOKUP(A1539,取得元!$A$2:$F$501,6,FALSE)/100,"-")</f>
        <v>-</v>
      </c>
      <c r="L1539" s="21" t="str">
        <f>_xll.RssMarket(A1539,"始値")</f>
        <v/>
      </c>
      <c r="M1539" s="4" t="e">
        <f t="shared" si="130"/>
        <v>#VALUE!</v>
      </c>
      <c r="N1539" s="21" t="str">
        <f>_xll.RssMarket(A1539,"高値")</f>
        <v/>
      </c>
      <c r="O1539" s="4" t="e">
        <f t="shared" si="131"/>
        <v>#VALUE!</v>
      </c>
      <c r="P1539" s="21" t="str">
        <f>_xll.RssMarket(A1539,"安値")</f>
        <v/>
      </c>
      <c r="Q1539" s="4" t="e">
        <f t="shared" si="132"/>
        <v>#VALUE!</v>
      </c>
      <c r="R1539" s="21" t="str">
        <f>_xll.RssMarket(A1539,"後場始値")</f>
        <v/>
      </c>
      <c r="S1539" s="25" t="str">
        <f t="shared" si="133"/>
        <v>-</v>
      </c>
      <c r="T1539" s="7" t="str">
        <f>_xll.RssMarket(A1539,"出来高加重平均")</f>
        <v/>
      </c>
      <c r="U1539" s="4" t="e">
        <f t="shared" si="134"/>
        <v>#VALUE!</v>
      </c>
      <c r="V1539" s="21" t="str">
        <f>_xll.RssMarket(A1539,"出来高")</f>
        <v/>
      </c>
      <c r="W1539" s="21" t="str">
        <f>_xll.RssMarket(A1539,"売買代金")</f>
        <v/>
      </c>
      <c r="X1539" s="20" t="str">
        <f>_xll.RssMarket(A1539,"決算発表日")</f>
        <v/>
      </c>
      <c r="Y1539" s="26" t="str">
        <f>IF(C1539&gt;_xll.RssMarket(A1539,"年初来高値"),"○","×")</f>
        <v>×</v>
      </c>
      <c r="Z1539" s="27" t="str">
        <f>IF(C1539&lt;=_xll.RssMarket(A1539,"年初来安値"),"○","×")</f>
        <v>○</v>
      </c>
    </row>
    <row r="1540" spans="2:26" x14ac:dyDescent="0.55000000000000004">
      <c r="B1540" s="20" t="str">
        <f>_xll.RssMarket(A1540,"銘柄名称")</f>
        <v/>
      </c>
      <c r="C1540" s="21" t="str">
        <f>_xll.RssMarket(A1540,"現在値")</f>
        <v/>
      </c>
      <c r="D1540" s="20" t="str">
        <f>_xll.RssMarket(A1540,"現在値詳細時刻")</f>
        <v/>
      </c>
      <c r="E1540" s="22" t="str">
        <f>_xll.RssMarket(A1540,"前日比")</f>
        <v/>
      </c>
      <c r="F1540" s="23" t="e">
        <f>_xll.RssMarket(A1540,"前日比率")/100</f>
        <v>#VALUE!</v>
      </c>
      <c r="G1540" s="24" t="str">
        <f>IFERROR(VLOOKUP(A1540,取得元!$A$2:$F$501,2,FALSE),"-")</f>
        <v>-</v>
      </c>
      <c r="H1540" s="24" t="str">
        <f>IFERROR(VLOOKUP(A1540,取得元!$A$2:$F$501,3,FALSE),"-")</f>
        <v>-</v>
      </c>
      <c r="I1540" s="24" t="str">
        <f>IFERROR(VLOOKUP(A1540,取得元!$A$2:$F$501,4,FALSE),"-")</f>
        <v>-</v>
      </c>
      <c r="J1540" s="5" t="str">
        <f>IFERROR(VLOOKUP(A1540,取得元!$A$2:$F$501,5,FALSE),"-")</f>
        <v>-</v>
      </c>
      <c r="K1540" s="25" t="str">
        <f>IFERROR(VLOOKUP(A1540,取得元!$A$2:$F$501,6,FALSE)/100,"-")</f>
        <v>-</v>
      </c>
      <c r="L1540" s="21" t="str">
        <f>_xll.RssMarket(A1540,"始値")</f>
        <v/>
      </c>
      <c r="M1540" s="4" t="e">
        <f t="shared" si="130"/>
        <v>#VALUE!</v>
      </c>
      <c r="N1540" s="21" t="str">
        <f>_xll.RssMarket(A1540,"高値")</f>
        <v/>
      </c>
      <c r="O1540" s="4" t="e">
        <f t="shared" si="131"/>
        <v>#VALUE!</v>
      </c>
      <c r="P1540" s="21" t="str">
        <f>_xll.RssMarket(A1540,"安値")</f>
        <v/>
      </c>
      <c r="Q1540" s="4" t="e">
        <f t="shared" si="132"/>
        <v>#VALUE!</v>
      </c>
      <c r="R1540" s="21" t="str">
        <f>_xll.RssMarket(A1540,"後場始値")</f>
        <v/>
      </c>
      <c r="S1540" s="25" t="str">
        <f t="shared" si="133"/>
        <v>-</v>
      </c>
      <c r="T1540" s="7" t="str">
        <f>_xll.RssMarket(A1540,"出来高加重平均")</f>
        <v/>
      </c>
      <c r="U1540" s="4" t="e">
        <f t="shared" si="134"/>
        <v>#VALUE!</v>
      </c>
      <c r="V1540" s="21" t="str">
        <f>_xll.RssMarket(A1540,"出来高")</f>
        <v/>
      </c>
      <c r="W1540" s="21" t="str">
        <f>_xll.RssMarket(A1540,"売買代金")</f>
        <v/>
      </c>
      <c r="X1540" s="20" t="str">
        <f>_xll.RssMarket(A1540,"決算発表日")</f>
        <v/>
      </c>
      <c r="Y1540" s="26" t="str">
        <f>IF(C1540&gt;_xll.RssMarket(A1540,"年初来高値"),"○","×")</f>
        <v>×</v>
      </c>
      <c r="Z1540" s="27" t="str">
        <f>IF(C1540&lt;=_xll.RssMarket(A1540,"年初来安値"),"○","×")</f>
        <v>○</v>
      </c>
    </row>
    <row r="1541" spans="2:26" x14ac:dyDescent="0.55000000000000004">
      <c r="B1541" s="20" t="str">
        <f>_xll.RssMarket(A1541,"銘柄名称")</f>
        <v/>
      </c>
      <c r="C1541" s="21" t="str">
        <f>_xll.RssMarket(A1541,"現在値")</f>
        <v/>
      </c>
      <c r="D1541" s="20" t="str">
        <f>_xll.RssMarket(A1541,"現在値詳細時刻")</f>
        <v/>
      </c>
      <c r="E1541" s="22" t="str">
        <f>_xll.RssMarket(A1541,"前日比")</f>
        <v/>
      </c>
      <c r="F1541" s="23" t="e">
        <f>_xll.RssMarket(A1541,"前日比率")/100</f>
        <v>#VALUE!</v>
      </c>
      <c r="G1541" s="24" t="str">
        <f>IFERROR(VLOOKUP(A1541,取得元!$A$2:$F$501,2,FALSE),"-")</f>
        <v>-</v>
      </c>
      <c r="H1541" s="24" t="str">
        <f>IFERROR(VLOOKUP(A1541,取得元!$A$2:$F$501,3,FALSE),"-")</f>
        <v>-</v>
      </c>
      <c r="I1541" s="24" t="str">
        <f>IFERROR(VLOOKUP(A1541,取得元!$A$2:$F$501,4,FALSE),"-")</f>
        <v>-</v>
      </c>
      <c r="J1541" s="5" t="str">
        <f>IFERROR(VLOOKUP(A1541,取得元!$A$2:$F$501,5,FALSE),"-")</f>
        <v>-</v>
      </c>
      <c r="K1541" s="25" t="str">
        <f>IFERROR(VLOOKUP(A1541,取得元!$A$2:$F$501,6,FALSE)/100,"-")</f>
        <v>-</v>
      </c>
      <c r="L1541" s="21" t="str">
        <f>_xll.RssMarket(A1541,"始値")</f>
        <v/>
      </c>
      <c r="M1541" s="4" t="e">
        <f t="shared" si="130"/>
        <v>#VALUE!</v>
      </c>
      <c r="N1541" s="21" t="str">
        <f>_xll.RssMarket(A1541,"高値")</f>
        <v/>
      </c>
      <c r="O1541" s="4" t="e">
        <f t="shared" si="131"/>
        <v>#VALUE!</v>
      </c>
      <c r="P1541" s="21" t="str">
        <f>_xll.RssMarket(A1541,"安値")</f>
        <v/>
      </c>
      <c r="Q1541" s="4" t="e">
        <f t="shared" si="132"/>
        <v>#VALUE!</v>
      </c>
      <c r="R1541" s="21" t="str">
        <f>_xll.RssMarket(A1541,"後場始値")</f>
        <v/>
      </c>
      <c r="S1541" s="25" t="str">
        <f t="shared" si="133"/>
        <v>-</v>
      </c>
      <c r="T1541" s="7" t="str">
        <f>_xll.RssMarket(A1541,"出来高加重平均")</f>
        <v/>
      </c>
      <c r="U1541" s="4" t="e">
        <f t="shared" si="134"/>
        <v>#VALUE!</v>
      </c>
      <c r="V1541" s="21" t="str">
        <f>_xll.RssMarket(A1541,"出来高")</f>
        <v/>
      </c>
      <c r="W1541" s="21" t="str">
        <f>_xll.RssMarket(A1541,"売買代金")</f>
        <v/>
      </c>
      <c r="X1541" s="20" t="str">
        <f>_xll.RssMarket(A1541,"決算発表日")</f>
        <v/>
      </c>
      <c r="Y1541" s="26" t="str">
        <f>IF(C1541&gt;_xll.RssMarket(A1541,"年初来高値"),"○","×")</f>
        <v>×</v>
      </c>
      <c r="Z1541" s="27" t="str">
        <f>IF(C1541&lt;=_xll.RssMarket(A1541,"年初来安値"),"○","×")</f>
        <v>○</v>
      </c>
    </row>
    <row r="1542" spans="2:26" x14ac:dyDescent="0.55000000000000004">
      <c r="B1542" s="20" t="str">
        <f>_xll.RssMarket(A1542,"銘柄名称")</f>
        <v/>
      </c>
      <c r="C1542" s="21" t="str">
        <f>_xll.RssMarket(A1542,"現在値")</f>
        <v/>
      </c>
      <c r="D1542" s="20" t="str">
        <f>_xll.RssMarket(A1542,"現在値詳細時刻")</f>
        <v/>
      </c>
      <c r="E1542" s="22" t="str">
        <f>_xll.RssMarket(A1542,"前日比")</f>
        <v/>
      </c>
      <c r="F1542" s="23" t="e">
        <f>_xll.RssMarket(A1542,"前日比率")/100</f>
        <v>#VALUE!</v>
      </c>
      <c r="G1542" s="24" t="str">
        <f>IFERROR(VLOOKUP(A1542,取得元!$A$2:$F$501,2,FALSE),"-")</f>
        <v>-</v>
      </c>
      <c r="H1542" s="24" t="str">
        <f>IFERROR(VLOOKUP(A1542,取得元!$A$2:$F$501,3,FALSE),"-")</f>
        <v>-</v>
      </c>
      <c r="I1542" s="24" t="str">
        <f>IFERROR(VLOOKUP(A1542,取得元!$A$2:$F$501,4,FALSE),"-")</f>
        <v>-</v>
      </c>
      <c r="J1542" s="5" t="str">
        <f>IFERROR(VLOOKUP(A1542,取得元!$A$2:$F$501,5,FALSE),"-")</f>
        <v>-</v>
      </c>
      <c r="K1542" s="25" t="str">
        <f>IFERROR(VLOOKUP(A1542,取得元!$A$2:$F$501,6,FALSE)/100,"-")</f>
        <v>-</v>
      </c>
      <c r="L1542" s="21" t="str">
        <f>_xll.RssMarket(A1542,"始値")</f>
        <v/>
      </c>
      <c r="M1542" s="4" t="e">
        <f t="shared" si="130"/>
        <v>#VALUE!</v>
      </c>
      <c r="N1542" s="21" t="str">
        <f>_xll.RssMarket(A1542,"高値")</f>
        <v/>
      </c>
      <c r="O1542" s="4" t="e">
        <f t="shared" si="131"/>
        <v>#VALUE!</v>
      </c>
      <c r="P1542" s="21" t="str">
        <f>_xll.RssMarket(A1542,"安値")</f>
        <v/>
      </c>
      <c r="Q1542" s="4" t="e">
        <f t="shared" si="132"/>
        <v>#VALUE!</v>
      </c>
      <c r="R1542" s="21" t="str">
        <f>_xll.RssMarket(A1542,"後場始値")</f>
        <v/>
      </c>
      <c r="S1542" s="25" t="str">
        <f t="shared" si="133"/>
        <v>-</v>
      </c>
      <c r="T1542" s="7" t="str">
        <f>_xll.RssMarket(A1542,"出来高加重平均")</f>
        <v/>
      </c>
      <c r="U1542" s="4" t="e">
        <f t="shared" si="134"/>
        <v>#VALUE!</v>
      </c>
      <c r="V1542" s="21" t="str">
        <f>_xll.RssMarket(A1542,"出来高")</f>
        <v/>
      </c>
      <c r="W1542" s="21" t="str">
        <f>_xll.RssMarket(A1542,"売買代金")</f>
        <v/>
      </c>
      <c r="X1542" s="20" t="str">
        <f>_xll.RssMarket(A1542,"決算発表日")</f>
        <v/>
      </c>
      <c r="Y1542" s="26" t="str">
        <f>IF(C1542&gt;_xll.RssMarket(A1542,"年初来高値"),"○","×")</f>
        <v>×</v>
      </c>
      <c r="Z1542" s="27" t="str">
        <f>IF(C1542&lt;=_xll.RssMarket(A1542,"年初来安値"),"○","×")</f>
        <v>○</v>
      </c>
    </row>
    <row r="1543" spans="2:26" x14ac:dyDescent="0.55000000000000004">
      <c r="B1543" s="20" t="str">
        <f>_xll.RssMarket(A1543,"銘柄名称")</f>
        <v/>
      </c>
      <c r="C1543" s="21" t="str">
        <f>_xll.RssMarket(A1543,"現在値")</f>
        <v/>
      </c>
      <c r="D1543" s="20" t="str">
        <f>_xll.RssMarket(A1543,"現在値詳細時刻")</f>
        <v/>
      </c>
      <c r="E1543" s="22" t="str">
        <f>_xll.RssMarket(A1543,"前日比")</f>
        <v/>
      </c>
      <c r="F1543" s="23" t="e">
        <f>_xll.RssMarket(A1543,"前日比率")/100</f>
        <v>#VALUE!</v>
      </c>
      <c r="G1543" s="24" t="str">
        <f>IFERROR(VLOOKUP(A1543,取得元!$A$2:$F$501,2,FALSE),"-")</f>
        <v>-</v>
      </c>
      <c r="H1543" s="24" t="str">
        <f>IFERROR(VLOOKUP(A1543,取得元!$A$2:$F$501,3,FALSE),"-")</f>
        <v>-</v>
      </c>
      <c r="I1543" s="24" t="str">
        <f>IFERROR(VLOOKUP(A1543,取得元!$A$2:$F$501,4,FALSE),"-")</f>
        <v>-</v>
      </c>
      <c r="J1543" s="5" t="str">
        <f>IFERROR(VLOOKUP(A1543,取得元!$A$2:$F$501,5,FALSE),"-")</f>
        <v>-</v>
      </c>
      <c r="K1543" s="25" t="str">
        <f>IFERROR(VLOOKUP(A1543,取得元!$A$2:$F$501,6,FALSE)/100,"-")</f>
        <v>-</v>
      </c>
      <c r="L1543" s="21" t="str">
        <f>_xll.RssMarket(A1543,"始値")</f>
        <v/>
      </c>
      <c r="M1543" s="4" t="e">
        <f t="shared" si="130"/>
        <v>#VALUE!</v>
      </c>
      <c r="N1543" s="21" t="str">
        <f>_xll.RssMarket(A1543,"高値")</f>
        <v/>
      </c>
      <c r="O1543" s="4" t="e">
        <f t="shared" si="131"/>
        <v>#VALUE!</v>
      </c>
      <c r="P1543" s="21" t="str">
        <f>_xll.RssMarket(A1543,"安値")</f>
        <v/>
      </c>
      <c r="Q1543" s="4" t="e">
        <f t="shared" si="132"/>
        <v>#VALUE!</v>
      </c>
      <c r="R1543" s="21" t="str">
        <f>_xll.RssMarket(A1543,"後場始値")</f>
        <v/>
      </c>
      <c r="S1543" s="25" t="str">
        <f t="shared" si="133"/>
        <v>-</v>
      </c>
      <c r="T1543" s="7" t="str">
        <f>_xll.RssMarket(A1543,"出来高加重平均")</f>
        <v/>
      </c>
      <c r="U1543" s="4" t="e">
        <f t="shared" si="134"/>
        <v>#VALUE!</v>
      </c>
      <c r="V1543" s="21" t="str">
        <f>_xll.RssMarket(A1543,"出来高")</f>
        <v/>
      </c>
      <c r="W1543" s="21" t="str">
        <f>_xll.RssMarket(A1543,"売買代金")</f>
        <v/>
      </c>
      <c r="X1543" s="20" t="str">
        <f>_xll.RssMarket(A1543,"決算発表日")</f>
        <v/>
      </c>
      <c r="Y1543" s="26" t="str">
        <f>IF(C1543&gt;_xll.RssMarket(A1543,"年初来高値"),"○","×")</f>
        <v>×</v>
      </c>
      <c r="Z1543" s="27" t="str">
        <f>IF(C1543&lt;=_xll.RssMarket(A1543,"年初来安値"),"○","×")</f>
        <v>○</v>
      </c>
    </row>
    <row r="1544" spans="2:26" x14ac:dyDescent="0.55000000000000004">
      <c r="B1544" s="20" t="str">
        <f>_xll.RssMarket(A1544,"銘柄名称")</f>
        <v/>
      </c>
      <c r="C1544" s="21" t="str">
        <f>_xll.RssMarket(A1544,"現在値")</f>
        <v/>
      </c>
      <c r="D1544" s="20" t="str">
        <f>_xll.RssMarket(A1544,"現在値詳細時刻")</f>
        <v/>
      </c>
      <c r="E1544" s="22" t="str">
        <f>_xll.RssMarket(A1544,"前日比")</f>
        <v/>
      </c>
      <c r="F1544" s="23" t="e">
        <f>_xll.RssMarket(A1544,"前日比率")/100</f>
        <v>#VALUE!</v>
      </c>
      <c r="G1544" s="24" t="str">
        <f>IFERROR(VLOOKUP(A1544,取得元!$A$2:$F$501,2,FALSE),"-")</f>
        <v>-</v>
      </c>
      <c r="H1544" s="24" t="str">
        <f>IFERROR(VLOOKUP(A1544,取得元!$A$2:$F$501,3,FALSE),"-")</f>
        <v>-</v>
      </c>
      <c r="I1544" s="24" t="str">
        <f>IFERROR(VLOOKUP(A1544,取得元!$A$2:$F$501,4,FALSE),"-")</f>
        <v>-</v>
      </c>
      <c r="J1544" s="5" t="str">
        <f>IFERROR(VLOOKUP(A1544,取得元!$A$2:$F$501,5,FALSE),"-")</f>
        <v>-</v>
      </c>
      <c r="K1544" s="25" t="str">
        <f>IFERROR(VLOOKUP(A1544,取得元!$A$2:$F$501,6,FALSE)/100,"-")</f>
        <v>-</v>
      </c>
      <c r="L1544" s="21" t="str">
        <f>_xll.RssMarket(A1544,"始値")</f>
        <v/>
      </c>
      <c r="M1544" s="4" t="e">
        <f t="shared" si="130"/>
        <v>#VALUE!</v>
      </c>
      <c r="N1544" s="21" t="str">
        <f>_xll.RssMarket(A1544,"高値")</f>
        <v/>
      </c>
      <c r="O1544" s="4" t="e">
        <f t="shared" si="131"/>
        <v>#VALUE!</v>
      </c>
      <c r="P1544" s="21" t="str">
        <f>_xll.RssMarket(A1544,"安値")</f>
        <v/>
      </c>
      <c r="Q1544" s="4" t="e">
        <f t="shared" si="132"/>
        <v>#VALUE!</v>
      </c>
      <c r="R1544" s="21" t="str">
        <f>_xll.RssMarket(A1544,"後場始値")</f>
        <v/>
      </c>
      <c r="S1544" s="25" t="str">
        <f t="shared" si="133"/>
        <v>-</v>
      </c>
      <c r="T1544" s="7" t="str">
        <f>_xll.RssMarket(A1544,"出来高加重平均")</f>
        <v/>
      </c>
      <c r="U1544" s="4" t="e">
        <f t="shared" si="134"/>
        <v>#VALUE!</v>
      </c>
      <c r="V1544" s="21" t="str">
        <f>_xll.RssMarket(A1544,"出来高")</f>
        <v/>
      </c>
      <c r="W1544" s="21" t="str">
        <f>_xll.RssMarket(A1544,"売買代金")</f>
        <v/>
      </c>
      <c r="X1544" s="20" t="str">
        <f>_xll.RssMarket(A1544,"決算発表日")</f>
        <v/>
      </c>
      <c r="Y1544" s="26" t="str">
        <f>IF(C1544&gt;_xll.RssMarket(A1544,"年初来高値"),"○","×")</f>
        <v>×</v>
      </c>
      <c r="Z1544" s="27" t="str">
        <f>IF(C1544&lt;=_xll.RssMarket(A1544,"年初来安値"),"○","×")</f>
        <v>○</v>
      </c>
    </row>
    <row r="1545" spans="2:26" x14ac:dyDescent="0.55000000000000004">
      <c r="B1545" s="20" t="str">
        <f>_xll.RssMarket(A1545,"銘柄名称")</f>
        <v/>
      </c>
      <c r="C1545" s="21" t="str">
        <f>_xll.RssMarket(A1545,"現在値")</f>
        <v/>
      </c>
      <c r="D1545" s="20" t="str">
        <f>_xll.RssMarket(A1545,"現在値詳細時刻")</f>
        <v/>
      </c>
      <c r="E1545" s="22" t="str">
        <f>_xll.RssMarket(A1545,"前日比")</f>
        <v/>
      </c>
      <c r="F1545" s="23" t="e">
        <f>_xll.RssMarket(A1545,"前日比率")/100</f>
        <v>#VALUE!</v>
      </c>
      <c r="G1545" s="24" t="str">
        <f>IFERROR(VLOOKUP(A1545,取得元!$A$2:$F$501,2,FALSE),"-")</f>
        <v>-</v>
      </c>
      <c r="H1545" s="24" t="str">
        <f>IFERROR(VLOOKUP(A1545,取得元!$A$2:$F$501,3,FALSE),"-")</f>
        <v>-</v>
      </c>
      <c r="I1545" s="24" t="str">
        <f>IFERROR(VLOOKUP(A1545,取得元!$A$2:$F$501,4,FALSE),"-")</f>
        <v>-</v>
      </c>
      <c r="J1545" s="5" t="str">
        <f>IFERROR(VLOOKUP(A1545,取得元!$A$2:$F$501,5,FALSE),"-")</f>
        <v>-</v>
      </c>
      <c r="K1545" s="25" t="str">
        <f>IFERROR(VLOOKUP(A1545,取得元!$A$2:$F$501,6,FALSE)/100,"-")</f>
        <v>-</v>
      </c>
      <c r="L1545" s="21" t="str">
        <f>_xll.RssMarket(A1545,"始値")</f>
        <v/>
      </c>
      <c r="M1545" s="4" t="e">
        <f t="shared" si="130"/>
        <v>#VALUE!</v>
      </c>
      <c r="N1545" s="21" t="str">
        <f>_xll.RssMarket(A1545,"高値")</f>
        <v/>
      </c>
      <c r="O1545" s="4" t="e">
        <f t="shared" si="131"/>
        <v>#VALUE!</v>
      </c>
      <c r="P1545" s="21" t="str">
        <f>_xll.RssMarket(A1545,"安値")</f>
        <v/>
      </c>
      <c r="Q1545" s="4" t="e">
        <f t="shared" si="132"/>
        <v>#VALUE!</v>
      </c>
      <c r="R1545" s="21" t="str">
        <f>_xll.RssMarket(A1545,"後場始値")</f>
        <v/>
      </c>
      <c r="S1545" s="25" t="str">
        <f t="shared" si="133"/>
        <v>-</v>
      </c>
      <c r="T1545" s="7" t="str">
        <f>_xll.RssMarket(A1545,"出来高加重平均")</f>
        <v/>
      </c>
      <c r="U1545" s="4" t="e">
        <f t="shared" si="134"/>
        <v>#VALUE!</v>
      </c>
      <c r="V1545" s="21" t="str">
        <f>_xll.RssMarket(A1545,"出来高")</f>
        <v/>
      </c>
      <c r="W1545" s="21" t="str">
        <f>_xll.RssMarket(A1545,"売買代金")</f>
        <v/>
      </c>
      <c r="X1545" s="20" t="str">
        <f>_xll.RssMarket(A1545,"決算発表日")</f>
        <v/>
      </c>
      <c r="Y1545" s="26" t="str">
        <f>IF(C1545&gt;_xll.RssMarket(A1545,"年初来高値"),"○","×")</f>
        <v>×</v>
      </c>
      <c r="Z1545" s="27" t="str">
        <f>IF(C1545&lt;=_xll.RssMarket(A1545,"年初来安値"),"○","×")</f>
        <v>○</v>
      </c>
    </row>
    <row r="1546" spans="2:26" x14ac:dyDescent="0.55000000000000004">
      <c r="B1546" s="20" t="str">
        <f>_xll.RssMarket(A1546,"銘柄名称")</f>
        <v/>
      </c>
      <c r="C1546" s="21" t="str">
        <f>_xll.RssMarket(A1546,"現在値")</f>
        <v/>
      </c>
      <c r="D1546" s="20" t="str">
        <f>_xll.RssMarket(A1546,"現在値詳細時刻")</f>
        <v/>
      </c>
      <c r="E1546" s="22" t="str">
        <f>_xll.RssMarket(A1546,"前日比")</f>
        <v/>
      </c>
      <c r="F1546" s="23" t="e">
        <f>_xll.RssMarket(A1546,"前日比率")/100</f>
        <v>#VALUE!</v>
      </c>
      <c r="G1546" s="24" t="str">
        <f>IFERROR(VLOOKUP(A1546,取得元!$A$2:$F$501,2,FALSE),"-")</f>
        <v>-</v>
      </c>
      <c r="H1546" s="24" t="str">
        <f>IFERROR(VLOOKUP(A1546,取得元!$A$2:$F$501,3,FALSE),"-")</f>
        <v>-</v>
      </c>
      <c r="I1546" s="24" t="str">
        <f>IFERROR(VLOOKUP(A1546,取得元!$A$2:$F$501,4,FALSE),"-")</f>
        <v>-</v>
      </c>
      <c r="J1546" s="5" t="str">
        <f>IFERROR(VLOOKUP(A1546,取得元!$A$2:$F$501,5,FALSE),"-")</f>
        <v>-</v>
      </c>
      <c r="K1546" s="25" t="str">
        <f>IFERROR(VLOOKUP(A1546,取得元!$A$2:$F$501,6,FALSE)/100,"-")</f>
        <v>-</v>
      </c>
      <c r="L1546" s="21" t="str">
        <f>_xll.RssMarket(A1546,"始値")</f>
        <v/>
      </c>
      <c r="M1546" s="4" t="e">
        <f t="shared" si="130"/>
        <v>#VALUE!</v>
      </c>
      <c r="N1546" s="21" t="str">
        <f>_xll.RssMarket(A1546,"高値")</f>
        <v/>
      </c>
      <c r="O1546" s="4" t="e">
        <f t="shared" si="131"/>
        <v>#VALUE!</v>
      </c>
      <c r="P1546" s="21" t="str">
        <f>_xll.RssMarket(A1546,"安値")</f>
        <v/>
      </c>
      <c r="Q1546" s="4" t="e">
        <f t="shared" si="132"/>
        <v>#VALUE!</v>
      </c>
      <c r="R1546" s="21" t="str">
        <f>_xll.RssMarket(A1546,"後場始値")</f>
        <v/>
      </c>
      <c r="S1546" s="25" t="str">
        <f t="shared" si="133"/>
        <v>-</v>
      </c>
      <c r="T1546" s="7" t="str">
        <f>_xll.RssMarket(A1546,"出来高加重平均")</f>
        <v/>
      </c>
      <c r="U1546" s="4" t="e">
        <f t="shared" si="134"/>
        <v>#VALUE!</v>
      </c>
      <c r="V1546" s="21" t="str">
        <f>_xll.RssMarket(A1546,"出来高")</f>
        <v/>
      </c>
      <c r="W1546" s="21" t="str">
        <f>_xll.RssMarket(A1546,"売買代金")</f>
        <v/>
      </c>
      <c r="X1546" s="20" t="str">
        <f>_xll.RssMarket(A1546,"決算発表日")</f>
        <v/>
      </c>
      <c r="Y1546" s="26" t="str">
        <f>IF(C1546&gt;_xll.RssMarket(A1546,"年初来高値"),"○","×")</f>
        <v>×</v>
      </c>
      <c r="Z1546" s="27" t="str">
        <f>IF(C1546&lt;=_xll.RssMarket(A1546,"年初来安値"),"○","×")</f>
        <v>○</v>
      </c>
    </row>
    <row r="1547" spans="2:26" x14ac:dyDescent="0.55000000000000004">
      <c r="B1547" s="20" t="str">
        <f>_xll.RssMarket(A1547,"銘柄名称")</f>
        <v/>
      </c>
      <c r="C1547" s="21" t="str">
        <f>_xll.RssMarket(A1547,"現在値")</f>
        <v/>
      </c>
      <c r="D1547" s="20" t="str">
        <f>_xll.RssMarket(A1547,"現在値詳細時刻")</f>
        <v/>
      </c>
      <c r="E1547" s="22" t="str">
        <f>_xll.RssMarket(A1547,"前日比")</f>
        <v/>
      </c>
      <c r="F1547" s="23" t="e">
        <f>_xll.RssMarket(A1547,"前日比率")/100</f>
        <v>#VALUE!</v>
      </c>
      <c r="G1547" s="24" t="str">
        <f>IFERROR(VLOOKUP(A1547,取得元!$A$2:$F$501,2,FALSE),"-")</f>
        <v>-</v>
      </c>
      <c r="H1547" s="24" t="str">
        <f>IFERROR(VLOOKUP(A1547,取得元!$A$2:$F$501,3,FALSE),"-")</f>
        <v>-</v>
      </c>
      <c r="I1547" s="24" t="str">
        <f>IFERROR(VLOOKUP(A1547,取得元!$A$2:$F$501,4,FALSE),"-")</f>
        <v>-</v>
      </c>
      <c r="J1547" s="5" t="str">
        <f>IFERROR(VLOOKUP(A1547,取得元!$A$2:$F$501,5,FALSE),"-")</f>
        <v>-</v>
      </c>
      <c r="K1547" s="25" t="str">
        <f>IFERROR(VLOOKUP(A1547,取得元!$A$2:$F$501,6,FALSE)/100,"-")</f>
        <v>-</v>
      </c>
      <c r="L1547" s="21" t="str">
        <f>_xll.RssMarket(A1547,"始値")</f>
        <v/>
      </c>
      <c r="M1547" s="4" t="e">
        <f t="shared" si="130"/>
        <v>#VALUE!</v>
      </c>
      <c r="N1547" s="21" t="str">
        <f>_xll.RssMarket(A1547,"高値")</f>
        <v/>
      </c>
      <c r="O1547" s="4" t="e">
        <f t="shared" si="131"/>
        <v>#VALUE!</v>
      </c>
      <c r="P1547" s="21" t="str">
        <f>_xll.RssMarket(A1547,"安値")</f>
        <v/>
      </c>
      <c r="Q1547" s="4" t="e">
        <f t="shared" si="132"/>
        <v>#VALUE!</v>
      </c>
      <c r="R1547" s="21" t="str">
        <f>_xll.RssMarket(A1547,"後場始値")</f>
        <v/>
      </c>
      <c r="S1547" s="25" t="str">
        <f t="shared" si="133"/>
        <v>-</v>
      </c>
      <c r="T1547" s="7" t="str">
        <f>_xll.RssMarket(A1547,"出来高加重平均")</f>
        <v/>
      </c>
      <c r="U1547" s="4" t="e">
        <f t="shared" si="134"/>
        <v>#VALUE!</v>
      </c>
      <c r="V1547" s="21" t="str">
        <f>_xll.RssMarket(A1547,"出来高")</f>
        <v/>
      </c>
      <c r="W1547" s="21" t="str">
        <f>_xll.RssMarket(A1547,"売買代金")</f>
        <v/>
      </c>
      <c r="X1547" s="20" t="str">
        <f>_xll.RssMarket(A1547,"決算発表日")</f>
        <v/>
      </c>
      <c r="Y1547" s="26" t="str">
        <f>IF(C1547&gt;_xll.RssMarket(A1547,"年初来高値"),"○","×")</f>
        <v>×</v>
      </c>
      <c r="Z1547" s="27" t="str">
        <f>IF(C1547&lt;=_xll.RssMarket(A1547,"年初来安値"),"○","×")</f>
        <v>○</v>
      </c>
    </row>
    <row r="1548" spans="2:26" x14ac:dyDescent="0.55000000000000004">
      <c r="B1548" s="20" t="str">
        <f>_xll.RssMarket(A1548,"銘柄名称")</f>
        <v/>
      </c>
      <c r="C1548" s="21" t="str">
        <f>_xll.RssMarket(A1548,"現在値")</f>
        <v/>
      </c>
      <c r="D1548" s="20" t="str">
        <f>_xll.RssMarket(A1548,"現在値詳細時刻")</f>
        <v/>
      </c>
      <c r="E1548" s="22" t="str">
        <f>_xll.RssMarket(A1548,"前日比")</f>
        <v/>
      </c>
      <c r="F1548" s="23" t="e">
        <f>_xll.RssMarket(A1548,"前日比率")/100</f>
        <v>#VALUE!</v>
      </c>
      <c r="G1548" s="24" t="str">
        <f>IFERROR(VLOOKUP(A1548,取得元!$A$2:$F$501,2,FALSE),"-")</f>
        <v>-</v>
      </c>
      <c r="H1548" s="24" t="str">
        <f>IFERROR(VLOOKUP(A1548,取得元!$A$2:$F$501,3,FALSE),"-")</f>
        <v>-</v>
      </c>
      <c r="I1548" s="24" t="str">
        <f>IFERROR(VLOOKUP(A1548,取得元!$A$2:$F$501,4,FALSE),"-")</f>
        <v>-</v>
      </c>
      <c r="J1548" s="5" t="str">
        <f>IFERROR(VLOOKUP(A1548,取得元!$A$2:$F$501,5,FALSE),"-")</f>
        <v>-</v>
      </c>
      <c r="K1548" s="25" t="str">
        <f>IFERROR(VLOOKUP(A1548,取得元!$A$2:$F$501,6,FALSE)/100,"-")</f>
        <v>-</v>
      </c>
      <c r="L1548" s="21" t="str">
        <f>_xll.RssMarket(A1548,"始値")</f>
        <v/>
      </c>
      <c r="M1548" s="4" t="e">
        <f t="shared" si="130"/>
        <v>#VALUE!</v>
      </c>
      <c r="N1548" s="21" t="str">
        <f>_xll.RssMarket(A1548,"高値")</f>
        <v/>
      </c>
      <c r="O1548" s="4" t="e">
        <f t="shared" si="131"/>
        <v>#VALUE!</v>
      </c>
      <c r="P1548" s="21" t="str">
        <f>_xll.RssMarket(A1548,"安値")</f>
        <v/>
      </c>
      <c r="Q1548" s="4" t="e">
        <f t="shared" si="132"/>
        <v>#VALUE!</v>
      </c>
      <c r="R1548" s="21" t="str">
        <f>_xll.RssMarket(A1548,"後場始値")</f>
        <v/>
      </c>
      <c r="S1548" s="25" t="str">
        <f t="shared" si="133"/>
        <v>-</v>
      </c>
      <c r="T1548" s="7" t="str">
        <f>_xll.RssMarket(A1548,"出来高加重平均")</f>
        <v/>
      </c>
      <c r="U1548" s="4" t="e">
        <f t="shared" si="134"/>
        <v>#VALUE!</v>
      </c>
      <c r="V1548" s="21" t="str">
        <f>_xll.RssMarket(A1548,"出来高")</f>
        <v/>
      </c>
      <c r="W1548" s="21" t="str">
        <f>_xll.RssMarket(A1548,"売買代金")</f>
        <v/>
      </c>
      <c r="X1548" s="20" t="str">
        <f>_xll.RssMarket(A1548,"決算発表日")</f>
        <v/>
      </c>
      <c r="Y1548" s="26" t="str">
        <f>IF(C1548&gt;_xll.RssMarket(A1548,"年初来高値"),"○","×")</f>
        <v>×</v>
      </c>
      <c r="Z1548" s="27" t="str">
        <f>IF(C1548&lt;=_xll.RssMarket(A1548,"年初来安値"),"○","×")</f>
        <v>○</v>
      </c>
    </row>
    <row r="1549" spans="2:26" x14ac:dyDescent="0.55000000000000004">
      <c r="B1549" s="20" t="str">
        <f>_xll.RssMarket(A1549,"銘柄名称")</f>
        <v/>
      </c>
      <c r="C1549" s="21" t="str">
        <f>_xll.RssMarket(A1549,"現在値")</f>
        <v/>
      </c>
      <c r="D1549" s="20" t="str">
        <f>_xll.RssMarket(A1549,"現在値詳細時刻")</f>
        <v/>
      </c>
      <c r="E1549" s="22" t="str">
        <f>_xll.RssMarket(A1549,"前日比")</f>
        <v/>
      </c>
      <c r="F1549" s="23" t="e">
        <f>_xll.RssMarket(A1549,"前日比率")/100</f>
        <v>#VALUE!</v>
      </c>
      <c r="G1549" s="24" t="str">
        <f>IFERROR(VLOOKUP(A1549,取得元!$A$2:$F$501,2,FALSE),"-")</f>
        <v>-</v>
      </c>
      <c r="H1549" s="24" t="str">
        <f>IFERROR(VLOOKUP(A1549,取得元!$A$2:$F$501,3,FALSE),"-")</f>
        <v>-</v>
      </c>
      <c r="I1549" s="24" t="str">
        <f>IFERROR(VLOOKUP(A1549,取得元!$A$2:$F$501,4,FALSE),"-")</f>
        <v>-</v>
      </c>
      <c r="J1549" s="5" t="str">
        <f>IFERROR(VLOOKUP(A1549,取得元!$A$2:$F$501,5,FALSE),"-")</f>
        <v>-</v>
      </c>
      <c r="K1549" s="25" t="str">
        <f>IFERROR(VLOOKUP(A1549,取得元!$A$2:$F$501,6,FALSE)/100,"-")</f>
        <v>-</v>
      </c>
      <c r="L1549" s="21" t="str">
        <f>_xll.RssMarket(A1549,"始値")</f>
        <v/>
      </c>
      <c r="M1549" s="4" t="e">
        <f t="shared" si="130"/>
        <v>#VALUE!</v>
      </c>
      <c r="N1549" s="21" t="str">
        <f>_xll.RssMarket(A1549,"高値")</f>
        <v/>
      </c>
      <c r="O1549" s="4" t="e">
        <f t="shared" si="131"/>
        <v>#VALUE!</v>
      </c>
      <c r="P1549" s="21" t="str">
        <f>_xll.RssMarket(A1549,"安値")</f>
        <v/>
      </c>
      <c r="Q1549" s="4" t="e">
        <f t="shared" si="132"/>
        <v>#VALUE!</v>
      </c>
      <c r="R1549" s="21" t="str">
        <f>_xll.RssMarket(A1549,"後場始値")</f>
        <v/>
      </c>
      <c r="S1549" s="25" t="str">
        <f t="shared" si="133"/>
        <v>-</v>
      </c>
      <c r="T1549" s="7" t="str">
        <f>_xll.RssMarket(A1549,"出来高加重平均")</f>
        <v/>
      </c>
      <c r="U1549" s="4" t="e">
        <f t="shared" si="134"/>
        <v>#VALUE!</v>
      </c>
      <c r="V1549" s="21" t="str">
        <f>_xll.RssMarket(A1549,"出来高")</f>
        <v/>
      </c>
      <c r="W1549" s="21" t="str">
        <f>_xll.RssMarket(A1549,"売買代金")</f>
        <v/>
      </c>
      <c r="X1549" s="20" t="str">
        <f>_xll.RssMarket(A1549,"決算発表日")</f>
        <v/>
      </c>
      <c r="Y1549" s="26" t="str">
        <f>IF(C1549&gt;_xll.RssMarket(A1549,"年初来高値"),"○","×")</f>
        <v>×</v>
      </c>
      <c r="Z1549" s="27" t="str">
        <f>IF(C1549&lt;=_xll.RssMarket(A1549,"年初来安値"),"○","×")</f>
        <v>○</v>
      </c>
    </row>
    <row r="1550" spans="2:26" x14ac:dyDescent="0.55000000000000004">
      <c r="B1550" s="20" t="str">
        <f>_xll.RssMarket(A1550,"銘柄名称")</f>
        <v/>
      </c>
      <c r="C1550" s="21" t="str">
        <f>_xll.RssMarket(A1550,"現在値")</f>
        <v/>
      </c>
      <c r="D1550" s="20" t="str">
        <f>_xll.RssMarket(A1550,"現在値詳細時刻")</f>
        <v/>
      </c>
      <c r="E1550" s="22" t="str">
        <f>_xll.RssMarket(A1550,"前日比")</f>
        <v/>
      </c>
      <c r="F1550" s="23" t="e">
        <f>_xll.RssMarket(A1550,"前日比率")/100</f>
        <v>#VALUE!</v>
      </c>
      <c r="G1550" s="24" t="str">
        <f>IFERROR(VLOOKUP(A1550,取得元!$A$2:$F$501,2,FALSE),"-")</f>
        <v>-</v>
      </c>
      <c r="H1550" s="24" t="str">
        <f>IFERROR(VLOOKUP(A1550,取得元!$A$2:$F$501,3,FALSE),"-")</f>
        <v>-</v>
      </c>
      <c r="I1550" s="24" t="str">
        <f>IFERROR(VLOOKUP(A1550,取得元!$A$2:$F$501,4,FALSE),"-")</f>
        <v>-</v>
      </c>
      <c r="J1550" s="5" t="str">
        <f>IFERROR(VLOOKUP(A1550,取得元!$A$2:$F$501,5,FALSE),"-")</f>
        <v>-</v>
      </c>
      <c r="K1550" s="25" t="str">
        <f>IFERROR(VLOOKUP(A1550,取得元!$A$2:$F$501,6,FALSE)/100,"-")</f>
        <v>-</v>
      </c>
      <c r="L1550" s="21" t="str">
        <f>_xll.RssMarket(A1550,"始値")</f>
        <v/>
      </c>
      <c r="M1550" s="4" t="e">
        <f t="shared" si="130"/>
        <v>#VALUE!</v>
      </c>
      <c r="N1550" s="21" t="str">
        <f>_xll.RssMarket(A1550,"高値")</f>
        <v/>
      </c>
      <c r="O1550" s="4" t="e">
        <f t="shared" si="131"/>
        <v>#VALUE!</v>
      </c>
      <c r="P1550" s="21" t="str">
        <f>_xll.RssMarket(A1550,"安値")</f>
        <v/>
      </c>
      <c r="Q1550" s="4" t="e">
        <f t="shared" si="132"/>
        <v>#VALUE!</v>
      </c>
      <c r="R1550" s="21" t="str">
        <f>_xll.RssMarket(A1550,"後場始値")</f>
        <v/>
      </c>
      <c r="S1550" s="25" t="str">
        <f t="shared" si="133"/>
        <v>-</v>
      </c>
      <c r="T1550" s="7" t="str">
        <f>_xll.RssMarket(A1550,"出来高加重平均")</f>
        <v/>
      </c>
      <c r="U1550" s="4" t="e">
        <f t="shared" si="134"/>
        <v>#VALUE!</v>
      </c>
      <c r="V1550" s="21" t="str">
        <f>_xll.RssMarket(A1550,"出来高")</f>
        <v/>
      </c>
      <c r="W1550" s="21" t="str">
        <f>_xll.RssMarket(A1550,"売買代金")</f>
        <v/>
      </c>
      <c r="X1550" s="20" t="str">
        <f>_xll.RssMarket(A1550,"決算発表日")</f>
        <v/>
      </c>
      <c r="Y1550" s="26" t="str">
        <f>IF(C1550&gt;_xll.RssMarket(A1550,"年初来高値"),"○","×")</f>
        <v>×</v>
      </c>
      <c r="Z1550" s="27" t="str">
        <f>IF(C1550&lt;=_xll.RssMarket(A1550,"年初来安値"),"○","×")</f>
        <v>○</v>
      </c>
    </row>
    <row r="1551" spans="2:26" x14ac:dyDescent="0.55000000000000004">
      <c r="B1551" s="20" t="str">
        <f>_xll.RssMarket(A1551,"銘柄名称")</f>
        <v/>
      </c>
      <c r="C1551" s="21" t="str">
        <f>_xll.RssMarket(A1551,"現在値")</f>
        <v/>
      </c>
      <c r="D1551" s="20" t="str">
        <f>_xll.RssMarket(A1551,"現在値詳細時刻")</f>
        <v/>
      </c>
      <c r="E1551" s="22" t="str">
        <f>_xll.RssMarket(A1551,"前日比")</f>
        <v/>
      </c>
      <c r="F1551" s="23" t="e">
        <f>_xll.RssMarket(A1551,"前日比率")/100</f>
        <v>#VALUE!</v>
      </c>
      <c r="G1551" s="24" t="str">
        <f>IFERROR(VLOOKUP(A1551,取得元!$A$2:$F$501,2,FALSE),"-")</f>
        <v>-</v>
      </c>
      <c r="H1551" s="24" t="str">
        <f>IFERROR(VLOOKUP(A1551,取得元!$A$2:$F$501,3,FALSE),"-")</f>
        <v>-</v>
      </c>
      <c r="I1551" s="24" t="str">
        <f>IFERROR(VLOOKUP(A1551,取得元!$A$2:$F$501,4,FALSE),"-")</f>
        <v>-</v>
      </c>
      <c r="J1551" s="5" t="str">
        <f>IFERROR(VLOOKUP(A1551,取得元!$A$2:$F$501,5,FALSE),"-")</f>
        <v>-</v>
      </c>
      <c r="K1551" s="25" t="str">
        <f>IFERROR(VLOOKUP(A1551,取得元!$A$2:$F$501,6,FALSE)/100,"-")</f>
        <v>-</v>
      </c>
      <c r="L1551" s="21" t="str">
        <f>_xll.RssMarket(A1551,"始値")</f>
        <v/>
      </c>
      <c r="M1551" s="4" t="e">
        <f t="shared" si="130"/>
        <v>#VALUE!</v>
      </c>
      <c r="N1551" s="21" t="str">
        <f>_xll.RssMarket(A1551,"高値")</f>
        <v/>
      </c>
      <c r="O1551" s="4" t="e">
        <f t="shared" si="131"/>
        <v>#VALUE!</v>
      </c>
      <c r="P1551" s="21" t="str">
        <f>_xll.RssMarket(A1551,"安値")</f>
        <v/>
      </c>
      <c r="Q1551" s="4" t="e">
        <f t="shared" si="132"/>
        <v>#VALUE!</v>
      </c>
      <c r="R1551" s="21" t="str">
        <f>_xll.RssMarket(A1551,"後場始値")</f>
        <v/>
      </c>
      <c r="S1551" s="25" t="str">
        <f t="shared" si="133"/>
        <v>-</v>
      </c>
      <c r="T1551" s="7" t="str">
        <f>_xll.RssMarket(A1551,"出来高加重平均")</f>
        <v/>
      </c>
      <c r="U1551" s="4" t="e">
        <f t="shared" si="134"/>
        <v>#VALUE!</v>
      </c>
      <c r="V1551" s="21" t="str">
        <f>_xll.RssMarket(A1551,"出来高")</f>
        <v/>
      </c>
      <c r="W1551" s="21" t="str">
        <f>_xll.RssMarket(A1551,"売買代金")</f>
        <v/>
      </c>
      <c r="X1551" s="20" t="str">
        <f>_xll.RssMarket(A1551,"決算発表日")</f>
        <v/>
      </c>
      <c r="Y1551" s="26" t="str">
        <f>IF(C1551&gt;_xll.RssMarket(A1551,"年初来高値"),"○","×")</f>
        <v>×</v>
      </c>
      <c r="Z1551" s="27" t="str">
        <f>IF(C1551&lt;=_xll.RssMarket(A1551,"年初来安値"),"○","×")</f>
        <v>○</v>
      </c>
    </row>
    <row r="1552" spans="2:26" x14ac:dyDescent="0.55000000000000004">
      <c r="B1552" s="20" t="str">
        <f>_xll.RssMarket(A1552,"銘柄名称")</f>
        <v/>
      </c>
      <c r="C1552" s="21" t="str">
        <f>_xll.RssMarket(A1552,"現在値")</f>
        <v/>
      </c>
      <c r="D1552" s="20" t="str">
        <f>_xll.RssMarket(A1552,"現在値詳細時刻")</f>
        <v/>
      </c>
      <c r="E1552" s="22" t="str">
        <f>_xll.RssMarket(A1552,"前日比")</f>
        <v/>
      </c>
      <c r="F1552" s="23" t="e">
        <f>_xll.RssMarket(A1552,"前日比率")/100</f>
        <v>#VALUE!</v>
      </c>
      <c r="G1552" s="24" t="str">
        <f>IFERROR(VLOOKUP(A1552,取得元!$A$2:$F$501,2,FALSE),"-")</f>
        <v>-</v>
      </c>
      <c r="H1552" s="24" t="str">
        <f>IFERROR(VLOOKUP(A1552,取得元!$A$2:$F$501,3,FALSE),"-")</f>
        <v>-</v>
      </c>
      <c r="I1552" s="24" t="str">
        <f>IFERROR(VLOOKUP(A1552,取得元!$A$2:$F$501,4,FALSE),"-")</f>
        <v>-</v>
      </c>
      <c r="J1552" s="5" t="str">
        <f>IFERROR(VLOOKUP(A1552,取得元!$A$2:$F$501,5,FALSE),"-")</f>
        <v>-</v>
      </c>
      <c r="K1552" s="25" t="str">
        <f>IFERROR(VLOOKUP(A1552,取得元!$A$2:$F$501,6,FALSE)/100,"-")</f>
        <v>-</v>
      </c>
      <c r="L1552" s="21" t="str">
        <f>_xll.RssMarket(A1552,"始値")</f>
        <v/>
      </c>
      <c r="M1552" s="4" t="e">
        <f t="shared" si="130"/>
        <v>#VALUE!</v>
      </c>
      <c r="N1552" s="21" t="str">
        <f>_xll.RssMarket(A1552,"高値")</f>
        <v/>
      </c>
      <c r="O1552" s="4" t="e">
        <f t="shared" si="131"/>
        <v>#VALUE!</v>
      </c>
      <c r="P1552" s="21" t="str">
        <f>_xll.RssMarket(A1552,"安値")</f>
        <v/>
      </c>
      <c r="Q1552" s="4" t="e">
        <f t="shared" si="132"/>
        <v>#VALUE!</v>
      </c>
      <c r="R1552" s="21" t="str">
        <f>_xll.RssMarket(A1552,"後場始値")</f>
        <v/>
      </c>
      <c r="S1552" s="25" t="str">
        <f t="shared" si="133"/>
        <v>-</v>
      </c>
      <c r="T1552" s="7" t="str">
        <f>_xll.RssMarket(A1552,"出来高加重平均")</f>
        <v/>
      </c>
      <c r="U1552" s="4" t="e">
        <f t="shared" si="134"/>
        <v>#VALUE!</v>
      </c>
      <c r="V1552" s="21" t="str">
        <f>_xll.RssMarket(A1552,"出来高")</f>
        <v/>
      </c>
      <c r="W1552" s="21" t="str">
        <f>_xll.RssMarket(A1552,"売買代金")</f>
        <v/>
      </c>
      <c r="X1552" s="20" t="str">
        <f>_xll.RssMarket(A1552,"決算発表日")</f>
        <v/>
      </c>
      <c r="Y1552" s="26" t="str">
        <f>IF(C1552&gt;_xll.RssMarket(A1552,"年初来高値"),"○","×")</f>
        <v>×</v>
      </c>
      <c r="Z1552" s="27" t="str">
        <f>IF(C1552&lt;=_xll.RssMarket(A1552,"年初来安値"),"○","×")</f>
        <v>○</v>
      </c>
    </row>
    <row r="1553" spans="2:26" x14ac:dyDescent="0.55000000000000004">
      <c r="B1553" s="20" t="str">
        <f>_xll.RssMarket(A1553,"銘柄名称")</f>
        <v/>
      </c>
      <c r="C1553" s="21" t="str">
        <f>_xll.RssMarket(A1553,"現在値")</f>
        <v/>
      </c>
      <c r="D1553" s="20" t="str">
        <f>_xll.RssMarket(A1553,"現在値詳細時刻")</f>
        <v/>
      </c>
      <c r="E1553" s="22" t="str">
        <f>_xll.RssMarket(A1553,"前日比")</f>
        <v/>
      </c>
      <c r="F1553" s="23" t="e">
        <f>_xll.RssMarket(A1553,"前日比率")/100</f>
        <v>#VALUE!</v>
      </c>
      <c r="G1553" s="24" t="str">
        <f>IFERROR(VLOOKUP(A1553,取得元!$A$2:$F$501,2,FALSE),"-")</f>
        <v>-</v>
      </c>
      <c r="H1553" s="24" t="str">
        <f>IFERROR(VLOOKUP(A1553,取得元!$A$2:$F$501,3,FALSE),"-")</f>
        <v>-</v>
      </c>
      <c r="I1553" s="24" t="str">
        <f>IFERROR(VLOOKUP(A1553,取得元!$A$2:$F$501,4,FALSE),"-")</f>
        <v>-</v>
      </c>
      <c r="J1553" s="5" t="str">
        <f>IFERROR(VLOOKUP(A1553,取得元!$A$2:$F$501,5,FALSE),"-")</f>
        <v>-</v>
      </c>
      <c r="K1553" s="25" t="str">
        <f>IFERROR(VLOOKUP(A1553,取得元!$A$2:$F$501,6,FALSE)/100,"-")</f>
        <v>-</v>
      </c>
      <c r="L1553" s="21" t="str">
        <f>_xll.RssMarket(A1553,"始値")</f>
        <v/>
      </c>
      <c r="M1553" s="4" t="e">
        <f t="shared" si="130"/>
        <v>#VALUE!</v>
      </c>
      <c r="N1553" s="21" t="str">
        <f>_xll.RssMarket(A1553,"高値")</f>
        <v/>
      </c>
      <c r="O1553" s="4" t="e">
        <f t="shared" si="131"/>
        <v>#VALUE!</v>
      </c>
      <c r="P1553" s="21" t="str">
        <f>_xll.RssMarket(A1553,"安値")</f>
        <v/>
      </c>
      <c r="Q1553" s="4" t="e">
        <f t="shared" si="132"/>
        <v>#VALUE!</v>
      </c>
      <c r="R1553" s="21" t="str">
        <f>_xll.RssMarket(A1553,"後場始値")</f>
        <v/>
      </c>
      <c r="S1553" s="25" t="str">
        <f t="shared" si="133"/>
        <v>-</v>
      </c>
      <c r="T1553" s="7" t="str">
        <f>_xll.RssMarket(A1553,"出来高加重平均")</f>
        <v/>
      </c>
      <c r="U1553" s="4" t="e">
        <f t="shared" si="134"/>
        <v>#VALUE!</v>
      </c>
      <c r="V1553" s="21" t="str">
        <f>_xll.RssMarket(A1553,"出来高")</f>
        <v/>
      </c>
      <c r="W1553" s="21" t="str">
        <f>_xll.RssMarket(A1553,"売買代金")</f>
        <v/>
      </c>
      <c r="X1553" s="20" t="str">
        <f>_xll.RssMarket(A1553,"決算発表日")</f>
        <v/>
      </c>
      <c r="Y1553" s="26" t="str">
        <f>IF(C1553&gt;_xll.RssMarket(A1553,"年初来高値"),"○","×")</f>
        <v>×</v>
      </c>
      <c r="Z1553" s="27" t="str">
        <f>IF(C1553&lt;=_xll.RssMarket(A1553,"年初来安値"),"○","×")</f>
        <v>○</v>
      </c>
    </row>
    <row r="1554" spans="2:26" x14ac:dyDescent="0.55000000000000004">
      <c r="B1554" s="20" t="str">
        <f>_xll.RssMarket(A1554,"銘柄名称")</f>
        <v/>
      </c>
      <c r="C1554" s="21" t="str">
        <f>_xll.RssMarket(A1554,"現在値")</f>
        <v/>
      </c>
      <c r="D1554" s="20" t="str">
        <f>_xll.RssMarket(A1554,"現在値詳細時刻")</f>
        <v/>
      </c>
      <c r="E1554" s="22" t="str">
        <f>_xll.RssMarket(A1554,"前日比")</f>
        <v/>
      </c>
      <c r="F1554" s="23" t="e">
        <f>_xll.RssMarket(A1554,"前日比率")/100</f>
        <v>#VALUE!</v>
      </c>
      <c r="G1554" s="24" t="str">
        <f>IFERROR(VLOOKUP(A1554,取得元!$A$2:$F$501,2,FALSE),"-")</f>
        <v>-</v>
      </c>
      <c r="H1554" s="24" t="str">
        <f>IFERROR(VLOOKUP(A1554,取得元!$A$2:$F$501,3,FALSE),"-")</f>
        <v>-</v>
      </c>
      <c r="I1554" s="24" t="str">
        <f>IFERROR(VLOOKUP(A1554,取得元!$A$2:$F$501,4,FALSE),"-")</f>
        <v>-</v>
      </c>
      <c r="J1554" s="5" t="str">
        <f>IFERROR(VLOOKUP(A1554,取得元!$A$2:$F$501,5,FALSE),"-")</f>
        <v>-</v>
      </c>
      <c r="K1554" s="25" t="str">
        <f>IFERROR(VLOOKUP(A1554,取得元!$A$2:$F$501,6,FALSE)/100,"-")</f>
        <v>-</v>
      </c>
      <c r="L1554" s="21" t="str">
        <f>_xll.RssMarket(A1554,"始値")</f>
        <v/>
      </c>
      <c r="M1554" s="4" t="e">
        <f t="shared" si="130"/>
        <v>#VALUE!</v>
      </c>
      <c r="N1554" s="21" t="str">
        <f>_xll.RssMarket(A1554,"高値")</f>
        <v/>
      </c>
      <c r="O1554" s="4" t="e">
        <f t="shared" si="131"/>
        <v>#VALUE!</v>
      </c>
      <c r="P1554" s="21" t="str">
        <f>_xll.RssMarket(A1554,"安値")</f>
        <v/>
      </c>
      <c r="Q1554" s="4" t="e">
        <f t="shared" si="132"/>
        <v>#VALUE!</v>
      </c>
      <c r="R1554" s="21" t="str">
        <f>_xll.RssMarket(A1554,"後場始値")</f>
        <v/>
      </c>
      <c r="S1554" s="25" t="str">
        <f t="shared" si="133"/>
        <v>-</v>
      </c>
      <c r="T1554" s="7" t="str">
        <f>_xll.RssMarket(A1554,"出来高加重平均")</f>
        <v/>
      </c>
      <c r="U1554" s="4" t="e">
        <f t="shared" si="134"/>
        <v>#VALUE!</v>
      </c>
      <c r="V1554" s="21" t="str">
        <f>_xll.RssMarket(A1554,"出来高")</f>
        <v/>
      </c>
      <c r="W1554" s="21" t="str">
        <f>_xll.RssMarket(A1554,"売買代金")</f>
        <v/>
      </c>
      <c r="X1554" s="20" t="str">
        <f>_xll.RssMarket(A1554,"決算発表日")</f>
        <v/>
      </c>
      <c r="Y1554" s="26" t="str">
        <f>IF(C1554&gt;_xll.RssMarket(A1554,"年初来高値"),"○","×")</f>
        <v>×</v>
      </c>
      <c r="Z1554" s="27" t="str">
        <f>IF(C1554&lt;=_xll.RssMarket(A1554,"年初来安値"),"○","×")</f>
        <v>○</v>
      </c>
    </row>
    <row r="1555" spans="2:26" x14ac:dyDescent="0.55000000000000004">
      <c r="B1555" s="20" t="str">
        <f>_xll.RssMarket(A1555,"銘柄名称")</f>
        <v/>
      </c>
      <c r="C1555" s="21" t="str">
        <f>_xll.RssMarket(A1555,"現在値")</f>
        <v/>
      </c>
      <c r="D1555" s="20" t="str">
        <f>_xll.RssMarket(A1555,"現在値詳細時刻")</f>
        <v/>
      </c>
      <c r="E1555" s="22" t="str">
        <f>_xll.RssMarket(A1555,"前日比")</f>
        <v/>
      </c>
      <c r="F1555" s="23" t="e">
        <f>_xll.RssMarket(A1555,"前日比率")/100</f>
        <v>#VALUE!</v>
      </c>
      <c r="G1555" s="24" t="str">
        <f>IFERROR(VLOOKUP(A1555,取得元!$A$2:$F$501,2,FALSE),"-")</f>
        <v>-</v>
      </c>
      <c r="H1555" s="24" t="str">
        <f>IFERROR(VLOOKUP(A1555,取得元!$A$2:$F$501,3,FALSE),"-")</f>
        <v>-</v>
      </c>
      <c r="I1555" s="24" t="str">
        <f>IFERROR(VLOOKUP(A1555,取得元!$A$2:$F$501,4,FALSE),"-")</f>
        <v>-</v>
      </c>
      <c r="J1555" s="5" t="str">
        <f>IFERROR(VLOOKUP(A1555,取得元!$A$2:$F$501,5,FALSE),"-")</f>
        <v>-</v>
      </c>
      <c r="K1555" s="25" t="str">
        <f>IFERROR(VLOOKUP(A1555,取得元!$A$2:$F$501,6,FALSE)/100,"-")</f>
        <v>-</v>
      </c>
      <c r="L1555" s="21" t="str">
        <f>_xll.RssMarket(A1555,"始値")</f>
        <v/>
      </c>
      <c r="M1555" s="4" t="e">
        <f t="shared" si="130"/>
        <v>#VALUE!</v>
      </c>
      <c r="N1555" s="21" t="str">
        <f>_xll.RssMarket(A1555,"高値")</f>
        <v/>
      </c>
      <c r="O1555" s="4" t="e">
        <f t="shared" si="131"/>
        <v>#VALUE!</v>
      </c>
      <c r="P1555" s="21" t="str">
        <f>_xll.RssMarket(A1555,"安値")</f>
        <v/>
      </c>
      <c r="Q1555" s="4" t="e">
        <f t="shared" si="132"/>
        <v>#VALUE!</v>
      </c>
      <c r="R1555" s="21" t="str">
        <f>_xll.RssMarket(A1555,"後場始値")</f>
        <v/>
      </c>
      <c r="S1555" s="25" t="str">
        <f t="shared" si="133"/>
        <v>-</v>
      </c>
      <c r="T1555" s="7" t="str">
        <f>_xll.RssMarket(A1555,"出来高加重平均")</f>
        <v/>
      </c>
      <c r="U1555" s="4" t="e">
        <f t="shared" si="134"/>
        <v>#VALUE!</v>
      </c>
      <c r="V1555" s="21" t="str">
        <f>_xll.RssMarket(A1555,"出来高")</f>
        <v/>
      </c>
      <c r="W1555" s="21" t="str">
        <f>_xll.RssMarket(A1555,"売買代金")</f>
        <v/>
      </c>
      <c r="X1555" s="20" t="str">
        <f>_xll.RssMarket(A1555,"決算発表日")</f>
        <v/>
      </c>
      <c r="Y1555" s="26" t="str">
        <f>IF(C1555&gt;_xll.RssMarket(A1555,"年初来高値"),"○","×")</f>
        <v>×</v>
      </c>
      <c r="Z1555" s="27" t="str">
        <f>IF(C1555&lt;=_xll.RssMarket(A1555,"年初来安値"),"○","×")</f>
        <v>○</v>
      </c>
    </row>
    <row r="1556" spans="2:26" x14ac:dyDescent="0.55000000000000004">
      <c r="B1556" s="20" t="str">
        <f>_xll.RssMarket(A1556,"銘柄名称")</f>
        <v/>
      </c>
      <c r="C1556" s="21" t="str">
        <f>_xll.RssMarket(A1556,"現在値")</f>
        <v/>
      </c>
      <c r="D1556" s="20" t="str">
        <f>_xll.RssMarket(A1556,"現在値詳細時刻")</f>
        <v/>
      </c>
      <c r="E1556" s="22" t="str">
        <f>_xll.RssMarket(A1556,"前日比")</f>
        <v/>
      </c>
      <c r="F1556" s="23" t="e">
        <f>_xll.RssMarket(A1556,"前日比率")/100</f>
        <v>#VALUE!</v>
      </c>
      <c r="G1556" s="24" t="str">
        <f>IFERROR(VLOOKUP(A1556,取得元!$A$2:$F$501,2,FALSE),"-")</f>
        <v>-</v>
      </c>
      <c r="H1556" s="24" t="str">
        <f>IFERROR(VLOOKUP(A1556,取得元!$A$2:$F$501,3,FALSE),"-")</f>
        <v>-</v>
      </c>
      <c r="I1556" s="24" t="str">
        <f>IFERROR(VLOOKUP(A1556,取得元!$A$2:$F$501,4,FALSE),"-")</f>
        <v>-</v>
      </c>
      <c r="J1556" s="5" t="str">
        <f>IFERROR(VLOOKUP(A1556,取得元!$A$2:$F$501,5,FALSE),"-")</f>
        <v>-</v>
      </c>
      <c r="K1556" s="25" t="str">
        <f>IFERROR(VLOOKUP(A1556,取得元!$A$2:$F$501,6,FALSE)/100,"-")</f>
        <v>-</v>
      </c>
      <c r="L1556" s="21" t="str">
        <f>_xll.RssMarket(A1556,"始値")</f>
        <v/>
      </c>
      <c r="M1556" s="4" t="e">
        <f t="shared" si="130"/>
        <v>#VALUE!</v>
      </c>
      <c r="N1556" s="21" t="str">
        <f>_xll.RssMarket(A1556,"高値")</f>
        <v/>
      </c>
      <c r="O1556" s="4" t="e">
        <f t="shared" si="131"/>
        <v>#VALUE!</v>
      </c>
      <c r="P1556" s="21" t="str">
        <f>_xll.RssMarket(A1556,"安値")</f>
        <v/>
      </c>
      <c r="Q1556" s="4" t="e">
        <f t="shared" si="132"/>
        <v>#VALUE!</v>
      </c>
      <c r="R1556" s="21" t="str">
        <f>_xll.RssMarket(A1556,"後場始値")</f>
        <v/>
      </c>
      <c r="S1556" s="25" t="str">
        <f t="shared" si="133"/>
        <v>-</v>
      </c>
      <c r="T1556" s="7" t="str">
        <f>_xll.RssMarket(A1556,"出来高加重平均")</f>
        <v/>
      </c>
      <c r="U1556" s="4" t="e">
        <f t="shared" si="134"/>
        <v>#VALUE!</v>
      </c>
      <c r="V1556" s="21" t="str">
        <f>_xll.RssMarket(A1556,"出来高")</f>
        <v/>
      </c>
      <c r="W1556" s="21" t="str">
        <f>_xll.RssMarket(A1556,"売買代金")</f>
        <v/>
      </c>
      <c r="X1556" s="20" t="str">
        <f>_xll.RssMarket(A1556,"決算発表日")</f>
        <v/>
      </c>
      <c r="Y1556" s="26" t="str">
        <f>IF(C1556&gt;_xll.RssMarket(A1556,"年初来高値"),"○","×")</f>
        <v>×</v>
      </c>
      <c r="Z1556" s="27" t="str">
        <f>IF(C1556&lt;=_xll.RssMarket(A1556,"年初来安値"),"○","×")</f>
        <v>○</v>
      </c>
    </row>
    <row r="1557" spans="2:26" x14ac:dyDescent="0.55000000000000004">
      <c r="B1557" s="20" t="str">
        <f>_xll.RssMarket(A1557,"銘柄名称")</f>
        <v/>
      </c>
      <c r="C1557" s="21" t="str">
        <f>_xll.RssMarket(A1557,"現在値")</f>
        <v/>
      </c>
      <c r="D1557" s="20" t="str">
        <f>_xll.RssMarket(A1557,"現在値詳細時刻")</f>
        <v/>
      </c>
      <c r="E1557" s="22" t="str">
        <f>_xll.RssMarket(A1557,"前日比")</f>
        <v/>
      </c>
      <c r="F1557" s="23" t="e">
        <f>_xll.RssMarket(A1557,"前日比率")/100</f>
        <v>#VALUE!</v>
      </c>
      <c r="G1557" s="24" t="str">
        <f>IFERROR(VLOOKUP(A1557,取得元!$A$2:$F$501,2,FALSE),"-")</f>
        <v>-</v>
      </c>
      <c r="H1557" s="24" t="str">
        <f>IFERROR(VLOOKUP(A1557,取得元!$A$2:$F$501,3,FALSE),"-")</f>
        <v>-</v>
      </c>
      <c r="I1557" s="24" t="str">
        <f>IFERROR(VLOOKUP(A1557,取得元!$A$2:$F$501,4,FALSE),"-")</f>
        <v>-</v>
      </c>
      <c r="J1557" s="5" t="str">
        <f>IFERROR(VLOOKUP(A1557,取得元!$A$2:$F$501,5,FALSE),"-")</f>
        <v>-</v>
      </c>
      <c r="K1557" s="25" t="str">
        <f>IFERROR(VLOOKUP(A1557,取得元!$A$2:$F$501,6,FALSE)/100,"-")</f>
        <v>-</v>
      </c>
      <c r="L1557" s="21" t="str">
        <f>_xll.RssMarket(A1557,"始値")</f>
        <v/>
      </c>
      <c r="M1557" s="4" t="e">
        <f t="shared" si="130"/>
        <v>#VALUE!</v>
      </c>
      <c r="N1557" s="21" t="str">
        <f>_xll.RssMarket(A1557,"高値")</f>
        <v/>
      </c>
      <c r="O1557" s="4" t="e">
        <f t="shared" si="131"/>
        <v>#VALUE!</v>
      </c>
      <c r="P1557" s="21" t="str">
        <f>_xll.RssMarket(A1557,"安値")</f>
        <v/>
      </c>
      <c r="Q1557" s="4" t="e">
        <f t="shared" si="132"/>
        <v>#VALUE!</v>
      </c>
      <c r="R1557" s="21" t="str">
        <f>_xll.RssMarket(A1557,"後場始値")</f>
        <v/>
      </c>
      <c r="S1557" s="25" t="str">
        <f t="shared" si="133"/>
        <v>-</v>
      </c>
      <c r="T1557" s="7" t="str">
        <f>_xll.RssMarket(A1557,"出来高加重平均")</f>
        <v/>
      </c>
      <c r="U1557" s="4" t="e">
        <f t="shared" si="134"/>
        <v>#VALUE!</v>
      </c>
      <c r="V1557" s="21" t="str">
        <f>_xll.RssMarket(A1557,"出来高")</f>
        <v/>
      </c>
      <c r="W1557" s="21" t="str">
        <f>_xll.RssMarket(A1557,"売買代金")</f>
        <v/>
      </c>
      <c r="X1557" s="20" t="str">
        <f>_xll.RssMarket(A1557,"決算発表日")</f>
        <v/>
      </c>
      <c r="Y1557" s="26" t="str">
        <f>IF(C1557&gt;_xll.RssMarket(A1557,"年初来高値"),"○","×")</f>
        <v>×</v>
      </c>
      <c r="Z1557" s="27" t="str">
        <f>IF(C1557&lt;=_xll.RssMarket(A1557,"年初来安値"),"○","×")</f>
        <v>○</v>
      </c>
    </row>
    <row r="1558" spans="2:26" x14ac:dyDescent="0.55000000000000004">
      <c r="B1558" s="20" t="str">
        <f>_xll.RssMarket(A1558,"銘柄名称")</f>
        <v/>
      </c>
      <c r="C1558" s="21" t="str">
        <f>_xll.RssMarket(A1558,"現在値")</f>
        <v/>
      </c>
      <c r="D1558" s="20" t="str">
        <f>_xll.RssMarket(A1558,"現在値詳細時刻")</f>
        <v/>
      </c>
      <c r="E1558" s="22" t="str">
        <f>_xll.RssMarket(A1558,"前日比")</f>
        <v/>
      </c>
      <c r="F1558" s="23" t="e">
        <f>_xll.RssMarket(A1558,"前日比率")/100</f>
        <v>#VALUE!</v>
      </c>
      <c r="G1558" s="24" t="str">
        <f>IFERROR(VLOOKUP(A1558,取得元!$A$2:$F$501,2,FALSE),"-")</f>
        <v>-</v>
      </c>
      <c r="H1558" s="24" t="str">
        <f>IFERROR(VLOOKUP(A1558,取得元!$A$2:$F$501,3,FALSE),"-")</f>
        <v>-</v>
      </c>
      <c r="I1558" s="24" t="str">
        <f>IFERROR(VLOOKUP(A1558,取得元!$A$2:$F$501,4,FALSE),"-")</f>
        <v>-</v>
      </c>
      <c r="J1558" s="5" t="str">
        <f>IFERROR(VLOOKUP(A1558,取得元!$A$2:$F$501,5,FALSE),"-")</f>
        <v>-</v>
      </c>
      <c r="K1558" s="25" t="str">
        <f>IFERROR(VLOOKUP(A1558,取得元!$A$2:$F$501,6,FALSE)/100,"-")</f>
        <v>-</v>
      </c>
      <c r="L1558" s="21" t="str">
        <f>_xll.RssMarket(A1558,"始値")</f>
        <v/>
      </c>
      <c r="M1558" s="4" t="e">
        <f t="shared" ref="M1558:M1621" si="135">C1558/L1558-1</f>
        <v>#VALUE!</v>
      </c>
      <c r="N1558" s="21" t="str">
        <f>_xll.RssMarket(A1558,"高値")</f>
        <v/>
      </c>
      <c r="O1558" s="4" t="e">
        <f t="shared" ref="O1558:O1621" si="136">C1558/N1558-1</f>
        <v>#VALUE!</v>
      </c>
      <c r="P1558" s="21" t="str">
        <f>_xll.RssMarket(A1558,"安値")</f>
        <v/>
      </c>
      <c r="Q1558" s="4" t="e">
        <f t="shared" ref="Q1558:Q1621" si="137">C1558/P1558-1</f>
        <v>#VALUE!</v>
      </c>
      <c r="R1558" s="21" t="str">
        <f>_xll.RssMarket(A1558,"後場始値")</f>
        <v/>
      </c>
      <c r="S1558" s="25" t="str">
        <f t="shared" ref="S1558:S1621" si="138">IFERROR(C1558/R1558-1,"-")</f>
        <v>-</v>
      </c>
      <c r="T1558" s="7" t="str">
        <f>_xll.RssMarket(A1558,"出来高加重平均")</f>
        <v/>
      </c>
      <c r="U1558" s="4" t="e">
        <f t="shared" ref="U1558:U1621" si="139">C1558/T1558-1</f>
        <v>#VALUE!</v>
      </c>
      <c r="V1558" s="21" t="str">
        <f>_xll.RssMarket(A1558,"出来高")</f>
        <v/>
      </c>
      <c r="W1558" s="21" t="str">
        <f>_xll.RssMarket(A1558,"売買代金")</f>
        <v/>
      </c>
      <c r="X1558" s="20" t="str">
        <f>_xll.RssMarket(A1558,"決算発表日")</f>
        <v/>
      </c>
      <c r="Y1558" s="26" t="str">
        <f>IF(C1558&gt;_xll.RssMarket(A1558,"年初来高値"),"○","×")</f>
        <v>×</v>
      </c>
      <c r="Z1558" s="27" t="str">
        <f>IF(C1558&lt;=_xll.RssMarket(A1558,"年初来安値"),"○","×")</f>
        <v>○</v>
      </c>
    </row>
    <row r="1559" spans="2:26" x14ac:dyDescent="0.55000000000000004">
      <c r="B1559" s="20" t="str">
        <f>_xll.RssMarket(A1559,"銘柄名称")</f>
        <v/>
      </c>
      <c r="C1559" s="21" t="str">
        <f>_xll.RssMarket(A1559,"現在値")</f>
        <v/>
      </c>
      <c r="D1559" s="20" t="str">
        <f>_xll.RssMarket(A1559,"現在値詳細時刻")</f>
        <v/>
      </c>
      <c r="E1559" s="22" t="str">
        <f>_xll.RssMarket(A1559,"前日比")</f>
        <v/>
      </c>
      <c r="F1559" s="23" t="e">
        <f>_xll.RssMarket(A1559,"前日比率")/100</f>
        <v>#VALUE!</v>
      </c>
      <c r="G1559" s="24" t="str">
        <f>IFERROR(VLOOKUP(A1559,取得元!$A$2:$F$501,2,FALSE),"-")</f>
        <v>-</v>
      </c>
      <c r="H1559" s="24" t="str">
        <f>IFERROR(VLOOKUP(A1559,取得元!$A$2:$F$501,3,FALSE),"-")</f>
        <v>-</v>
      </c>
      <c r="I1559" s="24" t="str">
        <f>IFERROR(VLOOKUP(A1559,取得元!$A$2:$F$501,4,FALSE),"-")</f>
        <v>-</v>
      </c>
      <c r="J1559" s="5" t="str">
        <f>IFERROR(VLOOKUP(A1559,取得元!$A$2:$F$501,5,FALSE),"-")</f>
        <v>-</v>
      </c>
      <c r="K1559" s="25" t="str">
        <f>IFERROR(VLOOKUP(A1559,取得元!$A$2:$F$501,6,FALSE)/100,"-")</f>
        <v>-</v>
      </c>
      <c r="L1559" s="21" t="str">
        <f>_xll.RssMarket(A1559,"始値")</f>
        <v/>
      </c>
      <c r="M1559" s="4" t="e">
        <f t="shared" si="135"/>
        <v>#VALUE!</v>
      </c>
      <c r="N1559" s="21" t="str">
        <f>_xll.RssMarket(A1559,"高値")</f>
        <v/>
      </c>
      <c r="O1559" s="4" t="e">
        <f t="shared" si="136"/>
        <v>#VALUE!</v>
      </c>
      <c r="P1559" s="21" t="str">
        <f>_xll.RssMarket(A1559,"安値")</f>
        <v/>
      </c>
      <c r="Q1559" s="4" t="e">
        <f t="shared" si="137"/>
        <v>#VALUE!</v>
      </c>
      <c r="R1559" s="21" t="str">
        <f>_xll.RssMarket(A1559,"後場始値")</f>
        <v/>
      </c>
      <c r="S1559" s="25" t="str">
        <f t="shared" si="138"/>
        <v>-</v>
      </c>
      <c r="T1559" s="7" t="str">
        <f>_xll.RssMarket(A1559,"出来高加重平均")</f>
        <v/>
      </c>
      <c r="U1559" s="4" t="e">
        <f t="shared" si="139"/>
        <v>#VALUE!</v>
      </c>
      <c r="V1559" s="21" t="str">
        <f>_xll.RssMarket(A1559,"出来高")</f>
        <v/>
      </c>
      <c r="W1559" s="21" t="str">
        <f>_xll.RssMarket(A1559,"売買代金")</f>
        <v/>
      </c>
      <c r="X1559" s="20" t="str">
        <f>_xll.RssMarket(A1559,"決算発表日")</f>
        <v/>
      </c>
      <c r="Y1559" s="26" t="str">
        <f>IF(C1559&gt;_xll.RssMarket(A1559,"年初来高値"),"○","×")</f>
        <v>×</v>
      </c>
      <c r="Z1559" s="27" t="str">
        <f>IF(C1559&lt;=_xll.RssMarket(A1559,"年初来安値"),"○","×")</f>
        <v>○</v>
      </c>
    </row>
    <row r="1560" spans="2:26" x14ac:dyDescent="0.55000000000000004">
      <c r="B1560" s="20" t="str">
        <f>_xll.RssMarket(A1560,"銘柄名称")</f>
        <v/>
      </c>
      <c r="C1560" s="21" t="str">
        <f>_xll.RssMarket(A1560,"現在値")</f>
        <v/>
      </c>
      <c r="D1560" s="20" t="str">
        <f>_xll.RssMarket(A1560,"現在値詳細時刻")</f>
        <v/>
      </c>
      <c r="E1560" s="22" t="str">
        <f>_xll.RssMarket(A1560,"前日比")</f>
        <v/>
      </c>
      <c r="F1560" s="23" t="e">
        <f>_xll.RssMarket(A1560,"前日比率")/100</f>
        <v>#VALUE!</v>
      </c>
      <c r="G1560" s="24" t="str">
        <f>IFERROR(VLOOKUP(A1560,取得元!$A$2:$F$501,2,FALSE),"-")</f>
        <v>-</v>
      </c>
      <c r="H1560" s="24" t="str">
        <f>IFERROR(VLOOKUP(A1560,取得元!$A$2:$F$501,3,FALSE),"-")</f>
        <v>-</v>
      </c>
      <c r="I1560" s="24" t="str">
        <f>IFERROR(VLOOKUP(A1560,取得元!$A$2:$F$501,4,FALSE),"-")</f>
        <v>-</v>
      </c>
      <c r="J1560" s="5" t="str">
        <f>IFERROR(VLOOKUP(A1560,取得元!$A$2:$F$501,5,FALSE),"-")</f>
        <v>-</v>
      </c>
      <c r="K1560" s="25" t="str">
        <f>IFERROR(VLOOKUP(A1560,取得元!$A$2:$F$501,6,FALSE)/100,"-")</f>
        <v>-</v>
      </c>
      <c r="L1560" s="21" t="str">
        <f>_xll.RssMarket(A1560,"始値")</f>
        <v/>
      </c>
      <c r="M1560" s="4" t="e">
        <f t="shared" si="135"/>
        <v>#VALUE!</v>
      </c>
      <c r="N1560" s="21" t="str">
        <f>_xll.RssMarket(A1560,"高値")</f>
        <v/>
      </c>
      <c r="O1560" s="4" t="e">
        <f t="shared" si="136"/>
        <v>#VALUE!</v>
      </c>
      <c r="P1560" s="21" t="str">
        <f>_xll.RssMarket(A1560,"安値")</f>
        <v/>
      </c>
      <c r="Q1560" s="4" t="e">
        <f t="shared" si="137"/>
        <v>#VALUE!</v>
      </c>
      <c r="R1560" s="21" t="str">
        <f>_xll.RssMarket(A1560,"後場始値")</f>
        <v/>
      </c>
      <c r="S1560" s="25" t="str">
        <f t="shared" si="138"/>
        <v>-</v>
      </c>
      <c r="T1560" s="7" t="str">
        <f>_xll.RssMarket(A1560,"出来高加重平均")</f>
        <v/>
      </c>
      <c r="U1560" s="4" t="e">
        <f t="shared" si="139"/>
        <v>#VALUE!</v>
      </c>
      <c r="V1560" s="21" t="str">
        <f>_xll.RssMarket(A1560,"出来高")</f>
        <v/>
      </c>
      <c r="W1560" s="21" t="str">
        <f>_xll.RssMarket(A1560,"売買代金")</f>
        <v/>
      </c>
      <c r="X1560" s="20" t="str">
        <f>_xll.RssMarket(A1560,"決算発表日")</f>
        <v/>
      </c>
      <c r="Y1560" s="26" t="str">
        <f>IF(C1560&gt;_xll.RssMarket(A1560,"年初来高値"),"○","×")</f>
        <v>×</v>
      </c>
      <c r="Z1560" s="27" t="str">
        <f>IF(C1560&lt;=_xll.RssMarket(A1560,"年初来安値"),"○","×")</f>
        <v>○</v>
      </c>
    </row>
    <row r="1561" spans="2:26" x14ac:dyDescent="0.55000000000000004">
      <c r="B1561" s="20" t="str">
        <f>_xll.RssMarket(A1561,"銘柄名称")</f>
        <v/>
      </c>
      <c r="C1561" s="21" t="str">
        <f>_xll.RssMarket(A1561,"現在値")</f>
        <v/>
      </c>
      <c r="D1561" s="20" t="str">
        <f>_xll.RssMarket(A1561,"現在値詳細時刻")</f>
        <v/>
      </c>
      <c r="E1561" s="22" t="str">
        <f>_xll.RssMarket(A1561,"前日比")</f>
        <v/>
      </c>
      <c r="F1561" s="23" t="e">
        <f>_xll.RssMarket(A1561,"前日比率")/100</f>
        <v>#VALUE!</v>
      </c>
      <c r="G1561" s="24" t="str">
        <f>IFERROR(VLOOKUP(A1561,取得元!$A$2:$F$501,2,FALSE),"-")</f>
        <v>-</v>
      </c>
      <c r="H1561" s="24" t="str">
        <f>IFERROR(VLOOKUP(A1561,取得元!$A$2:$F$501,3,FALSE),"-")</f>
        <v>-</v>
      </c>
      <c r="I1561" s="24" t="str">
        <f>IFERROR(VLOOKUP(A1561,取得元!$A$2:$F$501,4,FALSE),"-")</f>
        <v>-</v>
      </c>
      <c r="J1561" s="5" t="str">
        <f>IFERROR(VLOOKUP(A1561,取得元!$A$2:$F$501,5,FALSE),"-")</f>
        <v>-</v>
      </c>
      <c r="K1561" s="25" t="str">
        <f>IFERROR(VLOOKUP(A1561,取得元!$A$2:$F$501,6,FALSE)/100,"-")</f>
        <v>-</v>
      </c>
      <c r="L1561" s="21" t="str">
        <f>_xll.RssMarket(A1561,"始値")</f>
        <v/>
      </c>
      <c r="M1561" s="4" t="e">
        <f t="shared" si="135"/>
        <v>#VALUE!</v>
      </c>
      <c r="N1561" s="21" t="str">
        <f>_xll.RssMarket(A1561,"高値")</f>
        <v/>
      </c>
      <c r="O1561" s="4" t="e">
        <f t="shared" si="136"/>
        <v>#VALUE!</v>
      </c>
      <c r="P1561" s="21" t="str">
        <f>_xll.RssMarket(A1561,"安値")</f>
        <v/>
      </c>
      <c r="Q1561" s="4" t="e">
        <f t="shared" si="137"/>
        <v>#VALUE!</v>
      </c>
      <c r="R1561" s="21" t="str">
        <f>_xll.RssMarket(A1561,"後場始値")</f>
        <v/>
      </c>
      <c r="S1561" s="25" t="str">
        <f t="shared" si="138"/>
        <v>-</v>
      </c>
      <c r="T1561" s="7" t="str">
        <f>_xll.RssMarket(A1561,"出来高加重平均")</f>
        <v/>
      </c>
      <c r="U1561" s="4" t="e">
        <f t="shared" si="139"/>
        <v>#VALUE!</v>
      </c>
      <c r="V1561" s="21" t="str">
        <f>_xll.RssMarket(A1561,"出来高")</f>
        <v/>
      </c>
      <c r="W1561" s="21" t="str">
        <f>_xll.RssMarket(A1561,"売買代金")</f>
        <v/>
      </c>
      <c r="X1561" s="20" t="str">
        <f>_xll.RssMarket(A1561,"決算発表日")</f>
        <v/>
      </c>
      <c r="Y1561" s="26" t="str">
        <f>IF(C1561&gt;_xll.RssMarket(A1561,"年初来高値"),"○","×")</f>
        <v>×</v>
      </c>
      <c r="Z1561" s="27" t="str">
        <f>IF(C1561&lt;=_xll.RssMarket(A1561,"年初来安値"),"○","×")</f>
        <v>○</v>
      </c>
    </row>
    <row r="1562" spans="2:26" x14ac:dyDescent="0.55000000000000004">
      <c r="B1562" s="20" t="str">
        <f>_xll.RssMarket(A1562,"銘柄名称")</f>
        <v/>
      </c>
      <c r="C1562" s="21" t="str">
        <f>_xll.RssMarket(A1562,"現在値")</f>
        <v/>
      </c>
      <c r="D1562" s="20" t="str">
        <f>_xll.RssMarket(A1562,"現在値詳細時刻")</f>
        <v/>
      </c>
      <c r="E1562" s="22" t="str">
        <f>_xll.RssMarket(A1562,"前日比")</f>
        <v/>
      </c>
      <c r="F1562" s="23" t="e">
        <f>_xll.RssMarket(A1562,"前日比率")/100</f>
        <v>#VALUE!</v>
      </c>
      <c r="G1562" s="24" t="str">
        <f>IFERROR(VLOOKUP(A1562,取得元!$A$2:$F$501,2,FALSE),"-")</f>
        <v>-</v>
      </c>
      <c r="H1562" s="24" t="str">
        <f>IFERROR(VLOOKUP(A1562,取得元!$A$2:$F$501,3,FALSE),"-")</f>
        <v>-</v>
      </c>
      <c r="I1562" s="24" t="str">
        <f>IFERROR(VLOOKUP(A1562,取得元!$A$2:$F$501,4,FALSE),"-")</f>
        <v>-</v>
      </c>
      <c r="J1562" s="5" t="str">
        <f>IFERROR(VLOOKUP(A1562,取得元!$A$2:$F$501,5,FALSE),"-")</f>
        <v>-</v>
      </c>
      <c r="K1562" s="25" t="str">
        <f>IFERROR(VLOOKUP(A1562,取得元!$A$2:$F$501,6,FALSE)/100,"-")</f>
        <v>-</v>
      </c>
      <c r="L1562" s="21" t="str">
        <f>_xll.RssMarket(A1562,"始値")</f>
        <v/>
      </c>
      <c r="M1562" s="4" t="e">
        <f t="shared" si="135"/>
        <v>#VALUE!</v>
      </c>
      <c r="N1562" s="21" t="str">
        <f>_xll.RssMarket(A1562,"高値")</f>
        <v/>
      </c>
      <c r="O1562" s="4" t="e">
        <f t="shared" si="136"/>
        <v>#VALUE!</v>
      </c>
      <c r="P1562" s="21" t="str">
        <f>_xll.RssMarket(A1562,"安値")</f>
        <v/>
      </c>
      <c r="Q1562" s="4" t="e">
        <f t="shared" si="137"/>
        <v>#VALUE!</v>
      </c>
      <c r="R1562" s="21" t="str">
        <f>_xll.RssMarket(A1562,"後場始値")</f>
        <v/>
      </c>
      <c r="S1562" s="25" t="str">
        <f t="shared" si="138"/>
        <v>-</v>
      </c>
      <c r="T1562" s="7" t="str">
        <f>_xll.RssMarket(A1562,"出来高加重平均")</f>
        <v/>
      </c>
      <c r="U1562" s="4" t="e">
        <f t="shared" si="139"/>
        <v>#VALUE!</v>
      </c>
      <c r="V1562" s="21" t="str">
        <f>_xll.RssMarket(A1562,"出来高")</f>
        <v/>
      </c>
      <c r="W1562" s="21" t="str">
        <f>_xll.RssMarket(A1562,"売買代金")</f>
        <v/>
      </c>
      <c r="X1562" s="20" t="str">
        <f>_xll.RssMarket(A1562,"決算発表日")</f>
        <v/>
      </c>
      <c r="Y1562" s="26" t="str">
        <f>IF(C1562&gt;_xll.RssMarket(A1562,"年初来高値"),"○","×")</f>
        <v>×</v>
      </c>
      <c r="Z1562" s="27" t="str">
        <f>IF(C1562&lt;=_xll.RssMarket(A1562,"年初来安値"),"○","×")</f>
        <v>○</v>
      </c>
    </row>
    <row r="1563" spans="2:26" x14ac:dyDescent="0.55000000000000004">
      <c r="B1563" s="20" t="str">
        <f>_xll.RssMarket(A1563,"銘柄名称")</f>
        <v/>
      </c>
      <c r="C1563" s="21" t="str">
        <f>_xll.RssMarket(A1563,"現在値")</f>
        <v/>
      </c>
      <c r="D1563" s="20" t="str">
        <f>_xll.RssMarket(A1563,"現在値詳細時刻")</f>
        <v/>
      </c>
      <c r="E1563" s="22" t="str">
        <f>_xll.RssMarket(A1563,"前日比")</f>
        <v/>
      </c>
      <c r="F1563" s="23" t="e">
        <f>_xll.RssMarket(A1563,"前日比率")/100</f>
        <v>#VALUE!</v>
      </c>
      <c r="G1563" s="24" t="str">
        <f>IFERROR(VLOOKUP(A1563,取得元!$A$2:$F$501,2,FALSE),"-")</f>
        <v>-</v>
      </c>
      <c r="H1563" s="24" t="str">
        <f>IFERROR(VLOOKUP(A1563,取得元!$A$2:$F$501,3,FALSE),"-")</f>
        <v>-</v>
      </c>
      <c r="I1563" s="24" t="str">
        <f>IFERROR(VLOOKUP(A1563,取得元!$A$2:$F$501,4,FALSE),"-")</f>
        <v>-</v>
      </c>
      <c r="J1563" s="5" t="str">
        <f>IFERROR(VLOOKUP(A1563,取得元!$A$2:$F$501,5,FALSE),"-")</f>
        <v>-</v>
      </c>
      <c r="K1563" s="25" t="str">
        <f>IFERROR(VLOOKUP(A1563,取得元!$A$2:$F$501,6,FALSE)/100,"-")</f>
        <v>-</v>
      </c>
      <c r="L1563" s="21" t="str">
        <f>_xll.RssMarket(A1563,"始値")</f>
        <v/>
      </c>
      <c r="M1563" s="4" t="e">
        <f t="shared" si="135"/>
        <v>#VALUE!</v>
      </c>
      <c r="N1563" s="21" t="str">
        <f>_xll.RssMarket(A1563,"高値")</f>
        <v/>
      </c>
      <c r="O1563" s="4" t="e">
        <f t="shared" si="136"/>
        <v>#VALUE!</v>
      </c>
      <c r="P1563" s="21" t="str">
        <f>_xll.RssMarket(A1563,"安値")</f>
        <v/>
      </c>
      <c r="Q1563" s="4" t="e">
        <f t="shared" si="137"/>
        <v>#VALUE!</v>
      </c>
      <c r="R1563" s="21" t="str">
        <f>_xll.RssMarket(A1563,"後場始値")</f>
        <v/>
      </c>
      <c r="S1563" s="25" t="str">
        <f t="shared" si="138"/>
        <v>-</v>
      </c>
      <c r="T1563" s="7" t="str">
        <f>_xll.RssMarket(A1563,"出来高加重平均")</f>
        <v/>
      </c>
      <c r="U1563" s="4" t="e">
        <f t="shared" si="139"/>
        <v>#VALUE!</v>
      </c>
      <c r="V1563" s="21" t="str">
        <f>_xll.RssMarket(A1563,"出来高")</f>
        <v/>
      </c>
      <c r="W1563" s="21" t="str">
        <f>_xll.RssMarket(A1563,"売買代金")</f>
        <v/>
      </c>
      <c r="X1563" s="20" t="str">
        <f>_xll.RssMarket(A1563,"決算発表日")</f>
        <v/>
      </c>
      <c r="Y1563" s="26" t="str">
        <f>IF(C1563&gt;_xll.RssMarket(A1563,"年初来高値"),"○","×")</f>
        <v>×</v>
      </c>
      <c r="Z1563" s="27" t="str">
        <f>IF(C1563&lt;=_xll.RssMarket(A1563,"年初来安値"),"○","×")</f>
        <v>○</v>
      </c>
    </row>
    <row r="1564" spans="2:26" x14ac:dyDescent="0.55000000000000004">
      <c r="B1564" s="20" t="str">
        <f>_xll.RssMarket(A1564,"銘柄名称")</f>
        <v/>
      </c>
      <c r="C1564" s="21" t="str">
        <f>_xll.RssMarket(A1564,"現在値")</f>
        <v/>
      </c>
      <c r="D1564" s="20" t="str">
        <f>_xll.RssMarket(A1564,"現在値詳細時刻")</f>
        <v/>
      </c>
      <c r="E1564" s="22" t="str">
        <f>_xll.RssMarket(A1564,"前日比")</f>
        <v/>
      </c>
      <c r="F1564" s="23" t="e">
        <f>_xll.RssMarket(A1564,"前日比率")/100</f>
        <v>#VALUE!</v>
      </c>
      <c r="G1564" s="24" t="str">
        <f>IFERROR(VLOOKUP(A1564,取得元!$A$2:$F$501,2,FALSE),"-")</f>
        <v>-</v>
      </c>
      <c r="H1564" s="24" t="str">
        <f>IFERROR(VLOOKUP(A1564,取得元!$A$2:$F$501,3,FALSE),"-")</f>
        <v>-</v>
      </c>
      <c r="I1564" s="24" t="str">
        <f>IFERROR(VLOOKUP(A1564,取得元!$A$2:$F$501,4,FALSE),"-")</f>
        <v>-</v>
      </c>
      <c r="J1564" s="5" t="str">
        <f>IFERROR(VLOOKUP(A1564,取得元!$A$2:$F$501,5,FALSE),"-")</f>
        <v>-</v>
      </c>
      <c r="K1564" s="25" t="str">
        <f>IFERROR(VLOOKUP(A1564,取得元!$A$2:$F$501,6,FALSE)/100,"-")</f>
        <v>-</v>
      </c>
      <c r="L1564" s="21" t="str">
        <f>_xll.RssMarket(A1564,"始値")</f>
        <v/>
      </c>
      <c r="M1564" s="4" t="e">
        <f t="shared" si="135"/>
        <v>#VALUE!</v>
      </c>
      <c r="N1564" s="21" t="str">
        <f>_xll.RssMarket(A1564,"高値")</f>
        <v/>
      </c>
      <c r="O1564" s="4" t="e">
        <f t="shared" si="136"/>
        <v>#VALUE!</v>
      </c>
      <c r="P1564" s="21" t="str">
        <f>_xll.RssMarket(A1564,"安値")</f>
        <v/>
      </c>
      <c r="Q1564" s="4" t="e">
        <f t="shared" si="137"/>
        <v>#VALUE!</v>
      </c>
      <c r="R1564" s="21" t="str">
        <f>_xll.RssMarket(A1564,"後場始値")</f>
        <v/>
      </c>
      <c r="S1564" s="25" t="str">
        <f t="shared" si="138"/>
        <v>-</v>
      </c>
      <c r="T1564" s="7" t="str">
        <f>_xll.RssMarket(A1564,"出来高加重平均")</f>
        <v/>
      </c>
      <c r="U1564" s="4" t="e">
        <f t="shared" si="139"/>
        <v>#VALUE!</v>
      </c>
      <c r="V1564" s="21" t="str">
        <f>_xll.RssMarket(A1564,"出来高")</f>
        <v/>
      </c>
      <c r="W1564" s="21" t="str">
        <f>_xll.RssMarket(A1564,"売買代金")</f>
        <v/>
      </c>
      <c r="X1564" s="20" t="str">
        <f>_xll.RssMarket(A1564,"決算発表日")</f>
        <v/>
      </c>
      <c r="Y1564" s="26" t="str">
        <f>IF(C1564&gt;_xll.RssMarket(A1564,"年初来高値"),"○","×")</f>
        <v>×</v>
      </c>
      <c r="Z1564" s="27" t="str">
        <f>IF(C1564&lt;=_xll.RssMarket(A1564,"年初来安値"),"○","×")</f>
        <v>○</v>
      </c>
    </row>
    <row r="1565" spans="2:26" x14ac:dyDescent="0.55000000000000004">
      <c r="B1565" s="20" t="str">
        <f>_xll.RssMarket(A1565,"銘柄名称")</f>
        <v/>
      </c>
      <c r="C1565" s="21" t="str">
        <f>_xll.RssMarket(A1565,"現在値")</f>
        <v/>
      </c>
      <c r="D1565" s="20" t="str">
        <f>_xll.RssMarket(A1565,"現在値詳細時刻")</f>
        <v/>
      </c>
      <c r="E1565" s="22" t="str">
        <f>_xll.RssMarket(A1565,"前日比")</f>
        <v/>
      </c>
      <c r="F1565" s="23" t="e">
        <f>_xll.RssMarket(A1565,"前日比率")/100</f>
        <v>#VALUE!</v>
      </c>
      <c r="G1565" s="24" t="str">
        <f>IFERROR(VLOOKUP(A1565,取得元!$A$2:$F$501,2,FALSE),"-")</f>
        <v>-</v>
      </c>
      <c r="H1565" s="24" t="str">
        <f>IFERROR(VLOOKUP(A1565,取得元!$A$2:$F$501,3,FALSE),"-")</f>
        <v>-</v>
      </c>
      <c r="I1565" s="24" t="str">
        <f>IFERROR(VLOOKUP(A1565,取得元!$A$2:$F$501,4,FALSE),"-")</f>
        <v>-</v>
      </c>
      <c r="J1565" s="5" t="str">
        <f>IFERROR(VLOOKUP(A1565,取得元!$A$2:$F$501,5,FALSE),"-")</f>
        <v>-</v>
      </c>
      <c r="K1565" s="25" t="str">
        <f>IFERROR(VLOOKUP(A1565,取得元!$A$2:$F$501,6,FALSE)/100,"-")</f>
        <v>-</v>
      </c>
      <c r="L1565" s="21" t="str">
        <f>_xll.RssMarket(A1565,"始値")</f>
        <v/>
      </c>
      <c r="M1565" s="4" t="e">
        <f t="shared" si="135"/>
        <v>#VALUE!</v>
      </c>
      <c r="N1565" s="21" t="str">
        <f>_xll.RssMarket(A1565,"高値")</f>
        <v/>
      </c>
      <c r="O1565" s="4" t="e">
        <f t="shared" si="136"/>
        <v>#VALUE!</v>
      </c>
      <c r="P1565" s="21" t="str">
        <f>_xll.RssMarket(A1565,"安値")</f>
        <v/>
      </c>
      <c r="Q1565" s="4" t="e">
        <f t="shared" si="137"/>
        <v>#VALUE!</v>
      </c>
      <c r="R1565" s="21" t="str">
        <f>_xll.RssMarket(A1565,"後場始値")</f>
        <v/>
      </c>
      <c r="S1565" s="25" t="str">
        <f t="shared" si="138"/>
        <v>-</v>
      </c>
      <c r="T1565" s="7" t="str">
        <f>_xll.RssMarket(A1565,"出来高加重平均")</f>
        <v/>
      </c>
      <c r="U1565" s="4" t="e">
        <f t="shared" si="139"/>
        <v>#VALUE!</v>
      </c>
      <c r="V1565" s="21" t="str">
        <f>_xll.RssMarket(A1565,"出来高")</f>
        <v/>
      </c>
      <c r="W1565" s="21" t="str">
        <f>_xll.RssMarket(A1565,"売買代金")</f>
        <v/>
      </c>
      <c r="X1565" s="20" t="str">
        <f>_xll.RssMarket(A1565,"決算発表日")</f>
        <v/>
      </c>
      <c r="Y1565" s="26" t="str">
        <f>IF(C1565&gt;_xll.RssMarket(A1565,"年初来高値"),"○","×")</f>
        <v>×</v>
      </c>
      <c r="Z1565" s="27" t="str">
        <f>IF(C1565&lt;=_xll.RssMarket(A1565,"年初来安値"),"○","×")</f>
        <v>○</v>
      </c>
    </row>
    <row r="1566" spans="2:26" x14ac:dyDescent="0.55000000000000004">
      <c r="B1566" s="20" t="str">
        <f>_xll.RssMarket(A1566,"銘柄名称")</f>
        <v/>
      </c>
      <c r="C1566" s="21" t="str">
        <f>_xll.RssMarket(A1566,"現在値")</f>
        <v/>
      </c>
      <c r="D1566" s="20" t="str">
        <f>_xll.RssMarket(A1566,"現在値詳細時刻")</f>
        <v/>
      </c>
      <c r="E1566" s="22" t="str">
        <f>_xll.RssMarket(A1566,"前日比")</f>
        <v/>
      </c>
      <c r="F1566" s="23" t="e">
        <f>_xll.RssMarket(A1566,"前日比率")/100</f>
        <v>#VALUE!</v>
      </c>
      <c r="G1566" s="24" t="str">
        <f>IFERROR(VLOOKUP(A1566,取得元!$A$2:$F$501,2,FALSE),"-")</f>
        <v>-</v>
      </c>
      <c r="H1566" s="24" t="str">
        <f>IFERROR(VLOOKUP(A1566,取得元!$A$2:$F$501,3,FALSE),"-")</f>
        <v>-</v>
      </c>
      <c r="I1566" s="24" t="str">
        <f>IFERROR(VLOOKUP(A1566,取得元!$A$2:$F$501,4,FALSE),"-")</f>
        <v>-</v>
      </c>
      <c r="J1566" s="5" t="str">
        <f>IFERROR(VLOOKUP(A1566,取得元!$A$2:$F$501,5,FALSE),"-")</f>
        <v>-</v>
      </c>
      <c r="K1566" s="25" t="str">
        <f>IFERROR(VLOOKUP(A1566,取得元!$A$2:$F$501,6,FALSE)/100,"-")</f>
        <v>-</v>
      </c>
      <c r="L1566" s="21" t="str">
        <f>_xll.RssMarket(A1566,"始値")</f>
        <v/>
      </c>
      <c r="M1566" s="4" t="e">
        <f t="shared" si="135"/>
        <v>#VALUE!</v>
      </c>
      <c r="N1566" s="21" t="str">
        <f>_xll.RssMarket(A1566,"高値")</f>
        <v/>
      </c>
      <c r="O1566" s="4" t="e">
        <f t="shared" si="136"/>
        <v>#VALUE!</v>
      </c>
      <c r="P1566" s="21" t="str">
        <f>_xll.RssMarket(A1566,"安値")</f>
        <v/>
      </c>
      <c r="Q1566" s="4" t="e">
        <f t="shared" si="137"/>
        <v>#VALUE!</v>
      </c>
      <c r="R1566" s="21" t="str">
        <f>_xll.RssMarket(A1566,"後場始値")</f>
        <v/>
      </c>
      <c r="S1566" s="25" t="str">
        <f t="shared" si="138"/>
        <v>-</v>
      </c>
      <c r="T1566" s="7" t="str">
        <f>_xll.RssMarket(A1566,"出来高加重平均")</f>
        <v/>
      </c>
      <c r="U1566" s="4" t="e">
        <f t="shared" si="139"/>
        <v>#VALUE!</v>
      </c>
      <c r="V1566" s="21" t="str">
        <f>_xll.RssMarket(A1566,"出来高")</f>
        <v/>
      </c>
      <c r="W1566" s="21" t="str">
        <f>_xll.RssMarket(A1566,"売買代金")</f>
        <v/>
      </c>
      <c r="X1566" s="20" t="str">
        <f>_xll.RssMarket(A1566,"決算発表日")</f>
        <v/>
      </c>
      <c r="Y1566" s="26" t="str">
        <f>IF(C1566&gt;_xll.RssMarket(A1566,"年初来高値"),"○","×")</f>
        <v>×</v>
      </c>
      <c r="Z1566" s="27" t="str">
        <f>IF(C1566&lt;=_xll.RssMarket(A1566,"年初来安値"),"○","×")</f>
        <v>○</v>
      </c>
    </row>
    <row r="1567" spans="2:26" x14ac:dyDescent="0.55000000000000004">
      <c r="B1567" s="20" t="str">
        <f>_xll.RssMarket(A1567,"銘柄名称")</f>
        <v/>
      </c>
      <c r="C1567" s="21" t="str">
        <f>_xll.RssMarket(A1567,"現在値")</f>
        <v/>
      </c>
      <c r="D1567" s="20" t="str">
        <f>_xll.RssMarket(A1567,"現在値詳細時刻")</f>
        <v/>
      </c>
      <c r="E1567" s="22" t="str">
        <f>_xll.RssMarket(A1567,"前日比")</f>
        <v/>
      </c>
      <c r="F1567" s="23" t="e">
        <f>_xll.RssMarket(A1567,"前日比率")/100</f>
        <v>#VALUE!</v>
      </c>
      <c r="G1567" s="24" t="str">
        <f>IFERROR(VLOOKUP(A1567,取得元!$A$2:$F$501,2,FALSE),"-")</f>
        <v>-</v>
      </c>
      <c r="H1567" s="24" t="str">
        <f>IFERROR(VLOOKUP(A1567,取得元!$A$2:$F$501,3,FALSE),"-")</f>
        <v>-</v>
      </c>
      <c r="I1567" s="24" t="str">
        <f>IFERROR(VLOOKUP(A1567,取得元!$A$2:$F$501,4,FALSE),"-")</f>
        <v>-</v>
      </c>
      <c r="J1567" s="5" t="str">
        <f>IFERROR(VLOOKUP(A1567,取得元!$A$2:$F$501,5,FALSE),"-")</f>
        <v>-</v>
      </c>
      <c r="K1567" s="25" t="str">
        <f>IFERROR(VLOOKUP(A1567,取得元!$A$2:$F$501,6,FALSE)/100,"-")</f>
        <v>-</v>
      </c>
      <c r="L1567" s="21" t="str">
        <f>_xll.RssMarket(A1567,"始値")</f>
        <v/>
      </c>
      <c r="M1567" s="4" t="e">
        <f t="shared" si="135"/>
        <v>#VALUE!</v>
      </c>
      <c r="N1567" s="21" t="str">
        <f>_xll.RssMarket(A1567,"高値")</f>
        <v/>
      </c>
      <c r="O1567" s="4" t="e">
        <f t="shared" si="136"/>
        <v>#VALUE!</v>
      </c>
      <c r="P1567" s="21" t="str">
        <f>_xll.RssMarket(A1567,"安値")</f>
        <v/>
      </c>
      <c r="Q1567" s="4" t="e">
        <f t="shared" si="137"/>
        <v>#VALUE!</v>
      </c>
      <c r="R1567" s="21" t="str">
        <f>_xll.RssMarket(A1567,"後場始値")</f>
        <v/>
      </c>
      <c r="S1567" s="25" t="str">
        <f t="shared" si="138"/>
        <v>-</v>
      </c>
      <c r="T1567" s="7" t="str">
        <f>_xll.RssMarket(A1567,"出来高加重平均")</f>
        <v/>
      </c>
      <c r="U1567" s="4" t="e">
        <f t="shared" si="139"/>
        <v>#VALUE!</v>
      </c>
      <c r="V1567" s="21" t="str">
        <f>_xll.RssMarket(A1567,"出来高")</f>
        <v/>
      </c>
      <c r="W1567" s="21" t="str">
        <f>_xll.RssMarket(A1567,"売買代金")</f>
        <v/>
      </c>
      <c r="X1567" s="20" t="str">
        <f>_xll.RssMarket(A1567,"決算発表日")</f>
        <v/>
      </c>
      <c r="Y1567" s="26" t="str">
        <f>IF(C1567&gt;_xll.RssMarket(A1567,"年初来高値"),"○","×")</f>
        <v>×</v>
      </c>
      <c r="Z1567" s="27" t="str">
        <f>IF(C1567&lt;=_xll.RssMarket(A1567,"年初来安値"),"○","×")</f>
        <v>○</v>
      </c>
    </row>
    <row r="1568" spans="2:26" x14ac:dyDescent="0.55000000000000004">
      <c r="B1568" s="20" t="str">
        <f>_xll.RssMarket(A1568,"銘柄名称")</f>
        <v/>
      </c>
      <c r="C1568" s="21" t="str">
        <f>_xll.RssMarket(A1568,"現在値")</f>
        <v/>
      </c>
      <c r="D1568" s="20" t="str">
        <f>_xll.RssMarket(A1568,"現在値詳細時刻")</f>
        <v/>
      </c>
      <c r="E1568" s="22" t="str">
        <f>_xll.RssMarket(A1568,"前日比")</f>
        <v/>
      </c>
      <c r="F1568" s="23" t="e">
        <f>_xll.RssMarket(A1568,"前日比率")/100</f>
        <v>#VALUE!</v>
      </c>
      <c r="G1568" s="24" t="str">
        <f>IFERROR(VLOOKUP(A1568,取得元!$A$2:$F$501,2,FALSE),"-")</f>
        <v>-</v>
      </c>
      <c r="H1568" s="24" t="str">
        <f>IFERROR(VLOOKUP(A1568,取得元!$A$2:$F$501,3,FALSE),"-")</f>
        <v>-</v>
      </c>
      <c r="I1568" s="24" t="str">
        <f>IFERROR(VLOOKUP(A1568,取得元!$A$2:$F$501,4,FALSE),"-")</f>
        <v>-</v>
      </c>
      <c r="J1568" s="5" t="str">
        <f>IFERROR(VLOOKUP(A1568,取得元!$A$2:$F$501,5,FALSE),"-")</f>
        <v>-</v>
      </c>
      <c r="K1568" s="25" t="str">
        <f>IFERROR(VLOOKUP(A1568,取得元!$A$2:$F$501,6,FALSE)/100,"-")</f>
        <v>-</v>
      </c>
      <c r="L1568" s="21" t="str">
        <f>_xll.RssMarket(A1568,"始値")</f>
        <v/>
      </c>
      <c r="M1568" s="4" t="e">
        <f t="shared" si="135"/>
        <v>#VALUE!</v>
      </c>
      <c r="N1568" s="21" t="str">
        <f>_xll.RssMarket(A1568,"高値")</f>
        <v/>
      </c>
      <c r="O1568" s="4" t="e">
        <f t="shared" si="136"/>
        <v>#VALUE!</v>
      </c>
      <c r="P1568" s="21" t="str">
        <f>_xll.RssMarket(A1568,"安値")</f>
        <v/>
      </c>
      <c r="Q1568" s="4" t="e">
        <f t="shared" si="137"/>
        <v>#VALUE!</v>
      </c>
      <c r="R1568" s="21" t="str">
        <f>_xll.RssMarket(A1568,"後場始値")</f>
        <v/>
      </c>
      <c r="S1568" s="25" t="str">
        <f t="shared" si="138"/>
        <v>-</v>
      </c>
      <c r="T1568" s="7" t="str">
        <f>_xll.RssMarket(A1568,"出来高加重平均")</f>
        <v/>
      </c>
      <c r="U1568" s="4" t="e">
        <f t="shared" si="139"/>
        <v>#VALUE!</v>
      </c>
      <c r="V1568" s="21" t="str">
        <f>_xll.RssMarket(A1568,"出来高")</f>
        <v/>
      </c>
      <c r="W1568" s="21" t="str">
        <f>_xll.RssMarket(A1568,"売買代金")</f>
        <v/>
      </c>
      <c r="X1568" s="20" t="str">
        <f>_xll.RssMarket(A1568,"決算発表日")</f>
        <v/>
      </c>
      <c r="Y1568" s="26" t="str">
        <f>IF(C1568&gt;_xll.RssMarket(A1568,"年初来高値"),"○","×")</f>
        <v>×</v>
      </c>
      <c r="Z1568" s="27" t="str">
        <f>IF(C1568&lt;=_xll.RssMarket(A1568,"年初来安値"),"○","×")</f>
        <v>○</v>
      </c>
    </row>
    <row r="1569" spans="2:26" x14ac:dyDescent="0.55000000000000004">
      <c r="B1569" s="20" t="str">
        <f>_xll.RssMarket(A1569,"銘柄名称")</f>
        <v/>
      </c>
      <c r="C1569" s="21" t="str">
        <f>_xll.RssMarket(A1569,"現在値")</f>
        <v/>
      </c>
      <c r="D1569" s="20" t="str">
        <f>_xll.RssMarket(A1569,"現在値詳細時刻")</f>
        <v/>
      </c>
      <c r="E1569" s="22" t="str">
        <f>_xll.RssMarket(A1569,"前日比")</f>
        <v/>
      </c>
      <c r="F1569" s="23" t="e">
        <f>_xll.RssMarket(A1569,"前日比率")/100</f>
        <v>#VALUE!</v>
      </c>
      <c r="G1569" s="24" t="str">
        <f>IFERROR(VLOOKUP(A1569,取得元!$A$2:$F$501,2,FALSE),"-")</f>
        <v>-</v>
      </c>
      <c r="H1569" s="24" t="str">
        <f>IFERROR(VLOOKUP(A1569,取得元!$A$2:$F$501,3,FALSE),"-")</f>
        <v>-</v>
      </c>
      <c r="I1569" s="24" t="str">
        <f>IFERROR(VLOOKUP(A1569,取得元!$A$2:$F$501,4,FALSE),"-")</f>
        <v>-</v>
      </c>
      <c r="J1569" s="5" t="str">
        <f>IFERROR(VLOOKUP(A1569,取得元!$A$2:$F$501,5,FALSE),"-")</f>
        <v>-</v>
      </c>
      <c r="K1569" s="25" t="str">
        <f>IFERROR(VLOOKUP(A1569,取得元!$A$2:$F$501,6,FALSE)/100,"-")</f>
        <v>-</v>
      </c>
      <c r="L1569" s="21" t="str">
        <f>_xll.RssMarket(A1569,"始値")</f>
        <v/>
      </c>
      <c r="M1569" s="4" t="e">
        <f t="shared" si="135"/>
        <v>#VALUE!</v>
      </c>
      <c r="N1569" s="21" t="str">
        <f>_xll.RssMarket(A1569,"高値")</f>
        <v/>
      </c>
      <c r="O1569" s="4" t="e">
        <f t="shared" si="136"/>
        <v>#VALUE!</v>
      </c>
      <c r="P1569" s="21" t="str">
        <f>_xll.RssMarket(A1569,"安値")</f>
        <v/>
      </c>
      <c r="Q1569" s="4" t="e">
        <f t="shared" si="137"/>
        <v>#VALUE!</v>
      </c>
      <c r="R1569" s="21" t="str">
        <f>_xll.RssMarket(A1569,"後場始値")</f>
        <v/>
      </c>
      <c r="S1569" s="25" t="str">
        <f t="shared" si="138"/>
        <v>-</v>
      </c>
      <c r="T1569" s="7" t="str">
        <f>_xll.RssMarket(A1569,"出来高加重平均")</f>
        <v/>
      </c>
      <c r="U1569" s="4" t="e">
        <f t="shared" si="139"/>
        <v>#VALUE!</v>
      </c>
      <c r="V1569" s="21" t="str">
        <f>_xll.RssMarket(A1569,"出来高")</f>
        <v/>
      </c>
      <c r="W1569" s="21" t="str">
        <f>_xll.RssMarket(A1569,"売買代金")</f>
        <v/>
      </c>
      <c r="X1569" s="20" t="str">
        <f>_xll.RssMarket(A1569,"決算発表日")</f>
        <v/>
      </c>
      <c r="Y1569" s="26" t="str">
        <f>IF(C1569&gt;_xll.RssMarket(A1569,"年初来高値"),"○","×")</f>
        <v>×</v>
      </c>
      <c r="Z1569" s="27" t="str">
        <f>IF(C1569&lt;=_xll.RssMarket(A1569,"年初来安値"),"○","×")</f>
        <v>○</v>
      </c>
    </row>
    <row r="1570" spans="2:26" x14ac:dyDescent="0.55000000000000004">
      <c r="B1570" s="20" t="str">
        <f>_xll.RssMarket(A1570,"銘柄名称")</f>
        <v/>
      </c>
      <c r="C1570" s="21" t="str">
        <f>_xll.RssMarket(A1570,"現在値")</f>
        <v/>
      </c>
      <c r="D1570" s="20" t="str">
        <f>_xll.RssMarket(A1570,"現在値詳細時刻")</f>
        <v/>
      </c>
      <c r="E1570" s="22" t="str">
        <f>_xll.RssMarket(A1570,"前日比")</f>
        <v/>
      </c>
      <c r="F1570" s="23" t="e">
        <f>_xll.RssMarket(A1570,"前日比率")/100</f>
        <v>#VALUE!</v>
      </c>
      <c r="G1570" s="24" t="str">
        <f>IFERROR(VLOOKUP(A1570,取得元!$A$2:$F$501,2,FALSE),"-")</f>
        <v>-</v>
      </c>
      <c r="H1570" s="24" t="str">
        <f>IFERROR(VLOOKUP(A1570,取得元!$A$2:$F$501,3,FALSE),"-")</f>
        <v>-</v>
      </c>
      <c r="I1570" s="24" t="str">
        <f>IFERROR(VLOOKUP(A1570,取得元!$A$2:$F$501,4,FALSE),"-")</f>
        <v>-</v>
      </c>
      <c r="J1570" s="5" t="str">
        <f>IFERROR(VLOOKUP(A1570,取得元!$A$2:$F$501,5,FALSE),"-")</f>
        <v>-</v>
      </c>
      <c r="K1570" s="25" t="str">
        <f>IFERROR(VLOOKUP(A1570,取得元!$A$2:$F$501,6,FALSE)/100,"-")</f>
        <v>-</v>
      </c>
      <c r="L1570" s="21" t="str">
        <f>_xll.RssMarket(A1570,"始値")</f>
        <v/>
      </c>
      <c r="M1570" s="4" t="e">
        <f t="shared" si="135"/>
        <v>#VALUE!</v>
      </c>
      <c r="N1570" s="21" t="str">
        <f>_xll.RssMarket(A1570,"高値")</f>
        <v/>
      </c>
      <c r="O1570" s="4" t="e">
        <f t="shared" si="136"/>
        <v>#VALUE!</v>
      </c>
      <c r="P1570" s="21" t="str">
        <f>_xll.RssMarket(A1570,"安値")</f>
        <v/>
      </c>
      <c r="Q1570" s="4" t="e">
        <f t="shared" si="137"/>
        <v>#VALUE!</v>
      </c>
      <c r="R1570" s="21" t="str">
        <f>_xll.RssMarket(A1570,"後場始値")</f>
        <v/>
      </c>
      <c r="S1570" s="25" t="str">
        <f t="shared" si="138"/>
        <v>-</v>
      </c>
      <c r="T1570" s="7" t="str">
        <f>_xll.RssMarket(A1570,"出来高加重平均")</f>
        <v/>
      </c>
      <c r="U1570" s="4" t="e">
        <f t="shared" si="139"/>
        <v>#VALUE!</v>
      </c>
      <c r="V1570" s="21" t="str">
        <f>_xll.RssMarket(A1570,"出来高")</f>
        <v/>
      </c>
      <c r="W1570" s="21" t="str">
        <f>_xll.RssMarket(A1570,"売買代金")</f>
        <v/>
      </c>
      <c r="X1570" s="20" t="str">
        <f>_xll.RssMarket(A1570,"決算発表日")</f>
        <v/>
      </c>
      <c r="Y1570" s="26" t="str">
        <f>IF(C1570&gt;_xll.RssMarket(A1570,"年初来高値"),"○","×")</f>
        <v>×</v>
      </c>
      <c r="Z1570" s="27" t="str">
        <f>IF(C1570&lt;=_xll.RssMarket(A1570,"年初来安値"),"○","×")</f>
        <v>○</v>
      </c>
    </row>
    <row r="1571" spans="2:26" x14ac:dyDescent="0.55000000000000004">
      <c r="B1571" s="20" t="str">
        <f>_xll.RssMarket(A1571,"銘柄名称")</f>
        <v/>
      </c>
      <c r="C1571" s="21" t="str">
        <f>_xll.RssMarket(A1571,"現在値")</f>
        <v/>
      </c>
      <c r="D1571" s="20" t="str">
        <f>_xll.RssMarket(A1571,"現在値詳細時刻")</f>
        <v/>
      </c>
      <c r="E1571" s="22" t="str">
        <f>_xll.RssMarket(A1571,"前日比")</f>
        <v/>
      </c>
      <c r="F1571" s="23" t="e">
        <f>_xll.RssMarket(A1571,"前日比率")/100</f>
        <v>#VALUE!</v>
      </c>
      <c r="G1571" s="24" t="str">
        <f>IFERROR(VLOOKUP(A1571,取得元!$A$2:$F$501,2,FALSE),"-")</f>
        <v>-</v>
      </c>
      <c r="H1571" s="24" t="str">
        <f>IFERROR(VLOOKUP(A1571,取得元!$A$2:$F$501,3,FALSE),"-")</f>
        <v>-</v>
      </c>
      <c r="I1571" s="24" t="str">
        <f>IFERROR(VLOOKUP(A1571,取得元!$A$2:$F$501,4,FALSE),"-")</f>
        <v>-</v>
      </c>
      <c r="J1571" s="5" t="str">
        <f>IFERROR(VLOOKUP(A1571,取得元!$A$2:$F$501,5,FALSE),"-")</f>
        <v>-</v>
      </c>
      <c r="K1571" s="25" t="str">
        <f>IFERROR(VLOOKUP(A1571,取得元!$A$2:$F$501,6,FALSE)/100,"-")</f>
        <v>-</v>
      </c>
      <c r="L1571" s="21" t="str">
        <f>_xll.RssMarket(A1571,"始値")</f>
        <v/>
      </c>
      <c r="M1571" s="4" t="e">
        <f t="shared" si="135"/>
        <v>#VALUE!</v>
      </c>
      <c r="N1571" s="21" t="str">
        <f>_xll.RssMarket(A1571,"高値")</f>
        <v/>
      </c>
      <c r="O1571" s="4" t="e">
        <f t="shared" si="136"/>
        <v>#VALUE!</v>
      </c>
      <c r="P1571" s="21" t="str">
        <f>_xll.RssMarket(A1571,"安値")</f>
        <v/>
      </c>
      <c r="Q1571" s="4" t="e">
        <f t="shared" si="137"/>
        <v>#VALUE!</v>
      </c>
      <c r="R1571" s="21" t="str">
        <f>_xll.RssMarket(A1571,"後場始値")</f>
        <v/>
      </c>
      <c r="S1571" s="25" t="str">
        <f t="shared" si="138"/>
        <v>-</v>
      </c>
      <c r="T1571" s="7" t="str">
        <f>_xll.RssMarket(A1571,"出来高加重平均")</f>
        <v/>
      </c>
      <c r="U1571" s="4" t="e">
        <f t="shared" si="139"/>
        <v>#VALUE!</v>
      </c>
      <c r="V1571" s="21" t="str">
        <f>_xll.RssMarket(A1571,"出来高")</f>
        <v/>
      </c>
      <c r="W1571" s="21" t="str">
        <f>_xll.RssMarket(A1571,"売買代金")</f>
        <v/>
      </c>
      <c r="X1571" s="20" t="str">
        <f>_xll.RssMarket(A1571,"決算発表日")</f>
        <v/>
      </c>
      <c r="Y1571" s="26" t="str">
        <f>IF(C1571&gt;_xll.RssMarket(A1571,"年初来高値"),"○","×")</f>
        <v>×</v>
      </c>
      <c r="Z1571" s="27" t="str">
        <f>IF(C1571&lt;=_xll.RssMarket(A1571,"年初来安値"),"○","×")</f>
        <v>○</v>
      </c>
    </row>
    <row r="1572" spans="2:26" x14ac:dyDescent="0.55000000000000004">
      <c r="B1572" s="20" t="str">
        <f>_xll.RssMarket(A1572,"銘柄名称")</f>
        <v/>
      </c>
      <c r="C1572" s="21" t="str">
        <f>_xll.RssMarket(A1572,"現在値")</f>
        <v/>
      </c>
      <c r="D1572" s="20" t="str">
        <f>_xll.RssMarket(A1572,"現在値詳細時刻")</f>
        <v/>
      </c>
      <c r="E1572" s="22" t="str">
        <f>_xll.RssMarket(A1572,"前日比")</f>
        <v/>
      </c>
      <c r="F1572" s="23" t="e">
        <f>_xll.RssMarket(A1572,"前日比率")/100</f>
        <v>#VALUE!</v>
      </c>
      <c r="G1572" s="24" t="str">
        <f>IFERROR(VLOOKUP(A1572,取得元!$A$2:$F$501,2,FALSE),"-")</f>
        <v>-</v>
      </c>
      <c r="H1572" s="24" t="str">
        <f>IFERROR(VLOOKUP(A1572,取得元!$A$2:$F$501,3,FALSE),"-")</f>
        <v>-</v>
      </c>
      <c r="I1572" s="24" t="str">
        <f>IFERROR(VLOOKUP(A1572,取得元!$A$2:$F$501,4,FALSE),"-")</f>
        <v>-</v>
      </c>
      <c r="J1572" s="5" t="str">
        <f>IFERROR(VLOOKUP(A1572,取得元!$A$2:$F$501,5,FALSE),"-")</f>
        <v>-</v>
      </c>
      <c r="K1572" s="25" t="str">
        <f>IFERROR(VLOOKUP(A1572,取得元!$A$2:$F$501,6,FALSE)/100,"-")</f>
        <v>-</v>
      </c>
      <c r="L1572" s="21" t="str">
        <f>_xll.RssMarket(A1572,"始値")</f>
        <v/>
      </c>
      <c r="M1572" s="4" t="e">
        <f t="shared" si="135"/>
        <v>#VALUE!</v>
      </c>
      <c r="N1572" s="21" t="str">
        <f>_xll.RssMarket(A1572,"高値")</f>
        <v/>
      </c>
      <c r="O1572" s="4" t="e">
        <f t="shared" si="136"/>
        <v>#VALUE!</v>
      </c>
      <c r="P1572" s="21" t="str">
        <f>_xll.RssMarket(A1572,"安値")</f>
        <v/>
      </c>
      <c r="Q1572" s="4" t="e">
        <f t="shared" si="137"/>
        <v>#VALUE!</v>
      </c>
      <c r="R1572" s="21" t="str">
        <f>_xll.RssMarket(A1572,"後場始値")</f>
        <v/>
      </c>
      <c r="S1572" s="25" t="str">
        <f t="shared" si="138"/>
        <v>-</v>
      </c>
      <c r="T1572" s="7" t="str">
        <f>_xll.RssMarket(A1572,"出来高加重平均")</f>
        <v/>
      </c>
      <c r="U1572" s="4" t="e">
        <f t="shared" si="139"/>
        <v>#VALUE!</v>
      </c>
      <c r="V1572" s="21" t="str">
        <f>_xll.RssMarket(A1572,"出来高")</f>
        <v/>
      </c>
      <c r="W1572" s="21" t="str">
        <f>_xll.RssMarket(A1572,"売買代金")</f>
        <v/>
      </c>
      <c r="X1572" s="20" t="str">
        <f>_xll.RssMarket(A1572,"決算発表日")</f>
        <v/>
      </c>
      <c r="Y1572" s="26" t="str">
        <f>IF(C1572&gt;_xll.RssMarket(A1572,"年初来高値"),"○","×")</f>
        <v>×</v>
      </c>
      <c r="Z1572" s="27" t="str">
        <f>IF(C1572&lt;=_xll.RssMarket(A1572,"年初来安値"),"○","×")</f>
        <v>○</v>
      </c>
    </row>
    <row r="1573" spans="2:26" x14ac:dyDescent="0.55000000000000004">
      <c r="B1573" s="20" t="str">
        <f>_xll.RssMarket(A1573,"銘柄名称")</f>
        <v/>
      </c>
      <c r="C1573" s="21" t="str">
        <f>_xll.RssMarket(A1573,"現在値")</f>
        <v/>
      </c>
      <c r="D1573" s="20" t="str">
        <f>_xll.RssMarket(A1573,"現在値詳細時刻")</f>
        <v/>
      </c>
      <c r="E1573" s="22" t="str">
        <f>_xll.RssMarket(A1573,"前日比")</f>
        <v/>
      </c>
      <c r="F1573" s="23" t="e">
        <f>_xll.RssMarket(A1573,"前日比率")/100</f>
        <v>#VALUE!</v>
      </c>
      <c r="G1573" s="24" t="str">
        <f>IFERROR(VLOOKUP(A1573,取得元!$A$2:$F$501,2,FALSE),"-")</f>
        <v>-</v>
      </c>
      <c r="H1573" s="24" t="str">
        <f>IFERROR(VLOOKUP(A1573,取得元!$A$2:$F$501,3,FALSE),"-")</f>
        <v>-</v>
      </c>
      <c r="I1573" s="24" t="str">
        <f>IFERROR(VLOOKUP(A1573,取得元!$A$2:$F$501,4,FALSE),"-")</f>
        <v>-</v>
      </c>
      <c r="J1573" s="5" t="str">
        <f>IFERROR(VLOOKUP(A1573,取得元!$A$2:$F$501,5,FALSE),"-")</f>
        <v>-</v>
      </c>
      <c r="K1573" s="25" t="str">
        <f>IFERROR(VLOOKUP(A1573,取得元!$A$2:$F$501,6,FALSE)/100,"-")</f>
        <v>-</v>
      </c>
      <c r="L1573" s="21" t="str">
        <f>_xll.RssMarket(A1573,"始値")</f>
        <v/>
      </c>
      <c r="M1573" s="4" t="e">
        <f t="shared" si="135"/>
        <v>#VALUE!</v>
      </c>
      <c r="N1573" s="21" t="str">
        <f>_xll.RssMarket(A1573,"高値")</f>
        <v/>
      </c>
      <c r="O1573" s="4" t="e">
        <f t="shared" si="136"/>
        <v>#VALUE!</v>
      </c>
      <c r="P1573" s="21" t="str">
        <f>_xll.RssMarket(A1573,"安値")</f>
        <v/>
      </c>
      <c r="Q1573" s="4" t="e">
        <f t="shared" si="137"/>
        <v>#VALUE!</v>
      </c>
      <c r="R1573" s="21" t="str">
        <f>_xll.RssMarket(A1573,"後場始値")</f>
        <v/>
      </c>
      <c r="S1573" s="25" t="str">
        <f t="shared" si="138"/>
        <v>-</v>
      </c>
      <c r="T1573" s="7" t="str">
        <f>_xll.RssMarket(A1573,"出来高加重平均")</f>
        <v/>
      </c>
      <c r="U1573" s="4" t="e">
        <f t="shared" si="139"/>
        <v>#VALUE!</v>
      </c>
      <c r="V1573" s="21" t="str">
        <f>_xll.RssMarket(A1573,"出来高")</f>
        <v/>
      </c>
      <c r="W1573" s="21" t="str">
        <f>_xll.RssMarket(A1573,"売買代金")</f>
        <v/>
      </c>
      <c r="X1573" s="20" t="str">
        <f>_xll.RssMarket(A1573,"決算発表日")</f>
        <v/>
      </c>
      <c r="Y1573" s="26" t="str">
        <f>IF(C1573&gt;_xll.RssMarket(A1573,"年初来高値"),"○","×")</f>
        <v>×</v>
      </c>
      <c r="Z1573" s="27" t="str">
        <f>IF(C1573&lt;=_xll.RssMarket(A1573,"年初来安値"),"○","×")</f>
        <v>○</v>
      </c>
    </row>
    <row r="1574" spans="2:26" x14ac:dyDescent="0.55000000000000004">
      <c r="B1574" s="20" t="str">
        <f>_xll.RssMarket(A1574,"銘柄名称")</f>
        <v/>
      </c>
      <c r="C1574" s="21" t="str">
        <f>_xll.RssMarket(A1574,"現在値")</f>
        <v/>
      </c>
      <c r="D1574" s="20" t="str">
        <f>_xll.RssMarket(A1574,"現在値詳細時刻")</f>
        <v/>
      </c>
      <c r="E1574" s="22" t="str">
        <f>_xll.RssMarket(A1574,"前日比")</f>
        <v/>
      </c>
      <c r="F1574" s="23" t="e">
        <f>_xll.RssMarket(A1574,"前日比率")/100</f>
        <v>#VALUE!</v>
      </c>
      <c r="G1574" s="24" t="str">
        <f>IFERROR(VLOOKUP(A1574,取得元!$A$2:$F$501,2,FALSE),"-")</f>
        <v>-</v>
      </c>
      <c r="H1574" s="24" t="str">
        <f>IFERROR(VLOOKUP(A1574,取得元!$A$2:$F$501,3,FALSE),"-")</f>
        <v>-</v>
      </c>
      <c r="I1574" s="24" t="str">
        <f>IFERROR(VLOOKUP(A1574,取得元!$A$2:$F$501,4,FALSE),"-")</f>
        <v>-</v>
      </c>
      <c r="J1574" s="5" t="str">
        <f>IFERROR(VLOOKUP(A1574,取得元!$A$2:$F$501,5,FALSE),"-")</f>
        <v>-</v>
      </c>
      <c r="K1574" s="25" t="str">
        <f>IFERROR(VLOOKUP(A1574,取得元!$A$2:$F$501,6,FALSE)/100,"-")</f>
        <v>-</v>
      </c>
      <c r="L1574" s="21" t="str">
        <f>_xll.RssMarket(A1574,"始値")</f>
        <v/>
      </c>
      <c r="M1574" s="4" t="e">
        <f t="shared" si="135"/>
        <v>#VALUE!</v>
      </c>
      <c r="N1574" s="21" t="str">
        <f>_xll.RssMarket(A1574,"高値")</f>
        <v/>
      </c>
      <c r="O1574" s="4" t="e">
        <f t="shared" si="136"/>
        <v>#VALUE!</v>
      </c>
      <c r="P1574" s="21" t="str">
        <f>_xll.RssMarket(A1574,"安値")</f>
        <v/>
      </c>
      <c r="Q1574" s="4" t="e">
        <f t="shared" si="137"/>
        <v>#VALUE!</v>
      </c>
      <c r="R1574" s="21" t="str">
        <f>_xll.RssMarket(A1574,"後場始値")</f>
        <v/>
      </c>
      <c r="S1574" s="25" t="str">
        <f t="shared" si="138"/>
        <v>-</v>
      </c>
      <c r="T1574" s="7" t="str">
        <f>_xll.RssMarket(A1574,"出来高加重平均")</f>
        <v/>
      </c>
      <c r="U1574" s="4" t="e">
        <f t="shared" si="139"/>
        <v>#VALUE!</v>
      </c>
      <c r="V1574" s="21" t="str">
        <f>_xll.RssMarket(A1574,"出来高")</f>
        <v/>
      </c>
      <c r="W1574" s="21" t="str">
        <f>_xll.RssMarket(A1574,"売買代金")</f>
        <v/>
      </c>
      <c r="X1574" s="20" t="str">
        <f>_xll.RssMarket(A1574,"決算発表日")</f>
        <v/>
      </c>
      <c r="Y1574" s="26" t="str">
        <f>IF(C1574&gt;_xll.RssMarket(A1574,"年初来高値"),"○","×")</f>
        <v>×</v>
      </c>
      <c r="Z1574" s="27" t="str">
        <f>IF(C1574&lt;=_xll.RssMarket(A1574,"年初来安値"),"○","×")</f>
        <v>○</v>
      </c>
    </row>
    <row r="1575" spans="2:26" x14ac:dyDescent="0.55000000000000004">
      <c r="B1575" s="20" t="str">
        <f>_xll.RssMarket(A1575,"銘柄名称")</f>
        <v/>
      </c>
      <c r="C1575" s="21" t="str">
        <f>_xll.RssMarket(A1575,"現在値")</f>
        <v/>
      </c>
      <c r="D1575" s="20" t="str">
        <f>_xll.RssMarket(A1575,"現在値詳細時刻")</f>
        <v/>
      </c>
      <c r="E1575" s="22" t="str">
        <f>_xll.RssMarket(A1575,"前日比")</f>
        <v/>
      </c>
      <c r="F1575" s="23" t="e">
        <f>_xll.RssMarket(A1575,"前日比率")/100</f>
        <v>#VALUE!</v>
      </c>
      <c r="G1575" s="24" t="str">
        <f>IFERROR(VLOOKUP(A1575,取得元!$A$2:$F$501,2,FALSE),"-")</f>
        <v>-</v>
      </c>
      <c r="H1575" s="24" t="str">
        <f>IFERROR(VLOOKUP(A1575,取得元!$A$2:$F$501,3,FALSE),"-")</f>
        <v>-</v>
      </c>
      <c r="I1575" s="24" t="str">
        <f>IFERROR(VLOOKUP(A1575,取得元!$A$2:$F$501,4,FALSE),"-")</f>
        <v>-</v>
      </c>
      <c r="J1575" s="5" t="str">
        <f>IFERROR(VLOOKUP(A1575,取得元!$A$2:$F$501,5,FALSE),"-")</f>
        <v>-</v>
      </c>
      <c r="K1575" s="25" t="str">
        <f>IFERROR(VLOOKUP(A1575,取得元!$A$2:$F$501,6,FALSE)/100,"-")</f>
        <v>-</v>
      </c>
      <c r="L1575" s="21" t="str">
        <f>_xll.RssMarket(A1575,"始値")</f>
        <v/>
      </c>
      <c r="M1575" s="4" t="e">
        <f t="shared" si="135"/>
        <v>#VALUE!</v>
      </c>
      <c r="N1575" s="21" t="str">
        <f>_xll.RssMarket(A1575,"高値")</f>
        <v/>
      </c>
      <c r="O1575" s="4" t="e">
        <f t="shared" si="136"/>
        <v>#VALUE!</v>
      </c>
      <c r="P1575" s="21" t="str">
        <f>_xll.RssMarket(A1575,"安値")</f>
        <v/>
      </c>
      <c r="Q1575" s="4" t="e">
        <f t="shared" si="137"/>
        <v>#VALUE!</v>
      </c>
      <c r="R1575" s="21" t="str">
        <f>_xll.RssMarket(A1575,"後場始値")</f>
        <v/>
      </c>
      <c r="S1575" s="25" t="str">
        <f t="shared" si="138"/>
        <v>-</v>
      </c>
      <c r="T1575" s="7" t="str">
        <f>_xll.RssMarket(A1575,"出来高加重平均")</f>
        <v/>
      </c>
      <c r="U1575" s="4" t="e">
        <f t="shared" si="139"/>
        <v>#VALUE!</v>
      </c>
      <c r="V1575" s="21" t="str">
        <f>_xll.RssMarket(A1575,"出来高")</f>
        <v/>
      </c>
      <c r="W1575" s="21" t="str">
        <f>_xll.RssMarket(A1575,"売買代金")</f>
        <v/>
      </c>
      <c r="X1575" s="20" t="str">
        <f>_xll.RssMarket(A1575,"決算発表日")</f>
        <v/>
      </c>
      <c r="Y1575" s="26" t="str">
        <f>IF(C1575&gt;_xll.RssMarket(A1575,"年初来高値"),"○","×")</f>
        <v>×</v>
      </c>
      <c r="Z1575" s="27" t="str">
        <f>IF(C1575&lt;=_xll.RssMarket(A1575,"年初来安値"),"○","×")</f>
        <v>○</v>
      </c>
    </row>
    <row r="1576" spans="2:26" x14ac:dyDescent="0.55000000000000004">
      <c r="B1576" s="20" t="str">
        <f>_xll.RssMarket(A1576,"銘柄名称")</f>
        <v/>
      </c>
      <c r="C1576" s="21" t="str">
        <f>_xll.RssMarket(A1576,"現在値")</f>
        <v/>
      </c>
      <c r="D1576" s="20" t="str">
        <f>_xll.RssMarket(A1576,"現在値詳細時刻")</f>
        <v/>
      </c>
      <c r="E1576" s="22" t="str">
        <f>_xll.RssMarket(A1576,"前日比")</f>
        <v/>
      </c>
      <c r="F1576" s="23" t="e">
        <f>_xll.RssMarket(A1576,"前日比率")/100</f>
        <v>#VALUE!</v>
      </c>
      <c r="G1576" s="24" t="str">
        <f>IFERROR(VLOOKUP(A1576,取得元!$A$2:$F$501,2,FALSE),"-")</f>
        <v>-</v>
      </c>
      <c r="H1576" s="24" t="str">
        <f>IFERROR(VLOOKUP(A1576,取得元!$A$2:$F$501,3,FALSE),"-")</f>
        <v>-</v>
      </c>
      <c r="I1576" s="24" t="str">
        <f>IFERROR(VLOOKUP(A1576,取得元!$A$2:$F$501,4,FALSE),"-")</f>
        <v>-</v>
      </c>
      <c r="J1576" s="5" t="str">
        <f>IFERROR(VLOOKUP(A1576,取得元!$A$2:$F$501,5,FALSE),"-")</f>
        <v>-</v>
      </c>
      <c r="K1576" s="25" t="str">
        <f>IFERROR(VLOOKUP(A1576,取得元!$A$2:$F$501,6,FALSE)/100,"-")</f>
        <v>-</v>
      </c>
      <c r="L1576" s="21" t="str">
        <f>_xll.RssMarket(A1576,"始値")</f>
        <v/>
      </c>
      <c r="M1576" s="4" t="e">
        <f t="shared" si="135"/>
        <v>#VALUE!</v>
      </c>
      <c r="N1576" s="21" t="str">
        <f>_xll.RssMarket(A1576,"高値")</f>
        <v/>
      </c>
      <c r="O1576" s="4" t="e">
        <f t="shared" si="136"/>
        <v>#VALUE!</v>
      </c>
      <c r="P1576" s="21" t="str">
        <f>_xll.RssMarket(A1576,"安値")</f>
        <v/>
      </c>
      <c r="Q1576" s="4" t="e">
        <f t="shared" si="137"/>
        <v>#VALUE!</v>
      </c>
      <c r="R1576" s="21" t="str">
        <f>_xll.RssMarket(A1576,"後場始値")</f>
        <v/>
      </c>
      <c r="S1576" s="25" t="str">
        <f t="shared" si="138"/>
        <v>-</v>
      </c>
      <c r="T1576" s="7" t="str">
        <f>_xll.RssMarket(A1576,"出来高加重平均")</f>
        <v/>
      </c>
      <c r="U1576" s="4" t="e">
        <f t="shared" si="139"/>
        <v>#VALUE!</v>
      </c>
      <c r="V1576" s="21" t="str">
        <f>_xll.RssMarket(A1576,"出来高")</f>
        <v/>
      </c>
      <c r="W1576" s="21" t="str">
        <f>_xll.RssMarket(A1576,"売買代金")</f>
        <v/>
      </c>
      <c r="X1576" s="20" t="str">
        <f>_xll.RssMarket(A1576,"決算発表日")</f>
        <v/>
      </c>
      <c r="Y1576" s="26" t="str">
        <f>IF(C1576&gt;_xll.RssMarket(A1576,"年初来高値"),"○","×")</f>
        <v>×</v>
      </c>
      <c r="Z1576" s="27" t="str">
        <f>IF(C1576&lt;=_xll.RssMarket(A1576,"年初来安値"),"○","×")</f>
        <v>○</v>
      </c>
    </row>
    <row r="1577" spans="2:26" x14ac:dyDescent="0.55000000000000004">
      <c r="B1577" s="20" t="str">
        <f>_xll.RssMarket(A1577,"銘柄名称")</f>
        <v/>
      </c>
      <c r="C1577" s="21" t="str">
        <f>_xll.RssMarket(A1577,"現在値")</f>
        <v/>
      </c>
      <c r="D1577" s="20" t="str">
        <f>_xll.RssMarket(A1577,"現在値詳細時刻")</f>
        <v/>
      </c>
      <c r="E1577" s="22" t="str">
        <f>_xll.RssMarket(A1577,"前日比")</f>
        <v/>
      </c>
      <c r="F1577" s="23" t="e">
        <f>_xll.RssMarket(A1577,"前日比率")/100</f>
        <v>#VALUE!</v>
      </c>
      <c r="G1577" s="24" t="str">
        <f>IFERROR(VLOOKUP(A1577,取得元!$A$2:$F$501,2,FALSE),"-")</f>
        <v>-</v>
      </c>
      <c r="H1577" s="24" t="str">
        <f>IFERROR(VLOOKUP(A1577,取得元!$A$2:$F$501,3,FALSE),"-")</f>
        <v>-</v>
      </c>
      <c r="I1577" s="24" t="str">
        <f>IFERROR(VLOOKUP(A1577,取得元!$A$2:$F$501,4,FALSE),"-")</f>
        <v>-</v>
      </c>
      <c r="J1577" s="5" t="str">
        <f>IFERROR(VLOOKUP(A1577,取得元!$A$2:$F$501,5,FALSE),"-")</f>
        <v>-</v>
      </c>
      <c r="K1577" s="25" t="str">
        <f>IFERROR(VLOOKUP(A1577,取得元!$A$2:$F$501,6,FALSE)/100,"-")</f>
        <v>-</v>
      </c>
      <c r="L1577" s="21" t="str">
        <f>_xll.RssMarket(A1577,"始値")</f>
        <v/>
      </c>
      <c r="M1577" s="4" t="e">
        <f t="shared" si="135"/>
        <v>#VALUE!</v>
      </c>
      <c r="N1577" s="21" t="str">
        <f>_xll.RssMarket(A1577,"高値")</f>
        <v/>
      </c>
      <c r="O1577" s="4" t="e">
        <f t="shared" si="136"/>
        <v>#VALUE!</v>
      </c>
      <c r="P1577" s="21" t="str">
        <f>_xll.RssMarket(A1577,"安値")</f>
        <v/>
      </c>
      <c r="Q1577" s="4" t="e">
        <f t="shared" si="137"/>
        <v>#VALUE!</v>
      </c>
      <c r="R1577" s="21" t="str">
        <f>_xll.RssMarket(A1577,"後場始値")</f>
        <v/>
      </c>
      <c r="S1577" s="25" t="str">
        <f t="shared" si="138"/>
        <v>-</v>
      </c>
      <c r="T1577" s="7" t="str">
        <f>_xll.RssMarket(A1577,"出来高加重平均")</f>
        <v/>
      </c>
      <c r="U1577" s="4" t="e">
        <f t="shared" si="139"/>
        <v>#VALUE!</v>
      </c>
      <c r="V1577" s="21" t="str">
        <f>_xll.RssMarket(A1577,"出来高")</f>
        <v/>
      </c>
      <c r="W1577" s="21" t="str">
        <f>_xll.RssMarket(A1577,"売買代金")</f>
        <v/>
      </c>
      <c r="X1577" s="20" t="str">
        <f>_xll.RssMarket(A1577,"決算発表日")</f>
        <v/>
      </c>
      <c r="Y1577" s="26" t="str">
        <f>IF(C1577&gt;_xll.RssMarket(A1577,"年初来高値"),"○","×")</f>
        <v>×</v>
      </c>
      <c r="Z1577" s="27" t="str">
        <f>IF(C1577&lt;=_xll.RssMarket(A1577,"年初来安値"),"○","×")</f>
        <v>○</v>
      </c>
    </row>
    <row r="1578" spans="2:26" x14ac:dyDescent="0.55000000000000004">
      <c r="B1578" s="20" t="str">
        <f>_xll.RssMarket(A1578,"銘柄名称")</f>
        <v/>
      </c>
      <c r="C1578" s="21" t="str">
        <f>_xll.RssMarket(A1578,"現在値")</f>
        <v/>
      </c>
      <c r="D1578" s="20" t="str">
        <f>_xll.RssMarket(A1578,"現在値詳細時刻")</f>
        <v/>
      </c>
      <c r="E1578" s="22" t="str">
        <f>_xll.RssMarket(A1578,"前日比")</f>
        <v/>
      </c>
      <c r="F1578" s="23" t="e">
        <f>_xll.RssMarket(A1578,"前日比率")/100</f>
        <v>#VALUE!</v>
      </c>
      <c r="G1578" s="24" t="str">
        <f>IFERROR(VLOOKUP(A1578,取得元!$A$2:$F$501,2,FALSE),"-")</f>
        <v>-</v>
      </c>
      <c r="H1578" s="24" t="str">
        <f>IFERROR(VLOOKUP(A1578,取得元!$A$2:$F$501,3,FALSE),"-")</f>
        <v>-</v>
      </c>
      <c r="I1578" s="24" t="str">
        <f>IFERROR(VLOOKUP(A1578,取得元!$A$2:$F$501,4,FALSE),"-")</f>
        <v>-</v>
      </c>
      <c r="J1578" s="5" t="str">
        <f>IFERROR(VLOOKUP(A1578,取得元!$A$2:$F$501,5,FALSE),"-")</f>
        <v>-</v>
      </c>
      <c r="K1578" s="25" t="str">
        <f>IFERROR(VLOOKUP(A1578,取得元!$A$2:$F$501,6,FALSE)/100,"-")</f>
        <v>-</v>
      </c>
      <c r="L1578" s="21" t="str">
        <f>_xll.RssMarket(A1578,"始値")</f>
        <v/>
      </c>
      <c r="M1578" s="4" t="e">
        <f t="shared" si="135"/>
        <v>#VALUE!</v>
      </c>
      <c r="N1578" s="21" t="str">
        <f>_xll.RssMarket(A1578,"高値")</f>
        <v/>
      </c>
      <c r="O1578" s="4" t="e">
        <f t="shared" si="136"/>
        <v>#VALUE!</v>
      </c>
      <c r="P1578" s="21" t="str">
        <f>_xll.RssMarket(A1578,"安値")</f>
        <v/>
      </c>
      <c r="Q1578" s="4" t="e">
        <f t="shared" si="137"/>
        <v>#VALUE!</v>
      </c>
      <c r="R1578" s="21" t="str">
        <f>_xll.RssMarket(A1578,"後場始値")</f>
        <v/>
      </c>
      <c r="S1578" s="25" t="str">
        <f t="shared" si="138"/>
        <v>-</v>
      </c>
      <c r="T1578" s="7" t="str">
        <f>_xll.RssMarket(A1578,"出来高加重平均")</f>
        <v/>
      </c>
      <c r="U1578" s="4" t="e">
        <f t="shared" si="139"/>
        <v>#VALUE!</v>
      </c>
      <c r="V1578" s="21" t="str">
        <f>_xll.RssMarket(A1578,"出来高")</f>
        <v/>
      </c>
      <c r="W1578" s="21" t="str">
        <f>_xll.RssMarket(A1578,"売買代金")</f>
        <v/>
      </c>
      <c r="X1578" s="20" t="str">
        <f>_xll.RssMarket(A1578,"決算発表日")</f>
        <v/>
      </c>
      <c r="Y1578" s="26" t="str">
        <f>IF(C1578&gt;_xll.RssMarket(A1578,"年初来高値"),"○","×")</f>
        <v>×</v>
      </c>
      <c r="Z1578" s="27" t="str">
        <f>IF(C1578&lt;=_xll.RssMarket(A1578,"年初来安値"),"○","×")</f>
        <v>○</v>
      </c>
    </row>
    <row r="1579" spans="2:26" x14ac:dyDescent="0.55000000000000004">
      <c r="B1579" s="20" t="str">
        <f>_xll.RssMarket(A1579,"銘柄名称")</f>
        <v/>
      </c>
      <c r="C1579" s="21" t="str">
        <f>_xll.RssMarket(A1579,"現在値")</f>
        <v/>
      </c>
      <c r="D1579" s="20" t="str">
        <f>_xll.RssMarket(A1579,"現在値詳細時刻")</f>
        <v/>
      </c>
      <c r="E1579" s="22" t="str">
        <f>_xll.RssMarket(A1579,"前日比")</f>
        <v/>
      </c>
      <c r="F1579" s="23" t="e">
        <f>_xll.RssMarket(A1579,"前日比率")/100</f>
        <v>#VALUE!</v>
      </c>
      <c r="G1579" s="24" t="str">
        <f>IFERROR(VLOOKUP(A1579,取得元!$A$2:$F$501,2,FALSE),"-")</f>
        <v>-</v>
      </c>
      <c r="H1579" s="24" t="str">
        <f>IFERROR(VLOOKUP(A1579,取得元!$A$2:$F$501,3,FALSE),"-")</f>
        <v>-</v>
      </c>
      <c r="I1579" s="24" t="str">
        <f>IFERROR(VLOOKUP(A1579,取得元!$A$2:$F$501,4,FALSE),"-")</f>
        <v>-</v>
      </c>
      <c r="J1579" s="5" t="str">
        <f>IFERROR(VLOOKUP(A1579,取得元!$A$2:$F$501,5,FALSE),"-")</f>
        <v>-</v>
      </c>
      <c r="K1579" s="25" t="str">
        <f>IFERROR(VLOOKUP(A1579,取得元!$A$2:$F$501,6,FALSE)/100,"-")</f>
        <v>-</v>
      </c>
      <c r="L1579" s="21" t="str">
        <f>_xll.RssMarket(A1579,"始値")</f>
        <v/>
      </c>
      <c r="M1579" s="4" t="e">
        <f t="shared" si="135"/>
        <v>#VALUE!</v>
      </c>
      <c r="N1579" s="21" t="str">
        <f>_xll.RssMarket(A1579,"高値")</f>
        <v/>
      </c>
      <c r="O1579" s="4" t="e">
        <f t="shared" si="136"/>
        <v>#VALUE!</v>
      </c>
      <c r="P1579" s="21" t="str">
        <f>_xll.RssMarket(A1579,"安値")</f>
        <v/>
      </c>
      <c r="Q1579" s="4" t="e">
        <f t="shared" si="137"/>
        <v>#VALUE!</v>
      </c>
      <c r="R1579" s="21" t="str">
        <f>_xll.RssMarket(A1579,"後場始値")</f>
        <v/>
      </c>
      <c r="S1579" s="25" t="str">
        <f t="shared" si="138"/>
        <v>-</v>
      </c>
      <c r="T1579" s="7" t="str">
        <f>_xll.RssMarket(A1579,"出来高加重平均")</f>
        <v/>
      </c>
      <c r="U1579" s="4" t="e">
        <f t="shared" si="139"/>
        <v>#VALUE!</v>
      </c>
      <c r="V1579" s="21" t="str">
        <f>_xll.RssMarket(A1579,"出来高")</f>
        <v/>
      </c>
      <c r="W1579" s="21" t="str">
        <f>_xll.RssMarket(A1579,"売買代金")</f>
        <v/>
      </c>
      <c r="X1579" s="20" t="str">
        <f>_xll.RssMarket(A1579,"決算発表日")</f>
        <v/>
      </c>
      <c r="Y1579" s="26" t="str">
        <f>IF(C1579&gt;_xll.RssMarket(A1579,"年初来高値"),"○","×")</f>
        <v>×</v>
      </c>
      <c r="Z1579" s="27" t="str">
        <f>IF(C1579&lt;=_xll.RssMarket(A1579,"年初来安値"),"○","×")</f>
        <v>○</v>
      </c>
    </row>
    <row r="1580" spans="2:26" x14ac:dyDescent="0.55000000000000004">
      <c r="B1580" s="20" t="str">
        <f>_xll.RssMarket(A1580,"銘柄名称")</f>
        <v/>
      </c>
      <c r="C1580" s="21" t="str">
        <f>_xll.RssMarket(A1580,"現在値")</f>
        <v/>
      </c>
      <c r="D1580" s="20" t="str">
        <f>_xll.RssMarket(A1580,"現在値詳細時刻")</f>
        <v/>
      </c>
      <c r="E1580" s="22" t="str">
        <f>_xll.RssMarket(A1580,"前日比")</f>
        <v/>
      </c>
      <c r="F1580" s="23" t="e">
        <f>_xll.RssMarket(A1580,"前日比率")/100</f>
        <v>#VALUE!</v>
      </c>
      <c r="G1580" s="24" t="str">
        <f>IFERROR(VLOOKUP(A1580,取得元!$A$2:$F$501,2,FALSE),"-")</f>
        <v>-</v>
      </c>
      <c r="H1580" s="24" t="str">
        <f>IFERROR(VLOOKUP(A1580,取得元!$A$2:$F$501,3,FALSE),"-")</f>
        <v>-</v>
      </c>
      <c r="I1580" s="24" t="str">
        <f>IFERROR(VLOOKUP(A1580,取得元!$A$2:$F$501,4,FALSE),"-")</f>
        <v>-</v>
      </c>
      <c r="J1580" s="5" t="str">
        <f>IFERROR(VLOOKUP(A1580,取得元!$A$2:$F$501,5,FALSE),"-")</f>
        <v>-</v>
      </c>
      <c r="K1580" s="25" t="str">
        <f>IFERROR(VLOOKUP(A1580,取得元!$A$2:$F$501,6,FALSE)/100,"-")</f>
        <v>-</v>
      </c>
      <c r="L1580" s="21" t="str">
        <f>_xll.RssMarket(A1580,"始値")</f>
        <v/>
      </c>
      <c r="M1580" s="4" t="e">
        <f t="shared" si="135"/>
        <v>#VALUE!</v>
      </c>
      <c r="N1580" s="21" t="str">
        <f>_xll.RssMarket(A1580,"高値")</f>
        <v/>
      </c>
      <c r="O1580" s="4" t="e">
        <f t="shared" si="136"/>
        <v>#VALUE!</v>
      </c>
      <c r="P1580" s="21" t="str">
        <f>_xll.RssMarket(A1580,"安値")</f>
        <v/>
      </c>
      <c r="Q1580" s="4" t="e">
        <f t="shared" si="137"/>
        <v>#VALUE!</v>
      </c>
      <c r="R1580" s="21" t="str">
        <f>_xll.RssMarket(A1580,"後場始値")</f>
        <v/>
      </c>
      <c r="S1580" s="25" t="str">
        <f t="shared" si="138"/>
        <v>-</v>
      </c>
      <c r="T1580" s="7" t="str">
        <f>_xll.RssMarket(A1580,"出来高加重平均")</f>
        <v/>
      </c>
      <c r="U1580" s="4" t="e">
        <f t="shared" si="139"/>
        <v>#VALUE!</v>
      </c>
      <c r="V1580" s="21" t="str">
        <f>_xll.RssMarket(A1580,"出来高")</f>
        <v/>
      </c>
      <c r="W1580" s="21" t="str">
        <f>_xll.RssMarket(A1580,"売買代金")</f>
        <v/>
      </c>
      <c r="X1580" s="20" t="str">
        <f>_xll.RssMarket(A1580,"決算発表日")</f>
        <v/>
      </c>
      <c r="Y1580" s="26" t="str">
        <f>IF(C1580&gt;_xll.RssMarket(A1580,"年初来高値"),"○","×")</f>
        <v>×</v>
      </c>
      <c r="Z1580" s="27" t="str">
        <f>IF(C1580&lt;=_xll.RssMarket(A1580,"年初来安値"),"○","×")</f>
        <v>○</v>
      </c>
    </row>
    <row r="1581" spans="2:26" x14ac:dyDescent="0.55000000000000004">
      <c r="B1581" s="20" t="str">
        <f>_xll.RssMarket(A1581,"銘柄名称")</f>
        <v/>
      </c>
      <c r="C1581" s="21" t="str">
        <f>_xll.RssMarket(A1581,"現在値")</f>
        <v/>
      </c>
      <c r="D1581" s="20" t="str">
        <f>_xll.RssMarket(A1581,"現在値詳細時刻")</f>
        <v/>
      </c>
      <c r="E1581" s="22" t="str">
        <f>_xll.RssMarket(A1581,"前日比")</f>
        <v/>
      </c>
      <c r="F1581" s="23" t="e">
        <f>_xll.RssMarket(A1581,"前日比率")/100</f>
        <v>#VALUE!</v>
      </c>
      <c r="G1581" s="24" t="str">
        <f>IFERROR(VLOOKUP(A1581,取得元!$A$2:$F$501,2,FALSE),"-")</f>
        <v>-</v>
      </c>
      <c r="H1581" s="24" t="str">
        <f>IFERROR(VLOOKUP(A1581,取得元!$A$2:$F$501,3,FALSE),"-")</f>
        <v>-</v>
      </c>
      <c r="I1581" s="24" t="str">
        <f>IFERROR(VLOOKUP(A1581,取得元!$A$2:$F$501,4,FALSE),"-")</f>
        <v>-</v>
      </c>
      <c r="J1581" s="5" t="str">
        <f>IFERROR(VLOOKUP(A1581,取得元!$A$2:$F$501,5,FALSE),"-")</f>
        <v>-</v>
      </c>
      <c r="K1581" s="25" t="str">
        <f>IFERROR(VLOOKUP(A1581,取得元!$A$2:$F$501,6,FALSE)/100,"-")</f>
        <v>-</v>
      </c>
      <c r="L1581" s="21" t="str">
        <f>_xll.RssMarket(A1581,"始値")</f>
        <v/>
      </c>
      <c r="M1581" s="4" t="e">
        <f t="shared" si="135"/>
        <v>#VALUE!</v>
      </c>
      <c r="N1581" s="21" t="str">
        <f>_xll.RssMarket(A1581,"高値")</f>
        <v/>
      </c>
      <c r="O1581" s="4" t="e">
        <f t="shared" si="136"/>
        <v>#VALUE!</v>
      </c>
      <c r="P1581" s="21" t="str">
        <f>_xll.RssMarket(A1581,"安値")</f>
        <v/>
      </c>
      <c r="Q1581" s="4" t="e">
        <f t="shared" si="137"/>
        <v>#VALUE!</v>
      </c>
      <c r="R1581" s="21" t="str">
        <f>_xll.RssMarket(A1581,"後場始値")</f>
        <v/>
      </c>
      <c r="S1581" s="25" t="str">
        <f t="shared" si="138"/>
        <v>-</v>
      </c>
      <c r="T1581" s="7" t="str">
        <f>_xll.RssMarket(A1581,"出来高加重平均")</f>
        <v/>
      </c>
      <c r="U1581" s="4" t="e">
        <f t="shared" si="139"/>
        <v>#VALUE!</v>
      </c>
      <c r="V1581" s="21" t="str">
        <f>_xll.RssMarket(A1581,"出来高")</f>
        <v/>
      </c>
      <c r="W1581" s="21" t="str">
        <f>_xll.RssMarket(A1581,"売買代金")</f>
        <v/>
      </c>
      <c r="X1581" s="20" t="str">
        <f>_xll.RssMarket(A1581,"決算発表日")</f>
        <v/>
      </c>
      <c r="Y1581" s="26" t="str">
        <f>IF(C1581&gt;_xll.RssMarket(A1581,"年初来高値"),"○","×")</f>
        <v>×</v>
      </c>
      <c r="Z1581" s="27" t="str">
        <f>IF(C1581&lt;=_xll.RssMarket(A1581,"年初来安値"),"○","×")</f>
        <v>○</v>
      </c>
    </row>
    <row r="1582" spans="2:26" x14ac:dyDescent="0.55000000000000004">
      <c r="B1582" s="20" t="str">
        <f>_xll.RssMarket(A1582,"銘柄名称")</f>
        <v/>
      </c>
      <c r="C1582" s="21" t="str">
        <f>_xll.RssMarket(A1582,"現在値")</f>
        <v/>
      </c>
      <c r="D1582" s="20" t="str">
        <f>_xll.RssMarket(A1582,"現在値詳細時刻")</f>
        <v/>
      </c>
      <c r="E1582" s="22" t="str">
        <f>_xll.RssMarket(A1582,"前日比")</f>
        <v/>
      </c>
      <c r="F1582" s="23" t="e">
        <f>_xll.RssMarket(A1582,"前日比率")/100</f>
        <v>#VALUE!</v>
      </c>
      <c r="G1582" s="24" t="str">
        <f>IFERROR(VLOOKUP(A1582,取得元!$A$2:$F$501,2,FALSE),"-")</f>
        <v>-</v>
      </c>
      <c r="H1582" s="24" t="str">
        <f>IFERROR(VLOOKUP(A1582,取得元!$A$2:$F$501,3,FALSE),"-")</f>
        <v>-</v>
      </c>
      <c r="I1582" s="24" t="str">
        <f>IFERROR(VLOOKUP(A1582,取得元!$A$2:$F$501,4,FALSE),"-")</f>
        <v>-</v>
      </c>
      <c r="J1582" s="5" t="str">
        <f>IFERROR(VLOOKUP(A1582,取得元!$A$2:$F$501,5,FALSE),"-")</f>
        <v>-</v>
      </c>
      <c r="K1582" s="25" t="str">
        <f>IFERROR(VLOOKUP(A1582,取得元!$A$2:$F$501,6,FALSE)/100,"-")</f>
        <v>-</v>
      </c>
      <c r="L1582" s="21" t="str">
        <f>_xll.RssMarket(A1582,"始値")</f>
        <v/>
      </c>
      <c r="M1582" s="4" t="e">
        <f t="shared" si="135"/>
        <v>#VALUE!</v>
      </c>
      <c r="N1582" s="21" t="str">
        <f>_xll.RssMarket(A1582,"高値")</f>
        <v/>
      </c>
      <c r="O1582" s="4" t="e">
        <f t="shared" si="136"/>
        <v>#VALUE!</v>
      </c>
      <c r="P1582" s="21" t="str">
        <f>_xll.RssMarket(A1582,"安値")</f>
        <v/>
      </c>
      <c r="Q1582" s="4" t="e">
        <f t="shared" si="137"/>
        <v>#VALUE!</v>
      </c>
      <c r="R1582" s="21" t="str">
        <f>_xll.RssMarket(A1582,"後場始値")</f>
        <v/>
      </c>
      <c r="S1582" s="25" t="str">
        <f t="shared" si="138"/>
        <v>-</v>
      </c>
      <c r="T1582" s="7" t="str">
        <f>_xll.RssMarket(A1582,"出来高加重平均")</f>
        <v/>
      </c>
      <c r="U1582" s="4" t="e">
        <f t="shared" si="139"/>
        <v>#VALUE!</v>
      </c>
      <c r="V1582" s="21" t="str">
        <f>_xll.RssMarket(A1582,"出来高")</f>
        <v/>
      </c>
      <c r="W1582" s="21" t="str">
        <f>_xll.RssMarket(A1582,"売買代金")</f>
        <v/>
      </c>
      <c r="X1582" s="20" t="str">
        <f>_xll.RssMarket(A1582,"決算発表日")</f>
        <v/>
      </c>
      <c r="Y1582" s="26" t="str">
        <f>IF(C1582&gt;_xll.RssMarket(A1582,"年初来高値"),"○","×")</f>
        <v>×</v>
      </c>
      <c r="Z1582" s="27" t="str">
        <f>IF(C1582&lt;=_xll.RssMarket(A1582,"年初来安値"),"○","×")</f>
        <v>○</v>
      </c>
    </row>
    <row r="1583" spans="2:26" x14ac:dyDescent="0.55000000000000004">
      <c r="B1583" s="20" t="str">
        <f>_xll.RssMarket(A1583,"銘柄名称")</f>
        <v/>
      </c>
      <c r="C1583" s="21" t="str">
        <f>_xll.RssMarket(A1583,"現在値")</f>
        <v/>
      </c>
      <c r="D1583" s="20" t="str">
        <f>_xll.RssMarket(A1583,"現在値詳細時刻")</f>
        <v/>
      </c>
      <c r="E1583" s="22" t="str">
        <f>_xll.RssMarket(A1583,"前日比")</f>
        <v/>
      </c>
      <c r="F1583" s="23" t="e">
        <f>_xll.RssMarket(A1583,"前日比率")/100</f>
        <v>#VALUE!</v>
      </c>
      <c r="G1583" s="24" t="str">
        <f>IFERROR(VLOOKUP(A1583,取得元!$A$2:$F$501,2,FALSE),"-")</f>
        <v>-</v>
      </c>
      <c r="H1583" s="24" t="str">
        <f>IFERROR(VLOOKUP(A1583,取得元!$A$2:$F$501,3,FALSE),"-")</f>
        <v>-</v>
      </c>
      <c r="I1583" s="24" t="str">
        <f>IFERROR(VLOOKUP(A1583,取得元!$A$2:$F$501,4,FALSE),"-")</f>
        <v>-</v>
      </c>
      <c r="J1583" s="5" t="str">
        <f>IFERROR(VLOOKUP(A1583,取得元!$A$2:$F$501,5,FALSE),"-")</f>
        <v>-</v>
      </c>
      <c r="K1583" s="25" t="str">
        <f>IFERROR(VLOOKUP(A1583,取得元!$A$2:$F$501,6,FALSE)/100,"-")</f>
        <v>-</v>
      </c>
      <c r="L1583" s="21" t="str">
        <f>_xll.RssMarket(A1583,"始値")</f>
        <v/>
      </c>
      <c r="M1583" s="4" t="e">
        <f t="shared" si="135"/>
        <v>#VALUE!</v>
      </c>
      <c r="N1583" s="21" t="str">
        <f>_xll.RssMarket(A1583,"高値")</f>
        <v/>
      </c>
      <c r="O1583" s="4" t="e">
        <f t="shared" si="136"/>
        <v>#VALUE!</v>
      </c>
      <c r="P1583" s="21" t="str">
        <f>_xll.RssMarket(A1583,"安値")</f>
        <v/>
      </c>
      <c r="Q1583" s="4" t="e">
        <f t="shared" si="137"/>
        <v>#VALUE!</v>
      </c>
      <c r="R1583" s="21" t="str">
        <f>_xll.RssMarket(A1583,"後場始値")</f>
        <v/>
      </c>
      <c r="S1583" s="25" t="str">
        <f t="shared" si="138"/>
        <v>-</v>
      </c>
      <c r="T1583" s="7" t="str">
        <f>_xll.RssMarket(A1583,"出来高加重平均")</f>
        <v/>
      </c>
      <c r="U1583" s="4" t="e">
        <f t="shared" si="139"/>
        <v>#VALUE!</v>
      </c>
      <c r="V1583" s="21" t="str">
        <f>_xll.RssMarket(A1583,"出来高")</f>
        <v/>
      </c>
      <c r="W1583" s="21" t="str">
        <f>_xll.RssMarket(A1583,"売買代金")</f>
        <v/>
      </c>
      <c r="X1583" s="20" t="str">
        <f>_xll.RssMarket(A1583,"決算発表日")</f>
        <v/>
      </c>
      <c r="Y1583" s="26" t="str">
        <f>IF(C1583&gt;_xll.RssMarket(A1583,"年初来高値"),"○","×")</f>
        <v>×</v>
      </c>
      <c r="Z1583" s="27" t="str">
        <f>IF(C1583&lt;=_xll.RssMarket(A1583,"年初来安値"),"○","×")</f>
        <v>○</v>
      </c>
    </row>
    <row r="1584" spans="2:26" x14ac:dyDescent="0.55000000000000004">
      <c r="B1584" s="20" t="str">
        <f>_xll.RssMarket(A1584,"銘柄名称")</f>
        <v/>
      </c>
      <c r="C1584" s="21" t="str">
        <f>_xll.RssMarket(A1584,"現在値")</f>
        <v/>
      </c>
      <c r="D1584" s="20" t="str">
        <f>_xll.RssMarket(A1584,"現在値詳細時刻")</f>
        <v/>
      </c>
      <c r="E1584" s="22" t="str">
        <f>_xll.RssMarket(A1584,"前日比")</f>
        <v/>
      </c>
      <c r="F1584" s="23" t="e">
        <f>_xll.RssMarket(A1584,"前日比率")/100</f>
        <v>#VALUE!</v>
      </c>
      <c r="G1584" s="24" t="str">
        <f>IFERROR(VLOOKUP(A1584,取得元!$A$2:$F$501,2,FALSE),"-")</f>
        <v>-</v>
      </c>
      <c r="H1584" s="24" t="str">
        <f>IFERROR(VLOOKUP(A1584,取得元!$A$2:$F$501,3,FALSE),"-")</f>
        <v>-</v>
      </c>
      <c r="I1584" s="24" t="str">
        <f>IFERROR(VLOOKUP(A1584,取得元!$A$2:$F$501,4,FALSE),"-")</f>
        <v>-</v>
      </c>
      <c r="J1584" s="5" t="str">
        <f>IFERROR(VLOOKUP(A1584,取得元!$A$2:$F$501,5,FALSE),"-")</f>
        <v>-</v>
      </c>
      <c r="K1584" s="25" t="str">
        <f>IFERROR(VLOOKUP(A1584,取得元!$A$2:$F$501,6,FALSE)/100,"-")</f>
        <v>-</v>
      </c>
      <c r="L1584" s="21" t="str">
        <f>_xll.RssMarket(A1584,"始値")</f>
        <v/>
      </c>
      <c r="M1584" s="4" t="e">
        <f t="shared" si="135"/>
        <v>#VALUE!</v>
      </c>
      <c r="N1584" s="21" t="str">
        <f>_xll.RssMarket(A1584,"高値")</f>
        <v/>
      </c>
      <c r="O1584" s="4" t="e">
        <f t="shared" si="136"/>
        <v>#VALUE!</v>
      </c>
      <c r="P1584" s="21" t="str">
        <f>_xll.RssMarket(A1584,"安値")</f>
        <v/>
      </c>
      <c r="Q1584" s="4" t="e">
        <f t="shared" si="137"/>
        <v>#VALUE!</v>
      </c>
      <c r="R1584" s="21" t="str">
        <f>_xll.RssMarket(A1584,"後場始値")</f>
        <v/>
      </c>
      <c r="S1584" s="25" t="str">
        <f t="shared" si="138"/>
        <v>-</v>
      </c>
      <c r="T1584" s="7" t="str">
        <f>_xll.RssMarket(A1584,"出来高加重平均")</f>
        <v/>
      </c>
      <c r="U1584" s="4" t="e">
        <f t="shared" si="139"/>
        <v>#VALUE!</v>
      </c>
      <c r="V1584" s="21" t="str">
        <f>_xll.RssMarket(A1584,"出来高")</f>
        <v/>
      </c>
      <c r="W1584" s="21" t="str">
        <f>_xll.RssMarket(A1584,"売買代金")</f>
        <v/>
      </c>
      <c r="X1584" s="20" t="str">
        <f>_xll.RssMarket(A1584,"決算発表日")</f>
        <v/>
      </c>
      <c r="Y1584" s="26" t="str">
        <f>IF(C1584&gt;_xll.RssMarket(A1584,"年初来高値"),"○","×")</f>
        <v>×</v>
      </c>
      <c r="Z1584" s="27" t="str">
        <f>IF(C1584&lt;=_xll.RssMarket(A1584,"年初来安値"),"○","×")</f>
        <v>○</v>
      </c>
    </row>
    <row r="1585" spans="2:26" x14ac:dyDescent="0.55000000000000004">
      <c r="B1585" s="20" t="str">
        <f>_xll.RssMarket(A1585,"銘柄名称")</f>
        <v/>
      </c>
      <c r="C1585" s="21" t="str">
        <f>_xll.RssMarket(A1585,"現在値")</f>
        <v/>
      </c>
      <c r="D1585" s="20" t="str">
        <f>_xll.RssMarket(A1585,"現在値詳細時刻")</f>
        <v/>
      </c>
      <c r="E1585" s="22" t="str">
        <f>_xll.RssMarket(A1585,"前日比")</f>
        <v/>
      </c>
      <c r="F1585" s="23" t="e">
        <f>_xll.RssMarket(A1585,"前日比率")/100</f>
        <v>#VALUE!</v>
      </c>
      <c r="G1585" s="24" t="str">
        <f>IFERROR(VLOOKUP(A1585,取得元!$A$2:$F$501,2,FALSE),"-")</f>
        <v>-</v>
      </c>
      <c r="H1585" s="24" t="str">
        <f>IFERROR(VLOOKUP(A1585,取得元!$A$2:$F$501,3,FALSE),"-")</f>
        <v>-</v>
      </c>
      <c r="I1585" s="24" t="str">
        <f>IFERROR(VLOOKUP(A1585,取得元!$A$2:$F$501,4,FALSE),"-")</f>
        <v>-</v>
      </c>
      <c r="J1585" s="5" t="str">
        <f>IFERROR(VLOOKUP(A1585,取得元!$A$2:$F$501,5,FALSE),"-")</f>
        <v>-</v>
      </c>
      <c r="K1585" s="25" t="str">
        <f>IFERROR(VLOOKUP(A1585,取得元!$A$2:$F$501,6,FALSE)/100,"-")</f>
        <v>-</v>
      </c>
      <c r="L1585" s="21" t="str">
        <f>_xll.RssMarket(A1585,"始値")</f>
        <v/>
      </c>
      <c r="M1585" s="4" t="e">
        <f t="shared" si="135"/>
        <v>#VALUE!</v>
      </c>
      <c r="N1585" s="21" t="str">
        <f>_xll.RssMarket(A1585,"高値")</f>
        <v/>
      </c>
      <c r="O1585" s="4" t="e">
        <f t="shared" si="136"/>
        <v>#VALUE!</v>
      </c>
      <c r="P1585" s="21" t="str">
        <f>_xll.RssMarket(A1585,"安値")</f>
        <v/>
      </c>
      <c r="Q1585" s="4" t="e">
        <f t="shared" si="137"/>
        <v>#VALUE!</v>
      </c>
      <c r="R1585" s="21" t="str">
        <f>_xll.RssMarket(A1585,"後場始値")</f>
        <v/>
      </c>
      <c r="S1585" s="25" t="str">
        <f t="shared" si="138"/>
        <v>-</v>
      </c>
      <c r="T1585" s="7" t="str">
        <f>_xll.RssMarket(A1585,"出来高加重平均")</f>
        <v/>
      </c>
      <c r="U1585" s="4" t="e">
        <f t="shared" si="139"/>
        <v>#VALUE!</v>
      </c>
      <c r="V1585" s="21" t="str">
        <f>_xll.RssMarket(A1585,"出来高")</f>
        <v/>
      </c>
      <c r="W1585" s="21" t="str">
        <f>_xll.RssMarket(A1585,"売買代金")</f>
        <v/>
      </c>
      <c r="X1585" s="20" t="str">
        <f>_xll.RssMarket(A1585,"決算発表日")</f>
        <v/>
      </c>
      <c r="Y1585" s="26" t="str">
        <f>IF(C1585&gt;_xll.RssMarket(A1585,"年初来高値"),"○","×")</f>
        <v>×</v>
      </c>
      <c r="Z1585" s="27" t="str">
        <f>IF(C1585&lt;=_xll.RssMarket(A1585,"年初来安値"),"○","×")</f>
        <v>○</v>
      </c>
    </row>
    <row r="1586" spans="2:26" x14ac:dyDescent="0.55000000000000004">
      <c r="B1586" s="20" t="str">
        <f>_xll.RssMarket(A1586,"銘柄名称")</f>
        <v/>
      </c>
      <c r="C1586" s="21" t="str">
        <f>_xll.RssMarket(A1586,"現在値")</f>
        <v/>
      </c>
      <c r="D1586" s="20" t="str">
        <f>_xll.RssMarket(A1586,"現在値詳細時刻")</f>
        <v/>
      </c>
      <c r="E1586" s="22" t="str">
        <f>_xll.RssMarket(A1586,"前日比")</f>
        <v/>
      </c>
      <c r="F1586" s="23" t="e">
        <f>_xll.RssMarket(A1586,"前日比率")/100</f>
        <v>#VALUE!</v>
      </c>
      <c r="G1586" s="24" t="str">
        <f>IFERROR(VLOOKUP(A1586,取得元!$A$2:$F$501,2,FALSE),"-")</f>
        <v>-</v>
      </c>
      <c r="H1586" s="24" t="str">
        <f>IFERROR(VLOOKUP(A1586,取得元!$A$2:$F$501,3,FALSE),"-")</f>
        <v>-</v>
      </c>
      <c r="I1586" s="24" t="str">
        <f>IFERROR(VLOOKUP(A1586,取得元!$A$2:$F$501,4,FALSE),"-")</f>
        <v>-</v>
      </c>
      <c r="J1586" s="5" t="str">
        <f>IFERROR(VLOOKUP(A1586,取得元!$A$2:$F$501,5,FALSE),"-")</f>
        <v>-</v>
      </c>
      <c r="K1586" s="25" t="str">
        <f>IFERROR(VLOOKUP(A1586,取得元!$A$2:$F$501,6,FALSE)/100,"-")</f>
        <v>-</v>
      </c>
      <c r="L1586" s="21" t="str">
        <f>_xll.RssMarket(A1586,"始値")</f>
        <v/>
      </c>
      <c r="M1586" s="4" t="e">
        <f t="shared" si="135"/>
        <v>#VALUE!</v>
      </c>
      <c r="N1586" s="21" t="str">
        <f>_xll.RssMarket(A1586,"高値")</f>
        <v/>
      </c>
      <c r="O1586" s="4" t="e">
        <f t="shared" si="136"/>
        <v>#VALUE!</v>
      </c>
      <c r="P1586" s="21" t="str">
        <f>_xll.RssMarket(A1586,"安値")</f>
        <v/>
      </c>
      <c r="Q1586" s="4" t="e">
        <f t="shared" si="137"/>
        <v>#VALUE!</v>
      </c>
      <c r="R1586" s="21" t="str">
        <f>_xll.RssMarket(A1586,"後場始値")</f>
        <v/>
      </c>
      <c r="S1586" s="25" t="str">
        <f t="shared" si="138"/>
        <v>-</v>
      </c>
      <c r="T1586" s="7" t="str">
        <f>_xll.RssMarket(A1586,"出来高加重平均")</f>
        <v/>
      </c>
      <c r="U1586" s="4" t="e">
        <f t="shared" si="139"/>
        <v>#VALUE!</v>
      </c>
      <c r="V1586" s="21" t="str">
        <f>_xll.RssMarket(A1586,"出来高")</f>
        <v/>
      </c>
      <c r="W1586" s="21" t="str">
        <f>_xll.RssMarket(A1586,"売買代金")</f>
        <v/>
      </c>
      <c r="X1586" s="20" t="str">
        <f>_xll.RssMarket(A1586,"決算発表日")</f>
        <v/>
      </c>
      <c r="Y1586" s="26" t="str">
        <f>IF(C1586&gt;_xll.RssMarket(A1586,"年初来高値"),"○","×")</f>
        <v>×</v>
      </c>
      <c r="Z1586" s="27" t="str">
        <f>IF(C1586&lt;=_xll.RssMarket(A1586,"年初来安値"),"○","×")</f>
        <v>○</v>
      </c>
    </row>
    <row r="1587" spans="2:26" x14ac:dyDescent="0.55000000000000004">
      <c r="B1587" s="20" t="str">
        <f>_xll.RssMarket(A1587,"銘柄名称")</f>
        <v/>
      </c>
      <c r="C1587" s="21" t="str">
        <f>_xll.RssMarket(A1587,"現在値")</f>
        <v/>
      </c>
      <c r="D1587" s="20" t="str">
        <f>_xll.RssMarket(A1587,"現在値詳細時刻")</f>
        <v/>
      </c>
      <c r="E1587" s="22" t="str">
        <f>_xll.RssMarket(A1587,"前日比")</f>
        <v/>
      </c>
      <c r="F1587" s="23" t="e">
        <f>_xll.RssMarket(A1587,"前日比率")/100</f>
        <v>#VALUE!</v>
      </c>
      <c r="G1587" s="24" t="str">
        <f>IFERROR(VLOOKUP(A1587,取得元!$A$2:$F$501,2,FALSE),"-")</f>
        <v>-</v>
      </c>
      <c r="H1587" s="24" t="str">
        <f>IFERROR(VLOOKUP(A1587,取得元!$A$2:$F$501,3,FALSE),"-")</f>
        <v>-</v>
      </c>
      <c r="I1587" s="24" t="str">
        <f>IFERROR(VLOOKUP(A1587,取得元!$A$2:$F$501,4,FALSE),"-")</f>
        <v>-</v>
      </c>
      <c r="J1587" s="5" t="str">
        <f>IFERROR(VLOOKUP(A1587,取得元!$A$2:$F$501,5,FALSE),"-")</f>
        <v>-</v>
      </c>
      <c r="K1587" s="25" t="str">
        <f>IFERROR(VLOOKUP(A1587,取得元!$A$2:$F$501,6,FALSE)/100,"-")</f>
        <v>-</v>
      </c>
      <c r="L1587" s="21" t="str">
        <f>_xll.RssMarket(A1587,"始値")</f>
        <v/>
      </c>
      <c r="M1587" s="4" t="e">
        <f t="shared" si="135"/>
        <v>#VALUE!</v>
      </c>
      <c r="N1587" s="21" t="str">
        <f>_xll.RssMarket(A1587,"高値")</f>
        <v/>
      </c>
      <c r="O1587" s="4" t="e">
        <f t="shared" si="136"/>
        <v>#VALUE!</v>
      </c>
      <c r="P1587" s="21" t="str">
        <f>_xll.RssMarket(A1587,"安値")</f>
        <v/>
      </c>
      <c r="Q1587" s="4" t="e">
        <f t="shared" si="137"/>
        <v>#VALUE!</v>
      </c>
      <c r="R1587" s="21" t="str">
        <f>_xll.RssMarket(A1587,"後場始値")</f>
        <v/>
      </c>
      <c r="S1587" s="25" t="str">
        <f t="shared" si="138"/>
        <v>-</v>
      </c>
      <c r="T1587" s="7" t="str">
        <f>_xll.RssMarket(A1587,"出来高加重平均")</f>
        <v/>
      </c>
      <c r="U1587" s="4" t="e">
        <f t="shared" si="139"/>
        <v>#VALUE!</v>
      </c>
      <c r="V1587" s="21" t="str">
        <f>_xll.RssMarket(A1587,"出来高")</f>
        <v/>
      </c>
      <c r="W1587" s="21" t="str">
        <f>_xll.RssMarket(A1587,"売買代金")</f>
        <v/>
      </c>
      <c r="X1587" s="20" t="str">
        <f>_xll.RssMarket(A1587,"決算発表日")</f>
        <v/>
      </c>
      <c r="Y1587" s="26" t="str">
        <f>IF(C1587&gt;_xll.RssMarket(A1587,"年初来高値"),"○","×")</f>
        <v>×</v>
      </c>
      <c r="Z1587" s="27" t="str">
        <f>IF(C1587&lt;=_xll.RssMarket(A1587,"年初来安値"),"○","×")</f>
        <v>○</v>
      </c>
    </row>
    <row r="1588" spans="2:26" x14ac:dyDescent="0.55000000000000004">
      <c r="B1588" s="20" t="str">
        <f>_xll.RssMarket(A1588,"銘柄名称")</f>
        <v/>
      </c>
      <c r="C1588" s="21" t="str">
        <f>_xll.RssMarket(A1588,"現在値")</f>
        <v/>
      </c>
      <c r="D1588" s="20" t="str">
        <f>_xll.RssMarket(A1588,"現在値詳細時刻")</f>
        <v/>
      </c>
      <c r="E1588" s="22" t="str">
        <f>_xll.RssMarket(A1588,"前日比")</f>
        <v/>
      </c>
      <c r="F1588" s="23" t="e">
        <f>_xll.RssMarket(A1588,"前日比率")/100</f>
        <v>#VALUE!</v>
      </c>
      <c r="G1588" s="24" t="str">
        <f>IFERROR(VLOOKUP(A1588,取得元!$A$2:$F$501,2,FALSE),"-")</f>
        <v>-</v>
      </c>
      <c r="H1588" s="24" t="str">
        <f>IFERROR(VLOOKUP(A1588,取得元!$A$2:$F$501,3,FALSE),"-")</f>
        <v>-</v>
      </c>
      <c r="I1588" s="24" t="str">
        <f>IFERROR(VLOOKUP(A1588,取得元!$A$2:$F$501,4,FALSE),"-")</f>
        <v>-</v>
      </c>
      <c r="J1588" s="5" t="str">
        <f>IFERROR(VLOOKUP(A1588,取得元!$A$2:$F$501,5,FALSE),"-")</f>
        <v>-</v>
      </c>
      <c r="K1588" s="25" t="str">
        <f>IFERROR(VLOOKUP(A1588,取得元!$A$2:$F$501,6,FALSE)/100,"-")</f>
        <v>-</v>
      </c>
      <c r="L1588" s="21" t="str">
        <f>_xll.RssMarket(A1588,"始値")</f>
        <v/>
      </c>
      <c r="M1588" s="4" t="e">
        <f t="shared" si="135"/>
        <v>#VALUE!</v>
      </c>
      <c r="N1588" s="21" t="str">
        <f>_xll.RssMarket(A1588,"高値")</f>
        <v/>
      </c>
      <c r="O1588" s="4" t="e">
        <f t="shared" si="136"/>
        <v>#VALUE!</v>
      </c>
      <c r="P1588" s="21" t="str">
        <f>_xll.RssMarket(A1588,"安値")</f>
        <v/>
      </c>
      <c r="Q1588" s="4" t="e">
        <f t="shared" si="137"/>
        <v>#VALUE!</v>
      </c>
      <c r="R1588" s="21" t="str">
        <f>_xll.RssMarket(A1588,"後場始値")</f>
        <v/>
      </c>
      <c r="S1588" s="25" t="str">
        <f t="shared" si="138"/>
        <v>-</v>
      </c>
      <c r="T1588" s="7" t="str">
        <f>_xll.RssMarket(A1588,"出来高加重平均")</f>
        <v/>
      </c>
      <c r="U1588" s="4" t="e">
        <f t="shared" si="139"/>
        <v>#VALUE!</v>
      </c>
      <c r="V1588" s="21" t="str">
        <f>_xll.RssMarket(A1588,"出来高")</f>
        <v/>
      </c>
      <c r="W1588" s="21" t="str">
        <f>_xll.RssMarket(A1588,"売買代金")</f>
        <v/>
      </c>
      <c r="X1588" s="20" t="str">
        <f>_xll.RssMarket(A1588,"決算発表日")</f>
        <v/>
      </c>
      <c r="Y1588" s="26" t="str">
        <f>IF(C1588&gt;_xll.RssMarket(A1588,"年初来高値"),"○","×")</f>
        <v>×</v>
      </c>
      <c r="Z1588" s="27" t="str">
        <f>IF(C1588&lt;=_xll.RssMarket(A1588,"年初来安値"),"○","×")</f>
        <v>○</v>
      </c>
    </row>
    <row r="1589" spans="2:26" x14ac:dyDescent="0.55000000000000004">
      <c r="B1589" s="20" t="str">
        <f>_xll.RssMarket(A1589,"銘柄名称")</f>
        <v/>
      </c>
      <c r="C1589" s="21" t="str">
        <f>_xll.RssMarket(A1589,"現在値")</f>
        <v/>
      </c>
      <c r="D1589" s="20" t="str">
        <f>_xll.RssMarket(A1589,"現在値詳細時刻")</f>
        <v/>
      </c>
      <c r="E1589" s="22" t="str">
        <f>_xll.RssMarket(A1589,"前日比")</f>
        <v/>
      </c>
      <c r="F1589" s="23" t="e">
        <f>_xll.RssMarket(A1589,"前日比率")/100</f>
        <v>#VALUE!</v>
      </c>
      <c r="G1589" s="24" t="str">
        <f>IFERROR(VLOOKUP(A1589,取得元!$A$2:$F$501,2,FALSE),"-")</f>
        <v>-</v>
      </c>
      <c r="H1589" s="24" t="str">
        <f>IFERROR(VLOOKUP(A1589,取得元!$A$2:$F$501,3,FALSE),"-")</f>
        <v>-</v>
      </c>
      <c r="I1589" s="24" t="str">
        <f>IFERROR(VLOOKUP(A1589,取得元!$A$2:$F$501,4,FALSE),"-")</f>
        <v>-</v>
      </c>
      <c r="J1589" s="5" t="str">
        <f>IFERROR(VLOOKUP(A1589,取得元!$A$2:$F$501,5,FALSE),"-")</f>
        <v>-</v>
      </c>
      <c r="K1589" s="25" t="str">
        <f>IFERROR(VLOOKUP(A1589,取得元!$A$2:$F$501,6,FALSE)/100,"-")</f>
        <v>-</v>
      </c>
      <c r="L1589" s="21" t="str">
        <f>_xll.RssMarket(A1589,"始値")</f>
        <v/>
      </c>
      <c r="M1589" s="4" t="e">
        <f t="shared" si="135"/>
        <v>#VALUE!</v>
      </c>
      <c r="N1589" s="21" t="str">
        <f>_xll.RssMarket(A1589,"高値")</f>
        <v/>
      </c>
      <c r="O1589" s="4" t="e">
        <f t="shared" si="136"/>
        <v>#VALUE!</v>
      </c>
      <c r="P1589" s="21" t="str">
        <f>_xll.RssMarket(A1589,"安値")</f>
        <v/>
      </c>
      <c r="Q1589" s="4" t="e">
        <f t="shared" si="137"/>
        <v>#VALUE!</v>
      </c>
      <c r="R1589" s="21" t="str">
        <f>_xll.RssMarket(A1589,"後場始値")</f>
        <v/>
      </c>
      <c r="S1589" s="25" t="str">
        <f t="shared" si="138"/>
        <v>-</v>
      </c>
      <c r="T1589" s="7" t="str">
        <f>_xll.RssMarket(A1589,"出来高加重平均")</f>
        <v/>
      </c>
      <c r="U1589" s="4" t="e">
        <f t="shared" si="139"/>
        <v>#VALUE!</v>
      </c>
      <c r="V1589" s="21" t="str">
        <f>_xll.RssMarket(A1589,"出来高")</f>
        <v/>
      </c>
      <c r="W1589" s="21" t="str">
        <f>_xll.RssMarket(A1589,"売買代金")</f>
        <v/>
      </c>
      <c r="X1589" s="20" t="str">
        <f>_xll.RssMarket(A1589,"決算発表日")</f>
        <v/>
      </c>
      <c r="Y1589" s="26" t="str">
        <f>IF(C1589&gt;_xll.RssMarket(A1589,"年初来高値"),"○","×")</f>
        <v>×</v>
      </c>
      <c r="Z1589" s="27" t="str">
        <f>IF(C1589&lt;=_xll.RssMarket(A1589,"年初来安値"),"○","×")</f>
        <v>○</v>
      </c>
    </row>
    <row r="1590" spans="2:26" x14ac:dyDescent="0.55000000000000004">
      <c r="B1590" s="20" t="str">
        <f>_xll.RssMarket(A1590,"銘柄名称")</f>
        <v/>
      </c>
      <c r="C1590" s="21" t="str">
        <f>_xll.RssMarket(A1590,"現在値")</f>
        <v/>
      </c>
      <c r="D1590" s="20" t="str">
        <f>_xll.RssMarket(A1590,"現在値詳細時刻")</f>
        <v/>
      </c>
      <c r="E1590" s="22" t="str">
        <f>_xll.RssMarket(A1590,"前日比")</f>
        <v/>
      </c>
      <c r="F1590" s="23" t="e">
        <f>_xll.RssMarket(A1590,"前日比率")/100</f>
        <v>#VALUE!</v>
      </c>
      <c r="G1590" s="24" t="str">
        <f>IFERROR(VLOOKUP(A1590,取得元!$A$2:$F$501,2,FALSE),"-")</f>
        <v>-</v>
      </c>
      <c r="H1590" s="24" t="str">
        <f>IFERROR(VLOOKUP(A1590,取得元!$A$2:$F$501,3,FALSE),"-")</f>
        <v>-</v>
      </c>
      <c r="I1590" s="24" t="str">
        <f>IFERROR(VLOOKUP(A1590,取得元!$A$2:$F$501,4,FALSE),"-")</f>
        <v>-</v>
      </c>
      <c r="J1590" s="5" t="str">
        <f>IFERROR(VLOOKUP(A1590,取得元!$A$2:$F$501,5,FALSE),"-")</f>
        <v>-</v>
      </c>
      <c r="K1590" s="25" t="str">
        <f>IFERROR(VLOOKUP(A1590,取得元!$A$2:$F$501,6,FALSE)/100,"-")</f>
        <v>-</v>
      </c>
      <c r="L1590" s="21" t="str">
        <f>_xll.RssMarket(A1590,"始値")</f>
        <v/>
      </c>
      <c r="M1590" s="4" t="e">
        <f t="shared" si="135"/>
        <v>#VALUE!</v>
      </c>
      <c r="N1590" s="21" t="str">
        <f>_xll.RssMarket(A1590,"高値")</f>
        <v/>
      </c>
      <c r="O1590" s="4" t="e">
        <f t="shared" si="136"/>
        <v>#VALUE!</v>
      </c>
      <c r="P1590" s="21" t="str">
        <f>_xll.RssMarket(A1590,"安値")</f>
        <v/>
      </c>
      <c r="Q1590" s="4" t="e">
        <f t="shared" si="137"/>
        <v>#VALUE!</v>
      </c>
      <c r="R1590" s="21" t="str">
        <f>_xll.RssMarket(A1590,"後場始値")</f>
        <v/>
      </c>
      <c r="S1590" s="25" t="str">
        <f t="shared" si="138"/>
        <v>-</v>
      </c>
      <c r="T1590" s="7" t="str">
        <f>_xll.RssMarket(A1590,"出来高加重平均")</f>
        <v/>
      </c>
      <c r="U1590" s="4" t="e">
        <f t="shared" si="139"/>
        <v>#VALUE!</v>
      </c>
      <c r="V1590" s="21" t="str">
        <f>_xll.RssMarket(A1590,"出来高")</f>
        <v/>
      </c>
      <c r="W1590" s="21" t="str">
        <f>_xll.RssMarket(A1590,"売買代金")</f>
        <v/>
      </c>
      <c r="X1590" s="20" t="str">
        <f>_xll.RssMarket(A1590,"決算発表日")</f>
        <v/>
      </c>
      <c r="Y1590" s="26" t="str">
        <f>IF(C1590&gt;_xll.RssMarket(A1590,"年初来高値"),"○","×")</f>
        <v>×</v>
      </c>
      <c r="Z1590" s="27" t="str">
        <f>IF(C1590&lt;=_xll.RssMarket(A1590,"年初来安値"),"○","×")</f>
        <v>○</v>
      </c>
    </row>
    <row r="1591" spans="2:26" x14ac:dyDescent="0.55000000000000004">
      <c r="B1591" s="20" t="str">
        <f>_xll.RssMarket(A1591,"銘柄名称")</f>
        <v/>
      </c>
      <c r="C1591" s="21" t="str">
        <f>_xll.RssMarket(A1591,"現在値")</f>
        <v/>
      </c>
      <c r="D1591" s="20" t="str">
        <f>_xll.RssMarket(A1591,"現在値詳細時刻")</f>
        <v/>
      </c>
      <c r="E1591" s="22" t="str">
        <f>_xll.RssMarket(A1591,"前日比")</f>
        <v/>
      </c>
      <c r="F1591" s="23" t="e">
        <f>_xll.RssMarket(A1591,"前日比率")/100</f>
        <v>#VALUE!</v>
      </c>
      <c r="G1591" s="24" t="str">
        <f>IFERROR(VLOOKUP(A1591,取得元!$A$2:$F$501,2,FALSE),"-")</f>
        <v>-</v>
      </c>
      <c r="H1591" s="24" t="str">
        <f>IFERROR(VLOOKUP(A1591,取得元!$A$2:$F$501,3,FALSE),"-")</f>
        <v>-</v>
      </c>
      <c r="I1591" s="24" t="str">
        <f>IFERROR(VLOOKUP(A1591,取得元!$A$2:$F$501,4,FALSE),"-")</f>
        <v>-</v>
      </c>
      <c r="J1591" s="5" t="str">
        <f>IFERROR(VLOOKUP(A1591,取得元!$A$2:$F$501,5,FALSE),"-")</f>
        <v>-</v>
      </c>
      <c r="K1591" s="25" t="str">
        <f>IFERROR(VLOOKUP(A1591,取得元!$A$2:$F$501,6,FALSE)/100,"-")</f>
        <v>-</v>
      </c>
      <c r="L1591" s="21" t="str">
        <f>_xll.RssMarket(A1591,"始値")</f>
        <v/>
      </c>
      <c r="M1591" s="4" t="e">
        <f t="shared" si="135"/>
        <v>#VALUE!</v>
      </c>
      <c r="N1591" s="21" t="str">
        <f>_xll.RssMarket(A1591,"高値")</f>
        <v/>
      </c>
      <c r="O1591" s="4" t="e">
        <f t="shared" si="136"/>
        <v>#VALUE!</v>
      </c>
      <c r="P1591" s="21" t="str">
        <f>_xll.RssMarket(A1591,"安値")</f>
        <v/>
      </c>
      <c r="Q1591" s="4" t="e">
        <f t="shared" si="137"/>
        <v>#VALUE!</v>
      </c>
      <c r="R1591" s="21" t="str">
        <f>_xll.RssMarket(A1591,"後場始値")</f>
        <v/>
      </c>
      <c r="S1591" s="25" t="str">
        <f t="shared" si="138"/>
        <v>-</v>
      </c>
      <c r="T1591" s="7" t="str">
        <f>_xll.RssMarket(A1591,"出来高加重平均")</f>
        <v/>
      </c>
      <c r="U1591" s="4" t="e">
        <f t="shared" si="139"/>
        <v>#VALUE!</v>
      </c>
      <c r="V1591" s="21" t="str">
        <f>_xll.RssMarket(A1591,"出来高")</f>
        <v/>
      </c>
      <c r="W1591" s="21" t="str">
        <f>_xll.RssMarket(A1591,"売買代金")</f>
        <v/>
      </c>
      <c r="X1591" s="20" t="str">
        <f>_xll.RssMarket(A1591,"決算発表日")</f>
        <v/>
      </c>
      <c r="Y1591" s="26" t="str">
        <f>IF(C1591&gt;_xll.RssMarket(A1591,"年初来高値"),"○","×")</f>
        <v>×</v>
      </c>
      <c r="Z1591" s="27" t="str">
        <f>IF(C1591&lt;=_xll.RssMarket(A1591,"年初来安値"),"○","×")</f>
        <v>○</v>
      </c>
    </row>
    <row r="1592" spans="2:26" x14ac:dyDescent="0.55000000000000004">
      <c r="B1592" s="20" t="str">
        <f>_xll.RssMarket(A1592,"銘柄名称")</f>
        <v/>
      </c>
      <c r="C1592" s="21" t="str">
        <f>_xll.RssMarket(A1592,"現在値")</f>
        <v/>
      </c>
      <c r="D1592" s="20" t="str">
        <f>_xll.RssMarket(A1592,"現在値詳細時刻")</f>
        <v/>
      </c>
      <c r="E1592" s="22" t="str">
        <f>_xll.RssMarket(A1592,"前日比")</f>
        <v/>
      </c>
      <c r="F1592" s="23" t="e">
        <f>_xll.RssMarket(A1592,"前日比率")/100</f>
        <v>#VALUE!</v>
      </c>
      <c r="G1592" s="24" t="str">
        <f>IFERROR(VLOOKUP(A1592,取得元!$A$2:$F$501,2,FALSE),"-")</f>
        <v>-</v>
      </c>
      <c r="H1592" s="24" t="str">
        <f>IFERROR(VLOOKUP(A1592,取得元!$A$2:$F$501,3,FALSE),"-")</f>
        <v>-</v>
      </c>
      <c r="I1592" s="24" t="str">
        <f>IFERROR(VLOOKUP(A1592,取得元!$A$2:$F$501,4,FALSE),"-")</f>
        <v>-</v>
      </c>
      <c r="J1592" s="5" t="str">
        <f>IFERROR(VLOOKUP(A1592,取得元!$A$2:$F$501,5,FALSE),"-")</f>
        <v>-</v>
      </c>
      <c r="K1592" s="25" t="str">
        <f>IFERROR(VLOOKUP(A1592,取得元!$A$2:$F$501,6,FALSE)/100,"-")</f>
        <v>-</v>
      </c>
      <c r="L1592" s="21" t="str">
        <f>_xll.RssMarket(A1592,"始値")</f>
        <v/>
      </c>
      <c r="M1592" s="4" t="e">
        <f t="shared" si="135"/>
        <v>#VALUE!</v>
      </c>
      <c r="N1592" s="21" t="str">
        <f>_xll.RssMarket(A1592,"高値")</f>
        <v/>
      </c>
      <c r="O1592" s="4" t="e">
        <f t="shared" si="136"/>
        <v>#VALUE!</v>
      </c>
      <c r="P1592" s="21" t="str">
        <f>_xll.RssMarket(A1592,"安値")</f>
        <v/>
      </c>
      <c r="Q1592" s="4" t="e">
        <f t="shared" si="137"/>
        <v>#VALUE!</v>
      </c>
      <c r="R1592" s="21" t="str">
        <f>_xll.RssMarket(A1592,"後場始値")</f>
        <v/>
      </c>
      <c r="S1592" s="25" t="str">
        <f t="shared" si="138"/>
        <v>-</v>
      </c>
      <c r="T1592" s="7" t="str">
        <f>_xll.RssMarket(A1592,"出来高加重平均")</f>
        <v/>
      </c>
      <c r="U1592" s="4" t="e">
        <f t="shared" si="139"/>
        <v>#VALUE!</v>
      </c>
      <c r="V1592" s="21" t="str">
        <f>_xll.RssMarket(A1592,"出来高")</f>
        <v/>
      </c>
      <c r="W1592" s="21" t="str">
        <f>_xll.RssMarket(A1592,"売買代金")</f>
        <v/>
      </c>
      <c r="X1592" s="20" t="str">
        <f>_xll.RssMarket(A1592,"決算発表日")</f>
        <v/>
      </c>
      <c r="Y1592" s="26" t="str">
        <f>IF(C1592&gt;_xll.RssMarket(A1592,"年初来高値"),"○","×")</f>
        <v>×</v>
      </c>
      <c r="Z1592" s="27" t="str">
        <f>IF(C1592&lt;=_xll.RssMarket(A1592,"年初来安値"),"○","×")</f>
        <v>○</v>
      </c>
    </row>
    <row r="1593" spans="2:26" x14ac:dyDescent="0.55000000000000004">
      <c r="B1593" s="20" t="str">
        <f>_xll.RssMarket(A1593,"銘柄名称")</f>
        <v/>
      </c>
      <c r="C1593" s="21" t="str">
        <f>_xll.RssMarket(A1593,"現在値")</f>
        <v/>
      </c>
      <c r="D1593" s="20" t="str">
        <f>_xll.RssMarket(A1593,"現在値詳細時刻")</f>
        <v/>
      </c>
      <c r="E1593" s="22" t="str">
        <f>_xll.RssMarket(A1593,"前日比")</f>
        <v/>
      </c>
      <c r="F1593" s="23" t="e">
        <f>_xll.RssMarket(A1593,"前日比率")/100</f>
        <v>#VALUE!</v>
      </c>
      <c r="G1593" s="24" t="str">
        <f>IFERROR(VLOOKUP(A1593,取得元!$A$2:$F$501,2,FALSE),"-")</f>
        <v>-</v>
      </c>
      <c r="H1593" s="24" t="str">
        <f>IFERROR(VLOOKUP(A1593,取得元!$A$2:$F$501,3,FALSE),"-")</f>
        <v>-</v>
      </c>
      <c r="I1593" s="24" t="str">
        <f>IFERROR(VLOOKUP(A1593,取得元!$A$2:$F$501,4,FALSE),"-")</f>
        <v>-</v>
      </c>
      <c r="J1593" s="5" t="str">
        <f>IFERROR(VLOOKUP(A1593,取得元!$A$2:$F$501,5,FALSE),"-")</f>
        <v>-</v>
      </c>
      <c r="K1593" s="25" t="str">
        <f>IFERROR(VLOOKUP(A1593,取得元!$A$2:$F$501,6,FALSE)/100,"-")</f>
        <v>-</v>
      </c>
      <c r="L1593" s="21" t="str">
        <f>_xll.RssMarket(A1593,"始値")</f>
        <v/>
      </c>
      <c r="M1593" s="4" t="e">
        <f t="shared" si="135"/>
        <v>#VALUE!</v>
      </c>
      <c r="N1593" s="21" t="str">
        <f>_xll.RssMarket(A1593,"高値")</f>
        <v/>
      </c>
      <c r="O1593" s="4" t="e">
        <f t="shared" si="136"/>
        <v>#VALUE!</v>
      </c>
      <c r="P1593" s="21" t="str">
        <f>_xll.RssMarket(A1593,"安値")</f>
        <v/>
      </c>
      <c r="Q1593" s="4" t="e">
        <f t="shared" si="137"/>
        <v>#VALUE!</v>
      </c>
      <c r="R1593" s="21" t="str">
        <f>_xll.RssMarket(A1593,"後場始値")</f>
        <v/>
      </c>
      <c r="S1593" s="25" t="str">
        <f t="shared" si="138"/>
        <v>-</v>
      </c>
      <c r="T1593" s="7" t="str">
        <f>_xll.RssMarket(A1593,"出来高加重平均")</f>
        <v/>
      </c>
      <c r="U1593" s="4" t="e">
        <f t="shared" si="139"/>
        <v>#VALUE!</v>
      </c>
      <c r="V1593" s="21" t="str">
        <f>_xll.RssMarket(A1593,"出来高")</f>
        <v/>
      </c>
      <c r="W1593" s="21" t="str">
        <f>_xll.RssMarket(A1593,"売買代金")</f>
        <v/>
      </c>
      <c r="X1593" s="20" t="str">
        <f>_xll.RssMarket(A1593,"決算発表日")</f>
        <v/>
      </c>
      <c r="Y1593" s="26" t="str">
        <f>IF(C1593&gt;_xll.RssMarket(A1593,"年初来高値"),"○","×")</f>
        <v>×</v>
      </c>
      <c r="Z1593" s="27" t="str">
        <f>IF(C1593&lt;=_xll.RssMarket(A1593,"年初来安値"),"○","×")</f>
        <v>○</v>
      </c>
    </row>
    <row r="1594" spans="2:26" x14ac:dyDescent="0.55000000000000004">
      <c r="B1594" s="20" t="str">
        <f>_xll.RssMarket(A1594,"銘柄名称")</f>
        <v/>
      </c>
      <c r="C1594" s="21" t="str">
        <f>_xll.RssMarket(A1594,"現在値")</f>
        <v/>
      </c>
      <c r="D1594" s="20" t="str">
        <f>_xll.RssMarket(A1594,"現在値詳細時刻")</f>
        <v/>
      </c>
      <c r="E1594" s="22" t="str">
        <f>_xll.RssMarket(A1594,"前日比")</f>
        <v/>
      </c>
      <c r="F1594" s="23" t="e">
        <f>_xll.RssMarket(A1594,"前日比率")/100</f>
        <v>#VALUE!</v>
      </c>
      <c r="G1594" s="24" t="str">
        <f>IFERROR(VLOOKUP(A1594,取得元!$A$2:$F$501,2,FALSE),"-")</f>
        <v>-</v>
      </c>
      <c r="H1594" s="24" t="str">
        <f>IFERROR(VLOOKUP(A1594,取得元!$A$2:$F$501,3,FALSE),"-")</f>
        <v>-</v>
      </c>
      <c r="I1594" s="24" t="str">
        <f>IFERROR(VLOOKUP(A1594,取得元!$A$2:$F$501,4,FALSE),"-")</f>
        <v>-</v>
      </c>
      <c r="J1594" s="5" t="str">
        <f>IFERROR(VLOOKUP(A1594,取得元!$A$2:$F$501,5,FALSE),"-")</f>
        <v>-</v>
      </c>
      <c r="K1594" s="25" t="str">
        <f>IFERROR(VLOOKUP(A1594,取得元!$A$2:$F$501,6,FALSE)/100,"-")</f>
        <v>-</v>
      </c>
      <c r="L1594" s="21" t="str">
        <f>_xll.RssMarket(A1594,"始値")</f>
        <v/>
      </c>
      <c r="M1594" s="4" t="e">
        <f t="shared" si="135"/>
        <v>#VALUE!</v>
      </c>
      <c r="N1594" s="21" t="str">
        <f>_xll.RssMarket(A1594,"高値")</f>
        <v/>
      </c>
      <c r="O1594" s="4" t="e">
        <f t="shared" si="136"/>
        <v>#VALUE!</v>
      </c>
      <c r="P1594" s="21" t="str">
        <f>_xll.RssMarket(A1594,"安値")</f>
        <v/>
      </c>
      <c r="Q1594" s="4" t="e">
        <f t="shared" si="137"/>
        <v>#VALUE!</v>
      </c>
      <c r="R1594" s="21" t="str">
        <f>_xll.RssMarket(A1594,"後場始値")</f>
        <v/>
      </c>
      <c r="S1594" s="25" t="str">
        <f t="shared" si="138"/>
        <v>-</v>
      </c>
      <c r="T1594" s="7" t="str">
        <f>_xll.RssMarket(A1594,"出来高加重平均")</f>
        <v/>
      </c>
      <c r="U1594" s="4" t="e">
        <f t="shared" si="139"/>
        <v>#VALUE!</v>
      </c>
      <c r="V1594" s="21" t="str">
        <f>_xll.RssMarket(A1594,"出来高")</f>
        <v/>
      </c>
      <c r="W1594" s="21" t="str">
        <f>_xll.RssMarket(A1594,"売買代金")</f>
        <v/>
      </c>
      <c r="X1594" s="20" t="str">
        <f>_xll.RssMarket(A1594,"決算発表日")</f>
        <v/>
      </c>
      <c r="Y1594" s="26" t="str">
        <f>IF(C1594&gt;_xll.RssMarket(A1594,"年初来高値"),"○","×")</f>
        <v>×</v>
      </c>
      <c r="Z1594" s="27" t="str">
        <f>IF(C1594&lt;=_xll.RssMarket(A1594,"年初来安値"),"○","×")</f>
        <v>○</v>
      </c>
    </row>
    <row r="1595" spans="2:26" x14ac:dyDescent="0.55000000000000004">
      <c r="B1595" s="20" t="str">
        <f>_xll.RssMarket(A1595,"銘柄名称")</f>
        <v/>
      </c>
      <c r="C1595" s="21" t="str">
        <f>_xll.RssMarket(A1595,"現在値")</f>
        <v/>
      </c>
      <c r="D1595" s="20" t="str">
        <f>_xll.RssMarket(A1595,"現在値詳細時刻")</f>
        <v/>
      </c>
      <c r="E1595" s="22" t="str">
        <f>_xll.RssMarket(A1595,"前日比")</f>
        <v/>
      </c>
      <c r="F1595" s="23" t="e">
        <f>_xll.RssMarket(A1595,"前日比率")/100</f>
        <v>#VALUE!</v>
      </c>
      <c r="G1595" s="24" t="str">
        <f>IFERROR(VLOOKUP(A1595,取得元!$A$2:$F$501,2,FALSE),"-")</f>
        <v>-</v>
      </c>
      <c r="H1595" s="24" t="str">
        <f>IFERROR(VLOOKUP(A1595,取得元!$A$2:$F$501,3,FALSE),"-")</f>
        <v>-</v>
      </c>
      <c r="I1595" s="24" t="str">
        <f>IFERROR(VLOOKUP(A1595,取得元!$A$2:$F$501,4,FALSE),"-")</f>
        <v>-</v>
      </c>
      <c r="J1595" s="5" t="str">
        <f>IFERROR(VLOOKUP(A1595,取得元!$A$2:$F$501,5,FALSE),"-")</f>
        <v>-</v>
      </c>
      <c r="K1595" s="25" t="str">
        <f>IFERROR(VLOOKUP(A1595,取得元!$A$2:$F$501,6,FALSE)/100,"-")</f>
        <v>-</v>
      </c>
      <c r="L1595" s="21" t="str">
        <f>_xll.RssMarket(A1595,"始値")</f>
        <v/>
      </c>
      <c r="M1595" s="4" t="e">
        <f t="shared" si="135"/>
        <v>#VALUE!</v>
      </c>
      <c r="N1595" s="21" t="str">
        <f>_xll.RssMarket(A1595,"高値")</f>
        <v/>
      </c>
      <c r="O1595" s="4" t="e">
        <f t="shared" si="136"/>
        <v>#VALUE!</v>
      </c>
      <c r="P1595" s="21" t="str">
        <f>_xll.RssMarket(A1595,"安値")</f>
        <v/>
      </c>
      <c r="Q1595" s="4" t="e">
        <f t="shared" si="137"/>
        <v>#VALUE!</v>
      </c>
      <c r="R1595" s="21" t="str">
        <f>_xll.RssMarket(A1595,"後場始値")</f>
        <v/>
      </c>
      <c r="S1595" s="25" t="str">
        <f t="shared" si="138"/>
        <v>-</v>
      </c>
      <c r="T1595" s="7" t="str">
        <f>_xll.RssMarket(A1595,"出来高加重平均")</f>
        <v/>
      </c>
      <c r="U1595" s="4" t="e">
        <f t="shared" si="139"/>
        <v>#VALUE!</v>
      </c>
      <c r="V1595" s="21" t="str">
        <f>_xll.RssMarket(A1595,"出来高")</f>
        <v/>
      </c>
      <c r="W1595" s="21" t="str">
        <f>_xll.RssMarket(A1595,"売買代金")</f>
        <v/>
      </c>
      <c r="X1595" s="20" t="str">
        <f>_xll.RssMarket(A1595,"決算発表日")</f>
        <v/>
      </c>
      <c r="Y1595" s="26" t="str">
        <f>IF(C1595&gt;_xll.RssMarket(A1595,"年初来高値"),"○","×")</f>
        <v>×</v>
      </c>
      <c r="Z1595" s="27" t="str">
        <f>IF(C1595&lt;=_xll.RssMarket(A1595,"年初来安値"),"○","×")</f>
        <v>○</v>
      </c>
    </row>
    <row r="1596" spans="2:26" x14ac:dyDescent="0.55000000000000004">
      <c r="B1596" s="20" t="str">
        <f>_xll.RssMarket(A1596,"銘柄名称")</f>
        <v/>
      </c>
      <c r="C1596" s="21" t="str">
        <f>_xll.RssMarket(A1596,"現在値")</f>
        <v/>
      </c>
      <c r="D1596" s="20" t="str">
        <f>_xll.RssMarket(A1596,"現在値詳細時刻")</f>
        <v/>
      </c>
      <c r="E1596" s="22" t="str">
        <f>_xll.RssMarket(A1596,"前日比")</f>
        <v/>
      </c>
      <c r="F1596" s="23" t="e">
        <f>_xll.RssMarket(A1596,"前日比率")/100</f>
        <v>#VALUE!</v>
      </c>
      <c r="G1596" s="24" t="str">
        <f>IFERROR(VLOOKUP(A1596,取得元!$A$2:$F$501,2,FALSE),"-")</f>
        <v>-</v>
      </c>
      <c r="H1596" s="24" t="str">
        <f>IFERROR(VLOOKUP(A1596,取得元!$A$2:$F$501,3,FALSE),"-")</f>
        <v>-</v>
      </c>
      <c r="I1596" s="24" t="str">
        <f>IFERROR(VLOOKUP(A1596,取得元!$A$2:$F$501,4,FALSE),"-")</f>
        <v>-</v>
      </c>
      <c r="J1596" s="5" t="str">
        <f>IFERROR(VLOOKUP(A1596,取得元!$A$2:$F$501,5,FALSE),"-")</f>
        <v>-</v>
      </c>
      <c r="K1596" s="25" t="str">
        <f>IFERROR(VLOOKUP(A1596,取得元!$A$2:$F$501,6,FALSE)/100,"-")</f>
        <v>-</v>
      </c>
      <c r="L1596" s="21" t="str">
        <f>_xll.RssMarket(A1596,"始値")</f>
        <v/>
      </c>
      <c r="M1596" s="4" t="e">
        <f t="shared" si="135"/>
        <v>#VALUE!</v>
      </c>
      <c r="N1596" s="21" t="str">
        <f>_xll.RssMarket(A1596,"高値")</f>
        <v/>
      </c>
      <c r="O1596" s="4" t="e">
        <f t="shared" si="136"/>
        <v>#VALUE!</v>
      </c>
      <c r="P1596" s="21" t="str">
        <f>_xll.RssMarket(A1596,"安値")</f>
        <v/>
      </c>
      <c r="Q1596" s="4" t="e">
        <f t="shared" si="137"/>
        <v>#VALUE!</v>
      </c>
      <c r="R1596" s="21" t="str">
        <f>_xll.RssMarket(A1596,"後場始値")</f>
        <v/>
      </c>
      <c r="S1596" s="25" t="str">
        <f t="shared" si="138"/>
        <v>-</v>
      </c>
      <c r="T1596" s="7" t="str">
        <f>_xll.RssMarket(A1596,"出来高加重平均")</f>
        <v/>
      </c>
      <c r="U1596" s="4" t="e">
        <f t="shared" si="139"/>
        <v>#VALUE!</v>
      </c>
      <c r="V1596" s="21" t="str">
        <f>_xll.RssMarket(A1596,"出来高")</f>
        <v/>
      </c>
      <c r="W1596" s="21" t="str">
        <f>_xll.RssMarket(A1596,"売買代金")</f>
        <v/>
      </c>
      <c r="X1596" s="20" t="str">
        <f>_xll.RssMarket(A1596,"決算発表日")</f>
        <v/>
      </c>
      <c r="Y1596" s="26" t="str">
        <f>IF(C1596&gt;_xll.RssMarket(A1596,"年初来高値"),"○","×")</f>
        <v>×</v>
      </c>
      <c r="Z1596" s="27" t="str">
        <f>IF(C1596&lt;=_xll.RssMarket(A1596,"年初来安値"),"○","×")</f>
        <v>○</v>
      </c>
    </row>
    <row r="1597" spans="2:26" x14ac:dyDescent="0.55000000000000004">
      <c r="B1597" s="20" t="str">
        <f>_xll.RssMarket(A1597,"銘柄名称")</f>
        <v/>
      </c>
      <c r="C1597" s="21" t="str">
        <f>_xll.RssMarket(A1597,"現在値")</f>
        <v/>
      </c>
      <c r="D1597" s="20" t="str">
        <f>_xll.RssMarket(A1597,"現在値詳細時刻")</f>
        <v/>
      </c>
      <c r="E1597" s="22" t="str">
        <f>_xll.RssMarket(A1597,"前日比")</f>
        <v/>
      </c>
      <c r="F1597" s="23" t="e">
        <f>_xll.RssMarket(A1597,"前日比率")/100</f>
        <v>#VALUE!</v>
      </c>
      <c r="G1597" s="24" t="str">
        <f>IFERROR(VLOOKUP(A1597,取得元!$A$2:$F$501,2,FALSE),"-")</f>
        <v>-</v>
      </c>
      <c r="H1597" s="24" t="str">
        <f>IFERROR(VLOOKUP(A1597,取得元!$A$2:$F$501,3,FALSE),"-")</f>
        <v>-</v>
      </c>
      <c r="I1597" s="24" t="str">
        <f>IFERROR(VLOOKUP(A1597,取得元!$A$2:$F$501,4,FALSE),"-")</f>
        <v>-</v>
      </c>
      <c r="J1597" s="5" t="str">
        <f>IFERROR(VLOOKUP(A1597,取得元!$A$2:$F$501,5,FALSE),"-")</f>
        <v>-</v>
      </c>
      <c r="K1597" s="25" t="str">
        <f>IFERROR(VLOOKUP(A1597,取得元!$A$2:$F$501,6,FALSE)/100,"-")</f>
        <v>-</v>
      </c>
      <c r="L1597" s="21" t="str">
        <f>_xll.RssMarket(A1597,"始値")</f>
        <v/>
      </c>
      <c r="M1597" s="4" t="e">
        <f t="shared" si="135"/>
        <v>#VALUE!</v>
      </c>
      <c r="N1597" s="21" t="str">
        <f>_xll.RssMarket(A1597,"高値")</f>
        <v/>
      </c>
      <c r="O1597" s="4" t="e">
        <f t="shared" si="136"/>
        <v>#VALUE!</v>
      </c>
      <c r="P1597" s="21" t="str">
        <f>_xll.RssMarket(A1597,"安値")</f>
        <v/>
      </c>
      <c r="Q1597" s="4" t="e">
        <f t="shared" si="137"/>
        <v>#VALUE!</v>
      </c>
      <c r="R1597" s="21" t="str">
        <f>_xll.RssMarket(A1597,"後場始値")</f>
        <v/>
      </c>
      <c r="S1597" s="25" t="str">
        <f t="shared" si="138"/>
        <v>-</v>
      </c>
      <c r="T1597" s="7" t="str">
        <f>_xll.RssMarket(A1597,"出来高加重平均")</f>
        <v/>
      </c>
      <c r="U1597" s="4" t="e">
        <f t="shared" si="139"/>
        <v>#VALUE!</v>
      </c>
      <c r="V1597" s="21" t="str">
        <f>_xll.RssMarket(A1597,"出来高")</f>
        <v/>
      </c>
      <c r="W1597" s="21" t="str">
        <f>_xll.RssMarket(A1597,"売買代金")</f>
        <v/>
      </c>
      <c r="X1597" s="20" t="str">
        <f>_xll.RssMarket(A1597,"決算発表日")</f>
        <v/>
      </c>
      <c r="Y1597" s="26" t="str">
        <f>IF(C1597&gt;_xll.RssMarket(A1597,"年初来高値"),"○","×")</f>
        <v>×</v>
      </c>
      <c r="Z1597" s="27" t="str">
        <f>IF(C1597&lt;=_xll.RssMarket(A1597,"年初来安値"),"○","×")</f>
        <v>○</v>
      </c>
    </row>
    <row r="1598" spans="2:26" x14ac:dyDescent="0.55000000000000004">
      <c r="B1598" s="20" t="str">
        <f>_xll.RssMarket(A1598,"銘柄名称")</f>
        <v/>
      </c>
      <c r="C1598" s="21" t="str">
        <f>_xll.RssMarket(A1598,"現在値")</f>
        <v/>
      </c>
      <c r="D1598" s="20" t="str">
        <f>_xll.RssMarket(A1598,"現在値詳細時刻")</f>
        <v/>
      </c>
      <c r="E1598" s="22" t="str">
        <f>_xll.RssMarket(A1598,"前日比")</f>
        <v/>
      </c>
      <c r="F1598" s="23" t="e">
        <f>_xll.RssMarket(A1598,"前日比率")/100</f>
        <v>#VALUE!</v>
      </c>
      <c r="G1598" s="24" t="str">
        <f>IFERROR(VLOOKUP(A1598,取得元!$A$2:$F$501,2,FALSE),"-")</f>
        <v>-</v>
      </c>
      <c r="H1598" s="24" t="str">
        <f>IFERROR(VLOOKUP(A1598,取得元!$A$2:$F$501,3,FALSE),"-")</f>
        <v>-</v>
      </c>
      <c r="I1598" s="24" t="str">
        <f>IFERROR(VLOOKUP(A1598,取得元!$A$2:$F$501,4,FALSE),"-")</f>
        <v>-</v>
      </c>
      <c r="J1598" s="5" t="str">
        <f>IFERROR(VLOOKUP(A1598,取得元!$A$2:$F$501,5,FALSE),"-")</f>
        <v>-</v>
      </c>
      <c r="K1598" s="25" t="str">
        <f>IFERROR(VLOOKUP(A1598,取得元!$A$2:$F$501,6,FALSE)/100,"-")</f>
        <v>-</v>
      </c>
      <c r="L1598" s="21" t="str">
        <f>_xll.RssMarket(A1598,"始値")</f>
        <v/>
      </c>
      <c r="M1598" s="4" t="e">
        <f t="shared" si="135"/>
        <v>#VALUE!</v>
      </c>
      <c r="N1598" s="21" t="str">
        <f>_xll.RssMarket(A1598,"高値")</f>
        <v/>
      </c>
      <c r="O1598" s="4" t="e">
        <f t="shared" si="136"/>
        <v>#VALUE!</v>
      </c>
      <c r="P1598" s="21" t="str">
        <f>_xll.RssMarket(A1598,"安値")</f>
        <v/>
      </c>
      <c r="Q1598" s="4" t="e">
        <f t="shared" si="137"/>
        <v>#VALUE!</v>
      </c>
      <c r="R1598" s="21" t="str">
        <f>_xll.RssMarket(A1598,"後場始値")</f>
        <v/>
      </c>
      <c r="S1598" s="25" t="str">
        <f t="shared" si="138"/>
        <v>-</v>
      </c>
      <c r="T1598" s="7" t="str">
        <f>_xll.RssMarket(A1598,"出来高加重平均")</f>
        <v/>
      </c>
      <c r="U1598" s="4" t="e">
        <f t="shared" si="139"/>
        <v>#VALUE!</v>
      </c>
      <c r="V1598" s="21" t="str">
        <f>_xll.RssMarket(A1598,"出来高")</f>
        <v/>
      </c>
      <c r="W1598" s="21" t="str">
        <f>_xll.RssMarket(A1598,"売買代金")</f>
        <v/>
      </c>
      <c r="X1598" s="20" t="str">
        <f>_xll.RssMarket(A1598,"決算発表日")</f>
        <v/>
      </c>
      <c r="Y1598" s="26" t="str">
        <f>IF(C1598&gt;_xll.RssMarket(A1598,"年初来高値"),"○","×")</f>
        <v>×</v>
      </c>
      <c r="Z1598" s="27" t="str">
        <f>IF(C1598&lt;=_xll.RssMarket(A1598,"年初来安値"),"○","×")</f>
        <v>○</v>
      </c>
    </row>
    <row r="1599" spans="2:26" x14ac:dyDescent="0.55000000000000004">
      <c r="B1599" s="20" t="str">
        <f>_xll.RssMarket(A1599,"銘柄名称")</f>
        <v/>
      </c>
      <c r="C1599" s="21" t="str">
        <f>_xll.RssMarket(A1599,"現在値")</f>
        <v/>
      </c>
      <c r="D1599" s="20" t="str">
        <f>_xll.RssMarket(A1599,"現在値詳細時刻")</f>
        <v/>
      </c>
      <c r="E1599" s="22" t="str">
        <f>_xll.RssMarket(A1599,"前日比")</f>
        <v/>
      </c>
      <c r="F1599" s="23" t="e">
        <f>_xll.RssMarket(A1599,"前日比率")/100</f>
        <v>#VALUE!</v>
      </c>
      <c r="G1599" s="24" t="str">
        <f>IFERROR(VLOOKUP(A1599,取得元!$A$2:$F$501,2,FALSE),"-")</f>
        <v>-</v>
      </c>
      <c r="H1599" s="24" t="str">
        <f>IFERROR(VLOOKUP(A1599,取得元!$A$2:$F$501,3,FALSE),"-")</f>
        <v>-</v>
      </c>
      <c r="I1599" s="24" t="str">
        <f>IFERROR(VLOOKUP(A1599,取得元!$A$2:$F$501,4,FALSE),"-")</f>
        <v>-</v>
      </c>
      <c r="J1599" s="5" t="str">
        <f>IFERROR(VLOOKUP(A1599,取得元!$A$2:$F$501,5,FALSE),"-")</f>
        <v>-</v>
      </c>
      <c r="K1599" s="25" t="str">
        <f>IFERROR(VLOOKUP(A1599,取得元!$A$2:$F$501,6,FALSE)/100,"-")</f>
        <v>-</v>
      </c>
      <c r="L1599" s="21" t="str">
        <f>_xll.RssMarket(A1599,"始値")</f>
        <v/>
      </c>
      <c r="M1599" s="4" t="e">
        <f t="shared" si="135"/>
        <v>#VALUE!</v>
      </c>
      <c r="N1599" s="21" t="str">
        <f>_xll.RssMarket(A1599,"高値")</f>
        <v/>
      </c>
      <c r="O1599" s="4" t="e">
        <f t="shared" si="136"/>
        <v>#VALUE!</v>
      </c>
      <c r="P1599" s="21" t="str">
        <f>_xll.RssMarket(A1599,"安値")</f>
        <v/>
      </c>
      <c r="Q1599" s="4" t="e">
        <f t="shared" si="137"/>
        <v>#VALUE!</v>
      </c>
      <c r="R1599" s="21" t="str">
        <f>_xll.RssMarket(A1599,"後場始値")</f>
        <v/>
      </c>
      <c r="S1599" s="25" t="str">
        <f t="shared" si="138"/>
        <v>-</v>
      </c>
      <c r="T1599" s="7" t="str">
        <f>_xll.RssMarket(A1599,"出来高加重平均")</f>
        <v/>
      </c>
      <c r="U1599" s="4" t="e">
        <f t="shared" si="139"/>
        <v>#VALUE!</v>
      </c>
      <c r="V1599" s="21" t="str">
        <f>_xll.RssMarket(A1599,"出来高")</f>
        <v/>
      </c>
      <c r="W1599" s="21" t="str">
        <f>_xll.RssMarket(A1599,"売買代金")</f>
        <v/>
      </c>
      <c r="X1599" s="20" t="str">
        <f>_xll.RssMarket(A1599,"決算発表日")</f>
        <v/>
      </c>
      <c r="Y1599" s="26" t="str">
        <f>IF(C1599&gt;_xll.RssMarket(A1599,"年初来高値"),"○","×")</f>
        <v>×</v>
      </c>
      <c r="Z1599" s="27" t="str">
        <f>IF(C1599&lt;=_xll.RssMarket(A1599,"年初来安値"),"○","×")</f>
        <v>○</v>
      </c>
    </row>
    <row r="1600" spans="2:26" x14ac:dyDescent="0.55000000000000004">
      <c r="B1600" s="20" t="str">
        <f>_xll.RssMarket(A1600,"銘柄名称")</f>
        <v/>
      </c>
      <c r="C1600" s="21" t="str">
        <f>_xll.RssMarket(A1600,"現在値")</f>
        <v/>
      </c>
      <c r="D1600" s="20" t="str">
        <f>_xll.RssMarket(A1600,"現在値詳細時刻")</f>
        <v/>
      </c>
      <c r="E1600" s="22" t="str">
        <f>_xll.RssMarket(A1600,"前日比")</f>
        <v/>
      </c>
      <c r="F1600" s="23" t="e">
        <f>_xll.RssMarket(A1600,"前日比率")/100</f>
        <v>#VALUE!</v>
      </c>
      <c r="G1600" s="24" t="str">
        <f>IFERROR(VLOOKUP(A1600,取得元!$A$2:$F$501,2,FALSE),"-")</f>
        <v>-</v>
      </c>
      <c r="H1600" s="24" t="str">
        <f>IFERROR(VLOOKUP(A1600,取得元!$A$2:$F$501,3,FALSE),"-")</f>
        <v>-</v>
      </c>
      <c r="I1600" s="24" t="str">
        <f>IFERROR(VLOOKUP(A1600,取得元!$A$2:$F$501,4,FALSE),"-")</f>
        <v>-</v>
      </c>
      <c r="J1600" s="5" t="str">
        <f>IFERROR(VLOOKUP(A1600,取得元!$A$2:$F$501,5,FALSE),"-")</f>
        <v>-</v>
      </c>
      <c r="K1600" s="25" t="str">
        <f>IFERROR(VLOOKUP(A1600,取得元!$A$2:$F$501,6,FALSE)/100,"-")</f>
        <v>-</v>
      </c>
      <c r="L1600" s="21" t="str">
        <f>_xll.RssMarket(A1600,"始値")</f>
        <v/>
      </c>
      <c r="M1600" s="4" t="e">
        <f t="shared" si="135"/>
        <v>#VALUE!</v>
      </c>
      <c r="N1600" s="21" t="str">
        <f>_xll.RssMarket(A1600,"高値")</f>
        <v/>
      </c>
      <c r="O1600" s="4" t="e">
        <f t="shared" si="136"/>
        <v>#VALUE!</v>
      </c>
      <c r="P1600" s="21" t="str">
        <f>_xll.RssMarket(A1600,"安値")</f>
        <v/>
      </c>
      <c r="Q1600" s="4" t="e">
        <f t="shared" si="137"/>
        <v>#VALUE!</v>
      </c>
      <c r="R1600" s="21" t="str">
        <f>_xll.RssMarket(A1600,"後場始値")</f>
        <v/>
      </c>
      <c r="S1600" s="25" t="str">
        <f t="shared" si="138"/>
        <v>-</v>
      </c>
      <c r="T1600" s="7" t="str">
        <f>_xll.RssMarket(A1600,"出来高加重平均")</f>
        <v/>
      </c>
      <c r="U1600" s="4" t="e">
        <f t="shared" si="139"/>
        <v>#VALUE!</v>
      </c>
      <c r="V1600" s="21" t="str">
        <f>_xll.RssMarket(A1600,"出来高")</f>
        <v/>
      </c>
      <c r="W1600" s="21" t="str">
        <f>_xll.RssMarket(A1600,"売買代金")</f>
        <v/>
      </c>
      <c r="X1600" s="20" t="str">
        <f>_xll.RssMarket(A1600,"決算発表日")</f>
        <v/>
      </c>
      <c r="Y1600" s="26" t="str">
        <f>IF(C1600&gt;_xll.RssMarket(A1600,"年初来高値"),"○","×")</f>
        <v>×</v>
      </c>
      <c r="Z1600" s="27" t="str">
        <f>IF(C1600&lt;=_xll.RssMarket(A1600,"年初来安値"),"○","×")</f>
        <v>○</v>
      </c>
    </row>
    <row r="1601" spans="2:26" x14ac:dyDescent="0.55000000000000004">
      <c r="B1601" s="20" t="str">
        <f>_xll.RssMarket(A1601,"銘柄名称")</f>
        <v/>
      </c>
      <c r="C1601" s="21" t="str">
        <f>_xll.RssMarket(A1601,"現在値")</f>
        <v/>
      </c>
      <c r="D1601" s="20" t="str">
        <f>_xll.RssMarket(A1601,"現在値詳細時刻")</f>
        <v/>
      </c>
      <c r="E1601" s="22" t="str">
        <f>_xll.RssMarket(A1601,"前日比")</f>
        <v/>
      </c>
      <c r="F1601" s="23" t="e">
        <f>_xll.RssMarket(A1601,"前日比率")/100</f>
        <v>#VALUE!</v>
      </c>
      <c r="G1601" s="24" t="str">
        <f>IFERROR(VLOOKUP(A1601,取得元!$A$2:$F$501,2,FALSE),"-")</f>
        <v>-</v>
      </c>
      <c r="H1601" s="24" t="str">
        <f>IFERROR(VLOOKUP(A1601,取得元!$A$2:$F$501,3,FALSE),"-")</f>
        <v>-</v>
      </c>
      <c r="I1601" s="24" t="str">
        <f>IFERROR(VLOOKUP(A1601,取得元!$A$2:$F$501,4,FALSE),"-")</f>
        <v>-</v>
      </c>
      <c r="J1601" s="5" t="str">
        <f>IFERROR(VLOOKUP(A1601,取得元!$A$2:$F$501,5,FALSE),"-")</f>
        <v>-</v>
      </c>
      <c r="K1601" s="25" t="str">
        <f>IFERROR(VLOOKUP(A1601,取得元!$A$2:$F$501,6,FALSE)/100,"-")</f>
        <v>-</v>
      </c>
      <c r="L1601" s="21" t="str">
        <f>_xll.RssMarket(A1601,"始値")</f>
        <v/>
      </c>
      <c r="M1601" s="4" t="e">
        <f t="shared" si="135"/>
        <v>#VALUE!</v>
      </c>
      <c r="N1601" s="21" t="str">
        <f>_xll.RssMarket(A1601,"高値")</f>
        <v/>
      </c>
      <c r="O1601" s="4" t="e">
        <f t="shared" si="136"/>
        <v>#VALUE!</v>
      </c>
      <c r="P1601" s="21" t="str">
        <f>_xll.RssMarket(A1601,"安値")</f>
        <v/>
      </c>
      <c r="Q1601" s="4" t="e">
        <f t="shared" si="137"/>
        <v>#VALUE!</v>
      </c>
      <c r="R1601" s="21" t="str">
        <f>_xll.RssMarket(A1601,"後場始値")</f>
        <v/>
      </c>
      <c r="S1601" s="25" t="str">
        <f t="shared" si="138"/>
        <v>-</v>
      </c>
      <c r="T1601" s="7" t="str">
        <f>_xll.RssMarket(A1601,"出来高加重平均")</f>
        <v/>
      </c>
      <c r="U1601" s="4" t="e">
        <f t="shared" si="139"/>
        <v>#VALUE!</v>
      </c>
      <c r="V1601" s="21" t="str">
        <f>_xll.RssMarket(A1601,"出来高")</f>
        <v/>
      </c>
      <c r="W1601" s="21" t="str">
        <f>_xll.RssMarket(A1601,"売買代金")</f>
        <v/>
      </c>
      <c r="X1601" s="20" t="str">
        <f>_xll.RssMarket(A1601,"決算発表日")</f>
        <v/>
      </c>
      <c r="Y1601" s="26" t="str">
        <f>IF(C1601&gt;_xll.RssMarket(A1601,"年初来高値"),"○","×")</f>
        <v>×</v>
      </c>
      <c r="Z1601" s="27" t="str">
        <f>IF(C1601&lt;=_xll.RssMarket(A1601,"年初来安値"),"○","×")</f>
        <v>○</v>
      </c>
    </row>
    <row r="1602" spans="2:26" x14ac:dyDescent="0.55000000000000004">
      <c r="B1602" s="20" t="str">
        <f>_xll.RssMarket(A1602,"銘柄名称")</f>
        <v/>
      </c>
      <c r="C1602" s="21" t="str">
        <f>_xll.RssMarket(A1602,"現在値")</f>
        <v/>
      </c>
      <c r="D1602" s="20" t="str">
        <f>_xll.RssMarket(A1602,"現在値詳細時刻")</f>
        <v/>
      </c>
      <c r="E1602" s="22" t="str">
        <f>_xll.RssMarket(A1602,"前日比")</f>
        <v/>
      </c>
      <c r="F1602" s="23" t="e">
        <f>_xll.RssMarket(A1602,"前日比率")/100</f>
        <v>#VALUE!</v>
      </c>
      <c r="G1602" s="24" t="str">
        <f>IFERROR(VLOOKUP(A1602,取得元!$A$2:$F$501,2,FALSE),"-")</f>
        <v>-</v>
      </c>
      <c r="H1602" s="24" t="str">
        <f>IFERROR(VLOOKUP(A1602,取得元!$A$2:$F$501,3,FALSE),"-")</f>
        <v>-</v>
      </c>
      <c r="I1602" s="24" t="str">
        <f>IFERROR(VLOOKUP(A1602,取得元!$A$2:$F$501,4,FALSE),"-")</f>
        <v>-</v>
      </c>
      <c r="J1602" s="5" t="str">
        <f>IFERROR(VLOOKUP(A1602,取得元!$A$2:$F$501,5,FALSE),"-")</f>
        <v>-</v>
      </c>
      <c r="K1602" s="25" t="str">
        <f>IFERROR(VLOOKUP(A1602,取得元!$A$2:$F$501,6,FALSE)/100,"-")</f>
        <v>-</v>
      </c>
      <c r="L1602" s="21" t="str">
        <f>_xll.RssMarket(A1602,"始値")</f>
        <v/>
      </c>
      <c r="M1602" s="4" t="e">
        <f t="shared" si="135"/>
        <v>#VALUE!</v>
      </c>
      <c r="N1602" s="21" t="str">
        <f>_xll.RssMarket(A1602,"高値")</f>
        <v/>
      </c>
      <c r="O1602" s="4" t="e">
        <f t="shared" si="136"/>
        <v>#VALUE!</v>
      </c>
      <c r="P1602" s="21" t="str">
        <f>_xll.RssMarket(A1602,"安値")</f>
        <v/>
      </c>
      <c r="Q1602" s="4" t="e">
        <f t="shared" si="137"/>
        <v>#VALUE!</v>
      </c>
      <c r="R1602" s="21" t="str">
        <f>_xll.RssMarket(A1602,"後場始値")</f>
        <v/>
      </c>
      <c r="S1602" s="25" t="str">
        <f t="shared" si="138"/>
        <v>-</v>
      </c>
      <c r="T1602" s="7" t="str">
        <f>_xll.RssMarket(A1602,"出来高加重平均")</f>
        <v/>
      </c>
      <c r="U1602" s="4" t="e">
        <f t="shared" si="139"/>
        <v>#VALUE!</v>
      </c>
      <c r="V1602" s="21" t="str">
        <f>_xll.RssMarket(A1602,"出来高")</f>
        <v/>
      </c>
      <c r="W1602" s="21" t="str">
        <f>_xll.RssMarket(A1602,"売買代金")</f>
        <v/>
      </c>
      <c r="X1602" s="20" t="str">
        <f>_xll.RssMarket(A1602,"決算発表日")</f>
        <v/>
      </c>
      <c r="Y1602" s="26" t="str">
        <f>IF(C1602&gt;_xll.RssMarket(A1602,"年初来高値"),"○","×")</f>
        <v>×</v>
      </c>
      <c r="Z1602" s="27" t="str">
        <f>IF(C1602&lt;=_xll.RssMarket(A1602,"年初来安値"),"○","×")</f>
        <v>○</v>
      </c>
    </row>
    <row r="1603" spans="2:26" x14ac:dyDescent="0.55000000000000004">
      <c r="B1603" s="20" t="str">
        <f>_xll.RssMarket(A1603,"銘柄名称")</f>
        <v/>
      </c>
      <c r="C1603" s="21" t="str">
        <f>_xll.RssMarket(A1603,"現在値")</f>
        <v/>
      </c>
      <c r="D1603" s="20" t="str">
        <f>_xll.RssMarket(A1603,"現在値詳細時刻")</f>
        <v/>
      </c>
      <c r="E1603" s="22" t="str">
        <f>_xll.RssMarket(A1603,"前日比")</f>
        <v/>
      </c>
      <c r="F1603" s="23" t="e">
        <f>_xll.RssMarket(A1603,"前日比率")/100</f>
        <v>#VALUE!</v>
      </c>
      <c r="G1603" s="24" t="str">
        <f>IFERROR(VLOOKUP(A1603,取得元!$A$2:$F$501,2,FALSE),"-")</f>
        <v>-</v>
      </c>
      <c r="H1603" s="24" t="str">
        <f>IFERROR(VLOOKUP(A1603,取得元!$A$2:$F$501,3,FALSE),"-")</f>
        <v>-</v>
      </c>
      <c r="I1603" s="24" t="str">
        <f>IFERROR(VLOOKUP(A1603,取得元!$A$2:$F$501,4,FALSE),"-")</f>
        <v>-</v>
      </c>
      <c r="J1603" s="5" t="str">
        <f>IFERROR(VLOOKUP(A1603,取得元!$A$2:$F$501,5,FALSE),"-")</f>
        <v>-</v>
      </c>
      <c r="K1603" s="25" t="str">
        <f>IFERROR(VLOOKUP(A1603,取得元!$A$2:$F$501,6,FALSE)/100,"-")</f>
        <v>-</v>
      </c>
      <c r="L1603" s="21" t="str">
        <f>_xll.RssMarket(A1603,"始値")</f>
        <v/>
      </c>
      <c r="M1603" s="4" t="e">
        <f t="shared" si="135"/>
        <v>#VALUE!</v>
      </c>
      <c r="N1603" s="21" t="str">
        <f>_xll.RssMarket(A1603,"高値")</f>
        <v/>
      </c>
      <c r="O1603" s="4" t="e">
        <f t="shared" si="136"/>
        <v>#VALUE!</v>
      </c>
      <c r="P1603" s="21" t="str">
        <f>_xll.RssMarket(A1603,"安値")</f>
        <v/>
      </c>
      <c r="Q1603" s="4" t="e">
        <f t="shared" si="137"/>
        <v>#VALUE!</v>
      </c>
      <c r="R1603" s="21" t="str">
        <f>_xll.RssMarket(A1603,"後場始値")</f>
        <v/>
      </c>
      <c r="S1603" s="25" t="str">
        <f t="shared" si="138"/>
        <v>-</v>
      </c>
      <c r="T1603" s="7" t="str">
        <f>_xll.RssMarket(A1603,"出来高加重平均")</f>
        <v/>
      </c>
      <c r="U1603" s="4" t="e">
        <f t="shared" si="139"/>
        <v>#VALUE!</v>
      </c>
      <c r="V1603" s="21" t="str">
        <f>_xll.RssMarket(A1603,"出来高")</f>
        <v/>
      </c>
      <c r="W1603" s="21" t="str">
        <f>_xll.RssMarket(A1603,"売買代金")</f>
        <v/>
      </c>
      <c r="X1603" s="20" t="str">
        <f>_xll.RssMarket(A1603,"決算発表日")</f>
        <v/>
      </c>
      <c r="Y1603" s="26" t="str">
        <f>IF(C1603&gt;_xll.RssMarket(A1603,"年初来高値"),"○","×")</f>
        <v>×</v>
      </c>
      <c r="Z1603" s="27" t="str">
        <f>IF(C1603&lt;=_xll.RssMarket(A1603,"年初来安値"),"○","×")</f>
        <v>○</v>
      </c>
    </row>
    <row r="1604" spans="2:26" x14ac:dyDescent="0.55000000000000004">
      <c r="B1604" s="20" t="str">
        <f>_xll.RssMarket(A1604,"銘柄名称")</f>
        <v/>
      </c>
      <c r="C1604" s="21" t="str">
        <f>_xll.RssMarket(A1604,"現在値")</f>
        <v/>
      </c>
      <c r="D1604" s="20" t="str">
        <f>_xll.RssMarket(A1604,"現在値詳細時刻")</f>
        <v/>
      </c>
      <c r="E1604" s="22" t="str">
        <f>_xll.RssMarket(A1604,"前日比")</f>
        <v/>
      </c>
      <c r="F1604" s="23" t="e">
        <f>_xll.RssMarket(A1604,"前日比率")/100</f>
        <v>#VALUE!</v>
      </c>
      <c r="G1604" s="24" t="str">
        <f>IFERROR(VLOOKUP(A1604,取得元!$A$2:$F$501,2,FALSE),"-")</f>
        <v>-</v>
      </c>
      <c r="H1604" s="24" t="str">
        <f>IFERROR(VLOOKUP(A1604,取得元!$A$2:$F$501,3,FALSE),"-")</f>
        <v>-</v>
      </c>
      <c r="I1604" s="24" t="str">
        <f>IFERROR(VLOOKUP(A1604,取得元!$A$2:$F$501,4,FALSE),"-")</f>
        <v>-</v>
      </c>
      <c r="J1604" s="5" t="str">
        <f>IFERROR(VLOOKUP(A1604,取得元!$A$2:$F$501,5,FALSE),"-")</f>
        <v>-</v>
      </c>
      <c r="K1604" s="25" t="str">
        <f>IFERROR(VLOOKUP(A1604,取得元!$A$2:$F$501,6,FALSE)/100,"-")</f>
        <v>-</v>
      </c>
      <c r="L1604" s="21" t="str">
        <f>_xll.RssMarket(A1604,"始値")</f>
        <v/>
      </c>
      <c r="M1604" s="4" t="e">
        <f t="shared" si="135"/>
        <v>#VALUE!</v>
      </c>
      <c r="N1604" s="21" t="str">
        <f>_xll.RssMarket(A1604,"高値")</f>
        <v/>
      </c>
      <c r="O1604" s="4" t="e">
        <f t="shared" si="136"/>
        <v>#VALUE!</v>
      </c>
      <c r="P1604" s="21" t="str">
        <f>_xll.RssMarket(A1604,"安値")</f>
        <v/>
      </c>
      <c r="Q1604" s="4" t="e">
        <f t="shared" si="137"/>
        <v>#VALUE!</v>
      </c>
      <c r="R1604" s="21" t="str">
        <f>_xll.RssMarket(A1604,"後場始値")</f>
        <v/>
      </c>
      <c r="S1604" s="25" t="str">
        <f t="shared" si="138"/>
        <v>-</v>
      </c>
      <c r="T1604" s="7" t="str">
        <f>_xll.RssMarket(A1604,"出来高加重平均")</f>
        <v/>
      </c>
      <c r="U1604" s="4" t="e">
        <f t="shared" si="139"/>
        <v>#VALUE!</v>
      </c>
      <c r="V1604" s="21" t="str">
        <f>_xll.RssMarket(A1604,"出来高")</f>
        <v/>
      </c>
      <c r="W1604" s="21" t="str">
        <f>_xll.RssMarket(A1604,"売買代金")</f>
        <v/>
      </c>
      <c r="X1604" s="20" t="str">
        <f>_xll.RssMarket(A1604,"決算発表日")</f>
        <v/>
      </c>
      <c r="Y1604" s="26" t="str">
        <f>IF(C1604&gt;_xll.RssMarket(A1604,"年初来高値"),"○","×")</f>
        <v>×</v>
      </c>
      <c r="Z1604" s="27" t="str">
        <f>IF(C1604&lt;=_xll.RssMarket(A1604,"年初来安値"),"○","×")</f>
        <v>○</v>
      </c>
    </row>
    <row r="1605" spans="2:26" x14ac:dyDescent="0.55000000000000004">
      <c r="B1605" s="20" t="str">
        <f>_xll.RssMarket(A1605,"銘柄名称")</f>
        <v/>
      </c>
      <c r="C1605" s="21" t="str">
        <f>_xll.RssMarket(A1605,"現在値")</f>
        <v/>
      </c>
      <c r="D1605" s="20" t="str">
        <f>_xll.RssMarket(A1605,"現在値詳細時刻")</f>
        <v/>
      </c>
      <c r="E1605" s="22" t="str">
        <f>_xll.RssMarket(A1605,"前日比")</f>
        <v/>
      </c>
      <c r="F1605" s="23" t="e">
        <f>_xll.RssMarket(A1605,"前日比率")/100</f>
        <v>#VALUE!</v>
      </c>
      <c r="G1605" s="24" t="str">
        <f>IFERROR(VLOOKUP(A1605,取得元!$A$2:$F$501,2,FALSE),"-")</f>
        <v>-</v>
      </c>
      <c r="H1605" s="24" t="str">
        <f>IFERROR(VLOOKUP(A1605,取得元!$A$2:$F$501,3,FALSE),"-")</f>
        <v>-</v>
      </c>
      <c r="I1605" s="24" t="str">
        <f>IFERROR(VLOOKUP(A1605,取得元!$A$2:$F$501,4,FALSE),"-")</f>
        <v>-</v>
      </c>
      <c r="J1605" s="5" t="str">
        <f>IFERROR(VLOOKUP(A1605,取得元!$A$2:$F$501,5,FALSE),"-")</f>
        <v>-</v>
      </c>
      <c r="K1605" s="25" t="str">
        <f>IFERROR(VLOOKUP(A1605,取得元!$A$2:$F$501,6,FALSE)/100,"-")</f>
        <v>-</v>
      </c>
      <c r="L1605" s="21" t="str">
        <f>_xll.RssMarket(A1605,"始値")</f>
        <v/>
      </c>
      <c r="M1605" s="4" t="e">
        <f t="shared" si="135"/>
        <v>#VALUE!</v>
      </c>
      <c r="N1605" s="21" t="str">
        <f>_xll.RssMarket(A1605,"高値")</f>
        <v/>
      </c>
      <c r="O1605" s="4" t="e">
        <f t="shared" si="136"/>
        <v>#VALUE!</v>
      </c>
      <c r="P1605" s="21" t="str">
        <f>_xll.RssMarket(A1605,"安値")</f>
        <v/>
      </c>
      <c r="Q1605" s="4" t="e">
        <f t="shared" si="137"/>
        <v>#VALUE!</v>
      </c>
      <c r="R1605" s="21" t="str">
        <f>_xll.RssMarket(A1605,"後場始値")</f>
        <v/>
      </c>
      <c r="S1605" s="25" t="str">
        <f t="shared" si="138"/>
        <v>-</v>
      </c>
      <c r="T1605" s="7" t="str">
        <f>_xll.RssMarket(A1605,"出来高加重平均")</f>
        <v/>
      </c>
      <c r="U1605" s="4" t="e">
        <f t="shared" si="139"/>
        <v>#VALUE!</v>
      </c>
      <c r="V1605" s="21" t="str">
        <f>_xll.RssMarket(A1605,"出来高")</f>
        <v/>
      </c>
      <c r="W1605" s="21" t="str">
        <f>_xll.RssMarket(A1605,"売買代金")</f>
        <v/>
      </c>
      <c r="X1605" s="20" t="str">
        <f>_xll.RssMarket(A1605,"決算発表日")</f>
        <v/>
      </c>
      <c r="Y1605" s="26" t="str">
        <f>IF(C1605&gt;_xll.RssMarket(A1605,"年初来高値"),"○","×")</f>
        <v>×</v>
      </c>
      <c r="Z1605" s="27" t="str">
        <f>IF(C1605&lt;=_xll.RssMarket(A1605,"年初来安値"),"○","×")</f>
        <v>○</v>
      </c>
    </row>
    <row r="1606" spans="2:26" x14ac:dyDescent="0.55000000000000004">
      <c r="B1606" s="20" t="str">
        <f>_xll.RssMarket(A1606,"銘柄名称")</f>
        <v/>
      </c>
      <c r="C1606" s="21" t="str">
        <f>_xll.RssMarket(A1606,"現在値")</f>
        <v/>
      </c>
      <c r="D1606" s="20" t="str">
        <f>_xll.RssMarket(A1606,"現在値詳細時刻")</f>
        <v/>
      </c>
      <c r="E1606" s="22" t="str">
        <f>_xll.RssMarket(A1606,"前日比")</f>
        <v/>
      </c>
      <c r="F1606" s="23" t="e">
        <f>_xll.RssMarket(A1606,"前日比率")/100</f>
        <v>#VALUE!</v>
      </c>
      <c r="G1606" s="24" t="str">
        <f>IFERROR(VLOOKUP(A1606,取得元!$A$2:$F$501,2,FALSE),"-")</f>
        <v>-</v>
      </c>
      <c r="H1606" s="24" t="str">
        <f>IFERROR(VLOOKUP(A1606,取得元!$A$2:$F$501,3,FALSE),"-")</f>
        <v>-</v>
      </c>
      <c r="I1606" s="24" t="str">
        <f>IFERROR(VLOOKUP(A1606,取得元!$A$2:$F$501,4,FALSE),"-")</f>
        <v>-</v>
      </c>
      <c r="J1606" s="5" t="str">
        <f>IFERROR(VLOOKUP(A1606,取得元!$A$2:$F$501,5,FALSE),"-")</f>
        <v>-</v>
      </c>
      <c r="K1606" s="25" t="str">
        <f>IFERROR(VLOOKUP(A1606,取得元!$A$2:$F$501,6,FALSE)/100,"-")</f>
        <v>-</v>
      </c>
      <c r="L1606" s="21" t="str">
        <f>_xll.RssMarket(A1606,"始値")</f>
        <v/>
      </c>
      <c r="M1606" s="4" t="e">
        <f t="shared" si="135"/>
        <v>#VALUE!</v>
      </c>
      <c r="N1606" s="21" t="str">
        <f>_xll.RssMarket(A1606,"高値")</f>
        <v/>
      </c>
      <c r="O1606" s="4" t="e">
        <f t="shared" si="136"/>
        <v>#VALUE!</v>
      </c>
      <c r="P1606" s="21" t="str">
        <f>_xll.RssMarket(A1606,"安値")</f>
        <v/>
      </c>
      <c r="Q1606" s="4" t="e">
        <f t="shared" si="137"/>
        <v>#VALUE!</v>
      </c>
      <c r="R1606" s="21" t="str">
        <f>_xll.RssMarket(A1606,"後場始値")</f>
        <v/>
      </c>
      <c r="S1606" s="25" t="str">
        <f t="shared" si="138"/>
        <v>-</v>
      </c>
      <c r="T1606" s="7" t="str">
        <f>_xll.RssMarket(A1606,"出来高加重平均")</f>
        <v/>
      </c>
      <c r="U1606" s="4" t="e">
        <f t="shared" si="139"/>
        <v>#VALUE!</v>
      </c>
      <c r="V1606" s="21" t="str">
        <f>_xll.RssMarket(A1606,"出来高")</f>
        <v/>
      </c>
      <c r="W1606" s="21" t="str">
        <f>_xll.RssMarket(A1606,"売買代金")</f>
        <v/>
      </c>
      <c r="X1606" s="20" t="str">
        <f>_xll.RssMarket(A1606,"決算発表日")</f>
        <v/>
      </c>
      <c r="Y1606" s="26" t="str">
        <f>IF(C1606&gt;_xll.RssMarket(A1606,"年初来高値"),"○","×")</f>
        <v>×</v>
      </c>
      <c r="Z1606" s="27" t="str">
        <f>IF(C1606&lt;=_xll.RssMarket(A1606,"年初来安値"),"○","×")</f>
        <v>○</v>
      </c>
    </row>
    <row r="1607" spans="2:26" x14ac:dyDescent="0.55000000000000004">
      <c r="B1607" s="20" t="str">
        <f>_xll.RssMarket(A1607,"銘柄名称")</f>
        <v/>
      </c>
      <c r="C1607" s="21" t="str">
        <f>_xll.RssMarket(A1607,"現在値")</f>
        <v/>
      </c>
      <c r="D1607" s="20" t="str">
        <f>_xll.RssMarket(A1607,"現在値詳細時刻")</f>
        <v/>
      </c>
      <c r="E1607" s="22" t="str">
        <f>_xll.RssMarket(A1607,"前日比")</f>
        <v/>
      </c>
      <c r="F1607" s="23" t="e">
        <f>_xll.RssMarket(A1607,"前日比率")/100</f>
        <v>#VALUE!</v>
      </c>
      <c r="G1607" s="24" t="str">
        <f>IFERROR(VLOOKUP(A1607,取得元!$A$2:$F$501,2,FALSE),"-")</f>
        <v>-</v>
      </c>
      <c r="H1607" s="24" t="str">
        <f>IFERROR(VLOOKUP(A1607,取得元!$A$2:$F$501,3,FALSE),"-")</f>
        <v>-</v>
      </c>
      <c r="I1607" s="24" t="str">
        <f>IFERROR(VLOOKUP(A1607,取得元!$A$2:$F$501,4,FALSE),"-")</f>
        <v>-</v>
      </c>
      <c r="J1607" s="5" t="str">
        <f>IFERROR(VLOOKUP(A1607,取得元!$A$2:$F$501,5,FALSE),"-")</f>
        <v>-</v>
      </c>
      <c r="K1607" s="25" t="str">
        <f>IFERROR(VLOOKUP(A1607,取得元!$A$2:$F$501,6,FALSE)/100,"-")</f>
        <v>-</v>
      </c>
      <c r="L1607" s="21" t="str">
        <f>_xll.RssMarket(A1607,"始値")</f>
        <v/>
      </c>
      <c r="M1607" s="4" t="e">
        <f t="shared" si="135"/>
        <v>#VALUE!</v>
      </c>
      <c r="N1607" s="21" t="str">
        <f>_xll.RssMarket(A1607,"高値")</f>
        <v/>
      </c>
      <c r="O1607" s="4" t="e">
        <f t="shared" si="136"/>
        <v>#VALUE!</v>
      </c>
      <c r="P1607" s="21" t="str">
        <f>_xll.RssMarket(A1607,"安値")</f>
        <v/>
      </c>
      <c r="Q1607" s="4" t="e">
        <f t="shared" si="137"/>
        <v>#VALUE!</v>
      </c>
      <c r="R1607" s="21" t="str">
        <f>_xll.RssMarket(A1607,"後場始値")</f>
        <v/>
      </c>
      <c r="S1607" s="25" t="str">
        <f t="shared" si="138"/>
        <v>-</v>
      </c>
      <c r="T1607" s="7" t="str">
        <f>_xll.RssMarket(A1607,"出来高加重平均")</f>
        <v/>
      </c>
      <c r="U1607" s="4" t="e">
        <f t="shared" si="139"/>
        <v>#VALUE!</v>
      </c>
      <c r="V1607" s="21" t="str">
        <f>_xll.RssMarket(A1607,"出来高")</f>
        <v/>
      </c>
      <c r="W1607" s="21" t="str">
        <f>_xll.RssMarket(A1607,"売買代金")</f>
        <v/>
      </c>
      <c r="X1607" s="20" t="str">
        <f>_xll.RssMarket(A1607,"決算発表日")</f>
        <v/>
      </c>
      <c r="Y1607" s="26" t="str">
        <f>IF(C1607&gt;_xll.RssMarket(A1607,"年初来高値"),"○","×")</f>
        <v>×</v>
      </c>
      <c r="Z1607" s="27" t="str">
        <f>IF(C1607&lt;=_xll.RssMarket(A1607,"年初来安値"),"○","×")</f>
        <v>○</v>
      </c>
    </row>
    <row r="1608" spans="2:26" x14ac:dyDescent="0.55000000000000004">
      <c r="B1608" s="20" t="str">
        <f>_xll.RssMarket(A1608,"銘柄名称")</f>
        <v/>
      </c>
      <c r="C1608" s="21" t="str">
        <f>_xll.RssMarket(A1608,"現在値")</f>
        <v/>
      </c>
      <c r="D1608" s="20" t="str">
        <f>_xll.RssMarket(A1608,"現在値詳細時刻")</f>
        <v/>
      </c>
      <c r="E1608" s="22" t="str">
        <f>_xll.RssMarket(A1608,"前日比")</f>
        <v/>
      </c>
      <c r="F1608" s="23" t="e">
        <f>_xll.RssMarket(A1608,"前日比率")/100</f>
        <v>#VALUE!</v>
      </c>
      <c r="G1608" s="24" t="str">
        <f>IFERROR(VLOOKUP(A1608,取得元!$A$2:$F$501,2,FALSE),"-")</f>
        <v>-</v>
      </c>
      <c r="H1608" s="24" t="str">
        <f>IFERROR(VLOOKUP(A1608,取得元!$A$2:$F$501,3,FALSE),"-")</f>
        <v>-</v>
      </c>
      <c r="I1608" s="24" t="str">
        <f>IFERROR(VLOOKUP(A1608,取得元!$A$2:$F$501,4,FALSE),"-")</f>
        <v>-</v>
      </c>
      <c r="J1608" s="5" t="str">
        <f>IFERROR(VLOOKUP(A1608,取得元!$A$2:$F$501,5,FALSE),"-")</f>
        <v>-</v>
      </c>
      <c r="K1608" s="25" t="str">
        <f>IFERROR(VLOOKUP(A1608,取得元!$A$2:$F$501,6,FALSE)/100,"-")</f>
        <v>-</v>
      </c>
      <c r="L1608" s="21" t="str">
        <f>_xll.RssMarket(A1608,"始値")</f>
        <v/>
      </c>
      <c r="M1608" s="4" t="e">
        <f t="shared" si="135"/>
        <v>#VALUE!</v>
      </c>
      <c r="N1608" s="21" t="str">
        <f>_xll.RssMarket(A1608,"高値")</f>
        <v/>
      </c>
      <c r="O1608" s="4" t="e">
        <f t="shared" si="136"/>
        <v>#VALUE!</v>
      </c>
      <c r="P1608" s="21" t="str">
        <f>_xll.RssMarket(A1608,"安値")</f>
        <v/>
      </c>
      <c r="Q1608" s="4" t="e">
        <f t="shared" si="137"/>
        <v>#VALUE!</v>
      </c>
      <c r="R1608" s="21" t="str">
        <f>_xll.RssMarket(A1608,"後場始値")</f>
        <v/>
      </c>
      <c r="S1608" s="25" t="str">
        <f t="shared" si="138"/>
        <v>-</v>
      </c>
      <c r="T1608" s="7" t="str">
        <f>_xll.RssMarket(A1608,"出来高加重平均")</f>
        <v/>
      </c>
      <c r="U1608" s="4" t="e">
        <f t="shared" si="139"/>
        <v>#VALUE!</v>
      </c>
      <c r="V1608" s="21" t="str">
        <f>_xll.RssMarket(A1608,"出来高")</f>
        <v/>
      </c>
      <c r="W1608" s="21" t="str">
        <f>_xll.RssMarket(A1608,"売買代金")</f>
        <v/>
      </c>
      <c r="X1608" s="20" t="str">
        <f>_xll.RssMarket(A1608,"決算発表日")</f>
        <v/>
      </c>
      <c r="Y1608" s="26" t="str">
        <f>IF(C1608&gt;_xll.RssMarket(A1608,"年初来高値"),"○","×")</f>
        <v>×</v>
      </c>
      <c r="Z1608" s="27" t="str">
        <f>IF(C1608&lt;=_xll.RssMarket(A1608,"年初来安値"),"○","×")</f>
        <v>○</v>
      </c>
    </row>
    <row r="1609" spans="2:26" x14ac:dyDescent="0.55000000000000004">
      <c r="B1609" s="20" t="str">
        <f>_xll.RssMarket(A1609,"銘柄名称")</f>
        <v/>
      </c>
      <c r="C1609" s="21" t="str">
        <f>_xll.RssMarket(A1609,"現在値")</f>
        <v/>
      </c>
      <c r="D1609" s="20" t="str">
        <f>_xll.RssMarket(A1609,"現在値詳細時刻")</f>
        <v/>
      </c>
      <c r="E1609" s="22" t="str">
        <f>_xll.RssMarket(A1609,"前日比")</f>
        <v/>
      </c>
      <c r="F1609" s="23" t="e">
        <f>_xll.RssMarket(A1609,"前日比率")/100</f>
        <v>#VALUE!</v>
      </c>
      <c r="G1609" s="24" t="str">
        <f>IFERROR(VLOOKUP(A1609,取得元!$A$2:$F$501,2,FALSE),"-")</f>
        <v>-</v>
      </c>
      <c r="H1609" s="24" t="str">
        <f>IFERROR(VLOOKUP(A1609,取得元!$A$2:$F$501,3,FALSE),"-")</f>
        <v>-</v>
      </c>
      <c r="I1609" s="24" t="str">
        <f>IFERROR(VLOOKUP(A1609,取得元!$A$2:$F$501,4,FALSE),"-")</f>
        <v>-</v>
      </c>
      <c r="J1609" s="5" t="str">
        <f>IFERROR(VLOOKUP(A1609,取得元!$A$2:$F$501,5,FALSE),"-")</f>
        <v>-</v>
      </c>
      <c r="K1609" s="25" t="str">
        <f>IFERROR(VLOOKUP(A1609,取得元!$A$2:$F$501,6,FALSE)/100,"-")</f>
        <v>-</v>
      </c>
      <c r="L1609" s="21" t="str">
        <f>_xll.RssMarket(A1609,"始値")</f>
        <v/>
      </c>
      <c r="M1609" s="4" t="e">
        <f t="shared" si="135"/>
        <v>#VALUE!</v>
      </c>
      <c r="N1609" s="21" t="str">
        <f>_xll.RssMarket(A1609,"高値")</f>
        <v/>
      </c>
      <c r="O1609" s="4" t="e">
        <f t="shared" si="136"/>
        <v>#VALUE!</v>
      </c>
      <c r="P1609" s="21" t="str">
        <f>_xll.RssMarket(A1609,"安値")</f>
        <v/>
      </c>
      <c r="Q1609" s="4" t="e">
        <f t="shared" si="137"/>
        <v>#VALUE!</v>
      </c>
      <c r="R1609" s="21" t="str">
        <f>_xll.RssMarket(A1609,"後場始値")</f>
        <v/>
      </c>
      <c r="S1609" s="25" t="str">
        <f t="shared" si="138"/>
        <v>-</v>
      </c>
      <c r="T1609" s="7" t="str">
        <f>_xll.RssMarket(A1609,"出来高加重平均")</f>
        <v/>
      </c>
      <c r="U1609" s="4" t="e">
        <f t="shared" si="139"/>
        <v>#VALUE!</v>
      </c>
      <c r="V1609" s="21" t="str">
        <f>_xll.RssMarket(A1609,"出来高")</f>
        <v/>
      </c>
      <c r="W1609" s="21" t="str">
        <f>_xll.RssMarket(A1609,"売買代金")</f>
        <v/>
      </c>
      <c r="X1609" s="20" t="str">
        <f>_xll.RssMarket(A1609,"決算発表日")</f>
        <v/>
      </c>
      <c r="Y1609" s="26" t="str">
        <f>IF(C1609&gt;_xll.RssMarket(A1609,"年初来高値"),"○","×")</f>
        <v>×</v>
      </c>
      <c r="Z1609" s="27" t="str">
        <f>IF(C1609&lt;=_xll.RssMarket(A1609,"年初来安値"),"○","×")</f>
        <v>○</v>
      </c>
    </row>
    <row r="1610" spans="2:26" x14ac:dyDescent="0.55000000000000004">
      <c r="B1610" s="20" t="str">
        <f>_xll.RssMarket(A1610,"銘柄名称")</f>
        <v/>
      </c>
      <c r="C1610" s="21" t="str">
        <f>_xll.RssMarket(A1610,"現在値")</f>
        <v/>
      </c>
      <c r="D1610" s="20" t="str">
        <f>_xll.RssMarket(A1610,"現在値詳細時刻")</f>
        <v/>
      </c>
      <c r="E1610" s="22" t="str">
        <f>_xll.RssMarket(A1610,"前日比")</f>
        <v/>
      </c>
      <c r="F1610" s="23" t="e">
        <f>_xll.RssMarket(A1610,"前日比率")/100</f>
        <v>#VALUE!</v>
      </c>
      <c r="G1610" s="24" t="str">
        <f>IFERROR(VLOOKUP(A1610,取得元!$A$2:$F$501,2,FALSE),"-")</f>
        <v>-</v>
      </c>
      <c r="H1610" s="24" t="str">
        <f>IFERROR(VLOOKUP(A1610,取得元!$A$2:$F$501,3,FALSE),"-")</f>
        <v>-</v>
      </c>
      <c r="I1610" s="24" t="str">
        <f>IFERROR(VLOOKUP(A1610,取得元!$A$2:$F$501,4,FALSE),"-")</f>
        <v>-</v>
      </c>
      <c r="J1610" s="5" t="str">
        <f>IFERROR(VLOOKUP(A1610,取得元!$A$2:$F$501,5,FALSE),"-")</f>
        <v>-</v>
      </c>
      <c r="K1610" s="25" t="str">
        <f>IFERROR(VLOOKUP(A1610,取得元!$A$2:$F$501,6,FALSE)/100,"-")</f>
        <v>-</v>
      </c>
      <c r="L1610" s="21" t="str">
        <f>_xll.RssMarket(A1610,"始値")</f>
        <v/>
      </c>
      <c r="M1610" s="4" t="e">
        <f t="shared" si="135"/>
        <v>#VALUE!</v>
      </c>
      <c r="N1610" s="21" t="str">
        <f>_xll.RssMarket(A1610,"高値")</f>
        <v/>
      </c>
      <c r="O1610" s="4" t="e">
        <f t="shared" si="136"/>
        <v>#VALUE!</v>
      </c>
      <c r="P1610" s="21" t="str">
        <f>_xll.RssMarket(A1610,"安値")</f>
        <v/>
      </c>
      <c r="Q1610" s="4" t="e">
        <f t="shared" si="137"/>
        <v>#VALUE!</v>
      </c>
      <c r="R1610" s="21" t="str">
        <f>_xll.RssMarket(A1610,"後場始値")</f>
        <v/>
      </c>
      <c r="S1610" s="25" t="str">
        <f t="shared" si="138"/>
        <v>-</v>
      </c>
      <c r="T1610" s="7" t="str">
        <f>_xll.RssMarket(A1610,"出来高加重平均")</f>
        <v/>
      </c>
      <c r="U1610" s="4" t="e">
        <f t="shared" si="139"/>
        <v>#VALUE!</v>
      </c>
      <c r="V1610" s="21" t="str">
        <f>_xll.RssMarket(A1610,"出来高")</f>
        <v/>
      </c>
      <c r="W1610" s="21" t="str">
        <f>_xll.RssMarket(A1610,"売買代金")</f>
        <v/>
      </c>
      <c r="X1610" s="20" t="str">
        <f>_xll.RssMarket(A1610,"決算発表日")</f>
        <v/>
      </c>
      <c r="Y1610" s="26" t="str">
        <f>IF(C1610&gt;_xll.RssMarket(A1610,"年初来高値"),"○","×")</f>
        <v>×</v>
      </c>
      <c r="Z1610" s="27" t="str">
        <f>IF(C1610&lt;=_xll.RssMarket(A1610,"年初来安値"),"○","×")</f>
        <v>○</v>
      </c>
    </row>
    <row r="1611" spans="2:26" x14ac:dyDescent="0.55000000000000004">
      <c r="B1611" s="20" t="str">
        <f>_xll.RssMarket(A1611,"銘柄名称")</f>
        <v/>
      </c>
      <c r="C1611" s="21" t="str">
        <f>_xll.RssMarket(A1611,"現在値")</f>
        <v/>
      </c>
      <c r="D1611" s="20" t="str">
        <f>_xll.RssMarket(A1611,"現在値詳細時刻")</f>
        <v/>
      </c>
      <c r="E1611" s="22" t="str">
        <f>_xll.RssMarket(A1611,"前日比")</f>
        <v/>
      </c>
      <c r="F1611" s="23" t="e">
        <f>_xll.RssMarket(A1611,"前日比率")/100</f>
        <v>#VALUE!</v>
      </c>
      <c r="G1611" s="24" t="str">
        <f>IFERROR(VLOOKUP(A1611,取得元!$A$2:$F$501,2,FALSE),"-")</f>
        <v>-</v>
      </c>
      <c r="H1611" s="24" t="str">
        <f>IFERROR(VLOOKUP(A1611,取得元!$A$2:$F$501,3,FALSE),"-")</f>
        <v>-</v>
      </c>
      <c r="I1611" s="24" t="str">
        <f>IFERROR(VLOOKUP(A1611,取得元!$A$2:$F$501,4,FALSE),"-")</f>
        <v>-</v>
      </c>
      <c r="J1611" s="5" t="str">
        <f>IFERROR(VLOOKUP(A1611,取得元!$A$2:$F$501,5,FALSE),"-")</f>
        <v>-</v>
      </c>
      <c r="K1611" s="25" t="str">
        <f>IFERROR(VLOOKUP(A1611,取得元!$A$2:$F$501,6,FALSE)/100,"-")</f>
        <v>-</v>
      </c>
      <c r="L1611" s="21" t="str">
        <f>_xll.RssMarket(A1611,"始値")</f>
        <v/>
      </c>
      <c r="M1611" s="4" t="e">
        <f t="shared" si="135"/>
        <v>#VALUE!</v>
      </c>
      <c r="N1611" s="21" t="str">
        <f>_xll.RssMarket(A1611,"高値")</f>
        <v/>
      </c>
      <c r="O1611" s="4" t="e">
        <f t="shared" si="136"/>
        <v>#VALUE!</v>
      </c>
      <c r="P1611" s="21" t="str">
        <f>_xll.RssMarket(A1611,"安値")</f>
        <v/>
      </c>
      <c r="Q1611" s="4" t="e">
        <f t="shared" si="137"/>
        <v>#VALUE!</v>
      </c>
      <c r="R1611" s="21" t="str">
        <f>_xll.RssMarket(A1611,"後場始値")</f>
        <v/>
      </c>
      <c r="S1611" s="25" t="str">
        <f t="shared" si="138"/>
        <v>-</v>
      </c>
      <c r="T1611" s="7" t="str">
        <f>_xll.RssMarket(A1611,"出来高加重平均")</f>
        <v/>
      </c>
      <c r="U1611" s="4" t="e">
        <f t="shared" si="139"/>
        <v>#VALUE!</v>
      </c>
      <c r="V1611" s="21" t="str">
        <f>_xll.RssMarket(A1611,"出来高")</f>
        <v/>
      </c>
      <c r="W1611" s="21" t="str">
        <f>_xll.RssMarket(A1611,"売買代金")</f>
        <v/>
      </c>
      <c r="X1611" s="20" t="str">
        <f>_xll.RssMarket(A1611,"決算発表日")</f>
        <v/>
      </c>
      <c r="Y1611" s="26" t="str">
        <f>IF(C1611&gt;_xll.RssMarket(A1611,"年初来高値"),"○","×")</f>
        <v>×</v>
      </c>
      <c r="Z1611" s="27" t="str">
        <f>IF(C1611&lt;=_xll.RssMarket(A1611,"年初来安値"),"○","×")</f>
        <v>○</v>
      </c>
    </row>
    <row r="1612" spans="2:26" x14ac:dyDescent="0.55000000000000004">
      <c r="B1612" s="20" t="str">
        <f>_xll.RssMarket(A1612,"銘柄名称")</f>
        <v/>
      </c>
      <c r="C1612" s="21" t="str">
        <f>_xll.RssMarket(A1612,"現在値")</f>
        <v/>
      </c>
      <c r="D1612" s="20" t="str">
        <f>_xll.RssMarket(A1612,"現在値詳細時刻")</f>
        <v/>
      </c>
      <c r="E1612" s="22" t="str">
        <f>_xll.RssMarket(A1612,"前日比")</f>
        <v/>
      </c>
      <c r="F1612" s="23" t="e">
        <f>_xll.RssMarket(A1612,"前日比率")/100</f>
        <v>#VALUE!</v>
      </c>
      <c r="G1612" s="24" t="str">
        <f>IFERROR(VLOOKUP(A1612,取得元!$A$2:$F$501,2,FALSE),"-")</f>
        <v>-</v>
      </c>
      <c r="H1612" s="24" t="str">
        <f>IFERROR(VLOOKUP(A1612,取得元!$A$2:$F$501,3,FALSE),"-")</f>
        <v>-</v>
      </c>
      <c r="I1612" s="24" t="str">
        <f>IFERROR(VLOOKUP(A1612,取得元!$A$2:$F$501,4,FALSE),"-")</f>
        <v>-</v>
      </c>
      <c r="J1612" s="5" t="str">
        <f>IFERROR(VLOOKUP(A1612,取得元!$A$2:$F$501,5,FALSE),"-")</f>
        <v>-</v>
      </c>
      <c r="K1612" s="25" t="str">
        <f>IFERROR(VLOOKUP(A1612,取得元!$A$2:$F$501,6,FALSE)/100,"-")</f>
        <v>-</v>
      </c>
      <c r="L1612" s="21" t="str">
        <f>_xll.RssMarket(A1612,"始値")</f>
        <v/>
      </c>
      <c r="M1612" s="4" t="e">
        <f t="shared" si="135"/>
        <v>#VALUE!</v>
      </c>
      <c r="N1612" s="21" t="str">
        <f>_xll.RssMarket(A1612,"高値")</f>
        <v/>
      </c>
      <c r="O1612" s="4" t="e">
        <f t="shared" si="136"/>
        <v>#VALUE!</v>
      </c>
      <c r="P1612" s="21" t="str">
        <f>_xll.RssMarket(A1612,"安値")</f>
        <v/>
      </c>
      <c r="Q1612" s="4" t="e">
        <f t="shared" si="137"/>
        <v>#VALUE!</v>
      </c>
      <c r="R1612" s="21" t="str">
        <f>_xll.RssMarket(A1612,"後場始値")</f>
        <v/>
      </c>
      <c r="S1612" s="25" t="str">
        <f t="shared" si="138"/>
        <v>-</v>
      </c>
      <c r="T1612" s="7" t="str">
        <f>_xll.RssMarket(A1612,"出来高加重平均")</f>
        <v/>
      </c>
      <c r="U1612" s="4" t="e">
        <f t="shared" si="139"/>
        <v>#VALUE!</v>
      </c>
      <c r="V1612" s="21" t="str">
        <f>_xll.RssMarket(A1612,"出来高")</f>
        <v/>
      </c>
      <c r="W1612" s="21" t="str">
        <f>_xll.RssMarket(A1612,"売買代金")</f>
        <v/>
      </c>
      <c r="X1612" s="20" t="str">
        <f>_xll.RssMarket(A1612,"決算発表日")</f>
        <v/>
      </c>
      <c r="Y1612" s="26" t="str">
        <f>IF(C1612&gt;_xll.RssMarket(A1612,"年初来高値"),"○","×")</f>
        <v>×</v>
      </c>
      <c r="Z1612" s="27" t="str">
        <f>IF(C1612&lt;=_xll.RssMarket(A1612,"年初来安値"),"○","×")</f>
        <v>○</v>
      </c>
    </row>
    <row r="1613" spans="2:26" x14ac:dyDescent="0.55000000000000004">
      <c r="B1613" s="20" t="str">
        <f>_xll.RssMarket(A1613,"銘柄名称")</f>
        <v/>
      </c>
      <c r="C1613" s="21" t="str">
        <f>_xll.RssMarket(A1613,"現在値")</f>
        <v/>
      </c>
      <c r="D1613" s="20" t="str">
        <f>_xll.RssMarket(A1613,"現在値詳細時刻")</f>
        <v/>
      </c>
      <c r="E1613" s="22" t="str">
        <f>_xll.RssMarket(A1613,"前日比")</f>
        <v/>
      </c>
      <c r="F1613" s="23" t="e">
        <f>_xll.RssMarket(A1613,"前日比率")/100</f>
        <v>#VALUE!</v>
      </c>
      <c r="G1613" s="24" t="str">
        <f>IFERROR(VLOOKUP(A1613,取得元!$A$2:$F$501,2,FALSE),"-")</f>
        <v>-</v>
      </c>
      <c r="H1613" s="24" t="str">
        <f>IFERROR(VLOOKUP(A1613,取得元!$A$2:$F$501,3,FALSE),"-")</f>
        <v>-</v>
      </c>
      <c r="I1613" s="24" t="str">
        <f>IFERROR(VLOOKUP(A1613,取得元!$A$2:$F$501,4,FALSE),"-")</f>
        <v>-</v>
      </c>
      <c r="J1613" s="5" t="str">
        <f>IFERROR(VLOOKUP(A1613,取得元!$A$2:$F$501,5,FALSE),"-")</f>
        <v>-</v>
      </c>
      <c r="K1613" s="25" t="str">
        <f>IFERROR(VLOOKUP(A1613,取得元!$A$2:$F$501,6,FALSE)/100,"-")</f>
        <v>-</v>
      </c>
      <c r="L1613" s="21" t="str">
        <f>_xll.RssMarket(A1613,"始値")</f>
        <v/>
      </c>
      <c r="M1613" s="4" t="e">
        <f t="shared" si="135"/>
        <v>#VALUE!</v>
      </c>
      <c r="N1613" s="21" t="str">
        <f>_xll.RssMarket(A1613,"高値")</f>
        <v/>
      </c>
      <c r="O1613" s="4" t="e">
        <f t="shared" si="136"/>
        <v>#VALUE!</v>
      </c>
      <c r="P1613" s="21" t="str">
        <f>_xll.RssMarket(A1613,"安値")</f>
        <v/>
      </c>
      <c r="Q1613" s="4" t="e">
        <f t="shared" si="137"/>
        <v>#VALUE!</v>
      </c>
      <c r="R1613" s="21" t="str">
        <f>_xll.RssMarket(A1613,"後場始値")</f>
        <v/>
      </c>
      <c r="S1613" s="25" t="str">
        <f t="shared" si="138"/>
        <v>-</v>
      </c>
      <c r="T1613" s="7" t="str">
        <f>_xll.RssMarket(A1613,"出来高加重平均")</f>
        <v/>
      </c>
      <c r="U1613" s="4" t="e">
        <f t="shared" si="139"/>
        <v>#VALUE!</v>
      </c>
      <c r="V1613" s="21" t="str">
        <f>_xll.RssMarket(A1613,"出来高")</f>
        <v/>
      </c>
      <c r="W1613" s="21" t="str">
        <f>_xll.RssMarket(A1613,"売買代金")</f>
        <v/>
      </c>
      <c r="X1613" s="20" t="str">
        <f>_xll.RssMarket(A1613,"決算発表日")</f>
        <v/>
      </c>
      <c r="Y1613" s="26" t="str">
        <f>IF(C1613&gt;_xll.RssMarket(A1613,"年初来高値"),"○","×")</f>
        <v>×</v>
      </c>
      <c r="Z1613" s="27" t="str">
        <f>IF(C1613&lt;=_xll.RssMarket(A1613,"年初来安値"),"○","×")</f>
        <v>○</v>
      </c>
    </row>
    <row r="1614" spans="2:26" x14ac:dyDescent="0.55000000000000004">
      <c r="B1614" s="20" t="str">
        <f>_xll.RssMarket(A1614,"銘柄名称")</f>
        <v/>
      </c>
      <c r="C1614" s="21" t="str">
        <f>_xll.RssMarket(A1614,"現在値")</f>
        <v/>
      </c>
      <c r="D1614" s="20" t="str">
        <f>_xll.RssMarket(A1614,"現在値詳細時刻")</f>
        <v/>
      </c>
      <c r="E1614" s="22" t="str">
        <f>_xll.RssMarket(A1614,"前日比")</f>
        <v/>
      </c>
      <c r="F1614" s="23" t="e">
        <f>_xll.RssMarket(A1614,"前日比率")/100</f>
        <v>#VALUE!</v>
      </c>
      <c r="G1614" s="24" t="str">
        <f>IFERROR(VLOOKUP(A1614,取得元!$A$2:$F$501,2,FALSE),"-")</f>
        <v>-</v>
      </c>
      <c r="H1614" s="24" t="str">
        <f>IFERROR(VLOOKUP(A1614,取得元!$A$2:$F$501,3,FALSE),"-")</f>
        <v>-</v>
      </c>
      <c r="I1614" s="24" t="str">
        <f>IFERROR(VLOOKUP(A1614,取得元!$A$2:$F$501,4,FALSE),"-")</f>
        <v>-</v>
      </c>
      <c r="J1614" s="5" t="str">
        <f>IFERROR(VLOOKUP(A1614,取得元!$A$2:$F$501,5,FALSE),"-")</f>
        <v>-</v>
      </c>
      <c r="K1614" s="25" t="str">
        <f>IFERROR(VLOOKUP(A1614,取得元!$A$2:$F$501,6,FALSE)/100,"-")</f>
        <v>-</v>
      </c>
      <c r="L1614" s="21" t="str">
        <f>_xll.RssMarket(A1614,"始値")</f>
        <v/>
      </c>
      <c r="M1614" s="4" t="e">
        <f t="shared" si="135"/>
        <v>#VALUE!</v>
      </c>
      <c r="N1614" s="21" t="str">
        <f>_xll.RssMarket(A1614,"高値")</f>
        <v/>
      </c>
      <c r="O1614" s="4" t="e">
        <f t="shared" si="136"/>
        <v>#VALUE!</v>
      </c>
      <c r="P1614" s="21" t="str">
        <f>_xll.RssMarket(A1614,"安値")</f>
        <v/>
      </c>
      <c r="Q1614" s="4" t="e">
        <f t="shared" si="137"/>
        <v>#VALUE!</v>
      </c>
      <c r="R1614" s="21" t="str">
        <f>_xll.RssMarket(A1614,"後場始値")</f>
        <v/>
      </c>
      <c r="S1614" s="25" t="str">
        <f t="shared" si="138"/>
        <v>-</v>
      </c>
      <c r="T1614" s="7" t="str">
        <f>_xll.RssMarket(A1614,"出来高加重平均")</f>
        <v/>
      </c>
      <c r="U1614" s="4" t="e">
        <f t="shared" si="139"/>
        <v>#VALUE!</v>
      </c>
      <c r="V1614" s="21" t="str">
        <f>_xll.RssMarket(A1614,"出来高")</f>
        <v/>
      </c>
      <c r="W1614" s="21" t="str">
        <f>_xll.RssMarket(A1614,"売買代金")</f>
        <v/>
      </c>
      <c r="X1614" s="20" t="str">
        <f>_xll.RssMarket(A1614,"決算発表日")</f>
        <v/>
      </c>
      <c r="Y1614" s="26" t="str">
        <f>IF(C1614&gt;_xll.RssMarket(A1614,"年初来高値"),"○","×")</f>
        <v>×</v>
      </c>
      <c r="Z1614" s="27" t="str">
        <f>IF(C1614&lt;=_xll.RssMarket(A1614,"年初来安値"),"○","×")</f>
        <v>○</v>
      </c>
    </row>
    <row r="1615" spans="2:26" x14ac:dyDescent="0.55000000000000004">
      <c r="B1615" s="20" t="str">
        <f>_xll.RssMarket(A1615,"銘柄名称")</f>
        <v/>
      </c>
      <c r="C1615" s="21" t="str">
        <f>_xll.RssMarket(A1615,"現在値")</f>
        <v/>
      </c>
      <c r="D1615" s="20" t="str">
        <f>_xll.RssMarket(A1615,"現在値詳細時刻")</f>
        <v/>
      </c>
      <c r="E1615" s="22" t="str">
        <f>_xll.RssMarket(A1615,"前日比")</f>
        <v/>
      </c>
      <c r="F1615" s="23" t="e">
        <f>_xll.RssMarket(A1615,"前日比率")/100</f>
        <v>#VALUE!</v>
      </c>
      <c r="G1615" s="24" t="str">
        <f>IFERROR(VLOOKUP(A1615,取得元!$A$2:$F$501,2,FALSE),"-")</f>
        <v>-</v>
      </c>
      <c r="H1615" s="24" t="str">
        <f>IFERROR(VLOOKUP(A1615,取得元!$A$2:$F$501,3,FALSE),"-")</f>
        <v>-</v>
      </c>
      <c r="I1615" s="24" t="str">
        <f>IFERROR(VLOOKUP(A1615,取得元!$A$2:$F$501,4,FALSE),"-")</f>
        <v>-</v>
      </c>
      <c r="J1615" s="5" t="str">
        <f>IFERROR(VLOOKUP(A1615,取得元!$A$2:$F$501,5,FALSE),"-")</f>
        <v>-</v>
      </c>
      <c r="K1615" s="25" t="str">
        <f>IFERROR(VLOOKUP(A1615,取得元!$A$2:$F$501,6,FALSE)/100,"-")</f>
        <v>-</v>
      </c>
      <c r="L1615" s="21" t="str">
        <f>_xll.RssMarket(A1615,"始値")</f>
        <v/>
      </c>
      <c r="M1615" s="4" t="e">
        <f t="shared" si="135"/>
        <v>#VALUE!</v>
      </c>
      <c r="N1615" s="21" t="str">
        <f>_xll.RssMarket(A1615,"高値")</f>
        <v/>
      </c>
      <c r="O1615" s="4" t="e">
        <f t="shared" si="136"/>
        <v>#VALUE!</v>
      </c>
      <c r="P1615" s="21" t="str">
        <f>_xll.RssMarket(A1615,"安値")</f>
        <v/>
      </c>
      <c r="Q1615" s="4" t="e">
        <f t="shared" si="137"/>
        <v>#VALUE!</v>
      </c>
      <c r="R1615" s="21" t="str">
        <f>_xll.RssMarket(A1615,"後場始値")</f>
        <v/>
      </c>
      <c r="S1615" s="25" t="str">
        <f t="shared" si="138"/>
        <v>-</v>
      </c>
      <c r="T1615" s="7" t="str">
        <f>_xll.RssMarket(A1615,"出来高加重平均")</f>
        <v/>
      </c>
      <c r="U1615" s="4" t="e">
        <f t="shared" si="139"/>
        <v>#VALUE!</v>
      </c>
      <c r="V1615" s="21" t="str">
        <f>_xll.RssMarket(A1615,"出来高")</f>
        <v/>
      </c>
      <c r="W1615" s="21" t="str">
        <f>_xll.RssMarket(A1615,"売買代金")</f>
        <v/>
      </c>
      <c r="X1615" s="20" t="str">
        <f>_xll.RssMarket(A1615,"決算発表日")</f>
        <v/>
      </c>
      <c r="Y1615" s="26" t="str">
        <f>IF(C1615&gt;_xll.RssMarket(A1615,"年初来高値"),"○","×")</f>
        <v>×</v>
      </c>
      <c r="Z1615" s="27" t="str">
        <f>IF(C1615&lt;=_xll.RssMarket(A1615,"年初来安値"),"○","×")</f>
        <v>○</v>
      </c>
    </row>
    <row r="1616" spans="2:26" x14ac:dyDescent="0.55000000000000004">
      <c r="B1616" s="20" t="str">
        <f>_xll.RssMarket(A1616,"銘柄名称")</f>
        <v/>
      </c>
      <c r="C1616" s="21" t="str">
        <f>_xll.RssMarket(A1616,"現在値")</f>
        <v/>
      </c>
      <c r="D1616" s="20" t="str">
        <f>_xll.RssMarket(A1616,"現在値詳細時刻")</f>
        <v/>
      </c>
      <c r="E1616" s="22" t="str">
        <f>_xll.RssMarket(A1616,"前日比")</f>
        <v/>
      </c>
      <c r="F1616" s="23" t="e">
        <f>_xll.RssMarket(A1616,"前日比率")/100</f>
        <v>#VALUE!</v>
      </c>
      <c r="G1616" s="24" t="str">
        <f>IFERROR(VLOOKUP(A1616,取得元!$A$2:$F$501,2,FALSE),"-")</f>
        <v>-</v>
      </c>
      <c r="H1616" s="24" t="str">
        <f>IFERROR(VLOOKUP(A1616,取得元!$A$2:$F$501,3,FALSE),"-")</f>
        <v>-</v>
      </c>
      <c r="I1616" s="24" t="str">
        <f>IFERROR(VLOOKUP(A1616,取得元!$A$2:$F$501,4,FALSE),"-")</f>
        <v>-</v>
      </c>
      <c r="J1616" s="5" t="str">
        <f>IFERROR(VLOOKUP(A1616,取得元!$A$2:$F$501,5,FALSE),"-")</f>
        <v>-</v>
      </c>
      <c r="K1616" s="25" t="str">
        <f>IFERROR(VLOOKUP(A1616,取得元!$A$2:$F$501,6,FALSE)/100,"-")</f>
        <v>-</v>
      </c>
      <c r="L1616" s="21" t="str">
        <f>_xll.RssMarket(A1616,"始値")</f>
        <v/>
      </c>
      <c r="M1616" s="4" t="e">
        <f t="shared" si="135"/>
        <v>#VALUE!</v>
      </c>
      <c r="N1616" s="21" t="str">
        <f>_xll.RssMarket(A1616,"高値")</f>
        <v/>
      </c>
      <c r="O1616" s="4" t="e">
        <f t="shared" si="136"/>
        <v>#VALUE!</v>
      </c>
      <c r="P1616" s="21" t="str">
        <f>_xll.RssMarket(A1616,"安値")</f>
        <v/>
      </c>
      <c r="Q1616" s="4" t="e">
        <f t="shared" si="137"/>
        <v>#VALUE!</v>
      </c>
      <c r="R1616" s="21" t="str">
        <f>_xll.RssMarket(A1616,"後場始値")</f>
        <v/>
      </c>
      <c r="S1616" s="25" t="str">
        <f t="shared" si="138"/>
        <v>-</v>
      </c>
      <c r="T1616" s="7" t="str">
        <f>_xll.RssMarket(A1616,"出来高加重平均")</f>
        <v/>
      </c>
      <c r="U1616" s="4" t="e">
        <f t="shared" si="139"/>
        <v>#VALUE!</v>
      </c>
      <c r="V1616" s="21" t="str">
        <f>_xll.RssMarket(A1616,"出来高")</f>
        <v/>
      </c>
      <c r="W1616" s="21" t="str">
        <f>_xll.RssMarket(A1616,"売買代金")</f>
        <v/>
      </c>
      <c r="X1616" s="20" t="str">
        <f>_xll.RssMarket(A1616,"決算発表日")</f>
        <v/>
      </c>
      <c r="Y1616" s="26" t="str">
        <f>IF(C1616&gt;_xll.RssMarket(A1616,"年初来高値"),"○","×")</f>
        <v>×</v>
      </c>
      <c r="Z1616" s="27" t="str">
        <f>IF(C1616&lt;=_xll.RssMarket(A1616,"年初来安値"),"○","×")</f>
        <v>○</v>
      </c>
    </row>
    <row r="1617" spans="2:26" x14ac:dyDescent="0.55000000000000004">
      <c r="B1617" s="20" t="str">
        <f>_xll.RssMarket(A1617,"銘柄名称")</f>
        <v/>
      </c>
      <c r="C1617" s="21" t="str">
        <f>_xll.RssMarket(A1617,"現在値")</f>
        <v/>
      </c>
      <c r="D1617" s="20" t="str">
        <f>_xll.RssMarket(A1617,"現在値詳細時刻")</f>
        <v/>
      </c>
      <c r="E1617" s="22" t="str">
        <f>_xll.RssMarket(A1617,"前日比")</f>
        <v/>
      </c>
      <c r="F1617" s="23" t="e">
        <f>_xll.RssMarket(A1617,"前日比率")/100</f>
        <v>#VALUE!</v>
      </c>
      <c r="G1617" s="24" t="str">
        <f>IFERROR(VLOOKUP(A1617,取得元!$A$2:$F$501,2,FALSE),"-")</f>
        <v>-</v>
      </c>
      <c r="H1617" s="24" t="str">
        <f>IFERROR(VLOOKUP(A1617,取得元!$A$2:$F$501,3,FALSE),"-")</f>
        <v>-</v>
      </c>
      <c r="I1617" s="24" t="str">
        <f>IFERROR(VLOOKUP(A1617,取得元!$A$2:$F$501,4,FALSE),"-")</f>
        <v>-</v>
      </c>
      <c r="J1617" s="5" t="str">
        <f>IFERROR(VLOOKUP(A1617,取得元!$A$2:$F$501,5,FALSE),"-")</f>
        <v>-</v>
      </c>
      <c r="K1617" s="25" t="str">
        <f>IFERROR(VLOOKUP(A1617,取得元!$A$2:$F$501,6,FALSE)/100,"-")</f>
        <v>-</v>
      </c>
      <c r="L1617" s="21" t="str">
        <f>_xll.RssMarket(A1617,"始値")</f>
        <v/>
      </c>
      <c r="M1617" s="4" t="e">
        <f t="shared" si="135"/>
        <v>#VALUE!</v>
      </c>
      <c r="N1617" s="21" t="str">
        <f>_xll.RssMarket(A1617,"高値")</f>
        <v/>
      </c>
      <c r="O1617" s="4" t="e">
        <f t="shared" si="136"/>
        <v>#VALUE!</v>
      </c>
      <c r="P1617" s="21" t="str">
        <f>_xll.RssMarket(A1617,"安値")</f>
        <v/>
      </c>
      <c r="Q1617" s="4" t="e">
        <f t="shared" si="137"/>
        <v>#VALUE!</v>
      </c>
      <c r="R1617" s="21" t="str">
        <f>_xll.RssMarket(A1617,"後場始値")</f>
        <v/>
      </c>
      <c r="S1617" s="25" t="str">
        <f t="shared" si="138"/>
        <v>-</v>
      </c>
      <c r="T1617" s="7" t="str">
        <f>_xll.RssMarket(A1617,"出来高加重平均")</f>
        <v/>
      </c>
      <c r="U1617" s="4" t="e">
        <f t="shared" si="139"/>
        <v>#VALUE!</v>
      </c>
      <c r="V1617" s="21" t="str">
        <f>_xll.RssMarket(A1617,"出来高")</f>
        <v/>
      </c>
      <c r="W1617" s="21" t="str">
        <f>_xll.RssMarket(A1617,"売買代金")</f>
        <v/>
      </c>
      <c r="X1617" s="20" t="str">
        <f>_xll.RssMarket(A1617,"決算発表日")</f>
        <v/>
      </c>
      <c r="Y1617" s="26" t="str">
        <f>IF(C1617&gt;_xll.RssMarket(A1617,"年初来高値"),"○","×")</f>
        <v>×</v>
      </c>
      <c r="Z1617" s="27" t="str">
        <f>IF(C1617&lt;=_xll.RssMarket(A1617,"年初来安値"),"○","×")</f>
        <v>○</v>
      </c>
    </row>
    <row r="1618" spans="2:26" x14ac:dyDescent="0.55000000000000004">
      <c r="B1618" s="20" t="str">
        <f>_xll.RssMarket(A1618,"銘柄名称")</f>
        <v/>
      </c>
      <c r="C1618" s="21" t="str">
        <f>_xll.RssMarket(A1618,"現在値")</f>
        <v/>
      </c>
      <c r="D1618" s="20" t="str">
        <f>_xll.RssMarket(A1618,"現在値詳細時刻")</f>
        <v/>
      </c>
      <c r="E1618" s="22" t="str">
        <f>_xll.RssMarket(A1618,"前日比")</f>
        <v/>
      </c>
      <c r="F1618" s="23" t="e">
        <f>_xll.RssMarket(A1618,"前日比率")/100</f>
        <v>#VALUE!</v>
      </c>
      <c r="G1618" s="24" t="str">
        <f>IFERROR(VLOOKUP(A1618,取得元!$A$2:$F$501,2,FALSE),"-")</f>
        <v>-</v>
      </c>
      <c r="H1618" s="24" t="str">
        <f>IFERROR(VLOOKUP(A1618,取得元!$A$2:$F$501,3,FALSE),"-")</f>
        <v>-</v>
      </c>
      <c r="I1618" s="24" t="str">
        <f>IFERROR(VLOOKUP(A1618,取得元!$A$2:$F$501,4,FALSE),"-")</f>
        <v>-</v>
      </c>
      <c r="J1618" s="5" t="str">
        <f>IFERROR(VLOOKUP(A1618,取得元!$A$2:$F$501,5,FALSE),"-")</f>
        <v>-</v>
      </c>
      <c r="K1618" s="25" t="str">
        <f>IFERROR(VLOOKUP(A1618,取得元!$A$2:$F$501,6,FALSE)/100,"-")</f>
        <v>-</v>
      </c>
      <c r="L1618" s="21" t="str">
        <f>_xll.RssMarket(A1618,"始値")</f>
        <v/>
      </c>
      <c r="M1618" s="4" t="e">
        <f t="shared" si="135"/>
        <v>#VALUE!</v>
      </c>
      <c r="N1618" s="21" t="str">
        <f>_xll.RssMarket(A1618,"高値")</f>
        <v/>
      </c>
      <c r="O1618" s="4" t="e">
        <f t="shared" si="136"/>
        <v>#VALUE!</v>
      </c>
      <c r="P1618" s="21" t="str">
        <f>_xll.RssMarket(A1618,"安値")</f>
        <v/>
      </c>
      <c r="Q1618" s="4" t="e">
        <f t="shared" si="137"/>
        <v>#VALUE!</v>
      </c>
      <c r="R1618" s="21" t="str">
        <f>_xll.RssMarket(A1618,"後場始値")</f>
        <v/>
      </c>
      <c r="S1618" s="25" t="str">
        <f t="shared" si="138"/>
        <v>-</v>
      </c>
      <c r="T1618" s="7" t="str">
        <f>_xll.RssMarket(A1618,"出来高加重平均")</f>
        <v/>
      </c>
      <c r="U1618" s="4" t="e">
        <f t="shared" si="139"/>
        <v>#VALUE!</v>
      </c>
      <c r="V1618" s="21" t="str">
        <f>_xll.RssMarket(A1618,"出来高")</f>
        <v/>
      </c>
      <c r="W1618" s="21" t="str">
        <f>_xll.RssMarket(A1618,"売買代金")</f>
        <v/>
      </c>
      <c r="X1618" s="20" t="str">
        <f>_xll.RssMarket(A1618,"決算発表日")</f>
        <v/>
      </c>
      <c r="Y1618" s="26" t="str">
        <f>IF(C1618&gt;_xll.RssMarket(A1618,"年初来高値"),"○","×")</f>
        <v>×</v>
      </c>
      <c r="Z1618" s="27" t="str">
        <f>IF(C1618&lt;=_xll.RssMarket(A1618,"年初来安値"),"○","×")</f>
        <v>○</v>
      </c>
    </row>
    <row r="1619" spans="2:26" x14ac:dyDescent="0.55000000000000004">
      <c r="B1619" s="20" t="str">
        <f>_xll.RssMarket(A1619,"銘柄名称")</f>
        <v/>
      </c>
      <c r="C1619" s="21" t="str">
        <f>_xll.RssMarket(A1619,"現在値")</f>
        <v/>
      </c>
      <c r="D1619" s="20" t="str">
        <f>_xll.RssMarket(A1619,"現在値詳細時刻")</f>
        <v/>
      </c>
      <c r="E1619" s="22" t="str">
        <f>_xll.RssMarket(A1619,"前日比")</f>
        <v/>
      </c>
      <c r="F1619" s="23" t="e">
        <f>_xll.RssMarket(A1619,"前日比率")/100</f>
        <v>#VALUE!</v>
      </c>
      <c r="G1619" s="24" t="str">
        <f>IFERROR(VLOOKUP(A1619,取得元!$A$2:$F$501,2,FALSE),"-")</f>
        <v>-</v>
      </c>
      <c r="H1619" s="24" t="str">
        <f>IFERROR(VLOOKUP(A1619,取得元!$A$2:$F$501,3,FALSE),"-")</f>
        <v>-</v>
      </c>
      <c r="I1619" s="24" t="str">
        <f>IFERROR(VLOOKUP(A1619,取得元!$A$2:$F$501,4,FALSE),"-")</f>
        <v>-</v>
      </c>
      <c r="J1619" s="5" t="str">
        <f>IFERROR(VLOOKUP(A1619,取得元!$A$2:$F$501,5,FALSE),"-")</f>
        <v>-</v>
      </c>
      <c r="K1619" s="25" t="str">
        <f>IFERROR(VLOOKUP(A1619,取得元!$A$2:$F$501,6,FALSE)/100,"-")</f>
        <v>-</v>
      </c>
      <c r="L1619" s="21" t="str">
        <f>_xll.RssMarket(A1619,"始値")</f>
        <v/>
      </c>
      <c r="M1619" s="4" t="e">
        <f t="shared" si="135"/>
        <v>#VALUE!</v>
      </c>
      <c r="N1619" s="21" t="str">
        <f>_xll.RssMarket(A1619,"高値")</f>
        <v/>
      </c>
      <c r="O1619" s="4" t="e">
        <f t="shared" si="136"/>
        <v>#VALUE!</v>
      </c>
      <c r="P1619" s="21" t="str">
        <f>_xll.RssMarket(A1619,"安値")</f>
        <v/>
      </c>
      <c r="Q1619" s="4" t="e">
        <f t="shared" si="137"/>
        <v>#VALUE!</v>
      </c>
      <c r="R1619" s="21" t="str">
        <f>_xll.RssMarket(A1619,"後場始値")</f>
        <v/>
      </c>
      <c r="S1619" s="25" t="str">
        <f t="shared" si="138"/>
        <v>-</v>
      </c>
      <c r="T1619" s="7" t="str">
        <f>_xll.RssMarket(A1619,"出来高加重平均")</f>
        <v/>
      </c>
      <c r="U1619" s="4" t="e">
        <f t="shared" si="139"/>
        <v>#VALUE!</v>
      </c>
      <c r="V1619" s="21" t="str">
        <f>_xll.RssMarket(A1619,"出来高")</f>
        <v/>
      </c>
      <c r="W1619" s="21" t="str">
        <f>_xll.RssMarket(A1619,"売買代金")</f>
        <v/>
      </c>
      <c r="X1619" s="20" t="str">
        <f>_xll.RssMarket(A1619,"決算発表日")</f>
        <v/>
      </c>
      <c r="Y1619" s="26" t="str">
        <f>IF(C1619&gt;_xll.RssMarket(A1619,"年初来高値"),"○","×")</f>
        <v>×</v>
      </c>
      <c r="Z1619" s="27" t="str">
        <f>IF(C1619&lt;=_xll.RssMarket(A1619,"年初来安値"),"○","×")</f>
        <v>○</v>
      </c>
    </row>
    <row r="1620" spans="2:26" x14ac:dyDescent="0.55000000000000004">
      <c r="B1620" s="20" t="str">
        <f>_xll.RssMarket(A1620,"銘柄名称")</f>
        <v/>
      </c>
      <c r="C1620" s="21" t="str">
        <f>_xll.RssMarket(A1620,"現在値")</f>
        <v/>
      </c>
      <c r="D1620" s="20" t="str">
        <f>_xll.RssMarket(A1620,"現在値詳細時刻")</f>
        <v/>
      </c>
      <c r="E1620" s="22" t="str">
        <f>_xll.RssMarket(A1620,"前日比")</f>
        <v/>
      </c>
      <c r="F1620" s="23" t="e">
        <f>_xll.RssMarket(A1620,"前日比率")/100</f>
        <v>#VALUE!</v>
      </c>
      <c r="G1620" s="24" t="str">
        <f>IFERROR(VLOOKUP(A1620,取得元!$A$2:$F$501,2,FALSE),"-")</f>
        <v>-</v>
      </c>
      <c r="H1620" s="24" t="str">
        <f>IFERROR(VLOOKUP(A1620,取得元!$A$2:$F$501,3,FALSE),"-")</f>
        <v>-</v>
      </c>
      <c r="I1620" s="24" t="str">
        <f>IFERROR(VLOOKUP(A1620,取得元!$A$2:$F$501,4,FALSE),"-")</f>
        <v>-</v>
      </c>
      <c r="J1620" s="5" t="str">
        <f>IFERROR(VLOOKUP(A1620,取得元!$A$2:$F$501,5,FALSE),"-")</f>
        <v>-</v>
      </c>
      <c r="K1620" s="25" t="str">
        <f>IFERROR(VLOOKUP(A1620,取得元!$A$2:$F$501,6,FALSE)/100,"-")</f>
        <v>-</v>
      </c>
      <c r="L1620" s="21" t="str">
        <f>_xll.RssMarket(A1620,"始値")</f>
        <v/>
      </c>
      <c r="M1620" s="4" t="e">
        <f t="shared" si="135"/>
        <v>#VALUE!</v>
      </c>
      <c r="N1620" s="21" t="str">
        <f>_xll.RssMarket(A1620,"高値")</f>
        <v/>
      </c>
      <c r="O1620" s="4" t="e">
        <f t="shared" si="136"/>
        <v>#VALUE!</v>
      </c>
      <c r="P1620" s="21" t="str">
        <f>_xll.RssMarket(A1620,"安値")</f>
        <v/>
      </c>
      <c r="Q1620" s="4" t="e">
        <f t="shared" si="137"/>
        <v>#VALUE!</v>
      </c>
      <c r="R1620" s="21" t="str">
        <f>_xll.RssMarket(A1620,"後場始値")</f>
        <v/>
      </c>
      <c r="S1620" s="25" t="str">
        <f t="shared" si="138"/>
        <v>-</v>
      </c>
      <c r="T1620" s="7" t="str">
        <f>_xll.RssMarket(A1620,"出来高加重平均")</f>
        <v/>
      </c>
      <c r="U1620" s="4" t="e">
        <f t="shared" si="139"/>
        <v>#VALUE!</v>
      </c>
      <c r="V1620" s="21" t="str">
        <f>_xll.RssMarket(A1620,"出来高")</f>
        <v/>
      </c>
      <c r="W1620" s="21" t="str">
        <f>_xll.RssMarket(A1620,"売買代金")</f>
        <v/>
      </c>
      <c r="X1620" s="20" t="str">
        <f>_xll.RssMarket(A1620,"決算発表日")</f>
        <v/>
      </c>
      <c r="Y1620" s="26" t="str">
        <f>IF(C1620&gt;_xll.RssMarket(A1620,"年初来高値"),"○","×")</f>
        <v>×</v>
      </c>
      <c r="Z1620" s="27" t="str">
        <f>IF(C1620&lt;=_xll.RssMarket(A1620,"年初来安値"),"○","×")</f>
        <v>○</v>
      </c>
    </row>
    <row r="1621" spans="2:26" x14ac:dyDescent="0.55000000000000004">
      <c r="B1621" s="20" t="str">
        <f>_xll.RssMarket(A1621,"銘柄名称")</f>
        <v/>
      </c>
      <c r="C1621" s="21" t="str">
        <f>_xll.RssMarket(A1621,"現在値")</f>
        <v/>
      </c>
      <c r="D1621" s="20" t="str">
        <f>_xll.RssMarket(A1621,"現在値詳細時刻")</f>
        <v/>
      </c>
      <c r="E1621" s="22" t="str">
        <f>_xll.RssMarket(A1621,"前日比")</f>
        <v/>
      </c>
      <c r="F1621" s="23" t="e">
        <f>_xll.RssMarket(A1621,"前日比率")/100</f>
        <v>#VALUE!</v>
      </c>
      <c r="G1621" s="24" t="str">
        <f>IFERROR(VLOOKUP(A1621,取得元!$A$2:$F$501,2,FALSE),"-")</f>
        <v>-</v>
      </c>
      <c r="H1621" s="24" t="str">
        <f>IFERROR(VLOOKUP(A1621,取得元!$A$2:$F$501,3,FALSE),"-")</f>
        <v>-</v>
      </c>
      <c r="I1621" s="24" t="str">
        <f>IFERROR(VLOOKUP(A1621,取得元!$A$2:$F$501,4,FALSE),"-")</f>
        <v>-</v>
      </c>
      <c r="J1621" s="5" t="str">
        <f>IFERROR(VLOOKUP(A1621,取得元!$A$2:$F$501,5,FALSE),"-")</f>
        <v>-</v>
      </c>
      <c r="K1621" s="25" t="str">
        <f>IFERROR(VLOOKUP(A1621,取得元!$A$2:$F$501,6,FALSE)/100,"-")</f>
        <v>-</v>
      </c>
      <c r="L1621" s="21" t="str">
        <f>_xll.RssMarket(A1621,"始値")</f>
        <v/>
      </c>
      <c r="M1621" s="4" t="e">
        <f t="shared" si="135"/>
        <v>#VALUE!</v>
      </c>
      <c r="N1621" s="21" t="str">
        <f>_xll.RssMarket(A1621,"高値")</f>
        <v/>
      </c>
      <c r="O1621" s="4" t="e">
        <f t="shared" si="136"/>
        <v>#VALUE!</v>
      </c>
      <c r="P1621" s="21" t="str">
        <f>_xll.RssMarket(A1621,"安値")</f>
        <v/>
      </c>
      <c r="Q1621" s="4" t="e">
        <f t="shared" si="137"/>
        <v>#VALUE!</v>
      </c>
      <c r="R1621" s="21" t="str">
        <f>_xll.RssMarket(A1621,"後場始値")</f>
        <v/>
      </c>
      <c r="S1621" s="25" t="str">
        <f t="shared" si="138"/>
        <v>-</v>
      </c>
      <c r="T1621" s="7" t="str">
        <f>_xll.RssMarket(A1621,"出来高加重平均")</f>
        <v/>
      </c>
      <c r="U1621" s="4" t="e">
        <f t="shared" si="139"/>
        <v>#VALUE!</v>
      </c>
      <c r="V1621" s="21" t="str">
        <f>_xll.RssMarket(A1621,"出来高")</f>
        <v/>
      </c>
      <c r="W1621" s="21" t="str">
        <f>_xll.RssMarket(A1621,"売買代金")</f>
        <v/>
      </c>
      <c r="X1621" s="20" t="str">
        <f>_xll.RssMarket(A1621,"決算発表日")</f>
        <v/>
      </c>
      <c r="Y1621" s="26" t="str">
        <f>IF(C1621&gt;_xll.RssMarket(A1621,"年初来高値"),"○","×")</f>
        <v>×</v>
      </c>
      <c r="Z1621" s="27" t="str">
        <f>IF(C1621&lt;=_xll.RssMarket(A1621,"年初来安値"),"○","×")</f>
        <v>○</v>
      </c>
    </row>
    <row r="1622" spans="2:26" x14ac:dyDescent="0.55000000000000004">
      <c r="B1622" s="20" t="str">
        <f>_xll.RssMarket(A1622,"銘柄名称")</f>
        <v/>
      </c>
      <c r="C1622" s="21" t="str">
        <f>_xll.RssMarket(A1622,"現在値")</f>
        <v/>
      </c>
      <c r="D1622" s="20" t="str">
        <f>_xll.RssMarket(A1622,"現在値詳細時刻")</f>
        <v/>
      </c>
      <c r="E1622" s="22" t="str">
        <f>_xll.RssMarket(A1622,"前日比")</f>
        <v/>
      </c>
      <c r="F1622" s="23" t="e">
        <f>_xll.RssMarket(A1622,"前日比率")/100</f>
        <v>#VALUE!</v>
      </c>
      <c r="G1622" s="24" t="str">
        <f>IFERROR(VLOOKUP(A1622,取得元!$A$2:$F$501,2,FALSE),"-")</f>
        <v>-</v>
      </c>
      <c r="H1622" s="24" t="str">
        <f>IFERROR(VLOOKUP(A1622,取得元!$A$2:$F$501,3,FALSE),"-")</f>
        <v>-</v>
      </c>
      <c r="I1622" s="24" t="str">
        <f>IFERROR(VLOOKUP(A1622,取得元!$A$2:$F$501,4,FALSE),"-")</f>
        <v>-</v>
      </c>
      <c r="J1622" s="5" t="str">
        <f>IFERROR(VLOOKUP(A1622,取得元!$A$2:$F$501,5,FALSE),"-")</f>
        <v>-</v>
      </c>
      <c r="K1622" s="25" t="str">
        <f>IFERROR(VLOOKUP(A1622,取得元!$A$2:$F$501,6,FALSE)/100,"-")</f>
        <v>-</v>
      </c>
      <c r="L1622" s="21" t="str">
        <f>_xll.RssMarket(A1622,"始値")</f>
        <v/>
      </c>
      <c r="M1622" s="4" t="e">
        <f t="shared" ref="M1622:M1685" si="140">C1622/L1622-1</f>
        <v>#VALUE!</v>
      </c>
      <c r="N1622" s="21" t="str">
        <f>_xll.RssMarket(A1622,"高値")</f>
        <v/>
      </c>
      <c r="O1622" s="4" t="e">
        <f t="shared" ref="O1622:O1685" si="141">C1622/N1622-1</f>
        <v>#VALUE!</v>
      </c>
      <c r="P1622" s="21" t="str">
        <f>_xll.RssMarket(A1622,"安値")</f>
        <v/>
      </c>
      <c r="Q1622" s="4" t="e">
        <f t="shared" ref="Q1622:Q1685" si="142">C1622/P1622-1</f>
        <v>#VALUE!</v>
      </c>
      <c r="R1622" s="21" t="str">
        <f>_xll.RssMarket(A1622,"後場始値")</f>
        <v/>
      </c>
      <c r="S1622" s="25" t="str">
        <f t="shared" ref="S1622:S1685" si="143">IFERROR(C1622/R1622-1,"-")</f>
        <v>-</v>
      </c>
      <c r="T1622" s="7" t="str">
        <f>_xll.RssMarket(A1622,"出来高加重平均")</f>
        <v/>
      </c>
      <c r="U1622" s="4" t="e">
        <f t="shared" ref="U1622:U1685" si="144">C1622/T1622-1</f>
        <v>#VALUE!</v>
      </c>
      <c r="V1622" s="21" t="str">
        <f>_xll.RssMarket(A1622,"出来高")</f>
        <v/>
      </c>
      <c r="W1622" s="21" t="str">
        <f>_xll.RssMarket(A1622,"売買代金")</f>
        <v/>
      </c>
      <c r="X1622" s="20" t="str">
        <f>_xll.RssMarket(A1622,"決算発表日")</f>
        <v/>
      </c>
      <c r="Y1622" s="26" t="str">
        <f>IF(C1622&gt;_xll.RssMarket(A1622,"年初来高値"),"○","×")</f>
        <v>×</v>
      </c>
      <c r="Z1622" s="27" t="str">
        <f>IF(C1622&lt;=_xll.RssMarket(A1622,"年初来安値"),"○","×")</f>
        <v>○</v>
      </c>
    </row>
    <row r="1623" spans="2:26" x14ac:dyDescent="0.55000000000000004">
      <c r="B1623" s="20" t="str">
        <f>_xll.RssMarket(A1623,"銘柄名称")</f>
        <v/>
      </c>
      <c r="C1623" s="21" t="str">
        <f>_xll.RssMarket(A1623,"現在値")</f>
        <v/>
      </c>
      <c r="D1623" s="20" t="str">
        <f>_xll.RssMarket(A1623,"現在値詳細時刻")</f>
        <v/>
      </c>
      <c r="E1623" s="22" t="str">
        <f>_xll.RssMarket(A1623,"前日比")</f>
        <v/>
      </c>
      <c r="F1623" s="23" t="e">
        <f>_xll.RssMarket(A1623,"前日比率")/100</f>
        <v>#VALUE!</v>
      </c>
      <c r="G1623" s="24" t="str">
        <f>IFERROR(VLOOKUP(A1623,取得元!$A$2:$F$501,2,FALSE),"-")</f>
        <v>-</v>
      </c>
      <c r="H1623" s="24" t="str">
        <f>IFERROR(VLOOKUP(A1623,取得元!$A$2:$F$501,3,FALSE),"-")</f>
        <v>-</v>
      </c>
      <c r="I1623" s="24" t="str">
        <f>IFERROR(VLOOKUP(A1623,取得元!$A$2:$F$501,4,FALSE),"-")</f>
        <v>-</v>
      </c>
      <c r="J1623" s="5" t="str">
        <f>IFERROR(VLOOKUP(A1623,取得元!$A$2:$F$501,5,FALSE),"-")</f>
        <v>-</v>
      </c>
      <c r="K1623" s="25" t="str">
        <f>IFERROR(VLOOKUP(A1623,取得元!$A$2:$F$501,6,FALSE)/100,"-")</f>
        <v>-</v>
      </c>
      <c r="L1623" s="21" t="str">
        <f>_xll.RssMarket(A1623,"始値")</f>
        <v/>
      </c>
      <c r="M1623" s="4" t="e">
        <f t="shared" si="140"/>
        <v>#VALUE!</v>
      </c>
      <c r="N1623" s="21" t="str">
        <f>_xll.RssMarket(A1623,"高値")</f>
        <v/>
      </c>
      <c r="O1623" s="4" t="e">
        <f t="shared" si="141"/>
        <v>#VALUE!</v>
      </c>
      <c r="P1623" s="21" t="str">
        <f>_xll.RssMarket(A1623,"安値")</f>
        <v/>
      </c>
      <c r="Q1623" s="4" t="e">
        <f t="shared" si="142"/>
        <v>#VALUE!</v>
      </c>
      <c r="R1623" s="21" t="str">
        <f>_xll.RssMarket(A1623,"後場始値")</f>
        <v/>
      </c>
      <c r="S1623" s="25" t="str">
        <f t="shared" si="143"/>
        <v>-</v>
      </c>
      <c r="T1623" s="7" t="str">
        <f>_xll.RssMarket(A1623,"出来高加重平均")</f>
        <v/>
      </c>
      <c r="U1623" s="4" t="e">
        <f t="shared" si="144"/>
        <v>#VALUE!</v>
      </c>
      <c r="V1623" s="21" t="str">
        <f>_xll.RssMarket(A1623,"出来高")</f>
        <v/>
      </c>
      <c r="W1623" s="21" t="str">
        <f>_xll.RssMarket(A1623,"売買代金")</f>
        <v/>
      </c>
      <c r="X1623" s="20" t="str">
        <f>_xll.RssMarket(A1623,"決算発表日")</f>
        <v/>
      </c>
      <c r="Y1623" s="26" t="str">
        <f>IF(C1623&gt;_xll.RssMarket(A1623,"年初来高値"),"○","×")</f>
        <v>×</v>
      </c>
      <c r="Z1623" s="27" t="str">
        <f>IF(C1623&lt;=_xll.RssMarket(A1623,"年初来安値"),"○","×")</f>
        <v>○</v>
      </c>
    </row>
    <row r="1624" spans="2:26" x14ac:dyDescent="0.55000000000000004">
      <c r="B1624" s="20" t="str">
        <f>_xll.RssMarket(A1624,"銘柄名称")</f>
        <v/>
      </c>
      <c r="C1624" s="21" t="str">
        <f>_xll.RssMarket(A1624,"現在値")</f>
        <v/>
      </c>
      <c r="D1624" s="20" t="str">
        <f>_xll.RssMarket(A1624,"現在値詳細時刻")</f>
        <v/>
      </c>
      <c r="E1624" s="22" t="str">
        <f>_xll.RssMarket(A1624,"前日比")</f>
        <v/>
      </c>
      <c r="F1624" s="23" t="e">
        <f>_xll.RssMarket(A1624,"前日比率")/100</f>
        <v>#VALUE!</v>
      </c>
      <c r="G1624" s="24" t="str">
        <f>IFERROR(VLOOKUP(A1624,取得元!$A$2:$F$501,2,FALSE),"-")</f>
        <v>-</v>
      </c>
      <c r="H1624" s="24" t="str">
        <f>IFERROR(VLOOKUP(A1624,取得元!$A$2:$F$501,3,FALSE),"-")</f>
        <v>-</v>
      </c>
      <c r="I1624" s="24" t="str">
        <f>IFERROR(VLOOKUP(A1624,取得元!$A$2:$F$501,4,FALSE),"-")</f>
        <v>-</v>
      </c>
      <c r="J1624" s="5" t="str">
        <f>IFERROR(VLOOKUP(A1624,取得元!$A$2:$F$501,5,FALSE),"-")</f>
        <v>-</v>
      </c>
      <c r="K1624" s="25" t="str">
        <f>IFERROR(VLOOKUP(A1624,取得元!$A$2:$F$501,6,FALSE)/100,"-")</f>
        <v>-</v>
      </c>
      <c r="L1624" s="21" t="str">
        <f>_xll.RssMarket(A1624,"始値")</f>
        <v/>
      </c>
      <c r="M1624" s="4" t="e">
        <f t="shared" si="140"/>
        <v>#VALUE!</v>
      </c>
      <c r="N1624" s="21" t="str">
        <f>_xll.RssMarket(A1624,"高値")</f>
        <v/>
      </c>
      <c r="O1624" s="4" t="e">
        <f t="shared" si="141"/>
        <v>#VALUE!</v>
      </c>
      <c r="P1624" s="21" t="str">
        <f>_xll.RssMarket(A1624,"安値")</f>
        <v/>
      </c>
      <c r="Q1624" s="4" t="e">
        <f t="shared" si="142"/>
        <v>#VALUE!</v>
      </c>
      <c r="R1624" s="21" t="str">
        <f>_xll.RssMarket(A1624,"後場始値")</f>
        <v/>
      </c>
      <c r="S1624" s="25" t="str">
        <f t="shared" si="143"/>
        <v>-</v>
      </c>
      <c r="T1624" s="7" t="str">
        <f>_xll.RssMarket(A1624,"出来高加重平均")</f>
        <v/>
      </c>
      <c r="U1624" s="4" t="e">
        <f t="shared" si="144"/>
        <v>#VALUE!</v>
      </c>
      <c r="V1624" s="21" t="str">
        <f>_xll.RssMarket(A1624,"出来高")</f>
        <v/>
      </c>
      <c r="W1624" s="21" t="str">
        <f>_xll.RssMarket(A1624,"売買代金")</f>
        <v/>
      </c>
      <c r="X1624" s="20" t="str">
        <f>_xll.RssMarket(A1624,"決算発表日")</f>
        <v/>
      </c>
      <c r="Y1624" s="26" t="str">
        <f>IF(C1624&gt;_xll.RssMarket(A1624,"年初来高値"),"○","×")</f>
        <v>×</v>
      </c>
      <c r="Z1624" s="27" t="str">
        <f>IF(C1624&lt;=_xll.RssMarket(A1624,"年初来安値"),"○","×")</f>
        <v>○</v>
      </c>
    </row>
    <row r="1625" spans="2:26" x14ac:dyDescent="0.55000000000000004">
      <c r="B1625" s="20" t="str">
        <f>_xll.RssMarket(A1625,"銘柄名称")</f>
        <v/>
      </c>
      <c r="C1625" s="21" t="str">
        <f>_xll.RssMarket(A1625,"現在値")</f>
        <v/>
      </c>
      <c r="D1625" s="20" t="str">
        <f>_xll.RssMarket(A1625,"現在値詳細時刻")</f>
        <v/>
      </c>
      <c r="E1625" s="22" t="str">
        <f>_xll.RssMarket(A1625,"前日比")</f>
        <v/>
      </c>
      <c r="F1625" s="23" t="e">
        <f>_xll.RssMarket(A1625,"前日比率")/100</f>
        <v>#VALUE!</v>
      </c>
      <c r="G1625" s="24" t="str">
        <f>IFERROR(VLOOKUP(A1625,取得元!$A$2:$F$501,2,FALSE),"-")</f>
        <v>-</v>
      </c>
      <c r="H1625" s="24" t="str">
        <f>IFERROR(VLOOKUP(A1625,取得元!$A$2:$F$501,3,FALSE),"-")</f>
        <v>-</v>
      </c>
      <c r="I1625" s="24" t="str">
        <f>IFERROR(VLOOKUP(A1625,取得元!$A$2:$F$501,4,FALSE),"-")</f>
        <v>-</v>
      </c>
      <c r="J1625" s="5" t="str">
        <f>IFERROR(VLOOKUP(A1625,取得元!$A$2:$F$501,5,FALSE),"-")</f>
        <v>-</v>
      </c>
      <c r="K1625" s="25" t="str">
        <f>IFERROR(VLOOKUP(A1625,取得元!$A$2:$F$501,6,FALSE)/100,"-")</f>
        <v>-</v>
      </c>
      <c r="L1625" s="21" t="str">
        <f>_xll.RssMarket(A1625,"始値")</f>
        <v/>
      </c>
      <c r="M1625" s="4" t="e">
        <f t="shared" si="140"/>
        <v>#VALUE!</v>
      </c>
      <c r="N1625" s="21" t="str">
        <f>_xll.RssMarket(A1625,"高値")</f>
        <v/>
      </c>
      <c r="O1625" s="4" t="e">
        <f t="shared" si="141"/>
        <v>#VALUE!</v>
      </c>
      <c r="P1625" s="21" t="str">
        <f>_xll.RssMarket(A1625,"安値")</f>
        <v/>
      </c>
      <c r="Q1625" s="4" t="e">
        <f t="shared" si="142"/>
        <v>#VALUE!</v>
      </c>
      <c r="R1625" s="21" t="str">
        <f>_xll.RssMarket(A1625,"後場始値")</f>
        <v/>
      </c>
      <c r="S1625" s="25" t="str">
        <f t="shared" si="143"/>
        <v>-</v>
      </c>
      <c r="T1625" s="7" t="str">
        <f>_xll.RssMarket(A1625,"出来高加重平均")</f>
        <v/>
      </c>
      <c r="U1625" s="4" t="e">
        <f t="shared" si="144"/>
        <v>#VALUE!</v>
      </c>
      <c r="V1625" s="21" t="str">
        <f>_xll.RssMarket(A1625,"出来高")</f>
        <v/>
      </c>
      <c r="W1625" s="21" t="str">
        <f>_xll.RssMarket(A1625,"売買代金")</f>
        <v/>
      </c>
      <c r="X1625" s="20" t="str">
        <f>_xll.RssMarket(A1625,"決算発表日")</f>
        <v/>
      </c>
      <c r="Y1625" s="26" t="str">
        <f>IF(C1625&gt;_xll.RssMarket(A1625,"年初来高値"),"○","×")</f>
        <v>×</v>
      </c>
      <c r="Z1625" s="27" t="str">
        <f>IF(C1625&lt;=_xll.RssMarket(A1625,"年初来安値"),"○","×")</f>
        <v>○</v>
      </c>
    </row>
    <row r="1626" spans="2:26" x14ac:dyDescent="0.55000000000000004">
      <c r="B1626" s="20" t="str">
        <f>_xll.RssMarket(A1626,"銘柄名称")</f>
        <v/>
      </c>
      <c r="C1626" s="21" t="str">
        <f>_xll.RssMarket(A1626,"現在値")</f>
        <v/>
      </c>
      <c r="D1626" s="20" t="str">
        <f>_xll.RssMarket(A1626,"現在値詳細時刻")</f>
        <v/>
      </c>
      <c r="E1626" s="22" t="str">
        <f>_xll.RssMarket(A1626,"前日比")</f>
        <v/>
      </c>
      <c r="F1626" s="23" t="e">
        <f>_xll.RssMarket(A1626,"前日比率")/100</f>
        <v>#VALUE!</v>
      </c>
      <c r="G1626" s="24" t="str">
        <f>IFERROR(VLOOKUP(A1626,取得元!$A$2:$F$501,2,FALSE),"-")</f>
        <v>-</v>
      </c>
      <c r="H1626" s="24" t="str">
        <f>IFERROR(VLOOKUP(A1626,取得元!$A$2:$F$501,3,FALSE),"-")</f>
        <v>-</v>
      </c>
      <c r="I1626" s="24" t="str">
        <f>IFERROR(VLOOKUP(A1626,取得元!$A$2:$F$501,4,FALSE),"-")</f>
        <v>-</v>
      </c>
      <c r="J1626" s="5" t="str">
        <f>IFERROR(VLOOKUP(A1626,取得元!$A$2:$F$501,5,FALSE),"-")</f>
        <v>-</v>
      </c>
      <c r="K1626" s="25" t="str">
        <f>IFERROR(VLOOKUP(A1626,取得元!$A$2:$F$501,6,FALSE)/100,"-")</f>
        <v>-</v>
      </c>
      <c r="L1626" s="21" t="str">
        <f>_xll.RssMarket(A1626,"始値")</f>
        <v/>
      </c>
      <c r="M1626" s="4" t="e">
        <f t="shared" si="140"/>
        <v>#VALUE!</v>
      </c>
      <c r="N1626" s="21" t="str">
        <f>_xll.RssMarket(A1626,"高値")</f>
        <v/>
      </c>
      <c r="O1626" s="4" t="e">
        <f t="shared" si="141"/>
        <v>#VALUE!</v>
      </c>
      <c r="P1626" s="21" t="str">
        <f>_xll.RssMarket(A1626,"安値")</f>
        <v/>
      </c>
      <c r="Q1626" s="4" t="e">
        <f t="shared" si="142"/>
        <v>#VALUE!</v>
      </c>
      <c r="R1626" s="21" t="str">
        <f>_xll.RssMarket(A1626,"後場始値")</f>
        <v/>
      </c>
      <c r="S1626" s="25" t="str">
        <f t="shared" si="143"/>
        <v>-</v>
      </c>
      <c r="T1626" s="7" t="str">
        <f>_xll.RssMarket(A1626,"出来高加重平均")</f>
        <v/>
      </c>
      <c r="U1626" s="4" t="e">
        <f t="shared" si="144"/>
        <v>#VALUE!</v>
      </c>
      <c r="V1626" s="21" t="str">
        <f>_xll.RssMarket(A1626,"出来高")</f>
        <v/>
      </c>
      <c r="W1626" s="21" t="str">
        <f>_xll.RssMarket(A1626,"売買代金")</f>
        <v/>
      </c>
      <c r="X1626" s="20" t="str">
        <f>_xll.RssMarket(A1626,"決算発表日")</f>
        <v/>
      </c>
      <c r="Y1626" s="26" t="str">
        <f>IF(C1626&gt;_xll.RssMarket(A1626,"年初来高値"),"○","×")</f>
        <v>×</v>
      </c>
      <c r="Z1626" s="27" t="str">
        <f>IF(C1626&lt;=_xll.RssMarket(A1626,"年初来安値"),"○","×")</f>
        <v>○</v>
      </c>
    </row>
    <row r="1627" spans="2:26" x14ac:dyDescent="0.55000000000000004">
      <c r="B1627" s="20" t="str">
        <f>_xll.RssMarket(A1627,"銘柄名称")</f>
        <v/>
      </c>
      <c r="C1627" s="21" t="str">
        <f>_xll.RssMarket(A1627,"現在値")</f>
        <v/>
      </c>
      <c r="D1627" s="20" t="str">
        <f>_xll.RssMarket(A1627,"現在値詳細時刻")</f>
        <v/>
      </c>
      <c r="E1627" s="22" t="str">
        <f>_xll.RssMarket(A1627,"前日比")</f>
        <v/>
      </c>
      <c r="F1627" s="23" t="e">
        <f>_xll.RssMarket(A1627,"前日比率")/100</f>
        <v>#VALUE!</v>
      </c>
      <c r="G1627" s="24" t="str">
        <f>IFERROR(VLOOKUP(A1627,取得元!$A$2:$F$501,2,FALSE),"-")</f>
        <v>-</v>
      </c>
      <c r="H1627" s="24" t="str">
        <f>IFERROR(VLOOKUP(A1627,取得元!$A$2:$F$501,3,FALSE),"-")</f>
        <v>-</v>
      </c>
      <c r="I1627" s="24" t="str">
        <f>IFERROR(VLOOKUP(A1627,取得元!$A$2:$F$501,4,FALSE),"-")</f>
        <v>-</v>
      </c>
      <c r="J1627" s="5" t="str">
        <f>IFERROR(VLOOKUP(A1627,取得元!$A$2:$F$501,5,FALSE),"-")</f>
        <v>-</v>
      </c>
      <c r="K1627" s="25" t="str">
        <f>IFERROR(VLOOKUP(A1627,取得元!$A$2:$F$501,6,FALSE)/100,"-")</f>
        <v>-</v>
      </c>
      <c r="L1627" s="21" t="str">
        <f>_xll.RssMarket(A1627,"始値")</f>
        <v/>
      </c>
      <c r="M1627" s="4" t="e">
        <f t="shared" si="140"/>
        <v>#VALUE!</v>
      </c>
      <c r="N1627" s="21" t="str">
        <f>_xll.RssMarket(A1627,"高値")</f>
        <v/>
      </c>
      <c r="O1627" s="4" t="e">
        <f t="shared" si="141"/>
        <v>#VALUE!</v>
      </c>
      <c r="P1627" s="21" t="str">
        <f>_xll.RssMarket(A1627,"安値")</f>
        <v/>
      </c>
      <c r="Q1627" s="4" t="e">
        <f t="shared" si="142"/>
        <v>#VALUE!</v>
      </c>
      <c r="R1627" s="21" t="str">
        <f>_xll.RssMarket(A1627,"後場始値")</f>
        <v/>
      </c>
      <c r="S1627" s="25" t="str">
        <f t="shared" si="143"/>
        <v>-</v>
      </c>
      <c r="T1627" s="7" t="str">
        <f>_xll.RssMarket(A1627,"出来高加重平均")</f>
        <v/>
      </c>
      <c r="U1627" s="4" t="e">
        <f t="shared" si="144"/>
        <v>#VALUE!</v>
      </c>
      <c r="V1627" s="21" t="str">
        <f>_xll.RssMarket(A1627,"出来高")</f>
        <v/>
      </c>
      <c r="W1627" s="21" t="str">
        <f>_xll.RssMarket(A1627,"売買代金")</f>
        <v/>
      </c>
      <c r="X1627" s="20" t="str">
        <f>_xll.RssMarket(A1627,"決算発表日")</f>
        <v/>
      </c>
      <c r="Y1627" s="26" t="str">
        <f>IF(C1627&gt;_xll.RssMarket(A1627,"年初来高値"),"○","×")</f>
        <v>×</v>
      </c>
      <c r="Z1627" s="27" t="str">
        <f>IF(C1627&lt;=_xll.RssMarket(A1627,"年初来安値"),"○","×")</f>
        <v>○</v>
      </c>
    </row>
    <row r="1628" spans="2:26" x14ac:dyDescent="0.55000000000000004">
      <c r="B1628" s="20" t="str">
        <f>_xll.RssMarket(A1628,"銘柄名称")</f>
        <v/>
      </c>
      <c r="C1628" s="21" t="str">
        <f>_xll.RssMarket(A1628,"現在値")</f>
        <v/>
      </c>
      <c r="D1628" s="20" t="str">
        <f>_xll.RssMarket(A1628,"現在値詳細時刻")</f>
        <v/>
      </c>
      <c r="E1628" s="22" t="str">
        <f>_xll.RssMarket(A1628,"前日比")</f>
        <v/>
      </c>
      <c r="F1628" s="23" t="e">
        <f>_xll.RssMarket(A1628,"前日比率")/100</f>
        <v>#VALUE!</v>
      </c>
      <c r="G1628" s="24" t="str">
        <f>IFERROR(VLOOKUP(A1628,取得元!$A$2:$F$501,2,FALSE),"-")</f>
        <v>-</v>
      </c>
      <c r="H1628" s="24" t="str">
        <f>IFERROR(VLOOKUP(A1628,取得元!$A$2:$F$501,3,FALSE),"-")</f>
        <v>-</v>
      </c>
      <c r="I1628" s="24" t="str">
        <f>IFERROR(VLOOKUP(A1628,取得元!$A$2:$F$501,4,FALSE),"-")</f>
        <v>-</v>
      </c>
      <c r="J1628" s="5" t="str">
        <f>IFERROR(VLOOKUP(A1628,取得元!$A$2:$F$501,5,FALSE),"-")</f>
        <v>-</v>
      </c>
      <c r="K1628" s="25" t="str">
        <f>IFERROR(VLOOKUP(A1628,取得元!$A$2:$F$501,6,FALSE)/100,"-")</f>
        <v>-</v>
      </c>
      <c r="L1628" s="21" t="str">
        <f>_xll.RssMarket(A1628,"始値")</f>
        <v/>
      </c>
      <c r="M1628" s="4" t="e">
        <f t="shared" si="140"/>
        <v>#VALUE!</v>
      </c>
      <c r="N1628" s="21" t="str">
        <f>_xll.RssMarket(A1628,"高値")</f>
        <v/>
      </c>
      <c r="O1628" s="4" t="e">
        <f t="shared" si="141"/>
        <v>#VALUE!</v>
      </c>
      <c r="P1628" s="21" t="str">
        <f>_xll.RssMarket(A1628,"安値")</f>
        <v/>
      </c>
      <c r="Q1628" s="4" t="e">
        <f t="shared" si="142"/>
        <v>#VALUE!</v>
      </c>
      <c r="R1628" s="21" t="str">
        <f>_xll.RssMarket(A1628,"後場始値")</f>
        <v/>
      </c>
      <c r="S1628" s="25" t="str">
        <f t="shared" si="143"/>
        <v>-</v>
      </c>
      <c r="T1628" s="7" t="str">
        <f>_xll.RssMarket(A1628,"出来高加重平均")</f>
        <v/>
      </c>
      <c r="U1628" s="4" t="e">
        <f t="shared" si="144"/>
        <v>#VALUE!</v>
      </c>
      <c r="V1628" s="21" t="str">
        <f>_xll.RssMarket(A1628,"出来高")</f>
        <v/>
      </c>
      <c r="W1628" s="21" t="str">
        <f>_xll.RssMarket(A1628,"売買代金")</f>
        <v/>
      </c>
      <c r="X1628" s="20" t="str">
        <f>_xll.RssMarket(A1628,"決算発表日")</f>
        <v/>
      </c>
      <c r="Y1628" s="26" t="str">
        <f>IF(C1628&gt;_xll.RssMarket(A1628,"年初来高値"),"○","×")</f>
        <v>×</v>
      </c>
      <c r="Z1628" s="27" t="str">
        <f>IF(C1628&lt;=_xll.RssMarket(A1628,"年初来安値"),"○","×")</f>
        <v>○</v>
      </c>
    </row>
    <row r="1629" spans="2:26" x14ac:dyDescent="0.55000000000000004">
      <c r="B1629" s="20" t="str">
        <f>_xll.RssMarket(A1629,"銘柄名称")</f>
        <v/>
      </c>
      <c r="C1629" s="21" t="str">
        <f>_xll.RssMarket(A1629,"現在値")</f>
        <v/>
      </c>
      <c r="D1629" s="20" t="str">
        <f>_xll.RssMarket(A1629,"現在値詳細時刻")</f>
        <v/>
      </c>
      <c r="E1629" s="22" t="str">
        <f>_xll.RssMarket(A1629,"前日比")</f>
        <v/>
      </c>
      <c r="F1629" s="23" t="e">
        <f>_xll.RssMarket(A1629,"前日比率")/100</f>
        <v>#VALUE!</v>
      </c>
      <c r="G1629" s="24" t="str">
        <f>IFERROR(VLOOKUP(A1629,取得元!$A$2:$F$501,2,FALSE),"-")</f>
        <v>-</v>
      </c>
      <c r="H1629" s="24" t="str">
        <f>IFERROR(VLOOKUP(A1629,取得元!$A$2:$F$501,3,FALSE),"-")</f>
        <v>-</v>
      </c>
      <c r="I1629" s="24" t="str">
        <f>IFERROR(VLOOKUP(A1629,取得元!$A$2:$F$501,4,FALSE),"-")</f>
        <v>-</v>
      </c>
      <c r="J1629" s="5" t="str">
        <f>IFERROR(VLOOKUP(A1629,取得元!$A$2:$F$501,5,FALSE),"-")</f>
        <v>-</v>
      </c>
      <c r="K1629" s="25" t="str">
        <f>IFERROR(VLOOKUP(A1629,取得元!$A$2:$F$501,6,FALSE)/100,"-")</f>
        <v>-</v>
      </c>
      <c r="L1629" s="21" t="str">
        <f>_xll.RssMarket(A1629,"始値")</f>
        <v/>
      </c>
      <c r="M1629" s="4" t="e">
        <f t="shared" si="140"/>
        <v>#VALUE!</v>
      </c>
      <c r="N1629" s="21" t="str">
        <f>_xll.RssMarket(A1629,"高値")</f>
        <v/>
      </c>
      <c r="O1629" s="4" t="e">
        <f t="shared" si="141"/>
        <v>#VALUE!</v>
      </c>
      <c r="P1629" s="21" t="str">
        <f>_xll.RssMarket(A1629,"安値")</f>
        <v/>
      </c>
      <c r="Q1629" s="4" t="e">
        <f t="shared" si="142"/>
        <v>#VALUE!</v>
      </c>
      <c r="R1629" s="21" t="str">
        <f>_xll.RssMarket(A1629,"後場始値")</f>
        <v/>
      </c>
      <c r="S1629" s="25" t="str">
        <f t="shared" si="143"/>
        <v>-</v>
      </c>
      <c r="T1629" s="7" t="str">
        <f>_xll.RssMarket(A1629,"出来高加重平均")</f>
        <v/>
      </c>
      <c r="U1629" s="4" t="e">
        <f t="shared" si="144"/>
        <v>#VALUE!</v>
      </c>
      <c r="V1629" s="21" t="str">
        <f>_xll.RssMarket(A1629,"出来高")</f>
        <v/>
      </c>
      <c r="W1629" s="21" t="str">
        <f>_xll.RssMarket(A1629,"売買代金")</f>
        <v/>
      </c>
      <c r="X1629" s="20" t="str">
        <f>_xll.RssMarket(A1629,"決算発表日")</f>
        <v/>
      </c>
      <c r="Y1629" s="26" t="str">
        <f>IF(C1629&gt;_xll.RssMarket(A1629,"年初来高値"),"○","×")</f>
        <v>×</v>
      </c>
      <c r="Z1629" s="27" t="str">
        <f>IF(C1629&lt;=_xll.RssMarket(A1629,"年初来安値"),"○","×")</f>
        <v>○</v>
      </c>
    </row>
    <row r="1630" spans="2:26" x14ac:dyDescent="0.55000000000000004">
      <c r="B1630" s="20" t="str">
        <f>_xll.RssMarket(A1630,"銘柄名称")</f>
        <v/>
      </c>
      <c r="C1630" s="21" t="str">
        <f>_xll.RssMarket(A1630,"現在値")</f>
        <v/>
      </c>
      <c r="D1630" s="20" t="str">
        <f>_xll.RssMarket(A1630,"現在値詳細時刻")</f>
        <v/>
      </c>
      <c r="E1630" s="22" t="str">
        <f>_xll.RssMarket(A1630,"前日比")</f>
        <v/>
      </c>
      <c r="F1630" s="23" t="e">
        <f>_xll.RssMarket(A1630,"前日比率")/100</f>
        <v>#VALUE!</v>
      </c>
      <c r="G1630" s="24" t="str">
        <f>IFERROR(VLOOKUP(A1630,取得元!$A$2:$F$501,2,FALSE),"-")</f>
        <v>-</v>
      </c>
      <c r="H1630" s="24" t="str">
        <f>IFERROR(VLOOKUP(A1630,取得元!$A$2:$F$501,3,FALSE),"-")</f>
        <v>-</v>
      </c>
      <c r="I1630" s="24" t="str">
        <f>IFERROR(VLOOKUP(A1630,取得元!$A$2:$F$501,4,FALSE),"-")</f>
        <v>-</v>
      </c>
      <c r="J1630" s="5" t="str">
        <f>IFERROR(VLOOKUP(A1630,取得元!$A$2:$F$501,5,FALSE),"-")</f>
        <v>-</v>
      </c>
      <c r="K1630" s="25" t="str">
        <f>IFERROR(VLOOKUP(A1630,取得元!$A$2:$F$501,6,FALSE)/100,"-")</f>
        <v>-</v>
      </c>
      <c r="L1630" s="21" t="str">
        <f>_xll.RssMarket(A1630,"始値")</f>
        <v/>
      </c>
      <c r="M1630" s="4" t="e">
        <f t="shared" si="140"/>
        <v>#VALUE!</v>
      </c>
      <c r="N1630" s="21" t="str">
        <f>_xll.RssMarket(A1630,"高値")</f>
        <v/>
      </c>
      <c r="O1630" s="4" t="e">
        <f t="shared" si="141"/>
        <v>#VALUE!</v>
      </c>
      <c r="P1630" s="21" t="str">
        <f>_xll.RssMarket(A1630,"安値")</f>
        <v/>
      </c>
      <c r="Q1630" s="4" t="e">
        <f t="shared" si="142"/>
        <v>#VALUE!</v>
      </c>
      <c r="R1630" s="21" t="str">
        <f>_xll.RssMarket(A1630,"後場始値")</f>
        <v/>
      </c>
      <c r="S1630" s="25" t="str">
        <f t="shared" si="143"/>
        <v>-</v>
      </c>
      <c r="T1630" s="7" t="str">
        <f>_xll.RssMarket(A1630,"出来高加重平均")</f>
        <v/>
      </c>
      <c r="U1630" s="4" t="e">
        <f t="shared" si="144"/>
        <v>#VALUE!</v>
      </c>
      <c r="V1630" s="21" t="str">
        <f>_xll.RssMarket(A1630,"出来高")</f>
        <v/>
      </c>
      <c r="W1630" s="21" t="str">
        <f>_xll.RssMarket(A1630,"売買代金")</f>
        <v/>
      </c>
      <c r="X1630" s="20" t="str">
        <f>_xll.RssMarket(A1630,"決算発表日")</f>
        <v/>
      </c>
      <c r="Y1630" s="26" t="str">
        <f>IF(C1630&gt;_xll.RssMarket(A1630,"年初来高値"),"○","×")</f>
        <v>×</v>
      </c>
      <c r="Z1630" s="27" t="str">
        <f>IF(C1630&lt;=_xll.RssMarket(A1630,"年初来安値"),"○","×")</f>
        <v>○</v>
      </c>
    </row>
    <row r="1631" spans="2:26" x14ac:dyDescent="0.55000000000000004">
      <c r="B1631" s="20" t="str">
        <f>_xll.RssMarket(A1631,"銘柄名称")</f>
        <v/>
      </c>
      <c r="C1631" s="21" t="str">
        <f>_xll.RssMarket(A1631,"現在値")</f>
        <v/>
      </c>
      <c r="D1631" s="20" t="str">
        <f>_xll.RssMarket(A1631,"現在値詳細時刻")</f>
        <v/>
      </c>
      <c r="E1631" s="22" t="str">
        <f>_xll.RssMarket(A1631,"前日比")</f>
        <v/>
      </c>
      <c r="F1631" s="23" t="e">
        <f>_xll.RssMarket(A1631,"前日比率")/100</f>
        <v>#VALUE!</v>
      </c>
      <c r="G1631" s="24" t="str">
        <f>IFERROR(VLOOKUP(A1631,取得元!$A$2:$F$501,2,FALSE),"-")</f>
        <v>-</v>
      </c>
      <c r="H1631" s="24" t="str">
        <f>IFERROR(VLOOKUP(A1631,取得元!$A$2:$F$501,3,FALSE),"-")</f>
        <v>-</v>
      </c>
      <c r="I1631" s="24" t="str">
        <f>IFERROR(VLOOKUP(A1631,取得元!$A$2:$F$501,4,FALSE),"-")</f>
        <v>-</v>
      </c>
      <c r="J1631" s="5" t="str">
        <f>IFERROR(VLOOKUP(A1631,取得元!$A$2:$F$501,5,FALSE),"-")</f>
        <v>-</v>
      </c>
      <c r="K1631" s="25" t="str">
        <f>IFERROR(VLOOKUP(A1631,取得元!$A$2:$F$501,6,FALSE)/100,"-")</f>
        <v>-</v>
      </c>
      <c r="L1631" s="21" t="str">
        <f>_xll.RssMarket(A1631,"始値")</f>
        <v/>
      </c>
      <c r="M1631" s="4" t="e">
        <f t="shared" si="140"/>
        <v>#VALUE!</v>
      </c>
      <c r="N1631" s="21" t="str">
        <f>_xll.RssMarket(A1631,"高値")</f>
        <v/>
      </c>
      <c r="O1631" s="4" t="e">
        <f t="shared" si="141"/>
        <v>#VALUE!</v>
      </c>
      <c r="P1631" s="21" t="str">
        <f>_xll.RssMarket(A1631,"安値")</f>
        <v/>
      </c>
      <c r="Q1631" s="4" t="e">
        <f t="shared" si="142"/>
        <v>#VALUE!</v>
      </c>
      <c r="R1631" s="21" t="str">
        <f>_xll.RssMarket(A1631,"後場始値")</f>
        <v/>
      </c>
      <c r="S1631" s="25" t="str">
        <f t="shared" si="143"/>
        <v>-</v>
      </c>
      <c r="T1631" s="7" t="str">
        <f>_xll.RssMarket(A1631,"出来高加重平均")</f>
        <v/>
      </c>
      <c r="U1631" s="4" t="e">
        <f t="shared" si="144"/>
        <v>#VALUE!</v>
      </c>
      <c r="V1631" s="21" t="str">
        <f>_xll.RssMarket(A1631,"出来高")</f>
        <v/>
      </c>
      <c r="W1631" s="21" t="str">
        <f>_xll.RssMarket(A1631,"売買代金")</f>
        <v/>
      </c>
      <c r="X1631" s="20" t="str">
        <f>_xll.RssMarket(A1631,"決算発表日")</f>
        <v/>
      </c>
      <c r="Y1631" s="26" t="str">
        <f>IF(C1631&gt;_xll.RssMarket(A1631,"年初来高値"),"○","×")</f>
        <v>×</v>
      </c>
      <c r="Z1631" s="27" t="str">
        <f>IF(C1631&lt;=_xll.RssMarket(A1631,"年初来安値"),"○","×")</f>
        <v>○</v>
      </c>
    </row>
    <row r="1632" spans="2:26" x14ac:dyDescent="0.55000000000000004">
      <c r="B1632" s="20" t="str">
        <f>_xll.RssMarket(A1632,"銘柄名称")</f>
        <v/>
      </c>
      <c r="C1632" s="21" t="str">
        <f>_xll.RssMarket(A1632,"現在値")</f>
        <v/>
      </c>
      <c r="D1632" s="20" t="str">
        <f>_xll.RssMarket(A1632,"現在値詳細時刻")</f>
        <v/>
      </c>
      <c r="E1632" s="22" t="str">
        <f>_xll.RssMarket(A1632,"前日比")</f>
        <v/>
      </c>
      <c r="F1632" s="23" t="e">
        <f>_xll.RssMarket(A1632,"前日比率")/100</f>
        <v>#VALUE!</v>
      </c>
      <c r="G1632" s="24" t="str">
        <f>IFERROR(VLOOKUP(A1632,取得元!$A$2:$F$501,2,FALSE),"-")</f>
        <v>-</v>
      </c>
      <c r="H1632" s="24" t="str">
        <f>IFERROR(VLOOKUP(A1632,取得元!$A$2:$F$501,3,FALSE),"-")</f>
        <v>-</v>
      </c>
      <c r="I1632" s="24" t="str">
        <f>IFERROR(VLOOKUP(A1632,取得元!$A$2:$F$501,4,FALSE),"-")</f>
        <v>-</v>
      </c>
      <c r="J1632" s="5" t="str">
        <f>IFERROR(VLOOKUP(A1632,取得元!$A$2:$F$501,5,FALSE),"-")</f>
        <v>-</v>
      </c>
      <c r="K1632" s="25" t="str">
        <f>IFERROR(VLOOKUP(A1632,取得元!$A$2:$F$501,6,FALSE)/100,"-")</f>
        <v>-</v>
      </c>
      <c r="L1632" s="21" t="str">
        <f>_xll.RssMarket(A1632,"始値")</f>
        <v/>
      </c>
      <c r="M1632" s="4" t="e">
        <f t="shared" si="140"/>
        <v>#VALUE!</v>
      </c>
      <c r="N1632" s="21" t="str">
        <f>_xll.RssMarket(A1632,"高値")</f>
        <v/>
      </c>
      <c r="O1632" s="4" t="e">
        <f t="shared" si="141"/>
        <v>#VALUE!</v>
      </c>
      <c r="P1632" s="21" t="str">
        <f>_xll.RssMarket(A1632,"安値")</f>
        <v/>
      </c>
      <c r="Q1632" s="4" t="e">
        <f t="shared" si="142"/>
        <v>#VALUE!</v>
      </c>
      <c r="R1632" s="21" t="str">
        <f>_xll.RssMarket(A1632,"後場始値")</f>
        <v/>
      </c>
      <c r="S1632" s="25" t="str">
        <f t="shared" si="143"/>
        <v>-</v>
      </c>
      <c r="T1632" s="7" t="str">
        <f>_xll.RssMarket(A1632,"出来高加重平均")</f>
        <v/>
      </c>
      <c r="U1632" s="4" t="e">
        <f t="shared" si="144"/>
        <v>#VALUE!</v>
      </c>
      <c r="V1632" s="21" t="str">
        <f>_xll.RssMarket(A1632,"出来高")</f>
        <v/>
      </c>
      <c r="W1632" s="21" t="str">
        <f>_xll.RssMarket(A1632,"売買代金")</f>
        <v/>
      </c>
      <c r="X1632" s="20" t="str">
        <f>_xll.RssMarket(A1632,"決算発表日")</f>
        <v/>
      </c>
      <c r="Y1632" s="26" t="str">
        <f>IF(C1632&gt;_xll.RssMarket(A1632,"年初来高値"),"○","×")</f>
        <v>×</v>
      </c>
      <c r="Z1632" s="27" t="str">
        <f>IF(C1632&lt;=_xll.RssMarket(A1632,"年初来安値"),"○","×")</f>
        <v>○</v>
      </c>
    </row>
    <row r="1633" spans="2:26" x14ac:dyDescent="0.55000000000000004">
      <c r="B1633" s="20" t="str">
        <f>_xll.RssMarket(A1633,"銘柄名称")</f>
        <v/>
      </c>
      <c r="C1633" s="21" t="str">
        <f>_xll.RssMarket(A1633,"現在値")</f>
        <v/>
      </c>
      <c r="D1633" s="20" t="str">
        <f>_xll.RssMarket(A1633,"現在値詳細時刻")</f>
        <v/>
      </c>
      <c r="E1633" s="22" t="str">
        <f>_xll.RssMarket(A1633,"前日比")</f>
        <v/>
      </c>
      <c r="F1633" s="23" t="e">
        <f>_xll.RssMarket(A1633,"前日比率")/100</f>
        <v>#VALUE!</v>
      </c>
      <c r="G1633" s="24" t="str">
        <f>IFERROR(VLOOKUP(A1633,取得元!$A$2:$F$501,2,FALSE),"-")</f>
        <v>-</v>
      </c>
      <c r="H1633" s="24" t="str">
        <f>IFERROR(VLOOKUP(A1633,取得元!$A$2:$F$501,3,FALSE),"-")</f>
        <v>-</v>
      </c>
      <c r="I1633" s="24" t="str">
        <f>IFERROR(VLOOKUP(A1633,取得元!$A$2:$F$501,4,FALSE),"-")</f>
        <v>-</v>
      </c>
      <c r="J1633" s="5" t="str">
        <f>IFERROR(VLOOKUP(A1633,取得元!$A$2:$F$501,5,FALSE),"-")</f>
        <v>-</v>
      </c>
      <c r="K1633" s="25" t="str">
        <f>IFERROR(VLOOKUP(A1633,取得元!$A$2:$F$501,6,FALSE)/100,"-")</f>
        <v>-</v>
      </c>
      <c r="L1633" s="21" t="str">
        <f>_xll.RssMarket(A1633,"始値")</f>
        <v/>
      </c>
      <c r="M1633" s="4" t="e">
        <f t="shared" si="140"/>
        <v>#VALUE!</v>
      </c>
      <c r="N1633" s="21" t="str">
        <f>_xll.RssMarket(A1633,"高値")</f>
        <v/>
      </c>
      <c r="O1633" s="4" t="e">
        <f t="shared" si="141"/>
        <v>#VALUE!</v>
      </c>
      <c r="P1633" s="21" t="str">
        <f>_xll.RssMarket(A1633,"安値")</f>
        <v/>
      </c>
      <c r="Q1633" s="4" t="e">
        <f t="shared" si="142"/>
        <v>#VALUE!</v>
      </c>
      <c r="R1633" s="21" t="str">
        <f>_xll.RssMarket(A1633,"後場始値")</f>
        <v/>
      </c>
      <c r="S1633" s="25" t="str">
        <f t="shared" si="143"/>
        <v>-</v>
      </c>
      <c r="T1633" s="7" t="str">
        <f>_xll.RssMarket(A1633,"出来高加重平均")</f>
        <v/>
      </c>
      <c r="U1633" s="4" t="e">
        <f t="shared" si="144"/>
        <v>#VALUE!</v>
      </c>
      <c r="V1633" s="21" t="str">
        <f>_xll.RssMarket(A1633,"出来高")</f>
        <v/>
      </c>
      <c r="W1633" s="21" t="str">
        <f>_xll.RssMarket(A1633,"売買代金")</f>
        <v/>
      </c>
      <c r="X1633" s="20" t="str">
        <f>_xll.RssMarket(A1633,"決算発表日")</f>
        <v/>
      </c>
      <c r="Y1633" s="26" t="str">
        <f>IF(C1633&gt;_xll.RssMarket(A1633,"年初来高値"),"○","×")</f>
        <v>×</v>
      </c>
      <c r="Z1633" s="27" t="str">
        <f>IF(C1633&lt;=_xll.RssMarket(A1633,"年初来安値"),"○","×")</f>
        <v>○</v>
      </c>
    </row>
    <row r="1634" spans="2:26" x14ac:dyDescent="0.55000000000000004">
      <c r="B1634" s="20" t="str">
        <f>_xll.RssMarket(A1634,"銘柄名称")</f>
        <v/>
      </c>
      <c r="C1634" s="21" t="str">
        <f>_xll.RssMarket(A1634,"現在値")</f>
        <v/>
      </c>
      <c r="D1634" s="20" t="str">
        <f>_xll.RssMarket(A1634,"現在値詳細時刻")</f>
        <v/>
      </c>
      <c r="E1634" s="22" t="str">
        <f>_xll.RssMarket(A1634,"前日比")</f>
        <v/>
      </c>
      <c r="F1634" s="23" t="e">
        <f>_xll.RssMarket(A1634,"前日比率")/100</f>
        <v>#VALUE!</v>
      </c>
      <c r="G1634" s="24" t="str">
        <f>IFERROR(VLOOKUP(A1634,取得元!$A$2:$F$501,2,FALSE),"-")</f>
        <v>-</v>
      </c>
      <c r="H1634" s="24" t="str">
        <f>IFERROR(VLOOKUP(A1634,取得元!$A$2:$F$501,3,FALSE),"-")</f>
        <v>-</v>
      </c>
      <c r="I1634" s="24" t="str">
        <f>IFERROR(VLOOKUP(A1634,取得元!$A$2:$F$501,4,FALSE),"-")</f>
        <v>-</v>
      </c>
      <c r="J1634" s="5" t="str">
        <f>IFERROR(VLOOKUP(A1634,取得元!$A$2:$F$501,5,FALSE),"-")</f>
        <v>-</v>
      </c>
      <c r="K1634" s="25" t="str">
        <f>IFERROR(VLOOKUP(A1634,取得元!$A$2:$F$501,6,FALSE)/100,"-")</f>
        <v>-</v>
      </c>
      <c r="L1634" s="21" t="str">
        <f>_xll.RssMarket(A1634,"始値")</f>
        <v/>
      </c>
      <c r="M1634" s="4" t="e">
        <f t="shared" si="140"/>
        <v>#VALUE!</v>
      </c>
      <c r="N1634" s="21" t="str">
        <f>_xll.RssMarket(A1634,"高値")</f>
        <v/>
      </c>
      <c r="O1634" s="4" t="e">
        <f t="shared" si="141"/>
        <v>#VALUE!</v>
      </c>
      <c r="P1634" s="21" t="str">
        <f>_xll.RssMarket(A1634,"安値")</f>
        <v/>
      </c>
      <c r="Q1634" s="4" t="e">
        <f t="shared" si="142"/>
        <v>#VALUE!</v>
      </c>
      <c r="R1634" s="21" t="str">
        <f>_xll.RssMarket(A1634,"後場始値")</f>
        <v/>
      </c>
      <c r="S1634" s="25" t="str">
        <f t="shared" si="143"/>
        <v>-</v>
      </c>
      <c r="T1634" s="7" t="str">
        <f>_xll.RssMarket(A1634,"出来高加重平均")</f>
        <v/>
      </c>
      <c r="U1634" s="4" t="e">
        <f t="shared" si="144"/>
        <v>#VALUE!</v>
      </c>
      <c r="V1634" s="21" t="str">
        <f>_xll.RssMarket(A1634,"出来高")</f>
        <v/>
      </c>
      <c r="W1634" s="21" t="str">
        <f>_xll.RssMarket(A1634,"売買代金")</f>
        <v/>
      </c>
      <c r="X1634" s="20" t="str">
        <f>_xll.RssMarket(A1634,"決算発表日")</f>
        <v/>
      </c>
      <c r="Y1634" s="26" t="str">
        <f>IF(C1634&gt;_xll.RssMarket(A1634,"年初来高値"),"○","×")</f>
        <v>×</v>
      </c>
      <c r="Z1634" s="27" t="str">
        <f>IF(C1634&lt;=_xll.RssMarket(A1634,"年初来安値"),"○","×")</f>
        <v>○</v>
      </c>
    </row>
    <row r="1635" spans="2:26" x14ac:dyDescent="0.55000000000000004">
      <c r="B1635" s="20" t="str">
        <f>_xll.RssMarket(A1635,"銘柄名称")</f>
        <v/>
      </c>
      <c r="C1635" s="21" t="str">
        <f>_xll.RssMarket(A1635,"現在値")</f>
        <v/>
      </c>
      <c r="D1635" s="20" t="str">
        <f>_xll.RssMarket(A1635,"現在値詳細時刻")</f>
        <v/>
      </c>
      <c r="E1635" s="22" t="str">
        <f>_xll.RssMarket(A1635,"前日比")</f>
        <v/>
      </c>
      <c r="F1635" s="23" t="e">
        <f>_xll.RssMarket(A1635,"前日比率")/100</f>
        <v>#VALUE!</v>
      </c>
      <c r="G1635" s="24" t="str">
        <f>IFERROR(VLOOKUP(A1635,取得元!$A$2:$F$501,2,FALSE),"-")</f>
        <v>-</v>
      </c>
      <c r="H1635" s="24" t="str">
        <f>IFERROR(VLOOKUP(A1635,取得元!$A$2:$F$501,3,FALSE),"-")</f>
        <v>-</v>
      </c>
      <c r="I1635" s="24" t="str">
        <f>IFERROR(VLOOKUP(A1635,取得元!$A$2:$F$501,4,FALSE),"-")</f>
        <v>-</v>
      </c>
      <c r="J1635" s="5" t="str">
        <f>IFERROR(VLOOKUP(A1635,取得元!$A$2:$F$501,5,FALSE),"-")</f>
        <v>-</v>
      </c>
      <c r="K1635" s="25" t="str">
        <f>IFERROR(VLOOKUP(A1635,取得元!$A$2:$F$501,6,FALSE)/100,"-")</f>
        <v>-</v>
      </c>
      <c r="L1635" s="21" t="str">
        <f>_xll.RssMarket(A1635,"始値")</f>
        <v/>
      </c>
      <c r="M1635" s="4" t="e">
        <f t="shared" si="140"/>
        <v>#VALUE!</v>
      </c>
      <c r="N1635" s="21" t="str">
        <f>_xll.RssMarket(A1635,"高値")</f>
        <v/>
      </c>
      <c r="O1635" s="4" t="e">
        <f t="shared" si="141"/>
        <v>#VALUE!</v>
      </c>
      <c r="P1635" s="21" t="str">
        <f>_xll.RssMarket(A1635,"安値")</f>
        <v/>
      </c>
      <c r="Q1635" s="4" t="e">
        <f t="shared" si="142"/>
        <v>#VALUE!</v>
      </c>
      <c r="R1635" s="21" t="str">
        <f>_xll.RssMarket(A1635,"後場始値")</f>
        <v/>
      </c>
      <c r="S1635" s="25" t="str">
        <f t="shared" si="143"/>
        <v>-</v>
      </c>
      <c r="T1635" s="7" t="str">
        <f>_xll.RssMarket(A1635,"出来高加重平均")</f>
        <v/>
      </c>
      <c r="U1635" s="4" t="e">
        <f t="shared" si="144"/>
        <v>#VALUE!</v>
      </c>
      <c r="V1635" s="21" t="str">
        <f>_xll.RssMarket(A1635,"出来高")</f>
        <v/>
      </c>
      <c r="W1635" s="21" t="str">
        <f>_xll.RssMarket(A1635,"売買代金")</f>
        <v/>
      </c>
      <c r="X1635" s="20" t="str">
        <f>_xll.RssMarket(A1635,"決算発表日")</f>
        <v/>
      </c>
      <c r="Y1635" s="26" t="str">
        <f>IF(C1635&gt;_xll.RssMarket(A1635,"年初来高値"),"○","×")</f>
        <v>×</v>
      </c>
      <c r="Z1635" s="27" t="str">
        <f>IF(C1635&lt;=_xll.RssMarket(A1635,"年初来安値"),"○","×")</f>
        <v>○</v>
      </c>
    </row>
    <row r="1636" spans="2:26" x14ac:dyDescent="0.55000000000000004">
      <c r="B1636" s="20" t="str">
        <f>_xll.RssMarket(A1636,"銘柄名称")</f>
        <v/>
      </c>
      <c r="C1636" s="21" t="str">
        <f>_xll.RssMarket(A1636,"現在値")</f>
        <v/>
      </c>
      <c r="D1636" s="20" t="str">
        <f>_xll.RssMarket(A1636,"現在値詳細時刻")</f>
        <v/>
      </c>
      <c r="E1636" s="22" t="str">
        <f>_xll.RssMarket(A1636,"前日比")</f>
        <v/>
      </c>
      <c r="F1636" s="23" t="e">
        <f>_xll.RssMarket(A1636,"前日比率")/100</f>
        <v>#VALUE!</v>
      </c>
      <c r="G1636" s="24" t="str">
        <f>IFERROR(VLOOKUP(A1636,取得元!$A$2:$F$501,2,FALSE),"-")</f>
        <v>-</v>
      </c>
      <c r="H1636" s="24" t="str">
        <f>IFERROR(VLOOKUP(A1636,取得元!$A$2:$F$501,3,FALSE),"-")</f>
        <v>-</v>
      </c>
      <c r="I1636" s="24" t="str">
        <f>IFERROR(VLOOKUP(A1636,取得元!$A$2:$F$501,4,FALSE),"-")</f>
        <v>-</v>
      </c>
      <c r="J1636" s="5" t="str">
        <f>IFERROR(VLOOKUP(A1636,取得元!$A$2:$F$501,5,FALSE),"-")</f>
        <v>-</v>
      </c>
      <c r="K1636" s="25" t="str">
        <f>IFERROR(VLOOKUP(A1636,取得元!$A$2:$F$501,6,FALSE)/100,"-")</f>
        <v>-</v>
      </c>
      <c r="L1636" s="21" t="str">
        <f>_xll.RssMarket(A1636,"始値")</f>
        <v/>
      </c>
      <c r="M1636" s="4" t="e">
        <f t="shared" si="140"/>
        <v>#VALUE!</v>
      </c>
      <c r="N1636" s="21" t="str">
        <f>_xll.RssMarket(A1636,"高値")</f>
        <v/>
      </c>
      <c r="O1636" s="4" t="e">
        <f t="shared" si="141"/>
        <v>#VALUE!</v>
      </c>
      <c r="P1636" s="21" t="str">
        <f>_xll.RssMarket(A1636,"安値")</f>
        <v/>
      </c>
      <c r="Q1636" s="4" t="e">
        <f t="shared" si="142"/>
        <v>#VALUE!</v>
      </c>
      <c r="R1636" s="21" t="str">
        <f>_xll.RssMarket(A1636,"後場始値")</f>
        <v/>
      </c>
      <c r="S1636" s="25" t="str">
        <f t="shared" si="143"/>
        <v>-</v>
      </c>
      <c r="T1636" s="7" t="str">
        <f>_xll.RssMarket(A1636,"出来高加重平均")</f>
        <v/>
      </c>
      <c r="U1636" s="4" t="e">
        <f t="shared" si="144"/>
        <v>#VALUE!</v>
      </c>
      <c r="V1636" s="21" t="str">
        <f>_xll.RssMarket(A1636,"出来高")</f>
        <v/>
      </c>
      <c r="W1636" s="21" t="str">
        <f>_xll.RssMarket(A1636,"売買代金")</f>
        <v/>
      </c>
      <c r="X1636" s="20" t="str">
        <f>_xll.RssMarket(A1636,"決算発表日")</f>
        <v/>
      </c>
      <c r="Y1636" s="26" t="str">
        <f>IF(C1636&gt;_xll.RssMarket(A1636,"年初来高値"),"○","×")</f>
        <v>×</v>
      </c>
      <c r="Z1636" s="27" t="str">
        <f>IF(C1636&lt;=_xll.RssMarket(A1636,"年初来安値"),"○","×")</f>
        <v>○</v>
      </c>
    </row>
    <row r="1637" spans="2:26" x14ac:dyDescent="0.55000000000000004">
      <c r="B1637" s="20" t="str">
        <f>_xll.RssMarket(A1637,"銘柄名称")</f>
        <v/>
      </c>
      <c r="C1637" s="21" t="str">
        <f>_xll.RssMarket(A1637,"現在値")</f>
        <v/>
      </c>
      <c r="D1637" s="20" t="str">
        <f>_xll.RssMarket(A1637,"現在値詳細時刻")</f>
        <v/>
      </c>
      <c r="E1637" s="22" t="str">
        <f>_xll.RssMarket(A1637,"前日比")</f>
        <v/>
      </c>
      <c r="F1637" s="23" t="e">
        <f>_xll.RssMarket(A1637,"前日比率")/100</f>
        <v>#VALUE!</v>
      </c>
      <c r="G1637" s="24" t="str">
        <f>IFERROR(VLOOKUP(A1637,取得元!$A$2:$F$501,2,FALSE),"-")</f>
        <v>-</v>
      </c>
      <c r="H1637" s="24" t="str">
        <f>IFERROR(VLOOKUP(A1637,取得元!$A$2:$F$501,3,FALSE),"-")</f>
        <v>-</v>
      </c>
      <c r="I1637" s="24" t="str">
        <f>IFERROR(VLOOKUP(A1637,取得元!$A$2:$F$501,4,FALSE),"-")</f>
        <v>-</v>
      </c>
      <c r="J1637" s="5" t="str">
        <f>IFERROR(VLOOKUP(A1637,取得元!$A$2:$F$501,5,FALSE),"-")</f>
        <v>-</v>
      </c>
      <c r="K1637" s="25" t="str">
        <f>IFERROR(VLOOKUP(A1637,取得元!$A$2:$F$501,6,FALSE)/100,"-")</f>
        <v>-</v>
      </c>
      <c r="L1637" s="21" t="str">
        <f>_xll.RssMarket(A1637,"始値")</f>
        <v/>
      </c>
      <c r="M1637" s="4" t="e">
        <f t="shared" si="140"/>
        <v>#VALUE!</v>
      </c>
      <c r="N1637" s="21" t="str">
        <f>_xll.RssMarket(A1637,"高値")</f>
        <v/>
      </c>
      <c r="O1637" s="4" t="e">
        <f t="shared" si="141"/>
        <v>#VALUE!</v>
      </c>
      <c r="P1637" s="21" t="str">
        <f>_xll.RssMarket(A1637,"安値")</f>
        <v/>
      </c>
      <c r="Q1637" s="4" t="e">
        <f t="shared" si="142"/>
        <v>#VALUE!</v>
      </c>
      <c r="R1637" s="21" t="str">
        <f>_xll.RssMarket(A1637,"後場始値")</f>
        <v/>
      </c>
      <c r="S1637" s="25" t="str">
        <f t="shared" si="143"/>
        <v>-</v>
      </c>
      <c r="T1637" s="7" t="str">
        <f>_xll.RssMarket(A1637,"出来高加重平均")</f>
        <v/>
      </c>
      <c r="U1637" s="4" t="e">
        <f t="shared" si="144"/>
        <v>#VALUE!</v>
      </c>
      <c r="V1637" s="21" t="str">
        <f>_xll.RssMarket(A1637,"出来高")</f>
        <v/>
      </c>
      <c r="W1637" s="21" t="str">
        <f>_xll.RssMarket(A1637,"売買代金")</f>
        <v/>
      </c>
      <c r="X1637" s="20" t="str">
        <f>_xll.RssMarket(A1637,"決算発表日")</f>
        <v/>
      </c>
      <c r="Y1637" s="26" t="str">
        <f>IF(C1637&gt;_xll.RssMarket(A1637,"年初来高値"),"○","×")</f>
        <v>×</v>
      </c>
      <c r="Z1637" s="27" t="str">
        <f>IF(C1637&lt;=_xll.RssMarket(A1637,"年初来安値"),"○","×")</f>
        <v>○</v>
      </c>
    </row>
    <row r="1638" spans="2:26" x14ac:dyDescent="0.55000000000000004">
      <c r="B1638" s="20" t="str">
        <f>_xll.RssMarket(A1638,"銘柄名称")</f>
        <v/>
      </c>
      <c r="C1638" s="21" t="str">
        <f>_xll.RssMarket(A1638,"現在値")</f>
        <v/>
      </c>
      <c r="D1638" s="20" t="str">
        <f>_xll.RssMarket(A1638,"現在値詳細時刻")</f>
        <v/>
      </c>
      <c r="E1638" s="22" t="str">
        <f>_xll.RssMarket(A1638,"前日比")</f>
        <v/>
      </c>
      <c r="F1638" s="23" t="e">
        <f>_xll.RssMarket(A1638,"前日比率")/100</f>
        <v>#VALUE!</v>
      </c>
      <c r="G1638" s="24" t="str">
        <f>IFERROR(VLOOKUP(A1638,取得元!$A$2:$F$501,2,FALSE),"-")</f>
        <v>-</v>
      </c>
      <c r="H1638" s="24" t="str">
        <f>IFERROR(VLOOKUP(A1638,取得元!$A$2:$F$501,3,FALSE),"-")</f>
        <v>-</v>
      </c>
      <c r="I1638" s="24" t="str">
        <f>IFERROR(VLOOKUP(A1638,取得元!$A$2:$F$501,4,FALSE),"-")</f>
        <v>-</v>
      </c>
      <c r="J1638" s="5" t="str">
        <f>IFERROR(VLOOKUP(A1638,取得元!$A$2:$F$501,5,FALSE),"-")</f>
        <v>-</v>
      </c>
      <c r="K1638" s="25" t="str">
        <f>IFERROR(VLOOKUP(A1638,取得元!$A$2:$F$501,6,FALSE)/100,"-")</f>
        <v>-</v>
      </c>
      <c r="L1638" s="21" t="str">
        <f>_xll.RssMarket(A1638,"始値")</f>
        <v/>
      </c>
      <c r="M1638" s="4" t="e">
        <f t="shared" si="140"/>
        <v>#VALUE!</v>
      </c>
      <c r="N1638" s="21" t="str">
        <f>_xll.RssMarket(A1638,"高値")</f>
        <v/>
      </c>
      <c r="O1638" s="4" t="e">
        <f t="shared" si="141"/>
        <v>#VALUE!</v>
      </c>
      <c r="P1638" s="21" t="str">
        <f>_xll.RssMarket(A1638,"安値")</f>
        <v/>
      </c>
      <c r="Q1638" s="4" t="e">
        <f t="shared" si="142"/>
        <v>#VALUE!</v>
      </c>
      <c r="R1638" s="21" t="str">
        <f>_xll.RssMarket(A1638,"後場始値")</f>
        <v/>
      </c>
      <c r="S1638" s="25" t="str">
        <f t="shared" si="143"/>
        <v>-</v>
      </c>
      <c r="T1638" s="7" t="str">
        <f>_xll.RssMarket(A1638,"出来高加重平均")</f>
        <v/>
      </c>
      <c r="U1638" s="4" t="e">
        <f t="shared" si="144"/>
        <v>#VALUE!</v>
      </c>
      <c r="V1638" s="21" t="str">
        <f>_xll.RssMarket(A1638,"出来高")</f>
        <v/>
      </c>
      <c r="W1638" s="21" t="str">
        <f>_xll.RssMarket(A1638,"売買代金")</f>
        <v/>
      </c>
      <c r="X1638" s="20" t="str">
        <f>_xll.RssMarket(A1638,"決算発表日")</f>
        <v/>
      </c>
      <c r="Y1638" s="26" t="str">
        <f>IF(C1638&gt;_xll.RssMarket(A1638,"年初来高値"),"○","×")</f>
        <v>×</v>
      </c>
      <c r="Z1638" s="27" t="str">
        <f>IF(C1638&lt;=_xll.RssMarket(A1638,"年初来安値"),"○","×")</f>
        <v>○</v>
      </c>
    </row>
    <row r="1639" spans="2:26" x14ac:dyDescent="0.55000000000000004">
      <c r="B1639" s="20" t="str">
        <f>_xll.RssMarket(A1639,"銘柄名称")</f>
        <v/>
      </c>
      <c r="C1639" s="21" t="str">
        <f>_xll.RssMarket(A1639,"現在値")</f>
        <v/>
      </c>
      <c r="D1639" s="20" t="str">
        <f>_xll.RssMarket(A1639,"現在値詳細時刻")</f>
        <v/>
      </c>
      <c r="E1639" s="22" t="str">
        <f>_xll.RssMarket(A1639,"前日比")</f>
        <v/>
      </c>
      <c r="F1639" s="23" t="e">
        <f>_xll.RssMarket(A1639,"前日比率")/100</f>
        <v>#VALUE!</v>
      </c>
      <c r="G1639" s="24" t="str">
        <f>IFERROR(VLOOKUP(A1639,取得元!$A$2:$F$501,2,FALSE),"-")</f>
        <v>-</v>
      </c>
      <c r="H1639" s="24" t="str">
        <f>IFERROR(VLOOKUP(A1639,取得元!$A$2:$F$501,3,FALSE),"-")</f>
        <v>-</v>
      </c>
      <c r="I1639" s="24" t="str">
        <f>IFERROR(VLOOKUP(A1639,取得元!$A$2:$F$501,4,FALSE),"-")</f>
        <v>-</v>
      </c>
      <c r="J1639" s="5" t="str">
        <f>IFERROR(VLOOKUP(A1639,取得元!$A$2:$F$501,5,FALSE),"-")</f>
        <v>-</v>
      </c>
      <c r="K1639" s="25" t="str">
        <f>IFERROR(VLOOKUP(A1639,取得元!$A$2:$F$501,6,FALSE)/100,"-")</f>
        <v>-</v>
      </c>
      <c r="L1639" s="21" t="str">
        <f>_xll.RssMarket(A1639,"始値")</f>
        <v/>
      </c>
      <c r="M1639" s="4" t="e">
        <f t="shared" si="140"/>
        <v>#VALUE!</v>
      </c>
      <c r="N1639" s="21" t="str">
        <f>_xll.RssMarket(A1639,"高値")</f>
        <v/>
      </c>
      <c r="O1639" s="4" t="e">
        <f t="shared" si="141"/>
        <v>#VALUE!</v>
      </c>
      <c r="P1639" s="21" t="str">
        <f>_xll.RssMarket(A1639,"安値")</f>
        <v/>
      </c>
      <c r="Q1639" s="4" t="e">
        <f t="shared" si="142"/>
        <v>#VALUE!</v>
      </c>
      <c r="R1639" s="21" t="str">
        <f>_xll.RssMarket(A1639,"後場始値")</f>
        <v/>
      </c>
      <c r="S1639" s="25" t="str">
        <f t="shared" si="143"/>
        <v>-</v>
      </c>
      <c r="T1639" s="7" t="str">
        <f>_xll.RssMarket(A1639,"出来高加重平均")</f>
        <v/>
      </c>
      <c r="U1639" s="4" t="e">
        <f t="shared" si="144"/>
        <v>#VALUE!</v>
      </c>
      <c r="V1639" s="21" t="str">
        <f>_xll.RssMarket(A1639,"出来高")</f>
        <v/>
      </c>
      <c r="W1639" s="21" t="str">
        <f>_xll.RssMarket(A1639,"売買代金")</f>
        <v/>
      </c>
      <c r="X1639" s="20" t="str">
        <f>_xll.RssMarket(A1639,"決算発表日")</f>
        <v/>
      </c>
      <c r="Y1639" s="26" t="str">
        <f>IF(C1639&gt;_xll.RssMarket(A1639,"年初来高値"),"○","×")</f>
        <v>×</v>
      </c>
      <c r="Z1639" s="27" t="str">
        <f>IF(C1639&lt;=_xll.RssMarket(A1639,"年初来安値"),"○","×")</f>
        <v>○</v>
      </c>
    </row>
    <row r="1640" spans="2:26" x14ac:dyDescent="0.55000000000000004">
      <c r="B1640" s="20" t="str">
        <f>_xll.RssMarket(A1640,"銘柄名称")</f>
        <v/>
      </c>
      <c r="C1640" s="21" t="str">
        <f>_xll.RssMarket(A1640,"現在値")</f>
        <v/>
      </c>
      <c r="D1640" s="20" t="str">
        <f>_xll.RssMarket(A1640,"現在値詳細時刻")</f>
        <v/>
      </c>
      <c r="E1640" s="22" t="str">
        <f>_xll.RssMarket(A1640,"前日比")</f>
        <v/>
      </c>
      <c r="F1640" s="23" t="e">
        <f>_xll.RssMarket(A1640,"前日比率")/100</f>
        <v>#VALUE!</v>
      </c>
      <c r="G1640" s="24" t="str">
        <f>IFERROR(VLOOKUP(A1640,取得元!$A$2:$F$501,2,FALSE),"-")</f>
        <v>-</v>
      </c>
      <c r="H1640" s="24" t="str">
        <f>IFERROR(VLOOKUP(A1640,取得元!$A$2:$F$501,3,FALSE),"-")</f>
        <v>-</v>
      </c>
      <c r="I1640" s="24" t="str">
        <f>IFERROR(VLOOKUP(A1640,取得元!$A$2:$F$501,4,FALSE),"-")</f>
        <v>-</v>
      </c>
      <c r="J1640" s="5" t="str">
        <f>IFERROR(VLOOKUP(A1640,取得元!$A$2:$F$501,5,FALSE),"-")</f>
        <v>-</v>
      </c>
      <c r="K1640" s="25" t="str">
        <f>IFERROR(VLOOKUP(A1640,取得元!$A$2:$F$501,6,FALSE)/100,"-")</f>
        <v>-</v>
      </c>
      <c r="L1640" s="21" t="str">
        <f>_xll.RssMarket(A1640,"始値")</f>
        <v/>
      </c>
      <c r="M1640" s="4" t="e">
        <f t="shared" si="140"/>
        <v>#VALUE!</v>
      </c>
      <c r="N1640" s="21" t="str">
        <f>_xll.RssMarket(A1640,"高値")</f>
        <v/>
      </c>
      <c r="O1640" s="4" t="e">
        <f t="shared" si="141"/>
        <v>#VALUE!</v>
      </c>
      <c r="P1640" s="21" t="str">
        <f>_xll.RssMarket(A1640,"安値")</f>
        <v/>
      </c>
      <c r="Q1640" s="4" t="e">
        <f t="shared" si="142"/>
        <v>#VALUE!</v>
      </c>
      <c r="R1640" s="21" t="str">
        <f>_xll.RssMarket(A1640,"後場始値")</f>
        <v/>
      </c>
      <c r="S1640" s="25" t="str">
        <f t="shared" si="143"/>
        <v>-</v>
      </c>
      <c r="T1640" s="7" t="str">
        <f>_xll.RssMarket(A1640,"出来高加重平均")</f>
        <v/>
      </c>
      <c r="U1640" s="4" t="e">
        <f t="shared" si="144"/>
        <v>#VALUE!</v>
      </c>
      <c r="V1640" s="21" t="str">
        <f>_xll.RssMarket(A1640,"出来高")</f>
        <v/>
      </c>
      <c r="W1640" s="21" t="str">
        <f>_xll.RssMarket(A1640,"売買代金")</f>
        <v/>
      </c>
      <c r="X1640" s="20" t="str">
        <f>_xll.RssMarket(A1640,"決算発表日")</f>
        <v/>
      </c>
      <c r="Y1640" s="26" t="str">
        <f>IF(C1640&gt;_xll.RssMarket(A1640,"年初来高値"),"○","×")</f>
        <v>×</v>
      </c>
      <c r="Z1640" s="27" t="str">
        <f>IF(C1640&lt;=_xll.RssMarket(A1640,"年初来安値"),"○","×")</f>
        <v>○</v>
      </c>
    </row>
    <row r="1641" spans="2:26" x14ac:dyDescent="0.55000000000000004">
      <c r="B1641" s="20" t="str">
        <f>_xll.RssMarket(A1641,"銘柄名称")</f>
        <v/>
      </c>
      <c r="C1641" s="21" t="str">
        <f>_xll.RssMarket(A1641,"現在値")</f>
        <v/>
      </c>
      <c r="D1641" s="20" t="str">
        <f>_xll.RssMarket(A1641,"現在値詳細時刻")</f>
        <v/>
      </c>
      <c r="E1641" s="22" t="str">
        <f>_xll.RssMarket(A1641,"前日比")</f>
        <v/>
      </c>
      <c r="F1641" s="23" t="e">
        <f>_xll.RssMarket(A1641,"前日比率")/100</f>
        <v>#VALUE!</v>
      </c>
      <c r="G1641" s="24" t="str">
        <f>IFERROR(VLOOKUP(A1641,取得元!$A$2:$F$501,2,FALSE),"-")</f>
        <v>-</v>
      </c>
      <c r="H1641" s="24" t="str">
        <f>IFERROR(VLOOKUP(A1641,取得元!$A$2:$F$501,3,FALSE),"-")</f>
        <v>-</v>
      </c>
      <c r="I1641" s="24" t="str">
        <f>IFERROR(VLOOKUP(A1641,取得元!$A$2:$F$501,4,FALSE),"-")</f>
        <v>-</v>
      </c>
      <c r="J1641" s="5" t="str">
        <f>IFERROR(VLOOKUP(A1641,取得元!$A$2:$F$501,5,FALSE),"-")</f>
        <v>-</v>
      </c>
      <c r="K1641" s="25" t="str">
        <f>IFERROR(VLOOKUP(A1641,取得元!$A$2:$F$501,6,FALSE)/100,"-")</f>
        <v>-</v>
      </c>
      <c r="L1641" s="21" t="str">
        <f>_xll.RssMarket(A1641,"始値")</f>
        <v/>
      </c>
      <c r="M1641" s="4" t="e">
        <f t="shared" si="140"/>
        <v>#VALUE!</v>
      </c>
      <c r="N1641" s="21" t="str">
        <f>_xll.RssMarket(A1641,"高値")</f>
        <v/>
      </c>
      <c r="O1641" s="4" t="e">
        <f t="shared" si="141"/>
        <v>#VALUE!</v>
      </c>
      <c r="P1641" s="21" t="str">
        <f>_xll.RssMarket(A1641,"安値")</f>
        <v/>
      </c>
      <c r="Q1641" s="4" t="e">
        <f t="shared" si="142"/>
        <v>#VALUE!</v>
      </c>
      <c r="R1641" s="21" t="str">
        <f>_xll.RssMarket(A1641,"後場始値")</f>
        <v/>
      </c>
      <c r="S1641" s="25" t="str">
        <f t="shared" si="143"/>
        <v>-</v>
      </c>
      <c r="T1641" s="7" t="str">
        <f>_xll.RssMarket(A1641,"出来高加重平均")</f>
        <v/>
      </c>
      <c r="U1641" s="4" t="e">
        <f t="shared" si="144"/>
        <v>#VALUE!</v>
      </c>
      <c r="V1641" s="21" t="str">
        <f>_xll.RssMarket(A1641,"出来高")</f>
        <v/>
      </c>
      <c r="W1641" s="21" t="str">
        <f>_xll.RssMarket(A1641,"売買代金")</f>
        <v/>
      </c>
      <c r="X1641" s="20" t="str">
        <f>_xll.RssMarket(A1641,"決算発表日")</f>
        <v/>
      </c>
      <c r="Y1641" s="26" t="str">
        <f>IF(C1641&gt;_xll.RssMarket(A1641,"年初来高値"),"○","×")</f>
        <v>×</v>
      </c>
      <c r="Z1641" s="27" t="str">
        <f>IF(C1641&lt;=_xll.RssMarket(A1641,"年初来安値"),"○","×")</f>
        <v>○</v>
      </c>
    </row>
    <row r="1642" spans="2:26" x14ac:dyDescent="0.55000000000000004">
      <c r="B1642" s="20" t="str">
        <f>_xll.RssMarket(A1642,"銘柄名称")</f>
        <v/>
      </c>
      <c r="C1642" s="21" t="str">
        <f>_xll.RssMarket(A1642,"現在値")</f>
        <v/>
      </c>
      <c r="D1642" s="20" t="str">
        <f>_xll.RssMarket(A1642,"現在値詳細時刻")</f>
        <v/>
      </c>
      <c r="E1642" s="22" t="str">
        <f>_xll.RssMarket(A1642,"前日比")</f>
        <v/>
      </c>
      <c r="F1642" s="23" t="e">
        <f>_xll.RssMarket(A1642,"前日比率")/100</f>
        <v>#VALUE!</v>
      </c>
      <c r="G1642" s="24" t="str">
        <f>IFERROR(VLOOKUP(A1642,取得元!$A$2:$F$501,2,FALSE),"-")</f>
        <v>-</v>
      </c>
      <c r="H1642" s="24" t="str">
        <f>IFERROR(VLOOKUP(A1642,取得元!$A$2:$F$501,3,FALSE),"-")</f>
        <v>-</v>
      </c>
      <c r="I1642" s="24" t="str">
        <f>IFERROR(VLOOKUP(A1642,取得元!$A$2:$F$501,4,FALSE),"-")</f>
        <v>-</v>
      </c>
      <c r="J1642" s="5" t="str">
        <f>IFERROR(VLOOKUP(A1642,取得元!$A$2:$F$501,5,FALSE),"-")</f>
        <v>-</v>
      </c>
      <c r="K1642" s="25" t="str">
        <f>IFERROR(VLOOKUP(A1642,取得元!$A$2:$F$501,6,FALSE)/100,"-")</f>
        <v>-</v>
      </c>
      <c r="L1642" s="21" t="str">
        <f>_xll.RssMarket(A1642,"始値")</f>
        <v/>
      </c>
      <c r="M1642" s="4" t="e">
        <f t="shared" si="140"/>
        <v>#VALUE!</v>
      </c>
      <c r="N1642" s="21" t="str">
        <f>_xll.RssMarket(A1642,"高値")</f>
        <v/>
      </c>
      <c r="O1642" s="4" t="e">
        <f t="shared" si="141"/>
        <v>#VALUE!</v>
      </c>
      <c r="P1642" s="21" t="str">
        <f>_xll.RssMarket(A1642,"安値")</f>
        <v/>
      </c>
      <c r="Q1642" s="4" t="e">
        <f t="shared" si="142"/>
        <v>#VALUE!</v>
      </c>
      <c r="R1642" s="21" t="str">
        <f>_xll.RssMarket(A1642,"後場始値")</f>
        <v/>
      </c>
      <c r="S1642" s="25" t="str">
        <f t="shared" si="143"/>
        <v>-</v>
      </c>
      <c r="T1642" s="7" t="str">
        <f>_xll.RssMarket(A1642,"出来高加重平均")</f>
        <v/>
      </c>
      <c r="U1642" s="4" t="e">
        <f t="shared" si="144"/>
        <v>#VALUE!</v>
      </c>
      <c r="V1642" s="21" t="str">
        <f>_xll.RssMarket(A1642,"出来高")</f>
        <v/>
      </c>
      <c r="W1642" s="21" t="str">
        <f>_xll.RssMarket(A1642,"売買代金")</f>
        <v/>
      </c>
      <c r="X1642" s="20" t="str">
        <f>_xll.RssMarket(A1642,"決算発表日")</f>
        <v/>
      </c>
      <c r="Y1642" s="26" t="str">
        <f>IF(C1642&gt;_xll.RssMarket(A1642,"年初来高値"),"○","×")</f>
        <v>×</v>
      </c>
      <c r="Z1642" s="27" t="str">
        <f>IF(C1642&lt;=_xll.RssMarket(A1642,"年初来安値"),"○","×")</f>
        <v>○</v>
      </c>
    </row>
    <row r="1643" spans="2:26" x14ac:dyDescent="0.55000000000000004">
      <c r="B1643" s="20" t="str">
        <f>_xll.RssMarket(A1643,"銘柄名称")</f>
        <v/>
      </c>
      <c r="C1643" s="21" t="str">
        <f>_xll.RssMarket(A1643,"現在値")</f>
        <v/>
      </c>
      <c r="D1643" s="20" t="str">
        <f>_xll.RssMarket(A1643,"現在値詳細時刻")</f>
        <v/>
      </c>
      <c r="E1643" s="22" t="str">
        <f>_xll.RssMarket(A1643,"前日比")</f>
        <v/>
      </c>
      <c r="F1643" s="23" t="e">
        <f>_xll.RssMarket(A1643,"前日比率")/100</f>
        <v>#VALUE!</v>
      </c>
      <c r="G1643" s="24" t="str">
        <f>IFERROR(VLOOKUP(A1643,取得元!$A$2:$F$501,2,FALSE),"-")</f>
        <v>-</v>
      </c>
      <c r="H1643" s="24" t="str">
        <f>IFERROR(VLOOKUP(A1643,取得元!$A$2:$F$501,3,FALSE),"-")</f>
        <v>-</v>
      </c>
      <c r="I1643" s="24" t="str">
        <f>IFERROR(VLOOKUP(A1643,取得元!$A$2:$F$501,4,FALSE),"-")</f>
        <v>-</v>
      </c>
      <c r="J1643" s="5" t="str">
        <f>IFERROR(VLOOKUP(A1643,取得元!$A$2:$F$501,5,FALSE),"-")</f>
        <v>-</v>
      </c>
      <c r="K1643" s="25" t="str">
        <f>IFERROR(VLOOKUP(A1643,取得元!$A$2:$F$501,6,FALSE)/100,"-")</f>
        <v>-</v>
      </c>
      <c r="L1643" s="21" t="str">
        <f>_xll.RssMarket(A1643,"始値")</f>
        <v/>
      </c>
      <c r="M1643" s="4" t="e">
        <f t="shared" si="140"/>
        <v>#VALUE!</v>
      </c>
      <c r="N1643" s="21" t="str">
        <f>_xll.RssMarket(A1643,"高値")</f>
        <v/>
      </c>
      <c r="O1643" s="4" t="e">
        <f t="shared" si="141"/>
        <v>#VALUE!</v>
      </c>
      <c r="P1643" s="21" t="str">
        <f>_xll.RssMarket(A1643,"安値")</f>
        <v/>
      </c>
      <c r="Q1643" s="4" t="e">
        <f t="shared" si="142"/>
        <v>#VALUE!</v>
      </c>
      <c r="R1643" s="21" t="str">
        <f>_xll.RssMarket(A1643,"後場始値")</f>
        <v/>
      </c>
      <c r="S1643" s="25" t="str">
        <f t="shared" si="143"/>
        <v>-</v>
      </c>
      <c r="T1643" s="7" t="str">
        <f>_xll.RssMarket(A1643,"出来高加重平均")</f>
        <v/>
      </c>
      <c r="U1643" s="4" t="e">
        <f t="shared" si="144"/>
        <v>#VALUE!</v>
      </c>
      <c r="V1643" s="21" t="str">
        <f>_xll.RssMarket(A1643,"出来高")</f>
        <v/>
      </c>
      <c r="W1643" s="21" t="str">
        <f>_xll.RssMarket(A1643,"売買代金")</f>
        <v/>
      </c>
      <c r="X1643" s="20" t="str">
        <f>_xll.RssMarket(A1643,"決算発表日")</f>
        <v/>
      </c>
      <c r="Y1643" s="26" t="str">
        <f>IF(C1643&gt;_xll.RssMarket(A1643,"年初来高値"),"○","×")</f>
        <v>×</v>
      </c>
      <c r="Z1643" s="27" t="str">
        <f>IF(C1643&lt;=_xll.RssMarket(A1643,"年初来安値"),"○","×")</f>
        <v>○</v>
      </c>
    </row>
    <row r="1644" spans="2:26" x14ac:dyDescent="0.55000000000000004">
      <c r="B1644" s="20" t="str">
        <f>_xll.RssMarket(A1644,"銘柄名称")</f>
        <v/>
      </c>
      <c r="C1644" s="21" t="str">
        <f>_xll.RssMarket(A1644,"現在値")</f>
        <v/>
      </c>
      <c r="D1644" s="20" t="str">
        <f>_xll.RssMarket(A1644,"現在値詳細時刻")</f>
        <v/>
      </c>
      <c r="E1644" s="22" t="str">
        <f>_xll.RssMarket(A1644,"前日比")</f>
        <v/>
      </c>
      <c r="F1644" s="23" t="e">
        <f>_xll.RssMarket(A1644,"前日比率")/100</f>
        <v>#VALUE!</v>
      </c>
      <c r="G1644" s="24" t="str">
        <f>IFERROR(VLOOKUP(A1644,取得元!$A$2:$F$501,2,FALSE),"-")</f>
        <v>-</v>
      </c>
      <c r="H1644" s="24" t="str">
        <f>IFERROR(VLOOKUP(A1644,取得元!$A$2:$F$501,3,FALSE),"-")</f>
        <v>-</v>
      </c>
      <c r="I1644" s="24" t="str">
        <f>IFERROR(VLOOKUP(A1644,取得元!$A$2:$F$501,4,FALSE),"-")</f>
        <v>-</v>
      </c>
      <c r="J1644" s="5" t="str">
        <f>IFERROR(VLOOKUP(A1644,取得元!$A$2:$F$501,5,FALSE),"-")</f>
        <v>-</v>
      </c>
      <c r="K1644" s="25" t="str">
        <f>IFERROR(VLOOKUP(A1644,取得元!$A$2:$F$501,6,FALSE)/100,"-")</f>
        <v>-</v>
      </c>
      <c r="L1644" s="21" t="str">
        <f>_xll.RssMarket(A1644,"始値")</f>
        <v/>
      </c>
      <c r="M1644" s="4" t="e">
        <f t="shared" si="140"/>
        <v>#VALUE!</v>
      </c>
      <c r="N1644" s="21" t="str">
        <f>_xll.RssMarket(A1644,"高値")</f>
        <v/>
      </c>
      <c r="O1644" s="4" t="e">
        <f t="shared" si="141"/>
        <v>#VALUE!</v>
      </c>
      <c r="P1644" s="21" t="str">
        <f>_xll.RssMarket(A1644,"安値")</f>
        <v/>
      </c>
      <c r="Q1644" s="4" t="e">
        <f t="shared" si="142"/>
        <v>#VALUE!</v>
      </c>
      <c r="R1644" s="21" t="str">
        <f>_xll.RssMarket(A1644,"後場始値")</f>
        <v/>
      </c>
      <c r="S1644" s="25" t="str">
        <f t="shared" si="143"/>
        <v>-</v>
      </c>
      <c r="T1644" s="7" t="str">
        <f>_xll.RssMarket(A1644,"出来高加重平均")</f>
        <v/>
      </c>
      <c r="U1644" s="4" t="e">
        <f t="shared" si="144"/>
        <v>#VALUE!</v>
      </c>
      <c r="V1644" s="21" t="str">
        <f>_xll.RssMarket(A1644,"出来高")</f>
        <v/>
      </c>
      <c r="W1644" s="21" t="str">
        <f>_xll.RssMarket(A1644,"売買代金")</f>
        <v/>
      </c>
      <c r="X1644" s="20" t="str">
        <f>_xll.RssMarket(A1644,"決算発表日")</f>
        <v/>
      </c>
      <c r="Y1644" s="26" t="str">
        <f>IF(C1644&gt;_xll.RssMarket(A1644,"年初来高値"),"○","×")</f>
        <v>×</v>
      </c>
      <c r="Z1644" s="27" t="str">
        <f>IF(C1644&lt;=_xll.RssMarket(A1644,"年初来安値"),"○","×")</f>
        <v>○</v>
      </c>
    </row>
    <row r="1645" spans="2:26" x14ac:dyDescent="0.55000000000000004">
      <c r="B1645" s="20" t="str">
        <f>_xll.RssMarket(A1645,"銘柄名称")</f>
        <v/>
      </c>
      <c r="C1645" s="21" t="str">
        <f>_xll.RssMarket(A1645,"現在値")</f>
        <v/>
      </c>
      <c r="D1645" s="20" t="str">
        <f>_xll.RssMarket(A1645,"現在値詳細時刻")</f>
        <v/>
      </c>
      <c r="E1645" s="22" t="str">
        <f>_xll.RssMarket(A1645,"前日比")</f>
        <v/>
      </c>
      <c r="F1645" s="23" t="e">
        <f>_xll.RssMarket(A1645,"前日比率")/100</f>
        <v>#VALUE!</v>
      </c>
      <c r="G1645" s="24" t="str">
        <f>IFERROR(VLOOKUP(A1645,取得元!$A$2:$F$501,2,FALSE),"-")</f>
        <v>-</v>
      </c>
      <c r="H1645" s="24" t="str">
        <f>IFERROR(VLOOKUP(A1645,取得元!$A$2:$F$501,3,FALSE),"-")</f>
        <v>-</v>
      </c>
      <c r="I1645" s="24" t="str">
        <f>IFERROR(VLOOKUP(A1645,取得元!$A$2:$F$501,4,FALSE),"-")</f>
        <v>-</v>
      </c>
      <c r="J1645" s="5" t="str">
        <f>IFERROR(VLOOKUP(A1645,取得元!$A$2:$F$501,5,FALSE),"-")</f>
        <v>-</v>
      </c>
      <c r="K1645" s="25" t="str">
        <f>IFERROR(VLOOKUP(A1645,取得元!$A$2:$F$501,6,FALSE)/100,"-")</f>
        <v>-</v>
      </c>
      <c r="L1645" s="21" t="str">
        <f>_xll.RssMarket(A1645,"始値")</f>
        <v/>
      </c>
      <c r="M1645" s="4" t="e">
        <f t="shared" si="140"/>
        <v>#VALUE!</v>
      </c>
      <c r="N1645" s="21" t="str">
        <f>_xll.RssMarket(A1645,"高値")</f>
        <v/>
      </c>
      <c r="O1645" s="4" t="e">
        <f t="shared" si="141"/>
        <v>#VALUE!</v>
      </c>
      <c r="P1645" s="21" t="str">
        <f>_xll.RssMarket(A1645,"安値")</f>
        <v/>
      </c>
      <c r="Q1645" s="4" t="e">
        <f t="shared" si="142"/>
        <v>#VALUE!</v>
      </c>
      <c r="R1645" s="21" t="str">
        <f>_xll.RssMarket(A1645,"後場始値")</f>
        <v/>
      </c>
      <c r="S1645" s="25" t="str">
        <f t="shared" si="143"/>
        <v>-</v>
      </c>
      <c r="T1645" s="7" t="str">
        <f>_xll.RssMarket(A1645,"出来高加重平均")</f>
        <v/>
      </c>
      <c r="U1645" s="4" t="e">
        <f t="shared" si="144"/>
        <v>#VALUE!</v>
      </c>
      <c r="V1645" s="21" t="str">
        <f>_xll.RssMarket(A1645,"出来高")</f>
        <v/>
      </c>
      <c r="W1645" s="21" t="str">
        <f>_xll.RssMarket(A1645,"売買代金")</f>
        <v/>
      </c>
      <c r="X1645" s="20" t="str">
        <f>_xll.RssMarket(A1645,"決算発表日")</f>
        <v/>
      </c>
      <c r="Y1645" s="26" t="str">
        <f>IF(C1645&gt;_xll.RssMarket(A1645,"年初来高値"),"○","×")</f>
        <v>×</v>
      </c>
      <c r="Z1645" s="27" t="str">
        <f>IF(C1645&lt;=_xll.RssMarket(A1645,"年初来安値"),"○","×")</f>
        <v>○</v>
      </c>
    </row>
    <row r="1646" spans="2:26" x14ac:dyDescent="0.55000000000000004">
      <c r="B1646" s="20" t="str">
        <f>_xll.RssMarket(A1646,"銘柄名称")</f>
        <v/>
      </c>
      <c r="C1646" s="21" t="str">
        <f>_xll.RssMarket(A1646,"現在値")</f>
        <v/>
      </c>
      <c r="D1646" s="20" t="str">
        <f>_xll.RssMarket(A1646,"現在値詳細時刻")</f>
        <v/>
      </c>
      <c r="E1646" s="22" t="str">
        <f>_xll.RssMarket(A1646,"前日比")</f>
        <v/>
      </c>
      <c r="F1646" s="23" t="e">
        <f>_xll.RssMarket(A1646,"前日比率")/100</f>
        <v>#VALUE!</v>
      </c>
      <c r="G1646" s="24" t="str">
        <f>IFERROR(VLOOKUP(A1646,取得元!$A$2:$F$501,2,FALSE),"-")</f>
        <v>-</v>
      </c>
      <c r="H1646" s="24" t="str">
        <f>IFERROR(VLOOKUP(A1646,取得元!$A$2:$F$501,3,FALSE),"-")</f>
        <v>-</v>
      </c>
      <c r="I1646" s="24" t="str">
        <f>IFERROR(VLOOKUP(A1646,取得元!$A$2:$F$501,4,FALSE),"-")</f>
        <v>-</v>
      </c>
      <c r="J1646" s="5" t="str">
        <f>IFERROR(VLOOKUP(A1646,取得元!$A$2:$F$501,5,FALSE),"-")</f>
        <v>-</v>
      </c>
      <c r="K1646" s="25" t="str">
        <f>IFERROR(VLOOKUP(A1646,取得元!$A$2:$F$501,6,FALSE)/100,"-")</f>
        <v>-</v>
      </c>
      <c r="L1646" s="21" t="str">
        <f>_xll.RssMarket(A1646,"始値")</f>
        <v/>
      </c>
      <c r="M1646" s="4" t="e">
        <f t="shared" si="140"/>
        <v>#VALUE!</v>
      </c>
      <c r="N1646" s="21" t="str">
        <f>_xll.RssMarket(A1646,"高値")</f>
        <v/>
      </c>
      <c r="O1646" s="4" t="e">
        <f t="shared" si="141"/>
        <v>#VALUE!</v>
      </c>
      <c r="P1646" s="21" t="str">
        <f>_xll.RssMarket(A1646,"安値")</f>
        <v/>
      </c>
      <c r="Q1646" s="4" t="e">
        <f t="shared" si="142"/>
        <v>#VALUE!</v>
      </c>
      <c r="R1646" s="21" t="str">
        <f>_xll.RssMarket(A1646,"後場始値")</f>
        <v/>
      </c>
      <c r="S1646" s="25" t="str">
        <f t="shared" si="143"/>
        <v>-</v>
      </c>
      <c r="T1646" s="7" t="str">
        <f>_xll.RssMarket(A1646,"出来高加重平均")</f>
        <v/>
      </c>
      <c r="U1646" s="4" t="e">
        <f t="shared" si="144"/>
        <v>#VALUE!</v>
      </c>
      <c r="V1646" s="21" t="str">
        <f>_xll.RssMarket(A1646,"出来高")</f>
        <v/>
      </c>
      <c r="W1646" s="21" t="str">
        <f>_xll.RssMarket(A1646,"売買代金")</f>
        <v/>
      </c>
      <c r="X1646" s="20" t="str">
        <f>_xll.RssMarket(A1646,"決算発表日")</f>
        <v/>
      </c>
      <c r="Y1646" s="26" t="str">
        <f>IF(C1646&gt;_xll.RssMarket(A1646,"年初来高値"),"○","×")</f>
        <v>×</v>
      </c>
      <c r="Z1646" s="27" t="str">
        <f>IF(C1646&lt;=_xll.RssMarket(A1646,"年初来安値"),"○","×")</f>
        <v>○</v>
      </c>
    </row>
    <row r="1647" spans="2:26" x14ac:dyDescent="0.55000000000000004">
      <c r="B1647" s="20" t="str">
        <f>_xll.RssMarket(A1647,"銘柄名称")</f>
        <v/>
      </c>
      <c r="C1647" s="21" t="str">
        <f>_xll.RssMarket(A1647,"現在値")</f>
        <v/>
      </c>
      <c r="D1647" s="20" t="str">
        <f>_xll.RssMarket(A1647,"現在値詳細時刻")</f>
        <v/>
      </c>
      <c r="E1647" s="22" t="str">
        <f>_xll.RssMarket(A1647,"前日比")</f>
        <v/>
      </c>
      <c r="F1647" s="23" t="e">
        <f>_xll.RssMarket(A1647,"前日比率")/100</f>
        <v>#VALUE!</v>
      </c>
      <c r="G1647" s="24" t="str">
        <f>IFERROR(VLOOKUP(A1647,取得元!$A$2:$F$501,2,FALSE),"-")</f>
        <v>-</v>
      </c>
      <c r="H1647" s="24" t="str">
        <f>IFERROR(VLOOKUP(A1647,取得元!$A$2:$F$501,3,FALSE),"-")</f>
        <v>-</v>
      </c>
      <c r="I1647" s="24" t="str">
        <f>IFERROR(VLOOKUP(A1647,取得元!$A$2:$F$501,4,FALSE),"-")</f>
        <v>-</v>
      </c>
      <c r="J1647" s="5" t="str">
        <f>IFERROR(VLOOKUP(A1647,取得元!$A$2:$F$501,5,FALSE),"-")</f>
        <v>-</v>
      </c>
      <c r="K1647" s="25" t="str">
        <f>IFERROR(VLOOKUP(A1647,取得元!$A$2:$F$501,6,FALSE)/100,"-")</f>
        <v>-</v>
      </c>
      <c r="L1647" s="21" t="str">
        <f>_xll.RssMarket(A1647,"始値")</f>
        <v/>
      </c>
      <c r="M1647" s="4" t="e">
        <f t="shared" si="140"/>
        <v>#VALUE!</v>
      </c>
      <c r="N1647" s="21" t="str">
        <f>_xll.RssMarket(A1647,"高値")</f>
        <v/>
      </c>
      <c r="O1647" s="4" t="e">
        <f t="shared" si="141"/>
        <v>#VALUE!</v>
      </c>
      <c r="P1647" s="21" t="str">
        <f>_xll.RssMarket(A1647,"安値")</f>
        <v/>
      </c>
      <c r="Q1647" s="4" t="e">
        <f t="shared" si="142"/>
        <v>#VALUE!</v>
      </c>
      <c r="R1647" s="21" t="str">
        <f>_xll.RssMarket(A1647,"後場始値")</f>
        <v/>
      </c>
      <c r="S1647" s="25" t="str">
        <f t="shared" si="143"/>
        <v>-</v>
      </c>
      <c r="T1647" s="7" t="str">
        <f>_xll.RssMarket(A1647,"出来高加重平均")</f>
        <v/>
      </c>
      <c r="U1647" s="4" t="e">
        <f t="shared" si="144"/>
        <v>#VALUE!</v>
      </c>
      <c r="V1647" s="21" t="str">
        <f>_xll.RssMarket(A1647,"出来高")</f>
        <v/>
      </c>
      <c r="W1647" s="21" t="str">
        <f>_xll.RssMarket(A1647,"売買代金")</f>
        <v/>
      </c>
      <c r="X1647" s="20" t="str">
        <f>_xll.RssMarket(A1647,"決算発表日")</f>
        <v/>
      </c>
      <c r="Y1647" s="26" t="str">
        <f>IF(C1647&gt;_xll.RssMarket(A1647,"年初来高値"),"○","×")</f>
        <v>×</v>
      </c>
      <c r="Z1647" s="27" t="str">
        <f>IF(C1647&lt;=_xll.RssMarket(A1647,"年初来安値"),"○","×")</f>
        <v>○</v>
      </c>
    </row>
    <row r="1648" spans="2:26" x14ac:dyDescent="0.55000000000000004">
      <c r="B1648" s="20" t="str">
        <f>_xll.RssMarket(A1648,"銘柄名称")</f>
        <v/>
      </c>
      <c r="C1648" s="21" t="str">
        <f>_xll.RssMarket(A1648,"現在値")</f>
        <v/>
      </c>
      <c r="D1648" s="20" t="str">
        <f>_xll.RssMarket(A1648,"現在値詳細時刻")</f>
        <v/>
      </c>
      <c r="E1648" s="22" t="str">
        <f>_xll.RssMarket(A1648,"前日比")</f>
        <v/>
      </c>
      <c r="F1648" s="23" t="e">
        <f>_xll.RssMarket(A1648,"前日比率")/100</f>
        <v>#VALUE!</v>
      </c>
      <c r="G1648" s="24" t="str">
        <f>IFERROR(VLOOKUP(A1648,取得元!$A$2:$F$501,2,FALSE),"-")</f>
        <v>-</v>
      </c>
      <c r="H1648" s="24" t="str">
        <f>IFERROR(VLOOKUP(A1648,取得元!$A$2:$F$501,3,FALSE),"-")</f>
        <v>-</v>
      </c>
      <c r="I1648" s="24" t="str">
        <f>IFERROR(VLOOKUP(A1648,取得元!$A$2:$F$501,4,FALSE),"-")</f>
        <v>-</v>
      </c>
      <c r="J1648" s="5" t="str">
        <f>IFERROR(VLOOKUP(A1648,取得元!$A$2:$F$501,5,FALSE),"-")</f>
        <v>-</v>
      </c>
      <c r="K1648" s="25" t="str">
        <f>IFERROR(VLOOKUP(A1648,取得元!$A$2:$F$501,6,FALSE)/100,"-")</f>
        <v>-</v>
      </c>
      <c r="L1648" s="21" t="str">
        <f>_xll.RssMarket(A1648,"始値")</f>
        <v/>
      </c>
      <c r="M1648" s="4" t="e">
        <f t="shared" si="140"/>
        <v>#VALUE!</v>
      </c>
      <c r="N1648" s="21" t="str">
        <f>_xll.RssMarket(A1648,"高値")</f>
        <v/>
      </c>
      <c r="O1648" s="4" t="e">
        <f t="shared" si="141"/>
        <v>#VALUE!</v>
      </c>
      <c r="P1648" s="21" t="str">
        <f>_xll.RssMarket(A1648,"安値")</f>
        <v/>
      </c>
      <c r="Q1648" s="4" t="e">
        <f t="shared" si="142"/>
        <v>#VALUE!</v>
      </c>
      <c r="R1648" s="21" t="str">
        <f>_xll.RssMarket(A1648,"後場始値")</f>
        <v/>
      </c>
      <c r="S1648" s="25" t="str">
        <f t="shared" si="143"/>
        <v>-</v>
      </c>
      <c r="T1648" s="7" t="str">
        <f>_xll.RssMarket(A1648,"出来高加重平均")</f>
        <v/>
      </c>
      <c r="U1648" s="4" t="e">
        <f t="shared" si="144"/>
        <v>#VALUE!</v>
      </c>
      <c r="V1648" s="21" t="str">
        <f>_xll.RssMarket(A1648,"出来高")</f>
        <v/>
      </c>
      <c r="W1648" s="21" t="str">
        <f>_xll.RssMarket(A1648,"売買代金")</f>
        <v/>
      </c>
      <c r="X1648" s="20" t="str">
        <f>_xll.RssMarket(A1648,"決算発表日")</f>
        <v/>
      </c>
      <c r="Y1648" s="26" t="str">
        <f>IF(C1648&gt;_xll.RssMarket(A1648,"年初来高値"),"○","×")</f>
        <v>×</v>
      </c>
      <c r="Z1648" s="27" t="str">
        <f>IF(C1648&lt;=_xll.RssMarket(A1648,"年初来安値"),"○","×")</f>
        <v>○</v>
      </c>
    </row>
    <row r="1649" spans="2:26" x14ac:dyDescent="0.55000000000000004">
      <c r="B1649" s="20" t="str">
        <f>_xll.RssMarket(A1649,"銘柄名称")</f>
        <v/>
      </c>
      <c r="C1649" s="21" t="str">
        <f>_xll.RssMarket(A1649,"現在値")</f>
        <v/>
      </c>
      <c r="D1649" s="20" t="str">
        <f>_xll.RssMarket(A1649,"現在値詳細時刻")</f>
        <v/>
      </c>
      <c r="E1649" s="22" t="str">
        <f>_xll.RssMarket(A1649,"前日比")</f>
        <v/>
      </c>
      <c r="F1649" s="23" t="e">
        <f>_xll.RssMarket(A1649,"前日比率")/100</f>
        <v>#VALUE!</v>
      </c>
      <c r="G1649" s="24" t="str">
        <f>IFERROR(VLOOKUP(A1649,取得元!$A$2:$F$501,2,FALSE),"-")</f>
        <v>-</v>
      </c>
      <c r="H1649" s="24" t="str">
        <f>IFERROR(VLOOKUP(A1649,取得元!$A$2:$F$501,3,FALSE),"-")</f>
        <v>-</v>
      </c>
      <c r="I1649" s="24" t="str">
        <f>IFERROR(VLOOKUP(A1649,取得元!$A$2:$F$501,4,FALSE),"-")</f>
        <v>-</v>
      </c>
      <c r="J1649" s="5" t="str">
        <f>IFERROR(VLOOKUP(A1649,取得元!$A$2:$F$501,5,FALSE),"-")</f>
        <v>-</v>
      </c>
      <c r="K1649" s="25" t="str">
        <f>IFERROR(VLOOKUP(A1649,取得元!$A$2:$F$501,6,FALSE)/100,"-")</f>
        <v>-</v>
      </c>
      <c r="L1649" s="21" t="str">
        <f>_xll.RssMarket(A1649,"始値")</f>
        <v/>
      </c>
      <c r="M1649" s="4" t="e">
        <f t="shared" si="140"/>
        <v>#VALUE!</v>
      </c>
      <c r="N1649" s="21" t="str">
        <f>_xll.RssMarket(A1649,"高値")</f>
        <v/>
      </c>
      <c r="O1649" s="4" t="e">
        <f t="shared" si="141"/>
        <v>#VALUE!</v>
      </c>
      <c r="P1649" s="21" t="str">
        <f>_xll.RssMarket(A1649,"安値")</f>
        <v/>
      </c>
      <c r="Q1649" s="4" t="e">
        <f t="shared" si="142"/>
        <v>#VALUE!</v>
      </c>
      <c r="R1649" s="21" t="str">
        <f>_xll.RssMarket(A1649,"後場始値")</f>
        <v/>
      </c>
      <c r="S1649" s="25" t="str">
        <f t="shared" si="143"/>
        <v>-</v>
      </c>
      <c r="T1649" s="7" t="str">
        <f>_xll.RssMarket(A1649,"出来高加重平均")</f>
        <v/>
      </c>
      <c r="U1649" s="4" t="e">
        <f t="shared" si="144"/>
        <v>#VALUE!</v>
      </c>
      <c r="V1649" s="21" t="str">
        <f>_xll.RssMarket(A1649,"出来高")</f>
        <v/>
      </c>
      <c r="W1649" s="21" t="str">
        <f>_xll.RssMarket(A1649,"売買代金")</f>
        <v/>
      </c>
      <c r="X1649" s="20" t="str">
        <f>_xll.RssMarket(A1649,"決算発表日")</f>
        <v/>
      </c>
      <c r="Y1649" s="26" t="str">
        <f>IF(C1649&gt;_xll.RssMarket(A1649,"年初来高値"),"○","×")</f>
        <v>×</v>
      </c>
      <c r="Z1649" s="27" t="str">
        <f>IF(C1649&lt;=_xll.RssMarket(A1649,"年初来安値"),"○","×")</f>
        <v>○</v>
      </c>
    </row>
    <row r="1650" spans="2:26" x14ac:dyDescent="0.55000000000000004">
      <c r="B1650" s="20" t="str">
        <f>_xll.RssMarket(A1650,"銘柄名称")</f>
        <v/>
      </c>
      <c r="C1650" s="21" t="str">
        <f>_xll.RssMarket(A1650,"現在値")</f>
        <v/>
      </c>
      <c r="D1650" s="20" t="str">
        <f>_xll.RssMarket(A1650,"現在値詳細時刻")</f>
        <v/>
      </c>
      <c r="E1650" s="22" t="str">
        <f>_xll.RssMarket(A1650,"前日比")</f>
        <v/>
      </c>
      <c r="F1650" s="23" t="e">
        <f>_xll.RssMarket(A1650,"前日比率")/100</f>
        <v>#VALUE!</v>
      </c>
      <c r="G1650" s="24" t="str">
        <f>IFERROR(VLOOKUP(A1650,取得元!$A$2:$F$501,2,FALSE),"-")</f>
        <v>-</v>
      </c>
      <c r="H1650" s="24" t="str">
        <f>IFERROR(VLOOKUP(A1650,取得元!$A$2:$F$501,3,FALSE),"-")</f>
        <v>-</v>
      </c>
      <c r="I1650" s="24" t="str">
        <f>IFERROR(VLOOKUP(A1650,取得元!$A$2:$F$501,4,FALSE),"-")</f>
        <v>-</v>
      </c>
      <c r="J1650" s="5" t="str">
        <f>IFERROR(VLOOKUP(A1650,取得元!$A$2:$F$501,5,FALSE),"-")</f>
        <v>-</v>
      </c>
      <c r="K1650" s="25" t="str">
        <f>IFERROR(VLOOKUP(A1650,取得元!$A$2:$F$501,6,FALSE)/100,"-")</f>
        <v>-</v>
      </c>
      <c r="L1650" s="21" t="str">
        <f>_xll.RssMarket(A1650,"始値")</f>
        <v/>
      </c>
      <c r="M1650" s="4" t="e">
        <f t="shared" si="140"/>
        <v>#VALUE!</v>
      </c>
      <c r="N1650" s="21" t="str">
        <f>_xll.RssMarket(A1650,"高値")</f>
        <v/>
      </c>
      <c r="O1650" s="4" t="e">
        <f t="shared" si="141"/>
        <v>#VALUE!</v>
      </c>
      <c r="P1650" s="21" t="str">
        <f>_xll.RssMarket(A1650,"安値")</f>
        <v/>
      </c>
      <c r="Q1650" s="4" t="e">
        <f t="shared" si="142"/>
        <v>#VALUE!</v>
      </c>
      <c r="R1650" s="21" t="str">
        <f>_xll.RssMarket(A1650,"後場始値")</f>
        <v/>
      </c>
      <c r="S1650" s="25" t="str">
        <f t="shared" si="143"/>
        <v>-</v>
      </c>
      <c r="T1650" s="7" t="str">
        <f>_xll.RssMarket(A1650,"出来高加重平均")</f>
        <v/>
      </c>
      <c r="U1650" s="4" t="e">
        <f t="shared" si="144"/>
        <v>#VALUE!</v>
      </c>
      <c r="V1650" s="21" t="str">
        <f>_xll.RssMarket(A1650,"出来高")</f>
        <v/>
      </c>
      <c r="W1650" s="21" t="str">
        <f>_xll.RssMarket(A1650,"売買代金")</f>
        <v/>
      </c>
      <c r="X1650" s="20" t="str">
        <f>_xll.RssMarket(A1650,"決算発表日")</f>
        <v/>
      </c>
      <c r="Y1650" s="26" t="str">
        <f>IF(C1650&gt;_xll.RssMarket(A1650,"年初来高値"),"○","×")</f>
        <v>×</v>
      </c>
      <c r="Z1650" s="27" t="str">
        <f>IF(C1650&lt;=_xll.RssMarket(A1650,"年初来安値"),"○","×")</f>
        <v>○</v>
      </c>
    </row>
    <row r="1651" spans="2:26" x14ac:dyDescent="0.55000000000000004">
      <c r="B1651" s="20" t="str">
        <f>_xll.RssMarket(A1651,"銘柄名称")</f>
        <v/>
      </c>
      <c r="C1651" s="21" t="str">
        <f>_xll.RssMarket(A1651,"現在値")</f>
        <v/>
      </c>
      <c r="D1651" s="20" t="str">
        <f>_xll.RssMarket(A1651,"現在値詳細時刻")</f>
        <v/>
      </c>
      <c r="E1651" s="22" t="str">
        <f>_xll.RssMarket(A1651,"前日比")</f>
        <v/>
      </c>
      <c r="F1651" s="23" t="e">
        <f>_xll.RssMarket(A1651,"前日比率")/100</f>
        <v>#VALUE!</v>
      </c>
      <c r="G1651" s="24" t="str">
        <f>IFERROR(VLOOKUP(A1651,取得元!$A$2:$F$501,2,FALSE),"-")</f>
        <v>-</v>
      </c>
      <c r="H1651" s="24" t="str">
        <f>IFERROR(VLOOKUP(A1651,取得元!$A$2:$F$501,3,FALSE),"-")</f>
        <v>-</v>
      </c>
      <c r="I1651" s="24" t="str">
        <f>IFERROR(VLOOKUP(A1651,取得元!$A$2:$F$501,4,FALSE),"-")</f>
        <v>-</v>
      </c>
      <c r="J1651" s="5" t="str">
        <f>IFERROR(VLOOKUP(A1651,取得元!$A$2:$F$501,5,FALSE),"-")</f>
        <v>-</v>
      </c>
      <c r="K1651" s="25" t="str">
        <f>IFERROR(VLOOKUP(A1651,取得元!$A$2:$F$501,6,FALSE)/100,"-")</f>
        <v>-</v>
      </c>
      <c r="L1651" s="21" t="str">
        <f>_xll.RssMarket(A1651,"始値")</f>
        <v/>
      </c>
      <c r="M1651" s="4" t="e">
        <f t="shared" si="140"/>
        <v>#VALUE!</v>
      </c>
      <c r="N1651" s="21" t="str">
        <f>_xll.RssMarket(A1651,"高値")</f>
        <v/>
      </c>
      <c r="O1651" s="4" t="e">
        <f t="shared" si="141"/>
        <v>#VALUE!</v>
      </c>
      <c r="P1651" s="21" t="str">
        <f>_xll.RssMarket(A1651,"安値")</f>
        <v/>
      </c>
      <c r="Q1651" s="4" t="e">
        <f t="shared" si="142"/>
        <v>#VALUE!</v>
      </c>
      <c r="R1651" s="21" t="str">
        <f>_xll.RssMarket(A1651,"後場始値")</f>
        <v/>
      </c>
      <c r="S1651" s="25" t="str">
        <f t="shared" si="143"/>
        <v>-</v>
      </c>
      <c r="T1651" s="7" t="str">
        <f>_xll.RssMarket(A1651,"出来高加重平均")</f>
        <v/>
      </c>
      <c r="U1651" s="4" t="e">
        <f t="shared" si="144"/>
        <v>#VALUE!</v>
      </c>
      <c r="V1651" s="21" t="str">
        <f>_xll.RssMarket(A1651,"出来高")</f>
        <v/>
      </c>
      <c r="W1651" s="21" t="str">
        <f>_xll.RssMarket(A1651,"売買代金")</f>
        <v/>
      </c>
      <c r="X1651" s="20" t="str">
        <f>_xll.RssMarket(A1651,"決算発表日")</f>
        <v/>
      </c>
      <c r="Y1651" s="26" t="str">
        <f>IF(C1651&gt;_xll.RssMarket(A1651,"年初来高値"),"○","×")</f>
        <v>×</v>
      </c>
      <c r="Z1651" s="27" t="str">
        <f>IF(C1651&lt;=_xll.RssMarket(A1651,"年初来安値"),"○","×")</f>
        <v>○</v>
      </c>
    </row>
    <row r="1652" spans="2:26" x14ac:dyDescent="0.55000000000000004">
      <c r="B1652" s="20" t="str">
        <f>_xll.RssMarket(A1652,"銘柄名称")</f>
        <v/>
      </c>
      <c r="C1652" s="21" t="str">
        <f>_xll.RssMarket(A1652,"現在値")</f>
        <v/>
      </c>
      <c r="D1652" s="20" t="str">
        <f>_xll.RssMarket(A1652,"現在値詳細時刻")</f>
        <v/>
      </c>
      <c r="E1652" s="22" t="str">
        <f>_xll.RssMarket(A1652,"前日比")</f>
        <v/>
      </c>
      <c r="F1652" s="23" t="e">
        <f>_xll.RssMarket(A1652,"前日比率")/100</f>
        <v>#VALUE!</v>
      </c>
      <c r="G1652" s="24" t="str">
        <f>IFERROR(VLOOKUP(A1652,取得元!$A$2:$F$501,2,FALSE),"-")</f>
        <v>-</v>
      </c>
      <c r="H1652" s="24" t="str">
        <f>IFERROR(VLOOKUP(A1652,取得元!$A$2:$F$501,3,FALSE),"-")</f>
        <v>-</v>
      </c>
      <c r="I1652" s="24" t="str">
        <f>IFERROR(VLOOKUP(A1652,取得元!$A$2:$F$501,4,FALSE),"-")</f>
        <v>-</v>
      </c>
      <c r="J1652" s="5" t="str">
        <f>IFERROR(VLOOKUP(A1652,取得元!$A$2:$F$501,5,FALSE),"-")</f>
        <v>-</v>
      </c>
      <c r="K1652" s="25" t="str">
        <f>IFERROR(VLOOKUP(A1652,取得元!$A$2:$F$501,6,FALSE)/100,"-")</f>
        <v>-</v>
      </c>
      <c r="L1652" s="21" t="str">
        <f>_xll.RssMarket(A1652,"始値")</f>
        <v/>
      </c>
      <c r="M1652" s="4" t="e">
        <f t="shared" si="140"/>
        <v>#VALUE!</v>
      </c>
      <c r="N1652" s="21" t="str">
        <f>_xll.RssMarket(A1652,"高値")</f>
        <v/>
      </c>
      <c r="O1652" s="4" t="e">
        <f t="shared" si="141"/>
        <v>#VALUE!</v>
      </c>
      <c r="P1652" s="21" t="str">
        <f>_xll.RssMarket(A1652,"安値")</f>
        <v/>
      </c>
      <c r="Q1652" s="4" t="e">
        <f t="shared" si="142"/>
        <v>#VALUE!</v>
      </c>
      <c r="R1652" s="21" t="str">
        <f>_xll.RssMarket(A1652,"後場始値")</f>
        <v/>
      </c>
      <c r="S1652" s="25" t="str">
        <f t="shared" si="143"/>
        <v>-</v>
      </c>
      <c r="T1652" s="7" t="str">
        <f>_xll.RssMarket(A1652,"出来高加重平均")</f>
        <v/>
      </c>
      <c r="U1652" s="4" t="e">
        <f t="shared" si="144"/>
        <v>#VALUE!</v>
      </c>
      <c r="V1652" s="21" t="str">
        <f>_xll.RssMarket(A1652,"出来高")</f>
        <v/>
      </c>
      <c r="W1652" s="21" t="str">
        <f>_xll.RssMarket(A1652,"売買代金")</f>
        <v/>
      </c>
      <c r="X1652" s="20" t="str">
        <f>_xll.RssMarket(A1652,"決算発表日")</f>
        <v/>
      </c>
      <c r="Y1652" s="26" t="str">
        <f>IF(C1652&gt;_xll.RssMarket(A1652,"年初来高値"),"○","×")</f>
        <v>×</v>
      </c>
      <c r="Z1652" s="27" t="str">
        <f>IF(C1652&lt;=_xll.RssMarket(A1652,"年初来安値"),"○","×")</f>
        <v>○</v>
      </c>
    </row>
    <row r="1653" spans="2:26" x14ac:dyDescent="0.55000000000000004">
      <c r="B1653" s="20" t="str">
        <f>_xll.RssMarket(A1653,"銘柄名称")</f>
        <v/>
      </c>
      <c r="C1653" s="21" t="str">
        <f>_xll.RssMarket(A1653,"現在値")</f>
        <v/>
      </c>
      <c r="D1653" s="20" t="str">
        <f>_xll.RssMarket(A1653,"現在値詳細時刻")</f>
        <v/>
      </c>
      <c r="E1653" s="22" t="str">
        <f>_xll.RssMarket(A1653,"前日比")</f>
        <v/>
      </c>
      <c r="F1653" s="23" t="e">
        <f>_xll.RssMarket(A1653,"前日比率")/100</f>
        <v>#VALUE!</v>
      </c>
      <c r="G1653" s="24" t="str">
        <f>IFERROR(VLOOKUP(A1653,取得元!$A$2:$F$501,2,FALSE),"-")</f>
        <v>-</v>
      </c>
      <c r="H1653" s="24" t="str">
        <f>IFERROR(VLOOKUP(A1653,取得元!$A$2:$F$501,3,FALSE),"-")</f>
        <v>-</v>
      </c>
      <c r="I1653" s="24" t="str">
        <f>IFERROR(VLOOKUP(A1653,取得元!$A$2:$F$501,4,FALSE),"-")</f>
        <v>-</v>
      </c>
      <c r="J1653" s="5" t="str">
        <f>IFERROR(VLOOKUP(A1653,取得元!$A$2:$F$501,5,FALSE),"-")</f>
        <v>-</v>
      </c>
      <c r="K1653" s="25" t="str">
        <f>IFERROR(VLOOKUP(A1653,取得元!$A$2:$F$501,6,FALSE)/100,"-")</f>
        <v>-</v>
      </c>
      <c r="L1653" s="21" t="str">
        <f>_xll.RssMarket(A1653,"始値")</f>
        <v/>
      </c>
      <c r="M1653" s="4" t="e">
        <f t="shared" si="140"/>
        <v>#VALUE!</v>
      </c>
      <c r="N1653" s="21" t="str">
        <f>_xll.RssMarket(A1653,"高値")</f>
        <v/>
      </c>
      <c r="O1653" s="4" t="e">
        <f t="shared" si="141"/>
        <v>#VALUE!</v>
      </c>
      <c r="P1653" s="21" t="str">
        <f>_xll.RssMarket(A1653,"安値")</f>
        <v/>
      </c>
      <c r="Q1653" s="4" t="e">
        <f t="shared" si="142"/>
        <v>#VALUE!</v>
      </c>
      <c r="R1653" s="21" t="str">
        <f>_xll.RssMarket(A1653,"後場始値")</f>
        <v/>
      </c>
      <c r="S1653" s="25" t="str">
        <f t="shared" si="143"/>
        <v>-</v>
      </c>
      <c r="T1653" s="7" t="str">
        <f>_xll.RssMarket(A1653,"出来高加重平均")</f>
        <v/>
      </c>
      <c r="U1653" s="4" t="e">
        <f t="shared" si="144"/>
        <v>#VALUE!</v>
      </c>
      <c r="V1653" s="21" t="str">
        <f>_xll.RssMarket(A1653,"出来高")</f>
        <v/>
      </c>
      <c r="W1653" s="21" t="str">
        <f>_xll.RssMarket(A1653,"売買代金")</f>
        <v/>
      </c>
      <c r="X1653" s="20" t="str">
        <f>_xll.RssMarket(A1653,"決算発表日")</f>
        <v/>
      </c>
      <c r="Y1653" s="26" t="str">
        <f>IF(C1653&gt;_xll.RssMarket(A1653,"年初来高値"),"○","×")</f>
        <v>×</v>
      </c>
      <c r="Z1653" s="27" t="str">
        <f>IF(C1653&lt;=_xll.RssMarket(A1653,"年初来安値"),"○","×")</f>
        <v>○</v>
      </c>
    </row>
    <row r="1654" spans="2:26" x14ac:dyDescent="0.55000000000000004">
      <c r="B1654" s="20" t="str">
        <f>_xll.RssMarket(A1654,"銘柄名称")</f>
        <v/>
      </c>
      <c r="C1654" s="21" t="str">
        <f>_xll.RssMarket(A1654,"現在値")</f>
        <v/>
      </c>
      <c r="D1654" s="20" t="str">
        <f>_xll.RssMarket(A1654,"現在値詳細時刻")</f>
        <v/>
      </c>
      <c r="E1654" s="22" t="str">
        <f>_xll.RssMarket(A1654,"前日比")</f>
        <v/>
      </c>
      <c r="F1654" s="23" t="e">
        <f>_xll.RssMarket(A1654,"前日比率")/100</f>
        <v>#VALUE!</v>
      </c>
      <c r="G1654" s="24" t="str">
        <f>IFERROR(VLOOKUP(A1654,取得元!$A$2:$F$501,2,FALSE),"-")</f>
        <v>-</v>
      </c>
      <c r="H1654" s="24" t="str">
        <f>IFERROR(VLOOKUP(A1654,取得元!$A$2:$F$501,3,FALSE),"-")</f>
        <v>-</v>
      </c>
      <c r="I1654" s="24" t="str">
        <f>IFERROR(VLOOKUP(A1654,取得元!$A$2:$F$501,4,FALSE),"-")</f>
        <v>-</v>
      </c>
      <c r="J1654" s="5" t="str">
        <f>IFERROR(VLOOKUP(A1654,取得元!$A$2:$F$501,5,FALSE),"-")</f>
        <v>-</v>
      </c>
      <c r="K1654" s="25" t="str">
        <f>IFERROR(VLOOKUP(A1654,取得元!$A$2:$F$501,6,FALSE)/100,"-")</f>
        <v>-</v>
      </c>
      <c r="L1654" s="21" t="str">
        <f>_xll.RssMarket(A1654,"始値")</f>
        <v/>
      </c>
      <c r="M1654" s="4" t="e">
        <f t="shared" si="140"/>
        <v>#VALUE!</v>
      </c>
      <c r="N1654" s="21" t="str">
        <f>_xll.RssMarket(A1654,"高値")</f>
        <v/>
      </c>
      <c r="O1654" s="4" t="e">
        <f t="shared" si="141"/>
        <v>#VALUE!</v>
      </c>
      <c r="P1654" s="21" t="str">
        <f>_xll.RssMarket(A1654,"安値")</f>
        <v/>
      </c>
      <c r="Q1654" s="4" t="e">
        <f t="shared" si="142"/>
        <v>#VALUE!</v>
      </c>
      <c r="R1654" s="21" t="str">
        <f>_xll.RssMarket(A1654,"後場始値")</f>
        <v/>
      </c>
      <c r="S1654" s="25" t="str">
        <f t="shared" si="143"/>
        <v>-</v>
      </c>
      <c r="T1654" s="7" t="str">
        <f>_xll.RssMarket(A1654,"出来高加重平均")</f>
        <v/>
      </c>
      <c r="U1654" s="4" t="e">
        <f t="shared" si="144"/>
        <v>#VALUE!</v>
      </c>
      <c r="V1654" s="21" t="str">
        <f>_xll.RssMarket(A1654,"出来高")</f>
        <v/>
      </c>
      <c r="W1654" s="21" t="str">
        <f>_xll.RssMarket(A1654,"売買代金")</f>
        <v/>
      </c>
      <c r="X1654" s="20" t="str">
        <f>_xll.RssMarket(A1654,"決算発表日")</f>
        <v/>
      </c>
      <c r="Y1654" s="26" t="str">
        <f>IF(C1654&gt;_xll.RssMarket(A1654,"年初来高値"),"○","×")</f>
        <v>×</v>
      </c>
      <c r="Z1654" s="27" t="str">
        <f>IF(C1654&lt;=_xll.RssMarket(A1654,"年初来安値"),"○","×")</f>
        <v>○</v>
      </c>
    </row>
    <row r="1655" spans="2:26" x14ac:dyDescent="0.55000000000000004">
      <c r="B1655" s="20" t="str">
        <f>_xll.RssMarket(A1655,"銘柄名称")</f>
        <v/>
      </c>
      <c r="C1655" s="21" t="str">
        <f>_xll.RssMarket(A1655,"現在値")</f>
        <v/>
      </c>
      <c r="D1655" s="20" t="str">
        <f>_xll.RssMarket(A1655,"現在値詳細時刻")</f>
        <v/>
      </c>
      <c r="E1655" s="22" t="str">
        <f>_xll.RssMarket(A1655,"前日比")</f>
        <v/>
      </c>
      <c r="F1655" s="23" t="e">
        <f>_xll.RssMarket(A1655,"前日比率")/100</f>
        <v>#VALUE!</v>
      </c>
      <c r="G1655" s="24" t="str">
        <f>IFERROR(VLOOKUP(A1655,取得元!$A$2:$F$501,2,FALSE),"-")</f>
        <v>-</v>
      </c>
      <c r="H1655" s="24" t="str">
        <f>IFERROR(VLOOKUP(A1655,取得元!$A$2:$F$501,3,FALSE),"-")</f>
        <v>-</v>
      </c>
      <c r="I1655" s="24" t="str">
        <f>IFERROR(VLOOKUP(A1655,取得元!$A$2:$F$501,4,FALSE),"-")</f>
        <v>-</v>
      </c>
      <c r="J1655" s="5" t="str">
        <f>IFERROR(VLOOKUP(A1655,取得元!$A$2:$F$501,5,FALSE),"-")</f>
        <v>-</v>
      </c>
      <c r="K1655" s="25" t="str">
        <f>IFERROR(VLOOKUP(A1655,取得元!$A$2:$F$501,6,FALSE)/100,"-")</f>
        <v>-</v>
      </c>
      <c r="L1655" s="21" t="str">
        <f>_xll.RssMarket(A1655,"始値")</f>
        <v/>
      </c>
      <c r="M1655" s="4" t="e">
        <f t="shared" si="140"/>
        <v>#VALUE!</v>
      </c>
      <c r="N1655" s="21" t="str">
        <f>_xll.RssMarket(A1655,"高値")</f>
        <v/>
      </c>
      <c r="O1655" s="4" t="e">
        <f t="shared" si="141"/>
        <v>#VALUE!</v>
      </c>
      <c r="P1655" s="21" t="str">
        <f>_xll.RssMarket(A1655,"安値")</f>
        <v/>
      </c>
      <c r="Q1655" s="4" t="e">
        <f t="shared" si="142"/>
        <v>#VALUE!</v>
      </c>
      <c r="R1655" s="21" t="str">
        <f>_xll.RssMarket(A1655,"後場始値")</f>
        <v/>
      </c>
      <c r="S1655" s="25" t="str">
        <f t="shared" si="143"/>
        <v>-</v>
      </c>
      <c r="T1655" s="7" t="str">
        <f>_xll.RssMarket(A1655,"出来高加重平均")</f>
        <v/>
      </c>
      <c r="U1655" s="4" t="e">
        <f t="shared" si="144"/>
        <v>#VALUE!</v>
      </c>
      <c r="V1655" s="21" t="str">
        <f>_xll.RssMarket(A1655,"出来高")</f>
        <v/>
      </c>
      <c r="W1655" s="21" t="str">
        <f>_xll.RssMarket(A1655,"売買代金")</f>
        <v/>
      </c>
      <c r="X1655" s="20" t="str">
        <f>_xll.RssMarket(A1655,"決算発表日")</f>
        <v/>
      </c>
      <c r="Y1655" s="26" t="str">
        <f>IF(C1655&gt;_xll.RssMarket(A1655,"年初来高値"),"○","×")</f>
        <v>×</v>
      </c>
      <c r="Z1655" s="27" t="str">
        <f>IF(C1655&lt;=_xll.RssMarket(A1655,"年初来安値"),"○","×")</f>
        <v>○</v>
      </c>
    </row>
    <row r="1656" spans="2:26" x14ac:dyDescent="0.55000000000000004">
      <c r="B1656" s="20" t="str">
        <f>_xll.RssMarket(A1656,"銘柄名称")</f>
        <v/>
      </c>
      <c r="C1656" s="21" t="str">
        <f>_xll.RssMarket(A1656,"現在値")</f>
        <v/>
      </c>
      <c r="D1656" s="20" t="str">
        <f>_xll.RssMarket(A1656,"現在値詳細時刻")</f>
        <v/>
      </c>
      <c r="E1656" s="22" t="str">
        <f>_xll.RssMarket(A1656,"前日比")</f>
        <v/>
      </c>
      <c r="F1656" s="23" t="e">
        <f>_xll.RssMarket(A1656,"前日比率")/100</f>
        <v>#VALUE!</v>
      </c>
      <c r="G1656" s="24" t="str">
        <f>IFERROR(VLOOKUP(A1656,取得元!$A$2:$F$501,2,FALSE),"-")</f>
        <v>-</v>
      </c>
      <c r="H1656" s="24" t="str">
        <f>IFERROR(VLOOKUP(A1656,取得元!$A$2:$F$501,3,FALSE),"-")</f>
        <v>-</v>
      </c>
      <c r="I1656" s="24" t="str">
        <f>IFERROR(VLOOKUP(A1656,取得元!$A$2:$F$501,4,FALSE),"-")</f>
        <v>-</v>
      </c>
      <c r="J1656" s="5" t="str">
        <f>IFERROR(VLOOKUP(A1656,取得元!$A$2:$F$501,5,FALSE),"-")</f>
        <v>-</v>
      </c>
      <c r="K1656" s="25" t="str">
        <f>IFERROR(VLOOKUP(A1656,取得元!$A$2:$F$501,6,FALSE)/100,"-")</f>
        <v>-</v>
      </c>
      <c r="L1656" s="21" t="str">
        <f>_xll.RssMarket(A1656,"始値")</f>
        <v/>
      </c>
      <c r="M1656" s="4" t="e">
        <f t="shared" si="140"/>
        <v>#VALUE!</v>
      </c>
      <c r="N1656" s="21" t="str">
        <f>_xll.RssMarket(A1656,"高値")</f>
        <v/>
      </c>
      <c r="O1656" s="4" t="e">
        <f t="shared" si="141"/>
        <v>#VALUE!</v>
      </c>
      <c r="P1656" s="21" t="str">
        <f>_xll.RssMarket(A1656,"安値")</f>
        <v/>
      </c>
      <c r="Q1656" s="4" t="e">
        <f t="shared" si="142"/>
        <v>#VALUE!</v>
      </c>
      <c r="R1656" s="21" t="str">
        <f>_xll.RssMarket(A1656,"後場始値")</f>
        <v/>
      </c>
      <c r="S1656" s="25" t="str">
        <f t="shared" si="143"/>
        <v>-</v>
      </c>
      <c r="T1656" s="7" t="str">
        <f>_xll.RssMarket(A1656,"出来高加重平均")</f>
        <v/>
      </c>
      <c r="U1656" s="4" t="e">
        <f t="shared" si="144"/>
        <v>#VALUE!</v>
      </c>
      <c r="V1656" s="21" t="str">
        <f>_xll.RssMarket(A1656,"出来高")</f>
        <v/>
      </c>
      <c r="W1656" s="21" t="str">
        <f>_xll.RssMarket(A1656,"売買代金")</f>
        <v/>
      </c>
      <c r="X1656" s="20" t="str">
        <f>_xll.RssMarket(A1656,"決算発表日")</f>
        <v/>
      </c>
      <c r="Y1656" s="26" t="str">
        <f>IF(C1656&gt;_xll.RssMarket(A1656,"年初来高値"),"○","×")</f>
        <v>×</v>
      </c>
      <c r="Z1656" s="27" t="str">
        <f>IF(C1656&lt;=_xll.RssMarket(A1656,"年初来安値"),"○","×")</f>
        <v>○</v>
      </c>
    </row>
    <row r="1657" spans="2:26" x14ac:dyDescent="0.55000000000000004">
      <c r="B1657" s="20" t="str">
        <f>_xll.RssMarket(A1657,"銘柄名称")</f>
        <v/>
      </c>
      <c r="C1657" s="21" t="str">
        <f>_xll.RssMarket(A1657,"現在値")</f>
        <v/>
      </c>
      <c r="D1657" s="20" t="str">
        <f>_xll.RssMarket(A1657,"現在値詳細時刻")</f>
        <v/>
      </c>
      <c r="E1657" s="22" t="str">
        <f>_xll.RssMarket(A1657,"前日比")</f>
        <v/>
      </c>
      <c r="F1657" s="23" t="e">
        <f>_xll.RssMarket(A1657,"前日比率")/100</f>
        <v>#VALUE!</v>
      </c>
      <c r="G1657" s="24" t="str">
        <f>IFERROR(VLOOKUP(A1657,取得元!$A$2:$F$501,2,FALSE),"-")</f>
        <v>-</v>
      </c>
      <c r="H1657" s="24" t="str">
        <f>IFERROR(VLOOKUP(A1657,取得元!$A$2:$F$501,3,FALSE),"-")</f>
        <v>-</v>
      </c>
      <c r="I1657" s="24" t="str">
        <f>IFERROR(VLOOKUP(A1657,取得元!$A$2:$F$501,4,FALSE),"-")</f>
        <v>-</v>
      </c>
      <c r="J1657" s="5" t="str">
        <f>IFERROR(VLOOKUP(A1657,取得元!$A$2:$F$501,5,FALSE),"-")</f>
        <v>-</v>
      </c>
      <c r="K1657" s="25" t="str">
        <f>IFERROR(VLOOKUP(A1657,取得元!$A$2:$F$501,6,FALSE)/100,"-")</f>
        <v>-</v>
      </c>
      <c r="L1657" s="21" t="str">
        <f>_xll.RssMarket(A1657,"始値")</f>
        <v/>
      </c>
      <c r="M1657" s="4" t="e">
        <f t="shared" si="140"/>
        <v>#VALUE!</v>
      </c>
      <c r="N1657" s="21" t="str">
        <f>_xll.RssMarket(A1657,"高値")</f>
        <v/>
      </c>
      <c r="O1657" s="4" t="e">
        <f t="shared" si="141"/>
        <v>#VALUE!</v>
      </c>
      <c r="P1657" s="21" t="str">
        <f>_xll.RssMarket(A1657,"安値")</f>
        <v/>
      </c>
      <c r="Q1657" s="4" t="e">
        <f t="shared" si="142"/>
        <v>#VALUE!</v>
      </c>
      <c r="R1657" s="21" t="str">
        <f>_xll.RssMarket(A1657,"後場始値")</f>
        <v/>
      </c>
      <c r="S1657" s="25" t="str">
        <f t="shared" si="143"/>
        <v>-</v>
      </c>
      <c r="T1657" s="7" t="str">
        <f>_xll.RssMarket(A1657,"出来高加重平均")</f>
        <v/>
      </c>
      <c r="U1657" s="4" t="e">
        <f t="shared" si="144"/>
        <v>#VALUE!</v>
      </c>
      <c r="V1657" s="21" t="str">
        <f>_xll.RssMarket(A1657,"出来高")</f>
        <v/>
      </c>
      <c r="W1657" s="21" t="str">
        <f>_xll.RssMarket(A1657,"売買代金")</f>
        <v/>
      </c>
      <c r="X1657" s="20" t="str">
        <f>_xll.RssMarket(A1657,"決算発表日")</f>
        <v/>
      </c>
      <c r="Y1657" s="26" t="str">
        <f>IF(C1657&gt;_xll.RssMarket(A1657,"年初来高値"),"○","×")</f>
        <v>×</v>
      </c>
      <c r="Z1657" s="27" t="str">
        <f>IF(C1657&lt;=_xll.RssMarket(A1657,"年初来安値"),"○","×")</f>
        <v>○</v>
      </c>
    </row>
    <row r="1658" spans="2:26" x14ac:dyDescent="0.55000000000000004">
      <c r="B1658" s="20" t="str">
        <f>_xll.RssMarket(A1658,"銘柄名称")</f>
        <v/>
      </c>
      <c r="C1658" s="21" t="str">
        <f>_xll.RssMarket(A1658,"現在値")</f>
        <v/>
      </c>
      <c r="D1658" s="20" t="str">
        <f>_xll.RssMarket(A1658,"現在値詳細時刻")</f>
        <v/>
      </c>
      <c r="E1658" s="22" t="str">
        <f>_xll.RssMarket(A1658,"前日比")</f>
        <v/>
      </c>
      <c r="F1658" s="23" t="e">
        <f>_xll.RssMarket(A1658,"前日比率")/100</f>
        <v>#VALUE!</v>
      </c>
      <c r="G1658" s="24" t="str">
        <f>IFERROR(VLOOKUP(A1658,取得元!$A$2:$F$501,2,FALSE),"-")</f>
        <v>-</v>
      </c>
      <c r="H1658" s="24" t="str">
        <f>IFERROR(VLOOKUP(A1658,取得元!$A$2:$F$501,3,FALSE),"-")</f>
        <v>-</v>
      </c>
      <c r="I1658" s="24" t="str">
        <f>IFERROR(VLOOKUP(A1658,取得元!$A$2:$F$501,4,FALSE),"-")</f>
        <v>-</v>
      </c>
      <c r="J1658" s="5" t="str">
        <f>IFERROR(VLOOKUP(A1658,取得元!$A$2:$F$501,5,FALSE),"-")</f>
        <v>-</v>
      </c>
      <c r="K1658" s="25" t="str">
        <f>IFERROR(VLOOKUP(A1658,取得元!$A$2:$F$501,6,FALSE)/100,"-")</f>
        <v>-</v>
      </c>
      <c r="L1658" s="21" t="str">
        <f>_xll.RssMarket(A1658,"始値")</f>
        <v/>
      </c>
      <c r="M1658" s="4" t="e">
        <f t="shared" si="140"/>
        <v>#VALUE!</v>
      </c>
      <c r="N1658" s="21" t="str">
        <f>_xll.RssMarket(A1658,"高値")</f>
        <v/>
      </c>
      <c r="O1658" s="4" t="e">
        <f t="shared" si="141"/>
        <v>#VALUE!</v>
      </c>
      <c r="P1658" s="21" t="str">
        <f>_xll.RssMarket(A1658,"安値")</f>
        <v/>
      </c>
      <c r="Q1658" s="4" t="e">
        <f t="shared" si="142"/>
        <v>#VALUE!</v>
      </c>
      <c r="R1658" s="21" t="str">
        <f>_xll.RssMarket(A1658,"後場始値")</f>
        <v/>
      </c>
      <c r="S1658" s="25" t="str">
        <f t="shared" si="143"/>
        <v>-</v>
      </c>
      <c r="T1658" s="7" t="str">
        <f>_xll.RssMarket(A1658,"出来高加重平均")</f>
        <v/>
      </c>
      <c r="U1658" s="4" t="e">
        <f t="shared" si="144"/>
        <v>#VALUE!</v>
      </c>
      <c r="V1658" s="21" t="str">
        <f>_xll.RssMarket(A1658,"出来高")</f>
        <v/>
      </c>
      <c r="W1658" s="21" t="str">
        <f>_xll.RssMarket(A1658,"売買代金")</f>
        <v/>
      </c>
      <c r="X1658" s="20" t="str">
        <f>_xll.RssMarket(A1658,"決算発表日")</f>
        <v/>
      </c>
      <c r="Y1658" s="26" t="str">
        <f>IF(C1658&gt;_xll.RssMarket(A1658,"年初来高値"),"○","×")</f>
        <v>×</v>
      </c>
      <c r="Z1658" s="27" t="str">
        <f>IF(C1658&lt;=_xll.RssMarket(A1658,"年初来安値"),"○","×")</f>
        <v>○</v>
      </c>
    </row>
    <row r="1659" spans="2:26" x14ac:dyDescent="0.55000000000000004">
      <c r="B1659" s="20" t="str">
        <f>_xll.RssMarket(A1659,"銘柄名称")</f>
        <v/>
      </c>
      <c r="C1659" s="21" t="str">
        <f>_xll.RssMarket(A1659,"現在値")</f>
        <v/>
      </c>
      <c r="D1659" s="20" t="str">
        <f>_xll.RssMarket(A1659,"現在値詳細時刻")</f>
        <v/>
      </c>
      <c r="E1659" s="22" t="str">
        <f>_xll.RssMarket(A1659,"前日比")</f>
        <v/>
      </c>
      <c r="F1659" s="23" t="e">
        <f>_xll.RssMarket(A1659,"前日比率")/100</f>
        <v>#VALUE!</v>
      </c>
      <c r="G1659" s="24" t="str">
        <f>IFERROR(VLOOKUP(A1659,取得元!$A$2:$F$501,2,FALSE),"-")</f>
        <v>-</v>
      </c>
      <c r="H1659" s="24" t="str">
        <f>IFERROR(VLOOKUP(A1659,取得元!$A$2:$F$501,3,FALSE),"-")</f>
        <v>-</v>
      </c>
      <c r="I1659" s="24" t="str">
        <f>IFERROR(VLOOKUP(A1659,取得元!$A$2:$F$501,4,FALSE),"-")</f>
        <v>-</v>
      </c>
      <c r="J1659" s="5" t="str">
        <f>IFERROR(VLOOKUP(A1659,取得元!$A$2:$F$501,5,FALSE),"-")</f>
        <v>-</v>
      </c>
      <c r="K1659" s="25" t="str">
        <f>IFERROR(VLOOKUP(A1659,取得元!$A$2:$F$501,6,FALSE)/100,"-")</f>
        <v>-</v>
      </c>
      <c r="L1659" s="21" t="str">
        <f>_xll.RssMarket(A1659,"始値")</f>
        <v/>
      </c>
      <c r="M1659" s="4" t="e">
        <f t="shared" si="140"/>
        <v>#VALUE!</v>
      </c>
      <c r="N1659" s="21" t="str">
        <f>_xll.RssMarket(A1659,"高値")</f>
        <v/>
      </c>
      <c r="O1659" s="4" t="e">
        <f t="shared" si="141"/>
        <v>#VALUE!</v>
      </c>
      <c r="P1659" s="21" t="str">
        <f>_xll.RssMarket(A1659,"安値")</f>
        <v/>
      </c>
      <c r="Q1659" s="4" t="e">
        <f t="shared" si="142"/>
        <v>#VALUE!</v>
      </c>
      <c r="R1659" s="21" t="str">
        <f>_xll.RssMarket(A1659,"後場始値")</f>
        <v/>
      </c>
      <c r="S1659" s="25" t="str">
        <f t="shared" si="143"/>
        <v>-</v>
      </c>
      <c r="T1659" s="7" t="str">
        <f>_xll.RssMarket(A1659,"出来高加重平均")</f>
        <v/>
      </c>
      <c r="U1659" s="4" t="e">
        <f t="shared" si="144"/>
        <v>#VALUE!</v>
      </c>
      <c r="V1659" s="21" t="str">
        <f>_xll.RssMarket(A1659,"出来高")</f>
        <v/>
      </c>
      <c r="W1659" s="21" t="str">
        <f>_xll.RssMarket(A1659,"売買代金")</f>
        <v/>
      </c>
      <c r="X1659" s="20" t="str">
        <f>_xll.RssMarket(A1659,"決算発表日")</f>
        <v/>
      </c>
      <c r="Y1659" s="26" t="str">
        <f>IF(C1659&gt;_xll.RssMarket(A1659,"年初来高値"),"○","×")</f>
        <v>×</v>
      </c>
      <c r="Z1659" s="27" t="str">
        <f>IF(C1659&lt;=_xll.RssMarket(A1659,"年初来安値"),"○","×")</f>
        <v>○</v>
      </c>
    </row>
    <row r="1660" spans="2:26" x14ac:dyDescent="0.55000000000000004">
      <c r="B1660" s="20" t="str">
        <f>_xll.RssMarket(A1660,"銘柄名称")</f>
        <v/>
      </c>
      <c r="C1660" s="21" t="str">
        <f>_xll.RssMarket(A1660,"現在値")</f>
        <v/>
      </c>
      <c r="D1660" s="20" t="str">
        <f>_xll.RssMarket(A1660,"現在値詳細時刻")</f>
        <v/>
      </c>
      <c r="E1660" s="22" t="str">
        <f>_xll.RssMarket(A1660,"前日比")</f>
        <v/>
      </c>
      <c r="F1660" s="23" t="e">
        <f>_xll.RssMarket(A1660,"前日比率")/100</f>
        <v>#VALUE!</v>
      </c>
      <c r="G1660" s="24" t="str">
        <f>IFERROR(VLOOKUP(A1660,取得元!$A$2:$F$501,2,FALSE),"-")</f>
        <v>-</v>
      </c>
      <c r="H1660" s="24" t="str">
        <f>IFERROR(VLOOKUP(A1660,取得元!$A$2:$F$501,3,FALSE),"-")</f>
        <v>-</v>
      </c>
      <c r="I1660" s="24" t="str">
        <f>IFERROR(VLOOKUP(A1660,取得元!$A$2:$F$501,4,FALSE),"-")</f>
        <v>-</v>
      </c>
      <c r="J1660" s="5" t="str">
        <f>IFERROR(VLOOKUP(A1660,取得元!$A$2:$F$501,5,FALSE),"-")</f>
        <v>-</v>
      </c>
      <c r="K1660" s="25" t="str">
        <f>IFERROR(VLOOKUP(A1660,取得元!$A$2:$F$501,6,FALSE)/100,"-")</f>
        <v>-</v>
      </c>
      <c r="L1660" s="21" t="str">
        <f>_xll.RssMarket(A1660,"始値")</f>
        <v/>
      </c>
      <c r="M1660" s="4" t="e">
        <f t="shared" si="140"/>
        <v>#VALUE!</v>
      </c>
      <c r="N1660" s="21" t="str">
        <f>_xll.RssMarket(A1660,"高値")</f>
        <v/>
      </c>
      <c r="O1660" s="4" t="e">
        <f t="shared" si="141"/>
        <v>#VALUE!</v>
      </c>
      <c r="P1660" s="21" t="str">
        <f>_xll.RssMarket(A1660,"安値")</f>
        <v/>
      </c>
      <c r="Q1660" s="4" t="e">
        <f t="shared" si="142"/>
        <v>#VALUE!</v>
      </c>
      <c r="R1660" s="21" t="str">
        <f>_xll.RssMarket(A1660,"後場始値")</f>
        <v/>
      </c>
      <c r="S1660" s="25" t="str">
        <f t="shared" si="143"/>
        <v>-</v>
      </c>
      <c r="T1660" s="7" t="str">
        <f>_xll.RssMarket(A1660,"出来高加重平均")</f>
        <v/>
      </c>
      <c r="U1660" s="4" t="e">
        <f t="shared" si="144"/>
        <v>#VALUE!</v>
      </c>
      <c r="V1660" s="21" t="str">
        <f>_xll.RssMarket(A1660,"出来高")</f>
        <v/>
      </c>
      <c r="W1660" s="21" t="str">
        <f>_xll.RssMarket(A1660,"売買代金")</f>
        <v/>
      </c>
      <c r="X1660" s="20" t="str">
        <f>_xll.RssMarket(A1660,"決算発表日")</f>
        <v/>
      </c>
      <c r="Y1660" s="26" t="str">
        <f>IF(C1660&gt;_xll.RssMarket(A1660,"年初来高値"),"○","×")</f>
        <v>×</v>
      </c>
      <c r="Z1660" s="27" t="str">
        <f>IF(C1660&lt;=_xll.RssMarket(A1660,"年初来安値"),"○","×")</f>
        <v>○</v>
      </c>
    </row>
    <row r="1661" spans="2:26" x14ac:dyDescent="0.55000000000000004">
      <c r="B1661" s="20" t="str">
        <f>_xll.RssMarket(A1661,"銘柄名称")</f>
        <v/>
      </c>
      <c r="C1661" s="21" t="str">
        <f>_xll.RssMarket(A1661,"現在値")</f>
        <v/>
      </c>
      <c r="D1661" s="20" t="str">
        <f>_xll.RssMarket(A1661,"現在値詳細時刻")</f>
        <v/>
      </c>
      <c r="E1661" s="22" t="str">
        <f>_xll.RssMarket(A1661,"前日比")</f>
        <v/>
      </c>
      <c r="F1661" s="23" t="e">
        <f>_xll.RssMarket(A1661,"前日比率")/100</f>
        <v>#VALUE!</v>
      </c>
      <c r="G1661" s="24" t="str">
        <f>IFERROR(VLOOKUP(A1661,取得元!$A$2:$F$501,2,FALSE),"-")</f>
        <v>-</v>
      </c>
      <c r="H1661" s="24" t="str">
        <f>IFERROR(VLOOKUP(A1661,取得元!$A$2:$F$501,3,FALSE),"-")</f>
        <v>-</v>
      </c>
      <c r="I1661" s="24" t="str">
        <f>IFERROR(VLOOKUP(A1661,取得元!$A$2:$F$501,4,FALSE),"-")</f>
        <v>-</v>
      </c>
      <c r="J1661" s="5" t="str">
        <f>IFERROR(VLOOKUP(A1661,取得元!$A$2:$F$501,5,FALSE),"-")</f>
        <v>-</v>
      </c>
      <c r="K1661" s="25" t="str">
        <f>IFERROR(VLOOKUP(A1661,取得元!$A$2:$F$501,6,FALSE)/100,"-")</f>
        <v>-</v>
      </c>
      <c r="L1661" s="21" t="str">
        <f>_xll.RssMarket(A1661,"始値")</f>
        <v/>
      </c>
      <c r="M1661" s="4" t="e">
        <f t="shared" si="140"/>
        <v>#VALUE!</v>
      </c>
      <c r="N1661" s="21" t="str">
        <f>_xll.RssMarket(A1661,"高値")</f>
        <v/>
      </c>
      <c r="O1661" s="4" t="e">
        <f t="shared" si="141"/>
        <v>#VALUE!</v>
      </c>
      <c r="P1661" s="21" t="str">
        <f>_xll.RssMarket(A1661,"安値")</f>
        <v/>
      </c>
      <c r="Q1661" s="4" t="e">
        <f t="shared" si="142"/>
        <v>#VALUE!</v>
      </c>
      <c r="R1661" s="21" t="str">
        <f>_xll.RssMarket(A1661,"後場始値")</f>
        <v/>
      </c>
      <c r="S1661" s="25" t="str">
        <f t="shared" si="143"/>
        <v>-</v>
      </c>
      <c r="T1661" s="7" t="str">
        <f>_xll.RssMarket(A1661,"出来高加重平均")</f>
        <v/>
      </c>
      <c r="U1661" s="4" t="e">
        <f t="shared" si="144"/>
        <v>#VALUE!</v>
      </c>
      <c r="V1661" s="21" t="str">
        <f>_xll.RssMarket(A1661,"出来高")</f>
        <v/>
      </c>
      <c r="W1661" s="21" t="str">
        <f>_xll.RssMarket(A1661,"売買代金")</f>
        <v/>
      </c>
      <c r="X1661" s="20" t="str">
        <f>_xll.RssMarket(A1661,"決算発表日")</f>
        <v/>
      </c>
      <c r="Y1661" s="26" t="str">
        <f>IF(C1661&gt;_xll.RssMarket(A1661,"年初来高値"),"○","×")</f>
        <v>×</v>
      </c>
      <c r="Z1661" s="27" t="str">
        <f>IF(C1661&lt;=_xll.RssMarket(A1661,"年初来安値"),"○","×")</f>
        <v>○</v>
      </c>
    </row>
    <row r="1662" spans="2:26" x14ac:dyDescent="0.55000000000000004">
      <c r="B1662" s="20" t="str">
        <f>_xll.RssMarket(A1662,"銘柄名称")</f>
        <v/>
      </c>
      <c r="C1662" s="21" t="str">
        <f>_xll.RssMarket(A1662,"現在値")</f>
        <v/>
      </c>
      <c r="D1662" s="20" t="str">
        <f>_xll.RssMarket(A1662,"現在値詳細時刻")</f>
        <v/>
      </c>
      <c r="E1662" s="22" t="str">
        <f>_xll.RssMarket(A1662,"前日比")</f>
        <v/>
      </c>
      <c r="F1662" s="23" t="e">
        <f>_xll.RssMarket(A1662,"前日比率")/100</f>
        <v>#VALUE!</v>
      </c>
      <c r="G1662" s="24" t="str">
        <f>IFERROR(VLOOKUP(A1662,取得元!$A$2:$F$501,2,FALSE),"-")</f>
        <v>-</v>
      </c>
      <c r="H1662" s="24" t="str">
        <f>IFERROR(VLOOKUP(A1662,取得元!$A$2:$F$501,3,FALSE),"-")</f>
        <v>-</v>
      </c>
      <c r="I1662" s="24" t="str">
        <f>IFERROR(VLOOKUP(A1662,取得元!$A$2:$F$501,4,FALSE),"-")</f>
        <v>-</v>
      </c>
      <c r="J1662" s="5" t="str">
        <f>IFERROR(VLOOKUP(A1662,取得元!$A$2:$F$501,5,FALSE),"-")</f>
        <v>-</v>
      </c>
      <c r="K1662" s="25" t="str">
        <f>IFERROR(VLOOKUP(A1662,取得元!$A$2:$F$501,6,FALSE)/100,"-")</f>
        <v>-</v>
      </c>
      <c r="L1662" s="21" t="str">
        <f>_xll.RssMarket(A1662,"始値")</f>
        <v/>
      </c>
      <c r="M1662" s="4" t="e">
        <f t="shared" si="140"/>
        <v>#VALUE!</v>
      </c>
      <c r="N1662" s="21" t="str">
        <f>_xll.RssMarket(A1662,"高値")</f>
        <v/>
      </c>
      <c r="O1662" s="4" t="e">
        <f t="shared" si="141"/>
        <v>#VALUE!</v>
      </c>
      <c r="P1662" s="21" t="str">
        <f>_xll.RssMarket(A1662,"安値")</f>
        <v/>
      </c>
      <c r="Q1662" s="4" t="e">
        <f t="shared" si="142"/>
        <v>#VALUE!</v>
      </c>
      <c r="R1662" s="21" t="str">
        <f>_xll.RssMarket(A1662,"後場始値")</f>
        <v/>
      </c>
      <c r="S1662" s="25" t="str">
        <f t="shared" si="143"/>
        <v>-</v>
      </c>
      <c r="T1662" s="7" t="str">
        <f>_xll.RssMarket(A1662,"出来高加重平均")</f>
        <v/>
      </c>
      <c r="U1662" s="4" t="e">
        <f t="shared" si="144"/>
        <v>#VALUE!</v>
      </c>
      <c r="V1662" s="21" t="str">
        <f>_xll.RssMarket(A1662,"出来高")</f>
        <v/>
      </c>
      <c r="W1662" s="21" t="str">
        <f>_xll.RssMarket(A1662,"売買代金")</f>
        <v/>
      </c>
      <c r="X1662" s="20" t="str">
        <f>_xll.RssMarket(A1662,"決算発表日")</f>
        <v/>
      </c>
      <c r="Y1662" s="26" t="str">
        <f>IF(C1662&gt;_xll.RssMarket(A1662,"年初来高値"),"○","×")</f>
        <v>×</v>
      </c>
      <c r="Z1662" s="27" t="str">
        <f>IF(C1662&lt;=_xll.RssMarket(A1662,"年初来安値"),"○","×")</f>
        <v>○</v>
      </c>
    </row>
    <row r="1663" spans="2:26" x14ac:dyDescent="0.55000000000000004">
      <c r="B1663" s="20" t="str">
        <f>_xll.RssMarket(A1663,"銘柄名称")</f>
        <v/>
      </c>
      <c r="C1663" s="21" t="str">
        <f>_xll.RssMarket(A1663,"現在値")</f>
        <v/>
      </c>
      <c r="D1663" s="20" t="str">
        <f>_xll.RssMarket(A1663,"現在値詳細時刻")</f>
        <v/>
      </c>
      <c r="E1663" s="22" t="str">
        <f>_xll.RssMarket(A1663,"前日比")</f>
        <v/>
      </c>
      <c r="F1663" s="23" t="e">
        <f>_xll.RssMarket(A1663,"前日比率")/100</f>
        <v>#VALUE!</v>
      </c>
      <c r="G1663" s="24" t="str">
        <f>IFERROR(VLOOKUP(A1663,取得元!$A$2:$F$501,2,FALSE),"-")</f>
        <v>-</v>
      </c>
      <c r="H1663" s="24" t="str">
        <f>IFERROR(VLOOKUP(A1663,取得元!$A$2:$F$501,3,FALSE),"-")</f>
        <v>-</v>
      </c>
      <c r="I1663" s="24" t="str">
        <f>IFERROR(VLOOKUP(A1663,取得元!$A$2:$F$501,4,FALSE),"-")</f>
        <v>-</v>
      </c>
      <c r="J1663" s="5" t="str">
        <f>IFERROR(VLOOKUP(A1663,取得元!$A$2:$F$501,5,FALSE),"-")</f>
        <v>-</v>
      </c>
      <c r="K1663" s="25" t="str">
        <f>IFERROR(VLOOKUP(A1663,取得元!$A$2:$F$501,6,FALSE)/100,"-")</f>
        <v>-</v>
      </c>
      <c r="L1663" s="21" t="str">
        <f>_xll.RssMarket(A1663,"始値")</f>
        <v/>
      </c>
      <c r="M1663" s="4" t="e">
        <f t="shared" si="140"/>
        <v>#VALUE!</v>
      </c>
      <c r="N1663" s="21" t="str">
        <f>_xll.RssMarket(A1663,"高値")</f>
        <v/>
      </c>
      <c r="O1663" s="4" t="e">
        <f t="shared" si="141"/>
        <v>#VALUE!</v>
      </c>
      <c r="P1663" s="21" t="str">
        <f>_xll.RssMarket(A1663,"安値")</f>
        <v/>
      </c>
      <c r="Q1663" s="4" t="e">
        <f t="shared" si="142"/>
        <v>#VALUE!</v>
      </c>
      <c r="R1663" s="21" t="str">
        <f>_xll.RssMarket(A1663,"後場始値")</f>
        <v/>
      </c>
      <c r="S1663" s="25" t="str">
        <f t="shared" si="143"/>
        <v>-</v>
      </c>
      <c r="T1663" s="7" t="str">
        <f>_xll.RssMarket(A1663,"出来高加重平均")</f>
        <v/>
      </c>
      <c r="U1663" s="4" t="e">
        <f t="shared" si="144"/>
        <v>#VALUE!</v>
      </c>
      <c r="V1663" s="21" t="str">
        <f>_xll.RssMarket(A1663,"出来高")</f>
        <v/>
      </c>
      <c r="W1663" s="21" t="str">
        <f>_xll.RssMarket(A1663,"売買代金")</f>
        <v/>
      </c>
      <c r="X1663" s="20" t="str">
        <f>_xll.RssMarket(A1663,"決算発表日")</f>
        <v/>
      </c>
      <c r="Y1663" s="26" t="str">
        <f>IF(C1663&gt;_xll.RssMarket(A1663,"年初来高値"),"○","×")</f>
        <v>×</v>
      </c>
      <c r="Z1663" s="27" t="str">
        <f>IF(C1663&lt;=_xll.RssMarket(A1663,"年初来安値"),"○","×")</f>
        <v>○</v>
      </c>
    </row>
    <row r="1664" spans="2:26" x14ac:dyDescent="0.55000000000000004">
      <c r="B1664" s="20" t="str">
        <f>_xll.RssMarket(A1664,"銘柄名称")</f>
        <v/>
      </c>
      <c r="C1664" s="21" t="str">
        <f>_xll.RssMarket(A1664,"現在値")</f>
        <v/>
      </c>
      <c r="D1664" s="20" t="str">
        <f>_xll.RssMarket(A1664,"現在値詳細時刻")</f>
        <v/>
      </c>
      <c r="E1664" s="22" t="str">
        <f>_xll.RssMarket(A1664,"前日比")</f>
        <v/>
      </c>
      <c r="F1664" s="23" t="e">
        <f>_xll.RssMarket(A1664,"前日比率")/100</f>
        <v>#VALUE!</v>
      </c>
      <c r="G1664" s="24" t="str">
        <f>IFERROR(VLOOKUP(A1664,取得元!$A$2:$F$501,2,FALSE),"-")</f>
        <v>-</v>
      </c>
      <c r="H1664" s="24" t="str">
        <f>IFERROR(VLOOKUP(A1664,取得元!$A$2:$F$501,3,FALSE),"-")</f>
        <v>-</v>
      </c>
      <c r="I1664" s="24" t="str">
        <f>IFERROR(VLOOKUP(A1664,取得元!$A$2:$F$501,4,FALSE),"-")</f>
        <v>-</v>
      </c>
      <c r="J1664" s="5" t="str">
        <f>IFERROR(VLOOKUP(A1664,取得元!$A$2:$F$501,5,FALSE),"-")</f>
        <v>-</v>
      </c>
      <c r="K1664" s="25" t="str">
        <f>IFERROR(VLOOKUP(A1664,取得元!$A$2:$F$501,6,FALSE)/100,"-")</f>
        <v>-</v>
      </c>
      <c r="L1664" s="21" t="str">
        <f>_xll.RssMarket(A1664,"始値")</f>
        <v/>
      </c>
      <c r="M1664" s="4" t="e">
        <f t="shared" si="140"/>
        <v>#VALUE!</v>
      </c>
      <c r="N1664" s="21" t="str">
        <f>_xll.RssMarket(A1664,"高値")</f>
        <v/>
      </c>
      <c r="O1664" s="4" t="e">
        <f t="shared" si="141"/>
        <v>#VALUE!</v>
      </c>
      <c r="P1664" s="21" t="str">
        <f>_xll.RssMarket(A1664,"安値")</f>
        <v/>
      </c>
      <c r="Q1664" s="4" t="e">
        <f t="shared" si="142"/>
        <v>#VALUE!</v>
      </c>
      <c r="R1664" s="21" t="str">
        <f>_xll.RssMarket(A1664,"後場始値")</f>
        <v/>
      </c>
      <c r="S1664" s="25" t="str">
        <f t="shared" si="143"/>
        <v>-</v>
      </c>
      <c r="T1664" s="7" t="str">
        <f>_xll.RssMarket(A1664,"出来高加重平均")</f>
        <v/>
      </c>
      <c r="U1664" s="4" t="e">
        <f t="shared" si="144"/>
        <v>#VALUE!</v>
      </c>
      <c r="V1664" s="21" t="str">
        <f>_xll.RssMarket(A1664,"出来高")</f>
        <v/>
      </c>
      <c r="W1664" s="21" t="str">
        <f>_xll.RssMarket(A1664,"売買代金")</f>
        <v/>
      </c>
      <c r="X1664" s="20" t="str">
        <f>_xll.RssMarket(A1664,"決算発表日")</f>
        <v/>
      </c>
      <c r="Y1664" s="26" t="str">
        <f>IF(C1664&gt;_xll.RssMarket(A1664,"年初来高値"),"○","×")</f>
        <v>×</v>
      </c>
      <c r="Z1664" s="27" t="str">
        <f>IF(C1664&lt;=_xll.RssMarket(A1664,"年初来安値"),"○","×")</f>
        <v>○</v>
      </c>
    </row>
    <row r="1665" spans="2:26" x14ac:dyDescent="0.55000000000000004">
      <c r="B1665" s="20" t="str">
        <f>_xll.RssMarket(A1665,"銘柄名称")</f>
        <v/>
      </c>
      <c r="C1665" s="21" t="str">
        <f>_xll.RssMarket(A1665,"現在値")</f>
        <v/>
      </c>
      <c r="D1665" s="20" t="str">
        <f>_xll.RssMarket(A1665,"現在値詳細時刻")</f>
        <v/>
      </c>
      <c r="E1665" s="22" t="str">
        <f>_xll.RssMarket(A1665,"前日比")</f>
        <v/>
      </c>
      <c r="F1665" s="23" t="e">
        <f>_xll.RssMarket(A1665,"前日比率")/100</f>
        <v>#VALUE!</v>
      </c>
      <c r="G1665" s="24" t="str">
        <f>IFERROR(VLOOKUP(A1665,取得元!$A$2:$F$501,2,FALSE),"-")</f>
        <v>-</v>
      </c>
      <c r="H1665" s="24" t="str">
        <f>IFERROR(VLOOKUP(A1665,取得元!$A$2:$F$501,3,FALSE),"-")</f>
        <v>-</v>
      </c>
      <c r="I1665" s="24" t="str">
        <f>IFERROR(VLOOKUP(A1665,取得元!$A$2:$F$501,4,FALSE),"-")</f>
        <v>-</v>
      </c>
      <c r="J1665" s="5" t="str">
        <f>IFERROR(VLOOKUP(A1665,取得元!$A$2:$F$501,5,FALSE),"-")</f>
        <v>-</v>
      </c>
      <c r="K1665" s="25" t="str">
        <f>IFERROR(VLOOKUP(A1665,取得元!$A$2:$F$501,6,FALSE)/100,"-")</f>
        <v>-</v>
      </c>
      <c r="L1665" s="21" t="str">
        <f>_xll.RssMarket(A1665,"始値")</f>
        <v/>
      </c>
      <c r="M1665" s="4" t="e">
        <f t="shared" si="140"/>
        <v>#VALUE!</v>
      </c>
      <c r="N1665" s="21" t="str">
        <f>_xll.RssMarket(A1665,"高値")</f>
        <v/>
      </c>
      <c r="O1665" s="4" t="e">
        <f t="shared" si="141"/>
        <v>#VALUE!</v>
      </c>
      <c r="P1665" s="21" t="str">
        <f>_xll.RssMarket(A1665,"安値")</f>
        <v/>
      </c>
      <c r="Q1665" s="4" t="e">
        <f t="shared" si="142"/>
        <v>#VALUE!</v>
      </c>
      <c r="R1665" s="21" t="str">
        <f>_xll.RssMarket(A1665,"後場始値")</f>
        <v/>
      </c>
      <c r="S1665" s="25" t="str">
        <f t="shared" si="143"/>
        <v>-</v>
      </c>
      <c r="T1665" s="7" t="str">
        <f>_xll.RssMarket(A1665,"出来高加重平均")</f>
        <v/>
      </c>
      <c r="U1665" s="4" t="e">
        <f t="shared" si="144"/>
        <v>#VALUE!</v>
      </c>
      <c r="V1665" s="21" t="str">
        <f>_xll.RssMarket(A1665,"出来高")</f>
        <v/>
      </c>
      <c r="W1665" s="21" t="str">
        <f>_xll.RssMarket(A1665,"売買代金")</f>
        <v/>
      </c>
      <c r="X1665" s="20" t="str">
        <f>_xll.RssMarket(A1665,"決算発表日")</f>
        <v/>
      </c>
      <c r="Y1665" s="26" t="str">
        <f>IF(C1665&gt;_xll.RssMarket(A1665,"年初来高値"),"○","×")</f>
        <v>×</v>
      </c>
      <c r="Z1665" s="27" t="str">
        <f>IF(C1665&lt;=_xll.RssMarket(A1665,"年初来安値"),"○","×")</f>
        <v>○</v>
      </c>
    </row>
    <row r="1666" spans="2:26" x14ac:dyDescent="0.55000000000000004">
      <c r="B1666" s="20" t="str">
        <f>_xll.RssMarket(A1666,"銘柄名称")</f>
        <v/>
      </c>
      <c r="C1666" s="21" t="str">
        <f>_xll.RssMarket(A1666,"現在値")</f>
        <v/>
      </c>
      <c r="D1666" s="20" t="str">
        <f>_xll.RssMarket(A1666,"現在値詳細時刻")</f>
        <v/>
      </c>
      <c r="E1666" s="22" t="str">
        <f>_xll.RssMarket(A1666,"前日比")</f>
        <v/>
      </c>
      <c r="F1666" s="23" t="e">
        <f>_xll.RssMarket(A1666,"前日比率")/100</f>
        <v>#VALUE!</v>
      </c>
      <c r="G1666" s="24" t="str">
        <f>IFERROR(VLOOKUP(A1666,取得元!$A$2:$F$501,2,FALSE),"-")</f>
        <v>-</v>
      </c>
      <c r="H1666" s="24" t="str">
        <f>IFERROR(VLOOKUP(A1666,取得元!$A$2:$F$501,3,FALSE),"-")</f>
        <v>-</v>
      </c>
      <c r="I1666" s="24" t="str">
        <f>IFERROR(VLOOKUP(A1666,取得元!$A$2:$F$501,4,FALSE),"-")</f>
        <v>-</v>
      </c>
      <c r="J1666" s="5" t="str">
        <f>IFERROR(VLOOKUP(A1666,取得元!$A$2:$F$501,5,FALSE),"-")</f>
        <v>-</v>
      </c>
      <c r="K1666" s="25" t="str">
        <f>IFERROR(VLOOKUP(A1666,取得元!$A$2:$F$501,6,FALSE)/100,"-")</f>
        <v>-</v>
      </c>
      <c r="L1666" s="21" t="str">
        <f>_xll.RssMarket(A1666,"始値")</f>
        <v/>
      </c>
      <c r="M1666" s="4" t="e">
        <f t="shared" si="140"/>
        <v>#VALUE!</v>
      </c>
      <c r="N1666" s="21" t="str">
        <f>_xll.RssMarket(A1666,"高値")</f>
        <v/>
      </c>
      <c r="O1666" s="4" t="e">
        <f t="shared" si="141"/>
        <v>#VALUE!</v>
      </c>
      <c r="P1666" s="21" t="str">
        <f>_xll.RssMarket(A1666,"安値")</f>
        <v/>
      </c>
      <c r="Q1666" s="4" t="e">
        <f t="shared" si="142"/>
        <v>#VALUE!</v>
      </c>
      <c r="R1666" s="21" t="str">
        <f>_xll.RssMarket(A1666,"後場始値")</f>
        <v/>
      </c>
      <c r="S1666" s="25" t="str">
        <f t="shared" si="143"/>
        <v>-</v>
      </c>
      <c r="T1666" s="7" t="str">
        <f>_xll.RssMarket(A1666,"出来高加重平均")</f>
        <v/>
      </c>
      <c r="U1666" s="4" t="e">
        <f t="shared" si="144"/>
        <v>#VALUE!</v>
      </c>
      <c r="V1666" s="21" t="str">
        <f>_xll.RssMarket(A1666,"出来高")</f>
        <v/>
      </c>
      <c r="W1666" s="21" t="str">
        <f>_xll.RssMarket(A1666,"売買代金")</f>
        <v/>
      </c>
      <c r="X1666" s="20" t="str">
        <f>_xll.RssMarket(A1666,"決算発表日")</f>
        <v/>
      </c>
      <c r="Y1666" s="26" t="str">
        <f>IF(C1666&gt;_xll.RssMarket(A1666,"年初来高値"),"○","×")</f>
        <v>×</v>
      </c>
      <c r="Z1666" s="27" t="str">
        <f>IF(C1666&lt;=_xll.RssMarket(A1666,"年初来安値"),"○","×")</f>
        <v>○</v>
      </c>
    </row>
    <row r="1667" spans="2:26" x14ac:dyDescent="0.55000000000000004">
      <c r="B1667" s="20" t="str">
        <f>_xll.RssMarket(A1667,"銘柄名称")</f>
        <v/>
      </c>
      <c r="C1667" s="21" t="str">
        <f>_xll.RssMarket(A1667,"現在値")</f>
        <v/>
      </c>
      <c r="D1667" s="20" t="str">
        <f>_xll.RssMarket(A1667,"現在値詳細時刻")</f>
        <v/>
      </c>
      <c r="E1667" s="22" t="str">
        <f>_xll.RssMarket(A1667,"前日比")</f>
        <v/>
      </c>
      <c r="F1667" s="23" t="e">
        <f>_xll.RssMarket(A1667,"前日比率")/100</f>
        <v>#VALUE!</v>
      </c>
      <c r="G1667" s="24" t="str">
        <f>IFERROR(VLOOKUP(A1667,取得元!$A$2:$F$501,2,FALSE),"-")</f>
        <v>-</v>
      </c>
      <c r="H1667" s="24" t="str">
        <f>IFERROR(VLOOKUP(A1667,取得元!$A$2:$F$501,3,FALSE),"-")</f>
        <v>-</v>
      </c>
      <c r="I1667" s="24" t="str">
        <f>IFERROR(VLOOKUP(A1667,取得元!$A$2:$F$501,4,FALSE),"-")</f>
        <v>-</v>
      </c>
      <c r="J1667" s="5" t="str">
        <f>IFERROR(VLOOKUP(A1667,取得元!$A$2:$F$501,5,FALSE),"-")</f>
        <v>-</v>
      </c>
      <c r="K1667" s="25" t="str">
        <f>IFERROR(VLOOKUP(A1667,取得元!$A$2:$F$501,6,FALSE)/100,"-")</f>
        <v>-</v>
      </c>
      <c r="L1667" s="21" t="str">
        <f>_xll.RssMarket(A1667,"始値")</f>
        <v/>
      </c>
      <c r="M1667" s="4" t="e">
        <f t="shared" si="140"/>
        <v>#VALUE!</v>
      </c>
      <c r="N1667" s="21" t="str">
        <f>_xll.RssMarket(A1667,"高値")</f>
        <v/>
      </c>
      <c r="O1667" s="4" t="e">
        <f t="shared" si="141"/>
        <v>#VALUE!</v>
      </c>
      <c r="P1667" s="21" t="str">
        <f>_xll.RssMarket(A1667,"安値")</f>
        <v/>
      </c>
      <c r="Q1667" s="4" t="e">
        <f t="shared" si="142"/>
        <v>#VALUE!</v>
      </c>
      <c r="R1667" s="21" t="str">
        <f>_xll.RssMarket(A1667,"後場始値")</f>
        <v/>
      </c>
      <c r="S1667" s="25" t="str">
        <f t="shared" si="143"/>
        <v>-</v>
      </c>
      <c r="T1667" s="7" t="str">
        <f>_xll.RssMarket(A1667,"出来高加重平均")</f>
        <v/>
      </c>
      <c r="U1667" s="4" t="e">
        <f t="shared" si="144"/>
        <v>#VALUE!</v>
      </c>
      <c r="V1667" s="21" t="str">
        <f>_xll.RssMarket(A1667,"出来高")</f>
        <v/>
      </c>
      <c r="W1667" s="21" t="str">
        <f>_xll.RssMarket(A1667,"売買代金")</f>
        <v/>
      </c>
      <c r="X1667" s="20" t="str">
        <f>_xll.RssMarket(A1667,"決算発表日")</f>
        <v/>
      </c>
      <c r="Y1667" s="26" t="str">
        <f>IF(C1667&gt;_xll.RssMarket(A1667,"年初来高値"),"○","×")</f>
        <v>×</v>
      </c>
      <c r="Z1667" s="27" t="str">
        <f>IF(C1667&lt;=_xll.RssMarket(A1667,"年初来安値"),"○","×")</f>
        <v>○</v>
      </c>
    </row>
    <row r="1668" spans="2:26" x14ac:dyDescent="0.55000000000000004">
      <c r="B1668" s="20" t="str">
        <f>_xll.RssMarket(A1668,"銘柄名称")</f>
        <v/>
      </c>
      <c r="C1668" s="21" t="str">
        <f>_xll.RssMarket(A1668,"現在値")</f>
        <v/>
      </c>
      <c r="D1668" s="20" t="str">
        <f>_xll.RssMarket(A1668,"現在値詳細時刻")</f>
        <v/>
      </c>
      <c r="E1668" s="22" t="str">
        <f>_xll.RssMarket(A1668,"前日比")</f>
        <v/>
      </c>
      <c r="F1668" s="23" t="e">
        <f>_xll.RssMarket(A1668,"前日比率")/100</f>
        <v>#VALUE!</v>
      </c>
      <c r="G1668" s="24" t="str">
        <f>IFERROR(VLOOKUP(A1668,取得元!$A$2:$F$501,2,FALSE),"-")</f>
        <v>-</v>
      </c>
      <c r="H1668" s="24" t="str">
        <f>IFERROR(VLOOKUP(A1668,取得元!$A$2:$F$501,3,FALSE),"-")</f>
        <v>-</v>
      </c>
      <c r="I1668" s="24" t="str">
        <f>IFERROR(VLOOKUP(A1668,取得元!$A$2:$F$501,4,FALSE),"-")</f>
        <v>-</v>
      </c>
      <c r="J1668" s="5" t="str">
        <f>IFERROR(VLOOKUP(A1668,取得元!$A$2:$F$501,5,FALSE),"-")</f>
        <v>-</v>
      </c>
      <c r="K1668" s="25" t="str">
        <f>IFERROR(VLOOKUP(A1668,取得元!$A$2:$F$501,6,FALSE)/100,"-")</f>
        <v>-</v>
      </c>
      <c r="L1668" s="21" t="str">
        <f>_xll.RssMarket(A1668,"始値")</f>
        <v/>
      </c>
      <c r="M1668" s="4" t="e">
        <f t="shared" si="140"/>
        <v>#VALUE!</v>
      </c>
      <c r="N1668" s="21" t="str">
        <f>_xll.RssMarket(A1668,"高値")</f>
        <v/>
      </c>
      <c r="O1668" s="4" t="e">
        <f t="shared" si="141"/>
        <v>#VALUE!</v>
      </c>
      <c r="P1668" s="21" t="str">
        <f>_xll.RssMarket(A1668,"安値")</f>
        <v/>
      </c>
      <c r="Q1668" s="4" t="e">
        <f t="shared" si="142"/>
        <v>#VALUE!</v>
      </c>
      <c r="R1668" s="21" t="str">
        <f>_xll.RssMarket(A1668,"後場始値")</f>
        <v/>
      </c>
      <c r="S1668" s="25" t="str">
        <f t="shared" si="143"/>
        <v>-</v>
      </c>
      <c r="T1668" s="7" t="str">
        <f>_xll.RssMarket(A1668,"出来高加重平均")</f>
        <v/>
      </c>
      <c r="U1668" s="4" t="e">
        <f t="shared" si="144"/>
        <v>#VALUE!</v>
      </c>
      <c r="V1668" s="21" t="str">
        <f>_xll.RssMarket(A1668,"出来高")</f>
        <v/>
      </c>
      <c r="W1668" s="21" t="str">
        <f>_xll.RssMarket(A1668,"売買代金")</f>
        <v/>
      </c>
      <c r="X1668" s="20" t="str">
        <f>_xll.RssMarket(A1668,"決算発表日")</f>
        <v/>
      </c>
      <c r="Y1668" s="26" t="str">
        <f>IF(C1668&gt;_xll.RssMarket(A1668,"年初来高値"),"○","×")</f>
        <v>×</v>
      </c>
      <c r="Z1668" s="27" t="str">
        <f>IF(C1668&lt;=_xll.RssMarket(A1668,"年初来安値"),"○","×")</f>
        <v>○</v>
      </c>
    </row>
    <row r="1669" spans="2:26" x14ac:dyDescent="0.55000000000000004">
      <c r="B1669" s="20" t="str">
        <f>_xll.RssMarket(A1669,"銘柄名称")</f>
        <v/>
      </c>
      <c r="C1669" s="21" t="str">
        <f>_xll.RssMarket(A1669,"現在値")</f>
        <v/>
      </c>
      <c r="D1669" s="20" t="str">
        <f>_xll.RssMarket(A1669,"現在値詳細時刻")</f>
        <v/>
      </c>
      <c r="E1669" s="22" t="str">
        <f>_xll.RssMarket(A1669,"前日比")</f>
        <v/>
      </c>
      <c r="F1669" s="23" t="e">
        <f>_xll.RssMarket(A1669,"前日比率")/100</f>
        <v>#VALUE!</v>
      </c>
      <c r="G1669" s="24" t="str">
        <f>IFERROR(VLOOKUP(A1669,取得元!$A$2:$F$501,2,FALSE),"-")</f>
        <v>-</v>
      </c>
      <c r="H1669" s="24" t="str">
        <f>IFERROR(VLOOKUP(A1669,取得元!$A$2:$F$501,3,FALSE),"-")</f>
        <v>-</v>
      </c>
      <c r="I1669" s="24" t="str">
        <f>IFERROR(VLOOKUP(A1669,取得元!$A$2:$F$501,4,FALSE),"-")</f>
        <v>-</v>
      </c>
      <c r="J1669" s="5" t="str">
        <f>IFERROR(VLOOKUP(A1669,取得元!$A$2:$F$501,5,FALSE),"-")</f>
        <v>-</v>
      </c>
      <c r="K1669" s="25" t="str">
        <f>IFERROR(VLOOKUP(A1669,取得元!$A$2:$F$501,6,FALSE)/100,"-")</f>
        <v>-</v>
      </c>
      <c r="L1669" s="21" t="str">
        <f>_xll.RssMarket(A1669,"始値")</f>
        <v/>
      </c>
      <c r="M1669" s="4" t="e">
        <f t="shared" si="140"/>
        <v>#VALUE!</v>
      </c>
      <c r="N1669" s="21" t="str">
        <f>_xll.RssMarket(A1669,"高値")</f>
        <v/>
      </c>
      <c r="O1669" s="4" t="e">
        <f t="shared" si="141"/>
        <v>#VALUE!</v>
      </c>
      <c r="P1669" s="21" t="str">
        <f>_xll.RssMarket(A1669,"安値")</f>
        <v/>
      </c>
      <c r="Q1669" s="4" t="e">
        <f t="shared" si="142"/>
        <v>#VALUE!</v>
      </c>
      <c r="R1669" s="21" t="str">
        <f>_xll.RssMarket(A1669,"後場始値")</f>
        <v/>
      </c>
      <c r="S1669" s="25" t="str">
        <f t="shared" si="143"/>
        <v>-</v>
      </c>
      <c r="T1669" s="7" t="str">
        <f>_xll.RssMarket(A1669,"出来高加重平均")</f>
        <v/>
      </c>
      <c r="U1669" s="4" t="e">
        <f t="shared" si="144"/>
        <v>#VALUE!</v>
      </c>
      <c r="V1669" s="21" t="str">
        <f>_xll.RssMarket(A1669,"出来高")</f>
        <v/>
      </c>
      <c r="W1669" s="21" t="str">
        <f>_xll.RssMarket(A1669,"売買代金")</f>
        <v/>
      </c>
      <c r="X1669" s="20" t="str">
        <f>_xll.RssMarket(A1669,"決算発表日")</f>
        <v/>
      </c>
      <c r="Y1669" s="26" t="str">
        <f>IF(C1669&gt;_xll.RssMarket(A1669,"年初来高値"),"○","×")</f>
        <v>×</v>
      </c>
      <c r="Z1669" s="27" t="str">
        <f>IF(C1669&lt;=_xll.RssMarket(A1669,"年初来安値"),"○","×")</f>
        <v>○</v>
      </c>
    </row>
    <row r="1670" spans="2:26" x14ac:dyDescent="0.55000000000000004">
      <c r="B1670" s="20" t="str">
        <f>_xll.RssMarket(A1670,"銘柄名称")</f>
        <v/>
      </c>
      <c r="C1670" s="21" t="str">
        <f>_xll.RssMarket(A1670,"現在値")</f>
        <v/>
      </c>
      <c r="D1670" s="20" t="str">
        <f>_xll.RssMarket(A1670,"現在値詳細時刻")</f>
        <v/>
      </c>
      <c r="E1670" s="22" t="str">
        <f>_xll.RssMarket(A1670,"前日比")</f>
        <v/>
      </c>
      <c r="F1670" s="23" t="e">
        <f>_xll.RssMarket(A1670,"前日比率")/100</f>
        <v>#VALUE!</v>
      </c>
      <c r="G1670" s="24" t="str">
        <f>IFERROR(VLOOKUP(A1670,取得元!$A$2:$F$501,2,FALSE),"-")</f>
        <v>-</v>
      </c>
      <c r="H1670" s="24" t="str">
        <f>IFERROR(VLOOKUP(A1670,取得元!$A$2:$F$501,3,FALSE),"-")</f>
        <v>-</v>
      </c>
      <c r="I1670" s="24" t="str">
        <f>IFERROR(VLOOKUP(A1670,取得元!$A$2:$F$501,4,FALSE),"-")</f>
        <v>-</v>
      </c>
      <c r="J1670" s="5" t="str">
        <f>IFERROR(VLOOKUP(A1670,取得元!$A$2:$F$501,5,FALSE),"-")</f>
        <v>-</v>
      </c>
      <c r="K1670" s="25" t="str">
        <f>IFERROR(VLOOKUP(A1670,取得元!$A$2:$F$501,6,FALSE)/100,"-")</f>
        <v>-</v>
      </c>
      <c r="L1670" s="21" t="str">
        <f>_xll.RssMarket(A1670,"始値")</f>
        <v/>
      </c>
      <c r="M1670" s="4" t="e">
        <f t="shared" si="140"/>
        <v>#VALUE!</v>
      </c>
      <c r="N1670" s="21" t="str">
        <f>_xll.RssMarket(A1670,"高値")</f>
        <v/>
      </c>
      <c r="O1670" s="4" t="e">
        <f t="shared" si="141"/>
        <v>#VALUE!</v>
      </c>
      <c r="P1670" s="21" t="str">
        <f>_xll.RssMarket(A1670,"安値")</f>
        <v/>
      </c>
      <c r="Q1670" s="4" t="e">
        <f t="shared" si="142"/>
        <v>#VALUE!</v>
      </c>
      <c r="R1670" s="21" t="str">
        <f>_xll.RssMarket(A1670,"後場始値")</f>
        <v/>
      </c>
      <c r="S1670" s="25" t="str">
        <f t="shared" si="143"/>
        <v>-</v>
      </c>
      <c r="T1670" s="7" t="str">
        <f>_xll.RssMarket(A1670,"出来高加重平均")</f>
        <v/>
      </c>
      <c r="U1670" s="4" t="e">
        <f t="shared" si="144"/>
        <v>#VALUE!</v>
      </c>
      <c r="V1670" s="21" t="str">
        <f>_xll.RssMarket(A1670,"出来高")</f>
        <v/>
      </c>
      <c r="W1670" s="21" t="str">
        <f>_xll.RssMarket(A1670,"売買代金")</f>
        <v/>
      </c>
      <c r="X1670" s="20" t="str">
        <f>_xll.RssMarket(A1670,"決算発表日")</f>
        <v/>
      </c>
      <c r="Y1670" s="26" t="str">
        <f>IF(C1670&gt;_xll.RssMarket(A1670,"年初来高値"),"○","×")</f>
        <v>×</v>
      </c>
      <c r="Z1670" s="27" t="str">
        <f>IF(C1670&lt;=_xll.RssMarket(A1670,"年初来安値"),"○","×")</f>
        <v>○</v>
      </c>
    </row>
    <row r="1671" spans="2:26" x14ac:dyDescent="0.55000000000000004">
      <c r="B1671" s="20" t="str">
        <f>_xll.RssMarket(A1671,"銘柄名称")</f>
        <v/>
      </c>
      <c r="C1671" s="21" t="str">
        <f>_xll.RssMarket(A1671,"現在値")</f>
        <v/>
      </c>
      <c r="D1671" s="20" t="str">
        <f>_xll.RssMarket(A1671,"現在値詳細時刻")</f>
        <v/>
      </c>
      <c r="E1671" s="22" t="str">
        <f>_xll.RssMarket(A1671,"前日比")</f>
        <v/>
      </c>
      <c r="F1671" s="23" t="e">
        <f>_xll.RssMarket(A1671,"前日比率")/100</f>
        <v>#VALUE!</v>
      </c>
      <c r="G1671" s="24" t="str">
        <f>IFERROR(VLOOKUP(A1671,取得元!$A$2:$F$501,2,FALSE),"-")</f>
        <v>-</v>
      </c>
      <c r="H1671" s="24" t="str">
        <f>IFERROR(VLOOKUP(A1671,取得元!$A$2:$F$501,3,FALSE),"-")</f>
        <v>-</v>
      </c>
      <c r="I1671" s="24" t="str">
        <f>IFERROR(VLOOKUP(A1671,取得元!$A$2:$F$501,4,FALSE),"-")</f>
        <v>-</v>
      </c>
      <c r="J1671" s="5" t="str">
        <f>IFERROR(VLOOKUP(A1671,取得元!$A$2:$F$501,5,FALSE),"-")</f>
        <v>-</v>
      </c>
      <c r="K1671" s="25" t="str">
        <f>IFERROR(VLOOKUP(A1671,取得元!$A$2:$F$501,6,FALSE)/100,"-")</f>
        <v>-</v>
      </c>
      <c r="L1671" s="21" t="str">
        <f>_xll.RssMarket(A1671,"始値")</f>
        <v/>
      </c>
      <c r="M1671" s="4" t="e">
        <f t="shared" si="140"/>
        <v>#VALUE!</v>
      </c>
      <c r="N1671" s="21" t="str">
        <f>_xll.RssMarket(A1671,"高値")</f>
        <v/>
      </c>
      <c r="O1671" s="4" t="e">
        <f t="shared" si="141"/>
        <v>#VALUE!</v>
      </c>
      <c r="P1671" s="21" t="str">
        <f>_xll.RssMarket(A1671,"安値")</f>
        <v/>
      </c>
      <c r="Q1671" s="4" t="e">
        <f t="shared" si="142"/>
        <v>#VALUE!</v>
      </c>
      <c r="R1671" s="21" t="str">
        <f>_xll.RssMarket(A1671,"後場始値")</f>
        <v/>
      </c>
      <c r="S1671" s="25" t="str">
        <f t="shared" si="143"/>
        <v>-</v>
      </c>
      <c r="T1671" s="7" t="str">
        <f>_xll.RssMarket(A1671,"出来高加重平均")</f>
        <v/>
      </c>
      <c r="U1671" s="4" t="e">
        <f t="shared" si="144"/>
        <v>#VALUE!</v>
      </c>
      <c r="V1671" s="21" t="str">
        <f>_xll.RssMarket(A1671,"出来高")</f>
        <v/>
      </c>
      <c r="W1671" s="21" t="str">
        <f>_xll.RssMarket(A1671,"売買代金")</f>
        <v/>
      </c>
      <c r="X1671" s="20" t="str">
        <f>_xll.RssMarket(A1671,"決算発表日")</f>
        <v/>
      </c>
      <c r="Y1671" s="26" t="str">
        <f>IF(C1671&gt;_xll.RssMarket(A1671,"年初来高値"),"○","×")</f>
        <v>×</v>
      </c>
      <c r="Z1671" s="27" t="str">
        <f>IF(C1671&lt;=_xll.RssMarket(A1671,"年初来安値"),"○","×")</f>
        <v>○</v>
      </c>
    </row>
    <row r="1672" spans="2:26" x14ac:dyDescent="0.55000000000000004">
      <c r="B1672" s="20" t="str">
        <f>_xll.RssMarket(A1672,"銘柄名称")</f>
        <v/>
      </c>
      <c r="C1672" s="21" t="str">
        <f>_xll.RssMarket(A1672,"現在値")</f>
        <v/>
      </c>
      <c r="D1672" s="20" t="str">
        <f>_xll.RssMarket(A1672,"現在値詳細時刻")</f>
        <v/>
      </c>
      <c r="E1672" s="22" t="str">
        <f>_xll.RssMarket(A1672,"前日比")</f>
        <v/>
      </c>
      <c r="F1672" s="23" t="e">
        <f>_xll.RssMarket(A1672,"前日比率")/100</f>
        <v>#VALUE!</v>
      </c>
      <c r="G1672" s="24" t="str">
        <f>IFERROR(VLOOKUP(A1672,取得元!$A$2:$F$501,2,FALSE),"-")</f>
        <v>-</v>
      </c>
      <c r="H1672" s="24" t="str">
        <f>IFERROR(VLOOKUP(A1672,取得元!$A$2:$F$501,3,FALSE),"-")</f>
        <v>-</v>
      </c>
      <c r="I1672" s="24" t="str">
        <f>IFERROR(VLOOKUP(A1672,取得元!$A$2:$F$501,4,FALSE),"-")</f>
        <v>-</v>
      </c>
      <c r="J1672" s="5" t="str">
        <f>IFERROR(VLOOKUP(A1672,取得元!$A$2:$F$501,5,FALSE),"-")</f>
        <v>-</v>
      </c>
      <c r="K1672" s="25" t="str">
        <f>IFERROR(VLOOKUP(A1672,取得元!$A$2:$F$501,6,FALSE)/100,"-")</f>
        <v>-</v>
      </c>
      <c r="L1672" s="21" t="str">
        <f>_xll.RssMarket(A1672,"始値")</f>
        <v/>
      </c>
      <c r="M1672" s="4" t="e">
        <f t="shared" si="140"/>
        <v>#VALUE!</v>
      </c>
      <c r="N1672" s="21" t="str">
        <f>_xll.RssMarket(A1672,"高値")</f>
        <v/>
      </c>
      <c r="O1672" s="4" t="e">
        <f t="shared" si="141"/>
        <v>#VALUE!</v>
      </c>
      <c r="P1672" s="21" t="str">
        <f>_xll.RssMarket(A1672,"安値")</f>
        <v/>
      </c>
      <c r="Q1672" s="4" t="e">
        <f t="shared" si="142"/>
        <v>#VALUE!</v>
      </c>
      <c r="R1672" s="21" t="str">
        <f>_xll.RssMarket(A1672,"後場始値")</f>
        <v/>
      </c>
      <c r="S1672" s="25" t="str">
        <f t="shared" si="143"/>
        <v>-</v>
      </c>
      <c r="T1672" s="7" t="str">
        <f>_xll.RssMarket(A1672,"出来高加重平均")</f>
        <v/>
      </c>
      <c r="U1672" s="4" t="e">
        <f t="shared" si="144"/>
        <v>#VALUE!</v>
      </c>
      <c r="V1672" s="21" t="str">
        <f>_xll.RssMarket(A1672,"出来高")</f>
        <v/>
      </c>
      <c r="W1672" s="21" t="str">
        <f>_xll.RssMarket(A1672,"売買代金")</f>
        <v/>
      </c>
      <c r="X1672" s="20" t="str">
        <f>_xll.RssMarket(A1672,"決算発表日")</f>
        <v/>
      </c>
      <c r="Y1672" s="26" t="str">
        <f>IF(C1672&gt;_xll.RssMarket(A1672,"年初来高値"),"○","×")</f>
        <v>×</v>
      </c>
      <c r="Z1672" s="27" t="str">
        <f>IF(C1672&lt;=_xll.RssMarket(A1672,"年初来安値"),"○","×")</f>
        <v>○</v>
      </c>
    </row>
    <row r="1673" spans="2:26" x14ac:dyDescent="0.55000000000000004">
      <c r="B1673" s="20" t="str">
        <f>_xll.RssMarket(A1673,"銘柄名称")</f>
        <v/>
      </c>
      <c r="C1673" s="21" t="str">
        <f>_xll.RssMarket(A1673,"現在値")</f>
        <v/>
      </c>
      <c r="D1673" s="20" t="str">
        <f>_xll.RssMarket(A1673,"現在値詳細時刻")</f>
        <v/>
      </c>
      <c r="E1673" s="22" t="str">
        <f>_xll.RssMarket(A1673,"前日比")</f>
        <v/>
      </c>
      <c r="F1673" s="23" t="e">
        <f>_xll.RssMarket(A1673,"前日比率")/100</f>
        <v>#VALUE!</v>
      </c>
      <c r="G1673" s="24" t="str">
        <f>IFERROR(VLOOKUP(A1673,取得元!$A$2:$F$501,2,FALSE),"-")</f>
        <v>-</v>
      </c>
      <c r="H1673" s="24" t="str">
        <f>IFERROR(VLOOKUP(A1673,取得元!$A$2:$F$501,3,FALSE),"-")</f>
        <v>-</v>
      </c>
      <c r="I1673" s="24" t="str">
        <f>IFERROR(VLOOKUP(A1673,取得元!$A$2:$F$501,4,FALSE),"-")</f>
        <v>-</v>
      </c>
      <c r="J1673" s="5" t="str">
        <f>IFERROR(VLOOKUP(A1673,取得元!$A$2:$F$501,5,FALSE),"-")</f>
        <v>-</v>
      </c>
      <c r="K1673" s="25" t="str">
        <f>IFERROR(VLOOKUP(A1673,取得元!$A$2:$F$501,6,FALSE)/100,"-")</f>
        <v>-</v>
      </c>
      <c r="L1673" s="21" t="str">
        <f>_xll.RssMarket(A1673,"始値")</f>
        <v/>
      </c>
      <c r="M1673" s="4" t="e">
        <f t="shared" si="140"/>
        <v>#VALUE!</v>
      </c>
      <c r="N1673" s="21" t="str">
        <f>_xll.RssMarket(A1673,"高値")</f>
        <v/>
      </c>
      <c r="O1673" s="4" t="e">
        <f t="shared" si="141"/>
        <v>#VALUE!</v>
      </c>
      <c r="P1673" s="21" t="str">
        <f>_xll.RssMarket(A1673,"安値")</f>
        <v/>
      </c>
      <c r="Q1673" s="4" t="e">
        <f t="shared" si="142"/>
        <v>#VALUE!</v>
      </c>
      <c r="R1673" s="21" t="str">
        <f>_xll.RssMarket(A1673,"後場始値")</f>
        <v/>
      </c>
      <c r="S1673" s="25" t="str">
        <f t="shared" si="143"/>
        <v>-</v>
      </c>
      <c r="T1673" s="7" t="str">
        <f>_xll.RssMarket(A1673,"出来高加重平均")</f>
        <v/>
      </c>
      <c r="U1673" s="4" t="e">
        <f t="shared" si="144"/>
        <v>#VALUE!</v>
      </c>
      <c r="V1673" s="21" t="str">
        <f>_xll.RssMarket(A1673,"出来高")</f>
        <v/>
      </c>
      <c r="W1673" s="21" t="str">
        <f>_xll.RssMarket(A1673,"売買代金")</f>
        <v/>
      </c>
      <c r="X1673" s="20" t="str">
        <f>_xll.RssMarket(A1673,"決算発表日")</f>
        <v/>
      </c>
      <c r="Y1673" s="26" t="str">
        <f>IF(C1673&gt;_xll.RssMarket(A1673,"年初来高値"),"○","×")</f>
        <v>×</v>
      </c>
      <c r="Z1673" s="27" t="str">
        <f>IF(C1673&lt;=_xll.RssMarket(A1673,"年初来安値"),"○","×")</f>
        <v>○</v>
      </c>
    </row>
    <row r="1674" spans="2:26" x14ac:dyDescent="0.55000000000000004">
      <c r="B1674" s="20" t="str">
        <f>_xll.RssMarket(A1674,"銘柄名称")</f>
        <v/>
      </c>
      <c r="C1674" s="21" t="str">
        <f>_xll.RssMarket(A1674,"現在値")</f>
        <v/>
      </c>
      <c r="D1674" s="20" t="str">
        <f>_xll.RssMarket(A1674,"現在値詳細時刻")</f>
        <v/>
      </c>
      <c r="E1674" s="22" t="str">
        <f>_xll.RssMarket(A1674,"前日比")</f>
        <v/>
      </c>
      <c r="F1674" s="23" t="e">
        <f>_xll.RssMarket(A1674,"前日比率")/100</f>
        <v>#VALUE!</v>
      </c>
      <c r="G1674" s="24" t="str">
        <f>IFERROR(VLOOKUP(A1674,取得元!$A$2:$F$501,2,FALSE),"-")</f>
        <v>-</v>
      </c>
      <c r="H1674" s="24" t="str">
        <f>IFERROR(VLOOKUP(A1674,取得元!$A$2:$F$501,3,FALSE),"-")</f>
        <v>-</v>
      </c>
      <c r="I1674" s="24" t="str">
        <f>IFERROR(VLOOKUP(A1674,取得元!$A$2:$F$501,4,FALSE),"-")</f>
        <v>-</v>
      </c>
      <c r="J1674" s="5" t="str">
        <f>IFERROR(VLOOKUP(A1674,取得元!$A$2:$F$501,5,FALSE),"-")</f>
        <v>-</v>
      </c>
      <c r="K1674" s="25" t="str">
        <f>IFERROR(VLOOKUP(A1674,取得元!$A$2:$F$501,6,FALSE)/100,"-")</f>
        <v>-</v>
      </c>
      <c r="L1674" s="21" t="str">
        <f>_xll.RssMarket(A1674,"始値")</f>
        <v/>
      </c>
      <c r="M1674" s="4" t="e">
        <f t="shared" si="140"/>
        <v>#VALUE!</v>
      </c>
      <c r="N1674" s="21" t="str">
        <f>_xll.RssMarket(A1674,"高値")</f>
        <v/>
      </c>
      <c r="O1674" s="4" t="e">
        <f t="shared" si="141"/>
        <v>#VALUE!</v>
      </c>
      <c r="P1674" s="21" t="str">
        <f>_xll.RssMarket(A1674,"安値")</f>
        <v/>
      </c>
      <c r="Q1674" s="4" t="e">
        <f t="shared" si="142"/>
        <v>#VALUE!</v>
      </c>
      <c r="R1674" s="21" t="str">
        <f>_xll.RssMarket(A1674,"後場始値")</f>
        <v/>
      </c>
      <c r="S1674" s="25" t="str">
        <f t="shared" si="143"/>
        <v>-</v>
      </c>
      <c r="T1674" s="7" t="str">
        <f>_xll.RssMarket(A1674,"出来高加重平均")</f>
        <v/>
      </c>
      <c r="U1674" s="4" t="e">
        <f t="shared" si="144"/>
        <v>#VALUE!</v>
      </c>
      <c r="V1674" s="21" t="str">
        <f>_xll.RssMarket(A1674,"出来高")</f>
        <v/>
      </c>
      <c r="W1674" s="21" t="str">
        <f>_xll.RssMarket(A1674,"売買代金")</f>
        <v/>
      </c>
      <c r="X1674" s="20" t="str">
        <f>_xll.RssMarket(A1674,"決算発表日")</f>
        <v/>
      </c>
      <c r="Y1674" s="26" t="str">
        <f>IF(C1674&gt;_xll.RssMarket(A1674,"年初来高値"),"○","×")</f>
        <v>×</v>
      </c>
      <c r="Z1674" s="27" t="str">
        <f>IF(C1674&lt;=_xll.RssMarket(A1674,"年初来安値"),"○","×")</f>
        <v>○</v>
      </c>
    </row>
    <row r="1675" spans="2:26" x14ac:dyDescent="0.55000000000000004">
      <c r="B1675" s="20" t="str">
        <f>_xll.RssMarket(A1675,"銘柄名称")</f>
        <v/>
      </c>
      <c r="C1675" s="21" t="str">
        <f>_xll.RssMarket(A1675,"現在値")</f>
        <v/>
      </c>
      <c r="D1675" s="20" t="str">
        <f>_xll.RssMarket(A1675,"現在値詳細時刻")</f>
        <v/>
      </c>
      <c r="E1675" s="22" t="str">
        <f>_xll.RssMarket(A1675,"前日比")</f>
        <v/>
      </c>
      <c r="F1675" s="23" t="e">
        <f>_xll.RssMarket(A1675,"前日比率")/100</f>
        <v>#VALUE!</v>
      </c>
      <c r="G1675" s="24" t="str">
        <f>IFERROR(VLOOKUP(A1675,取得元!$A$2:$F$501,2,FALSE),"-")</f>
        <v>-</v>
      </c>
      <c r="H1675" s="24" t="str">
        <f>IFERROR(VLOOKUP(A1675,取得元!$A$2:$F$501,3,FALSE),"-")</f>
        <v>-</v>
      </c>
      <c r="I1675" s="24" t="str">
        <f>IFERROR(VLOOKUP(A1675,取得元!$A$2:$F$501,4,FALSE),"-")</f>
        <v>-</v>
      </c>
      <c r="J1675" s="5" t="str">
        <f>IFERROR(VLOOKUP(A1675,取得元!$A$2:$F$501,5,FALSE),"-")</f>
        <v>-</v>
      </c>
      <c r="K1675" s="25" t="str">
        <f>IFERROR(VLOOKUP(A1675,取得元!$A$2:$F$501,6,FALSE)/100,"-")</f>
        <v>-</v>
      </c>
      <c r="L1675" s="21" t="str">
        <f>_xll.RssMarket(A1675,"始値")</f>
        <v/>
      </c>
      <c r="M1675" s="4" t="e">
        <f t="shared" si="140"/>
        <v>#VALUE!</v>
      </c>
      <c r="N1675" s="21" t="str">
        <f>_xll.RssMarket(A1675,"高値")</f>
        <v/>
      </c>
      <c r="O1675" s="4" t="e">
        <f t="shared" si="141"/>
        <v>#VALUE!</v>
      </c>
      <c r="P1675" s="21" t="str">
        <f>_xll.RssMarket(A1675,"安値")</f>
        <v/>
      </c>
      <c r="Q1675" s="4" t="e">
        <f t="shared" si="142"/>
        <v>#VALUE!</v>
      </c>
      <c r="R1675" s="21" t="str">
        <f>_xll.RssMarket(A1675,"後場始値")</f>
        <v/>
      </c>
      <c r="S1675" s="25" t="str">
        <f t="shared" si="143"/>
        <v>-</v>
      </c>
      <c r="T1675" s="7" t="str">
        <f>_xll.RssMarket(A1675,"出来高加重平均")</f>
        <v/>
      </c>
      <c r="U1675" s="4" t="e">
        <f t="shared" si="144"/>
        <v>#VALUE!</v>
      </c>
      <c r="V1675" s="21" t="str">
        <f>_xll.RssMarket(A1675,"出来高")</f>
        <v/>
      </c>
      <c r="W1675" s="21" t="str">
        <f>_xll.RssMarket(A1675,"売買代金")</f>
        <v/>
      </c>
      <c r="X1675" s="20" t="str">
        <f>_xll.RssMarket(A1675,"決算発表日")</f>
        <v/>
      </c>
      <c r="Y1675" s="26" t="str">
        <f>IF(C1675&gt;_xll.RssMarket(A1675,"年初来高値"),"○","×")</f>
        <v>×</v>
      </c>
      <c r="Z1675" s="27" t="str">
        <f>IF(C1675&lt;=_xll.RssMarket(A1675,"年初来安値"),"○","×")</f>
        <v>○</v>
      </c>
    </row>
    <row r="1676" spans="2:26" x14ac:dyDescent="0.55000000000000004">
      <c r="B1676" s="20" t="str">
        <f>_xll.RssMarket(A1676,"銘柄名称")</f>
        <v/>
      </c>
      <c r="C1676" s="21" t="str">
        <f>_xll.RssMarket(A1676,"現在値")</f>
        <v/>
      </c>
      <c r="D1676" s="20" t="str">
        <f>_xll.RssMarket(A1676,"現在値詳細時刻")</f>
        <v/>
      </c>
      <c r="E1676" s="22" t="str">
        <f>_xll.RssMarket(A1676,"前日比")</f>
        <v/>
      </c>
      <c r="F1676" s="23" t="e">
        <f>_xll.RssMarket(A1676,"前日比率")/100</f>
        <v>#VALUE!</v>
      </c>
      <c r="G1676" s="24" t="str">
        <f>IFERROR(VLOOKUP(A1676,取得元!$A$2:$F$501,2,FALSE),"-")</f>
        <v>-</v>
      </c>
      <c r="H1676" s="24" t="str">
        <f>IFERROR(VLOOKUP(A1676,取得元!$A$2:$F$501,3,FALSE),"-")</f>
        <v>-</v>
      </c>
      <c r="I1676" s="24" t="str">
        <f>IFERROR(VLOOKUP(A1676,取得元!$A$2:$F$501,4,FALSE),"-")</f>
        <v>-</v>
      </c>
      <c r="J1676" s="5" t="str">
        <f>IFERROR(VLOOKUP(A1676,取得元!$A$2:$F$501,5,FALSE),"-")</f>
        <v>-</v>
      </c>
      <c r="K1676" s="25" t="str">
        <f>IFERROR(VLOOKUP(A1676,取得元!$A$2:$F$501,6,FALSE)/100,"-")</f>
        <v>-</v>
      </c>
      <c r="L1676" s="21" t="str">
        <f>_xll.RssMarket(A1676,"始値")</f>
        <v/>
      </c>
      <c r="M1676" s="4" t="e">
        <f t="shared" si="140"/>
        <v>#VALUE!</v>
      </c>
      <c r="N1676" s="21" t="str">
        <f>_xll.RssMarket(A1676,"高値")</f>
        <v/>
      </c>
      <c r="O1676" s="4" t="e">
        <f t="shared" si="141"/>
        <v>#VALUE!</v>
      </c>
      <c r="P1676" s="21" t="str">
        <f>_xll.RssMarket(A1676,"安値")</f>
        <v/>
      </c>
      <c r="Q1676" s="4" t="e">
        <f t="shared" si="142"/>
        <v>#VALUE!</v>
      </c>
      <c r="R1676" s="21" t="str">
        <f>_xll.RssMarket(A1676,"後場始値")</f>
        <v/>
      </c>
      <c r="S1676" s="25" t="str">
        <f t="shared" si="143"/>
        <v>-</v>
      </c>
      <c r="T1676" s="7" t="str">
        <f>_xll.RssMarket(A1676,"出来高加重平均")</f>
        <v/>
      </c>
      <c r="U1676" s="4" t="e">
        <f t="shared" si="144"/>
        <v>#VALUE!</v>
      </c>
      <c r="V1676" s="21" t="str">
        <f>_xll.RssMarket(A1676,"出来高")</f>
        <v/>
      </c>
      <c r="W1676" s="21" t="str">
        <f>_xll.RssMarket(A1676,"売買代金")</f>
        <v/>
      </c>
      <c r="X1676" s="20" t="str">
        <f>_xll.RssMarket(A1676,"決算発表日")</f>
        <v/>
      </c>
      <c r="Y1676" s="26" t="str">
        <f>IF(C1676&gt;_xll.RssMarket(A1676,"年初来高値"),"○","×")</f>
        <v>×</v>
      </c>
      <c r="Z1676" s="27" t="str">
        <f>IF(C1676&lt;=_xll.RssMarket(A1676,"年初来安値"),"○","×")</f>
        <v>○</v>
      </c>
    </row>
    <row r="1677" spans="2:26" x14ac:dyDescent="0.55000000000000004">
      <c r="B1677" s="20" t="str">
        <f>_xll.RssMarket(A1677,"銘柄名称")</f>
        <v/>
      </c>
      <c r="C1677" s="21" t="str">
        <f>_xll.RssMarket(A1677,"現在値")</f>
        <v/>
      </c>
      <c r="D1677" s="20" t="str">
        <f>_xll.RssMarket(A1677,"現在値詳細時刻")</f>
        <v/>
      </c>
      <c r="E1677" s="22" t="str">
        <f>_xll.RssMarket(A1677,"前日比")</f>
        <v/>
      </c>
      <c r="F1677" s="23" t="e">
        <f>_xll.RssMarket(A1677,"前日比率")/100</f>
        <v>#VALUE!</v>
      </c>
      <c r="G1677" s="24" t="str">
        <f>IFERROR(VLOOKUP(A1677,取得元!$A$2:$F$501,2,FALSE),"-")</f>
        <v>-</v>
      </c>
      <c r="H1677" s="24" t="str">
        <f>IFERROR(VLOOKUP(A1677,取得元!$A$2:$F$501,3,FALSE),"-")</f>
        <v>-</v>
      </c>
      <c r="I1677" s="24" t="str">
        <f>IFERROR(VLOOKUP(A1677,取得元!$A$2:$F$501,4,FALSE),"-")</f>
        <v>-</v>
      </c>
      <c r="J1677" s="5" t="str">
        <f>IFERROR(VLOOKUP(A1677,取得元!$A$2:$F$501,5,FALSE),"-")</f>
        <v>-</v>
      </c>
      <c r="K1677" s="25" t="str">
        <f>IFERROR(VLOOKUP(A1677,取得元!$A$2:$F$501,6,FALSE)/100,"-")</f>
        <v>-</v>
      </c>
      <c r="L1677" s="21" t="str">
        <f>_xll.RssMarket(A1677,"始値")</f>
        <v/>
      </c>
      <c r="M1677" s="4" t="e">
        <f t="shared" si="140"/>
        <v>#VALUE!</v>
      </c>
      <c r="N1677" s="21" t="str">
        <f>_xll.RssMarket(A1677,"高値")</f>
        <v/>
      </c>
      <c r="O1677" s="4" t="e">
        <f t="shared" si="141"/>
        <v>#VALUE!</v>
      </c>
      <c r="P1677" s="21" t="str">
        <f>_xll.RssMarket(A1677,"安値")</f>
        <v/>
      </c>
      <c r="Q1677" s="4" t="e">
        <f t="shared" si="142"/>
        <v>#VALUE!</v>
      </c>
      <c r="R1677" s="21" t="str">
        <f>_xll.RssMarket(A1677,"後場始値")</f>
        <v/>
      </c>
      <c r="S1677" s="25" t="str">
        <f t="shared" si="143"/>
        <v>-</v>
      </c>
      <c r="T1677" s="7" t="str">
        <f>_xll.RssMarket(A1677,"出来高加重平均")</f>
        <v/>
      </c>
      <c r="U1677" s="4" t="e">
        <f t="shared" si="144"/>
        <v>#VALUE!</v>
      </c>
      <c r="V1677" s="21" t="str">
        <f>_xll.RssMarket(A1677,"出来高")</f>
        <v/>
      </c>
      <c r="W1677" s="21" t="str">
        <f>_xll.RssMarket(A1677,"売買代金")</f>
        <v/>
      </c>
      <c r="X1677" s="20" t="str">
        <f>_xll.RssMarket(A1677,"決算発表日")</f>
        <v/>
      </c>
      <c r="Y1677" s="26" t="str">
        <f>IF(C1677&gt;_xll.RssMarket(A1677,"年初来高値"),"○","×")</f>
        <v>×</v>
      </c>
      <c r="Z1677" s="27" t="str">
        <f>IF(C1677&lt;=_xll.RssMarket(A1677,"年初来安値"),"○","×")</f>
        <v>○</v>
      </c>
    </row>
    <row r="1678" spans="2:26" x14ac:dyDescent="0.55000000000000004">
      <c r="B1678" s="20" t="str">
        <f>_xll.RssMarket(A1678,"銘柄名称")</f>
        <v/>
      </c>
      <c r="C1678" s="21" t="str">
        <f>_xll.RssMarket(A1678,"現在値")</f>
        <v/>
      </c>
      <c r="D1678" s="20" t="str">
        <f>_xll.RssMarket(A1678,"現在値詳細時刻")</f>
        <v/>
      </c>
      <c r="E1678" s="22" t="str">
        <f>_xll.RssMarket(A1678,"前日比")</f>
        <v/>
      </c>
      <c r="F1678" s="23" t="e">
        <f>_xll.RssMarket(A1678,"前日比率")/100</f>
        <v>#VALUE!</v>
      </c>
      <c r="G1678" s="24" t="str">
        <f>IFERROR(VLOOKUP(A1678,取得元!$A$2:$F$501,2,FALSE),"-")</f>
        <v>-</v>
      </c>
      <c r="H1678" s="24" t="str">
        <f>IFERROR(VLOOKUP(A1678,取得元!$A$2:$F$501,3,FALSE),"-")</f>
        <v>-</v>
      </c>
      <c r="I1678" s="24" t="str">
        <f>IFERROR(VLOOKUP(A1678,取得元!$A$2:$F$501,4,FALSE),"-")</f>
        <v>-</v>
      </c>
      <c r="J1678" s="5" t="str">
        <f>IFERROR(VLOOKUP(A1678,取得元!$A$2:$F$501,5,FALSE),"-")</f>
        <v>-</v>
      </c>
      <c r="K1678" s="25" t="str">
        <f>IFERROR(VLOOKUP(A1678,取得元!$A$2:$F$501,6,FALSE)/100,"-")</f>
        <v>-</v>
      </c>
      <c r="L1678" s="21" t="str">
        <f>_xll.RssMarket(A1678,"始値")</f>
        <v/>
      </c>
      <c r="M1678" s="4" t="e">
        <f t="shared" si="140"/>
        <v>#VALUE!</v>
      </c>
      <c r="N1678" s="21" t="str">
        <f>_xll.RssMarket(A1678,"高値")</f>
        <v/>
      </c>
      <c r="O1678" s="4" t="e">
        <f t="shared" si="141"/>
        <v>#VALUE!</v>
      </c>
      <c r="P1678" s="21" t="str">
        <f>_xll.RssMarket(A1678,"安値")</f>
        <v/>
      </c>
      <c r="Q1678" s="4" t="e">
        <f t="shared" si="142"/>
        <v>#VALUE!</v>
      </c>
      <c r="R1678" s="21" t="str">
        <f>_xll.RssMarket(A1678,"後場始値")</f>
        <v/>
      </c>
      <c r="S1678" s="25" t="str">
        <f t="shared" si="143"/>
        <v>-</v>
      </c>
      <c r="T1678" s="7" t="str">
        <f>_xll.RssMarket(A1678,"出来高加重平均")</f>
        <v/>
      </c>
      <c r="U1678" s="4" t="e">
        <f t="shared" si="144"/>
        <v>#VALUE!</v>
      </c>
      <c r="V1678" s="21" t="str">
        <f>_xll.RssMarket(A1678,"出来高")</f>
        <v/>
      </c>
      <c r="W1678" s="21" t="str">
        <f>_xll.RssMarket(A1678,"売買代金")</f>
        <v/>
      </c>
      <c r="X1678" s="20" t="str">
        <f>_xll.RssMarket(A1678,"決算発表日")</f>
        <v/>
      </c>
      <c r="Y1678" s="26" t="str">
        <f>IF(C1678&gt;_xll.RssMarket(A1678,"年初来高値"),"○","×")</f>
        <v>×</v>
      </c>
      <c r="Z1678" s="27" t="str">
        <f>IF(C1678&lt;=_xll.RssMarket(A1678,"年初来安値"),"○","×")</f>
        <v>○</v>
      </c>
    </row>
    <row r="1679" spans="2:26" x14ac:dyDescent="0.55000000000000004">
      <c r="B1679" s="20" t="str">
        <f>_xll.RssMarket(A1679,"銘柄名称")</f>
        <v/>
      </c>
      <c r="C1679" s="21" t="str">
        <f>_xll.RssMarket(A1679,"現在値")</f>
        <v/>
      </c>
      <c r="D1679" s="20" t="str">
        <f>_xll.RssMarket(A1679,"現在値詳細時刻")</f>
        <v/>
      </c>
      <c r="E1679" s="22" t="str">
        <f>_xll.RssMarket(A1679,"前日比")</f>
        <v/>
      </c>
      <c r="F1679" s="23" t="e">
        <f>_xll.RssMarket(A1679,"前日比率")/100</f>
        <v>#VALUE!</v>
      </c>
      <c r="G1679" s="24" t="str">
        <f>IFERROR(VLOOKUP(A1679,取得元!$A$2:$F$501,2,FALSE),"-")</f>
        <v>-</v>
      </c>
      <c r="H1679" s="24" t="str">
        <f>IFERROR(VLOOKUP(A1679,取得元!$A$2:$F$501,3,FALSE),"-")</f>
        <v>-</v>
      </c>
      <c r="I1679" s="24" t="str">
        <f>IFERROR(VLOOKUP(A1679,取得元!$A$2:$F$501,4,FALSE),"-")</f>
        <v>-</v>
      </c>
      <c r="J1679" s="5" t="str">
        <f>IFERROR(VLOOKUP(A1679,取得元!$A$2:$F$501,5,FALSE),"-")</f>
        <v>-</v>
      </c>
      <c r="K1679" s="25" t="str">
        <f>IFERROR(VLOOKUP(A1679,取得元!$A$2:$F$501,6,FALSE)/100,"-")</f>
        <v>-</v>
      </c>
      <c r="L1679" s="21" t="str">
        <f>_xll.RssMarket(A1679,"始値")</f>
        <v/>
      </c>
      <c r="M1679" s="4" t="e">
        <f t="shared" si="140"/>
        <v>#VALUE!</v>
      </c>
      <c r="N1679" s="21" t="str">
        <f>_xll.RssMarket(A1679,"高値")</f>
        <v/>
      </c>
      <c r="O1679" s="4" t="e">
        <f t="shared" si="141"/>
        <v>#VALUE!</v>
      </c>
      <c r="P1679" s="21" t="str">
        <f>_xll.RssMarket(A1679,"安値")</f>
        <v/>
      </c>
      <c r="Q1679" s="4" t="e">
        <f t="shared" si="142"/>
        <v>#VALUE!</v>
      </c>
      <c r="R1679" s="21" t="str">
        <f>_xll.RssMarket(A1679,"後場始値")</f>
        <v/>
      </c>
      <c r="S1679" s="25" t="str">
        <f t="shared" si="143"/>
        <v>-</v>
      </c>
      <c r="T1679" s="7" t="str">
        <f>_xll.RssMarket(A1679,"出来高加重平均")</f>
        <v/>
      </c>
      <c r="U1679" s="4" t="e">
        <f t="shared" si="144"/>
        <v>#VALUE!</v>
      </c>
      <c r="V1679" s="21" t="str">
        <f>_xll.RssMarket(A1679,"出来高")</f>
        <v/>
      </c>
      <c r="W1679" s="21" t="str">
        <f>_xll.RssMarket(A1679,"売買代金")</f>
        <v/>
      </c>
      <c r="X1679" s="20" t="str">
        <f>_xll.RssMarket(A1679,"決算発表日")</f>
        <v/>
      </c>
      <c r="Y1679" s="26" t="str">
        <f>IF(C1679&gt;_xll.RssMarket(A1679,"年初来高値"),"○","×")</f>
        <v>×</v>
      </c>
      <c r="Z1679" s="27" t="str">
        <f>IF(C1679&lt;=_xll.RssMarket(A1679,"年初来安値"),"○","×")</f>
        <v>○</v>
      </c>
    </row>
    <row r="1680" spans="2:26" x14ac:dyDescent="0.55000000000000004">
      <c r="B1680" s="20" t="str">
        <f>_xll.RssMarket(A1680,"銘柄名称")</f>
        <v/>
      </c>
      <c r="C1680" s="21" t="str">
        <f>_xll.RssMarket(A1680,"現在値")</f>
        <v/>
      </c>
      <c r="D1680" s="20" t="str">
        <f>_xll.RssMarket(A1680,"現在値詳細時刻")</f>
        <v/>
      </c>
      <c r="E1680" s="22" t="str">
        <f>_xll.RssMarket(A1680,"前日比")</f>
        <v/>
      </c>
      <c r="F1680" s="23" t="e">
        <f>_xll.RssMarket(A1680,"前日比率")/100</f>
        <v>#VALUE!</v>
      </c>
      <c r="G1680" s="24" t="str">
        <f>IFERROR(VLOOKUP(A1680,取得元!$A$2:$F$501,2,FALSE),"-")</f>
        <v>-</v>
      </c>
      <c r="H1680" s="24" t="str">
        <f>IFERROR(VLOOKUP(A1680,取得元!$A$2:$F$501,3,FALSE),"-")</f>
        <v>-</v>
      </c>
      <c r="I1680" s="24" t="str">
        <f>IFERROR(VLOOKUP(A1680,取得元!$A$2:$F$501,4,FALSE),"-")</f>
        <v>-</v>
      </c>
      <c r="J1680" s="5" t="str">
        <f>IFERROR(VLOOKUP(A1680,取得元!$A$2:$F$501,5,FALSE),"-")</f>
        <v>-</v>
      </c>
      <c r="K1680" s="25" t="str">
        <f>IFERROR(VLOOKUP(A1680,取得元!$A$2:$F$501,6,FALSE)/100,"-")</f>
        <v>-</v>
      </c>
      <c r="L1680" s="21" t="str">
        <f>_xll.RssMarket(A1680,"始値")</f>
        <v/>
      </c>
      <c r="M1680" s="4" t="e">
        <f t="shared" si="140"/>
        <v>#VALUE!</v>
      </c>
      <c r="N1680" s="21" t="str">
        <f>_xll.RssMarket(A1680,"高値")</f>
        <v/>
      </c>
      <c r="O1680" s="4" t="e">
        <f t="shared" si="141"/>
        <v>#VALUE!</v>
      </c>
      <c r="P1680" s="21" t="str">
        <f>_xll.RssMarket(A1680,"安値")</f>
        <v/>
      </c>
      <c r="Q1680" s="4" t="e">
        <f t="shared" si="142"/>
        <v>#VALUE!</v>
      </c>
      <c r="R1680" s="21" t="str">
        <f>_xll.RssMarket(A1680,"後場始値")</f>
        <v/>
      </c>
      <c r="S1680" s="25" t="str">
        <f t="shared" si="143"/>
        <v>-</v>
      </c>
      <c r="T1680" s="7" t="str">
        <f>_xll.RssMarket(A1680,"出来高加重平均")</f>
        <v/>
      </c>
      <c r="U1680" s="4" t="e">
        <f t="shared" si="144"/>
        <v>#VALUE!</v>
      </c>
      <c r="V1680" s="21" t="str">
        <f>_xll.RssMarket(A1680,"出来高")</f>
        <v/>
      </c>
      <c r="W1680" s="21" t="str">
        <f>_xll.RssMarket(A1680,"売買代金")</f>
        <v/>
      </c>
      <c r="X1680" s="20" t="str">
        <f>_xll.RssMarket(A1680,"決算発表日")</f>
        <v/>
      </c>
      <c r="Y1680" s="26" t="str">
        <f>IF(C1680&gt;_xll.RssMarket(A1680,"年初来高値"),"○","×")</f>
        <v>×</v>
      </c>
      <c r="Z1680" s="27" t="str">
        <f>IF(C1680&lt;=_xll.RssMarket(A1680,"年初来安値"),"○","×")</f>
        <v>○</v>
      </c>
    </row>
    <row r="1681" spans="2:26" x14ac:dyDescent="0.55000000000000004">
      <c r="B1681" s="20" t="str">
        <f>_xll.RssMarket(A1681,"銘柄名称")</f>
        <v/>
      </c>
      <c r="C1681" s="21" t="str">
        <f>_xll.RssMarket(A1681,"現在値")</f>
        <v/>
      </c>
      <c r="D1681" s="20" t="str">
        <f>_xll.RssMarket(A1681,"現在値詳細時刻")</f>
        <v/>
      </c>
      <c r="E1681" s="22" t="str">
        <f>_xll.RssMarket(A1681,"前日比")</f>
        <v/>
      </c>
      <c r="F1681" s="23" t="e">
        <f>_xll.RssMarket(A1681,"前日比率")/100</f>
        <v>#VALUE!</v>
      </c>
      <c r="G1681" s="24" t="str">
        <f>IFERROR(VLOOKUP(A1681,取得元!$A$2:$F$501,2,FALSE),"-")</f>
        <v>-</v>
      </c>
      <c r="H1681" s="24" t="str">
        <f>IFERROR(VLOOKUP(A1681,取得元!$A$2:$F$501,3,FALSE),"-")</f>
        <v>-</v>
      </c>
      <c r="I1681" s="24" t="str">
        <f>IFERROR(VLOOKUP(A1681,取得元!$A$2:$F$501,4,FALSE),"-")</f>
        <v>-</v>
      </c>
      <c r="J1681" s="5" t="str">
        <f>IFERROR(VLOOKUP(A1681,取得元!$A$2:$F$501,5,FALSE),"-")</f>
        <v>-</v>
      </c>
      <c r="K1681" s="25" t="str">
        <f>IFERROR(VLOOKUP(A1681,取得元!$A$2:$F$501,6,FALSE)/100,"-")</f>
        <v>-</v>
      </c>
      <c r="L1681" s="21" t="str">
        <f>_xll.RssMarket(A1681,"始値")</f>
        <v/>
      </c>
      <c r="M1681" s="4" t="e">
        <f t="shared" si="140"/>
        <v>#VALUE!</v>
      </c>
      <c r="N1681" s="21" t="str">
        <f>_xll.RssMarket(A1681,"高値")</f>
        <v/>
      </c>
      <c r="O1681" s="4" t="e">
        <f t="shared" si="141"/>
        <v>#VALUE!</v>
      </c>
      <c r="P1681" s="21" t="str">
        <f>_xll.RssMarket(A1681,"安値")</f>
        <v/>
      </c>
      <c r="Q1681" s="4" t="e">
        <f t="shared" si="142"/>
        <v>#VALUE!</v>
      </c>
      <c r="R1681" s="21" t="str">
        <f>_xll.RssMarket(A1681,"後場始値")</f>
        <v/>
      </c>
      <c r="S1681" s="25" t="str">
        <f t="shared" si="143"/>
        <v>-</v>
      </c>
      <c r="T1681" s="7" t="str">
        <f>_xll.RssMarket(A1681,"出来高加重平均")</f>
        <v/>
      </c>
      <c r="U1681" s="4" t="e">
        <f t="shared" si="144"/>
        <v>#VALUE!</v>
      </c>
      <c r="V1681" s="21" t="str">
        <f>_xll.RssMarket(A1681,"出来高")</f>
        <v/>
      </c>
      <c r="W1681" s="21" t="str">
        <f>_xll.RssMarket(A1681,"売買代金")</f>
        <v/>
      </c>
      <c r="X1681" s="20" t="str">
        <f>_xll.RssMarket(A1681,"決算発表日")</f>
        <v/>
      </c>
      <c r="Y1681" s="26" t="str">
        <f>IF(C1681&gt;_xll.RssMarket(A1681,"年初来高値"),"○","×")</f>
        <v>×</v>
      </c>
      <c r="Z1681" s="27" t="str">
        <f>IF(C1681&lt;=_xll.RssMarket(A1681,"年初来安値"),"○","×")</f>
        <v>○</v>
      </c>
    </row>
    <row r="1682" spans="2:26" x14ac:dyDescent="0.55000000000000004">
      <c r="B1682" s="20" t="str">
        <f>_xll.RssMarket(A1682,"銘柄名称")</f>
        <v/>
      </c>
      <c r="C1682" s="21" t="str">
        <f>_xll.RssMarket(A1682,"現在値")</f>
        <v/>
      </c>
      <c r="D1682" s="20" t="str">
        <f>_xll.RssMarket(A1682,"現在値詳細時刻")</f>
        <v/>
      </c>
      <c r="E1682" s="22" t="str">
        <f>_xll.RssMarket(A1682,"前日比")</f>
        <v/>
      </c>
      <c r="F1682" s="23" t="e">
        <f>_xll.RssMarket(A1682,"前日比率")/100</f>
        <v>#VALUE!</v>
      </c>
      <c r="G1682" s="24" t="str">
        <f>IFERROR(VLOOKUP(A1682,取得元!$A$2:$F$501,2,FALSE),"-")</f>
        <v>-</v>
      </c>
      <c r="H1682" s="24" t="str">
        <f>IFERROR(VLOOKUP(A1682,取得元!$A$2:$F$501,3,FALSE),"-")</f>
        <v>-</v>
      </c>
      <c r="I1682" s="24" t="str">
        <f>IFERROR(VLOOKUP(A1682,取得元!$A$2:$F$501,4,FALSE),"-")</f>
        <v>-</v>
      </c>
      <c r="J1682" s="5" t="str">
        <f>IFERROR(VLOOKUP(A1682,取得元!$A$2:$F$501,5,FALSE),"-")</f>
        <v>-</v>
      </c>
      <c r="K1682" s="25" t="str">
        <f>IFERROR(VLOOKUP(A1682,取得元!$A$2:$F$501,6,FALSE)/100,"-")</f>
        <v>-</v>
      </c>
      <c r="L1682" s="21" t="str">
        <f>_xll.RssMarket(A1682,"始値")</f>
        <v/>
      </c>
      <c r="M1682" s="4" t="e">
        <f t="shared" si="140"/>
        <v>#VALUE!</v>
      </c>
      <c r="N1682" s="21" t="str">
        <f>_xll.RssMarket(A1682,"高値")</f>
        <v/>
      </c>
      <c r="O1682" s="4" t="e">
        <f t="shared" si="141"/>
        <v>#VALUE!</v>
      </c>
      <c r="P1682" s="21" t="str">
        <f>_xll.RssMarket(A1682,"安値")</f>
        <v/>
      </c>
      <c r="Q1682" s="4" t="e">
        <f t="shared" si="142"/>
        <v>#VALUE!</v>
      </c>
      <c r="R1682" s="21" t="str">
        <f>_xll.RssMarket(A1682,"後場始値")</f>
        <v/>
      </c>
      <c r="S1682" s="25" t="str">
        <f t="shared" si="143"/>
        <v>-</v>
      </c>
      <c r="T1682" s="7" t="str">
        <f>_xll.RssMarket(A1682,"出来高加重平均")</f>
        <v/>
      </c>
      <c r="U1682" s="4" t="e">
        <f t="shared" si="144"/>
        <v>#VALUE!</v>
      </c>
      <c r="V1682" s="21" t="str">
        <f>_xll.RssMarket(A1682,"出来高")</f>
        <v/>
      </c>
      <c r="W1682" s="21" t="str">
        <f>_xll.RssMarket(A1682,"売買代金")</f>
        <v/>
      </c>
      <c r="X1682" s="20" t="str">
        <f>_xll.RssMarket(A1682,"決算発表日")</f>
        <v/>
      </c>
      <c r="Y1682" s="26" t="str">
        <f>IF(C1682&gt;_xll.RssMarket(A1682,"年初来高値"),"○","×")</f>
        <v>×</v>
      </c>
      <c r="Z1682" s="27" t="str">
        <f>IF(C1682&lt;=_xll.RssMarket(A1682,"年初来安値"),"○","×")</f>
        <v>○</v>
      </c>
    </row>
    <row r="1683" spans="2:26" x14ac:dyDescent="0.55000000000000004">
      <c r="B1683" s="20" t="str">
        <f>_xll.RssMarket(A1683,"銘柄名称")</f>
        <v/>
      </c>
      <c r="C1683" s="21" t="str">
        <f>_xll.RssMarket(A1683,"現在値")</f>
        <v/>
      </c>
      <c r="D1683" s="20" t="str">
        <f>_xll.RssMarket(A1683,"現在値詳細時刻")</f>
        <v/>
      </c>
      <c r="E1683" s="22" t="str">
        <f>_xll.RssMarket(A1683,"前日比")</f>
        <v/>
      </c>
      <c r="F1683" s="23" t="e">
        <f>_xll.RssMarket(A1683,"前日比率")/100</f>
        <v>#VALUE!</v>
      </c>
      <c r="G1683" s="24" t="str">
        <f>IFERROR(VLOOKUP(A1683,取得元!$A$2:$F$501,2,FALSE),"-")</f>
        <v>-</v>
      </c>
      <c r="H1683" s="24" t="str">
        <f>IFERROR(VLOOKUP(A1683,取得元!$A$2:$F$501,3,FALSE),"-")</f>
        <v>-</v>
      </c>
      <c r="I1683" s="24" t="str">
        <f>IFERROR(VLOOKUP(A1683,取得元!$A$2:$F$501,4,FALSE),"-")</f>
        <v>-</v>
      </c>
      <c r="J1683" s="5" t="str">
        <f>IFERROR(VLOOKUP(A1683,取得元!$A$2:$F$501,5,FALSE),"-")</f>
        <v>-</v>
      </c>
      <c r="K1683" s="25" t="str">
        <f>IFERROR(VLOOKUP(A1683,取得元!$A$2:$F$501,6,FALSE)/100,"-")</f>
        <v>-</v>
      </c>
      <c r="L1683" s="21" t="str">
        <f>_xll.RssMarket(A1683,"始値")</f>
        <v/>
      </c>
      <c r="M1683" s="4" t="e">
        <f t="shared" si="140"/>
        <v>#VALUE!</v>
      </c>
      <c r="N1683" s="21" t="str">
        <f>_xll.RssMarket(A1683,"高値")</f>
        <v/>
      </c>
      <c r="O1683" s="4" t="e">
        <f t="shared" si="141"/>
        <v>#VALUE!</v>
      </c>
      <c r="P1683" s="21" t="str">
        <f>_xll.RssMarket(A1683,"安値")</f>
        <v/>
      </c>
      <c r="Q1683" s="4" t="e">
        <f t="shared" si="142"/>
        <v>#VALUE!</v>
      </c>
      <c r="R1683" s="21" t="str">
        <f>_xll.RssMarket(A1683,"後場始値")</f>
        <v/>
      </c>
      <c r="S1683" s="25" t="str">
        <f t="shared" si="143"/>
        <v>-</v>
      </c>
      <c r="T1683" s="7" t="str">
        <f>_xll.RssMarket(A1683,"出来高加重平均")</f>
        <v/>
      </c>
      <c r="U1683" s="4" t="e">
        <f t="shared" si="144"/>
        <v>#VALUE!</v>
      </c>
      <c r="V1683" s="21" t="str">
        <f>_xll.RssMarket(A1683,"出来高")</f>
        <v/>
      </c>
      <c r="W1683" s="21" t="str">
        <f>_xll.RssMarket(A1683,"売買代金")</f>
        <v/>
      </c>
      <c r="X1683" s="20" t="str">
        <f>_xll.RssMarket(A1683,"決算発表日")</f>
        <v/>
      </c>
      <c r="Y1683" s="26" t="str">
        <f>IF(C1683&gt;_xll.RssMarket(A1683,"年初来高値"),"○","×")</f>
        <v>×</v>
      </c>
      <c r="Z1683" s="27" t="str">
        <f>IF(C1683&lt;=_xll.RssMarket(A1683,"年初来安値"),"○","×")</f>
        <v>○</v>
      </c>
    </row>
    <row r="1684" spans="2:26" x14ac:dyDescent="0.55000000000000004">
      <c r="B1684" s="20" t="str">
        <f>_xll.RssMarket(A1684,"銘柄名称")</f>
        <v/>
      </c>
      <c r="C1684" s="21" t="str">
        <f>_xll.RssMarket(A1684,"現在値")</f>
        <v/>
      </c>
      <c r="D1684" s="20" t="str">
        <f>_xll.RssMarket(A1684,"現在値詳細時刻")</f>
        <v/>
      </c>
      <c r="E1684" s="22" t="str">
        <f>_xll.RssMarket(A1684,"前日比")</f>
        <v/>
      </c>
      <c r="F1684" s="23" t="e">
        <f>_xll.RssMarket(A1684,"前日比率")/100</f>
        <v>#VALUE!</v>
      </c>
      <c r="G1684" s="24" t="str">
        <f>IFERROR(VLOOKUP(A1684,取得元!$A$2:$F$501,2,FALSE),"-")</f>
        <v>-</v>
      </c>
      <c r="H1684" s="24" t="str">
        <f>IFERROR(VLOOKUP(A1684,取得元!$A$2:$F$501,3,FALSE),"-")</f>
        <v>-</v>
      </c>
      <c r="I1684" s="24" t="str">
        <f>IFERROR(VLOOKUP(A1684,取得元!$A$2:$F$501,4,FALSE),"-")</f>
        <v>-</v>
      </c>
      <c r="J1684" s="5" t="str">
        <f>IFERROR(VLOOKUP(A1684,取得元!$A$2:$F$501,5,FALSE),"-")</f>
        <v>-</v>
      </c>
      <c r="K1684" s="25" t="str">
        <f>IFERROR(VLOOKUP(A1684,取得元!$A$2:$F$501,6,FALSE)/100,"-")</f>
        <v>-</v>
      </c>
      <c r="L1684" s="21" t="str">
        <f>_xll.RssMarket(A1684,"始値")</f>
        <v/>
      </c>
      <c r="M1684" s="4" t="e">
        <f t="shared" si="140"/>
        <v>#VALUE!</v>
      </c>
      <c r="N1684" s="21" t="str">
        <f>_xll.RssMarket(A1684,"高値")</f>
        <v/>
      </c>
      <c r="O1684" s="4" t="e">
        <f t="shared" si="141"/>
        <v>#VALUE!</v>
      </c>
      <c r="P1684" s="21" t="str">
        <f>_xll.RssMarket(A1684,"安値")</f>
        <v/>
      </c>
      <c r="Q1684" s="4" t="e">
        <f t="shared" si="142"/>
        <v>#VALUE!</v>
      </c>
      <c r="R1684" s="21" t="str">
        <f>_xll.RssMarket(A1684,"後場始値")</f>
        <v/>
      </c>
      <c r="S1684" s="25" t="str">
        <f t="shared" si="143"/>
        <v>-</v>
      </c>
      <c r="T1684" s="7" t="str">
        <f>_xll.RssMarket(A1684,"出来高加重平均")</f>
        <v/>
      </c>
      <c r="U1684" s="4" t="e">
        <f t="shared" si="144"/>
        <v>#VALUE!</v>
      </c>
      <c r="V1684" s="21" t="str">
        <f>_xll.RssMarket(A1684,"出来高")</f>
        <v/>
      </c>
      <c r="W1684" s="21" t="str">
        <f>_xll.RssMarket(A1684,"売買代金")</f>
        <v/>
      </c>
      <c r="X1684" s="20" t="str">
        <f>_xll.RssMarket(A1684,"決算発表日")</f>
        <v/>
      </c>
      <c r="Y1684" s="26" t="str">
        <f>IF(C1684&gt;_xll.RssMarket(A1684,"年初来高値"),"○","×")</f>
        <v>×</v>
      </c>
      <c r="Z1684" s="27" t="str">
        <f>IF(C1684&lt;=_xll.RssMarket(A1684,"年初来安値"),"○","×")</f>
        <v>○</v>
      </c>
    </row>
    <row r="1685" spans="2:26" x14ac:dyDescent="0.55000000000000004">
      <c r="B1685" s="20" t="str">
        <f>_xll.RssMarket(A1685,"銘柄名称")</f>
        <v/>
      </c>
      <c r="C1685" s="21" t="str">
        <f>_xll.RssMarket(A1685,"現在値")</f>
        <v/>
      </c>
      <c r="D1685" s="20" t="str">
        <f>_xll.RssMarket(A1685,"現在値詳細時刻")</f>
        <v/>
      </c>
      <c r="E1685" s="22" t="str">
        <f>_xll.RssMarket(A1685,"前日比")</f>
        <v/>
      </c>
      <c r="F1685" s="23" t="e">
        <f>_xll.RssMarket(A1685,"前日比率")/100</f>
        <v>#VALUE!</v>
      </c>
      <c r="G1685" s="24" t="str">
        <f>IFERROR(VLOOKUP(A1685,取得元!$A$2:$F$501,2,FALSE),"-")</f>
        <v>-</v>
      </c>
      <c r="H1685" s="24" t="str">
        <f>IFERROR(VLOOKUP(A1685,取得元!$A$2:$F$501,3,FALSE),"-")</f>
        <v>-</v>
      </c>
      <c r="I1685" s="24" t="str">
        <f>IFERROR(VLOOKUP(A1685,取得元!$A$2:$F$501,4,FALSE),"-")</f>
        <v>-</v>
      </c>
      <c r="J1685" s="5" t="str">
        <f>IFERROR(VLOOKUP(A1685,取得元!$A$2:$F$501,5,FALSE),"-")</f>
        <v>-</v>
      </c>
      <c r="K1685" s="25" t="str">
        <f>IFERROR(VLOOKUP(A1685,取得元!$A$2:$F$501,6,FALSE)/100,"-")</f>
        <v>-</v>
      </c>
      <c r="L1685" s="21" t="str">
        <f>_xll.RssMarket(A1685,"始値")</f>
        <v/>
      </c>
      <c r="M1685" s="4" t="e">
        <f t="shared" si="140"/>
        <v>#VALUE!</v>
      </c>
      <c r="N1685" s="21" t="str">
        <f>_xll.RssMarket(A1685,"高値")</f>
        <v/>
      </c>
      <c r="O1685" s="4" t="e">
        <f t="shared" si="141"/>
        <v>#VALUE!</v>
      </c>
      <c r="P1685" s="21" t="str">
        <f>_xll.RssMarket(A1685,"安値")</f>
        <v/>
      </c>
      <c r="Q1685" s="4" t="e">
        <f t="shared" si="142"/>
        <v>#VALUE!</v>
      </c>
      <c r="R1685" s="21" t="str">
        <f>_xll.RssMarket(A1685,"後場始値")</f>
        <v/>
      </c>
      <c r="S1685" s="25" t="str">
        <f t="shared" si="143"/>
        <v>-</v>
      </c>
      <c r="T1685" s="7" t="str">
        <f>_xll.RssMarket(A1685,"出来高加重平均")</f>
        <v/>
      </c>
      <c r="U1685" s="4" t="e">
        <f t="shared" si="144"/>
        <v>#VALUE!</v>
      </c>
      <c r="V1685" s="21" t="str">
        <f>_xll.RssMarket(A1685,"出来高")</f>
        <v/>
      </c>
      <c r="W1685" s="21" t="str">
        <f>_xll.RssMarket(A1685,"売買代金")</f>
        <v/>
      </c>
      <c r="X1685" s="20" t="str">
        <f>_xll.RssMarket(A1685,"決算発表日")</f>
        <v/>
      </c>
      <c r="Y1685" s="26" t="str">
        <f>IF(C1685&gt;_xll.RssMarket(A1685,"年初来高値"),"○","×")</f>
        <v>×</v>
      </c>
      <c r="Z1685" s="27" t="str">
        <f>IF(C1685&lt;=_xll.RssMarket(A1685,"年初来安値"),"○","×")</f>
        <v>○</v>
      </c>
    </row>
    <row r="1686" spans="2:26" x14ac:dyDescent="0.55000000000000004">
      <c r="B1686" s="20" t="str">
        <f>_xll.RssMarket(A1686,"銘柄名称")</f>
        <v/>
      </c>
      <c r="C1686" s="21" t="str">
        <f>_xll.RssMarket(A1686,"現在値")</f>
        <v/>
      </c>
      <c r="D1686" s="20" t="str">
        <f>_xll.RssMarket(A1686,"現在値詳細時刻")</f>
        <v/>
      </c>
      <c r="E1686" s="22" t="str">
        <f>_xll.RssMarket(A1686,"前日比")</f>
        <v/>
      </c>
      <c r="F1686" s="23" t="e">
        <f>_xll.RssMarket(A1686,"前日比率")/100</f>
        <v>#VALUE!</v>
      </c>
      <c r="G1686" s="24" t="str">
        <f>IFERROR(VLOOKUP(A1686,取得元!$A$2:$F$501,2,FALSE),"-")</f>
        <v>-</v>
      </c>
      <c r="H1686" s="24" t="str">
        <f>IFERROR(VLOOKUP(A1686,取得元!$A$2:$F$501,3,FALSE),"-")</f>
        <v>-</v>
      </c>
      <c r="I1686" s="24" t="str">
        <f>IFERROR(VLOOKUP(A1686,取得元!$A$2:$F$501,4,FALSE),"-")</f>
        <v>-</v>
      </c>
      <c r="J1686" s="5" t="str">
        <f>IFERROR(VLOOKUP(A1686,取得元!$A$2:$F$501,5,FALSE),"-")</f>
        <v>-</v>
      </c>
      <c r="K1686" s="25" t="str">
        <f>IFERROR(VLOOKUP(A1686,取得元!$A$2:$F$501,6,FALSE)/100,"-")</f>
        <v>-</v>
      </c>
      <c r="L1686" s="21" t="str">
        <f>_xll.RssMarket(A1686,"始値")</f>
        <v/>
      </c>
      <c r="M1686" s="4" t="e">
        <f t="shared" ref="M1686:M1749" si="145">C1686/L1686-1</f>
        <v>#VALUE!</v>
      </c>
      <c r="N1686" s="21" t="str">
        <f>_xll.RssMarket(A1686,"高値")</f>
        <v/>
      </c>
      <c r="O1686" s="4" t="e">
        <f t="shared" ref="O1686:O1749" si="146">C1686/N1686-1</f>
        <v>#VALUE!</v>
      </c>
      <c r="P1686" s="21" t="str">
        <f>_xll.RssMarket(A1686,"安値")</f>
        <v/>
      </c>
      <c r="Q1686" s="4" t="e">
        <f t="shared" ref="Q1686:Q1749" si="147">C1686/P1686-1</f>
        <v>#VALUE!</v>
      </c>
      <c r="R1686" s="21" t="str">
        <f>_xll.RssMarket(A1686,"後場始値")</f>
        <v/>
      </c>
      <c r="S1686" s="25" t="str">
        <f t="shared" ref="S1686:S1749" si="148">IFERROR(C1686/R1686-1,"-")</f>
        <v>-</v>
      </c>
      <c r="T1686" s="7" t="str">
        <f>_xll.RssMarket(A1686,"出来高加重平均")</f>
        <v/>
      </c>
      <c r="U1686" s="4" t="e">
        <f t="shared" ref="U1686:U1749" si="149">C1686/T1686-1</f>
        <v>#VALUE!</v>
      </c>
      <c r="V1686" s="21" t="str">
        <f>_xll.RssMarket(A1686,"出来高")</f>
        <v/>
      </c>
      <c r="W1686" s="21" t="str">
        <f>_xll.RssMarket(A1686,"売買代金")</f>
        <v/>
      </c>
      <c r="X1686" s="20" t="str">
        <f>_xll.RssMarket(A1686,"決算発表日")</f>
        <v/>
      </c>
      <c r="Y1686" s="26" t="str">
        <f>IF(C1686&gt;_xll.RssMarket(A1686,"年初来高値"),"○","×")</f>
        <v>×</v>
      </c>
      <c r="Z1686" s="27" t="str">
        <f>IF(C1686&lt;=_xll.RssMarket(A1686,"年初来安値"),"○","×")</f>
        <v>○</v>
      </c>
    </row>
    <row r="1687" spans="2:26" x14ac:dyDescent="0.55000000000000004">
      <c r="B1687" s="20" t="str">
        <f>_xll.RssMarket(A1687,"銘柄名称")</f>
        <v/>
      </c>
      <c r="C1687" s="21" t="str">
        <f>_xll.RssMarket(A1687,"現在値")</f>
        <v/>
      </c>
      <c r="D1687" s="20" t="str">
        <f>_xll.RssMarket(A1687,"現在値詳細時刻")</f>
        <v/>
      </c>
      <c r="E1687" s="22" t="str">
        <f>_xll.RssMarket(A1687,"前日比")</f>
        <v/>
      </c>
      <c r="F1687" s="23" t="e">
        <f>_xll.RssMarket(A1687,"前日比率")/100</f>
        <v>#VALUE!</v>
      </c>
      <c r="G1687" s="24" t="str">
        <f>IFERROR(VLOOKUP(A1687,取得元!$A$2:$F$501,2,FALSE),"-")</f>
        <v>-</v>
      </c>
      <c r="H1687" s="24" t="str">
        <f>IFERROR(VLOOKUP(A1687,取得元!$A$2:$F$501,3,FALSE),"-")</f>
        <v>-</v>
      </c>
      <c r="I1687" s="24" t="str">
        <f>IFERROR(VLOOKUP(A1687,取得元!$A$2:$F$501,4,FALSE),"-")</f>
        <v>-</v>
      </c>
      <c r="J1687" s="5" t="str">
        <f>IFERROR(VLOOKUP(A1687,取得元!$A$2:$F$501,5,FALSE),"-")</f>
        <v>-</v>
      </c>
      <c r="K1687" s="25" t="str">
        <f>IFERROR(VLOOKUP(A1687,取得元!$A$2:$F$501,6,FALSE)/100,"-")</f>
        <v>-</v>
      </c>
      <c r="L1687" s="21" t="str">
        <f>_xll.RssMarket(A1687,"始値")</f>
        <v/>
      </c>
      <c r="M1687" s="4" t="e">
        <f t="shared" si="145"/>
        <v>#VALUE!</v>
      </c>
      <c r="N1687" s="21" t="str">
        <f>_xll.RssMarket(A1687,"高値")</f>
        <v/>
      </c>
      <c r="O1687" s="4" t="e">
        <f t="shared" si="146"/>
        <v>#VALUE!</v>
      </c>
      <c r="P1687" s="21" t="str">
        <f>_xll.RssMarket(A1687,"安値")</f>
        <v/>
      </c>
      <c r="Q1687" s="4" t="e">
        <f t="shared" si="147"/>
        <v>#VALUE!</v>
      </c>
      <c r="R1687" s="21" t="str">
        <f>_xll.RssMarket(A1687,"後場始値")</f>
        <v/>
      </c>
      <c r="S1687" s="25" t="str">
        <f t="shared" si="148"/>
        <v>-</v>
      </c>
      <c r="T1687" s="7" t="str">
        <f>_xll.RssMarket(A1687,"出来高加重平均")</f>
        <v/>
      </c>
      <c r="U1687" s="4" t="e">
        <f t="shared" si="149"/>
        <v>#VALUE!</v>
      </c>
      <c r="V1687" s="21" t="str">
        <f>_xll.RssMarket(A1687,"出来高")</f>
        <v/>
      </c>
      <c r="W1687" s="21" t="str">
        <f>_xll.RssMarket(A1687,"売買代金")</f>
        <v/>
      </c>
      <c r="X1687" s="20" t="str">
        <f>_xll.RssMarket(A1687,"決算発表日")</f>
        <v/>
      </c>
      <c r="Y1687" s="26" t="str">
        <f>IF(C1687&gt;_xll.RssMarket(A1687,"年初来高値"),"○","×")</f>
        <v>×</v>
      </c>
      <c r="Z1687" s="27" t="str">
        <f>IF(C1687&lt;=_xll.RssMarket(A1687,"年初来安値"),"○","×")</f>
        <v>○</v>
      </c>
    </row>
    <row r="1688" spans="2:26" x14ac:dyDescent="0.55000000000000004">
      <c r="B1688" s="20" t="str">
        <f>_xll.RssMarket(A1688,"銘柄名称")</f>
        <v/>
      </c>
      <c r="C1688" s="21" t="str">
        <f>_xll.RssMarket(A1688,"現在値")</f>
        <v/>
      </c>
      <c r="D1688" s="20" t="str">
        <f>_xll.RssMarket(A1688,"現在値詳細時刻")</f>
        <v/>
      </c>
      <c r="E1688" s="22" t="str">
        <f>_xll.RssMarket(A1688,"前日比")</f>
        <v/>
      </c>
      <c r="F1688" s="23" t="e">
        <f>_xll.RssMarket(A1688,"前日比率")/100</f>
        <v>#VALUE!</v>
      </c>
      <c r="G1688" s="24" t="str">
        <f>IFERROR(VLOOKUP(A1688,取得元!$A$2:$F$501,2,FALSE),"-")</f>
        <v>-</v>
      </c>
      <c r="H1688" s="24" t="str">
        <f>IFERROR(VLOOKUP(A1688,取得元!$A$2:$F$501,3,FALSE),"-")</f>
        <v>-</v>
      </c>
      <c r="I1688" s="24" t="str">
        <f>IFERROR(VLOOKUP(A1688,取得元!$A$2:$F$501,4,FALSE),"-")</f>
        <v>-</v>
      </c>
      <c r="J1688" s="5" t="str">
        <f>IFERROR(VLOOKUP(A1688,取得元!$A$2:$F$501,5,FALSE),"-")</f>
        <v>-</v>
      </c>
      <c r="K1688" s="25" t="str">
        <f>IFERROR(VLOOKUP(A1688,取得元!$A$2:$F$501,6,FALSE)/100,"-")</f>
        <v>-</v>
      </c>
      <c r="L1688" s="21" t="str">
        <f>_xll.RssMarket(A1688,"始値")</f>
        <v/>
      </c>
      <c r="M1688" s="4" t="e">
        <f t="shared" si="145"/>
        <v>#VALUE!</v>
      </c>
      <c r="N1688" s="21" t="str">
        <f>_xll.RssMarket(A1688,"高値")</f>
        <v/>
      </c>
      <c r="O1688" s="4" t="e">
        <f t="shared" si="146"/>
        <v>#VALUE!</v>
      </c>
      <c r="P1688" s="21" t="str">
        <f>_xll.RssMarket(A1688,"安値")</f>
        <v/>
      </c>
      <c r="Q1688" s="4" t="e">
        <f t="shared" si="147"/>
        <v>#VALUE!</v>
      </c>
      <c r="R1688" s="21" t="str">
        <f>_xll.RssMarket(A1688,"後場始値")</f>
        <v/>
      </c>
      <c r="S1688" s="25" t="str">
        <f t="shared" si="148"/>
        <v>-</v>
      </c>
      <c r="T1688" s="7" t="str">
        <f>_xll.RssMarket(A1688,"出来高加重平均")</f>
        <v/>
      </c>
      <c r="U1688" s="4" t="e">
        <f t="shared" si="149"/>
        <v>#VALUE!</v>
      </c>
      <c r="V1688" s="21" t="str">
        <f>_xll.RssMarket(A1688,"出来高")</f>
        <v/>
      </c>
      <c r="W1688" s="21" t="str">
        <f>_xll.RssMarket(A1688,"売買代金")</f>
        <v/>
      </c>
      <c r="X1688" s="20" t="str">
        <f>_xll.RssMarket(A1688,"決算発表日")</f>
        <v/>
      </c>
      <c r="Y1688" s="26" t="str">
        <f>IF(C1688&gt;_xll.RssMarket(A1688,"年初来高値"),"○","×")</f>
        <v>×</v>
      </c>
      <c r="Z1688" s="27" t="str">
        <f>IF(C1688&lt;=_xll.RssMarket(A1688,"年初来安値"),"○","×")</f>
        <v>○</v>
      </c>
    </row>
    <row r="1689" spans="2:26" x14ac:dyDescent="0.55000000000000004">
      <c r="B1689" s="20" t="str">
        <f>_xll.RssMarket(A1689,"銘柄名称")</f>
        <v/>
      </c>
      <c r="C1689" s="21" t="str">
        <f>_xll.RssMarket(A1689,"現在値")</f>
        <v/>
      </c>
      <c r="D1689" s="20" t="str">
        <f>_xll.RssMarket(A1689,"現在値詳細時刻")</f>
        <v/>
      </c>
      <c r="E1689" s="22" t="str">
        <f>_xll.RssMarket(A1689,"前日比")</f>
        <v/>
      </c>
      <c r="F1689" s="23" t="e">
        <f>_xll.RssMarket(A1689,"前日比率")/100</f>
        <v>#VALUE!</v>
      </c>
      <c r="G1689" s="24" t="str">
        <f>IFERROR(VLOOKUP(A1689,取得元!$A$2:$F$501,2,FALSE),"-")</f>
        <v>-</v>
      </c>
      <c r="H1689" s="24" t="str">
        <f>IFERROR(VLOOKUP(A1689,取得元!$A$2:$F$501,3,FALSE),"-")</f>
        <v>-</v>
      </c>
      <c r="I1689" s="24" t="str">
        <f>IFERROR(VLOOKUP(A1689,取得元!$A$2:$F$501,4,FALSE),"-")</f>
        <v>-</v>
      </c>
      <c r="J1689" s="5" t="str">
        <f>IFERROR(VLOOKUP(A1689,取得元!$A$2:$F$501,5,FALSE),"-")</f>
        <v>-</v>
      </c>
      <c r="K1689" s="25" t="str">
        <f>IFERROR(VLOOKUP(A1689,取得元!$A$2:$F$501,6,FALSE)/100,"-")</f>
        <v>-</v>
      </c>
      <c r="L1689" s="21" t="str">
        <f>_xll.RssMarket(A1689,"始値")</f>
        <v/>
      </c>
      <c r="M1689" s="4" t="e">
        <f t="shared" si="145"/>
        <v>#VALUE!</v>
      </c>
      <c r="N1689" s="21" t="str">
        <f>_xll.RssMarket(A1689,"高値")</f>
        <v/>
      </c>
      <c r="O1689" s="4" t="e">
        <f t="shared" si="146"/>
        <v>#VALUE!</v>
      </c>
      <c r="P1689" s="21" t="str">
        <f>_xll.RssMarket(A1689,"安値")</f>
        <v/>
      </c>
      <c r="Q1689" s="4" t="e">
        <f t="shared" si="147"/>
        <v>#VALUE!</v>
      </c>
      <c r="R1689" s="21" t="str">
        <f>_xll.RssMarket(A1689,"後場始値")</f>
        <v/>
      </c>
      <c r="S1689" s="25" t="str">
        <f t="shared" si="148"/>
        <v>-</v>
      </c>
      <c r="T1689" s="7" t="str">
        <f>_xll.RssMarket(A1689,"出来高加重平均")</f>
        <v/>
      </c>
      <c r="U1689" s="4" t="e">
        <f t="shared" si="149"/>
        <v>#VALUE!</v>
      </c>
      <c r="V1689" s="21" t="str">
        <f>_xll.RssMarket(A1689,"出来高")</f>
        <v/>
      </c>
      <c r="W1689" s="21" t="str">
        <f>_xll.RssMarket(A1689,"売買代金")</f>
        <v/>
      </c>
      <c r="X1689" s="20" t="str">
        <f>_xll.RssMarket(A1689,"決算発表日")</f>
        <v/>
      </c>
      <c r="Y1689" s="26" t="str">
        <f>IF(C1689&gt;_xll.RssMarket(A1689,"年初来高値"),"○","×")</f>
        <v>×</v>
      </c>
      <c r="Z1689" s="27" t="str">
        <f>IF(C1689&lt;=_xll.RssMarket(A1689,"年初来安値"),"○","×")</f>
        <v>○</v>
      </c>
    </row>
    <row r="1690" spans="2:26" x14ac:dyDescent="0.55000000000000004">
      <c r="B1690" s="20" t="str">
        <f>_xll.RssMarket(A1690,"銘柄名称")</f>
        <v/>
      </c>
      <c r="C1690" s="21" t="str">
        <f>_xll.RssMarket(A1690,"現在値")</f>
        <v/>
      </c>
      <c r="D1690" s="20" t="str">
        <f>_xll.RssMarket(A1690,"現在値詳細時刻")</f>
        <v/>
      </c>
      <c r="E1690" s="22" t="str">
        <f>_xll.RssMarket(A1690,"前日比")</f>
        <v/>
      </c>
      <c r="F1690" s="23" t="e">
        <f>_xll.RssMarket(A1690,"前日比率")/100</f>
        <v>#VALUE!</v>
      </c>
      <c r="G1690" s="24" t="str">
        <f>IFERROR(VLOOKUP(A1690,取得元!$A$2:$F$501,2,FALSE),"-")</f>
        <v>-</v>
      </c>
      <c r="H1690" s="24" t="str">
        <f>IFERROR(VLOOKUP(A1690,取得元!$A$2:$F$501,3,FALSE),"-")</f>
        <v>-</v>
      </c>
      <c r="I1690" s="24" t="str">
        <f>IFERROR(VLOOKUP(A1690,取得元!$A$2:$F$501,4,FALSE),"-")</f>
        <v>-</v>
      </c>
      <c r="J1690" s="5" t="str">
        <f>IFERROR(VLOOKUP(A1690,取得元!$A$2:$F$501,5,FALSE),"-")</f>
        <v>-</v>
      </c>
      <c r="K1690" s="25" t="str">
        <f>IFERROR(VLOOKUP(A1690,取得元!$A$2:$F$501,6,FALSE)/100,"-")</f>
        <v>-</v>
      </c>
      <c r="L1690" s="21" t="str">
        <f>_xll.RssMarket(A1690,"始値")</f>
        <v/>
      </c>
      <c r="M1690" s="4" t="e">
        <f t="shared" si="145"/>
        <v>#VALUE!</v>
      </c>
      <c r="N1690" s="21" t="str">
        <f>_xll.RssMarket(A1690,"高値")</f>
        <v/>
      </c>
      <c r="O1690" s="4" t="e">
        <f t="shared" si="146"/>
        <v>#VALUE!</v>
      </c>
      <c r="P1690" s="21" t="str">
        <f>_xll.RssMarket(A1690,"安値")</f>
        <v/>
      </c>
      <c r="Q1690" s="4" t="e">
        <f t="shared" si="147"/>
        <v>#VALUE!</v>
      </c>
      <c r="R1690" s="21" t="str">
        <f>_xll.RssMarket(A1690,"後場始値")</f>
        <v/>
      </c>
      <c r="S1690" s="25" t="str">
        <f t="shared" si="148"/>
        <v>-</v>
      </c>
      <c r="T1690" s="7" t="str">
        <f>_xll.RssMarket(A1690,"出来高加重平均")</f>
        <v/>
      </c>
      <c r="U1690" s="4" t="e">
        <f t="shared" si="149"/>
        <v>#VALUE!</v>
      </c>
      <c r="V1690" s="21" t="str">
        <f>_xll.RssMarket(A1690,"出来高")</f>
        <v/>
      </c>
      <c r="W1690" s="21" t="str">
        <f>_xll.RssMarket(A1690,"売買代金")</f>
        <v/>
      </c>
      <c r="X1690" s="20" t="str">
        <f>_xll.RssMarket(A1690,"決算発表日")</f>
        <v/>
      </c>
      <c r="Y1690" s="26" t="str">
        <f>IF(C1690&gt;_xll.RssMarket(A1690,"年初来高値"),"○","×")</f>
        <v>×</v>
      </c>
      <c r="Z1690" s="27" t="str">
        <f>IF(C1690&lt;=_xll.RssMarket(A1690,"年初来安値"),"○","×")</f>
        <v>○</v>
      </c>
    </row>
    <row r="1691" spans="2:26" x14ac:dyDescent="0.55000000000000004">
      <c r="B1691" s="20" t="str">
        <f>_xll.RssMarket(A1691,"銘柄名称")</f>
        <v/>
      </c>
      <c r="C1691" s="21" t="str">
        <f>_xll.RssMarket(A1691,"現在値")</f>
        <v/>
      </c>
      <c r="D1691" s="20" t="str">
        <f>_xll.RssMarket(A1691,"現在値詳細時刻")</f>
        <v/>
      </c>
      <c r="E1691" s="22" t="str">
        <f>_xll.RssMarket(A1691,"前日比")</f>
        <v/>
      </c>
      <c r="F1691" s="23" t="e">
        <f>_xll.RssMarket(A1691,"前日比率")/100</f>
        <v>#VALUE!</v>
      </c>
      <c r="G1691" s="24" t="str">
        <f>IFERROR(VLOOKUP(A1691,取得元!$A$2:$F$501,2,FALSE),"-")</f>
        <v>-</v>
      </c>
      <c r="H1691" s="24" t="str">
        <f>IFERROR(VLOOKUP(A1691,取得元!$A$2:$F$501,3,FALSE),"-")</f>
        <v>-</v>
      </c>
      <c r="I1691" s="24" t="str">
        <f>IFERROR(VLOOKUP(A1691,取得元!$A$2:$F$501,4,FALSE),"-")</f>
        <v>-</v>
      </c>
      <c r="J1691" s="5" t="str">
        <f>IFERROR(VLOOKUP(A1691,取得元!$A$2:$F$501,5,FALSE),"-")</f>
        <v>-</v>
      </c>
      <c r="K1691" s="25" t="str">
        <f>IFERROR(VLOOKUP(A1691,取得元!$A$2:$F$501,6,FALSE)/100,"-")</f>
        <v>-</v>
      </c>
      <c r="L1691" s="21" t="str">
        <f>_xll.RssMarket(A1691,"始値")</f>
        <v/>
      </c>
      <c r="M1691" s="4" t="e">
        <f t="shared" si="145"/>
        <v>#VALUE!</v>
      </c>
      <c r="N1691" s="21" t="str">
        <f>_xll.RssMarket(A1691,"高値")</f>
        <v/>
      </c>
      <c r="O1691" s="4" t="e">
        <f t="shared" si="146"/>
        <v>#VALUE!</v>
      </c>
      <c r="P1691" s="21" t="str">
        <f>_xll.RssMarket(A1691,"安値")</f>
        <v/>
      </c>
      <c r="Q1691" s="4" t="e">
        <f t="shared" si="147"/>
        <v>#VALUE!</v>
      </c>
      <c r="R1691" s="21" t="str">
        <f>_xll.RssMarket(A1691,"後場始値")</f>
        <v/>
      </c>
      <c r="S1691" s="25" t="str">
        <f t="shared" si="148"/>
        <v>-</v>
      </c>
      <c r="T1691" s="7" t="str">
        <f>_xll.RssMarket(A1691,"出来高加重平均")</f>
        <v/>
      </c>
      <c r="U1691" s="4" t="e">
        <f t="shared" si="149"/>
        <v>#VALUE!</v>
      </c>
      <c r="V1691" s="21" t="str">
        <f>_xll.RssMarket(A1691,"出来高")</f>
        <v/>
      </c>
      <c r="W1691" s="21" t="str">
        <f>_xll.RssMarket(A1691,"売買代金")</f>
        <v/>
      </c>
      <c r="X1691" s="20" t="str">
        <f>_xll.RssMarket(A1691,"決算発表日")</f>
        <v/>
      </c>
      <c r="Y1691" s="26" t="str">
        <f>IF(C1691&gt;_xll.RssMarket(A1691,"年初来高値"),"○","×")</f>
        <v>×</v>
      </c>
      <c r="Z1691" s="27" t="str">
        <f>IF(C1691&lt;=_xll.RssMarket(A1691,"年初来安値"),"○","×")</f>
        <v>○</v>
      </c>
    </row>
    <row r="1692" spans="2:26" x14ac:dyDescent="0.55000000000000004">
      <c r="B1692" s="20" t="str">
        <f>_xll.RssMarket(A1692,"銘柄名称")</f>
        <v/>
      </c>
      <c r="C1692" s="21" t="str">
        <f>_xll.RssMarket(A1692,"現在値")</f>
        <v/>
      </c>
      <c r="D1692" s="20" t="str">
        <f>_xll.RssMarket(A1692,"現在値詳細時刻")</f>
        <v/>
      </c>
      <c r="E1692" s="22" t="str">
        <f>_xll.RssMarket(A1692,"前日比")</f>
        <v/>
      </c>
      <c r="F1692" s="23" t="e">
        <f>_xll.RssMarket(A1692,"前日比率")/100</f>
        <v>#VALUE!</v>
      </c>
      <c r="G1692" s="24" t="str">
        <f>IFERROR(VLOOKUP(A1692,取得元!$A$2:$F$501,2,FALSE),"-")</f>
        <v>-</v>
      </c>
      <c r="H1692" s="24" t="str">
        <f>IFERROR(VLOOKUP(A1692,取得元!$A$2:$F$501,3,FALSE),"-")</f>
        <v>-</v>
      </c>
      <c r="I1692" s="24" t="str">
        <f>IFERROR(VLOOKUP(A1692,取得元!$A$2:$F$501,4,FALSE),"-")</f>
        <v>-</v>
      </c>
      <c r="J1692" s="5" t="str">
        <f>IFERROR(VLOOKUP(A1692,取得元!$A$2:$F$501,5,FALSE),"-")</f>
        <v>-</v>
      </c>
      <c r="K1692" s="25" t="str">
        <f>IFERROR(VLOOKUP(A1692,取得元!$A$2:$F$501,6,FALSE)/100,"-")</f>
        <v>-</v>
      </c>
      <c r="L1692" s="21" t="str">
        <f>_xll.RssMarket(A1692,"始値")</f>
        <v/>
      </c>
      <c r="M1692" s="4" t="e">
        <f t="shared" si="145"/>
        <v>#VALUE!</v>
      </c>
      <c r="N1692" s="21" t="str">
        <f>_xll.RssMarket(A1692,"高値")</f>
        <v/>
      </c>
      <c r="O1692" s="4" t="e">
        <f t="shared" si="146"/>
        <v>#VALUE!</v>
      </c>
      <c r="P1692" s="21" t="str">
        <f>_xll.RssMarket(A1692,"安値")</f>
        <v/>
      </c>
      <c r="Q1692" s="4" t="e">
        <f t="shared" si="147"/>
        <v>#VALUE!</v>
      </c>
      <c r="R1692" s="21" t="str">
        <f>_xll.RssMarket(A1692,"後場始値")</f>
        <v/>
      </c>
      <c r="S1692" s="25" t="str">
        <f t="shared" si="148"/>
        <v>-</v>
      </c>
      <c r="T1692" s="7" t="str">
        <f>_xll.RssMarket(A1692,"出来高加重平均")</f>
        <v/>
      </c>
      <c r="U1692" s="4" t="e">
        <f t="shared" si="149"/>
        <v>#VALUE!</v>
      </c>
      <c r="V1692" s="21" t="str">
        <f>_xll.RssMarket(A1692,"出来高")</f>
        <v/>
      </c>
      <c r="W1692" s="21" t="str">
        <f>_xll.RssMarket(A1692,"売買代金")</f>
        <v/>
      </c>
      <c r="X1692" s="20" t="str">
        <f>_xll.RssMarket(A1692,"決算発表日")</f>
        <v/>
      </c>
      <c r="Y1692" s="26" t="str">
        <f>IF(C1692&gt;_xll.RssMarket(A1692,"年初来高値"),"○","×")</f>
        <v>×</v>
      </c>
      <c r="Z1692" s="27" t="str">
        <f>IF(C1692&lt;=_xll.RssMarket(A1692,"年初来安値"),"○","×")</f>
        <v>○</v>
      </c>
    </row>
    <row r="1693" spans="2:26" x14ac:dyDescent="0.55000000000000004">
      <c r="B1693" s="20" t="str">
        <f>_xll.RssMarket(A1693,"銘柄名称")</f>
        <v/>
      </c>
      <c r="C1693" s="21" t="str">
        <f>_xll.RssMarket(A1693,"現在値")</f>
        <v/>
      </c>
      <c r="D1693" s="20" t="str">
        <f>_xll.RssMarket(A1693,"現在値詳細時刻")</f>
        <v/>
      </c>
      <c r="E1693" s="22" t="str">
        <f>_xll.RssMarket(A1693,"前日比")</f>
        <v/>
      </c>
      <c r="F1693" s="23" t="e">
        <f>_xll.RssMarket(A1693,"前日比率")/100</f>
        <v>#VALUE!</v>
      </c>
      <c r="G1693" s="24" t="str">
        <f>IFERROR(VLOOKUP(A1693,取得元!$A$2:$F$501,2,FALSE),"-")</f>
        <v>-</v>
      </c>
      <c r="H1693" s="24" t="str">
        <f>IFERROR(VLOOKUP(A1693,取得元!$A$2:$F$501,3,FALSE),"-")</f>
        <v>-</v>
      </c>
      <c r="I1693" s="24" t="str">
        <f>IFERROR(VLOOKUP(A1693,取得元!$A$2:$F$501,4,FALSE),"-")</f>
        <v>-</v>
      </c>
      <c r="J1693" s="5" t="str">
        <f>IFERROR(VLOOKUP(A1693,取得元!$A$2:$F$501,5,FALSE),"-")</f>
        <v>-</v>
      </c>
      <c r="K1693" s="25" t="str">
        <f>IFERROR(VLOOKUP(A1693,取得元!$A$2:$F$501,6,FALSE)/100,"-")</f>
        <v>-</v>
      </c>
      <c r="L1693" s="21" t="str">
        <f>_xll.RssMarket(A1693,"始値")</f>
        <v/>
      </c>
      <c r="M1693" s="4" t="e">
        <f t="shared" si="145"/>
        <v>#VALUE!</v>
      </c>
      <c r="N1693" s="21" t="str">
        <f>_xll.RssMarket(A1693,"高値")</f>
        <v/>
      </c>
      <c r="O1693" s="4" t="e">
        <f t="shared" si="146"/>
        <v>#VALUE!</v>
      </c>
      <c r="P1693" s="21" t="str">
        <f>_xll.RssMarket(A1693,"安値")</f>
        <v/>
      </c>
      <c r="Q1693" s="4" t="e">
        <f t="shared" si="147"/>
        <v>#VALUE!</v>
      </c>
      <c r="R1693" s="21" t="str">
        <f>_xll.RssMarket(A1693,"後場始値")</f>
        <v/>
      </c>
      <c r="S1693" s="25" t="str">
        <f t="shared" si="148"/>
        <v>-</v>
      </c>
      <c r="T1693" s="7" t="str">
        <f>_xll.RssMarket(A1693,"出来高加重平均")</f>
        <v/>
      </c>
      <c r="U1693" s="4" t="e">
        <f t="shared" si="149"/>
        <v>#VALUE!</v>
      </c>
      <c r="V1693" s="21" t="str">
        <f>_xll.RssMarket(A1693,"出来高")</f>
        <v/>
      </c>
      <c r="W1693" s="21" t="str">
        <f>_xll.RssMarket(A1693,"売買代金")</f>
        <v/>
      </c>
      <c r="X1693" s="20" t="str">
        <f>_xll.RssMarket(A1693,"決算発表日")</f>
        <v/>
      </c>
      <c r="Y1693" s="26" t="str">
        <f>IF(C1693&gt;_xll.RssMarket(A1693,"年初来高値"),"○","×")</f>
        <v>×</v>
      </c>
      <c r="Z1693" s="27" t="str">
        <f>IF(C1693&lt;=_xll.RssMarket(A1693,"年初来安値"),"○","×")</f>
        <v>○</v>
      </c>
    </row>
    <row r="1694" spans="2:26" x14ac:dyDescent="0.55000000000000004">
      <c r="B1694" s="20" t="str">
        <f>_xll.RssMarket(A1694,"銘柄名称")</f>
        <v/>
      </c>
      <c r="C1694" s="21" t="str">
        <f>_xll.RssMarket(A1694,"現在値")</f>
        <v/>
      </c>
      <c r="D1694" s="20" t="str">
        <f>_xll.RssMarket(A1694,"現在値詳細時刻")</f>
        <v/>
      </c>
      <c r="E1694" s="22" t="str">
        <f>_xll.RssMarket(A1694,"前日比")</f>
        <v/>
      </c>
      <c r="F1694" s="23" t="e">
        <f>_xll.RssMarket(A1694,"前日比率")/100</f>
        <v>#VALUE!</v>
      </c>
      <c r="G1694" s="24" t="str">
        <f>IFERROR(VLOOKUP(A1694,取得元!$A$2:$F$501,2,FALSE),"-")</f>
        <v>-</v>
      </c>
      <c r="H1694" s="24" t="str">
        <f>IFERROR(VLOOKUP(A1694,取得元!$A$2:$F$501,3,FALSE),"-")</f>
        <v>-</v>
      </c>
      <c r="I1694" s="24" t="str">
        <f>IFERROR(VLOOKUP(A1694,取得元!$A$2:$F$501,4,FALSE),"-")</f>
        <v>-</v>
      </c>
      <c r="J1694" s="5" t="str">
        <f>IFERROR(VLOOKUP(A1694,取得元!$A$2:$F$501,5,FALSE),"-")</f>
        <v>-</v>
      </c>
      <c r="K1694" s="25" t="str">
        <f>IFERROR(VLOOKUP(A1694,取得元!$A$2:$F$501,6,FALSE)/100,"-")</f>
        <v>-</v>
      </c>
      <c r="L1694" s="21" t="str">
        <f>_xll.RssMarket(A1694,"始値")</f>
        <v/>
      </c>
      <c r="M1694" s="4" t="e">
        <f t="shared" si="145"/>
        <v>#VALUE!</v>
      </c>
      <c r="N1694" s="21" t="str">
        <f>_xll.RssMarket(A1694,"高値")</f>
        <v/>
      </c>
      <c r="O1694" s="4" t="e">
        <f t="shared" si="146"/>
        <v>#VALUE!</v>
      </c>
      <c r="P1694" s="21" t="str">
        <f>_xll.RssMarket(A1694,"安値")</f>
        <v/>
      </c>
      <c r="Q1694" s="4" t="e">
        <f t="shared" si="147"/>
        <v>#VALUE!</v>
      </c>
      <c r="R1694" s="21" t="str">
        <f>_xll.RssMarket(A1694,"後場始値")</f>
        <v/>
      </c>
      <c r="S1694" s="25" t="str">
        <f t="shared" si="148"/>
        <v>-</v>
      </c>
      <c r="T1694" s="7" t="str">
        <f>_xll.RssMarket(A1694,"出来高加重平均")</f>
        <v/>
      </c>
      <c r="U1694" s="4" t="e">
        <f t="shared" si="149"/>
        <v>#VALUE!</v>
      </c>
      <c r="V1694" s="21" t="str">
        <f>_xll.RssMarket(A1694,"出来高")</f>
        <v/>
      </c>
      <c r="W1694" s="21" t="str">
        <f>_xll.RssMarket(A1694,"売買代金")</f>
        <v/>
      </c>
      <c r="X1694" s="20" t="str">
        <f>_xll.RssMarket(A1694,"決算発表日")</f>
        <v/>
      </c>
      <c r="Y1694" s="26" t="str">
        <f>IF(C1694&gt;_xll.RssMarket(A1694,"年初来高値"),"○","×")</f>
        <v>×</v>
      </c>
      <c r="Z1694" s="27" t="str">
        <f>IF(C1694&lt;=_xll.RssMarket(A1694,"年初来安値"),"○","×")</f>
        <v>○</v>
      </c>
    </row>
    <row r="1695" spans="2:26" x14ac:dyDescent="0.55000000000000004">
      <c r="B1695" s="20" t="str">
        <f>_xll.RssMarket(A1695,"銘柄名称")</f>
        <v/>
      </c>
      <c r="C1695" s="21" t="str">
        <f>_xll.RssMarket(A1695,"現在値")</f>
        <v/>
      </c>
      <c r="D1695" s="20" t="str">
        <f>_xll.RssMarket(A1695,"現在値詳細時刻")</f>
        <v/>
      </c>
      <c r="E1695" s="22" t="str">
        <f>_xll.RssMarket(A1695,"前日比")</f>
        <v/>
      </c>
      <c r="F1695" s="23" t="e">
        <f>_xll.RssMarket(A1695,"前日比率")/100</f>
        <v>#VALUE!</v>
      </c>
      <c r="G1695" s="24" t="str">
        <f>IFERROR(VLOOKUP(A1695,取得元!$A$2:$F$501,2,FALSE),"-")</f>
        <v>-</v>
      </c>
      <c r="H1695" s="24" t="str">
        <f>IFERROR(VLOOKUP(A1695,取得元!$A$2:$F$501,3,FALSE),"-")</f>
        <v>-</v>
      </c>
      <c r="I1695" s="24" t="str">
        <f>IFERROR(VLOOKUP(A1695,取得元!$A$2:$F$501,4,FALSE),"-")</f>
        <v>-</v>
      </c>
      <c r="J1695" s="5" t="str">
        <f>IFERROR(VLOOKUP(A1695,取得元!$A$2:$F$501,5,FALSE),"-")</f>
        <v>-</v>
      </c>
      <c r="K1695" s="25" t="str">
        <f>IFERROR(VLOOKUP(A1695,取得元!$A$2:$F$501,6,FALSE)/100,"-")</f>
        <v>-</v>
      </c>
      <c r="L1695" s="21" t="str">
        <f>_xll.RssMarket(A1695,"始値")</f>
        <v/>
      </c>
      <c r="M1695" s="4" t="e">
        <f t="shared" si="145"/>
        <v>#VALUE!</v>
      </c>
      <c r="N1695" s="21" t="str">
        <f>_xll.RssMarket(A1695,"高値")</f>
        <v/>
      </c>
      <c r="O1695" s="4" t="e">
        <f t="shared" si="146"/>
        <v>#VALUE!</v>
      </c>
      <c r="P1695" s="21" t="str">
        <f>_xll.RssMarket(A1695,"安値")</f>
        <v/>
      </c>
      <c r="Q1695" s="4" t="e">
        <f t="shared" si="147"/>
        <v>#VALUE!</v>
      </c>
      <c r="R1695" s="21" t="str">
        <f>_xll.RssMarket(A1695,"後場始値")</f>
        <v/>
      </c>
      <c r="S1695" s="25" t="str">
        <f t="shared" si="148"/>
        <v>-</v>
      </c>
      <c r="T1695" s="7" t="str">
        <f>_xll.RssMarket(A1695,"出来高加重平均")</f>
        <v/>
      </c>
      <c r="U1695" s="4" t="e">
        <f t="shared" si="149"/>
        <v>#VALUE!</v>
      </c>
      <c r="V1695" s="21" t="str">
        <f>_xll.RssMarket(A1695,"出来高")</f>
        <v/>
      </c>
      <c r="W1695" s="21" t="str">
        <f>_xll.RssMarket(A1695,"売買代金")</f>
        <v/>
      </c>
      <c r="X1695" s="20" t="str">
        <f>_xll.RssMarket(A1695,"決算発表日")</f>
        <v/>
      </c>
      <c r="Y1695" s="26" t="str">
        <f>IF(C1695&gt;_xll.RssMarket(A1695,"年初来高値"),"○","×")</f>
        <v>×</v>
      </c>
      <c r="Z1695" s="27" t="str">
        <f>IF(C1695&lt;=_xll.RssMarket(A1695,"年初来安値"),"○","×")</f>
        <v>○</v>
      </c>
    </row>
    <row r="1696" spans="2:26" x14ac:dyDescent="0.55000000000000004">
      <c r="B1696" s="20" t="str">
        <f>_xll.RssMarket(A1696,"銘柄名称")</f>
        <v/>
      </c>
      <c r="C1696" s="21" t="str">
        <f>_xll.RssMarket(A1696,"現在値")</f>
        <v/>
      </c>
      <c r="D1696" s="20" t="str">
        <f>_xll.RssMarket(A1696,"現在値詳細時刻")</f>
        <v/>
      </c>
      <c r="E1696" s="22" t="str">
        <f>_xll.RssMarket(A1696,"前日比")</f>
        <v/>
      </c>
      <c r="F1696" s="23" t="e">
        <f>_xll.RssMarket(A1696,"前日比率")/100</f>
        <v>#VALUE!</v>
      </c>
      <c r="G1696" s="24" t="str">
        <f>IFERROR(VLOOKUP(A1696,取得元!$A$2:$F$501,2,FALSE),"-")</f>
        <v>-</v>
      </c>
      <c r="H1696" s="24" t="str">
        <f>IFERROR(VLOOKUP(A1696,取得元!$A$2:$F$501,3,FALSE),"-")</f>
        <v>-</v>
      </c>
      <c r="I1696" s="24" t="str">
        <f>IFERROR(VLOOKUP(A1696,取得元!$A$2:$F$501,4,FALSE),"-")</f>
        <v>-</v>
      </c>
      <c r="J1696" s="5" t="str">
        <f>IFERROR(VLOOKUP(A1696,取得元!$A$2:$F$501,5,FALSE),"-")</f>
        <v>-</v>
      </c>
      <c r="K1696" s="25" t="str">
        <f>IFERROR(VLOOKUP(A1696,取得元!$A$2:$F$501,6,FALSE)/100,"-")</f>
        <v>-</v>
      </c>
      <c r="L1696" s="21" t="str">
        <f>_xll.RssMarket(A1696,"始値")</f>
        <v/>
      </c>
      <c r="M1696" s="4" t="e">
        <f t="shared" si="145"/>
        <v>#VALUE!</v>
      </c>
      <c r="N1696" s="21" t="str">
        <f>_xll.RssMarket(A1696,"高値")</f>
        <v/>
      </c>
      <c r="O1696" s="4" t="e">
        <f t="shared" si="146"/>
        <v>#VALUE!</v>
      </c>
      <c r="P1696" s="21" t="str">
        <f>_xll.RssMarket(A1696,"安値")</f>
        <v/>
      </c>
      <c r="Q1696" s="4" t="e">
        <f t="shared" si="147"/>
        <v>#VALUE!</v>
      </c>
      <c r="R1696" s="21" t="str">
        <f>_xll.RssMarket(A1696,"後場始値")</f>
        <v/>
      </c>
      <c r="S1696" s="25" t="str">
        <f t="shared" si="148"/>
        <v>-</v>
      </c>
      <c r="T1696" s="7" t="str">
        <f>_xll.RssMarket(A1696,"出来高加重平均")</f>
        <v/>
      </c>
      <c r="U1696" s="4" t="e">
        <f t="shared" si="149"/>
        <v>#VALUE!</v>
      </c>
      <c r="V1696" s="21" t="str">
        <f>_xll.RssMarket(A1696,"出来高")</f>
        <v/>
      </c>
      <c r="W1696" s="21" t="str">
        <f>_xll.RssMarket(A1696,"売買代金")</f>
        <v/>
      </c>
      <c r="X1696" s="20" t="str">
        <f>_xll.RssMarket(A1696,"決算発表日")</f>
        <v/>
      </c>
      <c r="Y1696" s="26" t="str">
        <f>IF(C1696&gt;_xll.RssMarket(A1696,"年初来高値"),"○","×")</f>
        <v>×</v>
      </c>
      <c r="Z1696" s="27" t="str">
        <f>IF(C1696&lt;=_xll.RssMarket(A1696,"年初来安値"),"○","×")</f>
        <v>○</v>
      </c>
    </row>
    <row r="1697" spans="2:26" x14ac:dyDescent="0.55000000000000004">
      <c r="B1697" s="20" t="str">
        <f>_xll.RssMarket(A1697,"銘柄名称")</f>
        <v/>
      </c>
      <c r="C1697" s="21" t="str">
        <f>_xll.RssMarket(A1697,"現在値")</f>
        <v/>
      </c>
      <c r="D1697" s="20" t="str">
        <f>_xll.RssMarket(A1697,"現在値詳細時刻")</f>
        <v/>
      </c>
      <c r="E1697" s="22" t="str">
        <f>_xll.RssMarket(A1697,"前日比")</f>
        <v/>
      </c>
      <c r="F1697" s="23" t="e">
        <f>_xll.RssMarket(A1697,"前日比率")/100</f>
        <v>#VALUE!</v>
      </c>
      <c r="G1697" s="24" t="str">
        <f>IFERROR(VLOOKUP(A1697,取得元!$A$2:$F$501,2,FALSE),"-")</f>
        <v>-</v>
      </c>
      <c r="H1697" s="24" t="str">
        <f>IFERROR(VLOOKUP(A1697,取得元!$A$2:$F$501,3,FALSE),"-")</f>
        <v>-</v>
      </c>
      <c r="I1697" s="24" t="str">
        <f>IFERROR(VLOOKUP(A1697,取得元!$A$2:$F$501,4,FALSE),"-")</f>
        <v>-</v>
      </c>
      <c r="J1697" s="5" t="str">
        <f>IFERROR(VLOOKUP(A1697,取得元!$A$2:$F$501,5,FALSE),"-")</f>
        <v>-</v>
      </c>
      <c r="K1697" s="25" t="str">
        <f>IFERROR(VLOOKUP(A1697,取得元!$A$2:$F$501,6,FALSE)/100,"-")</f>
        <v>-</v>
      </c>
      <c r="L1697" s="21" t="str">
        <f>_xll.RssMarket(A1697,"始値")</f>
        <v/>
      </c>
      <c r="M1697" s="4" t="e">
        <f t="shared" si="145"/>
        <v>#VALUE!</v>
      </c>
      <c r="N1697" s="21" t="str">
        <f>_xll.RssMarket(A1697,"高値")</f>
        <v/>
      </c>
      <c r="O1697" s="4" t="e">
        <f t="shared" si="146"/>
        <v>#VALUE!</v>
      </c>
      <c r="P1697" s="21" t="str">
        <f>_xll.RssMarket(A1697,"安値")</f>
        <v/>
      </c>
      <c r="Q1697" s="4" t="e">
        <f t="shared" si="147"/>
        <v>#VALUE!</v>
      </c>
      <c r="R1697" s="21" t="str">
        <f>_xll.RssMarket(A1697,"後場始値")</f>
        <v/>
      </c>
      <c r="S1697" s="25" t="str">
        <f t="shared" si="148"/>
        <v>-</v>
      </c>
      <c r="T1697" s="7" t="str">
        <f>_xll.RssMarket(A1697,"出来高加重平均")</f>
        <v/>
      </c>
      <c r="U1697" s="4" t="e">
        <f t="shared" si="149"/>
        <v>#VALUE!</v>
      </c>
      <c r="V1697" s="21" t="str">
        <f>_xll.RssMarket(A1697,"出来高")</f>
        <v/>
      </c>
      <c r="W1697" s="21" t="str">
        <f>_xll.RssMarket(A1697,"売買代金")</f>
        <v/>
      </c>
      <c r="X1697" s="20" t="str">
        <f>_xll.RssMarket(A1697,"決算発表日")</f>
        <v/>
      </c>
      <c r="Y1697" s="26" t="str">
        <f>IF(C1697&gt;_xll.RssMarket(A1697,"年初来高値"),"○","×")</f>
        <v>×</v>
      </c>
      <c r="Z1697" s="27" t="str">
        <f>IF(C1697&lt;=_xll.RssMarket(A1697,"年初来安値"),"○","×")</f>
        <v>○</v>
      </c>
    </row>
    <row r="1698" spans="2:26" x14ac:dyDescent="0.55000000000000004">
      <c r="B1698" s="20" t="str">
        <f>_xll.RssMarket(A1698,"銘柄名称")</f>
        <v/>
      </c>
      <c r="C1698" s="21" t="str">
        <f>_xll.RssMarket(A1698,"現在値")</f>
        <v/>
      </c>
      <c r="D1698" s="20" t="str">
        <f>_xll.RssMarket(A1698,"現在値詳細時刻")</f>
        <v/>
      </c>
      <c r="E1698" s="22" t="str">
        <f>_xll.RssMarket(A1698,"前日比")</f>
        <v/>
      </c>
      <c r="F1698" s="23" t="e">
        <f>_xll.RssMarket(A1698,"前日比率")/100</f>
        <v>#VALUE!</v>
      </c>
      <c r="G1698" s="24" t="str">
        <f>IFERROR(VLOOKUP(A1698,取得元!$A$2:$F$501,2,FALSE),"-")</f>
        <v>-</v>
      </c>
      <c r="H1698" s="24" t="str">
        <f>IFERROR(VLOOKUP(A1698,取得元!$A$2:$F$501,3,FALSE),"-")</f>
        <v>-</v>
      </c>
      <c r="I1698" s="24" t="str">
        <f>IFERROR(VLOOKUP(A1698,取得元!$A$2:$F$501,4,FALSE),"-")</f>
        <v>-</v>
      </c>
      <c r="J1698" s="5" t="str">
        <f>IFERROR(VLOOKUP(A1698,取得元!$A$2:$F$501,5,FALSE),"-")</f>
        <v>-</v>
      </c>
      <c r="K1698" s="25" t="str">
        <f>IFERROR(VLOOKUP(A1698,取得元!$A$2:$F$501,6,FALSE)/100,"-")</f>
        <v>-</v>
      </c>
      <c r="L1698" s="21" t="str">
        <f>_xll.RssMarket(A1698,"始値")</f>
        <v/>
      </c>
      <c r="M1698" s="4" t="e">
        <f t="shared" si="145"/>
        <v>#VALUE!</v>
      </c>
      <c r="N1698" s="21" t="str">
        <f>_xll.RssMarket(A1698,"高値")</f>
        <v/>
      </c>
      <c r="O1698" s="4" t="e">
        <f t="shared" si="146"/>
        <v>#VALUE!</v>
      </c>
      <c r="P1698" s="21" t="str">
        <f>_xll.RssMarket(A1698,"安値")</f>
        <v/>
      </c>
      <c r="Q1698" s="4" t="e">
        <f t="shared" si="147"/>
        <v>#VALUE!</v>
      </c>
      <c r="R1698" s="21" t="str">
        <f>_xll.RssMarket(A1698,"後場始値")</f>
        <v/>
      </c>
      <c r="S1698" s="25" t="str">
        <f t="shared" si="148"/>
        <v>-</v>
      </c>
      <c r="T1698" s="7" t="str">
        <f>_xll.RssMarket(A1698,"出来高加重平均")</f>
        <v/>
      </c>
      <c r="U1698" s="4" t="e">
        <f t="shared" si="149"/>
        <v>#VALUE!</v>
      </c>
      <c r="V1698" s="21" t="str">
        <f>_xll.RssMarket(A1698,"出来高")</f>
        <v/>
      </c>
      <c r="W1698" s="21" t="str">
        <f>_xll.RssMarket(A1698,"売買代金")</f>
        <v/>
      </c>
      <c r="X1698" s="20" t="str">
        <f>_xll.RssMarket(A1698,"決算発表日")</f>
        <v/>
      </c>
      <c r="Y1698" s="26" t="str">
        <f>IF(C1698&gt;_xll.RssMarket(A1698,"年初来高値"),"○","×")</f>
        <v>×</v>
      </c>
      <c r="Z1698" s="27" t="str">
        <f>IF(C1698&lt;=_xll.RssMarket(A1698,"年初来安値"),"○","×")</f>
        <v>○</v>
      </c>
    </row>
    <row r="1699" spans="2:26" x14ac:dyDescent="0.55000000000000004">
      <c r="B1699" s="20" t="str">
        <f>_xll.RssMarket(A1699,"銘柄名称")</f>
        <v/>
      </c>
      <c r="C1699" s="21" t="str">
        <f>_xll.RssMarket(A1699,"現在値")</f>
        <v/>
      </c>
      <c r="D1699" s="20" t="str">
        <f>_xll.RssMarket(A1699,"現在値詳細時刻")</f>
        <v/>
      </c>
      <c r="E1699" s="22" t="str">
        <f>_xll.RssMarket(A1699,"前日比")</f>
        <v/>
      </c>
      <c r="F1699" s="23" t="e">
        <f>_xll.RssMarket(A1699,"前日比率")/100</f>
        <v>#VALUE!</v>
      </c>
      <c r="G1699" s="24" t="str">
        <f>IFERROR(VLOOKUP(A1699,取得元!$A$2:$F$501,2,FALSE),"-")</f>
        <v>-</v>
      </c>
      <c r="H1699" s="24" t="str">
        <f>IFERROR(VLOOKUP(A1699,取得元!$A$2:$F$501,3,FALSE),"-")</f>
        <v>-</v>
      </c>
      <c r="I1699" s="24" t="str">
        <f>IFERROR(VLOOKUP(A1699,取得元!$A$2:$F$501,4,FALSE),"-")</f>
        <v>-</v>
      </c>
      <c r="J1699" s="5" t="str">
        <f>IFERROR(VLOOKUP(A1699,取得元!$A$2:$F$501,5,FALSE),"-")</f>
        <v>-</v>
      </c>
      <c r="K1699" s="25" t="str">
        <f>IFERROR(VLOOKUP(A1699,取得元!$A$2:$F$501,6,FALSE)/100,"-")</f>
        <v>-</v>
      </c>
      <c r="L1699" s="21" t="str">
        <f>_xll.RssMarket(A1699,"始値")</f>
        <v/>
      </c>
      <c r="M1699" s="4" t="e">
        <f t="shared" si="145"/>
        <v>#VALUE!</v>
      </c>
      <c r="N1699" s="21" t="str">
        <f>_xll.RssMarket(A1699,"高値")</f>
        <v/>
      </c>
      <c r="O1699" s="4" t="e">
        <f t="shared" si="146"/>
        <v>#VALUE!</v>
      </c>
      <c r="P1699" s="21" t="str">
        <f>_xll.RssMarket(A1699,"安値")</f>
        <v/>
      </c>
      <c r="Q1699" s="4" t="e">
        <f t="shared" si="147"/>
        <v>#VALUE!</v>
      </c>
      <c r="R1699" s="21" t="str">
        <f>_xll.RssMarket(A1699,"後場始値")</f>
        <v/>
      </c>
      <c r="S1699" s="25" t="str">
        <f t="shared" si="148"/>
        <v>-</v>
      </c>
      <c r="T1699" s="7" t="str">
        <f>_xll.RssMarket(A1699,"出来高加重平均")</f>
        <v/>
      </c>
      <c r="U1699" s="4" t="e">
        <f t="shared" si="149"/>
        <v>#VALUE!</v>
      </c>
      <c r="V1699" s="21" t="str">
        <f>_xll.RssMarket(A1699,"出来高")</f>
        <v/>
      </c>
      <c r="W1699" s="21" t="str">
        <f>_xll.RssMarket(A1699,"売買代金")</f>
        <v/>
      </c>
      <c r="X1699" s="20" t="str">
        <f>_xll.RssMarket(A1699,"決算発表日")</f>
        <v/>
      </c>
      <c r="Y1699" s="26" t="str">
        <f>IF(C1699&gt;_xll.RssMarket(A1699,"年初来高値"),"○","×")</f>
        <v>×</v>
      </c>
      <c r="Z1699" s="27" t="str">
        <f>IF(C1699&lt;=_xll.RssMarket(A1699,"年初来安値"),"○","×")</f>
        <v>○</v>
      </c>
    </row>
    <row r="1700" spans="2:26" x14ac:dyDescent="0.55000000000000004">
      <c r="B1700" s="20" t="str">
        <f>_xll.RssMarket(A1700,"銘柄名称")</f>
        <v/>
      </c>
      <c r="C1700" s="21" t="str">
        <f>_xll.RssMarket(A1700,"現在値")</f>
        <v/>
      </c>
      <c r="D1700" s="20" t="str">
        <f>_xll.RssMarket(A1700,"現在値詳細時刻")</f>
        <v/>
      </c>
      <c r="E1700" s="22" t="str">
        <f>_xll.RssMarket(A1700,"前日比")</f>
        <v/>
      </c>
      <c r="F1700" s="23" t="e">
        <f>_xll.RssMarket(A1700,"前日比率")/100</f>
        <v>#VALUE!</v>
      </c>
      <c r="G1700" s="24" t="str">
        <f>IFERROR(VLOOKUP(A1700,取得元!$A$2:$F$501,2,FALSE),"-")</f>
        <v>-</v>
      </c>
      <c r="H1700" s="24" t="str">
        <f>IFERROR(VLOOKUP(A1700,取得元!$A$2:$F$501,3,FALSE),"-")</f>
        <v>-</v>
      </c>
      <c r="I1700" s="24" t="str">
        <f>IFERROR(VLOOKUP(A1700,取得元!$A$2:$F$501,4,FALSE),"-")</f>
        <v>-</v>
      </c>
      <c r="J1700" s="5" t="str">
        <f>IFERROR(VLOOKUP(A1700,取得元!$A$2:$F$501,5,FALSE),"-")</f>
        <v>-</v>
      </c>
      <c r="K1700" s="25" t="str">
        <f>IFERROR(VLOOKUP(A1700,取得元!$A$2:$F$501,6,FALSE)/100,"-")</f>
        <v>-</v>
      </c>
      <c r="L1700" s="21" t="str">
        <f>_xll.RssMarket(A1700,"始値")</f>
        <v/>
      </c>
      <c r="M1700" s="4" t="e">
        <f t="shared" si="145"/>
        <v>#VALUE!</v>
      </c>
      <c r="N1700" s="21" t="str">
        <f>_xll.RssMarket(A1700,"高値")</f>
        <v/>
      </c>
      <c r="O1700" s="4" t="e">
        <f t="shared" si="146"/>
        <v>#VALUE!</v>
      </c>
      <c r="P1700" s="21" t="str">
        <f>_xll.RssMarket(A1700,"安値")</f>
        <v/>
      </c>
      <c r="Q1700" s="4" t="e">
        <f t="shared" si="147"/>
        <v>#VALUE!</v>
      </c>
      <c r="R1700" s="21" t="str">
        <f>_xll.RssMarket(A1700,"後場始値")</f>
        <v/>
      </c>
      <c r="S1700" s="25" t="str">
        <f t="shared" si="148"/>
        <v>-</v>
      </c>
      <c r="T1700" s="7" t="str">
        <f>_xll.RssMarket(A1700,"出来高加重平均")</f>
        <v/>
      </c>
      <c r="U1700" s="4" t="e">
        <f t="shared" si="149"/>
        <v>#VALUE!</v>
      </c>
      <c r="V1700" s="21" t="str">
        <f>_xll.RssMarket(A1700,"出来高")</f>
        <v/>
      </c>
      <c r="W1700" s="21" t="str">
        <f>_xll.RssMarket(A1700,"売買代金")</f>
        <v/>
      </c>
      <c r="X1700" s="20" t="str">
        <f>_xll.RssMarket(A1700,"決算発表日")</f>
        <v/>
      </c>
      <c r="Y1700" s="26" t="str">
        <f>IF(C1700&gt;_xll.RssMarket(A1700,"年初来高値"),"○","×")</f>
        <v>×</v>
      </c>
      <c r="Z1700" s="27" t="str">
        <f>IF(C1700&lt;=_xll.RssMarket(A1700,"年初来安値"),"○","×")</f>
        <v>○</v>
      </c>
    </row>
    <row r="1701" spans="2:26" x14ac:dyDescent="0.55000000000000004">
      <c r="B1701" s="20" t="str">
        <f>_xll.RssMarket(A1701,"銘柄名称")</f>
        <v/>
      </c>
      <c r="C1701" s="21" t="str">
        <f>_xll.RssMarket(A1701,"現在値")</f>
        <v/>
      </c>
      <c r="D1701" s="20" t="str">
        <f>_xll.RssMarket(A1701,"現在値詳細時刻")</f>
        <v/>
      </c>
      <c r="E1701" s="22" t="str">
        <f>_xll.RssMarket(A1701,"前日比")</f>
        <v/>
      </c>
      <c r="F1701" s="23" t="e">
        <f>_xll.RssMarket(A1701,"前日比率")/100</f>
        <v>#VALUE!</v>
      </c>
      <c r="G1701" s="24" t="str">
        <f>IFERROR(VLOOKUP(A1701,取得元!$A$2:$F$501,2,FALSE),"-")</f>
        <v>-</v>
      </c>
      <c r="H1701" s="24" t="str">
        <f>IFERROR(VLOOKUP(A1701,取得元!$A$2:$F$501,3,FALSE),"-")</f>
        <v>-</v>
      </c>
      <c r="I1701" s="24" t="str">
        <f>IFERROR(VLOOKUP(A1701,取得元!$A$2:$F$501,4,FALSE),"-")</f>
        <v>-</v>
      </c>
      <c r="J1701" s="5" t="str">
        <f>IFERROR(VLOOKUP(A1701,取得元!$A$2:$F$501,5,FALSE),"-")</f>
        <v>-</v>
      </c>
      <c r="K1701" s="25" t="str">
        <f>IFERROR(VLOOKUP(A1701,取得元!$A$2:$F$501,6,FALSE)/100,"-")</f>
        <v>-</v>
      </c>
      <c r="L1701" s="21" t="str">
        <f>_xll.RssMarket(A1701,"始値")</f>
        <v/>
      </c>
      <c r="M1701" s="4" t="e">
        <f t="shared" si="145"/>
        <v>#VALUE!</v>
      </c>
      <c r="N1701" s="21" t="str">
        <f>_xll.RssMarket(A1701,"高値")</f>
        <v/>
      </c>
      <c r="O1701" s="4" t="e">
        <f t="shared" si="146"/>
        <v>#VALUE!</v>
      </c>
      <c r="P1701" s="21" t="str">
        <f>_xll.RssMarket(A1701,"安値")</f>
        <v/>
      </c>
      <c r="Q1701" s="4" t="e">
        <f t="shared" si="147"/>
        <v>#VALUE!</v>
      </c>
      <c r="R1701" s="21" t="str">
        <f>_xll.RssMarket(A1701,"後場始値")</f>
        <v/>
      </c>
      <c r="S1701" s="25" t="str">
        <f t="shared" si="148"/>
        <v>-</v>
      </c>
      <c r="T1701" s="7" t="str">
        <f>_xll.RssMarket(A1701,"出来高加重平均")</f>
        <v/>
      </c>
      <c r="U1701" s="4" t="e">
        <f t="shared" si="149"/>
        <v>#VALUE!</v>
      </c>
      <c r="V1701" s="21" t="str">
        <f>_xll.RssMarket(A1701,"出来高")</f>
        <v/>
      </c>
      <c r="W1701" s="21" t="str">
        <f>_xll.RssMarket(A1701,"売買代金")</f>
        <v/>
      </c>
      <c r="X1701" s="20" t="str">
        <f>_xll.RssMarket(A1701,"決算発表日")</f>
        <v/>
      </c>
      <c r="Y1701" s="26" t="str">
        <f>IF(C1701&gt;_xll.RssMarket(A1701,"年初来高値"),"○","×")</f>
        <v>×</v>
      </c>
      <c r="Z1701" s="27" t="str">
        <f>IF(C1701&lt;=_xll.RssMarket(A1701,"年初来安値"),"○","×")</f>
        <v>○</v>
      </c>
    </row>
    <row r="1702" spans="2:26" x14ac:dyDescent="0.55000000000000004">
      <c r="B1702" s="20" t="str">
        <f>_xll.RssMarket(A1702,"銘柄名称")</f>
        <v/>
      </c>
      <c r="C1702" s="21" t="str">
        <f>_xll.RssMarket(A1702,"現在値")</f>
        <v/>
      </c>
      <c r="D1702" s="20" t="str">
        <f>_xll.RssMarket(A1702,"現在値詳細時刻")</f>
        <v/>
      </c>
      <c r="E1702" s="22" t="str">
        <f>_xll.RssMarket(A1702,"前日比")</f>
        <v/>
      </c>
      <c r="F1702" s="23" t="e">
        <f>_xll.RssMarket(A1702,"前日比率")/100</f>
        <v>#VALUE!</v>
      </c>
      <c r="G1702" s="24" t="str">
        <f>IFERROR(VLOOKUP(A1702,取得元!$A$2:$F$501,2,FALSE),"-")</f>
        <v>-</v>
      </c>
      <c r="H1702" s="24" t="str">
        <f>IFERROR(VLOOKUP(A1702,取得元!$A$2:$F$501,3,FALSE),"-")</f>
        <v>-</v>
      </c>
      <c r="I1702" s="24" t="str">
        <f>IFERROR(VLOOKUP(A1702,取得元!$A$2:$F$501,4,FALSE),"-")</f>
        <v>-</v>
      </c>
      <c r="J1702" s="5" t="str">
        <f>IFERROR(VLOOKUP(A1702,取得元!$A$2:$F$501,5,FALSE),"-")</f>
        <v>-</v>
      </c>
      <c r="K1702" s="25" t="str">
        <f>IFERROR(VLOOKUP(A1702,取得元!$A$2:$F$501,6,FALSE)/100,"-")</f>
        <v>-</v>
      </c>
      <c r="L1702" s="21" t="str">
        <f>_xll.RssMarket(A1702,"始値")</f>
        <v/>
      </c>
      <c r="M1702" s="4" t="e">
        <f t="shared" si="145"/>
        <v>#VALUE!</v>
      </c>
      <c r="N1702" s="21" t="str">
        <f>_xll.RssMarket(A1702,"高値")</f>
        <v/>
      </c>
      <c r="O1702" s="4" t="e">
        <f t="shared" si="146"/>
        <v>#VALUE!</v>
      </c>
      <c r="P1702" s="21" t="str">
        <f>_xll.RssMarket(A1702,"安値")</f>
        <v/>
      </c>
      <c r="Q1702" s="4" t="e">
        <f t="shared" si="147"/>
        <v>#VALUE!</v>
      </c>
      <c r="R1702" s="21" t="str">
        <f>_xll.RssMarket(A1702,"後場始値")</f>
        <v/>
      </c>
      <c r="S1702" s="25" t="str">
        <f t="shared" si="148"/>
        <v>-</v>
      </c>
      <c r="T1702" s="7" t="str">
        <f>_xll.RssMarket(A1702,"出来高加重平均")</f>
        <v/>
      </c>
      <c r="U1702" s="4" t="e">
        <f t="shared" si="149"/>
        <v>#VALUE!</v>
      </c>
      <c r="V1702" s="21" t="str">
        <f>_xll.RssMarket(A1702,"出来高")</f>
        <v/>
      </c>
      <c r="W1702" s="21" t="str">
        <f>_xll.RssMarket(A1702,"売買代金")</f>
        <v/>
      </c>
      <c r="X1702" s="20" t="str">
        <f>_xll.RssMarket(A1702,"決算発表日")</f>
        <v/>
      </c>
      <c r="Y1702" s="26" t="str">
        <f>IF(C1702&gt;_xll.RssMarket(A1702,"年初来高値"),"○","×")</f>
        <v>×</v>
      </c>
      <c r="Z1702" s="27" t="str">
        <f>IF(C1702&lt;=_xll.RssMarket(A1702,"年初来安値"),"○","×")</f>
        <v>○</v>
      </c>
    </row>
    <row r="1703" spans="2:26" x14ac:dyDescent="0.55000000000000004">
      <c r="B1703" s="20" t="str">
        <f>_xll.RssMarket(A1703,"銘柄名称")</f>
        <v/>
      </c>
      <c r="C1703" s="21" t="str">
        <f>_xll.RssMarket(A1703,"現在値")</f>
        <v/>
      </c>
      <c r="D1703" s="20" t="str">
        <f>_xll.RssMarket(A1703,"現在値詳細時刻")</f>
        <v/>
      </c>
      <c r="E1703" s="22" t="str">
        <f>_xll.RssMarket(A1703,"前日比")</f>
        <v/>
      </c>
      <c r="F1703" s="23" t="e">
        <f>_xll.RssMarket(A1703,"前日比率")/100</f>
        <v>#VALUE!</v>
      </c>
      <c r="G1703" s="24" t="str">
        <f>IFERROR(VLOOKUP(A1703,取得元!$A$2:$F$501,2,FALSE),"-")</f>
        <v>-</v>
      </c>
      <c r="H1703" s="24" t="str">
        <f>IFERROR(VLOOKUP(A1703,取得元!$A$2:$F$501,3,FALSE),"-")</f>
        <v>-</v>
      </c>
      <c r="I1703" s="24" t="str">
        <f>IFERROR(VLOOKUP(A1703,取得元!$A$2:$F$501,4,FALSE),"-")</f>
        <v>-</v>
      </c>
      <c r="J1703" s="5" t="str">
        <f>IFERROR(VLOOKUP(A1703,取得元!$A$2:$F$501,5,FALSE),"-")</f>
        <v>-</v>
      </c>
      <c r="K1703" s="25" t="str">
        <f>IFERROR(VLOOKUP(A1703,取得元!$A$2:$F$501,6,FALSE)/100,"-")</f>
        <v>-</v>
      </c>
      <c r="L1703" s="21" t="str">
        <f>_xll.RssMarket(A1703,"始値")</f>
        <v/>
      </c>
      <c r="M1703" s="4" t="e">
        <f t="shared" si="145"/>
        <v>#VALUE!</v>
      </c>
      <c r="N1703" s="21" t="str">
        <f>_xll.RssMarket(A1703,"高値")</f>
        <v/>
      </c>
      <c r="O1703" s="4" t="e">
        <f t="shared" si="146"/>
        <v>#VALUE!</v>
      </c>
      <c r="P1703" s="21" t="str">
        <f>_xll.RssMarket(A1703,"安値")</f>
        <v/>
      </c>
      <c r="Q1703" s="4" t="e">
        <f t="shared" si="147"/>
        <v>#VALUE!</v>
      </c>
      <c r="R1703" s="21" t="str">
        <f>_xll.RssMarket(A1703,"後場始値")</f>
        <v/>
      </c>
      <c r="S1703" s="25" t="str">
        <f t="shared" si="148"/>
        <v>-</v>
      </c>
      <c r="T1703" s="7" t="str">
        <f>_xll.RssMarket(A1703,"出来高加重平均")</f>
        <v/>
      </c>
      <c r="U1703" s="4" t="e">
        <f t="shared" si="149"/>
        <v>#VALUE!</v>
      </c>
      <c r="V1703" s="21" t="str">
        <f>_xll.RssMarket(A1703,"出来高")</f>
        <v/>
      </c>
      <c r="W1703" s="21" t="str">
        <f>_xll.RssMarket(A1703,"売買代金")</f>
        <v/>
      </c>
      <c r="X1703" s="20" t="str">
        <f>_xll.RssMarket(A1703,"決算発表日")</f>
        <v/>
      </c>
      <c r="Y1703" s="26" t="str">
        <f>IF(C1703&gt;_xll.RssMarket(A1703,"年初来高値"),"○","×")</f>
        <v>×</v>
      </c>
      <c r="Z1703" s="27" t="str">
        <f>IF(C1703&lt;=_xll.RssMarket(A1703,"年初来安値"),"○","×")</f>
        <v>○</v>
      </c>
    </row>
    <row r="1704" spans="2:26" x14ac:dyDescent="0.55000000000000004">
      <c r="B1704" s="20" t="str">
        <f>_xll.RssMarket(A1704,"銘柄名称")</f>
        <v/>
      </c>
      <c r="C1704" s="21" t="str">
        <f>_xll.RssMarket(A1704,"現在値")</f>
        <v/>
      </c>
      <c r="D1704" s="20" t="str">
        <f>_xll.RssMarket(A1704,"現在値詳細時刻")</f>
        <v/>
      </c>
      <c r="E1704" s="22" t="str">
        <f>_xll.RssMarket(A1704,"前日比")</f>
        <v/>
      </c>
      <c r="F1704" s="23" t="e">
        <f>_xll.RssMarket(A1704,"前日比率")/100</f>
        <v>#VALUE!</v>
      </c>
      <c r="G1704" s="24" t="str">
        <f>IFERROR(VLOOKUP(A1704,取得元!$A$2:$F$501,2,FALSE),"-")</f>
        <v>-</v>
      </c>
      <c r="H1704" s="24" t="str">
        <f>IFERROR(VLOOKUP(A1704,取得元!$A$2:$F$501,3,FALSE),"-")</f>
        <v>-</v>
      </c>
      <c r="I1704" s="24" t="str">
        <f>IFERROR(VLOOKUP(A1704,取得元!$A$2:$F$501,4,FALSE),"-")</f>
        <v>-</v>
      </c>
      <c r="J1704" s="5" t="str">
        <f>IFERROR(VLOOKUP(A1704,取得元!$A$2:$F$501,5,FALSE),"-")</f>
        <v>-</v>
      </c>
      <c r="K1704" s="25" t="str">
        <f>IFERROR(VLOOKUP(A1704,取得元!$A$2:$F$501,6,FALSE)/100,"-")</f>
        <v>-</v>
      </c>
      <c r="L1704" s="21" t="str">
        <f>_xll.RssMarket(A1704,"始値")</f>
        <v/>
      </c>
      <c r="M1704" s="4" t="e">
        <f t="shared" si="145"/>
        <v>#VALUE!</v>
      </c>
      <c r="N1704" s="21" t="str">
        <f>_xll.RssMarket(A1704,"高値")</f>
        <v/>
      </c>
      <c r="O1704" s="4" t="e">
        <f t="shared" si="146"/>
        <v>#VALUE!</v>
      </c>
      <c r="P1704" s="21" t="str">
        <f>_xll.RssMarket(A1704,"安値")</f>
        <v/>
      </c>
      <c r="Q1704" s="4" t="e">
        <f t="shared" si="147"/>
        <v>#VALUE!</v>
      </c>
      <c r="R1704" s="21" t="str">
        <f>_xll.RssMarket(A1704,"後場始値")</f>
        <v/>
      </c>
      <c r="S1704" s="25" t="str">
        <f t="shared" si="148"/>
        <v>-</v>
      </c>
      <c r="T1704" s="7" t="str">
        <f>_xll.RssMarket(A1704,"出来高加重平均")</f>
        <v/>
      </c>
      <c r="U1704" s="4" t="e">
        <f t="shared" si="149"/>
        <v>#VALUE!</v>
      </c>
      <c r="V1704" s="21" t="str">
        <f>_xll.RssMarket(A1704,"出来高")</f>
        <v/>
      </c>
      <c r="W1704" s="21" t="str">
        <f>_xll.RssMarket(A1704,"売買代金")</f>
        <v/>
      </c>
      <c r="X1704" s="20" t="str">
        <f>_xll.RssMarket(A1704,"決算発表日")</f>
        <v/>
      </c>
      <c r="Y1704" s="26" t="str">
        <f>IF(C1704&gt;_xll.RssMarket(A1704,"年初来高値"),"○","×")</f>
        <v>×</v>
      </c>
      <c r="Z1704" s="27" t="str">
        <f>IF(C1704&lt;=_xll.RssMarket(A1704,"年初来安値"),"○","×")</f>
        <v>○</v>
      </c>
    </row>
    <row r="1705" spans="2:26" x14ac:dyDescent="0.55000000000000004">
      <c r="B1705" s="20" t="str">
        <f>_xll.RssMarket(A1705,"銘柄名称")</f>
        <v/>
      </c>
      <c r="C1705" s="21" t="str">
        <f>_xll.RssMarket(A1705,"現在値")</f>
        <v/>
      </c>
      <c r="D1705" s="20" t="str">
        <f>_xll.RssMarket(A1705,"現在値詳細時刻")</f>
        <v/>
      </c>
      <c r="E1705" s="22" t="str">
        <f>_xll.RssMarket(A1705,"前日比")</f>
        <v/>
      </c>
      <c r="F1705" s="23" t="e">
        <f>_xll.RssMarket(A1705,"前日比率")/100</f>
        <v>#VALUE!</v>
      </c>
      <c r="G1705" s="24" t="str">
        <f>IFERROR(VLOOKUP(A1705,取得元!$A$2:$F$501,2,FALSE),"-")</f>
        <v>-</v>
      </c>
      <c r="H1705" s="24" t="str">
        <f>IFERROR(VLOOKUP(A1705,取得元!$A$2:$F$501,3,FALSE),"-")</f>
        <v>-</v>
      </c>
      <c r="I1705" s="24" t="str">
        <f>IFERROR(VLOOKUP(A1705,取得元!$A$2:$F$501,4,FALSE),"-")</f>
        <v>-</v>
      </c>
      <c r="J1705" s="5" t="str">
        <f>IFERROR(VLOOKUP(A1705,取得元!$A$2:$F$501,5,FALSE),"-")</f>
        <v>-</v>
      </c>
      <c r="K1705" s="25" t="str">
        <f>IFERROR(VLOOKUP(A1705,取得元!$A$2:$F$501,6,FALSE)/100,"-")</f>
        <v>-</v>
      </c>
      <c r="L1705" s="21" t="str">
        <f>_xll.RssMarket(A1705,"始値")</f>
        <v/>
      </c>
      <c r="M1705" s="4" t="e">
        <f t="shared" si="145"/>
        <v>#VALUE!</v>
      </c>
      <c r="N1705" s="21" t="str">
        <f>_xll.RssMarket(A1705,"高値")</f>
        <v/>
      </c>
      <c r="O1705" s="4" t="e">
        <f t="shared" si="146"/>
        <v>#VALUE!</v>
      </c>
      <c r="P1705" s="21" t="str">
        <f>_xll.RssMarket(A1705,"安値")</f>
        <v/>
      </c>
      <c r="Q1705" s="4" t="e">
        <f t="shared" si="147"/>
        <v>#VALUE!</v>
      </c>
      <c r="R1705" s="21" t="str">
        <f>_xll.RssMarket(A1705,"後場始値")</f>
        <v/>
      </c>
      <c r="S1705" s="25" t="str">
        <f t="shared" si="148"/>
        <v>-</v>
      </c>
      <c r="T1705" s="7" t="str">
        <f>_xll.RssMarket(A1705,"出来高加重平均")</f>
        <v/>
      </c>
      <c r="U1705" s="4" t="e">
        <f t="shared" si="149"/>
        <v>#VALUE!</v>
      </c>
      <c r="V1705" s="21" t="str">
        <f>_xll.RssMarket(A1705,"出来高")</f>
        <v/>
      </c>
      <c r="W1705" s="21" t="str">
        <f>_xll.RssMarket(A1705,"売買代金")</f>
        <v/>
      </c>
      <c r="X1705" s="20" t="str">
        <f>_xll.RssMarket(A1705,"決算発表日")</f>
        <v/>
      </c>
      <c r="Y1705" s="26" t="str">
        <f>IF(C1705&gt;_xll.RssMarket(A1705,"年初来高値"),"○","×")</f>
        <v>×</v>
      </c>
      <c r="Z1705" s="27" t="str">
        <f>IF(C1705&lt;=_xll.RssMarket(A1705,"年初来安値"),"○","×")</f>
        <v>○</v>
      </c>
    </row>
    <row r="1706" spans="2:26" x14ac:dyDescent="0.55000000000000004">
      <c r="B1706" s="20" t="str">
        <f>_xll.RssMarket(A1706,"銘柄名称")</f>
        <v/>
      </c>
      <c r="C1706" s="21" t="str">
        <f>_xll.RssMarket(A1706,"現在値")</f>
        <v/>
      </c>
      <c r="D1706" s="20" t="str">
        <f>_xll.RssMarket(A1706,"現在値詳細時刻")</f>
        <v/>
      </c>
      <c r="E1706" s="22" t="str">
        <f>_xll.RssMarket(A1706,"前日比")</f>
        <v/>
      </c>
      <c r="F1706" s="23" t="e">
        <f>_xll.RssMarket(A1706,"前日比率")/100</f>
        <v>#VALUE!</v>
      </c>
      <c r="G1706" s="24" t="str">
        <f>IFERROR(VLOOKUP(A1706,取得元!$A$2:$F$501,2,FALSE),"-")</f>
        <v>-</v>
      </c>
      <c r="H1706" s="24" t="str">
        <f>IFERROR(VLOOKUP(A1706,取得元!$A$2:$F$501,3,FALSE),"-")</f>
        <v>-</v>
      </c>
      <c r="I1706" s="24" t="str">
        <f>IFERROR(VLOOKUP(A1706,取得元!$A$2:$F$501,4,FALSE),"-")</f>
        <v>-</v>
      </c>
      <c r="J1706" s="5" t="str">
        <f>IFERROR(VLOOKUP(A1706,取得元!$A$2:$F$501,5,FALSE),"-")</f>
        <v>-</v>
      </c>
      <c r="K1706" s="25" t="str">
        <f>IFERROR(VLOOKUP(A1706,取得元!$A$2:$F$501,6,FALSE)/100,"-")</f>
        <v>-</v>
      </c>
      <c r="L1706" s="21" t="str">
        <f>_xll.RssMarket(A1706,"始値")</f>
        <v/>
      </c>
      <c r="M1706" s="4" t="e">
        <f t="shared" si="145"/>
        <v>#VALUE!</v>
      </c>
      <c r="N1706" s="21" t="str">
        <f>_xll.RssMarket(A1706,"高値")</f>
        <v/>
      </c>
      <c r="O1706" s="4" t="e">
        <f t="shared" si="146"/>
        <v>#VALUE!</v>
      </c>
      <c r="P1706" s="21" t="str">
        <f>_xll.RssMarket(A1706,"安値")</f>
        <v/>
      </c>
      <c r="Q1706" s="4" t="e">
        <f t="shared" si="147"/>
        <v>#VALUE!</v>
      </c>
      <c r="R1706" s="21" t="str">
        <f>_xll.RssMarket(A1706,"後場始値")</f>
        <v/>
      </c>
      <c r="S1706" s="25" t="str">
        <f t="shared" si="148"/>
        <v>-</v>
      </c>
      <c r="T1706" s="7" t="str">
        <f>_xll.RssMarket(A1706,"出来高加重平均")</f>
        <v/>
      </c>
      <c r="U1706" s="4" t="e">
        <f t="shared" si="149"/>
        <v>#VALUE!</v>
      </c>
      <c r="V1706" s="21" t="str">
        <f>_xll.RssMarket(A1706,"出来高")</f>
        <v/>
      </c>
      <c r="W1706" s="21" t="str">
        <f>_xll.RssMarket(A1706,"売買代金")</f>
        <v/>
      </c>
      <c r="X1706" s="20" t="str">
        <f>_xll.RssMarket(A1706,"決算発表日")</f>
        <v/>
      </c>
      <c r="Y1706" s="26" t="str">
        <f>IF(C1706&gt;_xll.RssMarket(A1706,"年初来高値"),"○","×")</f>
        <v>×</v>
      </c>
      <c r="Z1706" s="27" t="str">
        <f>IF(C1706&lt;=_xll.RssMarket(A1706,"年初来安値"),"○","×")</f>
        <v>○</v>
      </c>
    </row>
    <row r="1707" spans="2:26" x14ac:dyDescent="0.55000000000000004">
      <c r="B1707" s="20" t="str">
        <f>_xll.RssMarket(A1707,"銘柄名称")</f>
        <v/>
      </c>
      <c r="C1707" s="21" t="str">
        <f>_xll.RssMarket(A1707,"現在値")</f>
        <v/>
      </c>
      <c r="D1707" s="20" t="str">
        <f>_xll.RssMarket(A1707,"現在値詳細時刻")</f>
        <v/>
      </c>
      <c r="E1707" s="22" t="str">
        <f>_xll.RssMarket(A1707,"前日比")</f>
        <v/>
      </c>
      <c r="F1707" s="23" t="e">
        <f>_xll.RssMarket(A1707,"前日比率")/100</f>
        <v>#VALUE!</v>
      </c>
      <c r="G1707" s="24" t="str">
        <f>IFERROR(VLOOKUP(A1707,取得元!$A$2:$F$501,2,FALSE),"-")</f>
        <v>-</v>
      </c>
      <c r="H1707" s="24" t="str">
        <f>IFERROR(VLOOKUP(A1707,取得元!$A$2:$F$501,3,FALSE),"-")</f>
        <v>-</v>
      </c>
      <c r="I1707" s="24" t="str">
        <f>IFERROR(VLOOKUP(A1707,取得元!$A$2:$F$501,4,FALSE),"-")</f>
        <v>-</v>
      </c>
      <c r="J1707" s="5" t="str">
        <f>IFERROR(VLOOKUP(A1707,取得元!$A$2:$F$501,5,FALSE),"-")</f>
        <v>-</v>
      </c>
      <c r="K1707" s="25" t="str">
        <f>IFERROR(VLOOKUP(A1707,取得元!$A$2:$F$501,6,FALSE)/100,"-")</f>
        <v>-</v>
      </c>
      <c r="L1707" s="21" t="str">
        <f>_xll.RssMarket(A1707,"始値")</f>
        <v/>
      </c>
      <c r="M1707" s="4" t="e">
        <f t="shared" si="145"/>
        <v>#VALUE!</v>
      </c>
      <c r="N1707" s="21" t="str">
        <f>_xll.RssMarket(A1707,"高値")</f>
        <v/>
      </c>
      <c r="O1707" s="4" t="e">
        <f t="shared" si="146"/>
        <v>#VALUE!</v>
      </c>
      <c r="P1707" s="21" t="str">
        <f>_xll.RssMarket(A1707,"安値")</f>
        <v/>
      </c>
      <c r="Q1707" s="4" t="e">
        <f t="shared" si="147"/>
        <v>#VALUE!</v>
      </c>
      <c r="R1707" s="21" t="str">
        <f>_xll.RssMarket(A1707,"後場始値")</f>
        <v/>
      </c>
      <c r="S1707" s="25" t="str">
        <f t="shared" si="148"/>
        <v>-</v>
      </c>
      <c r="T1707" s="7" t="str">
        <f>_xll.RssMarket(A1707,"出来高加重平均")</f>
        <v/>
      </c>
      <c r="U1707" s="4" t="e">
        <f t="shared" si="149"/>
        <v>#VALUE!</v>
      </c>
      <c r="V1707" s="21" t="str">
        <f>_xll.RssMarket(A1707,"出来高")</f>
        <v/>
      </c>
      <c r="W1707" s="21" t="str">
        <f>_xll.RssMarket(A1707,"売買代金")</f>
        <v/>
      </c>
      <c r="X1707" s="20" t="str">
        <f>_xll.RssMarket(A1707,"決算発表日")</f>
        <v/>
      </c>
      <c r="Y1707" s="26" t="str">
        <f>IF(C1707&gt;_xll.RssMarket(A1707,"年初来高値"),"○","×")</f>
        <v>×</v>
      </c>
      <c r="Z1707" s="27" t="str">
        <f>IF(C1707&lt;=_xll.RssMarket(A1707,"年初来安値"),"○","×")</f>
        <v>○</v>
      </c>
    </row>
    <row r="1708" spans="2:26" x14ac:dyDescent="0.55000000000000004">
      <c r="B1708" s="20" t="str">
        <f>_xll.RssMarket(A1708,"銘柄名称")</f>
        <v/>
      </c>
      <c r="C1708" s="21" t="str">
        <f>_xll.RssMarket(A1708,"現在値")</f>
        <v/>
      </c>
      <c r="D1708" s="20" t="str">
        <f>_xll.RssMarket(A1708,"現在値詳細時刻")</f>
        <v/>
      </c>
      <c r="E1708" s="22" t="str">
        <f>_xll.RssMarket(A1708,"前日比")</f>
        <v/>
      </c>
      <c r="F1708" s="23" t="e">
        <f>_xll.RssMarket(A1708,"前日比率")/100</f>
        <v>#VALUE!</v>
      </c>
      <c r="G1708" s="24" t="str">
        <f>IFERROR(VLOOKUP(A1708,取得元!$A$2:$F$501,2,FALSE),"-")</f>
        <v>-</v>
      </c>
      <c r="H1708" s="24" t="str">
        <f>IFERROR(VLOOKUP(A1708,取得元!$A$2:$F$501,3,FALSE),"-")</f>
        <v>-</v>
      </c>
      <c r="I1708" s="24" t="str">
        <f>IFERROR(VLOOKUP(A1708,取得元!$A$2:$F$501,4,FALSE),"-")</f>
        <v>-</v>
      </c>
      <c r="J1708" s="5" t="str">
        <f>IFERROR(VLOOKUP(A1708,取得元!$A$2:$F$501,5,FALSE),"-")</f>
        <v>-</v>
      </c>
      <c r="K1708" s="25" t="str">
        <f>IFERROR(VLOOKUP(A1708,取得元!$A$2:$F$501,6,FALSE)/100,"-")</f>
        <v>-</v>
      </c>
      <c r="L1708" s="21" t="str">
        <f>_xll.RssMarket(A1708,"始値")</f>
        <v/>
      </c>
      <c r="M1708" s="4" t="e">
        <f t="shared" si="145"/>
        <v>#VALUE!</v>
      </c>
      <c r="N1708" s="21" t="str">
        <f>_xll.RssMarket(A1708,"高値")</f>
        <v/>
      </c>
      <c r="O1708" s="4" t="e">
        <f t="shared" si="146"/>
        <v>#VALUE!</v>
      </c>
      <c r="P1708" s="21" t="str">
        <f>_xll.RssMarket(A1708,"安値")</f>
        <v/>
      </c>
      <c r="Q1708" s="4" t="e">
        <f t="shared" si="147"/>
        <v>#VALUE!</v>
      </c>
      <c r="R1708" s="21" t="str">
        <f>_xll.RssMarket(A1708,"後場始値")</f>
        <v/>
      </c>
      <c r="S1708" s="25" t="str">
        <f t="shared" si="148"/>
        <v>-</v>
      </c>
      <c r="T1708" s="7" t="str">
        <f>_xll.RssMarket(A1708,"出来高加重平均")</f>
        <v/>
      </c>
      <c r="U1708" s="4" t="e">
        <f t="shared" si="149"/>
        <v>#VALUE!</v>
      </c>
      <c r="V1708" s="21" t="str">
        <f>_xll.RssMarket(A1708,"出来高")</f>
        <v/>
      </c>
      <c r="W1708" s="21" t="str">
        <f>_xll.RssMarket(A1708,"売買代金")</f>
        <v/>
      </c>
      <c r="X1708" s="20" t="str">
        <f>_xll.RssMarket(A1708,"決算発表日")</f>
        <v/>
      </c>
      <c r="Y1708" s="26" t="str">
        <f>IF(C1708&gt;_xll.RssMarket(A1708,"年初来高値"),"○","×")</f>
        <v>×</v>
      </c>
      <c r="Z1708" s="27" t="str">
        <f>IF(C1708&lt;=_xll.RssMarket(A1708,"年初来安値"),"○","×")</f>
        <v>○</v>
      </c>
    </row>
    <row r="1709" spans="2:26" x14ac:dyDescent="0.55000000000000004">
      <c r="B1709" s="20" t="str">
        <f>_xll.RssMarket(A1709,"銘柄名称")</f>
        <v/>
      </c>
      <c r="C1709" s="21" t="str">
        <f>_xll.RssMarket(A1709,"現在値")</f>
        <v/>
      </c>
      <c r="D1709" s="20" t="str">
        <f>_xll.RssMarket(A1709,"現在値詳細時刻")</f>
        <v/>
      </c>
      <c r="E1709" s="22" t="str">
        <f>_xll.RssMarket(A1709,"前日比")</f>
        <v/>
      </c>
      <c r="F1709" s="23" t="e">
        <f>_xll.RssMarket(A1709,"前日比率")/100</f>
        <v>#VALUE!</v>
      </c>
      <c r="G1709" s="24" t="str">
        <f>IFERROR(VLOOKUP(A1709,取得元!$A$2:$F$501,2,FALSE),"-")</f>
        <v>-</v>
      </c>
      <c r="H1709" s="24" t="str">
        <f>IFERROR(VLOOKUP(A1709,取得元!$A$2:$F$501,3,FALSE),"-")</f>
        <v>-</v>
      </c>
      <c r="I1709" s="24" t="str">
        <f>IFERROR(VLOOKUP(A1709,取得元!$A$2:$F$501,4,FALSE),"-")</f>
        <v>-</v>
      </c>
      <c r="J1709" s="5" t="str">
        <f>IFERROR(VLOOKUP(A1709,取得元!$A$2:$F$501,5,FALSE),"-")</f>
        <v>-</v>
      </c>
      <c r="K1709" s="25" t="str">
        <f>IFERROR(VLOOKUP(A1709,取得元!$A$2:$F$501,6,FALSE)/100,"-")</f>
        <v>-</v>
      </c>
      <c r="L1709" s="21" t="str">
        <f>_xll.RssMarket(A1709,"始値")</f>
        <v/>
      </c>
      <c r="M1709" s="4" t="e">
        <f t="shared" si="145"/>
        <v>#VALUE!</v>
      </c>
      <c r="N1709" s="21" t="str">
        <f>_xll.RssMarket(A1709,"高値")</f>
        <v/>
      </c>
      <c r="O1709" s="4" t="e">
        <f t="shared" si="146"/>
        <v>#VALUE!</v>
      </c>
      <c r="P1709" s="21" t="str">
        <f>_xll.RssMarket(A1709,"安値")</f>
        <v/>
      </c>
      <c r="Q1709" s="4" t="e">
        <f t="shared" si="147"/>
        <v>#VALUE!</v>
      </c>
      <c r="R1709" s="21" t="str">
        <f>_xll.RssMarket(A1709,"後場始値")</f>
        <v/>
      </c>
      <c r="S1709" s="25" t="str">
        <f t="shared" si="148"/>
        <v>-</v>
      </c>
      <c r="T1709" s="7" t="str">
        <f>_xll.RssMarket(A1709,"出来高加重平均")</f>
        <v/>
      </c>
      <c r="U1709" s="4" t="e">
        <f t="shared" si="149"/>
        <v>#VALUE!</v>
      </c>
      <c r="V1709" s="21" t="str">
        <f>_xll.RssMarket(A1709,"出来高")</f>
        <v/>
      </c>
      <c r="W1709" s="21" t="str">
        <f>_xll.RssMarket(A1709,"売買代金")</f>
        <v/>
      </c>
      <c r="X1709" s="20" t="str">
        <f>_xll.RssMarket(A1709,"決算発表日")</f>
        <v/>
      </c>
      <c r="Y1709" s="26" t="str">
        <f>IF(C1709&gt;_xll.RssMarket(A1709,"年初来高値"),"○","×")</f>
        <v>×</v>
      </c>
      <c r="Z1709" s="27" t="str">
        <f>IF(C1709&lt;=_xll.RssMarket(A1709,"年初来安値"),"○","×")</f>
        <v>○</v>
      </c>
    </row>
    <row r="1710" spans="2:26" x14ac:dyDescent="0.55000000000000004">
      <c r="B1710" s="20" t="str">
        <f>_xll.RssMarket(A1710,"銘柄名称")</f>
        <v/>
      </c>
      <c r="C1710" s="21" t="str">
        <f>_xll.RssMarket(A1710,"現在値")</f>
        <v/>
      </c>
      <c r="D1710" s="20" t="str">
        <f>_xll.RssMarket(A1710,"現在値詳細時刻")</f>
        <v/>
      </c>
      <c r="E1710" s="22" t="str">
        <f>_xll.RssMarket(A1710,"前日比")</f>
        <v/>
      </c>
      <c r="F1710" s="23" t="e">
        <f>_xll.RssMarket(A1710,"前日比率")/100</f>
        <v>#VALUE!</v>
      </c>
      <c r="G1710" s="24" t="str">
        <f>IFERROR(VLOOKUP(A1710,取得元!$A$2:$F$501,2,FALSE),"-")</f>
        <v>-</v>
      </c>
      <c r="H1710" s="24" t="str">
        <f>IFERROR(VLOOKUP(A1710,取得元!$A$2:$F$501,3,FALSE),"-")</f>
        <v>-</v>
      </c>
      <c r="I1710" s="24" t="str">
        <f>IFERROR(VLOOKUP(A1710,取得元!$A$2:$F$501,4,FALSE),"-")</f>
        <v>-</v>
      </c>
      <c r="J1710" s="5" t="str">
        <f>IFERROR(VLOOKUP(A1710,取得元!$A$2:$F$501,5,FALSE),"-")</f>
        <v>-</v>
      </c>
      <c r="K1710" s="25" t="str">
        <f>IFERROR(VLOOKUP(A1710,取得元!$A$2:$F$501,6,FALSE)/100,"-")</f>
        <v>-</v>
      </c>
      <c r="L1710" s="21" t="str">
        <f>_xll.RssMarket(A1710,"始値")</f>
        <v/>
      </c>
      <c r="M1710" s="4" t="e">
        <f t="shared" si="145"/>
        <v>#VALUE!</v>
      </c>
      <c r="N1710" s="21" t="str">
        <f>_xll.RssMarket(A1710,"高値")</f>
        <v/>
      </c>
      <c r="O1710" s="4" t="e">
        <f t="shared" si="146"/>
        <v>#VALUE!</v>
      </c>
      <c r="P1710" s="21" t="str">
        <f>_xll.RssMarket(A1710,"安値")</f>
        <v/>
      </c>
      <c r="Q1710" s="4" t="e">
        <f t="shared" si="147"/>
        <v>#VALUE!</v>
      </c>
      <c r="R1710" s="21" t="str">
        <f>_xll.RssMarket(A1710,"後場始値")</f>
        <v/>
      </c>
      <c r="S1710" s="25" t="str">
        <f t="shared" si="148"/>
        <v>-</v>
      </c>
      <c r="T1710" s="7" t="str">
        <f>_xll.RssMarket(A1710,"出来高加重平均")</f>
        <v/>
      </c>
      <c r="U1710" s="4" t="e">
        <f t="shared" si="149"/>
        <v>#VALUE!</v>
      </c>
      <c r="V1710" s="21" t="str">
        <f>_xll.RssMarket(A1710,"出来高")</f>
        <v/>
      </c>
      <c r="W1710" s="21" t="str">
        <f>_xll.RssMarket(A1710,"売買代金")</f>
        <v/>
      </c>
      <c r="X1710" s="20" t="str">
        <f>_xll.RssMarket(A1710,"決算発表日")</f>
        <v/>
      </c>
      <c r="Y1710" s="26" t="str">
        <f>IF(C1710&gt;_xll.RssMarket(A1710,"年初来高値"),"○","×")</f>
        <v>×</v>
      </c>
      <c r="Z1710" s="27" t="str">
        <f>IF(C1710&lt;=_xll.RssMarket(A1710,"年初来安値"),"○","×")</f>
        <v>○</v>
      </c>
    </row>
    <row r="1711" spans="2:26" x14ac:dyDescent="0.55000000000000004">
      <c r="B1711" s="20" t="str">
        <f>_xll.RssMarket(A1711,"銘柄名称")</f>
        <v/>
      </c>
      <c r="C1711" s="21" t="str">
        <f>_xll.RssMarket(A1711,"現在値")</f>
        <v/>
      </c>
      <c r="D1711" s="20" t="str">
        <f>_xll.RssMarket(A1711,"現在値詳細時刻")</f>
        <v/>
      </c>
      <c r="E1711" s="22" t="str">
        <f>_xll.RssMarket(A1711,"前日比")</f>
        <v/>
      </c>
      <c r="F1711" s="23" t="e">
        <f>_xll.RssMarket(A1711,"前日比率")/100</f>
        <v>#VALUE!</v>
      </c>
      <c r="G1711" s="24" t="str">
        <f>IFERROR(VLOOKUP(A1711,取得元!$A$2:$F$501,2,FALSE),"-")</f>
        <v>-</v>
      </c>
      <c r="H1711" s="24" t="str">
        <f>IFERROR(VLOOKUP(A1711,取得元!$A$2:$F$501,3,FALSE),"-")</f>
        <v>-</v>
      </c>
      <c r="I1711" s="24" t="str">
        <f>IFERROR(VLOOKUP(A1711,取得元!$A$2:$F$501,4,FALSE),"-")</f>
        <v>-</v>
      </c>
      <c r="J1711" s="5" t="str">
        <f>IFERROR(VLOOKUP(A1711,取得元!$A$2:$F$501,5,FALSE),"-")</f>
        <v>-</v>
      </c>
      <c r="K1711" s="25" t="str">
        <f>IFERROR(VLOOKUP(A1711,取得元!$A$2:$F$501,6,FALSE)/100,"-")</f>
        <v>-</v>
      </c>
      <c r="L1711" s="21" t="str">
        <f>_xll.RssMarket(A1711,"始値")</f>
        <v/>
      </c>
      <c r="M1711" s="4" t="e">
        <f t="shared" si="145"/>
        <v>#VALUE!</v>
      </c>
      <c r="N1711" s="21" t="str">
        <f>_xll.RssMarket(A1711,"高値")</f>
        <v/>
      </c>
      <c r="O1711" s="4" t="e">
        <f t="shared" si="146"/>
        <v>#VALUE!</v>
      </c>
      <c r="P1711" s="21" t="str">
        <f>_xll.RssMarket(A1711,"安値")</f>
        <v/>
      </c>
      <c r="Q1711" s="4" t="e">
        <f t="shared" si="147"/>
        <v>#VALUE!</v>
      </c>
      <c r="R1711" s="21" t="str">
        <f>_xll.RssMarket(A1711,"後場始値")</f>
        <v/>
      </c>
      <c r="S1711" s="25" t="str">
        <f t="shared" si="148"/>
        <v>-</v>
      </c>
      <c r="T1711" s="7" t="str">
        <f>_xll.RssMarket(A1711,"出来高加重平均")</f>
        <v/>
      </c>
      <c r="U1711" s="4" t="e">
        <f t="shared" si="149"/>
        <v>#VALUE!</v>
      </c>
      <c r="V1711" s="21" t="str">
        <f>_xll.RssMarket(A1711,"出来高")</f>
        <v/>
      </c>
      <c r="W1711" s="21" t="str">
        <f>_xll.RssMarket(A1711,"売買代金")</f>
        <v/>
      </c>
      <c r="X1711" s="20" t="str">
        <f>_xll.RssMarket(A1711,"決算発表日")</f>
        <v/>
      </c>
      <c r="Y1711" s="26" t="str">
        <f>IF(C1711&gt;_xll.RssMarket(A1711,"年初来高値"),"○","×")</f>
        <v>×</v>
      </c>
      <c r="Z1711" s="27" t="str">
        <f>IF(C1711&lt;=_xll.RssMarket(A1711,"年初来安値"),"○","×")</f>
        <v>○</v>
      </c>
    </row>
    <row r="1712" spans="2:26" x14ac:dyDescent="0.55000000000000004">
      <c r="B1712" s="20" t="str">
        <f>_xll.RssMarket(A1712,"銘柄名称")</f>
        <v/>
      </c>
      <c r="C1712" s="21" t="str">
        <f>_xll.RssMarket(A1712,"現在値")</f>
        <v/>
      </c>
      <c r="D1712" s="20" t="str">
        <f>_xll.RssMarket(A1712,"現在値詳細時刻")</f>
        <v/>
      </c>
      <c r="E1712" s="22" t="str">
        <f>_xll.RssMarket(A1712,"前日比")</f>
        <v/>
      </c>
      <c r="F1712" s="23" t="e">
        <f>_xll.RssMarket(A1712,"前日比率")/100</f>
        <v>#VALUE!</v>
      </c>
      <c r="G1712" s="24" t="str">
        <f>IFERROR(VLOOKUP(A1712,取得元!$A$2:$F$501,2,FALSE),"-")</f>
        <v>-</v>
      </c>
      <c r="H1712" s="24" t="str">
        <f>IFERROR(VLOOKUP(A1712,取得元!$A$2:$F$501,3,FALSE),"-")</f>
        <v>-</v>
      </c>
      <c r="I1712" s="24" t="str">
        <f>IFERROR(VLOOKUP(A1712,取得元!$A$2:$F$501,4,FALSE),"-")</f>
        <v>-</v>
      </c>
      <c r="J1712" s="5" t="str">
        <f>IFERROR(VLOOKUP(A1712,取得元!$A$2:$F$501,5,FALSE),"-")</f>
        <v>-</v>
      </c>
      <c r="K1712" s="25" t="str">
        <f>IFERROR(VLOOKUP(A1712,取得元!$A$2:$F$501,6,FALSE)/100,"-")</f>
        <v>-</v>
      </c>
      <c r="L1712" s="21" t="str">
        <f>_xll.RssMarket(A1712,"始値")</f>
        <v/>
      </c>
      <c r="M1712" s="4" t="e">
        <f t="shared" si="145"/>
        <v>#VALUE!</v>
      </c>
      <c r="N1712" s="21" t="str">
        <f>_xll.RssMarket(A1712,"高値")</f>
        <v/>
      </c>
      <c r="O1712" s="4" t="e">
        <f t="shared" si="146"/>
        <v>#VALUE!</v>
      </c>
      <c r="P1712" s="21" t="str">
        <f>_xll.RssMarket(A1712,"安値")</f>
        <v/>
      </c>
      <c r="Q1712" s="4" t="e">
        <f t="shared" si="147"/>
        <v>#VALUE!</v>
      </c>
      <c r="R1712" s="21" t="str">
        <f>_xll.RssMarket(A1712,"後場始値")</f>
        <v/>
      </c>
      <c r="S1712" s="25" t="str">
        <f t="shared" si="148"/>
        <v>-</v>
      </c>
      <c r="T1712" s="7" t="str">
        <f>_xll.RssMarket(A1712,"出来高加重平均")</f>
        <v/>
      </c>
      <c r="U1712" s="4" t="e">
        <f t="shared" si="149"/>
        <v>#VALUE!</v>
      </c>
      <c r="V1712" s="21" t="str">
        <f>_xll.RssMarket(A1712,"出来高")</f>
        <v/>
      </c>
      <c r="W1712" s="21" t="str">
        <f>_xll.RssMarket(A1712,"売買代金")</f>
        <v/>
      </c>
      <c r="X1712" s="20" t="str">
        <f>_xll.RssMarket(A1712,"決算発表日")</f>
        <v/>
      </c>
      <c r="Y1712" s="26" t="str">
        <f>IF(C1712&gt;_xll.RssMarket(A1712,"年初来高値"),"○","×")</f>
        <v>×</v>
      </c>
      <c r="Z1712" s="27" t="str">
        <f>IF(C1712&lt;=_xll.RssMarket(A1712,"年初来安値"),"○","×")</f>
        <v>○</v>
      </c>
    </row>
    <row r="1713" spans="2:26" x14ac:dyDescent="0.55000000000000004">
      <c r="B1713" s="20" t="str">
        <f>_xll.RssMarket(A1713,"銘柄名称")</f>
        <v/>
      </c>
      <c r="C1713" s="21" t="str">
        <f>_xll.RssMarket(A1713,"現在値")</f>
        <v/>
      </c>
      <c r="D1713" s="20" t="str">
        <f>_xll.RssMarket(A1713,"現在値詳細時刻")</f>
        <v/>
      </c>
      <c r="E1713" s="22" t="str">
        <f>_xll.RssMarket(A1713,"前日比")</f>
        <v/>
      </c>
      <c r="F1713" s="23" t="e">
        <f>_xll.RssMarket(A1713,"前日比率")/100</f>
        <v>#VALUE!</v>
      </c>
      <c r="G1713" s="24" t="str">
        <f>IFERROR(VLOOKUP(A1713,取得元!$A$2:$F$501,2,FALSE),"-")</f>
        <v>-</v>
      </c>
      <c r="H1713" s="24" t="str">
        <f>IFERROR(VLOOKUP(A1713,取得元!$A$2:$F$501,3,FALSE),"-")</f>
        <v>-</v>
      </c>
      <c r="I1713" s="24" t="str">
        <f>IFERROR(VLOOKUP(A1713,取得元!$A$2:$F$501,4,FALSE),"-")</f>
        <v>-</v>
      </c>
      <c r="J1713" s="5" t="str">
        <f>IFERROR(VLOOKUP(A1713,取得元!$A$2:$F$501,5,FALSE),"-")</f>
        <v>-</v>
      </c>
      <c r="K1713" s="25" t="str">
        <f>IFERROR(VLOOKUP(A1713,取得元!$A$2:$F$501,6,FALSE)/100,"-")</f>
        <v>-</v>
      </c>
      <c r="L1713" s="21" t="str">
        <f>_xll.RssMarket(A1713,"始値")</f>
        <v/>
      </c>
      <c r="M1713" s="4" t="e">
        <f t="shared" si="145"/>
        <v>#VALUE!</v>
      </c>
      <c r="N1713" s="21" t="str">
        <f>_xll.RssMarket(A1713,"高値")</f>
        <v/>
      </c>
      <c r="O1713" s="4" t="e">
        <f t="shared" si="146"/>
        <v>#VALUE!</v>
      </c>
      <c r="P1713" s="21" t="str">
        <f>_xll.RssMarket(A1713,"安値")</f>
        <v/>
      </c>
      <c r="Q1713" s="4" t="e">
        <f t="shared" si="147"/>
        <v>#VALUE!</v>
      </c>
      <c r="R1713" s="21" t="str">
        <f>_xll.RssMarket(A1713,"後場始値")</f>
        <v/>
      </c>
      <c r="S1713" s="25" t="str">
        <f t="shared" si="148"/>
        <v>-</v>
      </c>
      <c r="T1713" s="7" t="str">
        <f>_xll.RssMarket(A1713,"出来高加重平均")</f>
        <v/>
      </c>
      <c r="U1713" s="4" t="e">
        <f t="shared" si="149"/>
        <v>#VALUE!</v>
      </c>
      <c r="V1713" s="21" t="str">
        <f>_xll.RssMarket(A1713,"出来高")</f>
        <v/>
      </c>
      <c r="W1713" s="21" t="str">
        <f>_xll.RssMarket(A1713,"売買代金")</f>
        <v/>
      </c>
      <c r="X1713" s="20" t="str">
        <f>_xll.RssMarket(A1713,"決算発表日")</f>
        <v/>
      </c>
      <c r="Y1713" s="26" t="str">
        <f>IF(C1713&gt;_xll.RssMarket(A1713,"年初来高値"),"○","×")</f>
        <v>×</v>
      </c>
      <c r="Z1713" s="27" t="str">
        <f>IF(C1713&lt;=_xll.RssMarket(A1713,"年初来安値"),"○","×")</f>
        <v>○</v>
      </c>
    </row>
    <row r="1714" spans="2:26" x14ac:dyDescent="0.55000000000000004">
      <c r="B1714" s="20" t="str">
        <f>_xll.RssMarket(A1714,"銘柄名称")</f>
        <v/>
      </c>
      <c r="C1714" s="21" t="str">
        <f>_xll.RssMarket(A1714,"現在値")</f>
        <v/>
      </c>
      <c r="D1714" s="20" t="str">
        <f>_xll.RssMarket(A1714,"現在値詳細時刻")</f>
        <v/>
      </c>
      <c r="E1714" s="22" t="str">
        <f>_xll.RssMarket(A1714,"前日比")</f>
        <v/>
      </c>
      <c r="F1714" s="23" t="e">
        <f>_xll.RssMarket(A1714,"前日比率")/100</f>
        <v>#VALUE!</v>
      </c>
      <c r="G1714" s="24" t="str">
        <f>IFERROR(VLOOKUP(A1714,取得元!$A$2:$F$501,2,FALSE),"-")</f>
        <v>-</v>
      </c>
      <c r="H1714" s="24" t="str">
        <f>IFERROR(VLOOKUP(A1714,取得元!$A$2:$F$501,3,FALSE),"-")</f>
        <v>-</v>
      </c>
      <c r="I1714" s="24" t="str">
        <f>IFERROR(VLOOKUP(A1714,取得元!$A$2:$F$501,4,FALSE),"-")</f>
        <v>-</v>
      </c>
      <c r="J1714" s="5" t="str">
        <f>IFERROR(VLOOKUP(A1714,取得元!$A$2:$F$501,5,FALSE),"-")</f>
        <v>-</v>
      </c>
      <c r="K1714" s="25" t="str">
        <f>IFERROR(VLOOKUP(A1714,取得元!$A$2:$F$501,6,FALSE)/100,"-")</f>
        <v>-</v>
      </c>
      <c r="L1714" s="21" t="str">
        <f>_xll.RssMarket(A1714,"始値")</f>
        <v/>
      </c>
      <c r="M1714" s="4" t="e">
        <f t="shared" si="145"/>
        <v>#VALUE!</v>
      </c>
      <c r="N1714" s="21" t="str">
        <f>_xll.RssMarket(A1714,"高値")</f>
        <v/>
      </c>
      <c r="O1714" s="4" t="e">
        <f t="shared" si="146"/>
        <v>#VALUE!</v>
      </c>
      <c r="P1714" s="21" t="str">
        <f>_xll.RssMarket(A1714,"安値")</f>
        <v/>
      </c>
      <c r="Q1714" s="4" t="e">
        <f t="shared" si="147"/>
        <v>#VALUE!</v>
      </c>
      <c r="R1714" s="21" t="str">
        <f>_xll.RssMarket(A1714,"後場始値")</f>
        <v/>
      </c>
      <c r="S1714" s="25" t="str">
        <f t="shared" si="148"/>
        <v>-</v>
      </c>
      <c r="T1714" s="7" t="str">
        <f>_xll.RssMarket(A1714,"出来高加重平均")</f>
        <v/>
      </c>
      <c r="U1714" s="4" t="e">
        <f t="shared" si="149"/>
        <v>#VALUE!</v>
      </c>
      <c r="V1714" s="21" t="str">
        <f>_xll.RssMarket(A1714,"出来高")</f>
        <v/>
      </c>
      <c r="W1714" s="21" t="str">
        <f>_xll.RssMarket(A1714,"売買代金")</f>
        <v/>
      </c>
      <c r="X1714" s="20" t="str">
        <f>_xll.RssMarket(A1714,"決算発表日")</f>
        <v/>
      </c>
      <c r="Y1714" s="26" t="str">
        <f>IF(C1714&gt;_xll.RssMarket(A1714,"年初来高値"),"○","×")</f>
        <v>×</v>
      </c>
      <c r="Z1714" s="27" t="str">
        <f>IF(C1714&lt;=_xll.RssMarket(A1714,"年初来安値"),"○","×")</f>
        <v>○</v>
      </c>
    </row>
    <row r="1715" spans="2:26" x14ac:dyDescent="0.55000000000000004">
      <c r="B1715" s="20" t="str">
        <f>_xll.RssMarket(A1715,"銘柄名称")</f>
        <v/>
      </c>
      <c r="C1715" s="21" t="str">
        <f>_xll.RssMarket(A1715,"現在値")</f>
        <v/>
      </c>
      <c r="D1715" s="20" t="str">
        <f>_xll.RssMarket(A1715,"現在値詳細時刻")</f>
        <v/>
      </c>
      <c r="E1715" s="22" t="str">
        <f>_xll.RssMarket(A1715,"前日比")</f>
        <v/>
      </c>
      <c r="F1715" s="23" t="e">
        <f>_xll.RssMarket(A1715,"前日比率")/100</f>
        <v>#VALUE!</v>
      </c>
      <c r="G1715" s="24" t="str">
        <f>IFERROR(VLOOKUP(A1715,取得元!$A$2:$F$501,2,FALSE),"-")</f>
        <v>-</v>
      </c>
      <c r="H1715" s="24" t="str">
        <f>IFERROR(VLOOKUP(A1715,取得元!$A$2:$F$501,3,FALSE),"-")</f>
        <v>-</v>
      </c>
      <c r="I1715" s="24" t="str">
        <f>IFERROR(VLOOKUP(A1715,取得元!$A$2:$F$501,4,FALSE),"-")</f>
        <v>-</v>
      </c>
      <c r="J1715" s="5" t="str">
        <f>IFERROR(VLOOKUP(A1715,取得元!$A$2:$F$501,5,FALSE),"-")</f>
        <v>-</v>
      </c>
      <c r="K1715" s="25" t="str">
        <f>IFERROR(VLOOKUP(A1715,取得元!$A$2:$F$501,6,FALSE)/100,"-")</f>
        <v>-</v>
      </c>
      <c r="L1715" s="21" t="str">
        <f>_xll.RssMarket(A1715,"始値")</f>
        <v/>
      </c>
      <c r="M1715" s="4" t="e">
        <f t="shared" si="145"/>
        <v>#VALUE!</v>
      </c>
      <c r="N1715" s="21" t="str">
        <f>_xll.RssMarket(A1715,"高値")</f>
        <v/>
      </c>
      <c r="O1715" s="4" t="e">
        <f t="shared" si="146"/>
        <v>#VALUE!</v>
      </c>
      <c r="P1715" s="21" t="str">
        <f>_xll.RssMarket(A1715,"安値")</f>
        <v/>
      </c>
      <c r="Q1715" s="4" t="e">
        <f t="shared" si="147"/>
        <v>#VALUE!</v>
      </c>
      <c r="R1715" s="21" t="str">
        <f>_xll.RssMarket(A1715,"後場始値")</f>
        <v/>
      </c>
      <c r="S1715" s="25" t="str">
        <f t="shared" si="148"/>
        <v>-</v>
      </c>
      <c r="T1715" s="7" t="str">
        <f>_xll.RssMarket(A1715,"出来高加重平均")</f>
        <v/>
      </c>
      <c r="U1715" s="4" t="e">
        <f t="shared" si="149"/>
        <v>#VALUE!</v>
      </c>
      <c r="V1715" s="21" t="str">
        <f>_xll.RssMarket(A1715,"出来高")</f>
        <v/>
      </c>
      <c r="W1715" s="21" t="str">
        <f>_xll.RssMarket(A1715,"売買代金")</f>
        <v/>
      </c>
      <c r="X1715" s="20" t="str">
        <f>_xll.RssMarket(A1715,"決算発表日")</f>
        <v/>
      </c>
      <c r="Y1715" s="26" t="str">
        <f>IF(C1715&gt;_xll.RssMarket(A1715,"年初来高値"),"○","×")</f>
        <v>×</v>
      </c>
      <c r="Z1715" s="27" t="str">
        <f>IF(C1715&lt;=_xll.RssMarket(A1715,"年初来安値"),"○","×")</f>
        <v>○</v>
      </c>
    </row>
    <row r="1716" spans="2:26" x14ac:dyDescent="0.55000000000000004">
      <c r="B1716" s="20" t="str">
        <f>_xll.RssMarket(A1716,"銘柄名称")</f>
        <v/>
      </c>
      <c r="C1716" s="21" t="str">
        <f>_xll.RssMarket(A1716,"現在値")</f>
        <v/>
      </c>
      <c r="D1716" s="20" t="str">
        <f>_xll.RssMarket(A1716,"現在値詳細時刻")</f>
        <v/>
      </c>
      <c r="E1716" s="22" t="str">
        <f>_xll.RssMarket(A1716,"前日比")</f>
        <v/>
      </c>
      <c r="F1716" s="23" t="e">
        <f>_xll.RssMarket(A1716,"前日比率")/100</f>
        <v>#VALUE!</v>
      </c>
      <c r="G1716" s="24" t="str">
        <f>IFERROR(VLOOKUP(A1716,取得元!$A$2:$F$501,2,FALSE),"-")</f>
        <v>-</v>
      </c>
      <c r="H1716" s="24" t="str">
        <f>IFERROR(VLOOKUP(A1716,取得元!$A$2:$F$501,3,FALSE),"-")</f>
        <v>-</v>
      </c>
      <c r="I1716" s="24" t="str">
        <f>IFERROR(VLOOKUP(A1716,取得元!$A$2:$F$501,4,FALSE),"-")</f>
        <v>-</v>
      </c>
      <c r="J1716" s="5" t="str">
        <f>IFERROR(VLOOKUP(A1716,取得元!$A$2:$F$501,5,FALSE),"-")</f>
        <v>-</v>
      </c>
      <c r="K1716" s="25" t="str">
        <f>IFERROR(VLOOKUP(A1716,取得元!$A$2:$F$501,6,FALSE)/100,"-")</f>
        <v>-</v>
      </c>
      <c r="L1716" s="21" t="str">
        <f>_xll.RssMarket(A1716,"始値")</f>
        <v/>
      </c>
      <c r="M1716" s="4" t="e">
        <f t="shared" si="145"/>
        <v>#VALUE!</v>
      </c>
      <c r="N1716" s="21" t="str">
        <f>_xll.RssMarket(A1716,"高値")</f>
        <v/>
      </c>
      <c r="O1716" s="4" t="e">
        <f t="shared" si="146"/>
        <v>#VALUE!</v>
      </c>
      <c r="P1716" s="21" t="str">
        <f>_xll.RssMarket(A1716,"安値")</f>
        <v/>
      </c>
      <c r="Q1716" s="4" t="e">
        <f t="shared" si="147"/>
        <v>#VALUE!</v>
      </c>
      <c r="R1716" s="21" t="str">
        <f>_xll.RssMarket(A1716,"後場始値")</f>
        <v/>
      </c>
      <c r="S1716" s="25" t="str">
        <f t="shared" si="148"/>
        <v>-</v>
      </c>
      <c r="T1716" s="7" t="str">
        <f>_xll.RssMarket(A1716,"出来高加重平均")</f>
        <v/>
      </c>
      <c r="U1716" s="4" t="e">
        <f t="shared" si="149"/>
        <v>#VALUE!</v>
      </c>
      <c r="V1716" s="21" t="str">
        <f>_xll.RssMarket(A1716,"出来高")</f>
        <v/>
      </c>
      <c r="W1716" s="21" t="str">
        <f>_xll.RssMarket(A1716,"売買代金")</f>
        <v/>
      </c>
      <c r="X1716" s="20" t="str">
        <f>_xll.RssMarket(A1716,"決算発表日")</f>
        <v/>
      </c>
      <c r="Y1716" s="26" t="str">
        <f>IF(C1716&gt;_xll.RssMarket(A1716,"年初来高値"),"○","×")</f>
        <v>×</v>
      </c>
      <c r="Z1716" s="27" t="str">
        <f>IF(C1716&lt;=_xll.RssMarket(A1716,"年初来安値"),"○","×")</f>
        <v>○</v>
      </c>
    </row>
    <row r="1717" spans="2:26" x14ac:dyDescent="0.55000000000000004">
      <c r="B1717" s="20" t="str">
        <f>_xll.RssMarket(A1717,"銘柄名称")</f>
        <v/>
      </c>
      <c r="C1717" s="21" t="str">
        <f>_xll.RssMarket(A1717,"現在値")</f>
        <v/>
      </c>
      <c r="D1717" s="20" t="str">
        <f>_xll.RssMarket(A1717,"現在値詳細時刻")</f>
        <v/>
      </c>
      <c r="E1717" s="22" t="str">
        <f>_xll.RssMarket(A1717,"前日比")</f>
        <v/>
      </c>
      <c r="F1717" s="23" t="e">
        <f>_xll.RssMarket(A1717,"前日比率")/100</f>
        <v>#VALUE!</v>
      </c>
      <c r="G1717" s="24" t="str">
        <f>IFERROR(VLOOKUP(A1717,取得元!$A$2:$F$501,2,FALSE),"-")</f>
        <v>-</v>
      </c>
      <c r="H1717" s="24" t="str">
        <f>IFERROR(VLOOKUP(A1717,取得元!$A$2:$F$501,3,FALSE),"-")</f>
        <v>-</v>
      </c>
      <c r="I1717" s="24" t="str">
        <f>IFERROR(VLOOKUP(A1717,取得元!$A$2:$F$501,4,FALSE),"-")</f>
        <v>-</v>
      </c>
      <c r="J1717" s="5" t="str">
        <f>IFERROR(VLOOKUP(A1717,取得元!$A$2:$F$501,5,FALSE),"-")</f>
        <v>-</v>
      </c>
      <c r="K1717" s="25" t="str">
        <f>IFERROR(VLOOKUP(A1717,取得元!$A$2:$F$501,6,FALSE)/100,"-")</f>
        <v>-</v>
      </c>
      <c r="L1717" s="21" t="str">
        <f>_xll.RssMarket(A1717,"始値")</f>
        <v/>
      </c>
      <c r="M1717" s="4" t="e">
        <f t="shared" si="145"/>
        <v>#VALUE!</v>
      </c>
      <c r="N1717" s="21" t="str">
        <f>_xll.RssMarket(A1717,"高値")</f>
        <v/>
      </c>
      <c r="O1717" s="4" t="e">
        <f t="shared" si="146"/>
        <v>#VALUE!</v>
      </c>
      <c r="P1717" s="21" t="str">
        <f>_xll.RssMarket(A1717,"安値")</f>
        <v/>
      </c>
      <c r="Q1717" s="4" t="e">
        <f t="shared" si="147"/>
        <v>#VALUE!</v>
      </c>
      <c r="R1717" s="21" t="str">
        <f>_xll.RssMarket(A1717,"後場始値")</f>
        <v/>
      </c>
      <c r="S1717" s="25" t="str">
        <f t="shared" si="148"/>
        <v>-</v>
      </c>
      <c r="T1717" s="7" t="str">
        <f>_xll.RssMarket(A1717,"出来高加重平均")</f>
        <v/>
      </c>
      <c r="U1717" s="4" t="e">
        <f t="shared" si="149"/>
        <v>#VALUE!</v>
      </c>
      <c r="V1717" s="21" t="str">
        <f>_xll.RssMarket(A1717,"出来高")</f>
        <v/>
      </c>
      <c r="W1717" s="21" t="str">
        <f>_xll.RssMarket(A1717,"売買代金")</f>
        <v/>
      </c>
      <c r="X1717" s="20" t="str">
        <f>_xll.RssMarket(A1717,"決算発表日")</f>
        <v/>
      </c>
      <c r="Y1717" s="26" t="str">
        <f>IF(C1717&gt;_xll.RssMarket(A1717,"年初来高値"),"○","×")</f>
        <v>×</v>
      </c>
      <c r="Z1717" s="27" t="str">
        <f>IF(C1717&lt;=_xll.RssMarket(A1717,"年初来安値"),"○","×")</f>
        <v>○</v>
      </c>
    </row>
    <row r="1718" spans="2:26" x14ac:dyDescent="0.55000000000000004">
      <c r="B1718" s="20" t="str">
        <f>_xll.RssMarket(A1718,"銘柄名称")</f>
        <v/>
      </c>
      <c r="C1718" s="21" t="str">
        <f>_xll.RssMarket(A1718,"現在値")</f>
        <v/>
      </c>
      <c r="D1718" s="20" t="str">
        <f>_xll.RssMarket(A1718,"現在値詳細時刻")</f>
        <v/>
      </c>
      <c r="E1718" s="22" t="str">
        <f>_xll.RssMarket(A1718,"前日比")</f>
        <v/>
      </c>
      <c r="F1718" s="23" t="e">
        <f>_xll.RssMarket(A1718,"前日比率")/100</f>
        <v>#VALUE!</v>
      </c>
      <c r="G1718" s="24" t="str">
        <f>IFERROR(VLOOKUP(A1718,取得元!$A$2:$F$501,2,FALSE),"-")</f>
        <v>-</v>
      </c>
      <c r="H1718" s="24" t="str">
        <f>IFERROR(VLOOKUP(A1718,取得元!$A$2:$F$501,3,FALSE),"-")</f>
        <v>-</v>
      </c>
      <c r="I1718" s="24" t="str">
        <f>IFERROR(VLOOKUP(A1718,取得元!$A$2:$F$501,4,FALSE),"-")</f>
        <v>-</v>
      </c>
      <c r="J1718" s="5" t="str">
        <f>IFERROR(VLOOKUP(A1718,取得元!$A$2:$F$501,5,FALSE),"-")</f>
        <v>-</v>
      </c>
      <c r="K1718" s="25" t="str">
        <f>IFERROR(VLOOKUP(A1718,取得元!$A$2:$F$501,6,FALSE)/100,"-")</f>
        <v>-</v>
      </c>
      <c r="L1718" s="21" t="str">
        <f>_xll.RssMarket(A1718,"始値")</f>
        <v/>
      </c>
      <c r="M1718" s="4" t="e">
        <f t="shared" si="145"/>
        <v>#VALUE!</v>
      </c>
      <c r="N1718" s="21" t="str">
        <f>_xll.RssMarket(A1718,"高値")</f>
        <v/>
      </c>
      <c r="O1718" s="4" t="e">
        <f t="shared" si="146"/>
        <v>#VALUE!</v>
      </c>
      <c r="P1718" s="21" t="str">
        <f>_xll.RssMarket(A1718,"安値")</f>
        <v/>
      </c>
      <c r="Q1718" s="4" t="e">
        <f t="shared" si="147"/>
        <v>#VALUE!</v>
      </c>
      <c r="R1718" s="21" t="str">
        <f>_xll.RssMarket(A1718,"後場始値")</f>
        <v/>
      </c>
      <c r="S1718" s="25" t="str">
        <f t="shared" si="148"/>
        <v>-</v>
      </c>
      <c r="T1718" s="7" t="str">
        <f>_xll.RssMarket(A1718,"出来高加重平均")</f>
        <v/>
      </c>
      <c r="U1718" s="4" t="e">
        <f t="shared" si="149"/>
        <v>#VALUE!</v>
      </c>
      <c r="V1718" s="21" t="str">
        <f>_xll.RssMarket(A1718,"出来高")</f>
        <v/>
      </c>
      <c r="W1718" s="21" t="str">
        <f>_xll.RssMarket(A1718,"売買代金")</f>
        <v/>
      </c>
      <c r="X1718" s="20" t="str">
        <f>_xll.RssMarket(A1718,"決算発表日")</f>
        <v/>
      </c>
      <c r="Y1718" s="26" t="str">
        <f>IF(C1718&gt;_xll.RssMarket(A1718,"年初来高値"),"○","×")</f>
        <v>×</v>
      </c>
      <c r="Z1718" s="27" t="str">
        <f>IF(C1718&lt;=_xll.RssMarket(A1718,"年初来安値"),"○","×")</f>
        <v>○</v>
      </c>
    </row>
    <row r="1719" spans="2:26" x14ac:dyDescent="0.55000000000000004">
      <c r="B1719" s="20" t="str">
        <f>_xll.RssMarket(A1719,"銘柄名称")</f>
        <v/>
      </c>
      <c r="C1719" s="21" t="str">
        <f>_xll.RssMarket(A1719,"現在値")</f>
        <v/>
      </c>
      <c r="D1719" s="20" t="str">
        <f>_xll.RssMarket(A1719,"現在値詳細時刻")</f>
        <v/>
      </c>
      <c r="E1719" s="22" t="str">
        <f>_xll.RssMarket(A1719,"前日比")</f>
        <v/>
      </c>
      <c r="F1719" s="23" t="e">
        <f>_xll.RssMarket(A1719,"前日比率")/100</f>
        <v>#VALUE!</v>
      </c>
      <c r="G1719" s="24" t="str">
        <f>IFERROR(VLOOKUP(A1719,取得元!$A$2:$F$501,2,FALSE),"-")</f>
        <v>-</v>
      </c>
      <c r="H1719" s="24" t="str">
        <f>IFERROR(VLOOKUP(A1719,取得元!$A$2:$F$501,3,FALSE),"-")</f>
        <v>-</v>
      </c>
      <c r="I1719" s="24" t="str">
        <f>IFERROR(VLOOKUP(A1719,取得元!$A$2:$F$501,4,FALSE),"-")</f>
        <v>-</v>
      </c>
      <c r="J1719" s="5" t="str">
        <f>IFERROR(VLOOKUP(A1719,取得元!$A$2:$F$501,5,FALSE),"-")</f>
        <v>-</v>
      </c>
      <c r="K1719" s="25" t="str">
        <f>IFERROR(VLOOKUP(A1719,取得元!$A$2:$F$501,6,FALSE)/100,"-")</f>
        <v>-</v>
      </c>
      <c r="L1719" s="21" t="str">
        <f>_xll.RssMarket(A1719,"始値")</f>
        <v/>
      </c>
      <c r="M1719" s="4" t="e">
        <f t="shared" si="145"/>
        <v>#VALUE!</v>
      </c>
      <c r="N1719" s="21" t="str">
        <f>_xll.RssMarket(A1719,"高値")</f>
        <v/>
      </c>
      <c r="O1719" s="4" t="e">
        <f t="shared" si="146"/>
        <v>#VALUE!</v>
      </c>
      <c r="P1719" s="21" t="str">
        <f>_xll.RssMarket(A1719,"安値")</f>
        <v/>
      </c>
      <c r="Q1719" s="4" t="e">
        <f t="shared" si="147"/>
        <v>#VALUE!</v>
      </c>
      <c r="R1719" s="21" t="str">
        <f>_xll.RssMarket(A1719,"後場始値")</f>
        <v/>
      </c>
      <c r="S1719" s="25" t="str">
        <f t="shared" si="148"/>
        <v>-</v>
      </c>
      <c r="T1719" s="7" t="str">
        <f>_xll.RssMarket(A1719,"出来高加重平均")</f>
        <v/>
      </c>
      <c r="U1719" s="4" t="e">
        <f t="shared" si="149"/>
        <v>#VALUE!</v>
      </c>
      <c r="V1719" s="21" t="str">
        <f>_xll.RssMarket(A1719,"出来高")</f>
        <v/>
      </c>
      <c r="W1719" s="21" t="str">
        <f>_xll.RssMarket(A1719,"売買代金")</f>
        <v/>
      </c>
      <c r="X1719" s="20" t="str">
        <f>_xll.RssMarket(A1719,"決算発表日")</f>
        <v/>
      </c>
      <c r="Y1719" s="26" t="str">
        <f>IF(C1719&gt;_xll.RssMarket(A1719,"年初来高値"),"○","×")</f>
        <v>×</v>
      </c>
      <c r="Z1719" s="27" t="str">
        <f>IF(C1719&lt;=_xll.RssMarket(A1719,"年初来安値"),"○","×")</f>
        <v>○</v>
      </c>
    </row>
    <row r="1720" spans="2:26" x14ac:dyDescent="0.55000000000000004">
      <c r="B1720" s="20" t="str">
        <f>_xll.RssMarket(A1720,"銘柄名称")</f>
        <v/>
      </c>
      <c r="C1720" s="21" t="str">
        <f>_xll.RssMarket(A1720,"現在値")</f>
        <v/>
      </c>
      <c r="D1720" s="20" t="str">
        <f>_xll.RssMarket(A1720,"現在値詳細時刻")</f>
        <v/>
      </c>
      <c r="E1720" s="22" t="str">
        <f>_xll.RssMarket(A1720,"前日比")</f>
        <v/>
      </c>
      <c r="F1720" s="23" t="e">
        <f>_xll.RssMarket(A1720,"前日比率")/100</f>
        <v>#VALUE!</v>
      </c>
      <c r="G1720" s="24" t="str">
        <f>IFERROR(VLOOKUP(A1720,取得元!$A$2:$F$501,2,FALSE),"-")</f>
        <v>-</v>
      </c>
      <c r="H1720" s="24" t="str">
        <f>IFERROR(VLOOKUP(A1720,取得元!$A$2:$F$501,3,FALSE),"-")</f>
        <v>-</v>
      </c>
      <c r="I1720" s="24" t="str">
        <f>IFERROR(VLOOKUP(A1720,取得元!$A$2:$F$501,4,FALSE),"-")</f>
        <v>-</v>
      </c>
      <c r="J1720" s="5" t="str">
        <f>IFERROR(VLOOKUP(A1720,取得元!$A$2:$F$501,5,FALSE),"-")</f>
        <v>-</v>
      </c>
      <c r="K1720" s="25" t="str">
        <f>IFERROR(VLOOKUP(A1720,取得元!$A$2:$F$501,6,FALSE)/100,"-")</f>
        <v>-</v>
      </c>
      <c r="L1720" s="21" t="str">
        <f>_xll.RssMarket(A1720,"始値")</f>
        <v/>
      </c>
      <c r="M1720" s="4" t="e">
        <f t="shared" si="145"/>
        <v>#VALUE!</v>
      </c>
      <c r="N1720" s="21" t="str">
        <f>_xll.RssMarket(A1720,"高値")</f>
        <v/>
      </c>
      <c r="O1720" s="4" t="e">
        <f t="shared" si="146"/>
        <v>#VALUE!</v>
      </c>
      <c r="P1720" s="21" t="str">
        <f>_xll.RssMarket(A1720,"安値")</f>
        <v/>
      </c>
      <c r="Q1720" s="4" t="e">
        <f t="shared" si="147"/>
        <v>#VALUE!</v>
      </c>
      <c r="R1720" s="21" t="str">
        <f>_xll.RssMarket(A1720,"後場始値")</f>
        <v/>
      </c>
      <c r="S1720" s="25" t="str">
        <f t="shared" si="148"/>
        <v>-</v>
      </c>
      <c r="T1720" s="7" t="str">
        <f>_xll.RssMarket(A1720,"出来高加重平均")</f>
        <v/>
      </c>
      <c r="U1720" s="4" t="e">
        <f t="shared" si="149"/>
        <v>#VALUE!</v>
      </c>
      <c r="V1720" s="21" t="str">
        <f>_xll.RssMarket(A1720,"出来高")</f>
        <v/>
      </c>
      <c r="W1720" s="21" t="str">
        <f>_xll.RssMarket(A1720,"売買代金")</f>
        <v/>
      </c>
      <c r="X1720" s="20" t="str">
        <f>_xll.RssMarket(A1720,"決算発表日")</f>
        <v/>
      </c>
      <c r="Y1720" s="26" t="str">
        <f>IF(C1720&gt;_xll.RssMarket(A1720,"年初来高値"),"○","×")</f>
        <v>×</v>
      </c>
      <c r="Z1720" s="27" t="str">
        <f>IF(C1720&lt;=_xll.RssMarket(A1720,"年初来安値"),"○","×")</f>
        <v>○</v>
      </c>
    </row>
    <row r="1721" spans="2:26" x14ac:dyDescent="0.55000000000000004">
      <c r="B1721" s="20" t="str">
        <f>_xll.RssMarket(A1721,"銘柄名称")</f>
        <v/>
      </c>
      <c r="C1721" s="21" t="str">
        <f>_xll.RssMarket(A1721,"現在値")</f>
        <v/>
      </c>
      <c r="D1721" s="20" t="str">
        <f>_xll.RssMarket(A1721,"現在値詳細時刻")</f>
        <v/>
      </c>
      <c r="E1721" s="22" t="str">
        <f>_xll.RssMarket(A1721,"前日比")</f>
        <v/>
      </c>
      <c r="F1721" s="23" t="e">
        <f>_xll.RssMarket(A1721,"前日比率")/100</f>
        <v>#VALUE!</v>
      </c>
      <c r="G1721" s="24" t="str">
        <f>IFERROR(VLOOKUP(A1721,取得元!$A$2:$F$501,2,FALSE),"-")</f>
        <v>-</v>
      </c>
      <c r="H1721" s="24" t="str">
        <f>IFERROR(VLOOKUP(A1721,取得元!$A$2:$F$501,3,FALSE),"-")</f>
        <v>-</v>
      </c>
      <c r="I1721" s="24" t="str">
        <f>IFERROR(VLOOKUP(A1721,取得元!$A$2:$F$501,4,FALSE),"-")</f>
        <v>-</v>
      </c>
      <c r="J1721" s="5" t="str">
        <f>IFERROR(VLOOKUP(A1721,取得元!$A$2:$F$501,5,FALSE),"-")</f>
        <v>-</v>
      </c>
      <c r="K1721" s="25" t="str">
        <f>IFERROR(VLOOKUP(A1721,取得元!$A$2:$F$501,6,FALSE)/100,"-")</f>
        <v>-</v>
      </c>
      <c r="L1721" s="21" t="str">
        <f>_xll.RssMarket(A1721,"始値")</f>
        <v/>
      </c>
      <c r="M1721" s="4" t="e">
        <f t="shared" si="145"/>
        <v>#VALUE!</v>
      </c>
      <c r="N1721" s="21" t="str">
        <f>_xll.RssMarket(A1721,"高値")</f>
        <v/>
      </c>
      <c r="O1721" s="4" t="e">
        <f t="shared" si="146"/>
        <v>#VALUE!</v>
      </c>
      <c r="P1721" s="21" t="str">
        <f>_xll.RssMarket(A1721,"安値")</f>
        <v/>
      </c>
      <c r="Q1721" s="4" t="e">
        <f t="shared" si="147"/>
        <v>#VALUE!</v>
      </c>
      <c r="R1721" s="21" t="str">
        <f>_xll.RssMarket(A1721,"後場始値")</f>
        <v/>
      </c>
      <c r="S1721" s="25" t="str">
        <f t="shared" si="148"/>
        <v>-</v>
      </c>
      <c r="T1721" s="7" t="str">
        <f>_xll.RssMarket(A1721,"出来高加重平均")</f>
        <v/>
      </c>
      <c r="U1721" s="4" t="e">
        <f t="shared" si="149"/>
        <v>#VALUE!</v>
      </c>
      <c r="V1721" s="21" t="str">
        <f>_xll.RssMarket(A1721,"出来高")</f>
        <v/>
      </c>
      <c r="W1721" s="21" t="str">
        <f>_xll.RssMarket(A1721,"売買代金")</f>
        <v/>
      </c>
      <c r="X1721" s="20" t="str">
        <f>_xll.RssMarket(A1721,"決算発表日")</f>
        <v/>
      </c>
      <c r="Y1721" s="26" t="str">
        <f>IF(C1721&gt;_xll.RssMarket(A1721,"年初来高値"),"○","×")</f>
        <v>×</v>
      </c>
      <c r="Z1721" s="27" t="str">
        <f>IF(C1721&lt;=_xll.RssMarket(A1721,"年初来安値"),"○","×")</f>
        <v>○</v>
      </c>
    </row>
    <row r="1722" spans="2:26" x14ac:dyDescent="0.55000000000000004">
      <c r="B1722" s="20" t="str">
        <f>_xll.RssMarket(A1722,"銘柄名称")</f>
        <v/>
      </c>
      <c r="C1722" s="21" t="str">
        <f>_xll.RssMarket(A1722,"現在値")</f>
        <v/>
      </c>
      <c r="D1722" s="20" t="str">
        <f>_xll.RssMarket(A1722,"現在値詳細時刻")</f>
        <v/>
      </c>
      <c r="E1722" s="22" t="str">
        <f>_xll.RssMarket(A1722,"前日比")</f>
        <v/>
      </c>
      <c r="F1722" s="23" t="e">
        <f>_xll.RssMarket(A1722,"前日比率")/100</f>
        <v>#VALUE!</v>
      </c>
      <c r="G1722" s="24" t="str">
        <f>IFERROR(VLOOKUP(A1722,取得元!$A$2:$F$501,2,FALSE),"-")</f>
        <v>-</v>
      </c>
      <c r="H1722" s="24" t="str">
        <f>IFERROR(VLOOKUP(A1722,取得元!$A$2:$F$501,3,FALSE),"-")</f>
        <v>-</v>
      </c>
      <c r="I1722" s="24" t="str">
        <f>IFERROR(VLOOKUP(A1722,取得元!$A$2:$F$501,4,FALSE),"-")</f>
        <v>-</v>
      </c>
      <c r="J1722" s="5" t="str">
        <f>IFERROR(VLOOKUP(A1722,取得元!$A$2:$F$501,5,FALSE),"-")</f>
        <v>-</v>
      </c>
      <c r="K1722" s="25" t="str">
        <f>IFERROR(VLOOKUP(A1722,取得元!$A$2:$F$501,6,FALSE)/100,"-")</f>
        <v>-</v>
      </c>
      <c r="L1722" s="21" t="str">
        <f>_xll.RssMarket(A1722,"始値")</f>
        <v/>
      </c>
      <c r="M1722" s="4" t="e">
        <f t="shared" si="145"/>
        <v>#VALUE!</v>
      </c>
      <c r="N1722" s="21" t="str">
        <f>_xll.RssMarket(A1722,"高値")</f>
        <v/>
      </c>
      <c r="O1722" s="4" t="e">
        <f t="shared" si="146"/>
        <v>#VALUE!</v>
      </c>
      <c r="P1722" s="21" t="str">
        <f>_xll.RssMarket(A1722,"安値")</f>
        <v/>
      </c>
      <c r="Q1722" s="4" t="e">
        <f t="shared" si="147"/>
        <v>#VALUE!</v>
      </c>
      <c r="R1722" s="21" t="str">
        <f>_xll.RssMarket(A1722,"後場始値")</f>
        <v/>
      </c>
      <c r="S1722" s="25" t="str">
        <f t="shared" si="148"/>
        <v>-</v>
      </c>
      <c r="T1722" s="7" t="str">
        <f>_xll.RssMarket(A1722,"出来高加重平均")</f>
        <v/>
      </c>
      <c r="U1722" s="4" t="e">
        <f t="shared" si="149"/>
        <v>#VALUE!</v>
      </c>
      <c r="V1722" s="21" t="str">
        <f>_xll.RssMarket(A1722,"出来高")</f>
        <v/>
      </c>
      <c r="W1722" s="21" t="str">
        <f>_xll.RssMarket(A1722,"売買代金")</f>
        <v/>
      </c>
      <c r="X1722" s="20" t="str">
        <f>_xll.RssMarket(A1722,"決算発表日")</f>
        <v/>
      </c>
      <c r="Y1722" s="26" t="str">
        <f>IF(C1722&gt;_xll.RssMarket(A1722,"年初来高値"),"○","×")</f>
        <v>×</v>
      </c>
      <c r="Z1722" s="27" t="str">
        <f>IF(C1722&lt;=_xll.RssMarket(A1722,"年初来安値"),"○","×")</f>
        <v>○</v>
      </c>
    </row>
    <row r="1723" spans="2:26" x14ac:dyDescent="0.55000000000000004">
      <c r="B1723" s="20" t="str">
        <f>_xll.RssMarket(A1723,"銘柄名称")</f>
        <v/>
      </c>
      <c r="C1723" s="21" t="str">
        <f>_xll.RssMarket(A1723,"現在値")</f>
        <v/>
      </c>
      <c r="D1723" s="20" t="str">
        <f>_xll.RssMarket(A1723,"現在値詳細時刻")</f>
        <v/>
      </c>
      <c r="E1723" s="22" t="str">
        <f>_xll.RssMarket(A1723,"前日比")</f>
        <v/>
      </c>
      <c r="F1723" s="23" t="e">
        <f>_xll.RssMarket(A1723,"前日比率")/100</f>
        <v>#VALUE!</v>
      </c>
      <c r="G1723" s="24" t="str">
        <f>IFERROR(VLOOKUP(A1723,取得元!$A$2:$F$501,2,FALSE),"-")</f>
        <v>-</v>
      </c>
      <c r="H1723" s="24" t="str">
        <f>IFERROR(VLOOKUP(A1723,取得元!$A$2:$F$501,3,FALSE),"-")</f>
        <v>-</v>
      </c>
      <c r="I1723" s="24" t="str">
        <f>IFERROR(VLOOKUP(A1723,取得元!$A$2:$F$501,4,FALSE),"-")</f>
        <v>-</v>
      </c>
      <c r="J1723" s="5" t="str">
        <f>IFERROR(VLOOKUP(A1723,取得元!$A$2:$F$501,5,FALSE),"-")</f>
        <v>-</v>
      </c>
      <c r="K1723" s="25" t="str">
        <f>IFERROR(VLOOKUP(A1723,取得元!$A$2:$F$501,6,FALSE)/100,"-")</f>
        <v>-</v>
      </c>
      <c r="L1723" s="21" t="str">
        <f>_xll.RssMarket(A1723,"始値")</f>
        <v/>
      </c>
      <c r="M1723" s="4" t="e">
        <f t="shared" si="145"/>
        <v>#VALUE!</v>
      </c>
      <c r="N1723" s="21" t="str">
        <f>_xll.RssMarket(A1723,"高値")</f>
        <v/>
      </c>
      <c r="O1723" s="4" t="e">
        <f t="shared" si="146"/>
        <v>#VALUE!</v>
      </c>
      <c r="P1723" s="21" t="str">
        <f>_xll.RssMarket(A1723,"安値")</f>
        <v/>
      </c>
      <c r="Q1723" s="4" t="e">
        <f t="shared" si="147"/>
        <v>#VALUE!</v>
      </c>
      <c r="R1723" s="21" t="str">
        <f>_xll.RssMarket(A1723,"後場始値")</f>
        <v/>
      </c>
      <c r="S1723" s="25" t="str">
        <f t="shared" si="148"/>
        <v>-</v>
      </c>
      <c r="T1723" s="7" t="str">
        <f>_xll.RssMarket(A1723,"出来高加重平均")</f>
        <v/>
      </c>
      <c r="U1723" s="4" t="e">
        <f t="shared" si="149"/>
        <v>#VALUE!</v>
      </c>
      <c r="V1723" s="21" t="str">
        <f>_xll.RssMarket(A1723,"出来高")</f>
        <v/>
      </c>
      <c r="W1723" s="21" t="str">
        <f>_xll.RssMarket(A1723,"売買代金")</f>
        <v/>
      </c>
      <c r="X1723" s="20" t="str">
        <f>_xll.RssMarket(A1723,"決算発表日")</f>
        <v/>
      </c>
      <c r="Y1723" s="26" t="str">
        <f>IF(C1723&gt;_xll.RssMarket(A1723,"年初来高値"),"○","×")</f>
        <v>×</v>
      </c>
      <c r="Z1723" s="27" t="str">
        <f>IF(C1723&lt;=_xll.RssMarket(A1723,"年初来安値"),"○","×")</f>
        <v>○</v>
      </c>
    </row>
    <row r="1724" spans="2:26" x14ac:dyDescent="0.55000000000000004">
      <c r="B1724" s="20" t="str">
        <f>_xll.RssMarket(A1724,"銘柄名称")</f>
        <v/>
      </c>
      <c r="C1724" s="21" t="str">
        <f>_xll.RssMarket(A1724,"現在値")</f>
        <v/>
      </c>
      <c r="D1724" s="20" t="str">
        <f>_xll.RssMarket(A1724,"現在値詳細時刻")</f>
        <v/>
      </c>
      <c r="E1724" s="22" t="str">
        <f>_xll.RssMarket(A1724,"前日比")</f>
        <v/>
      </c>
      <c r="F1724" s="23" t="e">
        <f>_xll.RssMarket(A1724,"前日比率")/100</f>
        <v>#VALUE!</v>
      </c>
      <c r="G1724" s="24" t="str">
        <f>IFERROR(VLOOKUP(A1724,取得元!$A$2:$F$501,2,FALSE),"-")</f>
        <v>-</v>
      </c>
      <c r="H1724" s="24" t="str">
        <f>IFERROR(VLOOKUP(A1724,取得元!$A$2:$F$501,3,FALSE),"-")</f>
        <v>-</v>
      </c>
      <c r="I1724" s="24" t="str">
        <f>IFERROR(VLOOKUP(A1724,取得元!$A$2:$F$501,4,FALSE),"-")</f>
        <v>-</v>
      </c>
      <c r="J1724" s="5" t="str">
        <f>IFERROR(VLOOKUP(A1724,取得元!$A$2:$F$501,5,FALSE),"-")</f>
        <v>-</v>
      </c>
      <c r="K1724" s="25" t="str">
        <f>IFERROR(VLOOKUP(A1724,取得元!$A$2:$F$501,6,FALSE)/100,"-")</f>
        <v>-</v>
      </c>
      <c r="L1724" s="21" t="str">
        <f>_xll.RssMarket(A1724,"始値")</f>
        <v/>
      </c>
      <c r="M1724" s="4" t="e">
        <f t="shared" si="145"/>
        <v>#VALUE!</v>
      </c>
      <c r="N1724" s="21" t="str">
        <f>_xll.RssMarket(A1724,"高値")</f>
        <v/>
      </c>
      <c r="O1724" s="4" t="e">
        <f t="shared" si="146"/>
        <v>#VALUE!</v>
      </c>
      <c r="P1724" s="21" t="str">
        <f>_xll.RssMarket(A1724,"安値")</f>
        <v/>
      </c>
      <c r="Q1724" s="4" t="e">
        <f t="shared" si="147"/>
        <v>#VALUE!</v>
      </c>
      <c r="R1724" s="21" t="str">
        <f>_xll.RssMarket(A1724,"後場始値")</f>
        <v/>
      </c>
      <c r="S1724" s="25" t="str">
        <f t="shared" si="148"/>
        <v>-</v>
      </c>
      <c r="T1724" s="7" t="str">
        <f>_xll.RssMarket(A1724,"出来高加重平均")</f>
        <v/>
      </c>
      <c r="U1724" s="4" t="e">
        <f t="shared" si="149"/>
        <v>#VALUE!</v>
      </c>
      <c r="V1724" s="21" t="str">
        <f>_xll.RssMarket(A1724,"出来高")</f>
        <v/>
      </c>
      <c r="W1724" s="21" t="str">
        <f>_xll.RssMarket(A1724,"売買代金")</f>
        <v/>
      </c>
      <c r="X1724" s="20" t="str">
        <f>_xll.RssMarket(A1724,"決算発表日")</f>
        <v/>
      </c>
      <c r="Y1724" s="26" t="str">
        <f>IF(C1724&gt;_xll.RssMarket(A1724,"年初来高値"),"○","×")</f>
        <v>×</v>
      </c>
      <c r="Z1724" s="27" t="str">
        <f>IF(C1724&lt;=_xll.RssMarket(A1724,"年初来安値"),"○","×")</f>
        <v>○</v>
      </c>
    </row>
    <row r="1725" spans="2:26" x14ac:dyDescent="0.55000000000000004">
      <c r="B1725" s="20" t="str">
        <f>_xll.RssMarket(A1725,"銘柄名称")</f>
        <v/>
      </c>
      <c r="C1725" s="21" t="str">
        <f>_xll.RssMarket(A1725,"現在値")</f>
        <v/>
      </c>
      <c r="D1725" s="20" t="str">
        <f>_xll.RssMarket(A1725,"現在値詳細時刻")</f>
        <v/>
      </c>
      <c r="E1725" s="22" t="str">
        <f>_xll.RssMarket(A1725,"前日比")</f>
        <v/>
      </c>
      <c r="F1725" s="23" t="e">
        <f>_xll.RssMarket(A1725,"前日比率")/100</f>
        <v>#VALUE!</v>
      </c>
      <c r="G1725" s="24" t="str">
        <f>IFERROR(VLOOKUP(A1725,取得元!$A$2:$F$501,2,FALSE),"-")</f>
        <v>-</v>
      </c>
      <c r="H1725" s="24" t="str">
        <f>IFERROR(VLOOKUP(A1725,取得元!$A$2:$F$501,3,FALSE),"-")</f>
        <v>-</v>
      </c>
      <c r="I1725" s="24" t="str">
        <f>IFERROR(VLOOKUP(A1725,取得元!$A$2:$F$501,4,FALSE),"-")</f>
        <v>-</v>
      </c>
      <c r="J1725" s="5" t="str">
        <f>IFERROR(VLOOKUP(A1725,取得元!$A$2:$F$501,5,FALSE),"-")</f>
        <v>-</v>
      </c>
      <c r="K1725" s="25" t="str">
        <f>IFERROR(VLOOKUP(A1725,取得元!$A$2:$F$501,6,FALSE)/100,"-")</f>
        <v>-</v>
      </c>
      <c r="L1725" s="21" t="str">
        <f>_xll.RssMarket(A1725,"始値")</f>
        <v/>
      </c>
      <c r="M1725" s="4" t="e">
        <f t="shared" si="145"/>
        <v>#VALUE!</v>
      </c>
      <c r="N1725" s="21" t="str">
        <f>_xll.RssMarket(A1725,"高値")</f>
        <v/>
      </c>
      <c r="O1725" s="4" t="e">
        <f t="shared" si="146"/>
        <v>#VALUE!</v>
      </c>
      <c r="P1725" s="21" t="str">
        <f>_xll.RssMarket(A1725,"安値")</f>
        <v/>
      </c>
      <c r="Q1725" s="4" t="e">
        <f t="shared" si="147"/>
        <v>#VALUE!</v>
      </c>
      <c r="R1725" s="21" t="str">
        <f>_xll.RssMarket(A1725,"後場始値")</f>
        <v/>
      </c>
      <c r="S1725" s="25" t="str">
        <f t="shared" si="148"/>
        <v>-</v>
      </c>
      <c r="T1725" s="7" t="str">
        <f>_xll.RssMarket(A1725,"出来高加重平均")</f>
        <v/>
      </c>
      <c r="U1725" s="4" t="e">
        <f t="shared" si="149"/>
        <v>#VALUE!</v>
      </c>
      <c r="V1725" s="21" t="str">
        <f>_xll.RssMarket(A1725,"出来高")</f>
        <v/>
      </c>
      <c r="W1725" s="21" t="str">
        <f>_xll.RssMarket(A1725,"売買代金")</f>
        <v/>
      </c>
      <c r="X1725" s="20" t="str">
        <f>_xll.RssMarket(A1725,"決算発表日")</f>
        <v/>
      </c>
      <c r="Y1725" s="26" t="str">
        <f>IF(C1725&gt;_xll.RssMarket(A1725,"年初来高値"),"○","×")</f>
        <v>×</v>
      </c>
      <c r="Z1725" s="27" t="str">
        <f>IF(C1725&lt;=_xll.RssMarket(A1725,"年初来安値"),"○","×")</f>
        <v>○</v>
      </c>
    </row>
    <row r="1726" spans="2:26" x14ac:dyDescent="0.55000000000000004">
      <c r="B1726" s="20" t="str">
        <f>_xll.RssMarket(A1726,"銘柄名称")</f>
        <v/>
      </c>
      <c r="C1726" s="21" t="str">
        <f>_xll.RssMarket(A1726,"現在値")</f>
        <v/>
      </c>
      <c r="D1726" s="20" t="str">
        <f>_xll.RssMarket(A1726,"現在値詳細時刻")</f>
        <v/>
      </c>
      <c r="E1726" s="22" t="str">
        <f>_xll.RssMarket(A1726,"前日比")</f>
        <v/>
      </c>
      <c r="F1726" s="23" t="e">
        <f>_xll.RssMarket(A1726,"前日比率")/100</f>
        <v>#VALUE!</v>
      </c>
      <c r="G1726" s="24" t="str">
        <f>IFERROR(VLOOKUP(A1726,取得元!$A$2:$F$501,2,FALSE),"-")</f>
        <v>-</v>
      </c>
      <c r="H1726" s="24" t="str">
        <f>IFERROR(VLOOKUP(A1726,取得元!$A$2:$F$501,3,FALSE),"-")</f>
        <v>-</v>
      </c>
      <c r="I1726" s="24" t="str">
        <f>IFERROR(VLOOKUP(A1726,取得元!$A$2:$F$501,4,FALSE),"-")</f>
        <v>-</v>
      </c>
      <c r="J1726" s="5" t="str">
        <f>IFERROR(VLOOKUP(A1726,取得元!$A$2:$F$501,5,FALSE),"-")</f>
        <v>-</v>
      </c>
      <c r="K1726" s="25" t="str">
        <f>IFERROR(VLOOKUP(A1726,取得元!$A$2:$F$501,6,FALSE)/100,"-")</f>
        <v>-</v>
      </c>
      <c r="L1726" s="21" t="str">
        <f>_xll.RssMarket(A1726,"始値")</f>
        <v/>
      </c>
      <c r="M1726" s="4" t="e">
        <f t="shared" si="145"/>
        <v>#VALUE!</v>
      </c>
      <c r="N1726" s="21" t="str">
        <f>_xll.RssMarket(A1726,"高値")</f>
        <v/>
      </c>
      <c r="O1726" s="4" t="e">
        <f t="shared" si="146"/>
        <v>#VALUE!</v>
      </c>
      <c r="P1726" s="21" t="str">
        <f>_xll.RssMarket(A1726,"安値")</f>
        <v/>
      </c>
      <c r="Q1726" s="4" t="e">
        <f t="shared" si="147"/>
        <v>#VALUE!</v>
      </c>
      <c r="R1726" s="21" t="str">
        <f>_xll.RssMarket(A1726,"後場始値")</f>
        <v/>
      </c>
      <c r="S1726" s="25" t="str">
        <f t="shared" si="148"/>
        <v>-</v>
      </c>
      <c r="T1726" s="7" t="str">
        <f>_xll.RssMarket(A1726,"出来高加重平均")</f>
        <v/>
      </c>
      <c r="U1726" s="4" t="e">
        <f t="shared" si="149"/>
        <v>#VALUE!</v>
      </c>
      <c r="V1726" s="21" t="str">
        <f>_xll.RssMarket(A1726,"出来高")</f>
        <v/>
      </c>
      <c r="W1726" s="21" t="str">
        <f>_xll.RssMarket(A1726,"売買代金")</f>
        <v/>
      </c>
      <c r="X1726" s="20" t="str">
        <f>_xll.RssMarket(A1726,"決算発表日")</f>
        <v/>
      </c>
      <c r="Y1726" s="26" t="str">
        <f>IF(C1726&gt;_xll.RssMarket(A1726,"年初来高値"),"○","×")</f>
        <v>×</v>
      </c>
      <c r="Z1726" s="27" t="str">
        <f>IF(C1726&lt;=_xll.RssMarket(A1726,"年初来安値"),"○","×")</f>
        <v>○</v>
      </c>
    </row>
    <row r="1727" spans="2:26" x14ac:dyDescent="0.55000000000000004">
      <c r="B1727" s="20" t="str">
        <f>_xll.RssMarket(A1727,"銘柄名称")</f>
        <v/>
      </c>
      <c r="C1727" s="21" t="str">
        <f>_xll.RssMarket(A1727,"現在値")</f>
        <v/>
      </c>
      <c r="D1727" s="20" t="str">
        <f>_xll.RssMarket(A1727,"現在値詳細時刻")</f>
        <v/>
      </c>
      <c r="E1727" s="22" t="str">
        <f>_xll.RssMarket(A1727,"前日比")</f>
        <v/>
      </c>
      <c r="F1727" s="23" t="e">
        <f>_xll.RssMarket(A1727,"前日比率")/100</f>
        <v>#VALUE!</v>
      </c>
      <c r="G1727" s="24" t="str">
        <f>IFERROR(VLOOKUP(A1727,取得元!$A$2:$F$501,2,FALSE),"-")</f>
        <v>-</v>
      </c>
      <c r="H1727" s="24" t="str">
        <f>IFERROR(VLOOKUP(A1727,取得元!$A$2:$F$501,3,FALSE),"-")</f>
        <v>-</v>
      </c>
      <c r="I1727" s="24" t="str">
        <f>IFERROR(VLOOKUP(A1727,取得元!$A$2:$F$501,4,FALSE),"-")</f>
        <v>-</v>
      </c>
      <c r="J1727" s="5" t="str">
        <f>IFERROR(VLOOKUP(A1727,取得元!$A$2:$F$501,5,FALSE),"-")</f>
        <v>-</v>
      </c>
      <c r="K1727" s="25" t="str">
        <f>IFERROR(VLOOKUP(A1727,取得元!$A$2:$F$501,6,FALSE)/100,"-")</f>
        <v>-</v>
      </c>
      <c r="L1727" s="21" t="str">
        <f>_xll.RssMarket(A1727,"始値")</f>
        <v/>
      </c>
      <c r="M1727" s="4" t="e">
        <f t="shared" si="145"/>
        <v>#VALUE!</v>
      </c>
      <c r="N1727" s="21" t="str">
        <f>_xll.RssMarket(A1727,"高値")</f>
        <v/>
      </c>
      <c r="O1727" s="4" t="e">
        <f t="shared" si="146"/>
        <v>#VALUE!</v>
      </c>
      <c r="P1727" s="21" t="str">
        <f>_xll.RssMarket(A1727,"安値")</f>
        <v/>
      </c>
      <c r="Q1727" s="4" t="e">
        <f t="shared" si="147"/>
        <v>#VALUE!</v>
      </c>
      <c r="R1727" s="21" t="str">
        <f>_xll.RssMarket(A1727,"後場始値")</f>
        <v/>
      </c>
      <c r="S1727" s="25" t="str">
        <f t="shared" si="148"/>
        <v>-</v>
      </c>
      <c r="T1727" s="7" t="str">
        <f>_xll.RssMarket(A1727,"出来高加重平均")</f>
        <v/>
      </c>
      <c r="U1727" s="4" t="e">
        <f t="shared" si="149"/>
        <v>#VALUE!</v>
      </c>
      <c r="V1727" s="21" t="str">
        <f>_xll.RssMarket(A1727,"出来高")</f>
        <v/>
      </c>
      <c r="W1727" s="21" t="str">
        <f>_xll.RssMarket(A1727,"売買代金")</f>
        <v/>
      </c>
      <c r="X1727" s="20" t="str">
        <f>_xll.RssMarket(A1727,"決算発表日")</f>
        <v/>
      </c>
      <c r="Y1727" s="26" t="str">
        <f>IF(C1727&gt;_xll.RssMarket(A1727,"年初来高値"),"○","×")</f>
        <v>×</v>
      </c>
      <c r="Z1727" s="27" t="str">
        <f>IF(C1727&lt;=_xll.RssMarket(A1727,"年初来安値"),"○","×")</f>
        <v>○</v>
      </c>
    </row>
    <row r="1728" spans="2:26" x14ac:dyDescent="0.55000000000000004">
      <c r="B1728" s="20" t="str">
        <f>_xll.RssMarket(A1728,"銘柄名称")</f>
        <v/>
      </c>
      <c r="C1728" s="21" t="str">
        <f>_xll.RssMarket(A1728,"現在値")</f>
        <v/>
      </c>
      <c r="D1728" s="20" t="str">
        <f>_xll.RssMarket(A1728,"現在値詳細時刻")</f>
        <v/>
      </c>
      <c r="E1728" s="22" t="str">
        <f>_xll.RssMarket(A1728,"前日比")</f>
        <v/>
      </c>
      <c r="F1728" s="23" t="e">
        <f>_xll.RssMarket(A1728,"前日比率")/100</f>
        <v>#VALUE!</v>
      </c>
      <c r="G1728" s="24" t="str">
        <f>IFERROR(VLOOKUP(A1728,取得元!$A$2:$F$501,2,FALSE),"-")</f>
        <v>-</v>
      </c>
      <c r="H1728" s="24" t="str">
        <f>IFERROR(VLOOKUP(A1728,取得元!$A$2:$F$501,3,FALSE),"-")</f>
        <v>-</v>
      </c>
      <c r="I1728" s="24" t="str">
        <f>IFERROR(VLOOKUP(A1728,取得元!$A$2:$F$501,4,FALSE),"-")</f>
        <v>-</v>
      </c>
      <c r="J1728" s="5" t="str">
        <f>IFERROR(VLOOKUP(A1728,取得元!$A$2:$F$501,5,FALSE),"-")</f>
        <v>-</v>
      </c>
      <c r="K1728" s="25" t="str">
        <f>IFERROR(VLOOKUP(A1728,取得元!$A$2:$F$501,6,FALSE)/100,"-")</f>
        <v>-</v>
      </c>
      <c r="L1728" s="21" t="str">
        <f>_xll.RssMarket(A1728,"始値")</f>
        <v/>
      </c>
      <c r="M1728" s="4" t="e">
        <f t="shared" si="145"/>
        <v>#VALUE!</v>
      </c>
      <c r="N1728" s="21" t="str">
        <f>_xll.RssMarket(A1728,"高値")</f>
        <v/>
      </c>
      <c r="O1728" s="4" t="e">
        <f t="shared" si="146"/>
        <v>#VALUE!</v>
      </c>
      <c r="P1728" s="21" t="str">
        <f>_xll.RssMarket(A1728,"安値")</f>
        <v/>
      </c>
      <c r="Q1728" s="4" t="e">
        <f t="shared" si="147"/>
        <v>#VALUE!</v>
      </c>
      <c r="R1728" s="21" t="str">
        <f>_xll.RssMarket(A1728,"後場始値")</f>
        <v/>
      </c>
      <c r="S1728" s="25" t="str">
        <f t="shared" si="148"/>
        <v>-</v>
      </c>
      <c r="T1728" s="7" t="str">
        <f>_xll.RssMarket(A1728,"出来高加重平均")</f>
        <v/>
      </c>
      <c r="U1728" s="4" t="e">
        <f t="shared" si="149"/>
        <v>#VALUE!</v>
      </c>
      <c r="V1728" s="21" t="str">
        <f>_xll.RssMarket(A1728,"出来高")</f>
        <v/>
      </c>
      <c r="W1728" s="21" t="str">
        <f>_xll.RssMarket(A1728,"売買代金")</f>
        <v/>
      </c>
      <c r="X1728" s="20" t="str">
        <f>_xll.RssMarket(A1728,"決算発表日")</f>
        <v/>
      </c>
      <c r="Y1728" s="26" t="str">
        <f>IF(C1728&gt;_xll.RssMarket(A1728,"年初来高値"),"○","×")</f>
        <v>×</v>
      </c>
      <c r="Z1728" s="27" t="str">
        <f>IF(C1728&lt;=_xll.RssMarket(A1728,"年初来安値"),"○","×")</f>
        <v>○</v>
      </c>
    </row>
    <row r="1729" spans="2:26" x14ac:dyDescent="0.55000000000000004">
      <c r="B1729" s="20" t="str">
        <f>_xll.RssMarket(A1729,"銘柄名称")</f>
        <v/>
      </c>
      <c r="C1729" s="21" t="str">
        <f>_xll.RssMarket(A1729,"現在値")</f>
        <v/>
      </c>
      <c r="D1729" s="20" t="str">
        <f>_xll.RssMarket(A1729,"現在値詳細時刻")</f>
        <v/>
      </c>
      <c r="E1729" s="22" t="str">
        <f>_xll.RssMarket(A1729,"前日比")</f>
        <v/>
      </c>
      <c r="F1729" s="23" t="e">
        <f>_xll.RssMarket(A1729,"前日比率")/100</f>
        <v>#VALUE!</v>
      </c>
      <c r="G1729" s="24" t="str">
        <f>IFERROR(VLOOKUP(A1729,取得元!$A$2:$F$501,2,FALSE),"-")</f>
        <v>-</v>
      </c>
      <c r="H1729" s="24" t="str">
        <f>IFERROR(VLOOKUP(A1729,取得元!$A$2:$F$501,3,FALSE),"-")</f>
        <v>-</v>
      </c>
      <c r="I1729" s="24" t="str">
        <f>IFERROR(VLOOKUP(A1729,取得元!$A$2:$F$501,4,FALSE),"-")</f>
        <v>-</v>
      </c>
      <c r="J1729" s="5" t="str">
        <f>IFERROR(VLOOKUP(A1729,取得元!$A$2:$F$501,5,FALSE),"-")</f>
        <v>-</v>
      </c>
      <c r="K1729" s="25" t="str">
        <f>IFERROR(VLOOKUP(A1729,取得元!$A$2:$F$501,6,FALSE)/100,"-")</f>
        <v>-</v>
      </c>
      <c r="L1729" s="21" t="str">
        <f>_xll.RssMarket(A1729,"始値")</f>
        <v/>
      </c>
      <c r="M1729" s="4" t="e">
        <f t="shared" si="145"/>
        <v>#VALUE!</v>
      </c>
      <c r="N1729" s="21" t="str">
        <f>_xll.RssMarket(A1729,"高値")</f>
        <v/>
      </c>
      <c r="O1729" s="4" t="e">
        <f t="shared" si="146"/>
        <v>#VALUE!</v>
      </c>
      <c r="P1729" s="21" t="str">
        <f>_xll.RssMarket(A1729,"安値")</f>
        <v/>
      </c>
      <c r="Q1729" s="4" t="e">
        <f t="shared" si="147"/>
        <v>#VALUE!</v>
      </c>
      <c r="R1729" s="21" t="str">
        <f>_xll.RssMarket(A1729,"後場始値")</f>
        <v/>
      </c>
      <c r="S1729" s="25" t="str">
        <f t="shared" si="148"/>
        <v>-</v>
      </c>
      <c r="T1729" s="7" t="str">
        <f>_xll.RssMarket(A1729,"出来高加重平均")</f>
        <v/>
      </c>
      <c r="U1729" s="4" t="e">
        <f t="shared" si="149"/>
        <v>#VALUE!</v>
      </c>
      <c r="V1729" s="21" t="str">
        <f>_xll.RssMarket(A1729,"出来高")</f>
        <v/>
      </c>
      <c r="W1729" s="21" t="str">
        <f>_xll.RssMarket(A1729,"売買代金")</f>
        <v/>
      </c>
      <c r="X1729" s="20" t="str">
        <f>_xll.RssMarket(A1729,"決算発表日")</f>
        <v/>
      </c>
      <c r="Y1729" s="26" t="str">
        <f>IF(C1729&gt;_xll.RssMarket(A1729,"年初来高値"),"○","×")</f>
        <v>×</v>
      </c>
      <c r="Z1729" s="27" t="str">
        <f>IF(C1729&lt;=_xll.RssMarket(A1729,"年初来安値"),"○","×")</f>
        <v>○</v>
      </c>
    </row>
    <row r="1730" spans="2:26" x14ac:dyDescent="0.55000000000000004">
      <c r="B1730" s="20" t="str">
        <f>_xll.RssMarket(A1730,"銘柄名称")</f>
        <v/>
      </c>
      <c r="C1730" s="21" t="str">
        <f>_xll.RssMarket(A1730,"現在値")</f>
        <v/>
      </c>
      <c r="D1730" s="20" t="str">
        <f>_xll.RssMarket(A1730,"現在値詳細時刻")</f>
        <v/>
      </c>
      <c r="E1730" s="22" t="str">
        <f>_xll.RssMarket(A1730,"前日比")</f>
        <v/>
      </c>
      <c r="F1730" s="23" t="e">
        <f>_xll.RssMarket(A1730,"前日比率")/100</f>
        <v>#VALUE!</v>
      </c>
      <c r="G1730" s="24" t="str">
        <f>IFERROR(VLOOKUP(A1730,取得元!$A$2:$F$501,2,FALSE),"-")</f>
        <v>-</v>
      </c>
      <c r="H1730" s="24" t="str">
        <f>IFERROR(VLOOKUP(A1730,取得元!$A$2:$F$501,3,FALSE),"-")</f>
        <v>-</v>
      </c>
      <c r="I1730" s="24" t="str">
        <f>IFERROR(VLOOKUP(A1730,取得元!$A$2:$F$501,4,FALSE),"-")</f>
        <v>-</v>
      </c>
      <c r="J1730" s="5" t="str">
        <f>IFERROR(VLOOKUP(A1730,取得元!$A$2:$F$501,5,FALSE),"-")</f>
        <v>-</v>
      </c>
      <c r="K1730" s="25" t="str">
        <f>IFERROR(VLOOKUP(A1730,取得元!$A$2:$F$501,6,FALSE)/100,"-")</f>
        <v>-</v>
      </c>
      <c r="L1730" s="21" t="str">
        <f>_xll.RssMarket(A1730,"始値")</f>
        <v/>
      </c>
      <c r="M1730" s="4" t="e">
        <f t="shared" si="145"/>
        <v>#VALUE!</v>
      </c>
      <c r="N1730" s="21" t="str">
        <f>_xll.RssMarket(A1730,"高値")</f>
        <v/>
      </c>
      <c r="O1730" s="4" t="e">
        <f t="shared" si="146"/>
        <v>#VALUE!</v>
      </c>
      <c r="P1730" s="21" t="str">
        <f>_xll.RssMarket(A1730,"安値")</f>
        <v/>
      </c>
      <c r="Q1730" s="4" t="e">
        <f t="shared" si="147"/>
        <v>#VALUE!</v>
      </c>
      <c r="R1730" s="21" t="str">
        <f>_xll.RssMarket(A1730,"後場始値")</f>
        <v/>
      </c>
      <c r="S1730" s="25" t="str">
        <f t="shared" si="148"/>
        <v>-</v>
      </c>
      <c r="T1730" s="7" t="str">
        <f>_xll.RssMarket(A1730,"出来高加重平均")</f>
        <v/>
      </c>
      <c r="U1730" s="4" t="e">
        <f t="shared" si="149"/>
        <v>#VALUE!</v>
      </c>
      <c r="V1730" s="21" t="str">
        <f>_xll.RssMarket(A1730,"出来高")</f>
        <v/>
      </c>
      <c r="W1730" s="21" t="str">
        <f>_xll.RssMarket(A1730,"売買代金")</f>
        <v/>
      </c>
      <c r="X1730" s="20" t="str">
        <f>_xll.RssMarket(A1730,"決算発表日")</f>
        <v/>
      </c>
      <c r="Y1730" s="26" t="str">
        <f>IF(C1730&gt;_xll.RssMarket(A1730,"年初来高値"),"○","×")</f>
        <v>×</v>
      </c>
      <c r="Z1730" s="27" t="str">
        <f>IF(C1730&lt;=_xll.RssMarket(A1730,"年初来安値"),"○","×")</f>
        <v>○</v>
      </c>
    </row>
    <row r="1731" spans="2:26" x14ac:dyDescent="0.55000000000000004">
      <c r="B1731" s="20" t="str">
        <f>_xll.RssMarket(A1731,"銘柄名称")</f>
        <v/>
      </c>
      <c r="C1731" s="21" t="str">
        <f>_xll.RssMarket(A1731,"現在値")</f>
        <v/>
      </c>
      <c r="D1731" s="20" t="str">
        <f>_xll.RssMarket(A1731,"現在値詳細時刻")</f>
        <v/>
      </c>
      <c r="E1731" s="22" t="str">
        <f>_xll.RssMarket(A1731,"前日比")</f>
        <v/>
      </c>
      <c r="F1731" s="23" t="e">
        <f>_xll.RssMarket(A1731,"前日比率")/100</f>
        <v>#VALUE!</v>
      </c>
      <c r="G1731" s="24" t="str">
        <f>IFERROR(VLOOKUP(A1731,取得元!$A$2:$F$501,2,FALSE),"-")</f>
        <v>-</v>
      </c>
      <c r="H1731" s="24" t="str">
        <f>IFERROR(VLOOKUP(A1731,取得元!$A$2:$F$501,3,FALSE),"-")</f>
        <v>-</v>
      </c>
      <c r="I1731" s="24" t="str">
        <f>IFERROR(VLOOKUP(A1731,取得元!$A$2:$F$501,4,FALSE),"-")</f>
        <v>-</v>
      </c>
      <c r="J1731" s="5" t="str">
        <f>IFERROR(VLOOKUP(A1731,取得元!$A$2:$F$501,5,FALSE),"-")</f>
        <v>-</v>
      </c>
      <c r="K1731" s="25" t="str">
        <f>IFERROR(VLOOKUP(A1731,取得元!$A$2:$F$501,6,FALSE)/100,"-")</f>
        <v>-</v>
      </c>
      <c r="L1731" s="21" t="str">
        <f>_xll.RssMarket(A1731,"始値")</f>
        <v/>
      </c>
      <c r="M1731" s="4" t="e">
        <f t="shared" si="145"/>
        <v>#VALUE!</v>
      </c>
      <c r="N1731" s="21" t="str">
        <f>_xll.RssMarket(A1731,"高値")</f>
        <v/>
      </c>
      <c r="O1731" s="4" t="e">
        <f t="shared" si="146"/>
        <v>#VALUE!</v>
      </c>
      <c r="P1731" s="21" t="str">
        <f>_xll.RssMarket(A1731,"安値")</f>
        <v/>
      </c>
      <c r="Q1731" s="4" t="e">
        <f t="shared" si="147"/>
        <v>#VALUE!</v>
      </c>
      <c r="R1731" s="21" t="str">
        <f>_xll.RssMarket(A1731,"後場始値")</f>
        <v/>
      </c>
      <c r="S1731" s="25" t="str">
        <f t="shared" si="148"/>
        <v>-</v>
      </c>
      <c r="T1731" s="7" t="str">
        <f>_xll.RssMarket(A1731,"出来高加重平均")</f>
        <v/>
      </c>
      <c r="U1731" s="4" t="e">
        <f t="shared" si="149"/>
        <v>#VALUE!</v>
      </c>
      <c r="V1731" s="21" t="str">
        <f>_xll.RssMarket(A1731,"出来高")</f>
        <v/>
      </c>
      <c r="W1731" s="21" t="str">
        <f>_xll.RssMarket(A1731,"売買代金")</f>
        <v/>
      </c>
      <c r="X1731" s="20" t="str">
        <f>_xll.RssMarket(A1731,"決算発表日")</f>
        <v/>
      </c>
      <c r="Y1731" s="26" t="str">
        <f>IF(C1731&gt;_xll.RssMarket(A1731,"年初来高値"),"○","×")</f>
        <v>×</v>
      </c>
      <c r="Z1731" s="27" t="str">
        <f>IF(C1731&lt;=_xll.RssMarket(A1731,"年初来安値"),"○","×")</f>
        <v>○</v>
      </c>
    </row>
    <row r="1732" spans="2:26" x14ac:dyDescent="0.55000000000000004">
      <c r="B1732" s="20" t="str">
        <f>_xll.RssMarket(A1732,"銘柄名称")</f>
        <v/>
      </c>
      <c r="C1732" s="21" t="str">
        <f>_xll.RssMarket(A1732,"現在値")</f>
        <v/>
      </c>
      <c r="D1732" s="20" t="str">
        <f>_xll.RssMarket(A1732,"現在値詳細時刻")</f>
        <v/>
      </c>
      <c r="E1732" s="22" t="str">
        <f>_xll.RssMarket(A1732,"前日比")</f>
        <v/>
      </c>
      <c r="F1732" s="23" t="e">
        <f>_xll.RssMarket(A1732,"前日比率")/100</f>
        <v>#VALUE!</v>
      </c>
      <c r="G1732" s="24" t="str">
        <f>IFERROR(VLOOKUP(A1732,取得元!$A$2:$F$501,2,FALSE),"-")</f>
        <v>-</v>
      </c>
      <c r="H1732" s="24" t="str">
        <f>IFERROR(VLOOKUP(A1732,取得元!$A$2:$F$501,3,FALSE),"-")</f>
        <v>-</v>
      </c>
      <c r="I1732" s="24" t="str">
        <f>IFERROR(VLOOKUP(A1732,取得元!$A$2:$F$501,4,FALSE),"-")</f>
        <v>-</v>
      </c>
      <c r="J1732" s="5" t="str">
        <f>IFERROR(VLOOKUP(A1732,取得元!$A$2:$F$501,5,FALSE),"-")</f>
        <v>-</v>
      </c>
      <c r="K1732" s="25" t="str">
        <f>IFERROR(VLOOKUP(A1732,取得元!$A$2:$F$501,6,FALSE)/100,"-")</f>
        <v>-</v>
      </c>
      <c r="L1732" s="21" t="str">
        <f>_xll.RssMarket(A1732,"始値")</f>
        <v/>
      </c>
      <c r="M1732" s="4" t="e">
        <f t="shared" si="145"/>
        <v>#VALUE!</v>
      </c>
      <c r="N1732" s="21" t="str">
        <f>_xll.RssMarket(A1732,"高値")</f>
        <v/>
      </c>
      <c r="O1732" s="4" t="e">
        <f t="shared" si="146"/>
        <v>#VALUE!</v>
      </c>
      <c r="P1732" s="21" t="str">
        <f>_xll.RssMarket(A1732,"安値")</f>
        <v/>
      </c>
      <c r="Q1732" s="4" t="e">
        <f t="shared" si="147"/>
        <v>#VALUE!</v>
      </c>
      <c r="R1732" s="21" t="str">
        <f>_xll.RssMarket(A1732,"後場始値")</f>
        <v/>
      </c>
      <c r="S1732" s="25" t="str">
        <f t="shared" si="148"/>
        <v>-</v>
      </c>
      <c r="T1732" s="7" t="str">
        <f>_xll.RssMarket(A1732,"出来高加重平均")</f>
        <v/>
      </c>
      <c r="U1732" s="4" t="e">
        <f t="shared" si="149"/>
        <v>#VALUE!</v>
      </c>
      <c r="V1732" s="21" t="str">
        <f>_xll.RssMarket(A1732,"出来高")</f>
        <v/>
      </c>
      <c r="W1732" s="21" t="str">
        <f>_xll.RssMarket(A1732,"売買代金")</f>
        <v/>
      </c>
      <c r="X1732" s="20" t="str">
        <f>_xll.RssMarket(A1732,"決算発表日")</f>
        <v/>
      </c>
      <c r="Y1732" s="26" t="str">
        <f>IF(C1732&gt;_xll.RssMarket(A1732,"年初来高値"),"○","×")</f>
        <v>×</v>
      </c>
      <c r="Z1732" s="27" t="str">
        <f>IF(C1732&lt;=_xll.RssMarket(A1732,"年初来安値"),"○","×")</f>
        <v>○</v>
      </c>
    </row>
    <row r="1733" spans="2:26" x14ac:dyDescent="0.55000000000000004">
      <c r="B1733" s="20" t="str">
        <f>_xll.RssMarket(A1733,"銘柄名称")</f>
        <v/>
      </c>
      <c r="C1733" s="21" t="str">
        <f>_xll.RssMarket(A1733,"現在値")</f>
        <v/>
      </c>
      <c r="D1733" s="20" t="str">
        <f>_xll.RssMarket(A1733,"現在値詳細時刻")</f>
        <v/>
      </c>
      <c r="E1733" s="22" t="str">
        <f>_xll.RssMarket(A1733,"前日比")</f>
        <v/>
      </c>
      <c r="F1733" s="23" t="e">
        <f>_xll.RssMarket(A1733,"前日比率")/100</f>
        <v>#VALUE!</v>
      </c>
      <c r="G1733" s="24" t="str">
        <f>IFERROR(VLOOKUP(A1733,取得元!$A$2:$F$501,2,FALSE),"-")</f>
        <v>-</v>
      </c>
      <c r="H1733" s="24" t="str">
        <f>IFERROR(VLOOKUP(A1733,取得元!$A$2:$F$501,3,FALSE),"-")</f>
        <v>-</v>
      </c>
      <c r="I1733" s="24" t="str">
        <f>IFERROR(VLOOKUP(A1733,取得元!$A$2:$F$501,4,FALSE),"-")</f>
        <v>-</v>
      </c>
      <c r="J1733" s="5" t="str">
        <f>IFERROR(VLOOKUP(A1733,取得元!$A$2:$F$501,5,FALSE),"-")</f>
        <v>-</v>
      </c>
      <c r="K1733" s="25" t="str">
        <f>IFERROR(VLOOKUP(A1733,取得元!$A$2:$F$501,6,FALSE)/100,"-")</f>
        <v>-</v>
      </c>
      <c r="L1733" s="21" t="str">
        <f>_xll.RssMarket(A1733,"始値")</f>
        <v/>
      </c>
      <c r="M1733" s="4" t="e">
        <f t="shared" si="145"/>
        <v>#VALUE!</v>
      </c>
      <c r="N1733" s="21" t="str">
        <f>_xll.RssMarket(A1733,"高値")</f>
        <v/>
      </c>
      <c r="O1733" s="4" t="e">
        <f t="shared" si="146"/>
        <v>#VALUE!</v>
      </c>
      <c r="P1733" s="21" t="str">
        <f>_xll.RssMarket(A1733,"安値")</f>
        <v/>
      </c>
      <c r="Q1733" s="4" t="e">
        <f t="shared" si="147"/>
        <v>#VALUE!</v>
      </c>
      <c r="R1733" s="21" t="str">
        <f>_xll.RssMarket(A1733,"後場始値")</f>
        <v/>
      </c>
      <c r="S1733" s="25" t="str">
        <f t="shared" si="148"/>
        <v>-</v>
      </c>
      <c r="T1733" s="7" t="str">
        <f>_xll.RssMarket(A1733,"出来高加重平均")</f>
        <v/>
      </c>
      <c r="U1733" s="4" t="e">
        <f t="shared" si="149"/>
        <v>#VALUE!</v>
      </c>
      <c r="V1733" s="21" t="str">
        <f>_xll.RssMarket(A1733,"出来高")</f>
        <v/>
      </c>
      <c r="W1733" s="21" t="str">
        <f>_xll.RssMarket(A1733,"売買代金")</f>
        <v/>
      </c>
      <c r="X1733" s="20" t="str">
        <f>_xll.RssMarket(A1733,"決算発表日")</f>
        <v/>
      </c>
      <c r="Y1733" s="26" t="str">
        <f>IF(C1733&gt;_xll.RssMarket(A1733,"年初来高値"),"○","×")</f>
        <v>×</v>
      </c>
      <c r="Z1733" s="27" t="str">
        <f>IF(C1733&lt;=_xll.RssMarket(A1733,"年初来安値"),"○","×")</f>
        <v>○</v>
      </c>
    </row>
    <row r="1734" spans="2:26" x14ac:dyDescent="0.55000000000000004">
      <c r="B1734" s="20" t="str">
        <f>_xll.RssMarket(A1734,"銘柄名称")</f>
        <v/>
      </c>
      <c r="C1734" s="21" t="str">
        <f>_xll.RssMarket(A1734,"現在値")</f>
        <v/>
      </c>
      <c r="D1734" s="20" t="str">
        <f>_xll.RssMarket(A1734,"現在値詳細時刻")</f>
        <v/>
      </c>
      <c r="E1734" s="22" t="str">
        <f>_xll.RssMarket(A1734,"前日比")</f>
        <v/>
      </c>
      <c r="F1734" s="23" t="e">
        <f>_xll.RssMarket(A1734,"前日比率")/100</f>
        <v>#VALUE!</v>
      </c>
      <c r="G1734" s="24" t="str">
        <f>IFERROR(VLOOKUP(A1734,取得元!$A$2:$F$501,2,FALSE),"-")</f>
        <v>-</v>
      </c>
      <c r="H1734" s="24" t="str">
        <f>IFERROR(VLOOKUP(A1734,取得元!$A$2:$F$501,3,FALSE),"-")</f>
        <v>-</v>
      </c>
      <c r="I1734" s="24" t="str">
        <f>IFERROR(VLOOKUP(A1734,取得元!$A$2:$F$501,4,FALSE),"-")</f>
        <v>-</v>
      </c>
      <c r="J1734" s="5" t="str">
        <f>IFERROR(VLOOKUP(A1734,取得元!$A$2:$F$501,5,FALSE),"-")</f>
        <v>-</v>
      </c>
      <c r="K1734" s="25" t="str">
        <f>IFERROR(VLOOKUP(A1734,取得元!$A$2:$F$501,6,FALSE)/100,"-")</f>
        <v>-</v>
      </c>
      <c r="L1734" s="21" t="str">
        <f>_xll.RssMarket(A1734,"始値")</f>
        <v/>
      </c>
      <c r="M1734" s="4" t="e">
        <f t="shared" si="145"/>
        <v>#VALUE!</v>
      </c>
      <c r="N1734" s="21" t="str">
        <f>_xll.RssMarket(A1734,"高値")</f>
        <v/>
      </c>
      <c r="O1734" s="4" t="e">
        <f t="shared" si="146"/>
        <v>#VALUE!</v>
      </c>
      <c r="P1734" s="21" t="str">
        <f>_xll.RssMarket(A1734,"安値")</f>
        <v/>
      </c>
      <c r="Q1734" s="4" t="e">
        <f t="shared" si="147"/>
        <v>#VALUE!</v>
      </c>
      <c r="R1734" s="21" t="str">
        <f>_xll.RssMarket(A1734,"後場始値")</f>
        <v/>
      </c>
      <c r="S1734" s="25" t="str">
        <f t="shared" si="148"/>
        <v>-</v>
      </c>
      <c r="T1734" s="7" t="str">
        <f>_xll.RssMarket(A1734,"出来高加重平均")</f>
        <v/>
      </c>
      <c r="U1734" s="4" t="e">
        <f t="shared" si="149"/>
        <v>#VALUE!</v>
      </c>
      <c r="V1734" s="21" t="str">
        <f>_xll.RssMarket(A1734,"出来高")</f>
        <v/>
      </c>
      <c r="W1734" s="21" t="str">
        <f>_xll.RssMarket(A1734,"売買代金")</f>
        <v/>
      </c>
      <c r="X1734" s="20" t="str">
        <f>_xll.RssMarket(A1734,"決算発表日")</f>
        <v/>
      </c>
      <c r="Y1734" s="26" t="str">
        <f>IF(C1734&gt;_xll.RssMarket(A1734,"年初来高値"),"○","×")</f>
        <v>×</v>
      </c>
      <c r="Z1734" s="27" t="str">
        <f>IF(C1734&lt;=_xll.RssMarket(A1734,"年初来安値"),"○","×")</f>
        <v>○</v>
      </c>
    </row>
    <row r="1735" spans="2:26" x14ac:dyDescent="0.55000000000000004">
      <c r="B1735" s="20" t="str">
        <f>_xll.RssMarket(A1735,"銘柄名称")</f>
        <v/>
      </c>
      <c r="C1735" s="21" t="str">
        <f>_xll.RssMarket(A1735,"現在値")</f>
        <v/>
      </c>
      <c r="D1735" s="20" t="str">
        <f>_xll.RssMarket(A1735,"現在値詳細時刻")</f>
        <v/>
      </c>
      <c r="E1735" s="22" t="str">
        <f>_xll.RssMarket(A1735,"前日比")</f>
        <v/>
      </c>
      <c r="F1735" s="23" t="e">
        <f>_xll.RssMarket(A1735,"前日比率")/100</f>
        <v>#VALUE!</v>
      </c>
      <c r="G1735" s="24" t="str">
        <f>IFERROR(VLOOKUP(A1735,取得元!$A$2:$F$501,2,FALSE),"-")</f>
        <v>-</v>
      </c>
      <c r="H1735" s="24" t="str">
        <f>IFERROR(VLOOKUP(A1735,取得元!$A$2:$F$501,3,FALSE),"-")</f>
        <v>-</v>
      </c>
      <c r="I1735" s="24" t="str">
        <f>IFERROR(VLOOKUP(A1735,取得元!$A$2:$F$501,4,FALSE),"-")</f>
        <v>-</v>
      </c>
      <c r="J1735" s="5" t="str">
        <f>IFERROR(VLOOKUP(A1735,取得元!$A$2:$F$501,5,FALSE),"-")</f>
        <v>-</v>
      </c>
      <c r="K1735" s="25" t="str">
        <f>IFERROR(VLOOKUP(A1735,取得元!$A$2:$F$501,6,FALSE)/100,"-")</f>
        <v>-</v>
      </c>
      <c r="L1735" s="21" t="str">
        <f>_xll.RssMarket(A1735,"始値")</f>
        <v/>
      </c>
      <c r="M1735" s="4" t="e">
        <f t="shared" si="145"/>
        <v>#VALUE!</v>
      </c>
      <c r="N1735" s="21" t="str">
        <f>_xll.RssMarket(A1735,"高値")</f>
        <v/>
      </c>
      <c r="O1735" s="4" t="e">
        <f t="shared" si="146"/>
        <v>#VALUE!</v>
      </c>
      <c r="P1735" s="21" t="str">
        <f>_xll.RssMarket(A1735,"安値")</f>
        <v/>
      </c>
      <c r="Q1735" s="4" t="e">
        <f t="shared" si="147"/>
        <v>#VALUE!</v>
      </c>
      <c r="R1735" s="21" t="str">
        <f>_xll.RssMarket(A1735,"後場始値")</f>
        <v/>
      </c>
      <c r="S1735" s="25" t="str">
        <f t="shared" si="148"/>
        <v>-</v>
      </c>
      <c r="T1735" s="7" t="str">
        <f>_xll.RssMarket(A1735,"出来高加重平均")</f>
        <v/>
      </c>
      <c r="U1735" s="4" t="e">
        <f t="shared" si="149"/>
        <v>#VALUE!</v>
      </c>
      <c r="V1735" s="21" t="str">
        <f>_xll.RssMarket(A1735,"出来高")</f>
        <v/>
      </c>
      <c r="W1735" s="21" t="str">
        <f>_xll.RssMarket(A1735,"売買代金")</f>
        <v/>
      </c>
      <c r="X1735" s="20" t="str">
        <f>_xll.RssMarket(A1735,"決算発表日")</f>
        <v/>
      </c>
      <c r="Y1735" s="26" t="str">
        <f>IF(C1735&gt;_xll.RssMarket(A1735,"年初来高値"),"○","×")</f>
        <v>×</v>
      </c>
      <c r="Z1735" s="27" t="str">
        <f>IF(C1735&lt;=_xll.RssMarket(A1735,"年初来安値"),"○","×")</f>
        <v>○</v>
      </c>
    </row>
    <row r="1736" spans="2:26" x14ac:dyDescent="0.55000000000000004">
      <c r="B1736" s="20" t="str">
        <f>_xll.RssMarket(A1736,"銘柄名称")</f>
        <v/>
      </c>
      <c r="C1736" s="21" t="str">
        <f>_xll.RssMarket(A1736,"現在値")</f>
        <v/>
      </c>
      <c r="D1736" s="20" t="str">
        <f>_xll.RssMarket(A1736,"現在値詳細時刻")</f>
        <v/>
      </c>
      <c r="E1736" s="22" t="str">
        <f>_xll.RssMarket(A1736,"前日比")</f>
        <v/>
      </c>
      <c r="F1736" s="23" t="e">
        <f>_xll.RssMarket(A1736,"前日比率")/100</f>
        <v>#VALUE!</v>
      </c>
      <c r="G1736" s="24" t="str">
        <f>IFERROR(VLOOKUP(A1736,取得元!$A$2:$F$501,2,FALSE),"-")</f>
        <v>-</v>
      </c>
      <c r="H1736" s="24" t="str">
        <f>IFERROR(VLOOKUP(A1736,取得元!$A$2:$F$501,3,FALSE),"-")</f>
        <v>-</v>
      </c>
      <c r="I1736" s="24" t="str">
        <f>IFERROR(VLOOKUP(A1736,取得元!$A$2:$F$501,4,FALSE),"-")</f>
        <v>-</v>
      </c>
      <c r="J1736" s="5" t="str">
        <f>IFERROR(VLOOKUP(A1736,取得元!$A$2:$F$501,5,FALSE),"-")</f>
        <v>-</v>
      </c>
      <c r="K1736" s="25" t="str">
        <f>IFERROR(VLOOKUP(A1736,取得元!$A$2:$F$501,6,FALSE)/100,"-")</f>
        <v>-</v>
      </c>
      <c r="L1736" s="21" t="str">
        <f>_xll.RssMarket(A1736,"始値")</f>
        <v/>
      </c>
      <c r="M1736" s="4" t="e">
        <f t="shared" si="145"/>
        <v>#VALUE!</v>
      </c>
      <c r="N1736" s="21" t="str">
        <f>_xll.RssMarket(A1736,"高値")</f>
        <v/>
      </c>
      <c r="O1736" s="4" t="e">
        <f t="shared" si="146"/>
        <v>#VALUE!</v>
      </c>
      <c r="P1736" s="21" t="str">
        <f>_xll.RssMarket(A1736,"安値")</f>
        <v/>
      </c>
      <c r="Q1736" s="4" t="e">
        <f t="shared" si="147"/>
        <v>#VALUE!</v>
      </c>
      <c r="R1736" s="21" t="str">
        <f>_xll.RssMarket(A1736,"後場始値")</f>
        <v/>
      </c>
      <c r="S1736" s="25" t="str">
        <f t="shared" si="148"/>
        <v>-</v>
      </c>
      <c r="T1736" s="7" t="str">
        <f>_xll.RssMarket(A1736,"出来高加重平均")</f>
        <v/>
      </c>
      <c r="U1736" s="4" t="e">
        <f t="shared" si="149"/>
        <v>#VALUE!</v>
      </c>
      <c r="V1736" s="21" t="str">
        <f>_xll.RssMarket(A1736,"出来高")</f>
        <v/>
      </c>
      <c r="W1736" s="21" t="str">
        <f>_xll.RssMarket(A1736,"売買代金")</f>
        <v/>
      </c>
      <c r="X1736" s="20" t="str">
        <f>_xll.RssMarket(A1736,"決算発表日")</f>
        <v/>
      </c>
      <c r="Y1736" s="26" t="str">
        <f>IF(C1736&gt;_xll.RssMarket(A1736,"年初来高値"),"○","×")</f>
        <v>×</v>
      </c>
      <c r="Z1736" s="27" t="str">
        <f>IF(C1736&lt;=_xll.RssMarket(A1736,"年初来安値"),"○","×")</f>
        <v>○</v>
      </c>
    </row>
    <row r="1737" spans="2:26" x14ac:dyDescent="0.55000000000000004">
      <c r="B1737" s="20" t="str">
        <f>_xll.RssMarket(A1737,"銘柄名称")</f>
        <v/>
      </c>
      <c r="C1737" s="21" t="str">
        <f>_xll.RssMarket(A1737,"現在値")</f>
        <v/>
      </c>
      <c r="D1737" s="20" t="str">
        <f>_xll.RssMarket(A1737,"現在値詳細時刻")</f>
        <v/>
      </c>
      <c r="E1737" s="22" t="str">
        <f>_xll.RssMarket(A1737,"前日比")</f>
        <v/>
      </c>
      <c r="F1737" s="23" t="e">
        <f>_xll.RssMarket(A1737,"前日比率")/100</f>
        <v>#VALUE!</v>
      </c>
      <c r="G1737" s="24" t="str">
        <f>IFERROR(VLOOKUP(A1737,取得元!$A$2:$F$501,2,FALSE),"-")</f>
        <v>-</v>
      </c>
      <c r="H1737" s="24" t="str">
        <f>IFERROR(VLOOKUP(A1737,取得元!$A$2:$F$501,3,FALSE),"-")</f>
        <v>-</v>
      </c>
      <c r="I1737" s="24" t="str">
        <f>IFERROR(VLOOKUP(A1737,取得元!$A$2:$F$501,4,FALSE),"-")</f>
        <v>-</v>
      </c>
      <c r="J1737" s="5" t="str">
        <f>IFERROR(VLOOKUP(A1737,取得元!$A$2:$F$501,5,FALSE),"-")</f>
        <v>-</v>
      </c>
      <c r="K1737" s="25" t="str">
        <f>IFERROR(VLOOKUP(A1737,取得元!$A$2:$F$501,6,FALSE)/100,"-")</f>
        <v>-</v>
      </c>
      <c r="L1737" s="21" t="str">
        <f>_xll.RssMarket(A1737,"始値")</f>
        <v/>
      </c>
      <c r="M1737" s="4" t="e">
        <f t="shared" si="145"/>
        <v>#VALUE!</v>
      </c>
      <c r="N1737" s="21" t="str">
        <f>_xll.RssMarket(A1737,"高値")</f>
        <v/>
      </c>
      <c r="O1737" s="4" t="e">
        <f t="shared" si="146"/>
        <v>#VALUE!</v>
      </c>
      <c r="P1737" s="21" t="str">
        <f>_xll.RssMarket(A1737,"安値")</f>
        <v/>
      </c>
      <c r="Q1737" s="4" t="e">
        <f t="shared" si="147"/>
        <v>#VALUE!</v>
      </c>
      <c r="R1737" s="21" t="str">
        <f>_xll.RssMarket(A1737,"後場始値")</f>
        <v/>
      </c>
      <c r="S1737" s="25" t="str">
        <f t="shared" si="148"/>
        <v>-</v>
      </c>
      <c r="T1737" s="7" t="str">
        <f>_xll.RssMarket(A1737,"出来高加重平均")</f>
        <v/>
      </c>
      <c r="U1737" s="4" t="e">
        <f t="shared" si="149"/>
        <v>#VALUE!</v>
      </c>
      <c r="V1737" s="21" t="str">
        <f>_xll.RssMarket(A1737,"出来高")</f>
        <v/>
      </c>
      <c r="W1737" s="21" t="str">
        <f>_xll.RssMarket(A1737,"売買代金")</f>
        <v/>
      </c>
      <c r="X1737" s="20" t="str">
        <f>_xll.RssMarket(A1737,"決算発表日")</f>
        <v/>
      </c>
      <c r="Y1737" s="26" t="str">
        <f>IF(C1737&gt;_xll.RssMarket(A1737,"年初来高値"),"○","×")</f>
        <v>×</v>
      </c>
      <c r="Z1737" s="27" t="str">
        <f>IF(C1737&lt;=_xll.RssMarket(A1737,"年初来安値"),"○","×")</f>
        <v>○</v>
      </c>
    </row>
    <row r="1738" spans="2:26" x14ac:dyDescent="0.55000000000000004">
      <c r="B1738" s="20" t="str">
        <f>_xll.RssMarket(A1738,"銘柄名称")</f>
        <v/>
      </c>
      <c r="C1738" s="21" t="str">
        <f>_xll.RssMarket(A1738,"現在値")</f>
        <v/>
      </c>
      <c r="D1738" s="20" t="str">
        <f>_xll.RssMarket(A1738,"現在値詳細時刻")</f>
        <v/>
      </c>
      <c r="E1738" s="22" t="str">
        <f>_xll.RssMarket(A1738,"前日比")</f>
        <v/>
      </c>
      <c r="F1738" s="23" t="e">
        <f>_xll.RssMarket(A1738,"前日比率")/100</f>
        <v>#VALUE!</v>
      </c>
      <c r="G1738" s="24" t="str">
        <f>IFERROR(VLOOKUP(A1738,取得元!$A$2:$F$501,2,FALSE),"-")</f>
        <v>-</v>
      </c>
      <c r="H1738" s="24" t="str">
        <f>IFERROR(VLOOKUP(A1738,取得元!$A$2:$F$501,3,FALSE),"-")</f>
        <v>-</v>
      </c>
      <c r="I1738" s="24" t="str">
        <f>IFERROR(VLOOKUP(A1738,取得元!$A$2:$F$501,4,FALSE),"-")</f>
        <v>-</v>
      </c>
      <c r="J1738" s="5" t="str">
        <f>IFERROR(VLOOKUP(A1738,取得元!$A$2:$F$501,5,FALSE),"-")</f>
        <v>-</v>
      </c>
      <c r="K1738" s="25" t="str">
        <f>IFERROR(VLOOKUP(A1738,取得元!$A$2:$F$501,6,FALSE)/100,"-")</f>
        <v>-</v>
      </c>
      <c r="L1738" s="21" t="str">
        <f>_xll.RssMarket(A1738,"始値")</f>
        <v/>
      </c>
      <c r="M1738" s="4" t="e">
        <f t="shared" si="145"/>
        <v>#VALUE!</v>
      </c>
      <c r="N1738" s="21" t="str">
        <f>_xll.RssMarket(A1738,"高値")</f>
        <v/>
      </c>
      <c r="O1738" s="4" t="e">
        <f t="shared" si="146"/>
        <v>#VALUE!</v>
      </c>
      <c r="P1738" s="21" t="str">
        <f>_xll.RssMarket(A1738,"安値")</f>
        <v/>
      </c>
      <c r="Q1738" s="4" t="e">
        <f t="shared" si="147"/>
        <v>#VALUE!</v>
      </c>
      <c r="R1738" s="21" t="str">
        <f>_xll.RssMarket(A1738,"後場始値")</f>
        <v/>
      </c>
      <c r="S1738" s="25" t="str">
        <f t="shared" si="148"/>
        <v>-</v>
      </c>
      <c r="T1738" s="7" t="str">
        <f>_xll.RssMarket(A1738,"出来高加重平均")</f>
        <v/>
      </c>
      <c r="U1738" s="4" t="e">
        <f t="shared" si="149"/>
        <v>#VALUE!</v>
      </c>
      <c r="V1738" s="21" t="str">
        <f>_xll.RssMarket(A1738,"出来高")</f>
        <v/>
      </c>
      <c r="W1738" s="21" t="str">
        <f>_xll.RssMarket(A1738,"売買代金")</f>
        <v/>
      </c>
      <c r="X1738" s="20" t="str">
        <f>_xll.RssMarket(A1738,"決算発表日")</f>
        <v/>
      </c>
      <c r="Y1738" s="26" t="str">
        <f>IF(C1738&gt;_xll.RssMarket(A1738,"年初来高値"),"○","×")</f>
        <v>×</v>
      </c>
      <c r="Z1738" s="27" t="str">
        <f>IF(C1738&lt;=_xll.RssMarket(A1738,"年初来安値"),"○","×")</f>
        <v>○</v>
      </c>
    </row>
    <row r="1739" spans="2:26" x14ac:dyDescent="0.55000000000000004">
      <c r="B1739" s="20" t="str">
        <f>_xll.RssMarket(A1739,"銘柄名称")</f>
        <v/>
      </c>
      <c r="C1739" s="21" t="str">
        <f>_xll.RssMarket(A1739,"現在値")</f>
        <v/>
      </c>
      <c r="D1739" s="20" t="str">
        <f>_xll.RssMarket(A1739,"現在値詳細時刻")</f>
        <v/>
      </c>
      <c r="E1739" s="22" t="str">
        <f>_xll.RssMarket(A1739,"前日比")</f>
        <v/>
      </c>
      <c r="F1739" s="23" t="e">
        <f>_xll.RssMarket(A1739,"前日比率")/100</f>
        <v>#VALUE!</v>
      </c>
      <c r="G1739" s="24" t="str">
        <f>IFERROR(VLOOKUP(A1739,取得元!$A$2:$F$501,2,FALSE),"-")</f>
        <v>-</v>
      </c>
      <c r="H1739" s="24" t="str">
        <f>IFERROR(VLOOKUP(A1739,取得元!$A$2:$F$501,3,FALSE),"-")</f>
        <v>-</v>
      </c>
      <c r="I1739" s="24" t="str">
        <f>IFERROR(VLOOKUP(A1739,取得元!$A$2:$F$501,4,FALSE),"-")</f>
        <v>-</v>
      </c>
      <c r="J1739" s="5" t="str">
        <f>IFERROR(VLOOKUP(A1739,取得元!$A$2:$F$501,5,FALSE),"-")</f>
        <v>-</v>
      </c>
      <c r="K1739" s="25" t="str">
        <f>IFERROR(VLOOKUP(A1739,取得元!$A$2:$F$501,6,FALSE)/100,"-")</f>
        <v>-</v>
      </c>
      <c r="L1739" s="21" t="str">
        <f>_xll.RssMarket(A1739,"始値")</f>
        <v/>
      </c>
      <c r="M1739" s="4" t="e">
        <f t="shared" si="145"/>
        <v>#VALUE!</v>
      </c>
      <c r="N1739" s="21" t="str">
        <f>_xll.RssMarket(A1739,"高値")</f>
        <v/>
      </c>
      <c r="O1739" s="4" t="e">
        <f t="shared" si="146"/>
        <v>#VALUE!</v>
      </c>
      <c r="P1739" s="21" t="str">
        <f>_xll.RssMarket(A1739,"安値")</f>
        <v/>
      </c>
      <c r="Q1739" s="4" t="e">
        <f t="shared" si="147"/>
        <v>#VALUE!</v>
      </c>
      <c r="R1739" s="21" t="str">
        <f>_xll.RssMarket(A1739,"後場始値")</f>
        <v/>
      </c>
      <c r="S1739" s="25" t="str">
        <f t="shared" si="148"/>
        <v>-</v>
      </c>
      <c r="T1739" s="7" t="str">
        <f>_xll.RssMarket(A1739,"出来高加重平均")</f>
        <v/>
      </c>
      <c r="U1739" s="4" t="e">
        <f t="shared" si="149"/>
        <v>#VALUE!</v>
      </c>
      <c r="V1739" s="21" t="str">
        <f>_xll.RssMarket(A1739,"出来高")</f>
        <v/>
      </c>
      <c r="W1739" s="21" t="str">
        <f>_xll.RssMarket(A1739,"売買代金")</f>
        <v/>
      </c>
      <c r="X1739" s="20" t="str">
        <f>_xll.RssMarket(A1739,"決算発表日")</f>
        <v/>
      </c>
      <c r="Y1739" s="26" t="str">
        <f>IF(C1739&gt;_xll.RssMarket(A1739,"年初来高値"),"○","×")</f>
        <v>×</v>
      </c>
      <c r="Z1739" s="27" t="str">
        <f>IF(C1739&lt;=_xll.RssMarket(A1739,"年初来安値"),"○","×")</f>
        <v>○</v>
      </c>
    </row>
    <row r="1740" spans="2:26" x14ac:dyDescent="0.55000000000000004">
      <c r="B1740" s="20" t="str">
        <f>_xll.RssMarket(A1740,"銘柄名称")</f>
        <v/>
      </c>
      <c r="C1740" s="21" t="str">
        <f>_xll.RssMarket(A1740,"現在値")</f>
        <v/>
      </c>
      <c r="D1740" s="20" t="str">
        <f>_xll.RssMarket(A1740,"現在値詳細時刻")</f>
        <v/>
      </c>
      <c r="E1740" s="22" t="str">
        <f>_xll.RssMarket(A1740,"前日比")</f>
        <v/>
      </c>
      <c r="F1740" s="23" t="e">
        <f>_xll.RssMarket(A1740,"前日比率")/100</f>
        <v>#VALUE!</v>
      </c>
      <c r="G1740" s="24" t="str">
        <f>IFERROR(VLOOKUP(A1740,取得元!$A$2:$F$501,2,FALSE),"-")</f>
        <v>-</v>
      </c>
      <c r="H1740" s="24" t="str">
        <f>IFERROR(VLOOKUP(A1740,取得元!$A$2:$F$501,3,FALSE),"-")</f>
        <v>-</v>
      </c>
      <c r="I1740" s="24" t="str">
        <f>IFERROR(VLOOKUP(A1740,取得元!$A$2:$F$501,4,FALSE),"-")</f>
        <v>-</v>
      </c>
      <c r="J1740" s="5" t="str">
        <f>IFERROR(VLOOKUP(A1740,取得元!$A$2:$F$501,5,FALSE),"-")</f>
        <v>-</v>
      </c>
      <c r="K1740" s="25" t="str">
        <f>IFERROR(VLOOKUP(A1740,取得元!$A$2:$F$501,6,FALSE)/100,"-")</f>
        <v>-</v>
      </c>
      <c r="L1740" s="21" t="str">
        <f>_xll.RssMarket(A1740,"始値")</f>
        <v/>
      </c>
      <c r="M1740" s="4" t="e">
        <f t="shared" si="145"/>
        <v>#VALUE!</v>
      </c>
      <c r="N1740" s="21" t="str">
        <f>_xll.RssMarket(A1740,"高値")</f>
        <v/>
      </c>
      <c r="O1740" s="4" t="e">
        <f t="shared" si="146"/>
        <v>#VALUE!</v>
      </c>
      <c r="P1740" s="21" t="str">
        <f>_xll.RssMarket(A1740,"安値")</f>
        <v/>
      </c>
      <c r="Q1740" s="4" t="e">
        <f t="shared" si="147"/>
        <v>#VALUE!</v>
      </c>
      <c r="R1740" s="21" t="str">
        <f>_xll.RssMarket(A1740,"後場始値")</f>
        <v/>
      </c>
      <c r="S1740" s="25" t="str">
        <f t="shared" si="148"/>
        <v>-</v>
      </c>
      <c r="T1740" s="7" t="str">
        <f>_xll.RssMarket(A1740,"出来高加重平均")</f>
        <v/>
      </c>
      <c r="U1740" s="4" t="e">
        <f t="shared" si="149"/>
        <v>#VALUE!</v>
      </c>
      <c r="V1740" s="21" t="str">
        <f>_xll.RssMarket(A1740,"出来高")</f>
        <v/>
      </c>
      <c r="W1740" s="21" t="str">
        <f>_xll.RssMarket(A1740,"売買代金")</f>
        <v/>
      </c>
      <c r="X1740" s="20" t="str">
        <f>_xll.RssMarket(A1740,"決算発表日")</f>
        <v/>
      </c>
      <c r="Y1740" s="26" t="str">
        <f>IF(C1740&gt;_xll.RssMarket(A1740,"年初来高値"),"○","×")</f>
        <v>×</v>
      </c>
      <c r="Z1740" s="27" t="str">
        <f>IF(C1740&lt;=_xll.RssMarket(A1740,"年初来安値"),"○","×")</f>
        <v>○</v>
      </c>
    </row>
    <row r="1741" spans="2:26" x14ac:dyDescent="0.55000000000000004">
      <c r="B1741" s="20" t="str">
        <f>_xll.RssMarket(A1741,"銘柄名称")</f>
        <v/>
      </c>
      <c r="C1741" s="21" t="str">
        <f>_xll.RssMarket(A1741,"現在値")</f>
        <v/>
      </c>
      <c r="D1741" s="20" t="str">
        <f>_xll.RssMarket(A1741,"現在値詳細時刻")</f>
        <v/>
      </c>
      <c r="E1741" s="22" t="str">
        <f>_xll.RssMarket(A1741,"前日比")</f>
        <v/>
      </c>
      <c r="F1741" s="23" t="e">
        <f>_xll.RssMarket(A1741,"前日比率")/100</f>
        <v>#VALUE!</v>
      </c>
      <c r="G1741" s="24" t="str">
        <f>IFERROR(VLOOKUP(A1741,取得元!$A$2:$F$501,2,FALSE),"-")</f>
        <v>-</v>
      </c>
      <c r="H1741" s="24" t="str">
        <f>IFERROR(VLOOKUP(A1741,取得元!$A$2:$F$501,3,FALSE),"-")</f>
        <v>-</v>
      </c>
      <c r="I1741" s="24" t="str">
        <f>IFERROR(VLOOKUP(A1741,取得元!$A$2:$F$501,4,FALSE),"-")</f>
        <v>-</v>
      </c>
      <c r="J1741" s="5" t="str">
        <f>IFERROR(VLOOKUP(A1741,取得元!$A$2:$F$501,5,FALSE),"-")</f>
        <v>-</v>
      </c>
      <c r="K1741" s="25" t="str">
        <f>IFERROR(VLOOKUP(A1741,取得元!$A$2:$F$501,6,FALSE)/100,"-")</f>
        <v>-</v>
      </c>
      <c r="L1741" s="21" t="str">
        <f>_xll.RssMarket(A1741,"始値")</f>
        <v/>
      </c>
      <c r="M1741" s="4" t="e">
        <f t="shared" si="145"/>
        <v>#VALUE!</v>
      </c>
      <c r="N1741" s="21" t="str">
        <f>_xll.RssMarket(A1741,"高値")</f>
        <v/>
      </c>
      <c r="O1741" s="4" t="e">
        <f t="shared" si="146"/>
        <v>#VALUE!</v>
      </c>
      <c r="P1741" s="21" t="str">
        <f>_xll.RssMarket(A1741,"安値")</f>
        <v/>
      </c>
      <c r="Q1741" s="4" t="e">
        <f t="shared" si="147"/>
        <v>#VALUE!</v>
      </c>
      <c r="R1741" s="21" t="str">
        <f>_xll.RssMarket(A1741,"後場始値")</f>
        <v/>
      </c>
      <c r="S1741" s="25" t="str">
        <f t="shared" si="148"/>
        <v>-</v>
      </c>
      <c r="T1741" s="7" t="str">
        <f>_xll.RssMarket(A1741,"出来高加重平均")</f>
        <v/>
      </c>
      <c r="U1741" s="4" t="e">
        <f t="shared" si="149"/>
        <v>#VALUE!</v>
      </c>
      <c r="V1741" s="21" t="str">
        <f>_xll.RssMarket(A1741,"出来高")</f>
        <v/>
      </c>
      <c r="W1741" s="21" t="str">
        <f>_xll.RssMarket(A1741,"売買代金")</f>
        <v/>
      </c>
      <c r="X1741" s="20" t="str">
        <f>_xll.RssMarket(A1741,"決算発表日")</f>
        <v/>
      </c>
      <c r="Y1741" s="26" t="str">
        <f>IF(C1741&gt;_xll.RssMarket(A1741,"年初来高値"),"○","×")</f>
        <v>×</v>
      </c>
      <c r="Z1741" s="27" t="str">
        <f>IF(C1741&lt;=_xll.RssMarket(A1741,"年初来安値"),"○","×")</f>
        <v>○</v>
      </c>
    </row>
    <row r="1742" spans="2:26" x14ac:dyDescent="0.55000000000000004">
      <c r="B1742" s="20" t="str">
        <f>_xll.RssMarket(A1742,"銘柄名称")</f>
        <v/>
      </c>
      <c r="C1742" s="21" t="str">
        <f>_xll.RssMarket(A1742,"現在値")</f>
        <v/>
      </c>
      <c r="D1742" s="20" t="str">
        <f>_xll.RssMarket(A1742,"現在値詳細時刻")</f>
        <v/>
      </c>
      <c r="E1742" s="22" t="str">
        <f>_xll.RssMarket(A1742,"前日比")</f>
        <v/>
      </c>
      <c r="F1742" s="23" t="e">
        <f>_xll.RssMarket(A1742,"前日比率")/100</f>
        <v>#VALUE!</v>
      </c>
      <c r="G1742" s="24" t="str">
        <f>IFERROR(VLOOKUP(A1742,取得元!$A$2:$F$501,2,FALSE),"-")</f>
        <v>-</v>
      </c>
      <c r="H1742" s="24" t="str">
        <f>IFERROR(VLOOKUP(A1742,取得元!$A$2:$F$501,3,FALSE),"-")</f>
        <v>-</v>
      </c>
      <c r="I1742" s="24" t="str">
        <f>IFERROR(VLOOKUP(A1742,取得元!$A$2:$F$501,4,FALSE),"-")</f>
        <v>-</v>
      </c>
      <c r="J1742" s="5" t="str">
        <f>IFERROR(VLOOKUP(A1742,取得元!$A$2:$F$501,5,FALSE),"-")</f>
        <v>-</v>
      </c>
      <c r="K1742" s="25" t="str">
        <f>IFERROR(VLOOKUP(A1742,取得元!$A$2:$F$501,6,FALSE)/100,"-")</f>
        <v>-</v>
      </c>
      <c r="L1742" s="21" t="str">
        <f>_xll.RssMarket(A1742,"始値")</f>
        <v/>
      </c>
      <c r="M1742" s="4" t="e">
        <f t="shared" si="145"/>
        <v>#VALUE!</v>
      </c>
      <c r="N1742" s="21" t="str">
        <f>_xll.RssMarket(A1742,"高値")</f>
        <v/>
      </c>
      <c r="O1742" s="4" t="e">
        <f t="shared" si="146"/>
        <v>#VALUE!</v>
      </c>
      <c r="P1742" s="21" t="str">
        <f>_xll.RssMarket(A1742,"安値")</f>
        <v/>
      </c>
      <c r="Q1742" s="4" t="e">
        <f t="shared" si="147"/>
        <v>#VALUE!</v>
      </c>
      <c r="R1742" s="21" t="str">
        <f>_xll.RssMarket(A1742,"後場始値")</f>
        <v/>
      </c>
      <c r="S1742" s="25" t="str">
        <f t="shared" si="148"/>
        <v>-</v>
      </c>
      <c r="T1742" s="7" t="str">
        <f>_xll.RssMarket(A1742,"出来高加重平均")</f>
        <v/>
      </c>
      <c r="U1742" s="4" t="e">
        <f t="shared" si="149"/>
        <v>#VALUE!</v>
      </c>
      <c r="V1742" s="21" t="str">
        <f>_xll.RssMarket(A1742,"出来高")</f>
        <v/>
      </c>
      <c r="W1742" s="21" t="str">
        <f>_xll.RssMarket(A1742,"売買代金")</f>
        <v/>
      </c>
      <c r="X1742" s="20" t="str">
        <f>_xll.RssMarket(A1742,"決算発表日")</f>
        <v/>
      </c>
      <c r="Y1742" s="26" t="str">
        <f>IF(C1742&gt;_xll.RssMarket(A1742,"年初来高値"),"○","×")</f>
        <v>×</v>
      </c>
      <c r="Z1742" s="27" t="str">
        <f>IF(C1742&lt;=_xll.RssMarket(A1742,"年初来安値"),"○","×")</f>
        <v>○</v>
      </c>
    </row>
    <row r="1743" spans="2:26" x14ac:dyDescent="0.55000000000000004">
      <c r="B1743" s="20" t="str">
        <f>_xll.RssMarket(A1743,"銘柄名称")</f>
        <v/>
      </c>
      <c r="C1743" s="21" t="str">
        <f>_xll.RssMarket(A1743,"現在値")</f>
        <v/>
      </c>
      <c r="D1743" s="20" t="str">
        <f>_xll.RssMarket(A1743,"現在値詳細時刻")</f>
        <v/>
      </c>
      <c r="E1743" s="22" t="str">
        <f>_xll.RssMarket(A1743,"前日比")</f>
        <v/>
      </c>
      <c r="F1743" s="23" t="e">
        <f>_xll.RssMarket(A1743,"前日比率")/100</f>
        <v>#VALUE!</v>
      </c>
      <c r="G1743" s="24" t="str">
        <f>IFERROR(VLOOKUP(A1743,取得元!$A$2:$F$501,2,FALSE),"-")</f>
        <v>-</v>
      </c>
      <c r="H1743" s="24" t="str">
        <f>IFERROR(VLOOKUP(A1743,取得元!$A$2:$F$501,3,FALSE),"-")</f>
        <v>-</v>
      </c>
      <c r="I1743" s="24" t="str">
        <f>IFERROR(VLOOKUP(A1743,取得元!$A$2:$F$501,4,FALSE),"-")</f>
        <v>-</v>
      </c>
      <c r="J1743" s="5" t="str">
        <f>IFERROR(VLOOKUP(A1743,取得元!$A$2:$F$501,5,FALSE),"-")</f>
        <v>-</v>
      </c>
      <c r="K1743" s="25" t="str">
        <f>IFERROR(VLOOKUP(A1743,取得元!$A$2:$F$501,6,FALSE)/100,"-")</f>
        <v>-</v>
      </c>
      <c r="L1743" s="21" t="str">
        <f>_xll.RssMarket(A1743,"始値")</f>
        <v/>
      </c>
      <c r="M1743" s="4" t="e">
        <f t="shared" si="145"/>
        <v>#VALUE!</v>
      </c>
      <c r="N1743" s="21" t="str">
        <f>_xll.RssMarket(A1743,"高値")</f>
        <v/>
      </c>
      <c r="O1743" s="4" t="e">
        <f t="shared" si="146"/>
        <v>#VALUE!</v>
      </c>
      <c r="P1743" s="21" t="str">
        <f>_xll.RssMarket(A1743,"安値")</f>
        <v/>
      </c>
      <c r="Q1743" s="4" t="e">
        <f t="shared" si="147"/>
        <v>#VALUE!</v>
      </c>
      <c r="R1743" s="21" t="str">
        <f>_xll.RssMarket(A1743,"後場始値")</f>
        <v/>
      </c>
      <c r="S1743" s="25" t="str">
        <f t="shared" si="148"/>
        <v>-</v>
      </c>
      <c r="T1743" s="7" t="str">
        <f>_xll.RssMarket(A1743,"出来高加重平均")</f>
        <v/>
      </c>
      <c r="U1743" s="4" t="e">
        <f t="shared" si="149"/>
        <v>#VALUE!</v>
      </c>
      <c r="V1743" s="21" t="str">
        <f>_xll.RssMarket(A1743,"出来高")</f>
        <v/>
      </c>
      <c r="W1743" s="21" t="str">
        <f>_xll.RssMarket(A1743,"売買代金")</f>
        <v/>
      </c>
      <c r="X1743" s="20" t="str">
        <f>_xll.RssMarket(A1743,"決算発表日")</f>
        <v/>
      </c>
      <c r="Y1743" s="26" t="str">
        <f>IF(C1743&gt;_xll.RssMarket(A1743,"年初来高値"),"○","×")</f>
        <v>×</v>
      </c>
      <c r="Z1743" s="27" t="str">
        <f>IF(C1743&lt;=_xll.RssMarket(A1743,"年初来安値"),"○","×")</f>
        <v>○</v>
      </c>
    </row>
    <row r="1744" spans="2:26" x14ac:dyDescent="0.55000000000000004">
      <c r="B1744" s="20" t="str">
        <f>_xll.RssMarket(A1744,"銘柄名称")</f>
        <v/>
      </c>
      <c r="C1744" s="21" t="str">
        <f>_xll.RssMarket(A1744,"現在値")</f>
        <v/>
      </c>
      <c r="D1744" s="20" t="str">
        <f>_xll.RssMarket(A1744,"現在値詳細時刻")</f>
        <v/>
      </c>
      <c r="E1744" s="22" t="str">
        <f>_xll.RssMarket(A1744,"前日比")</f>
        <v/>
      </c>
      <c r="F1744" s="23" t="e">
        <f>_xll.RssMarket(A1744,"前日比率")/100</f>
        <v>#VALUE!</v>
      </c>
      <c r="G1744" s="24" t="str">
        <f>IFERROR(VLOOKUP(A1744,取得元!$A$2:$F$501,2,FALSE),"-")</f>
        <v>-</v>
      </c>
      <c r="H1744" s="24" t="str">
        <f>IFERROR(VLOOKUP(A1744,取得元!$A$2:$F$501,3,FALSE),"-")</f>
        <v>-</v>
      </c>
      <c r="I1744" s="24" t="str">
        <f>IFERROR(VLOOKUP(A1744,取得元!$A$2:$F$501,4,FALSE),"-")</f>
        <v>-</v>
      </c>
      <c r="J1744" s="5" t="str">
        <f>IFERROR(VLOOKUP(A1744,取得元!$A$2:$F$501,5,FALSE),"-")</f>
        <v>-</v>
      </c>
      <c r="K1744" s="25" t="str">
        <f>IFERROR(VLOOKUP(A1744,取得元!$A$2:$F$501,6,FALSE)/100,"-")</f>
        <v>-</v>
      </c>
      <c r="L1744" s="21" t="str">
        <f>_xll.RssMarket(A1744,"始値")</f>
        <v/>
      </c>
      <c r="M1744" s="4" t="e">
        <f t="shared" si="145"/>
        <v>#VALUE!</v>
      </c>
      <c r="N1744" s="21" t="str">
        <f>_xll.RssMarket(A1744,"高値")</f>
        <v/>
      </c>
      <c r="O1744" s="4" t="e">
        <f t="shared" si="146"/>
        <v>#VALUE!</v>
      </c>
      <c r="P1744" s="21" t="str">
        <f>_xll.RssMarket(A1744,"安値")</f>
        <v/>
      </c>
      <c r="Q1744" s="4" t="e">
        <f t="shared" si="147"/>
        <v>#VALUE!</v>
      </c>
      <c r="R1744" s="21" t="str">
        <f>_xll.RssMarket(A1744,"後場始値")</f>
        <v/>
      </c>
      <c r="S1744" s="25" t="str">
        <f t="shared" si="148"/>
        <v>-</v>
      </c>
      <c r="T1744" s="7" t="str">
        <f>_xll.RssMarket(A1744,"出来高加重平均")</f>
        <v/>
      </c>
      <c r="U1744" s="4" t="e">
        <f t="shared" si="149"/>
        <v>#VALUE!</v>
      </c>
      <c r="V1744" s="21" t="str">
        <f>_xll.RssMarket(A1744,"出来高")</f>
        <v/>
      </c>
      <c r="W1744" s="21" t="str">
        <f>_xll.RssMarket(A1744,"売買代金")</f>
        <v/>
      </c>
      <c r="X1744" s="20" t="str">
        <f>_xll.RssMarket(A1744,"決算発表日")</f>
        <v/>
      </c>
      <c r="Y1744" s="26" t="str">
        <f>IF(C1744&gt;_xll.RssMarket(A1744,"年初来高値"),"○","×")</f>
        <v>×</v>
      </c>
      <c r="Z1744" s="27" t="str">
        <f>IF(C1744&lt;=_xll.RssMarket(A1744,"年初来安値"),"○","×")</f>
        <v>○</v>
      </c>
    </row>
    <row r="1745" spans="2:26" x14ac:dyDescent="0.55000000000000004">
      <c r="B1745" s="20" t="str">
        <f>_xll.RssMarket(A1745,"銘柄名称")</f>
        <v/>
      </c>
      <c r="C1745" s="21" t="str">
        <f>_xll.RssMarket(A1745,"現在値")</f>
        <v/>
      </c>
      <c r="D1745" s="20" t="str">
        <f>_xll.RssMarket(A1745,"現在値詳細時刻")</f>
        <v/>
      </c>
      <c r="E1745" s="22" t="str">
        <f>_xll.RssMarket(A1745,"前日比")</f>
        <v/>
      </c>
      <c r="F1745" s="23" t="e">
        <f>_xll.RssMarket(A1745,"前日比率")/100</f>
        <v>#VALUE!</v>
      </c>
      <c r="G1745" s="24" t="str">
        <f>IFERROR(VLOOKUP(A1745,取得元!$A$2:$F$501,2,FALSE),"-")</f>
        <v>-</v>
      </c>
      <c r="H1745" s="24" t="str">
        <f>IFERROR(VLOOKUP(A1745,取得元!$A$2:$F$501,3,FALSE),"-")</f>
        <v>-</v>
      </c>
      <c r="I1745" s="24" t="str">
        <f>IFERROR(VLOOKUP(A1745,取得元!$A$2:$F$501,4,FALSE),"-")</f>
        <v>-</v>
      </c>
      <c r="J1745" s="5" t="str">
        <f>IFERROR(VLOOKUP(A1745,取得元!$A$2:$F$501,5,FALSE),"-")</f>
        <v>-</v>
      </c>
      <c r="K1745" s="25" t="str">
        <f>IFERROR(VLOOKUP(A1745,取得元!$A$2:$F$501,6,FALSE)/100,"-")</f>
        <v>-</v>
      </c>
      <c r="L1745" s="21" t="str">
        <f>_xll.RssMarket(A1745,"始値")</f>
        <v/>
      </c>
      <c r="M1745" s="4" t="e">
        <f t="shared" si="145"/>
        <v>#VALUE!</v>
      </c>
      <c r="N1745" s="21" t="str">
        <f>_xll.RssMarket(A1745,"高値")</f>
        <v/>
      </c>
      <c r="O1745" s="4" t="e">
        <f t="shared" si="146"/>
        <v>#VALUE!</v>
      </c>
      <c r="P1745" s="21" t="str">
        <f>_xll.RssMarket(A1745,"安値")</f>
        <v/>
      </c>
      <c r="Q1745" s="4" t="e">
        <f t="shared" si="147"/>
        <v>#VALUE!</v>
      </c>
      <c r="R1745" s="21" t="str">
        <f>_xll.RssMarket(A1745,"後場始値")</f>
        <v/>
      </c>
      <c r="S1745" s="25" t="str">
        <f t="shared" si="148"/>
        <v>-</v>
      </c>
      <c r="T1745" s="7" t="str">
        <f>_xll.RssMarket(A1745,"出来高加重平均")</f>
        <v/>
      </c>
      <c r="U1745" s="4" t="e">
        <f t="shared" si="149"/>
        <v>#VALUE!</v>
      </c>
      <c r="V1745" s="21" t="str">
        <f>_xll.RssMarket(A1745,"出来高")</f>
        <v/>
      </c>
      <c r="W1745" s="21" t="str">
        <f>_xll.RssMarket(A1745,"売買代金")</f>
        <v/>
      </c>
      <c r="X1745" s="20" t="str">
        <f>_xll.RssMarket(A1745,"決算発表日")</f>
        <v/>
      </c>
      <c r="Y1745" s="26" t="str">
        <f>IF(C1745&gt;_xll.RssMarket(A1745,"年初来高値"),"○","×")</f>
        <v>×</v>
      </c>
      <c r="Z1745" s="27" t="str">
        <f>IF(C1745&lt;=_xll.RssMarket(A1745,"年初来安値"),"○","×")</f>
        <v>○</v>
      </c>
    </row>
    <row r="1746" spans="2:26" x14ac:dyDescent="0.55000000000000004">
      <c r="B1746" s="20" t="str">
        <f>_xll.RssMarket(A1746,"銘柄名称")</f>
        <v/>
      </c>
      <c r="C1746" s="21" t="str">
        <f>_xll.RssMarket(A1746,"現在値")</f>
        <v/>
      </c>
      <c r="D1746" s="20" t="str">
        <f>_xll.RssMarket(A1746,"現在値詳細時刻")</f>
        <v/>
      </c>
      <c r="E1746" s="22" t="str">
        <f>_xll.RssMarket(A1746,"前日比")</f>
        <v/>
      </c>
      <c r="F1746" s="23" t="e">
        <f>_xll.RssMarket(A1746,"前日比率")/100</f>
        <v>#VALUE!</v>
      </c>
      <c r="G1746" s="24" t="str">
        <f>IFERROR(VLOOKUP(A1746,取得元!$A$2:$F$501,2,FALSE),"-")</f>
        <v>-</v>
      </c>
      <c r="H1746" s="24" t="str">
        <f>IFERROR(VLOOKUP(A1746,取得元!$A$2:$F$501,3,FALSE),"-")</f>
        <v>-</v>
      </c>
      <c r="I1746" s="24" t="str">
        <f>IFERROR(VLOOKUP(A1746,取得元!$A$2:$F$501,4,FALSE),"-")</f>
        <v>-</v>
      </c>
      <c r="J1746" s="5" t="str">
        <f>IFERROR(VLOOKUP(A1746,取得元!$A$2:$F$501,5,FALSE),"-")</f>
        <v>-</v>
      </c>
      <c r="K1746" s="25" t="str">
        <f>IFERROR(VLOOKUP(A1746,取得元!$A$2:$F$501,6,FALSE)/100,"-")</f>
        <v>-</v>
      </c>
      <c r="L1746" s="21" t="str">
        <f>_xll.RssMarket(A1746,"始値")</f>
        <v/>
      </c>
      <c r="M1746" s="4" t="e">
        <f t="shared" si="145"/>
        <v>#VALUE!</v>
      </c>
      <c r="N1746" s="21" t="str">
        <f>_xll.RssMarket(A1746,"高値")</f>
        <v/>
      </c>
      <c r="O1746" s="4" t="e">
        <f t="shared" si="146"/>
        <v>#VALUE!</v>
      </c>
      <c r="P1746" s="21" t="str">
        <f>_xll.RssMarket(A1746,"安値")</f>
        <v/>
      </c>
      <c r="Q1746" s="4" t="e">
        <f t="shared" si="147"/>
        <v>#VALUE!</v>
      </c>
      <c r="R1746" s="21" t="str">
        <f>_xll.RssMarket(A1746,"後場始値")</f>
        <v/>
      </c>
      <c r="S1746" s="25" t="str">
        <f t="shared" si="148"/>
        <v>-</v>
      </c>
      <c r="T1746" s="7" t="str">
        <f>_xll.RssMarket(A1746,"出来高加重平均")</f>
        <v/>
      </c>
      <c r="U1746" s="4" t="e">
        <f t="shared" si="149"/>
        <v>#VALUE!</v>
      </c>
      <c r="V1746" s="21" t="str">
        <f>_xll.RssMarket(A1746,"出来高")</f>
        <v/>
      </c>
      <c r="W1746" s="21" t="str">
        <f>_xll.RssMarket(A1746,"売買代金")</f>
        <v/>
      </c>
      <c r="X1746" s="20" t="str">
        <f>_xll.RssMarket(A1746,"決算発表日")</f>
        <v/>
      </c>
      <c r="Y1746" s="26" t="str">
        <f>IF(C1746&gt;_xll.RssMarket(A1746,"年初来高値"),"○","×")</f>
        <v>×</v>
      </c>
      <c r="Z1746" s="27" t="str">
        <f>IF(C1746&lt;=_xll.RssMarket(A1746,"年初来安値"),"○","×")</f>
        <v>○</v>
      </c>
    </row>
    <row r="1747" spans="2:26" x14ac:dyDescent="0.55000000000000004">
      <c r="B1747" s="20" t="str">
        <f>_xll.RssMarket(A1747,"銘柄名称")</f>
        <v/>
      </c>
      <c r="C1747" s="21" t="str">
        <f>_xll.RssMarket(A1747,"現在値")</f>
        <v/>
      </c>
      <c r="D1747" s="20" t="str">
        <f>_xll.RssMarket(A1747,"現在値詳細時刻")</f>
        <v/>
      </c>
      <c r="E1747" s="22" t="str">
        <f>_xll.RssMarket(A1747,"前日比")</f>
        <v/>
      </c>
      <c r="F1747" s="23" t="e">
        <f>_xll.RssMarket(A1747,"前日比率")/100</f>
        <v>#VALUE!</v>
      </c>
      <c r="G1747" s="24" t="str">
        <f>IFERROR(VLOOKUP(A1747,取得元!$A$2:$F$501,2,FALSE),"-")</f>
        <v>-</v>
      </c>
      <c r="H1747" s="24" t="str">
        <f>IFERROR(VLOOKUP(A1747,取得元!$A$2:$F$501,3,FALSE),"-")</f>
        <v>-</v>
      </c>
      <c r="I1747" s="24" t="str">
        <f>IFERROR(VLOOKUP(A1747,取得元!$A$2:$F$501,4,FALSE),"-")</f>
        <v>-</v>
      </c>
      <c r="J1747" s="5" t="str">
        <f>IFERROR(VLOOKUP(A1747,取得元!$A$2:$F$501,5,FALSE),"-")</f>
        <v>-</v>
      </c>
      <c r="K1747" s="25" t="str">
        <f>IFERROR(VLOOKUP(A1747,取得元!$A$2:$F$501,6,FALSE)/100,"-")</f>
        <v>-</v>
      </c>
      <c r="L1747" s="21" t="str">
        <f>_xll.RssMarket(A1747,"始値")</f>
        <v/>
      </c>
      <c r="M1747" s="4" t="e">
        <f t="shared" si="145"/>
        <v>#VALUE!</v>
      </c>
      <c r="N1747" s="21" t="str">
        <f>_xll.RssMarket(A1747,"高値")</f>
        <v/>
      </c>
      <c r="O1747" s="4" t="e">
        <f t="shared" si="146"/>
        <v>#VALUE!</v>
      </c>
      <c r="P1747" s="21" t="str">
        <f>_xll.RssMarket(A1747,"安値")</f>
        <v/>
      </c>
      <c r="Q1747" s="4" t="e">
        <f t="shared" si="147"/>
        <v>#VALUE!</v>
      </c>
      <c r="R1747" s="21" t="str">
        <f>_xll.RssMarket(A1747,"後場始値")</f>
        <v/>
      </c>
      <c r="S1747" s="25" t="str">
        <f t="shared" si="148"/>
        <v>-</v>
      </c>
      <c r="T1747" s="7" t="str">
        <f>_xll.RssMarket(A1747,"出来高加重平均")</f>
        <v/>
      </c>
      <c r="U1747" s="4" t="e">
        <f t="shared" si="149"/>
        <v>#VALUE!</v>
      </c>
      <c r="V1747" s="21" t="str">
        <f>_xll.RssMarket(A1747,"出来高")</f>
        <v/>
      </c>
      <c r="W1747" s="21" t="str">
        <f>_xll.RssMarket(A1747,"売買代金")</f>
        <v/>
      </c>
      <c r="X1747" s="20" t="str">
        <f>_xll.RssMarket(A1747,"決算発表日")</f>
        <v/>
      </c>
      <c r="Y1747" s="26" t="str">
        <f>IF(C1747&gt;_xll.RssMarket(A1747,"年初来高値"),"○","×")</f>
        <v>×</v>
      </c>
      <c r="Z1747" s="27" t="str">
        <f>IF(C1747&lt;=_xll.RssMarket(A1747,"年初来安値"),"○","×")</f>
        <v>○</v>
      </c>
    </row>
    <row r="1748" spans="2:26" x14ac:dyDescent="0.55000000000000004">
      <c r="B1748" s="20" t="str">
        <f>_xll.RssMarket(A1748,"銘柄名称")</f>
        <v/>
      </c>
      <c r="C1748" s="21" t="str">
        <f>_xll.RssMarket(A1748,"現在値")</f>
        <v/>
      </c>
      <c r="D1748" s="20" t="str">
        <f>_xll.RssMarket(A1748,"現在値詳細時刻")</f>
        <v/>
      </c>
      <c r="E1748" s="22" t="str">
        <f>_xll.RssMarket(A1748,"前日比")</f>
        <v/>
      </c>
      <c r="F1748" s="23" t="e">
        <f>_xll.RssMarket(A1748,"前日比率")/100</f>
        <v>#VALUE!</v>
      </c>
      <c r="G1748" s="24" t="str">
        <f>IFERROR(VLOOKUP(A1748,取得元!$A$2:$F$501,2,FALSE),"-")</f>
        <v>-</v>
      </c>
      <c r="H1748" s="24" t="str">
        <f>IFERROR(VLOOKUP(A1748,取得元!$A$2:$F$501,3,FALSE),"-")</f>
        <v>-</v>
      </c>
      <c r="I1748" s="24" t="str">
        <f>IFERROR(VLOOKUP(A1748,取得元!$A$2:$F$501,4,FALSE),"-")</f>
        <v>-</v>
      </c>
      <c r="J1748" s="5" t="str">
        <f>IFERROR(VLOOKUP(A1748,取得元!$A$2:$F$501,5,FALSE),"-")</f>
        <v>-</v>
      </c>
      <c r="K1748" s="25" t="str">
        <f>IFERROR(VLOOKUP(A1748,取得元!$A$2:$F$501,6,FALSE)/100,"-")</f>
        <v>-</v>
      </c>
      <c r="L1748" s="21" t="str">
        <f>_xll.RssMarket(A1748,"始値")</f>
        <v/>
      </c>
      <c r="M1748" s="4" t="e">
        <f t="shared" si="145"/>
        <v>#VALUE!</v>
      </c>
      <c r="N1748" s="21" t="str">
        <f>_xll.RssMarket(A1748,"高値")</f>
        <v/>
      </c>
      <c r="O1748" s="4" t="e">
        <f t="shared" si="146"/>
        <v>#VALUE!</v>
      </c>
      <c r="P1748" s="21" t="str">
        <f>_xll.RssMarket(A1748,"安値")</f>
        <v/>
      </c>
      <c r="Q1748" s="4" t="e">
        <f t="shared" si="147"/>
        <v>#VALUE!</v>
      </c>
      <c r="R1748" s="21" t="str">
        <f>_xll.RssMarket(A1748,"後場始値")</f>
        <v/>
      </c>
      <c r="S1748" s="25" t="str">
        <f t="shared" si="148"/>
        <v>-</v>
      </c>
      <c r="T1748" s="7" t="str">
        <f>_xll.RssMarket(A1748,"出来高加重平均")</f>
        <v/>
      </c>
      <c r="U1748" s="4" t="e">
        <f t="shared" si="149"/>
        <v>#VALUE!</v>
      </c>
      <c r="V1748" s="21" t="str">
        <f>_xll.RssMarket(A1748,"出来高")</f>
        <v/>
      </c>
      <c r="W1748" s="21" t="str">
        <f>_xll.RssMarket(A1748,"売買代金")</f>
        <v/>
      </c>
      <c r="X1748" s="20" t="str">
        <f>_xll.RssMarket(A1748,"決算発表日")</f>
        <v/>
      </c>
      <c r="Y1748" s="26" t="str">
        <f>IF(C1748&gt;_xll.RssMarket(A1748,"年初来高値"),"○","×")</f>
        <v>×</v>
      </c>
      <c r="Z1748" s="27" t="str">
        <f>IF(C1748&lt;=_xll.RssMarket(A1748,"年初来安値"),"○","×")</f>
        <v>○</v>
      </c>
    </row>
    <row r="1749" spans="2:26" x14ac:dyDescent="0.55000000000000004">
      <c r="B1749" s="20" t="str">
        <f>_xll.RssMarket(A1749,"銘柄名称")</f>
        <v/>
      </c>
      <c r="C1749" s="21" t="str">
        <f>_xll.RssMarket(A1749,"現在値")</f>
        <v/>
      </c>
      <c r="D1749" s="20" t="str">
        <f>_xll.RssMarket(A1749,"現在値詳細時刻")</f>
        <v/>
      </c>
      <c r="E1749" s="22" t="str">
        <f>_xll.RssMarket(A1749,"前日比")</f>
        <v/>
      </c>
      <c r="F1749" s="23" t="e">
        <f>_xll.RssMarket(A1749,"前日比率")/100</f>
        <v>#VALUE!</v>
      </c>
      <c r="G1749" s="24" t="str">
        <f>IFERROR(VLOOKUP(A1749,取得元!$A$2:$F$501,2,FALSE),"-")</f>
        <v>-</v>
      </c>
      <c r="H1749" s="24" t="str">
        <f>IFERROR(VLOOKUP(A1749,取得元!$A$2:$F$501,3,FALSE),"-")</f>
        <v>-</v>
      </c>
      <c r="I1749" s="24" t="str">
        <f>IFERROR(VLOOKUP(A1749,取得元!$A$2:$F$501,4,FALSE),"-")</f>
        <v>-</v>
      </c>
      <c r="J1749" s="5" t="str">
        <f>IFERROR(VLOOKUP(A1749,取得元!$A$2:$F$501,5,FALSE),"-")</f>
        <v>-</v>
      </c>
      <c r="K1749" s="25" t="str">
        <f>IFERROR(VLOOKUP(A1749,取得元!$A$2:$F$501,6,FALSE)/100,"-")</f>
        <v>-</v>
      </c>
      <c r="L1749" s="21" t="str">
        <f>_xll.RssMarket(A1749,"始値")</f>
        <v/>
      </c>
      <c r="M1749" s="4" t="e">
        <f t="shared" si="145"/>
        <v>#VALUE!</v>
      </c>
      <c r="N1749" s="21" t="str">
        <f>_xll.RssMarket(A1749,"高値")</f>
        <v/>
      </c>
      <c r="O1749" s="4" t="e">
        <f t="shared" si="146"/>
        <v>#VALUE!</v>
      </c>
      <c r="P1749" s="21" t="str">
        <f>_xll.RssMarket(A1749,"安値")</f>
        <v/>
      </c>
      <c r="Q1749" s="4" t="e">
        <f t="shared" si="147"/>
        <v>#VALUE!</v>
      </c>
      <c r="R1749" s="21" t="str">
        <f>_xll.RssMarket(A1749,"後場始値")</f>
        <v/>
      </c>
      <c r="S1749" s="25" t="str">
        <f t="shared" si="148"/>
        <v>-</v>
      </c>
      <c r="T1749" s="7" t="str">
        <f>_xll.RssMarket(A1749,"出来高加重平均")</f>
        <v/>
      </c>
      <c r="U1749" s="4" t="e">
        <f t="shared" si="149"/>
        <v>#VALUE!</v>
      </c>
      <c r="V1749" s="21" t="str">
        <f>_xll.RssMarket(A1749,"出来高")</f>
        <v/>
      </c>
      <c r="W1749" s="21" t="str">
        <f>_xll.RssMarket(A1749,"売買代金")</f>
        <v/>
      </c>
      <c r="X1749" s="20" t="str">
        <f>_xll.RssMarket(A1749,"決算発表日")</f>
        <v/>
      </c>
      <c r="Y1749" s="26" t="str">
        <f>IF(C1749&gt;_xll.RssMarket(A1749,"年初来高値"),"○","×")</f>
        <v>×</v>
      </c>
      <c r="Z1749" s="27" t="str">
        <f>IF(C1749&lt;=_xll.RssMarket(A1749,"年初来安値"),"○","×")</f>
        <v>○</v>
      </c>
    </row>
    <row r="1750" spans="2:26" x14ac:dyDescent="0.55000000000000004">
      <c r="B1750" s="20" t="str">
        <f>_xll.RssMarket(A1750,"銘柄名称")</f>
        <v/>
      </c>
      <c r="C1750" s="21" t="str">
        <f>_xll.RssMarket(A1750,"現在値")</f>
        <v/>
      </c>
      <c r="D1750" s="20" t="str">
        <f>_xll.RssMarket(A1750,"現在値詳細時刻")</f>
        <v/>
      </c>
      <c r="E1750" s="22" t="str">
        <f>_xll.RssMarket(A1750,"前日比")</f>
        <v/>
      </c>
      <c r="F1750" s="23" t="e">
        <f>_xll.RssMarket(A1750,"前日比率")/100</f>
        <v>#VALUE!</v>
      </c>
      <c r="G1750" s="24" t="str">
        <f>IFERROR(VLOOKUP(A1750,取得元!$A$2:$F$501,2,FALSE),"-")</f>
        <v>-</v>
      </c>
      <c r="H1750" s="24" t="str">
        <f>IFERROR(VLOOKUP(A1750,取得元!$A$2:$F$501,3,FALSE),"-")</f>
        <v>-</v>
      </c>
      <c r="I1750" s="24" t="str">
        <f>IFERROR(VLOOKUP(A1750,取得元!$A$2:$F$501,4,FALSE),"-")</f>
        <v>-</v>
      </c>
      <c r="J1750" s="5" t="str">
        <f>IFERROR(VLOOKUP(A1750,取得元!$A$2:$F$501,5,FALSE),"-")</f>
        <v>-</v>
      </c>
      <c r="K1750" s="25" t="str">
        <f>IFERROR(VLOOKUP(A1750,取得元!$A$2:$F$501,6,FALSE)/100,"-")</f>
        <v>-</v>
      </c>
      <c r="L1750" s="21" t="str">
        <f>_xll.RssMarket(A1750,"始値")</f>
        <v/>
      </c>
      <c r="M1750" s="4" t="e">
        <f t="shared" ref="M1750:M1813" si="150">C1750/L1750-1</f>
        <v>#VALUE!</v>
      </c>
      <c r="N1750" s="21" t="str">
        <f>_xll.RssMarket(A1750,"高値")</f>
        <v/>
      </c>
      <c r="O1750" s="4" t="e">
        <f t="shared" ref="O1750:O1813" si="151">C1750/N1750-1</f>
        <v>#VALUE!</v>
      </c>
      <c r="P1750" s="21" t="str">
        <f>_xll.RssMarket(A1750,"安値")</f>
        <v/>
      </c>
      <c r="Q1750" s="4" t="e">
        <f t="shared" ref="Q1750:Q1813" si="152">C1750/P1750-1</f>
        <v>#VALUE!</v>
      </c>
      <c r="R1750" s="21" t="str">
        <f>_xll.RssMarket(A1750,"後場始値")</f>
        <v/>
      </c>
      <c r="S1750" s="25" t="str">
        <f t="shared" ref="S1750:S1813" si="153">IFERROR(C1750/R1750-1,"-")</f>
        <v>-</v>
      </c>
      <c r="T1750" s="7" t="str">
        <f>_xll.RssMarket(A1750,"出来高加重平均")</f>
        <v/>
      </c>
      <c r="U1750" s="4" t="e">
        <f t="shared" ref="U1750:U1813" si="154">C1750/T1750-1</f>
        <v>#VALUE!</v>
      </c>
      <c r="V1750" s="21" t="str">
        <f>_xll.RssMarket(A1750,"出来高")</f>
        <v/>
      </c>
      <c r="W1750" s="21" t="str">
        <f>_xll.RssMarket(A1750,"売買代金")</f>
        <v/>
      </c>
      <c r="X1750" s="20" t="str">
        <f>_xll.RssMarket(A1750,"決算発表日")</f>
        <v/>
      </c>
      <c r="Y1750" s="26" t="str">
        <f>IF(C1750&gt;_xll.RssMarket(A1750,"年初来高値"),"○","×")</f>
        <v>×</v>
      </c>
      <c r="Z1750" s="27" t="str">
        <f>IF(C1750&lt;=_xll.RssMarket(A1750,"年初来安値"),"○","×")</f>
        <v>○</v>
      </c>
    </row>
    <row r="1751" spans="2:26" x14ac:dyDescent="0.55000000000000004">
      <c r="B1751" s="20" t="str">
        <f>_xll.RssMarket(A1751,"銘柄名称")</f>
        <v/>
      </c>
      <c r="C1751" s="21" t="str">
        <f>_xll.RssMarket(A1751,"現在値")</f>
        <v/>
      </c>
      <c r="D1751" s="20" t="str">
        <f>_xll.RssMarket(A1751,"現在値詳細時刻")</f>
        <v/>
      </c>
      <c r="E1751" s="22" t="str">
        <f>_xll.RssMarket(A1751,"前日比")</f>
        <v/>
      </c>
      <c r="F1751" s="23" t="e">
        <f>_xll.RssMarket(A1751,"前日比率")/100</f>
        <v>#VALUE!</v>
      </c>
      <c r="G1751" s="24" t="str">
        <f>IFERROR(VLOOKUP(A1751,取得元!$A$2:$F$501,2,FALSE),"-")</f>
        <v>-</v>
      </c>
      <c r="H1751" s="24" t="str">
        <f>IFERROR(VLOOKUP(A1751,取得元!$A$2:$F$501,3,FALSE),"-")</f>
        <v>-</v>
      </c>
      <c r="I1751" s="24" t="str">
        <f>IFERROR(VLOOKUP(A1751,取得元!$A$2:$F$501,4,FALSE),"-")</f>
        <v>-</v>
      </c>
      <c r="J1751" s="5" t="str">
        <f>IFERROR(VLOOKUP(A1751,取得元!$A$2:$F$501,5,FALSE),"-")</f>
        <v>-</v>
      </c>
      <c r="K1751" s="25" t="str">
        <f>IFERROR(VLOOKUP(A1751,取得元!$A$2:$F$501,6,FALSE)/100,"-")</f>
        <v>-</v>
      </c>
      <c r="L1751" s="21" t="str">
        <f>_xll.RssMarket(A1751,"始値")</f>
        <v/>
      </c>
      <c r="M1751" s="4" t="e">
        <f t="shared" si="150"/>
        <v>#VALUE!</v>
      </c>
      <c r="N1751" s="21" t="str">
        <f>_xll.RssMarket(A1751,"高値")</f>
        <v/>
      </c>
      <c r="O1751" s="4" t="e">
        <f t="shared" si="151"/>
        <v>#VALUE!</v>
      </c>
      <c r="P1751" s="21" t="str">
        <f>_xll.RssMarket(A1751,"安値")</f>
        <v/>
      </c>
      <c r="Q1751" s="4" t="e">
        <f t="shared" si="152"/>
        <v>#VALUE!</v>
      </c>
      <c r="R1751" s="21" t="str">
        <f>_xll.RssMarket(A1751,"後場始値")</f>
        <v/>
      </c>
      <c r="S1751" s="25" t="str">
        <f t="shared" si="153"/>
        <v>-</v>
      </c>
      <c r="T1751" s="7" t="str">
        <f>_xll.RssMarket(A1751,"出来高加重平均")</f>
        <v/>
      </c>
      <c r="U1751" s="4" t="e">
        <f t="shared" si="154"/>
        <v>#VALUE!</v>
      </c>
      <c r="V1751" s="21" t="str">
        <f>_xll.RssMarket(A1751,"出来高")</f>
        <v/>
      </c>
      <c r="W1751" s="21" t="str">
        <f>_xll.RssMarket(A1751,"売買代金")</f>
        <v/>
      </c>
      <c r="X1751" s="20" t="str">
        <f>_xll.RssMarket(A1751,"決算発表日")</f>
        <v/>
      </c>
      <c r="Y1751" s="26" t="str">
        <f>IF(C1751&gt;_xll.RssMarket(A1751,"年初来高値"),"○","×")</f>
        <v>×</v>
      </c>
      <c r="Z1751" s="27" t="str">
        <f>IF(C1751&lt;=_xll.RssMarket(A1751,"年初来安値"),"○","×")</f>
        <v>○</v>
      </c>
    </row>
    <row r="1752" spans="2:26" x14ac:dyDescent="0.55000000000000004">
      <c r="B1752" s="20" t="str">
        <f>_xll.RssMarket(A1752,"銘柄名称")</f>
        <v/>
      </c>
      <c r="C1752" s="21" t="str">
        <f>_xll.RssMarket(A1752,"現在値")</f>
        <v/>
      </c>
      <c r="D1752" s="20" t="str">
        <f>_xll.RssMarket(A1752,"現在値詳細時刻")</f>
        <v/>
      </c>
      <c r="E1752" s="22" t="str">
        <f>_xll.RssMarket(A1752,"前日比")</f>
        <v/>
      </c>
      <c r="F1752" s="23" t="e">
        <f>_xll.RssMarket(A1752,"前日比率")/100</f>
        <v>#VALUE!</v>
      </c>
      <c r="G1752" s="24" t="str">
        <f>IFERROR(VLOOKUP(A1752,取得元!$A$2:$F$501,2,FALSE),"-")</f>
        <v>-</v>
      </c>
      <c r="H1752" s="24" t="str">
        <f>IFERROR(VLOOKUP(A1752,取得元!$A$2:$F$501,3,FALSE),"-")</f>
        <v>-</v>
      </c>
      <c r="I1752" s="24" t="str">
        <f>IFERROR(VLOOKUP(A1752,取得元!$A$2:$F$501,4,FALSE),"-")</f>
        <v>-</v>
      </c>
      <c r="J1752" s="5" t="str">
        <f>IFERROR(VLOOKUP(A1752,取得元!$A$2:$F$501,5,FALSE),"-")</f>
        <v>-</v>
      </c>
      <c r="K1752" s="25" t="str">
        <f>IFERROR(VLOOKUP(A1752,取得元!$A$2:$F$501,6,FALSE)/100,"-")</f>
        <v>-</v>
      </c>
      <c r="L1752" s="21" t="str">
        <f>_xll.RssMarket(A1752,"始値")</f>
        <v/>
      </c>
      <c r="M1752" s="4" t="e">
        <f t="shared" si="150"/>
        <v>#VALUE!</v>
      </c>
      <c r="N1752" s="21" t="str">
        <f>_xll.RssMarket(A1752,"高値")</f>
        <v/>
      </c>
      <c r="O1752" s="4" t="e">
        <f t="shared" si="151"/>
        <v>#VALUE!</v>
      </c>
      <c r="P1752" s="21" t="str">
        <f>_xll.RssMarket(A1752,"安値")</f>
        <v/>
      </c>
      <c r="Q1752" s="4" t="e">
        <f t="shared" si="152"/>
        <v>#VALUE!</v>
      </c>
      <c r="R1752" s="21" t="str">
        <f>_xll.RssMarket(A1752,"後場始値")</f>
        <v/>
      </c>
      <c r="S1752" s="25" t="str">
        <f t="shared" si="153"/>
        <v>-</v>
      </c>
      <c r="T1752" s="7" t="str">
        <f>_xll.RssMarket(A1752,"出来高加重平均")</f>
        <v/>
      </c>
      <c r="U1752" s="4" t="e">
        <f t="shared" si="154"/>
        <v>#VALUE!</v>
      </c>
      <c r="V1752" s="21" t="str">
        <f>_xll.RssMarket(A1752,"出来高")</f>
        <v/>
      </c>
      <c r="W1752" s="21" t="str">
        <f>_xll.RssMarket(A1752,"売買代金")</f>
        <v/>
      </c>
      <c r="X1752" s="20" t="str">
        <f>_xll.RssMarket(A1752,"決算発表日")</f>
        <v/>
      </c>
      <c r="Y1752" s="26" t="str">
        <f>IF(C1752&gt;_xll.RssMarket(A1752,"年初来高値"),"○","×")</f>
        <v>×</v>
      </c>
      <c r="Z1752" s="27" t="str">
        <f>IF(C1752&lt;=_xll.RssMarket(A1752,"年初来安値"),"○","×")</f>
        <v>○</v>
      </c>
    </row>
    <row r="1753" spans="2:26" x14ac:dyDescent="0.55000000000000004">
      <c r="B1753" s="20" t="str">
        <f>_xll.RssMarket(A1753,"銘柄名称")</f>
        <v/>
      </c>
      <c r="C1753" s="21" t="str">
        <f>_xll.RssMarket(A1753,"現在値")</f>
        <v/>
      </c>
      <c r="D1753" s="20" t="str">
        <f>_xll.RssMarket(A1753,"現在値詳細時刻")</f>
        <v/>
      </c>
      <c r="E1753" s="22" t="str">
        <f>_xll.RssMarket(A1753,"前日比")</f>
        <v/>
      </c>
      <c r="F1753" s="23" t="e">
        <f>_xll.RssMarket(A1753,"前日比率")/100</f>
        <v>#VALUE!</v>
      </c>
      <c r="G1753" s="24" t="str">
        <f>IFERROR(VLOOKUP(A1753,取得元!$A$2:$F$501,2,FALSE),"-")</f>
        <v>-</v>
      </c>
      <c r="H1753" s="24" t="str">
        <f>IFERROR(VLOOKUP(A1753,取得元!$A$2:$F$501,3,FALSE),"-")</f>
        <v>-</v>
      </c>
      <c r="I1753" s="24" t="str">
        <f>IFERROR(VLOOKUP(A1753,取得元!$A$2:$F$501,4,FALSE),"-")</f>
        <v>-</v>
      </c>
      <c r="J1753" s="5" t="str">
        <f>IFERROR(VLOOKUP(A1753,取得元!$A$2:$F$501,5,FALSE),"-")</f>
        <v>-</v>
      </c>
      <c r="K1753" s="25" t="str">
        <f>IFERROR(VLOOKUP(A1753,取得元!$A$2:$F$501,6,FALSE)/100,"-")</f>
        <v>-</v>
      </c>
      <c r="L1753" s="21" t="str">
        <f>_xll.RssMarket(A1753,"始値")</f>
        <v/>
      </c>
      <c r="M1753" s="4" t="e">
        <f t="shared" si="150"/>
        <v>#VALUE!</v>
      </c>
      <c r="N1753" s="21" t="str">
        <f>_xll.RssMarket(A1753,"高値")</f>
        <v/>
      </c>
      <c r="O1753" s="4" t="e">
        <f t="shared" si="151"/>
        <v>#VALUE!</v>
      </c>
      <c r="P1753" s="21" t="str">
        <f>_xll.RssMarket(A1753,"安値")</f>
        <v/>
      </c>
      <c r="Q1753" s="4" t="e">
        <f t="shared" si="152"/>
        <v>#VALUE!</v>
      </c>
      <c r="R1753" s="21" t="str">
        <f>_xll.RssMarket(A1753,"後場始値")</f>
        <v/>
      </c>
      <c r="S1753" s="25" t="str">
        <f t="shared" si="153"/>
        <v>-</v>
      </c>
      <c r="T1753" s="7" t="str">
        <f>_xll.RssMarket(A1753,"出来高加重平均")</f>
        <v/>
      </c>
      <c r="U1753" s="4" t="e">
        <f t="shared" si="154"/>
        <v>#VALUE!</v>
      </c>
      <c r="V1753" s="21" t="str">
        <f>_xll.RssMarket(A1753,"出来高")</f>
        <v/>
      </c>
      <c r="W1753" s="21" t="str">
        <f>_xll.RssMarket(A1753,"売買代金")</f>
        <v/>
      </c>
      <c r="X1753" s="20" t="str">
        <f>_xll.RssMarket(A1753,"決算発表日")</f>
        <v/>
      </c>
      <c r="Y1753" s="26" t="str">
        <f>IF(C1753&gt;_xll.RssMarket(A1753,"年初来高値"),"○","×")</f>
        <v>×</v>
      </c>
      <c r="Z1753" s="27" t="str">
        <f>IF(C1753&lt;=_xll.RssMarket(A1753,"年初来安値"),"○","×")</f>
        <v>○</v>
      </c>
    </row>
    <row r="1754" spans="2:26" x14ac:dyDescent="0.55000000000000004">
      <c r="B1754" s="20" t="str">
        <f>_xll.RssMarket(A1754,"銘柄名称")</f>
        <v/>
      </c>
      <c r="C1754" s="21" t="str">
        <f>_xll.RssMarket(A1754,"現在値")</f>
        <v/>
      </c>
      <c r="D1754" s="20" t="str">
        <f>_xll.RssMarket(A1754,"現在値詳細時刻")</f>
        <v/>
      </c>
      <c r="E1754" s="22" t="str">
        <f>_xll.RssMarket(A1754,"前日比")</f>
        <v/>
      </c>
      <c r="F1754" s="23" t="e">
        <f>_xll.RssMarket(A1754,"前日比率")/100</f>
        <v>#VALUE!</v>
      </c>
      <c r="G1754" s="24" t="str">
        <f>IFERROR(VLOOKUP(A1754,取得元!$A$2:$F$501,2,FALSE),"-")</f>
        <v>-</v>
      </c>
      <c r="H1754" s="24" t="str">
        <f>IFERROR(VLOOKUP(A1754,取得元!$A$2:$F$501,3,FALSE),"-")</f>
        <v>-</v>
      </c>
      <c r="I1754" s="24" t="str">
        <f>IFERROR(VLOOKUP(A1754,取得元!$A$2:$F$501,4,FALSE),"-")</f>
        <v>-</v>
      </c>
      <c r="J1754" s="5" t="str">
        <f>IFERROR(VLOOKUP(A1754,取得元!$A$2:$F$501,5,FALSE),"-")</f>
        <v>-</v>
      </c>
      <c r="K1754" s="25" t="str">
        <f>IFERROR(VLOOKUP(A1754,取得元!$A$2:$F$501,6,FALSE)/100,"-")</f>
        <v>-</v>
      </c>
      <c r="L1754" s="21" t="str">
        <f>_xll.RssMarket(A1754,"始値")</f>
        <v/>
      </c>
      <c r="M1754" s="4" t="e">
        <f t="shared" si="150"/>
        <v>#VALUE!</v>
      </c>
      <c r="N1754" s="21" t="str">
        <f>_xll.RssMarket(A1754,"高値")</f>
        <v/>
      </c>
      <c r="O1754" s="4" t="e">
        <f t="shared" si="151"/>
        <v>#VALUE!</v>
      </c>
      <c r="P1754" s="21" t="str">
        <f>_xll.RssMarket(A1754,"安値")</f>
        <v/>
      </c>
      <c r="Q1754" s="4" t="e">
        <f t="shared" si="152"/>
        <v>#VALUE!</v>
      </c>
      <c r="R1754" s="21" t="str">
        <f>_xll.RssMarket(A1754,"後場始値")</f>
        <v/>
      </c>
      <c r="S1754" s="25" t="str">
        <f t="shared" si="153"/>
        <v>-</v>
      </c>
      <c r="T1754" s="7" t="str">
        <f>_xll.RssMarket(A1754,"出来高加重平均")</f>
        <v/>
      </c>
      <c r="U1754" s="4" t="e">
        <f t="shared" si="154"/>
        <v>#VALUE!</v>
      </c>
      <c r="V1754" s="21" t="str">
        <f>_xll.RssMarket(A1754,"出来高")</f>
        <v/>
      </c>
      <c r="W1754" s="21" t="str">
        <f>_xll.RssMarket(A1754,"売買代金")</f>
        <v/>
      </c>
      <c r="X1754" s="20" t="str">
        <f>_xll.RssMarket(A1754,"決算発表日")</f>
        <v/>
      </c>
      <c r="Y1754" s="26" t="str">
        <f>IF(C1754&gt;_xll.RssMarket(A1754,"年初来高値"),"○","×")</f>
        <v>×</v>
      </c>
      <c r="Z1754" s="27" t="str">
        <f>IF(C1754&lt;=_xll.RssMarket(A1754,"年初来安値"),"○","×")</f>
        <v>○</v>
      </c>
    </row>
    <row r="1755" spans="2:26" x14ac:dyDescent="0.55000000000000004">
      <c r="B1755" s="20" t="str">
        <f>_xll.RssMarket(A1755,"銘柄名称")</f>
        <v/>
      </c>
      <c r="C1755" s="21" t="str">
        <f>_xll.RssMarket(A1755,"現在値")</f>
        <v/>
      </c>
      <c r="D1755" s="20" t="str">
        <f>_xll.RssMarket(A1755,"現在値詳細時刻")</f>
        <v/>
      </c>
      <c r="E1755" s="22" t="str">
        <f>_xll.RssMarket(A1755,"前日比")</f>
        <v/>
      </c>
      <c r="F1755" s="23" t="e">
        <f>_xll.RssMarket(A1755,"前日比率")/100</f>
        <v>#VALUE!</v>
      </c>
      <c r="G1755" s="24" t="str">
        <f>IFERROR(VLOOKUP(A1755,取得元!$A$2:$F$501,2,FALSE),"-")</f>
        <v>-</v>
      </c>
      <c r="H1755" s="24" t="str">
        <f>IFERROR(VLOOKUP(A1755,取得元!$A$2:$F$501,3,FALSE),"-")</f>
        <v>-</v>
      </c>
      <c r="I1755" s="24" t="str">
        <f>IFERROR(VLOOKUP(A1755,取得元!$A$2:$F$501,4,FALSE),"-")</f>
        <v>-</v>
      </c>
      <c r="J1755" s="5" t="str">
        <f>IFERROR(VLOOKUP(A1755,取得元!$A$2:$F$501,5,FALSE),"-")</f>
        <v>-</v>
      </c>
      <c r="K1755" s="25" t="str">
        <f>IFERROR(VLOOKUP(A1755,取得元!$A$2:$F$501,6,FALSE)/100,"-")</f>
        <v>-</v>
      </c>
      <c r="L1755" s="21" t="str">
        <f>_xll.RssMarket(A1755,"始値")</f>
        <v/>
      </c>
      <c r="M1755" s="4" t="e">
        <f t="shared" si="150"/>
        <v>#VALUE!</v>
      </c>
      <c r="N1755" s="21" t="str">
        <f>_xll.RssMarket(A1755,"高値")</f>
        <v/>
      </c>
      <c r="O1755" s="4" t="e">
        <f t="shared" si="151"/>
        <v>#VALUE!</v>
      </c>
      <c r="P1755" s="21" t="str">
        <f>_xll.RssMarket(A1755,"安値")</f>
        <v/>
      </c>
      <c r="Q1755" s="4" t="e">
        <f t="shared" si="152"/>
        <v>#VALUE!</v>
      </c>
      <c r="R1755" s="21" t="str">
        <f>_xll.RssMarket(A1755,"後場始値")</f>
        <v/>
      </c>
      <c r="S1755" s="25" t="str">
        <f t="shared" si="153"/>
        <v>-</v>
      </c>
      <c r="T1755" s="7" t="str">
        <f>_xll.RssMarket(A1755,"出来高加重平均")</f>
        <v/>
      </c>
      <c r="U1755" s="4" t="e">
        <f t="shared" si="154"/>
        <v>#VALUE!</v>
      </c>
      <c r="V1755" s="21" t="str">
        <f>_xll.RssMarket(A1755,"出来高")</f>
        <v/>
      </c>
      <c r="W1755" s="21" t="str">
        <f>_xll.RssMarket(A1755,"売買代金")</f>
        <v/>
      </c>
      <c r="X1755" s="20" t="str">
        <f>_xll.RssMarket(A1755,"決算発表日")</f>
        <v/>
      </c>
      <c r="Y1755" s="26" t="str">
        <f>IF(C1755&gt;_xll.RssMarket(A1755,"年初来高値"),"○","×")</f>
        <v>×</v>
      </c>
      <c r="Z1755" s="27" t="str">
        <f>IF(C1755&lt;=_xll.RssMarket(A1755,"年初来安値"),"○","×")</f>
        <v>○</v>
      </c>
    </row>
    <row r="1756" spans="2:26" x14ac:dyDescent="0.55000000000000004">
      <c r="B1756" s="20" t="str">
        <f>_xll.RssMarket(A1756,"銘柄名称")</f>
        <v/>
      </c>
      <c r="C1756" s="21" t="str">
        <f>_xll.RssMarket(A1756,"現在値")</f>
        <v/>
      </c>
      <c r="D1756" s="20" t="str">
        <f>_xll.RssMarket(A1756,"現在値詳細時刻")</f>
        <v/>
      </c>
      <c r="E1756" s="22" t="str">
        <f>_xll.RssMarket(A1756,"前日比")</f>
        <v/>
      </c>
      <c r="F1756" s="23" t="e">
        <f>_xll.RssMarket(A1756,"前日比率")/100</f>
        <v>#VALUE!</v>
      </c>
      <c r="G1756" s="24" t="str">
        <f>IFERROR(VLOOKUP(A1756,取得元!$A$2:$F$501,2,FALSE),"-")</f>
        <v>-</v>
      </c>
      <c r="H1756" s="24" t="str">
        <f>IFERROR(VLOOKUP(A1756,取得元!$A$2:$F$501,3,FALSE),"-")</f>
        <v>-</v>
      </c>
      <c r="I1756" s="24" t="str">
        <f>IFERROR(VLOOKUP(A1756,取得元!$A$2:$F$501,4,FALSE),"-")</f>
        <v>-</v>
      </c>
      <c r="J1756" s="5" t="str">
        <f>IFERROR(VLOOKUP(A1756,取得元!$A$2:$F$501,5,FALSE),"-")</f>
        <v>-</v>
      </c>
      <c r="K1756" s="25" t="str">
        <f>IFERROR(VLOOKUP(A1756,取得元!$A$2:$F$501,6,FALSE)/100,"-")</f>
        <v>-</v>
      </c>
      <c r="L1756" s="21" t="str">
        <f>_xll.RssMarket(A1756,"始値")</f>
        <v/>
      </c>
      <c r="M1756" s="4" t="e">
        <f t="shared" si="150"/>
        <v>#VALUE!</v>
      </c>
      <c r="N1756" s="21" t="str">
        <f>_xll.RssMarket(A1756,"高値")</f>
        <v/>
      </c>
      <c r="O1756" s="4" t="e">
        <f t="shared" si="151"/>
        <v>#VALUE!</v>
      </c>
      <c r="P1756" s="21" t="str">
        <f>_xll.RssMarket(A1756,"安値")</f>
        <v/>
      </c>
      <c r="Q1756" s="4" t="e">
        <f t="shared" si="152"/>
        <v>#VALUE!</v>
      </c>
      <c r="R1756" s="21" t="str">
        <f>_xll.RssMarket(A1756,"後場始値")</f>
        <v/>
      </c>
      <c r="S1756" s="25" t="str">
        <f t="shared" si="153"/>
        <v>-</v>
      </c>
      <c r="T1756" s="7" t="str">
        <f>_xll.RssMarket(A1756,"出来高加重平均")</f>
        <v/>
      </c>
      <c r="U1756" s="4" t="e">
        <f t="shared" si="154"/>
        <v>#VALUE!</v>
      </c>
      <c r="V1756" s="21" t="str">
        <f>_xll.RssMarket(A1756,"出来高")</f>
        <v/>
      </c>
      <c r="W1756" s="21" t="str">
        <f>_xll.RssMarket(A1756,"売買代金")</f>
        <v/>
      </c>
      <c r="X1756" s="20" t="str">
        <f>_xll.RssMarket(A1756,"決算発表日")</f>
        <v/>
      </c>
      <c r="Y1756" s="26" t="str">
        <f>IF(C1756&gt;_xll.RssMarket(A1756,"年初来高値"),"○","×")</f>
        <v>×</v>
      </c>
      <c r="Z1756" s="27" t="str">
        <f>IF(C1756&lt;=_xll.RssMarket(A1756,"年初来安値"),"○","×")</f>
        <v>○</v>
      </c>
    </row>
    <row r="1757" spans="2:26" x14ac:dyDescent="0.55000000000000004">
      <c r="B1757" s="20" t="str">
        <f>_xll.RssMarket(A1757,"銘柄名称")</f>
        <v/>
      </c>
      <c r="C1757" s="21" t="str">
        <f>_xll.RssMarket(A1757,"現在値")</f>
        <v/>
      </c>
      <c r="D1757" s="20" t="str">
        <f>_xll.RssMarket(A1757,"現在値詳細時刻")</f>
        <v/>
      </c>
      <c r="E1757" s="22" t="str">
        <f>_xll.RssMarket(A1757,"前日比")</f>
        <v/>
      </c>
      <c r="F1757" s="23" t="e">
        <f>_xll.RssMarket(A1757,"前日比率")/100</f>
        <v>#VALUE!</v>
      </c>
      <c r="G1757" s="24" t="str">
        <f>IFERROR(VLOOKUP(A1757,取得元!$A$2:$F$501,2,FALSE),"-")</f>
        <v>-</v>
      </c>
      <c r="H1757" s="24" t="str">
        <f>IFERROR(VLOOKUP(A1757,取得元!$A$2:$F$501,3,FALSE),"-")</f>
        <v>-</v>
      </c>
      <c r="I1757" s="24" t="str">
        <f>IFERROR(VLOOKUP(A1757,取得元!$A$2:$F$501,4,FALSE),"-")</f>
        <v>-</v>
      </c>
      <c r="J1757" s="5" t="str">
        <f>IFERROR(VLOOKUP(A1757,取得元!$A$2:$F$501,5,FALSE),"-")</f>
        <v>-</v>
      </c>
      <c r="K1757" s="25" t="str">
        <f>IFERROR(VLOOKUP(A1757,取得元!$A$2:$F$501,6,FALSE)/100,"-")</f>
        <v>-</v>
      </c>
      <c r="L1757" s="21" t="str">
        <f>_xll.RssMarket(A1757,"始値")</f>
        <v/>
      </c>
      <c r="M1757" s="4" t="e">
        <f t="shared" si="150"/>
        <v>#VALUE!</v>
      </c>
      <c r="N1757" s="21" t="str">
        <f>_xll.RssMarket(A1757,"高値")</f>
        <v/>
      </c>
      <c r="O1757" s="4" t="e">
        <f t="shared" si="151"/>
        <v>#VALUE!</v>
      </c>
      <c r="P1757" s="21" t="str">
        <f>_xll.RssMarket(A1757,"安値")</f>
        <v/>
      </c>
      <c r="Q1757" s="4" t="e">
        <f t="shared" si="152"/>
        <v>#VALUE!</v>
      </c>
      <c r="R1757" s="21" t="str">
        <f>_xll.RssMarket(A1757,"後場始値")</f>
        <v/>
      </c>
      <c r="S1757" s="25" t="str">
        <f t="shared" si="153"/>
        <v>-</v>
      </c>
      <c r="T1757" s="7" t="str">
        <f>_xll.RssMarket(A1757,"出来高加重平均")</f>
        <v/>
      </c>
      <c r="U1757" s="4" t="e">
        <f t="shared" si="154"/>
        <v>#VALUE!</v>
      </c>
      <c r="V1757" s="21" t="str">
        <f>_xll.RssMarket(A1757,"出来高")</f>
        <v/>
      </c>
      <c r="W1757" s="21" t="str">
        <f>_xll.RssMarket(A1757,"売買代金")</f>
        <v/>
      </c>
      <c r="X1757" s="20" t="str">
        <f>_xll.RssMarket(A1757,"決算発表日")</f>
        <v/>
      </c>
      <c r="Y1757" s="26" t="str">
        <f>IF(C1757&gt;_xll.RssMarket(A1757,"年初来高値"),"○","×")</f>
        <v>×</v>
      </c>
      <c r="Z1757" s="27" t="str">
        <f>IF(C1757&lt;=_xll.RssMarket(A1757,"年初来安値"),"○","×")</f>
        <v>○</v>
      </c>
    </row>
    <row r="1758" spans="2:26" x14ac:dyDescent="0.55000000000000004">
      <c r="B1758" s="20" t="str">
        <f>_xll.RssMarket(A1758,"銘柄名称")</f>
        <v/>
      </c>
      <c r="C1758" s="21" t="str">
        <f>_xll.RssMarket(A1758,"現在値")</f>
        <v/>
      </c>
      <c r="D1758" s="20" t="str">
        <f>_xll.RssMarket(A1758,"現在値詳細時刻")</f>
        <v/>
      </c>
      <c r="E1758" s="22" t="str">
        <f>_xll.RssMarket(A1758,"前日比")</f>
        <v/>
      </c>
      <c r="F1758" s="23" t="e">
        <f>_xll.RssMarket(A1758,"前日比率")/100</f>
        <v>#VALUE!</v>
      </c>
      <c r="G1758" s="24" t="str">
        <f>IFERROR(VLOOKUP(A1758,取得元!$A$2:$F$501,2,FALSE),"-")</f>
        <v>-</v>
      </c>
      <c r="H1758" s="24" t="str">
        <f>IFERROR(VLOOKUP(A1758,取得元!$A$2:$F$501,3,FALSE),"-")</f>
        <v>-</v>
      </c>
      <c r="I1758" s="24" t="str">
        <f>IFERROR(VLOOKUP(A1758,取得元!$A$2:$F$501,4,FALSE),"-")</f>
        <v>-</v>
      </c>
      <c r="J1758" s="5" t="str">
        <f>IFERROR(VLOOKUP(A1758,取得元!$A$2:$F$501,5,FALSE),"-")</f>
        <v>-</v>
      </c>
      <c r="K1758" s="25" t="str">
        <f>IFERROR(VLOOKUP(A1758,取得元!$A$2:$F$501,6,FALSE)/100,"-")</f>
        <v>-</v>
      </c>
      <c r="L1758" s="21" t="str">
        <f>_xll.RssMarket(A1758,"始値")</f>
        <v/>
      </c>
      <c r="M1758" s="4" t="e">
        <f t="shared" si="150"/>
        <v>#VALUE!</v>
      </c>
      <c r="N1758" s="21" t="str">
        <f>_xll.RssMarket(A1758,"高値")</f>
        <v/>
      </c>
      <c r="O1758" s="4" t="e">
        <f t="shared" si="151"/>
        <v>#VALUE!</v>
      </c>
      <c r="P1758" s="21" t="str">
        <f>_xll.RssMarket(A1758,"安値")</f>
        <v/>
      </c>
      <c r="Q1758" s="4" t="e">
        <f t="shared" si="152"/>
        <v>#VALUE!</v>
      </c>
      <c r="R1758" s="21" t="str">
        <f>_xll.RssMarket(A1758,"後場始値")</f>
        <v/>
      </c>
      <c r="S1758" s="25" t="str">
        <f t="shared" si="153"/>
        <v>-</v>
      </c>
      <c r="T1758" s="7" t="str">
        <f>_xll.RssMarket(A1758,"出来高加重平均")</f>
        <v/>
      </c>
      <c r="U1758" s="4" t="e">
        <f t="shared" si="154"/>
        <v>#VALUE!</v>
      </c>
      <c r="V1758" s="21" t="str">
        <f>_xll.RssMarket(A1758,"出来高")</f>
        <v/>
      </c>
      <c r="W1758" s="21" t="str">
        <f>_xll.RssMarket(A1758,"売買代金")</f>
        <v/>
      </c>
      <c r="X1758" s="20" t="str">
        <f>_xll.RssMarket(A1758,"決算発表日")</f>
        <v/>
      </c>
      <c r="Y1758" s="26" t="str">
        <f>IF(C1758&gt;_xll.RssMarket(A1758,"年初来高値"),"○","×")</f>
        <v>×</v>
      </c>
      <c r="Z1758" s="27" t="str">
        <f>IF(C1758&lt;=_xll.RssMarket(A1758,"年初来安値"),"○","×")</f>
        <v>○</v>
      </c>
    </row>
    <row r="1759" spans="2:26" x14ac:dyDescent="0.55000000000000004">
      <c r="B1759" s="20" t="str">
        <f>_xll.RssMarket(A1759,"銘柄名称")</f>
        <v/>
      </c>
      <c r="C1759" s="21" t="str">
        <f>_xll.RssMarket(A1759,"現在値")</f>
        <v/>
      </c>
      <c r="D1759" s="20" t="str">
        <f>_xll.RssMarket(A1759,"現在値詳細時刻")</f>
        <v/>
      </c>
      <c r="E1759" s="22" t="str">
        <f>_xll.RssMarket(A1759,"前日比")</f>
        <v/>
      </c>
      <c r="F1759" s="23" t="e">
        <f>_xll.RssMarket(A1759,"前日比率")/100</f>
        <v>#VALUE!</v>
      </c>
      <c r="G1759" s="24" t="str">
        <f>IFERROR(VLOOKUP(A1759,取得元!$A$2:$F$501,2,FALSE),"-")</f>
        <v>-</v>
      </c>
      <c r="H1759" s="24" t="str">
        <f>IFERROR(VLOOKUP(A1759,取得元!$A$2:$F$501,3,FALSE),"-")</f>
        <v>-</v>
      </c>
      <c r="I1759" s="24" t="str">
        <f>IFERROR(VLOOKUP(A1759,取得元!$A$2:$F$501,4,FALSE),"-")</f>
        <v>-</v>
      </c>
      <c r="J1759" s="5" t="str">
        <f>IFERROR(VLOOKUP(A1759,取得元!$A$2:$F$501,5,FALSE),"-")</f>
        <v>-</v>
      </c>
      <c r="K1759" s="25" t="str">
        <f>IFERROR(VLOOKUP(A1759,取得元!$A$2:$F$501,6,FALSE)/100,"-")</f>
        <v>-</v>
      </c>
      <c r="L1759" s="21" t="str">
        <f>_xll.RssMarket(A1759,"始値")</f>
        <v/>
      </c>
      <c r="M1759" s="4" t="e">
        <f t="shared" si="150"/>
        <v>#VALUE!</v>
      </c>
      <c r="N1759" s="21" t="str">
        <f>_xll.RssMarket(A1759,"高値")</f>
        <v/>
      </c>
      <c r="O1759" s="4" t="e">
        <f t="shared" si="151"/>
        <v>#VALUE!</v>
      </c>
      <c r="P1759" s="21" t="str">
        <f>_xll.RssMarket(A1759,"安値")</f>
        <v/>
      </c>
      <c r="Q1759" s="4" t="e">
        <f t="shared" si="152"/>
        <v>#VALUE!</v>
      </c>
      <c r="R1759" s="21" t="str">
        <f>_xll.RssMarket(A1759,"後場始値")</f>
        <v/>
      </c>
      <c r="S1759" s="25" t="str">
        <f t="shared" si="153"/>
        <v>-</v>
      </c>
      <c r="T1759" s="7" t="str">
        <f>_xll.RssMarket(A1759,"出来高加重平均")</f>
        <v/>
      </c>
      <c r="U1759" s="4" t="e">
        <f t="shared" si="154"/>
        <v>#VALUE!</v>
      </c>
      <c r="V1759" s="21" t="str">
        <f>_xll.RssMarket(A1759,"出来高")</f>
        <v/>
      </c>
      <c r="W1759" s="21" t="str">
        <f>_xll.RssMarket(A1759,"売買代金")</f>
        <v/>
      </c>
      <c r="X1759" s="20" t="str">
        <f>_xll.RssMarket(A1759,"決算発表日")</f>
        <v/>
      </c>
      <c r="Y1759" s="26" t="str">
        <f>IF(C1759&gt;_xll.RssMarket(A1759,"年初来高値"),"○","×")</f>
        <v>×</v>
      </c>
      <c r="Z1759" s="27" t="str">
        <f>IF(C1759&lt;=_xll.RssMarket(A1759,"年初来安値"),"○","×")</f>
        <v>○</v>
      </c>
    </row>
    <row r="1760" spans="2:26" x14ac:dyDescent="0.55000000000000004">
      <c r="B1760" s="20" t="str">
        <f>_xll.RssMarket(A1760,"銘柄名称")</f>
        <v/>
      </c>
      <c r="C1760" s="21" t="str">
        <f>_xll.RssMarket(A1760,"現在値")</f>
        <v/>
      </c>
      <c r="D1760" s="20" t="str">
        <f>_xll.RssMarket(A1760,"現在値詳細時刻")</f>
        <v/>
      </c>
      <c r="E1760" s="22" t="str">
        <f>_xll.RssMarket(A1760,"前日比")</f>
        <v/>
      </c>
      <c r="F1760" s="23" t="e">
        <f>_xll.RssMarket(A1760,"前日比率")/100</f>
        <v>#VALUE!</v>
      </c>
      <c r="G1760" s="24" t="str">
        <f>IFERROR(VLOOKUP(A1760,取得元!$A$2:$F$501,2,FALSE),"-")</f>
        <v>-</v>
      </c>
      <c r="H1760" s="24" t="str">
        <f>IFERROR(VLOOKUP(A1760,取得元!$A$2:$F$501,3,FALSE),"-")</f>
        <v>-</v>
      </c>
      <c r="I1760" s="24" t="str">
        <f>IFERROR(VLOOKUP(A1760,取得元!$A$2:$F$501,4,FALSE),"-")</f>
        <v>-</v>
      </c>
      <c r="J1760" s="5" t="str">
        <f>IFERROR(VLOOKUP(A1760,取得元!$A$2:$F$501,5,FALSE),"-")</f>
        <v>-</v>
      </c>
      <c r="K1760" s="25" t="str">
        <f>IFERROR(VLOOKUP(A1760,取得元!$A$2:$F$501,6,FALSE)/100,"-")</f>
        <v>-</v>
      </c>
      <c r="L1760" s="21" t="str">
        <f>_xll.RssMarket(A1760,"始値")</f>
        <v/>
      </c>
      <c r="M1760" s="4" t="e">
        <f t="shared" si="150"/>
        <v>#VALUE!</v>
      </c>
      <c r="N1760" s="21" t="str">
        <f>_xll.RssMarket(A1760,"高値")</f>
        <v/>
      </c>
      <c r="O1760" s="4" t="e">
        <f t="shared" si="151"/>
        <v>#VALUE!</v>
      </c>
      <c r="P1760" s="21" t="str">
        <f>_xll.RssMarket(A1760,"安値")</f>
        <v/>
      </c>
      <c r="Q1760" s="4" t="e">
        <f t="shared" si="152"/>
        <v>#VALUE!</v>
      </c>
      <c r="R1760" s="21" t="str">
        <f>_xll.RssMarket(A1760,"後場始値")</f>
        <v/>
      </c>
      <c r="S1760" s="25" t="str">
        <f t="shared" si="153"/>
        <v>-</v>
      </c>
      <c r="T1760" s="7" t="str">
        <f>_xll.RssMarket(A1760,"出来高加重平均")</f>
        <v/>
      </c>
      <c r="U1760" s="4" t="e">
        <f t="shared" si="154"/>
        <v>#VALUE!</v>
      </c>
      <c r="V1760" s="21" t="str">
        <f>_xll.RssMarket(A1760,"出来高")</f>
        <v/>
      </c>
      <c r="W1760" s="21" t="str">
        <f>_xll.RssMarket(A1760,"売買代金")</f>
        <v/>
      </c>
      <c r="X1760" s="20" t="str">
        <f>_xll.RssMarket(A1760,"決算発表日")</f>
        <v/>
      </c>
      <c r="Y1760" s="26" t="str">
        <f>IF(C1760&gt;_xll.RssMarket(A1760,"年初来高値"),"○","×")</f>
        <v>×</v>
      </c>
      <c r="Z1760" s="27" t="str">
        <f>IF(C1760&lt;=_xll.RssMarket(A1760,"年初来安値"),"○","×")</f>
        <v>○</v>
      </c>
    </row>
    <row r="1761" spans="2:26" x14ac:dyDescent="0.55000000000000004">
      <c r="B1761" s="20" t="str">
        <f>_xll.RssMarket(A1761,"銘柄名称")</f>
        <v/>
      </c>
      <c r="C1761" s="21" t="str">
        <f>_xll.RssMarket(A1761,"現在値")</f>
        <v/>
      </c>
      <c r="D1761" s="20" t="str">
        <f>_xll.RssMarket(A1761,"現在値詳細時刻")</f>
        <v/>
      </c>
      <c r="E1761" s="22" t="str">
        <f>_xll.RssMarket(A1761,"前日比")</f>
        <v/>
      </c>
      <c r="F1761" s="23" t="e">
        <f>_xll.RssMarket(A1761,"前日比率")/100</f>
        <v>#VALUE!</v>
      </c>
      <c r="G1761" s="24" t="str">
        <f>IFERROR(VLOOKUP(A1761,取得元!$A$2:$F$501,2,FALSE),"-")</f>
        <v>-</v>
      </c>
      <c r="H1761" s="24" t="str">
        <f>IFERROR(VLOOKUP(A1761,取得元!$A$2:$F$501,3,FALSE),"-")</f>
        <v>-</v>
      </c>
      <c r="I1761" s="24" t="str">
        <f>IFERROR(VLOOKUP(A1761,取得元!$A$2:$F$501,4,FALSE),"-")</f>
        <v>-</v>
      </c>
      <c r="J1761" s="5" t="str">
        <f>IFERROR(VLOOKUP(A1761,取得元!$A$2:$F$501,5,FALSE),"-")</f>
        <v>-</v>
      </c>
      <c r="K1761" s="25" t="str">
        <f>IFERROR(VLOOKUP(A1761,取得元!$A$2:$F$501,6,FALSE)/100,"-")</f>
        <v>-</v>
      </c>
      <c r="L1761" s="21" t="str">
        <f>_xll.RssMarket(A1761,"始値")</f>
        <v/>
      </c>
      <c r="M1761" s="4" t="e">
        <f t="shared" si="150"/>
        <v>#VALUE!</v>
      </c>
      <c r="N1761" s="21" t="str">
        <f>_xll.RssMarket(A1761,"高値")</f>
        <v/>
      </c>
      <c r="O1761" s="4" t="e">
        <f t="shared" si="151"/>
        <v>#VALUE!</v>
      </c>
      <c r="P1761" s="21" t="str">
        <f>_xll.RssMarket(A1761,"安値")</f>
        <v/>
      </c>
      <c r="Q1761" s="4" t="e">
        <f t="shared" si="152"/>
        <v>#VALUE!</v>
      </c>
      <c r="R1761" s="21" t="str">
        <f>_xll.RssMarket(A1761,"後場始値")</f>
        <v/>
      </c>
      <c r="S1761" s="25" t="str">
        <f t="shared" si="153"/>
        <v>-</v>
      </c>
      <c r="T1761" s="7" t="str">
        <f>_xll.RssMarket(A1761,"出来高加重平均")</f>
        <v/>
      </c>
      <c r="U1761" s="4" t="e">
        <f t="shared" si="154"/>
        <v>#VALUE!</v>
      </c>
      <c r="V1761" s="21" t="str">
        <f>_xll.RssMarket(A1761,"出来高")</f>
        <v/>
      </c>
      <c r="W1761" s="21" t="str">
        <f>_xll.RssMarket(A1761,"売買代金")</f>
        <v/>
      </c>
      <c r="X1761" s="20" t="str">
        <f>_xll.RssMarket(A1761,"決算発表日")</f>
        <v/>
      </c>
      <c r="Y1761" s="26" t="str">
        <f>IF(C1761&gt;_xll.RssMarket(A1761,"年初来高値"),"○","×")</f>
        <v>×</v>
      </c>
      <c r="Z1761" s="27" t="str">
        <f>IF(C1761&lt;=_xll.RssMarket(A1761,"年初来安値"),"○","×")</f>
        <v>○</v>
      </c>
    </row>
    <row r="1762" spans="2:26" x14ac:dyDescent="0.55000000000000004">
      <c r="B1762" s="20" t="str">
        <f>_xll.RssMarket(A1762,"銘柄名称")</f>
        <v/>
      </c>
      <c r="C1762" s="21" t="str">
        <f>_xll.RssMarket(A1762,"現在値")</f>
        <v/>
      </c>
      <c r="D1762" s="20" t="str">
        <f>_xll.RssMarket(A1762,"現在値詳細時刻")</f>
        <v/>
      </c>
      <c r="E1762" s="22" t="str">
        <f>_xll.RssMarket(A1762,"前日比")</f>
        <v/>
      </c>
      <c r="F1762" s="23" t="e">
        <f>_xll.RssMarket(A1762,"前日比率")/100</f>
        <v>#VALUE!</v>
      </c>
      <c r="G1762" s="24" t="str">
        <f>IFERROR(VLOOKUP(A1762,取得元!$A$2:$F$501,2,FALSE),"-")</f>
        <v>-</v>
      </c>
      <c r="H1762" s="24" t="str">
        <f>IFERROR(VLOOKUP(A1762,取得元!$A$2:$F$501,3,FALSE),"-")</f>
        <v>-</v>
      </c>
      <c r="I1762" s="24" t="str">
        <f>IFERROR(VLOOKUP(A1762,取得元!$A$2:$F$501,4,FALSE),"-")</f>
        <v>-</v>
      </c>
      <c r="J1762" s="5" t="str">
        <f>IFERROR(VLOOKUP(A1762,取得元!$A$2:$F$501,5,FALSE),"-")</f>
        <v>-</v>
      </c>
      <c r="K1762" s="25" t="str">
        <f>IFERROR(VLOOKUP(A1762,取得元!$A$2:$F$501,6,FALSE)/100,"-")</f>
        <v>-</v>
      </c>
      <c r="L1762" s="21" t="str">
        <f>_xll.RssMarket(A1762,"始値")</f>
        <v/>
      </c>
      <c r="M1762" s="4" t="e">
        <f t="shared" si="150"/>
        <v>#VALUE!</v>
      </c>
      <c r="N1762" s="21" t="str">
        <f>_xll.RssMarket(A1762,"高値")</f>
        <v/>
      </c>
      <c r="O1762" s="4" t="e">
        <f t="shared" si="151"/>
        <v>#VALUE!</v>
      </c>
      <c r="P1762" s="21" t="str">
        <f>_xll.RssMarket(A1762,"安値")</f>
        <v/>
      </c>
      <c r="Q1762" s="4" t="e">
        <f t="shared" si="152"/>
        <v>#VALUE!</v>
      </c>
      <c r="R1762" s="21" t="str">
        <f>_xll.RssMarket(A1762,"後場始値")</f>
        <v/>
      </c>
      <c r="S1762" s="25" t="str">
        <f t="shared" si="153"/>
        <v>-</v>
      </c>
      <c r="T1762" s="7" t="str">
        <f>_xll.RssMarket(A1762,"出来高加重平均")</f>
        <v/>
      </c>
      <c r="U1762" s="4" t="e">
        <f t="shared" si="154"/>
        <v>#VALUE!</v>
      </c>
      <c r="V1762" s="21" t="str">
        <f>_xll.RssMarket(A1762,"出来高")</f>
        <v/>
      </c>
      <c r="W1762" s="21" t="str">
        <f>_xll.RssMarket(A1762,"売買代金")</f>
        <v/>
      </c>
      <c r="X1762" s="20" t="str">
        <f>_xll.RssMarket(A1762,"決算発表日")</f>
        <v/>
      </c>
      <c r="Y1762" s="26" t="str">
        <f>IF(C1762&gt;_xll.RssMarket(A1762,"年初来高値"),"○","×")</f>
        <v>×</v>
      </c>
      <c r="Z1762" s="27" t="str">
        <f>IF(C1762&lt;=_xll.RssMarket(A1762,"年初来安値"),"○","×")</f>
        <v>○</v>
      </c>
    </row>
    <row r="1763" spans="2:26" x14ac:dyDescent="0.55000000000000004">
      <c r="B1763" s="20" t="str">
        <f>_xll.RssMarket(A1763,"銘柄名称")</f>
        <v/>
      </c>
      <c r="C1763" s="21" t="str">
        <f>_xll.RssMarket(A1763,"現在値")</f>
        <v/>
      </c>
      <c r="D1763" s="20" t="str">
        <f>_xll.RssMarket(A1763,"現在値詳細時刻")</f>
        <v/>
      </c>
      <c r="E1763" s="22" t="str">
        <f>_xll.RssMarket(A1763,"前日比")</f>
        <v/>
      </c>
      <c r="F1763" s="23" t="e">
        <f>_xll.RssMarket(A1763,"前日比率")/100</f>
        <v>#VALUE!</v>
      </c>
      <c r="G1763" s="24" t="str">
        <f>IFERROR(VLOOKUP(A1763,取得元!$A$2:$F$501,2,FALSE),"-")</f>
        <v>-</v>
      </c>
      <c r="H1763" s="24" t="str">
        <f>IFERROR(VLOOKUP(A1763,取得元!$A$2:$F$501,3,FALSE),"-")</f>
        <v>-</v>
      </c>
      <c r="I1763" s="24" t="str">
        <f>IFERROR(VLOOKUP(A1763,取得元!$A$2:$F$501,4,FALSE),"-")</f>
        <v>-</v>
      </c>
      <c r="J1763" s="5" t="str">
        <f>IFERROR(VLOOKUP(A1763,取得元!$A$2:$F$501,5,FALSE),"-")</f>
        <v>-</v>
      </c>
      <c r="K1763" s="25" t="str">
        <f>IFERROR(VLOOKUP(A1763,取得元!$A$2:$F$501,6,FALSE)/100,"-")</f>
        <v>-</v>
      </c>
      <c r="L1763" s="21" t="str">
        <f>_xll.RssMarket(A1763,"始値")</f>
        <v/>
      </c>
      <c r="M1763" s="4" t="e">
        <f t="shared" si="150"/>
        <v>#VALUE!</v>
      </c>
      <c r="N1763" s="21" t="str">
        <f>_xll.RssMarket(A1763,"高値")</f>
        <v/>
      </c>
      <c r="O1763" s="4" t="e">
        <f t="shared" si="151"/>
        <v>#VALUE!</v>
      </c>
      <c r="P1763" s="21" t="str">
        <f>_xll.RssMarket(A1763,"安値")</f>
        <v/>
      </c>
      <c r="Q1763" s="4" t="e">
        <f t="shared" si="152"/>
        <v>#VALUE!</v>
      </c>
      <c r="R1763" s="21" t="str">
        <f>_xll.RssMarket(A1763,"後場始値")</f>
        <v/>
      </c>
      <c r="S1763" s="25" t="str">
        <f t="shared" si="153"/>
        <v>-</v>
      </c>
      <c r="T1763" s="7" t="str">
        <f>_xll.RssMarket(A1763,"出来高加重平均")</f>
        <v/>
      </c>
      <c r="U1763" s="4" t="e">
        <f t="shared" si="154"/>
        <v>#VALUE!</v>
      </c>
      <c r="V1763" s="21" t="str">
        <f>_xll.RssMarket(A1763,"出来高")</f>
        <v/>
      </c>
      <c r="W1763" s="21" t="str">
        <f>_xll.RssMarket(A1763,"売買代金")</f>
        <v/>
      </c>
      <c r="X1763" s="20" t="str">
        <f>_xll.RssMarket(A1763,"決算発表日")</f>
        <v/>
      </c>
      <c r="Y1763" s="26" t="str">
        <f>IF(C1763&gt;_xll.RssMarket(A1763,"年初来高値"),"○","×")</f>
        <v>×</v>
      </c>
      <c r="Z1763" s="27" t="str">
        <f>IF(C1763&lt;=_xll.RssMarket(A1763,"年初来安値"),"○","×")</f>
        <v>○</v>
      </c>
    </row>
    <row r="1764" spans="2:26" x14ac:dyDescent="0.55000000000000004">
      <c r="B1764" s="20" t="str">
        <f>_xll.RssMarket(A1764,"銘柄名称")</f>
        <v/>
      </c>
      <c r="C1764" s="21" t="str">
        <f>_xll.RssMarket(A1764,"現在値")</f>
        <v/>
      </c>
      <c r="D1764" s="20" t="str">
        <f>_xll.RssMarket(A1764,"現在値詳細時刻")</f>
        <v/>
      </c>
      <c r="E1764" s="22" t="str">
        <f>_xll.RssMarket(A1764,"前日比")</f>
        <v/>
      </c>
      <c r="F1764" s="23" t="e">
        <f>_xll.RssMarket(A1764,"前日比率")/100</f>
        <v>#VALUE!</v>
      </c>
      <c r="G1764" s="24" t="str">
        <f>IFERROR(VLOOKUP(A1764,取得元!$A$2:$F$501,2,FALSE),"-")</f>
        <v>-</v>
      </c>
      <c r="H1764" s="24" t="str">
        <f>IFERROR(VLOOKUP(A1764,取得元!$A$2:$F$501,3,FALSE),"-")</f>
        <v>-</v>
      </c>
      <c r="I1764" s="24" t="str">
        <f>IFERROR(VLOOKUP(A1764,取得元!$A$2:$F$501,4,FALSE),"-")</f>
        <v>-</v>
      </c>
      <c r="J1764" s="5" t="str">
        <f>IFERROR(VLOOKUP(A1764,取得元!$A$2:$F$501,5,FALSE),"-")</f>
        <v>-</v>
      </c>
      <c r="K1764" s="25" t="str">
        <f>IFERROR(VLOOKUP(A1764,取得元!$A$2:$F$501,6,FALSE)/100,"-")</f>
        <v>-</v>
      </c>
      <c r="L1764" s="21" t="str">
        <f>_xll.RssMarket(A1764,"始値")</f>
        <v/>
      </c>
      <c r="M1764" s="4" t="e">
        <f t="shared" si="150"/>
        <v>#VALUE!</v>
      </c>
      <c r="N1764" s="21" t="str">
        <f>_xll.RssMarket(A1764,"高値")</f>
        <v/>
      </c>
      <c r="O1764" s="4" t="e">
        <f t="shared" si="151"/>
        <v>#VALUE!</v>
      </c>
      <c r="P1764" s="21" t="str">
        <f>_xll.RssMarket(A1764,"安値")</f>
        <v/>
      </c>
      <c r="Q1764" s="4" t="e">
        <f t="shared" si="152"/>
        <v>#VALUE!</v>
      </c>
      <c r="R1764" s="21" t="str">
        <f>_xll.RssMarket(A1764,"後場始値")</f>
        <v/>
      </c>
      <c r="S1764" s="25" t="str">
        <f t="shared" si="153"/>
        <v>-</v>
      </c>
      <c r="T1764" s="7" t="str">
        <f>_xll.RssMarket(A1764,"出来高加重平均")</f>
        <v/>
      </c>
      <c r="U1764" s="4" t="e">
        <f t="shared" si="154"/>
        <v>#VALUE!</v>
      </c>
      <c r="V1764" s="21" t="str">
        <f>_xll.RssMarket(A1764,"出来高")</f>
        <v/>
      </c>
      <c r="W1764" s="21" t="str">
        <f>_xll.RssMarket(A1764,"売買代金")</f>
        <v/>
      </c>
      <c r="X1764" s="20" t="str">
        <f>_xll.RssMarket(A1764,"決算発表日")</f>
        <v/>
      </c>
      <c r="Y1764" s="26" t="str">
        <f>IF(C1764&gt;_xll.RssMarket(A1764,"年初来高値"),"○","×")</f>
        <v>×</v>
      </c>
      <c r="Z1764" s="27" t="str">
        <f>IF(C1764&lt;=_xll.RssMarket(A1764,"年初来安値"),"○","×")</f>
        <v>○</v>
      </c>
    </row>
    <row r="1765" spans="2:26" x14ac:dyDescent="0.55000000000000004">
      <c r="B1765" s="20" t="str">
        <f>_xll.RssMarket(A1765,"銘柄名称")</f>
        <v/>
      </c>
      <c r="C1765" s="21" t="str">
        <f>_xll.RssMarket(A1765,"現在値")</f>
        <v/>
      </c>
      <c r="D1765" s="20" t="str">
        <f>_xll.RssMarket(A1765,"現在値詳細時刻")</f>
        <v/>
      </c>
      <c r="E1765" s="22" t="str">
        <f>_xll.RssMarket(A1765,"前日比")</f>
        <v/>
      </c>
      <c r="F1765" s="23" t="e">
        <f>_xll.RssMarket(A1765,"前日比率")/100</f>
        <v>#VALUE!</v>
      </c>
      <c r="G1765" s="24" t="str">
        <f>IFERROR(VLOOKUP(A1765,取得元!$A$2:$F$501,2,FALSE),"-")</f>
        <v>-</v>
      </c>
      <c r="H1765" s="24" t="str">
        <f>IFERROR(VLOOKUP(A1765,取得元!$A$2:$F$501,3,FALSE),"-")</f>
        <v>-</v>
      </c>
      <c r="I1765" s="24" t="str">
        <f>IFERROR(VLOOKUP(A1765,取得元!$A$2:$F$501,4,FALSE),"-")</f>
        <v>-</v>
      </c>
      <c r="J1765" s="5" t="str">
        <f>IFERROR(VLOOKUP(A1765,取得元!$A$2:$F$501,5,FALSE),"-")</f>
        <v>-</v>
      </c>
      <c r="K1765" s="25" t="str">
        <f>IFERROR(VLOOKUP(A1765,取得元!$A$2:$F$501,6,FALSE)/100,"-")</f>
        <v>-</v>
      </c>
      <c r="L1765" s="21" t="str">
        <f>_xll.RssMarket(A1765,"始値")</f>
        <v/>
      </c>
      <c r="M1765" s="4" t="e">
        <f t="shared" si="150"/>
        <v>#VALUE!</v>
      </c>
      <c r="N1765" s="21" t="str">
        <f>_xll.RssMarket(A1765,"高値")</f>
        <v/>
      </c>
      <c r="O1765" s="4" t="e">
        <f t="shared" si="151"/>
        <v>#VALUE!</v>
      </c>
      <c r="P1765" s="21" t="str">
        <f>_xll.RssMarket(A1765,"安値")</f>
        <v/>
      </c>
      <c r="Q1765" s="4" t="e">
        <f t="shared" si="152"/>
        <v>#VALUE!</v>
      </c>
      <c r="R1765" s="21" t="str">
        <f>_xll.RssMarket(A1765,"後場始値")</f>
        <v/>
      </c>
      <c r="S1765" s="25" t="str">
        <f t="shared" si="153"/>
        <v>-</v>
      </c>
      <c r="T1765" s="7" t="str">
        <f>_xll.RssMarket(A1765,"出来高加重平均")</f>
        <v/>
      </c>
      <c r="U1765" s="4" t="e">
        <f t="shared" si="154"/>
        <v>#VALUE!</v>
      </c>
      <c r="V1765" s="21" t="str">
        <f>_xll.RssMarket(A1765,"出来高")</f>
        <v/>
      </c>
      <c r="W1765" s="21" t="str">
        <f>_xll.RssMarket(A1765,"売買代金")</f>
        <v/>
      </c>
      <c r="X1765" s="20" t="str">
        <f>_xll.RssMarket(A1765,"決算発表日")</f>
        <v/>
      </c>
      <c r="Y1765" s="26" t="str">
        <f>IF(C1765&gt;_xll.RssMarket(A1765,"年初来高値"),"○","×")</f>
        <v>×</v>
      </c>
      <c r="Z1765" s="27" t="str">
        <f>IF(C1765&lt;=_xll.RssMarket(A1765,"年初来安値"),"○","×")</f>
        <v>○</v>
      </c>
    </row>
    <row r="1766" spans="2:26" x14ac:dyDescent="0.55000000000000004">
      <c r="B1766" s="20" t="str">
        <f>_xll.RssMarket(A1766,"銘柄名称")</f>
        <v/>
      </c>
      <c r="C1766" s="21" t="str">
        <f>_xll.RssMarket(A1766,"現在値")</f>
        <v/>
      </c>
      <c r="D1766" s="20" t="str">
        <f>_xll.RssMarket(A1766,"現在値詳細時刻")</f>
        <v/>
      </c>
      <c r="E1766" s="22" t="str">
        <f>_xll.RssMarket(A1766,"前日比")</f>
        <v/>
      </c>
      <c r="F1766" s="23" t="e">
        <f>_xll.RssMarket(A1766,"前日比率")/100</f>
        <v>#VALUE!</v>
      </c>
      <c r="G1766" s="24" t="str">
        <f>IFERROR(VLOOKUP(A1766,取得元!$A$2:$F$501,2,FALSE),"-")</f>
        <v>-</v>
      </c>
      <c r="H1766" s="24" t="str">
        <f>IFERROR(VLOOKUP(A1766,取得元!$A$2:$F$501,3,FALSE),"-")</f>
        <v>-</v>
      </c>
      <c r="I1766" s="24" t="str">
        <f>IFERROR(VLOOKUP(A1766,取得元!$A$2:$F$501,4,FALSE),"-")</f>
        <v>-</v>
      </c>
      <c r="J1766" s="5" t="str">
        <f>IFERROR(VLOOKUP(A1766,取得元!$A$2:$F$501,5,FALSE),"-")</f>
        <v>-</v>
      </c>
      <c r="K1766" s="25" t="str">
        <f>IFERROR(VLOOKUP(A1766,取得元!$A$2:$F$501,6,FALSE)/100,"-")</f>
        <v>-</v>
      </c>
      <c r="L1766" s="21" t="str">
        <f>_xll.RssMarket(A1766,"始値")</f>
        <v/>
      </c>
      <c r="M1766" s="4" t="e">
        <f t="shared" si="150"/>
        <v>#VALUE!</v>
      </c>
      <c r="N1766" s="21" t="str">
        <f>_xll.RssMarket(A1766,"高値")</f>
        <v/>
      </c>
      <c r="O1766" s="4" t="e">
        <f t="shared" si="151"/>
        <v>#VALUE!</v>
      </c>
      <c r="P1766" s="21" t="str">
        <f>_xll.RssMarket(A1766,"安値")</f>
        <v/>
      </c>
      <c r="Q1766" s="4" t="e">
        <f t="shared" si="152"/>
        <v>#VALUE!</v>
      </c>
      <c r="R1766" s="21" t="str">
        <f>_xll.RssMarket(A1766,"後場始値")</f>
        <v/>
      </c>
      <c r="S1766" s="25" t="str">
        <f t="shared" si="153"/>
        <v>-</v>
      </c>
      <c r="T1766" s="7" t="str">
        <f>_xll.RssMarket(A1766,"出来高加重平均")</f>
        <v/>
      </c>
      <c r="U1766" s="4" t="e">
        <f t="shared" si="154"/>
        <v>#VALUE!</v>
      </c>
      <c r="V1766" s="21" t="str">
        <f>_xll.RssMarket(A1766,"出来高")</f>
        <v/>
      </c>
      <c r="W1766" s="21" t="str">
        <f>_xll.RssMarket(A1766,"売買代金")</f>
        <v/>
      </c>
      <c r="X1766" s="20" t="str">
        <f>_xll.RssMarket(A1766,"決算発表日")</f>
        <v/>
      </c>
      <c r="Y1766" s="26" t="str">
        <f>IF(C1766&gt;_xll.RssMarket(A1766,"年初来高値"),"○","×")</f>
        <v>×</v>
      </c>
      <c r="Z1766" s="27" t="str">
        <f>IF(C1766&lt;=_xll.RssMarket(A1766,"年初来安値"),"○","×")</f>
        <v>○</v>
      </c>
    </row>
    <row r="1767" spans="2:26" x14ac:dyDescent="0.55000000000000004">
      <c r="B1767" s="20" t="str">
        <f>_xll.RssMarket(A1767,"銘柄名称")</f>
        <v/>
      </c>
      <c r="C1767" s="21" t="str">
        <f>_xll.RssMarket(A1767,"現在値")</f>
        <v/>
      </c>
      <c r="D1767" s="20" t="str">
        <f>_xll.RssMarket(A1767,"現在値詳細時刻")</f>
        <v/>
      </c>
      <c r="E1767" s="22" t="str">
        <f>_xll.RssMarket(A1767,"前日比")</f>
        <v/>
      </c>
      <c r="F1767" s="23" t="e">
        <f>_xll.RssMarket(A1767,"前日比率")/100</f>
        <v>#VALUE!</v>
      </c>
      <c r="G1767" s="24" t="str">
        <f>IFERROR(VLOOKUP(A1767,取得元!$A$2:$F$501,2,FALSE),"-")</f>
        <v>-</v>
      </c>
      <c r="H1767" s="24" t="str">
        <f>IFERROR(VLOOKUP(A1767,取得元!$A$2:$F$501,3,FALSE),"-")</f>
        <v>-</v>
      </c>
      <c r="I1767" s="24" t="str">
        <f>IFERROR(VLOOKUP(A1767,取得元!$A$2:$F$501,4,FALSE),"-")</f>
        <v>-</v>
      </c>
      <c r="J1767" s="5" t="str">
        <f>IFERROR(VLOOKUP(A1767,取得元!$A$2:$F$501,5,FALSE),"-")</f>
        <v>-</v>
      </c>
      <c r="K1767" s="25" t="str">
        <f>IFERROR(VLOOKUP(A1767,取得元!$A$2:$F$501,6,FALSE)/100,"-")</f>
        <v>-</v>
      </c>
      <c r="L1767" s="21" t="str">
        <f>_xll.RssMarket(A1767,"始値")</f>
        <v/>
      </c>
      <c r="M1767" s="4" t="e">
        <f t="shared" si="150"/>
        <v>#VALUE!</v>
      </c>
      <c r="N1767" s="21" t="str">
        <f>_xll.RssMarket(A1767,"高値")</f>
        <v/>
      </c>
      <c r="O1767" s="4" t="e">
        <f t="shared" si="151"/>
        <v>#VALUE!</v>
      </c>
      <c r="P1767" s="21" t="str">
        <f>_xll.RssMarket(A1767,"安値")</f>
        <v/>
      </c>
      <c r="Q1767" s="4" t="e">
        <f t="shared" si="152"/>
        <v>#VALUE!</v>
      </c>
      <c r="R1767" s="21" t="str">
        <f>_xll.RssMarket(A1767,"後場始値")</f>
        <v/>
      </c>
      <c r="S1767" s="25" t="str">
        <f t="shared" si="153"/>
        <v>-</v>
      </c>
      <c r="T1767" s="7" t="str">
        <f>_xll.RssMarket(A1767,"出来高加重平均")</f>
        <v/>
      </c>
      <c r="U1767" s="4" t="e">
        <f t="shared" si="154"/>
        <v>#VALUE!</v>
      </c>
      <c r="V1767" s="21" t="str">
        <f>_xll.RssMarket(A1767,"出来高")</f>
        <v/>
      </c>
      <c r="W1767" s="21" t="str">
        <f>_xll.RssMarket(A1767,"売買代金")</f>
        <v/>
      </c>
      <c r="X1767" s="20" t="str">
        <f>_xll.RssMarket(A1767,"決算発表日")</f>
        <v/>
      </c>
      <c r="Y1767" s="26" t="str">
        <f>IF(C1767&gt;_xll.RssMarket(A1767,"年初来高値"),"○","×")</f>
        <v>×</v>
      </c>
      <c r="Z1767" s="27" t="str">
        <f>IF(C1767&lt;=_xll.RssMarket(A1767,"年初来安値"),"○","×")</f>
        <v>○</v>
      </c>
    </row>
    <row r="1768" spans="2:26" x14ac:dyDescent="0.55000000000000004">
      <c r="B1768" s="20" t="str">
        <f>_xll.RssMarket(A1768,"銘柄名称")</f>
        <v/>
      </c>
      <c r="C1768" s="21" t="str">
        <f>_xll.RssMarket(A1768,"現在値")</f>
        <v/>
      </c>
      <c r="D1768" s="20" t="str">
        <f>_xll.RssMarket(A1768,"現在値詳細時刻")</f>
        <v/>
      </c>
      <c r="E1768" s="22" t="str">
        <f>_xll.RssMarket(A1768,"前日比")</f>
        <v/>
      </c>
      <c r="F1768" s="23" t="e">
        <f>_xll.RssMarket(A1768,"前日比率")/100</f>
        <v>#VALUE!</v>
      </c>
      <c r="G1768" s="24" t="str">
        <f>IFERROR(VLOOKUP(A1768,取得元!$A$2:$F$501,2,FALSE),"-")</f>
        <v>-</v>
      </c>
      <c r="H1768" s="24" t="str">
        <f>IFERROR(VLOOKUP(A1768,取得元!$A$2:$F$501,3,FALSE),"-")</f>
        <v>-</v>
      </c>
      <c r="I1768" s="24" t="str">
        <f>IFERROR(VLOOKUP(A1768,取得元!$A$2:$F$501,4,FALSE),"-")</f>
        <v>-</v>
      </c>
      <c r="J1768" s="5" t="str">
        <f>IFERROR(VLOOKUP(A1768,取得元!$A$2:$F$501,5,FALSE),"-")</f>
        <v>-</v>
      </c>
      <c r="K1768" s="25" t="str">
        <f>IFERROR(VLOOKUP(A1768,取得元!$A$2:$F$501,6,FALSE)/100,"-")</f>
        <v>-</v>
      </c>
      <c r="L1768" s="21" t="str">
        <f>_xll.RssMarket(A1768,"始値")</f>
        <v/>
      </c>
      <c r="M1768" s="4" t="e">
        <f t="shared" si="150"/>
        <v>#VALUE!</v>
      </c>
      <c r="N1768" s="21" t="str">
        <f>_xll.RssMarket(A1768,"高値")</f>
        <v/>
      </c>
      <c r="O1768" s="4" t="e">
        <f t="shared" si="151"/>
        <v>#VALUE!</v>
      </c>
      <c r="P1768" s="21" t="str">
        <f>_xll.RssMarket(A1768,"安値")</f>
        <v/>
      </c>
      <c r="Q1768" s="4" t="e">
        <f t="shared" si="152"/>
        <v>#VALUE!</v>
      </c>
      <c r="R1768" s="21" t="str">
        <f>_xll.RssMarket(A1768,"後場始値")</f>
        <v/>
      </c>
      <c r="S1768" s="25" t="str">
        <f t="shared" si="153"/>
        <v>-</v>
      </c>
      <c r="T1768" s="7" t="str">
        <f>_xll.RssMarket(A1768,"出来高加重平均")</f>
        <v/>
      </c>
      <c r="U1768" s="4" t="e">
        <f t="shared" si="154"/>
        <v>#VALUE!</v>
      </c>
      <c r="V1768" s="21" t="str">
        <f>_xll.RssMarket(A1768,"出来高")</f>
        <v/>
      </c>
      <c r="W1768" s="21" t="str">
        <f>_xll.RssMarket(A1768,"売買代金")</f>
        <v/>
      </c>
      <c r="X1768" s="20" t="str">
        <f>_xll.RssMarket(A1768,"決算発表日")</f>
        <v/>
      </c>
      <c r="Y1768" s="26" t="str">
        <f>IF(C1768&gt;_xll.RssMarket(A1768,"年初来高値"),"○","×")</f>
        <v>×</v>
      </c>
      <c r="Z1768" s="27" t="str">
        <f>IF(C1768&lt;=_xll.RssMarket(A1768,"年初来安値"),"○","×")</f>
        <v>○</v>
      </c>
    </row>
    <row r="1769" spans="2:26" x14ac:dyDescent="0.55000000000000004">
      <c r="B1769" s="20" t="str">
        <f>_xll.RssMarket(A1769,"銘柄名称")</f>
        <v/>
      </c>
      <c r="C1769" s="21" t="str">
        <f>_xll.RssMarket(A1769,"現在値")</f>
        <v/>
      </c>
      <c r="D1769" s="20" t="str">
        <f>_xll.RssMarket(A1769,"現在値詳細時刻")</f>
        <v/>
      </c>
      <c r="E1769" s="22" t="str">
        <f>_xll.RssMarket(A1769,"前日比")</f>
        <v/>
      </c>
      <c r="F1769" s="23" t="e">
        <f>_xll.RssMarket(A1769,"前日比率")/100</f>
        <v>#VALUE!</v>
      </c>
      <c r="G1769" s="24" t="str">
        <f>IFERROR(VLOOKUP(A1769,取得元!$A$2:$F$501,2,FALSE),"-")</f>
        <v>-</v>
      </c>
      <c r="H1769" s="24" t="str">
        <f>IFERROR(VLOOKUP(A1769,取得元!$A$2:$F$501,3,FALSE),"-")</f>
        <v>-</v>
      </c>
      <c r="I1769" s="24" t="str">
        <f>IFERROR(VLOOKUP(A1769,取得元!$A$2:$F$501,4,FALSE),"-")</f>
        <v>-</v>
      </c>
      <c r="J1769" s="5" t="str">
        <f>IFERROR(VLOOKUP(A1769,取得元!$A$2:$F$501,5,FALSE),"-")</f>
        <v>-</v>
      </c>
      <c r="K1769" s="25" t="str">
        <f>IFERROR(VLOOKUP(A1769,取得元!$A$2:$F$501,6,FALSE)/100,"-")</f>
        <v>-</v>
      </c>
      <c r="L1769" s="21" t="str">
        <f>_xll.RssMarket(A1769,"始値")</f>
        <v/>
      </c>
      <c r="M1769" s="4" t="e">
        <f t="shared" si="150"/>
        <v>#VALUE!</v>
      </c>
      <c r="N1769" s="21" t="str">
        <f>_xll.RssMarket(A1769,"高値")</f>
        <v/>
      </c>
      <c r="O1769" s="4" t="e">
        <f t="shared" si="151"/>
        <v>#VALUE!</v>
      </c>
      <c r="P1769" s="21" t="str">
        <f>_xll.RssMarket(A1769,"安値")</f>
        <v/>
      </c>
      <c r="Q1769" s="4" t="e">
        <f t="shared" si="152"/>
        <v>#VALUE!</v>
      </c>
      <c r="R1769" s="21" t="str">
        <f>_xll.RssMarket(A1769,"後場始値")</f>
        <v/>
      </c>
      <c r="S1769" s="25" t="str">
        <f t="shared" si="153"/>
        <v>-</v>
      </c>
      <c r="T1769" s="7" t="str">
        <f>_xll.RssMarket(A1769,"出来高加重平均")</f>
        <v/>
      </c>
      <c r="U1769" s="4" t="e">
        <f t="shared" si="154"/>
        <v>#VALUE!</v>
      </c>
      <c r="V1769" s="21" t="str">
        <f>_xll.RssMarket(A1769,"出来高")</f>
        <v/>
      </c>
      <c r="W1769" s="21" t="str">
        <f>_xll.RssMarket(A1769,"売買代金")</f>
        <v/>
      </c>
      <c r="X1769" s="20" t="str">
        <f>_xll.RssMarket(A1769,"決算発表日")</f>
        <v/>
      </c>
      <c r="Y1769" s="26" t="str">
        <f>IF(C1769&gt;_xll.RssMarket(A1769,"年初来高値"),"○","×")</f>
        <v>×</v>
      </c>
      <c r="Z1769" s="27" t="str">
        <f>IF(C1769&lt;=_xll.RssMarket(A1769,"年初来安値"),"○","×")</f>
        <v>○</v>
      </c>
    </row>
    <row r="1770" spans="2:26" x14ac:dyDescent="0.55000000000000004">
      <c r="B1770" s="20" t="str">
        <f>_xll.RssMarket(A1770,"銘柄名称")</f>
        <v/>
      </c>
      <c r="C1770" s="21" t="str">
        <f>_xll.RssMarket(A1770,"現在値")</f>
        <v/>
      </c>
      <c r="D1770" s="20" t="str">
        <f>_xll.RssMarket(A1770,"現在値詳細時刻")</f>
        <v/>
      </c>
      <c r="E1770" s="22" t="str">
        <f>_xll.RssMarket(A1770,"前日比")</f>
        <v/>
      </c>
      <c r="F1770" s="23" t="e">
        <f>_xll.RssMarket(A1770,"前日比率")/100</f>
        <v>#VALUE!</v>
      </c>
      <c r="G1770" s="24" t="str">
        <f>IFERROR(VLOOKUP(A1770,取得元!$A$2:$F$501,2,FALSE),"-")</f>
        <v>-</v>
      </c>
      <c r="H1770" s="24" t="str">
        <f>IFERROR(VLOOKUP(A1770,取得元!$A$2:$F$501,3,FALSE),"-")</f>
        <v>-</v>
      </c>
      <c r="I1770" s="24" t="str">
        <f>IFERROR(VLOOKUP(A1770,取得元!$A$2:$F$501,4,FALSE),"-")</f>
        <v>-</v>
      </c>
      <c r="J1770" s="5" t="str">
        <f>IFERROR(VLOOKUP(A1770,取得元!$A$2:$F$501,5,FALSE),"-")</f>
        <v>-</v>
      </c>
      <c r="K1770" s="25" t="str">
        <f>IFERROR(VLOOKUP(A1770,取得元!$A$2:$F$501,6,FALSE)/100,"-")</f>
        <v>-</v>
      </c>
      <c r="L1770" s="21" t="str">
        <f>_xll.RssMarket(A1770,"始値")</f>
        <v/>
      </c>
      <c r="M1770" s="4" t="e">
        <f t="shared" si="150"/>
        <v>#VALUE!</v>
      </c>
      <c r="N1770" s="21" t="str">
        <f>_xll.RssMarket(A1770,"高値")</f>
        <v/>
      </c>
      <c r="O1770" s="4" t="e">
        <f t="shared" si="151"/>
        <v>#VALUE!</v>
      </c>
      <c r="P1770" s="21" t="str">
        <f>_xll.RssMarket(A1770,"安値")</f>
        <v/>
      </c>
      <c r="Q1770" s="4" t="e">
        <f t="shared" si="152"/>
        <v>#VALUE!</v>
      </c>
      <c r="R1770" s="21" t="str">
        <f>_xll.RssMarket(A1770,"後場始値")</f>
        <v/>
      </c>
      <c r="S1770" s="25" t="str">
        <f t="shared" si="153"/>
        <v>-</v>
      </c>
      <c r="T1770" s="7" t="str">
        <f>_xll.RssMarket(A1770,"出来高加重平均")</f>
        <v/>
      </c>
      <c r="U1770" s="4" t="e">
        <f t="shared" si="154"/>
        <v>#VALUE!</v>
      </c>
      <c r="V1770" s="21" t="str">
        <f>_xll.RssMarket(A1770,"出来高")</f>
        <v/>
      </c>
      <c r="W1770" s="21" t="str">
        <f>_xll.RssMarket(A1770,"売買代金")</f>
        <v/>
      </c>
      <c r="X1770" s="20" t="str">
        <f>_xll.RssMarket(A1770,"決算発表日")</f>
        <v/>
      </c>
      <c r="Y1770" s="26" t="str">
        <f>IF(C1770&gt;_xll.RssMarket(A1770,"年初来高値"),"○","×")</f>
        <v>×</v>
      </c>
      <c r="Z1770" s="27" t="str">
        <f>IF(C1770&lt;=_xll.RssMarket(A1770,"年初来安値"),"○","×")</f>
        <v>○</v>
      </c>
    </row>
    <row r="1771" spans="2:26" x14ac:dyDescent="0.55000000000000004">
      <c r="B1771" s="20" t="str">
        <f>_xll.RssMarket(A1771,"銘柄名称")</f>
        <v/>
      </c>
      <c r="C1771" s="21" t="str">
        <f>_xll.RssMarket(A1771,"現在値")</f>
        <v/>
      </c>
      <c r="D1771" s="20" t="str">
        <f>_xll.RssMarket(A1771,"現在値詳細時刻")</f>
        <v/>
      </c>
      <c r="E1771" s="22" t="str">
        <f>_xll.RssMarket(A1771,"前日比")</f>
        <v/>
      </c>
      <c r="F1771" s="23" t="e">
        <f>_xll.RssMarket(A1771,"前日比率")/100</f>
        <v>#VALUE!</v>
      </c>
      <c r="G1771" s="24" t="str">
        <f>IFERROR(VLOOKUP(A1771,取得元!$A$2:$F$501,2,FALSE),"-")</f>
        <v>-</v>
      </c>
      <c r="H1771" s="24" t="str">
        <f>IFERROR(VLOOKUP(A1771,取得元!$A$2:$F$501,3,FALSE),"-")</f>
        <v>-</v>
      </c>
      <c r="I1771" s="24" t="str">
        <f>IFERROR(VLOOKUP(A1771,取得元!$A$2:$F$501,4,FALSE),"-")</f>
        <v>-</v>
      </c>
      <c r="J1771" s="5" t="str">
        <f>IFERROR(VLOOKUP(A1771,取得元!$A$2:$F$501,5,FALSE),"-")</f>
        <v>-</v>
      </c>
      <c r="K1771" s="25" t="str">
        <f>IFERROR(VLOOKUP(A1771,取得元!$A$2:$F$501,6,FALSE)/100,"-")</f>
        <v>-</v>
      </c>
      <c r="L1771" s="21" t="str">
        <f>_xll.RssMarket(A1771,"始値")</f>
        <v/>
      </c>
      <c r="M1771" s="4" t="e">
        <f t="shared" si="150"/>
        <v>#VALUE!</v>
      </c>
      <c r="N1771" s="21" t="str">
        <f>_xll.RssMarket(A1771,"高値")</f>
        <v/>
      </c>
      <c r="O1771" s="4" t="e">
        <f t="shared" si="151"/>
        <v>#VALUE!</v>
      </c>
      <c r="P1771" s="21" t="str">
        <f>_xll.RssMarket(A1771,"安値")</f>
        <v/>
      </c>
      <c r="Q1771" s="4" t="e">
        <f t="shared" si="152"/>
        <v>#VALUE!</v>
      </c>
      <c r="R1771" s="21" t="str">
        <f>_xll.RssMarket(A1771,"後場始値")</f>
        <v/>
      </c>
      <c r="S1771" s="25" t="str">
        <f t="shared" si="153"/>
        <v>-</v>
      </c>
      <c r="T1771" s="7" t="str">
        <f>_xll.RssMarket(A1771,"出来高加重平均")</f>
        <v/>
      </c>
      <c r="U1771" s="4" t="e">
        <f t="shared" si="154"/>
        <v>#VALUE!</v>
      </c>
      <c r="V1771" s="21" t="str">
        <f>_xll.RssMarket(A1771,"出来高")</f>
        <v/>
      </c>
      <c r="W1771" s="21" t="str">
        <f>_xll.RssMarket(A1771,"売買代金")</f>
        <v/>
      </c>
      <c r="X1771" s="20" t="str">
        <f>_xll.RssMarket(A1771,"決算発表日")</f>
        <v/>
      </c>
      <c r="Y1771" s="26" t="str">
        <f>IF(C1771&gt;_xll.RssMarket(A1771,"年初来高値"),"○","×")</f>
        <v>×</v>
      </c>
      <c r="Z1771" s="27" t="str">
        <f>IF(C1771&lt;=_xll.RssMarket(A1771,"年初来安値"),"○","×")</f>
        <v>○</v>
      </c>
    </row>
    <row r="1772" spans="2:26" x14ac:dyDescent="0.55000000000000004">
      <c r="B1772" s="20" t="str">
        <f>_xll.RssMarket(A1772,"銘柄名称")</f>
        <v/>
      </c>
      <c r="C1772" s="21" t="str">
        <f>_xll.RssMarket(A1772,"現在値")</f>
        <v/>
      </c>
      <c r="D1772" s="20" t="str">
        <f>_xll.RssMarket(A1772,"現在値詳細時刻")</f>
        <v/>
      </c>
      <c r="E1772" s="22" t="str">
        <f>_xll.RssMarket(A1772,"前日比")</f>
        <v/>
      </c>
      <c r="F1772" s="23" t="e">
        <f>_xll.RssMarket(A1772,"前日比率")/100</f>
        <v>#VALUE!</v>
      </c>
      <c r="G1772" s="24" t="str">
        <f>IFERROR(VLOOKUP(A1772,取得元!$A$2:$F$501,2,FALSE),"-")</f>
        <v>-</v>
      </c>
      <c r="H1772" s="24" t="str">
        <f>IFERROR(VLOOKUP(A1772,取得元!$A$2:$F$501,3,FALSE),"-")</f>
        <v>-</v>
      </c>
      <c r="I1772" s="24" t="str">
        <f>IFERROR(VLOOKUP(A1772,取得元!$A$2:$F$501,4,FALSE),"-")</f>
        <v>-</v>
      </c>
      <c r="J1772" s="5" t="str">
        <f>IFERROR(VLOOKUP(A1772,取得元!$A$2:$F$501,5,FALSE),"-")</f>
        <v>-</v>
      </c>
      <c r="K1772" s="25" t="str">
        <f>IFERROR(VLOOKUP(A1772,取得元!$A$2:$F$501,6,FALSE)/100,"-")</f>
        <v>-</v>
      </c>
      <c r="L1772" s="21" t="str">
        <f>_xll.RssMarket(A1772,"始値")</f>
        <v/>
      </c>
      <c r="M1772" s="4" t="e">
        <f t="shared" si="150"/>
        <v>#VALUE!</v>
      </c>
      <c r="N1772" s="21" t="str">
        <f>_xll.RssMarket(A1772,"高値")</f>
        <v/>
      </c>
      <c r="O1772" s="4" t="e">
        <f t="shared" si="151"/>
        <v>#VALUE!</v>
      </c>
      <c r="P1772" s="21" t="str">
        <f>_xll.RssMarket(A1772,"安値")</f>
        <v/>
      </c>
      <c r="Q1772" s="4" t="e">
        <f t="shared" si="152"/>
        <v>#VALUE!</v>
      </c>
      <c r="R1772" s="21" t="str">
        <f>_xll.RssMarket(A1772,"後場始値")</f>
        <v/>
      </c>
      <c r="S1772" s="25" t="str">
        <f t="shared" si="153"/>
        <v>-</v>
      </c>
      <c r="T1772" s="7" t="str">
        <f>_xll.RssMarket(A1772,"出来高加重平均")</f>
        <v/>
      </c>
      <c r="U1772" s="4" t="e">
        <f t="shared" si="154"/>
        <v>#VALUE!</v>
      </c>
      <c r="V1772" s="21" t="str">
        <f>_xll.RssMarket(A1772,"出来高")</f>
        <v/>
      </c>
      <c r="W1772" s="21" t="str">
        <f>_xll.RssMarket(A1772,"売買代金")</f>
        <v/>
      </c>
      <c r="X1772" s="20" t="str">
        <f>_xll.RssMarket(A1772,"決算発表日")</f>
        <v/>
      </c>
      <c r="Y1772" s="26" t="str">
        <f>IF(C1772&gt;_xll.RssMarket(A1772,"年初来高値"),"○","×")</f>
        <v>×</v>
      </c>
      <c r="Z1772" s="27" t="str">
        <f>IF(C1772&lt;=_xll.RssMarket(A1772,"年初来安値"),"○","×")</f>
        <v>○</v>
      </c>
    </row>
    <row r="1773" spans="2:26" x14ac:dyDescent="0.55000000000000004">
      <c r="B1773" s="20" t="str">
        <f>_xll.RssMarket(A1773,"銘柄名称")</f>
        <v/>
      </c>
      <c r="C1773" s="21" t="str">
        <f>_xll.RssMarket(A1773,"現在値")</f>
        <v/>
      </c>
      <c r="D1773" s="20" t="str">
        <f>_xll.RssMarket(A1773,"現在値詳細時刻")</f>
        <v/>
      </c>
      <c r="E1773" s="22" t="str">
        <f>_xll.RssMarket(A1773,"前日比")</f>
        <v/>
      </c>
      <c r="F1773" s="23" t="e">
        <f>_xll.RssMarket(A1773,"前日比率")/100</f>
        <v>#VALUE!</v>
      </c>
      <c r="G1773" s="24" t="str">
        <f>IFERROR(VLOOKUP(A1773,取得元!$A$2:$F$501,2,FALSE),"-")</f>
        <v>-</v>
      </c>
      <c r="H1773" s="24" t="str">
        <f>IFERROR(VLOOKUP(A1773,取得元!$A$2:$F$501,3,FALSE),"-")</f>
        <v>-</v>
      </c>
      <c r="I1773" s="24" t="str">
        <f>IFERROR(VLOOKUP(A1773,取得元!$A$2:$F$501,4,FALSE),"-")</f>
        <v>-</v>
      </c>
      <c r="J1773" s="5" t="str">
        <f>IFERROR(VLOOKUP(A1773,取得元!$A$2:$F$501,5,FALSE),"-")</f>
        <v>-</v>
      </c>
      <c r="K1773" s="25" t="str">
        <f>IFERROR(VLOOKUP(A1773,取得元!$A$2:$F$501,6,FALSE)/100,"-")</f>
        <v>-</v>
      </c>
      <c r="L1773" s="21" t="str">
        <f>_xll.RssMarket(A1773,"始値")</f>
        <v/>
      </c>
      <c r="M1773" s="4" t="e">
        <f t="shared" si="150"/>
        <v>#VALUE!</v>
      </c>
      <c r="N1773" s="21" t="str">
        <f>_xll.RssMarket(A1773,"高値")</f>
        <v/>
      </c>
      <c r="O1773" s="4" t="e">
        <f t="shared" si="151"/>
        <v>#VALUE!</v>
      </c>
      <c r="P1773" s="21" t="str">
        <f>_xll.RssMarket(A1773,"安値")</f>
        <v/>
      </c>
      <c r="Q1773" s="4" t="e">
        <f t="shared" si="152"/>
        <v>#VALUE!</v>
      </c>
      <c r="R1773" s="21" t="str">
        <f>_xll.RssMarket(A1773,"後場始値")</f>
        <v/>
      </c>
      <c r="S1773" s="25" t="str">
        <f t="shared" si="153"/>
        <v>-</v>
      </c>
      <c r="T1773" s="7" t="str">
        <f>_xll.RssMarket(A1773,"出来高加重平均")</f>
        <v/>
      </c>
      <c r="U1773" s="4" t="e">
        <f t="shared" si="154"/>
        <v>#VALUE!</v>
      </c>
      <c r="V1773" s="21" t="str">
        <f>_xll.RssMarket(A1773,"出来高")</f>
        <v/>
      </c>
      <c r="W1773" s="21" t="str">
        <f>_xll.RssMarket(A1773,"売買代金")</f>
        <v/>
      </c>
      <c r="X1773" s="20" t="str">
        <f>_xll.RssMarket(A1773,"決算発表日")</f>
        <v/>
      </c>
      <c r="Y1773" s="26" t="str">
        <f>IF(C1773&gt;_xll.RssMarket(A1773,"年初来高値"),"○","×")</f>
        <v>×</v>
      </c>
      <c r="Z1773" s="27" t="str">
        <f>IF(C1773&lt;=_xll.RssMarket(A1773,"年初来安値"),"○","×")</f>
        <v>○</v>
      </c>
    </row>
    <row r="1774" spans="2:26" x14ac:dyDescent="0.55000000000000004">
      <c r="B1774" s="20" t="str">
        <f>_xll.RssMarket(A1774,"銘柄名称")</f>
        <v/>
      </c>
      <c r="C1774" s="21" t="str">
        <f>_xll.RssMarket(A1774,"現在値")</f>
        <v/>
      </c>
      <c r="D1774" s="20" t="str">
        <f>_xll.RssMarket(A1774,"現在値詳細時刻")</f>
        <v/>
      </c>
      <c r="E1774" s="22" t="str">
        <f>_xll.RssMarket(A1774,"前日比")</f>
        <v/>
      </c>
      <c r="F1774" s="23" t="e">
        <f>_xll.RssMarket(A1774,"前日比率")/100</f>
        <v>#VALUE!</v>
      </c>
      <c r="G1774" s="24" t="str">
        <f>IFERROR(VLOOKUP(A1774,取得元!$A$2:$F$501,2,FALSE),"-")</f>
        <v>-</v>
      </c>
      <c r="H1774" s="24" t="str">
        <f>IFERROR(VLOOKUP(A1774,取得元!$A$2:$F$501,3,FALSE),"-")</f>
        <v>-</v>
      </c>
      <c r="I1774" s="24" t="str">
        <f>IFERROR(VLOOKUP(A1774,取得元!$A$2:$F$501,4,FALSE),"-")</f>
        <v>-</v>
      </c>
      <c r="J1774" s="5" t="str">
        <f>IFERROR(VLOOKUP(A1774,取得元!$A$2:$F$501,5,FALSE),"-")</f>
        <v>-</v>
      </c>
      <c r="K1774" s="25" t="str">
        <f>IFERROR(VLOOKUP(A1774,取得元!$A$2:$F$501,6,FALSE)/100,"-")</f>
        <v>-</v>
      </c>
      <c r="L1774" s="21" t="str">
        <f>_xll.RssMarket(A1774,"始値")</f>
        <v/>
      </c>
      <c r="M1774" s="4" t="e">
        <f t="shared" si="150"/>
        <v>#VALUE!</v>
      </c>
      <c r="N1774" s="21" t="str">
        <f>_xll.RssMarket(A1774,"高値")</f>
        <v/>
      </c>
      <c r="O1774" s="4" t="e">
        <f t="shared" si="151"/>
        <v>#VALUE!</v>
      </c>
      <c r="P1774" s="21" t="str">
        <f>_xll.RssMarket(A1774,"安値")</f>
        <v/>
      </c>
      <c r="Q1774" s="4" t="e">
        <f t="shared" si="152"/>
        <v>#VALUE!</v>
      </c>
      <c r="R1774" s="21" t="str">
        <f>_xll.RssMarket(A1774,"後場始値")</f>
        <v/>
      </c>
      <c r="S1774" s="25" t="str">
        <f t="shared" si="153"/>
        <v>-</v>
      </c>
      <c r="T1774" s="7" t="str">
        <f>_xll.RssMarket(A1774,"出来高加重平均")</f>
        <v/>
      </c>
      <c r="U1774" s="4" t="e">
        <f t="shared" si="154"/>
        <v>#VALUE!</v>
      </c>
      <c r="V1774" s="21" t="str">
        <f>_xll.RssMarket(A1774,"出来高")</f>
        <v/>
      </c>
      <c r="W1774" s="21" t="str">
        <f>_xll.RssMarket(A1774,"売買代金")</f>
        <v/>
      </c>
      <c r="X1774" s="20" t="str">
        <f>_xll.RssMarket(A1774,"決算発表日")</f>
        <v/>
      </c>
      <c r="Y1774" s="26" t="str">
        <f>IF(C1774&gt;_xll.RssMarket(A1774,"年初来高値"),"○","×")</f>
        <v>×</v>
      </c>
      <c r="Z1774" s="27" t="str">
        <f>IF(C1774&lt;=_xll.RssMarket(A1774,"年初来安値"),"○","×")</f>
        <v>○</v>
      </c>
    </row>
    <row r="1775" spans="2:26" x14ac:dyDescent="0.55000000000000004">
      <c r="B1775" s="20" t="str">
        <f>_xll.RssMarket(A1775,"銘柄名称")</f>
        <v/>
      </c>
      <c r="C1775" s="21" t="str">
        <f>_xll.RssMarket(A1775,"現在値")</f>
        <v/>
      </c>
      <c r="D1775" s="20" t="str">
        <f>_xll.RssMarket(A1775,"現在値詳細時刻")</f>
        <v/>
      </c>
      <c r="E1775" s="22" t="str">
        <f>_xll.RssMarket(A1775,"前日比")</f>
        <v/>
      </c>
      <c r="F1775" s="23" t="e">
        <f>_xll.RssMarket(A1775,"前日比率")/100</f>
        <v>#VALUE!</v>
      </c>
      <c r="G1775" s="24" t="str">
        <f>IFERROR(VLOOKUP(A1775,取得元!$A$2:$F$501,2,FALSE),"-")</f>
        <v>-</v>
      </c>
      <c r="H1775" s="24" t="str">
        <f>IFERROR(VLOOKUP(A1775,取得元!$A$2:$F$501,3,FALSE),"-")</f>
        <v>-</v>
      </c>
      <c r="I1775" s="24" t="str">
        <f>IFERROR(VLOOKUP(A1775,取得元!$A$2:$F$501,4,FALSE),"-")</f>
        <v>-</v>
      </c>
      <c r="J1775" s="5" t="str">
        <f>IFERROR(VLOOKUP(A1775,取得元!$A$2:$F$501,5,FALSE),"-")</f>
        <v>-</v>
      </c>
      <c r="K1775" s="25" t="str">
        <f>IFERROR(VLOOKUP(A1775,取得元!$A$2:$F$501,6,FALSE)/100,"-")</f>
        <v>-</v>
      </c>
      <c r="L1775" s="21" t="str">
        <f>_xll.RssMarket(A1775,"始値")</f>
        <v/>
      </c>
      <c r="M1775" s="4" t="e">
        <f t="shared" si="150"/>
        <v>#VALUE!</v>
      </c>
      <c r="N1775" s="21" t="str">
        <f>_xll.RssMarket(A1775,"高値")</f>
        <v/>
      </c>
      <c r="O1775" s="4" t="e">
        <f t="shared" si="151"/>
        <v>#VALUE!</v>
      </c>
      <c r="P1775" s="21" t="str">
        <f>_xll.RssMarket(A1775,"安値")</f>
        <v/>
      </c>
      <c r="Q1775" s="4" t="e">
        <f t="shared" si="152"/>
        <v>#VALUE!</v>
      </c>
      <c r="R1775" s="21" t="str">
        <f>_xll.RssMarket(A1775,"後場始値")</f>
        <v/>
      </c>
      <c r="S1775" s="25" t="str">
        <f t="shared" si="153"/>
        <v>-</v>
      </c>
      <c r="T1775" s="7" t="str">
        <f>_xll.RssMarket(A1775,"出来高加重平均")</f>
        <v/>
      </c>
      <c r="U1775" s="4" t="e">
        <f t="shared" si="154"/>
        <v>#VALUE!</v>
      </c>
      <c r="V1775" s="21" t="str">
        <f>_xll.RssMarket(A1775,"出来高")</f>
        <v/>
      </c>
      <c r="W1775" s="21" t="str">
        <f>_xll.RssMarket(A1775,"売買代金")</f>
        <v/>
      </c>
      <c r="X1775" s="20" t="str">
        <f>_xll.RssMarket(A1775,"決算発表日")</f>
        <v/>
      </c>
      <c r="Y1775" s="26" t="str">
        <f>IF(C1775&gt;_xll.RssMarket(A1775,"年初来高値"),"○","×")</f>
        <v>×</v>
      </c>
      <c r="Z1775" s="27" t="str">
        <f>IF(C1775&lt;=_xll.RssMarket(A1775,"年初来安値"),"○","×")</f>
        <v>○</v>
      </c>
    </row>
    <row r="1776" spans="2:26" x14ac:dyDescent="0.55000000000000004">
      <c r="B1776" s="20" t="str">
        <f>_xll.RssMarket(A1776,"銘柄名称")</f>
        <v/>
      </c>
      <c r="C1776" s="21" t="str">
        <f>_xll.RssMarket(A1776,"現在値")</f>
        <v/>
      </c>
      <c r="D1776" s="20" t="str">
        <f>_xll.RssMarket(A1776,"現在値詳細時刻")</f>
        <v/>
      </c>
      <c r="E1776" s="22" t="str">
        <f>_xll.RssMarket(A1776,"前日比")</f>
        <v/>
      </c>
      <c r="F1776" s="23" t="e">
        <f>_xll.RssMarket(A1776,"前日比率")/100</f>
        <v>#VALUE!</v>
      </c>
      <c r="G1776" s="24" t="str">
        <f>IFERROR(VLOOKUP(A1776,取得元!$A$2:$F$501,2,FALSE),"-")</f>
        <v>-</v>
      </c>
      <c r="H1776" s="24" t="str">
        <f>IFERROR(VLOOKUP(A1776,取得元!$A$2:$F$501,3,FALSE),"-")</f>
        <v>-</v>
      </c>
      <c r="I1776" s="24" t="str">
        <f>IFERROR(VLOOKUP(A1776,取得元!$A$2:$F$501,4,FALSE),"-")</f>
        <v>-</v>
      </c>
      <c r="J1776" s="5" t="str">
        <f>IFERROR(VLOOKUP(A1776,取得元!$A$2:$F$501,5,FALSE),"-")</f>
        <v>-</v>
      </c>
      <c r="K1776" s="25" t="str">
        <f>IFERROR(VLOOKUP(A1776,取得元!$A$2:$F$501,6,FALSE)/100,"-")</f>
        <v>-</v>
      </c>
      <c r="L1776" s="21" t="str">
        <f>_xll.RssMarket(A1776,"始値")</f>
        <v/>
      </c>
      <c r="M1776" s="4" t="e">
        <f t="shared" si="150"/>
        <v>#VALUE!</v>
      </c>
      <c r="N1776" s="21" t="str">
        <f>_xll.RssMarket(A1776,"高値")</f>
        <v/>
      </c>
      <c r="O1776" s="4" t="e">
        <f t="shared" si="151"/>
        <v>#VALUE!</v>
      </c>
      <c r="P1776" s="21" t="str">
        <f>_xll.RssMarket(A1776,"安値")</f>
        <v/>
      </c>
      <c r="Q1776" s="4" t="e">
        <f t="shared" si="152"/>
        <v>#VALUE!</v>
      </c>
      <c r="R1776" s="21" t="str">
        <f>_xll.RssMarket(A1776,"後場始値")</f>
        <v/>
      </c>
      <c r="S1776" s="25" t="str">
        <f t="shared" si="153"/>
        <v>-</v>
      </c>
      <c r="T1776" s="7" t="str">
        <f>_xll.RssMarket(A1776,"出来高加重平均")</f>
        <v/>
      </c>
      <c r="U1776" s="4" t="e">
        <f t="shared" si="154"/>
        <v>#VALUE!</v>
      </c>
      <c r="V1776" s="21" t="str">
        <f>_xll.RssMarket(A1776,"出来高")</f>
        <v/>
      </c>
      <c r="W1776" s="21" t="str">
        <f>_xll.RssMarket(A1776,"売買代金")</f>
        <v/>
      </c>
      <c r="X1776" s="20" t="str">
        <f>_xll.RssMarket(A1776,"決算発表日")</f>
        <v/>
      </c>
      <c r="Y1776" s="26" t="str">
        <f>IF(C1776&gt;_xll.RssMarket(A1776,"年初来高値"),"○","×")</f>
        <v>×</v>
      </c>
      <c r="Z1776" s="27" t="str">
        <f>IF(C1776&lt;=_xll.RssMarket(A1776,"年初来安値"),"○","×")</f>
        <v>○</v>
      </c>
    </row>
    <row r="1777" spans="2:26" x14ac:dyDescent="0.55000000000000004">
      <c r="B1777" s="20" t="str">
        <f>_xll.RssMarket(A1777,"銘柄名称")</f>
        <v/>
      </c>
      <c r="C1777" s="21" t="str">
        <f>_xll.RssMarket(A1777,"現在値")</f>
        <v/>
      </c>
      <c r="D1777" s="20" t="str">
        <f>_xll.RssMarket(A1777,"現在値詳細時刻")</f>
        <v/>
      </c>
      <c r="E1777" s="22" t="str">
        <f>_xll.RssMarket(A1777,"前日比")</f>
        <v/>
      </c>
      <c r="F1777" s="23" t="e">
        <f>_xll.RssMarket(A1777,"前日比率")/100</f>
        <v>#VALUE!</v>
      </c>
      <c r="G1777" s="24" t="str">
        <f>IFERROR(VLOOKUP(A1777,取得元!$A$2:$F$501,2,FALSE),"-")</f>
        <v>-</v>
      </c>
      <c r="H1777" s="24" t="str">
        <f>IFERROR(VLOOKUP(A1777,取得元!$A$2:$F$501,3,FALSE),"-")</f>
        <v>-</v>
      </c>
      <c r="I1777" s="24" t="str">
        <f>IFERROR(VLOOKUP(A1777,取得元!$A$2:$F$501,4,FALSE),"-")</f>
        <v>-</v>
      </c>
      <c r="J1777" s="5" t="str">
        <f>IFERROR(VLOOKUP(A1777,取得元!$A$2:$F$501,5,FALSE),"-")</f>
        <v>-</v>
      </c>
      <c r="K1777" s="25" t="str">
        <f>IFERROR(VLOOKUP(A1777,取得元!$A$2:$F$501,6,FALSE)/100,"-")</f>
        <v>-</v>
      </c>
      <c r="L1777" s="21" t="str">
        <f>_xll.RssMarket(A1777,"始値")</f>
        <v/>
      </c>
      <c r="M1777" s="4" t="e">
        <f t="shared" si="150"/>
        <v>#VALUE!</v>
      </c>
      <c r="N1777" s="21" t="str">
        <f>_xll.RssMarket(A1777,"高値")</f>
        <v/>
      </c>
      <c r="O1777" s="4" t="e">
        <f t="shared" si="151"/>
        <v>#VALUE!</v>
      </c>
      <c r="P1777" s="21" t="str">
        <f>_xll.RssMarket(A1777,"安値")</f>
        <v/>
      </c>
      <c r="Q1777" s="4" t="e">
        <f t="shared" si="152"/>
        <v>#VALUE!</v>
      </c>
      <c r="R1777" s="21" t="str">
        <f>_xll.RssMarket(A1777,"後場始値")</f>
        <v/>
      </c>
      <c r="S1777" s="25" t="str">
        <f t="shared" si="153"/>
        <v>-</v>
      </c>
      <c r="T1777" s="7" t="str">
        <f>_xll.RssMarket(A1777,"出来高加重平均")</f>
        <v/>
      </c>
      <c r="U1777" s="4" t="e">
        <f t="shared" si="154"/>
        <v>#VALUE!</v>
      </c>
      <c r="V1777" s="21" t="str">
        <f>_xll.RssMarket(A1777,"出来高")</f>
        <v/>
      </c>
      <c r="W1777" s="21" t="str">
        <f>_xll.RssMarket(A1777,"売買代金")</f>
        <v/>
      </c>
      <c r="X1777" s="20" t="str">
        <f>_xll.RssMarket(A1777,"決算発表日")</f>
        <v/>
      </c>
      <c r="Y1777" s="26" t="str">
        <f>IF(C1777&gt;_xll.RssMarket(A1777,"年初来高値"),"○","×")</f>
        <v>×</v>
      </c>
      <c r="Z1777" s="27" t="str">
        <f>IF(C1777&lt;=_xll.RssMarket(A1777,"年初来安値"),"○","×")</f>
        <v>○</v>
      </c>
    </row>
    <row r="1778" spans="2:26" x14ac:dyDescent="0.55000000000000004">
      <c r="B1778" s="20" t="str">
        <f>_xll.RssMarket(A1778,"銘柄名称")</f>
        <v/>
      </c>
      <c r="C1778" s="21" t="str">
        <f>_xll.RssMarket(A1778,"現在値")</f>
        <v/>
      </c>
      <c r="D1778" s="20" t="str">
        <f>_xll.RssMarket(A1778,"現在値詳細時刻")</f>
        <v/>
      </c>
      <c r="E1778" s="22" t="str">
        <f>_xll.RssMarket(A1778,"前日比")</f>
        <v/>
      </c>
      <c r="F1778" s="23" t="e">
        <f>_xll.RssMarket(A1778,"前日比率")/100</f>
        <v>#VALUE!</v>
      </c>
      <c r="G1778" s="24" t="str">
        <f>IFERROR(VLOOKUP(A1778,取得元!$A$2:$F$501,2,FALSE),"-")</f>
        <v>-</v>
      </c>
      <c r="H1778" s="24" t="str">
        <f>IFERROR(VLOOKUP(A1778,取得元!$A$2:$F$501,3,FALSE),"-")</f>
        <v>-</v>
      </c>
      <c r="I1778" s="24" t="str">
        <f>IFERROR(VLOOKUP(A1778,取得元!$A$2:$F$501,4,FALSE),"-")</f>
        <v>-</v>
      </c>
      <c r="J1778" s="5" t="str">
        <f>IFERROR(VLOOKUP(A1778,取得元!$A$2:$F$501,5,FALSE),"-")</f>
        <v>-</v>
      </c>
      <c r="K1778" s="25" t="str">
        <f>IFERROR(VLOOKUP(A1778,取得元!$A$2:$F$501,6,FALSE)/100,"-")</f>
        <v>-</v>
      </c>
      <c r="L1778" s="21" t="str">
        <f>_xll.RssMarket(A1778,"始値")</f>
        <v/>
      </c>
      <c r="M1778" s="4" t="e">
        <f t="shared" si="150"/>
        <v>#VALUE!</v>
      </c>
      <c r="N1778" s="21" t="str">
        <f>_xll.RssMarket(A1778,"高値")</f>
        <v/>
      </c>
      <c r="O1778" s="4" t="e">
        <f t="shared" si="151"/>
        <v>#VALUE!</v>
      </c>
      <c r="P1778" s="21" t="str">
        <f>_xll.RssMarket(A1778,"安値")</f>
        <v/>
      </c>
      <c r="Q1778" s="4" t="e">
        <f t="shared" si="152"/>
        <v>#VALUE!</v>
      </c>
      <c r="R1778" s="21" t="str">
        <f>_xll.RssMarket(A1778,"後場始値")</f>
        <v/>
      </c>
      <c r="S1778" s="25" t="str">
        <f t="shared" si="153"/>
        <v>-</v>
      </c>
      <c r="T1778" s="7" t="str">
        <f>_xll.RssMarket(A1778,"出来高加重平均")</f>
        <v/>
      </c>
      <c r="U1778" s="4" t="e">
        <f t="shared" si="154"/>
        <v>#VALUE!</v>
      </c>
      <c r="V1778" s="21" t="str">
        <f>_xll.RssMarket(A1778,"出来高")</f>
        <v/>
      </c>
      <c r="W1778" s="21" t="str">
        <f>_xll.RssMarket(A1778,"売買代金")</f>
        <v/>
      </c>
      <c r="X1778" s="20" t="str">
        <f>_xll.RssMarket(A1778,"決算発表日")</f>
        <v/>
      </c>
      <c r="Y1778" s="26" t="str">
        <f>IF(C1778&gt;_xll.RssMarket(A1778,"年初来高値"),"○","×")</f>
        <v>×</v>
      </c>
      <c r="Z1778" s="27" t="str">
        <f>IF(C1778&lt;=_xll.RssMarket(A1778,"年初来安値"),"○","×")</f>
        <v>○</v>
      </c>
    </row>
    <row r="1779" spans="2:26" x14ac:dyDescent="0.55000000000000004">
      <c r="B1779" s="20" t="str">
        <f>_xll.RssMarket(A1779,"銘柄名称")</f>
        <v/>
      </c>
      <c r="C1779" s="21" t="str">
        <f>_xll.RssMarket(A1779,"現在値")</f>
        <v/>
      </c>
      <c r="D1779" s="20" t="str">
        <f>_xll.RssMarket(A1779,"現在値詳細時刻")</f>
        <v/>
      </c>
      <c r="E1779" s="22" t="str">
        <f>_xll.RssMarket(A1779,"前日比")</f>
        <v/>
      </c>
      <c r="F1779" s="23" t="e">
        <f>_xll.RssMarket(A1779,"前日比率")/100</f>
        <v>#VALUE!</v>
      </c>
      <c r="G1779" s="24" t="str">
        <f>IFERROR(VLOOKUP(A1779,取得元!$A$2:$F$501,2,FALSE),"-")</f>
        <v>-</v>
      </c>
      <c r="H1779" s="24" t="str">
        <f>IFERROR(VLOOKUP(A1779,取得元!$A$2:$F$501,3,FALSE),"-")</f>
        <v>-</v>
      </c>
      <c r="I1779" s="24" t="str">
        <f>IFERROR(VLOOKUP(A1779,取得元!$A$2:$F$501,4,FALSE),"-")</f>
        <v>-</v>
      </c>
      <c r="J1779" s="5" t="str">
        <f>IFERROR(VLOOKUP(A1779,取得元!$A$2:$F$501,5,FALSE),"-")</f>
        <v>-</v>
      </c>
      <c r="K1779" s="25" t="str">
        <f>IFERROR(VLOOKUP(A1779,取得元!$A$2:$F$501,6,FALSE)/100,"-")</f>
        <v>-</v>
      </c>
      <c r="L1779" s="21" t="str">
        <f>_xll.RssMarket(A1779,"始値")</f>
        <v/>
      </c>
      <c r="M1779" s="4" t="e">
        <f t="shared" si="150"/>
        <v>#VALUE!</v>
      </c>
      <c r="N1779" s="21" t="str">
        <f>_xll.RssMarket(A1779,"高値")</f>
        <v/>
      </c>
      <c r="O1779" s="4" t="e">
        <f t="shared" si="151"/>
        <v>#VALUE!</v>
      </c>
      <c r="P1779" s="21" t="str">
        <f>_xll.RssMarket(A1779,"安値")</f>
        <v/>
      </c>
      <c r="Q1779" s="4" t="e">
        <f t="shared" si="152"/>
        <v>#VALUE!</v>
      </c>
      <c r="R1779" s="21" t="str">
        <f>_xll.RssMarket(A1779,"後場始値")</f>
        <v/>
      </c>
      <c r="S1779" s="25" t="str">
        <f t="shared" si="153"/>
        <v>-</v>
      </c>
      <c r="T1779" s="7" t="str">
        <f>_xll.RssMarket(A1779,"出来高加重平均")</f>
        <v/>
      </c>
      <c r="U1779" s="4" t="e">
        <f t="shared" si="154"/>
        <v>#VALUE!</v>
      </c>
      <c r="V1779" s="21" t="str">
        <f>_xll.RssMarket(A1779,"出来高")</f>
        <v/>
      </c>
      <c r="W1779" s="21" t="str">
        <f>_xll.RssMarket(A1779,"売買代金")</f>
        <v/>
      </c>
      <c r="X1779" s="20" t="str">
        <f>_xll.RssMarket(A1779,"決算発表日")</f>
        <v/>
      </c>
      <c r="Y1779" s="26" t="str">
        <f>IF(C1779&gt;_xll.RssMarket(A1779,"年初来高値"),"○","×")</f>
        <v>×</v>
      </c>
      <c r="Z1779" s="27" t="str">
        <f>IF(C1779&lt;=_xll.RssMarket(A1779,"年初来安値"),"○","×")</f>
        <v>○</v>
      </c>
    </row>
    <row r="1780" spans="2:26" x14ac:dyDescent="0.55000000000000004">
      <c r="B1780" s="20" t="str">
        <f>_xll.RssMarket(A1780,"銘柄名称")</f>
        <v/>
      </c>
      <c r="C1780" s="21" t="str">
        <f>_xll.RssMarket(A1780,"現在値")</f>
        <v/>
      </c>
      <c r="D1780" s="20" t="str">
        <f>_xll.RssMarket(A1780,"現在値詳細時刻")</f>
        <v/>
      </c>
      <c r="E1780" s="22" t="str">
        <f>_xll.RssMarket(A1780,"前日比")</f>
        <v/>
      </c>
      <c r="F1780" s="23" t="e">
        <f>_xll.RssMarket(A1780,"前日比率")/100</f>
        <v>#VALUE!</v>
      </c>
      <c r="G1780" s="24" t="str">
        <f>IFERROR(VLOOKUP(A1780,取得元!$A$2:$F$501,2,FALSE),"-")</f>
        <v>-</v>
      </c>
      <c r="H1780" s="24" t="str">
        <f>IFERROR(VLOOKUP(A1780,取得元!$A$2:$F$501,3,FALSE),"-")</f>
        <v>-</v>
      </c>
      <c r="I1780" s="24" t="str">
        <f>IFERROR(VLOOKUP(A1780,取得元!$A$2:$F$501,4,FALSE),"-")</f>
        <v>-</v>
      </c>
      <c r="J1780" s="5" t="str">
        <f>IFERROR(VLOOKUP(A1780,取得元!$A$2:$F$501,5,FALSE),"-")</f>
        <v>-</v>
      </c>
      <c r="K1780" s="25" t="str">
        <f>IFERROR(VLOOKUP(A1780,取得元!$A$2:$F$501,6,FALSE)/100,"-")</f>
        <v>-</v>
      </c>
      <c r="L1780" s="21" t="str">
        <f>_xll.RssMarket(A1780,"始値")</f>
        <v/>
      </c>
      <c r="M1780" s="4" t="e">
        <f t="shared" si="150"/>
        <v>#VALUE!</v>
      </c>
      <c r="N1780" s="21" t="str">
        <f>_xll.RssMarket(A1780,"高値")</f>
        <v/>
      </c>
      <c r="O1780" s="4" t="e">
        <f t="shared" si="151"/>
        <v>#VALUE!</v>
      </c>
      <c r="P1780" s="21" t="str">
        <f>_xll.RssMarket(A1780,"安値")</f>
        <v/>
      </c>
      <c r="Q1780" s="4" t="e">
        <f t="shared" si="152"/>
        <v>#VALUE!</v>
      </c>
      <c r="R1780" s="21" t="str">
        <f>_xll.RssMarket(A1780,"後場始値")</f>
        <v/>
      </c>
      <c r="S1780" s="25" t="str">
        <f t="shared" si="153"/>
        <v>-</v>
      </c>
      <c r="T1780" s="7" t="str">
        <f>_xll.RssMarket(A1780,"出来高加重平均")</f>
        <v/>
      </c>
      <c r="U1780" s="4" t="e">
        <f t="shared" si="154"/>
        <v>#VALUE!</v>
      </c>
      <c r="V1780" s="21" t="str">
        <f>_xll.RssMarket(A1780,"出来高")</f>
        <v/>
      </c>
      <c r="W1780" s="21" t="str">
        <f>_xll.RssMarket(A1780,"売買代金")</f>
        <v/>
      </c>
      <c r="X1780" s="20" t="str">
        <f>_xll.RssMarket(A1780,"決算発表日")</f>
        <v/>
      </c>
      <c r="Y1780" s="26" t="str">
        <f>IF(C1780&gt;_xll.RssMarket(A1780,"年初来高値"),"○","×")</f>
        <v>×</v>
      </c>
      <c r="Z1780" s="27" t="str">
        <f>IF(C1780&lt;=_xll.RssMarket(A1780,"年初来安値"),"○","×")</f>
        <v>○</v>
      </c>
    </row>
    <row r="1781" spans="2:26" x14ac:dyDescent="0.55000000000000004">
      <c r="B1781" s="20" t="str">
        <f>_xll.RssMarket(A1781,"銘柄名称")</f>
        <v/>
      </c>
      <c r="C1781" s="21" t="str">
        <f>_xll.RssMarket(A1781,"現在値")</f>
        <v/>
      </c>
      <c r="D1781" s="20" t="str">
        <f>_xll.RssMarket(A1781,"現在値詳細時刻")</f>
        <v/>
      </c>
      <c r="E1781" s="22" t="str">
        <f>_xll.RssMarket(A1781,"前日比")</f>
        <v/>
      </c>
      <c r="F1781" s="23" t="e">
        <f>_xll.RssMarket(A1781,"前日比率")/100</f>
        <v>#VALUE!</v>
      </c>
      <c r="G1781" s="24" t="str">
        <f>IFERROR(VLOOKUP(A1781,取得元!$A$2:$F$501,2,FALSE),"-")</f>
        <v>-</v>
      </c>
      <c r="H1781" s="24" t="str">
        <f>IFERROR(VLOOKUP(A1781,取得元!$A$2:$F$501,3,FALSE),"-")</f>
        <v>-</v>
      </c>
      <c r="I1781" s="24" t="str">
        <f>IFERROR(VLOOKUP(A1781,取得元!$A$2:$F$501,4,FALSE),"-")</f>
        <v>-</v>
      </c>
      <c r="J1781" s="5" t="str">
        <f>IFERROR(VLOOKUP(A1781,取得元!$A$2:$F$501,5,FALSE),"-")</f>
        <v>-</v>
      </c>
      <c r="K1781" s="25" t="str">
        <f>IFERROR(VLOOKUP(A1781,取得元!$A$2:$F$501,6,FALSE)/100,"-")</f>
        <v>-</v>
      </c>
      <c r="L1781" s="21" t="str">
        <f>_xll.RssMarket(A1781,"始値")</f>
        <v/>
      </c>
      <c r="M1781" s="4" t="e">
        <f t="shared" si="150"/>
        <v>#VALUE!</v>
      </c>
      <c r="N1781" s="21" t="str">
        <f>_xll.RssMarket(A1781,"高値")</f>
        <v/>
      </c>
      <c r="O1781" s="4" t="e">
        <f t="shared" si="151"/>
        <v>#VALUE!</v>
      </c>
      <c r="P1781" s="21" t="str">
        <f>_xll.RssMarket(A1781,"安値")</f>
        <v/>
      </c>
      <c r="Q1781" s="4" t="e">
        <f t="shared" si="152"/>
        <v>#VALUE!</v>
      </c>
      <c r="R1781" s="21" t="str">
        <f>_xll.RssMarket(A1781,"後場始値")</f>
        <v/>
      </c>
      <c r="S1781" s="25" t="str">
        <f t="shared" si="153"/>
        <v>-</v>
      </c>
      <c r="T1781" s="7" t="str">
        <f>_xll.RssMarket(A1781,"出来高加重平均")</f>
        <v/>
      </c>
      <c r="U1781" s="4" t="e">
        <f t="shared" si="154"/>
        <v>#VALUE!</v>
      </c>
      <c r="V1781" s="21" t="str">
        <f>_xll.RssMarket(A1781,"出来高")</f>
        <v/>
      </c>
      <c r="W1781" s="21" t="str">
        <f>_xll.RssMarket(A1781,"売買代金")</f>
        <v/>
      </c>
      <c r="X1781" s="20" t="str">
        <f>_xll.RssMarket(A1781,"決算発表日")</f>
        <v/>
      </c>
      <c r="Y1781" s="26" t="str">
        <f>IF(C1781&gt;_xll.RssMarket(A1781,"年初来高値"),"○","×")</f>
        <v>×</v>
      </c>
      <c r="Z1781" s="27" t="str">
        <f>IF(C1781&lt;=_xll.RssMarket(A1781,"年初来安値"),"○","×")</f>
        <v>○</v>
      </c>
    </row>
    <row r="1782" spans="2:26" x14ac:dyDescent="0.55000000000000004">
      <c r="B1782" s="20" t="str">
        <f>_xll.RssMarket(A1782,"銘柄名称")</f>
        <v/>
      </c>
      <c r="C1782" s="21" t="str">
        <f>_xll.RssMarket(A1782,"現在値")</f>
        <v/>
      </c>
      <c r="D1782" s="20" t="str">
        <f>_xll.RssMarket(A1782,"現在値詳細時刻")</f>
        <v/>
      </c>
      <c r="E1782" s="22" t="str">
        <f>_xll.RssMarket(A1782,"前日比")</f>
        <v/>
      </c>
      <c r="F1782" s="23" t="e">
        <f>_xll.RssMarket(A1782,"前日比率")/100</f>
        <v>#VALUE!</v>
      </c>
      <c r="G1782" s="24" t="str">
        <f>IFERROR(VLOOKUP(A1782,取得元!$A$2:$F$501,2,FALSE),"-")</f>
        <v>-</v>
      </c>
      <c r="H1782" s="24" t="str">
        <f>IFERROR(VLOOKUP(A1782,取得元!$A$2:$F$501,3,FALSE),"-")</f>
        <v>-</v>
      </c>
      <c r="I1782" s="24" t="str">
        <f>IFERROR(VLOOKUP(A1782,取得元!$A$2:$F$501,4,FALSE),"-")</f>
        <v>-</v>
      </c>
      <c r="J1782" s="5" t="str">
        <f>IFERROR(VLOOKUP(A1782,取得元!$A$2:$F$501,5,FALSE),"-")</f>
        <v>-</v>
      </c>
      <c r="K1782" s="25" t="str">
        <f>IFERROR(VLOOKUP(A1782,取得元!$A$2:$F$501,6,FALSE)/100,"-")</f>
        <v>-</v>
      </c>
      <c r="L1782" s="21" t="str">
        <f>_xll.RssMarket(A1782,"始値")</f>
        <v/>
      </c>
      <c r="M1782" s="4" t="e">
        <f t="shared" si="150"/>
        <v>#VALUE!</v>
      </c>
      <c r="N1782" s="21" t="str">
        <f>_xll.RssMarket(A1782,"高値")</f>
        <v/>
      </c>
      <c r="O1782" s="4" t="e">
        <f t="shared" si="151"/>
        <v>#VALUE!</v>
      </c>
      <c r="P1782" s="21" t="str">
        <f>_xll.RssMarket(A1782,"安値")</f>
        <v/>
      </c>
      <c r="Q1782" s="4" t="e">
        <f t="shared" si="152"/>
        <v>#VALUE!</v>
      </c>
      <c r="R1782" s="21" t="str">
        <f>_xll.RssMarket(A1782,"後場始値")</f>
        <v/>
      </c>
      <c r="S1782" s="25" t="str">
        <f t="shared" si="153"/>
        <v>-</v>
      </c>
      <c r="T1782" s="7" t="str">
        <f>_xll.RssMarket(A1782,"出来高加重平均")</f>
        <v/>
      </c>
      <c r="U1782" s="4" t="e">
        <f t="shared" si="154"/>
        <v>#VALUE!</v>
      </c>
      <c r="V1782" s="21" t="str">
        <f>_xll.RssMarket(A1782,"出来高")</f>
        <v/>
      </c>
      <c r="W1782" s="21" t="str">
        <f>_xll.RssMarket(A1782,"売買代金")</f>
        <v/>
      </c>
      <c r="X1782" s="20" t="str">
        <f>_xll.RssMarket(A1782,"決算発表日")</f>
        <v/>
      </c>
      <c r="Y1782" s="26" t="str">
        <f>IF(C1782&gt;_xll.RssMarket(A1782,"年初来高値"),"○","×")</f>
        <v>×</v>
      </c>
      <c r="Z1782" s="27" t="str">
        <f>IF(C1782&lt;=_xll.RssMarket(A1782,"年初来安値"),"○","×")</f>
        <v>○</v>
      </c>
    </row>
    <row r="1783" spans="2:26" x14ac:dyDescent="0.55000000000000004">
      <c r="B1783" s="20" t="str">
        <f>_xll.RssMarket(A1783,"銘柄名称")</f>
        <v/>
      </c>
      <c r="C1783" s="21" t="str">
        <f>_xll.RssMarket(A1783,"現在値")</f>
        <v/>
      </c>
      <c r="D1783" s="20" t="str">
        <f>_xll.RssMarket(A1783,"現在値詳細時刻")</f>
        <v/>
      </c>
      <c r="E1783" s="22" t="str">
        <f>_xll.RssMarket(A1783,"前日比")</f>
        <v/>
      </c>
      <c r="F1783" s="23" t="e">
        <f>_xll.RssMarket(A1783,"前日比率")/100</f>
        <v>#VALUE!</v>
      </c>
      <c r="G1783" s="24" t="str">
        <f>IFERROR(VLOOKUP(A1783,取得元!$A$2:$F$501,2,FALSE),"-")</f>
        <v>-</v>
      </c>
      <c r="H1783" s="24" t="str">
        <f>IFERROR(VLOOKUP(A1783,取得元!$A$2:$F$501,3,FALSE),"-")</f>
        <v>-</v>
      </c>
      <c r="I1783" s="24" t="str">
        <f>IFERROR(VLOOKUP(A1783,取得元!$A$2:$F$501,4,FALSE),"-")</f>
        <v>-</v>
      </c>
      <c r="J1783" s="5" t="str">
        <f>IFERROR(VLOOKUP(A1783,取得元!$A$2:$F$501,5,FALSE),"-")</f>
        <v>-</v>
      </c>
      <c r="K1783" s="25" t="str">
        <f>IFERROR(VLOOKUP(A1783,取得元!$A$2:$F$501,6,FALSE)/100,"-")</f>
        <v>-</v>
      </c>
      <c r="L1783" s="21" t="str">
        <f>_xll.RssMarket(A1783,"始値")</f>
        <v/>
      </c>
      <c r="M1783" s="4" t="e">
        <f t="shared" si="150"/>
        <v>#VALUE!</v>
      </c>
      <c r="N1783" s="21" t="str">
        <f>_xll.RssMarket(A1783,"高値")</f>
        <v/>
      </c>
      <c r="O1783" s="4" t="e">
        <f t="shared" si="151"/>
        <v>#VALUE!</v>
      </c>
      <c r="P1783" s="21" t="str">
        <f>_xll.RssMarket(A1783,"安値")</f>
        <v/>
      </c>
      <c r="Q1783" s="4" t="e">
        <f t="shared" si="152"/>
        <v>#VALUE!</v>
      </c>
      <c r="R1783" s="21" t="str">
        <f>_xll.RssMarket(A1783,"後場始値")</f>
        <v/>
      </c>
      <c r="S1783" s="25" t="str">
        <f t="shared" si="153"/>
        <v>-</v>
      </c>
      <c r="T1783" s="7" t="str">
        <f>_xll.RssMarket(A1783,"出来高加重平均")</f>
        <v/>
      </c>
      <c r="U1783" s="4" t="e">
        <f t="shared" si="154"/>
        <v>#VALUE!</v>
      </c>
      <c r="V1783" s="21" t="str">
        <f>_xll.RssMarket(A1783,"出来高")</f>
        <v/>
      </c>
      <c r="W1783" s="21" t="str">
        <f>_xll.RssMarket(A1783,"売買代金")</f>
        <v/>
      </c>
      <c r="X1783" s="20" t="str">
        <f>_xll.RssMarket(A1783,"決算発表日")</f>
        <v/>
      </c>
      <c r="Y1783" s="26" t="str">
        <f>IF(C1783&gt;_xll.RssMarket(A1783,"年初来高値"),"○","×")</f>
        <v>×</v>
      </c>
      <c r="Z1783" s="27" t="str">
        <f>IF(C1783&lt;=_xll.RssMarket(A1783,"年初来安値"),"○","×")</f>
        <v>○</v>
      </c>
    </row>
    <row r="1784" spans="2:26" x14ac:dyDescent="0.55000000000000004">
      <c r="B1784" s="20" t="str">
        <f>_xll.RssMarket(A1784,"銘柄名称")</f>
        <v/>
      </c>
      <c r="C1784" s="21" t="str">
        <f>_xll.RssMarket(A1784,"現在値")</f>
        <v/>
      </c>
      <c r="D1784" s="20" t="str">
        <f>_xll.RssMarket(A1784,"現在値詳細時刻")</f>
        <v/>
      </c>
      <c r="E1784" s="22" t="str">
        <f>_xll.RssMarket(A1784,"前日比")</f>
        <v/>
      </c>
      <c r="F1784" s="23" t="e">
        <f>_xll.RssMarket(A1784,"前日比率")/100</f>
        <v>#VALUE!</v>
      </c>
      <c r="G1784" s="24" t="str">
        <f>IFERROR(VLOOKUP(A1784,取得元!$A$2:$F$501,2,FALSE),"-")</f>
        <v>-</v>
      </c>
      <c r="H1784" s="24" t="str">
        <f>IFERROR(VLOOKUP(A1784,取得元!$A$2:$F$501,3,FALSE),"-")</f>
        <v>-</v>
      </c>
      <c r="I1784" s="24" t="str">
        <f>IFERROR(VLOOKUP(A1784,取得元!$A$2:$F$501,4,FALSE),"-")</f>
        <v>-</v>
      </c>
      <c r="J1784" s="5" t="str">
        <f>IFERROR(VLOOKUP(A1784,取得元!$A$2:$F$501,5,FALSE),"-")</f>
        <v>-</v>
      </c>
      <c r="K1784" s="25" t="str">
        <f>IFERROR(VLOOKUP(A1784,取得元!$A$2:$F$501,6,FALSE)/100,"-")</f>
        <v>-</v>
      </c>
      <c r="L1784" s="21" t="str">
        <f>_xll.RssMarket(A1784,"始値")</f>
        <v/>
      </c>
      <c r="M1784" s="4" t="e">
        <f t="shared" si="150"/>
        <v>#VALUE!</v>
      </c>
      <c r="N1784" s="21" t="str">
        <f>_xll.RssMarket(A1784,"高値")</f>
        <v/>
      </c>
      <c r="O1784" s="4" t="e">
        <f t="shared" si="151"/>
        <v>#VALUE!</v>
      </c>
      <c r="P1784" s="21" t="str">
        <f>_xll.RssMarket(A1784,"安値")</f>
        <v/>
      </c>
      <c r="Q1784" s="4" t="e">
        <f t="shared" si="152"/>
        <v>#VALUE!</v>
      </c>
      <c r="R1784" s="21" t="str">
        <f>_xll.RssMarket(A1784,"後場始値")</f>
        <v/>
      </c>
      <c r="S1784" s="25" t="str">
        <f t="shared" si="153"/>
        <v>-</v>
      </c>
      <c r="T1784" s="7" t="str">
        <f>_xll.RssMarket(A1784,"出来高加重平均")</f>
        <v/>
      </c>
      <c r="U1784" s="4" t="e">
        <f t="shared" si="154"/>
        <v>#VALUE!</v>
      </c>
      <c r="V1784" s="21" t="str">
        <f>_xll.RssMarket(A1784,"出来高")</f>
        <v/>
      </c>
      <c r="W1784" s="21" t="str">
        <f>_xll.RssMarket(A1784,"売買代金")</f>
        <v/>
      </c>
      <c r="X1784" s="20" t="str">
        <f>_xll.RssMarket(A1784,"決算発表日")</f>
        <v/>
      </c>
      <c r="Y1784" s="26" t="str">
        <f>IF(C1784&gt;_xll.RssMarket(A1784,"年初来高値"),"○","×")</f>
        <v>×</v>
      </c>
      <c r="Z1784" s="27" t="str">
        <f>IF(C1784&lt;=_xll.RssMarket(A1784,"年初来安値"),"○","×")</f>
        <v>○</v>
      </c>
    </row>
    <row r="1785" spans="2:26" x14ac:dyDescent="0.55000000000000004">
      <c r="B1785" s="20" t="str">
        <f>_xll.RssMarket(A1785,"銘柄名称")</f>
        <v/>
      </c>
      <c r="C1785" s="21" t="str">
        <f>_xll.RssMarket(A1785,"現在値")</f>
        <v/>
      </c>
      <c r="D1785" s="20" t="str">
        <f>_xll.RssMarket(A1785,"現在値詳細時刻")</f>
        <v/>
      </c>
      <c r="E1785" s="22" t="str">
        <f>_xll.RssMarket(A1785,"前日比")</f>
        <v/>
      </c>
      <c r="F1785" s="23" t="e">
        <f>_xll.RssMarket(A1785,"前日比率")/100</f>
        <v>#VALUE!</v>
      </c>
      <c r="G1785" s="24" t="str">
        <f>IFERROR(VLOOKUP(A1785,取得元!$A$2:$F$501,2,FALSE),"-")</f>
        <v>-</v>
      </c>
      <c r="H1785" s="24" t="str">
        <f>IFERROR(VLOOKUP(A1785,取得元!$A$2:$F$501,3,FALSE),"-")</f>
        <v>-</v>
      </c>
      <c r="I1785" s="24" t="str">
        <f>IFERROR(VLOOKUP(A1785,取得元!$A$2:$F$501,4,FALSE),"-")</f>
        <v>-</v>
      </c>
      <c r="J1785" s="5" t="str">
        <f>IFERROR(VLOOKUP(A1785,取得元!$A$2:$F$501,5,FALSE),"-")</f>
        <v>-</v>
      </c>
      <c r="K1785" s="25" t="str">
        <f>IFERROR(VLOOKUP(A1785,取得元!$A$2:$F$501,6,FALSE)/100,"-")</f>
        <v>-</v>
      </c>
      <c r="L1785" s="21" t="str">
        <f>_xll.RssMarket(A1785,"始値")</f>
        <v/>
      </c>
      <c r="M1785" s="4" t="e">
        <f t="shared" si="150"/>
        <v>#VALUE!</v>
      </c>
      <c r="N1785" s="21" t="str">
        <f>_xll.RssMarket(A1785,"高値")</f>
        <v/>
      </c>
      <c r="O1785" s="4" t="e">
        <f t="shared" si="151"/>
        <v>#VALUE!</v>
      </c>
      <c r="P1785" s="21" t="str">
        <f>_xll.RssMarket(A1785,"安値")</f>
        <v/>
      </c>
      <c r="Q1785" s="4" t="e">
        <f t="shared" si="152"/>
        <v>#VALUE!</v>
      </c>
      <c r="R1785" s="21" t="str">
        <f>_xll.RssMarket(A1785,"後場始値")</f>
        <v/>
      </c>
      <c r="S1785" s="25" t="str">
        <f t="shared" si="153"/>
        <v>-</v>
      </c>
      <c r="T1785" s="7" t="str">
        <f>_xll.RssMarket(A1785,"出来高加重平均")</f>
        <v/>
      </c>
      <c r="U1785" s="4" t="e">
        <f t="shared" si="154"/>
        <v>#VALUE!</v>
      </c>
      <c r="V1785" s="21" t="str">
        <f>_xll.RssMarket(A1785,"出来高")</f>
        <v/>
      </c>
      <c r="W1785" s="21" t="str">
        <f>_xll.RssMarket(A1785,"売買代金")</f>
        <v/>
      </c>
      <c r="X1785" s="20" t="str">
        <f>_xll.RssMarket(A1785,"決算発表日")</f>
        <v/>
      </c>
      <c r="Y1785" s="26" t="str">
        <f>IF(C1785&gt;_xll.RssMarket(A1785,"年初来高値"),"○","×")</f>
        <v>×</v>
      </c>
      <c r="Z1785" s="27" t="str">
        <f>IF(C1785&lt;=_xll.RssMarket(A1785,"年初来安値"),"○","×")</f>
        <v>○</v>
      </c>
    </row>
    <row r="1786" spans="2:26" x14ac:dyDescent="0.55000000000000004">
      <c r="B1786" s="20" t="str">
        <f>_xll.RssMarket(A1786,"銘柄名称")</f>
        <v/>
      </c>
      <c r="C1786" s="21" t="str">
        <f>_xll.RssMarket(A1786,"現在値")</f>
        <v/>
      </c>
      <c r="D1786" s="20" t="str">
        <f>_xll.RssMarket(A1786,"現在値詳細時刻")</f>
        <v/>
      </c>
      <c r="E1786" s="22" t="str">
        <f>_xll.RssMarket(A1786,"前日比")</f>
        <v/>
      </c>
      <c r="F1786" s="23" t="e">
        <f>_xll.RssMarket(A1786,"前日比率")/100</f>
        <v>#VALUE!</v>
      </c>
      <c r="G1786" s="24" t="str">
        <f>IFERROR(VLOOKUP(A1786,取得元!$A$2:$F$501,2,FALSE),"-")</f>
        <v>-</v>
      </c>
      <c r="H1786" s="24" t="str">
        <f>IFERROR(VLOOKUP(A1786,取得元!$A$2:$F$501,3,FALSE),"-")</f>
        <v>-</v>
      </c>
      <c r="I1786" s="24" t="str">
        <f>IFERROR(VLOOKUP(A1786,取得元!$A$2:$F$501,4,FALSE),"-")</f>
        <v>-</v>
      </c>
      <c r="J1786" s="5" t="str">
        <f>IFERROR(VLOOKUP(A1786,取得元!$A$2:$F$501,5,FALSE),"-")</f>
        <v>-</v>
      </c>
      <c r="K1786" s="25" t="str">
        <f>IFERROR(VLOOKUP(A1786,取得元!$A$2:$F$501,6,FALSE)/100,"-")</f>
        <v>-</v>
      </c>
      <c r="L1786" s="21" t="str">
        <f>_xll.RssMarket(A1786,"始値")</f>
        <v/>
      </c>
      <c r="M1786" s="4" t="e">
        <f t="shared" si="150"/>
        <v>#VALUE!</v>
      </c>
      <c r="N1786" s="21" t="str">
        <f>_xll.RssMarket(A1786,"高値")</f>
        <v/>
      </c>
      <c r="O1786" s="4" t="e">
        <f t="shared" si="151"/>
        <v>#VALUE!</v>
      </c>
      <c r="P1786" s="21" t="str">
        <f>_xll.RssMarket(A1786,"安値")</f>
        <v/>
      </c>
      <c r="Q1786" s="4" t="e">
        <f t="shared" si="152"/>
        <v>#VALUE!</v>
      </c>
      <c r="R1786" s="21" t="str">
        <f>_xll.RssMarket(A1786,"後場始値")</f>
        <v/>
      </c>
      <c r="S1786" s="25" t="str">
        <f t="shared" si="153"/>
        <v>-</v>
      </c>
      <c r="T1786" s="7" t="str">
        <f>_xll.RssMarket(A1786,"出来高加重平均")</f>
        <v/>
      </c>
      <c r="U1786" s="4" t="e">
        <f t="shared" si="154"/>
        <v>#VALUE!</v>
      </c>
      <c r="V1786" s="21" t="str">
        <f>_xll.RssMarket(A1786,"出来高")</f>
        <v/>
      </c>
      <c r="W1786" s="21" t="str">
        <f>_xll.RssMarket(A1786,"売買代金")</f>
        <v/>
      </c>
      <c r="X1786" s="20" t="str">
        <f>_xll.RssMarket(A1786,"決算発表日")</f>
        <v/>
      </c>
      <c r="Y1786" s="26" t="str">
        <f>IF(C1786&gt;_xll.RssMarket(A1786,"年初来高値"),"○","×")</f>
        <v>×</v>
      </c>
      <c r="Z1786" s="27" t="str">
        <f>IF(C1786&lt;=_xll.RssMarket(A1786,"年初来安値"),"○","×")</f>
        <v>○</v>
      </c>
    </row>
    <row r="1787" spans="2:26" x14ac:dyDescent="0.55000000000000004">
      <c r="B1787" s="20" t="str">
        <f>_xll.RssMarket(A1787,"銘柄名称")</f>
        <v/>
      </c>
      <c r="C1787" s="21" t="str">
        <f>_xll.RssMarket(A1787,"現在値")</f>
        <v/>
      </c>
      <c r="D1787" s="20" t="str">
        <f>_xll.RssMarket(A1787,"現在値詳細時刻")</f>
        <v/>
      </c>
      <c r="E1787" s="22" t="str">
        <f>_xll.RssMarket(A1787,"前日比")</f>
        <v/>
      </c>
      <c r="F1787" s="23" t="e">
        <f>_xll.RssMarket(A1787,"前日比率")/100</f>
        <v>#VALUE!</v>
      </c>
      <c r="G1787" s="24" t="str">
        <f>IFERROR(VLOOKUP(A1787,取得元!$A$2:$F$501,2,FALSE),"-")</f>
        <v>-</v>
      </c>
      <c r="H1787" s="24" t="str">
        <f>IFERROR(VLOOKUP(A1787,取得元!$A$2:$F$501,3,FALSE),"-")</f>
        <v>-</v>
      </c>
      <c r="I1787" s="24" t="str">
        <f>IFERROR(VLOOKUP(A1787,取得元!$A$2:$F$501,4,FALSE),"-")</f>
        <v>-</v>
      </c>
      <c r="J1787" s="5" t="str">
        <f>IFERROR(VLOOKUP(A1787,取得元!$A$2:$F$501,5,FALSE),"-")</f>
        <v>-</v>
      </c>
      <c r="K1787" s="25" t="str">
        <f>IFERROR(VLOOKUP(A1787,取得元!$A$2:$F$501,6,FALSE)/100,"-")</f>
        <v>-</v>
      </c>
      <c r="L1787" s="21" t="str">
        <f>_xll.RssMarket(A1787,"始値")</f>
        <v/>
      </c>
      <c r="M1787" s="4" t="e">
        <f t="shared" si="150"/>
        <v>#VALUE!</v>
      </c>
      <c r="N1787" s="21" t="str">
        <f>_xll.RssMarket(A1787,"高値")</f>
        <v/>
      </c>
      <c r="O1787" s="4" t="e">
        <f t="shared" si="151"/>
        <v>#VALUE!</v>
      </c>
      <c r="P1787" s="21" t="str">
        <f>_xll.RssMarket(A1787,"安値")</f>
        <v/>
      </c>
      <c r="Q1787" s="4" t="e">
        <f t="shared" si="152"/>
        <v>#VALUE!</v>
      </c>
      <c r="R1787" s="21" t="str">
        <f>_xll.RssMarket(A1787,"後場始値")</f>
        <v/>
      </c>
      <c r="S1787" s="25" t="str">
        <f t="shared" si="153"/>
        <v>-</v>
      </c>
      <c r="T1787" s="7" t="str">
        <f>_xll.RssMarket(A1787,"出来高加重平均")</f>
        <v/>
      </c>
      <c r="U1787" s="4" t="e">
        <f t="shared" si="154"/>
        <v>#VALUE!</v>
      </c>
      <c r="V1787" s="21" t="str">
        <f>_xll.RssMarket(A1787,"出来高")</f>
        <v/>
      </c>
      <c r="W1787" s="21" t="str">
        <f>_xll.RssMarket(A1787,"売買代金")</f>
        <v/>
      </c>
      <c r="X1787" s="20" t="str">
        <f>_xll.RssMarket(A1787,"決算発表日")</f>
        <v/>
      </c>
      <c r="Y1787" s="26" t="str">
        <f>IF(C1787&gt;_xll.RssMarket(A1787,"年初来高値"),"○","×")</f>
        <v>×</v>
      </c>
      <c r="Z1787" s="27" t="str">
        <f>IF(C1787&lt;=_xll.RssMarket(A1787,"年初来安値"),"○","×")</f>
        <v>○</v>
      </c>
    </row>
    <row r="1788" spans="2:26" x14ac:dyDescent="0.55000000000000004">
      <c r="B1788" s="20" t="str">
        <f>_xll.RssMarket(A1788,"銘柄名称")</f>
        <v/>
      </c>
      <c r="C1788" s="21" t="str">
        <f>_xll.RssMarket(A1788,"現在値")</f>
        <v/>
      </c>
      <c r="D1788" s="20" t="str">
        <f>_xll.RssMarket(A1788,"現在値詳細時刻")</f>
        <v/>
      </c>
      <c r="E1788" s="22" t="str">
        <f>_xll.RssMarket(A1788,"前日比")</f>
        <v/>
      </c>
      <c r="F1788" s="23" t="e">
        <f>_xll.RssMarket(A1788,"前日比率")/100</f>
        <v>#VALUE!</v>
      </c>
      <c r="G1788" s="24" t="str">
        <f>IFERROR(VLOOKUP(A1788,取得元!$A$2:$F$501,2,FALSE),"-")</f>
        <v>-</v>
      </c>
      <c r="H1788" s="24" t="str">
        <f>IFERROR(VLOOKUP(A1788,取得元!$A$2:$F$501,3,FALSE),"-")</f>
        <v>-</v>
      </c>
      <c r="I1788" s="24" t="str">
        <f>IFERROR(VLOOKUP(A1788,取得元!$A$2:$F$501,4,FALSE),"-")</f>
        <v>-</v>
      </c>
      <c r="J1788" s="5" t="str">
        <f>IFERROR(VLOOKUP(A1788,取得元!$A$2:$F$501,5,FALSE),"-")</f>
        <v>-</v>
      </c>
      <c r="K1788" s="25" t="str">
        <f>IFERROR(VLOOKUP(A1788,取得元!$A$2:$F$501,6,FALSE)/100,"-")</f>
        <v>-</v>
      </c>
      <c r="L1788" s="21" t="str">
        <f>_xll.RssMarket(A1788,"始値")</f>
        <v/>
      </c>
      <c r="M1788" s="4" t="e">
        <f t="shared" si="150"/>
        <v>#VALUE!</v>
      </c>
      <c r="N1788" s="21" t="str">
        <f>_xll.RssMarket(A1788,"高値")</f>
        <v/>
      </c>
      <c r="O1788" s="4" t="e">
        <f t="shared" si="151"/>
        <v>#VALUE!</v>
      </c>
      <c r="P1788" s="21" t="str">
        <f>_xll.RssMarket(A1788,"安値")</f>
        <v/>
      </c>
      <c r="Q1788" s="4" t="e">
        <f t="shared" si="152"/>
        <v>#VALUE!</v>
      </c>
      <c r="R1788" s="21" t="str">
        <f>_xll.RssMarket(A1788,"後場始値")</f>
        <v/>
      </c>
      <c r="S1788" s="25" t="str">
        <f t="shared" si="153"/>
        <v>-</v>
      </c>
      <c r="T1788" s="7" t="str">
        <f>_xll.RssMarket(A1788,"出来高加重平均")</f>
        <v/>
      </c>
      <c r="U1788" s="4" t="e">
        <f t="shared" si="154"/>
        <v>#VALUE!</v>
      </c>
      <c r="V1788" s="21" t="str">
        <f>_xll.RssMarket(A1788,"出来高")</f>
        <v/>
      </c>
      <c r="W1788" s="21" t="str">
        <f>_xll.RssMarket(A1788,"売買代金")</f>
        <v/>
      </c>
      <c r="X1788" s="20" t="str">
        <f>_xll.RssMarket(A1788,"決算発表日")</f>
        <v/>
      </c>
      <c r="Y1788" s="26" t="str">
        <f>IF(C1788&gt;_xll.RssMarket(A1788,"年初来高値"),"○","×")</f>
        <v>×</v>
      </c>
      <c r="Z1788" s="27" t="str">
        <f>IF(C1788&lt;=_xll.RssMarket(A1788,"年初来安値"),"○","×")</f>
        <v>○</v>
      </c>
    </row>
    <row r="1789" spans="2:26" x14ac:dyDescent="0.55000000000000004">
      <c r="B1789" s="20" t="str">
        <f>_xll.RssMarket(A1789,"銘柄名称")</f>
        <v/>
      </c>
      <c r="C1789" s="21" t="str">
        <f>_xll.RssMarket(A1789,"現在値")</f>
        <v/>
      </c>
      <c r="D1789" s="20" t="str">
        <f>_xll.RssMarket(A1789,"現在値詳細時刻")</f>
        <v/>
      </c>
      <c r="E1789" s="22" t="str">
        <f>_xll.RssMarket(A1789,"前日比")</f>
        <v/>
      </c>
      <c r="F1789" s="23" t="e">
        <f>_xll.RssMarket(A1789,"前日比率")/100</f>
        <v>#VALUE!</v>
      </c>
      <c r="G1789" s="24" t="str">
        <f>IFERROR(VLOOKUP(A1789,取得元!$A$2:$F$501,2,FALSE),"-")</f>
        <v>-</v>
      </c>
      <c r="H1789" s="24" t="str">
        <f>IFERROR(VLOOKUP(A1789,取得元!$A$2:$F$501,3,FALSE),"-")</f>
        <v>-</v>
      </c>
      <c r="I1789" s="24" t="str">
        <f>IFERROR(VLOOKUP(A1789,取得元!$A$2:$F$501,4,FALSE),"-")</f>
        <v>-</v>
      </c>
      <c r="J1789" s="5" t="str">
        <f>IFERROR(VLOOKUP(A1789,取得元!$A$2:$F$501,5,FALSE),"-")</f>
        <v>-</v>
      </c>
      <c r="K1789" s="25" t="str">
        <f>IFERROR(VLOOKUP(A1789,取得元!$A$2:$F$501,6,FALSE)/100,"-")</f>
        <v>-</v>
      </c>
      <c r="L1789" s="21" t="str">
        <f>_xll.RssMarket(A1789,"始値")</f>
        <v/>
      </c>
      <c r="M1789" s="4" t="e">
        <f t="shared" si="150"/>
        <v>#VALUE!</v>
      </c>
      <c r="N1789" s="21" t="str">
        <f>_xll.RssMarket(A1789,"高値")</f>
        <v/>
      </c>
      <c r="O1789" s="4" t="e">
        <f t="shared" si="151"/>
        <v>#VALUE!</v>
      </c>
      <c r="P1789" s="21" t="str">
        <f>_xll.RssMarket(A1789,"安値")</f>
        <v/>
      </c>
      <c r="Q1789" s="4" t="e">
        <f t="shared" si="152"/>
        <v>#VALUE!</v>
      </c>
      <c r="R1789" s="21" t="str">
        <f>_xll.RssMarket(A1789,"後場始値")</f>
        <v/>
      </c>
      <c r="S1789" s="25" t="str">
        <f t="shared" si="153"/>
        <v>-</v>
      </c>
      <c r="T1789" s="7" t="str">
        <f>_xll.RssMarket(A1789,"出来高加重平均")</f>
        <v/>
      </c>
      <c r="U1789" s="4" t="e">
        <f t="shared" si="154"/>
        <v>#VALUE!</v>
      </c>
      <c r="V1789" s="21" t="str">
        <f>_xll.RssMarket(A1789,"出来高")</f>
        <v/>
      </c>
      <c r="W1789" s="21" t="str">
        <f>_xll.RssMarket(A1789,"売買代金")</f>
        <v/>
      </c>
      <c r="X1789" s="20" t="str">
        <f>_xll.RssMarket(A1789,"決算発表日")</f>
        <v/>
      </c>
      <c r="Y1789" s="26" t="str">
        <f>IF(C1789&gt;_xll.RssMarket(A1789,"年初来高値"),"○","×")</f>
        <v>×</v>
      </c>
      <c r="Z1789" s="27" t="str">
        <f>IF(C1789&lt;=_xll.RssMarket(A1789,"年初来安値"),"○","×")</f>
        <v>○</v>
      </c>
    </row>
    <row r="1790" spans="2:26" x14ac:dyDescent="0.55000000000000004">
      <c r="B1790" s="20" t="str">
        <f>_xll.RssMarket(A1790,"銘柄名称")</f>
        <v/>
      </c>
      <c r="C1790" s="21" t="str">
        <f>_xll.RssMarket(A1790,"現在値")</f>
        <v/>
      </c>
      <c r="D1790" s="20" t="str">
        <f>_xll.RssMarket(A1790,"現在値詳細時刻")</f>
        <v/>
      </c>
      <c r="E1790" s="22" t="str">
        <f>_xll.RssMarket(A1790,"前日比")</f>
        <v/>
      </c>
      <c r="F1790" s="23" t="e">
        <f>_xll.RssMarket(A1790,"前日比率")/100</f>
        <v>#VALUE!</v>
      </c>
      <c r="G1790" s="24" t="str">
        <f>IFERROR(VLOOKUP(A1790,取得元!$A$2:$F$501,2,FALSE),"-")</f>
        <v>-</v>
      </c>
      <c r="H1790" s="24" t="str">
        <f>IFERROR(VLOOKUP(A1790,取得元!$A$2:$F$501,3,FALSE),"-")</f>
        <v>-</v>
      </c>
      <c r="I1790" s="24" t="str">
        <f>IFERROR(VLOOKUP(A1790,取得元!$A$2:$F$501,4,FALSE),"-")</f>
        <v>-</v>
      </c>
      <c r="J1790" s="5" t="str">
        <f>IFERROR(VLOOKUP(A1790,取得元!$A$2:$F$501,5,FALSE),"-")</f>
        <v>-</v>
      </c>
      <c r="K1790" s="25" t="str">
        <f>IFERROR(VLOOKUP(A1790,取得元!$A$2:$F$501,6,FALSE)/100,"-")</f>
        <v>-</v>
      </c>
      <c r="L1790" s="21" t="str">
        <f>_xll.RssMarket(A1790,"始値")</f>
        <v/>
      </c>
      <c r="M1790" s="4" t="e">
        <f t="shared" si="150"/>
        <v>#VALUE!</v>
      </c>
      <c r="N1790" s="21" t="str">
        <f>_xll.RssMarket(A1790,"高値")</f>
        <v/>
      </c>
      <c r="O1790" s="4" t="e">
        <f t="shared" si="151"/>
        <v>#VALUE!</v>
      </c>
      <c r="P1790" s="21" t="str">
        <f>_xll.RssMarket(A1790,"安値")</f>
        <v/>
      </c>
      <c r="Q1790" s="4" t="e">
        <f t="shared" si="152"/>
        <v>#VALUE!</v>
      </c>
      <c r="R1790" s="21" t="str">
        <f>_xll.RssMarket(A1790,"後場始値")</f>
        <v/>
      </c>
      <c r="S1790" s="25" t="str">
        <f t="shared" si="153"/>
        <v>-</v>
      </c>
      <c r="T1790" s="7" t="str">
        <f>_xll.RssMarket(A1790,"出来高加重平均")</f>
        <v/>
      </c>
      <c r="U1790" s="4" t="e">
        <f t="shared" si="154"/>
        <v>#VALUE!</v>
      </c>
      <c r="V1790" s="21" t="str">
        <f>_xll.RssMarket(A1790,"出来高")</f>
        <v/>
      </c>
      <c r="W1790" s="21" t="str">
        <f>_xll.RssMarket(A1790,"売買代金")</f>
        <v/>
      </c>
      <c r="X1790" s="20" t="str">
        <f>_xll.RssMarket(A1790,"決算発表日")</f>
        <v/>
      </c>
      <c r="Y1790" s="26" t="str">
        <f>IF(C1790&gt;_xll.RssMarket(A1790,"年初来高値"),"○","×")</f>
        <v>×</v>
      </c>
      <c r="Z1790" s="27" t="str">
        <f>IF(C1790&lt;=_xll.RssMarket(A1790,"年初来安値"),"○","×")</f>
        <v>○</v>
      </c>
    </row>
    <row r="1791" spans="2:26" x14ac:dyDescent="0.55000000000000004">
      <c r="B1791" s="20" t="str">
        <f>_xll.RssMarket(A1791,"銘柄名称")</f>
        <v/>
      </c>
      <c r="C1791" s="21" t="str">
        <f>_xll.RssMarket(A1791,"現在値")</f>
        <v/>
      </c>
      <c r="D1791" s="20" t="str">
        <f>_xll.RssMarket(A1791,"現在値詳細時刻")</f>
        <v/>
      </c>
      <c r="E1791" s="22" t="str">
        <f>_xll.RssMarket(A1791,"前日比")</f>
        <v/>
      </c>
      <c r="F1791" s="23" t="e">
        <f>_xll.RssMarket(A1791,"前日比率")/100</f>
        <v>#VALUE!</v>
      </c>
      <c r="G1791" s="24" t="str">
        <f>IFERROR(VLOOKUP(A1791,取得元!$A$2:$F$501,2,FALSE),"-")</f>
        <v>-</v>
      </c>
      <c r="H1791" s="24" t="str">
        <f>IFERROR(VLOOKUP(A1791,取得元!$A$2:$F$501,3,FALSE),"-")</f>
        <v>-</v>
      </c>
      <c r="I1791" s="24" t="str">
        <f>IFERROR(VLOOKUP(A1791,取得元!$A$2:$F$501,4,FALSE),"-")</f>
        <v>-</v>
      </c>
      <c r="J1791" s="5" t="str">
        <f>IFERROR(VLOOKUP(A1791,取得元!$A$2:$F$501,5,FALSE),"-")</f>
        <v>-</v>
      </c>
      <c r="K1791" s="25" t="str">
        <f>IFERROR(VLOOKUP(A1791,取得元!$A$2:$F$501,6,FALSE)/100,"-")</f>
        <v>-</v>
      </c>
      <c r="L1791" s="21" t="str">
        <f>_xll.RssMarket(A1791,"始値")</f>
        <v/>
      </c>
      <c r="M1791" s="4" t="e">
        <f t="shared" si="150"/>
        <v>#VALUE!</v>
      </c>
      <c r="N1791" s="21" t="str">
        <f>_xll.RssMarket(A1791,"高値")</f>
        <v/>
      </c>
      <c r="O1791" s="4" t="e">
        <f t="shared" si="151"/>
        <v>#VALUE!</v>
      </c>
      <c r="P1791" s="21" t="str">
        <f>_xll.RssMarket(A1791,"安値")</f>
        <v/>
      </c>
      <c r="Q1791" s="4" t="e">
        <f t="shared" si="152"/>
        <v>#VALUE!</v>
      </c>
      <c r="R1791" s="21" t="str">
        <f>_xll.RssMarket(A1791,"後場始値")</f>
        <v/>
      </c>
      <c r="S1791" s="25" t="str">
        <f t="shared" si="153"/>
        <v>-</v>
      </c>
      <c r="T1791" s="7" t="str">
        <f>_xll.RssMarket(A1791,"出来高加重平均")</f>
        <v/>
      </c>
      <c r="U1791" s="4" t="e">
        <f t="shared" si="154"/>
        <v>#VALUE!</v>
      </c>
      <c r="V1791" s="21" t="str">
        <f>_xll.RssMarket(A1791,"出来高")</f>
        <v/>
      </c>
      <c r="W1791" s="21" t="str">
        <f>_xll.RssMarket(A1791,"売買代金")</f>
        <v/>
      </c>
      <c r="X1791" s="20" t="str">
        <f>_xll.RssMarket(A1791,"決算発表日")</f>
        <v/>
      </c>
      <c r="Y1791" s="26" t="str">
        <f>IF(C1791&gt;_xll.RssMarket(A1791,"年初来高値"),"○","×")</f>
        <v>×</v>
      </c>
      <c r="Z1791" s="27" t="str">
        <f>IF(C1791&lt;=_xll.RssMarket(A1791,"年初来安値"),"○","×")</f>
        <v>○</v>
      </c>
    </row>
    <row r="1792" spans="2:26" x14ac:dyDescent="0.55000000000000004">
      <c r="B1792" s="20" t="str">
        <f>_xll.RssMarket(A1792,"銘柄名称")</f>
        <v/>
      </c>
      <c r="C1792" s="21" t="str">
        <f>_xll.RssMarket(A1792,"現在値")</f>
        <v/>
      </c>
      <c r="D1792" s="20" t="str">
        <f>_xll.RssMarket(A1792,"現在値詳細時刻")</f>
        <v/>
      </c>
      <c r="E1792" s="22" t="str">
        <f>_xll.RssMarket(A1792,"前日比")</f>
        <v/>
      </c>
      <c r="F1792" s="23" t="e">
        <f>_xll.RssMarket(A1792,"前日比率")/100</f>
        <v>#VALUE!</v>
      </c>
      <c r="G1792" s="24" t="str">
        <f>IFERROR(VLOOKUP(A1792,取得元!$A$2:$F$501,2,FALSE),"-")</f>
        <v>-</v>
      </c>
      <c r="H1792" s="24" t="str">
        <f>IFERROR(VLOOKUP(A1792,取得元!$A$2:$F$501,3,FALSE),"-")</f>
        <v>-</v>
      </c>
      <c r="I1792" s="24" t="str">
        <f>IFERROR(VLOOKUP(A1792,取得元!$A$2:$F$501,4,FALSE),"-")</f>
        <v>-</v>
      </c>
      <c r="J1792" s="5" t="str">
        <f>IFERROR(VLOOKUP(A1792,取得元!$A$2:$F$501,5,FALSE),"-")</f>
        <v>-</v>
      </c>
      <c r="K1792" s="25" t="str">
        <f>IFERROR(VLOOKUP(A1792,取得元!$A$2:$F$501,6,FALSE)/100,"-")</f>
        <v>-</v>
      </c>
      <c r="L1792" s="21" t="str">
        <f>_xll.RssMarket(A1792,"始値")</f>
        <v/>
      </c>
      <c r="M1792" s="4" t="e">
        <f t="shared" si="150"/>
        <v>#VALUE!</v>
      </c>
      <c r="N1792" s="21" t="str">
        <f>_xll.RssMarket(A1792,"高値")</f>
        <v/>
      </c>
      <c r="O1792" s="4" t="e">
        <f t="shared" si="151"/>
        <v>#VALUE!</v>
      </c>
      <c r="P1792" s="21" t="str">
        <f>_xll.RssMarket(A1792,"安値")</f>
        <v/>
      </c>
      <c r="Q1792" s="4" t="e">
        <f t="shared" si="152"/>
        <v>#VALUE!</v>
      </c>
      <c r="R1792" s="21" t="str">
        <f>_xll.RssMarket(A1792,"後場始値")</f>
        <v/>
      </c>
      <c r="S1792" s="25" t="str">
        <f t="shared" si="153"/>
        <v>-</v>
      </c>
      <c r="T1792" s="7" t="str">
        <f>_xll.RssMarket(A1792,"出来高加重平均")</f>
        <v/>
      </c>
      <c r="U1792" s="4" t="e">
        <f t="shared" si="154"/>
        <v>#VALUE!</v>
      </c>
      <c r="V1792" s="21" t="str">
        <f>_xll.RssMarket(A1792,"出来高")</f>
        <v/>
      </c>
      <c r="W1792" s="21" t="str">
        <f>_xll.RssMarket(A1792,"売買代金")</f>
        <v/>
      </c>
      <c r="X1792" s="20" t="str">
        <f>_xll.RssMarket(A1792,"決算発表日")</f>
        <v/>
      </c>
      <c r="Y1792" s="26" t="str">
        <f>IF(C1792&gt;_xll.RssMarket(A1792,"年初来高値"),"○","×")</f>
        <v>×</v>
      </c>
      <c r="Z1792" s="27" t="str">
        <f>IF(C1792&lt;=_xll.RssMarket(A1792,"年初来安値"),"○","×")</f>
        <v>○</v>
      </c>
    </row>
    <row r="1793" spans="2:26" x14ac:dyDescent="0.55000000000000004">
      <c r="B1793" s="20" t="str">
        <f>_xll.RssMarket(A1793,"銘柄名称")</f>
        <v/>
      </c>
      <c r="C1793" s="21" t="str">
        <f>_xll.RssMarket(A1793,"現在値")</f>
        <v/>
      </c>
      <c r="D1793" s="20" t="str">
        <f>_xll.RssMarket(A1793,"現在値詳細時刻")</f>
        <v/>
      </c>
      <c r="E1793" s="22" t="str">
        <f>_xll.RssMarket(A1793,"前日比")</f>
        <v/>
      </c>
      <c r="F1793" s="23" t="e">
        <f>_xll.RssMarket(A1793,"前日比率")/100</f>
        <v>#VALUE!</v>
      </c>
      <c r="G1793" s="24" t="str">
        <f>IFERROR(VLOOKUP(A1793,取得元!$A$2:$F$501,2,FALSE),"-")</f>
        <v>-</v>
      </c>
      <c r="H1793" s="24" t="str">
        <f>IFERROR(VLOOKUP(A1793,取得元!$A$2:$F$501,3,FALSE),"-")</f>
        <v>-</v>
      </c>
      <c r="I1793" s="24" t="str">
        <f>IFERROR(VLOOKUP(A1793,取得元!$A$2:$F$501,4,FALSE),"-")</f>
        <v>-</v>
      </c>
      <c r="J1793" s="5" t="str">
        <f>IFERROR(VLOOKUP(A1793,取得元!$A$2:$F$501,5,FALSE),"-")</f>
        <v>-</v>
      </c>
      <c r="K1793" s="25" t="str">
        <f>IFERROR(VLOOKUP(A1793,取得元!$A$2:$F$501,6,FALSE)/100,"-")</f>
        <v>-</v>
      </c>
      <c r="L1793" s="21" t="str">
        <f>_xll.RssMarket(A1793,"始値")</f>
        <v/>
      </c>
      <c r="M1793" s="4" t="e">
        <f t="shared" si="150"/>
        <v>#VALUE!</v>
      </c>
      <c r="N1793" s="21" t="str">
        <f>_xll.RssMarket(A1793,"高値")</f>
        <v/>
      </c>
      <c r="O1793" s="4" t="e">
        <f t="shared" si="151"/>
        <v>#VALUE!</v>
      </c>
      <c r="P1793" s="21" t="str">
        <f>_xll.RssMarket(A1793,"安値")</f>
        <v/>
      </c>
      <c r="Q1793" s="4" t="e">
        <f t="shared" si="152"/>
        <v>#VALUE!</v>
      </c>
      <c r="R1793" s="21" t="str">
        <f>_xll.RssMarket(A1793,"後場始値")</f>
        <v/>
      </c>
      <c r="S1793" s="25" t="str">
        <f t="shared" si="153"/>
        <v>-</v>
      </c>
      <c r="T1793" s="7" t="str">
        <f>_xll.RssMarket(A1793,"出来高加重平均")</f>
        <v/>
      </c>
      <c r="U1793" s="4" t="e">
        <f t="shared" si="154"/>
        <v>#VALUE!</v>
      </c>
      <c r="V1793" s="21" t="str">
        <f>_xll.RssMarket(A1793,"出来高")</f>
        <v/>
      </c>
      <c r="W1793" s="21" t="str">
        <f>_xll.RssMarket(A1793,"売買代金")</f>
        <v/>
      </c>
      <c r="X1793" s="20" t="str">
        <f>_xll.RssMarket(A1793,"決算発表日")</f>
        <v/>
      </c>
      <c r="Y1793" s="26" t="str">
        <f>IF(C1793&gt;_xll.RssMarket(A1793,"年初来高値"),"○","×")</f>
        <v>×</v>
      </c>
      <c r="Z1793" s="27" t="str">
        <f>IF(C1793&lt;=_xll.RssMarket(A1793,"年初来安値"),"○","×")</f>
        <v>○</v>
      </c>
    </row>
    <row r="1794" spans="2:26" x14ac:dyDescent="0.55000000000000004">
      <c r="B1794" s="20" t="str">
        <f>_xll.RssMarket(A1794,"銘柄名称")</f>
        <v/>
      </c>
      <c r="C1794" s="21" t="str">
        <f>_xll.RssMarket(A1794,"現在値")</f>
        <v/>
      </c>
      <c r="D1794" s="20" t="str">
        <f>_xll.RssMarket(A1794,"現在値詳細時刻")</f>
        <v/>
      </c>
      <c r="E1794" s="22" t="str">
        <f>_xll.RssMarket(A1794,"前日比")</f>
        <v/>
      </c>
      <c r="F1794" s="23" t="e">
        <f>_xll.RssMarket(A1794,"前日比率")/100</f>
        <v>#VALUE!</v>
      </c>
      <c r="G1794" s="24" t="str">
        <f>IFERROR(VLOOKUP(A1794,取得元!$A$2:$F$501,2,FALSE),"-")</f>
        <v>-</v>
      </c>
      <c r="H1794" s="24" t="str">
        <f>IFERROR(VLOOKUP(A1794,取得元!$A$2:$F$501,3,FALSE),"-")</f>
        <v>-</v>
      </c>
      <c r="I1794" s="24" t="str">
        <f>IFERROR(VLOOKUP(A1794,取得元!$A$2:$F$501,4,FALSE),"-")</f>
        <v>-</v>
      </c>
      <c r="J1794" s="5" t="str">
        <f>IFERROR(VLOOKUP(A1794,取得元!$A$2:$F$501,5,FALSE),"-")</f>
        <v>-</v>
      </c>
      <c r="K1794" s="25" t="str">
        <f>IFERROR(VLOOKUP(A1794,取得元!$A$2:$F$501,6,FALSE)/100,"-")</f>
        <v>-</v>
      </c>
      <c r="L1794" s="21" t="str">
        <f>_xll.RssMarket(A1794,"始値")</f>
        <v/>
      </c>
      <c r="M1794" s="4" t="e">
        <f t="shared" si="150"/>
        <v>#VALUE!</v>
      </c>
      <c r="N1794" s="21" t="str">
        <f>_xll.RssMarket(A1794,"高値")</f>
        <v/>
      </c>
      <c r="O1794" s="4" t="e">
        <f t="shared" si="151"/>
        <v>#VALUE!</v>
      </c>
      <c r="P1794" s="21" t="str">
        <f>_xll.RssMarket(A1794,"安値")</f>
        <v/>
      </c>
      <c r="Q1794" s="4" t="e">
        <f t="shared" si="152"/>
        <v>#VALUE!</v>
      </c>
      <c r="R1794" s="21" t="str">
        <f>_xll.RssMarket(A1794,"後場始値")</f>
        <v/>
      </c>
      <c r="S1794" s="25" t="str">
        <f t="shared" si="153"/>
        <v>-</v>
      </c>
      <c r="T1794" s="7" t="str">
        <f>_xll.RssMarket(A1794,"出来高加重平均")</f>
        <v/>
      </c>
      <c r="U1794" s="4" t="e">
        <f t="shared" si="154"/>
        <v>#VALUE!</v>
      </c>
      <c r="V1794" s="21" t="str">
        <f>_xll.RssMarket(A1794,"出来高")</f>
        <v/>
      </c>
      <c r="W1794" s="21" t="str">
        <f>_xll.RssMarket(A1794,"売買代金")</f>
        <v/>
      </c>
      <c r="X1794" s="20" t="str">
        <f>_xll.RssMarket(A1794,"決算発表日")</f>
        <v/>
      </c>
      <c r="Y1794" s="26" t="str">
        <f>IF(C1794&gt;_xll.RssMarket(A1794,"年初来高値"),"○","×")</f>
        <v>×</v>
      </c>
      <c r="Z1794" s="27" t="str">
        <f>IF(C1794&lt;=_xll.RssMarket(A1794,"年初来安値"),"○","×")</f>
        <v>○</v>
      </c>
    </row>
    <row r="1795" spans="2:26" x14ac:dyDescent="0.55000000000000004">
      <c r="B1795" s="20" t="str">
        <f>_xll.RssMarket(A1795,"銘柄名称")</f>
        <v/>
      </c>
      <c r="C1795" s="21" t="str">
        <f>_xll.RssMarket(A1795,"現在値")</f>
        <v/>
      </c>
      <c r="D1795" s="20" t="str">
        <f>_xll.RssMarket(A1795,"現在値詳細時刻")</f>
        <v/>
      </c>
      <c r="E1795" s="22" t="str">
        <f>_xll.RssMarket(A1795,"前日比")</f>
        <v/>
      </c>
      <c r="F1795" s="23" t="e">
        <f>_xll.RssMarket(A1795,"前日比率")/100</f>
        <v>#VALUE!</v>
      </c>
      <c r="G1795" s="24" t="str">
        <f>IFERROR(VLOOKUP(A1795,取得元!$A$2:$F$501,2,FALSE),"-")</f>
        <v>-</v>
      </c>
      <c r="H1795" s="24" t="str">
        <f>IFERROR(VLOOKUP(A1795,取得元!$A$2:$F$501,3,FALSE),"-")</f>
        <v>-</v>
      </c>
      <c r="I1795" s="24" t="str">
        <f>IFERROR(VLOOKUP(A1795,取得元!$A$2:$F$501,4,FALSE),"-")</f>
        <v>-</v>
      </c>
      <c r="J1795" s="5" t="str">
        <f>IFERROR(VLOOKUP(A1795,取得元!$A$2:$F$501,5,FALSE),"-")</f>
        <v>-</v>
      </c>
      <c r="K1795" s="25" t="str">
        <f>IFERROR(VLOOKUP(A1795,取得元!$A$2:$F$501,6,FALSE)/100,"-")</f>
        <v>-</v>
      </c>
      <c r="L1795" s="21" t="str">
        <f>_xll.RssMarket(A1795,"始値")</f>
        <v/>
      </c>
      <c r="M1795" s="4" t="e">
        <f t="shared" si="150"/>
        <v>#VALUE!</v>
      </c>
      <c r="N1795" s="21" t="str">
        <f>_xll.RssMarket(A1795,"高値")</f>
        <v/>
      </c>
      <c r="O1795" s="4" t="e">
        <f t="shared" si="151"/>
        <v>#VALUE!</v>
      </c>
      <c r="P1795" s="21" t="str">
        <f>_xll.RssMarket(A1795,"安値")</f>
        <v/>
      </c>
      <c r="Q1795" s="4" t="e">
        <f t="shared" si="152"/>
        <v>#VALUE!</v>
      </c>
      <c r="R1795" s="21" t="str">
        <f>_xll.RssMarket(A1795,"後場始値")</f>
        <v/>
      </c>
      <c r="S1795" s="25" t="str">
        <f t="shared" si="153"/>
        <v>-</v>
      </c>
      <c r="T1795" s="7" t="str">
        <f>_xll.RssMarket(A1795,"出来高加重平均")</f>
        <v/>
      </c>
      <c r="U1795" s="4" t="e">
        <f t="shared" si="154"/>
        <v>#VALUE!</v>
      </c>
      <c r="V1795" s="21" t="str">
        <f>_xll.RssMarket(A1795,"出来高")</f>
        <v/>
      </c>
      <c r="W1795" s="21" t="str">
        <f>_xll.RssMarket(A1795,"売買代金")</f>
        <v/>
      </c>
      <c r="X1795" s="20" t="str">
        <f>_xll.RssMarket(A1795,"決算発表日")</f>
        <v/>
      </c>
      <c r="Y1795" s="26" t="str">
        <f>IF(C1795&gt;_xll.RssMarket(A1795,"年初来高値"),"○","×")</f>
        <v>×</v>
      </c>
      <c r="Z1795" s="27" t="str">
        <f>IF(C1795&lt;=_xll.RssMarket(A1795,"年初来安値"),"○","×")</f>
        <v>○</v>
      </c>
    </row>
    <row r="1796" spans="2:26" x14ac:dyDescent="0.55000000000000004">
      <c r="B1796" s="20" t="str">
        <f>_xll.RssMarket(A1796,"銘柄名称")</f>
        <v/>
      </c>
      <c r="C1796" s="21" t="str">
        <f>_xll.RssMarket(A1796,"現在値")</f>
        <v/>
      </c>
      <c r="D1796" s="20" t="str">
        <f>_xll.RssMarket(A1796,"現在値詳細時刻")</f>
        <v/>
      </c>
      <c r="E1796" s="22" t="str">
        <f>_xll.RssMarket(A1796,"前日比")</f>
        <v/>
      </c>
      <c r="F1796" s="23" t="e">
        <f>_xll.RssMarket(A1796,"前日比率")/100</f>
        <v>#VALUE!</v>
      </c>
      <c r="G1796" s="24" t="str">
        <f>IFERROR(VLOOKUP(A1796,取得元!$A$2:$F$501,2,FALSE),"-")</f>
        <v>-</v>
      </c>
      <c r="H1796" s="24" t="str">
        <f>IFERROR(VLOOKUP(A1796,取得元!$A$2:$F$501,3,FALSE),"-")</f>
        <v>-</v>
      </c>
      <c r="I1796" s="24" t="str">
        <f>IFERROR(VLOOKUP(A1796,取得元!$A$2:$F$501,4,FALSE),"-")</f>
        <v>-</v>
      </c>
      <c r="J1796" s="5" t="str">
        <f>IFERROR(VLOOKUP(A1796,取得元!$A$2:$F$501,5,FALSE),"-")</f>
        <v>-</v>
      </c>
      <c r="K1796" s="25" t="str">
        <f>IFERROR(VLOOKUP(A1796,取得元!$A$2:$F$501,6,FALSE)/100,"-")</f>
        <v>-</v>
      </c>
      <c r="L1796" s="21" t="str">
        <f>_xll.RssMarket(A1796,"始値")</f>
        <v/>
      </c>
      <c r="M1796" s="4" t="e">
        <f t="shared" si="150"/>
        <v>#VALUE!</v>
      </c>
      <c r="N1796" s="21" t="str">
        <f>_xll.RssMarket(A1796,"高値")</f>
        <v/>
      </c>
      <c r="O1796" s="4" t="e">
        <f t="shared" si="151"/>
        <v>#VALUE!</v>
      </c>
      <c r="P1796" s="21" t="str">
        <f>_xll.RssMarket(A1796,"安値")</f>
        <v/>
      </c>
      <c r="Q1796" s="4" t="e">
        <f t="shared" si="152"/>
        <v>#VALUE!</v>
      </c>
      <c r="R1796" s="21" t="str">
        <f>_xll.RssMarket(A1796,"後場始値")</f>
        <v/>
      </c>
      <c r="S1796" s="25" t="str">
        <f t="shared" si="153"/>
        <v>-</v>
      </c>
      <c r="T1796" s="7" t="str">
        <f>_xll.RssMarket(A1796,"出来高加重平均")</f>
        <v/>
      </c>
      <c r="U1796" s="4" t="e">
        <f t="shared" si="154"/>
        <v>#VALUE!</v>
      </c>
      <c r="V1796" s="21" t="str">
        <f>_xll.RssMarket(A1796,"出来高")</f>
        <v/>
      </c>
      <c r="W1796" s="21" t="str">
        <f>_xll.RssMarket(A1796,"売買代金")</f>
        <v/>
      </c>
      <c r="X1796" s="20" t="str">
        <f>_xll.RssMarket(A1796,"決算発表日")</f>
        <v/>
      </c>
      <c r="Y1796" s="26" t="str">
        <f>IF(C1796&gt;_xll.RssMarket(A1796,"年初来高値"),"○","×")</f>
        <v>×</v>
      </c>
      <c r="Z1796" s="27" t="str">
        <f>IF(C1796&lt;=_xll.RssMarket(A1796,"年初来安値"),"○","×")</f>
        <v>○</v>
      </c>
    </row>
    <row r="1797" spans="2:26" x14ac:dyDescent="0.55000000000000004">
      <c r="B1797" s="20" t="str">
        <f>_xll.RssMarket(A1797,"銘柄名称")</f>
        <v/>
      </c>
      <c r="C1797" s="21" t="str">
        <f>_xll.RssMarket(A1797,"現在値")</f>
        <v/>
      </c>
      <c r="D1797" s="20" t="str">
        <f>_xll.RssMarket(A1797,"現在値詳細時刻")</f>
        <v/>
      </c>
      <c r="E1797" s="22" t="str">
        <f>_xll.RssMarket(A1797,"前日比")</f>
        <v/>
      </c>
      <c r="F1797" s="23" t="e">
        <f>_xll.RssMarket(A1797,"前日比率")/100</f>
        <v>#VALUE!</v>
      </c>
      <c r="G1797" s="24" t="str">
        <f>IFERROR(VLOOKUP(A1797,取得元!$A$2:$F$501,2,FALSE),"-")</f>
        <v>-</v>
      </c>
      <c r="H1797" s="24" t="str">
        <f>IFERROR(VLOOKUP(A1797,取得元!$A$2:$F$501,3,FALSE),"-")</f>
        <v>-</v>
      </c>
      <c r="I1797" s="24" t="str">
        <f>IFERROR(VLOOKUP(A1797,取得元!$A$2:$F$501,4,FALSE),"-")</f>
        <v>-</v>
      </c>
      <c r="J1797" s="5" t="str">
        <f>IFERROR(VLOOKUP(A1797,取得元!$A$2:$F$501,5,FALSE),"-")</f>
        <v>-</v>
      </c>
      <c r="K1797" s="25" t="str">
        <f>IFERROR(VLOOKUP(A1797,取得元!$A$2:$F$501,6,FALSE)/100,"-")</f>
        <v>-</v>
      </c>
      <c r="L1797" s="21" t="str">
        <f>_xll.RssMarket(A1797,"始値")</f>
        <v/>
      </c>
      <c r="M1797" s="4" t="e">
        <f t="shared" si="150"/>
        <v>#VALUE!</v>
      </c>
      <c r="N1797" s="21" t="str">
        <f>_xll.RssMarket(A1797,"高値")</f>
        <v/>
      </c>
      <c r="O1797" s="4" t="e">
        <f t="shared" si="151"/>
        <v>#VALUE!</v>
      </c>
      <c r="P1797" s="21" t="str">
        <f>_xll.RssMarket(A1797,"安値")</f>
        <v/>
      </c>
      <c r="Q1797" s="4" t="e">
        <f t="shared" si="152"/>
        <v>#VALUE!</v>
      </c>
      <c r="R1797" s="21" t="str">
        <f>_xll.RssMarket(A1797,"後場始値")</f>
        <v/>
      </c>
      <c r="S1797" s="25" t="str">
        <f t="shared" si="153"/>
        <v>-</v>
      </c>
      <c r="T1797" s="7" t="str">
        <f>_xll.RssMarket(A1797,"出来高加重平均")</f>
        <v/>
      </c>
      <c r="U1797" s="4" t="e">
        <f t="shared" si="154"/>
        <v>#VALUE!</v>
      </c>
      <c r="V1797" s="21" t="str">
        <f>_xll.RssMarket(A1797,"出来高")</f>
        <v/>
      </c>
      <c r="W1797" s="21" t="str">
        <f>_xll.RssMarket(A1797,"売買代金")</f>
        <v/>
      </c>
      <c r="X1797" s="20" t="str">
        <f>_xll.RssMarket(A1797,"決算発表日")</f>
        <v/>
      </c>
      <c r="Y1797" s="26" t="str">
        <f>IF(C1797&gt;_xll.RssMarket(A1797,"年初来高値"),"○","×")</f>
        <v>×</v>
      </c>
      <c r="Z1797" s="27" t="str">
        <f>IF(C1797&lt;=_xll.RssMarket(A1797,"年初来安値"),"○","×")</f>
        <v>○</v>
      </c>
    </row>
    <row r="1798" spans="2:26" x14ac:dyDescent="0.55000000000000004">
      <c r="B1798" s="20" t="str">
        <f>_xll.RssMarket(A1798,"銘柄名称")</f>
        <v/>
      </c>
      <c r="C1798" s="21" t="str">
        <f>_xll.RssMarket(A1798,"現在値")</f>
        <v/>
      </c>
      <c r="D1798" s="20" t="str">
        <f>_xll.RssMarket(A1798,"現在値詳細時刻")</f>
        <v/>
      </c>
      <c r="E1798" s="22" t="str">
        <f>_xll.RssMarket(A1798,"前日比")</f>
        <v/>
      </c>
      <c r="F1798" s="23" t="e">
        <f>_xll.RssMarket(A1798,"前日比率")/100</f>
        <v>#VALUE!</v>
      </c>
      <c r="G1798" s="24" t="str">
        <f>IFERROR(VLOOKUP(A1798,取得元!$A$2:$F$501,2,FALSE),"-")</f>
        <v>-</v>
      </c>
      <c r="H1798" s="24" t="str">
        <f>IFERROR(VLOOKUP(A1798,取得元!$A$2:$F$501,3,FALSE),"-")</f>
        <v>-</v>
      </c>
      <c r="I1798" s="24" t="str">
        <f>IFERROR(VLOOKUP(A1798,取得元!$A$2:$F$501,4,FALSE),"-")</f>
        <v>-</v>
      </c>
      <c r="J1798" s="5" t="str">
        <f>IFERROR(VLOOKUP(A1798,取得元!$A$2:$F$501,5,FALSE),"-")</f>
        <v>-</v>
      </c>
      <c r="K1798" s="25" t="str">
        <f>IFERROR(VLOOKUP(A1798,取得元!$A$2:$F$501,6,FALSE)/100,"-")</f>
        <v>-</v>
      </c>
      <c r="L1798" s="21" t="str">
        <f>_xll.RssMarket(A1798,"始値")</f>
        <v/>
      </c>
      <c r="M1798" s="4" t="e">
        <f t="shared" si="150"/>
        <v>#VALUE!</v>
      </c>
      <c r="N1798" s="21" t="str">
        <f>_xll.RssMarket(A1798,"高値")</f>
        <v/>
      </c>
      <c r="O1798" s="4" t="e">
        <f t="shared" si="151"/>
        <v>#VALUE!</v>
      </c>
      <c r="P1798" s="21" t="str">
        <f>_xll.RssMarket(A1798,"安値")</f>
        <v/>
      </c>
      <c r="Q1798" s="4" t="e">
        <f t="shared" si="152"/>
        <v>#VALUE!</v>
      </c>
      <c r="R1798" s="21" t="str">
        <f>_xll.RssMarket(A1798,"後場始値")</f>
        <v/>
      </c>
      <c r="S1798" s="25" t="str">
        <f t="shared" si="153"/>
        <v>-</v>
      </c>
      <c r="T1798" s="7" t="str">
        <f>_xll.RssMarket(A1798,"出来高加重平均")</f>
        <v/>
      </c>
      <c r="U1798" s="4" t="e">
        <f t="shared" si="154"/>
        <v>#VALUE!</v>
      </c>
      <c r="V1798" s="21" t="str">
        <f>_xll.RssMarket(A1798,"出来高")</f>
        <v/>
      </c>
      <c r="W1798" s="21" t="str">
        <f>_xll.RssMarket(A1798,"売買代金")</f>
        <v/>
      </c>
      <c r="X1798" s="20" t="str">
        <f>_xll.RssMarket(A1798,"決算発表日")</f>
        <v/>
      </c>
      <c r="Y1798" s="26" t="str">
        <f>IF(C1798&gt;_xll.RssMarket(A1798,"年初来高値"),"○","×")</f>
        <v>×</v>
      </c>
      <c r="Z1798" s="27" t="str">
        <f>IF(C1798&lt;=_xll.RssMarket(A1798,"年初来安値"),"○","×")</f>
        <v>○</v>
      </c>
    </row>
    <row r="1799" spans="2:26" x14ac:dyDescent="0.55000000000000004">
      <c r="B1799" s="20" t="str">
        <f>_xll.RssMarket(A1799,"銘柄名称")</f>
        <v/>
      </c>
      <c r="C1799" s="21" t="str">
        <f>_xll.RssMarket(A1799,"現在値")</f>
        <v/>
      </c>
      <c r="D1799" s="20" t="str">
        <f>_xll.RssMarket(A1799,"現在値詳細時刻")</f>
        <v/>
      </c>
      <c r="E1799" s="22" t="str">
        <f>_xll.RssMarket(A1799,"前日比")</f>
        <v/>
      </c>
      <c r="F1799" s="23" t="e">
        <f>_xll.RssMarket(A1799,"前日比率")/100</f>
        <v>#VALUE!</v>
      </c>
      <c r="G1799" s="24" t="str">
        <f>IFERROR(VLOOKUP(A1799,取得元!$A$2:$F$501,2,FALSE),"-")</f>
        <v>-</v>
      </c>
      <c r="H1799" s="24" t="str">
        <f>IFERROR(VLOOKUP(A1799,取得元!$A$2:$F$501,3,FALSE),"-")</f>
        <v>-</v>
      </c>
      <c r="I1799" s="24" t="str">
        <f>IFERROR(VLOOKUP(A1799,取得元!$A$2:$F$501,4,FALSE),"-")</f>
        <v>-</v>
      </c>
      <c r="J1799" s="5" t="str">
        <f>IFERROR(VLOOKUP(A1799,取得元!$A$2:$F$501,5,FALSE),"-")</f>
        <v>-</v>
      </c>
      <c r="K1799" s="25" t="str">
        <f>IFERROR(VLOOKUP(A1799,取得元!$A$2:$F$501,6,FALSE)/100,"-")</f>
        <v>-</v>
      </c>
      <c r="L1799" s="21" t="str">
        <f>_xll.RssMarket(A1799,"始値")</f>
        <v/>
      </c>
      <c r="M1799" s="4" t="e">
        <f t="shared" si="150"/>
        <v>#VALUE!</v>
      </c>
      <c r="N1799" s="21" t="str">
        <f>_xll.RssMarket(A1799,"高値")</f>
        <v/>
      </c>
      <c r="O1799" s="4" t="e">
        <f t="shared" si="151"/>
        <v>#VALUE!</v>
      </c>
      <c r="P1799" s="21" t="str">
        <f>_xll.RssMarket(A1799,"安値")</f>
        <v/>
      </c>
      <c r="Q1799" s="4" t="e">
        <f t="shared" si="152"/>
        <v>#VALUE!</v>
      </c>
      <c r="R1799" s="21" t="str">
        <f>_xll.RssMarket(A1799,"後場始値")</f>
        <v/>
      </c>
      <c r="S1799" s="25" t="str">
        <f t="shared" si="153"/>
        <v>-</v>
      </c>
      <c r="T1799" s="7" t="str">
        <f>_xll.RssMarket(A1799,"出来高加重平均")</f>
        <v/>
      </c>
      <c r="U1799" s="4" t="e">
        <f t="shared" si="154"/>
        <v>#VALUE!</v>
      </c>
      <c r="V1799" s="21" t="str">
        <f>_xll.RssMarket(A1799,"出来高")</f>
        <v/>
      </c>
      <c r="W1799" s="21" t="str">
        <f>_xll.RssMarket(A1799,"売買代金")</f>
        <v/>
      </c>
      <c r="X1799" s="20" t="str">
        <f>_xll.RssMarket(A1799,"決算発表日")</f>
        <v/>
      </c>
      <c r="Y1799" s="26" t="str">
        <f>IF(C1799&gt;_xll.RssMarket(A1799,"年初来高値"),"○","×")</f>
        <v>×</v>
      </c>
      <c r="Z1799" s="27" t="str">
        <f>IF(C1799&lt;=_xll.RssMarket(A1799,"年初来安値"),"○","×")</f>
        <v>○</v>
      </c>
    </row>
    <row r="1800" spans="2:26" x14ac:dyDescent="0.55000000000000004">
      <c r="B1800" s="20" t="str">
        <f>_xll.RssMarket(A1800,"銘柄名称")</f>
        <v/>
      </c>
      <c r="C1800" s="21" t="str">
        <f>_xll.RssMarket(A1800,"現在値")</f>
        <v/>
      </c>
      <c r="D1800" s="20" t="str">
        <f>_xll.RssMarket(A1800,"現在値詳細時刻")</f>
        <v/>
      </c>
      <c r="E1800" s="22" t="str">
        <f>_xll.RssMarket(A1800,"前日比")</f>
        <v/>
      </c>
      <c r="F1800" s="23" t="e">
        <f>_xll.RssMarket(A1800,"前日比率")/100</f>
        <v>#VALUE!</v>
      </c>
      <c r="G1800" s="24" t="str">
        <f>IFERROR(VLOOKUP(A1800,取得元!$A$2:$F$501,2,FALSE),"-")</f>
        <v>-</v>
      </c>
      <c r="H1800" s="24" t="str">
        <f>IFERROR(VLOOKUP(A1800,取得元!$A$2:$F$501,3,FALSE),"-")</f>
        <v>-</v>
      </c>
      <c r="I1800" s="24" t="str">
        <f>IFERROR(VLOOKUP(A1800,取得元!$A$2:$F$501,4,FALSE),"-")</f>
        <v>-</v>
      </c>
      <c r="J1800" s="5" t="str">
        <f>IFERROR(VLOOKUP(A1800,取得元!$A$2:$F$501,5,FALSE),"-")</f>
        <v>-</v>
      </c>
      <c r="K1800" s="25" t="str">
        <f>IFERROR(VLOOKUP(A1800,取得元!$A$2:$F$501,6,FALSE)/100,"-")</f>
        <v>-</v>
      </c>
      <c r="L1800" s="21" t="str">
        <f>_xll.RssMarket(A1800,"始値")</f>
        <v/>
      </c>
      <c r="M1800" s="4" t="e">
        <f t="shared" si="150"/>
        <v>#VALUE!</v>
      </c>
      <c r="N1800" s="21" t="str">
        <f>_xll.RssMarket(A1800,"高値")</f>
        <v/>
      </c>
      <c r="O1800" s="4" t="e">
        <f t="shared" si="151"/>
        <v>#VALUE!</v>
      </c>
      <c r="P1800" s="21" t="str">
        <f>_xll.RssMarket(A1800,"安値")</f>
        <v/>
      </c>
      <c r="Q1800" s="4" t="e">
        <f t="shared" si="152"/>
        <v>#VALUE!</v>
      </c>
      <c r="R1800" s="21" t="str">
        <f>_xll.RssMarket(A1800,"後場始値")</f>
        <v/>
      </c>
      <c r="S1800" s="25" t="str">
        <f t="shared" si="153"/>
        <v>-</v>
      </c>
      <c r="T1800" s="7" t="str">
        <f>_xll.RssMarket(A1800,"出来高加重平均")</f>
        <v/>
      </c>
      <c r="U1800" s="4" t="e">
        <f t="shared" si="154"/>
        <v>#VALUE!</v>
      </c>
      <c r="V1800" s="21" t="str">
        <f>_xll.RssMarket(A1800,"出来高")</f>
        <v/>
      </c>
      <c r="W1800" s="21" t="str">
        <f>_xll.RssMarket(A1800,"売買代金")</f>
        <v/>
      </c>
      <c r="X1800" s="20" t="str">
        <f>_xll.RssMarket(A1800,"決算発表日")</f>
        <v/>
      </c>
      <c r="Y1800" s="26" t="str">
        <f>IF(C1800&gt;_xll.RssMarket(A1800,"年初来高値"),"○","×")</f>
        <v>×</v>
      </c>
      <c r="Z1800" s="27" t="str">
        <f>IF(C1800&lt;=_xll.RssMarket(A1800,"年初来安値"),"○","×")</f>
        <v>○</v>
      </c>
    </row>
    <row r="1801" spans="2:26" x14ac:dyDescent="0.55000000000000004">
      <c r="B1801" s="20" t="str">
        <f>_xll.RssMarket(A1801,"銘柄名称")</f>
        <v/>
      </c>
      <c r="C1801" s="21" t="str">
        <f>_xll.RssMarket(A1801,"現在値")</f>
        <v/>
      </c>
      <c r="D1801" s="20" t="str">
        <f>_xll.RssMarket(A1801,"現在値詳細時刻")</f>
        <v/>
      </c>
      <c r="E1801" s="22" t="str">
        <f>_xll.RssMarket(A1801,"前日比")</f>
        <v/>
      </c>
      <c r="F1801" s="23" t="e">
        <f>_xll.RssMarket(A1801,"前日比率")/100</f>
        <v>#VALUE!</v>
      </c>
      <c r="G1801" s="24" t="str">
        <f>IFERROR(VLOOKUP(A1801,取得元!$A$2:$F$501,2,FALSE),"-")</f>
        <v>-</v>
      </c>
      <c r="H1801" s="24" t="str">
        <f>IFERROR(VLOOKUP(A1801,取得元!$A$2:$F$501,3,FALSE),"-")</f>
        <v>-</v>
      </c>
      <c r="I1801" s="24" t="str">
        <f>IFERROR(VLOOKUP(A1801,取得元!$A$2:$F$501,4,FALSE),"-")</f>
        <v>-</v>
      </c>
      <c r="J1801" s="5" t="str">
        <f>IFERROR(VLOOKUP(A1801,取得元!$A$2:$F$501,5,FALSE),"-")</f>
        <v>-</v>
      </c>
      <c r="K1801" s="25" t="str">
        <f>IFERROR(VLOOKUP(A1801,取得元!$A$2:$F$501,6,FALSE)/100,"-")</f>
        <v>-</v>
      </c>
      <c r="L1801" s="21" t="str">
        <f>_xll.RssMarket(A1801,"始値")</f>
        <v/>
      </c>
      <c r="M1801" s="4" t="e">
        <f t="shared" si="150"/>
        <v>#VALUE!</v>
      </c>
      <c r="N1801" s="21" t="str">
        <f>_xll.RssMarket(A1801,"高値")</f>
        <v/>
      </c>
      <c r="O1801" s="4" t="e">
        <f t="shared" si="151"/>
        <v>#VALUE!</v>
      </c>
      <c r="P1801" s="21" t="str">
        <f>_xll.RssMarket(A1801,"安値")</f>
        <v/>
      </c>
      <c r="Q1801" s="4" t="e">
        <f t="shared" si="152"/>
        <v>#VALUE!</v>
      </c>
      <c r="R1801" s="21" t="str">
        <f>_xll.RssMarket(A1801,"後場始値")</f>
        <v/>
      </c>
      <c r="S1801" s="25" t="str">
        <f t="shared" si="153"/>
        <v>-</v>
      </c>
      <c r="T1801" s="7" t="str">
        <f>_xll.RssMarket(A1801,"出来高加重平均")</f>
        <v/>
      </c>
      <c r="U1801" s="4" t="e">
        <f t="shared" si="154"/>
        <v>#VALUE!</v>
      </c>
      <c r="V1801" s="21" t="str">
        <f>_xll.RssMarket(A1801,"出来高")</f>
        <v/>
      </c>
      <c r="W1801" s="21" t="str">
        <f>_xll.RssMarket(A1801,"売買代金")</f>
        <v/>
      </c>
      <c r="X1801" s="20" t="str">
        <f>_xll.RssMarket(A1801,"決算発表日")</f>
        <v/>
      </c>
      <c r="Y1801" s="26" t="str">
        <f>IF(C1801&gt;_xll.RssMarket(A1801,"年初来高値"),"○","×")</f>
        <v>×</v>
      </c>
      <c r="Z1801" s="27" t="str">
        <f>IF(C1801&lt;=_xll.RssMarket(A1801,"年初来安値"),"○","×")</f>
        <v>○</v>
      </c>
    </row>
    <row r="1802" spans="2:26" x14ac:dyDescent="0.55000000000000004">
      <c r="B1802" s="20" t="str">
        <f>_xll.RssMarket(A1802,"銘柄名称")</f>
        <v/>
      </c>
      <c r="C1802" s="21" t="str">
        <f>_xll.RssMarket(A1802,"現在値")</f>
        <v/>
      </c>
      <c r="D1802" s="20" t="str">
        <f>_xll.RssMarket(A1802,"現在値詳細時刻")</f>
        <v/>
      </c>
      <c r="E1802" s="22" t="str">
        <f>_xll.RssMarket(A1802,"前日比")</f>
        <v/>
      </c>
      <c r="F1802" s="23" t="e">
        <f>_xll.RssMarket(A1802,"前日比率")/100</f>
        <v>#VALUE!</v>
      </c>
      <c r="G1802" s="24" t="str">
        <f>IFERROR(VLOOKUP(A1802,取得元!$A$2:$F$501,2,FALSE),"-")</f>
        <v>-</v>
      </c>
      <c r="H1802" s="24" t="str">
        <f>IFERROR(VLOOKUP(A1802,取得元!$A$2:$F$501,3,FALSE),"-")</f>
        <v>-</v>
      </c>
      <c r="I1802" s="24" t="str">
        <f>IFERROR(VLOOKUP(A1802,取得元!$A$2:$F$501,4,FALSE),"-")</f>
        <v>-</v>
      </c>
      <c r="J1802" s="5" t="str">
        <f>IFERROR(VLOOKUP(A1802,取得元!$A$2:$F$501,5,FALSE),"-")</f>
        <v>-</v>
      </c>
      <c r="K1802" s="25" t="str">
        <f>IFERROR(VLOOKUP(A1802,取得元!$A$2:$F$501,6,FALSE)/100,"-")</f>
        <v>-</v>
      </c>
      <c r="L1802" s="21" t="str">
        <f>_xll.RssMarket(A1802,"始値")</f>
        <v/>
      </c>
      <c r="M1802" s="4" t="e">
        <f t="shared" si="150"/>
        <v>#VALUE!</v>
      </c>
      <c r="N1802" s="21" t="str">
        <f>_xll.RssMarket(A1802,"高値")</f>
        <v/>
      </c>
      <c r="O1802" s="4" t="e">
        <f t="shared" si="151"/>
        <v>#VALUE!</v>
      </c>
      <c r="P1802" s="21" t="str">
        <f>_xll.RssMarket(A1802,"安値")</f>
        <v/>
      </c>
      <c r="Q1802" s="4" t="e">
        <f t="shared" si="152"/>
        <v>#VALUE!</v>
      </c>
      <c r="R1802" s="21" t="str">
        <f>_xll.RssMarket(A1802,"後場始値")</f>
        <v/>
      </c>
      <c r="S1802" s="25" t="str">
        <f t="shared" si="153"/>
        <v>-</v>
      </c>
      <c r="T1802" s="7" t="str">
        <f>_xll.RssMarket(A1802,"出来高加重平均")</f>
        <v/>
      </c>
      <c r="U1802" s="4" t="e">
        <f t="shared" si="154"/>
        <v>#VALUE!</v>
      </c>
      <c r="V1802" s="21" t="str">
        <f>_xll.RssMarket(A1802,"出来高")</f>
        <v/>
      </c>
      <c r="W1802" s="21" t="str">
        <f>_xll.RssMarket(A1802,"売買代金")</f>
        <v/>
      </c>
      <c r="X1802" s="20" t="str">
        <f>_xll.RssMarket(A1802,"決算発表日")</f>
        <v/>
      </c>
      <c r="Y1802" s="26" t="str">
        <f>IF(C1802&gt;_xll.RssMarket(A1802,"年初来高値"),"○","×")</f>
        <v>×</v>
      </c>
      <c r="Z1802" s="27" t="str">
        <f>IF(C1802&lt;=_xll.RssMarket(A1802,"年初来安値"),"○","×")</f>
        <v>○</v>
      </c>
    </row>
    <row r="1803" spans="2:26" x14ac:dyDescent="0.55000000000000004">
      <c r="B1803" s="20" t="str">
        <f>_xll.RssMarket(A1803,"銘柄名称")</f>
        <v/>
      </c>
      <c r="C1803" s="21" t="str">
        <f>_xll.RssMarket(A1803,"現在値")</f>
        <v/>
      </c>
      <c r="D1803" s="20" t="str">
        <f>_xll.RssMarket(A1803,"現在値詳細時刻")</f>
        <v/>
      </c>
      <c r="E1803" s="22" t="str">
        <f>_xll.RssMarket(A1803,"前日比")</f>
        <v/>
      </c>
      <c r="F1803" s="23" t="e">
        <f>_xll.RssMarket(A1803,"前日比率")/100</f>
        <v>#VALUE!</v>
      </c>
      <c r="G1803" s="24" t="str">
        <f>IFERROR(VLOOKUP(A1803,取得元!$A$2:$F$501,2,FALSE),"-")</f>
        <v>-</v>
      </c>
      <c r="H1803" s="24" t="str">
        <f>IFERROR(VLOOKUP(A1803,取得元!$A$2:$F$501,3,FALSE),"-")</f>
        <v>-</v>
      </c>
      <c r="I1803" s="24" t="str">
        <f>IFERROR(VLOOKUP(A1803,取得元!$A$2:$F$501,4,FALSE),"-")</f>
        <v>-</v>
      </c>
      <c r="J1803" s="5" t="str">
        <f>IFERROR(VLOOKUP(A1803,取得元!$A$2:$F$501,5,FALSE),"-")</f>
        <v>-</v>
      </c>
      <c r="K1803" s="25" t="str">
        <f>IFERROR(VLOOKUP(A1803,取得元!$A$2:$F$501,6,FALSE)/100,"-")</f>
        <v>-</v>
      </c>
      <c r="L1803" s="21" t="str">
        <f>_xll.RssMarket(A1803,"始値")</f>
        <v/>
      </c>
      <c r="M1803" s="4" t="e">
        <f t="shared" si="150"/>
        <v>#VALUE!</v>
      </c>
      <c r="N1803" s="21" t="str">
        <f>_xll.RssMarket(A1803,"高値")</f>
        <v/>
      </c>
      <c r="O1803" s="4" t="e">
        <f t="shared" si="151"/>
        <v>#VALUE!</v>
      </c>
      <c r="P1803" s="21" t="str">
        <f>_xll.RssMarket(A1803,"安値")</f>
        <v/>
      </c>
      <c r="Q1803" s="4" t="e">
        <f t="shared" si="152"/>
        <v>#VALUE!</v>
      </c>
      <c r="R1803" s="21" t="str">
        <f>_xll.RssMarket(A1803,"後場始値")</f>
        <v/>
      </c>
      <c r="S1803" s="25" t="str">
        <f t="shared" si="153"/>
        <v>-</v>
      </c>
      <c r="T1803" s="7" t="str">
        <f>_xll.RssMarket(A1803,"出来高加重平均")</f>
        <v/>
      </c>
      <c r="U1803" s="4" t="e">
        <f t="shared" si="154"/>
        <v>#VALUE!</v>
      </c>
      <c r="V1803" s="21" t="str">
        <f>_xll.RssMarket(A1803,"出来高")</f>
        <v/>
      </c>
      <c r="W1803" s="21" t="str">
        <f>_xll.RssMarket(A1803,"売買代金")</f>
        <v/>
      </c>
      <c r="X1803" s="20" t="str">
        <f>_xll.RssMarket(A1803,"決算発表日")</f>
        <v/>
      </c>
      <c r="Y1803" s="26" t="str">
        <f>IF(C1803&gt;_xll.RssMarket(A1803,"年初来高値"),"○","×")</f>
        <v>×</v>
      </c>
      <c r="Z1803" s="27" t="str">
        <f>IF(C1803&lt;=_xll.RssMarket(A1803,"年初来安値"),"○","×")</f>
        <v>○</v>
      </c>
    </row>
    <row r="1804" spans="2:26" x14ac:dyDescent="0.55000000000000004">
      <c r="B1804" s="20" t="str">
        <f>_xll.RssMarket(A1804,"銘柄名称")</f>
        <v/>
      </c>
      <c r="C1804" s="21" t="str">
        <f>_xll.RssMarket(A1804,"現在値")</f>
        <v/>
      </c>
      <c r="D1804" s="20" t="str">
        <f>_xll.RssMarket(A1804,"現在値詳細時刻")</f>
        <v/>
      </c>
      <c r="E1804" s="22" t="str">
        <f>_xll.RssMarket(A1804,"前日比")</f>
        <v/>
      </c>
      <c r="F1804" s="23" t="e">
        <f>_xll.RssMarket(A1804,"前日比率")/100</f>
        <v>#VALUE!</v>
      </c>
      <c r="G1804" s="24" t="str">
        <f>IFERROR(VLOOKUP(A1804,取得元!$A$2:$F$501,2,FALSE),"-")</f>
        <v>-</v>
      </c>
      <c r="H1804" s="24" t="str">
        <f>IFERROR(VLOOKUP(A1804,取得元!$A$2:$F$501,3,FALSE),"-")</f>
        <v>-</v>
      </c>
      <c r="I1804" s="24" t="str">
        <f>IFERROR(VLOOKUP(A1804,取得元!$A$2:$F$501,4,FALSE),"-")</f>
        <v>-</v>
      </c>
      <c r="J1804" s="5" t="str">
        <f>IFERROR(VLOOKUP(A1804,取得元!$A$2:$F$501,5,FALSE),"-")</f>
        <v>-</v>
      </c>
      <c r="K1804" s="25" t="str">
        <f>IFERROR(VLOOKUP(A1804,取得元!$A$2:$F$501,6,FALSE)/100,"-")</f>
        <v>-</v>
      </c>
      <c r="L1804" s="21" t="str">
        <f>_xll.RssMarket(A1804,"始値")</f>
        <v/>
      </c>
      <c r="M1804" s="4" t="e">
        <f t="shared" si="150"/>
        <v>#VALUE!</v>
      </c>
      <c r="N1804" s="21" t="str">
        <f>_xll.RssMarket(A1804,"高値")</f>
        <v/>
      </c>
      <c r="O1804" s="4" t="e">
        <f t="shared" si="151"/>
        <v>#VALUE!</v>
      </c>
      <c r="P1804" s="21" t="str">
        <f>_xll.RssMarket(A1804,"安値")</f>
        <v/>
      </c>
      <c r="Q1804" s="4" t="e">
        <f t="shared" si="152"/>
        <v>#VALUE!</v>
      </c>
      <c r="R1804" s="21" t="str">
        <f>_xll.RssMarket(A1804,"後場始値")</f>
        <v/>
      </c>
      <c r="S1804" s="25" t="str">
        <f t="shared" si="153"/>
        <v>-</v>
      </c>
      <c r="T1804" s="7" t="str">
        <f>_xll.RssMarket(A1804,"出来高加重平均")</f>
        <v/>
      </c>
      <c r="U1804" s="4" t="e">
        <f t="shared" si="154"/>
        <v>#VALUE!</v>
      </c>
      <c r="V1804" s="21" t="str">
        <f>_xll.RssMarket(A1804,"出来高")</f>
        <v/>
      </c>
      <c r="W1804" s="21" t="str">
        <f>_xll.RssMarket(A1804,"売買代金")</f>
        <v/>
      </c>
      <c r="X1804" s="20" t="str">
        <f>_xll.RssMarket(A1804,"決算発表日")</f>
        <v/>
      </c>
      <c r="Y1804" s="26" t="str">
        <f>IF(C1804&gt;_xll.RssMarket(A1804,"年初来高値"),"○","×")</f>
        <v>×</v>
      </c>
      <c r="Z1804" s="27" t="str">
        <f>IF(C1804&lt;=_xll.RssMarket(A1804,"年初来安値"),"○","×")</f>
        <v>○</v>
      </c>
    </row>
    <row r="1805" spans="2:26" x14ac:dyDescent="0.55000000000000004">
      <c r="B1805" s="20" t="str">
        <f>_xll.RssMarket(A1805,"銘柄名称")</f>
        <v/>
      </c>
      <c r="C1805" s="21" t="str">
        <f>_xll.RssMarket(A1805,"現在値")</f>
        <v/>
      </c>
      <c r="D1805" s="20" t="str">
        <f>_xll.RssMarket(A1805,"現在値詳細時刻")</f>
        <v/>
      </c>
      <c r="E1805" s="22" t="str">
        <f>_xll.RssMarket(A1805,"前日比")</f>
        <v/>
      </c>
      <c r="F1805" s="23" t="e">
        <f>_xll.RssMarket(A1805,"前日比率")/100</f>
        <v>#VALUE!</v>
      </c>
      <c r="G1805" s="24" t="str">
        <f>IFERROR(VLOOKUP(A1805,取得元!$A$2:$F$501,2,FALSE),"-")</f>
        <v>-</v>
      </c>
      <c r="H1805" s="24" t="str">
        <f>IFERROR(VLOOKUP(A1805,取得元!$A$2:$F$501,3,FALSE),"-")</f>
        <v>-</v>
      </c>
      <c r="I1805" s="24" t="str">
        <f>IFERROR(VLOOKUP(A1805,取得元!$A$2:$F$501,4,FALSE),"-")</f>
        <v>-</v>
      </c>
      <c r="J1805" s="5" t="str">
        <f>IFERROR(VLOOKUP(A1805,取得元!$A$2:$F$501,5,FALSE),"-")</f>
        <v>-</v>
      </c>
      <c r="K1805" s="25" t="str">
        <f>IFERROR(VLOOKUP(A1805,取得元!$A$2:$F$501,6,FALSE)/100,"-")</f>
        <v>-</v>
      </c>
      <c r="L1805" s="21" t="str">
        <f>_xll.RssMarket(A1805,"始値")</f>
        <v/>
      </c>
      <c r="M1805" s="4" t="e">
        <f t="shared" si="150"/>
        <v>#VALUE!</v>
      </c>
      <c r="N1805" s="21" t="str">
        <f>_xll.RssMarket(A1805,"高値")</f>
        <v/>
      </c>
      <c r="O1805" s="4" t="e">
        <f t="shared" si="151"/>
        <v>#VALUE!</v>
      </c>
      <c r="P1805" s="21" t="str">
        <f>_xll.RssMarket(A1805,"安値")</f>
        <v/>
      </c>
      <c r="Q1805" s="4" t="e">
        <f t="shared" si="152"/>
        <v>#VALUE!</v>
      </c>
      <c r="R1805" s="21" t="str">
        <f>_xll.RssMarket(A1805,"後場始値")</f>
        <v/>
      </c>
      <c r="S1805" s="25" t="str">
        <f t="shared" si="153"/>
        <v>-</v>
      </c>
      <c r="T1805" s="7" t="str">
        <f>_xll.RssMarket(A1805,"出来高加重平均")</f>
        <v/>
      </c>
      <c r="U1805" s="4" t="e">
        <f t="shared" si="154"/>
        <v>#VALUE!</v>
      </c>
      <c r="V1805" s="21" t="str">
        <f>_xll.RssMarket(A1805,"出来高")</f>
        <v/>
      </c>
      <c r="W1805" s="21" t="str">
        <f>_xll.RssMarket(A1805,"売買代金")</f>
        <v/>
      </c>
      <c r="X1805" s="20" t="str">
        <f>_xll.RssMarket(A1805,"決算発表日")</f>
        <v/>
      </c>
      <c r="Y1805" s="26" t="str">
        <f>IF(C1805&gt;_xll.RssMarket(A1805,"年初来高値"),"○","×")</f>
        <v>×</v>
      </c>
      <c r="Z1805" s="27" t="str">
        <f>IF(C1805&lt;=_xll.RssMarket(A1805,"年初来安値"),"○","×")</f>
        <v>○</v>
      </c>
    </row>
    <row r="1806" spans="2:26" x14ac:dyDescent="0.55000000000000004">
      <c r="B1806" s="20" t="str">
        <f>_xll.RssMarket(A1806,"銘柄名称")</f>
        <v/>
      </c>
      <c r="C1806" s="21" t="str">
        <f>_xll.RssMarket(A1806,"現在値")</f>
        <v/>
      </c>
      <c r="D1806" s="20" t="str">
        <f>_xll.RssMarket(A1806,"現在値詳細時刻")</f>
        <v/>
      </c>
      <c r="E1806" s="22" t="str">
        <f>_xll.RssMarket(A1806,"前日比")</f>
        <v/>
      </c>
      <c r="F1806" s="23" t="e">
        <f>_xll.RssMarket(A1806,"前日比率")/100</f>
        <v>#VALUE!</v>
      </c>
      <c r="G1806" s="24" t="str">
        <f>IFERROR(VLOOKUP(A1806,取得元!$A$2:$F$501,2,FALSE),"-")</f>
        <v>-</v>
      </c>
      <c r="H1806" s="24" t="str">
        <f>IFERROR(VLOOKUP(A1806,取得元!$A$2:$F$501,3,FALSE),"-")</f>
        <v>-</v>
      </c>
      <c r="I1806" s="24" t="str">
        <f>IFERROR(VLOOKUP(A1806,取得元!$A$2:$F$501,4,FALSE),"-")</f>
        <v>-</v>
      </c>
      <c r="J1806" s="5" t="str">
        <f>IFERROR(VLOOKUP(A1806,取得元!$A$2:$F$501,5,FALSE),"-")</f>
        <v>-</v>
      </c>
      <c r="K1806" s="25" t="str">
        <f>IFERROR(VLOOKUP(A1806,取得元!$A$2:$F$501,6,FALSE)/100,"-")</f>
        <v>-</v>
      </c>
      <c r="L1806" s="21" t="str">
        <f>_xll.RssMarket(A1806,"始値")</f>
        <v/>
      </c>
      <c r="M1806" s="4" t="e">
        <f t="shared" si="150"/>
        <v>#VALUE!</v>
      </c>
      <c r="N1806" s="21" t="str">
        <f>_xll.RssMarket(A1806,"高値")</f>
        <v/>
      </c>
      <c r="O1806" s="4" t="e">
        <f t="shared" si="151"/>
        <v>#VALUE!</v>
      </c>
      <c r="P1806" s="21" t="str">
        <f>_xll.RssMarket(A1806,"安値")</f>
        <v/>
      </c>
      <c r="Q1806" s="4" t="e">
        <f t="shared" si="152"/>
        <v>#VALUE!</v>
      </c>
      <c r="R1806" s="21" t="str">
        <f>_xll.RssMarket(A1806,"後場始値")</f>
        <v/>
      </c>
      <c r="S1806" s="25" t="str">
        <f t="shared" si="153"/>
        <v>-</v>
      </c>
      <c r="T1806" s="7" t="str">
        <f>_xll.RssMarket(A1806,"出来高加重平均")</f>
        <v/>
      </c>
      <c r="U1806" s="4" t="e">
        <f t="shared" si="154"/>
        <v>#VALUE!</v>
      </c>
      <c r="V1806" s="21" t="str">
        <f>_xll.RssMarket(A1806,"出来高")</f>
        <v/>
      </c>
      <c r="W1806" s="21" t="str">
        <f>_xll.RssMarket(A1806,"売買代金")</f>
        <v/>
      </c>
      <c r="X1806" s="20" t="str">
        <f>_xll.RssMarket(A1806,"決算発表日")</f>
        <v/>
      </c>
      <c r="Y1806" s="26" t="str">
        <f>IF(C1806&gt;_xll.RssMarket(A1806,"年初来高値"),"○","×")</f>
        <v>×</v>
      </c>
      <c r="Z1806" s="27" t="str">
        <f>IF(C1806&lt;=_xll.RssMarket(A1806,"年初来安値"),"○","×")</f>
        <v>○</v>
      </c>
    </row>
    <row r="1807" spans="2:26" x14ac:dyDescent="0.55000000000000004">
      <c r="B1807" s="20" t="str">
        <f>_xll.RssMarket(A1807,"銘柄名称")</f>
        <v/>
      </c>
      <c r="C1807" s="21" t="str">
        <f>_xll.RssMarket(A1807,"現在値")</f>
        <v/>
      </c>
      <c r="D1807" s="20" t="str">
        <f>_xll.RssMarket(A1807,"現在値詳細時刻")</f>
        <v/>
      </c>
      <c r="E1807" s="22" t="str">
        <f>_xll.RssMarket(A1807,"前日比")</f>
        <v/>
      </c>
      <c r="F1807" s="23" t="e">
        <f>_xll.RssMarket(A1807,"前日比率")/100</f>
        <v>#VALUE!</v>
      </c>
      <c r="G1807" s="24" t="str">
        <f>IFERROR(VLOOKUP(A1807,取得元!$A$2:$F$501,2,FALSE),"-")</f>
        <v>-</v>
      </c>
      <c r="H1807" s="24" t="str">
        <f>IFERROR(VLOOKUP(A1807,取得元!$A$2:$F$501,3,FALSE),"-")</f>
        <v>-</v>
      </c>
      <c r="I1807" s="24" t="str">
        <f>IFERROR(VLOOKUP(A1807,取得元!$A$2:$F$501,4,FALSE),"-")</f>
        <v>-</v>
      </c>
      <c r="J1807" s="5" t="str">
        <f>IFERROR(VLOOKUP(A1807,取得元!$A$2:$F$501,5,FALSE),"-")</f>
        <v>-</v>
      </c>
      <c r="K1807" s="25" t="str">
        <f>IFERROR(VLOOKUP(A1807,取得元!$A$2:$F$501,6,FALSE)/100,"-")</f>
        <v>-</v>
      </c>
      <c r="L1807" s="21" t="str">
        <f>_xll.RssMarket(A1807,"始値")</f>
        <v/>
      </c>
      <c r="M1807" s="4" t="e">
        <f t="shared" si="150"/>
        <v>#VALUE!</v>
      </c>
      <c r="N1807" s="21" t="str">
        <f>_xll.RssMarket(A1807,"高値")</f>
        <v/>
      </c>
      <c r="O1807" s="4" t="e">
        <f t="shared" si="151"/>
        <v>#VALUE!</v>
      </c>
      <c r="P1807" s="21" t="str">
        <f>_xll.RssMarket(A1807,"安値")</f>
        <v/>
      </c>
      <c r="Q1807" s="4" t="e">
        <f t="shared" si="152"/>
        <v>#VALUE!</v>
      </c>
      <c r="R1807" s="21" t="str">
        <f>_xll.RssMarket(A1807,"後場始値")</f>
        <v/>
      </c>
      <c r="S1807" s="25" t="str">
        <f t="shared" si="153"/>
        <v>-</v>
      </c>
      <c r="T1807" s="7" t="str">
        <f>_xll.RssMarket(A1807,"出来高加重平均")</f>
        <v/>
      </c>
      <c r="U1807" s="4" t="e">
        <f t="shared" si="154"/>
        <v>#VALUE!</v>
      </c>
      <c r="V1807" s="21" t="str">
        <f>_xll.RssMarket(A1807,"出来高")</f>
        <v/>
      </c>
      <c r="W1807" s="21" t="str">
        <f>_xll.RssMarket(A1807,"売買代金")</f>
        <v/>
      </c>
      <c r="X1807" s="20" t="str">
        <f>_xll.RssMarket(A1807,"決算発表日")</f>
        <v/>
      </c>
      <c r="Y1807" s="26" t="str">
        <f>IF(C1807&gt;_xll.RssMarket(A1807,"年初来高値"),"○","×")</f>
        <v>×</v>
      </c>
      <c r="Z1807" s="27" t="str">
        <f>IF(C1807&lt;=_xll.RssMarket(A1807,"年初来安値"),"○","×")</f>
        <v>○</v>
      </c>
    </row>
    <row r="1808" spans="2:26" x14ac:dyDescent="0.55000000000000004">
      <c r="B1808" s="20" t="str">
        <f>_xll.RssMarket(A1808,"銘柄名称")</f>
        <v/>
      </c>
      <c r="C1808" s="21" t="str">
        <f>_xll.RssMarket(A1808,"現在値")</f>
        <v/>
      </c>
      <c r="D1808" s="20" t="str">
        <f>_xll.RssMarket(A1808,"現在値詳細時刻")</f>
        <v/>
      </c>
      <c r="E1808" s="22" t="str">
        <f>_xll.RssMarket(A1808,"前日比")</f>
        <v/>
      </c>
      <c r="F1808" s="23" t="e">
        <f>_xll.RssMarket(A1808,"前日比率")/100</f>
        <v>#VALUE!</v>
      </c>
      <c r="G1808" s="24" t="str">
        <f>IFERROR(VLOOKUP(A1808,取得元!$A$2:$F$501,2,FALSE),"-")</f>
        <v>-</v>
      </c>
      <c r="H1808" s="24" t="str">
        <f>IFERROR(VLOOKUP(A1808,取得元!$A$2:$F$501,3,FALSE),"-")</f>
        <v>-</v>
      </c>
      <c r="I1808" s="24" t="str">
        <f>IFERROR(VLOOKUP(A1808,取得元!$A$2:$F$501,4,FALSE),"-")</f>
        <v>-</v>
      </c>
      <c r="J1808" s="5" t="str">
        <f>IFERROR(VLOOKUP(A1808,取得元!$A$2:$F$501,5,FALSE),"-")</f>
        <v>-</v>
      </c>
      <c r="K1808" s="25" t="str">
        <f>IFERROR(VLOOKUP(A1808,取得元!$A$2:$F$501,6,FALSE)/100,"-")</f>
        <v>-</v>
      </c>
      <c r="L1808" s="21" t="str">
        <f>_xll.RssMarket(A1808,"始値")</f>
        <v/>
      </c>
      <c r="M1808" s="4" t="e">
        <f t="shared" si="150"/>
        <v>#VALUE!</v>
      </c>
      <c r="N1808" s="21" t="str">
        <f>_xll.RssMarket(A1808,"高値")</f>
        <v/>
      </c>
      <c r="O1808" s="4" t="e">
        <f t="shared" si="151"/>
        <v>#VALUE!</v>
      </c>
      <c r="P1808" s="21" t="str">
        <f>_xll.RssMarket(A1808,"安値")</f>
        <v/>
      </c>
      <c r="Q1808" s="4" t="e">
        <f t="shared" si="152"/>
        <v>#VALUE!</v>
      </c>
      <c r="R1808" s="21" t="str">
        <f>_xll.RssMarket(A1808,"後場始値")</f>
        <v/>
      </c>
      <c r="S1808" s="25" t="str">
        <f t="shared" si="153"/>
        <v>-</v>
      </c>
      <c r="T1808" s="7" t="str">
        <f>_xll.RssMarket(A1808,"出来高加重平均")</f>
        <v/>
      </c>
      <c r="U1808" s="4" t="e">
        <f t="shared" si="154"/>
        <v>#VALUE!</v>
      </c>
      <c r="V1808" s="21" t="str">
        <f>_xll.RssMarket(A1808,"出来高")</f>
        <v/>
      </c>
      <c r="W1808" s="21" t="str">
        <f>_xll.RssMarket(A1808,"売買代金")</f>
        <v/>
      </c>
      <c r="X1808" s="20" t="str">
        <f>_xll.RssMarket(A1808,"決算発表日")</f>
        <v/>
      </c>
      <c r="Y1808" s="26" t="str">
        <f>IF(C1808&gt;_xll.RssMarket(A1808,"年初来高値"),"○","×")</f>
        <v>×</v>
      </c>
      <c r="Z1808" s="27" t="str">
        <f>IF(C1808&lt;=_xll.RssMarket(A1808,"年初来安値"),"○","×")</f>
        <v>○</v>
      </c>
    </row>
    <row r="1809" spans="2:26" x14ac:dyDescent="0.55000000000000004">
      <c r="B1809" s="20" t="str">
        <f>_xll.RssMarket(A1809,"銘柄名称")</f>
        <v/>
      </c>
      <c r="C1809" s="21" t="str">
        <f>_xll.RssMarket(A1809,"現在値")</f>
        <v/>
      </c>
      <c r="D1809" s="20" t="str">
        <f>_xll.RssMarket(A1809,"現在値詳細時刻")</f>
        <v/>
      </c>
      <c r="E1809" s="22" t="str">
        <f>_xll.RssMarket(A1809,"前日比")</f>
        <v/>
      </c>
      <c r="F1809" s="23" t="e">
        <f>_xll.RssMarket(A1809,"前日比率")/100</f>
        <v>#VALUE!</v>
      </c>
      <c r="G1809" s="24" t="str">
        <f>IFERROR(VLOOKUP(A1809,取得元!$A$2:$F$501,2,FALSE),"-")</f>
        <v>-</v>
      </c>
      <c r="H1809" s="24" t="str">
        <f>IFERROR(VLOOKUP(A1809,取得元!$A$2:$F$501,3,FALSE),"-")</f>
        <v>-</v>
      </c>
      <c r="I1809" s="24" t="str">
        <f>IFERROR(VLOOKUP(A1809,取得元!$A$2:$F$501,4,FALSE),"-")</f>
        <v>-</v>
      </c>
      <c r="J1809" s="5" t="str">
        <f>IFERROR(VLOOKUP(A1809,取得元!$A$2:$F$501,5,FALSE),"-")</f>
        <v>-</v>
      </c>
      <c r="K1809" s="25" t="str">
        <f>IFERROR(VLOOKUP(A1809,取得元!$A$2:$F$501,6,FALSE)/100,"-")</f>
        <v>-</v>
      </c>
      <c r="L1809" s="21" t="str">
        <f>_xll.RssMarket(A1809,"始値")</f>
        <v/>
      </c>
      <c r="M1809" s="4" t="e">
        <f t="shared" si="150"/>
        <v>#VALUE!</v>
      </c>
      <c r="N1809" s="21" t="str">
        <f>_xll.RssMarket(A1809,"高値")</f>
        <v/>
      </c>
      <c r="O1809" s="4" t="e">
        <f t="shared" si="151"/>
        <v>#VALUE!</v>
      </c>
      <c r="P1809" s="21" t="str">
        <f>_xll.RssMarket(A1809,"安値")</f>
        <v/>
      </c>
      <c r="Q1809" s="4" t="e">
        <f t="shared" si="152"/>
        <v>#VALUE!</v>
      </c>
      <c r="R1809" s="21" t="str">
        <f>_xll.RssMarket(A1809,"後場始値")</f>
        <v/>
      </c>
      <c r="S1809" s="25" t="str">
        <f t="shared" si="153"/>
        <v>-</v>
      </c>
      <c r="T1809" s="7" t="str">
        <f>_xll.RssMarket(A1809,"出来高加重平均")</f>
        <v/>
      </c>
      <c r="U1809" s="4" t="e">
        <f t="shared" si="154"/>
        <v>#VALUE!</v>
      </c>
      <c r="V1809" s="21" t="str">
        <f>_xll.RssMarket(A1809,"出来高")</f>
        <v/>
      </c>
      <c r="W1809" s="21" t="str">
        <f>_xll.RssMarket(A1809,"売買代金")</f>
        <v/>
      </c>
      <c r="X1809" s="20" t="str">
        <f>_xll.RssMarket(A1809,"決算発表日")</f>
        <v/>
      </c>
      <c r="Y1809" s="26" t="str">
        <f>IF(C1809&gt;_xll.RssMarket(A1809,"年初来高値"),"○","×")</f>
        <v>×</v>
      </c>
      <c r="Z1809" s="27" t="str">
        <f>IF(C1809&lt;=_xll.RssMarket(A1809,"年初来安値"),"○","×")</f>
        <v>○</v>
      </c>
    </row>
    <row r="1810" spans="2:26" x14ac:dyDescent="0.55000000000000004">
      <c r="B1810" s="20" t="str">
        <f>_xll.RssMarket(A1810,"銘柄名称")</f>
        <v/>
      </c>
      <c r="C1810" s="21" t="str">
        <f>_xll.RssMarket(A1810,"現在値")</f>
        <v/>
      </c>
      <c r="D1810" s="20" t="str">
        <f>_xll.RssMarket(A1810,"現在値詳細時刻")</f>
        <v/>
      </c>
      <c r="E1810" s="22" t="str">
        <f>_xll.RssMarket(A1810,"前日比")</f>
        <v/>
      </c>
      <c r="F1810" s="23" t="e">
        <f>_xll.RssMarket(A1810,"前日比率")/100</f>
        <v>#VALUE!</v>
      </c>
      <c r="G1810" s="24" t="str">
        <f>IFERROR(VLOOKUP(A1810,取得元!$A$2:$F$501,2,FALSE),"-")</f>
        <v>-</v>
      </c>
      <c r="H1810" s="24" t="str">
        <f>IFERROR(VLOOKUP(A1810,取得元!$A$2:$F$501,3,FALSE),"-")</f>
        <v>-</v>
      </c>
      <c r="I1810" s="24" t="str">
        <f>IFERROR(VLOOKUP(A1810,取得元!$A$2:$F$501,4,FALSE),"-")</f>
        <v>-</v>
      </c>
      <c r="J1810" s="5" t="str">
        <f>IFERROR(VLOOKUP(A1810,取得元!$A$2:$F$501,5,FALSE),"-")</f>
        <v>-</v>
      </c>
      <c r="K1810" s="25" t="str">
        <f>IFERROR(VLOOKUP(A1810,取得元!$A$2:$F$501,6,FALSE)/100,"-")</f>
        <v>-</v>
      </c>
      <c r="L1810" s="21" t="str">
        <f>_xll.RssMarket(A1810,"始値")</f>
        <v/>
      </c>
      <c r="M1810" s="4" t="e">
        <f t="shared" si="150"/>
        <v>#VALUE!</v>
      </c>
      <c r="N1810" s="21" t="str">
        <f>_xll.RssMarket(A1810,"高値")</f>
        <v/>
      </c>
      <c r="O1810" s="4" t="e">
        <f t="shared" si="151"/>
        <v>#VALUE!</v>
      </c>
      <c r="P1810" s="21" t="str">
        <f>_xll.RssMarket(A1810,"安値")</f>
        <v/>
      </c>
      <c r="Q1810" s="4" t="e">
        <f t="shared" si="152"/>
        <v>#VALUE!</v>
      </c>
      <c r="R1810" s="21" t="str">
        <f>_xll.RssMarket(A1810,"後場始値")</f>
        <v/>
      </c>
      <c r="S1810" s="25" t="str">
        <f t="shared" si="153"/>
        <v>-</v>
      </c>
      <c r="T1810" s="7" t="str">
        <f>_xll.RssMarket(A1810,"出来高加重平均")</f>
        <v/>
      </c>
      <c r="U1810" s="4" t="e">
        <f t="shared" si="154"/>
        <v>#VALUE!</v>
      </c>
      <c r="V1810" s="21" t="str">
        <f>_xll.RssMarket(A1810,"出来高")</f>
        <v/>
      </c>
      <c r="W1810" s="21" t="str">
        <f>_xll.RssMarket(A1810,"売買代金")</f>
        <v/>
      </c>
      <c r="X1810" s="20" t="str">
        <f>_xll.RssMarket(A1810,"決算発表日")</f>
        <v/>
      </c>
      <c r="Y1810" s="26" t="str">
        <f>IF(C1810&gt;_xll.RssMarket(A1810,"年初来高値"),"○","×")</f>
        <v>×</v>
      </c>
      <c r="Z1810" s="27" t="str">
        <f>IF(C1810&lt;=_xll.RssMarket(A1810,"年初来安値"),"○","×")</f>
        <v>○</v>
      </c>
    </row>
    <row r="1811" spans="2:26" x14ac:dyDescent="0.55000000000000004">
      <c r="B1811" s="20" t="str">
        <f>_xll.RssMarket(A1811,"銘柄名称")</f>
        <v/>
      </c>
      <c r="C1811" s="21" t="str">
        <f>_xll.RssMarket(A1811,"現在値")</f>
        <v/>
      </c>
      <c r="D1811" s="20" t="str">
        <f>_xll.RssMarket(A1811,"現在値詳細時刻")</f>
        <v/>
      </c>
      <c r="E1811" s="22" t="str">
        <f>_xll.RssMarket(A1811,"前日比")</f>
        <v/>
      </c>
      <c r="F1811" s="23" t="e">
        <f>_xll.RssMarket(A1811,"前日比率")/100</f>
        <v>#VALUE!</v>
      </c>
      <c r="G1811" s="24" t="str">
        <f>IFERROR(VLOOKUP(A1811,取得元!$A$2:$F$501,2,FALSE),"-")</f>
        <v>-</v>
      </c>
      <c r="H1811" s="24" t="str">
        <f>IFERROR(VLOOKUP(A1811,取得元!$A$2:$F$501,3,FALSE),"-")</f>
        <v>-</v>
      </c>
      <c r="I1811" s="24" t="str">
        <f>IFERROR(VLOOKUP(A1811,取得元!$A$2:$F$501,4,FALSE),"-")</f>
        <v>-</v>
      </c>
      <c r="J1811" s="5" t="str">
        <f>IFERROR(VLOOKUP(A1811,取得元!$A$2:$F$501,5,FALSE),"-")</f>
        <v>-</v>
      </c>
      <c r="K1811" s="25" t="str">
        <f>IFERROR(VLOOKUP(A1811,取得元!$A$2:$F$501,6,FALSE)/100,"-")</f>
        <v>-</v>
      </c>
      <c r="L1811" s="21" t="str">
        <f>_xll.RssMarket(A1811,"始値")</f>
        <v/>
      </c>
      <c r="M1811" s="4" t="e">
        <f t="shared" si="150"/>
        <v>#VALUE!</v>
      </c>
      <c r="N1811" s="21" t="str">
        <f>_xll.RssMarket(A1811,"高値")</f>
        <v/>
      </c>
      <c r="O1811" s="4" t="e">
        <f t="shared" si="151"/>
        <v>#VALUE!</v>
      </c>
      <c r="P1811" s="21" t="str">
        <f>_xll.RssMarket(A1811,"安値")</f>
        <v/>
      </c>
      <c r="Q1811" s="4" t="e">
        <f t="shared" si="152"/>
        <v>#VALUE!</v>
      </c>
      <c r="R1811" s="21" t="str">
        <f>_xll.RssMarket(A1811,"後場始値")</f>
        <v/>
      </c>
      <c r="S1811" s="25" t="str">
        <f t="shared" si="153"/>
        <v>-</v>
      </c>
      <c r="T1811" s="7" t="str">
        <f>_xll.RssMarket(A1811,"出来高加重平均")</f>
        <v/>
      </c>
      <c r="U1811" s="4" t="e">
        <f t="shared" si="154"/>
        <v>#VALUE!</v>
      </c>
      <c r="V1811" s="21" t="str">
        <f>_xll.RssMarket(A1811,"出来高")</f>
        <v/>
      </c>
      <c r="W1811" s="21" t="str">
        <f>_xll.RssMarket(A1811,"売買代金")</f>
        <v/>
      </c>
      <c r="X1811" s="20" t="str">
        <f>_xll.RssMarket(A1811,"決算発表日")</f>
        <v/>
      </c>
      <c r="Y1811" s="26" t="str">
        <f>IF(C1811&gt;_xll.RssMarket(A1811,"年初来高値"),"○","×")</f>
        <v>×</v>
      </c>
      <c r="Z1811" s="27" t="str">
        <f>IF(C1811&lt;=_xll.RssMarket(A1811,"年初来安値"),"○","×")</f>
        <v>○</v>
      </c>
    </row>
    <row r="1812" spans="2:26" x14ac:dyDescent="0.55000000000000004">
      <c r="B1812" s="20" t="str">
        <f>_xll.RssMarket(A1812,"銘柄名称")</f>
        <v/>
      </c>
      <c r="C1812" s="21" t="str">
        <f>_xll.RssMarket(A1812,"現在値")</f>
        <v/>
      </c>
      <c r="D1812" s="20" t="str">
        <f>_xll.RssMarket(A1812,"現在値詳細時刻")</f>
        <v/>
      </c>
      <c r="E1812" s="22" t="str">
        <f>_xll.RssMarket(A1812,"前日比")</f>
        <v/>
      </c>
      <c r="F1812" s="23" t="e">
        <f>_xll.RssMarket(A1812,"前日比率")/100</f>
        <v>#VALUE!</v>
      </c>
      <c r="G1812" s="24" t="str">
        <f>IFERROR(VLOOKUP(A1812,取得元!$A$2:$F$501,2,FALSE),"-")</f>
        <v>-</v>
      </c>
      <c r="H1812" s="24" t="str">
        <f>IFERROR(VLOOKUP(A1812,取得元!$A$2:$F$501,3,FALSE),"-")</f>
        <v>-</v>
      </c>
      <c r="I1812" s="24" t="str">
        <f>IFERROR(VLOOKUP(A1812,取得元!$A$2:$F$501,4,FALSE),"-")</f>
        <v>-</v>
      </c>
      <c r="J1812" s="5" t="str">
        <f>IFERROR(VLOOKUP(A1812,取得元!$A$2:$F$501,5,FALSE),"-")</f>
        <v>-</v>
      </c>
      <c r="K1812" s="25" t="str">
        <f>IFERROR(VLOOKUP(A1812,取得元!$A$2:$F$501,6,FALSE)/100,"-")</f>
        <v>-</v>
      </c>
      <c r="L1812" s="21" t="str">
        <f>_xll.RssMarket(A1812,"始値")</f>
        <v/>
      </c>
      <c r="M1812" s="4" t="e">
        <f t="shared" si="150"/>
        <v>#VALUE!</v>
      </c>
      <c r="N1812" s="21" t="str">
        <f>_xll.RssMarket(A1812,"高値")</f>
        <v/>
      </c>
      <c r="O1812" s="4" t="e">
        <f t="shared" si="151"/>
        <v>#VALUE!</v>
      </c>
      <c r="P1812" s="21" t="str">
        <f>_xll.RssMarket(A1812,"安値")</f>
        <v/>
      </c>
      <c r="Q1812" s="4" t="e">
        <f t="shared" si="152"/>
        <v>#VALUE!</v>
      </c>
      <c r="R1812" s="21" t="str">
        <f>_xll.RssMarket(A1812,"後場始値")</f>
        <v/>
      </c>
      <c r="S1812" s="25" t="str">
        <f t="shared" si="153"/>
        <v>-</v>
      </c>
      <c r="T1812" s="7" t="str">
        <f>_xll.RssMarket(A1812,"出来高加重平均")</f>
        <v/>
      </c>
      <c r="U1812" s="4" t="e">
        <f t="shared" si="154"/>
        <v>#VALUE!</v>
      </c>
      <c r="V1812" s="21" t="str">
        <f>_xll.RssMarket(A1812,"出来高")</f>
        <v/>
      </c>
      <c r="W1812" s="21" t="str">
        <f>_xll.RssMarket(A1812,"売買代金")</f>
        <v/>
      </c>
      <c r="X1812" s="20" t="str">
        <f>_xll.RssMarket(A1812,"決算発表日")</f>
        <v/>
      </c>
      <c r="Y1812" s="26" t="str">
        <f>IF(C1812&gt;_xll.RssMarket(A1812,"年初来高値"),"○","×")</f>
        <v>×</v>
      </c>
      <c r="Z1812" s="27" t="str">
        <f>IF(C1812&lt;=_xll.RssMarket(A1812,"年初来安値"),"○","×")</f>
        <v>○</v>
      </c>
    </row>
    <row r="1813" spans="2:26" x14ac:dyDescent="0.55000000000000004">
      <c r="B1813" s="20" t="str">
        <f>_xll.RssMarket(A1813,"銘柄名称")</f>
        <v/>
      </c>
      <c r="C1813" s="21" t="str">
        <f>_xll.RssMarket(A1813,"現在値")</f>
        <v/>
      </c>
      <c r="D1813" s="20" t="str">
        <f>_xll.RssMarket(A1813,"現在値詳細時刻")</f>
        <v/>
      </c>
      <c r="E1813" s="22" t="str">
        <f>_xll.RssMarket(A1813,"前日比")</f>
        <v/>
      </c>
      <c r="F1813" s="23" t="e">
        <f>_xll.RssMarket(A1813,"前日比率")/100</f>
        <v>#VALUE!</v>
      </c>
      <c r="G1813" s="24" t="str">
        <f>IFERROR(VLOOKUP(A1813,取得元!$A$2:$F$501,2,FALSE),"-")</f>
        <v>-</v>
      </c>
      <c r="H1813" s="24" t="str">
        <f>IFERROR(VLOOKUP(A1813,取得元!$A$2:$F$501,3,FALSE),"-")</f>
        <v>-</v>
      </c>
      <c r="I1813" s="24" t="str">
        <f>IFERROR(VLOOKUP(A1813,取得元!$A$2:$F$501,4,FALSE),"-")</f>
        <v>-</v>
      </c>
      <c r="J1813" s="5" t="str">
        <f>IFERROR(VLOOKUP(A1813,取得元!$A$2:$F$501,5,FALSE),"-")</f>
        <v>-</v>
      </c>
      <c r="K1813" s="25" t="str">
        <f>IFERROR(VLOOKUP(A1813,取得元!$A$2:$F$501,6,FALSE)/100,"-")</f>
        <v>-</v>
      </c>
      <c r="L1813" s="21" t="str">
        <f>_xll.RssMarket(A1813,"始値")</f>
        <v/>
      </c>
      <c r="M1813" s="4" t="e">
        <f t="shared" si="150"/>
        <v>#VALUE!</v>
      </c>
      <c r="N1813" s="21" t="str">
        <f>_xll.RssMarket(A1813,"高値")</f>
        <v/>
      </c>
      <c r="O1813" s="4" t="e">
        <f t="shared" si="151"/>
        <v>#VALUE!</v>
      </c>
      <c r="P1813" s="21" t="str">
        <f>_xll.RssMarket(A1813,"安値")</f>
        <v/>
      </c>
      <c r="Q1813" s="4" t="e">
        <f t="shared" si="152"/>
        <v>#VALUE!</v>
      </c>
      <c r="R1813" s="21" t="str">
        <f>_xll.RssMarket(A1813,"後場始値")</f>
        <v/>
      </c>
      <c r="S1813" s="25" t="str">
        <f t="shared" si="153"/>
        <v>-</v>
      </c>
      <c r="T1813" s="7" t="str">
        <f>_xll.RssMarket(A1813,"出来高加重平均")</f>
        <v/>
      </c>
      <c r="U1813" s="4" t="e">
        <f t="shared" si="154"/>
        <v>#VALUE!</v>
      </c>
      <c r="V1813" s="21" t="str">
        <f>_xll.RssMarket(A1813,"出来高")</f>
        <v/>
      </c>
      <c r="W1813" s="21" t="str">
        <f>_xll.RssMarket(A1813,"売買代金")</f>
        <v/>
      </c>
      <c r="X1813" s="20" t="str">
        <f>_xll.RssMarket(A1813,"決算発表日")</f>
        <v/>
      </c>
      <c r="Y1813" s="26" t="str">
        <f>IF(C1813&gt;_xll.RssMarket(A1813,"年初来高値"),"○","×")</f>
        <v>×</v>
      </c>
      <c r="Z1813" s="27" t="str">
        <f>IF(C1813&lt;=_xll.RssMarket(A1813,"年初来安値"),"○","×")</f>
        <v>○</v>
      </c>
    </row>
    <row r="1814" spans="2:26" x14ac:dyDescent="0.55000000000000004">
      <c r="B1814" s="20" t="str">
        <f>_xll.RssMarket(A1814,"銘柄名称")</f>
        <v/>
      </c>
      <c r="C1814" s="21" t="str">
        <f>_xll.RssMarket(A1814,"現在値")</f>
        <v/>
      </c>
      <c r="D1814" s="20" t="str">
        <f>_xll.RssMarket(A1814,"現在値詳細時刻")</f>
        <v/>
      </c>
      <c r="E1814" s="22" t="str">
        <f>_xll.RssMarket(A1814,"前日比")</f>
        <v/>
      </c>
      <c r="F1814" s="23" t="e">
        <f>_xll.RssMarket(A1814,"前日比率")/100</f>
        <v>#VALUE!</v>
      </c>
      <c r="G1814" s="24" t="str">
        <f>IFERROR(VLOOKUP(A1814,取得元!$A$2:$F$501,2,FALSE),"-")</f>
        <v>-</v>
      </c>
      <c r="H1814" s="24" t="str">
        <f>IFERROR(VLOOKUP(A1814,取得元!$A$2:$F$501,3,FALSE),"-")</f>
        <v>-</v>
      </c>
      <c r="I1814" s="24" t="str">
        <f>IFERROR(VLOOKUP(A1814,取得元!$A$2:$F$501,4,FALSE),"-")</f>
        <v>-</v>
      </c>
      <c r="J1814" s="5" t="str">
        <f>IFERROR(VLOOKUP(A1814,取得元!$A$2:$F$501,5,FALSE),"-")</f>
        <v>-</v>
      </c>
      <c r="K1814" s="25" t="str">
        <f>IFERROR(VLOOKUP(A1814,取得元!$A$2:$F$501,6,FALSE)/100,"-")</f>
        <v>-</v>
      </c>
      <c r="L1814" s="21" t="str">
        <f>_xll.RssMarket(A1814,"始値")</f>
        <v/>
      </c>
      <c r="M1814" s="4" t="e">
        <f t="shared" ref="M1814:M1877" si="155">C1814/L1814-1</f>
        <v>#VALUE!</v>
      </c>
      <c r="N1814" s="21" t="str">
        <f>_xll.RssMarket(A1814,"高値")</f>
        <v/>
      </c>
      <c r="O1814" s="4" t="e">
        <f t="shared" ref="O1814:O1877" si="156">C1814/N1814-1</f>
        <v>#VALUE!</v>
      </c>
      <c r="P1814" s="21" t="str">
        <f>_xll.RssMarket(A1814,"安値")</f>
        <v/>
      </c>
      <c r="Q1814" s="4" t="e">
        <f t="shared" ref="Q1814:Q1877" si="157">C1814/P1814-1</f>
        <v>#VALUE!</v>
      </c>
      <c r="R1814" s="21" t="str">
        <f>_xll.RssMarket(A1814,"後場始値")</f>
        <v/>
      </c>
      <c r="S1814" s="25" t="str">
        <f t="shared" ref="S1814:S1877" si="158">IFERROR(C1814/R1814-1,"-")</f>
        <v>-</v>
      </c>
      <c r="T1814" s="7" t="str">
        <f>_xll.RssMarket(A1814,"出来高加重平均")</f>
        <v/>
      </c>
      <c r="U1814" s="4" t="e">
        <f t="shared" ref="U1814:U1877" si="159">C1814/T1814-1</f>
        <v>#VALUE!</v>
      </c>
      <c r="V1814" s="21" t="str">
        <f>_xll.RssMarket(A1814,"出来高")</f>
        <v/>
      </c>
      <c r="W1814" s="21" t="str">
        <f>_xll.RssMarket(A1814,"売買代金")</f>
        <v/>
      </c>
      <c r="X1814" s="20" t="str">
        <f>_xll.RssMarket(A1814,"決算発表日")</f>
        <v/>
      </c>
      <c r="Y1814" s="26" t="str">
        <f>IF(C1814&gt;_xll.RssMarket(A1814,"年初来高値"),"○","×")</f>
        <v>×</v>
      </c>
      <c r="Z1814" s="27" t="str">
        <f>IF(C1814&lt;=_xll.RssMarket(A1814,"年初来安値"),"○","×")</f>
        <v>○</v>
      </c>
    </row>
    <row r="1815" spans="2:26" x14ac:dyDescent="0.55000000000000004">
      <c r="B1815" s="20" t="str">
        <f>_xll.RssMarket(A1815,"銘柄名称")</f>
        <v/>
      </c>
      <c r="C1815" s="21" t="str">
        <f>_xll.RssMarket(A1815,"現在値")</f>
        <v/>
      </c>
      <c r="D1815" s="20" t="str">
        <f>_xll.RssMarket(A1815,"現在値詳細時刻")</f>
        <v/>
      </c>
      <c r="E1815" s="22" t="str">
        <f>_xll.RssMarket(A1815,"前日比")</f>
        <v/>
      </c>
      <c r="F1815" s="23" t="e">
        <f>_xll.RssMarket(A1815,"前日比率")/100</f>
        <v>#VALUE!</v>
      </c>
      <c r="G1815" s="24" t="str">
        <f>IFERROR(VLOOKUP(A1815,取得元!$A$2:$F$501,2,FALSE),"-")</f>
        <v>-</v>
      </c>
      <c r="H1815" s="24" t="str">
        <f>IFERROR(VLOOKUP(A1815,取得元!$A$2:$F$501,3,FALSE),"-")</f>
        <v>-</v>
      </c>
      <c r="I1815" s="24" t="str">
        <f>IFERROR(VLOOKUP(A1815,取得元!$A$2:$F$501,4,FALSE),"-")</f>
        <v>-</v>
      </c>
      <c r="J1815" s="5" t="str">
        <f>IFERROR(VLOOKUP(A1815,取得元!$A$2:$F$501,5,FALSE),"-")</f>
        <v>-</v>
      </c>
      <c r="K1815" s="25" t="str">
        <f>IFERROR(VLOOKUP(A1815,取得元!$A$2:$F$501,6,FALSE)/100,"-")</f>
        <v>-</v>
      </c>
      <c r="L1815" s="21" t="str">
        <f>_xll.RssMarket(A1815,"始値")</f>
        <v/>
      </c>
      <c r="M1815" s="4" t="e">
        <f t="shared" si="155"/>
        <v>#VALUE!</v>
      </c>
      <c r="N1815" s="21" t="str">
        <f>_xll.RssMarket(A1815,"高値")</f>
        <v/>
      </c>
      <c r="O1815" s="4" t="e">
        <f t="shared" si="156"/>
        <v>#VALUE!</v>
      </c>
      <c r="P1815" s="21" t="str">
        <f>_xll.RssMarket(A1815,"安値")</f>
        <v/>
      </c>
      <c r="Q1815" s="4" t="e">
        <f t="shared" si="157"/>
        <v>#VALUE!</v>
      </c>
      <c r="R1815" s="21" t="str">
        <f>_xll.RssMarket(A1815,"後場始値")</f>
        <v/>
      </c>
      <c r="S1815" s="25" t="str">
        <f t="shared" si="158"/>
        <v>-</v>
      </c>
      <c r="T1815" s="7" t="str">
        <f>_xll.RssMarket(A1815,"出来高加重平均")</f>
        <v/>
      </c>
      <c r="U1815" s="4" t="e">
        <f t="shared" si="159"/>
        <v>#VALUE!</v>
      </c>
      <c r="V1815" s="21" t="str">
        <f>_xll.RssMarket(A1815,"出来高")</f>
        <v/>
      </c>
      <c r="W1815" s="21" t="str">
        <f>_xll.RssMarket(A1815,"売買代金")</f>
        <v/>
      </c>
      <c r="X1815" s="20" t="str">
        <f>_xll.RssMarket(A1815,"決算発表日")</f>
        <v/>
      </c>
      <c r="Y1815" s="26" t="str">
        <f>IF(C1815&gt;_xll.RssMarket(A1815,"年初来高値"),"○","×")</f>
        <v>×</v>
      </c>
      <c r="Z1815" s="27" t="str">
        <f>IF(C1815&lt;=_xll.RssMarket(A1815,"年初来安値"),"○","×")</f>
        <v>○</v>
      </c>
    </row>
    <row r="1816" spans="2:26" x14ac:dyDescent="0.55000000000000004">
      <c r="B1816" s="20" t="str">
        <f>_xll.RssMarket(A1816,"銘柄名称")</f>
        <v/>
      </c>
      <c r="C1816" s="21" t="str">
        <f>_xll.RssMarket(A1816,"現在値")</f>
        <v/>
      </c>
      <c r="D1816" s="20" t="str">
        <f>_xll.RssMarket(A1816,"現在値詳細時刻")</f>
        <v/>
      </c>
      <c r="E1816" s="22" t="str">
        <f>_xll.RssMarket(A1816,"前日比")</f>
        <v/>
      </c>
      <c r="F1816" s="23" t="e">
        <f>_xll.RssMarket(A1816,"前日比率")/100</f>
        <v>#VALUE!</v>
      </c>
      <c r="G1816" s="24" t="str">
        <f>IFERROR(VLOOKUP(A1816,取得元!$A$2:$F$501,2,FALSE),"-")</f>
        <v>-</v>
      </c>
      <c r="H1816" s="24" t="str">
        <f>IFERROR(VLOOKUP(A1816,取得元!$A$2:$F$501,3,FALSE),"-")</f>
        <v>-</v>
      </c>
      <c r="I1816" s="24" t="str">
        <f>IFERROR(VLOOKUP(A1816,取得元!$A$2:$F$501,4,FALSE),"-")</f>
        <v>-</v>
      </c>
      <c r="J1816" s="5" t="str">
        <f>IFERROR(VLOOKUP(A1816,取得元!$A$2:$F$501,5,FALSE),"-")</f>
        <v>-</v>
      </c>
      <c r="K1816" s="25" t="str">
        <f>IFERROR(VLOOKUP(A1816,取得元!$A$2:$F$501,6,FALSE)/100,"-")</f>
        <v>-</v>
      </c>
      <c r="L1816" s="21" t="str">
        <f>_xll.RssMarket(A1816,"始値")</f>
        <v/>
      </c>
      <c r="M1816" s="4" t="e">
        <f t="shared" si="155"/>
        <v>#VALUE!</v>
      </c>
      <c r="N1816" s="21" t="str">
        <f>_xll.RssMarket(A1816,"高値")</f>
        <v/>
      </c>
      <c r="O1816" s="4" t="e">
        <f t="shared" si="156"/>
        <v>#VALUE!</v>
      </c>
      <c r="P1816" s="21" t="str">
        <f>_xll.RssMarket(A1816,"安値")</f>
        <v/>
      </c>
      <c r="Q1816" s="4" t="e">
        <f t="shared" si="157"/>
        <v>#VALUE!</v>
      </c>
      <c r="R1816" s="21" t="str">
        <f>_xll.RssMarket(A1816,"後場始値")</f>
        <v/>
      </c>
      <c r="S1816" s="25" t="str">
        <f t="shared" si="158"/>
        <v>-</v>
      </c>
      <c r="T1816" s="7" t="str">
        <f>_xll.RssMarket(A1816,"出来高加重平均")</f>
        <v/>
      </c>
      <c r="U1816" s="4" t="e">
        <f t="shared" si="159"/>
        <v>#VALUE!</v>
      </c>
      <c r="V1816" s="21" t="str">
        <f>_xll.RssMarket(A1816,"出来高")</f>
        <v/>
      </c>
      <c r="W1816" s="21" t="str">
        <f>_xll.RssMarket(A1816,"売買代金")</f>
        <v/>
      </c>
      <c r="X1816" s="20" t="str">
        <f>_xll.RssMarket(A1816,"決算発表日")</f>
        <v/>
      </c>
      <c r="Y1816" s="26" t="str">
        <f>IF(C1816&gt;_xll.RssMarket(A1816,"年初来高値"),"○","×")</f>
        <v>×</v>
      </c>
      <c r="Z1816" s="27" t="str">
        <f>IF(C1816&lt;=_xll.RssMarket(A1816,"年初来安値"),"○","×")</f>
        <v>○</v>
      </c>
    </row>
    <row r="1817" spans="2:26" x14ac:dyDescent="0.55000000000000004">
      <c r="B1817" s="20" t="str">
        <f>_xll.RssMarket(A1817,"銘柄名称")</f>
        <v/>
      </c>
      <c r="C1817" s="21" t="str">
        <f>_xll.RssMarket(A1817,"現在値")</f>
        <v/>
      </c>
      <c r="D1817" s="20" t="str">
        <f>_xll.RssMarket(A1817,"現在値詳細時刻")</f>
        <v/>
      </c>
      <c r="E1817" s="22" t="str">
        <f>_xll.RssMarket(A1817,"前日比")</f>
        <v/>
      </c>
      <c r="F1817" s="23" t="e">
        <f>_xll.RssMarket(A1817,"前日比率")/100</f>
        <v>#VALUE!</v>
      </c>
      <c r="G1817" s="24" t="str">
        <f>IFERROR(VLOOKUP(A1817,取得元!$A$2:$F$501,2,FALSE),"-")</f>
        <v>-</v>
      </c>
      <c r="H1817" s="24" t="str">
        <f>IFERROR(VLOOKUP(A1817,取得元!$A$2:$F$501,3,FALSE),"-")</f>
        <v>-</v>
      </c>
      <c r="I1817" s="24" t="str">
        <f>IFERROR(VLOOKUP(A1817,取得元!$A$2:$F$501,4,FALSE),"-")</f>
        <v>-</v>
      </c>
      <c r="J1817" s="5" t="str">
        <f>IFERROR(VLOOKUP(A1817,取得元!$A$2:$F$501,5,FALSE),"-")</f>
        <v>-</v>
      </c>
      <c r="K1817" s="25" t="str">
        <f>IFERROR(VLOOKUP(A1817,取得元!$A$2:$F$501,6,FALSE)/100,"-")</f>
        <v>-</v>
      </c>
      <c r="L1817" s="21" t="str">
        <f>_xll.RssMarket(A1817,"始値")</f>
        <v/>
      </c>
      <c r="M1817" s="4" t="e">
        <f t="shared" si="155"/>
        <v>#VALUE!</v>
      </c>
      <c r="N1817" s="21" t="str">
        <f>_xll.RssMarket(A1817,"高値")</f>
        <v/>
      </c>
      <c r="O1817" s="4" t="e">
        <f t="shared" si="156"/>
        <v>#VALUE!</v>
      </c>
      <c r="P1817" s="21" t="str">
        <f>_xll.RssMarket(A1817,"安値")</f>
        <v/>
      </c>
      <c r="Q1817" s="4" t="e">
        <f t="shared" si="157"/>
        <v>#VALUE!</v>
      </c>
      <c r="R1817" s="21" t="str">
        <f>_xll.RssMarket(A1817,"後場始値")</f>
        <v/>
      </c>
      <c r="S1817" s="25" t="str">
        <f t="shared" si="158"/>
        <v>-</v>
      </c>
      <c r="T1817" s="7" t="str">
        <f>_xll.RssMarket(A1817,"出来高加重平均")</f>
        <v/>
      </c>
      <c r="U1817" s="4" t="e">
        <f t="shared" si="159"/>
        <v>#VALUE!</v>
      </c>
      <c r="V1817" s="21" t="str">
        <f>_xll.RssMarket(A1817,"出来高")</f>
        <v/>
      </c>
      <c r="W1817" s="21" t="str">
        <f>_xll.RssMarket(A1817,"売買代金")</f>
        <v/>
      </c>
      <c r="X1817" s="20" t="str">
        <f>_xll.RssMarket(A1817,"決算発表日")</f>
        <v/>
      </c>
      <c r="Y1817" s="26" t="str">
        <f>IF(C1817&gt;_xll.RssMarket(A1817,"年初来高値"),"○","×")</f>
        <v>×</v>
      </c>
      <c r="Z1817" s="27" t="str">
        <f>IF(C1817&lt;=_xll.RssMarket(A1817,"年初来安値"),"○","×")</f>
        <v>○</v>
      </c>
    </row>
    <row r="1818" spans="2:26" x14ac:dyDescent="0.55000000000000004">
      <c r="B1818" s="20" t="str">
        <f>_xll.RssMarket(A1818,"銘柄名称")</f>
        <v/>
      </c>
      <c r="C1818" s="21" t="str">
        <f>_xll.RssMarket(A1818,"現在値")</f>
        <v/>
      </c>
      <c r="D1818" s="20" t="str">
        <f>_xll.RssMarket(A1818,"現在値詳細時刻")</f>
        <v/>
      </c>
      <c r="E1818" s="22" t="str">
        <f>_xll.RssMarket(A1818,"前日比")</f>
        <v/>
      </c>
      <c r="F1818" s="23" t="e">
        <f>_xll.RssMarket(A1818,"前日比率")/100</f>
        <v>#VALUE!</v>
      </c>
      <c r="G1818" s="24" t="str">
        <f>IFERROR(VLOOKUP(A1818,取得元!$A$2:$F$501,2,FALSE),"-")</f>
        <v>-</v>
      </c>
      <c r="H1818" s="24" t="str">
        <f>IFERROR(VLOOKUP(A1818,取得元!$A$2:$F$501,3,FALSE),"-")</f>
        <v>-</v>
      </c>
      <c r="I1818" s="24" t="str">
        <f>IFERROR(VLOOKUP(A1818,取得元!$A$2:$F$501,4,FALSE),"-")</f>
        <v>-</v>
      </c>
      <c r="J1818" s="5" t="str">
        <f>IFERROR(VLOOKUP(A1818,取得元!$A$2:$F$501,5,FALSE),"-")</f>
        <v>-</v>
      </c>
      <c r="K1818" s="25" t="str">
        <f>IFERROR(VLOOKUP(A1818,取得元!$A$2:$F$501,6,FALSE)/100,"-")</f>
        <v>-</v>
      </c>
      <c r="L1818" s="21" t="str">
        <f>_xll.RssMarket(A1818,"始値")</f>
        <v/>
      </c>
      <c r="M1818" s="4" t="e">
        <f t="shared" si="155"/>
        <v>#VALUE!</v>
      </c>
      <c r="N1818" s="21" t="str">
        <f>_xll.RssMarket(A1818,"高値")</f>
        <v/>
      </c>
      <c r="O1818" s="4" t="e">
        <f t="shared" si="156"/>
        <v>#VALUE!</v>
      </c>
      <c r="P1818" s="21" t="str">
        <f>_xll.RssMarket(A1818,"安値")</f>
        <v/>
      </c>
      <c r="Q1818" s="4" t="e">
        <f t="shared" si="157"/>
        <v>#VALUE!</v>
      </c>
      <c r="R1818" s="21" t="str">
        <f>_xll.RssMarket(A1818,"後場始値")</f>
        <v/>
      </c>
      <c r="S1818" s="25" t="str">
        <f t="shared" si="158"/>
        <v>-</v>
      </c>
      <c r="T1818" s="7" t="str">
        <f>_xll.RssMarket(A1818,"出来高加重平均")</f>
        <v/>
      </c>
      <c r="U1818" s="4" t="e">
        <f t="shared" si="159"/>
        <v>#VALUE!</v>
      </c>
      <c r="V1818" s="21" t="str">
        <f>_xll.RssMarket(A1818,"出来高")</f>
        <v/>
      </c>
      <c r="W1818" s="21" t="str">
        <f>_xll.RssMarket(A1818,"売買代金")</f>
        <v/>
      </c>
      <c r="X1818" s="20" t="str">
        <f>_xll.RssMarket(A1818,"決算発表日")</f>
        <v/>
      </c>
      <c r="Y1818" s="26" t="str">
        <f>IF(C1818&gt;_xll.RssMarket(A1818,"年初来高値"),"○","×")</f>
        <v>×</v>
      </c>
      <c r="Z1818" s="27" t="str">
        <f>IF(C1818&lt;=_xll.RssMarket(A1818,"年初来安値"),"○","×")</f>
        <v>○</v>
      </c>
    </row>
    <row r="1819" spans="2:26" x14ac:dyDescent="0.55000000000000004">
      <c r="B1819" s="20" t="str">
        <f>_xll.RssMarket(A1819,"銘柄名称")</f>
        <v/>
      </c>
      <c r="C1819" s="21" t="str">
        <f>_xll.RssMarket(A1819,"現在値")</f>
        <v/>
      </c>
      <c r="D1819" s="20" t="str">
        <f>_xll.RssMarket(A1819,"現在値詳細時刻")</f>
        <v/>
      </c>
      <c r="E1819" s="22" t="str">
        <f>_xll.RssMarket(A1819,"前日比")</f>
        <v/>
      </c>
      <c r="F1819" s="23" t="e">
        <f>_xll.RssMarket(A1819,"前日比率")/100</f>
        <v>#VALUE!</v>
      </c>
      <c r="G1819" s="24" t="str">
        <f>IFERROR(VLOOKUP(A1819,取得元!$A$2:$F$501,2,FALSE),"-")</f>
        <v>-</v>
      </c>
      <c r="H1819" s="24" t="str">
        <f>IFERROR(VLOOKUP(A1819,取得元!$A$2:$F$501,3,FALSE),"-")</f>
        <v>-</v>
      </c>
      <c r="I1819" s="24" t="str">
        <f>IFERROR(VLOOKUP(A1819,取得元!$A$2:$F$501,4,FALSE),"-")</f>
        <v>-</v>
      </c>
      <c r="J1819" s="5" t="str">
        <f>IFERROR(VLOOKUP(A1819,取得元!$A$2:$F$501,5,FALSE),"-")</f>
        <v>-</v>
      </c>
      <c r="K1819" s="25" t="str">
        <f>IFERROR(VLOOKUP(A1819,取得元!$A$2:$F$501,6,FALSE)/100,"-")</f>
        <v>-</v>
      </c>
      <c r="L1819" s="21" t="str">
        <f>_xll.RssMarket(A1819,"始値")</f>
        <v/>
      </c>
      <c r="M1819" s="4" t="e">
        <f t="shared" si="155"/>
        <v>#VALUE!</v>
      </c>
      <c r="N1819" s="21" t="str">
        <f>_xll.RssMarket(A1819,"高値")</f>
        <v/>
      </c>
      <c r="O1819" s="4" t="e">
        <f t="shared" si="156"/>
        <v>#VALUE!</v>
      </c>
      <c r="P1819" s="21" t="str">
        <f>_xll.RssMarket(A1819,"安値")</f>
        <v/>
      </c>
      <c r="Q1819" s="4" t="e">
        <f t="shared" si="157"/>
        <v>#VALUE!</v>
      </c>
      <c r="R1819" s="21" t="str">
        <f>_xll.RssMarket(A1819,"後場始値")</f>
        <v/>
      </c>
      <c r="S1819" s="25" t="str">
        <f t="shared" si="158"/>
        <v>-</v>
      </c>
      <c r="T1819" s="7" t="str">
        <f>_xll.RssMarket(A1819,"出来高加重平均")</f>
        <v/>
      </c>
      <c r="U1819" s="4" t="e">
        <f t="shared" si="159"/>
        <v>#VALUE!</v>
      </c>
      <c r="V1819" s="21" t="str">
        <f>_xll.RssMarket(A1819,"出来高")</f>
        <v/>
      </c>
      <c r="W1819" s="21" t="str">
        <f>_xll.RssMarket(A1819,"売買代金")</f>
        <v/>
      </c>
      <c r="X1819" s="20" t="str">
        <f>_xll.RssMarket(A1819,"決算発表日")</f>
        <v/>
      </c>
      <c r="Y1819" s="26" t="str">
        <f>IF(C1819&gt;_xll.RssMarket(A1819,"年初来高値"),"○","×")</f>
        <v>×</v>
      </c>
      <c r="Z1819" s="27" t="str">
        <f>IF(C1819&lt;=_xll.RssMarket(A1819,"年初来安値"),"○","×")</f>
        <v>○</v>
      </c>
    </row>
    <row r="1820" spans="2:26" x14ac:dyDescent="0.55000000000000004">
      <c r="B1820" s="20" t="str">
        <f>_xll.RssMarket(A1820,"銘柄名称")</f>
        <v/>
      </c>
      <c r="C1820" s="21" t="str">
        <f>_xll.RssMarket(A1820,"現在値")</f>
        <v/>
      </c>
      <c r="D1820" s="20" t="str">
        <f>_xll.RssMarket(A1820,"現在値詳細時刻")</f>
        <v/>
      </c>
      <c r="E1820" s="22" t="str">
        <f>_xll.RssMarket(A1820,"前日比")</f>
        <v/>
      </c>
      <c r="F1820" s="23" t="e">
        <f>_xll.RssMarket(A1820,"前日比率")/100</f>
        <v>#VALUE!</v>
      </c>
      <c r="G1820" s="24" t="str">
        <f>IFERROR(VLOOKUP(A1820,取得元!$A$2:$F$501,2,FALSE),"-")</f>
        <v>-</v>
      </c>
      <c r="H1820" s="24" t="str">
        <f>IFERROR(VLOOKUP(A1820,取得元!$A$2:$F$501,3,FALSE),"-")</f>
        <v>-</v>
      </c>
      <c r="I1820" s="24" t="str">
        <f>IFERROR(VLOOKUP(A1820,取得元!$A$2:$F$501,4,FALSE),"-")</f>
        <v>-</v>
      </c>
      <c r="J1820" s="5" t="str">
        <f>IFERROR(VLOOKUP(A1820,取得元!$A$2:$F$501,5,FALSE),"-")</f>
        <v>-</v>
      </c>
      <c r="K1820" s="25" t="str">
        <f>IFERROR(VLOOKUP(A1820,取得元!$A$2:$F$501,6,FALSE)/100,"-")</f>
        <v>-</v>
      </c>
      <c r="L1820" s="21" t="str">
        <f>_xll.RssMarket(A1820,"始値")</f>
        <v/>
      </c>
      <c r="M1820" s="4" t="e">
        <f t="shared" si="155"/>
        <v>#VALUE!</v>
      </c>
      <c r="N1820" s="21" t="str">
        <f>_xll.RssMarket(A1820,"高値")</f>
        <v/>
      </c>
      <c r="O1820" s="4" t="e">
        <f t="shared" si="156"/>
        <v>#VALUE!</v>
      </c>
      <c r="P1820" s="21" t="str">
        <f>_xll.RssMarket(A1820,"安値")</f>
        <v/>
      </c>
      <c r="Q1820" s="4" t="e">
        <f t="shared" si="157"/>
        <v>#VALUE!</v>
      </c>
      <c r="R1820" s="21" t="str">
        <f>_xll.RssMarket(A1820,"後場始値")</f>
        <v/>
      </c>
      <c r="S1820" s="25" t="str">
        <f t="shared" si="158"/>
        <v>-</v>
      </c>
      <c r="T1820" s="7" t="str">
        <f>_xll.RssMarket(A1820,"出来高加重平均")</f>
        <v/>
      </c>
      <c r="U1820" s="4" t="e">
        <f t="shared" si="159"/>
        <v>#VALUE!</v>
      </c>
      <c r="V1820" s="21" t="str">
        <f>_xll.RssMarket(A1820,"出来高")</f>
        <v/>
      </c>
      <c r="W1820" s="21" t="str">
        <f>_xll.RssMarket(A1820,"売買代金")</f>
        <v/>
      </c>
      <c r="X1820" s="20" t="str">
        <f>_xll.RssMarket(A1820,"決算発表日")</f>
        <v/>
      </c>
      <c r="Y1820" s="26" t="str">
        <f>IF(C1820&gt;_xll.RssMarket(A1820,"年初来高値"),"○","×")</f>
        <v>×</v>
      </c>
      <c r="Z1820" s="27" t="str">
        <f>IF(C1820&lt;=_xll.RssMarket(A1820,"年初来安値"),"○","×")</f>
        <v>○</v>
      </c>
    </row>
    <row r="1821" spans="2:26" x14ac:dyDescent="0.55000000000000004">
      <c r="B1821" s="20" t="str">
        <f>_xll.RssMarket(A1821,"銘柄名称")</f>
        <v/>
      </c>
      <c r="C1821" s="21" t="str">
        <f>_xll.RssMarket(A1821,"現在値")</f>
        <v/>
      </c>
      <c r="D1821" s="20" t="str">
        <f>_xll.RssMarket(A1821,"現在値詳細時刻")</f>
        <v/>
      </c>
      <c r="E1821" s="22" t="str">
        <f>_xll.RssMarket(A1821,"前日比")</f>
        <v/>
      </c>
      <c r="F1821" s="23" t="e">
        <f>_xll.RssMarket(A1821,"前日比率")/100</f>
        <v>#VALUE!</v>
      </c>
      <c r="G1821" s="24" t="str">
        <f>IFERROR(VLOOKUP(A1821,取得元!$A$2:$F$501,2,FALSE),"-")</f>
        <v>-</v>
      </c>
      <c r="H1821" s="24" t="str">
        <f>IFERROR(VLOOKUP(A1821,取得元!$A$2:$F$501,3,FALSE),"-")</f>
        <v>-</v>
      </c>
      <c r="I1821" s="24" t="str">
        <f>IFERROR(VLOOKUP(A1821,取得元!$A$2:$F$501,4,FALSE),"-")</f>
        <v>-</v>
      </c>
      <c r="J1821" s="5" t="str">
        <f>IFERROR(VLOOKUP(A1821,取得元!$A$2:$F$501,5,FALSE),"-")</f>
        <v>-</v>
      </c>
      <c r="K1821" s="25" t="str">
        <f>IFERROR(VLOOKUP(A1821,取得元!$A$2:$F$501,6,FALSE)/100,"-")</f>
        <v>-</v>
      </c>
      <c r="L1821" s="21" t="str">
        <f>_xll.RssMarket(A1821,"始値")</f>
        <v/>
      </c>
      <c r="M1821" s="4" t="e">
        <f t="shared" si="155"/>
        <v>#VALUE!</v>
      </c>
      <c r="N1821" s="21" t="str">
        <f>_xll.RssMarket(A1821,"高値")</f>
        <v/>
      </c>
      <c r="O1821" s="4" t="e">
        <f t="shared" si="156"/>
        <v>#VALUE!</v>
      </c>
      <c r="P1821" s="21" t="str">
        <f>_xll.RssMarket(A1821,"安値")</f>
        <v/>
      </c>
      <c r="Q1821" s="4" t="e">
        <f t="shared" si="157"/>
        <v>#VALUE!</v>
      </c>
      <c r="R1821" s="21" t="str">
        <f>_xll.RssMarket(A1821,"後場始値")</f>
        <v/>
      </c>
      <c r="S1821" s="25" t="str">
        <f t="shared" si="158"/>
        <v>-</v>
      </c>
      <c r="T1821" s="7" t="str">
        <f>_xll.RssMarket(A1821,"出来高加重平均")</f>
        <v/>
      </c>
      <c r="U1821" s="4" t="e">
        <f t="shared" si="159"/>
        <v>#VALUE!</v>
      </c>
      <c r="V1821" s="21" t="str">
        <f>_xll.RssMarket(A1821,"出来高")</f>
        <v/>
      </c>
      <c r="W1821" s="21" t="str">
        <f>_xll.RssMarket(A1821,"売買代金")</f>
        <v/>
      </c>
      <c r="X1821" s="20" t="str">
        <f>_xll.RssMarket(A1821,"決算発表日")</f>
        <v/>
      </c>
      <c r="Y1821" s="26" t="str">
        <f>IF(C1821&gt;_xll.RssMarket(A1821,"年初来高値"),"○","×")</f>
        <v>×</v>
      </c>
      <c r="Z1821" s="27" t="str">
        <f>IF(C1821&lt;=_xll.RssMarket(A1821,"年初来安値"),"○","×")</f>
        <v>○</v>
      </c>
    </row>
    <row r="1822" spans="2:26" x14ac:dyDescent="0.55000000000000004">
      <c r="B1822" s="20" t="str">
        <f>_xll.RssMarket(A1822,"銘柄名称")</f>
        <v/>
      </c>
      <c r="C1822" s="21" t="str">
        <f>_xll.RssMarket(A1822,"現在値")</f>
        <v/>
      </c>
      <c r="D1822" s="20" t="str">
        <f>_xll.RssMarket(A1822,"現在値詳細時刻")</f>
        <v/>
      </c>
      <c r="E1822" s="22" t="str">
        <f>_xll.RssMarket(A1822,"前日比")</f>
        <v/>
      </c>
      <c r="F1822" s="23" t="e">
        <f>_xll.RssMarket(A1822,"前日比率")/100</f>
        <v>#VALUE!</v>
      </c>
      <c r="G1822" s="24" t="str">
        <f>IFERROR(VLOOKUP(A1822,取得元!$A$2:$F$501,2,FALSE),"-")</f>
        <v>-</v>
      </c>
      <c r="H1822" s="24" t="str">
        <f>IFERROR(VLOOKUP(A1822,取得元!$A$2:$F$501,3,FALSE),"-")</f>
        <v>-</v>
      </c>
      <c r="I1822" s="24" t="str">
        <f>IFERROR(VLOOKUP(A1822,取得元!$A$2:$F$501,4,FALSE),"-")</f>
        <v>-</v>
      </c>
      <c r="J1822" s="5" t="str">
        <f>IFERROR(VLOOKUP(A1822,取得元!$A$2:$F$501,5,FALSE),"-")</f>
        <v>-</v>
      </c>
      <c r="K1822" s="25" t="str">
        <f>IFERROR(VLOOKUP(A1822,取得元!$A$2:$F$501,6,FALSE)/100,"-")</f>
        <v>-</v>
      </c>
      <c r="L1822" s="21" t="str">
        <f>_xll.RssMarket(A1822,"始値")</f>
        <v/>
      </c>
      <c r="M1822" s="4" t="e">
        <f t="shared" si="155"/>
        <v>#VALUE!</v>
      </c>
      <c r="N1822" s="21" t="str">
        <f>_xll.RssMarket(A1822,"高値")</f>
        <v/>
      </c>
      <c r="O1822" s="4" t="e">
        <f t="shared" si="156"/>
        <v>#VALUE!</v>
      </c>
      <c r="P1822" s="21" t="str">
        <f>_xll.RssMarket(A1822,"安値")</f>
        <v/>
      </c>
      <c r="Q1822" s="4" t="e">
        <f t="shared" si="157"/>
        <v>#VALUE!</v>
      </c>
      <c r="R1822" s="21" t="str">
        <f>_xll.RssMarket(A1822,"後場始値")</f>
        <v/>
      </c>
      <c r="S1822" s="25" t="str">
        <f t="shared" si="158"/>
        <v>-</v>
      </c>
      <c r="T1822" s="7" t="str">
        <f>_xll.RssMarket(A1822,"出来高加重平均")</f>
        <v/>
      </c>
      <c r="U1822" s="4" t="e">
        <f t="shared" si="159"/>
        <v>#VALUE!</v>
      </c>
      <c r="V1822" s="21" t="str">
        <f>_xll.RssMarket(A1822,"出来高")</f>
        <v/>
      </c>
      <c r="W1822" s="21" t="str">
        <f>_xll.RssMarket(A1822,"売買代金")</f>
        <v/>
      </c>
      <c r="X1822" s="20" t="str">
        <f>_xll.RssMarket(A1822,"決算発表日")</f>
        <v/>
      </c>
      <c r="Y1822" s="26" t="str">
        <f>IF(C1822&gt;_xll.RssMarket(A1822,"年初来高値"),"○","×")</f>
        <v>×</v>
      </c>
      <c r="Z1822" s="27" t="str">
        <f>IF(C1822&lt;=_xll.RssMarket(A1822,"年初来安値"),"○","×")</f>
        <v>○</v>
      </c>
    </row>
    <row r="1823" spans="2:26" x14ac:dyDescent="0.55000000000000004">
      <c r="B1823" s="20" t="str">
        <f>_xll.RssMarket(A1823,"銘柄名称")</f>
        <v/>
      </c>
      <c r="C1823" s="21" t="str">
        <f>_xll.RssMarket(A1823,"現在値")</f>
        <v/>
      </c>
      <c r="D1823" s="20" t="str">
        <f>_xll.RssMarket(A1823,"現在値詳細時刻")</f>
        <v/>
      </c>
      <c r="E1823" s="22" t="str">
        <f>_xll.RssMarket(A1823,"前日比")</f>
        <v/>
      </c>
      <c r="F1823" s="23" t="e">
        <f>_xll.RssMarket(A1823,"前日比率")/100</f>
        <v>#VALUE!</v>
      </c>
      <c r="G1823" s="24" t="str">
        <f>IFERROR(VLOOKUP(A1823,取得元!$A$2:$F$501,2,FALSE),"-")</f>
        <v>-</v>
      </c>
      <c r="H1823" s="24" t="str">
        <f>IFERROR(VLOOKUP(A1823,取得元!$A$2:$F$501,3,FALSE),"-")</f>
        <v>-</v>
      </c>
      <c r="I1823" s="24" t="str">
        <f>IFERROR(VLOOKUP(A1823,取得元!$A$2:$F$501,4,FALSE),"-")</f>
        <v>-</v>
      </c>
      <c r="J1823" s="5" t="str">
        <f>IFERROR(VLOOKUP(A1823,取得元!$A$2:$F$501,5,FALSE),"-")</f>
        <v>-</v>
      </c>
      <c r="K1823" s="25" t="str">
        <f>IFERROR(VLOOKUP(A1823,取得元!$A$2:$F$501,6,FALSE)/100,"-")</f>
        <v>-</v>
      </c>
      <c r="L1823" s="21" t="str">
        <f>_xll.RssMarket(A1823,"始値")</f>
        <v/>
      </c>
      <c r="M1823" s="4" t="e">
        <f t="shared" si="155"/>
        <v>#VALUE!</v>
      </c>
      <c r="N1823" s="21" t="str">
        <f>_xll.RssMarket(A1823,"高値")</f>
        <v/>
      </c>
      <c r="O1823" s="4" t="e">
        <f t="shared" si="156"/>
        <v>#VALUE!</v>
      </c>
      <c r="P1823" s="21" t="str">
        <f>_xll.RssMarket(A1823,"安値")</f>
        <v/>
      </c>
      <c r="Q1823" s="4" t="e">
        <f t="shared" si="157"/>
        <v>#VALUE!</v>
      </c>
      <c r="R1823" s="21" t="str">
        <f>_xll.RssMarket(A1823,"後場始値")</f>
        <v/>
      </c>
      <c r="S1823" s="25" t="str">
        <f t="shared" si="158"/>
        <v>-</v>
      </c>
      <c r="T1823" s="7" t="str">
        <f>_xll.RssMarket(A1823,"出来高加重平均")</f>
        <v/>
      </c>
      <c r="U1823" s="4" t="e">
        <f t="shared" si="159"/>
        <v>#VALUE!</v>
      </c>
      <c r="V1823" s="21" t="str">
        <f>_xll.RssMarket(A1823,"出来高")</f>
        <v/>
      </c>
      <c r="W1823" s="21" t="str">
        <f>_xll.RssMarket(A1823,"売買代金")</f>
        <v/>
      </c>
      <c r="X1823" s="20" t="str">
        <f>_xll.RssMarket(A1823,"決算発表日")</f>
        <v/>
      </c>
      <c r="Y1823" s="26" t="str">
        <f>IF(C1823&gt;_xll.RssMarket(A1823,"年初来高値"),"○","×")</f>
        <v>×</v>
      </c>
      <c r="Z1823" s="27" t="str">
        <f>IF(C1823&lt;=_xll.RssMarket(A1823,"年初来安値"),"○","×")</f>
        <v>○</v>
      </c>
    </row>
    <row r="1824" spans="2:26" x14ac:dyDescent="0.55000000000000004">
      <c r="B1824" s="20" t="str">
        <f>_xll.RssMarket(A1824,"銘柄名称")</f>
        <v/>
      </c>
      <c r="C1824" s="21" t="str">
        <f>_xll.RssMarket(A1824,"現在値")</f>
        <v/>
      </c>
      <c r="D1824" s="20" t="str">
        <f>_xll.RssMarket(A1824,"現在値詳細時刻")</f>
        <v/>
      </c>
      <c r="E1824" s="22" t="str">
        <f>_xll.RssMarket(A1824,"前日比")</f>
        <v/>
      </c>
      <c r="F1824" s="23" t="e">
        <f>_xll.RssMarket(A1824,"前日比率")/100</f>
        <v>#VALUE!</v>
      </c>
      <c r="G1824" s="24" t="str">
        <f>IFERROR(VLOOKUP(A1824,取得元!$A$2:$F$501,2,FALSE),"-")</f>
        <v>-</v>
      </c>
      <c r="H1824" s="24" t="str">
        <f>IFERROR(VLOOKUP(A1824,取得元!$A$2:$F$501,3,FALSE),"-")</f>
        <v>-</v>
      </c>
      <c r="I1824" s="24" t="str">
        <f>IFERROR(VLOOKUP(A1824,取得元!$A$2:$F$501,4,FALSE),"-")</f>
        <v>-</v>
      </c>
      <c r="J1824" s="5" t="str">
        <f>IFERROR(VLOOKUP(A1824,取得元!$A$2:$F$501,5,FALSE),"-")</f>
        <v>-</v>
      </c>
      <c r="K1824" s="25" t="str">
        <f>IFERROR(VLOOKUP(A1824,取得元!$A$2:$F$501,6,FALSE)/100,"-")</f>
        <v>-</v>
      </c>
      <c r="L1824" s="21" t="str">
        <f>_xll.RssMarket(A1824,"始値")</f>
        <v/>
      </c>
      <c r="M1824" s="4" t="e">
        <f t="shared" si="155"/>
        <v>#VALUE!</v>
      </c>
      <c r="N1824" s="21" t="str">
        <f>_xll.RssMarket(A1824,"高値")</f>
        <v/>
      </c>
      <c r="O1824" s="4" t="e">
        <f t="shared" si="156"/>
        <v>#VALUE!</v>
      </c>
      <c r="P1824" s="21" t="str">
        <f>_xll.RssMarket(A1824,"安値")</f>
        <v/>
      </c>
      <c r="Q1824" s="4" t="e">
        <f t="shared" si="157"/>
        <v>#VALUE!</v>
      </c>
      <c r="R1824" s="21" t="str">
        <f>_xll.RssMarket(A1824,"後場始値")</f>
        <v/>
      </c>
      <c r="S1824" s="25" t="str">
        <f t="shared" si="158"/>
        <v>-</v>
      </c>
      <c r="T1824" s="7" t="str">
        <f>_xll.RssMarket(A1824,"出来高加重平均")</f>
        <v/>
      </c>
      <c r="U1824" s="4" t="e">
        <f t="shared" si="159"/>
        <v>#VALUE!</v>
      </c>
      <c r="V1824" s="21" t="str">
        <f>_xll.RssMarket(A1824,"出来高")</f>
        <v/>
      </c>
      <c r="W1824" s="21" t="str">
        <f>_xll.RssMarket(A1824,"売買代金")</f>
        <v/>
      </c>
      <c r="X1824" s="20" t="str">
        <f>_xll.RssMarket(A1824,"決算発表日")</f>
        <v/>
      </c>
      <c r="Y1824" s="26" t="str">
        <f>IF(C1824&gt;_xll.RssMarket(A1824,"年初来高値"),"○","×")</f>
        <v>×</v>
      </c>
      <c r="Z1824" s="27" t="str">
        <f>IF(C1824&lt;=_xll.RssMarket(A1824,"年初来安値"),"○","×")</f>
        <v>○</v>
      </c>
    </row>
    <row r="1825" spans="2:26" x14ac:dyDescent="0.55000000000000004">
      <c r="B1825" s="20" t="str">
        <f>_xll.RssMarket(A1825,"銘柄名称")</f>
        <v/>
      </c>
      <c r="C1825" s="21" t="str">
        <f>_xll.RssMarket(A1825,"現在値")</f>
        <v/>
      </c>
      <c r="D1825" s="20" t="str">
        <f>_xll.RssMarket(A1825,"現在値詳細時刻")</f>
        <v/>
      </c>
      <c r="E1825" s="22" t="str">
        <f>_xll.RssMarket(A1825,"前日比")</f>
        <v/>
      </c>
      <c r="F1825" s="23" t="e">
        <f>_xll.RssMarket(A1825,"前日比率")/100</f>
        <v>#VALUE!</v>
      </c>
      <c r="G1825" s="24" t="str">
        <f>IFERROR(VLOOKUP(A1825,取得元!$A$2:$F$501,2,FALSE),"-")</f>
        <v>-</v>
      </c>
      <c r="H1825" s="24" t="str">
        <f>IFERROR(VLOOKUP(A1825,取得元!$A$2:$F$501,3,FALSE),"-")</f>
        <v>-</v>
      </c>
      <c r="I1825" s="24" t="str">
        <f>IFERROR(VLOOKUP(A1825,取得元!$A$2:$F$501,4,FALSE),"-")</f>
        <v>-</v>
      </c>
      <c r="J1825" s="5" t="str">
        <f>IFERROR(VLOOKUP(A1825,取得元!$A$2:$F$501,5,FALSE),"-")</f>
        <v>-</v>
      </c>
      <c r="K1825" s="25" t="str">
        <f>IFERROR(VLOOKUP(A1825,取得元!$A$2:$F$501,6,FALSE)/100,"-")</f>
        <v>-</v>
      </c>
      <c r="L1825" s="21" t="str">
        <f>_xll.RssMarket(A1825,"始値")</f>
        <v/>
      </c>
      <c r="M1825" s="4" t="e">
        <f t="shared" si="155"/>
        <v>#VALUE!</v>
      </c>
      <c r="N1825" s="21" t="str">
        <f>_xll.RssMarket(A1825,"高値")</f>
        <v/>
      </c>
      <c r="O1825" s="4" t="e">
        <f t="shared" si="156"/>
        <v>#VALUE!</v>
      </c>
      <c r="P1825" s="21" t="str">
        <f>_xll.RssMarket(A1825,"安値")</f>
        <v/>
      </c>
      <c r="Q1825" s="4" t="e">
        <f t="shared" si="157"/>
        <v>#VALUE!</v>
      </c>
      <c r="R1825" s="21" t="str">
        <f>_xll.RssMarket(A1825,"後場始値")</f>
        <v/>
      </c>
      <c r="S1825" s="25" t="str">
        <f t="shared" si="158"/>
        <v>-</v>
      </c>
      <c r="T1825" s="7" t="str">
        <f>_xll.RssMarket(A1825,"出来高加重平均")</f>
        <v/>
      </c>
      <c r="U1825" s="4" t="e">
        <f t="shared" si="159"/>
        <v>#VALUE!</v>
      </c>
      <c r="V1825" s="21" t="str">
        <f>_xll.RssMarket(A1825,"出来高")</f>
        <v/>
      </c>
      <c r="W1825" s="21" t="str">
        <f>_xll.RssMarket(A1825,"売買代金")</f>
        <v/>
      </c>
      <c r="X1825" s="20" t="str">
        <f>_xll.RssMarket(A1825,"決算発表日")</f>
        <v/>
      </c>
      <c r="Y1825" s="26" t="str">
        <f>IF(C1825&gt;_xll.RssMarket(A1825,"年初来高値"),"○","×")</f>
        <v>×</v>
      </c>
      <c r="Z1825" s="27" t="str">
        <f>IF(C1825&lt;=_xll.RssMarket(A1825,"年初来安値"),"○","×")</f>
        <v>○</v>
      </c>
    </row>
    <row r="1826" spans="2:26" x14ac:dyDescent="0.55000000000000004">
      <c r="B1826" s="20" t="str">
        <f>_xll.RssMarket(A1826,"銘柄名称")</f>
        <v/>
      </c>
      <c r="C1826" s="21" t="str">
        <f>_xll.RssMarket(A1826,"現在値")</f>
        <v/>
      </c>
      <c r="D1826" s="20" t="str">
        <f>_xll.RssMarket(A1826,"現在値詳細時刻")</f>
        <v/>
      </c>
      <c r="E1826" s="22" t="str">
        <f>_xll.RssMarket(A1826,"前日比")</f>
        <v/>
      </c>
      <c r="F1826" s="23" t="e">
        <f>_xll.RssMarket(A1826,"前日比率")/100</f>
        <v>#VALUE!</v>
      </c>
      <c r="G1826" s="24" t="str">
        <f>IFERROR(VLOOKUP(A1826,取得元!$A$2:$F$501,2,FALSE),"-")</f>
        <v>-</v>
      </c>
      <c r="H1826" s="24" t="str">
        <f>IFERROR(VLOOKUP(A1826,取得元!$A$2:$F$501,3,FALSE),"-")</f>
        <v>-</v>
      </c>
      <c r="I1826" s="24" t="str">
        <f>IFERROR(VLOOKUP(A1826,取得元!$A$2:$F$501,4,FALSE),"-")</f>
        <v>-</v>
      </c>
      <c r="J1826" s="5" t="str">
        <f>IFERROR(VLOOKUP(A1826,取得元!$A$2:$F$501,5,FALSE),"-")</f>
        <v>-</v>
      </c>
      <c r="K1826" s="25" t="str">
        <f>IFERROR(VLOOKUP(A1826,取得元!$A$2:$F$501,6,FALSE)/100,"-")</f>
        <v>-</v>
      </c>
      <c r="L1826" s="21" t="str">
        <f>_xll.RssMarket(A1826,"始値")</f>
        <v/>
      </c>
      <c r="M1826" s="4" t="e">
        <f t="shared" si="155"/>
        <v>#VALUE!</v>
      </c>
      <c r="N1826" s="21" t="str">
        <f>_xll.RssMarket(A1826,"高値")</f>
        <v/>
      </c>
      <c r="O1826" s="4" t="e">
        <f t="shared" si="156"/>
        <v>#VALUE!</v>
      </c>
      <c r="P1826" s="21" t="str">
        <f>_xll.RssMarket(A1826,"安値")</f>
        <v/>
      </c>
      <c r="Q1826" s="4" t="e">
        <f t="shared" si="157"/>
        <v>#VALUE!</v>
      </c>
      <c r="R1826" s="21" t="str">
        <f>_xll.RssMarket(A1826,"後場始値")</f>
        <v/>
      </c>
      <c r="S1826" s="25" t="str">
        <f t="shared" si="158"/>
        <v>-</v>
      </c>
      <c r="T1826" s="7" t="str">
        <f>_xll.RssMarket(A1826,"出来高加重平均")</f>
        <v/>
      </c>
      <c r="U1826" s="4" t="e">
        <f t="shared" si="159"/>
        <v>#VALUE!</v>
      </c>
      <c r="V1826" s="21" t="str">
        <f>_xll.RssMarket(A1826,"出来高")</f>
        <v/>
      </c>
      <c r="W1826" s="21" t="str">
        <f>_xll.RssMarket(A1826,"売買代金")</f>
        <v/>
      </c>
      <c r="X1826" s="20" t="str">
        <f>_xll.RssMarket(A1826,"決算発表日")</f>
        <v/>
      </c>
      <c r="Y1826" s="26" t="str">
        <f>IF(C1826&gt;_xll.RssMarket(A1826,"年初来高値"),"○","×")</f>
        <v>×</v>
      </c>
      <c r="Z1826" s="27" t="str">
        <f>IF(C1826&lt;=_xll.RssMarket(A1826,"年初来安値"),"○","×")</f>
        <v>○</v>
      </c>
    </row>
    <row r="1827" spans="2:26" x14ac:dyDescent="0.55000000000000004">
      <c r="B1827" s="20" t="str">
        <f>_xll.RssMarket(A1827,"銘柄名称")</f>
        <v/>
      </c>
      <c r="C1827" s="21" t="str">
        <f>_xll.RssMarket(A1827,"現在値")</f>
        <v/>
      </c>
      <c r="D1827" s="20" t="str">
        <f>_xll.RssMarket(A1827,"現在値詳細時刻")</f>
        <v/>
      </c>
      <c r="E1827" s="22" t="str">
        <f>_xll.RssMarket(A1827,"前日比")</f>
        <v/>
      </c>
      <c r="F1827" s="23" t="e">
        <f>_xll.RssMarket(A1827,"前日比率")/100</f>
        <v>#VALUE!</v>
      </c>
      <c r="G1827" s="24" t="str">
        <f>IFERROR(VLOOKUP(A1827,取得元!$A$2:$F$501,2,FALSE),"-")</f>
        <v>-</v>
      </c>
      <c r="H1827" s="24" t="str">
        <f>IFERROR(VLOOKUP(A1827,取得元!$A$2:$F$501,3,FALSE),"-")</f>
        <v>-</v>
      </c>
      <c r="I1827" s="24" t="str">
        <f>IFERROR(VLOOKUP(A1827,取得元!$A$2:$F$501,4,FALSE),"-")</f>
        <v>-</v>
      </c>
      <c r="J1827" s="5" t="str">
        <f>IFERROR(VLOOKUP(A1827,取得元!$A$2:$F$501,5,FALSE),"-")</f>
        <v>-</v>
      </c>
      <c r="K1827" s="25" t="str">
        <f>IFERROR(VLOOKUP(A1827,取得元!$A$2:$F$501,6,FALSE)/100,"-")</f>
        <v>-</v>
      </c>
      <c r="L1827" s="21" t="str">
        <f>_xll.RssMarket(A1827,"始値")</f>
        <v/>
      </c>
      <c r="M1827" s="4" t="e">
        <f t="shared" si="155"/>
        <v>#VALUE!</v>
      </c>
      <c r="N1827" s="21" t="str">
        <f>_xll.RssMarket(A1827,"高値")</f>
        <v/>
      </c>
      <c r="O1827" s="4" t="e">
        <f t="shared" si="156"/>
        <v>#VALUE!</v>
      </c>
      <c r="P1827" s="21" t="str">
        <f>_xll.RssMarket(A1827,"安値")</f>
        <v/>
      </c>
      <c r="Q1827" s="4" t="e">
        <f t="shared" si="157"/>
        <v>#VALUE!</v>
      </c>
      <c r="R1827" s="21" t="str">
        <f>_xll.RssMarket(A1827,"後場始値")</f>
        <v/>
      </c>
      <c r="S1827" s="25" t="str">
        <f t="shared" si="158"/>
        <v>-</v>
      </c>
      <c r="T1827" s="7" t="str">
        <f>_xll.RssMarket(A1827,"出来高加重平均")</f>
        <v/>
      </c>
      <c r="U1827" s="4" t="e">
        <f t="shared" si="159"/>
        <v>#VALUE!</v>
      </c>
      <c r="V1827" s="21" t="str">
        <f>_xll.RssMarket(A1827,"出来高")</f>
        <v/>
      </c>
      <c r="W1827" s="21" t="str">
        <f>_xll.RssMarket(A1827,"売買代金")</f>
        <v/>
      </c>
      <c r="X1827" s="20" t="str">
        <f>_xll.RssMarket(A1827,"決算発表日")</f>
        <v/>
      </c>
      <c r="Y1827" s="26" t="str">
        <f>IF(C1827&gt;_xll.RssMarket(A1827,"年初来高値"),"○","×")</f>
        <v>×</v>
      </c>
      <c r="Z1827" s="27" t="str">
        <f>IF(C1827&lt;=_xll.RssMarket(A1827,"年初来安値"),"○","×")</f>
        <v>○</v>
      </c>
    </row>
    <row r="1828" spans="2:26" x14ac:dyDescent="0.55000000000000004">
      <c r="B1828" s="20" t="str">
        <f>_xll.RssMarket(A1828,"銘柄名称")</f>
        <v/>
      </c>
      <c r="C1828" s="21" t="str">
        <f>_xll.RssMarket(A1828,"現在値")</f>
        <v/>
      </c>
      <c r="D1828" s="20" t="str">
        <f>_xll.RssMarket(A1828,"現在値詳細時刻")</f>
        <v/>
      </c>
      <c r="E1828" s="22" t="str">
        <f>_xll.RssMarket(A1828,"前日比")</f>
        <v/>
      </c>
      <c r="F1828" s="23" t="e">
        <f>_xll.RssMarket(A1828,"前日比率")/100</f>
        <v>#VALUE!</v>
      </c>
      <c r="G1828" s="24" t="str">
        <f>IFERROR(VLOOKUP(A1828,取得元!$A$2:$F$501,2,FALSE),"-")</f>
        <v>-</v>
      </c>
      <c r="H1828" s="24" t="str">
        <f>IFERROR(VLOOKUP(A1828,取得元!$A$2:$F$501,3,FALSE),"-")</f>
        <v>-</v>
      </c>
      <c r="I1828" s="24" t="str">
        <f>IFERROR(VLOOKUP(A1828,取得元!$A$2:$F$501,4,FALSE),"-")</f>
        <v>-</v>
      </c>
      <c r="J1828" s="5" t="str">
        <f>IFERROR(VLOOKUP(A1828,取得元!$A$2:$F$501,5,FALSE),"-")</f>
        <v>-</v>
      </c>
      <c r="K1828" s="25" t="str">
        <f>IFERROR(VLOOKUP(A1828,取得元!$A$2:$F$501,6,FALSE)/100,"-")</f>
        <v>-</v>
      </c>
      <c r="L1828" s="21" t="str">
        <f>_xll.RssMarket(A1828,"始値")</f>
        <v/>
      </c>
      <c r="M1828" s="4" t="e">
        <f t="shared" si="155"/>
        <v>#VALUE!</v>
      </c>
      <c r="N1828" s="21" t="str">
        <f>_xll.RssMarket(A1828,"高値")</f>
        <v/>
      </c>
      <c r="O1828" s="4" t="e">
        <f t="shared" si="156"/>
        <v>#VALUE!</v>
      </c>
      <c r="P1828" s="21" t="str">
        <f>_xll.RssMarket(A1828,"安値")</f>
        <v/>
      </c>
      <c r="Q1828" s="4" t="e">
        <f t="shared" si="157"/>
        <v>#VALUE!</v>
      </c>
      <c r="R1828" s="21" t="str">
        <f>_xll.RssMarket(A1828,"後場始値")</f>
        <v/>
      </c>
      <c r="S1828" s="25" t="str">
        <f t="shared" si="158"/>
        <v>-</v>
      </c>
      <c r="T1828" s="7" t="str">
        <f>_xll.RssMarket(A1828,"出来高加重平均")</f>
        <v/>
      </c>
      <c r="U1828" s="4" t="e">
        <f t="shared" si="159"/>
        <v>#VALUE!</v>
      </c>
      <c r="V1828" s="21" t="str">
        <f>_xll.RssMarket(A1828,"出来高")</f>
        <v/>
      </c>
      <c r="W1828" s="21" t="str">
        <f>_xll.RssMarket(A1828,"売買代金")</f>
        <v/>
      </c>
      <c r="X1828" s="20" t="str">
        <f>_xll.RssMarket(A1828,"決算発表日")</f>
        <v/>
      </c>
      <c r="Y1828" s="26" t="str">
        <f>IF(C1828&gt;_xll.RssMarket(A1828,"年初来高値"),"○","×")</f>
        <v>×</v>
      </c>
      <c r="Z1828" s="27" t="str">
        <f>IF(C1828&lt;=_xll.RssMarket(A1828,"年初来安値"),"○","×")</f>
        <v>○</v>
      </c>
    </row>
    <row r="1829" spans="2:26" x14ac:dyDescent="0.55000000000000004">
      <c r="B1829" s="20" t="str">
        <f>_xll.RssMarket(A1829,"銘柄名称")</f>
        <v/>
      </c>
      <c r="C1829" s="21" t="str">
        <f>_xll.RssMarket(A1829,"現在値")</f>
        <v/>
      </c>
      <c r="D1829" s="20" t="str">
        <f>_xll.RssMarket(A1829,"現在値詳細時刻")</f>
        <v/>
      </c>
      <c r="E1829" s="22" t="str">
        <f>_xll.RssMarket(A1829,"前日比")</f>
        <v/>
      </c>
      <c r="F1829" s="23" t="e">
        <f>_xll.RssMarket(A1829,"前日比率")/100</f>
        <v>#VALUE!</v>
      </c>
      <c r="G1829" s="24" t="str">
        <f>IFERROR(VLOOKUP(A1829,取得元!$A$2:$F$501,2,FALSE),"-")</f>
        <v>-</v>
      </c>
      <c r="H1829" s="24" t="str">
        <f>IFERROR(VLOOKUP(A1829,取得元!$A$2:$F$501,3,FALSE),"-")</f>
        <v>-</v>
      </c>
      <c r="I1829" s="24" t="str">
        <f>IFERROR(VLOOKUP(A1829,取得元!$A$2:$F$501,4,FALSE),"-")</f>
        <v>-</v>
      </c>
      <c r="J1829" s="5" t="str">
        <f>IFERROR(VLOOKUP(A1829,取得元!$A$2:$F$501,5,FALSE),"-")</f>
        <v>-</v>
      </c>
      <c r="K1829" s="25" t="str">
        <f>IFERROR(VLOOKUP(A1829,取得元!$A$2:$F$501,6,FALSE)/100,"-")</f>
        <v>-</v>
      </c>
      <c r="L1829" s="21" t="str">
        <f>_xll.RssMarket(A1829,"始値")</f>
        <v/>
      </c>
      <c r="M1829" s="4" t="e">
        <f t="shared" si="155"/>
        <v>#VALUE!</v>
      </c>
      <c r="N1829" s="21" t="str">
        <f>_xll.RssMarket(A1829,"高値")</f>
        <v/>
      </c>
      <c r="O1829" s="4" t="e">
        <f t="shared" si="156"/>
        <v>#VALUE!</v>
      </c>
      <c r="P1829" s="21" t="str">
        <f>_xll.RssMarket(A1829,"安値")</f>
        <v/>
      </c>
      <c r="Q1829" s="4" t="e">
        <f t="shared" si="157"/>
        <v>#VALUE!</v>
      </c>
      <c r="R1829" s="21" t="str">
        <f>_xll.RssMarket(A1829,"後場始値")</f>
        <v/>
      </c>
      <c r="S1829" s="25" t="str">
        <f t="shared" si="158"/>
        <v>-</v>
      </c>
      <c r="T1829" s="7" t="str">
        <f>_xll.RssMarket(A1829,"出来高加重平均")</f>
        <v/>
      </c>
      <c r="U1829" s="4" t="e">
        <f t="shared" si="159"/>
        <v>#VALUE!</v>
      </c>
      <c r="V1829" s="21" t="str">
        <f>_xll.RssMarket(A1829,"出来高")</f>
        <v/>
      </c>
      <c r="W1829" s="21" t="str">
        <f>_xll.RssMarket(A1829,"売買代金")</f>
        <v/>
      </c>
      <c r="X1829" s="20" t="str">
        <f>_xll.RssMarket(A1829,"決算発表日")</f>
        <v/>
      </c>
      <c r="Y1829" s="26" t="str">
        <f>IF(C1829&gt;_xll.RssMarket(A1829,"年初来高値"),"○","×")</f>
        <v>×</v>
      </c>
      <c r="Z1829" s="27" t="str">
        <f>IF(C1829&lt;=_xll.RssMarket(A1829,"年初来安値"),"○","×")</f>
        <v>○</v>
      </c>
    </row>
    <row r="1830" spans="2:26" x14ac:dyDescent="0.55000000000000004">
      <c r="B1830" s="20" t="str">
        <f>_xll.RssMarket(A1830,"銘柄名称")</f>
        <v/>
      </c>
      <c r="C1830" s="21" t="str">
        <f>_xll.RssMarket(A1830,"現在値")</f>
        <v/>
      </c>
      <c r="D1830" s="20" t="str">
        <f>_xll.RssMarket(A1830,"現在値詳細時刻")</f>
        <v/>
      </c>
      <c r="E1830" s="22" t="str">
        <f>_xll.RssMarket(A1830,"前日比")</f>
        <v/>
      </c>
      <c r="F1830" s="23" t="e">
        <f>_xll.RssMarket(A1830,"前日比率")/100</f>
        <v>#VALUE!</v>
      </c>
      <c r="G1830" s="24" t="str">
        <f>IFERROR(VLOOKUP(A1830,取得元!$A$2:$F$501,2,FALSE),"-")</f>
        <v>-</v>
      </c>
      <c r="H1830" s="24" t="str">
        <f>IFERROR(VLOOKUP(A1830,取得元!$A$2:$F$501,3,FALSE),"-")</f>
        <v>-</v>
      </c>
      <c r="I1830" s="24" t="str">
        <f>IFERROR(VLOOKUP(A1830,取得元!$A$2:$F$501,4,FALSE),"-")</f>
        <v>-</v>
      </c>
      <c r="J1830" s="5" t="str">
        <f>IFERROR(VLOOKUP(A1830,取得元!$A$2:$F$501,5,FALSE),"-")</f>
        <v>-</v>
      </c>
      <c r="K1830" s="25" t="str">
        <f>IFERROR(VLOOKUP(A1830,取得元!$A$2:$F$501,6,FALSE)/100,"-")</f>
        <v>-</v>
      </c>
      <c r="L1830" s="21" t="str">
        <f>_xll.RssMarket(A1830,"始値")</f>
        <v/>
      </c>
      <c r="M1830" s="4" t="e">
        <f t="shared" si="155"/>
        <v>#VALUE!</v>
      </c>
      <c r="N1830" s="21" t="str">
        <f>_xll.RssMarket(A1830,"高値")</f>
        <v/>
      </c>
      <c r="O1830" s="4" t="e">
        <f t="shared" si="156"/>
        <v>#VALUE!</v>
      </c>
      <c r="P1830" s="21" t="str">
        <f>_xll.RssMarket(A1830,"安値")</f>
        <v/>
      </c>
      <c r="Q1830" s="4" t="e">
        <f t="shared" si="157"/>
        <v>#VALUE!</v>
      </c>
      <c r="R1830" s="21" t="str">
        <f>_xll.RssMarket(A1830,"後場始値")</f>
        <v/>
      </c>
      <c r="S1830" s="25" t="str">
        <f t="shared" si="158"/>
        <v>-</v>
      </c>
      <c r="T1830" s="7" t="str">
        <f>_xll.RssMarket(A1830,"出来高加重平均")</f>
        <v/>
      </c>
      <c r="U1830" s="4" t="e">
        <f t="shared" si="159"/>
        <v>#VALUE!</v>
      </c>
      <c r="V1830" s="21" t="str">
        <f>_xll.RssMarket(A1830,"出来高")</f>
        <v/>
      </c>
      <c r="W1830" s="21" t="str">
        <f>_xll.RssMarket(A1830,"売買代金")</f>
        <v/>
      </c>
      <c r="X1830" s="20" t="str">
        <f>_xll.RssMarket(A1830,"決算発表日")</f>
        <v/>
      </c>
      <c r="Y1830" s="26" t="str">
        <f>IF(C1830&gt;_xll.RssMarket(A1830,"年初来高値"),"○","×")</f>
        <v>×</v>
      </c>
      <c r="Z1830" s="27" t="str">
        <f>IF(C1830&lt;=_xll.RssMarket(A1830,"年初来安値"),"○","×")</f>
        <v>○</v>
      </c>
    </row>
    <row r="1831" spans="2:26" x14ac:dyDescent="0.55000000000000004">
      <c r="B1831" s="20" t="str">
        <f>_xll.RssMarket(A1831,"銘柄名称")</f>
        <v/>
      </c>
      <c r="C1831" s="21" t="str">
        <f>_xll.RssMarket(A1831,"現在値")</f>
        <v/>
      </c>
      <c r="D1831" s="20" t="str">
        <f>_xll.RssMarket(A1831,"現在値詳細時刻")</f>
        <v/>
      </c>
      <c r="E1831" s="22" t="str">
        <f>_xll.RssMarket(A1831,"前日比")</f>
        <v/>
      </c>
      <c r="F1831" s="23" t="e">
        <f>_xll.RssMarket(A1831,"前日比率")/100</f>
        <v>#VALUE!</v>
      </c>
      <c r="G1831" s="24" t="str">
        <f>IFERROR(VLOOKUP(A1831,取得元!$A$2:$F$501,2,FALSE),"-")</f>
        <v>-</v>
      </c>
      <c r="H1831" s="24" t="str">
        <f>IFERROR(VLOOKUP(A1831,取得元!$A$2:$F$501,3,FALSE),"-")</f>
        <v>-</v>
      </c>
      <c r="I1831" s="24" t="str">
        <f>IFERROR(VLOOKUP(A1831,取得元!$A$2:$F$501,4,FALSE),"-")</f>
        <v>-</v>
      </c>
      <c r="J1831" s="5" t="str">
        <f>IFERROR(VLOOKUP(A1831,取得元!$A$2:$F$501,5,FALSE),"-")</f>
        <v>-</v>
      </c>
      <c r="K1831" s="25" t="str">
        <f>IFERROR(VLOOKUP(A1831,取得元!$A$2:$F$501,6,FALSE)/100,"-")</f>
        <v>-</v>
      </c>
      <c r="L1831" s="21" t="str">
        <f>_xll.RssMarket(A1831,"始値")</f>
        <v/>
      </c>
      <c r="M1831" s="4" t="e">
        <f t="shared" si="155"/>
        <v>#VALUE!</v>
      </c>
      <c r="N1831" s="21" t="str">
        <f>_xll.RssMarket(A1831,"高値")</f>
        <v/>
      </c>
      <c r="O1831" s="4" t="e">
        <f t="shared" si="156"/>
        <v>#VALUE!</v>
      </c>
      <c r="P1831" s="21" t="str">
        <f>_xll.RssMarket(A1831,"安値")</f>
        <v/>
      </c>
      <c r="Q1831" s="4" t="e">
        <f t="shared" si="157"/>
        <v>#VALUE!</v>
      </c>
      <c r="R1831" s="21" t="str">
        <f>_xll.RssMarket(A1831,"後場始値")</f>
        <v/>
      </c>
      <c r="S1831" s="25" t="str">
        <f t="shared" si="158"/>
        <v>-</v>
      </c>
      <c r="T1831" s="7" t="str">
        <f>_xll.RssMarket(A1831,"出来高加重平均")</f>
        <v/>
      </c>
      <c r="U1831" s="4" t="e">
        <f t="shared" si="159"/>
        <v>#VALUE!</v>
      </c>
      <c r="V1831" s="21" t="str">
        <f>_xll.RssMarket(A1831,"出来高")</f>
        <v/>
      </c>
      <c r="W1831" s="21" t="str">
        <f>_xll.RssMarket(A1831,"売買代金")</f>
        <v/>
      </c>
      <c r="X1831" s="20" t="str">
        <f>_xll.RssMarket(A1831,"決算発表日")</f>
        <v/>
      </c>
      <c r="Y1831" s="26" t="str">
        <f>IF(C1831&gt;_xll.RssMarket(A1831,"年初来高値"),"○","×")</f>
        <v>×</v>
      </c>
      <c r="Z1831" s="27" t="str">
        <f>IF(C1831&lt;=_xll.RssMarket(A1831,"年初来安値"),"○","×")</f>
        <v>○</v>
      </c>
    </row>
    <row r="1832" spans="2:26" x14ac:dyDescent="0.55000000000000004">
      <c r="B1832" s="20" t="str">
        <f>_xll.RssMarket(A1832,"銘柄名称")</f>
        <v/>
      </c>
      <c r="C1832" s="21" t="str">
        <f>_xll.RssMarket(A1832,"現在値")</f>
        <v/>
      </c>
      <c r="D1832" s="20" t="str">
        <f>_xll.RssMarket(A1832,"現在値詳細時刻")</f>
        <v/>
      </c>
      <c r="E1832" s="22" t="str">
        <f>_xll.RssMarket(A1832,"前日比")</f>
        <v/>
      </c>
      <c r="F1832" s="23" t="e">
        <f>_xll.RssMarket(A1832,"前日比率")/100</f>
        <v>#VALUE!</v>
      </c>
      <c r="G1832" s="24" t="str">
        <f>IFERROR(VLOOKUP(A1832,取得元!$A$2:$F$501,2,FALSE),"-")</f>
        <v>-</v>
      </c>
      <c r="H1832" s="24" t="str">
        <f>IFERROR(VLOOKUP(A1832,取得元!$A$2:$F$501,3,FALSE),"-")</f>
        <v>-</v>
      </c>
      <c r="I1832" s="24" t="str">
        <f>IFERROR(VLOOKUP(A1832,取得元!$A$2:$F$501,4,FALSE),"-")</f>
        <v>-</v>
      </c>
      <c r="J1832" s="5" t="str">
        <f>IFERROR(VLOOKUP(A1832,取得元!$A$2:$F$501,5,FALSE),"-")</f>
        <v>-</v>
      </c>
      <c r="K1832" s="25" t="str">
        <f>IFERROR(VLOOKUP(A1832,取得元!$A$2:$F$501,6,FALSE)/100,"-")</f>
        <v>-</v>
      </c>
      <c r="L1832" s="21" t="str">
        <f>_xll.RssMarket(A1832,"始値")</f>
        <v/>
      </c>
      <c r="M1832" s="4" t="e">
        <f t="shared" si="155"/>
        <v>#VALUE!</v>
      </c>
      <c r="N1832" s="21" t="str">
        <f>_xll.RssMarket(A1832,"高値")</f>
        <v/>
      </c>
      <c r="O1832" s="4" t="e">
        <f t="shared" si="156"/>
        <v>#VALUE!</v>
      </c>
      <c r="P1832" s="21" t="str">
        <f>_xll.RssMarket(A1832,"安値")</f>
        <v/>
      </c>
      <c r="Q1832" s="4" t="e">
        <f t="shared" si="157"/>
        <v>#VALUE!</v>
      </c>
      <c r="R1832" s="21" t="str">
        <f>_xll.RssMarket(A1832,"後場始値")</f>
        <v/>
      </c>
      <c r="S1832" s="25" t="str">
        <f t="shared" si="158"/>
        <v>-</v>
      </c>
      <c r="T1832" s="7" t="str">
        <f>_xll.RssMarket(A1832,"出来高加重平均")</f>
        <v/>
      </c>
      <c r="U1832" s="4" t="e">
        <f t="shared" si="159"/>
        <v>#VALUE!</v>
      </c>
      <c r="V1832" s="21" t="str">
        <f>_xll.RssMarket(A1832,"出来高")</f>
        <v/>
      </c>
      <c r="W1832" s="21" t="str">
        <f>_xll.RssMarket(A1832,"売買代金")</f>
        <v/>
      </c>
      <c r="X1832" s="20" t="str">
        <f>_xll.RssMarket(A1832,"決算発表日")</f>
        <v/>
      </c>
      <c r="Y1832" s="26" t="str">
        <f>IF(C1832&gt;_xll.RssMarket(A1832,"年初来高値"),"○","×")</f>
        <v>×</v>
      </c>
      <c r="Z1832" s="27" t="str">
        <f>IF(C1832&lt;=_xll.RssMarket(A1832,"年初来安値"),"○","×")</f>
        <v>○</v>
      </c>
    </row>
    <row r="1833" spans="2:26" x14ac:dyDescent="0.55000000000000004">
      <c r="B1833" s="20" t="str">
        <f>_xll.RssMarket(A1833,"銘柄名称")</f>
        <v/>
      </c>
      <c r="C1833" s="21" t="str">
        <f>_xll.RssMarket(A1833,"現在値")</f>
        <v/>
      </c>
      <c r="D1833" s="20" t="str">
        <f>_xll.RssMarket(A1833,"現在値詳細時刻")</f>
        <v/>
      </c>
      <c r="E1833" s="22" t="str">
        <f>_xll.RssMarket(A1833,"前日比")</f>
        <v/>
      </c>
      <c r="F1833" s="23" t="e">
        <f>_xll.RssMarket(A1833,"前日比率")/100</f>
        <v>#VALUE!</v>
      </c>
      <c r="G1833" s="24" t="str">
        <f>IFERROR(VLOOKUP(A1833,取得元!$A$2:$F$501,2,FALSE),"-")</f>
        <v>-</v>
      </c>
      <c r="H1833" s="24" t="str">
        <f>IFERROR(VLOOKUP(A1833,取得元!$A$2:$F$501,3,FALSE),"-")</f>
        <v>-</v>
      </c>
      <c r="I1833" s="24" t="str">
        <f>IFERROR(VLOOKUP(A1833,取得元!$A$2:$F$501,4,FALSE),"-")</f>
        <v>-</v>
      </c>
      <c r="J1833" s="5" t="str">
        <f>IFERROR(VLOOKUP(A1833,取得元!$A$2:$F$501,5,FALSE),"-")</f>
        <v>-</v>
      </c>
      <c r="K1833" s="25" t="str">
        <f>IFERROR(VLOOKUP(A1833,取得元!$A$2:$F$501,6,FALSE)/100,"-")</f>
        <v>-</v>
      </c>
      <c r="L1833" s="21" t="str">
        <f>_xll.RssMarket(A1833,"始値")</f>
        <v/>
      </c>
      <c r="M1833" s="4" t="e">
        <f t="shared" si="155"/>
        <v>#VALUE!</v>
      </c>
      <c r="N1833" s="21" t="str">
        <f>_xll.RssMarket(A1833,"高値")</f>
        <v/>
      </c>
      <c r="O1833" s="4" t="e">
        <f t="shared" si="156"/>
        <v>#VALUE!</v>
      </c>
      <c r="P1833" s="21" t="str">
        <f>_xll.RssMarket(A1833,"安値")</f>
        <v/>
      </c>
      <c r="Q1833" s="4" t="e">
        <f t="shared" si="157"/>
        <v>#VALUE!</v>
      </c>
      <c r="R1833" s="21" t="str">
        <f>_xll.RssMarket(A1833,"後場始値")</f>
        <v/>
      </c>
      <c r="S1833" s="25" t="str">
        <f t="shared" si="158"/>
        <v>-</v>
      </c>
      <c r="T1833" s="7" t="str">
        <f>_xll.RssMarket(A1833,"出来高加重平均")</f>
        <v/>
      </c>
      <c r="U1833" s="4" t="e">
        <f t="shared" si="159"/>
        <v>#VALUE!</v>
      </c>
      <c r="V1833" s="21" t="str">
        <f>_xll.RssMarket(A1833,"出来高")</f>
        <v/>
      </c>
      <c r="W1833" s="21" t="str">
        <f>_xll.RssMarket(A1833,"売買代金")</f>
        <v/>
      </c>
      <c r="X1833" s="20" t="str">
        <f>_xll.RssMarket(A1833,"決算発表日")</f>
        <v/>
      </c>
      <c r="Y1833" s="26" t="str">
        <f>IF(C1833&gt;_xll.RssMarket(A1833,"年初来高値"),"○","×")</f>
        <v>×</v>
      </c>
      <c r="Z1833" s="27" t="str">
        <f>IF(C1833&lt;=_xll.RssMarket(A1833,"年初来安値"),"○","×")</f>
        <v>○</v>
      </c>
    </row>
    <row r="1834" spans="2:26" x14ac:dyDescent="0.55000000000000004">
      <c r="B1834" s="20" t="str">
        <f>_xll.RssMarket(A1834,"銘柄名称")</f>
        <v/>
      </c>
      <c r="C1834" s="21" t="str">
        <f>_xll.RssMarket(A1834,"現在値")</f>
        <v/>
      </c>
      <c r="D1834" s="20" t="str">
        <f>_xll.RssMarket(A1834,"現在値詳細時刻")</f>
        <v/>
      </c>
      <c r="E1834" s="22" t="str">
        <f>_xll.RssMarket(A1834,"前日比")</f>
        <v/>
      </c>
      <c r="F1834" s="23" t="e">
        <f>_xll.RssMarket(A1834,"前日比率")/100</f>
        <v>#VALUE!</v>
      </c>
      <c r="G1834" s="24" t="str">
        <f>IFERROR(VLOOKUP(A1834,取得元!$A$2:$F$501,2,FALSE),"-")</f>
        <v>-</v>
      </c>
      <c r="H1834" s="24" t="str">
        <f>IFERROR(VLOOKUP(A1834,取得元!$A$2:$F$501,3,FALSE),"-")</f>
        <v>-</v>
      </c>
      <c r="I1834" s="24" t="str">
        <f>IFERROR(VLOOKUP(A1834,取得元!$A$2:$F$501,4,FALSE),"-")</f>
        <v>-</v>
      </c>
      <c r="J1834" s="5" t="str">
        <f>IFERROR(VLOOKUP(A1834,取得元!$A$2:$F$501,5,FALSE),"-")</f>
        <v>-</v>
      </c>
      <c r="K1834" s="25" t="str">
        <f>IFERROR(VLOOKUP(A1834,取得元!$A$2:$F$501,6,FALSE)/100,"-")</f>
        <v>-</v>
      </c>
      <c r="L1834" s="21" t="str">
        <f>_xll.RssMarket(A1834,"始値")</f>
        <v/>
      </c>
      <c r="M1834" s="4" t="e">
        <f t="shared" si="155"/>
        <v>#VALUE!</v>
      </c>
      <c r="N1834" s="21" t="str">
        <f>_xll.RssMarket(A1834,"高値")</f>
        <v/>
      </c>
      <c r="O1834" s="4" t="e">
        <f t="shared" si="156"/>
        <v>#VALUE!</v>
      </c>
      <c r="P1834" s="21" t="str">
        <f>_xll.RssMarket(A1834,"安値")</f>
        <v/>
      </c>
      <c r="Q1834" s="4" t="e">
        <f t="shared" si="157"/>
        <v>#VALUE!</v>
      </c>
      <c r="R1834" s="21" t="str">
        <f>_xll.RssMarket(A1834,"後場始値")</f>
        <v/>
      </c>
      <c r="S1834" s="25" t="str">
        <f t="shared" si="158"/>
        <v>-</v>
      </c>
      <c r="T1834" s="7" t="str">
        <f>_xll.RssMarket(A1834,"出来高加重平均")</f>
        <v/>
      </c>
      <c r="U1834" s="4" t="e">
        <f t="shared" si="159"/>
        <v>#VALUE!</v>
      </c>
      <c r="V1834" s="21" t="str">
        <f>_xll.RssMarket(A1834,"出来高")</f>
        <v/>
      </c>
      <c r="W1834" s="21" t="str">
        <f>_xll.RssMarket(A1834,"売買代金")</f>
        <v/>
      </c>
      <c r="X1834" s="20" t="str">
        <f>_xll.RssMarket(A1834,"決算発表日")</f>
        <v/>
      </c>
      <c r="Y1834" s="26" t="str">
        <f>IF(C1834&gt;_xll.RssMarket(A1834,"年初来高値"),"○","×")</f>
        <v>×</v>
      </c>
      <c r="Z1834" s="27" t="str">
        <f>IF(C1834&lt;=_xll.RssMarket(A1834,"年初来安値"),"○","×")</f>
        <v>○</v>
      </c>
    </row>
    <row r="1835" spans="2:26" x14ac:dyDescent="0.55000000000000004">
      <c r="B1835" s="20" t="str">
        <f>_xll.RssMarket(A1835,"銘柄名称")</f>
        <v/>
      </c>
      <c r="C1835" s="21" t="str">
        <f>_xll.RssMarket(A1835,"現在値")</f>
        <v/>
      </c>
      <c r="D1835" s="20" t="str">
        <f>_xll.RssMarket(A1835,"現在値詳細時刻")</f>
        <v/>
      </c>
      <c r="E1835" s="22" t="str">
        <f>_xll.RssMarket(A1835,"前日比")</f>
        <v/>
      </c>
      <c r="F1835" s="23" t="e">
        <f>_xll.RssMarket(A1835,"前日比率")/100</f>
        <v>#VALUE!</v>
      </c>
      <c r="G1835" s="24" t="str">
        <f>IFERROR(VLOOKUP(A1835,取得元!$A$2:$F$501,2,FALSE),"-")</f>
        <v>-</v>
      </c>
      <c r="H1835" s="24" t="str">
        <f>IFERROR(VLOOKUP(A1835,取得元!$A$2:$F$501,3,FALSE),"-")</f>
        <v>-</v>
      </c>
      <c r="I1835" s="24" t="str">
        <f>IFERROR(VLOOKUP(A1835,取得元!$A$2:$F$501,4,FALSE),"-")</f>
        <v>-</v>
      </c>
      <c r="J1835" s="5" t="str">
        <f>IFERROR(VLOOKUP(A1835,取得元!$A$2:$F$501,5,FALSE),"-")</f>
        <v>-</v>
      </c>
      <c r="K1835" s="25" t="str">
        <f>IFERROR(VLOOKUP(A1835,取得元!$A$2:$F$501,6,FALSE)/100,"-")</f>
        <v>-</v>
      </c>
      <c r="L1835" s="21" t="str">
        <f>_xll.RssMarket(A1835,"始値")</f>
        <v/>
      </c>
      <c r="M1835" s="4" t="e">
        <f t="shared" si="155"/>
        <v>#VALUE!</v>
      </c>
      <c r="N1835" s="21" t="str">
        <f>_xll.RssMarket(A1835,"高値")</f>
        <v/>
      </c>
      <c r="O1835" s="4" t="e">
        <f t="shared" si="156"/>
        <v>#VALUE!</v>
      </c>
      <c r="P1835" s="21" t="str">
        <f>_xll.RssMarket(A1835,"安値")</f>
        <v/>
      </c>
      <c r="Q1835" s="4" t="e">
        <f t="shared" si="157"/>
        <v>#VALUE!</v>
      </c>
      <c r="R1835" s="21" t="str">
        <f>_xll.RssMarket(A1835,"後場始値")</f>
        <v/>
      </c>
      <c r="S1835" s="25" t="str">
        <f t="shared" si="158"/>
        <v>-</v>
      </c>
      <c r="T1835" s="7" t="str">
        <f>_xll.RssMarket(A1835,"出来高加重平均")</f>
        <v/>
      </c>
      <c r="U1835" s="4" t="e">
        <f t="shared" si="159"/>
        <v>#VALUE!</v>
      </c>
      <c r="V1835" s="21" t="str">
        <f>_xll.RssMarket(A1835,"出来高")</f>
        <v/>
      </c>
      <c r="W1835" s="21" t="str">
        <f>_xll.RssMarket(A1835,"売買代金")</f>
        <v/>
      </c>
      <c r="X1835" s="20" t="str">
        <f>_xll.RssMarket(A1835,"決算発表日")</f>
        <v/>
      </c>
      <c r="Y1835" s="26" t="str">
        <f>IF(C1835&gt;_xll.RssMarket(A1835,"年初来高値"),"○","×")</f>
        <v>×</v>
      </c>
      <c r="Z1835" s="27" t="str">
        <f>IF(C1835&lt;=_xll.RssMarket(A1835,"年初来安値"),"○","×")</f>
        <v>○</v>
      </c>
    </row>
    <row r="1836" spans="2:26" x14ac:dyDescent="0.55000000000000004">
      <c r="B1836" s="20" t="str">
        <f>_xll.RssMarket(A1836,"銘柄名称")</f>
        <v/>
      </c>
      <c r="C1836" s="21" t="str">
        <f>_xll.RssMarket(A1836,"現在値")</f>
        <v/>
      </c>
      <c r="D1836" s="20" t="str">
        <f>_xll.RssMarket(A1836,"現在値詳細時刻")</f>
        <v/>
      </c>
      <c r="E1836" s="22" t="str">
        <f>_xll.RssMarket(A1836,"前日比")</f>
        <v/>
      </c>
      <c r="F1836" s="23" t="e">
        <f>_xll.RssMarket(A1836,"前日比率")/100</f>
        <v>#VALUE!</v>
      </c>
      <c r="G1836" s="24" t="str">
        <f>IFERROR(VLOOKUP(A1836,取得元!$A$2:$F$501,2,FALSE),"-")</f>
        <v>-</v>
      </c>
      <c r="H1836" s="24" t="str">
        <f>IFERROR(VLOOKUP(A1836,取得元!$A$2:$F$501,3,FALSE),"-")</f>
        <v>-</v>
      </c>
      <c r="I1836" s="24" t="str">
        <f>IFERROR(VLOOKUP(A1836,取得元!$A$2:$F$501,4,FALSE),"-")</f>
        <v>-</v>
      </c>
      <c r="J1836" s="5" t="str">
        <f>IFERROR(VLOOKUP(A1836,取得元!$A$2:$F$501,5,FALSE),"-")</f>
        <v>-</v>
      </c>
      <c r="K1836" s="25" t="str">
        <f>IFERROR(VLOOKUP(A1836,取得元!$A$2:$F$501,6,FALSE)/100,"-")</f>
        <v>-</v>
      </c>
      <c r="L1836" s="21" t="str">
        <f>_xll.RssMarket(A1836,"始値")</f>
        <v/>
      </c>
      <c r="M1836" s="4" t="e">
        <f t="shared" si="155"/>
        <v>#VALUE!</v>
      </c>
      <c r="N1836" s="21" t="str">
        <f>_xll.RssMarket(A1836,"高値")</f>
        <v/>
      </c>
      <c r="O1836" s="4" t="e">
        <f t="shared" si="156"/>
        <v>#VALUE!</v>
      </c>
      <c r="P1836" s="21" t="str">
        <f>_xll.RssMarket(A1836,"安値")</f>
        <v/>
      </c>
      <c r="Q1836" s="4" t="e">
        <f t="shared" si="157"/>
        <v>#VALUE!</v>
      </c>
      <c r="R1836" s="21" t="str">
        <f>_xll.RssMarket(A1836,"後場始値")</f>
        <v/>
      </c>
      <c r="S1836" s="25" t="str">
        <f t="shared" si="158"/>
        <v>-</v>
      </c>
      <c r="T1836" s="7" t="str">
        <f>_xll.RssMarket(A1836,"出来高加重平均")</f>
        <v/>
      </c>
      <c r="U1836" s="4" t="e">
        <f t="shared" si="159"/>
        <v>#VALUE!</v>
      </c>
      <c r="V1836" s="21" t="str">
        <f>_xll.RssMarket(A1836,"出来高")</f>
        <v/>
      </c>
      <c r="W1836" s="21" t="str">
        <f>_xll.RssMarket(A1836,"売買代金")</f>
        <v/>
      </c>
      <c r="X1836" s="20" t="str">
        <f>_xll.RssMarket(A1836,"決算発表日")</f>
        <v/>
      </c>
      <c r="Y1836" s="26" t="str">
        <f>IF(C1836&gt;_xll.RssMarket(A1836,"年初来高値"),"○","×")</f>
        <v>×</v>
      </c>
      <c r="Z1836" s="27" t="str">
        <f>IF(C1836&lt;=_xll.RssMarket(A1836,"年初来安値"),"○","×")</f>
        <v>○</v>
      </c>
    </row>
    <row r="1837" spans="2:26" x14ac:dyDescent="0.55000000000000004">
      <c r="B1837" s="20" t="str">
        <f>_xll.RssMarket(A1837,"銘柄名称")</f>
        <v/>
      </c>
      <c r="C1837" s="21" t="str">
        <f>_xll.RssMarket(A1837,"現在値")</f>
        <v/>
      </c>
      <c r="D1837" s="20" t="str">
        <f>_xll.RssMarket(A1837,"現在値詳細時刻")</f>
        <v/>
      </c>
      <c r="E1837" s="22" t="str">
        <f>_xll.RssMarket(A1837,"前日比")</f>
        <v/>
      </c>
      <c r="F1837" s="23" t="e">
        <f>_xll.RssMarket(A1837,"前日比率")/100</f>
        <v>#VALUE!</v>
      </c>
      <c r="G1837" s="24" t="str">
        <f>IFERROR(VLOOKUP(A1837,取得元!$A$2:$F$501,2,FALSE),"-")</f>
        <v>-</v>
      </c>
      <c r="H1837" s="24" t="str">
        <f>IFERROR(VLOOKUP(A1837,取得元!$A$2:$F$501,3,FALSE),"-")</f>
        <v>-</v>
      </c>
      <c r="I1837" s="24" t="str">
        <f>IFERROR(VLOOKUP(A1837,取得元!$A$2:$F$501,4,FALSE),"-")</f>
        <v>-</v>
      </c>
      <c r="J1837" s="5" t="str">
        <f>IFERROR(VLOOKUP(A1837,取得元!$A$2:$F$501,5,FALSE),"-")</f>
        <v>-</v>
      </c>
      <c r="K1837" s="25" t="str">
        <f>IFERROR(VLOOKUP(A1837,取得元!$A$2:$F$501,6,FALSE)/100,"-")</f>
        <v>-</v>
      </c>
      <c r="L1837" s="21" t="str">
        <f>_xll.RssMarket(A1837,"始値")</f>
        <v/>
      </c>
      <c r="M1837" s="4" t="e">
        <f t="shared" si="155"/>
        <v>#VALUE!</v>
      </c>
      <c r="N1837" s="21" t="str">
        <f>_xll.RssMarket(A1837,"高値")</f>
        <v/>
      </c>
      <c r="O1837" s="4" t="e">
        <f t="shared" si="156"/>
        <v>#VALUE!</v>
      </c>
      <c r="P1837" s="21" t="str">
        <f>_xll.RssMarket(A1837,"安値")</f>
        <v/>
      </c>
      <c r="Q1837" s="4" t="e">
        <f t="shared" si="157"/>
        <v>#VALUE!</v>
      </c>
      <c r="R1837" s="21" t="str">
        <f>_xll.RssMarket(A1837,"後場始値")</f>
        <v/>
      </c>
      <c r="S1837" s="25" t="str">
        <f t="shared" si="158"/>
        <v>-</v>
      </c>
      <c r="T1837" s="7" t="str">
        <f>_xll.RssMarket(A1837,"出来高加重平均")</f>
        <v/>
      </c>
      <c r="U1837" s="4" t="e">
        <f t="shared" si="159"/>
        <v>#VALUE!</v>
      </c>
      <c r="V1837" s="21" t="str">
        <f>_xll.RssMarket(A1837,"出来高")</f>
        <v/>
      </c>
      <c r="W1837" s="21" t="str">
        <f>_xll.RssMarket(A1837,"売買代金")</f>
        <v/>
      </c>
      <c r="X1837" s="20" t="str">
        <f>_xll.RssMarket(A1837,"決算発表日")</f>
        <v/>
      </c>
      <c r="Y1837" s="26" t="str">
        <f>IF(C1837&gt;_xll.RssMarket(A1837,"年初来高値"),"○","×")</f>
        <v>×</v>
      </c>
      <c r="Z1837" s="27" t="str">
        <f>IF(C1837&lt;=_xll.RssMarket(A1837,"年初来安値"),"○","×")</f>
        <v>○</v>
      </c>
    </row>
    <row r="1838" spans="2:26" x14ac:dyDescent="0.55000000000000004">
      <c r="B1838" s="20" t="str">
        <f>_xll.RssMarket(A1838,"銘柄名称")</f>
        <v/>
      </c>
      <c r="C1838" s="21" t="str">
        <f>_xll.RssMarket(A1838,"現在値")</f>
        <v/>
      </c>
      <c r="D1838" s="20" t="str">
        <f>_xll.RssMarket(A1838,"現在値詳細時刻")</f>
        <v/>
      </c>
      <c r="E1838" s="22" t="str">
        <f>_xll.RssMarket(A1838,"前日比")</f>
        <v/>
      </c>
      <c r="F1838" s="23" t="e">
        <f>_xll.RssMarket(A1838,"前日比率")/100</f>
        <v>#VALUE!</v>
      </c>
      <c r="G1838" s="24" t="str">
        <f>IFERROR(VLOOKUP(A1838,取得元!$A$2:$F$501,2,FALSE),"-")</f>
        <v>-</v>
      </c>
      <c r="H1838" s="24" t="str">
        <f>IFERROR(VLOOKUP(A1838,取得元!$A$2:$F$501,3,FALSE),"-")</f>
        <v>-</v>
      </c>
      <c r="I1838" s="24" t="str">
        <f>IFERROR(VLOOKUP(A1838,取得元!$A$2:$F$501,4,FALSE),"-")</f>
        <v>-</v>
      </c>
      <c r="J1838" s="5" t="str">
        <f>IFERROR(VLOOKUP(A1838,取得元!$A$2:$F$501,5,FALSE),"-")</f>
        <v>-</v>
      </c>
      <c r="K1838" s="25" t="str">
        <f>IFERROR(VLOOKUP(A1838,取得元!$A$2:$F$501,6,FALSE)/100,"-")</f>
        <v>-</v>
      </c>
      <c r="L1838" s="21" t="str">
        <f>_xll.RssMarket(A1838,"始値")</f>
        <v/>
      </c>
      <c r="M1838" s="4" t="e">
        <f t="shared" si="155"/>
        <v>#VALUE!</v>
      </c>
      <c r="N1838" s="21" t="str">
        <f>_xll.RssMarket(A1838,"高値")</f>
        <v/>
      </c>
      <c r="O1838" s="4" t="e">
        <f t="shared" si="156"/>
        <v>#VALUE!</v>
      </c>
      <c r="P1838" s="21" t="str">
        <f>_xll.RssMarket(A1838,"安値")</f>
        <v/>
      </c>
      <c r="Q1838" s="4" t="e">
        <f t="shared" si="157"/>
        <v>#VALUE!</v>
      </c>
      <c r="R1838" s="21" t="str">
        <f>_xll.RssMarket(A1838,"後場始値")</f>
        <v/>
      </c>
      <c r="S1838" s="25" t="str">
        <f t="shared" si="158"/>
        <v>-</v>
      </c>
      <c r="T1838" s="7" t="str">
        <f>_xll.RssMarket(A1838,"出来高加重平均")</f>
        <v/>
      </c>
      <c r="U1838" s="4" t="e">
        <f t="shared" si="159"/>
        <v>#VALUE!</v>
      </c>
      <c r="V1838" s="21" t="str">
        <f>_xll.RssMarket(A1838,"出来高")</f>
        <v/>
      </c>
      <c r="W1838" s="21" t="str">
        <f>_xll.RssMarket(A1838,"売買代金")</f>
        <v/>
      </c>
      <c r="X1838" s="20" t="str">
        <f>_xll.RssMarket(A1838,"決算発表日")</f>
        <v/>
      </c>
      <c r="Y1838" s="26" t="str">
        <f>IF(C1838&gt;_xll.RssMarket(A1838,"年初来高値"),"○","×")</f>
        <v>×</v>
      </c>
      <c r="Z1838" s="27" t="str">
        <f>IF(C1838&lt;=_xll.RssMarket(A1838,"年初来安値"),"○","×")</f>
        <v>○</v>
      </c>
    </row>
    <row r="1839" spans="2:26" x14ac:dyDescent="0.55000000000000004">
      <c r="B1839" s="20" t="str">
        <f>_xll.RssMarket(A1839,"銘柄名称")</f>
        <v/>
      </c>
      <c r="C1839" s="21" t="str">
        <f>_xll.RssMarket(A1839,"現在値")</f>
        <v/>
      </c>
      <c r="D1839" s="20" t="str">
        <f>_xll.RssMarket(A1839,"現在値詳細時刻")</f>
        <v/>
      </c>
      <c r="E1839" s="22" t="str">
        <f>_xll.RssMarket(A1839,"前日比")</f>
        <v/>
      </c>
      <c r="F1839" s="23" t="e">
        <f>_xll.RssMarket(A1839,"前日比率")/100</f>
        <v>#VALUE!</v>
      </c>
      <c r="G1839" s="24" t="str">
        <f>IFERROR(VLOOKUP(A1839,取得元!$A$2:$F$501,2,FALSE),"-")</f>
        <v>-</v>
      </c>
      <c r="H1839" s="24" t="str">
        <f>IFERROR(VLOOKUP(A1839,取得元!$A$2:$F$501,3,FALSE),"-")</f>
        <v>-</v>
      </c>
      <c r="I1839" s="24" t="str">
        <f>IFERROR(VLOOKUP(A1839,取得元!$A$2:$F$501,4,FALSE),"-")</f>
        <v>-</v>
      </c>
      <c r="J1839" s="5" t="str">
        <f>IFERROR(VLOOKUP(A1839,取得元!$A$2:$F$501,5,FALSE),"-")</f>
        <v>-</v>
      </c>
      <c r="K1839" s="25" t="str">
        <f>IFERROR(VLOOKUP(A1839,取得元!$A$2:$F$501,6,FALSE)/100,"-")</f>
        <v>-</v>
      </c>
      <c r="L1839" s="21" t="str">
        <f>_xll.RssMarket(A1839,"始値")</f>
        <v/>
      </c>
      <c r="M1839" s="4" t="e">
        <f t="shared" si="155"/>
        <v>#VALUE!</v>
      </c>
      <c r="N1839" s="21" t="str">
        <f>_xll.RssMarket(A1839,"高値")</f>
        <v/>
      </c>
      <c r="O1839" s="4" t="e">
        <f t="shared" si="156"/>
        <v>#VALUE!</v>
      </c>
      <c r="P1839" s="21" t="str">
        <f>_xll.RssMarket(A1839,"安値")</f>
        <v/>
      </c>
      <c r="Q1839" s="4" t="e">
        <f t="shared" si="157"/>
        <v>#VALUE!</v>
      </c>
      <c r="R1839" s="21" t="str">
        <f>_xll.RssMarket(A1839,"後場始値")</f>
        <v/>
      </c>
      <c r="S1839" s="25" t="str">
        <f t="shared" si="158"/>
        <v>-</v>
      </c>
      <c r="T1839" s="7" t="str">
        <f>_xll.RssMarket(A1839,"出来高加重平均")</f>
        <v/>
      </c>
      <c r="U1839" s="4" t="e">
        <f t="shared" si="159"/>
        <v>#VALUE!</v>
      </c>
      <c r="V1839" s="21" t="str">
        <f>_xll.RssMarket(A1839,"出来高")</f>
        <v/>
      </c>
      <c r="W1839" s="21" t="str">
        <f>_xll.RssMarket(A1839,"売買代金")</f>
        <v/>
      </c>
      <c r="X1839" s="20" t="str">
        <f>_xll.RssMarket(A1839,"決算発表日")</f>
        <v/>
      </c>
      <c r="Y1839" s="26" t="str">
        <f>IF(C1839&gt;_xll.RssMarket(A1839,"年初来高値"),"○","×")</f>
        <v>×</v>
      </c>
      <c r="Z1839" s="27" t="str">
        <f>IF(C1839&lt;=_xll.RssMarket(A1839,"年初来安値"),"○","×")</f>
        <v>○</v>
      </c>
    </row>
    <row r="1840" spans="2:26" x14ac:dyDescent="0.55000000000000004">
      <c r="B1840" s="20" t="str">
        <f>_xll.RssMarket(A1840,"銘柄名称")</f>
        <v/>
      </c>
      <c r="C1840" s="21" t="str">
        <f>_xll.RssMarket(A1840,"現在値")</f>
        <v/>
      </c>
      <c r="D1840" s="20" t="str">
        <f>_xll.RssMarket(A1840,"現在値詳細時刻")</f>
        <v/>
      </c>
      <c r="E1840" s="22" t="str">
        <f>_xll.RssMarket(A1840,"前日比")</f>
        <v/>
      </c>
      <c r="F1840" s="23" t="e">
        <f>_xll.RssMarket(A1840,"前日比率")/100</f>
        <v>#VALUE!</v>
      </c>
      <c r="G1840" s="24" t="str">
        <f>IFERROR(VLOOKUP(A1840,取得元!$A$2:$F$501,2,FALSE),"-")</f>
        <v>-</v>
      </c>
      <c r="H1840" s="24" t="str">
        <f>IFERROR(VLOOKUP(A1840,取得元!$A$2:$F$501,3,FALSE),"-")</f>
        <v>-</v>
      </c>
      <c r="I1840" s="24" t="str">
        <f>IFERROR(VLOOKUP(A1840,取得元!$A$2:$F$501,4,FALSE),"-")</f>
        <v>-</v>
      </c>
      <c r="J1840" s="5" t="str">
        <f>IFERROR(VLOOKUP(A1840,取得元!$A$2:$F$501,5,FALSE),"-")</f>
        <v>-</v>
      </c>
      <c r="K1840" s="25" t="str">
        <f>IFERROR(VLOOKUP(A1840,取得元!$A$2:$F$501,6,FALSE)/100,"-")</f>
        <v>-</v>
      </c>
      <c r="L1840" s="21" t="str">
        <f>_xll.RssMarket(A1840,"始値")</f>
        <v/>
      </c>
      <c r="M1840" s="4" t="e">
        <f t="shared" si="155"/>
        <v>#VALUE!</v>
      </c>
      <c r="N1840" s="21" t="str">
        <f>_xll.RssMarket(A1840,"高値")</f>
        <v/>
      </c>
      <c r="O1840" s="4" t="e">
        <f t="shared" si="156"/>
        <v>#VALUE!</v>
      </c>
      <c r="P1840" s="21" t="str">
        <f>_xll.RssMarket(A1840,"安値")</f>
        <v/>
      </c>
      <c r="Q1840" s="4" t="e">
        <f t="shared" si="157"/>
        <v>#VALUE!</v>
      </c>
      <c r="R1840" s="21" t="str">
        <f>_xll.RssMarket(A1840,"後場始値")</f>
        <v/>
      </c>
      <c r="S1840" s="25" t="str">
        <f t="shared" si="158"/>
        <v>-</v>
      </c>
      <c r="T1840" s="7" t="str">
        <f>_xll.RssMarket(A1840,"出来高加重平均")</f>
        <v/>
      </c>
      <c r="U1840" s="4" t="e">
        <f t="shared" si="159"/>
        <v>#VALUE!</v>
      </c>
      <c r="V1840" s="21" t="str">
        <f>_xll.RssMarket(A1840,"出来高")</f>
        <v/>
      </c>
      <c r="W1840" s="21" t="str">
        <f>_xll.RssMarket(A1840,"売買代金")</f>
        <v/>
      </c>
      <c r="X1840" s="20" t="str">
        <f>_xll.RssMarket(A1840,"決算発表日")</f>
        <v/>
      </c>
      <c r="Y1840" s="26" t="str">
        <f>IF(C1840&gt;_xll.RssMarket(A1840,"年初来高値"),"○","×")</f>
        <v>×</v>
      </c>
      <c r="Z1840" s="27" t="str">
        <f>IF(C1840&lt;=_xll.RssMarket(A1840,"年初来安値"),"○","×")</f>
        <v>○</v>
      </c>
    </row>
    <row r="1841" spans="2:26" x14ac:dyDescent="0.55000000000000004">
      <c r="B1841" s="20" t="str">
        <f>_xll.RssMarket(A1841,"銘柄名称")</f>
        <v/>
      </c>
      <c r="C1841" s="21" t="str">
        <f>_xll.RssMarket(A1841,"現在値")</f>
        <v/>
      </c>
      <c r="D1841" s="20" t="str">
        <f>_xll.RssMarket(A1841,"現在値詳細時刻")</f>
        <v/>
      </c>
      <c r="E1841" s="22" t="str">
        <f>_xll.RssMarket(A1841,"前日比")</f>
        <v/>
      </c>
      <c r="F1841" s="23" t="e">
        <f>_xll.RssMarket(A1841,"前日比率")/100</f>
        <v>#VALUE!</v>
      </c>
      <c r="G1841" s="24" t="str">
        <f>IFERROR(VLOOKUP(A1841,取得元!$A$2:$F$501,2,FALSE),"-")</f>
        <v>-</v>
      </c>
      <c r="H1841" s="24" t="str">
        <f>IFERROR(VLOOKUP(A1841,取得元!$A$2:$F$501,3,FALSE),"-")</f>
        <v>-</v>
      </c>
      <c r="I1841" s="24" t="str">
        <f>IFERROR(VLOOKUP(A1841,取得元!$A$2:$F$501,4,FALSE),"-")</f>
        <v>-</v>
      </c>
      <c r="J1841" s="5" t="str">
        <f>IFERROR(VLOOKUP(A1841,取得元!$A$2:$F$501,5,FALSE),"-")</f>
        <v>-</v>
      </c>
      <c r="K1841" s="25" t="str">
        <f>IFERROR(VLOOKUP(A1841,取得元!$A$2:$F$501,6,FALSE)/100,"-")</f>
        <v>-</v>
      </c>
      <c r="L1841" s="21" t="str">
        <f>_xll.RssMarket(A1841,"始値")</f>
        <v/>
      </c>
      <c r="M1841" s="4" t="e">
        <f t="shared" si="155"/>
        <v>#VALUE!</v>
      </c>
      <c r="N1841" s="21" t="str">
        <f>_xll.RssMarket(A1841,"高値")</f>
        <v/>
      </c>
      <c r="O1841" s="4" t="e">
        <f t="shared" si="156"/>
        <v>#VALUE!</v>
      </c>
      <c r="P1841" s="21" t="str">
        <f>_xll.RssMarket(A1841,"安値")</f>
        <v/>
      </c>
      <c r="Q1841" s="4" t="e">
        <f t="shared" si="157"/>
        <v>#VALUE!</v>
      </c>
      <c r="R1841" s="21" t="str">
        <f>_xll.RssMarket(A1841,"後場始値")</f>
        <v/>
      </c>
      <c r="S1841" s="25" t="str">
        <f t="shared" si="158"/>
        <v>-</v>
      </c>
      <c r="T1841" s="7" t="str">
        <f>_xll.RssMarket(A1841,"出来高加重平均")</f>
        <v/>
      </c>
      <c r="U1841" s="4" t="e">
        <f t="shared" si="159"/>
        <v>#VALUE!</v>
      </c>
      <c r="V1841" s="21" t="str">
        <f>_xll.RssMarket(A1841,"出来高")</f>
        <v/>
      </c>
      <c r="W1841" s="21" t="str">
        <f>_xll.RssMarket(A1841,"売買代金")</f>
        <v/>
      </c>
      <c r="X1841" s="20" t="str">
        <f>_xll.RssMarket(A1841,"決算発表日")</f>
        <v/>
      </c>
      <c r="Y1841" s="26" t="str">
        <f>IF(C1841&gt;_xll.RssMarket(A1841,"年初来高値"),"○","×")</f>
        <v>×</v>
      </c>
      <c r="Z1841" s="27" t="str">
        <f>IF(C1841&lt;=_xll.RssMarket(A1841,"年初来安値"),"○","×")</f>
        <v>○</v>
      </c>
    </row>
    <row r="1842" spans="2:26" x14ac:dyDescent="0.55000000000000004">
      <c r="B1842" s="20" t="str">
        <f>_xll.RssMarket(A1842,"銘柄名称")</f>
        <v/>
      </c>
      <c r="C1842" s="21" t="str">
        <f>_xll.RssMarket(A1842,"現在値")</f>
        <v/>
      </c>
      <c r="D1842" s="20" t="str">
        <f>_xll.RssMarket(A1842,"現在値詳細時刻")</f>
        <v/>
      </c>
      <c r="E1842" s="22" t="str">
        <f>_xll.RssMarket(A1842,"前日比")</f>
        <v/>
      </c>
      <c r="F1842" s="23" t="e">
        <f>_xll.RssMarket(A1842,"前日比率")/100</f>
        <v>#VALUE!</v>
      </c>
      <c r="G1842" s="24" t="str">
        <f>IFERROR(VLOOKUP(A1842,取得元!$A$2:$F$501,2,FALSE),"-")</f>
        <v>-</v>
      </c>
      <c r="H1842" s="24" t="str">
        <f>IFERROR(VLOOKUP(A1842,取得元!$A$2:$F$501,3,FALSE),"-")</f>
        <v>-</v>
      </c>
      <c r="I1842" s="24" t="str">
        <f>IFERROR(VLOOKUP(A1842,取得元!$A$2:$F$501,4,FALSE),"-")</f>
        <v>-</v>
      </c>
      <c r="J1842" s="5" t="str">
        <f>IFERROR(VLOOKUP(A1842,取得元!$A$2:$F$501,5,FALSE),"-")</f>
        <v>-</v>
      </c>
      <c r="K1842" s="25" t="str">
        <f>IFERROR(VLOOKUP(A1842,取得元!$A$2:$F$501,6,FALSE)/100,"-")</f>
        <v>-</v>
      </c>
      <c r="L1842" s="21" t="str">
        <f>_xll.RssMarket(A1842,"始値")</f>
        <v/>
      </c>
      <c r="M1842" s="4" t="e">
        <f t="shared" si="155"/>
        <v>#VALUE!</v>
      </c>
      <c r="N1842" s="21" t="str">
        <f>_xll.RssMarket(A1842,"高値")</f>
        <v/>
      </c>
      <c r="O1842" s="4" t="e">
        <f t="shared" si="156"/>
        <v>#VALUE!</v>
      </c>
      <c r="P1842" s="21" t="str">
        <f>_xll.RssMarket(A1842,"安値")</f>
        <v/>
      </c>
      <c r="Q1842" s="4" t="e">
        <f t="shared" si="157"/>
        <v>#VALUE!</v>
      </c>
      <c r="R1842" s="21" t="str">
        <f>_xll.RssMarket(A1842,"後場始値")</f>
        <v/>
      </c>
      <c r="S1842" s="25" t="str">
        <f t="shared" si="158"/>
        <v>-</v>
      </c>
      <c r="T1842" s="7" t="str">
        <f>_xll.RssMarket(A1842,"出来高加重平均")</f>
        <v/>
      </c>
      <c r="U1842" s="4" t="e">
        <f t="shared" si="159"/>
        <v>#VALUE!</v>
      </c>
      <c r="V1842" s="21" t="str">
        <f>_xll.RssMarket(A1842,"出来高")</f>
        <v/>
      </c>
      <c r="W1842" s="21" t="str">
        <f>_xll.RssMarket(A1842,"売買代金")</f>
        <v/>
      </c>
      <c r="X1842" s="20" t="str">
        <f>_xll.RssMarket(A1842,"決算発表日")</f>
        <v/>
      </c>
      <c r="Y1842" s="26" t="str">
        <f>IF(C1842&gt;_xll.RssMarket(A1842,"年初来高値"),"○","×")</f>
        <v>×</v>
      </c>
      <c r="Z1842" s="27" t="str">
        <f>IF(C1842&lt;=_xll.RssMarket(A1842,"年初来安値"),"○","×")</f>
        <v>○</v>
      </c>
    </row>
    <row r="1843" spans="2:26" x14ac:dyDescent="0.55000000000000004">
      <c r="B1843" s="20" t="str">
        <f>_xll.RssMarket(A1843,"銘柄名称")</f>
        <v/>
      </c>
      <c r="C1843" s="21" t="str">
        <f>_xll.RssMarket(A1843,"現在値")</f>
        <v/>
      </c>
      <c r="D1843" s="20" t="str">
        <f>_xll.RssMarket(A1843,"現在値詳細時刻")</f>
        <v/>
      </c>
      <c r="E1843" s="22" t="str">
        <f>_xll.RssMarket(A1843,"前日比")</f>
        <v/>
      </c>
      <c r="F1843" s="23" t="e">
        <f>_xll.RssMarket(A1843,"前日比率")/100</f>
        <v>#VALUE!</v>
      </c>
      <c r="G1843" s="24" t="str">
        <f>IFERROR(VLOOKUP(A1843,取得元!$A$2:$F$501,2,FALSE),"-")</f>
        <v>-</v>
      </c>
      <c r="H1843" s="24" t="str">
        <f>IFERROR(VLOOKUP(A1843,取得元!$A$2:$F$501,3,FALSE),"-")</f>
        <v>-</v>
      </c>
      <c r="I1843" s="24" t="str">
        <f>IFERROR(VLOOKUP(A1843,取得元!$A$2:$F$501,4,FALSE),"-")</f>
        <v>-</v>
      </c>
      <c r="J1843" s="5" t="str">
        <f>IFERROR(VLOOKUP(A1843,取得元!$A$2:$F$501,5,FALSE),"-")</f>
        <v>-</v>
      </c>
      <c r="K1843" s="25" t="str">
        <f>IFERROR(VLOOKUP(A1843,取得元!$A$2:$F$501,6,FALSE)/100,"-")</f>
        <v>-</v>
      </c>
      <c r="L1843" s="21" t="str">
        <f>_xll.RssMarket(A1843,"始値")</f>
        <v/>
      </c>
      <c r="M1843" s="4" t="e">
        <f t="shared" si="155"/>
        <v>#VALUE!</v>
      </c>
      <c r="N1843" s="21" t="str">
        <f>_xll.RssMarket(A1843,"高値")</f>
        <v/>
      </c>
      <c r="O1843" s="4" t="e">
        <f t="shared" si="156"/>
        <v>#VALUE!</v>
      </c>
      <c r="P1843" s="21" t="str">
        <f>_xll.RssMarket(A1843,"安値")</f>
        <v/>
      </c>
      <c r="Q1843" s="4" t="e">
        <f t="shared" si="157"/>
        <v>#VALUE!</v>
      </c>
      <c r="R1843" s="21" t="str">
        <f>_xll.RssMarket(A1843,"後場始値")</f>
        <v/>
      </c>
      <c r="S1843" s="25" t="str">
        <f t="shared" si="158"/>
        <v>-</v>
      </c>
      <c r="T1843" s="7" t="str">
        <f>_xll.RssMarket(A1843,"出来高加重平均")</f>
        <v/>
      </c>
      <c r="U1843" s="4" t="e">
        <f t="shared" si="159"/>
        <v>#VALUE!</v>
      </c>
      <c r="V1843" s="21" t="str">
        <f>_xll.RssMarket(A1843,"出来高")</f>
        <v/>
      </c>
      <c r="W1843" s="21" t="str">
        <f>_xll.RssMarket(A1843,"売買代金")</f>
        <v/>
      </c>
      <c r="X1843" s="20" t="str">
        <f>_xll.RssMarket(A1843,"決算発表日")</f>
        <v/>
      </c>
      <c r="Y1843" s="26" t="str">
        <f>IF(C1843&gt;_xll.RssMarket(A1843,"年初来高値"),"○","×")</f>
        <v>×</v>
      </c>
      <c r="Z1843" s="27" t="str">
        <f>IF(C1843&lt;=_xll.RssMarket(A1843,"年初来安値"),"○","×")</f>
        <v>○</v>
      </c>
    </row>
    <row r="1844" spans="2:26" x14ac:dyDescent="0.55000000000000004">
      <c r="B1844" s="20" t="str">
        <f>_xll.RssMarket(A1844,"銘柄名称")</f>
        <v/>
      </c>
      <c r="C1844" s="21" t="str">
        <f>_xll.RssMarket(A1844,"現在値")</f>
        <v/>
      </c>
      <c r="D1844" s="20" t="str">
        <f>_xll.RssMarket(A1844,"現在値詳細時刻")</f>
        <v/>
      </c>
      <c r="E1844" s="22" t="str">
        <f>_xll.RssMarket(A1844,"前日比")</f>
        <v/>
      </c>
      <c r="F1844" s="23" t="e">
        <f>_xll.RssMarket(A1844,"前日比率")/100</f>
        <v>#VALUE!</v>
      </c>
      <c r="G1844" s="24" t="str">
        <f>IFERROR(VLOOKUP(A1844,取得元!$A$2:$F$501,2,FALSE),"-")</f>
        <v>-</v>
      </c>
      <c r="H1844" s="24" t="str">
        <f>IFERROR(VLOOKUP(A1844,取得元!$A$2:$F$501,3,FALSE),"-")</f>
        <v>-</v>
      </c>
      <c r="I1844" s="24" t="str">
        <f>IFERROR(VLOOKUP(A1844,取得元!$A$2:$F$501,4,FALSE),"-")</f>
        <v>-</v>
      </c>
      <c r="J1844" s="5" t="str">
        <f>IFERROR(VLOOKUP(A1844,取得元!$A$2:$F$501,5,FALSE),"-")</f>
        <v>-</v>
      </c>
      <c r="K1844" s="25" t="str">
        <f>IFERROR(VLOOKUP(A1844,取得元!$A$2:$F$501,6,FALSE)/100,"-")</f>
        <v>-</v>
      </c>
      <c r="L1844" s="21" t="str">
        <f>_xll.RssMarket(A1844,"始値")</f>
        <v/>
      </c>
      <c r="M1844" s="4" t="e">
        <f t="shared" si="155"/>
        <v>#VALUE!</v>
      </c>
      <c r="N1844" s="21" t="str">
        <f>_xll.RssMarket(A1844,"高値")</f>
        <v/>
      </c>
      <c r="O1844" s="4" t="e">
        <f t="shared" si="156"/>
        <v>#VALUE!</v>
      </c>
      <c r="P1844" s="21" t="str">
        <f>_xll.RssMarket(A1844,"安値")</f>
        <v/>
      </c>
      <c r="Q1844" s="4" t="e">
        <f t="shared" si="157"/>
        <v>#VALUE!</v>
      </c>
      <c r="R1844" s="21" t="str">
        <f>_xll.RssMarket(A1844,"後場始値")</f>
        <v/>
      </c>
      <c r="S1844" s="25" t="str">
        <f t="shared" si="158"/>
        <v>-</v>
      </c>
      <c r="T1844" s="7" t="str">
        <f>_xll.RssMarket(A1844,"出来高加重平均")</f>
        <v/>
      </c>
      <c r="U1844" s="4" t="e">
        <f t="shared" si="159"/>
        <v>#VALUE!</v>
      </c>
      <c r="V1844" s="21" t="str">
        <f>_xll.RssMarket(A1844,"出来高")</f>
        <v/>
      </c>
      <c r="W1844" s="21" t="str">
        <f>_xll.RssMarket(A1844,"売買代金")</f>
        <v/>
      </c>
      <c r="X1844" s="20" t="str">
        <f>_xll.RssMarket(A1844,"決算発表日")</f>
        <v/>
      </c>
      <c r="Y1844" s="26" t="str">
        <f>IF(C1844&gt;_xll.RssMarket(A1844,"年初来高値"),"○","×")</f>
        <v>×</v>
      </c>
      <c r="Z1844" s="27" t="str">
        <f>IF(C1844&lt;=_xll.RssMarket(A1844,"年初来安値"),"○","×")</f>
        <v>○</v>
      </c>
    </row>
    <row r="1845" spans="2:26" x14ac:dyDescent="0.55000000000000004">
      <c r="B1845" s="20" t="str">
        <f>_xll.RssMarket(A1845,"銘柄名称")</f>
        <v/>
      </c>
      <c r="C1845" s="21" t="str">
        <f>_xll.RssMarket(A1845,"現在値")</f>
        <v/>
      </c>
      <c r="D1845" s="20" t="str">
        <f>_xll.RssMarket(A1845,"現在値詳細時刻")</f>
        <v/>
      </c>
      <c r="E1845" s="22" t="str">
        <f>_xll.RssMarket(A1845,"前日比")</f>
        <v/>
      </c>
      <c r="F1845" s="23" t="e">
        <f>_xll.RssMarket(A1845,"前日比率")/100</f>
        <v>#VALUE!</v>
      </c>
      <c r="G1845" s="24" t="str">
        <f>IFERROR(VLOOKUP(A1845,取得元!$A$2:$F$501,2,FALSE),"-")</f>
        <v>-</v>
      </c>
      <c r="H1845" s="24" t="str">
        <f>IFERROR(VLOOKUP(A1845,取得元!$A$2:$F$501,3,FALSE),"-")</f>
        <v>-</v>
      </c>
      <c r="I1845" s="24" t="str">
        <f>IFERROR(VLOOKUP(A1845,取得元!$A$2:$F$501,4,FALSE),"-")</f>
        <v>-</v>
      </c>
      <c r="J1845" s="5" t="str">
        <f>IFERROR(VLOOKUP(A1845,取得元!$A$2:$F$501,5,FALSE),"-")</f>
        <v>-</v>
      </c>
      <c r="K1845" s="25" t="str">
        <f>IFERROR(VLOOKUP(A1845,取得元!$A$2:$F$501,6,FALSE)/100,"-")</f>
        <v>-</v>
      </c>
      <c r="L1845" s="21" t="str">
        <f>_xll.RssMarket(A1845,"始値")</f>
        <v/>
      </c>
      <c r="M1845" s="4" t="e">
        <f t="shared" si="155"/>
        <v>#VALUE!</v>
      </c>
      <c r="N1845" s="21" t="str">
        <f>_xll.RssMarket(A1845,"高値")</f>
        <v/>
      </c>
      <c r="O1845" s="4" t="e">
        <f t="shared" si="156"/>
        <v>#VALUE!</v>
      </c>
      <c r="P1845" s="21" t="str">
        <f>_xll.RssMarket(A1845,"安値")</f>
        <v/>
      </c>
      <c r="Q1845" s="4" t="e">
        <f t="shared" si="157"/>
        <v>#VALUE!</v>
      </c>
      <c r="R1845" s="21" t="str">
        <f>_xll.RssMarket(A1845,"後場始値")</f>
        <v/>
      </c>
      <c r="S1845" s="25" t="str">
        <f t="shared" si="158"/>
        <v>-</v>
      </c>
      <c r="T1845" s="7" t="str">
        <f>_xll.RssMarket(A1845,"出来高加重平均")</f>
        <v/>
      </c>
      <c r="U1845" s="4" t="e">
        <f t="shared" si="159"/>
        <v>#VALUE!</v>
      </c>
      <c r="V1845" s="21" t="str">
        <f>_xll.RssMarket(A1845,"出来高")</f>
        <v/>
      </c>
      <c r="W1845" s="21" t="str">
        <f>_xll.RssMarket(A1845,"売買代金")</f>
        <v/>
      </c>
      <c r="X1845" s="20" t="str">
        <f>_xll.RssMarket(A1845,"決算発表日")</f>
        <v/>
      </c>
      <c r="Y1845" s="26" t="str">
        <f>IF(C1845&gt;_xll.RssMarket(A1845,"年初来高値"),"○","×")</f>
        <v>×</v>
      </c>
      <c r="Z1845" s="27" t="str">
        <f>IF(C1845&lt;=_xll.RssMarket(A1845,"年初来安値"),"○","×")</f>
        <v>○</v>
      </c>
    </row>
    <row r="1846" spans="2:26" x14ac:dyDescent="0.55000000000000004">
      <c r="B1846" s="20" t="str">
        <f>_xll.RssMarket(A1846,"銘柄名称")</f>
        <v/>
      </c>
      <c r="C1846" s="21" t="str">
        <f>_xll.RssMarket(A1846,"現在値")</f>
        <v/>
      </c>
      <c r="D1846" s="20" t="str">
        <f>_xll.RssMarket(A1846,"現在値詳細時刻")</f>
        <v/>
      </c>
      <c r="E1846" s="22" t="str">
        <f>_xll.RssMarket(A1846,"前日比")</f>
        <v/>
      </c>
      <c r="F1846" s="23" t="e">
        <f>_xll.RssMarket(A1846,"前日比率")/100</f>
        <v>#VALUE!</v>
      </c>
      <c r="G1846" s="24" t="str">
        <f>IFERROR(VLOOKUP(A1846,取得元!$A$2:$F$501,2,FALSE),"-")</f>
        <v>-</v>
      </c>
      <c r="H1846" s="24" t="str">
        <f>IFERROR(VLOOKUP(A1846,取得元!$A$2:$F$501,3,FALSE),"-")</f>
        <v>-</v>
      </c>
      <c r="I1846" s="24" t="str">
        <f>IFERROR(VLOOKUP(A1846,取得元!$A$2:$F$501,4,FALSE),"-")</f>
        <v>-</v>
      </c>
      <c r="J1846" s="5" t="str">
        <f>IFERROR(VLOOKUP(A1846,取得元!$A$2:$F$501,5,FALSE),"-")</f>
        <v>-</v>
      </c>
      <c r="K1846" s="25" t="str">
        <f>IFERROR(VLOOKUP(A1846,取得元!$A$2:$F$501,6,FALSE)/100,"-")</f>
        <v>-</v>
      </c>
      <c r="L1846" s="21" t="str">
        <f>_xll.RssMarket(A1846,"始値")</f>
        <v/>
      </c>
      <c r="M1846" s="4" t="e">
        <f t="shared" si="155"/>
        <v>#VALUE!</v>
      </c>
      <c r="N1846" s="21" t="str">
        <f>_xll.RssMarket(A1846,"高値")</f>
        <v/>
      </c>
      <c r="O1846" s="4" t="e">
        <f t="shared" si="156"/>
        <v>#VALUE!</v>
      </c>
      <c r="P1846" s="21" t="str">
        <f>_xll.RssMarket(A1846,"安値")</f>
        <v/>
      </c>
      <c r="Q1846" s="4" t="e">
        <f t="shared" si="157"/>
        <v>#VALUE!</v>
      </c>
      <c r="R1846" s="21" t="str">
        <f>_xll.RssMarket(A1846,"後場始値")</f>
        <v/>
      </c>
      <c r="S1846" s="25" t="str">
        <f t="shared" si="158"/>
        <v>-</v>
      </c>
      <c r="T1846" s="7" t="str">
        <f>_xll.RssMarket(A1846,"出来高加重平均")</f>
        <v/>
      </c>
      <c r="U1846" s="4" t="e">
        <f t="shared" si="159"/>
        <v>#VALUE!</v>
      </c>
      <c r="V1846" s="21" t="str">
        <f>_xll.RssMarket(A1846,"出来高")</f>
        <v/>
      </c>
      <c r="W1846" s="21" t="str">
        <f>_xll.RssMarket(A1846,"売買代金")</f>
        <v/>
      </c>
      <c r="X1846" s="20" t="str">
        <f>_xll.RssMarket(A1846,"決算発表日")</f>
        <v/>
      </c>
      <c r="Y1846" s="26" t="str">
        <f>IF(C1846&gt;_xll.RssMarket(A1846,"年初来高値"),"○","×")</f>
        <v>×</v>
      </c>
      <c r="Z1846" s="27" t="str">
        <f>IF(C1846&lt;=_xll.RssMarket(A1846,"年初来安値"),"○","×")</f>
        <v>○</v>
      </c>
    </row>
    <row r="1847" spans="2:26" x14ac:dyDescent="0.55000000000000004">
      <c r="B1847" s="20" t="str">
        <f>_xll.RssMarket(A1847,"銘柄名称")</f>
        <v/>
      </c>
      <c r="C1847" s="21" t="str">
        <f>_xll.RssMarket(A1847,"現在値")</f>
        <v/>
      </c>
      <c r="D1847" s="20" t="str">
        <f>_xll.RssMarket(A1847,"現在値詳細時刻")</f>
        <v/>
      </c>
      <c r="E1847" s="22" t="str">
        <f>_xll.RssMarket(A1847,"前日比")</f>
        <v/>
      </c>
      <c r="F1847" s="23" t="e">
        <f>_xll.RssMarket(A1847,"前日比率")/100</f>
        <v>#VALUE!</v>
      </c>
      <c r="G1847" s="24" t="str">
        <f>IFERROR(VLOOKUP(A1847,取得元!$A$2:$F$501,2,FALSE),"-")</f>
        <v>-</v>
      </c>
      <c r="H1847" s="24" t="str">
        <f>IFERROR(VLOOKUP(A1847,取得元!$A$2:$F$501,3,FALSE),"-")</f>
        <v>-</v>
      </c>
      <c r="I1847" s="24" t="str">
        <f>IFERROR(VLOOKUP(A1847,取得元!$A$2:$F$501,4,FALSE),"-")</f>
        <v>-</v>
      </c>
      <c r="J1847" s="5" t="str">
        <f>IFERROR(VLOOKUP(A1847,取得元!$A$2:$F$501,5,FALSE),"-")</f>
        <v>-</v>
      </c>
      <c r="K1847" s="25" t="str">
        <f>IFERROR(VLOOKUP(A1847,取得元!$A$2:$F$501,6,FALSE)/100,"-")</f>
        <v>-</v>
      </c>
      <c r="L1847" s="21" t="str">
        <f>_xll.RssMarket(A1847,"始値")</f>
        <v/>
      </c>
      <c r="M1847" s="4" t="e">
        <f t="shared" si="155"/>
        <v>#VALUE!</v>
      </c>
      <c r="N1847" s="21" t="str">
        <f>_xll.RssMarket(A1847,"高値")</f>
        <v/>
      </c>
      <c r="O1847" s="4" t="e">
        <f t="shared" si="156"/>
        <v>#VALUE!</v>
      </c>
      <c r="P1847" s="21" t="str">
        <f>_xll.RssMarket(A1847,"安値")</f>
        <v/>
      </c>
      <c r="Q1847" s="4" t="e">
        <f t="shared" si="157"/>
        <v>#VALUE!</v>
      </c>
      <c r="R1847" s="21" t="str">
        <f>_xll.RssMarket(A1847,"後場始値")</f>
        <v/>
      </c>
      <c r="S1847" s="25" t="str">
        <f t="shared" si="158"/>
        <v>-</v>
      </c>
      <c r="T1847" s="7" t="str">
        <f>_xll.RssMarket(A1847,"出来高加重平均")</f>
        <v/>
      </c>
      <c r="U1847" s="4" t="e">
        <f t="shared" si="159"/>
        <v>#VALUE!</v>
      </c>
      <c r="V1847" s="21" t="str">
        <f>_xll.RssMarket(A1847,"出来高")</f>
        <v/>
      </c>
      <c r="W1847" s="21" t="str">
        <f>_xll.RssMarket(A1847,"売買代金")</f>
        <v/>
      </c>
      <c r="X1847" s="20" t="str">
        <f>_xll.RssMarket(A1847,"決算発表日")</f>
        <v/>
      </c>
      <c r="Y1847" s="26" t="str">
        <f>IF(C1847&gt;_xll.RssMarket(A1847,"年初来高値"),"○","×")</f>
        <v>×</v>
      </c>
      <c r="Z1847" s="27" t="str">
        <f>IF(C1847&lt;=_xll.RssMarket(A1847,"年初来安値"),"○","×")</f>
        <v>○</v>
      </c>
    </row>
    <row r="1848" spans="2:26" x14ac:dyDescent="0.55000000000000004">
      <c r="B1848" s="20" t="str">
        <f>_xll.RssMarket(A1848,"銘柄名称")</f>
        <v/>
      </c>
      <c r="C1848" s="21" t="str">
        <f>_xll.RssMarket(A1848,"現在値")</f>
        <v/>
      </c>
      <c r="D1848" s="20" t="str">
        <f>_xll.RssMarket(A1848,"現在値詳細時刻")</f>
        <v/>
      </c>
      <c r="E1848" s="22" t="str">
        <f>_xll.RssMarket(A1848,"前日比")</f>
        <v/>
      </c>
      <c r="F1848" s="23" t="e">
        <f>_xll.RssMarket(A1848,"前日比率")/100</f>
        <v>#VALUE!</v>
      </c>
      <c r="G1848" s="24" t="str">
        <f>IFERROR(VLOOKUP(A1848,取得元!$A$2:$F$501,2,FALSE),"-")</f>
        <v>-</v>
      </c>
      <c r="H1848" s="24" t="str">
        <f>IFERROR(VLOOKUP(A1848,取得元!$A$2:$F$501,3,FALSE),"-")</f>
        <v>-</v>
      </c>
      <c r="I1848" s="24" t="str">
        <f>IFERROR(VLOOKUP(A1848,取得元!$A$2:$F$501,4,FALSE),"-")</f>
        <v>-</v>
      </c>
      <c r="J1848" s="5" t="str">
        <f>IFERROR(VLOOKUP(A1848,取得元!$A$2:$F$501,5,FALSE),"-")</f>
        <v>-</v>
      </c>
      <c r="K1848" s="25" t="str">
        <f>IFERROR(VLOOKUP(A1848,取得元!$A$2:$F$501,6,FALSE)/100,"-")</f>
        <v>-</v>
      </c>
      <c r="L1848" s="21" t="str">
        <f>_xll.RssMarket(A1848,"始値")</f>
        <v/>
      </c>
      <c r="M1848" s="4" t="e">
        <f t="shared" si="155"/>
        <v>#VALUE!</v>
      </c>
      <c r="N1848" s="21" t="str">
        <f>_xll.RssMarket(A1848,"高値")</f>
        <v/>
      </c>
      <c r="O1848" s="4" t="e">
        <f t="shared" si="156"/>
        <v>#VALUE!</v>
      </c>
      <c r="P1848" s="21" t="str">
        <f>_xll.RssMarket(A1848,"安値")</f>
        <v/>
      </c>
      <c r="Q1848" s="4" t="e">
        <f t="shared" si="157"/>
        <v>#VALUE!</v>
      </c>
      <c r="R1848" s="21" t="str">
        <f>_xll.RssMarket(A1848,"後場始値")</f>
        <v/>
      </c>
      <c r="S1848" s="25" t="str">
        <f t="shared" si="158"/>
        <v>-</v>
      </c>
      <c r="T1848" s="7" t="str">
        <f>_xll.RssMarket(A1848,"出来高加重平均")</f>
        <v/>
      </c>
      <c r="U1848" s="4" t="e">
        <f t="shared" si="159"/>
        <v>#VALUE!</v>
      </c>
      <c r="V1848" s="21" t="str">
        <f>_xll.RssMarket(A1848,"出来高")</f>
        <v/>
      </c>
      <c r="W1848" s="21" t="str">
        <f>_xll.RssMarket(A1848,"売買代金")</f>
        <v/>
      </c>
      <c r="X1848" s="20" t="str">
        <f>_xll.RssMarket(A1848,"決算発表日")</f>
        <v/>
      </c>
      <c r="Y1848" s="26" t="str">
        <f>IF(C1848&gt;_xll.RssMarket(A1848,"年初来高値"),"○","×")</f>
        <v>×</v>
      </c>
      <c r="Z1848" s="27" t="str">
        <f>IF(C1848&lt;=_xll.RssMarket(A1848,"年初来安値"),"○","×")</f>
        <v>○</v>
      </c>
    </row>
    <row r="1849" spans="2:26" x14ac:dyDescent="0.55000000000000004">
      <c r="B1849" s="20" t="str">
        <f>_xll.RssMarket(A1849,"銘柄名称")</f>
        <v/>
      </c>
      <c r="C1849" s="21" t="str">
        <f>_xll.RssMarket(A1849,"現在値")</f>
        <v/>
      </c>
      <c r="D1849" s="20" t="str">
        <f>_xll.RssMarket(A1849,"現在値詳細時刻")</f>
        <v/>
      </c>
      <c r="E1849" s="22" t="str">
        <f>_xll.RssMarket(A1849,"前日比")</f>
        <v/>
      </c>
      <c r="F1849" s="23" t="e">
        <f>_xll.RssMarket(A1849,"前日比率")/100</f>
        <v>#VALUE!</v>
      </c>
      <c r="G1849" s="24" t="str">
        <f>IFERROR(VLOOKUP(A1849,取得元!$A$2:$F$501,2,FALSE),"-")</f>
        <v>-</v>
      </c>
      <c r="H1849" s="24" t="str">
        <f>IFERROR(VLOOKUP(A1849,取得元!$A$2:$F$501,3,FALSE),"-")</f>
        <v>-</v>
      </c>
      <c r="I1849" s="24" t="str">
        <f>IFERROR(VLOOKUP(A1849,取得元!$A$2:$F$501,4,FALSE),"-")</f>
        <v>-</v>
      </c>
      <c r="J1849" s="5" t="str">
        <f>IFERROR(VLOOKUP(A1849,取得元!$A$2:$F$501,5,FALSE),"-")</f>
        <v>-</v>
      </c>
      <c r="K1849" s="25" t="str">
        <f>IFERROR(VLOOKUP(A1849,取得元!$A$2:$F$501,6,FALSE)/100,"-")</f>
        <v>-</v>
      </c>
      <c r="L1849" s="21" t="str">
        <f>_xll.RssMarket(A1849,"始値")</f>
        <v/>
      </c>
      <c r="M1849" s="4" t="e">
        <f t="shared" si="155"/>
        <v>#VALUE!</v>
      </c>
      <c r="N1849" s="21" t="str">
        <f>_xll.RssMarket(A1849,"高値")</f>
        <v/>
      </c>
      <c r="O1849" s="4" t="e">
        <f t="shared" si="156"/>
        <v>#VALUE!</v>
      </c>
      <c r="P1849" s="21" t="str">
        <f>_xll.RssMarket(A1849,"安値")</f>
        <v/>
      </c>
      <c r="Q1849" s="4" t="e">
        <f t="shared" si="157"/>
        <v>#VALUE!</v>
      </c>
      <c r="R1849" s="21" t="str">
        <f>_xll.RssMarket(A1849,"後場始値")</f>
        <v/>
      </c>
      <c r="S1849" s="25" t="str">
        <f t="shared" si="158"/>
        <v>-</v>
      </c>
      <c r="T1849" s="7" t="str">
        <f>_xll.RssMarket(A1849,"出来高加重平均")</f>
        <v/>
      </c>
      <c r="U1849" s="4" t="e">
        <f t="shared" si="159"/>
        <v>#VALUE!</v>
      </c>
      <c r="V1849" s="21" t="str">
        <f>_xll.RssMarket(A1849,"出来高")</f>
        <v/>
      </c>
      <c r="W1849" s="21" t="str">
        <f>_xll.RssMarket(A1849,"売買代金")</f>
        <v/>
      </c>
      <c r="X1849" s="20" t="str">
        <f>_xll.RssMarket(A1849,"決算発表日")</f>
        <v/>
      </c>
      <c r="Y1849" s="26" t="str">
        <f>IF(C1849&gt;_xll.RssMarket(A1849,"年初来高値"),"○","×")</f>
        <v>×</v>
      </c>
      <c r="Z1849" s="27" t="str">
        <f>IF(C1849&lt;=_xll.RssMarket(A1849,"年初来安値"),"○","×")</f>
        <v>○</v>
      </c>
    </row>
    <row r="1850" spans="2:26" x14ac:dyDescent="0.55000000000000004">
      <c r="B1850" s="20" t="str">
        <f>_xll.RssMarket(A1850,"銘柄名称")</f>
        <v/>
      </c>
      <c r="C1850" s="21" t="str">
        <f>_xll.RssMarket(A1850,"現在値")</f>
        <v/>
      </c>
      <c r="D1850" s="20" t="str">
        <f>_xll.RssMarket(A1850,"現在値詳細時刻")</f>
        <v/>
      </c>
      <c r="E1850" s="22" t="str">
        <f>_xll.RssMarket(A1850,"前日比")</f>
        <v/>
      </c>
      <c r="F1850" s="23" t="e">
        <f>_xll.RssMarket(A1850,"前日比率")/100</f>
        <v>#VALUE!</v>
      </c>
      <c r="G1850" s="24" t="str">
        <f>IFERROR(VLOOKUP(A1850,取得元!$A$2:$F$501,2,FALSE),"-")</f>
        <v>-</v>
      </c>
      <c r="H1850" s="24" t="str">
        <f>IFERROR(VLOOKUP(A1850,取得元!$A$2:$F$501,3,FALSE),"-")</f>
        <v>-</v>
      </c>
      <c r="I1850" s="24" t="str">
        <f>IFERROR(VLOOKUP(A1850,取得元!$A$2:$F$501,4,FALSE),"-")</f>
        <v>-</v>
      </c>
      <c r="J1850" s="5" t="str">
        <f>IFERROR(VLOOKUP(A1850,取得元!$A$2:$F$501,5,FALSE),"-")</f>
        <v>-</v>
      </c>
      <c r="K1850" s="25" t="str">
        <f>IFERROR(VLOOKUP(A1850,取得元!$A$2:$F$501,6,FALSE)/100,"-")</f>
        <v>-</v>
      </c>
      <c r="L1850" s="21" t="str">
        <f>_xll.RssMarket(A1850,"始値")</f>
        <v/>
      </c>
      <c r="M1850" s="4" t="e">
        <f t="shared" si="155"/>
        <v>#VALUE!</v>
      </c>
      <c r="N1850" s="21" t="str">
        <f>_xll.RssMarket(A1850,"高値")</f>
        <v/>
      </c>
      <c r="O1850" s="4" t="e">
        <f t="shared" si="156"/>
        <v>#VALUE!</v>
      </c>
      <c r="P1850" s="21" t="str">
        <f>_xll.RssMarket(A1850,"安値")</f>
        <v/>
      </c>
      <c r="Q1850" s="4" t="e">
        <f t="shared" si="157"/>
        <v>#VALUE!</v>
      </c>
      <c r="R1850" s="21" t="str">
        <f>_xll.RssMarket(A1850,"後場始値")</f>
        <v/>
      </c>
      <c r="S1850" s="25" t="str">
        <f t="shared" si="158"/>
        <v>-</v>
      </c>
      <c r="T1850" s="7" t="str">
        <f>_xll.RssMarket(A1850,"出来高加重平均")</f>
        <v/>
      </c>
      <c r="U1850" s="4" t="e">
        <f t="shared" si="159"/>
        <v>#VALUE!</v>
      </c>
      <c r="V1850" s="21" t="str">
        <f>_xll.RssMarket(A1850,"出来高")</f>
        <v/>
      </c>
      <c r="W1850" s="21" t="str">
        <f>_xll.RssMarket(A1850,"売買代金")</f>
        <v/>
      </c>
      <c r="X1850" s="20" t="str">
        <f>_xll.RssMarket(A1850,"決算発表日")</f>
        <v/>
      </c>
      <c r="Y1850" s="26" t="str">
        <f>IF(C1850&gt;_xll.RssMarket(A1850,"年初来高値"),"○","×")</f>
        <v>×</v>
      </c>
      <c r="Z1850" s="27" t="str">
        <f>IF(C1850&lt;=_xll.RssMarket(A1850,"年初来安値"),"○","×")</f>
        <v>○</v>
      </c>
    </row>
    <row r="1851" spans="2:26" x14ac:dyDescent="0.55000000000000004">
      <c r="B1851" s="20" t="str">
        <f>_xll.RssMarket(A1851,"銘柄名称")</f>
        <v/>
      </c>
      <c r="C1851" s="21" t="str">
        <f>_xll.RssMarket(A1851,"現在値")</f>
        <v/>
      </c>
      <c r="D1851" s="20" t="str">
        <f>_xll.RssMarket(A1851,"現在値詳細時刻")</f>
        <v/>
      </c>
      <c r="E1851" s="22" t="str">
        <f>_xll.RssMarket(A1851,"前日比")</f>
        <v/>
      </c>
      <c r="F1851" s="23" t="e">
        <f>_xll.RssMarket(A1851,"前日比率")/100</f>
        <v>#VALUE!</v>
      </c>
      <c r="G1851" s="24" t="str">
        <f>IFERROR(VLOOKUP(A1851,取得元!$A$2:$F$501,2,FALSE),"-")</f>
        <v>-</v>
      </c>
      <c r="H1851" s="24" t="str">
        <f>IFERROR(VLOOKUP(A1851,取得元!$A$2:$F$501,3,FALSE),"-")</f>
        <v>-</v>
      </c>
      <c r="I1851" s="24" t="str">
        <f>IFERROR(VLOOKUP(A1851,取得元!$A$2:$F$501,4,FALSE),"-")</f>
        <v>-</v>
      </c>
      <c r="J1851" s="5" t="str">
        <f>IFERROR(VLOOKUP(A1851,取得元!$A$2:$F$501,5,FALSE),"-")</f>
        <v>-</v>
      </c>
      <c r="K1851" s="25" t="str">
        <f>IFERROR(VLOOKUP(A1851,取得元!$A$2:$F$501,6,FALSE)/100,"-")</f>
        <v>-</v>
      </c>
      <c r="L1851" s="21" t="str">
        <f>_xll.RssMarket(A1851,"始値")</f>
        <v/>
      </c>
      <c r="M1851" s="4" t="e">
        <f t="shared" si="155"/>
        <v>#VALUE!</v>
      </c>
      <c r="N1851" s="21" t="str">
        <f>_xll.RssMarket(A1851,"高値")</f>
        <v/>
      </c>
      <c r="O1851" s="4" t="e">
        <f t="shared" si="156"/>
        <v>#VALUE!</v>
      </c>
      <c r="P1851" s="21" t="str">
        <f>_xll.RssMarket(A1851,"安値")</f>
        <v/>
      </c>
      <c r="Q1851" s="4" t="e">
        <f t="shared" si="157"/>
        <v>#VALUE!</v>
      </c>
      <c r="R1851" s="21" t="str">
        <f>_xll.RssMarket(A1851,"後場始値")</f>
        <v/>
      </c>
      <c r="S1851" s="25" t="str">
        <f t="shared" si="158"/>
        <v>-</v>
      </c>
      <c r="T1851" s="7" t="str">
        <f>_xll.RssMarket(A1851,"出来高加重平均")</f>
        <v/>
      </c>
      <c r="U1851" s="4" t="e">
        <f t="shared" si="159"/>
        <v>#VALUE!</v>
      </c>
      <c r="V1851" s="21" t="str">
        <f>_xll.RssMarket(A1851,"出来高")</f>
        <v/>
      </c>
      <c r="W1851" s="21" t="str">
        <f>_xll.RssMarket(A1851,"売買代金")</f>
        <v/>
      </c>
      <c r="X1851" s="20" t="str">
        <f>_xll.RssMarket(A1851,"決算発表日")</f>
        <v/>
      </c>
      <c r="Y1851" s="26" t="str">
        <f>IF(C1851&gt;_xll.RssMarket(A1851,"年初来高値"),"○","×")</f>
        <v>×</v>
      </c>
      <c r="Z1851" s="27" t="str">
        <f>IF(C1851&lt;=_xll.RssMarket(A1851,"年初来安値"),"○","×")</f>
        <v>○</v>
      </c>
    </row>
    <row r="1852" spans="2:26" x14ac:dyDescent="0.55000000000000004">
      <c r="B1852" s="20" t="str">
        <f>_xll.RssMarket(A1852,"銘柄名称")</f>
        <v/>
      </c>
      <c r="C1852" s="21" t="str">
        <f>_xll.RssMarket(A1852,"現在値")</f>
        <v/>
      </c>
      <c r="D1852" s="20" t="str">
        <f>_xll.RssMarket(A1852,"現在値詳細時刻")</f>
        <v/>
      </c>
      <c r="E1852" s="22" t="str">
        <f>_xll.RssMarket(A1852,"前日比")</f>
        <v/>
      </c>
      <c r="F1852" s="23" t="e">
        <f>_xll.RssMarket(A1852,"前日比率")/100</f>
        <v>#VALUE!</v>
      </c>
      <c r="G1852" s="24" t="str">
        <f>IFERROR(VLOOKUP(A1852,取得元!$A$2:$F$501,2,FALSE),"-")</f>
        <v>-</v>
      </c>
      <c r="H1852" s="24" t="str">
        <f>IFERROR(VLOOKUP(A1852,取得元!$A$2:$F$501,3,FALSE),"-")</f>
        <v>-</v>
      </c>
      <c r="I1852" s="24" t="str">
        <f>IFERROR(VLOOKUP(A1852,取得元!$A$2:$F$501,4,FALSE),"-")</f>
        <v>-</v>
      </c>
      <c r="J1852" s="5" t="str">
        <f>IFERROR(VLOOKUP(A1852,取得元!$A$2:$F$501,5,FALSE),"-")</f>
        <v>-</v>
      </c>
      <c r="K1852" s="25" t="str">
        <f>IFERROR(VLOOKUP(A1852,取得元!$A$2:$F$501,6,FALSE)/100,"-")</f>
        <v>-</v>
      </c>
      <c r="L1852" s="21" t="str">
        <f>_xll.RssMarket(A1852,"始値")</f>
        <v/>
      </c>
      <c r="M1852" s="4" t="e">
        <f t="shared" si="155"/>
        <v>#VALUE!</v>
      </c>
      <c r="N1852" s="21" t="str">
        <f>_xll.RssMarket(A1852,"高値")</f>
        <v/>
      </c>
      <c r="O1852" s="4" t="e">
        <f t="shared" si="156"/>
        <v>#VALUE!</v>
      </c>
      <c r="P1852" s="21" t="str">
        <f>_xll.RssMarket(A1852,"安値")</f>
        <v/>
      </c>
      <c r="Q1852" s="4" t="e">
        <f t="shared" si="157"/>
        <v>#VALUE!</v>
      </c>
      <c r="R1852" s="21" t="str">
        <f>_xll.RssMarket(A1852,"後場始値")</f>
        <v/>
      </c>
      <c r="S1852" s="25" t="str">
        <f t="shared" si="158"/>
        <v>-</v>
      </c>
      <c r="T1852" s="7" t="str">
        <f>_xll.RssMarket(A1852,"出来高加重平均")</f>
        <v/>
      </c>
      <c r="U1852" s="4" t="e">
        <f t="shared" si="159"/>
        <v>#VALUE!</v>
      </c>
      <c r="V1852" s="21" t="str">
        <f>_xll.RssMarket(A1852,"出来高")</f>
        <v/>
      </c>
      <c r="W1852" s="21" t="str">
        <f>_xll.RssMarket(A1852,"売買代金")</f>
        <v/>
      </c>
      <c r="X1852" s="20" t="str">
        <f>_xll.RssMarket(A1852,"決算発表日")</f>
        <v/>
      </c>
      <c r="Y1852" s="26" t="str">
        <f>IF(C1852&gt;_xll.RssMarket(A1852,"年初来高値"),"○","×")</f>
        <v>×</v>
      </c>
      <c r="Z1852" s="27" t="str">
        <f>IF(C1852&lt;=_xll.RssMarket(A1852,"年初来安値"),"○","×")</f>
        <v>○</v>
      </c>
    </row>
    <row r="1853" spans="2:26" x14ac:dyDescent="0.55000000000000004">
      <c r="B1853" s="20" t="str">
        <f>_xll.RssMarket(A1853,"銘柄名称")</f>
        <v/>
      </c>
      <c r="C1853" s="21" t="str">
        <f>_xll.RssMarket(A1853,"現在値")</f>
        <v/>
      </c>
      <c r="D1853" s="20" t="str">
        <f>_xll.RssMarket(A1853,"現在値詳細時刻")</f>
        <v/>
      </c>
      <c r="E1853" s="22" t="str">
        <f>_xll.RssMarket(A1853,"前日比")</f>
        <v/>
      </c>
      <c r="F1853" s="23" t="e">
        <f>_xll.RssMarket(A1853,"前日比率")/100</f>
        <v>#VALUE!</v>
      </c>
      <c r="G1853" s="24" t="str">
        <f>IFERROR(VLOOKUP(A1853,取得元!$A$2:$F$501,2,FALSE),"-")</f>
        <v>-</v>
      </c>
      <c r="H1853" s="24" t="str">
        <f>IFERROR(VLOOKUP(A1853,取得元!$A$2:$F$501,3,FALSE),"-")</f>
        <v>-</v>
      </c>
      <c r="I1853" s="24" t="str">
        <f>IFERROR(VLOOKUP(A1853,取得元!$A$2:$F$501,4,FALSE),"-")</f>
        <v>-</v>
      </c>
      <c r="J1853" s="5" t="str">
        <f>IFERROR(VLOOKUP(A1853,取得元!$A$2:$F$501,5,FALSE),"-")</f>
        <v>-</v>
      </c>
      <c r="K1853" s="25" t="str">
        <f>IFERROR(VLOOKUP(A1853,取得元!$A$2:$F$501,6,FALSE)/100,"-")</f>
        <v>-</v>
      </c>
      <c r="L1853" s="21" t="str">
        <f>_xll.RssMarket(A1853,"始値")</f>
        <v/>
      </c>
      <c r="M1853" s="4" t="e">
        <f t="shared" si="155"/>
        <v>#VALUE!</v>
      </c>
      <c r="N1853" s="21" t="str">
        <f>_xll.RssMarket(A1853,"高値")</f>
        <v/>
      </c>
      <c r="O1853" s="4" t="e">
        <f t="shared" si="156"/>
        <v>#VALUE!</v>
      </c>
      <c r="P1853" s="21" t="str">
        <f>_xll.RssMarket(A1853,"安値")</f>
        <v/>
      </c>
      <c r="Q1853" s="4" t="e">
        <f t="shared" si="157"/>
        <v>#VALUE!</v>
      </c>
      <c r="R1853" s="21" t="str">
        <f>_xll.RssMarket(A1853,"後場始値")</f>
        <v/>
      </c>
      <c r="S1853" s="25" t="str">
        <f t="shared" si="158"/>
        <v>-</v>
      </c>
      <c r="T1853" s="7" t="str">
        <f>_xll.RssMarket(A1853,"出来高加重平均")</f>
        <v/>
      </c>
      <c r="U1853" s="4" t="e">
        <f t="shared" si="159"/>
        <v>#VALUE!</v>
      </c>
      <c r="V1853" s="21" t="str">
        <f>_xll.RssMarket(A1853,"出来高")</f>
        <v/>
      </c>
      <c r="W1853" s="21" t="str">
        <f>_xll.RssMarket(A1853,"売買代金")</f>
        <v/>
      </c>
      <c r="X1853" s="20" t="str">
        <f>_xll.RssMarket(A1853,"決算発表日")</f>
        <v/>
      </c>
      <c r="Y1853" s="26" t="str">
        <f>IF(C1853&gt;_xll.RssMarket(A1853,"年初来高値"),"○","×")</f>
        <v>×</v>
      </c>
      <c r="Z1853" s="27" t="str">
        <f>IF(C1853&lt;=_xll.RssMarket(A1853,"年初来安値"),"○","×")</f>
        <v>○</v>
      </c>
    </row>
    <row r="1854" spans="2:26" x14ac:dyDescent="0.55000000000000004">
      <c r="B1854" s="20" t="str">
        <f>_xll.RssMarket(A1854,"銘柄名称")</f>
        <v/>
      </c>
      <c r="C1854" s="21" t="str">
        <f>_xll.RssMarket(A1854,"現在値")</f>
        <v/>
      </c>
      <c r="D1854" s="20" t="str">
        <f>_xll.RssMarket(A1854,"現在値詳細時刻")</f>
        <v/>
      </c>
      <c r="E1854" s="22" t="str">
        <f>_xll.RssMarket(A1854,"前日比")</f>
        <v/>
      </c>
      <c r="F1854" s="23" t="e">
        <f>_xll.RssMarket(A1854,"前日比率")/100</f>
        <v>#VALUE!</v>
      </c>
      <c r="G1854" s="24" t="str">
        <f>IFERROR(VLOOKUP(A1854,取得元!$A$2:$F$501,2,FALSE),"-")</f>
        <v>-</v>
      </c>
      <c r="H1854" s="24" t="str">
        <f>IFERROR(VLOOKUP(A1854,取得元!$A$2:$F$501,3,FALSE),"-")</f>
        <v>-</v>
      </c>
      <c r="I1854" s="24" t="str">
        <f>IFERROR(VLOOKUP(A1854,取得元!$A$2:$F$501,4,FALSE),"-")</f>
        <v>-</v>
      </c>
      <c r="J1854" s="5" t="str">
        <f>IFERROR(VLOOKUP(A1854,取得元!$A$2:$F$501,5,FALSE),"-")</f>
        <v>-</v>
      </c>
      <c r="K1854" s="25" t="str">
        <f>IFERROR(VLOOKUP(A1854,取得元!$A$2:$F$501,6,FALSE)/100,"-")</f>
        <v>-</v>
      </c>
      <c r="L1854" s="21" t="str">
        <f>_xll.RssMarket(A1854,"始値")</f>
        <v/>
      </c>
      <c r="M1854" s="4" t="e">
        <f t="shared" si="155"/>
        <v>#VALUE!</v>
      </c>
      <c r="N1854" s="21" t="str">
        <f>_xll.RssMarket(A1854,"高値")</f>
        <v/>
      </c>
      <c r="O1854" s="4" t="e">
        <f t="shared" si="156"/>
        <v>#VALUE!</v>
      </c>
      <c r="P1854" s="21" t="str">
        <f>_xll.RssMarket(A1854,"安値")</f>
        <v/>
      </c>
      <c r="Q1854" s="4" t="e">
        <f t="shared" si="157"/>
        <v>#VALUE!</v>
      </c>
      <c r="R1854" s="21" t="str">
        <f>_xll.RssMarket(A1854,"後場始値")</f>
        <v/>
      </c>
      <c r="S1854" s="25" t="str">
        <f t="shared" si="158"/>
        <v>-</v>
      </c>
      <c r="T1854" s="7" t="str">
        <f>_xll.RssMarket(A1854,"出来高加重平均")</f>
        <v/>
      </c>
      <c r="U1854" s="4" t="e">
        <f t="shared" si="159"/>
        <v>#VALUE!</v>
      </c>
      <c r="V1854" s="21" t="str">
        <f>_xll.RssMarket(A1854,"出来高")</f>
        <v/>
      </c>
      <c r="W1854" s="21" t="str">
        <f>_xll.RssMarket(A1854,"売買代金")</f>
        <v/>
      </c>
      <c r="X1854" s="20" t="str">
        <f>_xll.RssMarket(A1854,"決算発表日")</f>
        <v/>
      </c>
      <c r="Y1854" s="26" t="str">
        <f>IF(C1854&gt;_xll.RssMarket(A1854,"年初来高値"),"○","×")</f>
        <v>×</v>
      </c>
      <c r="Z1854" s="27" t="str">
        <f>IF(C1854&lt;=_xll.RssMarket(A1854,"年初来安値"),"○","×")</f>
        <v>○</v>
      </c>
    </row>
    <row r="1855" spans="2:26" x14ac:dyDescent="0.55000000000000004">
      <c r="B1855" s="20" t="str">
        <f>_xll.RssMarket(A1855,"銘柄名称")</f>
        <v/>
      </c>
      <c r="C1855" s="21" t="str">
        <f>_xll.RssMarket(A1855,"現在値")</f>
        <v/>
      </c>
      <c r="D1855" s="20" t="str">
        <f>_xll.RssMarket(A1855,"現在値詳細時刻")</f>
        <v/>
      </c>
      <c r="E1855" s="22" t="str">
        <f>_xll.RssMarket(A1855,"前日比")</f>
        <v/>
      </c>
      <c r="F1855" s="23" t="e">
        <f>_xll.RssMarket(A1855,"前日比率")/100</f>
        <v>#VALUE!</v>
      </c>
      <c r="G1855" s="24" t="str">
        <f>IFERROR(VLOOKUP(A1855,取得元!$A$2:$F$501,2,FALSE),"-")</f>
        <v>-</v>
      </c>
      <c r="H1855" s="24" t="str">
        <f>IFERROR(VLOOKUP(A1855,取得元!$A$2:$F$501,3,FALSE),"-")</f>
        <v>-</v>
      </c>
      <c r="I1855" s="24" t="str">
        <f>IFERROR(VLOOKUP(A1855,取得元!$A$2:$F$501,4,FALSE),"-")</f>
        <v>-</v>
      </c>
      <c r="J1855" s="5" t="str">
        <f>IFERROR(VLOOKUP(A1855,取得元!$A$2:$F$501,5,FALSE),"-")</f>
        <v>-</v>
      </c>
      <c r="K1855" s="25" t="str">
        <f>IFERROR(VLOOKUP(A1855,取得元!$A$2:$F$501,6,FALSE)/100,"-")</f>
        <v>-</v>
      </c>
      <c r="L1855" s="21" t="str">
        <f>_xll.RssMarket(A1855,"始値")</f>
        <v/>
      </c>
      <c r="M1855" s="4" t="e">
        <f t="shared" si="155"/>
        <v>#VALUE!</v>
      </c>
      <c r="N1855" s="21" t="str">
        <f>_xll.RssMarket(A1855,"高値")</f>
        <v/>
      </c>
      <c r="O1855" s="4" t="e">
        <f t="shared" si="156"/>
        <v>#VALUE!</v>
      </c>
      <c r="P1855" s="21" t="str">
        <f>_xll.RssMarket(A1855,"安値")</f>
        <v/>
      </c>
      <c r="Q1855" s="4" t="e">
        <f t="shared" si="157"/>
        <v>#VALUE!</v>
      </c>
      <c r="R1855" s="21" t="str">
        <f>_xll.RssMarket(A1855,"後場始値")</f>
        <v/>
      </c>
      <c r="S1855" s="25" t="str">
        <f t="shared" si="158"/>
        <v>-</v>
      </c>
      <c r="T1855" s="7" t="str">
        <f>_xll.RssMarket(A1855,"出来高加重平均")</f>
        <v/>
      </c>
      <c r="U1855" s="4" t="e">
        <f t="shared" si="159"/>
        <v>#VALUE!</v>
      </c>
      <c r="V1855" s="21" t="str">
        <f>_xll.RssMarket(A1855,"出来高")</f>
        <v/>
      </c>
      <c r="W1855" s="21" t="str">
        <f>_xll.RssMarket(A1855,"売買代金")</f>
        <v/>
      </c>
      <c r="X1855" s="20" t="str">
        <f>_xll.RssMarket(A1855,"決算発表日")</f>
        <v/>
      </c>
      <c r="Y1855" s="26" t="str">
        <f>IF(C1855&gt;_xll.RssMarket(A1855,"年初来高値"),"○","×")</f>
        <v>×</v>
      </c>
      <c r="Z1855" s="27" t="str">
        <f>IF(C1855&lt;=_xll.RssMarket(A1855,"年初来安値"),"○","×")</f>
        <v>○</v>
      </c>
    </row>
    <row r="1856" spans="2:26" x14ac:dyDescent="0.55000000000000004">
      <c r="B1856" s="20" t="str">
        <f>_xll.RssMarket(A1856,"銘柄名称")</f>
        <v/>
      </c>
      <c r="C1856" s="21" t="str">
        <f>_xll.RssMarket(A1856,"現在値")</f>
        <v/>
      </c>
      <c r="D1856" s="20" t="str">
        <f>_xll.RssMarket(A1856,"現在値詳細時刻")</f>
        <v/>
      </c>
      <c r="E1856" s="22" t="str">
        <f>_xll.RssMarket(A1856,"前日比")</f>
        <v/>
      </c>
      <c r="F1856" s="23" t="e">
        <f>_xll.RssMarket(A1856,"前日比率")/100</f>
        <v>#VALUE!</v>
      </c>
      <c r="G1856" s="24" t="str">
        <f>IFERROR(VLOOKUP(A1856,取得元!$A$2:$F$501,2,FALSE),"-")</f>
        <v>-</v>
      </c>
      <c r="H1856" s="24" t="str">
        <f>IFERROR(VLOOKUP(A1856,取得元!$A$2:$F$501,3,FALSE),"-")</f>
        <v>-</v>
      </c>
      <c r="I1856" s="24" t="str">
        <f>IFERROR(VLOOKUP(A1856,取得元!$A$2:$F$501,4,FALSE),"-")</f>
        <v>-</v>
      </c>
      <c r="J1856" s="5" t="str">
        <f>IFERROR(VLOOKUP(A1856,取得元!$A$2:$F$501,5,FALSE),"-")</f>
        <v>-</v>
      </c>
      <c r="K1856" s="25" t="str">
        <f>IFERROR(VLOOKUP(A1856,取得元!$A$2:$F$501,6,FALSE)/100,"-")</f>
        <v>-</v>
      </c>
      <c r="L1856" s="21" t="str">
        <f>_xll.RssMarket(A1856,"始値")</f>
        <v/>
      </c>
      <c r="M1856" s="4" t="e">
        <f t="shared" si="155"/>
        <v>#VALUE!</v>
      </c>
      <c r="N1856" s="21" t="str">
        <f>_xll.RssMarket(A1856,"高値")</f>
        <v/>
      </c>
      <c r="O1856" s="4" t="e">
        <f t="shared" si="156"/>
        <v>#VALUE!</v>
      </c>
      <c r="P1856" s="21" t="str">
        <f>_xll.RssMarket(A1856,"安値")</f>
        <v/>
      </c>
      <c r="Q1856" s="4" t="e">
        <f t="shared" si="157"/>
        <v>#VALUE!</v>
      </c>
      <c r="R1856" s="21" t="str">
        <f>_xll.RssMarket(A1856,"後場始値")</f>
        <v/>
      </c>
      <c r="S1856" s="25" t="str">
        <f t="shared" si="158"/>
        <v>-</v>
      </c>
      <c r="T1856" s="7" t="str">
        <f>_xll.RssMarket(A1856,"出来高加重平均")</f>
        <v/>
      </c>
      <c r="U1856" s="4" t="e">
        <f t="shared" si="159"/>
        <v>#VALUE!</v>
      </c>
      <c r="V1856" s="21" t="str">
        <f>_xll.RssMarket(A1856,"出来高")</f>
        <v/>
      </c>
      <c r="W1856" s="21" t="str">
        <f>_xll.RssMarket(A1856,"売買代金")</f>
        <v/>
      </c>
      <c r="X1856" s="20" t="str">
        <f>_xll.RssMarket(A1856,"決算発表日")</f>
        <v/>
      </c>
      <c r="Y1856" s="26" t="str">
        <f>IF(C1856&gt;_xll.RssMarket(A1856,"年初来高値"),"○","×")</f>
        <v>×</v>
      </c>
      <c r="Z1856" s="27" t="str">
        <f>IF(C1856&lt;=_xll.RssMarket(A1856,"年初来安値"),"○","×")</f>
        <v>○</v>
      </c>
    </row>
    <row r="1857" spans="2:26" x14ac:dyDescent="0.55000000000000004">
      <c r="B1857" s="20" t="str">
        <f>_xll.RssMarket(A1857,"銘柄名称")</f>
        <v/>
      </c>
      <c r="C1857" s="21" t="str">
        <f>_xll.RssMarket(A1857,"現在値")</f>
        <v/>
      </c>
      <c r="D1857" s="20" t="str">
        <f>_xll.RssMarket(A1857,"現在値詳細時刻")</f>
        <v/>
      </c>
      <c r="E1857" s="22" t="str">
        <f>_xll.RssMarket(A1857,"前日比")</f>
        <v/>
      </c>
      <c r="F1857" s="23" t="e">
        <f>_xll.RssMarket(A1857,"前日比率")/100</f>
        <v>#VALUE!</v>
      </c>
      <c r="G1857" s="24" t="str">
        <f>IFERROR(VLOOKUP(A1857,取得元!$A$2:$F$501,2,FALSE),"-")</f>
        <v>-</v>
      </c>
      <c r="H1857" s="24" t="str">
        <f>IFERROR(VLOOKUP(A1857,取得元!$A$2:$F$501,3,FALSE),"-")</f>
        <v>-</v>
      </c>
      <c r="I1857" s="24" t="str">
        <f>IFERROR(VLOOKUP(A1857,取得元!$A$2:$F$501,4,FALSE),"-")</f>
        <v>-</v>
      </c>
      <c r="J1857" s="5" t="str">
        <f>IFERROR(VLOOKUP(A1857,取得元!$A$2:$F$501,5,FALSE),"-")</f>
        <v>-</v>
      </c>
      <c r="K1857" s="25" t="str">
        <f>IFERROR(VLOOKUP(A1857,取得元!$A$2:$F$501,6,FALSE)/100,"-")</f>
        <v>-</v>
      </c>
      <c r="L1857" s="21" t="str">
        <f>_xll.RssMarket(A1857,"始値")</f>
        <v/>
      </c>
      <c r="M1857" s="4" t="e">
        <f t="shared" si="155"/>
        <v>#VALUE!</v>
      </c>
      <c r="N1857" s="21" t="str">
        <f>_xll.RssMarket(A1857,"高値")</f>
        <v/>
      </c>
      <c r="O1857" s="4" t="e">
        <f t="shared" si="156"/>
        <v>#VALUE!</v>
      </c>
      <c r="P1857" s="21" t="str">
        <f>_xll.RssMarket(A1857,"安値")</f>
        <v/>
      </c>
      <c r="Q1857" s="4" t="e">
        <f t="shared" si="157"/>
        <v>#VALUE!</v>
      </c>
      <c r="R1857" s="21" t="str">
        <f>_xll.RssMarket(A1857,"後場始値")</f>
        <v/>
      </c>
      <c r="S1857" s="25" t="str">
        <f t="shared" si="158"/>
        <v>-</v>
      </c>
      <c r="T1857" s="7" t="str">
        <f>_xll.RssMarket(A1857,"出来高加重平均")</f>
        <v/>
      </c>
      <c r="U1857" s="4" t="e">
        <f t="shared" si="159"/>
        <v>#VALUE!</v>
      </c>
      <c r="V1857" s="21" t="str">
        <f>_xll.RssMarket(A1857,"出来高")</f>
        <v/>
      </c>
      <c r="W1857" s="21" t="str">
        <f>_xll.RssMarket(A1857,"売買代金")</f>
        <v/>
      </c>
      <c r="X1857" s="20" t="str">
        <f>_xll.RssMarket(A1857,"決算発表日")</f>
        <v/>
      </c>
      <c r="Y1857" s="26" t="str">
        <f>IF(C1857&gt;_xll.RssMarket(A1857,"年初来高値"),"○","×")</f>
        <v>×</v>
      </c>
      <c r="Z1857" s="27" t="str">
        <f>IF(C1857&lt;=_xll.RssMarket(A1857,"年初来安値"),"○","×")</f>
        <v>○</v>
      </c>
    </row>
    <row r="1858" spans="2:26" x14ac:dyDescent="0.55000000000000004">
      <c r="B1858" s="20" t="str">
        <f>_xll.RssMarket(A1858,"銘柄名称")</f>
        <v/>
      </c>
      <c r="C1858" s="21" t="str">
        <f>_xll.RssMarket(A1858,"現在値")</f>
        <v/>
      </c>
      <c r="D1858" s="20" t="str">
        <f>_xll.RssMarket(A1858,"現在値詳細時刻")</f>
        <v/>
      </c>
      <c r="E1858" s="22" t="str">
        <f>_xll.RssMarket(A1858,"前日比")</f>
        <v/>
      </c>
      <c r="F1858" s="23" t="e">
        <f>_xll.RssMarket(A1858,"前日比率")/100</f>
        <v>#VALUE!</v>
      </c>
      <c r="G1858" s="24" t="str">
        <f>IFERROR(VLOOKUP(A1858,取得元!$A$2:$F$501,2,FALSE),"-")</f>
        <v>-</v>
      </c>
      <c r="H1858" s="24" t="str">
        <f>IFERROR(VLOOKUP(A1858,取得元!$A$2:$F$501,3,FALSE),"-")</f>
        <v>-</v>
      </c>
      <c r="I1858" s="24" t="str">
        <f>IFERROR(VLOOKUP(A1858,取得元!$A$2:$F$501,4,FALSE),"-")</f>
        <v>-</v>
      </c>
      <c r="J1858" s="5" t="str">
        <f>IFERROR(VLOOKUP(A1858,取得元!$A$2:$F$501,5,FALSE),"-")</f>
        <v>-</v>
      </c>
      <c r="K1858" s="25" t="str">
        <f>IFERROR(VLOOKUP(A1858,取得元!$A$2:$F$501,6,FALSE)/100,"-")</f>
        <v>-</v>
      </c>
      <c r="L1858" s="21" t="str">
        <f>_xll.RssMarket(A1858,"始値")</f>
        <v/>
      </c>
      <c r="M1858" s="4" t="e">
        <f t="shared" si="155"/>
        <v>#VALUE!</v>
      </c>
      <c r="N1858" s="21" t="str">
        <f>_xll.RssMarket(A1858,"高値")</f>
        <v/>
      </c>
      <c r="O1858" s="4" t="e">
        <f t="shared" si="156"/>
        <v>#VALUE!</v>
      </c>
      <c r="P1858" s="21" t="str">
        <f>_xll.RssMarket(A1858,"安値")</f>
        <v/>
      </c>
      <c r="Q1858" s="4" t="e">
        <f t="shared" si="157"/>
        <v>#VALUE!</v>
      </c>
      <c r="R1858" s="21" t="str">
        <f>_xll.RssMarket(A1858,"後場始値")</f>
        <v/>
      </c>
      <c r="S1858" s="25" t="str">
        <f t="shared" si="158"/>
        <v>-</v>
      </c>
      <c r="T1858" s="7" t="str">
        <f>_xll.RssMarket(A1858,"出来高加重平均")</f>
        <v/>
      </c>
      <c r="U1858" s="4" t="e">
        <f t="shared" si="159"/>
        <v>#VALUE!</v>
      </c>
      <c r="V1858" s="21" t="str">
        <f>_xll.RssMarket(A1858,"出来高")</f>
        <v/>
      </c>
      <c r="W1858" s="21" t="str">
        <f>_xll.RssMarket(A1858,"売買代金")</f>
        <v/>
      </c>
      <c r="X1858" s="20" t="str">
        <f>_xll.RssMarket(A1858,"決算発表日")</f>
        <v/>
      </c>
      <c r="Y1858" s="26" t="str">
        <f>IF(C1858&gt;_xll.RssMarket(A1858,"年初来高値"),"○","×")</f>
        <v>×</v>
      </c>
      <c r="Z1858" s="27" t="str">
        <f>IF(C1858&lt;=_xll.RssMarket(A1858,"年初来安値"),"○","×")</f>
        <v>○</v>
      </c>
    </row>
    <row r="1859" spans="2:26" x14ac:dyDescent="0.55000000000000004">
      <c r="B1859" s="20" t="str">
        <f>_xll.RssMarket(A1859,"銘柄名称")</f>
        <v/>
      </c>
      <c r="C1859" s="21" t="str">
        <f>_xll.RssMarket(A1859,"現在値")</f>
        <v/>
      </c>
      <c r="D1859" s="20" t="str">
        <f>_xll.RssMarket(A1859,"現在値詳細時刻")</f>
        <v/>
      </c>
      <c r="E1859" s="22" t="str">
        <f>_xll.RssMarket(A1859,"前日比")</f>
        <v/>
      </c>
      <c r="F1859" s="23" t="e">
        <f>_xll.RssMarket(A1859,"前日比率")/100</f>
        <v>#VALUE!</v>
      </c>
      <c r="G1859" s="24" t="str">
        <f>IFERROR(VLOOKUP(A1859,取得元!$A$2:$F$501,2,FALSE),"-")</f>
        <v>-</v>
      </c>
      <c r="H1859" s="24" t="str">
        <f>IFERROR(VLOOKUP(A1859,取得元!$A$2:$F$501,3,FALSE),"-")</f>
        <v>-</v>
      </c>
      <c r="I1859" s="24" t="str">
        <f>IFERROR(VLOOKUP(A1859,取得元!$A$2:$F$501,4,FALSE),"-")</f>
        <v>-</v>
      </c>
      <c r="J1859" s="5" t="str">
        <f>IFERROR(VLOOKUP(A1859,取得元!$A$2:$F$501,5,FALSE),"-")</f>
        <v>-</v>
      </c>
      <c r="K1859" s="25" t="str">
        <f>IFERROR(VLOOKUP(A1859,取得元!$A$2:$F$501,6,FALSE)/100,"-")</f>
        <v>-</v>
      </c>
      <c r="L1859" s="21" t="str">
        <f>_xll.RssMarket(A1859,"始値")</f>
        <v/>
      </c>
      <c r="M1859" s="4" t="e">
        <f t="shared" si="155"/>
        <v>#VALUE!</v>
      </c>
      <c r="N1859" s="21" t="str">
        <f>_xll.RssMarket(A1859,"高値")</f>
        <v/>
      </c>
      <c r="O1859" s="4" t="e">
        <f t="shared" si="156"/>
        <v>#VALUE!</v>
      </c>
      <c r="P1859" s="21" t="str">
        <f>_xll.RssMarket(A1859,"安値")</f>
        <v/>
      </c>
      <c r="Q1859" s="4" t="e">
        <f t="shared" si="157"/>
        <v>#VALUE!</v>
      </c>
      <c r="R1859" s="21" t="str">
        <f>_xll.RssMarket(A1859,"後場始値")</f>
        <v/>
      </c>
      <c r="S1859" s="25" t="str">
        <f t="shared" si="158"/>
        <v>-</v>
      </c>
      <c r="T1859" s="7" t="str">
        <f>_xll.RssMarket(A1859,"出来高加重平均")</f>
        <v/>
      </c>
      <c r="U1859" s="4" t="e">
        <f t="shared" si="159"/>
        <v>#VALUE!</v>
      </c>
      <c r="V1859" s="21" t="str">
        <f>_xll.RssMarket(A1859,"出来高")</f>
        <v/>
      </c>
      <c r="W1859" s="21" t="str">
        <f>_xll.RssMarket(A1859,"売買代金")</f>
        <v/>
      </c>
      <c r="X1859" s="20" t="str">
        <f>_xll.RssMarket(A1859,"決算発表日")</f>
        <v/>
      </c>
      <c r="Y1859" s="26" t="str">
        <f>IF(C1859&gt;_xll.RssMarket(A1859,"年初来高値"),"○","×")</f>
        <v>×</v>
      </c>
      <c r="Z1859" s="27" t="str">
        <f>IF(C1859&lt;=_xll.RssMarket(A1859,"年初来安値"),"○","×")</f>
        <v>○</v>
      </c>
    </row>
    <row r="1860" spans="2:26" x14ac:dyDescent="0.55000000000000004">
      <c r="B1860" s="20" t="str">
        <f>_xll.RssMarket(A1860,"銘柄名称")</f>
        <v/>
      </c>
      <c r="C1860" s="21" t="str">
        <f>_xll.RssMarket(A1860,"現在値")</f>
        <v/>
      </c>
      <c r="D1860" s="20" t="str">
        <f>_xll.RssMarket(A1860,"現在値詳細時刻")</f>
        <v/>
      </c>
      <c r="E1860" s="22" t="str">
        <f>_xll.RssMarket(A1860,"前日比")</f>
        <v/>
      </c>
      <c r="F1860" s="23" t="e">
        <f>_xll.RssMarket(A1860,"前日比率")/100</f>
        <v>#VALUE!</v>
      </c>
      <c r="G1860" s="24" t="str">
        <f>IFERROR(VLOOKUP(A1860,取得元!$A$2:$F$501,2,FALSE),"-")</f>
        <v>-</v>
      </c>
      <c r="H1860" s="24" t="str">
        <f>IFERROR(VLOOKUP(A1860,取得元!$A$2:$F$501,3,FALSE),"-")</f>
        <v>-</v>
      </c>
      <c r="I1860" s="24" t="str">
        <f>IFERROR(VLOOKUP(A1860,取得元!$A$2:$F$501,4,FALSE),"-")</f>
        <v>-</v>
      </c>
      <c r="J1860" s="5" t="str">
        <f>IFERROR(VLOOKUP(A1860,取得元!$A$2:$F$501,5,FALSE),"-")</f>
        <v>-</v>
      </c>
      <c r="K1860" s="25" t="str">
        <f>IFERROR(VLOOKUP(A1860,取得元!$A$2:$F$501,6,FALSE)/100,"-")</f>
        <v>-</v>
      </c>
      <c r="L1860" s="21" t="str">
        <f>_xll.RssMarket(A1860,"始値")</f>
        <v/>
      </c>
      <c r="M1860" s="4" t="e">
        <f t="shared" si="155"/>
        <v>#VALUE!</v>
      </c>
      <c r="N1860" s="21" t="str">
        <f>_xll.RssMarket(A1860,"高値")</f>
        <v/>
      </c>
      <c r="O1860" s="4" t="e">
        <f t="shared" si="156"/>
        <v>#VALUE!</v>
      </c>
      <c r="P1860" s="21" t="str">
        <f>_xll.RssMarket(A1860,"安値")</f>
        <v/>
      </c>
      <c r="Q1860" s="4" t="e">
        <f t="shared" si="157"/>
        <v>#VALUE!</v>
      </c>
      <c r="R1860" s="21" t="str">
        <f>_xll.RssMarket(A1860,"後場始値")</f>
        <v/>
      </c>
      <c r="S1860" s="25" t="str">
        <f t="shared" si="158"/>
        <v>-</v>
      </c>
      <c r="T1860" s="7" t="str">
        <f>_xll.RssMarket(A1860,"出来高加重平均")</f>
        <v/>
      </c>
      <c r="U1860" s="4" t="e">
        <f t="shared" si="159"/>
        <v>#VALUE!</v>
      </c>
      <c r="V1860" s="21" t="str">
        <f>_xll.RssMarket(A1860,"出来高")</f>
        <v/>
      </c>
      <c r="W1860" s="21" t="str">
        <f>_xll.RssMarket(A1860,"売買代金")</f>
        <v/>
      </c>
      <c r="X1860" s="20" t="str">
        <f>_xll.RssMarket(A1860,"決算発表日")</f>
        <v/>
      </c>
      <c r="Y1860" s="26" t="str">
        <f>IF(C1860&gt;_xll.RssMarket(A1860,"年初来高値"),"○","×")</f>
        <v>×</v>
      </c>
      <c r="Z1860" s="27" t="str">
        <f>IF(C1860&lt;=_xll.RssMarket(A1860,"年初来安値"),"○","×")</f>
        <v>○</v>
      </c>
    </row>
    <row r="1861" spans="2:26" x14ac:dyDescent="0.55000000000000004">
      <c r="B1861" s="20" t="str">
        <f>_xll.RssMarket(A1861,"銘柄名称")</f>
        <v/>
      </c>
      <c r="C1861" s="21" t="str">
        <f>_xll.RssMarket(A1861,"現在値")</f>
        <v/>
      </c>
      <c r="D1861" s="20" t="str">
        <f>_xll.RssMarket(A1861,"現在値詳細時刻")</f>
        <v/>
      </c>
      <c r="E1861" s="22" t="str">
        <f>_xll.RssMarket(A1861,"前日比")</f>
        <v/>
      </c>
      <c r="F1861" s="23" t="e">
        <f>_xll.RssMarket(A1861,"前日比率")/100</f>
        <v>#VALUE!</v>
      </c>
      <c r="G1861" s="24" t="str">
        <f>IFERROR(VLOOKUP(A1861,取得元!$A$2:$F$501,2,FALSE),"-")</f>
        <v>-</v>
      </c>
      <c r="H1861" s="24" t="str">
        <f>IFERROR(VLOOKUP(A1861,取得元!$A$2:$F$501,3,FALSE),"-")</f>
        <v>-</v>
      </c>
      <c r="I1861" s="24" t="str">
        <f>IFERROR(VLOOKUP(A1861,取得元!$A$2:$F$501,4,FALSE),"-")</f>
        <v>-</v>
      </c>
      <c r="J1861" s="5" t="str">
        <f>IFERROR(VLOOKUP(A1861,取得元!$A$2:$F$501,5,FALSE),"-")</f>
        <v>-</v>
      </c>
      <c r="K1861" s="25" t="str">
        <f>IFERROR(VLOOKUP(A1861,取得元!$A$2:$F$501,6,FALSE)/100,"-")</f>
        <v>-</v>
      </c>
      <c r="L1861" s="21" t="str">
        <f>_xll.RssMarket(A1861,"始値")</f>
        <v/>
      </c>
      <c r="M1861" s="4" t="e">
        <f t="shared" si="155"/>
        <v>#VALUE!</v>
      </c>
      <c r="N1861" s="21" t="str">
        <f>_xll.RssMarket(A1861,"高値")</f>
        <v/>
      </c>
      <c r="O1861" s="4" t="e">
        <f t="shared" si="156"/>
        <v>#VALUE!</v>
      </c>
      <c r="P1861" s="21" t="str">
        <f>_xll.RssMarket(A1861,"安値")</f>
        <v/>
      </c>
      <c r="Q1861" s="4" t="e">
        <f t="shared" si="157"/>
        <v>#VALUE!</v>
      </c>
      <c r="R1861" s="21" t="str">
        <f>_xll.RssMarket(A1861,"後場始値")</f>
        <v/>
      </c>
      <c r="S1861" s="25" t="str">
        <f t="shared" si="158"/>
        <v>-</v>
      </c>
      <c r="T1861" s="7" t="str">
        <f>_xll.RssMarket(A1861,"出来高加重平均")</f>
        <v/>
      </c>
      <c r="U1861" s="4" t="e">
        <f t="shared" si="159"/>
        <v>#VALUE!</v>
      </c>
      <c r="V1861" s="21" t="str">
        <f>_xll.RssMarket(A1861,"出来高")</f>
        <v/>
      </c>
      <c r="W1861" s="21" t="str">
        <f>_xll.RssMarket(A1861,"売買代金")</f>
        <v/>
      </c>
      <c r="X1861" s="20" t="str">
        <f>_xll.RssMarket(A1861,"決算発表日")</f>
        <v/>
      </c>
      <c r="Y1861" s="26" t="str">
        <f>IF(C1861&gt;_xll.RssMarket(A1861,"年初来高値"),"○","×")</f>
        <v>×</v>
      </c>
      <c r="Z1861" s="27" t="str">
        <f>IF(C1861&lt;=_xll.RssMarket(A1861,"年初来安値"),"○","×")</f>
        <v>○</v>
      </c>
    </row>
    <row r="1862" spans="2:26" x14ac:dyDescent="0.55000000000000004">
      <c r="B1862" s="20" t="str">
        <f>_xll.RssMarket(A1862,"銘柄名称")</f>
        <v/>
      </c>
      <c r="C1862" s="21" t="str">
        <f>_xll.RssMarket(A1862,"現在値")</f>
        <v/>
      </c>
      <c r="D1862" s="20" t="str">
        <f>_xll.RssMarket(A1862,"現在値詳細時刻")</f>
        <v/>
      </c>
      <c r="E1862" s="22" t="str">
        <f>_xll.RssMarket(A1862,"前日比")</f>
        <v/>
      </c>
      <c r="F1862" s="23" t="e">
        <f>_xll.RssMarket(A1862,"前日比率")/100</f>
        <v>#VALUE!</v>
      </c>
      <c r="G1862" s="24" t="str">
        <f>IFERROR(VLOOKUP(A1862,取得元!$A$2:$F$501,2,FALSE),"-")</f>
        <v>-</v>
      </c>
      <c r="H1862" s="24" t="str">
        <f>IFERROR(VLOOKUP(A1862,取得元!$A$2:$F$501,3,FALSE),"-")</f>
        <v>-</v>
      </c>
      <c r="I1862" s="24" t="str">
        <f>IFERROR(VLOOKUP(A1862,取得元!$A$2:$F$501,4,FALSE),"-")</f>
        <v>-</v>
      </c>
      <c r="J1862" s="5" t="str">
        <f>IFERROR(VLOOKUP(A1862,取得元!$A$2:$F$501,5,FALSE),"-")</f>
        <v>-</v>
      </c>
      <c r="K1862" s="25" t="str">
        <f>IFERROR(VLOOKUP(A1862,取得元!$A$2:$F$501,6,FALSE)/100,"-")</f>
        <v>-</v>
      </c>
      <c r="L1862" s="21" t="str">
        <f>_xll.RssMarket(A1862,"始値")</f>
        <v/>
      </c>
      <c r="M1862" s="4" t="e">
        <f t="shared" si="155"/>
        <v>#VALUE!</v>
      </c>
      <c r="N1862" s="21" t="str">
        <f>_xll.RssMarket(A1862,"高値")</f>
        <v/>
      </c>
      <c r="O1862" s="4" t="e">
        <f t="shared" si="156"/>
        <v>#VALUE!</v>
      </c>
      <c r="P1862" s="21" t="str">
        <f>_xll.RssMarket(A1862,"安値")</f>
        <v/>
      </c>
      <c r="Q1862" s="4" t="e">
        <f t="shared" si="157"/>
        <v>#VALUE!</v>
      </c>
      <c r="R1862" s="21" t="str">
        <f>_xll.RssMarket(A1862,"後場始値")</f>
        <v/>
      </c>
      <c r="S1862" s="25" t="str">
        <f t="shared" si="158"/>
        <v>-</v>
      </c>
      <c r="T1862" s="7" t="str">
        <f>_xll.RssMarket(A1862,"出来高加重平均")</f>
        <v/>
      </c>
      <c r="U1862" s="4" t="e">
        <f t="shared" si="159"/>
        <v>#VALUE!</v>
      </c>
      <c r="V1862" s="21" t="str">
        <f>_xll.RssMarket(A1862,"出来高")</f>
        <v/>
      </c>
      <c r="W1862" s="21" t="str">
        <f>_xll.RssMarket(A1862,"売買代金")</f>
        <v/>
      </c>
      <c r="X1862" s="20" t="str">
        <f>_xll.RssMarket(A1862,"決算発表日")</f>
        <v/>
      </c>
      <c r="Y1862" s="26" t="str">
        <f>IF(C1862&gt;_xll.RssMarket(A1862,"年初来高値"),"○","×")</f>
        <v>×</v>
      </c>
      <c r="Z1862" s="27" t="str">
        <f>IF(C1862&lt;=_xll.RssMarket(A1862,"年初来安値"),"○","×")</f>
        <v>○</v>
      </c>
    </row>
    <row r="1863" spans="2:26" x14ac:dyDescent="0.55000000000000004">
      <c r="B1863" s="20" t="str">
        <f>_xll.RssMarket(A1863,"銘柄名称")</f>
        <v/>
      </c>
      <c r="C1863" s="21" t="str">
        <f>_xll.RssMarket(A1863,"現在値")</f>
        <v/>
      </c>
      <c r="D1863" s="20" t="str">
        <f>_xll.RssMarket(A1863,"現在値詳細時刻")</f>
        <v/>
      </c>
      <c r="E1863" s="22" t="str">
        <f>_xll.RssMarket(A1863,"前日比")</f>
        <v/>
      </c>
      <c r="F1863" s="23" t="e">
        <f>_xll.RssMarket(A1863,"前日比率")/100</f>
        <v>#VALUE!</v>
      </c>
      <c r="G1863" s="24" t="str">
        <f>IFERROR(VLOOKUP(A1863,取得元!$A$2:$F$501,2,FALSE),"-")</f>
        <v>-</v>
      </c>
      <c r="H1863" s="24" t="str">
        <f>IFERROR(VLOOKUP(A1863,取得元!$A$2:$F$501,3,FALSE),"-")</f>
        <v>-</v>
      </c>
      <c r="I1863" s="24" t="str">
        <f>IFERROR(VLOOKUP(A1863,取得元!$A$2:$F$501,4,FALSE),"-")</f>
        <v>-</v>
      </c>
      <c r="J1863" s="5" t="str">
        <f>IFERROR(VLOOKUP(A1863,取得元!$A$2:$F$501,5,FALSE),"-")</f>
        <v>-</v>
      </c>
      <c r="K1863" s="25" t="str">
        <f>IFERROR(VLOOKUP(A1863,取得元!$A$2:$F$501,6,FALSE)/100,"-")</f>
        <v>-</v>
      </c>
      <c r="L1863" s="21" t="str">
        <f>_xll.RssMarket(A1863,"始値")</f>
        <v/>
      </c>
      <c r="M1863" s="4" t="e">
        <f t="shared" si="155"/>
        <v>#VALUE!</v>
      </c>
      <c r="N1863" s="21" t="str">
        <f>_xll.RssMarket(A1863,"高値")</f>
        <v/>
      </c>
      <c r="O1863" s="4" t="e">
        <f t="shared" si="156"/>
        <v>#VALUE!</v>
      </c>
      <c r="P1863" s="21" t="str">
        <f>_xll.RssMarket(A1863,"安値")</f>
        <v/>
      </c>
      <c r="Q1863" s="4" t="e">
        <f t="shared" si="157"/>
        <v>#VALUE!</v>
      </c>
      <c r="R1863" s="21" t="str">
        <f>_xll.RssMarket(A1863,"後場始値")</f>
        <v/>
      </c>
      <c r="S1863" s="25" t="str">
        <f t="shared" si="158"/>
        <v>-</v>
      </c>
      <c r="T1863" s="7" t="str">
        <f>_xll.RssMarket(A1863,"出来高加重平均")</f>
        <v/>
      </c>
      <c r="U1863" s="4" t="e">
        <f t="shared" si="159"/>
        <v>#VALUE!</v>
      </c>
      <c r="V1863" s="21" t="str">
        <f>_xll.RssMarket(A1863,"出来高")</f>
        <v/>
      </c>
      <c r="W1863" s="21" t="str">
        <f>_xll.RssMarket(A1863,"売買代金")</f>
        <v/>
      </c>
      <c r="X1863" s="20" t="str">
        <f>_xll.RssMarket(A1863,"決算発表日")</f>
        <v/>
      </c>
      <c r="Y1863" s="26" t="str">
        <f>IF(C1863&gt;_xll.RssMarket(A1863,"年初来高値"),"○","×")</f>
        <v>×</v>
      </c>
      <c r="Z1863" s="27" t="str">
        <f>IF(C1863&lt;=_xll.RssMarket(A1863,"年初来安値"),"○","×")</f>
        <v>○</v>
      </c>
    </row>
    <row r="1864" spans="2:26" x14ac:dyDescent="0.55000000000000004">
      <c r="B1864" s="20" t="str">
        <f>_xll.RssMarket(A1864,"銘柄名称")</f>
        <v/>
      </c>
      <c r="C1864" s="21" t="str">
        <f>_xll.RssMarket(A1864,"現在値")</f>
        <v/>
      </c>
      <c r="D1864" s="20" t="str">
        <f>_xll.RssMarket(A1864,"現在値詳細時刻")</f>
        <v/>
      </c>
      <c r="E1864" s="22" t="str">
        <f>_xll.RssMarket(A1864,"前日比")</f>
        <v/>
      </c>
      <c r="F1864" s="23" t="e">
        <f>_xll.RssMarket(A1864,"前日比率")/100</f>
        <v>#VALUE!</v>
      </c>
      <c r="G1864" s="24" t="str">
        <f>IFERROR(VLOOKUP(A1864,取得元!$A$2:$F$501,2,FALSE),"-")</f>
        <v>-</v>
      </c>
      <c r="H1864" s="24" t="str">
        <f>IFERROR(VLOOKUP(A1864,取得元!$A$2:$F$501,3,FALSE),"-")</f>
        <v>-</v>
      </c>
      <c r="I1864" s="24" t="str">
        <f>IFERROR(VLOOKUP(A1864,取得元!$A$2:$F$501,4,FALSE),"-")</f>
        <v>-</v>
      </c>
      <c r="J1864" s="5" t="str">
        <f>IFERROR(VLOOKUP(A1864,取得元!$A$2:$F$501,5,FALSE),"-")</f>
        <v>-</v>
      </c>
      <c r="K1864" s="25" t="str">
        <f>IFERROR(VLOOKUP(A1864,取得元!$A$2:$F$501,6,FALSE)/100,"-")</f>
        <v>-</v>
      </c>
      <c r="L1864" s="21" t="str">
        <f>_xll.RssMarket(A1864,"始値")</f>
        <v/>
      </c>
      <c r="M1864" s="4" t="e">
        <f t="shared" si="155"/>
        <v>#VALUE!</v>
      </c>
      <c r="N1864" s="21" t="str">
        <f>_xll.RssMarket(A1864,"高値")</f>
        <v/>
      </c>
      <c r="O1864" s="4" t="e">
        <f t="shared" si="156"/>
        <v>#VALUE!</v>
      </c>
      <c r="P1864" s="21" t="str">
        <f>_xll.RssMarket(A1864,"安値")</f>
        <v/>
      </c>
      <c r="Q1864" s="4" t="e">
        <f t="shared" si="157"/>
        <v>#VALUE!</v>
      </c>
      <c r="R1864" s="21" t="str">
        <f>_xll.RssMarket(A1864,"後場始値")</f>
        <v/>
      </c>
      <c r="S1864" s="25" t="str">
        <f t="shared" si="158"/>
        <v>-</v>
      </c>
      <c r="T1864" s="7" t="str">
        <f>_xll.RssMarket(A1864,"出来高加重平均")</f>
        <v/>
      </c>
      <c r="U1864" s="4" t="e">
        <f t="shared" si="159"/>
        <v>#VALUE!</v>
      </c>
      <c r="V1864" s="21" t="str">
        <f>_xll.RssMarket(A1864,"出来高")</f>
        <v/>
      </c>
      <c r="W1864" s="21" t="str">
        <f>_xll.RssMarket(A1864,"売買代金")</f>
        <v/>
      </c>
      <c r="X1864" s="20" t="str">
        <f>_xll.RssMarket(A1864,"決算発表日")</f>
        <v/>
      </c>
      <c r="Y1864" s="26" t="str">
        <f>IF(C1864&gt;_xll.RssMarket(A1864,"年初来高値"),"○","×")</f>
        <v>×</v>
      </c>
      <c r="Z1864" s="27" t="str">
        <f>IF(C1864&lt;=_xll.RssMarket(A1864,"年初来安値"),"○","×")</f>
        <v>○</v>
      </c>
    </row>
    <row r="1865" spans="2:26" x14ac:dyDescent="0.55000000000000004">
      <c r="B1865" s="20" t="str">
        <f>_xll.RssMarket(A1865,"銘柄名称")</f>
        <v/>
      </c>
      <c r="C1865" s="21" t="str">
        <f>_xll.RssMarket(A1865,"現在値")</f>
        <v/>
      </c>
      <c r="D1865" s="20" t="str">
        <f>_xll.RssMarket(A1865,"現在値詳細時刻")</f>
        <v/>
      </c>
      <c r="E1865" s="22" t="str">
        <f>_xll.RssMarket(A1865,"前日比")</f>
        <v/>
      </c>
      <c r="F1865" s="23" t="e">
        <f>_xll.RssMarket(A1865,"前日比率")/100</f>
        <v>#VALUE!</v>
      </c>
      <c r="G1865" s="24" t="str">
        <f>IFERROR(VLOOKUP(A1865,取得元!$A$2:$F$501,2,FALSE),"-")</f>
        <v>-</v>
      </c>
      <c r="H1865" s="24" t="str">
        <f>IFERROR(VLOOKUP(A1865,取得元!$A$2:$F$501,3,FALSE),"-")</f>
        <v>-</v>
      </c>
      <c r="I1865" s="24" t="str">
        <f>IFERROR(VLOOKUP(A1865,取得元!$A$2:$F$501,4,FALSE),"-")</f>
        <v>-</v>
      </c>
      <c r="J1865" s="5" t="str">
        <f>IFERROR(VLOOKUP(A1865,取得元!$A$2:$F$501,5,FALSE),"-")</f>
        <v>-</v>
      </c>
      <c r="K1865" s="25" t="str">
        <f>IFERROR(VLOOKUP(A1865,取得元!$A$2:$F$501,6,FALSE)/100,"-")</f>
        <v>-</v>
      </c>
      <c r="L1865" s="21" t="str">
        <f>_xll.RssMarket(A1865,"始値")</f>
        <v/>
      </c>
      <c r="M1865" s="4" t="e">
        <f t="shared" si="155"/>
        <v>#VALUE!</v>
      </c>
      <c r="N1865" s="21" t="str">
        <f>_xll.RssMarket(A1865,"高値")</f>
        <v/>
      </c>
      <c r="O1865" s="4" t="e">
        <f t="shared" si="156"/>
        <v>#VALUE!</v>
      </c>
      <c r="P1865" s="21" t="str">
        <f>_xll.RssMarket(A1865,"安値")</f>
        <v/>
      </c>
      <c r="Q1865" s="4" t="e">
        <f t="shared" si="157"/>
        <v>#VALUE!</v>
      </c>
      <c r="R1865" s="21" t="str">
        <f>_xll.RssMarket(A1865,"後場始値")</f>
        <v/>
      </c>
      <c r="S1865" s="25" t="str">
        <f t="shared" si="158"/>
        <v>-</v>
      </c>
      <c r="T1865" s="7" t="str">
        <f>_xll.RssMarket(A1865,"出来高加重平均")</f>
        <v/>
      </c>
      <c r="U1865" s="4" t="e">
        <f t="shared" si="159"/>
        <v>#VALUE!</v>
      </c>
      <c r="V1865" s="21" t="str">
        <f>_xll.RssMarket(A1865,"出来高")</f>
        <v/>
      </c>
      <c r="W1865" s="21" t="str">
        <f>_xll.RssMarket(A1865,"売買代金")</f>
        <v/>
      </c>
      <c r="X1865" s="20" t="str">
        <f>_xll.RssMarket(A1865,"決算発表日")</f>
        <v/>
      </c>
      <c r="Y1865" s="26" t="str">
        <f>IF(C1865&gt;_xll.RssMarket(A1865,"年初来高値"),"○","×")</f>
        <v>×</v>
      </c>
      <c r="Z1865" s="27" t="str">
        <f>IF(C1865&lt;=_xll.RssMarket(A1865,"年初来安値"),"○","×")</f>
        <v>○</v>
      </c>
    </row>
    <row r="1866" spans="2:26" x14ac:dyDescent="0.55000000000000004">
      <c r="B1866" s="20" t="str">
        <f>_xll.RssMarket(A1866,"銘柄名称")</f>
        <v/>
      </c>
      <c r="C1866" s="21" t="str">
        <f>_xll.RssMarket(A1866,"現在値")</f>
        <v/>
      </c>
      <c r="D1866" s="20" t="str">
        <f>_xll.RssMarket(A1866,"現在値詳細時刻")</f>
        <v/>
      </c>
      <c r="E1866" s="22" t="str">
        <f>_xll.RssMarket(A1866,"前日比")</f>
        <v/>
      </c>
      <c r="F1866" s="23" t="e">
        <f>_xll.RssMarket(A1866,"前日比率")/100</f>
        <v>#VALUE!</v>
      </c>
      <c r="G1866" s="24" t="str">
        <f>IFERROR(VLOOKUP(A1866,取得元!$A$2:$F$501,2,FALSE),"-")</f>
        <v>-</v>
      </c>
      <c r="H1866" s="24" t="str">
        <f>IFERROR(VLOOKUP(A1866,取得元!$A$2:$F$501,3,FALSE),"-")</f>
        <v>-</v>
      </c>
      <c r="I1866" s="24" t="str">
        <f>IFERROR(VLOOKUP(A1866,取得元!$A$2:$F$501,4,FALSE),"-")</f>
        <v>-</v>
      </c>
      <c r="J1866" s="5" t="str">
        <f>IFERROR(VLOOKUP(A1866,取得元!$A$2:$F$501,5,FALSE),"-")</f>
        <v>-</v>
      </c>
      <c r="K1866" s="25" t="str">
        <f>IFERROR(VLOOKUP(A1866,取得元!$A$2:$F$501,6,FALSE)/100,"-")</f>
        <v>-</v>
      </c>
      <c r="L1866" s="21" t="str">
        <f>_xll.RssMarket(A1866,"始値")</f>
        <v/>
      </c>
      <c r="M1866" s="4" t="e">
        <f t="shared" si="155"/>
        <v>#VALUE!</v>
      </c>
      <c r="N1866" s="21" t="str">
        <f>_xll.RssMarket(A1866,"高値")</f>
        <v/>
      </c>
      <c r="O1866" s="4" t="e">
        <f t="shared" si="156"/>
        <v>#VALUE!</v>
      </c>
      <c r="P1866" s="21" t="str">
        <f>_xll.RssMarket(A1866,"安値")</f>
        <v/>
      </c>
      <c r="Q1866" s="4" t="e">
        <f t="shared" si="157"/>
        <v>#VALUE!</v>
      </c>
      <c r="R1866" s="21" t="str">
        <f>_xll.RssMarket(A1866,"後場始値")</f>
        <v/>
      </c>
      <c r="S1866" s="25" t="str">
        <f t="shared" si="158"/>
        <v>-</v>
      </c>
      <c r="T1866" s="7" t="str">
        <f>_xll.RssMarket(A1866,"出来高加重平均")</f>
        <v/>
      </c>
      <c r="U1866" s="4" t="e">
        <f t="shared" si="159"/>
        <v>#VALUE!</v>
      </c>
      <c r="V1866" s="21" t="str">
        <f>_xll.RssMarket(A1866,"出来高")</f>
        <v/>
      </c>
      <c r="W1866" s="21" t="str">
        <f>_xll.RssMarket(A1866,"売買代金")</f>
        <v/>
      </c>
      <c r="X1866" s="20" t="str">
        <f>_xll.RssMarket(A1866,"決算発表日")</f>
        <v/>
      </c>
      <c r="Y1866" s="26" t="str">
        <f>IF(C1866&gt;_xll.RssMarket(A1866,"年初来高値"),"○","×")</f>
        <v>×</v>
      </c>
      <c r="Z1866" s="27" t="str">
        <f>IF(C1866&lt;=_xll.RssMarket(A1866,"年初来安値"),"○","×")</f>
        <v>○</v>
      </c>
    </row>
    <row r="1867" spans="2:26" x14ac:dyDescent="0.55000000000000004">
      <c r="B1867" s="20" t="str">
        <f>_xll.RssMarket(A1867,"銘柄名称")</f>
        <v/>
      </c>
      <c r="C1867" s="21" t="str">
        <f>_xll.RssMarket(A1867,"現在値")</f>
        <v/>
      </c>
      <c r="D1867" s="20" t="str">
        <f>_xll.RssMarket(A1867,"現在値詳細時刻")</f>
        <v/>
      </c>
      <c r="E1867" s="22" t="str">
        <f>_xll.RssMarket(A1867,"前日比")</f>
        <v/>
      </c>
      <c r="F1867" s="23" t="e">
        <f>_xll.RssMarket(A1867,"前日比率")/100</f>
        <v>#VALUE!</v>
      </c>
      <c r="G1867" s="24" t="str">
        <f>IFERROR(VLOOKUP(A1867,取得元!$A$2:$F$501,2,FALSE),"-")</f>
        <v>-</v>
      </c>
      <c r="H1867" s="24" t="str">
        <f>IFERROR(VLOOKUP(A1867,取得元!$A$2:$F$501,3,FALSE),"-")</f>
        <v>-</v>
      </c>
      <c r="I1867" s="24" t="str">
        <f>IFERROR(VLOOKUP(A1867,取得元!$A$2:$F$501,4,FALSE),"-")</f>
        <v>-</v>
      </c>
      <c r="J1867" s="5" t="str">
        <f>IFERROR(VLOOKUP(A1867,取得元!$A$2:$F$501,5,FALSE),"-")</f>
        <v>-</v>
      </c>
      <c r="K1867" s="25" t="str">
        <f>IFERROR(VLOOKUP(A1867,取得元!$A$2:$F$501,6,FALSE)/100,"-")</f>
        <v>-</v>
      </c>
      <c r="L1867" s="21" t="str">
        <f>_xll.RssMarket(A1867,"始値")</f>
        <v/>
      </c>
      <c r="M1867" s="4" t="e">
        <f t="shared" si="155"/>
        <v>#VALUE!</v>
      </c>
      <c r="N1867" s="21" t="str">
        <f>_xll.RssMarket(A1867,"高値")</f>
        <v/>
      </c>
      <c r="O1867" s="4" t="e">
        <f t="shared" si="156"/>
        <v>#VALUE!</v>
      </c>
      <c r="P1867" s="21" t="str">
        <f>_xll.RssMarket(A1867,"安値")</f>
        <v/>
      </c>
      <c r="Q1867" s="4" t="e">
        <f t="shared" si="157"/>
        <v>#VALUE!</v>
      </c>
      <c r="R1867" s="21" t="str">
        <f>_xll.RssMarket(A1867,"後場始値")</f>
        <v/>
      </c>
      <c r="S1867" s="25" t="str">
        <f t="shared" si="158"/>
        <v>-</v>
      </c>
      <c r="T1867" s="7" t="str">
        <f>_xll.RssMarket(A1867,"出来高加重平均")</f>
        <v/>
      </c>
      <c r="U1867" s="4" t="e">
        <f t="shared" si="159"/>
        <v>#VALUE!</v>
      </c>
      <c r="V1867" s="21" t="str">
        <f>_xll.RssMarket(A1867,"出来高")</f>
        <v/>
      </c>
      <c r="W1867" s="21" t="str">
        <f>_xll.RssMarket(A1867,"売買代金")</f>
        <v/>
      </c>
      <c r="X1867" s="20" t="str">
        <f>_xll.RssMarket(A1867,"決算発表日")</f>
        <v/>
      </c>
      <c r="Y1867" s="26" t="str">
        <f>IF(C1867&gt;_xll.RssMarket(A1867,"年初来高値"),"○","×")</f>
        <v>×</v>
      </c>
      <c r="Z1867" s="27" t="str">
        <f>IF(C1867&lt;=_xll.RssMarket(A1867,"年初来安値"),"○","×")</f>
        <v>○</v>
      </c>
    </row>
    <row r="1868" spans="2:26" x14ac:dyDescent="0.55000000000000004">
      <c r="B1868" s="20" t="str">
        <f>_xll.RssMarket(A1868,"銘柄名称")</f>
        <v/>
      </c>
      <c r="C1868" s="21" t="str">
        <f>_xll.RssMarket(A1868,"現在値")</f>
        <v/>
      </c>
      <c r="D1868" s="20" t="str">
        <f>_xll.RssMarket(A1868,"現在値詳細時刻")</f>
        <v/>
      </c>
      <c r="E1868" s="22" t="str">
        <f>_xll.RssMarket(A1868,"前日比")</f>
        <v/>
      </c>
      <c r="F1868" s="23" t="e">
        <f>_xll.RssMarket(A1868,"前日比率")/100</f>
        <v>#VALUE!</v>
      </c>
      <c r="G1868" s="24" t="str">
        <f>IFERROR(VLOOKUP(A1868,取得元!$A$2:$F$501,2,FALSE),"-")</f>
        <v>-</v>
      </c>
      <c r="H1868" s="24" t="str">
        <f>IFERROR(VLOOKUP(A1868,取得元!$A$2:$F$501,3,FALSE),"-")</f>
        <v>-</v>
      </c>
      <c r="I1868" s="24" t="str">
        <f>IFERROR(VLOOKUP(A1868,取得元!$A$2:$F$501,4,FALSE),"-")</f>
        <v>-</v>
      </c>
      <c r="J1868" s="5" t="str">
        <f>IFERROR(VLOOKUP(A1868,取得元!$A$2:$F$501,5,FALSE),"-")</f>
        <v>-</v>
      </c>
      <c r="K1868" s="25" t="str">
        <f>IFERROR(VLOOKUP(A1868,取得元!$A$2:$F$501,6,FALSE)/100,"-")</f>
        <v>-</v>
      </c>
      <c r="L1868" s="21" t="str">
        <f>_xll.RssMarket(A1868,"始値")</f>
        <v/>
      </c>
      <c r="M1868" s="4" t="e">
        <f t="shared" si="155"/>
        <v>#VALUE!</v>
      </c>
      <c r="N1868" s="21" t="str">
        <f>_xll.RssMarket(A1868,"高値")</f>
        <v/>
      </c>
      <c r="O1868" s="4" t="e">
        <f t="shared" si="156"/>
        <v>#VALUE!</v>
      </c>
      <c r="P1868" s="21" t="str">
        <f>_xll.RssMarket(A1868,"安値")</f>
        <v/>
      </c>
      <c r="Q1868" s="4" t="e">
        <f t="shared" si="157"/>
        <v>#VALUE!</v>
      </c>
      <c r="R1868" s="21" t="str">
        <f>_xll.RssMarket(A1868,"後場始値")</f>
        <v/>
      </c>
      <c r="S1868" s="25" t="str">
        <f t="shared" si="158"/>
        <v>-</v>
      </c>
      <c r="T1868" s="7" t="str">
        <f>_xll.RssMarket(A1868,"出来高加重平均")</f>
        <v/>
      </c>
      <c r="U1868" s="4" t="e">
        <f t="shared" si="159"/>
        <v>#VALUE!</v>
      </c>
      <c r="V1868" s="21" t="str">
        <f>_xll.RssMarket(A1868,"出来高")</f>
        <v/>
      </c>
      <c r="W1868" s="21" t="str">
        <f>_xll.RssMarket(A1868,"売買代金")</f>
        <v/>
      </c>
      <c r="X1868" s="20" t="str">
        <f>_xll.RssMarket(A1868,"決算発表日")</f>
        <v/>
      </c>
      <c r="Y1868" s="26" t="str">
        <f>IF(C1868&gt;_xll.RssMarket(A1868,"年初来高値"),"○","×")</f>
        <v>×</v>
      </c>
      <c r="Z1868" s="27" t="str">
        <f>IF(C1868&lt;=_xll.RssMarket(A1868,"年初来安値"),"○","×")</f>
        <v>○</v>
      </c>
    </row>
    <row r="1869" spans="2:26" x14ac:dyDescent="0.55000000000000004">
      <c r="B1869" s="20" t="str">
        <f>_xll.RssMarket(A1869,"銘柄名称")</f>
        <v/>
      </c>
      <c r="C1869" s="21" t="str">
        <f>_xll.RssMarket(A1869,"現在値")</f>
        <v/>
      </c>
      <c r="D1869" s="20" t="str">
        <f>_xll.RssMarket(A1869,"現在値詳細時刻")</f>
        <v/>
      </c>
      <c r="E1869" s="22" t="str">
        <f>_xll.RssMarket(A1869,"前日比")</f>
        <v/>
      </c>
      <c r="F1869" s="23" t="e">
        <f>_xll.RssMarket(A1869,"前日比率")/100</f>
        <v>#VALUE!</v>
      </c>
      <c r="G1869" s="24" t="str">
        <f>IFERROR(VLOOKUP(A1869,取得元!$A$2:$F$501,2,FALSE),"-")</f>
        <v>-</v>
      </c>
      <c r="H1869" s="24" t="str">
        <f>IFERROR(VLOOKUP(A1869,取得元!$A$2:$F$501,3,FALSE),"-")</f>
        <v>-</v>
      </c>
      <c r="I1869" s="24" t="str">
        <f>IFERROR(VLOOKUP(A1869,取得元!$A$2:$F$501,4,FALSE),"-")</f>
        <v>-</v>
      </c>
      <c r="J1869" s="5" t="str">
        <f>IFERROR(VLOOKUP(A1869,取得元!$A$2:$F$501,5,FALSE),"-")</f>
        <v>-</v>
      </c>
      <c r="K1869" s="25" t="str">
        <f>IFERROR(VLOOKUP(A1869,取得元!$A$2:$F$501,6,FALSE)/100,"-")</f>
        <v>-</v>
      </c>
      <c r="L1869" s="21" t="str">
        <f>_xll.RssMarket(A1869,"始値")</f>
        <v/>
      </c>
      <c r="M1869" s="4" t="e">
        <f t="shared" si="155"/>
        <v>#VALUE!</v>
      </c>
      <c r="N1869" s="21" t="str">
        <f>_xll.RssMarket(A1869,"高値")</f>
        <v/>
      </c>
      <c r="O1869" s="4" t="e">
        <f t="shared" si="156"/>
        <v>#VALUE!</v>
      </c>
      <c r="P1869" s="21" t="str">
        <f>_xll.RssMarket(A1869,"安値")</f>
        <v/>
      </c>
      <c r="Q1869" s="4" t="e">
        <f t="shared" si="157"/>
        <v>#VALUE!</v>
      </c>
      <c r="R1869" s="21" t="str">
        <f>_xll.RssMarket(A1869,"後場始値")</f>
        <v/>
      </c>
      <c r="S1869" s="25" t="str">
        <f t="shared" si="158"/>
        <v>-</v>
      </c>
      <c r="T1869" s="7" t="str">
        <f>_xll.RssMarket(A1869,"出来高加重平均")</f>
        <v/>
      </c>
      <c r="U1869" s="4" t="e">
        <f t="shared" si="159"/>
        <v>#VALUE!</v>
      </c>
      <c r="V1869" s="21" t="str">
        <f>_xll.RssMarket(A1869,"出来高")</f>
        <v/>
      </c>
      <c r="W1869" s="21" t="str">
        <f>_xll.RssMarket(A1869,"売買代金")</f>
        <v/>
      </c>
      <c r="X1869" s="20" t="str">
        <f>_xll.RssMarket(A1869,"決算発表日")</f>
        <v/>
      </c>
      <c r="Y1869" s="26" t="str">
        <f>IF(C1869&gt;_xll.RssMarket(A1869,"年初来高値"),"○","×")</f>
        <v>×</v>
      </c>
      <c r="Z1869" s="27" t="str">
        <f>IF(C1869&lt;=_xll.RssMarket(A1869,"年初来安値"),"○","×")</f>
        <v>○</v>
      </c>
    </row>
    <row r="1870" spans="2:26" x14ac:dyDescent="0.55000000000000004">
      <c r="B1870" s="20" t="str">
        <f>_xll.RssMarket(A1870,"銘柄名称")</f>
        <v/>
      </c>
      <c r="C1870" s="21" t="str">
        <f>_xll.RssMarket(A1870,"現在値")</f>
        <v/>
      </c>
      <c r="D1870" s="20" t="str">
        <f>_xll.RssMarket(A1870,"現在値詳細時刻")</f>
        <v/>
      </c>
      <c r="E1870" s="22" t="str">
        <f>_xll.RssMarket(A1870,"前日比")</f>
        <v/>
      </c>
      <c r="F1870" s="23" t="e">
        <f>_xll.RssMarket(A1870,"前日比率")/100</f>
        <v>#VALUE!</v>
      </c>
      <c r="G1870" s="24" t="str">
        <f>IFERROR(VLOOKUP(A1870,取得元!$A$2:$F$501,2,FALSE),"-")</f>
        <v>-</v>
      </c>
      <c r="H1870" s="24" t="str">
        <f>IFERROR(VLOOKUP(A1870,取得元!$A$2:$F$501,3,FALSE),"-")</f>
        <v>-</v>
      </c>
      <c r="I1870" s="24" t="str">
        <f>IFERROR(VLOOKUP(A1870,取得元!$A$2:$F$501,4,FALSE),"-")</f>
        <v>-</v>
      </c>
      <c r="J1870" s="5" t="str">
        <f>IFERROR(VLOOKUP(A1870,取得元!$A$2:$F$501,5,FALSE),"-")</f>
        <v>-</v>
      </c>
      <c r="K1870" s="25" t="str">
        <f>IFERROR(VLOOKUP(A1870,取得元!$A$2:$F$501,6,FALSE)/100,"-")</f>
        <v>-</v>
      </c>
      <c r="L1870" s="21" t="str">
        <f>_xll.RssMarket(A1870,"始値")</f>
        <v/>
      </c>
      <c r="M1870" s="4" t="e">
        <f t="shared" si="155"/>
        <v>#VALUE!</v>
      </c>
      <c r="N1870" s="21" t="str">
        <f>_xll.RssMarket(A1870,"高値")</f>
        <v/>
      </c>
      <c r="O1870" s="4" t="e">
        <f t="shared" si="156"/>
        <v>#VALUE!</v>
      </c>
      <c r="P1870" s="21" t="str">
        <f>_xll.RssMarket(A1870,"安値")</f>
        <v/>
      </c>
      <c r="Q1870" s="4" t="e">
        <f t="shared" si="157"/>
        <v>#VALUE!</v>
      </c>
      <c r="R1870" s="21" t="str">
        <f>_xll.RssMarket(A1870,"後場始値")</f>
        <v/>
      </c>
      <c r="S1870" s="25" t="str">
        <f t="shared" si="158"/>
        <v>-</v>
      </c>
      <c r="T1870" s="7" t="str">
        <f>_xll.RssMarket(A1870,"出来高加重平均")</f>
        <v/>
      </c>
      <c r="U1870" s="4" t="e">
        <f t="shared" si="159"/>
        <v>#VALUE!</v>
      </c>
      <c r="V1870" s="21" t="str">
        <f>_xll.RssMarket(A1870,"出来高")</f>
        <v/>
      </c>
      <c r="W1870" s="21" t="str">
        <f>_xll.RssMarket(A1870,"売買代金")</f>
        <v/>
      </c>
      <c r="X1870" s="20" t="str">
        <f>_xll.RssMarket(A1870,"決算発表日")</f>
        <v/>
      </c>
      <c r="Y1870" s="26" t="str">
        <f>IF(C1870&gt;_xll.RssMarket(A1870,"年初来高値"),"○","×")</f>
        <v>×</v>
      </c>
      <c r="Z1870" s="27" t="str">
        <f>IF(C1870&lt;=_xll.RssMarket(A1870,"年初来安値"),"○","×")</f>
        <v>○</v>
      </c>
    </row>
    <row r="1871" spans="2:26" x14ac:dyDescent="0.55000000000000004">
      <c r="B1871" s="20" t="str">
        <f>_xll.RssMarket(A1871,"銘柄名称")</f>
        <v/>
      </c>
      <c r="C1871" s="21" t="str">
        <f>_xll.RssMarket(A1871,"現在値")</f>
        <v/>
      </c>
      <c r="D1871" s="20" t="str">
        <f>_xll.RssMarket(A1871,"現在値詳細時刻")</f>
        <v/>
      </c>
      <c r="E1871" s="22" t="str">
        <f>_xll.RssMarket(A1871,"前日比")</f>
        <v/>
      </c>
      <c r="F1871" s="23" t="e">
        <f>_xll.RssMarket(A1871,"前日比率")/100</f>
        <v>#VALUE!</v>
      </c>
      <c r="G1871" s="24" t="str">
        <f>IFERROR(VLOOKUP(A1871,取得元!$A$2:$F$501,2,FALSE),"-")</f>
        <v>-</v>
      </c>
      <c r="H1871" s="24" t="str">
        <f>IFERROR(VLOOKUP(A1871,取得元!$A$2:$F$501,3,FALSE),"-")</f>
        <v>-</v>
      </c>
      <c r="I1871" s="24" t="str">
        <f>IFERROR(VLOOKUP(A1871,取得元!$A$2:$F$501,4,FALSE),"-")</f>
        <v>-</v>
      </c>
      <c r="J1871" s="5" t="str">
        <f>IFERROR(VLOOKUP(A1871,取得元!$A$2:$F$501,5,FALSE),"-")</f>
        <v>-</v>
      </c>
      <c r="K1871" s="25" t="str">
        <f>IFERROR(VLOOKUP(A1871,取得元!$A$2:$F$501,6,FALSE)/100,"-")</f>
        <v>-</v>
      </c>
      <c r="L1871" s="21" t="str">
        <f>_xll.RssMarket(A1871,"始値")</f>
        <v/>
      </c>
      <c r="M1871" s="4" t="e">
        <f t="shared" si="155"/>
        <v>#VALUE!</v>
      </c>
      <c r="N1871" s="21" t="str">
        <f>_xll.RssMarket(A1871,"高値")</f>
        <v/>
      </c>
      <c r="O1871" s="4" t="e">
        <f t="shared" si="156"/>
        <v>#VALUE!</v>
      </c>
      <c r="P1871" s="21" t="str">
        <f>_xll.RssMarket(A1871,"安値")</f>
        <v/>
      </c>
      <c r="Q1871" s="4" t="e">
        <f t="shared" si="157"/>
        <v>#VALUE!</v>
      </c>
      <c r="R1871" s="21" t="str">
        <f>_xll.RssMarket(A1871,"後場始値")</f>
        <v/>
      </c>
      <c r="S1871" s="25" t="str">
        <f t="shared" si="158"/>
        <v>-</v>
      </c>
      <c r="T1871" s="7" t="str">
        <f>_xll.RssMarket(A1871,"出来高加重平均")</f>
        <v/>
      </c>
      <c r="U1871" s="4" t="e">
        <f t="shared" si="159"/>
        <v>#VALUE!</v>
      </c>
      <c r="V1871" s="21" t="str">
        <f>_xll.RssMarket(A1871,"出来高")</f>
        <v/>
      </c>
      <c r="W1871" s="21" t="str">
        <f>_xll.RssMarket(A1871,"売買代金")</f>
        <v/>
      </c>
      <c r="X1871" s="20" t="str">
        <f>_xll.RssMarket(A1871,"決算発表日")</f>
        <v/>
      </c>
      <c r="Y1871" s="26" t="str">
        <f>IF(C1871&gt;_xll.RssMarket(A1871,"年初来高値"),"○","×")</f>
        <v>×</v>
      </c>
      <c r="Z1871" s="27" t="str">
        <f>IF(C1871&lt;=_xll.RssMarket(A1871,"年初来安値"),"○","×")</f>
        <v>○</v>
      </c>
    </row>
    <row r="1872" spans="2:26" x14ac:dyDescent="0.55000000000000004">
      <c r="B1872" s="20" t="str">
        <f>_xll.RssMarket(A1872,"銘柄名称")</f>
        <v/>
      </c>
      <c r="C1872" s="21" t="str">
        <f>_xll.RssMarket(A1872,"現在値")</f>
        <v/>
      </c>
      <c r="D1872" s="20" t="str">
        <f>_xll.RssMarket(A1872,"現在値詳細時刻")</f>
        <v/>
      </c>
      <c r="E1872" s="22" t="str">
        <f>_xll.RssMarket(A1872,"前日比")</f>
        <v/>
      </c>
      <c r="F1872" s="23" t="e">
        <f>_xll.RssMarket(A1872,"前日比率")/100</f>
        <v>#VALUE!</v>
      </c>
      <c r="G1872" s="24" t="str">
        <f>IFERROR(VLOOKUP(A1872,取得元!$A$2:$F$501,2,FALSE),"-")</f>
        <v>-</v>
      </c>
      <c r="H1872" s="24" t="str">
        <f>IFERROR(VLOOKUP(A1872,取得元!$A$2:$F$501,3,FALSE),"-")</f>
        <v>-</v>
      </c>
      <c r="I1872" s="24" t="str">
        <f>IFERROR(VLOOKUP(A1872,取得元!$A$2:$F$501,4,FALSE),"-")</f>
        <v>-</v>
      </c>
      <c r="J1872" s="5" t="str">
        <f>IFERROR(VLOOKUP(A1872,取得元!$A$2:$F$501,5,FALSE),"-")</f>
        <v>-</v>
      </c>
      <c r="K1872" s="25" t="str">
        <f>IFERROR(VLOOKUP(A1872,取得元!$A$2:$F$501,6,FALSE)/100,"-")</f>
        <v>-</v>
      </c>
      <c r="L1872" s="21" t="str">
        <f>_xll.RssMarket(A1872,"始値")</f>
        <v/>
      </c>
      <c r="M1872" s="4" t="e">
        <f t="shared" si="155"/>
        <v>#VALUE!</v>
      </c>
      <c r="N1872" s="21" t="str">
        <f>_xll.RssMarket(A1872,"高値")</f>
        <v/>
      </c>
      <c r="O1872" s="4" t="e">
        <f t="shared" si="156"/>
        <v>#VALUE!</v>
      </c>
      <c r="P1872" s="21" t="str">
        <f>_xll.RssMarket(A1872,"安値")</f>
        <v/>
      </c>
      <c r="Q1872" s="4" t="e">
        <f t="shared" si="157"/>
        <v>#VALUE!</v>
      </c>
      <c r="R1872" s="21" t="str">
        <f>_xll.RssMarket(A1872,"後場始値")</f>
        <v/>
      </c>
      <c r="S1872" s="25" t="str">
        <f t="shared" si="158"/>
        <v>-</v>
      </c>
      <c r="T1872" s="7" t="str">
        <f>_xll.RssMarket(A1872,"出来高加重平均")</f>
        <v/>
      </c>
      <c r="U1872" s="4" t="e">
        <f t="shared" si="159"/>
        <v>#VALUE!</v>
      </c>
      <c r="V1872" s="21" t="str">
        <f>_xll.RssMarket(A1872,"出来高")</f>
        <v/>
      </c>
      <c r="W1872" s="21" t="str">
        <f>_xll.RssMarket(A1872,"売買代金")</f>
        <v/>
      </c>
      <c r="X1872" s="20" t="str">
        <f>_xll.RssMarket(A1872,"決算発表日")</f>
        <v/>
      </c>
      <c r="Y1872" s="26" t="str">
        <f>IF(C1872&gt;_xll.RssMarket(A1872,"年初来高値"),"○","×")</f>
        <v>×</v>
      </c>
      <c r="Z1872" s="27" t="str">
        <f>IF(C1872&lt;=_xll.RssMarket(A1872,"年初来安値"),"○","×")</f>
        <v>○</v>
      </c>
    </row>
    <row r="1873" spans="2:26" x14ac:dyDescent="0.55000000000000004">
      <c r="B1873" s="20" t="str">
        <f>_xll.RssMarket(A1873,"銘柄名称")</f>
        <v/>
      </c>
      <c r="C1873" s="21" t="str">
        <f>_xll.RssMarket(A1873,"現在値")</f>
        <v/>
      </c>
      <c r="D1873" s="20" t="str">
        <f>_xll.RssMarket(A1873,"現在値詳細時刻")</f>
        <v/>
      </c>
      <c r="E1873" s="22" t="str">
        <f>_xll.RssMarket(A1873,"前日比")</f>
        <v/>
      </c>
      <c r="F1873" s="23" t="e">
        <f>_xll.RssMarket(A1873,"前日比率")/100</f>
        <v>#VALUE!</v>
      </c>
      <c r="G1873" s="24" t="str">
        <f>IFERROR(VLOOKUP(A1873,取得元!$A$2:$F$501,2,FALSE),"-")</f>
        <v>-</v>
      </c>
      <c r="H1873" s="24" t="str">
        <f>IFERROR(VLOOKUP(A1873,取得元!$A$2:$F$501,3,FALSE),"-")</f>
        <v>-</v>
      </c>
      <c r="I1873" s="24" t="str">
        <f>IFERROR(VLOOKUP(A1873,取得元!$A$2:$F$501,4,FALSE),"-")</f>
        <v>-</v>
      </c>
      <c r="J1873" s="5" t="str">
        <f>IFERROR(VLOOKUP(A1873,取得元!$A$2:$F$501,5,FALSE),"-")</f>
        <v>-</v>
      </c>
      <c r="K1873" s="25" t="str">
        <f>IFERROR(VLOOKUP(A1873,取得元!$A$2:$F$501,6,FALSE)/100,"-")</f>
        <v>-</v>
      </c>
      <c r="L1873" s="21" t="str">
        <f>_xll.RssMarket(A1873,"始値")</f>
        <v/>
      </c>
      <c r="M1873" s="4" t="e">
        <f t="shared" si="155"/>
        <v>#VALUE!</v>
      </c>
      <c r="N1873" s="21" t="str">
        <f>_xll.RssMarket(A1873,"高値")</f>
        <v/>
      </c>
      <c r="O1873" s="4" t="e">
        <f t="shared" si="156"/>
        <v>#VALUE!</v>
      </c>
      <c r="P1873" s="21" t="str">
        <f>_xll.RssMarket(A1873,"安値")</f>
        <v/>
      </c>
      <c r="Q1873" s="4" t="e">
        <f t="shared" si="157"/>
        <v>#VALUE!</v>
      </c>
      <c r="R1873" s="21" t="str">
        <f>_xll.RssMarket(A1873,"後場始値")</f>
        <v/>
      </c>
      <c r="S1873" s="25" t="str">
        <f t="shared" si="158"/>
        <v>-</v>
      </c>
      <c r="T1873" s="7" t="str">
        <f>_xll.RssMarket(A1873,"出来高加重平均")</f>
        <v/>
      </c>
      <c r="U1873" s="4" t="e">
        <f t="shared" si="159"/>
        <v>#VALUE!</v>
      </c>
      <c r="V1873" s="21" t="str">
        <f>_xll.RssMarket(A1873,"出来高")</f>
        <v/>
      </c>
      <c r="W1873" s="21" t="str">
        <f>_xll.RssMarket(A1873,"売買代金")</f>
        <v/>
      </c>
      <c r="X1873" s="20" t="str">
        <f>_xll.RssMarket(A1873,"決算発表日")</f>
        <v/>
      </c>
      <c r="Y1873" s="26" t="str">
        <f>IF(C1873&gt;_xll.RssMarket(A1873,"年初来高値"),"○","×")</f>
        <v>×</v>
      </c>
      <c r="Z1873" s="27" t="str">
        <f>IF(C1873&lt;=_xll.RssMarket(A1873,"年初来安値"),"○","×")</f>
        <v>○</v>
      </c>
    </row>
    <row r="1874" spans="2:26" x14ac:dyDescent="0.55000000000000004">
      <c r="B1874" s="20" t="str">
        <f>_xll.RssMarket(A1874,"銘柄名称")</f>
        <v/>
      </c>
      <c r="C1874" s="21" t="str">
        <f>_xll.RssMarket(A1874,"現在値")</f>
        <v/>
      </c>
      <c r="D1874" s="20" t="str">
        <f>_xll.RssMarket(A1874,"現在値詳細時刻")</f>
        <v/>
      </c>
      <c r="E1874" s="22" t="str">
        <f>_xll.RssMarket(A1874,"前日比")</f>
        <v/>
      </c>
      <c r="F1874" s="23" t="e">
        <f>_xll.RssMarket(A1874,"前日比率")/100</f>
        <v>#VALUE!</v>
      </c>
      <c r="G1874" s="24" t="str">
        <f>IFERROR(VLOOKUP(A1874,取得元!$A$2:$F$501,2,FALSE),"-")</f>
        <v>-</v>
      </c>
      <c r="H1874" s="24" t="str">
        <f>IFERROR(VLOOKUP(A1874,取得元!$A$2:$F$501,3,FALSE),"-")</f>
        <v>-</v>
      </c>
      <c r="I1874" s="24" t="str">
        <f>IFERROR(VLOOKUP(A1874,取得元!$A$2:$F$501,4,FALSE),"-")</f>
        <v>-</v>
      </c>
      <c r="J1874" s="5" t="str">
        <f>IFERROR(VLOOKUP(A1874,取得元!$A$2:$F$501,5,FALSE),"-")</f>
        <v>-</v>
      </c>
      <c r="K1874" s="25" t="str">
        <f>IFERROR(VLOOKUP(A1874,取得元!$A$2:$F$501,6,FALSE)/100,"-")</f>
        <v>-</v>
      </c>
      <c r="L1874" s="21" t="str">
        <f>_xll.RssMarket(A1874,"始値")</f>
        <v/>
      </c>
      <c r="M1874" s="4" t="e">
        <f t="shared" si="155"/>
        <v>#VALUE!</v>
      </c>
      <c r="N1874" s="21" t="str">
        <f>_xll.RssMarket(A1874,"高値")</f>
        <v/>
      </c>
      <c r="O1874" s="4" t="e">
        <f t="shared" si="156"/>
        <v>#VALUE!</v>
      </c>
      <c r="P1874" s="21" t="str">
        <f>_xll.RssMarket(A1874,"安値")</f>
        <v/>
      </c>
      <c r="Q1874" s="4" t="e">
        <f t="shared" si="157"/>
        <v>#VALUE!</v>
      </c>
      <c r="R1874" s="21" t="str">
        <f>_xll.RssMarket(A1874,"後場始値")</f>
        <v/>
      </c>
      <c r="S1874" s="25" t="str">
        <f t="shared" si="158"/>
        <v>-</v>
      </c>
      <c r="T1874" s="7" t="str">
        <f>_xll.RssMarket(A1874,"出来高加重平均")</f>
        <v/>
      </c>
      <c r="U1874" s="4" t="e">
        <f t="shared" si="159"/>
        <v>#VALUE!</v>
      </c>
      <c r="V1874" s="21" t="str">
        <f>_xll.RssMarket(A1874,"出来高")</f>
        <v/>
      </c>
      <c r="W1874" s="21" t="str">
        <f>_xll.RssMarket(A1874,"売買代金")</f>
        <v/>
      </c>
      <c r="X1874" s="20" t="str">
        <f>_xll.RssMarket(A1874,"決算発表日")</f>
        <v/>
      </c>
      <c r="Y1874" s="26" t="str">
        <f>IF(C1874&gt;_xll.RssMarket(A1874,"年初来高値"),"○","×")</f>
        <v>×</v>
      </c>
      <c r="Z1874" s="27" t="str">
        <f>IF(C1874&lt;=_xll.RssMarket(A1874,"年初来安値"),"○","×")</f>
        <v>○</v>
      </c>
    </row>
    <row r="1875" spans="2:26" x14ac:dyDescent="0.55000000000000004">
      <c r="B1875" s="20" t="str">
        <f>_xll.RssMarket(A1875,"銘柄名称")</f>
        <v/>
      </c>
      <c r="C1875" s="21" t="str">
        <f>_xll.RssMarket(A1875,"現在値")</f>
        <v/>
      </c>
      <c r="D1875" s="20" t="str">
        <f>_xll.RssMarket(A1875,"現在値詳細時刻")</f>
        <v/>
      </c>
      <c r="E1875" s="22" t="str">
        <f>_xll.RssMarket(A1875,"前日比")</f>
        <v/>
      </c>
      <c r="F1875" s="23" t="e">
        <f>_xll.RssMarket(A1875,"前日比率")/100</f>
        <v>#VALUE!</v>
      </c>
      <c r="G1875" s="24" t="str">
        <f>IFERROR(VLOOKUP(A1875,取得元!$A$2:$F$501,2,FALSE),"-")</f>
        <v>-</v>
      </c>
      <c r="H1875" s="24" t="str">
        <f>IFERROR(VLOOKUP(A1875,取得元!$A$2:$F$501,3,FALSE),"-")</f>
        <v>-</v>
      </c>
      <c r="I1875" s="24" t="str">
        <f>IFERROR(VLOOKUP(A1875,取得元!$A$2:$F$501,4,FALSE),"-")</f>
        <v>-</v>
      </c>
      <c r="J1875" s="5" t="str">
        <f>IFERROR(VLOOKUP(A1875,取得元!$A$2:$F$501,5,FALSE),"-")</f>
        <v>-</v>
      </c>
      <c r="K1875" s="25" t="str">
        <f>IFERROR(VLOOKUP(A1875,取得元!$A$2:$F$501,6,FALSE)/100,"-")</f>
        <v>-</v>
      </c>
      <c r="L1875" s="21" t="str">
        <f>_xll.RssMarket(A1875,"始値")</f>
        <v/>
      </c>
      <c r="M1875" s="4" t="e">
        <f t="shared" si="155"/>
        <v>#VALUE!</v>
      </c>
      <c r="N1875" s="21" t="str">
        <f>_xll.RssMarket(A1875,"高値")</f>
        <v/>
      </c>
      <c r="O1875" s="4" t="e">
        <f t="shared" si="156"/>
        <v>#VALUE!</v>
      </c>
      <c r="P1875" s="21" t="str">
        <f>_xll.RssMarket(A1875,"安値")</f>
        <v/>
      </c>
      <c r="Q1875" s="4" t="e">
        <f t="shared" si="157"/>
        <v>#VALUE!</v>
      </c>
      <c r="R1875" s="21" t="str">
        <f>_xll.RssMarket(A1875,"後場始値")</f>
        <v/>
      </c>
      <c r="S1875" s="25" t="str">
        <f t="shared" si="158"/>
        <v>-</v>
      </c>
      <c r="T1875" s="7" t="str">
        <f>_xll.RssMarket(A1875,"出来高加重平均")</f>
        <v/>
      </c>
      <c r="U1875" s="4" t="e">
        <f t="shared" si="159"/>
        <v>#VALUE!</v>
      </c>
      <c r="V1875" s="21" t="str">
        <f>_xll.RssMarket(A1875,"出来高")</f>
        <v/>
      </c>
      <c r="W1875" s="21" t="str">
        <f>_xll.RssMarket(A1875,"売買代金")</f>
        <v/>
      </c>
      <c r="X1875" s="20" t="str">
        <f>_xll.RssMarket(A1875,"決算発表日")</f>
        <v/>
      </c>
      <c r="Y1875" s="26" t="str">
        <f>IF(C1875&gt;_xll.RssMarket(A1875,"年初来高値"),"○","×")</f>
        <v>×</v>
      </c>
      <c r="Z1875" s="27" t="str">
        <f>IF(C1875&lt;=_xll.RssMarket(A1875,"年初来安値"),"○","×")</f>
        <v>○</v>
      </c>
    </row>
    <row r="1876" spans="2:26" x14ac:dyDescent="0.55000000000000004">
      <c r="B1876" s="20" t="str">
        <f>_xll.RssMarket(A1876,"銘柄名称")</f>
        <v/>
      </c>
      <c r="C1876" s="21" t="str">
        <f>_xll.RssMarket(A1876,"現在値")</f>
        <v/>
      </c>
      <c r="D1876" s="20" t="str">
        <f>_xll.RssMarket(A1876,"現在値詳細時刻")</f>
        <v/>
      </c>
      <c r="E1876" s="22" t="str">
        <f>_xll.RssMarket(A1876,"前日比")</f>
        <v/>
      </c>
      <c r="F1876" s="23" t="e">
        <f>_xll.RssMarket(A1876,"前日比率")/100</f>
        <v>#VALUE!</v>
      </c>
      <c r="G1876" s="24" t="str">
        <f>IFERROR(VLOOKUP(A1876,取得元!$A$2:$F$501,2,FALSE),"-")</f>
        <v>-</v>
      </c>
      <c r="H1876" s="24" t="str">
        <f>IFERROR(VLOOKUP(A1876,取得元!$A$2:$F$501,3,FALSE),"-")</f>
        <v>-</v>
      </c>
      <c r="I1876" s="24" t="str">
        <f>IFERROR(VLOOKUP(A1876,取得元!$A$2:$F$501,4,FALSE),"-")</f>
        <v>-</v>
      </c>
      <c r="J1876" s="5" t="str">
        <f>IFERROR(VLOOKUP(A1876,取得元!$A$2:$F$501,5,FALSE),"-")</f>
        <v>-</v>
      </c>
      <c r="K1876" s="25" t="str">
        <f>IFERROR(VLOOKUP(A1876,取得元!$A$2:$F$501,6,FALSE)/100,"-")</f>
        <v>-</v>
      </c>
      <c r="L1876" s="21" t="str">
        <f>_xll.RssMarket(A1876,"始値")</f>
        <v/>
      </c>
      <c r="M1876" s="4" t="e">
        <f t="shared" si="155"/>
        <v>#VALUE!</v>
      </c>
      <c r="N1876" s="21" t="str">
        <f>_xll.RssMarket(A1876,"高値")</f>
        <v/>
      </c>
      <c r="O1876" s="4" t="e">
        <f t="shared" si="156"/>
        <v>#VALUE!</v>
      </c>
      <c r="P1876" s="21" t="str">
        <f>_xll.RssMarket(A1876,"安値")</f>
        <v/>
      </c>
      <c r="Q1876" s="4" t="e">
        <f t="shared" si="157"/>
        <v>#VALUE!</v>
      </c>
      <c r="R1876" s="21" t="str">
        <f>_xll.RssMarket(A1876,"後場始値")</f>
        <v/>
      </c>
      <c r="S1876" s="25" t="str">
        <f t="shared" si="158"/>
        <v>-</v>
      </c>
      <c r="T1876" s="7" t="str">
        <f>_xll.RssMarket(A1876,"出来高加重平均")</f>
        <v/>
      </c>
      <c r="U1876" s="4" t="e">
        <f t="shared" si="159"/>
        <v>#VALUE!</v>
      </c>
      <c r="V1876" s="21" t="str">
        <f>_xll.RssMarket(A1876,"出来高")</f>
        <v/>
      </c>
      <c r="W1876" s="21" t="str">
        <f>_xll.RssMarket(A1876,"売買代金")</f>
        <v/>
      </c>
      <c r="X1876" s="20" t="str">
        <f>_xll.RssMarket(A1876,"決算発表日")</f>
        <v/>
      </c>
      <c r="Y1876" s="26" t="str">
        <f>IF(C1876&gt;_xll.RssMarket(A1876,"年初来高値"),"○","×")</f>
        <v>×</v>
      </c>
      <c r="Z1876" s="27" t="str">
        <f>IF(C1876&lt;=_xll.RssMarket(A1876,"年初来安値"),"○","×")</f>
        <v>○</v>
      </c>
    </row>
    <row r="1877" spans="2:26" x14ac:dyDescent="0.55000000000000004">
      <c r="B1877" s="20" t="str">
        <f>_xll.RssMarket(A1877,"銘柄名称")</f>
        <v/>
      </c>
      <c r="C1877" s="21" t="str">
        <f>_xll.RssMarket(A1877,"現在値")</f>
        <v/>
      </c>
      <c r="D1877" s="20" t="str">
        <f>_xll.RssMarket(A1877,"現在値詳細時刻")</f>
        <v/>
      </c>
      <c r="E1877" s="22" t="str">
        <f>_xll.RssMarket(A1877,"前日比")</f>
        <v/>
      </c>
      <c r="F1877" s="23" t="e">
        <f>_xll.RssMarket(A1877,"前日比率")/100</f>
        <v>#VALUE!</v>
      </c>
      <c r="G1877" s="24" t="str">
        <f>IFERROR(VLOOKUP(A1877,取得元!$A$2:$F$501,2,FALSE),"-")</f>
        <v>-</v>
      </c>
      <c r="H1877" s="24" t="str">
        <f>IFERROR(VLOOKUP(A1877,取得元!$A$2:$F$501,3,FALSE),"-")</f>
        <v>-</v>
      </c>
      <c r="I1877" s="24" t="str">
        <f>IFERROR(VLOOKUP(A1877,取得元!$A$2:$F$501,4,FALSE),"-")</f>
        <v>-</v>
      </c>
      <c r="J1877" s="5" t="str">
        <f>IFERROR(VLOOKUP(A1877,取得元!$A$2:$F$501,5,FALSE),"-")</f>
        <v>-</v>
      </c>
      <c r="K1877" s="25" t="str">
        <f>IFERROR(VLOOKUP(A1877,取得元!$A$2:$F$501,6,FALSE)/100,"-")</f>
        <v>-</v>
      </c>
      <c r="L1877" s="21" t="str">
        <f>_xll.RssMarket(A1877,"始値")</f>
        <v/>
      </c>
      <c r="M1877" s="4" t="e">
        <f t="shared" si="155"/>
        <v>#VALUE!</v>
      </c>
      <c r="N1877" s="21" t="str">
        <f>_xll.RssMarket(A1877,"高値")</f>
        <v/>
      </c>
      <c r="O1877" s="4" t="e">
        <f t="shared" si="156"/>
        <v>#VALUE!</v>
      </c>
      <c r="P1877" s="21" t="str">
        <f>_xll.RssMarket(A1877,"安値")</f>
        <v/>
      </c>
      <c r="Q1877" s="4" t="e">
        <f t="shared" si="157"/>
        <v>#VALUE!</v>
      </c>
      <c r="R1877" s="21" t="str">
        <f>_xll.RssMarket(A1877,"後場始値")</f>
        <v/>
      </c>
      <c r="S1877" s="25" t="str">
        <f t="shared" si="158"/>
        <v>-</v>
      </c>
      <c r="T1877" s="7" t="str">
        <f>_xll.RssMarket(A1877,"出来高加重平均")</f>
        <v/>
      </c>
      <c r="U1877" s="4" t="e">
        <f t="shared" si="159"/>
        <v>#VALUE!</v>
      </c>
      <c r="V1877" s="21" t="str">
        <f>_xll.RssMarket(A1877,"出来高")</f>
        <v/>
      </c>
      <c r="W1877" s="21" t="str">
        <f>_xll.RssMarket(A1877,"売買代金")</f>
        <v/>
      </c>
      <c r="X1877" s="20" t="str">
        <f>_xll.RssMarket(A1877,"決算発表日")</f>
        <v/>
      </c>
      <c r="Y1877" s="26" t="str">
        <f>IF(C1877&gt;_xll.RssMarket(A1877,"年初来高値"),"○","×")</f>
        <v>×</v>
      </c>
      <c r="Z1877" s="27" t="str">
        <f>IF(C1877&lt;=_xll.RssMarket(A1877,"年初来安値"),"○","×")</f>
        <v>○</v>
      </c>
    </row>
    <row r="1878" spans="2:26" x14ac:dyDescent="0.55000000000000004">
      <c r="B1878" s="20" t="str">
        <f>_xll.RssMarket(A1878,"銘柄名称")</f>
        <v/>
      </c>
      <c r="C1878" s="21" t="str">
        <f>_xll.RssMarket(A1878,"現在値")</f>
        <v/>
      </c>
      <c r="D1878" s="20" t="str">
        <f>_xll.RssMarket(A1878,"現在値詳細時刻")</f>
        <v/>
      </c>
      <c r="E1878" s="22" t="str">
        <f>_xll.RssMarket(A1878,"前日比")</f>
        <v/>
      </c>
      <c r="F1878" s="23" t="e">
        <f>_xll.RssMarket(A1878,"前日比率")/100</f>
        <v>#VALUE!</v>
      </c>
      <c r="G1878" s="24" t="str">
        <f>IFERROR(VLOOKUP(A1878,取得元!$A$2:$F$501,2,FALSE),"-")</f>
        <v>-</v>
      </c>
      <c r="H1878" s="24" t="str">
        <f>IFERROR(VLOOKUP(A1878,取得元!$A$2:$F$501,3,FALSE),"-")</f>
        <v>-</v>
      </c>
      <c r="I1878" s="24" t="str">
        <f>IFERROR(VLOOKUP(A1878,取得元!$A$2:$F$501,4,FALSE),"-")</f>
        <v>-</v>
      </c>
      <c r="J1878" s="5" t="str">
        <f>IFERROR(VLOOKUP(A1878,取得元!$A$2:$F$501,5,FALSE),"-")</f>
        <v>-</v>
      </c>
      <c r="K1878" s="25" t="str">
        <f>IFERROR(VLOOKUP(A1878,取得元!$A$2:$F$501,6,FALSE)/100,"-")</f>
        <v>-</v>
      </c>
      <c r="L1878" s="21" t="str">
        <f>_xll.RssMarket(A1878,"始値")</f>
        <v/>
      </c>
      <c r="M1878" s="4" t="e">
        <f>C1878/L1878-1</f>
        <v>#VALUE!</v>
      </c>
      <c r="N1878" s="21" t="str">
        <f>_xll.RssMarket(A1878,"高値")</f>
        <v/>
      </c>
      <c r="O1878" s="4" t="e">
        <f>C1878/N1878-1</f>
        <v>#VALUE!</v>
      </c>
      <c r="P1878" s="21" t="str">
        <f>_xll.RssMarket(A1878,"安値")</f>
        <v/>
      </c>
      <c r="Q1878" s="4" t="e">
        <f>C1878/P1878-1</f>
        <v>#VALUE!</v>
      </c>
      <c r="R1878" s="21" t="str">
        <f>_xll.RssMarket(A1878,"後場始値")</f>
        <v/>
      </c>
      <c r="S1878" s="25" t="str">
        <f>IFERROR(C1878/R1878-1,"-")</f>
        <v>-</v>
      </c>
      <c r="T1878" s="7" t="str">
        <f>_xll.RssMarket(A1878,"出来高加重平均")</f>
        <v/>
      </c>
      <c r="U1878" s="4" t="e">
        <f>C1878/T1878-1</f>
        <v>#VALUE!</v>
      </c>
      <c r="V1878" s="21" t="str">
        <f>_xll.RssMarket(A1878,"出来高")</f>
        <v/>
      </c>
      <c r="W1878" s="21" t="str">
        <f>_xll.RssMarket(A1878,"売買代金")</f>
        <v/>
      </c>
      <c r="X1878" s="20" t="str">
        <f>_xll.RssMarket(A1878,"決算発表日")</f>
        <v/>
      </c>
      <c r="Y1878" s="26" t="str">
        <f>IF(C1878&gt;_xll.RssMarket(A1878,"年初来高値"),"○","×")</f>
        <v>×</v>
      </c>
      <c r="Z1878" s="27" t="str">
        <f>IF(C1878&lt;=_xll.RssMarket(A1878,"年初来安値"),"○","×")</f>
        <v>○</v>
      </c>
    </row>
    <row r="1879" spans="2:26" x14ac:dyDescent="0.55000000000000004">
      <c r="B1879" s="20" t="str">
        <f>_xll.RssMarket(A1879,"銘柄名称")</f>
        <v/>
      </c>
      <c r="C1879" s="21" t="str">
        <f>_xll.RssMarket(A1879,"現在値")</f>
        <v/>
      </c>
      <c r="D1879" s="20" t="str">
        <f>_xll.RssMarket(A1879,"現在値詳細時刻")</f>
        <v/>
      </c>
      <c r="E1879" s="22" t="str">
        <f>_xll.RssMarket(A1879,"前日比")</f>
        <v/>
      </c>
      <c r="F1879" s="23" t="e">
        <f>_xll.RssMarket(A1879,"前日比率")/100</f>
        <v>#VALUE!</v>
      </c>
      <c r="G1879" s="24" t="str">
        <f>IFERROR(VLOOKUP(A1879,取得元!$A$2:$F$501,2,FALSE),"-")</f>
        <v>-</v>
      </c>
      <c r="H1879" s="24" t="str">
        <f>IFERROR(VLOOKUP(A1879,取得元!$A$2:$F$501,3,FALSE),"-")</f>
        <v>-</v>
      </c>
      <c r="I1879" s="24" t="str">
        <f>IFERROR(VLOOKUP(A1879,取得元!$A$2:$F$501,4,FALSE),"-")</f>
        <v>-</v>
      </c>
      <c r="J1879" s="5" t="str">
        <f>IFERROR(VLOOKUP(A1879,取得元!$A$2:$F$501,5,FALSE),"-")</f>
        <v>-</v>
      </c>
      <c r="K1879" s="25" t="str">
        <f>IFERROR(VLOOKUP(A1879,取得元!$A$2:$F$501,6,FALSE)/100,"-")</f>
        <v>-</v>
      </c>
      <c r="L1879" s="21" t="str">
        <f>_xll.RssMarket(A1879,"始値")</f>
        <v/>
      </c>
      <c r="M1879" s="4" t="e">
        <f>C1879/L1879-1</f>
        <v>#VALUE!</v>
      </c>
      <c r="N1879" s="21" t="str">
        <f>_xll.RssMarket(A1879,"高値")</f>
        <v/>
      </c>
      <c r="O1879" s="4" t="e">
        <f>C1879/N1879-1</f>
        <v>#VALUE!</v>
      </c>
      <c r="P1879" s="21" t="str">
        <f>_xll.RssMarket(A1879,"安値")</f>
        <v/>
      </c>
      <c r="Q1879" s="4" t="e">
        <f>C1879/P1879-1</f>
        <v>#VALUE!</v>
      </c>
      <c r="R1879" s="21" t="str">
        <f>_xll.RssMarket(A1879,"後場始値")</f>
        <v/>
      </c>
      <c r="S1879" s="25" t="str">
        <f>IFERROR(C1879/R1879-1,"-")</f>
        <v>-</v>
      </c>
      <c r="T1879" s="7" t="str">
        <f>_xll.RssMarket(A1879,"出来高加重平均")</f>
        <v/>
      </c>
      <c r="U1879" s="4" t="e">
        <f>C1879/T1879-1</f>
        <v>#VALUE!</v>
      </c>
      <c r="V1879" s="21" t="str">
        <f>_xll.RssMarket(A1879,"出来高")</f>
        <v/>
      </c>
      <c r="W1879" s="21" t="str">
        <f>_xll.RssMarket(A1879,"売買代金")</f>
        <v/>
      </c>
      <c r="X1879" s="20" t="str">
        <f>_xll.RssMarket(A1879,"決算発表日")</f>
        <v/>
      </c>
      <c r="Y1879" s="26" t="str">
        <f>IF(C1879&gt;_xll.RssMarket(A1879,"年初来高値"),"○","×")</f>
        <v>×</v>
      </c>
      <c r="Z1879" s="27" t="str">
        <f>IF(C1879&lt;=_xll.RssMarket(A1879,"年初来安値"),"○","×")</f>
        <v>○</v>
      </c>
    </row>
    <row r="1880" spans="2:26" x14ac:dyDescent="0.55000000000000004">
      <c r="B1880" s="20" t="str">
        <f>_xll.RssMarket(A1880,"銘柄名称")</f>
        <v/>
      </c>
      <c r="C1880" s="21" t="str">
        <f>_xll.RssMarket(A1880,"現在値")</f>
        <v/>
      </c>
      <c r="D1880" s="20" t="str">
        <f>_xll.RssMarket(A1880,"現在値詳細時刻")</f>
        <v/>
      </c>
      <c r="E1880" s="22" t="str">
        <f>_xll.RssMarket(A1880,"前日比")</f>
        <v/>
      </c>
      <c r="F1880" s="23" t="e">
        <f>_xll.RssMarket(A1880,"前日比率")/100</f>
        <v>#VALUE!</v>
      </c>
      <c r="G1880" s="24" t="str">
        <f>IFERROR(VLOOKUP(A1880,取得元!$A$2:$F$501,2,FALSE),"-")</f>
        <v>-</v>
      </c>
      <c r="H1880" s="24" t="str">
        <f>IFERROR(VLOOKUP(A1880,取得元!$A$2:$F$501,3,FALSE),"-")</f>
        <v>-</v>
      </c>
      <c r="I1880" s="24" t="str">
        <f>IFERROR(VLOOKUP(A1880,取得元!$A$2:$F$501,4,FALSE),"-")</f>
        <v>-</v>
      </c>
      <c r="J1880" s="5" t="str">
        <f>IFERROR(VLOOKUP(A1880,取得元!$A$2:$F$501,5,FALSE),"-")</f>
        <v>-</v>
      </c>
      <c r="K1880" s="25" t="str">
        <f>IFERROR(VLOOKUP(A1880,取得元!$A$2:$F$501,6,FALSE)/100,"-")</f>
        <v>-</v>
      </c>
      <c r="L1880" s="21" t="str">
        <f>_xll.RssMarket(A1880,"始値")</f>
        <v/>
      </c>
      <c r="M1880" s="4" t="e">
        <f>C1880/L1880-1</f>
        <v>#VALUE!</v>
      </c>
      <c r="N1880" s="21" t="str">
        <f>_xll.RssMarket(A1880,"高値")</f>
        <v/>
      </c>
      <c r="O1880" s="4" t="e">
        <f>C1880/N1880-1</f>
        <v>#VALUE!</v>
      </c>
      <c r="P1880" s="21" t="str">
        <f>_xll.RssMarket(A1880,"安値")</f>
        <v/>
      </c>
      <c r="Q1880" s="4" t="e">
        <f>C1880/P1880-1</f>
        <v>#VALUE!</v>
      </c>
      <c r="R1880" s="21" t="str">
        <f>_xll.RssMarket(A1880,"後場始値")</f>
        <v/>
      </c>
      <c r="S1880" s="25" t="str">
        <f>IFERROR(C1880/R1880-1,"-")</f>
        <v>-</v>
      </c>
      <c r="T1880" s="7" t="str">
        <f>_xll.RssMarket(A1880,"出来高加重平均")</f>
        <v/>
      </c>
      <c r="U1880" s="4" t="e">
        <f>C1880/T1880-1</f>
        <v>#VALUE!</v>
      </c>
      <c r="V1880" s="21" t="str">
        <f>_xll.RssMarket(A1880,"出来高")</f>
        <v/>
      </c>
      <c r="W1880" s="21" t="str">
        <f>_xll.RssMarket(A1880,"売買代金")</f>
        <v/>
      </c>
      <c r="X1880" s="20" t="str">
        <f>_xll.RssMarket(A1880,"決算発表日")</f>
        <v/>
      </c>
      <c r="Y1880" s="26" t="str">
        <f>IF(C1880&gt;_xll.RssMarket(A1880,"年初来高値"),"○","×")</f>
        <v>×</v>
      </c>
      <c r="Z1880" s="27" t="str">
        <f>IF(C1880&lt;=_xll.RssMarket(A1880,"年初来安値"),"○","×")</f>
        <v>○</v>
      </c>
    </row>
    <row r="1881" spans="2:26" x14ac:dyDescent="0.55000000000000004">
      <c r="B1881" s="20" t="str">
        <f>_xll.RssMarket(A1881,"銘柄名称")</f>
        <v/>
      </c>
      <c r="C1881" s="21" t="str">
        <f>_xll.RssMarket(A1881,"現在値")</f>
        <v/>
      </c>
      <c r="D1881" s="20" t="str">
        <f>_xll.RssMarket(A1881,"現在値詳細時刻")</f>
        <v/>
      </c>
      <c r="E1881" s="22" t="str">
        <f>_xll.RssMarket(A1881,"前日比")</f>
        <v/>
      </c>
      <c r="F1881" s="23" t="e">
        <f>_xll.RssMarket(A1881,"前日比率")/100</f>
        <v>#VALUE!</v>
      </c>
      <c r="G1881" s="24" t="str">
        <f>IFERROR(VLOOKUP(A1881,取得元!$A$2:$F$501,2,FALSE),"-")</f>
        <v>-</v>
      </c>
      <c r="H1881" s="24" t="str">
        <f>IFERROR(VLOOKUP(A1881,取得元!$A$2:$F$501,3,FALSE),"-")</f>
        <v>-</v>
      </c>
      <c r="I1881" s="24" t="str">
        <f>IFERROR(VLOOKUP(A1881,取得元!$A$2:$F$501,4,FALSE),"-")</f>
        <v>-</v>
      </c>
      <c r="J1881" s="5" t="str">
        <f>IFERROR(VLOOKUP(A1881,取得元!$A$2:$F$501,5,FALSE),"-")</f>
        <v>-</v>
      </c>
      <c r="K1881" s="25" t="str">
        <f>IFERROR(VLOOKUP(A1881,取得元!$A$2:$F$501,6,FALSE)/100,"-")</f>
        <v>-</v>
      </c>
      <c r="L1881" s="21" t="str">
        <f>_xll.RssMarket(A1881,"始値")</f>
        <v/>
      </c>
      <c r="M1881" s="4" t="e">
        <f>C1881/L1881-1</f>
        <v>#VALUE!</v>
      </c>
      <c r="N1881" s="21" t="str">
        <f>_xll.RssMarket(A1881,"高値")</f>
        <v/>
      </c>
      <c r="O1881" s="4" t="e">
        <f>C1881/N1881-1</f>
        <v>#VALUE!</v>
      </c>
      <c r="P1881" s="21" t="str">
        <f>_xll.RssMarket(A1881,"安値")</f>
        <v/>
      </c>
      <c r="Q1881" s="4" t="e">
        <f>C1881/P1881-1</f>
        <v>#VALUE!</v>
      </c>
      <c r="R1881" s="21" t="str">
        <f>_xll.RssMarket(A1881,"後場始値")</f>
        <v/>
      </c>
      <c r="S1881" s="25" t="str">
        <f>IFERROR(C1881/R1881-1,"-")</f>
        <v>-</v>
      </c>
      <c r="T1881" s="7" t="str">
        <f>_xll.RssMarket(A1881,"出来高加重平均")</f>
        <v/>
      </c>
      <c r="U1881" s="4" t="e">
        <f>C1881/T1881-1</f>
        <v>#VALUE!</v>
      </c>
      <c r="V1881" s="21" t="str">
        <f>_xll.RssMarket(A1881,"出来高")</f>
        <v/>
      </c>
      <c r="W1881" s="21" t="str">
        <f>_xll.RssMarket(A1881,"売買代金")</f>
        <v/>
      </c>
      <c r="X1881" s="20" t="str">
        <f>_xll.RssMarket(A1881,"決算発表日")</f>
        <v/>
      </c>
      <c r="Y1881" s="26" t="str">
        <f>IF(C1881&gt;_xll.RssMarket(A1881,"年初来高値"),"○","×")</f>
        <v>×</v>
      </c>
      <c r="Z1881" s="27" t="str">
        <f>IF(C1881&lt;=_xll.RssMarket(A1881,"年初来安値"),"○","×")</f>
        <v>○</v>
      </c>
    </row>
  </sheetData>
  <autoFilter ref="A1:Z103" xr:uid="{A33E3304-15A5-437F-BB1E-88DF08F90002}">
    <sortState xmlns:xlrd2="http://schemas.microsoft.com/office/spreadsheetml/2017/richdata2" ref="A2:Z103">
      <sortCondition ref="A1:A103"/>
    </sortState>
  </autoFilter>
  <phoneticPr fontId="2"/>
  <conditionalFormatting sqref="E2:E1881">
    <cfRule type="cellIs" dxfId="3" priority="16" operator="lessThan">
      <formula>0</formula>
    </cfRule>
    <cfRule type="cellIs" dxfId="2" priority="17" operator="greaterThan">
      <formula>0</formula>
    </cfRule>
  </conditionalFormatting>
  <conditionalFormatting sqref="Q2:Q1881">
    <cfRule type="dataBar" priority="9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{8C22A54C-83C9-4945-B3E0-E020AFB8A772}</x14:id>
        </ext>
      </extLst>
    </cfRule>
  </conditionalFormatting>
  <conditionalFormatting sqref="S2:S1881">
    <cfRule type="dataBar" priority="10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{8556D2A9-AD65-42AF-BD21-413187EA82AE}</x14:id>
        </ext>
      </extLst>
    </cfRule>
  </conditionalFormatting>
  <conditionalFormatting sqref="F2:F1881">
    <cfRule type="dataBar" priority="10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{539AF901-DFCA-49B1-B774-8EC51EF8E6D7}</x14:id>
        </ext>
      </extLst>
    </cfRule>
  </conditionalFormatting>
  <conditionalFormatting sqref="K2:K1881">
    <cfRule type="dataBar" priority="10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{48E4A5A8-DE75-404E-98B4-CF3C7FAE135C}</x14:id>
        </ext>
      </extLst>
    </cfRule>
  </conditionalFormatting>
  <conditionalFormatting sqref="U2:U1881">
    <cfRule type="dataBar" priority="10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{CE6CF00C-BBDD-47E0-8F95-4E2A7D5D23A1}</x14:id>
        </ext>
      </extLst>
    </cfRule>
  </conditionalFormatting>
  <conditionalFormatting sqref="O2:O1881">
    <cfRule type="dataBar" priority="10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{456DD2E3-A0E6-4FCA-B259-5287F36A1962}</x14:id>
        </ext>
      </extLst>
    </cfRule>
  </conditionalFormatting>
  <conditionalFormatting sqref="M2:M1881">
    <cfRule type="dataBar" priority="10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{7C536EE4-B733-4D1F-83CA-52D8A7724022}</x14:id>
        </ext>
      </extLst>
    </cfRule>
  </conditionalFormatting>
  <conditionalFormatting sqref="J2:J1881">
    <cfRule type="cellIs" dxfId="1" priority="8" operator="lessThan">
      <formula>0</formula>
    </cfRule>
    <cfRule type="cellIs" dxfId="0" priority="9" operator="greater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22A54C-83C9-4945-B3E0-E020AFB8A772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m:sqref>Q2:Q1881</xm:sqref>
        </x14:conditionalFormatting>
        <x14:conditionalFormatting xmlns:xm="http://schemas.microsoft.com/office/excel/2006/main">
          <x14:cfRule type="dataBar" id="{8556D2A9-AD65-42AF-BD21-413187EA82AE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m:sqref>S2:S1881</xm:sqref>
        </x14:conditionalFormatting>
        <x14:conditionalFormatting xmlns:xm="http://schemas.microsoft.com/office/excel/2006/main">
          <x14:cfRule type="dataBar" id="{539AF901-DFCA-49B1-B774-8EC51EF8E6D7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m:sqref>F2:F1881</xm:sqref>
        </x14:conditionalFormatting>
        <x14:conditionalFormatting xmlns:xm="http://schemas.microsoft.com/office/excel/2006/main">
          <x14:cfRule type="dataBar" id="{48E4A5A8-DE75-404E-98B4-CF3C7FAE135C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m:sqref>K2:K1881</xm:sqref>
        </x14:conditionalFormatting>
        <x14:conditionalFormatting xmlns:xm="http://schemas.microsoft.com/office/excel/2006/main">
          <x14:cfRule type="dataBar" id="{CE6CF00C-BBDD-47E0-8F95-4E2A7D5D23A1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m:sqref>U2:U1881</xm:sqref>
        </x14:conditionalFormatting>
        <x14:conditionalFormatting xmlns:xm="http://schemas.microsoft.com/office/excel/2006/main">
          <x14:cfRule type="dataBar" id="{456DD2E3-A0E6-4FCA-B259-5287F36A1962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m:sqref>O2:O1881</xm:sqref>
        </x14:conditionalFormatting>
        <x14:conditionalFormatting xmlns:xm="http://schemas.microsoft.com/office/excel/2006/main">
          <x14:cfRule type="dataBar" id="{7C536EE4-B733-4D1F-83CA-52D8A7724022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m:sqref>M2:M1881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53758-888D-43C0-99F2-08C0C9D9D4EB}">
  <sheetPr codeName="Sheet2"/>
  <dimension ref="A1:Z501"/>
  <sheetViews>
    <sheetView workbookViewId="0"/>
  </sheetViews>
  <sheetFormatPr defaultRowHeight="17.5" x14ac:dyDescent="0.55000000000000004"/>
  <cols>
    <col min="1" max="1" width="9.25" style="3" customWidth="1"/>
    <col min="2" max="2" width="2.1640625" style="43" customWidth="1"/>
    <col min="3" max="3" width="16.75" style="43" customWidth="1"/>
    <col min="4" max="4" width="131.4140625" style="43" customWidth="1"/>
    <col min="5" max="16384" width="8.6640625" style="43"/>
  </cols>
  <sheetData>
    <row r="1" spans="1:26" ht="19" x14ac:dyDescent="0.55000000000000004">
      <c r="A1" s="42" t="s">
        <v>18</v>
      </c>
    </row>
    <row r="2" spans="1:26" ht="22.5" x14ac:dyDescent="0.55000000000000004">
      <c r="A2" s="44"/>
      <c r="C2" s="38" t="s">
        <v>17</v>
      </c>
    </row>
    <row r="3" spans="1:26" ht="22.5" customHeight="1" x14ac:dyDescent="0.55000000000000004">
      <c r="A3" s="44"/>
      <c r="C3" s="50" t="s">
        <v>40</v>
      </c>
      <c r="D3" s="37" t="s">
        <v>64</v>
      </c>
      <c r="I3" s="45"/>
    </row>
    <row r="4" spans="1:26" ht="22.5" customHeight="1" x14ac:dyDescent="0.55000000000000004">
      <c r="A4" s="44"/>
      <c r="C4" s="51"/>
      <c r="D4" s="35" t="s">
        <v>62</v>
      </c>
    </row>
    <row r="5" spans="1:26" ht="23" customHeight="1" x14ac:dyDescent="0.55000000000000004">
      <c r="A5" s="44"/>
      <c r="C5" s="34" t="s">
        <v>41</v>
      </c>
      <c r="D5" s="36" t="s">
        <v>43</v>
      </c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19" x14ac:dyDescent="0.55000000000000004">
      <c r="A6" s="44"/>
      <c r="C6" s="50" t="s">
        <v>42</v>
      </c>
      <c r="D6" s="37" t="s">
        <v>44</v>
      </c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6" ht="24" customHeight="1" x14ac:dyDescent="0.55000000000000004">
      <c r="A7" s="44"/>
      <c r="C7" s="51"/>
      <c r="D7" s="35" t="s">
        <v>45</v>
      </c>
    </row>
    <row r="8" spans="1:26" x14ac:dyDescent="0.55000000000000004">
      <c r="A8" s="44"/>
    </row>
    <row r="9" spans="1:26" ht="22.5" x14ac:dyDescent="0.55000000000000004">
      <c r="A9" s="44"/>
      <c r="C9" s="38" t="s">
        <v>47</v>
      </c>
    </row>
    <row r="10" spans="1:26" x14ac:dyDescent="0.55000000000000004">
      <c r="A10" s="44"/>
    </row>
    <row r="11" spans="1:26" x14ac:dyDescent="0.55000000000000004">
      <c r="A11" s="44"/>
    </row>
    <row r="12" spans="1:26" x14ac:dyDescent="0.55000000000000004">
      <c r="A12" s="44"/>
    </row>
    <row r="13" spans="1:26" x14ac:dyDescent="0.55000000000000004">
      <c r="A13" s="44"/>
    </row>
    <row r="14" spans="1:26" x14ac:dyDescent="0.55000000000000004">
      <c r="A14" s="44"/>
    </row>
    <row r="15" spans="1:26" ht="19" x14ac:dyDescent="0.55000000000000004">
      <c r="A15" s="44"/>
      <c r="C15" s="46" t="s">
        <v>63</v>
      </c>
    </row>
    <row r="16" spans="1:26" x14ac:dyDescent="0.55000000000000004">
      <c r="A16" s="44"/>
    </row>
    <row r="17" spans="1:1" x14ac:dyDescent="0.55000000000000004">
      <c r="A17" s="44"/>
    </row>
    <row r="18" spans="1:1" x14ac:dyDescent="0.55000000000000004">
      <c r="A18" s="44"/>
    </row>
    <row r="19" spans="1:1" x14ac:dyDescent="0.55000000000000004">
      <c r="A19" s="44"/>
    </row>
    <row r="20" spans="1:1" x14ac:dyDescent="0.55000000000000004">
      <c r="A20" s="44"/>
    </row>
    <row r="21" spans="1:1" x14ac:dyDescent="0.55000000000000004">
      <c r="A21" s="44"/>
    </row>
    <row r="22" spans="1:1" x14ac:dyDescent="0.55000000000000004">
      <c r="A22" s="44"/>
    </row>
    <row r="23" spans="1:1" x14ac:dyDescent="0.55000000000000004">
      <c r="A23" s="44"/>
    </row>
    <row r="24" spans="1:1" x14ac:dyDescent="0.55000000000000004">
      <c r="A24" s="44"/>
    </row>
    <row r="25" spans="1:1" x14ac:dyDescent="0.55000000000000004">
      <c r="A25" s="44"/>
    </row>
    <row r="26" spans="1:1" x14ac:dyDescent="0.55000000000000004">
      <c r="A26" s="44"/>
    </row>
    <row r="27" spans="1:1" x14ac:dyDescent="0.55000000000000004">
      <c r="A27" s="44"/>
    </row>
    <row r="28" spans="1:1" x14ac:dyDescent="0.55000000000000004">
      <c r="A28" s="44"/>
    </row>
    <row r="29" spans="1:1" x14ac:dyDescent="0.55000000000000004">
      <c r="A29" s="44"/>
    </row>
    <row r="30" spans="1:1" x14ac:dyDescent="0.55000000000000004">
      <c r="A30" s="44"/>
    </row>
    <row r="31" spans="1:1" x14ac:dyDescent="0.55000000000000004">
      <c r="A31" s="44"/>
    </row>
    <row r="32" spans="1:1" x14ac:dyDescent="0.55000000000000004">
      <c r="A32" s="44"/>
    </row>
    <row r="33" spans="1:1" x14ac:dyDescent="0.55000000000000004">
      <c r="A33" s="44"/>
    </row>
    <row r="34" spans="1:1" x14ac:dyDescent="0.55000000000000004">
      <c r="A34" s="44"/>
    </row>
    <row r="35" spans="1:1" x14ac:dyDescent="0.55000000000000004">
      <c r="A35" s="44"/>
    </row>
    <row r="36" spans="1:1" x14ac:dyDescent="0.55000000000000004">
      <c r="A36" s="44"/>
    </row>
    <row r="37" spans="1:1" x14ac:dyDescent="0.55000000000000004">
      <c r="A37" s="44"/>
    </row>
    <row r="38" spans="1:1" x14ac:dyDescent="0.55000000000000004">
      <c r="A38" s="44"/>
    </row>
    <row r="39" spans="1:1" x14ac:dyDescent="0.55000000000000004">
      <c r="A39" s="44"/>
    </row>
    <row r="40" spans="1:1" x14ac:dyDescent="0.55000000000000004">
      <c r="A40" s="44"/>
    </row>
    <row r="41" spans="1:1" x14ac:dyDescent="0.55000000000000004">
      <c r="A41" s="44"/>
    </row>
    <row r="42" spans="1:1" x14ac:dyDescent="0.55000000000000004">
      <c r="A42" s="44"/>
    </row>
    <row r="43" spans="1:1" x14ac:dyDescent="0.55000000000000004">
      <c r="A43" s="44"/>
    </row>
    <row r="44" spans="1:1" x14ac:dyDescent="0.55000000000000004">
      <c r="A44" s="44"/>
    </row>
    <row r="45" spans="1:1" x14ac:dyDescent="0.55000000000000004">
      <c r="A45" s="44"/>
    </row>
    <row r="46" spans="1:1" x14ac:dyDescent="0.55000000000000004">
      <c r="A46" s="44"/>
    </row>
    <row r="47" spans="1:1" x14ac:dyDescent="0.55000000000000004">
      <c r="A47" s="44"/>
    </row>
    <row r="48" spans="1:1" x14ac:dyDescent="0.55000000000000004">
      <c r="A48" s="44"/>
    </row>
    <row r="49" spans="1:1" x14ac:dyDescent="0.55000000000000004">
      <c r="A49" s="44"/>
    </row>
    <row r="50" spans="1:1" x14ac:dyDescent="0.55000000000000004">
      <c r="A50" s="44"/>
    </row>
    <row r="51" spans="1:1" x14ac:dyDescent="0.55000000000000004">
      <c r="A51" s="44"/>
    </row>
    <row r="52" spans="1:1" x14ac:dyDescent="0.55000000000000004">
      <c r="A52" s="44"/>
    </row>
    <row r="53" spans="1:1" x14ac:dyDescent="0.55000000000000004">
      <c r="A53" s="44"/>
    </row>
    <row r="54" spans="1:1" x14ac:dyDescent="0.55000000000000004">
      <c r="A54" s="44"/>
    </row>
    <row r="55" spans="1:1" x14ac:dyDescent="0.55000000000000004">
      <c r="A55" s="44"/>
    </row>
    <row r="56" spans="1:1" x14ac:dyDescent="0.55000000000000004">
      <c r="A56" s="44"/>
    </row>
    <row r="57" spans="1:1" x14ac:dyDescent="0.55000000000000004">
      <c r="A57" s="44"/>
    </row>
    <row r="58" spans="1:1" x14ac:dyDescent="0.55000000000000004">
      <c r="A58" s="44"/>
    </row>
    <row r="59" spans="1:1" x14ac:dyDescent="0.55000000000000004">
      <c r="A59" s="44"/>
    </row>
    <row r="60" spans="1:1" x14ac:dyDescent="0.55000000000000004">
      <c r="A60" s="44"/>
    </row>
    <row r="61" spans="1:1" x14ac:dyDescent="0.55000000000000004">
      <c r="A61" s="44"/>
    </row>
    <row r="62" spans="1:1" x14ac:dyDescent="0.55000000000000004">
      <c r="A62" s="44"/>
    </row>
    <row r="63" spans="1:1" x14ac:dyDescent="0.55000000000000004">
      <c r="A63" s="44"/>
    </row>
    <row r="64" spans="1:1" x14ac:dyDescent="0.55000000000000004">
      <c r="A64" s="44"/>
    </row>
    <row r="65" spans="1:1" x14ac:dyDescent="0.55000000000000004">
      <c r="A65" s="44"/>
    </row>
    <row r="66" spans="1:1" x14ac:dyDescent="0.55000000000000004">
      <c r="A66" s="44"/>
    </row>
    <row r="67" spans="1:1" x14ac:dyDescent="0.55000000000000004">
      <c r="A67" s="44"/>
    </row>
    <row r="68" spans="1:1" x14ac:dyDescent="0.55000000000000004">
      <c r="A68" s="44"/>
    </row>
    <row r="69" spans="1:1" x14ac:dyDescent="0.55000000000000004">
      <c r="A69" s="44"/>
    </row>
    <row r="70" spans="1:1" x14ac:dyDescent="0.55000000000000004">
      <c r="A70" s="44"/>
    </row>
    <row r="71" spans="1:1" x14ac:dyDescent="0.55000000000000004">
      <c r="A71" s="44"/>
    </row>
    <row r="72" spans="1:1" x14ac:dyDescent="0.55000000000000004">
      <c r="A72" s="44"/>
    </row>
    <row r="73" spans="1:1" x14ac:dyDescent="0.55000000000000004">
      <c r="A73" s="44"/>
    </row>
    <row r="74" spans="1:1" x14ac:dyDescent="0.55000000000000004">
      <c r="A74" s="44"/>
    </row>
    <row r="75" spans="1:1" x14ac:dyDescent="0.55000000000000004">
      <c r="A75" s="44"/>
    </row>
    <row r="76" spans="1:1" x14ac:dyDescent="0.55000000000000004">
      <c r="A76" s="44"/>
    </row>
    <row r="77" spans="1:1" x14ac:dyDescent="0.55000000000000004">
      <c r="A77" s="44"/>
    </row>
    <row r="78" spans="1:1" x14ac:dyDescent="0.55000000000000004">
      <c r="A78" s="44"/>
    </row>
    <row r="79" spans="1:1" x14ac:dyDescent="0.55000000000000004">
      <c r="A79" s="44"/>
    </row>
    <row r="80" spans="1:1" x14ac:dyDescent="0.55000000000000004">
      <c r="A80" s="44"/>
    </row>
    <row r="81" spans="1:1" x14ac:dyDescent="0.55000000000000004">
      <c r="A81" s="44"/>
    </row>
    <row r="82" spans="1:1" x14ac:dyDescent="0.55000000000000004">
      <c r="A82" s="44"/>
    </row>
    <row r="83" spans="1:1" x14ac:dyDescent="0.55000000000000004">
      <c r="A83" s="44"/>
    </row>
    <row r="84" spans="1:1" x14ac:dyDescent="0.55000000000000004">
      <c r="A84" s="44"/>
    </row>
    <row r="85" spans="1:1" x14ac:dyDescent="0.55000000000000004">
      <c r="A85" s="44"/>
    </row>
    <row r="86" spans="1:1" x14ac:dyDescent="0.55000000000000004">
      <c r="A86" s="44"/>
    </row>
    <row r="87" spans="1:1" x14ac:dyDescent="0.55000000000000004">
      <c r="A87" s="44"/>
    </row>
    <row r="88" spans="1:1" x14ac:dyDescent="0.55000000000000004">
      <c r="A88" s="44"/>
    </row>
    <row r="89" spans="1:1" x14ac:dyDescent="0.55000000000000004">
      <c r="A89" s="44"/>
    </row>
    <row r="90" spans="1:1" x14ac:dyDescent="0.55000000000000004">
      <c r="A90" s="44"/>
    </row>
    <row r="91" spans="1:1" x14ac:dyDescent="0.55000000000000004">
      <c r="A91" s="44"/>
    </row>
    <row r="92" spans="1:1" x14ac:dyDescent="0.55000000000000004">
      <c r="A92" s="44"/>
    </row>
    <row r="93" spans="1:1" x14ac:dyDescent="0.55000000000000004">
      <c r="A93" s="44"/>
    </row>
    <row r="94" spans="1:1" x14ac:dyDescent="0.55000000000000004">
      <c r="A94" s="44"/>
    </row>
    <row r="95" spans="1:1" x14ac:dyDescent="0.55000000000000004">
      <c r="A95" s="44"/>
    </row>
    <row r="96" spans="1:1" x14ac:dyDescent="0.55000000000000004">
      <c r="A96" s="44"/>
    </row>
    <row r="97" spans="1:1" x14ac:dyDescent="0.55000000000000004">
      <c r="A97" s="44"/>
    </row>
    <row r="98" spans="1:1" x14ac:dyDescent="0.55000000000000004">
      <c r="A98" s="44"/>
    </row>
    <row r="99" spans="1:1" x14ac:dyDescent="0.55000000000000004">
      <c r="A99" s="44"/>
    </row>
    <row r="100" spans="1:1" x14ac:dyDescent="0.55000000000000004">
      <c r="A100" s="44"/>
    </row>
    <row r="101" spans="1:1" x14ac:dyDescent="0.55000000000000004">
      <c r="A101" s="44"/>
    </row>
    <row r="102" spans="1:1" x14ac:dyDescent="0.55000000000000004">
      <c r="A102" s="44"/>
    </row>
    <row r="103" spans="1:1" x14ac:dyDescent="0.55000000000000004">
      <c r="A103" s="44"/>
    </row>
    <row r="104" spans="1:1" x14ac:dyDescent="0.55000000000000004">
      <c r="A104" s="44"/>
    </row>
    <row r="105" spans="1:1" x14ac:dyDescent="0.55000000000000004">
      <c r="A105" s="44"/>
    </row>
    <row r="106" spans="1:1" x14ac:dyDescent="0.55000000000000004">
      <c r="A106" s="44"/>
    </row>
    <row r="107" spans="1:1" x14ac:dyDescent="0.55000000000000004">
      <c r="A107" s="44"/>
    </row>
    <row r="108" spans="1:1" x14ac:dyDescent="0.55000000000000004">
      <c r="A108" s="44"/>
    </row>
    <row r="109" spans="1:1" x14ac:dyDescent="0.55000000000000004">
      <c r="A109" s="44"/>
    </row>
    <row r="110" spans="1:1" x14ac:dyDescent="0.55000000000000004">
      <c r="A110" s="44"/>
    </row>
    <row r="111" spans="1:1" x14ac:dyDescent="0.55000000000000004">
      <c r="A111" s="44"/>
    </row>
    <row r="112" spans="1:1" x14ac:dyDescent="0.55000000000000004">
      <c r="A112" s="44"/>
    </row>
    <row r="113" spans="1:1" x14ac:dyDescent="0.55000000000000004">
      <c r="A113" s="44"/>
    </row>
    <row r="114" spans="1:1" x14ac:dyDescent="0.55000000000000004">
      <c r="A114" s="44"/>
    </row>
    <row r="115" spans="1:1" x14ac:dyDescent="0.55000000000000004">
      <c r="A115" s="44"/>
    </row>
    <row r="116" spans="1:1" x14ac:dyDescent="0.55000000000000004">
      <c r="A116" s="44"/>
    </row>
    <row r="117" spans="1:1" x14ac:dyDescent="0.55000000000000004">
      <c r="A117" s="44"/>
    </row>
    <row r="118" spans="1:1" x14ac:dyDescent="0.55000000000000004">
      <c r="A118" s="44"/>
    </row>
    <row r="119" spans="1:1" x14ac:dyDescent="0.55000000000000004">
      <c r="A119" s="44"/>
    </row>
    <row r="120" spans="1:1" x14ac:dyDescent="0.55000000000000004">
      <c r="A120" s="44"/>
    </row>
    <row r="121" spans="1:1" x14ac:dyDescent="0.55000000000000004">
      <c r="A121" s="44"/>
    </row>
    <row r="122" spans="1:1" x14ac:dyDescent="0.55000000000000004">
      <c r="A122" s="44"/>
    </row>
    <row r="123" spans="1:1" x14ac:dyDescent="0.55000000000000004">
      <c r="A123" s="44"/>
    </row>
    <row r="124" spans="1:1" x14ac:dyDescent="0.55000000000000004">
      <c r="A124" s="44"/>
    </row>
    <row r="125" spans="1:1" x14ac:dyDescent="0.55000000000000004">
      <c r="A125" s="44"/>
    </row>
    <row r="126" spans="1:1" x14ac:dyDescent="0.55000000000000004">
      <c r="A126" s="44"/>
    </row>
    <row r="127" spans="1:1" x14ac:dyDescent="0.55000000000000004">
      <c r="A127" s="44"/>
    </row>
    <row r="128" spans="1:1" x14ac:dyDescent="0.55000000000000004">
      <c r="A128" s="44"/>
    </row>
    <row r="129" spans="1:1" x14ac:dyDescent="0.55000000000000004">
      <c r="A129" s="44"/>
    </row>
    <row r="130" spans="1:1" x14ac:dyDescent="0.55000000000000004">
      <c r="A130" s="44"/>
    </row>
    <row r="131" spans="1:1" x14ac:dyDescent="0.55000000000000004">
      <c r="A131" s="44"/>
    </row>
    <row r="132" spans="1:1" x14ac:dyDescent="0.55000000000000004">
      <c r="A132" s="44"/>
    </row>
    <row r="133" spans="1:1" x14ac:dyDescent="0.55000000000000004">
      <c r="A133" s="44"/>
    </row>
    <row r="134" spans="1:1" x14ac:dyDescent="0.55000000000000004">
      <c r="A134" s="44"/>
    </row>
    <row r="135" spans="1:1" x14ac:dyDescent="0.55000000000000004">
      <c r="A135" s="44"/>
    </row>
    <row r="136" spans="1:1" x14ac:dyDescent="0.55000000000000004">
      <c r="A136" s="44"/>
    </row>
    <row r="137" spans="1:1" x14ac:dyDescent="0.55000000000000004">
      <c r="A137" s="44"/>
    </row>
    <row r="138" spans="1:1" x14ac:dyDescent="0.55000000000000004">
      <c r="A138" s="44"/>
    </row>
    <row r="139" spans="1:1" x14ac:dyDescent="0.55000000000000004">
      <c r="A139" s="44"/>
    </row>
    <row r="140" spans="1:1" x14ac:dyDescent="0.55000000000000004">
      <c r="A140" s="44"/>
    </row>
    <row r="141" spans="1:1" x14ac:dyDescent="0.55000000000000004">
      <c r="A141" s="44"/>
    </row>
    <row r="142" spans="1:1" x14ac:dyDescent="0.55000000000000004">
      <c r="A142" s="44"/>
    </row>
    <row r="143" spans="1:1" x14ac:dyDescent="0.55000000000000004">
      <c r="A143" s="44"/>
    </row>
    <row r="144" spans="1:1" x14ac:dyDescent="0.55000000000000004">
      <c r="A144" s="44"/>
    </row>
    <row r="145" spans="1:1" x14ac:dyDescent="0.55000000000000004">
      <c r="A145" s="44"/>
    </row>
    <row r="146" spans="1:1" x14ac:dyDescent="0.55000000000000004">
      <c r="A146" s="44"/>
    </row>
    <row r="147" spans="1:1" x14ac:dyDescent="0.55000000000000004">
      <c r="A147" s="44"/>
    </row>
    <row r="148" spans="1:1" x14ac:dyDescent="0.55000000000000004">
      <c r="A148" s="44"/>
    </row>
    <row r="149" spans="1:1" x14ac:dyDescent="0.55000000000000004">
      <c r="A149" s="44"/>
    </row>
    <row r="150" spans="1:1" x14ac:dyDescent="0.55000000000000004">
      <c r="A150" s="44"/>
    </row>
    <row r="151" spans="1:1" x14ac:dyDescent="0.55000000000000004">
      <c r="A151" s="44"/>
    </row>
    <row r="152" spans="1:1" x14ac:dyDescent="0.55000000000000004">
      <c r="A152" s="44"/>
    </row>
    <row r="153" spans="1:1" x14ac:dyDescent="0.55000000000000004">
      <c r="A153" s="44"/>
    </row>
    <row r="154" spans="1:1" x14ac:dyDescent="0.55000000000000004">
      <c r="A154" s="44"/>
    </row>
    <row r="155" spans="1:1" x14ac:dyDescent="0.55000000000000004">
      <c r="A155" s="44"/>
    </row>
    <row r="156" spans="1:1" x14ac:dyDescent="0.55000000000000004">
      <c r="A156" s="44"/>
    </row>
    <row r="157" spans="1:1" x14ac:dyDescent="0.55000000000000004">
      <c r="A157" s="44"/>
    </row>
    <row r="158" spans="1:1" x14ac:dyDescent="0.55000000000000004">
      <c r="A158" s="44"/>
    </row>
    <row r="159" spans="1:1" x14ac:dyDescent="0.55000000000000004">
      <c r="A159" s="44"/>
    </row>
    <row r="160" spans="1:1" x14ac:dyDescent="0.55000000000000004">
      <c r="A160" s="44"/>
    </row>
    <row r="161" spans="1:1" x14ac:dyDescent="0.55000000000000004">
      <c r="A161" s="44"/>
    </row>
    <row r="162" spans="1:1" x14ac:dyDescent="0.55000000000000004">
      <c r="A162" s="44"/>
    </row>
    <row r="163" spans="1:1" x14ac:dyDescent="0.55000000000000004">
      <c r="A163" s="44"/>
    </row>
    <row r="164" spans="1:1" x14ac:dyDescent="0.55000000000000004">
      <c r="A164" s="44"/>
    </row>
    <row r="165" spans="1:1" x14ac:dyDescent="0.55000000000000004">
      <c r="A165" s="44"/>
    </row>
    <row r="166" spans="1:1" x14ac:dyDescent="0.55000000000000004">
      <c r="A166" s="44"/>
    </row>
    <row r="167" spans="1:1" x14ac:dyDescent="0.55000000000000004">
      <c r="A167" s="44"/>
    </row>
    <row r="168" spans="1:1" x14ac:dyDescent="0.55000000000000004">
      <c r="A168" s="44"/>
    </row>
    <row r="169" spans="1:1" x14ac:dyDescent="0.55000000000000004">
      <c r="A169" s="44"/>
    </row>
    <row r="170" spans="1:1" x14ac:dyDescent="0.55000000000000004">
      <c r="A170" s="44"/>
    </row>
    <row r="171" spans="1:1" x14ac:dyDescent="0.55000000000000004">
      <c r="A171" s="44"/>
    </row>
    <row r="172" spans="1:1" x14ac:dyDescent="0.55000000000000004">
      <c r="A172" s="44"/>
    </row>
    <row r="173" spans="1:1" x14ac:dyDescent="0.55000000000000004">
      <c r="A173" s="44"/>
    </row>
    <row r="174" spans="1:1" x14ac:dyDescent="0.55000000000000004">
      <c r="A174" s="44"/>
    </row>
    <row r="175" spans="1:1" x14ac:dyDescent="0.55000000000000004">
      <c r="A175" s="44"/>
    </row>
    <row r="176" spans="1:1" x14ac:dyDescent="0.55000000000000004">
      <c r="A176" s="44"/>
    </row>
    <row r="177" spans="1:1" x14ac:dyDescent="0.55000000000000004">
      <c r="A177" s="44"/>
    </row>
    <row r="178" spans="1:1" x14ac:dyDescent="0.55000000000000004">
      <c r="A178" s="44"/>
    </row>
    <row r="179" spans="1:1" x14ac:dyDescent="0.55000000000000004">
      <c r="A179" s="44"/>
    </row>
    <row r="180" spans="1:1" x14ac:dyDescent="0.55000000000000004">
      <c r="A180" s="44"/>
    </row>
    <row r="181" spans="1:1" x14ac:dyDescent="0.55000000000000004">
      <c r="A181" s="44"/>
    </row>
    <row r="182" spans="1:1" x14ac:dyDescent="0.55000000000000004">
      <c r="A182" s="44"/>
    </row>
    <row r="183" spans="1:1" x14ac:dyDescent="0.55000000000000004">
      <c r="A183" s="44"/>
    </row>
    <row r="184" spans="1:1" x14ac:dyDescent="0.55000000000000004">
      <c r="A184" s="44"/>
    </row>
    <row r="185" spans="1:1" x14ac:dyDescent="0.55000000000000004">
      <c r="A185" s="44"/>
    </row>
    <row r="186" spans="1:1" x14ac:dyDescent="0.55000000000000004">
      <c r="A186" s="44"/>
    </row>
    <row r="187" spans="1:1" x14ac:dyDescent="0.55000000000000004">
      <c r="A187" s="44"/>
    </row>
    <row r="188" spans="1:1" x14ac:dyDescent="0.55000000000000004">
      <c r="A188" s="44"/>
    </row>
    <row r="189" spans="1:1" x14ac:dyDescent="0.55000000000000004">
      <c r="A189" s="44"/>
    </row>
    <row r="190" spans="1:1" x14ac:dyDescent="0.55000000000000004">
      <c r="A190" s="44"/>
    </row>
    <row r="191" spans="1:1" x14ac:dyDescent="0.55000000000000004">
      <c r="A191" s="44"/>
    </row>
    <row r="192" spans="1:1" x14ac:dyDescent="0.55000000000000004">
      <c r="A192" s="44"/>
    </row>
    <row r="193" spans="1:1" x14ac:dyDescent="0.55000000000000004">
      <c r="A193" s="44"/>
    </row>
    <row r="194" spans="1:1" x14ac:dyDescent="0.55000000000000004">
      <c r="A194" s="44"/>
    </row>
    <row r="195" spans="1:1" x14ac:dyDescent="0.55000000000000004">
      <c r="A195" s="44"/>
    </row>
    <row r="196" spans="1:1" x14ac:dyDescent="0.55000000000000004">
      <c r="A196" s="44"/>
    </row>
    <row r="197" spans="1:1" x14ac:dyDescent="0.55000000000000004">
      <c r="A197" s="44"/>
    </row>
    <row r="198" spans="1:1" x14ac:dyDescent="0.55000000000000004">
      <c r="A198" s="44"/>
    </row>
    <row r="199" spans="1:1" x14ac:dyDescent="0.55000000000000004">
      <c r="A199" s="44"/>
    </row>
    <row r="200" spans="1:1" x14ac:dyDescent="0.55000000000000004">
      <c r="A200" s="44"/>
    </row>
    <row r="201" spans="1:1" x14ac:dyDescent="0.55000000000000004">
      <c r="A201" s="44"/>
    </row>
    <row r="202" spans="1:1" x14ac:dyDescent="0.55000000000000004">
      <c r="A202" s="44"/>
    </row>
    <row r="203" spans="1:1" x14ac:dyDescent="0.55000000000000004">
      <c r="A203" s="44"/>
    </row>
    <row r="204" spans="1:1" x14ac:dyDescent="0.55000000000000004">
      <c r="A204" s="44"/>
    </row>
    <row r="205" spans="1:1" x14ac:dyDescent="0.55000000000000004">
      <c r="A205" s="44"/>
    </row>
    <row r="206" spans="1:1" x14ac:dyDescent="0.55000000000000004">
      <c r="A206" s="44"/>
    </row>
    <row r="207" spans="1:1" x14ac:dyDescent="0.55000000000000004">
      <c r="A207" s="44"/>
    </row>
    <row r="208" spans="1:1" x14ac:dyDescent="0.55000000000000004">
      <c r="A208" s="44"/>
    </row>
    <row r="209" spans="1:1" x14ac:dyDescent="0.55000000000000004">
      <c r="A209" s="44"/>
    </row>
    <row r="210" spans="1:1" x14ac:dyDescent="0.55000000000000004">
      <c r="A210" s="44"/>
    </row>
    <row r="211" spans="1:1" x14ac:dyDescent="0.55000000000000004">
      <c r="A211" s="44"/>
    </row>
    <row r="212" spans="1:1" x14ac:dyDescent="0.55000000000000004">
      <c r="A212" s="44"/>
    </row>
    <row r="213" spans="1:1" x14ac:dyDescent="0.55000000000000004">
      <c r="A213" s="44"/>
    </row>
    <row r="214" spans="1:1" x14ac:dyDescent="0.55000000000000004">
      <c r="A214" s="44"/>
    </row>
    <row r="215" spans="1:1" x14ac:dyDescent="0.55000000000000004">
      <c r="A215" s="44"/>
    </row>
    <row r="216" spans="1:1" x14ac:dyDescent="0.55000000000000004">
      <c r="A216" s="44"/>
    </row>
    <row r="217" spans="1:1" x14ac:dyDescent="0.55000000000000004">
      <c r="A217" s="44"/>
    </row>
    <row r="218" spans="1:1" x14ac:dyDescent="0.55000000000000004">
      <c r="A218" s="44"/>
    </row>
    <row r="219" spans="1:1" x14ac:dyDescent="0.55000000000000004">
      <c r="A219" s="44"/>
    </row>
    <row r="220" spans="1:1" x14ac:dyDescent="0.55000000000000004">
      <c r="A220" s="44"/>
    </row>
    <row r="221" spans="1:1" x14ac:dyDescent="0.55000000000000004">
      <c r="A221" s="44"/>
    </row>
    <row r="222" spans="1:1" x14ac:dyDescent="0.55000000000000004">
      <c r="A222" s="44"/>
    </row>
    <row r="223" spans="1:1" x14ac:dyDescent="0.55000000000000004">
      <c r="A223" s="44"/>
    </row>
    <row r="224" spans="1:1" x14ac:dyDescent="0.55000000000000004">
      <c r="A224" s="44"/>
    </row>
    <row r="225" spans="1:1" x14ac:dyDescent="0.55000000000000004">
      <c r="A225" s="44"/>
    </row>
    <row r="226" spans="1:1" x14ac:dyDescent="0.55000000000000004">
      <c r="A226" s="44"/>
    </row>
    <row r="227" spans="1:1" x14ac:dyDescent="0.55000000000000004">
      <c r="A227" s="44"/>
    </row>
    <row r="228" spans="1:1" x14ac:dyDescent="0.55000000000000004">
      <c r="A228" s="44"/>
    </row>
    <row r="229" spans="1:1" x14ac:dyDescent="0.55000000000000004">
      <c r="A229" s="44"/>
    </row>
    <row r="230" spans="1:1" x14ac:dyDescent="0.55000000000000004">
      <c r="A230" s="44"/>
    </row>
    <row r="231" spans="1:1" x14ac:dyDescent="0.55000000000000004">
      <c r="A231" s="44"/>
    </row>
    <row r="232" spans="1:1" x14ac:dyDescent="0.55000000000000004">
      <c r="A232" s="44"/>
    </row>
    <row r="233" spans="1:1" x14ac:dyDescent="0.55000000000000004">
      <c r="A233" s="44"/>
    </row>
    <row r="234" spans="1:1" x14ac:dyDescent="0.55000000000000004">
      <c r="A234" s="44"/>
    </row>
    <row r="235" spans="1:1" x14ac:dyDescent="0.55000000000000004">
      <c r="A235" s="44"/>
    </row>
    <row r="236" spans="1:1" x14ac:dyDescent="0.55000000000000004">
      <c r="A236" s="44"/>
    </row>
    <row r="237" spans="1:1" x14ac:dyDescent="0.55000000000000004">
      <c r="A237" s="44"/>
    </row>
    <row r="238" spans="1:1" x14ac:dyDescent="0.55000000000000004">
      <c r="A238" s="44"/>
    </row>
    <row r="239" spans="1:1" x14ac:dyDescent="0.55000000000000004">
      <c r="A239" s="44"/>
    </row>
    <row r="240" spans="1:1" x14ac:dyDescent="0.55000000000000004">
      <c r="A240" s="44"/>
    </row>
    <row r="241" spans="1:1" x14ac:dyDescent="0.55000000000000004">
      <c r="A241" s="44"/>
    </row>
    <row r="242" spans="1:1" x14ac:dyDescent="0.55000000000000004">
      <c r="A242" s="44"/>
    </row>
    <row r="243" spans="1:1" x14ac:dyDescent="0.55000000000000004">
      <c r="A243" s="44"/>
    </row>
    <row r="244" spans="1:1" x14ac:dyDescent="0.55000000000000004">
      <c r="A244" s="44"/>
    </row>
    <row r="245" spans="1:1" x14ac:dyDescent="0.55000000000000004">
      <c r="A245" s="44"/>
    </row>
    <row r="246" spans="1:1" x14ac:dyDescent="0.55000000000000004">
      <c r="A246" s="44"/>
    </row>
    <row r="247" spans="1:1" x14ac:dyDescent="0.55000000000000004">
      <c r="A247" s="44"/>
    </row>
    <row r="248" spans="1:1" x14ac:dyDescent="0.55000000000000004">
      <c r="A248" s="44"/>
    </row>
    <row r="249" spans="1:1" x14ac:dyDescent="0.55000000000000004">
      <c r="A249" s="44"/>
    </row>
    <row r="250" spans="1:1" x14ac:dyDescent="0.55000000000000004">
      <c r="A250" s="44"/>
    </row>
    <row r="251" spans="1:1" x14ac:dyDescent="0.55000000000000004">
      <c r="A251" s="44"/>
    </row>
    <row r="252" spans="1:1" x14ac:dyDescent="0.55000000000000004">
      <c r="A252" s="44"/>
    </row>
    <row r="253" spans="1:1" x14ac:dyDescent="0.55000000000000004">
      <c r="A253" s="44"/>
    </row>
    <row r="254" spans="1:1" x14ac:dyDescent="0.55000000000000004">
      <c r="A254" s="44"/>
    </row>
    <row r="255" spans="1:1" x14ac:dyDescent="0.55000000000000004">
      <c r="A255" s="44"/>
    </row>
    <row r="256" spans="1:1" x14ac:dyDescent="0.55000000000000004">
      <c r="A256" s="44"/>
    </row>
    <row r="257" spans="1:1" x14ac:dyDescent="0.55000000000000004">
      <c r="A257" s="44"/>
    </row>
    <row r="258" spans="1:1" x14ac:dyDescent="0.55000000000000004">
      <c r="A258" s="44"/>
    </row>
    <row r="259" spans="1:1" x14ac:dyDescent="0.55000000000000004">
      <c r="A259" s="44"/>
    </row>
    <row r="260" spans="1:1" x14ac:dyDescent="0.55000000000000004">
      <c r="A260" s="44"/>
    </row>
    <row r="261" spans="1:1" x14ac:dyDescent="0.55000000000000004">
      <c r="A261" s="44"/>
    </row>
    <row r="262" spans="1:1" x14ac:dyDescent="0.55000000000000004">
      <c r="A262" s="44"/>
    </row>
    <row r="263" spans="1:1" x14ac:dyDescent="0.55000000000000004">
      <c r="A263" s="44"/>
    </row>
    <row r="264" spans="1:1" x14ac:dyDescent="0.55000000000000004">
      <c r="A264" s="44"/>
    </row>
    <row r="265" spans="1:1" x14ac:dyDescent="0.55000000000000004">
      <c r="A265" s="44"/>
    </row>
    <row r="266" spans="1:1" x14ac:dyDescent="0.55000000000000004">
      <c r="A266" s="44"/>
    </row>
    <row r="267" spans="1:1" x14ac:dyDescent="0.55000000000000004">
      <c r="A267" s="44"/>
    </row>
    <row r="268" spans="1:1" x14ac:dyDescent="0.55000000000000004">
      <c r="A268" s="44"/>
    </row>
    <row r="269" spans="1:1" x14ac:dyDescent="0.55000000000000004">
      <c r="A269" s="44"/>
    </row>
    <row r="270" spans="1:1" x14ac:dyDescent="0.55000000000000004">
      <c r="A270" s="44"/>
    </row>
    <row r="271" spans="1:1" x14ac:dyDescent="0.55000000000000004">
      <c r="A271" s="44"/>
    </row>
    <row r="272" spans="1:1" x14ac:dyDescent="0.55000000000000004">
      <c r="A272" s="44"/>
    </row>
    <row r="273" spans="1:1" x14ac:dyDescent="0.55000000000000004">
      <c r="A273" s="44"/>
    </row>
    <row r="274" spans="1:1" x14ac:dyDescent="0.55000000000000004">
      <c r="A274" s="44"/>
    </row>
    <row r="275" spans="1:1" x14ac:dyDescent="0.55000000000000004">
      <c r="A275" s="44"/>
    </row>
    <row r="276" spans="1:1" x14ac:dyDescent="0.55000000000000004">
      <c r="A276" s="44"/>
    </row>
    <row r="277" spans="1:1" x14ac:dyDescent="0.55000000000000004">
      <c r="A277" s="44"/>
    </row>
    <row r="278" spans="1:1" x14ac:dyDescent="0.55000000000000004">
      <c r="A278" s="44"/>
    </row>
    <row r="279" spans="1:1" x14ac:dyDescent="0.55000000000000004">
      <c r="A279" s="44"/>
    </row>
    <row r="280" spans="1:1" x14ac:dyDescent="0.55000000000000004">
      <c r="A280" s="44"/>
    </row>
    <row r="281" spans="1:1" x14ac:dyDescent="0.55000000000000004">
      <c r="A281" s="44"/>
    </row>
    <row r="282" spans="1:1" x14ac:dyDescent="0.55000000000000004">
      <c r="A282" s="44"/>
    </row>
    <row r="283" spans="1:1" x14ac:dyDescent="0.55000000000000004">
      <c r="A283" s="44"/>
    </row>
    <row r="284" spans="1:1" x14ac:dyDescent="0.55000000000000004">
      <c r="A284" s="44"/>
    </row>
    <row r="285" spans="1:1" x14ac:dyDescent="0.55000000000000004">
      <c r="A285" s="44"/>
    </row>
    <row r="286" spans="1:1" x14ac:dyDescent="0.55000000000000004">
      <c r="A286" s="44"/>
    </row>
    <row r="287" spans="1:1" x14ac:dyDescent="0.55000000000000004">
      <c r="A287" s="44"/>
    </row>
    <row r="288" spans="1:1" x14ac:dyDescent="0.55000000000000004">
      <c r="A288" s="44"/>
    </row>
    <row r="289" spans="1:1" x14ac:dyDescent="0.55000000000000004">
      <c r="A289" s="44"/>
    </row>
    <row r="290" spans="1:1" x14ac:dyDescent="0.55000000000000004">
      <c r="A290" s="44"/>
    </row>
    <row r="291" spans="1:1" x14ac:dyDescent="0.55000000000000004">
      <c r="A291" s="44"/>
    </row>
    <row r="292" spans="1:1" x14ac:dyDescent="0.55000000000000004">
      <c r="A292" s="44"/>
    </row>
    <row r="293" spans="1:1" x14ac:dyDescent="0.55000000000000004">
      <c r="A293" s="44"/>
    </row>
    <row r="294" spans="1:1" x14ac:dyDescent="0.55000000000000004">
      <c r="A294" s="44"/>
    </row>
    <row r="295" spans="1:1" x14ac:dyDescent="0.55000000000000004">
      <c r="A295" s="44"/>
    </row>
    <row r="296" spans="1:1" x14ac:dyDescent="0.55000000000000004">
      <c r="A296" s="44"/>
    </row>
    <row r="297" spans="1:1" x14ac:dyDescent="0.55000000000000004">
      <c r="A297" s="44"/>
    </row>
    <row r="298" spans="1:1" x14ac:dyDescent="0.55000000000000004">
      <c r="A298" s="44"/>
    </row>
    <row r="299" spans="1:1" x14ac:dyDescent="0.55000000000000004">
      <c r="A299" s="44"/>
    </row>
    <row r="300" spans="1:1" x14ac:dyDescent="0.55000000000000004">
      <c r="A300" s="44"/>
    </row>
    <row r="301" spans="1:1" x14ac:dyDescent="0.55000000000000004">
      <c r="A301" s="44"/>
    </row>
    <row r="302" spans="1:1" x14ac:dyDescent="0.55000000000000004">
      <c r="A302" s="44"/>
    </row>
    <row r="303" spans="1:1" x14ac:dyDescent="0.55000000000000004">
      <c r="A303" s="44"/>
    </row>
    <row r="304" spans="1:1" x14ac:dyDescent="0.55000000000000004">
      <c r="A304" s="44"/>
    </row>
    <row r="305" spans="1:1" x14ac:dyDescent="0.55000000000000004">
      <c r="A305" s="44"/>
    </row>
    <row r="306" spans="1:1" x14ac:dyDescent="0.55000000000000004">
      <c r="A306" s="44"/>
    </row>
    <row r="307" spans="1:1" x14ac:dyDescent="0.55000000000000004">
      <c r="A307" s="44"/>
    </row>
    <row r="308" spans="1:1" x14ac:dyDescent="0.55000000000000004">
      <c r="A308" s="44"/>
    </row>
    <row r="309" spans="1:1" x14ac:dyDescent="0.55000000000000004">
      <c r="A309" s="44"/>
    </row>
    <row r="310" spans="1:1" x14ac:dyDescent="0.55000000000000004">
      <c r="A310" s="44"/>
    </row>
    <row r="311" spans="1:1" x14ac:dyDescent="0.55000000000000004">
      <c r="A311" s="44"/>
    </row>
    <row r="312" spans="1:1" x14ac:dyDescent="0.55000000000000004">
      <c r="A312" s="44"/>
    </row>
    <row r="313" spans="1:1" x14ac:dyDescent="0.55000000000000004">
      <c r="A313" s="44"/>
    </row>
    <row r="314" spans="1:1" x14ac:dyDescent="0.55000000000000004">
      <c r="A314" s="44"/>
    </row>
    <row r="315" spans="1:1" x14ac:dyDescent="0.55000000000000004">
      <c r="A315" s="44"/>
    </row>
    <row r="316" spans="1:1" x14ac:dyDescent="0.55000000000000004">
      <c r="A316" s="44"/>
    </row>
    <row r="317" spans="1:1" x14ac:dyDescent="0.55000000000000004">
      <c r="A317" s="44"/>
    </row>
    <row r="318" spans="1:1" x14ac:dyDescent="0.55000000000000004">
      <c r="A318" s="44"/>
    </row>
    <row r="319" spans="1:1" x14ac:dyDescent="0.55000000000000004">
      <c r="A319" s="44"/>
    </row>
    <row r="320" spans="1:1" x14ac:dyDescent="0.55000000000000004">
      <c r="A320" s="44"/>
    </row>
    <row r="321" spans="1:1" x14ac:dyDescent="0.55000000000000004">
      <c r="A321" s="44"/>
    </row>
    <row r="322" spans="1:1" x14ac:dyDescent="0.55000000000000004">
      <c r="A322" s="44"/>
    </row>
    <row r="323" spans="1:1" x14ac:dyDescent="0.55000000000000004">
      <c r="A323" s="44"/>
    </row>
    <row r="324" spans="1:1" x14ac:dyDescent="0.55000000000000004">
      <c r="A324" s="44"/>
    </row>
    <row r="325" spans="1:1" x14ac:dyDescent="0.55000000000000004">
      <c r="A325" s="44"/>
    </row>
    <row r="326" spans="1:1" x14ac:dyDescent="0.55000000000000004">
      <c r="A326" s="44"/>
    </row>
    <row r="327" spans="1:1" x14ac:dyDescent="0.55000000000000004">
      <c r="A327" s="44"/>
    </row>
    <row r="328" spans="1:1" x14ac:dyDescent="0.55000000000000004">
      <c r="A328" s="44"/>
    </row>
    <row r="329" spans="1:1" x14ac:dyDescent="0.55000000000000004">
      <c r="A329" s="44"/>
    </row>
    <row r="330" spans="1:1" x14ac:dyDescent="0.55000000000000004">
      <c r="A330" s="44"/>
    </row>
    <row r="331" spans="1:1" x14ac:dyDescent="0.55000000000000004">
      <c r="A331" s="44"/>
    </row>
    <row r="332" spans="1:1" x14ac:dyDescent="0.55000000000000004">
      <c r="A332" s="44"/>
    </row>
    <row r="333" spans="1:1" x14ac:dyDescent="0.55000000000000004">
      <c r="A333" s="44"/>
    </row>
    <row r="334" spans="1:1" x14ac:dyDescent="0.55000000000000004">
      <c r="A334" s="44"/>
    </row>
    <row r="335" spans="1:1" x14ac:dyDescent="0.55000000000000004">
      <c r="A335" s="44"/>
    </row>
    <row r="336" spans="1:1" x14ac:dyDescent="0.55000000000000004">
      <c r="A336" s="44"/>
    </row>
    <row r="337" spans="1:1" x14ac:dyDescent="0.55000000000000004">
      <c r="A337" s="44"/>
    </row>
    <row r="338" spans="1:1" x14ac:dyDescent="0.55000000000000004">
      <c r="A338" s="44"/>
    </row>
    <row r="339" spans="1:1" x14ac:dyDescent="0.55000000000000004">
      <c r="A339" s="44"/>
    </row>
    <row r="340" spans="1:1" x14ac:dyDescent="0.55000000000000004">
      <c r="A340" s="44"/>
    </row>
    <row r="341" spans="1:1" x14ac:dyDescent="0.55000000000000004">
      <c r="A341" s="44"/>
    </row>
    <row r="342" spans="1:1" x14ac:dyDescent="0.55000000000000004">
      <c r="A342" s="44"/>
    </row>
    <row r="343" spans="1:1" x14ac:dyDescent="0.55000000000000004">
      <c r="A343" s="44"/>
    </row>
    <row r="344" spans="1:1" x14ac:dyDescent="0.55000000000000004">
      <c r="A344" s="44"/>
    </row>
    <row r="345" spans="1:1" x14ac:dyDescent="0.55000000000000004">
      <c r="A345" s="44"/>
    </row>
    <row r="346" spans="1:1" x14ac:dyDescent="0.55000000000000004">
      <c r="A346" s="44"/>
    </row>
    <row r="347" spans="1:1" x14ac:dyDescent="0.55000000000000004">
      <c r="A347" s="44"/>
    </row>
    <row r="348" spans="1:1" x14ac:dyDescent="0.55000000000000004">
      <c r="A348" s="44"/>
    </row>
    <row r="349" spans="1:1" x14ac:dyDescent="0.55000000000000004">
      <c r="A349" s="44"/>
    </row>
    <row r="350" spans="1:1" x14ac:dyDescent="0.55000000000000004">
      <c r="A350" s="44"/>
    </row>
    <row r="351" spans="1:1" x14ac:dyDescent="0.55000000000000004">
      <c r="A351" s="44"/>
    </row>
    <row r="352" spans="1:1" x14ac:dyDescent="0.55000000000000004">
      <c r="A352" s="44"/>
    </row>
    <row r="353" spans="1:1" x14ac:dyDescent="0.55000000000000004">
      <c r="A353" s="44"/>
    </row>
    <row r="354" spans="1:1" x14ac:dyDescent="0.55000000000000004">
      <c r="A354" s="44"/>
    </row>
    <row r="355" spans="1:1" x14ac:dyDescent="0.55000000000000004">
      <c r="A355" s="44"/>
    </row>
    <row r="356" spans="1:1" x14ac:dyDescent="0.55000000000000004">
      <c r="A356" s="44"/>
    </row>
    <row r="357" spans="1:1" x14ac:dyDescent="0.55000000000000004">
      <c r="A357" s="44"/>
    </row>
    <row r="358" spans="1:1" x14ac:dyDescent="0.55000000000000004">
      <c r="A358" s="44"/>
    </row>
    <row r="359" spans="1:1" x14ac:dyDescent="0.55000000000000004">
      <c r="A359" s="44"/>
    </row>
    <row r="360" spans="1:1" x14ac:dyDescent="0.55000000000000004">
      <c r="A360" s="44"/>
    </row>
    <row r="361" spans="1:1" x14ac:dyDescent="0.55000000000000004">
      <c r="A361" s="44"/>
    </row>
    <row r="362" spans="1:1" x14ac:dyDescent="0.55000000000000004">
      <c r="A362" s="44"/>
    </row>
    <row r="363" spans="1:1" x14ac:dyDescent="0.55000000000000004">
      <c r="A363" s="44"/>
    </row>
    <row r="364" spans="1:1" x14ac:dyDescent="0.55000000000000004">
      <c r="A364" s="44"/>
    </row>
    <row r="365" spans="1:1" x14ac:dyDescent="0.55000000000000004">
      <c r="A365" s="44"/>
    </row>
    <row r="366" spans="1:1" x14ac:dyDescent="0.55000000000000004">
      <c r="A366" s="44"/>
    </row>
    <row r="367" spans="1:1" x14ac:dyDescent="0.55000000000000004">
      <c r="A367" s="44"/>
    </row>
    <row r="368" spans="1:1" x14ac:dyDescent="0.55000000000000004">
      <c r="A368" s="44"/>
    </row>
    <row r="369" spans="1:1" x14ac:dyDescent="0.55000000000000004">
      <c r="A369" s="44"/>
    </row>
    <row r="370" spans="1:1" x14ac:dyDescent="0.55000000000000004">
      <c r="A370" s="44"/>
    </row>
    <row r="371" spans="1:1" x14ac:dyDescent="0.55000000000000004">
      <c r="A371" s="44"/>
    </row>
    <row r="372" spans="1:1" x14ac:dyDescent="0.55000000000000004">
      <c r="A372" s="44"/>
    </row>
    <row r="373" spans="1:1" x14ac:dyDescent="0.55000000000000004">
      <c r="A373" s="44"/>
    </row>
    <row r="374" spans="1:1" x14ac:dyDescent="0.55000000000000004">
      <c r="A374" s="44"/>
    </row>
    <row r="375" spans="1:1" x14ac:dyDescent="0.55000000000000004">
      <c r="A375" s="44"/>
    </row>
    <row r="376" spans="1:1" x14ac:dyDescent="0.55000000000000004">
      <c r="A376" s="44"/>
    </row>
    <row r="377" spans="1:1" x14ac:dyDescent="0.55000000000000004">
      <c r="A377" s="44"/>
    </row>
    <row r="378" spans="1:1" x14ac:dyDescent="0.55000000000000004">
      <c r="A378" s="44"/>
    </row>
    <row r="379" spans="1:1" x14ac:dyDescent="0.55000000000000004">
      <c r="A379" s="44"/>
    </row>
    <row r="380" spans="1:1" x14ac:dyDescent="0.55000000000000004">
      <c r="A380" s="44"/>
    </row>
    <row r="381" spans="1:1" x14ac:dyDescent="0.55000000000000004">
      <c r="A381" s="44"/>
    </row>
    <row r="382" spans="1:1" x14ac:dyDescent="0.55000000000000004">
      <c r="A382" s="44"/>
    </row>
    <row r="383" spans="1:1" x14ac:dyDescent="0.55000000000000004">
      <c r="A383" s="44"/>
    </row>
    <row r="384" spans="1:1" x14ac:dyDescent="0.55000000000000004">
      <c r="A384" s="44"/>
    </row>
    <row r="385" spans="1:1" x14ac:dyDescent="0.55000000000000004">
      <c r="A385" s="44"/>
    </row>
    <row r="386" spans="1:1" x14ac:dyDescent="0.55000000000000004">
      <c r="A386" s="44"/>
    </row>
    <row r="387" spans="1:1" x14ac:dyDescent="0.55000000000000004">
      <c r="A387" s="44"/>
    </row>
    <row r="388" spans="1:1" x14ac:dyDescent="0.55000000000000004">
      <c r="A388" s="44"/>
    </row>
    <row r="389" spans="1:1" x14ac:dyDescent="0.55000000000000004">
      <c r="A389" s="44"/>
    </row>
    <row r="390" spans="1:1" x14ac:dyDescent="0.55000000000000004">
      <c r="A390" s="44"/>
    </row>
    <row r="391" spans="1:1" x14ac:dyDescent="0.55000000000000004">
      <c r="A391" s="44"/>
    </row>
    <row r="392" spans="1:1" x14ac:dyDescent="0.55000000000000004">
      <c r="A392" s="44"/>
    </row>
    <row r="393" spans="1:1" x14ac:dyDescent="0.55000000000000004">
      <c r="A393" s="44"/>
    </row>
    <row r="394" spans="1:1" x14ac:dyDescent="0.55000000000000004">
      <c r="A394" s="44"/>
    </row>
    <row r="395" spans="1:1" x14ac:dyDescent="0.55000000000000004">
      <c r="A395" s="44"/>
    </row>
    <row r="396" spans="1:1" x14ac:dyDescent="0.55000000000000004">
      <c r="A396" s="44"/>
    </row>
    <row r="397" spans="1:1" x14ac:dyDescent="0.55000000000000004">
      <c r="A397" s="44"/>
    </row>
    <row r="398" spans="1:1" x14ac:dyDescent="0.55000000000000004">
      <c r="A398" s="44"/>
    </row>
    <row r="399" spans="1:1" x14ac:dyDescent="0.55000000000000004">
      <c r="A399" s="44"/>
    </row>
    <row r="400" spans="1:1" x14ac:dyDescent="0.55000000000000004">
      <c r="A400" s="44"/>
    </row>
    <row r="401" spans="1:1" x14ac:dyDescent="0.55000000000000004">
      <c r="A401" s="44"/>
    </row>
    <row r="402" spans="1:1" x14ac:dyDescent="0.55000000000000004">
      <c r="A402" s="44"/>
    </row>
    <row r="403" spans="1:1" x14ac:dyDescent="0.55000000000000004">
      <c r="A403" s="44"/>
    </row>
    <row r="404" spans="1:1" x14ac:dyDescent="0.55000000000000004">
      <c r="A404" s="44"/>
    </row>
    <row r="405" spans="1:1" x14ac:dyDescent="0.55000000000000004">
      <c r="A405" s="44"/>
    </row>
    <row r="406" spans="1:1" x14ac:dyDescent="0.55000000000000004">
      <c r="A406" s="44"/>
    </row>
    <row r="407" spans="1:1" x14ac:dyDescent="0.55000000000000004">
      <c r="A407" s="44"/>
    </row>
    <row r="408" spans="1:1" x14ac:dyDescent="0.55000000000000004">
      <c r="A408" s="44"/>
    </row>
    <row r="409" spans="1:1" x14ac:dyDescent="0.55000000000000004">
      <c r="A409" s="44"/>
    </row>
    <row r="410" spans="1:1" x14ac:dyDescent="0.55000000000000004">
      <c r="A410" s="44"/>
    </row>
    <row r="411" spans="1:1" x14ac:dyDescent="0.55000000000000004">
      <c r="A411" s="44"/>
    </row>
    <row r="412" spans="1:1" x14ac:dyDescent="0.55000000000000004">
      <c r="A412" s="44"/>
    </row>
    <row r="413" spans="1:1" x14ac:dyDescent="0.55000000000000004">
      <c r="A413" s="44"/>
    </row>
    <row r="414" spans="1:1" x14ac:dyDescent="0.55000000000000004">
      <c r="A414" s="44"/>
    </row>
    <row r="415" spans="1:1" x14ac:dyDescent="0.55000000000000004">
      <c r="A415" s="44"/>
    </row>
    <row r="416" spans="1:1" x14ac:dyDescent="0.55000000000000004">
      <c r="A416" s="44"/>
    </row>
    <row r="417" spans="1:1" x14ac:dyDescent="0.55000000000000004">
      <c r="A417" s="44"/>
    </row>
    <row r="418" spans="1:1" x14ac:dyDescent="0.55000000000000004">
      <c r="A418" s="44"/>
    </row>
    <row r="419" spans="1:1" x14ac:dyDescent="0.55000000000000004">
      <c r="A419" s="44"/>
    </row>
    <row r="420" spans="1:1" x14ac:dyDescent="0.55000000000000004">
      <c r="A420" s="44"/>
    </row>
    <row r="421" spans="1:1" x14ac:dyDescent="0.55000000000000004">
      <c r="A421" s="44"/>
    </row>
    <row r="422" spans="1:1" x14ac:dyDescent="0.55000000000000004">
      <c r="A422" s="44"/>
    </row>
    <row r="423" spans="1:1" x14ac:dyDescent="0.55000000000000004">
      <c r="A423" s="44"/>
    </row>
    <row r="424" spans="1:1" x14ac:dyDescent="0.55000000000000004">
      <c r="A424" s="44"/>
    </row>
    <row r="425" spans="1:1" x14ac:dyDescent="0.55000000000000004">
      <c r="A425" s="44"/>
    </row>
    <row r="426" spans="1:1" x14ac:dyDescent="0.55000000000000004">
      <c r="A426" s="44"/>
    </row>
    <row r="427" spans="1:1" x14ac:dyDescent="0.55000000000000004">
      <c r="A427" s="44"/>
    </row>
    <row r="428" spans="1:1" x14ac:dyDescent="0.55000000000000004">
      <c r="A428" s="44"/>
    </row>
    <row r="429" spans="1:1" x14ac:dyDescent="0.55000000000000004">
      <c r="A429" s="44"/>
    </row>
    <row r="430" spans="1:1" x14ac:dyDescent="0.55000000000000004">
      <c r="A430" s="44"/>
    </row>
    <row r="431" spans="1:1" x14ac:dyDescent="0.55000000000000004">
      <c r="A431" s="44"/>
    </row>
    <row r="432" spans="1:1" x14ac:dyDescent="0.55000000000000004">
      <c r="A432" s="44"/>
    </row>
    <row r="433" spans="1:1" x14ac:dyDescent="0.55000000000000004">
      <c r="A433" s="44"/>
    </row>
    <row r="434" spans="1:1" x14ac:dyDescent="0.55000000000000004">
      <c r="A434" s="44"/>
    </row>
    <row r="435" spans="1:1" x14ac:dyDescent="0.55000000000000004">
      <c r="A435" s="44"/>
    </row>
    <row r="436" spans="1:1" x14ac:dyDescent="0.55000000000000004">
      <c r="A436" s="44"/>
    </row>
    <row r="437" spans="1:1" x14ac:dyDescent="0.55000000000000004">
      <c r="A437" s="44"/>
    </row>
    <row r="438" spans="1:1" x14ac:dyDescent="0.55000000000000004">
      <c r="A438" s="44"/>
    </row>
    <row r="439" spans="1:1" x14ac:dyDescent="0.55000000000000004">
      <c r="A439" s="44"/>
    </row>
    <row r="440" spans="1:1" x14ac:dyDescent="0.55000000000000004">
      <c r="A440" s="44"/>
    </row>
    <row r="441" spans="1:1" x14ac:dyDescent="0.55000000000000004">
      <c r="A441" s="44"/>
    </row>
    <row r="442" spans="1:1" x14ac:dyDescent="0.55000000000000004">
      <c r="A442" s="44"/>
    </row>
    <row r="443" spans="1:1" x14ac:dyDescent="0.55000000000000004">
      <c r="A443" s="44"/>
    </row>
    <row r="444" spans="1:1" x14ac:dyDescent="0.55000000000000004">
      <c r="A444" s="44"/>
    </row>
    <row r="445" spans="1:1" x14ac:dyDescent="0.55000000000000004">
      <c r="A445" s="44"/>
    </row>
    <row r="446" spans="1:1" x14ac:dyDescent="0.55000000000000004">
      <c r="A446" s="44"/>
    </row>
    <row r="447" spans="1:1" x14ac:dyDescent="0.55000000000000004">
      <c r="A447" s="44"/>
    </row>
    <row r="448" spans="1:1" x14ac:dyDescent="0.55000000000000004">
      <c r="A448" s="44"/>
    </row>
    <row r="449" spans="1:1" x14ac:dyDescent="0.55000000000000004">
      <c r="A449" s="44"/>
    </row>
    <row r="450" spans="1:1" x14ac:dyDescent="0.55000000000000004">
      <c r="A450" s="44"/>
    </row>
    <row r="451" spans="1:1" x14ac:dyDescent="0.55000000000000004">
      <c r="A451" s="44"/>
    </row>
    <row r="452" spans="1:1" x14ac:dyDescent="0.55000000000000004">
      <c r="A452" s="44"/>
    </row>
    <row r="453" spans="1:1" x14ac:dyDescent="0.55000000000000004">
      <c r="A453" s="44"/>
    </row>
    <row r="454" spans="1:1" x14ac:dyDescent="0.55000000000000004">
      <c r="A454" s="44"/>
    </row>
    <row r="455" spans="1:1" x14ac:dyDescent="0.55000000000000004">
      <c r="A455" s="44"/>
    </row>
    <row r="456" spans="1:1" x14ac:dyDescent="0.55000000000000004">
      <c r="A456" s="44"/>
    </row>
    <row r="457" spans="1:1" x14ac:dyDescent="0.55000000000000004">
      <c r="A457" s="44"/>
    </row>
    <row r="458" spans="1:1" x14ac:dyDescent="0.55000000000000004">
      <c r="A458" s="44"/>
    </row>
    <row r="459" spans="1:1" x14ac:dyDescent="0.55000000000000004">
      <c r="A459" s="44"/>
    </row>
    <row r="460" spans="1:1" x14ac:dyDescent="0.55000000000000004">
      <c r="A460" s="44"/>
    </row>
    <row r="461" spans="1:1" x14ac:dyDescent="0.55000000000000004">
      <c r="A461" s="44"/>
    </row>
    <row r="462" spans="1:1" x14ac:dyDescent="0.55000000000000004">
      <c r="A462" s="44"/>
    </row>
    <row r="463" spans="1:1" x14ac:dyDescent="0.55000000000000004">
      <c r="A463" s="44"/>
    </row>
    <row r="464" spans="1:1" x14ac:dyDescent="0.55000000000000004">
      <c r="A464" s="44"/>
    </row>
    <row r="465" spans="1:1" x14ac:dyDescent="0.55000000000000004">
      <c r="A465" s="44"/>
    </row>
    <row r="466" spans="1:1" x14ac:dyDescent="0.55000000000000004">
      <c r="A466" s="44"/>
    </row>
    <row r="467" spans="1:1" x14ac:dyDescent="0.55000000000000004">
      <c r="A467" s="44"/>
    </row>
    <row r="468" spans="1:1" x14ac:dyDescent="0.55000000000000004">
      <c r="A468" s="44"/>
    </row>
    <row r="469" spans="1:1" x14ac:dyDescent="0.55000000000000004">
      <c r="A469" s="44"/>
    </row>
    <row r="470" spans="1:1" x14ac:dyDescent="0.55000000000000004">
      <c r="A470" s="44"/>
    </row>
    <row r="471" spans="1:1" x14ac:dyDescent="0.55000000000000004">
      <c r="A471" s="44"/>
    </row>
    <row r="472" spans="1:1" x14ac:dyDescent="0.55000000000000004">
      <c r="A472" s="44"/>
    </row>
    <row r="473" spans="1:1" x14ac:dyDescent="0.55000000000000004">
      <c r="A473" s="44"/>
    </row>
    <row r="474" spans="1:1" x14ac:dyDescent="0.55000000000000004">
      <c r="A474" s="44"/>
    </row>
    <row r="475" spans="1:1" x14ac:dyDescent="0.55000000000000004">
      <c r="A475" s="44"/>
    </row>
    <row r="476" spans="1:1" x14ac:dyDescent="0.55000000000000004">
      <c r="A476" s="44"/>
    </row>
    <row r="477" spans="1:1" x14ac:dyDescent="0.55000000000000004">
      <c r="A477" s="44"/>
    </row>
    <row r="478" spans="1:1" x14ac:dyDescent="0.55000000000000004">
      <c r="A478" s="44"/>
    </row>
    <row r="479" spans="1:1" x14ac:dyDescent="0.55000000000000004">
      <c r="A479" s="44"/>
    </row>
    <row r="480" spans="1:1" x14ac:dyDescent="0.55000000000000004">
      <c r="A480" s="44"/>
    </row>
    <row r="481" spans="1:1" x14ac:dyDescent="0.55000000000000004">
      <c r="A481" s="44"/>
    </row>
    <row r="482" spans="1:1" x14ac:dyDescent="0.55000000000000004">
      <c r="A482" s="44"/>
    </row>
    <row r="483" spans="1:1" x14ac:dyDescent="0.55000000000000004">
      <c r="A483" s="44"/>
    </row>
    <row r="484" spans="1:1" x14ac:dyDescent="0.55000000000000004">
      <c r="A484" s="44"/>
    </row>
    <row r="485" spans="1:1" x14ac:dyDescent="0.55000000000000004">
      <c r="A485" s="44"/>
    </row>
    <row r="486" spans="1:1" x14ac:dyDescent="0.55000000000000004">
      <c r="A486" s="44"/>
    </row>
    <row r="487" spans="1:1" x14ac:dyDescent="0.55000000000000004">
      <c r="A487" s="44"/>
    </row>
    <row r="488" spans="1:1" x14ac:dyDescent="0.55000000000000004">
      <c r="A488" s="44"/>
    </row>
    <row r="489" spans="1:1" x14ac:dyDescent="0.55000000000000004">
      <c r="A489" s="44"/>
    </row>
    <row r="490" spans="1:1" x14ac:dyDescent="0.55000000000000004">
      <c r="A490" s="44"/>
    </row>
    <row r="491" spans="1:1" x14ac:dyDescent="0.55000000000000004">
      <c r="A491" s="44"/>
    </row>
    <row r="492" spans="1:1" x14ac:dyDescent="0.55000000000000004">
      <c r="A492" s="44"/>
    </row>
    <row r="493" spans="1:1" x14ac:dyDescent="0.55000000000000004">
      <c r="A493" s="44"/>
    </row>
    <row r="494" spans="1:1" x14ac:dyDescent="0.55000000000000004">
      <c r="A494" s="44"/>
    </row>
    <row r="495" spans="1:1" x14ac:dyDescent="0.55000000000000004">
      <c r="A495" s="44"/>
    </row>
    <row r="496" spans="1:1" x14ac:dyDescent="0.55000000000000004">
      <c r="A496" s="44"/>
    </row>
    <row r="497" spans="1:1" x14ac:dyDescent="0.55000000000000004">
      <c r="A497" s="44"/>
    </row>
    <row r="498" spans="1:1" x14ac:dyDescent="0.55000000000000004">
      <c r="A498" s="44"/>
    </row>
    <row r="499" spans="1:1" x14ac:dyDescent="0.55000000000000004">
      <c r="A499" s="44"/>
    </row>
    <row r="500" spans="1:1" x14ac:dyDescent="0.55000000000000004">
      <c r="A500" s="44"/>
    </row>
    <row r="501" spans="1:1" x14ac:dyDescent="0.55000000000000004">
      <c r="A501" s="44"/>
    </row>
  </sheetData>
  <mergeCells count="2">
    <mergeCell ref="C3:C4"/>
    <mergeCell ref="C6:C7"/>
  </mergeCells>
  <phoneticPr fontId="2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03F4-862C-487A-A997-7E0218DDB6CA}">
  <sheetPr codeName="Sheet5">
    <tabColor theme="0" tint="-0.34998626667073579"/>
  </sheetPr>
  <dimension ref="A1:I501"/>
  <sheetViews>
    <sheetView workbookViewId="0">
      <selection activeCell="N1" sqref="N1"/>
    </sheetView>
  </sheetViews>
  <sheetFormatPr defaultRowHeight="18" x14ac:dyDescent="0.55000000000000004"/>
  <sheetData>
    <row r="1" spans="1:9" x14ac:dyDescent="0.55000000000000004">
      <c r="A1" t="s">
        <v>28</v>
      </c>
      <c r="B1" t="s">
        <v>31</v>
      </c>
      <c r="C1" t="s">
        <v>25</v>
      </c>
      <c r="D1" t="s">
        <v>32</v>
      </c>
      <c r="E1" t="s">
        <v>26</v>
      </c>
      <c r="F1" t="s">
        <v>27</v>
      </c>
      <c r="G1">
        <v>1925</v>
      </c>
      <c r="I1" t="str">
        <f>_xll.RssPositionList(A1:F1,)</f>
        <v>=RssPositionList(A1:F1,) =&gt; 配信中</v>
      </c>
    </row>
    <row r="2" spans="1:9" x14ac:dyDescent="0.55000000000000004">
      <c r="A2">
        <v>1357</v>
      </c>
      <c r="B2">
        <v>1</v>
      </c>
      <c r="C2" s="2">
        <v>411</v>
      </c>
      <c r="D2" s="2">
        <v>177</v>
      </c>
      <c r="E2" s="2">
        <v>-234</v>
      </c>
      <c r="F2" s="2">
        <v>-56.934306999999997</v>
      </c>
      <c r="G2">
        <v>1928</v>
      </c>
    </row>
    <row r="3" spans="1:9" x14ac:dyDescent="0.55000000000000004">
      <c r="A3" s="2">
        <v>2038</v>
      </c>
      <c r="B3" s="2">
        <v>1</v>
      </c>
      <c r="C3" s="2">
        <v>1738</v>
      </c>
      <c r="D3" s="2">
        <v>1737</v>
      </c>
      <c r="E3" s="2">
        <v>-1</v>
      </c>
      <c r="F3" s="2">
        <v>-5.7536999999999998E-2</v>
      </c>
      <c r="G3">
        <v>2413</v>
      </c>
    </row>
    <row r="4" spans="1:9" x14ac:dyDescent="0.55000000000000004">
      <c r="A4" s="2">
        <v>2080</v>
      </c>
      <c r="B4" s="2">
        <v>1</v>
      </c>
      <c r="C4" s="2">
        <v>1004</v>
      </c>
      <c r="D4" s="2">
        <v>1082</v>
      </c>
      <c r="E4" s="2">
        <v>78</v>
      </c>
      <c r="F4" s="2">
        <v>7.7689240000000002</v>
      </c>
      <c r="G4">
        <v>2502</v>
      </c>
    </row>
    <row r="5" spans="1:9" x14ac:dyDescent="0.55000000000000004">
      <c r="A5">
        <v>2315</v>
      </c>
      <c r="B5">
        <v>210</v>
      </c>
      <c r="C5">
        <v>87.142799999999994</v>
      </c>
      <c r="D5">
        <v>9030</v>
      </c>
      <c r="E5">
        <v>-9269.9879999999994</v>
      </c>
      <c r="F5">
        <v>-50.655704999999998</v>
      </c>
      <c r="G5">
        <v>2503</v>
      </c>
    </row>
    <row r="6" spans="1:9" x14ac:dyDescent="0.55000000000000004">
      <c r="A6">
        <v>2914</v>
      </c>
      <c r="B6">
        <v>1</v>
      </c>
      <c r="C6" s="2">
        <v>3072</v>
      </c>
      <c r="D6" s="2">
        <v>3939</v>
      </c>
      <c r="E6" s="2">
        <v>867</v>
      </c>
      <c r="F6" s="2">
        <v>28.222656000000001</v>
      </c>
      <c r="G6">
        <v>2802</v>
      </c>
    </row>
    <row r="7" spans="1:9" x14ac:dyDescent="0.55000000000000004">
      <c r="A7">
        <v>2929</v>
      </c>
      <c r="B7">
        <v>1</v>
      </c>
      <c r="C7" s="2">
        <v>1672</v>
      </c>
      <c r="D7" s="2">
        <v>997</v>
      </c>
      <c r="E7" s="2">
        <v>-675</v>
      </c>
      <c r="F7" s="2">
        <v>-40.370812999999998</v>
      </c>
      <c r="G7">
        <v>2914</v>
      </c>
    </row>
    <row r="8" spans="1:9" x14ac:dyDescent="0.55000000000000004">
      <c r="A8">
        <v>3048</v>
      </c>
      <c r="B8">
        <v>2</v>
      </c>
      <c r="C8" s="2">
        <v>1064</v>
      </c>
      <c r="D8" s="2">
        <v>2690</v>
      </c>
      <c r="E8" s="2">
        <v>562</v>
      </c>
      <c r="F8" s="2">
        <v>26.409773999999999</v>
      </c>
      <c r="G8">
        <v>3382</v>
      </c>
    </row>
    <row r="9" spans="1:9" x14ac:dyDescent="0.55000000000000004">
      <c r="A9">
        <v>3402</v>
      </c>
      <c r="B9">
        <v>1</v>
      </c>
      <c r="C9" s="2">
        <v>797</v>
      </c>
      <c r="D9" s="2">
        <v>746.5</v>
      </c>
      <c r="E9" s="2">
        <v>-50.5</v>
      </c>
      <c r="F9" s="2">
        <v>-6.3362610000000004</v>
      </c>
      <c r="G9">
        <v>3402</v>
      </c>
    </row>
    <row r="10" spans="1:9" x14ac:dyDescent="0.55000000000000004">
      <c r="A10">
        <v>3941</v>
      </c>
      <c r="B10">
        <v>1</v>
      </c>
      <c r="C10" s="2">
        <v>1027</v>
      </c>
      <c r="D10" s="2">
        <v>1030</v>
      </c>
      <c r="E10" s="2">
        <v>3</v>
      </c>
      <c r="F10" s="2">
        <v>0.29211300000000001</v>
      </c>
      <c r="G10">
        <v>3407</v>
      </c>
    </row>
    <row r="11" spans="1:9" x14ac:dyDescent="0.55000000000000004">
      <c r="A11">
        <v>4005</v>
      </c>
      <c r="B11">
        <v>1</v>
      </c>
      <c r="C11" s="2">
        <v>407</v>
      </c>
      <c r="D11" s="2">
        <v>307.5</v>
      </c>
      <c r="E11" s="2">
        <v>-99.5</v>
      </c>
      <c r="F11" s="2">
        <v>-24.447174</v>
      </c>
      <c r="G11">
        <v>4063</v>
      </c>
    </row>
    <row r="12" spans="1:9" x14ac:dyDescent="0.55000000000000004">
      <c r="A12">
        <v>4506</v>
      </c>
      <c r="B12">
        <v>1</v>
      </c>
      <c r="C12" s="2">
        <v>542</v>
      </c>
      <c r="D12" s="2">
        <v>345</v>
      </c>
      <c r="E12" s="2">
        <v>-197</v>
      </c>
      <c r="F12" s="2">
        <v>-36.346862999999999</v>
      </c>
      <c r="G12">
        <v>4188</v>
      </c>
    </row>
    <row r="13" spans="1:9" x14ac:dyDescent="0.55000000000000004">
      <c r="A13">
        <v>4689</v>
      </c>
      <c r="B13">
        <v>1</v>
      </c>
      <c r="C13" s="2">
        <v>394</v>
      </c>
      <c r="D13" s="2">
        <v>433.3</v>
      </c>
      <c r="E13" s="2">
        <v>39.299999999999997</v>
      </c>
      <c r="F13" s="2">
        <v>9.9746190000000006</v>
      </c>
      <c r="G13">
        <v>4452</v>
      </c>
    </row>
    <row r="14" spans="1:9" x14ac:dyDescent="0.55000000000000004">
      <c r="A14">
        <v>4712</v>
      </c>
      <c r="B14">
        <v>10</v>
      </c>
      <c r="C14" s="2">
        <v>550</v>
      </c>
      <c r="D14" s="2">
        <v>8440</v>
      </c>
      <c r="E14" s="2">
        <v>2940</v>
      </c>
      <c r="F14" s="2">
        <v>53.454545000000003</v>
      </c>
      <c r="G14">
        <v>4502</v>
      </c>
    </row>
    <row r="15" spans="1:9" x14ac:dyDescent="0.55000000000000004">
      <c r="A15">
        <v>4997</v>
      </c>
      <c r="B15">
        <v>1</v>
      </c>
      <c r="C15" s="2">
        <v>684</v>
      </c>
      <c r="D15" s="2">
        <v>683</v>
      </c>
      <c r="E15" s="2">
        <v>-1</v>
      </c>
      <c r="F15" s="2">
        <v>-0.146199</v>
      </c>
      <c r="G15">
        <v>4503</v>
      </c>
    </row>
    <row r="16" spans="1:9" x14ac:dyDescent="0.55000000000000004">
      <c r="A16">
        <v>5803</v>
      </c>
      <c r="B16">
        <v>1</v>
      </c>
      <c r="C16" s="2">
        <v>1187</v>
      </c>
      <c r="D16" s="2">
        <v>1242</v>
      </c>
      <c r="E16" s="2">
        <v>55</v>
      </c>
      <c r="F16" s="2">
        <v>4.6335300000000004</v>
      </c>
      <c r="G16">
        <v>4507</v>
      </c>
    </row>
    <row r="17" spans="1:7" x14ac:dyDescent="0.55000000000000004">
      <c r="A17">
        <v>6472</v>
      </c>
      <c r="B17">
        <v>1</v>
      </c>
      <c r="C17" s="2">
        <v>296</v>
      </c>
      <c r="D17" s="2">
        <v>283.39999999999998</v>
      </c>
      <c r="E17" s="2">
        <v>-12.6</v>
      </c>
      <c r="F17" s="2">
        <v>-4.2567570000000003</v>
      </c>
      <c r="G17">
        <v>4519</v>
      </c>
    </row>
    <row r="18" spans="1:7" x14ac:dyDescent="0.55000000000000004">
      <c r="A18">
        <v>6993</v>
      </c>
      <c r="B18">
        <v>100</v>
      </c>
      <c r="C18" s="2">
        <v>55.5</v>
      </c>
      <c r="D18" s="2">
        <v>4000</v>
      </c>
      <c r="E18" s="2">
        <v>-1550</v>
      </c>
      <c r="F18" s="2">
        <v>-27.927928000000001</v>
      </c>
      <c r="G18">
        <v>4523</v>
      </c>
    </row>
    <row r="19" spans="1:7" x14ac:dyDescent="0.55000000000000004">
      <c r="A19">
        <v>7201</v>
      </c>
      <c r="B19">
        <v>1</v>
      </c>
      <c r="C19" s="2">
        <v>623</v>
      </c>
      <c r="D19" s="2">
        <v>614.1</v>
      </c>
      <c r="E19" s="2">
        <v>-8.9</v>
      </c>
      <c r="F19" s="2">
        <v>-1.428571</v>
      </c>
      <c r="G19">
        <v>4528</v>
      </c>
    </row>
    <row r="20" spans="1:7" x14ac:dyDescent="0.55000000000000004">
      <c r="A20">
        <v>7205</v>
      </c>
      <c r="B20">
        <v>1</v>
      </c>
      <c r="C20" s="2">
        <v>568</v>
      </c>
      <c r="D20" s="2">
        <v>466</v>
      </c>
      <c r="E20" s="2">
        <v>-102</v>
      </c>
      <c r="F20" s="2">
        <v>-17.957746</v>
      </c>
      <c r="G20">
        <v>4543</v>
      </c>
    </row>
    <row r="21" spans="1:7" x14ac:dyDescent="0.55000000000000004">
      <c r="A21">
        <v>7222</v>
      </c>
      <c r="B21">
        <v>1</v>
      </c>
      <c r="C21" s="2">
        <v>900</v>
      </c>
      <c r="D21" s="2">
        <v>981</v>
      </c>
      <c r="E21" s="2">
        <v>81</v>
      </c>
      <c r="F21" s="2">
        <v>9</v>
      </c>
      <c r="G21">
        <v>4568</v>
      </c>
    </row>
    <row r="22" spans="1:7" x14ac:dyDescent="0.55000000000000004">
      <c r="A22">
        <v>8002</v>
      </c>
      <c r="B22">
        <v>1</v>
      </c>
      <c r="C22" s="2">
        <v>2436</v>
      </c>
      <c r="D22" s="2">
        <v>2386</v>
      </c>
      <c r="E22" s="2">
        <v>-50</v>
      </c>
      <c r="F22" s="2">
        <v>-2.0525449999999998</v>
      </c>
      <c r="G22">
        <v>4578</v>
      </c>
    </row>
    <row r="23" spans="1:7" x14ac:dyDescent="0.55000000000000004">
      <c r="A23">
        <v>8306</v>
      </c>
      <c r="B23">
        <v>1</v>
      </c>
      <c r="C23" s="2">
        <v>1138</v>
      </c>
      <c r="D23" s="2">
        <v>1404</v>
      </c>
      <c r="E23" s="2">
        <v>266</v>
      </c>
      <c r="F23" s="2">
        <v>23.374341000000001</v>
      </c>
      <c r="G23">
        <v>4661</v>
      </c>
    </row>
    <row r="24" spans="1:7" x14ac:dyDescent="0.55000000000000004">
      <c r="A24">
        <v>8308</v>
      </c>
      <c r="B24">
        <v>1</v>
      </c>
      <c r="C24" s="2">
        <v>712</v>
      </c>
      <c r="D24" s="2">
        <v>813.6</v>
      </c>
      <c r="E24" s="2">
        <v>101.6</v>
      </c>
      <c r="F24" s="2">
        <v>14.269663</v>
      </c>
      <c r="G24">
        <v>4689</v>
      </c>
    </row>
    <row r="25" spans="1:7" x14ac:dyDescent="0.55000000000000004">
      <c r="A25">
        <v>8410</v>
      </c>
      <c r="B25">
        <v>1</v>
      </c>
      <c r="C25" s="2">
        <v>294</v>
      </c>
      <c r="D25" s="2">
        <v>303.10000000000002</v>
      </c>
      <c r="E25" s="2">
        <v>9.1</v>
      </c>
      <c r="F25" s="2">
        <v>3.0952380000000002</v>
      </c>
      <c r="G25">
        <v>4901</v>
      </c>
    </row>
    <row r="26" spans="1:7" x14ac:dyDescent="0.55000000000000004">
      <c r="A26">
        <v>8411</v>
      </c>
      <c r="B26">
        <v>10</v>
      </c>
      <c r="C26" s="2">
        <v>1560</v>
      </c>
      <c r="D26" s="2">
        <v>27200</v>
      </c>
      <c r="E26" s="2">
        <v>11600</v>
      </c>
      <c r="F26" s="2">
        <v>74.358974000000003</v>
      </c>
      <c r="G26">
        <v>4911</v>
      </c>
    </row>
    <row r="27" spans="1:7" x14ac:dyDescent="0.55000000000000004">
      <c r="A27">
        <v>8508</v>
      </c>
      <c r="B27">
        <v>4</v>
      </c>
      <c r="C27" s="2">
        <v>650</v>
      </c>
      <c r="D27" s="2">
        <v>1888</v>
      </c>
      <c r="E27" s="2">
        <v>-712</v>
      </c>
      <c r="F27" s="2">
        <v>-27.384615</v>
      </c>
      <c r="G27">
        <v>5020</v>
      </c>
    </row>
    <row r="28" spans="1:7" x14ac:dyDescent="0.55000000000000004">
      <c r="A28">
        <v>9399</v>
      </c>
      <c r="B28">
        <v>1</v>
      </c>
      <c r="C28" s="2">
        <v>72</v>
      </c>
      <c r="D28" s="2">
        <v>4</v>
      </c>
      <c r="E28" s="2">
        <v>-68</v>
      </c>
      <c r="F28" s="2">
        <v>-94.444444000000004</v>
      </c>
      <c r="G28">
        <v>5108</v>
      </c>
    </row>
    <row r="29" spans="1:7" x14ac:dyDescent="0.55000000000000004">
      <c r="A29">
        <v>9432</v>
      </c>
      <c r="B29">
        <v>100</v>
      </c>
      <c r="C29" s="2">
        <v>172</v>
      </c>
      <c r="D29" s="2">
        <v>18340</v>
      </c>
      <c r="E29" s="2">
        <v>1140</v>
      </c>
      <c r="F29" s="2">
        <v>6.6279070000000004</v>
      </c>
      <c r="G29">
        <v>5401</v>
      </c>
    </row>
    <row r="30" spans="1:7" x14ac:dyDescent="0.55000000000000004">
      <c r="A30" s="2">
        <v>9434</v>
      </c>
      <c r="B30" s="2">
        <v>1</v>
      </c>
      <c r="C30" s="2">
        <v>1632</v>
      </c>
      <c r="D30" s="2">
        <v>1944.5</v>
      </c>
      <c r="E30" s="2">
        <v>312.5</v>
      </c>
      <c r="F30" s="2">
        <v>19.148284</v>
      </c>
      <c r="G30">
        <v>5713</v>
      </c>
    </row>
    <row r="31" spans="1:7" x14ac:dyDescent="0.55000000000000004">
      <c r="A31">
        <v>9831</v>
      </c>
      <c r="B31">
        <v>1</v>
      </c>
      <c r="C31" s="2">
        <v>431</v>
      </c>
      <c r="D31" s="2">
        <v>444.8</v>
      </c>
      <c r="E31" s="2">
        <v>13.8</v>
      </c>
      <c r="F31" s="2">
        <v>3.2018559999999998</v>
      </c>
      <c r="G31">
        <v>5802</v>
      </c>
    </row>
    <row r="32" spans="1:7" x14ac:dyDescent="0.55000000000000004">
      <c r="A32" s="2" t="s">
        <v>65</v>
      </c>
      <c r="B32" s="2" t="s">
        <v>65</v>
      </c>
      <c r="C32" s="2" t="s">
        <v>65</v>
      </c>
      <c r="D32" s="2" t="s">
        <v>65</v>
      </c>
      <c r="E32" s="2" t="s">
        <v>65</v>
      </c>
      <c r="F32" s="2" t="s">
        <v>65</v>
      </c>
      <c r="G32">
        <v>6098</v>
      </c>
    </row>
    <row r="33" spans="3:7" x14ac:dyDescent="0.55000000000000004">
      <c r="C33" s="2"/>
      <c r="D33" s="2"/>
      <c r="E33" s="2"/>
      <c r="F33" s="2"/>
      <c r="G33">
        <v>6178</v>
      </c>
    </row>
    <row r="34" spans="3:7" x14ac:dyDescent="0.55000000000000004">
      <c r="C34" s="2"/>
      <c r="D34" s="2"/>
      <c r="E34" s="2"/>
      <c r="F34" s="2"/>
      <c r="G34">
        <v>6273</v>
      </c>
    </row>
    <row r="35" spans="3:7" x14ac:dyDescent="0.55000000000000004">
      <c r="C35" s="2"/>
      <c r="D35" s="2"/>
      <c r="E35" s="2"/>
      <c r="F35" s="2"/>
      <c r="G35">
        <v>6301</v>
      </c>
    </row>
    <row r="36" spans="3:7" x14ac:dyDescent="0.55000000000000004">
      <c r="C36" s="2"/>
      <c r="D36" s="2"/>
      <c r="E36" s="2"/>
      <c r="F36" s="2"/>
      <c r="G36">
        <v>6326</v>
      </c>
    </row>
    <row r="37" spans="3:7" x14ac:dyDescent="0.55000000000000004">
      <c r="C37" s="2"/>
      <c r="D37" s="2"/>
      <c r="E37" s="2"/>
      <c r="F37" s="2"/>
      <c r="G37">
        <v>6367</v>
      </c>
    </row>
    <row r="38" spans="3:7" x14ac:dyDescent="0.55000000000000004">
      <c r="C38" s="2"/>
      <c r="D38" s="2"/>
      <c r="E38" s="2"/>
      <c r="F38" s="2"/>
      <c r="G38">
        <v>6501</v>
      </c>
    </row>
    <row r="39" spans="3:7" x14ac:dyDescent="0.55000000000000004">
      <c r="C39" s="2"/>
      <c r="D39" s="2"/>
      <c r="E39" s="2"/>
      <c r="F39" s="2"/>
      <c r="G39">
        <v>6502</v>
      </c>
    </row>
    <row r="40" spans="3:7" x14ac:dyDescent="0.55000000000000004">
      <c r="C40" s="2"/>
      <c r="D40" s="2"/>
      <c r="E40" s="2"/>
      <c r="F40" s="2"/>
      <c r="G40">
        <v>6503</v>
      </c>
    </row>
    <row r="41" spans="3:7" x14ac:dyDescent="0.55000000000000004">
      <c r="C41" s="2"/>
      <c r="D41" s="2"/>
      <c r="E41" s="2"/>
      <c r="F41" s="2"/>
      <c r="G41">
        <v>6586</v>
      </c>
    </row>
    <row r="42" spans="3:7" x14ac:dyDescent="0.55000000000000004">
      <c r="C42" s="2"/>
      <c r="D42" s="2"/>
      <c r="E42" s="2"/>
      <c r="F42" s="2"/>
      <c r="G42">
        <v>6594</v>
      </c>
    </row>
    <row r="43" spans="3:7" x14ac:dyDescent="0.55000000000000004">
      <c r="C43" s="2"/>
      <c r="D43" s="2"/>
      <c r="E43" s="2"/>
      <c r="F43" s="2"/>
      <c r="G43">
        <v>6645</v>
      </c>
    </row>
    <row r="44" spans="3:7" x14ac:dyDescent="0.55000000000000004">
      <c r="C44" s="2"/>
      <c r="D44" s="2"/>
      <c r="E44" s="2"/>
      <c r="F44" s="2"/>
      <c r="G44">
        <v>6702</v>
      </c>
    </row>
    <row r="45" spans="3:7" x14ac:dyDescent="0.55000000000000004">
      <c r="C45" s="2"/>
      <c r="D45" s="2"/>
      <c r="E45" s="2"/>
      <c r="F45" s="2"/>
      <c r="G45">
        <v>6752</v>
      </c>
    </row>
    <row r="46" spans="3:7" x14ac:dyDescent="0.55000000000000004">
      <c r="C46" s="2"/>
      <c r="D46" s="2"/>
      <c r="E46" s="2"/>
      <c r="F46" s="2"/>
      <c r="G46">
        <v>6758</v>
      </c>
    </row>
    <row r="47" spans="3:7" x14ac:dyDescent="0.55000000000000004">
      <c r="C47" s="2"/>
      <c r="D47" s="2"/>
      <c r="E47" s="2"/>
      <c r="F47" s="2"/>
      <c r="G47">
        <v>6861</v>
      </c>
    </row>
    <row r="48" spans="3:7" x14ac:dyDescent="0.55000000000000004">
      <c r="C48" s="2"/>
      <c r="D48" s="2"/>
      <c r="E48" s="2"/>
      <c r="F48" s="2"/>
      <c r="G48">
        <v>6869</v>
      </c>
    </row>
    <row r="49" spans="3:7" x14ac:dyDescent="0.55000000000000004">
      <c r="C49" s="2"/>
      <c r="D49" s="2"/>
      <c r="E49" s="2"/>
      <c r="F49" s="2"/>
      <c r="G49">
        <v>6902</v>
      </c>
    </row>
    <row r="50" spans="3:7" x14ac:dyDescent="0.55000000000000004">
      <c r="C50" s="2"/>
      <c r="D50" s="2"/>
      <c r="E50" s="2"/>
      <c r="F50" s="2"/>
      <c r="G50">
        <v>6920</v>
      </c>
    </row>
    <row r="51" spans="3:7" x14ac:dyDescent="0.55000000000000004">
      <c r="C51" s="2"/>
      <c r="D51" s="2"/>
      <c r="E51" s="2"/>
      <c r="F51" s="2"/>
      <c r="G51">
        <v>6954</v>
      </c>
    </row>
    <row r="52" spans="3:7" x14ac:dyDescent="0.55000000000000004">
      <c r="C52" s="2"/>
      <c r="D52" s="2"/>
      <c r="E52" s="2"/>
      <c r="F52" s="2"/>
      <c r="G52">
        <v>6971</v>
      </c>
    </row>
    <row r="53" spans="3:7" x14ac:dyDescent="0.55000000000000004">
      <c r="C53" s="2"/>
      <c r="D53" s="2"/>
      <c r="E53" s="2"/>
      <c r="F53" s="2"/>
      <c r="G53">
        <v>6981</v>
      </c>
    </row>
    <row r="54" spans="3:7" x14ac:dyDescent="0.55000000000000004">
      <c r="C54" s="2"/>
      <c r="D54" s="2"/>
      <c r="E54" s="2"/>
      <c r="F54" s="2"/>
      <c r="G54">
        <v>7011</v>
      </c>
    </row>
    <row r="55" spans="3:7" x14ac:dyDescent="0.55000000000000004">
      <c r="C55" s="2"/>
      <c r="D55" s="2"/>
      <c r="E55" s="2"/>
      <c r="F55" s="2"/>
      <c r="G55">
        <v>7201</v>
      </c>
    </row>
    <row r="56" spans="3:7" x14ac:dyDescent="0.55000000000000004">
      <c r="C56" s="2"/>
      <c r="D56" s="2"/>
      <c r="E56" s="2"/>
      <c r="F56" s="2"/>
      <c r="G56">
        <v>7203</v>
      </c>
    </row>
    <row r="57" spans="3:7" x14ac:dyDescent="0.55000000000000004">
      <c r="C57" s="2"/>
      <c r="D57" s="2"/>
      <c r="E57" s="2"/>
      <c r="F57" s="2"/>
      <c r="G57">
        <v>7267</v>
      </c>
    </row>
    <row r="58" spans="3:7" x14ac:dyDescent="0.55000000000000004">
      <c r="C58" s="2"/>
      <c r="D58" s="2"/>
      <c r="E58" s="2"/>
      <c r="F58" s="2"/>
      <c r="G58">
        <v>7269</v>
      </c>
    </row>
    <row r="59" spans="3:7" x14ac:dyDescent="0.55000000000000004">
      <c r="C59" s="2"/>
      <c r="D59" s="2"/>
      <c r="E59" s="2"/>
      <c r="F59" s="2"/>
      <c r="G59">
        <v>7270</v>
      </c>
    </row>
    <row r="60" spans="3:7" x14ac:dyDescent="0.55000000000000004">
      <c r="C60" s="2"/>
      <c r="D60" s="2"/>
      <c r="E60" s="2"/>
      <c r="F60" s="2"/>
      <c r="G60">
        <v>7309</v>
      </c>
    </row>
    <row r="61" spans="3:7" x14ac:dyDescent="0.55000000000000004">
      <c r="C61" s="2"/>
      <c r="D61" s="2"/>
      <c r="E61" s="2"/>
      <c r="F61" s="2"/>
      <c r="G61">
        <v>7733</v>
      </c>
    </row>
    <row r="62" spans="3:7" x14ac:dyDescent="0.55000000000000004">
      <c r="C62" s="2"/>
      <c r="D62" s="2"/>
      <c r="E62" s="2"/>
      <c r="F62" s="2"/>
      <c r="G62">
        <v>7741</v>
      </c>
    </row>
    <row r="63" spans="3:7" x14ac:dyDescent="0.55000000000000004">
      <c r="C63" s="2"/>
      <c r="D63" s="2"/>
      <c r="E63" s="2"/>
      <c r="F63" s="2"/>
      <c r="G63">
        <v>7751</v>
      </c>
    </row>
    <row r="64" spans="3:7" x14ac:dyDescent="0.55000000000000004">
      <c r="C64" s="2"/>
      <c r="D64" s="2"/>
      <c r="E64" s="2"/>
      <c r="F64" s="2"/>
      <c r="G64">
        <v>7832</v>
      </c>
    </row>
    <row r="65" spans="3:7" x14ac:dyDescent="0.55000000000000004">
      <c r="C65" s="2"/>
      <c r="D65" s="2"/>
      <c r="E65" s="2"/>
      <c r="F65" s="2"/>
      <c r="G65">
        <v>7974</v>
      </c>
    </row>
    <row r="66" spans="3:7" x14ac:dyDescent="0.55000000000000004">
      <c r="C66" s="2"/>
      <c r="D66" s="2"/>
      <c r="E66" s="2"/>
      <c r="F66" s="2"/>
      <c r="G66">
        <v>8001</v>
      </c>
    </row>
    <row r="67" spans="3:7" x14ac:dyDescent="0.55000000000000004">
      <c r="C67" s="2"/>
      <c r="D67" s="2"/>
      <c r="E67" s="2"/>
      <c r="F67" s="2"/>
      <c r="G67">
        <v>8002</v>
      </c>
    </row>
    <row r="68" spans="3:7" x14ac:dyDescent="0.55000000000000004">
      <c r="C68" s="2"/>
      <c r="D68" s="2"/>
      <c r="E68" s="2"/>
      <c r="F68" s="2"/>
      <c r="G68">
        <v>8031</v>
      </c>
    </row>
    <row r="69" spans="3:7" x14ac:dyDescent="0.55000000000000004">
      <c r="C69" s="2"/>
      <c r="D69" s="2"/>
      <c r="E69" s="2"/>
      <c r="F69" s="2"/>
      <c r="G69">
        <v>8035</v>
      </c>
    </row>
    <row r="70" spans="3:7" x14ac:dyDescent="0.55000000000000004">
      <c r="C70" s="2"/>
      <c r="D70" s="2"/>
      <c r="E70" s="2"/>
      <c r="F70" s="2"/>
      <c r="G70">
        <v>8053</v>
      </c>
    </row>
    <row r="71" spans="3:7" x14ac:dyDescent="0.55000000000000004">
      <c r="C71" s="2"/>
      <c r="D71" s="2"/>
      <c r="E71" s="2"/>
      <c r="F71" s="2"/>
      <c r="G71">
        <v>8058</v>
      </c>
    </row>
    <row r="72" spans="3:7" x14ac:dyDescent="0.55000000000000004">
      <c r="C72" s="2"/>
      <c r="D72" s="2"/>
      <c r="E72" s="2"/>
      <c r="F72" s="2"/>
      <c r="G72">
        <v>8113</v>
      </c>
    </row>
    <row r="73" spans="3:7" x14ac:dyDescent="0.55000000000000004">
      <c r="C73" s="2"/>
      <c r="D73" s="2"/>
      <c r="E73" s="2"/>
      <c r="F73" s="2"/>
      <c r="G73">
        <v>8267</v>
      </c>
    </row>
    <row r="74" spans="3:7" x14ac:dyDescent="0.55000000000000004">
      <c r="C74" s="2"/>
      <c r="D74" s="2"/>
      <c r="E74" s="2"/>
      <c r="F74" s="2"/>
      <c r="G74">
        <v>8306</v>
      </c>
    </row>
    <row r="75" spans="3:7" x14ac:dyDescent="0.55000000000000004">
      <c r="C75" s="2"/>
      <c r="D75" s="2"/>
      <c r="E75" s="2"/>
      <c r="F75" s="2"/>
      <c r="G75">
        <v>8308</v>
      </c>
    </row>
    <row r="76" spans="3:7" x14ac:dyDescent="0.55000000000000004">
      <c r="C76" s="2"/>
      <c r="D76" s="2"/>
      <c r="E76" s="2"/>
      <c r="F76" s="2"/>
      <c r="G76">
        <v>8309</v>
      </c>
    </row>
    <row r="77" spans="3:7" x14ac:dyDescent="0.55000000000000004">
      <c r="C77" s="2"/>
      <c r="D77" s="2"/>
      <c r="E77" s="2"/>
      <c r="F77" s="2"/>
      <c r="G77">
        <v>8316</v>
      </c>
    </row>
    <row r="78" spans="3:7" x14ac:dyDescent="0.55000000000000004">
      <c r="C78" s="2"/>
      <c r="D78" s="2"/>
      <c r="E78" s="2"/>
      <c r="F78" s="2"/>
      <c r="G78">
        <v>8411</v>
      </c>
    </row>
    <row r="79" spans="3:7" x14ac:dyDescent="0.55000000000000004">
      <c r="C79" s="2"/>
      <c r="D79" s="2"/>
      <c r="E79" s="2"/>
      <c r="F79" s="2"/>
      <c r="G79">
        <v>8591</v>
      </c>
    </row>
    <row r="80" spans="3:7" x14ac:dyDescent="0.55000000000000004">
      <c r="C80" s="2"/>
      <c r="D80" s="2"/>
      <c r="E80" s="2"/>
      <c r="F80" s="2"/>
      <c r="G80">
        <v>8601</v>
      </c>
    </row>
    <row r="81" spans="3:7" x14ac:dyDescent="0.55000000000000004">
      <c r="C81" s="2"/>
      <c r="D81" s="2"/>
      <c r="E81" s="2"/>
      <c r="F81" s="2"/>
      <c r="G81">
        <v>8604</v>
      </c>
    </row>
    <row r="82" spans="3:7" x14ac:dyDescent="0.55000000000000004">
      <c r="C82" s="2"/>
      <c r="D82" s="2"/>
      <c r="E82" s="2"/>
      <c r="F82" s="2"/>
      <c r="G82">
        <v>8630</v>
      </c>
    </row>
    <row r="83" spans="3:7" x14ac:dyDescent="0.55000000000000004">
      <c r="C83" s="2"/>
      <c r="D83" s="2"/>
      <c r="E83" s="2"/>
      <c r="F83" s="2"/>
      <c r="G83">
        <v>8697</v>
      </c>
    </row>
    <row r="84" spans="3:7" x14ac:dyDescent="0.55000000000000004">
      <c r="C84" s="2"/>
      <c r="D84" s="2"/>
      <c r="E84" s="2"/>
      <c r="F84" s="2"/>
      <c r="G84">
        <v>8725</v>
      </c>
    </row>
    <row r="85" spans="3:7" x14ac:dyDescent="0.55000000000000004">
      <c r="C85" s="2"/>
      <c r="D85" s="2"/>
      <c r="E85" s="2"/>
      <c r="F85" s="2"/>
      <c r="G85">
        <v>8750</v>
      </c>
    </row>
    <row r="86" spans="3:7" x14ac:dyDescent="0.55000000000000004">
      <c r="C86" s="2"/>
      <c r="D86" s="2"/>
      <c r="E86" s="2"/>
      <c r="F86" s="2"/>
      <c r="G86">
        <v>8766</v>
      </c>
    </row>
    <row r="87" spans="3:7" x14ac:dyDescent="0.55000000000000004">
      <c r="C87" s="2"/>
      <c r="D87" s="2"/>
      <c r="E87" s="2"/>
      <c r="F87" s="2"/>
      <c r="G87">
        <v>8801</v>
      </c>
    </row>
    <row r="88" spans="3:7" x14ac:dyDescent="0.55000000000000004">
      <c r="C88" s="2"/>
      <c r="D88" s="2"/>
      <c r="E88" s="2"/>
      <c r="F88" s="2"/>
      <c r="G88">
        <v>8802</v>
      </c>
    </row>
    <row r="89" spans="3:7" x14ac:dyDescent="0.55000000000000004">
      <c r="C89" s="2"/>
      <c r="D89" s="2"/>
      <c r="E89" s="2"/>
      <c r="F89" s="2"/>
      <c r="G89">
        <v>8830</v>
      </c>
    </row>
    <row r="90" spans="3:7" x14ac:dyDescent="0.55000000000000004">
      <c r="C90" s="2"/>
      <c r="D90" s="2"/>
      <c r="E90" s="2"/>
      <c r="F90" s="2"/>
      <c r="G90">
        <v>9020</v>
      </c>
    </row>
    <row r="91" spans="3:7" x14ac:dyDescent="0.55000000000000004">
      <c r="C91" s="2"/>
      <c r="D91" s="2"/>
      <c r="E91" s="2"/>
      <c r="F91" s="2"/>
      <c r="G91">
        <v>9021</v>
      </c>
    </row>
    <row r="92" spans="3:7" x14ac:dyDescent="0.55000000000000004">
      <c r="C92" s="2"/>
      <c r="D92" s="2"/>
      <c r="E92" s="2"/>
      <c r="F92" s="2"/>
      <c r="G92">
        <v>9022</v>
      </c>
    </row>
    <row r="93" spans="3:7" x14ac:dyDescent="0.55000000000000004">
      <c r="C93" s="2"/>
      <c r="D93" s="2"/>
      <c r="E93" s="2"/>
      <c r="F93" s="2"/>
      <c r="G93">
        <v>9202</v>
      </c>
    </row>
    <row r="94" spans="3:7" x14ac:dyDescent="0.55000000000000004">
      <c r="C94" s="2"/>
      <c r="D94" s="2"/>
      <c r="E94" s="2"/>
      <c r="F94" s="2"/>
      <c r="G94">
        <v>9432</v>
      </c>
    </row>
    <row r="95" spans="3:7" x14ac:dyDescent="0.55000000000000004">
      <c r="C95" s="2"/>
      <c r="D95" s="2"/>
      <c r="E95" s="2"/>
      <c r="F95" s="2"/>
      <c r="G95">
        <v>9433</v>
      </c>
    </row>
    <row r="96" spans="3:7" x14ac:dyDescent="0.55000000000000004">
      <c r="C96" s="2"/>
      <c r="D96" s="2"/>
      <c r="E96" s="2"/>
      <c r="F96" s="2"/>
      <c r="G96">
        <v>9434</v>
      </c>
    </row>
    <row r="97" spans="3:7" x14ac:dyDescent="0.55000000000000004">
      <c r="C97" s="2"/>
      <c r="D97" s="2"/>
      <c r="E97" s="2"/>
      <c r="F97" s="2"/>
      <c r="G97">
        <v>9735</v>
      </c>
    </row>
    <row r="98" spans="3:7" x14ac:dyDescent="0.55000000000000004">
      <c r="C98" s="2"/>
      <c r="D98" s="2"/>
      <c r="E98" s="2"/>
      <c r="F98" s="2"/>
      <c r="G98">
        <v>9843</v>
      </c>
    </row>
    <row r="99" spans="3:7" x14ac:dyDescent="0.55000000000000004">
      <c r="C99" s="2"/>
      <c r="D99" s="2"/>
      <c r="E99" s="2"/>
      <c r="F99" s="2"/>
      <c r="G99">
        <v>9983</v>
      </c>
    </row>
    <row r="100" spans="3:7" x14ac:dyDescent="0.55000000000000004">
      <c r="C100" s="2"/>
      <c r="D100" s="2"/>
      <c r="E100" s="2"/>
      <c r="F100" s="2"/>
      <c r="G100">
        <v>9984</v>
      </c>
    </row>
    <row r="101" spans="3:7" x14ac:dyDescent="0.55000000000000004">
      <c r="C101" s="2"/>
      <c r="D101" s="2"/>
      <c r="E101" s="2"/>
      <c r="F101" s="2"/>
    </row>
    <row r="102" spans="3:7" x14ac:dyDescent="0.55000000000000004">
      <c r="C102" s="2"/>
      <c r="D102" s="2"/>
      <c r="E102" s="2"/>
      <c r="F102" s="2"/>
    </row>
    <row r="103" spans="3:7" x14ac:dyDescent="0.55000000000000004">
      <c r="C103" s="2"/>
      <c r="D103" s="2"/>
      <c r="E103" s="2"/>
      <c r="F103" s="2"/>
    </row>
    <row r="104" spans="3:7" x14ac:dyDescent="0.55000000000000004">
      <c r="C104" s="2"/>
      <c r="D104" s="2"/>
      <c r="E104" s="2"/>
      <c r="F104" s="2"/>
    </row>
    <row r="105" spans="3:7" x14ac:dyDescent="0.55000000000000004">
      <c r="C105" s="2"/>
      <c r="D105" s="2"/>
      <c r="E105" s="2"/>
      <c r="F105" s="2"/>
    </row>
    <row r="106" spans="3:7" x14ac:dyDescent="0.55000000000000004">
      <c r="C106" s="2"/>
      <c r="D106" s="2"/>
      <c r="E106" s="2"/>
      <c r="F106" s="2"/>
    </row>
    <row r="107" spans="3:7" x14ac:dyDescent="0.55000000000000004">
      <c r="C107" s="2"/>
      <c r="D107" s="2"/>
      <c r="E107" s="2"/>
      <c r="F107" s="2"/>
    </row>
    <row r="108" spans="3:7" x14ac:dyDescent="0.55000000000000004">
      <c r="C108" s="2"/>
      <c r="D108" s="2"/>
      <c r="E108" s="2"/>
      <c r="F108" s="2"/>
    </row>
    <row r="109" spans="3:7" x14ac:dyDescent="0.55000000000000004">
      <c r="C109" s="2"/>
      <c r="D109" s="2"/>
      <c r="E109" s="2"/>
      <c r="F109" s="2"/>
    </row>
    <row r="110" spans="3:7" x14ac:dyDescent="0.55000000000000004">
      <c r="C110" s="2"/>
      <c r="D110" s="2"/>
      <c r="E110" s="2"/>
      <c r="F110" s="2"/>
    </row>
    <row r="111" spans="3:7" x14ac:dyDescent="0.55000000000000004">
      <c r="C111" s="2"/>
      <c r="D111" s="2"/>
      <c r="E111" s="2"/>
      <c r="F111" s="2"/>
    </row>
    <row r="112" spans="3:7" x14ac:dyDescent="0.55000000000000004">
      <c r="C112" s="2"/>
      <c r="D112" s="2"/>
      <c r="E112" s="2"/>
      <c r="F112" s="2"/>
    </row>
    <row r="113" spans="3:6" x14ac:dyDescent="0.55000000000000004">
      <c r="C113" s="2"/>
      <c r="D113" s="2"/>
      <c r="E113" s="2"/>
      <c r="F113" s="2"/>
    </row>
    <row r="114" spans="3:6" x14ac:dyDescent="0.55000000000000004">
      <c r="C114" s="2"/>
      <c r="D114" s="2"/>
      <c r="E114" s="2"/>
      <c r="F114" s="2"/>
    </row>
    <row r="115" spans="3:6" x14ac:dyDescent="0.55000000000000004">
      <c r="C115" s="2"/>
      <c r="D115" s="2"/>
      <c r="E115" s="2"/>
      <c r="F115" s="2"/>
    </row>
    <row r="116" spans="3:6" x14ac:dyDescent="0.55000000000000004">
      <c r="C116" s="2"/>
      <c r="D116" s="2"/>
      <c r="E116" s="2"/>
      <c r="F116" s="2"/>
    </row>
    <row r="117" spans="3:6" x14ac:dyDescent="0.55000000000000004">
      <c r="C117" s="2"/>
      <c r="D117" s="2"/>
      <c r="E117" s="2"/>
      <c r="F117" s="2"/>
    </row>
    <row r="118" spans="3:6" x14ac:dyDescent="0.55000000000000004">
      <c r="C118" s="2"/>
      <c r="D118" s="2"/>
      <c r="E118" s="2"/>
      <c r="F118" s="2"/>
    </row>
    <row r="119" spans="3:6" x14ac:dyDescent="0.55000000000000004">
      <c r="C119" s="2"/>
      <c r="D119" s="2"/>
      <c r="E119" s="2"/>
      <c r="F119" s="2"/>
    </row>
    <row r="120" spans="3:6" x14ac:dyDescent="0.55000000000000004">
      <c r="C120" s="2"/>
      <c r="D120" s="2"/>
      <c r="E120" s="2"/>
      <c r="F120" s="2"/>
    </row>
    <row r="121" spans="3:6" x14ac:dyDescent="0.55000000000000004">
      <c r="C121" s="2"/>
      <c r="D121" s="2"/>
      <c r="E121" s="2"/>
      <c r="F121" s="2"/>
    </row>
    <row r="122" spans="3:6" x14ac:dyDescent="0.55000000000000004">
      <c r="C122" s="2"/>
      <c r="D122" s="2"/>
      <c r="E122" s="2"/>
      <c r="F122" s="2"/>
    </row>
    <row r="123" spans="3:6" x14ac:dyDescent="0.55000000000000004">
      <c r="C123" s="2"/>
      <c r="D123" s="2"/>
      <c r="E123" s="2"/>
      <c r="F123" s="2"/>
    </row>
    <row r="124" spans="3:6" x14ac:dyDescent="0.55000000000000004">
      <c r="C124" s="2"/>
      <c r="D124" s="2"/>
      <c r="E124" s="2"/>
      <c r="F124" s="2"/>
    </row>
    <row r="125" spans="3:6" x14ac:dyDescent="0.55000000000000004">
      <c r="C125" s="2"/>
      <c r="D125" s="2"/>
      <c r="E125" s="2"/>
      <c r="F125" s="2"/>
    </row>
    <row r="126" spans="3:6" x14ac:dyDescent="0.55000000000000004">
      <c r="C126" s="2"/>
      <c r="D126" s="2"/>
      <c r="E126" s="2"/>
      <c r="F126" s="2"/>
    </row>
    <row r="127" spans="3:6" x14ac:dyDescent="0.55000000000000004">
      <c r="C127" s="2"/>
      <c r="D127" s="2"/>
      <c r="E127" s="2"/>
      <c r="F127" s="2"/>
    </row>
    <row r="128" spans="3:6" x14ac:dyDescent="0.55000000000000004">
      <c r="C128" s="2"/>
      <c r="D128" s="2"/>
      <c r="E128" s="2"/>
      <c r="F128" s="2"/>
    </row>
    <row r="129" spans="3:6" x14ac:dyDescent="0.55000000000000004">
      <c r="C129" s="2"/>
      <c r="D129" s="2"/>
      <c r="E129" s="2"/>
      <c r="F129" s="2"/>
    </row>
    <row r="130" spans="3:6" x14ac:dyDescent="0.55000000000000004">
      <c r="C130" s="2"/>
      <c r="D130" s="2"/>
      <c r="E130" s="2"/>
      <c r="F130" s="2"/>
    </row>
    <row r="131" spans="3:6" x14ac:dyDescent="0.55000000000000004">
      <c r="C131" s="2"/>
      <c r="D131" s="2"/>
      <c r="E131" s="2"/>
      <c r="F131" s="2"/>
    </row>
    <row r="132" spans="3:6" x14ac:dyDescent="0.55000000000000004">
      <c r="C132" s="2"/>
      <c r="D132" s="2"/>
      <c r="E132" s="2"/>
      <c r="F132" s="2"/>
    </row>
    <row r="133" spans="3:6" x14ac:dyDescent="0.55000000000000004">
      <c r="C133" s="2"/>
      <c r="D133" s="2"/>
      <c r="E133" s="2"/>
      <c r="F133" s="2"/>
    </row>
    <row r="134" spans="3:6" x14ac:dyDescent="0.55000000000000004">
      <c r="C134" s="2"/>
      <c r="D134" s="2"/>
      <c r="E134" s="2"/>
      <c r="F134" s="2"/>
    </row>
    <row r="135" spans="3:6" x14ac:dyDescent="0.55000000000000004">
      <c r="C135" s="2"/>
      <c r="D135" s="2"/>
      <c r="E135" s="2"/>
      <c r="F135" s="2"/>
    </row>
    <row r="136" spans="3:6" x14ac:dyDescent="0.55000000000000004">
      <c r="C136" s="2"/>
      <c r="D136" s="2"/>
      <c r="E136" s="2"/>
      <c r="F136" s="2"/>
    </row>
    <row r="137" spans="3:6" x14ac:dyDescent="0.55000000000000004">
      <c r="C137" s="2"/>
      <c r="D137" s="2"/>
      <c r="E137" s="2"/>
      <c r="F137" s="2"/>
    </row>
    <row r="138" spans="3:6" x14ac:dyDescent="0.55000000000000004">
      <c r="C138" s="2"/>
      <c r="D138" s="2"/>
      <c r="E138" s="2"/>
      <c r="F138" s="2"/>
    </row>
    <row r="139" spans="3:6" x14ac:dyDescent="0.55000000000000004">
      <c r="C139" s="2"/>
      <c r="D139" s="2"/>
      <c r="E139" s="2"/>
      <c r="F139" s="2"/>
    </row>
    <row r="140" spans="3:6" x14ac:dyDescent="0.55000000000000004">
      <c r="C140" s="2"/>
      <c r="D140" s="2"/>
      <c r="E140" s="2"/>
      <c r="F140" s="2"/>
    </row>
    <row r="141" spans="3:6" x14ac:dyDescent="0.55000000000000004">
      <c r="C141" s="2"/>
      <c r="D141" s="2"/>
      <c r="E141" s="2"/>
      <c r="F141" s="2"/>
    </row>
    <row r="142" spans="3:6" x14ac:dyDescent="0.55000000000000004">
      <c r="C142" s="2"/>
      <c r="D142" s="2"/>
      <c r="E142" s="2"/>
      <c r="F142" s="2"/>
    </row>
    <row r="143" spans="3:6" x14ac:dyDescent="0.55000000000000004">
      <c r="C143" s="2"/>
      <c r="D143" s="2"/>
      <c r="E143" s="2"/>
      <c r="F143" s="2"/>
    </row>
    <row r="144" spans="3:6" x14ac:dyDescent="0.55000000000000004">
      <c r="C144" s="2"/>
      <c r="D144" s="2"/>
      <c r="E144" s="2"/>
      <c r="F144" s="2"/>
    </row>
    <row r="145" spans="3:6" x14ac:dyDescent="0.55000000000000004">
      <c r="C145" s="2"/>
      <c r="D145" s="2"/>
      <c r="E145" s="2"/>
      <c r="F145" s="2"/>
    </row>
    <row r="146" spans="3:6" x14ac:dyDescent="0.55000000000000004">
      <c r="C146" s="2"/>
      <c r="D146" s="2"/>
      <c r="E146" s="2"/>
      <c r="F146" s="2"/>
    </row>
    <row r="147" spans="3:6" x14ac:dyDescent="0.55000000000000004">
      <c r="C147" s="2"/>
      <c r="D147" s="2"/>
      <c r="E147" s="2"/>
      <c r="F147" s="2"/>
    </row>
    <row r="148" spans="3:6" x14ac:dyDescent="0.55000000000000004">
      <c r="C148" s="2"/>
      <c r="D148" s="2"/>
      <c r="E148" s="2"/>
      <c r="F148" s="2"/>
    </row>
    <row r="149" spans="3:6" x14ac:dyDescent="0.55000000000000004">
      <c r="C149" s="2"/>
      <c r="D149" s="2"/>
      <c r="E149" s="2"/>
      <c r="F149" s="2"/>
    </row>
    <row r="150" spans="3:6" x14ac:dyDescent="0.55000000000000004">
      <c r="C150" s="2"/>
      <c r="D150" s="2"/>
      <c r="E150" s="2"/>
      <c r="F150" s="2"/>
    </row>
    <row r="151" spans="3:6" x14ac:dyDescent="0.55000000000000004">
      <c r="C151" s="2"/>
      <c r="D151" s="2"/>
      <c r="E151" s="2"/>
      <c r="F151" s="2"/>
    </row>
    <row r="152" spans="3:6" x14ac:dyDescent="0.55000000000000004">
      <c r="C152" s="2"/>
      <c r="D152" s="2"/>
      <c r="E152" s="2"/>
      <c r="F152" s="2"/>
    </row>
    <row r="153" spans="3:6" x14ac:dyDescent="0.55000000000000004">
      <c r="C153" s="2"/>
      <c r="D153" s="2"/>
      <c r="E153" s="2"/>
      <c r="F153" s="2"/>
    </row>
    <row r="154" spans="3:6" x14ac:dyDescent="0.55000000000000004">
      <c r="C154" s="2"/>
      <c r="D154" s="2"/>
      <c r="E154" s="2"/>
      <c r="F154" s="2"/>
    </row>
    <row r="155" spans="3:6" x14ac:dyDescent="0.55000000000000004">
      <c r="C155" s="2"/>
      <c r="D155" s="2"/>
      <c r="E155" s="2"/>
      <c r="F155" s="2"/>
    </row>
    <row r="156" spans="3:6" x14ac:dyDescent="0.55000000000000004">
      <c r="C156" s="2"/>
      <c r="D156" s="2"/>
      <c r="E156" s="2"/>
      <c r="F156" s="2"/>
    </row>
    <row r="157" spans="3:6" x14ac:dyDescent="0.55000000000000004">
      <c r="C157" s="2"/>
      <c r="D157" s="2"/>
      <c r="E157" s="2"/>
      <c r="F157" s="2"/>
    </row>
    <row r="158" spans="3:6" x14ac:dyDescent="0.55000000000000004">
      <c r="C158" s="2"/>
      <c r="D158" s="2"/>
      <c r="E158" s="2"/>
      <c r="F158" s="2"/>
    </row>
    <row r="159" spans="3:6" x14ac:dyDescent="0.55000000000000004">
      <c r="C159" s="2"/>
      <c r="D159" s="2"/>
      <c r="E159" s="2"/>
      <c r="F159" s="2"/>
    </row>
    <row r="160" spans="3:6" x14ac:dyDescent="0.55000000000000004">
      <c r="C160" s="2"/>
      <c r="D160" s="2"/>
      <c r="E160" s="2"/>
      <c r="F160" s="2"/>
    </row>
    <row r="161" spans="3:6" x14ac:dyDescent="0.55000000000000004">
      <c r="C161" s="2"/>
      <c r="D161" s="2"/>
      <c r="E161" s="2"/>
      <c r="F161" s="2"/>
    </row>
    <row r="162" spans="3:6" x14ac:dyDescent="0.55000000000000004">
      <c r="C162" s="2"/>
      <c r="D162" s="2"/>
      <c r="E162" s="2"/>
      <c r="F162" s="2"/>
    </row>
    <row r="163" spans="3:6" x14ac:dyDescent="0.55000000000000004">
      <c r="C163" s="2"/>
      <c r="D163" s="2"/>
      <c r="E163" s="2"/>
      <c r="F163" s="2"/>
    </row>
    <row r="164" spans="3:6" x14ac:dyDescent="0.55000000000000004">
      <c r="C164" s="2"/>
      <c r="D164" s="2"/>
      <c r="E164" s="2"/>
      <c r="F164" s="2"/>
    </row>
    <row r="165" spans="3:6" x14ac:dyDescent="0.55000000000000004">
      <c r="C165" s="2"/>
      <c r="D165" s="2"/>
      <c r="E165" s="2"/>
      <c r="F165" s="2"/>
    </row>
    <row r="166" spans="3:6" x14ac:dyDescent="0.55000000000000004">
      <c r="C166" s="2"/>
      <c r="D166" s="2"/>
      <c r="E166" s="2"/>
      <c r="F166" s="2"/>
    </row>
    <row r="167" spans="3:6" x14ac:dyDescent="0.55000000000000004">
      <c r="C167" s="2"/>
      <c r="D167" s="2"/>
      <c r="E167" s="2"/>
      <c r="F167" s="2"/>
    </row>
    <row r="168" spans="3:6" x14ac:dyDescent="0.55000000000000004">
      <c r="C168" s="2"/>
      <c r="D168" s="2"/>
      <c r="E168" s="2"/>
      <c r="F168" s="2"/>
    </row>
    <row r="169" spans="3:6" x14ac:dyDescent="0.55000000000000004">
      <c r="C169" s="2"/>
      <c r="D169" s="2"/>
      <c r="E169" s="2"/>
      <c r="F169" s="2"/>
    </row>
    <row r="170" spans="3:6" x14ac:dyDescent="0.55000000000000004">
      <c r="C170" s="2"/>
      <c r="D170" s="2"/>
      <c r="E170" s="2"/>
      <c r="F170" s="2"/>
    </row>
    <row r="171" spans="3:6" x14ac:dyDescent="0.55000000000000004">
      <c r="C171" s="2"/>
      <c r="D171" s="2"/>
      <c r="E171" s="2"/>
      <c r="F171" s="2"/>
    </row>
    <row r="172" spans="3:6" x14ac:dyDescent="0.55000000000000004">
      <c r="C172" s="2"/>
      <c r="D172" s="2"/>
      <c r="E172" s="2"/>
      <c r="F172" s="2"/>
    </row>
    <row r="173" spans="3:6" x14ac:dyDescent="0.55000000000000004">
      <c r="C173" s="2"/>
      <c r="D173" s="2"/>
      <c r="E173" s="2"/>
      <c r="F173" s="2"/>
    </row>
    <row r="174" spans="3:6" x14ac:dyDescent="0.55000000000000004">
      <c r="C174" s="2"/>
      <c r="D174" s="2"/>
      <c r="E174" s="2"/>
      <c r="F174" s="2"/>
    </row>
    <row r="175" spans="3:6" x14ac:dyDescent="0.55000000000000004">
      <c r="C175" s="2"/>
      <c r="D175" s="2"/>
      <c r="E175" s="2"/>
      <c r="F175" s="2"/>
    </row>
    <row r="176" spans="3:6" x14ac:dyDescent="0.55000000000000004">
      <c r="C176" s="2"/>
      <c r="D176" s="2"/>
      <c r="E176" s="2"/>
      <c r="F176" s="2"/>
    </row>
    <row r="177" spans="3:6" x14ac:dyDescent="0.55000000000000004">
      <c r="C177" s="2"/>
      <c r="D177" s="2"/>
      <c r="E177" s="2"/>
      <c r="F177" s="2"/>
    </row>
    <row r="178" spans="3:6" x14ac:dyDescent="0.55000000000000004">
      <c r="C178" s="2"/>
      <c r="D178" s="2"/>
      <c r="E178" s="2"/>
      <c r="F178" s="2"/>
    </row>
    <row r="179" spans="3:6" x14ac:dyDescent="0.55000000000000004">
      <c r="C179" s="2"/>
      <c r="D179" s="2"/>
      <c r="E179" s="2"/>
      <c r="F179" s="2"/>
    </row>
    <row r="180" spans="3:6" x14ac:dyDescent="0.55000000000000004">
      <c r="C180" s="2"/>
      <c r="D180" s="2"/>
      <c r="E180" s="2"/>
      <c r="F180" s="2"/>
    </row>
    <row r="181" spans="3:6" x14ac:dyDescent="0.55000000000000004">
      <c r="C181" s="2"/>
      <c r="D181" s="2"/>
      <c r="E181" s="2"/>
      <c r="F181" s="2"/>
    </row>
    <row r="182" spans="3:6" x14ac:dyDescent="0.55000000000000004">
      <c r="C182" s="2"/>
      <c r="D182" s="2"/>
      <c r="E182" s="2"/>
      <c r="F182" s="2"/>
    </row>
    <row r="183" spans="3:6" x14ac:dyDescent="0.55000000000000004">
      <c r="C183" s="2"/>
      <c r="D183" s="2"/>
      <c r="E183" s="2"/>
      <c r="F183" s="2"/>
    </row>
    <row r="184" spans="3:6" x14ac:dyDescent="0.55000000000000004">
      <c r="C184" s="2"/>
      <c r="D184" s="2"/>
      <c r="E184" s="2"/>
      <c r="F184" s="2"/>
    </row>
    <row r="185" spans="3:6" x14ac:dyDescent="0.55000000000000004">
      <c r="C185" s="2"/>
      <c r="D185" s="2"/>
      <c r="E185" s="2"/>
      <c r="F185" s="2"/>
    </row>
    <row r="186" spans="3:6" x14ac:dyDescent="0.55000000000000004">
      <c r="C186" s="2"/>
      <c r="D186" s="2"/>
      <c r="E186" s="2"/>
      <c r="F186" s="2"/>
    </row>
    <row r="187" spans="3:6" x14ac:dyDescent="0.55000000000000004">
      <c r="C187" s="2"/>
      <c r="D187" s="2"/>
      <c r="E187" s="2"/>
      <c r="F187" s="2"/>
    </row>
    <row r="188" spans="3:6" x14ac:dyDescent="0.55000000000000004">
      <c r="C188" s="2"/>
      <c r="D188" s="2"/>
      <c r="E188" s="2"/>
      <c r="F188" s="2"/>
    </row>
    <row r="189" spans="3:6" x14ac:dyDescent="0.55000000000000004">
      <c r="C189" s="2"/>
      <c r="D189" s="2"/>
      <c r="E189" s="2"/>
      <c r="F189" s="2"/>
    </row>
    <row r="190" spans="3:6" x14ac:dyDescent="0.55000000000000004">
      <c r="C190" s="2"/>
      <c r="D190" s="2"/>
      <c r="E190" s="2"/>
      <c r="F190" s="2"/>
    </row>
    <row r="191" spans="3:6" x14ac:dyDescent="0.55000000000000004">
      <c r="C191" s="2"/>
      <c r="D191" s="2"/>
      <c r="E191" s="2"/>
      <c r="F191" s="2"/>
    </row>
    <row r="192" spans="3:6" x14ac:dyDescent="0.55000000000000004">
      <c r="C192" s="2"/>
      <c r="D192" s="2"/>
      <c r="E192" s="2"/>
      <c r="F192" s="2"/>
    </row>
    <row r="193" spans="3:6" x14ac:dyDescent="0.55000000000000004">
      <c r="C193" s="2"/>
      <c r="D193" s="2"/>
      <c r="E193" s="2"/>
      <c r="F193" s="2"/>
    </row>
    <row r="194" spans="3:6" x14ac:dyDescent="0.55000000000000004">
      <c r="C194" s="2"/>
      <c r="D194" s="2"/>
      <c r="E194" s="2"/>
      <c r="F194" s="2"/>
    </row>
    <row r="195" spans="3:6" x14ac:dyDescent="0.55000000000000004">
      <c r="C195" s="2"/>
      <c r="D195" s="2"/>
      <c r="E195" s="2"/>
      <c r="F195" s="2"/>
    </row>
    <row r="196" spans="3:6" x14ac:dyDescent="0.55000000000000004">
      <c r="C196" s="2"/>
      <c r="D196" s="2"/>
      <c r="E196" s="2"/>
      <c r="F196" s="2"/>
    </row>
    <row r="197" spans="3:6" x14ac:dyDescent="0.55000000000000004">
      <c r="C197" s="2"/>
      <c r="D197" s="2"/>
      <c r="E197" s="2"/>
      <c r="F197" s="2"/>
    </row>
    <row r="198" spans="3:6" x14ac:dyDescent="0.55000000000000004">
      <c r="C198" s="2"/>
      <c r="D198" s="2"/>
      <c r="E198" s="2"/>
      <c r="F198" s="2"/>
    </row>
    <row r="199" spans="3:6" x14ac:dyDescent="0.55000000000000004">
      <c r="C199" s="2"/>
      <c r="D199" s="2"/>
      <c r="E199" s="2"/>
      <c r="F199" s="2"/>
    </row>
    <row r="200" spans="3:6" x14ac:dyDescent="0.55000000000000004">
      <c r="C200" s="2"/>
      <c r="D200" s="2"/>
      <c r="E200" s="2"/>
      <c r="F200" s="2"/>
    </row>
    <row r="201" spans="3:6" x14ac:dyDescent="0.55000000000000004">
      <c r="C201" s="2"/>
      <c r="D201" s="2"/>
      <c r="E201" s="2"/>
      <c r="F201" s="2"/>
    </row>
    <row r="202" spans="3:6" x14ac:dyDescent="0.55000000000000004">
      <c r="C202" s="2"/>
      <c r="D202" s="2"/>
      <c r="E202" s="2"/>
      <c r="F202" s="2"/>
    </row>
    <row r="203" spans="3:6" x14ac:dyDescent="0.55000000000000004">
      <c r="C203" s="2"/>
      <c r="D203" s="2"/>
      <c r="E203" s="2"/>
      <c r="F203" s="2"/>
    </row>
    <row r="204" spans="3:6" x14ac:dyDescent="0.55000000000000004">
      <c r="C204" s="2"/>
      <c r="D204" s="2"/>
      <c r="E204" s="2"/>
      <c r="F204" s="2"/>
    </row>
    <row r="205" spans="3:6" x14ac:dyDescent="0.55000000000000004">
      <c r="C205" s="2"/>
      <c r="D205" s="2"/>
      <c r="E205" s="2"/>
      <c r="F205" s="2"/>
    </row>
    <row r="206" spans="3:6" x14ac:dyDescent="0.55000000000000004">
      <c r="C206" s="2"/>
      <c r="D206" s="2"/>
      <c r="E206" s="2"/>
      <c r="F206" s="2"/>
    </row>
    <row r="207" spans="3:6" x14ac:dyDescent="0.55000000000000004">
      <c r="C207" s="2"/>
      <c r="D207" s="2"/>
      <c r="E207" s="2"/>
      <c r="F207" s="2"/>
    </row>
    <row r="208" spans="3:6" x14ac:dyDescent="0.55000000000000004">
      <c r="C208" s="2"/>
      <c r="D208" s="2"/>
      <c r="E208" s="2"/>
      <c r="F208" s="2"/>
    </row>
    <row r="209" spans="3:6" x14ac:dyDescent="0.55000000000000004">
      <c r="C209" s="2"/>
      <c r="D209" s="2"/>
      <c r="E209" s="2"/>
      <c r="F209" s="2"/>
    </row>
    <row r="210" spans="3:6" x14ac:dyDescent="0.55000000000000004">
      <c r="C210" s="2"/>
      <c r="D210" s="2"/>
      <c r="E210" s="2"/>
      <c r="F210" s="2"/>
    </row>
    <row r="211" spans="3:6" x14ac:dyDescent="0.55000000000000004">
      <c r="C211" s="2"/>
      <c r="D211" s="2"/>
      <c r="E211" s="2"/>
      <c r="F211" s="2"/>
    </row>
    <row r="212" spans="3:6" x14ac:dyDescent="0.55000000000000004">
      <c r="C212" s="2"/>
      <c r="D212" s="2"/>
      <c r="E212" s="2"/>
      <c r="F212" s="2"/>
    </row>
    <row r="213" spans="3:6" x14ac:dyDescent="0.55000000000000004">
      <c r="C213" s="2"/>
      <c r="D213" s="2"/>
      <c r="E213" s="2"/>
      <c r="F213" s="2"/>
    </row>
    <row r="214" spans="3:6" x14ac:dyDescent="0.55000000000000004">
      <c r="C214" s="2"/>
      <c r="D214" s="2"/>
      <c r="E214" s="2"/>
      <c r="F214" s="2"/>
    </row>
    <row r="215" spans="3:6" x14ac:dyDescent="0.55000000000000004">
      <c r="C215" s="2"/>
      <c r="D215" s="2"/>
      <c r="E215" s="2"/>
      <c r="F215" s="2"/>
    </row>
    <row r="216" spans="3:6" x14ac:dyDescent="0.55000000000000004">
      <c r="C216" s="2"/>
      <c r="D216" s="2"/>
      <c r="E216" s="2"/>
      <c r="F216" s="2"/>
    </row>
    <row r="217" spans="3:6" x14ac:dyDescent="0.55000000000000004">
      <c r="C217" s="2"/>
      <c r="D217" s="2"/>
      <c r="E217" s="2"/>
      <c r="F217" s="2"/>
    </row>
    <row r="218" spans="3:6" x14ac:dyDescent="0.55000000000000004">
      <c r="C218" s="2"/>
      <c r="D218" s="2"/>
      <c r="E218" s="2"/>
      <c r="F218" s="2"/>
    </row>
    <row r="219" spans="3:6" x14ac:dyDescent="0.55000000000000004">
      <c r="C219" s="2"/>
      <c r="D219" s="2"/>
      <c r="E219" s="2"/>
      <c r="F219" s="2"/>
    </row>
    <row r="220" spans="3:6" x14ac:dyDescent="0.55000000000000004">
      <c r="C220" s="2"/>
      <c r="D220" s="2"/>
      <c r="E220" s="2"/>
      <c r="F220" s="2"/>
    </row>
    <row r="221" spans="3:6" x14ac:dyDescent="0.55000000000000004">
      <c r="C221" s="2"/>
      <c r="D221" s="2"/>
      <c r="E221" s="2"/>
      <c r="F221" s="2"/>
    </row>
    <row r="222" spans="3:6" x14ac:dyDescent="0.55000000000000004">
      <c r="C222" s="2"/>
      <c r="D222" s="2"/>
      <c r="E222" s="2"/>
      <c r="F222" s="2"/>
    </row>
    <row r="223" spans="3:6" x14ac:dyDescent="0.55000000000000004">
      <c r="C223" s="2"/>
      <c r="D223" s="2"/>
      <c r="E223" s="2"/>
      <c r="F223" s="2"/>
    </row>
    <row r="224" spans="3:6" x14ac:dyDescent="0.55000000000000004">
      <c r="C224" s="2"/>
      <c r="D224" s="2"/>
      <c r="E224" s="2"/>
      <c r="F224" s="2"/>
    </row>
    <row r="225" spans="3:6" x14ac:dyDescent="0.55000000000000004">
      <c r="C225" s="2"/>
      <c r="D225" s="2"/>
      <c r="E225" s="2"/>
      <c r="F225" s="2"/>
    </row>
    <row r="226" spans="3:6" x14ac:dyDescent="0.55000000000000004">
      <c r="C226" s="2"/>
      <c r="D226" s="2"/>
      <c r="E226" s="2"/>
      <c r="F226" s="2"/>
    </row>
    <row r="227" spans="3:6" x14ac:dyDescent="0.55000000000000004">
      <c r="C227" s="2"/>
      <c r="D227" s="2"/>
      <c r="E227" s="2"/>
      <c r="F227" s="2"/>
    </row>
    <row r="228" spans="3:6" x14ac:dyDescent="0.55000000000000004">
      <c r="C228" s="2"/>
      <c r="D228" s="2"/>
      <c r="E228" s="2"/>
      <c r="F228" s="2"/>
    </row>
    <row r="229" spans="3:6" x14ac:dyDescent="0.55000000000000004">
      <c r="C229" s="2"/>
      <c r="D229" s="2"/>
      <c r="E229" s="2"/>
      <c r="F229" s="2"/>
    </row>
    <row r="230" spans="3:6" x14ac:dyDescent="0.55000000000000004">
      <c r="C230" s="2"/>
      <c r="D230" s="2"/>
      <c r="E230" s="2"/>
      <c r="F230" s="2"/>
    </row>
    <row r="231" spans="3:6" x14ac:dyDescent="0.55000000000000004">
      <c r="C231" s="2"/>
      <c r="D231" s="2"/>
      <c r="E231" s="2"/>
      <c r="F231" s="2"/>
    </row>
    <row r="232" spans="3:6" x14ac:dyDescent="0.55000000000000004">
      <c r="C232" s="2"/>
      <c r="D232" s="2"/>
      <c r="E232" s="2"/>
      <c r="F232" s="2"/>
    </row>
    <row r="233" spans="3:6" x14ac:dyDescent="0.55000000000000004">
      <c r="C233" s="2"/>
      <c r="D233" s="2"/>
      <c r="E233" s="2"/>
      <c r="F233" s="2"/>
    </row>
    <row r="234" spans="3:6" x14ac:dyDescent="0.55000000000000004">
      <c r="C234" s="2"/>
      <c r="D234" s="2"/>
      <c r="E234" s="2"/>
      <c r="F234" s="2"/>
    </row>
    <row r="235" spans="3:6" x14ac:dyDescent="0.55000000000000004">
      <c r="C235" s="2"/>
      <c r="D235" s="2"/>
      <c r="E235" s="2"/>
      <c r="F235" s="2"/>
    </row>
    <row r="236" spans="3:6" x14ac:dyDescent="0.55000000000000004">
      <c r="C236" s="2"/>
      <c r="D236" s="2"/>
      <c r="E236" s="2"/>
      <c r="F236" s="2"/>
    </row>
    <row r="237" spans="3:6" x14ac:dyDescent="0.55000000000000004">
      <c r="C237" s="2"/>
      <c r="D237" s="2"/>
      <c r="E237" s="2"/>
      <c r="F237" s="2"/>
    </row>
    <row r="238" spans="3:6" x14ac:dyDescent="0.55000000000000004">
      <c r="C238" s="2"/>
      <c r="D238" s="2"/>
      <c r="E238" s="2"/>
      <c r="F238" s="2"/>
    </row>
    <row r="239" spans="3:6" x14ac:dyDescent="0.55000000000000004">
      <c r="C239" s="2"/>
      <c r="D239" s="2"/>
      <c r="E239" s="2"/>
      <c r="F239" s="2"/>
    </row>
    <row r="240" spans="3:6" x14ac:dyDescent="0.55000000000000004">
      <c r="C240" s="2"/>
      <c r="D240" s="2"/>
      <c r="E240" s="2"/>
      <c r="F240" s="2"/>
    </row>
    <row r="241" spans="3:6" x14ac:dyDescent="0.55000000000000004">
      <c r="C241" s="2"/>
      <c r="D241" s="2"/>
      <c r="E241" s="2"/>
      <c r="F241" s="2"/>
    </row>
    <row r="242" spans="3:6" x14ac:dyDescent="0.55000000000000004">
      <c r="C242" s="2"/>
      <c r="D242" s="2"/>
      <c r="E242" s="2"/>
      <c r="F242" s="2"/>
    </row>
    <row r="243" spans="3:6" x14ac:dyDescent="0.55000000000000004">
      <c r="C243" s="2"/>
      <c r="D243" s="2"/>
      <c r="E243" s="2"/>
      <c r="F243" s="2"/>
    </row>
    <row r="244" spans="3:6" x14ac:dyDescent="0.55000000000000004">
      <c r="C244" s="2"/>
      <c r="D244" s="2"/>
      <c r="E244" s="2"/>
      <c r="F244" s="2"/>
    </row>
    <row r="245" spans="3:6" x14ac:dyDescent="0.55000000000000004">
      <c r="C245" s="2"/>
      <c r="D245" s="2"/>
      <c r="E245" s="2"/>
      <c r="F245" s="2"/>
    </row>
    <row r="246" spans="3:6" x14ac:dyDescent="0.55000000000000004">
      <c r="C246" s="2"/>
      <c r="D246" s="2"/>
      <c r="E246" s="2"/>
      <c r="F246" s="2"/>
    </row>
    <row r="247" spans="3:6" x14ac:dyDescent="0.55000000000000004">
      <c r="C247" s="2"/>
      <c r="D247" s="2"/>
      <c r="E247" s="2"/>
      <c r="F247" s="2"/>
    </row>
    <row r="248" spans="3:6" x14ac:dyDescent="0.55000000000000004">
      <c r="C248" s="2"/>
      <c r="D248" s="2"/>
      <c r="E248" s="2"/>
      <c r="F248" s="2"/>
    </row>
    <row r="249" spans="3:6" x14ac:dyDescent="0.55000000000000004">
      <c r="C249" s="2"/>
      <c r="D249" s="2"/>
      <c r="E249" s="2"/>
      <c r="F249" s="2"/>
    </row>
    <row r="250" spans="3:6" x14ac:dyDescent="0.55000000000000004">
      <c r="C250" s="2"/>
      <c r="D250" s="2"/>
      <c r="E250" s="2"/>
      <c r="F250" s="2"/>
    </row>
    <row r="251" spans="3:6" x14ac:dyDescent="0.55000000000000004">
      <c r="C251" s="2"/>
      <c r="D251" s="2"/>
      <c r="E251" s="2"/>
      <c r="F251" s="2"/>
    </row>
    <row r="252" spans="3:6" x14ac:dyDescent="0.55000000000000004">
      <c r="C252" s="2"/>
      <c r="D252" s="2"/>
      <c r="E252" s="2"/>
      <c r="F252" s="2"/>
    </row>
    <row r="253" spans="3:6" x14ac:dyDescent="0.55000000000000004">
      <c r="C253" s="2"/>
      <c r="D253" s="2"/>
      <c r="E253" s="2"/>
      <c r="F253" s="2"/>
    </row>
    <row r="254" spans="3:6" x14ac:dyDescent="0.55000000000000004">
      <c r="C254" s="2"/>
      <c r="D254" s="2"/>
      <c r="E254" s="2"/>
      <c r="F254" s="2"/>
    </row>
    <row r="255" spans="3:6" x14ac:dyDescent="0.55000000000000004">
      <c r="C255" s="2"/>
      <c r="D255" s="2"/>
      <c r="E255" s="2"/>
      <c r="F255" s="2"/>
    </row>
    <row r="256" spans="3:6" x14ac:dyDescent="0.55000000000000004">
      <c r="C256" s="2"/>
      <c r="D256" s="2"/>
      <c r="E256" s="2"/>
      <c r="F256" s="2"/>
    </row>
    <row r="257" spans="3:6" x14ac:dyDescent="0.55000000000000004">
      <c r="C257" s="2"/>
      <c r="D257" s="2"/>
      <c r="E257" s="2"/>
      <c r="F257" s="2"/>
    </row>
    <row r="258" spans="3:6" x14ac:dyDescent="0.55000000000000004">
      <c r="C258" s="2"/>
      <c r="D258" s="2"/>
      <c r="E258" s="2"/>
      <c r="F258" s="2"/>
    </row>
    <row r="259" spans="3:6" x14ac:dyDescent="0.55000000000000004">
      <c r="C259" s="2"/>
      <c r="D259" s="2"/>
      <c r="E259" s="2"/>
      <c r="F259" s="2"/>
    </row>
    <row r="260" spans="3:6" x14ac:dyDescent="0.55000000000000004">
      <c r="C260" s="2"/>
      <c r="D260" s="2"/>
      <c r="E260" s="2"/>
      <c r="F260" s="2"/>
    </row>
    <row r="261" spans="3:6" x14ac:dyDescent="0.55000000000000004">
      <c r="C261" s="2"/>
      <c r="D261" s="2"/>
      <c r="E261" s="2"/>
      <c r="F261" s="2"/>
    </row>
    <row r="262" spans="3:6" x14ac:dyDescent="0.55000000000000004">
      <c r="C262" s="2"/>
      <c r="D262" s="2"/>
      <c r="E262" s="2"/>
      <c r="F262" s="2"/>
    </row>
    <row r="263" spans="3:6" x14ac:dyDescent="0.55000000000000004">
      <c r="C263" s="2"/>
      <c r="D263" s="2"/>
      <c r="E263" s="2"/>
      <c r="F263" s="2"/>
    </row>
    <row r="264" spans="3:6" x14ac:dyDescent="0.55000000000000004">
      <c r="C264" s="2"/>
      <c r="D264" s="2"/>
      <c r="E264" s="2"/>
      <c r="F264" s="2"/>
    </row>
    <row r="265" spans="3:6" x14ac:dyDescent="0.55000000000000004">
      <c r="C265" s="2"/>
      <c r="D265" s="2"/>
      <c r="E265" s="2"/>
      <c r="F265" s="2"/>
    </row>
    <row r="266" spans="3:6" x14ac:dyDescent="0.55000000000000004">
      <c r="C266" s="2"/>
      <c r="D266" s="2"/>
      <c r="E266" s="2"/>
      <c r="F266" s="2"/>
    </row>
    <row r="267" spans="3:6" x14ac:dyDescent="0.55000000000000004">
      <c r="C267" s="2"/>
      <c r="D267" s="2"/>
      <c r="E267" s="2"/>
      <c r="F267" s="2"/>
    </row>
    <row r="268" spans="3:6" x14ac:dyDescent="0.55000000000000004">
      <c r="C268" s="2"/>
      <c r="D268" s="2"/>
      <c r="E268" s="2"/>
      <c r="F268" s="2"/>
    </row>
    <row r="269" spans="3:6" x14ac:dyDescent="0.55000000000000004">
      <c r="C269" s="2"/>
      <c r="D269" s="2"/>
      <c r="E269" s="2"/>
      <c r="F269" s="2"/>
    </row>
    <row r="270" spans="3:6" x14ac:dyDescent="0.55000000000000004">
      <c r="C270" s="2"/>
      <c r="D270" s="2"/>
      <c r="E270" s="2"/>
      <c r="F270" s="2"/>
    </row>
    <row r="271" spans="3:6" x14ac:dyDescent="0.55000000000000004">
      <c r="C271" s="2"/>
      <c r="D271" s="2"/>
      <c r="E271" s="2"/>
      <c r="F271" s="2"/>
    </row>
    <row r="272" spans="3:6" x14ac:dyDescent="0.55000000000000004">
      <c r="C272" s="2"/>
      <c r="D272" s="2"/>
      <c r="E272" s="2"/>
      <c r="F272" s="2"/>
    </row>
    <row r="273" spans="3:6" x14ac:dyDescent="0.55000000000000004">
      <c r="C273" s="2"/>
      <c r="D273" s="2"/>
      <c r="E273" s="2"/>
      <c r="F273" s="2"/>
    </row>
    <row r="274" spans="3:6" x14ac:dyDescent="0.55000000000000004">
      <c r="C274" s="2"/>
      <c r="D274" s="2"/>
      <c r="E274" s="2"/>
      <c r="F274" s="2"/>
    </row>
    <row r="275" spans="3:6" x14ac:dyDescent="0.55000000000000004">
      <c r="C275" s="2"/>
      <c r="D275" s="2"/>
      <c r="E275" s="2"/>
      <c r="F275" s="2"/>
    </row>
    <row r="276" spans="3:6" x14ac:dyDescent="0.55000000000000004">
      <c r="C276" s="2"/>
      <c r="D276" s="2"/>
      <c r="E276" s="2"/>
      <c r="F276" s="2"/>
    </row>
    <row r="277" spans="3:6" x14ac:dyDescent="0.55000000000000004">
      <c r="C277" s="2"/>
      <c r="D277" s="2"/>
      <c r="E277" s="2"/>
      <c r="F277" s="2"/>
    </row>
    <row r="278" spans="3:6" x14ac:dyDescent="0.55000000000000004">
      <c r="C278" s="2"/>
      <c r="D278" s="2"/>
      <c r="E278" s="2"/>
      <c r="F278" s="2"/>
    </row>
    <row r="279" spans="3:6" x14ac:dyDescent="0.55000000000000004">
      <c r="C279" s="2"/>
      <c r="D279" s="2"/>
      <c r="E279" s="2"/>
      <c r="F279" s="2"/>
    </row>
    <row r="280" spans="3:6" x14ac:dyDescent="0.55000000000000004">
      <c r="C280" s="2"/>
      <c r="D280" s="2"/>
      <c r="E280" s="2"/>
      <c r="F280" s="2"/>
    </row>
    <row r="281" spans="3:6" x14ac:dyDescent="0.55000000000000004">
      <c r="C281" s="2"/>
      <c r="D281" s="2"/>
      <c r="E281" s="2"/>
      <c r="F281" s="2"/>
    </row>
    <row r="282" spans="3:6" x14ac:dyDescent="0.55000000000000004">
      <c r="C282" s="2"/>
      <c r="D282" s="2"/>
      <c r="E282" s="2"/>
      <c r="F282" s="2"/>
    </row>
    <row r="283" spans="3:6" x14ac:dyDescent="0.55000000000000004">
      <c r="C283" s="2"/>
      <c r="D283" s="2"/>
      <c r="E283" s="2"/>
      <c r="F283" s="2"/>
    </row>
    <row r="284" spans="3:6" x14ac:dyDescent="0.55000000000000004">
      <c r="C284" s="2"/>
      <c r="D284" s="2"/>
      <c r="E284" s="2"/>
      <c r="F284" s="2"/>
    </row>
    <row r="285" spans="3:6" x14ac:dyDescent="0.55000000000000004">
      <c r="C285" s="2"/>
      <c r="D285" s="2"/>
      <c r="E285" s="2"/>
      <c r="F285" s="2"/>
    </row>
    <row r="286" spans="3:6" x14ac:dyDescent="0.55000000000000004">
      <c r="C286" s="2"/>
      <c r="D286" s="2"/>
      <c r="E286" s="2"/>
      <c r="F286" s="2"/>
    </row>
    <row r="287" spans="3:6" x14ac:dyDescent="0.55000000000000004">
      <c r="C287" s="2"/>
      <c r="D287" s="2"/>
      <c r="E287" s="2"/>
      <c r="F287" s="2"/>
    </row>
    <row r="288" spans="3:6" x14ac:dyDescent="0.55000000000000004">
      <c r="C288" s="2"/>
      <c r="D288" s="2"/>
      <c r="E288" s="2"/>
      <c r="F288" s="2"/>
    </row>
    <row r="289" spans="3:6" x14ac:dyDescent="0.55000000000000004">
      <c r="C289" s="2"/>
      <c r="D289" s="2"/>
      <c r="E289" s="2"/>
      <c r="F289" s="2"/>
    </row>
    <row r="290" spans="3:6" x14ac:dyDescent="0.55000000000000004">
      <c r="C290" s="2"/>
      <c r="D290" s="2"/>
      <c r="E290" s="2"/>
      <c r="F290" s="2"/>
    </row>
    <row r="291" spans="3:6" x14ac:dyDescent="0.55000000000000004">
      <c r="C291" s="2"/>
      <c r="D291" s="2"/>
      <c r="E291" s="2"/>
      <c r="F291" s="2"/>
    </row>
    <row r="292" spans="3:6" x14ac:dyDescent="0.55000000000000004">
      <c r="C292" s="2"/>
      <c r="D292" s="2"/>
      <c r="E292" s="2"/>
      <c r="F292" s="2"/>
    </row>
    <row r="293" spans="3:6" x14ac:dyDescent="0.55000000000000004">
      <c r="C293" s="2"/>
      <c r="D293" s="2"/>
      <c r="E293" s="2"/>
      <c r="F293" s="2"/>
    </row>
    <row r="294" spans="3:6" x14ac:dyDescent="0.55000000000000004">
      <c r="C294" s="2"/>
      <c r="D294" s="2"/>
      <c r="E294" s="2"/>
      <c r="F294" s="2"/>
    </row>
    <row r="295" spans="3:6" x14ac:dyDescent="0.55000000000000004">
      <c r="C295" s="2"/>
      <c r="D295" s="2"/>
      <c r="E295" s="2"/>
      <c r="F295" s="2"/>
    </row>
    <row r="296" spans="3:6" x14ac:dyDescent="0.55000000000000004">
      <c r="C296" s="2"/>
      <c r="D296" s="2"/>
      <c r="E296" s="2"/>
      <c r="F296" s="2"/>
    </row>
    <row r="297" spans="3:6" x14ac:dyDescent="0.55000000000000004">
      <c r="C297" s="2"/>
      <c r="D297" s="2"/>
      <c r="E297" s="2"/>
      <c r="F297" s="2"/>
    </row>
    <row r="298" spans="3:6" x14ac:dyDescent="0.55000000000000004">
      <c r="C298" s="2"/>
      <c r="D298" s="2"/>
      <c r="E298" s="2"/>
      <c r="F298" s="2"/>
    </row>
    <row r="299" spans="3:6" x14ac:dyDescent="0.55000000000000004">
      <c r="C299" s="2"/>
      <c r="D299" s="2"/>
      <c r="E299" s="2"/>
      <c r="F299" s="2"/>
    </row>
    <row r="300" spans="3:6" x14ac:dyDescent="0.55000000000000004">
      <c r="C300" s="2"/>
      <c r="D300" s="2"/>
      <c r="E300" s="2"/>
      <c r="F300" s="2"/>
    </row>
    <row r="301" spans="3:6" x14ac:dyDescent="0.55000000000000004">
      <c r="C301" s="2"/>
      <c r="D301" s="2"/>
      <c r="E301" s="2"/>
      <c r="F301" s="2"/>
    </row>
    <row r="302" spans="3:6" x14ac:dyDescent="0.55000000000000004">
      <c r="C302" s="2"/>
      <c r="D302" s="2"/>
      <c r="E302" s="2"/>
      <c r="F302" s="2"/>
    </row>
    <row r="303" spans="3:6" x14ac:dyDescent="0.55000000000000004">
      <c r="C303" s="2"/>
      <c r="D303" s="2"/>
      <c r="E303" s="2"/>
      <c r="F303" s="2"/>
    </row>
    <row r="304" spans="3:6" x14ac:dyDescent="0.55000000000000004">
      <c r="C304" s="2"/>
      <c r="D304" s="2"/>
      <c r="E304" s="2"/>
      <c r="F304" s="2"/>
    </row>
    <row r="305" spans="3:6" x14ac:dyDescent="0.55000000000000004">
      <c r="C305" s="2"/>
      <c r="D305" s="2"/>
      <c r="E305" s="2"/>
      <c r="F305" s="2"/>
    </row>
    <row r="306" spans="3:6" x14ac:dyDescent="0.55000000000000004">
      <c r="C306" s="2"/>
      <c r="D306" s="2"/>
      <c r="E306" s="2"/>
      <c r="F306" s="2"/>
    </row>
    <row r="307" spans="3:6" x14ac:dyDescent="0.55000000000000004">
      <c r="C307" s="2"/>
      <c r="D307" s="2"/>
      <c r="E307" s="2"/>
      <c r="F307" s="2"/>
    </row>
    <row r="308" spans="3:6" x14ac:dyDescent="0.55000000000000004">
      <c r="C308" s="2"/>
      <c r="D308" s="2"/>
      <c r="E308" s="2"/>
      <c r="F308" s="2"/>
    </row>
    <row r="309" spans="3:6" x14ac:dyDescent="0.55000000000000004">
      <c r="C309" s="2"/>
      <c r="D309" s="2"/>
      <c r="E309" s="2"/>
      <c r="F309" s="2"/>
    </row>
    <row r="310" spans="3:6" x14ac:dyDescent="0.55000000000000004">
      <c r="C310" s="2"/>
      <c r="D310" s="2"/>
      <c r="E310" s="2"/>
      <c r="F310" s="2"/>
    </row>
    <row r="311" spans="3:6" x14ac:dyDescent="0.55000000000000004">
      <c r="C311" s="2"/>
      <c r="D311" s="2"/>
      <c r="E311" s="2"/>
      <c r="F311" s="2"/>
    </row>
    <row r="312" spans="3:6" x14ac:dyDescent="0.55000000000000004">
      <c r="C312" s="2"/>
      <c r="D312" s="2"/>
      <c r="E312" s="2"/>
      <c r="F312" s="2"/>
    </row>
    <row r="313" spans="3:6" x14ac:dyDescent="0.55000000000000004">
      <c r="C313" s="2"/>
      <c r="D313" s="2"/>
      <c r="E313" s="2"/>
      <c r="F313" s="2"/>
    </row>
    <row r="314" spans="3:6" x14ac:dyDescent="0.55000000000000004">
      <c r="C314" s="2"/>
      <c r="D314" s="2"/>
      <c r="E314" s="2"/>
      <c r="F314" s="2"/>
    </row>
    <row r="315" spans="3:6" x14ac:dyDescent="0.55000000000000004">
      <c r="C315" s="2"/>
      <c r="D315" s="2"/>
      <c r="E315" s="2"/>
      <c r="F315" s="2"/>
    </row>
    <row r="316" spans="3:6" x14ac:dyDescent="0.55000000000000004">
      <c r="C316" s="2"/>
      <c r="D316" s="2"/>
      <c r="E316" s="2"/>
      <c r="F316" s="2"/>
    </row>
    <row r="317" spans="3:6" x14ac:dyDescent="0.55000000000000004">
      <c r="C317" s="2"/>
      <c r="D317" s="2"/>
      <c r="E317" s="2"/>
      <c r="F317" s="2"/>
    </row>
    <row r="318" spans="3:6" x14ac:dyDescent="0.55000000000000004">
      <c r="C318" s="2"/>
      <c r="D318" s="2"/>
      <c r="E318" s="2"/>
      <c r="F318" s="2"/>
    </row>
    <row r="319" spans="3:6" x14ac:dyDescent="0.55000000000000004">
      <c r="C319" s="2"/>
      <c r="D319" s="2"/>
      <c r="E319" s="2"/>
      <c r="F319" s="2"/>
    </row>
    <row r="320" spans="3:6" x14ac:dyDescent="0.55000000000000004">
      <c r="C320" s="2"/>
      <c r="D320" s="2"/>
      <c r="E320" s="2"/>
      <c r="F320" s="2"/>
    </row>
    <row r="321" spans="3:6" x14ac:dyDescent="0.55000000000000004">
      <c r="C321" s="2"/>
      <c r="D321" s="2"/>
      <c r="E321" s="2"/>
      <c r="F321" s="2"/>
    </row>
    <row r="322" spans="3:6" x14ac:dyDescent="0.55000000000000004">
      <c r="C322" s="2"/>
      <c r="D322" s="2"/>
      <c r="E322" s="2"/>
      <c r="F322" s="2"/>
    </row>
    <row r="323" spans="3:6" x14ac:dyDescent="0.55000000000000004">
      <c r="C323" s="2"/>
      <c r="D323" s="2"/>
      <c r="E323" s="2"/>
      <c r="F323" s="2"/>
    </row>
    <row r="324" spans="3:6" x14ac:dyDescent="0.55000000000000004">
      <c r="C324" s="2"/>
      <c r="D324" s="2"/>
      <c r="E324" s="2"/>
      <c r="F324" s="2"/>
    </row>
    <row r="325" spans="3:6" x14ac:dyDescent="0.55000000000000004">
      <c r="C325" s="2"/>
      <c r="D325" s="2"/>
      <c r="E325" s="2"/>
      <c r="F325" s="2"/>
    </row>
    <row r="326" spans="3:6" x14ac:dyDescent="0.55000000000000004">
      <c r="C326" s="2"/>
      <c r="D326" s="2"/>
      <c r="E326" s="2"/>
      <c r="F326" s="2"/>
    </row>
    <row r="327" spans="3:6" x14ac:dyDescent="0.55000000000000004">
      <c r="C327" s="2"/>
      <c r="D327" s="2"/>
      <c r="E327" s="2"/>
      <c r="F327" s="2"/>
    </row>
    <row r="328" spans="3:6" x14ac:dyDescent="0.55000000000000004">
      <c r="C328" s="2"/>
      <c r="D328" s="2"/>
      <c r="E328" s="2"/>
      <c r="F328" s="2"/>
    </row>
    <row r="329" spans="3:6" x14ac:dyDescent="0.55000000000000004">
      <c r="C329" s="2"/>
      <c r="D329" s="2"/>
      <c r="E329" s="2"/>
      <c r="F329" s="2"/>
    </row>
    <row r="330" spans="3:6" x14ac:dyDescent="0.55000000000000004">
      <c r="C330" s="2"/>
      <c r="D330" s="2"/>
      <c r="E330" s="2"/>
      <c r="F330" s="2"/>
    </row>
    <row r="331" spans="3:6" x14ac:dyDescent="0.55000000000000004">
      <c r="C331" s="2"/>
      <c r="D331" s="2"/>
      <c r="E331" s="2"/>
      <c r="F331" s="2"/>
    </row>
    <row r="332" spans="3:6" x14ac:dyDescent="0.55000000000000004">
      <c r="C332" s="2"/>
      <c r="D332" s="2"/>
      <c r="E332" s="2"/>
      <c r="F332" s="2"/>
    </row>
    <row r="333" spans="3:6" x14ac:dyDescent="0.55000000000000004">
      <c r="C333" s="2"/>
      <c r="D333" s="2"/>
      <c r="E333" s="2"/>
      <c r="F333" s="2"/>
    </row>
    <row r="334" spans="3:6" x14ac:dyDescent="0.55000000000000004">
      <c r="C334" s="2"/>
      <c r="D334" s="2"/>
      <c r="E334" s="2"/>
      <c r="F334" s="2"/>
    </row>
    <row r="335" spans="3:6" x14ac:dyDescent="0.55000000000000004">
      <c r="C335" s="2"/>
      <c r="D335" s="2"/>
      <c r="E335" s="2"/>
      <c r="F335" s="2"/>
    </row>
    <row r="336" spans="3:6" x14ac:dyDescent="0.55000000000000004">
      <c r="C336" s="2"/>
      <c r="D336" s="2"/>
      <c r="E336" s="2"/>
      <c r="F336" s="2"/>
    </row>
    <row r="337" spans="3:6" x14ac:dyDescent="0.55000000000000004">
      <c r="C337" s="2"/>
      <c r="D337" s="2"/>
      <c r="E337" s="2"/>
      <c r="F337" s="2"/>
    </row>
    <row r="338" spans="3:6" x14ac:dyDescent="0.55000000000000004">
      <c r="C338" s="2"/>
      <c r="D338" s="2"/>
      <c r="E338" s="2"/>
      <c r="F338" s="2"/>
    </row>
    <row r="339" spans="3:6" x14ac:dyDescent="0.55000000000000004">
      <c r="C339" s="2"/>
      <c r="D339" s="2"/>
      <c r="E339" s="2"/>
      <c r="F339" s="2"/>
    </row>
    <row r="340" spans="3:6" x14ac:dyDescent="0.55000000000000004">
      <c r="C340" s="2"/>
      <c r="D340" s="2"/>
      <c r="E340" s="2"/>
      <c r="F340" s="2"/>
    </row>
    <row r="341" spans="3:6" x14ac:dyDescent="0.55000000000000004">
      <c r="C341" s="2"/>
      <c r="D341" s="2"/>
      <c r="E341" s="2"/>
      <c r="F341" s="2"/>
    </row>
    <row r="342" spans="3:6" x14ac:dyDescent="0.55000000000000004">
      <c r="C342" s="2"/>
      <c r="D342" s="2"/>
      <c r="E342" s="2"/>
      <c r="F342" s="2"/>
    </row>
    <row r="343" spans="3:6" x14ac:dyDescent="0.55000000000000004">
      <c r="C343" s="2"/>
      <c r="D343" s="2"/>
      <c r="E343" s="2"/>
      <c r="F343" s="2"/>
    </row>
    <row r="344" spans="3:6" x14ac:dyDescent="0.55000000000000004">
      <c r="C344" s="2"/>
      <c r="D344" s="2"/>
      <c r="E344" s="2"/>
      <c r="F344" s="2"/>
    </row>
    <row r="345" spans="3:6" x14ac:dyDescent="0.55000000000000004">
      <c r="C345" s="2"/>
      <c r="D345" s="2"/>
      <c r="E345" s="2"/>
      <c r="F345" s="2"/>
    </row>
    <row r="346" spans="3:6" x14ac:dyDescent="0.55000000000000004">
      <c r="C346" s="2"/>
      <c r="D346" s="2"/>
      <c r="E346" s="2"/>
      <c r="F346" s="2"/>
    </row>
    <row r="347" spans="3:6" x14ac:dyDescent="0.55000000000000004">
      <c r="C347" s="2"/>
      <c r="D347" s="2"/>
      <c r="E347" s="2"/>
      <c r="F347" s="2"/>
    </row>
    <row r="348" spans="3:6" x14ac:dyDescent="0.55000000000000004">
      <c r="C348" s="2"/>
      <c r="D348" s="2"/>
      <c r="E348" s="2"/>
      <c r="F348" s="2"/>
    </row>
    <row r="349" spans="3:6" x14ac:dyDescent="0.55000000000000004">
      <c r="C349" s="2"/>
      <c r="D349" s="2"/>
      <c r="E349" s="2"/>
      <c r="F349" s="2"/>
    </row>
    <row r="350" spans="3:6" x14ac:dyDescent="0.55000000000000004">
      <c r="C350" s="2"/>
      <c r="D350" s="2"/>
      <c r="E350" s="2"/>
      <c r="F350" s="2"/>
    </row>
    <row r="351" spans="3:6" x14ac:dyDescent="0.55000000000000004">
      <c r="C351" s="2"/>
      <c r="D351" s="2"/>
      <c r="E351" s="2"/>
      <c r="F351" s="2"/>
    </row>
    <row r="352" spans="3:6" x14ac:dyDescent="0.55000000000000004">
      <c r="C352" s="2"/>
      <c r="D352" s="2"/>
      <c r="E352" s="2"/>
      <c r="F352" s="2"/>
    </row>
    <row r="353" spans="3:6" x14ac:dyDescent="0.55000000000000004">
      <c r="C353" s="2"/>
      <c r="D353" s="2"/>
      <c r="E353" s="2"/>
      <c r="F353" s="2"/>
    </row>
    <row r="354" spans="3:6" x14ac:dyDescent="0.55000000000000004">
      <c r="C354" s="2"/>
      <c r="D354" s="2"/>
      <c r="E354" s="2"/>
      <c r="F354" s="2"/>
    </row>
    <row r="355" spans="3:6" x14ac:dyDescent="0.55000000000000004">
      <c r="C355" s="2"/>
      <c r="D355" s="2"/>
      <c r="E355" s="2"/>
      <c r="F355" s="2"/>
    </row>
    <row r="356" spans="3:6" x14ac:dyDescent="0.55000000000000004">
      <c r="C356" s="2"/>
      <c r="D356" s="2"/>
      <c r="E356" s="2"/>
      <c r="F356" s="2"/>
    </row>
    <row r="357" spans="3:6" x14ac:dyDescent="0.55000000000000004">
      <c r="C357" s="2"/>
      <c r="D357" s="2"/>
      <c r="E357" s="2"/>
      <c r="F357" s="2"/>
    </row>
    <row r="358" spans="3:6" x14ac:dyDescent="0.55000000000000004">
      <c r="C358" s="2"/>
      <c r="D358" s="2"/>
      <c r="E358" s="2"/>
      <c r="F358" s="2"/>
    </row>
    <row r="359" spans="3:6" x14ac:dyDescent="0.55000000000000004">
      <c r="C359" s="2"/>
      <c r="D359" s="2"/>
      <c r="E359" s="2"/>
      <c r="F359" s="2"/>
    </row>
    <row r="360" spans="3:6" x14ac:dyDescent="0.55000000000000004">
      <c r="C360" s="2"/>
      <c r="D360" s="2"/>
      <c r="E360" s="2"/>
      <c r="F360" s="2"/>
    </row>
    <row r="361" spans="3:6" x14ac:dyDescent="0.55000000000000004">
      <c r="C361" s="2"/>
      <c r="D361" s="2"/>
      <c r="E361" s="2"/>
      <c r="F361" s="2"/>
    </row>
    <row r="362" spans="3:6" x14ac:dyDescent="0.55000000000000004">
      <c r="C362" s="2"/>
      <c r="D362" s="2"/>
      <c r="E362" s="2"/>
      <c r="F362" s="2"/>
    </row>
    <row r="363" spans="3:6" x14ac:dyDescent="0.55000000000000004">
      <c r="C363" s="2"/>
      <c r="D363" s="2"/>
      <c r="E363" s="2"/>
      <c r="F363" s="2"/>
    </row>
    <row r="364" spans="3:6" x14ac:dyDescent="0.55000000000000004">
      <c r="C364" s="2"/>
      <c r="D364" s="2"/>
      <c r="E364" s="2"/>
      <c r="F364" s="2"/>
    </row>
    <row r="365" spans="3:6" x14ac:dyDescent="0.55000000000000004">
      <c r="C365" s="2"/>
      <c r="D365" s="2"/>
      <c r="E365" s="2"/>
      <c r="F365" s="2"/>
    </row>
    <row r="366" spans="3:6" x14ac:dyDescent="0.55000000000000004">
      <c r="C366" s="2"/>
      <c r="D366" s="2"/>
      <c r="E366" s="2"/>
      <c r="F366" s="2"/>
    </row>
    <row r="367" spans="3:6" x14ac:dyDescent="0.55000000000000004">
      <c r="C367" s="2"/>
      <c r="D367" s="2"/>
      <c r="E367" s="2"/>
      <c r="F367" s="2"/>
    </row>
    <row r="368" spans="3:6" x14ac:dyDescent="0.55000000000000004">
      <c r="C368" s="2"/>
      <c r="D368" s="2"/>
      <c r="E368" s="2"/>
      <c r="F368" s="2"/>
    </row>
    <row r="369" spans="3:6" x14ac:dyDescent="0.55000000000000004">
      <c r="C369" s="2"/>
      <c r="D369" s="2"/>
      <c r="E369" s="2"/>
      <c r="F369" s="2"/>
    </row>
    <row r="370" spans="3:6" x14ac:dyDescent="0.55000000000000004">
      <c r="C370" s="2"/>
      <c r="D370" s="2"/>
      <c r="E370" s="2"/>
      <c r="F370" s="2"/>
    </row>
    <row r="371" spans="3:6" x14ac:dyDescent="0.55000000000000004">
      <c r="C371" s="2"/>
      <c r="D371" s="2"/>
      <c r="E371" s="2"/>
      <c r="F371" s="2"/>
    </row>
    <row r="372" spans="3:6" x14ac:dyDescent="0.55000000000000004">
      <c r="C372" s="2"/>
      <c r="D372" s="2"/>
      <c r="E372" s="2"/>
      <c r="F372" s="2"/>
    </row>
    <row r="373" spans="3:6" x14ac:dyDescent="0.55000000000000004">
      <c r="C373" s="2"/>
      <c r="D373" s="2"/>
      <c r="E373" s="2"/>
      <c r="F373" s="2"/>
    </row>
    <row r="374" spans="3:6" x14ac:dyDescent="0.55000000000000004">
      <c r="C374" s="2"/>
      <c r="D374" s="2"/>
      <c r="E374" s="2"/>
      <c r="F374" s="2"/>
    </row>
    <row r="375" spans="3:6" x14ac:dyDescent="0.55000000000000004">
      <c r="C375" s="2"/>
      <c r="D375" s="2"/>
      <c r="E375" s="2"/>
      <c r="F375" s="2"/>
    </row>
    <row r="376" spans="3:6" x14ac:dyDescent="0.55000000000000004">
      <c r="C376" s="2"/>
      <c r="D376" s="2"/>
      <c r="E376" s="2"/>
      <c r="F376" s="2"/>
    </row>
    <row r="377" spans="3:6" x14ac:dyDescent="0.55000000000000004">
      <c r="C377" s="2"/>
      <c r="D377" s="2"/>
      <c r="E377" s="2"/>
      <c r="F377" s="2"/>
    </row>
    <row r="378" spans="3:6" x14ac:dyDescent="0.55000000000000004">
      <c r="C378" s="2"/>
      <c r="D378" s="2"/>
      <c r="E378" s="2"/>
      <c r="F378" s="2"/>
    </row>
    <row r="379" spans="3:6" x14ac:dyDescent="0.55000000000000004">
      <c r="C379" s="2"/>
      <c r="D379" s="2"/>
      <c r="E379" s="2"/>
      <c r="F379" s="2"/>
    </row>
    <row r="380" spans="3:6" x14ac:dyDescent="0.55000000000000004">
      <c r="C380" s="2"/>
      <c r="D380" s="2"/>
      <c r="E380" s="2"/>
      <c r="F380" s="2"/>
    </row>
    <row r="381" spans="3:6" x14ac:dyDescent="0.55000000000000004">
      <c r="C381" s="2"/>
      <c r="D381" s="2"/>
      <c r="E381" s="2"/>
      <c r="F381" s="2"/>
    </row>
    <row r="382" spans="3:6" x14ac:dyDescent="0.55000000000000004">
      <c r="C382" s="2"/>
      <c r="D382" s="2"/>
      <c r="E382" s="2"/>
      <c r="F382" s="2"/>
    </row>
    <row r="383" spans="3:6" x14ac:dyDescent="0.55000000000000004">
      <c r="C383" s="2"/>
      <c r="D383" s="2"/>
      <c r="E383" s="2"/>
      <c r="F383" s="2"/>
    </row>
    <row r="384" spans="3:6" x14ac:dyDescent="0.55000000000000004">
      <c r="C384" s="2"/>
      <c r="D384" s="2"/>
      <c r="E384" s="2"/>
      <c r="F384" s="2"/>
    </row>
    <row r="385" spans="3:6" x14ac:dyDescent="0.55000000000000004">
      <c r="C385" s="2"/>
      <c r="D385" s="2"/>
      <c r="E385" s="2"/>
      <c r="F385" s="2"/>
    </row>
    <row r="386" spans="3:6" x14ac:dyDescent="0.55000000000000004">
      <c r="C386" s="2"/>
      <c r="D386" s="2"/>
      <c r="E386" s="2"/>
      <c r="F386" s="2"/>
    </row>
    <row r="387" spans="3:6" x14ac:dyDescent="0.55000000000000004">
      <c r="C387" s="2"/>
      <c r="D387" s="2"/>
      <c r="E387" s="2"/>
      <c r="F387" s="2"/>
    </row>
    <row r="388" spans="3:6" x14ac:dyDescent="0.55000000000000004">
      <c r="C388" s="2"/>
      <c r="D388" s="2"/>
      <c r="E388" s="2"/>
      <c r="F388" s="2"/>
    </row>
    <row r="389" spans="3:6" x14ac:dyDescent="0.55000000000000004">
      <c r="C389" s="2"/>
      <c r="D389" s="2"/>
      <c r="E389" s="2"/>
      <c r="F389" s="2"/>
    </row>
    <row r="390" spans="3:6" x14ac:dyDescent="0.55000000000000004">
      <c r="C390" s="2"/>
      <c r="D390" s="2"/>
      <c r="E390" s="2"/>
      <c r="F390" s="2"/>
    </row>
    <row r="391" spans="3:6" x14ac:dyDescent="0.55000000000000004">
      <c r="C391" s="2"/>
      <c r="D391" s="2"/>
      <c r="E391" s="2"/>
      <c r="F391" s="2"/>
    </row>
    <row r="392" spans="3:6" x14ac:dyDescent="0.55000000000000004">
      <c r="C392" s="2"/>
      <c r="D392" s="2"/>
      <c r="E392" s="2"/>
      <c r="F392" s="2"/>
    </row>
    <row r="393" spans="3:6" x14ac:dyDescent="0.55000000000000004">
      <c r="C393" s="2"/>
      <c r="D393" s="2"/>
      <c r="E393" s="2"/>
      <c r="F393" s="2"/>
    </row>
    <row r="394" spans="3:6" x14ac:dyDescent="0.55000000000000004">
      <c r="C394" s="2"/>
      <c r="D394" s="2"/>
      <c r="E394" s="2"/>
      <c r="F394" s="2"/>
    </row>
    <row r="395" spans="3:6" x14ac:dyDescent="0.55000000000000004">
      <c r="C395" s="2"/>
      <c r="D395" s="2"/>
      <c r="E395" s="2"/>
      <c r="F395" s="2"/>
    </row>
    <row r="396" spans="3:6" x14ac:dyDescent="0.55000000000000004">
      <c r="C396" s="2"/>
      <c r="D396" s="2"/>
      <c r="E396" s="2"/>
      <c r="F396" s="2"/>
    </row>
    <row r="397" spans="3:6" x14ac:dyDescent="0.55000000000000004">
      <c r="C397" s="2"/>
      <c r="D397" s="2"/>
      <c r="E397" s="2"/>
      <c r="F397" s="2"/>
    </row>
    <row r="398" spans="3:6" x14ac:dyDescent="0.55000000000000004">
      <c r="C398" s="2"/>
      <c r="D398" s="2"/>
      <c r="E398" s="2"/>
      <c r="F398" s="2"/>
    </row>
    <row r="399" spans="3:6" x14ac:dyDescent="0.55000000000000004">
      <c r="C399" s="2"/>
      <c r="D399" s="2"/>
      <c r="E399" s="2"/>
      <c r="F399" s="2"/>
    </row>
    <row r="400" spans="3:6" x14ac:dyDescent="0.55000000000000004">
      <c r="C400" s="2"/>
      <c r="D400" s="2"/>
      <c r="E400" s="2"/>
      <c r="F400" s="2"/>
    </row>
    <row r="401" spans="3:6" x14ac:dyDescent="0.55000000000000004">
      <c r="C401" s="2"/>
      <c r="D401" s="2"/>
      <c r="E401" s="2"/>
      <c r="F401" s="2"/>
    </row>
    <row r="402" spans="3:6" x14ac:dyDescent="0.55000000000000004">
      <c r="C402" s="2"/>
      <c r="D402" s="2"/>
      <c r="E402" s="2"/>
      <c r="F402" s="2"/>
    </row>
    <row r="403" spans="3:6" x14ac:dyDescent="0.55000000000000004">
      <c r="C403" s="2"/>
      <c r="D403" s="2"/>
      <c r="E403" s="2"/>
      <c r="F403" s="2"/>
    </row>
    <row r="404" spans="3:6" x14ac:dyDescent="0.55000000000000004">
      <c r="C404" s="2"/>
      <c r="D404" s="2"/>
      <c r="E404" s="2"/>
      <c r="F404" s="2"/>
    </row>
    <row r="405" spans="3:6" x14ac:dyDescent="0.55000000000000004">
      <c r="C405" s="2"/>
      <c r="D405" s="2"/>
      <c r="E405" s="2"/>
      <c r="F405" s="2"/>
    </row>
    <row r="406" spans="3:6" x14ac:dyDescent="0.55000000000000004">
      <c r="C406" s="2"/>
      <c r="D406" s="2"/>
      <c r="E406" s="2"/>
      <c r="F406" s="2"/>
    </row>
    <row r="407" spans="3:6" x14ac:dyDescent="0.55000000000000004">
      <c r="C407" s="2"/>
      <c r="D407" s="2"/>
      <c r="E407" s="2"/>
      <c r="F407" s="2"/>
    </row>
    <row r="408" spans="3:6" x14ac:dyDescent="0.55000000000000004">
      <c r="C408" s="2"/>
      <c r="D408" s="2"/>
      <c r="E408" s="2"/>
      <c r="F408" s="2"/>
    </row>
    <row r="409" spans="3:6" x14ac:dyDescent="0.55000000000000004">
      <c r="C409" s="2"/>
      <c r="D409" s="2"/>
      <c r="E409" s="2"/>
      <c r="F409" s="2"/>
    </row>
    <row r="410" spans="3:6" x14ac:dyDescent="0.55000000000000004">
      <c r="C410" s="2"/>
      <c r="D410" s="2"/>
      <c r="E410" s="2"/>
      <c r="F410" s="2"/>
    </row>
    <row r="411" spans="3:6" x14ac:dyDescent="0.55000000000000004">
      <c r="C411" s="2"/>
      <c r="D411" s="2"/>
      <c r="E411" s="2"/>
      <c r="F411" s="2"/>
    </row>
    <row r="412" spans="3:6" x14ac:dyDescent="0.55000000000000004">
      <c r="C412" s="2"/>
      <c r="D412" s="2"/>
      <c r="E412" s="2"/>
      <c r="F412" s="2"/>
    </row>
    <row r="413" spans="3:6" x14ac:dyDescent="0.55000000000000004">
      <c r="C413" s="2"/>
      <c r="D413" s="2"/>
      <c r="E413" s="2"/>
      <c r="F413" s="2"/>
    </row>
    <row r="414" spans="3:6" x14ac:dyDescent="0.55000000000000004">
      <c r="C414" s="2"/>
      <c r="D414" s="2"/>
      <c r="E414" s="2"/>
      <c r="F414" s="2"/>
    </row>
    <row r="415" spans="3:6" x14ac:dyDescent="0.55000000000000004">
      <c r="C415" s="2"/>
      <c r="D415" s="2"/>
      <c r="E415" s="2"/>
      <c r="F415" s="2"/>
    </row>
    <row r="416" spans="3:6" x14ac:dyDescent="0.55000000000000004">
      <c r="C416" s="2"/>
      <c r="D416" s="2"/>
      <c r="E416" s="2"/>
      <c r="F416" s="2"/>
    </row>
    <row r="417" spans="3:6" x14ac:dyDescent="0.55000000000000004">
      <c r="C417" s="2"/>
      <c r="D417" s="2"/>
      <c r="E417" s="2"/>
      <c r="F417" s="2"/>
    </row>
    <row r="418" spans="3:6" x14ac:dyDescent="0.55000000000000004">
      <c r="C418" s="2"/>
      <c r="D418" s="2"/>
      <c r="E418" s="2"/>
      <c r="F418" s="2"/>
    </row>
    <row r="419" spans="3:6" x14ac:dyDescent="0.55000000000000004">
      <c r="C419" s="2"/>
      <c r="D419" s="2"/>
      <c r="E419" s="2"/>
      <c r="F419" s="2"/>
    </row>
    <row r="420" spans="3:6" x14ac:dyDescent="0.55000000000000004">
      <c r="C420" s="2"/>
      <c r="D420" s="2"/>
      <c r="E420" s="2"/>
      <c r="F420" s="2"/>
    </row>
    <row r="421" spans="3:6" x14ac:dyDescent="0.55000000000000004">
      <c r="C421" s="2"/>
      <c r="D421" s="2"/>
      <c r="E421" s="2"/>
      <c r="F421" s="2"/>
    </row>
    <row r="422" spans="3:6" x14ac:dyDescent="0.55000000000000004">
      <c r="C422" s="2"/>
      <c r="D422" s="2"/>
      <c r="E422" s="2"/>
      <c r="F422" s="2"/>
    </row>
    <row r="423" spans="3:6" x14ac:dyDescent="0.55000000000000004">
      <c r="C423" s="2"/>
      <c r="D423" s="2"/>
      <c r="E423" s="2"/>
      <c r="F423" s="2"/>
    </row>
    <row r="424" spans="3:6" x14ac:dyDescent="0.55000000000000004">
      <c r="C424" s="2"/>
      <c r="D424" s="2"/>
      <c r="E424" s="2"/>
      <c r="F424" s="2"/>
    </row>
    <row r="425" spans="3:6" x14ac:dyDescent="0.55000000000000004">
      <c r="C425" s="2"/>
      <c r="D425" s="2"/>
      <c r="E425" s="2"/>
      <c r="F425" s="2"/>
    </row>
    <row r="426" spans="3:6" x14ac:dyDescent="0.55000000000000004">
      <c r="C426" s="2"/>
      <c r="D426" s="2"/>
      <c r="E426" s="2"/>
      <c r="F426" s="2"/>
    </row>
    <row r="427" spans="3:6" x14ac:dyDescent="0.55000000000000004">
      <c r="C427" s="2"/>
      <c r="D427" s="2"/>
      <c r="E427" s="2"/>
      <c r="F427" s="2"/>
    </row>
    <row r="428" spans="3:6" x14ac:dyDescent="0.55000000000000004">
      <c r="C428" s="2"/>
      <c r="D428" s="2"/>
      <c r="E428" s="2"/>
      <c r="F428" s="2"/>
    </row>
    <row r="429" spans="3:6" x14ac:dyDescent="0.55000000000000004">
      <c r="C429" s="2"/>
      <c r="D429" s="2"/>
      <c r="E429" s="2"/>
      <c r="F429" s="2"/>
    </row>
    <row r="430" spans="3:6" x14ac:dyDescent="0.55000000000000004">
      <c r="C430" s="2"/>
      <c r="D430" s="2"/>
      <c r="E430" s="2"/>
      <c r="F430" s="2"/>
    </row>
    <row r="431" spans="3:6" x14ac:dyDescent="0.55000000000000004">
      <c r="C431" s="2"/>
      <c r="D431" s="2"/>
      <c r="E431" s="2"/>
      <c r="F431" s="2"/>
    </row>
    <row r="432" spans="3:6" x14ac:dyDescent="0.55000000000000004">
      <c r="C432" s="2"/>
      <c r="D432" s="2"/>
      <c r="E432" s="2"/>
      <c r="F432" s="2"/>
    </row>
    <row r="433" spans="3:6" x14ac:dyDescent="0.55000000000000004">
      <c r="C433" s="2"/>
      <c r="D433" s="2"/>
      <c r="E433" s="2"/>
      <c r="F433" s="2"/>
    </row>
    <row r="434" spans="3:6" x14ac:dyDescent="0.55000000000000004">
      <c r="C434" s="2"/>
      <c r="D434" s="2"/>
      <c r="E434" s="2"/>
      <c r="F434" s="2"/>
    </row>
    <row r="435" spans="3:6" x14ac:dyDescent="0.55000000000000004">
      <c r="C435" s="2"/>
      <c r="D435" s="2"/>
      <c r="E435" s="2"/>
      <c r="F435" s="2"/>
    </row>
    <row r="436" spans="3:6" x14ac:dyDescent="0.55000000000000004">
      <c r="C436" s="2"/>
      <c r="D436" s="2"/>
      <c r="E436" s="2"/>
      <c r="F436" s="2"/>
    </row>
    <row r="437" spans="3:6" x14ac:dyDescent="0.55000000000000004">
      <c r="C437" s="2"/>
      <c r="D437" s="2"/>
      <c r="E437" s="2"/>
      <c r="F437" s="2"/>
    </row>
    <row r="438" spans="3:6" x14ac:dyDescent="0.55000000000000004">
      <c r="C438" s="2"/>
      <c r="D438" s="2"/>
      <c r="E438" s="2"/>
      <c r="F438" s="2"/>
    </row>
    <row r="439" spans="3:6" x14ac:dyDescent="0.55000000000000004">
      <c r="C439" s="2"/>
      <c r="D439" s="2"/>
      <c r="E439" s="2"/>
      <c r="F439" s="2"/>
    </row>
    <row r="440" spans="3:6" x14ac:dyDescent="0.55000000000000004">
      <c r="C440" s="2"/>
      <c r="D440" s="2"/>
      <c r="E440" s="2"/>
      <c r="F440" s="2"/>
    </row>
    <row r="441" spans="3:6" x14ac:dyDescent="0.55000000000000004">
      <c r="C441" s="2"/>
      <c r="D441" s="2"/>
      <c r="E441" s="2"/>
      <c r="F441" s="2"/>
    </row>
    <row r="442" spans="3:6" x14ac:dyDescent="0.55000000000000004">
      <c r="C442" s="2"/>
      <c r="D442" s="2"/>
      <c r="E442" s="2"/>
      <c r="F442" s="2"/>
    </row>
    <row r="443" spans="3:6" x14ac:dyDescent="0.55000000000000004">
      <c r="C443" s="2"/>
      <c r="D443" s="2"/>
      <c r="E443" s="2"/>
      <c r="F443" s="2"/>
    </row>
    <row r="444" spans="3:6" x14ac:dyDescent="0.55000000000000004">
      <c r="C444" s="2"/>
      <c r="D444" s="2"/>
      <c r="E444" s="2"/>
      <c r="F444" s="2"/>
    </row>
    <row r="445" spans="3:6" x14ac:dyDescent="0.55000000000000004">
      <c r="C445" s="2"/>
      <c r="D445" s="2"/>
      <c r="E445" s="2"/>
      <c r="F445" s="2"/>
    </row>
    <row r="446" spans="3:6" x14ac:dyDescent="0.55000000000000004">
      <c r="C446" s="2"/>
      <c r="D446" s="2"/>
      <c r="E446" s="2"/>
      <c r="F446" s="2"/>
    </row>
    <row r="447" spans="3:6" x14ac:dyDescent="0.55000000000000004">
      <c r="C447" s="2"/>
      <c r="D447" s="2"/>
      <c r="E447" s="2"/>
      <c r="F447" s="2"/>
    </row>
    <row r="448" spans="3:6" x14ac:dyDescent="0.55000000000000004">
      <c r="C448" s="2"/>
      <c r="D448" s="2"/>
      <c r="E448" s="2"/>
      <c r="F448" s="2"/>
    </row>
    <row r="449" spans="3:6" x14ac:dyDescent="0.55000000000000004">
      <c r="C449" s="2"/>
      <c r="D449" s="2"/>
      <c r="E449" s="2"/>
      <c r="F449" s="2"/>
    </row>
    <row r="450" spans="3:6" x14ac:dyDescent="0.55000000000000004">
      <c r="C450" s="2"/>
      <c r="D450" s="2"/>
      <c r="E450" s="2"/>
      <c r="F450" s="2"/>
    </row>
    <row r="451" spans="3:6" x14ac:dyDescent="0.55000000000000004">
      <c r="C451" s="2"/>
      <c r="D451" s="2"/>
      <c r="E451" s="2"/>
      <c r="F451" s="2"/>
    </row>
    <row r="452" spans="3:6" x14ac:dyDescent="0.55000000000000004">
      <c r="C452" s="2"/>
      <c r="D452" s="2"/>
      <c r="E452" s="2"/>
      <c r="F452" s="2"/>
    </row>
    <row r="453" spans="3:6" x14ac:dyDescent="0.55000000000000004">
      <c r="C453" s="2"/>
      <c r="D453" s="2"/>
      <c r="E453" s="2"/>
      <c r="F453" s="2"/>
    </row>
    <row r="454" spans="3:6" x14ac:dyDescent="0.55000000000000004">
      <c r="C454" s="2"/>
      <c r="D454" s="2"/>
      <c r="E454" s="2"/>
      <c r="F454" s="2"/>
    </row>
    <row r="455" spans="3:6" x14ac:dyDescent="0.55000000000000004">
      <c r="C455" s="2"/>
      <c r="D455" s="2"/>
      <c r="E455" s="2"/>
      <c r="F455" s="2"/>
    </row>
    <row r="456" spans="3:6" x14ac:dyDescent="0.55000000000000004">
      <c r="C456" s="2"/>
      <c r="D456" s="2"/>
      <c r="E456" s="2"/>
      <c r="F456" s="2"/>
    </row>
    <row r="457" spans="3:6" x14ac:dyDescent="0.55000000000000004">
      <c r="C457" s="2"/>
      <c r="D457" s="2"/>
      <c r="E457" s="2"/>
      <c r="F457" s="2"/>
    </row>
    <row r="458" spans="3:6" x14ac:dyDescent="0.55000000000000004">
      <c r="C458" s="2"/>
      <c r="D458" s="2"/>
      <c r="E458" s="2"/>
      <c r="F458" s="2"/>
    </row>
    <row r="459" spans="3:6" x14ac:dyDescent="0.55000000000000004">
      <c r="C459" s="2"/>
      <c r="D459" s="2"/>
      <c r="E459" s="2"/>
      <c r="F459" s="2"/>
    </row>
    <row r="460" spans="3:6" x14ac:dyDescent="0.55000000000000004">
      <c r="C460" s="2"/>
      <c r="D460" s="2"/>
      <c r="E460" s="2"/>
      <c r="F460" s="2"/>
    </row>
    <row r="461" spans="3:6" x14ac:dyDescent="0.55000000000000004">
      <c r="C461" s="2"/>
      <c r="D461" s="2"/>
      <c r="E461" s="2"/>
      <c r="F461" s="2"/>
    </row>
    <row r="462" spans="3:6" x14ac:dyDescent="0.55000000000000004">
      <c r="C462" s="2"/>
      <c r="D462" s="2"/>
      <c r="E462" s="2"/>
      <c r="F462" s="2"/>
    </row>
    <row r="463" spans="3:6" x14ac:dyDescent="0.55000000000000004">
      <c r="C463" s="2"/>
      <c r="D463" s="2"/>
      <c r="E463" s="2"/>
      <c r="F463" s="2"/>
    </row>
    <row r="464" spans="3:6" x14ac:dyDescent="0.55000000000000004">
      <c r="C464" s="2"/>
      <c r="D464" s="2"/>
      <c r="E464" s="2"/>
      <c r="F464" s="2"/>
    </row>
    <row r="465" spans="3:6" x14ac:dyDescent="0.55000000000000004">
      <c r="C465" s="2"/>
      <c r="D465" s="2"/>
      <c r="E465" s="2"/>
      <c r="F465" s="2"/>
    </row>
    <row r="466" spans="3:6" x14ac:dyDescent="0.55000000000000004">
      <c r="C466" s="2"/>
      <c r="D466" s="2"/>
      <c r="E466" s="2"/>
      <c r="F466" s="2"/>
    </row>
    <row r="467" spans="3:6" x14ac:dyDescent="0.55000000000000004">
      <c r="C467" s="2"/>
      <c r="D467" s="2"/>
      <c r="E467" s="2"/>
      <c r="F467" s="2"/>
    </row>
    <row r="468" spans="3:6" x14ac:dyDescent="0.55000000000000004">
      <c r="C468" s="2"/>
      <c r="D468" s="2"/>
      <c r="E468" s="2"/>
      <c r="F468" s="2"/>
    </row>
    <row r="469" spans="3:6" x14ac:dyDescent="0.55000000000000004">
      <c r="C469" s="2"/>
      <c r="D469" s="2"/>
      <c r="E469" s="2"/>
      <c r="F469" s="2"/>
    </row>
    <row r="470" spans="3:6" x14ac:dyDescent="0.55000000000000004">
      <c r="C470" s="2"/>
      <c r="D470" s="2"/>
      <c r="E470" s="2"/>
      <c r="F470" s="2"/>
    </row>
    <row r="471" spans="3:6" x14ac:dyDescent="0.55000000000000004">
      <c r="C471" s="2"/>
      <c r="D471" s="2"/>
      <c r="E471" s="2"/>
      <c r="F471" s="2"/>
    </row>
    <row r="472" spans="3:6" x14ac:dyDescent="0.55000000000000004">
      <c r="C472" s="2"/>
      <c r="D472" s="2"/>
      <c r="E472" s="2"/>
      <c r="F472" s="2"/>
    </row>
    <row r="473" spans="3:6" x14ac:dyDescent="0.55000000000000004">
      <c r="C473" s="2"/>
      <c r="D473" s="2"/>
      <c r="E473" s="2"/>
      <c r="F473" s="2"/>
    </row>
    <row r="474" spans="3:6" x14ac:dyDescent="0.55000000000000004">
      <c r="C474" s="2"/>
      <c r="D474" s="2"/>
      <c r="E474" s="2"/>
      <c r="F474" s="2"/>
    </row>
    <row r="475" spans="3:6" x14ac:dyDescent="0.55000000000000004">
      <c r="C475" s="2"/>
      <c r="D475" s="2"/>
      <c r="E475" s="2"/>
      <c r="F475" s="2"/>
    </row>
    <row r="476" spans="3:6" x14ac:dyDescent="0.55000000000000004">
      <c r="C476" s="2"/>
      <c r="D476" s="2"/>
      <c r="E476" s="2"/>
      <c r="F476" s="2"/>
    </row>
    <row r="477" spans="3:6" x14ac:dyDescent="0.55000000000000004">
      <c r="C477" s="2"/>
      <c r="D477" s="2"/>
      <c r="E477" s="2"/>
      <c r="F477" s="2"/>
    </row>
    <row r="478" spans="3:6" x14ac:dyDescent="0.55000000000000004">
      <c r="C478" s="2"/>
      <c r="D478" s="2"/>
      <c r="E478" s="2"/>
      <c r="F478" s="2"/>
    </row>
    <row r="479" spans="3:6" x14ac:dyDescent="0.55000000000000004">
      <c r="C479" s="2"/>
      <c r="D479" s="2"/>
      <c r="E479" s="2"/>
      <c r="F479" s="2"/>
    </row>
    <row r="480" spans="3:6" x14ac:dyDescent="0.55000000000000004">
      <c r="C480" s="2"/>
      <c r="D480" s="2"/>
      <c r="E480" s="2"/>
      <c r="F480" s="2"/>
    </row>
    <row r="481" spans="3:6" x14ac:dyDescent="0.55000000000000004">
      <c r="C481" s="2"/>
      <c r="D481" s="2"/>
      <c r="E481" s="2"/>
      <c r="F481" s="2"/>
    </row>
    <row r="482" spans="3:6" x14ac:dyDescent="0.55000000000000004">
      <c r="C482" s="2"/>
      <c r="D482" s="2"/>
      <c r="E482" s="2"/>
      <c r="F482" s="2"/>
    </row>
    <row r="483" spans="3:6" x14ac:dyDescent="0.55000000000000004">
      <c r="C483" s="2"/>
      <c r="D483" s="2"/>
      <c r="E483" s="2"/>
      <c r="F483" s="2"/>
    </row>
    <row r="484" spans="3:6" x14ac:dyDescent="0.55000000000000004">
      <c r="C484" s="2"/>
      <c r="D484" s="2"/>
      <c r="E484" s="2"/>
      <c r="F484" s="2"/>
    </row>
    <row r="485" spans="3:6" x14ac:dyDescent="0.55000000000000004">
      <c r="C485" s="2"/>
      <c r="D485" s="2"/>
      <c r="E485" s="2"/>
      <c r="F485" s="2"/>
    </row>
    <row r="486" spans="3:6" x14ac:dyDescent="0.55000000000000004">
      <c r="C486" s="2"/>
      <c r="D486" s="2"/>
      <c r="E486" s="2"/>
      <c r="F486" s="2"/>
    </row>
    <row r="487" spans="3:6" x14ac:dyDescent="0.55000000000000004">
      <c r="C487" s="2"/>
      <c r="D487" s="2"/>
      <c r="E487" s="2"/>
      <c r="F487" s="2"/>
    </row>
    <row r="488" spans="3:6" x14ac:dyDescent="0.55000000000000004">
      <c r="C488" s="2"/>
      <c r="D488" s="2"/>
      <c r="E488" s="2"/>
      <c r="F488" s="2"/>
    </row>
    <row r="489" spans="3:6" x14ac:dyDescent="0.55000000000000004">
      <c r="C489" s="2"/>
      <c r="D489" s="2"/>
      <c r="E489" s="2"/>
      <c r="F489" s="2"/>
    </row>
    <row r="490" spans="3:6" x14ac:dyDescent="0.55000000000000004">
      <c r="C490" s="2"/>
      <c r="D490" s="2"/>
      <c r="E490" s="2"/>
      <c r="F490" s="2"/>
    </row>
    <row r="491" spans="3:6" x14ac:dyDescent="0.55000000000000004">
      <c r="C491" s="2"/>
      <c r="D491" s="2"/>
      <c r="E491" s="2"/>
      <c r="F491" s="2"/>
    </row>
    <row r="492" spans="3:6" x14ac:dyDescent="0.55000000000000004">
      <c r="C492" s="2"/>
      <c r="D492" s="2"/>
      <c r="E492" s="2"/>
      <c r="F492" s="2"/>
    </row>
    <row r="493" spans="3:6" x14ac:dyDescent="0.55000000000000004">
      <c r="C493" s="2"/>
      <c r="D493" s="2"/>
      <c r="E493" s="2"/>
      <c r="F493" s="2"/>
    </row>
    <row r="494" spans="3:6" x14ac:dyDescent="0.55000000000000004">
      <c r="C494" s="2"/>
      <c r="D494" s="2"/>
      <c r="E494" s="2"/>
      <c r="F494" s="2"/>
    </row>
    <row r="495" spans="3:6" x14ac:dyDescent="0.55000000000000004">
      <c r="C495" s="2"/>
      <c r="D495" s="2"/>
      <c r="E495" s="2"/>
      <c r="F495" s="2"/>
    </row>
    <row r="496" spans="3:6" x14ac:dyDescent="0.55000000000000004">
      <c r="C496" s="2"/>
      <c r="D496" s="2"/>
      <c r="E496" s="2"/>
      <c r="F496" s="2"/>
    </row>
    <row r="497" spans="3:6" x14ac:dyDescent="0.55000000000000004">
      <c r="C497" s="2"/>
      <c r="D497" s="2"/>
      <c r="E497" s="2"/>
      <c r="F497" s="2"/>
    </row>
    <row r="498" spans="3:6" x14ac:dyDescent="0.55000000000000004">
      <c r="C498" s="2"/>
      <c r="D498" s="2"/>
      <c r="E498" s="2"/>
      <c r="F498" s="2"/>
    </row>
    <row r="499" spans="3:6" x14ac:dyDescent="0.55000000000000004">
      <c r="C499" s="2"/>
      <c r="D499" s="2"/>
      <c r="E499" s="2"/>
      <c r="F499" s="2"/>
    </row>
    <row r="500" spans="3:6" x14ac:dyDescent="0.55000000000000004">
      <c r="C500" s="2"/>
      <c r="D500" s="2"/>
      <c r="E500" s="2"/>
      <c r="F500" s="2"/>
    </row>
    <row r="501" spans="3:6" x14ac:dyDescent="0.55000000000000004">
      <c r="C501" s="2"/>
      <c r="D501" s="2"/>
      <c r="E501" s="2"/>
      <c r="F501" s="2"/>
    </row>
  </sheetData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目次</vt:lpstr>
      <vt:lpstr>銘柄管理</vt:lpstr>
      <vt:lpstr>銘柄セット</vt:lpstr>
      <vt:lpstr>取得元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Saito, Mizuki b</dc:creator>
  <cp:lastModifiedBy>浩士 安藤</cp:lastModifiedBy>
  <dcterms:created xsi:type="dcterms:W3CDTF">2021-10-05T02:01:54Z</dcterms:created>
  <dcterms:modified xsi:type="dcterms:W3CDTF">2024-02-07T09:43:43Z</dcterms:modified>
</cp:coreProperties>
</file>